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1" activeTab="22"/>
  </bookViews>
  <sheets>
    <sheet name="_Modules" sheetId="1" r:id="rId1"/>
    <sheet name="_Settings" sheetId="2" r:id="rId2"/>
    <sheet name="_MasterData" sheetId="3" r:id="rId3"/>
    <sheet name="GetNonTradingTransaction" sheetId="4" r:id="rId4"/>
    <sheet name="AddNonTradingTransaction" sheetId="5" r:id="rId5"/>
    <sheet name="CreateDoneAwayOrder" sheetId="6" r:id="rId6"/>
    <sheet name="GetMarkPriceData" sheetId="7" r:id="rId7"/>
    <sheet name="UpdateMarkPrice" sheetId="8" r:id="rId8"/>
    <sheet name="GetDayEndCash" sheetId="9" r:id="rId9"/>
    <sheet name="GetAccountBalance" sheetId="10" r:id="rId10"/>
    <sheet name="GetRevaluationData" sheetId="11" r:id="rId11"/>
    <sheet name="CreateDoneAwayOrder1" sheetId="12" r:id="rId12"/>
    <sheet name="GetDataClosing1" sheetId="13" r:id="rId13"/>
    <sheet name="AutomaticClosing1" sheetId="14" r:id="rId14"/>
    <sheet name="GetMarkPriceData2" sheetId="15" r:id="rId15"/>
    <sheet name="UpdateMarkPrice2" sheetId="16" r:id="rId16"/>
    <sheet name="GetDayEndCash2" sheetId="17" r:id="rId17"/>
    <sheet name="GetAccountBalance2" sheetId="18" r:id="rId18"/>
    <sheet name="GetRevaluationData2" sheetId="19" r:id="rId19"/>
    <sheet name="VerifyRevaluationData1" sheetId="20" r:id="rId20"/>
    <sheet name="VerifyTradingTransaction1" sheetId="21" r:id="rId21"/>
    <sheet name="GetActivityData1" sheetId="22" r:id="rId22"/>
    <sheet name="VerifyActivity" sheetId="23" r:id="rId23"/>
    <sheet name="OpenSpinOff1" sheetId="24" r:id="rId24"/>
    <sheet name="SpinOff1" sheetId="25" r:id="rId25"/>
    <sheet name="VerifyAndApplyCorpAction1" sheetId="26" r:id="rId26"/>
    <sheet name="GetMarkPriceData4" sheetId="27" r:id="rId27"/>
    <sheet name="UpdateMarkPrice3" sheetId="28" r:id="rId28"/>
    <sheet name="GetAccountBalance3" sheetId="29" r:id="rId29"/>
    <sheet name="GetRevaluationData3" sheetId="30" r:id="rId30"/>
    <sheet name="VerifyRevaluationData2" sheetId="31" r:id="rId31"/>
    <sheet name="VerifyTradingTransaction2" sheetId="32" r:id="rId32"/>
    <sheet name="GetActivityData2" sheetId="33" r:id="rId33"/>
    <sheet name="VerifyActivity2" sheetId="34" r:id="rId34"/>
    <sheet name="GetDataClosing2" sheetId="35" r:id="rId35"/>
    <sheet name="VerifyLongPositionsGrid" sheetId="36" r:id="rId36"/>
    <sheet name="GetDataAllocation1" sheetId="37" r:id="rId37"/>
    <sheet name="CheckAllocatedGroups1" sheetId="38" r:id="rId38"/>
  </sheets>
  <calcPr calcId="145621"/>
</workbook>
</file>

<file path=xl/calcChain.xml><?xml version="1.0" encoding="utf-8"?>
<calcChain xmlns="http://schemas.openxmlformats.org/spreadsheetml/2006/main">
  <c r="EX5" i="38" l="1"/>
  <c r="CL5" i="38"/>
  <c r="Z5" i="38"/>
  <c r="DL4" i="38"/>
  <c r="AZ4" i="38"/>
  <c r="EL5" i="37"/>
  <c r="BZ5" i="37"/>
  <c r="N5" i="37"/>
  <c r="CZ4" i="37"/>
  <c r="AN4" i="37"/>
  <c r="DZ5" i="36"/>
  <c r="BN5" i="36"/>
  <c r="B5" i="36"/>
  <c r="CN4" i="36"/>
  <c r="AB4" i="36"/>
  <c r="DN5" i="35"/>
  <c r="EO5" i="38"/>
  <c r="CC5" i="38"/>
  <c r="Q5" i="38"/>
  <c r="DC4" i="38"/>
  <c r="AQ4" i="38"/>
  <c r="EC5" i="37"/>
  <c r="BQ5" i="37"/>
  <c r="E5" i="37"/>
  <c r="CQ4" i="37"/>
  <c r="AE4" i="37"/>
  <c r="DQ5" i="36"/>
  <c r="BE5" i="36"/>
  <c r="EQ4" i="36"/>
  <c r="CE4" i="36"/>
  <c r="S4" i="36"/>
  <c r="DE5" i="35"/>
  <c r="EF5" i="38"/>
  <c r="BT5" i="38"/>
  <c r="H5" i="38"/>
  <c r="CT4" i="38"/>
  <c r="AH4" i="38"/>
  <c r="DT5" i="37"/>
  <c r="BH5" i="37"/>
  <c r="ET4" i="37"/>
  <c r="CH4" i="37"/>
  <c r="V4" i="37"/>
  <c r="DH5" i="36"/>
  <c r="AV5" i="36"/>
  <c r="EH4" i="36"/>
  <c r="BV4" i="36"/>
  <c r="J4" i="36"/>
  <c r="CV5" i="35"/>
  <c r="DW5" i="38"/>
  <c r="BK5" i="38"/>
  <c r="EW4" i="38"/>
  <c r="CK4" i="38"/>
  <c r="Y4" i="38"/>
  <c r="DC5" i="37"/>
  <c r="AQ5" i="37"/>
  <c r="EC4" i="37"/>
  <c r="BQ4" i="37"/>
  <c r="E4" i="37"/>
  <c r="DN5" i="38"/>
  <c r="BB5" i="38"/>
  <c r="EN4" i="38"/>
  <c r="CB4" i="38"/>
  <c r="P4" i="38"/>
  <c r="DB5" i="37"/>
  <c r="AP5" i="37"/>
  <c r="EB4" i="37"/>
  <c r="BP4" i="37"/>
  <c r="D4" i="37"/>
  <c r="CP5" i="36"/>
  <c r="AD5" i="36"/>
  <c r="DP4" i="36"/>
  <c r="BD4" i="36"/>
  <c r="EP5" i="35"/>
  <c r="CD5" i="35"/>
  <c r="DE5" i="38"/>
  <c r="AS5" i="38"/>
  <c r="EE4" i="38"/>
  <c r="BS4" i="38"/>
  <c r="G4" i="38"/>
  <c r="CS5" i="37"/>
  <c r="AG5" i="37"/>
  <c r="DS4" i="37"/>
  <c r="BG4" i="37"/>
  <c r="ES5" i="36"/>
  <c r="CG5" i="36"/>
  <c r="U5" i="36"/>
  <c r="DG4" i="36"/>
  <c r="AU4" i="36"/>
  <c r="EG5" i="35"/>
  <c r="BU5" i="35"/>
  <c r="CV5" i="38"/>
  <c r="AJ5" i="38"/>
  <c r="DV4" i="38"/>
  <c r="BJ4" i="38"/>
  <c r="EV5" i="37"/>
  <c r="CJ5" i="37"/>
  <c r="X5" i="37"/>
  <c r="DJ4" i="37"/>
  <c r="AX4" i="37"/>
  <c r="EJ5" i="36"/>
  <c r="BX5" i="36"/>
  <c r="L5" i="36"/>
  <c r="CX4" i="36"/>
  <c r="AL4" i="36"/>
  <c r="DX5" i="35"/>
  <c r="BL5" i="35"/>
  <c r="CM5" i="38"/>
  <c r="AA5" i="38"/>
  <c r="DM4" i="38"/>
  <c r="BA4" i="38"/>
  <c r="EM5" i="37"/>
  <c r="CA5" i="37"/>
  <c r="O5" i="37"/>
  <c r="DA4" i="37"/>
  <c r="AO4" i="37"/>
  <c r="DS5" i="36"/>
  <c r="BG5" i="36"/>
  <c r="ES4" i="36"/>
  <c r="CG4" i="36"/>
  <c r="DW5" i="36"/>
  <c r="EP5" i="38"/>
  <c r="CD5" i="38"/>
  <c r="R5" i="38"/>
  <c r="DD4" i="38"/>
  <c r="AR4" i="38"/>
  <c r="ED5" i="37"/>
  <c r="BR5" i="37"/>
  <c r="F5" i="37"/>
  <c r="CR4" i="37"/>
  <c r="AF4" i="37"/>
  <c r="DR5" i="36"/>
  <c r="BF5" i="36"/>
  <c r="ER4" i="36"/>
  <c r="CF4" i="36"/>
  <c r="T4" i="36"/>
  <c r="DF5" i="35"/>
  <c r="EG5" i="38"/>
  <c r="BU5" i="38"/>
  <c r="I5" i="38"/>
  <c r="CU4" i="38"/>
  <c r="AI4" i="38"/>
  <c r="DU5" i="37"/>
  <c r="BI5" i="37"/>
  <c r="EU4" i="37"/>
  <c r="CI4" i="37"/>
  <c r="W4" i="37"/>
  <c r="DI5" i="36"/>
  <c r="AW5" i="36"/>
  <c r="EI4" i="36"/>
  <c r="BW4" i="36"/>
  <c r="K4" i="36"/>
  <c r="CW5" i="35"/>
  <c r="DX5" i="38"/>
  <c r="BL5" i="38"/>
  <c r="EX4" i="38"/>
  <c r="CL4" i="38"/>
  <c r="Z4" i="38"/>
  <c r="DL5" i="37"/>
  <c r="AZ5" i="37"/>
  <c r="EL4" i="37"/>
  <c r="BZ4" i="37"/>
  <c r="N4" i="37"/>
  <c r="CZ5" i="36"/>
  <c r="AN5" i="36"/>
  <c r="DZ4" i="36"/>
  <c r="BN4" i="36"/>
  <c r="B4" i="36"/>
  <c r="CN5" i="35"/>
  <c r="DO5" i="38"/>
  <c r="BC5" i="38"/>
  <c r="EO4" i="38"/>
  <c r="CC4" i="38"/>
  <c r="Q4" i="38"/>
  <c r="CU5" i="37"/>
  <c r="AI5" i="37"/>
  <c r="DU4" i="37"/>
  <c r="BI4" i="37"/>
  <c r="EU5" i="36"/>
  <c r="DF5" i="38"/>
  <c r="AT5" i="38"/>
  <c r="EF4" i="38"/>
  <c r="BT4" i="38"/>
  <c r="H4" i="38"/>
  <c r="CT5" i="37"/>
  <c r="AH5" i="37"/>
  <c r="DT4" i="37"/>
  <c r="BH4" i="37"/>
  <c r="ET5" i="36"/>
  <c r="CH5" i="36"/>
  <c r="V5" i="36"/>
  <c r="DH4" i="36"/>
  <c r="AV4" i="36"/>
  <c r="EH5" i="35"/>
  <c r="BV5" i="35"/>
  <c r="CW5" i="38"/>
  <c r="AK5" i="38"/>
  <c r="DW4" i="38"/>
  <c r="BK4" i="38"/>
  <c r="EW5" i="37"/>
  <c r="CK5" i="37"/>
  <c r="Y5" i="37"/>
  <c r="DK4" i="37"/>
  <c r="AY4" i="37"/>
  <c r="EK5" i="36"/>
  <c r="BY5" i="36"/>
  <c r="M5" i="36"/>
  <c r="CY4" i="36"/>
  <c r="AM4" i="36"/>
  <c r="DY5" i="35"/>
  <c r="BM5" i="35"/>
  <c r="CN5" i="38"/>
  <c r="AB5" i="38"/>
  <c r="DN4" i="38"/>
  <c r="BB4" i="38"/>
  <c r="EN5" i="37"/>
  <c r="CB5" i="37"/>
  <c r="P5" i="37"/>
  <c r="DB4" i="37"/>
  <c r="AP4" i="37"/>
  <c r="EB5" i="36"/>
  <c r="BP5" i="36"/>
  <c r="D5" i="36"/>
  <c r="CP4" i="36"/>
  <c r="AD4" i="36"/>
  <c r="DP5" i="35"/>
  <c r="EQ5" i="38"/>
  <c r="CE5" i="38"/>
  <c r="S5" i="38"/>
  <c r="DE4" i="38"/>
  <c r="AS4" i="38"/>
  <c r="EE5" i="37"/>
  <c r="BS5" i="37"/>
  <c r="G5" i="37"/>
  <c r="CS4" i="37"/>
  <c r="AG4" i="37"/>
  <c r="DK5" i="36"/>
  <c r="AY5" i="36"/>
  <c r="EK4" i="36"/>
  <c r="BY4" i="36"/>
  <c r="EH5" i="38"/>
  <c r="DZ5" i="38"/>
  <c r="BN5" i="38"/>
  <c r="B5" i="38"/>
  <c r="CN4" i="38"/>
  <c r="AB4" i="38"/>
  <c r="DN5" i="37"/>
  <c r="BB5" i="37"/>
  <c r="EN4" i="37"/>
  <c r="CB4" i="37"/>
  <c r="P4" i="37"/>
  <c r="DB5" i="36"/>
  <c r="AP5" i="36"/>
  <c r="EB4" i="36"/>
  <c r="BP4" i="36"/>
  <c r="D4" i="36"/>
  <c r="CP5" i="35"/>
  <c r="DQ5" i="38"/>
  <c r="BE5" i="38"/>
  <c r="EQ4" i="38"/>
  <c r="CE4" i="38"/>
  <c r="S4" i="38"/>
  <c r="DE5" i="37"/>
  <c r="AS5" i="37"/>
  <c r="EE4" i="37"/>
  <c r="BS4" i="37"/>
  <c r="G4" i="37"/>
  <c r="CS5" i="36"/>
  <c r="AG5" i="36"/>
  <c r="DS4" i="36"/>
  <c r="BG4" i="36"/>
  <c r="ES5" i="35"/>
  <c r="CG5" i="35"/>
  <c r="DH5" i="38"/>
  <c r="AV5" i="38"/>
  <c r="EH4" i="38"/>
  <c r="BV4" i="38"/>
  <c r="J4" i="38"/>
  <c r="CV5" i="37"/>
  <c r="AJ5" i="37"/>
  <c r="DV4" i="37"/>
  <c r="BJ4" i="37"/>
  <c r="EV5" i="36"/>
  <c r="CJ5" i="36"/>
  <c r="X5" i="36"/>
  <c r="DJ4" i="36"/>
  <c r="AX4" i="36"/>
  <c r="EJ5" i="35"/>
  <c r="BX5" i="35"/>
  <c r="CY5" i="38"/>
  <c r="AM5" i="38"/>
  <c r="DY4" i="38"/>
  <c r="BM4" i="38"/>
  <c r="EQ5" i="37"/>
  <c r="CE5" i="37"/>
  <c r="S5" i="37"/>
  <c r="DE4" i="37"/>
  <c r="AS4" i="37"/>
  <c r="EE5" i="36"/>
  <c r="CP5" i="38"/>
  <c r="AD5" i="38"/>
  <c r="DP4" i="38"/>
  <c r="BD4" i="38"/>
  <c r="EP5" i="37"/>
  <c r="CD5" i="37"/>
  <c r="R5" i="37"/>
  <c r="DD4" i="37"/>
  <c r="AR4" i="37"/>
  <c r="ED5" i="36"/>
  <c r="BR5" i="36"/>
  <c r="F5" i="36"/>
  <c r="CR4" i="36"/>
  <c r="AF4" i="36"/>
  <c r="DR5" i="35"/>
  <c r="ES5" i="38"/>
  <c r="CG5" i="38"/>
  <c r="U5" i="38"/>
  <c r="DG4" i="38"/>
  <c r="AU4" i="38"/>
  <c r="EG5" i="37"/>
  <c r="BU5" i="37"/>
  <c r="I5" i="37"/>
  <c r="CU4" i="37"/>
  <c r="AI4" i="37"/>
  <c r="DU5" i="36"/>
  <c r="BI5" i="36"/>
  <c r="EU4" i="36"/>
  <c r="CI4" i="36"/>
  <c r="W4" i="36"/>
  <c r="DI5" i="35"/>
  <c r="EJ5" i="38"/>
  <c r="BX5" i="38"/>
  <c r="L5" i="38"/>
  <c r="CX4" i="38"/>
  <c r="AL4" i="38"/>
  <c r="DX5" i="37"/>
  <c r="BL5" i="37"/>
  <c r="EX4" i="37"/>
  <c r="CL4" i="37"/>
  <c r="Z4" i="37"/>
  <c r="DL5" i="36"/>
  <c r="AZ5" i="36"/>
  <c r="EL4" i="36"/>
  <c r="BZ4" i="36"/>
  <c r="N4" i="36"/>
  <c r="CZ5" i="35"/>
  <c r="EA5" i="38"/>
  <c r="BO5" i="38"/>
  <c r="C5" i="38"/>
  <c r="CO4" i="38"/>
  <c r="AC4" i="38"/>
  <c r="DO5" i="37"/>
  <c r="BC5" i="37"/>
  <c r="EO4" i="37"/>
  <c r="CC4" i="37"/>
  <c r="Q4" i="37"/>
  <c r="CU5" i="36"/>
  <c r="AI5" i="36"/>
  <c r="DU4" i="36"/>
  <c r="BI4" i="36"/>
  <c r="CK4" i="36"/>
  <c r="AJ5" i="35"/>
  <c r="DV4" i="35"/>
  <c r="BJ4" i="35"/>
  <c r="EV5" i="34"/>
  <c r="CJ5" i="34"/>
  <c r="X5" i="34"/>
  <c r="DJ4" i="34"/>
  <c r="DR5" i="38"/>
  <c r="BF5" i="38"/>
  <c r="ER4" i="38"/>
  <c r="CF4" i="38"/>
  <c r="T4" i="38"/>
  <c r="DF5" i="37"/>
  <c r="AT5" i="37"/>
  <c r="EF4" i="37"/>
  <c r="BT4" i="37"/>
  <c r="H4" i="37"/>
  <c r="CT5" i="36"/>
  <c r="AH5" i="36"/>
  <c r="DT4" i="36"/>
  <c r="BH4" i="36"/>
  <c r="ET5" i="35"/>
  <c r="CH5" i="35"/>
  <c r="DI5" i="38"/>
  <c r="AW5" i="38"/>
  <c r="EI4" i="38"/>
  <c r="BW4" i="38"/>
  <c r="K4" i="38"/>
  <c r="CW5" i="37"/>
  <c r="AK5" i="37"/>
  <c r="DW4" i="37"/>
  <c r="BK4" i="37"/>
  <c r="EW5" i="36"/>
  <c r="CK5" i="36"/>
  <c r="Y5" i="36"/>
  <c r="DK4" i="36"/>
  <c r="AY4" i="36"/>
  <c r="EK5" i="35"/>
  <c r="BY5" i="35"/>
  <c r="CZ5" i="38"/>
  <c r="AN5" i="38"/>
  <c r="DZ4" i="38"/>
  <c r="BN4" i="38"/>
  <c r="B4" i="38"/>
  <c r="CN5" i="37"/>
  <c r="AB5" i="37"/>
  <c r="DN4" i="37"/>
  <c r="BB4" i="37"/>
  <c r="EN5" i="36"/>
  <c r="CB5" i="36"/>
  <c r="P5" i="36"/>
  <c r="DB4" i="36"/>
  <c r="AP4" i="36"/>
  <c r="EB5" i="35"/>
  <c r="BP5" i="35"/>
  <c r="CQ5" i="38"/>
  <c r="AE5" i="38"/>
  <c r="DQ4" i="38"/>
  <c r="BE4" i="38"/>
  <c r="EI5" i="37"/>
  <c r="BW5" i="37"/>
  <c r="K5" i="37"/>
  <c r="CW4" i="37"/>
  <c r="AK4" i="37"/>
  <c r="ET5" i="38"/>
  <c r="CH5" i="38"/>
  <c r="V5" i="38"/>
  <c r="DH4" i="38"/>
  <c r="AV4" i="38"/>
  <c r="EH5" i="37"/>
  <c r="BV5" i="37"/>
  <c r="J5" i="37"/>
  <c r="CV4" i="37"/>
  <c r="AJ4" i="37"/>
  <c r="DV5" i="36"/>
  <c r="BJ5" i="36"/>
  <c r="EV4" i="36"/>
  <c r="CJ4" i="36"/>
  <c r="X4" i="36"/>
  <c r="DJ5" i="35"/>
  <c r="EK5" i="38"/>
  <c r="BY5" i="38"/>
  <c r="M5" i="38"/>
  <c r="CY4" i="38"/>
  <c r="AM4" i="38"/>
  <c r="DY5" i="37"/>
  <c r="BM5" i="37"/>
  <c r="A5" i="37"/>
  <c r="CM4" i="37"/>
  <c r="AA4" i="37"/>
  <c r="DM5" i="36"/>
  <c r="BA5" i="36"/>
  <c r="EM4" i="36"/>
  <c r="CA4" i="36"/>
  <c r="O4" i="36"/>
  <c r="DA5" i="35"/>
  <c r="EB5" i="38"/>
  <c r="BP5" i="38"/>
  <c r="D5" i="38"/>
  <c r="CP4" i="38"/>
  <c r="AD4" i="38"/>
  <c r="DP5" i="37"/>
  <c r="BD5" i="37"/>
  <c r="EP4" i="37"/>
  <c r="CD4" i="37"/>
  <c r="R4" i="37"/>
  <c r="DD5" i="36"/>
  <c r="AR5" i="36"/>
  <c r="ED4" i="36"/>
  <c r="BR4" i="36"/>
  <c r="F4" i="36"/>
  <c r="CR5" i="35"/>
  <c r="DS5" i="38"/>
  <c r="BG5" i="38"/>
  <c r="ES4" i="38"/>
  <c r="CG4" i="38"/>
  <c r="U4" i="38"/>
  <c r="DG5" i="37"/>
  <c r="AU5" i="37"/>
  <c r="EG4" i="37"/>
  <c r="BU4" i="37"/>
  <c r="I4" i="37"/>
  <c r="CM5" i="36"/>
  <c r="AA5" i="36"/>
  <c r="DM4" i="36"/>
  <c r="BA4" i="36"/>
  <c r="Y4" i="36"/>
  <c r="AB5" i="35"/>
  <c r="DN4" i="35"/>
  <c r="BB4" i="35"/>
  <c r="EN5" i="34"/>
  <c r="CB5" i="34"/>
  <c r="P5" i="34"/>
  <c r="DB4" i="34"/>
  <c r="DJ5" i="38"/>
  <c r="AX5" i="38"/>
  <c r="EJ4" i="38"/>
  <c r="BX4" i="38"/>
  <c r="L4" i="38"/>
  <c r="CX5" i="37"/>
  <c r="AL5" i="37"/>
  <c r="DX4" i="37"/>
  <c r="BL4" i="37"/>
  <c r="EX5" i="36"/>
  <c r="CL5" i="36"/>
  <c r="Z5" i="36"/>
  <c r="DL4" i="36"/>
  <c r="AZ4" i="36"/>
  <c r="EL5" i="35"/>
  <c r="BZ5" i="35"/>
  <c r="DA5" i="38"/>
  <c r="AO5" i="38"/>
  <c r="EA4" i="38"/>
  <c r="BO4" i="38"/>
  <c r="C4" i="38"/>
  <c r="CO5" i="37"/>
  <c r="AC5" i="37"/>
  <c r="DO4" i="37"/>
  <c r="BC4" i="37"/>
  <c r="EO5" i="36"/>
  <c r="CC5" i="36"/>
  <c r="Q5" i="36"/>
  <c r="DC4" i="36"/>
  <c r="AQ4" i="36"/>
  <c r="EC5" i="35"/>
  <c r="BQ5" i="35"/>
  <c r="CR5" i="38"/>
  <c r="AF5" i="38"/>
  <c r="DR4" i="38"/>
  <c r="BF4" i="38"/>
  <c r="ER5" i="37"/>
  <c r="CF5" i="37"/>
  <c r="T5" i="37"/>
  <c r="DF4" i="37"/>
  <c r="AT4" i="37"/>
  <c r="EF5" i="36"/>
  <c r="BT5" i="36"/>
  <c r="H5" i="36"/>
  <c r="CT4" i="36"/>
  <c r="AH4" i="36"/>
  <c r="DT5" i="35"/>
  <c r="EU5" i="38"/>
  <c r="CI5" i="38"/>
  <c r="W5" i="38"/>
  <c r="DI4" i="38"/>
  <c r="AW4" i="38"/>
  <c r="EA5" i="37"/>
  <c r="BO5" i="37"/>
  <c r="C5" i="37"/>
  <c r="CO4" i="37"/>
  <c r="AC4" i="37"/>
  <c r="EL5" i="38"/>
  <c r="BZ5" i="38"/>
  <c r="N5" i="38"/>
  <c r="CZ4" i="38"/>
  <c r="AN4" i="38"/>
  <c r="DZ5" i="37"/>
  <c r="BN5" i="37"/>
  <c r="B5" i="37"/>
  <c r="CN4" i="37"/>
  <c r="AB4" i="37"/>
  <c r="DN5" i="36"/>
  <c r="BB5" i="36"/>
  <c r="EN4" i="36"/>
  <c r="CB4" i="36"/>
  <c r="P4" i="36"/>
  <c r="DB5" i="35"/>
  <c r="EC5" i="38"/>
  <c r="BQ5" i="38"/>
  <c r="E5" i="38"/>
  <c r="CQ4" i="38"/>
  <c r="AE4" i="38"/>
  <c r="DQ5" i="37"/>
  <c r="BE5" i="37"/>
  <c r="EQ4" i="37"/>
  <c r="CE4" i="37"/>
  <c r="S4" i="37"/>
  <c r="DE5" i="36"/>
  <c r="AS5" i="36"/>
  <c r="EE4" i="36"/>
  <c r="BS4" i="36"/>
  <c r="G4" i="36"/>
  <c r="CS5" i="35"/>
  <c r="DT5" i="38"/>
  <c r="BH5" i="38"/>
  <c r="ET4" i="38"/>
  <c r="CH4" i="38"/>
  <c r="V4" i="38"/>
  <c r="DH5" i="37"/>
  <c r="AV5" i="37"/>
  <c r="EH4" i="37"/>
  <c r="BV4" i="37"/>
  <c r="J4" i="37"/>
  <c r="CV5" i="36"/>
  <c r="AJ5" i="36"/>
  <c r="DV4" i="36"/>
  <c r="BJ4" i="36"/>
  <c r="EV5" i="35"/>
  <c r="CJ5" i="35"/>
  <c r="DK5" i="38"/>
  <c r="AY5" i="38"/>
  <c r="EK4" i="38"/>
  <c r="BY4" i="38"/>
  <c r="M4" i="38"/>
  <c r="CY5" i="37"/>
  <c r="AM5" i="37"/>
  <c r="DY4" i="37"/>
  <c r="BM4" i="37"/>
  <c r="EQ5" i="36"/>
  <c r="CE5" i="36"/>
  <c r="S5" i="36"/>
  <c r="DE4" i="36"/>
  <c r="AS4" i="36"/>
  <c r="EQ5" i="35"/>
  <c r="T5" i="35"/>
  <c r="DF4" i="35"/>
  <c r="AT4" i="35"/>
  <c r="EF5" i="34"/>
  <c r="BT5" i="34"/>
  <c r="H5" i="34"/>
  <c r="CT4" i="34"/>
  <c r="DB5" i="38"/>
  <c r="AP5" i="38"/>
  <c r="EB4" i="38"/>
  <c r="BP4" i="38"/>
  <c r="D4" i="38"/>
  <c r="CP5" i="37"/>
  <c r="AD5" i="37"/>
  <c r="DP4" i="37"/>
  <c r="BD4" i="37"/>
  <c r="EP5" i="36"/>
  <c r="CD5" i="36"/>
  <c r="R5" i="36"/>
  <c r="DD4" i="36"/>
  <c r="AR4" i="36"/>
  <c r="ED5" i="35"/>
  <c r="BR5" i="35"/>
  <c r="CS5" i="38"/>
  <c r="AG5" i="38"/>
  <c r="DS4" i="38"/>
  <c r="BG4" i="38"/>
  <c r="ES5" i="37"/>
  <c r="CG5" i="37"/>
  <c r="U5" i="37"/>
  <c r="DG4" i="37"/>
  <c r="AU4" i="37"/>
  <c r="EG5" i="36"/>
  <c r="BU5" i="36"/>
  <c r="I5" i="36"/>
  <c r="CU4" i="36"/>
  <c r="AI4" i="36"/>
  <c r="DU5" i="35"/>
  <c r="EV5" i="38"/>
  <c r="CJ5" i="38"/>
  <c r="X5" i="38"/>
  <c r="DJ4" i="38"/>
  <c r="AX4" i="38"/>
  <c r="EJ5" i="37"/>
  <c r="BX5" i="37"/>
  <c r="L5" i="37"/>
  <c r="CX4" i="37"/>
  <c r="AL4" i="37"/>
  <c r="DX5" i="36"/>
  <c r="BL5" i="36"/>
  <c r="EX4" i="36"/>
  <c r="CL4" i="36"/>
  <c r="Z4" i="36"/>
  <c r="DL5" i="35"/>
  <c r="EM5" i="38"/>
  <c r="CA5" i="38"/>
  <c r="O5" i="38"/>
  <c r="DA4" i="38"/>
  <c r="AO4" i="38"/>
  <c r="DS5" i="37"/>
  <c r="BG5" i="37"/>
  <c r="ES4" i="37"/>
  <c r="CG4" i="37"/>
  <c r="U4" i="37"/>
  <c r="ED5" i="38"/>
  <c r="BR5" i="38"/>
  <c r="F5" i="38"/>
  <c r="CR4" i="38"/>
  <c r="AF4" i="38"/>
  <c r="DR5" i="37"/>
  <c r="BF5" i="37"/>
  <c r="ER4" i="37"/>
  <c r="CF4" i="37"/>
  <c r="T4" i="37"/>
  <c r="DF5" i="36"/>
  <c r="AT5" i="36"/>
  <c r="EF4" i="36"/>
  <c r="BT4" i="36"/>
  <c r="H4" i="36"/>
  <c r="CT5" i="35"/>
  <c r="DU5" i="38"/>
  <c r="BI5" i="38"/>
  <c r="EU4" i="38"/>
  <c r="CI4" i="38"/>
  <c r="W4" i="38"/>
  <c r="DI5" i="37"/>
  <c r="AW5" i="37"/>
  <c r="EI4" i="37"/>
  <c r="BW4" i="37"/>
  <c r="K4" i="37"/>
  <c r="CW5" i="36"/>
  <c r="AK5" i="36"/>
  <c r="DW4" i="36"/>
  <c r="BK4" i="36"/>
  <c r="EW5" i="35"/>
  <c r="CK5" i="35"/>
  <c r="DL5" i="38"/>
  <c r="AZ5" i="38"/>
  <c r="EL4" i="38"/>
  <c r="BZ4" i="38"/>
  <c r="N4" i="38"/>
  <c r="CZ5" i="37"/>
  <c r="AN5" i="37"/>
  <c r="DZ4" i="37"/>
  <c r="BN4" i="37"/>
  <c r="B4" i="37"/>
  <c r="CN5" i="36"/>
  <c r="AB5" i="36"/>
  <c r="CT5" i="38"/>
  <c r="AH5" i="38"/>
  <c r="DT4" i="38"/>
  <c r="BH4" i="38"/>
  <c r="ET5" i="37"/>
  <c r="CH5" i="37"/>
  <c r="V5" i="37"/>
  <c r="DH4" i="37"/>
  <c r="AV4" i="37"/>
  <c r="EH5" i="36"/>
  <c r="BV5" i="36"/>
  <c r="J5" i="36"/>
  <c r="CV4" i="36"/>
  <c r="AJ4" i="36"/>
  <c r="DV5" i="35"/>
  <c r="EW5" i="38"/>
  <c r="CK5" i="38"/>
  <c r="Y5" i="38"/>
  <c r="DK4" i="38"/>
  <c r="AY4" i="38"/>
  <c r="EK5" i="37"/>
  <c r="BY5" i="37"/>
  <c r="M5" i="37"/>
  <c r="CY4" i="37"/>
  <c r="AM4" i="37"/>
  <c r="DY5" i="36"/>
  <c r="BM5" i="36"/>
  <c r="A5" i="36"/>
  <c r="CM4" i="36"/>
  <c r="AA4" i="36"/>
  <c r="DM5" i="35"/>
  <c r="EN5" i="38"/>
  <c r="CB5" i="38"/>
  <c r="P5" i="38"/>
  <c r="DB4" i="38"/>
  <c r="AP4" i="38"/>
  <c r="EB5" i="37"/>
  <c r="BP5" i="37"/>
  <c r="D5" i="37"/>
  <c r="CP4" i="37"/>
  <c r="AD4" i="37"/>
  <c r="DP5" i="36"/>
  <c r="BD5" i="36"/>
  <c r="EP4" i="36"/>
  <c r="CD4" i="36"/>
  <c r="R4" i="36"/>
  <c r="DD5" i="35"/>
  <c r="EE5" i="38"/>
  <c r="BS5" i="38"/>
  <c r="G5" i="38"/>
  <c r="CS4" i="38"/>
  <c r="AG4" i="38"/>
  <c r="DK5" i="37"/>
  <c r="AY5" i="37"/>
  <c r="EK4" i="37"/>
  <c r="BY4" i="37"/>
  <c r="M4" i="37"/>
  <c r="DV5" i="38"/>
  <c r="BJ5" i="38"/>
  <c r="EV4" i="38"/>
  <c r="CJ4" i="38"/>
  <c r="X4" i="38"/>
  <c r="DJ5" i="37"/>
  <c r="AX5" i="37"/>
  <c r="EJ4" i="37"/>
  <c r="BX4" i="37"/>
  <c r="L4" i="37"/>
  <c r="CX5" i="36"/>
  <c r="AL5" i="36"/>
  <c r="DX4" i="36"/>
  <c r="BL4" i="36"/>
  <c r="EX5" i="35"/>
  <c r="CL5" i="35"/>
  <c r="DM5" i="38"/>
  <c r="BA5" i="38"/>
  <c r="EM4" i="38"/>
  <c r="CA4" i="38"/>
  <c r="O4" i="38"/>
  <c r="DA5" i="37"/>
  <c r="AO5" i="37"/>
  <c r="EA4" i="37"/>
  <c r="BO4" i="37"/>
  <c r="C4" i="37"/>
  <c r="CO5" i="36"/>
  <c r="AC5" i="36"/>
  <c r="DO4" i="36"/>
  <c r="BC4" i="36"/>
  <c r="EO5" i="35"/>
  <c r="CC5" i="35"/>
  <c r="DD5" i="38"/>
  <c r="AR5" i="38"/>
  <c r="ED4" i="38"/>
  <c r="BR4" i="38"/>
  <c r="F4" i="38"/>
  <c r="CR5" i="37"/>
  <c r="AF5" i="37"/>
  <c r="DR4" i="37"/>
  <c r="BF4" i="37"/>
  <c r="ER5" i="36"/>
  <c r="CF5" i="36"/>
  <c r="T5" i="36"/>
  <c r="DF4" i="36"/>
  <c r="AT4" i="36"/>
  <c r="EF5" i="35"/>
  <c r="BT5" i="35"/>
  <c r="CU5" i="38"/>
  <c r="AI5" i="38"/>
  <c r="DU4" i="38"/>
  <c r="BI4" i="38"/>
  <c r="EU5" i="37"/>
  <c r="CI5" i="37"/>
  <c r="W5" i="37"/>
  <c r="DI4" i="37"/>
  <c r="AW4" i="37"/>
  <c r="EA5" i="36"/>
  <c r="BO5" i="36"/>
  <c r="C5" i="36"/>
  <c r="CO4" i="36"/>
  <c r="AC4" i="36"/>
  <c r="CE5" i="35"/>
  <c r="D5" i="35"/>
  <c r="CP4" i="35"/>
  <c r="AD4" i="35"/>
  <c r="DP5" i="34"/>
  <c r="BD5" i="34"/>
  <c r="EP4" i="34"/>
  <c r="CD4" i="34"/>
  <c r="BV5" i="38"/>
  <c r="X4" i="37"/>
  <c r="BM5" i="38"/>
  <c r="O4" i="37"/>
  <c r="BD5" i="38"/>
  <c r="F4" i="37"/>
  <c r="AU5" i="38"/>
  <c r="EM5" i="36"/>
  <c r="DL4" i="37"/>
  <c r="BN5" i="35"/>
  <c r="DC4" i="37"/>
  <c r="ER5" i="38"/>
  <c r="CT4" i="37"/>
  <c r="V4" i="36"/>
  <c r="K5" i="38"/>
  <c r="BK5" i="37"/>
  <c r="DC5" i="36"/>
  <c r="BK5" i="36"/>
  <c r="EL4" i="35"/>
  <c r="N4" i="35"/>
  <c r="AN5" i="34"/>
  <c r="BN4" i="34"/>
  <c r="B4" i="34"/>
  <c r="CN5" i="33"/>
  <c r="AB5" i="33"/>
  <c r="DN4" i="33"/>
  <c r="BB4" i="33"/>
  <c r="EN5" i="32"/>
  <c r="CB5" i="32"/>
  <c r="EO4" i="36"/>
  <c r="AQ5" i="35"/>
  <c r="EC4" i="35"/>
  <c r="BQ4" i="35"/>
  <c r="E4" i="35"/>
  <c r="CQ5" i="34"/>
  <c r="AE5" i="34"/>
  <c r="DQ4" i="34"/>
  <c r="BE4" i="34"/>
  <c r="EI5" i="33"/>
  <c r="BW5" i="33"/>
  <c r="K5" i="33"/>
  <c r="CW4" i="33"/>
  <c r="AK4" i="33"/>
  <c r="DW5" i="32"/>
  <c r="BK5" i="32"/>
  <c r="DC5" i="35"/>
  <c r="J5" i="35"/>
  <c r="CV4" i="35"/>
  <c r="AJ4" i="35"/>
  <c r="DV5" i="34"/>
  <c r="BJ5" i="34"/>
  <c r="EV4" i="34"/>
  <c r="CJ4" i="34"/>
  <c r="X4" i="34"/>
  <c r="DJ5" i="33"/>
  <c r="AX5" i="33"/>
  <c r="EJ4" i="33"/>
  <c r="BX4" i="33"/>
  <c r="L4" i="33"/>
  <c r="CX5" i="32"/>
  <c r="CY5" i="36"/>
  <c r="BE5" i="35"/>
  <c r="EQ4" i="35"/>
  <c r="CE4" i="35"/>
  <c r="S4" i="35"/>
  <c r="DE5" i="34"/>
  <c r="AS5" i="34"/>
  <c r="EE4" i="34"/>
  <c r="BS4" i="34"/>
  <c r="G4" i="34"/>
  <c r="CS5" i="33"/>
  <c r="AG5" i="33"/>
  <c r="DS4" i="33"/>
  <c r="BG4" i="33"/>
  <c r="ES5" i="32"/>
  <c r="CG5" i="32"/>
  <c r="DQ4" i="36"/>
  <c r="AN5" i="35"/>
  <c r="DZ4" i="35"/>
  <c r="BN4" i="35"/>
  <c r="B4" i="35"/>
  <c r="CN5" i="34"/>
  <c r="AB5" i="34"/>
  <c r="DN4" i="34"/>
  <c r="BB4" i="34"/>
  <c r="EN5" i="33"/>
  <c r="CB5" i="33"/>
  <c r="P5" i="33"/>
  <c r="DB4" i="33"/>
  <c r="AP4" i="33"/>
  <c r="EB5" i="32"/>
  <c r="BP5" i="32"/>
  <c r="AW4" i="36"/>
  <c r="AE5" i="35"/>
  <c r="DQ4" i="35"/>
  <c r="BE4" i="35"/>
  <c r="EI5" i="34"/>
  <c r="BW5" i="34"/>
  <c r="K5" i="34"/>
  <c r="CW4" i="34"/>
  <c r="AK4" i="34"/>
  <c r="DW5" i="33"/>
  <c r="BK5" i="33"/>
  <c r="EW4" i="33"/>
  <c r="CK4" i="33"/>
  <c r="Y4" i="33"/>
  <c r="DC5" i="32"/>
  <c r="BB5" i="35"/>
  <c r="EN4" i="35"/>
  <c r="CB4" i="35"/>
  <c r="P4" i="35"/>
  <c r="DB5" i="34"/>
  <c r="AP5" i="34"/>
  <c r="EB4" i="34"/>
  <c r="BP4" i="34"/>
  <c r="D4" i="34"/>
  <c r="CP5" i="33"/>
  <c r="AD5" i="33"/>
  <c r="DP4" i="33"/>
  <c r="BD4" i="33"/>
  <c r="EP5" i="32"/>
  <c r="CD5" i="32"/>
  <c r="EU5" i="35"/>
  <c r="U5" i="35"/>
  <c r="DG4" i="35"/>
  <c r="AU4" i="35"/>
  <c r="EG5" i="34"/>
  <c r="J5" i="38"/>
  <c r="DJ5" i="36"/>
  <c r="A5" i="38"/>
  <c r="DA5" i="36"/>
  <c r="EP4" i="38"/>
  <c r="CR5" i="36"/>
  <c r="EG4" i="38"/>
  <c r="CX5" i="38"/>
  <c r="AZ4" i="37"/>
  <c r="CO5" i="38"/>
  <c r="AQ4" i="37"/>
  <c r="CF5" i="38"/>
  <c r="AH4" i="37"/>
  <c r="EN5" i="35"/>
  <c r="EC4" i="38"/>
  <c r="AE5" i="37"/>
  <c r="BW5" i="36"/>
  <c r="EW4" i="36"/>
  <c r="ED4" i="35"/>
  <c r="F4" i="35"/>
  <c r="AF5" i="34"/>
  <c r="BF4" i="34"/>
  <c r="ER5" i="33"/>
  <c r="CF5" i="33"/>
  <c r="T5" i="33"/>
  <c r="DF4" i="33"/>
  <c r="AT4" i="33"/>
  <c r="EF5" i="32"/>
  <c r="BT5" i="32"/>
  <c r="CC4" i="36"/>
  <c r="AI5" i="35"/>
  <c r="DU4" i="35"/>
  <c r="BI4" i="35"/>
  <c r="EU5" i="34"/>
  <c r="CI5" i="34"/>
  <c r="W5" i="34"/>
  <c r="DI4" i="34"/>
  <c r="AW4" i="34"/>
  <c r="EA5" i="33"/>
  <c r="BO5" i="33"/>
  <c r="C5" i="33"/>
  <c r="CO4" i="33"/>
  <c r="AC4" i="33"/>
  <c r="DO5" i="32"/>
  <c r="BC5" i="32"/>
  <c r="BW5" i="35"/>
  <c r="B5" i="35"/>
  <c r="CN4" i="35"/>
  <c r="AB4" i="35"/>
  <c r="DN5" i="34"/>
  <c r="BB5" i="34"/>
  <c r="EN4" i="34"/>
  <c r="CB4" i="34"/>
  <c r="P4" i="34"/>
  <c r="DB5" i="33"/>
  <c r="AP5" i="33"/>
  <c r="EB4" i="33"/>
  <c r="BP4" i="33"/>
  <c r="D4" i="33"/>
  <c r="CP5" i="32"/>
  <c r="AM5" i="36"/>
  <c r="AW5" i="35"/>
  <c r="EI4" i="35"/>
  <c r="BW4" i="35"/>
  <c r="K4" i="35"/>
  <c r="CW5" i="34"/>
  <c r="AK5" i="34"/>
  <c r="DW4" i="34"/>
  <c r="BK4" i="34"/>
  <c r="EW5" i="33"/>
  <c r="CK5" i="33"/>
  <c r="Y5" i="33"/>
  <c r="DK4" i="33"/>
  <c r="AY4" i="33"/>
  <c r="EK5" i="32"/>
  <c r="BY5" i="32"/>
  <c r="BE4" i="36"/>
  <c r="AF5" i="35"/>
  <c r="DR4" i="35"/>
  <c r="BF4" i="35"/>
  <c r="ER5" i="34"/>
  <c r="CF5" i="34"/>
  <c r="T5" i="34"/>
  <c r="DF4" i="34"/>
  <c r="AT4" i="34"/>
  <c r="EF5" i="33"/>
  <c r="BT5" i="33"/>
  <c r="H5" i="33"/>
  <c r="CT4" i="33"/>
  <c r="AH4" i="33"/>
  <c r="DT5" i="32"/>
  <c r="BH5" i="32"/>
  <c r="E4" i="36"/>
  <c r="W5" i="35"/>
  <c r="DI4" i="35"/>
  <c r="AW4" i="35"/>
  <c r="EA5" i="34"/>
  <c r="BO5" i="34"/>
  <c r="C5" i="34"/>
  <c r="CO4" i="34"/>
  <c r="AC4" i="34"/>
  <c r="DO5" i="33"/>
  <c r="BC5" i="33"/>
  <c r="EO4" i="33"/>
  <c r="CC4" i="33"/>
  <c r="Q4" i="33"/>
  <c r="CA5" i="36"/>
  <c r="AT5" i="35"/>
  <c r="EF4" i="35"/>
  <c r="BT4" i="35"/>
  <c r="H4" i="35"/>
  <c r="CT5" i="34"/>
  <c r="AH5" i="34"/>
  <c r="DT4" i="34"/>
  <c r="BH4" i="34"/>
  <c r="ET5" i="33"/>
  <c r="CH5" i="33"/>
  <c r="V5" i="33"/>
  <c r="DH4" i="33"/>
  <c r="AV4" i="33"/>
  <c r="EH5" i="32"/>
  <c r="BV5" i="32"/>
  <c r="DO5" i="35"/>
  <c r="M5" i="35"/>
  <c r="CY4" i="35"/>
  <c r="AM4" i="35"/>
  <c r="DY5" i="34"/>
  <c r="CV4" i="38"/>
  <c r="AX5" i="36"/>
  <c r="CM4" i="38"/>
  <c r="AO5" i="36"/>
  <c r="CD4" i="38"/>
  <c r="AF5" i="36"/>
  <c r="BU4" i="38"/>
  <c r="AL5" i="38"/>
  <c r="EL5" i="36"/>
  <c r="AC5" i="38"/>
  <c r="EC5" i="36"/>
  <c r="T5" i="38"/>
  <c r="DT5" i="36"/>
  <c r="DH5" i="35"/>
  <c r="CW4" i="38"/>
  <c r="EW4" i="37"/>
  <c r="AQ5" i="36"/>
  <c r="DK5" i="35"/>
  <c r="CX4" i="35"/>
  <c r="DX5" i="34"/>
  <c r="EX4" i="34"/>
  <c r="AX4" i="34"/>
  <c r="EJ5" i="33"/>
  <c r="BX5" i="33"/>
  <c r="L5" i="33"/>
  <c r="CX4" i="33"/>
  <c r="AL4" i="33"/>
  <c r="DX5" i="32"/>
  <c r="BL5" i="32"/>
  <c r="U4" i="36"/>
  <c r="AA5" i="35"/>
  <c r="DM4" i="35"/>
  <c r="BA4" i="35"/>
  <c r="EM5" i="34"/>
  <c r="CA5" i="34"/>
  <c r="O5" i="34"/>
  <c r="DA4" i="34"/>
  <c r="AO4" i="34"/>
  <c r="DS5" i="33"/>
  <c r="BG5" i="33"/>
  <c r="ES4" i="33"/>
  <c r="CG4" i="33"/>
  <c r="U4" i="33"/>
  <c r="DG5" i="32"/>
  <c r="DG5" i="36"/>
  <c r="BF5" i="35"/>
  <c r="ER4" i="35"/>
  <c r="CF4" i="35"/>
  <c r="T4" i="35"/>
  <c r="DF5" i="34"/>
  <c r="AT5" i="34"/>
  <c r="EF4" i="34"/>
  <c r="BT4" i="34"/>
  <c r="H4" i="34"/>
  <c r="CT5" i="33"/>
  <c r="AH5" i="33"/>
  <c r="DT4" i="33"/>
  <c r="BH4" i="33"/>
  <c r="ET5" i="32"/>
  <c r="CH5" i="32"/>
  <c r="DY4" i="36"/>
  <c r="AO5" i="35"/>
  <c r="EA4" i="35"/>
  <c r="BO4" i="35"/>
  <c r="C4" i="35"/>
  <c r="CO5" i="34"/>
  <c r="AC5" i="34"/>
  <c r="DO4" i="34"/>
  <c r="BC4" i="34"/>
  <c r="EO5" i="33"/>
  <c r="CC5" i="33"/>
  <c r="Q5" i="33"/>
  <c r="DC4" i="33"/>
  <c r="AQ4" i="33"/>
  <c r="EC5" i="32"/>
  <c r="BQ5" i="32"/>
  <c r="I4" i="36"/>
  <c r="X5" i="35"/>
  <c r="DJ4" i="35"/>
  <c r="AX4" i="35"/>
  <c r="EJ5" i="34"/>
  <c r="BX5" i="34"/>
  <c r="L5" i="34"/>
  <c r="CX4" i="34"/>
  <c r="AL4" i="34"/>
  <c r="DX5" i="33"/>
  <c r="BL5" i="33"/>
  <c r="EX4" i="33"/>
  <c r="CL4" i="33"/>
  <c r="Z4" i="33"/>
  <c r="DL5" i="32"/>
  <c r="AZ5" i="32"/>
  <c r="DW5" i="35"/>
  <c r="O5" i="35"/>
  <c r="DA4" i="35"/>
  <c r="AO4" i="35"/>
  <c r="DS5" i="34"/>
  <c r="BG5" i="34"/>
  <c r="ES4" i="34"/>
  <c r="CG4" i="34"/>
  <c r="U4" i="34"/>
  <c r="DG5" i="33"/>
  <c r="AU5" i="33"/>
  <c r="EG4" i="33"/>
  <c r="BU4" i="33"/>
  <c r="I4" i="33"/>
  <c r="O5" i="36"/>
  <c r="AL5" i="35"/>
  <c r="DX4" i="35"/>
  <c r="BL4" i="35"/>
  <c r="EX5" i="34"/>
  <c r="CL5" i="34"/>
  <c r="Z5" i="34"/>
  <c r="DL4" i="34"/>
  <c r="AZ4" i="34"/>
  <c r="EL5" i="33"/>
  <c r="BZ5" i="33"/>
  <c r="N5" i="33"/>
  <c r="CZ4" i="33"/>
  <c r="AN4" i="33"/>
  <c r="DZ5" i="32"/>
  <c r="BN5" i="32"/>
  <c r="CI5" i="35"/>
  <c r="E5" i="35"/>
  <c r="CQ4" i="35"/>
  <c r="AE4" i="35"/>
  <c r="DQ5" i="34"/>
  <c r="AJ4" i="38"/>
  <c r="EJ4" i="36"/>
  <c r="AA4" i="38"/>
  <c r="EA4" i="36"/>
  <c r="R4" i="38"/>
  <c r="DR4" i="36"/>
  <c r="I4" i="38"/>
  <c r="DX4" i="38"/>
  <c r="BZ5" i="36"/>
  <c r="DO4" i="38"/>
  <c r="BQ5" i="36"/>
  <c r="DF4" i="38"/>
  <c r="BH5" i="36"/>
  <c r="CB5" i="35"/>
  <c r="BQ4" i="38"/>
  <c r="DQ4" i="37"/>
  <c r="K5" i="36"/>
  <c r="BH5" i="35"/>
  <c r="CH4" i="35"/>
  <c r="DH5" i="34"/>
  <c r="EH4" i="34"/>
  <c r="AP4" i="34"/>
  <c r="EB5" i="33"/>
  <c r="BP5" i="33"/>
  <c r="D5" i="33"/>
  <c r="CP4" i="33"/>
  <c r="AD4" i="33"/>
  <c r="DP5" i="32"/>
  <c r="BD5" i="32"/>
  <c r="EM5" i="35"/>
  <c r="S5" i="35"/>
  <c r="DE4" i="35"/>
  <c r="AS4" i="35"/>
  <c r="EE5" i="34"/>
  <c r="BS5" i="34"/>
  <c r="G5" i="34"/>
  <c r="CS4" i="34"/>
  <c r="AG4" i="34"/>
  <c r="DK5" i="33"/>
  <c r="AY5" i="33"/>
  <c r="EK4" i="33"/>
  <c r="BY4" i="33"/>
  <c r="M4" i="33"/>
  <c r="CY5" i="32"/>
  <c r="AU5" i="36"/>
  <c r="AX5" i="35"/>
  <c r="EJ4" i="35"/>
  <c r="BX4" i="35"/>
  <c r="L4" i="35"/>
  <c r="CX5" i="34"/>
  <c r="AL5" i="34"/>
  <c r="DX4" i="34"/>
  <c r="BL4" i="34"/>
  <c r="EX5" i="33"/>
  <c r="CL5" i="33"/>
  <c r="Z5" i="33"/>
  <c r="DL4" i="33"/>
  <c r="AZ4" i="33"/>
  <c r="EL5" i="32"/>
  <c r="BZ5" i="32"/>
  <c r="BM4" i="36"/>
  <c r="AG5" i="35"/>
  <c r="DS4" i="35"/>
  <c r="BG4" i="35"/>
  <c r="ES5" i="34"/>
  <c r="CG5" i="34"/>
  <c r="U5" i="34"/>
  <c r="DG4" i="34"/>
  <c r="AU4" i="34"/>
  <c r="EG5" i="33"/>
  <c r="BU5" i="33"/>
  <c r="I5" i="33"/>
  <c r="CU4" i="33"/>
  <c r="AI4" i="33"/>
  <c r="DU5" i="32"/>
  <c r="BI5" i="32"/>
  <c r="EA5" i="35"/>
  <c r="P5" i="35"/>
  <c r="DB4" i="35"/>
  <c r="AP4" i="35"/>
  <c r="EB5" i="34"/>
  <c r="BP5" i="34"/>
  <c r="D5" i="34"/>
  <c r="CP4" i="34"/>
  <c r="AD4" i="34"/>
  <c r="DP5" i="33"/>
  <c r="BD5" i="33"/>
  <c r="EP4" i="33"/>
  <c r="CD4" i="33"/>
  <c r="R4" i="33"/>
  <c r="DD5" i="32"/>
  <c r="AR5" i="32"/>
  <c r="CQ5" i="35"/>
  <c r="G5" i="35"/>
  <c r="CS4" i="35"/>
  <c r="AG4" i="35"/>
  <c r="DK5" i="34"/>
  <c r="AY5" i="34"/>
  <c r="EK4" i="34"/>
  <c r="BY4" i="34"/>
  <c r="M4" i="34"/>
  <c r="CY5" i="33"/>
  <c r="AM5" i="33"/>
  <c r="DY4" i="33"/>
  <c r="BM4" i="33"/>
  <c r="EQ5" i="32"/>
  <c r="DA4" i="36"/>
  <c r="AD5" i="35"/>
  <c r="DP4" i="35"/>
  <c r="BD4" i="35"/>
  <c r="EP5" i="34"/>
  <c r="CD5" i="34"/>
  <c r="R5" i="34"/>
  <c r="DD4" i="34"/>
  <c r="AR4" i="34"/>
  <c r="ED5" i="33"/>
  <c r="BR5" i="33"/>
  <c r="F5" i="33"/>
  <c r="CR4" i="33"/>
  <c r="AF4" i="33"/>
  <c r="DR5" i="32"/>
  <c r="BF5" i="32"/>
  <c r="BI5" i="35"/>
  <c r="EU4" i="35"/>
  <c r="CI4" i="35"/>
  <c r="W4" i="35"/>
  <c r="DI5" i="34"/>
  <c r="DV5" i="37"/>
  <c r="BX4" i="36"/>
  <c r="DM5" i="37"/>
  <c r="BO4" i="36"/>
  <c r="DD5" i="37"/>
  <c r="BF4" i="36"/>
  <c r="CM5" i="37"/>
  <c r="BL4" i="38"/>
  <c r="N5" i="36"/>
  <c r="BC4" i="38"/>
  <c r="E5" i="36"/>
  <c r="AT4" i="38"/>
  <c r="ET4" i="36"/>
  <c r="EI5" i="38"/>
  <c r="AK4" i="38"/>
  <c r="CK4" i="37"/>
  <c r="EC4" i="36"/>
  <c r="AZ5" i="35"/>
  <c r="BZ4" i="35"/>
  <c r="CZ5" i="34"/>
  <c r="DZ4" i="34"/>
  <c r="AH4" i="34"/>
  <c r="DT5" i="33"/>
  <c r="BH5" i="33"/>
  <c r="ET4" i="33"/>
  <c r="CH4" i="33"/>
  <c r="V4" i="33"/>
  <c r="DH5" i="32"/>
  <c r="AV5" i="32"/>
  <c r="DG5" i="35"/>
  <c r="K5" i="35"/>
  <c r="CW4" i="35"/>
  <c r="AK4" i="35"/>
  <c r="DW5" i="34"/>
  <c r="BK5" i="34"/>
  <c r="EW4" i="34"/>
  <c r="CK4" i="34"/>
  <c r="Y4" i="34"/>
  <c r="DC5" i="33"/>
  <c r="AQ5" i="33"/>
  <c r="EC4" i="33"/>
  <c r="BQ4" i="33"/>
  <c r="E4" i="33"/>
  <c r="CQ5" i="32"/>
  <c r="EG4" i="36"/>
  <c r="AP5" i="35"/>
  <c r="EB4" i="35"/>
  <c r="BP4" i="35"/>
  <c r="D4" i="35"/>
  <c r="CP5" i="34"/>
  <c r="AD5" i="34"/>
  <c r="DP4" i="34"/>
  <c r="BD4" i="34"/>
  <c r="EP5" i="33"/>
  <c r="CD5" i="33"/>
  <c r="R5" i="33"/>
  <c r="DD4" i="33"/>
  <c r="AR4" i="33"/>
  <c r="ED5" i="32"/>
  <c r="BR5" i="32"/>
  <c r="M4" i="36"/>
  <c r="Y5" i="35"/>
  <c r="DK4" i="35"/>
  <c r="AY4" i="35"/>
  <c r="EK5" i="34"/>
  <c r="BY5" i="34"/>
  <c r="M5" i="34"/>
  <c r="CY4" i="34"/>
  <c r="AM4" i="34"/>
  <c r="DY5" i="33"/>
  <c r="BM5" i="33"/>
  <c r="A5" i="33"/>
  <c r="CM4" i="33"/>
  <c r="AA4" i="33"/>
  <c r="DM5" i="32"/>
  <c r="BA5" i="32"/>
  <c r="CU5" i="35"/>
  <c r="H5" i="35"/>
  <c r="CT4" i="35"/>
  <c r="AH4" i="35"/>
  <c r="DT5" i="34"/>
  <c r="BH5" i="34"/>
  <c r="ET4" i="34"/>
  <c r="CH4" i="34"/>
  <c r="V4" i="34"/>
  <c r="DH5" i="33"/>
  <c r="AV5" i="33"/>
  <c r="EH4" i="33"/>
  <c r="BV4" i="33"/>
  <c r="J4" i="33"/>
  <c r="CV5" i="32"/>
  <c r="AJ5" i="32"/>
  <c r="BK5" i="35"/>
  <c r="EW4" i="35"/>
  <c r="CK4" i="35"/>
  <c r="Y4" i="35"/>
  <c r="DC5" i="34"/>
  <c r="AQ5" i="34"/>
  <c r="EC4" i="34"/>
  <c r="BQ4" i="34"/>
  <c r="E4" i="34"/>
  <c r="CQ5" i="33"/>
  <c r="AE5" i="33"/>
  <c r="DQ4" i="33"/>
  <c r="BE4" i="33"/>
  <c r="EI5" i="32"/>
  <c r="AO4" i="36"/>
  <c r="V5" i="35"/>
  <c r="DH4" i="35"/>
  <c r="AV4" i="35"/>
  <c r="EH5" i="34"/>
  <c r="BV5" i="34"/>
  <c r="J5" i="34"/>
  <c r="BJ5" i="37"/>
  <c r="L4" i="36"/>
  <c r="BA5" i="37"/>
  <c r="C4" i="36"/>
  <c r="AR5" i="37"/>
  <c r="ER5" i="35"/>
  <c r="AA5" i="37"/>
  <c r="EX5" i="37"/>
  <c r="CZ4" i="36"/>
  <c r="EO5" i="37"/>
  <c r="CQ4" i="36"/>
  <c r="EF5" i="37"/>
  <c r="DN4" i="36"/>
  <c r="DC5" i="38"/>
  <c r="E4" i="38"/>
  <c r="BE4" i="37"/>
  <c r="CW4" i="36"/>
  <c r="AR5" i="35"/>
  <c r="BR4" i="35"/>
  <c r="CR5" i="34"/>
  <c r="DR4" i="34"/>
  <c r="Z4" i="34"/>
  <c r="DL5" i="33"/>
  <c r="AZ5" i="33"/>
  <c r="EL4" i="33"/>
  <c r="BZ4" i="33"/>
  <c r="N4" i="33"/>
  <c r="CZ5" i="32"/>
  <c r="AN5" i="32"/>
  <c r="CA5" i="35"/>
  <c r="C5" i="35"/>
  <c r="CO4" i="35"/>
  <c r="AC4" i="35"/>
  <c r="DO5" i="34"/>
  <c r="BC5" i="34"/>
  <c r="EO4" i="34"/>
  <c r="CC4" i="34"/>
  <c r="Q4" i="34"/>
  <c r="CU5" i="33"/>
  <c r="AI5" i="33"/>
  <c r="DU4" i="33"/>
  <c r="BI4" i="33"/>
  <c r="EU5" i="32"/>
  <c r="CI5" i="32"/>
  <c r="BU4" i="36"/>
  <c r="AH5" i="35"/>
  <c r="DT4" i="35"/>
  <c r="BH4" i="35"/>
  <c r="ET5" i="34"/>
  <c r="CH5" i="34"/>
  <c r="V5" i="34"/>
  <c r="DH4" i="34"/>
  <c r="AV4" i="34"/>
  <c r="EH5" i="33"/>
  <c r="BV5" i="33"/>
  <c r="J5" i="33"/>
  <c r="CV4" i="33"/>
  <c r="AJ4" i="33"/>
  <c r="DV5" i="32"/>
  <c r="BJ5" i="32"/>
  <c r="EE5" i="35"/>
  <c r="Q5" i="35"/>
  <c r="DC4" i="35"/>
  <c r="AQ4" i="35"/>
  <c r="EC5" i="34"/>
  <c r="BQ5" i="34"/>
  <c r="E5" i="34"/>
  <c r="CQ4" i="34"/>
  <c r="AE4" i="34"/>
  <c r="DQ5" i="33"/>
  <c r="BE5" i="33"/>
  <c r="EQ4" i="33"/>
  <c r="CE4" i="33"/>
  <c r="S4" i="33"/>
  <c r="DE5" i="32"/>
  <c r="AS5" i="32"/>
  <c r="BO5" i="35"/>
  <c r="EX4" i="35"/>
  <c r="CL4" i="35"/>
  <c r="Z4" i="35"/>
  <c r="DL5" i="34"/>
  <c r="AZ5" i="34"/>
  <c r="EL4" i="34"/>
  <c r="BZ4" i="34"/>
  <c r="N4" i="34"/>
  <c r="CZ5" i="33"/>
  <c r="AN5" i="33"/>
  <c r="DZ4" i="33"/>
  <c r="BN4" i="33"/>
  <c r="B4" i="33"/>
  <c r="CN5" i="32"/>
  <c r="CI5" i="36"/>
  <c r="BC5" i="35"/>
  <c r="EO4" i="35"/>
  <c r="CC4" i="35"/>
  <c r="Q4" i="35"/>
  <c r="CU5" i="34"/>
  <c r="AI5" i="34"/>
  <c r="DU4" i="34"/>
  <c r="BI4" i="34"/>
  <c r="EU5" i="33"/>
  <c r="CI5" i="33"/>
  <c r="W5" i="33"/>
  <c r="DI4" i="33"/>
  <c r="AW4" i="33"/>
  <c r="EA5" i="32"/>
  <c r="DS5" i="35"/>
  <c r="N5" i="35"/>
  <c r="CZ4" i="35"/>
  <c r="AN4" i="35"/>
  <c r="DZ5" i="34"/>
  <c r="BN5" i="34"/>
  <c r="B5" i="34"/>
  <c r="CN4" i="34"/>
  <c r="AB4" i="34"/>
  <c r="DN5" i="33"/>
  <c r="BB5" i="33"/>
  <c r="EN4" i="33"/>
  <c r="CB4" i="33"/>
  <c r="EV4" i="37"/>
  <c r="CX5" i="35"/>
  <c r="EM4" i="37"/>
  <c r="CO5" i="35"/>
  <c r="ED4" i="37"/>
  <c r="CF5" i="35"/>
  <c r="DM4" i="37"/>
  <c r="CL5" i="37"/>
  <c r="AN4" i="36"/>
  <c r="CC5" i="37"/>
  <c r="AE4" i="36"/>
  <c r="BT5" i="37"/>
  <c r="CH4" i="36"/>
  <c r="BW5" i="38"/>
  <c r="DW5" i="37"/>
  <c r="Y4" i="37"/>
  <c r="BQ4" i="36"/>
  <c r="L5" i="35"/>
  <c r="AL4" i="35"/>
  <c r="BL5" i="34"/>
  <c r="CL4" i="34"/>
  <c r="R4" i="34"/>
  <c r="DD5" i="33"/>
  <c r="AR5" i="33"/>
  <c r="ED4" i="33"/>
  <c r="BR4" i="33"/>
  <c r="F4" i="33"/>
  <c r="CR5" i="32"/>
  <c r="DO5" i="36"/>
  <c r="BG5" i="35"/>
  <c r="ES4" i="35"/>
  <c r="CG4" i="35"/>
  <c r="U4" i="35"/>
  <c r="DG5" i="34"/>
  <c r="AU5" i="34"/>
  <c r="EG4" i="34"/>
  <c r="BU4" i="34"/>
  <c r="I4" i="34"/>
  <c r="CM5" i="33"/>
  <c r="AA5" i="33"/>
  <c r="DM4" i="33"/>
  <c r="BA4" i="33"/>
  <c r="EM5" i="32"/>
  <c r="CA5" i="32"/>
  <c r="Q4" i="36"/>
  <c r="Z5" i="35"/>
  <c r="DL4" i="35"/>
  <c r="AZ4" i="35"/>
  <c r="EL5" i="34"/>
  <c r="BZ5" i="34"/>
  <c r="N5" i="34"/>
  <c r="CZ4" i="34"/>
  <c r="AN4" i="34"/>
  <c r="DZ5" i="33"/>
  <c r="BN5" i="33"/>
  <c r="B5" i="33"/>
  <c r="CN4" i="33"/>
  <c r="AB4" i="33"/>
  <c r="DN5" i="32"/>
  <c r="BB5" i="32"/>
  <c r="CY5" i="35"/>
  <c r="I5" i="35"/>
  <c r="CU4" i="35"/>
  <c r="AI4" i="35"/>
  <c r="DU5" i="34"/>
  <c r="BI5" i="34"/>
  <c r="EU4" i="34"/>
  <c r="CI4" i="34"/>
  <c r="W4" i="34"/>
  <c r="DI5" i="33"/>
  <c r="AW5" i="33"/>
  <c r="EI4" i="33"/>
  <c r="BW4" i="33"/>
  <c r="K4" i="33"/>
  <c r="CW5" i="32"/>
  <c r="CQ5" i="36"/>
  <c r="BD5" i="35"/>
  <c r="EP4" i="35"/>
  <c r="CD4" i="35"/>
  <c r="R4" i="35"/>
  <c r="DD5" i="34"/>
  <c r="AR5" i="34"/>
  <c r="ED4" i="34"/>
  <c r="BR4" i="34"/>
  <c r="F4" i="34"/>
  <c r="CR5" i="33"/>
  <c r="AF5" i="33"/>
  <c r="DR4" i="33"/>
  <c r="BF4" i="33"/>
  <c r="ER5" i="32"/>
  <c r="CF5" i="32"/>
  <c r="W5" i="36"/>
  <c r="AU5" i="35"/>
  <c r="EG4" i="35"/>
  <c r="BU4" i="35"/>
  <c r="I4" i="35"/>
  <c r="CM5" i="34"/>
  <c r="AA5" i="34"/>
  <c r="DM4" i="34"/>
  <c r="BA4" i="34"/>
  <c r="EM5" i="33"/>
  <c r="CA5" i="33"/>
  <c r="O5" i="33"/>
  <c r="DA4" i="33"/>
  <c r="AO4" i="33"/>
  <c r="DS5" i="32"/>
  <c r="CM5" i="35"/>
  <c r="F5" i="35"/>
  <c r="CR4" i="35"/>
  <c r="AF4" i="35"/>
  <c r="DR5" i="34"/>
  <c r="BF5" i="34"/>
  <c r="ER4" i="34"/>
  <c r="CF4" i="34"/>
  <c r="T4" i="34"/>
  <c r="DF5" i="33"/>
  <c r="AT5" i="33"/>
  <c r="EF4" i="33"/>
  <c r="BT4" i="33"/>
  <c r="H4" i="33"/>
  <c r="CT5" i="32"/>
  <c r="CS4" i="36"/>
  <c r="AK5" i="35"/>
  <c r="DW4" i="35"/>
  <c r="BK4" i="35"/>
  <c r="EW5" i="34"/>
  <c r="CK5" i="34"/>
  <c r="CJ4" i="37"/>
  <c r="DY5" i="38"/>
  <c r="CA4" i="37"/>
  <c r="DP5" i="38"/>
  <c r="BR4" i="37"/>
  <c r="DG5" i="38"/>
  <c r="BA4" i="37"/>
  <c r="Z5" i="37"/>
  <c r="DZ5" i="35"/>
  <c r="Q5" i="37"/>
  <c r="DQ5" i="35"/>
  <c r="H5" i="37"/>
  <c r="BB4" i="36"/>
  <c r="AQ5" i="38"/>
  <c r="CQ5" i="37"/>
  <c r="EI5" i="36"/>
  <c r="AK4" i="36"/>
  <c r="ET4" i="35"/>
  <c r="V4" i="35"/>
  <c r="AV5" i="34"/>
  <c r="BV4" i="34"/>
  <c r="J4" i="34"/>
  <c r="CV5" i="33"/>
  <c r="AJ5" i="33"/>
  <c r="DV4" i="33"/>
  <c r="BJ4" i="33"/>
  <c r="EV5" i="32"/>
  <c r="CJ5" i="32"/>
  <c r="BC5" i="36"/>
  <c r="AY5" i="35"/>
  <c r="EK4" i="35"/>
  <c r="BY4" i="35"/>
  <c r="M4" i="35"/>
  <c r="CY5" i="34"/>
  <c r="AM5" i="34"/>
  <c r="DY4" i="34"/>
  <c r="BM4" i="34"/>
  <c r="EQ5" i="33"/>
  <c r="CE5" i="33"/>
  <c r="S5" i="33"/>
  <c r="DE4" i="33"/>
  <c r="AS4" i="33"/>
  <c r="EE5" i="32"/>
  <c r="BS5" i="32"/>
  <c r="EI5" i="35"/>
  <c r="R5" i="35"/>
  <c r="DD4" i="35"/>
  <c r="AR4" i="35"/>
  <c r="ED5" i="34"/>
  <c r="BR5" i="34"/>
  <c r="F5" i="34"/>
  <c r="CR4" i="34"/>
  <c r="AF4" i="34"/>
  <c r="DR5" i="33"/>
  <c r="BF5" i="33"/>
  <c r="ER4" i="33"/>
  <c r="CF4" i="33"/>
  <c r="T4" i="33"/>
  <c r="DF5" i="32"/>
  <c r="AT5" i="32"/>
  <c r="BS5" i="35"/>
  <c r="A5" i="35"/>
  <c r="CM4" i="35"/>
  <c r="AO5" i="33"/>
  <c r="BV4" i="35"/>
  <c r="X5" i="33"/>
  <c r="BM4" i="35"/>
  <c r="G5" i="33"/>
  <c r="DJ5" i="34"/>
  <c r="CX5" i="33"/>
  <c r="P4" i="33"/>
  <c r="BA5" i="35"/>
  <c r="BC4" i="35"/>
  <c r="BM5" i="34"/>
  <c r="A5" i="34"/>
  <c r="CM4" i="34"/>
  <c r="AA4" i="34"/>
  <c r="DM5" i="33"/>
  <c r="BA5" i="33"/>
  <c r="EM4" i="33"/>
  <c r="CA4" i="33"/>
  <c r="O4" i="33"/>
  <c r="DA5" i="32"/>
  <c r="AO5" i="32"/>
  <c r="EQ4" i="32"/>
  <c r="CE4" i="32"/>
  <c r="S4" i="32"/>
  <c r="DE5" i="31"/>
  <c r="AS5" i="31"/>
  <c r="EE4" i="31"/>
  <c r="BS4" i="31"/>
  <c r="G4" i="31"/>
  <c r="CS5" i="30"/>
  <c r="AG5" i="30"/>
  <c r="DS4" i="30"/>
  <c r="BG4" i="30"/>
  <c r="ES5" i="29"/>
  <c r="CG5" i="29"/>
  <c r="U5" i="29"/>
  <c r="AQ5" i="32"/>
  <c r="DZ4" i="32"/>
  <c r="BN4" i="32"/>
  <c r="B4" i="32"/>
  <c r="CN5" i="31"/>
  <c r="AB5" i="31"/>
  <c r="DN4" i="31"/>
  <c r="BB4" i="31"/>
  <c r="EN5" i="30"/>
  <c r="CB5" i="30"/>
  <c r="P5" i="30"/>
  <c r="DB4" i="30"/>
  <c r="AP4" i="30"/>
  <c r="EB5" i="29"/>
  <c r="BP5" i="29"/>
  <c r="D5" i="29"/>
  <c r="W5" i="32"/>
  <c r="DI4" i="32"/>
  <c r="AW4" i="32"/>
  <c r="EA5" i="31"/>
  <c r="BO5" i="31"/>
  <c r="C5" i="31"/>
  <c r="CO4" i="31"/>
  <c r="AC4" i="31"/>
  <c r="DO5" i="30"/>
  <c r="BC5" i="30"/>
  <c r="EO4" i="30"/>
  <c r="CC4" i="30"/>
  <c r="Q4" i="30"/>
  <c r="CU5" i="29"/>
  <c r="AI5" i="29"/>
  <c r="DU4" i="29"/>
  <c r="EN4" i="32"/>
  <c r="CB4" i="32"/>
  <c r="P4" i="32"/>
  <c r="DB5" i="31"/>
  <c r="AP5" i="31"/>
  <c r="EB4" i="31"/>
  <c r="BP4" i="31"/>
  <c r="D4" i="31"/>
  <c r="CP5" i="30"/>
  <c r="AD5" i="30"/>
  <c r="DP4" i="30"/>
  <c r="BD4" i="30"/>
  <c r="EP5" i="29"/>
  <c r="CD5" i="29"/>
  <c r="R5" i="29"/>
  <c r="AL5" i="32"/>
  <c r="DW4" i="32"/>
  <c r="BK4" i="32"/>
  <c r="EW5" i="31"/>
  <c r="CK5" i="31"/>
  <c r="Y5" i="31"/>
  <c r="DK4" i="31"/>
  <c r="AY4" i="31"/>
  <c r="EK5" i="30"/>
  <c r="BY5" i="30"/>
  <c r="M5" i="30"/>
  <c r="CY4" i="30"/>
  <c r="AM4" i="30"/>
  <c r="DY5" i="29"/>
  <c r="BM5" i="29"/>
  <c r="A5" i="29"/>
  <c r="T5" i="32"/>
  <c r="DF4" i="32"/>
  <c r="AT4" i="32"/>
  <c r="EF5" i="31"/>
  <c r="BT5" i="31"/>
  <c r="H5" i="31"/>
  <c r="CT4" i="31"/>
  <c r="AH4" i="31"/>
  <c r="DT5" i="30"/>
  <c r="BH5" i="30"/>
  <c r="ET4" i="30"/>
  <c r="CH4" i="30"/>
  <c r="V4" i="30"/>
  <c r="DH5" i="29"/>
  <c r="AV5" i="29"/>
  <c r="EH4" i="29"/>
  <c r="K5" i="32"/>
  <c r="CW4" i="32"/>
  <c r="AK4" i="32"/>
  <c r="DW5" i="31"/>
  <c r="BK5" i="31"/>
  <c r="EW4" i="31"/>
  <c r="CK4" i="31"/>
  <c r="Y4" i="31"/>
  <c r="DC5" i="30"/>
  <c r="AQ5" i="30"/>
  <c r="EC4" i="30"/>
  <c r="BQ4" i="30"/>
  <c r="AA4" i="35"/>
  <c r="EA4" i="33"/>
  <c r="J4" i="35"/>
  <c r="DJ4" i="33"/>
  <c r="EQ5" i="34"/>
  <c r="CS4" i="33"/>
  <c r="AX5" i="34"/>
  <c r="BJ5" i="33"/>
  <c r="EX5" i="32"/>
  <c r="AS5" i="35"/>
  <c r="O4" i="35"/>
  <c r="BE5" i="34"/>
  <c r="EQ4" i="34"/>
  <c r="CE4" i="34"/>
  <c r="S4" i="34"/>
  <c r="DE5" i="33"/>
  <c r="AS5" i="33"/>
  <c r="EE4" i="33"/>
  <c r="BS4" i="33"/>
  <c r="G4" i="33"/>
  <c r="CS5" i="32"/>
  <c r="CU5" i="32"/>
  <c r="EI4" i="32"/>
  <c r="BW4" i="32"/>
  <c r="K4" i="32"/>
  <c r="CW5" i="31"/>
  <c r="AK5" i="31"/>
  <c r="DW4" i="31"/>
  <c r="BK4" i="31"/>
  <c r="EW5" i="30"/>
  <c r="CK5" i="30"/>
  <c r="Y5" i="30"/>
  <c r="DK4" i="30"/>
  <c r="AY4" i="30"/>
  <c r="EK5" i="29"/>
  <c r="BY5" i="29"/>
  <c r="M5" i="29"/>
  <c r="AF5" i="32"/>
  <c r="DR4" i="32"/>
  <c r="BF4" i="32"/>
  <c r="ER5" i="31"/>
  <c r="CF5" i="31"/>
  <c r="T5" i="31"/>
  <c r="DF4" i="31"/>
  <c r="AT4" i="31"/>
  <c r="EF5" i="30"/>
  <c r="BT5" i="30"/>
  <c r="H5" i="30"/>
  <c r="CT4" i="30"/>
  <c r="AH4" i="30"/>
  <c r="DT5" i="29"/>
  <c r="BH5" i="29"/>
  <c r="ET4" i="29"/>
  <c r="O5" i="32"/>
  <c r="DA4" i="32"/>
  <c r="AO4" i="32"/>
  <c r="DS5" i="31"/>
  <c r="BG5" i="31"/>
  <c r="ES4" i="31"/>
  <c r="CG4" i="31"/>
  <c r="U4" i="31"/>
  <c r="DG5" i="30"/>
  <c r="AU5" i="30"/>
  <c r="EG4" i="30"/>
  <c r="BU4" i="30"/>
  <c r="I4" i="30"/>
  <c r="CM5" i="29"/>
  <c r="AA5" i="29"/>
  <c r="BW5" i="32"/>
  <c r="EF4" i="32"/>
  <c r="BT4" i="32"/>
  <c r="H4" i="32"/>
  <c r="CT5" i="31"/>
  <c r="AH5" i="31"/>
  <c r="DT4" i="31"/>
  <c r="BH4" i="31"/>
  <c r="ET5" i="30"/>
  <c r="CH5" i="30"/>
  <c r="V5" i="30"/>
  <c r="DH4" i="30"/>
  <c r="AV4" i="30"/>
  <c r="EH5" i="29"/>
  <c r="BV5" i="29"/>
  <c r="J5" i="29"/>
  <c r="AC5" i="32"/>
  <c r="DO4" i="32"/>
  <c r="BC4" i="32"/>
  <c r="EO5" i="31"/>
  <c r="CC5" i="31"/>
  <c r="Q5" i="31"/>
  <c r="DC4" i="31"/>
  <c r="AQ4" i="31"/>
  <c r="EC5" i="30"/>
  <c r="BQ5" i="30"/>
  <c r="E5" i="30"/>
  <c r="CQ4" i="30"/>
  <c r="AE4" i="30"/>
  <c r="DQ5" i="29"/>
  <c r="BE5" i="29"/>
  <c r="EQ4" i="29"/>
  <c r="L5" i="32"/>
  <c r="CX4" i="32"/>
  <c r="AL4" i="32"/>
  <c r="DX5" i="31"/>
  <c r="BL5" i="31"/>
  <c r="EX4" i="31"/>
  <c r="CL4" i="31"/>
  <c r="Z4" i="31"/>
  <c r="DL5" i="30"/>
  <c r="AZ5" i="30"/>
  <c r="EL4" i="30"/>
  <c r="BZ4" i="30"/>
  <c r="N4" i="30"/>
  <c r="CZ5" i="29"/>
  <c r="AN5" i="29"/>
  <c r="DZ4" i="29"/>
  <c r="C5" i="32"/>
  <c r="CO4" i="32"/>
  <c r="AC4" i="32"/>
  <c r="DO5" i="31"/>
  <c r="BC5" i="31"/>
  <c r="EO4" i="31"/>
  <c r="CC4" i="31"/>
  <c r="Q4" i="31"/>
  <c r="CU5" i="30"/>
  <c r="AI5" i="30"/>
  <c r="DU4" i="30"/>
  <c r="DM5" i="34"/>
  <c r="BO4" i="33"/>
  <c r="CV5" i="34"/>
  <c r="AX4" i="33"/>
  <c r="CE5" i="34"/>
  <c r="AG4" i="33"/>
  <c r="EJ4" i="34"/>
  <c r="AL5" i="33"/>
  <c r="DJ5" i="32"/>
  <c r="AC5" i="35"/>
  <c r="G4" i="35"/>
  <c r="AW5" i="34"/>
  <c r="EI4" i="34"/>
  <c r="BW4" i="34"/>
  <c r="K4" i="34"/>
  <c r="CW5" i="33"/>
  <c r="AK5" i="33"/>
  <c r="DW4" i="33"/>
  <c r="BK4" i="33"/>
  <c r="EW5" i="32"/>
  <c r="CK5" i="32"/>
  <c r="AU5" i="32"/>
  <c r="EA4" i="32"/>
  <c r="BO4" i="32"/>
  <c r="C4" i="32"/>
  <c r="CO5" i="31"/>
  <c r="AC5" i="31"/>
  <c r="DO4" i="31"/>
  <c r="BC4" i="31"/>
  <c r="EO5" i="30"/>
  <c r="CC5" i="30"/>
  <c r="Q5" i="30"/>
  <c r="DC4" i="30"/>
  <c r="AQ4" i="30"/>
  <c r="EC5" i="29"/>
  <c r="BQ5" i="29"/>
  <c r="E5" i="29"/>
  <c r="X5" i="32"/>
  <c r="DJ4" i="32"/>
  <c r="AX4" i="32"/>
  <c r="EJ5" i="31"/>
  <c r="BX5" i="31"/>
  <c r="L5" i="31"/>
  <c r="CX4" i="31"/>
  <c r="AL4" i="31"/>
  <c r="DX5" i="30"/>
  <c r="BL5" i="30"/>
  <c r="EX4" i="30"/>
  <c r="CL4" i="30"/>
  <c r="Z4" i="30"/>
  <c r="DL5" i="29"/>
  <c r="AZ5" i="29"/>
  <c r="EL4" i="29"/>
  <c r="G5" i="32"/>
  <c r="CS4" i="32"/>
  <c r="AG4" i="32"/>
  <c r="DK5" i="31"/>
  <c r="AY5" i="31"/>
  <c r="EK4" i="31"/>
  <c r="BY4" i="31"/>
  <c r="M4" i="31"/>
  <c r="CY5" i="30"/>
  <c r="AM5" i="30"/>
  <c r="DY4" i="30"/>
  <c r="BM4" i="30"/>
  <c r="EQ5" i="29"/>
  <c r="CE5" i="29"/>
  <c r="S5" i="29"/>
  <c r="AM5" i="32"/>
  <c r="DX4" i="32"/>
  <c r="BL4" i="32"/>
  <c r="EX5" i="31"/>
  <c r="CL5" i="31"/>
  <c r="Z5" i="31"/>
  <c r="DL4" i="31"/>
  <c r="AZ4" i="31"/>
  <c r="EL5" i="30"/>
  <c r="BZ5" i="30"/>
  <c r="N5" i="30"/>
  <c r="CZ4" i="30"/>
  <c r="AN4" i="30"/>
  <c r="DZ5" i="29"/>
  <c r="BN5" i="29"/>
  <c r="B5" i="29"/>
  <c r="U5" i="32"/>
  <c r="DG4" i="32"/>
  <c r="AU4" i="32"/>
  <c r="EG5" i="31"/>
  <c r="BU5" i="31"/>
  <c r="I5" i="31"/>
  <c r="CU4" i="31"/>
  <c r="AI4" i="31"/>
  <c r="DU5" i="30"/>
  <c r="BI5" i="30"/>
  <c r="EU4" i="30"/>
  <c r="CI4" i="30"/>
  <c r="W4" i="30"/>
  <c r="DI5" i="29"/>
  <c r="AW5" i="29"/>
  <c r="EI4" i="29"/>
  <c r="D5" i="32"/>
  <c r="CP4" i="32"/>
  <c r="AD4" i="32"/>
  <c r="DP5" i="31"/>
  <c r="BD5" i="31"/>
  <c r="EP4" i="31"/>
  <c r="CD4" i="31"/>
  <c r="R4" i="31"/>
  <c r="DD5" i="30"/>
  <c r="AR5" i="30"/>
  <c r="ED4" i="30"/>
  <c r="BR4" i="30"/>
  <c r="F4" i="30"/>
  <c r="CR5" i="29"/>
  <c r="AF5" i="29"/>
  <c r="DR4" i="29"/>
  <c r="ES4" i="32"/>
  <c r="CG4" i="32"/>
  <c r="U4" i="32"/>
  <c r="DG5" i="31"/>
  <c r="AU5" i="31"/>
  <c r="EG4" i="31"/>
  <c r="BU4" i="31"/>
  <c r="I4" i="31"/>
  <c r="CM5" i="30"/>
  <c r="AA5" i="30"/>
  <c r="DM4" i="30"/>
  <c r="BA5" i="34"/>
  <c r="C4" i="33"/>
  <c r="AJ5" i="34"/>
  <c r="EJ5" i="32"/>
  <c r="S5" i="34"/>
  <c r="DK5" i="32"/>
  <c r="CV4" i="34"/>
  <c r="EV4" i="33"/>
  <c r="DB5" i="32"/>
  <c r="EM4" i="35"/>
  <c r="EO5" i="34"/>
  <c r="AO5" i="34"/>
  <c r="EA4" i="34"/>
  <c r="BO4" i="34"/>
  <c r="C4" i="34"/>
  <c r="CO5" i="33"/>
  <c r="AC5" i="33"/>
  <c r="DO4" i="33"/>
  <c r="BC4" i="33"/>
  <c r="EO5" i="32"/>
  <c r="CC5" i="32"/>
  <c r="AG5" i="32"/>
  <c r="DS4" i="32"/>
  <c r="BG4" i="32"/>
  <c r="ES5" i="31"/>
  <c r="CG5" i="31"/>
  <c r="U5" i="31"/>
  <c r="DG4" i="31"/>
  <c r="AU4" i="31"/>
  <c r="EG5" i="30"/>
  <c r="BU5" i="30"/>
  <c r="I5" i="30"/>
  <c r="CU4" i="30"/>
  <c r="AI4" i="30"/>
  <c r="DU5" i="29"/>
  <c r="BI5" i="29"/>
  <c r="EU4" i="29"/>
  <c r="P5" i="32"/>
  <c r="DB4" i="32"/>
  <c r="AP4" i="32"/>
  <c r="EB5" i="31"/>
  <c r="BP5" i="31"/>
  <c r="D5" i="31"/>
  <c r="CP4" i="31"/>
  <c r="AD4" i="31"/>
  <c r="DP5" i="30"/>
  <c r="BD5" i="30"/>
  <c r="EP4" i="30"/>
  <c r="CD4" i="30"/>
  <c r="R4" i="30"/>
  <c r="DD5" i="29"/>
  <c r="AR5" i="29"/>
  <c r="ED4" i="29"/>
  <c r="EW4" i="32"/>
  <c r="CK4" i="32"/>
  <c r="Y4" i="32"/>
  <c r="DC5" i="31"/>
  <c r="AQ5" i="31"/>
  <c r="EC4" i="31"/>
  <c r="BQ4" i="31"/>
  <c r="E4" i="31"/>
  <c r="CQ5" i="30"/>
  <c r="AE5" i="30"/>
  <c r="DQ4" i="30"/>
  <c r="BE4" i="30"/>
  <c r="EI5" i="29"/>
  <c r="BW5" i="29"/>
  <c r="K5" i="29"/>
  <c r="AD5" i="32"/>
  <c r="DP4" i="32"/>
  <c r="BD4" i="32"/>
  <c r="EP5" i="31"/>
  <c r="CD5" i="31"/>
  <c r="R5" i="31"/>
  <c r="DD4" i="31"/>
  <c r="AR4" i="31"/>
  <c r="ED5" i="30"/>
  <c r="BR5" i="30"/>
  <c r="F5" i="30"/>
  <c r="CR4" i="30"/>
  <c r="AF4" i="30"/>
  <c r="DR5" i="29"/>
  <c r="BF5" i="29"/>
  <c r="ER4" i="29"/>
  <c r="M5" i="32"/>
  <c r="CY4" i="32"/>
  <c r="AM4" i="32"/>
  <c r="DY5" i="31"/>
  <c r="BM5" i="31"/>
  <c r="A5" i="31"/>
  <c r="CM4" i="31"/>
  <c r="AA4" i="31"/>
  <c r="DM5" i="30"/>
  <c r="BA5" i="30"/>
  <c r="EM4" i="30"/>
  <c r="CA4" i="30"/>
  <c r="O4" i="30"/>
  <c r="DA5" i="29"/>
  <c r="AO5" i="29"/>
  <c r="EA4" i="29"/>
  <c r="ET4" i="32"/>
  <c r="CH4" i="32"/>
  <c r="V4" i="32"/>
  <c r="DH5" i="31"/>
  <c r="AV5" i="31"/>
  <c r="EH4" i="31"/>
  <c r="BV4" i="31"/>
  <c r="J4" i="31"/>
  <c r="CV5" i="30"/>
  <c r="AJ5" i="30"/>
  <c r="DV4" i="30"/>
  <c r="BJ4" i="30"/>
  <c r="EV5" i="29"/>
  <c r="CJ5" i="29"/>
  <c r="X5" i="29"/>
  <c r="DJ4" i="29"/>
  <c r="EK4" i="32"/>
  <c r="BY4" i="32"/>
  <c r="M4" i="32"/>
  <c r="CY5" i="31"/>
  <c r="AM5" i="31"/>
  <c r="DY4" i="31"/>
  <c r="BM4" i="31"/>
  <c r="EQ5" i="30"/>
  <c r="CE5" i="30"/>
  <c r="S5" i="30"/>
  <c r="DE4" i="30"/>
  <c r="EM4" i="34"/>
  <c r="CO5" i="32"/>
  <c r="DV4" i="34"/>
  <c r="BX5" i="32"/>
  <c r="DE4" i="34"/>
  <c r="BJ5" i="35"/>
  <c r="BX4" i="34"/>
  <c r="DX4" i="33"/>
  <c r="CL5" i="32"/>
  <c r="EE4" i="35"/>
  <c r="DA5" i="34"/>
  <c r="AG5" i="34"/>
  <c r="DS4" i="34"/>
  <c r="BG4" i="34"/>
  <c r="ES5" i="33"/>
  <c r="CG5" i="33"/>
  <c r="U5" i="33"/>
  <c r="DG4" i="33"/>
  <c r="AU4" i="33"/>
  <c r="EG5" i="32"/>
  <c r="BU5" i="32"/>
  <c r="Y5" i="32"/>
  <c r="DK4" i="32"/>
  <c r="AY4" i="32"/>
  <c r="EK5" i="31"/>
  <c r="BY5" i="31"/>
  <c r="M5" i="31"/>
  <c r="CY4" i="31"/>
  <c r="AM4" i="31"/>
  <c r="DY5" i="30"/>
  <c r="BM5" i="30"/>
  <c r="A5" i="30"/>
  <c r="CM4" i="30"/>
  <c r="AA4" i="30"/>
  <c r="DM5" i="29"/>
  <c r="BA5" i="29"/>
  <c r="EM4" i="29"/>
  <c r="H5" i="32"/>
  <c r="CT4" i="32"/>
  <c r="AH4" i="32"/>
  <c r="DT5" i="31"/>
  <c r="BH5" i="31"/>
  <c r="ET4" i="31"/>
  <c r="CH4" i="31"/>
  <c r="V4" i="31"/>
  <c r="DH5" i="30"/>
  <c r="AV5" i="30"/>
  <c r="EH4" i="30"/>
  <c r="BV4" i="30"/>
  <c r="J4" i="30"/>
  <c r="CV5" i="29"/>
  <c r="AJ5" i="29"/>
  <c r="DV4" i="29"/>
  <c r="EO4" i="32"/>
  <c r="CC4" i="32"/>
  <c r="Q4" i="32"/>
  <c r="CU5" i="31"/>
  <c r="AI5" i="31"/>
  <c r="DU4" i="31"/>
  <c r="BI4" i="31"/>
  <c r="EU5" i="30"/>
  <c r="CI5" i="30"/>
  <c r="W5" i="30"/>
  <c r="DI4" i="30"/>
  <c r="AW4" i="30"/>
  <c r="EA5" i="29"/>
  <c r="BO5" i="29"/>
  <c r="C5" i="29"/>
  <c r="V5" i="32"/>
  <c r="DH4" i="32"/>
  <c r="AV4" i="32"/>
  <c r="EH5" i="31"/>
  <c r="BV5" i="31"/>
  <c r="J5" i="31"/>
  <c r="CV4" i="31"/>
  <c r="AJ4" i="31"/>
  <c r="DV5" i="30"/>
  <c r="BJ5" i="30"/>
  <c r="EV4" i="30"/>
  <c r="CJ4" i="30"/>
  <c r="X4" i="30"/>
  <c r="DJ5" i="29"/>
  <c r="AX5" i="29"/>
  <c r="EJ4" i="29"/>
  <c r="E5" i="32"/>
  <c r="CQ4" i="32"/>
  <c r="AE4" i="32"/>
  <c r="DQ5" i="31"/>
  <c r="BE5" i="31"/>
  <c r="EQ4" i="31"/>
  <c r="CE4" i="31"/>
  <c r="S4" i="31"/>
  <c r="DE5" i="30"/>
  <c r="AS5" i="30"/>
  <c r="EE4" i="30"/>
  <c r="BS4" i="30"/>
  <c r="G4" i="30"/>
  <c r="CS5" i="29"/>
  <c r="AG5" i="29"/>
  <c r="DS4" i="29"/>
  <c r="EL4" i="32"/>
  <c r="BZ4" i="32"/>
  <c r="N4" i="32"/>
  <c r="CZ5" i="31"/>
  <c r="AN5" i="31"/>
  <c r="DZ4" i="31"/>
  <c r="BN4" i="31"/>
  <c r="B4" i="31"/>
  <c r="CN5" i="30"/>
  <c r="AB5" i="30"/>
  <c r="DN4" i="30"/>
  <c r="BB4" i="30"/>
  <c r="EN5" i="29"/>
  <c r="CB5" i="29"/>
  <c r="P5" i="29"/>
  <c r="AY5" i="32"/>
  <c r="EC4" i="32"/>
  <c r="BQ4" i="32"/>
  <c r="E4" i="32"/>
  <c r="CQ5" i="31"/>
  <c r="AE5" i="31"/>
  <c r="DQ4" i="31"/>
  <c r="BE4" i="31"/>
  <c r="EI5" i="30"/>
  <c r="BW5" i="30"/>
  <c r="K5" i="30"/>
  <c r="CW4" i="30"/>
  <c r="CA4" i="34"/>
  <c r="AE5" i="36"/>
  <c r="BJ4" i="34"/>
  <c r="DI4" i="36"/>
  <c r="AS4" i="34"/>
  <c r="EV4" i="35"/>
  <c r="AJ4" i="34"/>
  <c r="CJ4" i="33"/>
  <c r="BS5" i="36"/>
  <c r="DO4" i="35"/>
  <c r="CS5" i="34"/>
  <c r="Y5" i="34"/>
  <c r="DK4" i="34"/>
  <c r="AY4" i="34"/>
  <c r="EK5" i="33"/>
  <c r="BY5" i="33"/>
  <c r="M5" i="33"/>
  <c r="CY4" i="33"/>
  <c r="AM4" i="33"/>
  <c r="DY5" i="32"/>
  <c r="BM5" i="32"/>
  <c r="Q5" i="32"/>
  <c r="DC4" i="32"/>
  <c r="AQ4" i="32"/>
  <c r="EC5" i="31"/>
  <c r="BQ5" i="31"/>
  <c r="E5" i="31"/>
  <c r="CQ4" i="31"/>
  <c r="AE4" i="31"/>
  <c r="DQ5" i="30"/>
  <c r="BE5" i="30"/>
  <c r="EQ4" i="30"/>
  <c r="CE4" i="30"/>
  <c r="S4" i="30"/>
  <c r="DE5" i="29"/>
  <c r="AS5" i="29"/>
  <c r="EE4" i="29"/>
  <c r="EX4" i="32"/>
  <c r="CL4" i="32"/>
  <c r="Z4" i="32"/>
  <c r="DL5" i="31"/>
  <c r="AZ5" i="31"/>
  <c r="EL4" i="31"/>
  <c r="BZ4" i="31"/>
  <c r="N4" i="31"/>
  <c r="CZ5" i="30"/>
  <c r="AN5" i="30"/>
  <c r="DZ4" i="30"/>
  <c r="BN4" i="30"/>
  <c r="B4" i="30"/>
  <c r="CN5" i="29"/>
  <c r="AB5" i="29"/>
  <c r="CE5" i="32"/>
  <c r="EG4" i="32"/>
  <c r="BU4" i="32"/>
  <c r="I4" i="32"/>
  <c r="CM5" i="31"/>
  <c r="AA5" i="31"/>
  <c r="DM4" i="31"/>
  <c r="BA4" i="31"/>
  <c r="EM5" i="30"/>
  <c r="CA5" i="30"/>
  <c r="O5" i="30"/>
  <c r="DA4" i="30"/>
  <c r="AO4" i="30"/>
  <c r="DS5" i="29"/>
  <c r="BG5" i="29"/>
  <c r="ES4" i="29"/>
  <c r="N5" i="32"/>
  <c r="CZ4" i="32"/>
  <c r="AN4" i="32"/>
  <c r="DZ5" i="31"/>
  <c r="BN5" i="31"/>
  <c r="B5" i="31"/>
  <c r="CN4" i="31"/>
  <c r="AB4" i="31"/>
  <c r="DN5" i="30"/>
  <c r="BB5" i="30"/>
  <c r="EN4" i="30"/>
  <c r="CB4" i="30"/>
  <c r="P4" i="30"/>
  <c r="DB5" i="29"/>
  <c r="AP5" i="29"/>
  <c r="EB4" i="29"/>
  <c r="EU4" i="32"/>
  <c r="CI4" i="32"/>
  <c r="W4" i="32"/>
  <c r="DI5" i="31"/>
  <c r="AW5" i="31"/>
  <c r="EI4" i="31"/>
  <c r="BW4" i="31"/>
  <c r="K4" i="31"/>
  <c r="CW5" i="30"/>
  <c r="AK5" i="30"/>
  <c r="DW4" i="30"/>
  <c r="BK4" i="30"/>
  <c r="EW5" i="29"/>
  <c r="CK5" i="29"/>
  <c r="Y5" i="29"/>
  <c r="BG5" i="32"/>
  <c r="ED4" i="32"/>
  <c r="BR4" i="32"/>
  <c r="F4" i="32"/>
  <c r="CR5" i="31"/>
  <c r="AF5" i="31"/>
  <c r="DR4" i="31"/>
  <c r="BF4" i="31"/>
  <c r="ER5" i="30"/>
  <c r="CF5" i="30"/>
  <c r="T5" i="30"/>
  <c r="DF4" i="30"/>
  <c r="AT4" i="30"/>
  <c r="EF5" i="29"/>
  <c r="BT5" i="29"/>
  <c r="H5" i="29"/>
  <c r="AI5" i="32"/>
  <c r="DU4" i="32"/>
  <c r="BI4" i="32"/>
  <c r="EU5" i="31"/>
  <c r="CI5" i="31"/>
  <c r="W5" i="31"/>
  <c r="DI4" i="31"/>
  <c r="AW4" i="31"/>
  <c r="EA5" i="30"/>
  <c r="BO5" i="30"/>
  <c r="C5" i="30"/>
  <c r="CO4" i="30"/>
  <c r="O4" i="34"/>
  <c r="AV5" i="35"/>
  <c r="EV5" i="33"/>
  <c r="AM5" i="35"/>
  <c r="EE5" i="33"/>
  <c r="CJ4" i="35"/>
  <c r="L4" i="34"/>
  <c r="BL4" i="33"/>
  <c r="G5" i="36"/>
  <c r="CA4" i="35"/>
  <c r="CC5" i="34"/>
  <c r="Q5" i="34"/>
  <c r="DC4" i="34"/>
  <c r="AQ4" i="34"/>
  <c r="EC5" i="33"/>
  <c r="BQ5" i="33"/>
  <c r="E5" i="33"/>
  <c r="CQ4" i="33"/>
  <c r="AE4" i="33"/>
  <c r="DQ5" i="32"/>
  <c r="BE5" i="32"/>
  <c r="I5" i="32"/>
  <c r="CU4" i="32"/>
  <c r="AI4" i="32"/>
  <c r="DU5" i="31"/>
  <c r="BI5" i="31"/>
  <c r="EU4" i="31"/>
  <c r="CI4" i="31"/>
  <c r="W4" i="31"/>
  <c r="DI5" i="30"/>
  <c r="AW5" i="30"/>
  <c r="EI4" i="30"/>
  <c r="BW4" i="30"/>
  <c r="K4" i="30"/>
  <c r="CW5" i="29"/>
  <c r="AK5" i="29"/>
  <c r="DW4" i="29"/>
  <c r="EP4" i="32"/>
  <c r="CD4" i="32"/>
  <c r="R4" i="32"/>
  <c r="DD5" i="31"/>
  <c r="AR5" i="31"/>
  <c r="ED4" i="31"/>
  <c r="BR4" i="31"/>
  <c r="F4" i="31"/>
  <c r="CR5" i="30"/>
  <c r="AF5" i="30"/>
  <c r="DR4" i="30"/>
  <c r="BF4" i="30"/>
  <c r="ER5" i="29"/>
  <c r="CF5" i="29"/>
  <c r="T5" i="29"/>
  <c r="AP5" i="32"/>
  <c r="DY4" i="32"/>
  <c r="BM4" i="32"/>
  <c r="EQ5" i="31"/>
  <c r="CE5" i="31"/>
  <c r="S5" i="31"/>
  <c r="DE4" i="31"/>
  <c r="AS4" i="31"/>
  <c r="EE5" i="30"/>
  <c r="BS5" i="30"/>
  <c r="G5" i="30"/>
  <c r="CS4" i="30"/>
  <c r="AG4" i="30"/>
  <c r="DK5" i="29"/>
  <c r="AY5" i="29"/>
  <c r="EK4" i="29"/>
  <c r="F5" i="32"/>
  <c r="CR4" i="32"/>
  <c r="AF4" i="32"/>
  <c r="DR5" i="31"/>
  <c r="BF5" i="31"/>
  <c r="ER4" i="31"/>
  <c r="CF4" i="31"/>
  <c r="T4" i="31"/>
  <c r="DF5" i="30"/>
  <c r="AT5" i="30"/>
  <c r="EF4" i="30"/>
  <c r="BT4" i="30"/>
  <c r="H4" i="30"/>
  <c r="CT5" i="29"/>
  <c r="AH5" i="29"/>
  <c r="DT4" i="29"/>
  <c r="EM4" i="32"/>
  <c r="CA4" i="32"/>
  <c r="O4" i="32"/>
  <c r="DA5" i="31"/>
  <c r="AO5" i="31"/>
  <c r="EA4" i="31"/>
  <c r="BO4" i="31"/>
  <c r="C4" i="31"/>
  <c r="CO5" i="30"/>
  <c r="AC5" i="30"/>
  <c r="DO4" i="30"/>
  <c r="BC4" i="30"/>
  <c r="EO5" i="29"/>
  <c r="CC5" i="29"/>
  <c r="Q5" i="29"/>
  <c r="AK5" i="32"/>
  <c r="DV4" i="32"/>
  <c r="BJ4" i="32"/>
  <c r="EV5" i="31"/>
  <c r="CJ5" i="31"/>
  <c r="X5" i="31"/>
  <c r="DJ4" i="31"/>
  <c r="AX4" i="31"/>
  <c r="EJ5" i="30"/>
  <c r="BX5" i="30"/>
  <c r="L5" i="30"/>
  <c r="CX4" i="30"/>
  <c r="AL4" i="30"/>
  <c r="DX5" i="29"/>
  <c r="BL5" i="29"/>
  <c r="EX4" i="29"/>
  <c r="AA5" i="32"/>
  <c r="DM4" i="32"/>
  <c r="BA4" i="32"/>
  <c r="EM5" i="31"/>
  <c r="CA5" i="31"/>
  <c r="O5" i="31"/>
  <c r="DA4" i="31"/>
  <c r="AO4" i="31"/>
  <c r="DS5" i="30"/>
  <c r="BG5" i="30"/>
  <c r="ES4" i="30"/>
  <c r="CG4" i="30"/>
  <c r="DA5" i="33"/>
  <c r="EH4" i="35"/>
  <c r="CJ5" i="33"/>
  <c r="DY4" i="35"/>
  <c r="BS5" i="33"/>
  <c r="X4" i="35"/>
  <c r="DV5" i="33"/>
  <c r="X4" i="33"/>
  <c r="AG4" i="36"/>
  <c r="BS4" i="35"/>
  <c r="BU5" i="34"/>
  <c r="I5" i="34"/>
  <c r="CU4" i="34"/>
  <c r="AI4" i="34"/>
  <c r="DU5" i="33"/>
  <c r="BI5" i="33"/>
  <c r="EU4" i="33"/>
  <c r="CI4" i="33"/>
  <c r="W4" i="33"/>
  <c r="DI5" i="32"/>
  <c r="AW5" i="32"/>
  <c r="A5" i="32"/>
  <c r="CM4" i="32"/>
  <c r="AA4" i="32"/>
  <c r="DM5" i="31"/>
  <c r="BA5" i="31"/>
  <c r="EM4" i="31"/>
  <c r="CA4" i="31"/>
  <c r="O4" i="31"/>
  <c r="DA5" i="30"/>
  <c r="AO5" i="30"/>
  <c r="EA4" i="30"/>
  <c r="BO4" i="30"/>
  <c r="C4" i="30"/>
  <c r="CO5" i="29"/>
  <c r="AC5" i="29"/>
  <c r="CM5" i="32"/>
  <c r="EH4" i="32"/>
  <c r="BV4" i="32"/>
  <c r="J4" i="32"/>
  <c r="CV5" i="31"/>
  <c r="AJ5" i="31"/>
  <c r="DV4" i="31"/>
  <c r="BJ4" i="31"/>
  <c r="EV5" i="30"/>
  <c r="CJ5" i="30"/>
  <c r="X5" i="30"/>
  <c r="DJ4" i="30"/>
  <c r="AX4" i="30"/>
  <c r="EJ5" i="29"/>
  <c r="BX5" i="29"/>
  <c r="L5" i="29"/>
  <c r="AE5" i="32"/>
  <c r="DQ4" i="32"/>
  <c r="BE4" i="32"/>
  <c r="EI5" i="31"/>
  <c r="BW5" i="31"/>
  <c r="K5" i="31"/>
  <c r="CW4" i="31"/>
  <c r="AK4" i="31"/>
  <c r="DW5" i="30"/>
  <c r="BK5" i="30"/>
  <c r="EW4" i="30"/>
  <c r="CK4" i="30"/>
  <c r="Y4" i="30"/>
  <c r="DC5" i="29"/>
  <c r="AQ5" i="29"/>
  <c r="EC4" i="29"/>
  <c r="EV4" i="32"/>
  <c r="CJ4" i="32"/>
  <c r="X4" i="32"/>
  <c r="DJ5" i="31"/>
  <c r="AX5" i="31"/>
  <c r="EJ4" i="31"/>
  <c r="BX4" i="31"/>
  <c r="L4" i="31"/>
  <c r="CX5" i="30"/>
  <c r="AL5" i="30"/>
  <c r="DX4" i="30"/>
  <c r="BL4" i="30"/>
  <c r="EX5" i="29"/>
  <c r="CL5" i="29"/>
  <c r="Z5" i="29"/>
  <c r="BO5" i="32"/>
  <c r="EE4" i="32"/>
  <c r="BS4" i="32"/>
  <c r="G4" i="32"/>
  <c r="CS5" i="31"/>
  <c r="AG5" i="31"/>
  <c r="DS4" i="31"/>
  <c r="BG4" i="31"/>
  <c r="ES5" i="30"/>
  <c r="CG5" i="30"/>
  <c r="U5" i="30"/>
  <c r="DG4" i="30"/>
  <c r="AU4" i="30"/>
  <c r="EG5" i="29"/>
  <c r="BU5" i="29"/>
  <c r="I5" i="29"/>
  <c r="AB5" i="32"/>
  <c r="DN4" i="32"/>
  <c r="BB4" i="32"/>
  <c r="EN5" i="31"/>
  <c r="CB5" i="31"/>
  <c r="P5" i="31"/>
  <c r="DB4" i="31"/>
  <c r="AP4" i="31"/>
  <c r="EB5" i="30"/>
  <c r="BP5" i="30"/>
  <c r="D5" i="30"/>
  <c r="CP4" i="30"/>
  <c r="AD4" i="30"/>
  <c r="DP5" i="29"/>
  <c r="BD5" i="29"/>
  <c r="EP4" i="29"/>
  <c r="S5" i="32"/>
  <c r="DE4" i="32"/>
  <c r="AS4" i="32"/>
  <c r="EE5" i="31"/>
  <c r="BS5" i="31"/>
  <c r="G5" i="31"/>
  <c r="CS4" i="31"/>
  <c r="AG4" i="31"/>
  <c r="DK5" i="30"/>
  <c r="AY5" i="30"/>
  <c r="EK4" i="30"/>
  <c r="BY4" i="30"/>
  <c r="BI4" i="30"/>
  <c r="EU5" i="29"/>
  <c r="CI5" i="29"/>
  <c r="W5" i="29"/>
  <c r="DI4" i="29"/>
  <c r="EJ4" i="32"/>
  <c r="BX4" i="32"/>
  <c r="L4" i="32"/>
  <c r="CX5" i="31"/>
  <c r="AL5" i="31"/>
  <c r="DX4" i="31"/>
  <c r="BL4" i="31"/>
  <c r="EX5" i="30"/>
  <c r="CL5" i="30"/>
  <c r="Z5" i="30"/>
  <c r="DL4" i="30"/>
  <c r="AZ4" i="30"/>
  <c r="EL5" i="29"/>
  <c r="BZ5" i="29"/>
  <c r="N5" i="29"/>
  <c r="DE4" i="29"/>
  <c r="AS4" i="29"/>
  <c r="EE5" i="28"/>
  <c r="BS5" i="28"/>
  <c r="G5" i="28"/>
  <c r="CS4" i="28"/>
  <c r="AG4" i="28"/>
  <c r="DK5" i="27"/>
  <c r="AY5" i="27"/>
  <c r="EK4" i="27"/>
  <c r="BY4" i="27"/>
  <c r="M4" i="27"/>
  <c r="CY5" i="26"/>
  <c r="DD4" i="29"/>
  <c r="AR4" i="29"/>
  <c r="ED5" i="28"/>
  <c r="BR5" i="28"/>
  <c r="F5" i="28"/>
  <c r="CR4" i="28"/>
  <c r="AF4" i="28"/>
  <c r="DR5" i="27"/>
  <c r="BF5" i="27"/>
  <c r="ER4" i="27"/>
  <c r="CF4" i="27"/>
  <c r="T4" i="27"/>
  <c r="DF5" i="26"/>
  <c r="AT5" i="26"/>
  <c r="EF4" i="26"/>
  <c r="BT4" i="26"/>
  <c r="CU4" i="29"/>
  <c r="AI4" i="29"/>
  <c r="DU5" i="28"/>
  <c r="BI5" i="28"/>
  <c r="EU4" i="28"/>
  <c r="CI4" i="28"/>
  <c r="W4" i="28"/>
  <c r="DI5" i="27"/>
  <c r="AW5" i="27"/>
  <c r="EI4" i="27"/>
  <c r="BW4" i="27"/>
  <c r="K4" i="27"/>
  <c r="CW5" i="26"/>
  <c r="AK5" i="26"/>
  <c r="DW4" i="26"/>
  <c r="BK4" i="26"/>
  <c r="CL4" i="29"/>
  <c r="Z4" i="29"/>
  <c r="DL5" i="28"/>
  <c r="AZ5" i="28"/>
  <c r="EL4" i="28"/>
  <c r="BZ4" i="28"/>
  <c r="N4" i="28"/>
  <c r="CZ5" i="27"/>
  <c r="AN5" i="27"/>
  <c r="DZ4" i="27"/>
  <c r="BN4" i="27"/>
  <c r="B4" i="27"/>
  <c r="CN5" i="26"/>
  <c r="AB5" i="26"/>
  <c r="DN4" i="26"/>
  <c r="BB4" i="26"/>
  <c r="CC4" i="29"/>
  <c r="Q4" i="29"/>
  <c r="CU5" i="28"/>
  <c r="AI5" i="28"/>
  <c r="DU4" i="28"/>
  <c r="BI4" i="28"/>
  <c r="EU5" i="27"/>
  <c r="CI5" i="27"/>
  <c r="W5" i="27"/>
  <c r="DI4" i="27"/>
  <c r="AW4" i="27"/>
  <c r="EA5" i="26"/>
  <c r="BO5" i="26"/>
  <c r="C5" i="26"/>
  <c r="CO4" i="26"/>
  <c r="DH4" i="29"/>
  <c r="AV4" i="29"/>
  <c r="EH5" i="28"/>
  <c r="BV5" i="28"/>
  <c r="J5" i="28"/>
  <c r="CV4" i="28"/>
  <c r="AJ4" i="28"/>
  <c r="DV5" i="27"/>
  <c r="BJ5" i="27"/>
  <c r="EV4" i="27"/>
  <c r="CJ4" i="27"/>
  <c r="X4" i="27"/>
  <c r="DJ5" i="26"/>
  <c r="AX5" i="26"/>
  <c r="EJ4" i="26"/>
  <c r="BX4" i="26"/>
  <c r="CY4" i="29"/>
  <c r="AM4" i="29"/>
  <c r="DY5" i="28"/>
  <c r="BM5" i="28"/>
  <c r="A5" i="28"/>
  <c r="CM4" i="28"/>
  <c r="AA4" i="28"/>
  <c r="DM5" i="27"/>
  <c r="BA5" i="27"/>
  <c r="EM4" i="27"/>
  <c r="CA4" i="27"/>
  <c r="O4" i="27"/>
  <c r="DA5" i="26"/>
  <c r="AO5" i="26"/>
  <c r="EA4" i="26"/>
  <c r="BO4" i="26"/>
  <c r="BA4" i="30"/>
  <c r="EM5" i="29"/>
  <c r="CA5" i="29"/>
  <c r="O5" i="29"/>
  <c r="AX5" i="32"/>
  <c r="EB4" i="32"/>
  <c r="BP4" i="32"/>
  <c r="D4" i="32"/>
  <c r="CP5" i="31"/>
  <c r="AD5" i="31"/>
  <c r="DP4" i="31"/>
  <c r="BD4" i="31"/>
  <c r="EP5" i="30"/>
  <c r="CD5" i="30"/>
  <c r="R5" i="30"/>
  <c r="DD4" i="30"/>
  <c r="AR4" i="30"/>
  <c r="ED5" i="29"/>
  <c r="BR5" i="29"/>
  <c r="F5" i="29"/>
  <c r="CW4" i="29"/>
  <c r="AK4" i="29"/>
  <c r="DW5" i="28"/>
  <c r="BK5" i="28"/>
  <c r="EW4" i="28"/>
  <c r="CK4" i="28"/>
  <c r="Y4" i="28"/>
  <c r="DC5" i="27"/>
  <c r="AQ5" i="27"/>
  <c r="EC4" i="27"/>
  <c r="BQ4" i="27"/>
  <c r="E4" i="27"/>
  <c r="CQ5" i="26"/>
  <c r="CV4" i="29"/>
  <c r="AJ4" i="29"/>
  <c r="DV5" i="28"/>
  <c r="BJ5" i="28"/>
  <c r="EV4" i="28"/>
  <c r="CJ4" i="28"/>
  <c r="X4" i="28"/>
  <c r="DJ5" i="27"/>
  <c r="AX5" i="27"/>
  <c r="EJ4" i="27"/>
  <c r="BX4" i="27"/>
  <c r="L4" i="27"/>
  <c r="CX5" i="26"/>
  <c r="AL5" i="26"/>
  <c r="DX4" i="26"/>
  <c r="BL4" i="26"/>
  <c r="CM4" i="29"/>
  <c r="AA4" i="29"/>
  <c r="DM5" i="28"/>
  <c r="BA5" i="28"/>
  <c r="EM4" i="28"/>
  <c r="CA4" i="28"/>
  <c r="O4" i="28"/>
  <c r="DA5" i="27"/>
  <c r="AO5" i="27"/>
  <c r="EA4" i="27"/>
  <c r="BO4" i="27"/>
  <c r="C4" i="27"/>
  <c r="CO5" i="26"/>
  <c r="AC5" i="26"/>
  <c r="DO4" i="26"/>
  <c r="BC4" i="26"/>
  <c r="CD4" i="29"/>
  <c r="R4" i="29"/>
  <c r="DD5" i="28"/>
  <c r="AR5" i="28"/>
  <c r="ED4" i="28"/>
  <c r="BR4" i="28"/>
  <c r="F4" i="28"/>
  <c r="CR5" i="27"/>
  <c r="AF5" i="27"/>
  <c r="DR4" i="27"/>
  <c r="BF4" i="27"/>
  <c r="ER5" i="26"/>
  <c r="CF5" i="26"/>
  <c r="T5" i="26"/>
  <c r="DF4" i="26"/>
  <c r="AT4" i="26"/>
  <c r="BU4" i="29"/>
  <c r="I4" i="29"/>
  <c r="CM5" i="28"/>
  <c r="AA5" i="28"/>
  <c r="DM4" i="28"/>
  <c r="BA4" i="28"/>
  <c r="EM5" i="27"/>
  <c r="CA5" i="27"/>
  <c r="O5" i="27"/>
  <c r="DA4" i="27"/>
  <c r="AO4" i="27"/>
  <c r="DS5" i="26"/>
  <c r="BG5" i="26"/>
  <c r="ES4" i="26"/>
  <c r="CG4" i="26"/>
  <c r="CZ4" i="29"/>
  <c r="AN4" i="29"/>
  <c r="DZ5" i="28"/>
  <c r="BN5" i="28"/>
  <c r="B5" i="28"/>
  <c r="CN4" i="28"/>
  <c r="AB4" i="28"/>
  <c r="DN5" i="27"/>
  <c r="BB5" i="27"/>
  <c r="EN4" i="27"/>
  <c r="CB4" i="27"/>
  <c r="P4" i="27"/>
  <c r="DB5" i="26"/>
  <c r="AP5" i="26"/>
  <c r="EB4" i="26"/>
  <c r="BP4" i="26"/>
  <c r="CQ4" i="29"/>
  <c r="AE4" i="29"/>
  <c r="DQ5" i="28"/>
  <c r="BE5" i="28"/>
  <c r="EQ4" i="28"/>
  <c r="CE4" i="28"/>
  <c r="S4" i="28"/>
  <c r="DE5" i="27"/>
  <c r="AS5" i="27"/>
  <c r="EE4" i="27"/>
  <c r="BS4" i="27"/>
  <c r="G4" i="27"/>
  <c r="CS5" i="26"/>
  <c r="AG5" i="26"/>
  <c r="DS4" i="26"/>
  <c r="BG4" i="26"/>
  <c r="AS4" i="30"/>
  <c r="EE5" i="29"/>
  <c r="BS5" i="29"/>
  <c r="G5" i="29"/>
  <c r="AH5" i="32"/>
  <c r="DT4" i="32"/>
  <c r="BH4" i="32"/>
  <c r="ET5" i="31"/>
  <c r="CH5" i="31"/>
  <c r="V5" i="31"/>
  <c r="DH4" i="31"/>
  <c r="AV4" i="31"/>
  <c r="EH5" i="30"/>
  <c r="BV5" i="30"/>
  <c r="J5" i="30"/>
  <c r="CV4" i="30"/>
  <c r="AJ4" i="30"/>
  <c r="DV5" i="29"/>
  <c r="BJ5" i="29"/>
  <c r="EV4" i="29"/>
  <c r="CO4" i="29"/>
  <c r="AC4" i="29"/>
  <c r="DO5" i="28"/>
  <c r="BC5" i="28"/>
  <c r="EO4" i="28"/>
  <c r="CC4" i="28"/>
  <c r="Q4" i="28"/>
  <c r="CU5" i="27"/>
  <c r="AI5" i="27"/>
  <c r="DU4" i="27"/>
  <c r="BI4" i="27"/>
  <c r="EU5" i="26"/>
  <c r="CI5" i="26"/>
  <c r="CN4" i="29"/>
  <c r="AB4" i="29"/>
  <c r="DN5" i="28"/>
  <c r="BB5" i="28"/>
  <c r="EN4" i="28"/>
  <c r="CB4" i="28"/>
  <c r="P4" i="28"/>
  <c r="DB5" i="27"/>
  <c r="AP5" i="27"/>
  <c r="EB4" i="27"/>
  <c r="BP4" i="27"/>
  <c r="D4" i="27"/>
  <c r="CP5" i="26"/>
  <c r="AD5" i="26"/>
  <c r="DP4" i="26"/>
  <c r="BD4" i="26"/>
  <c r="CE4" i="29"/>
  <c r="S4" i="29"/>
  <c r="DE5" i="28"/>
  <c r="AS5" i="28"/>
  <c r="EE4" i="28"/>
  <c r="BS4" i="28"/>
  <c r="G4" i="28"/>
  <c r="CS5" i="27"/>
  <c r="AG5" i="27"/>
  <c r="DS4" i="27"/>
  <c r="BG4" i="27"/>
  <c r="ES5" i="26"/>
  <c r="CG5" i="26"/>
  <c r="U5" i="26"/>
  <c r="DG4" i="26"/>
  <c r="AU4" i="26"/>
  <c r="BV4" i="29"/>
  <c r="J4" i="29"/>
  <c r="CV5" i="28"/>
  <c r="AJ5" i="28"/>
  <c r="DV4" i="28"/>
  <c r="BJ4" i="28"/>
  <c r="EV5" i="27"/>
  <c r="CJ5" i="27"/>
  <c r="X5" i="27"/>
  <c r="DJ4" i="27"/>
  <c r="AX4" i="27"/>
  <c r="EJ5" i="26"/>
  <c r="BX5" i="26"/>
  <c r="L5" i="26"/>
  <c r="CX4" i="26"/>
  <c r="AL4" i="26"/>
  <c r="BM4" i="29"/>
  <c r="EQ5" i="28"/>
  <c r="CE5" i="28"/>
  <c r="S5" i="28"/>
  <c r="DE4" i="28"/>
  <c r="AS4" i="28"/>
  <c r="EE5" i="27"/>
  <c r="BS5" i="27"/>
  <c r="G5" i="27"/>
  <c r="CS4" i="27"/>
  <c r="AG4" i="27"/>
  <c r="DK5" i="26"/>
  <c r="AY5" i="26"/>
  <c r="EK4" i="26"/>
  <c r="BY4" i="26"/>
  <c r="CR4" i="29"/>
  <c r="AF4" i="29"/>
  <c r="DR5" i="28"/>
  <c r="BF5" i="28"/>
  <c r="ER4" i="28"/>
  <c r="CF4" i="28"/>
  <c r="T4" i="28"/>
  <c r="DF5" i="27"/>
  <c r="AT5" i="27"/>
  <c r="EF4" i="27"/>
  <c r="BT4" i="27"/>
  <c r="H4" i="27"/>
  <c r="CT5" i="26"/>
  <c r="AH5" i="26"/>
  <c r="DT4" i="26"/>
  <c r="BH4" i="26"/>
  <c r="CI4" i="29"/>
  <c r="W4" i="29"/>
  <c r="DI5" i="28"/>
  <c r="AW5" i="28"/>
  <c r="EI4" i="28"/>
  <c r="BW4" i="28"/>
  <c r="K4" i="28"/>
  <c r="CW5" i="27"/>
  <c r="AK5" i="27"/>
  <c r="DW4" i="27"/>
  <c r="BK4" i="27"/>
  <c r="EW5" i="26"/>
  <c r="CK5" i="26"/>
  <c r="Y5" i="26"/>
  <c r="DK4" i="26"/>
  <c r="AY4" i="26"/>
  <c r="AK4" i="30"/>
  <c r="DW5" i="29"/>
  <c r="BK5" i="29"/>
  <c r="EW4" i="29"/>
  <c r="Z5" i="32"/>
  <c r="DL4" i="32"/>
  <c r="AZ4" i="32"/>
  <c r="EL5" i="31"/>
  <c r="BZ5" i="31"/>
  <c r="N5" i="31"/>
  <c r="CZ4" i="31"/>
  <c r="AN4" i="31"/>
  <c r="DZ5" i="30"/>
  <c r="BN5" i="30"/>
  <c r="B5" i="30"/>
  <c r="CN4" i="30"/>
  <c r="AB4" i="30"/>
  <c r="DN5" i="29"/>
  <c r="BB5" i="29"/>
  <c r="EN4" i="29"/>
  <c r="CG4" i="29"/>
  <c r="U4" i="29"/>
  <c r="DG5" i="28"/>
  <c r="AU5" i="28"/>
  <c r="EG4" i="28"/>
  <c r="BU4" i="28"/>
  <c r="I4" i="28"/>
  <c r="CM5" i="27"/>
  <c r="AA5" i="27"/>
  <c r="DM4" i="27"/>
  <c r="BA4" i="27"/>
  <c r="EM5" i="26"/>
  <c r="CA5" i="26"/>
  <c r="CF4" i="29"/>
  <c r="T4" i="29"/>
  <c r="DF5" i="28"/>
  <c r="AT5" i="28"/>
  <c r="EF4" i="28"/>
  <c r="BT4" i="28"/>
  <c r="H4" i="28"/>
  <c r="CT5" i="27"/>
  <c r="AH5" i="27"/>
  <c r="DT4" i="27"/>
  <c r="BH4" i="27"/>
  <c r="ET5" i="26"/>
  <c r="CH5" i="26"/>
  <c r="V5" i="26"/>
  <c r="DH4" i="26"/>
  <c r="AV4" i="26"/>
  <c r="BW4" i="29"/>
  <c r="K4" i="29"/>
  <c r="CW5" i="28"/>
  <c r="AK5" i="28"/>
  <c r="DW4" i="28"/>
  <c r="BK4" i="28"/>
  <c r="EW5" i="27"/>
  <c r="CK5" i="27"/>
  <c r="Y5" i="27"/>
  <c r="DK4" i="27"/>
  <c r="AY4" i="27"/>
  <c r="EK5" i="26"/>
  <c r="BY5" i="26"/>
  <c r="M5" i="26"/>
  <c r="CY4" i="26"/>
  <c r="AM4" i="26"/>
  <c r="BN4" i="29"/>
  <c r="B4" i="29"/>
  <c r="CN5" i="28"/>
  <c r="AB5" i="28"/>
  <c r="DN4" i="28"/>
  <c r="BB4" i="28"/>
  <c r="EN5" i="27"/>
  <c r="CB5" i="27"/>
  <c r="P5" i="27"/>
  <c r="DB4" i="27"/>
  <c r="AP4" i="27"/>
  <c r="EB5" i="26"/>
  <c r="BP5" i="26"/>
  <c r="D5" i="26"/>
  <c r="CP4" i="26"/>
  <c r="AD4" i="26"/>
  <c r="BE4" i="29"/>
  <c r="EI5" i="28"/>
  <c r="BW5" i="28"/>
  <c r="K5" i="28"/>
  <c r="CW4" i="28"/>
  <c r="AK4" i="28"/>
  <c r="DW5" i="27"/>
  <c r="BK5" i="27"/>
  <c r="EW4" i="27"/>
  <c r="CK4" i="27"/>
  <c r="Y4" i="27"/>
  <c r="DC5" i="26"/>
  <c r="AQ5" i="26"/>
  <c r="EC4" i="26"/>
  <c r="BQ4" i="26"/>
  <c r="CJ4" i="29"/>
  <c r="X4" i="29"/>
  <c r="DJ5" i="28"/>
  <c r="AX5" i="28"/>
  <c r="EJ4" i="28"/>
  <c r="BX4" i="28"/>
  <c r="L4" i="28"/>
  <c r="CX5" i="27"/>
  <c r="AL5" i="27"/>
  <c r="DX4" i="27"/>
  <c r="BL4" i="27"/>
  <c r="EX5" i="26"/>
  <c r="CL5" i="26"/>
  <c r="Z5" i="26"/>
  <c r="DL4" i="26"/>
  <c r="AZ4" i="26"/>
  <c r="CA4" i="29"/>
  <c r="O4" i="29"/>
  <c r="DA5" i="28"/>
  <c r="AO5" i="28"/>
  <c r="EA4" i="28"/>
  <c r="BO4" i="28"/>
  <c r="C4" i="28"/>
  <c r="CO5" i="27"/>
  <c r="AC5" i="27"/>
  <c r="DO4" i="27"/>
  <c r="BC4" i="27"/>
  <c r="EO5" i="26"/>
  <c r="CC5" i="26"/>
  <c r="Q5" i="26"/>
  <c r="DC4" i="26"/>
  <c r="AC4" i="30"/>
  <c r="DO5" i="29"/>
  <c r="BC5" i="29"/>
  <c r="EO4" i="29"/>
  <c r="R5" i="32"/>
  <c r="DD4" i="32"/>
  <c r="AR4" i="32"/>
  <c r="ED5" i="31"/>
  <c r="BR5" i="31"/>
  <c r="F5" i="31"/>
  <c r="CR4" i="31"/>
  <c r="AF4" i="31"/>
  <c r="DR5" i="30"/>
  <c r="BF5" i="30"/>
  <c r="ER4" i="30"/>
  <c r="CF4" i="30"/>
  <c r="T4" i="30"/>
  <c r="DF5" i="29"/>
  <c r="AT5" i="29"/>
  <c r="EF4" i="29"/>
  <c r="BY4" i="29"/>
  <c r="M4" i="29"/>
  <c r="CY5" i="28"/>
  <c r="AM5" i="28"/>
  <c r="DY4" i="28"/>
  <c r="BM4" i="28"/>
  <c r="EQ5" i="27"/>
  <c r="CE5" i="27"/>
  <c r="S5" i="27"/>
  <c r="DE4" i="27"/>
  <c r="AS4" i="27"/>
  <c r="EE5" i="26"/>
  <c r="BS5" i="26"/>
  <c r="BX4" i="29"/>
  <c r="L4" i="29"/>
  <c r="CX5" i="28"/>
  <c r="AL5" i="28"/>
  <c r="DX4" i="28"/>
  <c r="BL4" i="28"/>
  <c r="EX5" i="27"/>
  <c r="CL5" i="27"/>
  <c r="Z5" i="27"/>
  <c r="DL4" i="27"/>
  <c r="AZ4" i="27"/>
  <c r="EL5" i="26"/>
  <c r="BZ5" i="26"/>
  <c r="N5" i="26"/>
  <c r="CZ4" i="26"/>
  <c r="AN4" i="26"/>
  <c r="BO4" i="29"/>
  <c r="C4" i="29"/>
  <c r="CO5" i="28"/>
  <c r="AC5" i="28"/>
  <c r="DO4" i="28"/>
  <c r="BC4" i="28"/>
  <c r="EO5" i="27"/>
  <c r="CC5" i="27"/>
  <c r="Q5" i="27"/>
  <c r="DC4" i="27"/>
  <c r="AQ4" i="27"/>
  <c r="EC5" i="26"/>
  <c r="BQ5" i="26"/>
  <c r="E5" i="26"/>
  <c r="CQ4" i="26"/>
  <c r="AE4" i="26"/>
  <c r="BF4" i="29"/>
  <c r="ER5" i="28"/>
  <c r="CF5" i="28"/>
  <c r="T5" i="28"/>
  <c r="DF4" i="28"/>
  <c r="AT4" i="28"/>
  <c r="EF5" i="27"/>
  <c r="BT5" i="27"/>
  <c r="H5" i="27"/>
  <c r="CT4" i="27"/>
  <c r="AH4" i="27"/>
  <c r="DT5" i="26"/>
  <c r="BH5" i="26"/>
  <c r="ET4" i="26"/>
  <c r="CH4" i="26"/>
  <c r="DK4" i="29"/>
  <c r="AW4" i="29"/>
  <c r="EA5" i="28"/>
  <c r="BO5" i="28"/>
  <c r="C5" i="28"/>
  <c r="CO4" i="28"/>
  <c r="AC4" i="28"/>
  <c r="DO5" i="27"/>
  <c r="BC5" i="27"/>
  <c r="EO4" i="27"/>
  <c r="CC4" i="27"/>
  <c r="Q4" i="27"/>
  <c r="CU5" i="26"/>
  <c r="AI5" i="26"/>
  <c r="DU4" i="26"/>
  <c r="BI4" i="26"/>
  <c r="CB4" i="29"/>
  <c r="P4" i="29"/>
  <c r="DB5" i="28"/>
  <c r="AP5" i="28"/>
  <c r="EB4" i="28"/>
  <c r="BP4" i="28"/>
  <c r="D4" i="28"/>
  <c r="CP5" i="27"/>
  <c r="AD5" i="27"/>
  <c r="DP4" i="27"/>
  <c r="BD4" i="27"/>
  <c r="EP5" i="26"/>
  <c r="CD5" i="26"/>
  <c r="R5" i="26"/>
  <c r="DD4" i="26"/>
  <c r="AR4" i="26"/>
  <c r="BS4" i="29"/>
  <c r="G4" i="29"/>
  <c r="CS5" i="28"/>
  <c r="AG5" i="28"/>
  <c r="DS4" i="28"/>
  <c r="BG4" i="28"/>
  <c r="ES5" i="27"/>
  <c r="CG5" i="27"/>
  <c r="U5" i="27"/>
  <c r="DG4" i="27"/>
  <c r="AU4" i="27"/>
  <c r="EG5" i="26"/>
  <c r="BU5" i="26"/>
  <c r="I5" i="26"/>
  <c r="CU4" i="26"/>
  <c r="U4" i="30"/>
  <c r="DG5" i="29"/>
  <c r="AU5" i="29"/>
  <c r="EG4" i="29"/>
  <c r="J5" i="32"/>
  <c r="CV4" i="32"/>
  <c r="AJ4" i="32"/>
  <c r="DV5" i="31"/>
  <c r="BJ5" i="31"/>
  <c r="EV4" i="31"/>
  <c r="CJ4" i="31"/>
  <c r="X4" i="31"/>
  <c r="DJ5" i="30"/>
  <c r="AX5" i="30"/>
  <c r="EJ4" i="30"/>
  <c r="BX4" i="30"/>
  <c r="L4" i="30"/>
  <c r="CX5" i="29"/>
  <c r="AL5" i="29"/>
  <c r="DX4" i="29"/>
  <c r="BQ4" i="29"/>
  <c r="E4" i="29"/>
  <c r="CQ5" i="28"/>
  <c r="AE5" i="28"/>
  <c r="DQ4" i="28"/>
  <c r="BE4" i="28"/>
  <c r="EI5" i="27"/>
  <c r="BW5" i="27"/>
  <c r="K5" i="27"/>
  <c r="CW4" i="27"/>
  <c r="AK4" i="27"/>
  <c r="DW5" i="26"/>
  <c r="BK5" i="26"/>
  <c r="BP4" i="29"/>
  <c r="D4" i="29"/>
  <c r="CP5" i="28"/>
  <c r="AD5" i="28"/>
  <c r="DP4" i="28"/>
  <c r="BD4" i="28"/>
  <c r="EP5" i="27"/>
  <c r="CD5" i="27"/>
  <c r="R5" i="27"/>
  <c r="DD4" i="27"/>
  <c r="AR4" i="27"/>
  <c r="ED5" i="26"/>
  <c r="BR5" i="26"/>
  <c r="F5" i="26"/>
  <c r="CR4" i="26"/>
  <c r="AF4" i="26"/>
  <c r="BG4" i="29"/>
  <c r="ES5" i="28"/>
  <c r="CG5" i="28"/>
  <c r="U5" i="28"/>
  <c r="DG4" i="28"/>
  <c r="AU4" i="28"/>
  <c r="EG5" i="27"/>
  <c r="BU5" i="27"/>
  <c r="I5" i="27"/>
  <c r="CU4" i="27"/>
  <c r="AI4" i="27"/>
  <c r="DU5" i="26"/>
  <c r="BI5" i="26"/>
  <c r="EU4" i="26"/>
  <c r="CI4" i="26"/>
  <c r="DL4" i="29"/>
  <c r="AX4" i="29"/>
  <c r="EJ5" i="28"/>
  <c r="BX5" i="28"/>
  <c r="L5" i="28"/>
  <c r="CX4" i="28"/>
  <c r="AL4" i="28"/>
  <c r="DX5" i="27"/>
  <c r="BL5" i="27"/>
  <c r="EX4" i="27"/>
  <c r="CL4" i="27"/>
  <c r="Z4" i="27"/>
  <c r="DL5" i="26"/>
  <c r="AZ5" i="26"/>
  <c r="EL4" i="26"/>
  <c r="BZ4" i="26"/>
  <c r="DA4" i="29"/>
  <c r="AO4" i="29"/>
  <c r="DS5" i="28"/>
  <c r="BG5" i="28"/>
  <c r="ES4" i="28"/>
  <c r="CG4" i="28"/>
  <c r="U4" i="28"/>
  <c r="DG5" i="27"/>
  <c r="AU5" i="27"/>
  <c r="EG4" i="27"/>
  <c r="BU4" i="27"/>
  <c r="I4" i="27"/>
  <c r="CM5" i="26"/>
  <c r="AA5" i="26"/>
  <c r="DM4" i="26"/>
  <c r="BA4" i="26"/>
  <c r="BT4" i="29"/>
  <c r="H4" i="29"/>
  <c r="CT5" i="28"/>
  <c r="AH5" i="28"/>
  <c r="DT4" i="28"/>
  <c r="BH4" i="28"/>
  <c r="ET5" i="27"/>
  <c r="CH5" i="27"/>
  <c r="V5" i="27"/>
  <c r="DH4" i="27"/>
  <c r="AV4" i="27"/>
  <c r="EH5" i="26"/>
  <c r="BV5" i="26"/>
  <c r="J5" i="26"/>
  <c r="CV4" i="26"/>
  <c r="AJ4" i="26"/>
  <c r="BK4" i="29"/>
  <c r="EW5" i="28"/>
  <c r="CK5" i="28"/>
  <c r="Y5" i="28"/>
  <c r="DK4" i="28"/>
  <c r="AY4" i="28"/>
  <c r="EK5" i="27"/>
  <c r="BY5" i="27"/>
  <c r="M5" i="27"/>
  <c r="CY4" i="27"/>
  <c r="AM4" i="27"/>
  <c r="DY5" i="26"/>
  <c r="BM5" i="26"/>
  <c r="A5" i="26"/>
  <c r="CM4" i="26"/>
  <c r="M4" i="30"/>
  <c r="CY5" i="29"/>
  <c r="AM5" i="29"/>
  <c r="DY4" i="29"/>
  <c r="B5" i="32"/>
  <c r="CN4" i="32"/>
  <c r="AB4" i="32"/>
  <c r="DN5" i="31"/>
  <c r="BB5" i="31"/>
  <c r="EN4" i="31"/>
  <c r="CB4" i="31"/>
  <c r="P4" i="31"/>
  <c r="DB5" i="30"/>
  <c r="AP5" i="30"/>
  <c r="EB4" i="30"/>
  <c r="BP4" i="30"/>
  <c r="D4" i="30"/>
  <c r="CP5" i="29"/>
  <c r="AD5" i="29"/>
  <c r="DP4" i="29"/>
  <c r="BI4" i="29"/>
  <c r="EU5" i="28"/>
  <c r="CI5" i="28"/>
  <c r="W5" i="28"/>
  <c r="DI4" i="28"/>
  <c r="AW4" i="28"/>
  <c r="EA5" i="27"/>
  <c r="BO5" i="27"/>
  <c r="C5" i="27"/>
  <c r="CO4" i="27"/>
  <c r="AC4" i="27"/>
  <c r="DO5" i="26"/>
  <c r="BC5" i="26"/>
  <c r="BH4" i="29"/>
  <c r="ET5" i="28"/>
  <c r="CH5" i="28"/>
  <c r="V5" i="28"/>
  <c r="DH4" i="28"/>
  <c r="AV4" i="28"/>
  <c r="EH5" i="27"/>
  <c r="BV5" i="27"/>
  <c r="J5" i="27"/>
  <c r="CV4" i="27"/>
  <c r="AJ4" i="27"/>
  <c r="DV5" i="26"/>
  <c r="BJ5" i="26"/>
  <c r="EV4" i="26"/>
  <c r="CJ4" i="26"/>
  <c r="DM4" i="29"/>
  <c r="AY4" i="29"/>
  <c r="EK5" i="28"/>
  <c r="BY5" i="28"/>
  <c r="M5" i="28"/>
  <c r="CY4" i="28"/>
  <c r="AM4" i="28"/>
  <c r="DY5" i="27"/>
  <c r="BM5" i="27"/>
  <c r="A5" i="27"/>
  <c r="CM4" i="27"/>
  <c r="AA4" i="27"/>
  <c r="DM5" i="26"/>
  <c r="BA5" i="26"/>
  <c r="EM4" i="26"/>
  <c r="CA4" i="26"/>
  <c r="DB4" i="29"/>
  <c r="AP4" i="29"/>
  <c r="EB5" i="28"/>
  <c r="BP5" i="28"/>
  <c r="D5" i="28"/>
  <c r="CP4" i="28"/>
  <c r="AD4" i="28"/>
  <c r="DP5" i="27"/>
  <c r="BD5" i="27"/>
  <c r="EP4" i="27"/>
  <c r="CD4" i="27"/>
  <c r="R4" i="27"/>
  <c r="DD5" i="26"/>
  <c r="AR5" i="26"/>
  <c r="ED4" i="26"/>
  <c r="BR4" i="26"/>
  <c r="CS4" i="29"/>
  <c r="AG4" i="29"/>
  <c r="DK5" i="28"/>
  <c r="AY5" i="28"/>
  <c r="EK4" i="28"/>
  <c r="BY4" i="28"/>
  <c r="M4" i="28"/>
  <c r="CY5" i="27"/>
  <c r="AM5" i="27"/>
  <c r="DY4" i="27"/>
  <c r="BM4" i="27"/>
  <c r="EQ5" i="26"/>
  <c r="CE5" i="26"/>
  <c r="S5" i="26"/>
  <c r="DE4" i="26"/>
  <c r="AS4" i="26"/>
  <c r="BL4" i="29"/>
  <c r="EX5" i="28"/>
  <c r="CL5" i="28"/>
  <c r="Z5" i="28"/>
  <c r="DL4" i="28"/>
  <c r="AZ4" i="28"/>
  <c r="EL5" i="27"/>
  <c r="BZ5" i="27"/>
  <c r="N5" i="27"/>
  <c r="CZ4" i="27"/>
  <c r="AN4" i="27"/>
  <c r="DZ5" i="26"/>
  <c r="BN5" i="26"/>
  <c r="B5" i="26"/>
  <c r="CN4" i="26"/>
  <c r="AB4" i="26"/>
  <c r="BC4" i="29"/>
  <c r="EO5" i="28"/>
  <c r="CC5" i="28"/>
  <c r="Q5" i="28"/>
  <c r="DC4" i="28"/>
  <c r="AQ4" i="28"/>
  <c r="EC5" i="27"/>
  <c r="BQ5" i="27"/>
  <c r="E5" i="27"/>
  <c r="CQ4" i="27"/>
  <c r="AE4" i="27"/>
  <c r="DQ5" i="26"/>
  <c r="BE5" i="26"/>
  <c r="EQ4" i="26"/>
  <c r="CE4" i="26"/>
  <c r="E4" i="30"/>
  <c r="CQ5" i="29"/>
  <c r="AE5" i="29"/>
  <c r="DQ4" i="29"/>
  <c r="ER4" i="32"/>
  <c r="CF4" i="32"/>
  <c r="T4" i="32"/>
  <c r="DF5" i="31"/>
  <c r="AT5" i="31"/>
  <c r="EF4" i="31"/>
  <c r="BT4" i="31"/>
  <c r="H4" i="31"/>
  <c r="CT5" i="30"/>
  <c r="AH5" i="30"/>
  <c r="DT4" i="30"/>
  <c r="BH4" i="30"/>
  <c r="ET5" i="29"/>
  <c r="CH5" i="29"/>
  <c r="V5" i="29"/>
  <c r="DO4" i="29"/>
  <c r="BA4" i="29"/>
  <c r="EM5" i="28"/>
  <c r="CA5" i="28"/>
  <c r="O5" i="28"/>
  <c r="DA4" i="28"/>
  <c r="AO4" i="28"/>
  <c r="DS5" i="27"/>
  <c r="BG5" i="27"/>
  <c r="ES4" i="27"/>
  <c r="CG4" i="27"/>
  <c r="U4" i="27"/>
  <c r="DG5" i="26"/>
  <c r="DN4" i="29"/>
  <c r="AZ4" i="29"/>
  <c r="EL5" i="28"/>
  <c r="BZ5" i="28"/>
  <c r="N5" i="28"/>
  <c r="CZ4" i="28"/>
  <c r="AN4" i="28"/>
  <c r="DZ5" i="27"/>
  <c r="BN5" i="27"/>
  <c r="B5" i="27"/>
  <c r="CN4" i="27"/>
  <c r="AB4" i="27"/>
  <c r="DN5" i="26"/>
  <c r="BB5" i="26"/>
  <c r="EN4" i="26"/>
  <c r="CB4" i="26"/>
  <c r="DC4" i="29"/>
  <c r="AQ4" i="29"/>
  <c r="EC5" i="28"/>
  <c r="BQ5" i="28"/>
  <c r="E5" i="28"/>
  <c r="CQ4" i="28"/>
  <c r="AE4" i="28"/>
  <c r="DQ5" i="27"/>
  <c r="BE5" i="27"/>
  <c r="EQ4" i="27"/>
  <c r="CE4" i="27"/>
  <c r="S4" i="27"/>
  <c r="DE5" i="26"/>
  <c r="AS5" i="26"/>
  <c r="EE4" i="26"/>
  <c r="BS4" i="26"/>
  <c r="CT4" i="29"/>
  <c r="AH4" i="29"/>
  <c r="DT5" i="28"/>
  <c r="BH5" i="28"/>
  <c r="ET4" i="28"/>
  <c r="CH4" i="28"/>
  <c r="V4" i="28"/>
  <c r="DH5" i="27"/>
  <c r="AV5" i="27"/>
  <c r="EH4" i="27"/>
  <c r="BV4" i="27"/>
  <c r="J4" i="27"/>
  <c r="CV5" i="26"/>
  <c r="AJ5" i="26"/>
  <c r="DV4" i="26"/>
  <c r="BJ4" i="26"/>
  <c r="CK4" i="29"/>
  <c r="Y4" i="29"/>
  <c r="DC5" i="28"/>
  <c r="AQ5" i="28"/>
  <c r="EC4" i="28"/>
  <c r="BQ4" i="28"/>
  <c r="E4" i="28"/>
  <c r="CQ5" i="27"/>
  <c r="AE5" i="27"/>
  <c r="DQ4" i="27"/>
  <c r="BE4" i="27"/>
  <c r="EI5" i="26"/>
  <c r="BW5" i="26"/>
  <c r="K5" i="26"/>
  <c r="CW4" i="26"/>
  <c r="AK4" i="26"/>
  <c r="BD4" i="29"/>
  <c r="EP5" i="28"/>
  <c r="CD5" i="28"/>
  <c r="R5" i="28"/>
  <c r="DD4" i="28"/>
  <c r="AR4" i="28"/>
  <c r="ED5" i="27"/>
  <c r="BR5" i="27"/>
  <c r="F5" i="27"/>
  <c r="CR4" i="27"/>
  <c r="AF4" i="27"/>
  <c r="DR5" i="26"/>
  <c r="BF5" i="26"/>
  <c r="ER4" i="26"/>
  <c r="CF4" i="26"/>
  <c r="DG4" i="29"/>
  <c r="AU4" i="29"/>
  <c r="EG5" i="28"/>
  <c r="BU5" i="28"/>
  <c r="I5" i="28"/>
  <c r="CU4" i="28"/>
  <c r="AI4" i="28"/>
  <c r="DU5" i="27"/>
  <c r="BI5" i="27"/>
  <c r="EU4" i="27"/>
  <c r="CI4" i="27"/>
  <c r="W4" i="27"/>
  <c r="DI5" i="26"/>
  <c r="AW5" i="26"/>
  <c r="EI4" i="26"/>
  <c r="BW4" i="26"/>
  <c r="AQ4" i="26"/>
  <c r="BJ4" i="29"/>
  <c r="EV5" i="28"/>
  <c r="CJ5" i="28"/>
  <c r="X5" i="28"/>
  <c r="DJ4" i="28"/>
  <c r="AX4" i="28"/>
  <c r="EJ5" i="27"/>
  <c r="BX5" i="27"/>
  <c r="L5" i="27"/>
  <c r="CX4" i="27"/>
  <c r="AL4" i="27"/>
  <c r="DX5" i="26"/>
  <c r="BL5" i="26"/>
  <c r="EX4" i="26"/>
  <c r="CL4" i="26"/>
  <c r="AU5" i="26"/>
  <c r="EJ5" i="25"/>
  <c r="BX5" i="25"/>
  <c r="L5" i="25"/>
  <c r="CX4" i="25"/>
  <c r="AL4" i="25"/>
  <c r="DX5" i="24"/>
  <c r="BL5" i="24"/>
  <c r="EX4" i="24"/>
  <c r="CL4" i="24"/>
  <c r="Z4" i="24"/>
  <c r="DL5" i="23"/>
  <c r="AZ5" i="23"/>
  <c r="EL4" i="23"/>
  <c r="BZ4" i="23"/>
  <c r="N4" i="23"/>
  <c r="DY4" i="26"/>
  <c r="DS5" i="25"/>
  <c r="BG5" i="25"/>
  <c r="ES4" i="25"/>
  <c r="CG4" i="25"/>
  <c r="U4" i="25"/>
  <c r="DG5" i="24"/>
  <c r="AU5" i="24"/>
  <c r="EG4" i="24"/>
  <c r="BU4" i="24"/>
  <c r="I4" i="24"/>
  <c r="CM5" i="23"/>
  <c r="AA5" i="23"/>
  <c r="DM4" i="23"/>
  <c r="BA4" i="23"/>
  <c r="EM5" i="22"/>
  <c r="P4" i="26"/>
  <c r="DB5" i="25"/>
  <c r="AP5" i="25"/>
  <c r="EB4" i="25"/>
  <c r="BP4" i="25"/>
  <c r="D4" i="25"/>
  <c r="CP5" i="24"/>
  <c r="AD5" i="24"/>
  <c r="DP4" i="24"/>
  <c r="BD4" i="24"/>
  <c r="EP5" i="23"/>
  <c r="CD5" i="23"/>
  <c r="R5" i="23"/>
  <c r="DD4" i="23"/>
  <c r="AR4" i="23"/>
  <c r="ED5" i="22"/>
  <c r="O4" i="26"/>
  <c r="DA5" i="25"/>
  <c r="AO5" i="25"/>
  <c r="EA4" i="25"/>
  <c r="BO4" i="25"/>
  <c r="C4" i="25"/>
  <c r="CO5" i="24"/>
  <c r="AC5" i="24"/>
  <c r="DO4" i="24"/>
  <c r="BC4" i="24"/>
  <c r="EO5" i="23"/>
  <c r="CC5" i="23"/>
  <c r="Q5" i="23"/>
  <c r="DC4" i="23"/>
  <c r="AQ4" i="23"/>
  <c r="EC5" i="22"/>
  <c r="F4" i="26"/>
  <c r="CR5" i="25"/>
  <c r="AF5" i="25"/>
  <c r="DR4" i="25"/>
  <c r="BF4" i="25"/>
  <c r="ER5" i="24"/>
  <c r="CF5" i="24"/>
  <c r="T5" i="24"/>
  <c r="DF4" i="24"/>
  <c r="AT4" i="24"/>
  <c r="EF5" i="23"/>
  <c r="BT5" i="23"/>
  <c r="H5" i="23"/>
  <c r="CT4" i="23"/>
  <c r="AH4" i="23"/>
  <c r="DT5" i="22"/>
  <c r="EU5" i="25"/>
  <c r="CI5" i="25"/>
  <c r="W5" i="25"/>
  <c r="DI4" i="25"/>
  <c r="AW4" i="25"/>
  <c r="EA5" i="24"/>
  <c r="BO5" i="24"/>
  <c r="C5" i="24"/>
  <c r="CO4" i="24"/>
  <c r="AC4" i="24"/>
  <c r="DO5" i="23"/>
  <c r="BC5" i="23"/>
  <c r="EO4" i="23"/>
  <c r="CC4" i="23"/>
  <c r="Q4" i="23"/>
  <c r="AC4" i="26"/>
  <c r="DN5" i="25"/>
  <c r="BB5" i="25"/>
  <c r="EN4" i="25"/>
  <c r="CB4" i="25"/>
  <c r="P4" i="25"/>
  <c r="DB5" i="24"/>
  <c r="AP5" i="24"/>
  <c r="EB4" i="24"/>
  <c r="BP4" i="24"/>
  <c r="D4" i="24"/>
  <c r="CP5" i="23"/>
  <c r="AD5" i="23"/>
  <c r="DP4" i="23"/>
  <c r="BD4" i="23"/>
  <c r="EP5" i="22"/>
  <c r="K4" i="26"/>
  <c r="AI4" i="26"/>
  <c r="BB4" i="29"/>
  <c r="EN5" i="28"/>
  <c r="CB5" i="28"/>
  <c r="P5" i="28"/>
  <c r="DB4" i="28"/>
  <c r="AP4" i="28"/>
  <c r="EB5" i="27"/>
  <c r="BP5" i="27"/>
  <c r="D5" i="27"/>
  <c r="CP4" i="27"/>
  <c r="AD4" i="27"/>
  <c r="DP5" i="26"/>
  <c r="BD5" i="26"/>
  <c r="EP4" i="26"/>
  <c r="CD4" i="26"/>
  <c r="EG4" i="26"/>
  <c r="EB5" i="25"/>
  <c r="BP5" i="25"/>
  <c r="D5" i="25"/>
  <c r="CP4" i="25"/>
  <c r="AD4" i="25"/>
  <c r="DP5" i="24"/>
  <c r="BD5" i="24"/>
  <c r="EP4" i="24"/>
  <c r="CD4" i="24"/>
  <c r="R4" i="24"/>
  <c r="DD5" i="23"/>
  <c r="AR5" i="23"/>
  <c r="ED4" i="23"/>
  <c r="BR4" i="23"/>
  <c r="F4" i="23"/>
  <c r="BM4" i="26"/>
  <c r="DK5" i="25"/>
  <c r="AY5" i="25"/>
  <c r="EK4" i="25"/>
  <c r="BY4" i="25"/>
  <c r="M4" i="25"/>
  <c r="CY5" i="24"/>
  <c r="AM5" i="24"/>
  <c r="DY4" i="24"/>
  <c r="BM4" i="24"/>
  <c r="EQ5" i="23"/>
  <c r="CE5" i="23"/>
  <c r="S5" i="23"/>
  <c r="DE4" i="23"/>
  <c r="AS4" i="23"/>
  <c r="EE5" i="22"/>
  <c r="H4" i="26"/>
  <c r="CT5" i="25"/>
  <c r="AH5" i="25"/>
  <c r="DT4" i="25"/>
  <c r="BH4" i="25"/>
  <c r="ET5" i="24"/>
  <c r="CH5" i="24"/>
  <c r="V5" i="24"/>
  <c r="DH4" i="24"/>
  <c r="AV4" i="24"/>
  <c r="EH5" i="23"/>
  <c r="BV5" i="23"/>
  <c r="J5" i="23"/>
  <c r="CV4" i="23"/>
  <c r="AJ4" i="23"/>
  <c r="DV5" i="22"/>
  <c r="G4" i="26"/>
  <c r="CS5" i="25"/>
  <c r="AG5" i="25"/>
  <c r="DS4" i="25"/>
  <c r="BG4" i="25"/>
  <c r="ES5" i="24"/>
  <c r="CG5" i="24"/>
  <c r="U5" i="24"/>
  <c r="DG4" i="24"/>
  <c r="AU4" i="24"/>
  <c r="EG5" i="23"/>
  <c r="BU5" i="23"/>
  <c r="I5" i="23"/>
  <c r="CU4" i="23"/>
  <c r="AI4" i="23"/>
  <c r="DU5" i="22"/>
  <c r="EV5" i="25"/>
  <c r="CJ5" i="25"/>
  <c r="X5" i="25"/>
  <c r="DJ4" i="25"/>
  <c r="AX4" i="25"/>
  <c r="EJ5" i="24"/>
  <c r="BX5" i="24"/>
  <c r="L5" i="24"/>
  <c r="CX4" i="24"/>
  <c r="AL4" i="24"/>
  <c r="DX5" i="23"/>
  <c r="BL5" i="23"/>
  <c r="EX4" i="23"/>
  <c r="CL4" i="23"/>
  <c r="Z4" i="23"/>
  <c r="DL5" i="22"/>
  <c r="EM5" i="25"/>
  <c r="CA5" i="25"/>
  <c r="O5" i="25"/>
  <c r="DA4" i="25"/>
  <c r="AO4" i="25"/>
  <c r="DS5" i="24"/>
  <c r="BG5" i="24"/>
  <c r="ES4" i="24"/>
  <c r="CG4" i="24"/>
  <c r="U4" i="24"/>
  <c r="DG5" i="23"/>
  <c r="AU5" i="23"/>
  <c r="EG4" i="23"/>
  <c r="BU4" i="23"/>
  <c r="I4" i="23"/>
  <c r="T4" i="26"/>
  <c r="DF5" i="25"/>
  <c r="AT5" i="25"/>
  <c r="EF4" i="25"/>
  <c r="BT4" i="25"/>
  <c r="H4" i="25"/>
  <c r="CT5" i="24"/>
  <c r="AH5" i="24"/>
  <c r="DT4" i="24"/>
  <c r="BH4" i="24"/>
  <c r="ET5" i="23"/>
  <c r="CH5" i="23"/>
  <c r="V5" i="23"/>
  <c r="DH4" i="23"/>
  <c r="AV4" i="23"/>
  <c r="EH5" i="22"/>
  <c r="C4" i="26"/>
  <c r="DF4" i="29"/>
  <c r="AT4" i="29"/>
  <c r="EF5" i="28"/>
  <c r="BT5" i="28"/>
  <c r="H5" i="28"/>
  <c r="CT4" i="28"/>
  <c r="AH4" i="28"/>
  <c r="DT5" i="27"/>
  <c r="BH5" i="27"/>
  <c r="ET4" i="27"/>
  <c r="CH4" i="27"/>
  <c r="V4" i="27"/>
  <c r="DH5" i="26"/>
  <c r="AV5" i="26"/>
  <c r="EH4" i="26"/>
  <c r="BV4" i="26"/>
  <c r="BU4" i="26"/>
  <c r="DT5" i="25"/>
  <c r="BH5" i="25"/>
  <c r="ET4" i="25"/>
  <c r="CH4" i="25"/>
  <c r="V4" i="25"/>
  <c r="DH5" i="24"/>
  <c r="AV5" i="24"/>
  <c r="EH4" i="24"/>
  <c r="BV4" i="24"/>
  <c r="J4" i="24"/>
  <c r="CV5" i="23"/>
  <c r="AJ5" i="23"/>
  <c r="DV4" i="23"/>
  <c r="BJ4" i="23"/>
  <c r="EV5" i="22"/>
  <c r="Y4" i="26"/>
  <c r="DC5" i="25"/>
  <c r="AQ5" i="25"/>
  <c r="EC4" i="25"/>
  <c r="BQ4" i="25"/>
  <c r="E4" i="25"/>
  <c r="CQ5" i="24"/>
  <c r="AE5" i="24"/>
  <c r="DQ4" i="24"/>
  <c r="BE4" i="24"/>
  <c r="EI5" i="23"/>
  <c r="BW5" i="23"/>
  <c r="K5" i="23"/>
  <c r="CW4" i="23"/>
  <c r="AK4" i="23"/>
  <c r="DW5" i="22"/>
  <c r="EX5" i="25"/>
  <c r="CL5" i="25"/>
  <c r="Z5" i="25"/>
  <c r="DL4" i="25"/>
  <c r="AZ4" i="25"/>
  <c r="EL5" i="24"/>
  <c r="BZ5" i="24"/>
  <c r="N5" i="24"/>
  <c r="CZ4" i="24"/>
  <c r="AN4" i="24"/>
  <c r="DZ5" i="23"/>
  <c r="BN5" i="23"/>
  <c r="B5" i="23"/>
  <c r="CN4" i="23"/>
  <c r="AB4" i="23"/>
  <c r="DN5" i="22"/>
  <c r="EW5" i="25"/>
  <c r="CK5" i="25"/>
  <c r="Y5" i="25"/>
  <c r="DK4" i="25"/>
  <c r="AY4" i="25"/>
  <c r="EK5" i="24"/>
  <c r="BY5" i="24"/>
  <c r="M5" i="24"/>
  <c r="CY4" i="24"/>
  <c r="AM4" i="24"/>
  <c r="DY5" i="23"/>
  <c r="BM5" i="23"/>
  <c r="A5" i="23"/>
  <c r="CM4" i="23"/>
  <c r="AA4" i="23"/>
  <c r="DM5" i="22"/>
  <c r="EN5" i="25"/>
  <c r="CB5" i="25"/>
  <c r="P5" i="25"/>
  <c r="DB4" i="25"/>
  <c r="AP4" i="25"/>
  <c r="EB5" i="24"/>
  <c r="BP5" i="24"/>
  <c r="D5" i="24"/>
  <c r="CP4" i="24"/>
  <c r="AD4" i="24"/>
  <c r="DP5" i="23"/>
  <c r="BD5" i="23"/>
  <c r="EP4" i="23"/>
  <c r="CD4" i="23"/>
  <c r="R4" i="23"/>
  <c r="G5" i="26"/>
  <c r="EE5" i="25"/>
  <c r="BS5" i="25"/>
  <c r="G5" i="25"/>
  <c r="CS4" i="25"/>
  <c r="AG4" i="25"/>
  <c r="DK5" i="24"/>
  <c r="AY5" i="24"/>
  <c r="EK4" i="24"/>
  <c r="BY4" i="24"/>
  <c r="M4" i="24"/>
  <c r="CY5" i="23"/>
  <c r="AM5" i="23"/>
  <c r="DY4" i="23"/>
  <c r="BM4" i="23"/>
  <c r="EQ5" i="22"/>
  <c r="L4" i="26"/>
  <c r="CX5" i="25"/>
  <c r="AL5" i="25"/>
  <c r="DX4" i="25"/>
  <c r="BL4" i="25"/>
  <c r="EX5" i="24"/>
  <c r="CL5" i="24"/>
  <c r="Z5" i="24"/>
  <c r="DL4" i="24"/>
  <c r="AZ4" i="24"/>
  <c r="EL5" i="23"/>
  <c r="BZ5" i="23"/>
  <c r="N5" i="23"/>
  <c r="CZ4" i="23"/>
  <c r="AN4" i="23"/>
  <c r="DZ5" i="22"/>
  <c r="ES5" i="25"/>
  <c r="CX4" i="29"/>
  <c r="AL4" i="29"/>
  <c r="DX5" i="28"/>
  <c r="BL5" i="28"/>
  <c r="EX4" i="28"/>
  <c r="CL4" i="28"/>
  <c r="Z4" i="28"/>
  <c r="DL5" i="27"/>
  <c r="AZ5" i="27"/>
  <c r="EL4" i="27"/>
  <c r="BZ4" i="27"/>
  <c r="N4" i="27"/>
  <c r="CZ5" i="26"/>
  <c r="AN5" i="26"/>
  <c r="DZ4" i="26"/>
  <c r="BN4" i="26"/>
  <c r="Z4" i="26"/>
  <c r="DL5" i="25"/>
  <c r="AZ5" i="25"/>
  <c r="EL4" i="25"/>
  <c r="BZ4" i="25"/>
  <c r="N4" i="25"/>
  <c r="CZ5" i="24"/>
  <c r="AN5" i="24"/>
  <c r="DZ4" i="24"/>
  <c r="BN4" i="24"/>
  <c r="B4" i="24"/>
  <c r="CN5" i="23"/>
  <c r="AB5" i="23"/>
  <c r="DN4" i="23"/>
  <c r="BB4" i="23"/>
  <c r="EN5" i="22"/>
  <c r="Q4" i="26"/>
  <c r="CU5" i="25"/>
  <c r="AI5" i="25"/>
  <c r="DU4" i="25"/>
  <c r="BI4" i="25"/>
  <c r="EU5" i="24"/>
  <c r="CI5" i="24"/>
  <c r="W5" i="24"/>
  <c r="DI4" i="24"/>
  <c r="AW4" i="24"/>
  <c r="EA5" i="23"/>
  <c r="BO5" i="23"/>
  <c r="C5" i="23"/>
  <c r="CO4" i="23"/>
  <c r="AC4" i="23"/>
  <c r="DO5" i="22"/>
  <c r="EP5" i="25"/>
  <c r="CD5" i="25"/>
  <c r="R5" i="25"/>
  <c r="DD4" i="25"/>
  <c r="AR4" i="25"/>
  <c r="ED5" i="24"/>
  <c r="BR5" i="24"/>
  <c r="F5" i="24"/>
  <c r="CR4" i="24"/>
  <c r="AF4" i="24"/>
  <c r="DR5" i="23"/>
  <c r="BF5" i="23"/>
  <c r="ER4" i="23"/>
  <c r="CF4" i="23"/>
  <c r="T4" i="23"/>
  <c r="DF5" i="22"/>
  <c r="EO5" i="25"/>
  <c r="CC5" i="25"/>
  <c r="Q5" i="25"/>
  <c r="DC4" i="25"/>
  <c r="AQ4" i="25"/>
  <c r="EC5" i="24"/>
  <c r="BQ5" i="24"/>
  <c r="E5" i="24"/>
  <c r="CQ4" i="24"/>
  <c r="AE4" i="24"/>
  <c r="DQ5" i="23"/>
  <c r="BE5" i="23"/>
  <c r="EQ4" i="23"/>
  <c r="CE4" i="23"/>
  <c r="S4" i="23"/>
  <c r="O5" i="26"/>
  <c r="EF5" i="25"/>
  <c r="BT5" i="25"/>
  <c r="H5" i="25"/>
  <c r="CT4" i="25"/>
  <c r="AH4" i="25"/>
  <c r="DT5" i="24"/>
  <c r="BH5" i="24"/>
  <c r="ET4" i="24"/>
  <c r="CH4" i="24"/>
  <c r="V4" i="24"/>
  <c r="DH5" i="23"/>
  <c r="AV5" i="23"/>
  <c r="EH4" i="23"/>
  <c r="BV4" i="23"/>
  <c r="J4" i="23"/>
  <c r="CS4" i="26"/>
  <c r="DW5" i="25"/>
  <c r="BK5" i="25"/>
  <c r="EW4" i="25"/>
  <c r="CK4" i="25"/>
  <c r="Y4" i="25"/>
  <c r="DC5" i="24"/>
  <c r="AQ5" i="24"/>
  <c r="EC4" i="24"/>
  <c r="BQ4" i="24"/>
  <c r="E4" i="24"/>
  <c r="CQ5" i="23"/>
  <c r="AE5" i="23"/>
  <c r="DQ4" i="23"/>
  <c r="BE4" i="23"/>
  <c r="EI5" i="22"/>
  <c r="D4" i="26"/>
  <c r="CP5" i="25"/>
  <c r="AD5" i="25"/>
  <c r="DP4" i="25"/>
  <c r="BD4" i="25"/>
  <c r="EP5" i="24"/>
  <c r="CD5" i="24"/>
  <c r="R5" i="24"/>
  <c r="DD4" i="24"/>
  <c r="AR4" i="24"/>
  <c r="ED5" i="23"/>
  <c r="BR5" i="23"/>
  <c r="F5" i="23"/>
  <c r="CR4" i="23"/>
  <c r="AF4" i="23"/>
  <c r="DR5" i="22"/>
  <c r="EK5" i="25"/>
  <c r="CP4" i="29"/>
  <c r="AD4" i="29"/>
  <c r="DP5" i="28"/>
  <c r="BD5" i="28"/>
  <c r="EP4" i="28"/>
  <c r="CD4" i="28"/>
  <c r="R4" i="28"/>
  <c r="DD5" i="27"/>
  <c r="AR5" i="27"/>
  <c r="ED4" i="27"/>
  <c r="BR4" i="27"/>
  <c r="F4" i="27"/>
  <c r="CR5" i="26"/>
  <c r="AF5" i="26"/>
  <c r="DR4" i="26"/>
  <c r="BF4" i="26"/>
  <c r="R4" i="26"/>
  <c r="DD5" i="25"/>
  <c r="AR5" i="25"/>
  <c r="ED4" i="25"/>
  <c r="BR4" i="25"/>
  <c r="F4" i="25"/>
  <c r="CR5" i="24"/>
  <c r="AF5" i="24"/>
  <c r="DR4" i="24"/>
  <c r="BF4" i="24"/>
  <c r="ER5" i="23"/>
  <c r="CF5" i="23"/>
  <c r="T5" i="23"/>
  <c r="DF4" i="23"/>
  <c r="AT4" i="23"/>
  <c r="EF5" i="22"/>
  <c r="I4" i="26"/>
  <c r="CM5" i="25"/>
  <c r="AA5" i="25"/>
  <c r="DM4" i="25"/>
  <c r="BA4" i="25"/>
  <c r="EM5" i="24"/>
  <c r="CA5" i="24"/>
  <c r="O5" i="24"/>
  <c r="DA4" i="24"/>
  <c r="AO4" i="24"/>
  <c r="DS5" i="23"/>
  <c r="BG5" i="23"/>
  <c r="ES4" i="23"/>
  <c r="CG4" i="23"/>
  <c r="U4" i="23"/>
  <c r="AE5" i="26"/>
  <c r="EH5" i="25"/>
  <c r="BV5" i="25"/>
  <c r="J5" i="25"/>
  <c r="CV4" i="25"/>
  <c r="AJ4" i="25"/>
  <c r="DV5" i="24"/>
  <c r="BJ5" i="24"/>
  <c r="EV4" i="24"/>
  <c r="CJ4" i="24"/>
  <c r="X4" i="24"/>
  <c r="DJ5" i="23"/>
  <c r="AX5" i="23"/>
  <c r="EJ4" i="23"/>
  <c r="BX4" i="23"/>
  <c r="L4" i="23"/>
  <c r="W5" i="26"/>
  <c r="EG5" i="25"/>
  <c r="BU5" i="25"/>
  <c r="I5" i="25"/>
  <c r="CU4" i="25"/>
  <c r="AI4" i="25"/>
  <c r="DU5" i="24"/>
  <c r="BI5" i="24"/>
  <c r="EU4" i="24"/>
  <c r="CI4" i="24"/>
  <c r="W4" i="24"/>
  <c r="DI5" i="23"/>
  <c r="AW5" i="23"/>
  <c r="EI4" i="23"/>
  <c r="BW4" i="23"/>
  <c r="K4" i="23"/>
  <c r="DA4" i="26"/>
  <c r="DX5" i="25"/>
  <c r="BL5" i="25"/>
  <c r="EX4" i="25"/>
  <c r="CL4" i="25"/>
  <c r="Z4" i="25"/>
  <c r="DL5" i="24"/>
  <c r="AZ5" i="24"/>
  <c r="EL4" i="24"/>
  <c r="BZ4" i="24"/>
  <c r="N4" i="24"/>
  <c r="CZ5" i="23"/>
  <c r="AN5" i="23"/>
  <c r="DZ4" i="23"/>
  <c r="BN4" i="23"/>
  <c r="B4" i="23"/>
  <c r="AG4" i="26"/>
  <c r="DO5" i="25"/>
  <c r="BC5" i="25"/>
  <c r="EO4" i="25"/>
  <c r="CC4" i="25"/>
  <c r="Q4" i="25"/>
  <c r="CU5" i="24"/>
  <c r="AI5" i="24"/>
  <c r="DU4" i="24"/>
  <c r="BI4" i="24"/>
  <c r="EU5" i="23"/>
  <c r="CI5" i="23"/>
  <c r="W5" i="23"/>
  <c r="DI4" i="23"/>
  <c r="AW4" i="23"/>
  <c r="EA5" i="22"/>
  <c r="ET5" i="25"/>
  <c r="CH5" i="25"/>
  <c r="V5" i="25"/>
  <c r="DH4" i="25"/>
  <c r="AV4" i="25"/>
  <c r="EH5" i="24"/>
  <c r="BV5" i="24"/>
  <c r="J5" i="24"/>
  <c r="CV4" i="24"/>
  <c r="AJ4" i="24"/>
  <c r="DV5" i="23"/>
  <c r="BJ5" i="23"/>
  <c r="EV4" i="23"/>
  <c r="CJ4" i="23"/>
  <c r="X4" i="23"/>
  <c r="EO4" i="26"/>
  <c r="EC5" i="25"/>
  <c r="CH4" i="29"/>
  <c r="V4" i="29"/>
  <c r="DH5" i="28"/>
  <c r="AV5" i="28"/>
  <c r="EH4" i="28"/>
  <c r="BV4" i="28"/>
  <c r="J4" i="28"/>
  <c r="CV5" i="27"/>
  <c r="AJ5" i="27"/>
  <c r="DV4" i="27"/>
  <c r="BJ4" i="27"/>
  <c r="EV5" i="26"/>
  <c r="CJ5" i="26"/>
  <c r="X5" i="26"/>
  <c r="DJ4" i="26"/>
  <c r="AX4" i="26"/>
  <c r="J4" i="26"/>
  <c r="CV5" i="25"/>
  <c r="AJ5" i="25"/>
  <c r="DV4" i="25"/>
  <c r="BJ4" i="25"/>
  <c r="EV5" i="24"/>
  <c r="CJ5" i="24"/>
  <c r="X5" i="24"/>
  <c r="DJ4" i="24"/>
  <c r="AX4" i="24"/>
  <c r="EJ5" i="23"/>
  <c r="BX5" i="23"/>
  <c r="L5" i="23"/>
  <c r="CX4" i="23"/>
  <c r="AL4" i="23"/>
  <c r="DX5" i="22"/>
  <c r="EQ5" i="25"/>
  <c r="CE5" i="25"/>
  <c r="S5" i="25"/>
  <c r="DE4" i="25"/>
  <c r="AS4" i="25"/>
  <c r="EE5" i="24"/>
  <c r="BS5" i="24"/>
  <c r="G5" i="24"/>
  <c r="CS4" i="24"/>
  <c r="AG4" i="24"/>
  <c r="DK5" i="23"/>
  <c r="AY5" i="23"/>
  <c r="EK4" i="23"/>
  <c r="BY4" i="23"/>
  <c r="M4" i="23"/>
  <c r="DQ4" i="26"/>
  <c r="DZ5" i="25"/>
  <c r="BN5" i="25"/>
  <c r="B5" i="25"/>
  <c r="CN4" i="25"/>
  <c r="AB4" i="25"/>
  <c r="DN5" i="24"/>
  <c r="BB5" i="24"/>
  <c r="EN4" i="24"/>
  <c r="CB4" i="24"/>
  <c r="P4" i="24"/>
  <c r="DB5" i="23"/>
  <c r="AP5" i="23"/>
  <c r="EB4" i="23"/>
  <c r="BP4" i="23"/>
  <c r="D4" i="23"/>
  <c r="DI4" i="26"/>
  <c r="DY5" i="25"/>
  <c r="BM5" i="25"/>
  <c r="A5" i="25"/>
  <c r="CM4" i="25"/>
  <c r="AA4" i="25"/>
  <c r="DM5" i="24"/>
  <c r="BA5" i="24"/>
  <c r="EM4" i="24"/>
  <c r="CA4" i="24"/>
  <c r="O4" i="24"/>
  <c r="DA5" i="23"/>
  <c r="AO5" i="23"/>
  <c r="EA4" i="23"/>
  <c r="BO4" i="23"/>
  <c r="C4" i="23"/>
  <c r="AO4" i="26"/>
  <c r="DP5" i="25"/>
  <c r="BD5" i="25"/>
  <c r="EP4" i="25"/>
  <c r="CD4" i="25"/>
  <c r="R4" i="25"/>
  <c r="DD5" i="24"/>
  <c r="AR5" i="24"/>
  <c r="ED4" i="24"/>
  <c r="BR4" i="24"/>
  <c r="F4" i="24"/>
  <c r="CR5" i="23"/>
  <c r="AF5" i="23"/>
  <c r="DR4" i="23"/>
  <c r="BF4" i="23"/>
  <c r="ER5" i="22"/>
  <c r="U4" i="26"/>
  <c r="DG5" i="25"/>
  <c r="AU5" i="25"/>
  <c r="EG4" i="25"/>
  <c r="BU4" i="25"/>
  <c r="I4" i="25"/>
  <c r="CM5" i="24"/>
  <c r="AA5" i="24"/>
  <c r="DM4" i="24"/>
  <c r="BA4" i="24"/>
  <c r="EM5" i="23"/>
  <c r="CA5" i="23"/>
  <c r="O5" i="23"/>
  <c r="DA4" i="23"/>
  <c r="AO4" i="23"/>
  <c r="DS5" i="22"/>
  <c r="EL5" i="25"/>
  <c r="BZ5" i="25"/>
  <c r="N5" i="25"/>
  <c r="CZ4" i="25"/>
  <c r="AN4" i="25"/>
  <c r="DZ5" i="24"/>
  <c r="BN5" i="24"/>
  <c r="B5" i="24"/>
  <c r="CN4" i="24"/>
  <c r="AB4" i="24"/>
  <c r="DN5" i="23"/>
  <c r="BB5" i="23"/>
  <c r="EN4" i="23"/>
  <c r="CB4" i="23"/>
  <c r="P4" i="23"/>
  <c r="CC4" i="26"/>
  <c r="DU5" i="25"/>
  <c r="BZ4" i="29"/>
  <c r="N4" i="29"/>
  <c r="CZ5" i="28"/>
  <c r="AN5" i="28"/>
  <c r="DZ4" i="28"/>
  <c r="BN4" i="28"/>
  <c r="B4" i="28"/>
  <c r="CN5" i="27"/>
  <c r="AB5" i="27"/>
  <c r="DN4" i="27"/>
  <c r="BB4" i="27"/>
  <c r="EN5" i="26"/>
  <c r="CB5" i="26"/>
  <c r="P5" i="26"/>
  <c r="DB4" i="26"/>
  <c r="AP4" i="26"/>
  <c r="B4" i="26"/>
  <c r="CN5" i="25"/>
  <c r="AB5" i="25"/>
  <c r="DN4" i="25"/>
  <c r="BB4" i="25"/>
  <c r="EN5" i="24"/>
  <c r="CB5" i="24"/>
  <c r="P5" i="24"/>
  <c r="DB4" i="24"/>
  <c r="AP4" i="24"/>
  <c r="EB5" i="23"/>
  <c r="BP5" i="23"/>
  <c r="D5" i="23"/>
  <c r="CP4" i="23"/>
  <c r="AD4" i="23"/>
  <c r="DP5" i="22"/>
  <c r="EI5" i="25"/>
  <c r="BW5" i="25"/>
  <c r="K5" i="25"/>
  <c r="CW4" i="25"/>
  <c r="AK4" i="25"/>
  <c r="DW5" i="24"/>
  <c r="BK5" i="24"/>
  <c r="EW4" i="24"/>
  <c r="CK4" i="24"/>
  <c r="Y4" i="24"/>
  <c r="DC5" i="23"/>
  <c r="AQ5" i="23"/>
  <c r="EC4" i="23"/>
  <c r="BQ4" i="23"/>
  <c r="E4" i="23"/>
  <c r="BE4" i="26"/>
  <c r="DR5" i="25"/>
  <c r="BF5" i="25"/>
  <c r="ER4" i="25"/>
  <c r="CF4" i="25"/>
  <c r="T4" i="25"/>
  <c r="DF5" i="24"/>
  <c r="AT5" i="24"/>
  <c r="EF4" i="24"/>
  <c r="BT4" i="24"/>
  <c r="H4" i="24"/>
  <c r="CT5" i="23"/>
  <c r="AH5" i="23"/>
  <c r="DT4" i="23"/>
  <c r="BH4" i="23"/>
  <c r="ET5" i="22"/>
  <c r="AW4" i="26"/>
  <c r="DQ5" i="25"/>
  <c r="BE5" i="25"/>
  <c r="EQ4" i="25"/>
  <c r="CE4" i="25"/>
  <c r="S4" i="25"/>
  <c r="DE5" i="24"/>
  <c r="AS5" i="24"/>
  <c r="EE4" i="24"/>
  <c r="BS4" i="24"/>
  <c r="G4" i="24"/>
  <c r="CS5" i="23"/>
  <c r="AG5" i="23"/>
  <c r="DS4" i="23"/>
  <c r="BG4" i="23"/>
  <c r="ES5" i="22"/>
  <c r="V4" i="26"/>
  <c r="DH5" i="25"/>
  <c r="AV5" i="25"/>
  <c r="EH4" i="25"/>
  <c r="BV4" i="25"/>
  <c r="J4" i="25"/>
  <c r="CV5" i="24"/>
  <c r="AJ5" i="24"/>
  <c r="DV4" i="24"/>
  <c r="BJ4" i="24"/>
  <c r="EV5" i="23"/>
  <c r="CJ5" i="23"/>
  <c r="X5" i="23"/>
  <c r="DJ4" i="23"/>
  <c r="AX4" i="23"/>
  <c r="EJ5" i="22"/>
  <c r="M4" i="26"/>
  <c r="CY5" i="25"/>
  <c r="AM5" i="25"/>
  <c r="DY4" i="25"/>
  <c r="BM4" i="25"/>
  <c r="EQ5" i="24"/>
  <c r="CE5" i="24"/>
  <c r="S5" i="24"/>
  <c r="DE4" i="24"/>
  <c r="AS4" i="24"/>
  <c r="EE5" i="23"/>
  <c r="BS5" i="23"/>
  <c r="G5" i="23"/>
  <c r="CS4" i="23"/>
  <c r="AG4" i="23"/>
  <c r="EW4" i="26"/>
  <c r="ED5" i="25"/>
  <c r="BR5" i="25"/>
  <c r="F5" i="25"/>
  <c r="CR4" i="25"/>
  <c r="AF4" i="25"/>
  <c r="DR5" i="24"/>
  <c r="BF5" i="24"/>
  <c r="ER4" i="24"/>
  <c r="CF4" i="24"/>
  <c r="T4" i="24"/>
  <c r="DF5" i="23"/>
  <c r="AT5" i="23"/>
  <c r="EF4" i="23"/>
  <c r="BT4" i="23"/>
  <c r="H4" i="23"/>
  <c r="AA4" i="26"/>
  <c r="BR4" i="29"/>
  <c r="F4" i="29"/>
  <c r="CR5" i="28"/>
  <c r="AF5" i="28"/>
  <c r="DR4" i="28"/>
  <c r="BF4" i="28"/>
  <c r="ER5" i="27"/>
  <c r="CF5" i="27"/>
  <c r="T5" i="27"/>
  <c r="DF4" i="27"/>
  <c r="AT4" i="27"/>
  <c r="EF5" i="26"/>
  <c r="BT5" i="26"/>
  <c r="H5" i="26"/>
  <c r="CT4" i="26"/>
  <c r="AH4" i="26"/>
  <c r="ER5" i="25"/>
  <c r="CF5" i="25"/>
  <c r="T5" i="25"/>
  <c r="DF4" i="25"/>
  <c r="AT4" i="25"/>
  <c r="EF5" i="24"/>
  <c r="BT5" i="24"/>
  <c r="H5" i="24"/>
  <c r="CT4" i="24"/>
  <c r="AH4" i="24"/>
  <c r="DT5" i="23"/>
  <c r="BH5" i="23"/>
  <c r="ET4" i="23"/>
  <c r="CH4" i="23"/>
  <c r="V4" i="23"/>
  <c r="AM5" i="26"/>
  <c r="EA5" i="25"/>
  <c r="BO5" i="25"/>
  <c r="C5" i="25"/>
  <c r="CO4" i="25"/>
  <c r="AC4" i="25"/>
  <c r="DO5" i="24"/>
  <c r="BC5" i="24"/>
  <c r="EO4" i="24"/>
  <c r="CC4" i="24"/>
  <c r="Q4" i="24"/>
  <c r="CU5" i="23"/>
  <c r="AI5" i="23"/>
  <c r="DU4" i="23"/>
  <c r="BI4" i="23"/>
  <c r="EU5" i="22"/>
  <c r="X4" i="26"/>
  <c r="DJ5" i="25"/>
  <c r="AX5" i="25"/>
  <c r="EJ4" i="25"/>
  <c r="BX4" i="25"/>
  <c r="L4" i="25"/>
  <c r="CX5" i="24"/>
  <c r="AL5" i="24"/>
  <c r="DX4" i="24"/>
  <c r="BL4" i="24"/>
  <c r="EX5" i="23"/>
  <c r="CL5" i="23"/>
  <c r="Z5" i="23"/>
  <c r="DL4" i="23"/>
  <c r="AZ4" i="23"/>
  <c r="EL5" i="22"/>
  <c r="W4" i="26"/>
  <c r="DI5" i="25"/>
  <c r="AW5" i="25"/>
  <c r="EI4" i="25"/>
  <c r="BW4" i="25"/>
  <c r="K4" i="25"/>
  <c r="CW5" i="24"/>
  <c r="AK5" i="24"/>
  <c r="DW4" i="24"/>
  <c r="BK4" i="24"/>
  <c r="EW5" i="23"/>
  <c r="CK5" i="23"/>
  <c r="Y5" i="23"/>
  <c r="DK4" i="23"/>
  <c r="AY4" i="23"/>
  <c r="EK5" i="22"/>
  <c r="N4" i="26"/>
  <c r="CZ5" i="25"/>
  <c r="AN5" i="25"/>
  <c r="DZ4" i="25"/>
  <c r="BN4" i="25"/>
  <c r="B4" i="25"/>
  <c r="CN5" i="24"/>
  <c r="AB5" i="24"/>
  <c r="DN4" i="24"/>
  <c r="BB4" i="24"/>
  <c r="EN5" i="23"/>
  <c r="CB5" i="23"/>
  <c r="P5" i="23"/>
  <c r="DB4" i="23"/>
  <c r="AP4" i="23"/>
  <c r="EB5" i="22"/>
  <c r="E4" i="26"/>
  <c r="CQ5" i="25"/>
  <c r="AE5" i="25"/>
  <c r="DQ4" i="25"/>
  <c r="BE4" i="25"/>
  <c r="EI5" i="24"/>
  <c r="BW5" i="24"/>
  <c r="K5" i="24"/>
  <c r="CW4" i="24"/>
  <c r="AK4" i="24"/>
  <c r="DW5" i="23"/>
  <c r="BK5" i="23"/>
  <c r="EW4" i="23"/>
  <c r="CK4" i="23"/>
  <c r="Y4" i="23"/>
  <c r="CK4" i="26"/>
  <c r="DV5" i="25"/>
  <c r="BJ5" i="25"/>
  <c r="EV4" i="25"/>
  <c r="CJ4" i="25"/>
  <c r="X4" i="25"/>
  <c r="DJ5" i="24"/>
  <c r="AX5" i="24"/>
  <c r="EJ4" i="24"/>
  <c r="BX4" i="24"/>
  <c r="L4" i="24"/>
  <c r="CX5" i="23"/>
  <c r="AL5" i="23"/>
  <c r="DX4" i="23"/>
  <c r="BL4" i="23"/>
  <c r="EX5" i="22"/>
  <c r="S4" i="26"/>
  <c r="DM5" i="25"/>
  <c r="BA5" i="25"/>
  <c r="EM4" i="25"/>
  <c r="CA4" i="25"/>
  <c r="O4" i="25"/>
  <c r="DA5" i="24"/>
  <c r="AO5" i="24"/>
  <c r="EA4" i="24"/>
  <c r="BO4" i="24"/>
  <c r="C4" i="24"/>
  <c r="CO5" i="23"/>
  <c r="AC5" i="23"/>
  <c r="DO4" i="23"/>
  <c r="BC4" i="23"/>
  <c r="EO5" i="22"/>
  <c r="CK5" i="22"/>
  <c r="Y5" i="22"/>
  <c r="DK4" i="22"/>
  <c r="AY4" i="22"/>
  <c r="EK5" i="21"/>
  <c r="BY5" i="21"/>
  <c r="M5" i="21"/>
  <c r="CY4" i="21"/>
  <c r="AM4" i="21"/>
  <c r="DY5" i="20"/>
  <c r="BM5" i="20"/>
  <c r="A5" i="20"/>
  <c r="CM4" i="20"/>
  <c r="AA4" i="20"/>
  <c r="DM5" i="19"/>
  <c r="BA5" i="19"/>
  <c r="CJ5" i="22"/>
  <c r="X5" i="22"/>
  <c r="DJ4" i="22"/>
  <c r="AX4" i="22"/>
  <c r="EJ5" i="21"/>
  <c r="BX5" i="21"/>
  <c r="L5" i="21"/>
  <c r="CX4" i="21"/>
  <c r="AL4" i="21"/>
  <c r="DX5" i="20"/>
  <c r="BL5" i="20"/>
  <c r="EX4" i="20"/>
  <c r="CL4" i="20"/>
  <c r="Z4" i="20"/>
  <c r="DL5" i="19"/>
  <c r="AZ5" i="19"/>
  <c r="CI5" i="22"/>
  <c r="W5" i="22"/>
  <c r="DI4" i="22"/>
  <c r="AW4" i="22"/>
  <c r="EA5" i="21"/>
  <c r="BO5" i="21"/>
  <c r="C5" i="21"/>
  <c r="CO4" i="21"/>
  <c r="AC4" i="21"/>
  <c r="DO5" i="20"/>
  <c r="BC5" i="20"/>
  <c r="EO4" i="20"/>
  <c r="CC4" i="20"/>
  <c r="Q4" i="20"/>
  <c r="CU5" i="19"/>
  <c r="AI5" i="19"/>
  <c r="BJ5" i="22"/>
  <c r="EV4" i="22"/>
  <c r="CJ4" i="22"/>
  <c r="X4" i="22"/>
  <c r="DJ5" i="21"/>
  <c r="AX5" i="21"/>
  <c r="EJ4" i="21"/>
  <c r="BX4" i="21"/>
  <c r="L4" i="21"/>
  <c r="CX5" i="20"/>
  <c r="AL5" i="20"/>
  <c r="DX4" i="20"/>
  <c r="BL4" i="20"/>
  <c r="EX5" i="19"/>
  <c r="CL5" i="19"/>
  <c r="Z5" i="19"/>
  <c r="BA5" i="22"/>
  <c r="EM4" i="22"/>
  <c r="CA4" i="22"/>
  <c r="O4" i="22"/>
  <c r="DA5" i="21"/>
  <c r="AO5" i="21"/>
  <c r="EA4" i="21"/>
  <c r="BO4" i="21"/>
  <c r="C4" i="21"/>
  <c r="CO5" i="20"/>
  <c r="AC5" i="20"/>
  <c r="DO4" i="20"/>
  <c r="BC4" i="20"/>
  <c r="EO5" i="19"/>
  <c r="CC5" i="19"/>
  <c r="DD5" i="22"/>
  <c r="AR5" i="22"/>
  <c r="ED4" i="22"/>
  <c r="BR4" i="22"/>
  <c r="F4" i="22"/>
  <c r="CR5" i="21"/>
  <c r="AF5" i="21"/>
  <c r="DR4" i="21"/>
  <c r="BF4" i="21"/>
  <c r="ER5" i="20"/>
  <c r="CF5" i="20"/>
  <c r="T5" i="20"/>
  <c r="DF4" i="20"/>
  <c r="AT4" i="20"/>
  <c r="EF5" i="19"/>
  <c r="BT5" i="19"/>
  <c r="CU5" i="22"/>
  <c r="AI5" i="22"/>
  <c r="DU4" i="22"/>
  <c r="BI4" i="22"/>
  <c r="EU5" i="21"/>
  <c r="CI5" i="21"/>
  <c r="W5" i="21"/>
  <c r="DI4" i="21"/>
  <c r="AW4" i="21"/>
  <c r="EA5" i="20"/>
  <c r="BO5" i="20"/>
  <c r="C5" i="20"/>
  <c r="CO4" i="20"/>
  <c r="AC4" i="20"/>
  <c r="DO5" i="19"/>
  <c r="BC5" i="19"/>
  <c r="CD5" i="22"/>
  <c r="R5" i="22"/>
  <c r="DD4" i="22"/>
  <c r="AR4" i="22"/>
  <c r="ED5" i="21"/>
  <c r="BR5" i="21"/>
  <c r="F5" i="21"/>
  <c r="CR4" i="21"/>
  <c r="AF4" i="21"/>
  <c r="DR5" i="20"/>
  <c r="BF5" i="20"/>
  <c r="ER4" i="20"/>
  <c r="CF4" i="20"/>
  <c r="T4" i="20"/>
  <c r="DF5" i="19"/>
  <c r="AT5" i="19"/>
  <c r="EK4" i="19"/>
  <c r="BY4" i="19"/>
  <c r="M4" i="19"/>
  <c r="CY5" i="18"/>
  <c r="AM5" i="18"/>
  <c r="DY4" i="18"/>
  <c r="BM4" i="18"/>
  <c r="EQ5" i="17"/>
  <c r="CE5" i="17"/>
  <c r="S5" i="17"/>
  <c r="DE4" i="17"/>
  <c r="AS4" i="17"/>
  <c r="EE5" i="16"/>
  <c r="BS5" i="16"/>
  <c r="G5" i="16"/>
  <c r="CS4" i="16"/>
  <c r="EJ4" i="19"/>
  <c r="BX4" i="19"/>
  <c r="L4" i="19"/>
  <c r="CX5" i="18"/>
  <c r="AL5" i="18"/>
  <c r="DX4" i="18"/>
  <c r="BL4" i="18"/>
  <c r="EX5" i="17"/>
  <c r="CL5" i="17"/>
  <c r="Z5" i="17"/>
  <c r="DL4" i="17"/>
  <c r="AZ4" i="17"/>
  <c r="EL5" i="16"/>
  <c r="BZ5" i="16"/>
  <c r="N5" i="16"/>
  <c r="CZ4" i="16"/>
  <c r="EQ4" i="19"/>
  <c r="CE4" i="19"/>
  <c r="S4" i="19"/>
  <c r="DE5" i="18"/>
  <c r="AS5" i="18"/>
  <c r="EE4" i="18"/>
  <c r="BS4" i="18"/>
  <c r="G4" i="18"/>
  <c r="CS5" i="17"/>
  <c r="AG5" i="17"/>
  <c r="DS4" i="17"/>
  <c r="BG4" i="17"/>
  <c r="ES5" i="16"/>
  <c r="CG5" i="16"/>
  <c r="U5" i="16"/>
  <c r="DG4" i="16"/>
  <c r="EX4" i="19"/>
  <c r="CL4" i="19"/>
  <c r="Z4" i="19"/>
  <c r="DL5" i="18"/>
  <c r="AZ5" i="18"/>
  <c r="EL4" i="18"/>
  <c r="BZ4" i="18"/>
  <c r="N4" i="18"/>
  <c r="CZ5" i="17"/>
  <c r="AN5" i="17"/>
  <c r="DZ4" i="17"/>
  <c r="BN4" i="17"/>
  <c r="B4" i="17"/>
  <c r="CN5" i="16"/>
  <c r="AB5" i="16"/>
  <c r="DN4" i="16"/>
  <c r="EW4" i="19"/>
  <c r="CK4" i="19"/>
  <c r="Y4" i="19"/>
  <c r="DC5" i="18"/>
  <c r="AQ5" i="18"/>
  <c r="EC4" i="18"/>
  <c r="BQ4" i="18"/>
  <c r="E4" i="18"/>
  <c r="CQ5" i="17"/>
  <c r="AE5" i="17"/>
  <c r="DQ4" i="17"/>
  <c r="BE4" i="17"/>
  <c r="EI5" i="16"/>
  <c r="BW5" i="16"/>
  <c r="K5" i="16"/>
  <c r="CW4" i="16"/>
  <c r="EF4" i="19"/>
  <c r="BT4" i="19"/>
  <c r="H4" i="19"/>
  <c r="CT5" i="18"/>
  <c r="AH5" i="18"/>
  <c r="DT4" i="18"/>
  <c r="BH4" i="18"/>
  <c r="ET5" i="17"/>
  <c r="CH5" i="17"/>
  <c r="V5" i="17"/>
  <c r="DH4" i="17"/>
  <c r="AV4" i="17"/>
  <c r="EH5" i="16"/>
  <c r="BV5" i="16"/>
  <c r="J5" i="16"/>
  <c r="CV4" i="16"/>
  <c r="EE4" i="19"/>
  <c r="BS4" i="19"/>
  <c r="G4" i="19"/>
  <c r="CS5" i="18"/>
  <c r="AG5" i="18"/>
  <c r="DS4" i="18"/>
  <c r="BG4" i="18"/>
  <c r="ES5" i="17"/>
  <c r="CG5" i="17"/>
  <c r="U5" i="17"/>
  <c r="DG4" i="17"/>
  <c r="AU4" i="17"/>
  <c r="EG5" i="16"/>
  <c r="BU5" i="16"/>
  <c r="I5" i="16"/>
  <c r="CU4" i="16"/>
  <c r="DV4" i="19"/>
  <c r="DE5" i="25"/>
  <c r="AS5" i="25"/>
  <c r="EE4" i="25"/>
  <c r="BS4" i="25"/>
  <c r="G4" i="25"/>
  <c r="CS5" i="24"/>
  <c r="AG5" i="24"/>
  <c r="DS4" i="24"/>
  <c r="BG4" i="24"/>
  <c r="ES5" i="23"/>
  <c r="CG5" i="23"/>
  <c r="U5" i="23"/>
  <c r="DG4" i="23"/>
  <c r="AU4" i="23"/>
  <c r="EG5" i="22"/>
  <c r="CC5" i="22"/>
  <c r="Q5" i="22"/>
  <c r="DC4" i="22"/>
  <c r="AQ4" i="22"/>
  <c r="EC5" i="21"/>
  <c r="BQ5" i="21"/>
  <c r="E5" i="21"/>
  <c r="CQ4" i="21"/>
  <c r="AE4" i="21"/>
  <c r="DQ5" i="20"/>
  <c r="BE5" i="20"/>
  <c r="EQ4" i="20"/>
  <c r="CE4" i="20"/>
  <c r="S4" i="20"/>
  <c r="DE5" i="19"/>
  <c r="AS5" i="19"/>
  <c r="CB5" i="22"/>
  <c r="P5" i="22"/>
  <c r="DB4" i="22"/>
  <c r="AP4" i="22"/>
  <c r="EB5" i="21"/>
  <c r="BP5" i="21"/>
  <c r="D5" i="21"/>
  <c r="CP4" i="21"/>
  <c r="AD4" i="21"/>
  <c r="DP5" i="20"/>
  <c r="BD5" i="20"/>
  <c r="EP4" i="20"/>
  <c r="CD4" i="20"/>
  <c r="R4" i="20"/>
  <c r="DD5" i="19"/>
  <c r="AR5" i="19"/>
  <c r="CA5" i="22"/>
  <c r="O5" i="22"/>
  <c r="DA4" i="22"/>
  <c r="AO4" i="22"/>
  <c r="DS5" i="21"/>
  <c r="BG5" i="21"/>
  <c r="ES4" i="21"/>
  <c r="CG4" i="21"/>
  <c r="U4" i="21"/>
  <c r="DG5" i="20"/>
  <c r="AU5" i="20"/>
  <c r="EG4" i="20"/>
  <c r="BU4" i="20"/>
  <c r="I4" i="20"/>
  <c r="CM5" i="19"/>
  <c r="AA5" i="19"/>
  <c r="BB5" i="22"/>
  <c r="EN4" i="22"/>
  <c r="CB4" i="22"/>
  <c r="P4" i="22"/>
  <c r="DB5" i="21"/>
  <c r="AP5" i="21"/>
  <c r="EB4" i="21"/>
  <c r="BP4" i="21"/>
  <c r="D4" i="21"/>
  <c r="CP5" i="20"/>
  <c r="AD5" i="20"/>
  <c r="DP4" i="20"/>
  <c r="BD4" i="20"/>
  <c r="EP5" i="19"/>
  <c r="CD5" i="19"/>
  <c r="DE5" i="22"/>
  <c r="AS5" i="22"/>
  <c r="EE4" i="22"/>
  <c r="BS4" i="22"/>
  <c r="G4" i="22"/>
  <c r="CS5" i="21"/>
  <c r="AG5" i="21"/>
  <c r="DS4" i="21"/>
  <c r="BG4" i="21"/>
  <c r="ES5" i="20"/>
  <c r="CG5" i="20"/>
  <c r="U5" i="20"/>
  <c r="DG4" i="20"/>
  <c r="AU4" i="20"/>
  <c r="EG5" i="19"/>
  <c r="BU5" i="19"/>
  <c r="CV5" i="22"/>
  <c r="AJ5" i="22"/>
  <c r="DV4" i="22"/>
  <c r="BJ4" i="22"/>
  <c r="EV5" i="21"/>
  <c r="CJ5" i="21"/>
  <c r="X5" i="21"/>
  <c r="DJ4" i="21"/>
  <c r="AX4" i="21"/>
  <c r="EJ5" i="20"/>
  <c r="BX5" i="20"/>
  <c r="L5" i="20"/>
  <c r="CX4" i="20"/>
  <c r="AL4" i="20"/>
  <c r="DX5" i="19"/>
  <c r="BL5" i="19"/>
  <c r="CM5" i="22"/>
  <c r="AA5" i="22"/>
  <c r="DM4" i="22"/>
  <c r="BA4" i="22"/>
  <c r="EM5" i="21"/>
  <c r="CA5" i="21"/>
  <c r="O5" i="21"/>
  <c r="DA4" i="21"/>
  <c r="AO4" i="21"/>
  <c r="DS5" i="20"/>
  <c r="BG5" i="20"/>
  <c r="ES4" i="20"/>
  <c r="CG4" i="20"/>
  <c r="U4" i="20"/>
  <c r="DG5" i="19"/>
  <c r="AU5" i="19"/>
  <c r="BV5" i="22"/>
  <c r="J5" i="22"/>
  <c r="CV4" i="22"/>
  <c r="AJ4" i="22"/>
  <c r="DV5" i="21"/>
  <c r="BJ5" i="21"/>
  <c r="EV4" i="21"/>
  <c r="CJ4" i="21"/>
  <c r="X4" i="21"/>
  <c r="DJ5" i="20"/>
  <c r="AX5" i="20"/>
  <c r="EJ4" i="20"/>
  <c r="BX4" i="20"/>
  <c r="L4" i="20"/>
  <c r="CX5" i="19"/>
  <c r="AL5" i="19"/>
  <c r="EC4" i="19"/>
  <c r="BQ4" i="19"/>
  <c r="E4" i="19"/>
  <c r="CQ5" i="18"/>
  <c r="AE5" i="18"/>
  <c r="DQ4" i="18"/>
  <c r="BE4" i="18"/>
  <c r="EI5" i="17"/>
  <c r="BW5" i="17"/>
  <c r="K5" i="17"/>
  <c r="CW4" i="17"/>
  <c r="AK4" i="17"/>
  <c r="DW5" i="16"/>
  <c r="BK5" i="16"/>
  <c r="EW4" i="16"/>
  <c r="CK4" i="16"/>
  <c r="EB4" i="19"/>
  <c r="BP4" i="19"/>
  <c r="D4" i="19"/>
  <c r="CP5" i="18"/>
  <c r="AD5" i="18"/>
  <c r="DP4" i="18"/>
  <c r="BD4" i="18"/>
  <c r="EP5" i="17"/>
  <c r="CD5" i="17"/>
  <c r="R5" i="17"/>
  <c r="DD4" i="17"/>
  <c r="AR4" i="17"/>
  <c r="ED5" i="16"/>
  <c r="BR5" i="16"/>
  <c r="F5" i="16"/>
  <c r="CR4" i="16"/>
  <c r="EI4" i="19"/>
  <c r="BW4" i="19"/>
  <c r="K4" i="19"/>
  <c r="CW5" i="18"/>
  <c r="AK5" i="18"/>
  <c r="DW4" i="18"/>
  <c r="BK4" i="18"/>
  <c r="EW5" i="17"/>
  <c r="CK5" i="17"/>
  <c r="Y5" i="17"/>
  <c r="DK4" i="17"/>
  <c r="AY4" i="17"/>
  <c r="EK5" i="16"/>
  <c r="BY5" i="16"/>
  <c r="M5" i="16"/>
  <c r="CY4" i="16"/>
  <c r="EP4" i="19"/>
  <c r="CD4" i="19"/>
  <c r="R4" i="19"/>
  <c r="DD5" i="18"/>
  <c r="AR5" i="18"/>
  <c r="ED4" i="18"/>
  <c r="BR4" i="18"/>
  <c r="F4" i="18"/>
  <c r="CR5" i="17"/>
  <c r="AF5" i="17"/>
  <c r="DR4" i="17"/>
  <c r="BF4" i="17"/>
  <c r="ER5" i="16"/>
  <c r="CF5" i="16"/>
  <c r="T5" i="16"/>
  <c r="DF4" i="16"/>
  <c r="EO4" i="19"/>
  <c r="CC4" i="19"/>
  <c r="Q4" i="19"/>
  <c r="CU5" i="18"/>
  <c r="AI5" i="18"/>
  <c r="DU4" i="18"/>
  <c r="BI4" i="18"/>
  <c r="EU5" i="17"/>
  <c r="CI5" i="17"/>
  <c r="W5" i="17"/>
  <c r="DI4" i="17"/>
  <c r="AW4" i="17"/>
  <c r="EA5" i="16"/>
  <c r="BO5" i="16"/>
  <c r="C5" i="16"/>
  <c r="CO4" i="16"/>
  <c r="DX4" i="19"/>
  <c r="BL4" i="19"/>
  <c r="EX5" i="18"/>
  <c r="CL5" i="18"/>
  <c r="Z5" i="18"/>
  <c r="DL4" i="18"/>
  <c r="AZ4" i="18"/>
  <c r="EL5" i="17"/>
  <c r="BZ5" i="17"/>
  <c r="N5" i="17"/>
  <c r="CZ4" i="17"/>
  <c r="AN4" i="17"/>
  <c r="DZ5" i="16"/>
  <c r="BN5" i="16"/>
  <c r="B5" i="16"/>
  <c r="CN4" i="16"/>
  <c r="DW4" i="19"/>
  <c r="BK4" i="19"/>
  <c r="EW5" i="18"/>
  <c r="CK5" i="18"/>
  <c r="Y5" i="18"/>
  <c r="DK4" i="18"/>
  <c r="AY4" i="18"/>
  <c r="EK5" i="17"/>
  <c r="BY5" i="17"/>
  <c r="M5" i="17"/>
  <c r="CY4" i="17"/>
  <c r="AM4" i="17"/>
  <c r="DY5" i="16"/>
  <c r="BM5" i="16"/>
  <c r="A5" i="16"/>
  <c r="CM4" i="16"/>
  <c r="DN4" i="19"/>
  <c r="CW5" i="25"/>
  <c r="AK5" i="25"/>
  <c r="DW4" i="25"/>
  <c r="BK4" i="25"/>
  <c r="EW5" i="24"/>
  <c r="CK5" i="24"/>
  <c r="Y5" i="24"/>
  <c r="DK4" i="24"/>
  <c r="AY4" i="24"/>
  <c r="EK5" i="23"/>
  <c r="BY5" i="23"/>
  <c r="M5" i="23"/>
  <c r="CY4" i="23"/>
  <c r="AM4" i="23"/>
  <c r="DY5" i="22"/>
  <c r="BU5" i="22"/>
  <c r="I5" i="22"/>
  <c r="CU4" i="22"/>
  <c r="AI4" i="22"/>
  <c r="DU5" i="21"/>
  <c r="BI5" i="21"/>
  <c r="EU4" i="21"/>
  <c r="CI4" i="21"/>
  <c r="W4" i="21"/>
  <c r="DI5" i="20"/>
  <c r="AW5" i="20"/>
  <c r="EI4" i="20"/>
  <c r="BW4" i="20"/>
  <c r="K4" i="20"/>
  <c r="CW5" i="19"/>
  <c r="AK5" i="19"/>
  <c r="BT5" i="22"/>
  <c r="H5" i="22"/>
  <c r="CT4" i="22"/>
  <c r="AH4" i="22"/>
  <c r="DT5" i="21"/>
  <c r="BH5" i="21"/>
  <c r="ET4" i="21"/>
  <c r="CH4" i="21"/>
  <c r="V4" i="21"/>
  <c r="DH5" i="20"/>
  <c r="AV5" i="20"/>
  <c r="EH4" i="20"/>
  <c r="BV4" i="20"/>
  <c r="J4" i="20"/>
  <c r="CV5" i="19"/>
  <c r="AJ5" i="19"/>
  <c r="BS5" i="22"/>
  <c r="G5" i="22"/>
  <c r="CS4" i="22"/>
  <c r="AG4" i="22"/>
  <c r="DK5" i="21"/>
  <c r="AY5" i="21"/>
  <c r="EK4" i="21"/>
  <c r="BY4" i="21"/>
  <c r="M4" i="21"/>
  <c r="CY5" i="20"/>
  <c r="AM5" i="20"/>
  <c r="DY4" i="20"/>
  <c r="BM4" i="20"/>
  <c r="EQ5" i="19"/>
  <c r="CE5" i="19"/>
  <c r="DG5" i="22"/>
  <c r="AT5" i="22"/>
  <c r="EF4" i="22"/>
  <c r="BT4" i="22"/>
  <c r="H4" i="22"/>
  <c r="CT5" i="21"/>
  <c r="AH5" i="21"/>
  <c r="DT4" i="21"/>
  <c r="BH4" i="21"/>
  <c r="ET5" i="20"/>
  <c r="CH5" i="20"/>
  <c r="V5" i="20"/>
  <c r="DH4" i="20"/>
  <c r="AV4" i="20"/>
  <c r="EH5" i="19"/>
  <c r="BV5" i="19"/>
  <c r="CW5" i="22"/>
  <c r="AK5" i="22"/>
  <c r="DW4" i="22"/>
  <c r="BK4" i="22"/>
  <c r="EW5" i="21"/>
  <c r="CK5" i="21"/>
  <c r="Y5" i="21"/>
  <c r="DK4" i="21"/>
  <c r="AY4" i="21"/>
  <c r="EK5" i="20"/>
  <c r="BY5" i="20"/>
  <c r="M5" i="20"/>
  <c r="CY4" i="20"/>
  <c r="AM4" i="20"/>
  <c r="DY5" i="19"/>
  <c r="BM5" i="19"/>
  <c r="CN5" i="22"/>
  <c r="AB5" i="22"/>
  <c r="DN4" i="22"/>
  <c r="BB4" i="22"/>
  <c r="EN5" i="21"/>
  <c r="CB5" i="21"/>
  <c r="P5" i="21"/>
  <c r="DB4" i="21"/>
  <c r="AP4" i="21"/>
  <c r="EB5" i="20"/>
  <c r="BP5" i="20"/>
  <c r="D5" i="20"/>
  <c r="CP4" i="20"/>
  <c r="AD4" i="20"/>
  <c r="DP5" i="19"/>
  <c r="BD5" i="19"/>
  <c r="CE5" i="22"/>
  <c r="S5" i="22"/>
  <c r="DE4" i="22"/>
  <c r="AS4" i="22"/>
  <c r="EE5" i="21"/>
  <c r="BS5" i="21"/>
  <c r="G5" i="21"/>
  <c r="CS4" i="21"/>
  <c r="AG4" i="21"/>
  <c r="DK5" i="20"/>
  <c r="AY5" i="20"/>
  <c r="EK4" i="20"/>
  <c r="BY4" i="20"/>
  <c r="M4" i="20"/>
  <c r="CY5" i="19"/>
  <c r="AM5" i="19"/>
  <c r="BN5" i="22"/>
  <c r="B5" i="22"/>
  <c r="CN4" i="22"/>
  <c r="AB4" i="22"/>
  <c r="DN5" i="21"/>
  <c r="BB5" i="21"/>
  <c r="EN4" i="21"/>
  <c r="CB4" i="21"/>
  <c r="P4" i="21"/>
  <c r="DB5" i="20"/>
  <c r="AP5" i="20"/>
  <c r="EB4" i="20"/>
  <c r="BP4" i="20"/>
  <c r="D4" i="20"/>
  <c r="CP5" i="19"/>
  <c r="AD5" i="19"/>
  <c r="DU4" i="19"/>
  <c r="BI4" i="19"/>
  <c r="EU5" i="18"/>
  <c r="CI5" i="18"/>
  <c r="W5" i="18"/>
  <c r="DI4" i="18"/>
  <c r="AW4" i="18"/>
  <c r="EA5" i="17"/>
  <c r="BO5" i="17"/>
  <c r="C5" i="17"/>
  <c r="CO4" i="17"/>
  <c r="AC4" i="17"/>
  <c r="DO5" i="16"/>
  <c r="BC5" i="16"/>
  <c r="EO4" i="16"/>
  <c r="CC4" i="16"/>
  <c r="DT4" i="19"/>
  <c r="BH4" i="19"/>
  <c r="ET5" i="18"/>
  <c r="CH5" i="18"/>
  <c r="V5" i="18"/>
  <c r="DH4" i="18"/>
  <c r="AV4" i="18"/>
  <c r="EH5" i="17"/>
  <c r="BV5" i="17"/>
  <c r="J5" i="17"/>
  <c r="CV4" i="17"/>
  <c r="AJ4" i="17"/>
  <c r="DV5" i="16"/>
  <c r="BJ5" i="16"/>
  <c r="EV4" i="16"/>
  <c r="CJ4" i="16"/>
  <c r="EA4" i="19"/>
  <c r="BO4" i="19"/>
  <c r="C4" i="19"/>
  <c r="CO5" i="18"/>
  <c r="AC5" i="18"/>
  <c r="DO4" i="18"/>
  <c r="BC4" i="18"/>
  <c r="EO5" i="17"/>
  <c r="CC5" i="17"/>
  <c r="Q5" i="17"/>
  <c r="DC4" i="17"/>
  <c r="AQ4" i="17"/>
  <c r="EC5" i="16"/>
  <c r="BQ5" i="16"/>
  <c r="E5" i="16"/>
  <c r="CQ4" i="16"/>
  <c r="EH4" i="19"/>
  <c r="BV4" i="19"/>
  <c r="J4" i="19"/>
  <c r="CV5" i="18"/>
  <c r="AJ5" i="18"/>
  <c r="DV4" i="18"/>
  <c r="BJ4" i="18"/>
  <c r="EV5" i="17"/>
  <c r="CJ5" i="17"/>
  <c r="X5" i="17"/>
  <c r="DJ4" i="17"/>
  <c r="AX4" i="17"/>
  <c r="EJ5" i="16"/>
  <c r="BX5" i="16"/>
  <c r="L5" i="16"/>
  <c r="CX4" i="16"/>
  <c r="EG4" i="19"/>
  <c r="BU4" i="19"/>
  <c r="I4" i="19"/>
  <c r="CM5" i="18"/>
  <c r="AA5" i="18"/>
  <c r="DM4" i="18"/>
  <c r="BA4" i="18"/>
  <c r="EM5" i="17"/>
  <c r="CA5" i="17"/>
  <c r="O5" i="17"/>
  <c r="DA4" i="17"/>
  <c r="AO4" i="17"/>
  <c r="DS5" i="16"/>
  <c r="BG5" i="16"/>
  <c r="ES4" i="16"/>
  <c r="CG4" i="16"/>
  <c r="DP4" i="19"/>
  <c r="BD4" i="19"/>
  <c r="EP5" i="18"/>
  <c r="CD5" i="18"/>
  <c r="R5" i="18"/>
  <c r="DD4" i="18"/>
  <c r="AR4" i="18"/>
  <c r="ED5" i="17"/>
  <c r="BR5" i="17"/>
  <c r="F5" i="17"/>
  <c r="CR4" i="17"/>
  <c r="AF4" i="17"/>
  <c r="DR5" i="16"/>
  <c r="BF5" i="16"/>
  <c r="ER4" i="16"/>
  <c r="CF4" i="16"/>
  <c r="DO4" i="19"/>
  <c r="BC4" i="19"/>
  <c r="EO5" i="18"/>
  <c r="CC5" i="18"/>
  <c r="Q5" i="18"/>
  <c r="DC4" i="18"/>
  <c r="AQ4" i="18"/>
  <c r="EC5" i="17"/>
  <c r="BQ5" i="17"/>
  <c r="E5" i="17"/>
  <c r="CQ4" i="17"/>
  <c r="AE4" i="17"/>
  <c r="DQ5" i="16"/>
  <c r="BE5" i="16"/>
  <c r="EQ4" i="16"/>
  <c r="CE4" i="16"/>
  <c r="DF4" i="19"/>
  <c r="CO5" i="25"/>
  <c r="AC5" i="25"/>
  <c r="DO4" i="25"/>
  <c r="BC4" i="25"/>
  <c r="EO5" i="24"/>
  <c r="CC5" i="24"/>
  <c r="Q5" i="24"/>
  <c r="DC4" i="24"/>
  <c r="AQ4" i="24"/>
  <c r="EC5" i="23"/>
  <c r="BQ5" i="23"/>
  <c r="E5" i="23"/>
  <c r="CQ4" i="23"/>
  <c r="AE4" i="23"/>
  <c r="DQ5" i="22"/>
  <c r="BM5" i="22"/>
  <c r="A5" i="22"/>
  <c r="CM4" i="22"/>
  <c r="AA4" i="22"/>
  <c r="DM5" i="21"/>
  <c r="BA5" i="21"/>
  <c r="EM4" i="21"/>
  <c r="CA4" i="21"/>
  <c r="O4" i="21"/>
  <c r="DA5" i="20"/>
  <c r="AO5" i="20"/>
  <c r="EA4" i="20"/>
  <c r="BO4" i="20"/>
  <c r="C4" i="20"/>
  <c r="CO5" i="19"/>
  <c r="AC5" i="19"/>
  <c r="BL5" i="22"/>
  <c r="EX4" i="22"/>
  <c r="CL4" i="22"/>
  <c r="Z4" i="22"/>
  <c r="DL5" i="21"/>
  <c r="AZ5" i="21"/>
  <c r="EL4" i="21"/>
  <c r="BZ4" i="21"/>
  <c r="N4" i="21"/>
  <c r="CZ5" i="20"/>
  <c r="AN5" i="20"/>
  <c r="DZ4" i="20"/>
  <c r="BN4" i="20"/>
  <c r="B4" i="20"/>
  <c r="CN5" i="19"/>
  <c r="AB5" i="19"/>
  <c r="BK5" i="22"/>
  <c r="EW4" i="22"/>
  <c r="CK4" i="22"/>
  <c r="Y4" i="22"/>
  <c r="DC5" i="21"/>
  <c r="AQ5" i="21"/>
  <c r="EC4" i="21"/>
  <c r="BQ4" i="21"/>
  <c r="E4" i="21"/>
  <c r="CQ5" i="20"/>
  <c r="AE5" i="20"/>
  <c r="DQ4" i="20"/>
  <c r="BE4" i="20"/>
  <c r="EI5" i="19"/>
  <c r="BW5" i="19"/>
  <c r="CX5" i="22"/>
  <c r="AL5" i="22"/>
  <c r="DX4" i="22"/>
  <c r="BL4" i="22"/>
  <c r="EX5" i="21"/>
  <c r="CL5" i="21"/>
  <c r="Z5" i="21"/>
  <c r="DL4" i="21"/>
  <c r="AZ4" i="21"/>
  <c r="EL5" i="20"/>
  <c r="BZ5" i="20"/>
  <c r="N5" i="20"/>
  <c r="CZ4" i="20"/>
  <c r="AN4" i="20"/>
  <c r="DZ5" i="19"/>
  <c r="BN5" i="19"/>
  <c r="CO5" i="22"/>
  <c r="AC5" i="22"/>
  <c r="DO4" i="22"/>
  <c r="BC4" i="22"/>
  <c r="EO5" i="21"/>
  <c r="CC5" i="21"/>
  <c r="Q5" i="21"/>
  <c r="DC4" i="21"/>
  <c r="AQ4" i="21"/>
  <c r="EC5" i="20"/>
  <c r="BQ5" i="20"/>
  <c r="E5" i="20"/>
  <c r="CQ4" i="20"/>
  <c r="AE4" i="20"/>
  <c r="DQ5" i="19"/>
  <c r="BE5" i="19"/>
  <c r="CF5" i="22"/>
  <c r="T5" i="22"/>
  <c r="DF4" i="22"/>
  <c r="AT4" i="22"/>
  <c r="EF5" i="21"/>
  <c r="BT5" i="21"/>
  <c r="H5" i="21"/>
  <c r="CT4" i="21"/>
  <c r="AH4" i="21"/>
  <c r="DT5" i="20"/>
  <c r="BH5" i="20"/>
  <c r="ET4" i="20"/>
  <c r="CH4" i="20"/>
  <c r="V4" i="20"/>
  <c r="DH5" i="19"/>
  <c r="AV5" i="19"/>
  <c r="BW5" i="22"/>
  <c r="K5" i="22"/>
  <c r="CW4" i="22"/>
  <c r="AK4" i="22"/>
  <c r="DW5" i="21"/>
  <c r="BK5" i="21"/>
  <c r="EW4" i="21"/>
  <c r="CK4" i="21"/>
  <c r="Y4" i="21"/>
  <c r="DC5" i="20"/>
  <c r="AQ5" i="20"/>
  <c r="EC4" i="20"/>
  <c r="BQ4" i="20"/>
  <c r="E4" i="20"/>
  <c r="CQ5" i="19"/>
  <c r="AE5" i="19"/>
  <c r="BF5" i="22"/>
  <c r="ER4" i="22"/>
  <c r="CF4" i="22"/>
  <c r="T4" i="22"/>
  <c r="DF5" i="21"/>
  <c r="AT5" i="21"/>
  <c r="EF4" i="21"/>
  <c r="BT4" i="21"/>
  <c r="H4" i="21"/>
  <c r="CT5" i="20"/>
  <c r="AH5" i="20"/>
  <c r="DT4" i="20"/>
  <c r="BH4" i="20"/>
  <c r="ET5" i="19"/>
  <c r="CH5" i="19"/>
  <c r="V5" i="19"/>
  <c r="DM4" i="19"/>
  <c r="BA4" i="19"/>
  <c r="EM5" i="18"/>
  <c r="CA5" i="18"/>
  <c r="O5" i="18"/>
  <c r="DA4" i="18"/>
  <c r="AO4" i="18"/>
  <c r="DS5" i="17"/>
  <c r="BG5" i="17"/>
  <c r="ES4" i="17"/>
  <c r="CG4" i="17"/>
  <c r="U4" i="17"/>
  <c r="DG5" i="16"/>
  <c r="AU5" i="16"/>
  <c r="EG4" i="16"/>
  <c r="BU4" i="16"/>
  <c r="DL4" i="19"/>
  <c r="AZ4" i="19"/>
  <c r="EL5" i="18"/>
  <c r="BZ5" i="18"/>
  <c r="N5" i="18"/>
  <c r="CZ4" i="18"/>
  <c r="AN4" i="18"/>
  <c r="DZ5" i="17"/>
  <c r="BN5" i="17"/>
  <c r="B5" i="17"/>
  <c r="CN4" i="17"/>
  <c r="AB4" i="17"/>
  <c r="DN5" i="16"/>
  <c r="BB5" i="16"/>
  <c r="EN4" i="16"/>
  <c r="CB4" i="16"/>
  <c r="DS4" i="19"/>
  <c r="BG4" i="19"/>
  <c r="ES5" i="18"/>
  <c r="CG5" i="18"/>
  <c r="U5" i="18"/>
  <c r="DG4" i="18"/>
  <c r="AU4" i="18"/>
  <c r="EG5" i="17"/>
  <c r="BU5" i="17"/>
  <c r="I5" i="17"/>
  <c r="CU4" i="17"/>
  <c r="AI4" i="17"/>
  <c r="DU5" i="16"/>
  <c r="BI5" i="16"/>
  <c r="EU4" i="16"/>
  <c r="CI4" i="16"/>
  <c r="DZ4" i="19"/>
  <c r="BN4" i="19"/>
  <c r="B4" i="19"/>
  <c r="CN5" i="18"/>
  <c r="AB5" i="18"/>
  <c r="DN4" i="18"/>
  <c r="BB4" i="18"/>
  <c r="EN5" i="17"/>
  <c r="CB5" i="17"/>
  <c r="P5" i="17"/>
  <c r="DB4" i="17"/>
  <c r="AP4" i="17"/>
  <c r="EB5" i="16"/>
  <c r="BP5" i="16"/>
  <c r="D5" i="16"/>
  <c r="CP4" i="16"/>
  <c r="DY4" i="19"/>
  <c r="BM4" i="19"/>
  <c r="EQ5" i="18"/>
  <c r="CE5" i="18"/>
  <c r="S5" i="18"/>
  <c r="DE4" i="18"/>
  <c r="AS4" i="18"/>
  <c r="EE5" i="17"/>
  <c r="BS5" i="17"/>
  <c r="G5" i="17"/>
  <c r="CS4" i="17"/>
  <c r="AG4" i="17"/>
  <c r="DK5" i="16"/>
  <c r="AY5" i="16"/>
  <c r="EK4" i="16"/>
  <c r="BY4" i="16"/>
  <c r="DH4" i="19"/>
  <c r="AV4" i="19"/>
  <c r="EH5" i="18"/>
  <c r="BV5" i="18"/>
  <c r="J5" i="18"/>
  <c r="CV4" i="18"/>
  <c r="AJ4" i="18"/>
  <c r="DV5" i="17"/>
  <c r="BJ5" i="17"/>
  <c r="EV4" i="17"/>
  <c r="CJ4" i="17"/>
  <c r="X4" i="17"/>
  <c r="DJ5" i="16"/>
  <c r="AX5" i="16"/>
  <c r="EJ4" i="16"/>
  <c r="BX4" i="16"/>
  <c r="DG4" i="19"/>
  <c r="AU4" i="19"/>
  <c r="EG5" i="18"/>
  <c r="BU5" i="18"/>
  <c r="I5" i="18"/>
  <c r="CU4" i="18"/>
  <c r="AI4" i="18"/>
  <c r="DU5" i="17"/>
  <c r="BI5" i="17"/>
  <c r="EU4" i="17"/>
  <c r="CI4" i="17"/>
  <c r="W4" i="17"/>
  <c r="DI5" i="16"/>
  <c r="AW5" i="16"/>
  <c r="EI4" i="16"/>
  <c r="L5" i="19"/>
  <c r="CX4" i="19"/>
  <c r="CG5" i="25"/>
  <c r="U5" i="25"/>
  <c r="DG4" i="25"/>
  <c r="AU4" i="25"/>
  <c r="EG5" i="24"/>
  <c r="BU5" i="24"/>
  <c r="I5" i="24"/>
  <c r="CU4" i="24"/>
  <c r="AI4" i="24"/>
  <c r="DU5" i="23"/>
  <c r="BI5" i="23"/>
  <c r="EU4" i="23"/>
  <c r="CI4" i="23"/>
  <c r="W4" i="23"/>
  <c r="DI5" i="22"/>
  <c r="BE5" i="22"/>
  <c r="EQ4" i="22"/>
  <c r="CE4" i="22"/>
  <c r="S4" i="22"/>
  <c r="DE5" i="21"/>
  <c r="AS5" i="21"/>
  <c r="EE4" i="21"/>
  <c r="BS4" i="21"/>
  <c r="G4" i="21"/>
  <c r="CS5" i="20"/>
  <c r="AG5" i="20"/>
  <c r="DS4" i="20"/>
  <c r="BG4" i="20"/>
  <c r="ES5" i="19"/>
  <c r="CG5" i="19"/>
  <c r="U5" i="19"/>
  <c r="BD5" i="22"/>
  <c r="EP4" i="22"/>
  <c r="CD4" i="22"/>
  <c r="R4" i="22"/>
  <c r="DD5" i="21"/>
  <c r="AR5" i="21"/>
  <c r="ED4" i="21"/>
  <c r="BR4" i="21"/>
  <c r="F4" i="21"/>
  <c r="CR5" i="20"/>
  <c r="AF5" i="20"/>
  <c r="DR4" i="20"/>
  <c r="BF4" i="20"/>
  <c r="ER5" i="19"/>
  <c r="CF5" i="19"/>
  <c r="T5" i="19"/>
  <c r="BC5" i="22"/>
  <c r="EO4" i="22"/>
  <c r="CC4" i="22"/>
  <c r="Q4" i="22"/>
  <c r="CU5" i="21"/>
  <c r="AI5" i="21"/>
  <c r="DU4" i="21"/>
  <c r="BI4" i="21"/>
  <c r="EU5" i="20"/>
  <c r="CI5" i="20"/>
  <c r="W5" i="20"/>
  <c r="DI4" i="20"/>
  <c r="AW4" i="20"/>
  <c r="EA5" i="19"/>
  <c r="BO5" i="19"/>
  <c r="CP5" i="22"/>
  <c r="AD5" i="22"/>
  <c r="DP4" i="22"/>
  <c r="BD4" i="22"/>
  <c r="EP5" i="21"/>
  <c r="CD5" i="21"/>
  <c r="R5" i="21"/>
  <c r="DD4" i="21"/>
  <c r="AR4" i="21"/>
  <c r="ED5" i="20"/>
  <c r="BR5" i="20"/>
  <c r="F5" i="20"/>
  <c r="CR4" i="20"/>
  <c r="AF4" i="20"/>
  <c r="DR5" i="19"/>
  <c r="BF5" i="19"/>
  <c r="CG5" i="22"/>
  <c r="U5" i="22"/>
  <c r="DG4" i="22"/>
  <c r="AU4" i="22"/>
  <c r="EG5" i="21"/>
  <c r="BU5" i="21"/>
  <c r="I5" i="21"/>
  <c r="CU4" i="21"/>
  <c r="AI4" i="21"/>
  <c r="DU5" i="20"/>
  <c r="BI5" i="20"/>
  <c r="EU4" i="20"/>
  <c r="CI4" i="20"/>
  <c r="W4" i="20"/>
  <c r="DI5" i="19"/>
  <c r="AW5" i="19"/>
  <c r="BX5" i="22"/>
  <c r="L5" i="22"/>
  <c r="CX4" i="22"/>
  <c r="AL4" i="22"/>
  <c r="DX5" i="21"/>
  <c r="BL5" i="21"/>
  <c r="EX4" i="21"/>
  <c r="CL4" i="21"/>
  <c r="Z4" i="21"/>
  <c r="DL5" i="20"/>
  <c r="AZ5" i="20"/>
  <c r="EL4" i="20"/>
  <c r="BZ4" i="20"/>
  <c r="N4" i="20"/>
  <c r="CZ5" i="19"/>
  <c r="AN5" i="19"/>
  <c r="BO5" i="22"/>
  <c r="C5" i="22"/>
  <c r="CO4" i="22"/>
  <c r="AC4" i="22"/>
  <c r="DO5" i="21"/>
  <c r="BC5" i="21"/>
  <c r="EO4" i="21"/>
  <c r="CC4" i="21"/>
  <c r="Q4" i="21"/>
  <c r="CU5" i="20"/>
  <c r="AI5" i="20"/>
  <c r="DU4" i="20"/>
  <c r="BI4" i="20"/>
  <c r="EU5" i="19"/>
  <c r="CI5" i="19"/>
  <c r="W5" i="19"/>
  <c r="AX5" i="22"/>
  <c r="EJ4" i="22"/>
  <c r="BX4" i="22"/>
  <c r="L4" i="22"/>
  <c r="CX5" i="21"/>
  <c r="AL5" i="21"/>
  <c r="DX4" i="21"/>
  <c r="BL4" i="21"/>
  <c r="EX5" i="20"/>
  <c r="CL5" i="20"/>
  <c r="Z5" i="20"/>
  <c r="DL4" i="20"/>
  <c r="AZ4" i="20"/>
  <c r="EL5" i="19"/>
  <c r="BZ5" i="19"/>
  <c r="S5" i="19"/>
  <c r="DE4" i="19"/>
  <c r="AS4" i="19"/>
  <c r="EE5" i="18"/>
  <c r="BS5" i="18"/>
  <c r="G5" i="18"/>
  <c r="CS4" i="18"/>
  <c r="AG4" i="18"/>
  <c r="DK5" i="17"/>
  <c r="AY5" i="17"/>
  <c r="EK4" i="17"/>
  <c r="BY4" i="17"/>
  <c r="M4" i="17"/>
  <c r="CY5" i="16"/>
  <c r="AM5" i="16"/>
  <c r="DY4" i="16"/>
  <c r="R5" i="19"/>
  <c r="DD4" i="19"/>
  <c r="AR4" i="19"/>
  <c r="ED5" i="18"/>
  <c r="BR5" i="18"/>
  <c r="F5" i="18"/>
  <c r="CR4" i="18"/>
  <c r="AF4" i="18"/>
  <c r="DR5" i="17"/>
  <c r="BF5" i="17"/>
  <c r="ER4" i="17"/>
  <c r="CF4" i="17"/>
  <c r="T4" i="17"/>
  <c r="DF5" i="16"/>
  <c r="AT5" i="16"/>
  <c r="EF4" i="16"/>
  <c r="BT4" i="16"/>
  <c r="DK4" i="19"/>
  <c r="AY4" i="19"/>
  <c r="EK5" i="18"/>
  <c r="BY5" i="18"/>
  <c r="M5" i="18"/>
  <c r="CY4" i="18"/>
  <c r="AM4" i="18"/>
  <c r="DY5" i="17"/>
  <c r="BM5" i="17"/>
  <c r="A5" i="17"/>
  <c r="CM4" i="17"/>
  <c r="AA4" i="17"/>
  <c r="DM5" i="16"/>
  <c r="BA5" i="16"/>
  <c r="EM4" i="16"/>
  <c r="CA4" i="16"/>
  <c r="DR4" i="19"/>
  <c r="BF4" i="19"/>
  <c r="ER5" i="18"/>
  <c r="CF5" i="18"/>
  <c r="T5" i="18"/>
  <c r="DF4" i="18"/>
  <c r="AT4" i="18"/>
  <c r="EF5" i="17"/>
  <c r="BT5" i="17"/>
  <c r="H5" i="17"/>
  <c r="CT4" i="17"/>
  <c r="AH4" i="17"/>
  <c r="DT5" i="16"/>
  <c r="BH5" i="16"/>
  <c r="ET4" i="16"/>
  <c r="CH4" i="16"/>
  <c r="DQ4" i="19"/>
  <c r="BE4" i="19"/>
  <c r="EI5" i="18"/>
  <c r="BW5" i="18"/>
  <c r="K5" i="18"/>
  <c r="CW4" i="18"/>
  <c r="AK4" i="18"/>
  <c r="DW5" i="17"/>
  <c r="BK5" i="17"/>
  <c r="EW4" i="17"/>
  <c r="CK4" i="17"/>
  <c r="Y4" i="17"/>
  <c r="DC5" i="16"/>
  <c r="AQ5" i="16"/>
  <c r="EC4" i="16"/>
  <c r="N5" i="19"/>
  <c r="CZ4" i="19"/>
  <c r="AN4" i="19"/>
  <c r="DZ5" i="18"/>
  <c r="BN5" i="18"/>
  <c r="B5" i="18"/>
  <c r="CN4" i="18"/>
  <c r="AB4" i="18"/>
  <c r="DN5" i="17"/>
  <c r="BB5" i="17"/>
  <c r="EN4" i="17"/>
  <c r="CB4" i="17"/>
  <c r="P4" i="17"/>
  <c r="DB5" i="16"/>
  <c r="AP5" i="16"/>
  <c r="EB4" i="16"/>
  <c r="M5" i="19"/>
  <c r="CY4" i="19"/>
  <c r="AM4" i="19"/>
  <c r="DY5" i="18"/>
  <c r="BM5" i="18"/>
  <c r="A5" i="18"/>
  <c r="CM4" i="18"/>
  <c r="AA4" i="18"/>
  <c r="DM5" i="17"/>
  <c r="BA5" i="17"/>
  <c r="EM4" i="17"/>
  <c r="CA4" i="17"/>
  <c r="O4" i="17"/>
  <c r="DA5" i="16"/>
  <c r="AO5" i="16"/>
  <c r="EA4" i="16"/>
  <c r="BY5" i="25"/>
  <c r="M5" i="25"/>
  <c r="CY4" i="25"/>
  <c r="AM4" i="25"/>
  <c r="DY5" i="24"/>
  <c r="BM5" i="24"/>
  <c r="A5" i="24"/>
  <c r="CM4" i="24"/>
  <c r="AA4" i="24"/>
  <c r="DM5" i="23"/>
  <c r="BA5" i="23"/>
  <c r="EM4" i="23"/>
  <c r="CA4" i="23"/>
  <c r="O4" i="23"/>
  <c r="DK5" i="22"/>
  <c r="AW5" i="22"/>
  <c r="EI4" i="22"/>
  <c r="BW4" i="22"/>
  <c r="K4" i="22"/>
  <c r="CW5" i="21"/>
  <c r="AK5" i="21"/>
  <c r="DW4" i="21"/>
  <c r="BK4" i="21"/>
  <c r="EW5" i="20"/>
  <c r="CK5" i="20"/>
  <c r="Y5" i="20"/>
  <c r="DK4" i="20"/>
  <c r="AY4" i="20"/>
  <c r="EK5" i="19"/>
  <c r="BY5" i="19"/>
  <c r="DJ5" i="22"/>
  <c r="AV5" i="22"/>
  <c r="EH4" i="22"/>
  <c r="BV4" i="22"/>
  <c r="J4" i="22"/>
  <c r="CV5" i="21"/>
  <c r="AJ5" i="21"/>
  <c r="DV4" i="21"/>
  <c r="BJ4" i="21"/>
  <c r="EV5" i="20"/>
  <c r="CJ5" i="20"/>
  <c r="X5" i="20"/>
  <c r="DJ4" i="20"/>
  <c r="AX4" i="20"/>
  <c r="EJ5" i="19"/>
  <c r="BX5" i="19"/>
  <c r="DH5" i="22"/>
  <c r="AU5" i="22"/>
  <c r="EG4" i="22"/>
  <c r="BU4" i="22"/>
  <c r="I4" i="22"/>
  <c r="CM5" i="21"/>
  <c r="AA5" i="21"/>
  <c r="DM4" i="21"/>
  <c r="BA4" i="21"/>
  <c r="EM5" i="20"/>
  <c r="CA5" i="20"/>
  <c r="O5" i="20"/>
  <c r="DA4" i="20"/>
  <c r="AO4" i="20"/>
  <c r="DS5" i="19"/>
  <c r="BG5" i="19"/>
  <c r="CH5" i="22"/>
  <c r="V5" i="22"/>
  <c r="DH4" i="22"/>
  <c r="AV4" i="22"/>
  <c r="EH5" i="21"/>
  <c r="BV5" i="21"/>
  <c r="J5" i="21"/>
  <c r="CV4" i="21"/>
  <c r="AJ4" i="21"/>
  <c r="DV5" i="20"/>
  <c r="BJ5" i="20"/>
  <c r="EV4" i="20"/>
  <c r="CJ4" i="20"/>
  <c r="X4" i="20"/>
  <c r="DJ5" i="19"/>
  <c r="AX5" i="19"/>
  <c r="BY5" i="22"/>
  <c r="M5" i="22"/>
  <c r="CY4" i="22"/>
  <c r="AM4" i="22"/>
  <c r="DY5" i="21"/>
  <c r="BM5" i="21"/>
  <c r="A5" i="21"/>
  <c r="CM4" i="21"/>
  <c r="AA4" i="21"/>
  <c r="DM5" i="20"/>
  <c r="BA5" i="20"/>
  <c r="EM4" i="20"/>
  <c r="CA4" i="20"/>
  <c r="O4" i="20"/>
  <c r="DA5" i="19"/>
  <c r="AO5" i="19"/>
  <c r="BP5" i="22"/>
  <c r="D5" i="22"/>
  <c r="CP4" i="22"/>
  <c r="AD4" i="22"/>
  <c r="DP5" i="21"/>
  <c r="BD5" i="21"/>
  <c r="EP4" i="21"/>
  <c r="CD4" i="21"/>
  <c r="R4" i="21"/>
  <c r="DD5" i="20"/>
  <c r="AR5" i="20"/>
  <c r="ED4" i="20"/>
  <c r="BR4" i="20"/>
  <c r="F4" i="20"/>
  <c r="CR5" i="19"/>
  <c r="AF5" i="19"/>
  <c r="BG5" i="22"/>
  <c r="ES4" i="22"/>
  <c r="CG4" i="22"/>
  <c r="U4" i="22"/>
  <c r="DG5" i="21"/>
  <c r="AU5" i="21"/>
  <c r="EG4" i="21"/>
  <c r="BU4" i="21"/>
  <c r="I4" i="21"/>
  <c r="CM5" i="20"/>
  <c r="AA5" i="20"/>
  <c r="DM4" i="20"/>
  <c r="BA4" i="20"/>
  <c r="EM5" i="19"/>
  <c r="CA5" i="19"/>
  <c r="DB5" i="22"/>
  <c r="AP5" i="22"/>
  <c r="EB4" i="22"/>
  <c r="BP4" i="22"/>
  <c r="D4" i="22"/>
  <c r="CP5" i="21"/>
  <c r="AD5" i="21"/>
  <c r="DP4" i="21"/>
  <c r="BD4" i="21"/>
  <c r="EP5" i="20"/>
  <c r="CD5" i="20"/>
  <c r="R5" i="20"/>
  <c r="DD4" i="20"/>
  <c r="AR4" i="20"/>
  <c r="ED5" i="19"/>
  <c r="BR5" i="19"/>
  <c r="K5" i="19"/>
  <c r="CW4" i="19"/>
  <c r="AK4" i="19"/>
  <c r="DW5" i="18"/>
  <c r="BK5" i="18"/>
  <c r="EW4" i="18"/>
  <c r="CK4" i="18"/>
  <c r="Y4" i="18"/>
  <c r="DC5" i="17"/>
  <c r="AQ5" i="17"/>
  <c r="EC4" i="17"/>
  <c r="BQ4" i="17"/>
  <c r="E4" i="17"/>
  <c r="CQ5" i="16"/>
  <c r="AE5" i="16"/>
  <c r="DQ4" i="16"/>
  <c r="J5" i="19"/>
  <c r="CV4" i="19"/>
  <c r="AJ4" i="19"/>
  <c r="DV5" i="18"/>
  <c r="BJ5" i="18"/>
  <c r="EV4" i="18"/>
  <c r="CJ4" i="18"/>
  <c r="X4" i="18"/>
  <c r="DJ5" i="17"/>
  <c r="AX5" i="17"/>
  <c r="EJ4" i="17"/>
  <c r="BX4" i="17"/>
  <c r="L4" i="17"/>
  <c r="CX5" i="16"/>
  <c r="AL5" i="16"/>
  <c r="DX4" i="16"/>
  <c r="Q5" i="19"/>
  <c r="DC4" i="19"/>
  <c r="AQ4" i="19"/>
  <c r="EC5" i="18"/>
  <c r="BQ5" i="18"/>
  <c r="E5" i="18"/>
  <c r="CQ4" i="18"/>
  <c r="AE4" i="18"/>
  <c r="DQ5" i="17"/>
  <c r="BE5" i="17"/>
  <c r="EQ4" i="17"/>
  <c r="CE4" i="17"/>
  <c r="S4" i="17"/>
  <c r="DE5" i="16"/>
  <c r="AS5" i="16"/>
  <c r="EE4" i="16"/>
  <c r="BS4" i="16"/>
  <c r="DJ4" i="19"/>
  <c r="AX4" i="19"/>
  <c r="EJ5" i="18"/>
  <c r="BX5" i="18"/>
  <c r="L5" i="18"/>
  <c r="CX4" i="18"/>
  <c r="AL4" i="18"/>
  <c r="DX5" i="17"/>
  <c r="BL5" i="17"/>
  <c r="EX4" i="17"/>
  <c r="CL4" i="17"/>
  <c r="Z4" i="17"/>
  <c r="DL5" i="16"/>
  <c r="AZ5" i="16"/>
  <c r="EL4" i="16"/>
  <c r="BZ4" i="16"/>
  <c r="DI4" i="19"/>
  <c r="AW4" i="19"/>
  <c r="EA5" i="18"/>
  <c r="BO5" i="18"/>
  <c r="C5" i="18"/>
  <c r="CO4" i="18"/>
  <c r="AC4" i="18"/>
  <c r="DO5" i="17"/>
  <c r="BC5" i="17"/>
  <c r="EO4" i="17"/>
  <c r="CC4" i="17"/>
  <c r="Q4" i="17"/>
  <c r="CU5" i="16"/>
  <c r="AI5" i="16"/>
  <c r="DU4" i="16"/>
  <c r="F5" i="19"/>
  <c r="CR4" i="19"/>
  <c r="AF4" i="19"/>
  <c r="DR5" i="18"/>
  <c r="BF5" i="18"/>
  <c r="ER4" i="18"/>
  <c r="CF4" i="18"/>
  <c r="T4" i="18"/>
  <c r="DF5" i="17"/>
  <c r="AT5" i="17"/>
  <c r="EF4" i="17"/>
  <c r="BT4" i="17"/>
  <c r="H4" i="17"/>
  <c r="CT5" i="16"/>
  <c r="AH5" i="16"/>
  <c r="DT4" i="16"/>
  <c r="E5" i="19"/>
  <c r="CQ4" i="19"/>
  <c r="AE4" i="19"/>
  <c r="DQ5" i="18"/>
  <c r="BE5" i="18"/>
  <c r="EQ4" i="18"/>
  <c r="CE4" i="18"/>
  <c r="S4" i="18"/>
  <c r="DE5" i="17"/>
  <c r="AS5" i="17"/>
  <c r="EE4" i="17"/>
  <c r="BS4" i="17"/>
  <c r="G4" i="17"/>
  <c r="BQ5" i="25"/>
  <c r="E5" i="25"/>
  <c r="CQ4" i="25"/>
  <c r="AE4" i="25"/>
  <c r="DQ5" i="24"/>
  <c r="BE5" i="24"/>
  <c r="EQ4" i="24"/>
  <c r="CE4" i="24"/>
  <c r="S4" i="24"/>
  <c r="DE5" i="23"/>
  <c r="AS5" i="23"/>
  <c r="EE4" i="23"/>
  <c r="BS4" i="23"/>
  <c r="G4" i="23"/>
  <c r="DA5" i="22"/>
  <c r="AO5" i="22"/>
  <c r="EA4" i="22"/>
  <c r="BO4" i="22"/>
  <c r="C4" i="22"/>
  <c r="CO5" i="21"/>
  <c r="AC5" i="21"/>
  <c r="DO4" i="21"/>
  <c r="BC4" i="21"/>
  <c r="EO5" i="20"/>
  <c r="CC5" i="20"/>
  <c r="Q5" i="20"/>
  <c r="DC4" i="20"/>
  <c r="AQ4" i="20"/>
  <c r="EC5" i="19"/>
  <c r="BQ5" i="19"/>
  <c r="CZ5" i="22"/>
  <c r="AN5" i="22"/>
  <c r="DZ4" i="22"/>
  <c r="BN4" i="22"/>
  <c r="B4" i="22"/>
  <c r="CN5" i="21"/>
  <c r="AB5" i="21"/>
  <c r="DN4" i="21"/>
  <c r="BB4" i="21"/>
  <c r="EN5" i="20"/>
  <c r="CB5" i="20"/>
  <c r="P5" i="20"/>
  <c r="DB4" i="20"/>
  <c r="AP4" i="20"/>
  <c r="EB5" i="19"/>
  <c r="BP5" i="19"/>
  <c r="CY5" i="22"/>
  <c r="AM5" i="22"/>
  <c r="DY4" i="22"/>
  <c r="BM4" i="22"/>
  <c r="EQ5" i="21"/>
  <c r="CE5" i="21"/>
  <c r="S5" i="21"/>
  <c r="DE4" i="21"/>
  <c r="AS4" i="21"/>
  <c r="EE5" i="20"/>
  <c r="BS5" i="20"/>
  <c r="G5" i="20"/>
  <c r="CS4" i="20"/>
  <c r="AG4" i="20"/>
  <c r="DK5" i="19"/>
  <c r="AY5" i="19"/>
  <c r="BZ5" i="22"/>
  <c r="N5" i="22"/>
  <c r="CZ4" i="22"/>
  <c r="AN4" i="22"/>
  <c r="DZ5" i="21"/>
  <c r="BN5" i="21"/>
  <c r="B5" i="21"/>
  <c r="CN4" i="21"/>
  <c r="AB4" i="21"/>
  <c r="DN5" i="20"/>
  <c r="BB5" i="20"/>
  <c r="EN4" i="20"/>
  <c r="CB4" i="20"/>
  <c r="P4" i="20"/>
  <c r="DB5" i="19"/>
  <c r="AP5" i="19"/>
  <c r="BQ5" i="22"/>
  <c r="E5" i="22"/>
  <c r="CQ4" i="22"/>
  <c r="AE4" i="22"/>
  <c r="DQ5" i="21"/>
  <c r="BE5" i="21"/>
  <c r="EQ4" i="21"/>
  <c r="CE4" i="21"/>
  <c r="S4" i="21"/>
  <c r="DE5" i="20"/>
  <c r="AS5" i="20"/>
  <c r="EE4" i="20"/>
  <c r="BS4" i="20"/>
  <c r="G4" i="20"/>
  <c r="CS5" i="19"/>
  <c r="AG5" i="19"/>
  <c r="BH5" i="22"/>
  <c r="ET4" i="22"/>
  <c r="CH4" i="22"/>
  <c r="V4" i="22"/>
  <c r="DH5" i="21"/>
  <c r="AV5" i="21"/>
  <c r="EH4" i="21"/>
  <c r="BV4" i="21"/>
  <c r="J4" i="21"/>
  <c r="CV5" i="20"/>
  <c r="AJ5" i="20"/>
  <c r="DV4" i="20"/>
  <c r="BJ4" i="20"/>
  <c r="EV5" i="19"/>
  <c r="CJ5" i="19"/>
  <c r="X5" i="19"/>
  <c r="AY5" i="22"/>
  <c r="EK4" i="22"/>
  <c r="BY4" i="22"/>
  <c r="M4" i="22"/>
  <c r="CY5" i="21"/>
  <c r="AM5" i="21"/>
  <c r="DY4" i="21"/>
  <c r="BM4" i="21"/>
  <c r="EQ5" i="20"/>
  <c r="CE5" i="20"/>
  <c r="S5" i="20"/>
  <c r="DE4" i="20"/>
  <c r="AS4" i="20"/>
  <c r="EE5" i="19"/>
  <c r="BS5" i="19"/>
  <c r="CT5" i="22"/>
  <c r="AH5" i="22"/>
  <c r="DT4" i="22"/>
  <c r="BH4" i="22"/>
  <c r="ET5" i="21"/>
  <c r="CH5" i="21"/>
  <c r="V5" i="21"/>
  <c r="DH4" i="21"/>
  <c r="AV4" i="21"/>
  <c r="EH5" i="20"/>
  <c r="BV5" i="20"/>
  <c r="J5" i="20"/>
  <c r="CV4" i="20"/>
  <c r="AJ4" i="20"/>
  <c r="DV5" i="19"/>
  <c r="BJ5" i="19"/>
  <c r="C5" i="19"/>
  <c r="CO4" i="19"/>
  <c r="AC4" i="19"/>
  <c r="DO5" i="18"/>
  <c r="BC5" i="18"/>
  <c r="EO4" i="18"/>
  <c r="CC4" i="18"/>
  <c r="Q4" i="18"/>
  <c r="CU5" i="17"/>
  <c r="AI5" i="17"/>
  <c r="DU4" i="17"/>
  <c r="BI4" i="17"/>
  <c r="EU5" i="16"/>
  <c r="CI5" i="16"/>
  <c r="W5" i="16"/>
  <c r="DI4" i="16"/>
  <c r="B5" i="19"/>
  <c r="CN4" i="19"/>
  <c r="AB4" i="19"/>
  <c r="DN5" i="18"/>
  <c r="BB5" i="18"/>
  <c r="EN4" i="18"/>
  <c r="CB4" i="18"/>
  <c r="P4" i="18"/>
  <c r="DB5" i="17"/>
  <c r="AP5" i="17"/>
  <c r="EB4" i="17"/>
  <c r="BP4" i="17"/>
  <c r="D4" i="17"/>
  <c r="CP5" i="16"/>
  <c r="AD5" i="16"/>
  <c r="DP4" i="16"/>
  <c r="I5" i="19"/>
  <c r="CU4" i="19"/>
  <c r="AI4" i="19"/>
  <c r="DU5" i="18"/>
  <c r="BI5" i="18"/>
  <c r="EU4" i="18"/>
  <c r="CI4" i="18"/>
  <c r="W4" i="18"/>
  <c r="DI5" i="17"/>
  <c r="AW5" i="17"/>
  <c r="EI4" i="17"/>
  <c r="BW4" i="17"/>
  <c r="K4" i="17"/>
  <c r="CW5" i="16"/>
  <c r="AK5" i="16"/>
  <c r="DW4" i="16"/>
  <c r="P5" i="19"/>
  <c r="DB4" i="19"/>
  <c r="AP4" i="19"/>
  <c r="EB5" i="18"/>
  <c r="BP5" i="18"/>
  <c r="D5" i="18"/>
  <c r="CP4" i="18"/>
  <c r="AD4" i="18"/>
  <c r="DP5" i="17"/>
  <c r="BD5" i="17"/>
  <c r="EP4" i="17"/>
  <c r="CD4" i="17"/>
  <c r="R4" i="17"/>
  <c r="DD5" i="16"/>
  <c r="AR5" i="16"/>
  <c r="ED4" i="16"/>
  <c r="O5" i="19"/>
  <c r="DA4" i="19"/>
  <c r="AO4" i="19"/>
  <c r="DS5" i="18"/>
  <c r="BG5" i="18"/>
  <c r="ES4" i="18"/>
  <c r="CG4" i="18"/>
  <c r="U4" i="18"/>
  <c r="DG5" i="17"/>
  <c r="AU5" i="17"/>
  <c r="EG4" i="17"/>
  <c r="BU4" i="17"/>
  <c r="I4" i="17"/>
  <c r="CM5" i="16"/>
  <c r="AA5" i="16"/>
  <c r="DM4" i="16"/>
  <c r="EV4" i="19"/>
  <c r="CJ4" i="19"/>
  <c r="X4" i="19"/>
  <c r="DJ5" i="18"/>
  <c r="AX5" i="18"/>
  <c r="EJ4" i="18"/>
  <c r="BX4" i="18"/>
  <c r="L4" i="18"/>
  <c r="CX5" i="17"/>
  <c r="AL5" i="17"/>
  <c r="DX4" i="17"/>
  <c r="BL4" i="17"/>
  <c r="EX5" i="16"/>
  <c r="CL5" i="16"/>
  <c r="Z5" i="16"/>
  <c r="DL4" i="16"/>
  <c r="EU4" i="19"/>
  <c r="CI4" i="19"/>
  <c r="W4" i="19"/>
  <c r="DI5" i="18"/>
  <c r="AW5" i="18"/>
  <c r="EI4" i="18"/>
  <c r="BW4" i="18"/>
  <c r="K4" i="18"/>
  <c r="CW5" i="17"/>
  <c r="AK5" i="17"/>
  <c r="DW4" i="17"/>
  <c r="BK4" i="17"/>
  <c r="EW5" i="16"/>
  <c r="CK5" i="16"/>
  <c r="Y5" i="16"/>
  <c r="DK4" i="16"/>
  <c r="BI5" i="25"/>
  <c r="EU4" i="25"/>
  <c r="CI4" i="25"/>
  <c r="W4" i="25"/>
  <c r="DI5" i="24"/>
  <c r="AW5" i="24"/>
  <c r="EI4" i="24"/>
  <c r="BW4" i="24"/>
  <c r="K4" i="24"/>
  <c r="CW5" i="23"/>
  <c r="AK5" i="23"/>
  <c r="DW4" i="23"/>
  <c r="BK4" i="23"/>
  <c r="EW5" i="22"/>
  <c r="CS5" i="22"/>
  <c r="AG5" i="22"/>
  <c r="DS4" i="22"/>
  <c r="BG4" i="22"/>
  <c r="ES5" i="21"/>
  <c r="CG5" i="21"/>
  <c r="U5" i="21"/>
  <c r="DG4" i="21"/>
  <c r="AU4" i="21"/>
  <c r="EG5" i="20"/>
  <c r="BU5" i="20"/>
  <c r="I5" i="20"/>
  <c r="CU4" i="20"/>
  <c r="AI4" i="20"/>
  <c r="DU5" i="19"/>
  <c r="BI5" i="19"/>
  <c r="CR5" i="22"/>
  <c r="AF5" i="22"/>
  <c r="DR4" i="22"/>
  <c r="BF4" i="22"/>
  <c r="ER5" i="21"/>
  <c r="CF5" i="21"/>
  <c r="T5" i="21"/>
  <c r="DF4" i="21"/>
  <c r="AT4" i="21"/>
  <c r="EF5" i="20"/>
  <c r="BT5" i="20"/>
  <c r="H5" i="20"/>
  <c r="CT4" i="20"/>
  <c r="AH4" i="20"/>
  <c r="DT5" i="19"/>
  <c r="BH5" i="19"/>
  <c r="CQ5" i="22"/>
  <c r="AE5" i="22"/>
  <c r="DQ4" i="22"/>
  <c r="BE4" i="22"/>
  <c r="EI5" i="21"/>
  <c r="BW5" i="21"/>
  <c r="K5" i="21"/>
  <c r="CW4" i="21"/>
  <c r="AK4" i="21"/>
  <c r="DW5" i="20"/>
  <c r="BK5" i="20"/>
  <c r="EW4" i="20"/>
  <c r="CK4" i="20"/>
  <c r="Y4" i="20"/>
  <c r="DC5" i="19"/>
  <c r="AQ5" i="19"/>
  <c r="BR5" i="22"/>
  <c r="F5" i="22"/>
  <c r="CR4" i="22"/>
  <c r="AF4" i="22"/>
  <c r="DR5" i="21"/>
  <c r="BF5" i="21"/>
  <c r="ER4" i="21"/>
  <c r="CF4" i="21"/>
  <c r="T4" i="21"/>
  <c r="DF5" i="20"/>
  <c r="AT5" i="20"/>
  <c r="EF4" i="20"/>
  <c r="BT4" i="20"/>
  <c r="H4" i="20"/>
  <c r="CT5" i="19"/>
  <c r="AH5" i="19"/>
  <c r="BI5" i="22"/>
  <c r="EU4" i="22"/>
  <c r="CI4" i="22"/>
  <c r="W4" i="22"/>
  <c r="DI5" i="21"/>
  <c r="AW5" i="21"/>
  <c r="EI4" i="21"/>
  <c r="BW4" i="21"/>
  <c r="K4" i="21"/>
  <c r="CW5" i="20"/>
  <c r="AK5" i="20"/>
  <c r="DW4" i="20"/>
  <c r="BK4" i="20"/>
  <c r="EW5" i="19"/>
  <c r="CK5" i="19"/>
  <c r="Y5" i="19"/>
  <c r="AZ5" i="22"/>
  <c r="EL4" i="22"/>
  <c r="BZ4" i="22"/>
  <c r="N4" i="22"/>
  <c r="CZ5" i="21"/>
  <c r="AN5" i="21"/>
  <c r="DZ4" i="21"/>
  <c r="BN4" i="21"/>
  <c r="B4" i="21"/>
  <c r="CN5" i="20"/>
  <c r="AB5" i="20"/>
  <c r="DN4" i="20"/>
  <c r="BB4" i="20"/>
  <c r="EN5" i="19"/>
  <c r="CB5" i="19"/>
  <c r="DC5" i="22"/>
  <c r="AQ5" i="22"/>
  <c r="EC4" i="22"/>
  <c r="BQ4" i="22"/>
  <c r="E4" i="22"/>
  <c r="CQ5" i="21"/>
  <c r="AE5" i="21"/>
  <c r="DQ4" i="21"/>
  <c r="BE4" i="21"/>
  <c r="EI5" i="20"/>
  <c r="BW5" i="20"/>
  <c r="K5" i="20"/>
  <c r="CW4" i="20"/>
  <c r="AK4" i="20"/>
  <c r="DW5" i="19"/>
  <c r="BK5" i="19"/>
  <c r="CL5" i="22"/>
  <c r="Z5" i="22"/>
  <c r="DL4" i="22"/>
  <c r="AZ4" i="22"/>
  <c r="EL5" i="21"/>
  <c r="BZ5" i="21"/>
  <c r="N5" i="21"/>
  <c r="CZ4" i="21"/>
  <c r="AN4" i="21"/>
  <c r="DZ5" i="20"/>
  <c r="BN5" i="20"/>
  <c r="B5" i="20"/>
  <c r="CN4" i="20"/>
  <c r="AB4" i="20"/>
  <c r="DN5" i="19"/>
  <c r="BB5" i="19"/>
  <c r="ES4" i="19"/>
  <c r="CG4" i="19"/>
  <c r="U4" i="19"/>
  <c r="DG5" i="18"/>
  <c r="AU5" i="18"/>
  <c r="EG4" i="18"/>
  <c r="BU4" i="18"/>
  <c r="I4" i="18"/>
  <c r="CM5" i="17"/>
  <c r="AA5" i="17"/>
  <c r="DM4" i="17"/>
  <c r="BA4" i="17"/>
  <c r="EM5" i="16"/>
  <c r="CA5" i="16"/>
  <c r="O5" i="16"/>
  <c r="DA4" i="16"/>
  <c r="ER4" i="19"/>
  <c r="CF4" i="19"/>
  <c r="T4" i="19"/>
  <c r="DF5" i="18"/>
  <c r="AT5" i="18"/>
  <c r="EF4" i="18"/>
  <c r="BT4" i="18"/>
  <c r="H4" i="18"/>
  <c r="CT5" i="17"/>
  <c r="AH5" i="17"/>
  <c r="DT4" i="17"/>
  <c r="BH4" i="17"/>
  <c r="ET5" i="16"/>
  <c r="CH5" i="16"/>
  <c r="V5" i="16"/>
  <c r="DH4" i="16"/>
  <c r="A5" i="19"/>
  <c r="CM4" i="19"/>
  <c r="AA4" i="19"/>
  <c r="DM5" i="18"/>
  <c r="BA5" i="18"/>
  <c r="EM4" i="18"/>
  <c r="CA4" i="18"/>
  <c r="O4" i="18"/>
  <c r="DA5" i="17"/>
  <c r="AO5" i="17"/>
  <c r="EA4" i="17"/>
  <c r="BO4" i="17"/>
  <c r="C4" i="17"/>
  <c r="CO5" i="16"/>
  <c r="AC5" i="16"/>
  <c r="DO4" i="16"/>
  <c r="H5" i="19"/>
  <c r="CT4" i="19"/>
  <c r="AH4" i="19"/>
  <c r="DT5" i="18"/>
  <c r="BH5" i="18"/>
  <c r="ET4" i="18"/>
  <c r="CH4" i="18"/>
  <c r="V4" i="18"/>
  <c r="DH5" i="17"/>
  <c r="AV5" i="17"/>
  <c r="EH4" i="17"/>
  <c r="BV4" i="17"/>
  <c r="J4" i="17"/>
  <c r="CV5" i="16"/>
  <c r="AJ5" i="16"/>
  <c r="DV4" i="16"/>
  <c r="G5" i="19"/>
  <c r="CS4" i="19"/>
  <c r="AG4" i="19"/>
  <c r="DK5" i="18"/>
  <c r="AY5" i="18"/>
  <c r="EK4" i="18"/>
  <c r="BY4" i="18"/>
  <c r="M4" i="18"/>
  <c r="CY5" i="17"/>
  <c r="AM5" i="17"/>
  <c r="DY4" i="17"/>
  <c r="BM4" i="17"/>
  <c r="EQ5" i="16"/>
  <c r="CE5" i="16"/>
  <c r="S5" i="16"/>
  <c r="DE4" i="16"/>
  <c r="EN4" i="19"/>
  <c r="CB4" i="19"/>
  <c r="P4" i="19"/>
  <c r="DB5" i="18"/>
  <c r="AP5" i="18"/>
  <c r="EB4" i="18"/>
  <c r="BP4" i="18"/>
  <c r="D4" i="18"/>
  <c r="CP5" i="17"/>
  <c r="AD5" i="17"/>
  <c r="DP4" i="17"/>
  <c r="BD4" i="17"/>
  <c r="EP5" i="16"/>
  <c r="CD5" i="16"/>
  <c r="R5" i="16"/>
  <c r="DD4" i="16"/>
  <c r="EM4" i="19"/>
  <c r="CA4" i="19"/>
  <c r="O4" i="19"/>
  <c r="DA5" i="18"/>
  <c r="AO5" i="18"/>
  <c r="EA4" i="18"/>
  <c r="BO4" i="18"/>
  <c r="C4" i="18"/>
  <c r="CO5" i="17"/>
  <c r="AC5" i="17"/>
  <c r="DO4" i="17"/>
  <c r="BC4" i="17"/>
  <c r="D5" i="19"/>
  <c r="BJ4" i="19"/>
  <c r="EV5" i="18"/>
  <c r="CJ5" i="18"/>
  <c r="X5" i="18"/>
  <c r="DJ4" i="18"/>
  <c r="AX4" i="18"/>
  <c r="EJ5" i="17"/>
  <c r="BX5" i="17"/>
  <c r="L5" i="17"/>
  <c r="CX4" i="17"/>
  <c r="AL4" i="17"/>
  <c r="DX5" i="16"/>
  <c r="BL5" i="16"/>
  <c r="EX4" i="16"/>
  <c r="CL4" i="16"/>
  <c r="X4" i="16"/>
  <c r="DJ5" i="15"/>
  <c r="AX5" i="15"/>
  <c r="EJ4" i="15"/>
  <c r="BX4" i="15"/>
  <c r="L4" i="15"/>
  <c r="CX5" i="14"/>
  <c r="AL5" i="14"/>
  <c r="DX4" i="14"/>
  <c r="BL4" i="14"/>
  <c r="EX5" i="13"/>
  <c r="CL5" i="13"/>
  <c r="Z5" i="13"/>
  <c r="DL4" i="13"/>
  <c r="AZ4" i="13"/>
  <c r="EL5" i="12"/>
  <c r="O4" i="16"/>
  <c r="DA5" i="15"/>
  <c r="AO5" i="15"/>
  <c r="EA4" i="15"/>
  <c r="BO4" i="15"/>
  <c r="C4" i="15"/>
  <c r="CO5" i="14"/>
  <c r="AC5" i="14"/>
  <c r="DO4" i="14"/>
  <c r="BC4" i="14"/>
  <c r="EO5" i="13"/>
  <c r="CC5" i="13"/>
  <c r="Q5" i="13"/>
  <c r="DC4" i="13"/>
  <c r="AQ4" i="13"/>
  <c r="EC5" i="12"/>
  <c r="N4" i="16"/>
  <c r="CZ5" i="15"/>
  <c r="AN5" i="15"/>
  <c r="DZ4" i="15"/>
  <c r="BN4" i="15"/>
  <c r="B4" i="15"/>
  <c r="CN5" i="14"/>
  <c r="AB5" i="14"/>
  <c r="DN4" i="14"/>
  <c r="BB4" i="14"/>
  <c r="EN5" i="13"/>
  <c r="CB5" i="13"/>
  <c r="P5" i="13"/>
  <c r="DB4" i="13"/>
  <c r="AP4" i="13"/>
  <c r="BQ4" i="16"/>
  <c r="E4" i="16"/>
  <c r="CQ5" i="15"/>
  <c r="AE5" i="15"/>
  <c r="DQ4" i="15"/>
  <c r="BE4" i="15"/>
  <c r="EI5" i="14"/>
  <c r="BW5" i="14"/>
  <c r="K5" i="14"/>
  <c r="CW4" i="14"/>
  <c r="AK4" i="14"/>
  <c r="DW5" i="13"/>
  <c r="BK5" i="13"/>
  <c r="EW4" i="13"/>
  <c r="CK4" i="13"/>
  <c r="Y4" i="13"/>
  <c r="AB4" i="16"/>
  <c r="DN5" i="15"/>
  <c r="BB5" i="15"/>
  <c r="EN4" i="15"/>
  <c r="CB4" i="15"/>
  <c r="P4" i="15"/>
  <c r="DB5" i="14"/>
  <c r="AP5" i="14"/>
  <c r="EB4" i="14"/>
  <c r="BP4" i="14"/>
  <c r="D4" i="14"/>
  <c r="CP5" i="13"/>
  <c r="AD5" i="13"/>
  <c r="DP4" i="13"/>
  <c r="BD4" i="13"/>
  <c r="EP5" i="12"/>
  <c r="S4" i="16"/>
  <c r="DE5" i="15"/>
  <c r="AS5" i="15"/>
  <c r="EE4" i="15"/>
  <c r="BS4" i="15"/>
  <c r="G4" i="15"/>
  <c r="CS5" i="14"/>
  <c r="AG5" i="14"/>
  <c r="DS4" i="14"/>
  <c r="BG4" i="14"/>
  <c r="ES5" i="13"/>
  <c r="CG5" i="13"/>
  <c r="U5" i="13"/>
  <c r="DG4" i="13"/>
  <c r="AU4" i="13"/>
  <c r="EG5" i="12"/>
  <c r="J4" i="16"/>
  <c r="CV5" i="15"/>
  <c r="AJ5" i="15"/>
  <c r="DV4" i="15"/>
  <c r="BJ4" i="15"/>
  <c r="EV5" i="14"/>
  <c r="CJ5" i="14"/>
  <c r="X5" i="14"/>
  <c r="DJ4" i="14"/>
  <c r="AX4" i="14"/>
  <c r="EJ5" i="13"/>
  <c r="BX5" i="13"/>
  <c r="L5" i="13"/>
  <c r="CX4" i="13"/>
  <c r="AL4" i="13"/>
  <c r="BM4" i="16"/>
  <c r="EQ5" i="15"/>
  <c r="CE5" i="15"/>
  <c r="S5" i="15"/>
  <c r="DE4" i="15"/>
  <c r="AS4" i="15"/>
  <c r="EE5" i="14"/>
  <c r="BS5" i="14"/>
  <c r="G5" i="14"/>
  <c r="CS4" i="14"/>
  <c r="AG4" i="14"/>
  <c r="DK5" i="13"/>
  <c r="AY5" i="13"/>
  <c r="EK4" i="13"/>
  <c r="BY4" i="13"/>
  <c r="M4" i="13"/>
  <c r="CZ5" i="12"/>
  <c r="AN5" i="12"/>
  <c r="DZ4" i="12"/>
  <c r="BN4" i="12"/>
  <c r="B4" i="12"/>
  <c r="CN5" i="11"/>
  <c r="AB5" i="11"/>
  <c r="DN4" i="11"/>
  <c r="BB4" i="11"/>
  <c r="EN5" i="10"/>
  <c r="CB5" i="10"/>
  <c r="P5" i="10"/>
  <c r="DB4" i="10"/>
  <c r="AP4" i="10"/>
  <c r="EB5" i="9"/>
  <c r="BP5" i="9"/>
  <c r="D5" i="9"/>
  <c r="CP4" i="9"/>
  <c r="AD4" i="9"/>
  <c r="DP5" i="8"/>
  <c r="BD5" i="8"/>
  <c r="EP4" i="8"/>
  <c r="CD4" i="8"/>
  <c r="R4" i="8"/>
  <c r="DD5" i="7"/>
  <c r="AR5" i="7"/>
  <c r="ED4" i="7"/>
  <c r="BR4" i="7"/>
  <c r="F4" i="7"/>
  <c r="CR5" i="6"/>
  <c r="AF5" i="6"/>
  <c r="DR4" i="6"/>
  <c r="CI5" i="12"/>
  <c r="W5" i="12"/>
  <c r="DI4" i="12"/>
  <c r="AW4" i="12"/>
  <c r="EA5" i="11"/>
  <c r="BO5" i="11"/>
  <c r="C5" i="11"/>
  <c r="CO4" i="11"/>
  <c r="AC4" i="11"/>
  <c r="DO5" i="10"/>
  <c r="BC5" i="10"/>
  <c r="EO4" i="10"/>
  <c r="CC4" i="10"/>
  <c r="Q4" i="10"/>
  <c r="CU5" i="9"/>
  <c r="AI5" i="9"/>
  <c r="DU4" i="9"/>
  <c r="BI4" i="9"/>
  <c r="EU5" i="8"/>
  <c r="CI5" i="8"/>
  <c r="W5" i="8"/>
  <c r="DI4" i="8"/>
  <c r="AW4" i="8"/>
  <c r="EA5" i="7"/>
  <c r="BO5" i="7"/>
  <c r="C5" i="7"/>
  <c r="CO4" i="7"/>
  <c r="AC4" i="7"/>
  <c r="DO5" i="6"/>
  <c r="BC5" i="6"/>
  <c r="EO4" i="6"/>
  <c r="DF5" i="12"/>
  <c r="AT5" i="12"/>
  <c r="EF4" i="12"/>
  <c r="BT4" i="12"/>
  <c r="H4" i="12"/>
  <c r="CT5" i="11"/>
  <c r="AH5" i="11"/>
  <c r="DT4" i="11"/>
  <c r="BH4" i="11"/>
  <c r="ET5" i="10"/>
  <c r="CH5" i="10"/>
  <c r="V5" i="10"/>
  <c r="DH4" i="10"/>
  <c r="AV4" i="10"/>
  <c r="EH5" i="9"/>
  <c r="BV5" i="9"/>
  <c r="J5" i="9"/>
  <c r="CV4" i="9"/>
  <c r="AJ4" i="9"/>
  <c r="DV5" i="8"/>
  <c r="BJ5" i="8"/>
  <c r="EV4" i="8"/>
  <c r="CJ4" i="8"/>
  <c r="X4" i="8"/>
  <c r="DJ5" i="7"/>
  <c r="AX5" i="7"/>
  <c r="EJ4" i="7"/>
  <c r="BX4" i="7"/>
  <c r="L4" i="7"/>
  <c r="CX5" i="6"/>
  <c r="AL5" i="6"/>
  <c r="DX4" i="6"/>
  <c r="CG5" i="12"/>
  <c r="U5" i="12"/>
  <c r="DG4" i="12"/>
  <c r="AU4" i="12"/>
  <c r="EG5" i="11"/>
  <c r="BU5" i="11"/>
  <c r="I5" i="11"/>
  <c r="CU4" i="11"/>
  <c r="AI4" i="11"/>
  <c r="DU5" i="10"/>
  <c r="BI5" i="10"/>
  <c r="EU4" i="10"/>
  <c r="CI4" i="10"/>
  <c r="W4" i="10"/>
  <c r="DI5" i="9"/>
  <c r="AW5" i="9"/>
  <c r="EI4" i="9"/>
  <c r="EO5" i="16"/>
  <c r="ET4" i="19"/>
  <c r="BB4" i="19"/>
  <c r="EN5" i="18"/>
  <c r="CB5" i="18"/>
  <c r="P5" i="18"/>
  <c r="DB4" i="18"/>
  <c r="AP4" i="18"/>
  <c r="EB5" i="17"/>
  <c r="BP5" i="17"/>
  <c r="D5" i="17"/>
  <c r="CP4" i="17"/>
  <c r="AD4" i="17"/>
  <c r="DP5" i="16"/>
  <c r="BD5" i="16"/>
  <c r="EP4" i="16"/>
  <c r="CD4" i="16"/>
  <c r="P4" i="16"/>
  <c r="DB5" i="15"/>
  <c r="AP5" i="15"/>
  <c r="EB4" i="15"/>
  <c r="BP4" i="15"/>
  <c r="D4" i="15"/>
  <c r="CP5" i="14"/>
  <c r="AD5" i="14"/>
  <c r="DP4" i="14"/>
  <c r="BD4" i="14"/>
  <c r="EP5" i="13"/>
  <c r="CD5" i="13"/>
  <c r="R5" i="13"/>
  <c r="DD4" i="13"/>
  <c r="AR4" i="13"/>
  <c r="BV4" i="16"/>
  <c r="G4" i="16"/>
  <c r="CS5" i="15"/>
  <c r="AG5" i="15"/>
  <c r="DS4" i="15"/>
  <c r="BG4" i="15"/>
  <c r="ES5" i="14"/>
  <c r="CG5" i="14"/>
  <c r="U5" i="14"/>
  <c r="DG4" i="14"/>
  <c r="AU4" i="14"/>
  <c r="EG5" i="13"/>
  <c r="BU5" i="13"/>
  <c r="I5" i="13"/>
  <c r="CU4" i="13"/>
  <c r="AI4" i="13"/>
  <c r="BR4" i="16"/>
  <c r="F4" i="16"/>
  <c r="CR5" i="15"/>
  <c r="AF5" i="15"/>
  <c r="DR4" i="15"/>
  <c r="BF4" i="15"/>
  <c r="ER5" i="14"/>
  <c r="CF5" i="14"/>
  <c r="T5" i="14"/>
  <c r="DF4" i="14"/>
  <c r="AT4" i="14"/>
  <c r="EF5" i="13"/>
  <c r="BT5" i="13"/>
  <c r="H5" i="13"/>
  <c r="CT4" i="13"/>
  <c r="AH4" i="13"/>
  <c r="BI4" i="16"/>
  <c r="EU5" i="15"/>
  <c r="CI5" i="15"/>
  <c r="W5" i="15"/>
  <c r="DI4" i="15"/>
  <c r="AW4" i="15"/>
  <c r="EA5" i="14"/>
  <c r="BO5" i="14"/>
  <c r="C5" i="14"/>
  <c r="CO4" i="14"/>
  <c r="AC4" i="14"/>
  <c r="DO5" i="13"/>
  <c r="BC5" i="13"/>
  <c r="EO4" i="13"/>
  <c r="CC4" i="13"/>
  <c r="Q4" i="13"/>
  <c r="T4" i="16"/>
  <c r="DF5" i="15"/>
  <c r="AT5" i="15"/>
  <c r="EF4" i="15"/>
  <c r="BT4" i="15"/>
  <c r="H4" i="15"/>
  <c r="CT5" i="14"/>
  <c r="AH5" i="14"/>
  <c r="DT4" i="14"/>
  <c r="BH4" i="14"/>
  <c r="ET5" i="13"/>
  <c r="CH5" i="13"/>
  <c r="V5" i="13"/>
  <c r="DH4" i="13"/>
  <c r="AV4" i="13"/>
  <c r="EH5" i="12"/>
  <c r="K4" i="16"/>
  <c r="CW5" i="15"/>
  <c r="AK5" i="15"/>
  <c r="DW4" i="15"/>
  <c r="BK4" i="15"/>
  <c r="EW5" i="14"/>
  <c r="CK5" i="14"/>
  <c r="Y5" i="14"/>
  <c r="DK4" i="14"/>
  <c r="AY4" i="14"/>
  <c r="EK5" i="13"/>
  <c r="BY5" i="13"/>
  <c r="M5" i="13"/>
  <c r="CY4" i="13"/>
  <c r="AM4" i="13"/>
  <c r="BN4" i="16"/>
  <c r="B4" i="16"/>
  <c r="CN5" i="15"/>
  <c r="AB5" i="15"/>
  <c r="DN4" i="15"/>
  <c r="BB4" i="15"/>
  <c r="EN5" i="14"/>
  <c r="CB5" i="14"/>
  <c r="P5" i="14"/>
  <c r="DB4" i="14"/>
  <c r="AP4" i="14"/>
  <c r="EB5" i="13"/>
  <c r="BP5" i="13"/>
  <c r="D5" i="13"/>
  <c r="CP4" i="13"/>
  <c r="AD4" i="13"/>
  <c r="BE4" i="16"/>
  <c r="EI5" i="15"/>
  <c r="BW5" i="15"/>
  <c r="K5" i="15"/>
  <c r="CW4" i="15"/>
  <c r="AK4" i="15"/>
  <c r="DW5" i="14"/>
  <c r="BK5" i="14"/>
  <c r="EW4" i="14"/>
  <c r="CK4" i="14"/>
  <c r="Y4" i="14"/>
  <c r="DC5" i="13"/>
  <c r="AQ5" i="13"/>
  <c r="EC4" i="13"/>
  <c r="BQ4" i="13"/>
  <c r="E4" i="13"/>
  <c r="CR5" i="12"/>
  <c r="AF5" i="12"/>
  <c r="DR4" i="12"/>
  <c r="BF4" i="12"/>
  <c r="ER5" i="11"/>
  <c r="CF5" i="11"/>
  <c r="T5" i="11"/>
  <c r="DF4" i="11"/>
  <c r="AT4" i="11"/>
  <c r="EF5" i="10"/>
  <c r="BT5" i="10"/>
  <c r="H5" i="10"/>
  <c r="CT4" i="10"/>
  <c r="AH4" i="10"/>
  <c r="DT5" i="9"/>
  <c r="BH5" i="9"/>
  <c r="ET4" i="9"/>
  <c r="CH4" i="9"/>
  <c r="V4" i="9"/>
  <c r="DH5" i="8"/>
  <c r="AV5" i="8"/>
  <c r="EH4" i="8"/>
  <c r="BV4" i="8"/>
  <c r="J4" i="8"/>
  <c r="CV5" i="7"/>
  <c r="AJ5" i="7"/>
  <c r="DV4" i="7"/>
  <c r="BJ4" i="7"/>
  <c r="EV5" i="6"/>
  <c r="CJ5" i="6"/>
  <c r="X5" i="6"/>
  <c r="DJ4" i="6"/>
  <c r="CA5" i="12"/>
  <c r="O5" i="12"/>
  <c r="DA4" i="12"/>
  <c r="AO4" i="12"/>
  <c r="DS5" i="11"/>
  <c r="BG5" i="11"/>
  <c r="ES4" i="11"/>
  <c r="CG4" i="11"/>
  <c r="U4" i="11"/>
  <c r="DG5" i="10"/>
  <c r="AU5" i="10"/>
  <c r="EG4" i="10"/>
  <c r="BU4" i="10"/>
  <c r="I4" i="10"/>
  <c r="CM5" i="9"/>
  <c r="AA5" i="9"/>
  <c r="DM4" i="9"/>
  <c r="BA4" i="9"/>
  <c r="EM5" i="8"/>
  <c r="CA5" i="8"/>
  <c r="O5" i="8"/>
  <c r="DA4" i="8"/>
  <c r="AO4" i="8"/>
  <c r="DS5" i="7"/>
  <c r="BG5" i="7"/>
  <c r="ES4" i="7"/>
  <c r="CG4" i="7"/>
  <c r="U4" i="7"/>
  <c r="DG5" i="6"/>
  <c r="AU5" i="6"/>
  <c r="EG4" i="6"/>
  <c r="CX5" i="12"/>
  <c r="AL5" i="12"/>
  <c r="DX4" i="12"/>
  <c r="BL4" i="12"/>
  <c r="EX5" i="11"/>
  <c r="CL5" i="11"/>
  <c r="Z5" i="11"/>
  <c r="DL4" i="11"/>
  <c r="AZ4" i="11"/>
  <c r="EL5" i="10"/>
  <c r="BZ5" i="10"/>
  <c r="N5" i="10"/>
  <c r="CZ4" i="10"/>
  <c r="AN4" i="10"/>
  <c r="DZ5" i="9"/>
  <c r="BN5" i="9"/>
  <c r="B5" i="9"/>
  <c r="CN4" i="9"/>
  <c r="AB4" i="9"/>
  <c r="DN5" i="8"/>
  <c r="BB5" i="8"/>
  <c r="EN4" i="8"/>
  <c r="CB4" i="8"/>
  <c r="P4" i="8"/>
  <c r="DB5" i="7"/>
  <c r="AP5" i="7"/>
  <c r="EB4" i="7"/>
  <c r="BP4" i="7"/>
  <c r="D4" i="7"/>
  <c r="CP5" i="6"/>
  <c r="AD5" i="6"/>
  <c r="DP4" i="6"/>
  <c r="BY5" i="12"/>
  <c r="M5" i="12"/>
  <c r="CY4" i="12"/>
  <c r="AM4" i="12"/>
  <c r="DY5" i="11"/>
  <c r="BM5" i="11"/>
  <c r="A5" i="11"/>
  <c r="CM4" i="11"/>
  <c r="AA4" i="11"/>
  <c r="DM5" i="10"/>
  <c r="BA5" i="10"/>
  <c r="EM4" i="10"/>
  <c r="CA4" i="10"/>
  <c r="O4" i="10"/>
  <c r="DA5" i="9"/>
  <c r="AO5" i="9"/>
  <c r="EA4" i="9"/>
  <c r="CS5" i="16"/>
  <c r="EL4" i="19"/>
  <c r="AT4" i="19"/>
  <c r="EF5" i="18"/>
  <c r="BT5" i="18"/>
  <c r="H5" i="18"/>
  <c r="CT4" i="18"/>
  <c r="AH4" i="18"/>
  <c r="DT5" i="17"/>
  <c r="BH5" i="17"/>
  <c r="ET4" i="17"/>
  <c r="CH4" i="17"/>
  <c r="V4" i="17"/>
  <c r="DH5" i="16"/>
  <c r="AV5" i="16"/>
  <c r="EH4" i="16"/>
  <c r="BW4" i="16"/>
  <c r="H4" i="16"/>
  <c r="CT5" i="15"/>
  <c r="AH5" i="15"/>
  <c r="DT4" i="15"/>
  <c r="BH4" i="15"/>
  <c r="ET5" i="14"/>
  <c r="CH5" i="14"/>
  <c r="V5" i="14"/>
  <c r="DH4" i="14"/>
  <c r="AV4" i="14"/>
  <c r="EH5" i="13"/>
  <c r="BV5" i="13"/>
  <c r="J5" i="13"/>
  <c r="CV4" i="13"/>
  <c r="AJ4" i="13"/>
  <c r="BK4" i="16"/>
  <c r="EW5" i="15"/>
  <c r="CK5" i="15"/>
  <c r="Y5" i="15"/>
  <c r="DK4" i="15"/>
  <c r="AY4" i="15"/>
  <c r="EK5" i="14"/>
  <c r="BY5" i="14"/>
  <c r="M5" i="14"/>
  <c r="CY4" i="14"/>
  <c r="AM4" i="14"/>
  <c r="DY5" i="13"/>
  <c r="BM5" i="13"/>
  <c r="A5" i="13"/>
  <c r="CM4" i="13"/>
  <c r="AA4" i="13"/>
  <c r="BJ4" i="16"/>
  <c r="EV5" i="15"/>
  <c r="CJ5" i="15"/>
  <c r="X5" i="15"/>
  <c r="DJ4" i="15"/>
  <c r="AX4" i="15"/>
  <c r="EJ5" i="14"/>
  <c r="BX5" i="14"/>
  <c r="L5" i="14"/>
  <c r="CX4" i="14"/>
  <c r="AL4" i="14"/>
  <c r="DX5" i="13"/>
  <c r="BL5" i="13"/>
  <c r="EX4" i="13"/>
  <c r="CL4" i="13"/>
  <c r="Z4" i="13"/>
  <c r="BA4" i="16"/>
  <c r="EM5" i="15"/>
  <c r="CA5" i="15"/>
  <c r="O5" i="15"/>
  <c r="DA4" i="15"/>
  <c r="AO4" i="15"/>
  <c r="DS5" i="14"/>
  <c r="BG5" i="14"/>
  <c r="ES4" i="14"/>
  <c r="CG4" i="14"/>
  <c r="U4" i="14"/>
  <c r="DG5" i="13"/>
  <c r="AU5" i="13"/>
  <c r="EG4" i="13"/>
  <c r="BU4" i="13"/>
  <c r="I4" i="13"/>
  <c r="L4" i="16"/>
  <c r="CX5" i="15"/>
  <c r="AL5" i="15"/>
  <c r="DX4" i="15"/>
  <c r="BL4" i="15"/>
  <c r="EX5" i="14"/>
  <c r="CL5" i="14"/>
  <c r="Z5" i="14"/>
  <c r="DL4" i="14"/>
  <c r="AZ4" i="14"/>
  <c r="EL5" i="13"/>
  <c r="BZ5" i="13"/>
  <c r="N5" i="13"/>
  <c r="CZ4" i="13"/>
  <c r="AN4" i="13"/>
  <c r="BO4" i="16"/>
  <c r="C4" i="16"/>
  <c r="CO5" i="15"/>
  <c r="AC5" i="15"/>
  <c r="DO4" i="15"/>
  <c r="BC4" i="15"/>
  <c r="EO5" i="14"/>
  <c r="CC5" i="14"/>
  <c r="Q5" i="14"/>
  <c r="DC4" i="14"/>
  <c r="AQ4" i="14"/>
  <c r="EC5" i="13"/>
  <c r="BQ5" i="13"/>
  <c r="E5" i="13"/>
  <c r="CQ4" i="13"/>
  <c r="AE4" i="13"/>
  <c r="BF4" i="16"/>
  <c r="ER5" i="15"/>
  <c r="CF5" i="15"/>
  <c r="T5" i="15"/>
  <c r="DF4" i="15"/>
  <c r="AT4" i="15"/>
  <c r="EF5" i="14"/>
  <c r="BT5" i="14"/>
  <c r="H5" i="14"/>
  <c r="CT4" i="14"/>
  <c r="AH4" i="14"/>
  <c r="DT5" i="13"/>
  <c r="BH5" i="13"/>
  <c r="ET4" i="13"/>
  <c r="CH4" i="13"/>
  <c r="V4" i="13"/>
  <c r="AW4" i="16"/>
  <c r="EA5" i="15"/>
  <c r="BO5" i="15"/>
  <c r="C5" i="15"/>
  <c r="CO4" i="15"/>
  <c r="AC4" i="15"/>
  <c r="DO5" i="14"/>
  <c r="BC5" i="14"/>
  <c r="EO4" i="14"/>
  <c r="CC4" i="14"/>
  <c r="Q4" i="14"/>
  <c r="CU5" i="13"/>
  <c r="AI5" i="13"/>
  <c r="DU4" i="13"/>
  <c r="BI4" i="13"/>
  <c r="EU5" i="12"/>
  <c r="CJ5" i="12"/>
  <c r="X5" i="12"/>
  <c r="DJ4" i="12"/>
  <c r="AX4" i="12"/>
  <c r="EJ5" i="11"/>
  <c r="BX5" i="11"/>
  <c r="L5" i="11"/>
  <c r="CX4" i="11"/>
  <c r="AL4" i="11"/>
  <c r="DX5" i="10"/>
  <c r="BL5" i="10"/>
  <c r="EX4" i="10"/>
  <c r="CL4" i="10"/>
  <c r="Z4" i="10"/>
  <c r="DL5" i="9"/>
  <c r="AZ5" i="9"/>
  <c r="EL4" i="9"/>
  <c r="BZ4" i="9"/>
  <c r="N4" i="9"/>
  <c r="CZ5" i="8"/>
  <c r="AN5" i="8"/>
  <c r="DZ4" i="8"/>
  <c r="BN4" i="8"/>
  <c r="B4" i="8"/>
  <c r="CN5" i="7"/>
  <c r="AB5" i="7"/>
  <c r="DN4" i="7"/>
  <c r="BB4" i="7"/>
  <c r="EN5" i="6"/>
  <c r="CB5" i="6"/>
  <c r="P5" i="6"/>
  <c r="EI5" i="12"/>
  <c r="BS5" i="12"/>
  <c r="G5" i="12"/>
  <c r="CS4" i="12"/>
  <c r="AG4" i="12"/>
  <c r="DK5" i="11"/>
  <c r="AY5" i="11"/>
  <c r="EK4" i="11"/>
  <c r="BY4" i="11"/>
  <c r="M4" i="11"/>
  <c r="CY5" i="10"/>
  <c r="AM5" i="10"/>
  <c r="DY4" i="10"/>
  <c r="BM4" i="10"/>
  <c r="EQ5" i="9"/>
  <c r="CE5" i="9"/>
  <c r="S5" i="9"/>
  <c r="DE4" i="9"/>
  <c r="AS4" i="9"/>
  <c r="EE5" i="8"/>
  <c r="BS5" i="8"/>
  <c r="G5" i="8"/>
  <c r="CS4" i="8"/>
  <c r="AG4" i="8"/>
  <c r="DK5" i="7"/>
  <c r="AY5" i="7"/>
  <c r="EK4" i="7"/>
  <c r="BY4" i="7"/>
  <c r="M4" i="7"/>
  <c r="CY5" i="6"/>
  <c r="AM5" i="6"/>
  <c r="DY4" i="6"/>
  <c r="CP5" i="12"/>
  <c r="AD5" i="12"/>
  <c r="DP4" i="12"/>
  <c r="BD4" i="12"/>
  <c r="EP5" i="11"/>
  <c r="CD5" i="11"/>
  <c r="R5" i="11"/>
  <c r="DD4" i="11"/>
  <c r="AR4" i="11"/>
  <c r="ED5" i="10"/>
  <c r="BR5" i="10"/>
  <c r="F5" i="10"/>
  <c r="CR4" i="10"/>
  <c r="AF4" i="10"/>
  <c r="DR5" i="9"/>
  <c r="BF5" i="9"/>
  <c r="ER4" i="9"/>
  <c r="CF4" i="9"/>
  <c r="T4" i="9"/>
  <c r="DF5" i="8"/>
  <c r="AT5" i="8"/>
  <c r="EF4" i="8"/>
  <c r="BT4" i="8"/>
  <c r="H4" i="8"/>
  <c r="CT5" i="7"/>
  <c r="AH5" i="7"/>
  <c r="DT4" i="7"/>
  <c r="BH4" i="7"/>
  <c r="ET5" i="6"/>
  <c r="CH5" i="6"/>
  <c r="V5" i="6"/>
  <c r="ED5" i="12"/>
  <c r="BQ5" i="12"/>
  <c r="E5" i="12"/>
  <c r="CQ4" i="12"/>
  <c r="AE4" i="12"/>
  <c r="DQ5" i="11"/>
  <c r="BE5" i="11"/>
  <c r="EQ4" i="11"/>
  <c r="CE4" i="11"/>
  <c r="S4" i="11"/>
  <c r="DE5" i="10"/>
  <c r="AS5" i="10"/>
  <c r="EE4" i="10"/>
  <c r="BS4" i="10"/>
  <c r="G4" i="10"/>
  <c r="CS5" i="9"/>
  <c r="AG5" i="9"/>
  <c r="DS4" i="9"/>
  <c r="CC5" i="16"/>
  <c r="ED4" i="19"/>
  <c r="AL4" i="19"/>
  <c r="DX5" i="18"/>
  <c r="BL5" i="18"/>
  <c r="EX4" i="18"/>
  <c r="CL4" i="18"/>
  <c r="Z4" i="18"/>
  <c r="DL5" i="17"/>
  <c r="AZ5" i="17"/>
  <c r="EL4" i="17"/>
  <c r="BZ4" i="17"/>
  <c r="N4" i="17"/>
  <c r="CZ5" i="16"/>
  <c r="AN5" i="16"/>
  <c r="DZ4" i="16"/>
  <c r="BL4" i="16"/>
  <c r="EX5" i="15"/>
  <c r="CL5" i="15"/>
  <c r="Z5" i="15"/>
  <c r="DL4" i="15"/>
  <c r="AZ4" i="15"/>
  <c r="EL5" i="14"/>
  <c r="BZ5" i="14"/>
  <c r="N5" i="14"/>
  <c r="CZ4" i="14"/>
  <c r="AN4" i="14"/>
  <c r="DZ5" i="13"/>
  <c r="BN5" i="13"/>
  <c r="B5" i="13"/>
  <c r="CN4" i="13"/>
  <c r="AB4" i="13"/>
  <c r="BC4" i="16"/>
  <c r="EO5" i="15"/>
  <c r="CC5" i="15"/>
  <c r="Q5" i="15"/>
  <c r="DC4" i="15"/>
  <c r="AQ4" i="15"/>
  <c r="EC5" i="14"/>
  <c r="BQ5" i="14"/>
  <c r="E5" i="14"/>
  <c r="CQ4" i="14"/>
  <c r="AE4" i="14"/>
  <c r="DQ5" i="13"/>
  <c r="BE5" i="13"/>
  <c r="EQ4" i="13"/>
  <c r="CE4" i="13"/>
  <c r="S4" i="13"/>
  <c r="BB4" i="16"/>
  <c r="EN5" i="15"/>
  <c r="CB5" i="15"/>
  <c r="P5" i="15"/>
  <c r="DB4" i="15"/>
  <c r="AP4" i="15"/>
  <c r="EB5" i="14"/>
  <c r="BP5" i="14"/>
  <c r="D5" i="14"/>
  <c r="CP4" i="14"/>
  <c r="AD4" i="14"/>
  <c r="DP5" i="13"/>
  <c r="BD5" i="13"/>
  <c r="EP4" i="13"/>
  <c r="CD4" i="13"/>
  <c r="R4" i="13"/>
  <c r="AS4" i="16"/>
  <c r="EE5" i="15"/>
  <c r="BS5" i="15"/>
  <c r="G5" i="15"/>
  <c r="CS4" i="15"/>
  <c r="AG4" i="15"/>
  <c r="DK5" i="14"/>
  <c r="AY5" i="14"/>
  <c r="EK4" i="14"/>
  <c r="BY4" i="14"/>
  <c r="M4" i="14"/>
  <c r="CY5" i="13"/>
  <c r="AM5" i="13"/>
  <c r="DY4" i="13"/>
  <c r="BM4" i="13"/>
  <c r="BP4" i="16"/>
  <c r="D4" i="16"/>
  <c r="CP5" i="15"/>
  <c r="AD5" i="15"/>
  <c r="DP4" i="15"/>
  <c r="BD4" i="15"/>
  <c r="EP5" i="14"/>
  <c r="CD5" i="14"/>
  <c r="R5" i="14"/>
  <c r="DD4" i="14"/>
  <c r="AR4" i="14"/>
  <c r="ED5" i="13"/>
  <c r="BR5" i="13"/>
  <c r="F5" i="13"/>
  <c r="CR4" i="13"/>
  <c r="AF4" i="13"/>
  <c r="BG4" i="16"/>
  <c r="ES5" i="15"/>
  <c r="CG5" i="15"/>
  <c r="U5" i="15"/>
  <c r="DG4" i="15"/>
  <c r="AU4" i="15"/>
  <c r="EG5" i="14"/>
  <c r="BU5" i="14"/>
  <c r="I5" i="14"/>
  <c r="CU4" i="14"/>
  <c r="AI4" i="14"/>
  <c r="DU5" i="13"/>
  <c r="BI5" i="13"/>
  <c r="EU4" i="13"/>
  <c r="CI4" i="13"/>
  <c r="W4" i="13"/>
  <c r="AX4" i="16"/>
  <c r="EJ5" i="15"/>
  <c r="BX5" i="15"/>
  <c r="L5" i="15"/>
  <c r="CX4" i="15"/>
  <c r="AL4" i="15"/>
  <c r="DX5" i="14"/>
  <c r="BL5" i="14"/>
  <c r="EX4" i="14"/>
  <c r="CL4" i="14"/>
  <c r="Z4" i="14"/>
  <c r="DL5" i="13"/>
  <c r="AZ5" i="13"/>
  <c r="EL4" i="13"/>
  <c r="BZ4" i="13"/>
  <c r="N4" i="13"/>
  <c r="AO4" i="16"/>
  <c r="DS5" i="15"/>
  <c r="BG5" i="15"/>
  <c r="ES4" i="15"/>
  <c r="CG4" i="15"/>
  <c r="U4" i="15"/>
  <c r="DG5" i="14"/>
  <c r="AU5" i="14"/>
  <c r="EG4" i="14"/>
  <c r="BU4" i="14"/>
  <c r="I4" i="14"/>
  <c r="CM5" i="13"/>
  <c r="AA5" i="13"/>
  <c r="DM4" i="13"/>
  <c r="BA4" i="13"/>
  <c r="EM5" i="12"/>
  <c r="CB5" i="12"/>
  <c r="P5" i="12"/>
  <c r="DB4" i="12"/>
  <c r="AP4" i="12"/>
  <c r="EB5" i="11"/>
  <c r="BP5" i="11"/>
  <c r="D5" i="11"/>
  <c r="CP4" i="11"/>
  <c r="AD4" i="11"/>
  <c r="DP5" i="10"/>
  <c r="BD5" i="10"/>
  <c r="EP4" i="10"/>
  <c r="CD4" i="10"/>
  <c r="R4" i="10"/>
  <c r="DD5" i="9"/>
  <c r="AR5" i="9"/>
  <c r="ED4" i="9"/>
  <c r="BR4" i="9"/>
  <c r="F4" i="9"/>
  <c r="CR5" i="8"/>
  <c r="AF5" i="8"/>
  <c r="DR4" i="8"/>
  <c r="BF4" i="8"/>
  <c r="ER5" i="7"/>
  <c r="CF5" i="7"/>
  <c r="T5" i="7"/>
  <c r="DF4" i="7"/>
  <c r="AT4" i="7"/>
  <c r="EF5" i="6"/>
  <c r="BT5" i="6"/>
  <c r="H5" i="6"/>
  <c r="DW5" i="12"/>
  <c r="BK5" i="12"/>
  <c r="EW4" i="12"/>
  <c r="CK4" i="12"/>
  <c r="Y4" i="12"/>
  <c r="DC5" i="11"/>
  <c r="AQ5" i="11"/>
  <c r="EC4" i="11"/>
  <c r="BQ4" i="11"/>
  <c r="E4" i="11"/>
  <c r="CQ5" i="10"/>
  <c r="AE5" i="10"/>
  <c r="DQ4" i="10"/>
  <c r="BE4" i="10"/>
  <c r="EI5" i="9"/>
  <c r="BW5" i="9"/>
  <c r="K5" i="9"/>
  <c r="CW4" i="9"/>
  <c r="AK4" i="9"/>
  <c r="DW5" i="8"/>
  <c r="BK5" i="8"/>
  <c r="EW4" i="8"/>
  <c r="CK4" i="8"/>
  <c r="Y4" i="8"/>
  <c r="DC5" i="7"/>
  <c r="AQ5" i="7"/>
  <c r="EC4" i="7"/>
  <c r="BQ4" i="7"/>
  <c r="E4" i="7"/>
  <c r="CQ5" i="6"/>
  <c r="AE5" i="6"/>
  <c r="DQ4" i="6"/>
  <c r="CH5" i="12"/>
  <c r="V5" i="12"/>
  <c r="DH4" i="12"/>
  <c r="AV4" i="12"/>
  <c r="EH5" i="11"/>
  <c r="BV5" i="11"/>
  <c r="J5" i="11"/>
  <c r="CV4" i="11"/>
  <c r="AJ4" i="11"/>
  <c r="DV5" i="10"/>
  <c r="BJ5" i="10"/>
  <c r="EV4" i="10"/>
  <c r="CJ4" i="10"/>
  <c r="X4" i="10"/>
  <c r="DJ5" i="9"/>
  <c r="AX5" i="9"/>
  <c r="EJ4" i="9"/>
  <c r="BX4" i="9"/>
  <c r="L4" i="9"/>
  <c r="CX5" i="8"/>
  <c r="AL5" i="8"/>
  <c r="DX4" i="8"/>
  <c r="BL4" i="8"/>
  <c r="EX5" i="7"/>
  <c r="CL5" i="7"/>
  <c r="Z5" i="7"/>
  <c r="DL4" i="7"/>
  <c r="AZ4" i="7"/>
  <c r="EL5" i="6"/>
  <c r="BZ5" i="6"/>
  <c r="N5" i="6"/>
  <c r="DU5" i="12"/>
  <c r="BI5" i="12"/>
  <c r="EU4" i="12"/>
  <c r="CI4" i="12"/>
  <c r="W4" i="12"/>
  <c r="DI5" i="11"/>
  <c r="AW5" i="11"/>
  <c r="EI4" i="11"/>
  <c r="BW4" i="11"/>
  <c r="K4" i="11"/>
  <c r="CW5" i="10"/>
  <c r="AK5" i="10"/>
  <c r="DW4" i="10"/>
  <c r="BK4" i="10"/>
  <c r="EW5" i="9"/>
  <c r="CK5" i="9"/>
  <c r="Y5" i="9"/>
  <c r="DK4" i="9"/>
  <c r="AG5" i="16"/>
  <c r="CP4" i="19"/>
  <c r="AD4" i="19"/>
  <c r="DP5" i="18"/>
  <c r="BD5" i="18"/>
  <c r="EP4" i="18"/>
  <c r="CD4" i="18"/>
  <c r="R4" i="18"/>
  <c r="DD5" i="17"/>
  <c r="AR5" i="17"/>
  <c r="ED4" i="17"/>
  <c r="BR4" i="17"/>
  <c r="F4" i="17"/>
  <c r="CR5" i="16"/>
  <c r="AF5" i="16"/>
  <c r="DR4" i="16"/>
  <c r="BD4" i="16"/>
  <c r="EP5" i="15"/>
  <c r="CD5" i="15"/>
  <c r="R5" i="15"/>
  <c r="DD4" i="15"/>
  <c r="AR4" i="15"/>
  <c r="ED5" i="14"/>
  <c r="BR5" i="14"/>
  <c r="F5" i="14"/>
  <c r="CR4" i="14"/>
  <c r="AF4" i="14"/>
  <c r="DR5" i="13"/>
  <c r="BF5" i="13"/>
  <c r="ER4" i="13"/>
  <c r="CF4" i="13"/>
  <c r="T4" i="13"/>
  <c r="AU4" i="16"/>
  <c r="EG5" i="15"/>
  <c r="BU5" i="15"/>
  <c r="I5" i="15"/>
  <c r="CU4" i="15"/>
  <c r="AI4" i="15"/>
  <c r="DU5" i="14"/>
  <c r="BI5" i="14"/>
  <c r="EU4" i="14"/>
  <c r="CI4" i="14"/>
  <c r="W4" i="14"/>
  <c r="DI5" i="13"/>
  <c r="AW5" i="13"/>
  <c r="EI4" i="13"/>
  <c r="BW4" i="13"/>
  <c r="K4" i="13"/>
  <c r="AT4" i="16"/>
  <c r="EF5" i="15"/>
  <c r="BT5" i="15"/>
  <c r="H5" i="15"/>
  <c r="CT4" i="15"/>
  <c r="AH4" i="15"/>
  <c r="DT5" i="14"/>
  <c r="BH5" i="14"/>
  <c r="ET4" i="14"/>
  <c r="CH4" i="14"/>
  <c r="V4" i="14"/>
  <c r="DH5" i="13"/>
  <c r="AV5" i="13"/>
  <c r="EH4" i="13"/>
  <c r="BV4" i="13"/>
  <c r="J4" i="13"/>
  <c r="AK4" i="16"/>
  <c r="DW5" i="15"/>
  <c r="BK5" i="15"/>
  <c r="EW4" i="15"/>
  <c r="CK4" i="15"/>
  <c r="Y4" i="15"/>
  <c r="DC5" i="14"/>
  <c r="AQ5" i="14"/>
  <c r="EC4" i="14"/>
  <c r="BQ4" i="14"/>
  <c r="E4" i="14"/>
  <c r="CQ5" i="13"/>
  <c r="AE5" i="13"/>
  <c r="DQ4" i="13"/>
  <c r="BE4" i="13"/>
  <c r="BH4" i="16"/>
  <c r="ET5" i="15"/>
  <c r="CH5" i="15"/>
  <c r="V5" i="15"/>
  <c r="DH4" i="15"/>
  <c r="AV4" i="15"/>
  <c r="EH5" i="14"/>
  <c r="BV5" i="14"/>
  <c r="J5" i="14"/>
  <c r="CV4" i="14"/>
  <c r="AJ4" i="14"/>
  <c r="DV5" i="13"/>
  <c r="BJ5" i="13"/>
  <c r="EV4" i="13"/>
  <c r="CJ4" i="13"/>
  <c r="X4" i="13"/>
  <c r="AY4" i="16"/>
  <c r="EK5" i="15"/>
  <c r="BY5" i="15"/>
  <c r="M5" i="15"/>
  <c r="CY4" i="15"/>
  <c r="AM4" i="15"/>
  <c r="DY5" i="14"/>
  <c r="BM5" i="14"/>
  <c r="A5" i="14"/>
  <c r="CM4" i="14"/>
  <c r="AA4" i="14"/>
  <c r="DM5" i="13"/>
  <c r="BA5" i="13"/>
  <c r="EM4" i="13"/>
  <c r="CA4" i="13"/>
  <c r="O4" i="13"/>
  <c r="AP4" i="16"/>
  <c r="EB5" i="15"/>
  <c r="BP5" i="15"/>
  <c r="D5" i="15"/>
  <c r="CP4" i="15"/>
  <c r="AD4" i="15"/>
  <c r="DP5" i="14"/>
  <c r="BD5" i="14"/>
  <c r="EP4" i="14"/>
  <c r="CD4" i="14"/>
  <c r="R4" i="14"/>
  <c r="DD5" i="13"/>
  <c r="AR5" i="13"/>
  <c r="ED4" i="13"/>
  <c r="BR4" i="13"/>
  <c r="F4" i="13"/>
  <c r="AG4" i="16"/>
  <c r="DK5" i="15"/>
  <c r="AY5" i="15"/>
  <c r="EK4" i="15"/>
  <c r="BY4" i="15"/>
  <c r="M4" i="15"/>
  <c r="CY5" i="14"/>
  <c r="AM5" i="14"/>
  <c r="DY4" i="14"/>
  <c r="BM4" i="14"/>
  <c r="EQ5" i="13"/>
  <c r="CE5" i="13"/>
  <c r="S5" i="13"/>
  <c r="DE4" i="13"/>
  <c r="AS4" i="13"/>
  <c r="EQ5" i="12"/>
  <c r="BT5" i="12"/>
  <c r="H5" i="12"/>
  <c r="CT4" i="12"/>
  <c r="AH4" i="12"/>
  <c r="DT5" i="11"/>
  <c r="BH5" i="11"/>
  <c r="ET4" i="11"/>
  <c r="CH4" i="11"/>
  <c r="V4" i="11"/>
  <c r="DH5" i="10"/>
  <c r="AV5" i="10"/>
  <c r="EH4" i="10"/>
  <c r="BV4" i="10"/>
  <c r="J4" i="10"/>
  <c r="CV5" i="9"/>
  <c r="AJ5" i="9"/>
  <c r="DV4" i="9"/>
  <c r="BJ4" i="9"/>
  <c r="EV5" i="8"/>
  <c r="CJ5" i="8"/>
  <c r="X5" i="8"/>
  <c r="DJ4" i="8"/>
  <c r="AX4" i="8"/>
  <c r="EJ5" i="7"/>
  <c r="BX5" i="7"/>
  <c r="L5" i="7"/>
  <c r="CX4" i="7"/>
  <c r="AL4" i="7"/>
  <c r="DX5" i="6"/>
  <c r="BL5" i="6"/>
  <c r="EX4" i="6"/>
  <c r="DO5" i="12"/>
  <c r="BC5" i="12"/>
  <c r="EO4" i="12"/>
  <c r="CC4" i="12"/>
  <c r="Q4" i="12"/>
  <c r="CU5" i="11"/>
  <c r="AI5" i="11"/>
  <c r="DU4" i="11"/>
  <c r="BI4" i="11"/>
  <c r="EU5" i="10"/>
  <c r="CI5" i="10"/>
  <c r="W5" i="10"/>
  <c r="DI4" i="10"/>
  <c r="AW4" i="10"/>
  <c r="EA5" i="9"/>
  <c r="BO5" i="9"/>
  <c r="C5" i="9"/>
  <c r="CO4" i="9"/>
  <c r="AC4" i="9"/>
  <c r="DO5" i="8"/>
  <c r="BC5" i="8"/>
  <c r="EO4" i="8"/>
  <c r="CC4" i="8"/>
  <c r="Q4" i="8"/>
  <c r="CU5" i="7"/>
  <c r="AI5" i="7"/>
  <c r="DU4" i="7"/>
  <c r="BI4" i="7"/>
  <c r="EU5" i="6"/>
  <c r="CI5" i="6"/>
  <c r="W5" i="6"/>
  <c r="DI4" i="6"/>
  <c r="BZ5" i="12"/>
  <c r="N5" i="12"/>
  <c r="CZ4" i="12"/>
  <c r="AN4" i="12"/>
  <c r="DZ5" i="11"/>
  <c r="BN5" i="11"/>
  <c r="B5" i="11"/>
  <c r="CN4" i="11"/>
  <c r="AB4" i="11"/>
  <c r="DN5" i="10"/>
  <c r="BB5" i="10"/>
  <c r="EN4" i="10"/>
  <c r="CB4" i="10"/>
  <c r="P4" i="10"/>
  <c r="DB5" i="9"/>
  <c r="AP5" i="9"/>
  <c r="EB4" i="9"/>
  <c r="BP4" i="9"/>
  <c r="D4" i="9"/>
  <c r="CP5" i="8"/>
  <c r="AD5" i="8"/>
  <c r="DP4" i="8"/>
  <c r="BD4" i="8"/>
  <c r="EP5" i="7"/>
  <c r="CD5" i="7"/>
  <c r="R5" i="7"/>
  <c r="DD4" i="7"/>
  <c r="AR4" i="7"/>
  <c r="ED5" i="6"/>
  <c r="BR5" i="6"/>
  <c r="F5" i="6"/>
  <c r="DM5" i="12"/>
  <c r="BA5" i="12"/>
  <c r="EM4" i="12"/>
  <c r="CA4" i="12"/>
  <c r="O4" i="12"/>
  <c r="DA5" i="11"/>
  <c r="AO5" i="11"/>
  <c r="EA4" i="11"/>
  <c r="BO4" i="11"/>
  <c r="C4" i="11"/>
  <c r="CO5" i="10"/>
  <c r="AC5" i="10"/>
  <c r="DO4" i="10"/>
  <c r="BC4" i="10"/>
  <c r="EO5" i="9"/>
  <c r="CC5" i="9"/>
  <c r="Q5" i="9"/>
  <c r="DC4" i="9"/>
  <c r="Q5" i="16"/>
  <c r="CH4" i="19"/>
  <c r="V4" i="19"/>
  <c r="DH5" i="18"/>
  <c r="AV5" i="18"/>
  <c r="EH4" i="18"/>
  <c r="BV4" i="18"/>
  <c r="J4" i="18"/>
  <c r="CV5" i="17"/>
  <c r="AJ5" i="17"/>
  <c r="DV4" i="17"/>
  <c r="BJ4" i="17"/>
  <c r="EV5" i="16"/>
  <c r="CJ5" i="16"/>
  <c r="X5" i="16"/>
  <c r="DJ4" i="16"/>
  <c r="AV4" i="16"/>
  <c r="EH5" i="15"/>
  <c r="BV5" i="15"/>
  <c r="J5" i="15"/>
  <c r="CV4" i="15"/>
  <c r="AJ4" i="15"/>
  <c r="DV5" i="14"/>
  <c r="BJ5" i="14"/>
  <c r="EV4" i="14"/>
  <c r="CJ4" i="14"/>
  <c r="X4" i="14"/>
  <c r="DJ5" i="13"/>
  <c r="AX5" i="13"/>
  <c r="EJ4" i="13"/>
  <c r="BX4" i="13"/>
  <c r="L4" i="13"/>
  <c r="AM4" i="16"/>
  <c r="DY5" i="15"/>
  <c r="BM5" i="15"/>
  <c r="A5" i="15"/>
  <c r="CM4" i="15"/>
  <c r="AA4" i="15"/>
  <c r="DM5" i="14"/>
  <c r="BA5" i="14"/>
  <c r="EM4" i="14"/>
  <c r="CA4" i="14"/>
  <c r="O4" i="14"/>
  <c r="DA5" i="13"/>
  <c r="AO5" i="13"/>
  <c r="EA4" i="13"/>
  <c r="BO4" i="13"/>
  <c r="C4" i="13"/>
  <c r="AL4" i="16"/>
  <c r="DX5" i="15"/>
  <c r="BL5" i="15"/>
  <c r="EX4" i="15"/>
  <c r="CL4" i="15"/>
  <c r="Z4" i="15"/>
  <c r="DL5" i="14"/>
  <c r="AZ5" i="14"/>
  <c r="EL4" i="14"/>
  <c r="BZ4" i="14"/>
  <c r="N4" i="14"/>
  <c r="CZ5" i="13"/>
  <c r="AN5" i="13"/>
  <c r="DZ4" i="13"/>
  <c r="BN4" i="13"/>
  <c r="B4" i="13"/>
  <c r="AC4" i="16"/>
  <c r="DO5" i="15"/>
  <c r="BC5" i="15"/>
  <c r="EO4" i="15"/>
  <c r="CC4" i="15"/>
  <c r="Q4" i="15"/>
  <c r="CU5" i="14"/>
  <c r="AI5" i="14"/>
  <c r="DU4" i="14"/>
  <c r="BI4" i="14"/>
  <c r="EU5" i="13"/>
  <c r="CI5" i="13"/>
  <c r="W5" i="13"/>
  <c r="DI4" i="13"/>
  <c r="AW4" i="13"/>
  <c r="AZ4" i="16"/>
  <c r="EL5" i="15"/>
  <c r="BZ5" i="15"/>
  <c r="N5" i="15"/>
  <c r="CZ4" i="15"/>
  <c r="AN4" i="15"/>
  <c r="DZ5" i="14"/>
  <c r="BN5" i="14"/>
  <c r="B5" i="14"/>
  <c r="CN4" i="14"/>
  <c r="AB4" i="14"/>
  <c r="DN5" i="13"/>
  <c r="BB5" i="13"/>
  <c r="EN4" i="13"/>
  <c r="CB4" i="13"/>
  <c r="P4" i="13"/>
  <c r="AQ4" i="16"/>
  <c r="EC5" i="15"/>
  <c r="BQ5" i="15"/>
  <c r="E5" i="15"/>
  <c r="CQ4" i="15"/>
  <c r="AE4" i="15"/>
  <c r="DQ5" i="14"/>
  <c r="BE5" i="14"/>
  <c r="EQ4" i="14"/>
  <c r="CE4" i="14"/>
  <c r="S4" i="14"/>
  <c r="DE5" i="13"/>
  <c r="AS5" i="13"/>
  <c r="EE4" i="13"/>
  <c r="BS4" i="13"/>
  <c r="G4" i="13"/>
  <c r="AH4" i="16"/>
  <c r="DT5" i="15"/>
  <c r="BH5" i="15"/>
  <c r="ET4" i="15"/>
  <c r="CH4" i="15"/>
  <c r="V4" i="15"/>
  <c r="DH5" i="14"/>
  <c r="AV5" i="14"/>
  <c r="EH4" i="14"/>
  <c r="BV4" i="14"/>
  <c r="J4" i="14"/>
  <c r="CV5" i="13"/>
  <c r="AJ5" i="13"/>
  <c r="DV4" i="13"/>
  <c r="BJ4" i="13"/>
  <c r="EV5" i="12"/>
  <c r="Y4" i="16"/>
  <c r="DC5" i="15"/>
  <c r="AQ5" i="15"/>
  <c r="EC4" i="15"/>
  <c r="BQ4" i="15"/>
  <c r="E4" i="15"/>
  <c r="CQ5" i="14"/>
  <c r="AE5" i="14"/>
  <c r="DQ4" i="14"/>
  <c r="BE4" i="14"/>
  <c r="EI5" i="13"/>
  <c r="BW5" i="13"/>
  <c r="K5" i="13"/>
  <c r="CW4" i="13"/>
  <c r="AK4" i="13"/>
  <c r="DX5" i="12"/>
  <c r="BL5" i="12"/>
  <c r="EX4" i="12"/>
  <c r="CL4" i="12"/>
  <c r="Z4" i="12"/>
  <c r="DL5" i="11"/>
  <c r="AZ5" i="11"/>
  <c r="EL4" i="11"/>
  <c r="BZ4" i="11"/>
  <c r="N4" i="11"/>
  <c r="CZ5" i="10"/>
  <c r="AN5" i="10"/>
  <c r="DZ4" i="10"/>
  <c r="BN4" i="10"/>
  <c r="B4" i="10"/>
  <c r="CN5" i="9"/>
  <c r="AB5" i="9"/>
  <c r="DN4" i="9"/>
  <c r="BB4" i="9"/>
  <c r="EN5" i="8"/>
  <c r="CB5" i="8"/>
  <c r="P5" i="8"/>
  <c r="DB4" i="8"/>
  <c r="AP4" i="8"/>
  <c r="EB5" i="7"/>
  <c r="BP5" i="7"/>
  <c r="D5" i="7"/>
  <c r="CP4" i="7"/>
  <c r="AD4" i="7"/>
  <c r="DP5" i="6"/>
  <c r="BD5" i="6"/>
  <c r="EP4" i="6"/>
  <c r="DG5" i="12"/>
  <c r="AU5" i="12"/>
  <c r="EG4" i="12"/>
  <c r="BU4" i="12"/>
  <c r="I4" i="12"/>
  <c r="CM5" i="11"/>
  <c r="AA5" i="11"/>
  <c r="DM4" i="11"/>
  <c r="BA4" i="11"/>
  <c r="EM5" i="10"/>
  <c r="CA5" i="10"/>
  <c r="O5" i="10"/>
  <c r="DA4" i="10"/>
  <c r="AO4" i="10"/>
  <c r="DS5" i="9"/>
  <c r="BG5" i="9"/>
  <c r="ES4" i="9"/>
  <c r="CG4" i="9"/>
  <c r="U4" i="9"/>
  <c r="DG5" i="8"/>
  <c r="AU5" i="8"/>
  <c r="EG4" i="8"/>
  <c r="BU4" i="8"/>
  <c r="I4" i="8"/>
  <c r="CM5" i="7"/>
  <c r="AA5" i="7"/>
  <c r="DM4" i="7"/>
  <c r="BA4" i="7"/>
  <c r="EM5" i="6"/>
  <c r="CA5" i="6"/>
  <c r="O5" i="6"/>
  <c r="EE5" i="12"/>
  <c r="BR5" i="12"/>
  <c r="F5" i="12"/>
  <c r="CR4" i="12"/>
  <c r="AF4" i="12"/>
  <c r="DR5" i="11"/>
  <c r="BF5" i="11"/>
  <c r="ER4" i="11"/>
  <c r="CF4" i="11"/>
  <c r="T4" i="11"/>
  <c r="DF5" i="10"/>
  <c r="AT5" i="10"/>
  <c r="EF4" i="10"/>
  <c r="BT4" i="10"/>
  <c r="H4" i="10"/>
  <c r="CT5" i="9"/>
  <c r="AH5" i="9"/>
  <c r="DT4" i="9"/>
  <c r="BH4" i="9"/>
  <c r="ET5" i="8"/>
  <c r="CH5" i="8"/>
  <c r="V5" i="8"/>
  <c r="DH4" i="8"/>
  <c r="AV4" i="8"/>
  <c r="EH5" i="7"/>
  <c r="BV5" i="7"/>
  <c r="J5" i="7"/>
  <c r="CV4" i="7"/>
  <c r="AJ4" i="7"/>
  <c r="DV5" i="6"/>
  <c r="BJ5" i="6"/>
  <c r="EV4" i="6"/>
  <c r="DE5" i="12"/>
  <c r="AS5" i="12"/>
  <c r="EE4" i="12"/>
  <c r="BS4" i="12"/>
  <c r="G4" i="12"/>
  <c r="CS5" i="11"/>
  <c r="AG5" i="11"/>
  <c r="DS4" i="11"/>
  <c r="BG4" i="11"/>
  <c r="ES5" i="10"/>
  <c r="CG5" i="10"/>
  <c r="U5" i="10"/>
  <c r="DG4" i="10"/>
  <c r="AU4" i="10"/>
  <c r="EG5" i="9"/>
  <c r="BU5" i="9"/>
  <c r="I5" i="9"/>
  <c r="CU4" i="9"/>
  <c r="DS4" i="16"/>
  <c r="BZ4" i="19"/>
  <c r="N4" i="19"/>
  <c r="CZ5" i="18"/>
  <c r="AN5" i="18"/>
  <c r="DZ4" i="18"/>
  <c r="BN4" i="18"/>
  <c r="B4" i="18"/>
  <c r="CN5" i="17"/>
  <c r="AB5" i="17"/>
  <c r="DN4" i="17"/>
  <c r="BB4" i="17"/>
  <c r="EN5" i="16"/>
  <c r="CB5" i="16"/>
  <c r="P5" i="16"/>
  <c r="DB4" i="16"/>
  <c r="AN4" i="16"/>
  <c r="DZ5" i="15"/>
  <c r="BN5" i="15"/>
  <c r="B5" i="15"/>
  <c r="CN4" i="15"/>
  <c r="AB4" i="15"/>
  <c r="DN5" i="14"/>
  <c r="BB5" i="14"/>
  <c r="EN4" i="14"/>
  <c r="CB4" i="14"/>
  <c r="P4" i="14"/>
  <c r="DB5" i="13"/>
  <c r="AP5" i="13"/>
  <c r="EB4" i="13"/>
  <c r="BP4" i="13"/>
  <c r="D4" i="13"/>
  <c r="AE4" i="16"/>
  <c r="DQ5" i="15"/>
  <c r="BE5" i="15"/>
  <c r="EQ4" i="15"/>
  <c r="CE4" i="15"/>
  <c r="S4" i="15"/>
  <c r="DE5" i="14"/>
  <c r="AS5" i="14"/>
  <c r="EE4" i="14"/>
  <c r="BS4" i="14"/>
  <c r="G4" i="14"/>
  <c r="CS5" i="13"/>
  <c r="AG5" i="13"/>
  <c r="DS4" i="13"/>
  <c r="BG4" i="13"/>
  <c r="ES5" i="12"/>
  <c r="AD4" i="16"/>
  <c r="DP5" i="15"/>
  <c r="BD5" i="15"/>
  <c r="EP4" i="15"/>
  <c r="CD4" i="15"/>
  <c r="R4" i="15"/>
  <c r="DD5" i="14"/>
  <c r="AR5" i="14"/>
  <c r="ED4" i="14"/>
  <c r="BR4" i="14"/>
  <c r="F4" i="14"/>
  <c r="CR5" i="13"/>
  <c r="AF5" i="13"/>
  <c r="DR4" i="13"/>
  <c r="BF4" i="13"/>
  <c r="ER5" i="12"/>
  <c r="U4" i="16"/>
  <c r="DG5" i="15"/>
  <c r="AU5" i="15"/>
  <c r="EG4" i="15"/>
  <c r="BU4" i="15"/>
  <c r="I4" i="15"/>
  <c r="CM5" i="14"/>
  <c r="AA5" i="14"/>
  <c r="DM4" i="14"/>
  <c r="BA4" i="14"/>
  <c r="EM5" i="13"/>
  <c r="CA5" i="13"/>
  <c r="O5" i="13"/>
  <c r="DA4" i="13"/>
  <c r="AO4" i="13"/>
  <c r="AR4" i="16"/>
  <c r="ED5" i="15"/>
  <c r="BR5" i="15"/>
  <c r="F5" i="15"/>
  <c r="CR4" i="15"/>
  <c r="AF4" i="15"/>
  <c r="DR5" i="14"/>
  <c r="BF5" i="14"/>
  <c r="ER4" i="14"/>
  <c r="CF4" i="14"/>
  <c r="T4" i="14"/>
  <c r="DF5" i="13"/>
  <c r="AT5" i="13"/>
  <c r="EF4" i="13"/>
  <c r="BT4" i="13"/>
  <c r="H4" i="13"/>
  <c r="AI4" i="16"/>
  <c r="DU5" i="15"/>
  <c r="BI5" i="15"/>
  <c r="EU4" i="15"/>
  <c r="CI4" i="15"/>
  <c r="W4" i="15"/>
  <c r="DI5" i="14"/>
  <c r="AW5" i="14"/>
  <c r="EI4" i="14"/>
  <c r="BW4" i="14"/>
  <c r="K4" i="14"/>
  <c r="CW5" i="13"/>
  <c r="AK5" i="13"/>
  <c r="DW4" i="13"/>
  <c r="BK4" i="13"/>
  <c r="EW5" i="12"/>
  <c r="Z4" i="16"/>
  <c r="DL5" i="15"/>
  <c r="AZ5" i="15"/>
  <c r="EL4" i="15"/>
  <c r="BZ4" i="15"/>
  <c r="N4" i="15"/>
  <c r="CZ5" i="14"/>
  <c r="AN5" i="14"/>
  <c r="DZ4" i="14"/>
  <c r="BN4" i="14"/>
  <c r="B4" i="14"/>
  <c r="CN5" i="13"/>
  <c r="AB5" i="13"/>
  <c r="DN4" i="13"/>
  <c r="BB4" i="13"/>
  <c r="EN5" i="12"/>
  <c r="Q4" i="16"/>
  <c r="CU5" i="15"/>
  <c r="AI5" i="15"/>
  <c r="DU4" i="15"/>
  <c r="BI4" i="15"/>
  <c r="EU5" i="14"/>
  <c r="CI5" i="14"/>
  <c r="W5" i="14"/>
  <c r="DI4" i="14"/>
  <c r="AW4" i="14"/>
  <c r="EA5" i="13"/>
  <c r="BO5" i="13"/>
  <c r="C5" i="13"/>
  <c r="CO4" i="13"/>
  <c r="AC4" i="13"/>
  <c r="DP5" i="12"/>
  <c r="BD5" i="12"/>
  <c r="EP4" i="12"/>
  <c r="CD4" i="12"/>
  <c r="R4" i="12"/>
  <c r="DD5" i="11"/>
  <c r="AR5" i="11"/>
  <c r="ED4" i="11"/>
  <c r="BR4" i="11"/>
  <c r="F4" i="11"/>
  <c r="CR5" i="10"/>
  <c r="AF5" i="10"/>
  <c r="DR4" i="10"/>
  <c r="BF4" i="10"/>
  <c r="ER5" i="9"/>
  <c r="CF5" i="9"/>
  <c r="T5" i="9"/>
  <c r="DF4" i="9"/>
  <c r="AT4" i="9"/>
  <c r="EF5" i="8"/>
  <c r="BT5" i="8"/>
  <c r="H5" i="8"/>
  <c r="CT4" i="8"/>
  <c r="AH4" i="8"/>
  <c r="DT5" i="7"/>
  <c r="BH5" i="7"/>
  <c r="ET4" i="7"/>
  <c r="CH4" i="7"/>
  <c r="V4" i="7"/>
  <c r="DH5" i="6"/>
  <c r="AV5" i="6"/>
  <c r="EH4" i="6"/>
  <c r="CY5" i="12"/>
  <c r="AM5" i="12"/>
  <c r="DY4" i="12"/>
  <c r="BM4" i="12"/>
  <c r="EQ5" i="11"/>
  <c r="CE5" i="11"/>
  <c r="S5" i="11"/>
  <c r="DE4" i="11"/>
  <c r="AS4" i="11"/>
  <c r="EE5" i="10"/>
  <c r="BS5" i="10"/>
  <c r="G5" i="10"/>
  <c r="CS4" i="10"/>
  <c r="AG4" i="10"/>
  <c r="DK5" i="9"/>
  <c r="AY5" i="9"/>
  <c r="EK4" i="9"/>
  <c r="BY4" i="9"/>
  <c r="M4" i="9"/>
  <c r="CY5" i="8"/>
  <c r="AM5" i="8"/>
  <c r="DY4" i="8"/>
  <c r="BM4" i="8"/>
  <c r="EQ5" i="7"/>
  <c r="CE5" i="7"/>
  <c r="S5" i="7"/>
  <c r="DE4" i="7"/>
  <c r="AS4" i="7"/>
  <c r="EE5" i="6"/>
  <c r="BS5" i="6"/>
  <c r="G5" i="6"/>
  <c r="DV5" i="12"/>
  <c r="BJ5" i="12"/>
  <c r="EV4" i="12"/>
  <c r="CJ4" i="12"/>
  <c r="X4" i="12"/>
  <c r="DJ5" i="11"/>
  <c r="AX5" i="11"/>
  <c r="EJ4" i="11"/>
  <c r="BX4" i="11"/>
  <c r="L4" i="11"/>
  <c r="CX5" i="10"/>
  <c r="AL5" i="10"/>
  <c r="DX4" i="10"/>
  <c r="BL4" i="10"/>
  <c r="EX5" i="9"/>
  <c r="CL5" i="9"/>
  <c r="Z5" i="9"/>
  <c r="DL4" i="9"/>
  <c r="AZ4" i="9"/>
  <c r="EL5" i="8"/>
  <c r="BZ5" i="8"/>
  <c r="N5" i="8"/>
  <c r="CZ4" i="8"/>
  <c r="AN4" i="8"/>
  <c r="DZ5" i="7"/>
  <c r="BN5" i="7"/>
  <c r="B5" i="7"/>
  <c r="CN4" i="7"/>
  <c r="AB4" i="7"/>
  <c r="DN5" i="6"/>
  <c r="BB5" i="6"/>
  <c r="EN4" i="6"/>
  <c r="CW5" i="12"/>
  <c r="AK5" i="12"/>
  <c r="DW4" i="12"/>
  <c r="BK4" i="12"/>
  <c r="EW5" i="11"/>
  <c r="CK5" i="11"/>
  <c r="Y5" i="11"/>
  <c r="DK4" i="11"/>
  <c r="AY4" i="11"/>
  <c r="EK5" i="10"/>
  <c r="BY5" i="10"/>
  <c r="M5" i="10"/>
  <c r="CY4" i="10"/>
  <c r="AM4" i="10"/>
  <c r="DY5" i="9"/>
  <c r="BM5" i="9"/>
  <c r="A5" i="9"/>
  <c r="CM4" i="9"/>
  <c r="DC4" i="16"/>
  <c r="BR4" i="19"/>
  <c r="F4" i="19"/>
  <c r="CR5" i="18"/>
  <c r="AF5" i="18"/>
  <c r="DR4" i="18"/>
  <c r="BF4" i="18"/>
  <c r="ER5" i="17"/>
  <c r="CF5" i="17"/>
  <c r="T5" i="17"/>
  <c r="DF4" i="17"/>
  <c r="AT4" i="17"/>
  <c r="EF5" i="16"/>
  <c r="BT5" i="16"/>
  <c r="H5" i="16"/>
  <c r="CT4" i="16"/>
  <c r="AF4" i="16"/>
  <c r="DR5" i="15"/>
  <c r="BF5" i="15"/>
  <c r="ER4" i="15"/>
  <c r="CF4" i="15"/>
  <c r="T4" i="15"/>
  <c r="DF5" i="14"/>
  <c r="AT5" i="14"/>
  <c r="EF4" i="14"/>
  <c r="BT4" i="14"/>
  <c r="H4" i="14"/>
  <c r="CT5" i="13"/>
  <c r="AH5" i="13"/>
  <c r="DT4" i="13"/>
  <c r="BH4" i="13"/>
  <c r="ET5" i="12"/>
  <c r="W4" i="16"/>
  <c r="DI5" i="15"/>
  <c r="AW5" i="15"/>
  <c r="EI4" i="15"/>
  <c r="BW4" i="15"/>
  <c r="K4" i="15"/>
  <c r="CW5" i="14"/>
  <c r="AK5" i="14"/>
  <c r="DW4" i="14"/>
  <c r="BK4" i="14"/>
  <c r="EW5" i="13"/>
  <c r="CK5" i="13"/>
  <c r="Y5" i="13"/>
  <c r="DK4" i="13"/>
  <c r="AY4" i="13"/>
  <c r="EK5" i="12"/>
  <c r="V4" i="16"/>
  <c r="DH5" i="15"/>
  <c r="AV5" i="15"/>
  <c r="EH4" i="15"/>
  <c r="BV4" i="15"/>
  <c r="J4" i="15"/>
  <c r="CV5" i="14"/>
  <c r="AJ5" i="14"/>
  <c r="DV4" i="14"/>
  <c r="BJ4" i="14"/>
  <c r="EV5" i="13"/>
  <c r="CJ5" i="13"/>
  <c r="X5" i="13"/>
  <c r="DJ4" i="13"/>
  <c r="AX4" i="13"/>
  <c r="EJ5" i="12"/>
  <c r="M4" i="16"/>
  <c r="CY5" i="15"/>
  <c r="AM5" i="15"/>
  <c r="DY4" i="15"/>
  <c r="BM4" i="15"/>
  <c r="EQ5" i="14"/>
  <c r="CE5" i="14"/>
  <c r="S5" i="14"/>
  <c r="DE4" i="14"/>
  <c r="AS4" i="14"/>
  <c r="EE5" i="13"/>
  <c r="BS5" i="13"/>
  <c r="G5" i="13"/>
  <c r="CS4" i="13"/>
  <c r="AG4" i="13"/>
  <c r="AJ4" i="16"/>
  <c r="DV5" i="15"/>
  <c r="BJ5" i="15"/>
  <c r="EV4" i="15"/>
  <c r="CJ4" i="15"/>
  <c r="X4" i="15"/>
  <c r="DJ5" i="14"/>
  <c r="AX5" i="14"/>
  <c r="EJ4" i="14"/>
  <c r="BX4" i="14"/>
  <c r="L4" i="14"/>
  <c r="CX5" i="13"/>
  <c r="AL5" i="13"/>
  <c r="DX4" i="13"/>
  <c r="BL4" i="13"/>
  <c r="EX5" i="12"/>
  <c r="AA4" i="16"/>
  <c r="DM5" i="15"/>
  <c r="BA5" i="15"/>
  <c r="EM4" i="15"/>
  <c r="CA4" i="15"/>
  <c r="O4" i="15"/>
  <c r="DA5" i="14"/>
  <c r="AO5" i="14"/>
  <c r="EA4" i="14"/>
  <c r="BO4" i="14"/>
  <c r="C4" i="14"/>
  <c r="CO5" i="13"/>
  <c r="AC5" i="13"/>
  <c r="DO4" i="13"/>
  <c r="BC4" i="13"/>
  <c r="EO5" i="12"/>
  <c r="R4" i="16"/>
  <c r="DD5" i="15"/>
  <c r="AR5" i="15"/>
  <c r="ED4" i="15"/>
  <c r="BR4" i="15"/>
  <c r="F4" i="15"/>
  <c r="CR5" i="14"/>
  <c r="AF5" i="14"/>
  <c r="DR4" i="14"/>
  <c r="BF4" i="14"/>
  <c r="ER5" i="13"/>
  <c r="CF5" i="13"/>
  <c r="T5" i="13"/>
  <c r="DF4" i="13"/>
  <c r="AT4" i="13"/>
  <c r="EF5" i="12"/>
  <c r="I4" i="16"/>
  <c r="CM5" i="15"/>
  <c r="AA5" i="15"/>
  <c r="DM4" i="15"/>
  <c r="BA4" i="15"/>
  <c r="EM5" i="14"/>
  <c r="CA5" i="14"/>
  <c r="O5" i="14"/>
  <c r="DA4" i="14"/>
  <c r="AO4" i="14"/>
  <c r="DS5" i="13"/>
  <c r="BG5" i="13"/>
  <c r="ES4" i="13"/>
  <c r="CG4" i="13"/>
  <c r="U4" i="13"/>
  <c r="DH5" i="12"/>
  <c r="AV5" i="12"/>
  <c r="EH4" i="12"/>
  <c r="BV4" i="12"/>
  <c r="J4" i="12"/>
  <c r="CV5" i="11"/>
  <c r="AJ5" i="11"/>
  <c r="DV4" i="11"/>
  <c r="BJ4" i="11"/>
  <c r="EV5" i="10"/>
  <c r="CJ5" i="10"/>
  <c r="X5" i="10"/>
  <c r="DJ4" i="10"/>
  <c r="AX4" i="10"/>
  <c r="EJ5" i="9"/>
  <c r="BX5" i="9"/>
  <c r="L5" i="9"/>
  <c r="CX4" i="9"/>
  <c r="AL4" i="9"/>
  <c r="DX5" i="8"/>
  <c r="BL5" i="8"/>
  <c r="EX4" i="8"/>
  <c r="CL4" i="8"/>
  <c r="Z4" i="8"/>
  <c r="DL5" i="7"/>
  <c r="AZ5" i="7"/>
  <c r="EL4" i="7"/>
  <c r="BZ4" i="7"/>
  <c r="N4" i="7"/>
  <c r="CZ5" i="6"/>
  <c r="AN5" i="6"/>
  <c r="DZ4" i="6"/>
  <c r="CQ5" i="12"/>
  <c r="AE5" i="12"/>
  <c r="DQ4" i="12"/>
  <c r="BE4" i="12"/>
  <c r="EI5" i="11"/>
  <c r="BW5" i="11"/>
  <c r="K5" i="11"/>
  <c r="CW4" i="11"/>
  <c r="AK4" i="11"/>
  <c r="DW5" i="10"/>
  <c r="BK5" i="10"/>
  <c r="EW4" i="10"/>
  <c r="CK4" i="10"/>
  <c r="Y4" i="10"/>
  <c r="DC5" i="9"/>
  <c r="AQ5" i="9"/>
  <c r="EC4" i="9"/>
  <c r="BQ4" i="9"/>
  <c r="E4" i="9"/>
  <c r="CQ5" i="8"/>
  <c r="AE5" i="8"/>
  <c r="DQ4" i="8"/>
  <c r="BE4" i="8"/>
  <c r="EI5" i="7"/>
  <c r="BW5" i="7"/>
  <c r="K5" i="7"/>
  <c r="CW4" i="7"/>
  <c r="AK4" i="7"/>
  <c r="DW5" i="6"/>
  <c r="BK5" i="6"/>
  <c r="EW4" i="6"/>
  <c r="DN5" i="12"/>
  <c r="BB5" i="12"/>
  <c r="EN4" i="12"/>
  <c r="CB4" i="12"/>
  <c r="P4" i="12"/>
  <c r="DB5" i="11"/>
  <c r="AP5" i="11"/>
  <c r="EB4" i="11"/>
  <c r="BP4" i="11"/>
  <c r="D4" i="11"/>
  <c r="CP5" i="10"/>
  <c r="AD5" i="10"/>
  <c r="DP4" i="10"/>
  <c r="BD4" i="10"/>
  <c r="EP5" i="9"/>
  <c r="CD5" i="9"/>
  <c r="R5" i="9"/>
  <c r="DD4" i="9"/>
  <c r="AR4" i="9"/>
  <c r="ED5" i="8"/>
  <c r="BR5" i="8"/>
  <c r="F5" i="8"/>
  <c r="CR4" i="8"/>
  <c r="AF4" i="8"/>
  <c r="DR5" i="7"/>
  <c r="BF5" i="7"/>
  <c r="ER4" i="7"/>
  <c r="CF4" i="7"/>
  <c r="T4" i="7"/>
  <c r="DF5" i="6"/>
  <c r="AT5" i="6"/>
  <c r="EF4" i="6"/>
  <c r="CO5" i="12"/>
  <c r="AC5" i="12"/>
  <c r="DO4" i="12"/>
  <c r="BC4" i="12"/>
  <c r="EO5" i="11"/>
  <c r="CC5" i="11"/>
  <c r="Q5" i="11"/>
  <c r="DC4" i="11"/>
  <c r="AQ4" i="11"/>
  <c r="EC5" i="10"/>
  <c r="BQ5" i="10"/>
  <c r="E5" i="10"/>
  <c r="CQ4" i="10"/>
  <c r="AE4" i="10"/>
  <c r="DQ5" i="9"/>
  <c r="BE5" i="9"/>
  <c r="EQ4" i="9"/>
  <c r="CE4" i="9"/>
  <c r="BW4" i="9"/>
  <c r="K4" i="9"/>
  <c r="CW5" i="8"/>
  <c r="AK5" i="8"/>
  <c r="DW4" i="8"/>
  <c r="BK4" i="8"/>
  <c r="EW5" i="7"/>
  <c r="CK5" i="7"/>
  <c r="Y5" i="7"/>
  <c r="DK4" i="7"/>
  <c r="AY4" i="7"/>
  <c r="EK5" i="6"/>
  <c r="BY5" i="6"/>
  <c r="M5" i="6"/>
  <c r="DT5" i="12"/>
  <c r="BH5" i="12"/>
  <c r="ET4" i="12"/>
  <c r="CH4" i="12"/>
  <c r="V4" i="12"/>
  <c r="DH5" i="11"/>
  <c r="AV5" i="11"/>
  <c r="EH4" i="11"/>
  <c r="BV4" i="11"/>
  <c r="J4" i="11"/>
  <c r="CV5" i="10"/>
  <c r="AJ5" i="10"/>
  <c r="DV4" i="10"/>
  <c r="BJ4" i="10"/>
  <c r="EV5" i="9"/>
  <c r="CJ5" i="9"/>
  <c r="X5" i="9"/>
  <c r="DJ4" i="9"/>
  <c r="AX4" i="9"/>
  <c r="EJ5" i="8"/>
  <c r="BX5" i="8"/>
  <c r="L5" i="8"/>
  <c r="CX4" i="8"/>
  <c r="AL4" i="8"/>
  <c r="DX5" i="7"/>
  <c r="BL5" i="7"/>
  <c r="EX4" i="7"/>
  <c r="CL4" i="7"/>
  <c r="Z4" i="7"/>
  <c r="DL5" i="6"/>
  <c r="AZ5" i="6"/>
  <c r="EL4" i="6"/>
  <c r="CU5" i="12"/>
  <c r="AI5" i="12"/>
  <c r="DU4" i="12"/>
  <c r="BI4" i="12"/>
  <c r="EU5" i="11"/>
  <c r="CI5" i="11"/>
  <c r="W5" i="11"/>
  <c r="DI4" i="11"/>
  <c r="AW4" i="11"/>
  <c r="EA5" i="10"/>
  <c r="BO5" i="10"/>
  <c r="C5" i="10"/>
  <c r="CO4" i="10"/>
  <c r="AC4" i="10"/>
  <c r="DO5" i="9"/>
  <c r="BC5" i="9"/>
  <c r="EO4" i="9"/>
  <c r="CC4" i="9"/>
  <c r="Q4" i="9"/>
  <c r="CU5" i="8"/>
  <c r="AI5" i="8"/>
  <c r="DU4" i="8"/>
  <c r="BI4" i="8"/>
  <c r="EU5" i="7"/>
  <c r="CI5" i="7"/>
  <c r="W5" i="7"/>
  <c r="DI4" i="7"/>
  <c r="AW4" i="7"/>
  <c r="EA5" i="6"/>
  <c r="BO5" i="6"/>
  <c r="C5" i="6"/>
  <c r="DJ5" i="12"/>
  <c r="AX5" i="12"/>
  <c r="EJ4" i="12"/>
  <c r="BX4" i="12"/>
  <c r="L4" i="12"/>
  <c r="CX5" i="11"/>
  <c r="AL5" i="11"/>
  <c r="DX4" i="11"/>
  <c r="BL4" i="11"/>
  <c r="EX5" i="10"/>
  <c r="CL5" i="10"/>
  <c r="Z5" i="10"/>
  <c r="DL4" i="10"/>
  <c r="AZ4" i="10"/>
  <c r="EL5" i="9"/>
  <c r="BZ5" i="9"/>
  <c r="N5" i="9"/>
  <c r="CZ4" i="9"/>
  <c r="AN4" i="9"/>
  <c r="DZ5" i="8"/>
  <c r="BN5" i="8"/>
  <c r="B5" i="8"/>
  <c r="CN4" i="8"/>
  <c r="AB4" i="8"/>
  <c r="DN5" i="7"/>
  <c r="BB5" i="7"/>
  <c r="EN4" i="7"/>
  <c r="CB4" i="7"/>
  <c r="P4" i="7"/>
  <c r="DB5" i="6"/>
  <c r="AP5" i="6"/>
  <c r="EB4" i="6"/>
  <c r="CK5" i="12"/>
  <c r="Y5" i="12"/>
  <c r="DK4" i="12"/>
  <c r="AY4" i="12"/>
  <c r="EK5" i="11"/>
  <c r="BY5" i="11"/>
  <c r="M5" i="11"/>
  <c r="CY4" i="11"/>
  <c r="AM4" i="11"/>
  <c r="DY5" i="10"/>
  <c r="BM5" i="10"/>
  <c r="A5" i="10"/>
  <c r="CM4" i="10"/>
  <c r="AA4" i="10"/>
  <c r="DM5" i="9"/>
  <c r="BA5" i="9"/>
  <c r="EM4" i="9"/>
  <c r="CA4" i="9"/>
  <c r="O4" i="9"/>
  <c r="DA5" i="8"/>
  <c r="AO5" i="8"/>
  <c r="EA4" i="8"/>
  <c r="BO4" i="8"/>
  <c r="C4" i="8"/>
  <c r="CO5" i="7"/>
  <c r="AC5" i="7"/>
  <c r="DO4" i="7"/>
  <c r="BC4" i="7"/>
  <c r="EO5" i="6"/>
  <c r="CC5" i="6"/>
  <c r="Q5" i="6"/>
  <c r="DH4" i="6"/>
  <c r="AV4" i="6"/>
  <c r="EH5" i="5"/>
  <c r="BV5" i="5"/>
  <c r="J5" i="5"/>
  <c r="CV4" i="5"/>
  <c r="AJ4" i="5"/>
  <c r="DV5" i="4"/>
  <c r="BJ5" i="4"/>
  <c r="EV4" i="4"/>
  <c r="CJ4" i="4"/>
  <c r="X4" i="4"/>
  <c r="H997" i="3"/>
  <c r="D992" i="3"/>
  <c r="L986" i="3"/>
  <c r="H981" i="3"/>
  <c r="D976" i="3"/>
  <c r="L970" i="3"/>
  <c r="H965" i="3"/>
  <c r="D960" i="3"/>
  <c r="L954" i="3"/>
  <c r="H949" i="3"/>
  <c r="D944" i="3"/>
  <c r="L938" i="3"/>
  <c r="H933" i="3"/>
  <c r="D928" i="3"/>
  <c r="L922" i="3"/>
  <c r="H917" i="3"/>
  <c r="D912" i="3"/>
  <c r="L906" i="3"/>
  <c r="H901" i="3"/>
  <c r="D896" i="3"/>
  <c r="CY4" i="6"/>
  <c r="AM4" i="6"/>
  <c r="DY5" i="5"/>
  <c r="BM5" i="5"/>
  <c r="A5" i="5"/>
  <c r="CM4" i="5"/>
  <c r="AA4" i="5"/>
  <c r="DM5" i="4"/>
  <c r="BA5" i="4"/>
  <c r="EM4" i="4"/>
  <c r="CA4" i="4"/>
  <c r="O4" i="4"/>
  <c r="K996" i="3"/>
  <c r="G991" i="3"/>
  <c r="C986" i="3"/>
  <c r="K980" i="3"/>
  <c r="G975" i="3"/>
  <c r="C970" i="3"/>
  <c r="K964" i="3"/>
  <c r="G959" i="3"/>
  <c r="C954" i="3"/>
  <c r="K948" i="3"/>
  <c r="G943" i="3"/>
  <c r="C938" i="3"/>
  <c r="K932" i="3"/>
  <c r="G927" i="3"/>
  <c r="C922" i="3"/>
  <c r="K916" i="3"/>
  <c r="G911" i="3"/>
  <c r="C906" i="3"/>
  <c r="K900" i="3"/>
  <c r="G895" i="3"/>
  <c r="CH4" i="6"/>
  <c r="V4" i="6"/>
  <c r="DH5" i="5"/>
  <c r="AV5" i="5"/>
  <c r="EH4" i="5"/>
  <c r="BV4" i="5"/>
  <c r="J4" i="5"/>
  <c r="CV5" i="4"/>
  <c r="AJ5" i="4"/>
  <c r="DV4" i="4"/>
  <c r="BJ4" i="4"/>
  <c r="J1000" i="3"/>
  <c r="F995" i="3"/>
  <c r="B990" i="3"/>
  <c r="J984" i="3"/>
  <c r="F979" i="3"/>
  <c r="B974" i="3"/>
  <c r="J968" i="3"/>
  <c r="F963" i="3"/>
  <c r="B958" i="3"/>
  <c r="J952" i="3"/>
  <c r="F947" i="3"/>
  <c r="B942" i="3"/>
  <c r="J936" i="3"/>
  <c r="F931" i="3"/>
  <c r="B926" i="3"/>
  <c r="J920" i="3"/>
  <c r="F915" i="3"/>
  <c r="B910" i="3"/>
  <c r="J904" i="3"/>
  <c r="F899" i="3"/>
  <c r="B894" i="3"/>
  <c r="BQ4" i="6"/>
  <c r="E4" i="6"/>
  <c r="CQ5" i="5"/>
  <c r="AE5" i="5"/>
  <c r="DQ4" i="5"/>
  <c r="BE4" i="5"/>
  <c r="EI5" i="4"/>
  <c r="BW5" i="4"/>
  <c r="K5" i="4"/>
  <c r="CW4" i="4"/>
  <c r="AK4" i="4"/>
  <c r="I998" i="3"/>
  <c r="E993" i="3"/>
  <c r="A988" i="3"/>
  <c r="I982" i="3"/>
  <c r="E977" i="3"/>
  <c r="A972" i="3"/>
  <c r="I966" i="3"/>
  <c r="E961" i="3"/>
  <c r="A956" i="3"/>
  <c r="BO4" i="9"/>
  <c r="C4" i="9"/>
  <c r="CO5" i="8"/>
  <c r="AC5" i="8"/>
  <c r="DO4" i="8"/>
  <c r="BC4" i="8"/>
  <c r="EO5" i="7"/>
  <c r="CC5" i="7"/>
  <c r="Q5" i="7"/>
  <c r="DC4" i="7"/>
  <c r="AQ4" i="7"/>
  <c r="EC5" i="6"/>
  <c r="BQ5" i="6"/>
  <c r="E5" i="6"/>
  <c r="DL5" i="12"/>
  <c r="AZ5" i="12"/>
  <c r="EL4" i="12"/>
  <c r="BZ4" i="12"/>
  <c r="N4" i="12"/>
  <c r="CZ5" i="11"/>
  <c r="AN5" i="11"/>
  <c r="DZ4" i="11"/>
  <c r="BN4" i="11"/>
  <c r="B4" i="11"/>
  <c r="CN5" i="10"/>
  <c r="AB5" i="10"/>
  <c r="DN4" i="10"/>
  <c r="BB4" i="10"/>
  <c r="EN5" i="9"/>
  <c r="CB5" i="9"/>
  <c r="P5" i="9"/>
  <c r="DB4" i="9"/>
  <c r="AP4" i="9"/>
  <c r="EB5" i="8"/>
  <c r="BP5" i="8"/>
  <c r="D5" i="8"/>
  <c r="CP4" i="8"/>
  <c r="AD4" i="8"/>
  <c r="DP5" i="7"/>
  <c r="BD5" i="7"/>
  <c r="EP4" i="7"/>
  <c r="CD4" i="7"/>
  <c r="R4" i="7"/>
  <c r="DD5" i="6"/>
  <c r="AR5" i="6"/>
  <c r="ED4" i="6"/>
  <c r="CM5" i="12"/>
  <c r="AA5" i="12"/>
  <c r="DM4" i="12"/>
  <c r="BA4" i="12"/>
  <c r="EM5" i="11"/>
  <c r="CA5" i="11"/>
  <c r="O5" i="11"/>
  <c r="DA4" i="11"/>
  <c r="AO4" i="11"/>
  <c r="DS5" i="10"/>
  <c r="BG5" i="10"/>
  <c r="ES4" i="10"/>
  <c r="CG4" i="10"/>
  <c r="U4" i="10"/>
  <c r="DG5" i="9"/>
  <c r="AU5" i="9"/>
  <c r="EG4" i="9"/>
  <c r="BU4" i="9"/>
  <c r="I4" i="9"/>
  <c r="CM5" i="8"/>
  <c r="AA5" i="8"/>
  <c r="DM4" i="8"/>
  <c r="BA4" i="8"/>
  <c r="EM5" i="7"/>
  <c r="CA5" i="7"/>
  <c r="O5" i="7"/>
  <c r="DA4" i="7"/>
  <c r="AO4" i="7"/>
  <c r="DS5" i="6"/>
  <c r="BG5" i="6"/>
  <c r="ES4" i="6"/>
  <c r="DB5" i="12"/>
  <c r="AP5" i="12"/>
  <c r="EB4" i="12"/>
  <c r="BP4" i="12"/>
  <c r="D4" i="12"/>
  <c r="CP5" i="11"/>
  <c r="AD5" i="11"/>
  <c r="DP4" i="11"/>
  <c r="BD4" i="11"/>
  <c r="EP5" i="10"/>
  <c r="CD5" i="10"/>
  <c r="R5" i="10"/>
  <c r="DD4" i="10"/>
  <c r="AR4" i="10"/>
  <c r="ED5" i="9"/>
  <c r="BR5" i="9"/>
  <c r="F5" i="9"/>
  <c r="CR4" i="9"/>
  <c r="AF4" i="9"/>
  <c r="DR5" i="8"/>
  <c r="BF5" i="8"/>
  <c r="ER4" i="8"/>
  <c r="CF4" i="8"/>
  <c r="T4" i="8"/>
  <c r="DF5" i="7"/>
  <c r="AT5" i="7"/>
  <c r="EF4" i="7"/>
  <c r="BT4" i="7"/>
  <c r="H4" i="7"/>
  <c r="CT5" i="6"/>
  <c r="AH5" i="6"/>
  <c r="DT4" i="6"/>
  <c r="CC5" i="12"/>
  <c r="Q5" i="12"/>
  <c r="DC4" i="12"/>
  <c r="AQ4" i="12"/>
  <c r="EC5" i="11"/>
  <c r="BQ5" i="11"/>
  <c r="E5" i="11"/>
  <c r="CQ4" i="11"/>
  <c r="AE4" i="11"/>
  <c r="DQ5" i="10"/>
  <c r="BE5" i="10"/>
  <c r="EQ4" i="10"/>
  <c r="CE4" i="10"/>
  <c r="S4" i="10"/>
  <c r="DE5" i="9"/>
  <c r="AS5" i="9"/>
  <c r="EE4" i="9"/>
  <c r="BS4" i="9"/>
  <c r="G4" i="9"/>
  <c r="CS5" i="8"/>
  <c r="AG5" i="8"/>
  <c r="DS4" i="8"/>
  <c r="BG4" i="8"/>
  <c r="ES5" i="7"/>
  <c r="CG5" i="7"/>
  <c r="U5" i="7"/>
  <c r="DG4" i="7"/>
  <c r="AU4" i="7"/>
  <c r="EG5" i="6"/>
  <c r="BU5" i="6"/>
  <c r="I5" i="6"/>
  <c r="CZ4" i="6"/>
  <c r="AN4" i="6"/>
  <c r="DZ5" i="5"/>
  <c r="BN5" i="5"/>
  <c r="B5" i="5"/>
  <c r="CN4" i="5"/>
  <c r="AB4" i="5"/>
  <c r="DN5" i="4"/>
  <c r="BB5" i="4"/>
  <c r="EN4" i="4"/>
  <c r="CB4" i="4"/>
  <c r="P4" i="4"/>
  <c r="L996" i="3"/>
  <c r="H991" i="3"/>
  <c r="D986" i="3"/>
  <c r="L980" i="3"/>
  <c r="H975" i="3"/>
  <c r="D970" i="3"/>
  <c r="L964" i="3"/>
  <c r="H959" i="3"/>
  <c r="D954" i="3"/>
  <c r="L948" i="3"/>
  <c r="H943" i="3"/>
  <c r="D938" i="3"/>
  <c r="L932" i="3"/>
  <c r="H927" i="3"/>
  <c r="D922" i="3"/>
  <c r="L916" i="3"/>
  <c r="H911" i="3"/>
  <c r="D906" i="3"/>
  <c r="L900" i="3"/>
  <c r="H895" i="3"/>
  <c r="CQ4" i="6"/>
  <c r="AE4" i="6"/>
  <c r="DQ5" i="5"/>
  <c r="BE5" i="5"/>
  <c r="EQ4" i="5"/>
  <c r="CE4" i="5"/>
  <c r="S4" i="5"/>
  <c r="DE5" i="4"/>
  <c r="AS5" i="4"/>
  <c r="EE4" i="4"/>
  <c r="BS4" i="4"/>
  <c r="G4" i="4"/>
  <c r="C996" i="3"/>
  <c r="K990" i="3"/>
  <c r="G985" i="3"/>
  <c r="C980" i="3"/>
  <c r="K974" i="3"/>
  <c r="G969" i="3"/>
  <c r="C964" i="3"/>
  <c r="K958" i="3"/>
  <c r="G953" i="3"/>
  <c r="C948" i="3"/>
  <c r="K942" i="3"/>
  <c r="G937" i="3"/>
  <c r="C932" i="3"/>
  <c r="K926" i="3"/>
  <c r="G921" i="3"/>
  <c r="C916" i="3"/>
  <c r="K910" i="3"/>
  <c r="G905" i="3"/>
  <c r="C900" i="3"/>
  <c r="K894" i="3"/>
  <c r="BZ4" i="6"/>
  <c r="N4" i="6"/>
  <c r="CZ5" i="5"/>
  <c r="AN5" i="5"/>
  <c r="DZ4" i="5"/>
  <c r="BN4" i="5"/>
  <c r="B4" i="5"/>
  <c r="CN5" i="4"/>
  <c r="AB5" i="4"/>
  <c r="DN4" i="4"/>
  <c r="BB4" i="4"/>
  <c r="B1000" i="3"/>
  <c r="J994" i="3"/>
  <c r="F989" i="3"/>
  <c r="B984" i="3"/>
  <c r="J978" i="3"/>
  <c r="F973" i="3"/>
  <c r="B968" i="3"/>
  <c r="J962" i="3"/>
  <c r="F957" i="3"/>
  <c r="B952" i="3"/>
  <c r="J946" i="3"/>
  <c r="F941" i="3"/>
  <c r="B936" i="3"/>
  <c r="J930" i="3"/>
  <c r="F925" i="3"/>
  <c r="B920" i="3"/>
  <c r="J914" i="3"/>
  <c r="F909" i="3"/>
  <c r="B904" i="3"/>
  <c r="J898" i="3"/>
  <c r="F893" i="3"/>
  <c r="BI4" i="6"/>
  <c r="EU5" i="5"/>
  <c r="CI5" i="5"/>
  <c r="W5" i="5"/>
  <c r="DI4" i="5"/>
  <c r="AW4" i="5"/>
  <c r="EA5" i="4"/>
  <c r="BO5" i="4"/>
  <c r="C5" i="4"/>
  <c r="CO4" i="4"/>
  <c r="AC4" i="4"/>
  <c r="A998" i="3"/>
  <c r="I992" i="3"/>
  <c r="E987" i="3"/>
  <c r="A982" i="3"/>
  <c r="I976" i="3"/>
  <c r="E971" i="3"/>
  <c r="A966" i="3"/>
  <c r="I960" i="3"/>
  <c r="E955" i="3"/>
  <c r="BG4" i="9"/>
  <c r="ES5" i="8"/>
  <c r="CG5" i="8"/>
  <c r="U5" i="8"/>
  <c r="DG4" i="8"/>
  <c r="AU4" i="8"/>
  <c r="EG5" i="7"/>
  <c r="BU5" i="7"/>
  <c r="I5" i="7"/>
  <c r="CU4" i="7"/>
  <c r="AI4" i="7"/>
  <c r="DU5" i="6"/>
  <c r="BI5" i="6"/>
  <c r="EU4" i="6"/>
  <c r="DD5" i="12"/>
  <c r="AR5" i="12"/>
  <c r="ED4" i="12"/>
  <c r="BR4" i="12"/>
  <c r="F4" i="12"/>
  <c r="CR5" i="11"/>
  <c r="AF5" i="11"/>
  <c r="DR4" i="11"/>
  <c r="BF4" i="11"/>
  <c r="ER5" i="10"/>
  <c r="CF5" i="10"/>
  <c r="T5" i="10"/>
  <c r="DF4" i="10"/>
  <c r="AT4" i="10"/>
  <c r="EF5" i="9"/>
  <c r="BT5" i="9"/>
  <c r="H5" i="9"/>
  <c r="CT4" i="9"/>
  <c r="AH4" i="9"/>
  <c r="DT5" i="8"/>
  <c r="BH5" i="8"/>
  <c r="ET4" i="8"/>
  <c r="CH4" i="8"/>
  <c r="V4" i="8"/>
  <c r="DH5" i="7"/>
  <c r="AV5" i="7"/>
  <c r="EH4" i="7"/>
  <c r="BV4" i="7"/>
  <c r="J4" i="7"/>
  <c r="CV5" i="6"/>
  <c r="AJ5" i="6"/>
  <c r="DV4" i="6"/>
  <c r="CE5" i="12"/>
  <c r="S5" i="12"/>
  <c r="DE4" i="12"/>
  <c r="AS4" i="12"/>
  <c r="EE5" i="11"/>
  <c r="BS5" i="11"/>
  <c r="G5" i="11"/>
  <c r="CS4" i="11"/>
  <c r="AG4" i="11"/>
  <c r="DK5" i="10"/>
  <c r="AY5" i="10"/>
  <c r="EK4" i="10"/>
  <c r="BY4" i="10"/>
  <c r="M4" i="10"/>
  <c r="CY5" i="9"/>
  <c r="AM5" i="9"/>
  <c r="DY4" i="9"/>
  <c r="BM4" i="9"/>
  <c r="EQ5" i="8"/>
  <c r="CE5" i="8"/>
  <c r="S5" i="8"/>
  <c r="DE4" i="8"/>
  <c r="AS4" i="8"/>
  <c r="EE5" i="7"/>
  <c r="BS5" i="7"/>
  <c r="G5" i="7"/>
  <c r="CS4" i="7"/>
  <c r="AG4" i="7"/>
  <c r="DK5" i="6"/>
  <c r="AY5" i="6"/>
  <c r="EK4" i="6"/>
  <c r="CT5" i="12"/>
  <c r="AH5" i="12"/>
  <c r="DT4" i="12"/>
  <c r="BH4" i="12"/>
  <c r="ET5" i="11"/>
  <c r="CH5" i="11"/>
  <c r="V5" i="11"/>
  <c r="DH4" i="11"/>
  <c r="AV4" i="11"/>
  <c r="EH5" i="10"/>
  <c r="BV5" i="10"/>
  <c r="J5" i="10"/>
  <c r="CV4" i="10"/>
  <c r="AJ4" i="10"/>
  <c r="DV5" i="9"/>
  <c r="BJ5" i="9"/>
  <c r="EV4" i="9"/>
  <c r="CJ4" i="9"/>
  <c r="X4" i="9"/>
  <c r="DJ5" i="8"/>
  <c r="AX5" i="8"/>
  <c r="EJ4" i="8"/>
  <c r="BX4" i="8"/>
  <c r="L4" i="8"/>
  <c r="CX5" i="7"/>
  <c r="AL5" i="7"/>
  <c r="DX4" i="7"/>
  <c r="BL4" i="7"/>
  <c r="EX5" i="6"/>
  <c r="CL5" i="6"/>
  <c r="Z5" i="6"/>
  <c r="DL4" i="6"/>
  <c r="BU5" i="12"/>
  <c r="I5" i="12"/>
  <c r="CU4" i="12"/>
  <c r="AI4" i="12"/>
  <c r="DU5" i="11"/>
  <c r="BI5" i="11"/>
  <c r="EU4" i="11"/>
  <c r="CI4" i="11"/>
  <c r="W4" i="11"/>
  <c r="DI5" i="10"/>
  <c r="AW5" i="10"/>
  <c r="EI4" i="10"/>
  <c r="BW4" i="10"/>
  <c r="K4" i="10"/>
  <c r="CW5" i="9"/>
  <c r="AK5" i="9"/>
  <c r="DW4" i="9"/>
  <c r="BK4" i="9"/>
  <c r="EW5" i="8"/>
  <c r="CK5" i="8"/>
  <c r="Y5" i="8"/>
  <c r="DK4" i="8"/>
  <c r="AY4" i="8"/>
  <c r="EK5" i="7"/>
  <c r="BY5" i="7"/>
  <c r="M5" i="7"/>
  <c r="CY4" i="7"/>
  <c r="AM4" i="7"/>
  <c r="DY5" i="6"/>
  <c r="BM5" i="6"/>
  <c r="A5" i="6"/>
  <c r="CR4" i="6"/>
  <c r="AF4" i="6"/>
  <c r="DR5" i="5"/>
  <c r="BF5" i="5"/>
  <c r="ER4" i="5"/>
  <c r="CF4" i="5"/>
  <c r="T4" i="5"/>
  <c r="DF5" i="4"/>
  <c r="AT5" i="4"/>
  <c r="EF4" i="4"/>
  <c r="BT4" i="4"/>
  <c r="H4" i="4"/>
  <c r="D996" i="3"/>
  <c r="L990" i="3"/>
  <c r="H985" i="3"/>
  <c r="D980" i="3"/>
  <c r="L974" i="3"/>
  <c r="H969" i="3"/>
  <c r="D964" i="3"/>
  <c r="L958" i="3"/>
  <c r="H953" i="3"/>
  <c r="D948" i="3"/>
  <c r="L942" i="3"/>
  <c r="H937" i="3"/>
  <c r="D932" i="3"/>
  <c r="L926" i="3"/>
  <c r="H921" i="3"/>
  <c r="D916" i="3"/>
  <c r="L910" i="3"/>
  <c r="H905" i="3"/>
  <c r="D900" i="3"/>
  <c r="L894" i="3"/>
  <c r="CI4" i="6"/>
  <c r="W4" i="6"/>
  <c r="DI5" i="5"/>
  <c r="AW5" i="5"/>
  <c r="EI4" i="5"/>
  <c r="BW4" i="5"/>
  <c r="K4" i="5"/>
  <c r="CW5" i="4"/>
  <c r="AK5" i="4"/>
  <c r="DW4" i="4"/>
  <c r="BK4" i="4"/>
  <c r="K1000" i="3"/>
  <c r="G995" i="3"/>
  <c r="C990" i="3"/>
  <c r="K984" i="3"/>
  <c r="G979" i="3"/>
  <c r="C974" i="3"/>
  <c r="K968" i="3"/>
  <c r="G963" i="3"/>
  <c r="C958" i="3"/>
  <c r="K952" i="3"/>
  <c r="G947" i="3"/>
  <c r="C942" i="3"/>
  <c r="K936" i="3"/>
  <c r="G931" i="3"/>
  <c r="C926" i="3"/>
  <c r="K920" i="3"/>
  <c r="G915" i="3"/>
  <c r="C910" i="3"/>
  <c r="K904" i="3"/>
  <c r="G899" i="3"/>
  <c r="C894" i="3"/>
  <c r="BR4" i="6"/>
  <c r="F4" i="6"/>
  <c r="CR5" i="5"/>
  <c r="AF5" i="5"/>
  <c r="DR4" i="5"/>
  <c r="BF4" i="5"/>
  <c r="ER5" i="4"/>
  <c r="CF5" i="4"/>
  <c r="T5" i="4"/>
  <c r="DF4" i="4"/>
  <c r="AT4" i="4"/>
  <c r="F999" i="3"/>
  <c r="B994" i="3"/>
  <c r="J988" i="3"/>
  <c r="F983" i="3"/>
  <c r="B978" i="3"/>
  <c r="J972" i="3"/>
  <c r="F967" i="3"/>
  <c r="B962" i="3"/>
  <c r="J956" i="3"/>
  <c r="F951" i="3"/>
  <c r="B946" i="3"/>
  <c r="J940" i="3"/>
  <c r="F935" i="3"/>
  <c r="B930" i="3"/>
  <c r="J924" i="3"/>
  <c r="F919" i="3"/>
  <c r="B914" i="3"/>
  <c r="J908" i="3"/>
  <c r="F903" i="3"/>
  <c r="B898" i="3"/>
  <c r="J892" i="3"/>
  <c r="BA4" i="6"/>
  <c r="EM5" i="5"/>
  <c r="CA5" i="5"/>
  <c r="O5" i="5"/>
  <c r="DA4" i="5"/>
  <c r="AO4" i="5"/>
  <c r="DS5" i="4"/>
  <c r="BG5" i="4"/>
  <c r="ES4" i="4"/>
  <c r="CG4" i="4"/>
  <c r="U4" i="4"/>
  <c r="E997" i="3"/>
  <c r="A992" i="3"/>
  <c r="I986" i="3"/>
  <c r="E981" i="3"/>
  <c r="A976" i="3"/>
  <c r="I970" i="3"/>
  <c r="E965" i="3"/>
  <c r="A960" i="3"/>
  <c r="I954" i="3"/>
  <c r="AY4" i="9"/>
  <c r="EK5" i="8"/>
  <c r="BY5" i="8"/>
  <c r="M5" i="8"/>
  <c r="CY4" i="8"/>
  <c r="AM4" i="8"/>
  <c r="DY5" i="7"/>
  <c r="BM5" i="7"/>
  <c r="A5" i="7"/>
  <c r="CM4" i="7"/>
  <c r="AA4" i="7"/>
  <c r="DM5" i="6"/>
  <c r="BA5" i="6"/>
  <c r="EM4" i="6"/>
  <c r="CV5" i="12"/>
  <c r="AJ5" i="12"/>
  <c r="DV4" i="12"/>
  <c r="BJ4" i="12"/>
  <c r="EV5" i="11"/>
  <c r="CJ5" i="11"/>
  <c r="X5" i="11"/>
  <c r="DJ4" i="11"/>
  <c r="AX4" i="11"/>
  <c r="EJ5" i="10"/>
  <c r="BX5" i="10"/>
  <c r="L5" i="10"/>
  <c r="CX4" i="10"/>
  <c r="AL4" i="10"/>
  <c r="DX5" i="9"/>
  <c r="BL5" i="9"/>
  <c r="EX4" i="9"/>
  <c r="CL4" i="9"/>
  <c r="Z4" i="9"/>
  <c r="DL5" i="8"/>
  <c r="AZ5" i="8"/>
  <c r="EL4" i="8"/>
  <c r="BZ4" i="8"/>
  <c r="N4" i="8"/>
  <c r="CZ5" i="7"/>
  <c r="AN5" i="7"/>
  <c r="DZ4" i="7"/>
  <c r="BN4" i="7"/>
  <c r="B4" i="7"/>
  <c r="CN5" i="6"/>
  <c r="AB5" i="6"/>
  <c r="DN4" i="6"/>
  <c r="BW5" i="12"/>
  <c r="K5" i="12"/>
  <c r="CW4" i="12"/>
  <c r="AK4" i="12"/>
  <c r="DW5" i="11"/>
  <c r="BK5" i="11"/>
  <c r="EW4" i="11"/>
  <c r="CK4" i="11"/>
  <c r="Y4" i="11"/>
  <c r="DC5" i="10"/>
  <c r="AQ5" i="10"/>
  <c r="EC4" i="10"/>
  <c r="BQ4" i="10"/>
  <c r="E4" i="10"/>
  <c r="CQ5" i="9"/>
  <c r="AE5" i="9"/>
  <c r="DQ4" i="9"/>
  <c r="BE4" i="9"/>
  <c r="EI5" i="8"/>
  <c r="BW5" i="8"/>
  <c r="K5" i="8"/>
  <c r="CW4" i="8"/>
  <c r="AK4" i="8"/>
  <c r="DW5" i="7"/>
  <c r="BK5" i="7"/>
  <c r="EW4" i="7"/>
  <c r="CK4" i="7"/>
  <c r="Y4" i="7"/>
  <c r="DC5" i="6"/>
  <c r="AQ5" i="6"/>
  <c r="EC4" i="6"/>
  <c r="CL5" i="12"/>
  <c r="Z5" i="12"/>
  <c r="DL4" i="12"/>
  <c r="AZ4" i="12"/>
  <c r="EL5" i="11"/>
  <c r="BZ5" i="11"/>
  <c r="N5" i="11"/>
  <c r="CZ4" i="11"/>
  <c r="AN4" i="11"/>
  <c r="DZ5" i="10"/>
  <c r="BN5" i="10"/>
  <c r="B5" i="10"/>
  <c r="CN4" i="10"/>
  <c r="AB4" i="10"/>
  <c r="DN5" i="9"/>
  <c r="BB5" i="9"/>
  <c r="EN4" i="9"/>
  <c r="CB4" i="9"/>
  <c r="P4" i="9"/>
  <c r="DB5" i="8"/>
  <c r="AP5" i="8"/>
  <c r="EB4" i="8"/>
  <c r="BP4" i="8"/>
  <c r="D4" i="8"/>
  <c r="CP5" i="7"/>
  <c r="AD5" i="7"/>
  <c r="DP4" i="7"/>
  <c r="BD4" i="7"/>
  <c r="EP5" i="6"/>
  <c r="CD5" i="6"/>
  <c r="R5" i="6"/>
  <c r="DY5" i="12"/>
  <c r="BM5" i="12"/>
  <c r="A5" i="12"/>
  <c r="CM4" i="12"/>
  <c r="AA4" i="12"/>
  <c r="DM5" i="11"/>
  <c r="BA5" i="11"/>
  <c r="EM4" i="11"/>
  <c r="CA4" i="11"/>
  <c r="O4" i="11"/>
  <c r="DA5" i="10"/>
  <c r="AO5" i="10"/>
  <c r="EA4" i="10"/>
  <c r="BO4" i="10"/>
  <c r="C4" i="10"/>
  <c r="CO5" i="9"/>
  <c r="AC5" i="9"/>
  <c r="DO4" i="9"/>
  <c r="BC4" i="9"/>
  <c r="EO5" i="8"/>
  <c r="CC5" i="8"/>
  <c r="Q5" i="8"/>
  <c r="DC4" i="8"/>
  <c r="AQ4" i="8"/>
  <c r="EC5" i="7"/>
  <c r="BQ5" i="7"/>
  <c r="E5" i="7"/>
  <c r="CQ4" i="7"/>
  <c r="AE4" i="7"/>
  <c r="DQ5" i="6"/>
  <c r="BE5" i="6"/>
  <c r="EQ4" i="6"/>
  <c r="CJ4" i="6"/>
  <c r="X4" i="6"/>
  <c r="DJ5" i="5"/>
  <c r="AX5" i="5"/>
  <c r="EJ4" i="5"/>
  <c r="BX4" i="5"/>
  <c r="L4" i="5"/>
  <c r="CX5" i="4"/>
  <c r="AL5" i="4"/>
  <c r="DX4" i="4"/>
  <c r="BL4" i="4"/>
  <c r="L1000" i="3"/>
  <c r="H995" i="3"/>
  <c r="D990" i="3"/>
  <c r="L984" i="3"/>
  <c r="H979" i="3"/>
  <c r="D974" i="3"/>
  <c r="L968" i="3"/>
  <c r="H963" i="3"/>
  <c r="D958" i="3"/>
  <c r="L952" i="3"/>
  <c r="H947" i="3"/>
  <c r="D942" i="3"/>
  <c r="L936" i="3"/>
  <c r="H931" i="3"/>
  <c r="D926" i="3"/>
  <c r="L920" i="3"/>
  <c r="H915" i="3"/>
  <c r="D910" i="3"/>
  <c r="L904" i="3"/>
  <c r="H899" i="3"/>
  <c r="D894" i="3"/>
  <c r="CA4" i="6"/>
  <c r="O4" i="6"/>
  <c r="DA5" i="5"/>
  <c r="AO5" i="5"/>
  <c r="EA4" i="5"/>
  <c r="BO4" i="5"/>
  <c r="C4" i="5"/>
  <c r="CO5" i="4"/>
  <c r="AC5" i="4"/>
  <c r="DO4" i="4"/>
  <c r="BC4" i="4"/>
  <c r="C1000" i="3"/>
  <c r="K994" i="3"/>
  <c r="G989" i="3"/>
  <c r="C984" i="3"/>
  <c r="K978" i="3"/>
  <c r="G973" i="3"/>
  <c r="C968" i="3"/>
  <c r="K962" i="3"/>
  <c r="G957" i="3"/>
  <c r="C952" i="3"/>
  <c r="K946" i="3"/>
  <c r="G941" i="3"/>
  <c r="C936" i="3"/>
  <c r="K930" i="3"/>
  <c r="G925" i="3"/>
  <c r="C920" i="3"/>
  <c r="K914" i="3"/>
  <c r="G909" i="3"/>
  <c r="C904" i="3"/>
  <c r="K898" i="3"/>
  <c r="G893" i="3"/>
  <c r="BJ4" i="6"/>
  <c r="EV5" i="5"/>
  <c r="CJ5" i="5"/>
  <c r="X5" i="5"/>
  <c r="DJ4" i="5"/>
  <c r="AX4" i="5"/>
  <c r="EJ5" i="4"/>
  <c r="BX5" i="4"/>
  <c r="L5" i="4"/>
  <c r="CX4" i="4"/>
  <c r="AL4" i="4"/>
  <c r="J998" i="3"/>
  <c r="F993" i="3"/>
  <c r="B988" i="3"/>
  <c r="J982" i="3"/>
  <c r="F977" i="3"/>
  <c r="B972" i="3"/>
  <c r="J966" i="3"/>
  <c r="F961" i="3"/>
  <c r="B956" i="3"/>
  <c r="J950" i="3"/>
  <c r="F945" i="3"/>
  <c r="B940" i="3"/>
  <c r="J934" i="3"/>
  <c r="F929" i="3"/>
  <c r="B924" i="3"/>
  <c r="J918" i="3"/>
  <c r="F913" i="3"/>
  <c r="B908" i="3"/>
  <c r="J902" i="3"/>
  <c r="F897" i="3"/>
  <c r="DE4" i="6"/>
  <c r="AS4" i="6"/>
  <c r="EE5" i="5"/>
  <c r="BS5" i="5"/>
  <c r="G5" i="5"/>
  <c r="CS4" i="5"/>
  <c r="AG4" i="5"/>
  <c r="DK5" i="4"/>
  <c r="AY5" i="4"/>
  <c r="EK4" i="4"/>
  <c r="BY4" i="4"/>
  <c r="M4" i="4"/>
  <c r="I996" i="3"/>
  <c r="E991" i="3"/>
  <c r="A986" i="3"/>
  <c r="I980" i="3"/>
  <c r="E975" i="3"/>
  <c r="A970" i="3"/>
  <c r="I964" i="3"/>
  <c r="E959" i="3"/>
  <c r="A954" i="3"/>
  <c r="AQ4" i="9"/>
  <c r="EC5" i="8"/>
  <c r="BQ5" i="8"/>
  <c r="E5" i="8"/>
  <c r="CQ4" i="8"/>
  <c r="AE4" i="8"/>
  <c r="DQ5" i="7"/>
  <c r="BE5" i="7"/>
  <c r="EQ4" i="7"/>
  <c r="CE4" i="7"/>
  <c r="S4" i="7"/>
  <c r="DE5" i="6"/>
  <c r="AS5" i="6"/>
  <c r="EE4" i="6"/>
  <c r="CN5" i="12"/>
  <c r="AB5" i="12"/>
  <c r="DN4" i="12"/>
  <c r="BB4" i="12"/>
  <c r="EN5" i="11"/>
  <c r="CB5" i="11"/>
  <c r="P5" i="11"/>
  <c r="DB4" i="11"/>
  <c r="AP4" i="11"/>
  <c r="EB5" i="10"/>
  <c r="BP5" i="10"/>
  <c r="D5" i="10"/>
  <c r="CP4" i="10"/>
  <c r="AD4" i="10"/>
  <c r="DP5" i="9"/>
  <c r="BD5" i="9"/>
  <c r="EP4" i="9"/>
  <c r="CD4" i="9"/>
  <c r="R4" i="9"/>
  <c r="DD5" i="8"/>
  <c r="AR5" i="8"/>
  <c r="ED4" i="8"/>
  <c r="BR4" i="8"/>
  <c r="F4" i="8"/>
  <c r="CR5" i="7"/>
  <c r="AF5" i="7"/>
  <c r="DR4" i="7"/>
  <c r="BF4" i="7"/>
  <c r="ER5" i="6"/>
  <c r="CF5" i="6"/>
  <c r="T5" i="6"/>
  <c r="EA5" i="12"/>
  <c r="BO5" i="12"/>
  <c r="C5" i="12"/>
  <c r="CO4" i="12"/>
  <c r="AC4" i="12"/>
  <c r="DO5" i="11"/>
  <c r="BC5" i="11"/>
  <c r="EO4" i="11"/>
  <c r="CC4" i="11"/>
  <c r="Q4" i="11"/>
  <c r="CU5" i="10"/>
  <c r="AI5" i="10"/>
  <c r="DU4" i="10"/>
  <c r="BI4" i="10"/>
  <c r="EU5" i="9"/>
  <c r="CI5" i="9"/>
  <c r="W5" i="9"/>
  <c r="DI4" i="9"/>
  <c r="AW4" i="9"/>
  <c r="EA5" i="8"/>
  <c r="BO5" i="8"/>
  <c r="C5" i="8"/>
  <c r="CO4" i="8"/>
  <c r="AC4" i="8"/>
  <c r="DO5" i="7"/>
  <c r="BC5" i="7"/>
  <c r="EO4" i="7"/>
  <c r="CC4" i="7"/>
  <c r="Q4" i="7"/>
  <c r="CU5" i="6"/>
  <c r="AI5" i="6"/>
  <c r="DU4" i="6"/>
  <c r="CD5" i="12"/>
  <c r="R5" i="12"/>
  <c r="DD4" i="12"/>
  <c r="AR4" i="12"/>
  <c r="ED5" i="11"/>
  <c r="BR5" i="11"/>
  <c r="F5" i="11"/>
  <c r="CR4" i="11"/>
  <c r="AF4" i="11"/>
  <c r="DR5" i="10"/>
  <c r="BF5" i="10"/>
  <c r="ER4" i="10"/>
  <c r="CF4" i="10"/>
  <c r="T4" i="10"/>
  <c r="DF5" i="9"/>
  <c r="AT5" i="9"/>
  <c r="EF4" i="9"/>
  <c r="BT4" i="9"/>
  <c r="H4" i="9"/>
  <c r="CT5" i="8"/>
  <c r="AH5" i="8"/>
  <c r="DT4" i="8"/>
  <c r="BH4" i="8"/>
  <c r="ET5" i="7"/>
  <c r="CH5" i="7"/>
  <c r="V5" i="7"/>
  <c r="DH4" i="7"/>
  <c r="AV4" i="7"/>
  <c r="EH5" i="6"/>
  <c r="BV5" i="6"/>
  <c r="J5" i="6"/>
  <c r="DQ5" i="12"/>
  <c r="BE5" i="12"/>
  <c r="EQ4" i="12"/>
  <c r="CE4" i="12"/>
  <c r="S4" i="12"/>
  <c r="DE5" i="11"/>
  <c r="AS5" i="11"/>
  <c r="EE4" i="11"/>
  <c r="BS4" i="11"/>
  <c r="G4" i="11"/>
  <c r="CS5" i="10"/>
  <c r="AG5" i="10"/>
  <c r="DS4" i="10"/>
  <c r="BG4" i="10"/>
  <c r="ES5" i="9"/>
  <c r="CG5" i="9"/>
  <c r="U5" i="9"/>
  <c r="DG4" i="9"/>
  <c r="AU4" i="9"/>
  <c r="EG5" i="8"/>
  <c r="BU5" i="8"/>
  <c r="I5" i="8"/>
  <c r="CU4" i="8"/>
  <c r="AI4" i="8"/>
  <c r="DU5" i="7"/>
  <c r="BI5" i="7"/>
  <c r="EU4" i="7"/>
  <c r="CI4" i="7"/>
  <c r="W4" i="7"/>
  <c r="DI5" i="6"/>
  <c r="AW5" i="6"/>
  <c r="EI4" i="6"/>
  <c r="CB4" i="6"/>
  <c r="P4" i="6"/>
  <c r="DB5" i="5"/>
  <c r="AP5" i="5"/>
  <c r="EB4" i="5"/>
  <c r="BP4" i="5"/>
  <c r="D4" i="5"/>
  <c r="CP5" i="4"/>
  <c r="AD5" i="4"/>
  <c r="DP4" i="4"/>
  <c r="BD4" i="4"/>
  <c r="D1000" i="3"/>
  <c r="L994" i="3"/>
  <c r="H989" i="3"/>
  <c r="D984" i="3"/>
  <c r="L978" i="3"/>
  <c r="H973" i="3"/>
  <c r="D968" i="3"/>
  <c r="L962" i="3"/>
  <c r="H957" i="3"/>
  <c r="D952" i="3"/>
  <c r="L946" i="3"/>
  <c r="H941" i="3"/>
  <c r="D936" i="3"/>
  <c r="L930" i="3"/>
  <c r="H925" i="3"/>
  <c r="D920" i="3"/>
  <c r="L914" i="3"/>
  <c r="H909" i="3"/>
  <c r="D904" i="3"/>
  <c r="L898" i="3"/>
  <c r="H893" i="3"/>
  <c r="BS4" i="6"/>
  <c r="G4" i="6"/>
  <c r="CS5" i="5"/>
  <c r="AG5" i="5"/>
  <c r="DS4" i="5"/>
  <c r="BG4" i="5"/>
  <c r="ES5" i="4"/>
  <c r="CG5" i="4"/>
  <c r="U5" i="4"/>
  <c r="DG4" i="4"/>
  <c r="AU4" i="4"/>
  <c r="G999" i="3"/>
  <c r="C994" i="3"/>
  <c r="K988" i="3"/>
  <c r="G983" i="3"/>
  <c r="C978" i="3"/>
  <c r="K972" i="3"/>
  <c r="G967" i="3"/>
  <c r="C962" i="3"/>
  <c r="K956" i="3"/>
  <c r="G951" i="3"/>
  <c r="C946" i="3"/>
  <c r="K940" i="3"/>
  <c r="G935" i="3"/>
  <c r="C930" i="3"/>
  <c r="K924" i="3"/>
  <c r="G919" i="3"/>
  <c r="C914" i="3"/>
  <c r="K908" i="3"/>
  <c r="G903" i="3"/>
  <c r="C898" i="3"/>
  <c r="K892" i="3"/>
  <c r="BB4" i="6"/>
  <c r="EN5" i="5"/>
  <c r="CB5" i="5"/>
  <c r="P5" i="5"/>
  <c r="DB4" i="5"/>
  <c r="AP4" i="5"/>
  <c r="EB5" i="4"/>
  <c r="BP5" i="4"/>
  <c r="D5" i="4"/>
  <c r="CP4" i="4"/>
  <c r="AD4" i="4"/>
  <c r="B998" i="3"/>
  <c r="J992" i="3"/>
  <c r="F987" i="3"/>
  <c r="B982" i="3"/>
  <c r="J976" i="3"/>
  <c r="F971" i="3"/>
  <c r="B966" i="3"/>
  <c r="J960" i="3"/>
  <c r="F955" i="3"/>
  <c r="B950" i="3"/>
  <c r="J944" i="3"/>
  <c r="F939" i="3"/>
  <c r="B934" i="3"/>
  <c r="J928" i="3"/>
  <c r="F923" i="3"/>
  <c r="B918" i="3"/>
  <c r="J912" i="3"/>
  <c r="F907" i="3"/>
  <c r="B902" i="3"/>
  <c r="J896" i="3"/>
  <c r="CW4" i="6"/>
  <c r="AK4" i="6"/>
  <c r="DW5" i="5"/>
  <c r="BK5" i="5"/>
  <c r="EW4" i="5"/>
  <c r="CK4" i="5"/>
  <c r="Y4" i="5"/>
  <c r="DC5" i="4"/>
  <c r="AQ5" i="4"/>
  <c r="EC4" i="4"/>
  <c r="BQ4" i="4"/>
  <c r="E4" i="4"/>
  <c r="A996" i="3"/>
  <c r="I990" i="3"/>
  <c r="E985" i="3"/>
  <c r="A980" i="3"/>
  <c r="I974" i="3"/>
  <c r="E969" i="3"/>
  <c r="A964" i="3"/>
  <c r="I958" i="3"/>
  <c r="AI4" i="9"/>
  <c r="DU5" i="8"/>
  <c r="BI5" i="8"/>
  <c r="EU4" i="8"/>
  <c r="CI4" i="8"/>
  <c r="W4" i="8"/>
  <c r="DI5" i="7"/>
  <c r="AW5" i="7"/>
  <c r="EI4" i="7"/>
  <c r="BW4" i="7"/>
  <c r="K4" i="7"/>
  <c r="CW5" i="6"/>
  <c r="AK5" i="6"/>
  <c r="DW4" i="6"/>
  <c r="CF5" i="12"/>
  <c r="T5" i="12"/>
  <c r="DF4" i="12"/>
  <c r="AT4" i="12"/>
  <c r="EF5" i="11"/>
  <c r="BT5" i="11"/>
  <c r="H5" i="11"/>
  <c r="CT4" i="11"/>
  <c r="AH4" i="11"/>
  <c r="DT5" i="10"/>
  <c r="BH5" i="10"/>
  <c r="ET4" i="10"/>
  <c r="CH4" i="10"/>
  <c r="V4" i="10"/>
  <c r="DH5" i="9"/>
  <c r="AV5" i="9"/>
  <c r="EH4" i="9"/>
  <c r="BV4" i="9"/>
  <c r="J4" i="9"/>
  <c r="CV5" i="8"/>
  <c r="AJ5" i="8"/>
  <c r="DV4" i="8"/>
  <c r="BJ4" i="8"/>
  <c r="EV5" i="7"/>
  <c r="CJ5" i="7"/>
  <c r="X5" i="7"/>
  <c r="DJ4" i="7"/>
  <c r="AX4" i="7"/>
  <c r="EJ5" i="6"/>
  <c r="BX5" i="6"/>
  <c r="L5" i="6"/>
  <c r="DS5" i="12"/>
  <c r="BG5" i="12"/>
  <c r="ES4" i="12"/>
  <c r="CG4" i="12"/>
  <c r="U4" i="12"/>
  <c r="DG5" i="11"/>
  <c r="AU5" i="11"/>
  <c r="EG4" i="11"/>
  <c r="BU4" i="11"/>
  <c r="I4" i="11"/>
  <c r="CM5" i="10"/>
  <c r="AA5" i="10"/>
  <c r="DM4" i="10"/>
  <c r="BA4" i="10"/>
  <c r="EM5" i="9"/>
  <c r="CA5" i="9"/>
  <c r="O5" i="9"/>
  <c r="DA4" i="9"/>
  <c r="AO4" i="9"/>
  <c r="DS5" i="8"/>
  <c r="BG5" i="8"/>
  <c r="ES4" i="8"/>
  <c r="CG4" i="8"/>
  <c r="U4" i="8"/>
  <c r="DG5" i="7"/>
  <c r="AU5" i="7"/>
  <c r="EG4" i="7"/>
  <c r="BU4" i="7"/>
  <c r="I4" i="7"/>
  <c r="CM5" i="6"/>
  <c r="AA5" i="6"/>
  <c r="DM4" i="6"/>
  <c r="BV5" i="12"/>
  <c r="J5" i="12"/>
  <c r="CV4" i="12"/>
  <c r="AJ4" i="12"/>
  <c r="DV5" i="11"/>
  <c r="BJ5" i="11"/>
  <c r="EV4" i="11"/>
  <c r="CJ4" i="11"/>
  <c r="X4" i="11"/>
  <c r="DJ5" i="10"/>
  <c r="AX5" i="10"/>
  <c r="EJ4" i="10"/>
  <c r="BX4" i="10"/>
  <c r="L4" i="10"/>
  <c r="CX5" i="9"/>
  <c r="AL5" i="9"/>
  <c r="DX4" i="9"/>
  <c r="BL4" i="9"/>
  <c r="EX5" i="8"/>
  <c r="CL5" i="8"/>
  <c r="Z5" i="8"/>
  <c r="DL4" i="8"/>
  <c r="AZ4" i="8"/>
  <c r="EL5" i="7"/>
  <c r="BZ5" i="7"/>
  <c r="N5" i="7"/>
  <c r="CZ4" i="7"/>
  <c r="AN4" i="7"/>
  <c r="DZ5" i="6"/>
  <c r="BN5" i="6"/>
  <c r="B5" i="6"/>
  <c r="DI5" i="12"/>
  <c r="AW5" i="12"/>
  <c r="EI4" i="12"/>
  <c r="BW4" i="12"/>
  <c r="K4" i="12"/>
  <c r="CW5" i="11"/>
  <c r="AK5" i="11"/>
  <c r="DW4" i="11"/>
  <c r="BK4" i="11"/>
  <c r="EW5" i="10"/>
  <c r="CK5" i="10"/>
  <c r="Y5" i="10"/>
  <c r="DK4" i="10"/>
  <c r="AY4" i="10"/>
  <c r="EK5" i="9"/>
  <c r="BY5" i="9"/>
  <c r="M5" i="9"/>
  <c r="CY4" i="9"/>
  <c r="AM4" i="9"/>
  <c r="DY5" i="8"/>
  <c r="BM5" i="8"/>
  <c r="A5" i="8"/>
  <c r="CM4" i="8"/>
  <c r="AA4" i="8"/>
  <c r="DM5" i="7"/>
  <c r="BA5" i="7"/>
  <c r="EM4" i="7"/>
  <c r="CA4" i="7"/>
  <c r="O4" i="7"/>
  <c r="DA5" i="6"/>
  <c r="AO5" i="6"/>
  <c r="EA4" i="6"/>
  <c r="BT4" i="6"/>
  <c r="H4" i="6"/>
  <c r="CT5" i="5"/>
  <c r="AH5" i="5"/>
  <c r="DT4" i="5"/>
  <c r="BH4" i="5"/>
  <c r="ET5" i="4"/>
  <c r="CH5" i="4"/>
  <c r="V5" i="4"/>
  <c r="DH4" i="4"/>
  <c r="AV4" i="4"/>
  <c r="H999" i="3"/>
  <c r="D994" i="3"/>
  <c r="L988" i="3"/>
  <c r="H983" i="3"/>
  <c r="D978" i="3"/>
  <c r="L972" i="3"/>
  <c r="H967" i="3"/>
  <c r="D962" i="3"/>
  <c r="L956" i="3"/>
  <c r="H951" i="3"/>
  <c r="D946" i="3"/>
  <c r="L940" i="3"/>
  <c r="H935" i="3"/>
  <c r="D930" i="3"/>
  <c r="L924" i="3"/>
  <c r="H919" i="3"/>
  <c r="D914" i="3"/>
  <c r="L908" i="3"/>
  <c r="H903" i="3"/>
  <c r="D898" i="3"/>
  <c r="L892" i="3"/>
  <c r="BK4" i="6"/>
  <c r="EW5" i="5"/>
  <c r="CK5" i="5"/>
  <c r="Y5" i="5"/>
  <c r="DK4" i="5"/>
  <c r="AY4" i="5"/>
  <c r="EK5" i="4"/>
  <c r="BY5" i="4"/>
  <c r="M5" i="4"/>
  <c r="CY4" i="4"/>
  <c r="AM4" i="4"/>
  <c r="K998" i="3"/>
  <c r="G993" i="3"/>
  <c r="C988" i="3"/>
  <c r="K982" i="3"/>
  <c r="G977" i="3"/>
  <c r="C972" i="3"/>
  <c r="K966" i="3"/>
  <c r="G961" i="3"/>
  <c r="C956" i="3"/>
  <c r="K950" i="3"/>
  <c r="G945" i="3"/>
  <c r="C940" i="3"/>
  <c r="K934" i="3"/>
  <c r="G929" i="3"/>
  <c r="C924" i="3"/>
  <c r="K918" i="3"/>
  <c r="G913" i="3"/>
  <c r="C908" i="3"/>
  <c r="K902" i="3"/>
  <c r="G897" i="3"/>
  <c r="DF4" i="6"/>
  <c r="AT4" i="6"/>
  <c r="EF5" i="5"/>
  <c r="BT5" i="5"/>
  <c r="H5" i="5"/>
  <c r="CT4" i="5"/>
  <c r="AH4" i="5"/>
  <c r="DT5" i="4"/>
  <c r="BH5" i="4"/>
  <c r="ET4" i="4"/>
  <c r="CH4" i="4"/>
  <c r="V4" i="4"/>
  <c r="F997" i="3"/>
  <c r="B992" i="3"/>
  <c r="J986" i="3"/>
  <c r="F981" i="3"/>
  <c r="B976" i="3"/>
  <c r="J970" i="3"/>
  <c r="F965" i="3"/>
  <c r="B960" i="3"/>
  <c r="J954" i="3"/>
  <c r="F949" i="3"/>
  <c r="B944" i="3"/>
  <c r="J938" i="3"/>
  <c r="F933" i="3"/>
  <c r="B928" i="3"/>
  <c r="J922" i="3"/>
  <c r="F917" i="3"/>
  <c r="B912" i="3"/>
  <c r="J906" i="3"/>
  <c r="F901" i="3"/>
  <c r="B896" i="3"/>
  <c r="CO4" i="6"/>
  <c r="AC4" i="6"/>
  <c r="DO5" i="5"/>
  <c r="BC5" i="5"/>
  <c r="EO4" i="5"/>
  <c r="CC4" i="5"/>
  <c r="Q4" i="5"/>
  <c r="CU5" i="4"/>
  <c r="AI5" i="4"/>
  <c r="DU4" i="4"/>
  <c r="BI4" i="4"/>
  <c r="I1000" i="3"/>
  <c r="E995" i="3"/>
  <c r="A990" i="3"/>
  <c r="I984" i="3"/>
  <c r="E979" i="3"/>
  <c r="A974" i="3"/>
  <c r="I968" i="3"/>
  <c r="E963" i="3"/>
  <c r="A958" i="3"/>
  <c r="AA4" i="9"/>
  <c r="DM5" i="8"/>
  <c r="BA5" i="8"/>
  <c r="EM4" i="8"/>
  <c r="CA4" i="8"/>
  <c r="O4" i="8"/>
  <c r="DA5" i="7"/>
  <c r="AO5" i="7"/>
  <c r="EA4" i="7"/>
  <c r="BO4" i="7"/>
  <c r="C4" i="7"/>
  <c r="CO5" i="6"/>
  <c r="AC5" i="6"/>
  <c r="DO4" i="6"/>
  <c r="BX5" i="12"/>
  <c r="L5" i="12"/>
  <c r="CX4" i="12"/>
  <c r="AL4" i="12"/>
  <c r="DX5" i="11"/>
  <c r="BL5" i="11"/>
  <c r="EX4" i="11"/>
  <c r="CL4" i="11"/>
  <c r="Z4" i="11"/>
  <c r="DL5" i="10"/>
  <c r="AZ5" i="10"/>
  <c r="EL4" i="10"/>
  <c r="BZ4" i="10"/>
  <c r="N4" i="10"/>
  <c r="CZ5" i="9"/>
  <c r="AN5" i="9"/>
  <c r="DZ4" i="9"/>
  <c r="BN4" i="9"/>
  <c r="B4" i="9"/>
  <c r="CN5" i="8"/>
  <c r="AB5" i="8"/>
  <c r="DN4" i="8"/>
  <c r="BB4" i="8"/>
  <c r="EN5" i="7"/>
  <c r="CB5" i="7"/>
  <c r="P5" i="7"/>
  <c r="DB4" i="7"/>
  <c r="AP4" i="7"/>
  <c r="EB5" i="6"/>
  <c r="BP5" i="6"/>
  <c r="D5" i="6"/>
  <c r="DK5" i="12"/>
  <c r="AY5" i="12"/>
  <c r="EK4" i="12"/>
  <c r="BY4" i="12"/>
  <c r="M4" i="12"/>
  <c r="CY5" i="11"/>
  <c r="AM5" i="11"/>
  <c r="DY4" i="11"/>
  <c r="BM4" i="11"/>
  <c r="EQ5" i="10"/>
  <c r="CE5" i="10"/>
  <c r="S5" i="10"/>
  <c r="DE4" i="10"/>
  <c r="AS4" i="10"/>
  <c r="EE5" i="9"/>
  <c r="BS5" i="9"/>
  <c r="G5" i="9"/>
  <c r="CS4" i="9"/>
  <c r="AG4" i="9"/>
  <c r="DK5" i="8"/>
  <c r="AY5" i="8"/>
  <c r="EK4" i="8"/>
  <c r="BY4" i="8"/>
  <c r="M4" i="8"/>
  <c r="CY5" i="7"/>
  <c r="AM5" i="7"/>
  <c r="DY4" i="7"/>
  <c r="BM4" i="7"/>
  <c r="EQ5" i="6"/>
  <c r="CE5" i="6"/>
  <c r="S5" i="6"/>
  <c r="DZ5" i="12"/>
  <c r="BN5" i="12"/>
  <c r="B5" i="12"/>
  <c r="CN4" i="12"/>
  <c r="AB4" i="12"/>
  <c r="DN5" i="11"/>
  <c r="BB5" i="11"/>
  <c r="EN4" i="11"/>
  <c r="CB4" i="11"/>
  <c r="P4" i="11"/>
  <c r="DB5" i="10"/>
  <c r="AP5" i="10"/>
  <c r="EB4" i="10"/>
  <c r="BP4" i="10"/>
  <c r="D4" i="10"/>
  <c r="CP5" i="9"/>
  <c r="AD5" i="9"/>
  <c r="DP4" i="9"/>
  <c r="BD4" i="9"/>
  <c r="EP5" i="8"/>
  <c r="CD5" i="8"/>
  <c r="R5" i="8"/>
  <c r="DD4" i="8"/>
  <c r="AR4" i="8"/>
  <c r="ED5" i="7"/>
  <c r="BR5" i="7"/>
  <c r="F5" i="7"/>
  <c r="CR4" i="7"/>
  <c r="AF4" i="7"/>
  <c r="DR5" i="6"/>
  <c r="BF5" i="6"/>
  <c r="ER4" i="6"/>
  <c r="DA5" i="12"/>
  <c r="AO5" i="12"/>
  <c r="EA4" i="12"/>
  <c r="BO4" i="12"/>
  <c r="C4" i="12"/>
  <c r="CO5" i="11"/>
  <c r="AC5" i="11"/>
  <c r="DO4" i="11"/>
  <c r="BC4" i="11"/>
  <c r="EO5" i="10"/>
  <c r="CC5" i="10"/>
  <c r="Q5" i="10"/>
  <c r="DC4" i="10"/>
  <c r="AQ4" i="10"/>
  <c r="EC5" i="9"/>
  <c r="BQ5" i="9"/>
  <c r="E5" i="9"/>
  <c r="CQ4" i="9"/>
  <c r="AE4" i="9"/>
  <c r="DQ5" i="8"/>
  <c r="BE5" i="8"/>
  <c r="EQ4" i="8"/>
  <c r="CE4" i="8"/>
  <c r="S4" i="8"/>
  <c r="DE5" i="7"/>
  <c r="AS5" i="7"/>
  <c r="EE4" i="7"/>
  <c r="BS4" i="7"/>
  <c r="G4" i="7"/>
  <c r="CS5" i="6"/>
  <c r="AG5" i="6"/>
  <c r="DS4" i="6"/>
  <c r="BL4" i="6"/>
  <c r="EX5" i="5"/>
  <c r="CL5" i="5"/>
  <c r="Z5" i="5"/>
  <c r="DL4" i="5"/>
  <c r="AZ4" i="5"/>
  <c r="EL5" i="4"/>
  <c r="BZ5" i="4"/>
  <c r="N5" i="4"/>
  <c r="CZ4" i="4"/>
  <c r="AN4" i="4"/>
  <c r="L998" i="3"/>
  <c r="H993" i="3"/>
  <c r="D988" i="3"/>
  <c r="L982" i="3"/>
  <c r="H977" i="3"/>
  <c r="D972" i="3"/>
  <c r="L966" i="3"/>
  <c r="H961" i="3"/>
  <c r="D956" i="3"/>
  <c r="L950" i="3"/>
  <c r="H945" i="3"/>
  <c r="D940" i="3"/>
  <c r="L934" i="3"/>
  <c r="H929" i="3"/>
  <c r="D924" i="3"/>
  <c r="L918" i="3"/>
  <c r="H913" i="3"/>
  <c r="D908" i="3"/>
  <c r="L902" i="3"/>
  <c r="H897" i="3"/>
  <c r="D892" i="3"/>
  <c r="BC4" i="6"/>
  <c r="EO5" i="5"/>
  <c r="CC5" i="5"/>
  <c r="Q5" i="5"/>
  <c r="DC4" i="5"/>
  <c r="AQ4" i="5"/>
  <c r="EC5" i="4"/>
  <c r="BQ5" i="4"/>
  <c r="E5" i="4"/>
  <c r="CQ4" i="4"/>
  <c r="AE4" i="4"/>
  <c r="C998" i="3"/>
  <c r="K992" i="3"/>
  <c r="G987" i="3"/>
  <c r="C982" i="3"/>
  <c r="K976" i="3"/>
  <c r="G971" i="3"/>
  <c r="C966" i="3"/>
  <c r="K960" i="3"/>
  <c r="G955" i="3"/>
  <c r="C950" i="3"/>
  <c r="K944" i="3"/>
  <c r="G939" i="3"/>
  <c r="C934" i="3"/>
  <c r="K928" i="3"/>
  <c r="G923" i="3"/>
  <c r="C918" i="3"/>
  <c r="K912" i="3"/>
  <c r="G907" i="3"/>
  <c r="C902" i="3"/>
  <c r="K896" i="3"/>
  <c r="CX4" i="6"/>
  <c r="AL4" i="6"/>
  <c r="DX5" i="5"/>
  <c r="BL5" i="5"/>
  <c r="EX4" i="5"/>
  <c r="CL4" i="5"/>
  <c r="Z4" i="5"/>
  <c r="DL5" i="4"/>
  <c r="AZ5" i="4"/>
  <c r="EL4" i="4"/>
  <c r="BZ4" i="4"/>
  <c r="N4" i="4"/>
  <c r="J996" i="3"/>
  <c r="F991" i="3"/>
  <c r="B986" i="3"/>
  <c r="J980" i="3"/>
  <c r="F975" i="3"/>
  <c r="B970" i="3"/>
  <c r="J964" i="3"/>
  <c r="F959" i="3"/>
  <c r="B954" i="3"/>
  <c r="J948" i="3"/>
  <c r="F943" i="3"/>
  <c r="B938" i="3"/>
  <c r="J932" i="3"/>
  <c r="F927" i="3"/>
  <c r="B922" i="3"/>
  <c r="J916" i="3"/>
  <c r="F911" i="3"/>
  <c r="B906" i="3"/>
  <c r="J900" i="3"/>
  <c r="F895" i="3"/>
  <c r="CG4" i="6"/>
  <c r="U4" i="6"/>
  <c r="DG5" i="5"/>
  <c r="AU5" i="5"/>
  <c r="EG4" i="5"/>
  <c r="BU4" i="5"/>
  <c r="I4" i="5"/>
  <c r="CM5" i="4"/>
  <c r="AA5" i="4"/>
  <c r="DM4" i="4"/>
  <c r="BA4" i="4"/>
  <c r="A1000" i="3"/>
  <c r="I994" i="3"/>
  <c r="E989" i="3"/>
  <c r="A984" i="3"/>
  <c r="I978" i="3"/>
  <c r="E973" i="3"/>
  <c r="A968" i="3"/>
  <c r="I962" i="3"/>
  <c r="E957" i="3"/>
  <c r="S4" i="9"/>
  <c r="DE5" i="8"/>
  <c r="AS5" i="8"/>
  <c r="EE4" i="8"/>
  <c r="BS4" i="8"/>
  <c r="G4" i="8"/>
  <c r="CS5" i="7"/>
  <c r="AG5" i="7"/>
  <c r="DS4" i="7"/>
  <c r="BG4" i="7"/>
  <c r="ES5" i="6"/>
  <c r="CG5" i="6"/>
  <c r="U5" i="6"/>
  <c r="EB5" i="12"/>
  <c r="BP5" i="12"/>
  <c r="D5" i="12"/>
  <c r="CP4" i="12"/>
  <c r="AD4" i="12"/>
  <c r="DP5" i="11"/>
  <c r="BD5" i="11"/>
  <c r="EP4" i="11"/>
  <c r="CD4" i="11"/>
  <c r="R4" i="11"/>
  <c r="DD5" i="10"/>
  <c r="AR5" i="10"/>
  <c r="ED4" i="10"/>
  <c r="BR4" i="10"/>
  <c r="F4" i="10"/>
  <c r="CR5" i="9"/>
  <c r="AF5" i="9"/>
  <c r="DR4" i="9"/>
  <c r="BF4" i="9"/>
  <c r="ER5" i="8"/>
  <c r="CF5" i="8"/>
  <c r="T5" i="8"/>
  <c r="DF4" i="8"/>
  <c r="AT4" i="8"/>
  <c r="EF5" i="7"/>
  <c r="BT5" i="7"/>
  <c r="H5" i="7"/>
  <c r="CT4" i="7"/>
  <c r="AH4" i="7"/>
  <c r="DT5" i="6"/>
  <c r="BH5" i="6"/>
  <c r="ET4" i="6"/>
  <c r="DC5" i="12"/>
  <c r="AQ5" i="12"/>
  <c r="EC4" i="12"/>
  <c r="BQ4" i="12"/>
  <c r="E4" i="12"/>
  <c r="CQ5" i="11"/>
  <c r="AE5" i="11"/>
  <c r="DQ4" i="11"/>
  <c r="BE4" i="11"/>
  <c r="EI5" i="10"/>
  <c r="BW5" i="10"/>
  <c r="K5" i="10"/>
  <c r="CW4" i="10"/>
  <c r="AK4" i="10"/>
  <c r="DW5" i="9"/>
  <c r="BK5" i="9"/>
  <c r="EW4" i="9"/>
  <c r="CK4" i="9"/>
  <c r="Y4" i="9"/>
  <c r="DC5" i="8"/>
  <c r="AQ5" i="8"/>
  <c r="EC4" i="8"/>
  <c r="BQ4" i="8"/>
  <c r="E4" i="8"/>
  <c r="CQ5" i="7"/>
  <c r="AE5" i="7"/>
  <c r="DQ4" i="7"/>
  <c r="BE4" i="7"/>
  <c r="EI5" i="6"/>
  <c r="BW5" i="6"/>
  <c r="K5" i="6"/>
  <c r="DR5" i="12"/>
  <c r="BF5" i="12"/>
  <c r="ER4" i="12"/>
  <c r="CF4" i="12"/>
  <c r="T4" i="12"/>
  <c r="DF5" i="11"/>
  <c r="AT5" i="11"/>
  <c r="EF4" i="11"/>
  <c r="BT4" i="11"/>
  <c r="H4" i="11"/>
  <c r="CT5" i="10"/>
  <c r="AH5" i="10"/>
  <c r="DT4" i="10"/>
  <c r="BH4" i="10"/>
  <c r="ET5" i="9"/>
  <c r="CH5" i="9"/>
  <c r="V5" i="9"/>
  <c r="DH4" i="9"/>
  <c r="AV4" i="9"/>
  <c r="EH5" i="8"/>
  <c r="BV5" i="8"/>
  <c r="J5" i="8"/>
  <c r="CV4" i="8"/>
  <c r="AJ4" i="8"/>
  <c r="DV5" i="7"/>
  <c r="BJ5" i="7"/>
  <c r="EV4" i="7"/>
  <c r="CJ4" i="7"/>
  <c r="X4" i="7"/>
  <c r="DJ5" i="6"/>
  <c r="AX5" i="6"/>
  <c r="EJ4" i="6"/>
  <c r="CS5" i="12"/>
  <c r="AG5" i="12"/>
  <c r="DS4" i="12"/>
  <c r="BG4" i="12"/>
  <c r="ES5" i="11"/>
  <c r="CG5" i="11"/>
  <c r="U5" i="11"/>
  <c r="DG4" i="11"/>
  <c r="AU4" i="11"/>
  <c r="EG5" i="10"/>
  <c r="BU5" i="10"/>
  <c r="I5" i="10"/>
  <c r="CU4" i="10"/>
  <c r="AI4" i="10"/>
  <c r="DU5" i="9"/>
  <c r="BI5" i="9"/>
  <c r="EU4" i="9"/>
  <c r="CI4" i="9"/>
  <c r="W4" i="9"/>
  <c r="DI5" i="8"/>
  <c r="AW5" i="8"/>
  <c r="EI4" i="8"/>
  <c r="BW4" i="8"/>
  <c r="K4" i="8"/>
  <c r="CW5" i="7"/>
  <c r="AK5" i="7"/>
  <c r="DW4" i="7"/>
  <c r="BK4" i="7"/>
  <c r="EW5" i="6"/>
  <c r="CK5" i="6"/>
  <c r="Y5" i="6"/>
  <c r="DK4" i="6"/>
  <c r="BD4" i="6"/>
  <c r="EP5" i="5"/>
  <c r="CD5" i="5"/>
  <c r="R5" i="5"/>
  <c r="DD4" i="5"/>
  <c r="AR4" i="5"/>
  <c r="ED5" i="4"/>
  <c r="BR5" i="4"/>
  <c r="F5" i="4"/>
  <c r="CR4" i="4"/>
  <c r="AF4" i="4"/>
  <c r="D998" i="3"/>
  <c r="L992" i="3"/>
  <c r="H987" i="3"/>
  <c r="D982" i="3"/>
  <c r="L976" i="3"/>
  <c r="H971" i="3"/>
  <c r="D966" i="3"/>
  <c r="L960" i="3"/>
  <c r="H955" i="3"/>
  <c r="D950" i="3"/>
  <c r="L944" i="3"/>
  <c r="H939" i="3"/>
  <c r="D934" i="3"/>
  <c r="L928" i="3"/>
  <c r="H923" i="3"/>
  <c r="D918" i="3"/>
  <c r="L912" i="3"/>
  <c r="H907" i="3"/>
  <c r="D902" i="3"/>
  <c r="L896" i="3"/>
  <c r="DG4" i="6"/>
  <c r="AU4" i="6"/>
  <c r="EG5" i="5"/>
  <c r="BU5" i="5"/>
  <c r="I5" i="5"/>
  <c r="CU4" i="5"/>
  <c r="AI4" i="5"/>
  <c r="DU5" i="4"/>
  <c r="BI5" i="4"/>
  <c r="EU4" i="4"/>
  <c r="CI4" i="4"/>
  <c r="W4" i="4"/>
  <c r="G997" i="3"/>
  <c r="C992" i="3"/>
  <c r="K986" i="3"/>
  <c r="G981" i="3"/>
  <c r="C976" i="3"/>
  <c r="K970" i="3"/>
  <c r="G965" i="3"/>
  <c r="C960" i="3"/>
  <c r="K954" i="3"/>
  <c r="G949" i="3"/>
  <c r="C944" i="3"/>
  <c r="K938" i="3"/>
  <c r="G933" i="3"/>
  <c r="C928" i="3"/>
  <c r="K922" i="3"/>
  <c r="G917" i="3"/>
  <c r="C912" i="3"/>
  <c r="K906" i="3"/>
  <c r="G901" i="3"/>
  <c r="C896" i="3"/>
  <c r="CP4" i="6"/>
  <c r="AD4" i="6"/>
  <c r="DP5" i="5"/>
  <c r="BD5" i="5"/>
  <c r="EP4" i="5"/>
  <c r="CD4" i="5"/>
  <c r="R4" i="5"/>
  <c r="DD5" i="4"/>
  <c r="AR5" i="4"/>
  <c r="ED4" i="4"/>
  <c r="BR4" i="4"/>
  <c r="F4" i="4"/>
  <c r="B996" i="3"/>
  <c r="J990" i="3"/>
  <c r="F985" i="3"/>
  <c r="B980" i="3"/>
  <c r="J974" i="3"/>
  <c r="F969" i="3"/>
  <c r="B964" i="3"/>
  <c r="J958" i="3"/>
  <c r="F953" i="3"/>
  <c r="B948" i="3"/>
  <c r="J942" i="3"/>
  <c r="F937" i="3"/>
  <c r="B932" i="3"/>
  <c r="J926" i="3"/>
  <c r="F921" i="3"/>
  <c r="B916" i="3"/>
  <c r="J910" i="3"/>
  <c r="F905" i="3"/>
  <c r="B900" i="3"/>
  <c r="J894" i="3"/>
  <c r="BY4" i="6"/>
  <c r="M4" i="6"/>
  <c r="CY5" i="5"/>
  <c r="AM5" i="5"/>
  <c r="DY4" i="5"/>
  <c r="BM4" i="5"/>
  <c r="EQ5" i="4"/>
  <c r="CE5" i="4"/>
  <c r="S5" i="4"/>
  <c r="DE4" i="4"/>
  <c r="AS4" i="4"/>
  <c r="E999" i="3"/>
  <c r="A994" i="3"/>
  <c r="I988" i="3"/>
  <c r="E983" i="3"/>
  <c r="A978" i="3"/>
  <c r="I972" i="3"/>
  <c r="E967" i="3"/>
  <c r="A962" i="3"/>
  <c r="I956" i="3"/>
  <c r="E953" i="3"/>
  <c r="A948" i="3"/>
  <c r="I942" i="3"/>
  <c r="E937" i="3"/>
  <c r="A932" i="3"/>
  <c r="I926" i="3"/>
  <c r="E921" i="3"/>
  <c r="A916" i="3"/>
  <c r="I910" i="3"/>
  <c r="E905" i="3"/>
  <c r="A900" i="3"/>
  <c r="I894" i="3"/>
  <c r="BX4" i="6"/>
  <c r="L4" i="6"/>
  <c r="CX5" i="5"/>
  <c r="AL5" i="5"/>
  <c r="DX4" i="5"/>
  <c r="BL4" i="5"/>
  <c r="EX5" i="4"/>
  <c r="CL5" i="4"/>
  <c r="Z5" i="4"/>
  <c r="DL4" i="4"/>
  <c r="AZ4" i="4"/>
  <c r="L999" i="3"/>
  <c r="H994" i="3"/>
  <c r="D989" i="3"/>
  <c r="L983" i="3"/>
  <c r="H978" i="3"/>
  <c r="D973" i="3"/>
  <c r="L967" i="3"/>
  <c r="H962" i="3"/>
  <c r="D957" i="3"/>
  <c r="L951" i="3"/>
  <c r="H946" i="3"/>
  <c r="D941" i="3"/>
  <c r="L935" i="3"/>
  <c r="H930" i="3"/>
  <c r="D925" i="3"/>
  <c r="L919" i="3"/>
  <c r="H914" i="3"/>
  <c r="D909" i="3"/>
  <c r="L903" i="3"/>
  <c r="H898" i="3"/>
  <c r="D893" i="3"/>
  <c r="BG4" i="6"/>
  <c r="ES5" i="5"/>
  <c r="CG5" i="5"/>
  <c r="U5" i="5"/>
  <c r="DG4" i="5"/>
  <c r="AU4" i="5"/>
  <c r="EG5" i="4"/>
  <c r="BU5" i="4"/>
  <c r="I5" i="4"/>
  <c r="CU4" i="4"/>
  <c r="AI4" i="4"/>
  <c r="G998" i="3"/>
  <c r="C993" i="3"/>
  <c r="K987" i="3"/>
  <c r="G982" i="3"/>
  <c r="C977" i="3"/>
  <c r="K971" i="3"/>
  <c r="G966" i="3"/>
  <c r="C961" i="3"/>
  <c r="K955" i="3"/>
  <c r="G950" i="3"/>
  <c r="C945" i="3"/>
  <c r="K939" i="3"/>
  <c r="G934" i="3"/>
  <c r="C929" i="3"/>
  <c r="K923" i="3"/>
  <c r="G918" i="3"/>
  <c r="C913" i="3"/>
  <c r="K907" i="3"/>
  <c r="G902" i="3"/>
  <c r="C897" i="3"/>
  <c r="DB4" i="6"/>
  <c r="AP4" i="6"/>
  <c r="EB5" i="5"/>
  <c r="BP5" i="5"/>
  <c r="D5" i="5"/>
  <c r="CP4" i="5"/>
  <c r="AD4" i="5"/>
  <c r="DP5" i="4"/>
  <c r="BD5" i="4"/>
  <c r="EP4" i="4"/>
  <c r="CD4" i="4"/>
  <c r="R4" i="4"/>
  <c r="B997" i="3"/>
  <c r="J991" i="3"/>
  <c r="F986" i="3"/>
  <c r="B981" i="3"/>
  <c r="J975" i="3"/>
  <c r="F970" i="3"/>
  <c r="B965" i="3"/>
  <c r="J959" i="3"/>
  <c r="F954" i="3"/>
  <c r="B949" i="3"/>
  <c r="J943" i="3"/>
  <c r="F938" i="3"/>
  <c r="B933" i="3"/>
  <c r="J927" i="3"/>
  <c r="F922" i="3"/>
  <c r="B917" i="3"/>
  <c r="J911" i="3"/>
  <c r="F906" i="3"/>
  <c r="B901" i="3"/>
  <c r="J895" i="3"/>
  <c r="CK4" i="6"/>
  <c r="Y4" i="6"/>
  <c r="DC5" i="5"/>
  <c r="AQ5" i="5"/>
  <c r="EC4" i="5"/>
  <c r="BQ4" i="5"/>
  <c r="E4" i="5"/>
  <c r="CQ5" i="4"/>
  <c r="AE5" i="4"/>
  <c r="DQ4" i="4"/>
  <c r="BE4" i="4"/>
  <c r="I999" i="3"/>
  <c r="E994" i="3"/>
  <c r="A989" i="3"/>
  <c r="I983" i="3"/>
  <c r="E978" i="3"/>
  <c r="A973" i="3"/>
  <c r="I967" i="3"/>
  <c r="E962" i="3"/>
  <c r="A957" i="3"/>
  <c r="I951" i="3"/>
  <c r="E946" i="3"/>
  <c r="A941" i="3"/>
  <c r="I935" i="3"/>
  <c r="E930" i="3"/>
  <c r="A925" i="3"/>
  <c r="I919" i="3"/>
  <c r="E914" i="3"/>
  <c r="A909" i="3"/>
  <c r="I903" i="3"/>
  <c r="E898" i="3"/>
  <c r="A893" i="3"/>
  <c r="C888" i="3"/>
  <c r="K882" i="3"/>
  <c r="G877" i="3"/>
  <c r="C872" i="3"/>
  <c r="K866" i="3"/>
  <c r="G861" i="3"/>
  <c r="C856" i="3"/>
  <c r="K850" i="3"/>
  <c r="G845" i="3"/>
  <c r="C840" i="3"/>
  <c r="K834" i="3"/>
  <c r="G829" i="3"/>
  <c r="C824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G749" i="3"/>
  <c r="C744" i="3"/>
  <c r="K738" i="3"/>
  <c r="G733" i="3"/>
  <c r="C728" i="3"/>
  <c r="F891" i="3"/>
  <c r="B886" i="3"/>
  <c r="J880" i="3"/>
  <c r="F875" i="3"/>
  <c r="B870" i="3"/>
  <c r="J864" i="3"/>
  <c r="F859" i="3"/>
  <c r="B854" i="3"/>
  <c r="J848" i="3"/>
  <c r="F843" i="3"/>
  <c r="B838" i="3"/>
  <c r="J832" i="3"/>
  <c r="F827" i="3"/>
  <c r="B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J752" i="3"/>
  <c r="F747" i="3"/>
  <c r="B742" i="3"/>
  <c r="J736" i="3"/>
  <c r="F731" i="3"/>
  <c r="B726" i="3"/>
  <c r="E889" i="3"/>
  <c r="A884" i="3"/>
  <c r="I878" i="3"/>
  <c r="E873" i="3"/>
  <c r="A868" i="3"/>
  <c r="I862" i="3"/>
  <c r="E857" i="3"/>
  <c r="A852" i="3"/>
  <c r="I846" i="3"/>
  <c r="E841" i="3"/>
  <c r="A836" i="3"/>
  <c r="I830" i="3"/>
  <c r="E825" i="3"/>
  <c r="A820" i="3"/>
  <c r="I814" i="3"/>
  <c r="E809" i="3"/>
  <c r="A804" i="3"/>
  <c r="I798" i="3"/>
  <c r="E793" i="3"/>
  <c r="A788" i="3"/>
  <c r="I782" i="3"/>
  <c r="E777" i="3"/>
  <c r="A772" i="3"/>
  <c r="I766" i="3"/>
  <c r="E761" i="3"/>
  <c r="A756" i="3"/>
  <c r="I750" i="3"/>
  <c r="E745" i="3"/>
  <c r="A740" i="3"/>
  <c r="I734" i="3"/>
  <c r="E729" i="3"/>
  <c r="A724" i="3"/>
  <c r="D887" i="3"/>
  <c r="L881" i="3"/>
  <c r="H876" i="3"/>
  <c r="D871" i="3"/>
  <c r="L865" i="3"/>
  <c r="H860" i="3"/>
  <c r="D855" i="3"/>
  <c r="L849" i="3"/>
  <c r="H844" i="3"/>
  <c r="D839" i="3"/>
  <c r="L833" i="3"/>
  <c r="H828" i="3"/>
  <c r="D823" i="3"/>
  <c r="L817" i="3"/>
  <c r="H812" i="3"/>
  <c r="D807" i="3"/>
  <c r="L801" i="3"/>
  <c r="H796" i="3"/>
  <c r="D791" i="3"/>
  <c r="L785" i="3"/>
  <c r="H780" i="3"/>
  <c r="I952" i="3"/>
  <c r="E947" i="3"/>
  <c r="A942" i="3"/>
  <c r="I936" i="3"/>
  <c r="E931" i="3"/>
  <c r="A926" i="3"/>
  <c r="I920" i="3"/>
  <c r="E915" i="3"/>
  <c r="A910" i="3"/>
  <c r="I904" i="3"/>
  <c r="E899" i="3"/>
  <c r="A894" i="3"/>
  <c r="BP4" i="6"/>
  <c r="D4" i="6"/>
  <c r="CP5" i="5"/>
  <c r="AD5" i="5"/>
  <c r="DP4" i="5"/>
  <c r="BD4" i="5"/>
  <c r="EP5" i="4"/>
  <c r="CD5" i="4"/>
  <c r="R5" i="4"/>
  <c r="DD4" i="4"/>
  <c r="AR4" i="4"/>
  <c r="D999" i="3"/>
  <c r="L993" i="3"/>
  <c r="H988" i="3"/>
  <c r="D983" i="3"/>
  <c r="L977" i="3"/>
  <c r="H972" i="3"/>
  <c r="D967" i="3"/>
  <c r="L961" i="3"/>
  <c r="H956" i="3"/>
  <c r="D951" i="3"/>
  <c r="L945" i="3"/>
  <c r="H940" i="3"/>
  <c r="D935" i="3"/>
  <c r="L929" i="3"/>
  <c r="H924" i="3"/>
  <c r="D919" i="3"/>
  <c r="L913" i="3"/>
  <c r="H908" i="3"/>
  <c r="D903" i="3"/>
  <c r="L897" i="3"/>
  <c r="H892" i="3"/>
  <c r="AY4" i="6"/>
  <c r="EK5" i="5"/>
  <c r="BY5" i="5"/>
  <c r="M5" i="5"/>
  <c r="CY4" i="5"/>
  <c r="AM4" i="5"/>
  <c r="DY5" i="4"/>
  <c r="BM5" i="4"/>
  <c r="A5" i="4"/>
  <c r="CM4" i="4"/>
  <c r="AA4" i="4"/>
  <c r="K997" i="3"/>
  <c r="G992" i="3"/>
  <c r="C987" i="3"/>
  <c r="K981" i="3"/>
  <c r="G976" i="3"/>
  <c r="C971" i="3"/>
  <c r="K965" i="3"/>
  <c r="G960" i="3"/>
  <c r="C955" i="3"/>
  <c r="K949" i="3"/>
  <c r="G944" i="3"/>
  <c r="C939" i="3"/>
  <c r="K933" i="3"/>
  <c r="G928" i="3"/>
  <c r="C923" i="3"/>
  <c r="K917" i="3"/>
  <c r="G912" i="3"/>
  <c r="C907" i="3"/>
  <c r="K901" i="3"/>
  <c r="G896" i="3"/>
  <c r="CT4" i="6"/>
  <c r="AH4" i="6"/>
  <c r="DT5" i="5"/>
  <c r="BH5" i="5"/>
  <c r="ET4" i="5"/>
  <c r="CH4" i="5"/>
  <c r="V4" i="5"/>
  <c r="DH5" i="4"/>
  <c r="AV5" i="4"/>
  <c r="EH4" i="4"/>
  <c r="BV4" i="4"/>
  <c r="J4" i="4"/>
  <c r="F996" i="3"/>
  <c r="B991" i="3"/>
  <c r="J985" i="3"/>
  <c r="F980" i="3"/>
  <c r="B975" i="3"/>
  <c r="J969" i="3"/>
  <c r="F964" i="3"/>
  <c r="B959" i="3"/>
  <c r="J953" i="3"/>
  <c r="F948" i="3"/>
  <c r="B943" i="3"/>
  <c r="J937" i="3"/>
  <c r="F932" i="3"/>
  <c r="B927" i="3"/>
  <c r="J921" i="3"/>
  <c r="F916" i="3"/>
  <c r="B911" i="3"/>
  <c r="J905" i="3"/>
  <c r="F900" i="3"/>
  <c r="B895" i="3"/>
  <c r="CC4" i="6"/>
  <c r="Q4" i="6"/>
  <c r="CU5" i="5"/>
  <c r="AI5" i="5"/>
  <c r="DU4" i="5"/>
  <c r="BI4" i="5"/>
  <c r="EU5" i="4"/>
  <c r="CI5" i="4"/>
  <c r="W5" i="4"/>
  <c r="DI4" i="4"/>
  <c r="AW4" i="4"/>
  <c r="A999" i="3"/>
  <c r="I993" i="3"/>
  <c r="E988" i="3"/>
  <c r="A983" i="3"/>
  <c r="I977" i="3"/>
  <c r="E972" i="3"/>
  <c r="A967" i="3"/>
  <c r="I961" i="3"/>
  <c r="E956" i="3"/>
  <c r="A951" i="3"/>
  <c r="I945" i="3"/>
  <c r="E940" i="3"/>
  <c r="A935" i="3"/>
  <c r="I929" i="3"/>
  <c r="E924" i="3"/>
  <c r="A919" i="3"/>
  <c r="I913" i="3"/>
  <c r="E908" i="3"/>
  <c r="A903" i="3"/>
  <c r="I897" i="3"/>
  <c r="E892" i="3"/>
  <c r="G887" i="3"/>
  <c r="C882" i="3"/>
  <c r="K876" i="3"/>
  <c r="G871" i="3"/>
  <c r="C866" i="3"/>
  <c r="K860" i="3"/>
  <c r="G855" i="3"/>
  <c r="C850" i="3"/>
  <c r="K844" i="3"/>
  <c r="G839" i="3"/>
  <c r="C834" i="3"/>
  <c r="K828" i="3"/>
  <c r="G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C754" i="3"/>
  <c r="K748" i="3"/>
  <c r="G743" i="3"/>
  <c r="C738" i="3"/>
  <c r="K732" i="3"/>
  <c r="G727" i="3"/>
  <c r="J890" i="3"/>
  <c r="F885" i="3"/>
  <c r="B880" i="3"/>
  <c r="J874" i="3"/>
  <c r="F869" i="3"/>
  <c r="B864" i="3"/>
  <c r="J858" i="3"/>
  <c r="F853" i="3"/>
  <c r="B848" i="3"/>
  <c r="J842" i="3"/>
  <c r="F837" i="3"/>
  <c r="B832" i="3"/>
  <c r="J826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B752" i="3"/>
  <c r="J746" i="3"/>
  <c r="F741" i="3"/>
  <c r="B736" i="3"/>
  <c r="J730" i="3"/>
  <c r="F725" i="3"/>
  <c r="I888" i="3"/>
  <c r="E883" i="3"/>
  <c r="A878" i="3"/>
  <c r="I872" i="3"/>
  <c r="E867" i="3"/>
  <c r="A862" i="3"/>
  <c r="I856" i="3"/>
  <c r="E851" i="3"/>
  <c r="A846" i="3"/>
  <c r="I840" i="3"/>
  <c r="E835" i="3"/>
  <c r="A830" i="3"/>
  <c r="I824" i="3"/>
  <c r="E819" i="3"/>
  <c r="A814" i="3"/>
  <c r="I808" i="3"/>
  <c r="E803" i="3"/>
  <c r="A798" i="3"/>
  <c r="I792" i="3"/>
  <c r="E787" i="3"/>
  <c r="A782" i="3"/>
  <c r="I776" i="3"/>
  <c r="E771" i="3"/>
  <c r="A766" i="3"/>
  <c r="I760" i="3"/>
  <c r="E755" i="3"/>
  <c r="A750" i="3"/>
  <c r="I744" i="3"/>
  <c r="E739" i="3"/>
  <c r="A734" i="3"/>
  <c r="I728" i="3"/>
  <c r="L891" i="3"/>
  <c r="H886" i="3"/>
  <c r="D881" i="3"/>
  <c r="L875" i="3"/>
  <c r="H870" i="3"/>
  <c r="D865" i="3"/>
  <c r="L859" i="3"/>
  <c r="H854" i="3"/>
  <c r="D849" i="3"/>
  <c r="L843" i="3"/>
  <c r="H838" i="3"/>
  <c r="D833" i="3"/>
  <c r="L827" i="3"/>
  <c r="H822" i="3"/>
  <c r="D817" i="3"/>
  <c r="L811" i="3"/>
  <c r="H806" i="3"/>
  <c r="D801" i="3"/>
  <c r="L795" i="3"/>
  <c r="H790" i="3"/>
  <c r="D785" i="3"/>
  <c r="L779" i="3"/>
  <c r="A952" i="3"/>
  <c r="I946" i="3"/>
  <c r="E941" i="3"/>
  <c r="A936" i="3"/>
  <c r="I930" i="3"/>
  <c r="E925" i="3"/>
  <c r="A920" i="3"/>
  <c r="I914" i="3"/>
  <c r="E909" i="3"/>
  <c r="A904" i="3"/>
  <c r="I898" i="3"/>
  <c r="E893" i="3"/>
  <c r="BH4" i="6"/>
  <c r="ET5" i="5"/>
  <c r="CH5" i="5"/>
  <c r="V5" i="5"/>
  <c r="DH4" i="5"/>
  <c r="AV4" i="5"/>
  <c r="EH5" i="4"/>
  <c r="BV5" i="4"/>
  <c r="J5" i="4"/>
  <c r="CV4" i="4"/>
  <c r="AJ4" i="4"/>
  <c r="H998" i="3"/>
  <c r="D993" i="3"/>
  <c r="L987" i="3"/>
  <c r="H982" i="3"/>
  <c r="D977" i="3"/>
  <c r="L971" i="3"/>
  <c r="H966" i="3"/>
  <c r="D961" i="3"/>
  <c r="L955" i="3"/>
  <c r="H950" i="3"/>
  <c r="D945" i="3"/>
  <c r="L939" i="3"/>
  <c r="H934" i="3"/>
  <c r="D929" i="3"/>
  <c r="L923" i="3"/>
  <c r="H918" i="3"/>
  <c r="D913" i="3"/>
  <c r="L907" i="3"/>
  <c r="H902" i="3"/>
  <c r="D897" i="3"/>
  <c r="DC4" i="6"/>
  <c r="AQ4" i="6"/>
  <c r="EC5" i="5"/>
  <c r="BQ5" i="5"/>
  <c r="E5" i="5"/>
  <c r="CQ4" i="5"/>
  <c r="AE4" i="5"/>
  <c r="DQ5" i="4"/>
  <c r="BE5" i="4"/>
  <c r="EQ4" i="4"/>
  <c r="CE4" i="4"/>
  <c r="S4" i="4"/>
  <c r="C997" i="3"/>
  <c r="K991" i="3"/>
  <c r="G986" i="3"/>
  <c r="C981" i="3"/>
  <c r="K975" i="3"/>
  <c r="G970" i="3"/>
  <c r="C965" i="3"/>
  <c r="K959" i="3"/>
  <c r="G954" i="3"/>
  <c r="C949" i="3"/>
  <c r="K943" i="3"/>
  <c r="G938" i="3"/>
  <c r="C933" i="3"/>
  <c r="K927" i="3"/>
  <c r="G922" i="3"/>
  <c r="C917" i="3"/>
  <c r="K911" i="3"/>
  <c r="G906" i="3"/>
  <c r="C901" i="3"/>
  <c r="K895" i="3"/>
  <c r="CL4" i="6"/>
  <c r="Z4" i="6"/>
  <c r="DL5" i="5"/>
  <c r="AZ5" i="5"/>
  <c r="EL4" i="5"/>
  <c r="BZ4" i="5"/>
  <c r="N4" i="5"/>
  <c r="CZ5" i="4"/>
  <c r="AN5" i="4"/>
  <c r="DZ4" i="4"/>
  <c r="BN4" i="4"/>
  <c r="B4" i="4"/>
  <c r="J995" i="3"/>
  <c r="F990" i="3"/>
  <c r="B985" i="3"/>
  <c r="J979" i="3"/>
  <c r="F974" i="3"/>
  <c r="B969" i="3"/>
  <c r="J963" i="3"/>
  <c r="F958" i="3"/>
  <c r="B953" i="3"/>
  <c r="J947" i="3"/>
  <c r="F942" i="3"/>
  <c r="B937" i="3"/>
  <c r="J931" i="3"/>
  <c r="F926" i="3"/>
  <c r="B921" i="3"/>
  <c r="J915" i="3"/>
  <c r="F910" i="3"/>
  <c r="B905" i="3"/>
  <c r="J899" i="3"/>
  <c r="F894" i="3"/>
  <c r="BU4" i="6"/>
  <c r="I4" i="6"/>
  <c r="CM5" i="5"/>
  <c r="AA5" i="5"/>
  <c r="DM4" i="5"/>
  <c r="BA4" i="5"/>
  <c r="EM5" i="4"/>
  <c r="CA5" i="4"/>
  <c r="O5" i="4"/>
  <c r="DA4" i="4"/>
  <c r="AO4" i="4"/>
  <c r="E998" i="3"/>
  <c r="A993" i="3"/>
  <c r="I987" i="3"/>
  <c r="E982" i="3"/>
  <c r="A977" i="3"/>
  <c r="I971" i="3"/>
  <c r="E966" i="3"/>
  <c r="A961" i="3"/>
  <c r="I955" i="3"/>
  <c r="E950" i="3"/>
  <c r="A945" i="3"/>
  <c r="I939" i="3"/>
  <c r="E934" i="3"/>
  <c r="A929" i="3"/>
  <c r="I923" i="3"/>
  <c r="E918" i="3"/>
  <c r="A913" i="3"/>
  <c r="I907" i="3"/>
  <c r="E902" i="3"/>
  <c r="A897" i="3"/>
  <c r="C892" i="3"/>
  <c r="K886" i="3"/>
  <c r="G881" i="3"/>
  <c r="C876" i="3"/>
  <c r="K870" i="3"/>
  <c r="G865" i="3"/>
  <c r="C860" i="3"/>
  <c r="K854" i="3"/>
  <c r="G849" i="3"/>
  <c r="C844" i="3"/>
  <c r="K838" i="3"/>
  <c r="G833" i="3"/>
  <c r="C828" i="3"/>
  <c r="K822" i="3"/>
  <c r="G817" i="3"/>
  <c r="C812" i="3"/>
  <c r="K806" i="3"/>
  <c r="G801" i="3"/>
  <c r="C796" i="3"/>
  <c r="K790" i="3"/>
  <c r="G785" i="3"/>
  <c r="C780" i="3"/>
  <c r="K774" i="3"/>
  <c r="G769" i="3"/>
  <c r="C764" i="3"/>
  <c r="K758" i="3"/>
  <c r="G753" i="3"/>
  <c r="C748" i="3"/>
  <c r="K742" i="3"/>
  <c r="G737" i="3"/>
  <c r="C732" i="3"/>
  <c r="K726" i="3"/>
  <c r="B890" i="3"/>
  <c r="J884" i="3"/>
  <c r="F879" i="3"/>
  <c r="B874" i="3"/>
  <c r="J868" i="3"/>
  <c r="F863" i="3"/>
  <c r="B858" i="3"/>
  <c r="J852" i="3"/>
  <c r="F847" i="3"/>
  <c r="B842" i="3"/>
  <c r="J836" i="3"/>
  <c r="F831" i="3"/>
  <c r="B826" i="3"/>
  <c r="J820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F751" i="3"/>
  <c r="B746" i="3"/>
  <c r="J740" i="3"/>
  <c r="F735" i="3"/>
  <c r="B730" i="3"/>
  <c r="J724" i="3"/>
  <c r="A888" i="3"/>
  <c r="I882" i="3"/>
  <c r="E877" i="3"/>
  <c r="A872" i="3"/>
  <c r="I866" i="3"/>
  <c r="E861" i="3"/>
  <c r="A856" i="3"/>
  <c r="I850" i="3"/>
  <c r="E845" i="3"/>
  <c r="A840" i="3"/>
  <c r="I834" i="3"/>
  <c r="E829" i="3"/>
  <c r="A824" i="3"/>
  <c r="I818" i="3"/>
  <c r="E813" i="3"/>
  <c r="A808" i="3"/>
  <c r="I802" i="3"/>
  <c r="E797" i="3"/>
  <c r="A792" i="3"/>
  <c r="I786" i="3"/>
  <c r="E781" i="3"/>
  <c r="A776" i="3"/>
  <c r="I770" i="3"/>
  <c r="E765" i="3"/>
  <c r="A760" i="3"/>
  <c r="I754" i="3"/>
  <c r="E749" i="3"/>
  <c r="A744" i="3"/>
  <c r="I738" i="3"/>
  <c r="E733" i="3"/>
  <c r="A728" i="3"/>
  <c r="D891" i="3"/>
  <c r="L885" i="3"/>
  <c r="H880" i="3"/>
  <c r="D875" i="3"/>
  <c r="L869" i="3"/>
  <c r="H864" i="3"/>
  <c r="D859" i="3"/>
  <c r="L853" i="3"/>
  <c r="H848" i="3"/>
  <c r="D843" i="3"/>
  <c r="L837" i="3"/>
  <c r="H832" i="3"/>
  <c r="D827" i="3"/>
  <c r="L821" i="3"/>
  <c r="H816" i="3"/>
  <c r="D811" i="3"/>
  <c r="L805" i="3"/>
  <c r="H800" i="3"/>
  <c r="D795" i="3"/>
  <c r="L789" i="3"/>
  <c r="H784" i="3"/>
  <c r="D779" i="3"/>
  <c r="E951" i="3"/>
  <c r="A946" i="3"/>
  <c r="I940" i="3"/>
  <c r="E935" i="3"/>
  <c r="A930" i="3"/>
  <c r="I924" i="3"/>
  <c r="E919" i="3"/>
  <c r="A914" i="3"/>
  <c r="I908" i="3"/>
  <c r="E903" i="3"/>
  <c r="A898" i="3"/>
  <c r="I892" i="3"/>
  <c r="AZ4" i="6"/>
  <c r="EL5" i="5"/>
  <c r="BZ5" i="5"/>
  <c r="N5" i="5"/>
  <c r="CZ4" i="5"/>
  <c r="AN4" i="5"/>
  <c r="DZ5" i="4"/>
  <c r="BN5" i="4"/>
  <c r="B5" i="4"/>
  <c r="CN4" i="4"/>
  <c r="AB4" i="4"/>
  <c r="L997" i="3"/>
  <c r="H992" i="3"/>
  <c r="D987" i="3"/>
  <c r="L981" i="3"/>
  <c r="H976" i="3"/>
  <c r="D971" i="3"/>
  <c r="L965" i="3"/>
  <c r="H960" i="3"/>
  <c r="D955" i="3"/>
  <c r="L949" i="3"/>
  <c r="H944" i="3"/>
  <c r="D939" i="3"/>
  <c r="L933" i="3"/>
  <c r="H928" i="3"/>
  <c r="D923" i="3"/>
  <c r="L917" i="3"/>
  <c r="H912" i="3"/>
  <c r="D907" i="3"/>
  <c r="L901" i="3"/>
  <c r="H896" i="3"/>
  <c r="CU4" i="6"/>
  <c r="AI4" i="6"/>
  <c r="DU5" i="5"/>
  <c r="BI5" i="5"/>
  <c r="EU4" i="5"/>
  <c r="CI4" i="5"/>
  <c r="W4" i="5"/>
  <c r="DI5" i="4"/>
  <c r="AW5" i="4"/>
  <c r="EI4" i="4"/>
  <c r="BW4" i="4"/>
  <c r="K4" i="4"/>
  <c r="G996" i="3"/>
  <c r="C991" i="3"/>
  <c r="K985" i="3"/>
  <c r="G980" i="3"/>
  <c r="C975" i="3"/>
  <c r="K969" i="3"/>
  <c r="G964" i="3"/>
  <c r="C959" i="3"/>
  <c r="K953" i="3"/>
  <c r="G948" i="3"/>
  <c r="C943" i="3"/>
  <c r="K937" i="3"/>
  <c r="G932" i="3"/>
  <c r="C927" i="3"/>
  <c r="K921" i="3"/>
  <c r="G916" i="3"/>
  <c r="C911" i="3"/>
  <c r="K905" i="3"/>
  <c r="G900" i="3"/>
  <c r="C895" i="3"/>
  <c r="CD4" i="6"/>
  <c r="R4" i="6"/>
  <c r="DD5" i="5"/>
  <c r="AR5" i="5"/>
  <c r="ED4" i="5"/>
  <c r="BR4" i="5"/>
  <c r="F4" i="5"/>
  <c r="CR5" i="4"/>
  <c r="AF5" i="4"/>
  <c r="DR4" i="4"/>
  <c r="BF4" i="4"/>
  <c r="F1000" i="3"/>
  <c r="B995" i="3"/>
  <c r="J989" i="3"/>
  <c r="F984" i="3"/>
  <c r="B979" i="3"/>
  <c r="J973" i="3"/>
  <c r="F968" i="3"/>
  <c r="B963" i="3"/>
  <c r="J957" i="3"/>
  <c r="F952" i="3"/>
  <c r="B947" i="3"/>
  <c r="J941" i="3"/>
  <c r="F936" i="3"/>
  <c r="B931" i="3"/>
  <c r="J925" i="3"/>
  <c r="F920" i="3"/>
  <c r="B915" i="3"/>
  <c r="J909" i="3"/>
  <c r="F904" i="3"/>
  <c r="B899" i="3"/>
  <c r="J893" i="3"/>
  <c r="BM4" i="6"/>
  <c r="EQ5" i="5"/>
  <c r="CE5" i="5"/>
  <c r="S5" i="5"/>
  <c r="DE4" i="5"/>
  <c r="AS4" i="5"/>
  <c r="EE5" i="4"/>
  <c r="BS5" i="4"/>
  <c r="G5" i="4"/>
  <c r="CS4" i="4"/>
  <c r="AG4" i="4"/>
  <c r="I997" i="3"/>
  <c r="E992" i="3"/>
  <c r="A987" i="3"/>
  <c r="I981" i="3"/>
  <c r="E976" i="3"/>
  <c r="A971" i="3"/>
  <c r="I965" i="3"/>
  <c r="E960" i="3"/>
  <c r="A955" i="3"/>
  <c r="I949" i="3"/>
  <c r="E944" i="3"/>
  <c r="A939" i="3"/>
  <c r="I933" i="3"/>
  <c r="E928" i="3"/>
  <c r="A923" i="3"/>
  <c r="I917" i="3"/>
  <c r="E912" i="3"/>
  <c r="A907" i="3"/>
  <c r="I901" i="3"/>
  <c r="E896" i="3"/>
  <c r="G891" i="3"/>
  <c r="C886" i="3"/>
  <c r="K880" i="3"/>
  <c r="G875" i="3"/>
  <c r="C870" i="3"/>
  <c r="K864" i="3"/>
  <c r="G859" i="3"/>
  <c r="C854" i="3"/>
  <c r="K848" i="3"/>
  <c r="G843" i="3"/>
  <c r="C838" i="3"/>
  <c r="K832" i="3"/>
  <c r="G827" i="3"/>
  <c r="C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K752" i="3"/>
  <c r="G747" i="3"/>
  <c r="C742" i="3"/>
  <c r="K736" i="3"/>
  <c r="G731" i="3"/>
  <c r="C726" i="3"/>
  <c r="F889" i="3"/>
  <c r="B884" i="3"/>
  <c r="J878" i="3"/>
  <c r="F873" i="3"/>
  <c r="B868" i="3"/>
  <c r="J862" i="3"/>
  <c r="F857" i="3"/>
  <c r="B852" i="3"/>
  <c r="J846" i="3"/>
  <c r="F841" i="3"/>
  <c r="B836" i="3"/>
  <c r="J830" i="3"/>
  <c r="F825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J750" i="3"/>
  <c r="F745" i="3"/>
  <c r="B740" i="3"/>
  <c r="J734" i="3"/>
  <c r="F729" i="3"/>
  <c r="B724" i="3"/>
  <c r="E887" i="3"/>
  <c r="A882" i="3"/>
  <c r="I876" i="3"/>
  <c r="E871" i="3"/>
  <c r="A866" i="3"/>
  <c r="I860" i="3"/>
  <c r="E855" i="3"/>
  <c r="A850" i="3"/>
  <c r="I844" i="3"/>
  <c r="E839" i="3"/>
  <c r="A834" i="3"/>
  <c r="I828" i="3"/>
  <c r="E823" i="3"/>
  <c r="A818" i="3"/>
  <c r="I812" i="3"/>
  <c r="E807" i="3"/>
  <c r="A802" i="3"/>
  <c r="I796" i="3"/>
  <c r="E791" i="3"/>
  <c r="A786" i="3"/>
  <c r="I780" i="3"/>
  <c r="E775" i="3"/>
  <c r="A770" i="3"/>
  <c r="I764" i="3"/>
  <c r="E759" i="3"/>
  <c r="A754" i="3"/>
  <c r="I748" i="3"/>
  <c r="E743" i="3"/>
  <c r="A738" i="3"/>
  <c r="I732" i="3"/>
  <c r="E727" i="3"/>
  <c r="H890" i="3"/>
  <c r="D885" i="3"/>
  <c r="L879" i="3"/>
  <c r="H874" i="3"/>
  <c r="D869" i="3"/>
  <c r="L863" i="3"/>
  <c r="H858" i="3"/>
  <c r="D853" i="3"/>
  <c r="L847" i="3"/>
  <c r="H842" i="3"/>
  <c r="D837" i="3"/>
  <c r="L831" i="3"/>
  <c r="H826" i="3"/>
  <c r="D821" i="3"/>
  <c r="L815" i="3"/>
  <c r="H810" i="3"/>
  <c r="D805" i="3"/>
  <c r="L799" i="3"/>
  <c r="H794" i="3"/>
  <c r="D789" i="3"/>
  <c r="L783" i="3"/>
  <c r="H778" i="3"/>
  <c r="D773" i="3"/>
  <c r="I950" i="3"/>
  <c r="E945" i="3"/>
  <c r="A940" i="3"/>
  <c r="I934" i="3"/>
  <c r="E929" i="3"/>
  <c r="A924" i="3"/>
  <c r="I918" i="3"/>
  <c r="E913" i="3"/>
  <c r="A908" i="3"/>
  <c r="I902" i="3"/>
  <c r="E897" i="3"/>
  <c r="DD4" i="6"/>
  <c r="AR4" i="6"/>
  <c r="ED5" i="5"/>
  <c r="BR5" i="5"/>
  <c r="F5" i="5"/>
  <c r="CR4" i="5"/>
  <c r="AF4" i="5"/>
  <c r="DR5" i="4"/>
  <c r="BF5" i="4"/>
  <c r="ER4" i="4"/>
  <c r="CF4" i="4"/>
  <c r="T4" i="4"/>
  <c r="D997" i="3"/>
  <c r="L991" i="3"/>
  <c r="H986" i="3"/>
  <c r="D981" i="3"/>
  <c r="L975" i="3"/>
  <c r="H970" i="3"/>
  <c r="D965" i="3"/>
  <c r="L959" i="3"/>
  <c r="H954" i="3"/>
  <c r="D949" i="3"/>
  <c r="L943" i="3"/>
  <c r="H938" i="3"/>
  <c r="D933" i="3"/>
  <c r="L927" i="3"/>
  <c r="H922" i="3"/>
  <c r="D917" i="3"/>
  <c r="L911" i="3"/>
  <c r="H906" i="3"/>
  <c r="D901" i="3"/>
  <c r="L895" i="3"/>
  <c r="CM4" i="6"/>
  <c r="AA4" i="6"/>
  <c r="DM5" i="5"/>
  <c r="BA5" i="5"/>
  <c r="EM4" i="5"/>
  <c r="CA4" i="5"/>
  <c r="O4" i="5"/>
  <c r="DA5" i="4"/>
  <c r="AO5" i="4"/>
  <c r="EA4" i="4"/>
  <c r="BO4" i="4"/>
  <c r="C4" i="4"/>
  <c r="K995" i="3"/>
  <c r="G990" i="3"/>
  <c r="C985" i="3"/>
  <c r="K979" i="3"/>
  <c r="G974" i="3"/>
  <c r="C969" i="3"/>
  <c r="K963" i="3"/>
  <c r="G958" i="3"/>
  <c r="C953" i="3"/>
  <c r="K947" i="3"/>
  <c r="G942" i="3"/>
  <c r="C937" i="3"/>
  <c r="K931" i="3"/>
  <c r="G926" i="3"/>
  <c r="C921" i="3"/>
  <c r="K915" i="3"/>
  <c r="G910" i="3"/>
  <c r="C905" i="3"/>
  <c r="K899" i="3"/>
  <c r="G894" i="3"/>
  <c r="BV4" i="6"/>
  <c r="J4" i="6"/>
  <c r="CV5" i="5"/>
  <c r="AJ5" i="5"/>
  <c r="DV4" i="5"/>
  <c r="BJ4" i="5"/>
  <c r="EV5" i="4"/>
  <c r="CJ5" i="4"/>
  <c r="X5" i="4"/>
  <c r="DJ4" i="4"/>
  <c r="AX4" i="4"/>
  <c r="J999" i="3"/>
  <c r="F994" i="3"/>
  <c r="B989" i="3"/>
  <c r="J983" i="3"/>
  <c r="F978" i="3"/>
  <c r="B973" i="3"/>
  <c r="J967" i="3"/>
  <c r="F962" i="3"/>
  <c r="B957" i="3"/>
  <c r="J951" i="3"/>
  <c r="F946" i="3"/>
  <c r="B941" i="3"/>
  <c r="J935" i="3"/>
  <c r="F930" i="3"/>
  <c r="B925" i="3"/>
  <c r="J919" i="3"/>
  <c r="F914" i="3"/>
  <c r="B909" i="3"/>
  <c r="J903" i="3"/>
  <c r="F898" i="3"/>
  <c r="B893" i="3"/>
  <c r="BE4" i="6"/>
  <c r="EI5" i="5"/>
  <c r="BW5" i="5"/>
  <c r="K5" i="5"/>
  <c r="CW4" i="5"/>
  <c r="AK4" i="5"/>
  <c r="DW5" i="4"/>
  <c r="BK5" i="4"/>
  <c r="EW4" i="4"/>
  <c r="CK4" i="4"/>
  <c r="Y4" i="4"/>
  <c r="A997" i="3"/>
  <c r="I991" i="3"/>
  <c r="E986" i="3"/>
  <c r="A981" i="3"/>
  <c r="I975" i="3"/>
  <c r="E970" i="3"/>
  <c r="A965" i="3"/>
  <c r="I959" i="3"/>
  <c r="E954" i="3"/>
  <c r="A949" i="3"/>
  <c r="I943" i="3"/>
  <c r="E938" i="3"/>
  <c r="A933" i="3"/>
  <c r="I927" i="3"/>
  <c r="E922" i="3"/>
  <c r="A917" i="3"/>
  <c r="I911" i="3"/>
  <c r="E906" i="3"/>
  <c r="A901" i="3"/>
  <c r="I895" i="3"/>
  <c r="K890" i="3"/>
  <c r="G885" i="3"/>
  <c r="C880" i="3"/>
  <c r="K874" i="3"/>
  <c r="G869" i="3"/>
  <c r="C864" i="3"/>
  <c r="K858" i="3"/>
  <c r="G853" i="3"/>
  <c r="C848" i="3"/>
  <c r="K842" i="3"/>
  <c r="G837" i="3"/>
  <c r="C832" i="3"/>
  <c r="K826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C752" i="3"/>
  <c r="K746" i="3"/>
  <c r="G741" i="3"/>
  <c r="C736" i="3"/>
  <c r="K730" i="3"/>
  <c r="G725" i="3"/>
  <c r="J888" i="3"/>
  <c r="F883" i="3"/>
  <c r="B878" i="3"/>
  <c r="J872" i="3"/>
  <c r="F867" i="3"/>
  <c r="B862" i="3"/>
  <c r="J856" i="3"/>
  <c r="F851" i="3"/>
  <c r="B846" i="3"/>
  <c r="J840" i="3"/>
  <c r="F835" i="3"/>
  <c r="B830" i="3"/>
  <c r="J824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B750" i="3"/>
  <c r="J744" i="3"/>
  <c r="F739" i="3"/>
  <c r="B734" i="3"/>
  <c r="J728" i="3"/>
  <c r="A892" i="3"/>
  <c r="I886" i="3"/>
  <c r="E881" i="3"/>
  <c r="A876" i="3"/>
  <c r="I870" i="3"/>
  <c r="E865" i="3"/>
  <c r="A860" i="3"/>
  <c r="I854" i="3"/>
  <c r="E849" i="3"/>
  <c r="A844" i="3"/>
  <c r="I838" i="3"/>
  <c r="E833" i="3"/>
  <c r="A828" i="3"/>
  <c r="I822" i="3"/>
  <c r="E817" i="3"/>
  <c r="A812" i="3"/>
  <c r="I806" i="3"/>
  <c r="E801" i="3"/>
  <c r="A796" i="3"/>
  <c r="I790" i="3"/>
  <c r="E785" i="3"/>
  <c r="A780" i="3"/>
  <c r="I774" i="3"/>
  <c r="E769" i="3"/>
  <c r="A764" i="3"/>
  <c r="I758" i="3"/>
  <c r="E753" i="3"/>
  <c r="A748" i="3"/>
  <c r="I742" i="3"/>
  <c r="E737" i="3"/>
  <c r="A732" i="3"/>
  <c r="I726" i="3"/>
  <c r="L889" i="3"/>
  <c r="H884" i="3"/>
  <c r="D879" i="3"/>
  <c r="L873" i="3"/>
  <c r="H868" i="3"/>
  <c r="D863" i="3"/>
  <c r="L857" i="3"/>
  <c r="H852" i="3"/>
  <c r="D847" i="3"/>
  <c r="L841" i="3"/>
  <c r="H836" i="3"/>
  <c r="D831" i="3"/>
  <c r="L825" i="3"/>
  <c r="H820" i="3"/>
  <c r="D815" i="3"/>
  <c r="L809" i="3"/>
  <c r="H804" i="3"/>
  <c r="D799" i="3"/>
  <c r="L793" i="3"/>
  <c r="H788" i="3"/>
  <c r="D783" i="3"/>
  <c r="L777" i="3"/>
  <c r="H772" i="3"/>
  <c r="A950" i="3"/>
  <c r="I944" i="3"/>
  <c r="E939" i="3"/>
  <c r="A934" i="3"/>
  <c r="I928" i="3"/>
  <c r="E923" i="3"/>
  <c r="A918" i="3"/>
  <c r="I912" i="3"/>
  <c r="E907" i="3"/>
  <c r="A902" i="3"/>
  <c r="I896" i="3"/>
  <c r="CV4" i="6"/>
  <c r="AJ4" i="6"/>
  <c r="DV5" i="5"/>
  <c r="BJ5" i="5"/>
  <c r="EV4" i="5"/>
  <c r="CJ4" i="5"/>
  <c r="X4" i="5"/>
  <c r="DJ5" i="4"/>
  <c r="AX5" i="4"/>
  <c r="EJ4" i="4"/>
  <c r="BX4" i="4"/>
  <c r="L4" i="4"/>
  <c r="H996" i="3"/>
  <c r="D991" i="3"/>
  <c r="L985" i="3"/>
  <c r="H980" i="3"/>
  <c r="D975" i="3"/>
  <c r="L969" i="3"/>
  <c r="H964" i="3"/>
  <c r="D959" i="3"/>
  <c r="L953" i="3"/>
  <c r="H948" i="3"/>
  <c r="D943" i="3"/>
  <c r="L937" i="3"/>
  <c r="H932" i="3"/>
  <c r="D927" i="3"/>
  <c r="L921" i="3"/>
  <c r="H916" i="3"/>
  <c r="D911" i="3"/>
  <c r="L905" i="3"/>
  <c r="H900" i="3"/>
  <c r="D895" i="3"/>
  <c r="CE4" i="6"/>
  <c r="S4" i="6"/>
  <c r="DE5" i="5"/>
  <c r="AS5" i="5"/>
  <c r="EE4" i="5"/>
  <c r="BS4" i="5"/>
  <c r="G4" i="5"/>
  <c r="CS5" i="4"/>
  <c r="AG5" i="4"/>
  <c r="DS4" i="4"/>
  <c r="BG4" i="4"/>
  <c r="G1000" i="3"/>
  <c r="C995" i="3"/>
  <c r="K989" i="3"/>
  <c r="G984" i="3"/>
  <c r="C979" i="3"/>
  <c r="K973" i="3"/>
  <c r="G968" i="3"/>
  <c r="C963" i="3"/>
  <c r="K957" i="3"/>
  <c r="G952" i="3"/>
  <c r="C947" i="3"/>
  <c r="K941" i="3"/>
  <c r="G936" i="3"/>
  <c r="C931" i="3"/>
  <c r="K925" i="3"/>
  <c r="G920" i="3"/>
  <c r="C915" i="3"/>
  <c r="K909" i="3"/>
  <c r="G904" i="3"/>
  <c r="C899" i="3"/>
  <c r="K893" i="3"/>
  <c r="BN4" i="6"/>
  <c r="B4" i="6"/>
  <c r="CN5" i="5"/>
  <c r="AB5" i="5"/>
  <c r="DN4" i="5"/>
  <c r="BB4" i="5"/>
  <c r="EN5" i="4"/>
  <c r="CB5" i="4"/>
  <c r="P5" i="4"/>
  <c r="DB4" i="4"/>
  <c r="AP4" i="4"/>
  <c r="B999" i="3"/>
  <c r="J993" i="3"/>
  <c r="F988" i="3"/>
  <c r="B983" i="3"/>
  <c r="J977" i="3"/>
  <c r="F972" i="3"/>
  <c r="B967" i="3"/>
  <c r="J961" i="3"/>
  <c r="F956" i="3"/>
  <c r="B951" i="3"/>
  <c r="J945" i="3"/>
  <c r="F940" i="3"/>
  <c r="B935" i="3"/>
  <c r="J929" i="3"/>
  <c r="F924" i="3"/>
  <c r="B919" i="3"/>
  <c r="J913" i="3"/>
  <c r="F908" i="3"/>
  <c r="B903" i="3"/>
  <c r="J897" i="3"/>
  <c r="F892" i="3"/>
  <c r="AW4" i="6"/>
  <c r="EA5" i="5"/>
  <c r="BO5" i="5"/>
  <c r="C5" i="5"/>
  <c r="CO4" i="5"/>
  <c r="AC4" i="5"/>
  <c r="DO5" i="4"/>
  <c r="BC5" i="4"/>
  <c r="EO4" i="4"/>
  <c r="CC4" i="4"/>
  <c r="Q4" i="4"/>
  <c r="E996" i="3"/>
  <c r="A991" i="3"/>
  <c r="I985" i="3"/>
  <c r="E980" i="3"/>
  <c r="A975" i="3"/>
  <c r="I969" i="3"/>
  <c r="E964" i="3"/>
  <c r="A959" i="3"/>
  <c r="I953" i="3"/>
  <c r="E948" i="3"/>
  <c r="A943" i="3"/>
  <c r="I937" i="3"/>
  <c r="E932" i="3"/>
  <c r="A927" i="3"/>
  <c r="I921" i="3"/>
  <c r="E916" i="3"/>
  <c r="A911" i="3"/>
  <c r="I905" i="3"/>
  <c r="E900" i="3"/>
  <c r="A895" i="3"/>
  <c r="C890" i="3"/>
  <c r="K884" i="3"/>
  <c r="G879" i="3"/>
  <c r="C874" i="3"/>
  <c r="K868" i="3"/>
  <c r="G863" i="3"/>
  <c r="C858" i="3"/>
  <c r="K852" i="3"/>
  <c r="G847" i="3"/>
  <c r="C842" i="3"/>
  <c r="K836" i="3"/>
  <c r="G831" i="3"/>
  <c r="C826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G751" i="3"/>
  <c r="C746" i="3"/>
  <c r="K740" i="3"/>
  <c r="G735" i="3"/>
  <c r="C730" i="3"/>
  <c r="K724" i="3"/>
  <c r="B888" i="3"/>
  <c r="J882" i="3"/>
  <c r="F877" i="3"/>
  <c r="B872" i="3"/>
  <c r="J866" i="3"/>
  <c r="F861" i="3"/>
  <c r="B856" i="3"/>
  <c r="J850" i="3"/>
  <c r="F845" i="3"/>
  <c r="B840" i="3"/>
  <c r="J834" i="3"/>
  <c r="F829" i="3"/>
  <c r="B824" i="3"/>
  <c r="J818" i="3"/>
  <c r="F813" i="3"/>
  <c r="B808" i="3"/>
  <c r="J802" i="3"/>
  <c r="F797" i="3"/>
  <c r="B792" i="3"/>
  <c r="J786" i="3"/>
  <c r="F781" i="3"/>
  <c r="B776" i="3"/>
  <c r="J770" i="3"/>
  <c r="F765" i="3"/>
  <c r="B760" i="3"/>
  <c r="J754" i="3"/>
  <c r="F749" i="3"/>
  <c r="B744" i="3"/>
  <c r="J738" i="3"/>
  <c r="F733" i="3"/>
  <c r="B728" i="3"/>
  <c r="E891" i="3"/>
  <c r="A886" i="3"/>
  <c r="I880" i="3"/>
  <c r="E875" i="3"/>
  <c r="A870" i="3"/>
  <c r="I864" i="3"/>
  <c r="E859" i="3"/>
  <c r="A854" i="3"/>
  <c r="I848" i="3"/>
  <c r="E843" i="3"/>
  <c r="A838" i="3"/>
  <c r="I832" i="3"/>
  <c r="E827" i="3"/>
  <c r="A822" i="3"/>
  <c r="I816" i="3"/>
  <c r="E811" i="3"/>
  <c r="A806" i="3"/>
  <c r="I800" i="3"/>
  <c r="E795" i="3"/>
  <c r="A790" i="3"/>
  <c r="I784" i="3"/>
  <c r="E779" i="3"/>
  <c r="A774" i="3"/>
  <c r="I768" i="3"/>
  <c r="E763" i="3"/>
  <c r="A758" i="3"/>
  <c r="I752" i="3"/>
  <c r="E747" i="3"/>
  <c r="A742" i="3"/>
  <c r="I736" i="3"/>
  <c r="E731" i="3"/>
  <c r="A726" i="3"/>
  <c r="D889" i="3"/>
  <c r="L883" i="3"/>
  <c r="H878" i="3"/>
  <c r="D873" i="3"/>
  <c r="L867" i="3"/>
  <c r="H862" i="3"/>
  <c r="D857" i="3"/>
  <c r="L851" i="3"/>
  <c r="H846" i="3"/>
  <c r="D841" i="3"/>
  <c r="L835" i="3"/>
  <c r="H830" i="3"/>
  <c r="D825" i="3"/>
  <c r="L819" i="3"/>
  <c r="H814" i="3"/>
  <c r="D809" i="3"/>
  <c r="L803" i="3"/>
  <c r="H798" i="3"/>
  <c r="D793" i="3"/>
  <c r="L787" i="3"/>
  <c r="H782" i="3"/>
  <c r="D777" i="3"/>
  <c r="E949" i="3"/>
  <c r="A944" i="3"/>
  <c r="I938" i="3"/>
  <c r="E933" i="3"/>
  <c r="A928" i="3"/>
  <c r="I922" i="3"/>
  <c r="E917" i="3"/>
  <c r="A912" i="3"/>
  <c r="I906" i="3"/>
  <c r="E901" i="3"/>
  <c r="A896" i="3"/>
  <c r="CN4" i="6"/>
  <c r="AB4" i="6"/>
  <c r="DN5" i="5"/>
  <c r="BB5" i="5"/>
  <c r="EN4" i="5"/>
  <c r="CB4" i="5"/>
  <c r="P4" i="5"/>
  <c r="DB5" i="4"/>
  <c r="AP5" i="4"/>
  <c r="EB4" i="4"/>
  <c r="BP4" i="4"/>
  <c r="D4" i="4"/>
  <c r="L995" i="3"/>
  <c r="H990" i="3"/>
  <c r="D985" i="3"/>
  <c r="L979" i="3"/>
  <c r="H974" i="3"/>
  <c r="D969" i="3"/>
  <c r="L963" i="3"/>
  <c r="H958" i="3"/>
  <c r="D953" i="3"/>
  <c r="L947" i="3"/>
  <c r="H942" i="3"/>
  <c r="D937" i="3"/>
  <c r="L931" i="3"/>
  <c r="H926" i="3"/>
  <c r="D921" i="3"/>
  <c r="L915" i="3"/>
  <c r="H910" i="3"/>
  <c r="D905" i="3"/>
  <c r="L899" i="3"/>
  <c r="H894" i="3"/>
  <c r="BW4" i="6"/>
  <c r="K4" i="6"/>
  <c r="CW5" i="5"/>
  <c r="AK5" i="5"/>
  <c r="DW4" i="5"/>
  <c r="BK4" i="5"/>
  <c r="EW5" i="4"/>
  <c r="CK5" i="4"/>
  <c r="Y5" i="4"/>
  <c r="DK4" i="4"/>
  <c r="AY4" i="4"/>
  <c r="K999" i="3"/>
  <c r="G994" i="3"/>
  <c r="C989" i="3"/>
  <c r="K983" i="3"/>
  <c r="G978" i="3"/>
  <c r="C973" i="3"/>
  <c r="K967" i="3"/>
  <c r="G962" i="3"/>
  <c r="C957" i="3"/>
  <c r="K951" i="3"/>
  <c r="G946" i="3"/>
  <c r="C941" i="3"/>
  <c r="K935" i="3"/>
  <c r="G930" i="3"/>
  <c r="C925" i="3"/>
  <c r="K919" i="3"/>
  <c r="G914" i="3"/>
  <c r="C909" i="3"/>
  <c r="K903" i="3"/>
  <c r="G898" i="3"/>
  <c r="C893" i="3"/>
  <c r="BF4" i="6"/>
  <c r="ER5" i="5"/>
  <c r="CF5" i="5"/>
  <c r="T5" i="5"/>
  <c r="DF4" i="5"/>
  <c r="AT4" i="5"/>
  <c r="EF5" i="4"/>
  <c r="BT5" i="4"/>
  <c r="H5" i="4"/>
  <c r="CT4" i="4"/>
  <c r="AH4" i="4"/>
  <c r="F998" i="3"/>
  <c r="B993" i="3"/>
  <c r="J987" i="3"/>
  <c r="F982" i="3"/>
  <c r="B977" i="3"/>
  <c r="J971" i="3"/>
  <c r="F966" i="3"/>
  <c r="B961" i="3"/>
  <c r="J955" i="3"/>
  <c r="F950" i="3"/>
  <c r="B945" i="3"/>
  <c r="J939" i="3"/>
  <c r="F934" i="3"/>
  <c r="B929" i="3"/>
  <c r="J923" i="3"/>
  <c r="F918" i="3"/>
  <c r="B913" i="3"/>
  <c r="J907" i="3"/>
  <c r="F902" i="3"/>
  <c r="B897" i="3"/>
  <c r="DA4" i="6"/>
  <c r="AO4" i="6"/>
  <c r="DS5" i="5"/>
  <c r="BG5" i="5"/>
  <c r="ES4" i="5"/>
  <c r="CG4" i="5"/>
  <c r="U4" i="5"/>
  <c r="DG5" i="4"/>
  <c r="AU5" i="4"/>
  <c r="EG4" i="4"/>
  <c r="BU4" i="4"/>
  <c r="I4" i="4"/>
  <c r="I995" i="3"/>
  <c r="E990" i="3"/>
  <c r="A985" i="3"/>
  <c r="I979" i="3"/>
  <c r="E974" i="3"/>
  <c r="A969" i="3"/>
  <c r="I963" i="3"/>
  <c r="E958" i="3"/>
  <c r="A953" i="3"/>
  <c r="I947" i="3"/>
  <c r="E942" i="3"/>
  <c r="A937" i="3"/>
  <c r="I931" i="3"/>
  <c r="E926" i="3"/>
  <c r="A921" i="3"/>
  <c r="I915" i="3"/>
  <c r="E910" i="3"/>
  <c r="A905" i="3"/>
  <c r="I899" i="3"/>
  <c r="E894" i="3"/>
  <c r="G889" i="3"/>
  <c r="C884" i="3"/>
  <c r="K878" i="3"/>
  <c r="G873" i="3"/>
  <c r="C868" i="3"/>
  <c r="K862" i="3"/>
  <c r="G857" i="3"/>
  <c r="C852" i="3"/>
  <c r="K846" i="3"/>
  <c r="G841" i="3"/>
  <c r="C836" i="3"/>
  <c r="K830" i="3"/>
  <c r="G825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K750" i="3"/>
  <c r="G745" i="3"/>
  <c r="C740" i="3"/>
  <c r="K734" i="3"/>
  <c r="G729" i="3"/>
  <c r="C724" i="3"/>
  <c r="F887" i="3"/>
  <c r="B882" i="3"/>
  <c r="J876" i="3"/>
  <c r="F871" i="3"/>
  <c r="B866" i="3"/>
  <c r="J860" i="3"/>
  <c r="F855" i="3"/>
  <c r="B850" i="3"/>
  <c r="J844" i="3"/>
  <c r="F839" i="3"/>
  <c r="B834" i="3"/>
  <c r="J828" i="3"/>
  <c r="F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B754" i="3"/>
  <c r="J748" i="3"/>
  <c r="F743" i="3"/>
  <c r="B738" i="3"/>
  <c r="J732" i="3"/>
  <c r="F727" i="3"/>
  <c r="I890" i="3"/>
  <c r="E885" i="3"/>
  <c r="A880" i="3"/>
  <c r="I874" i="3"/>
  <c r="E869" i="3"/>
  <c r="A864" i="3"/>
  <c r="I858" i="3"/>
  <c r="E853" i="3"/>
  <c r="A848" i="3"/>
  <c r="I842" i="3"/>
  <c r="E837" i="3"/>
  <c r="A832" i="3"/>
  <c r="I826" i="3"/>
  <c r="E821" i="3"/>
  <c r="A816" i="3"/>
  <c r="I810" i="3"/>
  <c r="E805" i="3"/>
  <c r="A800" i="3"/>
  <c r="I794" i="3"/>
  <c r="E789" i="3"/>
  <c r="A784" i="3"/>
  <c r="I778" i="3"/>
  <c r="E773" i="3"/>
  <c r="A768" i="3"/>
  <c r="I762" i="3"/>
  <c r="E757" i="3"/>
  <c r="A752" i="3"/>
  <c r="I746" i="3"/>
  <c r="E741" i="3"/>
  <c r="A736" i="3"/>
  <c r="I730" i="3"/>
  <c r="E725" i="3"/>
  <c r="H888" i="3"/>
  <c r="D883" i="3"/>
  <c r="L877" i="3"/>
  <c r="H872" i="3"/>
  <c r="D867" i="3"/>
  <c r="L861" i="3"/>
  <c r="H856" i="3"/>
  <c r="D851" i="3"/>
  <c r="L845" i="3"/>
  <c r="H840" i="3"/>
  <c r="D835" i="3"/>
  <c r="L829" i="3"/>
  <c r="H824" i="3"/>
  <c r="D819" i="3"/>
  <c r="L813" i="3"/>
  <c r="H808" i="3"/>
  <c r="D803" i="3"/>
  <c r="L797" i="3"/>
  <c r="H792" i="3"/>
  <c r="D787" i="3"/>
  <c r="L781" i="3"/>
  <c r="I948" i="3"/>
  <c r="E943" i="3"/>
  <c r="A938" i="3"/>
  <c r="I932" i="3"/>
  <c r="E927" i="3"/>
  <c r="A922" i="3"/>
  <c r="I916" i="3"/>
  <c r="E911" i="3"/>
  <c r="A906" i="3"/>
  <c r="I900" i="3"/>
  <c r="E895" i="3"/>
  <c r="CF4" i="6"/>
  <c r="T4" i="6"/>
  <c r="DF5" i="5"/>
  <c r="AT5" i="5"/>
  <c r="EF4" i="5"/>
  <c r="BT4" i="5"/>
  <c r="H4" i="5"/>
  <c r="CT5" i="4"/>
  <c r="AH5" i="4"/>
  <c r="DT4" i="4"/>
  <c r="BH4" i="4"/>
  <c r="H1000" i="3"/>
  <c r="D995" i="3"/>
  <c r="L989" i="3"/>
  <c r="H984" i="3"/>
  <c r="D979" i="3"/>
  <c r="L973" i="3"/>
  <c r="H968" i="3"/>
  <c r="D963" i="3"/>
  <c r="L957" i="3"/>
  <c r="H952" i="3"/>
  <c r="D947" i="3"/>
  <c r="L941" i="3"/>
  <c r="H936" i="3"/>
  <c r="D931" i="3"/>
  <c r="L925" i="3"/>
  <c r="H920" i="3"/>
  <c r="D915" i="3"/>
  <c r="L909" i="3"/>
  <c r="H904" i="3"/>
  <c r="D899" i="3"/>
  <c r="L893" i="3"/>
  <c r="BO4" i="6"/>
  <c r="C4" i="6"/>
  <c r="CO5" i="5"/>
  <c r="AC5" i="5"/>
  <c r="DO4" i="5"/>
  <c r="BC4" i="5"/>
  <c r="EO5" i="4"/>
  <c r="CC5" i="4"/>
  <c r="Q5" i="4"/>
  <c r="DC4" i="4"/>
  <c r="AQ4" i="4"/>
  <c r="C999" i="3"/>
  <c r="K993" i="3"/>
  <c r="G988" i="3"/>
  <c r="C983" i="3"/>
  <c r="K977" i="3"/>
  <c r="G972" i="3"/>
  <c r="C967" i="3"/>
  <c r="K961" i="3"/>
  <c r="G956" i="3"/>
  <c r="C951" i="3"/>
  <c r="K945" i="3"/>
  <c r="G940" i="3"/>
  <c r="C935" i="3"/>
  <c r="K929" i="3"/>
  <c r="G924" i="3"/>
  <c r="C919" i="3"/>
  <c r="K913" i="3"/>
  <c r="G908" i="3"/>
  <c r="C903" i="3"/>
  <c r="K897" i="3"/>
  <c r="G892" i="3"/>
  <c r="AX4" i="6"/>
  <c r="EJ5" i="5"/>
  <c r="BX5" i="5"/>
  <c r="L5" i="5"/>
  <c r="CX4" i="5"/>
  <c r="AL4" i="5"/>
  <c r="DX5" i="4"/>
  <c r="BL5" i="4"/>
  <c r="EX4" i="4"/>
  <c r="CL4" i="4"/>
  <c r="Z4" i="4"/>
  <c r="J997" i="3"/>
  <c r="F992" i="3"/>
  <c r="B987" i="3"/>
  <c r="J981" i="3"/>
  <c r="F976" i="3"/>
  <c r="B971" i="3"/>
  <c r="J965" i="3"/>
  <c r="F960" i="3"/>
  <c r="B955" i="3"/>
  <c r="J949" i="3"/>
  <c r="F944" i="3"/>
  <c r="B939" i="3"/>
  <c r="J933" i="3"/>
  <c r="F928" i="3"/>
  <c r="B923" i="3"/>
  <c r="J917" i="3"/>
  <c r="F912" i="3"/>
  <c r="B907" i="3"/>
  <c r="J901" i="3"/>
  <c r="F896" i="3"/>
  <c r="CS4" i="6"/>
  <c r="AG4" i="6"/>
  <c r="DK5" i="5"/>
  <c r="AY5" i="5"/>
  <c r="EK4" i="5"/>
  <c r="BY4" i="5"/>
  <c r="M4" i="5"/>
  <c r="CY5" i="4"/>
  <c r="AM5" i="4"/>
  <c r="DY4" i="4"/>
  <c r="BM4" i="4"/>
  <c r="E1000" i="3"/>
  <c r="A995" i="3"/>
  <c r="I989" i="3"/>
  <c r="E984" i="3"/>
  <c r="A979" i="3"/>
  <c r="I973" i="3"/>
  <c r="E968" i="3"/>
  <c r="A963" i="3"/>
  <c r="I957" i="3"/>
  <c r="E952" i="3"/>
  <c r="A947" i="3"/>
  <c r="I941" i="3"/>
  <c r="E936" i="3"/>
  <c r="A931" i="3"/>
  <c r="I925" i="3"/>
  <c r="E920" i="3"/>
  <c r="A915" i="3"/>
  <c r="I909" i="3"/>
  <c r="E904" i="3"/>
  <c r="A899" i="3"/>
  <c r="I893" i="3"/>
  <c r="K888" i="3"/>
  <c r="G883" i="3"/>
  <c r="C878" i="3"/>
  <c r="K872" i="3"/>
  <c r="G867" i="3"/>
  <c r="C862" i="3"/>
  <c r="K856" i="3"/>
  <c r="G851" i="3"/>
  <c r="C846" i="3"/>
  <c r="K840" i="3"/>
  <c r="G835" i="3"/>
  <c r="C830" i="3"/>
  <c r="K824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C750" i="3"/>
  <c r="K744" i="3"/>
  <c r="G739" i="3"/>
  <c r="C734" i="3"/>
  <c r="K728" i="3"/>
  <c r="B892" i="3"/>
  <c r="J886" i="3"/>
  <c r="F881" i="3"/>
  <c r="B876" i="3"/>
  <c r="J870" i="3"/>
  <c r="F865" i="3"/>
  <c r="B860" i="3"/>
  <c r="J854" i="3"/>
  <c r="F849" i="3"/>
  <c r="B844" i="3"/>
  <c r="J838" i="3"/>
  <c r="F833" i="3"/>
  <c r="B828" i="3"/>
  <c r="J822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F753" i="3"/>
  <c r="B748" i="3"/>
  <c r="J742" i="3"/>
  <c r="F737" i="3"/>
  <c r="B732" i="3"/>
  <c r="J726" i="3"/>
  <c r="A890" i="3"/>
  <c r="I884" i="3"/>
  <c r="E879" i="3"/>
  <c r="A874" i="3"/>
  <c r="I868" i="3"/>
  <c r="E863" i="3"/>
  <c r="A858" i="3"/>
  <c r="I852" i="3"/>
  <c r="E847" i="3"/>
  <c r="A842" i="3"/>
  <c r="I836" i="3"/>
  <c r="E831" i="3"/>
  <c r="A826" i="3"/>
  <c r="I820" i="3"/>
  <c r="E815" i="3"/>
  <c r="A810" i="3"/>
  <c r="I804" i="3"/>
  <c r="E799" i="3"/>
  <c r="A794" i="3"/>
  <c r="I788" i="3"/>
  <c r="E783" i="3"/>
  <c r="A778" i="3"/>
  <c r="I772" i="3"/>
  <c r="E767" i="3"/>
  <c r="A762" i="3"/>
  <c r="I756" i="3"/>
  <c r="E751" i="3"/>
  <c r="A746" i="3"/>
  <c r="I740" i="3"/>
  <c r="E735" i="3"/>
  <c r="A730" i="3"/>
  <c r="I724" i="3"/>
  <c r="L887" i="3"/>
  <c r="H882" i="3"/>
  <c r="D877" i="3"/>
  <c r="L871" i="3"/>
  <c r="H866" i="3"/>
  <c r="D861" i="3"/>
  <c r="L855" i="3"/>
  <c r="H850" i="3"/>
  <c r="D845" i="3"/>
  <c r="L839" i="3"/>
  <c r="H834" i="3"/>
  <c r="D829" i="3"/>
  <c r="L823" i="3"/>
  <c r="H818" i="3"/>
  <c r="D813" i="3"/>
  <c r="L807" i="3"/>
  <c r="H802" i="3"/>
  <c r="D797" i="3"/>
  <c r="L791" i="3"/>
  <c r="H786" i="3"/>
  <c r="D781" i="3"/>
  <c r="L775" i="3"/>
  <c r="H776" i="3"/>
  <c r="D769" i="3"/>
  <c r="L763" i="3"/>
  <c r="H758" i="3"/>
  <c r="D753" i="3"/>
  <c r="L747" i="3"/>
  <c r="H742" i="3"/>
  <c r="D737" i="3"/>
  <c r="L731" i="3"/>
  <c r="H726" i="3"/>
  <c r="C891" i="3"/>
  <c r="K885" i="3"/>
  <c r="G880" i="3"/>
  <c r="C875" i="3"/>
  <c r="K869" i="3"/>
  <c r="G864" i="3"/>
  <c r="C859" i="3"/>
  <c r="K853" i="3"/>
  <c r="G848" i="3"/>
  <c r="C843" i="3"/>
  <c r="K837" i="3"/>
  <c r="G832" i="3"/>
  <c r="C827" i="3"/>
  <c r="K821" i="3"/>
  <c r="G816" i="3"/>
  <c r="C811" i="3"/>
  <c r="K805" i="3"/>
  <c r="G800" i="3"/>
  <c r="C795" i="3"/>
  <c r="K789" i="3"/>
  <c r="G784" i="3"/>
  <c r="C779" i="3"/>
  <c r="K773" i="3"/>
  <c r="G768" i="3"/>
  <c r="C763" i="3"/>
  <c r="K757" i="3"/>
  <c r="G752" i="3"/>
  <c r="C747" i="3"/>
  <c r="K741" i="3"/>
  <c r="G736" i="3"/>
  <c r="C731" i="3"/>
  <c r="K725" i="3"/>
  <c r="F890" i="3"/>
  <c r="B885" i="3"/>
  <c r="J879" i="3"/>
  <c r="F874" i="3"/>
  <c r="B869" i="3"/>
  <c r="J863" i="3"/>
  <c r="F858" i="3"/>
  <c r="B853" i="3"/>
  <c r="J847" i="3"/>
  <c r="F842" i="3"/>
  <c r="B837" i="3"/>
  <c r="J831" i="3"/>
  <c r="F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B757" i="3"/>
  <c r="J751" i="3"/>
  <c r="F746" i="3"/>
  <c r="B741" i="3"/>
  <c r="J735" i="3"/>
  <c r="F730" i="3"/>
  <c r="B725" i="3"/>
  <c r="E888" i="3"/>
  <c r="A883" i="3"/>
  <c r="I877" i="3"/>
  <c r="E872" i="3"/>
  <c r="A867" i="3"/>
  <c r="I861" i="3"/>
  <c r="E856" i="3"/>
  <c r="A851" i="3"/>
  <c r="I845" i="3"/>
  <c r="E840" i="3"/>
  <c r="A835" i="3"/>
  <c r="I829" i="3"/>
  <c r="E824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I749" i="3"/>
  <c r="E744" i="3"/>
  <c r="A739" i="3"/>
  <c r="I733" i="3"/>
  <c r="E728" i="3"/>
  <c r="H891" i="3"/>
  <c r="D886" i="3"/>
  <c r="L880" i="3"/>
  <c r="H875" i="3"/>
  <c r="D870" i="3"/>
  <c r="L864" i="3"/>
  <c r="H859" i="3"/>
  <c r="D854" i="3"/>
  <c r="L848" i="3"/>
  <c r="H843" i="3"/>
  <c r="D838" i="3"/>
  <c r="L832" i="3"/>
  <c r="H827" i="3"/>
  <c r="D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L752" i="3"/>
  <c r="H747" i="3"/>
  <c r="D742" i="3"/>
  <c r="L736" i="3"/>
  <c r="H731" i="3"/>
  <c r="D726" i="3"/>
  <c r="H720" i="3"/>
  <c r="D715" i="3"/>
  <c r="L709" i="3"/>
  <c r="H704" i="3"/>
  <c r="D699" i="3"/>
  <c r="L693" i="3"/>
  <c r="H688" i="3"/>
  <c r="D683" i="3"/>
  <c r="L677" i="3"/>
  <c r="H672" i="3"/>
  <c r="D667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L581" i="3"/>
  <c r="H576" i="3"/>
  <c r="D571" i="3"/>
  <c r="L565" i="3"/>
  <c r="H560" i="3"/>
  <c r="D555" i="3"/>
  <c r="K719" i="3"/>
  <c r="G714" i="3"/>
  <c r="C709" i="3"/>
  <c r="K703" i="3"/>
  <c r="G698" i="3"/>
  <c r="C693" i="3"/>
  <c r="K687" i="3"/>
  <c r="G682" i="3"/>
  <c r="C677" i="3"/>
  <c r="K671" i="3"/>
  <c r="G666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C581" i="3"/>
  <c r="K575" i="3"/>
  <c r="G570" i="3"/>
  <c r="C565" i="3"/>
  <c r="K559" i="3"/>
  <c r="G554" i="3"/>
  <c r="F718" i="3"/>
  <c r="B713" i="3"/>
  <c r="J707" i="3"/>
  <c r="F702" i="3"/>
  <c r="B697" i="3"/>
  <c r="J691" i="3"/>
  <c r="F686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J579" i="3"/>
  <c r="F574" i="3"/>
  <c r="B569" i="3"/>
  <c r="J563" i="3"/>
  <c r="F558" i="3"/>
  <c r="E722" i="3"/>
  <c r="A717" i="3"/>
  <c r="I711" i="3"/>
  <c r="E706" i="3"/>
  <c r="A701" i="3"/>
  <c r="I695" i="3"/>
  <c r="E690" i="3"/>
  <c r="A685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D775" i="3"/>
  <c r="H768" i="3"/>
  <c r="D763" i="3"/>
  <c r="L757" i="3"/>
  <c r="H752" i="3"/>
  <c r="D747" i="3"/>
  <c r="L741" i="3"/>
  <c r="H736" i="3"/>
  <c r="D731" i="3"/>
  <c r="L725" i="3"/>
  <c r="G890" i="3"/>
  <c r="C885" i="3"/>
  <c r="K879" i="3"/>
  <c r="G874" i="3"/>
  <c r="C869" i="3"/>
  <c r="K863" i="3"/>
  <c r="G858" i="3"/>
  <c r="C853" i="3"/>
  <c r="K847" i="3"/>
  <c r="G842" i="3"/>
  <c r="C837" i="3"/>
  <c r="K831" i="3"/>
  <c r="G826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K751" i="3"/>
  <c r="G746" i="3"/>
  <c r="C741" i="3"/>
  <c r="K735" i="3"/>
  <c r="G730" i="3"/>
  <c r="C725" i="3"/>
  <c r="J889" i="3"/>
  <c r="F884" i="3"/>
  <c r="B879" i="3"/>
  <c r="J873" i="3"/>
  <c r="F868" i="3"/>
  <c r="B863" i="3"/>
  <c r="J857" i="3"/>
  <c r="F852" i="3"/>
  <c r="B847" i="3"/>
  <c r="J841" i="3"/>
  <c r="F836" i="3"/>
  <c r="B831" i="3"/>
  <c r="J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F756" i="3"/>
  <c r="B751" i="3"/>
  <c r="J745" i="3"/>
  <c r="F740" i="3"/>
  <c r="B735" i="3"/>
  <c r="J729" i="3"/>
  <c r="F724" i="3"/>
  <c r="I887" i="3"/>
  <c r="E882" i="3"/>
  <c r="A877" i="3"/>
  <c r="I871" i="3"/>
  <c r="E866" i="3"/>
  <c r="A861" i="3"/>
  <c r="I855" i="3"/>
  <c r="E850" i="3"/>
  <c r="A845" i="3"/>
  <c r="I839" i="3"/>
  <c r="E834" i="3"/>
  <c r="A829" i="3"/>
  <c r="I823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E754" i="3"/>
  <c r="A749" i="3"/>
  <c r="I743" i="3"/>
  <c r="E738" i="3"/>
  <c r="A733" i="3"/>
  <c r="I727" i="3"/>
  <c r="L890" i="3"/>
  <c r="H885" i="3"/>
  <c r="D880" i="3"/>
  <c r="L874" i="3"/>
  <c r="H869" i="3"/>
  <c r="D864" i="3"/>
  <c r="L858" i="3"/>
  <c r="H853" i="3"/>
  <c r="D848" i="3"/>
  <c r="L842" i="3"/>
  <c r="H837" i="3"/>
  <c r="D832" i="3"/>
  <c r="L826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D752" i="3"/>
  <c r="L746" i="3"/>
  <c r="H741" i="3"/>
  <c r="D736" i="3"/>
  <c r="L730" i="3"/>
  <c r="H725" i="3"/>
  <c r="L719" i="3"/>
  <c r="H714" i="3"/>
  <c r="D709" i="3"/>
  <c r="L703" i="3"/>
  <c r="H698" i="3"/>
  <c r="D693" i="3"/>
  <c r="L687" i="3"/>
  <c r="H682" i="3"/>
  <c r="D677" i="3"/>
  <c r="L671" i="3"/>
  <c r="H666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D581" i="3"/>
  <c r="L575" i="3"/>
  <c r="H570" i="3"/>
  <c r="D565" i="3"/>
  <c r="L559" i="3"/>
  <c r="H554" i="3"/>
  <c r="C719" i="3"/>
  <c r="K713" i="3"/>
  <c r="G708" i="3"/>
  <c r="C703" i="3"/>
  <c r="K697" i="3"/>
  <c r="G692" i="3"/>
  <c r="C687" i="3"/>
  <c r="K681" i="3"/>
  <c r="G676" i="3"/>
  <c r="C671" i="3"/>
  <c r="K665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K585" i="3"/>
  <c r="G580" i="3"/>
  <c r="C575" i="3"/>
  <c r="K569" i="3"/>
  <c r="G564" i="3"/>
  <c r="C559" i="3"/>
  <c r="F723" i="3"/>
  <c r="J717" i="3"/>
  <c r="F712" i="3"/>
  <c r="B707" i="3"/>
  <c r="J701" i="3"/>
  <c r="F696" i="3"/>
  <c r="B691" i="3"/>
  <c r="J685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B579" i="3"/>
  <c r="J573" i="3"/>
  <c r="F568" i="3"/>
  <c r="B563" i="3"/>
  <c r="J557" i="3"/>
  <c r="I721" i="3"/>
  <c r="E716" i="3"/>
  <c r="A711" i="3"/>
  <c r="I705" i="3"/>
  <c r="E700" i="3"/>
  <c r="A695" i="3"/>
  <c r="I689" i="3"/>
  <c r="E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H774" i="3"/>
  <c r="L767" i="3"/>
  <c r="H762" i="3"/>
  <c r="D757" i="3"/>
  <c r="L751" i="3"/>
  <c r="H746" i="3"/>
  <c r="D741" i="3"/>
  <c r="L735" i="3"/>
  <c r="H730" i="3"/>
  <c r="D725" i="3"/>
  <c r="K889" i="3"/>
  <c r="G884" i="3"/>
  <c r="C879" i="3"/>
  <c r="K873" i="3"/>
  <c r="G868" i="3"/>
  <c r="C863" i="3"/>
  <c r="K857" i="3"/>
  <c r="G852" i="3"/>
  <c r="C847" i="3"/>
  <c r="K841" i="3"/>
  <c r="G836" i="3"/>
  <c r="C831" i="3"/>
  <c r="K825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C751" i="3"/>
  <c r="K745" i="3"/>
  <c r="G740" i="3"/>
  <c r="C735" i="3"/>
  <c r="K729" i="3"/>
  <c r="G724" i="3"/>
  <c r="B889" i="3"/>
  <c r="J883" i="3"/>
  <c r="F878" i="3"/>
  <c r="B873" i="3"/>
  <c r="J867" i="3"/>
  <c r="F862" i="3"/>
  <c r="B857" i="3"/>
  <c r="J851" i="3"/>
  <c r="F846" i="3"/>
  <c r="B841" i="3"/>
  <c r="J835" i="3"/>
  <c r="F830" i="3"/>
  <c r="B825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J755" i="3"/>
  <c r="F750" i="3"/>
  <c r="B745" i="3"/>
  <c r="J739" i="3"/>
  <c r="F734" i="3"/>
  <c r="B729" i="3"/>
  <c r="J723" i="3"/>
  <c r="A887" i="3"/>
  <c r="I881" i="3"/>
  <c r="E876" i="3"/>
  <c r="A871" i="3"/>
  <c r="I865" i="3"/>
  <c r="E860" i="3"/>
  <c r="A855" i="3"/>
  <c r="I849" i="3"/>
  <c r="E844" i="3"/>
  <c r="A839" i="3"/>
  <c r="I833" i="3"/>
  <c r="E828" i="3"/>
  <c r="A823" i="3"/>
  <c r="I817" i="3"/>
  <c r="E812" i="3"/>
  <c r="A807" i="3"/>
  <c r="I801" i="3"/>
  <c r="E796" i="3"/>
  <c r="A791" i="3"/>
  <c r="I785" i="3"/>
  <c r="E780" i="3"/>
  <c r="A775" i="3"/>
  <c r="I769" i="3"/>
  <c r="E764" i="3"/>
  <c r="A759" i="3"/>
  <c r="I753" i="3"/>
  <c r="E748" i="3"/>
  <c r="A743" i="3"/>
  <c r="I737" i="3"/>
  <c r="E732" i="3"/>
  <c r="A727" i="3"/>
  <c r="D890" i="3"/>
  <c r="L884" i="3"/>
  <c r="H879" i="3"/>
  <c r="D874" i="3"/>
  <c r="L868" i="3"/>
  <c r="H863" i="3"/>
  <c r="D858" i="3"/>
  <c r="L852" i="3"/>
  <c r="H847" i="3"/>
  <c r="D842" i="3"/>
  <c r="L836" i="3"/>
  <c r="H831" i="3"/>
  <c r="D826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H751" i="3"/>
  <c r="D746" i="3"/>
  <c r="L740" i="3"/>
  <c r="H735" i="3"/>
  <c r="D730" i="3"/>
  <c r="L724" i="3"/>
  <c r="D719" i="3"/>
  <c r="L713" i="3"/>
  <c r="H708" i="3"/>
  <c r="D703" i="3"/>
  <c r="L697" i="3"/>
  <c r="H692" i="3"/>
  <c r="D687" i="3"/>
  <c r="L681" i="3"/>
  <c r="H676" i="3"/>
  <c r="D671" i="3"/>
  <c r="L665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H580" i="3"/>
  <c r="D575" i="3"/>
  <c r="L569" i="3"/>
  <c r="H564" i="3"/>
  <c r="D559" i="3"/>
  <c r="L553" i="3"/>
  <c r="G718" i="3"/>
  <c r="C713" i="3"/>
  <c r="K707" i="3"/>
  <c r="G702" i="3"/>
  <c r="C697" i="3"/>
  <c r="K691" i="3"/>
  <c r="G686" i="3"/>
  <c r="C681" i="3"/>
  <c r="K675" i="3"/>
  <c r="G670" i="3"/>
  <c r="C665" i="3"/>
  <c r="K659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C585" i="3"/>
  <c r="K579" i="3"/>
  <c r="G574" i="3"/>
  <c r="C569" i="3"/>
  <c r="K563" i="3"/>
  <c r="G558" i="3"/>
  <c r="F722" i="3"/>
  <c r="B717" i="3"/>
  <c r="J711" i="3"/>
  <c r="F706" i="3"/>
  <c r="B701" i="3"/>
  <c r="J695" i="3"/>
  <c r="F690" i="3"/>
  <c r="B685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F578" i="3"/>
  <c r="B573" i="3"/>
  <c r="J567" i="3"/>
  <c r="F562" i="3"/>
  <c r="B557" i="3"/>
  <c r="A721" i="3"/>
  <c r="I715" i="3"/>
  <c r="E710" i="3"/>
  <c r="A705" i="3"/>
  <c r="I699" i="3"/>
  <c r="E694" i="3"/>
  <c r="A689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L773" i="3"/>
  <c r="D767" i="3"/>
  <c r="L761" i="3"/>
  <c r="H756" i="3"/>
  <c r="D751" i="3"/>
  <c r="L745" i="3"/>
  <c r="H740" i="3"/>
  <c r="D735" i="3"/>
  <c r="L729" i="3"/>
  <c r="H724" i="3"/>
  <c r="C889" i="3"/>
  <c r="K883" i="3"/>
  <c r="G878" i="3"/>
  <c r="C873" i="3"/>
  <c r="K867" i="3"/>
  <c r="G862" i="3"/>
  <c r="C857" i="3"/>
  <c r="K851" i="3"/>
  <c r="G846" i="3"/>
  <c r="C841" i="3"/>
  <c r="K835" i="3"/>
  <c r="G830" i="3"/>
  <c r="C825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G750" i="3"/>
  <c r="C745" i="3"/>
  <c r="K739" i="3"/>
  <c r="G734" i="3"/>
  <c r="C729" i="3"/>
  <c r="K723" i="3"/>
  <c r="F888" i="3"/>
  <c r="B883" i="3"/>
  <c r="J877" i="3"/>
  <c r="F872" i="3"/>
  <c r="B867" i="3"/>
  <c r="J861" i="3"/>
  <c r="F856" i="3"/>
  <c r="B851" i="3"/>
  <c r="J845" i="3"/>
  <c r="F840" i="3"/>
  <c r="B835" i="3"/>
  <c r="J829" i="3"/>
  <c r="F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B755" i="3"/>
  <c r="J749" i="3"/>
  <c r="F744" i="3"/>
  <c r="B739" i="3"/>
  <c r="J733" i="3"/>
  <c r="F728" i="3"/>
  <c r="I891" i="3"/>
  <c r="E886" i="3"/>
  <c r="A881" i="3"/>
  <c r="I875" i="3"/>
  <c r="E870" i="3"/>
  <c r="A865" i="3"/>
  <c r="I859" i="3"/>
  <c r="E854" i="3"/>
  <c r="A849" i="3"/>
  <c r="I843" i="3"/>
  <c r="E838" i="3"/>
  <c r="A833" i="3"/>
  <c r="I827" i="3"/>
  <c r="E822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A753" i="3"/>
  <c r="I747" i="3"/>
  <c r="E742" i="3"/>
  <c r="A737" i="3"/>
  <c r="I731" i="3"/>
  <c r="E726" i="3"/>
  <c r="H889" i="3"/>
  <c r="D884" i="3"/>
  <c r="L878" i="3"/>
  <c r="H873" i="3"/>
  <c r="D868" i="3"/>
  <c r="L862" i="3"/>
  <c r="H857" i="3"/>
  <c r="D852" i="3"/>
  <c r="L846" i="3"/>
  <c r="H841" i="3"/>
  <c r="D836" i="3"/>
  <c r="L830" i="3"/>
  <c r="H825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L750" i="3"/>
  <c r="H745" i="3"/>
  <c r="D740" i="3"/>
  <c r="L734" i="3"/>
  <c r="H729" i="3"/>
  <c r="D724" i="3"/>
  <c r="H718" i="3"/>
  <c r="D713" i="3"/>
  <c r="L707" i="3"/>
  <c r="H702" i="3"/>
  <c r="D697" i="3"/>
  <c r="L691" i="3"/>
  <c r="H686" i="3"/>
  <c r="D681" i="3"/>
  <c r="L675" i="3"/>
  <c r="H670" i="3"/>
  <c r="D665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L579" i="3"/>
  <c r="H574" i="3"/>
  <c r="D569" i="3"/>
  <c r="L563" i="3"/>
  <c r="H558" i="3"/>
  <c r="G723" i="3"/>
  <c r="K717" i="3"/>
  <c r="G712" i="3"/>
  <c r="C707" i="3"/>
  <c r="K701" i="3"/>
  <c r="G696" i="3"/>
  <c r="C691" i="3"/>
  <c r="K685" i="3"/>
  <c r="G680" i="3"/>
  <c r="C675" i="3"/>
  <c r="K669" i="3"/>
  <c r="G664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G584" i="3"/>
  <c r="C579" i="3"/>
  <c r="K573" i="3"/>
  <c r="G568" i="3"/>
  <c r="C563" i="3"/>
  <c r="K557" i="3"/>
  <c r="J721" i="3"/>
  <c r="F716" i="3"/>
  <c r="B711" i="3"/>
  <c r="J705" i="3"/>
  <c r="F700" i="3"/>
  <c r="B695" i="3"/>
  <c r="J689" i="3"/>
  <c r="F684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B583" i="3"/>
  <c r="J577" i="3"/>
  <c r="F572" i="3"/>
  <c r="B567" i="3"/>
  <c r="J561" i="3"/>
  <c r="F556" i="3"/>
  <c r="E720" i="3"/>
  <c r="A715" i="3"/>
  <c r="I709" i="3"/>
  <c r="E704" i="3"/>
  <c r="A699" i="3"/>
  <c r="I693" i="3"/>
  <c r="E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L771" i="3"/>
  <c r="H766" i="3"/>
  <c r="D761" i="3"/>
  <c r="L755" i="3"/>
  <c r="H750" i="3"/>
  <c r="D745" i="3"/>
  <c r="L739" i="3"/>
  <c r="H734" i="3"/>
  <c r="D729" i="3"/>
  <c r="L723" i="3"/>
  <c r="G888" i="3"/>
  <c r="C883" i="3"/>
  <c r="K877" i="3"/>
  <c r="G872" i="3"/>
  <c r="C867" i="3"/>
  <c r="K861" i="3"/>
  <c r="G856" i="3"/>
  <c r="C851" i="3"/>
  <c r="K845" i="3"/>
  <c r="G840" i="3"/>
  <c r="C835" i="3"/>
  <c r="K829" i="3"/>
  <c r="G824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K749" i="3"/>
  <c r="G744" i="3"/>
  <c r="C739" i="3"/>
  <c r="K733" i="3"/>
  <c r="G728" i="3"/>
  <c r="C723" i="3"/>
  <c r="J887" i="3"/>
  <c r="F882" i="3"/>
  <c r="B877" i="3"/>
  <c r="J871" i="3"/>
  <c r="F866" i="3"/>
  <c r="B861" i="3"/>
  <c r="J855" i="3"/>
  <c r="F850" i="3"/>
  <c r="B845" i="3"/>
  <c r="J839" i="3"/>
  <c r="F834" i="3"/>
  <c r="B829" i="3"/>
  <c r="J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F754" i="3"/>
  <c r="B749" i="3"/>
  <c r="J743" i="3"/>
  <c r="F738" i="3"/>
  <c r="B733" i="3"/>
  <c r="J727" i="3"/>
  <c r="A891" i="3"/>
  <c r="I885" i="3"/>
  <c r="E880" i="3"/>
  <c r="A875" i="3"/>
  <c r="I869" i="3"/>
  <c r="E864" i="3"/>
  <c r="A859" i="3"/>
  <c r="I853" i="3"/>
  <c r="E848" i="3"/>
  <c r="A843" i="3"/>
  <c r="I837" i="3"/>
  <c r="E832" i="3"/>
  <c r="A827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E752" i="3"/>
  <c r="A747" i="3"/>
  <c r="I741" i="3"/>
  <c r="E736" i="3"/>
  <c r="A731" i="3"/>
  <c r="I725" i="3"/>
  <c r="L888" i="3"/>
  <c r="H883" i="3"/>
  <c r="D878" i="3"/>
  <c r="L872" i="3"/>
  <c r="H867" i="3"/>
  <c r="D862" i="3"/>
  <c r="L856" i="3"/>
  <c r="H851" i="3"/>
  <c r="D846" i="3"/>
  <c r="L840" i="3"/>
  <c r="H835" i="3"/>
  <c r="D830" i="3"/>
  <c r="L824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D750" i="3"/>
  <c r="L744" i="3"/>
  <c r="H739" i="3"/>
  <c r="D734" i="3"/>
  <c r="L728" i="3"/>
  <c r="H723" i="3"/>
  <c r="L717" i="3"/>
  <c r="H712" i="3"/>
  <c r="D707" i="3"/>
  <c r="L701" i="3"/>
  <c r="H696" i="3"/>
  <c r="D691" i="3"/>
  <c r="L685" i="3"/>
  <c r="H680" i="3"/>
  <c r="D675" i="3"/>
  <c r="L669" i="3"/>
  <c r="H664" i="3"/>
  <c r="D659" i="3"/>
  <c r="L653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H584" i="3"/>
  <c r="D579" i="3"/>
  <c r="L573" i="3"/>
  <c r="H568" i="3"/>
  <c r="D563" i="3"/>
  <c r="L557" i="3"/>
  <c r="I722" i="3"/>
  <c r="C717" i="3"/>
  <c r="K711" i="3"/>
  <c r="G706" i="3"/>
  <c r="C701" i="3"/>
  <c r="K695" i="3"/>
  <c r="G690" i="3"/>
  <c r="C685" i="3"/>
  <c r="K679" i="3"/>
  <c r="G674" i="3"/>
  <c r="C669" i="3"/>
  <c r="K663" i="3"/>
  <c r="G658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K583" i="3"/>
  <c r="G578" i="3"/>
  <c r="C573" i="3"/>
  <c r="K567" i="3"/>
  <c r="G562" i="3"/>
  <c r="C557" i="3"/>
  <c r="B721" i="3"/>
  <c r="J715" i="3"/>
  <c r="F710" i="3"/>
  <c r="B705" i="3"/>
  <c r="J699" i="3"/>
  <c r="F694" i="3"/>
  <c r="B689" i="3"/>
  <c r="J68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F582" i="3"/>
  <c r="B577" i="3"/>
  <c r="J571" i="3"/>
  <c r="F566" i="3"/>
  <c r="B561" i="3"/>
  <c r="J555" i="3"/>
  <c r="I719" i="3"/>
  <c r="E714" i="3"/>
  <c r="A709" i="3"/>
  <c r="I703" i="3"/>
  <c r="E698" i="3"/>
  <c r="A693" i="3"/>
  <c r="I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D771" i="3"/>
  <c r="L765" i="3"/>
  <c r="H760" i="3"/>
  <c r="D755" i="3"/>
  <c r="L749" i="3"/>
  <c r="H744" i="3"/>
  <c r="D739" i="3"/>
  <c r="L733" i="3"/>
  <c r="H728" i="3"/>
  <c r="D723" i="3"/>
  <c r="K887" i="3"/>
  <c r="G882" i="3"/>
  <c r="C877" i="3"/>
  <c r="K871" i="3"/>
  <c r="G866" i="3"/>
  <c r="C861" i="3"/>
  <c r="K855" i="3"/>
  <c r="G850" i="3"/>
  <c r="C845" i="3"/>
  <c r="K839" i="3"/>
  <c r="G834" i="3"/>
  <c r="C829" i="3"/>
  <c r="K823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G754" i="3"/>
  <c r="C749" i="3"/>
  <c r="K743" i="3"/>
  <c r="G738" i="3"/>
  <c r="C733" i="3"/>
  <c r="K727" i="3"/>
  <c r="G722" i="3"/>
  <c r="B887" i="3"/>
  <c r="J881" i="3"/>
  <c r="F876" i="3"/>
  <c r="B871" i="3"/>
  <c r="J865" i="3"/>
  <c r="F860" i="3"/>
  <c r="B855" i="3"/>
  <c r="J849" i="3"/>
  <c r="F844" i="3"/>
  <c r="B839" i="3"/>
  <c r="J833" i="3"/>
  <c r="F828" i="3"/>
  <c r="B823" i="3"/>
  <c r="J817" i="3"/>
  <c r="F812" i="3"/>
  <c r="B807" i="3"/>
  <c r="J801" i="3"/>
  <c r="F796" i="3"/>
  <c r="B791" i="3"/>
  <c r="J785" i="3"/>
  <c r="F780" i="3"/>
  <c r="B775" i="3"/>
  <c r="J769" i="3"/>
  <c r="F764" i="3"/>
  <c r="B759" i="3"/>
  <c r="J753" i="3"/>
  <c r="F748" i="3"/>
  <c r="B743" i="3"/>
  <c r="J737" i="3"/>
  <c r="F732" i="3"/>
  <c r="B727" i="3"/>
  <c r="E890" i="3"/>
  <c r="A885" i="3"/>
  <c r="I879" i="3"/>
  <c r="E874" i="3"/>
  <c r="A869" i="3"/>
  <c r="I863" i="3"/>
  <c r="E858" i="3"/>
  <c r="A853" i="3"/>
  <c r="I847" i="3"/>
  <c r="E842" i="3"/>
  <c r="A837" i="3"/>
  <c r="I831" i="3"/>
  <c r="E826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I751" i="3"/>
  <c r="E746" i="3"/>
  <c r="A741" i="3"/>
  <c r="I735" i="3"/>
  <c r="E730" i="3"/>
  <c r="A725" i="3"/>
  <c r="D888" i="3"/>
  <c r="L882" i="3"/>
  <c r="H877" i="3"/>
  <c r="D872" i="3"/>
  <c r="L866" i="3"/>
  <c r="H861" i="3"/>
  <c r="D856" i="3"/>
  <c r="L850" i="3"/>
  <c r="H845" i="3"/>
  <c r="D840" i="3"/>
  <c r="L834" i="3"/>
  <c r="H829" i="3"/>
  <c r="D824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H749" i="3"/>
  <c r="D744" i="3"/>
  <c r="L738" i="3"/>
  <c r="H733" i="3"/>
  <c r="D728" i="3"/>
  <c r="J722" i="3"/>
  <c r="D717" i="3"/>
  <c r="L711" i="3"/>
  <c r="H706" i="3"/>
  <c r="D701" i="3"/>
  <c r="L695" i="3"/>
  <c r="H690" i="3"/>
  <c r="D685" i="3"/>
  <c r="L679" i="3"/>
  <c r="H674" i="3"/>
  <c r="D669" i="3"/>
  <c r="L663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L583" i="3"/>
  <c r="H578" i="3"/>
  <c r="D573" i="3"/>
  <c r="L567" i="3"/>
  <c r="H562" i="3"/>
  <c r="D557" i="3"/>
  <c r="K721" i="3"/>
  <c r="G716" i="3"/>
  <c r="C711" i="3"/>
  <c r="K705" i="3"/>
  <c r="G700" i="3"/>
  <c r="C695" i="3"/>
  <c r="K689" i="3"/>
  <c r="G684" i="3"/>
  <c r="C679" i="3"/>
  <c r="K673" i="3"/>
  <c r="G668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C583" i="3"/>
  <c r="K577" i="3"/>
  <c r="G572" i="3"/>
  <c r="C567" i="3"/>
  <c r="K561" i="3"/>
  <c r="G556" i="3"/>
  <c r="F720" i="3"/>
  <c r="B715" i="3"/>
  <c r="J709" i="3"/>
  <c r="F704" i="3"/>
  <c r="B699" i="3"/>
  <c r="J693" i="3"/>
  <c r="F688" i="3"/>
  <c r="B683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J581" i="3"/>
  <c r="F576" i="3"/>
  <c r="B571" i="3"/>
  <c r="J565" i="3"/>
  <c r="F560" i="3"/>
  <c r="B555" i="3"/>
  <c r="A719" i="3"/>
  <c r="I713" i="3"/>
  <c r="E708" i="3"/>
  <c r="A703" i="3"/>
  <c r="I697" i="3"/>
  <c r="E692" i="3"/>
  <c r="A687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E596" i="3"/>
  <c r="H770" i="3"/>
  <c r="D765" i="3"/>
  <c r="L759" i="3"/>
  <c r="H754" i="3"/>
  <c r="D749" i="3"/>
  <c r="L743" i="3"/>
  <c r="H738" i="3"/>
  <c r="D733" i="3"/>
  <c r="L727" i="3"/>
  <c r="H722" i="3"/>
  <c r="C887" i="3"/>
  <c r="K881" i="3"/>
  <c r="G876" i="3"/>
  <c r="C871" i="3"/>
  <c r="K865" i="3"/>
  <c r="G860" i="3"/>
  <c r="C855" i="3"/>
  <c r="K849" i="3"/>
  <c r="G844" i="3"/>
  <c r="C839" i="3"/>
  <c r="K833" i="3"/>
  <c r="G828" i="3"/>
  <c r="C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K753" i="3"/>
  <c r="G748" i="3"/>
  <c r="C743" i="3"/>
  <c r="K737" i="3"/>
  <c r="G732" i="3"/>
  <c r="C727" i="3"/>
  <c r="J891" i="3"/>
  <c r="F886" i="3"/>
  <c r="B881" i="3"/>
  <c r="J875" i="3"/>
  <c r="F870" i="3"/>
  <c r="B865" i="3"/>
  <c r="J859" i="3"/>
  <c r="F854" i="3"/>
  <c r="B849" i="3"/>
  <c r="J843" i="3"/>
  <c r="F838" i="3"/>
  <c r="B833" i="3"/>
  <c r="J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8" i="3"/>
  <c r="B753" i="3"/>
  <c r="J747" i="3"/>
  <c r="F742" i="3"/>
  <c r="B737" i="3"/>
  <c r="J731" i="3"/>
  <c r="F726" i="3"/>
  <c r="I889" i="3"/>
  <c r="E884" i="3"/>
  <c r="A879" i="3"/>
  <c r="I873" i="3"/>
  <c r="E868" i="3"/>
  <c r="A863" i="3"/>
  <c r="I857" i="3"/>
  <c r="E852" i="3"/>
  <c r="A847" i="3"/>
  <c r="I841" i="3"/>
  <c r="E836" i="3"/>
  <c r="A831" i="3"/>
  <c r="I825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A751" i="3"/>
  <c r="I745" i="3"/>
  <c r="E740" i="3"/>
  <c r="A735" i="3"/>
  <c r="I729" i="3"/>
  <c r="E724" i="3"/>
  <c r="H887" i="3"/>
  <c r="D882" i="3"/>
  <c r="L876" i="3"/>
  <c r="H871" i="3"/>
  <c r="D866" i="3"/>
  <c r="L860" i="3"/>
  <c r="H855" i="3"/>
  <c r="D850" i="3"/>
  <c r="L844" i="3"/>
  <c r="H839" i="3"/>
  <c r="D834" i="3"/>
  <c r="L828" i="3"/>
  <c r="H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D754" i="3"/>
  <c r="L748" i="3"/>
  <c r="H743" i="3"/>
  <c r="D738" i="3"/>
  <c r="L732" i="3"/>
  <c r="H727" i="3"/>
  <c r="L721" i="3"/>
  <c r="H716" i="3"/>
  <c r="D711" i="3"/>
  <c r="L705" i="3"/>
  <c r="H700" i="3"/>
  <c r="D695" i="3"/>
  <c r="L689" i="3"/>
  <c r="H684" i="3"/>
  <c r="D679" i="3"/>
  <c r="L673" i="3"/>
  <c r="H668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D583" i="3"/>
  <c r="L577" i="3"/>
  <c r="H572" i="3"/>
  <c r="D567" i="3"/>
  <c r="L561" i="3"/>
  <c r="H556" i="3"/>
  <c r="C721" i="3"/>
  <c r="K715" i="3"/>
  <c r="G710" i="3"/>
  <c r="C705" i="3"/>
  <c r="K699" i="3"/>
  <c r="G694" i="3"/>
  <c r="C689" i="3"/>
  <c r="K683" i="3"/>
  <c r="G678" i="3"/>
  <c r="C673" i="3"/>
  <c r="K667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G582" i="3"/>
  <c r="C577" i="3"/>
  <c r="K571" i="3"/>
  <c r="G566" i="3"/>
  <c r="C561" i="3"/>
  <c r="K555" i="3"/>
  <c r="J719" i="3"/>
  <c r="F714" i="3"/>
  <c r="B709" i="3"/>
  <c r="J703" i="3"/>
  <c r="F698" i="3"/>
  <c r="B693" i="3"/>
  <c r="J687" i="3"/>
  <c r="F682" i="3"/>
  <c r="B677" i="3"/>
  <c r="J671" i="3"/>
  <c r="F666" i="3"/>
  <c r="B661" i="3"/>
  <c r="J655" i="3"/>
  <c r="F650" i="3"/>
  <c r="B645" i="3"/>
  <c r="J639" i="3"/>
  <c r="F634" i="3"/>
  <c r="B629" i="3"/>
  <c r="J623" i="3"/>
  <c r="F618" i="3"/>
  <c r="B613" i="3"/>
  <c r="J607" i="3"/>
  <c r="F602" i="3"/>
  <c r="B597" i="3"/>
  <c r="J591" i="3"/>
  <c r="F586" i="3"/>
  <c r="B581" i="3"/>
  <c r="J575" i="3"/>
  <c r="F570" i="3"/>
  <c r="B565" i="3"/>
  <c r="J559" i="3"/>
  <c r="F554" i="3"/>
  <c r="E718" i="3"/>
  <c r="A713" i="3"/>
  <c r="I707" i="3"/>
  <c r="E702" i="3"/>
  <c r="A697" i="3"/>
  <c r="I691" i="3"/>
  <c r="E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L769" i="3"/>
  <c r="H764" i="3"/>
  <c r="D759" i="3"/>
  <c r="L753" i="3"/>
  <c r="H748" i="3"/>
  <c r="D743" i="3"/>
  <c r="L737" i="3"/>
  <c r="H732" i="3"/>
  <c r="D727" i="3"/>
  <c r="K891" i="3"/>
  <c r="G886" i="3"/>
  <c r="C881" i="3"/>
  <c r="K875" i="3"/>
  <c r="G870" i="3"/>
  <c r="C865" i="3"/>
  <c r="K859" i="3"/>
  <c r="G854" i="3"/>
  <c r="C849" i="3"/>
  <c r="K843" i="3"/>
  <c r="G838" i="3"/>
  <c r="C833" i="3"/>
  <c r="K827" i="3"/>
  <c r="G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C753" i="3"/>
  <c r="K747" i="3"/>
  <c r="G742" i="3"/>
  <c r="C737" i="3"/>
  <c r="K731" i="3"/>
  <c r="G726" i="3"/>
  <c r="B891" i="3"/>
  <c r="J885" i="3"/>
  <c r="F880" i="3"/>
  <c r="B875" i="3"/>
  <c r="J869" i="3"/>
  <c r="F864" i="3"/>
  <c r="B859" i="3"/>
  <c r="J853" i="3"/>
  <c r="F848" i="3"/>
  <c r="B843" i="3"/>
  <c r="J837" i="3"/>
  <c r="F832" i="3"/>
  <c r="B827" i="3"/>
  <c r="J821" i="3"/>
  <c r="F816" i="3"/>
  <c r="B811" i="3"/>
  <c r="J805" i="3"/>
  <c r="F800" i="3"/>
  <c r="B795" i="3"/>
  <c r="J789" i="3"/>
  <c r="F784" i="3"/>
  <c r="B779" i="3"/>
  <c r="J773" i="3"/>
  <c r="F768" i="3"/>
  <c r="B763" i="3"/>
  <c r="J757" i="3"/>
  <c r="F752" i="3"/>
  <c r="B747" i="3"/>
  <c r="J741" i="3"/>
  <c r="F736" i="3"/>
  <c r="B731" i="3"/>
  <c r="J725" i="3"/>
  <c r="A889" i="3"/>
  <c r="I883" i="3"/>
  <c r="E878" i="3"/>
  <c r="A873" i="3"/>
  <c r="I867" i="3"/>
  <c r="E862" i="3"/>
  <c r="A857" i="3"/>
  <c r="I851" i="3"/>
  <c r="E846" i="3"/>
  <c r="A841" i="3"/>
  <c r="I835" i="3"/>
  <c r="E830" i="3"/>
  <c r="A825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E750" i="3"/>
  <c r="A745" i="3"/>
  <c r="I739" i="3"/>
  <c r="E734" i="3"/>
  <c r="A729" i="3"/>
  <c r="I723" i="3"/>
  <c r="L886" i="3"/>
  <c r="H881" i="3"/>
  <c r="D876" i="3"/>
  <c r="L870" i="3"/>
  <c r="H865" i="3"/>
  <c r="D860" i="3"/>
  <c r="L854" i="3"/>
  <c r="H849" i="3"/>
  <c r="D844" i="3"/>
  <c r="L838" i="3"/>
  <c r="H833" i="3"/>
  <c r="D828" i="3"/>
  <c r="L822" i="3"/>
  <c r="H817" i="3"/>
  <c r="D812" i="3"/>
  <c r="L806" i="3"/>
  <c r="H801" i="3"/>
  <c r="D796" i="3"/>
  <c r="L790" i="3"/>
  <c r="H785" i="3"/>
  <c r="D780" i="3"/>
  <c r="L774" i="3"/>
  <c r="H769" i="3"/>
  <c r="D764" i="3"/>
  <c r="L758" i="3"/>
  <c r="H753" i="3"/>
  <c r="D748" i="3"/>
  <c r="L742" i="3"/>
  <c r="H737" i="3"/>
  <c r="D732" i="3"/>
  <c r="L726" i="3"/>
  <c r="D721" i="3"/>
  <c r="L715" i="3"/>
  <c r="H710" i="3"/>
  <c r="D705" i="3"/>
  <c r="L699" i="3"/>
  <c r="H694" i="3"/>
  <c r="D689" i="3"/>
  <c r="L683" i="3"/>
  <c r="H678" i="3"/>
  <c r="D673" i="3"/>
  <c r="L667" i="3"/>
  <c r="H662" i="3"/>
  <c r="D657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H582" i="3"/>
  <c r="D577" i="3"/>
  <c r="L571" i="3"/>
  <c r="H566" i="3"/>
  <c r="D561" i="3"/>
  <c r="L555" i="3"/>
  <c r="G720" i="3"/>
  <c r="C715" i="3"/>
  <c r="K709" i="3"/>
  <c r="G704" i="3"/>
  <c r="C699" i="3"/>
  <c r="K693" i="3"/>
  <c r="G688" i="3"/>
  <c r="C683" i="3"/>
  <c r="K677" i="3"/>
  <c r="G672" i="3"/>
  <c r="C667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K581" i="3"/>
  <c r="G576" i="3"/>
  <c r="C571" i="3"/>
  <c r="K565" i="3"/>
  <c r="G560" i="3"/>
  <c r="C555" i="3"/>
  <c r="B719" i="3"/>
  <c r="J713" i="3"/>
  <c r="F708" i="3"/>
  <c r="B703" i="3"/>
  <c r="J697" i="3"/>
  <c r="F692" i="3"/>
  <c r="B687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F580" i="3"/>
  <c r="B575" i="3"/>
  <c r="J569" i="3"/>
  <c r="F564" i="3"/>
  <c r="B559" i="3"/>
  <c r="E723" i="3"/>
  <c r="I717" i="3"/>
  <c r="E712" i="3"/>
  <c r="A707" i="3"/>
  <c r="I701" i="3"/>
  <c r="E696" i="3"/>
  <c r="A691" i="3"/>
  <c r="I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I595" i="3"/>
  <c r="E590" i="3"/>
  <c r="A585" i="3"/>
  <c r="I579" i="3"/>
  <c r="E574" i="3"/>
  <c r="A569" i="3"/>
  <c r="I563" i="3"/>
  <c r="E558" i="3"/>
  <c r="D722" i="3"/>
  <c r="L716" i="3"/>
  <c r="H711" i="3"/>
  <c r="D706" i="3"/>
  <c r="L700" i="3"/>
  <c r="H695" i="3"/>
  <c r="D690" i="3"/>
  <c r="L684" i="3"/>
  <c r="H679" i="3"/>
  <c r="D674" i="3"/>
  <c r="L668" i="3"/>
  <c r="H663" i="3"/>
  <c r="D658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H583" i="3"/>
  <c r="D578" i="3"/>
  <c r="L572" i="3"/>
  <c r="H567" i="3"/>
  <c r="D562" i="3"/>
  <c r="L556" i="3"/>
  <c r="C7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C576" i="3"/>
  <c r="K570" i="3"/>
  <c r="G565" i="3"/>
  <c r="C560" i="3"/>
  <c r="K554" i="3"/>
  <c r="F719" i="3"/>
  <c r="B714" i="3"/>
  <c r="J708" i="3"/>
  <c r="F703" i="3"/>
  <c r="B698" i="3"/>
  <c r="J692" i="3"/>
  <c r="F687" i="3"/>
  <c r="B682" i="3"/>
  <c r="J676" i="3"/>
  <c r="F671" i="3"/>
  <c r="B666" i="3"/>
  <c r="J660" i="3"/>
  <c r="F655" i="3"/>
  <c r="B650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J580" i="3"/>
  <c r="F575" i="3"/>
  <c r="B570" i="3"/>
  <c r="J564" i="3"/>
  <c r="F559" i="3"/>
  <c r="B554" i="3"/>
  <c r="A718" i="3"/>
  <c r="I712" i="3"/>
  <c r="E707" i="3"/>
  <c r="A702" i="3"/>
  <c r="I696" i="3"/>
  <c r="E691" i="3"/>
  <c r="A68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I584" i="3"/>
  <c r="E579" i="3"/>
  <c r="A574" i="3"/>
  <c r="I568" i="3"/>
  <c r="E563" i="3"/>
  <c r="A558" i="3"/>
  <c r="H552" i="3"/>
  <c r="D547" i="3"/>
  <c r="L541" i="3"/>
  <c r="H536" i="3"/>
  <c r="D531" i="3"/>
  <c r="L525" i="3"/>
  <c r="H520" i="3"/>
  <c r="D515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G550" i="3"/>
  <c r="C545" i="3"/>
  <c r="K539" i="3"/>
  <c r="G534" i="3"/>
  <c r="C529" i="3"/>
  <c r="K523" i="3"/>
  <c r="G518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K411" i="3"/>
  <c r="G406" i="3"/>
  <c r="C401" i="3"/>
  <c r="K395" i="3"/>
  <c r="G390" i="3"/>
  <c r="C385" i="3"/>
  <c r="J549" i="3"/>
  <c r="F544" i="3"/>
  <c r="B539" i="3"/>
  <c r="J533" i="3"/>
  <c r="F528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B395" i="3"/>
  <c r="J389" i="3"/>
  <c r="F384" i="3"/>
  <c r="A549" i="3"/>
  <c r="I543" i="3"/>
  <c r="E538" i="3"/>
  <c r="A533" i="3"/>
  <c r="I527" i="3"/>
  <c r="E522" i="3"/>
  <c r="A517" i="3"/>
  <c r="I511" i="3"/>
  <c r="E506" i="3"/>
  <c r="A501" i="3"/>
  <c r="I495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A595" i="3"/>
  <c r="I589" i="3"/>
  <c r="E584" i="3"/>
  <c r="A579" i="3"/>
  <c r="I573" i="3"/>
  <c r="E568" i="3"/>
  <c r="A563" i="3"/>
  <c r="I557" i="3"/>
  <c r="H721" i="3"/>
  <c r="D716" i="3"/>
  <c r="L710" i="3"/>
  <c r="H705" i="3"/>
  <c r="D700" i="3"/>
  <c r="L694" i="3"/>
  <c r="H689" i="3"/>
  <c r="D684" i="3"/>
  <c r="L678" i="3"/>
  <c r="H673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H577" i="3"/>
  <c r="D572" i="3"/>
  <c r="L566" i="3"/>
  <c r="H561" i="3"/>
  <c r="D556" i="3"/>
  <c r="G719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K580" i="3"/>
  <c r="G575" i="3"/>
  <c r="C570" i="3"/>
  <c r="K564" i="3"/>
  <c r="G559" i="3"/>
  <c r="C554" i="3"/>
  <c r="J718" i="3"/>
  <c r="F713" i="3"/>
  <c r="B708" i="3"/>
  <c r="J702" i="3"/>
  <c r="F697" i="3"/>
  <c r="B692" i="3"/>
  <c r="J686" i="3"/>
  <c r="F681" i="3"/>
  <c r="B676" i="3"/>
  <c r="J670" i="3"/>
  <c r="F665" i="3"/>
  <c r="B660" i="3"/>
  <c r="J654" i="3"/>
  <c r="F649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B580" i="3"/>
  <c r="J574" i="3"/>
  <c r="F569" i="3"/>
  <c r="B564" i="3"/>
  <c r="J558" i="3"/>
  <c r="K722" i="3"/>
  <c r="E717" i="3"/>
  <c r="A712" i="3"/>
  <c r="I706" i="3"/>
  <c r="E701" i="3"/>
  <c r="A696" i="3"/>
  <c r="I690" i="3"/>
  <c r="E68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I578" i="3"/>
  <c r="E573" i="3"/>
  <c r="A568" i="3"/>
  <c r="I562" i="3"/>
  <c r="E557" i="3"/>
  <c r="L551" i="3"/>
  <c r="H546" i="3"/>
  <c r="D541" i="3"/>
  <c r="L535" i="3"/>
  <c r="H530" i="3"/>
  <c r="D525" i="3"/>
  <c r="L519" i="3"/>
  <c r="H514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K549" i="3"/>
  <c r="G544" i="3"/>
  <c r="C539" i="3"/>
  <c r="K533" i="3"/>
  <c r="G528" i="3"/>
  <c r="C523" i="3"/>
  <c r="K517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C411" i="3"/>
  <c r="K405" i="3"/>
  <c r="G400" i="3"/>
  <c r="C395" i="3"/>
  <c r="K389" i="3"/>
  <c r="G384" i="3"/>
  <c r="B549" i="3"/>
  <c r="J543" i="3"/>
  <c r="F538" i="3"/>
  <c r="B533" i="3"/>
  <c r="J527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J399" i="3"/>
  <c r="F394" i="3"/>
  <c r="B389" i="3"/>
  <c r="J553" i="3"/>
  <c r="E548" i="3"/>
  <c r="A543" i="3"/>
  <c r="I537" i="3"/>
  <c r="E532" i="3"/>
  <c r="A527" i="3"/>
  <c r="I521" i="3"/>
  <c r="E516" i="3"/>
  <c r="A511" i="3"/>
  <c r="I505" i="3"/>
  <c r="E500" i="3"/>
  <c r="A495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E594" i="3"/>
  <c r="A589" i="3"/>
  <c r="I583" i="3"/>
  <c r="E578" i="3"/>
  <c r="A573" i="3"/>
  <c r="I567" i="3"/>
  <c r="E562" i="3"/>
  <c r="A557" i="3"/>
  <c r="L720" i="3"/>
  <c r="H715" i="3"/>
  <c r="D710" i="3"/>
  <c r="L704" i="3"/>
  <c r="H699" i="3"/>
  <c r="D694" i="3"/>
  <c r="L68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D582" i="3"/>
  <c r="L576" i="3"/>
  <c r="H571" i="3"/>
  <c r="D566" i="3"/>
  <c r="L560" i="3"/>
  <c r="H555" i="3"/>
  <c r="K718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C580" i="3"/>
  <c r="K574" i="3"/>
  <c r="G569" i="3"/>
  <c r="C564" i="3"/>
  <c r="K558" i="3"/>
  <c r="G553" i="3"/>
  <c r="B718" i="3"/>
  <c r="J712" i="3"/>
  <c r="F707" i="3"/>
  <c r="B702" i="3"/>
  <c r="J696" i="3"/>
  <c r="F691" i="3"/>
  <c r="B68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J584" i="3"/>
  <c r="F579" i="3"/>
  <c r="B574" i="3"/>
  <c r="J568" i="3"/>
  <c r="F563" i="3"/>
  <c r="B558" i="3"/>
  <c r="A722" i="3"/>
  <c r="I716" i="3"/>
  <c r="E711" i="3"/>
  <c r="A706" i="3"/>
  <c r="I700" i="3"/>
  <c r="E695" i="3"/>
  <c r="A690" i="3"/>
  <c r="I684" i="3"/>
  <c r="E679" i="3"/>
  <c r="A674" i="3"/>
  <c r="I668" i="3"/>
  <c r="E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E583" i="3"/>
  <c r="A578" i="3"/>
  <c r="I572" i="3"/>
  <c r="E567" i="3"/>
  <c r="A562" i="3"/>
  <c r="I556" i="3"/>
  <c r="D551" i="3"/>
  <c r="L545" i="3"/>
  <c r="H540" i="3"/>
  <c r="D535" i="3"/>
  <c r="L529" i="3"/>
  <c r="H524" i="3"/>
  <c r="D519" i="3"/>
  <c r="L513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H396" i="3"/>
  <c r="D391" i="3"/>
  <c r="L385" i="3"/>
  <c r="C549" i="3"/>
  <c r="K543" i="3"/>
  <c r="G538" i="3"/>
  <c r="C533" i="3"/>
  <c r="K527" i="3"/>
  <c r="G522" i="3"/>
  <c r="C517" i="3"/>
  <c r="K511" i="3"/>
  <c r="G506" i="3"/>
  <c r="C501" i="3"/>
  <c r="K49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G410" i="3"/>
  <c r="C405" i="3"/>
  <c r="K399" i="3"/>
  <c r="G394" i="3"/>
  <c r="C389" i="3"/>
  <c r="K553" i="3"/>
  <c r="F548" i="3"/>
  <c r="B543" i="3"/>
  <c r="J537" i="3"/>
  <c r="F532" i="3"/>
  <c r="B527" i="3"/>
  <c r="J521" i="3"/>
  <c r="F516" i="3"/>
  <c r="B511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B399" i="3"/>
  <c r="J393" i="3"/>
  <c r="F388" i="3"/>
  <c r="A553" i="3"/>
  <c r="I547" i="3"/>
  <c r="E542" i="3"/>
  <c r="A537" i="3"/>
  <c r="I531" i="3"/>
  <c r="E526" i="3"/>
  <c r="A521" i="3"/>
  <c r="I515" i="3"/>
  <c r="E510" i="3"/>
  <c r="A505" i="3"/>
  <c r="I499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I593" i="3"/>
  <c r="E588" i="3"/>
  <c r="A583" i="3"/>
  <c r="I577" i="3"/>
  <c r="E572" i="3"/>
  <c r="A567" i="3"/>
  <c r="I561" i="3"/>
  <c r="E556" i="3"/>
  <c r="D720" i="3"/>
  <c r="L714" i="3"/>
  <c r="H709" i="3"/>
  <c r="D704" i="3"/>
  <c r="L698" i="3"/>
  <c r="H693" i="3"/>
  <c r="D688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H581" i="3"/>
  <c r="D576" i="3"/>
  <c r="L570" i="3"/>
  <c r="H565" i="3"/>
  <c r="D560" i="3"/>
  <c r="L554" i="3"/>
  <c r="C718" i="3"/>
  <c r="K712" i="3"/>
  <c r="G70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K584" i="3"/>
  <c r="G579" i="3"/>
  <c r="C574" i="3"/>
  <c r="K568" i="3"/>
  <c r="G563" i="3"/>
  <c r="C558" i="3"/>
  <c r="L722" i="3"/>
  <c r="F717" i="3"/>
  <c r="B712" i="3"/>
  <c r="J706" i="3"/>
  <c r="F701" i="3"/>
  <c r="B696" i="3"/>
  <c r="J690" i="3"/>
  <c r="F685" i="3"/>
  <c r="B680" i="3"/>
  <c r="J674" i="3"/>
  <c r="F669" i="3"/>
  <c r="B664" i="3"/>
  <c r="J658" i="3"/>
  <c r="F653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J578" i="3"/>
  <c r="F573" i="3"/>
  <c r="B568" i="3"/>
  <c r="J562" i="3"/>
  <c r="F557" i="3"/>
  <c r="E721" i="3"/>
  <c r="A716" i="3"/>
  <c r="I710" i="3"/>
  <c r="E705" i="3"/>
  <c r="A700" i="3"/>
  <c r="I694" i="3"/>
  <c r="E689" i="3"/>
  <c r="A68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I582" i="3"/>
  <c r="E577" i="3"/>
  <c r="A572" i="3"/>
  <c r="I566" i="3"/>
  <c r="E561" i="3"/>
  <c r="A556" i="3"/>
  <c r="H550" i="3"/>
  <c r="D545" i="3"/>
  <c r="L539" i="3"/>
  <c r="H534" i="3"/>
  <c r="D529" i="3"/>
  <c r="L523" i="3"/>
  <c r="H518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A554" i="3"/>
  <c r="G548" i="3"/>
  <c r="C543" i="3"/>
  <c r="K537" i="3"/>
  <c r="G532" i="3"/>
  <c r="C527" i="3"/>
  <c r="K521" i="3"/>
  <c r="G516" i="3"/>
  <c r="C511" i="3"/>
  <c r="K505" i="3"/>
  <c r="G500" i="3"/>
  <c r="C49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K409" i="3"/>
  <c r="G404" i="3"/>
  <c r="C399" i="3"/>
  <c r="K393" i="3"/>
  <c r="G388" i="3"/>
  <c r="B553" i="3"/>
  <c r="J547" i="3"/>
  <c r="F542" i="3"/>
  <c r="B537" i="3"/>
  <c r="J531" i="3"/>
  <c r="F526" i="3"/>
  <c r="B521" i="3"/>
  <c r="J515" i="3"/>
  <c r="F510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F398" i="3"/>
  <c r="B393" i="3"/>
  <c r="J387" i="3"/>
  <c r="E552" i="3"/>
  <c r="A547" i="3"/>
  <c r="I541" i="3"/>
  <c r="E536" i="3"/>
  <c r="A531" i="3"/>
  <c r="I525" i="3"/>
  <c r="E520" i="3"/>
  <c r="A515" i="3"/>
  <c r="I509" i="3"/>
  <c r="E504" i="3"/>
  <c r="A499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A593" i="3"/>
  <c r="I587" i="3"/>
  <c r="E582" i="3"/>
  <c r="A577" i="3"/>
  <c r="I571" i="3"/>
  <c r="E566" i="3"/>
  <c r="A561" i="3"/>
  <c r="I555" i="3"/>
  <c r="H719" i="3"/>
  <c r="D714" i="3"/>
  <c r="L708" i="3"/>
  <c r="H703" i="3"/>
  <c r="D698" i="3"/>
  <c r="L692" i="3"/>
  <c r="H68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L580" i="3"/>
  <c r="H575" i="3"/>
  <c r="D570" i="3"/>
  <c r="L564" i="3"/>
  <c r="H559" i="3"/>
  <c r="A723" i="3"/>
  <c r="G717" i="3"/>
  <c r="C712" i="3"/>
  <c r="K70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K578" i="3"/>
  <c r="G573" i="3"/>
  <c r="C568" i="3"/>
  <c r="K562" i="3"/>
  <c r="G557" i="3"/>
  <c r="B722" i="3"/>
  <c r="J716" i="3"/>
  <c r="F711" i="3"/>
  <c r="B706" i="3"/>
  <c r="J700" i="3"/>
  <c r="F695" i="3"/>
  <c r="B690" i="3"/>
  <c r="J684" i="3"/>
  <c r="F679" i="3"/>
  <c r="B674" i="3"/>
  <c r="J668" i="3"/>
  <c r="F663" i="3"/>
  <c r="B658" i="3"/>
  <c r="J652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B578" i="3"/>
  <c r="J572" i="3"/>
  <c r="F567" i="3"/>
  <c r="B562" i="3"/>
  <c r="J556" i="3"/>
  <c r="I720" i="3"/>
  <c r="E715" i="3"/>
  <c r="A710" i="3"/>
  <c r="I704" i="3"/>
  <c r="E699" i="3"/>
  <c r="A694" i="3"/>
  <c r="I68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A582" i="3"/>
  <c r="I576" i="3"/>
  <c r="E571" i="3"/>
  <c r="A566" i="3"/>
  <c r="I560" i="3"/>
  <c r="E555" i="3"/>
  <c r="L549" i="3"/>
  <c r="H544" i="3"/>
  <c r="D539" i="3"/>
  <c r="L533" i="3"/>
  <c r="H528" i="3"/>
  <c r="D523" i="3"/>
  <c r="L517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C553" i="3"/>
  <c r="K547" i="3"/>
  <c r="G542" i="3"/>
  <c r="C537" i="3"/>
  <c r="K531" i="3"/>
  <c r="G526" i="3"/>
  <c r="C521" i="3"/>
  <c r="K515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G414" i="3"/>
  <c r="C409" i="3"/>
  <c r="K403" i="3"/>
  <c r="G398" i="3"/>
  <c r="C393" i="3"/>
  <c r="K387" i="3"/>
  <c r="F552" i="3"/>
  <c r="B547" i="3"/>
  <c r="J541" i="3"/>
  <c r="F536" i="3"/>
  <c r="B531" i="3"/>
  <c r="J525" i="3"/>
  <c r="F520" i="3"/>
  <c r="B51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F408" i="3"/>
  <c r="B403" i="3"/>
  <c r="J397" i="3"/>
  <c r="F392" i="3"/>
  <c r="B387" i="3"/>
  <c r="I551" i="3"/>
  <c r="E546" i="3"/>
  <c r="A541" i="3"/>
  <c r="I535" i="3"/>
  <c r="E530" i="3"/>
  <c r="A525" i="3"/>
  <c r="I519" i="3"/>
  <c r="E514" i="3"/>
  <c r="A509" i="3"/>
  <c r="I503" i="3"/>
  <c r="E498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E592" i="3"/>
  <c r="A587" i="3"/>
  <c r="I581" i="3"/>
  <c r="E576" i="3"/>
  <c r="A571" i="3"/>
  <c r="I565" i="3"/>
  <c r="E560" i="3"/>
  <c r="A555" i="3"/>
  <c r="L718" i="3"/>
  <c r="H713" i="3"/>
  <c r="D708" i="3"/>
  <c r="L702" i="3"/>
  <c r="H697" i="3"/>
  <c r="D692" i="3"/>
  <c r="L686" i="3"/>
  <c r="H681" i="3"/>
  <c r="D676" i="3"/>
  <c r="L670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D580" i="3"/>
  <c r="L574" i="3"/>
  <c r="H569" i="3"/>
  <c r="D564" i="3"/>
  <c r="L558" i="3"/>
  <c r="C722" i="3"/>
  <c r="K716" i="3"/>
  <c r="G711" i="3"/>
  <c r="C706" i="3"/>
  <c r="K700" i="3"/>
  <c r="G695" i="3"/>
  <c r="C690" i="3"/>
  <c r="K68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C578" i="3"/>
  <c r="K572" i="3"/>
  <c r="G567" i="3"/>
  <c r="C562" i="3"/>
  <c r="K556" i="3"/>
  <c r="F721" i="3"/>
  <c r="B716" i="3"/>
  <c r="J710" i="3"/>
  <c r="F705" i="3"/>
  <c r="B700" i="3"/>
  <c r="J694" i="3"/>
  <c r="F689" i="3"/>
  <c r="B684" i="3"/>
  <c r="J678" i="3"/>
  <c r="F673" i="3"/>
  <c r="B668" i="3"/>
  <c r="J662" i="3"/>
  <c r="F657" i="3"/>
  <c r="B652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J582" i="3"/>
  <c r="F577" i="3"/>
  <c r="B572" i="3"/>
  <c r="J566" i="3"/>
  <c r="F561" i="3"/>
  <c r="B556" i="3"/>
  <c r="A720" i="3"/>
  <c r="I714" i="3"/>
  <c r="E709" i="3"/>
  <c r="A704" i="3"/>
  <c r="I698" i="3"/>
  <c r="E693" i="3"/>
  <c r="A68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E581" i="3"/>
  <c r="A576" i="3"/>
  <c r="I570" i="3"/>
  <c r="E565" i="3"/>
  <c r="A560" i="3"/>
  <c r="I554" i="3"/>
  <c r="D549" i="3"/>
  <c r="L543" i="3"/>
  <c r="H538" i="3"/>
  <c r="D533" i="3"/>
  <c r="L527" i="3"/>
  <c r="H522" i="3"/>
  <c r="D517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G552" i="3"/>
  <c r="C547" i="3"/>
  <c r="K541" i="3"/>
  <c r="G536" i="3"/>
  <c r="C531" i="3"/>
  <c r="K525" i="3"/>
  <c r="G520" i="3"/>
  <c r="C515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K413" i="3"/>
  <c r="G408" i="3"/>
  <c r="C403" i="3"/>
  <c r="K397" i="3"/>
  <c r="G392" i="3"/>
  <c r="C387" i="3"/>
  <c r="J551" i="3"/>
  <c r="F546" i="3"/>
  <c r="B541" i="3"/>
  <c r="J535" i="3"/>
  <c r="F530" i="3"/>
  <c r="B525" i="3"/>
  <c r="J519" i="3"/>
  <c r="F51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B397" i="3"/>
  <c r="J391" i="3"/>
  <c r="F386" i="3"/>
  <c r="A551" i="3"/>
  <c r="I545" i="3"/>
  <c r="E540" i="3"/>
  <c r="A535" i="3"/>
  <c r="I529" i="3"/>
  <c r="E524" i="3"/>
  <c r="A519" i="3"/>
  <c r="I513" i="3"/>
  <c r="E508" i="3"/>
  <c r="A503" i="3"/>
  <c r="I497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591" i="3"/>
  <c r="E586" i="3"/>
  <c r="A581" i="3"/>
  <c r="I575" i="3"/>
  <c r="E570" i="3"/>
  <c r="A565" i="3"/>
  <c r="I559" i="3"/>
  <c r="E554" i="3"/>
  <c r="D718" i="3"/>
  <c r="L712" i="3"/>
  <c r="H707" i="3"/>
  <c r="D702" i="3"/>
  <c r="L696" i="3"/>
  <c r="H691" i="3"/>
  <c r="D686" i="3"/>
  <c r="L680" i="3"/>
  <c r="H675" i="3"/>
  <c r="D670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H579" i="3"/>
  <c r="D574" i="3"/>
  <c r="L568" i="3"/>
  <c r="H563" i="3"/>
  <c r="D558" i="3"/>
  <c r="G721" i="3"/>
  <c r="C716" i="3"/>
  <c r="K71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G577" i="3"/>
  <c r="C572" i="3"/>
  <c r="K566" i="3"/>
  <c r="G561" i="3"/>
  <c r="C556" i="3"/>
  <c r="J720" i="3"/>
  <c r="F715" i="3"/>
  <c r="B710" i="3"/>
  <c r="J704" i="3"/>
  <c r="F699" i="3"/>
  <c r="B694" i="3"/>
  <c r="J688" i="3"/>
  <c r="F683" i="3"/>
  <c r="B678" i="3"/>
  <c r="J672" i="3"/>
  <c r="F667" i="3"/>
  <c r="B662" i="3"/>
  <c r="J656" i="3"/>
  <c r="F651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B582" i="3"/>
  <c r="J576" i="3"/>
  <c r="F571" i="3"/>
  <c r="B566" i="3"/>
  <c r="J560" i="3"/>
  <c r="F555" i="3"/>
  <c r="E719" i="3"/>
  <c r="A714" i="3"/>
  <c r="I708" i="3"/>
  <c r="E703" i="3"/>
  <c r="A698" i="3"/>
  <c r="I692" i="3"/>
  <c r="E68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I580" i="3"/>
  <c r="E575" i="3"/>
  <c r="A570" i="3"/>
  <c r="I564" i="3"/>
  <c r="E559" i="3"/>
  <c r="D554" i="3"/>
  <c r="H548" i="3"/>
  <c r="D543" i="3"/>
  <c r="L537" i="3"/>
  <c r="H532" i="3"/>
  <c r="D527" i="3"/>
  <c r="L521" i="3"/>
  <c r="H516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K551" i="3"/>
  <c r="G546" i="3"/>
  <c r="C541" i="3"/>
  <c r="K535" i="3"/>
  <c r="G530" i="3"/>
  <c r="C525" i="3"/>
  <c r="K519" i="3"/>
  <c r="G514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C413" i="3"/>
  <c r="K407" i="3"/>
  <c r="G402" i="3"/>
  <c r="C397" i="3"/>
  <c r="K391" i="3"/>
  <c r="G386" i="3"/>
  <c r="B551" i="3"/>
  <c r="J545" i="3"/>
  <c r="F540" i="3"/>
  <c r="B535" i="3"/>
  <c r="J529" i="3"/>
  <c r="F524" i="3"/>
  <c r="B519" i="3"/>
  <c r="J51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F396" i="3"/>
  <c r="B391" i="3"/>
  <c r="J385" i="3"/>
  <c r="E550" i="3"/>
  <c r="A545" i="3"/>
  <c r="I539" i="3"/>
  <c r="E534" i="3"/>
  <c r="A529" i="3"/>
  <c r="I523" i="3"/>
  <c r="E518" i="3"/>
  <c r="A513" i="3"/>
  <c r="I507" i="3"/>
  <c r="E502" i="3"/>
  <c r="A497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A591" i="3"/>
  <c r="I585" i="3"/>
  <c r="E580" i="3"/>
  <c r="A575" i="3"/>
  <c r="I569" i="3"/>
  <c r="E564" i="3"/>
  <c r="A559" i="3"/>
  <c r="B723" i="3"/>
  <c r="H717" i="3"/>
  <c r="D712" i="3"/>
  <c r="L706" i="3"/>
  <c r="H701" i="3"/>
  <c r="D696" i="3"/>
  <c r="L690" i="3"/>
  <c r="H68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L578" i="3"/>
  <c r="H573" i="3"/>
  <c r="D568" i="3"/>
  <c r="L562" i="3"/>
  <c r="H557" i="3"/>
  <c r="K720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K576" i="3"/>
  <c r="G571" i="3"/>
  <c r="C566" i="3"/>
  <c r="K560" i="3"/>
  <c r="G555" i="3"/>
  <c r="B720" i="3"/>
  <c r="J714" i="3"/>
  <c r="F709" i="3"/>
  <c r="B704" i="3"/>
  <c r="J698" i="3"/>
  <c r="F693" i="3"/>
  <c r="B688" i="3"/>
  <c r="J682" i="3"/>
  <c r="F677" i="3"/>
  <c r="B672" i="3"/>
  <c r="J666" i="3"/>
  <c r="F661" i="3"/>
  <c r="B656" i="3"/>
  <c r="J650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F581" i="3"/>
  <c r="B576" i="3"/>
  <c r="J570" i="3"/>
  <c r="F565" i="3"/>
  <c r="B560" i="3"/>
  <c r="J554" i="3"/>
  <c r="I718" i="3"/>
  <c r="E713" i="3"/>
  <c r="A708" i="3"/>
  <c r="I702" i="3"/>
  <c r="E697" i="3"/>
  <c r="A692" i="3"/>
  <c r="I68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A580" i="3"/>
  <c r="I574" i="3"/>
  <c r="E569" i="3"/>
  <c r="A564" i="3"/>
  <c r="I558" i="3"/>
  <c r="D553" i="3"/>
  <c r="L547" i="3"/>
  <c r="H542" i="3"/>
  <c r="D537" i="3"/>
  <c r="L531" i="3"/>
  <c r="H526" i="3"/>
  <c r="D521" i="3"/>
  <c r="L515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H414" i="3"/>
  <c r="D409" i="3"/>
  <c r="L403" i="3"/>
  <c r="H398" i="3"/>
  <c r="D393" i="3"/>
  <c r="L387" i="3"/>
  <c r="C551" i="3"/>
  <c r="K545" i="3"/>
  <c r="G540" i="3"/>
  <c r="C535" i="3"/>
  <c r="K529" i="3"/>
  <c r="G524" i="3"/>
  <c r="C519" i="3"/>
  <c r="K513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G412" i="3"/>
  <c r="C407" i="3"/>
  <c r="K401" i="3"/>
  <c r="G396" i="3"/>
  <c r="C391" i="3"/>
  <c r="K385" i="3"/>
  <c r="F550" i="3"/>
  <c r="B545" i="3"/>
  <c r="J539" i="3"/>
  <c r="F534" i="3"/>
  <c r="B529" i="3"/>
  <c r="J523" i="3"/>
  <c r="F51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J395" i="3"/>
  <c r="F390" i="3"/>
  <c r="B385" i="3"/>
  <c r="I549" i="3"/>
  <c r="E544" i="3"/>
  <c r="A539" i="3"/>
  <c r="I533" i="3"/>
  <c r="E528" i="3"/>
  <c r="A523" i="3"/>
  <c r="I517" i="3"/>
  <c r="E512" i="3"/>
  <c r="A507" i="3"/>
  <c r="I501" i="3"/>
  <c r="E496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I417" i="3"/>
  <c r="E410" i="3"/>
  <c r="A405" i="3"/>
  <c r="I399" i="3"/>
  <c r="E394" i="3"/>
  <c r="A389" i="3"/>
  <c r="D552" i="3"/>
  <c r="L546" i="3"/>
  <c r="H541" i="3"/>
  <c r="D536" i="3"/>
  <c r="L530" i="3"/>
  <c r="H525" i="3"/>
  <c r="D520" i="3"/>
  <c r="L514" i="3"/>
  <c r="H509" i="3"/>
  <c r="D504" i="3"/>
  <c r="L498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H413" i="3"/>
  <c r="D408" i="3"/>
  <c r="L402" i="3"/>
  <c r="H397" i="3"/>
  <c r="D392" i="3"/>
  <c r="L386" i="3"/>
  <c r="C550" i="3"/>
  <c r="K544" i="3"/>
  <c r="G539" i="3"/>
  <c r="C534" i="3"/>
  <c r="K528" i="3"/>
  <c r="G523" i="3"/>
  <c r="C518" i="3"/>
  <c r="K512" i="3"/>
  <c r="G507" i="3"/>
  <c r="C502" i="3"/>
  <c r="K496" i="3"/>
  <c r="G491" i="3"/>
  <c r="C486" i="3"/>
  <c r="K480" i="3"/>
  <c r="G475" i="3"/>
  <c r="C470" i="3"/>
  <c r="K464" i="3"/>
  <c r="G459" i="3"/>
  <c r="C454" i="3"/>
  <c r="K448" i="3"/>
  <c r="G443" i="3"/>
  <c r="C438" i="3"/>
  <c r="K432" i="3"/>
  <c r="G427" i="3"/>
  <c r="C422" i="3"/>
  <c r="K416" i="3"/>
  <c r="G411" i="3"/>
  <c r="C406" i="3"/>
  <c r="K400" i="3"/>
  <c r="G395" i="3"/>
  <c r="C390" i="3"/>
  <c r="K38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B426" i="3"/>
  <c r="J420" i="3"/>
  <c r="F415" i="3"/>
  <c r="B410" i="3"/>
  <c r="J404" i="3"/>
  <c r="F399" i="3"/>
  <c r="B394" i="3"/>
  <c r="J388" i="3"/>
  <c r="A552" i="3"/>
  <c r="I546" i="3"/>
  <c r="E541" i="3"/>
  <c r="A536" i="3"/>
  <c r="I530" i="3"/>
  <c r="E525" i="3"/>
  <c r="A520" i="3"/>
  <c r="I514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E413" i="3"/>
  <c r="A408" i="3"/>
  <c r="I402" i="3"/>
  <c r="E397" i="3"/>
  <c r="A392" i="3"/>
  <c r="I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D226" i="3"/>
  <c r="L220" i="3"/>
  <c r="H215" i="3"/>
  <c r="K380" i="3"/>
  <c r="G375" i="3"/>
  <c r="C370" i="3"/>
  <c r="K364" i="3"/>
  <c r="G359" i="3"/>
  <c r="C354" i="3"/>
  <c r="K348" i="3"/>
  <c r="G343" i="3"/>
  <c r="C338" i="3"/>
  <c r="K332" i="3"/>
  <c r="G32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C258" i="3"/>
  <c r="K252" i="3"/>
  <c r="G247" i="3"/>
  <c r="C242" i="3"/>
  <c r="K236" i="3"/>
  <c r="G231" i="3"/>
  <c r="C226" i="3"/>
  <c r="K220" i="3"/>
  <c r="G215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B242" i="3"/>
  <c r="J236" i="3"/>
  <c r="F231" i="3"/>
  <c r="B226" i="3"/>
  <c r="J220" i="3"/>
  <c r="F215" i="3"/>
  <c r="I380" i="3"/>
  <c r="E375" i="3"/>
  <c r="A370" i="3"/>
  <c r="I364" i="3"/>
  <c r="E359" i="3"/>
  <c r="A354" i="3"/>
  <c r="I34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A242" i="3"/>
  <c r="I236" i="3"/>
  <c r="E231" i="3"/>
  <c r="A226" i="3"/>
  <c r="I220" i="3"/>
  <c r="E21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D225" i="3"/>
  <c r="L219" i="3"/>
  <c r="I384" i="3"/>
  <c r="C379" i="3"/>
  <c r="K373" i="3"/>
  <c r="G368" i="3"/>
  <c r="C363" i="3"/>
  <c r="K357" i="3"/>
  <c r="G352" i="3"/>
  <c r="C347" i="3"/>
  <c r="K341" i="3"/>
  <c r="G336" i="3"/>
  <c r="C331" i="3"/>
  <c r="K325" i="3"/>
  <c r="G320" i="3"/>
  <c r="C315" i="3"/>
  <c r="K309" i="3"/>
  <c r="G304" i="3"/>
  <c r="C299" i="3"/>
  <c r="K293" i="3"/>
  <c r="G288" i="3"/>
  <c r="C283" i="3"/>
  <c r="K277" i="3"/>
  <c r="G272" i="3"/>
  <c r="C267" i="3"/>
  <c r="K261" i="3"/>
  <c r="G256" i="3"/>
  <c r="C251" i="3"/>
  <c r="K245" i="3"/>
  <c r="G240" i="3"/>
  <c r="C235" i="3"/>
  <c r="K229" i="3"/>
  <c r="G224" i="3"/>
  <c r="C219" i="3"/>
  <c r="J383" i="3"/>
  <c r="F378" i="3"/>
  <c r="B373" i="3"/>
  <c r="J367" i="3"/>
  <c r="F362" i="3"/>
  <c r="B357" i="3"/>
  <c r="J351" i="3"/>
  <c r="F346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J239" i="3"/>
  <c r="F234" i="3"/>
  <c r="B229" i="3"/>
  <c r="J223" i="3"/>
  <c r="F218" i="3"/>
  <c r="A383" i="3"/>
  <c r="I377" i="3"/>
  <c r="E372" i="3"/>
  <c r="A367" i="3"/>
  <c r="I361" i="3"/>
  <c r="E356" i="3"/>
  <c r="A351" i="3"/>
  <c r="I345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A239" i="3"/>
  <c r="I233" i="3"/>
  <c r="E228" i="3"/>
  <c r="A223" i="3"/>
  <c r="I217" i="3"/>
  <c r="I212" i="3"/>
  <c r="E207" i="3"/>
  <c r="A202" i="3"/>
  <c r="I196" i="3"/>
  <c r="E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I68" i="3"/>
  <c r="E63" i="3"/>
  <c r="A58" i="3"/>
  <c r="I52" i="3"/>
  <c r="E47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D69" i="3"/>
  <c r="L63" i="3"/>
  <c r="H58" i="3"/>
  <c r="D53" i="3"/>
  <c r="L47" i="3"/>
  <c r="H42" i="3"/>
  <c r="D37" i="3"/>
  <c r="C211" i="3"/>
  <c r="K205" i="3"/>
  <c r="G200" i="3"/>
  <c r="C195" i="3"/>
  <c r="K189" i="3"/>
  <c r="G184" i="3"/>
  <c r="C179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C67" i="3"/>
  <c r="K61" i="3"/>
  <c r="G56" i="3"/>
  <c r="C51" i="3"/>
  <c r="K45" i="3"/>
  <c r="J211" i="3"/>
  <c r="F206" i="3"/>
  <c r="B201" i="3"/>
  <c r="J195" i="3"/>
  <c r="F190" i="3"/>
  <c r="B185" i="3"/>
  <c r="J17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E416" i="3"/>
  <c r="I409" i="3"/>
  <c r="E404" i="3"/>
  <c r="A399" i="3"/>
  <c r="I393" i="3"/>
  <c r="E388" i="3"/>
  <c r="H551" i="3"/>
  <c r="D546" i="3"/>
  <c r="L540" i="3"/>
  <c r="H535" i="3"/>
  <c r="D530" i="3"/>
  <c r="L524" i="3"/>
  <c r="H519" i="3"/>
  <c r="D514" i="3"/>
  <c r="L508" i="3"/>
  <c r="H503" i="3"/>
  <c r="D498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L412" i="3"/>
  <c r="H407" i="3"/>
  <c r="D402" i="3"/>
  <c r="L396" i="3"/>
  <c r="H391" i="3"/>
  <c r="D386" i="3"/>
  <c r="G549" i="3"/>
  <c r="C544" i="3"/>
  <c r="K538" i="3"/>
  <c r="G533" i="3"/>
  <c r="C528" i="3"/>
  <c r="K522" i="3"/>
  <c r="G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K410" i="3"/>
  <c r="G405" i="3"/>
  <c r="C400" i="3"/>
  <c r="K394" i="3"/>
  <c r="G389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F425" i="3"/>
  <c r="B420" i="3"/>
  <c r="J414" i="3"/>
  <c r="F409" i="3"/>
  <c r="B404" i="3"/>
  <c r="J398" i="3"/>
  <c r="F393" i="3"/>
  <c r="B388" i="3"/>
  <c r="E551" i="3"/>
  <c r="A546" i="3"/>
  <c r="I540" i="3"/>
  <c r="E535" i="3"/>
  <c r="A530" i="3"/>
  <c r="I524" i="3"/>
  <c r="E519" i="3"/>
  <c r="A514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I412" i="3"/>
  <c r="E407" i="3"/>
  <c r="A402" i="3"/>
  <c r="I396" i="3"/>
  <c r="E391" i="3"/>
  <c r="A386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H225" i="3"/>
  <c r="D220" i="3"/>
  <c r="L214" i="3"/>
  <c r="C380" i="3"/>
  <c r="K374" i="3"/>
  <c r="G369" i="3"/>
  <c r="C364" i="3"/>
  <c r="K358" i="3"/>
  <c r="G353" i="3"/>
  <c r="C348" i="3"/>
  <c r="K342" i="3"/>
  <c r="G337" i="3"/>
  <c r="C332" i="3"/>
  <c r="K326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G257" i="3"/>
  <c r="C252" i="3"/>
  <c r="K246" i="3"/>
  <c r="G241" i="3"/>
  <c r="C236" i="3"/>
  <c r="K230" i="3"/>
  <c r="G225" i="3"/>
  <c r="C220" i="3"/>
  <c r="K214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F241" i="3"/>
  <c r="B236" i="3"/>
  <c r="J230" i="3"/>
  <c r="F225" i="3"/>
  <c r="B220" i="3"/>
  <c r="J214" i="3"/>
  <c r="A380" i="3"/>
  <c r="I374" i="3"/>
  <c r="E369" i="3"/>
  <c r="A364" i="3"/>
  <c r="I358" i="3"/>
  <c r="E353" i="3"/>
  <c r="A34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E241" i="3"/>
  <c r="A236" i="3"/>
  <c r="I230" i="3"/>
  <c r="E225" i="3"/>
  <c r="A220" i="3"/>
  <c r="J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L229" i="3"/>
  <c r="H224" i="3"/>
  <c r="D219" i="3"/>
  <c r="K383" i="3"/>
  <c r="G378" i="3"/>
  <c r="C373" i="3"/>
  <c r="K367" i="3"/>
  <c r="G362" i="3"/>
  <c r="C357" i="3"/>
  <c r="K351" i="3"/>
  <c r="G346" i="3"/>
  <c r="C341" i="3"/>
  <c r="K335" i="3"/>
  <c r="G330" i="3"/>
  <c r="C325" i="3"/>
  <c r="K319" i="3"/>
  <c r="G314" i="3"/>
  <c r="C309" i="3"/>
  <c r="K303" i="3"/>
  <c r="G298" i="3"/>
  <c r="C293" i="3"/>
  <c r="K287" i="3"/>
  <c r="G282" i="3"/>
  <c r="C277" i="3"/>
  <c r="K271" i="3"/>
  <c r="G266" i="3"/>
  <c r="C261" i="3"/>
  <c r="K255" i="3"/>
  <c r="G250" i="3"/>
  <c r="C245" i="3"/>
  <c r="K239" i="3"/>
  <c r="G234" i="3"/>
  <c r="C229" i="3"/>
  <c r="K223" i="3"/>
  <c r="G218" i="3"/>
  <c r="B383" i="3"/>
  <c r="J377" i="3"/>
  <c r="F372" i="3"/>
  <c r="B367" i="3"/>
  <c r="J361" i="3"/>
  <c r="F356" i="3"/>
  <c r="B351" i="3"/>
  <c r="J345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B239" i="3"/>
  <c r="J233" i="3"/>
  <c r="F228" i="3"/>
  <c r="B223" i="3"/>
  <c r="J217" i="3"/>
  <c r="E382" i="3"/>
  <c r="A377" i="3"/>
  <c r="I371" i="3"/>
  <c r="E366" i="3"/>
  <c r="A361" i="3"/>
  <c r="I355" i="3"/>
  <c r="E350" i="3"/>
  <c r="A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E238" i="3"/>
  <c r="A233" i="3"/>
  <c r="I227" i="3"/>
  <c r="E222" i="3"/>
  <c r="A217" i="3"/>
  <c r="A212" i="3"/>
  <c r="I206" i="3"/>
  <c r="E201" i="3"/>
  <c r="A196" i="3"/>
  <c r="I190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A68" i="3"/>
  <c r="I62" i="3"/>
  <c r="E57" i="3"/>
  <c r="A52" i="3"/>
  <c r="I46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H68" i="3"/>
  <c r="D63" i="3"/>
  <c r="L57" i="3"/>
  <c r="H52" i="3"/>
  <c r="D47" i="3"/>
  <c r="L41" i="3"/>
  <c r="H36" i="3"/>
  <c r="G210" i="3"/>
  <c r="C205" i="3"/>
  <c r="K199" i="3"/>
  <c r="G194" i="3"/>
  <c r="C189" i="3"/>
  <c r="K183" i="3"/>
  <c r="G178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K71" i="3"/>
  <c r="G66" i="3"/>
  <c r="C61" i="3"/>
  <c r="K55" i="3"/>
  <c r="G50" i="3"/>
  <c r="C45" i="3"/>
  <c r="B211" i="3"/>
  <c r="J205" i="3"/>
  <c r="F200" i="3"/>
  <c r="B195" i="3"/>
  <c r="J189" i="3"/>
  <c r="F184" i="3"/>
  <c r="B17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E414" i="3"/>
  <c r="A409" i="3"/>
  <c r="I403" i="3"/>
  <c r="E398" i="3"/>
  <c r="A393" i="3"/>
  <c r="I387" i="3"/>
  <c r="L550" i="3"/>
  <c r="H545" i="3"/>
  <c r="D540" i="3"/>
  <c r="L534" i="3"/>
  <c r="H529" i="3"/>
  <c r="D524" i="3"/>
  <c r="L518" i="3"/>
  <c r="H513" i="3"/>
  <c r="D508" i="3"/>
  <c r="L502" i="3"/>
  <c r="H497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D412" i="3"/>
  <c r="L406" i="3"/>
  <c r="H401" i="3"/>
  <c r="D396" i="3"/>
  <c r="L390" i="3"/>
  <c r="H385" i="3"/>
  <c r="K548" i="3"/>
  <c r="G543" i="3"/>
  <c r="C538" i="3"/>
  <c r="K532" i="3"/>
  <c r="G527" i="3"/>
  <c r="C522" i="3"/>
  <c r="K516" i="3"/>
  <c r="G511" i="3"/>
  <c r="C506" i="3"/>
  <c r="K500" i="3"/>
  <c r="G495" i="3"/>
  <c r="C490" i="3"/>
  <c r="K484" i="3"/>
  <c r="G479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C410" i="3"/>
  <c r="K404" i="3"/>
  <c r="G399" i="3"/>
  <c r="C394" i="3"/>
  <c r="K38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B430" i="3"/>
  <c r="J424" i="3"/>
  <c r="F419" i="3"/>
  <c r="B414" i="3"/>
  <c r="J408" i="3"/>
  <c r="F403" i="3"/>
  <c r="B398" i="3"/>
  <c r="J392" i="3"/>
  <c r="F387" i="3"/>
  <c r="I550" i="3"/>
  <c r="E545" i="3"/>
  <c r="A540" i="3"/>
  <c r="I534" i="3"/>
  <c r="E529" i="3"/>
  <c r="A524" i="3"/>
  <c r="I518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A412" i="3"/>
  <c r="I406" i="3"/>
  <c r="E401" i="3"/>
  <c r="A396" i="3"/>
  <c r="I390" i="3"/>
  <c r="E385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L224" i="3"/>
  <c r="H219" i="3"/>
  <c r="D385" i="3"/>
  <c r="G379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K256" i="3"/>
  <c r="G251" i="3"/>
  <c r="C246" i="3"/>
  <c r="K240" i="3"/>
  <c r="G235" i="3"/>
  <c r="C230" i="3"/>
  <c r="K224" i="3"/>
  <c r="G219" i="3"/>
  <c r="A385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J240" i="3"/>
  <c r="F235" i="3"/>
  <c r="B230" i="3"/>
  <c r="J224" i="3"/>
  <c r="F219" i="3"/>
  <c r="L384" i="3"/>
  <c r="E379" i="3"/>
  <c r="A374" i="3"/>
  <c r="I368" i="3"/>
  <c r="E363" i="3"/>
  <c r="A358" i="3"/>
  <c r="I352" i="3"/>
  <c r="E347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I240" i="3"/>
  <c r="E235" i="3"/>
  <c r="A230" i="3"/>
  <c r="I224" i="3"/>
  <c r="E21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D229" i="3"/>
  <c r="L223" i="3"/>
  <c r="H218" i="3"/>
  <c r="C383" i="3"/>
  <c r="K377" i="3"/>
  <c r="G372" i="3"/>
  <c r="C367" i="3"/>
  <c r="K361" i="3"/>
  <c r="G356" i="3"/>
  <c r="C351" i="3"/>
  <c r="K345" i="3"/>
  <c r="G340" i="3"/>
  <c r="C335" i="3"/>
  <c r="K329" i="3"/>
  <c r="G324" i="3"/>
  <c r="C319" i="3"/>
  <c r="K313" i="3"/>
  <c r="G308" i="3"/>
  <c r="C303" i="3"/>
  <c r="K297" i="3"/>
  <c r="G292" i="3"/>
  <c r="C287" i="3"/>
  <c r="K281" i="3"/>
  <c r="G276" i="3"/>
  <c r="C271" i="3"/>
  <c r="K265" i="3"/>
  <c r="G260" i="3"/>
  <c r="C255" i="3"/>
  <c r="K249" i="3"/>
  <c r="G244" i="3"/>
  <c r="C239" i="3"/>
  <c r="K233" i="3"/>
  <c r="G228" i="3"/>
  <c r="C223" i="3"/>
  <c r="K217" i="3"/>
  <c r="F382" i="3"/>
  <c r="B377" i="3"/>
  <c r="J371" i="3"/>
  <c r="F366" i="3"/>
  <c r="B361" i="3"/>
  <c r="J355" i="3"/>
  <c r="F350" i="3"/>
  <c r="B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F238" i="3"/>
  <c r="B233" i="3"/>
  <c r="J227" i="3"/>
  <c r="F222" i="3"/>
  <c r="B217" i="3"/>
  <c r="I381" i="3"/>
  <c r="E376" i="3"/>
  <c r="A371" i="3"/>
  <c r="I365" i="3"/>
  <c r="E360" i="3"/>
  <c r="A355" i="3"/>
  <c r="I349" i="3"/>
  <c r="E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I237" i="3"/>
  <c r="E232" i="3"/>
  <c r="A227" i="3"/>
  <c r="I221" i="3"/>
  <c r="E216" i="3"/>
  <c r="E211" i="3"/>
  <c r="A206" i="3"/>
  <c r="I200" i="3"/>
  <c r="E195" i="3"/>
  <c r="A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I72" i="3"/>
  <c r="E67" i="3"/>
  <c r="A62" i="3"/>
  <c r="I56" i="3"/>
  <c r="E51" i="3"/>
  <c r="A46" i="3"/>
  <c r="L211" i="3"/>
  <c r="H206" i="3"/>
  <c r="D201" i="3"/>
  <c r="L195" i="3"/>
  <c r="H190" i="3"/>
  <c r="D185" i="3"/>
  <c r="L17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L67" i="3"/>
  <c r="H62" i="3"/>
  <c r="D57" i="3"/>
  <c r="L51" i="3"/>
  <c r="H46" i="3"/>
  <c r="D41" i="3"/>
  <c r="L35" i="3"/>
  <c r="K209" i="3"/>
  <c r="G204" i="3"/>
  <c r="C199" i="3"/>
  <c r="K193" i="3"/>
  <c r="G188" i="3"/>
  <c r="C183" i="3"/>
  <c r="K17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C71" i="3"/>
  <c r="K65" i="3"/>
  <c r="G60" i="3"/>
  <c r="C55" i="3"/>
  <c r="K49" i="3"/>
  <c r="G44" i="3"/>
  <c r="F210" i="3"/>
  <c r="B205" i="3"/>
  <c r="J199" i="3"/>
  <c r="F194" i="3"/>
  <c r="B189" i="3"/>
  <c r="J183" i="3"/>
  <c r="F17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I413" i="3"/>
  <c r="E408" i="3"/>
  <c r="A403" i="3"/>
  <c r="I397" i="3"/>
  <c r="E392" i="3"/>
  <c r="A387" i="3"/>
  <c r="D550" i="3"/>
  <c r="L544" i="3"/>
  <c r="H539" i="3"/>
  <c r="D534" i="3"/>
  <c r="L528" i="3"/>
  <c r="H523" i="3"/>
  <c r="D518" i="3"/>
  <c r="L512" i="3"/>
  <c r="H507" i="3"/>
  <c r="D502" i="3"/>
  <c r="L496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H411" i="3"/>
  <c r="D406" i="3"/>
  <c r="L400" i="3"/>
  <c r="H395" i="3"/>
  <c r="D390" i="3"/>
  <c r="H553" i="3"/>
  <c r="C548" i="3"/>
  <c r="K542" i="3"/>
  <c r="G537" i="3"/>
  <c r="C532" i="3"/>
  <c r="K526" i="3"/>
  <c r="G521" i="3"/>
  <c r="C516" i="3"/>
  <c r="K510" i="3"/>
  <c r="G505" i="3"/>
  <c r="C500" i="3"/>
  <c r="K494" i="3"/>
  <c r="G489" i="3"/>
  <c r="C484" i="3"/>
  <c r="K478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G409" i="3"/>
  <c r="C404" i="3"/>
  <c r="K398" i="3"/>
  <c r="G393" i="3"/>
  <c r="C388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F429" i="3"/>
  <c r="B424" i="3"/>
  <c r="J418" i="3"/>
  <c r="F413" i="3"/>
  <c r="B408" i="3"/>
  <c r="J402" i="3"/>
  <c r="F397" i="3"/>
  <c r="B392" i="3"/>
  <c r="J386" i="3"/>
  <c r="A550" i="3"/>
  <c r="I544" i="3"/>
  <c r="E539" i="3"/>
  <c r="A534" i="3"/>
  <c r="I528" i="3"/>
  <c r="E523" i="3"/>
  <c r="A518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I416" i="3"/>
  <c r="E411" i="3"/>
  <c r="A406" i="3"/>
  <c r="I400" i="3"/>
  <c r="E395" i="3"/>
  <c r="A390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H229" i="3"/>
  <c r="D224" i="3"/>
  <c r="L218" i="3"/>
  <c r="C384" i="3"/>
  <c r="K378" i="3"/>
  <c r="G373" i="3"/>
  <c r="C368" i="3"/>
  <c r="K362" i="3"/>
  <c r="G357" i="3"/>
  <c r="C352" i="3"/>
  <c r="K346" i="3"/>
  <c r="G341" i="3"/>
  <c r="C336" i="3"/>
  <c r="K330" i="3"/>
  <c r="G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C256" i="3"/>
  <c r="K250" i="3"/>
  <c r="G245" i="3"/>
  <c r="C240" i="3"/>
  <c r="K234" i="3"/>
  <c r="G229" i="3"/>
  <c r="C224" i="3"/>
  <c r="K218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B240" i="3"/>
  <c r="J234" i="3"/>
  <c r="F229" i="3"/>
  <c r="B224" i="3"/>
  <c r="J218" i="3"/>
  <c r="A384" i="3"/>
  <c r="I378" i="3"/>
  <c r="E373" i="3"/>
  <c r="A368" i="3"/>
  <c r="I362" i="3"/>
  <c r="E357" i="3"/>
  <c r="A352" i="3"/>
  <c r="I346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A240" i="3"/>
  <c r="I234" i="3"/>
  <c r="E229" i="3"/>
  <c r="A224" i="3"/>
  <c r="I21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H228" i="3"/>
  <c r="D223" i="3"/>
  <c r="L217" i="3"/>
  <c r="G382" i="3"/>
  <c r="C377" i="3"/>
  <c r="K371" i="3"/>
  <c r="G366" i="3"/>
  <c r="C361" i="3"/>
  <c r="K355" i="3"/>
  <c r="G350" i="3"/>
  <c r="C345" i="3"/>
  <c r="K339" i="3"/>
  <c r="G334" i="3"/>
  <c r="C329" i="3"/>
  <c r="K323" i="3"/>
  <c r="G318" i="3"/>
  <c r="C313" i="3"/>
  <c r="K307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G238" i="3"/>
  <c r="C233" i="3"/>
  <c r="K227" i="3"/>
  <c r="G222" i="3"/>
  <c r="C217" i="3"/>
  <c r="J381" i="3"/>
  <c r="F376" i="3"/>
  <c r="B371" i="3"/>
  <c r="J365" i="3"/>
  <c r="F360" i="3"/>
  <c r="B355" i="3"/>
  <c r="J349" i="3"/>
  <c r="F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B243" i="3"/>
  <c r="J237" i="3"/>
  <c r="F232" i="3"/>
  <c r="B227" i="3"/>
  <c r="J221" i="3"/>
  <c r="F216" i="3"/>
  <c r="A381" i="3"/>
  <c r="I375" i="3"/>
  <c r="E370" i="3"/>
  <c r="A365" i="3"/>
  <c r="I359" i="3"/>
  <c r="E354" i="3"/>
  <c r="A349" i="3"/>
  <c r="I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E242" i="3"/>
  <c r="A237" i="3"/>
  <c r="I231" i="3"/>
  <c r="E226" i="3"/>
  <c r="A221" i="3"/>
  <c r="I215" i="3"/>
  <c r="I210" i="3"/>
  <c r="E205" i="3"/>
  <c r="A200" i="3"/>
  <c r="I194" i="3"/>
  <c r="E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A72" i="3"/>
  <c r="I66" i="3"/>
  <c r="E61" i="3"/>
  <c r="A56" i="3"/>
  <c r="I50" i="3"/>
  <c r="E45" i="3"/>
  <c r="D211" i="3"/>
  <c r="L205" i="3"/>
  <c r="H200" i="3"/>
  <c r="D195" i="3"/>
  <c r="L189" i="3"/>
  <c r="H184" i="3"/>
  <c r="D179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H72" i="3"/>
  <c r="D67" i="3"/>
  <c r="L61" i="3"/>
  <c r="H56" i="3"/>
  <c r="D51" i="3"/>
  <c r="L45" i="3"/>
  <c r="H40" i="3"/>
  <c r="G214" i="3"/>
  <c r="C209" i="3"/>
  <c r="K203" i="3"/>
  <c r="G198" i="3"/>
  <c r="C193" i="3"/>
  <c r="K187" i="3"/>
  <c r="G182" i="3"/>
  <c r="C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G70" i="3"/>
  <c r="C65" i="3"/>
  <c r="K59" i="3"/>
  <c r="G54" i="3"/>
  <c r="C49" i="3"/>
  <c r="K43" i="3"/>
  <c r="J209" i="3"/>
  <c r="F204" i="3"/>
  <c r="B199" i="3"/>
  <c r="J193" i="3"/>
  <c r="F188" i="3"/>
  <c r="B183" i="3"/>
  <c r="J17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A413" i="3"/>
  <c r="I407" i="3"/>
  <c r="E402" i="3"/>
  <c r="A397" i="3"/>
  <c r="I391" i="3"/>
  <c r="E386" i="3"/>
  <c r="H549" i="3"/>
  <c r="D544" i="3"/>
  <c r="L538" i="3"/>
  <c r="H533" i="3"/>
  <c r="D528" i="3"/>
  <c r="L522" i="3"/>
  <c r="H517" i="3"/>
  <c r="D512" i="3"/>
  <c r="L506" i="3"/>
  <c r="H501" i="3"/>
  <c r="D496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L410" i="3"/>
  <c r="H405" i="3"/>
  <c r="D400" i="3"/>
  <c r="L394" i="3"/>
  <c r="H389" i="3"/>
  <c r="K552" i="3"/>
  <c r="G547" i="3"/>
  <c r="C542" i="3"/>
  <c r="K536" i="3"/>
  <c r="G531" i="3"/>
  <c r="C526" i="3"/>
  <c r="K520" i="3"/>
  <c r="G515" i="3"/>
  <c r="C510" i="3"/>
  <c r="K504" i="3"/>
  <c r="G499" i="3"/>
  <c r="C494" i="3"/>
  <c r="K488" i="3"/>
  <c r="G483" i="3"/>
  <c r="C478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K408" i="3"/>
  <c r="G403" i="3"/>
  <c r="C398" i="3"/>
  <c r="K392" i="3"/>
  <c r="G387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J428" i="3"/>
  <c r="F423" i="3"/>
  <c r="B418" i="3"/>
  <c r="J412" i="3"/>
  <c r="F407" i="3"/>
  <c r="B402" i="3"/>
  <c r="J396" i="3"/>
  <c r="F391" i="3"/>
  <c r="B386" i="3"/>
  <c r="E549" i="3"/>
  <c r="A544" i="3"/>
  <c r="I538" i="3"/>
  <c r="E533" i="3"/>
  <c r="A528" i="3"/>
  <c r="I522" i="3"/>
  <c r="E517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I410" i="3"/>
  <c r="E405" i="3"/>
  <c r="A400" i="3"/>
  <c r="I394" i="3"/>
  <c r="E389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L228" i="3"/>
  <c r="H223" i="3"/>
  <c r="D218" i="3"/>
  <c r="G383" i="3"/>
  <c r="C378" i="3"/>
  <c r="K372" i="3"/>
  <c r="G367" i="3"/>
  <c r="C362" i="3"/>
  <c r="K356" i="3"/>
  <c r="G351" i="3"/>
  <c r="C346" i="3"/>
  <c r="K340" i="3"/>
  <c r="G335" i="3"/>
  <c r="C33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K260" i="3"/>
  <c r="G255" i="3"/>
  <c r="C250" i="3"/>
  <c r="K244" i="3"/>
  <c r="G239" i="3"/>
  <c r="C234" i="3"/>
  <c r="K228" i="3"/>
  <c r="G223" i="3"/>
  <c r="C21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F239" i="3"/>
  <c r="B234" i="3"/>
  <c r="J228" i="3"/>
  <c r="F223" i="3"/>
  <c r="B218" i="3"/>
  <c r="E383" i="3"/>
  <c r="A378" i="3"/>
  <c r="I372" i="3"/>
  <c r="E367" i="3"/>
  <c r="A362" i="3"/>
  <c r="I356" i="3"/>
  <c r="E351" i="3"/>
  <c r="A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E239" i="3"/>
  <c r="A234" i="3"/>
  <c r="I228" i="3"/>
  <c r="E223" i="3"/>
  <c r="A218" i="3"/>
  <c r="H382" i="3"/>
  <c r="D377" i="3"/>
  <c r="L371" i="3"/>
  <c r="H366" i="3"/>
  <c r="D361" i="3"/>
  <c r="L355" i="3"/>
  <c r="H350" i="3"/>
  <c r="D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H238" i="3"/>
  <c r="D233" i="3"/>
  <c r="L227" i="3"/>
  <c r="H222" i="3"/>
  <c r="D217" i="3"/>
  <c r="K381" i="3"/>
  <c r="G376" i="3"/>
  <c r="C371" i="3"/>
  <c r="K365" i="3"/>
  <c r="G360" i="3"/>
  <c r="C355" i="3"/>
  <c r="K349" i="3"/>
  <c r="G344" i="3"/>
  <c r="C339" i="3"/>
  <c r="K333" i="3"/>
  <c r="G328" i="3"/>
  <c r="C323" i="3"/>
  <c r="K317" i="3"/>
  <c r="G312" i="3"/>
  <c r="C307" i="3"/>
  <c r="K301" i="3"/>
  <c r="G296" i="3"/>
  <c r="C291" i="3"/>
  <c r="K285" i="3"/>
  <c r="G280" i="3"/>
  <c r="C275" i="3"/>
  <c r="K269" i="3"/>
  <c r="G264" i="3"/>
  <c r="C259" i="3"/>
  <c r="K253" i="3"/>
  <c r="G248" i="3"/>
  <c r="C243" i="3"/>
  <c r="K237" i="3"/>
  <c r="G232" i="3"/>
  <c r="C227" i="3"/>
  <c r="K221" i="3"/>
  <c r="G216" i="3"/>
  <c r="B381" i="3"/>
  <c r="J375" i="3"/>
  <c r="F370" i="3"/>
  <c r="B365" i="3"/>
  <c r="J359" i="3"/>
  <c r="F354" i="3"/>
  <c r="B349" i="3"/>
  <c r="J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F242" i="3"/>
  <c r="B237" i="3"/>
  <c r="J231" i="3"/>
  <c r="F226" i="3"/>
  <c r="B221" i="3"/>
  <c r="J215" i="3"/>
  <c r="E380" i="3"/>
  <c r="A375" i="3"/>
  <c r="I369" i="3"/>
  <c r="E364" i="3"/>
  <c r="A359" i="3"/>
  <c r="I353" i="3"/>
  <c r="E34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I241" i="3"/>
  <c r="E236" i="3"/>
  <c r="A231" i="3"/>
  <c r="I225" i="3"/>
  <c r="E220" i="3"/>
  <c r="A215" i="3"/>
  <c r="A210" i="3"/>
  <c r="I204" i="3"/>
  <c r="E199" i="3"/>
  <c r="A194" i="3"/>
  <c r="I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E71" i="3"/>
  <c r="A66" i="3"/>
  <c r="I60" i="3"/>
  <c r="E55" i="3"/>
  <c r="A50" i="3"/>
  <c r="I44" i="3"/>
  <c r="H210" i="3"/>
  <c r="D205" i="3"/>
  <c r="L199" i="3"/>
  <c r="H194" i="3"/>
  <c r="D189" i="3"/>
  <c r="L183" i="3"/>
  <c r="H17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L71" i="3"/>
  <c r="H66" i="3"/>
  <c r="D61" i="3"/>
  <c r="L55" i="3"/>
  <c r="H50" i="3"/>
  <c r="D45" i="3"/>
  <c r="L39" i="3"/>
  <c r="K213" i="3"/>
  <c r="G208" i="3"/>
  <c r="C203" i="3"/>
  <c r="K197" i="3"/>
  <c r="G192" i="3"/>
  <c r="C187" i="3"/>
  <c r="K18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K69" i="3"/>
  <c r="G64" i="3"/>
  <c r="C59" i="3"/>
  <c r="K53" i="3"/>
  <c r="G48" i="3"/>
  <c r="F214" i="3"/>
  <c r="B209" i="3"/>
  <c r="J203" i="3"/>
  <c r="F198" i="3"/>
  <c r="B193" i="3"/>
  <c r="J187" i="3"/>
  <c r="F182" i="3"/>
  <c r="B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E412" i="3"/>
  <c r="A407" i="3"/>
  <c r="I401" i="3"/>
  <c r="E396" i="3"/>
  <c r="A391" i="3"/>
  <c r="I385" i="3"/>
  <c r="L548" i="3"/>
  <c r="H543" i="3"/>
  <c r="D538" i="3"/>
  <c r="L532" i="3"/>
  <c r="H527" i="3"/>
  <c r="D522" i="3"/>
  <c r="L516" i="3"/>
  <c r="H511" i="3"/>
  <c r="D506" i="3"/>
  <c r="L500" i="3"/>
  <c r="H495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D410" i="3"/>
  <c r="L404" i="3"/>
  <c r="H399" i="3"/>
  <c r="D394" i="3"/>
  <c r="L388" i="3"/>
  <c r="C552" i="3"/>
  <c r="K546" i="3"/>
  <c r="G541" i="3"/>
  <c r="C536" i="3"/>
  <c r="K530" i="3"/>
  <c r="G525" i="3"/>
  <c r="C520" i="3"/>
  <c r="K514" i="3"/>
  <c r="G509" i="3"/>
  <c r="C504" i="3"/>
  <c r="K498" i="3"/>
  <c r="G493" i="3"/>
  <c r="C488" i="3"/>
  <c r="K482" i="3"/>
  <c r="G477" i="3"/>
  <c r="C472" i="3"/>
  <c r="K466" i="3"/>
  <c r="G461" i="3"/>
  <c r="C456" i="3"/>
  <c r="K450" i="3"/>
  <c r="G445" i="3"/>
  <c r="C440" i="3"/>
  <c r="K434" i="3"/>
  <c r="G429" i="3"/>
  <c r="C424" i="3"/>
  <c r="K418" i="3"/>
  <c r="G413" i="3"/>
  <c r="C408" i="3"/>
  <c r="K402" i="3"/>
  <c r="G397" i="3"/>
  <c r="C392" i="3"/>
  <c r="K38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B428" i="3"/>
  <c r="J422" i="3"/>
  <c r="F417" i="3"/>
  <c r="B412" i="3"/>
  <c r="J406" i="3"/>
  <c r="F401" i="3"/>
  <c r="B396" i="3"/>
  <c r="J390" i="3"/>
  <c r="F385" i="3"/>
  <c r="I548" i="3"/>
  <c r="E543" i="3"/>
  <c r="A538" i="3"/>
  <c r="I532" i="3"/>
  <c r="E527" i="3"/>
  <c r="A522" i="3"/>
  <c r="I516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A410" i="3"/>
  <c r="I404" i="3"/>
  <c r="E399" i="3"/>
  <c r="A394" i="3"/>
  <c r="I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L238" i="3"/>
  <c r="H233" i="3"/>
  <c r="D228" i="3"/>
  <c r="L222" i="3"/>
  <c r="H217" i="3"/>
  <c r="K382" i="3"/>
  <c r="G377" i="3"/>
  <c r="C372" i="3"/>
  <c r="K366" i="3"/>
  <c r="G361" i="3"/>
  <c r="C356" i="3"/>
  <c r="K350" i="3"/>
  <c r="G345" i="3"/>
  <c r="C340" i="3"/>
  <c r="K334" i="3"/>
  <c r="G32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C260" i="3"/>
  <c r="K254" i="3"/>
  <c r="G249" i="3"/>
  <c r="C244" i="3"/>
  <c r="K238" i="3"/>
  <c r="G233" i="3"/>
  <c r="C228" i="3"/>
  <c r="K222" i="3"/>
  <c r="G217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J238" i="3"/>
  <c r="F233" i="3"/>
  <c r="B228" i="3"/>
  <c r="J222" i="3"/>
  <c r="F217" i="3"/>
  <c r="I382" i="3"/>
  <c r="E377" i="3"/>
  <c r="A372" i="3"/>
  <c r="I366" i="3"/>
  <c r="E361" i="3"/>
  <c r="A356" i="3"/>
  <c r="I350" i="3"/>
  <c r="E345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A244" i="3"/>
  <c r="I238" i="3"/>
  <c r="E233" i="3"/>
  <c r="A228" i="3"/>
  <c r="I222" i="3"/>
  <c r="E21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D227" i="3"/>
  <c r="L221" i="3"/>
  <c r="H216" i="3"/>
  <c r="C381" i="3"/>
  <c r="K375" i="3"/>
  <c r="G370" i="3"/>
  <c r="C365" i="3"/>
  <c r="K359" i="3"/>
  <c r="G354" i="3"/>
  <c r="C349" i="3"/>
  <c r="K343" i="3"/>
  <c r="G338" i="3"/>
  <c r="C333" i="3"/>
  <c r="K327" i="3"/>
  <c r="G322" i="3"/>
  <c r="C317" i="3"/>
  <c r="K311" i="3"/>
  <c r="G306" i="3"/>
  <c r="C301" i="3"/>
  <c r="K295" i="3"/>
  <c r="G290" i="3"/>
  <c r="C285" i="3"/>
  <c r="K279" i="3"/>
  <c r="G274" i="3"/>
  <c r="C269" i="3"/>
  <c r="K263" i="3"/>
  <c r="G258" i="3"/>
  <c r="C253" i="3"/>
  <c r="K247" i="3"/>
  <c r="G242" i="3"/>
  <c r="C237" i="3"/>
  <c r="K231" i="3"/>
  <c r="G226" i="3"/>
  <c r="C221" i="3"/>
  <c r="K215" i="3"/>
  <c r="F380" i="3"/>
  <c r="B375" i="3"/>
  <c r="J369" i="3"/>
  <c r="F364" i="3"/>
  <c r="B359" i="3"/>
  <c r="J353" i="3"/>
  <c r="F34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J241" i="3"/>
  <c r="F236" i="3"/>
  <c r="B231" i="3"/>
  <c r="J225" i="3"/>
  <c r="F220" i="3"/>
  <c r="B215" i="3"/>
  <c r="I379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A241" i="3"/>
  <c r="I235" i="3"/>
  <c r="E230" i="3"/>
  <c r="A225" i="3"/>
  <c r="I219" i="3"/>
  <c r="I214" i="3"/>
  <c r="E209" i="3"/>
  <c r="A204" i="3"/>
  <c r="I198" i="3"/>
  <c r="E193" i="3"/>
  <c r="A188" i="3"/>
  <c r="I182" i="3"/>
  <c r="E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I70" i="3"/>
  <c r="E65" i="3"/>
  <c r="A60" i="3"/>
  <c r="I54" i="3"/>
  <c r="E49" i="3"/>
  <c r="A44" i="3"/>
  <c r="L209" i="3"/>
  <c r="H204" i="3"/>
  <c r="D199" i="3"/>
  <c r="L193" i="3"/>
  <c r="H188" i="3"/>
  <c r="D183" i="3"/>
  <c r="L17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D71" i="3"/>
  <c r="L65" i="3"/>
  <c r="H60" i="3"/>
  <c r="D55" i="3"/>
  <c r="L49" i="3"/>
  <c r="H44" i="3"/>
  <c r="D39" i="3"/>
  <c r="C213" i="3"/>
  <c r="K207" i="3"/>
  <c r="G202" i="3"/>
  <c r="C197" i="3"/>
  <c r="K191" i="3"/>
  <c r="G186" i="3"/>
  <c r="C181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C69" i="3"/>
  <c r="K63" i="3"/>
  <c r="G58" i="3"/>
  <c r="C53" i="3"/>
  <c r="K47" i="3"/>
  <c r="J213" i="3"/>
  <c r="F208" i="3"/>
  <c r="B203" i="3"/>
  <c r="J197" i="3"/>
  <c r="F192" i="3"/>
  <c r="B187" i="3"/>
  <c r="J18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I411" i="3"/>
  <c r="E406" i="3"/>
  <c r="A401" i="3"/>
  <c r="I395" i="3"/>
  <c r="E390" i="3"/>
  <c r="I553" i="3"/>
  <c r="D548" i="3"/>
  <c r="L542" i="3"/>
  <c r="H537" i="3"/>
  <c r="D532" i="3"/>
  <c r="L526" i="3"/>
  <c r="H521" i="3"/>
  <c r="D516" i="3"/>
  <c r="L510" i="3"/>
  <c r="H505" i="3"/>
  <c r="D500" i="3"/>
  <c r="L494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H409" i="3"/>
  <c r="D404" i="3"/>
  <c r="L398" i="3"/>
  <c r="H393" i="3"/>
  <c r="D388" i="3"/>
  <c r="G551" i="3"/>
  <c r="C546" i="3"/>
  <c r="K540" i="3"/>
  <c r="G535" i="3"/>
  <c r="C530" i="3"/>
  <c r="K524" i="3"/>
  <c r="G519" i="3"/>
  <c r="C514" i="3"/>
  <c r="K508" i="3"/>
  <c r="G503" i="3"/>
  <c r="C498" i="3"/>
  <c r="K492" i="3"/>
  <c r="G487" i="3"/>
  <c r="C482" i="3"/>
  <c r="K476" i="3"/>
  <c r="G471" i="3"/>
  <c r="C466" i="3"/>
  <c r="K460" i="3"/>
  <c r="G455" i="3"/>
  <c r="C450" i="3"/>
  <c r="K444" i="3"/>
  <c r="G439" i="3"/>
  <c r="C434" i="3"/>
  <c r="K428" i="3"/>
  <c r="G423" i="3"/>
  <c r="C418" i="3"/>
  <c r="K412" i="3"/>
  <c r="G407" i="3"/>
  <c r="C402" i="3"/>
  <c r="K396" i="3"/>
  <c r="G391" i="3"/>
  <c r="C386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F427" i="3"/>
  <c r="B422" i="3"/>
  <c r="J416" i="3"/>
  <c r="F411" i="3"/>
  <c r="B406" i="3"/>
  <c r="J400" i="3"/>
  <c r="F395" i="3"/>
  <c r="B390" i="3"/>
  <c r="E553" i="3"/>
  <c r="A548" i="3"/>
  <c r="I542" i="3"/>
  <c r="E537" i="3"/>
  <c r="A532" i="3"/>
  <c r="I526" i="3"/>
  <c r="E521" i="3"/>
  <c r="A516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I414" i="3"/>
  <c r="E409" i="3"/>
  <c r="A404" i="3"/>
  <c r="I398" i="3"/>
  <c r="E393" i="3"/>
  <c r="A388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H227" i="3"/>
  <c r="D222" i="3"/>
  <c r="L216" i="3"/>
  <c r="C382" i="3"/>
  <c r="K376" i="3"/>
  <c r="G371" i="3"/>
  <c r="C366" i="3"/>
  <c r="K360" i="3"/>
  <c r="G355" i="3"/>
  <c r="C350" i="3"/>
  <c r="K344" i="3"/>
  <c r="G339" i="3"/>
  <c r="C334" i="3"/>
  <c r="K32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G259" i="3"/>
  <c r="C254" i="3"/>
  <c r="K248" i="3"/>
  <c r="G243" i="3"/>
  <c r="C238" i="3"/>
  <c r="K232" i="3"/>
  <c r="G227" i="3"/>
  <c r="C222" i="3"/>
  <c r="K216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F243" i="3"/>
  <c r="B238" i="3"/>
  <c r="J232" i="3"/>
  <c r="F227" i="3"/>
  <c r="B222" i="3"/>
  <c r="J216" i="3"/>
  <c r="A382" i="3"/>
  <c r="I376" i="3"/>
  <c r="E371" i="3"/>
  <c r="A366" i="3"/>
  <c r="I360" i="3"/>
  <c r="E355" i="3"/>
  <c r="A350" i="3"/>
  <c r="I344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E243" i="3"/>
  <c r="A238" i="3"/>
  <c r="I232" i="3"/>
  <c r="E227" i="3"/>
  <c r="A222" i="3"/>
  <c r="I21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H226" i="3"/>
  <c r="D221" i="3"/>
  <c r="L215" i="3"/>
  <c r="G380" i="3"/>
  <c r="C375" i="3"/>
  <c r="K369" i="3"/>
  <c r="G364" i="3"/>
  <c r="C359" i="3"/>
  <c r="K353" i="3"/>
  <c r="G348" i="3"/>
  <c r="C343" i="3"/>
  <c r="K337" i="3"/>
  <c r="G332" i="3"/>
  <c r="C327" i="3"/>
  <c r="K321" i="3"/>
  <c r="G316" i="3"/>
  <c r="C311" i="3"/>
  <c r="K305" i="3"/>
  <c r="G300" i="3"/>
  <c r="C295" i="3"/>
  <c r="K289" i="3"/>
  <c r="G284" i="3"/>
  <c r="C279" i="3"/>
  <c r="K273" i="3"/>
  <c r="G268" i="3"/>
  <c r="C263" i="3"/>
  <c r="K257" i="3"/>
  <c r="G252" i="3"/>
  <c r="C247" i="3"/>
  <c r="K241" i="3"/>
  <c r="G236" i="3"/>
  <c r="C231" i="3"/>
  <c r="K225" i="3"/>
  <c r="G220" i="3"/>
  <c r="C215" i="3"/>
  <c r="J379" i="3"/>
  <c r="F374" i="3"/>
  <c r="B369" i="3"/>
  <c r="J363" i="3"/>
  <c r="F358" i="3"/>
  <c r="B353" i="3"/>
  <c r="J34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B241" i="3"/>
  <c r="J235" i="3"/>
  <c r="F230" i="3"/>
  <c r="B225" i="3"/>
  <c r="J219" i="3"/>
  <c r="E384" i="3"/>
  <c r="A379" i="3"/>
  <c r="I373" i="3"/>
  <c r="E368" i="3"/>
  <c r="A363" i="3"/>
  <c r="I357" i="3"/>
  <c r="E352" i="3"/>
  <c r="A347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E240" i="3"/>
  <c r="A235" i="3"/>
  <c r="I229" i="3"/>
  <c r="E224" i="3"/>
  <c r="A219" i="3"/>
  <c r="A214" i="3"/>
  <c r="I208" i="3"/>
  <c r="E203" i="3"/>
  <c r="A198" i="3"/>
  <c r="I192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A70" i="3"/>
  <c r="I64" i="3"/>
  <c r="E59" i="3"/>
  <c r="A54" i="3"/>
  <c r="I48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H70" i="3"/>
  <c r="D65" i="3"/>
  <c r="L59" i="3"/>
  <c r="H54" i="3"/>
  <c r="D49" i="3"/>
  <c r="L43" i="3"/>
  <c r="H38" i="3"/>
  <c r="G212" i="3"/>
  <c r="C207" i="3"/>
  <c r="K201" i="3"/>
  <c r="G196" i="3"/>
  <c r="C191" i="3"/>
  <c r="K185" i="3"/>
  <c r="G180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G68" i="3"/>
  <c r="C63" i="3"/>
  <c r="K57" i="3"/>
  <c r="G52" i="3"/>
  <c r="C47" i="3"/>
  <c r="B213" i="3"/>
  <c r="J207" i="3"/>
  <c r="F202" i="3"/>
  <c r="B197" i="3"/>
  <c r="J191" i="3"/>
  <c r="F186" i="3"/>
  <c r="B18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A411" i="3"/>
  <c r="I405" i="3"/>
  <c r="E400" i="3"/>
  <c r="A395" i="3"/>
  <c r="I389" i="3"/>
  <c r="L552" i="3"/>
  <c r="H547" i="3"/>
  <c r="D542" i="3"/>
  <c r="L536" i="3"/>
  <c r="H531" i="3"/>
  <c r="D526" i="3"/>
  <c r="L520" i="3"/>
  <c r="H515" i="3"/>
  <c r="D510" i="3"/>
  <c r="L504" i="3"/>
  <c r="H499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D414" i="3"/>
  <c r="L408" i="3"/>
  <c r="H403" i="3"/>
  <c r="D398" i="3"/>
  <c r="L392" i="3"/>
  <c r="H387" i="3"/>
  <c r="K550" i="3"/>
  <c r="G545" i="3"/>
  <c r="C540" i="3"/>
  <c r="K534" i="3"/>
  <c r="G529" i="3"/>
  <c r="C524" i="3"/>
  <c r="K518" i="3"/>
  <c r="G513" i="3"/>
  <c r="C508" i="3"/>
  <c r="K502" i="3"/>
  <c r="G497" i="3"/>
  <c r="C492" i="3"/>
  <c r="K486" i="3"/>
  <c r="G481" i="3"/>
  <c r="C476" i="3"/>
  <c r="K470" i="3"/>
  <c r="G465" i="3"/>
  <c r="C460" i="3"/>
  <c r="K454" i="3"/>
  <c r="G449" i="3"/>
  <c r="C444" i="3"/>
  <c r="K438" i="3"/>
  <c r="G433" i="3"/>
  <c r="C428" i="3"/>
  <c r="K422" i="3"/>
  <c r="G417" i="3"/>
  <c r="C412" i="3"/>
  <c r="K406" i="3"/>
  <c r="G401" i="3"/>
  <c r="C396" i="3"/>
  <c r="K390" i="3"/>
  <c r="G385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J426" i="3"/>
  <c r="F421" i="3"/>
  <c r="B416" i="3"/>
  <c r="J410" i="3"/>
  <c r="F405" i="3"/>
  <c r="B400" i="3"/>
  <c r="J394" i="3"/>
  <c r="F389" i="3"/>
  <c r="I552" i="3"/>
  <c r="E547" i="3"/>
  <c r="A542" i="3"/>
  <c r="I536" i="3"/>
  <c r="E531" i="3"/>
  <c r="A526" i="3"/>
  <c r="I520" i="3"/>
  <c r="E515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A414" i="3"/>
  <c r="I408" i="3"/>
  <c r="E403" i="3"/>
  <c r="A398" i="3"/>
  <c r="I392" i="3"/>
  <c r="E387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L226" i="3"/>
  <c r="H221" i="3"/>
  <c r="D216" i="3"/>
  <c r="G381" i="3"/>
  <c r="C376" i="3"/>
  <c r="K370" i="3"/>
  <c r="G365" i="3"/>
  <c r="C360" i="3"/>
  <c r="K354" i="3"/>
  <c r="G349" i="3"/>
  <c r="C344" i="3"/>
  <c r="K338" i="3"/>
  <c r="G333" i="3"/>
  <c r="C32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K258" i="3"/>
  <c r="G253" i="3"/>
  <c r="C248" i="3"/>
  <c r="K242" i="3"/>
  <c r="G237" i="3"/>
  <c r="C232" i="3"/>
  <c r="K226" i="3"/>
  <c r="G221" i="3"/>
  <c r="C21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J242" i="3"/>
  <c r="F237" i="3"/>
  <c r="B232" i="3"/>
  <c r="J226" i="3"/>
  <c r="F221" i="3"/>
  <c r="B216" i="3"/>
  <c r="E381" i="3"/>
  <c r="A376" i="3"/>
  <c r="I370" i="3"/>
  <c r="E365" i="3"/>
  <c r="A360" i="3"/>
  <c r="I354" i="3"/>
  <c r="E349" i="3"/>
  <c r="A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I242" i="3"/>
  <c r="E237" i="3"/>
  <c r="A232" i="3"/>
  <c r="I226" i="3"/>
  <c r="E221" i="3"/>
  <c r="A216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L225" i="3"/>
  <c r="H220" i="3"/>
  <c r="D215" i="3"/>
  <c r="K379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G310" i="3"/>
  <c r="C305" i="3"/>
  <c r="K299" i="3"/>
  <c r="G294" i="3"/>
  <c r="C289" i="3"/>
  <c r="K283" i="3"/>
  <c r="G278" i="3"/>
  <c r="C273" i="3"/>
  <c r="K267" i="3"/>
  <c r="G262" i="3"/>
  <c r="C257" i="3"/>
  <c r="K251" i="3"/>
  <c r="G246" i="3"/>
  <c r="C241" i="3"/>
  <c r="K235" i="3"/>
  <c r="G230" i="3"/>
  <c r="C225" i="3"/>
  <c r="K219" i="3"/>
  <c r="H384" i="3"/>
  <c r="B379" i="3"/>
  <c r="J373" i="3"/>
  <c r="F368" i="3"/>
  <c r="B363" i="3"/>
  <c r="J357" i="3"/>
  <c r="F352" i="3"/>
  <c r="B347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F240" i="3"/>
  <c r="B235" i="3"/>
  <c r="J229" i="3"/>
  <c r="F224" i="3"/>
  <c r="B219" i="3"/>
  <c r="I383" i="3"/>
  <c r="E378" i="3"/>
  <c r="A373" i="3"/>
  <c r="I367" i="3"/>
  <c r="E362" i="3"/>
  <c r="A357" i="3"/>
  <c r="I351" i="3"/>
  <c r="E346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I239" i="3"/>
  <c r="E234" i="3"/>
  <c r="A229" i="3"/>
  <c r="I223" i="3"/>
  <c r="E218" i="3"/>
  <c r="E213" i="3"/>
  <c r="A208" i="3"/>
  <c r="I202" i="3"/>
  <c r="E197" i="3"/>
  <c r="A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E69" i="3"/>
  <c r="A64" i="3"/>
  <c r="I58" i="3"/>
  <c r="E53" i="3"/>
  <c r="A48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L69" i="3"/>
  <c r="H64" i="3"/>
  <c r="D59" i="3"/>
  <c r="L53" i="3"/>
  <c r="H48" i="3"/>
  <c r="D43" i="3"/>
  <c r="L37" i="3"/>
  <c r="K211" i="3"/>
  <c r="G206" i="3"/>
  <c r="C201" i="3"/>
  <c r="K195" i="3"/>
  <c r="G190" i="3"/>
  <c r="C185" i="3"/>
  <c r="K17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K67" i="3"/>
  <c r="G62" i="3"/>
  <c r="C57" i="3"/>
  <c r="K51" i="3"/>
  <c r="G46" i="3"/>
  <c r="F212" i="3"/>
  <c r="B207" i="3"/>
  <c r="J201" i="3"/>
  <c r="F196" i="3"/>
  <c r="B191" i="3"/>
  <c r="J185" i="3"/>
  <c r="F18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F86" i="3"/>
  <c r="F74" i="3"/>
  <c r="B69" i="3"/>
  <c r="J63" i="3"/>
  <c r="F58" i="3"/>
  <c r="B53" i="3"/>
  <c r="J47" i="3"/>
  <c r="I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A59" i="3"/>
  <c r="I53" i="3"/>
  <c r="E48" i="3"/>
  <c r="L212" i="3"/>
  <c r="H207" i="3"/>
  <c r="D202" i="3"/>
  <c r="L196" i="3"/>
  <c r="H191" i="3"/>
  <c r="D186" i="3"/>
  <c r="L180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D74" i="3"/>
  <c r="L68" i="3"/>
  <c r="H63" i="3"/>
  <c r="D58" i="3"/>
  <c r="L52" i="3"/>
  <c r="H47" i="3"/>
  <c r="G211" i="3"/>
  <c r="C206" i="3"/>
  <c r="K200" i="3"/>
  <c r="G195" i="3"/>
  <c r="C190" i="3"/>
  <c r="K184" i="3"/>
  <c r="G179" i="3"/>
  <c r="C174" i="3"/>
  <c r="K168" i="3"/>
  <c r="G163" i="3"/>
  <c r="C158" i="3"/>
  <c r="K152" i="3"/>
  <c r="G147" i="3"/>
  <c r="C142" i="3"/>
  <c r="K136" i="3"/>
  <c r="G131" i="3"/>
  <c r="C126" i="3"/>
  <c r="K120" i="3"/>
  <c r="G115" i="3"/>
  <c r="C110" i="3"/>
  <c r="K104" i="3"/>
  <c r="G99" i="3"/>
  <c r="C94" i="3"/>
  <c r="K88" i="3"/>
  <c r="G83" i="3"/>
  <c r="C78" i="3"/>
  <c r="K72" i="3"/>
  <c r="G67" i="3"/>
  <c r="C62" i="3"/>
  <c r="K56" i="3"/>
  <c r="G51" i="3"/>
  <c r="C46" i="3"/>
  <c r="F211" i="3"/>
  <c r="B206" i="3"/>
  <c r="J200" i="3"/>
  <c r="F195" i="3"/>
  <c r="B190" i="3"/>
  <c r="J184" i="3"/>
  <c r="F179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J72" i="3"/>
  <c r="F67" i="3"/>
  <c r="B62" i="3"/>
  <c r="J56" i="3"/>
  <c r="F51" i="3"/>
  <c r="B46" i="3"/>
  <c r="H41" i="3"/>
  <c r="G35" i="3"/>
  <c r="C30" i="3"/>
  <c r="K24" i="3"/>
  <c r="G19" i="3"/>
  <c r="C14" i="3"/>
  <c r="K8" i="3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K763" i="1"/>
  <c r="G758" i="1"/>
  <c r="C753" i="1"/>
  <c r="K747" i="1"/>
  <c r="G742" i="1"/>
  <c r="G41" i="3"/>
  <c r="F35" i="3"/>
  <c r="B30" i="3"/>
  <c r="J24" i="3"/>
  <c r="F19" i="3"/>
  <c r="B14" i="3"/>
  <c r="J8" i="3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F41" i="3"/>
  <c r="E35" i="3"/>
  <c r="A30" i="3"/>
  <c r="I24" i="3"/>
  <c r="E19" i="3"/>
  <c r="A14" i="3"/>
  <c r="I8" i="3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J39" i="3"/>
  <c r="L33" i="3"/>
  <c r="H28" i="3"/>
  <c r="D23" i="3"/>
  <c r="L17" i="3"/>
  <c r="H12" i="3"/>
  <c r="D7" i="3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L38" i="3"/>
  <c r="C33" i="3"/>
  <c r="K27" i="3"/>
  <c r="G22" i="3"/>
  <c r="C17" i="3"/>
  <c r="K11" i="3"/>
  <c r="G6" i="3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G43" i="3"/>
  <c r="E37" i="3"/>
  <c r="J31" i="3"/>
  <c r="F26" i="3"/>
  <c r="B21" i="3"/>
  <c r="J15" i="3"/>
  <c r="F10" i="3"/>
  <c r="B5" i="3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G42" i="3"/>
  <c r="F36" i="3"/>
  <c r="A31" i="3"/>
  <c r="I25" i="3"/>
  <c r="E20" i="3"/>
  <c r="A15" i="3"/>
  <c r="I9" i="3"/>
  <c r="E4" i="3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C40" i="3"/>
  <c r="D34" i="3"/>
  <c r="L28" i="3"/>
  <c r="H23" i="3"/>
  <c r="D18" i="3"/>
  <c r="L12" i="3"/>
  <c r="H7" i="3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C740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B81" i="3"/>
  <c r="J73" i="3"/>
  <c r="F68" i="3"/>
  <c r="B63" i="3"/>
  <c r="J57" i="3"/>
  <c r="F52" i="3"/>
  <c r="B47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E58" i="3"/>
  <c r="A53" i="3"/>
  <c r="I47" i="3"/>
  <c r="D212" i="3"/>
  <c r="L206" i="3"/>
  <c r="H201" i="3"/>
  <c r="D196" i="3"/>
  <c r="L190" i="3"/>
  <c r="H185" i="3"/>
  <c r="D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H73" i="3"/>
  <c r="D68" i="3"/>
  <c r="L62" i="3"/>
  <c r="H57" i="3"/>
  <c r="D52" i="3"/>
  <c r="L46" i="3"/>
  <c r="K210" i="3"/>
  <c r="G205" i="3"/>
  <c r="C200" i="3"/>
  <c r="K194" i="3"/>
  <c r="G189" i="3"/>
  <c r="C184" i="3"/>
  <c r="K178" i="3"/>
  <c r="G173" i="3"/>
  <c r="C168" i="3"/>
  <c r="K162" i="3"/>
  <c r="G157" i="3"/>
  <c r="C152" i="3"/>
  <c r="K146" i="3"/>
  <c r="G141" i="3"/>
  <c r="C136" i="3"/>
  <c r="K130" i="3"/>
  <c r="G125" i="3"/>
  <c r="C120" i="3"/>
  <c r="K114" i="3"/>
  <c r="G109" i="3"/>
  <c r="C104" i="3"/>
  <c r="K98" i="3"/>
  <c r="G93" i="3"/>
  <c r="C88" i="3"/>
  <c r="K82" i="3"/>
  <c r="G77" i="3"/>
  <c r="C72" i="3"/>
  <c r="K66" i="3"/>
  <c r="G61" i="3"/>
  <c r="C56" i="3"/>
  <c r="K50" i="3"/>
  <c r="G45" i="3"/>
  <c r="J210" i="3"/>
  <c r="F205" i="3"/>
  <c r="B200" i="3"/>
  <c r="J194" i="3"/>
  <c r="F189" i="3"/>
  <c r="B184" i="3"/>
  <c r="J17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B72" i="3"/>
  <c r="J66" i="3"/>
  <c r="F61" i="3"/>
  <c r="B56" i="3"/>
  <c r="J50" i="3"/>
  <c r="F45" i="3"/>
  <c r="K40" i="3"/>
  <c r="K34" i="3"/>
  <c r="G29" i="3"/>
  <c r="C24" i="3"/>
  <c r="K18" i="3"/>
  <c r="G13" i="3"/>
  <c r="C8" i="3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C763" i="1"/>
  <c r="K757" i="1"/>
  <c r="G752" i="1"/>
  <c r="C747" i="1"/>
  <c r="K741" i="1"/>
  <c r="J40" i="3"/>
  <c r="J34" i="3"/>
  <c r="F29" i="3"/>
  <c r="B24" i="3"/>
  <c r="J18" i="3"/>
  <c r="F13" i="3"/>
  <c r="B8" i="3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I40" i="3"/>
  <c r="I34" i="3"/>
  <c r="E29" i="3"/>
  <c r="A24" i="3"/>
  <c r="I18" i="3"/>
  <c r="E13" i="3"/>
  <c r="A8" i="3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39" i="3"/>
  <c r="D33" i="3"/>
  <c r="L27" i="3"/>
  <c r="H22" i="3"/>
  <c r="D17" i="3"/>
  <c r="L11" i="3"/>
  <c r="H6" i="3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C38" i="3"/>
  <c r="G32" i="3"/>
  <c r="C27" i="3"/>
  <c r="K21" i="3"/>
  <c r="G16" i="3"/>
  <c r="C11" i="3"/>
  <c r="K5" i="3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I42" i="3"/>
  <c r="G36" i="3"/>
  <c r="B31" i="3"/>
  <c r="J25" i="3"/>
  <c r="F20" i="3"/>
  <c r="B15" i="3"/>
  <c r="J9" i="3"/>
  <c r="F4" i="3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J41" i="3"/>
  <c r="I35" i="3"/>
  <c r="E30" i="3"/>
  <c r="A25" i="3"/>
  <c r="I19" i="3"/>
  <c r="E14" i="3"/>
  <c r="A9" i="3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F39" i="3"/>
  <c r="H33" i="3"/>
  <c r="D28" i="3"/>
  <c r="L22" i="3"/>
  <c r="H17" i="3"/>
  <c r="D12" i="3"/>
  <c r="L6" i="3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C739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F78" i="3"/>
  <c r="B73" i="3"/>
  <c r="J67" i="3"/>
  <c r="F62" i="3"/>
  <c r="B57" i="3"/>
  <c r="J51" i="3"/>
  <c r="F46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E68" i="3"/>
  <c r="A63" i="3"/>
  <c r="I57" i="3"/>
  <c r="E52" i="3"/>
  <c r="A47" i="3"/>
  <c r="H211" i="3"/>
  <c r="D206" i="3"/>
  <c r="L200" i="3"/>
  <c r="H195" i="3"/>
  <c r="D190" i="3"/>
  <c r="L184" i="3"/>
  <c r="H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D78" i="3"/>
  <c r="L72" i="3"/>
  <c r="H67" i="3"/>
  <c r="D62" i="3"/>
  <c r="L56" i="3"/>
  <c r="H51" i="3"/>
  <c r="D46" i="3"/>
  <c r="C210" i="3"/>
  <c r="K204" i="3"/>
  <c r="G199" i="3"/>
  <c r="C194" i="3"/>
  <c r="K188" i="3"/>
  <c r="G183" i="3"/>
  <c r="C178" i="3"/>
  <c r="K172" i="3"/>
  <c r="G167" i="3"/>
  <c r="C162" i="3"/>
  <c r="K156" i="3"/>
  <c r="G151" i="3"/>
  <c r="C146" i="3"/>
  <c r="K140" i="3"/>
  <c r="G135" i="3"/>
  <c r="C130" i="3"/>
  <c r="K124" i="3"/>
  <c r="G119" i="3"/>
  <c r="C114" i="3"/>
  <c r="K108" i="3"/>
  <c r="G103" i="3"/>
  <c r="C98" i="3"/>
  <c r="K92" i="3"/>
  <c r="G87" i="3"/>
  <c r="C82" i="3"/>
  <c r="K76" i="3"/>
  <c r="G71" i="3"/>
  <c r="C66" i="3"/>
  <c r="K60" i="3"/>
  <c r="G55" i="3"/>
  <c r="C50" i="3"/>
  <c r="K44" i="3"/>
  <c r="B210" i="3"/>
  <c r="J204" i="3"/>
  <c r="F199" i="3"/>
  <c r="B194" i="3"/>
  <c r="J188" i="3"/>
  <c r="F183" i="3"/>
  <c r="B178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F71" i="3"/>
  <c r="B66" i="3"/>
  <c r="J60" i="3"/>
  <c r="F55" i="3"/>
  <c r="B50" i="3"/>
  <c r="J44" i="3"/>
  <c r="B40" i="3"/>
  <c r="C34" i="3"/>
  <c r="K28" i="3"/>
  <c r="G23" i="3"/>
  <c r="C18" i="3"/>
  <c r="K12" i="3"/>
  <c r="G7" i="3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G762" i="1"/>
  <c r="C757" i="1"/>
  <c r="K751" i="1"/>
  <c r="G746" i="1"/>
  <c r="C741" i="1"/>
  <c r="A40" i="3"/>
  <c r="B34" i="3"/>
  <c r="J28" i="3"/>
  <c r="F23" i="3"/>
  <c r="B18" i="3"/>
  <c r="J12" i="3"/>
  <c r="F7" i="3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K39" i="3"/>
  <c r="A34" i="3"/>
  <c r="I28" i="3"/>
  <c r="E23" i="3"/>
  <c r="A18" i="3"/>
  <c r="I12" i="3"/>
  <c r="E7" i="3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D38" i="3"/>
  <c r="H32" i="3"/>
  <c r="D27" i="3"/>
  <c r="L21" i="3"/>
  <c r="H16" i="3"/>
  <c r="D11" i="3"/>
  <c r="L5" i="3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43" i="3"/>
  <c r="F37" i="3"/>
  <c r="K31" i="3"/>
  <c r="G26" i="3"/>
  <c r="C21" i="3"/>
  <c r="K15" i="3"/>
  <c r="G10" i="3"/>
  <c r="C5" i="3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41" i="3"/>
  <c r="J35" i="3"/>
  <c r="F30" i="3"/>
  <c r="B25" i="3"/>
  <c r="J19" i="3"/>
  <c r="F14" i="3"/>
  <c r="B9" i="3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A41" i="3"/>
  <c r="A35" i="3"/>
  <c r="I29" i="3"/>
  <c r="E24" i="3"/>
  <c r="A19" i="3"/>
  <c r="I13" i="3"/>
  <c r="E8" i="3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38" i="3"/>
  <c r="L32" i="3"/>
  <c r="H27" i="3"/>
  <c r="D22" i="3"/>
  <c r="L16" i="3"/>
  <c r="H11" i="3"/>
  <c r="D6" i="3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I740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F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J77" i="3"/>
  <c r="F72" i="3"/>
  <c r="B67" i="3"/>
  <c r="J61" i="3"/>
  <c r="F56" i="3"/>
  <c r="B51" i="3"/>
  <c r="J45" i="3"/>
  <c r="I211" i="3"/>
  <c r="E206" i="3"/>
  <c r="A201" i="3"/>
  <c r="I195" i="3"/>
  <c r="E190" i="3"/>
  <c r="A185" i="3"/>
  <c r="I17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A57" i="3"/>
  <c r="I51" i="3"/>
  <c r="E46" i="3"/>
  <c r="L210" i="3"/>
  <c r="H205" i="3"/>
  <c r="D200" i="3"/>
  <c r="L194" i="3"/>
  <c r="H189" i="3"/>
  <c r="D184" i="3"/>
  <c r="L178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H77" i="3"/>
  <c r="D72" i="3"/>
  <c r="L66" i="3"/>
  <c r="H61" i="3"/>
  <c r="D56" i="3"/>
  <c r="L50" i="3"/>
  <c r="H45" i="3"/>
  <c r="G209" i="3"/>
  <c r="C204" i="3"/>
  <c r="K198" i="3"/>
  <c r="G193" i="3"/>
  <c r="C188" i="3"/>
  <c r="K182" i="3"/>
  <c r="G177" i="3"/>
  <c r="C172" i="3"/>
  <c r="K166" i="3"/>
  <c r="G161" i="3"/>
  <c r="C156" i="3"/>
  <c r="K150" i="3"/>
  <c r="G145" i="3"/>
  <c r="C140" i="3"/>
  <c r="K134" i="3"/>
  <c r="G129" i="3"/>
  <c r="C124" i="3"/>
  <c r="K118" i="3"/>
  <c r="G113" i="3"/>
  <c r="C108" i="3"/>
  <c r="K102" i="3"/>
  <c r="G97" i="3"/>
  <c r="C92" i="3"/>
  <c r="K86" i="3"/>
  <c r="G81" i="3"/>
  <c r="C76" i="3"/>
  <c r="K70" i="3"/>
  <c r="G65" i="3"/>
  <c r="C60" i="3"/>
  <c r="K54" i="3"/>
  <c r="G49" i="3"/>
  <c r="C44" i="3"/>
  <c r="F209" i="3"/>
  <c r="B204" i="3"/>
  <c r="J198" i="3"/>
  <c r="F193" i="3"/>
  <c r="B188" i="3"/>
  <c r="J182" i="3"/>
  <c r="F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J70" i="3"/>
  <c r="F65" i="3"/>
  <c r="B60" i="3"/>
  <c r="J54" i="3"/>
  <c r="F49" i="3"/>
  <c r="B44" i="3"/>
  <c r="E39" i="3"/>
  <c r="G33" i="3"/>
  <c r="C28" i="3"/>
  <c r="K22" i="3"/>
  <c r="G17" i="3"/>
  <c r="C12" i="3"/>
  <c r="K6" i="3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K761" i="1"/>
  <c r="G756" i="1"/>
  <c r="C751" i="1"/>
  <c r="K745" i="1"/>
  <c r="G740" i="1"/>
  <c r="C39" i="3"/>
  <c r="F33" i="3"/>
  <c r="B28" i="3"/>
  <c r="J22" i="3"/>
  <c r="F17" i="3"/>
  <c r="B12" i="3"/>
  <c r="J6" i="3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39" i="3"/>
  <c r="E33" i="3"/>
  <c r="A28" i="3"/>
  <c r="I22" i="3"/>
  <c r="E17" i="3"/>
  <c r="A12" i="3"/>
  <c r="I6" i="3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I43" i="3"/>
  <c r="G37" i="3"/>
  <c r="L31" i="3"/>
  <c r="H26" i="3"/>
  <c r="D21" i="3"/>
  <c r="L15" i="3"/>
  <c r="H10" i="3"/>
  <c r="D5" i="3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J42" i="3"/>
  <c r="I36" i="3"/>
  <c r="C31" i="3"/>
  <c r="K25" i="3"/>
  <c r="G20" i="3"/>
  <c r="C15" i="3"/>
  <c r="K9" i="3"/>
  <c r="G4" i="3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B41" i="3"/>
  <c r="B35" i="3"/>
  <c r="J29" i="3"/>
  <c r="F24" i="3"/>
  <c r="B19" i="3"/>
  <c r="J13" i="3"/>
  <c r="F8" i="3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D40" i="3"/>
  <c r="E34" i="3"/>
  <c r="A29" i="3"/>
  <c r="I23" i="3"/>
  <c r="E18" i="3"/>
  <c r="A13" i="3"/>
  <c r="I7" i="3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K37" i="3"/>
  <c r="D32" i="3"/>
  <c r="L26" i="3"/>
  <c r="H21" i="3"/>
  <c r="D16" i="3"/>
  <c r="L10" i="3"/>
  <c r="H5" i="3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H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B77" i="3"/>
  <c r="J71" i="3"/>
  <c r="F66" i="3"/>
  <c r="B61" i="3"/>
  <c r="J55" i="3"/>
  <c r="F50" i="3"/>
  <c r="B45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E56" i="3"/>
  <c r="A51" i="3"/>
  <c r="I45" i="3"/>
  <c r="D210" i="3"/>
  <c r="L204" i="3"/>
  <c r="H199" i="3"/>
  <c r="D194" i="3"/>
  <c r="L188" i="3"/>
  <c r="H183" i="3"/>
  <c r="D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L76" i="3"/>
  <c r="H71" i="3"/>
  <c r="D66" i="3"/>
  <c r="L60" i="3"/>
  <c r="H55" i="3"/>
  <c r="D50" i="3"/>
  <c r="C214" i="3"/>
  <c r="K208" i="3"/>
  <c r="G203" i="3"/>
  <c r="C198" i="3"/>
  <c r="K192" i="3"/>
  <c r="G187" i="3"/>
  <c r="C182" i="3"/>
  <c r="K176" i="3"/>
  <c r="G171" i="3"/>
  <c r="C166" i="3"/>
  <c r="K160" i="3"/>
  <c r="G155" i="3"/>
  <c r="C150" i="3"/>
  <c r="K144" i="3"/>
  <c r="G139" i="3"/>
  <c r="C134" i="3"/>
  <c r="K128" i="3"/>
  <c r="G123" i="3"/>
  <c r="C118" i="3"/>
  <c r="K112" i="3"/>
  <c r="G107" i="3"/>
  <c r="C102" i="3"/>
  <c r="K96" i="3"/>
  <c r="G91" i="3"/>
  <c r="C86" i="3"/>
  <c r="K80" i="3"/>
  <c r="G75" i="3"/>
  <c r="C70" i="3"/>
  <c r="K64" i="3"/>
  <c r="G59" i="3"/>
  <c r="C54" i="3"/>
  <c r="K48" i="3"/>
  <c r="B214" i="3"/>
  <c r="J208" i="3"/>
  <c r="F203" i="3"/>
  <c r="B198" i="3"/>
  <c r="J192" i="3"/>
  <c r="F187" i="3"/>
  <c r="B182" i="3"/>
  <c r="J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B70" i="3"/>
  <c r="J64" i="3"/>
  <c r="F59" i="3"/>
  <c r="B54" i="3"/>
  <c r="J48" i="3"/>
  <c r="F43" i="3"/>
  <c r="G38" i="3"/>
  <c r="K32" i="3"/>
  <c r="G27" i="3"/>
  <c r="C22" i="3"/>
  <c r="K16" i="3"/>
  <c r="G11" i="3"/>
  <c r="C6" i="3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C761" i="1"/>
  <c r="K755" i="1"/>
  <c r="G750" i="1"/>
  <c r="C745" i="1"/>
  <c r="K739" i="1"/>
  <c r="F38" i="3"/>
  <c r="J32" i="3"/>
  <c r="F27" i="3"/>
  <c r="B22" i="3"/>
  <c r="J16" i="3"/>
  <c r="F11" i="3"/>
  <c r="B6" i="3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E38" i="3"/>
  <c r="I32" i="3"/>
  <c r="E27" i="3"/>
  <c r="A22" i="3"/>
  <c r="I16" i="3"/>
  <c r="E11" i="3"/>
  <c r="A6" i="3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K42" i="3"/>
  <c r="J36" i="3"/>
  <c r="D31" i="3"/>
  <c r="L25" i="3"/>
  <c r="H20" i="3"/>
  <c r="D15" i="3"/>
  <c r="L9" i="3"/>
  <c r="H4" i="3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A42" i="3"/>
  <c r="K35" i="3"/>
  <c r="G30" i="3"/>
  <c r="C25" i="3"/>
  <c r="K19" i="3"/>
  <c r="G14" i="3"/>
  <c r="C9" i="3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E40" i="3"/>
  <c r="F34" i="3"/>
  <c r="B29" i="3"/>
  <c r="J23" i="3"/>
  <c r="F18" i="3"/>
  <c r="B13" i="3"/>
  <c r="J7" i="3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G39" i="3"/>
  <c r="I33" i="3"/>
  <c r="E28" i="3"/>
  <c r="A23" i="3"/>
  <c r="I17" i="3"/>
  <c r="E12" i="3"/>
  <c r="A7" i="3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C43" i="3"/>
  <c r="B37" i="3"/>
  <c r="H31" i="3"/>
  <c r="D26" i="3"/>
  <c r="L20" i="3"/>
  <c r="H15" i="3"/>
  <c r="D10" i="3"/>
  <c r="L4" i="3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G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K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F76" i="3"/>
  <c r="B71" i="3"/>
  <c r="J65" i="3"/>
  <c r="F60" i="3"/>
  <c r="B55" i="3"/>
  <c r="J49" i="3"/>
  <c r="F44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I55" i="3"/>
  <c r="E50" i="3"/>
  <c r="A45" i="3"/>
  <c r="H209" i="3"/>
  <c r="D204" i="3"/>
  <c r="L198" i="3"/>
  <c r="H193" i="3"/>
  <c r="D188" i="3"/>
  <c r="L182" i="3"/>
  <c r="H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D76" i="3"/>
  <c r="L70" i="3"/>
  <c r="H65" i="3"/>
  <c r="D60" i="3"/>
  <c r="L54" i="3"/>
  <c r="H49" i="3"/>
  <c r="G213" i="3"/>
  <c r="C208" i="3"/>
  <c r="K202" i="3"/>
  <c r="G197" i="3"/>
  <c r="C192" i="3"/>
  <c r="K186" i="3"/>
  <c r="G181" i="3"/>
  <c r="C176" i="3"/>
  <c r="K170" i="3"/>
  <c r="G165" i="3"/>
  <c r="C160" i="3"/>
  <c r="K154" i="3"/>
  <c r="G149" i="3"/>
  <c r="C144" i="3"/>
  <c r="K138" i="3"/>
  <c r="G133" i="3"/>
  <c r="C128" i="3"/>
  <c r="K122" i="3"/>
  <c r="G117" i="3"/>
  <c r="C112" i="3"/>
  <c r="K106" i="3"/>
  <c r="G101" i="3"/>
  <c r="C96" i="3"/>
  <c r="K90" i="3"/>
  <c r="G85" i="3"/>
  <c r="C80" i="3"/>
  <c r="K74" i="3"/>
  <c r="G69" i="3"/>
  <c r="C64" i="3"/>
  <c r="K58" i="3"/>
  <c r="G53" i="3"/>
  <c r="C48" i="3"/>
  <c r="F213" i="3"/>
  <c r="B208" i="3"/>
  <c r="J202" i="3"/>
  <c r="F197" i="3"/>
  <c r="B192" i="3"/>
  <c r="J186" i="3"/>
  <c r="F181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F69" i="3"/>
  <c r="B64" i="3"/>
  <c r="J58" i="3"/>
  <c r="F53" i="3"/>
  <c r="B48" i="3"/>
  <c r="L44" i="3"/>
  <c r="J37" i="3"/>
  <c r="C32" i="3"/>
  <c r="K26" i="3"/>
  <c r="G21" i="3"/>
  <c r="C16" i="3"/>
  <c r="K10" i="3"/>
  <c r="G5" i="3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G760" i="1"/>
  <c r="C755" i="1"/>
  <c r="K749" i="1"/>
  <c r="G744" i="1"/>
  <c r="E44" i="3"/>
  <c r="I37" i="3"/>
  <c r="B32" i="3"/>
  <c r="J26" i="3"/>
  <c r="F21" i="3"/>
  <c r="B16" i="3"/>
  <c r="J10" i="3"/>
  <c r="F5" i="3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D44" i="3"/>
  <c r="H37" i="3"/>
  <c r="A32" i="3"/>
  <c r="I26" i="3"/>
  <c r="E21" i="3"/>
  <c r="A16" i="3"/>
  <c r="I10" i="3"/>
  <c r="E5" i="3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B42" i="3"/>
  <c r="A36" i="3"/>
  <c r="H30" i="3"/>
  <c r="D25" i="3"/>
  <c r="L19" i="3"/>
  <c r="H14" i="3"/>
  <c r="D9" i="3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C41" i="3"/>
  <c r="C35" i="3"/>
  <c r="K29" i="3"/>
  <c r="G24" i="3"/>
  <c r="C19" i="3"/>
  <c r="K13" i="3"/>
  <c r="G8" i="3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H39" i="3"/>
  <c r="J33" i="3"/>
  <c r="F28" i="3"/>
  <c r="B23" i="3"/>
  <c r="J17" i="3"/>
  <c r="F12" i="3"/>
  <c r="B7" i="3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J38" i="3"/>
  <c r="A33" i="3"/>
  <c r="I27" i="3"/>
  <c r="E22" i="3"/>
  <c r="A17" i="3"/>
  <c r="I11" i="3"/>
  <c r="E6" i="3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F42" i="3"/>
  <c r="E36" i="3"/>
  <c r="L30" i="3"/>
  <c r="H25" i="3"/>
  <c r="D20" i="3"/>
  <c r="L14" i="3"/>
  <c r="H9" i="3"/>
  <c r="D4" i="3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J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J75" i="3"/>
  <c r="F70" i="3"/>
  <c r="B65" i="3"/>
  <c r="J59" i="3"/>
  <c r="F54" i="3"/>
  <c r="B49" i="3"/>
  <c r="J43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A55" i="3"/>
  <c r="I49" i="3"/>
  <c r="D214" i="3"/>
  <c r="L208" i="3"/>
  <c r="H203" i="3"/>
  <c r="D198" i="3"/>
  <c r="L192" i="3"/>
  <c r="H187" i="3"/>
  <c r="D182" i="3"/>
  <c r="L176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H75" i="3"/>
  <c r="D70" i="3"/>
  <c r="L64" i="3"/>
  <c r="H59" i="3"/>
  <c r="D54" i="3"/>
  <c r="L48" i="3"/>
  <c r="K212" i="3"/>
  <c r="G207" i="3"/>
  <c r="C202" i="3"/>
  <c r="K196" i="3"/>
  <c r="G191" i="3"/>
  <c r="C186" i="3"/>
  <c r="K180" i="3"/>
  <c r="G175" i="3"/>
  <c r="C170" i="3"/>
  <c r="K164" i="3"/>
  <c r="G159" i="3"/>
  <c r="C154" i="3"/>
  <c r="K148" i="3"/>
  <c r="G143" i="3"/>
  <c r="C138" i="3"/>
  <c r="K132" i="3"/>
  <c r="G127" i="3"/>
  <c r="C122" i="3"/>
  <c r="K116" i="3"/>
  <c r="G111" i="3"/>
  <c r="C106" i="3"/>
  <c r="K100" i="3"/>
  <c r="G95" i="3"/>
  <c r="C90" i="3"/>
  <c r="K84" i="3"/>
  <c r="G79" i="3"/>
  <c r="C74" i="3"/>
  <c r="K68" i="3"/>
  <c r="G63" i="3"/>
  <c r="C58" i="3"/>
  <c r="K52" i="3"/>
  <c r="G47" i="3"/>
  <c r="J212" i="3"/>
  <c r="F207" i="3"/>
  <c r="B202" i="3"/>
  <c r="J196" i="3"/>
  <c r="F191" i="3"/>
  <c r="B186" i="3"/>
  <c r="J18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J68" i="3"/>
  <c r="F63" i="3"/>
  <c r="B58" i="3"/>
  <c r="J52" i="3"/>
  <c r="F47" i="3"/>
  <c r="B43" i="3"/>
  <c r="A37" i="3"/>
  <c r="G31" i="3"/>
  <c r="C26" i="3"/>
  <c r="K20" i="3"/>
  <c r="G15" i="3"/>
  <c r="C10" i="3"/>
  <c r="K4" i="3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K759" i="1"/>
  <c r="G754" i="1"/>
  <c r="C749" i="1"/>
  <c r="K743" i="1"/>
  <c r="A43" i="3"/>
  <c r="L36" i="3"/>
  <c r="F31" i="3"/>
  <c r="B26" i="3"/>
  <c r="J20" i="3"/>
  <c r="F15" i="3"/>
  <c r="B10" i="3"/>
  <c r="J4" i="3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L42" i="3"/>
  <c r="K36" i="3"/>
  <c r="E31" i="3"/>
  <c r="A26" i="3"/>
  <c r="I20" i="3"/>
  <c r="E15" i="3"/>
  <c r="A10" i="3"/>
  <c r="I4" i="3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E41" i="3"/>
  <c r="D35" i="3"/>
  <c r="L29" i="3"/>
  <c r="H24" i="3"/>
  <c r="D19" i="3"/>
  <c r="L13" i="3"/>
  <c r="H8" i="3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F40" i="3"/>
  <c r="G34" i="3"/>
  <c r="C29" i="3"/>
  <c r="K23" i="3"/>
  <c r="G18" i="3"/>
  <c r="C13" i="3"/>
  <c r="K7" i="3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K38" i="3"/>
  <c r="B33" i="3"/>
  <c r="J27" i="3"/>
  <c r="F22" i="3"/>
  <c r="B17" i="3"/>
  <c r="J11" i="3"/>
  <c r="F6" i="3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A38" i="3"/>
  <c r="E32" i="3"/>
  <c r="A27" i="3"/>
  <c r="I21" i="3"/>
  <c r="E16" i="3"/>
  <c r="A11" i="3"/>
  <c r="I5" i="3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I41" i="3"/>
  <c r="H35" i="3"/>
  <c r="D30" i="3"/>
  <c r="L24" i="3"/>
  <c r="H19" i="3"/>
  <c r="D14" i="3"/>
  <c r="L8" i="3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L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B75" i="3"/>
  <c r="J69" i="3"/>
  <c r="F64" i="3"/>
  <c r="B59" i="3"/>
  <c r="J53" i="3"/>
  <c r="F48" i="3"/>
  <c r="E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I59" i="3"/>
  <c r="E54" i="3"/>
  <c r="A49" i="3"/>
  <c r="H213" i="3"/>
  <c r="D208" i="3"/>
  <c r="L202" i="3"/>
  <c r="H197" i="3"/>
  <c r="D192" i="3"/>
  <c r="L186" i="3"/>
  <c r="H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L74" i="3"/>
  <c r="H69" i="3"/>
  <c r="D64" i="3"/>
  <c r="L58" i="3"/>
  <c r="H53" i="3"/>
  <c r="D48" i="3"/>
  <c r="C212" i="3"/>
  <c r="K206" i="3"/>
  <c r="G201" i="3"/>
  <c r="C196" i="3"/>
  <c r="K190" i="3"/>
  <c r="G185" i="3"/>
  <c r="C180" i="3"/>
  <c r="K174" i="3"/>
  <c r="G169" i="3"/>
  <c r="C164" i="3"/>
  <c r="K158" i="3"/>
  <c r="G153" i="3"/>
  <c r="C148" i="3"/>
  <c r="K142" i="3"/>
  <c r="G137" i="3"/>
  <c r="C132" i="3"/>
  <c r="K126" i="3"/>
  <c r="G121" i="3"/>
  <c r="C116" i="3"/>
  <c r="K110" i="3"/>
  <c r="G105" i="3"/>
  <c r="C100" i="3"/>
  <c r="K94" i="3"/>
  <c r="G89" i="3"/>
  <c r="C84" i="3"/>
  <c r="K78" i="3"/>
  <c r="G73" i="3"/>
  <c r="C68" i="3"/>
  <c r="K62" i="3"/>
  <c r="G57" i="3"/>
  <c r="C52" i="3"/>
  <c r="K46" i="3"/>
  <c r="B212" i="3"/>
  <c r="J206" i="3"/>
  <c r="F201" i="3"/>
  <c r="B196" i="3"/>
  <c r="J190" i="3"/>
  <c r="F185" i="3"/>
  <c r="B180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B68" i="3"/>
  <c r="J62" i="3"/>
  <c r="F57" i="3"/>
  <c r="B52" i="3"/>
  <c r="J46" i="3"/>
  <c r="E42" i="3"/>
  <c r="D36" i="3"/>
  <c r="K30" i="3"/>
  <c r="G25" i="3"/>
  <c r="C20" i="3"/>
  <c r="K14" i="3"/>
  <c r="G9" i="3"/>
  <c r="C4" i="3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G764" i="1"/>
  <c r="C759" i="1"/>
  <c r="K753" i="1"/>
  <c r="G748" i="1"/>
  <c r="C743" i="1"/>
  <c r="D42" i="3"/>
  <c r="C36" i="3"/>
  <c r="J30" i="3"/>
  <c r="F25" i="3"/>
  <c r="B20" i="3"/>
  <c r="J14" i="3"/>
  <c r="F9" i="3"/>
  <c r="B4" i="3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C42" i="3"/>
  <c r="B36" i="3"/>
  <c r="I30" i="3"/>
  <c r="E25" i="3"/>
  <c r="A20" i="3"/>
  <c r="I14" i="3"/>
  <c r="E9" i="3"/>
  <c r="A4" i="3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G40" i="3"/>
  <c r="H34" i="3"/>
  <c r="D29" i="3"/>
  <c r="L23" i="3"/>
  <c r="H18" i="3"/>
  <c r="D13" i="3"/>
  <c r="L7" i="3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I39" i="3"/>
  <c r="K33" i="3"/>
  <c r="G28" i="3"/>
  <c r="C23" i="3"/>
  <c r="K17" i="3"/>
  <c r="G12" i="3"/>
  <c r="C7" i="3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B38" i="3"/>
  <c r="F32" i="3"/>
  <c r="B27" i="3"/>
  <c r="J21" i="3"/>
  <c r="F16" i="3"/>
  <c r="B11" i="3"/>
  <c r="J5" i="3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E43" i="3"/>
  <c r="C37" i="3"/>
  <c r="I31" i="3"/>
  <c r="E26" i="3"/>
  <c r="A21" i="3"/>
  <c r="I15" i="3"/>
  <c r="E10" i="3"/>
  <c r="A5" i="3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L40" i="3"/>
  <c r="L34" i="3"/>
  <c r="H29" i="3"/>
  <c r="D24" i="3"/>
  <c r="L18" i="3"/>
  <c r="H13" i="3"/>
  <c r="D8" i="3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C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4" i="1"/>
  <c r="E429" i="1"/>
  <c r="A424" i="1"/>
  <c r="I418" i="1"/>
  <c r="E413" i="1"/>
  <c r="A408" i="1"/>
  <c r="I402" i="1"/>
  <c r="G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I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J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C737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D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G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A434" i="1"/>
  <c r="I428" i="1"/>
  <c r="E423" i="1"/>
  <c r="A418" i="1"/>
  <c r="I412" i="1"/>
  <c r="E407" i="1"/>
  <c r="A402" i="1"/>
  <c r="J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L735" i="1"/>
  <c r="G730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A738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F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J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E433" i="1"/>
  <c r="A428" i="1"/>
  <c r="I422" i="1"/>
  <c r="E417" i="1"/>
  <c r="A412" i="1"/>
  <c r="I406" i="1"/>
  <c r="E401" i="1"/>
  <c r="A736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H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D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432" i="1"/>
  <c r="E427" i="1"/>
  <c r="A422" i="1"/>
  <c r="I416" i="1"/>
  <c r="E411" i="1"/>
  <c r="A406" i="1"/>
  <c r="I40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K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G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432" i="1"/>
  <c r="I426" i="1"/>
  <c r="E421" i="1"/>
  <c r="A416" i="1"/>
  <c r="I410" i="1"/>
  <c r="E405" i="1"/>
  <c r="A400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L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B738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J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E739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431" i="1"/>
  <c r="A426" i="1"/>
  <c r="I420" i="1"/>
  <c r="E415" i="1"/>
  <c r="A410" i="1"/>
  <c r="I404" i="1"/>
  <c r="A740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E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F739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430" i="1"/>
  <c r="E425" i="1"/>
  <c r="A420" i="1"/>
  <c r="I414" i="1"/>
  <c r="E409" i="1"/>
  <c r="A404" i="1"/>
  <c r="B739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C738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H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I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K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430" i="1"/>
  <c r="I424" i="1"/>
  <c r="E419" i="1"/>
  <c r="A414" i="1"/>
  <c r="I408" i="1"/>
  <c r="E403" i="1"/>
  <c r="D738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F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G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L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B737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I88" i="1"/>
  <c r="E83" i="1"/>
  <c r="A78" i="1"/>
  <c r="I72" i="1"/>
  <c r="E67" i="1"/>
  <c r="A62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J55" i="1"/>
  <c r="F50" i="1"/>
  <c r="B45" i="1"/>
  <c r="J39" i="1"/>
  <c r="F34" i="1"/>
  <c r="B29" i="1"/>
  <c r="J23" i="1"/>
  <c r="F18" i="1"/>
  <c r="B13" i="1"/>
  <c r="J7" i="1"/>
  <c r="I57" i="1"/>
  <c r="E52" i="1"/>
  <c r="A47" i="1"/>
  <c r="I41" i="1"/>
  <c r="E36" i="1"/>
  <c r="A31" i="1"/>
  <c r="I25" i="1"/>
  <c r="E20" i="1"/>
  <c r="A15" i="1"/>
  <c r="I9" i="1"/>
  <c r="E4" i="1"/>
  <c r="D54" i="1"/>
  <c r="L48" i="1"/>
  <c r="H43" i="1"/>
  <c r="D38" i="1"/>
  <c r="L32" i="1"/>
  <c r="H27" i="1"/>
  <c r="D22" i="1"/>
  <c r="L16" i="1"/>
  <c r="H11" i="1"/>
  <c r="D6" i="1"/>
  <c r="C56" i="1"/>
  <c r="K50" i="1"/>
  <c r="G45" i="1"/>
  <c r="C40" i="1"/>
  <c r="K34" i="1"/>
  <c r="G29" i="1"/>
  <c r="C24" i="1"/>
  <c r="K18" i="1"/>
  <c r="G13" i="1"/>
  <c r="C8" i="1"/>
  <c r="B58" i="1"/>
  <c r="J52" i="1"/>
  <c r="F47" i="1"/>
  <c r="B42" i="1"/>
  <c r="J36" i="1"/>
  <c r="F31" i="1"/>
  <c r="B26" i="1"/>
  <c r="J20" i="1"/>
  <c r="F15" i="1"/>
  <c r="B10" i="1"/>
  <c r="J4" i="1"/>
  <c r="I54" i="1"/>
  <c r="E49" i="1"/>
  <c r="A44" i="1"/>
  <c r="I38" i="1"/>
  <c r="E33" i="1"/>
  <c r="A28" i="1"/>
  <c r="I22" i="1"/>
  <c r="E17" i="1"/>
  <c r="A12" i="1"/>
  <c r="I6" i="1"/>
  <c r="H56" i="1"/>
  <c r="D51" i="1"/>
  <c r="L45" i="1"/>
  <c r="H40" i="1"/>
  <c r="D35" i="1"/>
  <c r="L29" i="1"/>
  <c r="H24" i="1"/>
  <c r="D19" i="1"/>
  <c r="L13" i="1"/>
  <c r="H8" i="1"/>
  <c r="K57" i="1"/>
  <c r="G52" i="1"/>
  <c r="C47" i="1"/>
  <c r="K41" i="1"/>
  <c r="G36" i="1"/>
  <c r="C31" i="1"/>
  <c r="K25" i="1"/>
  <c r="G20" i="1"/>
  <c r="C15" i="1"/>
  <c r="K9" i="1"/>
  <c r="G4" i="1"/>
  <c r="A88" i="1"/>
  <c r="I82" i="1"/>
  <c r="E77" i="1"/>
  <c r="A72" i="1"/>
  <c r="I66" i="1"/>
  <c r="E6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B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B55" i="1"/>
  <c r="J49" i="1"/>
  <c r="F44" i="1"/>
  <c r="B39" i="1"/>
  <c r="J33" i="1"/>
  <c r="F28" i="1"/>
  <c r="B23" i="1"/>
  <c r="J17" i="1"/>
  <c r="F12" i="1"/>
  <c r="B7" i="1"/>
  <c r="A57" i="1"/>
  <c r="I51" i="1"/>
  <c r="E46" i="1"/>
  <c r="A41" i="1"/>
  <c r="I35" i="1"/>
  <c r="E30" i="1"/>
  <c r="A25" i="1"/>
  <c r="I19" i="1"/>
  <c r="E14" i="1"/>
  <c r="A9" i="1"/>
  <c r="L58" i="1"/>
  <c r="H53" i="1"/>
  <c r="D48" i="1"/>
  <c r="L42" i="1"/>
  <c r="H37" i="1"/>
  <c r="D32" i="1"/>
  <c r="L26" i="1"/>
  <c r="H21" i="1"/>
  <c r="D16" i="1"/>
  <c r="L10" i="1"/>
  <c r="H5" i="1"/>
  <c r="G55" i="1"/>
  <c r="C50" i="1"/>
  <c r="K44" i="1"/>
  <c r="G39" i="1"/>
  <c r="C34" i="1"/>
  <c r="K28" i="1"/>
  <c r="G23" i="1"/>
  <c r="C18" i="1"/>
  <c r="K12" i="1"/>
  <c r="G7" i="1"/>
  <c r="F57" i="1"/>
  <c r="B52" i="1"/>
  <c r="J46" i="1"/>
  <c r="F41" i="1"/>
  <c r="B36" i="1"/>
  <c r="J30" i="1"/>
  <c r="F25" i="1"/>
  <c r="B20" i="1"/>
  <c r="J14" i="1"/>
  <c r="F9" i="1"/>
  <c r="B4" i="1"/>
  <c r="A54" i="1"/>
  <c r="I48" i="1"/>
  <c r="E43" i="1"/>
  <c r="A38" i="1"/>
  <c r="I32" i="1"/>
  <c r="E27" i="1"/>
  <c r="A22" i="1"/>
  <c r="I16" i="1"/>
  <c r="E11" i="1"/>
  <c r="A6" i="1"/>
  <c r="L55" i="1"/>
  <c r="H50" i="1"/>
  <c r="D45" i="1"/>
  <c r="L39" i="1"/>
  <c r="H34" i="1"/>
  <c r="D29" i="1"/>
  <c r="L23" i="1"/>
  <c r="H18" i="1"/>
  <c r="D13" i="1"/>
  <c r="L7" i="1"/>
  <c r="C57" i="1"/>
  <c r="K51" i="1"/>
  <c r="G46" i="1"/>
  <c r="C41" i="1"/>
  <c r="K35" i="1"/>
  <c r="G30" i="1"/>
  <c r="C25" i="1"/>
  <c r="K19" i="1"/>
  <c r="G14" i="1"/>
  <c r="C9" i="1"/>
  <c r="E87" i="1"/>
  <c r="A82" i="1"/>
  <c r="I76" i="1"/>
  <c r="E71" i="1"/>
  <c r="A66" i="1"/>
  <c r="I6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C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F54" i="1"/>
  <c r="B49" i="1"/>
  <c r="J43" i="1"/>
  <c r="F38" i="1"/>
  <c r="B33" i="1"/>
  <c r="J27" i="1"/>
  <c r="F22" i="1"/>
  <c r="B17" i="1"/>
  <c r="J11" i="1"/>
  <c r="F6" i="1"/>
  <c r="E56" i="1"/>
  <c r="A51" i="1"/>
  <c r="I45" i="1"/>
  <c r="E40" i="1"/>
  <c r="A35" i="1"/>
  <c r="I29" i="1"/>
  <c r="E24" i="1"/>
  <c r="A19" i="1"/>
  <c r="I13" i="1"/>
  <c r="E8" i="1"/>
  <c r="D58" i="1"/>
  <c r="L52" i="1"/>
  <c r="H47" i="1"/>
  <c r="D42" i="1"/>
  <c r="L36" i="1"/>
  <c r="H31" i="1"/>
  <c r="D26" i="1"/>
  <c r="L20" i="1"/>
  <c r="H15" i="1"/>
  <c r="D10" i="1"/>
  <c r="L4" i="1"/>
  <c r="K54" i="1"/>
  <c r="G49" i="1"/>
  <c r="C44" i="1"/>
  <c r="K38" i="1"/>
  <c r="G33" i="1"/>
  <c r="C28" i="1"/>
  <c r="K22" i="1"/>
  <c r="G17" i="1"/>
  <c r="C12" i="1"/>
  <c r="K6" i="1"/>
  <c r="J56" i="1"/>
  <c r="F51" i="1"/>
  <c r="B46" i="1"/>
  <c r="J40" i="1"/>
  <c r="F35" i="1"/>
  <c r="B30" i="1"/>
  <c r="J24" i="1"/>
  <c r="F19" i="1"/>
  <c r="B14" i="1"/>
  <c r="J8" i="1"/>
  <c r="I58" i="1"/>
  <c r="E53" i="1"/>
  <c r="A48" i="1"/>
  <c r="I42" i="1"/>
  <c r="E37" i="1"/>
  <c r="A32" i="1"/>
  <c r="I26" i="1"/>
  <c r="E21" i="1"/>
  <c r="A16" i="1"/>
  <c r="I10" i="1"/>
  <c r="E5" i="1"/>
  <c r="D55" i="1"/>
  <c r="L49" i="1"/>
  <c r="H44" i="1"/>
  <c r="D39" i="1"/>
  <c r="L33" i="1"/>
  <c r="H28" i="1"/>
  <c r="D23" i="1"/>
  <c r="L17" i="1"/>
  <c r="H12" i="1"/>
  <c r="D7" i="1"/>
  <c r="G56" i="1"/>
  <c r="C51" i="1"/>
  <c r="K45" i="1"/>
  <c r="G40" i="1"/>
  <c r="C35" i="1"/>
  <c r="K29" i="1"/>
  <c r="G24" i="1"/>
  <c r="C19" i="1"/>
  <c r="K13" i="1"/>
  <c r="G8" i="1"/>
  <c r="I86" i="1"/>
  <c r="E81" i="1"/>
  <c r="A76" i="1"/>
  <c r="I70" i="1"/>
  <c r="E65" i="1"/>
  <c r="A60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E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E59" i="1"/>
  <c r="J53" i="1"/>
  <c r="F48" i="1"/>
  <c r="B43" i="1"/>
  <c r="J37" i="1"/>
  <c r="F32" i="1"/>
  <c r="B27" i="1"/>
  <c r="J21" i="1"/>
  <c r="F16" i="1"/>
  <c r="B11" i="1"/>
  <c r="J5" i="1"/>
  <c r="I55" i="1"/>
  <c r="E50" i="1"/>
  <c r="A45" i="1"/>
  <c r="I39" i="1"/>
  <c r="E34" i="1"/>
  <c r="A29" i="1"/>
  <c r="I23" i="1"/>
  <c r="E18" i="1"/>
  <c r="A13" i="1"/>
  <c r="I7" i="1"/>
  <c r="H57" i="1"/>
  <c r="D52" i="1"/>
  <c r="L46" i="1"/>
  <c r="H41" i="1"/>
  <c r="D36" i="1"/>
  <c r="L30" i="1"/>
  <c r="H25" i="1"/>
  <c r="D20" i="1"/>
  <c r="L14" i="1"/>
  <c r="H9" i="1"/>
  <c r="D4" i="1"/>
  <c r="C54" i="1"/>
  <c r="K48" i="1"/>
  <c r="G43" i="1"/>
  <c r="C38" i="1"/>
  <c r="K32" i="1"/>
  <c r="G27" i="1"/>
  <c r="C22" i="1"/>
  <c r="K16" i="1"/>
  <c r="G11" i="1"/>
  <c r="C6" i="1"/>
  <c r="B56" i="1"/>
  <c r="J50" i="1"/>
  <c r="F45" i="1"/>
  <c r="B40" i="1"/>
  <c r="J34" i="1"/>
  <c r="F29" i="1"/>
  <c r="B24" i="1"/>
  <c r="J18" i="1"/>
  <c r="F13" i="1"/>
  <c r="B8" i="1"/>
  <c r="A58" i="1"/>
  <c r="I52" i="1"/>
  <c r="E47" i="1"/>
  <c r="A42" i="1"/>
  <c r="I36" i="1"/>
  <c r="E31" i="1"/>
  <c r="A26" i="1"/>
  <c r="I20" i="1"/>
  <c r="E15" i="1"/>
  <c r="A10" i="1"/>
  <c r="I4" i="1"/>
  <c r="H54" i="1"/>
  <c r="D49" i="1"/>
  <c r="L43" i="1"/>
  <c r="H38" i="1"/>
  <c r="D33" i="1"/>
  <c r="L27" i="1"/>
  <c r="H22" i="1"/>
  <c r="D17" i="1"/>
  <c r="L11" i="1"/>
  <c r="H6" i="1"/>
  <c r="K55" i="1"/>
  <c r="G50" i="1"/>
  <c r="C45" i="1"/>
  <c r="K39" i="1"/>
  <c r="G34" i="1"/>
  <c r="C29" i="1"/>
  <c r="K23" i="1"/>
  <c r="G18" i="1"/>
  <c r="C13" i="1"/>
  <c r="K7" i="1"/>
  <c r="A86" i="1"/>
  <c r="I80" i="1"/>
  <c r="E75" i="1"/>
  <c r="A70" i="1"/>
  <c r="I64" i="1"/>
  <c r="F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F58" i="1"/>
  <c r="B53" i="1"/>
  <c r="J47" i="1"/>
  <c r="F42" i="1"/>
  <c r="B37" i="1"/>
  <c r="J31" i="1"/>
  <c r="F26" i="1"/>
  <c r="B21" i="1"/>
  <c r="J15" i="1"/>
  <c r="F10" i="1"/>
  <c r="B5" i="1"/>
  <c r="A55" i="1"/>
  <c r="I49" i="1"/>
  <c r="E44" i="1"/>
  <c r="A39" i="1"/>
  <c r="I33" i="1"/>
  <c r="E28" i="1"/>
  <c r="A23" i="1"/>
  <c r="I17" i="1"/>
  <c r="E12" i="1"/>
  <c r="A7" i="1"/>
  <c r="L56" i="1"/>
  <c r="H51" i="1"/>
  <c r="D46" i="1"/>
  <c r="L40" i="1"/>
  <c r="H35" i="1"/>
  <c r="D30" i="1"/>
  <c r="L24" i="1"/>
  <c r="H19" i="1"/>
  <c r="D14" i="1"/>
  <c r="L8" i="1"/>
  <c r="K58" i="1"/>
  <c r="G53" i="1"/>
  <c r="C48" i="1"/>
  <c r="K42" i="1"/>
  <c r="G37" i="1"/>
  <c r="C32" i="1"/>
  <c r="K26" i="1"/>
  <c r="G21" i="1"/>
  <c r="C16" i="1"/>
  <c r="K10" i="1"/>
  <c r="G5" i="1"/>
  <c r="F55" i="1"/>
  <c r="B50" i="1"/>
  <c r="J44" i="1"/>
  <c r="F39" i="1"/>
  <c r="B34" i="1"/>
  <c r="J28" i="1"/>
  <c r="F23" i="1"/>
  <c r="B18" i="1"/>
  <c r="J12" i="1"/>
  <c r="F7" i="1"/>
  <c r="E57" i="1"/>
  <c r="A52" i="1"/>
  <c r="I46" i="1"/>
  <c r="E41" i="1"/>
  <c r="A36" i="1"/>
  <c r="I30" i="1"/>
  <c r="E25" i="1"/>
  <c r="A20" i="1"/>
  <c r="I14" i="1"/>
  <c r="E9" i="1"/>
  <c r="A4" i="1"/>
  <c r="L53" i="1"/>
  <c r="H48" i="1"/>
  <c r="D43" i="1"/>
  <c r="L37" i="1"/>
  <c r="H32" i="1"/>
  <c r="D27" i="1"/>
  <c r="L21" i="1"/>
  <c r="H16" i="1"/>
  <c r="D11" i="1"/>
  <c r="L5" i="1"/>
  <c r="C55" i="1"/>
  <c r="K49" i="1"/>
  <c r="G44" i="1"/>
  <c r="C39" i="1"/>
  <c r="K33" i="1"/>
  <c r="G28" i="1"/>
  <c r="C23" i="1"/>
  <c r="K17" i="1"/>
  <c r="G12" i="1"/>
  <c r="C7" i="1"/>
  <c r="E85" i="1"/>
  <c r="A80" i="1"/>
  <c r="I74" i="1"/>
  <c r="E69" i="1"/>
  <c r="A64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J57" i="1"/>
  <c r="F52" i="1"/>
  <c r="B47" i="1"/>
  <c r="J41" i="1"/>
  <c r="F36" i="1"/>
  <c r="B31" i="1"/>
  <c r="J25" i="1"/>
  <c r="F20" i="1"/>
  <c r="B15" i="1"/>
  <c r="J9" i="1"/>
  <c r="F4" i="1"/>
  <c r="E54" i="1"/>
  <c r="A49" i="1"/>
  <c r="I43" i="1"/>
  <c r="E38" i="1"/>
  <c r="A33" i="1"/>
  <c r="I27" i="1"/>
  <c r="E22" i="1"/>
  <c r="A17" i="1"/>
  <c r="I11" i="1"/>
  <c r="E6" i="1"/>
  <c r="D56" i="1"/>
  <c r="L50" i="1"/>
  <c r="H45" i="1"/>
  <c r="D40" i="1"/>
  <c r="L34" i="1"/>
  <c r="H29" i="1"/>
  <c r="D24" i="1"/>
  <c r="L18" i="1"/>
  <c r="H13" i="1"/>
  <c r="D8" i="1"/>
  <c r="C58" i="1"/>
  <c r="K52" i="1"/>
  <c r="G47" i="1"/>
  <c r="C42" i="1"/>
  <c r="K36" i="1"/>
  <c r="G31" i="1"/>
  <c r="C26" i="1"/>
  <c r="K20" i="1"/>
  <c r="G15" i="1"/>
  <c r="C10" i="1"/>
  <c r="K4" i="1"/>
  <c r="J54" i="1"/>
  <c r="F49" i="1"/>
  <c r="B44" i="1"/>
  <c r="J38" i="1"/>
  <c r="F33" i="1"/>
  <c r="B28" i="1"/>
  <c r="J22" i="1"/>
  <c r="F17" i="1"/>
  <c r="B12" i="1"/>
  <c r="J6" i="1"/>
  <c r="I56" i="1"/>
  <c r="E51" i="1"/>
  <c r="A46" i="1"/>
  <c r="I40" i="1"/>
  <c r="E35" i="1"/>
  <c r="A30" i="1"/>
  <c r="I24" i="1"/>
  <c r="E19" i="1"/>
  <c r="A14" i="1"/>
  <c r="I8" i="1"/>
  <c r="H58" i="1"/>
  <c r="D53" i="1"/>
  <c r="L47" i="1"/>
  <c r="H42" i="1"/>
  <c r="D37" i="1"/>
  <c r="L31" i="1"/>
  <c r="H26" i="1"/>
  <c r="D21" i="1"/>
  <c r="L15" i="1"/>
  <c r="H10" i="1"/>
  <c r="D5" i="1"/>
  <c r="G54" i="1"/>
  <c r="C49" i="1"/>
  <c r="K43" i="1"/>
  <c r="G38" i="1"/>
  <c r="C33" i="1"/>
  <c r="K27" i="1"/>
  <c r="G22" i="1"/>
  <c r="C17" i="1"/>
  <c r="K11" i="1"/>
  <c r="G6" i="1"/>
  <c r="I84" i="1"/>
  <c r="E79" i="1"/>
  <c r="A74" i="1"/>
  <c r="I68" i="1"/>
  <c r="E6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B57" i="1"/>
  <c r="J51" i="1"/>
  <c r="F46" i="1"/>
  <c r="B41" i="1"/>
  <c r="J35" i="1"/>
  <c r="F30" i="1"/>
  <c r="B25" i="1"/>
  <c r="J19" i="1"/>
  <c r="F14" i="1"/>
  <c r="B9" i="1"/>
  <c r="A59" i="1"/>
  <c r="I53" i="1"/>
  <c r="E48" i="1"/>
  <c r="A43" i="1"/>
  <c r="I37" i="1"/>
  <c r="E32" i="1"/>
  <c r="A27" i="1"/>
  <c r="I21" i="1"/>
  <c r="E16" i="1"/>
  <c r="A11" i="1"/>
  <c r="I5" i="1"/>
  <c r="H55" i="1"/>
  <c r="D50" i="1"/>
  <c r="L44" i="1"/>
  <c r="H39" i="1"/>
  <c r="D34" i="1"/>
  <c r="L28" i="1"/>
  <c r="H23" i="1"/>
  <c r="D18" i="1"/>
  <c r="L12" i="1"/>
  <c r="H7" i="1"/>
  <c r="G57" i="1"/>
  <c r="C52" i="1"/>
  <c r="K46" i="1"/>
  <c r="G41" i="1"/>
  <c r="C36" i="1"/>
  <c r="K30" i="1"/>
  <c r="G25" i="1"/>
  <c r="C20" i="1"/>
  <c r="K14" i="1"/>
  <c r="G9" i="1"/>
  <c r="C4" i="1"/>
  <c r="B54" i="1"/>
  <c r="J48" i="1"/>
  <c r="F43" i="1"/>
  <c r="B38" i="1"/>
  <c r="J32" i="1"/>
  <c r="F27" i="1"/>
  <c r="B22" i="1"/>
  <c r="J16" i="1"/>
  <c r="F11" i="1"/>
  <c r="B6" i="1"/>
  <c r="A56" i="1"/>
  <c r="I50" i="1"/>
  <c r="E45" i="1"/>
  <c r="A40" i="1"/>
  <c r="I34" i="1"/>
  <c r="E29" i="1"/>
  <c r="A24" i="1"/>
  <c r="I18" i="1"/>
  <c r="E13" i="1"/>
  <c r="A8" i="1"/>
  <c r="L57" i="1"/>
  <c r="H52" i="1"/>
  <c r="D47" i="1"/>
  <c r="L41" i="1"/>
  <c r="H36" i="1"/>
  <c r="D31" i="1"/>
  <c r="L25" i="1"/>
  <c r="H20" i="1"/>
  <c r="D15" i="1"/>
  <c r="L9" i="1"/>
  <c r="H4" i="1"/>
  <c r="K53" i="1"/>
  <c r="G48" i="1"/>
  <c r="C43" i="1"/>
  <c r="K37" i="1"/>
  <c r="G32" i="1"/>
  <c r="C27" i="1"/>
  <c r="K21" i="1"/>
  <c r="G16" i="1"/>
  <c r="C11" i="1"/>
  <c r="K5" i="1"/>
  <c r="A84" i="1"/>
  <c r="I78" i="1"/>
  <c r="E73" i="1"/>
  <c r="A68" i="1"/>
  <c r="I6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399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F56" i="1"/>
  <c r="B51" i="1"/>
  <c r="J45" i="1"/>
  <c r="F40" i="1"/>
  <c r="B35" i="1"/>
  <c r="J29" i="1"/>
  <c r="F24" i="1"/>
  <c r="B19" i="1"/>
  <c r="J13" i="1"/>
  <c r="F8" i="1"/>
  <c r="E58" i="1"/>
  <c r="A53" i="1"/>
  <c r="I47" i="1"/>
  <c r="E42" i="1"/>
  <c r="A37" i="1"/>
  <c r="I31" i="1"/>
  <c r="E26" i="1"/>
  <c r="A21" i="1"/>
  <c r="I15" i="1"/>
  <c r="E10" i="1"/>
  <c r="A5" i="1"/>
  <c r="L54" i="1"/>
  <c r="H49" i="1"/>
  <c r="D44" i="1"/>
  <c r="L38" i="1"/>
  <c r="H33" i="1"/>
  <c r="D28" i="1"/>
  <c r="L22" i="1"/>
  <c r="H17" i="1"/>
  <c r="D12" i="1"/>
  <c r="L6" i="1"/>
  <c r="K56" i="1"/>
  <c r="G51" i="1"/>
  <c r="C46" i="1"/>
  <c r="K40" i="1"/>
  <c r="G35" i="1"/>
  <c r="C30" i="1"/>
  <c r="K24" i="1"/>
  <c r="G19" i="1"/>
  <c r="C14" i="1"/>
  <c r="K8" i="1"/>
  <c r="J58" i="1"/>
  <c r="F53" i="1"/>
  <c r="B48" i="1"/>
  <c r="J42" i="1"/>
  <c r="F37" i="1"/>
  <c r="B32" i="1"/>
  <c r="J26" i="1"/>
  <c r="F21" i="1"/>
  <c r="B16" i="1"/>
  <c r="J10" i="1"/>
  <c r="F5" i="1"/>
  <c r="E55" i="1"/>
  <c r="A50" i="1"/>
  <c r="I44" i="1"/>
  <c r="E39" i="1"/>
  <c r="A34" i="1"/>
  <c r="I28" i="1"/>
  <c r="E23" i="1"/>
  <c r="A18" i="1"/>
  <c r="I12" i="1"/>
  <c r="E7" i="1"/>
  <c r="D57" i="1"/>
  <c r="L51" i="1"/>
  <c r="H46" i="1"/>
  <c r="D41" i="1"/>
  <c r="L35" i="1"/>
  <c r="H30" i="1"/>
  <c r="D25" i="1"/>
  <c r="L19" i="1"/>
  <c r="H14" i="1"/>
  <c r="D9" i="1"/>
  <c r="G58" i="1"/>
  <c r="C53" i="1"/>
  <c r="K47" i="1"/>
  <c r="G42" i="1"/>
  <c r="C37" i="1"/>
  <c r="K31" i="1"/>
  <c r="G26" i="1"/>
  <c r="C21" i="1"/>
  <c r="K15" i="1"/>
  <c r="G10" i="1"/>
  <c r="C5" i="1"/>
  <c r="J2" i="38" l="1"/>
  <c r="J2" i="31"/>
  <c r="J2" i="22"/>
  <c r="J2" i="16"/>
  <c r="J2" i="5"/>
  <c r="J2" i="20"/>
  <c r="J2" i="6"/>
  <c r="J2" i="29"/>
  <c r="J2" i="12"/>
  <c r="J2" i="27"/>
  <c r="J2" i="10"/>
  <c r="J2" i="11"/>
  <c r="J2" i="23"/>
  <c r="J2" i="37"/>
  <c r="J2" i="28"/>
  <c r="J2" i="14"/>
  <c r="J2" i="21"/>
  <c r="J2" i="4"/>
  <c r="J2" i="18"/>
  <c r="J2" i="24"/>
  <c r="J2" i="15"/>
  <c r="J2" i="34"/>
  <c r="J2" i="35"/>
  <c r="J2" i="33"/>
  <c r="J2" i="26"/>
  <c r="J2" i="19"/>
  <c r="J2" i="8"/>
  <c r="J2" i="17"/>
  <c r="J2" i="9"/>
  <c r="J2" i="7"/>
  <c r="J2" i="36"/>
  <c r="J2" i="32"/>
  <c r="J2" i="25"/>
  <c r="J2" i="13"/>
  <c r="J2" i="30"/>
</calcChain>
</file>

<file path=xl/sharedStrings.xml><?xml version="1.0" encoding="utf-8"?>
<sst xmlns="http://schemas.openxmlformats.org/spreadsheetml/2006/main" count="1172" uniqueCount="97">
  <si>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</si>
  <si>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</si>
  <si>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</si>
  <si>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</si>
  <si>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</si>
  <si>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</si>
  <si>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</si>
  <si>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</si>
  <si>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</si>
  <si>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</si>
  <si>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</si>
  <si>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</si>
  <si>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</si>
  <si>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</si>
  <si>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</si>
  <si>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</si>
  <si>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</si>
  <si>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</si>
  <si>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</si>
  <si>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</si>
  <si>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</si>
  <si>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</si>
  <si>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</si>
  <si>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</si>
  <si>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</si>
  <si>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</si>
  <si>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</si>
  <si>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</si>
  <si>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</si>
  <si>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</si>
  <si>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</si>
  <si>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</si>
  <si>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</si>
  <si>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</si>
  <si>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Buy to Close</t>
  </si>
  <si>
    <t>GOOG</t>
  </si>
  <si>
    <t>Buy</t>
  </si>
  <si>
    <t>Closing</t>
  </si>
  <si>
    <t>GetDataClosing</t>
  </si>
  <si>
    <t>Historical</t>
  </si>
  <si>
    <t>AutomaticClosing</t>
  </si>
  <si>
    <t>FIFO</t>
  </si>
  <si>
    <t>None</t>
  </si>
  <si>
    <t>Default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</si>
  <si>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</si>
  <si>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</si>
  <si>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</si>
  <si>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</si>
  <si>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</si>
  <si>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</si>
  <si>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</si>
  <si>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</si>
  <si>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</si>
  <si>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</si>
  <si>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Equity Long Revaluation [Asset]</t>
  </si>
  <si>
    <t>Contra UnRealized PNL Entry</t>
  </si>
  <si>
    <t>VerifyTradingTransaction</t>
  </si>
  <si>
    <t>Trading</t>
  </si>
  <si>
    <t>Investment - Long Equity [Asset]</t>
  </si>
  <si>
    <t>GetActivityData</t>
  </si>
  <si>
    <t>VerifyActivity</t>
  </si>
  <si>
    <t>EquityShortUnRealizedPNL</t>
  </si>
  <si>
    <t>Cash</t>
  </si>
  <si>
    <t>NonTrading</t>
  </si>
  <si>
    <t>Manual Journal Entry</t>
  </si>
  <si>
    <t>EquityS</t>
  </si>
  <si>
    <t>EquityShortRealizedPNL</t>
  </si>
  <si>
    <t>EquityLongUnRealizedPNL</t>
  </si>
  <si>
    <t>EquityL</t>
  </si>
  <si>
    <t>CorporateAction</t>
  </si>
  <si>
    <t>OpenSpinOff</t>
  </si>
  <si>
    <t>SpinOff</t>
  </si>
  <si>
    <t>MSFT</t>
  </si>
  <si>
    <t>CloseAtGivenPrice</t>
  </si>
  <si>
    <t>VerifyAndApplyCorpAction</t>
  </si>
  <si>
    <t>Sell</t>
  </si>
  <si>
    <t>BrokerNotes</t>
  </si>
  <si>
    <t>Cash In Lieu</t>
  </si>
  <si>
    <t>VerifyLongPositionsGrid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</si>
  <si>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</si>
  <si>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</si>
  <si>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</si>
  <si>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</si>
  <si>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</si>
  <si>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</si>
  <si>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</si>
  <si>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</si>
  <si>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Allocation</t>
  </si>
  <si>
    <t>GetDataAllocation</t>
  </si>
  <si>
    <t>CheckAllocatedGroups</t>
  </si>
  <si>
    <t>Manual</t>
  </si>
  <si>
    <t>Closed</t>
  </si>
  <si>
    <t>SellShort</t>
  </si>
  <si>
    <t>BuytoClose</t>
  </si>
  <si>
    <t>Open</t>
  </si>
  <si>
    <t>CAStockSpinoff</t>
  </si>
  <si>
    <t>MiscellaneousIncome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</si>
</sst>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9"/>
      <color rgb="FF000000"/>
      <name val="Arial"/>
    </font>
    <font>
      <sz val="9"/>
      <color rgb="FFE7E8E9"/>
      <name val="Arial"/>
    </font>
    <font>
      <sz val="9"/>
      <color rgb="FF868686"/>
      <name val="Arial"/>
    </font>
    <font>
      <sz val="9"/>
      <color rgb="FF000000"/>
      <name val="Verdana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3" fillId="0" borderId="2" xfId="0" applyFont="1" applyBorder="1" applyAlignment="1"/>
    <xf numFmtId="14" fontId="5" fillId="0" borderId="0" xfId="0" applyNumberFormat="1" applyFont="1" applyAlignment="1">
      <alignment horizontal="right"/>
    </xf>
    <xf numFmtId="0" fontId="3" fillId="0" borderId="0" xfId="0" applyFont="1" applyAlignment="1"/>
    <xf numFmtId="0" fontId="3" fillId="0" borderId="6" xfId="0" applyFont="1" applyBorder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3" fillId="0" borderId="7" xfId="0" applyFont="1" applyBorder="1" applyAlignment="1"/>
    <xf numFmtId="14" fontId="13" fillId="6" borderId="0" xfId="0" applyNumberFormat="1" applyFont="1" applyFill="1" applyAlignment="1"/>
    <xf numFmtId="0" fontId="13" fillId="6" borderId="0" xfId="0" applyFont="1" applyFill="1" applyAlignment="1"/>
    <xf numFmtId="0" fontId="13" fillId="6" borderId="0" xfId="0" applyFont="1" applyFill="1" applyAlignment="1">
      <alignment horizontal="right"/>
    </xf>
    <xf numFmtId="0" fontId="14" fillId="6" borderId="0" xfId="0" applyFont="1" applyFill="1" applyAlignment="1">
      <alignment horizontal="right"/>
    </xf>
    <xf numFmtId="0" fontId="13" fillId="7" borderId="0" xfId="0" applyFont="1" applyFill="1" applyAlignment="1"/>
    <xf numFmtId="0" fontId="15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14" fontId="13" fillId="6" borderId="0" xfId="0" applyNumberFormat="1" applyFont="1" applyFill="1" applyAlignment="1"/>
    <xf numFmtId="0" fontId="3" fillId="6" borderId="0" xfId="0" applyFont="1" applyFill="1" applyAlignment="1"/>
    <xf numFmtId="0" fontId="13" fillId="6" borderId="6" xfId="0" applyFont="1" applyFill="1" applyBorder="1" applyAlignment="1"/>
    <xf numFmtId="0" fontId="16" fillId="6" borderId="0" xfId="0" applyFont="1" applyFill="1" applyAlignment="1"/>
    <xf numFmtId="0" fontId="13" fillId="8" borderId="0" xfId="0" applyFont="1" applyFill="1" applyAlignment="1"/>
    <xf numFmtId="0" fontId="13" fillId="8" borderId="0" xfId="0" applyFont="1" applyFill="1" applyAlignment="1">
      <alignment horizontal="right"/>
    </xf>
    <xf numFmtId="0" fontId="3" fillId="8" borderId="0" xfId="0" applyFont="1" applyFill="1" applyAlignment="1"/>
    <xf numFmtId="14" fontId="13" fillId="8" borderId="0" xfId="0" applyNumberFormat="1" applyFont="1" applyFill="1" applyAlignment="1"/>
    <xf numFmtId="0" fontId="13" fillId="8" borderId="6" xfId="0" applyFont="1" applyFill="1" applyBorder="1" applyAlignment="1"/>
    <xf numFmtId="0" fontId="16" fillId="8" borderId="0" xfId="0" applyFont="1" applyFill="1" applyAlignment="1"/>
    <xf numFmtId="14" fontId="13" fillId="8" borderId="0" xfId="0" applyNumberFormat="1" applyFont="1" applyFill="1" applyAlignment="1"/>
    <xf numFmtId="0" fontId="3" fillId="0" borderId="8" xfId="0" applyFont="1" applyBorder="1" applyAlignment="1"/>
    <xf numFmtId="0" fontId="17" fillId="0" borderId="0" xfId="0" applyFont="1" applyAlignment="1"/>
    <xf numFmtId="0" fontId="17" fillId="0" borderId="0" xfId="0" applyFont="1" applyAlignment="1">
      <alignment horizontal="right"/>
    </xf>
    <xf numFmtId="14" fontId="17" fillId="0" borderId="0" xfId="0" applyNumberFormat="1" applyFont="1" applyAlignment="1">
      <alignment horizontal="right"/>
    </xf>
    <xf numFmtId="0" fontId="17" fillId="0" borderId="5" xfId="0" applyFont="1" applyBorder="1" applyAlignment="1"/>
    <xf numFmtId="0" fontId="17" fillId="0" borderId="5" xfId="0" applyFont="1" applyBorder="1" applyAlignment="1">
      <alignment horizontal="right"/>
    </xf>
    <xf numFmtId="0" fontId="17" fillId="0" borderId="5" xfId="0" applyFont="1" applyBorder="1" applyAlignment="1"/>
    <xf numFmtId="0" fontId="17" fillId="0" borderId="0" xfId="0" applyFont="1" applyAlignment="1">
      <alignment horizontal="right"/>
    </xf>
    <xf numFmtId="0" fontId="17" fillId="0" borderId="0" xfId="0" applyFont="1" applyAlignment="1"/>
    <xf numFmtId="14" fontId="13" fillId="6" borderId="0" xfId="0" applyNumberFormat="1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3" fillId="6" borderId="0" xfId="0" applyFont="1" applyFill="1" applyAlignment="1">
      <alignment horizontal="right"/>
    </xf>
    <xf numFmtId="0" fontId="14" fillId="6" borderId="0" xfId="0" applyFont="1" applyFill="1" applyAlignment="1">
      <alignment horizontal="right"/>
    </xf>
    <xf numFmtId="0" fontId="13" fillId="6" borderId="0" xfId="0" applyFont="1" applyFill="1" applyAlignment="1">
      <alignment horizontal="left"/>
    </xf>
    <xf numFmtId="0" fontId="13" fillId="7" borderId="0" xfId="0" applyFont="1" applyFill="1" applyAlignment="1">
      <alignment horizontal="left"/>
    </xf>
    <xf numFmtId="0" fontId="15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0" fontId="13" fillId="7" borderId="0" xfId="0" applyFont="1" applyFill="1" applyAlignment="1">
      <alignment horizontal="left"/>
    </xf>
    <xf numFmtId="14" fontId="13" fillId="6" borderId="0" xfId="0" applyNumberFormat="1" applyFont="1" applyFill="1" applyAlignment="1">
      <alignment horizontal="left"/>
    </xf>
    <xf numFmtId="0" fontId="16" fillId="6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3" fillId="8" borderId="0" xfId="0" applyFont="1" applyFill="1" applyAlignment="1">
      <alignment horizontal="right"/>
    </xf>
    <xf numFmtId="0" fontId="13" fillId="8" borderId="0" xfId="0" applyFont="1" applyFill="1" applyAlignment="1">
      <alignment horizontal="left"/>
    </xf>
    <xf numFmtId="14" fontId="13" fillId="8" borderId="0" xfId="0" applyNumberFormat="1" applyFont="1" applyFill="1" applyAlignment="1">
      <alignment horizontal="left"/>
    </xf>
    <xf numFmtId="0" fontId="16" fillId="8" borderId="0" xfId="0" applyFont="1" applyFill="1" applyAlignment="1">
      <alignment horizontal="left"/>
    </xf>
    <xf numFmtId="0" fontId="13" fillId="6" borderId="9" xfId="0" applyFont="1" applyFill="1" applyBorder="1" applyAlignment="1">
      <alignment horizontal="left"/>
    </xf>
    <xf numFmtId="14" fontId="17" fillId="0" borderId="5" xfId="0" applyNumberFormat="1" applyFont="1" applyBorder="1" applyAlignment="1">
      <alignment horizontal="right"/>
    </xf>
    <xf numFmtId="1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/>
    <xf numFmtId="4" fontId="17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92" t="s">
        <v>0</v>
      </c>
      <c r="B1" s="93"/>
      <c r="C1" s="93"/>
      <c r="D1" s="93"/>
      <c r="E1" s="93"/>
      <c r="F1" s="94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95" t="s">
        <v>2</v>
      </c>
      <c r="B1" s="93"/>
      <c r="C1" s="9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92" t="s">
        <v>7</v>
      </c>
      <c r="B1" s="93"/>
      <c r="C1" s="93"/>
      <c r="D1" s="93"/>
      <c r="E1" s="93"/>
      <c r="F1" s="9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43875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IFERROR(__xludf.DUMMYFUNCTION("""COMPUTED_VALUE"""),"Account Side")</f>
        <v>Account Side</v>
      </c>
      <c r="H5" s="22" t="str">
        <f ca="1">IFERROR(__xludf.DUMMYFUNCTION("""COMPUTED_VALUE"""),"DR")</f>
        <v>DR</v>
      </c>
      <c r="I5" s="22" t="str">
        <f ca="1">IFERROR(__xludf.DUMMYFUNCTION("""COMPUTED_VALUE"""),"CR")</f>
        <v>CR</v>
      </c>
      <c r="J5" s="22" t="str">
        <f ca="1">IFERROR(__xludf.DUMMYFUNCTION("""COMPUTED_VALUE"""),"Fx Rate")</f>
        <v>Fx Rate</v>
      </c>
      <c r="K5" s="22" t="str">
        <f ca="1">IFERROR(__xludf.DUMMYFUNCTION("""COMPUTED_VALUE"""),"FX Conversion Method Operator")</f>
        <v>FX Conversion Method Operator</v>
      </c>
      <c r="L5" s="22" t="str">
        <f ca="1">IFERROR(__xludf.DUMMYFUNCTION("""COMPUTED_VALUE"""),"Description")</f>
        <v>Description</v>
      </c>
      <c r="M5" s="22" t="str">
        <f ca="1">IFERROR(__xludf.DUMMYFUNCTION("""COMPUTED_VALUE"""),"Modify Date")</f>
        <v>Modify Date</v>
      </c>
      <c r="N5" s="22" t="str">
        <f ca="1">IFERROR(__xludf.DUMMYFUNCTION("""COMPUTED_VALUE"""),"Entry Date")</f>
        <v>Entry Date</v>
      </c>
      <c r="O5" s="22" t="str">
        <f ca="1">IFERROR(__xludf.DUMMYFUNCTION("""COMPUTED_VALUE"""),"User")</f>
        <v>User</v>
      </c>
      <c r="P5" s="22" t="str">
        <f ca="1">IFERROR(__xludf.DUMMYFUNCTION("""COMPUTED_VALUE"""),"TransactionSource")</f>
        <v>TransactionSource</v>
      </c>
      <c r="Q5" s="22" t="str">
        <f ca="1">IFERROR(__xludf.DUMMYFUNCTION("""COMPUTED_VALUE"""),"Base Currency")</f>
        <v>Base Currency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43871</v>
      </c>
      <c r="C6" s="27" t="s">
        <v>16</v>
      </c>
      <c r="D6" s="26"/>
      <c r="E6" s="27" t="s">
        <v>18</v>
      </c>
      <c r="F6" s="27" t="s">
        <v>19</v>
      </c>
      <c r="G6" s="29"/>
      <c r="H6" s="31">
        <v>500000</v>
      </c>
      <c r="I6" s="29"/>
      <c r="J6" s="31">
        <v>1</v>
      </c>
      <c r="K6" s="27" t="s">
        <v>20</v>
      </c>
      <c r="L6" s="29"/>
      <c r="M6" s="29"/>
      <c r="N6" s="29"/>
      <c r="O6" s="29"/>
      <c r="P6" s="29"/>
      <c r="Q6" s="29"/>
      <c r="R6" s="31">
        <v>500000</v>
      </c>
      <c r="S6" s="32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3">
        <v>43871</v>
      </c>
      <c r="C7" s="34" t="s">
        <v>16</v>
      </c>
      <c r="D7" s="30"/>
      <c r="E7" s="34" t="s">
        <v>18</v>
      </c>
      <c r="F7" s="35" t="s">
        <v>21</v>
      </c>
      <c r="G7" s="30"/>
      <c r="H7" s="30"/>
      <c r="I7" s="36">
        <v>500000</v>
      </c>
      <c r="J7" s="36">
        <v>1</v>
      </c>
      <c r="K7" s="34" t="s">
        <v>20</v>
      </c>
      <c r="L7" s="30"/>
      <c r="M7" s="30"/>
      <c r="N7" s="30"/>
      <c r="O7" s="30"/>
      <c r="P7" s="30"/>
      <c r="Q7" s="30"/>
      <c r="R7" s="30"/>
      <c r="S7" s="36">
        <v>500000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24</v>
      </c>
      <c r="C6" s="37" t="s">
        <v>25</v>
      </c>
      <c r="D6" s="31">
        <v>105</v>
      </c>
      <c r="E6" s="31">
        <v>105</v>
      </c>
      <c r="F6" s="29"/>
      <c r="G6" s="27" t="s">
        <v>26</v>
      </c>
      <c r="H6" s="29"/>
      <c r="I6" s="29"/>
      <c r="J6" s="31">
        <v>300</v>
      </c>
      <c r="K6" s="29"/>
      <c r="L6" s="29"/>
      <c r="M6" s="29"/>
      <c r="N6" s="28">
        <v>43871</v>
      </c>
      <c r="O6" s="29"/>
      <c r="P6" s="29"/>
      <c r="Q6" s="29"/>
      <c r="R6" s="27" t="s">
        <v>27</v>
      </c>
      <c r="S6" s="38">
        <v>2.5</v>
      </c>
      <c r="T6" s="34" t="s">
        <v>27</v>
      </c>
      <c r="U6" s="39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4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43871</v>
      </c>
      <c r="C6" s="28">
        <v>43871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24</v>
      </c>
      <c r="C6" s="31">
        <v>305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40" t="b">
        <v>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24</v>
      </c>
      <c r="C6" s="27" t="s">
        <v>34</v>
      </c>
      <c r="D6" s="31">
        <v>105</v>
      </c>
      <c r="E6" s="31">
        <v>105</v>
      </c>
      <c r="F6" s="29"/>
      <c r="G6" s="27" t="s">
        <v>26</v>
      </c>
      <c r="H6" s="29"/>
      <c r="I6" s="29"/>
      <c r="J6" s="31">
        <v>300</v>
      </c>
      <c r="K6" s="29"/>
      <c r="L6" s="29"/>
      <c r="M6" s="29"/>
      <c r="N6" s="28">
        <v>43872</v>
      </c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4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41" t="s">
        <v>35</v>
      </c>
      <c r="C7" s="41" t="s">
        <v>36</v>
      </c>
      <c r="D7" s="36">
        <v>100</v>
      </c>
      <c r="E7" s="36">
        <v>100</v>
      </c>
      <c r="F7" s="30"/>
      <c r="G7" s="41" t="s">
        <v>26</v>
      </c>
      <c r="H7" s="30"/>
      <c r="I7" s="30"/>
      <c r="J7" s="36">
        <v>1315</v>
      </c>
      <c r="K7" s="30"/>
      <c r="L7" s="30"/>
      <c r="M7" s="30"/>
      <c r="N7" s="33">
        <v>43872</v>
      </c>
      <c r="O7" s="30"/>
      <c r="P7" s="30"/>
      <c r="Q7" s="30"/>
      <c r="R7" s="42" t="s">
        <v>27</v>
      </c>
      <c r="S7" s="42">
        <v>5</v>
      </c>
      <c r="T7" s="34" t="s">
        <v>27</v>
      </c>
      <c r="U7" s="34">
        <v>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4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41" t="s">
        <v>24</v>
      </c>
      <c r="C8" s="41" t="s">
        <v>36</v>
      </c>
      <c r="D8" s="36">
        <v>80</v>
      </c>
      <c r="E8" s="36">
        <v>80</v>
      </c>
      <c r="F8" s="30"/>
      <c r="G8" s="41" t="s">
        <v>26</v>
      </c>
      <c r="H8" s="30"/>
      <c r="I8" s="30"/>
      <c r="J8" s="36">
        <v>300</v>
      </c>
      <c r="K8" s="30"/>
      <c r="L8" s="30"/>
      <c r="M8" s="30"/>
      <c r="N8" s="33">
        <v>43872</v>
      </c>
      <c r="O8" s="30"/>
      <c r="P8" s="30"/>
      <c r="Q8" s="30"/>
      <c r="R8" s="34" t="s">
        <v>27</v>
      </c>
      <c r="S8" s="34">
        <v>2.5</v>
      </c>
      <c r="T8" s="34" t="s">
        <v>27</v>
      </c>
      <c r="U8" s="34">
        <v>7.5</v>
      </c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4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39</v>
      </c>
      <c r="C6" s="28">
        <v>43871</v>
      </c>
      <c r="D6" s="28">
        <v>43872</v>
      </c>
      <c r="E6" s="27" t="s">
        <v>16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40" t="b">
        <v>0</v>
      </c>
      <c r="C6" s="40" t="b">
        <v>0</v>
      </c>
      <c r="D6" s="27" t="s">
        <v>41</v>
      </c>
      <c r="E6" s="27" t="s">
        <v>42</v>
      </c>
      <c r="F6" s="27" t="s">
        <v>43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43872</v>
      </c>
      <c r="C6" s="28">
        <v>43872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24</v>
      </c>
      <c r="C6" s="31">
        <v>310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41" t="s">
        <v>35</v>
      </c>
      <c r="C7" s="36">
        <v>1320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43872</v>
      </c>
      <c r="E6" s="28">
        <v>43872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43872</v>
      </c>
      <c r="E6" s="40" t="b">
        <v>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43872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43">
        <v>43871</v>
      </c>
      <c r="C6" s="44" t="s">
        <v>16</v>
      </c>
      <c r="D6" s="44" t="s">
        <v>24</v>
      </c>
      <c r="E6" s="44" t="s">
        <v>18</v>
      </c>
      <c r="F6" s="44" t="s">
        <v>45</v>
      </c>
      <c r="G6" s="45">
        <v>549.02</v>
      </c>
      <c r="H6" s="46">
        <v>0</v>
      </c>
      <c r="I6" s="29"/>
      <c r="J6" s="29"/>
      <c r="K6" s="29"/>
      <c r="L6" s="45">
        <v>1</v>
      </c>
      <c r="M6" s="44" t="s">
        <v>20</v>
      </c>
      <c r="N6" s="44" t="s">
        <v>46</v>
      </c>
      <c r="O6" s="44" t="s">
        <v>47</v>
      </c>
      <c r="P6" s="44" t="s">
        <v>18</v>
      </c>
      <c r="Q6" s="44" t="s">
        <v>48</v>
      </c>
      <c r="R6" s="45">
        <v>549.02</v>
      </c>
      <c r="S6" s="45">
        <v>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43">
        <v>43871</v>
      </c>
      <c r="C7" s="44" t="s">
        <v>16</v>
      </c>
      <c r="D7" s="44" t="s">
        <v>24</v>
      </c>
      <c r="E7" s="44" t="s">
        <v>18</v>
      </c>
      <c r="F7" s="47" t="s">
        <v>49</v>
      </c>
      <c r="G7" s="48">
        <v>0</v>
      </c>
      <c r="H7" s="49">
        <v>549.02</v>
      </c>
      <c r="I7" s="30"/>
      <c r="J7" s="30"/>
      <c r="K7" s="30"/>
      <c r="L7" s="49">
        <v>1</v>
      </c>
      <c r="M7" s="47" t="s">
        <v>20</v>
      </c>
      <c r="N7" s="47" t="s">
        <v>50</v>
      </c>
      <c r="O7" s="47" t="s">
        <v>47</v>
      </c>
      <c r="P7" s="47" t="s">
        <v>18</v>
      </c>
      <c r="Q7" s="44" t="s">
        <v>48</v>
      </c>
      <c r="R7" s="49">
        <v>0</v>
      </c>
      <c r="S7" s="49">
        <v>549.02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43">
        <v>43872</v>
      </c>
      <c r="C8" s="44" t="s">
        <v>16</v>
      </c>
      <c r="D8" s="44" t="s">
        <v>24</v>
      </c>
      <c r="E8" s="44" t="s">
        <v>18</v>
      </c>
      <c r="F8" s="44" t="s">
        <v>51</v>
      </c>
      <c r="G8" s="45">
        <v>38.04</v>
      </c>
      <c r="H8" s="46">
        <v>0</v>
      </c>
      <c r="I8" s="30"/>
      <c r="J8" s="30"/>
      <c r="K8" s="30"/>
      <c r="L8" s="45">
        <v>1</v>
      </c>
      <c r="M8" s="44" t="s">
        <v>20</v>
      </c>
      <c r="N8" s="44" t="s">
        <v>46</v>
      </c>
      <c r="O8" s="44" t="s">
        <v>47</v>
      </c>
      <c r="P8" s="44" t="s">
        <v>18</v>
      </c>
      <c r="Q8" s="44" t="s">
        <v>52</v>
      </c>
      <c r="R8" s="45">
        <v>38.04</v>
      </c>
      <c r="S8" s="45">
        <v>0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43">
        <v>43872</v>
      </c>
      <c r="C9" s="44" t="s">
        <v>16</v>
      </c>
      <c r="D9" s="44" t="s">
        <v>24</v>
      </c>
      <c r="E9" s="44" t="s">
        <v>18</v>
      </c>
      <c r="F9" s="47" t="s">
        <v>53</v>
      </c>
      <c r="G9" s="48">
        <v>0</v>
      </c>
      <c r="H9" s="49">
        <v>38.04</v>
      </c>
      <c r="I9" s="30"/>
      <c r="J9" s="30"/>
      <c r="K9" s="30"/>
      <c r="L9" s="49">
        <v>1</v>
      </c>
      <c r="M9" s="47" t="s">
        <v>20</v>
      </c>
      <c r="N9" s="47" t="s">
        <v>50</v>
      </c>
      <c r="O9" s="47" t="s">
        <v>47</v>
      </c>
      <c r="P9" s="47" t="s">
        <v>18</v>
      </c>
      <c r="Q9" s="44" t="s">
        <v>52</v>
      </c>
      <c r="R9" s="49">
        <v>0</v>
      </c>
      <c r="S9" s="49">
        <v>38.04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43">
        <v>43872</v>
      </c>
      <c r="C10" s="44" t="s">
        <v>16</v>
      </c>
      <c r="D10" s="44" t="s">
        <v>24</v>
      </c>
      <c r="E10" s="44" t="s">
        <v>18</v>
      </c>
      <c r="F10" s="44" t="s">
        <v>54</v>
      </c>
      <c r="G10" s="45">
        <v>775.99</v>
      </c>
      <c r="H10" s="46">
        <v>0</v>
      </c>
      <c r="I10" s="30"/>
      <c r="J10" s="30"/>
      <c r="K10" s="30"/>
      <c r="L10" s="45">
        <v>1</v>
      </c>
      <c r="M10" s="44" t="s">
        <v>20</v>
      </c>
      <c r="N10" s="44" t="s">
        <v>46</v>
      </c>
      <c r="O10" s="44" t="s">
        <v>47</v>
      </c>
      <c r="P10" s="44" t="s">
        <v>18</v>
      </c>
      <c r="Q10" s="44" t="s">
        <v>48</v>
      </c>
      <c r="R10" s="45">
        <v>775.99</v>
      </c>
      <c r="S10" s="45">
        <v>0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43">
        <v>43872</v>
      </c>
      <c r="C11" s="44" t="s">
        <v>16</v>
      </c>
      <c r="D11" s="44" t="s">
        <v>24</v>
      </c>
      <c r="E11" s="44" t="s">
        <v>18</v>
      </c>
      <c r="F11" s="47" t="s">
        <v>45</v>
      </c>
      <c r="G11" s="48">
        <v>0</v>
      </c>
      <c r="H11" s="49">
        <v>775.99</v>
      </c>
      <c r="I11" s="30"/>
      <c r="J11" s="30"/>
      <c r="K11" s="30"/>
      <c r="L11" s="49">
        <v>1</v>
      </c>
      <c r="M11" s="47" t="s">
        <v>20</v>
      </c>
      <c r="N11" s="47" t="s">
        <v>50</v>
      </c>
      <c r="O11" s="47" t="s">
        <v>47</v>
      </c>
      <c r="P11" s="47" t="s">
        <v>18</v>
      </c>
      <c r="Q11" s="44" t="s">
        <v>48</v>
      </c>
      <c r="R11" s="49">
        <v>0</v>
      </c>
      <c r="S11" s="49">
        <v>775.99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43">
        <v>43872</v>
      </c>
      <c r="C12" s="44" t="s">
        <v>16</v>
      </c>
      <c r="D12" s="44" t="s">
        <v>35</v>
      </c>
      <c r="E12" s="44" t="s">
        <v>18</v>
      </c>
      <c r="F12" s="44" t="s">
        <v>54</v>
      </c>
      <c r="G12" s="45">
        <v>475.93</v>
      </c>
      <c r="H12" s="46">
        <v>0</v>
      </c>
      <c r="I12" s="30"/>
      <c r="J12" s="30"/>
      <c r="K12" s="30"/>
      <c r="L12" s="45">
        <v>1</v>
      </c>
      <c r="M12" s="44" t="s">
        <v>20</v>
      </c>
      <c r="N12" s="44" t="s">
        <v>46</v>
      </c>
      <c r="O12" s="44" t="s">
        <v>47</v>
      </c>
      <c r="P12" s="44" t="s">
        <v>18</v>
      </c>
      <c r="Q12" s="44" t="s">
        <v>48</v>
      </c>
      <c r="R12" s="45">
        <v>475.93</v>
      </c>
      <c r="S12" s="45">
        <v>0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43">
        <v>43872</v>
      </c>
      <c r="C13" s="44" t="s">
        <v>16</v>
      </c>
      <c r="D13" s="44" t="s">
        <v>35</v>
      </c>
      <c r="E13" s="44" t="s">
        <v>18</v>
      </c>
      <c r="F13" s="47" t="s">
        <v>45</v>
      </c>
      <c r="G13" s="48">
        <v>0</v>
      </c>
      <c r="H13" s="49">
        <v>475.93</v>
      </c>
      <c r="I13" s="30"/>
      <c r="J13" s="30"/>
      <c r="K13" s="30"/>
      <c r="L13" s="49">
        <v>1</v>
      </c>
      <c r="M13" s="47" t="s">
        <v>20</v>
      </c>
      <c r="N13" s="47" t="s">
        <v>50</v>
      </c>
      <c r="O13" s="47" t="s">
        <v>47</v>
      </c>
      <c r="P13" s="47" t="s">
        <v>18</v>
      </c>
      <c r="Q13" s="44" t="s">
        <v>48</v>
      </c>
      <c r="R13" s="49">
        <v>0</v>
      </c>
      <c r="S13" s="49">
        <v>475.93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30"/>
      <c r="B14" s="43">
        <v>43872</v>
      </c>
      <c r="C14" s="44" t="s">
        <v>16</v>
      </c>
      <c r="D14" s="44" t="s">
        <v>24</v>
      </c>
      <c r="E14" s="44" t="s">
        <v>18</v>
      </c>
      <c r="F14" s="44" t="s">
        <v>49</v>
      </c>
      <c r="G14" s="45">
        <v>549.02</v>
      </c>
      <c r="H14" s="46">
        <v>0</v>
      </c>
      <c r="I14" s="30"/>
      <c r="J14" s="30"/>
      <c r="K14" s="30"/>
      <c r="L14" s="45">
        <v>1</v>
      </c>
      <c r="M14" s="44" t="s">
        <v>20</v>
      </c>
      <c r="N14" s="44" t="s">
        <v>46</v>
      </c>
      <c r="O14" s="44" t="s">
        <v>47</v>
      </c>
      <c r="P14" s="44" t="s">
        <v>18</v>
      </c>
      <c r="Q14" s="44" t="s">
        <v>55</v>
      </c>
      <c r="R14" s="45">
        <v>549.02</v>
      </c>
      <c r="S14" s="45">
        <v>0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ht="15.75" customHeight="1" x14ac:dyDescent="0.2">
      <c r="A15" s="30"/>
      <c r="B15" s="43">
        <v>43872</v>
      </c>
      <c r="C15" s="44" t="s">
        <v>16</v>
      </c>
      <c r="D15" s="44" t="s">
        <v>24</v>
      </c>
      <c r="E15" s="44" t="s">
        <v>18</v>
      </c>
      <c r="F15" s="47" t="s">
        <v>45</v>
      </c>
      <c r="G15" s="48">
        <v>0</v>
      </c>
      <c r="H15" s="49">
        <v>549.02</v>
      </c>
      <c r="I15" s="30"/>
      <c r="J15" s="30"/>
      <c r="K15" s="30"/>
      <c r="L15" s="49">
        <v>1</v>
      </c>
      <c r="M15" s="47" t="s">
        <v>20</v>
      </c>
      <c r="N15" s="47" t="s">
        <v>50</v>
      </c>
      <c r="O15" s="47" t="s">
        <v>47</v>
      </c>
      <c r="P15" s="47" t="s">
        <v>18</v>
      </c>
      <c r="Q15" s="44" t="s">
        <v>55</v>
      </c>
      <c r="R15" s="49">
        <v>0</v>
      </c>
      <c r="S15" s="49">
        <v>549.02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50">
        <v>43871</v>
      </c>
      <c r="C6" s="29"/>
      <c r="D6" s="26"/>
      <c r="E6" s="45">
        <v>24.017600000000002</v>
      </c>
      <c r="F6" s="46">
        <v>0</v>
      </c>
      <c r="G6" s="45">
        <v>1</v>
      </c>
      <c r="H6" s="44" t="s">
        <v>20</v>
      </c>
      <c r="I6" s="44" t="s">
        <v>46</v>
      </c>
      <c r="J6" s="44" t="s">
        <v>57</v>
      </c>
      <c r="K6" s="44" t="s">
        <v>18</v>
      </c>
      <c r="L6" s="44" t="s">
        <v>18</v>
      </c>
      <c r="M6" s="44" t="s">
        <v>24</v>
      </c>
      <c r="N6" s="51"/>
      <c r="O6" s="45">
        <v>24.017600000000002</v>
      </c>
      <c r="P6" s="45">
        <v>0</v>
      </c>
      <c r="Q6" s="44" t="s">
        <v>53</v>
      </c>
      <c r="R6" s="44" t="s">
        <v>16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50">
        <v>43871</v>
      </c>
      <c r="C7" s="30"/>
      <c r="D7" s="30"/>
      <c r="E7" s="48">
        <v>0</v>
      </c>
      <c r="F7" s="49">
        <v>24.017600000000002</v>
      </c>
      <c r="G7" s="49">
        <v>1</v>
      </c>
      <c r="H7" s="47" t="s">
        <v>20</v>
      </c>
      <c r="I7" s="47" t="s">
        <v>50</v>
      </c>
      <c r="J7" s="47" t="s">
        <v>57</v>
      </c>
      <c r="K7" s="44" t="s">
        <v>18</v>
      </c>
      <c r="L7" s="47" t="s">
        <v>18</v>
      </c>
      <c r="M7" s="44" t="s">
        <v>24</v>
      </c>
      <c r="N7" s="51"/>
      <c r="O7" s="49">
        <v>0</v>
      </c>
      <c r="P7" s="49">
        <v>24.017600000000002</v>
      </c>
      <c r="Q7" s="47" t="s">
        <v>19</v>
      </c>
      <c r="R7" s="44" t="s">
        <v>16</v>
      </c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50">
        <v>43871</v>
      </c>
      <c r="C8" s="30"/>
      <c r="D8" s="30"/>
      <c r="E8" s="45">
        <v>31500</v>
      </c>
      <c r="F8" s="46">
        <v>0</v>
      </c>
      <c r="G8" s="45">
        <v>1</v>
      </c>
      <c r="H8" s="44" t="s">
        <v>20</v>
      </c>
      <c r="I8" s="44" t="s">
        <v>46</v>
      </c>
      <c r="J8" s="44" t="s">
        <v>57</v>
      </c>
      <c r="K8" s="44" t="s">
        <v>18</v>
      </c>
      <c r="L8" s="44" t="s">
        <v>18</v>
      </c>
      <c r="M8" s="44" t="s">
        <v>24</v>
      </c>
      <c r="N8" s="51"/>
      <c r="O8" s="45">
        <v>31500</v>
      </c>
      <c r="P8" s="45">
        <v>0</v>
      </c>
      <c r="Q8" s="44" t="s">
        <v>19</v>
      </c>
      <c r="R8" s="44" t="s">
        <v>16</v>
      </c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50">
        <v>43871</v>
      </c>
      <c r="C9" s="30"/>
      <c r="D9" s="30"/>
      <c r="E9" s="48">
        <v>0</v>
      </c>
      <c r="F9" s="49">
        <v>31500</v>
      </c>
      <c r="G9" s="49">
        <v>1</v>
      </c>
      <c r="H9" s="47" t="s">
        <v>20</v>
      </c>
      <c r="I9" s="47" t="s">
        <v>50</v>
      </c>
      <c r="J9" s="47" t="s">
        <v>57</v>
      </c>
      <c r="K9" s="44" t="s">
        <v>18</v>
      </c>
      <c r="L9" s="47" t="s">
        <v>18</v>
      </c>
      <c r="M9" s="44" t="s">
        <v>24</v>
      </c>
      <c r="N9" s="51"/>
      <c r="O9" s="49">
        <v>0</v>
      </c>
      <c r="P9" s="49">
        <v>31500</v>
      </c>
      <c r="Q9" s="47" t="s">
        <v>53</v>
      </c>
      <c r="R9" s="44" t="s">
        <v>16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50">
        <v>43872</v>
      </c>
      <c r="C10" s="30"/>
      <c r="D10" s="30"/>
      <c r="E10" s="45">
        <v>31514.017599999999</v>
      </c>
      <c r="F10" s="46">
        <v>0</v>
      </c>
      <c r="G10" s="45">
        <v>1</v>
      </c>
      <c r="H10" s="44" t="s">
        <v>20</v>
      </c>
      <c r="I10" s="44" t="s">
        <v>46</v>
      </c>
      <c r="J10" s="44" t="s">
        <v>57</v>
      </c>
      <c r="K10" s="44" t="s">
        <v>18</v>
      </c>
      <c r="L10" s="44" t="s">
        <v>18</v>
      </c>
      <c r="M10" s="44" t="s">
        <v>24</v>
      </c>
      <c r="N10" s="51"/>
      <c r="O10" s="45">
        <v>31514.017599999999</v>
      </c>
      <c r="P10" s="45">
        <v>0</v>
      </c>
      <c r="Q10" s="44" t="s">
        <v>53</v>
      </c>
      <c r="R10" s="44" t="s">
        <v>16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50">
        <v>43872</v>
      </c>
      <c r="C11" s="30"/>
      <c r="D11" s="30"/>
      <c r="E11" s="48">
        <v>0</v>
      </c>
      <c r="F11" s="49">
        <v>31514.017599999999</v>
      </c>
      <c r="G11" s="49">
        <v>1</v>
      </c>
      <c r="H11" s="47" t="s">
        <v>20</v>
      </c>
      <c r="I11" s="47" t="s">
        <v>50</v>
      </c>
      <c r="J11" s="47" t="s">
        <v>57</v>
      </c>
      <c r="K11" s="44" t="s">
        <v>18</v>
      </c>
      <c r="L11" s="47" t="s">
        <v>18</v>
      </c>
      <c r="M11" s="44" t="s">
        <v>24</v>
      </c>
      <c r="N11" s="51"/>
      <c r="O11" s="49">
        <v>0</v>
      </c>
      <c r="P11" s="49">
        <v>31514.017599999999</v>
      </c>
      <c r="Q11" s="47" t="s">
        <v>19</v>
      </c>
      <c r="R11" s="44" t="s">
        <v>16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50">
        <v>43872</v>
      </c>
      <c r="C12" s="30"/>
      <c r="D12" s="30"/>
      <c r="E12" s="45">
        <v>24024.0134</v>
      </c>
      <c r="F12" s="46">
        <v>0</v>
      </c>
      <c r="G12" s="45">
        <v>1</v>
      </c>
      <c r="H12" s="44" t="s">
        <v>20</v>
      </c>
      <c r="I12" s="44" t="s">
        <v>46</v>
      </c>
      <c r="J12" s="44" t="s">
        <v>57</v>
      </c>
      <c r="K12" s="44" t="s">
        <v>18</v>
      </c>
      <c r="L12" s="44" t="s">
        <v>18</v>
      </c>
      <c r="M12" s="44" t="s">
        <v>24</v>
      </c>
      <c r="N12" s="51"/>
      <c r="O12" s="45">
        <v>24024.0134</v>
      </c>
      <c r="P12" s="45">
        <v>0</v>
      </c>
      <c r="Q12" s="44" t="s">
        <v>58</v>
      </c>
      <c r="R12" s="44" t="s">
        <v>16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50">
        <v>43872</v>
      </c>
      <c r="C13" s="30"/>
      <c r="D13" s="30"/>
      <c r="E13" s="48">
        <v>0</v>
      </c>
      <c r="F13" s="49">
        <v>24024.0134</v>
      </c>
      <c r="G13" s="49">
        <v>1</v>
      </c>
      <c r="H13" s="47" t="s">
        <v>20</v>
      </c>
      <c r="I13" s="47" t="s">
        <v>50</v>
      </c>
      <c r="J13" s="47" t="s">
        <v>57</v>
      </c>
      <c r="K13" s="44" t="s">
        <v>18</v>
      </c>
      <c r="L13" s="47" t="s">
        <v>18</v>
      </c>
      <c r="M13" s="44" t="s">
        <v>24</v>
      </c>
      <c r="N13" s="51"/>
      <c r="O13" s="49">
        <v>0</v>
      </c>
      <c r="P13" s="49">
        <v>24024.0134</v>
      </c>
      <c r="Q13" s="47" t="s">
        <v>19</v>
      </c>
      <c r="R13" s="44" t="s">
        <v>16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30"/>
      <c r="B14" s="50">
        <v>43872</v>
      </c>
      <c r="C14" s="30"/>
      <c r="D14" s="30"/>
      <c r="E14" s="45">
        <v>131524.0736</v>
      </c>
      <c r="F14" s="46">
        <v>0</v>
      </c>
      <c r="G14" s="45">
        <v>1</v>
      </c>
      <c r="H14" s="44" t="s">
        <v>20</v>
      </c>
      <c r="I14" s="44" t="s">
        <v>46</v>
      </c>
      <c r="J14" s="44" t="s">
        <v>57</v>
      </c>
      <c r="K14" s="44" t="s">
        <v>18</v>
      </c>
      <c r="L14" s="44" t="s">
        <v>18</v>
      </c>
      <c r="M14" s="44" t="s">
        <v>35</v>
      </c>
      <c r="N14" s="51"/>
      <c r="O14" s="45">
        <v>131524.0736</v>
      </c>
      <c r="P14" s="45">
        <v>0</v>
      </c>
      <c r="Q14" s="44" t="s">
        <v>58</v>
      </c>
      <c r="R14" s="44" t="s">
        <v>16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ht="15.75" customHeight="1" x14ac:dyDescent="0.2">
      <c r="A15" s="30"/>
      <c r="B15" s="50">
        <v>43872</v>
      </c>
      <c r="C15" s="30"/>
      <c r="D15" s="30"/>
      <c r="E15" s="48">
        <v>0</v>
      </c>
      <c r="F15" s="49">
        <v>131524.0736</v>
      </c>
      <c r="G15" s="49">
        <v>1</v>
      </c>
      <c r="H15" s="47" t="s">
        <v>20</v>
      </c>
      <c r="I15" s="47" t="s">
        <v>50</v>
      </c>
      <c r="J15" s="47" t="s">
        <v>57</v>
      </c>
      <c r="K15" s="44" t="s">
        <v>18</v>
      </c>
      <c r="L15" s="47" t="s">
        <v>18</v>
      </c>
      <c r="M15" s="44" t="s">
        <v>35</v>
      </c>
      <c r="N15" s="51"/>
      <c r="O15" s="49">
        <v>0</v>
      </c>
      <c r="P15" s="49">
        <v>131524.0736</v>
      </c>
      <c r="Q15" s="47" t="s">
        <v>19</v>
      </c>
      <c r="R15" s="44" t="s">
        <v>16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43872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abSelected="1" workbookViewId="0">
      <selection activeCell="E18" sqref="E1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44" t="s">
        <v>16</v>
      </c>
      <c r="C6" s="44" t="s">
        <v>47</v>
      </c>
      <c r="D6" s="44" t="s">
        <v>61</v>
      </c>
      <c r="E6" s="45">
        <v>-549.02</v>
      </c>
      <c r="F6" s="45">
        <v>0</v>
      </c>
      <c r="G6" s="45">
        <v>0</v>
      </c>
      <c r="H6" s="44" t="s">
        <v>62</v>
      </c>
      <c r="I6" s="45">
        <v>0</v>
      </c>
      <c r="J6" s="45">
        <v>0</v>
      </c>
      <c r="K6" s="44" t="s">
        <v>18</v>
      </c>
      <c r="L6" s="52" t="s">
        <v>48</v>
      </c>
      <c r="M6" s="29"/>
      <c r="N6" s="44" t="s">
        <v>20</v>
      </c>
      <c r="O6" s="45">
        <v>1</v>
      </c>
      <c r="P6" s="51"/>
      <c r="Q6" s="29"/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51"/>
      <c r="Y6" s="30"/>
      <c r="Z6" s="45">
        <v>0</v>
      </c>
      <c r="AA6" s="45">
        <v>0</v>
      </c>
      <c r="AB6" s="44" t="s">
        <v>24</v>
      </c>
      <c r="AC6" s="45">
        <v>0</v>
      </c>
      <c r="AD6" s="45">
        <v>0</v>
      </c>
      <c r="AE6" s="43">
        <v>43871</v>
      </c>
      <c r="AF6" s="45">
        <v>0</v>
      </c>
      <c r="AG6" s="53" t="s">
        <v>47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44" t="s">
        <v>16</v>
      </c>
      <c r="C7" s="44" t="s">
        <v>57</v>
      </c>
      <c r="D7" s="44" t="s">
        <v>65</v>
      </c>
      <c r="E7" s="45">
        <v>31475.982400000001</v>
      </c>
      <c r="F7" s="45">
        <v>4</v>
      </c>
      <c r="G7" s="45">
        <v>5</v>
      </c>
      <c r="H7" s="44" t="s">
        <v>62</v>
      </c>
      <c r="I7" s="45">
        <v>0</v>
      </c>
      <c r="J7" s="45">
        <v>2.5</v>
      </c>
      <c r="K7" s="44" t="s">
        <v>18</v>
      </c>
      <c r="L7" s="51"/>
      <c r="M7" s="30"/>
      <c r="N7" s="44" t="s">
        <v>20</v>
      </c>
      <c r="O7" s="45">
        <v>1</v>
      </c>
      <c r="P7" s="51"/>
      <c r="Q7" s="30"/>
      <c r="R7" s="45">
        <v>0</v>
      </c>
      <c r="S7" s="45">
        <v>0</v>
      </c>
      <c r="T7" s="45">
        <v>0</v>
      </c>
      <c r="U7" s="45">
        <v>0</v>
      </c>
      <c r="V7" s="45">
        <v>105</v>
      </c>
      <c r="W7" s="45">
        <v>0</v>
      </c>
      <c r="X7" s="53" t="s">
        <v>18</v>
      </c>
      <c r="Y7" s="30"/>
      <c r="Z7" s="45">
        <v>7.5</v>
      </c>
      <c r="AA7" s="45">
        <v>1.7600000000000001E-2</v>
      </c>
      <c r="AB7" s="44" t="s">
        <v>24</v>
      </c>
      <c r="AC7" s="45">
        <v>3</v>
      </c>
      <c r="AD7" s="45">
        <v>24.017600000000002</v>
      </c>
      <c r="AE7" s="50">
        <v>43871</v>
      </c>
      <c r="AF7" s="45">
        <v>2</v>
      </c>
      <c r="AG7" s="53" t="s">
        <v>57</v>
      </c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54" t="s">
        <v>16</v>
      </c>
      <c r="C8" s="54" t="s">
        <v>47</v>
      </c>
      <c r="D8" s="54" t="s">
        <v>66</v>
      </c>
      <c r="E8" s="55">
        <v>-38.04</v>
      </c>
      <c r="F8" s="55">
        <v>0</v>
      </c>
      <c r="G8" s="55">
        <v>0</v>
      </c>
      <c r="H8" s="54" t="s">
        <v>62</v>
      </c>
      <c r="I8" s="55">
        <v>0</v>
      </c>
      <c r="J8" s="55">
        <v>0</v>
      </c>
      <c r="K8" s="54" t="s">
        <v>18</v>
      </c>
      <c r="L8" s="58" t="s">
        <v>52</v>
      </c>
      <c r="M8" s="30"/>
      <c r="N8" s="54" t="s">
        <v>20</v>
      </c>
      <c r="O8" s="55">
        <v>1</v>
      </c>
      <c r="P8" s="56"/>
      <c r="Q8" s="30"/>
      <c r="R8" s="55">
        <v>0</v>
      </c>
      <c r="S8" s="55">
        <v>0</v>
      </c>
      <c r="T8" s="55">
        <v>0</v>
      </c>
      <c r="U8" s="55">
        <v>0</v>
      </c>
      <c r="V8" s="55">
        <v>0</v>
      </c>
      <c r="W8" s="55">
        <v>0</v>
      </c>
      <c r="X8" s="56"/>
      <c r="Y8" s="30"/>
      <c r="Z8" s="55">
        <v>0</v>
      </c>
      <c r="AA8" s="55">
        <v>0</v>
      </c>
      <c r="AB8" s="54" t="s">
        <v>24</v>
      </c>
      <c r="AC8" s="55">
        <v>0</v>
      </c>
      <c r="AD8" s="55">
        <v>0</v>
      </c>
      <c r="AE8" s="57">
        <v>43872</v>
      </c>
      <c r="AF8" s="55">
        <v>0</v>
      </c>
      <c r="AG8" s="59" t="s">
        <v>47</v>
      </c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44" t="s">
        <v>16</v>
      </c>
      <c r="C9" s="44" t="s">
        <v>47</v>
      </c>
      <c r="D9" s="44" t="s">
        <v>67</v>
      </c>
      <c r="E9" s="45">
        <v>775.99</v>
      </c>
      <c r="F9" s="45">
        <v>0</v>
      </c>
      <c r="G9" s="45">
        <v>0</v>
      </c>
      <c r="H9" s="44" t="s">
        <v>62</v>
      </c>
      <c r="I9" s="45">
        <v>0</v>
      </c>
      <c r="J9" s="45">
        <v>0</v>
      </c>
      <c r="K9" s="44" t="s">
        <v>18</v>
      </c>
      <c r="L9" s="52" t="s">
        <v>48</v>
      </c>
      <c r="M9" s="30"/>
      <c r="N9" s="44" t="s">
        <v>20</v>
      </c>
      <c r="O9" s="45">
        <v>1</v>
      </c>
      <c r="P9" s="51"/>
      <c r="Q9" s="30"/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51"/>
      <c r="Y9" s="30"/>
      <c r="Z9" s="45">
        <v>0</v>
      </c>
      <c r="AA9" s="45">
        <v>0</v>
      </c>
      <c r="AB9" s="44" t="s">
        <v>24</v>
      </c>
      <c r="AC9" s="45">
        <v>0</v>
      </c>
      <c r="AD9" s="45">
        <v>0</v>
      </c>
      <c r="AE9" s="43">
        <v>43872</v>
      </c>
      <c r="AF9" s="45">
        <v>0</v>
      </c>
      <c r="AG9" s="53" t="s">
        <v>47</v>
      </c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54" t="s">
        <v>16</v>
      </c>
      <c r="C10" s="54" t="s">
        <v>47</v>
      </c>
      <c r="D10" s="54" t="s">
        <v>67</v>
      </c>
      <c r="E10" s="55">
        <v>475.93</v>
      </c>
      <c r="F10" s="55">
        <v>0</v>
      </c>
      <c r="G10" s="55">
        <v>0</v>
      </c>
      <c r="H10" s="54" t="s">
        <v>62</v>
      </c>
      <c r="I10" s="55">
        <v>0</v>
      </c>
      <c r="J10" s="55">
        <v>0</v>
      </c>
      <c r="K10" s="54" t="s">
        <v>18</v>
      </c>
      <c r="L10" s="58" t="s">
        <v>48</v>
      </c>
      <c r="M10" s="30"/>
      <c r="N10" s="54" t="s">
        <v>20</v>
      </c>
      <c r="O10" s="55">
        <v>1</v>
      </c>
      <c r="P10" s="56"/>
      <c r="Q10" s="30"/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6"/>
      <c r="Y10" s="30"/>
      <c r="Z10" s="55">
        <v>0</v>
      </c>
      <c r="AA10" s="55">
        <v>0</v>
      </c>
      <c r="AB10" s="54" t="s">
        <v>35</v>
      </c>
      <c r="AC10" s="55">
        <v>0</v>
      </c>
      <c r="AD10" s="55">
        <v>0</v>
      </c>
      <c r="AE10" s="57">
        <v>43872</v>
      </c>
      <c r="AF10" s="55">
        <v>0</v>
      </c>
      <c r="AG10" s="59" t="s">
        <v>47</v>
      </c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44" t="s">
        <v>16</v>
      </c>
      <c r="C11" s="44" t="s">
        <v>47</v>
      </c>
      <c r="D11" s="44" t="s">
        <v>61</v>
      </c>
      <c r="E11" s="45">
        <v>549.02</v>
      </c>
      <c r="F11" s="45">
        <v>0</v>
      </c>
      <c r="G11" s="45">
        <v>0</v>
      </c>
      <c r="H11" s="44" t="s">
        <v>62</v>
      </c>
      <c r="I11" s="45">
        <v>0</v>
      </c>
      <c r="J11" s="45">
        <v>0</v>
      </c>
      <c r="K11" s="44" t="s">
        <v>18</v>
      </c>
      <c r="L11" s="52" t="s">
        <v>55</v>
      </c>
      <c r="M11" s="30"/>
      <c r="N11" s="44" t="s">
        <v>20</v>
      </c>
      <c r="O11" s="45">
        <v>1</v>
      </c>
      <c r="P11" s="51"/>
      <c r="Q11" s="30"/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51"/>
      <c r="Y11" s="30"/>
      <c r="Z11" s="45">
        <v>0</v>
      </c>
      <c r="AA11" s="45">
        <v>0</v>
      </c>
      <c r="AB11" s="44" t="s">
        <v>24</v>
      </c>
      <c r="AC11" s="45">
        <v>0</v>
      </c>
      <c r="AD11" s="45">
        <v>0</v>
      </c>
      <c r="AE11" s="43">
        <v>43872</v>
      </c>
      <c r="AF11" s="45">
        <v>0</v>
      </c>
      <c r="AG11" s="53" t="s">
        <v>47</v>
      </c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54" t="s">
        <v>16</v>
      </c>
      <c r="C12" s="54" t="s">
        <v>57</v>
      </c>
      <c r="D12" s="54" t="s">
        <v>65</v>
      </c>
      <c r="E12" s="55">
        <v>-31514.017599999999</v>
      </c>
      <c r="F12" s="55">
        <v>4</v>
      </c>
      <c r="G12" s="55">
        <v>5</v>
      </c>
      <c r="H12" s="54" t="s">
        <v>62</v>
      </c>
      <c r="I12" s="55">
        <v>0</v>
      </c>
      <c r="J12" s="55">
        <v>0</v>
      </c>
      <c r="K12" s="54" t="s">
        <v>18</v>
      </c>
      <c r="L12" s="56"/>
      <c r="M12" s="30"/>
      <c r="N12" s="54" t="s">
        <v>20</v>
      </c>
      <c r="O12" s="55">
        <v>1</v>
      </c>
      <c r="P12" s="56"/>
      <c r="Q12" s="30"/>
      <c r="R12" s="55">
        <v>0</v>
      </c>
      <c r="S12" s="55">
        <v>0</v>
      </c>
      <c r="T12" s="55">
        <v>0</v>
      </c>
      <c r="U12" s="55">
        <v>0</v>
      </c>
      <c r="V12" s="55">
        <v>105</v>
      </c>
      <c r="W12" s="55">
        <v>0</v>
      </c>
      <c r="X12" s="59" t="s">
        <v>18</v>
      </c>
      <c r="Y12" s="30"/>
      <c r="Z12" s="55">
        <v>0</v>
      </c>
      <c r="AA12" s="55">
        <v>1.7600000000000001E-2</v>
      </c>
      <c r="AB12" s="54" t="s">
        <v>24</v>
      </c>
      <c r="AC12" s="55">
        <v>3</v>
      </c>
      <c r="AD12" s="55">
        <v>14.0176</v>
      </c>
      <c r="AE12" s="60">
        <v>43872</v>
      </c>
      <c r="AF12" s="55">
        <v>2</v>
      </c>
      <c r="AG12" s="59" t="s">
        <v>57</v>
      </c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44" t="s">
        <v>16</v>
      </c>
      <c r="C13" s="44" t="s">
        <v>57</v>
      </c>
      <c r="D13" s="44" t="s">
        <v>68</v>
      </c>
      <c r="E13" s="45">
        <v>-24024.0134</v>
      </c>
      <c r="F13" s="45">
        <v>4</v>
      </c>
      <c r="G13" s="45">
        <v>5</v>
      </c>
      <c r="H13" s="44" t="s">
        <v>62</v>
      </c>
      <c r="I13" s="45">
        <v>0</v>
      </c>
      <c r="J13" s="45">
        <v>2.5</v>
      </c>
      <c r="K13" s="44" t="s">
        <v>18</v>
      </c>
      <c r="L13" s="51"/>
      <c r="M13" s="30"/>
      <c r="N13" s="44" t="s">
        <v>20</v>
      </c>
      <c r="O13" s="45">
        <v>1</v>
      </c>
      <c r="P13" s="51"/>
      <c r="Q13" s="30"/>
      <c r="R13" s="45">
        <v>0</v>
      </c>
      <c r="S13" s="45">
        <v>0</v>
      </c>
      <c r="T13" s="45">
        <v>0</v>
      </c>
      <c r="U13" s="45">
        <v>0</v>
      </c>
      <c r="V13" s="45">
        <v>80</v>
      </c>
      <c r="W13" s="45">
        <v>0</v>
      </c>
      <c r="X13" s="53" t="s">
        <v>18</v>
      </c>
      <c r="Y13" s="30"/>
      <c r="Z13" s="45">
        <v>7.5</v>
      </c>
      <c r="AA13" s="45">
        <v>1.34E-2</v>
      </c>
      <c r="AB13" s="44" t="s">
        <v>24</v>
      </c>
      <c r="AC13" s="45">
        <v>3</v>
      </c>
      <c r="AD13" s="45">
        <v>24.013400000000001</v>
      </c>
      <c r="AE13" s="50">
        <v>43872</v>
      </c>
      <c r="AF13" s="45">
        <v>2</v>
      </c>
      <c r="AG13" s="53" t="s">
        <v>57</v>
      </c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30"/>
      <c r="B14" s="54" t="s">
        <v>16</v>
      </c>
      <c r="C14" s="54" t="s">
        <v>57</v>
      </c>
      <c r="D14" s="54" t="s">
        <v>68</v>
      </c>
      <c r="E14" s="55">
        <v>-131524.0736</v>
      </c>
      <c r="F14" s="55">
        <v>4</v>
      </c>
      <c r="G14" s="55">
        <v>5</v>
      </c>
      <c r="H14" s="54" t="s">
        <v>62</v>
      </c>
      <c r="I14" s="55">
        <v>0</v>
      </c>
      <c r="J14" s="55">
        <v>5</v>
      </c>
      <c r="K14" s="54" t="s">
        <v>18</v>
      </c>
      <c r="L14" s="56"/>
      <c r="M14" s="30"/>
      <c r="N14" s="54" t="s">
        <v>20</v>
      </c>
      <c r="O14" s="55">
        <v>1</v>
      </c>
      <c r="P14" s="56"/>
      <c r="Q14" s="30"/>
      <c r="R14" s="55">
        <v>0</v>
      </c>
      <c r="S14" s="55">
        <v>0</v>
      </c>
      <c r="T14" s="55">
        <v>0</v>
      </c>
      <c r="U14" s="55">
        <v>0</v>
      </c>
      <c r="V14" s="55">
        <v>100</v>
      </c>
      <c r="W14" s="55">
        <v>0</v>
      </c>
      <c r="X14" s="59" t="s">
        <v>18</v>
      </c>
      <c r="Y14" s="30"/>
      <c r="Z14" s="55">
        <v>5</v>
      </c>
      <c r="AA14" s="55">
        <v>7.3599999999999999E-2</v>
      </c>
      <c r="AB14" s="54" t="s">
        <v>35</v>
      </c>
      <c r="AC14" s="55">
        <v>3</v>
      </c>
      <c r="AD14" s="55">
        <v>24.073599999999999</v>
      </c>
      <c r="AE14" s="60">
        <v>43872</v>
      </c>
      <c r="AF14" s="55">
        <v>2</v>
      </c>
      <c r="AG14" s="59" t="s">
        <v>57</v>
      </c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69</v>
      </c>
      <c r="D3" s="2" t="s">
        <v>9</v>
      </c>
      <c r="E3" s="17" t="s">
        <v>70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IFERROR(__xludf.DUMMYFUNCTION("""COMPUTED_VALUE"""),"Corporate Action")</f>
        <v>Corporate Action</v>
      </c>
      <c r="C5" s="22" t="str">
        <f ca="1">IFERROR(__xludf.DUMMYFUNCTION("""COMPUTED_VALUE"""),"Account Filter")</f>
        <v>Account Filter</v>
      </c>
      <c r="D5" s="22" t="str">
        <f ca="1">IFERROR(__xludf.DUMMYFUNCTION("""COMPUTED_VALUE"""),"Counter Party")</f>
        <v>Counter Party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71</v>
      </c>
      <c r="C6" s="27" t="s">
        <v>16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69</v>
      </c>
      <c r="D3" s="2" t="s">
        <v>9</v>
      </c>
      <c r="E3" s="17" t="s">
        <v>71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IFERROR(__xludf.DUMMYFUNCTION("""COMPUTED_VALUE"""),"Effective Date")</f>
        <v>Effective Date</v>
      </c>
      <c r="C5" s="22" t="str">
        <f ca="1">IFERROR(__xludf.DUMMYFUNCTION("""COMPUTED_VALUE"""),"Company Name")</f>
        <v>Company Name</v>
      </c>
      <c r="D5" s="22" t="str">
        <f ca="1">IFERROR(__xludf.DUMMYFUNCTION("""COMPUTED_VALUE"""),"New Company Name")</f>
        <v>New Company Name</v>
      </c>
      <c r="E5" s="22" t="str">
        <f ca="1">IFERROR(__xludf.DUMMYFUNCTION("""COMPUTED_VALUE"""),"Original Symbol")</f>
        <v>Original Symbol</v>
      </c>
      <c r="F5" s="23" t="str">
        <f ca="1">IFERROR(__xludf.DUMMYFUNCTION("""COMPUTED_VALUE"""),"Symbology")</f>
        <v>Symbology</v>
      </c>
      <c r="G5" s="22" t="str">
        <f ca="1">IFERROR(__xludf.DUMMYFUNCTION("""COMPUTED_VALUE"""),"New Symbol")</f>
        <v>New Symbol</v>
      </c>
      <c r="H5" s="22" t="str">
        <f ca="1">IFERROR(__xludf.DUMMYFUNCTION("""COMPUTED_VALUE"""),"Original Security Qty Ratio")</f>
        <v>Original Security Qty Ratio</v>
      </c>
      <c r="I5" s="22" t="str">
        <f ca="1">IFERROR(__xludf.DUMMYFUNCTION("""COMPUTED_VALUE"""),"New Security Qty Ratio")</f>
        <v>New Security Qty Ratio</v>
      </c>
      <c r="J5" s="22" t="str">
        <f ca="1">IFERROR(__xludf.DUMMYFUNCTION("""COMPUTED_VALUE"""),"Adjustment Factor")</f>
        <v>Adjustment Factor</v>
      </c>
      <c r="K5" s="22" t="str">
        <f ca="1">IFERROR(__xludf.DUMMYFUNCTION("""COMPUTED_VALUE"""),"Fractional Qty PX")</f>
        <v>Fractional Qty PX</v>
      </c>
      <c r="L5" s="22" t="str">
        <f ca="1">IFERROR(__xludf.DUMMYFUNCTION("""COMPUTED_VALUE"""),"Quantity Factor")</f>
        <v>Quantity Factor</v>
      </c>
      <c r="M5" s="22" t="str">
        <f ca="1">IFERROR(__xludf.DUMMYFUNCTION("""COMPUTED_VALUE"""),"Cash in lieu")</f>
        <v>Cash in lieu</v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43873</v>
      </c>
      <c r="C6" s="29"/>
      <c r="D6" s="26"/>
      <c r="E6" s="27" t="s">
        <v>24</v>
      </c>
      <c r="F6" s="29"/>
      <c r="G6" s="27" t="s">
        <v>72</v>
      </c>
      <c r="H6" s="31">
        <v>1</v>
      </c>
      <c r="I6" s="31">
        <v>0.33</v>
      </c>
      <c r="J6" s="31">
        <v>0.625</v>
      </c>
      <c r="K6" s="29"/>
      <c r="L6" s="29"/>
      <c r="M6" s="61" t="s">
        <v>73</v>
      </c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69</v>
      </c>
      <c r="D3" s="2" t="s">
        <v>9</v>
      </c>
      <c r="E3" s="17" t="s">
        <v>74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IFERROR(__xludf.DUMMYFUNCTION("IF(C3="""","""",Transpose(IMPORTRANGE('_Settings'!$B$3,C3&amp;""!A4:A1000"")))"),"CorporateAction")</f>
        <v>CorporateAction</v>
      </c>
      <c r="C4" s="19" t="str">
        <f ca="1">IFERROR(__xludf.DUMMYFUNCTION("""COMPUTED_VALUE"""),"CleanUp")</f>
        <v>CleanUp</v>
      </c>
      <c r="D4" s="19" t="str">
        <f ca="1">IFERROR(__xludf.DUMMYFUNCTION("""COMPUTED_VALUE"""),"CashDividend")</f>
        <v>CashDividend</v>
      </c>
      <c r="E4" s="19" t="str">
        <f ca="1">IFERROR(__xludf.DUMMYFUNCTION("""COMPUTED_VALUE"""),"Exchange")</f>
        <v>Exchange</v>
      </c>
      <c r="F4" s="19" t="str">
        <f ca="1">IFERROR(__xludf.DUMMYFUNCTION("""COMPUTED_VALUE"""),"Merger")</f>
        <v>Merger</v>
      </c>
      <c r="G4" s="19" t="str">
        <f ca="1">IFERROR(__xludf.DUMMYFUNCTION("""COMPUTED_VALUE"""),"NameChange")</f>
        <v>NameChange</v>
      </c>
      <c r="H4" s="19" t="str">
        <f ca="1">IFERROR(__xludf.DUMMYFUNCTION("""COMPUTED_VALUE"""),"SpinOff")</f>
        <v>SpinOff</v>
      </c>
      <c r="I4" s="19" t="str">
        <f ca="1">IFERROR(__xludf.DUMMYFUNCTION("""COMPUTED_VALUE"""),"Split")</f>
        <v>Split</v>
      </c>
      <c r="J4" s="19" t="str">
        <f ca="1">IFERROR(__xludf.DUMMYFUNCTION("""COMPUTED_VALUE"""),"StockDividend")</f>
        <v>StockDividend</v>
      </c>
      <c r="K4" s="19" t="str">
        <f ca="1">IFERROR(__xludf.DUMMYFUNCTION("""COMPUTED_VALUE"""),"OpenSpinOff")</f>
        <v>OpenSpinOff</v>
      </c>
      <c r="L4" s="19" t="str">
        <f ca="1">IFERROR(__xludf.DUMMYFUNCTION("""COMPUTED_VALUE"""),"SpinOff")</f>
        <v>SpinOff</v>
      </c>
      <c r="M4" s="19" t="str">
        <f ca="1">IFERROR(__xludf.DUMMYFUNCTION("""COMPUTED_VALUE"""),"VerifySpinOffGrid")</f>
        <v>VerifySpinOffGrid</v>
      </c>
      <c r="N4" s="19" t="str">
        <f ca="1">IFERROR(__xludf.DUMMYFUNCTION("""COMPUTED_VALUE"""),"SaveCorporateAction")</f>
        <v>SaveCorporateAction</v>
      </c>
      <c r="O4" s="19" t="str">
        <f ca="1">IFERROR(__xludf.DUMMYFUNCTION("""COMPUTED_VALUE"""),"VerifyAndSaveCorpAction")</f>
        <v>VerifyAndSaveCorpAction</v>
      </c>
      <c r="P4" s="20" t="str">
        <f ca="1">IFERROR(__xludf.DUMMYFUNCTION("""COMPUTED_VALUE"""),"VerifyAndApplyCorpAction")</f>
        <v>VerifyAndApplyCorpAction</v>
      </c>
      <c r="Q4" s="20" t="str">
        <f ca="1">IFERROR(__xludf.DUMMYFUNCTION("""COMPUTED_VALUE"""),"CorporateAction")</f>
        <v>CorporateAction</v>
      </c>
      <c r="R4" s="20" t="str">
        <f ca="1">IFERROR(__xludf.DUMMYFUNCTION("""COMPUTED_VALUE"""),"")</f>
        <v/>
      </c>
      <c r="S4" s="20" t="str">
        <f ca="1">IFERROR(__xludf.DUMMYFUNCTION("""COMPUTED_VALUE"""),"")</f>
        <v/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IFERROR(__xludf.DUMMYFUNCTION("""COMPUTED_VALUE"""),"Currency")</f>
        <v>Currency</v>
      </c>
      <c r="D5" s="22" t="str">
        <f ca="1">IFERROR(__xludf.DUMMYFUNCTION("""COMPUTED_VALUE"""),"Side")</f>
        <v>Side</v>
      </c>
      <c r="E5" s="22" t="str">
        <f ca="1">IFERROR(__xludf.DUMMYFUNCTION("""COMPUTED_VALUE"""),"Account")</f>
        <v>Account</v>
      </c>
      <c r="F5" s="23" t="str">
        <f ca="1">IFERROR(__xludf.DUMMYFUNCTION("""COMPUTED_VALUE"""),"Unit Cost")</f>
        <v>Unit Cost</v>
      </c>
      <c r="G5" s="22" t="str">
        <f ca="1">IFERROR(__xludf.DUMMYFUNCTION("""COMPUTED_VALUE"""),"Open Qty")</f>
        <v>Open Qty</v>
      </c>
      <c r="H5" s="22" t="str">
        <f ca="1">IFERROR(__xludf.DUMMYFUNCTION("""COMPUTED_VALUE"""),"Open Total Commission and Fees")</f>
        <v>Open Total Commission and Fees</v>
      </c>
      <c r="I5" s="22" t="str">
        <f ca="1">IFERROR(__xludf.DUMMYFUNCTION("""COMPUTED_VALUE"""),"Trade Date")</f>
        <v>Trade Date</v>
      </c>
      <c r="J5" s="22" t="str">
        <f ca="1">IFERROR(__xludf.DUMMYFUNCTION("""COMPUTED_VALUE"""),"Process Date")</f>
        <v>Process Date</v>
      </c>
      <c r="K5" s="22" t="str">
        <f ca="1">IFERROR(__xludf.DUMMYFUNCTION("""COMPUTED_VALUE"""),"Original Open Date")</f>
        <v>Original Open Date</v>
      </c>
      <c r="L5" s="22" t="str">
        <f ca="1">IFERROR(__xludf.DUMMYFUNCTION("""COMPUTED_VALUE"""),"Settlement Date")</f>
        <v>Settlement Date</v>
      </c>
      <c r="M5" s="22" t="str">
        <f ca="1">IFERROR(__xludf.DUMMYFUNCTION("""COMPUTED_VALUE"""),"Broker")</f>
        <v>Broker</v>
      </c>
      <c r="N5" s="22" t="str">
        <f ca="1">IFERROR(__xludf.DUMMYFUNCTION("""COMPUTED_VALUE"""),"Fx Rate")</f>
        <v>Fx Rate</v>
      </c>
      <c r="O5" s="22" t="str">
        <f ca="1">IFERROR(__xludf.DUMMYFUNCTION("""COMPUTED_VALUE"""),"FX Conversion Operator")</f>
        <v>FX Conversion Operator</v>
      </c>
      <c r="P5" s="22" t="str">
        <f ca="1">IFERROR(__xludf.DUMMYFUNCTION("""COMPUTED_VALUE"""),"Average Price")</f>
        <v>Average Price</v>
      </c>
      <c r="Q5" s="22" t="str">
        <f ca="1">IFERROR(__xludf.DUMMYFUNCTION("""COMPUTED_VALUE"""),"Notional Value (Local)")</f>
        <v>Notional Value (Local)</v>
      </c>
      <c r="R5" s="22" t="str">
        <f ca="1">IFERROR(__xludf.DUMMYFUNCTION("""COMPUTED_VALUE"""),"Notional Value (Base)")</f>
        <v>Notional Value (Base)</v>
      </c>
      <c r="S5" s="22" t="str">
        <f ca="1">IFERROR(__xludf.DUMMYFUNCTION("""COMPUTED_VALUE"""),"Transaction Type")</f>
        <v>Transaction Type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25"/>
      <c r="B6" s="62" t="s">
        <v>24</v>
      </c>
      <c r="C6" s="62" t="s">
        <v>18</v>
      </c>
      <c r="D6" s="62" t="s">
        <v>36</v>
      </c>
      <c r="E6" s="62" t="s">
        <v>16</v>
      </c>
      <c r="F6" s="63">
        <v>300</v>
      </c>
      <c r="G6" s="63">
        <v>80</v>
      </c>
      <c r="H6" s="63">
        <v>24.013400000000001</v>
      </c>
      <c r="I6" s="64">
        <v>43872</v>
      </c>
      <c r="J6" s="64">
        <v>43872</v>
      </c>
      <c r="K6" s="64">
        <v>43872</v>
      </c>
      <c r="L6" s="64">
        <v>43875</v>
      </c>
      <c r="M6" s="65"/>
      <c r="N6" s="66">
        <v>1</v>
      </c>
      <c r="O6" s="67" t="s">
        <v>20</v>
      </c>
      <c r="P6" s="66">
        <v>0</v>
      </c>
      <c r="Q6" s="66">
        <v>24024.0134</v>
      </c>
      <c r="R6" s="66">
        <v>24024.0134</v>
      </c>
      <c r="S6" s="67" t="s">
        <v>36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5">
      <c r="A7" s="30"/>
      <c r="B7" s="62" t="s">
        <v>24</v>
      </c>
      <c r="C7" s="62" t="s">
        <v>18</v>
      </c>
      <c r="D7" s="62" t="s">
        <v>75</v>
      </c>
      <c r="E7" s="62" t="s">
        <v>16</v>
      </c>
      <c r="F7" s="63">
        <v>300.30016749999999</v>
      </c>
      <c r="G7" s="63">
        <v>80</v>
      </c>
      <c r="H7" s="63">
        <v>0</v>
      </c>
      <c r="I7" s="64">
        <v>43873</v>
      </c>
      <c r="J7" s="64">
        <v>43873</v>
      </c>
      <c r="K7" s="64">
        <v>43873</v>
      </c>
      <c r="L7" s="64">
        <v>43873</v>
      </c>
      <c r="M7" s="30"/>
      <c r="N7" s="68">
        <v>1</v>
      </c>
      <c r="O7" s="69" t="s">
        <v>20</v>
      </c>
      <c r="P7" s="68">
        <v>0</v>
      </c>
      <c r="Q7" s="68">
        <v>24024.0134</v>
      </c>
      <c r="R7" s="68">
        <v>24024.0134</v>
      </c>
      <c r="S7" s="69" t="s">
        <v>75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5">
      <c r="A8" s="30"/>
      <c r="B8" s="62" t="s">
        <v>24</v>
      </c>
      <c r="C8" s="62" t="s">
        <v>18</v>
      </c>
      <c r="D8" s="62" t="s">
        <v>36</v>
      </c>
      <c r="E8" s="62" t="s">
        <v>16</v>
      </c>
      <c r="F8" s="63">
        <v>187.68760470000001</v>
      </c>
      <c r="G8" s="63">
        <v>80</v>
      </c>
      <c r="H8" s="63">
        <v>0</v>
      </c>
      <c r="I8" s="64">
        <v>43873</v>
      </c>
      <c r="J8" s="64">
        <v>43873</v>
      </c>
      <c r="K8" s="64">
        <v>43872</v>
      </c>
      <c r="L8" s="64">
        <v>43873</v>
      </c>
      <c r="M8" s="30"/>
      <c r="N8" s="68">
        <v>1</v>
      </c>
      <c r="O8" s="69" t="s">
        <v>20</v>
      </c>
      <c r="P8" s="68">
        <v>300</v>
      </c>
      <c r="Q8" s="68">
        <v>15015.008379999999</v>
      </c>
      <c r="R8" s="68">
        <v>15015.008379999999</v>
      </c>
      <c r="S8" s="69" t="s">
        <v>36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5">
      <c r="A9" s="30"/>
      <c r="B9" s="62" t="s">
        <v>72</v>
      </c>
      <c r="C9" s="62" t="s">
        <v>18</v>
      </c>
      <c r="D9" s="62" t="s">
        <v>36</v>
      </c>
      <c r="E9" s="62" t="s">
        <v>16</v>
      </c>
      <c r="F9" s="63">
        <v>346.50019329999998</v>
      </c>
      <c r="G9" s="63">
        <v>26</v>
      </c>
      <c r="H9" s="63">
        <v>0</v>
      </c>
      <c r="I9" s="64">
        <v>43873</v>
      </c>
      <c r="J9" s="64">
        <v>43873</v>
      </c>
      <c r="K9" s="64">
        <v>43872</v>
      </c>
      <c r="L9" s="64">
        <v>43873</v>
      </c>
      <c r="M9" s="30"/>
      <c r="N9" s="68">
        <v>1</v>
      </c>
      <c r="O9" s="69" t="s">
        <v>20</v>
      </c>
      <c r="P9" s="68">
        <v>341.25019029999999</v>
      </c>
      <c r="Q9" s="68">
        <v>9009.0050250000004</v>
      </c>
      <c r="R9" s="68">
        <v>9009.0050250000004</v>
      </c>
      <c r="S9" s="69" t="s">
        <v>36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8">
        <v>43873</v>
      </c>
      <c r="C6" s="28">
        <v>43873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24</v>
      </c>
      <c r="C6" s="31">
        <v>315</v>
      </c>
      <c r="D6" s="2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4" t="s">
        <v>35</v>
      </c>
      <c r="C7" s="36">
        <v>1325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34" t="s">
        <v>72</v>
      </c>
      <c r="C8" s="36">
        <v>170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IFERROR(__xludf.DUMMYFUNCTION("""COMPUTED_VALUE"""),"Balances as on date")</f>
        <v>Balances as on date</v>
      </c>
      <c r="E5" s="22" t="str">
        <f ca="1">IFERROR(__xludf.DUMMYFUNCTION("""COMPUTED_VALUE"""),"IsRunRevalOnGetAccountBalances")</f>
        <v>IsRunRevalOnGetAccountBalances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43873</v>
      </c>
      <c r="E6" s="40" t="b">
        <v>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 Date")</f>
        <v>From Date</v>
      </c>
      <c r="E5" s="22" t="str">
        <f ca="1">IFERROR(__xludf.DUMMYFUNCTION("""COMPUTED_VALUE"""),"To Date")</f>
        <v>To Date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43873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IFERROR(__xludf.DUMMYFUNCTION("""COMPUTED_VALUE"""),"Account")</f>
        <v>Account</v>
      </c>
      <c r="D5" s="22" t="str">
        <f ca="1">IFERROR(__xludf.DUMMYFUNCTION("""COMPUTED_VALUE"""),"Symbol")</f>
        <v>Symbol</v>
      </c>
      <c r="E5" s="22" t="str">
        <f ca="1">IFERROR(__xludf.DUMMYFUNCTION("""COMPUTED_VALUE"""),"Currency")</f>
        <v>Currency</v>
      </c>
      <c r="F5" s="23" t="str">
        <f ca="1">IFERROR(__xludf.DUMMYFUNCTION("""COMPUTED_VALUE"""),"Cash Sub-Account")</f>
        <v>Cash Sub-Account</v>
      </c>
      <c r="G5" s="22" t="str">
        <f ca="1">IFERROR(__xludf.DUMMYFUNCTION("""COMPUTED_VALUE"""),"DR")</f>
        <v>DR</v>
      </c>
      <c r="H5" s="22" t="str">
        <f ca="1">IFERROR(__xludf.DUMMYFUNCTION("""COMPUTED_VALUE"""),"CR")</f>
        <v>CR</v>
      </c>
      <c r="I5" s="22" t="str">
        <f ca="1">IFERROR(__xludf.DUMMYFUNCTION("""COMPUTED_VALUE"""),"Modify Date")</f>
        <v>Modify Date</v>
      </c>
      <c r="J5" s="22" t="str">
        <f ca="1">IFERROR(__xludf.DUMMYFUNCTION("""COMPUTED_VALUE"""),"Entry Date")</f>
        <v>Entry Date</v>
      </c>
      <c r="K5" s="22" t="str">
        <f ca="1">IFERROR(__xludf.DUMMYFUNCTION("""COMPUTED_VALUE"""),"User")</f>
        <v>User</v>
      </c>
      <c r="L5" s="22" t="str">
        <f ca="1">IFERROR(__xludf.DUMMYFUNCTION("""COMPUTED_VALUE"""),"Fx Rate")</f>
        <v>Fx Rate</v>
      </c>
      <c r="M5" s="22" t="str">
        <f ca="1">IFERROR(__xludf.DUMMYFUNCTION("""COMPUTED_VALUE"""),"FX Conversion Method Operator")</f>
        <v>FX Conversion Method Operator</v>
      </c>
      <c r="N5" s="22" t="str">
        <f ca="1">IFERROR(__xludf.DUMMYFUNCTION("""COMPUTED_VALUE"""),"Account Side")</f>
        <v>Account Side</v>
      </c>
      <c r="O5" s="22" t="str">
        <f ca="1">IFERROR(__xludf.DUMMYFUNCTION("""COMPUTED_VALUE"""),"TransactionSource")</f>
        <v>TransactionSource</v>
      </c>
      <c r="P5" s="22" t="str">
        <f ca="1">IFERROR(__xludf.DUMMYFUNCTION("""COMPUTED_VALUE"""),"Base Currency")</f>
        <v>Base Currency</v>
      </c>
      <c r="Q5" s="22" t="str">
        <f ca="1">IFERROR(__xludf.DUMMYFUNCTION("""COMPUTED_VALUE"""),"Description")</f>
        <v>Description</v>
      </c>
      <c r="R5" s="22" t="str">
        <f ca="1">IFERROR(__xludf.DUMMYFUNCTION("""COMPUTED_VALUE"""),"DR (Base)")</f>
        <v>DR (Base)</v>
      </c>
      <c r="S5" s="22" t="str">
        <f ca="1">IFERROR(__xludf.DUMMYFUNCTION("""COMPUTED_VALUE"""),"CR (Base)")</f>
        <v>CR (Base)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70">
        <v>43871</v>
      </c>
      <c r="C6" s="71" t="s">
        <v>16</v>
      </c>
      <c r="D6" s="71" t="s">
        <v>24</v>
      </c>
      <c r="E6" s="71" t="s">
        <v>18</v>
      </c>
      <c r="F6" s="71" t="s">
        <v>45</v>
      </c>
      <c r="G6" s="72">
        <v>549.02</v>
      </c>
      <c r="H6" s="73">
        <v>0</v>
      </c>
      <c r="I6" s="74"/>
      <c r="J6" s="74"/>
      <c r="K6" s="74"/>
      <c r="L6" s="72">
        <v>1</v>
      </c>
      <c r="M6" s="71" t="s">
        <v>20</v>
      </c>
      <c r="N6" s="71" t="s">
        <v>46</v>
      </c>
      <c r="O6" s="71" t="s">
        <v>47</v>
      </c>
      <c r="P6" s="71" t="s">
        <v>18</v>
      </c>
      <c r="Q6" s="71" t="s">
        <v>48</v>
      </c>
      <c r="R6" s="72">
        <v>549.02</v>
      </c>
      <c r="S6" s="72">
        <v>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70">
        <v>43871</v>
      </c>
      <c r="C7" s="71" t="s">
        <v>16</v>
      </c>
      <c r="D7" s="71" t="s">
        <v>24</v>
      </c>
      <c r="E7" s="71" t="s">
        <v>18</v>
      </c>
      <c r="F7" s="75" t="s">
        <v>49</v>
      </c>
      <c r="G7" s="76">
        <v>0</v>
      </c>
      <c r="H7" s="77">
        <v>549.02</v>
      </c>
      <c r="I7" s="78"/>
      <c r="J7" s="78"/>
      <c r="K7" s="78"/>
      <c r="L7" s="77">
        <v>1</v>
      </c>
      <c r="M7" s="75" t="s">
        <v>20</v>
      </c>
      <c r="N7" s="75" t="s">
        <v>50</v>
      </c>
      <c r="O7" s="75" t="s">
        <v>47</v>
      </c>
      <c r="P7" s="75" t="s">
        <v>18</v>
      </c>
      <c r="Q7" s="71" t="s">
        <v>48</v>
      </c>
      <c r="R7" s="77">
        <v>0</v>
      </c>
      <c r="S7" s="77">
        <v>549.02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70">
        <v>43872</v>
      </c>
      <c r="C8" s="71" t="s">
        <v>16</v>
      </c>
      <c r="D8" s="71" t="s">
        <v>24</v>
      </c>
      <c r="E8" s="71" t="s">
        <v>18</v>
      </c>
      <c r="F8" s="71" t="s">
        <v>51</v>
      </c>
      <c r="G8" s="72">
        <v>38.04</v>
      </c>
      <c r="H8" s="73">
        <v>0</v>
      </c>
      <c r="I8" s="74"/>
      <c r="J8" s="74"/>
      <c r="K8" s="74"/>
      <c r="L8" s="72">
        <v>1</v>
      </c>
      <c r="M8" s="71" t="s">
        <v>20</v>
      </c>
      <c r="N8" s="71" t="s">
        <v>46</v>
      </c>
      <c r="O8" s="71" t="s">
        <v>47</v>
      </c>
      <c r="P8" s="71" t="s">
        <v>18</v>
      </c>
      <c r="Q8" s="71" t="s">
        <v>52</v>
      </c>
      <c r="R8" s="72">
        <v>38.04</v>
      </c>
      <c r="S8" s="72">
        <v>0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70">
        <v>43872</v>
      </c>
      <c r="C9" s="71" t="s">
        <v>16</v>
      </c>
      <c r="D9" s="71" t="s">
        <v>24</v>
      </c>
      <c r="E9" s="71" t="s">
        <v>18</v>
      </c>
      <c r="F9" s="75" t="s">
        <v>53</v>
      </c>
      <c r="G9" s="76">
        <v>0</v>
      </c>
      <c r="H9" s="77">
        <v>38.04</v>
      </c>
      <c r="I9" s="78"/>
      <c r="J9" s="78"/>
      <c r="K9" s="78"/>
      <c r="L9" s="77">
        <v>1</v>
      </c>
      <c r="M9" s="75" t="s">
        <v>20</v>
      </c>
      <c r="N9" s="75" t="s">
        <v>50</v>
      </c>
      <c r="O9" s="75" t="s">
        <v>47</v>
      </c>
      <c r="P9" s="75" t="s">
        <v>18</v>
      </c>
      <c r="Q9" s="71" t="s">
        <v>52</v>
      </c>
      <c r="R9" s="77">
        <v>0</v>
      </c>
      <c r="S9" s="77">
        <v>38.04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70">
        <v>43872</v>
      </c>
      <c r="C10" s="71" t="s">
        <v>16</v>
      </c>
      <c r="D10" s="71" t="s">
        <v>24</v>
      </c>
      <c r="E10" s="71" t="s">
        <v>18</v>
      </c>
      <c r="F10" s="71" t="s">
        <v>54</v>
      </c>
      <c r="G10" s="72">
        <v>775.99</v>
      </c>
      <c r="H10" s="73">
        <v>0</v>
      </c>
      <c r="I10" s="74"/>
      <c r="J10" s="74"/>
      <c r="K10" s="74"/>
      <c r="L10" s="72">
        <v>1</v>
      </c>
      <c r="M10" s="71" t="s">
        <v>20</v>
      </c>
      <c r="N10" s="71" t="s">
        <v>46</v>
      </c>
      <c r="O10" s="71" t="s">
        <v>47</v>
      </c>
      <c r="P10" s="71" t="s">
        <v>18</v>
      </c>
      <c r="Q10" s="71" t="s">
        <v>48</v>
      </c>
      <c r="R10" s="72">
        <v>775.99</v>
      </c>
      <c r="S10" s="72">
        <v>0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70">
        <v>43872</v>
      </c>
      <c r="C11" s="71" t="s">
        <v>16</v>
      </c>
      <c r="D11" s="71" t="s">
        <v>24</v>
      </c>
      <c r="E11" s="71" t="s">
        <v>18</v>
      </c>
      <c r="F11" s="75" t="s">
        <v>45</v>
      </c>
      <c r="G11" s="76">
        <v>0</v>
      </c>
      <c r="H11" s="77">
        <v>775.99</v>
      </c>
      <c r="I11" s="78"/>
      <c r="J11" s="78"/>
      <c r="K11" s="78"/>
      <c r="L11" s="77">
        <v>1</v>
      </c>
      <c r="M11" s="75" t="s">
        <v>20</v>
      </c>
      <c r="N11" s="75" t="s">
        <v>50</v>
      </c>
      <c r="O11" s="75" t="s">
        <v>47</v>
      </c>
      <c r="P11" s="75" t="s">
        <v>18</v>
      </c>
      <c r="Q11" s="71" t="s">
        <v>48</v>
      </c>
      <c r="R11" s="77">
        <v>0</v>
      </c>
      <c r="S11" s="77">
        <v>775.99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70">
        <v>43872</v>
      </c>
      <c r="C12" s="71" t="s">
        <v>16</v>
      </c>
      <c r="D12" s="71" t="s">
        <v>35</v>
      </c>
      <c r="E12" s="71" t="s">
        <v>18</v>
      </c>
      <c r="F12" s="71" t="s">
        <v>54</v>
      </c>
      <c r="G12" s="72">
        <v>475.93</v>
      </c>
      <c r="H12" s="73">
        <v>0</v>
      </c>
      <c r="I12" s="74"/>
      <c r="J12" s="74"/>
      <c r="K12" s="74"/>
      <c r="L12" s="72">
        <v>1</v>
      </c>
      <c r="M12" s="71" t="s">
        <v>20</v>
      </c>
      <c r="N12" s="71" t="s">
        <v>46</v>
      </c>
      <c r="O12" s="71" t="s">
        <v>47</v>
      </c>
      <c r="P12" s="71" t="s">
        <v>18</v>
      </c>
      <c r="Q12" s="71" t="s">
        <v>48</v>
      </c>
      <c r="R12" s="72">
        <v>475.93</v>
      </c>
      <c r="S12" s="72">
        <v>0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70">
        <v>43872</v>
      </c>
      <c r="C13" s="71" t="s">
        <v>16</v>
      </c>
      <c r="D13" s="71" t="s">
        <v>35</v>
      </c>
      <c r="E13" s="71" t="s">
        <v>18</v>
      </c>
      <c r="F13" s="75" t="s">
        <v>45</v>
      </c>
      <c r="G13" s="76">
        <v>0</v>
      </c>
      <c r="H13" s="77">
        <v>475.93</v>
      </c>
      <c r="I13" s="78"/>
      <c r="J13" s="78"/>
      <c r="K13" s="78"/>
      <c r="L13" s="77">
        <v>1</v>
      </c>
      <c r="M13" s="75" t="s">
        <v>20</v>
      </c>
      <c r="N13" s="75" t="s">
        <v>50</v>
      </c>
      <c r="O13" s="75" t="s">
        <v>47</v>
      </c>
      <c r="P13" s="75" t="s">
        <v>18</v>
      </c>
      <c r="Q13" s="71" t="s">
        <v>48</v>
      </c>
      <c r="R13" s="77">
        <v>0</v>
      </c>
      <c r="S13" s="77">
        <v>475.93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30"/>
      <c r="B14" s="70">
        <v>43872</v>
      </c>
      <c r="C14" s="71" t="s">
        <v>16</v>
      </c>
      <c r="D14" s="71" t="s">
        <v>24</v>
      </c>
      <c r="E14" s="71" t="s">
        <v>18</v>
      </c>
      <c r="F14" s="71" t="s">
        <v>49</v>
      </c>
      <c r="G14" s="72">
        <v>549.02</v>
      </c>
      <c r="H14" s="73">
        <v>0</v>
      </c>
      <c r="I14" s="74"/>
      <c r="J14" s="74"/>
      <c r="K14" s="74"/>
      <c r="L14" s="72">
        <v>1</v>
      </c>
      <c r="M14" s="71" t="s">
        <v>20</v>
      </c>
      <c r="N14" s="71" t="s">
        <v>46</v>
      </c>
      <c r="O14" s="71" t="s">
        <v>47</v>
      </c>
      <c r="P14" s="71" t="s">
        <v>18</v>
      </c>
      <c r="Q14" s="71" t="s">
        <v>55</v>
      </c>
      <c r="R14" s="72">
        <v>549.02</v>
      </c>
      <c r="S14" s="72">
        <v>0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ht="15.75" customHeight="1" x14ac:dyDescent="0.2">
      <c r="A15" s="30"/>
      <c r="B15" s="70">
        <v>43872</v>
      </c>
      <c r="C15" s="71" t="s">
        <v>16</v>
      </c>
      <c r="D15" s="71" t="s">
        <v>24</v>
      </c>
      <c r="E15" s="71" t="s">
        <v>18</v>
      </c>
      <c r="F15" s="75" t="s">
        <v>45</v>
      </c>
      <c r="G15" s="76">
        <v>0</v>
      </c>
      <c r="H15" s="77">
        <v>549.02</v>
      </c>
      <c r="I15" s="78"/>
      <c r="J15" s="78"/>
      <c r="K15" s="78"/>
      <c r="L15" s="77">
        <v>1</v>
      </c>
      <c r="M15" s="75" t="s">
        <v>20</v>
      </c>
      <c r="N15" s="75" t="s">
        <v>50</v>
      </c>
      <c r="O15" s="75" t="s">
        <v>47</v>
      </c>
      <c r="P15" s="75" t="s">
        <v>18</v>
      </c>
      <c r="Q15" s="71" t="s">
        <v>55</v>
      </c>
      <c r="R15" s="77">
        <v>0</v>
      </c>
      <c r="S15" s="77">
        <v>549.02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ht="15.75" customHeight="1" x14ac:dyDescent="0.2">
      <c r="A16" s="30"/>
      <c r="B16" s="70">
        <v>43873</v>
      </c>
      <c r="C16" s="71" t="s">
        <v>16</v>
      </c>
      <c r="D16" s="71" t="s">
        <v>24</v>
      </c>
      <c r="E16" s="71" t="s">
        <v>18</v>
      </c>
      <c r="F16" s="71" t="s">
        <v>54</v>
      </c>
      <c r="G16" s="72">
        <v>10184.99</v>
      </c>
      <c r="H16" s="73">
        <v>0</v>
      </c>
      <c r="I16" s="74"/>
      <c r="J16" s="74"/>
      <c r="K16" s="74"/>
      <c r="L16" s="72">
        <v>1</v>
      </c>
      <c r="M16" s="71" t="s">
        <v>20</v>
      </c>
      <c r="N16" s="71" t="s">
        <v>46</v>
      </c>
      <c r="O16" s="71" t="s">
        <v>47</v>
      </c>
      <c r="P16" s="71" t="s">
        <v>18</v>
      </c>
      <c r="Q16" s="71" t="s">
        <v>48</v>
      </c>
      <c r="R16" s="72">
        <v>10184.99</v>
      </c>
      <c r="S16" s="72">
        <v>0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</row>
    <row r="17" spans="1:154" ht="15.75" customHeight="1" x14ac:dyDescent="0.2">
      <c r="A17" s="30"/>
      <c r="B17" s="70">
        <v>43873</v>
      </c>
      <c r="C17" s="71" t="s">
        <v>16</v>
      </c>
      <c r="D17" s="71" t="s">
        <v>24</v>
      </c>
      <c r="E17" s="71" t="s">
        <v>18</v>
      </c>
      <c r="F17" s="75" t="s">
        <v>45</v>
      </c>
      <c r="G17" s="76">
        <v>0</v>
      </c>
      <c r="H17" s="77">
        <v>10184.99</v>
      </c>
      <c r="I17" s="78"/>
      <c r="J17" s="78"/>
      <c r="K17" s="78"/>
      <c r="L17" s="77">
        <v>1</v>
      </c>
      <c r="M17" s="75" t="s">
        <v>20</v>
      </c>
      <c r="N17" s="75" t="s">
        <v>50</v>
      </c>
      <c r="O17" s="75" t="s">
        <v>47</v>
      </c>
      <c r="P17" s="75" t="s">
        <v>18</v>
      </c>
      <c r="Q17" s="71" t="s">
        <v>48</v>
      </c>
      <c r="R17" s="77">
        <v>0</v>
      </c>
      <c r="S17" s="77">
        <v>10184.99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</row>
    <row r="18" spans="1:154" ht="15.75" customHeight="1" x14ac:dyDescent="0.2">
      <c r="A18" s="30"/>
      <c r="B18" s="70">
        <v>43873</v>
      </c>
      <c r="C18" s="71" t="s">
        <v>16</v>
      </c>
      <c r="D18" s="71" t="s">
        <v>35</v>
      </c>
      <c r="E18" s="71" t="s">
        <v>18</v>
      </c>
      <c r="F18" s="71" t="s">
        <v>54</v>
      </c>
      <c r="G18" s="72">
        <v>975.93</v>
      </c>
      <c r="H18" s="73">
        <v>0</v>
      </c>
      <c r="I18" s="74"/>
      <c r="J18" s="74"/>
      <c r="K18" s="74"/>
      <c r="L18" s="72">
        <v>1</v>
      </c>
      <c r="M18" s="71" t="s">
        <v>20</v>
      </c>
      <c r="N18" s="71" t="s">
        <v>46</v>
      </c>
      <c r="O18" s="71" t="s">
        <v>47</v>
      </c>
      <c r="P18" s="71" t="s">
        <v>18</v>
      </c>
      <c r="Q18" s="71" t="s">
        <v>48</v>
      </c>
      <c r="R18" s="72">
        <v>975.93</v>
      </c>
      <c r="S18" s="72">
        <v>0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</row>
    <row r="19" spans="1:154" ht="15.75" customHeight="1" x14ac:dyDescent="0.2">
      <c r="A19" s="30"/>
      <c r="B19" s="70">
        <v>43873</v>
      </c>
      <c r="C19" s="71" t="s">
        <v>16</v>
      </c>
      <c r="D19" s="71" t="s">
        <v>35</v>
      </c>
      <c r="E19" s="71" t="s">
        <v>18</v>
      </c>
      <c r="F19" s="75" t="s">
        <v>45</v>
      </c>
      <c r="G19" s="76">
        <v>0</v>
      </c>
      <c r="H19" s="77">
        <v>975.93</v>
      </c>
      <c r="I19" s="78"/>
      <c r="J19" s="78"/>
      <c r="K19" s="78"/>
      <c r="L19" s="77">
        <v>1</v>
      </c>
      <c r="M19" s="75" t="s">
        <v>20</v>
      </c>
      <c r="N19" s="75" t="s">
        <v>50</v>
      </c>
      <c r="O19" s="75" t="s">
        <v>47</v>
      </c>
      <c r="P19" s="75" t="s">
        <v>18</v>
      </c>
      <c r="Q19" s="71" t="s">
        <v>48</v>
      </c>
      <c r="R19" s="77">
        <v>0</v>
      </c>
      <c r="S19" s="77">
        <v>975.93</v>
      </c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</row>
    <row r="20" spans="1:154" ht="15.75" customHeight="1" x14ac:dyDescent="0.2">
      <c r="A20" s="30"/>
      <c r="B20" s="70">
        <v>43873</v>
      </c>
      <c r="C20" s="71" t="s">
        <v>16</v>
      </c>
      <c r="D20" s="71" t="s">
        <v>72</v>
      </c>
      <c r="E20" s="71" t="s">
        <v>18</v>
      </c>
      <c r="F20" s="71" t="s">
        <v>45</v>
      </c>
      <c r="G20" s="72">
        <v>4589.01</v>
      </c>
      <c r="H20" s="73">
        <v>0</v>
      </c>
      <c r="I20" s="74"/>
      <c r="J20" s="74"/>
      <c r="K20" s="74"/>
      <c r="L20" s="72">
        <v>1</v>
      </c>
      <c r="M20" s="71" t="s">
        <v>20</v>
      </c>
      <c r="N20" s="71" t="s">
        <v>46</v>
      </c>
      <c r="O20" s="71" t="s">
        <v>47</v>
      </c>
      <c r="P20" s="71" t="s">
        <v>18</v>
      </c>
      <c r="Q20" s="71" t="s">
        <v>48</v>
      </c>
      <c r="R20" s="72">
        <v>4589.01</v>
      </c>
      <c r="S20" s="72">
        <v>0</v>
      </c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</row>
    <row r="21" spans="1:154" ht="15.75" customHeight="1" x14ac:dyDescent="0.2">
      <c r="A21" s="30"/>
      <c r="B21" s="70">
        <v>43873</v>
      </c>
      <c r="C21" s="71" t="s">
        <v>16</v>
      </c>
      <c r="D21" s="71" t="s">
        <v>72</v>
      </c>
      <c r="E21" s="71" t="s">
        <v>18</v>
      </c>
      <c r="F21" s="75" t="s">
        <v>54</v>
      </c>
      <c r="G21" s="76">
        <v>0</v>
      </c>
      <c r="H21" s="77">
        <v>4589.01</v>
      </c>
      <c r="I21" s="78"/>
      <c r="J21" s="78"/>
      <c r="K21" s="78"/>
      <c r="L21" s="77">
        <v>1</v>
      </c>
      <c r="M21" s="75" t="s">
        <v>20</v>
      </c>
      <c r="N21" s="75" t="s">
        <v>50</v>
      </c>
      <c r="O21" s="75" t="s">
        <v>47</v>
      </c>
      <c r="P21" s="75" t="s">
        <v>18</v>
      </c>
      <c r="Q21" s="71" t="s">
        <v>48</v>
      </c>
      <c r="R21" s="77">
        <v>0</v>
      </c>
      <c r="S21" s="77">
        <v>4589.01</v>
      </c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</row>
    <row r="22" spans="1:154" ht="15.75" customHeight="1" x14ac:dyDescent="0.2">
      <c r="A22" s="30"/>
      <c r="B22" s="70">
        <v>43873</v>
      </c>
      <c r="C22" s="71" t="s">
        <v>16</v>
      </c>
      <c r="D22" s="71" t="s">
        <v>24</v>
      </c>
      <c r="E22" s="71" t="s">
        <v>18</v>
      </c>
      <c r="F22" s="71" t="s">
        <v>45</v>
      </c>
      <c r="G22" s="72">
        <v>775.99</v>
      </c>
      <c r="H22" s="73">
        <v>0</v>
      </c>
      <c r="I22" s="74"/>
      <c r="J22" s="74"/>
      <c r="K22" s="74"/>
      <c r="L22" s="72">
        <v>1</v>
      </c>
      <c r="M22" s="71" t="s">
        <v>20</v>
      </c>
      <c r="N22" s="71" t="s">
        <v>46</v>
      </c>
      <c r="O22" s="71" t="s">
        <v>47</v>
      </c>
      <c r="P22" s="71" t="s">
        <v>18</v>
      </c>
      <c r="Q22" s="71" t="s">
        <v>55</v>
      </c>
      <c r="R22" s="72">
        <v>775.99</v>
      </c>
      <c r="S22" s="72">
        <v>0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</row>
    <row r="23" spans="1:154" ht="15.75" customHeight="1" x14ac:dyDescent="0.2">
      <c r="A23" s="30"/>
      <c r="B23" s="70">
        <v>43873</v>
      </c>
      <c r="C23" s="71" t="s">
        <v>16</v>
      </c>
      <c r="D23" s="71" t="s">
        <v>24</v>
      </c>
      <c r="E23" s="71" t="s">
        <v>18</v>
      </c>
      <c r="F23" s="75" t="s">
        <v>54</v>
      </c>
      <c r="G23" s="76">
        <v>0</v>
      </c>
      <c r="H23" s="77">
        <v>775.99</v>
      </c>
      <c r="I23" s="78"/>
      <c r="J23" s="78"/>
      <c r="K23" s="78"/>
      <c r="L23" s="77">
        <v>1</v>
      </c>
      <c r="M23" s="75" t="s">
        <v>20</v>
      </c>
      <c r="N23" s="75" t="s">
        <v>50</v>
      </c>
      <c r="O23" s="75" t="s">
        <v>47</v>
      </c>
      <c r="P23" s="75" t="s">
        <v>18</v>
      </c>
      <c r="Q23" s="71" t="s">
        <v>55</v>
      </c>
      <c r="R23" s="77">
        <v>0</v>
      </c>
      <c r="S23" s="77">
        <v>775.99</v>
      </c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</row>
    <row r="24" spans="1:154" ht="15.75" customHeight="1" x14ac:dyDescent="0.2">
      <c r="A24" s="30"/>
      <c r="B24" s="70">
        <v>43873</v>
      </c>
      <c r="C24" s="71" t="s">
        <v>16</v>
      </c>
      <c r="D24" s="71" t="s">
        <v>35</v>
      </c>
      <c r="E24" s="71" t="s">
        <v>18</v>
      </c>
      <c r="F24" s="71" t="s">
        <v>45</v>
      </c>
      <c r="G24" s="72">
        <v>475.93</v>
      </c>
      <c r="H24" s="73">
        <v>0</v>
      </c>
      <c r="I24" s="74"/>
      <c r="J24" s="74"/>
      <c r="K24" s="74"/>
      <c r="L24" s="72">
        <v>1</v>
      </c>
      <c r="M24" s="71" t="s">
        <v>20</v>
      </c>
      <c r="N24" s="71" t="s">
        <v>46</v>
      </c>
      <c r="O24" s="71" t="s">
        <v>47</v>
      </c>
      <c r="P24" s="71" t="s">
        <v>18</v>
      </c>
      <c r="Q24" s="71" t="s">
        <v>55</v>
      </c>
      <c r="R24" s="72">
        <v>475.93</v>
      </c>
      <c r="S24" s="72">
        <v>0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</row>
    <row r="25" spans="1:154" ht="15.75" customHeight="1" x14ac:dyDescent="0.2">
      <c r="A25" s="30"/>
      <c r="B25" s="70">
        <v>43873</v>
      </c>
      <c r="C25" s="71" t="s">
        <v>16</v>
      </c>
      <c r="D25" s="71" t="s">
        <v>35</v>
      </c>
      <c r="E25" s="71" t="s">
        <v>18</v>
      </c>
      <c r="F25" s="75" t="s">
        <v>54</v>
      </c>
      <c r="G25" s="76">
        <v>0</v>
      </c>
      <c r="H25" s="77">
        <v>475.93</v>
      </c>
      <c r="I25" s="78"/>
      <c r="J25" s="78"/>
      <c r="K25" s="78"/>
      <c r="L25" s="77">
        <v>1</v>
      </c>
      <c r="M25" s="75" t="s">
        <v>20</v>
      </c>
      <c r="N25" s="75" t="s">
        <v>50</v>
      </c>
      <c r="O25" s="75" t="s">
        <v>47</v>
      </c>
      <c r="P25" s="75" t="s">
        <v>18</v>
      </c>
      <c r="Q25" s="71" t="s">
        <v>55</v>
      </c>
      <c r="R25" s="77">
        <v>0</v>
      </c>
      <c r="S25" s="77">
        <v>475.93</v>
      </c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</row>
    <row r="26" spans="1:154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IFERROR(__xludf.DUMMYFUNCTION("""COMPUTED_VALUE"""),"Date")</f>
        <v>Date</v>
      </c>
      <c r="C5" s="22" t="str">
        <f ca="1">IFERROR(__xludf.DUMMYFUNCTION("""COMPUTED_VALUE"""),"Modify Date")</f>
        <v>Modify Date</v>
      </c>
      <c r="D5" s="22" t="str">
        <f ca="1">IFERROR(__xludf.DUMMYFUNCTION("""COMPUTED_VALUE"""),"Entry Date")</f>
        <v>Entry Date</v>
      </c>
      <c r="E5" s="22" t="str">
        <f ca="1">IFERROR(__xludf.DUMMYFUNCTION("""COMPUTED_VALUE"""),"DR")</f>
        <v>DR</v>
      </c>
      <c r="F5" s="23" t="str">
        <f ca="1">IFERROR(__xludf.DUMMYFUNCTION("""COMPUTED_VALUE"""),"CR")</f>
        <v>CR</v>
      </c>
      <c r="G5" s="22" t="str">
        <f ca="1">IFERROR(__xludf.DUMMYFUNCTION("""COMPUTED_VALUE"""),"Fx Rate")</f>
        <v>Fx Rate</v>
      </c>
      <c r="H5" s="22" t="str">
        <f ca="1">IFERROR(__xludf.DUMMYFUNCTION("""COMPUTED_VALUE"""),"FX Conversion Method Operator")</f>
        <v>FX Conversion Method Operator</v>
      </c>
      <c r="I5" s="22" t="str">
        <f ca="1">IFERROR(__xludf.DUMMYFUNCTION("""COMPUTED_VALUE"""),"Account Side")</f>
        <v>Account Side</v>
      </c>
      <c r="J5" s="22" t="str">
        <f ca="1">IFERROR(__xludf.DUMMYFUNCTION("""COMPUTED_VALUE"""),"TransactionSource")</f>
        <v>TransactionSource</v>
      </c>
      <c r="K5" s="22" t="str">
        <f ca="1">IFERROR(__xludf.DUMMYFUNCTION("""COMPUTED_VALUE"""),"Currency")</f>
        <v>Currency</v>
      </c>
      <c r="L5" s="22" t="str">
        <f ca="1">IFERROR(__xludf.DUMMYFUNCTION("""COMPUTED_VALUE"""),"Base Currency")</f>
        <v>Base Currency</v>
      </c>
      <c r="M5" s="22" t="str">
        <f ca="1">IFERROR(__xludf.DUMMYFUNCTION("""COMPUTED_VALUE"""),"Symbol")</f>
        <v>Symbol</v>
      </c>
      <c r="N5" s="22" t="str">
        <f ca="1">IFERROR(__xludf.DUMMYFUNCTION("""COMPUTED_VALUE"""),"Description")</f>
        <v>Description</v>
      </c>
      <c r="O5" s="22" t="str">
        <f ca="1">IFERROR(__xludf.DUMMYFUNCTION("""COMPUTED_VALUE"""),"DR (Base)")</f>
        <v>DR (Base)</v>
      </c>
      <c r="P5" s="22" t="str">
        <f ca="1">IFERROR(__xludf.DUMMYFUNCTION("""COMPUTED_VALUE"""),"CR (Base)")</f>
        <v>CR (Base)</v>
      </c>
      <c r="Q5" s="22" t="str">
        <f ca="1">IFERROR(__xludf.DUMMYFUNCTION("""COMPUTED_VALUE"""),"Cash Sub-Account")</f>
        <v>Cash Sub-Account</v>
      </c>
      <c r="R5" s="22" t="str">
        <f ca="1">IFERROR(__xludf.DUMMYFUNCTION("""COMPUTED_VALUE"""),"Account")</f>
        <v>Account</v>
      </c>
      <c r="S5" s="22" t="str">
        <f ca="1">IFERROR(__xludf.DUMMYFUNCTION("""COMPUTED_VALUE"""),"TaxLotId")</f>
        <v>TaxLotId</v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79">
        <v>43871</v>
      </c>
      <c r="C6" s="29"/>
      <c r="D6" s="26"/>
      <c r="E6" s="72">
        <v>24.017600000000002</v>
      </c>
      <c r="F6" s="73">
        <v>0</v>
      </c>
      <c r="G6" s="72">
        <v>1</v>
      </c>
      <c r="H6" s="71" t="s">
        <v>20</v>
      </c>
      <c r="I6" s="71" t="s">
        <v>46</v>
      </c>
      <c r="J6" s="44" t="s">
        <v>57</v>
      </c>
      <c r="K6" s="44" t="s">
        <v>18</v>
      </c>
      <c r="L6" s="44" t="s">
        <v>18</v>
      </c>
      <c r="M6" s="71" t="s">
        <v>24</v>
      </c>
      <c r="N6" s="51"/>
      <c r="O6" s="72">
        <v>24.017600000000002</v>
      </c>
      <c r="P6" s="72">
        <v>0</v>
      </c>
      <c r="Q6" s="71" t="s">
        <v>53</v>
      </c>
      <c r="R6" s="44" t="s">
        <v>16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79">
        <v>43871</v>
      </c>
      <c r="C7" s="30"/>
      <c r="D7" s="30"/>
      <c r="E7" s="76">
        <v>0</v>
      </c>
      <c r="F7" s="77">
        <v>24.017600000000002</v>
      </c>
      <c r="G7" s="77">
        <v>1</v>
      </c>
      <c r="H7" s="75" t="s">
        <v>20</v>
      </c>
      <c r="I7" s="75" t="s">
        <v>50</v>
      </c>
      <c r="J7" s="47" t="s">
        <v>57</v>
      </c>
      <c r="K7" s="44" t="s">
        <v>18</v>
      </c>
      <c r="L7" s="47" t="s">
        <v>18</v>
      </c>
      <c r="M7" s="71" t="s">
        <v>24</v>
      </c>
      <c r="N7" s="51"/>
      <c r="O7" s="77">
        <v>0</v>
      </c>
      <c r="P7" s="77">
        <v>24.017600000000002</v>
      </c>
      <c r="Q7" s="75" t="s">
        <v>19</v>
      </c>
      <c r="R7" s="44" t="s">
        <v>16</v>
      </c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79">
        <v>43871</v>
      </c>
      <c r="C8" s="30"/>
      <c r="D8" s="30"/>
      <c r="E8" s="72">
        <v>31500</v>
      </c>
      <c r="F8" s="73">
        <v>0</v>
      </c>
      <c r="G8" s="72">
        <v>1</v>
      </c>
      <c r="H8" s="71" t="s">
        <v>20</v>
      </c>
      <c r="I8" s="71" t="s">
        <v>46</v>
      </c>
      <c r="J8" s="44" t="s">
        <v>57</v>
      </c>
      <c r="K8" s="44" t="s">
        <v>18</v>
      </c>
      <c r="L8" s="44" t="s">
        <v>18</v>
      </c>
      <c r="M8" s="71" t="s">
        <v>24</v>
      </c>
      <c r="N8" s="51"/>
      <c r="O8" s="72">
        <v>31500</v>
      </c>
      <c r="P8" s="72">
        <v>0</v>
      </c>
      <c r="Q8" s="71" t="s">
        <v>19</v>
      </c>
      <c r="R8" s="44" t="s">
        <v>16</v>
      </c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79">
        <v>43871</v>
      </c>
      <c r="C9" s="30"/>
      <c r="D9" s="30"/>
      <c r="E9" s="76">
        <v>0</v>
      </c>
      <c r="F9" s="77">
        <v>31500</v>
      </c>
      <c r="G9" s="77">
        <v>1</v>
      </c>
      <c r="H9" s="75" t="s">
        <v>20</v>
      </c>
      <c r="I9" s="75" t="s">
        <v>50</v>
      </c>
      <c r="J9" s="47" t="s">
        <v>57</v>
      </c>
      <c r="K9" s="44" t="s">
        <v>18</v>
      </c>
      <c r="L9" s="47" t="s">
        <v>18</v>
      </c>
      <c r="M9" s="71" t="s">
        <v>24</v>
      </c>
      <c r="N9" s="51"/>
      <c r="O9" s="77">
        <v>0</v>
      </c>
      <c r="P9" s="77">
        <v>31500</v>
      </c>
      <c r="Q9" s="75" t="s">
        <v>53</v>
      </c>
      <c r="R9" s="44" t="s">
        <v>16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79">
        <v>43872</v>
      </c>
      <c r="C10" s="30"/>
      <c r="D10" s="30"/>
      <c r="E10" s="72">
        <v>31514.017599999999</v>
      </c>
      <c r="F10" s="73">
        <v>0</v>
      </c>
      <c r="G10" s="72">
        <v>1</v>
      </c>
      <c r="H10" s="71" t="s">
        <v>20</v>
      </c>
      <c r="I10" s="71" t="s">
        <v>46</v>
      </c>
      <c r="J10" s="44" t="s">
        <v>57</v>
      </c>
      <c r="K10" s="44" t="s">
        <v>18</v>
      </c>
      <c r="L10" s="44" t="s">
        <v>18</v>
      </c>
      <c r="M10" s="71" t="s">
        <v>24</v>
      </c>
      <c r="N10" s="51"/>
      <c r="O10" s="72">
        <v>31514.017599999999</v>
      </c>
      <c r="P10" s="72">
        <v>0</v>
      </c>
      <c r="Q10" s="71" t="s">
        <v>53</v>
      </c>
      <c r="R10" s="44" t="s">
        <v>16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79">
        <v>43872</v>
      </c>
      <c r="C11" s="30"/>
      <c r="D11" s="30"/>
      <c r="E11" s="76">
        <v>0</v>
      </c>
      <c r="F11" s="77">
        <v>31514.017599999999</v>
      </c>
      <c r="G11" s="77">
        <v>1</v>
      </c>
      <c r="H11" s="75" t="s">
        <v>20</v>
      </c>
      <c r="I11" s="75" t="s">
        <v>50</v>
      </c>
      <c r="J11" s="47" t="s">
        <v>57</v>
      </c>
      <c r="K11" s="44" t="s">
        <v>18</v>
      </c>
      <c r="L11" s="47" t="s">
        <v>18</v>
      </c>
      <c r="M11" s="71" t="s">
        <v>24</v>
      </c>
      <c r="N11" s="51"/>
      <c r="O11" s="77">
        <v>0</v>
      </c>
      <c r="P11" s="77">
        <v>31514.017599999999</v>
      </c>
      <c r="Q11" s="75" t="s">
        <v>19</v>
      </c>
      <c r="R11" s="44" t="s">
        <v>16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79">
        <v>43872</v>
      </c>
      <c r="C12" s="30"/>
      <c r="D12" s="30"/>
      <c r="E12" s="72">
        <v>131524.0736</v>
      </c>
      <c r="F12" s="73">
        <v>0</v>
      </c>
      <c r="G12" s="72">
        <v>1</v>
      </c>
      <c r="H12" s="71" t="s">
        <v>20</v>
      </c>
      <c r="I12" s="71" t="s">
        <v>46</v>
      </c>
      <c r="J12" s="44" t="s">
        <v>57</v>
      </c>
      <c r="K12" s="44" t="s">
        <v>18</v>
      </c>
      <c r="L12" s="44" t="s">
        <v>18</v>
      </c>
      <c r="M12" s="71" t="s">
        <v>35</v>
      </c>
      <c r="N12" s="51"/>
      <c r="O12" s="72">
        <v>131524.0736</v>
      </c>
      <c r="P12" s="72">
        <v>0</v>
      </c>
      <c r="Q12" s="71" t="s">
        <v>58</v>
      </c>
      <c r="R12" s="44" t="s">
        <v>16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79">
        <v>43872</v>
      </c>
      <c r="C13" s="30"/>
      <c r="D13" s="30"/>
      <c r="E13" s="76">
        <v>0</v>
      </c>
      <c r="F13" s="77">
        <v>131524.0736</v>
      </c>
      <c r="G13" s="77">
        <v>1</v>
      </c>
      <c r="H13" s="75" t="s">
        <v>20</v>
      </c>
      <c r="I13" s="75" t="s">
        <v>50</v>
      </c>
      <c r="J13" s="47" t="s">
        <v>57</v>
      </c>
      <c r="K13" s="44" t="s">
        <v>18</v>
      </c>
      <c r="L13" s="47" t="s">
        <v>18</v>
      </c>
      <c r="M13" s="71" t="s">
        <v>35</v>
      </c>
      <c r="N13" s="51"/>
      <c r="O13" s="77">
        <v>0</v>
      </c>
      <c r="P13" s="77">
        <v>131524.0736</v>
      </c>
      <c r="Q13" s="75" t="s">
        <v>19</v>
      </c>
      <c r="R13" s="44" t="s">
        <v>16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30"/>
      <c r="B14" s="79">
        <v>43872</v>
      </c>
      <c r="C14" s="30"/>
      <c r="D14" s="30"/>
      <c r="E14" s="72">
        <v>24024.0134</v>
      </c>
      <c r="F14" s="73">
        <v>0</v>
      </c>
      <c r="G14" s="72">
        <v>1</v>
      </c>
      <c r="H14" s="71" t="s">
        <v>20</v>
      </c>
      <c r="I14" s="71" t="s">
        <v>46</v>
      </c>
      <c r="J14" s="44" t="s">
        <v>57</v>
      </c>
      <c r="K14" s="44" t="s">
        <v>18</v>
      </c>
      <c r="L14" s="44" t="s">
        <v>18</v>
      </c>
      <c r="M14" s="71" t="s">
        <v>24</v>
      </c>
      <c r="N14" s="51"/>
      <c r="O14" s="72">
        <v>24024.0134</v>
      </c>
      <c r="P14" s="72">
        <v>0</v>
      </c>
      <c r="Q14" s="71" t="s">
        <v>58</v>
      </c>
      <c r="R14" s="44" t="s">
        <v>16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ht="15.75" customHeight="1" x14ac:dyDescent="0.2">
      <c r="A15" s="30"/>
      <c r="B15" s="79">
        <v>43872</v>
      </c>
      <c r="C15" s="30"/>
      <c r="D15" s="30"/>
      <c r="E15" s="76">
        <v>0</v>
      </c>
      <c r="F15" s="77">
        <v>24024.0134</v>
      </c>
      <c r="G15" s="77">
        <v>1</v>
      </c>
      <c r="H15" s="75" t="s">
        <v>20</v>
      </c>
      <c r="I15" s="75" t="s">
        <v>50</v>
      </c>
      <c r="J15" s="47" t="s">
        <v>57</v>
      </c>
      <c r="K15" s="44" t="s">
        <v>18</v>
      </c>
      <c r="L15" s="47" t="s">
        <v>18</v>
      </c>
      <c r="M15" s="71" t="s">
        <v>24</v>
      </c>
      <c r="N15" s="51"/>
      <c r="O15" s="77">
        <v>0</v>
      </c>
      <c r="P15" s="77">
        <v>24024.0134</v>
      </c>
      <c r="Q15" s="75" t="s">
        <v>19</v>
      </c>
      <c r="R15" s="44" t="s">
        <v>16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ht="15.75" customHeight="1" x14ac:dyDescent="0.2">
      <c r="A16" s="30"/>
      <c r="B16" s="79">
        <v>43873</v>
      </c>
      <c r="C16" s="30"/>
      <c r="D16" s="30"/>
      <c r="E16" s="72">
        <v>24024.0134</v>
      </c>
      <c r="F16" s="73">
        <v>0</v>
      </c>
      <c r="G16" s="72">
        <v>1</v>
      </c>
      <c r="H16" s="71" t="s">
        <v>20</v>
      </c>
      <c r="I16" s="71" t="s">
        <v>46</v>
      </c>
      <c r="J16" s="44" t="s">
        <v>57</v>
      </c>
      <c r="K16" s="44" t="s">
        <v>18</v>
      </c>
      <c r="L16" s="44" t="s">
        <v>18</v>
      </c>
      <c r="M16" s="71" t="s">
        <v>24</v>
      </c>
      <c r="N16" s="51"/>
      <c r="O16" s="72">
        <v>24024.0134</v>
      </c>
      <c r="P16" s="72">
        <v>0</v>
      </c>
      <c r="Q16" s="71" t="s">
        <v>19</v>
      </c>
      <c r="R16" s="44" t="s">
        <v>16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</row>
    <row r="17" spans="1:154" ht="15.75" customHeight="1" x14ac:dyDescent="0.2">
      <c r="A17" s="30"/>
      <c r="B17" s="79">
        <v>43873</v>
      </c>
      <c r="C17" s="30"/>
      <c r="D17" s="30"/>
      <c r="E17" s="76">
        <v>0</v>
      </c>
      <c r="F17" s="77">
        <v>24024.0134</v>
      </c>
      <c r="G17" s="77">
        <v>1</v>
      </c>
      <c r="H17" s="75" t="s">
        <v>20</v>
      </c>
      <c r="I17" s="75" t="s">
        <v>50</v>
      </c>
      <c r="J17" s="47" t="s">
        <v>57</v>
      </c>
      <c r="K17" s="44" t="s">
        <v>18</v>
      </c>
      <c r="L17" s="47" t="s">
        <v>18</v>
      </c>
      <c r="M17" s="71" t="s">
        <v>24</v>
      </c>
      <c r="N17" s="51"/>
      <c r="O17" s="77">
        <v>0</v>
      </c>
      <c r="P17" s="77">
        <v>24024.0134</v>
      </c>
      <c r="Q17" s="75" t="s">
        <v>58</v>
      </c>
      <c r="R17" s="44" t="s">
        <v>16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</row>
    <row r="18" spans="1:154" ht="15.75" customHeight="1" x14ac:dyDescent="0.2">
      <c r="A18" s="30"/>
      <c r="B18" s="79">
        <v>43873</v>
      </c>
      <c r="C18" s="30"/>
      <c r="D18" s="30"/>
      <c r="E18" s="72">
        <v>15015.008379999999</v>
      </c>
      <c r="F18" s="73">
        <v>0</v>
      </c>
      <c r="G18" s="72">
        <v>1</v>
      </c>
      <c r="H18" s="71" t="s">
        <v>20</v>
      </c>
      <c r="I18" s="71" t="s">
        <v>46</v>
      </c>
      <c r="J18" s="44" t="s">
        <v>57</v>
      </c>
      <c r="K18" s="44" t="s">
        <v>18</v>
      </c>
      <c r="L18" s="44" t="s">
        <v>18</v>
      </c>
      <c r="M18" s="71" t="s">
        <v>24</v>
      </c>
      <c r="N18" s="51"/>
      <c r="O18" s="72">
        <v>15015.008379999999</v>
      </c>
      <c r="P18" s="72">
        <v>0</v>
      </c>
      <c r="Q18" s="71" t="s">
        <v>58</v>
      </c>
      <c r="R18" s="44" t="s">
        <v>16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</row>
    <row r="19" spans="1:154" ht="15.75" customHeight="1" x14ac:dyDescent="0.2">
      <c r="A19" s="30"/>
      <c r="B19" s="79">
        <v>43873</v>
      </c>
      <c r="C19" s="30"/>
      <c r="D19" s="30"/>
      <c r="E19" s="76">
        <v>0</v>
      </c>
      <c r="F19" s="77">
        <v>15015.008379999999</v>
      </c>
      <c r="G19" s="77">
        <v>1</v>
      </c>
      <c r="H19" s="75" t="s">
        <v>20</v>
      </c>
      <c r="I19" s="75" t="s">
        <v>50</v>
      </c>
      <c r="J19" s="47" t="s">
        <v>57</v>
      </c>
      <c r="K19" s="44" t="s">
        <v>18</v>
      </c>
      <c r="L19" s="47" t="s">
        <v>18</v>
      </c>
      <c r="M19" s="71" t="s">
        <v>24</v>
      </c>
      <c r="N19" s="51"/>
      <c r="O19" s="77">
        <v>0</v>
      </c>
      <c r="P19" s="77">
        <v>15015.008379999999</v>
      </c>
      <c r="Q19" s="75" t="s">
        <v>19</v>
      </c>
      <c r="R19" s="44" t="s">
        <v>16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</row>
    <row r="20" spans="1:154" ht="15.75" customHeight="1" x14ac:dyDescent="0.2">
      <c r="A20" s="30"/>
      <c r="B20" s="79">
        <v>43873</v>
      </c>
      <c r="C20" s="30"/>
      <c r="D20" s="30"/>
      <c r="E20" s="72">
        <v>9009.0050250000004</v>
      </c>
      <c r="F20" s="73">
        <v>0</v>
      </c>
      <c r="G20" s="72">
        <v>1</v>
      </c>
      <c r="H20" s="71" t="s">
        <v>20</v>
      </c>
      <c r="I20" s="71" t="s">
        <v>46</v>
      </c>
      <c r="J20" s="44" t="s">
        <v>57</v>
      </c>
      <c r="K20" s="44" t="s">
        <v>18</v>
      </c>
      <c r="L20" s="44" t="s">
        <v>18</v>
      </c>
      <c r="M20" s="71" t="s">
        <v>72</v>
      </c>
      <c r="N20" s="51"/>
      <c r="O20" s="72">
        <v>9009.0050250000004</v>
      </c>
      <c r="P20" s="72">
        <v>0</v>
      </c>
      <c r="Q20" s="71" t="s">
        <v>58</v>
      </c>
      <c r="R20" s="44" t="s">
        <v>16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</row>
    <row r="21" spans="1:154" ht="15.75" customHeight="1" x14ac:dyDescent="0.2">
      <c r="A21" s="30"/>
      <c r="B21" s="79">
        <v>43873</v>
      </c>
      <c r="C21" s="30"/>
      <c r="D21" s="30"/>
      <c r="E21" s="76">
        <v>0</v>
      </c>
      <c r="F21" s="77">
        <v>9009.0050250000004</v>
      </c>
      <c r="G21" s="77">
        <v>1</v>
      </c>
      <c r="H21" s="75" t="s">
        <v>20</v>
      </c>
      <c r="I21" s="75" t="s">
        <v>50</v>
      </c>
      <c r="J21" s="47" t="s">
        <v>57</v>
      </c>
      <c r="K21" s="44" t="s">
        <v>18</v>
      </c>
      <c r="L21" s="47" t="s">
        <v>18</v>
      </c>
      <c r="M21" s="71" t="s">
        <v>72</v>
      </c>
      <c r="N21" s="51"/>
      <c r="O21" s="77">
        <v>0</v>
      </c>
      <c r="P21" s="77">
        <v>9009.0050250000004</v>
      </c>
      <c r="Q21" s="75" t="s">
        <v>19</v>
      </c>
      <c r="R21" s="44" t="s">
        <v>16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</row>
    <row r="22" spans="1:154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4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4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4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4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IFERROR(__xludf.DUMMYFUNCTION("""COMPUTED_VALUE"""),"Accounts")</f>
        <v>Accounts</v>
      </c>
      <c r="D5" s="22" t="str">
        <f ca="1">IFERROR(__xludf.DUMMYFUNCTION("""COMPUTED_VALUE"""),"From")</f>
        <v>From</v>
      </c>
      <c r="E5" s="22" t="str">
        <f ca="1">IFERROR(__xludf.DUMMYFUNCTION("""COMPUTED_VALUE"""),"To")</f>
        <v>To</v>
      </c>
      <c r="F5" s="23" t="str">
        <f ca="1">IFERROR(__xludf.DUMMYFUNCTION("""COMPUTED_VALUE"""),"SettlementDate")</f>
        <v>SettlementDate</v>
      </c>
      <c r="G5" s="22" t="str">
        <f ca="1">IFERROR(__xludf.DUMMYFUNCTION("""COMPUTED_VALUE"""),"TradeDate")</f>
        <v>TradeDate</v>
      </c>
      <c r="H5" s="22" t="str">
        <f ca="1">IFERROR(__xludf.DUMMYFUNCTION("""COMPUTED_VALUE"""),"All")</f>
        <v>All</v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6"/>
      <c r="C6" s="27" t="s">
        <v>16</v>
      </c>
      <c r="D6" s="28">
        <v>43871</v>
      </c>
      <c r="E6" s="28">
        <v>43873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topLeftCell="A7" workbookViewId="0">
      <selection activeCell="A7" sqref="A7:XFD7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8" width="14.42578125" customWidth="1"/>
    <col min="19" max="19" width="25.5703125" customWidth="1"/>
    <col min="20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60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IFERROR(__xludf.DUMMYFUNCTION("IF(C3="""","""",Transpose(IMPORTRANGE('_Settings'!$B$3,C3&amp;""!A4:A1000"")))"),"GetDataCash")</f>
        <v>GetDataCash</v>
      </c>
      <c r="C4" s="19" t="str">
        <f ca="1">IFERROR(__xludf.DUMMYFUNCTION("""COMPUTED_VALUE"""),"EnterCashDividends")</f>
        <v>EnterCashDividends</v>
      </c>
      <c r="D4" s="19" t="str">
        <f ca="1">IFERROR(__xludf.DUMMYFUNCTION("""COMPUTED_VALUE"""),"EnterNonTradingTransaction")</f>
        <v>EnterNonTradingTransaction</v>
      </c>
      <c r="E4" s="19" t="str">
        <f ca="1">IFERROR(__xludf.DUMMYFUNCTION("""COMPUTED_VALUE"""),"VerifyCash")</f>
        <v>VerifyCash</v>
      </c>
      <c r="F4" s="19" t="str">
        <f ca="1">IFERROR(__xludf.DUMMYFUNCTION("""COMPUTED_VALUE"""),"VerifyActivity")</f>
        <v>VerifyActivity</v>
      </c>
      <c r="G4" s="19" t="str">
        <f ca="1">IFERROR(__xludf.DUMMYFUNCTION("""COMPUTED_VALUE"""),"VerifyTradingTransaction")</f>
        <v>VerifyTradingTransaction</v>
      </c>
      <c r="H4" s="19" t="str">
        <f ca="1">IFERROR(__xludf.DUMMYFUNCTION("""COMPUTED_VALUE"""),"VerifyRevaluationData")</f>
        <v>VerifyRevaluationData</v>
      </c>
      <c r="I4" s="19" t="str">
        <f ca="1">IFERROR(__xludf.DUMMYFUNCTION("""COMPUTED_VALUE"""),"GetTradingTransaction")</f>
        <v>GetTradingTransaction</v>
      </c>
      <c r="J4" s="19" t="str">
        <f ca="1">IFERROR(__xludf.DUMMYFUNCTION("""COMPUTED_VALUE"""),"GetActivityData")</f>
        <v>GetActivityData</v>
      </c>
      <c r="K4" s="19" t="str">
        <f ca="1">IFERROR(__xludf.DUMMYFUNCTION("""COMPUTED_VALUE"""),"GetRevaluationData")</f>
        <v>GetRevaluationData</v>
      </c>
      <c r="L4" s="19" t="str">
        <f ca="1">IFERROR(__xludf.DUMMYFUNCTION("""COMPUTED_VALUE"""),"GetAccountDetails")</f>
        <v>GetAccountDetails</v>
      </c>
      <c r="M4" s="19" t="str">
        <f ca="1">IFERROR(__xludf.DUMMYFUNCTION("""COMPUTED_VALUE"""),"GetNonTradingTransaction")</f>
        <v>GetNonTradingTransaction</v>
      </c>
      <c r="N4" s="19" t="str">
        <f ca="1">IFERROR(__xludf.DUMMYFUNCTION("""COMPUTED_VALUE"""),"GetDividendData")</f>
        <v>GetDividendData</v>
      </c>
      <c r="O4" s="19" t="str">
        <f ca="1">IFERROR(__xludf.DUMMYFUNCTION("""COMPUTED_VALUE"""),"VerifyNonTradingTransaction")</f>
        <v>VerifyNonTradingTransaction</v>
      </c>
      <c r="P4" s="20" t="str">
        <f ca="1">IFERROR(__xludf.DUMMYFUNCTION("""COMPUTED_VALUE"""),"VerifyDividend")</f>
        <v>VerifyDividend</v>
      </c>
      <c r="Q4" s="20" t="str">
        <f ca="1">IFERROR(__xludf.DUMMYFUNCTION("""COMPUTED_VALUE"""),"GetOpeningBalanceData")</f>
        <v>GetOpeningBalanceData</v>
      </c>
      <c r="R4" s="20" t="str">
        <f ca="1">IFERROR(__xludf.DUMMYFUNCTION("""COMPUTED_VALUE"""),"GetAccountBalance")</f>
        <v>GetAccountBalance</v>
      </c>
      <c r="S4" s="20" t="str">
        <f ca="1">IFERROR(__xludf.DUMMYFUNCTION("""COMPUTED_VALUE"""),"SelectNonTradingTransaction")</f>
        <v>SelectNonTradingTransaction</v>
      </c>
      <c r="T4" s="20" t="str">
        <f ca="1">IFERROR(__xludf.DUMMYFUNCTION("""COMPUTED_VALUE"""),"SelectNonTradingTranItem")</f>
        <v>SelectNonTradingTranItem</v>
      </c>
      <c r="U4" s="20" t="str">
        <f ca="1">IFERROR(__xludf.DUMMYFUNCTION("""COMPUTED_VALUE"""),"DeleteNonTradingTransaction")</f>
        <v>DeleteNonTradingTransaction</v>
      </c>
      <c r="V4" s="20" t="str">
        <f ca="1">IFERROR(__xludf.DUMMYFUNCTION("""COMPUTED_VALUE"""),"DeleteNonTradingTranItem")</f>
        <v>DeleteNonTradingTranItem</v>
      </c>
      <c r="W4" s="20" t="str">
        <f ca="1">IFERROR(__xludf.DUMMYFUNCTION("""COMPUTED_VALUE"""),"AddNonTradingTransaction")</f>
        <v>AddNonTradingTransaction</v>
      </c>
      <c r="X4" s="20" t="str">
        <f ca="1">IFERROR(__xludf.DUMMYFUNCTION("""COMPUTED_VALUE"""),"AddNonTradingTranItem")</f>
        <v>AddNonTradingTranItem</v>
      </c>
      <c r="Y4" s="20" t="str">
        <f ca="1">IFERROR(__xludf.DUMMYFUNCTION("""COMPUTED_VALUE"""),"VerifyOpeningBalanceData")</f>
        <v>VerifyOpeningBalanceData</v>
      </c>
      <c r="Z4" s="20" t="str">
        <f ca="1">IFERROR(__xludf.DUMMYFUNCTION("""COMPUTED_VALUE"""),"SelectOpeningBalanceTransaction")</f>
        <v>SelectOpeningBalanceTransaction</v>
      </c>
      <c r="AA4" s="20" t="str">
        <f ca="1">IFERROR(__xludf.DUMMYFUNCTION("""COMPUTED_VALUE"""),"SelectOpeningBalanceTranItem")</f>
        <v>SelectOpeningBalanceTranItem</v>
      </c>
      <c r="AB4" s="20" t="str">
        <f ca="1">IFERROR(__xludf.DUMMYFUNCTION("""COMPUTED_VALUE"""),"EditNonTradingTransaction")</f>
        <v>EditNonTradingTransaction</v>
      </c>
      <c r="AC4" s="20" t="str">
        <f ca="1">IFERROR(__xludf.DUMMYFUNCTION("""COMPUTED_VALUE"""),"EditNonTradingTranItem")</f>
        <v>EditNonTradingTranItem</v>
      </c>
      <c r="AD4" s="20" t="str">
        <f ca="1">IFERROR(__xludf.DUMMYFUNCTION("""COMPUTED_VALUE"""),"DeleteOpeningBalanceTransaction")</f>
        <v>DeleteOpeningBalanceTransaction</v>
      </c>
      <c r="AE4" s="20" t="str">
        <f ca="1">IFERROR(__xludf.DUMMYFUNCTION("""COMPUTED_VALUE"""),"DeleteOpeningBalanceTranItem")</f>
        <v>DeleteOpeningBalanceTranItem</v>
      </c>
      <c r="AF4" s="20" t="str">
        <f ca="1">IFERROR(__xludf.DUMMYFUNCTION("""COMPUTED_VALUE"""),"GetDayEndCash")</f>
        <v>GetDayEndCash</v>
      </c>
      <c r="AG4" s="20" t="str">
        <f ca="1">IFERROR(__xludf.DUMMYFUNCTION("""COMPUTED_VALUE"""),"VerifyDayEndCash")</f>
        <v>VerifyDayEndCash</v>
      </c>
      <c r="AH4" s="20" t="str">
        <f ca="1">IFERROR(__xludf.DUMMYFUNCTION("""COMPUTED_VALUE"""),"RunRevaluation")</f>
        <v>RunRevaluation</v>
      </c>
      <c r="AI4" s="20" t="str">
        <f ca="1">IFERROR(__xludf.DUMMYFUNCTION("""COMPUTED_VALUE"""),"CalculateDayEndCash")</f>
        <v>CalculateDayEndCash</v>
      </c>
      <c r="AJ4" s="20" t="str">
        <f ca="1">IFERROR(__xludf.DUMMYFUNCTION("""COMPUTED_VALUE"""),"GetCashTransaction")</f>
        <v>GetCashTransaction</v>
      </c>
      <c r="AK4" s="20" t="str">
        <f ca="1">IFERROR(__xludf.DUMMYFUNCTION("""COMPUTED_VALUE"""),"SelectCashTransaction")</f>
        <v>SelectCashTransaction</v>
      </c>
      <c r="AL4" s="20" t="str">
        <f ca="1">IFERROR(__xludf.DUMMYFUNCTION("""COMPUTED_VALUE"""),"DeleteCashTransaction")</f>
        <v>DeleteCashTransaction</v>
      </c>
      <c r="AM4" s="20" t="str">
        <f ca="1">IFERROR(__xludf.DUMMYFUNCTION("""COMPUTED_VALUE"""),"EditCashTransaction")</f>
        <v>EditCashTransaction</v>
      </c>
      <c r="AN4" s="20" t="str">
        <f ca="1">IFERROR(__xludf.DUMMYFUNCTION("""COMPUTED_VALUE"""),"AddCashTransaction")</f>
        <v>AddCashTransaction</v>
      </c>
      <c r="AO4" s="20" t="str">
        <f ca="1">IFERROR(__xludf.DUMMYFUNCTION("""COMPUTED_VALUE"""),"AddOpeningBalanceTransaction")</f>
        <v>AddOpeningBalanceTransaction</v>
      </c>
      <c r="AP4" s="20" t="str">
        <f ca="1">IFERROR(__xludf.DUMMYFUNCTION("""COMPUTED_VALUE"""),"AddOpeningBalanceTranItem")</f>
        <v>AddOpeningBalanceTranItem</v>
      </c>
      <c r="AQ4" s="20" t="str">
        <f ca="1">IFERROR(__xludf.DUMMYFUNCTION("""COMPUTED_VALUE"""),"GetDailyCalculationsData")</f>
        <v>GetDailyCalculationsData</v>
      </c>
      <c r="AR4" s="20" t="str">
        <f ca="1">IFERROR(__xludf.DUMMYFUNCTION("""COMPUTED_VALUE"""),"CalculateDailyCalculations")</f>
        <v>CalculateDailyCalculations</v>
      </c>
      <c r="AS4" s="20" t="str">
        <f ca="1">IFERROR(__xludf.DUMMYFUNCTION("""COMPUTED_VALUE"""),"EditOpeningBalanceTransaction")</f>
        <v>EditOpeningBalanceTransaction</v>
      </c>
      <c r="AT4" s="20" t="str">
        <f ca="1">IFERROR(__xludf.DUMMYFUNCTION("""COMPUTED_VALUE"""),"EditOpeningBalanceTranItem")</f>
        <v>EditOpeningBalanceTranItem</v>
      </c>
      <c r="AU4" s="20" t="str">
        <f ca="1">IFERROR(__xludf.DUMMYFUNCTION("""COMPUTED_VALUE"""),"VerifyDailyCalTransactions")</f>
        <v>VerifyDailyCalTransactions</v>
      </c>
      <c r="AV4" s="20" t="str">
        <f ca="1">IFERROR(__xludf.DUMMYFUNCTION("""COMPUTED_VALUE"""),"CloseGeneralLedger")</f>
        <v>CloseGeneralLedger</v>
      </c>
      <c r="AW4" s="20" t="str">
        <f ca="1">IFERROR(__xludf.DUMMYFUNCTION("""COMPUTED_VALUE"""),"VerifyAccountDetails")</f>
        <v>VerifyAccountDetails</v>
      </c>
      <c r="AX4" s="20" t="str">
        <f ca="1">IFERROR(__xludf.DUMMYFUNCTION("""COMPUTED_VALUE"""),"SaveTransaction")</f>
        <v>SaveTransaction</v>
      </c>
      <c r="AY4" s="20" t="str">
        <f ca="1">IFERROR(__xludf.DUMMYFUNCTION("""COMPUTED_VALUE"""),"VerifyCashTransaction")</f>
        <v>VerifyCashTransaction</v>
      </c>
      <c r="AZ4" s="20" t="str">
        <f ca="1">IFERROR(__xludf.DUMMYFUNCTION("""COMPUTED_VALUE"""),"CalculateDayEndCash")</f>
        <v>CalculateDayEndCash</v>
      </c>
      <c r="BA4" s="20" t="str">
        <f ca="1">IFERROR(__xludf.DUMMYFUNCTION("""COMPUTED_VALUE"""),"CalculateDayEndCash")</f>
        <v>CalculateDayEndCash</v>
      </c>
      <c r="BB4" s="20" t="str">
        <f ca="1">IFERROR(__xludf.DUMMYFUNCTION("""COMPUTED_VALUE"""),"VerifyOpeningBalanceData")</f>
        <v>VerifyOpeningBalanceData</v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IFERROR(__xludf.DUMMYFUNCTION("""COMPUTED_VALUE"""),"Activity Source")</f>
        <v>Activity Source</v>
      </c>
      <c r="D5" s="22" t="str">
        <f ca="1">IFERROR(__xludf.DUMMYFUNCTION("""COMPUTED_VALUE"""),"ActivityType")</f>
        <v>ActivityType</v>
      </c>
      <c r="E5" s="22" t="str">
        <f ca="1">IFERROR(__xludf.DUMMYFUNCTION("""COMPUTED_VALUE"""),"Net Amount(Local)")</f>
        <v>Net Amount(Local)</v>
      </c>
      <c r="F5" s="23" t="str">
        <f ca="1">IFERROR(__xludf.DUMMYFUNCTION("""COMPUTED_VALUE"""),"AUEC Fee1")</f>
        <v>AUEC Fee1</v>
      </c>
      <c r="G5" s="22" t="str">
        <f ca="1">IFERROR(__xludf.DUMMYFUNCTION("""COMPUTED_VALUE"""),"AUEC Fee2")</f>
        <v>AUEC Fee2</v>
      </c>
      <c r="H5" s="22" t="str">
        <f ca="1">IFERROR(__xludf.DUMMYFUNCTION("""COMPUTED_VALUE"""),"Balance Type")</f>
        <v>Balance Type</v>
      </c>
      <c r="I5" s="22" t="str">
        <f ca="1">IFERROR(__xludf.DUMMYFUNCTION("""COMPUTED_VALUE"""),"Clearing Broker Fees")</f>
        <v>Clearing Broker Fees</v>
      </c>
      <c r="J5" s="22" t="str">
        <f ca="1">IFERROR(__xludf.DUMMYFUNCTION("""COMPUTED_VALUE"""),"Commission")</f>
        <v>Commission</v>
      </c>
      <c r="K5" s="22" t="str">
        <f ca="1">IFERROR(__xludf.DUMMYFUNCTION("""COMPUTED_VALUE"""),"Currency")</f>
        <v>Currency</v>
      </c>
      <c r="L5" s="22" t="str">
        <f ca="1">IFERROR(__xludf.DUMMYFUNCTION("""COMPUTED_VALUE"""),"Description")</f>
        <v>Description</v>
      </c>
      <c r="M5" s="22" t="str">
        <f ca="1">IFERROR(__xludf.DUMMYFUNCTION("""COMPUTED_VALUE"""),"Entry Date")</f>
        <v>Entry Date</v>
      </c>
      <c r="N5" s="22" t="str">
        <f ca="1">IFERROR(__xludf.DUMMYFUNCTION("""COMPUTED_VALUE"""),"FX Conversion Method Operator")</f>
        <v>FX Conversion Method Operator</v>
      </c>
      <c r="O5" s="22" t="str">
        <f ca="1">IFERROR(__xludf.DUMMYFUNCTION("""COMPUTED_VALUE"""),"Fx Rate")</f>
        <v>Fx Rate</v>
      </c>
      <c r="P5" s="22" t="str">
        <f ca="1">IFERROR(__xludf.DUMMYFUNCTION("""COMPUTED_VALUE"""),"Lead Currency")</f>
        <v>Lead Currency</v>
      </c>
      <c r="Q5" s="22" t="str">
        <f ca="1">IFERROR(__xludf.DUMMYFUNCTION("""COMPUTED_VALUE"""),"Modify date")</f>
        <v>Modify date</v>
      </c>
      <c r="R5" s="22" t="str">
        <f ca="1">IFERROR(__xludf.DUMMYFUNCTION("""COMPUTED_VALUE"""),"OCC Fee")</f>
        <v>OCC Fee</v>
      </c>
      <c r="S5" s="22" t="str">
        <f ca="1">IFERROR(__xludf.DUMMYFUNCTION("""COMPUTED_VALUE"""),"OptionPremiumAdjustment")</f>
        <v>OptionPremiumAdjustment</v>
      </c>
      <c r="T5" s="24" t="str">
        <f ca="1">IFERROR(__xludf.DUMMYFUNCTION("""COMPUTED_VALUE"""),"ORF Fee")</f>
        <v>ORF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IFERROR(__xludf.DUMMYFUNCTION("""COMPUTED_VALUE"""),"Quantity")</f>
        <v>Quantity</v>
      </c>
      <c r="W5" s="24" t="str">
        <f ca="1">IFERROR(__xludf.DUMMYFUNCTION("""COMPUTED_VALUE"""),"SEC Fee")</f>
        <v>SEC Fee</v>
      </c>
      <c r="X5" s="24" t="str">
        <f ca="1">IFERROR(__xludf.DUMMYFUNCTION("""COMPUTED_VALUE"""),"Settlement Currency")</f>
        <v>Settlement Currency</v>
      </c>
      <c r="Y5" s="24" t="str">
        <f ca="1">IFERROR(__xludf.DUMMYFUNCTION("""COMPUTED_VALUE"""),"Settlement Date")</f>
        <v>Settlement Date</v>
      </c>
      <c r="Z5" s="24" t="str">
        <f ca="1">IFERROR(__xludf.DUMMYFUNCTION("""COMPUTED_VALUE"""),"Soft Commission")</f>
        <v>Soft Commission</v>
      </c>
      <c r="AA5" s="24" t="str">
        <f ca="1">IFERROR(__xludf.DUMMYFUNCTION("""COMPUTED_VALUE"""),"Stamp Duty")</f>
        <v>Stamp Duty</v>
      </c>
      <c r="AB5" s="24" t="str">
        <f ca="1">IFERROR(__xludf.DUMMYFUNCTION("""COMPUTED_VALUE"""),"Symbol")</f>
        <v>Symbol</v>
      </c>
      <c r="AC5" s="24" t="str">
        <f ca="1">IFERROR(__xludf.DUMMYFUNCTION("""COMPUTED_VALUE"""),"Tax On Commissions")</f>
        <v>Tax On Commissions</v>
      </c>
      <c r="AD5" s="24" t="str">
        <f ca="1">IFERROR(__xludf.DUMMYFUNCTION("""COMPUTED_VALUE"""),"Total Commissions")</f>
        <v>Total Commissions</v>
      </c>
      <c r="AE5" s="24" t="str">
        <f ca="1">IFERROR(__xludf.DUMMYFUNCTION("""COMPUTED_VALUE"""),"Trade Date")</f>
        <v>Trade Date</v>
      </c>
      <c r="AF5" s="24" t="str">
        <f ca="1">IFERROR(__xludf.DUMMYFUNCTION("""COMPUTED_VALUE"""),"Transaction Levy")</f>
        <v>Transaction Levy</v>
      </c>
      <c r="AG5" s="24" t="str">
        <f ca="1">IFERROR(__xludf.DUMMYFUNCTION("""COMPUTED_VALUE"""),"Transaction Source")</f>
        <v>Transaction Source</v>
      </c>
      <c r="AH5" s="24" t="str">
        <f ca="1">IFERROR(__xludf.DUMMYFUNCTION("""COMPUTED_VALUE"""),"User")</f>
        <v>User</v>
      </c>
      <c r="AI5" s="24" t="str">
        <f ca="1">IFERROR(__xludf.DUMMYFUNCTION("""COMPUTED_VALUE"""),"Vs Currency")</f>
        <v>Vs Currency</v>
      </c>
      <c r="AJ5" s="24" t="str">
        <f ca="1">IFERROR(__xludf.DUMMYFUNCTION("""COMPUTED_VALUE"""),"SettlCurrencyID")</f>
        <v>SettlCurrencyID</v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71" t="s">
        <v>16</v>
      </c>
      <c r="C6" s="71" t="s">
        <v>47</v>
      </c>
      <c r="D6" s="71" t="s">
        <v>61</v>
      </c>
      <c r="E6" s="72">
        <v>-549.02</v>
      </c>
      <c r="F6" s="72"/>
      <c r="G6" s="72"/>
      <c r="H6" s="71" t="s">
        <v>62</v>
      </c>
      <c r="I6" s="72"/>
      <c r="J6" s="72">
        <v>0</v>
      </c>
      <c r="K6" s="71" t="s">
        <v>18</v>
      </c>
      <c r="L6" s="71" t="s">
        <v>48</v>
      </c>
      <c r="M6" s="29"/>
      <c r="N6" s="71" t="s">
        <v>20</v>
      </c>
      <c r="O6" s="72">
        <v>1</v>
      </c>
      <c r="P6" s="51"/>
      <c r="Q6" s="29"/>
      <c r="R6" s="72"/>
      <c r="S6" s="72"/>
      <c r="T6" s="72"/>
      <c r="U6" s="72"/>
      <c r="V6" s="72">
        <v>0</v>
      </c>
      <c r="W6" s="72"/>
      <c r="X6" s="74"/>
      <c r="Y6" s="30"/>
      <c r="Z6" s="72">
        <v>0</v>
      </c>
      <c r="AA6" s="72">
        <v>0</v>
      </c>
      <c r="AB6" s="71" t="s">
        <v>24</v>
      </c>
      <c r="AC6" s="72">
        <v>0</v>
      </c>
      <c r="AD6" s="72">
        <v>0</v>
      </c>
      <c r="AE6" s="79">
        <v>43871</v>
      </c>
      <c r="AF6" s="72"/>
      <c r="AG6" s="80" t="s">
        <v>47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71" t="s">
        <v>16</v>
      </c>
      <c r="C7" s="71" t="s">
        <v>57</v>
      </c>
      <c r="D7" s="71" t="s">
        <v>65</v>
      </c>
      <c r="E7" s="72">
        <v>31475.982400000001</v>
      </c>
      <c r="F7" s="72"/>
      <c r="G7" s="72"/>
      <c r="H7" s="71" t="s">
        <v>62</v>
      </c>
      <c r="I7" s="72"/>
      <c r="J7" s="72">
        <v>2.5</v>
      </c>
      <c r="K7" s="71" t="s">
        <v>18</v>
      </c>
      <c r="L7" s="71" t="s">
        <v>76</v>
      </c>
      <c r="M7" s="30"/>
      <c r="N7" s="71" t="s">
        <v>20</v>
      </c>
      <c r="O7" s="72">
        <v>1</v>
      </c>
      <c r="P7" s="51"/>
      <c r="Q7" s="30"/>
      <c r="R7" s="72"/>
      <c r="S7" s="72"/>
      <c r="T7" s="72"/>
      <c r="U7" s="72"/>
      <c r="V7" s="72">
        <v>105</v>
      </c>
      <c r="W7" s="72"/>
      <c r="X7" s="80"/>
      <c r="Y7" s="30"/>
      <c r="Z7" s="72">
        <v>7.5</v>
      </c>
      <c r="AA7" s="72">
        <v>1.7600000000000001E-2</v>
      </c>
      <c r="AB7" s="71" t="s">
        <v>24</v>
      </c>
      <c r="AC7" s="72">
        <v>3</v>
      </c>
      <c r="AD7" s="72">
        <v>24.017600000000002</v>
      </c>
      <c r="AE7" s="79">
        <v>43871</v>
      </c>
      <c r="AF7" s="72"/>
      <c r="AG7" s="80" t="s">
        <v>57</v>
      </c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30"/>
      <c r="B8" s="81" t="s">
        <v>16</v>
      </c>
      <c r="C8" s="81" t="s">
        <v>47</v>
      </c>
      <c r="D8" s="81" t="s">
        <v>66</v>
      </c>
      <c r="E8" s="82">
        <v>-38.04</v>
      </c>
      <c r="F8" s="82"/>
      <c r="G8" s="82"/>
      <c r="H8" s="81" t="s">
        <v>62</v>
      </c>
      <c r="I8" s="82"/>
      <c r="J8" s="82">
        <v>0</v>
      </c>
      <c r="K8" s="81" t="s">
        <v>18</v>
      </c>
      <c r="L8" s="81" t="s">
        <v>52</v>
      </c>
      <c r="M8" s="30"/>
      <c r="N8" s="81" t="s">
        <v>20</v>
      </c>
      <c r="O8" s="82">
        <v>1</v>
      </c>
      <c r="P8" s="56"/>
      <c r="Q8" s="30"/>
      <c r="R8" s="82"/>
      <c r="S8" s="82"/>
      <c r="T8" s="82"/>
      <c r="U8" s="82"/>
      <c r="V8" s="82">
        <v>0</v>
      </c>
      <c r="W8" s="82"/>
      <c r="X8" s="83"/>
      <c r="Y8" s="30"/>
      <c r="Z8" s="82">
        <v>0</v>
      </c>
      <c r="AA8" s="82">
        <v>0</v>
      </c>
      <c r="AB8" s="81" t="s">
        <v>24</v>
      </c>
      <c r="AC8" s="82">
        <v>0</v>
      </c>
      <c r="AD8" s="82">
        <v>0</v>
      </c>
      <c r="AE8" s="84">
        <v>43872</v>
      </c>
      <c r="AF8" s="82"/>
      <c r="AG8" s="85" t="s">
        <v>47</v>
      </c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30"/>
      <c r="B9" s="71" t="s">
        <v>16</v>
      </c>
      <c r="C9" s="71" t="s">
        <v>47</v>
      </c>
      <c r="D9" s="71" t="s">
        <v>67</v>
      </c>
      <c r="E9" s="72">
        <v>775.99</v>
      </c>
      <c r="F9" s="72"/>
      <c r="G9" s="72"/>
      <c r="H9" s="71" t="s">
        <v>62</v>
      </c>
      <c r="I9" s="72"/>
      <c r="J9" s="72">
        <v>0</v>
      </c>
      <c r="K9" s="71" t="s">
        <v>18</v>
      </c>
      <c r="L9" s="71" t="s">
        <v>48</v>
      </c>
      <c r="M9" s="30"/>
      <c r="N9" s="71" t="s">
        <v>20</v>
      </c>
      <c r="O9" s="72">
        <v>1</v>
      </c>
      <c r="P9" s="51"/>
      <c r="Q9" s="30"/>
      <c r="R9" s="72"/>
      <c r="S9" s="72"/>
      <c r="T9" s="72"/>
      <c r="U9" s="72"/>
      <c r="V9" s="72">
        <v>0</v>
      </c>
      <c r="W9" s="72"/>
      <c r="X9" s="74"/>
      <c r="Y9" s="30"/>
      <c r="Z9" s="72">
        <v>0</v>
      </c>
      <c r="AA9" s="72">
        <v>0</v>
      </c>
      <c r="AB9" s="71" t="s">
        <v>24</v>
      </c>
      <c r="AC9" s="72">
        <v>0</v>
      </c>
      <c r="AD9" s="72">
        <v>0</v>
      </c>
      <c r="AE9" s="79">
        <v>43872</v>
      </c>
      <c r="AF9" s="72"/>
      <c r="AG9" s="80" t="s">
        <v>47</v>
      </c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">
      <c r="A10" s="30"/>
      <c r="B10" s="81" t="s">
        <v>16</v>
      </c>
      <c r="C10" s="81" t="s">
        <v>47</v>
      </c>
      <c r="D10" s="81" t="s">
        <v>67</v>
      </c>
      <c r="E10" s="82">
        <v>475.93</v>
      </c>
      <c r="F10" s="82"/>
      <c r="G10" s="82"/>
      <c r="H10" s="81" t="s">
        <v>62</v>
      </c>
      <c r="I10" s="82"/>
      <c r="J10" s="82">
        <v>0</v>
      </c>
      <c r="K10" s="81" t="s">
        <v>18</v>
      </c>
      <c r="L10" s="81" t="s">
        <v>48</v>
      </c>
      <c r="M10" s="30"/>
      <c r="N10" s="81" t="s">
        <v>20</v>
      </c>
      <c r="O10" s="82">
        <v>1</v>
      </c>
      <c r="P10" s="56"/>
      <c r="Q10" s="30"/>
      <c r="R10" s="82"/>
      <c r="S10" s="82"/>
      <c r="T10" s="82"/>
      <c r="U10" s="82"/>
      <c r="V10" s="82">
        <v>0</v>
      </c>
      <c r="W10" s="82"/>
      <c r="X10" s="83"/>
      <c r="Y10" s="30"/>
      <c r="Z10" s="82">
        <v>0</v>
      </c>
      <c r="AA10" s="82">
        <v>0</v>
      </c>
      <c r="AB10" s="81" t="s">
        <v>35</v>
      </c>
      <c r="AC10" s="82">
        <v>0</v>
      </c>
      <c r="AD10" s="82">
        <v>0</v>
      </c>
      <c r="AE10" s="84">
        <v>43872</v>
      </c>
      <c r="AF10" s="82"/>
      <c r="AG10" s="85" t="s">
        <v>47</v>
      </c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">
      <c r="A11" s="30"/>
      <c r="B11" s="71" t="s">
        <v>16</v>
      </c>
      <c r="C11" s="71" t="s">
        <v>47</v>
      </c>
      <c r="D11" s="71" t="s">
        <v>61</v>
      </c>
      <c r="E11" s="72">
        <v>549.02</v>
      </c>
      <c r="F11" s="72"/>
      <c r="G11" s="72"/>
      <c r="H11" s="71" t="s">
        <v>62</v>
      </c>
      <c r="I11" s="72"/>
      <c r="J11" s="72">
        <v>0</v>
      </c>
      <c r="K11" s="71" t="s">
        <v>18</v>
      </c>
      <c r="L11" s="71" t="s">
        <v>55</v>
      </c>
      <c r="M11" s="30"/>
      <c r="N11" s="71" t="s">
        <v>20</v>
      </c>
      <c r="O11" s="72">
        <v>1</v>
      </c>
      <c r="P11" s="51"/>
      <c r="Q11" s="30"/>
      <c r="R11" s="72"/>
      <c r="S11" s="72"/>
      <c r="T11" s="72"/>
      <c r="U11" s="72"/>
      <c r="V11" s="72">
        <v>0</v>
      </c>
      <c r="W11" s="72"/>
      <c r="X11" s="74"/>
      <c r="Y11" s="30"/>
      <c r="Z11" s="72">
        <v>0</v>
      </c>
      <c r="AA11" s="72">
        <v>0</v>
      </c>
      <c r="AB11" s="71" t="s">
        <v>24</v>
      </c>
      <c r="AC11" s="72">
        <v>0</v>
      </c>
      <c r="AD11" s="72">
        <v>0</v>
      </c>
      <c r="AE11" s="79">
        <v>43872</v>
      </c>
      <c r="AF11" s="72"/>
      <c r="AG11" s="80" t="s">
        <v>47</v>
      </c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">
      <c r="A12" s="30"/>
      <c r="B12" s="81" t="s">
        <v>16</v>
      </c>
      <c r="C12" s="81" t="s">
        <v>57</v>
      </c>
      <c r="D12" s="81" t="s">
        <v>65</v>
      </c>
      <c r="E12" s="82">
        <v>-31514.017599999999</v>
      </c>
      <c r="F12" s="82"/>
      <c r="G12" s="82"/>
      <c r="H12" s="81" t="s">
        <v>62</v>
      </c>
      <c r="I12" s="82"/>
      <c r="J12" s="82">
        <v>0</v>
      </c>
      <c r="K12" s="81" t="s">
        <v>18</v>
      </c>
      <c r="L12" s="81" t="s">
        <v>76</v>
      </c>
      <c r="M12" s="30"/>
      <c r="N12" s="81" t="s">
        <v>20</v>
      </c>
      <c r="O12" s="82">
        <v>1</v>
      </c>
      <c r="P12" s="56"/>
      <c r="Q12" s="30"/>
      <c r="R12" s="82"/>
      <c r="S12" s="82"/>
      <c r="T12" s="82"/>
      <c r="U12" s="82"/>
      <c r="V12" s="82">
        <v>105</v>
      </c>
      <c r="W12" s="82"/>
      <c r="X12" s="85"/>
      <c r="Y12" s="30"/>
      <c r="Z12" s="82">
        <v>0</v>
      </c>
      <c r="AA12" s="82">
        <v>1.7600000000000001E-2</v>
      </c>
      <c r="AB12" s="81" t="s">
        <v>24</v>
      </c>
      <c r="AC12" s="82">
        <v>3</v>
      </c>
      <c r="AD12" s="82">
        <v>14.0176</v>
      </c>
      <c r="AE12" s="84">
        <v>43872</v>
      </c>
      <c r="AF12" s="82"/>
      <c r="AG12" s="85" t="s">
        <v>57</v>
      </c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30"/>
      <c r="B13" s="71" t="s">
        <v>16</v>
      </c>
      <c r="C13" s="71" t="s">
        <v>57</v>
      </c>
      <c r="D13" s="71" t="s">
        <v>68</v>
      </c>
      <c r="E13" s="72">
        <v>-131524.0736</v>
      </c>
      <c r="F13" s="72"/>
      <c r="G13" s="72"/>
      <c r="H13" s="71" t="s">
        <v>62</v>
      </c>
      <c r="I13" s="72"/>
      <c r="J13" s="72">
        <v>5</v>
      </c>
      <c r="K13" s="71" t="s">
        <v>18</v>
      </c>
      <c r="L13" s="71" t="s">
        <v>76</v>
      </c>
      <c r="M13" s="30"/>
      <c r="N13" s="71" t="s">
        <v>20</v>
      </c>
      <c r="O13" s="72">
        <v>1</v>
      </c>
      <c r="P13" s="51"/>
      <c r="Q13" s="30"/>
      <c r="R13" s="72"/>
      <c r="S13" s="72"/>
      <c r="T13" s="72"/>
      <c r="U13" s="72"/>
      <c r="V13" s="72">
        <v>100</v>
      </c>
      <c r="W13" s="72"/>
      <c r="X13" s="80"/>
      <c r="Y13" s="30"/>
      <c r="Z13" s="72">
        <v>5</v>
      </c>
      <c r="AA13" s="72">
        <v>7.3599999999999999E-2</v>
      </c>
      <c r="AB13" s="71" t="s">
        <v>35</v>
      </c>
      <c r="AC13" s="72">
        <v>3</v>
      </c>
      <c r="AD13" s="72">
        <v>24.073599999999999</v>
      </c>
      <c r="AE13" s="79">
        <v>43872</v>
      </c>
      <c r="AF13" s="72"/>
      <c r="AG13" s="80" t="s">
        <v>57</v>
      </c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</row>
    <row r="14" spans="1:154" ht="15.75" customHeight="1" x14ac:dyDescent="0.2">
      <c r="A14" s="30"/>
      <c r="B14" s="81" t="s">
        <v>16</v>
      </c>
      <c r="C14" s="81" t="s">
        <v>57</v>
      </c>
      <c r="D14" s="81" t="s">
        <v>68</v>
      </c>
      <c r="E14" s="82">
        <v>-24024.0134</v>
      </c>
      <c r="F14" s="82"/>
      <c r="G14" s="82"/>
      <c r="H14" s="81" t="s">
        <v>62</v>
      </c>
      <c r="I14" s="82"/>
      <c r="J14" s="82">
        <v>2.5</v>
      </c>
      <c r="K14" s="81" t="s">
        <v>18</v>
      </c>
      <c r="L14" s="81" t="s">
        <v>76</v>
      </c>
      <c r="M14" s="30"/>
      <c r="N14" s="81" t="s">
        <v>20</v>
      </c>
      <c r="O14" s="82">
        <v>1</v>
      </c>
      <c r="P14" s="56"/>
      <c r="Q14" s="30"/>
      <c r="R14" s="82"/>
      <c r="S14" s="82"/>
      <c r="T14" s="82"/>
      <c r="U14" s="82"/>
      <c r="V14" s="82">
        <v>80</v>
      </c>
      <c r="W14" s="82"/>
      <c r="X14" s="85"/>
      <c r="Y14" s="30"/>
      <c r="Z14" s="82">
        <v>7.5</v>
      </c>
      <c r="AA14" s="82">
        <v>1.34E-2</v>
      </c>
      <c r="AB14" s="81" t="s">
        <v>24</v>
      </c>
      <c r="AC14" s="82">
        <v>3</v>
      </c>
      <c r="AD14" s="82">
        <v>24.013400000000001</v>
      </c>
      <c r="AE14" s="84">
        <v>43872</v>
      </c>
      <c r="AF14" s="82"/>
      <c r="AG14" s="85" t="s">
        <v>57</v>
      </c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</row>
    <row r="15" spans="1:154" ht="15.75" customHeight="1" x14ac:dyDescent="0.2">
      <c r="A15" s="30"/>
      <c r="B15" s="71" t="s">
        <v>16</v>
      </c>
      <c r="C15" s="71" t="s">
        <v>47</v>
      </c>
      <c r="D15" s="71" t="s">
        <v>67</v>
      </c>
      <c r="E15" s="72">
        <v>10184.99</v>
      </c>
      <c r="F15" s="72"/>
      <c r="G15" s="72"/>
      <c r="H15" s="71" t="s">
        <v>62</v>
      </c>
      <c r="I15" s="72"/>
      <c r="J15" s="72">
        <v>0</v>
      </c>
      <c r="K15" s="71" t="s">
        <v>18</v>
      </c>
      <c r="L15" s="71" t="s">
        <v>48</v>
      </c>
      <c r="M15" s="30"/>
      <c r="N15" s="71" t="s">
        <v>20</v>
      </c>
      <c r="O15" s="72">
        <v>1</v>
      </c>
      <c r="P15" s="51"/>
      <c r="Q15" s="30"/>
      <c r="R15" s="72"/>
      <c r="S15" s="72"/>
      <c r="T15" s="72"/>
      <c r="U15" s="72"/>
      <c r="V15" s="72">
        <v>0</v>
      </c>
      <c r="W15" s="72"/>
      <c r="X15" s="74"/>
      <c r="Y15" s="30"/>
      <c r="Z15" s="72">
        <v>0</v>
      </c>
      <c r="AA15" s="72">
        <v>0</v>
      </c>
      <c r="AB15" s="71" t="s">
        <v>24</v>
      </c>
      <c r="AC15" s="72">
        <v>0</v>
      </c>
      <c r="AD15" s="72">
        <v>0</v>
      </c>
      <c r="AE15" s="79">
        <v>43873</v>
      </c>
      <c r="AF15" s="72"/>
      <c r="AG15" s="80" t="s">
        <v>47</v>
      </c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</row>
    <row r="16" spans="1:154" ht="15.75" customHeight="1" x14ac:dyDescent="0.2">
      <c r="A16" s="30"/>
      <c r="B16" s="81" t="s">
        <v>16</v>
      </c>
      <c r="C16" s="81" t="s">
        <v>47</v>
      </c>
      <c r="D16" s="81" t="s">
        <v>67</v>
      </c>
      <c r="E16" s="82">
        <v>975.93</v>
      </c>
      <c r="F16" s="82"/>
      <c r="G16" s="82"/>
      <c r="H16" s="81" t="s">
        <v>62</v>
      </c>
      <c r="I16" s="82"/>
      <c r="J16" s="82">
        <v>0</v>
      </c>
      <c r="K16" s="81" t="s">
        <v>18</v>
      </c>
      <c r="L16" s="81" t="s">
        <v>48</v>
      </c>
      <c r="M16" s="30"/>
      <c r="N16" s="81" t="s">
        <v>20</v>
      </c>
      <c r="O16" s="82">
        <v>1</v>
      </c>
      <c r="P16" s="56"/>
      <c r="Q16" s="30"/>
      <c r="R16" s="82"/>
      <c r="S16" s="82"/>
      <c r="T16" s="82"/>
      <c r="U16" s="82"/>
      <c r="V16" s="82">
        <v>0</v>
      </c>
      <c r="W16" s="82"/>
      <c r="X16" s="83"/>
      <c r="Y16" s="30"/>
      <c r="Z16" s="82">
        <v>0</v>
      </c>
      <c r="AA16" s="82">
        <v>0</v>
      </c>
      <c r="AB16" s="81" t="s">
        <v>35</v>
      </c>
      <c r="AC16" s="82">
        <v>0</v>
      </c>
      <c r="AD16" s="82">
        <v>0</v>
      </c>
      <c r="AE16" s="84">
        <v>43873</v>
      </c>
      <c r="AF16" s="82"/>
      <c r="AG16" s="85" t="s">
        <v>47</v>
      </c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</row>
    <row r="17" spans="1:154" ht="15.75" customHeight="1" x14ac:dyDescent="0.2">
      <c r="A17" s="30"/>
      <c r="B17" s="71" t="s">
        <v>16</v>
      </c>
      <c r="C17" s="71" t="s">
        <v>47</v>
      </c>
      <c r="D17" s="71" t="s">
        <v>67</v>
      </c>
      <c r="E17" s="72">
        <v>-4589.01</v>
      </c>
      <c r="F17" s="72"/>
      <c r="G17" s="72"/>
      <c r="H17" s="71" t="s">
        <v>62</v>
      </c>
      <c r="I17" s="72"/>
      <c r="J17" s="72">
        <v>0</v>
      </c>
      <c r="K17" s="71" t="s">
        <v>18</v>
      </c>
      <c r="L17" s="71" t="s">
        <v>48</v>
      </c>
      <c r="M17" s="30"/>
      <c r="N17" s="71" t="s">
        <v>20</v>
      </c>
      <c r="O17" s="72">
        <v>1</v>
      </c>
      <c r="P17" s="51"/>
      <c r="Q17" s="30"/>
      <c r="R17" s="72"/>
      <c r="S17" s="72"/>
      <c r="T17" s="72"/>
      <c r="U17" s="72"/>
      <c r="V17" s="72">
        <v>0</v>
      </c>
      <c r="W17" s="72"/>
      <c r="X17" s="74"/>
      <c r="Y17" s="30"/>
      <c r="Z17" s="72">
        <v>0</v>
      </c>
      <c r="AA17" s="72">
        <v>0</v>
      </c>
      <c r="AB17" s="71" t="s">
        <v>72</v>
      </c>
      <c r="AC17" s="72">
        <v>0</v>
      </c>
      <c r="AD17" s="72">
        <v>0</v>
      </c>
      <c r="AE17" s="79">
        <v>43873</v>
      </c>
      <c r="AF17" s="72"/>
      <c r="AG17" s="80" t="s">
        <v>47</v>
      </c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</row>
    <row r="18" spans="1:154" ht="15.75" customHeight="1" x14ac:dyDescent="0.2">
      <c r="A18" s="30"/>
      <c r="B18" s="81" t="s">
        <v>16</v>
      </c>
      <c r="C18" s="81" t="s">
        <v>47</v>
      </c>
      <c r="D18" s="81" t="s">
        <v>67</v>
      </c>
      <c r="E18" s="82">
        <v>-775.99</v>
      </c>
      <c r="F18" s="82"/>
      <c r="G18" s="82"/>
      <c r="H18" s="81" t="s">
        <v>62</v>
      </c>
      <c r="I18" s="82"/>
      <c r="J18" s="82">
        <v>0</v>
      </c>
      <c r="K18" s="81" t="s">
        <v>18</v>
      </c>
      <c r="L18" s="81" t="s">
        <v>55</v>
      </c>
      <c r="M18" s="30"/>
      <c r="N18" s="81" t="s">
        <v>20</v>
      </c>
      <c r="O18" s="82">
        <v>1</v>
      </c>
      <c r="P18" s="56"/>
      <c r="Q18" s="30"/>
      <c r="R18" s="82"/>
      <c r="S18" s="82"/>
      <c r="T18" s="82"/>
      <c r="U18" s="82"/>
      <c r="V18" s="82">
        <v>0</v>
      </c>
      <c r="W18" s="82"/>
      <c r="X18" s="83"/>
      <c r="Y18" s="30"/>
      <c r="Z18" s="82">
        <v>0</v>
      </c>
      <c r="AA18" s="82">
        <v>0</v>
      </c>
      <c r="AB18" s="81" t="s">
        <v>24</v>
      </c>
      <c r="AC18" s="82">
        <v>0</v>
      </c>
      <c r="AD18" s="82">
        <v>0</v>
      </c>
      <c r="AE18" s="84">
        <v>43873</v>
      </c>
      <c r="AF18" s="82"/>
      <c r="AG18" s="85" t="s">
        <v>47</v>
      </c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</row>
    <row r="19" spans="1:154" ht="15.75" customHeight="1" x14ac:dyDescent="0.2">
      <c r="A19" s="30"/>
      <c r="B19" s="71" t="s">
        <v>16</v>
      </c>
      <c r="C19" s="71" t="s">
        <v>47</v>
      </c>
      <c r="D19" s="71" t="s">
        <v>67</v>
      </c>
      <c r="E19" s="72">
        <v>-475.93</v>
      </c>
      <c r="F19" s="72"/>
      <c r="G19" s="72"/>
      <c r="H19" s="71" t="s">
        <v>62</v>
      </c>
      <c r="I19" s="72"/>
      <c r="J19" s="72">
        <v>0</v>
      </c>
      <c r="K19" s="71" t="s">
        <v>18</v>
      </c>
      <c r="L19" s="71" t="s">
        <v>55</v>
      </c>
      <c r="M19" s="30"/>
      <c r="N19" s="71" t="s">
        <v>20</v>
      </c>
      <c r="O19" s="72">
        <v>1</v>
      </c>
      <c r="P19" s="51"/>
      <c r="Q19" s="30"/>
      <c r="R19" s="72"/>
      <c r="S19" s="72"/>
      <c r="T19" s="72"/>
      <c r="U19" s="72"/>
      <c r="V19" s="72">
        <v>0</v>
      </c>
      <c r="W19" s="72"/>
      <c r="X19" s="74"/>
      <c r="Y19" s="30"/>
      <c r="Z19" s="72">
        <v>0</v>
      </c>
      <c r="AA19" s="72">
        <v>0</v>
      </c>
      <c r="AB19" s="71" t="s">
        <v>35</v>
      </c>
      <c r="AC19" s="72">
        <v>0</v>
      </c>
      <c r="AD19" s="72">
        <v>0</v>
      </c>
      <c r="AE19" s="79">
        <v>43873</v>
      </c>
      <c r="AF19" s="72"/>
      <c r="AG19" s="80" t="s">
        <v>47</v>
      </c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</row>
    <row r="20" spans="1:154" ht="15.75" customHeight="1" x14ac:dyDescent="0.2">
      <c r="A20" s="30"/>
      <c r="B20" s="81" t="s">
        <v>16</v>
      </c>
      <c r="C20" s="81" t="s">
        <v>57</v>
      </c>
      <c r="D20" s="81" t="s">
        <v>68</v>
      </c>
      <c r="E20" s="82">
        <v>24024.0134</v>
      </c>
      <c r="F20" s="82"/>
      <c r="G20" s="82"/>
      <c r="H20" s="81" t="s">
        <v>62</v>
      </c>
      <c r="I20" s="82"/>
      <c r="J20" s="82">
        <v>0</v>
      </c>
      <c r="K20" s="81" t="s">
        <v>18</v>
      </c>
      <c r="L20" s="81" t="s">
        <v>76</v>
      </c>
      <c r="M20" s="30"/>
      <c r="N20" s="81" t="s">
        <v>20</v>
      </c>
      <c r="O20" s="82">
        <v>1</v>
      </c>
      <c r="P20" s="56"/>
      <c r="Q20" s="30"/>
      <c r="R20" s="82"/>
      <c r="S20" s="82"/>
      <c r="T20" s="82"/>
      <c r="U20" s="82"/>
      <c r="V20" s="82">
        <v>80</v>
      </c>
      <c r="W20" s="82"/>
      <c r="X20" s="85"/>
      <c r="Y20" s="30"/>
      <c r="Z20" s="82">
        <v>0</v>
      </c>
      <c r="AA20" s="82">
        <v>0</v>
      </c>
      <c r="AB20" s="81" t="s">
        <v>24</v>
      </c>
      <c r="AC20" s="82">
        <v>0</v>
      </c>
      <c r="AD20" s="82">
        <v>0</v>
      </c>
      <c r="AE20" s="84">
        <v>43873</v>
      </c>
      <c r="AF20" s="82"/>
      <c r="AG20" s="85" t="s">
        <v>57</v>
      </c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</row>
    <row r="21" spans="1:154" ht="15.75" customHeight="1" x14ac:dyDescent="0.2">
      <c r="A21" s="30"/>
      <c r="B21" s="71" t="s">
        <v>16</v>
      </c>
      <c r="C21" s="71" t="s">
        <v>57</v>
      </c>
      <c r="D21" s="71" t="s">
        <v>68</v>
      </c>
      <c r="E21" s="72">
        <v>-15015.008379999999</v>
      </c>
      <c r="F21" s="72"/>
      <c r="G21" s="72"/>
      <c r="H21" s="71" t="s">
        <v>62</v>
      </c>
      <c r="I21" s="72"/>
      <c r="J21" s="72">
        <v>0</v>
      </c>
      <c r="K21" s="71" t="s">
        <v>18</v>
      </c>
      <c r="L21" s="71" t="s">
        <v>76</v>
      </c>
      <c r="M21" s="30"/>
      <c r="N21" s="71" t="s">
        <v>20</v>
      </c>
      <c r="O21" s="72">
        <v>1</v>
      </c>
      <c r="P21" s="51"/>
      <c r="Q21" s="30"/>
      <c r="R21" s="72"/>
      <c r="S21" s="72"/>
      <c r="T21" s="72"/>
      <c r="U21" s="72"/>
      <c r="V21" s="72">
        <v>80</v>
      </c>
      <c r="W21" s="72"/>
      <c r="X21" s="80"/>
      <c r="Y21" s="30"/>
      <c r="Z21" s="72">
        <v>0</v>
      </c>
      <c r="AA21" s="72">
        <v>0</v>
      </c>
      <c r="AB21" s="71" t="s">
        <v>24</v>
      </c>
      <c r="AC21" s="72">
        <v>0</v>
      </c>
      <c r="AD21" s="72">
        <v>0</v>
      </c>
      <c r="AE21" s="79">
        <v>43873</v>
      </c>
      <c r="AF21" s="72"/>
      <c r="AG21" s="80" t="s">
        <v>57</v>
      </c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</row>
    <row r="22" spans="1:154" ht="15.75" customHeight="1" x14ac:dyDescent="0.2">
      <c r="A22" s="30"/>
      <c r="B22" s="81" t="s">
        <v>16</v>
      </c>
      <c r="C22" s="81" t="s">
        <v>57</v>
      </c>
      <c r="D22" s="81" t="s">
        <v>68</v>
      </c>
      <c r="E22" s="82">
        <v>-9009.0050250000004</v>
      </c>
      <c r="F22" s="82"/>
      <c r="G22" s="82"/>
      <c r="H22" s="81" t="s">
        <v>62</v>
      </c>
      <c r="I22" s="82"/>
      <c r="J22" s="82">
        <v>0</v>
      </c>
      <c r="K22" s="81" t="s">
        <v>18</v>
      </c>
      <c r="L22" s="81" t="s">
        <v>76</v>
      </c>
      <c r="M22" s="30"/>
      <c r="N22" s="81" t="s">
        <v>20</v>
      </c>
      <c r="O22" s="82">
        <v>1</v>
      </c>
      <c r="P22" s="56"/>
      <c r="Q22" s="30"/>
      <c r="R22" s="82"/>
      <c r="S22" s="82"/>
      <c r="T22" s="82"/>
      <c r="U22" s="82"/>
      <c r="V22" s="82">
        <v>26</v>
      </c>
      <c r="W22" s="82"/>
      <c r="X22" s="85"/>
      <c r="Y22" s="30"/>
      <c r="Z22" s="82">
        <v>0</v>
      </c>
      <c r="AA22" s="82">
        <v>0</v>
      </c>
      <c r="AB22" s="81" t="s">
        <v>72</v>
      </c>
      <c r="AC22" s="82">
        <v>0</v>
      </c>
      <c r="AD22" s="82">
        <v>0</v>
      </c>
      <c r="AE22" s="84">
        <v>43873</v>
      </c>
      <c r="AF22" s="82"/>
      <c r="AG22" s="85" t="s">
        <v>57</v>
      </c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</row>
    <row r="23" spans="1:154" ht="15.75" customHeight="1" x14ac:dyDescent="0.2">
      <c r="A23" s="5"/>
      <c r="B23" s="71" t="s">
        <v>16</v>
      </c>
      <c r="C23" s="71" t="s">
        <v>63</v>
      </c>
      <c r="D23" s="86" t="s">
        <v>96</v>
      </c>
      <c r="E23" s="72">
        <v>0</v>
      </c>
      <c r="F23" s="72"/>
      <c r="G23" s="72"/>
      <c r="H23" s="71" t="s">
        <v>62</v>
      </c>
      <c r="I23" s="72"/>
      <c r="J23" s="72">
        <v>0</v>
      </c>
      <c r="K23" s="71" t="s">
        <v>18</v>
      </c>
      <c r="L23" s="71" t="s">
        <v>77</v>
      </c>
      <c r="M23" s="5"/>
      <c r="N23" s="71" t="s">
        <v>20</v>
      </c>
      <c r="O23" s="72">
        <v>1</v>
      </c>
      <c r="R23" s="72"/>
      <c r="S23" s="72"/>
      <c r="T23" s="72"/>
      <c r="U23" s="72"/>
      <c r="V23" s="72">
        <v>0</v>
      </c>
      <c r="W23" s="72"/>
      <c r="X23" s="74"/>
      <c r="Z23" s="72">
        <v>0</v>
      </c>
      <c r="AA23" s="72">
        <v>0</v>
      </c>
      <c r="AB23" s="71" t="s">
        <v>72</v>
      </c>
      <c r="AC23" s="72">
        <v>0</v>
      </c>
      <c r="AD23" s="72">
        <v>0</v>
      </c>
      <c r="AE23" s="79">
        <v>43873</v>
      </c>
      <c r="AF23" s="72"/>
      <c r="AG23" s="80" t="s">
        <v>64</v>
      </c>
    </row>
    <row r="24" spans="1:154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4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4" ht="15.75" customHeight="1" x14ac:dyDescent="0.2"/>
    <row r="27" spans="1:154" ht="15.75" customHeight="1" x14ac:dyDescent="0.2"/>
    <row r="28" spans="1:154" ht="15.75" customHeight="1" x14ac:dyDescent="0.2"/>
    <row r="29" spans="1:154" ht="15.75" customHeight="1" x14ac:dyDescent="0.2"/>
    <row r="30" spans="1:154" ht="15.75" customHeight="1" x14ac:dyDescent="0.2"/>
    <row r="31" spans="1:154" ht="15.75" customHeight="1" x14ac:dyDescent="0.2"/>
    <row r="32" spans="1:15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39</v>
      </c>
      <c r="C6" s="28">
        <v>43871</v>
      </c>
      <c r="D6" s="28">
        <v>43873</v>
      </c>
      <c r="E6" s="27" t="s">
        <v>16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78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25"/>
      <c r="B6" s="67" t="s">
        <v>16</v>
      </c>
      <c r="C6" s="67" t="s">
        <v>79</v>
      </c>
      <c r="D6" s="66">
        <v>1</v>
      </c>
      <c r="E6" s="29"/>
      <c r="F6" s="29"/>
      <c r="G6" s="29"/>
      <c r="H6" s="63">
        <v>131524.0736</v>
      </c>
      <c r="I6" s="63">
        <v>1315</v>
      </c>
      <c r="J6" s="87">
        <v>43872</v>
      </c>
      <c r="K6" s="67" t="s">
        <v>80</v>
      </c>
      <c r="L6" s="29"/>
      <c r="M6" s="63">
        <v>100</v>
      </c>
      <c r="N6" s="67" t="s">
        <v>81</v>
      </c>
      <c r="O6" s="29"/>
      <c r="P6" s="67" t="s">
        <v>36</v>
      </c>
      <c r="Q6" s="67" t="s">
        <v>82</v>
      </c>
      <c r="R6" s="67" t="s">
        <v>35</v>
      </c>
      <c r="S6" s="29"/>
      <c r="T6" s="63">
        <v>24.073599999999999</v>
      </c>
      <c r="U6" s="88">
        <v>43872</v>
      </c>
      <c r="V6" s="69" t="s">
        <v>36</v>
      </c>
      <c r="W6" s="69" t="s">
        <v>83</v>
      </c>
      <c r="X6" s="63">
        <v>1315.240736</v>
      </c>
      <c r="Y6" s="63">
        <v>1315.240736</v>
      </c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5">
      <c r="A7" s="30"/>
      <c r="B7" s="69" t="s">
        <v>16</v>
      </c>
      <c r="C7" s="69" t="s">
        <v>79</v>
      </c>
      <c r="D7" s="68">
        <v>1</v>
      </c>
      <c r="E7" s="30"/>
      <c r="F7" s="30"/>
      <c r="G7" s="30"/>
      <c r="H7" s="63">
        <v>15015.008379999999</v>
      </c>
      <c r="I7" s="63">
        <v>187.68760470000001</v>
      </c>
      <c r="J7" s="88">
        <v>43872</v>
      </c>
      <c r="K7" s="69" t="s">
        <v>84</v>
      </c>
      <c r="L7" s="30"/>
      <c r="M7" s="63">
        <v>80</v>
      </c>
      <c r="N7" s="69" t="s">
        <v>85</v>
      </c>
      <c r="O7" s="30"/>
      <c r="P7" s="69" t="s">
        <v>36</v>
      </c>
      <c r="Q7" s="69" t="s">
        <v>82</v>
      </c>
      <c r="R7" s="69" t="s">
        <v>24</v>
      </c>
      <c r="S7" s="30"/>
      <c r="T7" s="63">
        <v>0</v>
      </c>
      <c r="U7" s="88">
        <v>43873</v>
      </c>
      <c r="V7" s="69" t="s">
        <v>36</v>
      </c>
      <c r="W7" s="69" t="s">
        <v>83</v>
      </c>
      <c r="X7" s="63">
        <v>187.68760470000001</v>
      </c>
      <c r="Y7" s="63">
        <v>187.68760470000001</v>
      </c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5">
      <c r="A8" s="30"/>
      <c r="B8" s="69" t="s">
        <v>16</v>
      </c>
      <c r="C8" s="69" t="s">
        <v>79</v>
      </c>
      <c r="D8" s="68">
        <v>1</v>
      </c>
      <c r="E8" s="30"/>
      <c r="F8" s="30"/>
      <c r="G8" s="30"/>
      <c r="H8" s="63">
        <v>9009.0050250000004</v>
      </c>
      <c r="I8" s="63">
        <v>346.50019329999998</v>
      </c>
      <c r="J8" s="88">
        <v>43872</v>
      </c>
      <c r="K8" s="69" t="s">
        <v>84</v>
      </c>
      <c r="L8" s="30"/>
      <c r="M8" s="63">
        <v>26</v>
      </c>
      <c r="N8" s="69" t="s">
        <v>86</v>
      </c>
      <c r="O8" s="30"/>
      <c r="P8" s="69" t="s">
        <v>36</v>
      </c>
      <c r="Q8" s="69" t="s">
        <v>82</v>
      </c>
      <c r="R8" s="69" t="s">
        <v>72</v>
      </c>
      <c r="S8" s="30"/>
      <c r="T8" s="63">
        <v>0</v>
      </c>
      <c r="U8" s="88">
        <v>43873</v>
      </c>
      <c r="V8" s="69" t="s">
        <v>36</v>
      </c>
      <c r="W8" s="69" t="s">
        <v>83</v>
      </c>
      <c r="X8" s="63">
        <v>346.50019329999998</v>
      </c>
      <c r="Y8" s="63">
        <v>346.50019329999998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87</v>
      </c>
      <c r="D3" s="2" t="s">
        <v>9</v>
      </c>
      <c r="E3" s="17" t="s">
        <v>88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7" t="s">
        <v>39</v>
      </c>
      <c r="C6" s="28">
        <v>43871</v>
      </c>
      <c r="D6" s="28">
        <v>43873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92" t="s">
        <v>11</v>
      </c>
      <c r="C1" s="93"/>
      <c r="D1" s="93"/>
      <c r="E1" s="93"/>
      <c r="F1" s="93"/>
      <c r="G1" s="93"/>
      <c r="H1" s="9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87</v>
      </c>
      <c r="D3" s="2" t="s">
        <v>9</v>
      </c>
      <c r="E3" s="17" t="s">
        <v>89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5">
      <c r="A6" s="25"/>
      <c r="B6" s="67" t="s">
        <v>16</v>
      </c>
      <c r="C6" s="29"/>
      <c r="D6" s="26"/>
      <c r="E6" s="89">
        <v>105</v>
      </c>
      <c r="F6" s="67" t="s">
        <v>90</v>
      </c>
      <c r="G6" s="67" t="s">
        <v>79</v>
      </c>
      <c r="H6" s="89">
        <v>4</v>
      </c>
      <c r="I6" s="89">
        <v>5</v>
      </c>
      <c r="J6" s="29"/>
      <c r="K6" s="89">
        <v>300</v>
      </c>
      <c r="L6" s="89">
        <v>300</v>
      </c>
      <c r="M6" s="29"/>
      <c r="N6" s="29"/>
      <c r="O6" s="29"/>
      <c r="P6" s="29"/>
      <c r="Q6" s="29"/>
      <c r="R6" s="66">
        <v>0</v>
      </c>
      <c r="S6" s="67" t="s">
        <v>91</v>
      </c>
      <c r="T6" s="89">
        <v>2.5</v>
      </c>
      <c r="U6" s="89">
        <v>2.3809523809523999E-2</v>
      </c>
      <c r="V6" s="90" t="s">
        <v>85</v>
      </c>
      <c r="W6" s="68">
        <v>1</v>
      </c>
      <c r="X6" s="30"/>
      <c r="Y6" s="30"/>
      <c r="Z6" s="69" t="s">
        <v>18</v>
      </c>
      <c r="AA6" s="30"/>
      <c r="AB6" s="30"/>
      <c r="AC6" s="30"/>
      <c r="AD6" s="30"/>
      <c r="AE6" s="89">
        <v>105</v>
      </c>
      <c r="AF6" s="30"/>
      <c r="AG6" s="30"/>
      <c r="AH6" s="69" t="s">
        <v>20</v>
      </c>
      <c r="AI6" s="68">
        <v>1</v>
      </c>
      <c r="AJ6" s="69"/>
      <c r="AK6" s="30"/>
      <c r="AL6" s="30"/>
      <c r="AM6" s="30"/>
      <c r="AN6" s="30"/>
      <c r="AO6" s="30"/>
      <c r="AP6" s="30"/>
      <c r="AQ6" s="30"/>
      <c r="AR6" s="30"/>
      <c r="AS6" s="30"/>
      <c r="AT6" s="91">
        <v>31475.982400000001</v>
      </c>
      <c r="AU6" s="91">
        <v>31475.982400000001</v>
      </c>
      <c r="AV6" s="30"/>
      <c r="AW6" s="30"/>
      <c r="AX6" s="30"/>
      <c r="AY6" s="30"/>
      <c r="AZ6" s="30"/>
      <c r="BA6" s="30"/>
      <c r="BB6" s="30"/>
      <c r="BC6" s="30"/>
      <c r="BD6" s="30"/>
      <c r="BE6" s="91">
        <v>31500</v>
      </c>
      <c r="BF6" s="91">
        <v>31500</v>
      </c>
      <c r="BG6" s="30"/>
      <c r="BH6" s="30"/>
      <c r="BI6" s="30"/>
      <c r="BJ6" s="89">
        <v>105</v>
      </c>
      <c r="BK6" s="30"/>
      <c r="BL6" s="30"/>
      <c r="BM6" s="30"/>
      <c r="BN6" s="30"/>
      <c r="BO6" s="90" t="s">
        <v>25</v>
      </c>
      <c r="BP6" s="89">
        <v>7.5</v>
      </c>
      <c r="BQ6" s="89">
        <v>7.1428571428570994E-2</v>
      </c>
      <c r="BR6" s="89">
        <v>1.7600000000000001E-2</v>
      </c>
      <c r="BS6" s="69"/>
      <c r="BT6" s="90" t="s">
        <v>24</v>
      </c>
      <c r="BU6" s="89">
        <v>3</v>
      </c>
      <c r="BV6" s="89">
        <v>10</v>
      </c>
      <c r="BW6" s="89">
        <v>24.017600000000002</v>
      </c>
      <c r="BX6" s="89">
        <v>9.5238095238094997E-2</v>
      </c>
      <c r="BY6" s="30"/>
      <c r="BZ6" s="30"/>
      <c r="CA6" s="30"/>
      <c r="CB6" s="30"/>
      <c r="CC6" s="30"/>
      <c r="CD6" s="30"/>
      <c r="CE6" s="30"/>
      <c r="CF6" s="30"/>
      <c r="CG6" s="89">
        <v>2</v>
      </c>
      <c r="CH6" s="90" t="s">
        <v>22</v>
      </c>
      <c r="CI6" s="90" t="s">
        <v>92</v>
      </c>
      <c r="CJ6" s="68"/>
      <c r="CK6" s="30"/>
      <c r="CL6" s="30"/>
      <c r="CM6" s="90" t="s">
        <v>24</v>
      </c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5">
      <c r="A7" s="30"/>
      <c r="B7" s="69" t="s">
        <v>16</v>
      </c>
      <c r="C7" s="30"/>
      <c r="D7" s="30"/>
      <c r="E7" s="89">
        <v>105</v>
      </c>
      <c r="F7" s="69" t="s">
        <v>90</v>
      </c>
      <c r="G7" s="69" t="s">
        <v>79</v>
      </c>
      <c r="H7" s="89">
        <v>4</v>
      </c>
      <c r="I7" s="89">
        <v>5</v>
      </c>
      <c r="J7" s="30"/>
      <c r="K7" s="89">
        <v>300</v>
      </c>
      <c r="L7" s="89">
        <v>300</v>
      </c>
      <c r="M7" s="30"/>
      <c r="N7" s="30"/>
      <c r="O7" s="30"/>
      <c r="P7" s="30"/>
      <c r="Q7" s="30"/>
      <c r="R7" s="68">
        <v>0</v>
      </c>
      <c r="S7" s="69" t="s">
        <v>91</v>
      </c>
      <c r="T7" s="89">
        <v>0</v>
      </c>
      <c r="U7" s="89">
        <v>0</v>
      </c>
      <c r="V7" s="90" t="s">
        <v>85</v>
      </c>
      <c r="W7" s="68">
        <v>1</v>
      </c>
      <c r="X7" s="30"/>
      <c r="Y7" s="30"/>
      <c r="Z7" s="69" t="s">
        <v>18</v>
      </c>
      <c r="AA7" s="30"/>
      <c r="AB7" s="30"/>
      <c r="AC7" s="30"/>
      <c r="AD7" s="30"/>
      <c r="AE7" s="89">
        <v>105</v>
      </c>
      <c r="AF7" s="30"/>
      <c r="AG7" s="30"/>
      <c r="AH7" s="69" t="s">
        <v>20</v>
      </c>
      <c r="AI7" s="68">
        <v>1</v>
      </c>
      <c r="AJ7" s="69"/>
      <c r="AK7" s="30"/>
      <c r="AL7" s="30"/>
      <c r="AM7" s="30"/>
      <c r="AN7" s="30"/>
      <c r="AO7" s="30"/>
      <c r="AP7" s="30"/>
      <c r="AQ7" s="30"/>
      <c r="AR7" s="30"/>
      <c r="AS7" s="30"/>
      <c r="AT7" s="91">
        <v>31514.017599999999</v>
      </c>
      <c r="AU7" s="91">
        <v>31514.017599999999</v>
      </c>
      <c r="AV7" s="30"/>
      <c r="AW7" s="30"/>
      <c r="AX7" s="30"/>
      <c r="AY7" s="30"/>
      <c r="AZ7" s="30"/>
      <c r="BA7" s="30"/>
      <c r="BB7" s="30"/>
      <c r="BC7" s="30"/>
      <c r="BD7" s="30"/>
      <c r="BE7" s="91">
        <v>31500</v>
      </c>
      <c r="BF7" s="91">
        <v>31500</v>
      </c>
      <c r="BG7" s="30"/>
      <c r="BH7" s="30"/>
      <c r="BI7" s="30"/>
      <c r="BJ7" s="89">
        <v>105</v>
      </c>
      <c r="BK7" s="30"/>
      <c r="BL7" s="30"/>
      <c r="BM7" s="30"/>
      <c r="BN7" s="30"/>
      <c r="BO7" s="90" t="s">
        <v>34</v>
      </c>
      <c r="BP7" s="89">
        <v>0</v>
      </c>
      <c r="BQ7" s="89">
        <v>0</v>
      </c>
      <c r="BR7" s="89">
        <v>1.7600000000000001E-2</v>
      </c>
      <c r="BS7" s="69"/>
      <c r="BT7" s="90" t="s">
        <v>24</v>
      </c>
      <c r="BU7" s="89">
        <v>3</v>
      </c>
      <c r="BV7" s="89">
        <v>0</v>
      </c>
      <c r="BW7" s="89">
        <v>14.0176</v>
      </c>
      <c r="BX7" s="89">
        <v>0</v>
      </c>
      <c r="BY7" s="30"/>
      <c r="BZ7" s="30"/>
      <c r="CA7" s="30"/>
      <c r="CB7" s="30"/>
      <c r="CC7" s="30"/>
      <c r="CD7" s="30"/>
      <c r="CE7" s="30"/>
      <c r="CF7" s="30"/>
      <c r="CG7" s="89">
        <v>2</v>
      </c>
      <c r="CH7" s="90" t="s">
        <v>22</v>
      </c>
      <c r="CI7" s="90" t="s">
        <v>93</v>
      </c>
      <c r="CJ7" s="68"/>
      <c r="CK7" s="30"/>
      <c r="CL7" s="30"/>
      <c r="CM7" s="90" t="s">
        <v>24</v>
      </c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5">
      <c r="A8" s="30"/>
      <c r="B8" s="69" t="s">
        <v>16</v>
      </c>
      <c r="C8" s="30"/>
      <c r="D8" s="30"/>
      <c r="E8" s="89">
        <v>100</v>
      </c>
      <c r="F8" s="69" t="s">
        <v>90</v>
      </c>
      <c r="G8" s="69" t="s">
        <v>79</v>
      </c>
      <c r="H8" s="89">
        <v>4</v>
      </c>
      <c r="I8" s="89">
        <v>5</v>
      </c>
      <c r="J8" s="30"/>
      <c r="K8" s="91">
        <v>1315</v>
      </c>
      <c r="L8" s="91">
        <v>1315</v>
      </c>
      <c r="M8" s="30"/>
      <c r="N8" s="30"/>
      <c r="O8" s="30"/>
      <c r="P8" s="30"/>
      <c r="Q8" s="30"/>
      <c r="R8" s="68">
        <v>0</v>
      </c>
      <c r="S8" s="69" t="s">
        <v>94</v>
      </c>
      <c r="T8" s="89">
        <v>5</v>
      </c>
      <c r="U8" s="89">
        <v>0.05</v>
      </c>
      <c r="V8" s="90" t="s">
        <v>81</v>
      </c>
      <c r="W8" s="68">
        <v>1</v>
      </c>
      <c r="X8" s="30"/>
      <c r="Y8" s="30"/>
      <c r="Z8" s="69" t="s">
        <v>18</v>
      </c>
      <c r="AA8" s="30"/>
      <c r="AB8" s="30"/>
      <c r="AC8" s="30"/>
      <c r="AD8" s="30"/>
      <c r="AE8" s="89">
        <v>100</v>
      </c>
      <c r="AF8" s="30"/>
      <c r="AG8" s="30"/>
      <c r="AH8" s="69" t="s">
        <v>20</v>
      </c>
      <c r="AI8" s="68">
        <v>1</v>
      </c>
      <c r="AJ8" s="69"/>
      <c r="AK8" s="30"/>
      <c r="AL8" s="30"/>
      <c r="AM8" s="30"/>
      <c r="AN8" s="30"/>
      <c r="AO8" s="30"/>
      <c r="AP8" s="30"/>
      <c r="AQ8" s="30"/>
      <c r="AR8" s="30"/>
      <c r="AS8" s="30"/>
      <c r="AT8" s="91">
        <v>131524.0736</v>
      </c>
      <c r="AU8" s="91">
        <v>131524.0736</v>
      </c>
      <c r="AV8" s="30"/>
      <c r="AW8" s="30"/>
      <c r="AX8" s="30"/>
      <c r="AY8" s="30"/>
      <c r="AZ8" s="30"/>
      <c r="BA8" s="30"/>
      <c r="BB8" s="30"/>
      <c r="BC8" s="30"/>
      <c r="BD8" s="30"/>
      <c r="BE8" s="91">
        <v>131500</v>
      </c>
      <c r="BF8" s="91">
        <v>131500</v>
      </c>
      <c r="BG8" s="30"/>
      <c r="BH8" s="30"/>
      <c r="BI8" s="30"/>
      <c r="BJ8" s="89">
        <v>100</v>
      </c>
      <c r="BK8" s="30"/>
      <c r="BL8" s="30"/>
      <c r="BM8" s="30"/>
      <c r="BN8" s="30"/>
      <c r="BO8" s="90" t="s">
        <v>36</v>
      </c>
      <c r="BP8" s="89">
        <v>5</v>
      </c>
      <c r="BQ8" s="89">
        <v>0.05</v>
      </c>
      <c r="BR8" s="89">
        <v>7.3599999999999999E-2</v>
      </c>
      <c r="BS8" s="69"/>
      <c r="BT8" s="90" t="s">
        <v>35</v>
      </c>
      <c r="BU8" s="89">
        <v>3</v>
      </c>
      <c r="BV8" s="89">
        <v>10</v>
      </c>
      <c r="BW8" s="89">
        <v>24.073599999999999</v>
      </c>
      <c r="BX8" s="89">
        <v>0.1</v>
      </c>
      <c r="BY8" s="30"/>
      <c r="BZ8" s="30"/>
      <c r="CA8" s="30"/>
      <c r="CB8" s="30"/>
      <c r="CC8" s="30"/>
      <c r="CD8" s="30"/>
      <c r="CE8" s="30"/>
      <c r="CF8" s="30"/>
      <c r="CG8" s="89">
        <v>2</v>
      </c>
      <c r="CH8" s="90" t="s">
        <v>22</v>
      </c>
      <c r="CI8" s="90" t="s">
        <v>36</v>
      </c>
      <c r="CJ8" s="68"/>
      <c r="CK8" s="30"/>
      <c r="CL8" s="30"/>
      <c r="CM8" s="90" t="s">
        <v>35</v>
      </c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 x14ac:dyDescent="0.25">
      <c r="A9" s="30"/>
      <c r="B9" s="69" t="s">
        <v>16</v>
      </c>
      <c r="C9" s="30"/>
      <c r="D9" s="30"/>
      <c r="E9" s="89">
        <v>80</v>
      </c>
      <c r="F9" s="69" t="s">
        <v>90</v>
      </c>
      <c r="G9" s="69" t="s">
        <v>79</v>
      </c>
      <c r="H9" s="89">
        <v>4</v>
      </c>
      <c r="I9" s="89">
        <v>5</v>
      </c>
      <c r="J9" s="30"/>
      <c r="K9" s="91">
        <v>300</v>
      </c>
      <c r="L9" s="91">
        <v>300</v>
      </c>
      <c r="M9" s="30"/>
      <c r="N9" s="30"/>
      <c r="O9" s="30"/>
      <c r="P9" s="30"/>
      <c r="Q9" s="30"/>
      <c r="R9" s="68">
        <v>0</v>
      </c>
      <c r="S9" s="69" t="s">
        <v>94</v>
      </c>
      <c r="T9" s="89">
        <v>2.5</v>
      </c>
      <c r="U9" s="89">
        <v>3.125E-2</v>
      </c>
      <c r="V9" s="90" t="s">
        <v>85</v>
      </c>
      <c r="W9" s="68">
        <v>1</v>
      </c>
      <c r="X9" s="30"/>
      <c r="Y9" s="30"/>
      <c r="Z9" s="69" t="s">
        <v>18</v>
      </c>
      <c r="AA9" s="30"/>
      <c r="AB9" s="30"/>
      <c r="AC9" s="30"/>
      <c r="AD9" s="30"/>
      <c r="AE9" s="89">
        <v>80</v>
      </c>
      <c r="AF9" s="30"/>
      <c r="AG9" s="30"/>
      <c r="AH9" s="69" t="s">
        <v>20</v>
      </c>
      <c r="AI9" s="68">
        <v>1</v>
      </c>
      <c r="AJ9" s="69"/>
      <c r="AK9" s="30"/>
      <c r="AL9" s="30"/>
      <c r="AM9" s="30"/>
      <c r="AN9" s="30"/>
      <c r="AO9" s="30"/>
      <c r="AP9" s="30"/>
      <c r="AQ9" s="30"/>
      <c r="AR9" s="30"/>
      <c r="AS9" s="30"/>
      <c r="AT9" s="91">
        <v>24024.0134</v>
      </c>
      <c r="AU9" s="91">
        <v>24024.0134</v>
      </c>
      <c r="AV9" s="30"/>
      <c r="AW9" s="30"/>
      <c r="AX9" s="30"/>
      <c r="AY9" s="30"/>
      <c r="AZ9" s="30"/>
      <c r="BA9" s="30"/>
      <c r="BB9" s="30"/>
      <c r="BC9" s="30"/>
      <c r="BD9" s="30"/>
      <c r="BE9" s="91">
        <v>24000</v>
      </c>
      <c r="BF9" s="91">
        <v>24000</v>
      </c>
      <c r="BG9" s="30"/>
      <c r="BH9" s="30"/>
      <c r="BI9" s="30"/>
      <c r="BJ9" s="89">
        <v>80</v>
      </c>
      <c r="BK9" s="30"/>
      <c r="BL9" s="30"/>
      <c r="BM9" s="30"/>
      <c r="BN9" s="30"/>
      <c r="BO9" s="90" t="s">
        <v>36</v>
      </c>
      <c r="BP9" s="89">
        <v>7.5</v>
      </c>
      <c r="BQ9" s="89">
        <v>9.375E-2</v>
      </c>
      <c r="BR9" s="89">
        <v>1.34E-2</v>
      </c>
      <c r="BS9" s="69"/>
      <c r="BT9" s="90" t="s">
        <v>24</v>
      </c>
      <c r="BU9" s="89">
        <v>3</v>
      </c>
      <c r="BV9" s="89">
        <v>10</v>
      </c>
      <c r="BW9" s="89">
        <v>24.013400000000001</v>
      </c>
      <c r="BX9" s="89">
        <v>0.125</v>
      </c>
      <c r="BY9" s="30"/>
      <c r="BZ9" s="30"/>
      <c r="CA9" s="30"/>
      <c r="CB9" s="30"/>
      <c r="CC9" s="30"/>
      <c r="CD9" s="30"/>
      <c r="CE9" s="30"/>
      <c r="CF9" s="30"/>
      <c r="CG9" s="89">
        <v>2</v>
      </c>
      <c r="CH9" s="90" t="s">
        <v>22</v>
      </c>
      <c r="CI9" s="90" t="s">
        <v>36</v>
      </c>
      <c r="CJ9" s="68"/>
      <c r="CK9" s="30"/>
      <c r="CL9" s="30"/>
      <c r="CM9" s="90" t="s">
        <v>24</v>
      </c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 x14ac:dyDescent="0.25">
      <c r="A10" s="30"/>
      <c r="B10" s="69" t="s">
        <v>16</v>
      </c>
      <c r="C10" s="30"/>
      <c r="D10" s="30"/>
      <c r="E10" s="89">
        <v>80</v>
      </c>
      <c r="F10" s="69" t="s">
        <v>90</v>
      </c>
      <c r="G10" s="69" t="s">
        <v>79</v>
      </c>
      <c r="H10" s="89">
        <v>0</v>
      </c>
      <c r="I10" s="89">
        <v>0</v>
      </c>
      <c r="J10" s="30"/>
      <c r="K10" s="89">
        <v>300.30016749999999</v>
      </c>
      <c r="L10" s="89">
        <v>300.30016749999999</v>
      </c>
      <c r="M10" s="30"/>
      <c r="N10" s="30"/>
      <c r="O10" s="30"/>
      <c r="P10" s="30"/>
      <c r="Q10" s="30"/>
      <c r="R10" s="68">
        <v>0</v>
      </c>
      <c r="S10" s="69" t="s">
        <v>94</v>
      </c>
      <c r="T10" s="89">
        <v>0</v>
      </c>
      <c r="U10" s="89">
        <v>0</v>
      </c>
      <c r="V10" s="90" t="s">
        <v>85</v>
      </c>
      <c r="W10" s="68">
        <v>1</v>
      </c>
      <c r="X10" s="30"/>
      <c r="Y10" s="30"/>
      <c r="Z10" s="69" t="s">
        <v>18</v>
      </c>
      <c r="AA10" s="30"/>
      <c r="AB10" s="30"/>
      <c r="AC10" s="30"/>
      <c r="AD10" s="30"/>
      <c r="AE10" s="89">
        <v>80</v>
      </c>
      <c r="AF10" s="30"/>
      <c r="AG10" s="30"/>
      <c r="AH10" s="69" t="s">
        <v>20</v>
      </c>
      <c r="AI10" s="68">
        <v>1</v>
      </c>
      <c r="AJ10" s="69"/>
      <c r="AK10" s="30"/>
      <c r="AL10" s="30"/>
      <c r="AM10" s="30"/>
      <c r="AN10" s="30"/>
      <c r="AO10" s="30"/>
      <c r="AP10" s="30"/>
      <c r="AQ10" s="30"/>
      <c r="AR10" s="30"/>
      <c r="AS10" s="30"/>
      <c r="AT10" s="91">
        <v>24024.0134</v>
      </c>
      <c r="AU10" s="91">
        <v>24024.0134</v>
      </c>
      <c r="AV10" s="30"/>
      <c r="AW10" s="30"/>
      <c r="AX10" s="30"/>
      <c r="AY10" s="30"/>
      <c r="AZ10" s="30"/>
      <c r="BA10" s="30"/>
      <c r="BB10" s="30"/>
      <c r="BC10" s="30"/>
      <c r="BD10" s="30"/>
      <c r="BE10" s="91">
        <v>24024.0134</v>
      </c>
      <c r="BF10" s="91">
        <v>24024.0134</v>
      </c>
      <c r="BG10" s="30"/>
      <c r="BH10" s="30"/>
      <c r="BI10" s="30"/>
      <c r="BJ10" s="89">
        <v>80</v>
      </c>
      <c r="BK10" s="30"/>
      <c r="BL10" s="30"/>
      <c r="BM10" s="30"/>
      <c r="BN10" s="30"/>
      <c r="BO10" s="90" t="s">
        <v>75</v>
      </c>
      <c r="BP10" s="89">
        <v>0</v>
      </c>
      <c r="BQ10" s="89">
        <v>0</v>
      </c>
      <c r="BR10" s="89">
        <v>0</v>
      </c>
      <c r="BS10" s="69"/>
      <c r="BT10" s="90" t="s">
        <v>24</v>
      </c>
      <c r="BU10" s="89">
        <v>0</v>
      </c>
      <c r="BV10" s="89">
        <v>0</v>
      </c>
      <c r="BW10" s="89">
        <v>0</v>
      </c>
      <c r="BX10" s="89">
        <v>0</v>
      </c>
      <c r="BY10" s="30"/>
      <c r="BZ10" s="30"/>
      <c r="CA10" s="30"/>
      <c r="CB10" s="30"/>
      <c r="CC10" s="30"/>
      <c r="CD10" s="30"/>
      <c r="CE10" s="30"/>
      <c r="CF10" s="30"/>
      <c r="CG10" s="89">
        <v>0</v>
      </c>
      <c r="CH10" s="90" t="s">
        <v>95</v>
      </c>
      <c r="CI10" s="90" t="s">
        <v>75</v>
      </c>
      <c r="CJ10" s="68"/>
      <c r="CK10" s="30"/>
      <c r="CL10" s="30"/>
      <c r="CM10" s="90" t="s">
        <v>24</v>
      </c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 x14ac:dyDescent="0.25">
      <c r="A11" s="30"/>
      <c r="B11" s="69" t="s">
        <v>16</v>
      </c>
      <c r="C11" s="30"/>
      <c r="D11" s="30"/>
      <c r="E11" s="89">
        <v>80</v>
      </c>
      <c r="F11" s="69" t="s">
        <v>90</v>
      </c>
      <c r="G11" s="69" t="s">
        <v>79</v>
      </c>
      <c r="H11" s="89">
        <v>0</v>
      </c>
      <c r="I11" s="89">
        <v>0</v>
      </c>
      <c r="J11" s="30"/>
      <c r="K11" s="89">
        <v>187.6876046875</v>
      </c>
      <c r="L11" s="89">
        <v>187.6876046875</v>
      </c>
      <c r="M11" s="30"/>
      <c r="N11" s="30"/>
      <c r="O11" s="30"/>
      <c r="P11" s="30"/>
      <c r="Q11" s="30"/>
      <c r="R11" s="68">
        <v>0</v>
      </c>
      <c r="S11" s="69" t="s">
        <v>94</v>
      </c>
      <c r="T11" s="89">
        <v>0</v>
      </c>
      <c r="U11" s="89">
        <v>0</v>
      </c>
      <c r="V11" s="90" t="s">
        <v>85</v>
      </c>
      <c r="W11" s="68">
        <v>1</v>
      </c>
      <c r="X11" s="30"/>
      <c r="Y11" s="30"/>
      <c r="Z11" s="69" t="s">
        <v>18</v>
      </c>
      <c r="AA11" s="30"/>
      <c r="AB11" s="30"/>
      <c r="AC11" s="30"/>
      <c r="AD11" s="30"/>
      <c r="AE11" s="89">
        <v>80</v>
      </c>
      <c r="AF11" s="30"/>
      <c r="AG11" s="30"/>
      <c r="AH11" s="69" t="s">
        <v>20</v>
      </c>
      <c r="AI11" s="68">
        <v>1</v>
      </c>
      <c r="AJ11" s="69"/>
      <c r="AK11" s="30"/>
      <c r="AL11" s="30"/>
      <c r="AM11" s="30"/>
      <c r="AN11" s="30"/>
      <c r="AO11" s="30"/>
      <c r="AP11" s="30"/>
      <c r="AQ11" s="30"/>
      <c r="AR11" s="30"/>
      <c r="AS11" s="30"/>
      <c r="AT11" s="91">
        <v>15015.008374999999</v>
      </c>
      <c r="AU11" s="91">
        <v>15015.008374999999</v>
      </c>
      <c r="AV11" s="30"/>
      <c r="AW11" s="30"/>
      <c r="AX11" s="30"/>
      <c r="AY11" s="30"/>
      <c r="AZ11" s="30"/>
      <c r="BA11" s="30"/>
      <c r="BB11" s="30"/>
      <c r="BC11" s="30"/>
      <c r="BD11" s="30"/>
      <c r="BE11" s="91">
        <v>15015.008374999999</v>
      </c>
      <c r="BF11" s="91">
        <v>15015.008374999999</v>
      </c>
      <c r="BG11" s="30"/>
      <c r="BH11" s="30"/>
      <c r="BI11" s="30"/>
      <c r="BJ11" s="89">
        <v>80</v>
      </c>
      <c r="BK11" s="30"/>
      <c r="BL11" s="30"/>
      <c r="BM11" s="30"/>
      <c r="BN11" s="30"/>
      <c r="BO11" s="90" t="s">
        <v>36</v>
      </c>
      <c r="BP11" s="89">
        <v>0</v>
      </c>
      <c r="BQ11" s="89">
        <v>0</v>
      </c>
      <c r="BR11" s="89">
        <v>0</v>
      </c>
      <c r="BS11" s="69"/>
      <c r="BT11" s="90" t="s">
        <v>24</v>
      </c>
      <c r="BU11" s="89">
        <v>0</v>
      </c>
      <c r="BV11" s="89">
        <v>0</v>
      </c>
      <c r="BW11" s="89">
        <v>0</v>
      </c>
      <c r="BX11" s="89">
        <v>0</v>
      </c>
      <c r="BY11" s="30"/>
      <c r="BZ11" s="30"/>
      <c r="CA11" s="30"/>
      <c r="CB11" s="30"/>
      <c r="CC11" s="30"/>
      <c r="CD11" s="30"/>
      <c r="CE11" s="30"/>
      <c r="CF11" s="30"/>
      <c r="CG11" s="89">
        <v>0</v>
      </c>
      <c r="CH11" s="90" t="s">
        <v>95</v>
      </c>
      <c r="CI11" s="90" t="s">
        <v>36</v>
      </c>
      <c r="CJ11" s="68"/>
      <c r="CK11" s="30"/>
      <c r="CL11" s="30"/>
      <c r="CM11" s="90" t="s">
        <v>24</v>
      </c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 x14ac:dyDescent="0.25">
      <c r="A12" s="30"/>
      <c r="B12" s="69" t="s">
        <v>16</v>
      </c>
      <c r="C12" s="30"/>
      <c r="D12" s="30"/>
      <c r="E12" s="89">
        <v>26</v>
      </c>
      <c r="F12" s="69" t="s">
        <v>90</v>
      </c>
      <c r="G12" s="69" t="s">
        <v>79</v>
      </c>
      <c r="H12" s="89">
        <v>0</v>
      </c>
      <c r="I12" s="89">
        <v>0</v>
      </c>
      <c r="J12" s="30"/>
      <c r="K12" s="89">
        <v>346.50019326923098</v>
      </c>
      <c r="L12" s="89">
        <v>346.50019326923098</v>
      </c>
      <c r="M12" s="30"/>
      <c r="N12" s="30"/>
      <c r="O12" s="30"/>
      <c r="P12" s="30"/>
      <c r="Q12" s="30"/>
      <c r="R12" s="68">
        <v>0</v>
      </c>
      <c r="S12" s="69" t="s">
        <v>94</v>
      </c>
      <c r="T12" s="89">
        <v>0</v>
      </c>
      <c r="U12" s="89">
        <v>0</v>
      </c>
      <c r="V12" s="90" t="s">
        <v>86</v>
      </c>
      <c r="W12" s="68">
        <v>1</v>
      </c>
      <c r="X12" s="30"/>
      <c r="Y12" s="30"/>
      <c r="Z12" s="69" t="s">
        <v>18</v>
      </c>
      <c r="AA12" s="30"/>
      <c r="AB12" s="30"/>
      <c r="AC12" s="30"/>
      <c r="AD12" s="30"/>
      <c r="AE12" s="89">
        <v>26</v>
      </c>
      <c r="AF12" s="30"/>
      <c r="AG12" s="30"/>
      <c r="AH12" s="69" t="s">
        <v>20</v>
      </c>
      <c r="AI12" s="68">
        <v>1</v>
      </c>
      <c r="AJ12" s="69"/>
      <c r="AK12" s="30"/>
      <c r="AL12" s="30"/>
      <c r="AM12" s="30"/>
      <c r="AN12" s="30"/>
      <c r="AO12" s="30"/>
      <c r="AP12" s="30"/>
      <c r="AQ12" s="30"/>
      <c r="AR12" s="30"/>
      <c r="AS12" s="30"/>
      <c r="AT12" s="91">
        <v>9009.0050250000004</v>
      </c>
      <c r="AU12" s="91">
        <v>9009.0050250000004</v>
      </c>
      <c r="AV12" s="30"/>
      <c r="AW12" s="30"/>
      <c r="AX12" s="30"/>
      <c r="AY12" s="30"/>
      <c r="AZ12" s="30"/>
      <c r="BA12" s="30"/>
      <c r="BB12" s="30"/>
      <c r="BC12" s="30"/>
      <c r="BD12" s="30"/>
      <c r="BE12" s="91">
        <v>9009.0050250000004</v>
      </c>
      <c r="BF12" s="91">
        <v>9009.0050250000004</v>
      </c>
      <c r="BG12" s="30"/>
      <c r="BH12" s="30"/>
      <c r="BI12" s="30"/>
      <c r="BJ12" s="89">
        <v>26</v>
      </c>
      <c r="BK12" s="30"/>
      <c r="BL12" s="30"/>
      <c r="BM12" s="30"/>
      <c r="BN12" s="30"/>
      <c r="BO12" s="90" t="s">
        <v>36</v>
      </c>
      <c r="BP12" s="89">
        <v>0</v>
      </c>
      <c r="BQ12" s="89">
        <v>0</v>
      </c>
      <c r="BR12" s="89">
        <v>0</v>
      </c>
      <c r="BS12" s="69"/>
      <c r="BT12" s="90" t="s">
        <v>72</v>
      </c>
      <c r="BU12" s="89">
        <v>0</v>
      </c>
      <c r="BV12" s="89">
        <v>0</v>
      </c>
      <c r="BW12" s="89">
        <v>0</v>
      </c>
      <c r="BX12" s="89">
        <v>0</v>
      </c>
      <c r="BY12" s="30"/>
      <c r="BZ12" s="30"/>
      <c r="CA12" s="30"/>
      <c r="CB12" s="30"/>
      <c r="CC12" s="30"/>
      <c r="CD12" s="30"/>
      <c r="CE12" s="30"/>
      <c r="CF12" s="30"/>
      <c r="CG12" s="89">
        <v>0</v>
      </c>
      <c r="CH12" s="90" t="s">
        <v>95</v>
      </c>
      <c r="CI12" s="90" t="s">
        <v>36</v>
      </c>
      <c r="CJ12" s="68"/>
      <c r="CK12" s="30"/>
      <c r="CL12" s="30"/>
      <c r="CM12" s="90" t="s">
        <v>72</v>
      </c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_Modules</vt:lpstr>
      <vt:lpstr>_Settings</vt:lpstr>
      <vt:lpstr>_MasterData</vt:lpstr>
      <vt:lpstr>GetNonTradingTransaction</vt:lpstr>
      <vt:lpstr>AddNonTradingTransaction</vt:lpstr>
      <vt:lpstr>CreateDoneAwayOrder</vt:lpstr>
      <vt:lpstr>GetMarkPriceData</vt:lpstr>
      <vt:lpstr>UpdateMarkPrice</vt:lpstr>
      <vt:lpstr>GetDayEndCash</vt:lpstr>
      <vt:lpstr>GetAccountBalance</vt:lpstr>
      <vt:lpstr>GetRevaluationData</vt:lpstr>
      <vt:lpstr>CreateDoneAwayOrder1</vt:lpstr>
      <vt:lpstr>GetDataClosing1</vt:lpstr>
      <vt:lpstr>AutomaticClosing1</vt:lpstr>
      <vt:lpstr>GetMarkPriceData2</vt:lpstr>
      <vt:lpstr>UpdateMarkPrice2</vt:lpstr>
      <vt:lpstr>GetDayEndCash2</vt:lpstr>
      <vt:lpstr>GetAccountBalance2</vt:lpstr>
      <vt:lpstr>GetRevaluationData2</vt:lpstr>
      <vt:lpstr>VerifyRevaluationData1</vt:lpstr>
      <vt:lpstr>VerifyTradingTransaction1</vt:lpstr>
      <vt:lpstr>GetActivityData1</vt:lpstr>
      <vt:lpstr>VerifyActivity</vt:lpstr>
      <vt:lpstr>OpenSpinOff1</vt:lpstr>
      <vt:lpstr>SpinOff1</vt:lpstr>
      <vt:lpstr>VerifyAndApplyCorpAction1</vt:lpstr>
      <vt:lpstr>GetMarkPriceData4</vt:lpstr>
      <vt:lpstr>UpdateMarkPrice3</vt:lpstr>
      <vt:lpstr>GetAccountBalance3</vt:lpstr>
      <vt:lpstr>GetRevaluationData3</vt:lpstr>
      <vt:lpstr>VerifyRevaluationData2</vt:lpstr>
      <vt:lpstr>VerifyTradingTransaction2</vt:lpstr>
      <vt:lpstr>GetActivityData2</vt:lpstr>
      <vt:lpstr>VerifyActivity2</vt:lpstr>
      <vt:lpstr>GetDataClosing2</vt:lpstr>
      <vt:lpstr>VerifyLongPositionsGrid</vt:lpstr>
      <vt:lpstr>GetDataAllocation1</vt:lpstr>
      <vt:lpstr>CheckAllocatedGroups1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2020-07-20T12:42:08Z</dcterms:modified>
</cp:coreProperties>
</file>