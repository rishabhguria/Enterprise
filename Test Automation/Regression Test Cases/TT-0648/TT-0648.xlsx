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AddSymbolOnRAList" sheetId="5" r:id="rId7"/>
    <sheet state="visible" name="CreateDoneAwayOrder" sheetId="6" r:id="rId8"/>
    <sheet state="visible" name="VerifyOrder" sheetId="7" r:id="rId9"/>
    <sheet state="visible" name="VerifyOrder1" sheetId="8" r:id="rId10"/>
    <sheet state="visible" name="ImportSymbol" sheetId="9" r:id="rId11"/>
    <sheet state="visible" name="CreateDoneAwayOrder1" sheetId="10" r:id="rId12"/>
    <sheet state="visible" name="VerifyOrder2" sheetId="11" r:id="rId13"/>
    <sheet state="visible" name="RemoveSymbolFromRAList" sheetId="12" r:id="rId14"/>
    <sheet state="visible" name="ExportSymbolFromRAList" sheetId="13" r:id="rId15"/>
  </sheets>
  <definedNames/>
  <calcPr/>
</workbook>
</file>

<file path=xl/sharedStrings.xml><?xml version="1.0" encoding="utf-8"?>
<sst xmlns="http://schemas.openxmlformats.org/spreadsheetml/2006/main" count="148" uniqueCount="36">
  <si>
    <t>Modules Info</t>
  </si>
  <si>
    <t>Modules</t>
  </si>
  <si>
    <t>Settings</t>
  </si>
  <si>
    <t>Module Step Setting File</t>
  </si>
  <si>
    <t xml:space="preserve">1FZCVS2VC_twlXn-YuKs0geSTaoYC6DdDpApdjwKtVWo
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</si>
  <si>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</si>
  <si>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</si>
  <si>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</si>
  <si>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</si>
  <si>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</si>
  <si>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</si>
  <si>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</si>
  <si>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</si>
  <si>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</si>
  <si>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</si>
  <si>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</si>
  <si>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</si>
  <si>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AddSymbolOnRAList</t>
  </si>
  <si>
    <t>AAPL</t>
  </si>
  <si>
    <t>MSFT</t>
  </si>
  <si>
    <t>CreateDoneAwayOrder</t>
  </si>
  <si>
    <t>Buy</t>
  </si>
  <si>
    <t>Allocation1</t>
  </si>
  <si>
    <t>MS</t>
  </si>
  <si>
    <t>Day</t>
  </si>
  <si>
    <t>Market</t>
  </si>
  <si>
    <t>Blotter</t>
  </si>
  <si>
    <t>VerifyOrder</t>
  </si>
  <si>
    <t>NASDAQ</t>
  </si>
  <si>
    <t>Filled</t>
  </si>
  <si>
    <t>ImportSymbol</t>
  </si>
  <si>
    <t>\\192.168.2.108\DistributedAutomation_Master\Import Cases\TickerList1.xls</t>
  </si>
  <si>
    <t>SAP</t>
  </si>
  <si>
    <t>TSLA</t>
  </si>
  <si>
    <t>RemoveSymbolFromRAList</t>
  </si>
  <si>
    <t>ExportSymbolFromRAList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</si>
</sst>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444746"/>
        <bgColor rgb="FF44474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 t="str">
        <f>IFERROR(__xludf.DUMMYFUNCTION("""COMPUTED_VALUE"""),"ConfigUpdater")</f>
        <v>ConfigUpdater</v>
      </c>
      <c r="AM4" s="25" t="str">
        <f>IFERROR(__xludf.DUMMYFUNCTION("""COMPUTED_VALUE"""),"AccountPermission")</f>
        <v>AccountPermission</v>
      </c>
      <c r="AN4" s="25" t="str">
        <f>IFERROR(__xludf.DUMMYFUNCTION("""COMPUTED_VALUE"""),"RemoveBasketPermission")</f>
        <v>RemoveBasketPermission</v>
      </c>
      <c r="AO4" s="25" t="str">
        <f>IFERROR(__xludf.DUMMYFUNCTION("""COMPUTED_VALUE"""),"ChangeDate")</f>
        <v>ChangeDate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11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IFERROR(__xludf.DUMMYFUNCTION("""COMPUTED_VALUE"""),"VerifyCustomAllocationSecondUI")</f>
        <v>VerifyCustomAllocationSecondUI</v>
      </c>
      <c r="AS4" s="25" t="str">
        <f>IFERROR(__xludf.DUMMYFUNCTION("""COMPUTED_VALUE"""),"ShortLocateFromTT")</f>
        <v>ShortLocateFromTT</v>
      </c>
      <c r="AT4" s="25" t="str">
        <f>IFERROR(__xludf.DUMMYFUNCTION("""COMPUTED_VALUE"""),"VerifyShortLocateWindowOnTT")</f>
        <v>VerifyShortLocateWindowOnTT</v>
      </c>
      <c r="AU4" s="25" t="str">
        <f>IFERROR(__xludf.DUMMYFUNCTION("""COMPUTED_VALUE"""),"AlgoUIOperations")</f>
        <v>AlgoUIOperations</v>
      </c>
      <c r="AV4" s="25" t="str">
        <f>IFERROR(__xludf.DUMMYFUNCTION("""COMPUTED_VALUE"""),"UpdateShortLocateFromTT")</f>
        <v>UpdateShortLocateFromTT</v>
      </c>
      <c r="AW4" s="25" t="str">
        <f>IFERROR(__xludf.DUMMYFUNCTION("""COMPUTED_VALUE"""),"ResetTT")</f>
        <v>ResetTT</v>
      </c>
      <c r="AX4" s="25" t="str">
        <f>IFERROR(__xludf.DUMMYFUNCTION("""COMPUTED_VALUE"""),"MergeTT")</f>
        <v>MergeTT</v>
      </c>
      <c r="AY4" s="25" t="str">
        <f>IFERROR(__xludf.DUMMYFUNCTION("""COMPUTED_VALUE"""),"ResizeEnsureTT")</f>
        <v>ResizeEnsureTT</v>
      </c>
      <c r="AZ4" s="25" t="str">
        <f>IFERROR(__xludf.DUMMYFUNCTION("""COMPUTED_VALUE"""),"VerifyExecutionType")</f>
        <v>VerifyExecutionType</v>
      </c>
      <c r="BA4" s="25" t="str">
        <f>IFERROR(__xludf.DUMMYFUNCTION("""COMPUTED_VALUE"""),"VerifyPopupAlignment")</f>
        <v>VerifyPopupAlignment</v>
      </c>
      <c r="BB4" s="25" t="str">
        <f>IFERROR(__xludf.DUMMYFUNCTION("""COMPUTED_VALUE"""),"SelectET")</f>
        <v>SelectET</v>
      </c>
      <c r="BC4" s="25" t="str">
        <f>IFERROR(__xludf.DUMMYFUNCTION("""COMPUTED_VALUE"""),"SymbolSuggestionVerification")</f>
        <v>SymbolSuggestionVerification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AddSymbolOnRAList!$4:$4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IFERROR(__xludf.DUMMYFUNCTION("""COMPUTED_VALUE"""),"VerifyCustomAllocationSecondUI")</f>
        <v>VerifyCustomAllocationSecondUI</v>
      </c>
      <c r="AS4" s="25" t="str">
        <f>IFERROR(__xludf.DUMMYFUNCTION("""COMPUTED_VALUE"""),"ShortLocateFromTT")</f>
        <v>ShortLocateFromTT</v>
      </c>
      <c r="AT4" s="25" t="str">
        <f>IFERROR(__xludf.DUMMYFUNCTION("""COMPUTED_VALUE"""),"VerifyShortLocateWindowOnTT")</f>
        <v>VerifyShortLocateWindowOnTT</v>
      </c>
      <c r="AU4" s="25" t="str">
        <f>IFERROR(__xludf.DUMMYFUNCTION("""COMPUTED_VALUE"""),"AlgoUIOperations")</f>
        <v>AlgoUIOperations</v>
      </c>
      <c r="AV4" s="25" t="str">
        <f>IFERROR(__xludf.DUMMYFUNCTION("""COMPUTED_VALUE"""),"UpdateShortLocateFromTT")</f>
        <v>UpdateShortLocateFromTT</v>
      </c>
      <c r="AW4" s="25" t="str">
        <f>IFERROR(__xludf.DUMMYFUNCTION("""COMPUTED_VALUE"""),"ResetTT")</f>
        <v>ResetTT</v>
      </c>
      <c r="AX4" s="25" t="str">
        <f>IFERROR(__xludf.DUMMYFUNCTION("""COMPUTED_VALUE"""),"MergeTT")</f>
        <v>MergeTT</v>
      </c>
      <c r="AY4" s="25" t="str">
        <f>IFERROR(__xludf.DUMMYFUNCTION("""COMPUTED_VALUE"""),"ResizeEnsureTT")</f>
        <v>ResizeEnsureTT</v>
      </c>
      <c r="AZ4" s="25" t="str">
        <f>IFERROR(__xludf.DUMMYFUNCTION("""COMPUTED_VALUE"""),"VerifyExecutionType")</f>
        <v>VerifyExecutionType</v>
      </c>
      <c r="BA4" s="25" t="str">
        <f>IFERROR(__xludf.DUMMYFUNCTION("""COMPUTED_VALUE"""),"VerifyPopupAlignment")</f>
        <v>VerifyPopupAlignment</v>
      </c>
      <c r="BB4" s="25" t="str">
        <f>IFERROR(__xludf.DUMMYFUNCTION("""COMPUTED_VALUE"""),"SelectET")</f>
        <v>SelectET</v>
      </c>
      <c r="BC4" s="25" t="str">
        <f>IFERROR(__xludf.DUMMYFUNCTION("""COMPUTED_VALUE"""),"SymbolSuggestionVerification")</f>
        <v>SymbolSuggestionVerification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21</v>
      </c>
      <c r="D6" s="11">
        <v>100.0</v>
      </c>
      <c r="E6" s="11">
        <v>100.0</v>
      </c>
      <c r="F6" s="11" t="s">
        <v>22</v>
      </c>
      <c r="G6" s="11" t="s">
        <v>23</v>
      </c>
      <c r="H6" s="11" t="s">
        <v>24</v>
      </c>
      <c r="I6" s="11" t="s">
        <v>25</v>
      </c>
      <c r="J6" s="11">
        <v>10.0</v>
      </c>
      <c r="K6" s="8"/>
      <c r="L6" s="8"/>
      <c r="M6" s="8"/>
      <c r="N6" s="8"/>
      <c r="O6" s="8"/>
    </row>
    <row r="7" ht="15.75" customHeight="1">
      <c r="A7" s="11"/>
      <c r="B7" s="11" t="s">
        <v>19</v>
      </c>
      <c r="C7" s="11" t="s">
        <v>21</v>
      </c>
      <c r="D7" s="11">
        <v>100.0</v>
      </c>
      <c r="E7" s="11">
        <v>100.0</v>
      </c>
      <c r="F7" s="11" t="s">
        <v>22</v>
      </c>
      <c r="G7" s="11" t="s">
        <v>23</v>
      </c>
      <c r="H7" s="11" t="s">
        <v>24</v>
      </c>
      <c r="I7" s="11" t="s">
        <v>25</v>
      </c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IFERROR(__xludf.DUMMYFUNCTION("""COMPUTED_VALUE"""),"VerifyBlotterNavLockPopup")</f>
        <v>VerifyBlotterNavLockPopup</v>
      </c>
      <c r="CI4" s="25" t="str">
        <f>IFERROR(__xludf.DUMMYFUNCTION("""COMPUTED_VALUE"""),"SortGridOnBlotter")</f>
        <v>SortGridOnBlotter</v>
      </c>
      <c r="CJ4" s="25" t="str">
        <f>IFERROR(__xludf.DUMMYFUNCTION("""COMPUTED_VALUE"""),"VerifyDataIndexWise")</f>
        <v>VerifyDataIndexWise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IFERROR(__xludf.DUMMYFUNCTION("""COMPUTED_VALUE"""),"AddTabToFav")</f>
        <v>AddTabToFav</v>
      </c>
      <c r="CR4" s="25" t="str">
        <f>IFERROR(__xludf.DUMMYFUNCTION("""COMPUTED_VALUE"""),"RollOverContextMenu")</f>
        <v>RollOverContextMenu</v>
      </c>
      <c r="CS4" s="25" t="str">
        <f>IFERROR(__xludf.DUMMYFUNCTION("""COMPUTED_VALUE"""),"BookAsSwap")</f>
        <v>BookAsSwap</v>
      </c>
      <c r="CT4" s="25" t="str">
        <f>IFERROR(__xludf.DUMMYFUNCTION("""COMPUTED_VALUE"""),"ActionOnFloatingWindow")</f>
        <v>ActionOnFloatingWindow</v>
      </c>
      <c r="CU4" s="25" t="str">
        <f>IFERROR(__xludf.DUMMYFUNCTION("""COMPUTED_VALUE"""),"EnableOrVerifyHotButton")</f>
        <v>EnableOrVerifyHotButton</v>
      </c>
      <c r="CV4" s="25" t="str">
        <f>IFERROR(__xludf.DUMMYFUNCTION("""COMPUTED_VALUE"""),"VerifyFilterUiR")</f>
        <v>VerifyFilterUiR</v>
      </c>
      <c r="CW4" s="25" t="str">
        <f>IFERROR(__xludf.DUMMYFUNCTION("""COMPUTED_VALUE"""),"VerifyFilterUiRC")</f>
        <v>VerifyFilterUiRC</v>
      </c>
      <c r="CX4" s="25" t="str">
        <f>IFERROR(__xludf.DUMMYFUNCTION("""COMPUTED_VALUE"""),"CreateHotButtonOnBlotter")</f>
        <v>CreateHotButtonOnBlotter</v>
      </c>
      <c r="CY4" s="25" t="str">
        <f>IFERROR(__xludf.DUMMYFUNCTION("""COMPUTED_VALUE"""),"FillHBdetailsOnBlotter")</f>
        <v>FillHBdetailsOnBlotter</v>
      </c>
      <c r="CZ4" s="25" t="str">
        <f>IFERROR(__xludf.DUMMYFUNCTION("""COMPUTED_VALUE"""),"BlotterColumnChooser")</f>
        <v>BlotterColumnChooser</v>
      </c>
      <c r="DA4" s="25" t="str">
        <f>IFERROR(__xludf.DUMMYFUNCTION("""COMPUTED_VALUE"""),"CaptureHotButtonDetails")</f>
        <v>CaptureHotButtonDetails</v>
      </c>
      <c r="DB4" s="25" t="str">
        <f>IFERROR(__xludf.DUMMYFUNCTION("""COMPUTED_VALUE"""),"RightClickActionVerification")</f>
        <v>RightClickActionVerification</v>
      </c>
      <c r="DC4" s="25" t="str">
        <f>IFERROR(__xludf.DUMMYFUNCTION("""COMPUTED_VALUE"""),"ManageHotButton")</f>
        <v>ManageHotButton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11" t="s">
        <v>28</v>
      </c>
      <c r="I6" s="8"/>
      <c r="J6" s="8"/>
      <c r="K6" s="8"/>
      <c r="L6" s="8"/>
      <c r="M6" s="8"/>
      <c r="N6" s="8"/>
      <c r="O6" s="8"/>
      <c r="AI6" s="9" t="s">
        <v>18</v>
      </c>
      <c r="AJ6" s="9" t="s">
        <v>21</v>
      </c>
      <c r="AK6" s="9" t="s">
        <v>29</v>
      </c>
      <c r="AL6" s="9">
        <v>100.0</v>
      </c>
      <c r="AM6" s="9">
        <v>100.0</v>
      </c>
      <c r="AN6" s="9">
        <v>100.0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11" t="s">
        <v>28</v>
      </c>
      <c r="I7" s="8"/>
      <c r="J7" s="8"/>
      <c r="K7" s="8"/>
      <c r="L7" s="8"/>
      <c r="M7" s="8"/>
      <c r="N7" s="8"/>
      <c r="O7" s="8"/>
      <c r="AI7" s="9" t="s">
        <v>19</v>
      </c>
      <c r="AJ7" s="9" t="s">
        <v>21</v>
      </c>
      <c r="AK7" s="9" t="s">
        <v>29</v>
      </c>
      <c r="AL7" s="9">
        <v>100.0</v>
      </c>
      <c r="AM7" s="9">
        <v>100.0</v>
      </c>
      <c r="AN7" s="9">
        <v>100.0</v>
      </c>
      <c r="AS7" s="9" t="s">
        <v>23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IFERROR(__xludf.DUMMYFUNCTION("""COMPUTED_VALUE"""),"VerifyBlotterNavLockPopup")</f>
        <v>VerifyBlotterNavLockPopup</v>
      </c>
      <c r="CI4" s="25" t="str">
        <f>IFERROR(__xludf.DUMMYFUNCTION("""COMPUTED_VALUE"""),"SortGridOnBlotter")</f>
        <v>SortGridOnBlotter</v>
      </c>
      <c r="CJ4" s="25" t="str">
        <f>IFERROR(__xludf.DUMMYFUNCTION("""COMPUTED_VALUE"""),"VerifyDataIndexWise")</f>
        <v>VerifyDataIndexWise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IFERROR(__xludf.DUMMYFUNCTION("""COMPUTED_VALUE"""),"AddTabToFav")</f>
        <v>AddTabToFav</v>
      </c>
      <c r="CR4" s="25" t="str">
        <f>IFERROR(__xludf.DUMMYFUNCTION("""COMPUTED_VALUE"""),"RollOverContextMenu")</f>
        <v>RollOverContextMenu</v>
      </c>
      <c r="CS4" s="25" t="str">
        <f>IFERROR(__xludf.DUMMYFUNCTION("""COMPUTED_VALUE"""),"BookAsSwap")</f>
        <v>BookAsSwap</v>
      </c>
      <c r="CT4" s="25" t="str">
        <f>IFERROR(__xludf.DUMMYFUNCTION("""COMPUTED_VALUE"""),"ActionOnFloatingWindow")</f>
        <v>ActionOnFloatingWindow</v>
      </c>
      <c r="CU4" s="25" t="str">
        <f>IFERROR(__xludf.DUMMYFUNCTION("""COMPUTED_VALUE"""),"EnableOrVerifyHotButton")</f>
        <v>EnableOrVerifyHotButton</v>
      </c>
      <c r="CV4" s="25" t="str">
        <f>IFERROR(__xludf.DUMMYFUNCTION("""COMPUTED_VALUE"""),"VerifyFilterUiR")</f>
        <v>VerifyFilterUiR</v>
      </c>
      <c r="CW4" s="25" t="str">
        <f>IFERROR(__xludf.DUMMYFUNCTION("""COMPUTED_VALUE"""),"VerifyFilterUiRC")</f>
        <v>VerifyFilterUiRC</v>
      </c>
      <c r="CX4" s="25" t="str">
        <f>IFERROR(__xludf.DUMMYFUNCTION("""COMPUTED_VALUE"""),"CreateHotButtonOnBlotter")</f>
        <v>CreateHotButtonOnBlotter</v>
      </c>
      <c r="CY4" s="25" t="str">
        <f>IFERROR(__xludf.DUMMYFUNCTION("""COMPUTED_VALUE"""),"FillHBdetailsOnBlotter")</f>
        <v>FillHBdetailsOnBlotter</v>
      </c>
      <c r="CZ4" s="25" t="str">
        <f>IFERROR(__xludf.DUMMYFUNCTION("""COMPUTED_VALUE"""),"BlotterColumnChooser")</f>
        <v>BlotterColumnChooser</v>
      </c>
      <c r="DA4" s="25" t="str">
        <f>IFERROR(__xludf.DUMMYFUNCTION("""COMPUTED_VALUE"""),"CaptureHotButtonDetails")</f>
        <v>CaptureHotButtonDetails</v>
      </c>
      <c r="DB4" s="25" t="str">
        <f>IFERROR(__xludf.DUMMYFUNCTION("""COMPUTED_VALUE"""),"RightClickActionVerification")</f>
        <v>RightClickActionVerification</v>
      </c>
      <c r="DC4" s="25" t="str">
        <f>IFERROR(__xludf.DUMMYFUNCTION("""COMPUTED_VALUE"""),"ManageHotButton")</f>
        <v>ManageHotButton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11" t="s">
        <v>28</v>
      </c>
      <c r="I6" s="8"/>
      <c r="J6" s="8"/>
      <c r="K6" s="8"/>
      <c r="L6" s="8"/>
      <c r="M6" s="8"/>
      <c r="N6" s="8"/>
      <c r="O6" s="8"/>
      <c r="AI6" s="9" t="s">
        <v>18</v>
      </c>
      <c r="AJ6" s="9" t="s">
        <v>21</v>
      </c>
      <c r="AK6" s="9" t="s">
        <v>29</v>
      </c>
      <c r="AL6" s="9">
        <v>100.0</v>
      </c>
      <c r="AM6" s="9">
        <v>100.0</v>
      </c>
      <c r="AN6" s="9">
        <v>100.0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11" t="s">
        <v>28</v>
      </c>
      <c r="I7" s="8"/>
      <c r="J7" s="8"/>
      <c r="K7" s="8"/>
      <c r="L7" s="8"/>
      <c r="M7" s="8"/>
      <c r="N7" s="8"/>
      <c r="O7" s="8"/>
      <c r="AI7" s="9" t="s">
        <v>18</v>
      </c>
      <c r="AJ7" s="9" t="s">
        <v>21</v>
      </c>
      <c r="AK7" s="9" t="s">
        <v>29</v>
      </c>
      <c r="AL7" s="9">
        <v>100.0</v>
      </c>
      <c r="AM7" s="9">
        <v>100.0</v>
      </c>
      <c r="AN7" s="9">
        <v>100.0</v>
      </c>
      <c r="AS7" s="9" t="s">
        <v>23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IFERROR(__xludf.DUMMYFUNCTION("""COMPUTED_VALUE"""),"VerifyCustomAllocationSecondUI")</f>
        <v>VerifyCustomAllocationSecondUI</v>
      </c>
      <c r="AS4" s="25" t="str">
        <f>IFERROR(__xludf.DUMMYFUNCTION("""COMPUTED_VALUE"""),"ShortLocateFromTT")</f>
        <v>ShortLocateFromTT</v>
      </c>
      <c r="AT4" s="25" t="str">
        <f>IFERROR(__xludf.DUMMYFUNCTION("""COMPUTED_VALUE"""),"VerifyShortLocateWindowOnTT")</f>
        <v>VerifyShortLocateWindowOnTT</v>
      </c>
      <c r="AU4" s="25" t="str">
        <f>IFERROR(__xludf.DUMMYFUNCTION("""COMPUTED_VALUE"""),"AlgoUIOperations")</f>
        <v>AlgoUIOperations</v>
      </c>
      <c r="AV4" s="25" t="str">
        <f>IFERROR(__xludf.DUMMYFUNCTION("""COMPUTED_VALUE"""),"UpdateShortLocateFromTT")</f>
        <v>UpdateShortLocateFromTT</v>
      </c>
      <c r="AW4" s="25" t="str">
        <f>IFERROR(__xludf.DUMMYFUNCTION("""COMPUTED_VALUE"""),"ResetTT")</f>
        <v>ResetTT</v>
      </c>
      <c r="AX4" s="25" t="str">
        <f>IFERROR(__xludf.DUMMYFUNCTION("""COMPUTED_VALUE"""),"MergeTT")</f>
        <v>MergeTT</v>
      </c>
      <c r="AY4" s="25" t="str">
        <f>IFERROR(__xludf.DUMMYFUNCTION("""COMPUTED_VALUE"""),"ResizeEnsureTT")</f>
        <v>ResizeEnsureTT</v>
      </c>
      <c r="AZ4" s="25" t="str">
        <f>IFERROR(__xludf.DUMMYFUNCTION("""COMPUTED_VALUE"""),"VerifyExecutionType")</f>
        <v>VerifyExecutionType</v>
      </c>
      <c r="BA4" s="25" t="str">
        <f>IFERROR(__xludf.DUMMYFUNCTION("""COMPUTED_VALUE"""),"VerifyPopupAlignment")</f>
        <v>VerifyPopupAlignment</v>
      </c>
      <c r="BB4" s="25" t="str">
        <f>IFERROR(__xludf.DUMMYFUNCTION("""COMPUTED_VALUE"""),"SelectET")</f>
        <v>SelectET</v>
      </c>
      <c r="BC4" s="25" t="str">
        <f>IFERROR(__xludf.DUMMYFUNCTION("""COMPUTED_VALUE"""),"SymbolSuggestionVerification")</f>
        <v>SymbolSuggestionVerification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File")</f>
        <v>Select File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31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ImportSymbol!$4:$4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IFERROR(__xludf.DUMMYFUNCTION("""COMPUTED_VALUE"""),"VerifyCustomAllocationSecondUI")</f>
        <v>VerifyCustomAllocationSecondUI</v>
      </c>
      <c r="AS4" s="25" t="str">
        <f>IFERROR(__xludf.DUMMYFUNCTION("""COMPUTED_VALUE"""),"ShortLocateFromTT")</f>
        <v>ShortLocateFromTT</v>
      </c>
      <c r="AT4" s="25" t="str">
        <f>IFERROR(__xludf.DUMMYFUNCTION("""COMPUTED_VALUE"""),"VerifyShortLocateWindowOnTT")</f>
        <v>VerifyShortLocateWindowOnTT</v>
      </c>
      <c r="AU4" s="25" t="str">
        <f>IFERROR(__xludf.DUMMYFUNCTION("""COMPUTED_VALUE"""),"AlgoUIOperations")</f>
        <v>AlgoUIOperations</v>
      </c>
      <c r="AV4" s="25" t="str">
        <f>IFERROR(__xludf.DUMMYFUNCTION("""COMPUTED_VALUE"""),"UpdateShortLocateFromTT")</f>
        <v>UpdateShortLocateFromTT</v>
      </c>
      <c r="AW4" s="25" t="str">
        <f>IFERROR(__xludf.DUMMYFUNCTION("""COMPUTED_VALUE"""),"ResetTT")</f>
        <v>ResetTT</v>
      </c>
      <c r="AX4" s="25" t="str">
        <f>IFERROR(__xludf.DUMMYFUNCTION("""COMPUTED_VALUE"""),"MergeTT")</f>
        <v>MergeTT</v>
      </c>
      <c r="AY4" s="25" t="str">
        <f>IFERROR(__xludf.DUMMYFUNCTION("""COMPUTED_VALUE"""),"ResizeEnsureTT")</f>
        <v>ResizeEnsureTT</v>
      </c>
      <c r="AZ4" s="25" t="str">
        <f>IFERROR(__xludf.DUMMYFUNCTION("""COMPUTED_VALUE"""),"VerifyExecutionType")</f>
        <v>VerifyExecutionType</v>
      </c>
      <c r="BA4" s="25" t="str">
        <f>IFERROR(__xludf.DUMMYFUNCTION("""COMPUTED_VALUE"""),"VerifyPopupAlignment")</f>
        <v>VerifyPopupAlignment</v>
      </c>
      <c r="BB4" s="25" t="str">
        <f>IFERROR(__xludf.DUMMYFUNCTION("""COMPUTED_VALUE"""),"SelectET")</f>
        <v>SelectET</v>
      </c>
      <c r="BC4" s="25" t="str">
        <f>IFERROR(__xludf.DUMMYFUNCTION("""COMPUTED_VALUE"""),"SymbolSuggestionVerification")</f>
        <v>SymbolSuggestionVerification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21</v>
      </c>
      <c r="D6" s="11">
        <v>100.0</v>
      </c>
      <c r="E6" s="11">
        <v>100.0</v>
      </c>
      <c r="F6" s="11" t="s">
        <v>22</v>
      </c>
      <c r="G6" s="11" t="s">
        <v>23</v>
      </c>
      <c r="H6" s="11" t="s">
        <v>24</v>
      </c>
      <c r="I6" s="11" t="s">
        <v>25</v>
      </c>
      <c r="J6" s="11">
        <v>10.0</v>
      </c>
      <c r="K6" s="8"/>
      <c r="L6" s="8"/>
      <c r="M6" s="8"/>
      <c r="N6" s="8"/>
      <c r="O6" s="8"/>
    </row>
    <row r="7" ht="15.75" customHeight="1">
      <c r="A7" s="11"/>
      <c r="B7" s="11" t="s">
        <v>33</v>
      </c>
      <c r="C7" s="11" t="s">
        <v>21</v>
      </c>
      <c r="D7" s="11">
        <v>100.0</v>
      </c>
      <c r="E7" s="11">
        <v>100.0</v>
      </c>
      <c r="F7" s="11" t="s">
        <v>22</v>
      </c>
      <c r="G7" s="11" t="s">
        <v>23</v>
      </c>
      <c r="H7" s="11" t="s">
        <v>24</v>
      </c>
      <c r="I7" s="11" t="s">
        <v>25</v>
      </c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IFERROR(__xludf.DUMMYFUNCTION("""COMPUTED_VALUE"""),"VerifyBlotterNavLockPopup")</f>
        <v>VerifyBlotterNavLockPopup</v>
      </c>
      <c r="CI4" s="25" t="str">
        <f>IFERROR(__xludf.DUMMYFUNCTION("""COMPUTED_VALUE"""),"SortGridOnBlotter")</f>
        <v>SortGridOnBlotter</v>
      </c>
      <c r="CJ4" s="25" t="str">
        <f>IFERROR(__xludf.DUMMYFUNCTION("""COMPUTED_VALUE"""),"VerifyDataIndexWise")</f>
        <v>VerifyDataIndexWise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IFERROR(__xludf.DUMMYFUNCTION("""COMPUTED_VALUE"""),"AddTabToFav")</f>
        <v>AddTabToFav</v>
      </c>
      <c r="CR4" s="25" t="str">
        <f>IFERROR(__xludf.DUMMYFUNCTION("""COMPUTED_VALUE"""),"RollOverContextMenu")</f>
        <v>RollOverContextMenu</v>
      </c>
      <c r="CS4" s="25" t="str">
        <f>IFERROR(__xludf.DUMMYFUNCTION("""COMPUTED_VALUE"""),"BookAsSwap")</f>
        <v>BookAsSwap</v>
      </c>
      <c r="CT4" s="25" t="str">
        <f>IFERROR(__xludf.DUMMYFUNCTION("""COMPUTED_VALUE"""),"ActionOnFloatingWindow")</f>
        <v>ActionOnFloatingWindow</v>
      </c>
      <c r="CU4" s="25" t="str">
        <f>IFERROR(__xludf.DUMMYFUNCTION("""COMPUTED_VALUE"""),"EnableOrVerifyHotButton")</f>
        <v>EnableOrVerifyHotButton</v>
      </c>
      <c r="CV4" s="25" t="str">
        <f>IFERROR(__xludf.DUMMYFUNCTION("""COMPUTED_VALUE"""),"VerifyFilterUiR")</f>
        <v>VerifyFilterUiR</v>
      </c>
      <c r="CW4" s="25" t="str">
        <f>IFERROR(__xludf.DUMMYFUNCTION("""COMPUTED_VALUE"""),"VerifyFilterUiRC")</f>
        <v>VerifyFilterUiRC</v>
      </c>
      <c r="CX4" s="25" t="str">
        <f>IFERROR(__xludf.DUMMYFUNCTION("""COMPUTED_VALUE"""),"CreateHotButtonOnBlotter")</f>
        <v>CreateHotButtonOnBlotter</v>
      </c>
      <c r="CY4" s="25" t="str">
        <f>IFERROR(__xludf.DUMMYFUNCTION("""COMPUTED_VALUE"""),"FillHBdetailsOnBlotter")</f>
        <v>FillHBdetailsOnBlotter</v>
      </c>
      <c r="CZ4" s="25" t="str">
        <f>IFERROR(__xludf.DUMMYFUNCTION("""COMPUTED_VALUE"""),"BlotterColumnChooser")</f>
        <v>BlotterColumnChooser</v>
      </c>
      <c r="DA4" s="25" t="str">
        <f>IFERROR(__xludf.DUMMYFUNCTION("""COMPUTED_VALUE"""),"CaptureHotButtonDetails")</f>
        <v>CaptureHotButtonDetails</v>
      </c>
      <c r="DB4" s="25" t="str">
        <f>IFERROR(__xludf.DUMMYFUNCTION("""COMPUTED_VALUE"""),"RightClickActionVerification")</f>
        <v>RightClickActionVerification</v>
      </c>
      <c r="DC4" s="25" t="str">
        <f>IFERROR(__xludf.DUMMYFUNCTION("""COMPUTED_VALUE"""),"ManageHotButton")</f>
        <v>ManageHotButton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11" t="s">
        <v>28</v>
      </c>
      <c r="I6" s="8"/>
      <c r="J6" s="8"/>
      <c r="K6" s="8"/>
      <c r="L6" s="8"/>
      <c r="M6" s="8"/>
      <c r="N6" s="8"/>
      <c r="O6" s="8"/>
      <c r="AI6" s="11" t="s">
        <v>32</v>
      </c>
      <c r="AJ6" s="11" t="s">
        <v>21</v>
      </c>
      <c r="AK6" s="11" t="s">
        <v>29</v>
      </c>
      <c r="AL6" s="9">
        <v>100.0</v>
      </c>
      <c r="AM6" s="9">
        <v>100.0</v>
      </c>
      <c r="AN6" s="9">
        <v>100.0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11" t="s">
        <v>28</v>
      </c>
      <c r="I7" s="8"/>
      <c r="J7" s="8"/>
      <c r="K7" s="8"/>
      <c r="L7" s="8"/>
      <c r="M7" s="8"/>
      <c r="N7" s="8"/>
      <c r="O7" s="8"/>
      <c r="AI7" s="11" t="s">
        <v>33</v>
      </c>
      <c r="AJ7" s="11" t="s">
        <v>21</v>
      </c>
      <c r="AK7" s="11" t="s">
        <v>29</v>
      </c>
      <c r="AL7" s="9">
        <v>100.0</v>
      </c>
      <c r="AM7" s="9">
        <v>100.0</v>
      </c>
      <c r="AN7" s="9">
        <v>100.0</v>
      </c>
      <c r="AS7" s="9" t="s">
        <v>23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IFERROR(__xludf.DUMMYFUNCTION("""COMPUTED_VALUE"""),"VerifyCustomAllocationSecondUI")</f>
        <v>VerifyCustomAllocationSecondUI</v>
      </c>
      <c r="AS4" s="25" t="str">
        <f>IFERROR(__xludf.DUMMYFUNCTION("""COMPUTED_VALUE"""),"ShortLocateFromTT")</f>
        <v>ShortLocateFromTT</v>
      </c>
      <c r="AT4" s="25" t="str">
        <f>IFERROR(__xludf.DUMMYFUNCTION("""COMPUTED_VALUE"""),"VerifyShortLocateWindowOnTT")</f>
        <v>VerifyShortLocateWindowOnTT</v>
      </c>
      <c r="AU4" s="25" t="str">
        <f>IFERROR(__xludf.DUMMYFUNCTION("""COMPUTED_VALUE"""),"AlgoUIOperations")</f>
        <v>AlgoUIOperations</v>
      </c>
      <c r="AV4" s="25" t="str">
        <f>IFERROR(__xludf.DUMMYFUNCTION("""COMPUTED_VALUE"""),"UpdateShortLocateFromTT")</f>
        <v>UpdateShortLocateFromTT</v>
      </c>
      <c r="AW4" s="25" t="str">
        <f>IFERROR(__xludf.DUMMYFUNCTION("""COMPUTED_VALUE"""),"ResetTT")</f>
        <v>ResetTT</v>
      </c>
      <c r="AX4" s="25" t="str">
        <f>IFERROR(__xludf.DUMMYFUNCTION("""COMPUTED_VALUE"""),"MergeTT")</f>
        <v>MergeTT</v>
      </c>
      <c r="AY4" s="25" t="str">
        <f>IFERROR(__xludf.DUMMYFUNCTION("""COMPUTED_VALUE"""),"ResizeEnsureTT")</f>
        <v>ResizeEnsureTT</v>
      </c>
      <c r="AZ4" s="25" t="str">
        <f>IFERROR(__xludf.DUMMYFUNCTION("""COMPUTED_VALUE"""),"VerifyExecutionType")</f>
        <v>VerifyExecutionType</v>
      </c>
      <c r="BA4" s="25" t="str">
        <f>IFERROR(__xludf.DUMMYFUNCTION("""COMPUTED_VALUE"""),"VerifyPopupAlignment")</f>
        <v>VerifyPopupAlignment</v>
      </c>
      <c r="BB4" s="25" t="str">
        <f>IFERROR(__xludf.DUMMYFUNCTION("""COMPUTED_VALUE"""),"SelectET")</f>
        <v>SelectET</v>
      </c>
      <c r="BC4" s="25" t="str">
        <f>IFERROR(__xludf.DUMMYFUNCTION("""COMPUTED_VALUE"""),"SymbolSuggestionVerification")</f>
        <v>SymbolSuggestionVerification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 Securities List")</f>
        <v>Restricted Securities List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33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RemoveSymbolFromRAList!$4:$4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IFERROR(__xludf.DUMMYFUNCTION("""COMPUTED_VALUE"""),"VerifyCustomAllocationSecondUI")</f>
        <v>VerifyCustomAllocationSecondUI</v>
      </c>
      <c r="AS4" s="25" t="str">
        <f>IFERROR(__xludf.DUMMYFUNCTION("""COMPUTED_VALUE"""),"ShortLocateFromTT")</f>
        <v>ShortLocateFromTT</v>
      </c>
      <c r="AT4" s="25" t="str">
        <f>IFERROR(__xludf.DUMMYFUNCTION("""COMPUTED_VALUE"""),"VerifyShortLocateWindowOnTT")</f>
        <v>VerifyShortLocateWindowOnTT</v>
      </c>
      <c r="AU4" s="25" t="str">
        <f>IFERROR(__xludf.DUMMYFUNCTION("""COMPUTED_VALUE"""),"AlgoUIOperations")</f>
        <v>AlgoUIOperations</v>
      </c>
      <c r="AV4" s="25" t="str">
        <f>IFERROR(__xludf.DUMMYFUNCTION("""COMPUTED_VALUE"""),"UpdateShortLocateFromTT")</f>
        <v>UpdateShortLocateFromTT</v>
      </c>
      <c r="AW4" s="25" t="str">
        <f>IFERROR(__xludf.DUMMYFUNCTION("""COMPUTED_VALUE"""),"ResetTT")</f>
        <v>ResetTT</v>
      </c>
      <c r="AX4" s="25" t="str">
        <f>IFERROR(__xludf.DUMMYFUNCTION("""COMPUTED_VALUE"""),"MergeTT")</f>
        <v>MergeTT</v>
      </c>
      <c r="AY4" s="25" t="str">
        <f>IFERROR(__xludf.DUMMYFUNCTION("""COMPUTED_VALUE"""),"ResizeEnsureTT")</f>
        <v>ResizeEnsureTT</v>
      </c>
      <c r="AZ4" s="25" t="str">
        <f>IFERROR(__xludf.DUMMYFUNCTION("""COMPUTED_VALUE"""),"VerifyExecutionType")</f>
        <v>VerifyExecutionType</v>
      </c>
      <c r="BA4" s="25" t="str">
        <f>IFERROR(__xludf.DUMMYFUNCTION("""COMPUTED_VALUE"""),"VerifyPopupAlignment")</f>
        <v>VerifyPopupAlignment</v>
      </c>
      <c r="BB4" s="25" t="str">
        <f>IFERROR(__xludf.DUMMYFUNCTION("""COMPUTED_VALUE"""),"SelectET")</f>
        <v>SelectET</v>
      </c>
      <c r="BC4" s="25" t="str">
        <f>IFERROR(__xludf.DUMMYFUNCTION("""COMPUTED_VALUE"""),"SymbolSuggestionVerification")</f>
        <v>SymbolSuggestionVerification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 Securities List")</f>
        <v>Restricted Securities List</v>
      </c>
      <c r="C5" s="27" t="str">
        <f>IFERROR(__xludf.DUMMYFUNCTION("""COMPUTED_VALUE"""),"Allowed Securities List")</f>
        <v>Allowed Securities 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33</v>
      </c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ExportSymbolFromRAList!$4:$4</formula1>
    </dataValidation>
  </dataValidations>
  <drawing r:id="rId1"/>
</worksheet>
</file>