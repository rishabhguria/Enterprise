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reateOrderPTT" sheetId="9" r:id="rId11"/>
    <sheet state="visible" name="CreateOrderPTT1" sheetId="10" r:id="rId12"/>
    <sheet state="visible" name="CreateOrderPTT2" sheetId="11" r:id="rId13"/>
    <sheet state="visible" name="VerifyOrder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lectTradeUsingMTT2" sheetId="18" r:id="rId20"/>
    <sheet state="visible" name="EditTradeUsingMTT2" sheetId="19" r:id="rId21"/>
    <sheet state="visible" name="DoneAwayUsingMTT" sheetId="20" r:id="rId22"/>
    <sheet state="visible" name="VerifyOrder1" sheetId="21" r:id="rId23"/>
    <sheet state="visible" name="GetDataAllocation" sheetId="22" r:id="rId24"/>
    <sheet state="visible" name="CheckAllocatedGroups" sheetId="23" r:id="rId25"/>
  </sheets>
  <definedNames/>
  <calcPr/>
</workbook>
</file>

<file path=xl/sharedStrings.xml><?xml version="1.0" encoding="utf-8"?>
<sst xmlns="http://schemas.openxmlformats.org/spreadsheetml/2006/main" count="309" uniqueCount="54">
  <si>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</si>
  <si>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</si>
  <si>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</si>
  <si>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</si>
  <si>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</si>
  <si>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</si>
  <si>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</si>
  <si>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</si>
  <si>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</si>
  <si>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</si>
  <si>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</si>
  <si>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</si>
  <si>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</si>
  <si>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</si>
  <si>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</si>
  <si>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</si>
  <si>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</si>
  <si>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</si>
  <si>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</si>
  <si>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</si>
  <si>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</si>
  <si>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</si>
  <si>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</si>
  <si>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</si>
  <si>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TradingTicket</t>
  </si>
  <si>
    <t>CreateDoneAwayOrder</t>
  </si>
  <si>
    <t>INFY</t>
  </si>
  <si>
    <t>Buy</t>
  </si>
  <si>
    <t>Unallocated</t>
  </si>
  <si>
    <t>MS</t>
  </si>
  <si>
    <t>BX</t>
  </si>
  <si>
    <t>ZVZZT</t>
  </si>
  <si>
    <t>PricingInput</t>
  </si>
  <si>
    <t>PTT</t>
  </si>
  <si>
    <t>CreateOrderPTT</t>
  </si>
  <si>
    <t>Percentage</t>
  </si>
  <si>
    <t>No</t>
  </si>
  <si>
    <t>Account</t>
  </si>
  <si>
    <t>Blotter</t>
  </si>
  <si>
    <t>VerifyOrder</t>
  </si>
  <si>
    <t>jpearce</t>
  </si>
  <si>
    <t>Filled</t>
  </si>
  <si>
    <t>New</t>
  </si>
  <si>
    <t>MultiTradingTicketFromBlotter</t>
  </si>
  <si>
    <t>Equity</t>
  </si>
  <si>
    <t>MultiTradingTicket</t>
  </si>
  <si>
    <t>SelectTradeUsingMTT</t>
  </si>
  <si>
    <t>EditTradeUsingMTT</t>
  </si>
  <si>
    <t>NASDAQ</t>
  </si>
  <si>
    <t>DoneAwayUsingMTT</t>
  </si>
  <si>
    <t>Allocation</t>
  </si>
  <si>
    <t>GetDataAllocation</t>
  </si>
  <si>
    <t>Current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</si>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</sst>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6" fontId="1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6" fillId="5" fontId="4" numFmtId="0" xfId="0" applyAlignment="1" applyBorder="1" applyFont="1">
      <alignment shrinkToFit="0" wrapText="0"/>
    </xf>
    <xf borderId="5" fillId="0" fontId="5" numFmtId="0" xfId="0" applyAlignment="1" applyBorder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Font="1"/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2" numFmtId="165" xfId="0" applyFont="1" applyNumberFormat="1"/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t="str">
        <f>IFERROR(__xludf.DUMMYFUNCTION("""COMPUTED_VALUE"""),"PricingInput")</f>
        <v>PricingInput</v>
      </c>
      <c r="B30" t="str">
        <f>IFERROR(__xludf.DUMMYFUNCTION("""COMPUTED_VALUE"""),"PricingInput")</f>
        <v>PricingInput</v>
      </c>
      <c r="C30" t="str">
        <f>IFERROR(__xludf.DUMMYFUNCTION("""COMPUTED_VALUE"""),"16EMowOhNWCoGHg3C_AEEGTB-3SXFMg5x63-S3irnai0")</f>
        <v>16EMowOhNWCoGHg3C_AEEGTB-3SXFMg5x63-S3irnai0</v>
      </c>
    </row>
    <row r="31" ht="15.75" customHeight="1">
      <c r="A31" t="str">
        <f>IFERROR(__xludf.DUMMYFUNCTION("""COMPUTED_VALUE"""),"PricingInput")</f>
        <v>PricingInput</v>
      </c>
      <c r="B31" t="str">
        <f>IFERROR(__xludf.DUMMYFUNCTION("""COMPUTED_VALUE"""),"UpdateSharesOutstanding")</f>
        <v>UpdateSharesOutstanding</v>
      </c>
      <c r="C31" t="str">
        <f>IFERROR(__xludf.DUMMYFUNCTION("""COMPUTED_VALUE"""),"1q9dRSKiXfUcfgc5w_m-vMSRuUWcHC5mxzB_SFqqFzJk")</f>
        <v>1q9dRSKiXfUcfgc5w_m-vMSRuUWcHC5mxzB_SFqqFzJk</v>
      </c>
    </row>
    <row r="32" ht="15.75" customHeight="1">
      <c r="A32" t="str">
        <f>IFERROR(__xludf.DUMMYFUNCTION("""COMPUTED_VALUE"""),"SymbolLookup")</f>
        <v>SymbolLookup</v>
      </c>
      <c r="B32" t="str">
        <f>IFERROR(__xludf.DUMMYFUNCTION("""COMPUTED_VALUE"""),"VerifySymbolLookUp")</f>
        <v>VerifySymbolLookUp</v>
      </c>
      <c r="C32" t="str">
        <f>IFERROR(__xludf.DUMMYFUNCTION("""COMPUTED_VALUE"""),"1lP1jJVwyLgSReroORPW2qHMX-c1ylMBmX8jxb7m4wfI")</f>
        <v>1lP1jJVwyLgSReroORPW2qHMX-c1ylMBmX8jxb7m4wfI</v>
      </c>
    </row>
    <row r="33" ht="15.75" customHeight="1">
      <c r="A33" t="str">
        <f>IFERROR(__xludf.DUMMYFUNCTION("""COMPUTED_VALUE"""),"SymbolLookup")</f>
        <v>SymbolLookup</v>
      </c>
      <c r="B33" t="str">
        <f>IFERROR(__xludf.DUMMYFUNCTION("""COMPUTED_VALUE"""),"SymbolLookupFromTT")</f>
        <v>SymbolLookupFromTT</v>
      </c>
      <c r="C33" t="str">
        <f>IFERROR(__xludf.DUMMYFUNCTION("""COMPUTED_VALUE"""),"1Ws0Hw39H3ULaKM5Cl_p6p-caLwRm8T0L43ngVqjHMnM")</f>
        <v>1Ws0Hw39H3ULaKM5Cl_p6p-caLwRm8T0L43ngVqjHMnM</v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s="9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 t="shared" ref="B6:C6" si="1">today()-1</f>
        <v>44847</v>
      </c>
      <c r="C6" s="32">
        <f t="shared" si="1"/>
        <v>44847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4" t="s">
        <v>20</v>
      </c>
      <c r="C6" s="34" t="s">
        <v>21</v>
      </c>
      <c r="D6" s="36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22</v>
      </c>
      <c r="C7" s="34" t="s">
        <v>21</v>
      </c>
      <c r="D7" s="36">
        <v>10000.0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7" t="s">
        <v>23</v>
      </c>
      <c r="C8" s="34" t="s">
        <v>21</v>
      </c>
      <c r="D8" s="36">
        <v>10000.0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11"/>
      <c r="B9" s="11"/>
      <c r="C9" s="8"/>
      <c r="D9" s="11"/>
      <c r="E9" s="3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30"/>
      <c r="F6" s="11" t="s">
        <v>28</v>
      </c>
      <c r="G6" s="11" t="s">
        <v>29</v>
      </c>
      <c r="H6" s="8"/>
      <c r="I6" s="8"/>
      <c r="J6" s="11">
        <v>1.0</v>
      </c>
      <c r="K6" s="8"/>
      <c r="L6" s="8"/>
      <c r="M6" s="8"/>
      <c r="N6" s="8"/>
      <c r="O6" s="8"/>
    </row>
    <row r="7" ht="15.75" customHeight="1">
      <c r="A7" s="8"/>
      <c r="B7" s="11" t="s">
        <v>30</v>
      </c>
      <c r="C7" s="11" t="s">
        <v>27</v>
      </c>
      <c r="D7" s="11">
        <v>100.0</v>
      </c>
      <c r="E7" s="8"/>
      <c r="F7" s="11" t="s">
        <v>28</v>
      </c>
      <c r="G7" s="11" t="s">
        <v>29</v>
      </c>
      <c r="H7" s="8"/>
      <c r="I7" s="8"/>
      <c r="J7" s="11">
        <v>2.0</v>
      </c>
      <c r="K7" s="8"/>
      <c r="L7" s="8"/>
      <c r="M7" s="8"/>
      <c r="N7" s="8"/>
      <c r="O7" s="8"/>
    </row>
    <row r="8" ht="15.75" customHeight="1">
      <c r="A8" s="8"/>
      <c r="B8" s="38" t="s">
        <v>31</v>
      </c>
      <c r="C8" s="11" t="s">
        <v>27</v>
      </c>
      <c r="D8" s="11">
        <v>100.0</v>
      </c>
      <c r="E8" s="8"/>
      <c r="F8" s="11" t="s">
        <v>28</v>
      </c>
      <c r="G8" s="11" t="s">
        <v>29</v>
      </c>
      <c r="H8" s="8"/>
      <c r="I8" s="8"/>
      <c r="J8" s="11">
        <v>3.0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4" t="s">
        <v>26</v>
      </c>
      <c r="C6" s="36">
        <v>10.0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1" t="s">
        <v>30</v>
      </c>
      <c r="C7" s="39">
        <v>20.0</v>
      </c>
      <c r="D7" s="31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0" t="s">
        <v>31</v>
      </c>
      <c r="C8" s="39">
        <v>30.0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26</v>
      </c>
      <c r="C6" s="34" t="s">
        <v>27</v>
      </c>
      <c r="D6" s="33" t="s">
        <v>35</v>
      </c>
      <c r="E6" s="36">
        <v>100.0</v>
      </c>
      <c r="F6" s="36">
        <v>10.0</v>
      </c>
      <c r="G6" s="34" t="s">
        <v>36</v>
      </c>
      <c r="H6" s="34" t="s">
        <v>37</v>
      </c>
      <c r="I6" s="34" t="s">
        <v>20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30</v>
      </c>
      <c r="C6" s="34" t="s">
        <v>27</v>
      </c>
      <c r="D6" s="33" t="s">
        <v>35</v>
      </c>
      <c r="E6" s="36">
        <v>200.0</v>
      </c>
      <c r="F6" s="36">
        <v>20.0</v>
      </c>
      <c r="G6" s="34" t="s">
        <v>36</v>
      </c>
      <c r="H6" s="34" t="s">
        <v>37</v>
      </c>
      <c r="I6" s="34" t="s">
        <v>22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1" t="s">
        <v>31</v>
      </c>
      <c r="C6" s="34" t="s">
        <v>27</v>
      </c>
      <c r="D6" s="33" t="s">
        <v>35</v>
      </c>
      <c r="E6" s="36">
        <v>300.0</v>
      </c>
      <c r="F6" s="36">
        <v>30.0</v>
      </c>
      <c r="G6" s="34" t="s">
        <v>36</v>
      </c>
      <c r="H6" s="34" t="s">
        <v>37</v>
      </c>
      <c r="I6" s="34" t="s">
        <v>23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42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/>
      <c r="C6" s="34"/>
      <c r="D6" s="43"/>
      <c r="E6" s="34"/>
      <c r="F6" s="36"/>
      <c r="H6" s="44"/>
      <c r="I6" s="45" t="s">
        <v>40</v>
      </c>
      <c r="K6" s="34"/>
      <c r="L6" s="34"/>
      <c r="M6" s="34"/>
      <c r="N6" s="34"/>
      <c r="O6" s="34"/>
      <c r="P6" s="34"/>
      <c r="Q6" s="34"/>
      <c r="R6" s="34"/>
      <c r="S6" s="46"/>
      <c r="T6" s="47"/>
      <c r="U6" s="35"/>
      <c r="V6" s="35"/>
      <c r="W6" s="35"/>
      <c r="X6" s="47"/>
      <c r="Y6" s="35"/>
      <c r="Z6" s="35"/>
      <c r="AA6" s="35"/>
      <c r="AB6" s="35"/>
      <c r="AC6" s="35"/>
      <c r="AD6" s="48">
        <v>1.0</v>
      </c>
      <c r="AE6" s="35"/>
      <c r="AF6" s="35"/>
      <c r="AG6" s="47"/>
      <c r="AH6" s="35"/>
      <c r="AI6" s="49" t="s">
        <v>26</v>
      </c>
      <c r="AJ6" s="49" t="s">
        <v>27</v>
      </c>
      <c r="AK6" s="49" t="s">
        <v>41</v>
      </c>
      <c r="AL6" s="49">
        <v>100.0</v>
      </c>
      <c r="AM6" s="49">
        <v>100.0</v>
      </c>
      <c r="AN6" s="49">
        <v>100.0</v>
      </c>
      <c r="AO6" s="49">
        <v>100.0</v>
      </c>
      <c r="AQ6" s="49">
        <v>1.0</v>
      </c>
      <c r="AR6" s="49">
        <v>1.0</v>
      </c>
      <c r="AS6" s="49" t="s">
        <v>29</v>
      </c>
      <c r="AT6" s="35"/>
      <c r="AU6" s="35"/>
      <c r="AV6" s="49">
        <v>100.0</v>
      </c>
      <c r="AW6" s="49">
        <v>100.0</v>
      </c>
      <c r="AX6" s="35"/>
      <c r="AY6" s="47"/>
      <c r="AZ6" s="47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0"/>
      <c r="E7" s="35"/>
      <c r="F7" s="39"/>
      <c r="H7" s="35"/>
      <c r="I7" s="45" t="s">
        <v>40</v>
      </c>
      <c r="K7" s="35"/>
      <c r="L7" s="35"/>
      <c r="M7" s="35"/>
      <c r="N7" s="35"/>
      <c r="O7" s="35"/>
      <c r="P7" s="35"/>
      <c r="Q7" s="35"/>
      <c r="R7" s="35"/>
      <c r="S7" s="47"/>
      <c r="T7" s="47"/>
      <c r="U7" s="35"/>
      <c r="V7" s="35"/>
      <c r="W7" s="35"/>
      <c r="X7" s="47"/>
      <c r="Y7" s="35"/>
      <c r="Z7" s="35"/>
      <c r="AA7" s="35"/>
      <c r="AB7" s="35"/>
      <c r="AC7" s="35"/>
      <c r="AD7" s="48">
        <v>1.0</v>
      </c>
      <c r="AE7" s="35"/>
      <c r="AF7" s="35"/>
      <c r="AG7" s="47"/>
      <c r="AH7" s="35"/>
      <c r="AI7" s="49" t="s">
        <v>30</v>
      </c>
      <c r="AJ7" s="49" t="s">
        <v>27</v>
      </c>
      <c r="AK7" s="49" t="s">
        <v>41</v>
      </c>
      <c r="AL7" s="49">
        <v>100.0</v>
      </c>
      <c r="AM7" s="49">
        <v>100.0</v>
      </c>
      <c r="AN7" s="49">
        <v>100.0</v>
      </c>
      <c r="AO7" s="49">
        <v>100.0</v>
      </c>
      <c r="AQ7" s="49">
        <v>2.0</v>
      </c>
      <c r="AR7" s="49">
        <v>2.0</v>
      </c>
      <c r="AS7" s="49" t="s">
        <v>29</v>
      </c>
      <c r="AT7" s="45"/>
      <c r="AU7" s="35"/>
      <c r="AV7" s="49">
        <v>200.0</v>
      </c>
      <c r="AW7" s="49">
        <v>200.0</v>
      </c>
      <c r="AX7" s="35"/>
      <c r="AY7" s="47"/>
      <c r="AZ7" s="47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50"/>
      <c r="E8" s="35"/>
      <c r="F8" s="39"/>
      <c r="H8" s="35"/>
      <c r="I8" s="45" t="s">
        <v>40</v>
      </c>
      <c r="K8" s="35"/>
      <c r="L8" s="35"/>
      <c r="M8" s="35"/>
      <c r="N8" s="35"/>
      <c r="O8" s="35"/>
      <c r="P8" s="35"/>
      <c r="Q8" s="35"/>
      <c r="R8" s="35"/>
      <c r="S8" s="47"/>
      <c r="T8" s="47"/>
      <c r="U8" s="35"/>
      <c r="V8" s="35"/>
      <c r="W8" s="35"/>
      <c r="X8" s="47"/>
      <c r="Y8" s="35"/>
      <c r="Z8" s="35"/>
      <c r="AA8" s="35"/>
      <c r="AB8" s="35"/>
      <c r="AC8" s="35"/>
      <c r="AD8" s="48">
        <v>1.0</v>
      </c>
      <c r="AE8" s="35"/>
      <c r="AF8" s="35"/>
      <c r="AG8" s="47"/>
      <c r="AH8" s="35"/>
      <c r="AI8" s="49" t="s">
        <v>31</v>
      </c>
      <c r="AJ8" s="49" t="s">
        <v>27</v>
      </c>
      <c r="AK8" s="49" t="s">
        <v>41</v>
      </c>
      <c r="AL8" s="49">
        <v>100.0</v>
      </c>
      <c r="AM8" s="49">
        <v>100.0</v>
      </c>
      <c r="AN8" s="49">
        <v>100.0</v>
      </c>
      <c r="AO8" s="49">
        <v>100.0</v>
      </c>
      <c r="AQ8" s="49">
        <v>3.0</v>
      </c>
      <c r="AR8" s="49">
        <v>3.0</v>
      </c>
      <c r="AS8" s="49" t="s">
        <v>29</v>
      </c>
      <c r="AT8" s="45"/>
      <c r="AU8" s="35"/>
      <c r="AV8" s="49">
        <v>300.0</v>
      </c>
      <c r="AW8" s="49">
        <v>300.0</v>
      </c>
      <c r="AX8" s="35"/>
      <c r="AY8" s="47"/>
      <c r="AZ8" s="47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H9" s="35"/>
      <c r="I9" s="45" t="s">
        <v>40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45">
        <v>1.0</v>
      </c>
      <c r="AE9" s="35"/>
      <c r="AF9" s="35"/>
      <c r="AG9" s="35"/>
      <c r="AH9" s="35"/>
      <c r="AI9" s="49" t="s">
        <v>26</v>
      </c>
      <c r="AJ9" s="49" t="s">
        <v>27</v>
      </c>
      <c r="AK9" s="49" t="s">
        <v>42</v>
      </c>
      <c r="AL9" s="9">
        <v>1000.0</v>
      </c>
      <c r="AP9" s="49">
        <v>1000.0</v>
      </c>
      <c r="AQ9" s="49">
        <v>10.0</v>
      </c>
      <c r="AR9" s="49">
        <v>10.0</v>
      </c>
      <c r="AT9" s="35"/>
      <c r="AU9" s="35"/>
      <c r="AV9" s="49">
        <v>0.0</v>
      </c>
      <c r="AW9" s="49">
        <v>0.0</v>
      </c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H10" s="35"/>
      <c r="I10" s="45" t="s">
        <v>40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45">
        <v>1.0</v>
      </c>
      <c r="AE10" s="35"/>
      <c r="AF10" s="35"/>
      <c r="AG10" s="35"/>
      <c r="AH10" s="35"/>
      <c r="AI10" s="49" t="s">
        <v>30</v>
      </c>
      <c r="AJ10" s="49" t="s">
        <v>27</v>
      </c>
      <c r="AK10" s="49" t="s">
        <v>42</v>
      </c>
      <c r="AL10" s="9">
        <v>1000.0</v>
      </c>
      <c r="AP10" s="9">
        <v>1000.0</v>
      </c>
      <c r="AQ10" s="49">
        <v>20.0</v>
      </c>
      <c r="AR10" s="49">
        <v>20.0</v>
      </c>
      <c r="AT10" s="35"/>
      <c r="AU10" s="35"/>
      <c r="AV10" s="49">
        <v>0.0</v>
      </c>
      <c r="AW10" s="49">
        <v>0.0</v>
      </c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H11" s="8"/>
      <c r="I11" s="45" t="s">
        <v>40</v>
      </c>
      <c r="K11" s="8"/>
      <c r="L11" s="8"/>
      <c r="M11" s="8"/>
      <c r="N11" s="8"/>
      <c r="O11" s="8"/>
      <c r="AD11" s="9">
        <v>1.0</v>
      </c>
      <c r="AI11" s="49" t="s">
        <v>31</v>
      </c>
      <c r="AJ11" s="49" t="s">
        <v>27</v>
      </c>
      <c r="AK11" s="49" t="s">
        <v>42</v>
      </c>
      <c r="AL11" s="9">
        <v>1000.0</v>
      </c>
      <c r="AP11" s="9">
        <v>1000.0</v>
      </c>
      <c r="AQ11" s="49">
        <v>30.0</v>
      </c>
      <c r="AR11" s="49">
        <v>30.0</v>
      </c>
      <c r="AV11" s="49">
        <v>0.0</v>
      </c>
      <c r="AW11" s="4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45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5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51"/>
      <c r="G6" s="34"/>
      <c r="H6" s="34"/>
      <c r="I6" s="52"/>
      <c r="J6" s="52"/>
      <c r="K6" s="52"/>
      <c r="L6" s="34"/>
      <c r="M6" s="34"/>
      <c r="N6" s="34"/>
      <c r="O6" s="34"/>
      <c r="P6" s="34"/>
      <c r="Q6" s="34"/>
      <c r="R6" s="34"/>
      <c r="S6" s="46"/>
      <c r="T6" s="47"/>
      <c r="U6" s="35"/>
      <c r="V6" s="35"/>
      <c r="W6" s="35"/>
      <c r="X6" s="47"/>
      <c r="Y6" s="35"/>
      <c r="Z6" s="35"/>
      <c r="AA6" s="35"/>
      <c r="AB6" s="35"/>
      <c r="AC6" s="35"/>
      <c r="AD6" s="53">
        <v>1.0</v>
      </c>
      <c r="AE6" s="35"/>
      <c r="AF6" s="35"/>
      <c r="AG6" s="47"/>
      <c r="AH6" s="35" t="s">
        <v>44</v>
      </c>
      <c r="AI6" s="54" t="s">
        <v>26</v>
      </c>
      <c r="AJ6" s="9" t="s">
        <v>27</v>
      </c>
      <c r="AK6" s="9" t="s">
        <v>42</v>
      </c>
      <c r="AL6" s="9">
        <v>1000.0</v>
      </c>
      <c r="AT6" s="9" t="s">
        <v>20</v>
      </c>
    </row>
    <row r="7" ht="15.75" customHeight="1">
      <c r="A7" s="8"/>
      <c r="B7" s="8"/>
      <c r="C7" s="8"/>
      <c r="D7" s="11"/>
      <c r="E7" s="8"/>
      <c r="F7" s="55"/>
      <c r="G7" s="35"/>
      <c r="H7" s="35"/>
      <c r="I7" s="54"/>
      <c r="J7" s="54"/>
      <c r="K7" s="54"/>
      <c r="L7" s="35"/>
      <c r="M7" s="35"/>
      <c r="N7" s="35"/>
      <c r="O7" s="35"/>
      <c r="P7" s="35"/>
      <c r="Q7" s="35"/>
      <c r="R7" s="35"/>
      <c r="S7" s="47"/>
      <c r="T7" s="47"/>
      <c r="U7" s="35"/>
      <c r="V7" s="35"/>
      <c r="W7" s="35"/>
      <c r="X7" s="47"/>
      <c r="Y7" s="35"/>
      <c r="Z7" s="35"/>
      <c r="AA7" s="35"/>
      <c r="AB7" s="35"/>
      <c r="AC7" s="35"/>
      <c r="AD7" s="53">
        <v>1.0</v>
      </c>
      <c r="AE7" s="35"/>
      <c r="AF7" s="35"/>
      <c r="AG7" s="47"/>
      <c r="AH7" s="35" t="s">
        <v>44</v>
      </c>
      <c r="AI7" s="54" t="s">
        <v>30</v>
      </c>
      <c r="AJ7" s="9" t="s">
        <v>27</v>
      </c>
      <c r="AK7" s="9" t="s">
        <v>42</v>
      </c>
      <c r="AL7" s="9">
        <v>1000.0</v>
      </c>
      <c r="AT7" s="9" t="s">
        <v>22</v>
      </c>
    </row>
    <row r="8" ht="15.75" customHeight="1">
      <c r="A8" s="8"/>
      <c r="B8" s="8"/>
      <c r="C8" s="8"/>
      <c r="D8" s="11"/>
      <c r="E8" s="8"/>
      <c r="F8" s="55"/>
      <c r="G8" s="35"/>
      <c r="H8" s="35"/>
      <c r="I8" s="54"/>
      <c r="J8" s="40"/>
      <c r="K8" s="54"/>
      <c r="L8" s="35"/>
      <c r="M8" s="35"/>
      <c r="N8" s="35"/>
      <c r="O8" s="35"/>
      <c r="P8" s="35"/>
      <c r="Q8" s="35"/>
      <c r="R8" s="35"/>
      <c r="S8" s="47"/>
      <c r="T8" s="47"/>
      <c r="U8" s="35"/>
      <c r="V8" s="35"/>
      <c r="W8" s="35"/>
      <c r="X8" s="47"/>
      <c r="Y8" s="35"/>
      <c r="Z8" s="35"/>
      <c r="AA8" s="35"/>
      <c r="AB8" s="35"/>
      <c r="AC8" s="35"/>
      <c r="AD8" s="53">
        <v>1.0</v>
      </c>
      <c r="AE8" s="35"/>
      <c r="AF8" s="35"/>
      <c r="AG8" s="47"/>
      <c r="AH8" s="35" t="s">
        <v>44</v>
      </c>
      <c r="AI8" s="40" t="s">
        <v>31</v>
      </c>
      <c r="AJ8" s="9" t="s">
        <v>27</v>
      </c>
      <c r="AK8" s="9" t="s">
        <v>42</v>
      </c>
      <c r="AL8" s="9">
        <v>1000.0</v>
      </c>
      <c r="AT8" s="9" t="s">
        <v>23</v>
      </c>
    </row>
    <row r="9" ht="15.75" customHeight="1">
      <c r="A9" s="8"/>
      <c r="B9" s="8"/>
      <c r="C9" s="8"/>
      <c r="D9" s="8"/>
      <c r="E9" s="8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15.75" customHeight="1">
      <c r="A10" s="8"/>
      <c r="B10" s="8"/>
      <c r="C10" s="8"/>
      <c r="D10" s="8"/>
      <c r="E10" s="8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/>
      <c r="E6" s="11">
        <v>1000.0</v>
      </c>
      <c r="F6" s="1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11" t="s">
        <v>26</v>
      </c>
      <c r="C6" s="11" t="s">
        <v>27</v>
      </c>
      <c r="D6" s="11"/>
      <c r="E6" s="11">
        <v>1000.0</v>
      </c>
      <c r="F6" s="11" t="s">
        <v>20</v>
      </c>
      <c r="G6" s="37" t="s">
        <v>29</v>
      </c>
      <c r="H6" s="52"/>
      <c r="I6" s="52"/>
      <c r="J6" s="43">
        <v>10.0</v>
      </c>
      <c r="K6" s="52"/>
      <c r="L6" s="52"/>
      <c r="M6" s="52"/>
      <c r="N6" s="56"/>
      <c r="O6" s="36"/>
      <c r="P6" s="34"/>
      <c r="Q6" s="34"/>
      <c r="R6" s="34"/>
      <c r="S6" s="46"/>
      <c r="T6" s="35"/>
      <c r="U6" s="47"/>
      <c r="V6" s="35"/>
      <c r="W6" s="35"/>
      <c r="X6" s="35"/>
      <c r="Y6" s="35"/>
      <c r="Z6" s="35"/>
      <c r="AA6" s="35"/>
      <c r="AB6" s="45" t="s">
        <v>48</v>
      </c>
      <c r="AC6" s="35"/>
      <c r="AD6" s="35"/>
      <c r="AE6" s="35"/>
      <c r="AF6" s="35"/>
      <c r="AG6" s="47"/>
      <c r="AH6" s="47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30</v>
      </c>
      <c r="C6" s="11" t="s">
        <v>27</v>
      </c>
      <c r="D6" s="11"/>
      <c r="E6" s="11">
        <v>1000.0</v>
      </c>
      <c r="F6" s="11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11" t="s">
        <v>30</v>
      </c>
      <c r="C6" s="11" t="s">
        <v>27</v>
      </c>
      <c r="D6" s="11"/>
      <c r="E6" s="11">
        <v>1000.0</v>
      </c>
      <c r="F6" s="11" t="s">
        <v>22</v>
      </c>
      <c r="G6" s="37" t="s">
        <v>29</v>
      </c>
      <c r="H6" s="52"/>
      <c r="I6" s="52"/>
      <c r="J6" s="43">
        <v>20.0</v>
      </c>
      <c r="K6" s="52"/>
      <c r="L6" s="52"/>
      <c r="M6" s="52"/>
      <c r="N6" s="56"/>
      <c r="O6" s="36"/>
      <c r="P6" s="34"/>
      <c r="Q6" s="34"/>
      <c r="R6" s="34"/>
      <c r="S6" s="46"/>
      <c r="T6" s="35"/>
      <c r="U6" s="47"/>
      <c r="V6" s="35"/>
      <c r="W6" s="35"/>
      <c r="X6" s="35"/>
      <c r="Y6" s="35"/>
      <c r="Z6" s="35"/>
      <c r="AA6" s="35"/>
      <c r="AB6" s="45" t="s">
        <v>48</v>
      </c>
      <c r="AC6" s="35"/>
      <c r="AD6" s="35"/>
      <c r="AE6" s="35"/>
      <c r="AF6" s="35"/>
      <c r="AG6" s="47"/>
      <c r="AH6" s="47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11" t="s">
        <v>27</v>
      </c>
      <c r="D6" s="11"/>
      <c r="E6" s="11">
        <v>1000.0</v>
      </c>
      <c r="F6" s="11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11" t="s">
        <v>31</v>
      </c>
      <c r="C6" s="11" t="s">
        <v>27</v>
      </c>
      <c r="D6" s="11"/>
      <c r="E6" s="11">
        <v>1000.0</v>
      </c>
      <c r="F6" s="11" t="s">
        <v>23</v>
      </c>
      <c r="G6" s="37" t="s">
        <v>29</v>
      </c>
      <c r="H6" s="52"/>
      <c r="I6" s="52"/>
      <c r="J6" s="43">
        <v>30.0</v>
      </c>
      <c r="K6" s="52"/>
      <c r="L6" s="52"/>
      <c r="M6" s="52"/>
      <c r="N6" s="56"/>
      <c r="O6" s="36"/>
      <c r="P6" s="34"/>
      <c r="Q6" s="34"/>
      <c r="R6" s="34"/>
      <c r="S6" s="46"/>
      <c r="T6" s="35"/>
      <c r="U6" s="47"/>
      <c r="V6" s="35"/>
      <c r="W6" s="35"/>
      <c r="X6" s="35"/>
      <c r="Y6" s="35"/>
      <c r="Z6" s="35"/>
      <c r="AA6" s="35"/>
      <c r="AB6" s="45" t="s">
        <v>48</v>
      </c>
      <c r="AC6" s="35"/>
      <c r="AD6" s="35"/>
      <c r="AE6" s="35"/>
      <c r="AF6" s="35"/>
      <c r="AG6" s="47"/>
      <c r="AH6" s="47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26</v>
      </c>
      <c r="C6" s="35" t="s">
        <v>27</v>
      </c>
      <c r="D6" s="11"/>
      <c r="E6" s="11">
        <v>1000.0</v>
      </c>
      <c r="F6" s="11" t="s">
        <v>20</v>
      </c>
      <c r="G6" s="11" t="s">
        <v>29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35" t="s">
        <v>30</v>
      </c>
      <c r="C7" s="35" t="s">
        <v>27</v>
      </c>
      <c r="D7" s="11"/>
      <c r="E7" s="11">
        <v>1000.0</v>
      </c>
      <c r="F7" s="11" t="s">
        <v>22</v>
      </c>
      <c r="G7" s="11" t="s">
        <v>29</v>
      </c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40" t="s">
        <v>31</v>
      </c>
      <c r="C8" s="35" t="s">
        <v>27</v>
      </c>
      <c r="D8" s="11"/>
      <c r="E8" s="11">
        <v>1000.0</v>
      </c>
      <c r="F8" s="11" t="s">
        <v>23</v>
      </c>
      <c r="G8" s="11" t="s">
        <v>29</v>
      </c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35"/>
      <c r="C9" s="3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/>
      <c r="C6" s="34"/>
      <c r="D6" s="43"/>
      <c r="E6" s="34"/>
      <c r="F6" s="36"/>
      <c r="H6" s="34"/>
      <c r="I6" s="34"/>
      <c r="K6" s="34"/>
      <c r="L6" s="34"/>
      <c r="M6" s="34"/>
      <c r="N6" s="34"/>
      <c r="O6" s="34"/>
      <c r="P6" s="34"/>
      <c r="Q6" s="34"/>
      <c r="R6" s="34"/>
      <c r="S6" s="46"/>
      <c r="T6" s="47"/>
      <c r="U6" s="35"/>
      <c r="V6" s="35"/>
      <c r="W6" s="35"/>
      <c r="X6" s="47"/>
      <c r="Y6" s="35"/>
      <c r="Z6" s="35"/>
      <c r="AA6" s="35"/>
      <c r="AB6" s="35"/>
      <c r="AC6" s="35"/>
      <c r="AD6" s="48">
        <v>1.0</v>
      </c>
      <c r="AE6" s="35"/>
      <c r="AF6" s="35"/>
      <c r="AG6" s="47"/>
      <c r="AH6" s="35"/>
      <c r="AI6" s="49" t="s">
        <v>26</v>
      </c>
      <c r="AJ6" s="49" t="s">
        <v>27</v>
      </c>
      <c r="AK6" s="49" t="s">
        <v>41</v>
      </c>
      <c r="AL6" s="49">
        <v>100.0</v>
      </c>
      <c r="AM6" s="49">
        <v>100.0</v>
      </c>
      <c r="AN6" s="49">
        <v>100.0</v>
      </c>
      <c r="AO6" s="49">
        <v>100.0</v>
      </c>
      <c r="AQ6" s="49">
        <v>1.0</v>
      </c>
      <c r="AR6" s="49">
        <v>1.0</v>
      </c>
      <c r="AS6" s="49" t="s">
        <v>29</v>
      </c>
      <c r="AT6" s="35"/>
      <c r="AU6" s="35"/>
      <c r="AV6" s="49">
        <v>100.0</v>
      </c>
      <c r="AW6" s="49">
        <v>100.0</v>
      </c>
      <c r="AX6" s="35"/>
      <c r="AY6" s="47"/>
      <c r="AZ6" s="47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0"/>
      <c r="E7" s="35"/>
      <c r="F7" s="39"/>
      <c r="H7" s="35"/>
      <c r="I7" s="35"/>
      <c r="K7" s="35"/>
      <c r="L7" s="35"/>
      <c r="M7" s="35"/>
      <c r="N7" s="35"/>
      <c r="O7" s="35"/>
      <c r="P7" s="35"/>
      <c r="Q7" s="35"/>
      <c r="R7" s="35"/>
      <c r="S7" s="47"/>
      <c r="T7" s="47"/>
      <c r="U7" s="35"/>
      <c r="V7" s="35"/>
      <c r="W7" s="35"/>
      <c r="X7" s="47"/>
      <c r="Y7" s="35"/>
      <c r="Z7" s="35"/>
      <c r="AA7" s="35"/>
      <c r="AB7" s="35"/>
      <c r="AC7" s="35"/>
      <c r="AD7" s="48">
        <v>1.0</v>
      </c>
      <c r="AE7" s="35"/>
      <c r="AF7" s="35"/>
      <c r="AG7" s="47"/>
      <c r="AH7" s="35"/>
      <c r="AI7" s="49" t="s">
        <v>30</v>
      </c>
      <c r="AJ7" s="49" t="s">
        <v>27</v>
      </c>
      <c r="AK7" s="49" t="s">
        <v>41</v>
      </c>
      <c r="AL7" s="49">
        <v>100.0</v>
      </c>
      <c r="AM7" s="49">
        <v>100.0</v>
      </c>
      <c r="AN7" s="49">
        <v>100.0</v>
      </c>
      <c r="AO7" s="49">
        <v>100.0</v>
      </c>
      <c r="AQ7" s="49">
        <v>2.0</v>
      </c>
      <c r="AR7" s="49">
        <v>2.0</v>
      </c>
      <c r="AS7" s="49" t="s">
        <v>29</v>
      </c>
      <c r="AT7" s="45"/>
      <c r="AU7" s="35"/>
      <c r="AV7" s="49">
        <v>200.0</v>
      </c>
      <c r="AW7" s="49">
        <v>200.0</v>
      </c>
      <c r="AX7" s="35"/>
      <c r="AY7" s="47"/>
      <c r="AZ7" s="47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50"/>
      <c r="E8" s="35"/>
      <c r="F8" s="39"/>
      <c r="H8" s="35"/>
      <c r="I8" s="35"/>
      <c r="K8" s="35"/>
      <c r="L8" s="35"/>
      <c r="M8" s="35"/>
      <c r="N8" s="35"/>
      <c r="O8" s="35"/>
      <c r="P8" s="35"/>
      <c r="Q8" s="35"/>
      <c r="R8" s="35"/>
      <c r="S8" s="47"/>
      <c r="T8" s="47"/>
      <c r="U8" s="35"/>
      <c r="V8" s="35"/>
      <c r="W8" s="35"/>
      <c r="X8" s="47"/>
      <c r="Y8" s="35"/>
      <c r="Z8" s="35"/>
      <c r="AA8" s="35"/>
      <c r="AB8" s="35"/>
      <c r="AC8" s="35"/>
      <c r="AD8" s="48">
        <v>1.0</v>
      </c>
      <c r="AE8" s="35"/>
      <c r="AF8" s="35"/>
      <c r="AG8" s="47"/>
      <c r="AH8" s="35"/>
      <c r="AI8" s="49" t="s">
        <v>31</v>
      </c>
      <c r="AJ8" s="49" t="s">
        <v>27</v>
      </c>
      <c r="AK8" s="49" t="s">
        <v>41</v>
      </c>
      <c r="AL8" s="49">
        <v>100.0</v>
      </c>
      <c r="AM8" s="49">
        <v>100.0</v>
      </c>
      <c r="AN8" s="49">
        <v>100.0</v>
      </c>
      <c r="AO8" s="49">
        <v>100.0</v>
      </c>
      <c r="AQ8" s="49">
        <v>3.0</v>
      </c>
      <c r="AR8" s="49">
        <v>3.0</v>
      </c>
      <c r="AS8" s="49" t="s">
        <v>29</v>
      </c>
      <c r="AT8" s="45"/>
      <c r="AU8" s="35"/>
      <c r="AV8" s="49">
        <v>300.0</v>
      </c>
      <c r="AW8" s="49">
        <v>300.0</v>
      </c>
      <c r="AX8" s="35"/>
      <c r="AY8" s="47"/>
      <c r="AZ8" s="47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H9" s="35"/>
      <c r="I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45">
        <v>1.0</v>
      </c>
      <c r="AE9" s="35"/>
      <c r="AF9" s="35"/>
      <c r="AG9" s="35"/>
      <c r="AH9" s="35"/>
      <c r="AI9" s="49" t="s">
        <v>26</v>
      </c>
      <c r="AJ9" s="49" t="s">
        <v>27</v>
      </c>
      <c r="AK9" s="49" t="s">
        <v>41</v>
      </c>
      <c r="AL9" s="49">
        <v>1000.0</v>
      </c>
      <c r="AM9" s="9">
        <v>1000.0</v>
      </c>
      <c r="AN9" s="9">
        <v>100.0</v>
      </c>
      <c r="AO9" s="9">
        <v>1000.0</v>
      </c>
      <c r="AQ9" s="49">
        <v>10.0</v>
      </c>
      <c r="AR9" s="49">
        <v>10.0</v>
      </c>
      <c r="AS9" s="49" t="s">
        <v>29</v>
      </c>
      <c r="AT9" s="35"/>
      <c r="AU9" s="35"/>
      <c r="AV9" s="9">
        <v>10000.0</v>
      </c>
      <c r="AW9" s="9">
        <v>10000.0</v>
      </c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H10" s="35"/>
      <c r="I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45">
        <v>1.0</v>
      </c>
      <c r="AE10" s="35"/>
      <c r="AF10" s="35"/>
      <c r="AG10" s="35"/>
      <c r="AH10" s="35"/>
      <c r="AI10" s="49" t="s">
        <v>30</v>
      </c>
      <c r="AJ10" s="49" t="s">
        <v>27</v>
      </c>
      <c r="AK10" s="49" t="s">
        <v>41</v>
      </c>
      <c r="AL10" s="9">
        <v>1000.0</v>
      </c>
      <c r="AM10" s="9">
        <v>1000.0</v>
      </c>
      <c r="AN10" s="9">
        <v>100.0</v>
      </c>
      <c r="AO10" s="9">
        <v>1000.0</v>
      </c>
      <c r="AQ10" s="49">
        <v>20.0</v>
      </c>
      <c r="AR10" s="49">
        <v>20.0</v>
      </c>
      <c r="AS10" s="49" t="s">
        <v>29</v>
      </c>
      <c r="AT10" s="35"/>
      <c r="AU10" s="35"/>
      <c r="AV10" s="9">
        <v>20000.0</v>
      </c>
      <c r="AW10" s="9">
        <v>20000.0</v>
      </c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H11" s="8"/>
      <c r="I11" s="8"/>
      <c r="K11" s="8"/>
      <c r="L11" s="8"/>
      <c r="M11" s="8"/>
      <c r="N11" s="8"/>
      <c r="O11" s="8"/>
      <c r="AD11" s="9">
        <v>1.0</v>
      </c>
      <c r="AI11" s="49" t="s">
        <v>31</v>
      </c>
      <c r="AJ11" s="49" t="s">
        <v>27</v>
      </c>
      <c r="AK11" s="49" t="s">
        <v>41</v>
      </c>
      <c r="AL11" s="9">
        <v>1000.0</v>
      </c>
      <c r="AM11" s="9">
        <v>1000.0</v>
      </c>
      <c r="AN11" s="9">
        <v>100.0</v>
      </c>
      <c r="AO11" s="9">
        <v>1000.0</v>
      </c>
      <c r="AQ11" s="49">
        <v>30.0</v>
      </c>
      <c r="AR11" s="49">
        <v>30.0</v>
      </c>
      <c r="AS11" s="49" t="s">
        <v>29</v>
      </c>
      <c r="AV11" s="9">
        <v>30000.0</v>
      </c>
      <c r="AW11" s="9">
        <v>30000.0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49" t="s">
        <v>20</v>
      </c>
      <c r="D6" s="57"/>
      <c r="E6" s="57">
        <v>1000.0</v>
      </c>
      <c r="G6" s="49" t="s">
        <v>44</v>
      </c>
      <c r="H6" s="57"/>
      <c r="I6" s="57"/>
      <c r="K6" s="57">
        <v>10.0</v>
      </c>
      <c r="L6" s="57">
        <v>10.0</v>
      </c>
      <c r="O6" s="49" t="s">
        <v>29</v>
      </c>
      <c r="Q6" s="57"/>
      <c r="R6" s="57"/>
      <c r="T6" s="57"/>
      <c r="U6" s="57"/>
      <c r="AB6" s="9">
        <v>1.0</v>
      </c>
      <c r="AE6" s="9">
        <v>1000.0</v>
      </c>
      <c r="AI6" s="9">
        <v>1.0</v>
      </c>
      <c r="AT6" s="57"/>
      <c r="AU6" s="57"/>
      <c r="AW6" s="57"/>
      <c r="AX6" s="57"/>
      <c r="AZ6" s="57"/>
      <c r="BC6" s="57"/>
      <c r="BE6" s="9">
        <v>10000.0</v>
      </c>
      <c r="BF6" s="9">
        <v>10000.0</v>
      </c>
      <c r="BJ6" s="9">
        <v>1000.0</v>
      </c>
      <c r="BK6" s="57"/>
      <c r="BO6" s="9" t="s">
        <v>27</v>
      </c>
      <c r="BP6" s="57"/>
      <c r="BQ6" s="57"/>
      <c r="BT6" s="9" t="s">
        <v>26</v>
      </c>
      <c r="BU6" s="57"/>
      <c r="BV6" s="57"/>
      <c r="BW6" s="57"/>
      <c r="BX6" s="57"/>
      <c r="CG6" s="57"/>
      <c r="CJ6" s="57"/>
    </row>
    <row r="7" ht="15.75" customHeight="1">
      <c r="B7" s="49" t="s">
        <v>22</v>
      </c>
      <c r="D7" s="57"/>
      <c r="E7" s="57">
        <v>1000.0</v>
      </c>
      <c r="G7" s="49" t="s">
        <v>44</v>
      </c>
      <c r="H7" s="57"/>
      <c r="I7" s="57"/>
      <c r="K7" s="57">
        <v>20.0</v>
      </c>
      <c r="L7" s="57">
        <v>20.0</v>
      </c>
      <c r="O7" s="49" t="s">
        <v>29</v>
      </c>
      <c r="Q7" s="57"/>
      <c r="R7" s="57"/>
      <c r="T7" s="57"/>
      <c r="U7" s="57"/>
      <c r="AB7" s="9">
        <v>1.0</v>
      </c>
      <c r="AE7" s="9">
        <v>1000.0</v>
      </c>
      <c r="AI7" s="9">
        <v>1.0</v>
      </c>
      <c r="AT7" s="57"/>
      <c r="AU7" s="57"/>
      <c r="AW7" s="57"/>
      <c r="AX7" s="57"/>
      <c r="AZ7" s="57"/>
      <c r="BC7" s="57"/>
      <c r="BE7" s="9">
        <v>20000.0</v>
      </c>
      <c r="BF7" s="9">
        <v>20000.0</v>
      </c>
      <c r="BJ7" s="9">
        <v>1000.0</v>
      </c>
      <c r="BK7" s="57"/>
      <c r="BO7" s="9" t="s">
        <v>27</v>
      </c>
      <c r="BP7" s="57"/>
      <c r="BQ7" s="57"/>
      <c r="BT7" s="9" t="s">
        <v>30</v>
      </c>
      <c r="BU7" s="57"/>
      <c r="BV7" s="57"/>
      <c r="BW7" s="57"/>
      <c r="BX7" s="57"/>
      <c r="CG7" s="57"/>
      <c r="CJ7" s="57"/>
    </row>
    <row r="8" ht="15.75" customHeight="1">
      <c r="B8" s="49" t="s">
        <v>23</v>
      </c>
      <c r="E8" s="57">
        <v>1000.0</v>
      </c>
      <c r="G8" s="49" t="s">
        <v>44</v>
      </c>
      <c r="K8" s="57">
        <v>30.0</v>
      </c>
      <c r="L8" s="57">
        <v>30.0</v>
      </c>
      <c r="O8" s="49" t="s">
        <v>29</v>
      </c>
      <c r="AB8" s="9">
        <v>1.0</v>
      </c>
      <c r="AE8" s="9">
        <v>1000.0</v>
      </c>
      <c r="AI8" s="9">
        <v>1.0</v>
      </c>
      <c r="BE8" s="9">
        <v>30000.0</v>
      </c>
      <c r="BF8" s="9">
        <v>30000.0</v>
      </c>
      <c r="BJ8" s="9">
        <v>1000.0</v>
      </c>
      <c r="BO8" s="9" t="s">
        <v>27</v>
      </c>
      <c r="BT8" s="9" t="s">
        <v>31</v>
      </c>
    </row>
    <row r="9" ht="15.75" customHeight="1">
      <c r="A9" s="8"/>
      <c r="B9" s="8"/>
      <c r="C9" s="8"/>
      <c r="D9" s="58"/>
      <c r="E9" s="8"/>
      <c r="F9" s="8"/>
      <c r="G9" s="58"/>
      <c r="H9" s="8"/>
      <c r="I9" s="8"/>
      <c r="J9" s="8"/>
      <c r="K9" s="8"/>
      <c r="L9" s="8"/>
      <c r="M9" s="8"/>
      <c r="N9" s="8"/>
      <c r="O9" s="8"/>
      <c r="Q9" s="58"/>
      <c r="AT9" s="58"/>
      <c r="AU9" s="58"/>
      <c r="BE9" s="58"/>
      <c r="BF9" s="58"/>
      <c r="CN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N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'_Modules'!$A$4:$A$996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