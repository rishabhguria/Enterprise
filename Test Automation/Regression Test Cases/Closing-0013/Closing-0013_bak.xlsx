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AutomaticClosing" sheetId="6" r:id="rId6"/>
    <sheet name="VerifyClosedTrades" sheetId="7" r:id="rId7"/>
    <sheet name="UnwindClosing" sheetId="8" r:id="rId8"/>
    <sheet name="GetDataAllocation" sheetId="9" r:id="rId9"/>
    <sheet name="CheckAllocatedGroups" sheetId="10" r:id="rId10"/>
    <sheet name="CheckPortfolioManagement" sheetId="11" r:id="rId11"/>
    <sheet name="VerifyLongPositionsGrid" sheetId="12" r:id="rId12"/>
    <sheet name="VerifyShortPositionsGrid" sheetId="13" r:id="rId13"/>
  </sheets>
  <calcPr calcId="145621"/>
</workbook>
</file>

<file path=xl/calcChain.xml><?xml version="1.0" encoding="utf-8"?>
<calcChain xmlns="http://schemas.openxmlformats.org/spreadsheetml/2006/main">
  <c r="BK5" i="11" l="1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FM5" i="11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F4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FL5" i="11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M4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FK5" i="11"/>
  <c r="FC5" i="1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FL4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FJ5" i="11"/>
  <c r="FB5" i="11"/>
  <c r="ET5" i="11"/>
  <c r="EL5" i="11"/>
  <c r="ED5" i="11"/>
  <c r="DV5" i="11"/>
  <c r="DN5" i="11"/>
  <c r="DF5" i="11"/>
  <c r="CX5" i="11"/>
  <c r="CP5" i="11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I4" i="11"/>
  <c r="FA4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F5" i="11"/>
  <c r="EX5" i="11"/>
  <c r="EP5" i="11"/>
  <c r="EH5" i="11"/>
  <c r="DZ5" i="11"/>
  <c r="DR5" i="11"/>
  <c r="DJ5" i="11"/>
  <c r="BR5" i="11"/>
  <c r="AL5" i="11"/>
  <c r="F5" i="11"/>
  <c r="EY4" i="11"/>
  <c r="EB4" i="11"/>
  <c r="DG4" i="11"/>
  <c r="CM4" i="11"/>
  <c r="BP4" i="11"/>
  <c r="AU4" i="11"/>
  <c r="AA4" i="11"/>
  <c r="D4" i="11"/>
  <c r="EK5" i="10"/>
  <c r="DU5" i="10"/>
  <c r="DE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B5" i="11"/>
  <c r="BN5" i="11"/>
  <c r="AH5" i="11"/>
  <c r="C5" i="11"/>
  <c r="EU4" i="11"/>
  <c r="EA4" i="11"/>
  <c r="DD4" i="11"/>
  <c r="CI4" i="11"/>
  <c r="BO4" i="11"/>
  <c r="AR4" i="11"/>
  <c r="W4" i="11"/>
  <c r="C4" i="11"/>
  <c r="EI5" i="10"/>
  <c r="DS5" i="10"/>
  <c r="DC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CT5" i="11"/>
  <c r="BJ5" i="11"/>
  <c r="AD5" i="11"/>
  <c r="B5" i="11"/>
  <c r="ER4" i="11"/>
  <c r="DW4" i="11"/>
  <c r="DC4" i="11"/>
  <c r="CF4" i="11"/>
  <c r="BK4" i="11"/>
  <c r="AQ4" i="11"/>
  <c r="T4" i="11"/>
  <c r="EW5" i="10"/>
  <c r="EG5" i="10"/>
  <c r="DQ5" i="10"/>
  <c r="DA5" i="10"/>
  <c r="CM5" i="10"/>
  <c r="CE5" i="10"/>
  <c r="CL5" i="11"/>
  <c r="BF5" i="11"/>
  <c r="Z5" i="11"/>
  <c r="FK4" i="11"/>
  <c r="EQ4" i="11"/>
  <c r="DT4" i="11"/>
  <c r="CY4" i="11"/>
  <c r="CE4" i="11"/>
  <c r="BH4" i="11"/>
  <c r="AM4" i="11"/>
  <c r="S4" i="11"/>
  <c r="ET5" i="10"/>
  <c r="ED5" i="10"/>
  <c r="DN5" i="10"/>
  <c r="CX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CH5" i="11"/>
  <c r="BB5" i="11"/>
  <c r="V5" i="11"/>
  <c r="FH4" i="11"/>
  <c r="EM4" i="11"/>
  <c r="DS4" i="11"/>
  <c r="CV4" i="11"/>
  <c r="CA4" i="11"/>
  <c r="BG4" i="11"/>
  <c r="AJ4" i="11"/>
  <c r="O4" i="11"/>
  <c r="ES5" i="10"/>
  <c r="EC5" i="10"/>
  <c r="DM5" i="10"/>
  <c r="CW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CD5" i="11"/>
  <c r="AX5" i="11"/>
  <c r="R5" i="11"/>
  <c r="FG4" i="11"/>
  <c r="EJ4" i="11"/>
  <c r="DO4" i="11"/>
  <c r="CU4" i="11"/>
  <c r="BX4" i="11"/>
  <c r="BC4" i="11"/>
  <c r="AI4" i="11"/>
  <c r="L4" i="11"/>
  <c r="EQ5" i="10"/>
  <c r="EA5" i="10"/>
  <c r="DK5" i="10"/>
  <c r="CU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BZ5" i="11"/>
  <c r="AT5" i="11"/>
  <c r="N5" i="11"/>
  <c r="FC4" i="11"/>
  <c r="EI4" i="11"/>
  <c r="DL4" i="11"/>
  <c r="CQ4" i="11"/>
  <c r="BW4" i="11"/>
  <c r="AZ4" i="11"/>
  <c r="AE4" i="11"/>
  <c r="K4" i="11"/>
  <c r="EO5" i="10"/>
  <c r="DY5" i="10"/>
  <c r="DI5" i="10"/>
  <c r="CS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BV5" i="11"/>
  <c r="AP5" i="11"/>
  <c r="J5" i="11"/>
  <c r="EZ4" i="11"/>
  <c r="EE4" i="11"/>
  <c r="DK4" i="11"/>
  <c r="CN4" i="11"/>
  <c r="BS4" i="11"/>
  <c r="AY4" i="11"/>
  <c r="AB4" i="11"/>
  <c r="G4" i="11"/>
  <c r="EL5" i="10"/>
  <c r="DV5" i="10"/>
  <c r="DF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BW5" i="10"/>
  <c r="K5" i="10"/>
  <c r="CW4" i="10"/>
  <c r="AK4" i="10"/>
  <c r="DW5" i="9"/>
  <c r="BK5" i="9"/>
  <c r="EW4" i="9"/>
  <c r="CK4" i="9"/>
  <c r="Y4" i="9"/>
  <c r="DK5" i="8"/>
  <c r="AY5" i="8"/>
  <c r="EK4" i="8"/>
  <c r="CU4" i="8"/>
  <c r="BO4" i="8"/>
  <c r="AI4" i="8"/>
  <c r="C4" i="8"/>
  <c r="EE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BO5" i="10"/>
  <c r="C5" i="10"/>
  <c r="CO4" i="10"/>
  <c r="AC4" i="10"/>
  <c r="DO5" i="9"/>
  <c r="BC5" i="9"/>
  <c r="EO4" i="9"/>
  <c r="CC4" i="9"/>
  <c r="Q4" i="9"/>
  <c r="DC5" i="8"/>
  <c r="AQ5" i="8"/>
  <c r="EC4" i="8"/>
  <c r="CO4" i="8"/>
  <c r="BI4" i="8"/>
  <c r="AC4" i="8"/>
  <c r="EC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BG5" i="10"/>
  <c r="ES4" i="10"/>
  <c r="CG4" i="10"/>
  <c r="U4" i="10"/>
  <c r="DG5" i="9"/>
  <c r="AU5" i="9"/>
  <c r="EG4" i="9"/>
  <c r="BU4" i="9"/>
  <c r="I4" i="9"/>
  <c r="CU5" i="8"/>
  <c r="AI5" i="8"/>
  <c r="DU4" i="8"/>
  <c r="CM4" i="8"/>
  <c r="BG4" i="8"/>
  <c r="AA4" i="8"/>
  <c r="EU5" i="7"/>
  <c r="EA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AY5" i="10"/>
  <c r="EK4" i="10"/>
  <c r="BY4" i="10"/>
  <c r="M4" i="10"/>
  <c r="CY5" i="9"/>
  <c r="AM5" i="9"/>
  <c r="DY4" i="9"/>
  <c r="BM4" i="9"/>
  <c r="CM5" i="8"/>
  <c r="AA5" i="8"/>
  <c r="DM4" i="8"/>
  <c r="CG4" i="8"/>
  <c r="BA4" i="8"/>
  <c r="U4" i="8"/>
  <c r="ES5" i="7"/>
  <c r="DW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AQ5" i="10"/>
  <c r="EC4" i="10"/>
  <c r="BQ4" i="10"/>
  <c r="E4" i="10"/>
  <c r="CQ5" i="9"/>
  <c r="AE5" i="9"/>
  <c r="DQ4" i="9"/>
  <c r="BE4" i="9"/>
  <c r="EQ5" i="8"/>
  <c r="CE5" i="8"/>
  <c r="S5" i="8"/>
  <c r="DK4" i="8"/>
  <c r="CE4" i="8"/>
  <c r="AY4" i="8"/>
  <c r="S4" i="8"/>
  <c r="EQ5" i="7"/>
  <c r="DU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AI5" i="10"/>
  <c r="DU4" i="10"/>
  <c r="BI4" i="10"/>
  <c r="EU5" i="9"/>
  <c r="CI5" i="9"/>
  <c r="W5" i="9"/>
  <c r="DI4" i="9"/>
  <c r="AW4" i="9"/>
  <c r="EI5" i="8"/>
  <c r="BW5" i="8"/>
  <c r="K5" i="8"/>
  <c r="DE4" i="8"/>
  <c r="BY4" i="8"/>
  <c r="AS4" i="8"/>
  <c r="M4" i="8"/>
  <c r="EM5" i="7"/>
  <c r="DS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AA5" i="10"/>
  <c r="DM4" i="10"/>
  <c r="BA4" i="10"/>
  <c r="EM5" i="9"/>
  <c r="CA5" i="9"/>
  <c r="O5" i="9"/>
  <c r="DA4" i="9"/>
  <c r="AO4" i="9"/>
  <c r="EA5" i="8"/>
  <c r="BO5" i="8"/>
  <c r="C5" i="8"/>
  <c r="DC4" i="8"/>
  <c r="BW4" i="8"/>
  <c r="AQ4" i="8"/>
  <c r="K4" i="8"/>
  <c r="EK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5" i="10"/>
  <c r="DE4" i="10"/>
  <c r="AS4" i="10"/>
  <c r="EE5" i="9"/>
  <c r="BS5" i="9"/>
  <c r="G5" i="9"/>
  <c r="CS4" i="9"/>
  <c r="AG4" i="9"/>
  <c r="DS5" i="8"/>
  <c r="BG5" i="8"/>
  <c r="ES4" i="8"/>
  <c r="CW4" i="8"/>
  <c r="BQ4" i="8"/>
  <c r="AK4" i="8"/>
  <c r="E4" i="8"/>
  <c r="EI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EG4" i="5"/>
  <c r="BU4" i="5"/>
  <c r="AO4" i="5"/>
  <c r="S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DY4" i="5"/>
  <c r="BQ4" i="5"/>
  <c r="AK4" i="5"/>
  <c r="R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DQ4" i="5"/>
  <c r="BM4" i="5"/>
  <c r="AG4" i="5"/>
  <c r="Q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DI4" i="5"/>
  <c r="BI4" i="5"/>
  <c r="AC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DA4" i="5"/>
  <c r="BE4" i="5"/>
  <c r="Y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CS4" i="5"/>
  <c r="BA4" i="5"/>
  <c r="V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CK4" i="5"/>
  <c r="AW4" i="5"/>
  <c r="U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CC4" i="5"/>
  <c r="AS4" i="5"/>
  <c r="T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EI4" i="4"/>
  <c r="BW4" i="4"/>
  <c r="K4" i="4"/>
  <c r="G996" i="3"/>
  <c r="C991" i="3"/>
  <c r="A987" i="3"/>
  <c r="E984" i="3"/>
  <c r="I981" i="3"/>
  <c r="A979" i="3"/>
  <c r="E976" i="3"/>
  <c r="I973" i="3"/>
  <c r="A971" i="3"/>
  <c r="E968" i="3"/>
  <c r="I965" i="3"/>
  <c r="A963" i="3"/>
  <c r="E960" i="3"/>
  <c r="I957" i="3"/>
  <c r="A955" i="3"/>
  <c r="E952" i="3"/>
  <c r="I949" i="3"/>
  <c r="E947" i="3"/>
  <c r="F946" i="3"/>
  <c r="I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EA4" i="4"/>
  <c r="BO4" i="4"/>
  <c r="C4" i="4"/>
  <c r="K995" i="3"/>
  <c r="G990" i="3"/>
  <c r="G986" i="3"/>
  <c r="K983" i="3"/>
  <c r="C981" i="3"/>
  <c r="G978" i="3"/>
  <c r="K975" i="3"/>
  <c r="C973" i="3"/>
  <c r="G970" i="3"/>
  <c r="K967" i="3"/>
  <c r="C965" i="3"/>
  <c r="G962" i="3"/>
  <c r="K959" i="3"/>
  <c r="C957" i="3"/>
  <c r="G954" i="3"/>
  <c r="K951" i="3"/>
  <c r="C949" i="3"/>
  <c r="C947" i="3"/>
  <c r="E946" i="3"/>
  <c r="H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DS4" i="4"/>
  <c r="BG4" i="4"/>
  <c r="G1000" i="3"/>
  <c r="C995" i="3"/>
  <c r="K989" i="3"/>
  <c r="E986" i="3"/>
  <c r="I983" i="3"/>
  <c r="A981" i="3"/>
  <c r="E978" i="3"/>
  <c r="I975" i="3"/>
  <c r="A973" i="3"/>
  <c r="E970" i="3"/>
  <c r="I967" i="3"/>
  <c r="A965" i="3"/>
  <c r="E962" i="3"/>
  <c r="I959" i="3"/>
  <c r="A957" i="3"/>
  <c r="E954" i="3"/>
  <c r="I951" i="3"/>
  <c r="A949" i="3"/>
  <c r="B947" i="3"/>
  <c r="D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DK4" i="4"/>
  <c r="AY4" i="4"/>
  <c r="K999" i="3"/>
  <c r="G994" i="3"/>
  <c r="C989" i="3"/>
  <c r="K985" i="3"/>
  <c r="C983" i="3"/>
  <c r="G980" i="3"/>
  <c r="K977" i="3"/>
  <c r="C975" i="3"/>
  <c r="G972" i="3"/>
  <c r="K969" i="3"/>
  <c r="C967" i="3"/>
  <c r="G964" i="3"/>
  <c r="K961" i="3"/>
  <c r="C959" i="3"/>
  <c r="G956" i="3"/>
  <c r="K953" i="3"/>
  <c r="C951" i="3"/>
  <c r="G948" i="3"/>
  <c r="A947" i="3"/>
  <c r="B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DC4" i="4"/>
  <c r="AQ4" i="4"/>
  <c r="C999" i="3"/>
  <c r="K993" i="3"/>
  <c r="G988" i="3"/>
  <c r="I985" i="3"/>
  <c r="A983" i="3"/>
  <c r="E980" i="3"/>
  <c r="I977" i="3"/>
  <c r="A975" i="3"/>
  <c r="E972" i="3"/>
  <c r="I969" i="3"/>
  <c r="A967" i="3"/>
  <c r="E964" i="3"/>
  <c r="I961" i="3"/>
  <c r="A959" i="3"/>
  <c r="E956" i="3"/>
  <c r="I953" i="3"/>
  <c r="A951" i="3"/>
  <c r="E948" i="3"/>
  <c r="J946" i="3"/>
  <c r="A946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CU4" i="4"/>
  <c r="AI4" i="4"/>
  <c r="G998" i="3"/>
  <c r="C993" i="3"/>
  <c r="K987" i="3"/>
  <c r="C985" i="3"/>
  <c r="G982" i="3"/>
  <c r="K979" i="3"/>
  <c r="C977" i="3"/>
  <c r="G974" i="3"/>
  <c r="K971" i="3"/>
  <c r="C969" i="3"/>
  <c r="G966" i="3"/>
  <c r="K963" i="3"/>
  <c r="C961" i="3"/>
  <c r="G958" i="3"/>
  <c r="K955" i="3"/>
  <c r="C953" i="3"/>
  <c r="G950" i="3"/>
  <c r="A948" i="3"/>
  <c r="I946" i="3"/>
  <c r="L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M4" i="4"/>
  <c r="AA4" i="4"/>
  <c r="K997" i="3"/>
  <c r="G992" i="3"/>
  <c r="I987" i="3"/>
  <c r="A985" i="3"/>
  <c r="E982" i="3"/>
  <c r="I979" i="3"/>
  <c r="A977" i="3"/>
  <c r="E974" i="3"/>
  <c r="I971" i="3"/>
  <c r="A969" i="3"/>
  <c r="E966" i="3"/>
  <c r="I963" i="3"/>
  <c r="A961" i="3"/>
  <c r="E958" i="3"/>
  <c r="I955" i="3"/>
  <c r="A953" i="3"/>
  <c r="E950" i="3"/>
  <c r="K947" i="3"/>
  <c r="H946" i="3"/>
  <c r="K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CE4" i="4"/>
  <c r="S4" i="4"/>
  <c r="C997" i="3"/>
  <c r="K991" i="3"/>
  <c r="C987" i="3"/>
  <c r="G984" i="3"/>
  <c r="K981" i="3"/>
  <c r="C979" i="3"/>
  <c r="G976" i="3"/>
  <c r="K973" i="3"/>
  <c r="C971" i="3"/>
  <c r="G968" i="3"/>
  <c r="K965" i="3"/>
  <c r="C963" i="3"/>
  <c r="G960" i="3"/>
  <c r="K957" i="3"/>
  <c r="C955" i="3"/>
  <c r="G952" i="3"/>
  <c r="K949" i="3"/>
  <c r="I947" i="3"/>
  <c r="G946" i="3"/>
  <c r="J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I842" i="3"/>
  <c r="E837" i="3"/>
  <c r="A832" i="3"/>
  <c r="I826" i="3"/>
  <c r="E821" i="3"/>
  <c r="A816" i="3"/>
  <c r="I810" i="3"/>
  <c r="E805" i="3"/>
  <c r="A800" i="3"/>
  <c r="I794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A842" i="3"/>
  <c r="I836" i="3"/>
  <c r="E831" i="3"/>
  <c r="A826" i="3"/>
  <c r="I820" i="3"/>
  <c r="E815" i="3"/>
  <c r="A810" i="3"/>
  <c r="I804" i="3"/>
  <c r="E799" i="3"/>
  <c r="A794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E841" i="3"/>
  <c r="A836" i="3"/>
  <c r="I830" i="3"/>
  <c r="E825" i="3"/>
  <c r="A820" i="3"/>
  <c r="I814" i="3"/>
  <c r="E809" i="3"/>
  <c r="A804" i="3"/>
  <c r="I798" i="3"/>
  <c r="E793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I840" i="3"/>
  <c r="E835" i="3"/>
  <c r="A830" i="3"/>
  <c r="I824" i="3"/>
  <c r="E819" i="3"/>
  <c r="A814" i="3"/>
  <c r="I808" i="3"/>
  <c r="E803" i="3"/>
  <c r="A798" i="3"/>
  <c r="I792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A840" i="3"/>
  <c r="I834" i="3"/>
  <c r="E829" i="3"/>
  <c r="A824" i="3"/>
  <c r="I818" i="3"/>
  <c r="E813" i="3"/>
  <c r="A808" i="3"/>
  <c r="I802" i="3"/>
  <c r="E797" i="3"/>
  <c r="A792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E839" i="3"/>
  <c r="A834" i="3"/>
  <c r="I828" i="3"/>
  <c r="E823" i="3"/>
  <c r="A818" i="3"/>
  <c r="I812" i="3"/>
  <c r="E807" i="3"/>
  <c r="A802" i="3"/>
  <c r="I796" i="3"/>
  <c r="E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I838" i="3"/>
  <c r="E833" i="3"/>
  <c r="A828" i="3"/>
  <c r="I822" i="3"/>
  <c r="E817" i="3"/>
  <c r="A812" i="3"/>
  <c r="I806" i="3"/>
  <c r="E801" i="3"/>
  <c r="A796" i="3"/>
  <c r="D791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A838" i="3"/>
  <c r="I832" i="3"/>
  <c r="E827" i="3"/>
  <c r="A822" i="3"/>
  <c r="I816" i="3"/>
  <c r="E811" i="3"/>
  <c r="A806" i="3"/>
  <c r="I800" i="3"/>
  <c r="E795" i="3"/>
  <c r="C791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J612" i="3"/>
  <c r="F607" i="3"/>
  <c r="B602" i="3"/>
  <c r="J596" i="3"/>
  <c r="F591" i="3"/>
  <c r="B586" i="3"/>
  <c r="J580" i="3"/>
  <c r="F575" i="3"/>
  <c r="B570" i="3"/>
  <c r="J564" i="3"/>
  <c r="F559" i="3"/>
  <c r="B554" i="3"/>
  <c r="J548" i="3"/>
  <c r="F543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B612" i="3"/>
  <c r="J606" i="3"/>
  <c r="F601" i="3"/>
  <c r="B596" i="3"/>
  <c r="J590" i="3"/>
  <c r="F585" i="3"/>
  <c r="B580" i="3"/>
  <c r="J574" i="3"/>
  <c r="F569" i="3"/>
  <c r="B564" i="3"/>
  <c r="J558" i="3"/>
  <c r="F553" i="3"/>
  <c r="B548" i="3"/>
  <c r="B543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F611" i="3"/>
  <c r="B606" i="3"/>
  <c r="J600" i="3"/>
  <c r="F595" i="3"/>
  <c r="B590" i="3"/>
  <c r="J584" i="3"/>
  <c r="F579" i="3"/>
  <c r="B574" i="3"/>
  <c r="J568" i="3"/>
  <c r="F563" i="3"/>
  <c r="B558" i="3"/>
  <c r="J552" i="3"/>
  <c r="F547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J610" i="3"/>
  <c r="F605" i="3"/>
  <c r="B600" i="3"/>
  <c r="J594" i="3"/>
  <c r="F589" i="3"/>
  <c r="B584" i="3"/>
  <c r="J578" i="3"/>
  <c r="F573" i="3"/>
  <c r="B568" i="3"/>
  <c r="J562" i="3"/>
  <c r="F557" i="3"/>
  <c r="B552" i="3"/>
  <c r="J546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B610" i="3"/>
  <c r="J604" i="3"/>
  <c r="F599" i="3"/>
  <c r="B594" i="3"/>
  <c r="J588" i="3"/>
  <c r="F583" i="3"/>
  <c r="B578" i="3"/>
  <c r="J572" i="3"/>
  <c r="F567" i="3"/>
  <c r="B562" i="3"/>
  <c r="J556" i="3"/>
  <c r="F551" i="3"/>
  <c r="B546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F609" i="3"/>
  <c r="B604" i="3"/>
  <c r="J598" i="3"/>
  <c r="F593" i="3"/>
  <c r="B588" i="3"/>
  <c r="J582" i="3"/>
  <c r="F577" i="3"/>
  <c r="B572" i="3"/>
  <c r="J566" i="3"/>
  <c r="F561" i="3"/>
  <c r="B556" i="3"/>
  <c r="J550" i="3"/>
  <c r="F545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J608" i="3"/>
  <c r="F603" i="3"/>
  <c r="B598" i="3"/>
  <c r="J592" i="3"/>
  <c r="F587" i="3"/>
  <c r="B582" i="3"/>
  <c r="J576" i="3"/>
  <c r="F571" i="3"/>
  <c r="B566" i="3"/>
  <c r="J560" i="3"/>
  <c r="F555" i="3"/>
  <c r="B550" i="3"/>
  <c r="J544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608" i="3"/>
  <c r="J602" i="3"/>
  <c r="F597" i="3"/>
  <c r="B592" i="3"/>
  <c r="J586" i="3"/>
  <c r="F581" i="3"/>
  <c r="B576" i="3"/>
  <c r="J570" i="3"/>
  <c r="F565" i="3"/>
  <c r="B560" i="3"/>
  <c r="J554" i="3"/>
  <c r="F549" i="3"/>
  <c r="B544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D385" i="3"/>
  <c r="J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H384" i="3"/>
  <c r="H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L383" i="3"/>
  <c r="G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F383" i="3"/>
  <c r="F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L467" i="3"/>
  <c r="H462" i="3"/>
  <c r="D457" i="3"/>
  <c r="L451" i="3"/>
  <c r="H446" i="3"/>
  <c r="D441" i="3"/>
  <c r="L435" i="3"/>
  <c r="H430" i="3"/>
  <c r="D425" i="3"/>
  <c r="L419" i="3"/>
  <c r="H414" i="3"/>
  <c r="D409" i="3"/>
  <c r="L403" i="3"/>
  <c r="H398" i="3"/>
  <c r="D393" i="3"/>
  <c r="L387" i="3"/>
  <c r="D383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C383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B383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L465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H396" i="3"/>
  <c r="D391" i="3"/>
  <c r="L385" i="3"/>
  <c r="K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G257" i="3"/>
  <c r="C252" i="3"/>
  <c r="K246" i="3"/>
  <c r="G241" i="3"/>
  <c r="C236" i="3"/>
  <c r="K230" i="3"/>
  <c r="G225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K256" i="3"/>
  <c r="G251" i="3"/>
  <c r="C246" i="3"/>
  <c r="K240" i="3"/>
  <c r="G235" i="3"/>
  <c r="C230" i="3"/>
  <c r="C225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256" i="3"/>
  <c r="K250" i="3"/>
  <c r="G245" i="3"/>
  <c r="C240" i="3"/>
  <c r="K234" i="3"/>
  <c r="G229" i="3"/>
  <c r="A225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G255" i="3"/>
  <c r="C250" i="3"/>
  <c r="K244" i="3"/>
  <c r="G239" i="3"/>
  <c r="C234" i="3"/>
  <c r="K228" i="3"/>
  <c r="K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K254" i="3"/>
  <c r="G249" i="3"/>
  <c r="C244" i="3"/>
  <c r="K238" i="3"/>
  <c r="G233" i="3"/>
  <c r="C228" i="3"/>
  <c r="J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C254" i="3"/>
  <c r="K248" i="3"/>
  <c r="G243" i="3"/>
  <c r="C238" i="3"/>
  <c r="K232" i="3"/>
  <c r="G227" i="3"/>
  <c r="I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253" i="3"/>
  <c r="C248" i="3"/>
  <c r="K242" i="3"/>
  <c r="G237" i="3"/>
  <c r="C232" i="3"/>
  <c r="K226" i="3"/>
  <c r="G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K252" i="3"/>
  <c r="G247" i="3"/>
  <c r="C242" i="3"/>
  <c r="K236" i="3"/>
  <c r="G231" i="3"/>
  <c r="C226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J124" i="3"/>
  <c r="F119" i="3"/>
  <c r="B114" i="3"/>
  <c r="J108" i="3"/>
  <c r="F103" i="3"/>
  <c r="B98" i="3"/>
  <c r="J92" i="3"/>
  <c r="F87" i="3"/>
  <c r="B82" i="3"/>
  <c r="J76" i="3"/>
  <c r="F71" i="3"/>
  <c r="C68" i="3"/>
  <c r="E67" i="3"/>
  <c r="G66" i="3"/>
  <c r="I65" i="3"/>
  <c r="L64" i="3"/>
  <c r="C64" i="3"/>
  <c r="F63" i="3"/>
  <c r="I62" i="3"/>
  <c r="L61" i="3"/>
  <c r="C61" i="3"/>
  <c r="E60" i="3"/>
  <c r="H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B124" i="3"/>
  <c r="J118" i="3"/>
  <c r="F113" i="3"/>
  <c r="B108" i="3"/>
  <c r="J102" i="3"/>
  <c r="F97" i="3"/>
  <c r="B92" i="3"/>
  <c r="J86" i="3"/>
  <c r="F81" i="3"/>
  <c r="B76" i="3"/>
  <c r="J70" i="3"/>
  <c r="B68" i="3"/>
  <c r="D67" i="3"/>
  <c r="E66" i="3"/>
  <c r="H65" i="3"/>
  <c r="K64" i="3"/>
  <c r="B64" i="3"/>
  <c r="E63" i="3"/>
  <c r="H62" i="3"/>
  <c r="K61" i="3"/>
  <c r="A61" i="3"/>
  <c r="D60" i="3"/>
  <c r="G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F123" i="3"/>
  <c r="B118" i="3"/>
  <c r="J112" i="3"/>
  <c r="F107" i="3"/>
  <c r="B102" i="3"/>
  <c r="J96" i="3"/>
  <c r="F91" i="3"/>
  <c r="B86" i="3"/>
  <c r="J80" i="3"/>
  <c r="F75" i="3"/>
  <c r="B70" i="3"/>
  <c r="A68" i="3"/>
  <c r="A67" i="3"/>
  <c r="D66" i="3"/>
  <c r="G65" i="3"/>
  <c r="J64" i="3"/>
  <c r="A64" i="3"/>
  <c r="D63" i="3"/>
  <c r="G62" i="3"/>
  <c r="I61" i="3"/>
  <c r="L60" i="3"/>
  <c r="C60" i="3"/>
  <c r="F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J122" i="3"/>
  <c r="F117" i="3"/>
  <c r="B112" i="3"/>
  <c r="J106" i="3"/>
  <c r="F101" i="3"/>
  <c r="B96" i="3"/>
  <c r="J90" i="3"/>
  <c r="F85" i="3"/>
  <c r="B80" i="3"/>
  <c r="J74" i="3"/>
  <c r="F69" i="3"/>
  <c r="L67" i="3"/>
  <c r="L66" i="3"/>
  <c r="C66" i="3"/>
  <c r="F65" i="3"/>
  <c r="I64" i="3"/>
  <c r="L63" i="3"/>
  <c r="C63" i="3"/>
  <c r="E62" i="3"/>
  <c r="H61" i="3"/>
  <c r="K60" i="3"/>
  <c r="B60" i="3"/>
  <c r="E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B122" i="3"/>
  <c r="J116" i="3"/>
  <c r="F111" i="3"/>
  <c r="B106" i="3"/>
  <c r="J100" i="3"/>
  <c r="F95" i="3"/>
  <c r="B90" i="3"/>
  <c r="J84" i="3"/>
  <c r="F79" i="3"/>
  <c r="B74" i="3"/>
  <c r="J68" i="3"/>
  <c r="I67" i="3"/>
  <c r="K66" i="3"/>
  <c r="B66" i="3"/>
  <c r="E65" i="3"/>
  <c r="H64" i="3"/>
  <c r="K63" i="3"/>
  <c r="A63" i="3"/>
  <c r="D62" i="3"/>
  <c r="G61" i="3"/>
  <c r="J60" i="3"/>
  <c r="A60" i="3"/>
  <c r="D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F121" i="3"/>
  <c r="B116" i="3"/>
  <c r="J110" i="3"/>
  <c r="F105" i="3"/>
  <c r="B100" i="3"/>
  <c r="J94" i="3"/>
  <c r="F89" i="3"/>
  <c r="B84" i="3"/>
  <c r="J78" i="3"/>
  <c r="F73" i="3"/>
  <c r="H68" i="3"/>
  <c r="H67" i="3"/>
  <c r="J66" i="3"/>
  <c r="A66" i="3"/>
  <c r="D65" i="3"/>
  <c r="G64" i="3"/>
  <c r="I63" i="3"/>
  <c r="L62" i="3"/>
  <c r="C62" i="3"/>
  <c r="F61" i="3"/>
  <c r="I60" i="3"/>
  <c r="L59" i="3"/>
  <c r="C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J120" i="3"/>
  <c r="F115" i="3"/>
  <c r="B110" i="3"/>
  <c r="J104" i="3"/>
  <c r="F99" i="3"/>
  <c r="B94" i="3"/>
  <c r="J88" i="3"/>
  <c r="F83" i="3"/>
  <c r="B78" i="3"/>
  <c r="J72" i="3"/>
  <c r="E68" i="3"/>
  <c r="G67" i="3"/>
  <c r="I66" i="3"/>
  <c r="L65" i="3"/>
  <c r="C65" i="3"/>
  <c r="E64" i="3"/>
  <c r="H63" i="3"/>
  <c r="K62" i="3"/>
  <c r="B62" i="3"/>
  <c r="E61" i="3"/>
  <c r="H60" i="3"/>
  <c r="K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B120" i="3"/>
  <c r="J114" i="3"/>
  <c r="F109" i="3"/>
  <c r="B104" i="3"/>
  <c r="J98" i="3"/>
  <c r="F93" i="3"/>
  <c r="B88" i="3"/>
  <c r="J82" i="3"/>
  <c r="F77" i="3"/>
  <c r="B72" i="3"/>
  <c r="D68" i="3"/>
  <c r="F67" i="3"/>
  <c r="H66" i="3"/>
  <c r="K65" i="3"/>
  <c r="A65" i="3"/>
  <c r="D64" i="3"/>
  <c r="G63" i="3"/>
  <c r="J62" i="3"/>
  <c r="A62" i="3"/>
  <c r="D61" i="3"/>
  <c r="G60" i="3"/>
  <c r="I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D823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C823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B823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K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H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G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F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J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I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C482" i="1"/>
  <c r="K480" i="1"/>
  <c r="L479" i="1"/>
  <c r="K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B482" i="1"/>
  <c r="J480" i="1"/>
  <c r="J479" i="1"/>
  <c r="J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A482" i="1"/>
  <c r="I480" i="1"/>
  <c r="G479" i="1"/>
  <c r="I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G481" i="1"/>
  <c r="H480" i="1"/>
  <c r="F479" i="1"/>
  <c r="H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481" i="1"/>
  <c r="F480" i="1"/>
  <c r="E479" i="1"/>
  <c r="F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481" i="1"/>
  <c r="C480" i="1"/>
  <c r="D479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D481" i="1"/>
  <c r="B480" i="1"/>
  <c r="B479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B481" i="1"/>
  <c r="A480" i="1"/>
  <c r="L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G147" i="1"/>
  <c r="B146" i="1"/>
  <c r="C145" i="1"/>
  <c r="E144" i="1"/>
  <c r="F143" i="1"/>
  <c r="G142" i="1"/>
  <c r="I141" i="1"/>
  <c r="J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C147" i="1"/>
  <c r="A146" i="1"/>
  <c r="B145" i="1"/>
  <c r="C144" i="1"/>
  <c r="E143" i="1"/>
  <c r="F142" i="1"/>
  <c r="G141" i="1"/>
  <c r="I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K146" i="1"/>
  <c r="K145" i="1"/>
  <c r="A145" i="1"/>
  <c r="B144" i="1"/>
  <c r="C143" i="1"/>
  <c r="E142" i="1"/>
  <c r="F141" i="1"/>
  <c r="G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J146" i="1"/>
  <c r="J145" i="1"/>
  <c r="K144" i="1"/>
  <c r="A144" i="1"/>
  <c r="B143" i="1"/>
  <c r="C142" i="1"/>
  <c r="E141" i="1"/>
  <c r="F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G146" i="1"/>
  <c r="I145" i="1"/>
  <c r="J144" i="1"/>
  <c r="K143" i="1"/>
  <c r="A143" i="1"/>
  <c r="B142" i="1"/>
  <c r="C141" i="1"/>
  <c r="E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F146" i="1"/>
  <c r="G145" i="1"/>
  <c r="I144" i="1"/>
  <c r="J143" i="1"/>
  <c r="K142" i="1"/>
  <c r="A142" i="1"/>
  <c r="B141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E146" i="1"/>
  <c r="F145" i="1"/>
  <c r="G144" i="1"/>
  <c r="I143" i="1"/>
  <c r="J142" i="1"/>
  <c r="K141" i="1"/>
  <c r="A141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C146" i="1"/>
  <c r="E145" i="1"/>
  <c r="F144" i="1"/>
  <c r="G143" i="1"/>
  <c r="I142" i="1"/>
  <c r="J141" i="1"/>
  <c r="K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J2" i="11" l="1"/>
  <c r="J2" i="13"/>
  <c r="J2" i="12"/>
  <c r="J2" i="10"/>
  <c r="J2" i="7"/>
  <c r="J2" i="8"/>
  <c r="J2" i="9"/>
  <c r="J2" i="6"/>
  <c r="J2" i="5"/>
  <c r="J2" i="4"/>
</calcChain>
</file>

<file path=xl/sharedStrings.xml><?xml version="1.0" encoding="utf-8"?>
<sst xmlns="http://schemas.openxmlformats.org/spreadsheetml/2006/main" count="171" uniqueCount="43">
  <si>
    <t>Modules Info</t>
  </si>
  <si>
    <t>Settings</t>
  </si>
  <si>
    <t>Master Data Info</t>
  </si>
  <si>
    <t>Module</t>
  </si>
  <si>
    <t>Modules</t>
  </si>
  <si>
    <t>Module Step Setting File</t>
  </si>
  <si>
    <t>1eFq-0rBBBruaRgYp8Plf3EAV1IQUFSYg9ee_wKGGGko</t>
  </si>
  <si>
    <t>Master Data Settings File</t>
  </si>
  <si>
    <t>1Nt_rf5DtgjbN9Ag4AMMlUkZYROxKZLH5m54YOl7tRT0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</si>
  <si>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</si>
  <si>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</si>
  <si>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</si>
  <si>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</si>
  <si>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</si>
  <si>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</si>
  <si>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</si>
  <si>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</si>
  <si>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</si>
  <si>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</si>
  <si>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Sell</t>
  </si>
  <si>
    <t>Closing</t>
  </si>
  <si>
    <t>GetDataClosing</t>
  </si>
  <si>
    <t>Historical</t>
  </si>
  <si>
    <t>AutomaticClosing</t>
  </si>
  <si>
    <t>HIHO</t>
  </si>
  <si>
    <t>None</t>
  </si>
  <si>
    <t>AvgPrice</t>
  </si>
  <si>
    <t>VerifyClosedTrades</t>
  </si>
  <si>
    <t>Long</t>
  </si>
  <si>
    <t>UnwindClosing</t>
  </si>
  <si>
    <t>Strategy Unallocated</t>
  </si>
  <si>
    <t>Equity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</si>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</sst>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4"/>
      <color rgb="FFFFFFFF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 applyAlignment="1"/>
    <xf numFmtId="0" fontId="5" fillId="3" borderId="4" xfId="0" applyFont="1" applyFill="1" applyBorder="1" applyAlignment="1"/>
    <xf numFmtId="0" fontId="6" fillId="0" borderId="0" xfId="0" applyFont="1" applyAlignment="1"/>
    <xf numFmtId="0" fontId="3" fillId="3" borderId="4" xfId="0" applyFont="1" applyFill="1" applyBorder="1" applyAlignment="1"/>
    <xf numFmtId="0" fontId="6" fillId="0" borderId="0" xfId="0" applyFont="1" applyAlignment="1"/>
    <xf numFmtId="0" fontId="3" fillId="3" borderId="4" xfId="0" applyFont="1" applyFill="1" applyBorder="1" applyAlignment="1"/>
    <xf numFmtId="0" fontId="5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5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5" fillId="5" borderId="0" xfId="0" applyFont="1" applyFill="1" applyAlignment="1"/>
    <xf numFmtId="0" fontId="5" fillId="5" borderId="4" xfId="0" applyFont="1" applyFill="1" applyBorder="1" applyAlignment="1"/>
    <xf numFmtId="0" fontId="5" fillId="5" borderId="4" xfId="0" applyFont="1" applyFill="1" applyBorder="1" applyAlignment="1"/>
    <xf numFmtId="0" fontId="10" fillId="5" borderId="0" xfId="0" applyFont="1" applyFill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0" fontId="3" fillId="0" borderId="0" xfId="0" applyFont="1" applyAlignment="1"/>
    <xf numFmtId="0" fontId="6" fillId="0" borderId="0" xfId="0" applyFont="1" applyAlignment="1">
      <alignment horizontal="right"/>
    </xf>
    <xf numFmtId="0" fontId="3" fillId="0" borderId="0" xfId="0" applyFont="1" applyAlignment="1"/>
    <xf numFmtId="14" fontId="3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2" fillId="0" borderId="0" xfId="0" applyFont="1" applyAlignment="1"/>
    <xf numFmtId="0" fontId="6" fillId="0" borderId="0" xfId="0" applyFont="1" applyAlignment="1"/>
    <xf numFmtId="14" fontId="6" fillId="0" borderId="0" xfId="0" applyNumberFormat="1" applyFont="1" applyAlignment="1">
      <alignment horizontal="right"/>
    </xf>
    <xf numFmtId="0" fontId="6" fillId="0" borderId="0" xfId="0" applyFont="1" applyAlignment="1"/>
    <xf numFmtId="0" fontId="3" fillId="0" borderId="0" xfId="0" applyFont="1" applyAlignment="1"/>
    <xf numFmtId="14" fontId="3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8" t="s">
        <v>0</v>
      </c>
      <c r="B1" s="39"/>
      <c r="C1" s="39"/>
      <c r="D1" s="39"/>
      <c r="E1" s="39"/>
      <c r="F1" s="40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4</v>
      </c>
      <c r="B3" s="4"/>
      <c r="C3" s="6"/>
      <c r="D3" s="6"/>
      <c r="E3" s="6"/>
      <c r="F3" s="6"/>
    </row>
    <row r="4" spans="1:12" ht="15.75" customHeight="1" x14ac:dyDescent="0.2">
      <c r="A4" s="3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3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2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1" t="s">
        <v>1</v>
      </c>
      <c r="B1" s="39"/>
      <c r="C1" s="40"/>
    </row>
    <row r="2" spans="1:3" ht="15.75" customHeight="1" x14ac:dyDescent="0.2">
      <c r="A2" s="3"/>
      <c r="B2" s="3"/>
      <c r="C2" s="3"/>
    </row>
    <row r="3" spans="1:3" ht="15.75" customHeight="1" x14ac:dyDescent="0.2">
      <c r="A3" s="2" t="s">
        <v>5</v>
      </c>
      <c r="B3" s="5" t="s">
        <v>6</v>
      </c>
      <c r="C3" s="3"/>
    </row>
    <row r="4" spans="1:3" ht="15.75" customHeight="1" x14ac:dyDescent="0.2">
      <c r="A4" s="7" t="s">
        <v>7</v>
      </c>
      <c r="B4" s="5" t="s">
        <v>8</v>
      </c>
      <c r="C4" s="3"/>
    </row>
    <row r="5" spans="1:3" ht="15.75" customHeight="1" x14ac:dyDescent="0.2">
      <c r="A5" s="8"/>
      <c r="B5" s="3"/>
      <c r="C5" s="3"/>
    </row>
    <row r="6" spans="1:3" ht="15.75" customHeight="1" x14ac:dyDescent="0.2">
      <c r="A6" s="8"/>
      <c r="B6" s="3"/>
      <c r="C6" s="3"/>
    </row>
    <row r="7" spans="1:3" ht="15.75" customHeight="1" x14ac:dyDescent="0.2">
      <c r="A7" s="8"/>
      <c r="B7" s="3"/>
      <c r="C7" s="3"/>
    </row>
    <row r="8" spans="1:3" ht="15.75" customHeight="1" x14ac:dyDescent="0.2">
      <c r="A8" s="8"/>
      <c r="B8" s="3"/>
      <c r="C8" s="3"/>
    </row>
    <row r="9" spans="1:3" ht="15.75" customHeight="1" x14ac:dyDescent="0.2">
      <c r="A9" s="8"/>
      <c r="B9" s="3"/>
      <c r="C9" s="3"/>
    </row>
    <row r="10" spans="1:3" ht="15.75" customHeight="1" x14ac:dyDescent="0.2">
      <c r="A10" s="8"/>
      <c r="B10" s="3"/>
      <c r="C10" s="3"/>
    </row>
    <row r="11" spans="1:3" ht="15.75" customHeight="1" x14ac:dyDescent="0.2">
      <c r="A11" s="8"/>
      <c r="B11" s="3"/>
      <c r="C11" s="3"/>
    </row>
    <row r="12" spans="1:3" ht="15.75" customHeight="1" x14ac:dyDescent="0.2">
      <c r="A12" s="8"/>
      <c r="B12" s="3"/>
      <c r="C12" s="3"/>
    </row>
    <row r="13" spans="1:3" ht="15.75" customHeight="1" x14ac:dyDescent="0.2">
      <c r="A13" s="8"/>
      <c r="B13" s="3"/>
      <c r="C13" s="3"/>
    </row>
    <row r="14" spans="1:3" ht="15.75" customHeight="1" x14ac:dyDescent="0.2">
      <c r="A14" s="8"/>
      <c r="B14" s="3"/>
      <c r="C14" s="3"/>
    </row>
    <row r="15" spans="1:3" ht="15.75" customHeight="1" x14ac:dyDescent="0.2">
      <c r="A15" s="8"/>
      <c r="B15" s="3"/>
      <c r="C15" s="3"/>
    </row>
    <row r="16" spans="1:3" ht="15.75" customHeight="1" x14ac:dyDescent="0.2">
      <c r="A16" s="8"/>
      <c r="B16" s="3"/>
      <c r="C16" s="3"/>
    </row>
    <row r="17" spans="1:3" ht="15.75" customHeight="1" x14ac:dyDescent="0.2">
      <c r="A17" s="8"/>
      <c r="B17" s="3"/>
      <c r="C17" s="3"/>
    </row>
    <row r="18" spans="1:3" ht="15.75" customHeight="1" x14ac:dyDescent="0.2">
      <c r="A18" s="8"/>
      <c r="B18" s="3"/>
      <c r="C18" s="3"/>
    </row>
    <row r="19" spans="1:3" ht="15.75" customHeight="1" x14ac:dyDescent="0.2">
      <c r="A19" s="8"/>
      <c r="B19" s="3"/>
      <c r="C19" s="3"/>
    </row>
    <row r="20" spans="1:3" ht="15.75" customHeight="1" x14ac:dyDescent="0.2">
      <c r="A20" s="8"/>
      <c r="B20" s="3"/>
      <c r="C20" s="3"/>
    </row>
    <row r="21" spans="1:3" ht="15.75" customHeight="1" x14ac:dyDescent="0.2">
      <c r="A21" s="8"/>
      <c r="B21" s="3"/>
      <c r="C21" s="3"/>
    </row>
    <row r="22" spans="1:3" ht="15.75" customHeight="1" x14ac:dyDescent="0.2">
      <c r="A22" s="8"/>
      <c r="B22" s="3"/>
      <c r="C22" s="3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8" t="s">
        <v>2</v>
      </c>
      <c r="B1" s="39"/>
      <c r="C1" s="39"/>
      <c r="D1" s="39"/>
      <c r="E1" s="39"/>
      <c r="F1" s="40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7" t="s">
        <v>3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str">
        <f ca="1">VLOOKUP($E$3,_MasterData!B4:D1000,3,FALSE)</f>
        <v>1b5S4Xpp4fgZ1ez6cK92QFnVBylqz8jhwxdAyEvwDqUI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12</v>
      </c>
      <c r="D3" s="2" t="s">
        <v>9</v>
      </c>
      <c r="E3" s="16" t="s">
        <v>13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4" t="s">
        <v>16</v>
      </c>
      <c r="C6" s="25" t="s">
        <v>17</v>
      </c>
      <c r="D6" s="26">
        <v>120</v>
      </c>
      <c r="E6" s="27"/>
      <c r="F6" s="25" t="s">
        <v>18</v>
      </c>
      <c r="G6" s="27"/>
      <c r="H6" s="27"/>
      <c r="I6" s="27"/>
      <c r="J6" s="28">
        <v>12</v>
      </c>
      <c r="K6" s="27"/>
      <c r="L6" s="29"/>
      <c r="M6" s="27"/>
      <c r="N6" s="30">
        <v>42786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</row>
    <row r="7" spans="1:154" ht="15.75" customHeight="1" x14ac:dyDescent="0.2">
      <c r="A7" s="3"/>
      <c r="B7" s="24" t="s">
        <v>16</v>
      </c>
      <c r="C7" s="25" t="s">
        <v>19</v>
      </c>
      <c r="D7" s="28">
        <v>100</v>
      </c>
      <c r="E7" s="27"/>
      <c r="F7" s="25" t="s">
        <v>18</v>
      </c>
      <c r="G7" s="27"/>
      <c r="H7" s="27"/>
      <c r="I7" s="27"/>
      <c r="J7" s="28">
        <v>12</v>
      </c>
      <c r="K7" s="27"/>
      <c r="L7" s="27"/>
      <c r="M7" s="27"/>
      <c r="N7" s="30">
        <v>42788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</row>
    <row r="8" spans="1:154" ht="15.75" customHeight="1" x14ac:dyDescent="0.2">
      <c r="A8" s="3"/>
      <c r="B8" s="24" t="s">
        <v>16</v>
      </c>
      <c r="C8" s="25" t="s">
        <v>17</v>
      </c>
      <c r="D8" s="28">
        <v>120</v>
      </c>
      <c r="E8" s="27"/>
      <c r="F8" s="25" t="s">
        <v>18</v>
      </c>
      <c r="G8" s="27"/>
      <c r="H8" s="27"/>
      <c r="I8" s="27"/>
      <c r="J8" s="28">
        <v>13</v>
      </c>
      <c r="K8" s="27"/>
      <c r="L8" s="27"/>
      <c r="M8" s="27"/>
      <c r="N8" s="30">
        <v>42787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</row>
    <row r="9" spans="1:154" ht="15.75" customHeight="1" x14ac:dyDescent="0.2">
      <c r="A9" s="3"/>
      <c r="B9" s="24" t="s">
        <v>16</v>
      </c>
      <c r="C9" s="25" t="s">
        <v>17</v>
      </c>
      <c r="D9" s="28">
        <v>120</v>
      </c>
      <c r="E9" s="27"/>
      <c r="F9" s="25" t="s">
        <v>18</v>
      </c>
      <c r="G9" s="27"/>
      <c r="H9" s="27"/>
      <c r="I9" s="27"/>
      <c r="J9" s="28">
        <v>15</v>
      </c>
      <c r="K9" s="27"/>
      <c r="L9" s="27"/>
      <c r="M9" s="27"/>
      <c r="N9" s="30">
        <v>42788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</row>
    <row r="10" spans="1:154" ht="15.75" customHeight="1" x14ac:dyDescent="0.2">
      <c r="A10" s="3"/>
      <c r="B10" s="24" t="s">
        <v>16</v>
      </c>
      <c r="C10" s="25" t="s">
        <v>19</v>
      </c>
      <c r="D10" s="28">
        <v>100</v>
      </c>
      <c r="E10" s="27"/>
      <c r="F10" s="25" t="s">
        <v>18</v>
      </c>
      <c r="G10" s="27"/>
      <c r="H10" s="27"/>
      <c r="I10" s="27"/>
      <c r="J10" s="28">
        <v>12</v>
      </c>
      <c r="K10" s="27"/>
      <c r="L10" s="27"/>
      <c r="M10" s="27"/>
      <c r="N10" s="31">
        <v>42786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20</v>
      </c>
      <c r="D3" s="2" t="s">
        <v>9</v>
      </c>
      <c r="E3" s="16" t="s">
        <v>21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3" t="s">
        <v>22</v>
      </c>
      <c r="C6" s="31">
        <v>42786</v>
      </c>
      <c r="D6" s="31">
        <v>42788</v>
      </c>
      <c r="E6" s="25" t="s">
        <v>18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str">
        <f ca="1">VLOOKUP($E$3,_MasterData!B4:D1000,3,FALSE)</f>
        <v>1zwv-aZp-DRCpq8bqLR0XRiyt0av-GAm0ORqbhnV-FKI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20</v>
      </c>
      <c r="D3" s="2" t="s">
        <v>9</v>
      </c>
      <c r="E3" s="16" t="s">
        <v>23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b">
        <v>0</v>
      </c>
      <c r="C6" s="5" t="b">
        <v>0</v>
      </c>
      <c r="D6" s="5" t="s">
        <v>24</v>
      </c>
      <c r="E6" s="5" t="s">
        <v>25</v>
      </c>
      <c r="F6" s="5" t="s">
        <v>26</v>
      </c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20</v>
      </c>
      <c r="D3" s="2" t="s">
        <v>9</v>
      </c>
      <c r="E3" s="16" t="s">
        <v>27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34">
        <v>42786</v>
      </c>
      <c r="D6" s="33" t="s">
        <v>18</v>
      </c>
      <c r="E6" s="27"/>
      <c r="F6" s="27"/>
      <c r="G6" s="27"/>
      <c r="H6" s="24" t="s">
        <v>16</v>
      </c>
      <c r="I6" s="28">
        <v>100</v>
      </c>
      <c r="J6" s="28">
        <v>12</v>
      </c>
      <c r="K6" s="28">
        <v>12</v>
      </c>
      <c r="L6" s="27"/>
      <c r="M6" s="27"/>
      <c r="N6" s="27"/>
      <c r="O6" s="25" t="s">
        <v>28</v>
      </c>
      <c r="P6" s="27"/>
      <c r="Q6" s="27" t="s">
        <v>19</v>
      </c>
      <c r="R6" s="29" t="s">
        <v>24</v>
      </c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 spans="1:154" ht="15.75" customHeight="1" x14ac:dyDescent="0.2">
      <c r="A7" s="3"/>
      <c r="B7" s="3"/>
      <c r="C7" s="34">
        <v>42788</v>
      </c>
      <c r="D7" s="25" t="s">
        <v>18</v>
      </c>
      <c r="E7" s="27"/>
      <c r="F7" s="27"/>
      <c r="G7" s="27"/>
      <c r="H7" s="24" t="s">
        <v>16</v>
      </c>
      <c r="I7" s="28">
        <v>100</v>
      </c>
      <c r="J7" s="28">
        <v>15</v>
      </c>
      <c r="K7" s="28">
        <v>12</v>
      </c>
      <c r="L7" s="27"/>
      <c r="M7" s="27"/>
      <c r="N7" s="27"/>
      <c r="O7" s="25" t="s">
        <v>28</v>
      </c>
      <c r="P7" s="27"/>
      <c r="Q7" s="27" t="s">
        <v>19</v>
      </c>
      <c r="R7" s="29" t="s">
        <v>24</v>
      </c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 spans="1:154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20</v>
      </c>
      <c r="D3" s="2" t="s">
        <v>9</v>
      </c>
      <c r="E3" s="16" t="s">
        <v>29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IFERROR(__xludf.DUMMYFUNCTION("""COMPUTED_VALUE"""),"Taxlot ID")</f>
        <v>Taxlot ID</v>
      </c>
      <c r="C5" s="21" t="str">
        <f ca="1">IFERROR(__xludf.DUMMYFUNCTION("""COMPUTED_VALUE"""),"Closing Date")</f>
        <v>Closing Date</v>
      </c>
      <c r="D5" s="21" t="str">
        <f ca="1">IFERROR(__xludf.DUMMYFUNCTION("""COMPUTED_VALUE"""),"Account")</f>
        <v>Account</v>
      </c>
      <c r="E5" s="21" t="str">
        <f ca="1">IFERROR(__xludf.DUMMYFUNCTION("""COMPUTED_VALUE"""),"Strategy")</f>
        <v>Strategy</v>
      </c>
      <c r="F5" s="22" t="str">
        <f ca="1">IFERROR(__xludf.DUMMYFUNCTION("""COMPUTED_VALUE"""),"Position Type")</f>
        <v>Position Type</v>
      </c>
      <c r="G5" s="21" t="str">
        <f ca="1">IFERROR(__xludf.DUMMYFUNCTION("""COMPUTED_VALUE"""),"Asset Class")</f>
        <v>Asset Class</v>
      </c>
      <c r="H5" s="21" t="str">
        <f ca="1">IFERROR(__xludf.DUMMYFUNCTION("""COMPUTED_VALUE"""),"Symbol")</f>
        <v>Symbol</v>
      </c>
      <c r="I5" s="21" t="str">
        <f ca="1">IFERROR(__xludf.DUMMYFUNCTION("""COMPUTED_VALUE"""),"Qty Closed")</f>
        <v>Qty Closed</v>
      </c>
      <c r="J5" s="21" t="str">
        <f ca="1">IFERROR(__xludf.DUMMYFUNCTION("""COMPUTED_VALUE"""),"Opening Price")</f>
        <v>Opening Price</v>
      </c>
      <c r="K5" s="21" t="str">
        <f ca="1">IFERROR(__xludf.DUMMYFUNCTION("""COMPUTED_VALUE"""),"Closing Price")</f>
        <v>Closing Price</v>
      </c>
      <c r="L5" s="21" t="str">
        <f ca="1">IFERROR(__xludf.DUMMYFUNCTION("""COMPUTED_VALUE"""),"ClosingTotalCommissionandFees")</f>
        <v>ClosingTotalCommissionandFees</v>
      </c>
      <c r="M5" s="21" t="str">
        <f ca="1">IFERROR(__xludf.DUMMYFUNCTION("""COMPUTED_VALUE"""),"Realized PNL(C.B.)")</f>
        <v>Realized PNL(C.B.)</v>
      </c>
      <c r="N5" s="21" t="str">
        <f ca="1">IFERROR(__xludf.DUMMYFUNCTION("""COMPUTED_VALUE"""),"Exchange")</f>
        <v>Exchange</v>
      </c>
      <c r="O5" s="21" t="str">
        <f ca="1">IFERROR(__xludf.DUMMYFUNCTION("""COMPUTED_VALUE"""),"Opening Side")</f>
        <v>Opening Side</v>
      </c>
      <c r="P5" s="21" t="str">
        <f ca="1">IFERROR(__xludf.DUMMYFUNCTION("""COMPUTED_VALUE"""),"Opening Fees &amp; Commission")</f>
        <v>Opening Fees &amp; Commission</v>
      </c>
      <c r="Q5" s="21" t="str">
        <f ca="1">IFERROR(__xludf.DUMMYFUNCTION("""COMPUTED_VALUE"""),"Closing Side")</f>
        <v>Closing Side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IFERROR(__xludf.DUMMYFUNCTION("""COMPUTED_VALUE"""),"ClosingID")</f>
        <v>ClosingID</v>
      </c>
      <c r="T5" s="23" t="str">
        <f ca="1">IFERROR(__xludf.DUMMYFUNCTION("""COMPUTED_VALUE"""),"Original Purchase Date")</f>
        <v>Original Purchase Date</v>
      </c>
      <c r="U5" s="23" t="str">
        <f ca="1">IFERROR(__xludf.DUMMYFUNCTION("""COMPUTED_VALUE"""),"Description")</f>
        <v>Description</v>
      </c>
      <c r="V5" s="23" t="str">
        <f ca="1">IFERROR(__xludf.DUMMYFUNCTION("""COMPUTED_VALUE"""),"AccountID")</f>
        <v>AccountID</v>
      </c>
      <c r="W5" s="23" t="str">
        <f ca="1">IFERROR(__xludf.DUMMYFUNCTION("""COMPUTED_VALUE"""),"IsExpired_Settled")</f>
        <v>IsExpired_Settled</v>
      </c>
      <c r="X5" s="23" t="str">
        <f ca="1">IFERROR(__xludf.DUMMYFUNCTION("""COMPUTED_VALUE"""),"Underlying")</f>
        <v>Underlying</v>
      </c>
      <c r="Y5" s="23" t="str">
        <f ca="1">IFERROR(__xludf.DUMMYFUNCTION("""COMPUTED_VALUE"""),"CurrencyID")</f>
        <v>CurrencyID</v>
      </c>
      <c r="Z5" s="23" t="str">
        <f ca="1">IFERROR(__xludf.DUMMYFUNCTION("""COMPUTED_VALUE"""),"Currency")</f>
        <v>Currency</v>
      </c>
      <c r="AA5" s="23" t="str">
        <f ca="1">IFERROR(__xludf.DUMMYFUNCTION("""COMPUTED_VALUE"""),"AUECID")</f>
        <v>AUECID</v>
      </c>
      <c r="AB5" s="23" t="str">
        <f ca="1">IFERROR(__xludf.DUMMYFUNCTION("""COMPUTED_VALUE"""),"NotionalValue")</f>
        <v>NotionalValue</v>
      </c>
      <c r="AC5" s="23" t="str">
        <f ca="1">IFERROR(__xludf.DUMMYFUNCTION("""COMPUTED_VALUE"""),"Multiplier")</f>
        <v>Multiplier</v>
      </c>
      <c r="AD5" s="23" t="str">
        <f ca="1">IFERROR(__xludf.DUMMYFUNCTION("""COMPUTED_VALUE"""),"TimeOfSaveUTC")</f>
        <v>TimeOfSaveUTC</v>
      </c>
      <c r="AE5" s="23" t="str">
        <f ca="1">IFERROR(__xludf.DUMMYFUNCTION("""COMPUTED_VALUE"""),"Closing Position Type")</f>
        <v>Closing Position Type</v>
      </c>
      <c r="AF5" s="23" t="str">
        <f ca="1">IFERROR(__xludf.DUMMYFUNCTION("""COMPUTED_VALUE"""),"Closing Mode")</f>
        <v>Closing Mode</v>
      </c>
      <c r="AG5" s="23" t="str">
        <f ca="1">IFERROR(__xludf.DUMMYFUNCTION("""COMPUTED_VALUE"""),"StrategyID")</f>
        <v>StrategyID</v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/>
      <c r="C6" s="31">
        <v>42786</v>
      </c>
      <c r="D6" s="33" t="s">
        <v>18</v>
      </c>
      <c r="E6" s="25" t="s">
        <v>30</v>
      </c>
      <c r="F6" s="25" t="s">
        <v>28</v>
      </c>
      <c r="G6" s="25" t="s">
        <v>31</v>
      </c>
      <c r="H6" s="24" t="s">
        <v>16</v>
      </c>
      <c r="I6" s="28">
        <v>100</v>
      </c>
      <c r="J6" s="28">
        <v>12</v>
      </c>
      <c r="K6" s="28">
        <v>12</v>
      </c>
      <c r="L6" s="27"/>
      <c r="M6" s="27"/>
      <c r="N6" s="27"/>
      <c r="O6" s="25" t="s">
        <v>28</v>
      </c>
      <c r="P6" s="27"/>
      <c r="Q6" s="27" t="s">
        <v>19</v>
      </c>
      <c r="R6" s="29" t="s">
        <v>24</v>
      </c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</row>
    <row r="7" spans="1:154" ht="15.75" customHeight="1" x14ac:dyDescent="0.2">
      <c r="A7" s="3"/>
      <c r="B7" s="3"/>
      <c r="C7" s="31">
        <v>42788</v>
      </c>
      <c r="D7" s="25" t="s">
        <v>18</v>
      </c>
      <c r="E7" s="25" t="s">
        <v>30</v>
      </c>
      <c r="F7" s="25" t="s">
        <v>28</v>
      </c>
      <c r="G7" s="25" t="s">
        <v>31</v>
      </c>
      <c r="H7" s="24" t="s">
        <v>16</v>
      </c>
      <c r="I7" s="28">
        <v>100</v>
      </c>
      <c r="J7" s="28">
        <v>15</v>
      </c>
      <c r="K7" s="28">
        <v>12</v>
      </c>
      <c r="L7" s="27"/>
      <c r="M7" s="27"/>
      <c r="N7" s="27"/>
      <c r="O7" s="25" t="s">
        <v>28</v>
      </c>
      <c r="P7" s="27"/>
      <c r="Q7" s="27" t="s">
        <v>19</v>
      </c>
      <c r="R7" s="29" t="s">
        <v>24</v>
      </c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</row>
    <row r="8" spans="1:154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32</v>
      </c>
      <c r="D3" s="2" t="s">
        <v>9</v>
      </c>
      <c r="E3" s="16" t="s">
        <v>33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3" t="s">
        <v>22</v>
      </c>
      <c r="C6" s="31">
        <v>42786</v>
      </c>
      <c r="D6" s="31">
        <v>42791</v>
      </c>
      <c r="E6" s="35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4" ht="15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4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32</v>
      </c>
      <c r="D3" s="2" t="s">
        <v>9</v>
      </c>
      <c r="E3" s="16" t="s">
        <v>34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3" t="s">
        <v>18</v>
      </c>
      <c r="C6" s="27"/>
      <c r="D6" s="36"/>
      <c r="E6" s="28">
        <v>120</v>
      </c>
      <c r="F6" s="27"/>
      <c r="G6" s="27"/>
      <c r="H6" s="27"/>
      <c r="I6" s="37"/>
      <c r="J6" s="27"/>
      <c r="K6" s="27"/>
      <c r="L6" s="27"/>
      <c r="M6" s="27"/>
      <c r="N6" s="27"/>
      <c r="O6" s="27"/>
      <c r="P6" s="27"/>
      <c r="Q6" s="27"/>
      <c r="R6" s="27"/>
      <c r="S6" s="27" t="s">
        <v>35</v>
      </c>
      <c r="T6" s="27"/>
      <c r="V6" s="27"/>
      <c r="W6" s="27"/>
      <c r="X6" s="27"/>
      <c r="Y6" s="27"/>
      <c r="Z6" s="27"/>
      <c r="AA6" s="27"/>
      <c r="AB6" s="27"/>
      <c r="AC6" s="27"/>
      <c r="AD6" s="27"/>
      <c r="AE6" s="28">
        <v>120</v>
      </c>
      <c r="AF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8">
        <v>120</v>
      </c>
      <c r="BK6" s="27"/>
      <c r="BL6" s="27"/>
      <c r="BN6" s="27"/>
      <c r="BO6" s="27" t="s">
        <v>36</v>
      </c>
      <c r="BP6" s="27"/>
      <c r="BQ6" s="27"/>
      <c r="BR6" s="27"/>
      <c r="BS6" s="27"/>
      <c r="BT6" s="24" t="s">
        <v>16</v>
      </c>
      <c r="BV6" s="27"/>
      <c r="BW6" s="27"/>
      <c r="BX6" s="27"/>
      <c r="BY6" s="27"/>
      <c r="CA6" s="27"/>
      <c r="CB6" s="27"/>
      <c r="CC6" s="27"/>
      <c r="CD6" s="27"/>
      <c r="CE6" s="30">
        <v>42786</v>
      </c>
      <c r="CF6" s="27"/>
      <c r="CG6" s="27"/>
      <c r="CH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</row>
    <row r="7" spans="1:154" ht="15.75" customHeight="1" x14ac:dyDescent="0.2">
      <c r="A7" s="3"/>
      <c r="B7" s="25" t="s">
        <v>18</v>
      </c>
      <c r="C7" s="27"/>
      <c r="D7" s="27"/>
      <c r="E7" s="28">
        <v>100</v>
      </c>
      <c r="F7" s="27"/>
      <c r="G7" s="27"/>
      <c r="H7" s="27"/>
      <c r="I7" s="37"/>
      <c r="J7" s="27"/>
      <c r="K7" s="27"/>
      <c r="L7" s="27"/>
      <c r="M7" s="27"/>
      <c r="N7" s="27"/>
      <c r="O7" s="27"/>
      <c r="P7" s="27"/>
      <c r="Q7" s="27"/>
      <c r="R7" s="27"/>
      <c r="S7" s="27" t="s">
        <v>37</v>
      </c>
      <c r="T7" s="27"/>
      <c r="V7" s="27"/>
      <c r="W7" s="27"/>
      <c r="X7" s="27"/>
      <c r="Y7" s="27"/>
      <c r="Z7" s="27"/>
      <c r="AA7" s="27"/>
      <c r="AB7" s="27"/>
      <c r="AC7" s="27"/>
      <c r="AD7" s="27"/>
      <c r="AE7" s="28">
        <v>100</v>
      </c>
      <c r="AF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8">
        <v>100</v>
      </c>
      <c r="BK7" s="27"/>
      <c r="BL7" s="27"/>
      <c r="BN7" s="27"/>
      <c r="BO7" s="27" t="s">
        <v>19</v>
      </c>
      <c r="BP7" s="27"/>
      <c r="BQ7" s="27"/>
      <c r="BR7" s="27"/>
      <c r="BS7" s="27"/>
      <c r="BT7" s="24" t="s">
        <v>16</v>
      </c>
      <c r="BV7" s="27"/>
      <c r="BW7" s="27"/>
      <c r="BX7" s="27"/>
      <c r="BY7" s="27"/>
      <c r="CA7" s="27"/>
      <c r="CB7" s="27"/>
      <c r="CC7" s="27"/>
      <c r="CD7" s="27"/>
      <c r="CE7" s="31">
        <v>42788</v>
      </c>
      <c r="CF7" s="27"/>
      <c r="CG7" s="27"/>
      <c r="CH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</row>
    <row r="8" spans="1:154" ht="15.75" customHeight="1" x14ac:dyDescent="0.2">
      <c r="A8" s="3"/>
      <c r="B8" s="25" t="s">
        <v>18</v>
      </c>
      <c r="C8" s="27"/>
      <c r="D8" s="27"/>
      <c r="E8" s="28">
        <v>120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 t="s">
        <v>38</v>
      </c>
      <c r="T8" s="27"/>
      <c r="V8" s="27"/>
      <c r="W8" s="27"/>
      <c r="X8" s="27"/>
      <c r="Y8" s="27"/>
      <c r="Z8" s="27"/>
      <c r="AA8" s="27"/>
      <c r="AB8" s="27"/>
      <c r="AC8" s="27"/>
      <c r="AD8" s="27"/>
      <c r="AE8" s="28">
        <v>120</v>
      </c>
      <c r="AF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>
        <v>120</v>
      </c>
      <c r="BK8" s="27"/>
      <c r="BL8" s="27"/>
      <c r="BN8" s="27"/>
      <c r="BO8" s="27" t="s">
        <v>36</v>
      </c>
      <c r="BP8" s="27"/>
      <c r="BQ8" s="27"/>
      <c r="BR8" s="27"/>
      <c r="BS8" s="27"/>
      <c r="BT8" s="24" t="s">
        <v>16</v>
      </c>
      <c r="BV8" s="27"/>
      <c r="BW8" s="27"/>
      <c r="BX8" s="27"/>
      <c r="BY8" s="27"/>
      <c r="CA8" s="27"/>
      <c r="CB8" s="27"/>
      <c r="CC8" s="27"/>
      <c r="CD8" s="27"/>
      <c r="CE8" s="30">
        <v>42787</v>
      </c>
      <c r="CF8" s="27"/>
      <c r="CG8" s="27"/>
      <c r="CH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</row>
    <row r="9" spans="1:154" ht="15.75" customHeight="1" x14ac:dyDescent="0.2">
      <c r="A9" s="3"/>
      <c r="B9" s="25" t="s">
        <v>18</v>
      </c>
      <c r="C9" s="27"/>
      <c r="D9" s="27"/>
      <c r="E9" s="28">
        <v>120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 t="s">
        <v>35</v>
      </c>
      <c r="T9" s="27"/>
      <c r="V9" s="27"/>
      <c r="W9" s="27"/>
      <c r="X9" s="27"/>
      <c r="Y9" s="27"/>
      <c r="Z9" s="27"/>
      <c r="AA9" s="27"/>
      <c r="AB9" s="27"/>
      <c r="AC9" s="27"/>
      <c r="AD9" s="27"/>
      <c r="AE9" s="28">
        <v>120</v>
      </c>
      <c r="AF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8">
        <v>120</v>
      </c>
      <c r="BK9" s="27"/>
      <c r="BL9" s="27"/>
      <c r="BN9" s="27"/>
      <c r="BO9" s="27" t="s">
        <v>36</v>
      </c>
      <c r="BP9" s="27"/>
      <c r="BQ9" s="27"/>
      <c r="BR9" s="27"/>
      <c r="BS9" s="27"/>
      <c r="BT9" s="24" t="s">
        <v>16</v>
      </c>
      <c r="BV9" s="27"/>
      <c r="BW9" s="27"/>
      <c r="BX9" s="27"/>
      <c r="BY9" s="27"/>
      <c r="CA9" s="27"/>
      <c r="CB9" s="27"/>
      <c r="CC9" s="27"/>
      <c r="CD9" s="27"/>
      <c r="CE9" s="30">
        <v>42788</v>
      </c>
      <c r="CF9" s="27"/>
      <c r="CG9" s="27"/>
      <c r="CH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</row>
    <row r="10" spans="1:154" ht="15.75" customHeight="1" x14ac:dyDescent="0.2">
      <c r="A10" s="3"/>
      <c r="B10" s="25" t="s">
        <v>18</v>
      </c>
      <c r="C10" s="27"/>
      <c r="D10" s="27"/>
      <c r="E10" s="28">
        <v>100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 t="s">
        <v>37</v>
      </c>
      <c r="T10" s="27"/>
      <c r="V10" s="27"/>
      <c r="W10" s="27"/>
      <c r="X10" s="27"/>
      <c r="Y10" s="27"/>
      <c r="Z10" s="27"/>
      <c r="AA10" s="27"/>
      <c r="AB10" s="27"/>
      <c r="AC10" s="27"/>
      <c r="AD10" s="27"/>
      <c r="AE10" s="28">
        <v>100</v>
      </c>
      <c r="AF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>
        <v>100</v>
      </c>
      <c r="BK10" s="27"/>
      <c r="BL10" s="27"/>
      <c r="BN10" s="27"/>
      <c r="BO10" s="27" t="s">
        <v>19</v>
      </c>
      <c r="BP10" s="27"/>
      <c r="BQ10" s="27"/>
      <c r="BR10" s="27"/>
      <c r="BS10" s="27"/>
      <c r="BT10" s="24" t="s">
        <v>16</v>
      </c>
      <c r="BV10" s="27"/>
      <c r="BW10" s="27"/>
      <c r="BX10" s="27"/>
      <c r="BY10" s="27"/>
      <c r="CA10" s="27"/>
      <c r="CB10" s="27"/>
      <c r="CC10" s="27"/>
      <c r="CD10" s="27"/>
      <c r="CE10" s="30">
        <v>42786</v>
      </c>
      <c r="CF10" s="27"/>
      <c r="CG10" s="27"/>
      <c r="CH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E1" workbookViewId="0">
      <selection activeCell="BM8" sqref="BM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69" ht="15.75" customHeight="1" x14ac:dyDescent="0.2">
      <c r="A3" s="15"/>
      <c r="B3" s="2" t="s">
        <v>3</v>
      </c>
      <c r="C3" s="16" t="s">
        <v>39</v>
      </c>
      <c r="D3" s="2" t="s">
        <v>9</v>
      </c>
      <c r="E3" s="16" t="s">
        <v>40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IFERROR(__xludf.DUMMYFUNCTION("""COMPUTED_VALUE"""),"")</f>
        <v/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 x14ac:dyDescent="0.2">
      <c r="A6" s="5"/>
      <c r="B6" s="5"/>
      <c r="C6" s="24" t="s">
        <v>16</v>
      </c>
      <c r="D6" s="26">
        <v>20</v>
      </c>
      <c r="E6" s="25" t="s">
        <v>18</v>
      </c>
      <c r="F6" s="27"/>
      <c r="G6" s="28">
        <v>12</v>
      </c>
      <c r="H6" s="27"/>
      <c r="I6" s="37"/>
      <c r="J6" s="27"/>
      <c r="K6" s="27"/>
      <c r="L6" s="27"/>
      <c r="M6" s="27"/>
      <c r="N6" s="27"/>
      <c r="O6" s="27"/>
      <c r="P6" s="27"/>
      <c r="Q6" s="27"/>
      <c r="R6" s="27"/>
      <c r="S6" s="27" t="s">
        <v>30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 t="s">
        <v>17</v>
      </c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</row>
    <row r="7" spans="1:169" ht="15.75" customHeight="1" x14ac:dyDescent="0.2">
      <c r="A7" s="3"/>
      <c r="B7" s="3"/>
      <c r="C7" s="24" t="s">
        <v>16</v>
      </c>
      <c r="D7" s="28">
        <v>20</v>
      </c>
      <c r="E7" s="25" t="s">
        <v>18</v>
      </c>
      <c r="F7" s="27"/>
      <c r="G7" s="28">
        <v>15</v>
      </c>
      <c r="H7" s="27"/>
      <c r="I7" s="37"/>
      <c r="J7" s="27"/>
      <c r="K7" s="27"/>
      <c r="L7" s="27"/>
      <c r="M7" s="27"/>
      <c r="N7" s="27"/>
      <c r="O7" s="27"/>
      <c r="P7" s="27"/>
      <c r="Q7" s="27"/>
      <c r="R7" s="27"/>
      <c r="S7" s="27" t="s">
        <v>30</v>
      </c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 t="s">
        <v>17</v>
      </c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</row>
    <row r="8" spans="1:169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69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69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69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69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69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69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69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69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20</v>
      </c>
      <c r="D3" s="2" t="s">
        <v>9</v>
      </c>
      <c r="E3" s="16" t="s">
        <v>41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3"/>
      <c r="D6" s="5"/>
      <c r="E6" s="35"/>
      <c r="F6" s="3"/>
      <c r="G6" s="3"/>
      <c r="H6" s="3"/>
      <c r="I6" s="5">
        <v>12</v>
      </c>
      <c r="J6" s="3"/>
      <c r="K6" s="3"/>
      <c r="L6" s="3"/>
      <c r="M6" s="5">
        <v>120</v>
      </c>
      <c r="N6" s="3"/>
      <c r="O6" s="3"/>
      <c r="P6" s="32" t="s">
        <v>17</v>
      </c>
      <c r="R6" s="32" t="s">
        <v>16</v>
      </c>
    </row>
    <row r="7" spans="1:154" ht="15.75" customHeight="1" x14ac:dyDescent="0.2">
      <c r="A7" s="3"/>
      <c r="B7" s="5" t="s">
        <v>18</v>
      </c>
      <c r="C7" s="3"/>
      <c r="D7" s="3"/>
      <c r="E7" s="3"/>
      <c r="F7" s="3"/>
      <c r="G7" s="3"/>
      <c r="H7" s="3"/>
      <c r="I7" s="5">
        <v>13</v>
      </c>
      <c r="J7" s="3"/>
      <c r="K7" s="3"/>
      <c r="L7" s="3"/>
      <c r="M7" s="5">
        <v>120</v>
      </c>
      <c r="N7" s="3"/>
      <c r="O7" s="3"/>
      <c r="P7" s="32" t="s">
        <v>17</v>
      </c>
      <c r="R7" s="32" t="s">
        <v>16</v>
      </c>
    </row>
    <row r="8" spans="1:154" ht="15.75" customHeight="1" x14ac:dyDescent="0.2">
      <c r="A8" s="3"/>
      <c r="B8" s="5" t="s">
        <v>18</v>
      </c>
      <c r="C8" s="3"/>
      <c r="D8" s="3"/>
      <c r="E8" s="3"/>
      <c r="F8" s="3"/>
      <c r="G8" s="3"/>
      <c r="H8" s="3"/>
      <c r="I8" s="5">
        <v>15</v>
      </c>
      <c r="J8" s="3"/>
      <c r="K8" s="3"/>
      <c r="L8" s="3"/>
      <c r="M8" s="5">
        <v>120</v>
      </c>
      <c r="N8" s="3"/>
      <c r="O8" s="3"/>
      <c r="P8" s="32" t="s">
        <v>17</v>
      </c>
      <c r="R8" s="32" t="s">
        <v>16</v>
      </c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14" t="e">
        <f ca="1">VLOOKUP($E$3,_MasterData!B4:D1000,3,FALSE)</f>
        <v>#N/A</v>
      </c>
      <c r="K2" s="14"/>
      <c r="L2" s="3"/>
      <c r="M2" s="3"/>
      <c r="N2" s="3"/>
      <c r="O2" s="3"/>
    </row>
    <row r="3" spans="1:154" ht="15.75" customHeight="1" x14ac:dyDescent="0.2">
      <c r="A3" s="15"/>
      <c r="B3" s="2" t="s">
        <v>3</v>
      </c>
      <c r="C3" s="16" t="s">
        <v>20</v>
      </c>
      <c r="D3" s="2" t="s">
        <v>9</v>
      </c>
      <c r="E3" s="16" t="s">
        <v>42</v>
      </c>
      <c r="F3" s="2" t="s">
        <v>14</v>
      </c>
      <c r="G3" s="8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18</v>
      </c>
      <c r="C6" s="3"/>
      <c r="D6" s="5"/>
      <c r="E6" s="35"/>
      <c r="F6" s="3"/>
      <c r="G6" s="3"/>
      <c r="H6" s="3"/>
      <c r="I6" s="5">
        <v>12</v>
      </c>
      <c r="J6" s="3"/>
      <c r="K6" s="3"/>
      <c r="L6" s="3"/>
      <c r="M6" s="5">
        <v>100</v>
      </c>
      <c r="N6" s="3"/>
      <c r="O6" s="3"/>
      <c r="P6" s="32" t="s">
        <v>19</v>
      </c>
      <c r="R6" s="32" t="s">
        <v>16</v>
      </c>
    </row>
    <row r="7" spans="1:154" ht="15.75" customHeight="1" x14ac:dyDescent="0.2">
      <c r="A7" s="3"/>
      <c r="B7" s="5" t="s">
        <v>18</v>
      </c>
      <c r="C7" s="3"/>
      <c r="D7" s="3"/>
      <c r="E7" s="3"/>
      <c r="F7" s="3"/>
      <c r="G7" s="3"/>
      <c r="H7" s="3"/>
      <c r="I7" s="5">
        <v>12</v>
      </c>
      <c r="J7" s="3"/>
      <c r="K7" s="3"/>
      <c r="L7" s="3"/>
      <c r="M7" s="5">
        <v>100</v>
      </c>
      <c r="N7" s="3"/>
      <c r="O7" s="3"/>
      <c r="P7" s="32" t="s">
        <v>19</v>
      </c>
      <c r="R7" s="32" t="s">
        <v>16</v>
      </c>
    </row>
    <row r="8" spans="1:154" ht="15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4" ht="15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4" ht="15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4" ht="15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4" ht="15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4" ht="15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4" ht="15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4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4" ht="15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GetDataClosing</vt:lpstr>
      <vt:lpstr>AutomaticClosing</vt:lpstr>
      <vt:lpstr>VerifyClosedTrades</vt:lpstr>
      <vt:lpstr>UnwindClosing</vt:lpstr>
      <vt:lpstr>GetDataAllocation</vt:lpstr>
      <vt:lpstr>CheckAllocatedGroups</vt:lpstr>
      <vt:lpstr>CheckPortfolioManagement</vt:lpstr>
      <vt:lpstr>VerifyLongPositionsGrid</vt:lpstr>
      <vt:lpstr>VerifyShortPositionsGrid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2021-08-04T09:34:14Z</dcterms:modified>
</cp:coreProperties>
</file>