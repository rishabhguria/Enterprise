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CreateComplianceOrder" sheetId="9" r:id="rId11"/>
    <sheet state="visible" name="VerifyComplianceOrder" sheetId="10" r:id="rId12"/>
    <sheet state="visible" name="SelectTradeOnOrderGrid" sheetId="11" r:id="rId13"/>
    <sheet state="visible" name="ReplaceSubOrder" sheetId="12" r:id="rId14"/>
    <sheet state="visible" name="CreateComplianceOrder1" sheetId="13" r:id="rId15"/>
    <sheet state="visible" name="VerifyComplianceOrder1" sheetId="14" r:id="rId16"/>
    <sheet state="visible" name="VerifyComplianceOrder2" sheetId="15" r:id="rId17"/>
    <sheet state="visible" name="CancelSubOrder" sheetId="16" r:id="rId18"/>
    <sheet state="visible" name="OpenRTPNL" sheetId="17" r:id="rId19"/>
    <sheet state="visible" name="CheckRealTimeSymAccountMonitor" sheetId="18" r:id="rId20"/>
  </sheets>
  <definedNames/>
  <calcPr/>
</workbook>
</file>

<file path=xl/sharedStrings.xml><?xml version="1.0" encoding="utf-8"?>
<sst xmlns="http://schemas.openxmlformats.org/spreadsheetml/2006/main" count="219" uniqueCount="55">
  <si>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</si>
  <si>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</si>
  <si>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</si>
  <si>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</si>
  <si>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</si>
  <si>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</si>
  <si>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</si>
  <si>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</si>
  <si>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</si>
  <si>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</si>
  <si>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</si>
  <si>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</si>
  <si>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</si>
  <si>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</si>
  <si>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</si>
  <si>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</si>
  <si>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</si>
  <si>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</si>
  <si>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</si>
  <si>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Yes</t>
  </si>
  <si>
    <t>FRU-TC</t>
  </si>
  <si>
    <t>CreateStageOrder</t>
  </si>
  <si>
    <t>PricingInput</t>
  </si>
  <si>
    <t>DailyValuation</t>
  </si>
  <si>
    <t>GetDailyCash</t>
  </si>
  <si>
    <t>UpdateMultipleDailyCash</t>
  </si>
  <si>
    <t>USD</t>
  </si>
  <si>
    <t>Allocation3</t>
  </si>
  <si>
    <t>CreateComplianceOrder</t>
  </si>
  <si>
    <t>DoneAway</t>
  </si>
  <si>
    <t>VerifyComplianceOrder</t>
  </si>
  <si>
    <t>Soft</t>
  </si>
  <si>
    <t>Rule_Set</t>
  </si>
  <si>
    <t>Enter Summary</t>
  </si>
  <si>
    <t>Allocation1-FRU-TC</t>
  </si>
  <si>
    <t>Multiple</t>
  </si>
  <si>
    <t>percentNetMarketValueAccount: 3.3898, percentGrossMarketValueAccount: 3.3898, percentNetExposureAccount: 3.3898, percentGrossExposureAccount: 3.3898, AccountShortName: Allocation1, Symbol: FRU-TC</t>
  </si>
  <si>
    <t>RuleSet_Global</t>
  </si>
  <si>
    <t>Global</t>
  </si>
  <si>
    <t>percentNetExposureGlobal: 4.1667, percentNetMarketValueGlobal: 4.1667, percentGrossExposureGlobal: 4.1667, percentGrossMarketValueGlobal: 4.1667</t>
  </si>
  <si>
    <t>Blotter</t>
  </si>
  <si>
    <t>SelectTradeOnOrderGrid</t>
  </si>
  <si>
    <t>Filled</t>
  </si>
  <si>
    <t>ReplaceSubOrder</t>
  </si>
  <si>
    <t>Replace</t>
  </si>
  <si>
    <t>percentNetExposureGlobal: 4.7619, percentNetMarketValueGlobal: 4.7619, percentGrossExposureGlobal: 4.7619, percentGrossMarketValueGlobal: 4.7619</t>
  </si>
  <si>
    <t>percentNetMarketValueAccount: 4.2373, percentGrossMarketValueAccount: 4.2373, percentNetExposureAccount: 4.2373, percentGrossExposureAccount: 4.2373, AccountShortName: Allocation1, Symbol: FRU-TC</t>
  </si>
  <si>
    <t>CancelSubOrder</t>
  </si>
  <si>
    <t>Replaced</t>
  </si>
  <si>
    <t>RTPNL</t>
  </si>
  <si>
    <t>OpenRTPNL</t>
  </si>
  <si>
    <t>Nirvana,PM</t>
  </si>
  <si>
    <t>RealTimeSymAccountMonitor</t>
  </si>
  <si>
    <t>CheckRealTimeSymAccountMonitor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</si>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</sst>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FFFFFF"/>
      <name val="&quot;Segoe UI&quot;"/>
    </font>
    <font>
      <sz val="9.0"/>
      <color rgb="FF000000"/>
      <name val="Arial"/>
    </font>
    <font>
      <sz val="9.0"/>
      <color rgb="FF000000"/>
      <name val="&quot;Segoe UI&quot;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horizontal="right" readingOrder="0" shrinkToFit="0" wrapText="0"/>
    </xf>
    <xf borderId="0" fillId="0" fontId="3" numFmtId="0" xfId="0" applyAlignment="1" applyFont="1">
      <alignment readingOrder="0" shrinkToFit="0" wrapText="0"/>
    </xf>
    <xf borderId="0" fillId="0" fontId="3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horizontal="left" readingOrder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7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7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4" xfId="0" applyAlignment="1" applyBorder="1" applyFont="1" applyNumberFormat="1">
      <alignment horizontal="right" readingOrder="0" vertical="bottom"/>
    </xf>
    <xf borderId="7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horizontal="right" readingOrder="0" vertical="bottom"/>
    </xf>
    <xf borderId="8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9" fillId="0" fontId="3" numFmtId="0" xfId="0" applyAlignment="1" applyBorder="1" applyFont="1">
      <alignment vertical="bottom"/>
    </xf>
    <xf borderId="10" fillId="7" fontId="14" numFmtId="0" xfId="0" applyAlignment="1" applyBorder="1" applyFill="1" applyFont="1">
      <alignment horizontal="left" readingOrder="0" shrinkToFit="0" vertical="top" wrapText="0"/>
    </xf>
    <xf borderId="10" fillId="8" fontId="15" numFmtId="0" xfId="0" applyAlignment="1" applyBorder="1" applyFill="1" applyFont="1">
      <alignment horizontal="left" readingOrder="0" shrinkToFit="0" vertical="top" wrapText="0"/>
    </xf>
    <xf borderId="10" fillId="8" fontId="16" numFmtId="0" xfId="0" applyAlignment="1" applyBorder="1" applyFont="1">
      <alignment horizontal="left" readingOrder="0" shrinkToFit="0" vertical="top" wrapText="0"/>
    </xf>
    <xf borderId="10" fillId="8" fontId="16" numFmtId="0" xfId="0" applyAlignment="1" applyBorder="1" applyFont="1">
      <alignment horizontal="left" shrinkToFit="0" vertical="top" wrapText="0"/>
    </xf>
    <xf borderId="0" fillId="0" fontId="5" numFmtId="0" xfId="0" applyAlignment="1" applyFont="1">
      <alignment vertical="bottom"/>
    </xf>
    <xf borderId="10" fillId="9" fontId="15" numFmtId="0" xfId="0" applyAlignment="1" applyBorder="1" applyFill="1" applyFont="1">
      <alignment horizontal="left" readingOrder="0" shrinkToFit="0" vertical="top" wrapText="0"/>
    </xf>
    <xf borderId="10" fillId="9" fontId="16" numFmtId="0" xfId="0" applyAlignment="1" applyBorder="1" applyFont="1">
      <alignment horizontal="left" readingOrder="0" shrinkToFit="0" vertical="top" wrapText="0"/>
    </xf>
    <xf borderId="10" fillId="9" fontId="16" numFmtId="0" xfId="0" applyAlignment="1" applyBorder="1" applyFont="1">
      <alignment horizontal="left" shrinkToFit="0" vertical="top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left" shrinkToFit="0" wrapText="0"/>
    </xf>
    <xf borderId="4" fillId="3" fontId="4" numFmtId="0" xfId="0" applyAlignment="1" applyBorder="1" applyFont="1">
      <alignment horizontal="left" shrinkToFit="0" wrapText="0"/>
    </xf>
    <xf borderId="4" fillId="3" fontId="7" numFmtId="0" xfId="0" applyAlignment="1" applyBorder="1" applyFont="1">
      <alignment horizontal="left" readingOrder="0" shrinkToFit="0" wrapText="0"/>
    </xf>
    <xf borderId="4" fillId="3" fontId="7" numFmtId="0" xfId="0" applyAlignment="1" applyBorder="1" applyFont="1">
      <alignment horizontal="left" shrinkToFit="0" wrapText="0"/>
    </xf>
    <xf borderId="0" fillId="3" fontId="4" numFmtId="0" xfId="0" applyAlignment="1" applyFont="1">
      <alignment horizontal="left" shrinkToFit="0" wrapText="0"/>
    </xf>
    <xf borderId="0" fillId="4" fontId="11" numFmtId="0" xfId="0" applyAlignment="1" applyFont="1">
      <alignment horizontal="left" shrinkToFit="0" wrapText="0"/>
    </xf>
    <xf borderId="4" fillId="5" fontId="4" numFmtId="0" xfId="0" applyAlignment="1" applyBorder="1" applyFont="1">
      <alignment horizontal="left" shrinkToFit="0" wrapText="0"/>
    </xf>
    <xf borderId="4" fillId="5" fontId="4" numFmtId="0" xfId="0" applyAlignment="1" applyBorder="1" applyFont="1">
      <alignment horizontal="left" readingOrder="0" shrinkToFit="0" wrapText="0"/>
    </xf>
    <xf borderId="0" fillId="0" fontId="3" numFmtId="0" xfId="0" applyAlignment="1" applyFont="1">
      <alignment horizontal="left" readingOrder="0" shrinkToFit="0" wrapText="0"/>
    </xf>
    <xf borderId="0" fillId="0" fontId="5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0" t="s">
        <v>17</v>
      </c>
      <c r="D6" s="30">
        <v>100.0</v>
      </c>
      <c r="E6" s="32"/>
      <c r="F6" s="30" t="s">
        <v>18</v>
      </c>
      <c r="G6" s="4"/>
      <c r="H6" s="4"/>
      <c r="I6" s="4"/>
      <c r="J6" s="30">
        <v>10.0</v>
      </c>
      <c r="K6" s="4"/>
      <c r="L6" s="4"/>
      <c r="M6" s="4"/>
      <c r="N6" s="4"/>
      <c r="O6" s="4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4" t="s">
        <v>19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"/>
      <c r="B7" s="31" t="s">
        <v>16</v>
      </c>
      <c r="C7" s="30" t="s">
        <v>17</v>
      </c>
      <c r="D7" s="30">
        <v>100.0</v>
      </c>
      <c r="E7" s="30">
        <v>0.0</v>
      </c>
      <c r="F7" s="35" t="s">
        <v>18</v>
      </c>
      <c r="G7" s="4"/>
      <c r="H7" s="4"/>
      <c r="I7" s="4"/>
      <c r="J7" s="30">
        <v>10.0</v>
      </c>
      <c r="K7" s="4"/>
      <c r="L7" s="4"/>
      <c r="M7" s="4"/>
      <c r="N7" s="4"/>
      <c r="O7" s="4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4" t="s">
        <v>19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4"/>
      <c r="B8" s="30" t="s">
        <v>20</v>
      </c>
      <c r="C8" s="30" t="s">
        <v>17</v>
      </c>
      <c r="D8" s="30">
        <v>100.0</v>
      </c>
      <c r="E8" s="4"/>
      <c r="F8" s="35" t="s">
        <v>18</v>
      </c>
      <c r="G8" s="4"/>
      <c r="H8" s="4"/>
      <c r="I8" s="4"/>
      <c r="J8" s="30">
        <v>10.0</v>
      </c>
      <c r="K8" s="4"/>
      <c r="L8" s="4"/>
      <c r="M8" s="4"/>
      <c r="N8" s="4"/>
      <c r="O8" s="4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4" t="s">
        <v>19</v>
      </c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4"/>
      <c r="B9" s="30" t="s">
        <v>20</v>
      </c>
      <c r="C9" s="30" t="s">
        <v>17</v>
      </c>
      <c r="D9" s="30">
        <v>100.0</v>
      </c>
      <c r="E9" s="30">
        <v>0.0</v>
      </c>
      <c r="F9" s="35" t="s">
        <v>18</v>
      </c>
      <c r="G9" s="4"/>
      <c r="H9" s="4"/>
      <c r="I9" s="4"/>
      <c r="J9" s="30">
        <v>10.0</v>
      </c>
      <c r="K9" s="4"/>
      <c r="L9" s="4"/>
      <c r="M9" s="4"/>
      <c r="N9" s="4"/>
      <c r="O9" s="4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4" t="s">
        <v>19</v>
      </c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7" t="s">
        <v>16</v>
      </c>
      <c r="C6" s="38" t="s">
        <v>17</v>
      </c>
      <c r="D6" s="39">
        <v>100.0</v>
      </c>
      <c r="E6" s="38"/>
      <c r="F6" s="34" t="s">
        <v>18</v>
      </c>
      <c r="G6" s="38"/>
      <c r="H6" s="38"/>
      <c r="I6" s="38"/>
      <c r="J6" s="40">
        <v>10.0</v>
      </c>
      <c r="K6" s="41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2"/>
      <c r="B7" s="41" t="s">
        <v>20</v>
      </c>
      <c r="C7" s="41" t="s">
        <v>17</v>
      </c>
      <c r="D7" s="43">
        <v>100.0</v>
      </c>
      <c r="E7" s="41"/>
      <c r="F7" s="34" t="s">
        <v>18</v>
      </c>
      <c r="G7" s="41"/>
      <c r="H7" s="41"/>
      <c r="I7" s="41"/>
      <c r="J7" s="40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37" t="s">
        <v>16</v>
      </c>
      <c r="C6" s="40">
        <v>20.0</v>
      </c>
      <c r="D6" s="4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1" t="s">
        <v>20</v>
      </c>
      <c r="C7" s="40">
        <v>20.0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45">
        <f t="shared" ref="B6:C6" si="1">today()-1</f>
        <v>45733</v>
      </c>
      <c r="C6" s="46">
        <f t="shared" si="1"/>
        <v>45733</v>
      </c>
      <c r="D6" s="4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47" t="s">
        <v>18</v>
      </c>
      <c r="C6" s="48" t="s">
        <v>26</v>
      </c>
      <c r="D6" s="49">
        <v>234000.0</v>
      </c>
      <c r="E6" s="38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50" t="s">
        <v>27</v>
      </c>
      <c r="C7" s="51" t="s">
        <v>26</v>
      </c>
      <c r="D7" s="52">
        <v>100000.0</v>
      </c>
      <c r="E7" s="41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53" t="s">
        <v>20</v>
      </c>
      <c r="C6" s="38" t="s">
        <v>17</v>
      </c>
      <c r="D6" s="39">
        <v>100.0</v>
      </c>
      <c r="E6" s="38"/>
      <c r="F6" s="34" t="s">
        <v>18</v>
      </c>
      <c r="G6" s="38"/>
      <c r="H6" s="38"/>
      <c r="I6" s="38"/>
      <c r="J6" s="40">
        <v>20.0</v>
      </c>
      <c r="K6" s="41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19</v>
      </c>
      <c r="AR6" s="34"/>
      <c r="AS6" s="34"/>
      <c r="AT6" s="34"/>
      <c r="AU6" s="34"/>
      <c r="AV6" s="34"/>
      <c r="AW6" s="34"/>
      <c r="AX6" s="34" t="s">
        <v>29</v>
      </c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54"/>
      <c r="B7" s="55"/>
      <c r="C7" s="41"/>
      <c r="D7" s="43"/>
      <c r="E7" s="55"/>
      <c r="F7" s="56"/>
      <c r="G7" s="41"/>
      <c r="H7" s="41"/>
      <c r="I7" s="41"/>
      <c r="J7" s="40"/>
      <c r="K7" s="41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42"/>
      <c r="B8" s="41"/>
      <c r="C8" s="41"/>
      <c r="D8" s="43"/>
      <c r="E8" s="41"/>
      <c r="F8" s="34"/>
      <c r="G8" s="41"/>
      <c r="H8" s="41"/>
      <c r="I8" s="41"/>
      <c r="J8" s="40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42"/>
      <c r="B9" s="41"/>
      <c r="C9" s="41"/>
      <c r="D9" s="43"/>
      <c r="E9" s="55"/>
      <c r="F9" s="56"/>
      <c r="G9" s="41"/>
      <c r="H9" s="41"/>
      <c r="I9" s="41"/>
      <c r="J9" s="40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7" t="s">
        <v>31</v>
      </c>
      <c r="C6" s="58" t="s">
        <v>32</v>
      </c>
      <c r="D6" s="59" t="s">
        <v>33</v>
      </c>
      <c r="E6" s="59" t="s">
        <v>34</v>
      </c>
      <c r="F6" s="59" t="s">
        <v>35</v>
      </c>
      <c r="G6" s="59" t="s">
        <v>35</v>
      </c>
      <c r="H6" s="59" t="s">
        <v>36</v>
      </c>
      <c r="I6" s="60"/>
      <c r="J6" s="8"/>
      <c r="K6" s="61" t="s">
        <v>19</v>
      </c>
      <c r="L6" s="34"/>
      <c r="M6" s="61" t="s">
        <v>29</v>
      </c>
      <c r="N6" s="8"/>
      <c r="O6" s="8"/>
    </row>
    <row r="7" ht="15.75" customHeight="1">
      <c r="A7" s="8"/>
      <c r="B7" s="57" t="s">
        <v>31</v>
      </c>
      <c r="C7" s="62" t="s">
        <v>37</v>
      </c>
      <c r="D7" s="63" t="s">
        <v>33</v>
      </c>
      <c r="E7" s="63" t="s">
        <v>38</v>
      </c>
      <c r="F7" s="63" t="s">
        <v>35</v>
      </c>
      <c r="G7" s="63" t="s">
        <v>35</v>
      </c>
      <c r="H7" s="63" t="s">
        <v>39</v>
      </c>
      <c r="I7" s="64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C6" s="34"/>
      <c r="D6" s="53" t="s">
        <v>20</v>
      </c>
      <c r="E6" s="34"/>
      <c r="F6" s="61" t="s">
        <v>17</v>
      </c>
      <c r="G6" s="61" t="s">
        <v>42</v>
      </c>
      <c r="H6" s="40">
        <v>100.0</v>
      </c>
      <c r="I6" s="34"/>
      <c r="J6" s="34"/>
      <c r="K6" s="34"/>
      <c r="L6" s="34"/>
      <c r="M6" s="34"/>
      <c r="N6" s="34"/>
      <c r="O6" s="34"/>
      <c r="P6" s="65">
        <v>20.0</v>
      </c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44"/>
      <c r="C6" s="34"/>
      <c r="D6" s="65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53" t="s">
        <v>20</v>
      </c>
      <c r="AK6" s="34" t="s">
        <v>17</v>
      </c>
      <c r="AL6" s="34" t="s">
        <v>42</v>
      </c>
      <c r="AM6" s="66">
        <v>100.0</v>
      </c>
      <c r="AN6" s="34"/>
      <c r="AO6" s="34"/>
      <c r="AP6" s="34"/>
      <c r="AQ6" s="34"/>
      <c r="AR6" s="34"/>
      <c r="AS6" s="66">
        <v>20.0</v>
      </c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67" t="s">
        <v>20</v>
      </c>
      <c r="C6" s="34"/>
      <c r="D6" s="65">
        <v>200.0</v>
      </c>
      <c r="E6" s="34"/>
      <c r="F6" s="34"/>
      <c r="G6" s="34"/>
      <c r="H6" s="34"/>
      <c r="I6" s="34"/>
      <c r="J6" s="40">
        <v>20.0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19</v>
      </c>
      <c r="AR6" s="34"/>
      <c r="AS6" s="34"/>
      <c r="AT6" s="34"/>
      <c r="AU6" s="34"/>
      <c r="AV6" s="34"/>
      <c r="AW6" s="34"/>
      <c r="AX6" s="34" t="s">
        <v>44</v>
      </c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7" t="s">
        <v>31</v>
      </c>
      <c r="C6" s="59" t="s">
        <v>37</v>
      </c>
      <c r="D6" s="59" t="s">
        <v>33</v>
      </c>
      <c r="E6" s="59" t="s">
        <v>38</v>
      </c>
      <c r="F6" s="59" t="s">
        <v>35</v>
      </c>
      <c r="G6" s="59" t="s">
        <v>35</v>
      </c>
      <c r="H6" s="59" t="s">
        <v>45</v>
      </c>
      <c r="I6" s="60"/>
      <c r="J6" s="8"/>
      <c r="K6" s="61" t="s">
        <v>19</v>
      </c>
      <c r="L6" s="34"/>
      <c r="M6" s="61" t="s">
        <v>44</v>
      </c>
      <c r="N6" s="8"/>
      <c r="O6" s="8"/>
    </row>
    <row r="7" ht="15.75" customHeight="1">
      <c r="A7" s="8"/>
      <c r="B7" s="57" t="s">
        <v>31</v>
      </c>
      <c r="C7" s="63" t="s">
        <v>32</v>
      </c>
      <c r="D7" s="63" t="s">
        <v>33</v>
      </c>
      <c r="E7" s="63" t="s">
        <v>34</v>
      </c>
      <c r="F7" s="63" t="s">
        <v>35</v>
      </c>
      <c r="G7" s="63" t="s">
        <v>35</v>
      </c>
      <c r="H7" s="63" t="s">
        <v>46</v>
      </c>
      <c r="I7" s="64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7" t="s">
        <v>31</v>
      </c>
      <c r="C6" s="59" t="s">
        <v>32</v>
      </c>
      <c r="D6" s="59" t="s">
        <v>33</v>
      </c>
      <c r="E6" s="59" t="s">
        <v>34</v>
      </c>
      <c r="F6" s="59" t="s">
        <v>35</v>
      </c>
      <c r="G6" s="59" t="s">
        <v>35</v>
      </c>
      <c r="H6" s="59" t="s">
        <v>46</v>
      </c>
      <c r="I6" s="8"/>
      <c r="J6" s="8"/>
      <c r="K6" s="61" t="s">
        <v>19</v>
      </c>
      <c r="L6" s="34"/>
      <c r="M6" s="61" t="s">
        <v>29</v>
      </c>
      <c r="N6" s="8"/>
      <c r="O6" s="8"/>
    </row>
    <row r="7" ht="15.75" customHeight="1">
      <c r="A7" s="8"/>
      <c r="B7" s="57" t="s">
        <v>31</v>
      </c>
      <c r="C7" s="63" t="s">
        <v>37</v>
      </c>
      <c r="D7" s="63" t="s">
        <v>33</v>
      </c>
      <c r="E7" s="63" t="s">
        <v>38</v>
      </c>
      <c r="F7" s="63" t="s">
        <v>35</v>
      </c>
      <c r="G7" s="63" t="s">
        <v>35</v>
      </c>
      <c r="H7" s="63" t="s">
        <v>45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44"/>
      <c r="C6" s="34"/>
      <c r="D6" s="65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68" t="s">
        <v>20</v>
      </c>
      <c r="AJ6" s="34" t="s">
        <v>17</v>
      </c>
      <c r="AK6" s="34" t="s">
        <v>48</v>
      </c>
      <c r="AL6" s="66">
        <v>200.0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IFERROR(__xludf.DUMMYFUNCTION("""COMPUTED_VALUE"""),"OpenRTPNL")</f>
        <v>OpenRTPNL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69" t="s">
        <v>51</v>
      </c>
      <c r="C6" s="61" t="s">
        <v>52</v>
      </c>
      <c r="D6" s="12"/>
      <c r="E6" s="7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71"/>
      <c r="C2" s="71"/>
      <c r="D2" s="71"/>
      <c r="E2" s="71"/>
      <c r="F2" s="71"/>
      <c r="G2" s="71"/>
      <c r="H2" s="71"/>
      <c r="I2" s="71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72" t="s">
        <v>8</v>
      </c>
      <c r="C3" s="73" t="s">
        <v>49</v>
      </c>
      <c r="D3" s="72" t="s">
        <v>9</v>
      </c>
      <c r="E3" s="73" t="s">
        <v>53</v>
      </c>
      <c r="F3" s="72" t="s">
        <v>14</v>
      </c>
      <c r="G3" s="74" t="s">
        <v>15</v>
      </c>
      <c r="H3" s="72"/>
      <c r="I3" s="75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76" t="str">
        <f>IFERROR(__xludf.DUMMYFUNCTION("IF(C3="""","""",Transpose(IMPORTRANGE('_Settings'!$B$3,C3&amp;""!A4:A1000"")))"),"CheckSummaryDashboard")</f>
        <v>CheckSummaryDashboard</v>
      </c>
      <c r="C4" s="76" t="str">
        <f>IFERROR(__xludf.DUMMYFUNCTION("""COMPUTED_VALUE"""),"CheckFundLevelAggregation")</f>
        <v>CheckFundLevelAggregation</v>
      </c>
      <c r="D4" s="76" t="str">
        <f>IFERROR(__xludf.DUMMYFUNCTION("""COMPUTED_VALUE"""),"CheckAccountLevelAggregation")</f>
        <v>CheckAccountLevelAggregation</v>
      </c>
      <c r="E4" s="76" t="str">
        <f>IFERROR(__xludf.DUMMYFUNCTION("""COMPUTED_VALUE"""),"CheckSymbolLevelAggregation")</f>
        <v>CheckSymbolLevelAggregation</v>
      </c>
      <c r="F4" s="76" t="str">
        <f>IFERROR(__xludf.DUMMYFUNCTION("""COMPUTED_VALUE"""),"CheckRealTimeSymbolFundMonitor")</f>
        <v>CheckRealTimeSymbolFundMonitor</v>
      </c>
      <c r="G4" s="76" t="str">
        <f>IFERROR(__xludf.DUMMYFUNCTION("""COMPUTED_VALUE"""),"CheckRealTimeSymAccountMonitor")</f>
        <v>CheckRealTimeSymAccountMonitor</v>
      </c>
      <c r="H4" s="76" t="str">
        <f>IFERROR(__xludf.DUMMYFUNCTION("""COMPUTED_VALUE"""),"OpenRTPNL")</f>
        <v>OpenRTPNL</v>
      </c>
      <c r="I4" s="76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77" t="str">
        <f>IFERROR(__xludf.DUMMYFUNCTION("""COMPUTED_VALUE"""),"Symbol")</f>
        <v>Symbol</v>
      </c>
      <c r="C5" s="77" t="str">
        <f>IFERROR(__xludf.DUMMYFUNCTION("""COMPUTED_VALUE"""),"Security Name")</f>
        <v>Security Name</v>
      </c>
      <c r="D5" s="77" t="str">
        <f>IFERROR(__xludf.DUMMYFUNCTION("""COMPUTED_VALUE"""),"Fund")</f>
        <v>Fund</v>
      </c>
      <c r="E5" s="77" t="str">
        <f>IFERROR(__xludf.DUMMYFUNCTION("""COMPUTED_VALUE"""),"Account")</f>
        <v>Account</v>
      </c>
      <c r="F5" s="78" t="str">
        <f>IFERROR(__xludf.DUMMYFUNCTION("""COMPUTED_VALUE"""),"Asset Class")</f>
        <v>Asset Class</v>
      </c>
      <c r="G5" s="77" t="str">
        <f>IFERROR(__xludf.DUMMYFUNCTION("""COMPUTED_VALUE"""),"Position")</f>
        <v>Position</v>
      </c>
      <c r="H5" s="77" t="str">
        <f>IFERROR(__xludf.DUMMYFUNCTION("""COMPUTED_VALUE"""),"Position Side")</f>
        <v>Position Side</v>
      </c>
      <c r="I5" s="7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79" t="s">
        <v>20</v>
      </c>
      <c r="C6" s="79" t="s">
        <v>20</v>
      </c>
      <c r="D6" s="80"/>
      <c r="E6" s="80" t="s">
        <v>18</v>
      </c>
      <c r="F6" s="71"/>
      <c r="G6" s="80">
        <v>300.0</v>
      </c>
      <c r="H6" s="80" t="s">
        <v>54</v>
      </c>
      <c r="I6" s="80">
        <v>20.0</v>
      </c>
      <c r="J6" s="12">
        <v>20.0</v>
      </c>
      <c r="K6" s="12">
        <v>6000.0</v>
      </c>
      <c r="L6" s="8"/>
      <c r="M6" s="8"/>
      <c r="N6" s="8"/>
      <c r="O6" s="12">
        <v>1000.0</v>
      </c>
    </row>
    <row r="7" ht="15.75" customHeight="1">
      <c r="A7" s="8"/>
      <c r="B7" s="79" t="s">
        <v>16</v>
      </c>
      <c r="C7" s="79" t="s">
        <v>16</v>
      </c>
      <c r="D7" s="71"/>
      <c r="E7" s="80" t="s">
        <v>18</v>
      </c>
      <c r="F7" s="71"/>
      <c r="G7" s="80">
        <v>100.0</v>
      </c>
      <c r="H7" s="80" t="s">
        <v>54</v>
      </c>
      <c r="I7" s="80">
        <v>20.0</v>
      </c>
      <c r="J7" s="12">
        <v>20.0</v>
      </c>
      <c r="K7" s="12">
        <v>2000.0</v>
      </c>
      <c r="L7" s="8"/>
      <c r="M7" s="8"/>
      <c r="N7" s="8"/>
      <c r="O7" s="12">
        <v>1000.0</v>
      </c>
    </row>
    <row r="8" ht="15.75" customHeight="1">
      <c r="A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CheckRealTimeSymAccountMonitor!$4:$4</formula1>
    </dataValidation>
  </dataValidations>
  <drawing r:id="rId1"/>
</worksheet>
</file>