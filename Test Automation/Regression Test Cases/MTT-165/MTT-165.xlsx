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Preferences" sheetId="5" r:id="rId7"/>
    <sheet state="visible" name="AddSymbolToWatchlist" sheetId="6" r:id="rId8"/>
    <sheet state="visible" name="TradeFromWatchlist" sheetId="7" r:id="rId9"/>
    <sheet state="visible" name="AddOrRemoveColumn" sheetId="8" r:id="rId10"/>
    <sheet state="visible" name="VerifyMTT" sheetId="9" r:id="rId11"/>
  </sheets>
  <definedNames/>
  <calcPr/>
</workbook>
</file>

<file path=xl/sharedStrings.xml><?xml version="1.0" encoding="utf-8"?>
<sst xmlns="http://schemas.openxmlformats.org/spreadsheetml/2006/main" count="74" uniqueCount="34">
  <si>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</si>
  <si>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</si>
  <si>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</si>
  <si>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</si>
  <si>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</si>
  <si>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</si>
  <si>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</si>
  <si>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</si>
  <si>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</si>
  <si>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</si>
  <si>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</si>
  <si>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</si>
  <si>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</si>
  <si>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</si>
  <si>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</si>
  <si>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</si>
  <si>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</si>
  <si>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</si>
  <si>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SetShortLocatePreferences</t>
  </si>
  <si>
    <t>BPS</t>
  </si>
  <si>
    <t>Watchlist</t>
  </si>
  <si>
    <t>AddSymbolToWatchlist</t>
  </si>
  <si>
    <t>AAPL</t>
  </si>
  <si>
    <t>SAP</t>
  </si>
  <si>
    <t>TradeFromWatchlist</t>
  </si>
  <si>
    <t>Buy</t>
  </si>
  <si>
    <t>MultiTradingTicket</t>
  </si>
  <si>
    <t>AddOrRemoveColumn</t>
  </si>
  <si>
    <t>Borrow Rate(BPS)</t>
  </si>
  <si>
    <t>VerifyMTT</t>
  </si>
  <si>
    <t>Allocation1</t>
  </si>
  <si>
    <t>MS</t>
  </si>
  <si>
    <t>Day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</si>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</sst>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IFERROR(__xludf.DUMMYFUNCTION("""COMPUTED_VALUE"""),"Alert")</f>
        <v>Alert</v>
      </c>
      <c r="C5" s="28" t="str">
        <f>IFERROR(__xludf.DUMMYFUNCTION("""COMPUTED_VALUE"""),"Fees")</f>
        <v>Fees</v>
      </c>
      <c r="D5" s="28" t="str">
        <f>IFERROR(__xludf.DUMMYFUNCTION("""COMPUTED_VALUE"""),"RebateFees")</f>
        <v>RebateFees</v>
      </c>
      <c r="E5" s="28" t="str">
        <f>IFERROR(__xludf.DUMMYFUNCTION("""COMPUTED_VALUE"""),"Broker")</f>
        <v>Broker</v>
      </c>
      <c r="F5" s="29" t="str">
        <f>IFERROR(__xludf.DUMMYFUNCTION("""COMPUTED_VALUE"""),"LastPX_Decimal")</f>
        <v>LastPX_Decimal</v>
      </c>
      <c r="G5" s="28" t="str">
        <f>IFERROR(__xludf.DUMMYFUNCTION("""COMPUTED_VALUE"""),"RebateFees_Decimal")</f>
        <v>RebateFees_Decimal</v>
      </c>
      <c r="H5" s="28" t="str">
        <f>IFERROR(__xludf.DUMMYFUNCTION("""COMPUTED_VALUE"""),"TotalAmount_Decimal")</f>
        <v>TotalAmount_Decimal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SetShortLocatePreferences!$4:$4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25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25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6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IFERROR(__xludf.DUMMYFUNCTION("""COMPUTED_VALUE"""),"AddColumn")</f>
        <v>AddColumn</v>
      </c>
      <c r="C5" s="28" t="str">
        <f>IFERROR(__xludf.DUMMYFUNCTION("""COMPUTED_VALUE"""),"AddOrRemoveColumn")</f>
        <v>AddOrRemoveColumn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35" t="s">
        <v>28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36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AddOrRemoveColumn!$4:$4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25</v>
      </c>
      <c r="D6" s="13"/>
      <c r="E6" s="34"/>
      <c r="F6" s="13" t="s">
        <v>30</v>
      </c>
      <c r="G6" s="13" t="s">
        <v>31</v>
      </c>
      <c r="H6" s="13" t="s">
        <v>32</v>
      </c>
      <c r="I6" s="13" t="s">
        <v>33</v>
      </c>
      <c r="J6" s="8"/>
      <c r="K6" s="8"/>
      <c r="L6" s="8"/>
      <c r="M6" s="8"/>
      <c r="N6" s="8"/>
      <c r="O6" s="8"/>
      <c r="AJ6" s="9">
        <v>0.0</v>
      </c>
    </row>
    <row r="7" ht="15.75" customHeight="1">
      <c r="A7" s="8"/>
      <c r="B7" s="13" t="s">
        <v>23</v>
      </c>
      <c r="C7" s="13" t="s">
        <v>25</v>
      </c>
      <c r="D7" s="8"/>
      <c r="E7" s="8"/>
      <c r="F7" s="13" t="s">
        <v>30</v>
      </c>
      <c r="G7" s="13" t="s">
        <v>31</v>
      </c>
      <c r="H7" s="13" t="s">
        <v>32</v>
      </c>
      <c r="I7" s="13" t="s">
        <v>33</v>
      </c>
      <c r="J7" s="8"/>
      <c r="K7" s="8"/>
      <c r="L7" s="8"/>
      <c r="M7" s="8"/>
      <c r="N7" s="8"/>
      <c r="O7" s="8"/>
      <c r="AJ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