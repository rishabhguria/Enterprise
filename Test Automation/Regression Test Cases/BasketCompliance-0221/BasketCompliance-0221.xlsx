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CreateComplianceOrder" sheetId="7" r:id="rId9"/>
    <sheet state="visible" name="VerifyComplianceOrder" sheetId="8" r:id="rId10"/>
    <sheet state="visible" name="SelectTrade" sheetId="9" r:id="rId11"/>
    <sheet state="visible" name="AcknowledgeTrade" sheetId="10" r:id="rId12"/>
    <sheet state="visible" name="SelectTradeOnOrderGrid" sheetId="11" r:id="rId13"/>
    <sheet state="visible" name="ReplaceSubOrder" sheetId="12" r:id="rId14"/>
    <sheet state="visible" name="CreateReplaceLiveOrder" sheetId="13" r:id="rId15"/>
    <sheet state="visible" name="CancelSubOrder" sheetId="14" r:id="rId16"/>
    <sheet state="visible" name="GetForexConversion" sheetId="15" r:id="rId17"/>
    <sheet state="visible" name="UpdateForexConversion" sheetId="16" r:id="rId18"/>
    <sheet state="visible" name="VerifyComplianceOrder1" sheetId="17" r:id="rId19"/>
  </sheets>
  <definedNames/>
  <calcPr/>
</workbook>
</file>

<file path=xl/sharedStrings.xml><?xml version="1.0" encoding="utf-8"?>
<sst xmlns="http://schemas.openxmlformats.org/spreadsheetml/2006/main" count="244" uniqueCount="63">
  <si>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</si>
  <si>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</si>
  <si>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</si>
  <si>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</si>
  <si>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</si>
  <si>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</si>
  <si>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</si>
  <si>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</si>
  <si>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</si>
  <si>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</si>
  <si>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</si>
  <si>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</si>
  <si>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</si>
  <si>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</si>
  <si>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</si>
  <si>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</si>
  <si>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</si>
  <si>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</si>
  <si>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</si>
  <si>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</si>
  <si>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</si>
  <si>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</si>
  <si>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</si>
  <si>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</si>
  <si>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</si>
  <si>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</si>
  <si>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</si>
  <si>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</si>
  <si>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</si>
  <si>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</si>
  <si>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</si>
  <si>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</si>
  <si>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</si>
  <si>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</si>
  <si>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</si>
  <si>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</si>
  <si>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202.1508</t>
  </si>
  <si>
    <t>Global_NEG</t>
  </si>
  <si>
    <t>percentNetExposureGlobal: 593.673</t>
  </si>
  <si>
    <t>Global_GMV</t>
  </si>
  <si>
    <t>percentGrossMarketValueGlobal: 202.1508</t>
  </si>
  <si>
    <t>Global_GEV</t>
  </si>
  <si>
    <t>percentGrossExposureGlobal: 593.673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</si>
  <si>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</si>
  <si>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</si>
  <si>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</si>
  <si>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</si>
  <si>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</si>
  <si>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</si>
  <si>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</si>
  <si>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</si>
  <si>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CancelSubOrder</t>
  </si>
  <si>
    <t>Replaced</t>
  </si>
  <si>
    <t>DailyValuation</t>
  </si>
  <si>
    <t>GetForexConversion</t>
  </si>
  <si>
    <t>UpdateForexConversion</t>
  </si>
  <si>
    <t>USD</t>
  </si>
  <si>
    <t>CAD</t>
  </si>
  <si>
    <t>CAD AO-FX</t>
  </si>
  <si>
    <t>percentNetMarketValueGlobal: 205.3143</t>
  </si>
  <si>
    <t>percentNetExposureGlobal: 596.8365</t>
  </si>
  <si>
    <t>percentGrossMarketValueGlobal: 205.3143</t>
  </si>
  <si>
    <t>percentGrossExposureGlobal: 596.8365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</si>
</sst>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1" fillId="8" fontId="16" numFmtId="0" xfId="0" applyAlignment="1" applyBorder="1" applyFont="1">
      <alignment horizontal="left" readingOrder="0" shrinkToFit="0" vertical="top" wrapText="0"/>
    </xf>
    <xf borderId="12" fillId="8" fontId="3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readingOrder="0" shrinkToFit="0" vertical="top" wrapText="0"/>
    </xf>
    <xf borderId="13" fillId="9" fontId="3" numFmtId="0" xfId="0" applyAlignment="1" applyBorder="1" applyFont="1">
      <alignment vertical="top"/>
    </xf>
    <xf borderId="14" fillId="8" fontId="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22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5" t="s">
        <v>17</v>
      </c>
      <c r="D10" s="39">
        <v>100.0</v>
      </c>
      <c r="E10" s="35"/>
      <c r="F10" s="31" t="s">
        <v>22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23</v>
      </c>
      <c r="C11" s="35" t="s">
        <v>17</v>
      </c>
      <c r="D11" s="39">
        <v>100.0</v>
      </c>
      <c r="E11" s="40">
        <v>0.0</v>
      </c>
      <c r="F11" s="31" t="s">
        <v>22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1" t="s">
        <v>22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8" t="s">
        <v>22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24</v>
      </c>
      <c r="C14" s="35" t="s">
        <v>17</v>
      </c>
      <c r="D14" s="39">
        <v>100.0</v>
      </c>
      <c r="E14" s="35"/>
      <c r="F14" s="31" t="s">
        <v>18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24</v>
      </c>
      <c r="C15" s="35" t="s">
        <v>17</v>
      </c>
      <c r="D15" s="39">
        <v>100.0</v>
      </c>
      <c r="E15" s="40">
        <v>0.0</v>
      </c>
      <c r="F15" s="31" t="s">
        <v>18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25</v>
      </c>
      <c r="C16" s="35" t="s">
        <v>17</v>
      </c>
      <c r="D16" s="39">
        <v>100.0</v>
      </c>
      <c r="E16" s="35"/>
      <c r="F16" s="31" t="s">
        <v>18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25</v>
      </c>
      <c r="C17" s="35" t="s">
        <v>17</v>
      </c>
      <c r="D17" s="39">
        <v>100.0</v>
      </c>
      <c r="E17" s="40">
        <v>0.0</v>
      </c>
      <c r="F17" s="38" t="s">
        <v>18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22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23</v>
      </c>
      <c r="C8" s="35" t="s">
        <v>17</v>
      </c>
      <c r="D8" s="39">
        <v>100.0</v>
      </c>
      <c r="E8" s="35"/>
      <c r="F8" s="31" t="s">
        <v>22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1" t="s">
        <v>22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24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25</v>
      </c>
      <c r="C11" s="35" t="s">
        <v>17</v>
      </c>
      <c r="D11" s="39">
        <v>100.0</v>
      </c>
      <c r="E11" s="35"/>
      <c r="F11" s="31" t="s">
        <v>18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24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25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28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16</v>
      </c>
      <c r="C6" s="44" t="s">
        <v>17</v>
      </c>
      <c r="D6" s="46">
        <v>101.0</v>
      </c>
      <c r="E6" s="31"/>
      <c r="F6" s="44" t="s">
        <v>18</v>
      </c>
      <c r="G6" s="31"/>
      <c r="H6" s="31"/>
      <c r="I6" s="31"/>
      <c r="J6" s="4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30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32</v>
      </c>
      <c r="C6" s="49" t="s">
        <v>33</v>
      </c>
      <c r="D6" s="49" t="s">
        <v>34</v>
      </c>
      <c r="E6" s="49" t="s">
        <v>35</v>
      </c>
      <c r="F6" s="49">
        <v>-10.0</v>
      </c>
      <c r="G6" s="50">
        <v>202.15</v>
      </c>
      <c r="H6" s="50" t="s">
        <v>36</v>
      </c>
      <c r="I6" s="51"/>
      <c r="J6" s="31"/>
      <c r="K6" s="44" t="s">
        <v>19</v>
      </c>
      <c r="L6" s="31"/>
      <c r="M6" s="52" t="s">
        <v>30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3"/>
      <c r="B7" s="48" t="s">
        <v>32</v>
      </c>
      <c r="C7" s="54" t="s">
        <v>37</v>
      </c>
      <c r="D7" s="54" t="s">
        <v>34</v>
      </c>
      <c r="E7" s="54" t="s">
        <v>35</v>
      </c>
      <c r="F7" s="54">
        <v>-10.0</v>
      </c>
      <c r="G7" s="55">
        <v>593.67</v>
      </c>
      <c r="H7" s="55" t="s">
        <v>38</v>
      </c>
      <c r="I7" s="5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3"/>
      <c r="B8" s="48" t="s">
        <v>32</v>
      </c>
      <c r="C8" s="49" t="s">
        <v>39</v>
      </c>
      <c r="D8" s="49" t="s">
        <v>34</v>
      </c>
      <c r="E8" s="49" t="s">
        <v>35</v>
      </c>
      <c r="F8" s="49">
        <v>-10.0</v>
      </c>
      <c r="G8" s="50">
        <v>202.15</v>
      </c>
      <c r="H8" s="50" t="s">
        <v>40</v>
      </c>
      <c r="I8" s="57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3"/>
      <c r="B9" s="48" t="s">
        <v>32</v>
      </c>
      <c r="C9" s="54" t="s">
        <v>41</v>
      </c>
      <c r="D9" s="54" t="s">
        <v>34</v>
      </c>
      <c r="E9" s="54" t="s">
        <v>35</v>
      </c>
      <c r="F9" s="54">
        <v>-10.0</v>
      </c>
      <c r="G9" s="55">
        <v>593.67</v>
      </c>
      <c r="H9" s="55" t="s">
        <v>42</v>
      </c>
      <c r="I9" s="5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17</v>
      </c>
      <c r="C6" s="44" t="s">
        <v>16</v>
      </c>
      <c r="D6" s="30"/>
      <c r="E6" s="31"/>
      <c r="F6" s="31"/>
      <c r="G6" s="46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17</v>
      </c>
      <c r="C6" s="44" t="s">
        <v>16</v>
      </c>
      <c r="D6" s="30"/>
      <c r="E6" s="31"/>
      <c r="F6" s="31"/>
      <c r="G6" s="46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31"/>
      <c r="D6" s="45" t="s">
        <v>16</v>
      </c>
      <c r="E6" s="31"/>
      <c r="F6" s="44" t="s">
        <v>17</v>
      </c>
      <c r="G6" s="52" t="s">
        <v>48</v>
      </c>
      <c r="H6" s="46">
        <v>101.0</v>
      </c>
      <c r="I6" s="31"/>
      <c r="J6" s="31"/>
      <c r="K6" s="31"/>
      <c r="L6" s="31"/>
      <c r="M6" s="31"/>
      <c r="N6" s="33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16</v>
      </c>
      <c r="AK6" s="31" t="s">
        <v>17</v>
      </c>
      <c r="AL6" s="58" t="s">
        <v>48</v>
      </c>
      <c r="AM6" s="59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200.0</v>
      </c>
      <c r="E6" s="31"/>
      <c r="F6" s="31"/>
      <c r="G6" s="31"/>
      <c r="H6" s="31"/>
      <c r="I6" s="31"/>
      <c r="J6" s="58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52</v>
      </c>
      <c r="AL6" s="60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1">
        <f t="shared" ref="B6:C6" si="1">today()-1</f>
        <v>45881</v>
      </c>
      <c r="C6" s="62">
        <f t="shared" si="1"/>
        <v>45881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3"/>
      <c r="B6" s="64" t="s">
        <v>56</v>
      </c>
      <c r="C6" s="65" t="s">
        <v>57</v>
      </c>
      <c r="D6" s="66" t="s">
        <v>58</v>
      </c>
      <c r="E6" s="43">
        <v>1.2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32</v>
      </c>
      <c r="C6" s="49" t="s">
        <v>33</v>
      </c>
      <c r="D6" s="49" t="s">
        <v>34</v>
      </c>
      <c r="E6" s="49" t="s">
        <v>35</v>
      </c>
      <c r="F6" s="49">
        <v>-10.0</v>
      </c>
      <c r="G6" s="50">
        <v>205.31</v>
      </c>
      <c r="H6" s="50" t="s">
        <v>59</v>
      </c>
      <c r="I6" s="51"/>
      <c r="J6" s="31"/>
      <c r="K6" s="44" t="s">
        <v>19</v>
      </c>
      <c r="L6" s="31"/>
      <c r="M6" s="52" t="s">
        <v>30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3"/>
      <c r="B7" s="48" t="s">
        <v>32</v>
      </c>
      <c r="C7" s="54" t="s">
        <v>37</v>
      </c>
      <c r="D7" s="54" t="s">
        <v>34</v>
      </c>
      <c r="E7" s="54" t="s">
        <v>35</v>
      </c>
      <c r="F7" s="54">
        <v>-10.0</v>
      </c>
      <c r="G7" s="55">
        <v>596.84</v>
      </c>
      <c r="H7" s="55" t="s">
        <v>60</v>
      </c>
      <c r="I7" s="5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3"/>
      <c r="B8" s="48" t="s">
        <v>32</v>
      </c>
      <c r="C8" s="49" t="s">
        <v>39</v>
      </c>
      <c r="D8" s="49" t="s">
        <v>34</v>
      </c>
      <c r="E8" s="49" t="s">
        <v>35</v>
      </c>
      <c r="F8" s="49">
        <v>-10.0</v>
      </c>
      <c r="G8" s="50">
        <v>205.31</v>
      </c>
      <c r="H8" s="50" t="s">
        <v>61</v>
      </c>
      <c r="I8" s="57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3"/>
      <c r="B9" s="48" t="s">
        <v>32</v>
      </c>
      <c r="C9" s="54" t="s">
        <v>41</v>
      </c>
      <c r="D9" s="54" t="s">
        <v>34</v>
      </c>
      <c r="E9" s="54" t="s">
        <v>35</v>
      </c>
      <c r="F9" s="54">
        <v>-10.0</v>
      </c>
      <c r="G9" s="55">
        <v>596.84</v>
      </c>
      <c r="H9" s="55" t="s">
        <v>62</v>
      </c>
      <c r="I9" s="5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12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