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onnectToSimAutoMan" sheetId="4" r:id="rId6"/>
    <sheet state="visible" name="CreateLive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<sst xmlns="http://schemas.openxmlformats.org/spreadsheetml/2006/main" count="52" uniqueCount="29">
  <si>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</si>
  <si>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</si>
  <si>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</si>
  <si>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</si>
  <si>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</si>
  <si>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</si>
  <si>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</si>
  <si>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</si>
  <si>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</si>
  <si>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</si>
  <si>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</si>
  <si>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</si>
  <si>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</si>
  <si>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ConnectToSimAutoMan</t>
  </si>
  <si>
    <t>Data Format</t>
  </si>
  <si>
    <t>Input Format</t>
  </si>
  <si>
    <t>Auto</t>
  </si>
  <si>
    <t>MS</t>
  </si>
  <si>
    <t>TradingTicket</t>
  </si>
  <si>
    <t>CreateLiveOrder</t>
  </si>
  <si>
    <t>AAPL</t>
  </si>
  <si>
    <t>Buy</t>
  </si>
  <si>
    <t>Unallocated</t>
  </si>
  <si>
    <t>Market</t>
  </si>
  <si>
    <t>O:AAPL 13N715.00</t>
  </si>
  <si>
    <t>Buy to Open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</si>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</sst>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IFERROR(__xludf.DUMMYFUNCTION("IF(C3="""","""",Transpose(IMPORTRANGE('_Settings'!$B$3,C3&amp;""!A4:A1000"")))"),"RestartServer")</f>
        <v>RestartServer</v>
      </c>
      <c r="C4" s="25" t="str">
        <f>IFERROR(__xludf.DUMMYFUNCTION("""COMPUTED_VALUE"""),"UpdateServerConfig")</f>
        <v>UpdateServerConfig</v>
      </c>
      <c r="D4" s="25" t="str">
        <f>IFERROR(__xludf.DUMMYFUNCTION("""COMPUTED_VALUE"""),"StartTradeServer")</f>
        <v>StartTradeServer</v>
      </c>
      <c r="E4" s="25" t="str">
        <f>IFERROR(__xludf.DUMMYFUNCTION("""COMPUTED_VALUE"""),"CloseTradeServer")</f>
        <v>CloseTradeServer</v>
      </c>
      <c r="F4" s="25" t="str">
        <f>IFERROR(__xludf.DUMMYFUNCTION("""COMPUTED_VALUE"""),"ConnectToSimAutoMan")</f>
        <v>ConnectToSimAutoMan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IFERROR(__xludf.DUMMYFUNCTION("""COMPUTED_VALUE"""),"SetResponse")</f>
        <v>SetResponse</v>
      </c>
      <c r="C5" s="28" t="str">
        <f>IFERROR(__xludf.DUMMYFUNCTION("""COMPUTED_VALUE"""),"Broker")</f>
        <v>Broker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ConnectToSimAutoMan!$4:$4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20</v>
      </c>
      <c r="C6" s="35" t="s">
        <v>21</v>
      </c>
      <c r="D6" s="36">
        <v>500.0</v>
      </c>
      <c r="E6" s="37">
        <v>500.0</v>
      </c>
      <c r="F6" s="35" t="s">
        <v>22</v>
      </c>
      <c r="G6" s="35" t="s">
        <v>17</v>
      </c>
      <c r="H6" s="35"/>
      <c r="I6" s="35" t="s">
        <v>23</v>
      </c>
      <c r="J6" s="37">
        <v>10.0</v>
      </c>
      <c r="K6" s="35"/>
      <c r="L6" s="35"/>
      <c r="M6" s="35"/>
      <c r="N6" s="38">
        <f t="shared" ref="N6:N7" si="1">today()</f>
        <v>45161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24</v>
      </c>
      <c r="C7" s="35" t="s">
        <v>25</v>
      </c>
      <c r="D7" s="37">
        <v>5000.0</v>
      </c>
      <c r="E7" s="39">
        <v>5000.0</v>
      </c>
      <c r="F7" s="35" t="s">
        <v>22</v>
      </c>
      <c r="G7" s="35" t="s">
        <v>17</v>
      </c>
      <c r="H7" s="35"/>
      <c r="I7" s="35" t="s">
        <v>23</v>
      </c>
      <c r="J7" s="37">
        <v>10.0</v>
      </c>
      <c r="K7" s="35"/>
      <c r="L7" s="35"/>
      <c r="M7" s="35"/>
      <c r="N7" s="38">
        <f t="shared" si="1"/>
        <v>45161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20</v>
      </c>
      <c r="AJ6" s="35" t="s">
        <v>21</v>
      </c>
      <c r="AK6" s="35" t="s">
        <v>28</v>
      </c>
      <c r="AL6" s="39">
        <v>500.0</v>
      </c>
      <c r="AM6" s="39">
        <v>500.0</v>
      </c>
      <c r="AN6" s="39">
        <v>100.0</v>
      </c>
      <c r="AO6" s="35"/>
      <c r="AP6" s="35"/>
      <c r="AQ6" s="35"/>
      <c r="AR6" s="35"/>
      <c r="AS6" s="35" t="s">
        <v>17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 t="s">
        <v>24</v>
      </c>
      <c r="AJ7" s="35" t="s">
        <v>25</v>
      </c>
      <c r="AK7" s="35" t="s">
        <v>28</v>
      </c>
      <c r="AL7" s="39">
        <v>5000.0</v>
      </c>
      <c r="AM7" s="39">
        <v>5000.0</v>
      </c>
      <c r="AN7" s="39">
        <v>100.0</v>
      </c>
      <c r="AO7" s="35"/>
      <c r="AP7" s="35"/>
      <c r="AQ7" s="35"/>
      <c r="AR7" s="35"/>
      <c r="AS7" s="35" t="s">
        <v>17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