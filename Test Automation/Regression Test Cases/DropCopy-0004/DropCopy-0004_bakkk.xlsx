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loadDropcopyFile" sheetId="4" r:id="rId6"/>
    <sheet state="visible" name="GetDataAllocation" sheetId="5" r:id="rId7"/>
    <sheet state="visible" name="CheckUnallocatedGroups" sheetId="6" r:id="rId8"/>
    <sheet state="visible" name="GetExecutionReportOrders" sheetId="7" r:id="rId9"/>
    <sheet state="visible" name="VerifyExecutionReport" sheetId="8" r:id="rId10"/>
    <sheet state="visible" name="GetExecutionReportDetails" sheetId="9" r:id="rId11"/>
    <sheet state="visible" name="VerifyExecutionReport1" sheetId="10" r:id="rId12"/>
  </sheets>
  <definedNames/>
  <calcPr/>
</workbook>
</file>

<file path=xl/sharedStrings.xml><?xml version="1.0" encoding="utf-8"?>
<sst xmlns="http://schemas.openxmlformats.org/spreadsheetml/2006/main" count="85" uniqueCount="37">
  <si>
    <t>Modules Info</t>
  </si>
  <si>
    <t>Modules</t>
  </si>
  <si>
    <t>Settings</t>
  </si>
  <si>
    <t>Module Step Setting File</t>
  </si>
  <si>
    <t>1njGxNbI2NR3nqQDk5lTKx4so0tQjoi9u2bypOu6AkKU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</si>
  <si>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</si>
  <si>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</si>
  <si>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</si>
  <si>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</si>
  <si>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</si>
  <si>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</si>
  <si>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</si>
  <si>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Dropcopy</t>
  </si>
  <si>
    <t>UploadDropcopyFile</t>
  </si>
  <si>
    <t>Data Format</t>
  </si>
  <si>
    <t>Input Format</t>
  </si>
  <si>
    <t>E:\DistributedAutomation\TestAutomationV2.5\Release\Import Cases\Perfectt fileNew.xls</t>
  </si>
  <si>
    <t>Allocation</t>
  </si>
  <si>
    <t>GetDataAllocation</t>
  </si>
  <si>
    <t>Historical</t>
  </si>
  <si>
    <t>CheckUnallocatedGroups</t>
  </si>
  <si>
    <t>Equity</t>
  </si>
  <si>
    <t>GS</t>
  </si>
  <si>
    <t>Open</t>
  </si>
  <si>
    <t>USD</t>
  </si>
  <si>
    <t>NYSE</t>
  </si>
  <si>
    <t>M</t>
  </si>
  <si>
    <t>False</t>
  </si>
  <si>
    <t>Limit</t>
  </si>
  <si>
    <t>Buy</t>
  </si>
  <si>
    <t>SAP</t>
  </si>
  <si>
    <t>US</t>
  </si>
  <si>
    <t>Blotter</t>
  </si>
  <si>
    <t>GetExecutionReportOrders</t>
  </si>
  <si>
    <t>VerifyExecutionReport</t>
  </si>
  <si>
    <t>PartiallyFilled</t>
  </si>
  <si>
    <t>GetExecutionReportDetails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</si>
</sst>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/>
    </font>
    <font>
      <sz val="11.0"/>
      <name val="Calibri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14" numFmtId="165" xfId="0" applyFont="1" applyNumberFormat="1"/>
    <xf borderId="0" fillId="0" fontId="5" numFmtId="0" xfId="0" applyAlignment="1" applyFont="1">
      <alignment readingOrder="0" shrinkToFit="0" wrapText="0"/>
    </xf>
    <xf borderId="5" fillId="0" fontId="15" numFmtId="165" xfId="0" applyAlignment="1" applyBorder="1" applyFont="1" applyNumberFormat="1">
      <alignment horizontal="right" vertical="bottom"/>
    </xf>
    <xf borderId="5" fillId="0" fontId="16" numFmtId="165" xfId="0" applyAlignment="1" applyBorder="1" applyFont="1" applyNumberFormat="1">
      <alignment horizontal="right" vertical="bottom"/>
    </xf>
    <xf borderId="0" fillId="0" fontId="16" numFmtId="165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IFERROR(__xludf.DUMMYFUNCTION("IF(C3="""","""",Transpose(IMPORTRANGE('_Settings'!$B$3,C3&amp;""!A4:A1000"")))"),"UploadDropcopyFile")</f>
        <v>UploadDropcopyFile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IFERROR(__xludf.DUMMYFUNCTION("""COMPUTED_VALUE"""),"AppendToOrderId")</f>
        <v>AppendToOrderId</v>
      </c>
      <c r="C5" s="28" t="str">
        <f>IFERROR(__xludf.DUMMYFUNCTION("""COMPUTED_VALUE"""),"UploadFile")</f>
        <v>UploadFile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v>15.0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UploadDropcopyFile!$4:$4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19</v>
      </c>
      <c r="C6" s="37">
        <v>43184.0</v>
      </c>
      <c r="D6" s="38">
        <f>today()</f>
        <v>44539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9">
        <v>0.0</v>
      </c>
      <c r="D6" s="39">
        <v>0.0</v>
      </c>
      <c r="E6" s="40"/>
      <c r="F6" t="s">
        <v>21</v>
      </c>
      <c r="G6" s="39">
        <v>29.0</v>
      </c>
      <c r="H6" s="39">
        <v>0.0</v>
      </c>
      <c r="I6" s="39">
        <v>15.0</v>
      </c>
      <c r="J6" s="41">
        <v>10.16</v>
      </c>
      <c r="K6" s="41">
        <v>10.16</v>
      </c>
      <c r="L6" s="35"/>
      <c r="M6" s="35"/>
      <c r="N6" s="35" t="s">
        <v>22</v>
      </c>
      <c r="O6" s="35"/>
      <c r="P6" s="42">
        <v>3.0</v>
      </c>
      <c r="Q6" s="42">
        <v>0.0</v>
      </c>
      <c r="R6" s="35"/>
      <c r="S6" s="35" t="s">
        <v>23</v>
      </c>
      <c r="T6" s="43">
        <v>0.0</v>
      </c>
      <c r="U6" s="43">
        <v>0.0</v>
      </c>
      <c r="Z6" t="s">
        <v>24</v>
      </c>
      <c r="AD6" t="s">
        <v>25</v>
      </c>
      <c r="AE6" s="39">
        <v>320.0</v>
      </c>
      <c r="AG6" t="s">
        <v>26</v>
      </c>
      <c r="AH6" s="39">
        <v>1.0</v>
      </c>
      <c r="AN6" t="s">
        <v>27</v>
      </c>
      <c r="AP6" t="s">
        <v>27</v>
      </c>
      <c r="AR6" t="s">
        <v>27</v>
      </c>
      <c r="AT6" s="44">
        <v>3281.76896</v>
      </c>
      <c r="AU6" s="44">
        <v>3281.76896</v>
      </c>
      <c r="AW6" s="39">
        <v>0.0</v>
      </c>
      <c r="AX6" s="39">
        <v>0.0</v>
      </c>
      <c r="AY6" t="s">
        <v>28</v>
      </c>
      <c r="AZ6" s="39">
        <v>0.0</v>
      </c>
      <c r="BC6" s="39">
        <v>0.0</v>
      </c>
      <c r="BE6" s="44">
        <v>3251.2</v>
      </c>
      <c r="BF6" s="44">
        <v>3251.2</v>
      </c>
      <c r="BJ6" s="39">
        <v>1000.0</v>
      </c>
      <c r="BK6" s="39">
        <v>0.0</v>
      </c>
      <c r="BM6" t="s">
        <v>24</v>
      </c>
      <c r="BO6" t="s">
        <v>29</v>
      </c>
      <c r="BP6" s="39">
        <v>0.0</v>
      </c>
      <c r="BQ6" s="39">
        <v>0.0</v>
      </c>
      <c r="BS6" t="s">
        <v>30</v>
      </c>
      <c r="BT6" s="39">
        <v>1.0</v>
      </c>
      <c r="BU6" s="39">
        <v>0.0</v>
      </c>
      <c r="BV6" s="39">
        <v>30.56896</v>
      </c>
      <c r="BW6" s="39">
        <v>0.0</v>
      </c>
      <c r="CH6" t="s">
        <v>29</v>
      </c>
      <c r="CI6" s="39">
        <v>320.0</v>
      </c>
      <c r="CJ6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AT7" s="45"/>
      <c r="AU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43184.0</v>
      </c>
      <c r="C6" s="38">
        <f>today()</f>
        <v>44539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GetExecutionReportOrders!$4:$4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30</v>
      </c>
      <c r="C6" s="35" t="s">
        <v>29</v>
      </c>
      <c r="D6" s="34"/>
      <c r="E6" s="35"/>
      <c r="F6" s="46">
        <v>320.0</v>
      </c>
      <c r="G6" s="46">
        <v>10.16</v>
      </c>
      <c r="H6" s="35" t="s">
        <v>35</v>
      </c>
      <c r="I6" s="35"/>
      <c r="J6" s="35"/>
      <c r="K6" s="35"/>
      <c r="L6" s="35"/>
      <c r="M6" s="35"/>
      <c r="N6" s="35" t="s">
        <v>22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Date")</f>
        <v>From Date</v>
      </c>
      <c r="C5" s="28" t="str">
        <f>IFERROR(__xludf.DUMMYFUNCTION("""COMPUTED_VALUE"""),"To Date")</f>
        <v>To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v>43184.0</v>
      </c>
      <c r="C6" s="38">
        <f>today()</f>
        <v>44539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GetExecutionReportDetails!$4:$4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IFERROR(__xludf.DUMMYFUNCTION("""COMPUTED_VALUE"""),"Order Type")</f>
        <v>Order Type</v>
      </c>
      <c r="E5" s="28" t="str">
        <f>IFERROR(__xludf.DUMMYFUNCTION("""COMPUTED_VALUE"""),"Target Quantity")</f>
        <v>Target Quantity</v>
      </c>
      <c r="F5" s="29" t="str">
        <f>IFERROR(__xludf.DUMMYFUNCTION("""COMPUTED_VALUE"""),"Executed Qty")</f>
        <v>Executed Qty</v>
      </c>
      <c r="G5" s="28" t="str">
        <f>IFERROR(__xludf.DUMMYFUNCTION("""COMPUTED_VALUE"""),"Avg Price")</f>
        <v>Avg Price</v>
      </c>
      <c r="H5" s="28" t="str">
        <f>IFERROR(__xludf.DUMMYFUNCTION("""COMPUTED_VALUE"""),"Status")</f>
        <v>Status</v>
      </c>
      <c r="I5" s="28" t="str">
        <f>IFERROR(__xludf.DUMMYFUNCTION("""COMPUTED_VALUE"""),"Price")</f>
        <v>Price</v>
      </c>
      <c r="J5" s="28" t="str">
        <f>IFERROR(__xludf.DUMMYFUNCTION("""COMPUTED_VALUE"""),"OrderID")</f>
        <v>OrderID</v>
      </c>
      <c r="K5" s="28" t="str">
        <f>IFERROR(__xludf.DUMMYFUNCTION("""COMPUTED_VALUE"""),"CIOrderID")</f>
        <v>CIOrderID</v>
      </c>
      <c r="L5" s="28" t="str">
        <f>IFERROR(__xludf.DUMMYFUNCTION("""COMPUTED_VALUE"""),"Actual User")</f>
        <v>Actual User</v>
      </c>
      <c r="M5" s="28" t="str">
        <f>IFERROR(__xludf.DUMMYFUNCTION("""COMPUTED_VALUE"""),"Trader")</f>
        <v>Trader</v>
      </c>
      <c r="N5" s="28" t="str">
        <f>IFERROR(__xludf.DUMMYFUNCTION("""COMPUTED_VALUE"""),"Broker")</f>
        <v>Broker</v>
      </c>
      <c r="O5" s="28" t="str">
        <f>IFERROR(__xludf.DUMMYFUNCTION("""COMPUTED_VALUE"""),"Modified User")</f>
        <v>Modified User</v>
      </c>
      <c r="P5" s="28" t="str">
        <f>IFERROR(__xludf.DUMMYFUNCTION("""COMPUTED_VALUE"""),"Current User")</f>
        <v>Current User</v>
      </c>
      <c r="Q5" s="28" t="str">
        <f>IFERROR(__xludf.DUMMYFUNCTION("""COMPUTED_VALUE"""),"Avg Fx Rate")</f>
        <v>Avg Fx Rate</v>
      </c>
      <c r="R5" s="28" t="str">
        <f>IFERROR(__xludf.DUMMYFUNCTION("""COMPUTED_VALUE"""),"Account")</f>
        <v>Account</v>
      </c>
      <c r="S5" s="28" t="str">
        <f>IFERROR(__xludf.DUMMYFUNCTION("""COMPUTED_VALUE"""),"Process Date")</f>
        <v>Process Date</v>
      </c>
      <c r="T5" s="30" t="str">
        <f>IFERROR(__xludf.DUMMYFUNCTION("""COMPUTED_VALUE"""),"Last Shares")</f>
        <v>Last Shares</v>
      </c>
      <c r="U5" s="30" t="str">
        <f>IFERROR(__xludf.DUMMYFUNCTION("""COMPUTED_VALUE"""),"Last Price")</f>
        <v>Last Price</v>
      </c>
      <c r="V5" s="30" t="str">
        <f>IFERROR(__xludf.DUMMYFUNCTION("""COMPUTED_VALUE"""),"Exchange")</f>
        <v>Exchange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30</v>
      </c>
      <c r="C6" s="35" t="s">
        <v>29</v>
      </c>
      <c r="D6" s="34" t="s">
        <v>28</v>
      </c>
      <c r="E6" s="46">
        <v>1000.0</v>
      </c>
      <c r="F6" s="35"/>
      <c r="G6" s="35"/>
      <c r="H6" s="35"/>
      <c r="I6" s="46">
        <v>10.16</v>
      </c>
      <c r="J6" s="35"/>
      <c r="K6" s="35"/>
      <c r="L6" s="35"/>
      <c r="M6" s="35"/>
      <c r="N6" s="35" t="s">
        <v>22</v>
      </c>
      <c r="O6" s="35"/>
      <c r="P6" s="35"/>
      <c r="Q6" s="47">
        <v>1.0</v>
      </c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7.25" customHeight="1">
      <c r="A7" s="36"/>
      <c r="B7" s="36"/>
      <c r="C7" s="36"/>
      <c r="D7" s="36"/>
      <c r="E7" s="36"/>
      <c r="F7" s="48"/>
      <c r="G7" s="48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49"/>
      <c r="U7" s="49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7.25" customHeight="1">
      <c r="A8" s="36"/>
      <c r="B8" s="36"/>
      <c r="C8" s="36"/>
      <c r="D8" s="36"/>
      <c r="E8" s="36"/>
      <c r="F8" s="48"/>
      <c r="G8" s="48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49"/>
      <c r="U8" s="49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48"/>
      <c r="G9" s="48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49"/>
      <c r="U9" s="49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48"/>
      <c r="G10" s="48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49"/>
      <c r="U10" s="49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/>
      <c r="C11" s="36"/>
      <c r="D11" s="36"/>
      <c r="E11" s="36"/>
      <c r="F11" s="48"/>
      <c r="G11" s="48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49"/>
      <c r="U11" s="49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6"/>
      <c r="C12" s="36"/>
      <c r="D12" s="36"/>
      <c r="E12" s="36"/>
      <c r="F12" s="48"/>
      <c r="G12" s="48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49"/>
      <c r="U12" s="49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6"/>
      <c r="C13" s="36"/>
      <c r="D13" s="36"/>
      <c r="E13" s="36"/>
      <c r="F13" s="48"/>
      <c r="G13" s="48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49"/>
      <c r="U13" s="49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6"/>
      <c r="C14" s="36"/>
      <c r="D14" s="36"/>
      <c r="E14" s="36"/>
      <c r="F14" s="48"/>
      <c r="G14" s="48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49"/>
      <c r="U14" s="49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6"/>
      <c r="C15" s="36"/>
      <c r="D15" s="36"/>
      <c r="E15" s="36"/>
      <c r="F15" s="48"/>
      <c r="G15" s="48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49"/>
      <c r="U15" s="49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36"/>
      <c r="C16" s="36"/>
      <c r="D16" s="36"/>
      <c r="E16" s="36"/>
      <c r="F16" s="48"/>
      <c r="G16" s="48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49"/>
      <c r="U16" s="49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36"/>
      <c r="C17" s="36"/>
      <c r="D17" s="36"/>
      <c r="E17" s="36"/>
      <c r="F17" s="48"/>
      <c r="G17" s="48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49"/>
      <c r="U17" s="49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36"/>
      <c r="B18" s="36"/>
      <c r="C18" s="36"/>
      <c r="D18" s="36"/>
      <c r="E18" s="36"/>
      <c r="F18" s="48"/>
      <c r="G18" s="48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49"/>
      <c r="U18" s="49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</row>
    <row r="19" ht="15.75" customHeight="1">
      <c r="A19" s="36"/>
      <c r="B19" s="36"/>
      <c r="C19" s="36"/>
      <c r="D19" s="36"/>
      <c r="E19" s="36"/>
      <c r="F19" s="48"/>
      <c r="G19" s="48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49"/>
      <c r="U19" s="49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</row>
    <row r="20" ht="15.75" customHeight="1">
      <c r="A20" s="36"/>
      <c r="B20" s="36"/>
      <c r="C20" s="36"/>
      <c r="D20" s="36"/>
      <c r="E20" s="36"/>
      <c r="F20" s="48"/>
      <c r="G20" s="48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49"/>
      <c r="U20" s="49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</row>
    <row r="21" ht="15.75" customHeight="1">
      <c r="A21" s="36"/>
      <c r="B21" s="36"/>
      <c r="C21" s="36"/>
      <c r="D21" s="36"/>
      <c r="E21" s="36"/>
      <c r="F21" s="48"/>
      <c r="G21" s="48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49"/>
      <c r="U21" s="49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</row>
    <row r="22" ht="15.75" customHeight="1">
      <c r="A22" s="36"/>
      <c r="B22" s="36"/>
      <c r="C22" s="36"/>
      <c r="D22" s="36"/>
      <c r="E22" s="36"/>
      <c r="F22" s="48"/>
      <c r="G22" s="48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49"/>
      <c r="U22" s="49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</row>
    <row r="23" ht="15.75" customHeight="1">
      <c r="A23" s="36"/>
      <c r="B23" s="36"/>
      <c r="C23" s="36"/>
      <c r="D23" s="36"/>
      <c r="E23" s="36"/>
      <c r="F23" s="49"/>
      <c r="G23" s="49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49"/>
      <c r="U23" s="49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</row>
    <row r="24" ht="15.75" customHeight="1">
      <c r="A24" s="36"/>
      <c r="B24" s="36"/>
      <c r="C24" s="36"/>
      <c r="D24" s="36"/>
      <c r="E24" s="36"/>
      <c r="F24" s="48"/>
      <c r="G24" s="48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49"/>
      <c r="U24" s="49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</row>
    <row r="25" ht="15.75" customHeight="1">
      <c r="A25" s="36"/>
      <c r="B25" s="36"/>
      <c r="C25" s="36"/>
      <c r="D25" s="36"/>
      <c r="E25" s="36"/>
      <c r="F25" s="48"/>
      <c r="G25" s="48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49"/>
      <c r="U25" s="49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</row>
    <row r="26" ht="15.75" customHeight="1">
      <c r="A26" s="36"/>
      <c r="B26" s="36"/>
      <c r="C26" s="36"/>
      <c r="D26" s="36"/>
      <c r="E26" s="36"/>
      <c r="F26" s="48"/>
      <c r="G26" s="48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49"/>
      <c r="U26" s="49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</row>
    <row r="27" ht="15.75" customHeight="1">
      <c r="A27" s="36"/>
      <c r="B27" s="36"/>
      <c r="C27" s="36"/>
      <c r="D27" s="36"/>
      <c r="E27" s="36"/>
      <c r="F27" s="48"/>
      <c r="G27" s="49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49"/>
      <c r="U27" s="49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</row>
    <row r="28" ht="15.75" customHeight="1">
      <c r="A28" s="36"/>
      <c r="B28" s="36"/>
      <c r="C28" s="36"/>
      <c r="D28" s="36"/>
      <c r="E28" s="36"/>
      <c r="F28" s="49"/>
      <c r="G28" s="49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49"/>
      <c r="U28" s="49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</row>
    <row r="29" ht="15.75" customHeight="1">
      <c r="A29" s="36"/>
      <c r="B29" s="36"/>
      <c r="C29" s="36"/>
      <c r="D29" s="36"/>
      <c r="E29" s="36"/>
      <c r="F29" s="49"/>
      <c r="G29" s="49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49"/>
      <c r="U29" s="49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</row>
    <row r="30" ht="15.75" customHeight="1">
      <c r="A30" s="36"/>
      <c r="B30" s="36"/>
      <c r="C30" s="36"/>
      <c r="D30" s="36"/>
      <c r="E30" s="36"/>
      <c r="F30" s="49"/>
      <c r="G30" s="49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49"/>
      <c r="U30" s="49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</row>
    <row r="31" ht="15.75" customHeight="1">
      <c r="A31" s="36"/>
      <c r="B31" s="36"/>
      <c r="C31" s="36"/>
      <c r="D31" s="36"/>
      <c r="E31" s="36"/>
      <c r="F31" s="49"/>
      <c r="G31" s="49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49"/>
      <c r="U31" s="49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</row>
    <row r="32" ht="15.75" customHeight="1">
      <c r="A32" s="36"/>
      <c r="B32" s="36"/>
      <c r="C32" s="36"/>
      <c r="D32" s="36"/>
      <c r="E32" s="36"/>
      <c r="F32" s="49"/>
      <c r="G32" s="49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49"/>
      <c r="U32" s="49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</row>
    <row r="33" ht="15.75" customHeight="1">
      <c r="A33" s="36"/>
      <c r="B33" s="36"/>
      <c r="C33" s="36"/>
      <c r="D33" s="36"/>
      <c r="E33" s="36"/>
      <c r="F33" s="49"/>
      <c r="G33" s="49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49"/>
      <c r="U33" s="49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</row>
    <row r="34" ht="15.75" customHeight="1">
      <c r="A34" s="36"/>
      <c r="B34" s="36"/>
      <c r="C34" s="36"/>
      <c r="D34" s="36"/>
      <c r="E34" s="36"/>
      <c r="F34" s="49"/>
      <c r="G34" s="49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49"/>
      <c r="U34" s="49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</row>
    <row r="35" ht="15.75" customHeight="1">
      <c r="A35" s="36"/>
      <c r="B35" s="36"/>
      <c r="C35" s="36"/>
      <c r="D35" s="36"/>
      <c r="E35" s="36"/>
      <c r="F35" s="49"/>
      <c r="G35" s="49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49"/>
      <c r="U35" s="49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</row>
    <row r="36" ht="15.75" customHeight="1">
      <c r="A36" s="36"/>
      <c r="B36" s="36"/>
      <c r="C36" s="36"/>
      <c r="D36" s="36"/>
      <c r="E36" s="36"/>
      <c r="F36" s="49"/>
      <c r="G36" s="49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49"/>
      <c r="U36" s="49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</row>
    <row r="37" ht="15.75" customHeight="1">
      <c r="A37" s="36"/>
      <c r="B37" s="36"/>
      <c r="C37" s="36"/>
      <c r="D37" s="36"/>
      <c r="E37" s="36"/>
      <c r="F37" s="49"/>
      <c r="G37" s="49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49"/>
      <c r="U37" s="49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</row>
    <row r="38" ht="15.75" customHeight="1">
      <c r="A38" s="36"/>
      <c r="B38" s="36"/>
      <c r="C38" s="36"/>
      <c r="D38" s="36"/>
      <c r="E38" s="36"/>
      <c r="F38" s="48"/>
      <c r="G38" s="48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49"/>
      <c r="U38" s="49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</row>
    <row r="39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VerifyExecutionReport1!$4:$4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