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EditOrder" sheetId="5" r:id="rId7"/>
    <sheet state="visible" name="SelectTradeUsingMTT" sheetId="6" r:id="rId8"/>
    <sheet state="visible" name="BulkEditUpdateFromMTT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<sst xmlns="http://schemas.openxmlformats.org/spreadsheetml/2006/main" count="84" uniqueCount="33">
  <si>
    <t>Modules Info</t>
  </si>
  <si>
    <t>Modules</t>
  </si>
  <si>
    <t>Settings</t>
  </si>
  <si>
    <t>Module Step Setting File</t>
  </si>
  <si>
    <t>1SkpZIYbbc5zyWBgklgWu3_keUSaZdEcGCYAgFQJPYX8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</si>
  <si>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</si>
  <si>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</si>
  <si>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</si>
  <si>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</si>
  <si>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</si>
  <si>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</si>
  <si>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</si>
  <si>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</si>
  <si>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</si>
  <si>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</si>
  <si>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</si>
  <si>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SAP</t>
  </si>
  <si>
    <t>Buy</t>
  </si>
  <si>
    <t>Allocation1</t>
  </si>
  <si>
    <t>MS</t>
  </si>
  <si>
    <t>TSLA</t>
  </si>
  <si>
    <t>Blotter</t>
  </si>
  <si>
    <t>EditOrder</t>
  </si>
  <si>
    <t>Filled</t>
  </si>
  <si>
    <t>MultiTradingTicket</t>
  </si>
  <si>
    <t>SelectTradeUsingMTT</t>
  </si>
  <si>
    <t>Market</t>
  </si>
  <si>
    <t>BulkEditUpdateFromMTT</t>
  </si>
  <si>
    <t>Sell</t>
  </si>
  <si>
    <t>REPLACE</t>
  </si>
  <si>
    <t>YES</t>
  </si>
  <si>
    <t>BULK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</si>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</sst>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left" readingOrder="0"/>
    </xf>
    <xf borderId="0" fillId="6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IFERROR(__xludf.DUMMYFUNCTION("IF(C3="""","""",Transpose(IMPORTRANGE('_Settings'!$B$3,C3&amp;""!A4:A1000"")))"),"VerifyBasketExport")</f>
        <v>VerifyBasketExport</v>
      </c>
      <c r="C4" s="24" t="str">
        <f>IFERROR(__xludf.DUMMYFUNCTION("""COMPUTED_VALUE"""),"OpenTTFromPST")</f>
        <v>OpenTTFromPST</v>
      </c>
      <c r="D4" s="24" t="str">
        <f>IFERROR(__xludf.DUMMYFUNCTION("""COMPUTED_VALUE"""),"CreateNewSubLiveOrder")</f>
        <v>CreateNewSubLiveOrder</v>
      </c>
      <c r="E4" s="24" t="str">
        <f>IFERROR(__xludf.DUMMYFUNCTION("""COMPUTED_VALUE"""),"CreateReplaceLiveOrder")</f>
        <v>CreateReplaceLiveOrder</v>
      </c>
      <c r="F4" s="24" t="str">
        <f>IFERROR(__xludf.DUMMYFUNCTION("""COMPUTED_VALUE"""),"EnterDetailsOnTT")</f>
        <v>EnterDetailsOnTT</v>
      </c>
      <c r="G4" s="24" t="str">
        <f>IFERROR(__xludf.DUMMYFUNCTION("""COMPUTED_VALUE"""),"ViewAllocation")</f>
        <v>ViewAllocation</v>
      </c>
      <c r="H4" s="24" t="str">
        <f>IFERROR(__xludf.DUMMYFUNCTION("""COMPUTED_VALUE"""),"ValidateSymbolTT")</f>
        <v>ValidateSymbolTT</v>
      </c>
      <c r="I4" s="24" t="str">
        <f>IFERROR(__xludf.DUMMYFUNCTION("""COMPUTED_VALUE"""),"VerifyDataTT")</f>
        <v>VerifyDataTT</v>
      </c>
      <c r="J4" s="24" t="str">
        <f>IFERROR(__xludf.DUMMYFUNCTION("""COMPUTED_VALUE"""),"SetUIPreferencesTT")</f>
        <v>SetUIPreferencesTT</v>
      </c>
      <c r="K4" s="24" t="str">
        <f>IFERROR(__xludf.DUMMYFUNCTION("""COMPUTED_VALUE"""),"SetBrokerWisePreferencesTT")</f>
        <v>SetBrokerWisePreferencesTT</v>
      </c>
      <c r="L4" s="24" t="str">
        <f>IFERROR(__xludf.DUMMYFUNCTION("""COMPUTED_VALUE"""),"VerifyComplianceOrder")</f>
        <v>VerifyComplianceOrder</v>
      </c>
      <c r="M4" s="24" t="str">
        <f>IFERROR(__xludf.DUMMYFUNCTION("""COMPUTED_VALUE"""),"TradeNewSub")</f>
        <v>TradeNewSub</v>
      </c>
      <c r="N4" s="24" t="str">
        <f>IFERROR(__xludf.DUMMYFUNCTION("""COMPUTED_VALUE"""),"SendLiveBloomberg")</f>
        <v>SendLiveBloomberg</v>
      </c>
      <c r="O4" s="24" t="str">
        <f>IFERROR(__xludf.DUMMYFUNCTION("""COMPUTED_VALUE"""),"AddOptionTrade")</f>
        <v>AddOptionTrade</v>
      </c>
      <c r="P4" s="25" t="str">
        <f>IFERROR(__xludf.DUMMYFUNCTION("""COMPUTED_VALUE"""),"CreateComplianceOrder")</f>
        <v>CreateComplianceOrder</v>
      </c>
      <c r="Q4" s="25" t="str">
        <f>IFERROR(__xludf.DUMMYFUNCTION("""COMPUTED_VALUE"""),"CreateDoneAwayOrder")</f>
        <v>CreateDoneAwayOrder</v>
      </c>
      <c r="R4" s="25" t="str">
        <f>IFERROR(__xludf.DUMMYFUNCTION("""COMPUTED_VALUE"""),"CreateStageOrder")</f>
        <v>CreateStageOrder</v>
      </c>
      <c r="S4" s="25" t="str">
        <f>IFERROR(__xludf.DUMMYFUNCTION("""COMPUTED_VALUE"""),"ToggleBlombergOnRA")</f>
        <v>ToggleBlombergOnRA</v>
      </c>
      <c r="T4" s="25" t="str">
        <f>IFERROR(__xludf.DUMMYFUNCTION("""COMPUTED_VALUE"""),"CreateReplaceOrder")</f>
        <v>CreateReplaceOrder</v>
      </c>
      <c r="U4" s="25" t="str">
        <f>IFERROR(__xludf.DUMMYFUNCTION("""COMPUTED_VALUE"""),"RemoveSymbolFromRAList")</f>
        <v>RemoveSymbolFromRAList</v>
      </c>
      <c r="V4" s="25" t="str">
        <f>IFERROR(__xludf.DUMMYFUNCTION("""COMPUTED_VALUE"""),"DeleteSymbolListFromRA")</f>
        <v>DeleteSymbolListFromRA</v>
      </c>
      <c r="W4" s="25" t="str">
        <f>IFERROR(__xludf.DUMMYFUNCTION("""COMPUTED_VALUE"""),"AddSymbolOnRAList")</f>
        <v>AddSymbolOnRAList</v>
      </c>
      <c r="X4" s="25" t="str">
        <f>IFERROR(__xludf.DUMMYFUNCTION("""COMPUTED_VALUE"""),"CheckPendingNewOrderAlert")</f>
        <v>CheckPendingNewOrderAlert</v>
      </c>
      <c r="Y4" s="25" t="str">
        <f>IFERROR(__xludf.DUMMYFUNCTION("""COMPUTED_VALUE"""),"ExportSymbolFromRAList")</f>
        <v>ExportSymbolFromRAList</v>
      </c>
      <c r="Z4" s="25" t="str">
        <f>IFERROR(__xludf.DUMMYFUNCTION("""COMPUTED_VALUE"""),"ImportSymbol")</f>
        <v>ImportSymbol</v>
      </c>
      <c r="AA4" s="25" t="str">
        <f>IFERROR(__xludf.DUMMYFUNCTION("""COMPUTED_VALUE"""),"SetGeneralPreference")</f>
        <v>SetGeneralPreference</v>
      </c>
      <c r="AB4" s="25" t="str">
        <f>IFERROR(__xludf.DUMMYFUNCTION("""COMPUTED_VALUE"""),"SetTTCompliancePreference")</f>
        <v>SetTTCompliancePreference</v>
      </c>
      <c r="AC4" s="25" t="str">
        <f>IFERROR(__xludf.DUMMYFUNCTION("""COMPUTED_VALUE"""),"UpdateMasterFundOnTT")</f>
        <v>UpdateMasterFundOnTT</v>
      </c>
      <c r="AD4" s="25" t="str">
        <f>IFERROR(__xludf.DUMMYFUNCTION("""COMPUTED_VALUE"""),"CreateLiveOrder")</f>
        <v>CreateLiveOrder</v>
      </c>
      <c r="AE4" s="25" t="str">
        <f>IFERROR(__xludf.DUMMYFUNCTION("""COMPUTED_VALUE"""),"CreateNewSubOrder")</f>
        <v>CreateNewSubOrder</v>
      </c>
      <c r="AF4" s="25" t="str">
        <f>IFERROR(__xludf.DUMMYFUNCTION("""COMPUTED_VALUE"""),"TradeBloomberg")</f>
        <v>TradeBloomberg</v>
      </c>
      <c r="AG4" s="25" t="str">
        <f>IFERROR(__xludf.DUMMYFUNCTION("""COMPUTED_VALUE"""),"ClickSymbolLookup")</f>
        <v>ClickSymbolLookup</v>
      </c>
      <c r="AH4" s="25" t="str">
        <f>IFERROR(__xludf.DUMMYFUNCTION("""COMPUTED_VALUE"""),"VerifyTT")</f>
        <v>VerifyTT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1" t="s">
        <v>17</v>
      </c>
      <c r="D6" s="32">
        <v>100.0</v>
      </c>
      <c r="E6" s="33">
        <v>100.0</v>
      </c>
      <c r="F6" s="34" t="s">
        <v>18</v>
      </c>
      <c r="G6" s="31" t="s">
        <v>19</v>
      </c>
      <c r="H6" s="31"/>
      <c r="I6" s="31"/>
      <c r="J6" s="33">
        <v>10.0</v>
      </c>
      <c r="K6" s="31"/>
      <c r="L6" s="31"/>
      <c r="M6" s="31"/>
      <c r="N6" s="35">
        <f t="shared" ref="N6:N7" si="1">today()</f>
        <v>44957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33">
        <v>100.0</v>
      </c>
      <c r="E7" s="33">
        <v>100.0</v>
      </c>
      <c r="F7" s="34" t="s">
        <v>18</v>
      </c>
      <c r="G7" s="31" t="s">
        <v>19</v>
      </c>
      <c r="H7" s="31"/>
      <c r="I7" s="31"/>
      <c r="J7" s="33">
        <v>10.0</v>
      </c>
      <c r="K7" s="31"/>
      <c r="L7" s="31"/>
      <c r="M7" s="31"/>
      <c r="N7" s="35">
        <f t="shared" si="1"/>
        <v>44957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23</v>
      </c>
      <c r="AL6" s="36">
        <v>100.0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23</v>
      </c>
      <c r="AL7" s="36">
        <v>100.0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1" t="s">
        <v>16</v>
      </c>
      <c r="C6" s="31" t="s">
        <v>17</v>
      </c>
      <c r="D6" s="36">
        <v>100.0</v>
      </c>
      <c r="E6" s="8"/>
      <c r="F6" s="8"/>
      <c r="G6" s="8"/>
      <c r="H6" s="8"/>
      <c r="I6" s="37" t="s">
        <v>26</v>
      </c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31" t="s">
        <v>17</v>
      </c>
      <c r="D7" s="36">
        <v>100.0</v>
      </c>
      <c r="E7" s="8"/>
      <c r="F7" s="8"/>
      <c r="G7" s="8"/>
      <c r="H7" s="8"/>
      <c r="I7" s="38" t="s">
        <v>26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IFERROR(__xludf.DUMMYFUNCTION("IF(C3="""","""",Transpose(IMPORTRANGE('_Settings'!$B$3,C3&amp;""!A4:A1000"")))"),"BulkEditUpdateFromMTT")</f>
        <v>BulkEditUpdateFromMTT</v>
      </c>
      <c r="C4" s="24" t="str">
        <f>IFERROR(__xludf.DUMMYFUNCTION("""COMPUTED_VALUE"""),"EditTradeUsingMTT")</f>
        <v>EditTradeUsingMTT</v>
      </c>
      <c r="D4" s="24" t="str">
        <f>IFERROR(__xludf.DUMMYFUNCTION("""COMPUTED_VALUE"""),"SelectTradeUsingMTT")</f>
        <v>SelectTradeUsingMTT</v>
      </c>
      <c r="E4" s="24" t="str">
        <f>IFERROR(__xludf.DUMMYFUNCTION("""COMPUTED_VALUE"""),"GetPriceUsingMTT")</f>
        <v>GetPriceUsingMTT</v>
      </c>
      <c r="F4" s="24" t="str">
        <f>IFERROR(__xludf.DUMMYFUNCTION("""COMPUTED_VALUE"""),"DoneAwayUsingMTT")</f>
        <v>DoneAwayUsingMTT</v>
      </c>
      <c r="G4" s="24" t="str">
        <f>IFERROR(__xludf.DUMMYFUNCTION("""COMPUTED_VALUE"""),"SendOrderUsingMTT")</f>
        <v>SendOrderUsingMTT</v>
      </c>
      <c r="H4" s="24" t="str">
        <f>IFERROR(__xludf.DUMMYFUNCTION("""COMPUTED_VALUE"""),"BulkChangeTradeDoneAway")</f>
        <v>BulkChangeTradeDoneAway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IFERROR(__xludf.DUMMYFUNCTION("""COMPUTED_VALUE"""),"Button")</f>
        <v>Button</v>
      </c>
      <c r="AL5" s="29" t="str">
        <f>IFERROR(__xludf.DUMMYFUNCTION("""COMPUTED_VALUE"""),"Bulk Update Alert")</f>
        <v>Bulk Update Alert</v>
      </c>
      <c r="AM5" s="29" t="str">
        <f>IFERROR(__xludf.DUMMYFUNCTION("""COMPUTED_VALUE"""),"CancelWithoutReplace")</f>
        <v>CancelWithoutReplace</v>
      </c>
      <c r="AN5" s="29" t="str">
        <f>IFERROR(__xludf.DUMMYFUNCTION("""COMPUTED_VALUE"""),"BULK_OR_EDITTRADE")</f>
        <v>BULK_OR_EDITTRADE</v>
      </c>
      <c r="AO5" s="29" t="str">
        <f>IFERROR(__xludf.DUMMYFUNCTION("""COMPUTED_VALUE"""),"Click on Clear")</f>
        <v>Click on Clear</v>
      </c>
      <c r="AP5" s="29" t="str">
        <f>IFERROR(__xludf.DUMMYFUNCTION("""COMPUTED_VALUE"""),"Account")</f>
        <v>Account</v>
      </c>
      <c r="AQ5" s="29" t="str">
        <f>IFERROR(__xludf.DUMMYFUNCTION("""COMPUTED_VALUE"""),"Account %")</f>
        <v>Account %</v>
      </c>
      <c r="AR5" s="29" t="str">
        <f>IFERROR(__xludf.DUMMYFUNCTION("""COMPUTED_VALUE"""),"ClearOldCA")</f>
        <v>ClearOldCA</v>
      </c>
      <c r="AS5" s="29" t="str">
        <f>IFERROR(__xludf.DUMMYFUNCTION("""COMPUTED_VALUE"""),"ClickClearNotUpdate")</f>
        <v>ClickClearNotUpdate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37" t="s">
        <v>28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K6" s="9" t="s">
        <v>29</v>
      </c>
      <c r="AL6" s="9" t="s">
        <v>30</v>
      </c>
      <c r="AN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IFERROR(__xludf.DUMMYFUNCTION("IF(C3="""","""",Transpose(IMPORTRANGE('_Settings'!$B$3,C3&amp;""!A4:A1000"")))"),"SelectCheckBoxOnOrderGrid")</f>
        <v>SelectCheckBoxOnOrderGrid</v>
      </c>
      <c r="C4" s="24" t="str">
        <f>IFERROR(__xludf.DUMMYFUNCTION("""COMPUTED_VALUE"""),"SaveOrRemoveInWorkingSubsTab")</f>
        <v>SaveOrRemoveInWorkingSubsTab</v>
      </c>
      <c r="D4" s="24" t="str">
        <f>IFERROR(__xludf.DUMMYFUNCTION("""COMPUTED_VALUE"""),"SaveOrRemoveInSummaryTab")</f>
        <v>SaveOrRemoveInSummaryTab</v>
      </c>
      <c r="E4" s="24" t="str">
        <f>IFERROR(__xludf.DUMMYFUNCTION("""COMPUTED_VALUE"""),"VerifyLowerStripBlotterUI")</f>
        <v>VerifyLowerStripBlotterUI</v>
      </c>
      <c r="F4" s="24" t="str">
        <f>IFERROR(__xludf.DUMMYFUNCTION("""COMPUTED_VALUE"""),"AddTabBlotter")</f>
        <v>AddTabBlotter</v>
      </c>
      <c r="G4" s="24" t="str">
        <f>IFERROR(__xludf.DUMMYFUNCTION("""COMPUTED_VALUE"""),"VerifyMergeOrder")</f>
        <v>VerifyMergeOrder</v>
      </c>
      <c r="H4" s="24" t="str">
        <f>IFERROR(__xludf.DUMMYFUNCTION("""COMPUTED_VALUE"""),"MergeOrder")</f>
        <v>MergeOrder</v>
      </c>
      <c r="I4" s="24" t="str">
        <f>IFERROR(__xludf.DUMMYFUNCTION("""COMPUTED_VALUE"""),"ReplaceFillsOnBlotter")</f>
        <v>ReplaceFillsOnBlotter</v>
      </c>
      <c r="J4" s="24" t="str">
        <f>IFERROR(__xludf.DUMMYFUNCTION("""COMPUTED_VALUE"""),"CheckBlotter")</f>
        <v>CheckBlotter</v>
      </c>
      <c r="K4" s="24" t="str">
        <f>IFERROR(__xludf.DUMMYFUNCTION("""COMPUTED_VALUE"""),"ViewPTTAllocationDetails")</f>
        <v>ViewPTTAllocationDetails</v>
      </c>
      <c r="L4" s="24" t="str">
        <f>IFERROR(__xludf.DUMMYFUNCTION("""COMPUTED_VALUE"""),"AllocateFromBlotter")</f>
        <v>AllocateFromBlotter</v>
      </c>
      <c r="M4" s="24" t="str">
        <f>IFERROR(__xludf.DUMMYFUNCTION("""COMPUTED_VALUE"""),"ModifyFills")</f>
        <v>ModifyFills</v>
      </c>
      <c r="N4" s="24" t="str">
        <f>IFERROR(__xludf.DUMMYFUNCTION("""COMPUTED_VALUE"""),"BlotterFunctionalities")</f>
        <v>BlotterFunctionalities</v>
      </c>
      <c r="O4" s="24" t="str">
        <f>IFERROR(__xludf.DUMMYFUNCTION("""COMPUTED_VALUE"""),"SelectFills")</f>
        <v>SelectFills</v>
      </c>
      <c r="P4" s="25" t="str">
        <f>IFERROR(__xludf.DUMMYFUNCTION("""COMPUTED_VALUE"""),"ReloadOrderFromWorkingSubs")</f>
        <v>ReloadOrderFromWorkingSubs</v>
      </c>
      <c r="Q4" s="25" t="str">
        <f>IFERROR(__xludf.DUMMYFUNCTION("""COMPUTED_VALUE"""),"ReloadOrderFromSubOrder")</f>
        <v>ReloadOrderFromSubOrder</v>
      </c>
      <c r="R4" s="25" t="str">
        <f>IFERROR(__xludf.DUMMYFUNCTION("""COMPUTED_VALUE"""),"ReloadOrderFromBlotter")</f>
        <v>ReloadOrderFromBlotter</v>
      </c>
      <c r="S4" s="25" t="str">
        <f>IFERROR(__xludf.DUMMYFUNCTION("""COMPUTED_VALUE"""),"MultipleTradeTransferToUser")</f>
        <v>MultipleTradeTransferToUser</v>
      </c>
      <c r="T4" s="25" t="str">
        <f>IFERROR(__xludf.DUMMYFUNCTION("""COMPUTED_VALUE"""),"BlotterExecutionReportSnapshot")</f>
        <v>BlotterExecutionReportSnapshot</v>
      </c>
      <c r="U4" s="25" t="str">
        <f>IFERROR(__xludf.DUMMYFUNCTION("""COMPUTED_VALUE"""),"VerifyExecutionReport")</f>
        <v>VerifyExecutionReport</v>
      </c>
      <c r="V4" s="25" t="str">
        <f>IFERROR(__xludf.DUMMYFUNCTION("""COMPUTED_VALUE"""),"ExportExecutionReportData")</f>
        <v>ExportExecutionReportData</v>
      </c>
      <c r="W4" s="25" t="str">
        <f>IFERROR(__xludf.DUMMYFUNCTION("""COMPUTED_VALUE"""),"GetExecutionReportDetails")</f>
        <v>GetExecutionReportDetails</v>
      </c>
      <c r="X4" s="25" t="str">
        <f>IFERROR(__xludf.DUMMYFUNCTION("""COMPUTED_VALUE"""),"GetExecutionReportOrders")</f>
        <v>GetExecutionReportOrders</v>
      </c>
      <c r="Y4" s="25" t="str">
        <f>IFERROR(__xludf.DUMMYFUNCTION("""COMPUTED_VALUE"""),"RemoveExecutionWorkingSubs")</f>
        <v>RemoveExecutionWorkingSubs</v>
      </c>
      <c r="Z4" s="25" t="str">
        <f>IFERROR(__xludf.DUMMYFUNCTION("""COMPUTED_VALUE"""),"RemoveManualExecution")</f>
        <v>RemoveManualExecution</v>
      </c>
      <c r="AA4" s="25" t="str">
        <f>IFERROR(__xludf.DUMMYFUNCTION("""COMPUTED_VALUE"""),"TransferToUserWorkingSubs")</f>
        <v>TransferToUserWorkingSubs</v>
      </c>
      <c r="AB4" s="25" t="str">
        <f>IFERROR(__xludf.DUMMYFUNCTION("""COMPUTED_VALUE"""),"OpenBlotter")</f>
        <v>OpenBlotter</v>
      </c>
      <c r="AC4" s="25" t="str">
        <f>IFERROR(__xludf.DUMMYFUNCTION("""COMPUTED_VALUE"""),"CancelWorkingSubs")</f>
        <v>CancelWorkingSubs</v>
      </c>
      <c r="AD4" s="25" t="str">
        <f>IFERROR(__xludf.DUMMYFUNCTION("""COMPUTED_VALUE"""),"ReplaceWorkingSubs")</f>
        <v>ReplaceWorkingSubs</v>
      </c>
      <c r="AE4" s="25" t="str">
        <f>IFERROR(__xludf.DUMMYFUNCTION("""COMPUTED_VALUE"""),"ViewAllocationDetailsWorkingSub")</f>
        <v>ViewAllocationDetailsWorkingSub</v>
      </c>
      <c r="AF4" s="25" t="str">
        <f>IFERROR(__xludf.DUMMYFUNCTION("""COMPUTED_VALUE"""),"OpenBlotter")</f>
        <v>OpenBlotter</v>
      </c>
      <c r="AG4" s="25" t="str">
        <f>IFERROR(__xludf.DUMMYFUNCTION("""COMPUTED_VALUE"""),"SelectTradeOnOrderGrid")</f>
        <v>SelectTradeOnOrderGrid</v>
      </c>
      <c r="AH4" s="25" t="str">
        <f>IFERROR(__xludf.DUMMYFUNCTION("""COMPUTED_VALUE"""),"ShowDetailsForAlgoTradeSubOrder")</f>
        <v>ShowDetailsForAlgoTradeSubOrder</v>
      </c>
      <c r="AI4" s="25" t="str">
        <f>IFERROR(__xludf.DUMMYFUNCTION("""COMPUTED_VALUE"""),"SelectTradeOrderBlotter")</f>
        <v>SelectTradeOrderBlotter</v>
      </c>
      <c r="AJ4" s="25" t="str">
        <f>IFERROR(__xludf.DUMMYFUNCTION("""COMPUTED_VALUE"""),"AddFillsWorkingSubs")</f>
        <v>AddFillsWorkingSubs</v>
      </c>
      <c r="AK4" s="25" t="str">
        <f>IFERROR(__xludf.DUMMYFUNCTION("""COMPUTED_VALUE"""),"EditAddFillsDetails")</f>
        <v>EditAddFillsDetails</v>
      </c>
      <c r="AL4" s="25" t="str">
        <f>IFERROR(__xludf.DUMMYFUNCTION("""COMPUTED_VALUE"""),"ShowDetailsForAlgoTradeWorkingSubs")</f>
        <v>ShowDetailsForAlgoTradeWorkingSubs</v>
      </c>
      <c r="AM4" s="25" t="str">
        <f>IFERROR(__xludf.DUMMYFUNCTION("""COMPUTED_VALUE"""),"VerifyWorkingSubs")</f>
        <v>VerifyWorkingSubs</v>
      </c>
      <c r="AN4" s="25" t="str">
        <f>IFERROR(__xludf.DUMMYFUNCTION("""COMPUTED_VALUE"""),"TransferToUserOrder")</f>
        <v>TransferToUserOrder</v>
      </c>
      <c r="AO4" s="25" t="str">
        <f>IFERROR(__xludf.DUMMYFUNCTION("""COMPUTED_VALUE"""),"EditOrder")</f>
        <v>EditOrder</v>
      </c>
      <c r="AP4" s="25" t="str">
        <f>IFERROR(__xludf.DUMMYFUNCTION("""COMPUTED_VALUE"""),"SelectTradeSubOrderBlotter")</f>
        <v>SelectTradeSubOrderBlotter</v>
      </c>
      <c r="AQ4" s="25" t="str">
        <f>IFERROR(__xludf.DUMMYFUNCTION("""COMPUTED_VALUE"""),"VerifyOrder")</f>
        <v>VerifyOrder</v>
      </c>
      <c r="AR4" s="25" t="str">
        <f>IFERROR(__xludf.DUMMYFUNCTION("""COMPUTED_VALUE"""),"VerifySubOrder")</f>
        <v>VerifySubOrder</v>
      </c>
      <c r="AS4" s="25" t="str">
        <f>IFERROR(__xludf.DUMMYFUNCTION("""COMPUTED_VALUE"""),"RemoveSelectedOrders")</f>
        <v>RemoveSelectedOrders</v>
      </c>
      <c r="AT4" s="25" t="str">
        <f>IFERROR(__xludf.DUMMYFUNCTION("""COMPUTED_VALUE"""),"CancelAllSelectedSubs")</f>
        <v>CancelAllSelectedSubs</v>
      </c>
      <c r="AU4" s="25" t="str">
        <f>IFERROR(__xludf.DUMMYFUNCTION("""COMPUTED_VALUE"""),"MultiTradingTicket")</f>
        <v>MultiTradingTicket</v>
      </c>
      <c r="AV4" s="25" t="str">
        <f>IFERROR(__xludf.DUMMYFUNCTION("""COMPUTED_VALUE"""),"AuditTrailOrderBlotter")</f>
        <v>AuditTrailOrderBlotter</v>
      </c>
      <c r="AW4" s="25" t="str">
        <f>IFERROR(__xludf.DUMMYFUNCTION("""COMPUTED_VALUE"""),"TradeNewSubOrder")</f>
        <v>TradeNewSubOrder</v>
      </c>
      <c r="AX4" s="25" t="str">
        <f>IFERROR(__xludf.DUMMYFUNCTION("""COMPUTED_VALUE"""),"RemoveStageOrder")</f>
        <v>RemoveStageOrder</v>
      </c>
      <c r="AY4" s="25" t="str">
        <f>IFERROR(__xludf.DUMMYFUNCTION("""COMPUTED_VALUE"""),"TransferToUserSubOrder")</f>
        <v>TransferToUserSubOrder</v>
      </c>
      <c r="AZ4" s="25" t="str">
        <f>IFERROR(__xludf.DUMMYFUNCTION("""COMPUTED_VALUE"""),"DetailsForAlgoTradeOrder")</f>
        <v>DetailsForAlgoTradeOrder</v>
      </c>
      <c r="BA4" s="25" t="str">
        <f>IFERROR(__xludf.DUMMYFUNCTION("""COMPUTED_VALUE"""),"AddFillsSubOrder")</f>
        <v>AddFillsSubOrder</v>
      </c>
      <c r="BB4" s="25" t="str">
        <f>IFERROR(__xludf.DUMMYFUNCTION("""COMPUTED_VALUE"""),"ViewAllocationDetailsSubOrder")</f>
        <v>ViewAllocationDetailsSubOrder</v>
      </c>
      <c r="BC4" s="25" t="str">
        <f>IFERROR(__xludf.DUMMYFUNCTION("""COMPUTED_VALUE"""),"VerifySubOrderAfterRollover")</f>
        <v>VerifySubOrderAfterRollover</v>
      </c>
      <c r="BD4" s="25" t="str">
        <f>IFERROR(__xludf.DUMMYFUNCTION("""COMPUTED_VALUE"""),"VerifyRollover")</f>
        <v>VerifyRollover</v>
      </c>
      <c r="BE4" s="25" t="str">
        <f>IFERROR(__xludf.DUMMYFUNCTION("""COMPUTED_VALUE"""),"CancelAllSubs")</f>
        <v>CancelAllSubs</v>
      </c>
      <c r="BF4" s="25" t="str">
        <f>IFERROR(__xludf.DUMMYFUNCTION("""COMPUTED_VALUE"""),"CancelSubOrder")</f>
        <v>CancelSubOrder</v>
      </c>
      <c r="BG4" s="25" t="str">
        <f>IFERROR(__xludf.DUMMYFUNCTION("""COMPUTED_VALUE"""),"EditStageOrder")</f>
        <v>EditStageOrder</v>
      </c>
      <c r="BH4" s="25" t="str">
        <f>IFERROR(__xludf.DUMMYFUNCTION("""COMPUTED_VALUE"""),"ReplaceSubOrder")</f>
        <v>ReplaceSubOrder</v>
      </c>
      <c r="BI4" s="25" t="str">
        <f>IFERROR(__xludf.DUMMYFUNCTION("""COMPUTED_VALUE"""),"SelectTradeWorkingSubsBlotter")</f>
        <v>SelectTradeWorkingSubsBlotter</v>
      </c>
      <c r="BJ4" s="25" t="str">
        <f>IFERROR(__xludf.DUMMYFUNCTION("""COMPUTED_VALUE"""),"GoToAllocation")</f>
        <v>GoToAllocation</v>
      </c>
      <c r="BK4" s="25" t="str">
        <f>IFERROR(__xludf.DUMMYFUNCTION("""COMPUTED_VALUE"""),"VerifyAlgoDetails")</f>
        <v>VerifyAlgoDetails</v>
      </c>
      <c r="BL4" s="25" t="str">
        <f>IFERROR(__xludf.DUMMYFUNCTION("""COMPUTED_VALUE"""),"VerifyTransferToUserOrder")</f>
        <v>VerifyTransferToUserOrder</v>
      </c>
      <c r="BM4" s="25" t="str">
        <f>IFERROR(__xludf.DUMMYFUNCTION("""COMPUTED_VALUE"""),"VerifyTransferToUserSubOdr")</f>
        <v>VerifyTransferToUserSubOdr</v>
      </c>
      <c r="BN4" s="25" t="str">
        <f>IFERROR(__xludf.DUMMYFUNCTION("""COMPUTED_VALUE"""),"VerifyTransferToUserWorkSub")</f>
        <v>VerifyTransferToUserWorkSub</v>
      </c>
      <c r="BO4" s="25" t="str">
        <f>IFERROR(__xludf.DUMMYFUNCTION("""COMPUTED_VALUE"""),"VerifyViewAllocationDetails")</f>
        <v>VerifyViewAllocationDetails</v>
      </c>
      <c r="BP4" s="25" t="str">
        <f>IFERROR(__xludf.DUMMYFUNCTION("""COMPUTED_VALUE"""),"SaveLayoutOrderGrid")</f>
        <v>SaveLayoutOrderGrid</v>
      </c>
      <c r="BQ4" s="25" t="str">
        <f>IFERROR(__xludf.DUMMYFUNCTION("""COMPUTED_VALUE"""),"ReplaceStageOrder")</f>
        <v>ReplaceStageOrder</v>
      </c>
      <c r="BR4" s="25" t="str">
        <f>IFERROR(__xludf.DUMMYFUNCTION("""COMPUTED_VALUE"""),"MultiTradingTicketFromBlotter")</f>
        <v>MultiTradingTicketFromBlotter</v>
      </c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4">
        <v>10.0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4" t="s">
        <v>23</v>
      </c>
      <c r="AL6" s="36">
        <v>100.0</v>
      </c>
      <c r="AM6" s="31"/>
      <c r="AN6" s="31"/>
      <c r="AO6" s="31"/>
      <c r="AP6" s="31"/>
      <c r="AQ6" s="31"/>
      <c r="AR6" s="31"/>
      <c r="AS6" s="31" t="s">
        <v>19</v>
      </c>
      <c r="AT6" s="31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4">
        <v>10.0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9" t="s">
        <v>23</v>
      </c>
      <c r="AL7" s="36">
        <v>100.0</v>
      </c>
      <c r="AM7" s="31"/>
      <c r="AN7" s="31"/>
      <c r="AO7" s="31"/>
      <c r="AP7" s="31"/>
      <c r="AQ7" s="31"/>
      <c r="AR7" s="31"/>
      <c r="AS7" s="31" t="s">
        <v>19</v>
      </c>
      <c r="AT7" s="31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