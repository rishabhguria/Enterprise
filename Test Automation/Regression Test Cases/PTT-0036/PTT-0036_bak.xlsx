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TradeNewSubOrder" sheetId="13" r:id="rId15"/>
    <sheet state="visible" name="CreateDoneAwayOrder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<sst xmlns="http://schemas.openxmlformats.org/spreadsheetml/2006/main" count="129" uniqueCount="44">
  <si>
    <t>Settings</t>
  </si>
  <si>
    <t>Master Data Info</t>
  </si>
  <si>
    <t>Modules Info</t>
  </si>
  <si>
    <t>Module Step Setting File</t>
  </si>
  <si>
    <t>Module</t>
  </si>
  <si>
    <t>1sG6uB28jAaiyaldDeMtbboQN41jJ2tAmE2rg6U9qH5o</t>
  </si>
  <si>
    <t>Step</t>
  </si>
  <si>
    <t>Master Data Settings File</t>
  </si>
  <si>
    <t>1hEhI9rg16D4Xvfk19pDaFUFF78jjfIG29BBaNg8kT0A</t>
  </si>
  <si>
    <t>Master Data Sheet</t>
  </si>
  <si>
    <t>Modules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</si>
  <si>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</si>
  <si>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</si>
  <si>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</si>
  <si>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</si>
  <si>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</si>
  <si>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</si>
  <si>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</si>
  <si>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</si>
  <si>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</si>
  <si>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</si>
  <si>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</si>
  <si>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BMW-FRA</t>
  </si>
  <si>
    <t>Buy</t>
  </si>
  <si>
    <t>PricingInput</t>
  </si>
  <si>
    <t>GetForexConversion</t>
  </si>
  <si>
    <t>UpdateForexConversion</t>
  </si>
  <si>
    <t>EUR</t>
  </si>
  <si>
    <t>PTT</t>
  </si>
  <si>
    <t>CalculatePTT</t>
  </si>
  <si>
    <t>Increase</t>
  </si>
  <si>
    <t>Percentage</t>
  </si>
  <si>
    <t>No</t>
  </si>
  <si>
    <t>MasterFund</t>
  </si>
  <si>
    <t>NewMF</t>
  </si>
  <si>
    <t>VerifyPTT</t>
  </si>
  <si>
    <t>CreateOrderPTT</t>
  </si>
  <si>
    <t>Blotter</t>
  </si>
  <si>
    <t>TradeNewSubOrder</t>
  </si>
  <si>
    <t>New</t>
  </si>
  <si>
    <t>Multiple</t>
  </si>
  <si>
    <t>VerifyOrder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</si>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</sst>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f t="shared" ref="B6:C6" si="1">Today()-1</f>
        <v>43671</v>
      </c>
      <c r="C6" s="30">
        <f t="shared" si="1"/>
        <v>43671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17</v>
      </c>
      <c r="C6" s="10" t="s">
        <v>18</v>
      </c>
      <c r="D6" s="10">
        <v>50000.0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0" t="s">
        <v>19</v>
      </c>
      <c r="C7" s="10" t="s">
        <v>18</v>
      </c>
      <c r="D7" s="10">
        <v>50000.0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22</v>
      </c>
      <c r="C6" s="10" t="s">
        <v>23</v>
      </c>
      <c r="D6" s="10">
        <v>250.0</v>
      </c>
      <c r="E6" s="10">
        <v>250.0</v>
      </c>
      <c r="F6" s="10" t="s">
        <v>17</v>
      </c>
      <c r="G6" s="6"/>
      <c r="H6" s="6"/>
      <c r="I6" s="6"/>
      <c r="J6" s="10">
        <v>20.0</v>
      </c>
      <c r="K6" s="6"/>
      <c r="L6" s="6"/>
      <c r="M6" s="6"/>
      <c r="N6" s="30">
        <f>TODAY()</f>
        <v>43672</v>
      </c>
      <c r="O6" s="10">
        <v>0.5</v>
      </c>
    </row>
    <row r="7" ht="15.75" customHeight="1">
      <c r="A7" s="6"/>
      <c r="B7" s="10" t="s">
        <v>22</v>
      </c>
      <c r="C7" s="10" t="s">
        <v>23</v>
      </c>
      <c r="D7" s="10">
        <v>250.0</v>
      </c>
      <c r="E7" s="10">
        <v>250.0</v>
      </c>
      <c r="F7" s="10" t="s">
        <v>19</v>
      </c>
      <c r="G7" s="6"/>
      <c r="H7" s="6"/>
      <c r="I7" s="6"/>
      <c r="J7" s="10">
        <v>20.0</v>
      </c>
      <c r="K7" s="6"/>
      <c r="L7" s="6"/>
      <c r="M7" s="6"/>
      <c r="N7" s="30">
        <f>today()</f>
        <v>43672</v>
      </c>
      <c r="O7" s="10">
        <v>0.5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6</v>
      </c>
      <c r="E3" s="21" t="s">
        <v>24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22</v>
      </c>
      <c r="C6" s="10">
        <v>20.0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f t="shared" ref="B6:C6" si="1">TODAY()</f>
        <v>43672</v>
      </c>
      <c r="C6" s="30">
        <f t="shared" si="1"/>
        <v>43672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27</v>
      </c>
      <c r="C6" s="10" t="s">
        <v>18</v>
      </c>
      <c r="D6" s="10"/>
      <c r="E6" s="10">
        <v>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6</v>
      </c>
      <c r="E3" s="21" t="s">
        <v>29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IFERROR(__xludf.DUMMYFUNCTION("""COMPUTED_VALUE"""),"Add/Set")</f>
        <v>Add/Set</v>
      </c>
      <c r="D5" s="26" t="str">
        <f>IFERROR(__xludf.DUMMYFUNCTION("""COMPUTED_VALUE"""),"Type")</f>
        <v>Type</v>
      </c>
      <c r="E5" s="26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6" t="str">
        <f>IFERROR(__xludf.DUMMYFUNCTION("""COMPUTED_VALUE"""),"Combined Account Total")</f>
        <v>Combined Account Total</v>
      </c>
      <c r="H5" s="26" t="str">
        <f>IFERROR(__xludf.DUMMYFUNCTION("""COMPUTED_VALUE"""),"MasterFund/Account")</f>
        <v>MasterFund/Account</v>
      </c>
      <c r="I5" s="26" t="str">
        <f>IFERROR(__xludf.DUMMYFUNCTION("""COMPUTED_VALUE"""),"Accounts")</f>
        <v>Accounts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22</v>
      </c>
      <c r="C6" s="10" t="s">
        <v>30</v>
      </c>
      <c r="D6" s="10" t="s">
        <v>31</v>
      </c>
      <c r="E6" s="10">
        <v>30.0</v>
      </c>
      <c r="F6" s="6"/>
      <c r="G6" s="10" t="s">
        <v>32</v>
      </c>
      <c r="H6" s="10" t="s">
        <v>33</v>
      </c>
      <c r="I6" s="10" t="s">
        <v>34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6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IFERROR(__xludf.DUMMYFUNCTION("""COMPUTED_VALUE"""),"Account NAV")</f>
        <v>Account NAV</v>
      </c>
      <c r="D5" s="26" t="str">
        <f>IFERROR(__xludf.DUMMYFUNCTION("""COMPUTED_VALUE"""),"Starting Position")</f>
        <v>Starting Position</v>
      </c>
      <c r="E5" s="26" t="str">
        <f>IFERROR(__xludf.DUMMYFUNCTION("""COMPUTED_VALUE"""),"Starting Value")</f>
        <v>Starting Value</v>
      </c>
      <c r="F5" s="27" t="str">
        <f>IFERROR(__xludf.DUMMYFUNCTION("""COMPUTED_VALUE"""),"Starting %")</f>
        <v>Starting %</v>
      </c>
      <c r="G5" s="26" t="str">
        <f>IFERROR(__xludf.DUMMYFUNCTION("""COMPUTED_VALUE"""),"% Change")</f>
        <v>% Change</v>
      </c>
      <c r="H5" s="26" t="str">
        <f>IFERROR(__xludf.DUMMYFUNCTION("""COMPUTED_VALUE"""),"Ending %")</f>
        <v>Ending %</v>
      </c>
      <c r="I5" s="26" t="str">
        <f>IFERROR(__xludf.DUMMYFUNCTION("""COMPUTED_VALUE"""),"Trade Quantity")</f>
        <v>Trade Quantity</v>
      </c>
      <c r="J5" s="26" t="str">
        <f>IFERROR(__xludf.DUMMYFUNCTION("""COMPUTED_VALUE"""),"Ending Position")</f>
        <v>Ending Position</v>
      </c>
      <c r="K5" s="26" t="str">
        <f>IFERROR(__xludf.DUMMYFUNCTION("""COMPUTED_VALUE"""),"Ending Value")</f>
        <v>Ending Value</v>
      </c>
      <c r="L5" s="26" t="str">
        <f>IFERROR(__xludf.DUMMYFUNCTION("""COMPUTED_VALUE"""),"% Allocation")</f>
        <v>% Allocation</v>
      </c>
      <c r="M5" s="26" t="str">
        <f>IFERROR(__xludf.DUMMYFUNCTION("""COMPUTED_VALUE"""),"Fx Rate")</f>
        <v>Fx Rate</v>
      </c>
      <c r="N5" s="26" t="str">
        <f>IFERROR(__xludf.DUMMYFUNCTION("""COMPUTED_VALUE"""),"Starting BP")</f>
        <v>Starting BP</v>
      </c>
      <c r="O5" s="26" t="str">
        <f>IFERROR(__xludf.DUMMYFUNCTION("""COMPUTED_VALUE"""),"BP Change")</f>
        <v>BP Change</v>
      </c>
      <c r="P5" s="26" t="str">
        <f>IFERROR(__xludf.DUMMYFUNCTION("""COMPUTED_VALUE"""),"Ending BP")</f>
        <v>Ending BP</v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>
        <v>500.0</v>
      </c>
      <c r="E6" s="31"/>
      <c r="F6" s="10">
        <v>17.39</v>
      </c>
      <c r="G6" s="10">
        <v>29.98</v>
      </c>
      <c r="H6" s="10">
        <v>47.37</v>
      </c>
      <c r="I6" s="10">
        <v>862.0</v>
      </c>
      <c r="J6" s="10">
        <v>1362.0</v>
      </c>
      <c r="K6" s="10">
        <v>54480.0</v>
      </c>
      <c r="L6" s="6"/>
      <c r="M6" s="10">
        <v>2.0</v>
      </c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6</v>
      </c>
      <c r="E3" s="21" t="s">
        <v>36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IFERROR(__xludf.DUMMYFUNCTION("IF(C3="""","""",Transpose(IMPORTRANGE('_Settings'!$B$3,C3&amp;""!A4:A1000"")))"),"CalculatePTT")</f>
        <v>CalculatePTT</v>
      </c>
      <c r="C4" s="23" t="str">
        <f>IFERROR(__xludf.DUMMYFUNCTION("""COMPUTED_VALUE"""),"TradeUsingPTT")</f>
        <v>TradeUsingPTT</v>
      </c>
      <c r="D4" s="23" t="str">
        <f>IFERROR(__xludf.DUMMYFUNCTION("""COMPUTED_VALUE"""),"StageOrderUsingPTT")</f>
        <v>StageOrderUsingPTT</v>
      </c>
      <c r="E4" s="23" t="str">
        <f>IFERROR(__xludf.DUMMYFUNCTION("""COMPUTED_VALUE"""),"CreateOrderPTT")</f>
        <v>CreateOrderPTT</v>
      </c>
      <c r="F4" s="23" t="str">
        <f>IFERROR(__xludf.DUMMYFUNCTION("""COMPUTED_VALUE"""),"TradePTT")</f>
        <v>TradePTT</v>
      </c>
      <c r="G4" s="23" t="str">
        <f>IFERROR(__xludf.DUMMYFUNCTION("""COMPUTED_VALUE"""),"VerifyPTT")</f>
        <v>VerifyPTT</v>
      </c>
      <c r="H4" s="23" t="str">
        <f>IFERROR(__xludf.DUMMYFUNCTION("""COMPUTED_VALUE"""),"OpenMultiTTFromPTT")</f>
        <v>OpenMultiTTFromPTT</v>
      </c>
      <c r="I4" s="23" t="str">
        <f>IFERROR(__xludf.DUMMYFUNCTION("""COMPUTED_VALUE"""),"SelectMultiTT")</f>
        <v>SelectMultiTT</v>
      </c>
      <c r="J4" s="23" t="str">
        <f>IFERROR(__xludf.DUMMYFUNCTION("""COMPUTED_VALUE"""),"EditMultiTT")</f>
        <v>EditMultiTT</v>
      </c>
      <c r="K4" s="23" t="str">
        <f>IFERROR(__xludf.DUMMYFUNCTION("""COMPUTED_VALUE"""),"SetAccountFactor")</f>
        <v>SetAccountFactor</v>
      </c>
      <c r="L4" s="23" t="str">
        <f>IFERROR(__xludf.DUMMYFUNCTION("""COMPUTED_VALUE"""),"SetPTTPreference")</f>
        <v>SetPTTPreference</v>
      </c>
      <c r="M4" s="23" t="str">
        <f>IFERROR(__xludf.DUMMYFUNCTION("""COMPUTED_VALUE"""),"SetLongShortPTTPreference")</f>
        <v>SetLongShortPTTPreference</v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IFERROR(__xludf.DUMMYFUNCTION("""COMPUTED_VALUE"""),"Add/Set")</f>
        <v>Add/Set</v>
      </c>
      <c r="D5" s="26" t="str">
        <f>IFERROR(__xludf.DUMMYFUNCTION("""COMPUTED_VALUE"""),"Type")</f>
        <v>Type</v>
      </c>
      <c r="E5" s="26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6" t="str">
        <f>IFERROR(__xludf.DUMMYFUNCTION("""COMPUTED_VALUE"""),"Combined Account Total")</f>
        <v>Combined Account Total</v>
      </c>
      <c r="H5" s="26" t="str">
        <f>IFERROR(__xludf.DUMMYFUNCTION("""COMPUTED_VALUE"""),"MasterFund/Account")</f>
        <v>MasterFund/Account</v>
      </c>
      <c r="I5" s="26" t="str">
        <f>IFERROR(__xludf.DUMMYFUNCTION("""COMPUTED_VALUE"""),"Accounts")</f>
        <v>Accounts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22</v>
      </c>
      <c r="C6" s="10" t="s">
        <v>30</v>
      </c>
      <c r="D6" s="10" t="s">
        <v>31</v>
      </c>
      <c r="E6" s="10">
        <v>30.0</v>
      </c>
      <c r="F6" s="6"/>
      <c r="G6" s="10" t="s">
        <v>32</v>
      </c>
      <c r="H6" s="10" t="s">
        <v>33</v>
      </c>
      <c r="I6" s="10" t="s">
        <v>34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37</v>
      </c>
      <c r="D3" s="8" t="s">
        <v>6</v>
      </c>
      <c r="E3" s="21" t="s">
        <v>38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IFERROR(__xludf.DUMMYFUNCTION("""COMPUTED_VALUE"""),"VerifyRollover")</f>
        <v>VerifyRollover</v>
      </c>
      <c r="AR4" s="24" t="str">
        <f>IFERROR(__xludf.DUMMYFUNCTION("""COMPUTED_VALUE"""),"VerifyViewAllocationDetails")</f>
        <v>VerifyViewAllocationDetails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AI6" s="32" t="s">
        <v>22</v>
      </c>
      <c r="AJ6" s="32" t="s">
        <v>23</v>
      </c>
      <c r="AK6" s="32" t="s">
        <v>39</v>
      </c>
      <c r="AL6" s="32">
        <v>862.0</v>
      </c>
      <c r="AP6" s="32">
        <v>862.0</v>
      </c>
      <c r="AT6" s="32" t="s">
        <v>40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22</v>
      </c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10">
        <v>2.0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37</v>
      </c>
      <c r="D3" s="8" t="s">
        <v>6</v>
      </c>
      <c r="E3" s="21" t="s">
        <v>41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IFERROR(__xludf.DUMMYFUNCTION("""COMPUTED_VALUE"""),"VerifyRollover")</f>
        <v>VerifyRollover</v>
      </c>
      <c r="AR4" s="24" t="str">
        <f>IFERROR(__xludf.DUMMYFUNCTION("""COMPUTED_VALUE"""),"VerifyViewAllocationDetails")</f>
        <v>VerifyViewAllocationDetails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AI6" s="32" t="s">
        <v>22</v>
      </c>
      <c r="AJ6" s="32" t="s">
        <v>23</v>
      </c>
      <c r="AK6" s="32" t="s">
        <v>42</v>
      </c>
      <c r="AL6" s="32">
        <v>862.0</v>
      </c>
      <c r="AM6" s="32">
        <v>862.0</v>
      </c>
      <c r="AN6" s="32">
        <v>100.0</v>
      </c>
      <c r="AU6" s="32" t="s">
        <v>43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