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OrVerifyHotButton" sheetId="4" r:id="rId6"/>
    <sheet state="visible" name="CreateHotButtonOnBlotter1" sheetId="5" r:id="rId7"/>
    <sheet state="visible" name="FillHBdetailsOnBlotter1" sheetId="6" r:id="rId8"/>
    <sheet state="visible" name="EnableOrVerifyHotButton2" sheetId="7" r:id="rId9"/>
    <sheet state="visible" name="CustomOrderTT" sheetId="8" r:id="rId10"/>
    <sheet state="visible" name="ShortLocateFromTT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<sst xmlns="http://schemas.openxmlformats.org/spreadsheetml/2006/main" count="218" uniqueCount="49">
  <si>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</si>
  <si>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</si>
  <si>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</si>
  <si>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</si>
  <si>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</si>
  <si>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</si>
  <si>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</si>
  <si>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</si>
  <si>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</si>
  <si>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</si>
  <si>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</si>
  <si>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</si>
  <si>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</si>
  <si>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EnableOrVerifyHotButton</t>
  </si>
  <si>
    <t>Data Format</t>
  </si>
  <si>
    <t>Input Format</t>
  </si>
  <si>
    <t>CreateHotButtonOnBlotter</t>
  </si>
  <si>
    <t>HotBtn</t>
  </si>
  <si>
    <t>Create New Order</t>
  </si>
  <si>
    <t>no confirmation</t>
  </si>
  <si>
    <t>Next</t>
  </si>
  <si>
    <t>FillHBdetailsOnBlotter</t>
  </si>
  <si>
    <t>IBM</t>
  </si>
  <si>
    <t>Allocation1</t>
  </si>
  <si>
    <t>MS</t>
  </si>
  <si>
    <t>Day</t>
  </si>
  <si>
    <t>Market</t>
  </si>
  <si>
    <t>Sell short</t>
  </si>
  <si>
    <t>Send</t>
  </si>
  <si>
    <t>Favorite</t>
  </si>
  <si>
    <t>TradingTicket</t>
  </si>
  <si>
    <t>CustomOrderTT</t>
  </si>
  <si>
    <t>ShortLocateFromTT</t>
  </si>
  <si>
    <t>kartik123</t>
  </si>
  <si>
    <t>VerifyOrder</t>
  </si>
  <si>
    <t/>
  </si>
  <si>
    <t>N.A.</t>
  </si>
  <si>
    <t>IBM US EQUITY</t>
  </si>
  <si>
    <t>NASDAQ</t>
  </si>
  <si>
    <t>Samsara</t>
  </si>
  <si>
    <t>US</t>
  </si>
  <si>
    <t>GCCAP1</t>
  </si>
  <si>
    <t>USD</t>
  </si>
  <si>
    <t>NONE</t>
  </si>
  <si>
    <t>NewMF</t>
  </si>
  <si>
    <t>M</t>
  </si>
  <si>
    <t>Equity</t>
  </si>
  <si>
    <t>New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</si>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</sst>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17</v>
      </c>
      <c r="C6" s="33" t="s">
        <v>18</v>
      </c>
      <c r="D6" s="33" t="s">
        <v>19</v>
      </c>
      <c r="E6" s="34"/>
      <c r="F6" s="35" t="s">
        <v>20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100.0</v>
      </c>
      <c r="D6" s="13" t="s">
        <v>23</v>
      </c>
      <c r="E6" s="13" t="s">
        <v>24</v>
      </c>
      <c r="F6" s="8"/>
      <c r="G6" s="13" t="s">
        <v>25</v>
      </c>
      <c r="H6" s="13" t="s">
        <v>26</v>
      </c>
      <c r="I6" s="13" t="s">
        <v>27</v>
      </c>
      <c r="J6" s="13" t="s">
        <v>28</v>
      </c>
      <c r="K6" s="13" t="b">
        <v>1</v>
      </c>
      <c r="L6" s="13" t="s">
        <v>20</v>
      </c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13"/>
      <c r="H7" s="13"/>
      <c r="I7" s="13"/>
      <c r="J7" s="13"/>
      <c r="K7" s="13"/>
      <c r="L7" s="13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17</v>
      </c>
      <c r="E6" s="13" t="b">
        <v>1</v>
      </c>
      <c r="F6" s="13" t="s">
        <v>29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EnableOrVerifyHotButton2!$4:$4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6">
        <v>2.0</v>
      </c>
      <c r="E6" s="32"/>
      <c r="F6" s="32"/>
      <c r="G6" s="37" t="b">
        <v>1</v>
      </c>
      <c r="H6" s="32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IFERROR(__xludf.DUMMYFUNCTION("""COMPUTED_VALUE"""),"Borrow Broker")</f>
        <v>Borrow Broker</v>
      </c>
      <c r="C5" s="28" t="str">
        <f>IFERROR(__xludf.DUMMYFUNCTION("""COMPUTED_VALUE"""),"Share Available")</f>
        <v>Share Available</v>
      </c>
      <c r="D5" s="28" t="str">
        <f>IFERROR(__xludf.DUMMYFUNCTION("""COMPUTED_VALUE"""),"Quantity")</f>
        <v>Quantity</v>
      </c>
      <c r="E5" s="28" t="str">
        <f>IFERROR(__xludf.DUMMYFUNCTION("""COMPUTED_VALUE"""),"Rate %")</f>
        <v>Rate %</v>
      </c>
      <c r="F5" s="29" t="str">
        <f>IFERROR(__xludf.DUMMYFUNCTION("""COMPUTED_VALUE"""),"ID")</f>
        <v>ID</v>
      </c>
      <c r="G5" s="28" t="str">
        <f>IFERROR(__xludf.DUMMYFUNCTION("""COMPUTED_VALUE"""),"Send")</f>
        <v>Send</v>
      </c>
      <c r="H5" s="28" t="str">
        <f>IFERROR(__xludf.DUMMYFUNCTION("""COMPUTED_VALUE"""),"TradeType")</f>
        <v>TradeType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 t="s">
        <v>24</v>
      </c>
      <c r="C6" s="39">
        <v>100.0</v>
      </c>
      <c r="D6" s="36">
        <v>100.0</v>
      </c>
      <c r="E6" s="36">
        <v>5.0</v>
      </c>
      <c r="F6" s="38" t="s">
        <v>33</v>
      </c>
      <c r="G6" s="40" t="b">
        <v>1</v>
      </c>
      <c r="H6" s="32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ShortLocateFromTT!$4:$4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8" t="s">
        <v>35</v>
      </c>
      <c r="B6" s="8"/>
      <c r="C6" s="8" t="s">
        <v>36</v>
      </c>
      <c r="D6" s="8"/>
      <c r="E6" s="8" t="s">
        <v>37</v>
      </c>
      <c r="F6" s="8">
        <v>0.0</v>
      </c>
      <c r="G6" s="8">
        <v>100.0</v>
      </c>
      <c r="H6" s="8" t="s">
        <v>38</v>
      </c>
      <c r="I6" s="8" t="s">
        <v>39</v>
      </c>
      <c r="J6" s="8" t="s">
        <v>22</v>
      </c>
      <c r="K6" s="8" t="s">
        <v>40</v>
      </c>
      <c r="L6" s="8" t="s">
        <v>41</v>
      </c>
      <c r="M6" s="8" t="s">
        <v>35</v>
      </c>
      <c r="N6" s="8" t="s">
        <v>35</v>
      </c>
      <c r="O6" s="8" t="s">
        <v>35</v>
      </c>
      <c r="P6" t="s">
        <v>35</v>
      </c>
      <c r="Q6" t="s">
        <v>35</v>
      </c>
      <c r="R6" t="s">
        <v>35</v>
      </c>
      <c r="U6" t="s">
        <v>42</v>
      </c>
      <c r="V6" t="s">
        <v>43</v>
      </c>
      <c r="AA6" t="s">
        <v>44</v>
      </c>
      <c r="AD6">
        <v>1.0</v>
      </c>
      <c r="AF6" t="s">
        <v>45</v>
      </c>
      <c r="AH6" s="41" t="s">
        <v>46</v>
      </c>
      <c r="AI6" s="41" t="s">
        <v>22</v>
      </c>
      <c r="AJ6" s="41" t="s">
        <v>27</v>
      </c>
      <c r="AK6" s="41" t="s">
        <v>47</v>
      </c>
      <c r="AL6" s="41">
        <v>100.0</v>
      </c>
      <c r="AS6" t="s">
        <v>24</v>
      </c>
      <c r="AT6" t="s">
        <v>23</v>
      </c>
      <c r="AU6" t="s">
        <v>26</v>
      </c>
      <c r="AX6" t="s">
        <v>48</v>
      </c>
      <c r="AY6" t="s">
        <v>35</v>
      </c>
      <c r="AZ6">
        <v>100.0</v>
      </c>
      <c r="BA6" t="s">
        <v>39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30</v>
      </c>
      <c r="BH6" t="s">
        <v>25</v>
      </c>
      <c r="BK6" t="s">
        <v>35</v>
      </c>
      <c r="BM6" t="s">
        <v>33</v>
      </c>
      <c r="BN6">
        <v>5.0</v>
      </c>
      <c r="BO6" t="s">
        <v>24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  <c r="AMM6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