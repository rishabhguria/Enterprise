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<sst xmlns="http://schemas.openxmlformats.org/spreadsheetml/2006/main" count="165" uniqueCount="53">
  <si>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</si>
  <si>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</si>
  <si>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</si>
  <si>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</si>
  <si>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</si>
  <si>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</si>
  <si>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</si>
  <si>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</si>
  <si>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</si>
  <si>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</si>
  <si>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</si>
  <si>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</si>
  <si>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</si>
  <si>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</si>
  <si>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</si>
  <si>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</si>
  <si>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</si>
  <si>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</si>
  <si>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</si>
  <si>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</si>
  <si>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</si>
  <si>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</si>
  <si>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Sell short</t>
  </si>
  <si>
    <t>Allocation1</t>
  </si>
  <si>
    <t>MS</t>
  </si>
  <si>
    <t>O:AAPL 13N715.00</t>
  </si>
  <si>
    <t>Sell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</si>
  <si>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</si>
  <si>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</si>
  <si>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</si>
  <si>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</si>
  <si>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</si>
  <si>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</si>
  <si>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EditTradeUnexpiredUnsettled</t>
  </si>
  <si>
    <t>ExerciseAssignment</t>
  </si>
  <si>
    <t>Allocation</t>
  </si>
  <si>
    <t>GetDataAllocation</t>
  </si>
  <si>
    <t>1/1/1800</t>
  </si>
  <si>
    <t>CheckAllocatedGroups</t>
  </si>
  <si>
    <t>Buy to Close</t>
  </si>
  <si>
    <t>Buy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</si>
  <si>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</si>
  <si>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</si>
  <si>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</si>
  <si>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</si>
  <si>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</si>
  <si>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</si>
  <si>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</si>
  <si>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NASDAQ</t>
  </si>
  <si>
    <t>USD</t>
  </si>
  <si>
    <t>Short</t>
  </si>
  <si>
    <t>EquityOption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</si>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</sst>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44682.0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100.0</v>
      </c>
      <c r="E6" s="40">
        <v>100.0</v>
      </c>
      <c r="F6" s="33" t="s">
        <v>23</v>
      </c>
      <c r="G6" s="33" t="s">
        <v>24</v>
      </c>
      <c r="H6" s="33"/>
      <c r="I6" s="33"/>
      <c r="J6" s="40">
        <v>10.0</v>
      </c>
      <c r="K6" s="33"/>
      <c r="L6" s="33"/>
      <c r="M6" s="33"/>
      <c r="N6" s="32">
        <v>44682.0</v>
      </c>
      <c r="O6" s="40">
        <v>1.0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26</v>
      </c>
      <c r="D7" s="40">
        <v>10.0</v>
      </c>
      <c r="E7" s="33"/>
      <c r="F7" s="33" t="s">
        <v>23</v>
      </c>
      <c r="G7" s="33"/>
      <c r="H7" s="33"/>
      <c r="I7" s="33"/>
      <c r="J7" s="40">
        <v>10.0</v>
      </c>
      <c r="K7" s="33"/>
      <c r="L7" s="33"/>
      <c r="M7" s="33"/>
      <c r="N7" s="32">
        <v>44682.0</v>
      </c>
      <c r="O7" s="40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44984.0</v>
      </c>
      <c r="C6" s="32">
        <v>44985.0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40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31</v>
      </c>
      <c r="C6" s="32">
        <f>today()-1</f>
        <v>45008</v>
      </c>
      <c r="D6" s="32">
        <f>today()</f>
        <v>45009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25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42">
        <v>7.0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41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31</v>
      </c>
      <c r="C6" s="44" t="s">
        <v>37</v>
      </c>
      <c r="D6" s="45">
        <f>today()</f>
        <v>45009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>
        <v>100.0</v>
      </c>
      <c r="F6" s="8"/>
      <c r="G6" s="8"/>
      <c r="H6" s="46">
        <v>4.0</v>
      </c>
      <c r="I6" s="46">
        <v>5.0</v>
      </c>
      <c r="J6" s="8"/>
      <c r="K6" s="46">
        <v>10.0</v>
      </c>
      <c r="L6" s="46">
        <v>10.0</v>
      </c>
      <c r="M6" s="8"/>
      <c r="N6" s="8"/>
      <c r="O6" s="47" t="s">
        <v>24</v>
      </c>
      <c r="AT6" s="46">
        <v>985.9994</v>
      </c>
      <c r="AU6" s="46">
        <v>985.9994</v>
      </c>
      <c r="BE6" s="48">
        <v>1000.0</v>
      </c>
      <c r="BF6" s="48">
        <v>1000.0</v>
      </c>
      <c r="BJ6" s="46">
        <v>100.0</v>
      </c>
      <c r="BO6" s="47" t="s">
        <v>22</v>
      </c>
      <c r="BT6" s="47" t="s">
        <v>21</v>
      </c>
    </row>
    <row r="7" ht="15.75" customHeight="1">
      <c r="A7" s="8"/>
      <c r="B7" s="8"/>
      <c r="C7" s="8"/>
      <c r="D7" s="8"/>
      <c r="E7" s="46">
        <v>100.0</v>
      </c>
      <c r="F7" s="8"/>
      <c r="G7" s="8"/>
      <c r="H7" s="46">
        <v>0.0</v>
      </c>
      <c r="I7" s="46">
        <v>0.0</v>
      </c>
      <c r="J7" s="8"/>
      <c r="K7" s="46">
        <v>100.0</v>
      </c>
      <c r="L7" s="46">
        <v>100.0</v>
      </c>
      <c r="M7" s="8"/>
      <c r="N7" s="8"/>
      <c r="O7" s="47" t="s">
        <v>24</v>
      </c>
      <c r="AT7" s="48">
        <v>9000.0</v>
      </c>
      <c r="AU7" s="48">
        <v>9000.0</v>
      </c>
      <c r="BE7" s="48">
        <v>10000.0</v>
      </c>
      <c r="BF7" s="48">
        <v>10000.0</v>
      </c>
      <c r="BJ7" s="46">
        <v>100.0</v>
      </c>
      <c r="BO7" s="47" t="s">
        <v>39</v>
      </c>
      <c r="BT7" s="47" t="s">
        <v>21</v>
      </c>
    </row>
    <row r="8" ht="15.75" customHeight="1">
      <c r="A8" s="8"/>
      <c r="B8" s="8"/>
      <c r="C8" s="8"/>
      <c r="D8" s="8"/>
      <c r="E8" s="46">
        <v>7.0</v>
      </c>
      <c r="F8" s="8"/>
      <c r="G8" s="8"/>
      <c r="H8" s="46">
        <v>0.0</v>
      </c>
      <c r="I8" s="46">
        <v>0.0</v>
      </c>
      <c r="J8" s="8"/>
      <c r="K8" s="46">
        <v>0.0</v>
      </c>
      <c r="L8" s="46">
        <v>0.0</v>
      </c>
      <c r="M8" s="8"/>
      <c r="N8" s="8"/>
      <c r="O8" s="47" t="s">
        <v>24</v>
      </c>
      <c r="AT8" s="48">
        <v>7000.0</v>
      </c>
      <c r="AU8" s="48">
        <v>7000.0</v>
      </c>
      <c r="BE8" s="46">
        <v>0.0</v>
      </c>
      <c r="BF8" s="46">
        <v>0.0</v>
      </c>
      <c r="BJ8" s="46">
        <v>7.0</v>
      </c>
      <c r="BO8" s="47" t="s">
        <v>39</v>
      </c>
      <c r="BT8" s="47" t="s">
        <v>25</v>
      </c>
    </row>
    <row r="9" ht="15.75" customHeight="1">
      <c r="A9" s="8"/>
      <c r="B9" s="8"/>
      <c r="C9" s="8"/>
      <c r="D9" s="8"/>
      <c r="E9" s="46">
        <v>600.0</v>
      </c>
      <c r="F9" s="8"/>
      <c r="G9" s="8"/>
      <c r="H9" s="46">
        <v>0.0</v>
      </c>
      <c r="I9" s="46">
        <v>0.0</v>
      </c>
      <c r="J9" s="8"/>
      <c r="K9" s="46">
        <v>715.0</v>
      </c>
      <c r="L9" s="46">
        <v>715.0</v>
      </c>
      <c r="M9" s="8"/>
      <c r="N9" s="8"/>
      <c r="O9" s="47" t="s">
        <v>24</v>
      </c>
      <c r="AT9" s="48">
        <v>423000.0</v>
      </c>
      <c r="AU9" s="48">
        <v>423000.0</v>
      </c>
      <c r="BE9" s="48">
        <v>429000.0</v>
      </c>
      <c r="BF9" s="48">
        <v>429000.0</v>
      </c>
      <c r="BJ9" s="46">
        <v>600.0</v>
      </c>
      <c r="BO9" s="47" t="s">
        <v>40</v>
      </c>
      <c r="BT9" s="47" t="s">
        <v>21</v>
      </c>
    </row>
    <row r="10" ht="15.75" customHeight="1">
      <c r="A10" s="8"/>
      <c r="B10" s="8"/>
      <c r="C10" s="8"/>
      <c r="D10" s="8"/>
      <c r="E10" s="46">
        <v>10.0</v>
      </c>
      <c r="F10" s="8"/>
      <c r="G10" s="8"/>
      <c r="H10" s="46">
        <v>0.0</v>
      </c>
      <c r="I10" s="46">
        <v>0.0</v>
      </c>
      <c r="J10" s="8"/>
      <c r="K10" s="46">
        <v>10.0</v>
      </c>
      <c r="L10" s="46">
        <v>10.0</v>
      </c>
      <c r="M10" s="8"/>
      <c r="N10" s="8"/>
      <c r="O10" s="47" t="s">
        <v>24</v>
      </c>
      <c r="AT10" s="48">
        <v>10000.0</v>
      </c>
      <c r="AU10" s="48">
        <v>10000.0</v>
      </c>
      <c r="BE10" s="48">
        <v>10000.0</v>
      </c>
      <c r="BF10" s="48">
        <v>10000.0</v>
      </c>
      <c r="BJ10" s="46">
        <v>10.0</v>
      </c>
      <c r="BO10" s="47" t="s">
        <v>26</v>
      </c>
      <c r="BT10" s="47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49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21</v>
      </c>
      <c r="D6" s="46">
        <v>-100.0</v>
      </c>
      <c r="E6" s="47" t="s">
        <v>23</v>
      </c>
      <c r="F6" s="47" t="s">
        <v>43</v>
      </c>
      <c r="G6" s="8"/>
      <c r="H6" s="47" t="s">
        <v>44</v>
      </c>
      <c r="I6" s="8"/>
      <c r="J6" s="8"/>
      <c r="K6" s="8"/>
      <c r="L6" s="8"/>
      <c r="M6" s="8"/>
      <c r="N6" s="8"/>
      <c r="O6" s="8"/>
      <c r="S6" s="47" t="s">
        <v>45</v>
      </c>
      <c r="T6" s="47" t="s">
        <v>46</v>
      </c>
      <c r="U6" s="47" t="s">
        <v>47</v>
      </c>
      <c r="V6" s="47" t="s">
        <v>48</v>
      </c>
      <c r="W6" s="47" t="s">
        <v>49</v>
      </c>
      <c r="AN6" s="47" t="s">
        <v>22</v>
      </c>
    </row>
    <row r="7" ht="15.75" customHeight="1">
      <c r="A7" s="8"/>
      <c r="B7" s="8"/>
      <c r="C7" s="47" t="s">
        <v>25</v>
      </c>
      <c r="D7" s="46">
        <v>-3.0</v>
      </c>
      <c r="E7" s="47" t="s">
        <v>23</v>
      </c>
      <c r="F7" s="47" t="s">
        <v>43</v>
      </c>
      <c r="G7" s="8"/>
      <c r="H7" s="47" t="s">
        <v>50</v>
      </c>
      <c r="I7" s="8"/>
      <c r="J7" s="8"/>
      <c r="K7" s="8"/>
      <c r="L7" s="8"/>
      <c r="M7" s="8"/>
      <c r="N7" s="8"/>
      <c r="O7" s="8"/>
      <c r="S7" s="47" t="s">
        <v>45</v>
      </c>
      <c r="T7" s="47" t="s">
        <v>51</v>
      </c>
      <c r="U7" s="47" t="s">
        <v>47</v>
      </c>
      <c r="V7" s="47" t="s">
        <v>52</v>
      </c>
      <c r="W7" s="47" t="s">
        <v>49</v>
      </c>
      <c r="AN7" s="47" t="s">
        <v>26</v>
      </c>
    </row>
    <row r="8" ht="15.75" customHeight="1">
      <c r="A8" s="8"/>
      <c r="B8" s="8"/>
      <c r="C8" s="47" t="s">
        <v>21</v>
      </c>
      <c r="D8" s="46">
        <v>100.0</v>
      </c>
      <c r="E8" s="47" t="s">
        <v>23</v>
      </c>
      <c r="F8" s="47" t="s">
        <v>43</v>
      </c>
      <c r="G8" s="8"/>
      <c r="H8" s="47" t="s">
        <v>44</v>
      </c>
      <c r="I8" s="8"/>
      <c r="J8" s="8"/>
      <c r="K8" s="8"/>
      <c r="L8" s="8"/>
      <c r="M8" s="8"/>
      <c r="N8" s="8"/>
      <c r="O8" s="8"/>
      <c r="S8" s="47" t="s">
        <v>45</v>
      </c>
      <c r="T8" s="47" t="s">
        <v>46</v>
      </c>
      <c r="U8" s="47" t="s">
        <v>47</v>
      </c>
      <c r="V8" s="47" t="s">
        <v>48</v>
      </c>
      <c r="W8" s="47" t="s">
        <v>49</v>
      </c>
      <c r="AN8" s="47" t="s">
        <v>39</v>
      </c>
    </row>
    <row r="9" ht="15.75" customHeight="1">
      <c r="A9" s="8"/>
      <c r="B9" s="8"/>
      <c r="C9" s="47" t="s">
        <v>21</v>
      </c>
      <c r="D9" s="46">
        <v>600.0</v>
      </c>
      <c r="E9" s="47" t="s">
        <v>23</v>
      </c>
      <c r="F9" s="47" t="s">
        <v>43</v>
      </c>
      <c r="G9" s="8"/>
      <c r="H9" s="47" t="s">
        <v>44</v>
      </c>
      <c r="I9" s="8"/>
      <c r="J9" s="8"/>
      <c r="K9" s="8"/>
      <c r="L9" s="8"/>
      <c r="M9" s="8"/>
      <c r="N9" s="8"/>
      <c r="O9" s="8"/>
      <c r="S9" s="47" t="s">
        <v>45</v>
      </c>
      <c r="T9" s="47" t="s">
        <v>46</v>
      </c>
      <c r="U9" s="47" t="s">
        <v>47</v>
      </c>
      <c r="V9" s="47" t="s">
        <v>48</v>
      </c>
      <c r="W9" s="47" t="s">
        <v>49</v>
      </c>
      <c r="AN9" s="47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