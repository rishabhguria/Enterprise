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9" activeTab="13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Import" sheetId="6" r:id="rId6"/>
    <sheet name="SelectAllOnImport" sheetId="7" r:id="rId7"/>
    <sheet name="SetTTGeneralPreferences1" sheetId="8" r:id="rId8"/>
    <sheet name="ImportSymbol1" sheetId="9" r:id="rId9"/>
    <sheet name="Import1" sheetId="10" r:id="rId10"/>
    <sheet name="SelectAllOnImport1" sheetId="11" r:id="rId11"/>
    <sheet name="GetDataAllocation" sheetId="12" r:id="rId12"/>
    <sheet name="CheckAllocatedGroups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J2" i="13"/>
  <c r="J2" i="12"/>
  <c r="J2" i="11"/>
  <c r="J2" i="10"/>
  <c r="J2" i="9"/>
  <c r="J2" i="8"/>
  <c r="J2" i="7"/>
  <c r="J2" i="6"/>
  <c r="J2" i="5"/>
  <c r="J2" i="4"/>
  <c r="BK5" i="14"/>
  <c r="FB5" i="14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X4" i="14"/>
  <c r="P4" i="14"/>
  <c r="H4" i="14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H4" i="11"/>
  <c r="G5" i="10"/>
  <c r="H4" i="10"/>
  <c r="B5" i="9"/>
  <c r="V4" i="9"/>
  <c r="N4" i="9"/>
  <c r="F4" i="9"/>
  <c r="D5" i="8"/>
  <c r="K4" i="8"/>
  <c r="C4" i="8"/>
  <c r="F4" i="7"/>
  <c r="E5" i="6"/>
  <c r="F4" i="6"/>
  <c r="AB4" i="5"/>
  <c r="T4" i="5"/>
  <c r="L4" i="5"/>
  <c r="D4" i="5"/>
  <c r="B5" i="4"/>
  <c r="I4" i="4"/>
  <c r="FA5" i="14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W4" i="14"/>
  <c r="O4" i="14"/>
  <c r="G4" i="14"/>
  <c r="CR5" i="13"/>
  <c r="CJ5" i="13"/>
  <c r="CB5" i="13"/>
  <c r="BT5" i="13"/>
  <c r="BL5" i="13"/>
  <c r="BD5" i="13"/>
  <c r="AV5" i="13"/>
  <c r="AN5" i="13"/>
  <c r="AF5" i="13"/>
  <c r="X5" i="13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Z5" i="14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V4" i="14"/>
  <c r="N4" i="14"/>
  <c r="F4" i="14"/>
  <c r="CQ5" i="13"/>
  <c r="CI5" i="13"/>
  <c r="CA5" i="13"/>
  <c r="BS5" i="13"/>
  <c r="BK5" i="13"/>
  <c r="BC5" i="13"/>
  <c r="AU5" i="13"/>
  <c r="AM5" i="13"/>
  <c r="AE5" i="13"/>
  <c r="W5" i="13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R5" i="12"/>
  <c r="J5" i="12"/>
  <c r="B5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F4" i="11"/>
  <c r="E5" i="10"/>
  <c r="F4" i="10"/>
  <c r="AB4" i="9"/>
  <c r="T4" i="9"/>
  <c r="L4" i="9"/>
  <c r="D4" i="9"/>
  <c r="B5" i="8"/>
  <c r="I4" i="8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U4" i="14"/>
  <c r="M4" i="14"/>
  <c r="E4" i="14"/>
  <c r="CP5" i="13"/>
  <c r="CH5" i="13"/>
  <c r="BZ5" i="13"/>
  <c r="BR5" i="13"/>
  <c r="BJ5" i="13"/>
  <c r="BB5" i="13"/>
  <c r="AT5" i="13"/>
  <c r="AL5" i="13"/>
  <c r="AD5" i="13"/>
  <c r="V5" i="13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Q5" i="12"/>
  <c r="I5" i="12"/>
  <c r="A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4" i="11"/>
  <c r="D5" i="10"/>
  <c r="E4" i="10"/>
  <c r="AA4" i="9"/>
  <c r="S4" i="9"/>
  <c r="K4" i="9"/>
  <c r="C4" i="9"/>
  <c r="A5" i="8"/>
  <c r="H4" i="8"/>
  <c r="B5" i="7"/>
  <c r="C4" i="7"/>
  <c r="B5" i="6"/>
  <c r="C4" i="6"/>
  <c r="Y4" i="5"/>
  <c r="Q4" i="5"/>
  <c r="I4" i="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T4" i="14"/>
  <c r="L4" i="14"/>
  <c r="D4" i="14"/>
  <c r="CO5" i="13"/>
  <c r="CG5" i="13"/>
  <c r="BY5" i="13"/>
  <c r="BQ5" i="13"/>
  <c r="BI5" i="13"/>
  <c r="BA5" i="13"/>
  <c r="AS5" i="13"/>
  <c r="AK5" i="13"/>
  <c r="AC5" i="13"/>
  <c r="U5" i="13"/>
  <c r="M5" i="13"/>
  <c r="E5" i="13"/>
  <c r="DN4" i="13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S4" i="14"/>
  <c r="K4" i="14"/>
  <c r="C4" i="14"/>
  <c r="CN5" i="13"/>
  <c r="CF5" i="13"/>
  <c r="BX5" i="13"/>
  <c r="BP5" i="13"/>
  <c r="BH5" i="13"/>
  <c r="AZ5" i="13"/>
  <c r="AR5" i="13"/>
  <c r="AJ5" i="13"/>
  <c r="AB5" i="13"/>
  <c r="T5" i="13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O5" i="12"/>
  <c r="G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B5" i="11"/>
  <c r="C4" i="11"/>
  <c r="B5" i="10"/>
  <c r="C4" i="10"/>
  <c r="Y4" i="9"/>
  <c r="Q4" i="9"/>
  <c r="I4" i="9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Z4" i="14"/>
  <c r="R4" i="14"/>
  <c r="J4" i="14"/>
  <c r="B4" i="14"/>
  <c r="CM5" i="13"/>
  <c r="CE5" i="13"/>
  <c r="BW5" i="13"/>
  <c r="BO5" i="13"/>
  <c r="BG5" i="13"/>
  <c r="AY5" i="13"/>
  <c r="AQ5" i="13"/>
  <c r="AI5" i="13"/>
  <c r="AA5" i="13"/>
  <c r="S5" i="13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N5" i="12"/>
  <c r="F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A5" i="11"/>
  <c r="B4" i="11"/>
  <c r="A5" i="10"/>
  <c r="B4" i="10"/>
  <c r="X4" i="9"/>
  <c r="P4" i="9"/>
  <c r="H4" i="9"/>
  <c r="F5" i="8"/>
  <c r="M4" i="8"/>
  <c r="E4" i="8"/>
  <c r="H4" i="7"/>
  <c r="G5" i="6"/>
  <c r="H4" i="6"/>
  <c r="B5" i="5"/>
  <c r="V4" i="5"/>
  <c r="N4" i="5"/>
  <c r="F4" i="5"/>
  <c r="D5" i="4"/>
  <c r="K4" i="4"/>
  <c r="C4" i="4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EU5" i="14"/>
  <c r="EM5" i="14"/>
  <c r="EE5" i="14"/>
  <c r="DW5" i="14"/>
  <c r="DO5" i="14"/>
  <c r="DG5" i="14"/>
  <c r="CY5" i="14"/>
  <c r="CQ5" i="14"/>
  <c r="CI5" i="14"/>
  <c r="CA5" i="14"/>
  <c r="BS5" i="14"/>
  <c r="BC5" i="14"/>
  <c r="AU5" i="14"/>
  <c r="AM5" i="14"/>
  <c r="AE5" i="14"/>
  <c r="W5" i="14"/>
  <c r="O5" i="14"/>
  <c r="G5" i="14"/>
  <c r="Y4" i="14"/>
  <c r="Q4" i="14"/>
  <c r="I4" i="14"/>
  <c r="CL5" i="13"/>
  <c r="Z5" i="13"/>
  <c r="CU4" i="13"/>
  <c r="BO4" i="13"/>
  <c r="AI4" i="13"/>
  <c r="C4" i="13"/>
  <c r="DQ4" i="12"/>
  <c r="CV4" i="12"/>
  <c r="BZ4" i="12"/>
  <c r="BE4" i="12"/>
  <c r="AJ4" i="12"/>
  <c r="N4" i="12"/>
  <c r="D4" i="11"/>
  <c r="A5" i="9"/>
  <c r="G4" i="9"/>
  <c r="L4" i="8"/>
  <c r="I4" i="7"/>
  <c r="C5" i="6"/>
  <c r="A5" i="5"/>
  <c r="P4" i="5"/>
  <c r="C4" i="5"/>
  <c r="N4" i="4"/>
  <c r="D4" i="4"/>
  <c r="A510" i="1"/>
  <c r="A507" i="1"/>
  <c r="A504" i="1"/>
  <c r="A501" i="1"/>
  <c r="A498" i="1"/>
  <c r="A495" i="1"/>
  <c r="A492" i="1"/>
  <c r="C488" i="1"/>
  <c r="C485" i="1"/>
  <c r="C482" i="1"/>
  <c r="C479" i="1"/>
  <c r="C476" i="1"/>
  <c r="C473" i="1"/>
  <c r="C470" i="1"/>
  <c r="B467" i="1"/>
  <c r="B464" i="1"/>
  <c r="B461" i="1"/>
  <c r="B458" i="1"/>
  <c r="B455" i="1"/>
  <c r="B452" i="1"/>
  <c r="B449" i="1"/>
  <c r="A446" i="1"/>
  <c r="A443" i="1"/>
  <c r="A440" i="1"/>
  <c r="A437" i="1"/>
  <c r="A434" i="1"/>
  <c r="A431" i="1"/>
  <c r="A428" i="1"/>
  <c r="C424" i="1"/>
  <c r="C421" i="1"/>
  <c r="C418" i="1"/>
  <c r="C415" i="1"/>
  <c r="C412" i="1"/>
  <c r="C409" i="1"/>
  <c r="C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D5" i="13"/>
  <c r="R5" i="13"/>
  <c r="CP4" i="13"/>
  <c r="BJ4" i="13"/>
  <c r="AD4" i="13"/>
  <c r="DN4" i="12"/>
  <c r="CS4" i="12"/>
  <c r="BX4" i="12"/>
  <c r="BB4" i="12"/>
  <c r="AG4" i="12"/>
  <c r="L4" i="12"/>
  <c r="Z4" i="9"/>
  <c r="E4" i="9"/>
  <c r="J4" i="8"/>
  <c r="G4" i="7"/>
  <c r="A5" i="6"/>
  <c r="AA4" i="5"/>
  <c r="O4" i="5"/>
  <c r="B4" i="5"/>
  <c r="M4" i="4"/>
  <c r="B4" i="4"/>
  <c r="C509" i="1"/>
  <c r="C506" i="1"/>
  <c r="C503" i="1"/>
  <c r="C500" i="1"/>
  <c r="C497" i="1"/>
  <c r="C494" i="1"/>
  <c r="B491" i="1"/>
  <c r="B488" i="1"/>
  <c r="B485" i="1"/>
  <c r="B482" i="1"/>
  <c r="B479" i="1"/>
  <c r="B476" i="1"/>
  <c r="B473" i="1"/>
  <c r="A470" i="1"/>
  <c r="A467" i="1"/>
  <c r="A464" i="1"/>
  <c r="A461" i="1"/>
  <c r="A458" i="1"/>
  <c r="A455" i="1"/>
  <c r="A452" i="1"/>
  <c r="C448" i="1"/>
  <c r="C445" i="1"/>
  <c r="C442" i="1"/>
  <c r="C439" i="1"/>
  <c r="C436" i="1"/>
  <c r="C433" i="1"/>
  <c r="C430" i="1"/>
  <c r="B427" i="1"/>
  <c r="B424" i="1"/>
  <c r="B421" i="1"/>
  <c r="B418" i="1"/>
  <c r="B415" i="1"/>
  <c r="B412" i="1"/>
  <c r="B409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BV5" i="13"/>
  <c r="J5" i="13"/>
  <c r="CM4" i="13"/>
  <c r="BG4" i="13"/>
  <c r="AA4" i="13"/>
  <c r="P5" i="12"/>
  <c r="DL4" i="12"/>
  <c r="CP4" i="12"/>
  <c r="BU4" i="12"/>
  <c r="AZ4" i="12"/>
  <c r="AD4" i="12"/>
  <c r="I4" i="12"/>
  <c r="F5" i="10"/>
  <c r="W4" i="9"/>
  <c r="B4" i="9"/>
  <c r="G4" i="8"/>
  <c r="E4" i="7"/>
  <c r="I4" i="6"/>
  <c r="Z4" i="5"/>
  <c r="M4" i="5"/>
  <c r="L4" i="4"/>
  <c r="B509" i="1"/>
  <c r="B506" i="1"/>
  <c r="B503" i="1"/>
  <c r="B500" i="1"/>
  <c r="B497" i="1"/>
  <c r="A494" i="1"/>
  <c r="A491" i="1"/>
  <c r="A488" i="1"/>
  <c r="A485" i="1"/>
  <c r="A482" i="1"/>
  <c r="A479" i="1"/>
  <c r="A476" i="1"/>
  <c r="C472" i="1"/>
  <c r="C469" i="1"/>
  <c r="C466" i="1"/>
  <c r="C463" i="1"/>
  <c r="C460" i="1"/>
  <c r="C457" i="1"/>
  <c r="C454" i="1"/>
  <c r="B451" i="1"/>
  <c r="B448" i="1"/>
  <c r="B445" i="1"/>
  <c r="B442" i="1"/>
  <c r="B439" i="1"/>
  <c r="B436" i="1"/>
  <c r="B433" i="1"/>
  <c r="A430" i="1"/>
  <c r="A427" i="1"/>
  <c r="A424" i="1"/>
  <c r="A421" i="1"/>
  <c r="A418" i="1"/>
  <c r="A415" i="1"/>
  <c r="A412" i="1"/>
  <c r="C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BN5" i="13"/>
  <c r="B5" i="13"/>
  <c r="CH4" i="13"/>
  <c r="BB4" i="13"/>
  <c r="V4" i="13"/>
  <c r="M5" i="12"/>
  <c r="DI4" i="12"/>
  <c r="CN4" i="12"/>
  <c r="BR4" i="12"/>
  <c r="AW4" i="12"/>
  <c r="AB4" i="12"/>
  <c r="F4" i="12"/>
  <c r="C5" i="10"/>
  <c r="U4" i="9"/>
  <c r="F4" i="8"/>
  <c r="D4" i="7"/>
  <c r="G4" i="6"/>
  <c r="X4" i="5"/>
  <c r="K4" i="5"/>
  <c r="F5" i="4"/>
  <c r="J4" i="4"/>
  <c r="A4" i="3"/>
  <c r="A509" i="1"/>
  <c r="A506" i="1"/>
  <c r="A503" i="1"/>
  <c r="A500" i="1"/>
  <c r="C496" i="1"/>
  <c r="C493" i="1"/>
  <c r="C490" i="1"/>
  <c r="C487" i="1"/>
  <c r="C484" i="1"/>
  <c r="C481" i="1"/>
  <c r="C478" i="1"/>
  <c r="B475" i="1"/>
  <c r="B472" i="1"/>
  <c r="B469" i="1"/>
  <c r="B466" i="1"/>
  <c r="B463" i="1"/>
  <c r="B460" i="1"/>
  <c r="B457" i="1"/>
  <c r="A454" i="1"/>
  <c r="A451" i="1"/>
  <c r="A448" i="1"/>
  <c r="A445" i="1"/>
  <c r="A442" i="1"/>
  <c r="A439" i="1"/>
  <c r="A436" i="1"/>
  <c r="C432" i="1"/>
  <c r="C429" i="1"/>
  <c r="C426" i="1"/>
  <c r="C423" i="1"/>
  <c r="C420" i="1"/>
  <c r="C417" i="1"/>
  <c r="C414" i="1"/>
  <c r="B411" i="1"/>
  <c r="B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BF5" i="13"/>
  <c r="DK4" i="13"/>
  <c r="CE4" i="13"/>
  <c r="AY4" i="13"/>
  <c r="S4" i="13"/>
  <c r="K5" i="12"/>
  <c r="DF4" i="12"/>
  <c r="CK4" i="12"/>
  <c r="BP4" i="12"/>
  <c r="AT4" i="12"/>
  <c r="Y4" i="12"/>
  <c r="D4" i="12"/>
  <c r="I4" i="10"/>
  <c r="R4" i="9"/>
  <c r="E5" i="8"/>
  <c r="D4" i="8"/>
  <c r="B4" i="7"/>
  <c r="E4" i="6"/>
  <c r="W4" i="5"/>
  <c r="J4" i="5"/>
  <c r="E5" i="4"/>
  <c r="H4" i="4"/>
  <c r="C511" i="1"/>
  <c r="C508" i="1"/>
  <c r="C505" i="1"/>
  <c r="C502" i="1"/>
  <c r="B499" i="1"/>
  <c r="B496" i="1"/>
  <c r="B493" i="1"/>
  <c r="B490" i="1"/>
  <c r="B487" i="1"/>
  <c r="B484" i="1"/>
  <c r="B481" i="1"/>
  <c r="A478" i="1"/>
  <c r="A475" i="1"/>
  <c r="A472" i="1"/>
  <c r="A469" i="1"/>
  <c r="A466" i="1"/>
  <c r="A463" i="1"/>
  <c r="A460" i="1"/>
  <c r="C456" i="1"/>
  <c r="C453" i="1"/>
  <c r="C450" i="1"/>
  <c r="C447" i="1"/>
  <c r="C444" i="1"/>
  <c r="C441" i="1"/>
  <c r="C438" i="1"/>
  <c r="B435" i="1"/>
  <c r="B432" i="1"/>
  <c r="B429" i="1"/>
  <c r="B426" i="1"/>
  <c r="B423" i="1"/>
  <c r="B420" i="1"/>
  <c r="B417" i="1"/>
  <c r="A414" i="1"/>
  <c r="A411" i="1"/>
  <c r="A408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AX5" i="13"/>
  <c r="DF4" i="13"/>
  <c r="BZ4" i="13"/>
  <c r="AT4" i="13"/>
  <c r="N4" i="13"/>
  <c r="H5" i="12"/>
  <c r="DD4" i="12"/>
  <c r="CH4" i="12"/>
  <c r="BM4" i="12"/>
  <c r="AR4" i="12"/>
  <c r="V4" i="12"/>
  <c r="G4" i="10"/>
  <c r="O4" i="9"/>
  <c r="C5" i="8"/>
  <c r="B4" i="8"/>
  <c r="D4" i="6"/>
  <c r="U4" i="5"/>
  <c r="H4" i="5"/>
  <c r="C5" i="4"/>
  <c r="G4" i="4"/>
  <c r="B511" i="1"/>
  <c r="B508" i="1"/>
  <c r="B505" i="1"/>
  <c r="A502" i="1"/>
  <c r="A499" i="1"/>
  <c r="A496" i="1"/>
  <c r="A493" i="1"/>
  <c r="A490" i="1"/>
  <c r="A487" i="1"/>
  <c r="A484" i="1"/>
  <c r="C480" i="1"/>
  <c r="C477" i="1"/>
  <c r="C474" i="1"/>
  <c r="C471" i="1"/>
  <c r="C468" i="1"/>
  <c r="C465" i="1"/>
  <c r="C462" i="1"/>
  <c r="B459" i="1"/>
  <c r="B456" i="1"/>
  <c r="B453" i="1"/>
  <c r="B450" i="1"/>
  <c r="B447" i="1"/>
  <c r="B444" i="1"/>
  <c r="B441" i="1"/>
  <c r="A438" i="1"/>
  <c r="A435" i="1"/>
  <c r="A432" i="1"/>
  <c r="A429" i="1"/>
  <c r="A426" i="1"/>
  <c r="A423" i="1"/>
  <c r="A420" i="1"/>
  <c r="C416" i="1"/>
  <c r="C413" i="1"/>
  <c r="C410" i="1"/>
  <c r="C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AP5" i="13"/>
  <c r="DC4" i="13"/>
  <c r="BW4" i="13"/>
  <c r="AQ4" i="13"/>
  <c r="K4" i="13"/>
  <c r="E5" i="12"/>
  <c r="DA4" i="12"/>
  <c r="CF4" i="12"/>
  <c r="BJ4" i="12"/>
  <c r="AO4" i="12"/>
  <c r="T4" i="12"/>
  <c r="I4" i="11"/>
  <c r="D4" i="10"/>
  <c r="M4" i="9"/>
  <c r="O4" i="8"/>
  <c r="F5" i="6"/>
  <c r="B4" i="6"/>
  <c r="S4" i="5"/>
  <c r="G4" i="5"/>
  <c r="A5" i="4"/>
  <c r="F4" i="4"/>
  <c r="A511" i="1"/>
  <c r="A508" i="1"/>
  <c r="C504" i="1"/>
  <c r="C501" i="1"/>
  <c r="C498" i="1"/>
  <c r="C495" i="1"/>
  <c r="C492" i="1"/>
  <c r="C489" i="1"/>
  <c r="C486" i="1"/>
  <c r="B483" i="1"/>
  <c r="B480" i="1"/>
  <c r="B477" i="1"/>
  <c r="B474" i="1"/>
  <c r="B471" i="1"/>
  <c r="B468" i="1"/>
  <c r="B465" i="1"/>
  <c r="A462" i="1"/>
  <c r="A459" i="1"/>
  <c r="A456" i="1"/>
  <c r="A453" i="1"/>
  <c r="A450" i="1"/>
  <c r="A447" i="1"/>
  <c r="A444" i="1"/>
  <c r="C440" i="1"/>
  <c r="C437" i="1"/>
  <c r="C434" i="1"/>
  <c r="C431" i="1"/>
  <c r="C428" i="1"/>
  <c r="C425" i="1"/>
  <c r="C422" i="1"/>
  <c r="B419" i="1"/>
  <c r="B416" i="1"/>
  <c r="B413" i="1"/>
  <c r="B410" i="1"/>
  <c r="B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AH5" i="13"/>
  <c r="CC4" i="12"/>
  <c r="J4" i="9"/>
  <c r="R4" i="5"/>
  <c r="B504" i="1"/>
  <c r="A480" i="1"/>
  <c r="C455" i="1"/>
  <c r="B431" i="1"/>
  <c r="A407" i="1"/>
  <c r="B385" i="1"/>
  <c r="A364" i="1"/>
  <c r="C342" i="1"/>
  <c r="B321" i="1"/>
  <c r="A300" i="1"/>
  <c r="C278" i="1"/>
  <c r="B257" i="1"/>
  <c r="A236" i="1"/>
  <c r="C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434" i="1"/>
  <c r="C366" i="1"/>
  <c r="A324" i="1"/>
  <c r="C302" i="1"/>
  <c r="A218" i="1"/>
  <c r="C212" i="1"/>
  <c r="B199" i="1"/>
  <c r="B183" i="1"/>
  <c r="A162" i="1"/>
  <c r="A146" i="1"/>
  <c r="A130" i="1"/>
  <c r="A114" i="1"/>
  <c r="B95" i="1"/>
  <c r="A74" i="1"/>
  <c r="C52" i="1"/>
  <c r="A34" i="1"/>
  <c r="A18" i="1"/>
  <c r="CX4" i="13"/>
  <c r="BH4" i="12"/>
  <c r="E4" i="5"/>
  <c r="B501" i="1"/>
  <c r="A477" i="1"/>
  <c r="C452" i="1"/>
  <c r="B428" i="1"/>
  <c r="A404" i="1"/>
  <c r="C382" i="1"/>
  <c r="B361" i="1"/>
  <c r="A340" i="1"/>
  <c r="C318" i="1"/>
  <c r="B297" i="1"/>
  <c r="A276" i="1"/>
  <c r="C254" i="1"/>
  <c r="B233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458" i="1"/>
  <c r="A410" i="1"/>
  <c r="A388" i="1"/>
  <c r="B345" i="1"/>
  <c r="B281" i="1"/>
  <c r="B215" i="1"/>
  <c r="B207" i="1"/>
  <c r="A194" i="1"/>
  <c r="A186" i="1"/>
  <c r="B175" i="1"/>
  <c r="B159" i="1"/>
  <c r="C148" i="1"/>
  <c r="B135" i="1"/>
  <c r="A122" i="1"/>
  <c r="A106" i="1"/>
  <c r="C92" i="1"/>
  <c r="C76" i="1"/>
  <c r="C60" i="1"/>
  <c r="C44" i="1"/>
  <c r="B23" i="1"/>
  <c r="B7" i="1"/>
  <c r="BR4" i="13"/>
  <c r="AL4" i="12"/>
  <c r="N4" i="8"/>
  <c r="B498" i="1"/>
  <c r="A474" i="1"/>
  <c r="C449" i="1"/>
  <c r="B425" i="1"/>
  <c r="B401" i="1"/>
  <c r="A380" i="1"/>
  <c r="C358" i="1"/>
  <c r="B337" i="1"/>
  <c r="A316" i="1"/>
  <c r="C294" i="1"/>
  <c r="B273" i="1"/>
  <c r="A252" i="1"/>
  <c r="C230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507" i="1"/>
  <c r="C221" i="1"/>
  <c r="C204" i="1"/>
  <c r="B191" i="1"/>
  <c r="A178" i="1"/>
  <c r="B167" i="1"/>
  <c r="A154" i="1"/>
  <c r="C140" i="1"/>
  <c r="C132" i="1"/>
  <c r="C116" i="1"/>
  <c r="C100" i="1"/>
  <c r="C84" i="1"/>
  <c r="B71" i="1"/>
  <c r="B55" i="1"/>
  <c r="B39" i="1"/>
  <c r="A26" i="1"/>
  <c r="C12" i="1"/>
  <c r="AL4" i="13"/>
  <c r="Q4" i="12"/>
  <c r="O4" i="4"/>
  <c r="B495" i="1"/>
  <c r="A471" i="1"/>
  <c r="C446" i="1"/>
  <c r="A422" i="1"/>
  <c r="C398" i="1"/>
  <c r="B377" i="1"/>
  <c r="A356" i="1"/>
  <c r="C334" i="1"/>
  <c r="B313" i="1"/>
  <c r="A292" i="1"/>
  <c r="C270" i="1"/>
  <c r="B249" i="1"/>
  <c r="A228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172" i="1"/>
  <c r="B127" i="1"/>
  <c r="B103" i="1"/>
  <c r="A82" i="1"/>
  <c r="C68" i="1"/>
  <c r="A58" i="1"/>
  <c r="A42" i="1"/>
  <c r="C20" i="1"/>
  <c r="C4" i="1"/>
  <c r="F4" i="13"/>
  <c r="A5" i="7"/>
  <c r="E4" i="4"/>
  <c r="B492" i="1"/>
  <c r="A468" i="1"/>
  <c r="B443" i="1"/>
  <c r="A419" i="1"/>
  <c r="A396" i="1"/>
  <c r="C374" i="1"/>
  <c r="B353" i="1"/>
  <c r="A332" i="1"/>
  <c r="C310" i="1"/>
  <c r="B289" i="1"/>
  <c r="A268" i="1"/>
  <c r="C246" i="1"/>
  <c r="B225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G4" i="11"/>
  <c r="B489" i="1"/>
  <c r="C464" i="1"/>
  <c r="B440" i="1"/>
  <c r="A416" i="1"/>
  <c r="B393" i="1"/>
  <c r="A372" i="1"/>
  <c r="C350" i="1"/>
  <c r="B329" i="1"/>
  <c r="A308" i="1"/>
  <c r="C286" i="1"/>
  <c r="B265" i="1"/>
  <c r="A244" i="1"/>
  <c r="C222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X4" i="12"/>
  <c r="C238" i="1"/>
  <c r="A202" i="1"/>
  <c r="C188" i="1"/>
  <c r="A170" i="1"/>
  <c r="C156" i="1"/>
  <c r="B143" i="1"/>
  <c r="C124" i="1"/>
  <c r="C108" i="1"/>
  <c r="B87" i="1"/>
  <c r="A66" i="1"/>
  <c r="B47" i="1"/>
  <c r="B31" i="1"/>
  <c r="A10" i="1"/>
  <c r="C5" i="12"/>
  <c r="D5" i="6"/>
  <c r="C510" i="1"/>
  <c r="A486" i="1"/>
  <c r="C461" i="1"/>
  <c r="B437" i="1"/>
  <c r="A413" i="1"/>
  <c r="C390" i="1"/>
  <c r="B369" i="1"/>
  <c r="A348" i="1"/>
  <c r="C326" i="1"/>
  <c r="B305" i="1"/>
  <c r="A284" i="1"/>
  <c r="C262" i="1"/>
  <c r="B241" i="1"/>
  <c r="A222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483" i="1"/>
  <c r="A260" i="1"/>
  <c r="A210" i="1"/>
  <c r="C196" i="1"/>
  <c r="C180" i="1"/>
  <c r="C164" i="1"/>
  <c r="B151" i="1"/>
  <c r="A138" i="1"/>
  <c r="B119" i="1"/>
  <c r="B111" i="1"/>
  <c r="A98" i="1"/>
  <c r="A90" i="1"/>
  <c r="B79" i="1"/>
  <c r="B63" i="1"/>
  <c r="A50" i="1"/>
  <c r="C36" i="1"/>
  <c r="C28" i="1"/>
  <c r="B15" i="1"/>
</calcChain>
</file>

<file path=xl/sharedStrings.xml><?xml version="1.0" encoding="utf-8"?>
<sst xmlns="http://schemas.openxmlformats.org/spreadsheetml/2006/main" count="226" uniqueCount="71">
  <si>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</si>
  <si>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</si>
  <si>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</si>
  <si>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</si>
  <si>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</si>
  <si>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</si>
  <si>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</si>
  <si>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</si>
  <si>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</si>
  <si>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</si>
  <si>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</si>
  <si>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</si>
  <si>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</si>
  <si>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</si>
  <si>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</si>
  <si>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</si>
  <si>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</si>
  <si>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</si>
  <si>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E:\DistributedAutomation\TestAutomationV2.5\Release\Import Cases\TickerList.xls</t>
  </si>
  <si>
    <t>Import</t>
  </si>
  <si>
    <t>E:\DistributedAutomation\TestAutomationV2.5\Release\Import Cases\Allowed_Restricted_Trade_Import.csv</t>
  </si>
  <si>
    <t>Cameron</t>
  </si>
  <si>
    <t>Transaction</t>
  </si>
  <si>
    <t>SelectAllOnImport</t>
  </si>
  <si>
    <t>E:\DistributedAutomation\TestAutomationV2.5\Release\Import Cases\Restricted_Trade_Import.csv</t>
  </si>
  <si>
    <t>Allocation</t>
  </si>
  <si>
    <t>GetDataAllocation</t>
  </si>
  <si>
    <t>Historical</t>
  </si>
  <si>
    <t>CheckAllocatedGroups</t>
  </si>
  <si>
    <t>Allocation1</t>
  </si>
  <si>
    <t>Equity</t>
  </si>
  <si>
    <t>AAPL US EQUITY</t>
  </si>
  <si>
    <t>Open</t>
  </si>
  <si>
    <t>APPLE</t>
  </si>
  <si>
    <t>USD</t>
  </si>
  <si>
    <t>NASDAQ</t>
  </si>
  <si>
    <t>M</t>
  </si>
  <si>
    <t>Buy</t>
  </si>
  <si>
    <t>AAPL</t>
  </si>
  <si>
    <t>TradeImport</t>
  </si>
  <si>
    <t>US</t>
  </si>
  <si>
    <t>EquityOption</t>
  </si>
  <si>
    <t>EOG US 04/17/10 C95 Equity</t>
  </si>
  <si>
    <t>EOG APR 2010 95 CALL</t>
  </si>
  <si>
    <t>OPTS</t>
  </si>
  <si>
    <t>Sell</t>
  </si>
  <si>
    <t>O:EOG 10D95.00</t>
  </si>
  <si>
    <t>EOG</t>
  </si>
  <si>
    <t>FX</t>
  </si>
  <si>
    <t>GBPUSD CURNCY</t>
  </si>
  <si>
    <t>GBP USD SPOT</t>
  </si>
  <si>
    <t>GBP</t>
  </si>
  <si>
    <t>GBP/USD</t>
  </si>
  <si>
    <t>Multiple</t>
  </si>
  <si>
    <t>Allocation2</t>
  </si>
  <si>
    <t>ABM US 04/17/10 C20 EQUITY</t>
  </si>
  <si>
    <t>ABM APR 2018 20 CALL</t>
  </si>
  <si>
    <t>O:ABM 10D20.00</t>
  </si>
  <si>
    <t>ABM</t>
  </si>
  <si>
    <t>MSFT US EQUITY</t>
  </si>
  <si>
    <t>MICROSOFT INC</t>
  </si>
  <si>
    <t>MSFT</t>
  </si>
  <si>
    <t>PortfolioManagement</t>
  </si>
  <si>
    <t>CheckPortfolioManagement</t>
  </si>
  <si>
    <t>NewMF</t>
  </si>
  <si>
    <t xml:space="preserve">Long </t>
  </si>
  <si>
    <t>Undefined</t>
  </si>
  <si>
    <t>Long</t>
  </si>
  <si>
    <t>Short</t>
  </si>
  <si>
    <t>CALL</t>
  </si>
  <si>
    <t>NewMF1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</si>
</sst>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14" fontId="5" fillId="0" borderId="0" xfId="0" applyNumberFormat="1" applyFont="1" applyAlignment="1"/>
    <xf numFmtId="4" fontId="14" fillId="0" borderId="5" xfId="0" applyNumberFormat="1" applyFont="1" applyBorder="1" applyAlignment="1"/>
    <xf numFmtId="4" fontId="3" fillId="0" borderId="5" xfId="0" applyNumberFormat="1" applyFont="1" applyBorder="1" applyAlignment="1"/>
    <xf numFmtId="4" fontId="14" fillId="0" borderId="5" xfId="0" applyNumberFormat="1" applyFont="1" applyBorder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4" fillId="0" borderId="5" xfId="0" applyNumberFormat="1" applyFont="1" applyBorder="1" applyAlignment="1"/>
    <xf numFmtId="0" fontId="3" fillId="0" borderId="0" xfId="0" applyFont="1" applyAlignment="1"/>
    <xf numFmtId="3" fontId="3" fillId="0" borderId="5" xfId="0" applyNumberFormat="1" applyFont="1" applyBorder="1" applyAlignment="1"/>
    <xf numFmtId="3" fontId="5" fillId="0" borderId="5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/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8" t="s">
        <v>0</v>
      </c>
      <c r="B1" s="49"/>
      <c r="C1" s="49"/>
      <c r="D1" s="49"/>
      <c r="E1" s="49"/>
      <c r="F1" s="50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 x14ac:dyDescent="0.2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1" t="s">
        <v>2</v>
      </c>
      <c r="B1" s="49"/>
      <c r="C1" s="50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8" t="s">
        <v>7</v>
      </c>
      <c r="B1" s="49"/>
      <c r="C1" s="49"/>
      <c r="D1" s="49"/>
      <c r="E1" s="49"/>
      <c r="F1" s="5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6"/>
      <c r="C6" s="27" t="b">
        <v>1</v>
      </c>
      <c r="D6" s="26"/>
      <c r="E6" s="28"/>
      <c r="F6" s="28"/>
      <c r="G6" s="28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18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IFERROR(__xludf.DUMMYFUNCTION("""COMPUTED_VALUE"""),"Select Date")</f>
        <v>Select Date</v>
      </c>
      <c r="D5" s="23" t="str">
        <f ca="1">IFERROR(__xludf.DUMMYFUNCTION("""COMPUTED_VALUE"""),"Date")</f>
        <v>Date</v>
      </c>
      <c r="E5" s="23" t="str">
        <f ca="1">IFERROR(__xludf.DUMMYFUNCTION("""COMPUTED_VALUE"""),"Select File")</f>
        <v>Select File</v>
      </c>
      <c r="F5" s="24" t="str">
        <f ca="1">IFERROR(__xludf.DUMMYFUNCTION("""COMPUTED_VALUE"""),"Upload ThirdParty")</f>
        <v>Upload ThirdParty</v>
      </c>
      <c r="G5" s="23" t="str">
        <f ca="1">IFERROR(__xludf.DUMMYFUNCTION("""COMPUTED_VALUE"""),"Import Type")</f>
        <v>Import Type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0"/>
      <c r="C6" s="27" t="b">
        <v>0</v>
      </c>
      <c r="D6" s="30"/>
      <c r="E6" s="31" t="s">
        <v>20</v>
      </c>
      <c r="F6" s="31" t="s">
        <v>21</v>
      </c>
      <c r="G6" s="31" t="s">
        <v>22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IFERROR(__xludf.DUMMYFUNCTION("""COMPUTED_VALUE"""),"Import Type")</f>
        <v>Import Type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 t="s">
        <v>22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b">
        <v>1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18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IFERROR(__xludf.DUMMYFUNCTION("""COMPUTED_VALUE"""),"Select Date")</f>
        <v>Select Date</v>
      </c>
      <c r="D5" s="23" t="str">
        <f ca="1">IFERROR(__xludf.DUMMYFUNCTION("""COMPUTED_VALUE"""),"Date")</f>
        <v>Date</v>
      </c>
      <c r="E5" s="23" t="str">
        <f ca="1">IFERROR(__xludf.DUMMYFUNCTION("""COMPUTED_VALUE"""),"Select File")</f>
        <v>Select File</v>
      </c>
      <c r="F5" s="24" t="str">
        <f ca="1">IFERROR(__xludf.DUMMYFUNCTION("""COMPUTED_VALUE"""),"Upload ThirdParty")</f>
        <v>Upload ThirdParty</v>
      </c>
      <c r="G5" s="23" t="str">
        <f ca="1">IFERROR(__xludf.DUMMYFUNCTION("""COMPUTED_VALUE"""),"Import Type")</f>
        <v>Import Type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0"/>
      <c r="C6" s="27" t="b">
        <v>0</v>
      </c>
      <c r="D6" s="30"/>
      <c r="E6" s="31" t="s">
        <v>24</v>
      </c>
      <c r="F6" s="31" t="s">
        <v>21</v>
      </c>
      <c r="G6" s="31" t="s">
        <v>22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19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IFERROR(__xludf.DUMMYFUNCTION("IF(C3="""","""",Transpose(IMPORTRANGE('_Settings'!$B$3,C3&amp;""!A4:A1000"")))"),"Import")</f>
        <v>Import</v>
      </c>
      <c r="C4" s="20" t="str">
        <f ca="1">IFERROR(__xludf.DUMMYFUNCTION("""COMPUTED_VALUE"""),"SelectAllOnImport")</f>
        <v>SelectAllOnImport</v>
      </c>
      <c r="D4" s="20" t="str">
        <f ca="1">IFERROR(__xludf.DUMMYFUNCTION("""COMPUTED_VALUE"""),"SelectTransactionImportType")</f>
        <v>SelectTransactionImportType</v>
      </c>
      <c r="E4" s="20" t="str">
        <f ca="1">IFERROR(__xludf.DUMMYFUNCTION("""COMPUTED_VALUE"""),"SelectMarkPriceImportType")</f>
        <v>SelectMarkPriceImportType</v>
      </c>
      <c r="F4" s="20" t="str">
        <f ca="1">IFERROR(__xludf.DUMMYFUNCTION("""COMPUTED_VALUE"""),"SelectForexImportType")</f>
        <v>SelectForexImportType</v>
      </c>
      <c r="G4" s="20" t="str">
        <f ca="1">IFERROR(__xludf.DUMMYFUNCTION("""COMPUTED_VALUE"""),"SelectDoubleEntryCashImportType")</f>
        <v>SelectDoubleEntryCashImportType</v>
      </c>
      <c r="H4" s="20" t="str">
        <f ca="1">IFERROR(__xludf.DUMMYFUNCTION("""COMPUTED_VALUE"""),"SelectActivitiesImportType")</f>
        <v>SelectActivitiesImportType</v>
      </c>
      <c r="I4" s="20" t="str">
        <f ca="1">IFERROR(__xludf.DUMMYFUNCTION("""COMPUTED_VALUE"""),"ApplyFilterOnImport")</f>
        <v>ApplyFilterOnImport</v>
      </c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IFERROR(__xludf.DUMMYFUNCTION("""COMPUTED_VALUE"""),"Import Type")</f>
        <v>Import Type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1" t="s">
        <v>22</v>
      </c>
      <c r="C6" s="5"/>
      <c r="D6" s="9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27</v>
      </c>
      <c r="C6" s="32">
        <v>43905</v>
      </c>
      <c r="D6" s="32">
        <v>44270</v>
      </c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25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 t="s">
        <v>29</v>
      </c>
      <c r="C6" s="34"/>
      <c r="D6" s="35">
        <v>0</v>
      </c>
      <c r="E6" s="35">
        <v>200</v>
      </c>
      <c r="F6" s="34"/>
      <c r="G6" s="33" t="s">
        <v>30</v>
      </c>
      <c r="H6" s="35">
        <v>0</v>
      </c>
      <c r="I6" s="35">
        <v>0</v>
      </c>
      <c r="J6" s="35">
        <v>1</v>
      </c>
      <c r="K6" s="35">
        <v>20</v>
      </c>
      <c r="L6" s="35">
        <v>20</v>
      </c>
      <c r="M6" s="33" t="s">
        <v>31</v>
      </c>
      <c r="N6" s="34"/>
      <c r="O6" s="34"/>
      <c r="P6" s="34"/>
      <c r="Q6" s="34"/>
      <c r="R6" s="34"/>
      <c r="S6" s="33" t="s">
        <v>32</v>
      </c>
      <c r="T6" s="36">
        <v>0</v>
      </c>
      <c r="U6" s="36">
        <v>0</v>
      </c>
      <c r="V6" s="37" t="s">
        <v>33</v>
      </c>
      <c r="W6" s="36">
        <v>1</v>
      </c>
      <c r="X6" s="38"/>
      <c r="Y6" s="38"/>
      <c r="Z6" s="37" t="s">
        <v>34</v>
      </c>
      <c r="AA6" s="38"/>
      <c r="AB6" s="36">
        <v>1</v>
      </c>
      <c r="AC6" s="38"/>
      <c r="AD6" s="37" t="s">
        <v>35</v>
      </c>
      <c r="AE6" s="36">
        <v>200</v>
      </c>
      <c r="AF6" s="38"/>
      <c r="AG6" s="38"/>
      <c r="AH6" s="38" t="s">
        <v>36</v>
      </c>
      <c r="AI6" s="36">
        <v>1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6">
        <v>4000</v>
      </c>
      <c r="AU6" s="36">
        <v>4000</v>
      </c>
      <c r="AV6" s="38"/>
      <c r="AW6" s="36">
        <v>0</v>
      </c>
      <c r="AX6" s="38"/>
      <c r="AY6" s="38"/>
      <c r="AZ6" s="36">
        <v>0</v>
      </c>
      <c r="BA6" s="38"/>
      <c r="BB6" s="38"/>
      <c r="BC6" s="38"/>
      <c r="BD6" s="38"/>
      <c r="BE6" s="36">
        <v>4000</v>
      </c>
      <c r="BF6" s="36">
        <v>4000</v>
      </c>
      <c r="BG6" s="38"/>
      <c r="BH6" s="38"/>
      <c r="BI6" s="38"/>
      <c r="BJ6" s="36">
        <v>200</v>
      </c>
      <c r="BK6" s="36">
        <v>0</v>
      </c>
      <c r="BL6" s="38"/>
      <c r="BM6" s="37" t="s">
        <v>34</v>
      </c>
      <c r="BN6" s="38"/>
      <c r="BO6" s="37" t="s">
        <v>37</v>
      </c>
      <c r="BP6" s="36">
        <v>0</v>
      </c>
      <c r="BQ6" s="36">
        <v>0</v>
      </c>
      <c r="BR6" s="38"/>
      <c r="BS6" s="38"/>
      <c r="BT6" s="37" t="s">
        <v>38</v>
      </c>
      <c r="BU6" s="36">
        <v>0</v>
      </c>
      <c r="BV6" s="36">
        <v>0</v>
      </c>
      <c r="BW6" s="36">
        <v>0</v>
      </c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9" t="s">
        <v>39</v>
      </c>
      <c r="CI6" s="37" t="s">
        <v>37</v>
      </c>
      <c r="CJ6" s="38"/>
      <c r="CK6" s="37" t="s">
        <v>40</v>
      </c>
      <c r="CL6" s="36">
        <v>1</v>
      </c>
      <c r="CM6" s="37" t="s">
        <v>38</v>
      </c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</row>
    <row r="7" spans="1:154" ht="15.75" customHeight="1" x14ac:dyDescent="0.2">
      <c r="A7" s="5"/>
      <c r="B7" s="37" t="s">
        <v>29</v>
      </c>
      <c r="C7" s="38"/>
      <c r="D7" s="36">
        <v>0</v>
      </c>
      <c r="E7" s="36">
        <v>150</v>
      </c>
      <c r="F7" s="38"/>
      <c r="G7" s="37" t="s">
        <v>41</v>
      </c>
      <c r="H7" s="36">
        <v>0</v>
      </c>
      <c r="I7" s="36">
        <v>0</v>
      </c>
      <c r="J7" s="36">
        <v>12</v>
      </c>
      <c r="K7" s="36">
        <v>15</v>
      </c>
      <c r="L7" s="36">
        <v>15</v>
      </c>
      <c r="M7" s="40" t="s">
        <v>42</v>
      </c>
      <c r="N7" s="38"/>
      <c r="O7" s="38"/>
      <c r="P7" s="38"/>
      <c r="Q7" s="38"/>
      <c r="R7" s="38"/>
      <c r="S7" s="37" t="s">
        <v>32</v>
      </c>
      <c r="T7" s="36">
        <v>0</v>
      </c>
      <c r="U7" s="36">
        <v>0</v>
      </c>
      <c r="V7" s="37" t="s">
        <v>43</v>
      </c>
      <c r="W7" s="36">
        <v>100</v>
      </c>
      <c r="X7" s="38"/>
      <c r="Y7" s="38"/>
      <c r="Z7" s="37" t="s">
        <v>34</v>
      </c>
      <c r="AA7" s="38"/>
      <c r="AB7" s="36">
        <v>1</v>
      </c>
      <c r="AC7" s="38"/>
      <c r="AD7" s="37" t="s">
        <v>44</v>
      </c>
      <c r="AE7" s="36">
        <v>150</v>
      </c>
      <c r="AF7" s="38"/>
      <c r="AG7" s="38"/>
      <c r="AH7" s="38" t="s">
        <v>36</v>
      </c>
      <c r="AI7" s="36">
        <v>1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6">
        <v>225000</v>
      </c>
      <c r="AU7" s="36">
        <v>225000</v>
      </c>
      <c r="AV7" s="38"/>
      <c r="AW7" s="36">
        <v>0</v>
      </c>
      <c r="AX7" s="38"/>
      <c r="AY7" s="38"/>
      <c r="AZ7" s="36">
        <v>0</v>
      </c>
      <c r="BA7" s="38"/>
      <c r="BB7" s="38"/>
      <c r="BC7" s="38"/>
      <c r="BD7" s="38"/>
      <c r="BE7" s="36">
        <v>225000</v>
      </c>
      <c r="BF7" s="36">
        <v>225000</v>
      </c>
      <c r="BG7" s="38"/>
      <c r="BH7" s="38"/>
      <c r="BI7" s="38"/>
      <c r="BJ7" s="36">
        <v>150</v>
      </c>
      <c r="BK7" s="36">
        <v>0</v>
      </c>
      <c r="BL7" s="38"/>
      <c r="BM7" s="37" t="s">
        <v>34</v>
      </c>
      <c r="BN7" s="38"/>
      <c r="BO7" s="37" t="s">
        <v>45</v>
      </c>
      <c r="BP7" s="36">
        <v>0</v>
      </c>
      <c r="BQ7" s="36">
        <v>0</v>
      </c>
      <c r="BR7" s="38"/>
      <c r="BS7" s="38"/>
      <c r="BT7" s="37" t="s">
        <v>46</v>
      </c>
      <c r="BU7" s="36">
        <v>0</v>
      </c>
      <c r="BV7" s="36">
        <v>0</v>
      </c>
      <c r="BW7" s="36">
        <v>0</v>
      </c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9" t="s">
        <v>39</v>
      </c>
      <c r="CI7" s="37" t="s">
        <v>45</v>
      </c>
      <c r="CJ7" s="38"/>
      <c r="CK7" s="37" t="s">
        <v>40</v>
      </c>
      <c r="CL7" s="36">
        <v>1</v>
      </c>
      <c r="CM7" s="37" t="s">
        <v>47</v>
      </c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</row>
    <row r="8" spans="1:154" ht="15.75" customHeight="1" x14ac:dyDescent="0.2">
      <c r="A8" s="5"/>
      <c r="B8" s="37" t="s">
        <v>29</v>
      </c>
      <c r="C8" s="38"/>
      <c r="D8" s="36">
        <v>0</v>
      </c>
      <c r="E8" s="36">
        <v>100</v>
      </c>
      <c r="F8" s="38"/>
      <c r="G8" s="37" t="s">
        <v>48</v>
      </c>
      <c r="H8" s="36">
        <v>0</v>
      </c>
      <c r="I8" s="36">
        <v>0</v>
      </c>
      <c r="J8" s="36">
        <v>32</v>
      </c>
      <c r="K8" s="36">
        <v>10</v>
      </c>
      <c r="L8" s="36">
        <v>10</v>
      </c>
      <c r="M8" s="37" t="s">
        <v>49</v>
      </c>
      <c r="N8" s="38"/>
      <c r="O8" s="38"/>
      <c r="P8" s="38"/>
      <c r="Q8" s="38"/>
      <c r="R8" s="38"/>
      <c r="S8" s="37" t="s">
        <v>32</v>
      </c>
      <c r="T8" s="36">
        <v>0</v>
      </c>
      <c r="U8" s="36">
        <v>0</v>
      </c>
      <c r="V8" s="37" t="s">
        <v>50</v>
      </c>
      <c r="W8" s="36">
        <v>1</v>
      </c>
      <c r="X8" s="38"/>
      <c r="Y8" s="38"/>
      <c r="Z8" s="37" t="s">
        <v>51</v>
      </c>
      <c r="AA8" s="38"/>
      <c r="AB8" s="36">
        <v>1</v>
      </c>
      <c r="AC8" s="38"/>
      <c r="AD8" s="37" t="s">
        <v>48</v>
      </c>
      <c r="AE8" s="36">
        <v>100</v>
      </c>
      <c r="AF8" s="38"/>
      <c r="AG8" s="38"/>
      <c r="AH8" s="38" t="s">
        <v>36</v>
      </c>
      <c r="AI8" s="36">
        <v>10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6">
        <v>1000</v>
      </c>
      <c r="AU8" s="36">
        <v>100</v>
      </c>
      <c r="AV8" s="38"/>
      <c r="AW8" s="36">
        <v>0</v>
      </c>
      <c r="AX8" s="38"/>
      <c r="AY8" s="38"/>
      <c r="AZ8" s="36">
        <v>0</v>
      </c>
      <c r="BA8" s="38"/>
      <c r="BB8" s="38"/>
      <c r="BC8" s="38"/>
      <c r="BD8" s="38"/>
      <c r="BE8" s="36">
        <v>1000</v>
      </c>
      <c r="BF8" s="36">
        <v>100</v>
      </c>
      <c r="BG8" s="38"/>
      <c r="BH8" s="38"/>
      <c r="BI8" s="38"/>
      <c r="BJ8" s="36">
        <v>100</v>
      </c>
      <c r="BK8" s="36">
        <v>0</v>
      </c>
      <c r="BL8" s="38"/>
      <c r="BM8" s="37" t="s">
        <v>51</v>
      </c>
      <c r="BN8" s="38"/>
      <c r="BO8" s="37" t="s">
        <v>37</v>
      </c>
      <c r="BP8" s="36">
        <v>0</v>
      </c>
      <c r="BQ8" s="36">
        <v>0</v>
      </c>
      <c r="BR8" s="38"/>
      <c r="BS8" s="38"/>
      <c r="BT8" s="37" t="s">
        <v>52</v>
      </c>
      <c r="BU8" s="36">
        <v>0</v>
      </c>
      <c r="BV8" s="36">
        <v>0</v>
      </c>
      <c r="BW8" s="36">
        <v>0</v>
      </c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9" t="s">
        <v>39</v>
      </c>
      <c r="CI8" s="37" t="s">
        <v>37</v>
      </c>
      <c r="CJ8" s="38"/>
      <c r="CK8" s="37" t="s">
        <v>53</v>
      </c>
      <c r="CL8" s="36">
        <v>1</v>
      </c>
      <c r="CM8" s="37" t="s">
        <v>52</v>
      </c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</row>
    <row r="9" spans="1:154" ht="15.75" customHeight="1" x14ac:dyDescent="0.2">
      <c r="A9" s="5"/>
      <c r="B9" s="37" t="s">
        <v>54</v>
      </c>
      <c r="C9" s="38"/>
      <c r="D9" s="36">
        <v>0</v>
      </c>
      <c r="E9" s="36">
        <v>150</v>
      </c>
      <c r="F9" s="38"/>
      <c r="G9" s="37" t="s">
        <v>41</v>
      </c>
      <c r="H9" s="36">
        <v>0</v>
      </c>
      <c r="I9" s="36">
        <v>0</v>
      </c>
      <c r="J9" s="36">
        <v>12</v>
      </c>
      <c r="K9" s="36">
        <v>15</v>
      </c>
      <c r="L9" s="36">
        <v>15</v>
      </c>
      <c r="M9" s="40" t="s">
        <v>55</v>
      </c>
      <c r="N9" s="38"/>
      <c r="O9" s="38"/>
      <c r="P9" s="38"/>
      <c r="Q9" s="38"/>
      <c r="R9" s="38"/>
      <c r="S9" s="37" t="s">
        <v>32</v>
      </c>
      <c r="T9" s="36">
        <v>0</v>
      </c>
      <c r="U9" s="36">
        <v>0</v>
      </c>
      <c r="V9" s="37" t="s">
        <v>56</v>
      </c>
      <c r="W9" s="36">
        <v>100</v>
      </c>
      <c r="X9" s="38"/>
      <c r="Y9" s="38"/>
      <c r="Z9" s="37" t="s">
        <v>34</v>
      </c>
      <c r="AA9" s="38"/>
      <c r="AB9" s="36">
        <v>1</v>
      </c>
      <c r="AC9" s="38"/>
      <c r="AD9" s="37" t="s">
        <v>44</v>
      </c>
      <c r="AE9" s="36">
        <v>150</v>
      </c>
      <c r="AF9" s="38"/>
      <c r="AG9" s="38"/>
      <c r="AH9" s="38" t="s">
        <v>36</v>
      </c>
      <c r="AI9" s="36">
        <v>1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6">
        <v>225000</v>
      </c>
      <c r="AU9" s="36">
        <v>225000</v>
      </c>
      <c r="AV9" s="38"/>
      <c r="AW9" s="36">
        <v>0</v>
      </c>
      <c r="AX9" s="38"/>
      <c r="AY9" s="38"/>
      <c r="AZ9" s="36">
        <v>0</v>
      </c>
      <c r="BA9" s="38"/>
      <c r="BB9" s="38"/>
      <c r="BC9" s="38"/>
      <c r="BD9" s="38"/>
      <c r="BE9" s="36">
        <v>225000</v>
      </c>
      <c r="BF9" s="36">
        <v>225000</v>
      </c>
      <c r="BG9" s="38"/>
      <c r="BH9" s="38"/>
      <c r="BI9" s="38"/>
      <c r="BJ9" s="36">
        <v>150</v>
      </c>
      <c r="BK9" s="36">
        <v>0</v>
      </c>
      <c r="BL9" s="38"/>
      <c r="BM9" s="37" t="s">
        <v>34</v>
      </c>
      <c r="BN9" s="38"/>
      <c r="BO9" s="37" t="s">
        <v>45</v>
      </c>
      <c r="BP9" s="36">
        <v>0</v>
      </c>
      <c r="BQ9" s="36">
        <v>0</v>
      </c>
      <c r="BR9" s="38"/>
      <c r="BS9" s="38"/>
      <c r="BT9" s="37" t="s">
        <v>57</v>
      </c>
      <c r="BU9" s="36">
        <v>0</v>
      </c>
      <c r="BV9" s="36">
        <v>0</v>
      </c>
      <c r="BW9" s="36">
        <v>0</v>
      </c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9" t="s">
        <v>39</v>
      </c>
      <c r="CI9" s="37" t="s">
        <v>45</v>
      </c>
      <c r="CJ9" s="38"/>
      <c r="CK9" s="37" t="s">
        <v>40</v>
      </c>
      <c r="CL9" s="36">
        <v>1</v>
      </c>
      <c r="CM9" s="37" t="s">
        <v>58</v>
      </c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</row>
    <row r="10" spans="1:154" ht="15.75" customHeight="1" x14ac:dyDescent="0.2">
      <c r="A10" s="5"/>
      <c r="B10" s="37" t="s">
        <v>54</v>
      </c>
      <c r="C10" s="38"/>
      <c r="D10" s="36">
        <v>0</v>
      </c>
      <c r="E10" s="36">
        <v>100</v>
      </c>
      <c r="F10" s="38"/>
      <c r="G10" s="37" t="s">
        <v>30</v>
      </c>
      <c r="H10" s="36">
        <v>0</v>
      </c>
      <c r="I10" s="36">
        <v>0</v>
      </c>
      <c r="J10" s="36">
        <v>1</v>
      </c>
      <c r="K10" s="36">
        <v>10</v>
      </c>
      <c r="L10" s="36">
        <v>10</v>
      </c>
      <c r="M10" s="37" t="s">
        <v>59</v>
      </c>
      <c r="N10" s="38"/>
      <c r="O10" s="38"/>
      <c r="P10" s="38"/>
      <c r="Q10" s="38"/>
      <c r="R10" s="38"/>
      <c r="S10" s="37" t="s">
        <v>32</v>
      </c>
      <c r="T10" s="36">
        <v>0</v>
      </c>
      <c r="U10" s="36">
        <v>0</v>
      </c>
      <c r="V10" s="37" t="s">
        <v>60</v>
      </c>
      <c r="W10" s="36">
        <v>1</v>
      </c>
      <c r="X10" s="38"/>
      <c r="Y10" s="38"/>
      <c r="Z10" s="37" t="s">
        <v>34</v>
      </c>
      <c r="AA10" s="38"/>
      <c r="AB10" s="36">
        <v>1</v>
      </c>
      <c r="AC10" s="38"/>
      <c r="AD10" s="37" t="s">
        <v>35</v>
      </c>
      <c r="AE10" s="36">
        <v>100</v>
      </c>
      <c r="AF10" s="38"/>
      <c r="AG10" s="38"/>
      <c r="AH10" s="38" t="s">
        <v>36</v>
      </c>
      <c r="AI10" s="36">
        <v>1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6">
        <v>1000</v>
      </c>
      <c r="AU10" s="36">
        <v>1000</v>
      </c>
      <c r="AV10" s="38"/>
      <c r="AW10" s="36">
        <v>0</v>
      </c>
      <c r="AX10" s="38"/>
      <c r="AY10" s="38"/>
      <c r="AZ10" s="36">
        <v>0</v>
      </c>
      <c r="BA10" s="38"/>
      <c r="BB10" s="38"/>
      <c r="BC10" s="38"/>
      <c r="BD10" s="38"/>
      <c r="BE10" s="36">
        <v>1000</v>
      </c>
      <c r="BF10" s="36">
        <v>1000</v>
      </c>
      <c r="BG10" s="38"/>
      <c r="BH10" s="38"/>
      <c r="BI10" s="38"/>
      <c r="BJ10" s="36">
        <v>100</v>
      </c>
      <c r="BK10" s="36">
        <v>0</v>
      </c>
      <c r="BL10" s="38"/>
      <c r="BM10" s="37" t="s">
        <v>34</v>
      </c>
      <c r="BN10" s="38"/>
      <c r="BO10" s="37" t="s">
        <v>37</v>
      </c>
      <c r="BP10" s="36">
        <v>0</v>
      </c>
      <c r="BQ10" s="36">
        <v>0</v>
      </c>
      <c r="BR10" s="38"/>
      <c r="BS10" s="38"/>
      <c r="BT10" s="37" t="s">
        <v>61</v>
      </c>
      <c r="BU10" s="36">
        <v>0</v>
      </c>
      <c r="BV10" s="36">
        <v>0</v>
      </c>
      <c r="BW10" s="36">
        <v>0</v>
      </c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9" t="s">
        <v>39</v>
      </c>
      <c r="CI10" s="37" t="s">
        <v>37</v>
      </c>
      <c r="CJ10" s="38"/>
      <c r="CK10" s="37" t="s">
        <v>40</v>
      </c>
      <c r="CL10" s="36">
        <v>1</v>
      </c>
      <c r="CM10" s="37" t="s">
        <v>61</v>
      </c>
      <c r="CN10" s="38"/>
      <c r="CO10" s="38"/>
      <c r="CP10" s="38"/>
      <c r="CQ10" s="38"/>
      <c r="CR10" s="38"/>
      <c r="CS10" s="38"/>
      <c r="CT10" s="38"/>
      <c r="CU10" s="38"/>
      <c r="CV10" s="38"/>
      <c r="CW10" s="41"/>
      <c r="CX10" s="41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4"/>
      <c r="B1" s="48" t="s">
        <v>11</v>
      </c>
      <c r="C1" s="49"/>
      <c r="D1" s="49"/>
      <c r="E1" s="49"/>
      <c r="F1" s="49"/>
      <c r="G1" s="49"/>
      <c r="H1" s="5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62</v>
      </c>
      <c r="D3" s="2" t="s">
        <v>9</v>
      </c>
      <c r="E3" s="18" t="s">
        <v>63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42"/>
      <c r="C6" s="42" t="s">
        <v>38</v>
      </c>
      <c r="D6" s="43">
        <v>200</v>
      </c>
      <c r="E6" s="42" t="s">
        <v>29</v>
      </c>
      <c r="F6" s="42" t="s">
        <v>64</v>
      </c>
      <c r="G6" s="43">
        <v>20</v>
      </c>
      <c r="H6" s="42" t="s">
        <v>65</v>
      </c>
      <c r="I6" s="43">
        <v>0</v>
      </c>
      <c r="J6" s="42"/>
      <c r="K6" s="43">
        <v>0</v>
      </c>
      <c r="L6" s="42"/>
      <c r="M6" s="42"/>
      <c r="N6" s="43">
        <v>-4000</v>
      </c>
      <c r="O6" s="42"/>
      <c r="P6" s="42" t="s">
        <v>66</v>
      </c>
      <c r="Q6" s="44">
        <v>-4000</v>
      </c>
      <c r="R6" s="42"/>
      <c r="S6" s="42"/>
      <c r="T6" s="45" t="s">
        <v>30</v>
      </c>
      <c r="U6" s="45" t="s">
        <v>40</v>
      </c>
      <c r="V6" s="45" t="s">
        <v>35</v>
      </c>
      <c r="W6" s="45" t="s">
        <v>34</v>
      </c>
      <c r="X6" s="45"/>
      <c r="Y6" s="46">
        <v>1</v>
      </c>
      <c r="Z6" s="45"/>
      <c r="AA6" s="45"/>
      <c r="AB6" s="46">
        <v>0</v>
      </c>
      <c r="AC6" s="46">
        <v>0</v>
      </c>
      <c r="AD6" s="46">
        <v>0</v>
      </c>
      <c r="AE6" s="46">
        <v>0</v>
      </c>
      <c r="AF6" s="46">
        <v>200</v>
      </c>
      <c r="AG6" s="46">
        <v>0</v>
      </c>
      <c r="AH6" s="46">
        <v>0</v>
      </c>
      <c r="AI6" s="46">
        <v>0</v>
      </c>
      <c r="AJ6" s="46">
        <v>0</v>
      </c>
      <c r="AK6" s="46">
        <v>-4000</v>
      </c>
      <c r="AL6" s="46">
        <v>1</v>
      </c>
      <c r="AM6" s="46">
        <v>1</v>
      </c>
      <c r="AN6" s="45" t="s">
        <v>37</v>
      </c>
      <c r="AO6" s="45"/>
      <c r="AP6" s="45" t="s">
        <v>67</v>
      </c>
      <c r="AQ6" s="45" t="s">
        <v>38</v>
      </c>
      <c r="AR6" s="46">
        <v>0</v>
      </c>
      <c r="AS6" s="46">
        <v>1</v>
      </c>
      <c r="AT6" s="45"/>
      <c r="AU6" s="45"/>
      <c r="AV6" s="46">
        <v>1</v>
      </c>
      <c r="AW6" s="46">
        <v>-4000</v>
      </c>
      <c r="AX6" s="46">
        <v>0</v>
      </c>
      <c r="AY6" s="46">
        <v>0</v>
      </c>
      <c r="AZ6" s="46">
        <v>0</v>
      </c>
      <c r="BA6" s="46">
        <v>-100</v>
      </c>
      <c r="BB6" s="45"/>
      <c r="BC6" s="46">
        <v>1</v>
      </c>
      <c r="BD6" s="46">
        <v>-4000</v>
      </c>
      <c r="BE6" s="45"/>
      <c r="BF6" s="45"/>
      <c r="BG6" s="45"/>
      <c r="BH6" s="45"/>
      <c r="BI6" s="45"/>
      <c r="BJ6" s="46">
        <v>0</v>
      </c>
      <c r="BK6" s="46">
        <v>0</v>
      </c>
      <c r="BL6" s="46">
        <v>0</v>
      </c>
      <c r="BM6" s="46">
        <v>0</v>
      </c>
      <c r="BN6" s="45"/>
      <c r="BO6" s="46">
        <v>-4000</v>
      </c>
      <c r="BP6" s="45"/>
      <c r="BQ6" s="45"/>
      <c r="BR6" s="45"/>
      <c r="BS6" s="46">
        <v>0</v>
      </c>
      <c r="BT6" s="46">
        <v>0</v>
      </c>
      <c r="BU6" s="45" t="s">
        <v>30</v>
      </c>
      <c r="BV6" s="45"/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5"/>
      <c r="CC6" s="46">
        <v>0</v>
      </c>
      <c r="CD6" s="46">
        <v>-4000</v>
      </c>
      <c r="CE6" s="46">
        <v>0</v>
      </c>
      <c r="CF6" s="46">
        <v>0</v>
      </c>
      <c r="CG6" s="46">
        <v>-4000</v>
      </c>
      <c r="CH6" s="46">
        <v>-100</v>
      </c>
      <c r="CI6" s="46">
        <v>0</v>
      </c>
      <c r="CJ6" s="46">
        <v>0</v>
      </c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</row>
    <row r="7" spans="1:168" ht="15.75" customHeight="1" x14ac:dyDescent="0.2">
      <c r="A7" s="5"/>
      <c r="B7" s="45"/>
      <c r="C7" s="45" t="s">
        <v>46</v>
      </c>
      <c r="D7" s="47">
        <v>-150</v>
      </c>
      <c r="E7" s="45" t="s">
        <v>29</v>
      </c>
      <c r="F7" s="45" t="s">
        <v>64</v>
      </c>
      <c r="G7" s="47">
        <v>15</v>
      </c>
      <c r="H7" s="45" t="s">
        <v>68</v>
      </c>
      <c r="I7" s="47">
        <v>0</v>
      </c>
      <c r="J7" s="45"/>
      <c r="K7" s="47">
        <v>0</v>
      </c>
      <c r="L7" s="45"/>
      <c r="M7" s="45"/>
      <c r="N7" s="47">
        <v>225000</v>
      </c>
      <c r="O7" s="45"/>
      <c r="P7" s="45" t="s">
        <v>66</v>
      </c>
      <c r="Q7" s="46">
        <v>225000</v>
      </c>
      <c r="R7" s="45"/>
      <c r="S7" s="45"/>
      <c r="T7" s="45" t="s">
        <v>41</v>
      </c>
      <c r="U7" s="45" t="s">
        <v>40</v>
      </c>
      <c r="V7" s="45" t="s">
        <v>44</v>
      </c>
      <c r="W7" s="45" t="s">
        <v>34</v>
      </c>
      <c r="X7" s="45"/>
      <c r="Y7" s="46">
        <v>1</v>
      </c>
      <c r="Z7" s="45"/>
      <c r="AA7" s="45"/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225000</v>
      </c>
      <c r="AL7" s="46">
        <v>0</v>
      </c>
      <c r="AM7" s="46">
        <v>1</v>
      </c>
      <c r="AN7" s="45" t="s">
        <v>45</v>
      </c>
      <c r="AO7" s="45"/>
      <c r="AP7" s="45" t="s">
        <v>67</v>
      </c>
      <c r="AQ7" s="45" t="s">
        <v>47</v>
      </c>
      <c r="AR7" s="46">
        <v>0</v>
      </c>
      <c r="AS7" s="46">
        <v>-1</v>
      </c>
      <c r="AT7" s="45"/>
      <c r="AU7" s="45"/>
      <c r="AV7" s="46">
        <v>1</v>
      </c>
      <c r="AW7" s="46">
        <v>225000</v>
      </c>
      <c r="AX7" s="46">
        <v>0</v>
      </c>
      <c r="AY7" s="46">
        <v>0</v>
      </c>
      <c r="AZ7" s="46">
        <v>0</v>
      </c>
      <c r="BA7" s="46">
        <v>100</v>
      </c>
      <c r="BB7" s="45"/>
      <c r="BC7" s="46">
        <v>1</v>
      </c>
      <c r="BD7" s="46">
        <v>225000</v>
      </c>
      <c r="BE7" s="45"/>
      <c r="BF7" s="45"/>
      <c r="BG7" s="45"/>
      <c r="BH7" s="45"/>
      <c r="BI7" s="45"/>
      <c r="BJ7" s="46">
        <v>0</v>
      </c>
      <c r="BK7" s="46">
        <v>0</v>
      </c>
      <c r="BL7" s="46">
        <v>0</v>
      </c>
      <c r="BM7" s="46">
        <v>0</v>
      </c>
      <c r="BN7" s="45"/>
      <c r="BO7" s="46">
        <v>225000</v>
      </c>
      <c r="BP7" s="45"/>
      <c r="BQ7" s="45"/>
      <c r="BR7" s="45"/>
      <c r="BS7" s="46">
        <v>0</v>
      </c>
      <c r="BT7" s="46">
        <v>0</v>
      </c>
      <c r="BU7" s="45" t="s">
        <v>69</v>
      </c>
      <c r="BV7" s="45"/>
      <c r="BW7" s="46">
        <v>95</v>
      </c>
      <c r="BX7" s="46">
        <v>0</v>
      </c>
      <c r="BY7" s="46">
        <v>0</v>
      </c>
      <c r="BZ7" s="46">
        <v>0</v>
      </c>
      <c r="CA7" s="46">
        <v>0</v>
      </c>
      <c r="CB7" s="45"/>
      <c r="CC7" s="46">
        <v>0</v>
      </c>
      <c r="CD7" s="46">
        <v>225000</v>
      </c>
      <c r="CE7" s="46">
        <v>0</v>
      </c>
      <c r="CF7" s="46">
        <v>0</v>
      </c>
      <c r="CG7" s="46">
        <v>225000</v>
      </c>
      <c r="CH7" s="46">
        <v>100</v>
      </c>
      <c r="CI7" s="46">
        <v>0</v>
      </c>
      <c r="CJ7" s="46">
        <v>0</v>
      </c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</row>
    <row r="8" spans="1:168" ht="15.75" customHeight="1" x14ac:dyDescent="0.2">
      <c r="A8" s="5"/>
      <c r="B8" s="45"/>
      <c r="C8" s="45" t="s">
        <v>61</v>
      </c>
      <c r="D8" s="47">
        <v>100</v>
      </c>
      <c r="E8" s="45" t="s">
        <v>54</v>
      </c>
      <c r="F8" s="45" t="s">
        <v>70</v>
      </c>
      <c r="G8" s="47">
        <v>10</v>
      </c>
      <c r="H8" s="45" t="s">
        <v>65</v>
      </c>
      <c r="I8" s="47">
        <v>0</v>
      </c>
      <c r="J8" s="45"/>
      <c r="K8" s="47">
        <v>0</v>
      </c>
      <c r="L8" s="45"/>
      <c r="M8" s="45"/>
      <c r="N8" s="47">
        <v>-1000</v>
      </c>
      <c r="O8" s="45"/>
      <c r="P8" s="45" t="s">
        <v>66</v>
      </c>
      <c r="Q8" s="46">
        <v>-1000</v>
      </c>
      <c r="R8" s="45"/>
      <c r="S8" s="45"/>
      <c r="T8" s="45" t="s">
        <v>30</v>
      </c>
      <c r="U8" s="45" t="s">
        <v>40</v>
      </c>
      <c r="V8" s="45" t="s">
        <v>35</v>
      </c>
      <c r="W8" s="45" t="s">
        <v>34</v>
      </c>
      <c r="X8" s="45"/>
      <c r="Y8" s="46">
        <v>1</v>
      </c>
      <c r="Z8" s="45"/>
      <c r="AA8" s="45"/>
      <c r="AB8" s="46">
        <v>0</v>
      </c>
      <c r="AC8" s="46">
        <v>0</v>
      </c>
      <c r="AD8" s="46">
        <v>0</v>
      </c>
      <c r="AE8" s="46">
        <v>0</v>
      </c>
      <c r="AF8" s="46">
        <v>100</v>
      </c>
      <c r="AG8" s="46">
        <v>0</v>
      </c>
      <c r="AH8" s="46">
        <v>0</v>
      </c>
      <c r="AI8" s="46">
        <v>0</v>
      </c>
      <c r="AJ8" s="46">
        <v>0</v>
      </c>
      <c r="AK8" s="46">
        <v>-1000</v>
      </c>
      <c r="AL8" s="46">
        <v>1</v>
      </c>
      <c r="AM8" s="46">
        <v>1</v>
      </c>
      <c r="AN8" s="45" t="s">
        <v>37</v>
      </c>
      <c r="AO8" s="45"/>
      <c r="AP8" s="45" t="s">
        <v>67</v>
      </c>
      <c r="AQ8" s="45" t="s">
        <v>61</v>
      </c>
      <c r="AR8" s="46">
        <v>0</v>
      </c>
      <c r="AS8" s="46">
        <v>1</v>
      </c>
      <c r="AT8" s="45"/>
      <c r="AU8" s="45"/>
      <c r="AV8" s="46">
        <v>1</v>
      </c>
      <c r="AW8" s="46">
        <v>-1000</v>
      </c>
      <c r="AX8" s="46">
        <v>0</v>
      </c>
      <c r="AY8" s="46">
        <v>0</v>
      </c>
      <c r="AZ8" s="46">
        <v>0</v>
      </c>
      <c r="BA8" s="46">
        <v>-100</v>
      </c>
      <c r="BB8" s="45"/>
      <c r="BC8" s="46">
        <v>1</v>
      </c>
      <c r="BD8" s="46">
        <v>-1000</v>
      </c>
      <c r="BE8" s="45"/>
      <c r="BF8" s="45"/>
      <c r="BG8" s="45"/>
      <c r="BH8" s="45"/>
      <c r="BI8" s="45"/>
      <c r="BJ8" s="46">
        <v>0</v>
      </c>
      <c r="BK8" s="46">
        <v>0</v>
      </c>
      <c r="BL8" s="46">
        <v>0</v>
      </c>
      <c r="BM8" s="46">
        <v>0</v>
      </c>
      <c r="BN8" s="45"/>
      <c r="BO8" s="46">
        <v>-1000</v>
      </c>
      <c r="BP8" s="45"/>
      <c r="BQ8" s="45"/>
      <c r="BR8" s="45"/>
      <c r="BS8" s="46">
        <v>0</v>
      </c>
      <c r="BT8" s="46">
        <v>0</v>
      </c>
      <c r="BU8" s="45" t="s">
        <v>30</v>
      </c>
      <c r="BV8" s="45"/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5"/>
      <c r="CC8" s="46">
        <v>0</v>
      </c>
      <c r="CD8" s="46">
        <v>-1000</v>
      </c>
      <c r="CE8" s="46">
        <v>0</v>
      </c>
      <c r="CF8" s="46">
        <v>0</v>
      </c>
      <c r="CG8" s="46">
        <v>-1000</v>
      </c>
      <c r="CH8" s="46">
        <v>-100</v>
      </c>
      <c r="CI8" s="46">
        <v>0</v>
      </c>
      <c r="CJ8" s="46">
        <v>0</v>
      </c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1"/>
      <c r="EK8" s="41"/>
      <c r="EL8" s="41"/>
    </row>
    <row r="9" spans="1:168" ht="15.75" customHeight="1" x14ac:dyDescent="0.2">
      <c r="A9" s="5"/>
      <c r="B9" s="45"/>
      <c r="C9" s="45" t="s">
        <v>57</v>
      </c>
      <c r="D9" s="47">
        <v>-150</v>
      </c>
      <c r="E9" s="45" t="s">
        <v>54</v>
      </c>
      <c r="F9" s="45" t="s">
        <v>70</v>
      </c>
      <c r="G9" s="47">
        <v>15</v>
      </c>
      <c r="H9" s="45" t="s">
        <v>68</v>
      </c>
      <c r="I9" s="47">
        <v>0</v>
      </c>
      <c r="J9" s="45"/>
      <c r="K9" s="47">
        <v>0</v>
      </c>
      <c r="L9" s="45"/>
      <c r="M9" s="45"/>
      <c r="N9" s="47">
        <v>225000</v>
      </c>
      <c r="O9" s="45"/>
      <c r="P9" s="45" t="s">
        <v>66</v>
      </c>
      <c r="Q9" s="46">
        <v>225000</v>
      </c>
      <c r="R9" s="45"/>
      <c r="S9" s="45"/>
      <c r="T9" s="45" t="s">
        <v>41</v>
      </c>
      <c r="U9" s="45" t="s">
        <v>40</v>
      </c>
      <c r="V9" s="45" t="s">
        <v>44</v>
      </c>
      <c r="W9" s="45" t="s">
        <v>34</v>
      </c>
      <c r="X9" s="45"/>
      <c r="Y9" s="46">
        <v>1</v>
      </c>
      <c r="Z9" s="45"/>
      <c r="AA9" s="45"/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225000</v>
      </c>
      <c r="AL9" s="46">
        <v>0</v>
      </c>
      <c r="AM9" s="46">
        <v>1</v>
      </c>
      <c r="AN9" s="45" t="s">
        <v>45</v>
      </c>
      <c r="AO9" s="45"/>
      <c r="AP9" s="45" t="s">
        <v>67</v>
      </c>
      <c r="AQ9" s="45" t="s">
        <v>58</v>
      </c>
      <c r="AR9" s="46">
        <v>0</v>
      </c>
      <c r="AS9" s="46">
        <v>-1</v>
      </c>
      <c r="AT9" s="45"/>
      <c r="AU9" s="45"/>
      <c r="AV9" s="46">
        <v>1</v>
      </c>
      <c r="AW9" s="46">
        <v>225000</v>
      </c>
      <c r="AX9" s="46">
        <v>0</v>
      </c>
      <c r="AY9" s="46">
        <v>0</v>
      </c>
      <c r="AZ9" s="46">
        <v>0</v>
      </c>
      <c r="BA9" s="46">
        <v>100</v>
      </c>
      <c r="BB9" s="45"/>
      <c r="BC9" s="46">
        <v>1</v>
      </c>
      <c r="BD9" s="46">
        <v>225000</v>
      </c>
      <c r="BE9" s="45"/>
      <c r="BF9" s="45"/>
      <c r="BG9" s="45"/>
      <c r="BH9" s="45"/>
      <c r="BI9" s="45"/>
      <c r="BJ9" s="46">
        <v>0</v>
      </c>
      <c r="BK9" s="46">
        <v>0</v>
      </c>
      <c r="BL9" s="46">
        <v>0</v>
      </c>
      <c r="BM9" s="46">
        <v>0</v>
      </c>
      <c r="BN9" s="45"/>
      <c r="BO9" s="46">
        <v>225000</v>
      </c>
      <c r="BP9" s="45"/>
      <c r="BQ9" s="45"/>
      <c r="BR9" s="45"/>
      <c r="BS9" s="46">
        <v>0</v>
      </c>
      <c r="BT9" s="46">
        <v>0</v>
      </c>
      <c r="BU9" s="45" t="s">
        <v>69</v>
      </c>
      <c r="BV9" s="45"/>
      <c r="BW9" s="46">
        <v>20</v>
      </c>
      <c r="BX9" s="46">
        <v>0</v>
      </c>
      <c r="BY9" s="46">
        <v>0</v>
      </c>
      <c r="BZ9" s="46">
        <v>0</v>
      </c>
      <c r="CA9" s="46">
        <v>0</v>
      </c>
      <c r="CB9" s="45"/>
      <c r="CC9" s="46">
        <v>0</v>
      </c>
      <c r="CD9" s="46">
        <v>225000</v>
      </c>
      <c r="CE9" s="46">
        <v>0</v>
      </c>
      <c r="CF9" s="46">
        <v>0</v>
      </c>
      <c r="CG9" s="46">
        <v>225000</v>
      </c>
      <c r="CH9" s="46">
        <v>100</v>
      </c>
      <c r="CI9" s="46">
        <v>0</v>
      </c>
      <c r="CJ9" s="46">
        <v>0</v>
      </c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1"/>
      <c r="EK9" s="41"/>
      <c r="EL9" s="41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SetTTGeneralPreferences</vt:lpstr>
      <vt:lpstr>ImportSymbol</vt:lpstr>
      <vt:lpstr>Import</vt:lpstr>
      <vt:lpstr>SelectAllOnImport</vt:lpstr>
      <vt:lpstr>SetTTGeneralPreferences1</vt:lpstr>
      <vt:lpstr>ImportSymbol1</vt:lpstr>
      <vt:lpstr>Import1</vt:lpstr>
      <vt:lpstr>SelectAllOnImport1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2021-08-04T11:10:50Z</dcterms:modified>
</cp:coreProperties>
</file>