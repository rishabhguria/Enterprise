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GeneralPreferences" sheetId="5" r:id="rId7"/>
    <sheet state="visible" name="CustomOrderTT1" sheetId="6" r:id="rId8"/>
    <sheet state="visible" name="SelectUnallocatedGroup" sheetId="7" r:id="rId9"/>
    <sheet state="visible" name="EnterAccountValuesToAllocate" sheetId="8" r:id="rId10"/>
    <sheet state="visible" name="SelectAllocatedGroup" sheetId="9" r:id="rId11"/>
    <sheet state="visible" name="ReviewExistingPositions" sheetId="10" r:id="rId12"/>
    <sheet state="visible" name="SelectUnallocatedGroup1" sheetId="11" r:id="rId13"/>
    <sheet state="visible" name="SelectAllocatedGroup1" sheetId="12" r:id="rId14"/>
    <sheet state="visible" name="ReviewExistingPositions1" sheetId="13" r:id="rId15"/>
    <sheet state="visible" name="Copy of Data" sheetId="14" r:id="rId16"/>
    <sheet state="visible" name="Copy of Data 1" sheetId="15" r:id="rId17"/>
  </sheets>
  <calcPr fullCalcOnLoad="1" fullPrecision="1"/>
</workbook>
</file>

<file path=xl/sharedStrings.xml><?xml version="1.0" encoding="utf-8"?>
<sst xmlns="http://schemas.openxmlformats.org/spreadsheetml/2006/main" count="38" uniqueCount="38">
  <si>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</si>
  <si>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</si>
  <si>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</si>
  <si>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</si>
  <si>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</si>
  <si>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</si>
  <si>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</si>
  <si>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</si>
  <si>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</si>
  <si>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</si>
  <si>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</si>
  <si>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</si>
  <si>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</si>
  <si>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</si>
  <si>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</si>
  <si>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</si>
  <si>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</si>
  <si>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 Away</t>
  </si>
  <si>
    <t>Sell</t>
  </si>
  <si>
    <t>Allocation1,Allocation2</t>
  </si>
  <si>
    <t>70,30</t>
  </si>
  <si>
    <t>IBM</t>
  </si>
  <si>
    <t>Allocation2</t>
  </si>
  <si>
    <t>Allocation</t>
  </si>
  <si>
    <t>SetGeneralPreferences</t>
  </si>
  <si>
    <t>Trade Quantity</t>
  </si>
  <si>
    <t>Current Preference</t>
  </si>
  <si>
    <t>Unallocated</t>
  </si>
  <si>
    <t>Buy to Close</t>
  </si>
  <si>
    <t>Sell short</t>
  </si>
  <si>
    <t>SelectUnallocatedGroup</t>
  </si>
  <si>
    <t>EnterAccountValuesToAllocate</t>
  </si>
  <si>
    <t>Allocation1</t>
  </si>
  <si>
    <t>SelectAllocatedGroup</t>
  </si>
  <si>
    <t>ReviewExistingPositions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</si>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</sst>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36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5" applyFont="1" fillId="0" borderId="0" xfId="0" applyAlignment="1"/>
    <xf numFmtId="0" fontId="3" applyFont="1" fillId="0" borderId="0" xfId="0" applyAlignment="1"/>
    <xf numFmtId="0" fontId="3" applyFont="1" fillId="0" borderId="0" xfId="0" applyAlignment="1"/>
    <xf numFmtId="0" fontId="3" applyFont="1" fillId="0" borderId="0" xfId="0" applyAlignment="1">
      <alignment horizontal="center"/>
    </xf>
    <xf numFmtId="0" fontId="5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79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IFERROR(__xludf.DUMMYFUNCTION("""COMPUTED_VALUE"""),"1pIqb45gaTMZAVl6ZTIr9XBk4KURb-nsLncnz6oXfhbs")</f>
        <v>1pIqb45gaTMZAVl6ZTIr9XBk4KURb-nsLncnz6oXfhbs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IFERROR(__xludf.DUMMYFUNCTION("""COMPUTED_VALUE"""),"1p-jiDGPGYwCR90lkSnOJde0bJTbS9VRZ-owO733geR8")</f>
        <v>1p-jiDGPGYwCR90lkSnOJde0bJTbS9VRZ-owO733geR8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IFERROR(__xludf.DUMMYFUNCTION("""COMPUTED_VALUE"""),"1lkSiBclw-Nrw61K0j2t1vOsiLqNO8ejgCPuA23bupec")</f>
        <v>1lkSiBclw-Nrw61K0j2t1vOsiLqNO8ejgCPuA23bupec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IFERROR(__xludf.DUMMYFUNCTION("""COMPUTED_VALUE"""),"1KZmCs4XZYKInO0g2s3RZpteE670ImER8luciQluLB8Q")</f>
        <v>1KZmCs4XZYKInO0g2s3RZpteE670ImER8luciQluLB8Q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IFERROR(__xludf.DUMMYFUNCTION("""COMPUTED_VALUE"""),"1wokLkQCDTR1Moa2-CJdvv9EBpX8uIBke1ynZq7Am8Qo")</f>
        <v>1wokLkQCDTR1Moa2-CJdvv9EBpX8uIBke1ynZq7Am8Qo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IFERROR(__xludf.DUMMYFUNCTION("""COMPUTED_VALUE"""),"1pwqFJvfA5qKkD2Qmt-A4AWYNSsLomMIhtyww_eUX__s")</f>
        <v>1pwqFJvfA5qKkD2Qmt-A4AWYNSsLomMIhtyww_eUX__s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IFERROR(__xludf.DUMMYFUNCTION("""COMPUTED_VALUE"""),"PTT")</f>
        <v>PTT</v>
      </c>
      <c r="B788" s="0" t="str">
        <f>IFERROR(__xludf.DUMMYFUNCTION("""COMPUTED_VALUE"""),"OperationsonPTT")</f>
        <v>OperationsonPTT</v>
      </c>
      <c r="C788" s="0" t="str">
        <f>IFERROR(__xludf.DUMMYFUNCTION("""COMPUTED_VALUE"""),"1J40rCXEDilLEF_x0Wkeeg1lwGfejucV1VSY9UcyeSlw")</f>
        <v>1J40rCXEDilLEF_x0Wkeeg1lwGfejucV1VSY9UcyeSlw</v>
      </c>
    </row>
    <row r="789" ht="15.75" customHeight="1">
      <c r="A789" s="0" t="str">
        <f>IFERROR(__xludf.DUMMYFUNCTION("""COMPUTED_VALUE"""),"PricingInput")</f>
        <v>PricingInput</v>
      </c>
      <c r="B789" s="0" t="str">
        <f>IFERROR(__xludf.DUMMYFUNCTION("""COMPUTED_VALUE"""),"UpdatePricingInput")</f>
        <v>UpdatePricingInput</v>
      </c>
      <c r="C789" s="0" t="str">
        <f>IFERROR(__xludf.DUMMYFUNCTION("""COMPUTED_VALUE"""),"1CG9iYOkRKzlGEsKh7QuEyMdGRQea_W4KDWwlnjE2BdE")</f>
        <v>1CG9iYOkRKzlGEsKh7QuEyMdGRQea_W4KDWwlnjE2BdE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IFERROR(__xludf.DUMMYFUNCTION("""COMPUTED_VALUE"""),"ImportOnRB")</f>
        <v>ImportOnRB</v>
      </c>
      <c r="C790" s="0" t="str">
        <f>IFERROR(__xludf.DUMMYFUNCTION("""COMPUTED_VALUE"""),"1EntkiGIsU6aSZPpMKhixdhGFyyVCmlI1jMgvbCFq3oM")</f>
        <v>1EntkiGIsU6aSZPpMKhixdhGFyyVCmlI1jMgvbCFq3oM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IFERROR(__xludf.DUMMYFUNCTION("""COMPUTED_VALUE"""),"ActionOnRSAImportGrid")</f>
        <v>ActionOnRSAImportGrid</v>
      </c>
      <c r="C791" s="0" t="str">
        <f>IFERROR(__xludf.DUMMYFUNCTION("""COMPUTED_VALUE"""),"1qyFUqeWV7-Gy2PHnDNHGdUCBuvTKxxZhflKe9pguJEE")</f>
        <v>1qyFUqeWV7-Gy2PHnDNHGdUCBuvTKxxZhflKe9pguJEE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IFERROR(__xludf.DUMMYFUNCTION("""COMPUTED_VALUE"""),"VerifyImportGridRBForInvalidSec")</f>
        <v>VerifyImportGridRBForInvalidSec</v>
      </c>
      <c r="C792" s="0" t="str">
        <f>IFERROR(__xludf.DUMMYFUNCTION("""COMPUTED_VALUE"""),"13tlfzcOYlxn2sOASC-JNdqZmR9A1Cesa2Ah5348pLN8")</f>
        <v>13tlfzcOYlxn2sOASC-JNdqZmR9A1Cesa2Ah5348pLN8</v>
      </c>
    </row>
    <row r="793" ht="15.75" customHeight="1">
      <c r="A793" s="0" t="str">
        <f>IFERROR(__xludf.DUMMYFUNCTION("""COMPUTED_VALUE"""),"Rebalancer")</f>
        <v>Rebalancer</v>
      </c>
      <c r="B793" s="0" t="str">
        <f>IFERROR(__xludf.DUMMYFUNCTION("""COMPUTED_VALUE"""),"VerifyImportGridRBForValidSec")</f>
        <v>VerifyImportGridRBForValidSec</v>
      </c>
      <c r="C793" s="0" t="str">
        <f>IFERROR(__xludf.DUMMYFUNCTION("""COMPUTED_VALUE"""),"1KiLapuRaYEZfokVV1TZf8gTWNe8d9PblbpJsN983CaI")</f>
        <v>1KiLapuRaYEZfokVV1TZf8gTWNe8d9PblbpJsN983CaI</v>
      </c>
    </row>
    <row r="794" ht="15.75" customHeight="1">
      <c r="A794" s="0" t="str">
        <f>IFERROR(__xludf.DUMMYFUNCTION("""COMPUTED_VALUE"""),"Import")</f>
        <v>Import</v>
      </c>
      <c r="B794" s="0" t="str">
        <f>IFERROR(__xludf.DUMMYFUNCTION("""COMPUTED_VALUE"""),"ActionOnImport")</f>
        <v>ActionOnImport</v>
      </c>
      <c r="C794" s="0" t="str">
        <f>IFERROR(__xludf.DUMMYFUNCTION("""COMPUTED_VALUE"""),"1YM2boQt7BrzysPpsUbIqt27cfA6-btDPEZntG5NhBUc")</f>
        <v>1YM2boQt7BrzysPpsUbIqt27cfA6-btDPEZntG5NhBUc</v>
      </c>
    </row>
    <row r="795" ht="15.75" customHeight="1">
      <c r="A795" s="0" t="str">
        <f>IFERROR(__xludf.DUMMYFUNCTION("""COMPUTED_VALUE"""),"Import")</f>
        <v>Import</v>
      </c>
      <c r="B795" s="0" t="str">
        <f>IFERROR(__xludf.DUMMYFUNCTION("""COMPUTED_VALUE"""),"ValidateImportPositions")</f>
        <v>ValidateImportPositions</v>
      </c>
      <c r="C795" s="0" t="str">
        <f>IFERROR(__xludf.DUMMYFUNCTION("""COMPUTED_VALUE"""),"1ApMxUfr4smtwBJX_cppynzY1M99QXnDpTRjevjraQtA")</f>
        <v>1ApMxUfr4smtwBJX_cppynzY1M99QXnDpTRjevjraQtA</v>
      </c>
    </row>
    <row r="796" ht="15.75" customHeight="1">
      <c r="A796" s="0" t="str">
        <f>IFERROR(__xludf.DUMMYFUNCTION("""COMPUTED_VALUE"""),"DailyValuation")</f>
        <v>DailyValuation</v>
      </c>
      <c r="B796" s="0" t="str">
        <f>IFERROR(__xludf.DUMMYFUNCTION("""COMPUTED_VALUE"""),"UpdateMPAndFC")</f>
        <v>UpdateMPAndFC</v>
      </c>
      <c r="C796" s="0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</v>
      </c>
      <c r="D6" s="13">
        <v>12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P6" s="9" t="s">
        <v>19</v>
      </c>
      <c r="Q6" s="9" t="s">
        <v>20</v>
      </c>
    </row>
    <row r="7" ht="15.75" customHeight="1">
      <c r="A7" s="8"/>
      <c r="B7" s="13" t="s">
        <v>21</v>
      </c>
      <c r="C7" s="13">
        <v>3.23</v>
      </c>
      <c r="D7" s="13">
        <v>12</v>
      </c>
      <c r="E7" s="31" t="s">
        <v>17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</row>
    <row r="8" ht="15.75" customHeight="1">
      <c r="A8" s="8"/>
      <c r="B8" s="13" t="s">
        <v>21</v>
      </c>
      <c r="C8" s="13">
        <v>103</v>
      </c>
      <c r="D8" s="13">
        <v>12</v>
      </c>
      <c r="E8" s="31" t="s">
        <v>17</v>
      </c>
      <c r="F8" s="8"/>
      <c r="G8" s="8"/>
      <c r="H8" s="8"/>
      <c r="I8" s="13" t="s">
        <v>22</v>
      </c>
      <c r="J8" s="13" t="s">
        <v>18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8C02931-20E1-447B-8669-2EDAB6BBBC7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894468A3-6647-4704-B115-10CB78BFCD9A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878800C6-EC81-4208-8C1F-6CE24AE430FC}">
          <x14:formula1>
            <xm:f>CustomOrderTT!$4:$4</xm:f>
          </x14:formula1>
          <xm:sqref>E3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/>
      <c r="K6" s="33"/>
      <c r="L6" s="31" t="s">
        <v>25</v>
      </c>
      <c r="M6" s="33"/>
      <c r="N6" s="31" t="s">
        <v>26</v>
      </c>
      <c r="O6" s="33"/>
      <c r="P6" s="33"/>
      <c r="Q6" s="34" t="b">
        <v>0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C84F722-A8A5-4742-B01C-B4CBD189FF6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72BE06E0-C828-4C22-A55C-7129AC5A1A66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4CF733E3-D9F4-45DE-BE52-13A7E984B9D9}">
          <x14:formula1>
            <xm:f>SetGeneralPreferences!$4:$4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200</v>
      </c>
      <c r="D6" s="13">
        <v>12</v>
      </c>
      <c r="E6" s="13" t="s">
        <v>17</v>
      </c>
      <c r="F6" s="8"/>
      <c r="G6" s="8"/>
      <c r="H6" s="8"/>
      <c r="I6" s="13" t="s">
        <v>27</v>
      </c>
      <c r="J6" s="13" t="s">
        <v>28</v>
      </c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>
        <v>200</v>
      </c>
      <c r="D7" s="13">
        <v>12</v>
      </c>
      <c r="E7" s="31" t="s">
        <v>17</v>
      </c>
      <c r="F7" s="8"/>
      <c r="G7" s="8"/>
      <c r="H7" s="8"/>
      <c r="I7" s="13" t="s">
        <v>27</v>
      </c>
      <c r="J7" s="13" t="s">
        <v>29</v>
      </c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31"/>
      <c r="F8" s="8"/>
      <c r="G8" s="8"/>
      <c r="H8" s="8"/>
      <c r="I8" s="1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F418DCD-1BBF-44ED-97BE-C25A1295F93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99495317-D0C9-4409-9C6D-45B2AB58383D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9AF050F9-C3B7-43CF-91FF-EF491A935226}">
          <x14:formula1>
            <xm:f>CustomOrderTT1!$4:$4</xm:f>
          </x14:formula1>
          <xm:sqref>E3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EEC56F2-8739-497F-BA02-490A12B451D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8229BDD-27EF-4F6A-9B2B-176FE43921A5}">
          <x14:formula1>
            <xm:f>SelectUnallocatedGroup!$4:$4</xm:f>
          </x14:formula1>
          <xm:sqref>E3</xm:sqref>
        </x14:dataValidation>
        <x14:dataValidation type="list" allowBlank="1" showInputMessage="1" showErrorMessage="1" prompt="Choose an available module" xr:uid="{05954809-BAC4-4637-B853-C134CE3D920E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>
        <v>33.66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>
        <v>66.34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6238BB6-F799-45B4-8ABE-7D011AFA6DD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F90DB52-D0F0-496F-8792-EBAEACDCEED3}">
          <x14:formula1>
            <xm:f>EnterAccountValuesToAllocate!$4:$4</xm:f>
          </x14:formula1>
          <xm:sqref>E3</xm:sqref>
        </x14:dataValidation>
        <x14:dataValidation type="list" allowBlank="1" showInputMessage="1" showErrorMessage="1" prompt="Choose an available module" xr:uid="{E377FB93-6890-4239-80D0-C76DF38F66A3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200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9745CD9-9575-4B69-8BDB-0652DF1662F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F383F23-0963-49AA-A1BF-ACC09CC26098}">
          <x14:formula1>
            <xm:f>SelectAllocatedGroup!$4:$4</xm:f>
          </x14:formula1>
          <xm:sqref>E3</xm:sqref>
        </x14:dataValidation>
        <x14:dataValidation type="list" allowBlank="1" showInputMessage="1" showErrorMessage="1" prompt="Choose an available module" xr:uid="{D944F8C4-84B5-4959-9229-91A10821F09C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16</v>
      </c>
      <c r="C6" s="13" t="s">
        <v>32</v>
      </c>
      <c r="D6" s="13">
        <v>-3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16</v>
      </c>
      <c r="C7" s="13" t="s">
        <v>22</v>
      </c>
      <c r="D7" s="13">
        <v>103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83A73DD-07FB-49F3-99D7-9FD7590AB15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7BF88B4-56F9-4CA6-8F06-017CC4BDDD1E}">
          <x14:formula1>
            <xm:f>ReviewExistingPositions!$4:$4</xm:f>
          </x14:formula1>
          <xm:sqref>E3</xm:sqref>
        </x14:dataValidation>
        <x14:dataValidation type="list" allowBlank="1" showInputMessage="1" showErrorMessage="1" prompt="Choose an available module" xr:uid="{18E20576-6C8C-45CA-A885-6495798946E4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1EB16E2-3421-4E83-8953-2D309732EB7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8BADD32E-E804-4AAB-93E7-F3FCD4822734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D83D069-1487-4F28-9D34-73C63735F34F}">
          <x14:formula1>
            <xm:f>SelectUnallocatedGroup1!$4:$4</xm:f>
          </x14:formula1>
          <xm:sqref>E3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200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5639ED4-388F-49B8-8629-C71D497842A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69AB75A-53EF-4487-93B6-25B26F319127}">
          <x14:formula1>
            <xm:f>SelectAllocatedGroup1!$4:$4</xm:f>
          </x14:formula1>
          <xm:sqref>E3</xm:sqref>
        </x14:dataValidation>
        <x14:dataValidation type="list" allowBlank="1" showInputMessage="1" showErrorMessage="1" prompt="Choose an available module" xr:uid="{BF65392E-EF69-46EE-BD5C-215CDB3F18A0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21</v>
      </c>
      <c r="C6" s="13" t="s">
        <v>32</v>
      </c>
      <c r="D6" s="13">
        <v>-70.23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21</v>
      </c>
      <c r="C7" s="13" t="s">
        <v>22</v>
      </c>
      <c r="D7" s="13">
        <v>-236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7BA604B-170C-4535-996F-DC2DE890E72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B4C9044-0C49-4191-A511-02A1F658BADF}">
          <x14:formula1>
            <xm:f>ReviewExistingPositions1!$4:$4</xm:f>
          </x14:formula1>
          <xm:sqref>E3</xm:sqref>
        </x14:dataValidation>
        <x14:dataValidation type="list" allowBlank="1" showInputMessage="1" showErrorMessage="1" prompt="Choose an available module" xr:uid="{C4E058DB-6552-46EB-B9AF-32E38EEF9D8D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/>
    <row r="6" ht="15.75" customHeight="1">
      <c r="A6" s="13"/>
      <c r="B6" s="13" t="s">
        <v>36</v>
      </c>
      <c r="C6" s="8"/>
      <c r="D6" s="13" t="s">
        <v>37</v>
      </c>
      <c r="E6" s="35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6E20E2E-B2CB-471F-9171-B0EC3AC34EC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86B0CABE-E7B9-4099-8D7A-51A9D954F80C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FEEF476-B9EE-46C5-9813-F39EF83B9736}">
          <x14:formula1>
            <xm:f>'Copy of Data'!$4:$4</xm:f>
          </x14:formula1>
          <xm:sqref>E3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/>
    <row r="6" ht="15.75" customHeight="1">
      <c r="A6" s="13"/>
      <c r="B6" s="13" t="s">
        <v>36</v>
      </c>
      <c r="C6" s="8"/>
      <c r="D6" s="13" t="s">
        <v>37</v>
      </c>
      <c r="E6" s="35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850326B-0D5E-4888-8CDD-6A04302DBD7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D08F6DC-B795-4AFD-BC59-4887C8F9F848}">
          <x14:formula1>
            <xm:f>'Copy of Data 1'!$4:$4</xm:f>
          </x14:formula1>
          <xm:sqref>E3</xm:sqref>
        </x14:dataValidation>
        <x14:dataValidation type="list" allowBlank="1" showInputMessage="1" showErrorMessage="1" prompt="Choose an available module" xr:uid="{F36F3CD3-5B02-4563-87E9-BB6ACBF24466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