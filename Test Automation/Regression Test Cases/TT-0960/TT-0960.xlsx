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AddCalculatedPreferences" sheetId="5" r:id="rId7"/>
    <sheet state="visible" name="SetAccountValueCalculatedPref" sheetId="6" r:id="rId8"/>
    <sheet state="visible" name="AddCalculatedPreferences1" sheetId="7" r:id="rId9"/>
    <sheet state="visible" name="SetAccountValueCalculatedPref1" sheetId="8" r:id="rId10"/>
    <sheet state="visible" name="AccountPermission" sheetId="9" r:id="rId11"/>
    <sheet state="visible" name="CreateDoneAwayOrder1" sheetId="10" r:id="rId12"/>
    <sheet state="visible" name="VerifyOrder" sheetId="11" r:id="rId13"/>
    <sheet state="visible" name="AccountPermission1" sheetId="12" r:id="rId14"/>
    <sheet state="visible" name="CreateDoneAwayOrder2" sheetId="13" r:id="rId15"/>
    <sheet state="visible" name="VerifyOrder1" sheetId="14" r:id="rId16"/>
    <sheet state="visible" name="AccountPermission2" sheetId="15" r:id="rId17"/>
  </sheets>
  <definedNames/>
  <calcPr/>
</workbook>
</file>

<file path=xl/sharedStrings.xml><?xml version="1.0" encoding="utf-8"?>
<sst xmlns="http://schemas.openxmlformats.org/spreadsheetml/2006/main" count="414" uniqueCount="54">
  <si>
    <t>Modules Info</t>
  </si>
  <si>
    <t>Modules</t>
  </si>
  <si>
    <t>Settings</t>
  </si>
  <si>
    <t>Module Step Setting File</t>
  </si>
  <si>
    <t>1FzWTLghJOFjrGmCEN5rFkuzctvHiAo4TNjRi7fOzwlg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</si>
  <si>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</si>
  <si>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</si>
  <si>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</si>
  <si>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</si>
  <si>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</si>
  <si>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</si>
  <si>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</si>
  <si>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</si>
  <si>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</si>
  <si>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</si>
  <si>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</si>
  <si>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AAPL</t>
  </si>
  <si>
    <t>Buy</t>
  </si>
  <si>
    <t>Allocation2</t>
  </si>
  <si>
    <t>Allocation</t>
  </si>
  <si>
    <t>AddCalculatedPreferences</t>
  </si>
  <si>
    <t>Pref</t>
  </si>
  <si>
    <t>SetAccountValueCalculatedPref</t>
  </si>
  <si>
    <t>Allocation1</t>
  </si>
  <si>
    <t>Allocation3</t>
  </si>
  <si>
    <t>Pref1</t>
  </si>
  <si>
    <t>Admin</t>
  </si>
  <si>
    <t>AccountPermission</t>
  </si>
  <si>
    <t>Unallocate</t>
  </si>
  <si>
    <t>IBM</t>
  </si>
  <si>
    <t>Blotter</t>
  </si>
  <si>
    <t>VerifyOrder</t>
  </si>
  <si>
    <t/>
  </si>
  <si>
    <t>AAPL US EQUITY</t>
  </si>
  <si>
    <t>NASDAQ</t>
  </si>
  <si>
    <t>jpearce</t>
  </si>
  <si>
    <t>US</t>
  </si>
  <si>
    <t>GCCAP1</t>
  </si>
  <si>
    <t>USD</t>
  </si>
  <si>
    <t>NONE</t>
  </si>
  <si>
    <t>NewMF1</t>
  </si>
  <si>
    <t>DefaultNotes</t>
  </si>
  <si>
    <t>M</t>
  </si>
  <si>
    <t>Equity</t>
  </si>
  <si>
    <t>Filled</t>
  </si>
  <si>
    <t>MS</t>
  </si>
  <si>
    <t>Market</t>
  </si>
  <si>
    <t>Manual</t>
  </si>
  <si>
    <t>Day</t>
  </si>
  <si>
    <t>NEGATIVE</t>
  </si>
  <si>
    <t>Symbol</t>
  </si>
  <si>
    <t>Unallocated</t>
  </si>
  <si>
    <t>LSCC</t>
  </si>
  <si>
    <t>Allocate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</si>
</sst>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  <xf borderId="0" fillId="0" fontId="5" numFmtId="14" xfId="0" applyAlignment="1" applyFont="1" applyNumberFormat="1">
      <alignment shrinkToFit="0" wrapText="0"/>
    </xf>
    <xf borderId="0" fillId="0" fontId="5" numFmtId="0" xfId="0" applyAlignment="1" applyFont="1">
      <alignment shrinkToFit="0" wrapText="0"/>
    </xf>
    <xf borderId="0" fillId="0" fontId="2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8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8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8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8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8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8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8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8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8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8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8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IFERROR(__xludf.DUMMYFUNCTION("""COMPUTED_VALUE"""),"17hQQja2JxgHYc91C7e_NxNoHLA89SiPSSBCEIFHCoTk")</f>
        <v>17hQQja2JxgHYc91C7e_NxNoHLA89SiPSSBCEIFHCoTk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IFERROR(__xludf.DUMMYFUNCTION("""COMPUTED_VALUE"""),"1Yw4tQ35sAxNJda9xoHyKAOkv1uUSL6Lyjkb7t2gRWzU")</f>
        <v>1Yw4tQ35sAxNJda9xoHyKAOkv1uUSL6Lyjkb7t2gRWzU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IFERROR(__xludf.DUMMYFUNCTION("""COMPUTED_VALUE"""),"1RWrzEP7tKvSTkC1z87RsjU_EZslvD2btXJuTWRIwRLU")</f>
        <v>1RWrzEP7tKvSTkC1z87RsjU_EZslvD2btXJuTWRIwRLU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IFERROR(__xludf.DUMMYFUNCTION("""COMPUTED_VALUE"""),"1XzjmPmpB7IMcyzPSsbgmFfzjE_zIKdjrk0mUoMFhNZc")</f>
        <v>1XzjmPmpB7IMcyzPSsbgmFfzjE_zIKdjrk0mUoMFhNZc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>
      <c r="A874" t="str">
        <f>IFERROR(__xludf.DUMMYFUNCTION("""COMPUTED_VALUE"""),"Blotter")</f>
        <v>Blotter</v>
      </c>
      <c r="B874" t="str">
        <f>IFERROR(__xludf.DUMMYFUNCTION("""COMPUTED_VALUE"""),"ActionOnFloatingWindow")</f>
        <v>ActionOnFloatingWindow</v>
      </c>
      <c r="C874" t="str">
        <f>IFERROR(__xludf.DUMMYFUNCTION("""COMPUTED_VALUE"""),"1tFNUPT3PXgCKRnnehGwo6OF7EhLu13UJ8Elfq83HArE")</f>
        <v>1tFNUPT3PXgCKRnnehGwo6OF7EhLu13UJ8Elfq83HArE</v>
      </c>
    </row>
    <row r="875" ht="15.75" customHeight="1">
      <c r="A875" t="str">
        <f>IFERROR(__xludf.DUMMYFUNCTION("""COMPUTED_VALUE"""),"PTT")</f>
        <v>PTT</v>
      </c>
      <c r="B875" t="str">
        <f>IFERROR(__xludf.DUMMYFUNCTION("""COMPUTED_VALUE"""),"PTTDashBoard")</f>
        <v>PTTDashBoard</v>
      </c>
      <c r="C875" t="str">
        <f>IFERROR(__xludf.DUMMYFUNCTION("""COMPUTED_VALUE"""),"1DUwxSUq_47EK60XmK3LOdCXa1fkWqWJE9bLuGS3ccv412")</f>
        <v>1DUwxSUq_47EK60XmK3LOdCXa1fkWqWJE9bLuGS3ccv412</v>
      </c>
    </row>
    <row r="876" ht="15.75" customHeight="1">
      <c r="A876" t="str">
        <f>IFERROR(__xludf.DUMMYFUNCTION("""COMPUTED_VALUE"""),"OpenFin")</f>
        <v>OpenFin</v>
      </c>
      <c r="B876" t="str">
        <f>IFERROR(__xludf.DUMMYFUNCTION("""COMPUTED_VALUE"""),"LockUnlockModule")</f>
        <v>LockUnlockModule</v>
      </c>
      <c r="C876" t="str">
        <f>IFERROR(__xludf.DUMMYFUNCTION("""COMPUTED_VALUE"""),"179D0kPRO8f_KLxd7hs6seM9XGxpL-u1rhIhNgFVePsQ")</f>
        <v>179D0kPRO8f_KLxd7hs6seM9XGxpL-u1rhIhNgFVePsQ</v>
      </c>
    </row>
    <row r="877" ht="15.75" customHeight="1">
      <c r="A877" t="str">
        <f>IFERROR(__xludf.DUMMYFUNCTION("""COMPUTED_VALUE"""),"OpenFin")</f>
        <v>OpenFin</v>
      </c>
      <c r="B877" t="str">
        <f>IFERROR(__xludf.DUMMYFUNCTION("""COMPUTED_VALUE"""),"OpenModuleFromDock")</f>
        <v>OpenModuleFromDock</v>
      </c>
      <c r="C877" t="str">
        <f>IFERROR(__xludf.DUMMYFUNCTION("""COMPUTED_VALUE"""),"1IdmD7l42pWNjFNVt_7UwbOO7y5tDxaXr7tE60c9ETLw")</f>
        <v>1IdmD7l42pWNjFNVt_7UwbOO7y5tDxaXr7tE60c9ETLw</v>
      </c>
    </row>
    <row r="878" ht="15.75" customHeight="1">
      <c r="A878" t="str">
        <f>IFERROR(__xludf.DUMMYFUNCTION("""COMPUTED_VALUE"""),"Rebalancer")</f>
        <v>Rebalancer</v>
      </c>
      <c r="B878" t="str">
        <f>IFERROR(__xludf.DUMMYFUNCTION("""COMPUTED_VALUE"""),"VerifyCFI")</f>
        <v>VerifyCFI</v>
      </c>
      <c r="C878" t="str">
        <f>IFERROR(__xludf.DUMMYFUNCTION("""COMPUTED_VALUE"""),"1DUwxSUq_47EK60XmK3LOdCXa1fkWqWJE9bLuGS3ccv412")</f>
        <v>1DUwxSUq_47EK60XmK3LOdCXa1fkWqWJE9bLuGS3ccv412</v>
      </c>
    </row>
    <row r="879" ht="15.75" customHeight="1">
      <c r="A879" t="str">
        <f>IFERROR(__xludf.DUMMYFUNCTION("""COMPUTED_VALUE"""),"Blotter")</f>
        <v>Blotter</v>
      </c>
      <c r="B879" t="str">
        <f>IFERROR(__xludf.DUMMYFUNCTION("""COMPUTED_VALUE"""),"EnableOrVerifyHotButton")</f>
        <v>EnableOrVerifyHotButton</v>
      </c>
      <c r="C879" t="str">
        <f>IFERROR(__xludf.DUMMYFUNCTION("""COMPUTED_VALUE"""),"1wa8x9d9kPOHEp49mT2DEW0cyjjOClvAgixk1H2w-Tos")</f>
        <v>1wa8x9d9kPOHEp49mT2DEW0cyjjOClvAgixk1H2w-Tos</v>
      </c>
    </row>
    <row r="880" ht="15.75" customHeight="1">
      <c r="A880" t="str">
        <f>IFERROR(__xludf.DUMMYFUNCTION("""COMPUTED_VALUE"""),"TradeServer")</f>
        <v>TradeServer</v>
      </c>
      <c r="B880" t="str">
        <f>IFERROR(__xludf.DUMMYFUNCTION("""COMPUTED_VALUE"""),"RestartServerOnly")</f>
        <v>RestartServerOnly</v>
      </c>
      <c r="C880" t="str">
        <f>IFERROR(__xludf.DUMMYFUNCTION("""COMPUTED_VALUE"""),"Undefined")</f>
        <v>Undefined</v>
      </c>
    </row>
    <row r="881" ht="15.75" customHeight="1">
      <c r="A881" t="str">
        <f>IFERROR(__xludf.DUMMYFUNCTION("""COMPUTED_VALUE"""),"Rebalancer")</f>
        <v>Rebalancer</v>
      </c>
      <c r="B881" t="str">
        <f>IFERROR(__xludf.DUMMYFUNCTION("""COMPUTED_VALUE"""),"ActionOnCFI")</f>
        <v>ActionOnCFI</v>
      </c>
      <c r="C881" t="str">
        <f>IFERROR(__xludf.DUMMYFUNCTION("""COMPUTED_VALUE"""),"1DUwxSUq_47EK60XmK3LOdCXa1fkWqWJE9bLuGS3ccv412")</f>
        <v>1DUwxSUq_47EK60XmK3LOdCXa1fkWqWJE9bLuGS3ccv412</v>
      </c>
    </row>
    <row r="882" ht="15.75" customHeight="1">
      <c r="A882" t="str">
        <f>IFERROR(__xludf.DUMMYFUNCTION("""COMPUTED_VALUE"""),"Rebalancer")</f>
        <v>Rebalancer</v>
      </c>
      <c r="B882" t="str">
        <f>IFERROR(__xludf.DUMMYFUNCTION("""COMPUTED_VALUE"""),"VerifyCFI")</f>
        <v>VerifyCFI</v>
      </c>
      <c r="C882" t="str">
        <f>IFERROR(__xludf.DUMMYFUNCTION("""COMPUTED_VALUE"""),"1DUwxSUq_47EK60XmK3LOdCXa1fkWqWJE9bLuGS3ccv412")</f>
        <v>1DUwxSUq_47EK60XmK3LOdCXa1fkWqWJE9bLuGS3ccv412</v>
      </c>
    </row>
    <row r="883" ht="15.75" customHeight="1">
      <c r="A883" t="str">
        <f>IFERROR(__xludf.DUMMYFUNCTION("""COMPUTED_VALUE"""),"Rebalancer")</f>
        <v>Rebalancer</v>
      </c>
      <c r="B883" t="str">
        <f>IFERROR(__xludf.DUMMYFUNCTION("""COMPUTED_VALUE"""),"VerifyDelRASGrid")</f>
        <v>VerifyDelRASGrid</v>
      </c>
      <c r="C883" t="str">
        <f>IFERROR(__xludf.DUMMYFUNCTION("""COMPUTED_VALUE"""),"1DUwxSUq_47EK60XmK3LOdCXa1fkWqWJE9bLuGS3ccv412")</f>
        <v>1DUwxSUq_47EK60XmK3LOdCXa1fkWqWJE9bLuGS3ccv412</v>
      </c>
    </row>
    <row r="884" ht="15.75" customHeight="1">
      <c r="A884" t="str">
        <f>IFERROR(__xludf.DUMMYFUNCTION("""COMPUTED_VALUE"""),"Allocation")</f>
        <v>Allocation</v>
      </c>
      <c r="B884" t="str">
        <f>IFERROR(__xludf.DUMMYFUNCTION("""COMPUTED_VALUE"""),"ActionOnUPW")</f>
        <v>ActionOnUPW</v>
      </c>
      <c r="C884" t="str">
        <f>IFERROR(__xludf.DUMMYFUNCTION("""COMPUTED_VALUE"""),"1DUwxSUq_47EK60XmK3LOdCXa1fkWqWJE9bLuGS3ccv413")</f>
        <v>1DUwxSUq_47EK60XmK3LOdCXa1fkWqWJE9bLuGS3ccv413</v>
      </c>
    </row>
    <row r="885" ht="15.75" customHeight="1">
      <c r="A885" t="str">
        <f>IFERROR(__xludf.DUMMYFUNCTION("""COMPUTED_VALUE"""),"Allocation")</f>
        <v>Allocation</v>
      </c>
      <c r="B885" t="str">
        <f>IFERROR(__xludf.DUMMYFUNCTION("""COMPUTED_VALUE"""),"DefaultRuleUPW")</f>
        <v>DefaultRuleUPW</v>
      </c>
      <c r="C885" t="str">
        <f>IFERROR(__xludf.DUMMYFUNCTION("""COMPUTED_VALUE"""),"1DUwxSUq_47EK60XmK3LOdCXa1fkWqWJE9bLuGS3ccv414")</f>
        <v>1DUwxSUq_47EK60XmK3LOdCXa1fkWqWJE9bLuGS3ccv414</v>
      </c>
    </row>
    <row r="886" ht="15.75" customHeight="1">
      <c r="A886" t="str">
        <f>IFERROR(__xludf.DUMMYFUNCTION("""COMPUTED_VALUE"""),"Allocation")</f>
        <v>Allocation</v>
      </c>
      <c r="B886" t="str">
        <f>IFERROR(__xludf.DUMMYFUNCTION("""COMPUTED_VALUE"""),"AccountStrategyUPW")</f>
        <v>AccountStrategyUPW</v>
      </c>
      <c r="C886" t="str">
        <f>IFERROR(__xludf.DUMMYFUNCTION("""COMPUTED_VALUE"""),"1DUwxSUq_47EK60XmK3LOdCXa1fkWqWJE9bLuGS3ccv415")</f>
        <v>1DUwxSUq_47EK60XmK3LOdCXa1fkWqWJE9bLuGS3ccv415</v>
      </c>
    </row>
    <row r="887" ht="15.75" customHeight="1">
      <c r="A887" t="str">
        <f>IFERROR(__xludf.DUMMYFUNCTION("""COMPUTED_VALUE"""),"Allocation")</f>
        <v>Allocation</v>
      </c>
      <c r="B887" t="str">
        <f>IFERROR(__xludf.DUMMYFUNCTION("""COMPUTED_VALUE"""),"ActionOnCalPref")</f>
        <v>ActionOnCalPref</v>
      </c>
      <c r="C887" t="str">
        <f>IFERROR(__xludf.DUMMYFUNCTION("""COMPUTED_VALUE"""),"1DUwxSUq_47EK60XmK3LOdCXa1fkWqWJE9bLuGS3ccv416")</f>
        <v>1DUwxSUq_47EK60XmK3LOdCXa1fkWqWJE9bLuGS3ccv416</v>
      </c>
    </row>
    <row r="888" ht="15.75" customHeight="1">
      <c r="A888" t="str">
        <f>IFERROR(__xludf.DUMMYFUNCTION("""COMPUTED_VALUE"""),"Allocation")</f>
        <v>Allocation</v>
      </c>
      <c r="B888" t="str">
        <f>IFERROR(__xludf.DUMMYFUNCTION("""COMPUTED_VALUE"""),"SetMFDefaultRule")</f>
        <v>SetMFDefaultRule</v>
      </c>
      <c r="C888" t="str">
        <f>IFERROR(__xludf.DUMMYFUNCTION("""COMPUTED_VALUE"""),"1DUwxSUq_47EK60XmK3LOdCXa1fkWqWJE9bLuGS3ccv417")</f>
        <v>1DUwxSUq_47EK60XmK3LOdCXa1fkWqWJE9bLuGS3ccv417</v>
      </c>
    </row>
    <row r="889" ht="15.75" customHeight="1">
      <c r="A889" t="str">
        <f>IFERROR(__xludf.DUMMYFUNCTION("""COMPUTED_VALUE"""),"Allocation")</f>
        <v>Allocation</v>
      </c>
      <c r="B889" t="str">
        <f>IFERROR(__xludf.DUMMYFUNCTION("""COMPUTED_VALUE"""),"ActionOnPrefWindow")</f>
        <v>ActionOnPrefWindow</v>
      </c>
      <c r="C889" t="str">
        <f>IFERROR(__xludf.DUMMYFUNCTION("""COMPUTED_VALUE"""),"1DUwxSUq_47EK60XmK3LOdCXa1fkWqWJE9bLuGS3ccv418")</f>
        <v>1DUwxSUq_47EK60XmK3LOdCXa1fkWqWJE9bLuGS3ccv418</v>
      </c>
    </row>
    <row r="890" ht="15.75" customHeight="1">
      <c r="A890" t="str">
        <f>IFERROR(__xludf.DUMMYFUNCTION("""COMPUTED_VALUE"""),"Allocation")</f>
        <v>Allocation</v>
      </c>
      <c r="B890" t="str">
        <f>IFERROR(__xludf.DUMMYFUNCTION("""COMPUTED_VALUE"""),"GetFixedPrefScheme")</f>
        <v>GetFixedPrefScheme</v>
      </c>
      <c r="C890" t="str">
        <f>IFERROR(__xludf.DUMMYFUNCTION("""COMPUTED_VALUE"""),"1DUwxSUq_47EK60XmK3LOdCXa1fkWqWJE9bLuGS3ccv419")</f>
        <v>1DUwxSUq_47EK60XmK3LOdCXa1fkWqWJE9bLuGS3ccv419</v>
      </c>
    </row>
    <row r="891" ht="15.75" customHeight="1">
      <c r="A891" t="str">
        <f>IFERROR(__xludf.DUMMYFUNCTION("""COMPUTED_VALUE"""),"Allocation")</f>
        <v>Allocation</v>
      </c>
      <c r="B891" t="str">
        <f>IFERROR(__xludf.DUMMYFUNCTION("""COMPUTED_VALUE"""),"VerifyFixedPref")</f>
        <v>VerifyFixedPref</v>
      </c>
      <c r="C891" t="str">
        <f>IFERROR(__xludf.DUMMYFUNCTION("""COMPUTED_VALUE"""),"1DUwxSUq_47EK60XmK3LOdCXa1fkWqWJE9bLuGS3ccv420")</f>
        <v>1DUwxSUq_47EK60XmK3LOdCXa1fkWqWJE9bLuGS3ccv420</v>
      </c>
    </row>
    <row r="892" ht="15.75" customHeight="1">
      <c r="A892" t="str">
        <f>IFERROR(__xludf.DUMMYFUNCTION("""COMPUTED_VALUE"""),"Allocation")</f>
        <v>Allocation</v>
      </c>
      <c r="B892" t="str">
        <f>IFERROR(__xludf.DUMMYFUNCTION("""COMPUTED_VALUE"""),"ActionOnToolBar")</f>
        <v>ActionOnToolBar</v>
      </c>
      <c r="C892" t="str">
        <f>IFERROR(__xludf.DUMMYFUNCTION("""COMPUTED_VALUE"""),"1DUwxSUq_47EK60XmK3LOdCXa1fkWqWJE9bLuGS3ccv421")</f>
        <v>1DUwxSUq_47EK60XmK3LOdCXa1fkWqWJE9bLuGS3ccv421</v>
      </c>
    </row>
    <row r="893" ht="15.75" customHeight="1">
      <c r="A893" t="str">
        <f>IFERROR(__xludf.DUMMYFUNCTION("""COMPUTED_VALUE"""),"Rebalancer")</f>
        <v>Rebalancer</v>
      </c>
      <c r="B893" t="str">
        <f>IFERROR(__xludf.DUMMYFUNCTION("""COMPUTED_VALUE"""),"VerifyCustomGroupModel")</f>
        <v>VerifyCustomGroupModel</v>
      </c>
      <c r="C893" t="str">
        <f>IFERROR(__xludf.DUMMYFUNCTION("""COMPUTED_VALUE"""),"1DUwxSUq_47EK60XmK3LOdCXa1fkWqWJE9bLuGS3ccv422")</f>
        <v>1DUwxSUq_47EK60XmK3LOdCXa1fkWqWJE9bLuGS3ccv422</v>
      </c>
    </row>
    <row r="894" ht="15.75" customHeight="1">
      <c r="A894" t="str">
        <f>IFERROR(__xludf.DUMMYFUNCTION("""COMPUTED_VALUE"""),"Blotter")</f>
        <v>Blotter</v>
      </c>
      <c r="B894" t="str">
        <f>IFERROR(__xludf.DUMMYFUNCTION("""COMPUTED_VALUE"""),"VerifyFilterUiRC")</f>
        <v>VerifyFilterUiRC</v>
      </c>
      <c r="C894" t="str">
        <f>IFERROR(__xludf.DUMMYFUNCTION("""COMPUTED_VALUE"""),"1QQZEZqPXfPnxfNID2a3__xw8RnEAn77igg5Q32S3Sm0")</f>
        <v>1QQZEZqPXfPnxfNID2a3__xw8RnEAn77igg5Q32S3Sm0</v>
      </c>
    </row>
    <row r="895" ht="15.75" customHeight="1">
      <c r="A895" t="str">
        <f>IFERROR(__xludf.DUMMYFUNCTION("""COMPUTED_VALUE"""),"TradingTicket")</f>
        <v>TradingTicket</v>
      </c>
      <c r="B895" t="str">
        <f>IFERROR(__xludf.DUMMYFUNCTION("""COMPUTED_VALUE"""),"SymbolSuggestionVerify")</f>
        <v>SymbolSuggestionVerify</v>
      </c>
      <c r="C895" t="str">
        <f>IFERROR(__xludf.DUMMYFUNCTION("""COMPUTED_VALUE"""),"14aTeLjmUbS-nhaQwjtZAMGxdQ5DS6UsBjE5OTWN-LQU")</f>
        <v>14aTeLjmUbS-nhaQwjtZAMGxdQ5DS6UsBjE5OTWN-LQU</v>
      </c>
    </row>
    <row r="896" ht="15.75" customHeight="1">
      <c r="A896" t="str">
        <f>IFERROR(__xludf.DUMMYFUNCTION("""COMPUTED_VALUE"""),"PreferencesMain")</f>
        <v>PreferencesMain</v>
      </c>
      <c r="B896" t="str">
        <f>IFERROR(__xludf.DUMMYFUNCTION("""COMPUTED_VALUE"""),"UpdatePTTPref")</f>
        <v>UpdatePTTPref</v>
      </c>
      <c r="C896" t="str">
        <f>IFERROR(__xludf.DUMMYFUNCTION("""COMPUTED_VALUE"""),"14aTeLjmUbS-nhaQwjtZAMGxdQ5DS6UsBjE5OTWN-LQU")</f>
        <v>14aTeLjmUbS-nhaQwjtZAMGxdQ5DS6UsBjE5OTWN-LQU</v>
      </c>
    </row>
    <row r="897" ht="15.75" customHeight="1">
      <c r="A897" t="str">
        <f>IFERROR(__xludf.DUMMYFUNCTION("""COMPUTED_VALUE"""),"PreferencesMain")</f>
        <v>PreferencesMain</v>
      </c>
      <c r="B897" t="str">
        <f>IFERROR(__xludf.DUMMYFUNCTION("""COMPUTED_VALUE"""),"ActionOnPreferencesMain")</f>
        <v>ActionOnPreferencesMain</v>
      </c>
      <c r="C897" t="str">
        <f>IFERROR(__xludf.DUMMYFUNCTION("""COMPUTED_VALUE"""),"14aTeLjmUbS-nhaQwjtZAMGxdQ5DS6UsBjE5OTWN-LQU")</f>
        <v>14aTeLjmUbS-nhaQwjtZAMGxdQ5DS6UsBjE5OTWN-LQU</v>
      </c>
    </row>
    <row r="898" ht="15.75" customHeight="1">
      <c r="A898" t="str">
        <f>IFERROR(__xludf.DUMMYFUNCTION("""COMPUTED_VALUE"""),"PreferencesMain")</f>
        <v>PreferencesMain</v>
      </c>
      <c r="B898" t="str">
        <f>IFERROR(__xludf.DUMMYFUNCTION("""COMPUTED_VALUE"""),"VerifyUpdategrdAccountFactor")</f>
        <v>VerifyUpdategrdAccountFactor</v>
      </c>
      <c r="C898" t="str">
        <f>IFERROR(__xludf.DUMMYFUNCTION("""COMPUTED_VALUE"""),"14aTeLjmUbS-nhaQwjtZAMGxdQ5DS6UsBjE5OTWN-LQU")</f>
        <v>14aTeLjmUbS-nhaQwjtZAMGxdQ5DS6UsBjE5OTWN-LQU</v>
      </c>
    </row>
    <row r="899" ht="15.75" customHeight="1">
      <c r="A899" t="str">
        <f>IFERROR(__xludf.DUMMYFUNCTION("""COMPUTED_VALUE"""),"PreferencesMain")</f>
        <v>PreferencesMain</v>
      </c>
      <c r="B899" t="str">
        <f>IFERROR(__xludf.DUMMYFUNCTION("""COMPUTED_VALUE"""),"VerifyUpdategrdMFA")</f>
        <v>VerifyUpdategrdMFA</v>
      </c>
      <c r="C899" t="str">
        <f>IFERROR(__xludf.DUMMYFUNCTION("""COMPUTED_VALUE"""),"14aTeLjmUbS-nhaQwjtZAMGxdQ5DS6UsBjE5OTWN-LQU")</f>
        <v>14aTeLjmUbS-nhaQwjtZAMGxdQ5DS6UsBjE5OTWN-LQU</v>
      </c>
    </row>
    <row r="900" ht="15.75" customHeight="1">
      <c r="A900" t="str">
        <f>IFERROR(__xludf.DUMMYFUNCTION("""COMPUTED_VALUE"""),"PreferencesMain")</f>
        <v>PreferencesMain</v>
      </c>
      <c r="B900" t="str">
        <f>IFERROR(__xludf.DUMMYFUNCTION("""COMPUTED_VALUE"""),"SwitchTabMFA")</f>
        <v>SwitchTabMFA</v>
      </c>
      <c r="C900" t="str">
        <f>IFERROR(__xludf.DUMMYFUNCTION("""COMPUTED_VALUE"""),"14aTeLjmUbS-nhaQwjtZAMGxdQ5DS6UsBjE5OTWN-LQU")</f>
        <v>14aTeLjmUbS-nhaQwjtZAMGxdQ5DS6UsBjE5OTWN-LQU</v>
      </c>
    </row>
    <row r="901" ht="15.75" customHeight="1">
      <c r="A901" t="str">
        <f>IFERROR(__xludf.DUMMYFUNCTION("""COMPUTED_VALUE"""),"PreferencesMain")</f>
        <v>PreferencesMain</v>
      </c>
      <c r="B901" t="str">
        <f>IFERROR(__xludf.DUMMYFUNCTION("""COMPUTED_VALUE"""),"UpdateBlotterPref")</f>
        <v>UpdateBlotterPref</v>
      </c>
      <c r="C901" t="str">
        <f>IFERROR(__xludf.DUMMYFUNCTION("""COMPUTED_VALUE"""),"14aTeLjmUbS-nhaQwjtZAMGxdQ5DS6UsBjE5OTWN-LQU")</f>
        <v>14aTeLjmUbS-nhaQwjtZAMGxdQ5DS6UsBjE5OTWN-LQU</v>
      </c>
    </row>
    <row r="902" ht="15.75" customHeight="1">
      <c r="A902" t="str">
        <f>IFERROR(__xludf.DUMMYFUNCTION("""COMPUTED_VALUE"""),"PreferencesMain")</f>
        <v>PreferencesMain</v>
      </c>
      <c r="B902" t="str">
        <f>IFERROR(__xludf.DUMMYFUNCTION("""COMPUTED_VALUE"""),"UpdatePMPref")</f>
        <v>UpdatePMPref</v>
      </c>
      <c r="C902" t="str">
        <f>IFERROR(__xludf.DUMMYFUNCTION("""COMPUTED_VALUE"""),"14aTeLjmUbS-nhaQwjtZAMGxdQ5DS6UsBjE5OTWN-LQU")</f>
        <v>14aTeLjmUbS-nhaQwjtZAMGxdQ5DS6UsBjE5OTWN-LQU</v>
      </c>
    </row>
    <row r="903" ht="15.75" customHeight="1">
      <c r="A903" t="str">
        <f>IFERROR(__xludf.DUMMYFUNCTION("""COMPUTED_VALUE"""),"PreferencesMain")</f>
        <v>PreferencesMain</v>
      </c>
      <c r="B903" t="str">
        <f>IFERROR(__xludf.DUMMYFUNCTION("""COMPUTED_VALUE"""),"UpdateGenPref")</f>
        <v>UpdateGenPref</v>
      </c>
      <c r="C903" t="str">
        <f>IFERROR(__xludf.DUMMYFUNCTION("""COMPUTED_VALUE"""),"14aTeLjmUbS-nhaQwjtZAMGxdQ5DS6UsBjE5OTWN-LQU")</f>
        <v>14aTeLjmUbS-nhaQwjtZAMGxdQ5DS6UsBjE5OTWN-LQU</v>
      </c>
    </row>
    <row r="904" ht="15.75" customHeight="1">
      <c r="A904" t="str">
        <f>IFERROR(__xludf.DUMMYFUNCTION("""COMPUTED_VALUE"""),"PreferencesMain")</f>
        <v>PreferencesMain</v>
      </c>
      <c r="B904" t="str">
        <f>IFERROR(__xludf.DUMMYFUNCTION("""COMPUTED_VALUE"""),"VerifyUpdateAssetSide")</f>
        <v>VerifyUpdateAssetSide</v>
      </c>
      <c r="C904" t="str">
        <f>IFERROR(__xludf.DUMMYFUNCTION("""COMPUTED_VALUE"""),"14aTeLjmUbS-nhaQwjtZAMGxdQ5DS6UsBjE5OTWN-LQU")</f>
        <v>14aTeLjmUbS-nhaQwjtZAMGxdQ5DS6UsBjE5OTWN-LQU</v>
      </c>
    </row>
    <row r="905" ht="15.75" customHeight="1">
      <c r="A905" t="str">
        <f>IFERROR(__xludf.DUMMYFUNCTION("""COMPUTED_VALUE"""),"PreferencesMain")</f>
        <v>PreferencesMain</v>
      </c>
      <c r="B905" t="str">
        <f>IFERROR(__xludf.DUMMYFUNCTION("""COMPUTED_VALUE"""),"SwicthTabPref")</f>
        <v>SwicthTabPref</v>
      </c>
      <c r="C905" t="str">
        <f>IFERROR(__xludf.DUMMYFUNCTION("""COMPUTED_VALUE"""),"14aTeLjmUbS-nhaQwjtZAMGxdQ5DS6UsBjE5OTWN-LQU")</f>
        <v>14aTeLjmUbS-nhaQwjtZAMGxdQ5DS6UsBjE5OTWN-LQU</v>
      </c>
    </row>
    <row r="906" ht="15.75" customHeight="1">
      <c r="A906" t="str">
        <f>IFERROR(__xludf.DUMMYFUNCTION("""COMPUTED_VALUE"""),"PreferencesMain")</f>
        <v>PreferencesMain</v>
      </c>
      <c r="B906" t="str">
        <f>IFERROR(__xludf.DUMMYFUNCTION("""COMPUTED_VALUE"""),"TTDefaultSelection")</f>
        <v>TTDefaultSelection</v>
      </c>
      <c r="C906" t="str">
        <f>IFERROR(__xludf.DUMMYFUNCTION("""COMPUTED_VALUE"""),"14aTeLjmUbS-nhaQwjtZAMGxdQ5DS6UsBjE5OTWN-LQU")</f>
        <v>14aTeLjmUbS-nhaQwjtZAMGxdQ5DS6UsBjE5OTWN-LQU</v>
      </c>
    </row>
    <row r="907" ht="15.75" customHeight="1">
      <c r="A907" t="str">
        <f>IFERROR(__xludf.DUMMYFUNCTION("""COMPUTED_VALUE"""),"PreferencesMain")</f>
        <v>PreferencesMain</v>
      </c>
      <c r="B907" t="str">
        <f>IFERROR(__xludf.DUMMYFUNCTION("""COMPUTED_VALUE"""),"TTNumSelection")</f>
        <v>TTNumSelection</v>
      </c>
      <c r="C907" t="str">
        <f>IFERROR(__xludf.DUMMYFUNCTION("""COMPUTED_VALUE"""),"14aTeLjmUbS-nhaQwjtZAMGxdQ5DS6UsBjE5OTWN-LQU")</f>
        <v>14aTeLjmUbS-nhaQwjtZAMGxdQ5DS6UsBjE5OTWN-LQU</v>
      </c>
    </row>
    <row r="908" ht="15.75" customHeight="1">
      <c r="A908" t="str">
        <f>IFERROR(__xludf.DUMMYFUNCTION("""COMPUTED_VALUE"""),"PreferencesMain")</f>
        <v>PreferencesMain</v>
      </c>
      <c r="B908" t="str">
        <f>IFERROR(__xludf.DUMMYFUNCTION("""COMPUTED_VALUE"""),"TTConfirmationPopUps")</f>
        <v>TTConfirmationPopUps</v>
      </c>
      <c r="C908" t="str">
        <f>IFERROR(__xludf.DUMMYFUNCTION("""COMPUTED_VALUE"""),"14aTeLjmUbS-nhaQwjtZAMGxdQ5DS6UsBjE5OTWN-LQU")</f>
        <v>14aTeLjmUbS-nhaQwjtZAMGxdQ5DS6UsBjE5OTWN-LQU</v>
      </c>
    </row>
    <row r="909" ht="15.75" customHeight="1">
      <c r="A909" t="str">
        <f>IFERROR(__xludf.DUMMYFUNCTION("""COMPUTED_VALUE"""),"PreferencesMain")</f>
        <v>PreferencesMain</v>
      </c>
      <c r="B909" t="str">
        <f>IFERROR(__xludf.DUMMYFUNCTION("""COMPUTED_VALUE"""),"VerifyUpdateBrokerPref")</f>
        <v>VerifyUpdateBrokerPref</v>
      </c>
      <c r="C909" t="str">
        <f>IFERROR(__xludf.DUMMYFUNCTION("""COMPUTED_VALUE"""),"14aTeLjmUbS-nhaQwjtZAMGxdQ5DS6UsBjE5OTWN-LQU")</f>
        <v>14aTeLjmUbS-nhaQwjtZAMGxdQ5DS6UsBjE5OTWN-LQU</v>
      </c>
    </row>
    <row r="910" ht="15.75" customHeight="1">
      <c r="A910" t="str">
        <f>IFERROR(__xludf.DUMMYFUNCTION("""COMPUTED_VALUE"""),"PreferencesMain")</f>
        <v>PreferencesMain</v>
      </c>
      <c r="B910" t="str">
        <f>IFERROR(__xludf.DUMMYFUNCTION("""COMPUTED_VALUE"""),"TTGeneralPref")</f>
        <v>TTGeneralPref</v>
      </c>
      <c r="C910" t="str">
        <f>IFERROR(__xludf.DUMMYFUNCTION("""COMPUTED_VALUE"""),"14aTeLjmUbS-nhaQwjtZAMGxdQ5DS6UsBjE5OTWN-LQU")</f>
        <v>14aTeLjmUbS-nhaQwjtZAMGxdQ5DS6UsBjE5OTWN-LQU</v>
      </c>
    </row>
    <row r="911" ht="15.75" customHeight="1">
      <c r="A911" t="str">
        <f>IFERROR(__xludf.DUMMYFUNCTION("""COMPUTED_VALUE"""),"PreferencesMain")</f>
        <v>PreferencesMain</v>
      </c>
      <c r="B911" t="str">
        <f>IFERROR(__xludf.DUMMYFUNCTION("""COMPUTED_VALUE"""),"UpdateClosingPref")</f>
        <v>UpdateClosingPref</v>
      </c>
      <c r="C911" t="str">
        <f>IFERROR(__xludf.DUMMYFUNCTION("""COMPUTED_VALUE"""),"14aTeLjmUbS-nhaQwjtZAMGxdQ5DS6UsBjE5OTWN-LQU")</f>
        <v>14aTeLjmUbS-nhaQwjtZAMGxdQ5DS6UsBjE5OTWN-LQU</v>
      </c>
    </row>
    <row r="912" ht="15.75" customHeight="1">
      <c r="A912" t="str">
        <f>IFERROR(__xludf.DUMMYFUNCTION("""COMPUTED_VALUE"""),"Allocation")</f>
        <v>Allocation</v>
      </c>
      <c r="B912" t="str">
        <f>IFERROR(__xludf.DUMMYFUNCTION("""COMPUTED_VALUE"""),"VerifyEditAttRenaming")</f>
        <v>VerifyEditAttRenaming</v>
      </c>
      <c r="C912" t="str">
        <f>IFERROR(__xludf.DUMMYFUNCTION("""COMPUTED_VALUE"""),"14aTeLjmUbS-nhaQwjtZAMGxdQ5DS6UsBjE5OTWN-LQU")</f>
        <v>14aTeLjmUbS-nhaQwjtZAMGxdQ5DS6UsBjE5OTWN-LQU</v>
      </c>
    </row>
    <row r="913" ht="15.75" customHeight="1">
      <c r="A913" t="str">
        <f>IFERROR(__xludf.DUMMYFUNCTION("""COMPUTED_VALUE"""),"Rebalancer")</f>
        <v>Rebalancer</v>
      </c>
      <c r="B913" t="str">
        <f>IFERROR(__xludf.DUMMYFUNCTION("""COMPUTED_VALUE"""),"VerifyTradeList")</f>
        <v>VerifyTradeList</v>
      </c>
      <c r="C913" t="str">
        <f>IFERROR(__xludf.DUMMYFUNCTION("""COMPUTED_VALUE"""),"14aTeLjmUbS-nhaQwjtZAMGxdQ5DS6UsBjE5OTWN-LQU")</f>
        <v>14aTeLjmUbS-nhaQwjtZAMGxdQ5DS6UsBjE5OTWN-LQU</v>
      </c>
    </row>
    <row r="914" ht="15.75" customHeight="1">
      <c r="A914" t="str">
        <f>IFERROR(__xludf.DUMMYFUNCTION("""COMPUTED_VALUE"""),"TradingTicket")</f>
        <v>TradingTicket</v>
      </c>
      <c r="B914" t="str">
        <f>IFERROR(__xludf.DUMMYFUNCTION("""COMPUTED_VALUE"""),"TTMainControls")</f>
        <v>TTMainControls</v>
      </c>
      <c r="C914" t="str">
        <f>IFERROR(__xludf.DUMMYFUNCTION("""COMPUTED_VALUE"""),"1DUwxSUq_47EK60XmK3LOdCXa1fkWqWJE9bLuGS3ccv412")</f>
        <v>1DUwxSUq_47EK60XmK3LOdCXa1fkWqWJE9bLuGS3ccv412</v>
      </c>
    </row>
    <row r="915" ht="15.75" customHeight="1">
      <c r="A915" t="str">
        <f>IFERROR(__xludf.DUMMYFUNCTION("""COMPUTED_VALUE"""),"TradingTicket")</f>
        <v>TradingTicket</v>
      </c>
      <c r="B915" t="str">
        <f>IFERROR(__xludf.DUMMYFUNCTION("""COMPUTED_VALUE"""),"VerifySymStrip")</f>
        <v>VerifySymStrip</v>
      </c>
      <c r="C915" t="str">
        <f>IFERROR(__xludf.DUMMYFUNCTION("""COMPUTED_VALUE"""),"1DUwxSUq_47EK60XmK3LOdCXa1fkWqWJE9bLuGS3ccv412")</f>
        <v>1DUwxSUq_47EK60XmK3LOdCXa1fkWqWJE9bLuGS3ccv412</v>
      </c>
    </row>
    <row r="916" ht="15.75" customHeight="1">
      <c r="A916" t="str">
        <f>IFERROR(__xludf.DUMMYFUNCTION("""COMPUTED_VALUE"""),"TradingTicket")</f>
        <v>TradingTicket</v>
      </c>
      <c r="B916" t="str">
        <f>IFERROR(__xludf.DUMMYFUNCTION("""COMPUTED_VALUE"""),"TTBottomTab")</f>
        <v>TTBottomTab</v>
      </c>
      <c r="C916" t="str">
        <f>IFERROR(__xludf.DUMMYFUNCTION("""COMPUTED_VALUE"""),"1DUwxSUq_47EK60XmK3LOdCXa1fkWqWJE9bLuGS3ccv412")</f>
        <v>1DUwxSUq_47EK60XmK3LOdCXa1fkWqWJE9bLuGS3ccv412</v>
      </c>
    </row>
    <row r="917" ht="15.75" customHeight="1">
      <c r="A917" t="str">
        <f>IFERROR(__xludf.DUMMYFUNCTION("""COMPUTED_VALUE"""),"TradingTicket")</f>
        <v>TradingTicket</v>
      </c>
      <c r="B917" t="str">
        <f>IFERROR(__xludf.DUMMYFUNCTION("""COMPUTED_VALUE"""),"TTBottomSwap")</f>
        <v>TTBottomSwap</v>
      </c>
      <c r="C917" t="str">
        <f>IFERROR(__xludf.DUMMYFUNCTION("""COMPUTED_VALUE"""),"1DUwxSUq_47EK60XmK3LOdCXa1fkWqWJE9bLuGS3ccv412")</f>
        <v>1DUwxSUq_47EK60XmK3LOdCXa1fkWqWJE9bLuGS3ccv412</v>
      </c>
    </row>
    <row r="918" ht="15.75" customHeight="1">
      <c r="A918" t="str">
        <f>IFERROR(__xludf.DUMMYFUNCTION("""COMPUTED_VALUE"""),"Blotter")</f>
        <v>Blotter</v>
      </c>
      <c r="B918" t="str">
        <f>IFERROR(__xludf.DUMMYFUNCTION("""COMPUTED_VALUE"""),"CreateHotButtonOnBlotter")</f>
        <v>CreateHotButtonOnBlotter</v>
      </c>
      <c r="C918" t="str">
        <f>IFERROR(__xludf.DUMMYFUNCTION("""COMPUTED_VALUE"""),"1Yu7Fb6AjhUP8b-KuRJvgAwq8TykNK6BDh9F0Xpf12Ek")</f>
        <v>1Yu7Fb6AjhUP8b-KuRJvgAwq8TykNK6BDh9F0Xpf12Ek</v>
      </c>
    </row>
    <row r="919" ht="15.75" customHeight="1">
      <c r="A919" t="str">
        <f>IFERROR(__xludf.DUMMYFUNCTION("""COMPUTED_VALUE"""),"Blotter")</f>
        <v>Blotter</v>
      </c>
      <c r="B919" t="str">
        <f>IFERROR(__xludf.DUMMYFUNCTION("""COMPUTED_VALUE"""),"FillHBdetailsOnBlotter")</f>
        <v>FillHBdetailsOnBlotter</v>
      </c>
      <c r="C919" t="str">
        <f>IFERROR(__xludf.DUMMYFUNCTION("""COMPUTED_VALUE"""),"13Isj5c5k8kObxI-GBT6Ir9VBOz_46lzhwVxXXVP8jQU")</f>
        <v>13Isj5c5k8kObxI-GBT6Ir9VBOz_46lzhwVxXXVP8jQU</v>
      </c>
    </row>
    <row r="920" ht="15.75" customHeight="1">
      <c r="A920" t="str">
        <f>IFERROR(__xludf.DUMMYFUNCTION("""COMPUTED_VALUE"""),"TradingTicket")</f>
        <v>TradingTicket</v>
      </c>
      <c r="B920" t="str">
        <f>IFERROR(__xludf.DUMMYFUNCTION("""COMPUTED_VALUE"""),"EditAuecWindow")</f>
        <v>EditAuecWindow</v>
      </c>
      <c r="C920" t="str">
        <f>IFERROR(__xludf.DUMMYFUNCTION("""COMPUTED_VALUE"""),"1ottlNphVbp0AC-UFd-HlDpCLwOA2yWO1pN6eR3ML7vA")</f>
        <v>1ottlNphVbp0AC-UFd-HlDpCLwOA2yWO1pN6eR3ML7vA</v>
      </c>
    </row>
    <row r="921" ht="15.75" customHeight="1">
      <c r="A921" t="str">
        <f>IFERROR(__xludf.DUMMYFUNCTION("""COMPUTED_VALUE"""),"TradingTicket")</f>
        <v>TradingTicket</v>
      </c>
      <c r="B921" t="str">
        <f>IFERROR(__xludf.DUMMYFUNCTION("""COMPUTED_VALUE"""),"VerifyBrokerSummary")</f>
        <v>VerifyBrokerSummary</v>
      </c>
      <c r="C921" t="str">
        <f>IFERROR(__xludf.DUMMYFUNCTION("""COMPUTED_VALUE"""),"11hMxlfIQYwM8vPN2h--IGp7O02EDFbvJ4CSvjSfGsMY")</f>
        <v>11hMxlfIQYwM8vPN2h--IGp7O02EDFbvJ4CSvjSfGsMY</v>
      </c>
    </row>
    <row r="922" ht="15.75" customHeight="1">
      <c r="A922" t="str">
        <f>IFERROR(__xludf.DUMMYFUNCTION("""COMPUTED_VALUE"""),"QTT")</f>
        <v>QTT</v>
      </c>
      <c r="B922" t="str">
        <f>IFERROR(__xludf.DUMMYFUNCTION("""COMPUTED_VALUE"""),"EditAuecWindowQTT")</f>
        <v>EditAuecWindowQTT</v>
      </c>
      <c r="C922" t="str">
        <f>IFERROR(__xludf.DUMMYFUNCTION("""COMPUTED_VALUE"""),"1oI_WY3xKQgSjp5JN67BMHtm3zazX5ZiMATISa2ssGB0")</f>
        <v>1oI_WY3xKQgSjp5JN67BMHtm3zazX5ZiMATISa2ssGB0</v>
      </c>
    </row>
    <row r="923" ht="15.75" customHeight="1">
      <c r="A923" t="str">
        <f>IFERROR(__xludf.DUMMYFUNCTION("""COMPUTED_VALUE"""),"QTT")</f>
        <v>QTT</v>
      </c>
      <c r="B923" t="str">
        <f>IFERROR(__xludf.DUMMYFUNCTION("""COMPUTED_VALUE"""),"VerifyBrokerSummaryQTT")</f>
        <v>VerifyBrokerSummaryQTT</v>
      </c>
      <c r="C923" t="str">
        <f>IFERROR(__xludf.DUMMYFUNCTION("""COMPUTED_VALUE"""),"1O6-eqYsZqtvYR6DOH7UM2_Jwpq9pB9uyZvgh5vEhVAI")</f>
        <v>1O6-eqYsZqtvYR6DOH7UM2_Jwpq9pB9uyZvgh5vEhVAI</v>
      </c>
    </row>
    <row r="924" ht="15.75" customHeight="1">
      <c r="A924" t="str">
        <f>IFERROR(__xludf.DUMMYFUNCTION("""COMPUTED_VALUE"""),"QTT")</f>
        <v>QTT</v>
      </c>
      <c r="B924" t="str">
        <f>IFERROR(__xludf.DUMMYFUNCTION("""COMPUTED_VALUE"""),"SaveQTThotKey")</f>
        <v>SaveQTThotKey</v>
      </c>
      <c r="C924" t="str">
        <f>IFERROR(__xludf.DUMMYFUNCTION("""COMPUTED_VALUE"""),"Undefined")</f>
        <v>Undefined</v>
      </c>
    </row>
    <row r="925" ht="15.75" customHeight="1">
      <c r="A925" t="str">
        <f>IFERROR(__xludf.DUMMYFUNCTION("""COMPUTED_VALUE"""),"Blotter")</f>
        <v>Blotter</v>
      </c>
      <c r="B925" t="str">
        <f>IFERROR(__xludf.DUMMYFUNCTION("""COMPUTED_VALUE"""),"BlotterColumnChooser")</f>
        <v>BlotterColumnChooser</v>
      </c>
      <c r="C925" t="str">
        <f>IFERROR(__xludf.DUMMYFUNCTION("""COMPUTED_VALUE"""),"12428TbyucuJDD3KuN7QG-GyRYI3gcoyDNKTQ2UpgGMQ")</f>
        <v>12428TbyucuJDD3KuN7QG-GyRYI3gcoyDNKTQ2UpgGMQ</v>
      </c>
    </row>
    <row r="926" ht="15.75" customHeight="1">
      <c r="A926" t="str">
        <f>IFERROR(__xludf.DUMMYFUNCTION("""COMPUTED_VALUE"""),"RTPNL")</f>
        <v>RTPNL</v>
      </c>
      <c r="B926" t="str">
        <f>IFERROR(__xludf.DUMMYFUNCTION("""COMPUTED_VALUE"""),"CreateGroupingWidget")</f>
        <v>CreateGroupingWidget</v>
      </c>
      <c r="C926" t="str">
        <f>IFERROR(__xludf.DUMMYFUNCTION("""COMPUTED_VALUE"""),"1ctXhgvJgrqqe8ees0907Up0TKq9pCEhinMlZnRGqKdY")</f>
        <v>1ctXhgvJgrqqe8ees0907Up0TKq9pCEhinMlZnRGqKdY</v>
      </c>
    </row>
    <row r="927" ht="15.75" customHeight="1">
      <c r="A927" t="str">
        <f>IFERROR(__xludf.DUMMYFUNCTION("""COMPUTED_VALUE"""),"RTPNL")</f>
        <v>RTPNL</v>
      </c>
      <c r="B927" t="str">
        <f>IFERROR(__xludf.DUMMYFUNCTION("""COMPUTED_VALUE"""),"CheckGroupingWidget")</f>
        <v>CheckGroupingWidget</v>
      </c>
      <c r="C927" t="str">
        <f>IFERROR(__xludf.DUMMYFUNCTION("""COMPUTED_VALUE"""),"16mimyUFzQ0Ojogh0t4Evjy-tjzAJ67xgIrWeTNmBdw0")</f>
        <v>16mimyUFzQ0Ojogh0t4Evjy-tjzAJ67xgIrWeTNmBdw0</v>
      </c>
    </row>
    <row r="928" ht="15.75" customHeight="1">
      <c r="A928" t="str">
        <f>IFERROR(__xludf.DUMMYFUNCTION("""COMPUTED_VALUE"""),"TradingTicket")</f>
        <v>TradingTicket</v>
      </c>
      <c r="B928" t="str">
        <f>IFERROR(__xludf.DUMMYFUNCTION("""COMPUTED_VALUE"""),"QTTHamburg")</f>
        <v>QTTHamburg</v>
      </c>
      <c r="C928" t="str">
        <f>IFERROR(__xludf.DUMMYFUNCTION("""COMPUTED_VALUE"""),"1pdXDcLRWAl2b2L88lHCntj01OLBjVHaNAdGG8OHa4hA")</f>
        <v>1pdXDcLRWAl2b2L88lHCntj01OLBjVHaNAdGG8OHa4hA</v>
      </c>
    </row>
    <row r="929" ht="15.75" customHeight="1">
      <c r="A929" t="str">
        <f>IFERROR(__xludf.DUMMYFUNCTION("""COMPUTED_VALUE"""),"RTPNL")</f>
        <v>RTPNL</v>
      </c>
      <c r="B929" t="str">
        <f>IFERROR(__xludf.DUMMYFUNCTION("""COMPUTED_VALUE"""),"VerifyL1L2PanelRTPNL")</f>
        <v>VerifyL1L2PanelRTPNL</v>
      </c>
      <c r="C929" t="str">
        <f>IFERROR(__xludf.DUMMYFUNCTION("""COMPUTED_VALUE"""),"1cQo_rX9O9XHFILj0ICV1GAU_RdtTKYlclT20jg9G7hg")</f>
        <v>1cQo_rX9O9XHFILj0ICV1GAU_RdtTKYlclT20jg9G7hg</v>
      </c>
    </row>
    <row r="930" ht="15.75" customHeight="1">
      <c r="A930" t="str">
        <f>IFERROR(__xludf.DUMMYFUNCTION("""COMPUTED_VALUE"""),"Blotter")</f>
        <v>Blotter</v>
      </c>
      <c r="B930" t="str">
        <f>IFERROR(__xludf.DUMMYFUNCTION("""COMPUTED_VALUE"""),"CaptureHotButtonDetails")</f>
        <v>CaptureHotButtonDetails</v>
      </c>
      <c r="C930" t="str">
        <f>IFERROR(__xludf.DUMMYFUNCTION("""COMPUTED_VALUE"""),"16Dail-EoPWyIhwRzxyvr-EY1IE8jJTUQDarvGnXioxI")</f>
        <v>16Dail-EoPWyIhwRzxyvr-EY1IE8jJTUQDarvGnXioxI</v>
      </c>
    </row>
    <row r="931" ht="15.75" customHeight="1">
      <c r="A931" t="str">
        <f>IFERROR(__xludf.DUMMYFUNCTION("""COMPUTED_VALUE"""),"SymbolLookup")</f>
        <v>SymbolLookup</v>
      </c>
      <c r="B931" t="str">
        <f>IFERROR(__xludf.DUMMYFUNCTION("""COMPUTED_VALUE"""),"EditSMGrid")</f>
        <v>EditSMGrid</v>
      </c>
      <c r="C931" t="str">
        <f>IFERROR(__xludf.DUMMYFUNCTION("""COMPUTED_VALUE"""),"14aTeLjmUbS-nhaQwjtZAMGxdQ5DS6UsBjE5OTWN-LQU")</f>
        <v>14aTeLjmUbS-nhaQwjtZAMGxdQ5DS6UsBjE5OTWN-LQU</v>
      </c>
    </row>
    <row r="932" ht="15.75" customHeight="1">
      <c r="A932" t="str">
        <f>IFERROR(__xludf.DUMMYFUNCTION("""COMPUTED_VALUE"""),"QTT")</f>
        <v>QTT</v>
      </c>
      <c r="B932" t="str">
        <f>IFERROR(__xludf.DUMMYFUNCTION("""COMPUTED_VALUE"""),"EditQuickPreference")</f>
        <v>EditQuickPreference</v>
      </c>
      <c r="C932" t="str">
        <f>IFERROR(__xludf.DUMMYFUNCTION("""COMPUTED_VALUE"""),"133vNW3loXmIKhcuaiCwGIGXOULCttZuJZtPfA4s37vw")</f>
        <v>133vNW3loXmIKhcuaiCwGIGXOULCttZuJZtPfA4s37vw</v>
      </c>
    </row>
    <row r="933" ht="15.75" customHeight="1">
      <c r="A933" t="str">
        <f>IFERROR(__xludf.DUMMYFUNCTION("""COMPUTED_VALUE"""),"Blotter")</f>
        <v>Blotter</v>
      </c>
      <c r="B933" t="str">
        <f>IFERROR(__xludf.DUMMYFUNCTION("""COMPUTED_VALUE"""),"RightClickActionVerification")</f>
        <v>RightClickActionVerification</v>
      </c>
      <c r="C933" t="str">
        <f>IFERROR(__xludf.DUMMYFUNCTION("""COMPUTED_VALUE"""),"11EX1Ln-BQAtx9NTd9zfcaia52FGNdZENDW2kwMCJ8HQ")</f>
        <v>11EX1Ln-BQAtx9NTd9zfcaia52FGNdZENDW2kwMCJ8HQ</v>
      </c>
    </row>
    <row r="934" ht="15.75" customHeight="1">
      <c r="A934" t="str">
        <f>IFERROR(__xludf.DUMMYFUNCTION("""COMPUTED_VALUE"""),"SymbolLookup")</f>
        <v>SymbolLookup</v>
      </c>
      <c r="B934" t="str">
        <f>IFERROR(__xludf.DUMMYFUNCTION("""COMPUTED_VALUE"""),"PageOneDetails")</f>
        <v>PageOneDetails</v>
      </c>
      <c r="C934" t="str">
        <f>IFERROR(__xludf.DUMMYFUNCTION("""COMPUTED_VALUE"""),"11EX1Ln-BQAtx9NTd9zfcaia52FGNdZENDW2kwMCJ8HQ")</f>
        <v>11EX1Ln-BQAtx9NTd9zfcaia52FGNdZENDW2kwMCJ8HQ</v>
      </c>
    </row>
    <row r="935" ht="15.75" customHeight="1">
      <c r="A935" t="str">
        <f>IFERROR(__xludf.DUMMYFUNCTION("""COMPUTED_VALUE"""),"SymbolLookup")</f>
        <v>SymbolLookup</v>
      </c>
      <c r="B935" t="str">
        <f>IFERROR(__xludf.DUMMYFUNCTION("""COMPUTED_VALUE"""),"ActionOnSI")</f>
        <v>ActionOnSI</v>
      </c>
      <c r="C935" t="str">
        <f>IFERROR(__xludf.DUMMYFUNCTION("""COMPUTED_VALUE"""),"11EX1Ln-BQAtx9NTd9zfcaia52FGNdZENDW2kwMCJ8HQ")</f>
        <v>11EX1Ln-BQAtx9NTd9zfcaia52FGNdZENDW2kwMCJ8HQ</v>
      </c>
    </row>
    <row r="936" ht="15.75" customHeight="1">
      <c r="A936" t="str">
        <f>IFERROR(__xludf.DUMMYFUNCTION("""COMPUTED_VALUE"""),"SymbolLookup")</f>
        <v>SymbolLookup</v>
      </c>
      <c r="B936" t="str">
        <f>IFERROR(__xludf.DUMMYFUNCTION("""COMPUTED_VALUE"""),"PageTwoDetails")</f>
        <v>PageTwoDetails</v>
      </c>
      <c r="C936" t="str">
        <f>IFERROR(__xludf.DUMMYFUNCTION("""COMPUTED_VALUE"""),"11EX1Ln-BQAtx9NTd9zfcaia52FGNdZENDW2kwMCJ8HQ")</f>
        <v>11EX1Ln-BQAtx9NTd9zfcaia52FGNdZENDW2kwMCJ8HQ</v>
      </c>
    </row>
    <row r="937" ht="15.75" customHeight="1">
      <c r="A937" t="str">
        <f>IFERROR(__xludf.DUMMYFUNCTION("""COMPUTED_VALUE"""),"SymbolLookup")</f>
        <v>SymbolLookup</v>
      </c>
      <c r="B937" t="str">
        <f>IFERROR(__xludf.DUMMYFUNCTION("""COMPUTED_VALUE"""),"ActiononSMPane")</f>
        <v>ActiononSMPane</v>
      </c>
      <c r="C937" t="str">
        <f>IFERROR(__xludf.DUMMYFUNCTION("""COMPUTED_VALUE"""),"11EX1Ln-BQAtx9NTd9zfcaia52FGNdZENDW2kwMCJ8HQ")</f>
        <v>11EX1Ln-BQAtx9NTd9zfcaia52FGNdZENDW2kwMCJ8HQ</v>
      </c>
    </row>
    <row r="938" ht="15.75" customHeight="1">
      <c r="A938" t="str">
        <f>IFERROR(__xludf.DUMMYFUNCTION("""COMPUTED_VALUE"""),"SymbolLookup")</f>
        <v>SymbolLookup</v>
      </c>
      <c r="B938" t="str">
        <f>IFERROR(__xludf.DUMMYFUNCTION("""COMPUTED_VALUE"""),"PageThreeDetails")</f>
        <v>PageThreeDetails</v>
      </c>
      <c r="C938" t="str">
        <f>IFERROR(__xludf.DUMMYFUNCTION("""COMPUTED_VALUE"""),"11EX1Ln-BQAtx9NTd9zfcaia52FGNdZENDW2kwMCJ8HQ")</f>
        <v>11EX1Ln-BQAtx9NTd9zfcaia52FGNdZENDW2kwMCJ8HQ</v>
      </c>
    </row>
    <row r="939" ht="15.75" customHeight="1">
      <c r="A939" t="str">
        <f>IFERROR(__xludf.DUMMYFUNCTION("""COMPUTED_VALUE"""),"SymbolLookup")</f>
        <v>SymbolLookup</v>
      </c>
      <c r="B939" t="str">
        <f>IFERROR(__xludf.DUMMYFUNCTION("""COMPUTED_VALUE"""),"VerifySMGrid")</f>
        <v>VerifySMGrid</v>
      </c>
      <c r="C939" t="str">
        <f>IFERROR(__xludf.DUMMYFUNCTION("""COMPUTED_VALUE"""),"11EX1Ln-BQAtx9NTd9zfcaia52FGNdZENDW2kwMCJ8HQ")</f>
        <v>11EX1Ln-BQAtx9NTd9zfcaia52FGNdZENDW2kwMCJ8HQ</v>
      </c>
    </row>
    <row r="940" ht="15.75" customHeight="1">
      <c r="A940" t="str">
        <f>IFERROR(__xludf.DUMMYFUNCTION("""COMPUTED_VALUE"""),"SymbolLookup")</f>
        <v>SymbolLookup</v>
      </c>
      <c r="B940" t="str">
        <f>IFERROR(__xludf.DUMMYFUNCTION("""COMPUTED_VALUE"""),"PageFourDetails")</f>
        <v>PageFourDetails</v>
      </c>
      <c r="C940" t="str">
        <f>IFERROR(__xludf.DUMMYFUNCTION("""COMPUTED_VALUE"""),"11EX1Ln-BQAtx9NTd9zfcaia52FGNdZENDW2kwMCJ8HQ")</f>
        <v>11EX1Ln-BQAtx9NTd9zfcaia52FGNdZENDW2kwMCJ8HQ</v>
      </c>
    </row>
    <row r="941" ht="15.75" customHeight="1">
      <c r="A941" t="str">
        <f>IFERROR(__xludf.DUMMYFUNCTION("""COMPUTED_VALUE"""),"Admin")</f>
        <v>Admin</v>
      </c>
      <c r="B941" t="str">
        <f>IFERROR(__xludf.DUMMYFUNCTION("""COMPUTED_VALUE"""),"ChangeDate")</f>
        <v>ChangeDate</v>
      </c>
      <c r="C941" t="str">
        <f>IFERROR(__xludf.DUMMYFUNCTION("""COMPUTED_VALUE"""),"1P5fd0ftHTs8WR6XF70cltzN5BPur7V01OcYEMpPEMVE")</f>
        <v>1P5fd0ftHTs8WR6XF70cltzN5BPur7V01OcYEMpPEMVE</v>
      </c>
    </row>
    <row r="942" ht="15.75" customHeight="1">
      <c r="A942" t="str">
        <f>IFERROR(__xludf.DUMMYFUNCTION("""COMPUTED_VALUE"""),"Simulator")</f>
        <v>Simulator</v>
      </c>
      <c r="B942" t="str">
        <f>IFERROR(__xludf.DUMMYFUNCTION("""COMPUTED_VALUE"""),"NewAcknowledgeTrade")</f>
        <v>NewAcknowledgeTrade</v>
      </c>
      <c r="C942" t="str">
        <f>IFERROR(__xludf.DUMMYFUNCTION("""COMPUTED_VALUE"""),"1H8R-FdslnMhiBZjAanQN5V9z26E47VjoaeJWQdGZ2pU")</f>
        <v>1H8R-FdslnMhiBZjAanQN5V9z26E47VjoaeJWQdGZ2pU</v>
      </c>
    </row>
    <row r="943" ht="15.75" customHeight="1">
      <c r="A943" t="str">
        <f>IFERROR(__xludf.DUMMYFUNCTION("""COMPUTED_VALUE"""),"Allocation")</f>
        <v>Allocation</v>
      </c>
      <c r="B943" t="str">
        <f>IFERROR(__xludf.DUMMYFUNCTION("""COMPUTED_VALUE"""),"ActionOnToolBar")</f>
        <v>ActionOnToolBar</v>
      </c>
      <c r="C943" t="str">
        <f>IFERROR(__xludf.DUMMYFUNCTION("""COMPUTED_VALUE"""),"11EX1Ln-BQAtx9NTd9zfcaia52FGNdZENDW2kwMCJ8HQ")</f>
        <v>11EX1Ln-BQAtx9NTd9zfcaia52FGNdZENDW2kwMCJ8HQ</v>
      </c>
    </row>
    <row r="944" ht="15.75" customHeight="1">
      <c r="A944" t="str">
        <f>IFERROR(__xludf.DUMMYFUNCTION("""COMPUTED_VALUE"""),"Allocation")</f>
        <v>Allocation</v>
      </c>
      <c r="B944" t="str">
        <f>IFERROR(__xludf.DUMMYFUNCTION("""COMPUTED_VALUE"""),"AutoGrpRules")</f>
        <v>AutoGrpRules</v>
      </c>
      <c r="C944" t="str">
        <f>IFERROR(__xludf.DUMMYFUNCTION("""COMPUTED_VALUE"""),"11EX1Ln-BQAtx9NTd9zfcaia52FGNdZENDW2kwMCJ8HQ")</f>
        <v>11EX1Ln-BQAtx9NTd9zfcaia52FGNdZENDW2kwMCJ8HQ</v>
      </c>
    </row>
    <row r="945" ht="15.75" customHeight="1">
      <c r="A945" t="str">
        <f>IFERROR(__xludf.DUMMYFUNCTION("""COMPUTED_VALUE"""),"Allocation")</f>
        <v>Allocation</v>
      </c>
      <c r="B945" t="str">
        <f>IFERROR(__xludf.DUMMYFUNCTION("""COMPUTED_VALUE"""),"VerifyToggleStateTA")</f>
        <v>VerifyToggleStateTA</v>
      </c>
      <c r="C945" t="str">
        <f>IFERROR(__xludf.DUMMYFUNCTION("""COMPUTED_VALUE"""),"11EX1Ln-BQAtx9NTd9zfcaia52FGNdZENDW2kwMCJ8HQ")</f>
        <v>11EX1Ln-BQAtx9NTd9zfcaia52FGNdZENDW2kwMCJ8HQ</v>
      </c>
    </row>
    <row r="946" ht="15.75" customHeight="1">
      <c r="A946" t="str">
        <f>IFERROR(__xludf.DUMMYFUNCTION("""COMPUTED_VALUE"""),"Expnl")</f>
        <v>Expnl</v>
      </c>
      <c r="B946" t="str">
        <f>IFERROR(__xludf.DUMMYFUNCTION("""COMPUTED_VALUE"""),"RefreshExpnlUi")</f>
        <v>RefreshExpnlUi</v>
      </c>
      <c r="C946" t="str">
        <f>IFERROR(__xludf.DUMMYFUNCTION("""COMPUTED_VALUE"""),"Undefined")</f>
        <v>Undefined</v>
      </c>
    </row>
    <row r="947" ht="15.75" customHeight="1">
      <c r="A947" t="str">
        <f>IFERROR(__xludf.DUMMYFUNCTION("""COMPUTED_VALUE"""),"Allocation")</f>
        <v>Allocation</v>
      </c>
      <c r="B947" t="str">
        <f>IFERROR(__xludf.DUMMYFUNCTION("""COMPUTED_VALUE"""),"ActiononAGP")</f>
        <v>ActiononAGP</v>
      </c>
      <c r="C947" t="str">
        <f>IFERROR(__xludf.DUMMYFUNCTION("""COMPUTED_VALUE"""),"11EX1Ln-BQAtx9NTd9zfcaia52FGNdZENDW2kwMCJ8HQ")</f>
        <v>11EX1Ln-BQAtx9NTd9zfcaia52FGNdZENDW2kwMCJ8HQ</v>
      </c>
    </row>
    <row r="948" ht="15.75" customHeight="1">
      <c r="A948" t="str">
        <f>IFERROR(__xludf.DUMMYFUNCTION("""COMPUTED_VALUE"""),"Allocation")</f>
        <v>Allocation</v>
      </c>
      <c r="B948" t="str">
        <f>IFERROR(__xludf.DUMMYFUNCTION("""COMPUTED_VALUE"""),"AttBulkChng")</f>
        <v>AttBulkChng</v>
      </c>
      <c r="C948" t="str">
        <f>IFERROR(__xludf.DUMMYFUNCTION("""COMPUTED_VALUE"""),"11EX1Ln-BQAtx9NTd9zfcaia52FGNdZENDW2kwMCJ8HQ")</f>
        <v>11EX1Ln-BQAtx9NTd9zfcaia52FGNdZENDW2kwMCJ8HQ</v>
      </c>
    </row>
    <row r="949" ht="15.75" customHeight="1">
      <c r="A949" t="str">
        <f>IFERROR(__xludf.DUMMYFUNCTION("""COMPUTED_VALUE"""),"Allocation")</f>
        <v>Allocation</v>
      </c>
      <c r="B949" t="str">
        <f>IFERROR(__xludf.DUMMYFUNCTION("""COMPUTED_VALUE"""),"AttBulkChngTwo")</f>
        <v>AttBulkChngTwo</v>
      </c>
      <c r="C949" t="str">
        <f>IFERROR(__xludf.DUMMYFUNCTION("""COMPUTED_VALUE"""),"11EX1Ln-BQAtx9NTd9zfcaia52FGNdZENDW2kwMCJ8HQ")</f>
        <v>11EX1Ln-BQAtx9NTd9zfcaia52FGNdZENDW2kwMCJ8HQ</v>
      </c>
    </row>
    <row r="950" ht="15.75" customHeight="1">
      <c r="A950" t="str">
        <f>IFERROR(__xludf.DUMMYFUNCTION("""COMPUTED_VALUE"""),"Login")</f>
        <v>Login</v>
      </c>
      <c r="B950" t="str">
        <f>IFERROR(__xludf.DUMMYFUNCTION("""COMPUTED_VALUE"""),"Login")</f>
        <v>Login</v>
      </c>
      <c r="C950" t="str">
        <f>IFERROR(__xludf.DUMMYFUNCTION("""COMPUTED_VALUE"""),"1uy63r2XjpUIBlAUk-lXKJTr-PpvpP6wxvLlLDzoM-Ic")</f>
        <v>1uy63r2XjpUIBlAUk-lXKJTr-PpvpP6wxvLlLDzoM-Ic</v>
      </c>
    </row>
    <row r="951" ht="15.75" customHeight="1">
      <c r="A951" t="str">
        <f>IFERROR(__xludf.DUMMYFUNCTION("""COMPUTED_VALUE"""),"Simulator")</f>
        <v>Simulator</v>
      </c>
      <c r="B951" t="str">
        <f>IFERROR(__xludf.DUMMYFUNCTION("""COMPUTED_VALUE"""),"VerifyRowAllFixLogs")</f>
        <v>VerifyRowAllFixLogs</v>
      </c>
      <c r="C951" t="str">
        <f>IFERROR(__xludf.DUMMYFUNCTION("""COMPUTED_VALUE"""),"1_W_DB1rnbV-zXf1aqv8VkPNpTGPIckmD7s5z0ncm4ho")</f>
        <v>1_W_DB1rnbV-zXf1aqv8VkPNpTGPIckmD7s5z0ncm4ho</v>
      </c>
    </row>
    <row r="952" ht="15.75" customHeight="1">
      <c r="A952" t="str">
        <f>IFERROR(__xludf.DUMMYFUNCTION("""COMPUTED_VALUE"""),"Blotter")</f>
        <v>Blotter</v>
      </c>
      <c r="B952" t="str">
        <f>IFERROR(__xludf.DUMMYFUNCTION("""COMPUTED_VALUE"""),"ManageHotButton")</f>
        <v>ManageHotButton</v>
      </c>
      <c r="C952" t="str">
        <f>IFERROR(__xludf.DUMMYFUNCTION("""COMPUTED_VALUE"""),"1kQpkPRi_1u4R3VazjhiilbOI8OkiiHRY2wfgByau1YY")</f>
        <v>1kQpkPRi_1u4R3VazjhiilbOI8OkiiHRY2wfgByau1YY</v>
      </c>
    </row>
    <row r="953" ht="15.75" customHeight="1">
      <c r="A953" t="str">
        <f>IFERROR(__xludf.DUMMYFUNCTION("""COMPUTED_VALUE"""),"Simulator")</f>
        <v>Simulator</v>
      </c>
      <c r="B953" t="str">
        <f>IFERROR(__xludf.DUMMYFUNCTION("""COMPUTED_VALUE"""),"ClearAllFixLogs")</f>
        <v>ClearAllFixLogs</v>
      </c>
    </row>
    <row r="954" ht="15.75" customHeight="1">
      <c r="A954" t="str">
        <f>IFERROR(__xludf.DUMMYFUNCTION("""COMPUTED_VALUE"""),"PranaClient")</f>
        <v>PranaClient</v>
      </c>
      <c r="B954" t="str">
        <f>IFERROR(__xludf.DUMMYFUNCTION("""COMPUTED_VALUE"""),"UpdateLiveExcelSheetForRTPNL")</f>
        <v>UpdateLiveExcelSheetForRTPNL</v>
      </c>
    </row>
    <row r="955" ht="15.75" customHeight="1">
      <c r="A955" t="str">
        <f>IFERROR(__xludf.DUMMYFUNCTION("""COMPUTED_VALUE"""),"OpenFin")</f>
        <v>OpenFin</v>
      </c>
      <c r="B955" t="str">
        <f>IFERROR(__xludf.DUMMYFUNCTION("""COMPUTED_VALUE"""),"SavePageRTPNL")</f>
        <v>SavePageRTPNL</v>
      </c>
      <c r="C955" t="str">
        <f>IFERROR(__xludf.DUMMYFUNCTION("""COMPUTED_VALUE"""),"1YqhSG4yXo70SfhUq3fYD9CKf-eg44IFJ37IZh4WLI84")</f>
        <v>1YqhSG4yXo70SfhUq3fYD9CKf-eg44IFJ37IZh4WLI84</v>
      </c>
    </row>
    <row r="956" ht="15.75" customHeight="1">
      <c r="A956" t="str">
        <f>IFERROR(__xludf.DUMMYFUNCTION("""COMPUTED_VALUE"""),"RTPNL")</f>
        <v>RTPNL</v>
      </c>
      <c r="B956" t="str">
        <f>IFERROR(__xludf.DUMMYFUNCTION("""COMPUTED_VALUE"""),"VerifyGridThroughLiveExcel")</f>
        <v>VerifyGridThroughLiveExcel</v>
      </c>
      <c r="C956" t="str">
        <f>IFERROR(__xludf.DUMMYFUNCTION("""COMPUTED_VALUE"""),"1cCUw9lchUCKgHeNcwCDXybCOZXIeN4O0zRhkTZCVDUg")</f>
        <v>1cCUw9lchUCKgHeNcwCDXybCOZXIeN4O0zRhkTZCVDUg</v>
      </c>
    </row>
    <row r="957" ht="15.75" customHeight="1">
      <c r="A957" t="str">
        <f>IFERROR(__xludf.DUMMYFUNCTION("""COMPUTED_VALUE"""),"OpenFin")</f>
        <v>OpenFin</v>
      </c>
      <c r="B957" t="str">
        <f>IFERROR(__xludf.DUMMYFUNCTION("""COMPUTED_VALUE"""),"VerifyToastMessage")</f>
        <v>VerifyToastMessage</v>
      </c>
      <c r="C957" t="str">
        <f>IFERROR(__xludf.DUMMYFUNCTION("""COMPUTED_VALUE"""),"1DYn70fZ-UJ9bocMMWUWIW2IVfXlF5TRVuLedi7Y_LNk")</f>
        <v>1DYn70fZ-UJ9bocMMWUWIW2IVfXlF5TRVuLedi7Y_LNk</v>
      </c>
    </row>
    <row r="958" ht="15.75" customHeight="1">
      <c r="A958" t="str">
        <f>IFERROR(__xludf.DUMMYFUNCTION("""COMPUTED_VALUE"""),"NavLock")</f>
        <v>NavLock</v>
      </c>
      <c r="B958" t="str">
        <f>IFERROR(__xludf.DUMMYFUNCTION("""COMPUTED_VALUE"""),"VerifyNavLockGrid")</f>
        <v>VerifyNavLockGrid</v>
      </c>
      <c r="C958" t="str">
        <f>IFERROR(__xludf.DUMMYFUNCTION("""COMPUTED_VALUE"""),"11EX1Ln-BQAtx9NTd9zfcaia52FGNdZENDW2kwMCJ8HQ")</f>
        <v>11EX1Ln-BQAtx9NTd9zfcaia52FGNdZENDW2kwMCJ8HQ</v>
      </c>
    </row>
    <row r="959" ht="15.75" customHeight="1">
      <c r="A959" t="str">
        <f>IFERROR(__xludf.DUMMYFUNCTION("""COMPUTED_VALUE"""),"RTPNL")</f>
        <v>RTPNL</v>
      </c>
      <c r="B959" t="str">
        <f>IFERROR(__xludf.DUMMYFUNCTION("""COMPUTED_VALUE"""),"ApplyColumnFilter")</f>
        <v>ApplyColumnFilter</v>
      </c>
      <c r="C959" t="str">
        <f>IFERROR(__xludf.DUMMYFUNCTION("""COMPUTED_VALUE"""),"1N9Nn6t5kuoUpj5sQRZwukYuXz8skh2F7E53j1Um1W1A")</f>
        <v>1N9Nn6t5kuoUpj5sQRZwukYuXz8skh2F7E53j1Um1W1A</v>
      </c>
    </row>
    <row r="960" ht="15.75" customHeight="1">
      <c r="A960" t="str">
        <f>IFERROR(__xludf.DUMMYFUNCTION("""COMPUTED_VALUE"""),"Closing")</f>
        <v>Closing</v>
      </c>
      <c r="B960" t="str">
        <f>IFERROR(__xludf.DUMMYFUNCTION("""COMPUTED_VALUE"""),"GetClosingData")</f>
        <v>GetClosingData</v>
      </c>
      <c r="C960" t="str">
        <f>IFERROR(__xludf.DUMMYFUNCTION("""COMPUTED_VALUE"""),"11EX1Ln-BQAtx9NTd9zfcaia52FGNdZENDW2kwMCJ9HQ")</f>
        <v>11EX1Ln-BQAtx9NTd9zfcaia52FGNdZENDW2kwMCJ9HQ</v>
      </c>
    </row>
    <row r="961" ht="15.75" customHeight="1">
      <c r="A961" t="str">
        <f>IFERROR(__xludf.DUMMYFUNCTION("""COMPUTED_VALUE"""),"Closing")</f>
        <v>Closing</v>
      </c>
      <c r="B961" t="str">
        <f>IFERROR(__xludf.DUMMYFUNCTION("""COMPUTED_VALUE"""),"CloseAmendOprtn")</f>
        <v>CloseAmendOprtn</v>
      </c>
      <c r="C961" t="str">
        <f>IFERROR(__xludf.DUMMYFUNCTION("""COMPUTED_VALUE"""),"11EX1Ln-BQAtx9NTd9zfcaia52FGNdZENDW2kwMCJ10HQ")</f>
        <v>11EX1Ln-BQAtx9NTd9zfcaia52FGNdZENDW2kwMCJ10HQ</v>
      </c>
    </row>
    <row r="962" ht="15.75" customHeight="1">
      <c r="A962" t="str">
        <f>IFERROR(__xludf.DUMMYFUNCTION("""COMPUTED_VALUE"""),"Closing")</f>
        <v>Closing</v>
      </c>
      <c r="B962" t="str">
        <f>IFERROR(__xludf.DUMMYFUNCTION("""COMPUTED_VALUE"""),"ExpSettlOprtn")</f>
        <v>ExpSettlOprtn</v>
      </c>
      <c r="C962" t="str">
        <f>IFERROR(__xludf.DUMMYFUNCTION("""COMPUTED_VALUE"""),"11EX1Ln-BQAtx9NTd9zfcaia52FGNdZENDW2kwMCJ11HQ")</f>
        <v>11EX1Ln-BQAtx9NTd9zfcaia52FGNdZENDW2kwMCJ11HQ</v>
      </c>
    </row>
    <row r="963" ht="15.75" customHeight="1">
      <c r="A963" t="str">
        <f>IFERROR(__xludf.DUMMYFUNCTION("""COMPUTED_VALUE"""),"Closing")</f>
        <v>Closing</v>
      </c>
      <c r="B963" t="str">
        <f>IFERROR(__xludf.DUMMYFUNCTION("""COMPUTED_VALUE"""),"CloseOrderOprtn")</f>
        <v>CloseOrderOprtn</v>
      </c>
      <c r="C963" t="str">
        <f>IFERROR(__xludf.DUMMYFUNCTION("""COMPUTED_VALUE"""),"11EX1Ln-BQAtx9NTd9zfcaia52FGNdZENDW2kwMCJ12HQ")</f>
        <v>11EX1Ln-BQAtx9NTd9zfcaia52FGNdZENDW2kwMCJ12HQ</v>
      </c>
    </row>
    <row r="964" ht="15.75" customHeight="1">
      <c r="A964" t="str">
        <f>IFERROR(__xludf.DUMMYFUNCTION("""COMPUTED_VALUE"""),"Closing")</f>
        <v>Closing</v>
      </c>
      <c r="B964" t="str">
        <f>IFERROR(__xludf.DUMMYFUNCTION("""COMPUTED_VALUE"""),"SelectgrdCloseTrades")</f>
        <v>SelectgrdCloseTrades</v>
      </c>
      <c r="C964" t="str">
        <f>IFERROR(__xludf.DUMMYFUNCTION("""COMPUTED_VALUE"""),"11EX1Ln-BQAtx9NTd9zfcaia52FGNdZENDW2kwMCJ13HQ")</f>
        <v>11EX1Ln-BQAtx9NTd9zfcaia52FGNdZENDW2kwMCJ13HQ</v>
      </c>
    </row>
    <row r="965" ht="15.75" customHeight="1">
      <c r="A965" t="str">
        <f>IFERROR(__xludf.DUMMYFUNCTION("""COMPUTED_VALUE"""),"Closing")</f>
        <v>Closing</v>
      </c>
      <c r="B965" t="str">
        <f>IFERROR(__xludf.DUMMYFUNCTION("""COMPUTED_VALUE"""),"SelectgrdLongTrades")</f>
        <v>SelectgrdLongTrades</v>
      </c>
      <c r="C965" t="str">
        <f>IFERROR(__xludf.DUMMYFUNCTION("""COMPUTED_VALUE"""),"11EX1Ln-BQAtx9NTd9zfcaia52FGNdZENDW2kwMCJ14HQ")</f>
        <v>11EX1Ln-BQAtx9NTd9zfcaia52FGNdZENDW2kwMCJ14HQ</v>
      </c>
    </row>
    <row r="966" ht="15.75" customHeight="1">
      <c r="A966" t="str">
        <f>IFERROR(__xludf.DUMMYFUNCTION("""COMPUTED_VALUE"""),"Closing")</f>
        <v>Closing</v>
      </c>
      <c r="B966" t="str">
        <f>IFERROR(__xludf.DUMMYFUNCTION("""COMPUTED_VALUE"""),"SelectgrdShortTrades")</f>
        <v>SelectgrdShortTrades</v>
      </c>
      <c r="C966" t="str">
        <f>IFERROR(__xludf.DUMMYFUNCTION("""COMPUTED_VALUE"""),"11EX1Ln-BQAtx9NTd9zfcaia52FGNdZENDW2kwMCJ15HQ")</f>
        <v>11EX1Ln-BQAtx9NTd9zfcaia52FGNdZENDW2kwMCJ15HQ</v>
      </c>
    </row>
    <row r="967" ht="15.75" customHeight="1">
      <c r="A967" t="str">
        <f>IFERROR(__xludf.DUMMYFUNCTION("""COMPUTED_VALUE"""),"Closing")</f>
        <v>Closing</v>
      </c>
      <c r="B967" t="str">
        <f>IFERROR(__xludf.DUMMYFUNCTION("""COMPUTED_VALUE"""),"SelectgrdNetPositionTrades")</f>
        <v>SelectgrdNetPositionTrades</v>
      </c>
      <c r="C967" t="str">
        <f>IFERROR(__xludf.DUMMYFUNCTION("""COMPUTED_VALUE"""),"11EX1Ln-BQAtx9NTd9zfcaia52FGNdZENDW2kwMCJ16HQ")</f>
        <v>11EX1Ln-BQAtx9NTd9zfcaia52FGNdZENDW2kwMCJ16HQ</v>
      </c>
    </row>
    <row r="968" ht="15.75" customHeight="1">
      <c r="A968" t="str">
        <f>IFERROR(__xludf.DUMMYFUNCTION("""COMPUTED_VALUE"""),"Closing")</f>
        <v>Closing</v>
      </c>
      <c r="B968" t="str">
        <f>IFERROR(__xludf.DUMMYFUNCTION("""COMPUTED_VALUE"""),"SelectgrdUnexpiredTrades")</f>
        <v>SelectgrdUnexpiredTrades</v>
      </c>
      <c r="C968" t="str">
        <f>IFERROR(__xludf.DUMMYFUNCTION("""COMPUTED_VALUE"""),"11EX1Ln-BQAtx9NTd9zfcaia52FGNdZENDW2kwMCJ17HQ")</f>
        <v>11EX1Ln-BQAtx9NTd9zfcaia52FGNdZENDW2kwMCJ17HQ</v>
      </c>
    </row>
    <row r="969" ht="15.75" customHeight="1">
      <c r="A969" t="str">
        <f>IFERROR(__xludf.DUMMYFUNCTION("""COMPUTED_VALUE"""),"Closing")</f>
        <v>Closing</v>
      </c>
      <c r="B969" t="str">
        <f>IFERROR(__xludf.DUMMYFUNCTION("""COMPUTED_VALUE"""),"SelectgrdCPTrades")</f>
        <v>SelectgrdCPTrades</v>
      </c>
      <c r="C969" t="str">
        <f>IFERROR(__xludf.DUMMYFUNCTION("""COMPUTED_VALUE"""),"11EX1Ln-BQAtx9NTd9zfcaia52FGNdZENDW2kwMCJ18HQ")</f>
        <v>11EX1Ln-BQAtx9NTd9zfcaia52FGNdZENDW2kwMCJ18HQ</v>
      </c>
    </row>
    <row r="970" ht="15.75" customHeight="1">
      <c r="A970" t="str">
        <f>IFERROR(__xludf.DUMMYFUNCTION("""COMPUTED_VALUE"""),"Closing")</f>
        <v>Closing</v>
      </c>
      <c r="B970" t="str">
        <f>IFERROR(__xludf.DUMMYFUNCTION("""COMPUTED_VALUE"""),"SelectgrdExpiredTrades")</f>
        <v>SelectgrdExpiredTrades</v>
      </c>
      <c r="C970" t="str">
        <f>IFERROR(__xludf.DUMMYFUNCTION("""COMPUTED_VALUE"""),"11EX1Ln-BQAtx9NTd9zfcaia52FGNdZENDW2kwMCJ19HQ")</f>
        <v>11EX1Ln-BQAtx9NTd9zfcaia52FGNdZENDW2kwMCJ19HQ</v>
      </c>
    </row>
    <row r="971" ht="15.75" customHeight="1">
      <c r="A971" t="str">
        <f>IFERROR(__xludf.DUMMYFUNCTION("""COMPUTED_VALUE"""),"Closing")</f>
        <v>Closing</v>
      </c>
      <c r="B971" t="str">
        <f>IFERROR(__xludf.DUMMYFUNCTION("""COMPUTED_VALUE"""),"SelectgrdOpenTrades")</f>
        <v>SelectgrdOpenTrades</v>
      </c>
      <c r="C971" t="str">
        <f>IFERROR(__xludf.DUMMYFUNCTION("""COMPUTED_VALUE"""),"11EX1Ln-BQAtx9NTd9zfcaia52FGNdZENDW2kwMCJ20HQ")</f>
        <v>11EX1Ln-BQAtx9NTd9zfcaia52FGNdZENDW2kwMCJ20HQ</v>
      </c>
    </row>
    <row r="972" ht="15.75" customHeight="1">
      <c r="A972" t="str">
        <f>IFERROR(__xludf.DUMMYFUNCTION("""COMPUTED_VALUE"""),"Closing")</f>
        <v>Closing</v>
      </c>
      <c r="B972" t="str">
        <f>IFERROR(__xludf.DUMMYFUNCTION("""COMPUTED_VALUE"""),"GetClosingData")</f>
        <v>GetClosingData</v>
      </c>
      <c r="C972" t="str">
        <f>IFERROR(__xludf.DUMMYFUNCTION("""COMPUTED_VALUE"""),"11EX1Ln-BQAtx9NTd9zfcaia52FGNdZENDW2kwMCJ20HQ")</f>
        <v>11EX1Ln-BQAtx9NTd9zfcaia52FGNdZENDW2kwMCJ20HQ</v>
      </c>
    </row>
    <row r="973" ht="15.75" customHeight="1">
      <c r="A973" t="str">
        <f>IFERROR(__xludf.DUMMYFUNCTION("""COMPUTED_VALUE"""),"Closing")</f>
        <v>Closing</v>
      </c>
      <c r="B973" t="str">
        <f>IFERROR(__xludf.DUMMYFUNCTION("""COMPUTED_VALUE"""),"WizardOptions")</f>
        <v>WizardOptions</v>
      </c>
      <c r="C973" t="str">
        <f>IFERROR(__xludf.DUMMYFUNCTION("""COMPUTED_VALUE"""),"11EX1Ln-BQAtx9NTd9zfcaia52FGNdZENDW2kwMCJ21HQ")</f>
        <v>11EX1Ln-BQAtx9NTd9zfcaia52FGNdZENDW2kwMCJ21HQ</v>
      </c>
    </row>
    <row r="974" ht="15.75" customHeight="1">
      <c r="A974" t="str">
        <f>IFERROR(__xludf.DUMMYFUNCTION("""COMPUTED_VALUE"""),"Closing")</f>
        <v>Closing</v>
      </c>
      <c r="B974" t="str">
        <f>IFERROR(__xludf.DUMMYFUNCTION("""COMPUTED_VALUE"""),"ActionOnClosingWiz")</f>
        <v>ActionOnClosingWiz</v>
      </c>
      <c r="C974" t="str">
        <f>IFERROR(__xludf.DUMMYFUNCTION("""COMPUTED_VALUE"""),"11EX1Ln-BQAtx9NTd9zfcaia52FGNdZENDW2kwMCJ21HQ")</f>
        <v>11EX1Ln-BQAtx9NTd9zfcaia52FGNdZENDW2kwMCJ21HQ</v>
      </c>
    </row>
    <row r="975" ht="15.75" customHeight="1">
      <c r="A975" t="str">
        <f>IFERROR(__xludf.DUMMYFUNCTION("""COMPUTED_VALUE"""),"Allocation")</f>
        <v>Allocation</v>
      </c>
      <c r="B975" t="str">
        <f>IFERROR(__xludf.DUMMYFUNCTION("""COMPUTED_VALUE"""),"VerifyAttRenaming")</f>
        <v>VerifyAttRenaming</v>
      </c>
      <c r="C975" t="str">
        <f>IFERROR(__xludf.DUMMYFUNCTION("""COMPUTED_VALUE"""),"11EX1Ln-BQAtx9NTd9zfcaia52FGNdZENDW2kwMCJ21HQ")</f>
        <v>11EX1Ln-BQAtx9NTd9zfcaia52FGNdZENDW2kwMCJ21HQ</v>
      </c>
    </row>
    <row r="976" ht="15.75" customHeight="1">
      <c r="A976" t="str">
        <f>IFERROR(__xludf.DUMMYFUNCTION("""COMPUTED_VALUE"""),"NavLock")</f>
        <v>NavLock</v>
      </c>
      <c r="B976" t="str">
        <f>IFERROR(__xludf.DUMMYFUNCTION("""COMPUTED_VALUE"""),"DeleteRowNavLock")</f>
        <v>DeleteRowNavLock</v>
      </c>
      <c r="C976" t="str">
        <f>IFERROR(__xludf.DUMMYFUNCTION("""COMPUTED_VALUE"""),"11EX1Ln-BQAtx9NTd9zfcaia52FGNdZENDW2kwMCJ21HQ")</f>
        <v>11EX1Ln-BQAtx9NTd9zfcaia52FGNdZENDW2kwMCJ21HQ</v>
      </c>
    </row>
    <row r="977" ht="15.75" customHeight="1">
      <c r="A977" t="str">
        <f>IFERROR(__xludf.DUMMYFUNCTION("""COMPUTED_VALUE"""),"Closing")</f>
        <v>Closing</v>
      </c>
      <c r="B977" t="str">
        <f>IFERROR(__xludf.DUMMYFUNCTION("""COMPUTED_VALUE"""),"VerifyLongPositionsGrid")</f>
        <v>VerifyLongPositionsGrid</v>
      </c>
      <c r="C977" t="str">
        <f>IFERROR(__xludf.DUMMYFUNCTION("""COMPUTED_VALUE"""),"11EX1Ln-BQAtx9NTd9zfcaia52FGNdZENDW2kwMCJ14HQ")</f>
        <v>11EX1Ln-BQAtx9NTd9zfcaia52FGNdZENDW2kwMCJ14HQ</v>
      </c>
    </row>
    <row r="978" ht="15.75" customHeight="1">
      <c r="A978" t="str">
        <f>IFERROR(__xludf.DUMMYFUNCTION("""COMPUTED_VALUE"""),"Closing")</f>
        <v>Closing</v>
      </c>
      <c r="B978" t="str">
        <f>IFERROR(__xludf.DUMMYFUNCTION("""COMPUTED_VALUE"""),"VerifyShortPositionsGrid")</f>
        <v>VerifyShortPositionsGrid</v>
      </c>
      <c r="C978" t="str">
        <f>IFERROR(__xludf.DUMMYFUNCTION("""COMPUTED_VALUE"""),"11EX1Ln-BQAtx9NTd9zfcaia52FGNdZENDW2kwMCJ15HQ")</f>
        <v>11EX1Ln-BQAtx9NTd9zfcaia52FGNdZENDW2kwMCJ15HQ</v>
      </c>
    </row>
    <row r="979" ht="15.75" customHeight="1">
      <c r="A979" t="str">
        <f>IFERROR(__xludf.DUMMYFUNCTION("""COMPUTED_VALUE"""),"Closing")</f>
        <v>Closing</v>
      </c>
      <c r="B979" t="str">
        <f>IFERROR(__xludf.DUMMYFUNCTION("""COMPUTED_VALUE"""),"VerifyClosedTrades")</f>
        <v>VerifyClosedTrades</v>
      </c>
      <c r="C979" t="str">
        <f>IFERROR(__xludf.DUMMYFUNCTION("""COMPUTED_VALUE"""),"11EX1Ln-BQAtx9NTd9zfcaia52FGNdZENDW2kwMCJ16HQ")</f>
        <v>11EX1Ln-BQAtx9NTd9zfcaia52FGNdZENDW2kwMCJ16HQ</v>
      </c>
    </row>
    <row r="980" ht="15.75" customHeight="1">
      <c r="A980" t="str">
        <f>IFERROR(__xludf.DUMMYFUNCTION("""COMPUTED_VALUE"""),"Closing")</f>
        <v>Closing</v>
      </c>
      <c r="B980" t="str">
        <f>IFERROR(__xludf.DUMMYFUNCTION("""COMPUTED_VALUE"""),"CloseAmendOprtn")</f>
        <v>CloseAmendOprtn</v>
      </c>
      <c r="C980" t="str">
        <f>IFERROR(__xludf.DUMMYFUNCTION("""COMPUTED_VALUE"""),"11EX1Ln-BQAtx9NTd9zfcaia52FGNdZENDW2kwMCJ17HQ")</f>
        <v>11EX1Ln-BQAtx9NTd9zfcaia52FGNdZENDW2kwMCJ17HQ</v>
      </c>
    </row>
    <row r="981" ht="15.75" customHeight="1">
      <c r="A981" t="str">
        <f>IFERROR(__xludf.DUMMYFUNCTION("""COMPUTED_VALUE"""),"Closing")</f>
        <v>Closing</v>
      </c>
      <c r="B981" t="str">
        <f>IFERROR(__xludf.DUMMYFUNCTION("""COMPUTED_VALUE"""),"ExpSettlOprtn")</f>
        <v>ExpSettlOprtn</v>
      </c>
      <c r="C981" t="str">
        <f>IFERROR(__xludf.DUMMYFUNCTION("""COMPUTED_VALUE"""),"11EX1Ln-BQAtx9NTd9zfcaia52FGNdZENDW2kwMCJ18HQ")</f>
        <v>11EX1Ln-BQAtx9NTd9zfcaia52FGNdZENDW2kwMCJ18HQ</v>
      </c>
    </row>
    <row r="982" ht="15.75" customHeight="1">
      <c r="A982" t="str">
        <f>IFERROR(__xludf.DUMMYFUNCTION("""COMPUTED_VALUE"""),"Closing")</f>
        <v>Closing</v>
      </c>
      <c r="B982" t="str">
        <f>IFERROR(__xludf.DUMMYFUNCTION("""COMPUTED_VALUE"""),"ActionOnExpGrid")</f>
        <v>ActionOnExpGrid</v>
      </c>
      <c r="C982" t="str">
        <f>IFERROR(__xludf.DUMMYFUNCTION("""COMPUTED_VALUE"""),"11EX1Ln-BQAtx9NTd9zfcaia52FGNdZENDW2kwMCJ19HQ")</f>
        <v>11EX1Ln-BQAtx9NTd9zfcaia52FGNdZENDW2kwMCJ19HQ</v>
      </c>
    </row>
    <row r="983" ht="15.75" customHeight="1">
      <c r="A983" t="str">
        <f>IFERROR(__xludf.DUMMYFUNCTION("""COMPUTED_VALUE"""),"Closing")</f>
        <v>Closing</v>
      </c>
      <c r="B983" t="str">
        <f>IFERROR(__xludf.DUMMYFUNCTION("""COMPUTED_VALUE"""),"ActiononIncorrectQty")</f>
        <v>ActiononIncorrectQty</v>
      </c>
      <c r="C983" t="str">
        <f>IFERROR(__xludf.DUMMYFUNCTION("""COMPUTED_VALUE"""),"11EX1Ln-BQAtx9NTd9zfcaia52FGNdZENDW2kwMCJ20HQ")</f>
        <v>11EX1Ln-BQAtx9NTd9zfcaia52FGNdZENDW2kwMCJ20HQ</v>
      </c>
    </row>
    <row r="984" ht="15.75" customHeight="1">
      <c r="A984" t="str">
        <f>IFERROR(__xludf.DUMMYFUNCTION("""COMPUTED_VALUE"""),"Closing")</f>
        <v>Closing</v>
      </c>
      <c r="B984" t="str">
        <f>IFERROR(__xludf.DUMMYFUNCTION("""COMPUTED_VALUE"""),"VerifyIncorrectQty")</f>
        <v>VerifyIncorrectQty</v>
      </c>
      <c r="C984" t="str">
        <f>IFERROR(__xludf.DUMMYFUNCTION("""COMPUTED_VALUE"""),"11EX1Ln-BQAtx9NTd9zfcaia52FGNdZENDW2kwMCJ21HQ")</f>
        <v>11EX1Ln-BQAtx9NTd9zfcaia52FGNdZENDW2kwMCJ21HQ</v>
      </c>
    </row>
    <row r="985" ht="15.75" customHeight="1">
      <c r="A985" t="str">
        <f>IFERROR(__xludf.DUMMYFUNCTION("""COMPUTED_VALUE"""),"Closing")</f>
        <v>Closing</v>
      </c>
      <c r="B985" t="str">
        <f>IFERROR(__xludf.DUMMYFUNCTION("""COMPUTED_VALUE"""),"VerifyOpenTrades")</f>
        <v>VerifyOpenTrades</v>
      </c>
      <c r="C985" t="str">
        <f>IFERROR(__xludf.DUMMYFUNCTION("""COMPUTED_VALUE"""),"11EX1Ln-BQAtx9NTd9zfcaia52FGNdZENDW2kwMCJ20HQ")</f>
        <v>11EX1Ln-BQAtx9NTd9zfcaia52FGNdZENDW2kwMCJ20HQ</v>
      </c>
    </row>
    <row r="986" ht="15.75" customHeight="1">
      <c r="A986" t="str">
        <f>IFERROR(__xludf.DUMMYFUNCTION("""COMPUTED_VALUE"""),"CreateTransaction")</f>
        <v>CreateTransaction</v>
      </c>
      <c r="B986" t="str">
        <f>IFERROR(__xludf.DUMMYFUNCTION("""COMPUTED_VALUE"""),"EditCTGrid")</f>
        <v>EditCTGrid</v>
      </c>
      <c r="C986" t="str">
        <f>IFERROR(__xludf.DUMMYFUNCTION("""COMPUTED_VALUE"""),"11EX1Ln-BQAtx9NTd9zfcaia52FGNdZENDW2kwMCJ20HQ")</f>
        <v>11EX1Ln-BQAtx9NTd9zfcaia52FGNdZENDW2kwMCJ20HQ</v>
      </c>
    </row>
    <row r="987" ht="15.75" customHeight="1">
      <c r="A987" t="str">
        <f>IFERROR(__xludf.DUMMYFUNCTION("""COMPUTED_VALUE"""),"CreateTransaction")</f>
        <v>CreateTransaction</v>
      </c>
      <c r="B987" t="str">
        <f>IFERROR(__xludf.DUMMYFUNCTION("""COMPUTED_VALUE"""),"ActionOnCT")</f>
        <v>ActionOnCT</v>
      </c>
      <c r="C987" t="str">
        <f>IFERROR(__xludf.DUMMYFUNCTION("""COMPUTED_VALUE"""),"11EX1Ln-BQAtx9NTd9zfcaia52FGNdZENDW2kwMCJ20HQ")</f>
        <v>11EX1Ln-BQAtx9NTd9zfcaia52FGNdZENDW2kwMCJ20HQ</v>
      </c>
    </row>
    <row r="988" ht="15.75" customHeight="1">
      <c r="A988" t="str">
        <f>IFERROR(__xludf.DUMMYFUNCTION("""COMPUTED_VALUE"""),"Unknown")</f>
        <v>Unknown</v>
      </c>
      <c r="B988" t="str">
        <f>IFERROR(__xludf.DUMMYFUNCTION("""COMPUTED_VALUE"""),"OpenColumnChooser")</f>
        <v>OpenColumnChooser</v>
      </c>
      <c r="C988" t="str">
        <f>IFERROR(__xludf.DUMMYFUNCTION("""COMPUTED_VALUE"""),"11EX1Ln-BQAtx9NTd9zfcaia52FGNdZENDW2kwMCJ20HQ")</f>
        <v>11EX1Ln-BQAtx9NTd9zfcaia52FGNdZENDW2kwMCJ20HQ</v>
      </c>
    </row>
    <row r="989" ht="15.75" customHeight="1">
      <c r="A989" t="str">
        <f>IFERROR(__xludf.DUMMYFUNCTION("""COMPUTED_VALUE"""),"Closing")</f>
        <v>Closing</v>
      </c>
      <c r="B989" t="str">
        <f>IFERROR(__xludf.DUMMYFUNCTION("""COMPUTED_VALUE"""),"UnExpUnsettOperation")</f>
        <v>UnExpUnsettOperation</v>
      </c>
      <c r="C989" t="str">
        <f>IFERROR(__xludf.DUMMYFUNCTION("""COMPUTED_VALUE"""),"11EX1Ln-BQAtx9NTd9zfcaia52FGNdZENDW2kwMCJ20HQ")</f>
        <v>11EX1Ln-BQAtx9NTd9zfcaia52FGNdZENDW2kwMCJ20HQ</v>
      </c>
    </row>
    <row r="990" ht="15.75" customHeight="1">
      <c r="A990" t="str">
        <f>IFERROR(__xludf.DUMMYFUNCTION("""COMPUTED_VALUE"""),"NavLock")</f>
        <v>NavLock</v>
      </c>
      <c r="B990" t="str">
        <f>IFERROR(__xludf.DUMMYFUNCTION("""COMPUTED_VALUE"""),"ActiononNavLock")</f>
        <v>ActiononNavLock</v>
      </c>
      <c r="C990" t="str">
        <f>IFERROR(__xludf.DUMMYFUNCTION("""COMPUTED_VALUE"""),"11EX1Ln-BQAtx9NTd9zfcaia52FGNdZENDW2kwMCJ20HQ")</f>
        <v>11EX1Ln-BQAtx9NTd9zfcaia52FGNdZENDW2kwMCJ20HQ</v>
      </c>
    </row>
    <row r="991" ht="15.75" customHeight="1">
      <c r="A991" t="str">
        <f>IFERROR(__xludf.DUMMYFUNCTION("""COMPUTED_VALUE"""),"Allocation")</f>
        <v>Allocation</v>
      </c>
      <c r="B991" t="str">
        <f>IFERROR(__xludf.DUMMYFUNCTION("""COMPUTED_VALUE"""),"ActiononFixPref")</f>
        <v>ActiononFixPref</v>
      </c>
      <c r="C991" t="str">
        <f>IFERROR(__xludf.DUMMYFUNCTION("""COMPUTED_VALUE"""),"11EX1Ln-BQAtx9NTd9zfcaia52FGNdZENDW2kwMCJ20HQ")</f>
        <v>11EX1Ln-BQAtx9NTd9zfcaia52FGNdZENDW2kwMCJ20HQ</v>
      </c>
    </row>
    <row r="992" ht="15.75" customHeight="1">
      <c r="A992" t="str">
        <f>IFERROR(__xludf.DUMMYFUNCTION("""COMPUTED_VALUE"""),"Blotter")</f>
        <v>Blotter</v>
      </c>
      <c r="B992" t="str">
        <f>IFERROR(__xludf.DUMMYFUNCTION("""COMPUTED_VALUE"""),"SelectWorkSubsOnBlotter")</f>
        <v>SelectWorkSubsOnBlotter</v>
      </c>
      <c r="C992" t="str">
        <f>IFERROR(__xludf.DUMMYFUNCTION("""COMPUTED_VALUE"""),"11EX1Ln-BQAtx9NTd9zfcaia52FGNdZENDW2kwMCJ20HQ")</f>
        <v>11EX1Ln-BQAtx9NTd9zfcaia52FGNdZENDW2kwMCJ20HQ</v>
      </c>
    </row>
    <row r="993" ht="15.75" customHeight="1">
      <c r="A993" t="str">
        <f>IFERROR(__xludf.DUMMYFUNCTION("""COMPUTED_VALUE"""),"Closing")</f>
        <v>Closing</v>
      </c>
      <c r="B993" t="str">
        <f>IFERROR(__xludf.DUMMYFUNCTION("""COMPUTED_VALUE"""),"VerifyAccountUnexpired")</f>
        <v>VerifyAccountUnexpired</v>
      </c>
      <c r="C993" t="str">
        <f>IFERROR(__xludf.DUMMYFUNCTION("""COMPUTED_VALUE"""),"11EX1Ln-BQAtx9NTd9zfcaia52FGNdZENDW2kwMCJ20HQ")</f>
        <v>11EX1Ln-BQAtx9NTd9zfcaia52FGNdZENDW2kwMCJ20HQ</v>
      </c>
    </row>
    <row r="994" ht="15.75" customHeight="1">
      <c r="A994" t="str">
        <f>IFERROR(__xludf.DUMMYFUNCTION("""COMPUTED_VALUE"""),"PortfolioManagement")</f>
        <v>PortfolioManagement</v>
      </c>
      <c r="B994" t="str">
        <f>IFERROR(__xludf.DUMMYFUNCTION("""COMPUTED_VALUE"""),"ToolBarActiononPM")</f>
        <v>ToolBarActiononPM</v>
      </c>
      <c r="C994" t="str">
        <f>IFERROR(__xludf.DUMMYFUNCTION("""COMPUTED_VALUE"""),"11EX1Ln-BQAtx9NTd9zfcaia52FGNdZENDW2kwMCJ20HQ")</f>
        <v>11EX1Ln-BQAtx9NTd9zfcaia52FGNdZENDW2kwMCJ20HQ</v>
      </c>
    </row>
    <row r="995" ht="15.75" customHeight="1">
      <c r="A995" t="str">
        <f>IFERROR(__xludf.DUMMYFUNCTION("""COMPUTED_VALUE"""),"Allocation")</f>
        <v>Allocation</v>
      </c>
      <c r="B995" t="str">
        <f>IFERROR(__xludf.DUMMYFUNCTION("""COMPUTED_VALUE"""),"EditAttRenaming")</f>
        <v>EditAttRenaming</v>
      </c>
      <c r="C995" t="str">
        <f>IFERROR(__xludf.DUMMYFUNCTION("""COMPUTED_VALUE"""),"14aTeLjmUbS-nhaQwjtZAMGxdQ5DS6UsBjE5OTWN-LQU")</f>
        <v>14aTeLjmUbS-nhaQwjtZAMGxdQ5DS6UsBjE5OTWN-LQU</v>
      </c>
    </row>
    <row r="996" ht="15.75" customHeight="1">
      <c r="A996" t="str">
        <f>IFERROR(__xludf.DUMMYFUNCTION("""COMPUTED_VALUE"""),"Unknown")</f>
        <v>Unknown</v>
      </c>
      <c r="B996" t="str">
        <f>IFERROR(__xludf.DUMMYFUNCTION("""COMPUTED_VALUE"""),"ActiononColumnChooser")</f>
        <v>ActiononColumnChooser</v>
      </c>
      <c r="C996" t="str">
        <f>IFERROR(__xludf.DUMMYFUNCTION("""COMPUTED_VALUE"""),"14aTeLjmUbS-nhaQwjtZAMGxdQ5DS6UsBjE5OTWN-LQU")</f>
        <v>14aTeLjmUbS-nhaQwjtZAMGxdQ5DS6UsBjE5OTWN-LQU</v>
      </c>
    </row>
    <row r="997" ht="15.75" customHeight="1">
      <c r="A997" t="str">
        <f>IFERROR(__xludf.DUMMYFUNCTION("""COMPUTED_VALUE"""),"Unknown")</f>
        <v>Unknown</v>
      </c>
      <c r="B997" t="str">
        <f>IFERROR(__xludf.DUMMYFUNCTION("""COMPUTED_VALUE"""),"VerifyColumnChooser")</f>
        <v>VerifyColumnChooser</v>
      </c>
      <c r="C997" t="str">
        <f>IFERROR(__xludf.DUMMYFUNCTION("""COMPUTED_VALUE"""),"14aTeLjmUbS-nhaQwjtZAMGxdQ5DS6UsBjE5OTWN-LQU")</f>
        <v>14aTeLjmUbS-nhaQwjtZAMGxdQ5DS6UsBjE5OTWN-LQU</v>
      </c>
    </row>
    <row r="998" ht="15.75" customHeight="1">
      <c r="A998" t="str">
        <f>IFERROR(__xludf.DUMMYFUNCTION("""COMPUTED_VALUE"""),"Unknown")</f>
        <v>Unknown</v>
      </c>
      <c r="B998" t="str">
        <f>IFERROR(__xludf.DUMMYFUNCTION("""COMPUTED_VALUE"""),"EditColumnChooser")</f>
        <v>EditColumnChooser</v>
      </c>
      <c r="C998" t="str">
        <f>IFERROR(__xludf.DUMMYFUNCTION("""COMPUTED_VALUE"""),"14aTeLjmUbS-nhaQwjtZAMGxdQ5DS6UsBjE5OTWN-LQU")</f>
        <v>14aTeLjmUbS-nhaQwjtZAMGxdQ5DS6UsBjE5OTWN-LQU</v>
      </c>
    </row>
    <row r="999" ht="15.75" customHeight="1">
      <c r="A999" t="str">
        <f>IFERROR(__xludf.DUMMYFUNCTION("""COMPUTED_VALUE"""),"Unknown")</f>
        <v>Unknown</v>
      </c>
      <c r="B999" t="str">
        <f>IFERROR(__xludf.DUMMYFUNCTION("""COMPUTED_VALUE"""),"OpenColumnChooser")</f>
        <v>OpenColumnChooser</v>
      </c>
      <c r="C999" t="str">
        <f>IFERROR(__xludf.DUMMYFUNCTION("""COMPUTED_VALUE"""),"14aTeLjmUbS-nhaQwjtZAMGxdQ5DS6UsBjE5OTWN-LQU")</f>
        <v>14aTeLjmUbS-nhaQwjtZAMGxdQ5DS6UsBjE5OTWN-LQU</v>
      </c>
    </row>
    <row r="1000" ht="15.75" customHeight="1">
      <c r="A1000" t="str">
        <f>IFERROR(__xludf.DUMMYFUNCTION("""COMPUTED_VALUE"""),"TradingTicket")</f>
        <v>TradingTicket</v>
      </c>
      <c r="B1000" t="str">
        <f>IFERROR(__xludf.DUMMYFUNCTION("""COMPUTED_VALUE"""),"UpdateTTCA")</f>
        <v>UpdateTTCA</v>
      </c>
      <c r="C1000" t="str">
        <f>IFERROR(__xludf.DUMMYFUNCTION("""COMPUTED_VALUE"""),"14aTeLjmUbS-nhaQwjtZAMGxdQ5DS6UsBjE5OTWN-LQU")</f>
        <v>14aTeLjmUbS-nhaQwjtZAMGxdQ5DS6UsBjE5OTWN-LQU</v>
      </c>
    </row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IFERROR(__xludf.DUMMYFUNCTION("""COMPUTED_VALUE"""),"Increase/Decrease Quantity")</f>
        <v>Increase/Decrease Quantity</v>
      </c>
      <c r="AY5" s="29" t="str">
        <f>IFERROR(__xludf.DUMMYFUNCTION("""COMPUTED_VALUE"""),"Master Funds")</f>
        <v>Master Funds</v>
      </c>
      <c r="AZ5" s="29" t="str">
        <f>IFERROR(__xludf.DUMMYFUNCTION("""COMPUTED_VALUE"""),"TRVAccountName")</f>
        <v>TRVAccountName</v>
      </c>
      <c r="BA5" s="29" t="str">
        <f>IFERROR(__xludf.DUMMYFUNCTION("""COMPUTED_VALUE"""),"TRVTradeQuantity")</f>
        <v>TRVTradeQuantity</v>
      </c>
      <c r="BB5" s="29" t="str">
        <f>IFERROR(__xludf.DUMMYFUNCTION("""COMPUTED_VALUE"""),"TRVCurrentPosition")</f>
        <v>TRVCurrentPosition</v>
      </c>
      <c r="BC5" s="29" t="str">
        <f>IFERROR(__xludf.DUMMYFUNCTION("""COMPUTED_VALUE"""),"TRVNav")</f>
        <v>TRVNav</v>
      </c>
      <c r="BD5" s="29" t="str">
        <f>IFERROR(__xludf.DUMMYFUNCTION("""COMPUTED_VALUE"""),"Account QTY")</f>
        <v>Account QTY</v>
      </c>
      <c r="BE5" s="29" t="str">
        <f>IFERROR(__xludf.DUMMYFUNCTION("""COMPUTED_VALUE"""),"DoneAwayClickOnNO")</f>
        <v>DoneAwayClickOnNO</v>
      </c>
      <c r="BF5" s="29" t="str">
        <f>IFERROR(__xludf.DUMMYFUNCTION("""COMPUTED_VALUE"""),"HotbuttonQty")</f>
        <v>HotbuttonQty</v>
      </c>
      <c r="BG5" s="29" t="str">
        <f>IFERROR(__xludf.DUMMYFUNCTION("""COMPUTED_VALUE"""),"HotButtonPrice")</f>
        <v>HotButtonPrice</v>
      </c>
      <c r="BH5" s="29" t="str">
        <f>IFERROR(__xludf.DUMMYFUNCTION("""COMPUTED_VALUE"""),"HotButtonLimit")</f>
        <v>HotButtonLimit</v>
      </c>
      <c r="BI5" s="29" t="str">
        <f>IFERROR(__xludf.DUMMYFUNCTION("""COMPUTED_VALUE"""),"HotButtonStop")</f>
        <v>HotButtonStop</v>
      </c>
      <c r="BJ5" s="29" t="str">
        <f>IFERROR(__xludf.DUMMYFUNCTION("""COMPUTED_VALUE"""),"Broker PadLock")</f>
        <v>Broker PadLock</v>
      </c>
      <c r="BK5" s="29" t="str">
        <f>IFERROR(__xludf.DUMMYFUNCTION("""COMPUTED_VALUE"""),"TradeBy")</f>
        <v>TradeBy</v>
      </c>
      <c r="BL5" s="29" t="str">
        <f>IFERROR(__xludf.DUMMYFUNCTION("""COMPUTED_VALUE"""),"PendingApprovalPopUp")</f>
        <v>PendingApprovalPopUp</v>
      </c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12" t="s">
        <v>17</v>
      </c>
      <c r="D6" s="12">
        <v>100.0</v>
      </c>
      <c r="E6" s="30"/>
      <c r="F6" s="12" t="s">
        <v>18</v>
      </c>
      <c r="G6" s="8"/>
      <c r="H6" s="8"/>
      <c r="I6" s="8"/>
      <c r="J6" s="12">
        <v>2.0</v>
      </c>
      <c r="K6" s="8"/>
      <c r="L6" s="8"/>
      <c r="M6" s="8"/>
      <c r="N6" s="31">
        <f>today()</f>
        <v>45869</v>
      </c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IFERROR(__xludf.DUMMYFUNCTION("""COMPUTED_VALUE"""),"PreferenceName")</f>
        <v>PreferenceName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21</v>
      </c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AddCalculatedPreferences!$4:$4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IFERROR(__xludf.DUMMYFUNCTION("""COMPUTED_VALUE"""),"PreferenceName")</f>
        <v>PreferenceName</v>
      </c>
      <c r="C5" s="27" t="str">
        <f>IFERROR(__xludf.DUMMYFUNCTION("""COMPUTED_VALUE"""),"AccountName")</f>
        <v>AccountName</v>
      </c>
      <c r="D5" s="27" t="str">
        <f>IFERROR(__xludf.DUMMYFUNCTION("""COMPUTED_VALUE"""),"Percentage")</f>
        <v>Percentage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21</v>
      </c>
      <c r="C6" s="12" t="s">
        <v>23</v>
      </c>
      <c r="D6" s="12">
        <v>60.0</v>
      </c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2" t="s">
        <v>21</v>
      </c>
      <c r="C7" s="12" t="s">
        <v>24</v>
      </c>
      <c r="D7" s="12">
        <v>40.0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SetAccountValueCalculatedPref!$4:$4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IFERROR(__xludf.DUMMYFUNCTION("""COMPUTED_VALUE"""),"PreferenceName")</f>
        <v>PreferenceName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25</v>
      </c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AddCalculatedPreferences1!$4:$4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IFERROR(__xludf.DUMMYFUNCTION("""COMPUTED_VALUE"""),"PreferenceName")</f>
        <v>PreferenceName</v>
      </c>
      <c r="C5" s="27" t="str">
        <f>IFERROR(__xludf.DUMMYFUNCTION("""COMPUTED_VALUE"""),"AccountName")</f>
        <v>AccountName</v>
      </c>
      <c r="D5" s="27" t="str">
        <f>IFERROR(__xludf.DUMMYFUNCTION("""COMPUTED_VALUE"""),"Percentage")</f>
        <v>Percentage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25</v>
      </c>
      <c r="C6" s="12" t="s">
        <v>23</v>
      </c>
      <c r="D6" s="12">
        <v>70.0</v>
      </c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2" t="s">
        <v>25</v>
      </c>
      <c r="C7" s="12" t="s">
        <v>24</v>
      </c>
      <c r="D7" s="12">
        <v>30.0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SetAccountValueCalculatedPref1!$4:$4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 t="str">
        <f>IFERROR(__xludf.DUMMYFUNCTION("""COMPUTED_VALUE"""),"SetAuecExecutingBroker")</f>
        <v>SetAuecExecutingBroker</v>
      </c>
      <c r="AH4" s="25" t="str">
        <f>IFERROR(__xludf.DUMMYFUNCTION("""COMPUTED_VALUE"""),"SetAlgoBroker")</f>
        <v>SetAlgoBroker</v>
      </c>
      <c r="AI4" s="25" t="str">
        <f>IFERROR(__xludf.DUMMYFUNCTION("""COMPUTED_VALUE"""),"EnableAutoGroupingAllocation")</f>
        <v>EnableAutoGroupingAllocation</v>
      </c>
      <c r="AJ4" s="25" t="str">
        <f>IFERROR(__xludf.DUMMYFUNCTION("""COMPUTED_VALUE"""),"ConfigUpdater")</f>
        <v>ConfigUpdater</v>
      </c>
      <c r="AK4" s="25" t="str">
        <f>IFERROR(__xludf.DUMMYFUNCTION("""COMPUTED_VALUE"""),"AccountPermission")</f>
        <v>AccountPermission</v>
      </c>
      <c r="AL4" s="25" t="str">
        <f>IFERROR(__xludf.DUMMYFUNCTION("""COMPUTED_VALUE"""),"BasketPermission")</f>
        <v>BasketPermission</v>
      </c>
      <c r="AM4" s="25" t="str">
        <f>IFERROR(__xludf.DUMMYFUNCTION("""COMPUTED_VALUE"""),"ChangeDate")</f>
        <v>ChangeDate</v>
      </c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IFERROR(__xludf.DUMMYFUNCTION("""COMPUTED_VALUE"""),"AccountName")</f>
        <v>AccountName</v>
      </c>
      <c r="C5" s="27" t="str">
        <f>IFERROR(__xludf.DUMMYFUNCTION("""COMPUTED_VALUE"""),"UserID")</f>
        <v>UserID</v>
      </c>
      <c r="D5" s="27" t="str">
        <f>IFERROR(__xludf.DUMMYFUNCTION("""COMPUTED_VALUE"""),"Allocate/Unallocate")</f>
        <v>Allocate/Unallocate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23</v>
      </c>
      <c r="C6" s="12">
        <v>17.0</v>
      </c>
      <c r="D6" s="12" t="s">
        <v>28</v>
      </c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AccountPermission!$4:$4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IFERROR(__xludf.DUMMYFUNCTION("""COMPUTED_VALUE"""),"Increase/Decrease Quantity")</f>
        <v>Increase/Decrease Quantity</v>
      </c>
      <c r="AY5" s="29" t="str">
        <f>IFERROR(__xludf.DUMMYFUNCTION("""COMPUTED_VALUE"""),"Master Funds")</f>
        <v>Master Funds</v>
      </c>
      <c r="AZ5" s="29" t="str">
        <f>IFERROR(__xludf.DUMMYFUNCTION("""COMPUTED_VALUE"""),"TRVAccountName")</f>
        <v>TRVAccountName</v>
      </c>
      <c r="BA5" s="29" t="str">
        <f>IFERROR(__xludf.DUMMYFUNCTION("""COMPUTED_VALUE"""),"TRVTradeQuantity")</f>
        <v>TRVTradeQuantity</v>
      </c>
      <c r="BB5" s="29" t="str">
        <f>IFERROR(__xludf.DUMMYFUNCTION("""COMPUTED_VALUE"""),"TRVCurrentPosition")</f>
        <v>TRVCurrentPosition</v>
      </c>
      <c r="BC5" s="29" t="str">
        <f>IFERROR(__xludf.DUMMYFUNCTION("""COMPUTED_VALUE"""),"TRVNav")</f>
        <v>TRVNav</v>
      </c>
      <c r="BD5" s="29" t="str">
        <f>IFERROR(__xludf.DUMMYFUNCTION("""COMPUTED_VALUE"""),"Account QTY")</f>
        <v>Account QTY</v>
      </c>
      <c r="BE5" s="29" t="str">
        <f>IFERROR(__xludf.DUMMYFUNCTION("""COMPUTED_VALUE"""),"DoneAwayClickOnNO")</f>
        <v>DoneAwayClickOnNO</v>
      </c>
      <c r="BF5" s="29" t="str">
        <f>IFERROR(__xludf.DUMMYFUNCTION("""COMPUTED_VALUE"""),"HotbuttonQty")</f>
        <v>HotbuttonQty</v>
      </c>
      <c r="BG5" s="29" t="str">
        <f>IFERROR(__xludf.DUMMYFUNCTION("""COMPUTED_VALUE"""),"HotButtonPrice")</f>
        <v>HotButtonPrice</v>
      </c>
      <c r="BH5" s="29" t="str">
        <f>IFERROR(__xludf.DUMMYFUNCTION("""COMPUTED_VALUE"""),"HotButtonLimit")</f>
        <v>HotButtonLimit</v>
      </c>
      <c r="BI5" s="29" t="str">
        <f>IFERROR(__xludf.DUMMYFUNCTION("""COMPUTED_VALUE"""),"HotButtonStop")</f>
        <v>HotButtonStop</v>
      </c>
      <c r="BJ5" s="29" t="str">
        <f>IFERROR(__xludf.DUMMYFUNCTION("""COMPUTED_VALUE"""),"Broker PadLock")</f>
        <v>Broker PadLock</v>
      </c>
      <c r="BK5" s="29" t="str">
        <f>IFERROR(__xludf.DUMMYFUNCTION("""COMPUTED_VALUE"""),"TradeBy")</f>
        <v>TradeBy</v>
      </c>
      <c r="BL5" s="29" t="str">
        <f>IFERROR(__xludf.DUMMYFUNCTION("""COMPUTED_VALUE"""),"PendingApprovalPopUp")</f>
        <v>PendingApprovalPopUp</v>
      </c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29</v>
      </c>
      <c r="C6" s="12" t="s">
        <v>17</v>
      </c>
      <c r="D6" s="12">
        <v>100.0</v>
      </c>
      <c r="E6" s="30"/>
      <c r="F6" s="12" t="s">
        <v>21</v>
      </c>
      <c r="G6" s="8"/>
      <c r="H6" s="8"/>
      <c r="I6" s="8"/>
      <c r="J6" s="12">
        <v>2.0</v>
      </c>
      <c r="K6" s="8"/>
      <c r="L6" s="8"/>
      <c r="M6" s="8"/>
      <c r="N6" s="31">
        <f>today()</f>
        <v>45869</v>
      </c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7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  <c r="AMM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30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  <c r="AMM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 t="str">
        <f>IFERROR(__xludf.DUMMYFUNCTION("""COMPUTED_VALUE"""),"CaptureHotButtonDetails")</f>
        <v>CaptureHotButtonDetails</v>
      </c>
      <c r="DG4" s="25" t="str">
        <f>IFERROR(__xludf.DUMMYFUNCTION("""COMPUTED_VALUE"""),"RightClickActionVerification")</f>
        <v>RightClickActionVerification</v>
      </c>
      <c r="DH4" s="25" t="str">
        <f>IFERROR(__xludf.DUMMYFUNCTION("""COMPUTED_VALUE"""),"ManageHotButton")</f>
        <v>ManageHotButton</v>
      </c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  <c r="AMM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IFERROR(__xludf.DUMMYFUNCTION("""COMPUTED_VALUE"""),"Actual User")</f>
        <v>Actual User</v>
      </c>
      <c r="BB5" s="29" t="str">
        <f>IFERROR(__xludf.DUMMYFUNCTION("""COMPUTED_VALUE"""),"Testing Type")</f>
        <v>Testing Type</v>
      </c>
      <c r="BC5" s="29" t="str">
        <f>IFERROR(__xludf.DUMMYFUNCTION("""COMPUTED_VALUE"""),"Testing Column")</f>
        <v>Testing Column</v>
      </c>
      <c r="BD5" s="29" t="str">
        <f>IFERROR(__xludf.DUMMYFUNCTION("""COMPUTED_VALUE"""),"Testing Col Value")</f>
        <v>Testing Col Value</v>
      </c>
      <c r="BE5" s="29" t="str">
        <f>IFERROR(__xludf.DUMMYFUNCTION("""COMPUTED_VALUE"""),"DuplicateRow")</f>
        <v>DuplicateRow</v>
      </c>
      <c r="BF5" s="29" t="str">
        <f>IFERROR(__xludf.DUMMYFUNCTION("""COMPUTED_VALUE"""),"DuplicateCountOnUI")</f>
        <v>DuplicateCountOnUI</v>
      </c>
      <c r="BG5" s="29" t="str">
        <f>IFERROR(__xludf.DUMMYFUNCTION("""COMPUTED_VALUE"""),"Transaction Source")</f>
        <v>Transaction Source</v>
      </c>
      <c r="BH5" s="29" t="str">
        <f>IFERROR(__xludf.DUMMYFUNCTION("""COMPUTED_VALUE"""),"TIF")</f>
        <v>TIF</v>
      </c>
      <c r="BI5" s="29" t="str">
        <f>IFERROR(__xludf.DUMMYFUNCTION("""COMPUTED_VALUE"""),"ACTIV Symbol")</f>
        <v>ACTIV Symbol</v>
      </c>
      <c r="BJ5" s="29" t="str">
        <f>IFERROR(__xludf.DUMMYFUNCTION("""COMPUTED_VALUE"""),"FactSet Symbol")</f>
        <v>FactSet Symbol</v>
      </c>
      <c r="BK5" s="29" t="str">
        <f>IFERROR(__xludf.DUMMYFUNCTION("""COMPUTED_VALUE"""),"MandatoryColumn")</f>
        <v>MandatoryColumn</v>
      </c>
      <c r="BL5" s="29" t="str">
        <f>IFERROR(__xludf.DUMMYFUNCTION("""COMPUTED_VALUE"""),"Rebalancer File Name")</f>
        <v>Rebalancer File Name</v>
      </c>
      <c r="BM5" s="29" t="str">
        <f>IFERROR(__xludf.DUMMYFUNCTION("""COMPUTED_VALUE"""),"Borrower ID")</f>
        <v>Borrower ID</v>
      </c>
      <c r="BN5" s="29" t="str">
        <f>IFERROR(__xludf.DUMMYFUNCTION("""COMPUTED_VALUE"""),"Borrow Rate(%)")</f>
        <v>Borrow Rate(%)</v>
      </c>
      <c r="BO5" s="29" t="str">
        <f>IFERROR(__xludf.DUMMYFUNCTION("""COMPUTED_VALUE"""),"Borrow Broker")</f>
        <v>Borrow Broker</v>
      </c>
      <c r="BP5" s="29" t="str">
        <f>IFERROR(__xludf.DUMMYFUNCTION("""COMPUTED_VALUE"""),"Expiry Date")</f>
        <v>Expiry Date</v>
      </c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  <c r="AMM5" s="29"/>
    </row>
    <row r="6" ht="15.75" customHeight="1">
      <c r="A6" s="32" t="s">
        <v>32</v>
      </c>
      <c r="B6" s="32"/>
      <c r="C6" s="8"/>
      <c r="D6" s="32">
        <v>2.0</v>
      </c>
      <c r="E6" s="8" t="s">
        <v>33</v>
      </c>
      <c r="F6" s="8"/>
      <c r="G6" s="8"/>
      <c r="H6" s="8" t="s">
        <v>34</v>
      </c>
      <c r="I6" s="8" t="s">
        <v>35</v>
      </c>
      <c r="J6" s="8" t="s">
        <v>16</v>
      </c>
      <c r="K6" s="8" t="s">
        <v>36</v>
      </c>
      <c r="L6" s="8" t="s">
        <v>37</v>
      </c>
      <c r="M6" s="8" t="s">
        <v>32</v>
      </c>
      <c r="N6" s="8" t="s">
        <v>32</v>
      </c>
      <c r="O6" s="8" t="s">
        <v>32</v>
      </c>
      <c r="P6" t="s">
        <v>32</v>
      </c>
      <c r="Q6" t="s">
        <v>32</v>
      </c>
      <c r="R6" t="s">
        <v>32</v>
      </c>
      <c r="U6" t="s">
        <v>38</v>
      </c>
      <c r="V6" t="s">
        <v>39</v>
      </c>
      <c r="X6">
        <v>0.0</v>
      </c>
      <c r="AA6" t="s">
        <v>40</v>
      </c>
      <c r="AB6">
        <v>100.0</v>
      </c>
      <c r="AC6" t="s">
        <v>41</v>
      </c>
      <c r="AD6">
        <v>1.0</v>
      </c>
      <c r="AF6" t="s">
        <v>42</v>
      </c>
      <c r="AG6">
        <v>2.0</v>
      </c>
      <c r="AH6" t="s">
        <v>43</v>
      </c>
      <c r="AI6" t="s">
        <v>16</v>
      </c>
      <c r="AJ6" t="s">
        <v>17</v>
      </c>
      <c r="AK6" t="s">
        <v>44</v>
      </c>
      <c r="AL6">
        <v>100.0</v>
      </c>
      <c r="AM6">
        <v>100.0</v>
      </c>
      <c r="AN6">
        <v>100.0</v>
      </c>
      <c r="AO6">
        <v>100.0</v>
      </c>
      <c r="AQ6">
        <v>2.0</v>
      </c>
      <c r="AR6">
        <v>2.0</v>
      </c>
      <c r="AS6" t="s">
        <v>45</v>
      </c>
      <c r="AT6" t="s">
        <v>18</v>
      </c>
      <c r="AU6" t="s">
        <v>46</v>
      </c>
      <c r="AV6">
        <v>200.0</v>
      </c>
      <c r="AW6">
        <v>200.0</v>
      </c>
      <c r="AX6" t="s">
        <v>47</v>
      </c>
      <c r="AY6" t="s">
        <v>32</v>
      </c>
      <c r="BA6" t="s">
        <v>35</v>
      </c>
      <c r="BB6" t="s">
        <v>32</v>
      </c>
      <c r="BC6" t="s">
        <v>32</v>
      </c>
      <c r="BD6" t="s">
        <v>32</v>
      </c>
      <c r="BE6" t="s">
        <v>32</v>
      </c>
      <c r="BF6" t="s">
        <v>32</v>
      </c>
      <c r="BG6" t="s">
        <v>12</v>
      </c>
      <c r="BH6" t="s">
        <v>48</v>
      </c>
      <c r="BK6" t="s">
        <v>32</v>
      </c>
      <c r="BQ6" t="s">
        <v>32</v>
      </c>
      <c r="BR6" t="s">
        <v>32</v>
      </c>
      <c r="BS6" t="s">
        <v>32</v>
      </c>
      <c r="BT6" t="s">
        <v>32</v>
      </c>
      <c r="BU6" t="s">
        <v>32</v>
      </c>
      <c r="BV6" t="s">
        <v>32</v>
      </c>
      <c r="BW6" t="s">
        <v>32</v>
      </c>
      <c r="BX6" t="s">
        <v>32</v>
      </c>
      <c r="BY6" t="s">
        <v>32</v>
      </c>
      <c r="BZ6" t="s">
        <v>32</v>
      </c>
      <c r="CA6" t="s">
        <v>32</v>
      </c>
      <c r="CB6" t="s">
        <v>32</v>
      </c>
      <c r="CC6" t="s">
        <v>32</v>
      </c>
      <c r="CD6" t="s">
        <v>32</v>
      </c>
      <c r="CE6" t="s">
        <v>32</v>
      </c>
      <c r="CF6" t="s">
        <v>32</v>
      </c>
      <c r="CG6" t="s">
        <v>32</v>
      </c>
      <c r="CH6" t="s">
        <v>32</v>
      </c>
      <c r="CI6" t="s">
        <v>32</v>
      </c>
      <c r="CJ6" t="s">
        <v>32</v>
      </c>
      <c r="CK6" t="s">
        <v>32</v>
      </c>
      <c r="CL6" t="s">
        <v>32</v>
      </c>
      <c r="CM6" t="s">
        <v>32</v>
      </c>
      <c r="CN6" t="s">
        <v>32</v>
      </c>
      <c r="CO6" t="s">
        <v>32</v>
      </c>
      <c r="CP6" t="s">
        <v>32</v>
      </c>
      <c r="CQ6" t="s">
        <v>32</v>
      </c>
      <c r="CR6" t="s">
        <v>32</v>
      </c>
      <c r="CS6" t="s">
        <v>32</v>
      </c>
      <c r="CT6" t="s">
        <v>32</v>
      </c>
      <c r="CU6" t="s">
        <v>32</v>
      </c>
      <c r="CV6" t="s">
        <v>32</v>
      </c>
      <c r="CW6" t="s">
        <v>32</v>
      </c>
      <c r="CX6" t="s">
        <v>32</v>
      </c>
      <c r="CY6" t="s">
        <v>32</v>
      </c>
      <c r="CZ6" t="s">
        <v>32</v>
      </c>
      <c r="DA6" t="s">
        <v>32</v>
      </c>
      <c r="DB6" t="s">
        <v>32</v>
      </c>
      <c r="DC6" t="s">
        <v>32</v>
      </c>
      <c r="DD6" t="s">
        <v>32</v>
      </c>
      <c r="DE6" t="s">
        <v>32</v>
      </c>
      <c r="DF6" t="s">
        <v>32</v>
      </c>
      <c r="DG6" t="s">
        <v>32</v>
      </c>
      <c r="DH6" t="s">
        <v>32</v>
      </c>
      <c r="DI6" t="s">
        <v>32</v>
      </c>
      <c r="DJ6" t="s">
        <v>32</v>
      </c>
      <c r="DK6" t="s">
        <v>32</v>
      </c>
      <c r="DL6" t="s">
        <v>32</v>
      </c>
      <c r="DM6" t="s">
        <v>32</v>
      </c>
      <c r="DN6" t="s">
        <v>32</v>
      </c>
      <c r="DO6" t="s">
        <v>32</v>
      </c>
      <c r="DP6" t="s">
        <v>32</v>
      </c>
      <c r="DQ6" t="s">
        <v>32</v>
      </c>
      <c r="DR6" t="s">
        <v>32</v>
      </c>
      <c r="DS6" t="s">
        <v>32</v>
      </c>
      <c r="DT6" t="s">
        <v>32</v>
      </c>
      <c r="DU6" t="s">
        <v>32</v>
      </c>
      <c r="DV6" t="s">
        <v>32</v>
      </c>
      <c r="DW6" t="s">
        <v>32</v>
      </c>
      <c r="DX6" t="s">
        <v>32</v>
      </c>
      <c r="DY6" t="s">
        <v>32</v>
      </c>
      <c r="DZ6" t="s">
        <v>32</v>
      </c>
      <c r="EA6" t="s">
        <v>32</v>
      </c>
      <c r="EB6" t="s">
        <v>32</v>
      </c>
      <c r="EC6" t="s">
        <v>32</v>
      </c>
      <c r="ED6" t="s">
        <v>32</v>
      </c>
      <c r="EE6" t="s">
        <v>32</v>
      </c>
      <c r="EF6" t="s">
        <v>32</v>
      </c>
      <c r="EG6" t="s">
        <v>32</v>
      </c>
      <c r="EH6" t="s">
        <v>32</v>
      </c>
      <c r="EI6" t="s">
        <v>32</v>
      </c>
      <c r="EJ6" t="s">
        <v>32</v>
      </c>
      <c r="EK6" t="s">
        <v>32</v>
      </c>
      <c r="EL6" t="s">
        <v>32</v>
      </c>
      <c r="EM6" t="s">
        <v>32</v>
      </c>
      <c r="EN6" t="s">
        <v>32</v>
      </c>
      <c r="EO6" t="s">
        <v>32</v>
      </c>
      <c r="EP6" t="s">
        <v>32</v>
      </c>
      <c r="EQ6" t="s">
        <v>32</v>
      </c>
      <c r="ER6" t="s">
        <v>32</v>
      </c>
      <c r="ES6" t="s">
        <v>32</v>
      </c>
      <c r="ET6" t="s">
        <v>32</v>
      </c>
      <c r="EU6" t="s">
        <v>32</v>
      </c>
      <c r="EV6" t="s">
        <v>32</v>
      </c>
      <c r="EW6" t="s">
        <v>32</v>
      </c>
      <c r="EX6" t="s">
        <v>32</v>
      </c>
      <c r="EY6" t="s">
        <v>32</v>
      </c>
      <c r="EZ6" t="s">
        <v>32</v>
      </c>
      <c r="FA6" t="s">
        <v>32</v>
      </c>
      <c r="FB6" t="s">
        <v>32</v>
      </c>
      <c r="FC6" t="s">
        <v>32</v>
      </c>
      <c r="FD6" t="s">
        <v>32</v>
      </c>
      <c r="FE6" t="s">
        <v>32</v>
      </c>
      <c r="FF6" t="s">
        <v>32</v>
      </c>
      <c r="FG6" t="s">
        <v>32</v>
      </c>
      <c r="FH6" t="s">
        <v>32</v>
      </c>
      <c r="FI6" t="s">
        <v>32</v>
      </c>
      <c r="FJ6" t="s">
        <v>32</v>
      </c>
      <c r="FK6" t="s">
        <v>32</v>
      </c>
      <c r="FL6" t="s">
        <v>32</v>
      </c>
      <c r="FM6" t="s">
        <v>32</v>
      </c>
      <c r="FN6" t="s">
        <v>32</v>
      </c>
      <c r="FO6" t="s">
        <v>32</v>
      </c>
      <c r="FP6" t="s">
        <v>32</v>
      </c>
      <c r="FQ6" t="s">
        <v>32</v>
      </c>
      <c r="FR6" s="33"/>
      <c r="FS6" s="33"/>
      <c r="FT6" s="33"/>
      <c r="FU6" s="33"/>
      <c r="FV6" s="33"/>
      <c r="FW6" s="33"/>
      <c r="FX6" s="33"/>
      <c r="FY6" s="33"/>
      <c r="FZ6" s="33"/>
      <c r="GA6" s="33"/>
      <c r="GB6" s="33"/>
      <c r="GC6" s="33"/>
      <c r="GD6" s="33"/>
      <c r="GE6" s="33"/>
      <c r="GF6" s="33"/>
      <c r="GG6" s="33"/>
      <c r="GH6" s="33"/>
      <c r="GI6" s="33"/>
      <c r="GJ6" s="33"/>
      <c r="GK6" s="33"/>
      <c r="GL6" s="33"/>
      <c r="GM6" s="33"/>
      <c r="GN6" s="33"/>
      <c r="GO6" s="33"/>
      <c r="GP6" s="33"/>
      <c r="GQ6" s="33"/>
      <c r="GR6" s="33"/>
      <c r="GS6" s="33"/>
      <c r="GT6" s="33"/>
      <c r="GU6" s="33"/>
      <c r="GV6" s="33"/>
      <c r="GW6" s="33"/>
      <c r="GX6" s="33"/>
      <c r="GY6" s="33"/>
      <c r="GZ6" s="33"/>
      <c r="HA6" s="33"/>
      <c r="HB6" s="33"/>
      <c r="HC6" s="33"/>
      <c r="HD6" s="33"/>
      <c r="HE6" s="33"/>
      <c r="HF6" s="33"/>
      <c r="HG6" s="33"/>
      <c r="HH6" s="33"/>
      <c r="HI6" s="33"/>
      <c r="HJ6" s="33"/>
      <c r="HK6" s="33"/>
      <c r="HL6" s="33"/>
      <c r="HM6" s="33"/>
      <c r="HN6" s="33"/>
      <c r="HO6" s="33"/>
      <c r="HP6" s="33"/>
      <c r="HQ6" s="33"/>
      <c r="HR6" s="33"/>
      <c r="HS6" s="33"/>
      <c r="HT6" s="33"/>
      <c r="HU6" s="33"/>
      <c r="HV6" s="33"/>
      <c r="HW6" s="33"/>
      <c r="HX6" s="33"/>
      <c r="HY6" s="33"/>
      <c r="HZ6" s="33"/>
      <c r="IA6" s="33"/>
      <c r="IB6" s="33"/>
      <c r="IC6" s="33"/>
      <c r="ID6" s="33"/>
      <c r="IE6" s="33"/>
      <c r="IF6" s="33"/>
      <c r="IG6" s="33"/>
      <c r="IH6" s="33"/>
      <c r="II6" s="33"/>
      <c r="IJ6" s="33"/>
      <c r="IK6" s="33"/>
      <c r="IL6" s="33"/>
      <c r="IM6" s="33"/>
      <c r="IN6" s="33"/>
      <c r="IO6" s="33"/>
      <c r="IP6" s="33"/>
      <c r="IQ6" s="33"/>
      <c r="IR6" s="33"/>
      <c r="IS6" s="33"/>
      <c r="IT6" s="33"/>
      <c r="IU6" s="33"/>
      <c r="IV6" s="33"/>
      <c r="IW6" s="33"/>
      <c r="IX6" s="33"/>
      <c r="IY6" s="33"/>
      <c r="IZ6" s="33"/>
      <c r="JA6" s="33"/>
      <c r="JB6" s="33"/>
      <c r="JC6" s="33"/>
      <c r="JD6" s="33"/>
      <c r="JE6" s="33"/>
      <c r="JF6" s="33"/>
      <c r="JG6" s="33"/>
      <c r="JH6" s="33"/>
      <c r="JI6" s="33"/>
      <c r="JJ6" s="33"/>
      <c r="JK6" s="33"/>
      <c r="JL6" s="33"/>
      <c r="JM6" s="33"/>
      <c r="JN6" s="33"/>
      <c r="JO6" s="33"/>
      <c r="JP6" s="33"/>
      <c r="JQ6" s="33"/>
      <c r="JR6" s="33"/>
      <c r="JS6" s="33"/>
      <c r="JT6" s="33"/>
      <c r="JU6" s="33"/>
      <c r="JV6" s="33"/>
      <c r="JW6" s="33"/>
      <c r="JX6" s="33"/>
      <c r="JY6" s="33"/>
      <c r="JZ6" s="33"/>
      <c r="KA6" s="33"/>
      <c r="KB6" s="33"/>
      <c r="KC6" s="33"/>
      <c r="KD6" s="33"/>
      <c r="KE6" s="33"/>
      <c r="KF6" s="33"/>
      <c r="KG6" s="33"/>
      <c r="KH6" s="33"/>
      <c r="KI6" s="33"/>
      <c r="KJ6" s="33"/>
      <c r="KK6" s="33"/>
      <c r="KL6" s="33"/>
      <c r="KM6" s="33"/>
      <c r="KN6" s="33"/>
      <c r="KO6" s="33"/>
      <c r="KP6" s="33"/>
      <c r="KQ6" s="33"/>
      <c r="KR6" s="33"/>
      <c r="KS6" s="33"/>
      <c r="KT6" s="33"/>
      <c r="KU6" s="33"/>
      <c r="KV6" s="33"/>
      <c r="KW6" s="33"/>
      <c r="KX6" s="33"/>
      <c r="KY6" s="33"/>
      <c r="KZ6" s="33"/>
      <c r="LA6" s="33"/>
      <c r="LB6" s="33"/>
      <c r="LC6" s="33"/>
      <c r="LD6" s="33"/>
      <c r="LE6" s="33"/>
      <c r="LF6" s="33"/>
      <c r="LG6" s="33"/>
      <c r="LH6" s="33"/>
      <c r="LI6" s="33"/>
      <c r="LJ6" s="33"/>
      <c r="LK6" s="33"/>
      <c r="LL6" s="33"/>
      <c r="LM6" s="33"/>
      <c r="LN6" s="33"/>
      <c r="LO6" s="33"/>
      <c r="LP6" s="33"/>
      <c r="LQ6" s="33"/>
      <c r="LR6" s="33"/>
      <c r="LS6" s="33"/>
      <c r="LT6" s="33"/>
      <c r="LU6" s="33"/>
      <c r="LV6" s="33"/>
      <c r="LW6" s="33"/>
      <c r="LX6" s="33"/>
      <c r="LY6" s="33"/>
      <c r="LZ6" s="33"/>
      <c r="MA6" s="33"/>
      <c r="MB6" s="33"/>
      <c r="MC6" s="33"/>
      <c r="MD6" s="33"/>
      <c r="ME6" s="33"/>
      <c r="MF6" s="33"/>
      <c r="MG6" s="33"/>
      <c r="MH6" s="33"/>
      <c r="MI6" s="33"/>
      <c r="MJ6" s="33"/>
      <c r="MK6" s="33"/>
      <c r="ML6" s="33"/>
      <c r="MM6" s="33"/>
      <c r="MN6" s="33"/>
      <c r="MO6" s="33"/>
      <c r="MP6" s="33"/>
      <c r="MQ6" s="33"/>
      <c r="MR6" s="33"/>
      <c r="MS6" s="33"/>
      <c r="MT6" s="33"/>
      <c r="MU6" s="33"/>
      <c r="MV6" s="33"/>
      <c r="MW6" s="33"/>
      <c r="MX6" s="33"/>
      <c r="MY6" s="33"/>
      <c r="MZ6" s="33"/>
      <c r="NA6" s="33"/>
      <c r="NB6" s="33"/>
      <c r="NC6" s="33"/>
      <c r="ND6" s="33"/>
      <c r="NE6" s="33"/>
      <c r="NF6" s="33"/>
      <c r="NG6" s="33"/>
      <c r="NH6" s="33"/>
      <c r="NI6" s="33"/>
      <c r="NJ6" s="33"/>
      <c r="NK6" s="33"/>
      <c r="NL6" s="33"/>
      <c r="NM6" s="33"/>
      <c r="NN6" s="33"/>
      <c r="NO6" s="33"/>
      <c r="NP6" s="33"/>
      <c r="NQ6" s="33"/>
      <c r="NR6" s="33"/>
      <c r="NS6" s="33"/>
      <c r="NT6" s="33"/>
      <c r="NU6" s="33"/>
      <c r="NV6" s="33"/>
      <c r="NW6" s="33"/>
      <c r="NX6" s="33"/>
      <c r="NY6" s="33"/>
      <c r="NZ6" s="33"/>
      <c r="OA6" s="33"/>
      <c r="OB6" s="33"/>
      <c r="OC6" s="33"/>
      <c r="OD6" s="33"/>
      <c r="OE6" s="33"/>
      <c r="OF6" s="33"/>
      <c r="OG6" s="33"/>
      <c r="OH6" s="33"/>
      <c r="OI6" s="33"/>
      <c r="OJ6" s="33"/>
      <c r="OK6" s="33"/>
      <c r="OL6" s="33"/>
      <c r="OM6" s="33"/>
      <c r="ON6" s="33"/>
      <c r="OO6" s="33"/>
      <c r="OP6" s="33"/>
      <c r="OQ6" s="33"/>
      <c r="OR6" s="33"/>
      <c r="OS6" s="33"/>
      <c r="OT6" s="33"/>
      <c r="OU6" s="33"/>
      <c r="OV6" s="33"/>
      <c r="OW6" s="33"/>
      <c r="OX6" s="33"/>
      <c r="OY6" s="33"/>
      <c r="OZ6" s="33"/>
      <c r="PA6" s="33"/>
      <c r="PB6" s="33"/>
      <c r="PC6" s="33"/>
      <c r="PD6" s="33"/>
      <c r="PE6" s="33"/>
      <c r="PF6" s="33"/>
      <c r="PG6" s="33"/>
      <c r="PH6" s="33"/>
      <c r="PI6" s="33"/>
      <c r="PJ6" s="33"/>
      <c r="PK6" s="33"/>
      <c r="PL6" s="33"/>
      <c r="PM6" s="33"/>
      <c r="PN6" s="33"/>
      <c r="PO6" s="33"/>
      <c r="PP6" s="33"/>
      <c r="PQ6" s="33"/>
      <c r="PR6" s="33"/>
      <c r="PS6" s="33"/>
      <c r="PT6" s="33"/>
      <c r="PU6" s="33"/>
      <c r="PV6" s="33"/>
      <c r="PW6" s="33"/>
      <c r="PX6" s="33"/>
      <c r="PY6" s="33"/>
      <c r="PZ6" s="33"/>
      <c r="QA6" s="33"/>
      <c r="QB6" s="33"/>
      <c r="QC6" s="33"/>
      <c r="QD6" s="33"/>
      <c r="QE6" s="33"/>
      <c r="QF6" s="33"/>
      <c r="QG6" s="33"/>
      <c r="QH6" s="33"/>
      <c r="QI6" s="33"/>
      <c r="QJ6" s="33"/>
      <c r="QK6" s="33"/>
      <c r="QL6" s="33"/>
      <c r="QM6" s="33"/>
      <c r="QN6" s="33"/>
      <c r="QO6" s="33"/>
      <c r="QP6" s="33"/>
      <c r="QQ6" s="33"/>
      <c r="QR6" s="33"/>
      <c r="QS6" s="33"/>
      <c r="QT6" s="33"/>
      <c r="QU6" s="33"/>
      <c r="QV6" s="33"/>
      <c r="QW6" s="33"/>
      <c r="QX6" s="33"/>
      <c r="QY6" s="33"/>
      <c r="QZ6" s="33"/>
      <c r="RA6" s="33"/>
      <c r="RB6" s="33"/>
      <c r="RC6" s="33"/>
      <c r="RD6" s="33"/>
      <c r="RE6" s="33"/>
      <c r="RF6" s="33"/>
      <c r="RG6" s="33"/>
      <c r="RH6" s="33"/>
      <c r="RI6" s="33"/>
      <c r="RJ6" s="33"/>
      <c r="RK6" s="33"/>
      <c r="RL6" s="33"/>
      <c r="RM6" s="33"/>
      <c r="RN6" s="33"/>
      <c r="RO6" s="33"/>
      <c r="RP6" s="33"/>
      <c r="RQ6" s="33"/>
      <c r="RR6" s="33"/>
      <c r="RS6" s="33"/>
      <c r="RT6" s="33"/>
      <c r="RU6" s="33"/>
      <c r="RV6" s="33"/>
      <c r="RW6" s="33"/>
      <c r="RX6" s="33"/>
      <c r="RY6" s="33"/>
      <c r="RZ6" s="33"/>
      <c r="SA6" s="33"/>
      <c r="SB6" s="33"/>
      <c r="SC6" s="33"/>
      <c r="SD6" s="33"/>
      <c r="SE6" s="33"/>
      <c r="SF6" s="33"/>
      <c r="SG6" s="33"/>
      <c r="SH6" s="33"/>
      <c r="SI6" s="33"/>
      <c r="SJ6" s="33"/>
      <c r="SK6" s="33"/>
      <c r="SL6" s="33"/>
      <c r="SM6" s="33"/>
      <c r="SN6" s="33"/>
      <c r="SO6" s="33"/>
      <c r="SP6" s="33"/>
      <c r="SQ6" s="33"/>
      <c r="SR6" s="33"/>
      <c r="SS6" s="33"/>
      <c r="ST6" s="33"/>
      <c r="SU6" s="33"/>
      <c r="SV6" s="33"/>
      <c r="SW6" s="33"/>
      <c r="SX6" s="33"/>
      <c r="SY6" s="33"/>
      <c r="SZ6" s="33"/>
      <c r="TA6" s="33"/>
      <c r="TB6" s="33"/>
      <c r="TC6" s="33"/>
      <c r="TD6" s="33"/>
      <c r="TE6" s="33"/>
      <c r="TF6" s="33"/>
      <c r="TG6" s="33"/>
      <c r="TH6" s="33"/>
      <c r="TI6" s="33"/>
      <c r="TJ6" s="33"/>
      <c r="TK6" s="33"/>
      <c r="TL6" s="33"/>
      <c r="TM6" s="33"/>
      <c r="TN6" s="33"/>
      <c r="TO6" s="33"/>
      <c r="TP6" s="33"/>
      <c r="TQ6" s="33"/>
      <c r="TR6" s="33"/>
      <c r="TS6" s="33"/>
      <c r="TT6" s="33"/>
      <c r="TU6" s="33"/>
      <c r="TV6" s="33"/>
      <c r="TW6" s="33"/>
      <c r="TX6" s="33"/>
      <c r="TY6" s="33"/>
      <c r="TZ6" s="33"/>
      <c r="UA6" s="33"/>
      <c r="UB6" s="33"/>
      <c r="UC6" s="33"/>
      <c r="UD6" s="33"/>
      <c r="UE6" s="33"/>
      <c r="UF6" s="33"/>
      <c r="UG6" s="33"/>
      <c r="UH6" s="33"/>
      <c r="UI6" s="33"/>
      <c r="UJ6" s="33"/>
      <c r="UK6" s="33"/>
      <c r="UL6" s="33"/>
      <c r="UM6" s="33"/>
      <c r="UN6" s="33"/>
      <c r="UO6" s="33"/>
      <c r="UP6" s="33"/>
      <c r="UQ6" s="33"/>
      <c r="UR6" s="33"/>
      <c r="US6" s="33"/>
      <c r="UT6" s="33"/>
      <c r="UU6" s="33"/>
      <c r="UV6" s="33"/>
      <c r="UW6" s="33"/>
      <c r="UX6" s="33"/>
      <c r="UY6" s="33"/>
      <c r="UZ6" s="33"/>
      <c r="VA6" s="33"/>
      <c r="VB6" s="33"/>
      <c r="VC6" s="33"/>
      <c r="VD6" s="33"/>
      <c r="VE6" s="33"/>
      <c r="VF6" s="33"/>
      <c r="VG6" s="33"/>
      <c r="VH6" s="33"/>
      <c r="VI6" s="33"/>
      <c r="VJ6" s="33"/>
      <c r="VK6" s="33"/>
      <c r="VL6" s="33"/>
      <c r="VM6" s="33"/>
      <c r="VN6" s="33"/>
      <c r="VO6" s="33"/>
      <c r="VP6" s="33"/>
      <c r="VQ6" s="33"/>
      <c r="VR6" s="33"/>
      <c r="VS6" s="33"/>
      <c r="VT6" s="33"/>
      <c r="VU6" s="33"/>
      <c r="VV6" s="33"/>
      <c r="VW6" s="33"/>
      <c r="VX6" s="33"/>
      <c r="VY6" s="33"/>
      <c r="VZ6" s="33"/>
      <c r="WA6" s="33"/>
      <c r="WB6" s="33"/>
      <c r="WC6" s="33"/>
      <c r="WD6" s="33"/>
      <c r="WE6" s="33"/>
      <c r="WF6" s="33"/>
      <c r="WG6" s="33"/>
      <c r="WH6" s="33"/>
      <c r="WI6" s="33"/>
      <c r="WJ6" s="33"/>
      <c r="WK6" s="33"/>
      <c r="WL6" s="33"/>
      <c r="WM6" s="33"/>
      <c r="WN6" s="33"/>
      <c r="WO6" s="33"/>
      <c r="WP6" s="33"/>
      <c r="WQ6" s="33"/>
      <c r="WR6" s="33"/>
      <c r="WS6" s="33"/>
      <c r="WT6" s="33"/>
      <c r="WU6" s="33"/>
      <c r="WV6" s="33"/>
      <c r="WW6" s="33"/>
      <c r="WX6" s="33"/>
      <c r="WY6" s="33"/>
      <c r="WZ6" s="33"/>
      <c r="XA6" s="33"/>
      <c r="XB6" s="33"/>
      <c r="XC6" s="33"/>
      <c r="XD6" s="33"/>
      <c r="XE6" s="33"/>
      <c r="XF6" s="33"/>
      <c r="XG6" s="33"/>
      <c r="XH6" s="33"/>
      <c r="XI6" s="33"/>
      <c r="XJ6" s="33"/>
      <c r="XK6" s="33"/>
      <c r="XL6" s="33"/>
      <c r="XM6" s="33"/>
      <c r="XN6" s="33"/>
      <c r="XO6" s="33"/>
      <c r="XP6" s="33"/>
      <c r="XQ6" s="33"/>
      <c r="XR6" s="33"/>
      <c r="XS6" s="33"/>
      <c r="XT6" s="33"/>
      <c r="XU6" s="33"/>
      <c r="XV6" s="33"/>
      <c r="XW6" s="33"/>
      <c r="XX6" s="33"/>
      <c r="XY6" s="33"/>
      <c r="XZ6" s="33"/>
      <c r="YA6" s="33"/>
      <c r="YB6" s="33"/>
      <c r="YC6" s="33"/>
      <c r="YD6" s="33"/>
      <c r="YE6" s="33"/>
      <c r="YF6" s="33"/>
      <c r="YG6" s="33"/>
      <c r="YH6" s="33"/>
      <c r="YI6" s="33"/>
      <c r="YJ6" s="33"/>
      <c r="YK6" s="33"/>
      <c r="YL6" s="33"/>
      <c r="YM6" s="33"/>
      <c r="YN6" s="33"/>
      <c r="YO6" s="33"/>
      <c r="YP6" s="33"/>
      <c r="YQ6" s="33"/>
      <c r="YR6" s="33"/>
      <c r="YS6" s="33"/>
      <c r="YT6" s="33"/>
      <c r="YU6" s="33"/>
      <c r="YV6" s="33"/>
      <c r="YW6" s="33"/>
      <c r="YX6" s="33"/>
      <c r="YY6" s="33"/>
      <c r="YZ6" s="33"/>
      <c r="ZA6" s="33"/>
      <c r="ZB6" s="33"/>
      <c r="ZC6" s="33"/>
      <c r="ZD6" s="33"/>
      <c r="ZE6" s="33"/>
      <c r="ZF6" s="33"/>
      <c r="ZG6" s="33"/>
      <c r="ZH6" s="33"/>
      <c r="ZI6" s="33"/>
      <c r="ZJ6" s="33"/>
      <c r="ZK6" s="33"/>
      <c r="ZL6" s="33"/>
      <c r="ZM6" s="33"/>
      <c r="ZN6" s="33"/>
      <c r="ZO6" s="33"/>
      <c r="ZP6" s="33"/>
      <c r="ZQ6" s="33"/>
      <c r="ZR6" s="33"/>
      <c r="ZS6" s="33"/>
      <c r="ZT6" s="33"/>
      <c r="ZU6" s="33"/>
      <c r="ZV6" s="33"/>
      <c r="ZW6" s="33"/>
      <c r="ZX6" s="33"/>
      <c r="ZY6" s="33"/>
      <c r="ZZ6" s="33"/>
      <c r="AAA6" s="33"/>
      <c r="AAB6" s="33"/>
      <c r="AAC6" s="33"/>
      <c r="AAD6" s="33"/>
      <c r="AAE6" s="33"/>
      <c r="AAF6" s="33"/>
      <c r="AAG6" s="33"/>
      <c r="AAH6" s="33"/>
      <c r="AAI6" s="33"/>
      <c r="AAJ6" s="33"/>
      <c r="AAK6" s="33"/>
      <c r="AAL6" s="33"/>
      <c r="AAM6" s="33"/>
      <c r="AAN6" s="33"/>
      <c r="AAO6" s="33"/>
      <c r="AAP6" s="33"/>
      <c r="AAQ6" s="33"/>
      <c r="AAR6" s="33"/>
      <c r="AAS6" s="33"/>
      <c r="AAT6" s="33"/>
      <c r="AAU6" s="33"/>
      <c r="AAV6" s="33"/>
      <c r="AAW6" s="33"/>
      <c r="AAX6" s="33"/>
      <c r="AAY6" s="33"/>
      <c r="AAZ6" s="33"/>
      <c r="ABA6" s="33"/>
      <c r="ABB6" s="33"/>
      <c r="ABC6" s="33"/>
      <c r="ABD6" s="33"/>
      <c r="ABE6" s="33"/>
      <c r="ABF6" s="33"/>
      <c r="ABG6" s="33"/>
      <c r="ABH6" s="33"/>
      <c r="ABI6" s="33"/>
      <c r="ABJ6" s="33"/>
      <c r="ABK6" s="33"/>
      <c r="ABL6" s="33"/>
      <c r="ABM6" s="33"/>
      <c r="ABN6" s="33"/>
      <c r="ABO6" s="33"/>
      <c r="ABP6" s="33"/>
      <c r="ABQ6" s="33"/>
      <c r="ABR6" s="33"/>
      <c r="ABS6" s="33"/>
      <c r="ABT6" s="33"/>
      <c r="ABU6" s="33"/>
      <c r="ABV6" s="33"/>
      <c r="ABW6" s="33"/>
      <c r="ABX6" s="33"/>
      <c r="ABY6" s="33"/>
      <c r="ABZ6" s="33"/>
      <c r="ACA6" s="33"/>
      <c r="ACB6" s="33"/>
      <c r="ACC6" s="33"/>
      <c r="ACD6" s="33"/>
      <c r="ACE6" s="33"/>
      <c r="ACF6" s="33"/>
      <c r="ACG6" s="33"/>
      <c r="ACH6" s="33"/>
      <c r="ACI6" s="33"/>
      <c r="ACJ6" s="33"/>
      <c r="ACK6" s="33"/>
      <c r="ACL6" s="33"/>
      <c r="ACM6" s="33"/>
      <c r="ACN6" s="33"/>
      <c r="ACO6" s="33"/>
      <c r="ACP6" s="33"/>
      <c r="ACQ6" s="33"/>
      <c r="ACR6" s="33"/>
      <c r="ACS6" s="33"/>
      <c r="ACT6" s="33"/>
      <c r="ACU6" s="33"/>
      <c r="ACV6" s="33"/>
      <c r="ACW6" s="33"/>
      <c r="ACX6" s="33"/>
      <c r="ACY6" s="33"/>
      <c r="ACZ6" s="33"/>
      <c r="ADA6" s="33"/>
      <c r="ADB6" s="33"/>
      <c r="ADC6" s="33"/>
      <c r="ADD6" s="33"/>
      <c r="ADE6" s="33"/>
      <c r="ADF6" s="33"/>
      <c r="ADG6" s="33"/>
      <c r="ADH6" s="33"/>
      <c r="ADI6" s="33"/>
      <c r="ADJ6" s="33"/>
      <c r="ADK6" s="33"/>
      <c r="ADL6" s="33"/>
      <c r="ADM6" s="33"/>
      <c r="ADN6" s="33"/>
      <c r="ADO6" s="33"/>
      <c r="ADP6" s="33"/>
      <c r="ADQ6" s="33"/>
      <c r="ADR6" s="33"/>
      <c r="ADS6" s="33"/>
      <c r="ADT6" s="33"/>
      <c r="ADU6" s="33"/>
      <c r="ADV6" s="33"/>
      <c r="ADW6" s="33"/>
      <c r="ADX6" s="33"/>
      <c r="ADY6" s="33"/>
      <c r="ADZ6" s="33"/>
      <c r="AEA6" s="33"/>
      <c r="AEB6" s="33"/>
      <c r="AEC6" s="33"/>
      <c r="AED6" s="33"/>
      <c r="AEE6" s="33"/>
      <c r="AEF6" s="33"/>
      <c r="AEG6" s="33"/>
      <c r="AEH6" s="33"/>
      <c r="AEI6" s="33"/>
      <c r="AEJ6" s="33"/>
      <c r="AEK6" s="33"/>
      <c r="AEL6" s="33"/>
      <c r="AEM6" s="33"/>
      <c r="AEN6" s="33"/>
      <c r="AEO6" s="33"/>
      <c r="AEP6" s="33"/>
      <c r="AEQ6" s="33"/>
      <c r="AER6" s="33"/>
      <c r="AES6" s="33"/>
      <c r="AET6" s="33"/>
      <c r="AEU6" s="33"/>
      <c r="AEV6" s="33"/>
      <c r="AEW6" s="33"/>
      <c r="AEX6" s="33"/>
      <c r="AEY6" s="33"/>
      <c r="AEZ6" s="33"/>
      <c r="AFA6" s="33"/>
      <c r="AFB6" s="33"/>
      <c r="AFC6" s="33"/>
      <c r="AFD6" s="33"/>
      <c r="AFE6" s="33"/>
      <c r="AFF6" s="33"/>
      <c r="AFG6" s="33"/>
      <c r="AFH6" s="33"/>
      <c r="AFI6" s="33"/>
      <c r="AFJ6" s="33"/>
      <c r="AFK6" s="33"/>
      <c r="AFL6" s="33"/>
      <c r="AFM6" s="33"/>
      <c r="AFN6" s="33"/>
      <c r="AFO6" s="33"/>
      <c r="AFP6" s="33"/>
      <c r="AFQ6" s="33"/>
      <c r="AFR6" s="33"/>
      <c r="AFS6" s="33"/>
      <c r="AFT6" s="33"/>
      <c r="AFU6" s="33"/>
      <c r="AFV6" s="33"/>
      <c r="AFW6" s="33"/>
      <c r="AFX6" s="33"/>
      <c r="AFY6" s="33"/>
      <c r="AFZ6" s="33"/>
      <c r="AGA6" s="33"/>
      <c r="AGB6" s="33"/>
      <c r="AGC6" s="33"/>
      <c r="AGD6" s="33"/>
      <c r="AGE6" s="33"/>
      <c r="AGF6" s="33"/>
      <c r="AGG6" s="33"/>
      <c r="AGH6" s="33"/>
      <c r="AGI6" s="33"/>
      <c r="AGJ6" s="33"/>
      <c r="AGK6" s="33"/>
      <c r="AGL6" s="33"/>
      <c r="AGM6" s="33"/>
      <c r="AGN6" s="33"/>
      <c r="AGO6" s="33"/>
      <c r="AGP6" s="33"/>
      <c r="AGQ6" s="33"/>
      <c r="AGR6" s="33"/>
      <c r="AGS6" s="33"/>
      <c r="AGT6" s="33"/>
      <c r="AGU6" s="33"/>
      <c r="AGV6" s="33"/>
      <c r="AGW6" s="33"/>
      <c r="AGX6" s="33"/>
      <c r="AGY6" s="33"/>
      <c r="AGZ6" s="33"/>
      <c r="AHA6" s="33"/>
      <c r="AHB6" s="33"/>
      <c r="AHC6" s="33"/>
      <c r="AHD6" s="33"/>
      <c r="AHE6" s="33"/>
      <c r="AHF6" s="33"/>
      <c r="AHG6" s="33"/>
      <c r="AHH6" s="33"/>
      <c r="AHI6" s="33"/>
      <c r="AHJ6" s="33"/>
      <c r="AHK6" s="33"/>
      <c r="AHL6" s="33"/>
      <c r="AHM6" s="33"/>
      <c r="AHN6" s="33"/>
      <c r="AHO6" s="33"/>
      <c r="AHP6" s="33"/>
      <c r="AHQ6" s="33"/>
      <c r="AHR6" s="33"/>
      <c r="AHS6" s="33"/>
      <c r="AHT6" s="33"/>
      <c r="AHU6" s="33"/>
      <c r="AHV6" s="33"/>
      <c r="AHW6" s="33"/>
      <c r="AHX6" s="33"/>
      <c r="AHY6" s="33"/>
      <c r="AHZ6" s="33"/>
      <c r="AIA6" s="33"/>
      <c r="AIB6" s="33"/>
      <c r="AIC6" s="33"/>
      <c r="AID6" s="33"/>
      <c r="AIE6" s="33"/>
      <c r="AIF6" s="33"/>
      <c r="AIG6" s="33"/>
      <c r="AIH6" s="33"/>
      <c r="AII6" s="33"/>
      <c r="AIJ6" s="33"/>
      <c r="AIK6" s="33"/>
      <c r="AIL6" s="33"/>
      <c r="AIM6" s="33"/>
      <c r="AIN6" s="33"/>
      <c r="AIO6" s="33"/>
      <c r="AIP6" s="33"/>
      <c r="AIQ6" s="33"/>
      <c r="AIR6" s="33"/>
      <c r="AIS6" s="33"/>
      <c r="AIT6" s="33"/>
      <c r="AIU6" s="33"/>
      <c r="AIV6" s="33"/>
      <c r="AIW6" s="33"/>
      <c r="AIX6" s="33"/>
      <c r="AIY6" s="33"/>
      <c r="AIZ6" s="33"/>
      <c r="AJA6" s="33"/>
      <c r="AJB6" s="33"/>
      <c r="AJC6" s="33"/>
      <c r="AJD6" s="33"/>
      <c r="AJE6" s="33"/>
      <c r="AJF6" s="33"/>
      <c r="AJG6" s="33"/>
      <c r="AJH6" s="33"/>
      <c r="AJI6" s="33"/>
      <c r="AJJ6" s="33"/>
      <c r="AJK6" s="33"/>
      <c r="AJL6" s="33"/>
      <c r="AJM6" s="33"/>
      <c r="AJN6" s="33"/>
      <c r="AJO6" s="33"/>
      <c r="AJP6" s="33"/>
      <c r="AJQ6" s="33"/>
      <c r="AJR6" s="33"/>
      <c r="AJS6" s="33"/>
      <c r="AJT6" s="33"/>
      <c r="AJU6" s="33"/>
      <c r="AJV6" s="33"/>
      <c r="AJW6" s="33"/>
      <c r="AJX6" s="33"/>
      <c r="AJY6" s="33"/>
      <c r="AJZ6" s="33"/>
      <c r="AKA6" s="33"/>
      <c r="AKB6" s="33"/>
      <c r="AKC6" s="33"/>
      <c r="AKD6" s="33"/>
      <c r="AKE6" s="33"/>
      <c r="AKF6" s="33"/>
      <c r="AKG6" s="33"/>
      <c r="AKH6" s="33"/>
      <c r="AKI6" s="33"/>
      <c r="AKJ6" s="33"/>
      <c r="AKK6" s="33"/>
      <c r="AKL6" s="33"/>
      <c r="AKM6" s="33"/>
      <c r="AKN6" s="33"/>
      <c r="AKO6" s="33"/>
      <c r="AKP6" s="33"/>
      <c r="AKQ6" s="33"/>
      <c r="AKR6" s="33"/>
      <c r="AKS6" s="33"/>
      <c r="AKT6" s="33"/>
      <c r="AKU6" s="33"/>
      <c r="AKV6" s="33"/>
      <c r="AKW6" s="33"/>
      <c r="AKX6" s="33"/>
      <c r="AKY6" s="33"/>
      <c r="AKZ6" s="33"/>
      <c r="ALA6" s="33"/>
      <c r="ALB6" s="33"/>
      <c r="ALC6" s="33"/>
      <c r="ALD6" s="33"/>
      <c r="ALE6" s="33"/>
      <c r="ALF6" s="33"/>
      <c r="ALG6" s="33"/>
      <c r="ALH6" s="33"/>
      <c r="ALI6" s="33"/>
      <c r="ALJ6" s="33"/>
      <c r="ALK6" s="33"/>
      <c r="ALL6" s="33"/>
      <c r="ALM6" s="33"/>
      <c r="ALN6" s="33"/>
      <c r="ALO6" s="33"/>
      <c r="ALP6" s="33"/>
      <c r="ALQ6" s="33"/>
      <c r="ALR6" s="33"/>
      <c r="ALS6" s="33"/>
      <c r="ALT6" s="33"/>
      <c r="ALU6" s="33"/>
      <c r="ALV6" s="33"/>
      <c r="ALW6" s="33"/>
      <c r="ALX6" s="33"/>
      <c r="ALY6" s="33"/>
      <c r="ALZ6" s="33"/>
      <c r="AMA6" s="33"/>
      <c r="AMB6" s="33"/>
      <c r="AMC6" s="33"/>
      <c r="AMD6" s="33"/>
      <c r="AME6" s="33"/>
      <c r="AMF6" s="33"/>
      <c r="AMG6" s="33"/>
      <c r="AMH6" s="33"/>
      <c r="AMI6" s="33"/>
      <c r="AMJ6" s="33"/>
      <c r="AMK6" s="33"/>
      <c r="AML6" s="33"/>
      <c r="AMM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AI7" s="9" t="s">
        <v>29</v>
      </c>
      <c r="AJ7" s="9" t="s">
        <v>17</v>
      </c>
      <c r="BB7" s="9" t="s">
        <v>49</v>
      </c>
      <c r="BC7" s="9" t="s">
        <v>50</v>
      </c>
      <c r="BD7" s="9" t="s">
        <v>29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 t="str">
        <f>IFERROR(__xludf.DUMMYFUNCTION("""COMPUTED_VALUE"""),"SetAuecExecutingBroker")</f>
        <v>SetAuecExecutingBroker</v>
      </c>
      <c r="AH4" s="25" t="str">
        <f>IFERROR(__xludf.DUMMYFUNCTION("""COMPUTED_VALUE"""),"SetAlgoBroker")</f>
        <v>SetAlgoBroker</v>
      </c>
      <c r="AI4" s="25" t="str">
        <f>IFERROR(__xludf.DUMMYFUNCTION("""COMPUTED_VALUE"""),"EnableAutoGroupingAllocation")</f>
        <v>EnableAutoGroupingAllocation</v>
      </c>
      <c r="AJ4" s="25" t="str">
        <f>IFERROR(__xludf.DUMMYFUNCTION("""COMPUTED_VALUE"""),"ConfigUpdater")</f>
        <v>ConfigUpdater</v>
      </c>
      <c r="AK4" s="25" t="str">
        <f>IFERROR(__xludf.DUMMYFUNCTION("""COMPUTED_VALUE"""),"AccountPermission")</f>
        <v>AccountPermission</v>
      </c>
      <c r="AL4" s="25" t="str">
        <f>IFERROR(__xludf.DUMMYFUNCTION("""COMPUTED_VALUE"""),"BasketPermission")</f>
        <v>BasketPermission</v>
      </c>
      <c r="AM4" s="25" t="str">
        <f>IFERROR(__xludf.DUMMYFUNCTION("""COMPUTED_VALUE"""),"ChangeDate")</f>
        <v>ChangeDate</v>
      </c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IFERROR(__xludf.DUMMYFUNCTION("""COMPUTED_VALUE"""),"AccountName")</f>
        <v>AccountName</v>
      </c>
      <c r="C5" s="27" t="str">
        <f>IFERROR(__xludf.DUMMYFUNCTION("""COMPUTED_VALUE"""),"UserID")</f>
        <v>UserID</v>
      </c>
      <c r="D5" s="27" t="str">
        <f>IFERROR(__xludf.DUMMYFUNCTION("""COMPUTED_VALUE"""),"Allocate/Unallocate")</f>
        <v>Allocate/Unallocate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24</v>
      </c>
      <c r="C6" s="12">
        <v>17.0</v>
      </c>
      <c r="D6" s="12" t="s">
        <v>51</v>
      </c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AccountPermission1!$4:$4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IFERROR(__xludf.DUMMYFUNCTION("""COMPUTED_VALUE"""),"Increase/Decrease Quantity")</f>
        <v>Increase/Decrease Quantity</v>
      </c>
      <c r="AY5" s="29" t="str">
        <f>IFERROR(__xludf.DUMMYFUNCTION("""COMPUTED_VALUE"""),"Master Funds")</f>
        <v>Master Funds</v>
      </c>
      <c r="AZ5" s="29" t="str">
        <f>IFERROR(__xludf.DUMMYFUNCTION("""COMPUTED_VALUE"""),"TRVAccountName")</f>
        <v>TRVAccountName</v>
      </c>
      <c r="BA5" s="29" t="str">
        <f>IFERROR(__xludf.DUMMYFUNCTION("""COMPUTED_VALUE"""),"TRVTradeQuantity")</f>
        <v>TRVTradeQuantity</v>
      </c>
      <c r="BB5" s="29" t="str">
        <f>IFERROR(__xludf.DUMMYFUNCTION("""COMPUTED_VALUE"""),"TRVCurrentPosition")</f>
        <v>TRVCurrentPosition</v>
      </c>
      <c r="BC5" s="29" t="str">
        <f>IFERROR(__xludf.DUMMYFUNCTION("""COMPUTED_VALUE"""),"TRVNav")</f>
        <v>TRVNav</v>
      </c>
      <c r="BD5" s="29" t="str">
        <f>IFERROR(__xludf.DUMMYFUNCTION("""COMPUTED_VALUE"""),"Account QTY")</f>
        <v>Account QTY</v>
      </c>
      <c r="BE5" s="29" t="str">
        <f>IFERROR(__xludf.DUMMYFUNCTION("""COMPUTED_VALUE"""),"DoneAwayClickOnNO")</f>
        <v>DoneAwayClickOnNO</v>
      </c>
      <c r="BF5" s="29" t="str">
        <f>IFERROR(__xludf.DUMMYFUNCTION("""COMPUTED_VALUE"""),"HotbuttonQty")</f>
        <v>HotbuttonQty</v>
      </c>
      <c r="BG5" s="29" t="str">
        <f>IFERROR(__xludf.DUMMYFUNCTION("""COMPUTED_VALUE"""),"HotButtonPrice")</f>
        <v>HotButtonPrice</v>
      </c>
      <c r="BH5" s="29" t="str">
        <f>IFERROR(__xludf.DUMMYFUNCTION("""COMPUTED_VALUE"""),"HotButtonLimit")</f>
        <v>HotButtonLimit</v>
      </c>
      <c r="BI5" s="29" t="str">
        <f>IFERROR(__xludf.DUMMYFUNCTION("""COMPUTED_VALUE"""),"HotButtonStop")</f>
        <v>HotButtonStop</v>
      </c>
      <c r="BJ5" s="29" t="str">
        <f>IFERROR(__xludf.DUMMYFUNCTION("""COMPUTED_VALUE"""),"Broker PadLock")</f>
        <v>Broker PadLock</v>
      </c>
      <c r="BK5" s="29" t="str">
        <f>IFERROR(__xludf.DUMMYFUNCTION("""COMPUTED_VALUE"""),"TradeBy")</f>
        <v>TradeBy</v>
      </c>
      <c r="BL5" s="29" t="str">
        <f>IFERROR(__xludf.DUMMYFUNCTION("""COMPUTED_VALUE"""),"PendingApprovalPopUp")</f>
        <v>PendingApprovalPopUp</v>
      </c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52</v>
      </c>
      <c r="C6" s="12" t="s">
        <v>17</v>
      </c>
      <c r="D6" s="12">
        <v>100.0</v>
      </c>
      <c r="E6" s="30"/>
      <c r="F6" s="12" t="s">
        <v>25</v>
      </c>
      <c r="G6" s="8"/>
      <c r="H6" s="8"/>
      <c r="I6" s="8"/>
      <c r="J6" s="12">
        <v>2.0</v>
      </c>
      <c r="K6" s="8"/>
      <c r="L6" s="8"/>
      <c r="M6" s="8"/>
      <c r="N6" s="31">
        <f>today()</f>
        <v>45869</v>
      </c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7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  <c r="AMM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30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  <c r="AMM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 t="str">
        <f>IFERROR(__xludf.DUMMYFUNCTION("""COMPUTED_VALUE"""),"CaptureHotButtonDetails")</f>
        <v>CaptureHotButtonDetails</v>
      </c>
      <c r="DG4" s="25" t="str">
        <f>IFERROR(__xludf.DUMMYFUNCTION("""COMPUTED_VALUE"""),"RightClickActionVerification")</f>
        <v>RightClickActionVerification</v>
      </c>
      <c r="DH4" s="25" t="str">
        <f>IFERROR(__xludf.DUMMYFUNCTION("""COMPUTED_VALUE"""),"ManageHotButton")</f>
        <v>ManageHotButton</v>
      </c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  <c r="AMM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IFERROR(__xludf.DUMMYFUNCTION("""COMPUTED_VALUE"""),"Actual User")</f>
        <v>Actual User</v>
      </c>
      <c r="BB5" s="29" t="str">
        <f>IFERROR(__xludf.DUMMYFUNCTION("""COMPUTED_VALUE"""),"Testing Type")</f>
        <v>Testing Type</v>
      </c>
      <c r="BC5" s="29" t="str">
        <f>IFERROR(__xludf.DUMMYFUNCTION("""COMPUTED_VALUE"""),"Testing Column")</f>
        <v>Testing Column</v>
      </c>
      <c r="BD5" s="29" t="str">
        <f>IFERROR(__xludf.DUMMYFUNCTION("""COMPUTED_VALUE"""),"Testing Col Value")</f>
        <v>Testing Col Value</v>
      </c>
      <c r="BE5" s="29" t="str">
        <f>IFERROR(__xludf.DUMMYFUNCTION("""COMPUTED_VALUE"""),"DuplicateRow")</f>
        <v>DuplicateRow</v>
      </c>
      <c r="BF5" s="29" t="str">
        <f>IFERROR(__xludf.DUMMYFUNCTION("""COMPUTED_VALUE"""),"DuplicateCountOnUI")</f>
        <v>DuplicateCountOnUI</v>
      </c>
      <c r="BG5" s="29" t="str">
        <f>IFERROR(__xludf.DUMMYFUNCTION("""COMPUTED_VALUE"""),"Transaction Source")</f>
        <v>Transaction Source</v>
      </c>
      <c r="BH5" s="29" t="str">
        <f>IFERROR(__xludf.DUMMYFUNCTION("""COMPUTED_VALUE"""),"TIF")</f>
        <v>TIF</v>
      </c>
      <c r="BI5" s="29" t="str">
        <f>IFERROR(__xludf.DUMMYFUNCTION("""COMPUTED_VALUE"""),"ACTIV Symbol")</f>
        <v>ACTIV Symbol</v>
      </c>
      <c r="BJ5" s="29" t="str">
        <f>IFERROR(__xludf.DUMMYFUNCTION("""COMPUTED_VALUE"""),"FactSet Symbol")</f>
        <v>FactSet Symbol</v>
      </c>
      <c r="BK5" s="29" t="str">
        <f>IFERROR(__xludf.DUMMYFUNCTION("""COMPUTED_VALUE"""),"MandatoryColumn")</f>
        <v>MandatoryColumn</v>
      </c>
      <c r="BL5" s="29" t="str">
        <f>IFERROR(__xludf.DUMMYFUNCTION("""COMPUTED_VALUE"""),"Rebalancer File Name")</f>
        <v>Rebalancer File Name</v>
      </c>
      <c r="BM5" s="29" t="str">
        <f>IFERROR(__xludf.DUMMYFUNCTION("""COMPUTED_VALUE"""),"Borrower ID")</f>
        <v>Borrower ID</v>
      </c>
      <c r="BN5" s="29" t="str">
        <f>IFERROR(__xludf.DUMMYFUNCTION("""COMPUTED_VALUE"""),"Borrow Rate(%)")</f>
        <v>Borrow Rate(%)</v>
      </c>
      <c r="BO5" s="29" t="str">
        <f>IFERROR(__xludf.DUMMYFUNCTION("""COMPUTED_VALUE"""),"Borrow Broker")</f>
        <v>Borrow Broker</v>
      </c>
      <c r="BP5" s="29" t="str">
        <f>IFERROR(__xludf.DUMMYFUNCTION("""COMPUTED_VALUE"""),"Expiry Date")</f>
        <v>Expiry Date</v>
      </c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  <c r="AMM5" s="29"/>
    </row>
    <row r="6">
      <c r="A6" s="32" t="s">
        <v>32</v>
      </c>
      <c r="B6" s="32"/>
      <c r="C6" s="8"/>
      <c r="D6" s="32">
        <v>2.0</v>
      </c>
      <c r="E6" s="8" t="s">
        <v>33</v>
      </c>
      <c r="F6" s="8"/>
      <c r="G6" s="8"/>
      <c r="H6" s="8" t="s">
        <v>34</v>
      </c>
      <c r="I6" s="8" t="s">
        <v>35</v>
      </c>
      <c r="J6" s="8" t="s">
        <v>16</v>
      </c>
      <c r="K6" s="8" t="s">
        <v>36</v>
      </c>
      <c r="L6" s="8" t="s">
        <v>37</v>
      </c>
      <c r="M6" s="8" t="s">
        <v>32</v>
      </c>
      <c r="N6" s="8" t="s">
        <v>32</v>
      </c>
      <c r="O6" s="8" t="s">
        <v>32</v>
      </c>
      <c r="P6" t="s">
        <v>32</v>
      </c>
      <c r="Q6" t="s">
        <v>32</v>
      </c>
      <c r="R6" t="s">
        <v>32</v>
      </c>
      <c r="U6" t="s">
        <v>38</v>
      </c>
      <c r="V6" t="s">
        <v>39</v>
      </c>
      <c r="X6">
        <v>0.0</v>
      </c>
      <c r="AA6" t="s">
        <v>40</v>
      </c>
      <c r="AB6">
        <v>100.0</v>
      </c>
      <c r="AC6" t="s">
        <v>41</v>
      </c>
      <c r="AD6">
        <v>1.0</v>
      </c>
      <c r="AF6" t="s">
        <v>42</v>
      </c>
      <c r="AG6">
        <v>2.0</v>
      </c>
      <c r="AH6" t="s">
        <v>43</v>
      </c>
      <c r="AI6" t="s">
        <v>16</v>
      </c>
      <c r="AJ6" t="s">
        <v>17</v>
      </c>
      <c r="AK6" t="s">
        <v>44</v>
      </c>
      <c r="AL6">
        <v>100.0</v>
      </c>
      <c r="AM6">
        <v>100.0</v>
      </c>
      <c r="AN6">
        <v>100.0</v>
      </c>
      <c r="AO6">
        <v>100.0</v>
      </c>
      <c r="AQ6">
        <v>2.0</v>
      </c>
      <c r="AR6">
        <v>2.0</v>
      </c>
      <c r="AS6" t="s">
        <v>45</v>
      </c>
      <c r="AT6" t="s">
        <v>18</v>
      </c>
      <c r="AU6" t="s">
        <v>46</v>
      </c>
      <c r="AV6">
        <v>200.0</v>
      </c>
      <c r="AW6">
        <v>200.0</v>
      </c>
      <c r="AX6" t="s">
        <v>47</v>
      </c>
      <c r="AY6" t="s">
        <v>32</v>
      </c>
      <c r="BA6" t="s">
        <v>35</v>
      </c>
      <c r="BB6" t="s">
        <v>32</v>
      </c>
      <c r="BC6" t="s">
        <v>32</v>
      </c>
      <c r="BD6" t="s">
        <v>32</v>
      </c>
      <c r="BE6" t="s">
        <v>32</v>
      </c>
      <c r="BF6" t="s">
        <v>32</v>
      </c>
      <c r="BG6" t="s">
        <v>12</v>
      </c>
      <c r="BH6" t="s">
        <v>48</v>
      </c>
      <c r="BK6" t="s">
        <v>32</v>
      </c>
      <c r="BQ6" t="s">
        <v>32</v>
      </c>
      <c r="BR6" t="s">
        <v>32</v>
      </c>
      <c r="BS6" t="s">
        <v>32</v>
      </c>
      <c r="BT6" t="s">
        <v>32</v>
      </c>
      <c r="BU6" t="s">
        <v>32</v>
      </c>
      <c r="BV6" t="s">
        <v>32</v>
      </c>
      <c r="BW6" t="s">
        <v>32</v>
      </c>
      <c r="BX6" t="s">
        <v>32</v>
      </c>
      <c r="BY6" t="s">
        <v>32</v>
      </c>
      <c r="BZ6" t="s">
        <v>32</v>
      </c>
      <c r="CA6" t="s">
        <v>32</v>
      </c>
      <c r="CB6" t="s">
        <v>32</v>
      </c>
      <c r="CC6" t="s">
        <v>32</v>
      </c>
      <c r="CD6" t="s">
        <v>32</v>
      </c>
      <c r="CE6" t="s">
        <v>32</v>
      </c>
      <c r="CF6" t="s">
        <v>32</v>
      </c>
      <c r="CG6" t="s">
        <v>32</v>
      </c>
      <c r="CH6" t="s">
        <v>32</v>
      </c>
      <c r="CI6" t="s">
        <v>32</v>
      </c>
      <c r="CJ6" t="s">
        <v>32</v>
      </c>
      <c r="CK6" t="s">
        <v>32</v>
      </c>
      <c r="CL6" t="s">
        <v>32</v>
      </c>
      <c r="CM6" t="s">
        <v>32</v>
      </c>
      <c r="CN6" t="s">
        <v>32</v>
      </c>
      <c r="CO6" t="s">
        <v>32</v>
      </c>
      <c r="CP6" t="s">
        <v>32</v>
      </c>
      <c r="CQ6" t="s">
        <v>32</v>
      </c>
      <c r="CR6" t="s">
        <v>32</v>
      </c>
      <c r="CS6" t="s">
        <v>32</v>
      </c>
      <c r="CT6" t="s">
        <v>32</v>
      </c>
      <c r="CU6" t="s">
        <v>32</v>
      </c>
      <c r="CV6" t="s">
        <v>32</v>
      </c>
      <c r="CW6" t="s">
        <v>32</v>
      </c>
      <c r="CX6" t="s">
        <v>32</v>
      </c>
      <c r="CY6" t="s">
        <v>32</v>
      </c>
      <c r="CZ6" t="s">
        <v>32</v>
      </c>
      <c r="DA6" t="s">
        <v>32</v>
      </c>
      <c r="DB6" t="s">
        <v>32</v>
      </c>
      <c r="DC6" t="s">
        <v>32</v>
      </c>
      <c r="DD6" t="s">
        <v>32</v>
      </c>
      <c r="DE6" t="s">
        <v>32</v>
      </c>
      <c r="DF6" t="s">
        <v>32</v>
      </c>
      <c r="DG6" t="s">
        <v>32</v>
      </c>
      <c r="DH6" t="s">
        <v>32</v>
      </c>
      <c r="DI6" t="s">
        <v>32</v>
      </c>
      <c r="DJ6" t="s">
        <v>32</v>
      </c>
      <c r="DK6" t="s">
        <v>32</v>
      </c>
      <c r="DL6" t="s">
        <v>32</v>
      </c>
      <c r="DM6" t="s">
        <v>32</v>
      </c>
      <c r="DN6" t="s">
        <v>32</v>
      </c>
      <c r="DO6" t="s">
        <v>32</v>
      </c>
      <c r="DP6" t="s">
        <v>32</v>
      </c>
      <c r="DQ6" t="s">
        <v>32</v>
      </c>
      <c r="DR6" t="s">
        <v>32</v>
      </c>
      <c r="DS6" t="s">
        <v>32</v>
      </c>
      <c r="DT6" t="s">
        <v>32</v>
      </c>
      <c r="DU6" t="s">
        <v>32</v>
      </c>
      <c r="DV6" t="s">
        <v>32</v>
      </c>
      <c r="DW6" t="s">
        <v>32</v>
      </c>
      <c r="DX6" t="s">
        <v>32</v>
      </c>
      <c r="DY6" t="s">
        <v>32</v>
      </c>
      <c r="DZ6" t="s">
        <v>32</v>
      </c>
      <c r="EA6" t="s">
        <v>32</v>
      </c>
      <c r="EB6" t="s">
        <v>32</v>
      </c>
      <c r="EC6" t="s">
        <v>32</v>
      </c>
      <c r="ED6" t="s">
        <v>32</v>
      </c>
      <c r="EE6" t="s">
        <v>32</v>
      </c>
      <c r="EF6" t="s">
        <v>32</v>
      </c>
      <c r="EG6" t="s">
        <v>32</v>
      </c>
      <c r="EH6" t="s">
        <v>32</v>
      </c>
      <c r="EI6" t="s">
        <v>32</v>
      </c>
      <c r="EJ6" t="s">
        <v>32</v>
      </c>
      <c r="EK6" t="s">
        <v>32</v>
      </c>
      <c r="EL6" t="s">
        <v>32</v>
      </c>
      <c r="EM6" t="s">
        <v>32</v>
      </c>
      <c r="EN6" t="s">
        <v>32</v>
      </c>
      <c r="EO6" t="s">
        <v>32</v>
      </c>
      <c r="EP6" t="s">
        <v>32</v>
      </c>
      <c r="EQ6" t="s">
        <v>32</v>
      </c>
      <c r="ER6" t="s">
        <v>32</v>
      </c>
      <c r="ES6" t="s">
        <v>32</v>
      </c>
      <c r="ET6" t="s">
        <v>32</v>
      </c>
      <c r="EU6" t="s">
        <v>32</v>
      </c>
      <c r="EV6" t="s">
        <v>32</v>
      </c>
      <c r="EW6" t="s">
        <v>32</v>
      </c>
      <c r="EX6" t="s">
        <v>32</v>
      </c>
      <c r="EY6" t="s">
        <v>32</v>
      </c>
      <c r="EZ6" t="s">
        <v>32</v>
      </c>
      <c r="FA6" t="s">
        <v>32</v>
      </c>
      <c r="FB6" t="s">
        <v>32</v>
      </c>
      <c r="FC6" t="s">
        <v>32</v>
      </c>
      <c r="FD6" t="s">
        <v>32</v>
      </c>
      <c r="FE6" t="s">
        <v>32</v>
      </c>
      <c r="FF6" t="s">
        <v>32</v>
      </c>
      <c r="FG6" t="s">
        <v>32</v>
      </c>
      <c r="FH6" t="s">
        <v>32</v>
      </c>
      <c r="FI6" t="s">
        <v>32</v>
      </c>
      <c r="FJ6" t="s">
        <v>32</v>
      </c>
      <c r="FK6" t="s">
        <v>32</v>
      </c>
      <c r="FL6" t="s">
        <v>32</v>
      </c>
      <c r="FM6" t="s">
        <v>32</v>
      </c>
      <c r="FN6" t="s">
        <v>32</v>
      </c>
      <c r="FO6" t="s">
        <v>32</v>
      </c>
      <c r="FP6" t="s">
        <v>32</v>
      </c>
      <c r="FQ6" t="s">
        <v>32</v>
      </c>
      <c r="FR6" s="33"/>
      <c r="FS6" s="33"/>
      <c r="FT6" s="33"/>
      <c r="FU6" s="33"/>
      <c r="FV6" s="33"/>
      <c r="FW6" s="33"/>
      <c r="FX6" s="33"/>
      <c r="FY6" s="33"/>
      <c r="FZ6" s="33"/>
      <c r="GA6" s="33"/>
      <c r="GB6" s="33"/>
      <c r="GC6" s="33"/>
      <c r="GD6" s="33"/>
      <c r="GE6" s="33"/>
      <c r="GF6" s="33"/>
      <c r="GG6" s="33"/>
      <c r="GH6" s="33"/>
      <c r="GI6" s="33"/>
      <c r="GJ6" s="33"/>
      <c r="GK6" s="33"/>
      <c r="GL6" s="33"/>
      <c r="GM6" s="33"/>
      <c r="GN6" s="33"/>
      <c r="GO6" s="33"/>
      <c r="GP6" s="33"/>
      <c r="GQ6" s="33"/>
      <c r="GR6" s="33"/>
      <c r="GS6" s="33"/>
      <c r="GT6" s="33"/>
      <c r="GU6" s="33"/>
      <c r="GV6" s="33"/>
      <c r="GW6" s="33"/>
      <c r="GX6" s="33"/>
      <c r="GY6" s="33"/>
      <c r="GZ6" s="33"/>
      <c r="HA6" s="33"/>
      <c r="HB6" s="33"/>
      <c r="HC6" s="33"/>
      <c r="HD6" s="33"/>
      <c r="HE6" s="33"/>
      <c r="HF6" s="33"/>
      <c r="HG6" s="33"/>
      <c r="HH6" s="33"/>
      <c r="HI6" s="33"/>
      <c r="HJ6" s="33"/>
      <c r="HK6" s="33"/>
      <c r="HL6" s="33"/>
      <c r="HM6" s="33"/>
      <c r="HN6" s="33"/>
      <c r="HO6" s="33"/>
      <c r="HP6" s="33"/>
      <c r="HQ6" s="33"/>
      <c r="HR6" s="33"/>
      <c r="HS6" s="33"/>
      <c r="HT6" s="33"/>
      <c r="HU6" s="33"/>
      <c r="HV6" s="33"/>
      <c r="HW6" s="33"/>
      <c r="HX6" s="33"/>
      <c r="HY6" s="33"/>
      <c r="HZ6" s="33"/>
      <c r="IA6" s="33"/>
      <c r="IB6" s="33"/>
      <c r="IC6" s="33"/>
      <c r="ID6" s="33"/>
      <c r="IE6" s="33"/>
      <c r="IF6" s="33"/>
      <c r="IG6" s="33"/>
      <c r="IH6" s="33"/>
      <c r="II6" s="33"/>
      <c r="IJ6" s="33"/>
      <c r="IK6" s="33"/>
      <c r="IL6" s="33"/>
      <c r="IM6" s="33"/>
      <c r="IN6" s="33"/>
      <c r="IO6" s="33"/>
      <c r="IP6" s="33"/>
      <c r="IQ6" s="33"/>
      <c r="IR6" s="33"/>
      <c r="IS6" s="33"/>
      <c r="IT6" s="33"/>
      <c r="IU6" s="33"/>
      <c r="IV6" s="33"/>
      <c r="IW6" s="33"/>
      <c r="IX6" s="33"/>
      <c r="IY6" s="33"/>
      <c r="IZ6" s="33"/>
      <c r="JA6" s="33"/>
      <c r="JB6" s="33"/>
      <c r="JC6" s="33"/>
      <c r="JD6" s="33"/>
      <c r="JE6" s="33"/>
      <c r="JF6" s="33"/>
      <c r="JG6" s="33"/>
      <c r="JH6" s="33"/>
      <c r="JI6" s="33"/>
      <c r="JJ6" s="33"/>
      <c r="JK6" s="33"/>
      <c r="JL6" s="33"/>
      <c r="JM6" s="33"/>
      <c r="JN6" s="33"/>
      <c r="JO6" s="33"/>
      <c r="JP6" s="33"/>
      <c r="JQ6" s="33"/>
      <c r="JR6" s="33"/>
      <c r="JS6" s="33"/>
      <c r="JT6" s="33"/>
      <c r="JU6" s="33"/>
      <c r="JV6" s="33"/>
      <c r="JW6" s="33"/>
      <c r="JX6" s="33"/>
      <c r="JY6" s="33"/>
      <c r="JZ6" s="33"/>
      <c r="KA6" s="33"/>
      <c r="KB6" s="33"/>
      <c r="KC6" s="33"/>
      <c r="KD6" s="33"/>
      <c r="KE6" s="33"/>
      <c r="KF6" s="33"/>
      <c r="KG6" s="33"/>
      <c r="KH6" s="33"/>
      <c r="KI6" s="33"/>
      <c r="KJ6" s="33"/>
      <c r="KK6" s="33"/>
      <c r="KL6" s="33"/>
      <c r="KM6" s="33"/>
      <c r="KN6" s="33"/>
      <c r="KO6" s="33"/>
      <c r="KP6" s="33"/>
      <c r="KQ6" s="33"/>
      <c r="KR6" s="33"/>
      <c r="KS6" s="33"/>
      <c r="KT6" s="33"/>
      <c r="KU6" s="33"/>
      <c r="KV6" s="33"/>
      <c r="KW6" s="33"/>
      <c r="KX6" s="33"/>
      <c r="KY6" s="33"/>
      <c r="KZ6" s="33"/>
      <c r="LA6" s="33"/>
      <c r="LB6" s="33"/>
      <c r="LC6" s="33"/>
      <c r="LD6" s="33"/>
      <c r="LE6" s="33"/>
      <c r="LF6" s="33"/>
      <c r="LG6" s="33"/>
      <c r="LH6" s="33"/>
      <c r="LI6" s="33"/>
      <c r="LJ6" s="33"/>
      <c r="LK6" s="33"/>
      <c r="LL6" s="33"/>
      <c r="LM6" s="33"/>
      <c r="LN6" s="33"/>
      <c r="LO6" s="33"/>
      <c r="LP6" s="33"/>
      <c r="LQ6" s="33"/>
      <c r="LR6" s="33"/>
      <c r="LS6" s="33"/>
      <c r="LT6" s="33"/>
      <c r="LU6" s="33"/>
      <c r="LV6" s="33"/>
      <c r="LW6" s="33"/>
      <c r="LX6" s="33"/>
      <c r="LY6" s="33"/>
      <c r="LZ6" s="33"/>
      <c r="MA6" s="33"/>
      <c r="MB6" s="33"/>
      <c r="MC6" s="33"/>
      <c r="MD6" s="33"/>
      <c r="ME6" s="33"/>
      <c r="MF6" s="33"/>
      <c r="MG6" s="33"/>
      <c r="MH6" s="33"/>
      <c r="MI6" s="33"/>
      <c r="MJ6" s="33"/>
      <c r="MK6" s="33"/>
      <c r="ML6" s="33"/>
      <c r="MM6" s="33"/>
      <c r="MN6" s="33"/>
      <c r="MO6" s="33"/>
      <c r="MP6" s="33"/>
      <c r="MQ6" s="33"/>
      <c r="MR6" s="33"/>
      <c r="MS6" s="33"/>
      <c r="MT6" s="33"/>
      <c r="MU6" s="33"/>
      <c r="MV6" s="33"/>
      <c r="MW6" s="33"/>
      <c r="MX6" s="33"/>
      <c r="MY6" s="33"/>
      <c r="MZ6" s="33"/>
      <c r="NA6" s="33"/>
      <c r="NB6" s="33"/>
      <c r="NC6" s="33"/>
      <c r="ND6" s="33"/>
      <c r="NE6" s="33"/>
      <c r="NF6" s="33"/>
      <c r="NG6" s="33"/>
      <c r="NH6" s="33"/>
      <c r="NI6" s="33"/>
      <c r="NJ6" s="33"/>
      <c r="NK6" s="33"/>
      <c r="NL6" s="33"/>
      <c r="NM6" s="33"/>
      <c r="NN6" s="33"/>
      <c r="NO6" s="33"/>
      <c r="NP6" s="33"/>
      <c r="NQ6" s="33"/>
      <c r="NR6" s="33"/>
      <c r="NS6" s="33"/>
      <c r="NT6" s="33"/>
      <c r="NU6" s="33"/>
      <c r="NV6" s="33"/>
      <c r="NW6" s="33"/>
      <c r="NX6" s="33"/>
      <c r="NY6" s="33"/>
      <c r="NZ6" s="33"/>
      <c r="OA6" s="33"/>
      <c r="OB6" s="33"/>
      <c r="OC6" s="33"/>
      <c r="OD6" s="33"/>
      <c r="OE6" s="33"/>
      <c r="OF6" s="33"/>
      <c r="OG6" s="33"/>
      <c r="OH6" s="33"/>
      <c r="OI6" s="33"/>
      <c r="OJ6" s="33"/>
      <c r="OK6" s="33"/>
      <c r="OL6" s="33"/>
      <c r="OM6" s="33"/>
      <c r="ON6" s="33"/>
      <c r="OO6" s="33"/>
      <c r="OP6" s="33"/>
      <c r="OQ6" s="33"/>
      <c r="OR6" s="33"/>
      <c r="OS6" s="33"/>
      <c r="OT6" s="33"/>
      <c r="OU6" s="33"/>
      <c r="OV6" s="33"/>
      <c r="OW6" s="33"/>
      <c r="OX6" s="33"/>
      <c r="OY6" s="33"/>
      <c r="OZ6" s="33"/>
      <c r="PA6" s="33"/>
      <c r="PB6" s="33"/>
      <c r="PC6" s="33"/>
      <c r="PD6" s="33"/>
      <c r="PE6" s="33"/>
      <c r="PF6" s="33"/>
      <c r="PG6" s="33"/>
      <c r="PH6" s="33"/>
      <c r="PI6" s="33"/>
      <c r="PJ6" s="33"/>
      <c r="PK6" s="33"/>
      <c r="PL6" s="33"/>
      <c r="PM6" s="33"/>
      <c r="PN6" s="33"/>
      <c r="PO6" s="33"/>
      <c r="PP6" s="33"/>
      <c r="PQ6" s="33"/>
      <c r="PR6" s="33"/>
      <c r="PS6" s="33"/>
      <c r="PT6" s="33"/>
      <c r="PU6" s="33"/>
      <c r="PV6" s="33"/>
      <c r="PW6" s="33"/>
      <c r="PX6" s="33"/>
      <c r="PY6" s="33"/>
      <c r="PZ6" s="33"/>
      <c r="QA6" s="33"/>
      <c r="QB6" s="33"/>
      <c r="QC6" s="33"/>
      <c r="QD6" s="33"/>
      <c r="QE6" s="33"/>
      <c r="QF6" s="33"/>
      <c r="QG6" s="33"/>
      <c r="QH6" s="33"/>
      <c r="QI6" s="33"/>
      <c r="QJ6" s="33"/>
      <c r="QK6" s="33"/>
      <c r="QL6" s="33"/>
      <c r="QM6" s="33"/>
      <c r="QN6" s="33"/>
      <c r="QO6" s="33"/>
      <c r="QP6" s="33"/>
      <c r="QQ6" s="33"/>
      <c r="QR6" s="33"/>
      <c r="QS6" s="33"/>
      <c r="QT6" s="33"/>
      <c r="QU6" s="33"/>
      <c r="QV6" s="33"/>
      <c r="QW6" s="33"/>
      <c r="QX6" s="33"/>
      <c r="QY6" s="33"/>
      <c r="QZ6" s="33"/>
      <c r="RA6" s="33"/>
      <c r="RB6" s="33"/>
      <c r="RC6" s="33"/>
      <c r="RD6" s="33"/>
      <c r="RE6" s="33"/>
      <c r="RF6" s="33"/>
      <c r="RG6" s="33"/>
      <c r="RH6" s="33"/>
      <c r="RI6" s="33"/>
      <c r="RJ6" s="33"/>
      <c r="RK6" s="33"/>
      <c r="RL6" s="33"/>
      <c r="RM6" s="33"/>
      <c r="RN6" s="33"/>
      <c r="RO6" s="33"/>
      <c r="RP6" s="33"/>
      <c r="RQ6" s="33"/>
      <c r="RR6" s="33"/>
      <c r="RS6" s="33"/>
      <c r="RT6" s="33"/>
      <c r="RU6" s="33"/>
      <c r="RV6" s="33"/>
      <c r="RW6" s="33"/>
      <c r="RX6" s="33"/>
      <c r="RY6" s="33"/>
      <c r="RZ6" s="33"/>
      <c r="SA6" s="33"/>
      <c r="SB6" s="33"/>
      <c r="SC6" s="33"/>
      <c r="SD6" s="33"/>
      <c r="SE6" s="33"/>
      <c r="SF6" s="33"/>
      <c r="SG6" s="33"/>
      <c r="SH6" s="33"/>
      <c r="SI6" s="33"/>
      <c r="SJ6" s="33"/>
      <c r="SK6" s="33"/>
      <c r="SL6" s="33"/>
      <c r="SM6" s="33"/>
      <c r="SN6" s="33"/>
      <c r="SO6" s="33"/>
      <c r="SP6" s="33"/>
      <c r="SQ6" s="33"/>
      <c r="SR6" s="33"/>
      <c r="SS6" s="33"/>
      <c r="ST6" s="33"/>
      <c r="SU6" s="33"/>
      <c r="SV6" s="33"/>
      <c r="SW6" s="33"/>
      <c r="SX6" s="33"/>
      <c r="SY6" s="33"/>
      <c r="SZ6" s="33"/>
      <c r="TA6" s="33"/>
      <c r="TB6" s="33"/>
      <c r="TC6" s="33"/>
      <c r="TD6" s="33"/>
      <c r="TE6" s="33"/>
      <c r="TF6" s="33"/>
      <c r="TG6" s="33"/>
      <c r="TH6" s="33"/>
      <c r="TI6" s="33"/>
      <c r="TJ6" s="33"/>
      <c r="TK6" s="33"/>
      <c r="TL6" s="33"/>
      <c r="TM6" s="33"/>
      <c r="TN6" s="33"/>
      <c r="TO6" s="33"/>
      <c r="TP6" s="33"/>
      <c r="TQ6" s="33"/>
      <c r="TR6" s="33"/>
      <c r="TS6" s="33"/>
      <c r="TT6" s="33"/>
      <c r="TU6" s="33"/>
      <c r="TV6" s="33"/>
      <c r="TW6" s="33"/>
      <c r="TX6" s="33"/>
      <c r="TY6" s="33"/>
      <c r="TZ6" s="33"/>
      <c r="UA6" s="33"/>
      <c r="UB6" s="33"/>
      <c r="UC6" s="33"/>
      <c r="UD6" s="33"/>
      <c r="UE6" s="33"/>
      <c r="UF6" s="33"/>
      <c r="UG6" s="33"/>
      <c r="UH6" s="33"/>
      <c r="UI6" s="33"/>
      <c r="UJ6" s="33"/>
      <c r="UK6" s="33"/>
      <c r="UL6" s="33"/>
      <c r="UM6" s="33"/>
      <c r="UN6" s="33"/>
      <c r="UO6" s="33"/>
      <c r="UP6" s="33"/>
      <c r="UQ6" s="33"/>
      <c r="UR6" s="33"/>
      <c r="US6" s="33"/>
      <c r="UT6" s="33"/>
      <c r="UU6" s="33"/>
      <c r="UV6" s="33"/>
      <c r="UW6" s="33"/>
      <c r="UX6" s="33"/>
      <c r="UY6" s="33"/>
      <c r="UZ6" s="33"/>
      <c r="VA6" s="33"/>
      <c r="VB6" s="33"/>
      <c r="VC6" s="33"/>
      <c r="VD6" s="33"/>
      <c r="VE6" s="33"/>
      <c r="VF6" s="33"/>
      <c r="VG6" s="33"/>
      <c r="VH6" s="33"/>
      <c r="VI6" s="33"/>
      <c r="VJ6" s="33"/>
      <c r="VK6" s="33"/>
      <c r="VL6" s="33"/>
      <c r="VM6" s="33"/>
      <c r="VN6" s="33"/>
      <c r="VO6" s="33"/>
      <c r="VP6" s="33"/>
      <c r="VQ6" s="33"/>
      <c r="VR6" s="33"/>
      <c r="VS6" s="33"/>
      <c r="VT6" s="33"/>
      <c r="VU6" s="33"/>
      <c r="VV6" s="33"/>
      <c r="VW6" s="33"/>
      <c r="VX6" s="33"/>
      <c r="VY6" s="33"/>
      <c r="VZ6" s="33"/>
      <c r="WA6" s="33"/>
      <c r="WB6" s="33"/>
      <c r="WC6" s="33"/>
      <c r="WD6" s="33"/>
      <c r="WE6" s="33"/>
      <c r="WF6" s="33"/>
      <c r="WG6" s="33"/>
      <c r="WH6" s="33"/>
      <c r="WI6" s="33"/>
      <c r="WJ6" s="33"/>
      <c r="WK6" s="33"/>
      <c r="WL6" s="33"/>
      <c r="WM6" s="33"/>
      <c r="WN6" s="33"/>
      <c r="WO6" s="33"/>
      <c r="WP6" s="33"/>
      <c r="WQ6" s="33"/>
      <c r="WR6" s="33"/>
      <c r="WS6" s="33"/>
      <c r="WT6" s="33"/>
      <c r="WU6" s="33"/>
      <c r="WV6" s="33"/>
      <c r="WW6" s="33"/>
      <c r="WX6" s="33"/>
      <c r="WY6" s="33"/>
      <c r="WZ6" s="33"/>
      <c r="XA6" s="33"/>
      <c r="XB6" s="33"/>
      <c r="XC6" s="33"/>
      <c r="XD6" s="33"/>
      <c r="XE6" s="33"/>
      <c r="XF6" s="33"/>
      <c r="XG6" s="33"/>
      <c r="XH6" s="33"/>
      <c r="XI6" s="33"/>
      <c r="XJ6" s="33"/>
      <c r="XK6" s="33"/>
      <c r="XL6" s="33"/>
      <c r="XM6" s="33"/>
      <c r="XN6" s="33"/>
      <c r="XO6" s="33"/>
      <c r="XP6" s="33"/>
      <c r="XQ6" s="33"/>
      <c r="XR6" s="33"/>
      <c r="XS6" s="33"/>
      <c r="XT6" s="33"/>
      <c r="XU6" s="33"/>
      <c r="XV6" s="33"/>
      <c r="XW6" s="33"/>
      <c r="XX6" s="33"/>
      <c r="XY6" s="33"/>
      <c r="XZ6" s="33"/>
      <c r="YA6" s="33"/>
      <c r="YB6" s="33"/>
      <c r="YC6" s="33"/>
      <c r="YD6" s="33"/>
      <c r="YE6" s="33"/>
      <c r="YF6" s="33"/>
      <c r="YG6" s="33"/>
      <c r="YH6" s="33"/>
      <c r="YI6" s="33"/>
      <c r="YJ6" s="33"/>
      <c r="YK6" s="33"/>
      <c r="YL6" s="33"/>
      <c r="YM6" s="33"/>
      <c r="YN6" s="33"/>
      <c r="YO6" s="33"/>
      <c r="YP6" s="33"/>
      <c r="YQ6" s="33"/>
      <c r="YR6" s="33"/>
      <c r="YS6" s="33"/>
      <c r="YT6" s="33"/>
      <c r="YU6" s="33"/>
      <c r="YV6" s="33"/>
      <c r="YW6" s="33"/>
      <c r="YX6" s="33"/>
      <c r="YY6" s="33"/>
      <c r="YZ6" s="33"/>
      <c r="ZA6" s="33"/>
      <c r="ZB6" s="33"/>
      <c r="ZC6" s="33"/>
      <c r="ZD6" s="33"/>
      <c r="ZE6" s="33"/>
      <c r="ZF6" s="33"/>
      <c r="ZG6" s="33"/>
      <c r="ZH6" s="33"/>
      <c r="ZI6" s="33"/>
      <c r="ZJ6" s="33"/>
      <c r="ZK6" s="33"/>
      <c r="ZL6" s="33"/>
      <c r="ZM6" s="33"/>
      <c r="ZN6" s="33"/>
      <c r="ZO6" s="33"/>
      <c r="ZP6" s="33"/>
      <c r="ZQ6" s="33"/>
      <c r="ZR6" s="33"/>
      <c r="ZS6" s="33"/>
      <c r="ZT6" s="33"/>
      <c r="ZU6" s="33"/>
      <c r="ZV6" s="33"/>
      <c r="ZW6" s="33"/>
      <c r="ZX6" s="33"/>
      <c r="ZY6" s="33"/>
      <c r="ZZ6" s="33"/>
      <c r="AAA6" s="33"/>
      <c r="AAB6" s="33"/>
      <c r="AAC6" s="33"/>
      <c r="AAD6" s="33"/>
      <c r="AAE6" s="33"/>
      <c r="AAF6" s="33"/>
      <c r="AAG6" s="33"/>
      <c r="AAH6" s="33"/>
      <c r="AAI6" s="33"/>
      <c r="AAJ6" s="33"/>
      <c r="AAK6" s="33"/>
      <c r="AAL6" s="33"/>
      <c r="AAM6" s="33"/>
      <c r="AAN6" s="33"/>
      <c r="AAO6" s="33"/>
      <c r="AAP6" s="33"/>
      <c r="AAQ6" s="33"/>
      <c r="AAR6" s="33"/>
      <c r="AAS6" s="33"/>
      <c r="AAT6" s="33"/>
      <c r="AAU6" s="33"/>
      <c r="AAV6" s="33"/>
      <c r="AAW6" s="33"/>
      <c r="AAX6" s="33"/>
      <c r="AAY6" s="33"/>
      <c r="AAZ6" s="33"/>
      <c r="ABA6" s="33"/>
      <c r="ABB6" s="33"/>
      <c r="ABC6" s="33"/>
      <c r="ABD6" s="33"/>
      <c r="ABE6" s="33"/>
      <c r="ABF6" s="33"/>
      <c r="ABG6" s="33"/>
      <c r="ABH6" s="33"/>
      <c r="ABI6" s="33"/>
      <c r="ABJ6" s="33"/>
      <c r="ABK6" s="33"/>
      <c r="ABL6" s="33"/>
      <c r="ABM6" s="33"/>
      <c r="ABN6" s="33"/>
      <c r="ABO6" s="33"/>
      <c r="ABP6" s="33"/>
      <c r="ABQ6" s="33"/>
      <c r="ABR6" s="33"/>
      <c r="ABS6" s="33"/>
      <c r="ABT6" s="33"/>
      <c r="ABU6" s="33"/>
      <c r="ABV6" s="33"/>
      <c r="ABW6" s="33"/>
      <c r="ABX6" s="33"/>
      <c r="ABY6" s="33"/>
      <c r="ABZ6" s="33"/>
      <c r="ACA6" s="33"/>
      <c r="ACB6" s="33"/>
      <c r="ACC6" s="33"/>
      <c r="ACD6" s="33"/>
      <c r="ACE6" s="33"/>
      <c r="ACF6" s="33"/>
      <c r="ACG6" s="33"/>
      <c r="ACH6" s="33"/>
      <c r="ACI6" s="33"/>
      <c r="ACJ6" s="33"/>
      <c r="ACK6" s="33"/>
      <c r="ACL6" s="33"/>
      <c r="ACM6" s="33"/>
      <c r="ACN6" s="33"/>
      <c r="ACO6" s="33"/>
      <c r="ACP6" s="33"/>
      <c r="ACQ6" s="33"/>
      <c r="ACR6" s="33"/>
      <c r="ACS6" s="33"/>
      <c r="ACT6" s="33"/>
      <c r="ACU6" s="33"/>
      <c r="ACV6" s="33"/>
      <c r="ACW6" s="33"/>
      <c r="ACX6" s="33"/>
      <c r="ACY6" s="33"/>
      <c r="ACZ6" s="33"/>
      <c r="ADA6" s="33"/>
      <c r="ADB6" s="33"/>
      <c r="ADC6" s="33"/>
      <c r="ADD6" s="33"/>
      <c r="ADE6" s="33"/>
      <c r="ADF6" s="33"/>
      <c r="ADG6" s="33"/>
      <c r="ADH6" s="33"/>
      <c r="ADI6" s="33"/>
      <c r="ADJ6" s="33"/>
      <c r="ADK6" s="33"/>
      <c r="ADL6" s="33"/>
      <c r="ADM6" s="33"/>
      <c r="ADN6" s="33"/>
      <c r="ADO6" s="33"/>
      <c r="ADP6" s="33"/>
      <c r="ADQ6" s="33"/>
      <c r="ADR6" s="33"/>
      <c r="ADS6" s="33"/>
      <c r="ADT6" s="33"/>
      <c r="ADU6" s="33"/>
      <c r="ADV6" s="33"/>
      <c r="ADW6" s="33"/>
      <c r="ADX6" s="33"/>
      <c r="ADY6" s="33"/>
      <c r="ADZ6" s="33"/>
      <c r="AEA6" s="33"/>
      <c r="AEB6" s="33"/>
      <c r="AEC6" s="33"/>
      <c r="AED6" s="33"/>
      <c r="AEE6" s="33"/>
      <c r="AEF6" s="33"/>
      <c r="AEG6" s="33"/>
      <c r="AEH6" s="33"/>
      <c r="AEI6" s="33"/>
      <c r="AEJ6" s="33"/>
      <c r="AEK6" s="33"/>
      <c r="AEL6" s="33"/>
      <c r="AEM6" s="33"/>
      <c r="AEN6" s="33"/>
      <c r="AEO6" s="33"/>
      <c r="AEP6" s="33"/>
      <c r="AEQ6" s="33"/>
      <c r="AER6" s="33"/>
      <c r="AES6" s="33"/>
      <c r="AET6" s="33"/>
      <c r="AEU6" s="33"/>
      <c r="AEV6" s="33"/>
      <c r="AEW6" s="33"/>
      <c r="AEX6" s="33"/>
      <c r="AEY6" s="33"/>
      <c r="AEZ6" s="33"/>
      <c r="AFA6" s="33"/>
      <c r="AFB6" s="33"/>
      <c r="AFC6" s="33"/>
      <c r="AFD6" s="33"/>
      <c r="AFE6" s="33"/>
      <c r="AFF6" s="33"/>
      <c r="AFG6" s="33"/>
      <c r="AFH6" s="33"/>
      <c r="AFI6" s="33"/>
      <c r="AFJ6" s="33"/>
      <c r="AFK6" s="33"/>
      <c r="AFL6" s="33"/>
      <c r="AFM6" s="33"/>
      <c r="AFN6" s="33"/>
      <c r="AFO6" s="33"/>
      <c r="AFP6" s="33"/>
      <c r="AFQ6" s="33"/>
      <c r="AFR6" s="33"/>
      <c r="AFS6" s="33"/>
      <c r="AFT6" s="33"/>
      <c r="AFU6" s="33"/>
      <c r="AFV6" s="33"/>
      <c r="AFW6" s="33"/>
      <c r="AFX6" s="33"/>
      <c r="AFY6" s="33"/>
      <c r="AFZ6" s="33"/>
      <c r="AGA6" s="33"/>
      <c r="AGB6" s="33"/>
      <c r="AGC6" s="33"/>
      <c r="AGD6" s="33"/>
      <c r="AGE6" s="33"/>
      <c r="AGF6" s="33"/>
      <c r="AGG6" s="33"/>
      <c r="AGH6" s="33"/>
      <c r="AGI6" s="33"/>
      <c r="AGJ6" s="33"/>
      <c r="AGK6" s="33"/>
      <c r="AGL6" s="33"/>
      <c r="AGM6" s="33"/>
      <c r="AGN6" s="33"/>
      <c r="AGO6" s="33"/>
      <c r="AGP6" s="33"/>
      <c r="AGQ6" s="33"/>
      <c r="AGR6" s="33"/>
      <c r="AGS6" s="33"/>
      <c r="AGT6" s="33"/>
      <c r="AGU6" s="33"/>
      <c r="AGV6" s="33"/>
      <c r="AGW6" s="33"/>
      <c r="AGX6" s="33"/>
      <c r="AGY6" s="33"/>
      <c r="AGZ6" s="33"/>
      <c r="AHA6" s="33"/>
      <c r="AHB6" s="33"/>
      <c r="AHC6" s="33"/>
      <c r="AHD6" s="33"/>
      <c r="AHE6" s="33"/>
      <c r="AHF6" s="33"/>
      <c r="AHG6" s="33"/>
      <c r="AHH6" s="33"/>
      <c r="AHI6" s="33"/>
      <c r="AHJ6" s="33"/>
      <c r="AHK6" s="33"/>
      <c r="AHL6" s="33"/>
      <c r="AHM6" s="33"/>
      <c r="AHN6" s="33"/>
      <c r="AHO6" s="33"/>
      <c r="AHP6" s="33"/>
      <c r="AHQ6" s="33"/>
      <c r="AHR6" s="33"/>
      <c r="AHS6" s="33"/>
      <c r="AHT6" s="33"/>
      <c r="AHU6" s="33"/>
      <c r="AHV6" s="33"/>
      <c r="AHW6" s="33"/>
      <c r="AHX6" s="33"/>
      <c r="AHY6" s="33"/>
      <c r="AHZ6" s="33"/>
      <c r="AIA6" s="33"/>
      <c r="AIB6" s="33"/>
      <c r="AIC6" s="33"/>
      <c r="AID6" s="33"/>
      <c r="AIE6" s="33"/>
      <c r="AIF6" s="33"/>
      <c r="AIG6" s="33"/>
      <c r="AIH6" s="33"/>
      <c r="AII6" s="33"/>
      <c r="AIJ6" s="33"/>
      <c r="AIK6" s="33"/>
      <c r="AIL6" s="33"/>
      <c r="AIM6" s="33"/>
      <c r="AIN6" s="33"/>
      <c r="AIO6" s="33"/>
      <c r="AIP6" s="33"/>
      <c r="AIQ6" s="33"/>
      <c r="AIR6" s="33"/>
      <c r="AIS6" s="33"/>
      <c r="AIT6" s="33"/>
      <c r="AIU6" s="33"/>
      <c r="AIV6" s="33"/>
      <c r="AIW6" s="33"/>
      <c r="AIX6" s="33"/>
      <c r="AIY6" s="33"/>
      <c r="AIZ6" s="33"/>
      <c r="AJA6" s="33"/>
      <c r="AJB6" s="33"/>
      <c r="AJC6" s="33"/>
      <c r="AJD6" s="33"/>
      <c r="AJE6" s="33"/>
      <c r="AJF6" s="33"/>
      <c r="AJG6" s="33"/>
      <c r="AJH6" s="33"/>
      <c r="AJI6" s="33"/>
      <c r="AJJ6" s="33"/>
      <c r="AJK6" s="33"/>
      <c r="AJL6" s="33"/>
      <c r="AJM6" s="33"/>
      <c r="AJN6" s="33"/>
      <c r="AJO6" s="33"/>
      <c r="AJP6" s="33"/>
      <c r="AJQ6" s="33"/>
      <c r="AJR6" s="33"/>
      <c r="AJS6" s="33"/>
      <c r="AJT6" s="33"/>
      <c r="AJU6" s="33"/>
      <c r="AJV6" s="33"/>
      <c r="AJW6" s="33"/>
      <c r="AJX6" s="33"/>
      <c r="AJY6" s="33"/>
      <c r="AJZ6" s="33"/>
      <c r="AKA6" s="33"/>
      <c r="AKB6" s="33"/>
      <c r="AKC6" s="33"/>
      <c r="AKD6" s="33"/>
      <c r="AKE6" s="33"/>
      <c r="AKF6" s="33"/>
      <c r="AKG6" s="33"/>
      <c r="AKH6" s="33"/>
      <c r="AKI6" s="33"/>
      <c r="AKJ6" s="33"/>
      <c r="AKK6" s="33"/>
      <c r="AKL6" s="33"/>
      <c r="AKM6" s="33"/>
      <c r="AKN6" s="33"/>
      <c r="AKO6" s="33"/>
      <c r="AKP6" s="33"/>
      <c r="AKQ6" s="33"/>
      <c r="AKR6" s="33"/>
      <c r="AKS6" s="33"/>
      <c r="AKT6" s="33"/>
      <c r="AKU6" s="33"/>
      <c r="AKV6" s="33"/>
      <c r="AKW6" s="33"/>
      <c r="AKX6" s="33"/>
      <c r="AKY6" s="33"/>
      <c r="AKZ6" s="33"/>
      <c r="ALA6" s="33"/>
      <c r="ALB6" s="33"/>
      <c r="ALC6" s="33"/>
      <c r="ALD6" s="33"/>
      <c r="ALE6" s="33"/>
      <c r="ALF6" s="33"/>
      <c r="ALG6" s="33"/>
      <c r="ALH6" s="33"/>
      <c r="ALI6" s="33"/>
      <c r="ALJ6" s="33"/>
      <c r="ALK6" s="33"/>
      <c r="ALL6" s="33"/>
      <c r="ALM6" s="33"/>
      <c r="ALN6" s="33"/>
      <c r="ALO6" s="33"/>
      <c r="ALP6" s="33"/>
      <c r="ALQ6" s="33"/>
      <c r="ALR6" s="33"/>
      <c r="ALS6" s="33"/>
      <c r="ALT6" s="33"/>
      <c r="ALU6" s="33"/>
      <c r="ALV6" s="33"/>
      <c r="ALW6" s="33"/>
      <c r="ALX6" s="33"/>
      <c r="ALY6" s="33"/>
      <c r="ALZ6" s="33"/>
      <c r="AMA6" s="33"/>
      <c r="AMB6" s="33"/>
      <c r="AMC6" s="33"/>
      <c r="AMD6" s="33"/>
      <c r="AME6" s="33"/>
      <c r="AMF6" s="33"/>
      <c r="AMG6" s="33"/>
      <c r="AMH6" s="33"/>
      <c r="AMI6" s="33"/>
      <c r="AMJ6" s="33"/>
      <c r="AMK6" s="33"/>
      <c r="AML6" s="33"/>
      <c r="AMM6" s="33"/>
    </row>
    <row r="7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AI7" s="9" t="s">
        <v>52</v>
      </c>
      <c r="AJ7" s="9" t="s">
        <v>17</v>
      </c>
      <c r="BB7" s="9" t="s">
        <v>49</v>
      </c>
      <c r="BC7" s="9" t="s">
        <v>50</v>
      </c>
      <c r="BD7" s="9" t="s">
        <v>52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 t="str">
        <f>IFERROR(__xludf.DUMMYFUNCTION("""COMPUTED_VALUE"""),"SetAuecExecutingBroker")</f>
        <v>SetAuecExecutingBroker</v>
      </c>
      <c r="AH4" s="25" t="str">
        <f>IFERROR(__xludf.DUMMYFUNCTION("""COMPUTED_VALUE"""),"SetAlgoBroker")</f>
        <v>SetAlgoBroker</v>
      </c>
      <c r="AI4" s="25" t="str">
        <f>IFERROR(__xludf.DUMMYFUNCTION("""COMPUTED_VALUE"""),"EnableAutoGroupingAllocation")</f>
        <v>EnableAutoGroupingAllocation</v>
      </c>
      <c r="AJ4" s="25" t="str">
        <f>IFERROR(__xludf.DUMMYFUNCTION("""COMPUTED_VALUE"""),"ConfigUpdater")</f>
        <v>ConfigUpdater</v>
      </c>
      <c r="AK4" s="25" t="str">
        <f>IFERROR(__xludf.DUMMYFUNCTION("""COMPUTED_VALUE"""),"AccountPermission")</f>
        <v>AccountPermission</v>
      </c>
      <c r="AL4" s="25" t="str">
        <f>IFERROR(__xludf.DUMMYFUNCTION("""COMPUTED_VALUE"""),"BasketPermission")</f>
        <v>BasketPermission</v>
      </c>
      <c r="AM4" s="25" t="str">
        <f>IFERROR(__xludf.DUMMYFUNCTION("""COMPUTED_VALUE"""),"ChangeDate")</f>
        <v>ChangeDate</v>
      </c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IFERROR(__xludf.DUMMYFUNCTION("""COMPUTED_VALUE"""),"AccountName")</f>
        <v>AccountName</v>
      </c>
      <c r="C5" s="27" t="str">
        <f>IFERROR(__xludf.DUMMYFUNCTION("""COMPUTED_VALUE"""),"UserID")</f>
        <v>UserID</v>
      </c>
      <c r="D5" s="27" t="str">
        <f>IFERROR(__xludf.DUMMYFUNCTION("""COMPUTED_VALUE"""),"Allocate/Unallocate")</f>
        <v>Allocate/Unallocate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23</v>
      </c>
      <c r="C6" s="12">
        <v>17.0</v>
      </c>
      <c r="D6" s="12" t="s">
        <v>53</v>
      </c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2" t="s">
        <v>24</v>
      </c>
      <c r="C7" s="12">
        <v>17.0</v>
      </c>
      <c r="D7" s="12" t="s">
        <v>53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>
      <c r="D100" s="12"/>
    </row>
  </sheetData>
  <mergeCells count="1">
    <mergeCell ref="B1:H1"/>
  </mergeCells>
  <dataValidations>
    <dataValidation type="list" allowBlank="1" showInputMessage="1" showErrorMessage="1" prompt="Choose available step for selected module" sqref="E3">
      <formula1>AccountPermission2!$4:$4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