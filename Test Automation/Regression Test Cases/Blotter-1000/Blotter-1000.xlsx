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EditTradeAttributesOrders" sheetId="6" r:id="rId8"/>
    <sheet state="visible" name="EditTradeAttributesWindow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<sst xmlns="http://schemas.openxmlformats.org/spreadsheetml/2006/main" count="194" uniqueCount="139">
  <si>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</si>
  <si>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</si>
  <si>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</si>
  <si>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</si>
  <si>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</si>
  <si>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</si>
  <si>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</si>
  <si>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</si>
  <si>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</si>
  <si>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</si>
  <si>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</si>
  <si>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</si>
  <si>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</si>
  <si>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</si>
  <si>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</si>
  <si>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</si>
  <si>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</si>
  <si>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</si>
  <si>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TargetQuantityIn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</si>
  <si>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</si>
  <si>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</si>
  <si>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</si>
  <si>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</si>
  <si>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</si>
  <si>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</si>
  <si>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</si>
  <si>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</si>
  <si>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</si>
  <si>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</si>
  <si>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</si>
  <si>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</si>
  <si>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</si>
  <si>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</si>
  <si>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</si>
  <si>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</si>
  <si>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</si>
  <si>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</si>
  <si>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</si>
  <si>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</si>
  <si>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</si>
  <si>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</si>
  <si>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</si>
  <si>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</si>
  <si>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</si>
  <si>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</si>
  <si>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</si>
  <si>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</si>
  <si>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</si>
  <si>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</si>
  <si>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</si>
  <si>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</si>
  <si>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</si>
  <si>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</si>
  <si>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</si>
  <si>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</si>
  <si>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</si>
  <si>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</si>
  <si>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</si>
  <si>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</si>
  <si>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</si>
  <si>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</si>
  <si>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</si>
  <si>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</si>
  <si>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</si>
  <si>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</si>
  <si>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</si>
  <si>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</si>
  <si>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AAPL</t>
  </si>
  <si>
    <t>DoneAway</t>
  </si>
  <si>
    <t>Buy</t>
  </si>
  <si>
    <t>Test1</t>
  </si>
  <si>
    <t>Test2</t>
  </si>
  <si>
    <t>Test3</t>
  </si>
  <si>
    <t>Test4</t>
  </si>
  <si>
    <t>Test5</t>
  </si>
  <si>
    <t>Test6</t>
  </si>
  <si>
    <t>Blotter</t>
  </si>
  <si>
    <t>SelectTradeOnOrderGrid</t>
  </si>
  <si>
    <t>EditTradeAttributesOrders</t>
  </si>
  <si>
    <t>EditTradeAttributesWindow</t>
  </si>
  <si>
    <t>T1</t>
  </si>
  <si>
    <t>T2</t>
  </si>
  <si>
    <t>T3</t>
  </si>
  <si>
    <t>T4</t>
  </si>
  <si>
    <t>T5</t>
  </si>
  <si>
    <t>T6</t>
  </si>
  <si>
    <t>MS</t>
  </si>
  <si>
    <t>Close</t>
  </si>
  <si>
    <t>VerifySubOrder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</si>
  <si>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</si>
  <si>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</si>
  <si>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</si>
  <si>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</si>
  <si>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</si>
  <si>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</si>
  <si>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</si>
  <si>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</si>
  <si>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</si>
  <si>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</si>
  <si>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</si>
  <si>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</si>
  <si>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</si>
  <si>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</si>
  <si>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</si>
  <si>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</si>
  <si>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</si>
  <si>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</si>
  <si>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</si>
  <si>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</si>
  <si>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</si>
  <si>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</si>
  <si>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</si>
  <si>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</si>
  <si>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</si>
  <si>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</si>
  <si>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</si>
  <si>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</si>
  <si>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</si>
  <si>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Day Executed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</si>
  <si>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</si>
  <si>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</si>
  <si>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</si>
  <si>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</si>
  <si>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</si>
  <si>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</si>
  <si>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</si>
  <si>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</si>
  <si>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</si>
  <si>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</si>
  <si>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</si>
  <si>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</si>
  <si>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</si>
  <si>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Samsara</t>
  </si>
  <si>
    <t>GCCAP1</t>
  </si>
  <si>
    <t>Equity</t>
  </si>
  <si>
    <t>PartiallyFilled</t>
  </si>
  <si>
    <t>Allocation1</t>
  </si>
  <si>
    <t>Market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</si>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</sst>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29" t="s">
        <v>59</v>
      </c>
      <c r="AT5" s="29" t="s">
        <v>60</v>
      </c>
      <c r="AU5" s="29" t="s">
        <v>61</v>
      </c>
      <c r="AV5" s="29" t="s">
        <v>62</v>
      </c>
      <c r="AW5" s="29" t="s">
        <v>63</v>
      </c>
      <c r="AX5" s="29" t="s">
        <v>64</v>
      </c>
      <c r="AY5" s="29" t="s">
        <v>65</v>
      </c>
      <c r="AZ5" s="29" t="s">
        <v>66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67</v>
      </c>
      <c r="C6" s="33">
        <v>100.0</v>
      </c>
      <c r="D6" s="33">
        <v>50.0</v>
      </c>
      <c r="E6" s="32">
        <v>10.0</v>
      </c>
      <c r="F6" s="34" t="s">
        <v>68</v>
      </c>
      <c r="G6" s="35"/>
      <c r="H6" s="35"/>
      <c r="I6" s="35"/>
      <c r="J6" s="36"/>
      <c r="K6" s="34" t="s">
        <v>69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7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4" t="s">
        <v>70</v>
      </c>
      <c r="AO6" s="34" t="s">
        <v>71</v>
      </c>
      <c r="AP6" s="34" t="s">
        <v>72</v>
      </c>
      <c r="AQ6" s="34" t="s">
        <v>73</v>
      </c>
      <c r="AR6" s="34" t="s">
        <v>74</v>
      </c>
      <c r="AS6" s="34" t="s">
        <v>75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IFERROR(__xludf.DUMMYFUNCTION("""COMPUTED_VALUE"""),"Avg Fill Price (Base)")</f>
        <v>Avg Fill Price (Base)</v>
      </c>
      <c r="C5" s="38" t="str">
        <f>IFERROR(__xludf.DUMMYFUNCTION("""COMPUTED_VALUE"""),"Transaction Time")</f>
        <v>Transaction Time</v>
      </c>
      <c r="D5" s="38" t="str">
        <f>IFERROR(__xludf.DUMMYFUNCTION("""COMPUTED_VALUE"""),"Symbol")</f>
        <v>Symbol</v>
      </c>
      <c r="E5" s="38" t="str">
        <f>IFERROR(__xludf.DUMMYFUNCTION("""COMPUTED_VALUE"""),"Algo")</f>
        <v>Algo</v>
      </c>
      <c r="F5" s="28" t="str">
        <f>IFERROR(__xludf.DUMMYFUNCTION("""COMPUTED_VALUE"""),"Side")</f>
        <v>Side</v>
      </c>
      <c r="G5" s="38" t="str">
        <f>IFERROR(__xludf.DUMMYFUNCTION("""COMPUTED_VALUE"""),"Status")</f>
        <v>Status</v>
      </c>
      <c r="H5" s="38" t="str">
        <f>IFERROR(__xludf.DUMMYFUNCTION("""COMPUTED_VALUE"""),"Target Qty")</f>
        <v>Target Qty</v>
      </c>
      <c r="I5" s="38" t="str">
        <f>IFERROR(__xludf.DUMMYFUNCTION("""COMPUTED_VALUE"""),"Total Executed Qty")</f>
        <v>Total Executed Qty</v>
      </c>
      <c r="J5" s="38" t="str">
        <f>IFERROR(__xludf.DUMMYFUNCTION("""COMPUTED_VALUE"""),"% Executed")</f>
        <v>% Executed</v>
      </c>
      <c r="K5" s="38" t="str">
        <f>IFERROR(__xludf.DUMMYFUNCTION("""COMPUTED_VALUE"""),"Day Executed Qty")</f>
        <v>Day Executed Qty</v>
      </c>
      <c r="L5" s="38" t="str">
        <f>IFERROR(__xludf.DUMMYFUNCTION("""COMPUTED_VALUE"""),"Uncommitted Qty")</f>
        <v>Uncommitted Qty</v>
      </c>
      <c r="M5" s="38" t="str">
        <f>IFERROR(__xludf.DUMMYFUNCTION("""COMPUTED_VALUE"""),"Limit Price")</f>
        <v>Limit Price</v>
      </c>
      <c r="N5" s="38" t="str">
        <f>IFERROR(__xludf.DUMMYFUNCTION("""COMPUTED_VALUE"""),"Last Fill Price (Local)")</f>
        <v>Last Fill Price (Local)</v>
      </c>
      <c r="O5" s="38" t="str">
        <f>IFERROR(__xludf.DUMMYFUNCTION("""COMPUTED_VALUE"""),"Stop Price")</f>
        <v>Stop Price</v>
      </c>
      <c r="P5" s="38" t="str">
        <f>IFERROR(__xludf.DUMMYFUNCTION("""COMPUTED_VALUE"""),"Avg Fill Price (Local)")</f>
        <v>Avg Fill Price (Local)</v>
      </c>
      <c r="Q5" s="38" t="str">
        <f>IFERROR(__xludf.DUMMYFUNCTION("""COMPUTED_VALUE"""),"Broker")</f>
        <v>Broker</v>
      </c>
      <c r="R5" s="38" t="str">
        <f>IFERROR(__xludf.DUMMYFUNCTION("""COMPUTED_VALUE"""),"Account")</f>
        <v>Account</v>
      </c>
      <c r="S5" s="3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67</v>
      </c>
      <c r="E6" s="39"/>
      <c r="F6" s="13" t="s">
        <v>69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IFERROR(__xludf.DUMMYFUNCTION("""COMPUTED_VALUE"""),"Transaction Time")</f>
        <v>Transaction Time</v>
      </c>
      <c r="C5" s="38" t="str">
        <f>IFERROR(__xludf.DUMMYFUNCTION("""COMPUTED_VALUE"""),"Algo")</f>
        <v>Algo</v>
      </c>
      <c r="D5" s="38" t="str">
        <f>IFERROR(__xludf.DUMMYFUNCTION("""COMPUTED_VALUE"""),"Avg Fill Price (Base)")</f>
        <v>Avg Fill Price (Base)</v>
      </c>
      <c r="E5" s="38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38" t="str">
        <f>IFERROR(__xludf.DUMMYFUNCTION("""COMPUTED_VALUE"""),"Working Qty")</f>
        <v>Working Qty</v>
      </c>
      <c r="H5" s="38" t="str">
        <f>IFERROR(__xludf.DUMMYFUNCTION("""COMPUTED_VALUE"""),"Venue")</f>
        <v>Venue</v>
      </c>
      <c r="I5" s="38" t="str">
        <f>IFERROR(__xludf.DUMMYFUNCTION("""COMPUTED_VALUE"""),"User")</f>
        <v>User</v>
      </c>
      <c r="J5" s="38" t="str">
        <f>IFERROR(__xludf.DUMMYFUNCTION("""COMPUTED_VALUE"""),"Underlying Symbol")</f>
        <v>Underlying Symbol</v>
      </c>
      <c r="K5" s="38" t="str">
        <f>IFERROR(__xludf.DUMMYFUNCTION("""COMPUTED_VALUE"""),"Underlying Country")</f>
        <v>Underlying Country</v>
      </c>
      <c r="L5" s="38" t="str">
        <f>IFERROR(__xludf.DUMMYFUNCTION("""COMPUTED_VALUE"""),"Trader")</f>
        <v>Trader</v>
      </c>
      <c r="M5" s="38" t="str">
        <f>IFERROR(__xludf.DUMMYFUNCTION("""COMPUTED_VALUE"""),"Trade Attribute 1")</f>
        <v>Trade Attribute 1</v>
      </c>
      <c r="N5" s="38" t="str">
        <f>IFERROR(__xludf.DUMMYFUNCTION("""COMPUTED_VALUE"""),"Trade Attribute 2")</f>
        <v>Trade Attribute 2</v>
      </c>
      <c r="O5" s="38" t="str">
        <f>IFERROR(__xludf.DUMMYFUNCTION("""COMPUTED_VALUE"""),"Trade Attribute 3")</f>
        <v>Trade Attribute 3</v>
      </c>
      <c r="P5" s="38" t="str">
        <f>IFERROR(__xludf.DUMMYFUNCTION("""COMPUTED_VALUE"""),"Trade Attribute 4")</f>
        <v>Trade Attribute 4</v>
      </c>
      <c r="Q5" s="38" t="str">
        <f>IFERROR(__xludf.DUMMYFUNCTION("""COMPUTED_VALUE"""),"Trade Attribute 5")</f>
        <v>Trade Attribute 5</v>
      </c>
      <c r="R5" s="38" t="str">
        <f>IFERROR(__xludf.DUMMYFUNCTION("""COMPUTED_VALUE"""),"Trade Attribute 6")</f>
        <v>Trade Attribute 6</v>
      </c>
      <c r="S5" s="3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67</v>
      </c>
      <c r="AK6" s="35" t="s">
        <v>69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16.88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IFERROR(__xludf.DUMMYFUNCTION("""COMPUTED_VALUE"""),"Trade Attribute 01")</f>
        <v>Trade Attribute 01</v>
      </c>
      <c r="C5" s="38" t="str">
        <f>IFERROR(__xludf.DUMMYFUNCTION("""COMPUTED_VALUE"""),"Trade Attribute 02")</f>
        <v>Trade Attribute 02</v>
      </c>
      <c r="D5" s="38" t="str">
        <f>IFERROR(__xludf.DUMMYFUNCTION("""COMPUTED_VALUE"""),"Trade Attribute 03")</f>
        <v>Trade Attribute 03</v>
      </c>
      <c r="E5" s="38" t="str">
        <f>IFERROR(__xludf.DUMMYFUNCTION("""COMPUTED_VALUE"""),"Trade Attribute 04")</f>
        <v>Trade Attribute 04</v>
      </c>
      <c r="F5" s="28" t="str">
        <f>IFERROR(__xludf.DUMMYFUNCTION("""COMPUTED_VALUE"""),"Trade Attribute 05")</f>
        <v>Trade Attribute 05</v>
      </c>
      <c r="G5" s="38" t="str">
        <f>IFERROR(__xludf.DUMMYFUNCTION("""COMPUTED_VALUE"""),"Trade Attribute 06")</f>
        <v>Trade Attribute 06</v>
      </c>
      <c r="H5" s="38" t="str">
        <f>IFERROR(__xludf.DUMMYFUNCTION("""COMPUTED_VALUE"""),"Trade Attribute 01 suggestion")</f>
        <v>Trade Attribute 01 suggestion</v>
      </c>
      <c r="I5" s="38" t="str">
        <f>IFERROR(__xludf.DUMMYFUNCTION("""COMPUTED_VALUE"""),"Trade Attribute 02 suggestion")</f>
        <v>Trade Attribute 02 suggestion</v>
      </c>
      <c r="J5" s="38" t="str">
        <f>IFERROR(__xludf.DUMMYFUNCTION("""COMPUTED_VALUE"""),"Trade Attribute 03 suggestion")</f>
        <v>Trade Attribute 03 suggestion</v>
      </c>
      <c r="K5" s="38" t="str">
        <f>IFERROR(__xludf.DUMMYFUNCTION("""COMPUTED_VALUE"""),"Trade Attribute 04 suggestion")</f>
        <v>Trade Attribute 04 suggestion</v>
      </c>
      <c r="L5" s="38" t="str">
        <f>IFERROR(__xludf.DUMMYFUNCTION("""COMPUTED_VALUE"""),"Trade Attribute 05 suggestion")</f>
        <v>Trade Attribute 05 suggestion</v>
      </c>
      <c r="M5" s="38" t="str">
        <f>IFERROR(__xludf.DUMMYFUNCTION("""COMPUTED_VALUE"""),"Trade Attribute 06 suggestion")</f>
        <v>Trade Attribute 06 suggestion</v>
      </c>
      <c r="N5" s="38" t="str">
        <f>IFERROR(__xludf.DUMMYFUNCTION("""COMPUTED_VALUE"""),"Symbol")</f>
        <v>Symbol</v>
      </c>
      <c r="O5" s="38" t="str">
        <f>IFERROR(__xludf.DUMMYFUNCTION("""COMPUTED_VALUE"""),"Side")</f>
        <v>Side</v>
      </c>
      <c r="P5" s="38" t="str">
        <f>IFERROR(__xludf.DUMMYFUNCTION("""COMPUTED_VALUE"""),"Broker")</f>
        <v>Broker</v>
      </c>
      <c r="Q5" s="38" t="str">
        <f>IFERROR(__xludf.DUMMYFUNCTION("""COMPUTED_VALUE"""),"Quantity")</f>
        <v>Quantity</v>
      </c>
      <c r="R5" s="38" t="str">
        <f>IFERROR(__xludf.DUMMYFUNCTION("""COMPUTED_VALUE"""),"Trade Attribute 01 value")</f>
        <v>Trade Attribute 01 value</v>
      </c>
      <c r="S5" s="3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80</v>
      </c>
      <c r="C6" s="34" t="s">
        <v>81</v>
      </c>
      <c r="D6" s="34" t="s">
        <v>82</v>
      </c>
      <c r="E6" s="34" t="s">
        <v>83</v>
      </c>
      <c r="F6" s="34" t="s">
        <v>84</v>
      </c>
      <c r="G6" s="34" t="s">
        <v>85</v>
      </c>
      <c r="H6" s="35"/>
      <c r="I6" s="35"/>
      <c r="J6" s="35"/>
      <c r="K6" s="35"/>
      <c r="L6" s="35"/>
      <c r="M6" s="35"/>
      <c r="N6" s="35" t="s">
        <v>67</v>
      </c>
      <c r="O6" s="35" t="s">
        <v>69</v>
      </c>
      <c r="P6" s="35" t="s">
        <v>86</v>
      </c>
      <c r="Q6" s="40">
        <v>100.0</v>
      </c>
      <c r="R6" s="35"/>
      <c r="S6" s="35"/>
      <c r="T6" s="35"/>
      <c r="U6" s="35"/>
      <c r="V6" s="35"/>
      <c r="W6" s="35"/>
      <c r="X6" s="35" t="s">
        <v>87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EditTradeAttributesWindow!$4:$4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89</v>
      </c>
      <c r="C5" s="28" t="s">
        <v>90</v>
      </c>
      <c r="D5" s="28" t="s">
        <v>91</v>
      </c>
      <c r="E5" s="28" t="s">
        <v>92</v>
      </c>
      <c r="F5" s="28" t="s">
        <v>93</v>
      </c>
      <c r="G5" s="28" t="s">
        <v>94</v>
      </c>
      <c r="H5" s="28" t="s">
        <v>45</v>
      </c>
      <c r="I5" s="28" t="s">
        <v>95</v>
      </c>
      <c r="J5" s="28" t="s">
        <v>96</v>
      </c>
      <c r="K5" s="28" t="s">
        <v>97</v>
      </c>
      <c r="L5" s="28" t="s">
        <v>98</v>
      </c>
      <c r="M5" s="28" t="s">
        <v>59</v>
      </c>
      <c r="N5" s="28" t="s">
        <v>58</v>
      </c>
      <c r="O5" s="28" t="s">
        <v>57</v>
      </c>
      <c r="P5" s="28" t="s">
        <v>56</v>
      </c>
      <c r="Q5" s="28" t="s">
        <v>55</v>
      </c>
      <c r="R5" s="28" t="s">
        <v>54</v>
      </c>
      <c r="S5" s="28" t="s">
        <v>99</v>
      </c>
      <c r="T5" s="29" t="s">
        <v>100</v>
      </c>
      <c r="U5" s="29" t="s">
        <v>101</v>
      </c>
      <c r="V5" s="29" t="s">
        <v>102</v>
      </c>
      <c r="W5" s="29" t="s">
        <v>103</v>
      </c>
      <c r="X5" s="29" t="s">
        <v>104</v>
      </c>
      <c r="Y5" s="29" t="s">
        <v>105</v>
      </c>
      <c r="Z5" s="29" t="s">
        <v>106</v>
      </c>
      <c r="AA5" s="29" t="s">
        <v>107</v>
      </c>
      <c r="AB5" s="29" t="s">
        <v>108</v>
      </c>
      <c r="AC5" s="29" t="s">
        <v>109</v>
      </c>
      <c r="AD5" s="29" t="s">
        <v>110</v>
      </c>
      <c r="AE5" s="29" t="s">
        <v>111</v>
      </c>
      <c r="AF5" s="29" t="s">
        <v>112</v>
      </c>
      <c r="AG5" s="29" t="s">
        <v>113</v>
      </c>
      <c r="AH5" s="29" t="s">
        <v>114</v>
      </c>
      <c r="AI5" s="29" t="s">
        <v>16</v>
      </c>
      <c r="AJ5" s="29" t="s">
        <v>115</v>
      </c>
      <c r="AK5" s="29" t="s">
        <v>116</v>
      </c>
      <c r="AL5" s="29" t="s">
        <v>17</v>
      </c>
      <c r="AM5" s="29" t="s">
        <v>117</v>
      </c>
      <c r="AN5" s="29" t="s">
        <v>118</v>
      </c>
      <c r="AO5" s="29" t="s">
        <v>119</v>
      </c>
      <c r="AP5" s="29" t="s">
        <v>120</v>
      </c>
      <c r="AQ5" s="29" t="s">
        <v>42</v>
      </c>
      <c r="AR5" s="29" t="s">
        <v>31</v>
      </c>
      <c r="AS5" s="29" t="s">
        <v>37</v>
      </c>
      <c r="AT5" s="29" t="s">
        <v>121</v>
      </c>
      <c r="AU5" s="29" t="s">
        <v>122</v>
      </c>
      <c r="AV5" s="29" t="s">
        <v>123</v>
      </c>
      <c r="AW5" s="29" t="s">
        <v>124</v>
      </c>
      <c r="AX5" s="29" t="s">
        <v>125</v>
      </c>
      <c r="AY5" s="29" t="s">
        <v>66</v>
      </c>
      <c r="AZ5" s="29" t="s">
        <v>126</v>
      </c>
      <c r="BA5" s="29" t="s">
        <v>127</v>
      </c>
      <c r="BB5" s="29" t="s">
        <v>128</v>
      </c>
      <c r="BC5" s="29" t="s">
        <v>129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41">
        <v>10.0</v>
      </c>
      <c r="E6" s="36" t="s">
        <v>130</v>
      </c>
      <c r="F6" s="35"/>
      <c r="G6" s="34">
        <v>50.0</v>
      </c>
      <c r="H6" s="36" t="s">
        <v>131</v>
      </c>
      <c r="I6" s="36" t="s">
        <v>132</v>
      </c>
      <c r="J6" s="35"/>
      <c r="K6" s="35"/>
      <c r="L6" s="36" t="s">
        <v>133</v>
      </c>
      <c r="M6" s="34" t="s">
        <v>75</v>
      </c>
      <c r="N6" s="34" t="s">
        <v>74</v>
      </c>
      <c r="O6" s="34" t="s">
        <v>73</v>
      </c>
      <c r="P6" s="34" t="s">
        <v>72</v>
      </c>
      <c r="Q6" s="34" t="s">
        <v>71</v>
      </c>
      <c r="R6" s="34" t="s">
        <v>70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40">
        <v>10.0</v>
      </c>
      <c r="AH6" s="35" t="s">
        <v>134</v>
      </c>
      <c r="AI6" s="35" t="s">
        <v>67</v>
      </c>
      <c r="AJ6" s="35" t="s">
        <v>69</v>
      </c>
      <c r="AK6" s="34" t="s">
        <v>135</v>
      </c>
      <c r="AL6" s="40">
        <v>100.0</v>
      </c>
      <c r="AM6" s="42">
        <v>50.0</v>
      </c>
      <c r="AN6" s="42">
        <v>50.0</v>
      </c>
      <c r="AO6" s="35"/>
      <c r="AP6" s="35"/>
      <c r="AQ6" s="35" t="s">
        <v>86</v>
      </c>
      <c r="AR6" s="35" t="s">
        <v>136</v>
      </c>
      <c r="AS6" s="34" t="s">
        <v>137</v>
      </c>
      <c r="AT6" s="35"/>
      <c r="AU6" s="35"/>
      <c r="AV6" s="35"/>
      <c r="AW6" s="34" t="s">
        <v>135</v>
      </c>
      <c r="AX6" s="35"/>
      <c r="AY6" s="35" t="s">
        <v>138</v>
      </c>
      <c r="AZ6" s="35" t="s">
        <v>132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S7" s="34"/>
      <c r="T7" s="34"/>
      <c r="U7" s="34"/>
      <c r="V7" s="34"/>
      <c r="W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