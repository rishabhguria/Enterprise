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RestartReleasesAndServices" sheetId="9" r:id="rId11"/>
    <sheet state="visible" name="ChangeDate1" sheetId="10" r:id="rId12"/>
    <sheet state="visible" name="ExecuteTrade1" sheetId="11" r:id="rId13"/>
    <sheet state="visible" name="ChangeDate2" sheetId="12" r:id="rId14"/>
    <sheet state="visible" name="ExecuteTrade2" sheetId="13" r:id="rId15"/>
    <sheet state="visible" name="ChangeDate3" sheetId="14" r:id="rId16"/>
    <sheet state="visible" name="ExecuteTrade3" sheetId="15" r:id="rId17"/>
    <sheet state="visible" name="GetExecutionReportDetails" sheetId="16" r:id="rId18"/>
    <sheet state="visible" name="VerifyExecutionReport" sheetId="17" r:id="rId19"/>
  </sheets>
  <definedNames/>
  <calcPr/>
</workbook>
</file>

<file path=xl/sharedStrings.xml><?xml version="1.0" encoding="utf-8"?>
<sst xmlns="http://schemas.openxmlformats.org/spreadsheetml/2006/main" count="124" uniqueCount="38">
  <si>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</si>
  <si>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</si>
  <si>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</si>
  <si>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</si>
  <si>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</si>
  <si>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</si>
  <si>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</si>
  <si>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</si>
  <si>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</si>
  <si>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</si>
  <si>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</si>
  <si>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</si>
  <si>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</si>
  <si>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</si>
  <si>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</si>
  <si>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</si>
  <si>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</si>
  <si>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</si>
  <si>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</si>
  <si>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</si>
  <si>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</si>
  <si>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Buy</t>
  </si>
  <si>
    <t>Day</t>
  </si>
  <si>
    <t>Limit</t>
  </si>
  <si>
    <t>Simulator</t>
  </si>
  <si>
    <t>SelectTrade</t>
  </si>
  <si>
    <t>AcknowledgeTrade</t>
  </si>
  <si>
    <t>ExecuteTrade</t>
  </si>
  <si>
    <t>Compliance</t>
  </si>
  <si>
    <t>RestartReleasesAndServices</t>
  </si>
  <si>
    <t>Admin</t>
  </si>
  <si>
    <t>ChangeDate</t>
  </si>
  <si>
    <t>Today()+1</t>
  </si>
  <si>
    <t>Today()+2</t>
  </si>
  <si>
    <t>Today()+3</t>
  </si>
  <si>
    <t>Blotter</t>
  </si>
  <si>
    <t>GetExecutionReportDetails</t>
  </si>
  <si>
    <t>VerifyExecutionReport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</si>
</sst>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1.0</v>
      </c>
      <c r="E6" s="12"/>
      <c r="F6" s="8"/>
      <c r="G6" s="8"/>
      <c r="H6" s="12"/>
      <c r="I6" s="12"/>
      <c r="J6" s="12"/>
      <c r="K6" s="8"/>
      <c r="L6" s="12"/>
      <c r="M6" s="8"/>
      <c r="N6" s="8"/>
      <c r="O6" s="8"/>
      <c r="U6" s="32"/>
      <c r="V6" s="33"/>
      <c r="W6" s="33"/>
      <c r="X6" s="34"/>
      <c r="Y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5000.0</v>
      </c>
      <c r="E6" s="12" t="s">
        <v>20</v>
      </c>
      <c r="F6" s="8"/>
      <c r="G6" s="8"/>
      <c r="H6" s="12"/>
      <c r="I6" s="12"/>
      <c r="J6" s="12" t="s">
        <v>21</v>
      </c>
      <c r="K6" s="8"/>
      <c r="L6" s="12"/>
      <c r="M6" s="8"/>
      <c r="N6" s="8"/>
      <c r="O6" s="8"/>
      <c r="U6" s="32" t="s">
        <v>22</v>
      </c>
      <c r="V6" s="33" t="s">
        <v>23</v>
      </c>
      <c r="W6" s="33"/>
      <c r="X6" s="34">
        <v>315.95</v>
      </c>
      <c r="Y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19</v>
      </c>
      <c r="D6" s="12"/>
      <c r="E6" s="36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19</v>
      </c>
      <c r="D6" s="12"/>
      <c r="E6" s="36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122.0</v>
      </c>
      <c r="C6" s="12">
        <v>1000.0</v>
      </c>
      <c r="D6" s="12" t="b">
        <v>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111.0</v>
      </c>
      <c r="C6" s="12">
        <v>1000.0</v>
      </c>
      <c r="D6" s="12" t="b">
        <v>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111.0</v>
      </c>
      <c r="C6" s="12">
        <v>1000.0</v>
      </c>
      <c r="D6" s="12" t="b">
        <v>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111.0</v>
      </c>
      <c r="C6" s="12">
        <v>1000.0</v>
      </c>
      <c r="D6" s="12" t="b">
        <v>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Date")</f>
        <v>From Date</v>
      </c>
      <c r="C5" s="27" t="str">
        <f>IFERROR(__xludf.DUMMYFUNCTION("""COMPUTED_VALUE"""),"To Date")</f>
        <v>To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>TODAY()-5</f>
        <v>45947</v>
      </c>
      <c r="C6" s="37">
        <f>TODAY()+5</f>
        <v>45957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GetExecutionReportDetails!$4:$4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IFERROR(__xludf.DUMMYFUNCTION("""COMPUTED_VALUE"""),"Order Type")</f>
        <v>Order Type</v>
      </c>
      <c r="E5" s="27" t="str">
        <f>IFERROR(__xludf.DUMMYFUNCTION("""COMPUTED_VALUE"""),"Target Quantity")</f>
        <v>Target Quantity</v>
      </c>
      <c r="F5" s="28" t="str">
        <f>IFERROR(__xludf.DUMMYFUNCTION("""COMPUTED_VALUE"""),"Executed Qty")</f>
        <v>Executed Qty</v>
      </c>
      <c r="G5" s="27" t="str">
        <f>IFERROR(__xludf.DUMMYFUNCTION("""COMPUTED_VALUE"""),"Avg Price")</f>
        <v>Avg Price</v>
      </c>
      <c r="H5" s="27" t="str">
        <f>IFERROR(__xludf.DUMMYFUNCTION("""COMPUTED_VALUE"""),"Status")</f>
        <v>Status</v>
      </c>
      <c r="I5" s="27" t="str">
        <f>IFERROR(__xludf.DUMMYFUNCTION("""COMPUTED_VALUE"""),"Price")</f>
        <v>Price</v>
      </c>
      <c r="J5" s="27" t="str">
        <f>IFERROR(__xludf.DUMMYFUNCTION("""COMPUTED_VALUE"""),"OrderID")</f>
        <v>OrderID</v>
      </c>
      <c r="K5" s="27" t="str">
        <f>IFERROR(__xludf.DUMMYFUNCTION("""COMPUTED_VALUE"""),"CIOrderID")</f>
        <v>CIOrderID</v>
      </c>
      <c r="L5" s="27" t="str">
        <f>IFERROR(__xludf.DUMMYFUNCTION("""COMPUTED_VALUE"""),"Actual User")</f>
        <v>Actual User</v>
      </c>
      <c r="M5" s="27" t="str">
        <f>IFERROR(__xludf.DUMMYFUNCTION("""COMPUTED_VALUE"""),"Trader")</f>
        <v>Trader</v>
      </c>
      <c r="N5" s="27" t="str">
        <f>IFERROR(__xludf.DUMMYFUNCTION("""COMPUTED_VALUE"""),"Broker")</f>
        <v>Broker</v>
      </c>
      <c r="O5" s="27" t="str">
        <f>IFERROR(__xludf.DUMMYFUNCTION("""COMPUTED_VALUE"""),"Modified User")</f>
        <v>Modified User</v>
      </c>
      <c r="P5" s="27" t="str">
        <f>IFERROR(__xludf.DUMMYFUNCTION("""COMPUTED_VALUE"""),"Current User")</f>
        <v>Current User</v>
      </c>
      <c r="Q5" s="27" t="str">
        <f>IFERROR(__xludf.DUMMYFUNCTION("""COMPUTED_VALUE"""),"Avg Fx Rate")</f>
        <v>Avg Fx Rate</v>
      </c>
      <c r="R5" s="27" t="str">
        <f>IFERROR(__xludf.DUMMYFUNCTION("""COMPUTED_VALUE"""),"Account")</f>
        <v>Account</v>
      </c>
      <c r="S5" s="27" t="str">
        <f>IFERROR(__xludf.DUMMYFUNCTION("""COMPUTED_VALUE"""),"Process Date")</f>
        <v>Process Date</v>
      </c>
      <c r="T5" s="29" t="str">
        <f>IFERROR(__xludf.DUMMYFUNCTION("""COMPUTED_VALUE"""),"Last Shares")</f>
        <v>Last Shares</v>
      </c>
      <c r="U5" s="29" t="str">
        <f>IFERROR(__xludf.DUMMYFUNCTION("""COMPUTED_VALUE"""),"Last Price")</f>
        <v>Last Price</v>
      </c>
      <c r="V5" s="29" t="str">
        <f>IFERROR(__xludf.DUMMYFUNCTION("""COMPUTED_VALUE"""),"Exchange")</f>
        <v>Exchange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21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VerifyExecutionReport!$4:$4</formula1>
    </dataValidation>
  </dataValidations>
  <drawing r:id="rId1"/>
</worksheet>
</file>