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VerifyOrder" sheetId="5" r:id="rId7"/>
  </sheets>
  <definedNames/>
  <calcPr/>
</workbook>
</file>

<file path=xl/sharedStrings.xml><?xml version="1.0" encoding="utf-8"?>
<sst xmlns="http://schemas.openxmlformats.org/spreadsheetml/2006/main" count="68" uniqueCount="56">
  <si>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</si>
  <si>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</si>
  <si>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</si>
  <si>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</si>
  <si>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</si>
  <si>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</si>
  <si>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</si>
  <si>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</si>
  <si>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</si>
  <si>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</si>
  <si>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</si>
  <si>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</si>
  <si>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</si>
  <si>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</si>
  <si>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</si>
  <si>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</si>
  <si>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</si>
  <si>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</si>
  <si>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</si>
  <si>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</si>
  <si>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</si>
  <si>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</si>
  <si>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</si>
  <si>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</si>
  <si>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</si>
  <si>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</si>
  <si>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</si>
  <si>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</si>
  <si>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</si>
  <si>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</si>
  <si>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</si>
  <si>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</si>
  <si>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</si>
  <si>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</si>
  <si>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</si>
  <si>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</si>
  <si>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</si>
  <si>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</si>
  <si>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</si>
  <si>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</si>
  <si>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</si>
  <si>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</si>
  <si>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</si>
  <si>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</si>
  <si>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</si>
  <si>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</si>
  <si>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</si>
  <si>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</si>
  <si>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</si>
  <si>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MSFT</t>
  </si>
  <si>
    <t>DoneAway</t>
  </si>
  <si>
    <t>Buy</t>
  </si>
  <si>
    <t>Good Till Date</t>
  </si>
  <si>
    <t>Blotter</t>
  </si>
  <si>
    <t>VerifyOrder</t>
  </si>
  <si>
    <t>NEGATIVE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</si>
</sst>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Alignment="1" applyFont="1">
      <alignment readingOrder="0"/>
    </xf>
    <xf borderId="0" fillId="5" fontId="10" numFmtId="0" xfId="0" applyFont="1"/>
    <xf borderId="0" fillId="0" fontId="2" numFmtId="164" xfId="0" applyAlignment="1" applyFont="1" applyNumberFormat="1">
      <alignment readingOrder="0"/>
    </xf>
    <xf borderId="4" fillId="5" fontId="4" numFmtId="0" xfId="0" applyAlignment="1" applyBorder="1" applyFont="1">
      <alignment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7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8" t="s">
        <v>34</v>
      </c>
      <c r="U5" s="28" t="s">
        <v>35</v>
      </c>
      <c r="V5" s="28" t="s">
        <v>36</v>
      </c>
      <c r="W5" s="28" t="s">
        <v>37</v>
      </c>
      <c r="X5" s="28" t="s">
        <v>38</v>
      </c>
      <c r="Y5" s="28" t="s">
        <v>39</v>
      </c>
      <c r="Z5" s="28" t="s">
        <v>40</v>
      </c>
      <c r="AA5" s="28" t="s">
        <v>41</v>
      </c>
      <c r="AB5" s="28" t="s">
        <v>42</v>
      </c>
      <c r="AC5" s="28" t="s">
        <v>43</v>
      </c>
      <c r="AD5" s="28" t="s">
        <v>44</v>
      </c>
      <c r="AE5" s="28" t="s">
        <v>45</v>
      </c>
      <c r="AF5" s="28" t="s">
        <v>46</v>
      </c>
      <c r="AG5" s="28" t="s">
        <v>47</v>
      </c>
      <c r="AH5" s="28" t="s">
        <v>48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49</v>
      </c>
      <c r="C6" s="12">
        <v>1000.0</v>
      </c>
      <c r="D6" s="12">
        <v>100.0</v>
      </c>
      <c r="E6" s="12" t="s">
        <v>50</v>
      </c>
      <c r="F6" s="8"/>
      <c r="G6" s="8"/>
      <c r="H6" s="8"/>
      <c r="I6" s="8"/>
      <c r="J6" s="12" t="s">
        <v>51</v>
      </c>
      <c r="K6" s="8"/>
      <c r="L6" s="8"/>
      <c r="M6" s="8"/>
      <c r="N6" s="8"/>
      <c r="O6" s="8"/>
      <c r="U6" s="9" t="s">
        <v>52</v>
      </c>
      <c r="V6" s="9" t="s">
        <v>38</v>
      </c>
      <c r="X6" s="9">
        <v>100.0</v>
      </c>
      <c r="Y6" s="30">
        <v>45764.0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IFERROR(__xludf.DUMMYFUNCTION("""COMPUTED_VALUE"""),"Transaction Time")</f>
        <v>Transaction Time</v>
      </c>
      <c r="C5" s="31" t="str">
        <f>IFERROR(__xludf.DUMMYFUNCTION("""COMPUTED_VALUE"""),"Algo")</f>
        <v>Algo</v>
      </c>
      <c r="D5" s="31" t="str">
        <f>IFERROR(__xludf.DUMMYFUNCTION("""COMPUTED_VALUE"""),"Avg Fill Price (Base)")</f>
        <v>Avg Fill Price (Base)</v>
      </c>
      <c r="E5" s="31" t="str">
        <f>IFERROR(__xludf.DUMMYFUNCTION("""COMPUTED_VALUE"""),"Bloomberg Symbol")</f>
        <v>Bloomberg Symbol</v>
      </c>
      <c r="F5" s="27" t="str">
        <f>IFERROR(__xludf.DUMMYFUNCTION("""COMPUTED_VALUE"""),"Limit Price")</f>
        <v>Limit Price</v>
      </c>
      <c r="G5" s="31" t="str">
        <f>IFERROR(__xludf.DUMMYFUNCTION("""COMPUTED_VALUE"""),"Working Qty")</f>
        <v>Working Qty</v>
      </c>
      <c r="H5" s="31" t="str">
        <f>IFERROR(__xludf.DUMMYFUNCTION("""COMPUTED_VALUE"""),"Venue")</f>
        <v>Venue</v>
      </c>
      <c r="I5" s="31" t="str">
        <f>IFERROR(__xludf.DUMMYFUNCTION("""COMPUTED_VALUE"""),"Current User")</f>
        <v>Current User</v>
      </c>
      <c r="J5" s="31" t="str">
        <f>IFERROR(__xludf.DUMMYFUNCTION("""COMPUTED_VALUE"""),"Underlying Symbol")</f>
        <v>Underlying Symbol</v>
      </c>
      <c r="K5" s="31" t="str">
        <f>IFERROR(__xludf.DUMMYFUNCTION("""COMPUTED_VALUE"""),"Underlying Country")</f>
        <v>Underlying Country</v>
      </c>
      <c r="L5" s="31" t="str">
        <f>IFERROR(__xludf.DUMMYFUNCTION("""COMPUTED_VALUE"""),"Trader")</f>
        <v>Trader</v>
      </c>
      <c r="M5" s="31" t="str">
        <f>IFERROR(__xludf.DUMMYFUNCTION("""COMPUTED_VALUE"""),"Trade Attribute 6")</f>
        <v>Trade Attribute 6</v>
      </c>
      <c r="N5" s="31" t="str">
        <f>IFERROR(__xludf.DUMMYFUNCTION("""COMPUTED_VALUE"""),"Trade Attribute 5")</f>
        <v>Trade Attribute 5</v>
      </c>
      <c r="O5" s="31" t="str">
        <f>IFERROR(__xludf.DUMMYFUNCTION("""COMPUTED_VALUE"""),"Trade Attribute 4")</f>
        <v>Trade Attribute 4</v>
      </c>
      <c r="P5" s="31" t="str">
        <f>IFERROR(__xludf.DUMMYFUNCTION("""COMPUTED_VALUE"""),"Trade Attribute 3")</f>
        <v>Trade Attribute 3</v>
      </c>
      <c r="Q5" s="31" t="str">
        <f>IFERROR(__xludf.DUMMYFUNCTION("""COMPUTED_VALUE"""),"Trade Attribute 1")</f>
        <v>Trade Attribute 1</v>
      </c>
      <c r="R5" s="31" t="str">
        <f>IFERROR(__xludf.DUMMYFUNCTION("""COMPUTED_VALUE"""),"Trade Attribute 2")</f>
        <v>Trade Attribute 2</v>
      </c>
      <c r="S5" s="31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2"/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49</v>
      </c>
      <c r="AJ6" s="33" t="s">
        <v>51</v>
      </c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 t="s">
        <v>55</v>
      </c>
      <c r="BC6" s="33" t="s">
        <v>16</v>
      </c>
      <c r="BD6" s="33" t="s">
        <v>49</v>
      </c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