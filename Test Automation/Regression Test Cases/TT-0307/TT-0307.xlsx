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SelectTrade1" sheetId="9" r:id="rId11"/>
    <sheet state="visible" name="AcknowledgeTrade1" sheetId="10" r:id="rId12"/>
    <sheet state="visible" name="ExecuteTrade1" sheetId="11" r:id="rId13"/>
    <sheet state="visible" name="SelectTradeOnOrderGrid" sheetId="12" r:id="rId14"/>
    <sheet state="visible" name="ReAllocateFromBlotterByAllocate" sheetId="13" r:id="rId15"/>
    <sheet state="visible" name="ReplaceSubOrder" sheetId="14" r:id="rId16"/>
    <sheet state="visible" name="CreateReplaceLiveOrder" sheetId="15" r:id="rId17"/>
    <sheet state="visible" name="VerifyOrder" sheetId="16" r:id="rId18"/>
    <sheet state="visible" name="Copy of Data" sheetId="17" r:id="rId19"/>
  </sheets>
  <definedNames/>
  <calcPr/>
</workbook>
</file>

<file path=xl/sharedStrings.xml><?xml version="1.0" encoding="utf-8"?>
<sst xmlns="http://schemas.openxmlformats.org/spreadsheetml/2006/main" count="170" uniqueCount="50">
  <si>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</si>
  <si>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</si>
  <si>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</si>
  <si>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</si>
  <si>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</si>
  <si>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</si>
  <si>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</si>
  <si>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</si>
  <si>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</si>
  <si>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</si>
  <si>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</si>
  <si>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</si>
  <si>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</si>
  <si>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</si>
  <si>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</si>
  <si>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</si>
  <si>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</si>
  <si>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CreateLiveOrder</t>
  </si>
  <si>
    <t>AAPL</t>
  </si>
  <si>
    <t>Buy</t>
  </si>
  <si>
    <t>Allocation1,Allocation2</t>
  </si>
  <si>
    <t>50,50</t>
  </si>
  <si>
    <t>Sell</t>
  </si>
  <si>
    <t>Simulator</t>
  </si>
  <si>
    <t>SelectTrade</t>
  </si>
  <si>
    <t>AcknowledgeTrade</t>
  </si>
  <si>
    <t>ExecuteTrade</t>
  </si>
  <si>
    <t>Blotter</t>
  </si>
  <si>
    <t>SelectTradeOnOrderGrid</t>
  </si>
  <si>
    <t>PartiallyFilled</t>
  </si>
  <si>
    <t>ReAllocateFromBlotterByAllocate</t>
  </si>
  <si>
    <t>Allocation1</t>
  </si>
  <si>
    <t>ReplaceSubOrder</t>
  </si>
  <si>
    <t>CreateReplaceLiveOrder</t>
  </si>
  <si>
    <t>VerifyOrder</t>
  </si>
  <si>
    <t>AAPL US EQUITY</t>
  </si>
  <si>
    <t>NASDAQ</t>
  </si>
  <si>
    <t>jpearce</t>
  </si>
  <si>
    <t>US</t>
  </si>
  <si>
    <t>GCCAP1</t>
  </si>
  <si>
    <t>USD</t>
  </si>
  <si>
    <t>Multiple</t>
  </si>
  <si>
    <t>M</t>
  </si>
  <si>
    <t>Equity</t>
  </si>
  <si>
    <t>MS</t>
  </si>
  <si>
    <t>Market</t>
  </si>
  <si>
    <t>Replaced</t>
  </si>
  <si>
    <t>CreateDoneAwayOrder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</si>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</sst>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>
      <c r="A636" t="str">
        <f>IFERROR(__xludf.DUMMYFUNCTION("""COMPUTED_VALUE"""),"Simulator")</f>
        <v>Simulator</v>
      </c>
      <c r="B636" t="str">
        <f>IFERROR(__xludf.DUMMYFUNCTION("""COMPUTED_VALUE"""),"VerifyTagInAllFixLogs")</f>
        <v>VerifyTagInAllFixLogs</v>
      </c>
      <c r="C636" t="str">
        <f>IFERROR(__xludf.DUMMYFUNCTION("""COMPUTED_VALUE"""),"1jKDiJYpLWAfkSGRoeJ_liPC1ZaTdCTC5AqjDzj9I61Q")</f>
        <v>1jKDiJYpLWAfkSGRoeJ_liPC1ZaTdCTC5AqjDzj9I61Q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1000.0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  <c r="AK6" s="9" t="s">
        <v>20</v>
      </c>
      <c r="AL6" s="9" t="s">
        <v>21</v>
      </c>
    </row>
    <row r="7" ht="15.75" customHeight="1">
      <c r="A7" s="8"/>
      <c r="B7" s="13" t="s">
        <v>18</v>
      </c>
      <c r="C7" s="13" t="s">
        <v>22</v>
      </c>
      <c r="D7" s="13">
        <v>1000.0</v>
      </c>
      <c r="E7" s="8"/>
      <c r="F7" s="8"/>
      <c r="G7" s="8"/>
      <c r="H7" s="8"/>
      <c r="I7" s="8"/>
      <c r="J7" s="13">
        <v>10.0</v>
      </c>
      <c r="K7" s="8"/>
      <c r="L7" s="8"/>
      <c r="M7" s="8"/>
      <c r="N7" s="8"/>
      <c r="O7" s="8"/>
      <c r="AK7" s="9" t="s">
        <v>20</v>
      </c>
      <c r="AL7" s="9" t="s">
        <v>21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500.0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18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18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250.0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18</v>
      </c>
      <c r="E6" s="31"/>
      <c r="F6" s="13" t="s">
        <v>22</v>
      </c>
      <c r="G6" s="13" t="s">
        <v>29</v>
      </c>
      <c r="H6" s="13">
        <v>1000.0</v>
      </c>
      <c r="I6" s="13">
        <v>250.0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IFERROR(__xludf.DUMMYFUNCTION("""COMPUTED_VALUE"""),"Account")</f>
        <v>Account</v>
      </c>
      <c r="D5" s="28" t="str">
        <f>IFERROR(__xludf.DUMMYFUNCTION("""COMPUTED_VALUE"""),"Target Allocation Percentage")</f>
        <v>Target Allocation Percentage</v>
      </c>
      <c r="E5" s="28" t="str">
        <f>IFERROR(__xludf.DUMMYFUNCTION("""COMPUTED_VALUE"""),"Target Allocation Quantity")</f>
        <v>Target Allocation Quantity</v>
      </c>
      <c r="F5" s="29" t="str">
        <f>IFERROR(__xludf.DUMMYFUNCTION("""COMPUTED_VALUE"""),"LowerStripMessage")</f>
        <v>LowerStripMessage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31</v>
      </c>
      <c r="D6" s="13">
        <v>100.0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ReAllocateFromBlotterByAllocate!$4:$4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18</v>
      </c>
      <c r="AK6" s="9" t="s">
        <v>22</v>
      </c>
      <c r="AL6" s="9" t="s">
        <v>29</v>
      </c>
      <c r="AM6" s="9">
        <v>1000.0</v>
      </c>
      <c r="AN6" s="9">
        <v>250.0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22</v>
      </c>
      <c r="D6" s="13">
        <v>1200.0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2">
        <v>10.0</v>
      </c>
      <c r="E6" s="8" t="s">
        <v>35</v>
      </c>
      <c r="F6" s="8"/>
      <c r="G6" s="8">
        <v>500.0</v>
      </c>
      <c r="H6" s="8" t="s">
        <v>36</v>
      </c>
      <c r="I6" s="8" t="s">
        <v>37</v>
      </c>
      <c r="J6" s="8" t="s">
        <v>18</v>
      </c>
      <c r="K6" s="8" t="s">
        <v>38</v>
      </c>
      <c r="L6" s="8" t="s">
        <v>39</v>
      </c>
      <c r="M6" s="8"/>
      <c r="N6" s="8"/>
      <c r="O6" s="8"/>
      <c r="U6" t="s">
        <v>40</v>
      </c>
      <c r="AA6" t="s">
        <v>41</v>
      </c>
      <c r="AD6">
        <v>1.0</v>
      </c>
      <c r="AF6" t="s">
        <v>42</v>
      </c>
      <c r="AH6" t="s">
        <v>43</v>
      </c>
      <c r="AI6" t="s">
        <v>18</v>
      </c>
      <c r="AJ6" t="s">
        <v>19</v>
      </c>
      <c r="AK6" t="s">
        <v>29</v>
      </c>
      <c r="AL6">
        <v>1000.0</v>
      </c>
      <c r="AM6">
        <v>500.0</v>
      </c>
      <c r="AR6">
        <v>10.0</v>
      </c>
      <c r="AS6" t="s">
        <v>44</v>
      </c>
      <c r="AT6" t="s">
        <v>41</v>
      </c>
      <c r="AU6" t="s">
        <v>45</v>
      </c>
      <c r="AV6">
        <v>5000.0</v>
      </c>
      <c r="AW6">
        <v>5000.0</v>
      </c>
      <c r="AY6" s="9">
        <v>1000.0</v>
      </c>
      <c r="AZ6">
        <v>500.0</v>
      </c>
      <c r="BA6" t="s">
        <v>37</v>
      </c>
    </row>
    <row r="7" ht="15.75" customHeight="1">
      <c r="A7" s="8"/>
      <c r="B7" s="8"/>
      <c r="C7" s="8"/>
      <c r="D7" s="8">
        <v>10.0</v>
      </c>
      <c r="E7" s="8" t="s">
        <v>35</v>
      </c>
      <c r="F7" s="8"/>
      <c r="G7" s="8">
        <v>950.0</v>
      </c>
      <c r="H7" s="8" t="s">
        <v>36</v>
      </c>
      <c r="I7" s="8" t="s">
        <v>37</v>
      </c>
      <c r="J7" s="8" t="s">
        <v>18</v>
      </c>
      <c r="K7" s="8" t="s">
        <v>38</v>
      </c>
      <c r="L7" s="8" t="s">
        <v>39</v>
      </c>
      <c r="M7" s="8"/>
      <c r="N7" s="8"/>
      <c r="O7" s="8"/>
      <c r="U7" t="s">
        <v>40</v>
      </c>
      <c r="AA7" t="s">
        <v>41</v>
      </c>
      <c r="AD7">
        <v>1.0</v>
      </c>
      <c r="AF7" t="s">
        <v>42</v>
      </c>
      <c r="AH7" t="s">
        <v>43</v>
      </c>
      <c r="AI7" t="s">
        <v>18</v>
      </c>
      <c r="AJ7" t="s">
        <v>22</v>
      </c>
      <c r="AK7" t="s">
        <v>46</v>
      </c>
      <c r="AL7">
        <v>1200.0</v>
      </c>
      <c r="AM7">
        <v>250.0</v>
      </c>
      <c r="AR7">
        <v>10.0</v>
      </c>
      <c r="AS7" t="s">
        <v>44</v>
      </c>
      <c r="AT7" t="s">
        <v>41</v>
      </c>
      <c r="AU7" t="s">
        <v>45</v>
      </c>
      <c r="AV7">
        <v>-2500.0</v>
      </c>
      <c r="AW7">
        <v>-2500.0</v>
      </c>
      <c r="AY7" s="9">
        <v>1200.0</v>
      </c>
      <c r="AZ7">
        <v>950.0</v>
      </c>
      <c r="BA7" t="s">
        <v>37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IFERROR(__xludf.DUMMYFUNCTION("TRANSPOSE(IMPORTRANGE(VLOOKUP($E$3,IMPORTRANGE('_Settings'!$B$3,$C$3&amp;""!A4:B1000""),2,FALSE),$G$3&amp;""!A4:A1000""))"),"#REF!")</f>
        <v>#REF!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48</v>
      </c>
      <c r="C6" s="8"/>
      <c r="D6" s="13" t="s">
        <v>49</v>
      </c>
      <c r="E6" s="31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'Copy of Data'!$4:$4</formula1>
    </dataValidation>
  </dataValidations>
  <drawing r:id="rId1"/>
</worksheet>
</file>