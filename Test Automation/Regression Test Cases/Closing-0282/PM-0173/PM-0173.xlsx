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16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15.xml"/>
  <Override ContentType="application/vnd.openxmlformats-officedocument.drawing+xml" PartName="/xl/drawings/drawing17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PricingConfig" sheetId="4" r:id="rId6"/>
    <sheet name="EnableBlankMarkPrices" sheetId="7" r:id="rId9"/>
    <sheet name="CreateDoneAwayOrder" sheetId="10" r:id="rId12"/>
    <sheet name="GetMarkPriceData" sheetId="11" r:id="rId13"/>
    <sheet name="UpateSymbolBlankMP" sheetId="14" r:id="rId16"/>
    <sheet name="UpdateBlankMP" sheetId="15" r:id="rId17"/>
    <sheet name="FilterPM" sheetId="16" r:id="rId18"/>
    <sheet name="CheckPortfolioManagement" sheetId="17" r:id="rId19"/>
    <sheet name="FilterPM1" sheetId="18" r:id="rId20"/>
    <sheet name="CheckPortfolioManagement1" sheetId="19" r:id="rId21"/>
    <sheet name="FilterBlankMP" sheetId="20" r:id="rId22"/>
  </sheets>
  <calcPr fullCalcOnLoad="1"/>
</workbook>
</file>

<file path=xl/sharedStrings.xml><?xml version="1.0" encoding="utf-8"?>
<sst xmlns="http://schemas.openxmlformats.org/spreadsheetml/2006/main" count="51" uniqueCount="51">
  <si>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</si>
  <si>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</si>
  <si>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</si>
  <si>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</si>
  <si>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</si>
  <si>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</si>
  <si>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</si>
  <si>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</si>
  <si>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</si>
  <si>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</si>
  <si>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</si>
  <si>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</si>
  <si>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PricingServer</t>
  </si>
  <si>
    <t>UpdatePricingConfig</t>
  </si>
  <si>
    <t>Data Format</t>
  </si>
  <si>
    <t>Input Format</t>
  </si>
  <si>
    <t>isFundWiseMarkPriceRequired</t>
  </si>
  <si>
    <t>DailyValuation</t>
  </si>
  <si>
    <t>EnableBlankMarkPrices</t>
  </si>
  <si>
    <t>TradingTicket</t>
  </si>
  <si>
    <t>CreateDoneAwayOrder</t>
  </si>
  <si>
    <t>SAP</t>
  </si>
  <si>
    <t>Buy</t>
  </si>
  <si>
    <t>Allocation1,Allocation3</t>
  </si>
  <si>
    <t>50,50</t>
  </si>
  <si>
    <t>GetMarkPriceData</t>
  </si>
  <si>
    <t>UpateSymbolBlankMP</t>
  </si>
  <si>
    <t>UpdateBlankMP</t>
  </si>
  <si>
    <t>PortfolioManagement</t>
  </si>
  <si>
    <t>FilterPM</t>
  </si>
  <si>
    <t>Account</t>
  </si>
  <si>
    <t>Allocation1</t>
  </si>
  <si>
    <t>CheckPortfolioManagement</t>
  </si>
  <si>
    <t>NewMF</t>
  </si>
  <si>
    <t>Long</t>
  </si>
  <si>
    <t>FIMAT</t>
  </si>
  <si>
    <t>Strategy Unallocated</t>
  </si>
  <si>
    <t>Equity</t>
  </si>
  <si>
    <t>US</t>
  </si>
  <si>
    <t>NYSE</t>
  </si>
  <si>
    <t>USD</t>
  </si>
  <si>
    <t>BrokerNotes</t>
  </si>
  <si>
    <t>DefaultNotes</t>
  </si>
  <si>
    <t>jpearce</t>
  </si>
  <si>
    <t>MS</t>
  </si>
  <si>
    <t>Yes</t>
  </si>
  <si>
    <t>Undefined</t>
  </si>
  <si>
    <t/>
  </si>
  <si>
    <t>Allocation3</t>
  </si>
  <si>
    <t>FilterBlankMP</t>
  </si>
  <si>
    <t>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</si>
</sst>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5" applyFont="1" fillId="0" applyFill="1" borderId="0" applyBorder="1" xfId="0">
      <alignment horizontal="right"/>
    </xf>
    <xf numFmtId="14" applyNumberFormat="1"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sharedStrings" Target="sharedStrings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IFERROR(__xludf.DUMMYFUNCTION("IF(C3="""","""",Transpose(IMPORTRANGE('_Settings'!$B$3,C3&amp;""!A4:A1000"")))"),"RestartPricingServer")</f>
        <v>RestartPricingServer</v>
      </c>
      <c r="C4" s="25" t="str">
        <f>IFERROR(__xludf.DUMMYFUNCTION("""COMPUTED_VALUE"""),"RestartPricingServer")</f>
        <v>RestartPricingServer</v>
      </c>
      <c r="D4" s="25" t="str">
        <f>IFERROR(__xludf.DUMMYFUNCTION("""COMPUTED_VALUE"""),"RestartPricingServer")</f>
        <v>RestartPricingServer</v>
      </c>
      <c r="E4" s="25" t="str">
        <f>IFERROR(__xludf.DUMMYFUNCTION("""COMPUTED_VALUE"""),"RestartPricingServer")</f>
        <v>RestartPricingServer</v>
      </c>
      <c r="F4" s="25" t="str">
        <f>IFERROR(__xludf.DUMMYFUNCTION("""COMPUTED_VALUE"""),"UpdatePricingConfig")</f>
        <v>UpdatePricingConfig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UpdatePricingConfig!$4:$4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IFERROR(__xludf.DUMMYFUNCTION("""COMPUTED_VALUE"""),"IsDefaultFilterToShowAccountWiseDataOnDailyValuation")</f>
        <v>IsDefaultFilterToShowAccountWiseDataOnDailyValuation</v>
      </c>
      <c r="C5" s="28" t="str">
        <f>IFERROR(__xludf.DUMMYFUNCTION("""COMPUTED_VALUE"""),"IsFilteringAccountWiseDataAllowedOnDailyValuation")</f>
        <v>IsFilteringAccountWiseDataAllowedOnDailyValuation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b">
        <v>1</v>
      </c>
      <c r="C6" s="32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EnableBlankMarkPrices!$4:$4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21</v>
      </c>
      <c r="C6" s="33" t="s">
        <v>22</v>
      </c>
      <c r="D6" s="34">
        <v>500</v>
      </c>
      <c r="E6" s="33"/>
      <c r="F6" s="33"/>
      <c r="G6" s="33"/>
      <c r="H6" s="33"/>
      <c r="I6" s="33"/>
      <c r="J6" s="34">
        <v>1</v>
      </c>
      <c r="K6" s="33"/>
      <c r="L6" s="33"/>
      <c r="M6" s="33"/>
      <c r="N6" s="35">
        <f>today()-1</f>
        <v>45069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23</v>
      </c>
      <c r="AL6" s="33" t="s">
        <v>24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>
        <f ref="B6:C6" t="shared" si="1">today()-1</f>
        <v>45069</v>
      </c>
      <c r="C6" s="35">
        <f t="shared" si="1"/>
        <v>45069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IFERROR(__xludf.DUMMYFUNCTION("""COMPUTED_VALUE"""),"Enter Symbol")</f>
        <v>Enter Symbol</v>
      </c>
      <c r="C5" s="28" t="str">
        <f>IFERROR(__xludf.DUMMYFUNCTION("""COMPUTED_VALUE"""),"Copy From")</f>
        <v>Copy From</v>
      </c>
      <c r="D5" s="28" t="str">
        <f>IFERROR(__xludf.DUMMYFUNCTION("""COMPUTED_VALUE"""),"Copy To")</f>
        <v>Copy To</v>
      </c>
      <c r="E5" s="28" t="str">
        <f>IFERROR(__xludf.DUMMYFUNCTION("""COMPUTED_VALUE"""),"Click On Copy")</f>
        <v>Click On Copy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UpateSymbolBlankMP!$4:$4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IFERROR(__xludf.DUMMYFUNCTION("""COMPUTED_VALUE"""),"Bloomberg Symbol")</f>
        <v>Bloomberg Symbol</v>
      </c>
      <c r="D5" s="28" t="str">
        <f>IFERROR(__xludf.DUMMYFUNCTION("""COMPUTED_VALUE"""),"Account")</f>
        <v>Account</v>
      </c>
      <c r="E5" s="28" t="str">
        <f>IFERROR(__xludf.DUMMYFUNCTION("""COMPUTED_VALUE"""),"MarkPrice")</f>
        <v>MarkPrice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21</v>
      </c>
      <c r="C6" s="33"/>
      <c r="D6" s="31"/>
      <c r="E6" s="36">
        <v>20</v>
      </c>
      <c r="F6" s="3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UpdateBlankMP!$4:$4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30</v>
      </c>
      <c r="C6" s="31" t="s">
        <v>31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10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 t="s">
        <v>21</v>
      </c>
      <c r="D6" s="8">
        <v>250</v>
      </c>
      <c r="E6" s="8" t="s">
        <v>31</v>
      </c>
      <c r="F6" s="8" t="s">
        <v>33</v>
      </c>
      <c r="G6" s="8">
        <v>1</v>
      </c>
      <c r="H6" s="8" t="s">
        <v>34</v>
      </c>
      <c r="I6" s="8"/>
      <c r="J6" s="8"/>
      <c r="K6" s="8"/>
      <c r="L6" s="8"/>
      <c r="M6" s="8"/>
      <c r="N6" s="8">
        <v>-5000</v>
      </c>
      <c r="O6" s="8"/>
      <c r="P6" s="0">
        <v>20</v>
      </c>
      <c r="R6" s="0" t="s">
        <v>35</v>
      </c>
      <c r="S6" s="0" t="s">
        <v>36</v>
      </c>
      <c r="T6" s="0" t="s">
        <v>37</v>
      </c>
      <c r="U6" s="0" t="s">
        <v>38</v>
      </c>
      <c r="V6" s="0" t="s">
        <v>39</v>
      </c>
      <c r="W6" s="0" t="s">
        <v>40</v>
      </c>
      <c r="X6" s="0">
        <v>1</v>
      </c>
      <c r="Y6" s="0">
        <v>1</v>
      </c>
      <c r="AF6" s="0">
        <v>250</v>
      </c>
      <c r="AL6" s="0">
        <v>1</v>
      </c>
      <c r="AM6" s="0">
        <v>1</v>
      </c>
      <c r="AN6" s="0" t="s">
        <v>22</v>
      </c>
      <c r="AP6" s="0" t="s">
        <v>34</v>
      </c>
      <c r="AS6" s="0">
        <v>1</v>
      </c>
      <c r="AT6" s="0" t="s">
        <v>41</v>
      </c>
      <c r="AU6" s="0" t="s">
        <v>42</v>
      </c>
      <c r="AV6" s="0">
        <v>1</v>
      </c>
      <c r="AW6" s="0">
        <v>-250</v>
      </c>
      <c r="BQ6" s="0" t="s">
        <v>43</v>
      </c>
      <c r="BR6" s="0" t="s">
        <v>44</v>
      </c>
      <c r="BU6" s="0" t="s">
        <v>37</v>
      </c>
      <c r="DD6" s="0">
        <v>250</v>
      </c>
      <c r="DJ6" s="0" t="s">
        <v>22</v>
      </c>
      <c r="DK6" s="0">
        <v>5000</v>
      </c>
      <c r="DL6" s="0">
        <v>5000</v>
      </c>
      <c r="DM6" s="0">
        <v>1</v>
      </c>
      <c r="EA6" s="0" t="s">
        <v>45</v>
      </c>
      <c r="EB6" s="0" t="s">
        <v>46</v>
      </c>
      <c r="EC6" s="0" t="s">
        <v>46</v>
      </c>
      <c r="ED6" s="0" t="s">
        <v>40</v>
      </c>
      <c r="EE6" s="0" t="s">
        <v>45</v>
      </c>
      <c r="EL6" s="0" t="s">
        <v>34</v>
      </c>
      <c r="EV6" s="0" t="s">
        <v>34</v>
      </c>
      <c r="FA6" s="0" t="s">
        <v>47</v>
      </c>
      <c r="FB6" s="0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31" t="s">
        <v>30</v>
      </c>
      <c r="C6" s="31" t="s">
        <v>48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 t="s">
        <v>21</v>
      </c>
      <c r="D6" s="8">
        <v>250</v>
      </c>
      <c r="E6" s="8" t="s">
        <v>48</v>
      </c>
      <c r="F6" s="8" t="s">
        <v>33</v>
      </c>
      <c r="G6" s="8">
        <v>1</v>
      </c>
      <c r="H6" s="8" t="s">
        <v>34</v>
      </c>
      <c r="I6" s="8"/>
      <c r="J6" s="8"/>
      <c r="K6" s="8"/>
      <c r="L6" s="8"/>
      <c r="M6" s="8"/>
      <c r="N6" s="8">
        <v>-5000</v>
      </c>
      <c r="O6" s="8"/>
      <c r="P6" s="0">
        <v>20</v>
      </c>
      <c r="S6" s="0" t="s">
        <v>36</v>
      </c>
      <c r="T6" s="0" t="s">
        <v>37</v>
      </c>
      <c r="U6" s="0" t="s">
        <v>38</v>
      </c>
      <c r="V6" s="0" t="s">
        <v>39</v>
      </c>
      <c r="W6" s="0" t="s">
        <v>40</v>
      </c>
      <c r="X6" s="0">
        <v>1</v>
      </c>
      <c r="Y6" s="0">
        <v>1</v>
      </c>
      <c r="AF6" s="0">
        <v>250</v>
      </c>
      <c r="AL6" s="0">
        <v>1</v>
      </c>
      <c r="AM6" s="0">
        <v>1</v>
      </c>
      <c r="AN6" s="0" t="s">
        <v>22</v>
      </c>
      <c r="AP6" s="0" t="s">
        <v>34</v>
      </c>
      <c r="AS6" s="0">
        <v>1</v>
      </c>
      <c r="AT6" s="0" t="s">
        <v>41</v>
      </c>
      <c r="AU6" s="0" t="s">
        <v>42</v>
      </c>
      <c r="AV6" s="0">
        <v>1</v>
      </c>
      <c r="AW6" s="0">
        <v>-250</v>
      </c>
      <c r="BQ6" s="0" t="s">
        <v>43</v>
      </c>
      <c r="BR6" s="0" t="s">
        <v>44</v>
      </c>
      <c r="BU6" s="0" t="s">
        <v>37</v>
      </c>
      <c r="DD6" s="0">
        <v>250</v>
      </c>
      <c r="DJ6" s="0" t="s">
        <v>22</v>
      </c>
      <c r="DK6" s="0">
        <v>5000</v>
      </c>
      <c r="DL6" s="0">
        <v>5000</v>
      </c>
      <c r="DM6" s="0">
        <v>1</v>
      </c>
      <c r="EA6" s="0" t="s">
        <v>45</v>
      </c>
      <c r="EB6" s="0" t="s">
        <v>46</v>
      </c>
      <c r="EC6" s="0" t="s">
        <v>46</v>
      </c>
      <c r="ED6" s="0" t="s">
        <v>40</v>
      </c>
      <c r="EE6" s="0" t="s">
        <v>45</v>
      </c>
      <c r="EL6" s="0" t="s">
        <v>34</v>
      </c>
      <c r="EV6" s="0" t="s">
        <v>34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30</v>
      </c>
      <c r="C6" s="13" t="s">
        <v>50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FilterBlankMP!$4:$4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