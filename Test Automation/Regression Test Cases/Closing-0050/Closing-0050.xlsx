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7" activeTab="7"/>
  </bookViews>
  <sheets>
    <sheet name="_Modules" sheetId="1" r:id="rId1"/>
    <sheet name="_Settings" sheetId="2" r:id="rId2"/>
    <sheet name="_MasterData" sheetId="3" r:id="rId3"/>
    <sheet name="SetGeneralPreferences" sheetId="4" r:id="rId4"/>
    <sheet name="CreateDoneAwayOrder" sheetId="5" r:id="rId5"/>
    <sheet name="ExerciseAssignment" sheetId="6" r:id="rId6"/>
    <sheet name="SelectTradeUnexpiredUnsettled" sheetId="7" r:id="rId7"/>
    <sheet name="VerifyExpiredSettledGrid" sheetId="8" r:id="rId8"/>
    <sheet name="GetDataAllocation" sheetId="9" r:id="rId9"/>
    <sheet name="CheckAllocatedGroups" sheetId="10" r:id="rId10"/>
    <sheet name="CheckUnallocatedGroups" sheetId="11" r:id="rId11"/>
    <sheet name="UnWindTradeSettlement" sheetId="12" r:id="rId12"/>
    <sheet name="SetGeneralPreferences2" sheetId="13" r:id="rId13"/>
    <sheet name="GetDataClosing" sheetId="14" r:id="rId14"/>
  </sheets>
  <calcPr calcId="145621"/>
</workbook>
</file>

<file path=xl/calcChain.xml><?xml version="1.0" encoding="utf-8"?>
<calcChain xmlns="http://schemas.openxmlformats.org/spreadsheetml/2006/main">
  <c r="N7" i="5" l="1"/>
  <c r="N6" i="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Q5" i="12"/>
  <c r="BK5" i="12"/>
  <c r="AE5" i="12"/>
  <c r="EW4" i="12"/>
  <c r="DQ4" i="12"/>
  <c r="CK4" i="12"/>
  <c r="BE4" i="12"/>
  <c r="Y4" i="12"/>
  <c r="ES5" i="11"/>
  <c r="EH5" i="11"/>
  <c r="DT5" i="11"/>
  <c r="DI5" i="11"/>
  <c r="CU5" i="11"/>
  <c r="CI5" i="11"/>
  <c r="BX5" i="11"/>
  <c r="BN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12"/>
  <c r="BI5" i="12"/>
  <c r="AC5" i="12"/>
  <c r="EU4" i="12"/>
  <c r="DO4" i="12"/>
  <c r="CI4" i="12"/>
  <c r="BC4" i="12"/>
  <c r="W4" i="12"/>
  <c r="ER5" i="11"/>
  <c r="EG5" i="11"/>
  <c r="DS5" i="11"/>
  <c r="DE5" i="11"/>
  <c r="CT5" i="11"/>
  <c r="CG5" i="11"/>
  <c r="BW5" i="11"/>
  <c r="BM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I5" i="12"/>
  <c r="BC5" i="12"/>
  <c r="W5" i="12"/>
  <c r="EO4" i="12"/>
  <c r="DI4" i="12"/>
  <c r="CC4" i="12"/>
  <c r="AW4" i="12"/>
  <c r="Q4" i="12"/>
  <c r="EQ5" i="11"/>
  <c r="EC5" i="11"/>
  <c r="DR5" i="11"/>
  <c r="DD5" i="11"/>
  <c r="CS5" i="11"/>
  <c r="CF5" i="11"/>
  <c r="BV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CG5" i="12"/>
  <c r="BA5" i="12"/>
  <c r="U5" i="12"/>
  <c r="EM4" i="12"/>
  <c r="DG4" i="12"/>
  <c r="CA4" i="12"/>
  <c r="AU4" i="12"/>
  <c r="O4" i="12"/>
  <c r="EP5" i="11"/>
  <c r="EB5" i="11"/>
  <c r="DQ5" i="11"/>
  <c r="DC5" i="11"/>
  <c r="CO5" i="11"/>
  <c r="CE5" i="11"/>
  <c r="BU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A5" i="12"/>
  <c r="AU5" i="12"/>
  <c r="O5" i="12"/>
  <c r="EG4" i="12"/>
  <c r="DA4" i="12"/>
  <c r="BU4" i="12"/>
  <c r="AO4" i="12"/>
  <c r="I4" i="12"/>
  <c r="EO5" i="11"/>
  <c r="EA5" i="11"/>
  <c r="DM5" i="11"/>
  <c r="DB5" i="11"/>
  <c r="CN5" i="11"/>
  <c r="CD5" i="11"/>
  <c r="BS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BY5" i="12"/>
  <c r="AS5" i="12"/>
  <c r="M5" i="12"/>
  <c r="EE4" i="12"/>
  <c r="CY4" i="12"/>
  <c r="BS4" i="12"/>
  <c r="AM4" i="12"/>
  <c r="G4" i="12"/>
  <c r="EK5" i="11"/>
  <c r="DZ5" i="11"/>
  <c r="DL5" i="11"/>
  <c r="DA5" i="11"/>
  <c r="CM5" i="11"/>
  <c r="CC5" i="11"/>
  <c r="BQ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BS5" i="12"/>
  <c r="AM5" i="12"/>
  <c r="G5" i="12"/>
  <c r="DY4" i="12"/>
  <c r="CS4" i="12"/>
  <c r="BM4" i="12"/>
  <c r="AG4" i="12"/>
  <c r="EJ5" i="11"/>
  <c r="DY5" i="11"/>
  <c r="DK5" i="11"/>
  <c r="CW5" i="11"/>
  <c r="CL5" i="11"/>
  <c r="CA5" i="11"/>
  <c r="BP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BQ5" i="12"/>
  <c r="AK5" i="12"/>
  <c r="E5" i="12"/>
  <c r="DW4" i="12"/>
  <c r="CQ4" i="12"/>
  <c r="BK4" i="12"/>
  <c r="AE4" i="12"/>
  <c r="EW5" i="11"/>
  <c r="EI5" i="11"/>
  <c r="DU5" i="11"/>
  <c r="DJ5" i="11"/>
  <c r="CV5" i="11"/>
  <c r="CK5" i="11"/>
  <c r="BY5" i="11"/>
  <c r="BO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DK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DC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CU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DT5" i="5"/>
  <c r="CN5" i="5"/>
  <c r="BH5" i="5"/>
  <c r="AB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S5" i="5"/>
  <c r="CM5" i="5"/>
  <c r="BG5" i="5"/>
  <c r="AA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ER5" i="5"/>
  <c r="DL5" i="5"/>
  <c r="CF5" i="5"/>
  <c r="AZ5" i="5"/>
  <c r="V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EQ5" i="5"/>
  <c r="DK5" i="5"/>
  <c r="CE5" i="5"/>
  <c r="AY5" i="5"/>
  <c r="T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EJ5" i="5"/>
  <c r="DD5" i="5"/>
  <c r="BX5" i="5"/>
  <c r="AR5" i="5"/>
  <c r="S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EI5" i="5"/>
  <c r="DC5" i="5"/>
  <c r="BW5" i="5"/>
  <c r="AQ5" i="5"/>
  <c r="R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EB5" i="5"/>
  <c r="CV5" i="5"/>
  <c r="BP5" i="5"/>
  <c r="AJ5" i="5"/>
  <c r="Q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EA5" i="5"/>
  <c r="CU5" i="5"/>
  <c r="BO5" i="5"/>
  <c r="AI5" i="5"/>
  <c r="P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H878" i="3"/>
  <c r="B877" i="3"/>
  <c r="J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G878" i="3"/>
  <c r="A877" i="3"/>
  <c r="I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L877" i="3"/>
  <c r="H876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K877" i="3"/>
  <c r="G876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J877" i="3"/>
  <c r="F876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I877" i="3"/>
  <c r="E876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D877" i="3"/>
  <c r="L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C877" i="3"/>
  <c r="K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L791" i="3"/>
  <c r="B791" i="3"/>
  <c r="D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K791" i="3"/>
  <c r="A791" i="3"/>
  <c r="C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J791" i="3"/>
  <c r="L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I791" i="3"/>
  <c r="K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H791" i="3"/>
  <c r="H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G791" i="3"/>
  <c r="G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D791" i="3"/>
  <c r="F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C791" i="3"/>
  <c r="E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L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H382" i="3"/>
  <c r="J381" i="3"/>
  <c r="A381" i="3"/>
  <c r="D380" i="3"/>
  <c r="G379" i="3"/>
  <c r="I378" i="3"/>
  <c r="L377" i="3"/>
  <c r="C377" i="3"/>
  <c r="F376" i="3"/>
  <c r="I375" i="3"/>
  <c r="L374" i="3"/>
  <c r="C374" i="3"/>
  <c r="E373" i="3"/>
  <c r="H372" i="3"/>
  <c r="K371" i="3"/>
  <c r="B371" i="3"/>
  <c r="E370" i="3"/>
  <c r="H369" i="3"/>
  <c r="K368" i="3"/>
  <c r="A368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G382" i="3"/>
  <c r="I381" i="3"/>
  <c r="L380" i="3"/>
  <c r="C380" i="3"/>
  <c r="E379" i="3"/>
  <c r="H378" i="3"/>
  <c r="K377" i="3"/>
  <c r="B377" i="3"/>
  <c r="E376" i="3"/>
  <c r="H375" i="3"/>
  <c r="K374" i="3"/>
  <c r="A374" i="3"/>
  <c r="D373" i="3"/>
  <c r="G372" i="3"/>
  <c r="J371" i="3"/>
  <c r="A371" i="3"/>
  <c r="D370" i="3"/>
  <c r="G369" i="3"/>
  <c r="I368" i="3"/>
  <c r="L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F382" i="3"/>
  <c r="H381" i="3"/>
  <c r="K380" i="3"/>
  <c r="A380" i="3"/>
  <c r="D379" i="3"/>
  <c r="G378" i="3"/>
  <c r="J377" i="3"/>
  <c r="A377" i="3"/>
  <c r="D376" i="3"/>
  <c r="G375" i="3"/>
  <c r="I374" i="3"/>
  <c r="L373" i="3"/>
  <c r="C373" i="3"/>
  <c r="F372" i="3"/>
  <c r="I371" i="3"/>
  <c r="L370" i="3"/>
  <c r="C370" i="3"/>
  <c r="E369" i="3"/>
  <c r="H368" i="3"/>
  <c r="K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E382" i="3"/>
  <c r="G381" i="3"/>
  <c r="I380" i="3"/>
  <c r="L379" i="3"/>
  <c r="C379" i="3"/>
  <c r="F378" i="3"/>
  <c r="I377" i="3"/>
  <c r="L376" i="3"/>
  <c r="C376" i="3"/>
  <c r="E375" i="3"/>
  <c r="H374" i="3"/>
  <c r="K373" i="3"/>
  <c r="B373" i="3"/>
  <c r="E372" i="3"/>
  <c r="H371" i="3"/>
  <c r="K370" i="3"/>
  <c r="A370" i="3"/>
  <c r="D369" i="3"/>
  <c r="G368" i="3"/>
  <c r="J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D382" i="3"/>
  <c r="E381" i="3"/>
  <c r="H380" i="3"/>
  <c r="K379" i="3"/>
  <c r="B379" i="3"/>
  <c r="E378" i="3"/>
  <c r="H377" i="3"/>
  <c r="K376" i="3"/>
  <c r="A376" i="3"/>
  <c r="D375" i="3"/>
  <c r="G374" i="3"/>
  <c r="J373" i="3"/>
  <c r="A373" i="3"/>
  <c r="D372" i="3"/>
  <c r="G371" i="3"/>
  <c r="I370" i="3"/>
  <c r="L369" i="3"/>
  <c r="C369" i="3"/>
  <c r="F368" i="3"/>
  <c r="I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A382" i="3"/>
  <c r="D381" i="3"/>
  <c r="G380" i="3"/>
  <c r="J379" i="3"/>
  <c r="A379" i="3"/>
  <c r="D378" i="3"/>
  <c r="G377" i="3"/>
  <c r="I376" i="3"/>
  <c r="L375" i="3"/>
  <c r="C375" i="3"/>
  <c r="F374" i="3"/>
  <c r="I373" i="3"/>
  <c r="L372" i="3"/>
  <c r="C372" i="3"/>
  <c r="E371" i="3"/>
  <c r="H370" i="3"/>
  <c r="K369" i="3"/>
  <c r="B369" i="3"/>
  <c r="E368" i="3"/>
  <c r="H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L381" i="3"/>
  <c r="C381" i="3"/>
  <c r="F380" i="3"/>
  <c r="I379" i="3"/>
  <c r="L378" i="3"/>
  <c r="C378" i="3"/>
  <c r="E377" i="3"/>
  <c r="H376" i="3"/>
  <c r="K375" i="3"/>
  <c r="B375" i="3"/>
  <c r="E374" i="3"/>
  <c r="H373" i="3"/>
  <c r="K372" i="3"/>
  <c r="A372" i="3"/>
  <c r="D371" i="3"/>
  <c r="G370" i="3"/>
  <c r="J369" i="3"/>
  <c r="A369" i="3"/>
  <c r="D368" i="3"/>
  <c r="G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K381" i="3"/>
  <c r="B381" i="3"/>
  <c r="E380" i="3"/>
  <c r="H379" i="3"/>
  <c r="K378" i="3"/>
  <c r="A378" i="3"/>
  <c r="D377" i="3"/>
  <c r="G376" i="3"/>
  <c r="J375" i="3"/>
  <c r="A375" i="3"/>
  <c r="D374" i="3"/>
  <c r="G373" i="3"/>
  <c r="I372" i="3"/>
  <c r="L371" i="3"/>
  <c r="C371" i="3"/>
  <c r="F370" i="3"/>
  <c r="I369" i="3"/>
  <c r="L368" i="3"/>
  <c r="C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J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H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F791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J790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B790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F789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L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E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A108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J2" i="14" l="1"/>
  <c r="J2" i="13"/>
  <c r="J2" i="11"/>
  <c r="J2" i="9"/>
  <c r="J2" i="12"/>
  <c r="J2" i="10"/>
  <c r="J2" i="8"/>
  <c r="J2" i="6"/>
  <c r="J2" i="7"/>
  <c r="J2" i="4"/>
  <c r="J2" i="5"/>
</calcChain>
</file>

<file path=xl/sharedStrings.xml><?xml version="1.0" encoding="utf-8"?>
<sst xmlns="http://schemas.openxmlformats.org/spreadsheetml/2006/main" count="132" uniqueCount="47">
  <si>
    <t>Modules Info</t>
  </si>
  <si>
    <t>Settings</t>
  </si>
  <si>
    <t>Master Data Info</t>
  </si>
  <si>
    <t>Module</t>
  </si>
  <si>
    <t>Modules</t>
  </si>
  <si>
    <t>Module Step Setting File</t>
  </si>
  <si>
    <t>Step</t>
  </si>
  <si>
    <t>15Il9KeswuJGgf6kL64q0xt7c_sevGOAe7T20r5WsNa0</t>
  </si>
  <si>
    <t>Master Data Sheet</t>
  </si>
  <si>
    <t>Master Data Settings File</t>
  </si>
  <si>
    <t>1hEhI9rg16D4Xvfk19pDaFUFF78jjfIG29BBaNg8kT0A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</si>
  <si>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</si>
  <si>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</si>
  <si>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</si>
  <si>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</si>
  <si>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</si>
  <si>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</si>
  <si>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</si>
  <si>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ABM</t>
  </si>
  <si>
    <t>Buy</t>
  </si>
  <si>
    <t>Allocation1</t>
  </si>
  <si>
    <t>O:ABM 10D20.00</t>
  </si>
  <si>
    <t>Sell to Open</t>
  </si>
  <si>
    <t>Closing</t>
  </si>
  <si>
    <t>ExerciseAssignment</t>
  </si>
  <si>
    <t>SelectTradeUnexpiredUnsettled</t>
  </si>
  <si>
    <t>EquityOption</t>
  </si>
  <si>
    <t>VerifyExpiredSettledGrid</t>
  </si>
  <si>
    <t>Short</t>
  </si>
  <si>
    <t xml:space="preserve"> O:ABM 10D20.00</t>
  </si>
  <si>
    <t>GetDataAllocation</t>
  </si>
  <si>
    <t>Current</t>
  </si>
  <si>
    <t>CheckAllocatedGroups</t>
  </si>
  <si>
    <t>Open</t>
  </si>
  <si>
    <t>Closed</t>
  </si>
  <si>
    <t>Buy to Close</t>
  </si>
  <si>
    <t>CheckUnallocatedGroups</t>
  </si>
  <si>
    <t>Sell</t>
  </si>
  <si>
    <t>UnWindTradeSettlement</t>
  </si>
  <si>
    <t>NONE</t>
  </si>
  <si>
    <t>Exercise</t>
  </si>
  <si>
    <t>GetDataClosing</t>
  </si>
  <si>
    <t>Long</t>
  </si>
  <si>
    <t>USD</t>
  </si>
  <si>
    <t>OPTS</t>
  </si>
  <si>
    <t>Strategy Unallocated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</si>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</sst>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5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2" fillId="0" borderId="0" xfId="0" applyFont="1" applyAlignment="1"/>
    <xf numFmtId="14" fontId="5" fillId="0" borderId="0" xfId="0" applyNumberFormat="1" applyFont="1" applyAlignment="1"/>
    <xf numFmtId="0" fontId="13" fillId="0" borderId="0" xfId="0" applyFont="1" applyAlignment="1"/>
    <xf numFmtId="0" fontId="4" fillId="0" borderId="0" xfId="0" applyFont="1" applyAlignment="1"/>
    <xf numFmtId="0" fontId="5" fillId="0" borderId="5" xfId="0" applyFont="1" applyBorder="1" applyAlignment="1"/>
    <xf numFmtId="0" fontId="4" fillId="0" borderId="5" xfId="0" applyFont="1" applyBorder="1" applyAlignment="1"/>
    <xf numFmtId="0" fontId="4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4" fillId="0" borderId="0" xfId="0" applyFont="1" applyAlignment="1"/>
    <xf numFmtId="0" fontId="4" fillId="0" borderId="0" xfId="0" applyFont="1" applyAlignment="1"/>
    <xf numFmtId="0" fontId="4" fillId="0" borderId="6" xfId="0" applyFont="1" applyBorder="1" applyAlignment="1"/>
    <xf numFmtId="0" fontId="5" fillId="0" borderId="5" xfId="0" applyFont="1" applyBorder="1" applyAlignment="1">
      <alignment horizontal="right"/>
    </xf>
    <xf numFmtId="14" fontId="4" fillId="0" borderId="5" xfId="0" applyNumberFormat="1" applyFont="1" applyBorder="1" applyAlignment="1"/>
    <xf numFmtId="0" fontId="4" fillId="0" borderId="5" xfId="0" applyFont="1" applyBorder="1" applyAlignment="1"/>
    <xf numFmtId="0" fontId="4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14" fontId="4" fillId="0" borderId="0" xfId="0" applyNumberFormat="1" applyFont="1" applyAlignment="1"/>
    <xf numFmtId="14" fontId="4" fillId="0" borderId="5" xfId="0" applyNumberFormat="1" applyFont="1" applyBorder="1" applyAlignment="1"/>
    <xf numFmtId="14" fontId="4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  <xf numFmtId="0" fontId="2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47" t="s">
        <v>0</v>
      </c>
      <c r="B1" s="48"/>
      <c r="C1" s="48"/>
      <c r="D1" s="48"/>
      <c r="E1" s="48"/>
      <c r="F1" s="49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4" t="s">
        <v>4</v>
      </c>
      <c r="B3" s="10"/>
      <c r="C3" s="11"/>
      <c r="D3" s="11"/>
      <c r="E3" s="11"/>
      <c r="F3" s="11"/>
    </row>
    <row r="4" spans="1:12" ht="15.75" customHeight="1" x14ac:dyDescent="0.2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5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0" t="s">
        <v>1</v>
      </c>
      <c r="B1" s="48"/>
      <c r="C1" s="49"/>
    </row>
    <row r="2" spans="1:3" ht="15.75" customHeight="1" x14ac:dyDescent="0.2">
      <c r="A2" s="2"/>
      <c r="B2" s="2"/>
      <c r="C2" s="2"/>
    </row>
    <row r="3" spans="1:3" ht="15.75" customHeight="1" x14ac:dyDescent="0.2">
      <c r="A3" s="4" t="s">
        <v>5</v>
      </c>
      <c r="B3" s="6" t="s">
        <v>7</v>
      </c>
      <c r="C3" s="2"/>
    </row>
    <row r="4" spans="1:3" ht="15.75" customHeight="1" x14ac:dyDescent="0.2">
      <c r="A4" s="3" t="s">
        <v>9</v>
      </c>
      <c r="B4" s="6" t="s">
        <v>10</v>
      </c>
      <c r="C4" s="2"/>
    </row>
    <row r="5" spans="1:3" ht="15.75" customHeight="1" x14ac:dyDescent="0.2">
      <c r="A5" s="8"/>
      <c r="B5" s="2"/>
      <c r="C5" s="2"/>
    </row>
    <row r="6" spans="1:3" ht="15.75" customHeight="1" x14ac:dyDescent="0.2">
      <c r="A6" s="8"/>
      <c r="B6" s="2"/>
      <c r="C6" s="2"/>
    </row>
    <row r="7" spans="1:3" ht="15.75" customHeight="1" x14ac:dyDescent="0.2">
      <c r="A7" s="8"/>
      <c r="B7" s="2"/>
      <c r="C7" s="2"/>
    </row>
    <row r="8" spans="1:3" ht="15.75" customHeight="1" x14ac:dyDescent="0.2">
      <c r="A8" s="8"/>
      <c r="B8" s="2"/>
      <c r="C8" s="2"/>
    </row>
    <row r="9" spans="1:3" ht="15.75" customHeight="1" x14ac:dyDescent="0.2">
      <c r="A9" s="8"/>
      <c r="B9" s="2"/>
      <c r="C9" s="2"/>
    </row>
    <row r="10" spans="1:3" ht="15.75" customHeight="1" x14ac:dyDescent="0.2">
      <c r="A10" s="8"/>
      <c r="B10" s="2"/>
      <c r="C10" s="2"/>
    </row>
    <row r="11" spans="1:3" ht="15.75" customHeight="1" x14ac:dyDescent="0.2">
      <c r="A11" s="8"/>
      <c r="B11" s="2"/>
      <c r="C11" s="2"/>
    </row>
    <row r="12" spans="1:3" ht="15.75" customHeight="1" x14ac:dyDescent="0.2">
      <c r="A12" s="8"/>
      <c r="B12" s="2"/>
      <c r="C12" s="2"/>
    </row>
    <row r="13" spans="1:3" ht="15.75" customHeight="1" x14ac:dyDescent="0.2">
      <c r="A13" s="8"/>
      <c r="B13" s="2"/>
      <c r="C13" s="2"/>
    </row>
    <row r="14" spans="1:3" ht="15.75" customHeight="1" x14ac:dyDescent="0.2">
      <c r="A14" s="8"/>
      <c r="B14" s="2"/>
      <c r="C14" s="2"/>
    </row>
    <row r="15" spans="1:3" ht="15.75" customHeight="1" x14ac:dyDescent="0.2">
      <c r="A15" s="8"/>
      <c r="B15" s="2"/>
      <c r="C15" s="2"/>
    </row>
    <row r="16" spans="1:3" ht="15.75" customHeight="1" x14ac:dyDescent="0.2">
      <c r="A16" s="8"/>
      <c r="B16" s="2"/>
      <c r="C16" s="2"/>
    </row>
    <row r="17" spans="1:3" ht="15.75" customHeight="1" x14ac:dyDescent="0.2">
      <c r="A17" s="8"/>
      <c r="B17" s="2"/>
      <c r="C17" s="2"/>
    </row>
    <row r="18" spans="1:3" ht="15.75" customHeight="1" x14ac:dyDescent="0.2">
      <c r="A18" s="8"/>
      <c r="B18" s="2"/>
      <c r="C18" s="2"/>
    </row>
    <row r="19" spans="1:3" ht="15.75" customHeight="1" x14ac:dyDescent="0.2">
      <c r="A19" s="8"/>
      <c r="B19" s="2"/>
      <c r="C19" s="2"/>
    </row>
    <row r="20" spans="1:3" ht="15.75" customHeight="1" x14ac:dyDescent="0.2">
      <c r="A20" s="8"/>
      <c r="B20" s="2"/>
      <c r="C20" s="2"/>
    </row>
    <row r="21" spans="1:3" ht="15.75" customHeight="1" x14ac:dyDescent="0.2">
      <c r="A21" s="8"/>
      <c r="B21" s="2"/>
      <c r="C21" s="2"/>
    </row>
    <row r="22" spans="1:3" ht="15.75" customHeight="1" x14ac:dyDescent="0.2">
      <c r="A22" s="8"/>
      <c r="B22" s="2"/>
      <c r="C22" s="2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7" t="s">
        <v>2</v>
      </c>
      <c r="B1" s="48"/>
      <c r="C1" s="48"/>
      <c r="D1" s="48"/>
      <c r="E1" s="48"/>
      <c r="F1" s="49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3" t="s">
        <v>3</v>
      </c>
      <c r="B3" s="5" t="s">
        <v>6</v>
      </c>
      <c r="C3" s="5" t="s">
        <v>8</v>
      </c>
      <c r="D3" s="7"/>
      <c r="E3" s="7"/>
      <c r="F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" customHeight="1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2" width="20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7" t="s">
        <v>11</v>
      </c>
      <c r="C1" s="48"/>
      <c r="D1" s="48"/>
      <c r="E1" s="48"/>
      <c r="F1" s="48"/>
      <c r="G1" s="48"/>
      <c r="H1" s="4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1lI4loUxqzsE3IjuxIjsVY3cB4J_eTKFPPDuXngut4FE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12</v>
      </c>
      <c r="D3" s="4" t="s">
        <v>6</v>
      </c>
      <c r="E3" s="16" t="s">
        <v>13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IFERROR(__xludf.DUMMYFUNCTION("""COMPUTED_VALUE"""),"ValidateCheckSide")</f>
        <v>ValidateCheckSide</v>
      </c>
      <c r="C5" s="21" t="str">
        <f ca="1">IFERROR(__xludf.DUMMYFUNCTION("""COMPUTED_VALUE"""),"DisabledChecksideAssets")</f>
        <v>DisabledChecksideAssets</v>
      </c>
      <c r="D5" s="21" t="str">
        <f ca="1">IFERROR(__xludf.DUMMYFUNCTION("""COMPUTED_VALUE"""),"PrecisionValue")</f>
        <v>PrecisionValue</v>
      </c>
      <c r="E5" s="21" t="str">
        <f ca="1">IFERROR(__xludf.DUMMYFUNCTION("""COMPUTED_VALUE"""),"UseCommissionInNetAmount")</f>
        <v>UseCommissionInNetAmount</v>
      </c>
      <c r="F5" s="22" t="str">
        <f ca="1">IFERROR(__xludf.DUMMYFUNCTION("""COMPUTED_VALUE"""),"SaveWithoutState")</f>
        <v>SaveWithoutState</v>
      </c>
      <c r="G5" s="21" t="str">
        <f ca="1">IFERROR(__xludf.DUMMYFUNCTION("""COMPUTED_VALUE"""),"SaveWithState")</f>
        <v>SaveWithState</v>
      </c>
      <c r="H5" s="21" t="str">
        <f ca="1">IFERROR(__xludf.DUMMYFUNCTION("""COMPUTED_VALUE"""),"ClearQuantities")</f>
        <v>ClearQuantities</v>
      </c>
      <c r="I5" s="21" t="str">
        <f ca="1">IFERROR(__xludf.DUMMYFUNCTION("""COMPUTED_VALUE"""),"ReapplyAllocation")</f>
        <v>ReapplyAllocation</v>
      </c>
      <c r="J5" s="21" t="str">
        <f ca="1">IFERROR(__xludf.DUMMYFUNCTION("""COMPUTED_VALUE"""),"DefaultAllocation")</f>
        <v>DefaultAllocation</v>
      </c>
      <c r="K5" s="21" t="str">
        <f ca="1">IFERROR(__xludf.DUMMYFUNCTION("""COMPUTED_VALUE"""),"IsCustomPreference")</f>
        <v>IsCustomPreference</v>
      </c>
      <c r="L5" s="21" t="str">
        <f ca="1">IFERROR(__xludf.DUMMYFUNCTION("""COMPUTED_VALUE"""),"AllocationMethod")</f>
        <v>AllocationMethod</v>
      </c>
      <c r="M5" s="21" t="str">
        <f ca="1">IFERROR(__xludf.DUMMYFUNCTION("""COMPUTED_VALUE"""),"RemainderAllocationTo")</f>
        <v>RemainderAllocationTo</v>
      </c>
      <c r="N5" s="21" t="str">
        <f ca="1">IFERROR(__xludf.DUMMYFUNCTION("""COMPUTED_VALUE"""),"Target%AsOf")</f>
        <v>Target%AsOf</v>
      </c>
      <c r="O5" s="21" t="str">
        <f ca="1">IFERROR(__xludf.DUMMYFUNCTION("""COMPUTED_VALUE"""),"ProrataAccounts")</f>
        <v>ProrataAccounts</v>
      </c>
      <c r="P5" s="21" t="str">
        <f ca="1">IFERROR(__xludf.DUMMYFUNCTION("""COMPUTED_VALUE"""),"DateUptoDays")</f>
        <v>DateUptoDays</v>
      </c>
      <c r="Q5" s="21" t="str">
        <f ca="1">IFERROR(__xludf.DUMMYFUNCTION("""COMPUTED_VALUE"""),"MatchClosing")</f>
        <v>MatchClosing</v>
      </c>
      <c r="R5" s="21" t="str">
        <f ca="1">IFERROR(__xludf.DUMMYFUNCTION("""COMPUTED_VALUE"""),"CommissionAlertOnBrokerChange")</f>
        <v>CommissionAlertOnBrokerChange</v>
      </c>
      <c r="S5" s="21" t="str">
        <f ca="1">IFERROR(__xludf.DUMMYFUNCTION("""COMPUTED_VALUE"""),"RecalculateCommissionOnBrokerChange")</f>
        <v>RecalculateCommissionOnBrokerChange</v>
      </c>
      <c r="T5" s="23" t="str">
        <f ca="1">IFERROR(__xludf.DUMMYFUNCTION("""COMPUTED_VALUE"""),"CommissionAlertOnAllocation")</f>
        <v>CommissionAlertOnAllocation</v>
      </c>
      <c r="U5" s="23" t="str">
        <f ca="1">IFERROR(__xludf.DUMMYFUNCTION("""COMPUTED_VALUE"""),"RecalculateCommissionOnAllocation")</f>
        <v>RecalculateCommissionOnAllocation</v>
      </c>
      <c r="V5" s="23" t="str">
        <f ca="1">IFERROR(__xludf.DUMMYFUNCTION("""COMPUTED_VALUE"""),"EnableMasterFund")</f>
        <v>EnableMasterFund</v>
      </c>
      <c r="W5" s="23" t="str">
        <f ca="1">IFERROR(__xludf.DUMMYFUNCTION("""COMPUTED_VALUE"""),"1MasterFund/1Symbol")</f>
        <v>1MasterFund/1Symbol</v>
      </c>
      <c r="X5" s="23" t="str">
        <f ca="1">IFERROR(__xludf.DUMMYFUNCTION("""COMPUTED_VALUE"""),"ProrataSchemeName")</f>
        <v>ProrataSchemeName</v>
      </c>
      <c r="Y5" s="23" t="str">
        <f ca="1">IFERROR(__xludf.DUMMYFUNCTION("""COMPUTED_VALUE"""),"ProrataAllocationSchemeBasis")</f>
        <v>ProrataAllocationSchemeBasis</v>
      </c>
      <c r="Z5" s="23" t="str">
        <f ca="1">IFERROR(__xludf.DUMMYFUNCTION("""COMPUTED_VALUE"""),"ShowAdvancedProrataUI")</f>
        <v>ShowAdvancedProrataUI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b">
        <v>1</v>
      </c>
      <c r="C6" s="2"/>
      <c r="D6" s="6"/>
      <c r="E6" s="24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8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7" t="s">
        <v>11</v>
      </c>
      <c r="C1" s="48"/>
      <c r="D1" s="48"/>
      <c r="E1" s="48"/>
      <c r="F1" s="48"/>
      <c r="G1" s="48"/>
      <c r="H1" s="4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16</v>
      </c>
      <c r="D3" s="4" t="s">
        <v>6</v>
      </c>
      <c r="E3" s="16" t="s">
        <v>17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"/>
      <c r="B6" s="6" t="s">
        <v>18</v>
      </c>
      <c r="C6" s="6" t="s">
        <v>19</v>
      </c>
      <c r="D6" s="6">
        <v>999</v>
      </c>
      <c r="E6" s="2"/>
      <c r="F6" s="6" t="s">
        <v>20</v>
      </c>
      <c r="G6" s="2"/>
      <c r="H6" s="2"/>
      <c r="I6" s="2"/>
      <c r="J6" s="6">
        <v>12</v>
      </c>
      <c r="K6" s="2"/>
      <c r="L6" s="2"/>
      <c r="M6" s="2"/>
      <c r="N6" s="26">
        <f t="shared" ref="N6:N7" ca="1" si="0">TODAY()</f>
        <v>43790</v>
      </c>
      <c r="O6" s="2"/>
    </row>
    <row r="7" spans="1:154" ht="15.75" customHeight="1" x14ac:dyDescent="0.2">
      <c r="A7" s="2"/>
      <c r="B7" s="27" t="s">
        <v>21</v>
      </c>
      <c r="C7" s="6" t="s">
        <v>22</v>
      </c>
      <c r="D7" s="6">
        <v>1000</v>
      </c>
      <c r="E7" s="2"/>
      <c r="F7" s="6" t="s">
        <v>20</v>
      </c>
      <c r="G7" s="2"/>
      <c r="H7" s="2"/>
      <c r="I7" s="2"/>
      <c r="J7" s="6">
        <v>10</v>
      </c>
      <c r="K7" s="2"/>
      <c r="L7" s="2"/>
      <c r="M7" s="2"/>
      <c r="N7" s="26">
        <f t="shared" ca="1" si="0"/>
        <v>43790</v>
      </c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/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7" t="s">
        <v>11</v>
      </c>
      <c r="C1" s="48"/>
      <c r="D1" s="48"/>
      <c r="E1" s="48"/>
      <c r="F1" s="48"/>
      <c r="G1" s="48"/>
      <c r="H1" s="4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23</v>
      </c>
      <c r="D3" s="4" t="s">
        <v>6</v>
      </c>
      <c r="E3" s="16" t="s">
        <v>24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IFERROR(__xludf.DUMMYFUNCTION("""COMPUTED_VALUE"""),"AccountValue")</f>
        <v>AccountValue</v>
      </c>
      <c r="D5" s="21" t="str">
        <f ca="1">IFERROR(__xludf.DUMMYFUNCTION("""COMPUTED_VALUE"""),"AccruedInterest")</f>
        <v>AccruedInterest</v>
      </c>
      <c r="E5" s="21" t="str">
        <f ca="1">IFERROR(__xludf.DUMMYFUNCTION("""COMPUTED_VALUE"""),"Asset")</f>
        <v>Asset</v>
      </c>
      <c r="F5" s="22" t="str">
        <f ca="1">IFERROR(__xludf.DUMMYFUNCTION("""COMPUTED_VALUE"""),"AUEC Fee1")</f>
        <v>AUEC Fee1</v>
      </c>
      <c r="G5" s="21" t="str">
        <f ca="1">IFERROR(__xludf.DUMMYFUNCTION("""COMPUTED_VALUE"""),"AUCE Fee2")</f>
        <v>AUCE Fee2</v>
      </c>
      <c r="H5" s="21" t="str">
        <f ca="1">IFERROR(__xludf.DUMMYFUNCTION("""COMPUTED_VALUE"""),"AUECID")</f>
        <v>AUECID</v>
      </c>
      <c r="I5" s="21" t="str">
        <f ca="1">IFERROR(__xludf.DUMMYFUNCTION("""COMPUTED_VALUE"""),"AUECLocalDateToday")</f>
        <v>AUECLocalDateToday</v>
      </c>
      <c r="J5" s="21" t="str">
        <f ca="1">IFERROR(__xludf.DUMMYFUNCTION("""COMPUTED_VALUE"""),"Average Price")</f>
        <v>Average Price</v>
      </c>
      <c r="K5" s="21" t="str">
        <f ca="1">IFERROR(__xludf.DUMMYFUNCTION("""COMPUTED_VALUE"""),"AvgPriceRealizedPL")</f>
        <v>AvgPriceRealizedPL</v>
      </c>
      <c r="L5" s="21" t="str">
        <f ca="1">IFERROR(__xludf.DUMMYFUNCTION("""COMPUTED_VALUE"""),"Broker")</f>
        <v>Broker</v>
      </c>
      <c r="M5" s="21" t="str">
        <f ca="1">IFERROR(__xludf.DUMMYFUNCTION("""COMPUTED_VALUE"""),"Clearing Broker Fee")</f>
        <v>Clearing Broker Fee</v>
      </c>
      <c r="N5" s="21" t="str">
        <f ca="1">IFERROR(__xludf.DUMMYFUNCTION("""COMPUTED_VALUE"""),"ClosedQty")</f>
        <v>ClosedQty</v>
      </c>
      <c r="O5" s="21" t="str">
        <f ca="1">IFERROR(__xludf.DUMMYFUNCTION("""COMPUTED_VALUE"""),"Commission")</f>
        <v>Commission</v>
      </c>
      <c r="P5" s="21" t="str">
        <f ca="1">IFERROR(__xludf.DUMMYFUNCTION("""COMPUTED_VALUE"""),"CostBasisRealizePNL")</f>
        <v>CostBasisRealizePNL</v>
      </c>
      <c r="Q5" s="21" t="str">
        <f ca="1">IFERROR(__xludf.DUMMYFUNCTION("""COMPUTED_VALUE"""),"Currency")</f>
        <v>Currency</v>
      </c>
      <c r="R5" s="21" t="str">
        <f ca="1">IFERROR(__xludf.DUMMYFUNCTION("""COMPUTED_VALUE"""),"Description")</f>
        <v>Description</v>
      </c>
      <c r="S5" s="21" t="str">
        <f ca="1">IFERROR(__xludf.DUMMYFUNCTION("""COMPUTED_VALUE"""),"EndDate")</f>
        <v>EndDate</v>
      </c>
      <c r="T5" s="23" t="str">
        <f ca="1">IFERROR(__xludf.DUMMYFUNCTION("""COMPUTED_VALUE"""),"ExchangeID")</f>
        <v>ExchangeID</v>
      </c>
      <c r="U5" s="23" t="str">
        <f ca="1">IFERROR(__xludf.DUMMYFUNCTION("""COMPUTED_VALUE"""),"Expiration Date")</f>
        <v>Expiration Date</v>
      </c>
      <c r="V5" s="23" t="str">
        <f ca="1">IFERROR(__xludf.DUMMYFUNCTION("""COMPUTED_VALUE"""),"ExpiredQty")</f>
        <v>ExpiredQty</v>
      </c>
      <c r="W5" s="23" t="str">
        <f ca="1">IFERROR(__xludf.DUMMYFUNCTION("""COMPUTED_VALUE"""),"ExpiredTaxlotID")</f>
        <v>ExpiredTaxlotID</v>
      </c>
      <c r="X5" s="23" t="str">
        <f ca="1">IFERROR(__xludf.DUMMYFUNCTION("""COMPUTED_VALUE"""),"FXRate")</f>
        <v>FXRate</v>
      </c>
      <c r="Y5" s="23" t="str">
        <f ca="1">IFERROR(__xludf.DUMMYFUNCTION("""COMPUTED_VALUE"""),"FXRateoperator")</f>
        <v>FXRateoperator</v>
      </c>
      <c r="Z5" s="23" t="str">
        <f ca="1">IFERROR(__xludf.DUMMYFUNCTION("""COMPUTED_VALUE"""),"ID")</f>
        <v>ID</v>
      </c>
      <c r="AA5" s="23" t="str">
        <f ca="1">IFERROR(__xludf.DUMMYFUNCTION("""COMPUTED_VALUE"""),"If Pay/Recevie Changes")</f>
        <v>If Pay/Recevie Changes</v>
      </c>
      <c r="AB5" s="23" t="str">
        <f ca="1">IFERROR(__xludf.DUMMYFUNCTION("""COMPUTED_VALUE"""),"IntPositionType")</f>
        <v>IntPositionType</v>
      </c>
      <c r="AC5" s="23" t="str">
        <f ca="1">IFERROR(__xludf.DUMMYFUNCTION("""COMPUTED_VALUE"""),"LeadCurrencyID")</f>
        <v>LeadCurrencyID</v>
      </c>
      <c r="AD5" s="23" t="str">
        <f ca="1">IFERROR(__xludf.DUMMYFUNCTION("""COMPUTED_VALUE"""),"Leveraged Factor")</f>
        <v>Leveraged Factor</v>
      </c>
      <c r="AE5" s="23" t="str">
        <f ca="1">IFERROR(__xludf.DUMMYFUNCTION("""COMPUTED_VALUE"""),"MarkPriceForMonth")</f>
        <v>MarkPriceForMonth</v>
      </c>
      <c r="AF5" s="23" t="str">
        <f ca="1">IFERROR(__xludf.DUMMYFUNCTION("""COMPUTED_VALUE"""),"MonthToDateRealizedProfit")</f>
        <v>MonthToDateRealizedProfit</v>
      </c>
      <c r="AG5" s="23" t="str">
        <f ca="1">IFERROR(__xludf.DUMMYFUNCTION("""COMPUTED_VALUE"""),"Multiplier")</f>
        <v>Multiplier</v>
      </c>
      <c r="AH5" s="23" t="str">
        <f ca="1">IFERROR(__xludf.DUMMYFUNCTION("""COMPUTED_VALUE"""),"NotionalValue")</f>
        <v>NotionalValue</v>
      </c>
      <c r="AI5" s="23" t="str">
        <f ca="1">IFERROR(__xludf.DUMMYFUNCTION("""COMPUTED_VALUE"""),"OCC Fee")</f>
        <v>OCC Fee</v>
      </c>
      <c r="AJ5" s="23" t="str">
        <f ca="1">IFERROR(__xludf.DUMMYFUNCTION("""COMPUTED_VALUE"""),"OpenQty")</f>
        <v>OpenQty</v>
      </c>
      <c r="AK5" s="23" t="str">
        <f ca="1">IFERROR(__xludf.DUMMYFUNCTION("""COMPUTED_VALUE"""),"Option Activated")</f>
        <v>Option Activated</v>
      </c>
      <c r="AL5" s="23" t="str">
        <f ca="1">IFERROR(__xludf.DUMMYFUNCTION("""COMPUTED_VALUE"""),"Option Type")</f>
        <v>Option Type</v>
      </c>
      <c r="AM5" s="23" t="str">
        <f ca="1">IFERROR(__xludf.DUMMYFUNCTION("""COMPUTED_VALUE"""),"OptionPremiumAdjustment")</f>
        <v>OptionPremiumAdjustment</v>
      </c>
      <c r="AN5" s="23" t="str">
        <f ca="1">IFERROR(__xludf.DUMMYFUNCTION("""COMPUTED_VALUE"""),"ORF Fee")</f>
        <v>ORF Fee</v>
      </c>
      <c r="AO5" s="23" t="str">
        <f ca="1">IFERROR(__xludf.DUMMYFUNCTION("""COMPUTED_VALUE"""),"Original Side")</f>
        <v>Original Side</v>
      </c>
      <c r="AP5" s="23" t="str">
        <f ca="1">IFERROR(__xludf.DUMMYFUNCTION("""COMPUTED_VALUE"""),"OriginalPurchaseDate")</f>
        <v>OriginalPurchaseDate</v>
      </c>
      <c r="AQ5" s="23" t="str">
        <f ca="1">IFERROR(__xludf.DUMMYFUNCTION("""COMPUTED_VALUE"""),"Other Broker Fees")</f>
        <v>Other Broker Fees</v>
      </c>
      <c r="AR5" s="23" t="str">
        <f ca="1">IFERROR(__xludf.DUMMYFUNCTION("""COMPUTED_VALUE"""),"ParentTradeDate")</f>
        <v>ParentTradeDate</v>
      </c>
      <c r="AS5" s="23" t="str">
        <f ca="1">IFERROR(__xludf.DUMMYFUNCTION("""COMPUTED_VALUE"""),"Pay/Recive")</f>
        <v>Pay/Recive</v>
      </c>
      <c r="AT5" s="23" t="str">
        <f ca="1">IFERROR(__xludf.DUMMYFUNCTION("""COMPUTED_VALUE"""),"PositionType")</f>
        <v>PositionType</v>
      </c>
      <c r="AU5" s="23" t="str">
        <f ca="1">IFERROR(__xludf.DUMMYFUNCTION("""COMPUTED_VALUE"""),"ProcessDate")</f>
        <v>ProcessDate</v>
      </c>
      <c r="AV5" s="23" t="str">
        <f ca="1">IFERROR(__xludf.DUMMYFUNCTION("""COMPUTED_VALUE"""),"QtyCurrency")</f>
        <v>QtyCurrency</v>
      </c>
      <c r="AW5" s="23" t="str">
        <f ca="1">IFERROR(__xludf.DUMMYFUNCTION("""COMPUTED_VALUE"""),"Quantity")</f>
        <v>Quantity</v>
      </c>
      <c r="AX5" s="23" t="str">
        <f ca="1">IFERROR(__xludf.DUMMYFUNCTION("""COMPUTED_VALUE"""),"RecordType")</f>
        <v>RecordType</v>
      </c>
      <c r="AY5" s="23" t="str">
        <f ca="1">IFERROR(__xludf.DUMMYFUNCTION("""COMPUTED_VALUE"""),"SEC Fee")</f>
        <v>SEC Fee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IFERROR(__xludf.DUMMYFUNCTION("""COMPUTED_VALUE"""),"Settlement Date")</f>
        <v>Settlement Date</v>
      </c>
      <c r="BB5" s="23" t="str">
        <f ca="1">IFERROR(__xludf.DUMMYFUNCTION("""COMPUTED_VALUE"""),"Settlement FxRate")</f>
        <v>Settlement FxRate</v>
      </c>
      <c r="BC5" s="23" t="str">
        <f ca="1">IFERROR(__xludf.DUMMYFUNCTION("""COMPUTED_VALUE"""),"Settlement FxRate Operator")</f>
        <v>Settlement FxRate Operator</v>
      </c>
      <c r="BD5" s="23" t="str">
        <f ca="1">IFERROR(__xludf.DUMMYFUNCTION("""COMPUTED_VALUE"""),"Settlement Price")</f>
        <v>Settlement Price</v>
      </c>
      <c r="BE5" s="23" t="str">
        <f ca="1">IFERROR(__xludf.DUMMYFUNCTION("""COMPUTED_VALUE"""),"Side")</f>
        <v>Side</v>
      </c>
      <c r="BF5" s="23" t="str">
        <f ca="1">IFERROR(__xludf.DUMMYFUNCTION("""COMPUTED_VALUE"""),"Soft Commission")</f>
        <v>Soft Commission</v>
      </c>
      <c r="BG5" s="23" t="str">
        <f ca="1">IFERROR(__xludf.DUMMYFUNCTION("""COMPUTED_VALUE"""),"Stamp Duty")</f>
        <v>Stamp Duty</v>
      </c>
      <c r="BH5" s="23" t="str">
        <f ca="1">IFERROR(__xludf.DUMMYFUNCTION("""COMPUTED_VALUE"""),"StartTaxlotID")</f>
        <v>StartTaxlotID</v>
      </c>
      <c r="BI5" s="23" t="str">
        <f ca="1">IFERROR(__xludf.DUMMYFUNCTION("""COMPUTED_VALUE"""),"Status")</f>
        <v>Status</v>
      </c>
      <c r="BJ5" s="23" t="str">
        <f ca="1">IFERROR(__xludf.DUMMYFUNCTION("""COMPUTED_VALUE"""),"Strategy")</f>
        <v>Strategy</v>
      </c>
      <c r="BK5" s="23" t="str">
        <f ca="1">IFERROR(__xludf.DUMMYFUNCTION("""COMPUTED_VALUE"""),"Strike Price")</f>
        <v>Strike Price</v>
      </c>
      <c r="BL5" s="23" t="str">
        <f ca="1">IFERROR(__xludf.DUMMYFUNCTION("""COMPUTED_VALUE"""),"Symbol")</f>
        <v>Symbol</v>
      </c>
      <c r="BM5" s="23" t="str">
        <f ca="1">IFERROR(__xludf.DUMMYFUNCTION("""COMPUTED_VALUE"""),"SymbolAveragePrice")</f>
        <v>SymbolAveragePrice</v>
      </c>
      <c r="BN5" s="23" t="str">
        <f ca="1">IFERROR(__xludf.DUMMYFUNCTION("""COMPUTED_VALUE"""),"Tax On Commissions")</f>
        <v>Tax On Commissions</v>
      </c>
      <c r="BO5" s="23" t="str">
        <f ca="1">IFERROR(__xludf.DUMMYFUNCTION("""COMPUTED_VALUE"""),"TaxLotClosingId")</f>
        <v>TaxLotClosingId</v>
      </c>
      <c r="BP5" s="23" t="str">
        <f ca="1">IFERROR(__xludf.DUMMYFUNCTION("""COMPUTED_VALUE"""),"Trade Date")</f>
        <v>Trade Date</v>
      </c>
      <c r="BQ5" s="23" t="str">
        <f ca="1">IFERROR(__xludf.DUMMYFUNCTION("""COMPUTED_VALUE"""),"Transaction Levy")</f>
        <v>Transaction Levy</v>
      </c>
      <c r="BR5" s="23" t="str">
        <f ca="1">IFERROR(__xludf.DUMMYFUNCTION("""COMPUTED_VALUE"""),"Transaction Type")</f>
        <v>Transaction Type</v>
      </c>
      <c r="BS5" s="23" t="str">
        <f ca="1">IFERROR(__xludf.DUMMYFUNCTION("""COMPUTED_VALUE"""),"TransactionSource")</f>
        <v>TransactionSource</v>
      </c>
      <c r="BT5" s="23" t="str">
        <f ca="1">IFERROR(__xludf.DUMMYFUNCTION("""COMPUTED_VALUE"""),"Underlying Symbol")</f>
        <v>Underlying Symbol</v>
      </c>
      <c r="BU5" s="23" t="str">
        <f ca="1">IFERROR(__xludf.DUMMYFUNCTION("""COMPUTED_VALUE"""),"UnderlyingID")</f>
        <v>UnderlyingID</v>
      </c>
      <c r="BV5" s="23" t="str">
        <f ca="1">IFERROR(__xludf.DUMMYFUNCTION("""COMPUTED_VALUE"""),"Venue")</f>
        <v>Venue</v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/>
      <c r="C6" s="2"/>
      <c r="D6" s="6"/>
      <c r="E6" s="24"/>
      <c r="F6" s="2"/>
      <c r="G6" s="2"/>
      <c r="H6" s="2"/>
      <c r="I6" s="2"/>
      <c r="J6" s="2"/>
      <c r="K6" s="2"/>
      <c r="L6" s="2"/>
      <c r="M6" s="2"/>
      <c r="N6" s="2"/>
      <c r="O6" s="2"/>
      <c r="BL6" s="25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7" t="s">
        <v>11</v>
      </c>
      <c r="C1" s="48"/>
      <c r="D1" s="48"/>
      <c r="E1" s="48"/>
      <c r="F1" s="48"/>
      <c r="G1" s="48"/>
      <c r="H1" s="4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23</v>
      </c>
      <c r="D3" s="4" t="s">
        <v>6</v>
      </c>
      <c r="E3" s="16" t="s">
        <v>25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IFERROR(__xludf.DUMMYFUNCTION("""COMPUTED_VALUE"""),"AccruedInterest")</f>
        <v>AccruedInterest</v>
      </c>
      <c r="D5" s="21" t="str">
        <f ca="1">IFERROR(__xludf.DUMMYFUNCTION("""COMPUTED_VALUE"""),"Analyst")</f>
        <v>Analyst</v>
      </c>
      <c r="E5" s="21" t="str">
        <f ca="1">IFERROR(__xludf.DUMMYFUNCTION("""COMPUTED_VALUE"""),"Asset Class")</f>
        <v>Asset Class</v>
      </c>
      <c r="F5" s="22" t="str">
        <f ca="1">IFERROR(__xludf.DUMMYFUNCTION("""COMPUTED_VALUE"""),"Asset Derivative")</f>
        <v>Asset Derivative</v>
      </c>
      <c r="G5" s="21" t="str">
        <f ca="1">IFERROR(__xludf.DUMMYFUNCTION("""COMPUTED_VALUE"""),"AUECID")</f>
        <v>AUECID</v>
      </c>
      <c r="H5" s="21" t="str">
        <f ca="1">IFERROR(__xludf.DUMMYFUNCTION("""COMPUTED_VALUE"""),"AUECModifiedDate")</f>
        <v>AUECModifiedDate</v>
      </c>
      <c r="I5" s="21" t="str">
        <f ca="1">IFERROR(__xludf.DUMMYFUNCTION("""COMPUTED_VALUE"""),"Average Price")</f>
        <v>Average Price</v>
      </c>
      <c r="J5" s="21" t="str">
        <f ca="1">IFERROR(__xludf.DUMMYFUNCTION("""COMPUTED_VALUE"""),"BloombergSymbol")</f>
        <v>BloombergSymbol</v>
      </c>
      <c r="K5" s="21" t="str">
        <f ca="1">IFERROR(__xludf.DUMMYFUNCTION("""COMPUTED_VALUE"""),"Broker")</f>
        <v>Broker</v>
      </c>
      <c r="L5" s="21" t="str">
        <f ca="1">IFERROR(__xludf.DUMMYFUNCTION("""COMPUTED_VALUE"""),"CalcBasis")</f>
        <v>CalcBasis</v>
      </c>
      <c r="M5" s="21" t="str">
        <f ca="1">IFERROR(__xludf.DUMMYFUNCTION("""COMPUTED_VALUE"""),"CashSettledPrice")</f>
        <v>CashSettledPrice</v>
      </c>
      <c r="N5" s="21" t="str">
        <f ca="1">IFERROR(__xludf.DUMMYFUNCTION("""COMPUTED_VALUE"""),"ChangeComment")</f>
        <v>ChangeComment</v>
      </c>
      <c r="O5" s="21" t="str">
        <f ca="1">IFERROR(__xludf.DUMMYFUNCTION("""COMPUTED_VALUE"""),"ChangeType")</f>
        <v>ChangeType</v>
      </c>
      <c r="P5" s="21" t="str">
        <f ca="1">IFERROR(__xludf.DUMMYFUNCTION("""COMPUTED_VALUE"""),"ClearingBrokerFee")</f>
        <v>ClearingBrokerFee</v>
      </c>
      <c r="Q5" s="21" t="str">
        <f ca="1">IFERROR(__xludf.DUMMYFUNCTION("""COMPUTED_VALUE"""),"ClearingFee")</f>
        <v>ClearingFee</v>
      </c>
      <c r="R5" s="21" t="str">
        <f ca="1">IFERROR(__xludf.DUMMYFUNCTION("""COMPUTED_VALUE"""),"ClosedTotalCommissionandFees")</f>
        <v>ClosedTotalCommissionandFees</v>
      </c>
      <c r="S5" s="21" t="str">
        <f ca="1">IFERROR(__xludf.DUMMYFUNCTION("""COMPUTED_VALUE"""),"ClosingAlgo")</f>
        <v>ClosingAlgo</v>
      </c>
      <c r="T5" s="23" t="str">
        <f ca="1">IFERROR(__xludf.DUMMYFUNCTION("""COMPUTED_VALUE"""),"ClosingDate")</f>
        <v>ClosingDate</v>
      </c>
      <c r="U5" s="23" t="str">
        <f ca="1">IFERROR(__xludf.DUMMYFUNCTION("""COMPUTED_VALUE"""),"ClosingStatus")</f>
        <v>ClosingStatus</v>
      </c>
      <c r="V5" s="23" t="str">
        <f ca="1">IFERROR(__xludf.DUMMYFUNCTION("""COMPUTED_VALUE"""),"Commission")</f>
        <v>Commission</v>
      </c>
      <c r="W5" s="23" t="str">
        <f ca="1">IFERROR(__xludf.DUMMYFUNCTION("""COMPUTED_VALUE"""),"CommissionAmt")</f>
        <v>CommissionAmt</v>
      </c>
      <c r="X5" s="23" t="str">
        <f ca="1">IFERROR(__xludf.DUMMYFUNCTION("""COMPUTED_VALUE"""),"CommissionRate")</f>
        <v>CommissionRate</v>
      </c>
      <c r="Y5" s="23" t="str">
        <f ca="1">IFERROR(__xludf.DUMMYFUNCTION("""COMPUTED_VALUE"""),"CompanyUserName")</f>
        <v>CompanyUserName</v>
      </c>
      <c r="Z5" s="23" t="str">
        <f ca="1">IFERROR(__xludf.DUMMYFUNCTION("""COMPUTED_VALUE"""),"ContractMultiplier")</f>
        <v>ContractMultiplier</v>
      </c>
      <c r="AA5" s="23" t="str">
        <f ca="1">IFERROR(__xludf.DUMMYFUNCTION("""COMPUTED_VALUE"""),"CountryName")</f>
        <v>CountryName</v>
      </c>
      <c r="AB5" s="23" t="str">
        <f ca="1">IFERROR(__xludf.DUMMYFUNCTION("""COMPUTED_VALUE"""),"CountryOfRisk")</f>
        <v>CountryOfRisk</v>
      </c>
      <c r="AC5" s="23" t="str">
        <f ca="1">IFERROR(__xludf.DUMMYFUNCTION("""COMPUTED_VALUE"""),"CumQty")</f>
        <v>CumQty</v>
      </c>
      <c r="AD5" s="23" t="str">
        <f ca="1">IFERROR(__xludf.DUMMYFUNCTION("""COMPUTED_VALUE"""),"CurrencyID")</f>
        <v>CurrencyID</v>
      </c>
      <c r="AE5" s="23" t="str">
        <f ca="1">IFERROR(__xludf.DUMMYFUNCTION("""COMPUTED_VALUE"""),"CurrencyName")</f>
        <v>CurrencyName</v>
      </c>
      <c r="AF5" s="23" t="str">
        <f ca="1">IFERROR(__xludf.DUMMYFUNCTION("""COMPUTED_VALUE"""),"CusipSymbol")</f>
        <v>CusipSymbol</v>
      </c>
      <c r="AG5" s="23" t="str">
        <f ca="1">IFERROR(__xludf.DUMMYFUNCTION("""COMPUTED_VALUE"""),"CustomUDA1")</f>
        <v>CustomUDA1</v>
      </c>
      <c r="AH5" s="23" t="str">
        <f ca="1">IFERROR(__xludf.DUMMYFUNCTION("""COMPUTED_VALUE"""),"CustomUDA2")</f>
        <v>CustomUDA2</v>
      </c>
      <c r="AI5" s="23" t="str">
        <f ca="1">IFERROR(__xludf.DUMMYFUNCTION("""COMPUTED_VALUE"""),"CustomUDA3")</f>
        <v>CustomUDA3</v>
      </c>
      <c r="AJ5" s="23" t="str">
        <f ca="1">IFERROR(__xludf.DUMMYFUNCTION("""COMPUTED_VALUE"""),"CustomUDA4")</f>
        <v>CustomUDA4</v>
      </c>
      <c r="AK5" s="23" t="str">
        <f ca="1">IFERROR(__xludf.DUMMYFUNCTION("""COMPUTED_VALUE"""),"CustomUDA5")</f>
        <v>CustomUDA5</v>
      </c>
      <c r="AL5" s="23" t="str">
        <f ca="1">IFERROR(__xludf.DUMMYFUNCTION("""COMPUTED_VALUE"""),"CustomUDA6")</f>
        <v>CustomUDA6</v>
      </c>
      <c r="AM5" s="23" t="str">
        <f ca="1">IFERROR(__xludf.DUMMYFUNCTION("""COMPUTED_VALUE"""),"CustomUDA7")</f>
        <v>CustomUDA7</v>
      </c>
      <c r="AN5" s="23" t="str">
        <f ca="1">IFERROR(__xludf.DUMMYFUNCTION("""COMPUTED_VALUE"""),"Delta")</f>
        <v>Delta</v>
      </c>
      <c r="AO5" s="23" t="str">
        <f ca="1">IFERROR(__xludf.DUMMYFUNCTION("""COMPUTED_VALUE"""),"Description")</f>
        <v>Description</v>
      </c>
      <c r="AP5" s="23" t="str">
        <f ca="1">IFERROR(__xludf.DUMMYFUNCTION("""COMPUTED_VALUE"""),"ExchangeName")</f>
        <v>ExchangeName</v>
      </c>
      <c r="AQ5" s="23" t="str">
        <f ca="1">IFERROR(__xludf.DUMMYFUNCTION("""COMPUTED_VALUE"""),"ExecutedQty")</f>
        <v>ExecutedQty</v>
      </c>
      <c r="AR5" s="23" t="str">
        <f ca="1">IFERROR(__xludf.DUMMYFUNCTION("""COMPUTED_VALUE"""),"ExpirationDate")</f>
        <v>ExpirationDate</v>
      </c>
      <c r="AS5" s="23" t="str">
        <f ca="1">IFERROR(__xludf.DUMMYFUNCTION("""COMPUTED_VALUE"""),"ExternalTransID")</f>
        <v>ExternalTransID</v>
      </c>
      <c r="AT5" s="23" t="str">
        <f ca="1">IFERROR(__xludf.DUMMYFUNCTION("""COMPUTED_VALUE"""),"FXConversionMethodOperator")</f>
        <v>FXConversionMethodOperator</v>
      </c>
      <c r="AU5" s="23" t="str">
        <f ca="1">IFERROR(__xludf.DUMMYFUNCTION("""COMPUTED_VALUE"""),"FXRate")</f>
        <v>FXRate</v>
      </c>
      <c r="AV5" s="23" t="str">
        <f ca="1">IFERROR(__xludf.DUMMYFUNCTION("""COMPUTED_VALUE"""),"GroupID")</f>
        <v>GroupID</v>
      </c>
      <c r="AW5" s="23" t="str">
        <f ca="1">IFERROR(__xludf.DUMMYFUNCTION("""COMPUTED_VALUE"""),"IDCOSymbol")</f>
        <v>IDCOSymbol</v>
      </c>
      <c r="AX5" s="23" t="str">
        <f ca="1">IFERROR(__xludf.DUMMYFUNCTION("""COMPUTED_VALUE"""),"InternalComments")</f>
        <v>InternalComments</v>
      </c>
      <c r="AY5" s="23" t="str">
        <f ca="1">IFERROR(__xludf.DUMMYFUNCTION("""COMPUTED_VALUE"""),"IsExerciseAtZero")</f>
        <v>IsExerciseAtZero</v>
      </c>
      <c r="AZ5" s="23" t="str">
        <f ca="1">IFERROR(__xludf.DUMMYFUNCTION("""COMPUTED_VALUE"""),"ISINSymbol")</f>
        <v>ISINSymbol</v>
      </c>
      <c r="BA5" s="23" t="str">
        <f ca="1">IFERROR(__xludf.DUMMYFUNCTION("""COMPUTED_VALUE"""),"IsNDF")</f>
        <v>IsNDF</v>
      </c>
      <c r="BB5" s="23" t="str">
        <f ca="1">IFERROR(__xludf.DUMMYFUNCTION("""COMPUTED_VALUE"""),"IsPosition")</f>
        <v>IsPosition</v>
      </c>
      <c r="BC5" s="23" t="str">
        <f ca="1">IFERROR(__xludf.DUMMYFUNCTION("""COMPUTED_VALUE"""),"IsPreAllocated")</f>
        <v>IsPreAllocated</v>
      </c>
      <c r="BD5" s="23" t="str">
        <f ca="1">IFERROR(__xludf.DUMMYFUNCTION("""COMPUTED_VALUE"""),"Issuer")</f>
        <v>Issuer</v>
      </c>
      <c r="BE5" s="23" t="str">
        <f ca="1">IFERROR(__xludf.DUMMYFUNCTION("""COMPUTED_VALUE"""),"IsSwapped")</f>
        <v>IsSwapped</v>
      </c>
      <c r="BF5" s="23" t="str">
        <f ca="1">IFERROR(__xludf.DUMMYFUNCTION("""COMPUTED_VALUE"""),"LeadCurrencyID")</f>
        <v>LeadCurrencyID</v>
      </c>
      <c r="BG5" s="23" t="str">
        <f ca="1">IFERROR(__xludf.DUMMYFUNCTION("""COMPUTED_VALUE"""),"LiquidTag")</f>
        <v>LiquidTag</v>
      </c>
      <c r="BH5" s="23" t="str">
        <f ca="1">IFERROR(__xludf.DUMMYFUNCTION("""COMPUTED_VALUE"""),"LongOrShort")</f>
        <v>LongOrShort</v>
      </c>
      <c r="BI5" s="23" t="str">
        <f ca="1">IFERROR(__xludf.DUMMYFUNCTION("""COMPUTED_VALUE"""),"LotId")</f>
        <v>LotId</v>
      </c>
      <c r="BJ5" s="23" t="str">
        <f ca="1">IFERROR(__xludf.DUMMYFUNCTION("""COMPUTED_VALUE"""),"M2MProfitLoss")</f>
        <v>M2MProfitLoss</v>
      </c>
      <c r="BK5" s="23" t="str">
        <f ca="1">IFERROR(__xludf.DUMMYFUNCTION("""COMPUTED_VALUE"""),"MarkPrice")</f>
        <v>MarkPrice</v>
      </c>
      <c r="BL5" s="23" t="str">
        <f ca="1">IFERROR(__xludf.DUMMYFUNCTION("""COMPUTED_VALUE"""),"MasterFund")</f>
        <v>MasterFund</v>
      </c>
      <c r="BM5" s="23" t="str">
        <f ca="1">IFERROR(__xludf.DUMMYFUNCTION("""COMPUTED_VALUE"""),"MiscFees")</f>
        <v>MiscFees</v>
      </c>
      <c r="BN5" s="23" t="str">
        <f ca="1">IFERROR(__xludf.DUMMYFUNCTION("""COMPUTED_VALUE"""),"NavLockStatus")</f>
        <v>NavLockStatus</v>
      </c>
      <c r="BO5" s="23" t="str">
        <f ca="1">IFERROR(__xludf.DUMMYFUNCTION("""COMPUTED_VALUE"""),"Net Notional")</f>
        <v>Net Notional</v>
      </c>
      <c r="BP5" s="23" t="str">
        <f ca="1">IFERROR(__xludf.DUMMYFUNCTION("""COMPUTED_VALUE"""),"NirvanaProcessDate")</f>
        <v>NirvanaProcessDate</v>
      </c>
      <c r="BQ5" s="23" t="str">
        <f ca="1">IFERROR(__xludf.DUMMYFUNCTION("""COMPUTED_VALUE"""),"OccFee")</f>
        <v>OccFee</v>
      </c>
      <c r="BR5" s="23" t="str">
        <f ca="1">IFERROR(__xludf.DUMMYFUNCTION("""COMPUTED_VALUE"""),"OptionPremiumAdjustment")</f>
        <v>OptionPremiumAdjustment</v>
      </c>
      <c r="BS5" s="23" t="str">
        <f ca="1">IFERROR(__xludf.DUMMYFUNCTION("""COMPUTED_VALUE"""),"OrderSideTagValue")</f>
        <v>OrderSideTagValue</v>
      </c>
      <c r="BT5" s="23" t="str">
        <f ca="1">IFERROR(__xludf.DUMMYFUNCTION("""COMPUTED_VALUE"""),"OrderType")</f>
        <v>OrderType</v>
      </c>
      <c r="BU5" s="23" t="str">
        <f ca="1">IFERROR(__xludf.DUMMYFUNCTION("""COMPUTED_VALUE"""),"OrfFee")</f>
        <v>OrfFee</v>
      </c>
      <c r="BV5" s="23" t="str">
        <f ca="1">IFERROR(__xludf.DUMMYFUNCTION("""COMPUTED_VALUE"""),"Original Side")</f>
        <v>Original Side</v>
      </c>
      <c r="BW5" s="23" t="str">
        <f ca="1">IFERROR(__xludf.DUMMYFUNCTION("""COMPUTED_VALUE"""),"OriginalPurchase Date")</f>
        <v>OriginalPurchase Date</v>
      </c>
      <c r="BX5" s="23" t="str">
        <f ca="1">IFERROR(__xludf.DUMMYFUNCTION("""COMPUTED_VALUE"""),"OSISymbol")</f>
        <v>OSISymbol</v>
      </c>
      <c r="BY5" s="23" t="str">
        <f ca="1">IFERROR(__xludf.DUMMYFUNCTION("""COMPUTED_VALUE"""),"OtherBrokerFees")</f>
        <v>OtherBrokerFees</v>
      </c>
      <c r="BZ5" s="23" t="str">
        <f ca="1">IFERROR(__xludf.DUMMYFUNCTION("""COMPUTED_VALUE"""),"ParentRowPK")</f>
        <v>ParentRowPK</v>
      </c>
      <c r="CA5" s="23" t="str">
        <f ca="1">IFERROR(__xludf.DUMMYFUNCTION("""COMPUTED_VALUE"""),"Percentage")</f>
        <v>Percentage</v>
      </c>
      <c r="CB5" s="23" t="str">
        <f ca="1">IFERROR(__xludf.DUMMYFUNCTION("""COMPUTED_VALUE"""),"PositionTag")</f>
        <v>PositionTag</v>
      </c>
      <c r="CC5" s="23" t="str">
        <f ca="1">IFERROR(__xludf.DUMMYFUNCTION("""COMPUTED_VALUE"""),"PositionType")</f>
        <v>PositionType</v>
      </c>
      <c r="CD5" s="23" t="str">
        <f ca="1">IFERROR(__xludf.DUMMYFUNCTION("""COMPUTED_VALUE"""),"Process Date")</f>
        <v>Process Date</v>
      </c>
      <c r="CE5" s="23" t="str">
        <f ca="1">IFERROR(__xludf.DUMMYFUNCTION("""COMPUTED_VALUE"""),"ProxySymbol")</f>
        <v>ProxySymbol</v>
      </c>
      <c r="CF5" s="23" t="str">
        <f ca="1">IFERROR(__xludf.DUMMYFUNCTION("""COMPUTED_VALUE"""),"PutOrCall")</f>
        <v>PutOrCall</v>
      </c>
      <c r="CG5" s="23" t="str">
        <f ca="1">IFERROR(__xludf.DUMMYFUNCTION("""COMPUTED_VALUE"""),"Quantity")</f>
        <v>Quantity</v>
      </c>
      <c r="CH5" s="23" t="str">
        <f ca="1">IFERROR(__xludf.DUMMYFUNCTION("""COMPUTED_VALUE"""),"Region")</f>
        <v>Region</v>
      </c>
      <c r="CI5" s="23" t="str">
        <f ca="1">IFERROR(__xludf.DUMMYFUNCTION("""COMPUTED_VALUE"""),"ReutersSymbol")</f>
        <v>ReutersSymbol</v>
      </c>
      <c r="CJ5" s="23" t="str">
        <f ca="1">IFERROR(__xludf.DUMMYFUNCTION("""COMPUTED_VALUE"""),"RiskCurrency")</f>
        <v>RiskCurrency</v>
      </c>
      <c r="CK5" s="23" t="str">
        <f ca="1">IFERROR(__xludf.DUMMYFUNCTION("""COMPUTED_VALUE"""),"SecFee")</f>
        <v>SecFee</v>
      </c>
      <c r="CL5" s="23" t="str">
        <f ca="1">IFERROR(__xludf.DUMMYFUNCTION("""COMPUTED_VALUE"""),"SectorName")</f>
        <v>SectorName</v>
      </c>
      <c r="CM5" s="23" t="str">
        <f ca="1">IFERROR(__xludf.DUMMYFUNCTION("""COMPUTED_VALUE"""),"Security Name")</f>
        <v>Security Name</v>
      </c>
      <c r="CN5" s="23" t="str">
        <f ca="1">IFERROR(__xludf.DUMMYFUNCTION("""COMPUTED_VALUE"""),"SecurityTypeName")</f>
        <v>SecurityTypeName</v>
      </c>
      <c r="CO5" s="23" t="str">
        <f ca="1">IFERROR(__xludf.DUMMYFUNCTION("""COMPUTED_VALUE"""),"SedolSymbol")</f>
        <v>SedolSymbol</v>
      </c>
      <c r="CP5" s="23" t="str">
        <f ca="1">IFERROR(__xludf.DUMMYFUNCTION("""COMPUTED_VALUE"""),"SettlCurrAmt")</f>
        <v>SettlCurrAmt</v>
      </c>
      <c r="CQ5" s="23" t="str">
        <f ca="1">IFERROR(__xludf.DUMMYFUNCTION("""COMPUTED_VALUE"""),"SettlCurrFxRate")</f>
        <v>SettlCurrFxRate</v>
      </c>
      <c r="CR5" s="23" t="str">
        <f ca="1">IFERROR(__xludf.DUMMYFUNCTION("""COMPUTED_VALUE"""),"SettlCurrFxRateCalc")</f>
        <v>SettlCurrFxRateCalc</v>
      </c>
      <c r="CS5" s="23" t="str">
        <f ca="1">IFERROR(__xludf.DUMMYFUNCTION("""COMPUTED_VALUE"""),"SettlCurrUnitCost")</f>
        <v>SettlCurrUnitCost</v>
      </c>
      <c r="CT5" s="23" t="str">
        <f ca="1">IFERROR(__xludf.DUMMYFUNCTION("""COMPUTED_VALUE"""),"Settlement Mode")</f>
        <v>Settlement Mode</v>
      </c>
      <c r="CU5" s="23" t="str">
        <f ca="1">IFERROR(__xludf.DUMMYFUNCTION("""COMPUTED_VALUE"""),"Settlement Qty")</f>
        <v>Settlement Qty</v>
      </c>
      <c r="CV5" s="23" t="str">
        <f ca="1">IFERROR(__xludf.DUMMYFUNCTION("""COMPUTED_VALUE"""),"SettlementCurrencyID")</f>
        <v>SettlementCurrencyID</v>
      </c>
      <c r="CW5" s="23" t="str">
        <f ca="1">IFERROR(__xludf.DUMMYFUNCTION("""COMPUTED_VALUE"""),"SettlementDate")</f>
        <v>SettlementDate</v>
      </c>
      <c r="CX5" s="23" t="str">
        <f ca="1">IFERROR(__xludf.DUMMYFUNCTION("""COMPUTED_VALUE"""),"SideMultiplier")</f>
        <v>SideMultiplier</v>
      </c>
      <c r="CY5" s="23" t="str">
        <f ca="1">IFERROR(__xludf.DUMMYFUNCTION("""COMPUTED_VALUE"""),"SoftCommission")</f>
        <v>SoftCommission</v>
      </c>
      <c r="CZ5" s="23" t="str">
        <f ca="1">IFERROR(__xludf.DUMMYFUNCTION("""COMPUTED_VALUE"""),"SoftCommissionAmt")</f>
        <v>SoftCommissionAmt</v>
      </c>
      <c r="DA5" s="23" t="str">
        <f ca="1">IFERROR(__xludf.DUMMYFUNCTION("""COMPUTED_VALUE"""),"SoftCommissionCalcBasis")</f>
        <v>SoftCommissionCalcBasis</v>
      </c>
      <c r="DB5" s="23" t="str">
        <f ca="1">IFERROR(__xludf.DUMMYFUNCTION("""COMPUTED_VALUE"""),"SoftCommissionRate")</f>
        <v>SoftCommissionRate</v>
      </c>
      <c r="DC5" s="23" t="str">
        <f ca="1">IFERROR(__xludf.DUMMYFUNCTION("""COMPUTED_VALUE"""),"StampDuty")</f>
        <v>StampDuty</v>
      </c>
      <c r="DD5" s="23" t="str">
        <f ca="1">IFERROR(__xludf.DUMMYFUNCTION("""COMPUTED_VALUE"""),"Strategy")</f>
        <v>Strategy</v>
      </c>
      <c r="DE5" s="23" t="str">
        <f ca="1">IFERROR(__xludf.DUMMYFUNCTION("""COMPUTED_VALUE"""),"StrikePrice")</f>
        <v>StrikePrice</v>
      </c>
      <c r="DF5" s="23" t="str">
        <f ca="1">IFERROR(__xludf.DUMMYFUNCTION("""COMPUTED_VALUE"""),"SubSectorName")</f>
        <v>SubSectorName</v>
      </c>
      <c r="DG5" s="23" t="str">
        <f ca="1">IFERROR(__xludf.DUMMYFUNCTION("""COMPUTED_VALUE"""),"SwapParameters")</f>
        <v>SwapParameters</v>
      </c>
      <c r="DH5" s="23" t="str">
        <f ca="1">IFERROR(__xludf.DUMMYFUNCTION("""COMPUTED_VALUE"""),"Symbol")</f>
        <v>Symbol</v>
      </c>
      <c r="DI5" s="23" t="str">
        <f ca="1">IFERROR(__xludf.DUMMYFUNCTION("""COMPUTED_VALUE"""),"TaxlotClosingId")</f>
        <v>TaxlotClosingId</v>
      </c>
      <c r="DJ5" s="23" t="str">
        <f ca="1">IFERROR(__xludf.DUMMYFUNCTION("""COMPUTED_VALUE"""),"TaxLotID")</f>
        <v>TaxLotID</v>
      </c>
      <c r="DK5" s="23" t="str">
        <f ca="1">IFERROR(__xludf.DUMMYFUNCTION("""COMPUTED_VALUE"""),"TaxlotPk")</f>
        <v>TaxlotPk</v>
      </c>
      <c r="DL5" s="23" t="str">
        <f ca="1">IFERROR(__xludf.DUMMYFUNCTION("""COMPUTED_VALUE"""),"TaxLotQtyToClose")</f>
        <v>TaxLotQtyToClose</v>
      </c>
      <c r="DM5" s="23" t="str">
        <f ca="1">IFERROR(__xludf.DUMMYFUNCTION("""COMPUTED_VALUE"""),"TaxonCommissions")</f>
        <v>TaxonCommissions</v>
      </c>
      <c r="DN5" s="23" t="str">
        <f ca="1">IFERROR(__xludf.DUMMYFUNCTION("""COMPUTED_VALUE"""),"TimeOfSaveUTC")</f>
        <v>TimeOfSaveUTC</v>
      </c>
      <c r="DO5" s="23" t="str">
        <f ca="1">IFERROR(__xludf.DUMMYFUNCTION("""COMPUTED_VALUE"""),"TotalCommission&amp;Fees")</f>
        <v>TotalCommission&amp;Fees</v>
      </c>
      <c r="DP5" s="23" t="str">
        <f ca="1">IFERROR(__xludf.DUMMYFUNCTION("""COMPUTED_VALUE"""),"TotalCommissionandFees")</f>
        <v>TotalCommissionandFees</v>
      </c>
      <c r="DQ5" s="23" t="str">
        <f ca="1">IFERROR(__xludf.DUMMYFUNCTION("""COMPUTED_VALUE"""),"Tradedate")</f>
        <v>Tradedate</v>
      </c>
      <c r="DR5" s="23" t="str">
        <f ca="1">IFERROR(__xludf.DUMMYFUNCTION("""COMPUTED_VALUE"""),"TradeAttribute1")</f>
        <v>TradeAttribute1</v>
      </c>
      <c r="DS5" s="23" t="str">
        <f ca="1">IFERROR(__xludf.DUMMYFUNCTION("""COMPUTED_VALUE"""),"TradeAttribute2")</f>
        <v>TradeAttribute2</v>
      </c>
      <c r="DT5" s="23" t="str">
        <f ca="1">IFERROR(__xludf.DUMMYFUNCTION("""COMPUTED_VALUE"""),"TradeAttribute3")</f>
        <v>TradeAttribute3</v>
      </c>
      <c r="DU5" s="23" t="str">
        <f ca="1">IFERROR(__xludf.DUMMYFUNCTION("""COMPUTED_VALUE"""),"TradeAttribute4")</f>
        <v>TradeAttribute4</v>
      </c>
      <c r="DV5" s="23" t="str">
        <f ca="1">IFERROR(__xludf.DUMMYFUNCTION("""COMPUTED_VALUE"""),"TradeAttribute5")</f>
        <v>TradeAttribute5</v>
      </c>
      <c r="DW5" s="23" t="str">
        <f ca="1">IFERROR(__xludf.DUMMYFUNCTION("""COMPUTED_VALUE"""),"TradeAttribute6")</f>
        <v>TradeAttribute6</v>
      </c>
      <c r="DX5" s="23" t="str">
        <f ca="1">IFERROR(__xludf.DUMMYFUNCTION("""COMPUTED_VALUE"""),"TradingAccountName")</f>
        <v>TradingAccountName</v>
      </c>
      <c r="DY5" s="23" t="str">
        <f ca="1">IFERROR(__xludf.DUMMYFUNCTION("""COMPUTED_VALUE"""),"TransactionLevy")</f>
        <v>TransactionLevy</v>
      </c>
      <c r="DZ5" s="23" t="str">
        <f ca="1">IFERROR(__xludf.DUMMYFUNCTION("""COMPUTED_VALUE"""),"TransactionType")</f>
        <v>TransactionType</v>
      </c>
      <c r="EA5" s="23" t="str">
        <f ca="1">IFERROR(__xludf.DUMMYFUNCTION("""COMPUTED_VALUE"""),"UcitsEligibleTag")</f>
        <v>UcitsEligibleTag</v>
      </c>
      <c r="EB5" s="23" t="str">
        <f ca="1">IFERROR(__xludf.DUMMYFUNCTION("""COMPUTED_VALUE"""),"UDAAsset")</f>
        <v>UDAAsset</v>
      </c>
      <c r="EC5" s="23" t="str">
        <f ca="1">IFERROR(__xludf.DUMMYFUNCTION("""COMPUTED_VALUE"""),"UnderlyingDelta")</f>
        <v>UnderlyingDelta</v>
      </c>
      <c r="ED5" s="23" t="str">
        <f ca="1">IFERROR(__xludf.DUMMYFUNCTION("""COMPUTED_VALUE"""),"UnderlyingName")</f>
        <v>UnderlyingName</v>
      </c>
      <c r="EE5" s="23" t="str">
        <f ca="1">IFERROR(__xludf.DUMMYFUNCTION("""COMPUTED_VALUE"""),"UnderlyingSymbol")</f>
        <v>UnderlyingSymbol</v>
      </c>
      <c r="EF5" s="23" t="str">
        <f ca="1">IFERROR(__xludf.DUMMYFUNCTION("""COMPUTED_VALUE"""),"UnitCost")</f>
        <v>UnitCost</v>
      </c>
      <c r="EG5" s="23" t="str">
        <f ca="1">IFERROR(__xludf.DUMMYFUNCTION("""COMPUTED_VALUE"""),"UnRealizedPNL")</f>
        <v>UnRealizedPNL</v>
      </c>
      <c r="EH5" s="23" t="str">
        <f ca="1">IFERROR(__xludf.DUMMYFUNCTION("""COMPUTED_VALUE"""),"Venue")</f>
        <v>Venue</v>
      </c>
      <c r="EI5" s="23" t="str">
        <f ca="1">IFERROR(__xludf.DUMMYFUNCTION("""COMPUTED_VALUE"""),"VsCurrencyID")</f>
        <v>VsCurrencyID</v>
      </c>
      <c r="EJ5" s="23" t="str">
        <f ca="1">IFERROR(__xludf.DUMMYFUNCTION("""COMPUTED_VALUE"""),"WorkflowState")</f>
        <v>WorkflowState</v>
      </c>
      <c r="EK5" s="23" t="str">
        <f ca="1">IFERROR(__xludf.DUMMYFUNCTION("""COMPUTED_VALUE"""),"AvgPriceBase")</f>
        <v>AvgPriceBase</v>
      </c>
      <c r="EL5" s="23" t="str">
        <f ca="1">IFERROR(__xludf.DUMMYFUNCTION("""COMPUTED_VALUE"""),"MarketCap")</f>
        <v>MarketCap</v>
      </c>
      <c r="EM5" s="23" t="str">
        <f ca="1">IFERROR(__xludf.DUMMYFUNCTION("""COMPUTED_VALUE"""),"UnitCostBase")</f>
        <v>UnitCostBase</v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8"/>
      <c r="B6" s="29" t="s">
        <v>20</v>
      </c>
      <c r="C6" s="30"/>
      <c r="D6" s="31"/>
      <c r="E6" s="32" t="s">
        <v>26</v>
      </c>
      <c r="F6" s="30"/>
      <c r="G6" s="30"/>
      <c r="H6" s="30"/>
      <c r="I6" s="33">
        <v>10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2" t="s">
        <v>21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T1" workbookViewId="0">
      <selection activeCell="X19" sqref="X1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7" t="s">
        <v>11</v>
      </c>
      <c r="C1" s="48"/>
      <c r="D1" s="48"/>
      <c r="E1" s="48"/>
      <c r="F1" s="48"/>
      <c r="G1" s="48"/>
      <c r="H1" s="4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23</v>
      </c>
      <c r="D3" s="4" t="s">
        <v>6</v>
      </c>
      <c r="E3" s="16" t="s">
        <v>27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IFERROR(__xludf.DUMMYFUNCTION("""COMPUTED_VALUE"""),"checkBox")</f>
        <v>checkBox</v>
      </c>
      <c r="E5" s="21" t="str">
        <f ca="1">IFERROR(__xludf.DUMMYFUNCTION("""COMPUTED_VALUE"""),"Close Date")</f>
        <v>Close Date</v>
      </c>
      <c r="F5" s="22" t="str">
        <f ca="1">IFERROR(__xludf.DUMMYFUNCTION("""COMPUTED_VALUE"""),"ClosedAveragePrice")</f>
        <v>ClosedAveragePrice</v>
      </c>
      <c r="G5" s="21" t="str">
        <f ca="1">IFERROR(__xludf.DUMMYFUNCTION("""COMPUTED_VALUE"""),"ClosedQty")</f>
        <v>ClosedQty</v>
      </c>
      <c r="H5" s="21" t="str">
        <f ca="1">IFERROR(__xludf.DUMMYFUNCTION("""COMPUTED_VALUE"""),"Closing Method")</f>
        <v>Closing Method</v>
      </c>
      <c r="I5" s="21" t="str">
        <f ca="1">IFERROR(__xludf.DUMMYFUNCTION("""COMPUTED_VALUE"""),"ClosingID")</f>
        <v>ClosingID</v>
      </c>
      <c r="J5" s="21" t="str">
        <f ca="1">IFERROR(__xludf.DUMMYFUNCTION("""COMPUTED_VALUE"""),"ClosingMode")</f>
        <v>ClosingMode</v>
      </c>
      <c r="K5" s="21" t="str">
        <f ca="1">IFERROR(__xludf.DUMMYFUNCTION("""COMPUTED_VALUE"""),"ClosingPositionTag")</f>
        <v>ClosingPositionTag</v>
      </c>
      <c r="L5" s="21" t="str">
        <f ca="1">IFERROR(__xludf.DUMMYFUNCTION("""COMPUTED_VALUE"""),"ClosingSide")</f>
        <v>ClosingSide</v>
      </c>
      <c r="M5" s="21" t="str">
        <f ca="1">IFERROR(__xludf.DUMMYFUNCTION("""COMPUTED_VALUE"""),"ClosingTotalCommissionandFees")</f>
        <v>ClosingTotalCommissionandFees</v>
      </c>
      <c r="N5" s="21" t="str">
        <f ca="1">IFERROR(__xludf.DUMMYFUNCTION("""COMPUTED_VALUE"""),"Column1")</f>
        <v>Column1</v>
      </c>
      <c r="O5" s="21" t="str">
        <f ca="1">IFERROR(__xludf.DUMMYFUNCTION("""COMPUTED_VALUE"""),"CostBasisGrossPNL")</f>
        <v>CostBasisGrossPNL</v>
      </c>
      <c r="P5" s="21" t="str">
        <f ca="1">IFERROR(__xludf.DUMMYFUNCTION("""COMPUTED_VALUE"""),"Currency")</f>
        <v>Currency</v>
      </c>
      <c r="Q5" s="21" t="str">
        <f ca="1">IFERROR(__xludf.DUMMYFUNCTION("""COMPUTED_VALUE"""),"CurrencyID")</f>
        <v>CurrencyID</v>
      </c>
      <c r="R5" s="21" t="str">
        <f ca="1">IFERROR(__xludf.DUMMYFUNCTION("""COMPUTED_VALUE"""),"Exchange")</f>
        <v>Exchange</v>
      </c>
      <c r="S5" s="21" t="str">
        <f ca="1">IFERROR(__xludf.DUMMYFUNCTION("""COMPUTED_VALUE"""),"NotionalChange")</f>
        <v>NotionalChange</v>
      </c>
      <c r="T5" s="23" t="str">
        <f ca="1">IFERROR(__xludf.DUMMYFUNCTION("""COMPUTED_VALUE"""),"OpenAveragePrice")</f>
        <v>OpenAveragePrice</v>
      </c>
      <c r="U5" s="23" t="str">
        <f ca="1">IFERROR(__xludf.DUMMYFUNCTION("""COMPUTED_VALUE"""),"Original Purchase Date")</f>
        <v>Original Purchase Date</v>
      </c>
      <c r="V5" s="23" t="str">
        <f ca="1">IFERROR(__xludf.DUMMYFUNCTION("""COMPUTED_VALUE"""),"Position Type")</f>
        <v>Position Type</v>
      </c>
      <c r="W5" s="23" t="str">
        <f ca="1">IFERROR(__xludf.DUMMYFUNCTION("""COMPUTED_VALUE"""),"PositionSide")</f>
        <v>PositionSide</v>
      </c>
      <c r="X5" s="23" t="str">
        <f ca="1">IFERROR(__xludf.DUMMYFUNCTION("""COMPUTED_VALUE"""),"PositionTotalCommissionandFees")</f>
        <v>PositionTotalCommissionandFees</v>
      </c>
      <c r="Y5" s="23" t="str">
        <f ca="1">IFERROR(__xludf.DUMMYFUNCTION("""COMPUTED_VALUE"""),"Realized PNL(C.B.)")</f>
        <v>Realized PNL(C.B.)</v>
      </c>
      <c r="Z5" s="23" t="str">
        <f ca="1">IFERROR(__xludf.DUMMYFUNCTION("""COMPUTED_VALUE"""),"Side")</f>
        <v>Side</v>
      </c>
      <c r="AA5" s="23" t="str">
        <f ca="1">IFERROR(__xludf.DUMMYFUNCTION("""COMPUTED_VALUE"""),"Strategy")</f>
        <v>Strategy</v>
      </c>
      <c r="AB5" s="23" t="str">
        <f ca="1">IFERROR(__xludf.DUMMYFUNCTION("""COMPUTED_VALUE"""),"Symbol")</f>
        <v>Symbol</v>
      </c>
      <c r="AC5" s="23" t="str">
        <f ca="1">IFERROR(__xludf.DUMMYFUNCTION("""COMPUTED_VALUE"""),"Taxlot ID")</f>
        <v>Taxlot ID</v>
      </c>
      <c r="AD5" s="23" t="str">
        <f ca="1">IFERROR(__xludf.DUMMYFUNCTION("""COMPUTED_VALUE"""),"UnderlyingName")</f>
        <v>UnderlyingName</v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8"/>
      <c r="B6" s="29" t="s">
        <v>20</v>
      </c>
      <c r="C6" s="32" t="s">
        <v>26</v>
      </c>
      <c r="D6" s="31"/>
      <c r="E6" s="30"/>
      <c r="F6" s="30"/>
      <c r="G6" s="30">
        <v>1000</v>
      </c>
      <c r="H6" s="30"/>
      <c r="I6" s="30"/>
      <c r="J6" s="51" t="s">
        <v>40</v>
      </c>
      <c r="K6" s="51" t="s">
        <v>42</v>
      </c>
      <c r="L6" s="30"/>
      <c r="M6" s="30">
        <v>1000000</v>
      </c>
      <c r="N6" s="30"/>
      <c r="O6" s="30">
        <v>1000000</v>
      </c>
      <c r="P6" s="51" t="s">
        <v>43</v>
      </c>
      <c r="Q6" s="30"/>
      <c r="R6" s="51" t="s">
        <v>44</v>
      </c>
      <c r="S6" s="30"/>
      <c r="T6" s="34">
        <v>10</v>
      </c>
      <c r="U6" s="34"/>
      <c r="V6" s="35" t="s">
        <v>28</v>
      </c>
      <c r="W6" s="25" t="s">
        <v>28</v>
      </c>
      <c r="X6" s="34"/>
      <c r="Y6" s="34"/>
      <c r="Z6" s="35" t="s">
        <v>22</v>
      </c>
      <c r="AA6" s="25" t="s">
        <v>45</v>
      </c>
      <c r="AB6" s="36" t="s">
        <v>29</v>
      </c>
      <c r="AC6" s="34"/>
      <c r="AD6" s="25" t="s">
        <v>46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7" t="s">
        <v>11</v>
      </c>
      <c r="C1" s="48"/>
      <c r="D1" s="48"/>
      <c r="E1" s="48"/>
      <c r="F1" s="48"/>
      <c r="G1" s="48"/>
      <c r="H1" s="4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12</v>
      </c>
      <c r="D3" s="4" t="s">
        <v>6</v>
      </c>
      <c r="E3" s="16" t="s">
        <v>30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s">
        <v>31</v>
      </c>
      <c r="C6" s="2"/>
      <c r="D6" s="6"/>
      <c r="E6" s="24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7" t="s">
        <v>11</v>
      </c>
      <c r="C1" s="48"/>
      <c r="D1" s="48"/>
      <c r="E1" s="48"/>
      <c r="F1" s="48"/>
      <c r="G1" s="48"/>
      <c r="H1" s="4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12</v>
      </c>
      <c r="D3" s="4" t="s">
        <v>6</v>
      </c>
      <c r="E3" s="16" t="s">
        <v>32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8"/>
      <c r="B6" s="29" t="s">
        <v>20</v>
      </c>
      <c r="C6" s="30"/>
      <c r="D6" s="31"/>
      <c r="E6" s="37">
        <v>999</v>
      </c>
      <c r="F6" s="30"/>
      <c r="G6" s="30"/>
      <c r="H6" s="30"/>
      <c r="I6" s="38"/>
      <c r="J6" s="30"/>
      <c r="K6" s="30"/>
      <c r="L6" s="30"/>
      <c r="M6" s="30"/>
      <c r="N6" s="30"/>
      <c r="O6" s="30"/>
      <c r="P6" s="30"/>
      <c r="Q6" s="30"/>
      <c r="R6" s="30"/>
      <c r="S6" s="39" t="s">
        <v>33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0">
        <v>999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40">
        <v>999</v>
      </c>
      <c r="BK6" s="34"/>
      <c r="BL6" s="34"/>
      <c r="BM6" s="34"/>
      <c r="BN6" s="34"/>
      <c r="BO6" s="35" t="s">
        <v>19</v>
      </c>
      <c r="BP6" s="34"/>
      <c r="BQ6" s="34"/>
      <c r="BR6" s="34"/>
      <c r="BS6" s="34"/>
      <c r="BT6" s="41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spans="1:154" ht="15.75" customHeight="1" x14ac:dyDescent="0.2">
      <c r="A7" s="34"/>
      <c r="B7" s="42" t="s">
        <v>20</v>
      </c>
      <c r="C7" s="34"/>
      <c r="D7" s="34"/>
      <c r="E7" s="43">
        <v>1000</v>
      </c>
      <c r="F7" s="34"/>
      <c r="G7" s="34"/>
      <c r="H7" s="34"/>
      <c r="I7" s="44"/>
      <c r="J7" s="34"/>
      <c r="K7" s="34"/>
      <c r="L7" s="34"/>
      <c r="M7" s="34"/>
      <c r="N7" s="34"/>
      <c r="O7" s="34"/>
      <c r="P7" s="34"/>
      <c r="Q7" s="34"/>
      <c r="R7" s="34"/>
      <c r="S7" s="35" t="s">
        <v>34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40">
        <v>1000</v>
      </c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40">
        <v>1000</v>
      </c>
      <c r="BK7" s="34"/>
      <c r="BL7" s="34"/>
      <c r="BM7" s="34"/>
      <c r="BN7" s="34"/>
      <c r="BO7" s="35" t="s">
        <v>22</v>
      </c>
      <c r="BP7" s="34"/>
      <c r="BQ7" s="34"/>
      <c r="BR7" s="34"/>
      <c r="BS7" s="34"/>
      <c r="BT7" s="42" t="s">
        <v>21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spans="1:154" ht="15.75" customHeight="1" x14ac:dyDescent="0.2">
      <c r="A8" s="2"/>
      <c r="B8" s="42" t="s">
        <v>20</v>
      </c>
      <c r="C8" s="34"/>
      <c r="D8" s="34"/>
      <c r="E8" s="43">
        <v>1000</v>
      </c>
      <c r="F8" s="34"/>
      <c r="G8" s="34"/>
      <c r="H8" s="34"/>
      <c r="I8" s="44"/>
      <c r="J8" s="34"/>
      <c r="K8" s="34"/>
      <c r="L8" s="34"/>
      <c r="M8" s="34"/>
      <c r="N8" s="34"/>
      <c r="O8" s="34"/>
      <c r="P8" s="34"/>
      <c r="Q8" s="34"/>
      <c r="R8" s="34"/>
      <c r="S8" s="35" t="s">
        <v>34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40">
        <v>1000</v>
      </c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40">
        <v>1000</v>
      </c>
      <c r="BK8" s="34"/>
      <c r="BL8" s="34"/>
      <c r="BM8" s="34"/>
      <c r="BN8" s="34"/>
      <c r="BO8" s="35" t="s">
        <v>35</v>
      </c>
      <c r="BP8" s="34"/>
      <c r="BQ8" s="34"/>
      <c r="BR8" s="34"/>
      <c r="BS8" s="34"/>
      <c r="BT8" s="42" t="s">
        <v>21</v>
      </c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7" t="s">
        <v>11</v>
      </c>
      <c r="C1" s="48"/>
      <c r="D1" s="48"/>
      <c r="E1" s="48"/>
      <c r="F1" s="48"/>
      <c r="G1" s="48"/>
      <c r="H1" s="4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1c7aP-E18Fb8lEVGiXac03BLoNVdUNRzodD2Xjn-9pzU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12</v>
      </c>
      <c r="D3" s="4" t="s">
        <v>6</v>
      </c>
      <c r="E3" s="16" t="s">
        <v>36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IFERROR(__xludf.DUMMYFUNCTION("""COMPUTED_VALUE"""),"Accrual Basis")</f>
        <v>Accrual Basis</v>
      </c>
      <c r="C5" s="21" t="str">
        <f ca="1">IFERROR(__xludf.DUMMYFUNCTION("""COMPUTED_VALUE"""),"Accrued Interest")</f>
        <v>Accrued Interest</v>
      </c>
      <c r="D5" s="21" t="str">
        <f ca="1">IFERROR(__xludf.DUMMYFUNCTION("""COMPUTED_VALUE"""),"Allocated Qty")</f>
        <v>Allocated Qty</v>
      </c>
      <c r="E5" s="21" t="str">
        <f ca="1">IFERROR(__xludf.DUMMYFUNCTION("""COMPUTED_VALUE"""),"Allocation Scheme Name")</f>
        <v>Allocation Scheme Name</v>
      </c>
      <c r="F5" s="22" t="str">
        <f ca="1">IFERROR(__xludf.DUMMYFUNCTION("""COMPUTED_VALUE"""),"Asset Category")</f>
        <v>Asset Category</v>
      </c>
      <c r="G5" s="21" t="str">
        <f ca="1">IFERROR(__xludf.DUMMYFUNCTION("""COMPUTED_VALUE"""),"AUEC Fee1")</f>
        <v>AUEC Fee1</v>
      </c>
      <c r="H5" s="21" t="str">
        <f ca="1">IFERROR(__xludf.DUMMYFUNCTION("""COMPUTED_VALUE"""),"AUEC Fee2")</f>
        <v>AUEC Fee2</v>
      </c>
      <c r="I5" s="21" t="str">
        <f ca="1">IFERROR(__xludf.DUMMYFUNCTION("""COMPUTED_VALUE"""),"AUECID")</f>
        <v>AUECID</v>
      </c>
      <c r="J5" s="21" t="str">
        <f ca="1">IFERROR(__xludf.DUMMYFUNCTION("""COMPUTED_VALUE"""),"Avg Price(Base)")</f>
        <v>Avg Price(Base)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IFERROR(__xludf.DUMMYFUNCTION("""COMPUTED_VALUE"""),"Bloomberg")</f>
        <v>Bloomberg</v>
      </c>
      <c r="M5" s="21" t="str">
        <f ca="1">IFERROR(__xludf.DUMMYFUNCTION("""COMPUTED_VALUE"""),"Bond Type")</f>
        <v>Bond Type</v>
      </c>
      <c r="N5" s="21" t="str">
        <f ca="1">IFERROR(__xludf.DUMMYFUNCTION("""COMPUTED_VALUE"""),"Broker")</f>
        <v>Broker</v>
      </c>
      <c r="O5" s="21" t="str">
        <f ca="1">IFERROR(__xludf.DUMMYFUNCTION("""COMPUTED_VALUE"""),"Change Comment")</f>
        <v>Change Comment</v>
      </c>
      <c r="P5" s="21" t="str">
        <f ca="1">IFERROR(__xludf.DUMMYFUNCTION("""COMPUTED_VALUE"""),"Change Type")</f>
        <v>Change Type</v>
      </c>
      <c r="Q5" s="21" t="str">
        <f ca="1">IFERROR(__xludf.DUMMYFUNCTION("""COMPUTED_VALUE"""),"Clearing Broker Fee")</f>
        <v>Clearing Broker Fee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IFERROR(__xludf.DUMMYFUNCTION("""COMPUTED_VALUE"""),"Execution Time")</f>
        <v>Execution Time</v>
      </c>
      <c r="AG5" s="23" t="str">
        <f ca="1">IFERROR(__xludf.DUMMYFUNCTION("""COMPUTED_VALUE"""),"FX Conversion Operator")</f>
        <v>FX Conversion Operator</v>
      </c>
      <c r="AH5" s="23" t="str">
        <f ca="1">IFERROR(__xludf.DUMMYFUNCTION("""COMPUTED_VALUE"""),"FX Rate")</f>
        <v>FX Rate</v>
      </c>
      <c r="AI5" s="23" t="str">
        <f ca="1">IFERROR(__xludf.DUMMYFUNCTION("""COMPUTED_VALUE"""),"Group Status")</f>
        <v>Group Status</v>
      </c>
      <c r="AJ5" s="23" t="str">
        <f ca="1">IFERROR(__xludf.DUMMYFUNCTION("""COMPUTED_VALUE"""),"GroupID")</f>
        <v>GroupID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 Group")</f>
        <v>IsManual 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IFERROR(__xludf.DUMMYFUNCTION("""COMPUTED_VALUE"""),"Symbol")</f>
        <v>Symbol</v>
      </c>
      <c r="BT5" s="23" t="str">
        <f ca="1">IFERROR(__xludf.DUMMYFUNCTION("""COMPUTED_VALUE"""),"Tax On Commissions")</f>
        <v>Tax On Commissions</v>
      </c>
      <c r="BU5" s="23" t="str">
        <f ca="1">IFERROR(__xludf.DUMMYFUNCTION("""COMPUTED_VALUE"""),"Total Commission")</f>
        <v>Total Commission</v>
      </c>
      <c r="BV5" s="23" t="str">
        <f ca="1">IFERROR(__xludf.DUMMYFUNCTION("""COMPUTED_VALUE"""),"Total Commission And Fee")</f>
        <v>Total Commission And Fee</v>
      </c>
      <c r="BW5" s="23" t="str">
        <f ca="1">IFERROR(__xludf.DUMMYFUNCTION("""COMPUTED_VALUE"""),"Total Commission Per Share")</f>
        <v>Total Commission Per Share</v>
      </c>
      <c r="BX5" s="23" t="str">
        <f ca="1">IFERROR(__xludf.DUMMYFUNCTION("""COMPUTED_VALUE"""),"Trade Attribute 1")</f>
        <v>Trade Attribute 1</v>
      </c>
      <c r="BY5" s="23" t="str">
        <f ca="1">IFERROR(__xludf.DUMMYFUNCTION("""COMPUTED_VALUE"""),"Trade Attribute 2")</f>
        <v>Trade Attribute 2</v>
      </c>
      <c r="BZ5" s="23" t="str">
        <f ca="1">IFERROR(__xludf.DUMMYFUNCTION("""COMPUTED_VALUE"""),"Trade Attribute 3")</f>
        <v>Trade Attribute 3</v>
      </c>
      <c r="CA5" s="23" t="str">
        <f ca="1">IFERROR(__xludf.DUMMYFUNCTION("""COMPUTED_VALUE"""),"Trade Attribute 4")</f>
        <v>Trade Attribute 4</v>
      </c>
      <c r="CB5" s="23" t="str">
        <f ca="1">IFERROR(__xludf.DUMMYFUNCTION("""COMPUTED_VALUE"""),"Trade Attribute 5")</f>
        <v>Trade Attribute 5</v>
      </c>
      <c r="CC5" s="23" t="str">
        <f ca="1">IFERROR(__xludf.DUMMYFUNCTION("""COMPUTED_VALUE"""),"Trade Attribute 6")</f>
        <v>Trade Attribute 6</v>
      </c>
      <c r="CD5" s="23" t="str">
        <f ca="1">IFERROR(__xludf.DUMMYFUNCTION("""COMPUTED_VALUE"""),"Trade Date")</f>
        <v>Trade Date</v>
      </c>
      <c r="CE5" s="23" t="str">
        <f ca="1">IFERROR(__xludf.DUMMYFUNCTION("""COMPUTED_VALUE"""),"Trading Account")</f>
        <v>Trading Account</v>
      </c>
      <c r="CF5" s="23" t="str">
        <f ca="1">IFERROR(__xludf.DUMMYFUNCTION("""COMPUTED_VALUE"""),"Transaction Levy")</f>
        <v>Transaction Levy</v>
      </c>
      <c r="CG5" s="23" t="str">
        <f ca="1">IFERROR(__xludf.DUMMYFUNCTION("""COMPUTED_VALUE"""),"Transaction Source")</f>
        <v>Transaction Source</v>
      </c>
      <c r="CH5" s="23" t="str">
        <f ca="1">IFERROR(__xludf.DUMMYFUNCTION("""COMPUTED_VALUE"""),"Transaction Type")</f>
        <v>Transaction Type</v>
      </c>
      <c r="CI5" s="23" t="str">
        <f ca="1">IFERROR(__xludf.DUMMYFUNCTION("""COMPUTED_VALUE"""),"UnAllocatedQty")</f>
        <v>UnAllocatedQty</v>
      </c>
      <c r="CJ5" s="23" t="str">
        <f ca="1">IFERROR(__xludf.DUMMYFUNCTION("""COMPUTED_VALUE"""),"Underlying")</f>
        <v>Underlying</v>
      </c>
      <c r="CK5" s="23" t="str">
        <f ca="1">IFERROR(__xludf.DUMMYFUNCTION("""COMPUTED_VALUE"""),"Underlying Delta")</f>
        <v>Underlying Delta</v>
      </c>
      <c r="CL5" s="23" t="str">
        <f ca="1">IFERROR(__xludf.DUMMYFUNCTION("""COMPUTED_VALUE"""),"Underlying Symbol")</f>
        <v>Underlying Symbol</v>
      </c>
      <c r="CM5" s="23" t="str">
        <f ca="1">IFERROR(__xludf.DUMMYFUNCTION("""COMPUTED_VALUE"""),"User")</f>
        <v>User</v>
      </c>
      <c r="CN5" s="23" t="str">
        <f ca="1">IFERROR(__xludf.DUMMYFUNCTION("""COMPUTED_VALUE"""),"Venue")</f>
        <v>Venue</v>
      </c>
      <c r="CO5" s="23" t="str">
        <f ca="1">IFERROR(__xludf.DUMMYFUNCTION("""COMPUTED_VALUE"""),"Closing Date")</f>
        <v>Closing Date</v>
      </c>
      <c r="CP5" s="23" t="str">
        <f ca="1">IFERROR(__xludf.DUMMYFUNCTION("""COMPUTED_VALUE"""),"Expiration Date")</f>
        <v>Expiration Date</v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31"/>
      <c r="C6" s="30"/>
      <c r="D6" s="31"/>
      <c r="E6" s="30"/>
      <c r="F6" s="30"/>
      <c r="G6" s="30"/>
      <c r="H6" s="30"/>
      <c r="I6" s="30"/>
      <c r="J6" s="33"/>
      <c r="K6" s="33"/>
      <c r="L6" s="30"/>
      <c r="M6" s="30"/>
      <c r="N6" s="30"/>
      <c r="O6" s="30"/>
      <c r="P6" s="30"/>
      <c r="Q6" s="30"/>
      <c r="R6" s="30"/>
      <c r="S6" s="3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0">
        <v>100000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40">
        <v>100000</v>
      </c>
      <c r="BK6" s="34"/>
      <c r="BL6" s="34"/>
      <c r="BM6" s="34"/>
      <c r="BN6" s="34"/>
      <c r="BO6" s="35" t="s">
        <v>37</v>
      </c>
      <c r="BP6" s="34"/>
      <c r="BQ6" s="34"/>
      <c r="BR6" s="34"/>
      <c r="BS6" s="35" t="s">
        <v>18</v>
      </c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7" t="s">
        <v>11</v>
      </c>
      <c r="C1" s="48"/>
      <c r="D1" s="48"/>
      <c r="E1" s="48"/>
      <c r="F1" s="48"/>
      <c r="G1" s="48"/>
      <c r="H1" s="4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23</v>
      </c>
      <c r="D3" s="4" t="s">
        <v>6</v>
      </c>
      <c r="E3" s="16" t="s">
        <v>38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IFERROR(__xludf.DUMMYFUNCTION("""COMPUTED_VALUE"""),"checkBox")</f>
        <v>checkBox</v>
      </c>
      <c r="E5" s="21" t="str">
        <f ca="1">IFERROR(__xludf.DUMMYFUNCTION("""COMPUTED_VALUE"""),"Close Date")</f>
        <v>Close Date</v>
      </c>
      <c r="F5" s="22" t="str">
        <f ca="1">IFERROR(__xludf.DUMMYFUNCTION("""COMPUTED_VALUE"""),"ClosedAveragePrice")</f>
        <v>ClosedAveragePrice</v>
      </c>
      <c r="G5" s="21" t="str">
        <f ca="1">IFERROR(__xludf.DUMMYFUNCTION("""COMPUTED_VALUE"""),"ClosedQty")</f>
        <v>ClosedQty</v>
      </c>
      <c r="H5" s="21" t="str">
        <f ca="1">IFERROR(__xludf.DUMMYFUNCTION("""COMPUTED_VALUE"""),"Closing Method")</f>
        <v>Closing Method</v>
      </c>
      <c r="I5" s="21" t="str">
        <f ca="1">IFERROR(__xludf.DUMMYFUNCTION("""COMPUTED_VALUE"""),"ClosingID")</f>
        <v>ClosingID</v>
      </c>
      <c r="J5" s="21" t="str">
        <f ca="1">IFERROR(__xludf.DUMMYFUNCTION("""COMPUTED_VALUE"""),"ClosingMode")</f>
        <v>ClosingMode</v>
      </c>
      <c r="K5" s="21" t="str">
        <f ca="1">IFERROR(__xludf.DUMMYFUNCTION("""COMPUTED_VALUE"""),"ClosingPositionTag")</f>
        <v>ClosingPositionTag</v>
      </c>
      <c r="L5" s="21" t="str">
        <f ca="1">IFERROR(__xludf.DUMMYFUNCTION("""COMPUTED_VALUE"""),"ClosingSide")</f>
        <v>ClosingSide</v>
      </c>
      <c r="M5" s="21" t="str">
        <f ca="1">IFERROR(__xludf.DUMMYFUNCTION("""COMPUTED_VALUE"""),"ClosingTotalCommissionandFees")</f>
        <v>ClosingTotalCommissionandFees</v>
      </c>
      <c r="N5" s="21" t="str">
        <f ca="1">IFERROR(__xludf.DUMMYFUNCTION("""COMPUTED_VALUE"""),"CostBasisGrossPNL")</f>
        <v>CostBasisGrossPNL</v>
      </c>
      <c r="O5" s="21" t="str">
        <f ca="1">IFERROR(__xludf.DUMMYFUNCTION("""COMPUTED_VALUE"""),"Currency")</f>
        <v>Currency</v>
      </c>
      <c r="P5" s="21" t="str">
        <f ca="1">IFERROR(__xludf.DUMMYFUNCTION("""COMPUTED_VALUE"""),"CurrencyID")</f>
        <v>CurrencyID</v>
      </c>
      <c r="Q5" s="21" t="str">
        <f ca="1">IFERROR(__xludf.DUMMYFUNCTION("""COMPUTED_VALUE"""),"Exchange")</f>
        <v>Exchange</v>
      </c>
      <c r="R5" s="21" t="str">
        <f ca="1">IFERROR(__xludf.DUMMYFUNCTION("""COMPUTED_VALUE"""),"NotionalChange")</f>
        <v>NotionalChange</v>
      </c>
      <c r="S5" s="21" t="str">
        <f ca="1">IFERROR(__xludf.DUMMYFUNCTION("""COMPUTED_VALUE"""),"OpenAveragePrice")</f>
        <v>OpenAveragePrice</v>
      </c>
      <c r="T5" s="23" t="str">
        <f ca="1">IFERROR(__xludf.DUMMYFUNCTION("""COMPUTED_VALUE"""),"Original Purchase Date")</f>
        <v>Original Purchase Date</v>
      </c>
      <c r="U5" s="23" t="str">
        <f ca="1">IFERROR(__xludf.DUMMYFUNCTION("""COMPUTED_VALUE"""),"Position Type")</f>
        <v>Position Type</v>
      </c>
      <c r="V5" s="23" t="str">
        <f ca="1">IFERROR(__xludf.DUMMYFUNCTION("""COMPUTED_VALUE"""),"PositionSide")</f>
        <v>PositionSide</v>
      </c>
      <c r="W5" s="23" t="str">
        <f ca="1">IFERROR(__xludf.DUMMYFUNCTION("""COMPUTED_VALUE"""),"PositionTotalCommissionandFees")</f>
        <v>PositionTotalCommissionandFees</v>
      </c>
      <c r="X5" s="23" t="str">
        <f ca="1">IFERROR(__xludf.DUMMYFUNCTION("""COMPUTED_VALUE"""),"Realized PNL(C.B.)")</f>
        <v>Realized PNL(C.B.)</v>
      </c>
      <c r="Y5" s="23" t="str">
        <f ca="1">IFERROR(__xludf.DUMMYFUNCTION("""COMPUTED_VALUE"""),"Side")</f>
        <v>Side</v>
      </c>
      <c r="Z5" s="23" t="str">
        <f ca="1">IFERROR(__xludf.DUMMYFUNCTION("""COMPUTED_VALUE"""),"Strategy")</f>
        <v>Strategy</v>
      </c>
      <c r="AA5" s="23" t="str">
        <f ca="1">IFERROR(__xludf.DUMMYFUNCTION("""COMPUTED_VALUE"""),"Symbol")</f>
        <v>Symbol</v>
      </c>
      <c r="AB5" s="23" t="str">
        <f ca="1">IFERROR(__xludf.DUMMYFUNCTION("""COMPUTED_VALUE"""),"Taxlot ID")</f>
        <v>Taxlot ID</v>
      </c>
      <c r="AC5" s="23" t="str">
        <f ca="1">IFERROR(__xludf.DUMMYFUNCTION("""COMPUTED_VALUE"""),"UnderlyingName")</f>
        <v>UnderlyingName</v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8"/>
      <c r="B6" s="31" t="s">
        <v>20</v>
      </c>
      <c r="C6" s="39" t="s">
        <v>26</v>
      </c>
      <c r="D6" s="31"/>
      <c r="E6" s="45"/>
      <c r="F6" s="33"/>
      <c r="G6" s="37">
        <v>1000</v>
      </c>
      <c r="H6" s="30" t="s">
        <v>39</v>
      </c>
      <c r="I6" s="30"/>
      <c r="J6" s="39" t="s">
        <v>40</v>
      </c>
      <c r="K6" s="30"/>
      <c r="L6" s="30"/>
      <c r="M6" s="30"/>
      <c r="N6" s="30"/>
      <c r="O6" s="30"/>
      <c r="P6" s="30"/>
      <c r="Q6" s="30"/>
      <c r="R6" s="30"/>
      <c r="S6" s="30"/>
      <c r="T6" s="46"/>
      <c r="U6" s="34"/>
      <c r="V6" s="35" t="s">
        <v>28</v>
      </c>
      <c r="W6" s="34"/>
      <c r="X6" s="34"/>
      <c r="Y6" s="35" t="s">
        <v>22</v>
      </c>
      <c r="Z6" s="34"/>
      <c r="AA6" s="35" t="s">
        <v>21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7" t="s">
        <v>11</v>
      </c>
      <c r="C1" s="48"/>
      <c r="D1" s="48"/>
      <c r="E1" s="48"/>
      <c r="F1" s="48"/>
      <c r="G1" s="48"/>
      <c r="H1" s="4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1lI4loUxqzsE3IjuxIjsVY3cB4J_eTKFPPDuXngut4FE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12</v>
      </c>
      <c r="D3" s="4" t="s">
        <v>6</v>
      </c>
      <c r="E3" s="16" t="s">
        <v>13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IFERROR(__xludf.DUMMYFUNCTION("""COMPUTED_VALUE"""),"ValidateCheckSide")</f>
        <v>ValidateCheckSide</v>
      </c>
      <c r="C5" s="21" t="str">
        <f ca="1">IFERROR(__xludf.DUMMYFUNCTION("""COMPUTED_VALUE"""),"DisabledChecksideAssets")</f>
        <v>DisabledChecksideAssets</v>
      </c>
      <c r="D5" s="21" t="str">
        <f ca="1">IFERROR(__xludf.DUMMYFUNCTION("""COMPUTED_VALUE"""),"PrecisionValue")</f>
        <v>PrecisionValue</v>
      </c>
      <c r="E5" s="21" t="str">
        <f ca="1">IFERROR(__xludf.DUMMYFUNCTION("""COMPUTED_VALUE"""),"UseCommissionInNetAmount")</f>
        <v>UseCommissionInNetAmount</v>
      </c>
      <c r="F5" s="22" t="str">
        <f ca="1">IFERROR(__xludf.DUMMYFUNCTION("""COMPUTED_VALUE"""),"SaveWithoutState")</f>
        <v>SaveWithoutState</v>
      </c>
      <c r="G5" s="21" t="str">
        <f ca="1">IFERROR(__xludf.DUMMYFUNCTION("""COMPUTED_VALUE"""),"SaveWithState")</f>
        <v>SaveWithState</v>
      </c>
      <c r="H5" s="21" t="str">
        <f ca="1">IFERROR(__xludf.DUMMYFUNCTION("""COMPUTED_VALUE"""),"ClearQuantities")</f>
        <v>ClearQuantities</v>
      </c>
      <c r="I5" s="21" t="str">
        <f ca="1">IFERROR(__xludf.DUMMYFUNCTION("""COMPUTED_VALUE"""),"ReapplyAllocation")</f>
        <v>ReapplyAllocation</v>
      </c>
      <c r="J5" s="21" t="str">
        <f ca="1">IFERROR(__xludf.DUMMYFUNCTION("""COMPUTED_VALUE"""),"DefaultAllocation")</f>
        <v>DefaultAllocation</v>
      </c>
      <c r="K5" s="21" t="str">
        <f ca="1">IFERROR(__xludf.DUMMYFUNCTION("""COMPUTED_VALUE"""),"IsCustomPreference")</f>
        <v>IsCustomPreference</v>
      </c>
      <c r="L5" s="21" t="str">
        <f ca="1">IFERROR(__xludf.DUMMYFUNCTION("""COMPUTED_VALUE"""),"AllocationMethod")</f>
        <v>AllocationMethod</v>
      </c>
      <c r="M5" s="21" t="str">
        <f ca="1">IFERROR(__xludf.DUMMYFUNCTION("""COMPUTED_VALUE"""),"RemainderAllocationTo")</f>
        <v>RemainderAllocationTo</v>
      </c>
      <c r="N5" s="21" t="str">
        <f ca="1">IFERROR(__xludf.DUMMYFUNCTION("""COMPUTED_VALUE"""),"Target%AsOf")</f>
        <v>Target%AsOf</v>
      </c>
      <c r="O5" s="21" t="str">
        <f ca="1">IFERROR(__xludf.DUMMYFUNCTION("""COMPUTED_VALUE"""),"ProrataAccounts")</f>
        <v>ProrataAccounts</v>
      </c>
      <c r="P5" s="21" t="str">
        <f ca="1">IFERROR(__xludf.DUMMYFUNCTION("""COMPUTED_VALUE"""),"DateUptoDays")</f>
        <v>DateUptoDays</v>
      </c>
      <c r="Q5" s="21" t="str">
        <f ca="1">IFERROR(__xludf.DUMMYFUNCTION("""COMPUTED_VALUE"""),"MatchClosing")</f>
        <v>MatchClosing</v>
      </c>
      <c r="R5" s="21" t="str">
        <f ca="1">IFERROR(__xludf.DUMMYFUNCTION("""COMPUTED_VALUE"""),"CommissionAlertOnBrokerChange")</f>
        <v>CommissionAlertOnBrokerChange</v>
      </c>
      <c r="S5" s="21" t="str">
        <f ca="1">IFERROR(__xludf.DUMMYFUNCTION("""COMPUTED_VALUE"""),"RecalculateCommissionOnBrokerChange")</f>
        <v>RecalculateCommissionOnBrokerChange</v>
      </c>
      <c r="T5" s="23" t="str">
        <f ca="1">IFERROR(__xludf.DUMMYFUNCTION("""COMPUTED_VALUE"""),"CommissionAlertOnAllocation")</f>
        <v>CommissionAlertOnAllocation</v>
      </c>
      <c r="U5" s="23" t="str">
        <f ca="1">IFERROR(__xludf.DUMMYFUNCTION("""COMPUTED_VALUE"""),"RecalculateCommissionOnAllocation")</f>
        <v>RecalculateCommissionOnAllocation</v>
      </c>
      <c r="V5" s="23" t="str">
        <f ca="1">IFERROR(__xludf.DUMMYFUNCTION("""COMPUTED_VALUE"""),"EnableMasterFund")</f>
        <v>EnableMasterFund</v>
      </c>
      <c r="W5" s="23" t="str">
        <f ca="1">IFERROR(__xludf.DUMMYFUNCTION("""COMPUTED_VALUE"""),"1MasterFund/1Symbol")</f>
        <v>1MasterFund/1Symbol</v>
      </c>
      <c r="X5" s="23" t="str">
        <f ca="1">IFERROR(__xludf.DUMMYFUNCTION("""COMPUTED_VALUE"""),"ProrataSchemeName")</f>
        <v>ProrataSchemeName</v>
      </c>
      <c r="Y5" s="23" t="str">
        <f ca="1">IFERROR(__xludf.DUMMYFUNCTION("""COMPUTED_VALUE"""),"ProrataAllocationSchemeBasis")</f>
        <v>ProrataAllocationSchemeBasis</v>
      </c>
      <c r="Z5" s="23" t="str">
        <f ca="1">IFERROR(__xludf.DUMMYFUNCTION("""COMPUTED_VALUE"""),"ShowAdvancedProrataUI")</f>
        <v>ShowAdvancedProrataUI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b">
        <v>0</v>
      </c>
      <c r="C6" s="2"/>
      <c r="D6" s="6"/>
      <c r="E6" s="24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7" t="s">
        <v>11</v>
      </c>
      <c r="C1" s="48"/>
      <c r="D1" s="48"/>
      <c r="E1" s="48"/>
      <c r="F1" s="48"/>
      <c r="G1" s="48"/>
      <c r="H1" s="4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3</v>
      </c>
      <c r="C3" s="16" t="s">
        <v>23</v>
      </c>
      <c r="D3" s="4" t="s">
        <v>6</v>
      </c>
      <c r="E3" s="16" t="s">
        <v>41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s">
        <v>31</v>
      </c>
      <c r="C6" s="2"/>
      <c r="D6" s="6"/>
      <c r="E6" s="24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SetGeneralPreferences</vt:lpstr>
      <vt:lpstr>CreateDoneAwayOrder</vt:lpstr>
      <vt:lpstr>ExerciseAssignment</vt:lpstr>
      <vt:lpstr>SelectTradeUnexpiredUnsettled</vt:lpstr>
      <vt:lpstr>VerifyExpiredSettledGrid</vt:lpstr>
      <vt:lpstr>GetDataAllocation</vt:lpstr>
      <vt:lpstr>CheckAllocatedGroups</vt:lpstr>
      <vt:lpstr>CheckUnallocatedGroups</vt:lpstr>
      <vt:lpstr>UnWindTradeSettlement</vt:lpstr>
      <vt:lpstr>SetGeneralPreferences2</vt:lpstr>
      <vt:lpstr>GetDataClosing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2019-11-21T08:35:54Z</dcterms:modified>
</cp:coreProperties>
</file>