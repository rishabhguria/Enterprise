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AcknowledgeTrade" sheetId="5" r:id="rId7"/>
    <sheet state="visible" name="SelectTrade" sheetId="6" r:id="rId8"/>
    <sheet state="visible" name="ExecuteTrade" sheetId="7" r:id="rId9"/>
    <sheet state="visible" name="SelectTradeOnOrderGrid1" sheetId="8" r:id="rId10"/>
    <sheet state="visible" name="CancelSubOrder" sheetId="9" r:id="rId11"/>
  </sheets>
  <definedNames/>
  <calcPr/>
</workbook>
</file>

<file path=xl/sharedStrings.xml><?xml version="1.0" encoding="utf-8"?>
<sst xmlns="http://schemas.openxmlformats.org/spreadsheetml/2006/main" count="68" uniqueCount="27">
  <si>
    <t>Master Data Info</t>
  </si>
  <si>
    <t>Modules Info</t>
  </si>
  <si>
    <t>Settings</t>
  </si>
  <si>
    <t>Module Step Setting File</t>
  </si>
  <si>
    <t>Module</t>
  </si>
  <si>
    <t>Step</t>
  </si>
  <si>
    <t>1BICZ_GcMhh_S937ZinFvSYqvvKYtOYB2Bc4woEPpgPg</t>
  </si>
  <si>
    <t>Master Data Sheet</t>
  </si>
  <si>
    <t>Master Data Settings File</t>
  </si>
  <si>
    <t>1hEhI9rg16D4Xvfk19pDaFUFF78jjfIG29BBaNg8kT0A</t>
  </si>
  <si>
    <t>Modules</t>
  </si>
  <si>
    <t>Data</t>
  </si>
  <si>
    <t>TradingTicket</t>
  </si>
  <si>
    <t>CreateLiveOrder</t>
  </si>
  <si>
    <t>Data Format</t>
  </si>
  <si>
    <t>Input Format</t>
  </si>
  <si>
    <t>MSFT</t>
  </si>
  <si>
    <t>Buy</t>
  </si>
  <si>
    <t>Allocation1</t>
  </si>
  <si>
    <t>Simulator</t>
  </si>
  <si>
    <t>AcknowledgeTrade</t>
  </si>
  <si>
    <t>SelectTrade</t>
  </si>
  <si>
    <t>ExecuteTrade</t>
  </si>
  <si>
    <t>Blotter</t>
  </si>
  <si>
    <t>SelectTradeOnOrderGrid</t>
  </si>
  <si>
    <t>Filled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</si>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</sst>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1" fillId="2" fontId="3" numFmtId="0" xfId="0" applyAlignment="1" applyBorder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4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4" fillId="3" fontId="5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2"/>
      <c r="C1" s="2"/>
      <c r="D1" s="2"/>
      <c r="E1" s="2"/>
      <c r="F1" s="3"/>
    </row>
    <row r="2" ht="15.75" customHeight="1">
      <c r="A2" s="7"/>
      <c r="B2" s="7"/>
      <c r="C2" s="7"/>
      <c r="D2" s="7"/>
      <c r="E2" s="7"/>
      <c r="F2" s="7"/>
    </row>
    <row r="3" ht="15.75" customHeight="1">
      <c r="A3" s="9" t="s">
        <v>10</v>
      </c>
      <c r="B3" s="15"/>
      <c r="C3" s="16"/>
      <c r="D3" s="16"/>
      <c r="E3" s="16"/>
      <c r="F3" s="16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5" t="s">
        <v>2</v>
      </c>
      <c r="B1" s="2"/>
      <c r="C1" s="3"/>
    </row>
    <row r="2" ht="15.75" customHeight="1">
      <c r="A2" s="6"/>
      <c r="B2" s="6"/>
      <c r="C2" s="6"/>
    </row>
    <row r="3" ht="15.75" customHeight="1">
      <c r="A3" s="9" t="s">
        <v>3</v>
      </c>
      <c r="B3" s="11" t="s">
        <v>6</v>
      </c>
      <c r="C3" s="6"/>
    </row>
    <row r="4" ht="15.75" customHeight="1">
      <c r="A4" s="8" t="s">
        <v>8</v>
      </c>
      <c r="B4" s="11" t="s">
        <v>9</v>
      </c>
      <c r="C4" s="6"/>
    </row>
    <row r="5" ht="15.75" customHeight="1">
      <c r="A5" s="13"/>
      <c r="B5" s="6"/>
      <c r="C5" s="6"/>
    </row>
    <row r="6" ht="15.75" customHeight="1">
      <c r="A6" s="13"/>
      <c r="B6" s="6"/>
      <c r="C6" s="6"/>
    </row>
    <row r="7" ht="15.75" customHeight="1">
      <c r="A7" s="13"/>
      <c r="B7" s="6"/>
      <c r="C7" s="6"/>
    </row>
    <row r="8" ht="15.75" customHeight="1">
      <c r="A8" s="13"/>
      <c r="B8" s="6"/>
      <c r="C8" s="6"/>
    </row>
    <row r="9" ht="15.75" customHeight="1">
      <c r="A9" s="13"/>
      <c r="B9" s="6"/>
      <c r="C9" s="6"/>
    </row>
    <row r="10" ht="15.75" customHeight="1">
      <c r="A10" s="13"/>
      <c r="B10" s="6"/>
      <c r="C10" s="6"/>
    </row>
    <row r="11" ht="15.75" customHeight="1">
      <c r="A11" s="13"/>
      <c r="B11" s="6"/>
      <c r="C11" s="6"/>
    </row>
    <row r="12" ht="15.75" customHeight="1">
      <c r="A12" s="13"/>
      <c r="B12" s="6"/>
      <c r="C12" s="6"/>
    </row>
    <row r="13" ht="15.75" customHeight="1">
      <c r="A13" s="13"/>
      <c r="B13" s="6"/>
      <c r="C13" s="6"/>
    </row>
    <row r="14" ht="15.75" customHeight="1">
      <c r="A14" s="13"/>
      <c r="B14" s="6"/>
      <c r="C14" s="6"/>
    </row>
    <row r="15" ht="15.75" customHeight="1">
      <c r="A15" s="13"/>
      <c r="B15" s="6"/>
      <c r="C15" s="6"/>
    </row>
    <row r="16" ht="15.75" customHeight="1">
      <c r="A16" s="13"/>
      <c r="B16" s="6"/>
      <c r="C16" s="6"/>
    </row>
    <row r="17" ht="15.75" customHeight="1">
      <c r="A17" s="13"/>
      <c r="B17" s="6"/>
      <c r="C17" s="6"/>
    </row>
    <row r="18" ht="15.75" customHeight="1">
      <c r="A18" s="13"/>
      <c r="B18" s="6"/>
      <c r="C18" s="6"/>
    </row>
    <row r="19" ht="15.75" customHeight="1">
      <c r="A19" s="13"/>
      <c r="B19" s="6"/>
      <c r="C19" s="6"/>
    </row>
    <row r="20" ht="15.75" customHeight="1">
      <c r="A20" s="13"/>
      <c r="B20" s="6"/>
      <c r="C20" s="6"/>
    </row>
    <row r="21" ht="15.75" customHeight="1">
      <c r="A21" s="13"/>
      <c r="B21" s="6"/>
      <c r="C21" s="6"/>
    </row>
    <row r="22" ht="15.75" customHeight="1">
      <c r="A22" s="13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0</v>
      </c>
      <c r="B1" s="2"/>
      <c r="C1" s="2"/>
      <c r="D1" s="2"/>
      <c r="E1" s="2"/>
      <c r="F1" s="3"/>
    </row>
    <row r="2">
      <c r="A2" s="7"/>
      <c r="B2" s="7"/>
      <c r="C2" s="7"/>
      <c r="D2" s="7"/>
      <c r="E2" s="7"/>
      <c r="F2" s="7"/>
    </row>
    <row r="3">
      <c r="A3" s="8" t="s">
        <v>4</v>
      </c>
      <c r="B3" s="10" t="s">
        <v>5</v>
      </c>
      <c r="C3" s="10" t="s">
        <v>7</v>
      </c>
      <c r="D3" s="12"/>
      <c r="E3" s="12"/>
      <c r="F3" s="12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9" t="s">
        <v>4</v>
      </c>
      <c r="C3" s="21" t="s">
        <v>12</v>
      </c>
      <c r="D3" s="9" t="s">
        <v>5</v>
      </c>
      <c r="E3" s="21" t="s">
        <v>13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1" t="s">
        <v>16</v>
      </c>
      <c r="C6" s="11" t="s">
        <v>17</v>
      </c>
      <c r="D6" s="11">
        <v>2500.0</v>
      </c>
      <c r="E6" s="6"/>
      <c r="F6" s="11" t="s">
        <v>18</v>
      </c>
      <c r="G6" s="6"/>
      <c r="H6" s="6"/>
      <c r="I6" s="6"/>
      <c r="J6" s="11">
        <v>15.0</v>
      </c>
      <c r="K6" s="6"/>
      <c r="L6" s="6"/>
      <c r="M6" s="6"/>
      <c r="N6" s="29">
        <f>Today()</f>
        <v>43700</v>
      </c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9" t="s">
        <v>4</v>
      </c>
      <c r="C3" s="21" t="s">
        <v>19</v>
      </c>
      <c r="D3" s="9" t="s">
        <v>5</v>
      </c>
      <c r="E3" s="21" t="s">
        <v>20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1" t="s">
        <v>17</v>
      </c>
      <c r="C6" s="11" t="s">
        <v>16</v>
      </c>
      <c r="D6" s="6"/>
      <c r="E6" s="6"/>
      <c r="F6" s="6"/>
      <c r="G6" s="11">
        <v>2500.0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9" t="s">
        <v>4</v>
      </c>
      <c r="C3" s="21" t="s">
        <v>19</v>
      </c>
      <c r="D3" s="9" t="s">
        <v>5</v>
      </c>
      <c r="E3" s="21" t="s">
        <v>21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IFERROR(__xludf.DUMMYFUNCTION("""COMPUTED_VALUE"""),"Side")</f>
        <v>Side</v>
      </c>
      <c r="C5" s="26" t="str">
        <f>IFERROR(__xludf.DUMMYFUNCTION("""COMPUTED_VALUE"""),"Symbol")</f>
        <v>Symbol</v>
      </c>
      <c r="D5" s="26" t="str">
        <f>IFERROR(__xludf.DUMMYFUNCTION("""COMPUTED_VALUE"""),"Order Type")</f>
        <v>Order Type</v>
      </c>
      <c r="E5" s="26" t="str">
        <f>IFERROR(__xludf.DUMMYFUNCTION("""COMPUTED_VALUE"""),"Price")</f>
        <v>Price</v>
      </c>
      <c r="F5" s="27" t="str">
        <f>IFERROR(__xludf.DUMMYFUNCTION("""COMPUTED_VALUE"""),"AvgPrice")</f>
        <v>AvgPrice</v>
      </c>
      <c r="G5" s="26" t="str">
        <f>IFERROR(__xludf.DUMMYFUNCTION("""COMPUTED_VALUE"""),"Quantity")</f>
        <v>Quantity</v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1" t="s">
        <v>17</v>
      </c>
      <c r="C6" s="11" t="s">
        <v>16</v>
      </c>
      <c r="D6" s="6"/>
      <c r="E6" s="6"/>
      <c r="F6" s="6"/>
      <c r="G6" s="11">
        <v>2500.0</v>
      </c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9" t="s">
        <v>4</v>
      </c>
      <c r="C3" s="21" t="s">
        <v>19</v>
      </c>
      <c r="D3" s="9" t="s">
        <v>5</v>
      </c>
      <c r="E3" s="21" t="s">
        <v>22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IFERROR(__xludf.DUMMYFUNCTION("IF(C3="""","""",Transpose(IMPORTRANGE('_Settings'!$B$3,C3&amp;""!A4:A1000"")))"),"SelectTrade")</f>
        <v>SelectTrade</v>
      </c>
      <c r="C4" s="23" t="str">
        <f>IFERROR(__xludf.DUMMYFUNCTION("""COMPUTED_VALUE"""),"AcknowledgeTrade")</f>
        <v>AcknowledgeTrade</v>
      </c>
      <c r="D4" s="23" t="str">
        <f>IFERROR(__xludf.DUMMYFUNCTION("""COMPUTED_VALUE"""),"RejectTrade")</f>
        <v>RejectTrade</v>
      </c>
      <c r="E4" s="23" t="str">
        <f>IFERROR(__xludf.DUMMYFUNCTION("""COMPUTED_VALUE"""),"ExecuteTrade")</f>
        <v>ExecuteTrade</v>
      </c>
      <c r="F4" s="23" t="str">
        <f>IFERROR(__xludf.DUMMYFUNCTION("""COMPUTED_VALUE"""),"CancelTrade")</f>
        <v>CancelTrade</v>
      </c>
      <c r="G4" s="23" t="str">
        <f>IFERROR(__xludf.DUMMYFUNCTION("""COMPUTED_VALUE"""),"OpenLiveTT")</f>
        <v>OpenLiveTT</v>
      </c>
      <c r="H4" s="23" t="str">
        <f>IFERROR(__xludf.DUMMYFUNCTION("""COMPUTED_VALUE"""),"SetManualResponse")</f>
        <v>SetManualResponse</v>
      </c>
      <c r="I4" s="23" t="str">
        <f>IFERROR(__xludf.DUMMYFUNCTION("""COMPUTED_VALUE"""),"ClearUI")</f>
        <v>ClearUI</v>
      </c>
      <c r="J4" s="23" t="str">
        <f>IFERROR(__xludf.DUMMYFUNCTION("""COMPUTED_VALUE"""),"CloseSimulator")</f>
        <v>CloseSimulator</v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IFERROR(__xludf.DUMMYFUNCTION("""COMPUTED_VALUE"""),"Price")</f>
        <v>Price</v>
      </c>
      <c r="C5" s="26" t="str">
        <f>IFERROR(__xludf.DUMMYFUNCTION("""COMPUTED_VALUE"""),"Shares")</f>
        <v>Shares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11">
        <v>15.0</v>
      </c>
      <c r="C6" s="11">
        <v>2500.0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9" t="s">
        <v>4</v>
      </c>
      <c r="C3" s="21" t="s">
        <v>23</v>
      </c>
      <c r="D3" s="9" t="s">
        <v>5</v>
      </c>
      <c r="E3" s="21" t="s">
        <v>24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 Fill Price (Base)")</f>
        <v>Avg Fill Price (Base)</v>
      </c>
      <c r="C5" s="26" t="str">
        <f>IFERROR(__xludf.DUMMYFUNCTION("""COMPUTED_VALUE"""),"Transaction Time")</f>
        <v>Transaction Time</v>
      </c>
      <c r="D5" s="26" t="str">
        <f>IFERROR(__xludf.DUMMYFUNCTION("""COMPUTED_VALUE"""),"Symbol")</f>
        <v>Symbol</v>
      </c>
      <c r="E5" s="26" t="str">
        <f>IFERROR(__xludf.DUMMYFUNCTION("""COMPUTED_VALUE"""),"Algo")</f>
        <v>Algo</v>
      </c>
      <c r="F5" s="27" t="str">
        <f>IFERROR(__xludf.DUMMYFUNCTION("""COMPUTED_VALUE"""),"Side")</f>
        <v>Side</v>
      </c>
      <c r="G5" s="26" t="str">
        <f>IFERROR(__xludf.DUMMYFUNCTION("""COMPUTED_VALUE"""),"Status")</f>
        <v>Status</v>
      </c>
      <c r="H5" s="26" t="str">
        <f>IFERROR(__xludf.DUMMYFUNCTION("""COMPUTED_VALUE"""),"Quantity")</f>
        <v>Quantity</v>
      </c>
      <c r="I5" s="26" t="str">
        <f>IFERROR(__xludf.DUMMYFUNCTION("""COMPUTED_VALUE"""),"Executed Qty")</f>
        <v>Executed Qty</v>
      </c>
      <c r="J5" s="26" t="str">
        <f>IFERROR(__xludf.DUMMYFUNCTION("""COMPUTED_VALUE"""),"% Executed")</f>
        <v>% Executed</v>
      </c>
      <c r="K5" s="26" t="str">
        <f>IFERROR(__xludf.DUMMYFUNCTION("""COMPUTED_VALUE"""),"Day Executed Qty")</f>
        <v>Day Executed Qty</v>
      </c>
      <c r="L5" s="26" t="str">
        <f>IFERROR(__xludf.DUMMYFUNCTION("""COMPUTED_VALUE"""),"Remaining Qty")</f>
        <v>Remaining Qty</v>
      </c>
      <c r="M5" s="26" t="str">
        <f>IFERROR(__xludf.DUMMYFUNCTION("""COMPUTED_VALUE"""),"Limit Price")</f>
        <v>Limit Price</v>
      </c>
      <c r="N5" s="26" t="str">
        <f>IFERROR(__xludf.DUMMYFUNCTION("""COMPUTED_VALUE"""),"Last Fill Price (Local)")</f>
        <v>Last Fill Price (Local)</v>
      </c>
      <c r="O5" s="26" t="str">
        <f>IFERROR(__xludf.DUMMYFUNCTION("""COMPUTED_VALUE"""),"Stop Price")</f>
        <v>Stop Price</v>
      </c>
      <c r="P5" s="26" t="str">
        <f>IFERROR(__xludf.DUMMYFUNCTION("""COMPUTED_VALUE"""),"Avg Fill Price (Local)")</f>
        <v>Avg Fill Price (Local)</v>
      </c>
      <c r="Q5" s="26" t="str">
        <f>IFERROR(__xludf.DUMMYFUNCTION("""COMPUTED_VALUE"""),"Broker")</f>
        <v>Broker</v>
      </c>
      <c r="R5" s="26" t="str">
        <f>IFERROR(__xludf.DUMMYFUNCTION("""COMPUTED_VALUE"""),"Account")</f>
        <v>Account</v>
      </c>
      <c r="S5" s="26" t="str">
        <f>IFERROR(__xludf.DUMMYFUNCTION("""COMPUTED_VALUE"""),"OrderID")</f>
        <v>OrderID</v>
      </c>
      <c r="T5" s="28" t="str">
        <f>IFERROR(__xludf.DUMMYFUNCTION("""COMPUTED_VALUE"""),"Order Type")</f>
        <v>Order Type</v>
      </c>
      <c r="U5" s="28" t="str">
        <f>IFERROR(__xludf.DUMMYFUNCTION("""COMPUTED_VALUE"""),"Principal Amount (Local)")</f>
        <v>Principal Amount (Local)</v>
      </c>
      <c r="V5" s="28" t="str">
        <f>IFERROR(__xludf.DUMMYFUNCTION("""COMPUTED_VALUE"""),"Principal Amount (Base)")</f>
        <v>Principal Amount (Base)</v>
      </c>
      <c r="W5" s="28" t="str">
        <f>IFERROR(__xludf.DUMMYFUNCTION("""COMPUTED_VALUE"""),"Peg")</f>
        <v>Peg</v>
      </c>
      <c r="X5" s="28" t="str">
        <f>IFERROR(__xludf.DUMMYFUNCTION("""COMPUTED_VALUE"""),"ParentClOrderID")</f>
        <v>ParentClOrderID</v>
      </c>
      <c r="Y5" s="28" t="str">
        <f>IFERROR(__xludf.DUMMYFUNCTION("""COMPUTED_VALUE"""),"Strike Price")</f>
        <v>Strike Price</v>
      </c>
      <c r="Z5" s="28" t="str">
        <f>IFERROR(__xludf.DUMMYFUNCTION("""COMPUTED_VALUE"""),"Last Shares")</f>
        <v>Last Shares</v>
      </c>
      <c r="AA5" s="28" t="str">
        <f>IFERROR(__xludf.DUMMYFUNCTION("""COMPUTED_VALUE"""),"Working Qty")</f>
        <v>Working Qty</v>
      </c>
      <c r="AB5" s="28" t="str">
        <f>IFERROR(__xludf.DUMMYFUNCTION("""COMPUTED_VALUE"""),"Bloomberg Symbol")</f>
        <v>Bloomberg Symbol</v>
      </c>
      <c r="AC5" s="28" t="str">
        <f>IFERROR(__xludf.DUMMYFUNCTION("""COMPUTED_VALUE"""),"Imported File Name")</f>
        <v>Imported File Name</v>
      </c>
      <c r="AD5" s="28" t="str">
        <f>IFERROR(__xludf.DUMMYFUNCTION("""COMPUTED_VALUE"""),"Master Fund")</f>
        <v>Master Fund</v>
      </c>
      <c r="AE5" s="28" t="str">
        <f>IFERROR(__xludf.DUMMYFUNCTION("""COMPUTED_VALUE"""),"Day Average Price")</f>
        <v>Day Average Price</v>
      </c>
      <c r="AF5" s="28" t="str">
        <f>IFERROR(__xludf.DUMMYFUNCTION("""COMPUTED_VALUE"""),"Asset Class")</f>
        <v>Asset Class</v>
      </c>
      <c r="AG5" s="28" t="str">
        <f>IFERROR(__xludf.DUMMYFUNCTION("""COMPUTED_VALUE"""),"Underlying Country")</f>
        <v>Underlying Country</v>
      </c>
      <c r="AH5" s="28" t="str">
        <f>IFERROR(__xludf.DUMMYFUNCTION("""COMPUTED_VALUE"""),"Trader")</f>
        <v>Trader</v>
      </c>
      <c r="AI5" s="28" t="str">
        <f>IFERROR(__xludf.DUMMYFUNCTION("""COMPUTED_VALUE"""),"User")</f>
        <v>User</v>
      </c>
      <c r="AJ5" s="28" t="str">
        <f>IFERROR(__xludf.DUMMYFUNCTION("""COMPUTED_VALUE"""),"Venue")</f>
        <v>Venue</v>
      </c>
      <c r="AK5" s="28" t="str">
        <f>IFERROR(__xludf.DUMMYFUNCTION("""COMPUTED_VALUE"""),"Settlement Currency")</f>
        <v>Settlement Currency</v>
      </c>
      <c r="AL5" s="28" t="str">
        <f>IFERROR(__xludf.DUMMYFUNCTION("""COMPUTED_VALUE"""),"FX Conversion Operator")</f>
        <v>FX Conversion Operator</v>
      </c>
      <c r="AM5" s="28" t="str">
        <f>IFERROR(__xludf.DUMMYFUNCTION("""COMPUTED_VALUE"""),"Process Date")</f>
        <v>Process Date</v>
      </c>
      <c r="AN5" s="28" t="str">
        <f>IFERROR(__xludf.DUMMYFUNCTION("""COMPUTED_VALUE"""),"Underlying Symbol")</f>
        <v>Underlying Symbol</v>
      </c>
      <c r="AO5" s="28" t="str">
        <f>IFERROR(__xludf.DUMMYFUNCTION("""COMPUTED_VALUE"""),"Put/Call")</f>
        <v>Put/Call</v>
      </c>
      <c r="AP5" s="28" t="str">
        <f>IFERROR(__xludf.DUMMYFUNCTION("""COMPUTED_VALUE"""),"FX Rate")</f>
        <v>FX Rate</v>
      </c>
      <c r="AQ5" s="28" t="str">
        <f>IFERROR(__xludf.DUMMYFUNCTION("""COMPUTED_VALUE"""),"Trade Attribute 1")</f>
        <v>Trade Attribute 1</v>
      </c>
      <c r="AR5" s="28" t="str">
        <f>IFERROR(__xludf.DUMMYFUNCTION("""COMPUTED_VALUE"""),"Trade Attribute 2")</f>
        <v>Trade Attribute 2</v>
      </c>
      <c r="AS5" s="28" t="str">
        <f>IFERROR(__xludf.DUMMYFUNCTION("""COMPUTED_VALUE"""),"Trade Attribute 3")</f>
        <v>Trade Attribute 3</v>
      </c>
      <c r="AT5" s="28" t="str">
        <f>IFERROR(__xludf.DUMMYFUNCTION("""COMPUTED_VALUE"""),"Trade Attribute 4")</f>
        <v>Trade Attribute 4</v>
      </c>
      <c r="AU5" s="28" t="str">
        <f>IFERROR(__xludf.DUMMYFUNCTION("""COMPUTED_VALUE"""),"Trade Attribute 5")</f>
        <v>Trade Attribute 5</v>
      </c>
      <c r="AV5" s="28" t="str">
        <f>IFERROR(__xludf.DUMMYFUNCTION("""COMPUTED_VALUE"""),"Trade Attribute 6")</f>
        <v>Trade Attribute 6</v>
      </c>
      <c r="AW5" s="28" t="str">
        <f>IFERROR(__xludf.DUMMYFUNCTION("""COMPUTED_VALUE"""),"Internal Comments")</f>
        <v>Internal Comments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11" t="s">
        <v>16</v>
      </c>
      <c r="E6" s="6"/>
      <c r="F6" s="11" t="s">
        <v>17</v>
      </c>
      <c r="G6" s="11" t="s">
        <v>25</v>
      </c>
      <c r="H6" s="11">
        <v>2500.0</v>
      </c>
      <c r="I6" s="6"/>
      <c r="J6" s="6"/>
      <c r="K6" s="6"/>
      <c r="L6" s="6"/>
      <c r="M6" s="6"/>
      <c r="N6" s="6"/>
      <c r="O6" s="6"/>
      <c r="R6" s="30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9" t="s">
        <v>4</v>
      </c>
      <c r="C3" s="21" t="s">
        <v>23</v>
      </c>
      <c r="D3" s="9" t="s">
        <v>5</v>
      </c>
      <c r="E3" s="21" t="s">
        <v>26</v>
      </c>
      <c r="F3" s="9" t="s">
        <v>14</v>
      </c>
      <c r="G3" s="13" t="s">
        <v>15</v>
      </c>
      <c r="H3" s="9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IFERROR(__xludf.DUMMYFUNCTION("IF(C3="""","""",Transpose(IMPORTRANGE('_Settings'!$B$3,C3&amp;""!A4:A1000"")))"),"ReplaceFillsOnBlotter")</f>
        <v>ReplaceFillsOnBlotter</v>
      </c>
      <c r="C4" s="23" t="str">
        <f>IFERROR(__xludf.DUMMYFUNCTION("""COMPUTED_VALUE"""),"CheckBlotter")</f>
        <v>CheckBlotter</v>
      </c>
      <c r="D4" s="23" t="str">
        <f>IFERROR(__xludf.DUMMYFUNCTION("""COMPUTED_VALUE"""),"BlotterFunctionalities")</f>
        <v>BlotterFunctionalities</v>
      </c>
      <c r="E4" s="23" t="str">
        <f>IFERROR(__xludf.DUMMYFUNCTION("""COMPUTED_VALUE"""),"TransferToUserWorkingSubs")</f>
        <v>TransferToUserWorkingSubs</v>
      </c>
      <c r="F4" s="23" t="str">
        <f>IFERROR(__xludf.DUMMYFUNCTION("""COMPUTED_VALUE"""),"CancelWorkingSubs")</f>
        <v>CancelWorkingSubs</v>
      </c>
      <c r="G4" s="23" t="str">
        <f>IFERROR(__xludf.DUMMYFUNCTION("""COMPUTED_VALUE"""),"ReplaceWorkingSubs")</f>
        <v>ReplaceWorkingSubs</v>
      </c>
      <c r="H4" s="23" t="str">
        <f>IFERROR(__xludf.DUMMYFUNCTION("""COMPUTED_VALUE"""),"ViewAllocationDetailsWorkingSub")</f>
        <v>ViewAllocationDetailsWorkingSub</v>
      </c>
      <c r="I4" s="23" t="str">
        <f>IFERROR(__xludf.DUMMYFUNCTION("""COMPUTED_VALUE"""),"SelectTradeOnOrderGrid")</f>
        <v>SelectTradeOnOrderGrid</v>
      </c>
      <c r="J4" s="23" t="str">
        <f>IFERROR(__xludf.DUMMYFUNCTION("""COMPUTED_VALUE"""),"ShowDetailsForAlgoTradeSubOrder")</f>
        <v>ShowDetailsForAlgoTradeSubOrder</v>
      </c>
      <c r="K4" s="23" t="str">
        <f>IFERROR(__xludf.DUMMYFUNCTION("""COMPUTED_VALUE"""),"SelectTradeOrderBlotter")</f>
        <v>SelectTradeOrderBlotter</v>
      </c>
      <c r="L4" s="23" t="str">
        <f>IFERROR(__xludf.DUMMYFUNCTION("""COMPUTED_VALUE"""),"AddFillsWorkingSubs")</f>
        <v>AddFillsWorkingSubs</v>
      </c>
      <c r="M4" s="23" t="str">
        <f>IFERROR(__xludf.DUMMYFUNCTION("""COMPUTED_VALUE"""),"EditAddFillsDetails")</f>
        <v>EditAddFillsDetails</v>
      </c>
      <c r="N4" s="23" t="str">
        <f>IFERROR(__xludf.DUMMYFUNCTION("""COMPUTED_VALUE"""),"ShowDetailsForAlgoTradeWorkingSubs")</f>
        <v>ShowDetailsForAlgoTradeWorkingSubs</v>
      </c>
      <c r="O4" s="23" t="str">
        <f>IFERROR(__xludf.DUMMYFUNCTION("""COMPUTED_VALUE"""),"VerifyWorkingSubs")</f>
        <v>VerifyWorkingSubs</v>
      </c>
      <c r="P4" s="24" t="str">
        <f>IFERROR(__xludf.DUMMYFUNCTION("""COMPUTED_VALUE"""),"TransferToUserOrder")</f>
        <v>TransferToUserOrder</v>
      </c>
      <c r="Q4" s="24" t="str">
        <f>IFERROR(__xludf.DUMMYFUNCTION("""COMPUTED_VALUE"""),"EditOrder")</f>
        <v>EditOrder</v>
      </c>
      <c r="R4" s="24" t="str">
        <f>IFERROR(__xludf.DUMMYFUNCTION("""COMPUTED_VALUE"""),"SelectTradeSubOrderBlotter")</f>
        <v>SelectTradeSubOrderBlotter</v>
      </c>
      <c r="S4" s="24" t="str">
        <f>IFERROR(__xludf.DUMMYFUNCTION("""COMPUTED_VALUE"""),"VerifyOrder")</f>
        <v>VerifyOrder</v>
      </c>
      <c r="T4" s="24" t="str">
        <f>IFERROR(__xludf.DUMMYFUNCTION("""COMPUTED_VALUE"""),"VerifySubOrder")</f>
        <v>VerifySubOrder</v>
      </c>
      <c r="U4" s="24" t="str">
        <f>IFERROR(__xludf.DUMMYFUNCTION("""COMPUTED_VALUE"""),"RemoveSelectedOrders")</f>
        <v>RemoveSelectedOrders</v>
      </c>
      <c r="V4" s="24" t="str">
        <f>IFERROR(__xludf.DUMMYFUNCTION("""COMPUTED_VALUE"""),"CancelAllSelectedSubs")</f>
        <v>CancelAllSelectedSubs</v>
      </c>
      <c r="W4" s="24" t="str">
        <f>IFERROR(__xludf.DUMMYFUNCTION("""COMPUTED_VALUE"""),"MultiTradingTicket")</f>
        <v>MultiTradingTicket</v>
      </c>
      <c r="X4" s="24" t="str">
        <f>IFERROR(__xludf.DUMMYFUNCTION("""COMPUTED_VALUE"""),"AuditTrailOrderBlotter")</f>
        <v>AuditTrailOrderBlotter</v>
      </c>
      <c r="Y4" s="24" t="str">
        <f>IFERROR(__xludf.DUMMYFUNCTION("""COMPUTED_VALUE"""),"TradeNewSubOrder")</f>
        <v>TradeNewSubOrder</v>
      </c>
      <c r="Z4" s="24" t="str">
        <f>IFERROR(__xludf.DUMMYFUNCTION("""COMPUTED_VALUE"""),"RemoveStageOrder")</f>
        <v>RemoveStageOrder</v>
      </c>
      <c r="AA4" s="24" t="str">
        <f>IFERROR(__xludf.DUMMYFUNCTION("""COMPUTED_VALUE"""),"TransferToUserSubOrder")</f>
        <v>TransferToUserSubOrder</v>
      </c>
      <c r="AB4" s="24" t="str">
        <f>IFERROR(__xludf.DUMMYFUNCTION("""COMPUTED_VALUE"""),"DetailsForAlgoTradeOrder")</f>
        <v>DetailsForAlgoTradeOrder</v>
      </c>
      <c r="AC4" s="24" t="str">
        <f>IFERROR(__xludf.DUMMYFUNCTION("""COMPUTED_VALUE"""),"AddFillsSubOrder")</f>
        <v>AddFillsSubOrder</v>
      </c>
      <c r="AD4" s="24" t="str">
        <f>IFERROR(__xludf.DUMMYFUNCTION("""COMPUTED_VALUE"""),"ViewAllocationDetailsSubOrder")</f>
        <v>ViewAllocationDetailsSubOrder</v>
      </c>
      <c r="AE4" s="24" t="str">
        <f>IFERROR(__xludf.DUMMYFUNCTION("""COMPUTED_VALUE"""),"CancelAllSubs")</f>
        <v>CancelAllSubs</v>
      </c>
      <c r="AF4" s="24" t="str">
        <f>IFERROR(__xludf.DUMMYFUNCTION("""COMPUTED_VALUE"""),"CancelSubOrder")</f>
        <v>CancelSubOrder</v>
      </c>
      <c r="AG4" s="24" t="str">
        <f>IFERROR(__xludf.DUMMYFUNCTION("""COMPUTED_VALUE"""),"EditStageOrder")</f>
        <v>EditStageOrder</v>
      </c>
      <c r="AH4" s="24" t="str">
        <f>IFERROR(__xludf.DUMMYFUNCTION("""COMPUTED_VALUE"""),"ReplaceSubOrder")</f>
        <v>ReplaceSubOrder</v>
      </c>
      <c r="AI4" s="24" t="str">
        <f>IFERROR(__xludf.DUMMYFUNCTION("""COMPUTED_VALUE"""),"SelectTradeWorkingSubsBlotter")</f>
        <v>SelectTradeWorkingSubsBlotter</v>
      </c>
      <c r="AJ4" s="24" t="str">
        <f>IFERROR(__xludf.DUMMYFUNCTION("""COMPUTED_VALUE"""),"VerifyAlgoDetails")</f>
        <v>VerifyAlgoDetails</v>
      </c>
      <c r="AK4" s="24" t="str">
        <f>IFERROR(__xludf.DUMMYFUNCTION("""COMPUTED_VALUE"""),"VerifyTransferToUserOrder")</f>
        <v>VerifyTransferToUserOrder</v>
      </c>
      <c r="AL4" s="24" t="str">
        <f>IFERROR(__xludf.DUMMYFUNCTION("""COMPUTED_VALUE"""),"VerifyTransferToUserSubOdr")</f>
        <v>VerifyTransferToUserSubOdr</v>
      </c>
      <c r="AM4" s="24" t="str">
        <f>IFERROR(__xludf.DUMMYFUNCTION("""COMPUTED_VALUE"""),"VerifyTransferToUserWorkSub")</f>
        <v>VerifyTransferToUserWorkSub</v>
      </c>
      <c r="AN4" s="24" t="str">
        <f>IFERROR(__xludf.DUMMYFUNCTION("""COMPUTED_VALUE"""),"SaveLayoutOrderGrid")</f>
        <v>SaveLayoutOrderGrid</v>
      </c>
      <c r="AO4" s="24" t="str">
        <f>IFERROR(__xludf.DUMMYFUNCTION("""COMPUTED_VALUE"""),"ReplaceStageOrder")</f>
        <v>ReplaceStageOrder</v>
      </c>
      <c r="AP4" s="24" t="str">
        <f>IFERROR(__xludf.DUMMYFUNCTION("""COMPUTED_VALUE"""),"MultiTradingTicketFromBlotter")</f>
        <v>MultiTradingTicketFromBlotter</v>
      </c>
      <c r="AQ4" s="24" t="str">
        <f>IFERROR(__xludf.DUMMYFUNCTION("""COMPUTED_VALUE"""),"VerifyViewAllocationDetails")</f>
        <v>VerifyViewAllocationDetails</v>
      </c>
      <c r="AR4" s="24" t="str">
        <f>IFERROR(__xludf.DUMMYFUNCTION("""COMPUTED_VALUE"""),"GoToAllocation")</f>
        <v>GoToAllocation</v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IFERROR(__xludf.DUMMYFUNCTION("""COMPUTED_VALUE"""),"Transaction Time")</f>
        <v>Transaction Time</v>
      </c>
      <c r="C5" s="26" t="str">
        <f>IFERROR(__xludf.DUMMYFUNCTION("""COMPUTED_VALUE"""),"Algo")</f>
        <v>Algo</v>
      </c>
      <c r="D5" s="26" t="str">
        <f>IFERROR(__xludf.DUMMYFUNCTION("""COMPUTED_VALUE"""),"Avg Fill Price (Base)")</f>
        <v>Avg Fill Price (Base)</v>
      </c>
      <c r="E5" s="26" t="str">
        <f>IFERROR(__xludf.DUMMYFUNCTION("""COMPUTED_VALUE"""),"Bloomberg Symbol")</f>
        <v>Bloomberg Symbol</v>
      </c>
      <c r="F5" s="27" t="str">
        <f>IFERROR(__xludf.DUMMYFUNCTION("""COMPUTED_VALUE"""),"Limit Price")</f>
        <v>Limit Price</v>
      </c>
      <c r="G5" s="26" t="str">
        <f>IFERROR(__xludf.DUMMYFUNCTION("""COMPUTED_VALUE"""),"Working Qty")</f>
        <v>Working Qty</v>
      </c>
      <c r="H5" s="26" t="str">
        <f>IFERROR(__xludf.DUMMYFUNCTION("""COMPUTED_VALUE"""),"Venue")</f>
        <v>Venue</v>
      </c>
      <c r="I5" s="26" t="str">
        <f>IFERROR(__xludf.DUMMYFUNCTION("""COMPUTED_VALUE"""),"User")</f>
        <v>User</v>
      </c>
      <c r="J5" s="26" t="str">
        <f>IFERROR(__xludf.DUMMYFUNCTION("""COMPUTED_VALUE"""),"Underlying Symbol")</f>
        <v>Underlying Symbol</v>
      </c>
      <c r="K5" s="26" t="str">
        <f>IFERROR(__xludf.DUMMYFUNCTION("""COMPUTED_VALUE"""),"Underlying Country")</f>
        <v>Underlying Country</v>
      </c>
      <c r="L5" s="26" t="str">
        <f>IFERROR(__xludf.DUMMYFUNCTION("""COMPUTED_VALUE"""),"Trader")</f>
        <v>Trader</v>
      </c>
      <c r="M5" s="26" t="str">
        <f>IFERROR(__xludf.DUMMYFUNCTION("""COMPUTED_VALUE"""),"Trade Attribute 1")</f>
        <v>Trade Attribute 1</v>
      </c>
      <c r="N5" s="26" t="str">
        <f>IFERROR(__xludf.DUMMYFUNCTION("""COMPUTED_VALUE"""),"Trade Attribute 2")</f>
        <v>Trade Attribute 2</v>
      </c>
      <c r="O5" s="26" t="str">
        <f>IFERROR(__xludf.DUMMYFUNCTION("""COMPUTED_VALUE"""),"Trade Attribute 3")</f>
        <v>Trade Attribute 3</v>
      </c>
      <c r="P5" s="26" t="str">
        <f>IFERROR(__xludf.DUMMYFUNCTION("""COMPUTED_VALUE"""),"Trade Attribute 4")</f>
        <v>Trade Attribute 4</v>
      </c>
      <c r="Q5" s="26" t="str">
        <f>IFERROR(__xludf.DUMMYFUNCTION("""COMPUTED_VALUE"""),"Trade Attribute 5")</f>
        <v>Trade Attribute 5</v>
      </c>
      <c r="R5" s="26" t="str">
        <f>IFERROR(__xludf.DUMMYFUNCTION("""COMPUTED_VALUE"""),"Trade Attribute 6")</f>
        <v>Trade Attribute 6</v>
      </c>
      <c r="S5" s="26" t="str">
        <f>IFERROR(__xludf.DUMMYFUNCTION("""COMPUTED_VALUE"""),"Strike Price")</f>
        <v>Strike Price</v>
      </c>
      <c r="T5" s="28" t="str">
        <f>IFERROR(__xludf.DUMMYFUNCTION("""COMPUTED_VALUE"""),"Stop Price")</f>
        <v>Stop Price</v>
      </c>
      <c r="U5" s="28" t="str">
        <f>IFERROR(__xludf.DUMMYFUNCTION("""COMPUTED_VALUE"""),"Settlement Currency")</f>
        <v>Settlement Currency</v>
      </c>
      <c r="V5" s="28" t="str">
        <f>IFERROR(__xludf.DUMMYFUNCTION("""COMPUTED_VALUE"""),"Put/Call")</f>
        <v>Put/Call</v>
      </c>
      <c r="W5" s="28" t="str">
        <f>IFERROR(__xludf.DUMMYFUNCTION("""COMPUTED_VALUE"""),"Process Date")</f>
        <v>Process Date</v>
      </c>
      <c r="X5" s="28" t="str">
        <f>IFERROR(__xludf.DUMMYFUNCTION("""COMPUTED_VALUE"""),"Peg")</f>
        <v>Peg</v>
      </c>
      <c r="Y5" s="28" t="str">
        <f>IFERROR(__xludf.DUMMYFUNCTION("""COMPUTED_VALUE"""),"ParentClOrderID")</f>
        <v>ParentClOrderID</v>
      </c>
      <c r="Z5" s="28" t="str">
        <f>IFERROR(__xludf.DUMMYFUNCTION("""COMPUTED_VALUE"""),"OrderID")</f>
        <v>OrderID</v>
      </c>
      <c r="AA5" s="28" t="str">
        <f>IFERROR(__xludf.DUMMYFUNCTION("""COMPUTED_VALUE"""),"Master Fund")</f>
        <v>Master Fund</v>
      </c>
      <c r="AB5" s="28" t="str">
        <f>IFERROR(__xludf.DUMMYFUNCTION("""COMPUTED_VALUE"""),"Last Shares")</f>
        <v>Last Shares</v>
      </c>
      <c r="AC5" s="28" t="str">
        <f>IFERROR(__xludf.DUMMYFUNCTION("""COMPUTED_VALUE"""),"Internal Comments")</f>
        <v>Internal Comments</v>
      </c>
      <c r="AD5" s="28" t="str">
        <f>IFERROR(__xludf.DUMMYFUNCTION("""COMPUTED_VALUE"""),"FX Rate")</f>
        <v>FX Rate</v>
      </c>
      <c r="AE5" s="28" t="str">
        <f>IFERROR(__xludf.DUMMYFUNCTION("""COMPUTED_VALUE"""),"Imported File Name")</f>
        <v>Imported File Name</v>
      </c>
      <c r="AF5" s="28" t="str">
        <f>IFERROR(__xludf.DUMMYFUNCTION("""COMPUTED_VALUE"""),"FX Conversion Operator")</f>
        <v>FX Conversion Operator</v>
      </c>
      <c r="AG5" s="28" t="str">
        <f>IFERROR(__xludf.DUMMYFUNCTION("""COMPUTED_VALUE"""),"Day Average Price")</f>
        <v>Day Average Price</v>
      </c>
      <c r="AH5" s="28" t="str">
        <f>IFERROR(__xludf.DUMMYFUNCTION("""COMPUTED_VALUE"""),"Asset Class")</f>
        <v>Asset Class</v>
      </c>
      <c r="AI5" s="28" t="str">
        <f>IFERROR(__xludf.DUMMYFUNCTION("""COMPUTED_VALUE"""),"Symbol")</f>
        <v>Symbol</v>
      </c>
      <c r="AJ5" s="28" t="str">
        <f>IFERROR(__xludf.DUMMYFUNCTION("""COMPUTED_VALUE"""),"Side")</f>
        <v>Side</v>
      </c>
      <c r="AK5" s="28" t="str">
        <f>IFERROR(__xludf.DUMMYFUNCTION("""COMPUTED_VALUE"""),"Status")</f>
        <v>Status</v>
      </c>
      <c r="AL5" s="28" t="str">
        <f>IFERROR(__xludf.DUMMYFUNCTION("""COMPUTED_VALUE"""),"Quantity")</f>
        <v>Quantity</v>
      </c>
      <c r="AM5" s="28" t="str">
        <f>IFERROR(__xludf.DUMMYFUNCTION("""COMPUTED_VALUE"""),"Executed Qty")</f>
        <v>Executed Qty</v>
      </c>
      <c r="AN5" s="28" t="str">
        <f>IFERROR(__xludf.DUMMYFUNCTION("""COMPUTED_VALUE"""),"% Executed")</f>
        <v>% Executed</v>
      </c>
      <c r="AO5" s="28" t="str">
        <f>IFERROR(__xludf.DUMMYFUNCTION("""COMPUTED_VALUE"""),"Day Executed Qty")</f>
        <v>Day Executed Qty</v>
      </c>
      <c r="AP5" s="28" t="str">
        <f>IFERROR(__xludf.DUMMYFUNCTION("""COMPUTED_VALUE"""),"Remaining Qty")</f>
        <v>Remaining Qty</v>
      </c>
      <c r="AQ5" s="28" t="str">
        <f>IFERROR(__xludf.DUMMYFUNCTION("""COMPUTED_VALUE"""),"Last Fill Price (Local)")</f>
        <v>Last Fill Price (Local)</v>
      </c>
      <c r="AR5" s="28" t="str">
        <f>IFERROR(__xludf.DUMMYFUNCTION("""COMPUTED_VALUE"""),"Avg Fill Price (Local)")</f>
        <v>Avg Fill Price (Local)</v>
      </c>
      <c r="AS5" s="28" t="str">
        <f>IFERROR(__xludf.DUMMYFUNCTION("""COMPUTED_VALUE"""),"Broker")</f>
        <v>Broker</v>
      </c>
      <c r="AT5" s="28" t="str">
        <f>IFERROR(__xludf.DUMMYFUNCTION("""COMPUTED_VALUE"""),"Account")</f>
        <v>Account</v>
      </c>
      <c r="AU5" s="28" t="str">
        <f>IFERROR(__xludf.DUMMYFUNCTION("""COMPUTED_VALUE"""),"Order Type")</f>
        <v>Order Type</v>
      </c>
      <c r="AV5" s="28" t="str">
        <f>IFERROR(__xludf.DUMMYFUNCTION("""COMPUTED_VALUE"""),"Principal Amount (Local)")</f>
        <v>Principal Amount (Local)</v>
      </c>
      <c r="AW5" s="28" t="str">
        <f>IFERROR(__xludf.DUMMYFUNCTION("""COMPUTED_VALUE"""),"Principal Amount (Base)")</f>
        <v>Principal Amount (Base)</v>
      </c>
      <c r="AX5" s="28" t="str">
        <f>IFERROR(__xludf.DUMMYFUNCTION("""COMPUTED_VALUE"""),"Allocation Scheme Name")</f>
        <v>Allocation Scheme Name</v>
      </c>
      <c r="AY5" s="28" t="str">
        <f>IFERROR(__xludf.DUMMYFUNCTION("""COMPUTED_VALUE"""),"Status (With Rollover)")</f>
        <v>Status (With Rollover)</v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AI6" s="30" t="s">
        <v>16</v>
      </c>
      <c r="AJ6" s="30" t="s">
        <v>17</v>
      </c>
      <c r="AK6" s="30" t="s">
        <v>25</v>
      </c>
      <c r="AL6" s="30">
        <v>2500.0</v>
      </c>
      <c r="AT6" s="30" t="s">
        <v>18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