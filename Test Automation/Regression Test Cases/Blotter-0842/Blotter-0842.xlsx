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ExecuteTrade1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angeDate" sheetId="12" r:id="rId14"/>
    <sheet state="visible" name="RestartReleasesAndServices" sheetId="13" r:id="rId15"/>
    <sheet state="visible" name="CheckPortfolioManagement" sheetId="14" r:id="rId16"/>
    <sheet state="visible" name="ExecuteTrade2" sheetId="15" r:id="rId17"/>
    <sheet state="visible" name="ExecuteTrade3" sheetId="16" r:id="rId18"/>
    <sheet state="visible" name="VerifyOrder1" sheetId="17" r:id="rId19"/>
    <sheet state="visible" name="ChangeDate1" sheetId="18" r:id="rId20"/>
    <sheet state="visible" name="ExecuteTrade4" sheetId="19" r:id="rId21"/>
    <sheet state="visible" name="ChangeDate2" sheetId="20" r:id="rId22"/>
    <sheet state="visible" name="VerifyOrder2" sheetId="21" r:id="rId23"/>
  </sheets>
  <definedNames/>
  <calcPr/>
</workbook>
</file>

<file path=xl/sharedStrings.xml><?xml version="1.0" encoding="utf-8"?>
<sst xmlns="http://schemas.openxmlformats.org/spreadsheetml/2006/main" count="198" uniqueCount="61">
  <si>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</si>
  <si>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</si>
  <si>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</si>
  <si>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</si>
  <si>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</si>
  <si>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</si>
  <si>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</si>
  <si>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</si>
  <si>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</si>
  <si>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</si>
  <si>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</si>
  <si>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</si>
  <si>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</si>
  <si>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</si>
  <si>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</si>
  <si>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</si>
  <si>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</si>
  <si>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</si>
  <si>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</si>
  <si>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</si>
  <si>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</si>
  <si>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</si>
  <si>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</si>
  <si>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</si>
  <si>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</si>
  <si>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</si>
  <si>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AcknowledgeTrade</t>
  </si>
  <si>
    <t>ExecuteTrade</t>
  </si>
  <si>
    <t>Blotter</t>
  </si>
  <si>
    <t>VerifyOrder</t>
  </si>
  <si>
    <t>NASDAQ</t>
  </si>
  <si>
    <t>USD</t>
  </si>
  <si>
    <t>M</t>
  </si>
  <si>
    <t>PartiallyFilled</t>
  </si>
  <si>
    <t>MS</t>
  </si>
  <si>
    <t>Allocation</t>
  </si>
  <si>
    <t>GetDataAllocation</t>
  </si>
  <si>
    <t>Historical</t>
  </si>
  <si>
    <t>CheckAllocatedGroups</t>
  </si>
  <si>
    <t>Actual_365</t>
  </si>
  <si>
    <t>Manual</t>
  </si>
  <si>
    <t>Equity</t>
  </si>
  <si>
    <t>AAPL US EQUITY</t>
  </si>
  <si>
    <t>Treasury</t>
  </si>
  <si>
    <t>APPLE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</si>
  <si>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</si>
  <si>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</si>
  <si>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</si>
  <si>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</si>
  <si>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</si>
  <si>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</si>
  <si>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</si>
  <si>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</si>
  <si>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</si>
  <si>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</si>
  <si>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PortfolioManagement</t>
  </si>
  <si>
    <t>CheckPortfolioManagement</t>
  </si>
  <si>
    <t>NewMF</t>
  </si>
  <si>
    <t>Today()+2</t>
  </si>
  <si>
    <t>Today()+3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</si>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</sst>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6.0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2">
        <v>100.0</v>
      </c>
      <c r="D6" s="36">
        <v>2.0</v>
      </c>
      <c r="E6" s="37" t="s">
        <v>20</v>
      </c>
      <c r="F6" s="38"/>
      <c r="G6" s="38"/>
      <c r="H6" s="38"/>
      <c r="I6" s="39" t="s">
        <v>21</v>
      </c>
      <c r="J6" s="37" t="s">
        <v>22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 t="s">
        <v>23</v>
      </c>
      <c r="V6" s="38" t="s">
        <v>24</v>
      </c>
      <c r="W6" s="38"/>
      <c r="X6" s="32">
        <v>123.0</v>
      </c>
      <c r="Y6" s="40">
        <f>TODAY()+2</f>
        <v>45955</v>
      </c>
      <c r="Z6" s="41">
        <f>TODAY()</f>
        <v>45953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122.5</v>
      </c>
      <c r="C6" s="13">
        <v>10.0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121.8</v>
      </c>
      <c r="C6" s="13">
        <v>15.0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30</v>
      </c>
      <c r="I6" s="8"/>
      <c r="J6" s="8"/>
      <c r="K6" s="8"/>
      <c r="L6" s="8"/>
      <c r="M6" s="8"/>
      <c r="N6" s="8"/>
      <c r="O6" s="8"/>
      <c r="U6" s="9" t="s">
        <v>31</v>
      </c>
      <c r="AD6" s="9">
        <v>1.0</v>
      </c>
      <c r="AF6" s="9" t="s">
        <v>32</v>
      </c>
      <c r="AI6" s="9" t="s">
        <v>19</v>
      </c>
      <c r="AJ6" s="9" t="s">
        <v>22</v>
      </c>
      <c r="AK6" s="9" t="s">
        <v>33</v>
      </c>
      <c r="AS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37</v>
      </c>
      <c r="C6" s="42">
        <f>TODAY()-10</f>
        <v>45943</v>
      </c>
      <c r="D6" s="42">
        <f>TODAY()+20</f>
        <v>45973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7" t="s">
        <v>39</v>
      </c>
      <c r="D6" s="34"/>
      <c r="E6" s="38"/>
      <c r="F6" s="37" t="s">
        <v>40</v>
      </c>
      <c r="G6" s="37" t="s">
        <v>41</v>
      </c>
      <c r="H6" s="43">
        <v>4.0</v>
      </c>
      <c r="I6" s="43">
        <v>5.0</v>
      </c>
      <c r="J6" s="43">
        <v>1.0</v>
      </c>
      <c r="K6" s="8"/>
      <c r="L6" s="8"/>
      <c r="M6" s="37" t="s">
        <v>42</v>
      </c>
      <c r="N6" s="37" t="s">
        <v>43</v>
      </c>
      <c r="O6" s="35" t="s">
        <v>34</v>
      </c>
      <c r="V6" s="38" t="s">
        <v>44</v>
      </c>
      <c r="W6" s="38"/>
      <c r="X6" s="38"/>
      <c r="Y6" s="38"/>
      <c r="Z6" s="38" t="s">
        <v>31</v>
      </c>
      <c r="AA6" s="38" t="s">
        <v>19</v>
      </c>
      <c r="AD6" s="38" t="s">
        <v>30</v>
      </c>
      <c r="AH6" s="9" t="s">
        <v>32</v>
      </c>
      <c r="AI6" s="9">
        <v>1.0</v>
      </c>
      <c r="BJ6" s="9">
        <v>100.0</v>
      </c>
      <c r="BM6" s="9" t="s">
        <v>31</v>
      </c>
      <c r="BO6" s="9" t="s">
        <v>22</v>
      </c>
      <c r="BS6" s="38" t="s">
        <v>45</v>
      </c>
      <c r="BT6" s="9" t="s">
        <v>19</v>
      </c>
      <c r="CF6" s="38" t="s">
        <v>46</v>
      </c>
      <c r="CG6" s="44">
        <v>2.0</v>
      </c>
      <c r="CH6" s="38" t="s">
        <v>17</v>
      </c>
      <c r="CI6" s="38" t="s">
        <v>22</v>
      </c>
      <c r="CJ6" s="38"/>
      <c r="CK6" s="38" t="s">
        <v>47</v>
      </c>
      <c r="CL6" s="44">
        <v>1.0</v>
      </c>
      <c r="CM6" s="38" t="s">
        <v>19</v>
      </c>
      <c r="CN6" s="38" t="s">
        <v>48</v>
      </c>
      <c r="CO6" s="38" t="s">
        <v>30</v>
      </c>
      <c r="CP6" s="38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19</v>
      </c>
      <c r="D6" s="13">
        <v>25.0</v>
      </c>
      <c r="E6" s="13" t="s">
        <v>21</v>
      </c>
      <c r="F6" s="13" t="s">
        <v>57</v>
      </c>
      <c r="G6" s="8"/>
      <c r="H6" s="8"/>
      <c r="I6" s="8"/>
      <c r="J6" s="8"/>
      <c r="K6" s="8"/>
      <c r="L6" s="8"/>
      <c r="M6" s="8"/>
      <c r="N6" s="8"/>
      <c r="O6" s="8"/>
      <c r="Y6" s="9">
        <v>1.0</v>
      </c>
      <c r="AN6" s="9" t="s">
        <v>22</v>
      </c>
      <c r="B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121.9</v>
      </c>
      <c r="C6" s="13">
        <v>22.0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121.2</v>
      </c>
      <c r="C6" s="13">
        <v>23.0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30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32</v>
      </c>
      <c r="AI6" s="9" t="s">
        <v>19</v>
      </c>
      <c r="AJ6" s="9" t="s">
        <v>22</v>
      </c>
      <c r="AK6" s="9" t="s">
        <v>33</v>
      </c>
      <c r="AS6" s="9" t="s">
        <v>34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122.65</v>
      </c>
      <c r="C6" s="13">
        <v>30.0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30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32</v>
      </c>
      <c r="AI6" s="9" t="s">
        <v>19</v>
      </c>
      <c r="AJ6" s="9" t="s">
        <v>22</v>
      </c>
      <c r="AK6" s="9" t="s">
        <v>60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