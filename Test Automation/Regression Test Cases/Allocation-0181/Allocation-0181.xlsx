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eAttributePreferences" sheetId="4" r:id="rId6"/>
    <sheet name="CreateDoneAwayOrder" sheetId="5" r:id="rId7"/>
    <sheet name="VerifyOrder" sheetId="6" r:id="rId8"/>
    <sheet name="VerifyWorkingSubs" sheetId="7" r:id="rId9"/>
    <sheet name="GetDataClosing" sheetId="8" r:id="rId10"/>
    <sheet name="VerifyUnExpiredUnSettledGrid" sheetId="9" r:id="rId11"/>
    <sheet name="GetDataAllocation" sheetId="10" r:id="rId12"/>
    <sheet name="CheckAllocatedGroups" sheetId="11" r:id="rId13"/>
    <sheet name="CheckPortfolioManagement" sheetId="12" r:id="rId14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<sst xmlns="http://schemas.openxmlformats.org/spreadsheetml/2006/main" count="46" uniqueCount="46">
  <si>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</si>
  <si>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</si>
  <si>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</si>
  <si>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</si>
  <si>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</si>
  <si>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</si>
  <si>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</si>
  <si>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</si>
  <si>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</si>
  <si>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</si>
  <si>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</si>
  <si>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</si>
  <si>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</si>
  <si>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</si>
  <si>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</si>
  <si>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</si>
  <si>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</si>
  <si>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PIPR,TA2,TA3</t>
  </si>
  <si>
    <t>TradingTicket</t>
  </si>
  <si>
    <t>CreateDoneAwayOrder</t>
  </si>
  <si>
    <t>AAPL</t>
  </si>
  <si>
    <t>Buy</t>
  </si>
  <si>
    <t>Allocation1</t>
  </si>
  <si>
    <t>PIPR</t>
  </si>
  <si>
    <t>O:ABM 10D20.00</t>
  </si>
  <si>
    <t>Buy to Open</t>
  </si>
  <si>
    <t>TA1</t>
  </si>
  <si>
    <t>Blotter</t>
  </si>
  <si>
    <t>VerifyOrder</t>
  </si>
  <si>
    <t>Equity</t>
  </si>
  <si>
    <t>Filled</t>
  </si>
  <si>
    <t>MS</t>
  </si>
  <si>
    <t>Market</t>
  </si>
  <si>
    <t>EquityOption</t>
  </si>
  <si>
    <t>VerifyWorkingSubs</t>
  </si>
  <si>
    <t xml:space="preserve"> O:ABM 10D20.00</t>
  </si>
  <si>
    <t>Closing</t>
  </si>
  <si>
    <t>GetDataClosing</t>
  </si>
  <si>
    <t>Current</t>
  </si>
  <si>
    <t>VerifyUnExpiredUnSettledGrid</t>
  </si>
  <si>
    <t>GetDataAllocation</t>
  </si>
  <si>
    <t>CheckAllocatedGroups</t>
  </si>
  <si>
    <t>Open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</si>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</sst>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5" applyBorder="1" xfId="0">
      <alignment horizontal="right"/>
    </xf>
    <xf fontId="3" applyFont="1" fillId="0" applyFill="1" borderId="5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numFmtId="4" applyNumberFormat="1" fontId="2" applyFont="1" fillId="0" applyFill="1" borderId="0" applyBorder="1" xfId="0"/>
    <xf fontId="3" applyFont="1" fillId="0" applyFill="1" borderId="5" applyBorder="1" xfId="0"/>
    <xf fontId="13" applyFont="1" fillId="0" applyFill="1" borderId="5" applyBorder="1" xfId="0"/>
    <xf numFmtId="164" applyNumberFormat="1" fontId="13" applyFont="1" fillId="0" applyFill="1" borderId="5" applyBorder="1" xfId="0">
      <alignment horizontal="right"/>
    </xf>
    <xf fontId="13" applyFont="1" fillId="0" applyFill="1" borderId="5" applyBorder="1" xfId="0"/>
    <xf numFmtId="164" applyNumberFormat="1" fontId="13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13" applyFont="1" fillId="0" applyFill="1" borderId="0" applyBorder="1" xfId="0"/>
    <xf fontId="13" applyFont="1" fillId="0" applyFill="1" borderId="0" applyBorder="1" xfId="0"/>
    <xf fontId="5" applyFont="1" fillId="0" applyFill="1" borderId="5" applyBorder="1" xfId="0">
      <alignment horizontal="right"/>
    </xf>
    <xf numFmtId="3" applyNumberFormat="1" fontId="5" applyFont="1" fillId="0" applyFill="1" borderId="5" applyBorder="1" xfId="0">
      <alignment horizontal="right"/>
    </xf>
    <xf fontId="3" applyFont="1" fillId="0" applyFill="1" borderId="0" applyBorder="1" xfId="0">
      <alignment horizontal="right"/>
    </xf>
    <xf numFmtId="3" applyNumberFormat="1" fontId="5" applyFont="1" fillId="0" applyFill="1" borderId="0" applyBorder="1" xfId="0">
      <alignment horizontal="right"/>
    </xf>
    <xf numFmtId="3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IFERROR(__xludf.DUMMYFUNCTION("""COMPUTED_VALUE"""),"AttributeValue")</f>
        <v>AttributeValue</v>
      </c>
      <c r="C5" s="27" t="str">
        <f>IFERROR(__xludf.DUMMYFUNCTION("""COMPUTED_VALUE"""),"AttributeName")</f>
        <v>AttributeName</v>
      </c>
      <c r="D5" s="27" t="str">
        <f>IFERROR(__xludf.DUMMYFUNCTION("""COMPUTED_VALUE"""),"KeepRecord")</f>
        <v>KeepRecord</v>
      </c>
      <c r="E5" s="27" t="str">
        <f>IFERROR(__xludf.DUMMYFUNCTION("""COMPUTED_VALUE"""),"DefaultValues")</f>
        <v>DefaultValues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b">
        <v>1</v>
      </c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SetTradeAttributePreferences!$4:$4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5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</v>
      </c>
      <c r="E6" s="11">
        <v>100</v>
      </c>
      <c r="F6" s="11" t="s">
        <v>22</v>
      </c>
      <c r="G6" s="8"/>
      <c r="H6" s="8"/>
      <c r="I6" s="8"/>
      <c r="J6" s="11">
        <v>10</v>
      </c>
      <c r="K6" s="8"/>
      <c r="L6" s="8"/>
      <c r="M6" s="8"/>
      <c r="N6" s="8"/>
      <c r="O6" s="8"/>
      <c r="V6" s="9" t="s">
        <v>23</v>
      </c>
    </row>
    <row r="7" ht="15.75" customHeight="1">
      <c r="A7" s="8"/>
      <c r="B7" s="11" t="s">
        <v>24</v>
      </c>
      <c r="C7" s="11" t="s">
        <v>25</v>
      </c>
      <c r="D7" s="11">
        <v>200</v>
      </c>
      <c r="E7" s="11">
        <v>200</v>
      </c>
      <c r="F7" s="11" t="s">
        <v>22</v>
      </c>
      <c r="G7" s="8"/>
      <c r="H7" s="8"/>
      <c r="I7" s="8"/>
      <c r="J7" s="11">
        <v>20</v>
      </c>
      <c r="K7" s="8"/>
      <c r="L7" s="8"/>
      <c r="M7" s="8"/>
      <c r="N7" s="8"/>
      <c r="O7" s="8"/>
      <c r="V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 t="str">
        <f>IFERROR(__xludf.DUMMYFUNCTION("""COMPUTED_VALUE"""),"ReAllocateFromBlotterByAllocate")</f>
        <v>ReAllocateFromBlotterByAllocate</v>
      </c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Q6" s="9" t="s">
        <v>23</v>
      </c>
      <c r="AH6" s="9" t="s">
        <v>29</v>
      </c>
      <c r="AI6" s="11" t="s">
        <v>20</v>
      </c>
      <c r="AJ6" s="11" t="s">
        <v>21</v>
      </c>
      <c r="AK6" s="9" t="s">
        <v>30</v>
      </c>
      <c r="AL6" s="9">
        <v>100</v>
      </c>
      <c r="AM6" s="9">
        <v>100</v>
      </c>
      <c r="AN6" s="9">
        <v>100</v>
      </c>
      <c r="AO6" s="9">
        <v>100</v>
      </c>
      <c r="AS6" s="9" t="s">
        <v>31</v>
      </c>
      <c r="AT6" s="9" t="s">
        <v>22</v>
      </c>
      <c r="AU6" s="9" t="s">
        <v>32</v>
      </c>
    </row>
    <row r="7" ht="15.75" customHeight="1">
      <c r="A7" s="8"/>
      <c r="B7" s="8"/>
      <c r="C7" s="8"/>
      <c r="D7" s="11">
        <v>20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 t="s">
        <v>26</v>
      </c>
      <c r="AH7" s="9" t="s">
        <v>33</v>
      </c>
      <c r="AI7" s="11" t="s">
        <v>24</v>
      </c>
      <c r="AJ7" s="11" t="s">
        <v>25</v>
      </c>
      <c r="AK7" s="9" t="s">
        <v>30</v>
      </c>
      <c r="AL7" s="9">
        <v>200</v>
      </c>
      <c r="AM7" s="9">
        <v>200</v>
      </c>
      <c r="AN7" s="9">
        <v>100</v>
      </c>
      <c r="AO7" s="9">
        <v>200</v>
      </c>
      <c r="AS7" s="9" t="s">
        <v>31</v>
      </c>
      <c r="AT7" s="9" t="s">
        <v>22</v>
      </c>
      <c r="AU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 t="str">
        <f>IFERROR(__xludf.DUMMYFUNCTION("""COMPUTED_VALUE"""),"ReAllocateFromBlotterByAllocate")</f>
        <v>ReAllocateFromBlotterByAllocate</v>
      </c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31">
        <v>100</v>
      </c>
      <c r="E6" s="32">
        <v>100</v>
      </c>
      <c r="F6" s="33"/>
      <c r="G6" s="33" t="s">
        <v>30</v>
      </c>
      <c r="H6" s="33"/>
      <c r="I6" s="33"/>
      <c r="J6" s="33"/>
      <c r="K6" s="33" t="s">
        <v>31</v>
      </c>
      <c r="L6" s="33" t="s">
        <v>22</v>
      </c>
      <c r="M6" s="33" t="s">
        <v>32</v>
      </c>
      <c r="N6" s="33"/>
      <c r="O6" s="33"/>
      <c r="P6" s="33"/>
      <c r="Q6" s="33"/>
      <c r="R6" s="33"/>
      <c r="S6" s="33"/>
      <c r="T6" s="34"/>
      <c r="U6" s="34"/>
      <c r="V6" s="34"/>
      <c r="W6" s="34" t="s">
        <v>29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5" t="s">
        <v>23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</row>
    <row r="7" ht="15.75" customHeight="1">
      <c r="A7" s="8"/>
      <c r="B7" s="11" t="s">
        <v>35</v>
      </c>
      <c r="C7" s="11" t="s">
        <v>25</v>
      </c>
      <c r="D7" s="36">
        <v>200</v>
      </c>
      <c r="E7" s="36">
        <v>200</v>
      </c>
      <c r="F7" s="34"/>
      <c r="G7" s="34" t="s">
        <v>30</v>
      </c>
      <c r="H7" s="34"/>
      <c r="I7" s="34"/>
      <c r="J7" s="34"/>
      <c r="K7" s="34" t="s">
        <v>31</v>
      </c>
      <c r="L7" s="34" t="s">
        <v>22</v>
      </c>
      <c r="M7" s="34" t="s">
        <v>32</v>
      </c>
      <c r="N7" s="34"/>
      <c r="O7" s="34"/>
      <c r="P7" s="34"/>
      <c r="Q7" s="34"/>
      <c r="R7" s="34"/>
      <c r="S7" s="34"/>
      <c r="T7" s="34"/>
      <c r="U7" s="34"/>
      <c r="V7" s="34"/>
      <c r="W7" s="35" t="s">
        <v>33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5" t="s">
        <v>26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ht="15.75" customHeight="1">
      <c r="A8" s="8"/>
      <c r="B8" s="8"/>
      <c r="C8" s="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IFERROR(__xludf.DUMMYFUNCTION("IF(C3="""","""",Transpose(IMPORTRANGE('_Settings'!$B$3,C3&amp;""!A4:A1000"")))"),"FilterClosing")</f>
        <v>FilterClosing</v>
      </c>
      <c r="C4" s="24" t="str">
        <f>IFERROR(__xludf.DUMMYFUNCTION("""COMPUTED_VALUE"""),"UnwindAllClosingData")</f>
        <v>UnwindAllClosingData</v>
      </c>
      <c r="D4" s="24" t="str">
        <f>IFERROR(__xludf.DUMMYFUNCTION("""COMPUTED_VALUE"""),"FilterExpiredGrid")</f>
        <v>FilterExpiredGrid</v>
      </c>
      <c r="E4" s="24" t="str">
        <f>IFERROR(__xludf.DUMMYFUNCTION("""COMPUTED_VALUE"""),"FilterUnexpiredGrid")</f>
        <v>FilterUnexpiredGrid</v>
      </c>
      <c r="F4" s="24" t="str">
        <f>IFERROR(__xludf.DUMMYFUNCTION("""COMPUTED_VALUE"""),"FilterClosingGrid")</f>
        <v>FilterClosingGrid</v>
      </c>
      <c r="G4" s="24" t="str">
        <f>IFERROR(__xludf.DUMMYFUNCTION("""COMPUTED_VALUE"""),"FilterShortPositionGrid")</f>
        <v>FilterShortPositionGrid</v>
      </c>
      <c r="H4" s="24" t="str">
        <f>IFERROR(__xludf.DUMMYFUNCTION("""COMPUTED_VALUE"""),"FilterLongPositionGrid")</f>
        <v>FilterLongPositionGrid</v>
      </c>
      <c r="I4" s="24" t="str">
        <f>IFERROR(__xludf.DUMMYFUNCTION("""COMPUTED_VALUE"""),"SaveCTData")</f>
        <v>SaveCTData</v>
      </c>
      <c r="J4" s="24" t="str">
        <f>IFERROR(__xludf.DUMMYFUNCTION("""COMPUTED_VALUE"""),"ExerciseAssignmentWithOutSave")</f>
        <v>ExerciseAssignmentWithOutSave</v>
      </c>
      <c r="K4" s="24" t="str">
        <f>IFERROR(__xludf.DUMMYFUNCTION("""COMPUTED_VALUE"""),"VerifyCTData")</f>
        <v>VerifyCTData</v>
      </c>
      <c r="L4" s="24" t="str">
        <f>IFERROR(__xludf.DUMMYFUNCTION("""COMPUTED_VALUE"""),"SelectAccountWiseAsset")</f>
        <v>SelectAccountWiseAsset</v>
      </c>
      <c r="M4" s="24" t="str">
        <f>IFERROR(__xludf.DUMMYFUNCTION("""COMPUTED_VALUE"""),"RunTemplate")</f>
        <v>RunTemplate</v>
      </c>
      <c r="N4" s="24" t="str">
        <f>IFERROR(__xludf.DUMMYFUNCTION("""COMPUTED_VALUE"""),"DeleteTemplate")</f>
        <v>DeleteTemplate</v>
      </c>
      <c r="O4" s="24" t="str">
        <f>IFERROR(__xludf.DUMMYFUNCTION("""COMPUTED_VALUE"""),"EditTemplate")</f>
        <v>EditTemplate</v>
      </c>
      <c r="P4" s="25" t="str">
        <f>IFERROR(__xludf.DUMMYFUNCTION("""COMPUTED_VALUE"""),"CreateUnwindingTemplate")</f>
        <v>CreateUnwindingTemplate</v>
      </c>
      <c r="Q4" s="25" t="str">
        <f>IFERROR(__xludf.DUMMYFUNCTION("""COMPUTED_VALUE"""),"CreateClosingTemplate")</f>
        <v>CreateClosingTemplate</v>
      </c>
      <c r="R4" s="25" t="str">
        <f>IFERROR(__xludf.DUMMYFUNCTION("""COMPUTED_VALUE"""),"PreviewDataWithFilters")</f>
        <v>PreviewDataWithFilters</v>
      </c>
      <c r="S4" s="25" t="str">
        <f>IFERROR(__xludf.DUMMYFUNCTION("""COMPUTED_VALUE"""),"ManualCloseOrder")</f>
        <v>ManualCloseOrder</v>
      </c>
      <c r="T4" s="25" t="str">
        <f>IFERROR(__xludf.DUMMYFUNCTION("""COMPUTED_VALUE"""),"EditMultipleCloseQuantity")</f>
        <v>EditMultipleCloseQuantity</v>
      </c>
      <c r="U4" s="25" t="str">
        <f>IFERROR(__xludf.DUMMYFUNCTION("""COMPUTED_VALUE"""),"AutoExercise")</f>
        <v>AutoExercise</v>
      </c>
      <c r="V4" s="25" t="str">
        <f>IFERROR(__xludf.DUMMYFUNCTION("""COMPUTED_VALUE"""),"SwapExpire")</f>
        <v>SwapExpire</v>
      </c>
      <c r="W4" s="25" t="str">
        <f>IFERROR(__xludf.DUMMYFUNCTION("""COMPUTED_VALUE"""),"GetDataClosing")</f>
        <v>GetDataClosing</v>
      </c>
      <c r="X4" s="25" t="str">
        <f>IFERROR(__xludf.DUMMYFUNCTION("""COMPUTED_VALUE"""),"ManualClosing")</f>
        <v>ManualClosing</v>
      </c>
      <c r="Y4" s="25" t="str">
        <f>IFERROR(__xludf.DUMMYFUNCTION("""COMPUTED_VALUE"""),"AutomaticClosing")</f>
        <v>AutomaticClosing</v>
      </c>
      <c r="Z4" s="25" t="str">
        <f>IFERROR(__xludf.DUMMYFUNCTION("""COMPUTED_VALUE"""),"UnwindClosing")</f>
        <v>UnwindClosing</v>
      </c>
      <c r="AA4" s="25" t="str">
        <f>IFERROR(__xludf.DUMMYFUNCTION("""COMPUTED_VALUE"""),"VerifyClosedTrades")</f>
        <v>VerifyClosedTrades</v>
      </c>
      <c r="AB4" s="25" t="str">
        <f>IFERROR(__xludf.DUMMYFUNCTION("""COMPUTED_VALUE"""),"VerifyLongPositionsGrid")</f>
        <v>VerifyLongPositionsGrid</v>
      </c>
      <c r="AC4" s="25" t="str">
        <f>IFERROR(__xludf.DUMMYFUNCTION("""COMPUTED_VALUE"""),"VerifyShortPositionsGrid")</f>
        <v>VerifyShortPositionsGrid</v>
      </c>
      <c r="AD4" s="25" t="str">
        <f>IFERROR(__xludf.DUMMYFUNCTION("""COMPUTED_VALUE"""),"CashSettlementAtCost")</f>
        <v>CashSettlementAtCost</v>
      </c>
      <c r="AE4" s="25" t="str">
        <f>IFERROR(__xludf.DUMMYFUNCTION("""COMPUTED_VALUE"""),"SelectTradeUnexpiredUnsettled")</f>
        <v>SelectTradeUnexpiredUnsettled</v>
      </c>
      <c r="AF4" s="25" t="str">
        <f>IFERROR(__xludf.DUMMYFUNCTION("""COMPUTED_VALUE"""),"CashSettlementAtClosingDtSpotPx")</f>
        <v>CashSettlementAtClosingDtSpotPx</v>
      </c>
      <c r="AG4" s="25" t="str">
        <f>IFERROR(__xludf.DUMMYFUNCTION("""COMPUTED_VALUE"""),"PhysicalSettlement")</f>
        <v>PhysicalSettlement</v>
      </c>
      <c r="AH4" s="25" t="str">
        <f>IFERROR(__xludf.DUMMYFUNCTION("""COMPUTED_VALUE"""),"Expire")</f>
        <v>Expire</v>
      </c>
      <c r="AI4" s="25" t="str">
        <f>IFERROR(__xludf.DUMMYFUNCTION("""COMPUTED_VALUE"""),"ExerciseAssignment")</f>
        <v>ExerciseAssignment</v>
      </c>
      <c r="AJ4" s="25" t="str">
        <f>IFERROR(__xludf.DUMMYFUNCTION("""COMPUTED_VALUE"""),"ExerciseAssignmentAtZero")</f>
        <v>ExerciseAssignmentAtZero</v>
      </c>
      <c r="AK4" s="25" t="str">
        <f>IFERROR(__xludf.DUMMYFUNCTION("""COMPUTED_VALUE"""),"SwapExpireAndRollover")</f>
        <v>SwapExpireAndRollover</v>
      </c>
      <c r="AL4" s="25" t="str">
        <f>IFERROR(__xludf.DUMMYFUNCTION("""COMPUTED_VALUE"""),"SwapExpire")</f>
        <v>SwapExpire</v>
      </c>
      <c r="AM4" s="25" t="str">
        <f>IFERROR(__xludf.DUMMYFUNCTION("""COMPUTED_VALUE"""),"VerifyExpiredSettledGrid")</f>
        <v>VerifyExpiredSettledGrid</v>
      </c>
      <c r="AN4" s="25" t="str">
        <f>IFERROR(__xludf.DUMMYFUNCTION("""COMPUTED_VALUE"""),"VerifyUnExpiredUnSettledGrid")</f>
        <v>VerifyUnExpiredUnSettledGrid</v>
      </c>
      <c r="AO4" s="25" t="str">
        <f>IFERROR(__xludf.DUMMYFUNCTION("""COMPUTED_VALUE"""),"UnWindTradeSettlement")</f>
        <v>UnWindTradeSettlement</v>
      </c>
      <c r="AP4" s="25" t="str">
        <f>IFERROR(__xludf.DUMMYFUNCTION("""COMPUTED_VALUE"""),"CloseOrder")</f>
        <v>CloseOrder</v>
      </c>
      <c r="AQ4" s="25" t="str">
        <f>IFERROR(__xludf.DUMMYFUNCTION("""COMPUTED_VALUE"""),"VerifyCloseOrder")</f>
        <v>VerifyCloseOrder</v>
      </c>
      <c r="AR4" s="25" t="str">
        <f>IFERROR(__xludf.DUMMYFUNCTION("""COMPUTED_VALUE"""),"UnWindCloseOrder")</f>
        <v>UnWindCloseOrder</v>
      </c>
      <c r="AS4" s="25" t="str">
        <f>IFERROR(__xludf.DUMMYFUNCTION("""COMPUTED_VALUE"""),"ClosingCleanUp")</f>
        <v>ClosingCleanUp</v>
      </c>
      <c r="AT4" s="25" t="str">
        <f>IFERROR(__xludf.DUMMYFUNCTION("""COMPUTED_VALUE"""),"CloseClosingUI")</f>
        <v>CloseClosingUI</v>
      </c>
      <c r="AU4" s="25" t="str">
        <f>IFERROR(__xludf.DUMMYFUNCTION("""COMPUTED_VALUE"""),"EditTradeUnexpiredUnsettled")</f>
        <v>EditTradeUnexpiredUnsettled</v>
      </c>
      <c r="AV4" s="25" t="str">
        <f>IFERROR(__xludf.DUMMYFUNCTION("""COMPUTED_VALUE"""),"SetClosingPreference")</f>
        <v>SetClosingPreference</v>
      </c>
      <c r="AW4" s="25" t="str">
        <f>IFERROR(__xludf.DUMMYFUNCTION("""COMPUTED_VALUE"""),"SelectCreateTransactions")</f>
        <v>SelectCreateTransactions</v>
      </c>
      <c r="AX4" s="25" t="str">
        <f>IFERROR(__xludf.DUMMYFUNCTION("""COMPUTED_VALUE"""),"EditClosingTransactions")</f>
        <v>EditClosingTransactions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 t="str">
        <f>IFERROR(__xludf.DUMMYFUNCTION("""COMPUTED_VALUE"""),"isRowCountCheck")</f>
        <v>isRowCountCheck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11"/>
      <c r="F6" s="8"/>
      <c r="G6" s="8"/>
      <c r="H6" s="8"/>
      <c r="I6" s="11">
        <v>20</v>
      </c>
      <c r="J6" s="8"/>
      <c r="K6" s="11"/>
      <c r="L6" s="8"/>
      <c r="M6" s="8"/>
      <c r="N6" s="8"/>
      <c r="O6" s="8"/>
      <c r="AQ6" s="9">
        <v>200</v>
      </c>
      <c r="BO6" s="37">
        <v>400000</v>
      </c>
      <c r="CG6" s="9">
        <v>200</v>
      </c>
      <c r="DG6" s="11" t="s">
        <v>24</v>
      </c>
      <c r="D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22</v>
      </c>
      <c r="C6" s="33"/>
      <c r="D6" s="40">
        <v>0</v>
      </c>
      <c r="E6" s="40">
        <v>100</v>
      </c>
      <c r="F6" s="33"/>
      <c r="G6" s="33"/>
      <c r="H6" s="40">
        <v>4</v>
      </c>
      <c r="I6" s="40">
        <v>5</v>
      </c>
      <c r="J6" s="33"/>
      <c r="K6" s="40">
        <v>10</v>
      </c>
      <c r="L6" s="40">
        <v>10</v>
      </c>
      <c r="M6" s="33"/>
      <c r="N6" s="33"/>
      <c r="O6" s="33" t="s">
        <v>31</v>
      </c>
      <c r="P6" s="33"/>
      <c r="Q6" s="33"/>
      <c r="R6" s="40">
        <v>0</v>
      </c>
      <c r="S6" s="41" t="s">
        <v>42</v>
      </c>
      <c r="T6" s="42">
        <v>0</v>
      </c>
      <c r="U6" s="42">
        <v>0</v>
      </c>
      <c r="V6" s="34"/>
      <c r="W6" s="34"/>
      <c r="X6" s="34"/>
      <c r="Y6" s="34"/>
      <c r="Z6" s="34"/>
      <c r="AA6" s="34"/>
      <c r="AB6" s="34"/>
      <c r="AC6" s="34"/>
      <c r="AD6" s="34"/>
      <c r="AE6" s="42">
        <v>100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2">
        <v>1014.0006</v>
      </c>
      <c r="AU6" s="42">
        <v>1014.0006</v>
      </c>
      <c r="AV6" s="34"/>
      <c r="AW6" s="43">
        <v>0</v>
      </c>
      <c r="AX6" s="43">
        <v>0</v>
      </c>
      <c r="AY6" s="34" t="s">
        <v>32</v>
      </c>
      <c r="AZ6" s="43">
        <v>0</v>
      </c>
      <c r="BA6" s="34"/>
      <c r="BB6" s="34"/>
      <c r="BC6" s="43">
        <v>0</v>
      </c>
      <c r="BD6" s="34"/>
      <c r="BE6" s="34"/>
      <c r="BF6" s="34"/>
      <c r="BG6" s="34"/>
      <c r="BH6" s="34"/>
      <c r="BI6" s="34"/>
      <c r="BJ6" s="42">
        <v>100</v>
      </c>
      <c r="BK6" s="34"/>
      <c r="BL6" s="34"/>
      <c r="BM6" s="34"/>
      <c r="BN6" s="34"/>
      <c r="BO6" s="34" t="s">
        <v>21</v>
      </c>
      <c r="BP6" s="34"/>
      <c r="BQ6" s="34"/>
      <c r="BR6" s="34"/>
      <c r="BS6" s="34"/>
      <c r="BT6" s="44" t="s">
        <v>20</v>
      </c>
      <c r="BU6" s="34"/>
      <c r="BV6" s="34"/>
      <c r="BW6" s="34"/>
      <c r="BX6" s="34"/>
      <c r="BY6" s="44" t="s">
        <v>23</v>
      </c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22</v>
      </c>
      <c r="C7" s="33"/>
      <c r="D7" s="40">
        <v>0</v>
      </c>
      <c r="E7" s="40">
        <v>200</v>
      </c>
      <c r="F7" s="33"/>
      <c r="G7" s="33"/>
      <c r="H7" s="40">
        <v>0</v>
      </c>
      <c r="I7" s="40">
        <v>0</v>
      </c>
      <c r="J7" s="33"/>
      <c r="K7" s="40">
        <v>20</v>
      </c>
      <c r="L7" s="40">
        <v>20</v>
      </c>
      <c r="M7" s="33"/>
      <c r="N7" s="33"/>
      <c r="O7" s="33" t="s">
        <v>31</v>
      </c>
      <c r="P7" s="33"/>
      <c r="Q7" s="33"/>
      <c r="R7" s="40">
        <v>0</v>
      </c>
      <c r="S7" s="41" t="s">
        <v>42</v>
      </c>
      <c r="T7" s="42">
        <v>0</v>
      </c>
      <c r="U7" s="42">
        <v>0</v>
      </c>
      <c r="V7" s="34"/>
      <c r="W7" s="34"/>
      <c r="X7" s="34"/>
      <c r="Y7" s="34"/>
      <c r="Z7" s="34"/>
      <c r="AA7" s="34"/>
      <c r="AB7" s="34"/>
      <c r="AC7" s="34"/>
      <c r="AD7" s="34"/>
      <c r="AE7" s="42">
        <v>200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2">
        <v>400000</v>
      </c>
      <c r="AU7" s="42">
        <v>400000</v>
      </c>
      <c r="AV7" s="34"/>
      <c r="AW7" s="43">
        <v>0</v>
      </c>
      <c r="AX7" s="43">
        <v>0</v>
      </c>
      <c r="AY7" s="34" t="s">
        <v>32</v>
      </c>
      <c r="AZ7" s="43">
        <v>0</v>
      </c>
      <c r="BA7" s="34"/>
      <c r="BB7" s="34"/>
      <c r="BC7" s="43">
        <v>0</v>
      </c>
      <c r="BD7" s="34"/>
      <c r="BE7" s="34"/>
      <c r="BF7" s="34"/>
      <c r="BG7" s="34"/>
      <c r="BH7" s="34"/>
      <c r="BI7" s="34"/>
      <c r="BJ7" s="42">
        <v>200</v>
      </c>
      <c r="BK7" s="34"/>
      <c r="BL7" s="34"/>
      <c r="BM7" s="34"/>
      <c r="BN7" s="34"/>
      <c r="BO7" s="35" t="s">
        <v>25</v>
      </c>
      <c r="BP7" s="34"/>
      <c r="BQ7" s="34"/>
      <c r="BR7" s="34"/>
      <c r="BS7" s="34"/>
      <c r="BT7" s="44" t="s">
        <v>24</v>
      </c>
      <c r="BU7" s="34"/>
      <c r="BV7" s="34"/>
      <c r="BW7" s="34"/>
      <c r="BX7" s="34"/>
      <c r="BY7" s="44" t="s">
        <v>26</v>
      </c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67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IFERROR(__xludf.DUMMYFUNCTION("""COMPUTED_VALUE"""),"IncreasePositionFromPM")</f>
        <v>IncreasePositionFromPM</v>
      </c>
      <c r="G4" s="24" t="str">
        <f>IFERROR(__xludf.DUMMYFUNCTION("""COMPUTED_VALUE"""),"ClosePM")</f>
        <v>ClosePM</v>
      </c>
      <c r="H4" s="24" t="str">
        <f>IFERROR(__xludf.DUMMYFUNCTION("""COMPUTED_VALUE"""),"RemoveGroupingFromPM")</f>
        <v>RemoveGroupingFromPM</v>
      </c>
      <c r="I4" s="24" t="str">
        <f>IFERROR(__xludf.DUMMYFUNCTION("""COMPUTED_VALUE"""),"OpenCreateTransactionFromPM")</f>
        <v>OpenCreateTransactionFromPM</v>
      </c>
      <c r="J4" s="24" t="str">
        <f>IFERROR(__xludf.DUMMYFUNCTION("""COMPUTED_VALUE"""),"FilterPM")</f>
        <v>FilterPM</v>
      </c>
      <c r="K4" s="24" t="str">
        <f>IFERROR(__xludf.DUMMYFUNCTION("""COMPUTED_VALUE"""),"GroupRowPM")</f>
        <v>GroupRowPM</v>
      </c>
      <c r="L4" s="24" t="str">
        <f>IFERROR(__xludf.DUMMYFUNCTION("""COMPUTED_VALUE"""),"CheckDashboardWithPM")</f>
        <v>CheckDashboardWithPM</v>
      </c>
      <c r="M4" s="24" t="str">
        <f>IFERROR(__xludf.DUMMYFUNCTION("""COMPUTED_VALUE"""),"RemoveFilterPM")</f>
        <v>RemoveFilterPM</v>
      </c>
      <c r="N4" s="24" t="str">
        <f>IFERROR(__xludf.DUMMYFUNCTION("""COMPUTED_VALUE"""),"CheckSummaryRowsPM")</f>
        <v>CheckSummaryRowsPM</v>
      </c>
      <c r="O4" s="24" t="str">
        <f>IFERROR(__xludf.DUMMYFUNCTION("""COMPUTED_VALUE"""),"OpenPTTFromPM")</f>
        <v>OpenPTTFromPM</v>
      </c>
      <c r="P4" s="25" t="str">
        <f>IFERROR(__xludf.DUMMYFUNCTION("""COMPUTED_VALUE"""),"DeleteCustomViewPM")</f>
        <v>DeleteCustomViewPM</v>
      </c>
      <c r="Q4" s="25" t="str">
        <f>IFERROR(__xludf.DUMMYFUNCTION("""COMPUTED_VALUE"""),"RenameCustomViewPM")</f>
        <v>RenameCustomViewPM</v>
      </c>
      <c r="R4" s="25" t="str">
        <f>IFERROR(__xludf.DUMMYFUNCTION("""COMPUTED_VALUE"""),"AddCustomViewRightClickPM")</f>
        <v>AddCustomViewRightClickPM</v>
      </c>
      <c r="S4" s="25" t="str">
        <f>IFERROR(__xludf.DUMMYFUNCTION("""COMPUTED_VALUE"""),"AddCustomViewPM")</f>
        <v>AddCustomViewPM</v>
      </c>
      <c r="T4" s="25" t="str">
        <f>IFERROR(__xludf.DUMMYFUNCTION("""COMPUTED_VALUE"""),"ExpandCollapsePM")</f>
        <v>ExpandCollapsePM</v>
      </c>
      <c r="U4" s="25" t="str">
        <f>IFERROR(__xludf.DUMMYFUNCTION("""COMPUTED_VALUE"""),"CloseSelectedTaxlotsFromPM")</f>
        <v>CloseSelectedTaxlotsFromPM</v>
      </c>
      <c r="V4" s="25" t="str">
        <f>IFERROR(__xludf.DUMMYFUNCTION("""COMPUTED_VALUE"""),"CloseAccountPositionFromPM")</f>
        <v>CloseAccountPositionFromPM</v>
      </c>
      <c r="W4" s="25" t="str">
        <f>IFERROR(__xludf.DUMMYFUNCTION("""COMPUTED_VALUE"""),"HideSummaryToolFromPM")</f>
        <v>HideSummaryToolFromPM</v>
      </c>
      <c r="X4" s="25" t="str">
        <f>IFERROR(__xludf.DUMMYFUNCTION("""COMPUTED_VALUE"""),"ShowSummaryToolFromPM")</f>
        <v>ShowSummaryToolFromPM</v>
      </c>
      <c r="Y4" s="25" t="str">
        <f>IFERROR(__xludf.DUMMYFUNCTION("""COMPUTED_VALUE"""),"ClosePositionFromPM")</f>
        <v>ClosePositionFromPM</v>
      </c>
      <c r="Z4" s="25" t="str">
        <f>IFERROR(__xludf.DUMMYFUNCTION("""COMPUTED_VALUE"""),"OpenDailyValuationFromPM")</f>
        <v>OpenDailyValuationFromPM</v>
      </c>
      <c r="AA4" s="25" t="str">
        <f>IFERROR(__xludf.DUMMYFUNCTION("""COMPUTED_VALUE"""),"OpenCorporateActionFromPM")</f>
        <v>OpenCorporateActionFromPM</v>
      </c>
      <c r="AB4" s="25" t="str">
        <f>IFERROR(__xludf.DUMMYFUNCTION("""COMPUTED_VALUE"""),"OpenClosingFromPM")</f>
        <v>OpenClosingFromPM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</row>
    <row r="6" ht="15.75" customHeight="1">
      <c r="A6" s="38"/>
      <c r="B6" s="38"/>
      <c r="C6" s="45" t="s">
        <v>20</v>
      </c>
      <c r="D6" s="46">
        <v>100</v>
      </c>
      <c r="E6" s="33" t="s">
        <v>22</v>
      </c>
      <c r="F6" s="33"/>
      <c r="G6" s="33"/>
      <c r="H6" s="33" t="s">
        <v>45</v>
      </c>
      <c r="I6" s="33"/>
      <c r="J6" s="33"/>
      <c r="K6" s="33"/>
      <c r="L6" s="33"/>
      <c r="M6" s="33"/>
      <c r="N6" s="47">
        <v>-1000</v>
      </c>
      <c r="O6" s="33"/>
      <c r="P6" s="33"/>
      <c r="Q6" s="47">
        <v>-1000</v>
      </c>
      <c r="R6" s="33"/>
      <c r="S6" s="33"/>
      <c r="T6" s="34" t="s">
        <v>29</v>
      </c>
      <c r="U6" s="34"/>
      <c r="V6" s="34"/>
      <c r="W6" s="34"/>
      <c r="X6" s="34"/>
      <c r="Y6" s="48"/>
      <c r="Z6" s="34"/>
      <c r="AA6" s="34"/>
      <c r="AB6" s="48">
        <v>0</v>
      </c>
      <c r="AC6" s="48">
        <v>0</v>
      </c>
      <c r="AD6" s="48">
        <v>0</v>
      </c>
      <c r="AE6" s="48">
        <v>0</v>
      </c>
      <c r="AF6" s="48">
        <v>100</v>
      </c>
      <c r="AG6" s="48">
        <v>0</v>
      </c>
      <c r="AH6" s="48">
        <v>0</v>
      </c>
      <c r="AI6" s="48">
        <v>0</v>
      </c>
      <c r="AJ6" s="48">
        <v>0</v>
      </c>
      <c r="AK6" s="49">
        <v>-1000</v>
      </c>
      <c r="AL6" s="34"/>
      <c r="AM6" s="34"/>
      <c r="AN6" s="34" t="s">
        <v>21</v>
      </c>
      <c r="AO6" s="34"/>
      <c r="AP6" s="34" t="s">
        <v>45</v>
      </c>
      <c r="AQ6" s="34"/>
      <c r="AR6" s="34"/>
      <c r="AS6" s="34"/>
      <c r="AT6" s="34"/>
      <c r="AU6" s="34"/>
      <c r="AV6" s="34"/>
      <c r="AW6" s="49">
        <v>-1000</v>
      </c>
      <c r="AX6" s="48">
        <v>0</v>
      </c>
      <c r="AY6" s="48">
        <v>0</v>
      </c>
      <c r="AZ6" s="48">
        <v>0</v>
      </c>
      <c r="BA6" s="34"/>
      <c r="BB6" s="34"/>
      <c r="BC6" s="34"/>
      <c r="BD6" s="34"/>
      <c r="BE6" s="34"/>
      <c r="BF6" s="34"/>
      <c r="BG6" s="34"/>
      <c r="BH6" s="34"/>
      <c r="BI6" s="34"/>
      <c r="BJ6" s="48">
        <v>0</v>
      </c>
      <c r="BK6" s="48">
        <v>0</v>
      </c>
      <c r="BL6" s="48">
        <v>0</v>
      </c>
      <c r="BM6" s="48">
        <v>0</v>
      </c>
      <c r="BN6" s="34"/>
      <c r="BO6" s="49">
        <v>-1000</v>
      </c>
      <c r="BP6" s="48">
        <v>0</v>
      </c>
      <c r="BQ6" s="34"/>
      <c r="BR6" s="34" t="s">
        <v>31</v>
      </c>
      <c r="BS6" s="48">
        <v>0</v>
      </c>
      <c r="BT6" s="48">
        <v>0</v>
      </c>
      <c r="BU6" s="34"/>
      <c r="BV6" s="34"/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34"/>
      <c r="CC6" s="34"/>
      <c r="CD6" s="49">
        <v>-1000</v>
      </c>
      <c r="CE6" s="34"/>
      <c r="CF6" s="34"/>
      <c r="CG6" s="49">
        <v>-1000</v>
      </c>
      <c r="CH6" s="34"/>
      <c r="CI6" s="48">
        <v>0</v>
      </c>
      <c r="CJ6" s="48">
        <v>0</v>
      </c>
      <c r="CK6" s="34"/>
      <c r="CL6" s="34"/>
      <c r="CM6" s="34"/>
      <c r="CN6" s="34"/>
      <c r="CO6" s="34"/>
      <c r="CP6" s="34"/>
      <c r="CQ6" s="34"/>
      <c r="CR6" s="34"/>
      <c r="CS6" s="48">
        <v>10</v>
      </c>
      <c r="CT6" s="34"/>
      <c r="CU6" s="34"/>
      <c r="CV6" s="34"/>
      <c r="CW6" s="34"/>
      <c r="CX6" s="34"/>
      <c r="CY6" s="34"/>
      <c r="CZ6" s="34"/>
      <c r="DA6" s="48">
        <v>0</v>
      </c>
      <c r="DB6" s="48">
        <v>0</v>
      </c>
      <c r="DC6" s="34"/>
      <c r="DD6" s="34"/>
      <c r="DE6" s="48">
        <v>0</v>
      </c>
      <c r="DF6" s="48">
        <v>0</v>
      </c>
      <c r="DG6" s="48">
        <v>0</v>
      </c>
      <c r="DH6" s="34"/>
      <c r="DI6" s="48">
        <v>0</v>
      </c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5" t="s">
        <v>23</v>
      </c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</row>
    <row r="7" ht="15.75" customHeight="1">
      <c r="A7" s="34"/>
      <c r="B7" s="34"/>
      <c r="C7" s="44" t="s">
        <v>24</v>
      </c>
      <c r="D7" s="36">
        <v>200</v>
      </c>
      <c r="E7" s="34" t="s">
        <v>22</v>
      </c>
      <c r="F7" s="34"/>
      <c r="G7" s="34"/>
      <c r="H7" s="34" t="s">
        <v>45</v>
      </c>
      <c r="I7" s="34"/>
      <c r="J7" s="34"/>
      <c r="K7" s="34"/>
      <c r="L7" s="34"/>
      <c r="M7" s="34"/>
      <c r="N7" s="50">
        <v>-400000</v>
      </c>
      <c r="O7" s="34"/>
      <c r="P7" s="34"/>
      <c r="Q7" s="50">
        <v>-400000</v>
      </c>
      <c r="R7" s="34"/>
      <c r="S7" s="34"/>
      <c r="T7" s="35" t="s">
        <v>33</v>
      </c>
      <c r="U7" s="34"/>
      <c r="V7" s="34"/>
      <c r="W7" s="34"/>
      <c r="X7" s="34"/>
      <c r="Y7" s="48"/>
      <c r="Z7" s="34"/>
      <c r="AA7" s="34"/>
      <c r="AB7" s="48">
        <v>0</v>
      </c>
      <c r="AC7" s="48">
        <v>0</v>
      </c>
      <c r="AD7" s="48">
        <v>0</v>
      </c>
      <c r="AE7" s="48">
        <v>0</v>
      </c>
      <c r="AF7" s="51">
        <v>0</v>
      </c>
      <c r="AG7" s="48">
        <v>0</v>
      </c>
      <c r="AH7" s="48">
        <v>0</v>
      </c>
      <c r="AI7" s="48">
        <v>0</v>
      </c>
      <c r="AJ7" s="48">
        <v>0</v>
      </c>
      <c r="AK7" s="50">
        <v>-400000</v>
      </c>
      <c r="AL7" s="34"/>
      <c r="AM7" s="34"/>
      <c r="AN7" s="35" t="s">
        <v>25</v>
      </c>
      <c r="AO7" s="34"/>
      <c r="AP7" s="34" t="s">
        <v>45</v>
      </c>
      <c r="AQ7" s="34"/>
      <c r="AR7" s="34"/>
      <c r="AS7" s="34"/>
      <c r="AT7" s="34"/>
      <c r="AU7" s="34"/>
      <c r="AV7" s="34"/>
      <c r="AW7" s="50">
        <v>-400000</v>
      </c>
      <c r="AX7" s="48">
        <v>0</v>
      </c>
      <c r="AY7" s="48">
        <v>0</v>
      </c>
      <c r="AZ7" s="48">
        <v>0</v>
      </c>
      <c r="BA7" s="34"/>
      <c r="BB7" s="34"/>
      <c r="BC7" s="34"/>
      <c r="BD7" s="34"/>
      <c r="BE7" s="34"/>
      <c r="BF7" s="34"/>
      <c r="BG7" s="34"/>
      <c r="BH7" s="34"/>
      <c r="BI7" s="34"/>
      <c r="BJ7" s="48">
        <v>0</v>
      </c>
      <c r="BK7" s="48">
        <v>0</v>
      </c>
      <c r="BL7" s="48">
        <v>0</v>
      </c>
      <c r="BM7" s="48">
        <v>0</v>
      </c>
      <c r="BN7" s="34"/>
      <c r="BO7" s="50">
        <v>-400000</v>
      </c>
      <c r="BP7" s="51">
        <v>-100</v>
      </c>
      <c r="BQ7" s="34"/>
      <c r="BR7" s="34" t="s">
        <v>31</v>
      </c>
      <c r="BS7" s="48">
        <v>0</v>
      </c>
      <c r="BT7" s="48">
        <v>0</v>
      </c>
      <c r="BU7" s="34"/>
      <c r="BV7" s="34"/>
      <c r="BW7" s="51">
        <v>20</v>
      </c>
      <c r="BX7" s="48">
        <v>0</v>
      </c>
      <c r="BY7" s="48">
        <v>0</v>
      </c>
      <c r="BZ7" s="48">
        <v>0</v>
      </c>
      <c r="CA7" s="48">
        <v>0</v>
      </c>
      <c r="CB7" s="34"/>
      <c r="CC7" s="34"/>
      <c r="CD7" s="50">
        <v>-400000</v>
      </c>
      <c r="CE7" s="34"/>
      <c r="CF7" s="34"/>
      <c r="CG7" s="50">
        <v>-400000</v>
      </c>
      <c r="CH7" s="34"/>
      <c r="CI7" s="48">
        <v>0</v>
      </c>
      <c r="CJ7" s="48">
        <v>0</v>
      </c>
      <c r="CK7" s="34"/>
      <c r="CL7" s="34"/>
      <c r="CM7" s="34"/>
      <c r="CN7" s="34"/>
      <c r="CO7" s="34"/>
      <c r="CP7" s="34"/>
      <c r="CQ7" s="34"/>
      <c r="CR7" s="34"/>
      <c r="CS7" s="48">
        <v>20</v>
      </c>
      <c r="CT7" s="34"/>
      <c r="CU7" s="34"/>
      <c r="CV7" s="34"/>
      <c r="CW7" s="34"/>
      <c r="CX7" s="34"/>
      <c r="CY7" s="34"/>
      <c r="CZ7" s="34"/>
      <c r="DA7" s="48">
        <v>0</v>
      </c>
      <c r="DB7" s="48">
        <v>0</v>
      </c>
      <c r="DC7" s="34"/>
      <c r="DD7" s="34"/>
      <c r="DE7" s="48">
        <v>0</v>
      </c>
      <c r="DF7" s="48">
        <v>0</v>
      </c>
      <c r="DG7" s="48">
        <v>0</v>
      </c>
      <c r="DH7" s="34"/>
      <c r="DI7" s="48">
        <v>0</v>
      </c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5" t="s">
        <v>26</v>
      </c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