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alculatePTT" sheetId="6" r:id="rId8"/>
    <sheet state="visible" name="VerifyPTT" sheetId="7" r:id="rId9"/>
    <sheet state="visible" name="TradePTT" sheetId="8" r:id="rId10"/>
    <sheet state="visible" name="CreateDoneAwayOrder" sheetId="9" r:id="rId11"/>
    <sheet state="visible" name="CalculatePTT1" sheetId="10" r:id="rId12"/>
    <sheet state="visible" name="VerifyPTT1" sheetId="11" r:id="rId13"/>
    <sheet state="visible" name="TradePTT1" sheetId="12" r:id="rId14"/>
    <sheet state="visible" name="CreateDoneAwayOrder1" sheetId="13" r:id="rId15"/>
    <sheet state="visible" name="SelectTradeOnOrderGrid" sheetId="14" r:id="rId16"/>
    <sheet state="visible" name="ReplaceSubOrder" sheetId="15" r:id="rId17"/>
    <sheet state="visible" name="CreateReplaceOrder" sheetId="16" r:id="rId18"/>
    <sheet state="visible" name="SelectTradeOnOrderGrid1" sheetId="17" r:id="rId19"/>
    <sheet state="visible" name="ReplaceSubOrder1" sheetId="18" r:id="rId20"/>
    <sheet state="visible" name="CreateReplaceOrder1" sheetId="19" r:id="rId21"/>
    <sheet state="visible" name="VerifyRowCalculationBaseWindow" sheetId="20" r:id="rId22"/>
    <sheet state="visible" name="AddFillsSubOrder" sheetId="21" r:id="rId23"/>
    <sheet state="visible" name="EditAddFillsDetails" sheetId="22" r:id="rId24"/>
    <sheet state="visible" name="AddFillsSubOrder1" sheetId="23" r:id="rId25"/>
    <sheet state="visible" name="EditAddFillsDetails1" sheetId="24" r:id="rId26"/>
    <sheet state="visible" name="VerifyOrder" sheetId="25" r:id="rId27"/>
    <sheet state="visible" name="CheckAllocatedGroups" sheetId="26" r:id="rId28"/>
    <sheet state="visible" name="CheckPortfolioManagement" sheetId="27" r:id="rId29"/>
    <sheet state="visible" name="VerifyRowCalculationBaseWindow1" sheetId="28" r:id="rId30"/>
  </sheets>
  <definedNames/>
  <calcPr/>
</workbook>
</file>

<file path=xl/sharedStrings.xml><?xml version="1.0" encoding="utf-8"?>
<sst xmlns="http://schemas.openxmlformats.org/spreadsheetml/2006/main" count="441" uniqueCount="83">
  <si>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</si>
  <si>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</si>
  <si>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</si>
  <si>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</si>
  <si>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</si>
  <si>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</si>
  <si>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</si>
  <si>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</si>
  <si>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</si>
  <si>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</si>
  <si>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</si>
  <si>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</si>
  <si>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</si>
  <si>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</si>
  <si>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</si>
  <si>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</si>
  <si>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</si>
  <si>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</si>
  <si>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</si>
  <si>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PTT</t>
  </si>
  <si>
    <t>CalculatePTT</t>
  </si>
  <si>
    <t>AAPL</t>
  </si>
  <si>
    <t>Buy</t>
  </si>
  <si>
    <t>Percentage</t>
  </si>
  <si>
    <t>No</t>
  </si>
  <si>
    <t>Account</t>
  </si>
  <si>
    <t>VerifyPTT</t>
  </si>
  <si>
    <t>TradePTT</t>
  </si>
  <si>
    <t>TradingTicket</t>
  </si>
  <si>
    <t>CreateDoneAwayOrder</t>
  </si>
  <si>
    <t>Yes</t>
  </si>
  <si>
    <t>MSFT</t>
  </si>
  <si>
    <t>Blotter</t>
  </si>
  <si>
    <t>SelectTradeOnOrderGrid</t>
  </si>
  <si>
    <t>ReplaceSubOrder</t>
  </si>
  <si>
    <t>Equity</t>
  </si>
  <si>
    <t>CreateReplaceOrder</t>
  </si>
  <si>
    <t>MSFT US EQUITY</t>
  </si>
  <si>
    <t>NASDAQ</t>
  </si>
  <si>
    <t>jpearce</t>
  </si>
  <si>
    <t>US</t>
  </si>
  <si>
    <t>GCCAP1</t>
  </si>
  <si>
    <t>Compliance</t>
  </si>
  <si>
    <t>VerifyRowCalculationBaseWindow</t>
  </si>
  <si>
    <t>Post</t>
  </si>
  <si>
    <t>NewMF</t>
  </si>
  <si>
    <t>InTradeMarket</t>
  </si>
  <si>
    <t>AddFillsSubOrder</t>
  </si>
  <si>
    <t>Filled</t>
  </si>
  <si>
    <t>EditAddFillsDetails</t>
  </si>
  <si>
    <t>VerifyOrder</t>
  </si>
  <si>
    <t>Allocation</t>
  </si>
  <si>
    <t>CheckAllocatedGroups</t>
  </si>
  <si>
    <t>Manual</t>
  </si>
  <si>
    <t>AAPL US EQUITY</t>
  </si>
  <si>
    <t>MS</t>
  </si>
  <si>
    <t>Open</t>
  </si>
  <si>
    <t>M</t>
  </si>
  <si>
    <t>None</t>
  </si>
  <si>
    <t>DefaultNotes</t>
  </si>
  <si>
    <t>Market</t>
  </si>
  <si>
    <t>InternalOrder</t>
  </si>
  <si>
    <t>Strategy Unallocated</t>
  </si>
  <si>
    <t>NONE</t>
  </si>
  <si>
    <t>Allocation2</t>
  </si>
  <si>
    <t>PortfolioManagement</t>
  </si>
  <si>
    <t>CheckPortfolioManagement</t>
  </si>
  <si>
    <t>Long</t>
  </si>
  <si>
    <t>Undefined</t>
  </si>
  <si>
    <t>New Hedge</t>
  </si>
  <si>
    <t>Small Cap</t>
  </si>
  <si>
    <t>Default</t>
  </si>
  <si>
    <t>test1</t>
  </si>
  <si>
    <t>india</t>
  </si>
  <si>
    <t>test 1</t>
  </si>
  <si>
    <t>APPLE</t>
  </si>
  <si>
    <t>NewMF1</t>
  </si>
  <si>
    <t>Equity General</t>
  </si>
  <si>
    <t>Information Technology</t>
  </si>
  <si>
    <t>Copper</t>
  </si>
  <si>
    <t>UNITED STATES</t>
  </si>
  <si>
    <t>MSFT UDA1</t>
  </si>
  <si>
    <t>MICROSOFT INC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</si>
</sst>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 h:mm"/>
    <numFmt numFmtId="166" formatCode="yyyy-mm-dd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5" fillId="6" fontId="13" numFmtId="0" xfId="0" applyAlignment="1" applyBorder="1" applyFill="1" applyFont="1">
      <alignment horizontal="right" vertical="top"/>
    </xf>
    <xf borderId="5" fillId="6" fontId="14" numFmtId="0" xfId="0" applyAlignment="1" applyBorder="1" applyFont="1">
      <alignment horizontal="right" vertical="top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readingOrder="0" shrinkToFit="0" wrapText="0"/>
    </xf>
    <xf borderId="5" fillId="0" fontId="15" numFmtId="0" xfId="0" applyAlignment="1" applyBorder="1" applyFont="1">
      <alignment vertical="bottom"/>
    </xf>
    <xf borderId="5" fillId="0" fontId="15" numFmtId="4" xfId="0" applyAlignment="1" applyBorder="1" applyFont="1" applyNumberFormat="1">
      <alignment horizontal="right" vertical="bottom"/>
    </xf>
    <xf borderId="0" fillId="0" fontId="15" numFmtId="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  <xf borderId="0" fillId="0" fontId="3" numFmtId="165" xfId="0" applyAlignment="1" applyFont="1" applyNumberFormat="1">
      <alignment vertical="bottom"/>
    </xf>
    <xf borderId="0" fillId="0" fontId="15" numFmtId="4" xfId="0" applyAlignment="1" applyFont="1" applyNumberFormat="1">
      <alignment vertical="bottom"/>
    </xf>
    <xf borderId="0" fillId="0" fontId="3" numFmtId="4" xfId="0" applyAlignment="1" applyFont="1" applyNumberFormat="1">
      <alignment vertical="bottom"/>
    </xf>
    <xf borderId="0" fillId="0" fontId="15" numFmtId="0" xfId="0" applyAlignment="1" applyFont="1">
      <alignment readingOrder="0" vertical="bottom"/>
    </xf>
    <xf borderId="5" fillId="0" fontId="15" numFmtId="0" xfId="0" applyAlignment="1" applyBorder="1" applyFont="1">
      <alignment shrinkToFit="0" vertical="bottom" wrapText="0"/>
    </xf>
    <xf borderId="5" fillId="0" fontId="3" numFmtId="165" xfId="0" applyAlignment="1" applyBorder="1" applyFont="1" applyNumberFormat="1">
      <alignment vertical="bottom"/>
    </xf>
    <xf borderId="5" fillId="0" fontId="15" numFmtId="0" xfId="0" applyAlignment="1" applyBorder="1" applyFont="1">
      <alignment vertical="bottom"/>
    </xf>
    <xf borderId="5" fillId="0" fontId="15" numFmtId="3" xfId="0" applyAlignment="1" applyBorder="1" applyFont="1" applyNumberFormat="1">
      <alignment horizontal="right" vertical="bottom"/>
    </xf>
    <xf borderId="5" fillId="0" fontId="15" numFmtId="0" xfId="0" applyAlignment="1" applyBorder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3" xfId="0" applyAlignment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3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2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4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3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3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3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0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 t="shared" ref="B6:C6" si="1">TODAY()-1</f>
        <v>44543</v>
      </c>
      <c r="C6" s="32">
        <f t="shared" si="1"/>
        <v>44543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17</v>
      </c>
      <c r="C6" s="37" t="s">
        <v>18</v>
      </c>
      <c r="D6" s="38">
        <v>10000.0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IFERROR(__xludf.DUMMYFUNCTION("""COMPUTED_VALUE"""),"Default Symbology")</f>
        <v>Default Symbology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21</v>
      </c>
      <c r="C6" s="34" t="s">
        <v>22</v>
      </c>
      <c r="D6" s="33" t="s">
        <v>23</v>
      </c>
      <c r="E6" s="39">
        <v>1000.0</v>
      </c>
      <c r="F6" s="39">
        <v>1.0</v>
      </c>
      <c r="G6" s="34" t="s">
        <v>24</v>
      </c>
      <c r="H6" s="34" t="s">
        <v>25</v>
      </c>
      <c r="I6" s="34" t="s">
        <v>17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IFERROR(__xludf.DUMMYFUNCTION("""COMPUTED_VALUE"""),"MasterFund NAV")</f>
        <v>MasterFund NAV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17</v>
      </c>
      <c r="C6" s="40">
        <v>10000.0</v>
      </c>
      <c r="D6" s="41">
        <v>0.0</v>
      </c>
      <c r="E6" s="40">
        <v>0.0</v>
      </c>
      <c r="F6" s="40">
        <v>0.0</v>
      </c>
      <c r="G6" s="40">
        <v>1000.0</v>
      </c>
      <c r="H6" s="40">
        <v>1000.0</v>
      </c>
      <c r="I6" s="40">
        <v>100000.0</v>
      </c>
      <c r="J6" s="40">
        <v>100000.0</v>
      </c>
      <c r="K6" s="40">
        <v>100000.0</v>
      </c>
      <c r="L6" s="40">
        <v>100.0</v>
      </c>
      <c r="M6" s="40">
        <v>1.0</v>
      </c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IFERROR(__xludf.DUMMYFUNCTION("""COMPUTED_VALUE"""),"Default Symbology")</f>
        <v>Default Symbology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21</v>
      </c>
      <c r="C6" s="34" t="s">
        <v>22</v>
      </c>
      <c r="D6" s="33" t="s">
        <v>23</v>
      </c>
      <c r="E6" s="39">
        <v>1000.0</v>
      </c>
      <c r="F6" s="39">
        <v>1.0</v>
      </c>
      <c r="G6" s="34" t="s">
        <v>24</v>
      </c>
      <c r="H6" s="34" t="s">
        <v>25</v>
      </c>
      <c r="I6" s="34" t="s">
        <v>17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 t="str">
        <f>IFERROR(__xludf.DUMMYFUNCTION("""COMPUTED_VALUE"""),"SharesOutstandingPopUpQty")</f>
        <v>SharesOutstandingPopUpQty</v>
      </c>
      <c r="AT5" s="30" t="str">
        <f>IFERROR(__xludf.DUMMYFUNCTION("""COMPUTED_VALUE"""),"SharesOutstandingPopUp")</f>
        <v>SharesOutstandingPopUp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21</v>
      </c>
      <c r="C6" s="34" t="s">
        <v>22</v>
      </c>
      <c r="D6" s="38">
        <v>1000.0</v>
      </c>
      <c r="E6" s="34"/>
      <c r="F6" s="34" t="s">
        <v>17</v>
      </c>
      <c r="G6" s="34"/>
      <c r="H6" s="34"/>
      <c r="I6" s="34"/>
      <c r="J6" s="39">
        <v>1.0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30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IFERROR(__xludf.DUMMYFUNCTION("""COMPUTED_VALUE"""),"Default Symbology")</f>
        <v>Default Symbology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31</v>
      </c>
      <c r="C6" s="34" t="s">
        <v>22</v>
      </c>
      <c r="D6" s="33" t="s">
        <v>23</v>
      </c>
      <c r="E6" s="39">
        <v>1000.0</v>
      </c>
      <c r="F6" s="39">
        <v>1.0</v>
      </c>
      <c r="G6" s="34" t="s">
        <v>24</v>
      </c>
      <c r="H6" s="34" t="s">
        <v>25</v>
      </c>
      <c r="I6" s="34" t="s">
        <v>17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IFERROR(__xludf.DUMMYFUNCTION("""COMPUTED_VALUE"""),"MasterFund NAV")</f>
        <v>MasterFund NAV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17</v>
      </c>
      <c r="C6" s="40">
        <v>10000.0</v>
      </c>
      <c r="D6" s="41">
        <v>0.0</v>
      </c>
      <c r="E6" s="40">
        <v>0.0</v>
      </c>
      <c r="F6" s="40">
        <v>0.0</v>
      </c>
      <c r="G6" s="40">
        <v>1000.0</v>
      </c>
      <c r="H6" s="40">
        <v>1000.0</v>
      </c>
      <c r="I6" s="40">
        <v>100000.0</v>
      </c>
      <c r="J6" s="40">
        <v>100000.0</v>
      </c>
      <c r="K6" s="40">
        <v>100000.0</v>
      </c>
      <c r="L6" s="40">
        <v>100.0</v>
      </c>
      <c r="M6" s="40">
        <v>1.0</v>
      </c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IFERROR(__xludf.DUMMYFUNCTION("""COMPUTED_VALUE"""),"Default Symbology")</f>
        <v>Default Symbology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31</v>
      </c>
      <c r="C6" s="34" t="s">
        <v>22</v>
      </c>
      <c r="D6" s="33" t="s">
        <v>23</v>
      </c>
      <c r="E6" s="39">
        <v>1000.0</v>
      </c>
      <c r="F6" s="39">
        <v>1.0</v>
      </c>
      <c r="G6" s="34" t="s">
        <v>24</v>
      </c>
      <c r="H6" s="34" t="s">
        <v>25</v>
      </c>
      <c r="I6" s="34" t="s">
        <v>17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 t="str">
        <f>IFERROR(__xludf.DUMMYFUNCTION("""COMPUTED_VALUE"""),"SharesOutstandingPopUpQty")</f>
        <v>SharesOutstandingPopUpQty</v>
      </c>
      <c r="AT5" s="30" t="str">
        <f>IFERROR(__xludf.DUMMYFUNCTION("""COMPUTED_VALUE"""),"SharesOutstandingPopUp")</f>
        <v>SharesOutstandingPopUp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31</v>
      </c>
      <c r="C6" s="34" t="s">
        <v>22</v>
      </c>
      <c r="D6" s="38">
        <v>1000.0</v>
      </c>
      <c r="E6" s="34"/>
      <c r="F6" s="34" t="s">
        <v>17</v>
      </c>
      <c r="G6" s="34"/>
      <c r="H6" s="34"/>
      <c r="I6" s="34"/>
      <c r="J6" s="39">
        <v>1.0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30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1.0</v>
      </c>
      <c r="C6" s="34"/>
      <c r="D6" s="33" t="s">
        <v>21</v>
      </c>
      <c r="E6" s="34"/>
      <c r="F6" s="34" t="s">
        <v>22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 t="s">
        <v>17</v>
      </c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/>
      <c r="C6" s="34"/>
      <c r="D6" s="38">
        <v>1.0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35</v>
      </c>
      <c r="AJ6" s="35" t="s">
        <v>21</v>
      </c>
      <c r="AK6" s="35" t="s">
        <v>22</v>
      </c>
      <c r="AL6" s="35"/>
      <c r="AM6" s="43">
        <v>1000.0</v>
      </c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/>
      <c r="C6" s="34"/>
      <c r="D6" s="38">
        <v>2000.0</v>
      </c>
      <c r="E6" s="34"/>
      <c r="F6" s="34"/>
      <c r="G6" s="34"/>
      <c r="H6" s="34"/>
      <c r="I6" s="34"/>
      <c r="J6" s="39">
        <v>1.0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30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8">
        <v>1.0</v>
      </c>
      <c r="C6" s="34"/>
      <c r="D6" s="33" t="s">
        <v>31</v>
      </c>
      <c r="E6" s="34"/>
      <c r="F6" s="34" t="s">
        <v>22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/>
      <c r="D6" s="38">
        <v>1.0</v>
      </c>
      <c r="E6" s="34" t="s">
        <v>37</v>
      </c>
      <c r="F6" s="39">
        <v>0.0</v>
      </c>
      <c r="G6" s="34"/>
      <c r="H6" s="44" t="s">
        <v>38</v>
      </c>
      <c r="I6" s="44" t="s">
        <v>39</v>
      </c>
      <c r="J6" s="45" t="s">
        <v>31</v>
      </c>
      <c r="K6" s="44" t="s">
        <v>40</v>
      </c>
      <c r="L6" s="44" t="s">
        <v>41</v>
      </c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 t="s">
        <v>31</v>
      </c>
      <c r="AK6" s="35" t="s">
        <v>22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/>
      <c r="D6" s="38">
        <v>2000.0</v>
      </c>
      <c r="E6" s="34"/>
      <c r="F6" s="34"/>
      <c r="G6" s="34"/>
      <c r="H6" s="34"/>
      <c r="I6" s="34"/>
      <c r="J6" s="39">
        <v>1.0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30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/>
      <c r="C6" s="34"/>
      <c r="D6" s="33"/>
      <c r="E6" s="34"/>
      <c r="F6" s="34"/>
      <c r="G6" s="34"/>
      <c r="H6" s="34" t="s">
        <v>21</v>
      </c>
      <c r="I6" s="39">
        <v>0.0</v>
      </c>
      <c r="J6" s="39">
        <v>1000.0</v>
      </c>
      <c r="K6" s="39">
        <v>1000.0</v>
      </c>
      <c r="L6" s="39">
        <v>1000.0</v>
      </c>
      <c r="M6" s="34" t="s">
        <v>44</v>
      </c>
      <c r="N6" s="34"/>
      <c r="O6" s="34" t="s">
        <v>22</v>
      </c>
      <c r="P6" s="34"/>
      <c r="Q6" s="34"/>
      <c r="R6" s="34" t="s">
        <v>45</v>
      </c>
      <c r="S6" s="34"/>
      <c r="T6" s="35" t="s">
        <v>17</v>
      </c>
      <c r="U6" s="35" t="s">
        <v>17</v>
      </c>
      <c r="V6" s="35"/>
      <c r="W6" s="35"/>
      <c r="X6" s="35"/>
      <c r="Y6" s="35"/>
      <c r="Z6" s="35"/>
      <c r="AA6" s="35"/>
      <c r="AB6" s="43">
        <v>1000.0</v>
      </c>
      <c r="AC6" s="35"/>
      <c r="AD6" s="43">
        <v>1000.0</v>
      </c>
      <c r="AE6" s="43">
        <v>0.0</v>
      </c>
      <c r="AF6" s="35"/>
      <c r="AG6" s="43">
        <v>1000.0</v>
      </c>
      <c r="AH6" s="43">
        <v>1000.0</v>
      </c>
      <c r="AI6" s="35"/>
      <c r="AJ6" s="35" t="s">
        <v>35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43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43"/>
      <c r="BR6" s="43"/>
      <c r="BS6" s="35"/>
      <c r="BT6" s="43"/>
      <c r="BU6" s="35"/>
      <c r="BV6" s="43">
        <v>1.0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34"/>
      <c r="D7" s="34"/>
      <c r="E7" s="34"/>
      <c r="F7" s="34"/>
      <c r="G7" s="34"/>
      <c r="H7" s="34" t="s">
        <v>31</v>
      </c>
      <c r="I7" s="39">
        <v>0.0</v>
      </c>
      <c r="J7" s="39">
        <v>1000.0</v>
      </c>
      <c r="K7" s="39">
        <v>1000.0</v>
      </c>
      <c r="L7" s="39">
        <v>1000.0</v>
      </c>
      <c r="M7" s="34" t="s">
        <v>44</v>
      </c>
      <c r="N7" s="34"/>
      <c r="O7" s="34" t="s">
        <v>22</v>
      </c>
      <c r="P7" s="34"/>
      <c r="Q7" s="34"/>
      <c r="R7" s="34" t="s">
        <v>45</v>
      </c>
      <c r="S7" s="34"/>
      <c r="T7" s="35" t="s">
        <v>17</v>
      </c>
      <c r="U7" s="35" t="s">
        <v>17</v>
      </c>
      <c r="V7" s="35"/>
      <c r="W7" s="35"/>
      <c r="X7" s="35"/>
      <c r="Y7" s="35"/>
      <c r="Z7" s="35"/>
      <c r="AA7" s="35"/>
      <c r="AB7" s="43">
        <v>1000.0</v>
      </c>
      <c r="AC7" s="35"/>
      <c r="AD7" s="43">
        <v>1000.0</v>
      </c>
      <c r="AE7" s="43">
        <v>0.0</v>
      </c>
      <c r="AF7" s="35"/>
      <c r="AG7" s="43">
        <v>1000.0</v>
      </c>
      <c r="AH7" s="43">
        <v>1000.0</v>
      </c>
      <c r="AI7" s="35"/>
      <c r="AJ7" s="35" t="s">
        <v>35</v>
      </c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43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43"/>
      <c r="BR7" s="43"/>
      <c r="BS7" s="35"/>
      <c r="BT7" s="43"/>
      <c r="BU7" s="35"/>
      <c r="BV7" s="43">
        <v>1.0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34"/>
      <c r="D8" s="34"/>
      <c r="E8" s="34"/>
      <c r="F8" s="34"/>
      <c r="G8" s="34"/>
      <c r="H8" s="34" t="s">
        <v>21</v>
      </c>
      <c r="I8" s="39">
        <v>0.0</v>
      </c>
      <c r="J8" s="39">
        <v>1000.0</v>
      </c>
      <c r="K8" s="39">
        <v>1000.0</v>
      </c>
      <c r="L8" s="39">
        <v>1000.0</v>
      </c>
      <c r="M8" s="37" t="s">
        <v>46</v>
      </c>
      <c r="N8" s="34"/>
      <c r="O8" s="34" t="s">
        <v>22</v>
      </c>
      <c r="P8" s="34"/>
      <c r="Q8" s="34"/>
      <c r="R8" s="34" t="s">
        <v>45</v>
      </c>
      <c r="S8" s="34"/>
      <c r="T8" s="35" t="s">
        <v>17</v>
      </c>
      <c r="U8" s="35" t="s">
        <v>17</v>
      </c>
      <c r="V8" s="35"/>
      <c r="W8" s="35"/>
      <c r="X8" s="35"/>
      <c r="Y8" s="35"/>
      <c r="Z8" s="35"/>
      <c r="AA8" s="35"/>
      <c r="AB8" s="43">
        <v>1000.0</v>
      </c>
      <c r="AC8" s="35"/>
      <c r="AD8" s="43">
        <v>1000.0</v>
      </c>
      <c r="AE8" s="43">
        <v>0.0</v>
      </c>
      <c r="AF8" s="35"/>
      <c r="AG8" s="43">
        <v>1000.0</v>
      </c>
      <c r="AH8" s="43">
        <v>1000.0</v>
      </c>
      <c r="AI8" s="35"/>
      <c r="AJ8" s="35" t="s">
        <v>35</v>
      </c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43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43"/>
      <c r="BR8" s="43"/>
      <c r="BS8" s="35"/>
      <c r="BT8" s="43"/>
      <c r="BU8" s="35"/>
      <c r="BV8" s="43">
        <v>1.0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4"/>
      <c r="B9" s="34"/>
      <c r="C9" s="34"/>
      <c r="D9" s="34"/>
      <c r="E9" s="34"/>
      <c r="F9" s="34"/>
      <c r="G9" s="34"/>
      <c r="H9" s="34" t="s">
        <v>31</v>
      </c>
      <c r="I9" s="39">
        <v>0.0</v>
      </c>
      <c r="J9" s="39">
        <v>1000.0</v>
      </c>
      <c r="K9" s="39">
        <v>1000.0</v>
      </c>
      <c r="L9" s="39">
        <v>1000.0</v>
      </c>
      <c r="M9" s="37" t="s">
        <v>46</v>
      </c>
      <c r="N9" s="34"/>
      <c r="O9" s="34" t="s">
        <v>22</v>
      </c>
      <c r="P9" s="34"/>
      <c r="Q9" s="34"/>
      <c r="R9" s="34" t="s">
        <v>45</v>
      </c>
      <c r="S9" s="34"/>
      <c r="T9" s="35" t="s">
        <v>17</v>
      </c>
      <c r="U9" s="35" t="s">
        <v>17</v>
      </c>
      <c r="V9" s="35"/>
      <c r="W9" s="35"/>
      <c r="X9" s="35"/>
      <c r="Y9" s="35"/>
      <c r="Z9" s="35"/>
      <c r="AA9" s="35"/>
      <c r="AB9" s="43">
        <v>1000.0</v>
      </c>
      <c r="AC9" s="35"/>
      <c r="AD9" s="43">
        <v>1000.0</v>
      </c>
      <c r="AE9" s="43">
        <v>0.0</v>
      </c>
      <c r="AF9" s="35"/>
      <c r="AG9" s="43">
        <v>1000.0</v>
      </c>
      <c r="AH9" s="43">
        <v>1000.0</v>
      </c>
      <c r="AI9" s="35"/>
      <c r="AJ9" s="35" t="s">
        <v>35</v>
      </c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43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43"/>
      <c r="BR9" s="43"/>
      <c r="BS9" s="35"/>
      <c r="BT9" s="43"/>
      <c r="BU9" s="35"/>
      <c r="BV9" s="43">
        <v>1.0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8">
        <v>1.0</v>
      </c>
      <c r="C6" s="34"/>
      <c r="D6" s="33" t="s">
        <v>21</v>
      </c>
      <c r="E6" s="34"/>
      <c r="F6" s="34" t="s">
        <v>22</v>
      </c>
      <c r="G6" s="34" t="s">
        <v>48</v>
      </c>
      <c r="H6" s="39">
        <v>2000.0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8">
        <v>1500.0</v>
      </c>
      <c r="C6" s="39">
        <v>1.0</v>
      </c>
      <c r="D6" s="46" t="b">
        <v>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8">
        <v>1.0</v>
      </c>
      <c r="C6" s="34"/>
      <c r="D6" s="33" t="s">
        <v>31</v>
      </c>
      <c r="E6" s="34"/>
      <c r="F6" s="34" t="s">
        <v>22</v>
      </c>
      <c r="G6" s="34" t="s">
        <v>48</v>
      </c>
      <c r="H6" s="39">
        <v>2000.0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8">
        <v>100.0</v>
      </c>
      <c r="C6" s="39">
        <v>1.0</v>
      </c>
      <c r="D6" s="46" t="b">
        <v>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8" t="s">
        <v>17</v>
      </c>
      <c r="C6" s="34"/>
      <c r="D6" s="33"/>
      <c r="E6" s="49">
        <v>1500.0</v>
      </c>
      <c r="F6" s="34" t="s">
        <v>53</v>
      </c>
      <c r="G6" s="34" t="s">
        <v>35</v>
      </c>
      <c r="H6" s="40">
        <v>4.0</v>
      </c>
      <c r="I6" s="40">
        <v>5.0</v>
      </c>
      <c r="J6" s="40">
        <v>1.0</v>
      </c>
      <c r="K6" s="40">
        <v>1.0</v>
      </c>
      <c r="L6" s="40">
        <v>1.0</v>
      </c>
      <c r="M6" s="34" t="s">
        <v>54</v>
      </c>
      <c r="N6" s="34"/>
      <c r="O6" s="34" t="s">
        <v>55</v>
      </c>
      <c r="P6" s="34"/>
      <c r="Q6" s="40">
        <v>3.0</v>
      </c>
      <c r="R6" s="40">
        <v>0.0</v>
      </c>
      <c r="S6" s="34" t="s">
        <v>56</v>
      </c>
      <c r="T6" s="43">
        <v>0.0</v>
      </c>
      <c r="U6" s="43">
        <v>0.0</v>
      </c>
      <c r="V6" s="35"/>
      <c r="W6" s="35"/>
      <c r="X6" s="35"/>
      <c r="Y6" s="35"/>
      <c r="Z6" s="35" t="s">
        <v>18</v>
      </c>
      <c r="AA6" s="35"/>
      <c r="AB6" s="43">
        <v>1.0</v>
      </c>
      <c r="AC6" s="35"/>
      <c r="AD6" s="35" t="s">
        <v>38</v>
      </c>
      <c r="AE6" s="50">
        <v>1500.0</v>
      </c>
      <c r="AF6" s="51"/>
      <c r="AG6" s="51"/>
      <c r="AH6" s="35" t="s">
        <v>57</v>
      </c>
      <c r="AI6" s="43">
        <v>1.0</v>
      </c>
      <c r="AJ6" s="35" t="s">
        <v>58</v>
      </c>
      <c r="AK6" s="35"/>
      <c r="AL6" s="35"/>
      <c r="AM6" s="35" t="s">
        <v>59</v>
      </c>
      <c r="AN6" s="52" t="b">
        <v>0</v>
      </c>
      <c r="AO6" s="35"/>
      <c r="AP6" s="52" t="b">
        <v>1</v>
      </c>
      <c r="AQ6" s="52" t="b">
        <v>0</v>
      </c>
      <c r="AR6" s="52" t="b">
        <v>1</v>
      </c>
      <c r="AS6" s="50"/>
      <c r="AT6" s="50">
        <v>1514.0008</v>
      </c>
      <c r="AU6" s="50">
        <v>1514.0008</v>
      </c>
      <c r="AV6" s="53"/>
      <c r="AW6" s="35"/>
      <c r="AX6" s="35"/>
      <c r="AY6" s="35" t="s">
        <v>60</v>
      </c>
      <c r="AZ6" s="43">
        <v>0.0</v>
      </c>
      <c r="BA6" s="53"/>
      <c r="BB6" s="35"/>
      <c r="BC6" s="43">
        <v>0.0</v>
      </c>
      <c r="BD6" s="54" t="s">
        <v>61</v>
      </c>
      <c r="BE6" s="50">
        <v>1500.0</v>
      </c>
      <c r="BF6" s="50">
        <v>1500.0</v>
      </c>
      <c r="BG6" s="53"/>
      <c r="BH6" s="35"/>
      <c r="BI6" s="55"/>
      <c r="BJ6" s="50">
        <v>2000.0</v>
      </c>
      <c r="BK6" s="43">
        <v>0.0</v>
      </c>
      <c r="BL6" s="35"/>
      <c r="BM6" s="35" t="s">
        <v>18</v>
      </c>
      <c r="BN6" s="53"/>
      <c r="BO6" s="35" t="s">
        <v>22</v>
      </c>
      <c r="BP6" s="43">
        <v>0.0</v>
      </c>
      <c r="BQ6" s="43">
        <v>0.0</v>
      </c>
      <c r="BR6" s="43">
        <v>8.0E-4</v>
      </c>
      <c r="BS6" s="35" t="s">
        <v>62</v>
      </c>
      <c r="BT6" s="35" t="s">
        <v>21</v>
      </c>
      <c r="BU6" s="43">
        <v>3.0</v>
      </c>
      <c r="BV6" s="43">
        <v>0.0</v>
      </c>
      <c r="BW6" s="43">
        <v>14.0008</v>
      </c>
      <c r="BX6" s="43">
        <v>0.0</v>
      </c>
      <c r="BY6" s="35"/>
      <c r="BZ6" s="35"/>
      <c r="CA6" s="35"/>
      <c r="CB6" s="35"/>
      <c r="CC6" s="35"/>
      <c r="CD6" s="35"/>
      <c r="CE6" s="35"/>
      <c r="CF6" s="35" t="s">
        <v>41</v>
      </c>
      <c r="CG6" s="43">
        <v>2.0</v>
      </c>
      <c r="CH6" s="56" t="s">
        <v>19</v>
      </c>
      <c r="CI6" s="35" t="s">
        <v>22</v>
      </c>
      <c r="CJ6" s="43">
        <v>0.0</v>
      </c>
      <c r="CK6" s="35" t="s">
        <v>40</v>
      </c>
      <c r="CL6" s="43">
        <v>1.0</v>
      </c>
      <c r="CM6" s="35" t="s">
        <v>21</v>
      </c>
      <c r="CN6" s="35" t="s">
        <v>39</v>
      </c>
      <c r="CO6" s="35" t="s">
        <v>38</v>
      </c>
      <c r="CP6" s="35" t="s">
        <v>63</v>
      </c>
      <c r="CQ6" s="35"/>
      <c r="CR6" s="35"/>
      <c r="CS6" s="35"/>
      <c r="CT6" s="35"/>
      <c r="CU6" s="35"/>
      <c r="CV6" s="53"/>
      <c r="CW6" s="51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64</v>
      </c>
      <c r="C7" s="35"/>
      <c r="D7" s="35"/>
      <c r="E7" s="50">
        <v>1100.0</v>
      </c>
      <c r="F7" s="35" t="s">
        <v>53</v>
      </c>
      <c r="G7" s="35" t="s">
        <v>35</v>
      </c>
      <c r="H7" s="43">
        <v>4.0</v>
      </c>
      <c r="I7" s="43">
        <v>5.0</v>
      </c>
      <c r="J7" s="43">
        <v>1.0</v>
      </c>
      <c r="K7" s="43">
        <v>1.0</v>
      </c>
      <c r="L7" s="40">
        <v>1.0</v>
      </c>
      <c r="M7" s="57" t="s">
        <v>37</v>
      </c>
      <c r="N7" s="35"/>
      <c r="O7" s="35" t="s">
        <v>55</v>
      </c>
      <c r="P7" s="35"/>
      <c r="Q7" s="43">
        <v>3.0</v>
      </c>
      <c r="R7" s="43">
        <v>0.0</v>
      </c>
      <c r="S7" s="35" t="s">
        <v>56</v>
      </c>
      <c r="T7" s="43">
        <v>0.0</v>
      </c>
      <c r="U7" s="43">
        <v>0.0</v>
      </c>
      <c r="V7" s="35"/>
      <c r="W7" s="35"/>
      <c r="X7" s="35"/>
      <c r="Y7" s="35"/>
      <c r="Z7" s="35" t="s">
        <v>18</v>
      </c>
      <c r="AA7" s="35"/>
      <c r="AB7" s="43">
        <v>1.0</v>
      </c>
      <c r="AC7" s="35"/>
      <c r="AD7" s="35" t="s">
        <v>38</v>
      </c>
      <c r="AE7" s="50">
        <v>1100.0</v>
      </c>
      <c r="AF7" s="51"/>
      <c r="AG7" s="51"/>
      <c r="AH7" s="35" t="s">
        <v>57</v>
      </c>
      <c r="AI7" s="43">
        <v>1.0</v>
      </c>
      <c r="AJ7" s="35" t="s">
        <v>58</v>
      </c>
      <c r="AK7" s="35"/>
      <c r="AL7" s="35"/>
      <c r="AM7" s="35" t="s">
        <v>59</v>
      </c>
      <c r="AN7" s="52" t="b">
        <v>0</v>
      </c>
      <c r="AO7" s="35"/>
      <c r="AP7" s="52" t="b">
        <v>1</v>
      </c>
      <c r="AQ7" s="52" t="b">
        <v>0</v>
      </c>
      <c r="AR7" s="52" t="b">
        <v>1</v>
      </c>
      <c r="AS7" s="50"/>
      <c r="AT7" s="50">
        <v>1114.0006</v>
      </c>
      <c r="AU7" s="50">
        <v>1114.0006</v>
      </c>
      <c r="AV7" s="53"/>
      <c r="AW7" s="35"/>
      <c r="AX7" s="35"/>
      <c r="AY7" s="35" t="s">
        <v>60</v>
      </c>
      <c r="AZ7" s="43">
        <v>0.0</v>
      </c>
      <c r="BA7" s="53"/>
      <c r="BB7" s="35"/>
      <c r="BC7" s="43">
        <v>0.0</v>
      </c>
      <c r="BD7" s="54" t="s">
        <v>61</v>
      </c>
      <c r="BE7" s="50">
        <v>1100.0</v>
      </c>
      <c r="BF7" s="50">
        <v>1100.0</v>
      </c>
      <c r="BG7" s="53"/>
      <c r="BH7" s="35"/>
      <c r="BI7" s="55"/>
      <c r="BJ7" s="50">
        <v>2000.0</v>
      </c>
      <c r="BK7" s="43">
        <v>0.0</v>
      </c>
      <c r="BL7" s="35"/>
      <c r="BM7" s="35" t="s">
        <v>18</v>
      </c>
      <c r="BN7" s="53"/>
      <c r="BO7" s="35" t="s">
        <v>22</v>
      </c>
      <c r="BP7" s="43">
        <v>0.0</v>
      </c>
      <c r="BQ7" s="43">
        <v>0.0</v>
      </c>
      <c r="BR7" s="43">
        <v>6.0E-4</v>
      </c>
      <c r="BS7" s="35" t="s">
        <v>62</v>
      </c>
      <c r="BT7" s="35" t="s">
        <v>31</v>
      </c>
      <c r="BU7" s="43">
        <v>3.0</v>
      </c>
      <c r="BV7" s="43">
        <v>0.0</v>
      </c>
      <c r="BW7" s="43">
        <v>14.0006</v>
      </c>
      <c r="BX7" s="43">
        <v>0.0</v>
      </c>
      <c r="BY7" s="35"/>
      <c r="BZ7" s="35"/>
      <c r="CA7" s="35"/>
      <c r="CB7" s="35"/>
      <c r="CC7" s="35"/>
      <c r="CD7" s="35"/>
      <c r="CE7" s="35"/>
      <c r="CF7" s="35" t="s">
        <v>41</v>
      </c>
      <c r="CG7" s="43">
        <v>2.0</v>
      </c>
      <c r="CH7" s="56" t="s">
        <v>19</v>
      </c>
      <c r="CI7" s="35" t="s">
        <v>22</v>
      </c>
      <c r="CJ7" s="43">
        <v>0.0</v>
      </c>
      <c r="CK7" s="35" t="s">
        <v>40</v>
      </c>
      <c r="CL7" s="43">
        <v>1.0</v>
      </c>
      <c r="CM7" s="35" t="s">
        <v>31</v>
      </c>
      <c r="CN7" s="35" t="s">
        <v>39</v>
      </c>
      <c r="CO7" s="35" t="s">
        <v>38</v>
      </c>
      <c r="CP7" s="35" t="s">
        <v>63</v>
      </c>
      <c r="CQ7" s="35"/>
      <c r="CR7" s="35"/>
      <c r="CS7" s="35"/>
      <c r="CT7" s="35"/>
      <c r="CU7" s="35"/>
      <c r="CV7" s="53"/>
      <c r="CW7" s="51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65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ITM/OTM")</f>
        <v>% of ITM/OTM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33"/>
      <c r="B6" s="58"/>
      <c r="C6" s="59" t="s">
        <v>21</v>
      </c>
      <c r="D6" s="60">
        <v>1500.0</v>
      </c>
      <c r="E6" s="59" t="s">
        <v>17</v>
      </c>
      <c r="F6" s="59" t="s">
        <v>45</v>
      </c>
      <c r="G6" s="61">
        <v>1.0</v>
      </c>
      <c r="H6" s="59" t="s">
        <v>67</v>
      </c>
      <c r="I6" s="61">
        <v>0.0</v>
      </c>
      <c r="J6" s="61">
        <v>0.0</v>
      </c>
      <c r="K6" s="61">
        <v>0.0</v>
      </c>
      <c r="L6" s="61">
        <v>0.0</v>
      </c>
      <c r="M6" s="61">
        <v>0.0</v>
      </c>
      <c r="N6" s="60">
        <v>-1500.0</v>
      </c>
      <c r="O6" s="59"/>
      <c r="P6" s="59" t="s">
        <v>68</v>
      </c>
      <c r="Q6" s="60">
        <v>-1500.0</v>
      </c>
      <c r="R6" s="59"/>
      <c r="S6" s="59" t="s">
        <v>62</v>
      </c>
      <c r="T6" s="62" t="s">
        <v>35</v>
      </c>
      <c r="U6" s="62" t="s">
        <v>40</v>
      </c>
      <c r="V6" s="62" t="s">
        <v>38</v>
      </c>
      <c r="W6" s="62" t="s">
        <v>18</v>
      </c>
      <c r="X6" s="63">
        <v>1.0</v>
      </c>
      <c r="Y6" s="63">
        <v>1.0</v>
      </c>
      <c r="Z6" s="35"/>
      <c r="AA6" s="35"/>
      <c r="AB6" s="63">
        <v>0.0</v>
      </c>
      <c r="AC6" s="63">
        <v>0.0</v>
      </c>
      <c r="AD6" s="63">
        <v>0.0</v>
      </c>
      <c r="AE6" s="63">
        <v>0.0</v>
      </c>
      <c r="AF6" s="64">
        <v>1500.0</v>
      </c>
      <c r="AG6" s="63">
        <v>0.0</v>
      </c>
      <c r="AH6" s="63">
        <v>0.0</v>
      </c>
      <c r="AI6" s="63">
        <v>0.0</v>
      </c>
      <c r="AJ6" s="63">
        <v>0.0</v>
      </c>
      <c r="AK6" s="64">
        <v>-1500.0</v>
      </c>
      <c r="AL6" s="63">
        <v>1.0</v>
      </c>
      <c r="AM6" s="63">
        <v>1.0</v>
      </c>
      <c r="AN6" s="62" t="s">
        <v>22</v>
      </c>
      <c r="AO6" s="35"/>
      <c r="AP6" s="62" t="s">
        <v>67</v>
      </c>
      <c r="AQ6" s="62" t="s">
        <v>21</v>
      </c>
      <c r="AR6" s="63">
        <v>0.0</v>
      </c>
      <c r="AS6" s="63">
        <v>1.0</v>
      </c>
      <c r="AT6" s="35"/>
      <c r="AU6" s="62" t="s">
        <v>59</v>
      </c>
      <c r="AV6" s="63">
        <v>1.0</v>
      </c>
      <c r="AW6" s="64">
        <v>-1500.0</v>
      </c>
      <c r="AX6" s="63">
        <v>0.0</v>
      </c>
      <c r="AY6" s="63">
        <v>0.0</v>
      </c>
      <c r="AZ6" s="63">
        <v>0.0</v>
      </c>
      <c r="BA6" s="63">
        <v>-100.0</v>
      </c>
      <c r="BB6" s="51"/>
      <c r="BC6" s="63">
        <v>1.0</v>
      </c>
      <c r="BD6" s="64">
        <v>-1500.0</v>
      </c>
      <c r="BE6" s="62" t="s">
        <v>35</v>
      </c>
      <c r="BF6" s="62" t="s">
        <v>69</v>
      </c>
      <c r="BG6" s="62" t="s">
        <v>70</v>
      </c>
      <c r="BH6" s="62" t="s">
        <v>68</v>
      </c>
      <c r="BI6" s="63">
        <v>5.0</v>
      </c>
      <c r="BJ6" s="63">
        <v>0.0</v>
      </c>
      <c r="BK6" s="63">
        <v>0.0</v>
      </c>
      <c r="BL6" s="63">
        <v>0.0</v>
      </c>
      <c r="BM6" s="63">
        <v>0.0</v>
      </c>
      <c r="BN6" s="51"/>
      <c r="BO6" s="64">
        <v>-1500.0</v>
      </c>
      <c r="BP6" s="63">
        <v>0.0</v>
      </c>
      <c r="BQ6" s="62" t="s">
        <v>39</v>
      </c>
      <c r="BR6" s="62" t="s">
        <v>55</v>
      </c>
      <c r="BS6" s="63">
        <v>0.0</v>
      </c>
      <c r="BT6" s="63">
        <v>0.0</v>
      </c>
      <c r="BU6" s="62" t="s">
        <v>35</v>
      </c>
      <c r="BV6" s="63"/>
      <c r="BW6" s="63">
        <v>0.0</v>
      </c>
      <c r="BX6" s="63">
        <v>0.0</v>
      </c>
      <c r="BY6" s="63">
        <v>0.0</v>
      </c>
      <c r="BZ6" s="63">
        <v>0.0</v>
      </c>
      <c r="CA6" s="63">
        <v>0.0</v>
      </c>
      <c r="CB6" s="53"/>
      <c r="CC6" s="63">
        <v>0.0</v>
      </c>
      <c r="CD6" s="64">
        <v>-1500.0</v>
      </c>
      <c r="CE6" s="63">
        <v>0.0</v>
      </c>
      <c r="CF6" s="63">
        <v>0.0</v>
      </c>
      <c r="CG6" s="64">
        <v>-1500.0</v>
      </c>
      <c r="CH6" s="63">
        <v>-100.0</v>
      </c>
      <c r="CI6" s="63">
        <v>0.0</v>
      </c>
      <c r="CJ6" s="63">
        <v>0.0</v>
      </c>
      <c r="CK6" s="52" t="b">
        <v>0</v>
      </c>
      <c r="CL6" s="35"/>
      <c r="CM6" s="35"/>
      <c r="CN6" s="62" t="s">
        <v>21</v>
      </c>
      <c r="CO6" s="62" t="s">
        <v>21</v>
      </c>
      <c r="CP6" s="59" t="s">
        <v>54</v>
      </c>
      <c r="CQ6" s="35"/>
      <c r="CR6" s="53"/>
      <c r="CS6" s="63">
        <v>1.0</v>
      </c>
      <c r="CT6" s="35"/>
      <c r="CU6" s="35"/>
      <c r="CV6" s="35"/>
      <c r="CW6" s="35"/>
      <c r="CX6" s="35"/>
      <c r="CY6" s="62" t="s">
        <v>58</v>
      </c>
      <c r="CZ6" s="62" t="s">
        <v>71</v>
      </c>
      <c r="DA6" s="63">
        <v>0.0</v>
      </c>
      <c r="DB6" s="63">
        <v>0.0</v>
      </c>
      <c r="DC6" s="51"/>
      <c r="DD6" s="64">
        <v>1500.0</v>
      </c>
      <c r="DE6" s="63">
        <v>0.0</v>
      </c>
      <c r="DF6" s="63">
        <v>0.0</v>
      </c>
      <c r="DG6" s="63">
        <v>0.0</v>
      </c>
      <c r="DH6" s="62" t="s">
        <v>68</v>
      </c>
      <c r="DI6" s="63">
        <v>0.0</v>
      </c>
      <c r="DJ6" s="62" t="s">
        <v>22</v>
      </c>
      <c r="DK6" s="63">
        <v>0.0</v>
      </c>
      <c r="DL6" s="63">
        <v>0.0</v>
      </c>
      <c r="DM6" s="63">
        <v>1.0</v>
      </c>
      <c r="DN6" s="63">
        <v>0.0</v>
      </c>
      <c r="DO6" s="35"/>
      <c r="DP6" s="62" t="s">
        <v>67</v>
      </c>
      <c r="DQ6" s="62" t="s">
        <v>72</v>
      </c>
      <c r="DR6" s="62" t="s">
        <v>73</v>
      </c>
      <c r="DS6" s="62" t="s">
        <v>72</v>
      </c>
      <c r="DT6" s="62" t="s">
        <v>72</v>
      </c>
      <c r="DU6" s="62" t="s">
        <v>74</v>
      </c>
      <c r="DV6" s="62" t="s">
        <v>72</v>
      </c>
      <c r="DW6" s="62" t="s">
        <v>72</v>
      </c>
      <c r="DX6" s="62" t="s">
        <v>72</v>
      </c>
      <c r="DY6" s="62" t="s">
        <v>72</v>
      </c>
      <c r="DZ6" s="62" t="s">
        <v>75</v>
      </c>
      <c r="EA6" s="62" t="s">
        <v>74</v>
      </c>
      <c r="EB6" s="62" t="s">
        <v>72</v>
      </c>
      <c r="EC6" s="62" t="s">
        <v>72</v>
      </c>
      <c r="ED6" s="62" t="s">
        <v>18</v>
      </c>
      <c r="EE6" s="62" t="s">
        <v>30</v>
      </c>
      <c r="EF6" s="63">
        <v>0.0</v>
      </c>
      <c r="EG6" s="63">
        <v>0.0</v>
      </c>
      <c r="EH6" s="63">
        <v>0.0</v>
      </c>
      <c r="EI6" s="63">
        <v>0.0</v>
      </c>
      <c r="EJ6" s="63">
        <v>0.0</v>
      </c>
      <c r="EK6" s="63">
        <v>0.0</v>
      </c>
      <c r="EL6" s="62" t="s">
        <v>67</v>
      </c>
      <c r="EM6" s="63">
        <v>0.0</v>
      </c>
      <c r="EN6" s="63">
        <v>0.0</v>
      </c>
      <c r="EO6" s="63">
        <v>0.0</v>
      </c>
      <c r="EP6" s="63">
        <v>0.0</v>
      </c>
      <c r="EQ6" s="63">
        <v>0.0</v>
      </c>
      <c r="ER6" s="63">
        <v>0.0</v>
      </c>
      <c r="ES6" s="64">
        <v>-2600.0</v>
      </c>
      <c r="ET6" s="63">
        <v>0.0</v>
      </c>
      <c r="EU6" s="63">
        <v>0.0</v>
      </c>
      <c r="EV6" s="62" t="s">
        <v>67</v>
      </c>
      <c r="EW6" s="64">
        <v>-1500.0</v>
      </c>
      <c r="EX6" s="52" t="b">
        <v>0</v>
      </c>
      <c r="EY6" s="62"/>
      <c r="EZ6" s="63"/>
      <c r="FA6" s="63"/>
      <c r="FB6" s="63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35"/>
      <c r="B7" s="53"/>
      <c r="C7" s="62" t="s">
        <v>31</v>
      </c>
      <c r="D7" s="64">
        <v>1100.0</v>
      </c>
      <c r="E7" s="62" t="s">
        <v>64</v>
      </c>
      <c r="F7" s="62" t="s">
        <v>76</v>
      </c>
      <c r="G7" s="63">
        <v>1.0</v>
      </c>
      <c r="H7" s="62" t="s">
        <v>67</v>
      </c>
      <c r="I7" s="63">
        <v>0.0</v>
      </c>
      <c r="J7" s="63">
        <v>0.0</v>
      </c>
      <c r="K7" s="63">
        <v>0.0</v>
      </c>
      <c r="L7" s="63">
        <v>0.0</v>
      </c>
      <c r="M7" s="63">
        <v>0.0</v>
      </c>
      <c r="N7" s="64">
        <v>-1100.0</v>
      </c>
      <c r="O7" s="62"/>
      <c r="P7" s="62" t="s">
        <v>68</v>
      </c>
      <c r="Q7" s="64">
        <v>-1100.0</v>
      </c>
      <c r="R7" s="62"/>
      <c r="S7" s="62" t="s">
        <v>62</v>
      </c>
      <c r="T7" s="62" t="s">
        <v>35</v>
      </c>
      <c r="U7" s="62" t="s">
        <v>40</v>
      </c>
      <c r="V7" s="62" t="s">
        <v>38</v>
      </c>
      <c r="W7" s="62" t="s">
        <v>18</v>
      </c>
      <c r="X7" s="63">
        <v>1.0</v>
      </c>
      <c r="Y7" s="63">
        <v>1.0</v>
      </c>
      <c r="Z7" s="35"/>
      <c r="AA7" s="35"/>
      <c r="AB7" s="63">
        <v>0.0</v>
      </c>
      <c r="AC7" s="63">
        <v>0.0</v>
      </c>
      <c r="AD7" s="63">
        <v>0.0</v>
      </c>
      <c r="AE7" s="63">
        <v>0.0</v>
      </c>
      <c r="AF7" s="64">
        <v>1100.0</v>
      </c>
      <c r="AG7" s="63">
        <v>0.0</v>
      </c>
      <c r="AH7" s="63">
        <v>0.0</v>
      </c>
      <c r="AI7" s="63">
        <v>0.0</v>
      </c>
      <c r="AJ7" s="63">
        <v>0.0</v>
      </c>
      <c r="AK7" s="64">
        <v>-1100.0</v>
      </c>
      <c r="AL7" s="63">
        <v>1.0</v>
      </c>
      <c r="AM7" s="63">
        <v>1.0</v>
      </c>
      <c r="AN7" s="62" t="s">
        <v>22</v>
      </c>
      <c r="AO7" s="35"/>
      <c r="AP7" s="62" t="s">
        <v>67</v>
      </c>
      <c r="AQ7" s="62" t="s">
        <v>31</v>
      </c>
      <c r="AR7" s="63">
        <v>0.0</v>
      </c>
      <c r="AS7" s="63">
        <v>1.0</v>
      </c>
      <c r="AT7" s="35"/>
      <c r="AU7" s="62" t="s">
        <v>59</v>
      </c>
      <c r="AV7" s="63">
        <v>1.0</v>
      </c>
      <c r="AW7" s="64">
        <v>-1100.0</v>
      </c>
      <c r="AX7" s="63">
        <v>0.0</v>
      </c>
      <c r="AY7" s="63">
        <v>0.0</v>
      </c>
      <c r="AZ7" s="63">
        <v>0.0</v>
      </c>
      <c r="BA7" s="63">
        <v>-100.0</v>
      </c>
      <c r="BB7" s="51"/>
      <c r="BC7" s="63">
        <v>1.0</v>
      </c>
      <c r="BD7" s="64">
        <v>-1100.0</v>
      </c>
      <c r="BE7" s="62" t="s">
        <v>35</v>
      </c>
      <c r="BF7" s="62" t="s">
        <v>77</v>
      </c>
      <c r="BG7" s="62" t="s">
        <v>78</v>
      </c>
      <c r="BH7" s="62" t="s">
        <v>79</v>
      </c>
      <c r="BI7" s="62" t="s">
        <v>68</v>
      </c>
      <c r="BJ7" s="63">
        <v>0.0</v>
      </c>
      <c r="BK7" s="63">
        <v>0.0</v>
      </c>
      <c r="BL7" s="63">
        <v>0.0</v>
      </c>
      <c r="BM7" s="63">
        <v>0.0</v>
      </c>
      <c r="BN7" s="51"/>
      <c r="BO7" s="64">
        <v>-1100.0</v>
      </c>
      <c r="BP7" s="63">
        <v>0.0</v>
      </c>
      <c r="BQ7" s="62" t="s">
        <v>39</v>
      </c>
      <c r="BR7" s="62" t="s">
        <v>55</v>
      </c>
      <c r="BS7" s="63">
        <v>0.0</v>
      </c>
      <c r="BT7" s="63">
        <v>0.0</v>
      </c>
      <c r="BU7" s="62" t="s">
        <v>35</v>
      </c>
      <c r="BV7" s="63"/>
      <c r="BW7" s="63">
        <v>0.0</v>
      </c>
      <c r="BX7" s="63">
        <v>0.0</v>
      </c>
      <c r="BY7" s="63">
        <v>0.0</v>
      </c>
      <c r="BZ7" s="63">
        <v>0.0</v>
      </c>
      <c r="CA7" s="63">
        <v>0.0</v>
      </c>
      <c r="CB7" s="53"/>
      <c r="CC7" s="63">
        <v>0.0</v>
      </c>
      <c r="CD7" s="64">
        <v>-1100.0</v>
      </c>
      <c r="CE7" s="63">
        <v>0.0</v>
      </c>
      <c r="CF7" s="63">
        <v>0.0</v>
      </c>
      <c r="CG7" s="64">
        <v>-1100.0</v>
      </c>
      <c r="CH7" s="63">
        <v>-100.0</v>
      </c>
      <c r="CI7" s="63">
        <v>0.0</v>
      </c>
      <c r="CJ7" s="63">
        <v>0.0</v>
      </c>
      <c r="CK7" s="52" t="b">
        <v>0</v>
      </c>
      <c r="CL7" s="35"/>
      <c r="CM7" s="35"/>
      <c r="CN7" s="63"/>
      <c r="CO7" s="61"/>
      <c r="CP7" s="57" t="s">
        <v>37</v>
      </c>
      <c r="CQ7" s="35"/>
      <c r="CR7" s="53"/>
      <c r="CS7" s="63">
        <v>1.0</v>
      </c>
      <c r="CT7" s="35"/>
      <c r="CU7" s="35"/>
      <c r="CV7" s="35"/>
      <c r="CW7" s="35"/>
      <c r="CX7" s="35"/>
      <c r="CY7" s="62" t="s">
        <v>58</v>
      </c>
      <c r="CZ7" s="62" t="s">
        <v>71</v>
      </c>
      <c r="DA7" s="63">
        <v>0.0</v>
      </c>
      <c r="DB7" s="63">
        <v>0.0</v>
      </c>
      <c r="DC7" s="51"/>
      <c r="DD7" s="64">
        <v>1100.0</v>
      </c>
      <c r="DE7" s="63">
        <v>0.0</v>
      </c>
      <c r="DF7" s="63">
        <v>0.0</v>
      </c>
      <c r="DG7" s="63">
        <v>0.0</v>
      </c>
      <c r="DH7" s="62" t="s">
        <v>68</v>
      </c>
      <c r="DI7" s="63">
        <v>0.0</v>
      </c>
      <c r="DJ7" s="62" t="s">
        <v>22</v>
      </c>
      <c r="DK7" s="63">
        <v>0.0</v>
      </c>
      <c r="DL7" s="63">
        <v>0.0</v>
      </c>
      <c r="DM7" s="63">
        <v>1.0</v>
      </c>
      <c r="DN7" s="63">
        <v>0.0</v>
      </c>
      <c r="DO7" s="62"/>
      <c r="DP7" s="62" t="s">
        <v>67</v>
      </c>
      <c r="DQ7" s="62" t="s">
        <v>68</v>
      </c>
      <c r="DR7" s="62" t="s">
        <v>80</v>
      </c>
      <c r="DS7" s="62" t="s">
        <v>81</v>
      </c>
      <c r="DT7" s="62" t="s">
        <v>68</v>
      </c>
      <c r="DU7" s="62" t="s">
        <v>68</v>
      </c>
      <c r="DV7" s="62" t="s">
        <v>68</v>
      </c>
      <c r="DW7" s="65"/>
      <c r="DX7" s="63"/>
      <c r="DY7" s="62" t="s">
        <v>68</v>
      </c>
      <c r="DZ7" s="62" t="s">
        <v>82</v>
      </c>
      <c r="EA7" s="62" t="s">
        <v>30</v>
      </c>
      <c r="EB7" s="62" t="s">
        <v>68</v>
      </c>
      <c r="EC7" s="62" t="s">
        <v>68</v>
      </c>
      <c r="ED7" s="62" t="s">
        <v>18</v>
      </c>
      <c r="EE7" s="62" t="s">
        <v>30</v>
      </c>
      <c r="EF7" s="63">
        <v>0.0</v>
      </c>
      <c r="EG7" s="63">
        <v>0.0</v>
      </c>
      <c r="EH7" s="63">
        <v>0.0</v>
      </c>
      <c r="EI7" s="63">
        <v>0.0</v>
      </c>
      <c r="EJ7" s="63">
        <v>0.0</v>
      </c>
      <c r="EK7" s="63">
        <v>0.0</v>
      </c>
      <c r="EL7" s="62" t="s">
        <v>67</v>
      </c>
      <c r="EM7" s="63">
        <v>0.0</v>
      </c>
      <c r="EN7" s="63">
        <v>0.0</v>
      </c>
      <c r="EO7" s="63">
        <v>0.0</v>
      </c>
      <c r="EP7" s="63">
        <v>0.0</v>
      </c>
      <c r="EQ7" s="63">
        <v>0.0</v>
      </c>
      <c r="ER7" s="63">
        <v>0.0</v>
      </c>
      <c r="ES7" s="64">
        <v>-2600.0</v>
      </c>
      <c r="ET7" s="63">
        <v>0.0</v>
      </c>
      <c r="EU7" s="63">
        <v>0.0</v>
      </c>
      <c r="EV7" s="62" t="s">
        <v>67</v>
      </c>
      <c r="EW7" s="64">
        <v>-1100.0</v>
      </c>
      <c r="EX7" s="52" t="b">
        <v>0</v>
      </c>
      <c r="EY7" s="62"/>
      <c r="EZ7" s="63"/>
      <c r="FA7" s="63"/>
      <c r="FB7" s="63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/>
      <c r="C6" s="34"/>
      <c r="D6" s="33"/>
      <c r="E6" s="34"/>
      <c r="F6" s="34"/>
      <c r="G6" s="34"/>
      <c r="H6" s="34" t="s">
        <v>21</v>
      </c>
      <c r="I6" s="39">
        <v>0.0</v>
      </c>
      <c r="J6" s="39">
        <v>1500.0</v>
      </c>
      <c r="K6" s="39">
        <v>1500.0</v>
      </c>
      <c r="L6" s="39">
        <v>1500.0</v>
      </c>
      <c r="M6" s="34" t="s">
        <v>44</v>
      </c>
      <c r="N6" s="34"/>
      <c r="O6" s="34" t="s">
        <v>22</v>
      </c>
      <c r="P6" s="34"/>
      <c r="Q6" s="34"/>
      <c r="R6" s="34" t="s">
        <v>45</v>
      </c>
      <c r="S6" s="34"/>
      <c r="T6" s="35" t="s">
        <v>17</v>
      </c>
      <c r="U6" s="35" t="s">
        <v>17</v>
      </c>
      <c r="V6" s="35"/>
      <c r="W6" s="35"/>
      <c r="X6" s="35"/>
      <c r="Y6" s="35"/>
      <c r="Z6" s="34"/>
      <c r="AA6" s="34"/>
      <c r="AB6" s="39">
        <v>1500.0</v>
      </c>
      <c r="AC6" s="34"/>
      <c r="AD6" s="39">
        <v>1500.0</v>
      </c>
      <c r="AE6" s="40">
        <v>0.0</v>
      </c>
      <c r="AF6" s="34"/>
      <c r="AG6" s="39">
        <v>1500.0</v>
      </c>
      <c r="AH6" s="39">
        <v>1500.0</v>
      </c>
      <c r="AI6" s="35"/>
      <c r="AJ6" s="35" t="s">
        <v>35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43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43"/>
      <c r="BR6" s="43"/>
      <c r="BS6" s="35"/>
      <c r="BT6" s="43"/>
      <c r="BU6" s="35"/>
      <c r="BV6" s="43">
        <v>1.0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34"/>
      <c r="D7" s="34"/>
      <c r="E7" s="34"/>
      <c r="F7" s="34"/>
      <c r="G7" s="34"/>
      <c r="H7" s="34" t="s">
        <v>31</v>
      </c>
      <c r="I7" s="39">
        <v>0.0</v>
      </c>
      <c r="J7" s="39">
        <v>1100.0</v>
      </c>
      <c r="K7" s="39">
        <v>1100.0</v>
      </c>
      <c r="L7" s="39">
        <v>1100.0</v>
      </c>
      <c r="M7" s="34" t="s">
        <v>44</v>
      </c>
      <c r="N7" s="34"/>
      <c r="O7" s="34" t="s">
        <v>22</v>
      </c>
      <c r="P7" s="34"/>
      <c r="Q7" s="34"/>
      <c r="R7" s="34" t="s">
        <v>45</v>
      </c>
      <c r="S7" s="34"/>
      <c r="T7" s="35" t="s">
        <v>17</v>
      </c>
      <c r="U7" s="35" t="s">
        <v>17</v>
      </c>
      <c r="V7" s="35"/>
      <c r="W7" s="35"/>
      <c r="X7" s="35"/>
      <c r="Y7" s="35"/>
      <c r="Z7" s="34"/>
      <c r="AA7" s="34"/>
      <c r="AB7" s="39">
        <v>1100.0</v>
      </c>
      <c r="AC7" s="34"/>
      <c r="AD7" s="39">
        <v>1100.0</v>
      </c>
      <c r="AE7" s="40">
        <v>0.0</v>
      </c>
      <c r="AF7" s="34"/>
      <c r="AG7" s="39">
        <v>1100.0</v>
      </c>
      <c r="AH7" s="39">
        <v>1100.0</v>
      </c>
      <c r="AI7" s="35"/>
      <c r="AJ7" s="35" t="s">
        <v>35</v>
      </c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43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43"/>
      <c r="BR7" s="43"/>
      <c r="BS7" s="35"/>
      <c r="BT7" s="43"/>
      <c r="BU7" s="35"/>
      <c r="BV7" s="43">
        <v>1.0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34"/>
      <c r="D8" s="34"/>
      <c r="E8" s="34"/>
      <c r="F8" s="34"/>
      <c r="G8" s="34"/>
      <c r="H8" s="34" t="s">
        <v>21</v>
      </c>
      <c r="I8" s="39">
        <v>0.0</v>
      </c>
      <c r="J8" s="39">
        <v>500.0</v>
      </c>
      <c r="K8" s="39">
        <v>500.0</v>
      </c>
      <c r="L8" s="39">
        <v>500.0</v>
      </c>
      <c r="M8" s="37" t="s">
        <v>46</v>
      </c>
      <c r="N8" s="34"/>
      <c r="O8" s="34" t="s">
        <v>22</v>
      </c>
      <c r="P8" s="34"/>
      <c r="Q8" s="34"/>
      <c r="R8" s="34" t="s">
        <v>45</v>
      </c>
      <c r="S8" s="34"/>
      <c r="T8" s="35" t="s">
        <v>17</v>
      </c>
      <c r="U8" s="35" t="s">
        <v>17</v>
      </c>
      <c r="V8" s="35"/>
      <c r="W8" s="35"/>
      <c r="X8" s="35"/>
      <c r="Y8" s="35"/>
      <c r="Z8" s="34"/>
      <c r="AA8" s="34"/>
      <c r="AB8" s="39">
        <v>500.0</v>
      </c>
      <c r="AC8" s="34"/>
      <c r="AD8" s="39">
        <v>500.0</v>
      </c>
      <c r="AE8" s="40">
        <v>0.0</v>
      </c>
      <c r="AF8" s="34"/>
      <c r="AG8" s="39">
        <v>500.0</v>
      </c>
      <c r="AH8" s="39">
        <v>500.0</v>
      </c>
      <c r="AI8" s="35"/>
      <c r="AJ8" s="35" t="s">
        <v>35</v>
      </c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43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43"/>
      <c r="BR8" s="43"/>
      <c r="BS8" s="35"/>
      <c r="BT8" s="43"/>
      <c r="BU8" s="35"/>
      <c r="BV8" s="43">
        <v>1.0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4"/>
      <c r="B9" s="34"/>
      <c r="C9" s="34"/>
      <c r="D9" s="34"/>
      <c r="E9" s="34"/>
      <c r="F9" s="34"/>
      <c r="G9" s="34"/>
      <c r="H9" s="34" t="s">
        <v>31</v>
      </c>
      <c r="I9" s="39">
        <v>0.0</v>
      </c>
      <c r="J9" s="39">
        <v>900.0</v>
      </c>
      <c r="K9" s="39">
        <v>900.0</v>
      </c>
      <c r="L9" s="39">
        <v>900.0</v>
      </c>
      <c r="M9" s="37" t="s">
        <v>46</v>
      </c>
      <c r="N9" s="34"/>
      <c r="O9" s="34" t="s">
        <v>22</v>
      </c>
      <c r="P9" s="34"/>
      <c r="Q9" s="34"/>
      <c r="R9" s="34" t="s">
        <v>45</v>
      </c>
      <c r="S9" s="34"/>
      <c r="T9" s="35" t="s">
        <v>17</v>
      </c>
      <c r="U9" s="35" t="s">
        <v>17</v>
      </c>
      <c r="V9" s="35"/>
      <c r="W9" s="35"/>
      <c r="X9" s="35"/>
      <c r="Y9" s="35"/>
      <c r="Z9" s="34"/>
      <c r="AA9" s="34"/>
      <c r="AB9" s="39">
        <v>900.0</v>
      </c>
      <c r="AC9" s="34"/>
      <c r="AD9" s="39">
        <v>900.0</v>
      </c>
      <c r="AE9" s="40">
        <v>0.0</v>
      </c>
      <c r="AF9" s="34"/>
      <c r="AG9" s="39">
        <v>900.0</v>
      </c>
      <c r="AH9" s="39">
        <v>900.0</v>
      </c>
      <c r="AI9" s="35"/>
      <c r="AJ9" s="35" t="s">
        <v>35</v>
      </c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43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43"/>
      <c r="BR9" s="43"/>
      <c r="BS9" s="35"/>
      <c r="BT9" s="43"/>
      <c r="BU9" s="35"/>
      <c r="BV9" s="43">
        <v>1.0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