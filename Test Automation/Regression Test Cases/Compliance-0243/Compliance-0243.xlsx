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<sst xmlns="http://schemas.openxmlformats.org/spreadsheetml/2006/main" count="227" uniqueCount="56">
  <si>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</si>
  <si>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</si>
  <si>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</si>
  <si>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</si>
  <si>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</si>
  <si>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</si>
  <si>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</si>
  <si>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</si>
  <si>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</si>
  <si>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</si>
  <si>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</si>
  <si>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</si>
  <si>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</si>
  <si>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</si>
  <si>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</si>
  <si>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</si>
  <si>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</si>
  <si>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</si>
  <si>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</si>
  <si>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</si>
  <si>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</si>
  <si>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</si>
  <si>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</si>
  <si>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</si>
  <si>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</si>
  <si>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</si>
  <si>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</si>
  <si>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</si>
  <si>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</si>
  <si>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</si>
  <si>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</si>
  <si>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</si>
  <si>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</si>
  <si>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</si>
  <si>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</si>
  <si>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</si>
  <si>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</si>
  <si>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</si>
  <si>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</si>
  <si>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1.7021, percentGrossMarketValueAccount: 1.7021, percentNetExposureAccount: 1.7021, percentGrossExposureAccount: 1.7021, AccountShortName: Allocation1, Symbol: DBLSX</t>
  </si>
  <si>
    <t>RuleSet_Global</t>
  </si>
  <si>
    <t>Global</t>
  </si>
  <si>
    <t>percentNetExposureGlobal: 1.20, percentNetMarketValueGlobal: 1.20, percentGrossExposureGlobal: 1.20, percentGrossMarketValueGlobal: 1.20</t>
  </si>
  <si>
    <t>RuleSet_MF</t>
  </si>
  <si>
    <t>NewMF</t>
  </si>
  <si>
    <t>percentNetMarketValueMasterFund: 1.20, percentNetExposureMasterFund: 1.20, percentGrossExposureMasterFund: 1.20, percentGrossMarketValueMasterFund: 1.20, MasterFundName: NewMF</t>
  </si>
  <si>
    <t>Blotter</t>
  </si>
  <si>
    <t>SelectTradeOnOrderGrid</t>
  </si>
  <si>
    <t>Filled</t>
  </si>
  <si>
    <t>ReplaceSubOrder</t>
  </si>
  <si>
    <t>Replace</t>
  </si>
  <si>
    <t>percentNetMarketValueAccount: 2.5532, percentGrossMarketValueAccount: 2.5532, percentNetExposureAccount: 2.5532, percentGrossExposureAccount: 2.5532, AccountShortName: Allocation1, Symbol: DBLSX</t>
  </si>
  <si>
    <t>percentNetExposureGlobal: 1.797, percentNetMarketValueGlobal: 1.797, percentGrossExposureGlobal: 1.797, percentGrossMarketValueGlobal: 1.797</t>
  </si>
  <si>
    <t>percentNetMarketValueMasterFund: 1.797, percentNetExposureMasterFund: 1.797, percentGrossExposureMasterFund: 1.797, percentGrossMarketValueMasterFund: 1.797, MasterFundName: NewMF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</si>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</sst>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bottom style="thin">
        <color rgb="FF535353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horizontal="left" readingOrder="0" shrinkToFit="0" vertical="top" wrapText="0"/>
    </xf>
    <xf borderId="11" fillId="7" fontId="14" numFmtId="0" xfId="0" applyAlignment="1" applyBorder="1" applyFill="1" applyFont="1">
      <alignment horizontal="left" readingOrder="0"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10" fillId="0" fontId="3" numFmtId="0" xfId="0" applyAlignment="1" applyBorder="1" applyFont="1">
      <alignment vertical="bottom"/>
    </xf>
    <xf borderId="11" fillId="8" fontId="14" numFmtId="0" xfId="0" applyAlignment="1" applyBorder="1" applyFill="1" applyFont="1">
      <alignment horizontal="left" readingOrder="0" shrinkToFit="0" vertical="top" wrapText="0"/>
    </xf>
    <xf borderId="13" fillId="8" fontId="3" numFmtId="0" xfId="0" applyAlignment="1" applyBorder="1" applyFont="1">
      <alignment vertical="top"/>
    </xf>
    <xf borderId="13" fillId="7" fontId="3" numFmtId="0" xfId="0" applyAlignment="1" applyBorder="1" applyFont="1">
      <alignment vertical="top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2" t="b">
        <v>0</v>
      </c>
      <c r="F6" s="32" t="b">
        <v>0</v>
      </c>
      <c r="G6" s="32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v>1.23456789E8</v>
      </c>
      <c r="C6" s="36" t="s">
        <v>21</v>
      </c>
      <c r="D6" s="37">
        <v>100.0</v>
      </c>
      <c r="E6" s="36"/>
      <c r="F6" s="31" t="s">
        <v>22</v>
      </c>
      <c r="G6" s="36"/>
      <c r="H6" s="36"/>
      <c r="I6" s="36"/>
      <c r="J6" s="38">
        <v>10.0</v>
      </c>
      <c r="K6" s="36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9"/>
      <c r="B7" s="40">
        <v>1.23456789E8</v>
      </c>
      <c r="C7" s="41" t="s">
        <v>21</v>
      </c>
      <c r="D7" s="42">
        <v>100.0</v>
      </c>
      <c r="E7" s="40">
        <v>0.0</v>
      </c>
      <c r="F7" s="43" t="s">
        <v>22</v>
      </c>
      <c r="G7" s="41"/>
      <c r="H7" s="41"/>
      <c r="I7" s="41"/>
      <c r="J7" s="38">
        <v>10.0</v>
      </c>
      <c r="K7" s="4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4"/>
      <c r="B8" s="41" t="s">
        <v>23</v>
      </c>
      <c r="C8" s="41" t="s">
        <v>21</v>
      </c>
      <c r="D8" s="42">
        <v>100.0</v>
      </c>
      <c r="E8" s="41"/>
      <c r="F8" s="31" t="s">
        <v>22</v>
      </c>
      <c r="G8" s="41"/>
      <c r="H8" s="41"/>
      <c r="I8" s="41"/>
      <c r="J8" s="38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4"/>
      <c r="B9" s="41" t="s">
        <v>23</v>
      </c>
      <c r="C9" s="41" t="s">
        <v>21</v>
      </c>
      <c r="D9" s="42">
        <v>100.0</v>
      </c>
      <c r="E9" s="40">
        <v>0.0</v>
      </c>
      <c r="F9" s="43" t="s">
        <v>22</v>
      </c>
      <c r="G9" s="41"/>
      <c r="H9" s="41"/>
      <c r="I9" s="41"/>
      <c r="J9" s="38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>
        <v>1.23456789E8</v>
      </c>
      <c r="C6" s="36" t="s">
        <v>21</v>
      </c>
      <c r="D6" s="37">
        <v>100.0</v>
      </c>
      <c r="E6" s="36"/>
      <c r="F6" s="31" t="s">
        <v>22</v>
      </c>
      <c r="G6" s="36"/>
      <c r="H6" s="36"/>
      <c r="I6" s="36"/>
      <c r="J6" s="38">
        <v>10.0</v>
      </c>
      <c r="K6" s="4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4"/>
      <c r="B7" s="41" t="s">
        <v>23</v>
      </c>
      <c r="C7" s="41" t="s">
        <v>21</v>
      </c>
      <c r="D7" s="42">
        <v>100.0</v>
      </c>
      <c r="E7" s="41"/>
      <c r="F7" s="31" t="s">
        <v>22</v>
      </c>
      <c r="G7" s="41"/>
      <c r="H7" s="41"/>
      <c r="I7" s="41"/>
      <c r="J7" s="38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 t="s">
        <v>23</v>
      </c>
      <c r="C6" s="38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4"/>
      <c r="B7" s="40">
        <v>1.23456789E8</v>
      </c>
      <c r="C7" s="38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>
        <f t="shared" ref="B6:C6" si="1">today()-1</f>
        <v>45279</v>
      </c>
      <c r="C6" s="48">
        <f t="shared" si="1"/>
        <v>45279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22</v>
      </c>
      <c r="C6" s="50" t="s">
        <v>29</v>
      </c>
      <c r="D6" s="51">
        <v>233990.0</v>
      </c>
      <c r="E6" s="36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2" t="s">
        <v>30</v>
      </c>
      <c r="C7" s="53" t="s">
        <v>29</v>
      </c>
      <c r="D7" s="54">
        <v>100000.0</v>
      </c>
      <c r="E7" s="4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1" t="s">
        <v>23</v>
      </c>
      <c r="C6" s="36" t="s">
        <v>21</v>
      </c>
      <c r="D6" s="37">
        <v>100.0</v>
      </c>
      <c r="E6" s="36"/>
      <c r="F6" s="31" t="s">
        <v>22</v>
      </c>
      <c r="G6" s="36"/>
      <c r="H6" s="36"/>
      <c r="I6" s="36"/>
      <c r="J6" s="38">
        <v>20.0</v>
      </c>
      <c r="K6" s="4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32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39</v>
      </c>
      <c r="I6" s="58"/>
      <c r="J6" s="31"/>
      <c r="K6" s="59" t="s">
        <v>18</v>
      </c>
      <c r="L6" s="31"/>
      <c r="M6" s="59" t="s">
        <v>32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56" t="s">
        <v>34</v>
      </c>
      <c r="C7" s="61" t="s">
        <v>40</v>
      </c>
      <c r="D7" s="61" t="s">
        <v>36</v>
      </c>
      <c r="E7" s="61" t="s">
        <v>41</v>
      </c>
      <c r="F7" s="61" t="s">
        <v>38</v>
      </c>
      <c r="G7" s="61" t="s">
        <v>38</v>
      </c>
      <c r="H7" s="61" t="s">
        <v>42</v>
      </c>
      <c r="I7" s="6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56" t="s">
        <v>34</v>
      </c>
      <c r="C8" s="57" t="s">
        <v>43</v>
      </c>
      <c r="D8" s="57" t="s">
        <v>36</v>
      </c>
      <c r="E8" s="57" t="s">
        <v>44</v>
      </c>
      <c r="F8" s="57" t="s">
        <v>38</v>
      </c>
      <c r="G8" s="57" t="s">
        <v>38</v>
      </c>
      <c r="H8" s="57" t="s">
        <v>45</v>
      </c>
      <c r="I8" s="6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4">
        <v>20.0</v>
      </c>
      <c r="C6" s="31"/>
      <c r="D6" s="41" t="s">
        <v>23</v>
      </c>
      <c r="E6" s="31"/>
      <c r="F6" s="59" t="s">
        <v>21</v>
      </c>
      <c r="G6" s="59" t="s">
        <v>48</v>
      </c>
      <c r="H6" s="38">
        <v>100.0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4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1" t="s">
        <v>23</v>
      </c>
      <c r="AK6" s="31" t="s">
        <v>21</v>
      </c>
      <c r="AL6" s="31" t="s">
        <v>48</v>
      </c>
      <c r="AM6" s="65">
        <v>100.0</v>
      </c>
      <c r="AN6" s="31"/>
      <c r="AO6" s="31"/>
      <c r="AP6" s="31"/>
      <c r="AQ6" s="31"/>
      <c r="AR6" s="31"/>
      <c r="AS6" s="65">
        <v>20.0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 t="s">
        <v>23</v>
      </c>
      <c r="C6" s="31"/>
      <c r="D6" s="64">
        <v>200.0</v>
      </c>
      <c r="E6" s="31"/>
      <c r="F6" s="31"/>
      <c r="G6" s="31"/>
      <c r="H6" s="31"/>
      <c r="I6" s="31"/>
      <c r="J6" s="38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50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51</v>
      </c>
      <c r="I6" s="58"/>
      <c r="J6" s="31"/>
      <c r="K6" s="59" t="s">
        <v>18</v>
      </c>
      <c r="L6" s="31"/>
      <c r="M6" s="59" t="s">
        <v>50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56" t="s">
        <v>34</v>
      </c>
      <c r="C7" s="61" t="s">
        <v>40</v>
      </c>
      <c r="D7" s="61" t="s">
        <v>36</v>
      </c>
      <c r="E7" s="61" t="s">
        <v>41</v>
      </c>
      <c r="F7" s="61" t="s">
        <v>38</v>
      </c>
      <c r="G7" s="61" t="s">
        <v>38</v>
      </c>
      <c r="H7" s="61" t="s">
        <v>52</v>
      </c>
      <c r="I7" s="6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56" t="s">
        <v>34</v>
      </c>
      <c r="C8" s="57" t="s">
        <v>43</v>
      </c>
      <c r="D8" s="57" t="s">
        <v>36</v>
      </c>
      <c r="E8" s="57" t="s">
        <v>44</v>
      </c>
      <c r="F8" s="57" t="s">
        <v>38</v>
      </c>
      <c r="G8" s="57" t="s">
        <v>38</v>
      </c>
      <c r="H8" s="57" t="s">
        <v>53</v>
      </c>
      <c r="I8" s="6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64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1" t="s">
        <v>23</v>
      </c>
      <c r="AJ6" s="31" t="s">
        <v>21</v>
      </c>
      <c r="AK6" s="31" t="s">
        <v>55</v>
      </c>
      <c r="AL6" s="65">
        <v>200.0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51</v>
      </c>
      <c r="I6" s="58"/>
      <c r="J6" s="31"/>
      <c r="K6" s="59" t="s">
        <v>18</v>
      </c>
      <c r="L6" s="31"/>
      <c r="M6" s="59" t="s">
        <v>32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0"/>
      <c r="B7" s="56" t="s">
        <v>34</v>
      </c>
      <c r="C7" s="61" t="s">
        <v>43</v>
      </c>
      <c r="D7" s="61" t="s">
        <v>36</v>
      </c>
      <c r="E7" s="61" t="s">
        <v>44</v>
      </c>
      <c r="F7" s="61" t="s">
        <v>38</v>
      </c>
      <c r="G7" s="61" t="s">
        <v>38</v>
      </c>
      <c r="H7" s="61" t="s">
        <v>53</v>
      </c>
      <c r="I7" s="62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0"/>
      <c r="B8" s="56" t="s">
        <v>34</v>
      </c>
      <c r="C8" s="57" t="s">
        <v>40</v>
      </c>
      <c r="D8" s="57" t="s">
        <v>36</v>
      </c>
      <c r="E8" s="57" t="s">
        <v>41</v>
      </c>
      <c r="F8" s="57" t="s">
        <v>38</v>
      </c>
      <c r="G8" s="57" t="s">
        <v>38</v>
      </c>
      <c r="H8" s="57" t="s">
        <v>52</v>
      </c>
      <c r="I8" s="63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