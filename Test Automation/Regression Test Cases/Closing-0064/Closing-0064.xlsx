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ManualClosing" sheetId="6" r:id="rId8"/>
    <sheet state="visible" name="SelectAllocatedGroup" sheetId="7" r:id="rId9"/>
    <sheet state="visible" name="EditAllocatedGroupSidePanel" sheetId="8" r:id="rId10"/>
    <sheet state="visible" name="CheckAllocatedGroups" sheetId="9" r:id="rId11"/>
    <sheet state="visible" name="VerifyClosedTrades" sheetId="10" r:id="rId12"/>
  </sheets>
  <definedNames/>
  <calcPr/>
</workbook>
</file>

<file path=xl/sharedStrings.xml><?xml version="1.0" encoding="utf-8"?>
<sst xmlns="http://schemas.openxmlformats.org/spreadsheetml/2006/main" count="83" uniqueCount="30">
  <si>
    <t>Settings</t>
  </si>
  <si>
    <t>Modules Info</t>
  </si>
  <si>
    <t>Master Data Info</t>
  </si>
  <si>
    <t>Module</t>
  </si>
  <si>
    <t>Modules</t>
  </si>
  <si>
    <t>Module Step Setting File</t>
  </si>
  <si>
    <t>1sG6uB28jAaiyaldDeMtbboQN41jJ2tAmE2rg6U9qH5o</t>
  </si>
  <si>
    <t>Master Data Settings File</t>
  </si>
  <si>
    <t>1hEhI9rg16D4Xvfk19pDaFUFF78jjfIG29BBaNg8kT0A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</si>
  <si>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</si>
  <si>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</si>
  <si>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</si>
  <si>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</si>
  <si>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</si>
  <si>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</si>
  <si>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</si>
  <si>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</si>
  <si>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</si>
  <si>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</si>
  <si>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Sell</t>
  </si>
  <si>
    <t>Closing</t>
  </si>
  <si>
    <t>GetDataClosing</t>
  </si>
  <si>
    <t>Current</t>
  </si>
  <si>
    <t>ManualClosing</t>
  </si>
  <si>
    <t>Equity</t>
  </si>
  <si>
    <t>Allocation</t>
  </si>
  <si>
    <t>SelectAllocatedGroup</t>
  </si>
  <si>
    <t>EditAllocatedGroupSidePanel</t>
  </si>
  <si>
    <t>CheckAllocatedGroups</t>
  </si>
  <si>
    <t>VerifyClosedTrades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</si>
</sst>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readingOrder="0" shrinkToFit="0" wrapText="0"/>
    </xf>
    <xf borderId="2" fillId="0" fontId="3" numFmtId="0" xfId="0" applyBorder="1" applyFont="1"/>
    <xf borderId="1" fillId="2" fontId="2" numFmtId="0" xfId="0" applyAlignment="1" applyBorder="1" applyFont="1">
      <alignment horizontal="center" shrinkToFit="0" wrapText="0"/>
    </xf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7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4" numFmtId="0" xfId="0" applyAlignment="1" applyBorder="1" applyFont="1">
      <alignment vertical="bottom"/>
    </xf>
    <xf borderId="5" fillId="0" fontId="4" numFmtId="14" xfId="0" applyAlignment="1" applyBorder="1" applyFont="1" applyNumberForma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4" t="s">
        <v>1</v>
      </c>
      <c r="B1" s="3"/>
      <c r="C1" s="3"/>
      <c r="D1" s="3"/>
      <c r="E1" s="3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4</v>
      </c>
      <c r="B3" s="9"/>
      <c r="C3" s="11"/>
      <c r="D3" s="11"/>
      <c r="E3" s="11"/>
      <c r="F3" s="11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IFERROR(__xludf.DUMMYFUNCTION("""COMPUTED_VALUE"""),"Undefined")</f>
        <v>Undefined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IFERROR(__xludf.DUMMYFUNCTION("""COMPUTED_VALUE"""),"1ASulLlGAl--JRs7NVIiQ-6Q2Y2P3o7Y40cokKmMg-UA")</f>
        <v>1ASulLlGAl--JRs7NVIiQ-6Q2Y2P3o7Y40cokKmMg-UA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IFERROR(__xludf.DUMMYFUNCTION("""COMPUTED_VALUE"""),"153rAtnJuNh4UK26GjSOxUSjAHcOxzWv7CRGvmhrIJRs")</f>
        <v>153rAtnJuNh4UK26GjSOxUSjAHcOxzWv7CRGvmhrIJRs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IFERROR(__xludf.DUMMYFUNCTION("""COMPUTED_VALUE"""),"14c4GsPTH5D3eyeeKaMiqJQXOT6OiyIKnC2Ey2f-mzXU")</f>
        <v>14c4GsPTH5D3eyeeKaMiqJQXOT6OiyIKnC2Ey2f-mzXU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IFERROR(__xludf.DUMMYFUNCTION("""COMPUTED_VALUE"""),"1FoqTScZHaIaLmwoImnVY7WWuCKEwJNYw8_jsXiT_wz4")</f>
        <v>1FoqTScZHaIaLmwoImnVY7WWuCKEwJNYw8_jsXiT_wz4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IFERROR(__xludf.DUMMYFUNCTION("""COMPUTED_VALUE"""),"1nx-Ntcckcf-w1Yr5yyOw4Vmcr4UsalakHe-CHaRihg0")</f>
        <v>1nx-Ntcckcf-w1Yr5yyOw4Vmcr4UsalakHe-CHaRihg0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IFERROR(__xludf.DUMMYFUNCTION("""COMPUTED_VALUE"""),"1aOr-_cYT21IfJctqcBB50iQOXfB0qUo9bBesL3tt_2o")</f>
        <v>1aOr-_cYT21IfJctqcBB50iQOXfB0qUo9bBesL3tt_2o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IFERROR(__xludf.DUMMYFUNCTION("""COMPUTED_VALUE"""),"1NSNUZ7aVjKq-fJWvjMKU9f1Hhbf0UmIY3RQLFu0_U94")</f>
        <v>1NSNUZ7aVjKq-fJWvjMKU9f1Hhbf0UmIY3RQLFu0_U94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IFERROR(__xludf.DUMMYFUNCTION("""COMPUTED_VALUE"""),"1qcpgHRQFZbpv-NnW8K-CvX_auKXD5UD0KzrBvuBL6yQ")</f>
        <v>1qcpgHRQFZbpv-NnW8K-CvX_auKXD5UD0KzrBvuBL6yQ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IFERROR(__xludf.DUMMYFUNCTION("""COMPUTED_VALUE"""),"1AcxAZQwu6HAEJMCMK3bk08quIeXstZWKnCNeDGuqkgc")</f>
        <v>1AcxAZQwu6HAEJMCMK3bk08quIeXstZWKnCNeDGuqkgc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IFERROR(__xludf.DUMMYFUNCTION("""COMPUTED_VALUE"""),"1VLF0uNJJlumCyBscfuDhTN1tOv-0IRCkYlwfDU8GczQ")</f>
        <v>1VLF0uNJJlumCyBscfuDhTN1tOv-0IRCkYlwfDU8GczQ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IFERROR(__xludf.DUMMYFUNCTION("""COMPUTED_VALUE"""),"1_8MIcc2OK_ojl_V4NIwMLs9H7qkQkwyq9sDf1PpIqc8")</f>
        <v>1_8MIcc2OK_ojl_V4NIwMLs9H7qkQkwyq9sDf1PpIqc8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IFERROR(__xludf.DUMMYFUNCTION("""COMPUTED_VALUE"""),"1tN1tbsnXiVRytGN-WCzTnGTmfRxY2nBklQk3AQSJo2c")</f>
        <v>1tN1tbsnXiVRytGN-WCzTnGTmfRxY2nBklQk3AQSJo2c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IFERROR(__xludf.DUMMYFUNCTION("""COMPUTED_VALUE"""),"1VRRuQCPazoSKAv27NBzQzv_Yw_Kgakw-yyKn6w1zhKU")</f>
        <v>1VRRuQCPazoSKAv27NBzQzv_Yw_Kgakw-yyKn6w1zhKU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IFERROR(__xludf.DUMMYFUNCTION("""COMPUTED_VALUE"""),"1fGo94nf55bWXddEMlTwX902cb1V6cWr9GHWYy_sZ8IU")</f>
        <v>1fGo94nf55bWXddEMlTwX902cb1V6cWr9GHWYy_sZ8IU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IFERROR(__xludf.DUMMYFUNCTION("""COMPUTED_VALUE"""),"1rOMKu0Ez7NdxjtZC05lRrPUSa0tkOQSvbOhxjuijMsU")</f>
        <v>1rOMKu0Ez7NdxjtZC05lRrPUSa0tkOQSvbOhxjuijMsU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IFERROR(__xludf.DUMMYFUNCTION("""COMPUTED_VALUE"""),"1yBi-hp0jcYIFB6ymnlQIlx-pUUkfcjJU7Ap0azBbNcE")</f>
        <v>1yBi-hp0jcYIFB6ymnlQIlx-pUUkfcjJU7Ap0azBbNcE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IFERROR(__xludf.DUMMYFUNCTION("""COMPUTED_VALUE"""),"1x5iUjYB72ZJ35IOvQ_JQkWHV-d1FlgKY3bIxxTpk-f0")</f>
        <v>1x5iUjYB72ZJ35IOvQ_JQkWHV-d1FlgKY3bIxxTpk-f0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IFERROR(__xludf.DUMMYFUNCTION("""COMPUTED_VALUE"""),"1Li5RKULV7Lc2MLczTkVbzq0oDYcFGfTlBUO9__NoODc")</f>
        <v>1Li5RKULV7Lc2MLczTkVbzq0oDYcFGfTlBUO9__NoODc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IFERROR(__xludf.DUMMYFUNCTION("""COMPUTED_VALUE"""),"1vnIE6mL0eHSchRF1qTlJ2JL_Ylu6hiC6uOXpzq7M0BQ")</f>
        <v>1vnIE6mL0eHSchRF1qTlJ2JL_Ylu6hiC6uOXpzq7M0BQ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IFERROR(__xludf.DUMMYFUNCTION("""COMPUTED_VALUE"""),"1KCMHfIqMprTfc21JY7-_BuJZCbNmjdI-pAMs1UtHRgM")</f>
        <v>1KCMHfIqMprTfc21JY7-_BuJZCbNmjdI-pAMs1UtHRgM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IFERROR(__xludf.DUMMYFUNCTION("""COMPUTED_VALUE"""),"1tRgcAtzRVDm6tX53uSpBOxZNBYm4sTcJiDaR4fxdfwY")</f>
        <v>1tRgcAtzRVDm6tX53uSpBOxZNBYm4sTcJiDaR4fxdfwY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IFERROR(__xludf.DUMMYFUNCTION("""COMPUTED_VALUE"""),"12DQ8VFmnoIi6USj-pAupggGf1Uakm-iIEO9IboOJPds")</f>
        <v>12DQ8VFmnoIi6USj-pAupggGf1Uakm-iIEO9IboOJPds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IFERROR(__xludf.DUMMYFUNCTION("""COMPUTED_VALUE"""),"1EinrxkfbLK2Tdj1nGXu4y1H2zmS6g6G85Hm0vYSOHlA")</f>
        <v>1EinrxkfbLK2Tdj1nGXu4y1H2zmS6g6G85Hm0vYSOHlA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IFERROR(__xludf.DUMMYFUNCTION("""COMPUTED_VALUE"""),"1qeUVChEAj0eKA7tNZsUWM4FcqW347Jcsk_tvw1-FP3s")</f>
        <v>1qeUVChEAj0eKA7tNZsUWM4FcqW347Jcsk_tvw1-FP3s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IFERROR(__xludf.DUMMYFUNCTION("""COMPUTED_VALUE"""),"1aVxYFzFjJM4FVvXjfioQc67hI5XgzzCTHLg8f7lbJhU")</f>
        <v>1aVxYFzFjJM4FVvXjfioQc67hI5XgzzCTHLg8f7lbJhU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IFERROR(__xludf.DUMMYFUNCTION("""COMPUTED_VALUE"""),"1Fe8M8KnrsIcnAobjXa43I9IzXKCnB39xCSYterKkeEc")</f>
        <v>1Fe8M8KnrsIcnAobjXa43I9IzXKCnB39xCSYterKkeEc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IFERROR(__xludf.DUMMYFUNCTION("""COMPUTED_VALUE"""),"1qJHd_QH5ht3ZzeFZbKiVeEOBmlpAshwV72N701B28uk")</f>
        <v>1qJHd_QH5ht3ZzeFZbKiVeEOBmlpAshwV72N701B28uk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IFERROR(__xludf.DUMMYFUNCTION("""COMPUTED_VALUE"""),"15oRO_LPvC6rypZrsVSsxZ-4GAvCsN-AMXec_SMX1zsQ")</f>
        <v>15oRO_LPvC6rypZrsVSsxZ-4GAvCsN-AMXec_SMX1zsQ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IFERROR(__xludf.DUMMYFUNCTION("""COMPUTED_VALUE"""),"1x31soGgAIzQ8ewrat6Uw5zrZIzPOYIL8ZYN_OzrxiqU")</f>
        <v>1x31soGgAIzQ8ewrat6Uw5zrZIzPOYIL8ZYN_OzrxiqU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IFERROR(__xludf.DUMMYFUNCTION("""COMPUTED_VALUE"""),"1e0trYHQukhb0WQXpsxD5RhQ_bYwjB2sFNrgs2uaqNvg")</f>
        <v>1e0trYHQukhb0WQXpsxD5RhQ_bYwjB2sFNrgs2uaqNvg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IFERROR(__xludf.DUMMYFUNCTION("""COMPUTED_VALUE"""),"ViewThirdParty")</f>
        <v>ViewThirdParty</v>
      </c>
      <c r="C37" t="str">
        <f>IFERROR(__xludf.DUMMYFUNCTION("""COMPUTED_VALUE"""),"1F_BXcQL-UOYNmtCgE2FRSzTxqoMMKNIV-clJRsPLe1s")</f>
        <v>1F_BXcQL-UOYNmtCgE2FRSzTxqoMMKNIV-clJRsPLe1s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IFERROR(__xludf.DUMMYFUNCTION("""COMPUTED_VALUE"""),"SelectThirdPartyName")</f>
        <v>SelectThirdPartyName</v>
      </c>
      <c r="C38" t="str">
        <f>IFERROR(__xludf.DUMMYFUNCTION("""COMPUTED_VALUE"""),"1Seece-QvbnxJPXb_gnGofgxvFKlLukvDW2KqTZLtK98")</f>
        <v>1Seece-QvbnxJPXb_gnGofgxvFKlLukvDW2KqTZLtK98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IFERROR(__xludf.DUMMYFUNCTION("""COMPUTED_VALUE"""),"VerifyThirdPartyData")</f>
        <v>VerifyThirdPartyData</v>
      </c>
      <c r="C39" t="str">
        <f>IFERROR(__xludf.DUMMYFUNCTION("""COMPUTED_VALUE"""),"1u7KqMwMvVlHd9mcfrPLUbFG22gfYSWpnZJvdzoK1ZYA")</f>
        <v>1u7KqMwMvVlHd9mcfrPLUbFG22gfYSWpnZJvdzoK1ZYA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IFERROR(__xludf.DUMMYFUNCTION("""COMPUTED_VALUE"""),"CorporateAction")</f>
        <v>CorporateAction</v>
      </c>
      <c r="B40" t="str">
        <f>IFERROR(__xludf.DUMMYFUNCTION("""COMPUTED_VALUE"""),"CleanUp")</f>
        <v>CleanUp</v>
      </c>
      <c r="C40" t="str">
        <f>IFERROR(__xludf.DUMMYFUNCTION("""COMPUTED_VALUE"""),"19OUC-KFPJBCD5XEanC8Js6T4MSPKjYN8wC24gzOEVFk")</f>
        <v>19OUC-KFPJBCD5XEanC8Js6T4MSPKjYN8wC24gzOEVFk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IFERROR(__xludf.DUMMYFUNCTION("""COMPUTED_VALUE"""),"PST")</f>
        <v>PST</v>
      </c>
      <c r="B41" t="str">
        <f>IFERROR(__xludf.DUMMYFUNCTION("""COMPUTED_VALUE"""),"RunPST")</f>
        <v>RunPST</v>
      </c>
      <c r="C41" t="str">
        <f>IFERROR(__xludf.DUMMYFUNCTION("""COMPUTED_VALUE"""),"13u7vqO7dHa-QnQluOEUR6rpZXp__Iv3tfm7aMG4omnc")</f>
        <v>13u7vqO7dHa-QnQluOEUR6rpZXp__Iv3tfm7aMG4omnc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IFERROR(__xludf.DUMMYFUNCTION("""COMPUTED_VALUE"""),"PSTInputData")</f>
        <v>PSTInputData</v>
      </c>
      <c r="C42" t="str">
        <f>IFERROR(__xludf.DUMMYFUNCTION("""COMPUTED_VALUE"""),"1B7NnkALzxy07DJM7saVZv1o5ZltnXFqFqsxqWW8kqA0")</f>
        <v>1B7NnkALzxy07DJM7saVZv1o5ZltnXFqFqsxqWW8kqA0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IFERROR(__xludf.DUMMYFUNCTION("""COMPUTED_VALUE"""),"PSTVerifyData")</f>
        <v>PSTVerifyData</v>
      </c>
      <c r="C43" t="str">
        <f>IFERROR(__xludf.DUMMYFUNCTION("""COMPUTED_VALUE"""),"1FXo2WcGDASn25PGZWTFfkBEPCkvTAGauIbof2MOtRxE")</f>
        <v>1FXo2WcGDASn25PGZWTFfkBEPCkvTAGauIbof2MOtRxE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IFERROR(__xludf.DUMMYFUNCTION("""COMPUTED_VALUE"""),"PSTFunctionalities")</f>
        <v>PSTFunctionalities</v>
      </c>
      <c r="C44" t="str">
        <f>IFERROR(__xludf.DUMMYFUNCTION("""COMPUTED_VALUE"""),"1uwp5EUk7yLKid2SqDjwj0_GiGO9VhpJzYIcxQylCTwo")</f>
        <v>1uwp5EUk7yLKid2SqDjwj0_GiGO9VhpJzYIcxQylCTwo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IFERROR(__xludf.DUMMYFUNCTION("""COMPUTED_VALUE"""),"PortfolioManagement")</f>
        <v>PortfolioManagement</v>
      </c>
      <c r="B45" t="str">
        <f>IFERROR(__xludf.DUMMYFUNCTION("""COMPUTED_VALUE"""),"OpenPSTFromPM")</f>
        <v>OpenPSTFromPM</v>
      </c>
      <c r="C45" t="str">
        <f>IFERROR(__xludf.DUMMYFUNCTION("""COMPUTED_VALUE"""),"1Hh6nJVl05fGFGgAzhC0v2n-p_CU9Jd0uFqdHlnWwJTg")</f>
        <v>1Hh6nJVl05fGFGgAzhC0v2n-p_CU9Jd0uFqdHlnWwJTg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IFERROR(__xludf.DUMMYFUNCTION("""COMPUTED_VALUE"""),"TradingTicket")</f>
        <v>TradingTicket</v>
      </c>
      <c r="B46" t="str">
        <f>IFERROR(__xludf.DUMMYFUNCTION("""COMPUTED_VALUE"""),"OpenTTFromPST")</f>
        <v>OpenTTFromPST</v>
      </c>
      <c r="C46" t="str">
        <f>IFERROR(__xludf.DUMMYFUNCTION("""COMPUTED_VALUE"""),"1O7edVbfzplQ-O-6CEJxzgq38bKuzQqrZMi1hvHduoxM")</f>
        <v>1O7edVbfzplQ-O-6CEJxzgq38bKuzQqrZMi1hvHduoxM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IFERROR(__xludf.DUMMYFUNCTION("""COMPUTED_VALUE"""),"CorporateAction")</f>
        <v>CorporateAction</v>
      </c>
      <c r="B47" t="str">
        <f>IFERROR(__xludf.DUMMYFUNCTION("""COMPUTED_VALUE"""),"CashDividend")</f>
        <v>CashDividend</v>
      </c>
      <c r="C47" t="str">
        <f>IFERROR(__xludf.DUMMYFUNCTION("""COMPUTED_VALUE"""),"1l95qunFGTeiKLwSKZHVbWlTE0cznZgjCRpuiltJ4gtg")</f>
        <v>1l95qunFGTeiKLwSKZHVbWlTE0cznZgjCRpuiltJ4gtg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IFERROR(__xludf.DUMMYFUNCTION("""COMPUTED_VALUE"""),"Exchange")</f>
        <v>Exchange</v>
      </c>
      <c r="C48" t="str">
        <f>IFERROR(__xludf.DUMMYFUNCTION("""COMPUTED_VALUE"""),"12KLRQucApo6IRtAzVp-za62nqiIuztr1Mj52yRvvqOY")</f>
        <v>12KLRQucApo6IRtAzVp-za62nqiIuztr1Mj52yRvvqOY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IFERROR(__xludf.DUMMYFUNCTION("""COMPUTED_VALUE"""),"Merger")</f>
        <v>Merger</v>
      </c>
      <c r="C49" t="str">
        <f>IFERROR(__xludf.DUMMYFUNCTION("""COMPUTED_VALUE"""),"1qgEiuLYXaLVPJOINdfkRr7c9lyRRS_xBSe6SPkp8K-o")</f>
        <v>1qgEiuLYXaLVPJOINdfkRr7c9lyRRS_xBSe6SPkp8K-o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IFERROR(__xludf.DUMMYFUNCTION("""COMPUTED_VALUE"""),"NameChange")</f>
        <v>NameChange</v>
      </c>
      <c r="C50" t="str">
        <f>IFERROR(__xludf.DUMMYFUNCTION("""COMPUTED_VALUE"""),"1VuAexgshIic71eEvB5mnvl0UMXMV0P8jozCsUHV30FM")</f>
        <v>1VuAexgshIic71eEvB5mnvl0UMXMV0P8jozCsUHV30FM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IFERROR(__xludf.DUMMYFUNCTION("""COMPUTED_VALUE"""),"SpinOff")</f>
        <v>SpinOff</v>
      </c>
      <c r="C51" t="str">
        <f>IFERROR(__xludf.DUMMYFUNCTION("""COMPUTED_VALUE"""),"14CbrcCPYaI4Gqde6ADz6rnkGV-C_I_sBUHhcLeGClx8")</f>
        <v>14CbrcCPYaI4Gqde6ADz6rnkGV-C_I_sBUHhcLeGClx8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IFERROR(__xludf.DUMMYFUNCTION("""COMPUTED_VALUE"""),"Split")</f>
        <v>Split</v>
      </c>
      <c r="C52" t="str">
        <f>IFERROR(__xludf.DUMMYFUNCTION("""COMPUTED_VALUE"""),"1QDL5sjj6u7bA-8ZBdirMnBaDWycVY_NycJVU4obVZW4")</f>
        <v>1QDL5sjj6u7bA-8ZBdirMnBaDWycVY_NycJVU4obVZW4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IFERROR(__xludf.DUMMYFUNCTION("""COMPUTED_VALUE"""),"StockDividend")</f>
        <v>StockDividend</v>
      </c>
      <c r="C53" t="str">
        <f>IFERROR(__xludf.DUMMYFUNCTION("""COMPUTED_VALUE"""),"16X2GOg0YhlSXphoVEDqum-MD5qeGqs4ri9q1t365RBM")</f>
        <v>16X2GOg0YhlSXphoVEDqum-MD5qeGqs4ri9q1t365RBM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IFERROR(__xludf.DUMMYFUNCTION("""COMPUTED_VALUE"""),"TradingTicket")</f>
        <v>TradingTicket</v>
      </c>
      <c r="B54" t="str">
        <f>IFERROR(__xludf.DUMMYFUNCTION("""COMPUTED_VALUE"""),"EnterDetailsOnTT")</f>
        <v>EnterDetailsOnTT</v>
      </c>
      <c r="C54" t="str">
        <f>IFERROR(__xludf.DUMMYFUNCTION("""COMPUTED_VALUE"""),"Undefined")</f>
        <v>Undefined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IFERROR(__xludf.DUMMYFUNCTION("""COMPUTED_VALUE"""),"DailyValuation")</f>
        <v>DailyValuation</v>
      </c>
      <c r="B55" t="str">
        <f>IFERROR(__xludf.DUMMYFUNCTION("""COMPUTED_VALUE"""),"CleanUp")</f>
        <v>CleanUp</v>
      </c>
      <c r="C55" t="str">
        <f>IFERROR(__xludf.DUMMYFUNCTION("""COMPUTED_VALUE"""),"Undefined")</f>
        <v>Undefined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IFERROR(__xludf.DUMMYFUNCTION("""COMPUTED_VALUE"""),"Allocation")</f>
        <v>Allocation</v>
      </c>
      <c r="B56" t="str">
        <f>IFERROR(__xludf.DUMMYFUNCTION("""COMPUTED_VALUE"""),"EditUnallocatedGroupSidePanel")</f>
        <v>EditUnallocatedGroupSidePanel</v>
      </c>
      <c r="C56" t="str">
        <f>IFERROR(__xludf.DUMMYFUNCTION("""COMPUTED_VALUE"""),"1obz67sla1dkodV-Q4D2wwh5s-e3HmC4hlGqolpOQUV8")</f>
        <v>1obz67sla1dkodV-Q4D2wwh5s-e3HmC4hlGqolpOQUV8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IFERROR(__xludf.DUMMYFUNCTION("""COMPUTED_VALUE"""),"TradeAttributeBulkChange")</f>
        <v>TradeAttributeBulkChange</v>
      </c>
      <c r="C57" t="str">
        <f>IFERROR(__xludf.DUMMYFUNCTION("""COMPUTED_VALUE"""),"125zeq5tUeqMKMM-UIYzLLNOo2jnWtqyUOTnd8xgkM2U")</f>
        <v>125zeq5tUeqMKMM-UIYzLLNOo2jnWtqyUOTnd8xgkM2U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IFERROR(__xludf.DUMMYFUNCTION("""COMPUTED_VALUE"""),"ApplyBulkUpdateOnGroups")</f>
        <v>ApplyBulkUpdateOnGroups</v>
      </c>
      <c r="C58" t="str">
        <f>IFERROR(__xludf.DUMMYFUNCTION("""COMPUTED_VALUE"""),"1fmnAQFt-_YGqWUkuKgjzxtlh-aixWAcNa1UIwdqtUaQ")</f>
        <v>1fmnAQFt-_YGqWUkuKgjzxtlh-aixWAcNa1UIwdqtUaQ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IFERROR(__xludf.DUMMYFUNCTION("""COMPUTED_VALUE"""),"ApplyPrefetchFilters")</f>
        <v>ApplyPrefetchFilters</v>
      </c>
      <c r="C59" t="str">
        <f>IFERROR(__xludf.DUMMYFUNCTION("""COMPUTED_VALUE"""),"1RpXT-dPg6X5MwsysSjIzJgVZ1LmQ-pZTaN1xAyetv9k")</f>
        <v>1RpXT-dPg6X5MwsysSjIzJgVZ1LmQ-pZTaN1xAyetv9k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IFERROR(__xludf.DUMMYFUNCTION("""COMPUTED_VALUE"""),"GeneralPreferencesDefaultRule")</f>
        <v>GeneralPreferencesDefaultRule</v>
      </c>
      <c r="C60" t="str">
        <f>IFERROR(__xludf.DUMMYFUNCTION("""COMPUTED_VALUE"""),"1CV6mfDD8X54LhJ8arf__OEfIfLNrn71OAu-q5NtWkTI")</f>
        <v>1CV6mfDD8X54LhJ8arf__OEfIfLNrn71OAu-q5NtWkTI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IFERROR(__xludf.DUMMYFUNCTION("""COMPUTED_VALUE"""),"GeneralPrefCompanyUserWise")</f>
        <v>GeneralPrefCompanyUserWise</v>
      </c>
      <c r="C61" t="str">
        <f>IFERROR(__xludf.DUMMYFUNCTION("""COMPUTED_VALUE"""),"1bTLj8UBbX8x8Nh9oZ3dmg11pxddYuwGh_Km5LJlEK6c")</f>
        <v>1bTLj8UBbX8x8Nh9oZ3dmg11pxddYuwGh_Km5LJlEK6c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IFERROR(__xludf.DUMMYFUNCTION("""COMPUTED_VALUE"""),"RenameTradeAttributes")</f>
        <v>RenameTradeAttributes</v>
      </c>
      <c r="C62" t="str">
        <f>IFERROR(__xludf.DUMMYFUNCTION("""COMPUTED_VALUE"""),"13LBQhnI0n0hlW6NV8EeRAzwHEza7O_fshrZJkCE660w")</f>
        <v>13LBQhnI0n0hlW6NV8EeRAzwHEza7O_fshrZJkCE660w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IFERROR(__xludf.DUMMYFUNCTION("""COMPUTED_VALUE"""),"SetGroupingRules")</f>
        <v>SetGroupingRules</v>
      </c>
      <c r="C63" t="str">
        <f>IFERROR(__xludf.DUMMYFUNCTION("""COMPUTED_VALUE"""),"1ZI2MUcaIdICaC-BRH8bwfpVUeS1ug7gXksmgYXABZ3g")</f>
        <v>1ZI2MUcaIdICaC-BRH8bwfpVUeS1ug7gXksmgYXABZ3g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IFERROR(__xludf.DUMMYFUNCTION("""COMPUTED_VALUE"""),"SetMasterFundRatio")</f>
        <v>SetMasterFundRatio</v>
      </c>
      <c r="C64" t="str">
        <f>IFERROR(__xludf.DUMMYFUNCTION("""COMPUTED_VALUE"""),"1HnUnCvn0omZQKeWh9DMLKrx03H2nG8a-KamHRLb2vko")</f>
        <v>1HnUnCvn0omZQKeWh9DMLKrx03H2nG8a-KamHRLb2vko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IFERROR(__xludf.DUMMYFUNCTION("""COMPUTED_VALUE"""),"CheckFixedPreference")</f>
        <v>CheckFixedPreference</v>
      </c>
      <c r="C65" t="str">
        <f>IFERROR(__xludf.DUMMYFUNCTION("""COMPUTED_VALUE"""),"1MxG9l1lQczLE5PdZzV-QjYVONc9z69XTu2wBiJDoklc")</f>
        <v>1MxG9l1lQczLE5PdZzV-QjYVONc9z69XTu2wBiJDoklc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IFERROR(__xludf.DUMMYFUNCTION("""COMPUTED_VALUE"""),"GetFixedPreference")</f>
        <v>GetFixedPreference</v>
      </c>
      <c r="C66" t="str">
        <f>IFERROR(__xludf.DUMMYFUNCTION("""COMPUTED_VALUE"""),"1BWEkQ0CkSiYeosqmxnRUzSfMXn7hwmMwFcWaGNhN0a0")</f>
        <v>1BWEkQ0CkSiYeosqmxnRUzSfMXn7hwmMwFcWaGNhN0a0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IFERROR(__xludf.DUMMYFUNCTION("""COMPUTED_VALUE"""),"AddCalculatedPreferences")</f>
        <v>AddCalculatedPreferences</v>
      </c>
      <c r="C67" t="str">
        <f>IFERROR(__xludf.DUMMYFUNCTION("""COMPUTED_VALUE"""),"1WsIU2FuWyqdJMtcmyw_BHMx4U8XVLpWl8JJrotx6ePI")</f>
        <v>1WsIU2FuWyqdJMtcmyw_BHMx4U8XVLpWl8JJrotx6ePI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IFERROR(__xludf.DUMMYFUNCTION("""COMPUTED_VALUE"""),"BulkChangeCalculatedPreferences")</f>
        <v>BulkChangeCalculatedPreferences</v>
      </c>
      <c r="C68" t="str">
        <f>IFERROR(__xludf.DUMMYFUNCTION("""COMPUTED_VALUE"""),"1NrLLc572hKpMzauSyaNtwhhiCBy61tlfp6nv6OL_CO0")</f>
        <v>1NrLLc572hKpMzauSyaNtwhhiCBy61tlfp6nv6OL_CO0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IFERROR(__xludf.DUMMYFUNCTION("""COMPUTED_VALUE"""),"DeleteCalculatedPreferences")</f>
        <v>DeleteCalculatedPreferences</v>
      </c>
      <c r="C69" t="str">
        <f>IFERROR(__xludf.DUMMYFUNCTION("""COMPUTED_VALUE"""),"1dd5N2CaOrQMCwOyMYcpk77icRYAOAWq2Q-iM6d30aaU")</f>
        <v>1dd5N2CaOrQMCwOyMYcpk77icRYAOAWq2Q-iM6d30aaU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IFERROR(__xludf.DUMMYFUNCTION("""COMPUTED_VALUE"""),"RenameCalculatedPreferences")</f>
        <v>RenameCalculatedPreferences</v>
      </c>
      <c r="C70" t="str">
        <f>IFERROR(__xludf.DUMMYFUNCTION("""COMPUTED_VALUE"""),"16YoKlUkbZBaPrggQKTzQkMlizINp1_oSx9jYRzNx_o4")</f>
        <v>16YoKlUkbZBaPrggQKTzQkMlizINp1_oSx9jYRzNx_o4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IFERROR(__xludf.DUMMYFUNCTION("""COMPUTED_VALUE"""),"CopyCalculatedPreferences")</f>
        <v>CopyCalculatedPreferences</v>
      </c>
      <c r="C71" t="str">
        <f>IFERROR(__xludf.DUMMYFUNCTION("""COMPUTED_VALUE"""),"1Vh7puU6V8sdg79BDEHjKR85NL7-Acme-qT6OtJYS8jU")</f>
        <v>1Vh7puU6V8sdg79BDEHjKR85NL7-Acme-qT6OtJYS8jU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IFERROR(__xludf.DUMMYFUNCTION("""COMPUTED_VALUE"""),"RunAutoGroup")</f>
        <v>RunAutoGroup</v>
      </c>
      <c r="C72" t="str">
        <f>IFERROR(__xludf.DUMMYFUNCTION("""COMPUTED_VALUE"""),"158eTu4y7Mzj5QKawI53nzZDBNrOyPWeB41H0X9otKtU")</f>
        <v>158eTu4y7Mzj5QKawI53nzZDBNrOyPWeB41H0X9otKtU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IFERROR(__xludf.DUMMYFUNCTION("""COMPUTED_VALUE"""),"BookOrUpdateSwap")</f>
        <v>BookOrUpdateSwap</v>
      </c>
      <c r="C73" t="str">
        <f>IFERROR(__xludf.DUMMYFUNCTION("""COMPUTED_VALUE"""),"1WP_KP7BGdetzKFFV_YXmrIpjZ117e0TQy6He8Pjsbn8")</f>
        <v>1WP_KP7BGdetzKFFV_YXmrIpjZ117e0TQy6He8Pjsbn8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IFERROR(__xludf.DUMMYFUNCTION("""COMPUTED_VALUE"""),"RunProrata")</f>
        <v>RunProrata</v>
      </c>
      <c r="C74" t="str">
        <f>IFERROR(__xludf.DUMMYFUNCTION("""COMPUTED_VALUE"""),"1HJLHDE5oGtsHlvN-IJtqA0k9UCPTKPg__dJ6Xmc6wfs")</f>
        <v>1HJLHDE5oGtsHlvN-IJtqA0k9UCPTKPg__dJ6Xmc6wfs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IFERROR(__xludf.DUMMYFUNCTION("""COMPUTED_VALUE"""),"SetDefaultRuleCalculatedPref")</f>
        <v>SetDefaultRuleCalculatedPref</v>
      </c>
      <c r="C75" t="str">
        <f>IFERROR(__xludf.DUMMYFUNCTION("""COMPUTED_VALUE"""),"19y7JJUjHv2co1ySpXKhNftDtMRpP9bKtqpUANMv9Aqk")</f>
        <v>19y7JJUjHv2co1ySpXKhNftDtMRpP9bKtqpUANMv9Aqk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IFERROR(__xludf.DUMMYFUNCTION("""COMPUTED_VALUE"""),"Admin")</f>
        <v>Admin</v>
      </c>
      <c r="B76" t="str">
        <f>IFERROR(__xludf.DUMMYFUNCTION("""COMPUTED_VALUE"""),"SetTTUIPreferences")</f>
        <v>SetTTUIPreferences</v>
      </c>
      <c r="C76" t="str">
        <f>IFERROR(__xludf.DUMMYFUNCTION("""COMPUTED_VALUE"""),"1vJDk7umktKM6xIYCDQtaPORMsI7Lqo0JwhEQIZcbcWA")</f>
        <v>1vJDk7umktKM6xIYCDQtaPORMsI7Lqo0JwhEQIZcbcWA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IFERROR(__xludf.DUMMYFUNCTION("""COMPUTED_VALUE"""),"TTPermissionLevel")</f>
        <v>TTPermissionLevel</v>
      </c>
      <c r="C77" t="str">
        <f>IFERROR(__xludf.DUMMYFUNCTION("""COMPUTED_VALUE"""),"14IVRT0g-2GNeaAMS9iaPvdKHXE7L-uF6tlIX39pwa6A")</f>
        <v>14IVRT0g-2GNeaAMS9iaPvdKHXE7L-uF6tlIX39pwa6A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IFERROR(__xludf.DUMMYFUNCTION("""COMPUTED_VALUE"""),"TradingTicket")</f>
        <v>TradingTicket</v>
      </c>
      <c r="B78" t="str">
        <f>IFERROR(__xludf.DUMMYFUNCTION("""COMPUTED_VALUE"""),"ValidateSymbolTT")</f>
        <v>ValidateSymbolTT</v>
      </c>
      <c r="C78" t="str">
        <f>IFERROR(__xludf.DUMMYFUNCTION("""COMPUTED_VALUE"""),"10G_Y6isKleDKBUw0uti8mqMOHAiZoyxYlUXPuI0cp84")</f>
        <v>10G_Y6isKleDKBUw0uti8mqMOHAiZoyxYlUXPuI0cp84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IFERROR(__xludf.DUMMYFUNCTION("""COMPUTED_VALUE"""),"VerifyDataTT")</f>
        <v>VerifyDataTT</v>
      </c>
      <c r="C79" t="str">
        <f>IFERROR(__xludf.DUMMYFUNCTION("""COMPUTED_VALUE"""),"Undefined")</f>
        <v>Undefined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IFERROR(__xludf.DUMMYFUNCTION("""COMPUTED_VALUE"""),"SetUIPreferencesTT")</f>
        <v>SetUIPreferencesTT</v>
      </c>
      <c r="C80" t="str">
        <f>IFERROR(__xludf.DUMMYFUNCTION("""COMPUTED_VALUE"""),"1mKK2qOB9c77LvJRMd9V1haRgnEbKEvJHAGMul7LU9r8")</f>
        <v>1mKK2qOB9c77LvJRMd9V1haRgnEbKEvJHAGMul7LU9r8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IFERROR(__xludf.DUMMYFUNCTION("""COMPUTED_VALUE"""),"SetBrokerWisePreferencesTT")</f>
        <v>SetBrokerWisePreferencesTT</v>
      </c>
      <c r="C81" t="str">
        <f>IFERROR(__xludf.DUMMYFUNCTION("""COMPUTED_VALUE"""),"1IGQeYHwZ1PTtDZ5J3pngQh2CiTe0eztPtkirV05Yfn0")</f>
        <v>1IGQeYHwZ1PTtDZ5J3pngQh2CiTe0eztPtkirV05Yfn0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IFERROR(__xludf.DUMMYFUNCTION("""COMPUTED_VALUE"""),"Blotter")</f>
        <v>Blotter</v>
      </c>
      <c r="B82" t="str">
        <f>IFERROR(__xludf.DUMMYFUNCTION("""COMPUTED_VALUE"""),"BlotterFunctionalities")</f>
        <v>BlotterFunctionalities</v>
      </c>
      <c r="C82" t="str">
        <f>IFERROR(__xludf.DUMMYFUNCTION("""COMPUTED_VALUE"""),"186JjG_Ko2ioSSokldVvYGEzowliqTGKmrzVD57ebYO0")</f>
        <v>186JjG_Ko2ioSSokldVvYGEzowliqTGKmrzVD57ebYO0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IFERROR(__xludf.DUMMYFUNCTION("""COMPUTED_VALUE"""),"TradeNewSub")</f>
        <v>TradeNewSub</v>
      </c>
      <c r="C83" t="str">
        <f>IFERROR(__xludf.DUMMYFUNCTION("""COMPUTED_VALUE"""),"1Muxt3XVeal8ijJZ9PFOV7BjtWOkZwktKh2hr7eyisr8")</f>
        <v>1Muxt3XVeal8ijJZ9PFOV7BjtWOkZwktKh2hr7eyisr8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IFERROR(__xludf.DUMMYFUNCTION("""COMPUTED_VALUE"""),"GeneralLedger")</f>
        <v>GeneralLedger</v>
      </c>
      <c r="B84" t="str">
        <f>IFERROR(__xludf.DUMMYFUNCTION("""COMPUTED_VALUE"""),"GetTradingTransaction")</f>
        <v>GetTradingTransaction</v>
      </c>
      <c r="C84" t="str">
        <f>IFERROR(__xludf.DUMMYFUNCTION("""COMPUTED_VALUE"""),"1VMYHglP2fkjYnP4JAs8baMjTLBOQq4G2nCZZHofxJ_E")</f>
        <v>1VMYHglP2fkjYnP4JAs8baMjTLBOQq4G2nCZZHofxJ_E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IFERROR(__xludf.DUMMYFUNCTION("""COMPUTED_VALUE"""),"GetActivityData")</f>
        <v>GetActivityData</v>
      </c>
      <c r="C85" t="str">
        <f>IFERROR(__xludf.DUMMYFUNCTION("""COMPUTED_VALUE"""),"1cgB7L-hmW69lXXu8-acayYl62KglwsTMNmc71UN0igs")</f>
        <v>1cgB7L-hmW69lXXu8-acayYl62KglwsTMNmc71UN0igs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IFERROR(__xludf.DUMMYFUNCTION("""COMPUTED_VALUE"""),"Allocation")</f>
        <v>Allocation</v>
      </c>
      <c r="B86" t="str">
        <f>IFERROR(__xludf.DUMMYFUNCTION("""COMPUTED_VALUE"""),"SetAccountValueCalculatedPref")</f>
        <v>SetAccountValueCalculatedPref</v>
      </c>
      <c r="C86" t="str">
        <f>IFERROR(__xludf.DUMMYFUNCTION("""COMPUTED_VALUE"""),"1iW8f0wobJi3n6fY9ZFF2ESnVsRhxf3kblT2TOsYbNlY")</f>
        <v>1iW8f0wobJi3n6fY9ZFF2ESnVsRhxf3kblT2TOsYbNlY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IFERROR(__xludf.DUMMYFUNCTION("""COMPUTED_VALUE"""),"TradeAttributeBulkChangeGroups")</f>
        <v>TradeAttributeBulkChangeGroups</v>
      </c>
      <c r="C87" t="str">
        <f>IFERROR(__xludf.DUMMYFUNCTION("""COMPUTED_VALUE"""),"1G53tsyKDmEFnrtosRZ96Q4iATP0dLrOdTyyxLeC6_d4")</f>
        <v>1G53tsyKDmEFnrtosRZ96Q4iATP0dLrOdTyyxLeC6_d4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IFERROR(__xludf.DUMMYFUNCTION("""COMPUTED_VALUE"""),"TradeAttributeBulkChangeTaxlots")</f>
        <v>TradeAttributeBulkChangeTaxlots</v>
      </c>
      <c r="C88" t="str">
        <f>IFERROR(__xludf.DUMMYFUNCTION("""COMPUTED_VALUE"""),"11X0wsOdGxXWCkqhBueMs8fsJ6tZSOyCBY_nreYhelGE")</f>
        <v>11X0wsOdGxXWCkqhBueMs8fsJ6tZSOyCBY_nreYhelGE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IFERROR(__xludf.DUMMYFUNCTION("""COMPUTED_VALUE"""),"AddCalculatedPreferenceToolbar")</f>
        <v>AddCalculatedPreferenceToolbar</v>
      </c>
      <c r="C89" t="str">
        <f>IFERROR(__xludf.DUMMYFUNCTION("""COMPUTED_VALUE"""),"1f8LdPG_fu813MWdc5LZ_f3a6pNZvy-agc1gnR2D2d1I")</f>
        <v>1f8LdPG_fu813MWdc5LZ_f3a6pNZvy-agc1gnR2D2d1I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IFERROR(__xludf.DUMMYFUNCTION("""COMPUTED_VALUE"""),"GetRevaluationData")</f>
        <v>GetRevaluationData</v>
      </c>
      <c r="C90" t="str">
        <f>IFERROR(__xludf.DUMMYFUNCTION("""COMPUTED_VALUE"""),"1V-6AQFpzaZJ8xmybbF01Wuug9O7LKL6RW8hnIFpfg0A")</f>
        <v>1V-6AQFpzaZJ8xmybbF01Wuug9O7LKL6RW8hnIFpfg0A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IFERROR(__xludf.DUMMYFUNCTION("""COMPUTED_VALUE"""),"SetStrategyValueCalculatedPref")</f>
        <v>SetStrategyValueCalculatedPref</v>
      </c>
      <c r="C91" t="str">
        <f>IFERROR(__xludf.DUMMYFUNCTION("""COMPUTED_VALUE"""),"1VB617Gzkn_UV5GDWBAYHZGgHKMLrMfaWHKFGFe9z8G8")</f>
        <v>1VB617Gzkn_UV5GDWBAYHZGgHKMLrMfaWHKFGFe9z8G8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IFERROR(__xludf.DUMMYFUNCTION("""COMPUTED_VALUE"""),"GetAccountDetails")</f>
        <v>GetAccountDetails</v>
      </c>
      <c r="C92" t="str">
        <f>IFERROR(__xludf.DUMMYFUNCTION("""COMPUTED_VALUE"""),"1k1Ie1c24aNxpOs6nYHOYfGQGN9W0vjGnF9yUwonVFeA")</f>
        <v>1k1Ie1c24aNxpOs6nYHOYfGQGN9W0vjGnF9yUwonVFeA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IFERROR(__xludf.DUMMYFUNCTION("""COMPUTED_VALUE"""),"ApplyBulkUpdateOnTaxlots")</f>
        <v>ApplyBulkUpdateOnTaxlots</v>
      </c>
      <c r="C93" t="str">
        <f>IFERROR(__xludf.DUMMYFUNCTION("""COMPUTED_VALUE"""),"1Xwbnmdxg6m-npWyZ5Gi23GfKz3X3tz-XezmOEO3vNfE")</f>
        <v>1Xwbnmdxg6m-npWyZ5Gi23GfKz3X3tz-XezmOEO3vNfE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IFERROR(__xludf.DUMMYFUNCTION("""COMPUTED_VALUE"""),"GetNonTradingTransaction")</f>
        <v>GetNonTradingTransaction</v>
      </c>
      <c r="C94" t="str">
        <f>IFERROR(__xludf.DUMMYFUNCTION("""COMPUTED_VALUE"""),"1XtTY96kO-E7pz5Jz6qiZoyQVS43HJTN-piH7D1rkU78")</f>
        <v>1XtTY96kO-E7pz5Jz6qiZoyQVS43HJTN-piH7D1rkU78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IFERROR(__xludf.DUMMYFUNCTION("""COMPUTED_VALUE"""),"CommissionBulkChangeOnGroups")</f>
        <v>CommissionBulkChangeOnGroups</v>
      </c>
      <c r="C95" t="str">
        <f>IFERROR(__xludf.DUMMYFUNCTION("""COMPUTED_VALUE"""),"1H67FQNHuP6xak7FlkxXewU5WTmrQHbta2nU0qPmskvU")</f>
        <v>1H67FQNHuP6xak7FlkxXewU5WTmrQHbta2nU0qPmskvU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IFERROR(__xludf.DUMMYFUNCTION("""COMPUTED_VALUE"""),"GetDividendData")</f>
        <v>GetDividendData</v>
      </c>
      <c r="C96" t="str">
        <f>IFERROR(__xludf.DUMMYFUNCTION("""COMPUTED_VALUE"""),"12a6kTgyTXVCSfnBgbAKqfG0SPlGmevXkjlXLI_wZUw4")</f>
        <v>12a6kTgyTXVCSfnBgbAKqfG0SPlGmevXkjlXLI_wZUw4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IFERROR(__xludf.DUMMYFUNCTION("""COMPUTED_VALUE"""),"CommissionBulkChangeOnTaxlots")</f>
        <v>CommissionBulkChangeOnTaxlots</v>
      </c>
      <c r="C97" t="str">
        <f>IFERROR(__xludf.DUMMYFUNCTION("""COMPUTED_VALUE"""),"1CoWI-gfDdRPBJ2e4daoGlDb8cG4zbzkObTfK5Aapr84")</f>
        <v>1CoWI-gfDdRPBJ2e4daoGlDb8cG4zbzkObTfK5Aapr84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IFERROR(__xludf.DUMMYFUNCTION("""COMPUTED_VALUE"""),"VerifyNonTradingTransaction")</f>
        <v>VerifyNonTradingTransaction</v>
      </c>
      <c r="C98" t="str">
        <f>IFERROR(__xludf.DUMMYFUNCTION("""COMPUTED_VALUE"""),"11r_KFt7jpx8JH9Q62IwhpJdz6uoTKEVt4skafwybhVk")</f>
        <v>11r_KFt7jpx8JH9Q62IwhpJdz6uoTKEVt4skafwybhVk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IFERROR(__xludf.DUMMYFUNCTION("""COMPUTED_VALUE"""),"SelectUnallocatedGroup")</f>
        <v>SelectUnallocatedGroup</v>
      </c>
      <c r="C99" t="str">
        <f>IFERROR(__xludf.DUMMYFUNCTION("""COMPUTED_VALUE"""),"1ILMSh2S7GBvsNEtiq4zqVqc5DztzmPTMHAtdTK4dnqk")</f>
        <v>1ILMSh2S7GBvsNEtiq4zqVqc5DztzmPTMHAtdTK4dnqk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IFERROR(__xludf.DUMMYFUNCTION("""COMPUTED_VALUE"""),"VerifyDividend")</f>
        <v>VerifyDividend</v>
      </c>
      <c r="C100" t="str">
        <f>IFERROR(__xludf.DUMMYFUNCTION("""COMPUTED_VALUE"""),"1heg65kitbQtwmRNUE0JsrxnOUfxvBMG9YTkDxdPt7PU")</f>
        <v>1heg65kitbQtwmRNUE0JsrxnOUfxvBMG9YTkDxdPt7PU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IFERROR(__xludf.DUMMYFUNCTION("""COMPUTED_VALUE"""),"EnterAccountValuesToAllocate")</f>
        <v>EnterAccountValuesToAllocate</v>
      </c>
      <c r="C101" t="str">
        <f>IFERROR(__xludf.DUMMYFUNCTION("""COMPUTED_VALUE"""),"1vlh5Xnse_6x32XgA3u-nJLmDSCp9gMOm-ONvzNJmenM")</f>
        <v>1vlh5Xnse_6x32XgA3u-nJLmDSCp9gMOm-ONvzNJmenM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IFERROR(__xludf.DUMMYFUNCTION("""COMPUTED_VALUE"""),"GetOpeningBalanceData")</f>
        <v>GetOpeningBalanceData</v>
      </c>
      <c r="C102" t="str">
        <f>IFERROR(__xludf.DUMMYFUNCTION("""COMPUTED_VALUE"""),"18FNVFHi4tmvLoVUEYW8OIBj34BJjSE4UfP22Low0lrQ")</f>
        <v>18FNVFHi4tmvLoVUEYW8OIBj34BJjSE4UfP22Low0lrQ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IFERROR(__xludf.DUMMYFUNCTION("""COMPUTED_VALUE"""),"EnterAllocatePreference")</f>
        <v>EnterAllocatePreference</v>
      </c>
      <c r="C103" t="str">
        <f>IFERROR(__xludf.DUMMYFUNCTION("""COMPUTED_VALUE"""),"1yu6800I5KuQnhcJ2fJ9MayJrB8hJgR22dDd3yAfoqrs")</f>
        <v>1yu6800I5KuQnhcJ2fJ9MayJrB8hJgR22dDd3yAfoqrs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IFERROR(__xludf.DUMMYFUNCTION("""COMPUTED_VALUE"""),"GetAccountBalance")</f>
        <v>GetAccountBalance</v>
      </c>
      <c r="C104" t="str">
        <f>IFERROR(__xludf.DUMMYFUNCTION("""COMPUTED_VALUE"""),"1LzTW5QCOg1n53cS_dRea7BFsZ_MH6SlpDslAW5yWH5M")</f>
        <v>1LzTW5QCOg1n53cS_dRea7BFsZ_MH6SlpDslAW5yWH5M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IFERROR(__xludf.DUMMYFUNCTION("""COMPUTED_VALUE"""),"Expnl")</f>
        <v>Expnl</v>
      </c>
      <c r="B105" t="str">
        <f>IFERROR(__xludf.DUMMYFUNCTION("""COMPUTED_VALUE"""),"RestartExpnl")</f>
        <v>RestartExpnl</v>
      </c>
      <c r="C105" t="str">
        <f>IFERROR(__xludf.DUMMYFUNCTION("""COMPUTED_VALUE"""),"1hp2_ancBTw_O56iD2xHFcUmnctCT6XmJGLoL9Zewic0")</f>
        <v>1hp2_ancBTw_O56iD2xHFcUmnctCT6XmJGLoL9Zewic0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IFERROR(__xludf.DUMMYFUNCTION("""COMPUTED_VALUE"""),"PortfolioManagement")</f>
        <v>PortfolioManagement</v>
      </c>
      <c r="B106" t="str">
        <f>IFERROR(__xludf.DUMMYFUNCTION("""COMPUTED_VALUE"""),"ClosePM")</f>
        <v>ClosePM</v>
      </c>
      <c r="C106" t="str">
        <f>IFERROR(__xludf.DUMMYFUNCTION("""COMPUTED_VALUE"""),"Undefined")</f>
        <v>Undefined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IFERROR(__xludf.DUMMYFUNCTION("""COMPUTED_VALUE"""),"EnterStrategyValuesToAllocate")</f>
        <v>EnterStrategyValuesToAllocate</v>
      </c>
      <c r="C107" t="str">
        <f>IFERROR(__xludf.DUMMYFUNCTION("""COMPUTED_VALUE"""),"1QiWbie1a2ZDKoeS6hogrVj4Gx1vXnqJjYt0otMhw4rQ")</f>
        <v>1QiWbie1a2ZDKoeS6hogrVj4Gx1vXnqJjYt0otMhw4rQ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IFERROR(__xludf.DUMMYFUNCTION("""COMPUTED_VALUE"""),"SelectNonTradingTransaction")</f>
        <v>SelectNonTradingTransaction</v>
      </c>
      <c r="C108" t="str">
        <f>IFERROR(__xludf.DUMMYFUNCTION("""COMPUTED_VALUE"""),"1-3zFbypNTYN7mseJg5VwjLJF0364sdxy5fm_i_dO6qk")</f>
        <v>1-3zFbypNTYN7mseJg5VwjLJF0364sdxy5fm_i_dO6qk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IFERROR(__xludf.DUMMYFUNCTION("""COMPUTED_VALUE"""),"SelectNonTradingTranItem")</f>
        <v>SelectNonTradingTranItem</v>
      </c>
      <c r="C109" t="str">
        <f>IFERROR(__xludf.DUMMYFUNCTION("""COMPUTED_VALUE"""),"1c3Ferc-qWUMc6sFnFHepxgiRH529ndWvHz_y9tP3QiQ")</f>
        <v>1c3Ferc-qWUMc6sFnFHepxgiRH529ndWvHz_y9tP3QiQ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IFERROR(__xludf.DUMMYFUNCTION("""COMPUTED_VALUE"""),"CopyCalculatedPreferenceToolbar")</f>
        <v>CopyCalculatedPreferenceToolbar</v>
      </c>
      <c r="C110" t="str">
        <f>IFERROR(__xludf.DUMMYFUNCTION("""COMPUTED_VALUE"""),"1Ie_ryJDtUyC5cY8EqwiXzEX5JRMGBxh8DhjtPOq2qH0")</f>
        <v>1Ie_ryJDtUyC5cY8EqwiXzEX5JRMGBxh8DhjtPOq2qH0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IFERROR(__xludf.DUMMYFUNCTION("""COMPUTED_VALUE"""),"SetGeneralRuleCalculatedPref")</f>
        <v>SetGeneralRuleCalculatedPref</v>
      </c>
      <c r="C111" t="str">
        <f>IFERROR(__xludf.DUMMYFUNCTION("""COMPUTED_VALUE"""),"1P6hfPLfTjAL9WDojfEMZZ12TRNV1fKQm6BoqOKyc3S4")</f>
        <v>1P6hfPLfTjAL9WDojfEMZZ12TRNV1fKQm6BoqOKyc3S4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IFERROR(__xludf.DUMMYFUNCTION("""COMPUTED_VALUE"""),"DeleteNonTradingTransaction")</f>
        <v>DeleteNonTradingTransaction</v>
      </c>
      <c r="C112" t="str">
        <f>IFERROR(__xludf.DUMMYFUNCTION("""COMPUTED_VALUE"""),"16lp7AjDIz-d1LMzx7DbYtSt-dT5ISvHEBpLY97GMi5c")</f>
        <v>16lp7AjDIz-d1LMzx7DbYtSt-dT5ISvHEBpLY97GMi5c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IFERROR(__xludf.DUMMYFUNCTION("""COMPUTED_VALUE"""),"DeleteNonTradingTranItem")</f>
        <v>DeleteNonTradingTranItem</v>
      </c>
      <c r="C113" t="str">
        <f>IFERROR(__xludf.DUMMYFUNCTION("""COMPUTED_VALUE"""),"1gcOSfV9GRfC4KYtkqfy-GZrjcJw1ZFzufEIqYnIRXAI")</f>
        <v>1gcOSfV9GRfC4KYtkqfy-GZrjcJw1ZFzufEIqYnIRXAI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IFERROR(__xludf.DUMMYFUNCTION("""COMPUTED_VALUE"""),"ExportAllCalculatedPreferences")</f>
        <v>ExportAllCalculatedPreferences</v>
      </c>
      <c r="C114" t="str">
        <f>IFERROR(__xludf.DUMMYFUNCTION("""COMPUTED_VALUE"""),"1sVDSPYZ4mdi-3PXni9I35_O4hc6X1H3U6gsgeGfmvZw")</f>
        <v>1sVDSPYZ4mdi-3PXni9I35_O4hc6X1H3U6gsgeGfmvZw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IFERROR(__xludf.DUMMYFUNCTION("""COMPUTED_VALUE"""),"AddNonTradingTransaction")</f>
        <v>AddNonTradingTransaction</v>
      </c>
      <c r="C115" t="str">
        <f>IFERROR(__xludf.DUMMYFUNCTION("""COMPUTED_VALUE"""),"1mp1XFP7835KF_T7MiX_Bq2nNPhyoxoF43xXV_hzO_Zw")</f>
        <v>1mp1XFP7835KF_T7MiX_Bq2nNPhyoxoF43xXV_hzO_Zw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IFERROR(__xludf.DUMMYFUNCTION("""COMPUTED_VALUE"""),"AddNonTradingTranItem")</f>
        <v>AddNonTradingTranItem</v>
      </c>
      <c r="C116" t="str">
        <f>IFERROR(__xludf.DUMMYFUNCTION("""COMPUTED_VALUE"""),"1VJ6kSBsB1sCLHWYTcE-jCL1JFseRHXx_eUPn7cMrsC4")</f>
        <v>1VJ6kSBsB1sCLHWYTcE-jCL1JFseRHXx_eUPn7cMrsC4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IFERROR(__xludf.DUMMYFUNCTION("""COMPUTED_VALUE"""),"SaveCalculatedPreferences")</f>
        <v>SaveCalculatedPreferences</v>
      </c>
      <c r="C117" t="str">
        <f>IFERROR(__xludf.DUMMYFUNCTION("""COMPUTED_VALUE"""),"Undefined")</f>
        <v>Undefined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0" t="str">
        <f>IFERROR(__xludf.DUMMYFUNCTION("""COMPUTED_VALUE"""),"GeneralLedger")</f>
        <v>GeneralLedger</v>
      </c>
      <c r="B118" t="str">
        <f>IFERROR(__xludf.DUMMYFUNCTION("""COMPUTED_VALUE"""),"VerifyOpeningBalanceData")</f>
        <v>VerifyOpeningBalanceData</v>
      </c>
      <c r="C118" t="str">
        <f>IFERROR(__xludf.DUMMYFUNCTION("""COMPUTED_VALUE"""),"1cbgDUL82g9J-kIeKIRSbR3N23KhZT2PrbfbfNmiHy4g")</f>
        <v>1cbgDUL82g9J-kIeKIRSbR3N23KhZT2PrbfbfNmiHy4g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IFERROR(__xludf.DUMMYFUNCTION("""COMPUTED_VALUE"""),"SelectOpeningBalanceTransaction")</f>
        <v>SelectOpeningBalanceTransaction</v>
      </c>
      <c r="C119" t="str">
        <f>IFERROR(__xludf.DUMMYFUNCTION("""COMPUTED_VALUE"""),"16buMqjm-t8DWdN0KXsbYQ_lEbfhNYAAjpimZL4zGss4")</f>
        <v>16buMqjm-t8DWdN0KXsbYQ_lEbfhNYAAjpimZL4zGss4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IFERROR(__xludf.DUMMYFUNCTION("""COMPUTED_VALUE"""),"TradingTicket")</f>
        <v>TradingTicket</v>
      </c>
      <c r="B120" t="str">
        <f>IFERROR(__xludf.DUMMYFUNCTION("""COMPUTED_VALUE"""),"CreateStageOrder ")</f>
        <v>CreateStageOrder </v>
      </c>
      <c r="C120" t="str">
        <f>IFERROR(__xludf.DUMMYFUNCTION("""COMPUTED_VALUE"""),"1cTGXGtKQnVf_iYDZ14Z7WLr9Idi4Fv7ecBnDagaEoxc")</f>
        <v>1cTGXGtKQnVf_iYDZ14Z7WLr9Idi4Fv7ecBnDagaEoxc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IFERROR(__xludf.DUMMYFUNCTION("""COMPUTED_VALUE"""),"Blotter")</f>
        <v>Blotter</v>
      </c>
      <c r="B121" t="str">
        <f>IFERROR(__xludf.DUMMYFUNCTION("""COMPUTED_VALUE"""),"TransferToUserWorkingSubs")</f>
        <v>TransferToUserWorkingSubs</v>
      </c>
      <c r="C121" t="str">
        <f>IFERROR(__xludf.DUMMYFUNCTION("""COMPUTED_VALUE"""),"1rjH_mAlI-kiVGhxIxfiFp3qZK1WQe6BRlh4DIAucqp8")</f>
        <v>1rjH_mAlI-kiVGhxIxfiFp3qZK1WQe6BRlh4DIAucqp8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IFERROR(__xludf.DUMMYFUNCTION("""COMPUTED_VALUE"""),"CancelWorkingSubs")</f>
        <v>CancelWorkingSubs</v>
      </c>
      <c r="C122" t="str">
        <f>IFERROR(__xludf.DUMMYFUNCTION("""COMPUTED_VALUE"""),"1f4UZSvqnSA0-TMEsWanXPqPh8ArCbNzI-iVrxMqdPxI")</f>
        <v>1f4UZSvqnSA0-TMEsWanXPqPh8ArCbNzI-iVrxMqdPxI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IFERROR(__xludf.DUMMYFUNCTION("""COMPUTED_VALUE"""),"ReplaceWorkingSubs")</f>
        <v>ReplaceWorkingSubs</v>
      </c>
      <c r="C123" t="str">
        <f>IFERROR(__xludf.DUMMYFUNCTION("""COMPUTED_VALUE"""),"1N0y4hQ6-0O4QG9Lw-HRxuoqx62IGJgkW3FYbgGjNsEo")</f>
        <v>1N0y4hQ6-0O4QG9Lw-HRxuoqx62IGJgkW3FYbgGjNsEo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IFERROR(__xludf.DUMMYFUNCTION("""COMPUTED_VALUE"""),"ViewAllocationDetailsWorkingSub")</f>
        <v>ViewAllocationDetailsWorkingSub</v>
      </c>
      <c r="C124" t="str">
        <f>IFERROR(__xludf.DUMMYFUNCTION("""COMPUTED_VALUE"""),"1-uClOKqZLyl7y2gkvrmPsLuujEeaQk89MlmJI-seKDQ")</f>
        <v>1-uClOKqZLyl7y2gkvrmPsLuujEeaQk89MlmJI-seKDQ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IFERROR(__xludf.DUMMYFUNCTION("""COMPUTED_VALUE"""),"SelectTradeOnOrderGrid")</f>
        <v>SelectTradeOnOrderGrid</v>
      </c>
      <c r="C125" t="str">
        <f>IFERROR(__xludf.DUMMYFUNCTION("""COMPUTED_VALUE"""),"1ZeUzy4DVw1BRVaSZ9Gc4b0AxaQ3gmozmUvzNq8PNrSc")</f>
        <v>1ZeUzy4DVw1BRVaSZ9Gc4b0AxaQ3gmozmUvzNq8PNrSc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IFERROR(__xludf.DUMMYFUNCTION("""COMPUTED_VALUE"""),"ShowDetailsForAlgoTradeSubOrder")</f>
        <v>ShowDetailsForAlgoTradeSubOrder</v>
      </c>
      <c r="C126" t="str">
        <f>IFERROR(__xludf.DUMMYFUNCTION("""COMPUTED_VALUE"""),"1w85dUCDeKl2Qn0Srhw7tlKfWNcL7qOffjvVB5Aeacqw")</f>
        <v>1w85dUCDeKl2Qn0Srhw7tlKfWNcL7qOffjvVB5Aeacqw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IFERROR(__xludf.DUMMYFUNCTION("""COMPUTED_VALUE"""),"SelectTradeOrderBlotter")</f>
        <v>SelectTradeOrderBlotter</v>
      </c>
      <c r="C127" t="str">
        <f>IFERROR(__xludf.DUMMYFUNCTION("""COMPUTED_VALUE"""),"1bHMGFLukgIQvokymSozfHITL14P-6BmJD1fulShe_nE")</f>
        <v>1bHMGFLukgIQvokymSozfHITL14P-6BmJD1fulShe_nE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IFERROR(__xludf.DUMMYFUNCTION("""COMPUTED_VALUE"""),"AddFillsWorkingSubs")</f>
        <v>AddFillsWorkingSubs</v>
      </c>
      <c r="C128" t="str">
        <f>IFERROR(__xludf.DUMMYFUNCTION("""COMPUTED_VALUE"""),"1AMIiTOdlTgw9P8zc6L0r7j_BnZ_3MiAz7TO8GcTfNlc")</f>
        <v>1AMIiTOdlTgw9P8zc6L0r7j_BnZ_3MiAz7TO8GcTfNlc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IFERROR(__xludf.DUMMYFUNCTION("""COMPUTED_VALUE"""),"EditAddFillsDetails")</f>
        <v>EditAddFillsDetails</v>
      </c>
      <c r="C129" t="str">
        <f>IFERROR(__xludf.DUMMYFUNCTION("""COMPUTED_VALUE"""),"1o5hoU4jKWkNAyzCxyVxXl0pXQTW1E66hZri02EXVnLA")</f>
        <v>1o5hoU4jKWkNAyzCxyVxXl0pXQTW1E66hZri02EXVnLA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IFERROR(__xludf.DUMMYFUNCTION("""COMPUTED_VALUE"""),"ShowDetailsForAlgoTradeWorkingSubs")</f>
        <v>ShowDetailsForAlgoTradeWorkingSubs</v>
      </c>
      <c r="C130" t="str">
        <f>IFERROR(__xludf.DUMMYFUNCTION("""COMPUTED_VALUE"""),"1S5h4QaGRhGMlPa2ZRFO9TCNd2bWorBHznLf2u_4jHi8")</f>
        <v>1S5h4QaGRhGMlPa2ZRFO9TCNd2bWorBHznLf2u_4jHi8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IFERROR(__xludf.DUMMYFUNCTION("""COMPUTED_VALUE"""),"Closing")</f>
        <v>Closing</v>
      </c>
      <c r="B131" t="str">
        <f>IFERROR(__xludf.DUMMYFUNCTION("""COMPUTED_VALUE"""),"SwapExpire")</f>
        <v>SwapExpire</v>
      </c>
      <c r="C131" t="str">
        <f>IFERROR(__xludf.DUMMYFUNCTION("""COMPUTED_VALUE"""),"1jUV7qVgqGBaaceWSNh0-cSAYDYEL78u2ObuRdiWFjFM")</f>
        <v>1jUV7qVgqGBaaceWSNh0-cSAYDYEL78u2ObuRdiWFjFM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IFERROR(__xludf.DUMMYFUNCTION("""COMPUTED_VALUE"""),"VerifyWorkingSubs")</f>
        <v>VerifyWorkingSubs</v>
      </c>
      <c r="C132" t="str">
        <f>IFERROR(__xludf.DUMMYFUNCTION("""COMPUTED_VALUE"""),"1gnwVxErkX0O8iYhIQrs9DWwoaWkHaW13GCTqGHY6k_w")</f>
        <v>1gnwVxErkX0O8iYhIQrs9DWwoaWkHaW13GCTqGHY6k_w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IFERROR(__xludf.DUMMYFUNCTION("""COMPUTED_VALUE"""),"TransferToUserOrder")</f>
        <v>TransferToUserOrder</v>
      </c>
      <c r="C133" t="str">
        <f>IFERROR(__xludf.DUMMYFUNCTION("""COMPUTED_VALUE"""),"1Vo4cA56jwD3rxlaJNNHMgg8RQplZa0kTei6Nnq-HRXM")</f>
        <v>1Vo4cA56jwD3rxlaJNNHMgg8RQplZa0kTei6Nnq-HRXM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IFERROR(__xludf.DUMMYFUNCTION("""COMPUTED_VALUE"""),"Allocation")</f>
        <v>Allocation</v>
      </c>
      <c r="B134" t="str">
        <f>IFERROR(__xludf.DUMMYFUNCTION("""COMPUTED_VALUE"""),"CloseCalculatedPreferences")</f>
        <v>CloseCalculatedPreferences</v>
      </c>
      <c r="C134" t="str">
        <f>IFERROR(__xludf.DUMMYFUNCTION("""COMPUTED_VALUE"""),"Undefined")</f>
        <v>Undefined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IFERROR(__xludf.DUMMYFUNCTION("""COMPUTED_VALUE"""),"TradingTicket")</f>
        <v>TradingTicket</v>
      </c>
      <c r="B135" t="str">
        <f>IFERROR(__xludf.DUMMYFUNCTION("""COMPUTED_VALUE"""),"CreateReplaceOrder")</f>
        <v>CreateReplaceOrder</v>
      </c>
      <c r="C135" t="str">
        <f>IFERROR(__xludf.DUMMYFUNCTION("""COMPUTED_VALUE"""),"1M0Fl98LaCTHV2pr19gvtA9fIIfql3PLfeq1ULjK7UzA")</f>
        <v>1M0Fl98LaCTHV2pr19gvtA9fIIfql3PLfeq1ULjK7UzA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IFERROR(__xludf.DUMMYFUNCTION("""COMPUTED_VALUE"""),"EditOrder")</f>
        <v>EditOrder</v>
      </c>
      <c r="C136" t="str">
        <f>IFERROR(__xludf.DUMMYFUNCTION("""COMPUTED_VALUE"""),"1daa0SyOv50AAAdPGI6HsPWh5ZYvQ4SIcLdCEVWzrPQc")</f>
        <v>1daa0SyOv50AAAdPGI6HsPWh5ZYvQ4SIcLdCEVWzrPQc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IFERROR(__xludf.DUMMYFUNCTION("""COMPUTED_VALUE"""),"SelectTradeSubOrderBlotter")</f>
        <v>SelectTradeSubOrderBlotter</v>
      </c>
      <c r="C137" t="str">
        <f>IFERROR(__xludf.DUMMYFUNCTION("""COMPUTED_VALUE"""),"1siJRAcBcVXgBpK4E1BntQGR7VQIVib_eeve0MvaoRqs")</f>
        <v>1siJRAcBcVXgBpK4E1BntQGR7VQIVib_eeve0MvaoRqs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IFERROR(__xludf.DUMMYFUNCTION("""COMPUTED_VALUE"""),"VerifyOrder")</f>
        <v>VerifyOrder</v>
      </c>
      <c r="C138" t="str">
        <f>IFERROR(__xludf.DUMMYFUNCTION("""COMPUTED_VALUE"""),"1mdVvccZ_TGkK59RrMH3Cylr7jydt-mutfHV_wv0d4V4")</f>
        <v>1mdVvccZ_TGkK59RrMH3Cylr7jydt-mutfHV_wv0d4V4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IFERROR(__xludf.DUMMYFUNCTION("""COMPUTED_VALUE"""),"VerifySubOrder")</f>
        <v>VerifySubOrder</v>
      </c>
      <c r="C139" t="str">
        <f>IFERROR(__xludf.DUMMYFUNCTION("""COMPUTED_VALUE"""),"1b4Exp8SZBnmCRcnj8jug_2EDRsh1qKZFqZZ-Kww6ZoU")</f>
        <v>1b4Exp8SZBnmCRcnj8jug_2EDRsh1qKZFqZZ-Kww6ZoU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IFERROR(__xludf.DUMMYFUNCTION("""COMPUTED_VALUE"""),"RemoveSelectedOrders")</f>
        <v>RemoveSelectedOrders</v>
      </c>
      <c r="C140" t="str">
        <f>IFERROR(__xludf.DUMMYFUNCTION("""COMPUTED_VALUE"""),"1su4_C2jiNjIuylQbjXmPiFUtxQLa_obyl9U5T-xhfiY")</f>
        <v>1su4_C2jiNjIuylQbjXmPiFUtxQLa_obyl9U5T-xhfiY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IFERROR(__xludf.DUMMYFUNCTION("""COMPUTED_VALUE"""),"CancelAllSelectedSubs")</f>
        <v>CancelAllSelectedSubs</v>
      </c>
      <c r="C141" t="str">
        <f>IFERROR(__xludf.DUMMYFUNCTION("""COMPUTED_VALUE"""),"1yqxUE-GcHgNzogkK8Uhq1_S16WkZxmiCHXGj_lFRoMs")</f>
        <v>1yqxUE-GcHgNzogkK8Uhq1_S16WkZxmiCHXGj_lFRoMs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IFERROR(__xludf.DUMMYFUNCTION("""COMPUTED_VALUE"""),"MultiTradingTicket")</f>
        <v>MultiTradingTicket</v>
      </c>
      <c r="C142" t="str">
        <f>IFERROR(__xludf.DUMMYFUNCTION("""COMPUTED_VALUE"""),"11AaapLB727DIqrzOYaH29ZrZ50I2xzlLgLt7DGwyF-E")</f>
        <v>11AaapLB727DIqrzOYaH29ZrZ50I2xzlLgLt7DGwyF-E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IFERROR(__xludf.DUMMYFUNCTION("""COMPUTED_VALUE"""),"AuditTrailOrderBlotter")</f>
        <v>AuditTrailOrderBlotter</v>
      </c>
      <c r="C143" t="str">
        <f>IFERROR(__xludf.DUMMYFUNCTION("""COMPUTED_VALUE"""),"12bKbqZT4x0Zjg9oaFZq47_AyumIAto7nkCK1BpvRO0A")</f>
        <v>12bKbqZT4x0Zjg9oaFZq47_AyumIAto7nkCK1BpvRO0A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IFERROR(__xludf.DUMMYFUNCTION("""COMPUTED_VALUE"""),"TradeNewSubOrder")</f>
        <v>TradeNewSubOrder</v>
      </c>
      <c r="C144" t="str">
        <f>IFERROR(__xludf.DUMMYFUNCTION("""COMPUTED_VALUE"""),"1Kt5xAewSpVD6SPB-RgFrUBRQ1H7yWyRBFxZL3Ohrj6M")</f>
        <v>1Kt5xAewSpVD6SPB-RgFrUBRQ1H7yWyRBFxZL3Ohrj6M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IFERROR(__xludf.DUMMYFUNCTION("""COMPUTED_VALUE"""),"RemoveStageOrder")</f>
        <v>RemoveStageOrder</v>
      </c>
      <c r="C145" t="str">
        <f>IFERROR(__xludf.DUMMYFUNCTION("""COMPUTED_VALUE"""),"1Fluz_DWk_nKXjQBIVwWoOReF4d54NLihSDlBEeir8y8")</f>
        <v>1Fluz_DWk_nKXjQBIVwWoOReF4d54NLihSDlBEeir8y8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IFERROR(__xludf.DUMMYFUNCTION("""COMPUTED_VALUE"""),"TradingTicket")</f>
        <v>TradingTicket</v>
      </c>
      <c r="B146" t="str">
        <f>IFERROR(__xludf.DUMMYFUNCTION("""COMPUTED_VALUE"""),"SetGeneralPreference")</f>
        <v>SetGeneralPreference</v>
      </c>
      <c r="C146" t="str">
        <f>IFERROR(__xludf.DUMMYFUNCTION("""COMPUTED_VALUE"""),"1gReRtAWcOTHjowBeRYx4USBTkci2cVwEhCptDhFftUQ")</f>
        <v>1gReRtAWcOTHjowBeRYx4USBTkci2cVwEhCptDhFftUQ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IFERROR(__xludf.DUMMYFUNCTION("""COMPUTED_VALUE"""),"TradingTicket")</f>
        <v>TradingTicket</v>
      </c>
      <c r="B147" t="str">
        <f>IFERROR(__xludf.DUMMYFUNCTION("""COMPUTED_VALUE"""),"CreateDoneAwayOrder")</f>
        <v>CreateDoneAwayOrder</v>
      </c>
      <c r="C147" t="str">
        <f>IFERROR(__xludf.DUMMYFUNCTION("""COMPUTED_VALUE"""),"1uA0GOXh4wiGEFn1HBTpQeqSmerQ8wIisPCpc8Ty-HDI")</f>
        <v>1uA0GOXh4wiGEFn1HBTpQeqSmerQ8wIisPCpc8Ty-HDI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IFERROR(__xludf.DUMMYFUNCTION("""COMPUTED_VALUE"""),"Allocation")</f>
        <v>Allocation</v>
      </c>
      <c r="B148" t="str">
        <f>IFERROR(__xludf.DUMMYFUNCTION("""COMPUTED_VALUE"""),"ExportCalculatedPreference")</f>
        <v>ExportCalculatedPreference</v>
      </c>
      <c r="C148" t="str">
        <f>IFERROR(__xludf.DUMMYFUNCTION("""COMPUTED_VALUE"""),"1MQEZ1xJtb0wAcffKS4AHWZ6J2wU2x64PFmJubSuC1hU")</f>
        <v>1MQEZ1xJtb0wAcffKS4AHWZ6J2wU2x64PFmJubSuC1hU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IFERROR(__xludf.DUMMYFUNCTION("""COMPUTED_VALUE"""),"GeneralLedger")</f>
        <v>GeneralLedger</v>
      </c>
      <c r="B149" t="str">
        <f>IFERROR(__xludf.DUMMYFUNCTION("""COMPUTED_VALUE"""),"SelectOpeningBalanceTranItem")</f>
        <v>SelectOpeningBalanceTranItem</v>
      </c>
      <c r="C149" t="str">
        <f>IFERROR(__xludf.DUMMYFUNCTION("""COMPUTED_VALUE"""),"1HZK84R5oOOKqObvq4IWVEjFPVr_lAIiOQu5XaQ46GfQ")</f>
        <v>1HZK84R5oOOKqObvq4IWVEjFPVr_lAIiOQu5XaQ46GfQ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IFERROR(__xludf.DUMMYFUNCTION("""COMPUTED_VALUE"""),"PricingInput")</f>
        <v>PricingInput</v>
      </c>
      <c r="B150" t="str">
        <f>IFERROR(__xludf.DUMMYFUNCTION("""COMPUTED_VALUE"""),"EODTPreferences")</f>
        <v>EODTPreferences</v>
      </c>
      <c r="C150" t="str">
        <f>IFERROR(__xludf.DUMMYFUNCTION("""COMPUTED_VALUE"""),"1Yuzf3ad1vdeo7Vyxz1jY_tuk18-fmEfJxX0Cl8wtq5o")</f>
        <v>1Yuzf3ad1vdeo7Vyxz1jY_tuk18-fmEfJxX0Cl8wtq5o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IFERROR(__xludf.DUMMYFUNCTION("""COMPUTED_VALUE"""),"LiveData")</f>
        <v>LiveData</v>
      </c>
      <c r="C151" t="str">
        <f>IFERROR(__xludf.DUMMYFUNCTION("""COMPUTED_VALUE"""),"1Av2XxI5bNhCFlkv2kfzo6ujcIvVox_ZypslZ1RfvU1Y")</f>
        <v>1Av2XxI5bNhCFlkv2kfzo6ujcIvVox_ZypslZ1RfvU1Y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IFERROR(__xludf.DUMMYFUNCTION("""COMPUTED_VALUE"""),"EditNonTradingTransaction")</f>
        <v>EditNonTradingTransaction</v>
      </c>
      <c r="C152" t="str">
        <f>IFERROR(__xludf.DUMMYFUNCTION("""COMPUTED_VALUE"""),"1CTOcFQrIfmr9l7YbxfJ04bIDqO3dJEewsOBhR4HI24I")</f>
        <v>1CTOcFQrIfmr9l7YbxfJ04bIDqO3dJEewsOBhR4HI24I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IFERROR(__xludf.DUMMYFUNCTION("""COMPUTED_VALUE"""),"EditNonTradingTranItem")</f>
        <v>EditNonTradingTranItem</v>
      </c>
      <c r="C153" t="str">
        <f>IFERROR(__xludf.DUMMYFUNCTION("""COMPUTED_VALUE"""),"1iejPBQBT4ogIeeSTEsofxnnTPt0mnB-izN_DPqUhDu0")</f>
        <v>1iejPBQBT4ogIeeSTEsofxnnTPt0mnB-izN_DPqUhDu0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IFERROR(__xludf.DUMMYFUNCTION("""COMPUTED_VALUE"""),"DeleteOpeningBalanceTransaction")</f>
        <v>DeleteOpeningBalanceTransaction</v>
      </c>
      <c r="C154" t="str">
        <f>IFERROR(__xludf.DUMMYFUNCTION("""COMPUTED_VALUE"""),"1_wXfIf5DqAoY91Jb9aEQtyw84UyQs70uAByhfJLqFRY")</f>
        <v>1_wXfIf5DqAoY91Jb9aEQtyw84UyQs70uAByhfJLqFRY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IFERROR(__xludf.DUMMYFUNCTION("""COMPUTED_VALUE"""),"DeleteOpeningBalanceTranItem")</f>
        <v>DeleteOpeningBalanceTranItem</v>
      </c>
      <c r="C155" t="str">
        <f>IFERROR(__xludf.DUMMYFUNCTION("""COMPUTED_VALUE"""),"1EpsNt91ChcN8HQWEW-lErl4uX4OltaGCgs2tKp-kj4A")</f>
        <v>1EpsNt91ChcN8HQWEW-lErl4uX4OltaGCgs2tKp-kj4A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IFERROR(__xludf.DUMMYFUNCTION("""COMPUTED_VALUE"""),"Allocation")</f>
        <v>Allocation</v>
      </c>
      <c r="B156" t="str">
        <f>IFERROR(__xludf.DUMMYFUNCTION("""COMPUTED_VALUE"""),"ImportCalculatedPreferences")</f>
        <v>ImportCalculatedPreferences</v>
      </c>
      <c r="C156" t="str">
        <f>IFERROR(__xludf.DUMMYFUNCTION("""COMPUTED_VALUE"""),"18vhnd5xj3NAYjC-yFO1oyOPDOLkT2MS9D6zP1VcOkuU")</f>
        <v>18vhnd5xj3NAYjC-yFO1oyOPDOLkT2MS9D6zP1VcOkuU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IFERROR(__xludf.DUMMYFUNCTION("""COMPUTED_VALUE"""),"GetDayEndCash")</f>
        <v>GetDayEndCash</v>
      </c>
      <c r="C157" t="str">
        <f>IFERROR(__xludf.DUMMYFUNCTION("""COMPUTED_VALUE"""),"1jqS9oQPmnlJep9od8joR9qslA_C25MlFI6PrAbWqhmg")</f>
        <v>1jqS9oQPmnlJep9od8joR9qslA_C25MlFI6PrAbWqhmg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IFERROR(__xludf.DUMMYFUNCTION("""COMPUTED_VALUE"""),"VerifyDayEndCash")</f>
        <v>VerifyDayEndCash</v>
      </c>
      <c r="C158" t="str">
        <f>IFERROR(__xludf.DUMMYFUNCTION("""COMPUTED_VALUE"""),"1GW6vFeVwfYm2wcsBKLqW5b_IfQ0IXb-d4lE8S_dCos8")</f>
        <v>1GW6vFeVwfYm2wcsBKLqW5b_IfQ0IXb-d4lE8S_dCos8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IFERROR(__xludf.DUMMYFUNCTION("""COMPUTED_VALUE"""),"OpenAuditTrailUnallocatedGroup")</f>
        <v>OpenAuditTrailUnallocatedGroup</v>
      </c>
      <c r="C159" t="str">
        <f>IFERROR(__xludf.DUMMYFUNCTION("""COMPUTED_VALUE"""),"13bCdgscSA2xV2a8RyAti9ATAuGCeMp-bGJx93KoFRmI")</f>
        <v>13bCdgscSA2xV2a8RyAti9ATAuGCeMp-bGJx93KoFRmI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IFERROR(__xludf.DUMMYFUNCTION("""COMPUTED_VALUE"""),"DeleteCalculatedPreferencesTool")</f>
        <v>DeleteCalculatedPreferencesTool</v>
      </c>
      <c r="C160" t="str">
        <f>IFERROR(__xludf.DUMMYFUNCTION("""COMPUTED_VALUE"""),"1QzNsvV6HianBKTbpA7sMTjHgSpkga9jGXA3zKqeeWm8")</f>
        <v>1QzNsvV6HianBKTbpA7sMTjHgSpkga9jGXA3zKqeeWm8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IFERROR(__xludf.DUMMYFUNCTION("""COMPUTED_VALUE"""),"ImportCalculatedPreferencesTool")</f>
        <v>ImportCalculatedPreferencesTool</v>
      </c>
      <c r="C161" t="str">
        <f>IFERROR(__xludf.DUMMYFUNCTION("""COMPUTED_VALUE"""),"1rTwy8eQq8KSAOAj5Y93-37Y2MFOELhZnj-9vrSgpRZ0")</f>
        <v>1rTwy8eQq8KSAOAj5Y93-37Y2MFOELhZnj-9vrSgpRZ0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IFERROR(__xludf.DUMMYFUNCTION("""COMPUTED_VALUE"""),"RunRevaluation")</f>
        <v>RunRevaluation</v>
      </c>
      <c r="C162" t="str">
        <f>IFERROR(__xludf.DUMMYFUNCTION("""COMPUTED_VALUE"""),"12nLfwKuC1FOVktAPKiL0Y4Nl3H4mPS6B3Sphgv9TeP0")</f>
        <v>12nLfwKuC1FOVktAPKiL0Y4Nl3H4mPS6B3Sphgv9TeP0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IFERROR(__xludf.DUMMYFUNCTION("""COMPUTED_VALUE"""),"CalculateDayEndCash")</f>
        <v>CalculateDayEndCash</v>
      </c>
      <c r="C163" t="str">
        <f>IFERROR(__xludf.DUMMYFUNCTION("""COMPUTED_VALUE"""),"Undefined")</f>
        <v>Undefined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IFERROR(__xludf.DUMMYFUNCTION("""COMPUTED_VALUE"""),"ExportAllCalculatedPreferTool")</f>
        <v>ExportAllCalculatedPreferTool</v>
      </c>
      <c r="C164" t="str">
        <f>IFERROR(__xludf.DUMMYFUNCTION("""COMPUTED_VALUE"""),"1-hvKWsnsvP4bPLjKqz0fU1wSX-sKEKyp38DokUd9uZE")</f>
        <v>1-hvKWsnsvP4bPLjKqz0fU1wSX-sKEKyp38DokUd9uZE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IFERROR(__xludf.DUMMYFUNCTION("""COMPUTED_VALUE"""),"OpenAuditTrailAllocatedGroup")</f>
        <v>OpenAuditTrailAllocatedGroup</v>
      </c>
      <c r="C165" t="str">
        <f>IFERROR(__xludf.DUMMYFUNCTION("""COMPUTED_VALUE"""),"1rXWSc2w5tQgt_ZYA4eliVWt2qdn7dc0mZkX-DLF0YC0")</f>
        <v>1rXWSc2w5tQgt_ZYA4eliVWt2qdn7dc0mZkX-DLF0YC0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IFERROR(__xludf.DUMMYFUNCTION("""COMPUTED_VALUE"""),"OpenSymbolLookupUnallocateGroup")</f>
        <v>OpenSymbolLookupUnallocateGroup</v>
      </c>
      <c r="C166" t="str">
        <f>IFERROR(__xludf.DUMMYFUNCTION("""COMPUTED_VALUE"""),"18yoHsWAvFJtns5Vgsd3TC9waLg0jy_z8-Ov5sl1j0nE")</f>
        <v>18yoHsWAvFJtns5Vgsd3TC9waLg0jy_z8-Ov5sl1j0nE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IFERROR(__xludf.DUMMYFUNCTION("""COMPUTED_VALUE"""),"OpenSymbolLookupAllocatedGroup")</f>
        <v>OpenSymbolLookupAllocatedGroup</v>
      </c>
      <c r="C167" t="str">
        <f>IFERROR(__xludf.DUMMYFUNCTION("""COMPUTED_VALUE"""),"135eoaoRkLuLxBtrORiQ-ppYB7kxLijQFuqQ-OkQwsS0")</f>
        <v>135eoaoRkLuLxBtrORiQ-ppYB7kxLijQFuqQ-OkQwsS0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IFERROR(__xludf.DUMMYFUNCTION("""COMPUTED_VALUE"""),"DeleteFixedPreference")</f>
        <v>DeleteFixedPreference</v>
      </c>
      <c r="C168" t="str">
        <f>IFERROR(__xludf.DUMMYFUNCTION("""COMPUTED_VALUE"""),"1CSubToCak00thNXt6dtgCyBu3YVpO6DoKpBFQn2tb8k")</f>
        <v>1CSubToCak00thNXt6dtgCyBu3YVpO6DoKpBFQn2tb8k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IFERROR(__xludf.DUMMYFUNCTION("""COMPUTED_VALUE"""),"Blotter")</f>
        <v>Blotter</v>
      </c>
      <c r="B169" t="str">
        <f>IFERROR(__xludf.DUMMYFUNCTION("""COMPUTED_VALUE"""),"TransferToUserSubOrder")</f>
        <v>TransferToUserSubOrder</v>
      </c>
      <c r="C169" t="str">
        <f>IFERROR(__xludf.DUMMYFUNCTION("""COMPUTED_VALUE"""),"1qmP1zA3NwJXtfrBkoOmDjhF_cNSgtaOLfuoYqzGc8R0")</f>
        <v>1qmP1zA3NwJXtfrBkoOmDjhF_cNSgtaOLfuoYqzGc8R0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IFERROR(__xludf.DUMMYFUNCTION("""COMPUTED_VALUE"""),"DetailsForAlgoTradeOrder")</f>
        <v>DetailsForAlgoTradeOrder</v>
      </c>
      <c r="C170" t="str">
        <f>IFERROR(__xludf.DUMMYFUNCTION("""COMPUTED_VALUE"""),"1va5hZGEz8VAzZA8aF0bZ9yh24u7m6qpwPBq2w5yQk10")</f>
        <v>1va5hZGEz8VAzZA8aF0bZ9yh24u7m6qpwPBq2w5yQk10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IFERROR(__xludf.DUMMYFUNCTION("""COMPUTED_VALUE"""),"AddFillsSubOrder")</f>
        <v>AddFillsSubOrder</v>
      </c>
      <c r="C171" t="str">
        <f>IFERROR(__xludf.DUMMYFUNCTION("""COMPUTED_VALUE"""),"1L7WsHnZcDFzKmLPyelSR2n6F9BZz95HHlTa512p2S3c")</f>
        <v>1L7WsHnZcDFzKmLPyelSR2n6F9BZz95HHlTa512p2S3c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IFERROR(__xludf.DUMMYFUNCTION("""COMPUTED_VALUE"""),"ViewAllocationDetailsSubOrder")</f>
        <v>ViewAllocationDetailsSubOrder</v>
      </c>
      <c r="C172" t="str">
        <f>IFERROR(__xludf.DUMMYFUNCTION("""COMPUTED_VALUE"""),"1XA81-82HUa-cDA4PoYbJLTzM5_StfOfHam4UgnOt59E")</f>
        <v>1XA81-82HUa-cDA4PoYbJLTzM5_StfOfHam4UgnOt59E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IFERROR(__xludf.DUMMYFUNCTION("""COMPUTED_VALUE"""),"GeneralLedger")</f>
        <v>GeneralLedger</v>
      </c>
      <c r="B173" t="str">
        <f>IFERROR(__xludf.DUMMYFUNCTION("""COMPUTED_VALUE"""),"GetCashTransaction")</f>
        <v>GetCashTransaction</v>
      </c>
      <c r="C173" t="str">
        <f>IFERROR(__xludf.DUMMYFUNCTION("""COMPUTED_VALUE"""),"1X0pX_-x5vAH2oEKcaX2e6hOSBrvXzqnQAiN-Xns9A4M")</f>
        <v>1X0pX_-x5vAH2oEKcaX2e6hOSBrvXzqnQAiN-Xns9A4M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IFERROR(__xludf.DUMMYFUNCTION("""COMPUTED_VALUE"""),"SelectCashTransaction")</f>
        <v>SelectCashTransaction</v>
      </c>
      <c r="C174" t="str">
        <f>IFERROR(__xludf.DUMMYFUNCTION("""COMPUTED_VALUE"""),"1qTLVP_ce37jUncyDHY-5RHgrhpMowqKs8GPqX5Nux3g")</f>
        <v>1qTLVP_ce37jUncyDHY-5RHgrhpMowqKs8GPqX5Nux3g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IFERROR(__xludf.DUMMYFUNCTION("""COMPUTED_VALUE"""),"DeleteCashTransaction")</f>
        <v>DeleteCashTransaction</v>
      </c>
      <c r="C175" t="str">
        <f>IFERROR(__xludf.DUMMYFUNCTION("""COMPUTED_VALUE"""),"16uXj0rM-TvT9Xs9p8FMjMICfXtauwu5kNy0aNXH7pLQ")</f>
        <v>16uXj0rM-TvT9Xs9p8FMjMICfXtauwu5kNy0aNXH7pLQ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IFERROR(__xludf.DUMMYFUNCTION("""COMPUTED_VALUE"""),"EditCashTransaction")</f>
        <v>EditCashTransaction</v>
      </c>
      <c r="C176" t="str">
        <f>IFERROR(__xludf.DUMMYFUNCTION("""COMPUTED_VALUE"""),"1SL0UOLEyeTKN5t8dANjKQtXJvpkgBYY94wYFU1dJ0nY")</f>
        <v>1SL0UOLEyeTKN5t8dANjKQtXJvpkgBYY94wYFU1dJ0nY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IFERROR(__xludf.DUMMYFUNCTION("""COMPUTED_VALUE"""),"AddCashTransaction")</f>
        <v>AddCashTransaction</v>
      </c>
      <c r="C177" t="str">
        <f>IFERROR(__xludf.DUMMYFUNCTION("""COMPUTED_VALUE"""),"1juNE2nr1TxtNCKBuQfkWvVylAAmwXNLSW_76uowDwa4")</f>
        <v>1juNE2nr1TxtNCKBuQfkWvVylAAmwXNLSW_76uowDwa4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IFERROR(__xludf.DUMMYFUNCTION("""COMPUTED_VALUE"""),"Allocation")</f>
        <v>Allocation</v>
      </c>
      <c r="B178" t="str">
        <f>IFERROR(__xludf.DUMMYFUNCTION("""COMPUTED_VALUE"""),"EditAllocatedGroupSidePanel")</f>
        <v>EditAllocatedGroupSidePanel</v>
      </c>
      <c r="C178" t="str">
        <f>IFERROR(__xludf.DUMMYFUNCTION("""COMPUTED_VALUE"""),"1CYaZFNpRJb9tk_I1DjPVmUH7-bb4mrZAzwUG6v_kppo")</f>
        <v>1CYaZFNpRJb9tk_I1DjPVmUH7-bb4mrZAzwUG6v_kppo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IFERROR(__xludf.DUMMYFUNCTION("""COMPUTED_VALUE"""),"DailyValuation")</f>
        <v>DailyValuation</v>
      </c>
      <c r="B179" t="str">
        <f>IFERROR(__xludf.DUMMYFUNCTION("""COMPUTED_VALUE"""),"GetMarkPriceData")</f>
        <v>GetMarkPriceData</v>
      </c>
      <c r="C179" t="str">
        <f>IFERROR(__xludf.DUMMYFUNCTION("""COMPUTED_VALUE"""),"1NIxqFRW6hO3o7gkug_W-ZRDHlkaA6snAgVdpd8K2xA4")</f>
        <v>1NIxqFRW6hO3o7gkug_W-ZRDHlkaA6snAgVdpd8K2xA4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IFERROR(__xludf.DUMMYFUNCTION("""COMPUTED_VALUE"""),"GetForwardPoints")</f>
        <v>GetForwardPoints</v>
      </c>
      <c r="C180" t="str">
        <f>IFERROR(__xludf.DUMMYFUNCTION("""COMPUTED_VALUE"""),"11hX4oOfIZKxEBvdLS83-6pQVKc4swlGBapLI49USjho")</f>
        <v>11hX4oOfIZKxEBvdLS83-6pQVKc4swlGBapLI49USjho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IFERROR(__xludf.DUMMYFUNCTION("""COMPUTED_VALUE"""),"UpdateForwardPoints")</f>
        <v>UpdateForwardPoints</v>
      </c>
      <c r="C181" t="str">
        <f>IFERROR(__xludf.DUMMYFUNCTION("""COMPUTED_VALUE"""),"1lDeEb2buBvWgu1OSCJh6NnjKUxlKprChfx4D9ZCsKwk")</f>
        <v>1lDeEb2buBvWgu1OSCJh6NnjKUxlKprChfx4D9ZCsKwk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IFERROR(__xludf.DUMMYFUNCTION("""COMPUTED_VALUE"""),"GetForexConversion")</f>
        <v>GetForexConversion</v>
      </c>
      <c r="C182" t="str">
        <f>IFERROR(__xludf.DUMMYFUNCTION("""COMPUTED_VALUE"""),"15Ez0MbQhn35K7KDtdMPxBfexxg6QOLfyORrrD3R7qI8")</f>
        <v>15Ez0MbQhn35K7KDtdMPxBfexxg6QOLfyORrrD3R7qI8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IFERROR(__xludf.DUMMYFUNCTION("""COMPUTED_VALUE"""),"DeleteNAV")</f>
        <v>DeleteNAV</v>
      </c>
      <c r="C183" t="str">
        <f>IFERROR(__xludf.DUMMYFUNCTION("""COMPUTED_VALUE"""),"1JF6fLvYrKC9Sn5-TyS3-I2R7LfC9n72HPAI8VLWJr_g")</f>
        <v>1JF6fLvYrKC9Sn5-TyS3-I2R7LfC9n72HPAI8VLWJr_g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IFERROR(__xludf.DUMMYFUNCTION("""COMPUTED_VALUE"""),"Allocation")</f>
        <v>Allocation</v>
      </c>
      <c r="B184" t="str">
        <f>IFERROR(__xludf.DUMMYFUNCTION("""COMPUTED_VALUE"""),"CheckUnallocatedGroups")</f>
        <v>CheckUnallocatedGroups</v>
      </c>
      <c r="C184" t="str">
        <f>IFERROR(__xludf.DUMMYFUNCTION("""COMPUTED_VALUE"""),"1uDsVwLW9b8TEVShY-j_ut_kq18E4Re5weYncy-uH1tE")</f>
        <v>1uDsVwLW9b8TEVShY-j_ut_kq18E4Re5weYncy-uH1tE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IFERROR(__xludf.DUMMYFUNCTION("""COMPUTED_VALUE"""),"GetDailyCash")</f>
        <v>GetDailyCash</v>
      </c>
      <c r="C185" t="str">
        <f>IFERROR(__xludf.DUMMYFUNCTION("""COMPUTED_VALUE"""),"12I6Q5d2VpAvDFSyHcGNJGG_m8QPY_Gf0bbMoiA8GE_0")</f>
        <v>12I6Q5d2VpAvDFSyHcGNJGG_m8QPY_Gf0bbMoiA8GE_0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IFERROR(__xludf.DUMMYFUNCTION("""COMPUTED_VALUE"""),"SetGeneralPreferences")</f>
        <v>SetGeneralPreferences</v>
      </c>
      <c r="C186" t="str">
        <f>IFERROR(__xludf.DUMMYFUNCTION("""COMPUTED_VALUE"""),"1jAzFL5XZAAfLw8yxhch5Uylta8SX4hiHfWzCcMWtmN0")</f>
        <v>1jAzFL5XZAAfLw8yxhch5Uylta8SX4hiHfWzCcMWtmN0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IFERROR(__xludf.DUMMYFUNCTION("""COMPUTED_VALUE"""),"GetDailyBeta")</f>
        <v>GetDailyBeta</v>
      </c>
      <c r="C187" t="str">
        <f>IFERROR(__xludf.DUMMYFUNCTION("""COMPUTED_VALUE"""),"1gG0uUz-Upr6j_nNv7o9ydqTkxVdr514WUQfLPd41Ha4")</f>
        <v>1gG0uUz-Upr6j_nNv7o9ydqTkxVdr514WUQfLPd41Ha4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IFERROR(__xludf.DUMMYFUNCTION("""COMPUTED_VALUE"""),"GetDailyVolatility")</f>
        <v>GetDailyVolatility</v>
      </c>
      <c r="C188" t="str">
        <f>IFERROR(__xludf.DUMMYFUNCTION("""COMPUTED_VALUE"""),"1vI4jNAUSGdUG6xvjysTCvc6awnnEgXiNdfWdNpVkdIE")</f>
        <v>1vI4jNAUSGdUG6xvjysTCvc6awnnEgXiNdfWdNpVkdIE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IFERROR(__xludf.DUMMYFUNCTION("""COMPUTED_VALUE"""),"GetDailyDividendYield")</f>
        <v>GetDailyDividendYield</v>
      </c>
      <c r="C189" t="str">
        <f>IFERROR(__xludf.DUMMYFUNCTION("""COMPUTED_VALUE"""),"1hEt6xnVuw25cLBsI-Ve9ddGC7eYgEF6P8njkDhI_xsQ")</f>
        <v>1hEt6xnVuw25cLBsI-Ve9ddGC7eYgEF6P8njkDhI_xsQ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IFERROR(__xludf.DUMMYFUNCTION("""COMPUTED_VALUE"""),"GetDailyTradingVolume")</f>
        <v>GetDailyTradingVolume</v>
      </c>
      <c r="C190" t="str">
        <f>IFERROR(__xludf.DUMMYFUNCTION("""COMPUTED_VALUE"""),"1l3UMevp9h45oN8SOXDCJMeQ1dHDluUropGW6rCZ1Ja0")</f>
        <v>1l3UMevp9h45oN8SOXDCJMeQ1dHDluUropGW6rCZ1Ja0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IFERROR(__xludf.DUMMYFUNCTION("""COMPUTED_VALUE"""),"GetDailyOutstandings")</f>
        <v>GetDailyOutstandings</v>
      </c>
      <c r="C191" t="str">
        <f>IFERROR(__xludf.DUMMYFUNCTION("""COMPUTED_VALUE"""),"1qMvNw9pd6SImE9vO8N9MXt8z4nrtH_Fd-BraVePtfFY")</f>
        <v>1qMvNw9pd6SImE9vO8N9MXt8z4nrtH_Fd-BraVePtfFY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IFERROR(__xludf.DUMMYFUNCTION("""COMPUTED_VALUE"""),"Allocation")</f>
        <v>Allocation</v>
      </c>
      <c r="B192" t="str">
        <f>IFERROR(__xludf.DUMMYFUNCTION("""COMPUTED_VALUE"""),"GroupTrades")</f>
        <v>GroupTrades</v>
      </c>
      <c r="C192" t="str">
        <f>IFERROR(__xludf.DUMMYFUNCTION("""COMPUTED_VALUE"""),"1jfUJOmRerGO0dVQ4dI89-flzuofAROPMO6VcDQbXwDU")</f>
        <v>1jfUJOmRerGO0dVQ4dI89-flzuofAROPMO6VcDQbXwDU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IFERROR(__xludf.DUMMYFUNCTION("""COMPUTED_VALUE"""),"UngroupTrades")</f>
        <v>UngroupTrades</v>
      </c>
      <c r="C193" t="str">
        <f>IFERROR(__xludf.DUMMYFUNCTION("""COMPUTED_VALUE"""),"18HP9fc6jV5UlsSwvfXYnWOMHexpMe80JdMrYKFZYaDs")</f>
        <v>18HP9fc6jV5UlsSwvfXYnWOMHexpMe80JdMrYKFZYaDs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IFERROR(__xludf.DUMMYFUNCTION("""COMPUTED_VALUE"""),"DeleteGroup")</f>
        <v>DeleteGroup</v>
      </c>
      <c r="C194" t="str">
        <f>IFERROR(__xludf.DUMMYFUNCTION("""COMPUTED_VALUE"""),"1g15gYgbNgiqhhlIWBSRtatFTjPRMBBC6SrmmBNM1Pkc")</f>
        <v>1g15gYgbNgiqhhlIWBSRtatFTjPRMBBC6SrmmBNM1Pkc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IFERROR(__xludf.DUMMYFUNCTION("""COMPUTED_VALUE"""),"CloseOrder")</f>
        <v>CloseOrder</v>
      </c>
      <c r="C195" t="str">
        <f>IFERROR(__xludf.DUMMYFUNCTION("""COMPUTED_VALUE"""),"1PjPKM0VaZH7pOb0yKIqHZbera4HKMSx4-yaxj2MfMqM")</f>
        <v>1PjPKM0VaZH7pOb0yKIqHZbera4HKMSx4-yaxj2MfMqM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IFERROR(__xludf.DUMMYFUNCTION("""COMPUTED_VALUE"""),"Unallocate")</f>
        <v>Unallocate</v>
      </c>
      <c r="C196" t="str">
        <f>IFERROR(__xludf.DUMMYFUNCTION("""COMPUTED_VALUE"""),"153rAtnJuNh4UK26GjSOxUSjAHcOxzWv7CRGvmhrIJRs")</f>
        <v>153rAtnJuNh4UK26GjSOxUSjAHcOxzWv7CRGvmhrIJRs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IFERROR(__xludf.DUMMYFUNCTION("""COMPUTED_VALUE"""),"DailyValuation")</f>
        <v>DailyValuation</v>
      </c>
      <c r="B197" t="str">
        <f>IFERROR(__xludf.DUMMYFUNCTION("""COMPUTED_VALUE"""),"GetDailyDelta")</f>
        <v>GetDailyDelta</v>
      </c>
      <c r="C197" t="str">
        <f>IFERROR(__xludf.DUMMYFUNCTION("""COMPUTED_VALUE"""),"1QtaQDH7V1c0A0yDQl2SL67HhtdpeojzJDU2qg7qKQY8")</f>
        <v>1QtaQDH7V1c0A0yDQl2SL67HhtdpeojzJDU2qg7qKQY8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IFERROR(__xludf.DUMMYFUNCTION("""COMPUTED_VALUE"""),"UpdateDailyVolatility")</f>
        <v>UpdateDailyVolatility</v>
      </c>
      <c r="C198" t="str">
        <f>IFERROR(__xludf.DUMMYFUNCTION("""COMPUTED_VALUE"""),"1qsRn4zz2i07D4vPzDnBLUzrnXu2IpG24XdBPkRDRrZI")</f>
        <v>1qsRn4zz2i07D4vPzDnBLUzrnXu2IpG24XdBPkRDRrZI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IFERROR(__xludf.DUMMYFUNCTION("""COMPUTED_VALUE"""),"GeneralLedger")</f>
        <v>GeneralLedger</v>
      </c>
      <c r="B199" t="str">
        <f>IFERROR(__xludf.DUMMYFUNCTION("""COMPUTED_VALUE"""),"AddOpeningBalanceTransaction")</f>
        <v>AddOpeningBalanceTransaction</v>
      </c>
      <c r="C199" t="str">
        <f>IFERROR(__xludf.DUMMYFUNCTION("""COMPUTED_VALUE"""),"1y0ieooAoYit1YHy7MDlHCV6ujc-NITlV_gw1AK9Hnho")</f>
        <v>1y0ieooAoYit1YHy7MDlHCV6ujc-NITlV_gw1AK9Hnho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IFERROR(__xludf.DUMMYFUNCTION("""COMPUTED_VALUE"""),"AddOpeningBalanceTranItem")</f>
        <v>AddOpeningBalanceTranItem</v>
      </c>
      <c r="C200" t="str">
        <f>IFERROR(__xludf.DUMMYFUNCTION("""COMPUTED_VALUE"""),"1x47skVggGiWEn0Ej2HvW5XTsrFsGYBWpjn6bJabdm_k")</f>
        <v>1x47skVggGiWEn0Ej2HvW5XTsrFsGYBWpjn6bJabdm_k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IFERROR(__xludf.DUMMYFUNCTION("""COMPUTED_VALUE"""),"Blotter")</f>
        <v>Blotter</v>
      </c>
      <c r="B201" t="str">
        <f>IFERROR(__xludf.DUMMYFUNCTION("""COMPUTED_VALUE"""),"CancelAllSubs")</f>
        <v>CancelAllSubs</v>
      </c>
      <c r="C201" t="str">
        <f>IFERROR(__xludf.DUMMYFUNCTION("""COMPUTED_VALUE"""),"1P_HAvqQfrY1Kj7nUD4l96kTKHqe0nICLlE1H8EpReTo")</f>
        <v>1P_HAvqQfrY1Kj7nUD4l96kTKHqe0nICLlE1H8EpReTo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IFERROR(__xludf.DUMMYFUNCTION("""COMPUTED_VALUE"""),"CancelSubOrder")</f>
        <v>CancelSubOrder</v>
      </c>
      <c r="C202" t="str">
        <f>IFERROR(__xludf.DUMMYFUNCTION("""COMPUTED_VALUE"""),"1ttxKH48_5usZGjc6vBfBVpbTCg7pDZ3FvWN6Dd43Fh4")</f>
        <v>1ttxKH48_5usZGjc6vBfBVpbTCg7pDZ3FvWN6Dd43Fh4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IFERROR(__xludf.DUMMYFUNCTION("""COMPUTED_VALUE"""),"EditStageOrder")</f>
        <v>EditStageOrder</v>
      </c>
      <c r="C203" t="str">
        <f>IFERROR(__xludf.DUMMYFUNCTION("""COMPUTED_VALUE"""),"16ygoYxfK_5kj8wWwCsAwyneuMnBr5H-DDZv1wWSe5ug")</f>
        <v>16ygoYxfK_5kj8wWwCsAwyneuMnBr5H-DDZv1wWSe5ug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IFERROR(__xludf.DUMMYFUNCTION("""COMPUTED_VALUE"""),"ReplaceSubOrder")</f>
        <v>ReplaceSubOrder</v>
      </c>
      <c r="C204" t="str">
        <f>IFERROR(__xludf.DUMMYFUNCTION("""COMPUTED_VALUE"""),"1E8BvTzoXMl0QoiRs2x6Gz61Ynt6Y4ijLw19dlE3IbWg")</f>
        <v>1E8BvTzoXMl0QoiRs2x6Gz61Ynt6Y4ijLw19dlE3IbWg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IFERROR(__xludf.DUMMYFUNCTION("""COMPUTED_VALUE"""),"SelectTradeWorkingSubsBlotter")</f>
        <v>SelectTradeWorkingSubsBlotter</v>
      </c>
      <c r="C205" t="str">
        <f>IFERROR(__xludf.DUMMYFUNCTION("""COMPUTED_VALUE"""),"1fim-H9q-wv0Hni06pvPKZap2wNcdOz7Hs9EN4cYHWwM")</f>
        <v>1fim-H9q-wv0Hni06pvPKZap2wNcdOz7Hs9EN4cYHWwM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IFERROR(__xludf.DUMMYFUNCTION("""COMPUTED_VALUE"""),"VerifyAlgoDetails")</f>
        <v>VerifyAlgoDetails</v>
      </c>
      <c r="C206" t="str">
        <f>IFERROR(__xludf.DUMMYFUNCTION("""COMPUTED_VALUE"""),"1j2eu6YCZ2WOBVwUMcD_7yyVlu9KxfaD0WhOfCo1ndAY")</f>
        <v>1j2eu6YCZ2WOBVwUMcD_7yyVlu9KxfaD0WhOfCo1ndAY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IFERROR(__xludf.DUMMYFUNCTION("""COMPUTED_VALUE"""),"VerifyTransferToUserOrder")</f>
        <v>VerifyTransferToUserOrder</v>
      </c>
      <c r="C207" t="str">
        <f>IFERROR(__xludf.DUMMYFUNCTION("""COMPUTED_VALUE"""),"1YBOZeqciRB-s8sGsmX1jzi4T2plSgOckQ1QnndFu_rg")</f>
        <v>1YBOZeqciRB-s8sGsmX1jzi4T2plSgOckQ1QnndFu_rg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IFERROR(__xludf.DUMMYFUNCTION("""COMPUTED_VALUE"""),"VerifyTransferToUserSubOdr")</f>
        <v>VerifyTransferToUserSubOdr</v>
      </c>
      <c r="C208" t="str">
        <f>IFERROR(__xludf.DUMMYFUNCTION("""COMPUTED_VALUE"""),"1VSjObHwe6mgJ3zELOc8KCLuelTWUdoRO9KGqeIZZgOw")</f>
        <v>1VSjObHwe6mgJ3zELOc8KCLuelTWUdoRO9KGqeIZZgOw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IFERROR(__xludf.DUMMYFUNCTION("""COMPUTED_VALUE"""),"VerifyTransferToUserWorkSub")</f>
        <v>VerifyTransferToUserWorkSub</v>
      </c>
      <c r="C209" t="str">
        <f>IFERROR(__xludf.DUMMYFUNCTION("""COMPUTED_VALUE"""),"13yqh3ZoHWLFsBRwQRuMCxyOHJa_oZY6nfTgr6vbII_Y")</f>
        <v>13yqh3ZoHWLFsBRwQRuMCxyOHJa_oZY6nfTgr6vbII_Y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IFERROR(__xludf.DUMMYFUNCTION("""COMPUTED_VALUE"""),"SaveLayoutOrderGrid")</f>
        <v>SaveLayoutOrderGrid</v>
      </c>
      <c r="C210" t="str">
        <f>IFERROR(__xludf.DUMMYFUNCTION("""COMPUTED_VALUE"""),"1CPi0o2X-sAUdoxlDON_2KUNJKoQm5pGF1uDEwVBvNXE")</f>
        <v>1CPi0o2X-sAUdoxlDON_2KUNJKoQm5pGF1uDEwVBvNXE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IFERROR(__xludf.DUMMYFUNCTION("""COMPUTED_VALUE"""),"DailyValuation")</f>
        <v>DailyValuation</v>
      </c>
      <c r="B211" t="str">
        <f>IFERROR(__xludf.DUMMYFUNCTION("""COMPUTED_VALUE"""),"UpdateDividendYield")</f>
        <v>UpdateDividendYield</v>
      </c>
      <c r="C211" t="str">
        <f>IFERROR(__xludf.DUMMYFUNCTION("""COMPUTED_VALUE"""),"1dbzZB_M22nY4Q6uxT_PTlyy6HTeUDBHiE60g8TkZxVw")</f>
        <v>1dbzZB_M22nY4Q6uxT_PTlyy6HTeUDBHiE60g8TkZxVw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IFERROR(__xludf.DUMMYFUNCTION("""COMPUTED_VALUE"""),"UpdateTradingVolume")</f>
        <v>UpdateTradingVolume</v>
      </c>
      <c r="C212" t="str">
        <f>IFERROR(__xludf.DUMMYFUNCTION("""COMPUTED_VALUE"""),"1w4D3GtBtxTz5FW7dP-vBOd6eYGFVsOKKKXxwOjyKpug")</f>
        <v>1w4D3GtBtxTz5FW7dP-vBOd6eYGFVsOKKKXxwOjyKpug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IFERROR(__xludf.DUMMYFUNCTION("""COMPUTED_VALUE"""),"UpdateDailyDelta")</f>
        <v>UpdateDailyDelta</v>
      </c>
      <c r="C213" t="str">
        <f>IFERROR(__xludf.DUMMYFUNCTION("""COMPUTED_VALUE"""),"1sA8b75vpmPdPw2bPLjZruUUSBlMVYpJOjVu5SY3E7tg")</f>
        <v>1sA8b75vpmPdPw2bPLjZruUUSBlMVYpJOjVu5SY3E7tg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IFERROR(__xludf.DUMMYFUNCTION("""COMPUTED_VALUE"""),"UpdateDailyOutstandings")</f>
        <v>UpdateDailyOutstandings</v>
      </c>
      <c r="C214" t="str">
        <f>IFERROR(__xludf.DUMMYFUNCTION("""COMPUTED_VALUE"""),"1S3CAftFFzsr3ACCdLXl02NTqNvu6g598xECpXbVEv94")</f>
        <v>1S3CAftFFzsr3ACCdLXl02NTqNvu6g598xECpXbVEv94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IFERROR(__xludf.DUMMYFUNCTION("""COMPUTED_VALUE"""),"Closing")</f>
        <v>Closing</v>
      </c>
      <c r="B215" t="str">
        <f>IFERROR(__xludf.DUMMYFUNCTION("""COMPUTED_VALUE"""),"GetDataClosing")</f>
        <v>GetDataClosing</v>
      </c>
      <c r="C215" t="str">
        <f>IFERROR(__xludf.DUMMYFUNCTION("""COMPUTED_VALUE"""),"13nVXBpc9DMalp1qBDH8UYT5HdbFAJyU5j_aDzs3JK7M")</f>
        <v>13nVXBpc9DMalp1qBDH8UYT5HdbFAJyU5j_aDzs3JK7M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IFERROR(__xludf.DUMMYFUNCTION("""COMPUTED_VALUE"""),"ManualClosing")</f>
        <v>ManualClosing</v>
      </c>
      <c r="C216" t="str">
        <f>IFERROR(__xludf.DUMMYFUNCTION("""COMPUTED_VALUE"""),"1Qe8hBDL_TdcyzXT9vcPE3yUA7h1pLlvAdzJdX6CRE98")</f>
        <v>1Qe8hBDL_TdcyzXT9vcPE3yUA7h1pLlvAdzJdX6CRE98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IFERROR(__xludf.DUMMYFUNCTION("""COMPUTED_VALUE"""),"AutomaticClosing")</f>
        <v>AutomaticClosing</v>
      </c>
      <c r="C217" t="str">
        <f>IFERROR(__xludf.DUMMYFUNCTION("""COMPUTED_VALUE"""),"1FhF1znnJ_1uUh3yd5Xs8Tk6jb04yOpcBvnaS4YnDeJg")</f>
        <v>1FhF1znnJ_1uUh3yd5Xs8Tk6jb04yOpcBvnaS4YnDeJg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IFERROR(__xludf.DUMMYFUNCTION("""COMPUTED_VALUE"""),"UnwindClosing")</f>
        <v>UnwindClosing</v>
      </c>
      <c r="C218" t="str">
        <f>IFERROR(__xludf.DUMMYFUNCTION("""COMPUTED_VALUE"""),"1CsC40UOdI8I-E666zLwCVq5rtrH4HNQYTZPq01A3DVc")</f>
        <v>1CsC40UOdI8I-E666zLwCVq5rtrH4HNQYTZPq01A3DVc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IFERROR(__xludf.DUMMYFUNCTION("""COMPUTED_VALUE"""),"VerifyClosedTrades")</f>
        <v>VerifyClosedTrades</v>
      </c>
      <c r="C219" t="str">
        <f>IFERROR(__xludf.DUMMYFUNCTION("""COMPUTED_VALUE"""),"1Pu_mcZRAmT4Bb3jPpD1pwwWTEA3wf1lc9SGqgzy200I")</f>
        <v>1Pu_mcZRAmT4Bb3jPpD1pwwWTEA3wf1lc9SGqgzy200I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IFERROR(__xludf.DUMMYFUNCTION("""COMPUTED_VALUE"""),"VerifyLongPositionsGrid")</f>
        <v>VerifyLongPositionsGrid</v>
      </c>
      <c r="C220" t="str">
        <f>IFERROR(__xludf.DUMMYFUNCTION("""COMPUTED_VALUE"""),"1yLdJG1OS5ujReV9E5G-DEulfc2VNjGyDyb9HltPKoWs")</f>
        <v>1yLdJG1OS5ujReV9E5G-DEulfc2VNjGyDyb9HltPKoWs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IFERROR(__xludf.DUMMYFUNCTION("""COMPUTED_VALUE"""),"VerifyShortPositionsGrid")</f>
        <v>VerifyShortPositionsGrid</v>
      </c>
      <c r="C221" t="str">
        <f>IFERROR(__xludf.DUMMYFUNCTION("""COMPUTED_VALUE"""),"1_G71Dy-pXPO-6F-oumOUwExAhdly4GU5sJ16gp2yCpU")</f>
        <v>1_G71Dy-pXPO-6F-oumOUwExAhdly4GU5sJ16gp2yCpU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IFERROR(__xludf.DUMMYFUNCTION("""COMPUTED_VALUE"""),"SelectTradeUnexpiredUnsettled")</f>
        <v>SelectTradeUnexpiredUnsettled</v>
      </c>
      <c r="C222" t="str">
        <f>IFERROR(__xludf.DUMMYFUNCTION("""COMPUTED_VALUE"""),"1UXf78dHpFfYsQr7rlXLtuA2F2RFUrDn0dJBxlZ3I5nM")</f>
        <v>1UXf78dHpFfYsQr7rlXLtuA2F2RFUrDn0dJBxlZ3I5nM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IFERROR(__xludf.DUMMYFUNCTION("""COMPUTED_VALUE"""),"CashSettlementAtCost")</f>
        <v>CashSettlementAtCost</v>
      </c>
      <c r="C223" t="str">
        <f>IFERROR(__xludf.DUMMYFUNCTION("""COMPUTED_VALUE"""),"1tsACmLQx1Qq98vNFJPUJgY8srkxz2bj4Mmz5EV3xZZA")</f>
        <v>1tsACmLQx1Qq98vNFJPUJgY8srkxz2bj4Mmz5EV3xZZA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IFERROR(__xludf.DUMMYFUNCTION("""COMPUTED_VALUE"""),"CashSettlementAtZeroPrice")</f>
        <v>CashSettlementAtZeroPrice</v>
      </c>
      <c r="C224" t="str">
        <f>IFERROR(__xludf.DUMMYFUNCTION("""COMPUTED_VALUE"""),"1UxO9-Nc4VoA-xQC2zVS-zQzPcb6Y5e5ttyYuOlVizvQ")</f>
        <v>1UxO9-Nc4VoA-xQC2zVS-zQzPcb6Y5e5ttyYuOlVizvQ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IFERROR(__xludf.DUMMYFUNCTION("""COMPUTED_VALUE"""),"CashSettlementAtClosingDtSpotPx")</f>
        <v>CashSettlementAtClosingDtSpotPx</v>
      </c>
      <c r="C225" t="str">
        <f>IFERROR(__xludf.DUMMYFUNCTION("""COMPUTED_VALUE"""),"1T0TxnlQEM8i13IlSzu5RudR8jwYo2Ae0qGYjWTB63QA")</f>
        <v>1T0TxnlQEM8i13IlSzu5RudR8jwYo2Ae0qGYjWTB63QA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IFERROR(__xludf.DUMMYFUNCTION("""COMPUTED_VALUE"""),"PhysicalSettlement")</f>
        <v>PhysicalSettlement</v>
      </c>
      <c r="C226" t="str">
        <f>IFERROR(__xludf.DUMMYFUNCTION("""COMPUTED_VALUE"""),"1GWFw2LTCW-0KTvHPqk-SAKaGDGCWMshMmobGnhoD2IM")</f>
        <v>1GWFw2LTCW-0KTvHPqk-SAKaGDGCWMshMmobGnhoD2IM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IFERROR(__xludf.DUMMYFUNCTION("""COMPUTED_VALUE"""),"Expire")</f>
        <v>Expire</v>
      </c>
      <c r="C227" t="str">
        <f>IFERROR(__xludf.DUMMYFUNCTION("""COMPUTED_VALUE"""),"1QbdwdFznukIx11sIy-9N7A1fl9nhXKIB31gJR7mmKd4")</f>
        <v>1QbdwdFznukIx11sIy-9N7A1fl9nhXKIB31gJR7mmKd4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IFERROR(__xludf.DUMMYFUNCTION("""COMPUTED_VALUE"""),"ExerciseAssignment")</f>
        <v>ExerciseAssignment</v>
      </c>
      <c r="C228" t="str">
        <f>IFERROR(__xludf.DUMMYFUNCTION("""COMPUTED_VALUE"""),"1dZTZT5QW_lQQAeKE30XPkTaaKYBdbBURgIShMzGMLyY")</f>
        <v>1dZTZT5QW_lQQAeKE30XPkTaaKYBdbBURgIShMzGMLyY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IFERROR(__xludf.DUMMYFUNCTION("""COMPUTED_VALUE"""),"ExerciseAssignmentAtZero")</f>
        <v>ExerciseAssignmentAtZero</v>
      </c>
      <c r="C229" t="str">
        <f>IFERROR(__xludf.DUMMYFUNCTION("""COMPUTED_VALUE"""),"15MGMFMBhtgI1KWFEwdBBX7GuLF102gf47roRKsHL6H4")</f>
        <v>15MGMFMBhtgI1KWFEwdBBX7GuLF102gf47roRKsHL6H4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IFERROR(__xludf.DUMMYFUNCTION("""COMPUTED_VALUE"""),"SwapExpireAndRollover")</f>
        <v>SwapExpireAndRollover</v>
      </c>
      <c r="C230" t="str">
        <f>IFERROR(__xludf.DUMMYFUNCTION("""COMPUTED_VALUE"""),"1L-87XqJTaTF45GScp5sjdRWHx58ypZKZQMDK8AEsSm8")</f>
        <v>1L-87XqJTaTF45GScp5sjdRWHx58ypZKZQMDK8AEsSm8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IFERROR(__xludf.DUMMYFUNCTION("""COMPUTED_VALUE"""),"SwapExpire")</f>
        <v>SwapExpire</v>
      </c>
      <c r="C231" t="str">
        <f>IFERROR(__xludf.DUMMYFUNCTION("""COMPUTED_VALUE"""),"1jUV7qVgqGBaaceWSNh0-cSAYDYEL78u2ObuRdiWFjFM")</f>
        <v>1jUV7qVgqGBaaceWSNh0-cSAYDYEL78u2ObuRdiWFjFM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IFERROR(__xludf.DUMMYFUNCTION("""COMPUTED_VALUE"""),"VerifyExpiredSettledGrid")</f>
        <v>VerifyExpiredSettledGrid</v>
      </c>
      <c r="C232" t="str">
        <f>IFERROR(__xludf.DUMMYFUNCTION("""COMPUTED_VALUE"""),"14S9-0WztJC4brFwd_sntJdqg7oYUAd1uHpvzCdasPbo")</f>
        <v>14S9-0WztJC4brFwd_sntJdqg7oYUAd1uHpvzCdasPbo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IFERROR(__xludf.DUMMYFUNCTION("""COMPUTED_VALUE"""),"VerifyUnExpiredUnSettledGrid")</f>
        <v>VerifyUnExpiredUnSettledGrid</v>
      </c>
      <c r="C233" t="str">
        <f>IFERROR(__xludf.DUMMYFUNCTION("""COMPUTED_VALUE"""),"1de4udoQU07lam9vm95A4d1A6RqvJbiE5i2kofHeQU1k")</f>
        <v>1de4udoQU07lam9vm95A4d1A6RqvJbiE5i2kofHeQU1k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IFERROR(__xludf.DUMMYFUNCTION("""COMPUTED_VALUE"""),"UnWindTradeSettlement")</f>
        <v>UnWindTradeSettlement</v>
      </c>
      <c r="C234" t="str">
        <f>IFERROR(__xludf.DUMMYFUNCTION("""COMPUTED_VALUE"""),"1jnqQvqsYi6sMHiXLJ5WkhQHKVqji9WtS9IX5IquumYc")</f>
        <v>1jnqQvqsYi6sMHiXLJ5WkhQHKVqji9WtS9IX5IquumYc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IFERROR(__xludf.DUMMYFUNCTION("""COMPUTED_VALUE"""),"CloseOrder")</f>
        <v>CloseOrder</v>
      </c>
      <c r="C235" t="str">
        <f>IFERROR(__xludf.DUMMYFUNCTION("""COMPUTED_VALUE"""),"1bj4LymBZ8XfE61pCMOJflz-ChaAoZMZ8KHMwAXy6xKs")</f>
        <v>1bj4LymBZ8XfE61pCMOJflz-ChaAoZMZ8KHMwAXy6xKs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IFERROR(__xludf.DUMMYFUNCTION("""COMPUTED_VALUE"""),"VerifyCloseOrder")</f>
        <v>VerifyCloseOrder</v>
      </c>
      <c r="C236" t="str">
        <f>IFERROR(__xludf.DUMMYFUNCTION("""COMPUTED_VALUE"""),"10U7ywXXW22666-yhPjmEDMvmcIq-s1Gx2M4WuGeY2F8")</f>
        <v>10U7ywXXW22666-yhPjmEDMvmcIq-s1Gx2M4WuGeY2F8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IFERROR(__xludf.DUMMYFUNCTION("""COMPUTED_VALUE"""),"UnWindCloseOrder")</f>
        <v>UnWindCloseOrder</v>
      </c>
      <c r="C237" t="str">
        <f>IFERROR(__xludf.DUMMYFUNCTION("""COMPUTED_VALUE"""),"1ndiYwjgnh7VPji0iUN6yLkOVL80yi26iaXjkHTLPTjQ")</f>
        <v>1ndiYwjgnh7VPji0iUN6yLkOVL80yi26iaXjkHTLPTjQ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IFERROR(__xludf.DUMMYFUNCTION("""COMPUTED_VALUE"""),"ClosingCleanUp")</f>
        <v>ClosingCleanUp</v>
      </c>
      <c r="C238" t="str">
        <f>IFERROR(__xludf.DUMMYFUNCTION("""COMPUTED_VALUE"""),"1CBMTDHHaM3Vrk9VBgqqO929riAtN9XT67VXMtLxCZdY")</f>
        <v>1CBMTDHHaM3Vrk9VBgqqO929riAtN9XT67VXMtLxCZdY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IFERROR(__xludf.DUMMYFUNCTION("""COMPUTED_VALUE"""),"CloseClosingUI")</f>
        <v>CloseClosingUI</v>
      </c>
      <c r="C239" t="str">
        <f>IFERROR(__xludf.DUMMYFUNCTION("""COMPUTED_VALUE"""),"15BORdA3XCoeP0mqq47_6CZChNlRCEaFkcjD-78tQaYI")</f>
        <v>15BORdA3XCoeP0mqq47_6CZChNlRCEaFkcjD-78tQaYI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IFERROR(__xludf.DUMMYFUNCTION("""COMPUTED_VALUE"""),"GeneralLedger")</f>
        <v>GeneralLedger</v>
      </c>
      <c r="B240" t="str">
        <f>IFERROR(__xludf.DUMMYFUNCTION("""COMPUTED_VALUE"""),"GetDailyCalculationsData")</f>
        <v>GetDailyCalculationsData</v>
      </c>
      <c r="C240" t="str">
        <f>IFERROR(__xludf.DUMMYFUNCTION("""COMPUTED_VALUE"""),"1_CaVb4-xzusJdLbMAV8WXTZnHlyEkOh01iD5JBLlYgM")</f>
        <v>1_CaVb4-xzusJdLbMAV8WXTZnHlyEkOh01iD5JBLlYgM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IFERROR(__xludf.DUMMYFUNCTION("""COMPUTED_VALUE"""),"CalculateDailyCalculations")</f>
        <v>CalculateDailyCalculations</v>
      </c>
      <c r="C241" t="str">
        <f>IFERROR(__xludf.DUMMYFUNCTION("""COMPUTED_VALUE"""),"Undefined")</f>
        <v>Undefined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IFERROR(__xludf.DUMMYFUNCTION("""COMPUTED_VALUE"""),"EditOpeningBalanceTransaction")</f>
        <v>EditOpeningBalanceTransaction</v>
      </c>
      <c r="C242" t="str">
        <f>IFERROR(__xludf.DUMMYFUNCTION("""COMPUTED_VALUE"""),"1reG3EA1CyAISEzdlLJ5ERpoY_I-JZ0KuTqR0-GzNP7c")</f>
        <v>1reG3EA1CyAISEzdlLJ5ERpoY_I-JZ0KuTqR0-GzNP7c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IFERROR(__xludf.DUMMYFUNCTION("""COMPUTED_VALUE"""),"EditOpeningBalanceTranItem")</f>
        <v>EditOpeningBalanceTranItem</v>
      </c>
      <c r="C243" t="str">
        <f>IFERROR(__xludf.DUMMYFUNCTION("""COMPUTED_VALUE"""),"1njeJPFKEjXjWbNPXNBWuLdM4A4Hrt1xzLevPTOnFd48")</f>
        <v>1njeJPFKEjXjWbNPXNBWuLdM4A4Hrt1xzLevPTOnFd48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IFERROR(__xludf.DUMMYFUNCTION("""COMPUTED_VALUE"""),"DailyValuation")</f>
        <v>DailyValuation</v>
      </c>
      <c r="B244" t="str">
        <f>IFERROR(__xludf.DUMMYFUNCTION("""COMPUTED_VALUE"""),"UpdateBeta")</f>
        <v>UpdateBeta</v>
      </c>
      <c r="C244" t="str">
        <f>IFERROR(__xludf.DUMMYFUNCTION("""COMPUTED_VALUE"""),"1x5iUjYB72ZJ35IOvQ_JQkWHV-d1FlgKY3bIxxTpk-f0")</f>
        <v>1x5iUjYB72ZJ35IOvQ_JQkWHV-d1FlgKY3bIxxTpk-f0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IFERROR(__xludf.DUMMYFUNCTION("""COMPUTED_VALUE"""),"UpdateNAV")</f>
        <v>UpdateNAV</v>
      </c>
      <c r="C245" t="str">
        <f>IFERROR(__xludf.DUMMYFUNCTION("""COMPUTED_VALUE"""),"176KL7gj6FjCSMsvH7P2baGR-AF725MRypsOXPr43n0g")</f>
        <v>176KL7gj6FjCSMsvH7P2baGR-AF725MRypsOXPr43n0g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IFERROR(__xludf.DUMMYFUNCTION("""COMPUTED_VALUE"""),"UpdateDailyCash")</f>
        <v>UpdateDailyCash</v>
      </c>
      <c r="C246" t="str">
        <f>IFERROR(__xludf.DUMMYFUNCTION("""COMPUTED_VALUE"""),"1Li5RKULV7Lc2MLczTkVbzq0oDYcFGfTlBUO9__NoODc")</f>
        <v>1Li5RKULV7Lc2MLczTkVbzq0oDYcFGfTlBUO9__NoODc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IFERROR(__xludf.DUMMYFUNCTION("""COMPUTED_VALUE"""),"VerifyDailyCalTransactions")</f>
        <v>VerifyDailyCalTransactions</v>
      </c>
      <c r="C247" t="str">
        <f>IFERROR(__xludf.DUMMYFUNCTION("""COMPUTED_VALUE"""),"1Hggu8OCyZ4MPErwQA19VtwwJflpzOtAaPAe9t3cT6pk")</f>
        <v>1Hggu8OCyZ4MPErwQA19VtwwJflpzOtAaPAe9t3cT6pk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IFERROR(__xludf.DUMMYFUNCTION("""COMPUTED_VALUE"""),"UpdateDailyCreditLimt")</f>
        <v>UpdateDailyCreditLimt</v>
      </c>
      <c r="C248" t="str">
        <f>IFERROR(__xludf.DUMMYFUNCTION("""COMPUTED_VALUE"""),"1LRmptpZEe1O6Iz3Ffw8MBJYO5YL7PyDMHChcY1EdCZw")</f>
        <v>1LRmptpZEe1O6Iz3Ffw8MBJYO5YL7PyDMHChcY1EdCZw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IFERROR(__xludf.DUMMYFUNCTION("""COMPUTED_VALUE"""),"RemoveDailyCreditLimit")</f>
        <v>RemoveDailyCreditLimit</v>
      </c>
      <c r="C249" t="str">
        <f>IFERROR(__xludf.DUMMYFUNCTION("""COMPUTED_VALUE"""),"1ULQHy38ZnYFvbEI9sm_tNzDsMUyBXbiKYdpGxChGiPs")</f>
        <v>1ULQHy38ZnYFvbEI9sm_tNzDsMUyBXbiKYdpGxChGiPs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IFERROR(__xludf.DUMMYFUNCTION("""COMPUTED_VALUE"""),"RemoveDailyCash")</f>
        <v>RemoveDailyCash</v>
      </c>
      <c r="C250" t="str">
        <f>IFERROR(__xludf.DUMMYFUNCTION("""COMPUTED_VALUE"""),"1gHuqOKbEFaF-FX6M9JRGAEvCfjDZityjkbkB-2tDTN8")</f>
        <v>1gHuqOKbEFaF-FX6M9JRGAEvCfjDZityjkbkB-2tDTN8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IFERROR(__xludf.DUMMYFUNCTION("""COMPUTED_VALUE"""),"RemoveNAV")</f>
        <v>RemoveNAV</v>
      </c>
      <c r="C251" t="str">
        <f>IFERROR(__xludf.DUMMYFUNCTION("""COMPUTED_VALUE"""),"1-90taYQR0ReB1LeWlhD8eXqV-TAgtuWRoC_rfmSUR0E")</f>
        <v>1-90taYQR0ReB1LeWlhD8eXqV-TAgtuWRoC_rfmSUR0E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IFERROR(__xludf.DUMMYFUNCTION("""COMPUTED_VALUE"""),"PortfolioManagement")</f>
        <v>PortfolioManagement</v>
      </c>
      <c r="B252" t="str">
        <f>IFERROR(__xludf.DUMMYFUNCTION("""COMPUTED_VALUE"""),"FilterPM")</f>
        <v>FilterPM</v>
      </c>
      <c r="C252" t="str">
        <f>IFERROR(__xludf.DUMMYFUNCTION("""COMPUTED_VALUE"""),"1Yyicgon40_tYgdmKCkOwwU3pK7CjbU1YFofcQWMeUzY")</f>
        <v>1Yyicgon40_tYgdmKCkOwwU3pK7CjbU1YFofcQWMeUzY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IFERROR(__xludf.DUMMYFUNCTION("""COMPUTED_VALUE"""),"GroupRowPM")</f>
        <v>GroupRowPM</v>
      </c>
      <c r="C253" t="str">
        <f>IFERROR(__xludf.DUMMYFUNCTION("""COMPUTED_VALUE"""),"1f9-1p-_wPNSAH6MBN_WolwNrBbcb5vGR4maJeT6ASzk")</f>
        <v>1f9-1p-_wPNSAH6MBN_WolwNrBbcb5vGR4maJeT6ASzk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IFERROR(__xludf.DUMMYFUNCTION("""COMPUTED_VALUE"""),"Allocation")</f>
        <v>Allocation</v>
      </c>
      <c r="B254" t="str">
        <f>IFERROR(__xludf.DUMMYFUNCTION("""COMPUTED_VALUE"""),"CloseAllocation")</f>
        <v>CloseAllocation</v>
      </c>
      <c r="C254" t="str">
        <f>IFERROR(__xludf.DUMMYFUNCTION("""COMPUTED_VALUE"""),"Undefined")</f>
        <v>Undefined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IFERROR(__xludf.DUMMYFUNCTION("""COMPUTED_VALUE"""),"CheckDashboardWithPM")</f>
        <v>CheckDashboardWithPM</v>
      </c>
      <c r="C255" t="str">
        <f>IFERROR(__xludf.DUMMYFUNCTION("""COMPUTED_VALUE"""),"Undefined")</f>
        <v>Undefined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IFERROR(__xludf.DUMMYFUNCTION("""COMPUTED_VALUE"""),"RemoveFilterPM")</f>
        <v>RemoveFilterPM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IFERROR(__xludf.DUMMYFUNCTION("""COMPUTED_VALUE"""),"CheckSummaryRowsPM")</f>
        <v>CheckSummaryRowsPM</v>
      </c>
      <c r="C257" t="str">
        <f>IFERROR(__xludf.DUMMYFUNCTION("""COMPUTED_VALUE"""),"1FWp2_v19fmVoPIsw_BJhrsAqUEhebfJYo5T1vCK-yMQ")</f>
        <v>1FWp2_v19fmVoPIsw_BJhrsAqUEhebfJYo5T1vCK-yMQ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IFERROR(__xludf.DUMMYFUNCTION("""COMPUTED_VALUE"""),"GeneralLedger")</f>
        <v>GeneralLedger</v>
      </c>
      <c r="B258" t="str">
        <f>IFERROR(__xludf.DUMMYFUNCTION("""COMPUTED_VALUE"""),"CloseGeneralLedger")</f>
        <v>CloseGeneralLedger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IFERROR(__xludf.DUMMYFUNCTION("""COMPUTED_VALUE"""),"Blotter")</f>
        <v>Blotter</v>
      </c>
      <c r="B259" t="str">
        <f>IFERROR(__xludf.DUMMYFUNCTION("""COMPUTED_VALUE"""),"ReplaceStageOrder")</f>
        <v>ReplaceStageOrder</v>
      </c>
      <c r="C259" t="str">
        <f>IFERROR(__xludf.DUMMYFUNCTION("""COMPUTED_VALUE"""),"1chm8mWXPg3RUjpQhkqqLfInlWIGOSnhfKIzNfBTnK_o")</f>
        <v>1chm8mWXPg3RUjpQhkqqLfInlWIGOSnhfKIzNfBTnK_o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IFERROR(__xludf.DUMMYFUNCTION("""COMPUTED_VALUE"""),"VerifyAccountDetails")</f>
        <v>VerifyAccountDetails</v>
      </c>
      <c r="C260" t="str">
        <f>IFERROR(__xludf.DUMMYFUNCTION("""COMPUTED_VALUE"""),"18wq9EBdTjVM_o2NWnHC8C4fw2rRgWfb_MPvfaAm-mJ8")</f>
        <v>18wq9EBdTjVM_o2NWnHC8C4fw2rRgWfb_MPvfaAm-mJ8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IFERROR(__xludf.DUMMYFUNCTION("""COMPUTED_VALUE"""),"TradingTicket")</f>
        <v>TradingTicket</v>
      </c>
      <c r="B261" t="str">
        <f>IFERROR(__xludf.DUMMYFUNCTION("""COMPUTED_VALUE"""),"CreateNewSubOrder")</f>
        <v>CreateNewSubOrder</v>
      </c>
      <c r="C261" t="str">
        <f>IFERROR(__xludf.DUMMYFUNCTION("""COMPUTED_VALUE"""),"1h3kE6mxfRt8AAMF3tzHC-scSdChXooOOld42-4Gv8HA")</f>
        <v>1h3kE6mxfRt8AAMF3tzHC-scSdChXooOOld42-4Gv8HA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IFERROR(__xludf.DUMMYFUNCTION("""COMPUTED_VALUE"""),"CreateTransaction")</f>
        <v>CreateTransaction</v>
      </c>
      <c r="B262" t="str">
        <f>IFERROR(__xludf.DUMMYFUNCTION("""COMPUTED_VALUE"""),"AddNewTransaction")</f>
        <v>AddNewTransaction</v>
      </c>
      <c r="C262" t="str">
        <f>IFERROR(__xludf.DUMMYFUNCTION("""COMPUTED_VALUE"""),"1qGWLtOINiaVtZohaEupJcqLbeUhwVu1Neg32z7LzAwE")</f>
        <v>1qGWLtOINiaVtZohaEupJcqLbeUhwVu1Neg32z7LzAwE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IFERROR(__xludf.DUMMYFUNCTION("""COMPUTED_VALUE"""),"TradeBloomberg")</f>
        <v>TradeBloomberg</v>
      </c>
      <c r="C263" t="str">
        <f>IFERROR(__xludf.DUMMYFUNCTION("""COMPUTED_VALUE"""),"1ggc3C-AgCuq5bg0nI16D-lmZU--83aV_rjtKKrb-K7g")</f>
        <v>1ggc3C-AgCuq5bg0nI16D-lmZU--83aV_rjtKKrb-K7g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IFERROR(__xludf.DUMMYFUNCTION("""COMPUTED_VALUE"""),"ClickSymbolLookup")</f>
        <v>ClickSymbolLookup</v>
      </c>
      <c r="C264" t="str">
        <f>IFERROR(__xludf.DUMMYFUNCTION("""COMPUTED_VALUE"""),"10yCku8yOnXCUARqi5iHNxNAMwOoAgJ1OX-mHsxrlJxc")</f>
        <v>10yCku8yOnXCUARqi5iHNxNAMwOoAgJ1OX-mHsxrlJxc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IFERROR(__xludf.DUMMYFUNCTION("""COMPUTED_VALUE"""),"PricingServer")</f>
        <v>PricingServer</v>
      </c>
      <c r="B265" t="str">
        <f>IFERROR(__xludf.DUMMYFUNCTION("""COMPUTED_VALUE"""),"RestartPricingServer")</f>
        <v>RestartPricingServer</v>
      </c>
      <c r="C265" t="str">
        <f>IFERROR(__xludf.DUMMYFUNCTION("""COMPUTED_VALUE"""),"14XPNoKflHWgrJhazDvDpyN_v9J_0zTxyB_0TyM3b104")</f>
        <v>14XPNoKflHWgrJhazDvDpyN_v9J_0zTxyB_0TyM3b104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IFERROR(__xludf.DUMMYFUNCTION("""COMPUTED_VALUE"""),"TradeServer")</f>
        <v>TradeServer</v>
      </c>
      <c r="B266" t="str">
        <f>IFERROR(__xludf.DUMMYFUNCTION("""COMPUTED_VALUE"""),"RestartServer")</f>
        <v>RestartServer</v>
      </c>
      <c r="C266" t="str">
        <f>IFERROR(__xludf.DUMMYFUNCTION("""COMPUTED_VALUE"""),"16l6QdcvhT88EvBSovIsD4-TLFFSBt3xR3q6U11f9nZw")</f>
        <v>16l6QdcvhT88EvBSovIsD4-TLFFSBt3xR3q6U11f9nZw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IFERROR(__xludf.DUMMYFUNCTION("""COMPUTED_VALUE"""),"PTT")</f>
        <v>PTT</v>
      </c>
      <c r="B267" t="str">
        <f>IFERROR(__xludf.DUMMYFUNCTION("""COMPUTED_VALUE"""),"CalculatePTT")</f>
        <v>CalculatePTT</v>
      </c>
      <c r="C267" t="str">
        <f>IFERROR(__xludf.DUMMYFUNCTION("""COMPUTED_VALUE"""),"1lKTIY25KFKUdpe6XoZciVb0-8L9erXZZRMEZ8RqdFuk")</f>
        <v>1lKTIY25KFKUdpe6XoZciVb0-8L9erXZZRMEZ8RqdFuk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IFERROR(__xludf.DUMMYFUNCTION("""COMPUTED_VALUE"""),"PTT")</f>
        <v>PTT</v>
      </c>
      <c r="B268" t="str">
        <f>IFERROR(__xludf.DUMMYFUNCTION("""COMPUTED_VALUE"""),"TradeUsingPTT")</f>
        <v>TradeUsingPTT</v>
      </c>
      <c r="C268" t="str">
        <f>IFERROR(__xludf.DUMMYFUNCTION("""COMPUTED_VALUE"""),"1Y_osOCfGaPjTXREAr1CRTQXuy2-Bq6Aj1Wq4Vr7xLB0")</f>
        <v>1Y_osOCfGaPjTXREAr1CRTQXuy2-Bq6Aj1Wq4Vr7xLB0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IFERROR(__xludf.DUMMYFUNCTION("""COMPUTED_VALUE"""),"StageOrderUsingPTT")</f>
        <v>StageOrderUsingPTT</v>
      </c>
      <c r="C269" t="str">
        <f>IFERROR(__xludf.DUMMYFUNCTION("""COMPUTED_VALUE"""),"1KJoqGwoGAbW-k0cws1grduypgTSNep_spZkLm2mnXIY")</f>
        <v>1KJoqGwoGAbW-k0cws1grduypgTSNep_spZkLm2mnXIY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IFERROR(__xludf.DUMMYFUNCTION("""COMPUTED_VALUE"""),"CreateOrderPTT")</f>
        <v>CreateOrderPTT</v>
      </c>
      <c r="C270" t="str">
        <f>IFERROR(__xludf.DUMMYFUNCTION("""COMPUTED_VALUE"""),"1rKKuHwia87Iph96Yr0B2xwHIwU4r2nE-kwzrWqfsFO0")</f>
        <v>1rKKuHwia87Iph96Yr0B2xwHIwU4r2nE-kwzrWqfsFO0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IFERROR(__xludf.DUMMYFUNCTION("""COMPUTED_VALUE"""),"TradePTT")</f>
        <v>TradePTT</v>
      </c>
      <c r="C271" t="str">
        <f>IFERROR(__xludf.DUMMYFUNCTION("""COMPUTED_VALUE"""),"1kvM2eaDgA1XPZr4DgAR7VdeO81ykGM2ClEe0AueBLtI")</f>
        <v>1kvM2eaDgA1XPZr4DgAR7VdeO81ykGM2ClEe0AueBLtI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IFERROR(__xludf.DUMMYFUNCTION("""COMPUTED_VALUE"""),"VerifyPTT")</f>
        <v>VerifyPTT</v>
      </c>
      <c r="C272" t="str">
        <f>IFERROR(__xludf.DUMMYFUNCTION("""COMPUTED_VALUE"""),"1zobR6S1l9oHcDvoWFwMx7noG6NNOhCMh6AHfjyl5ouM")</f>
        <v>1zobR6S1l9oHcDvoWFwMx7noG6NNOhCMh6AHfjyl5ouM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IFERROR(__xludf.DUMMYFUNCTION("""COMPUTED_VALUE"""),"PortfolioManagement")</f>
        <v>PortfolioManagement</v>
      </c>
      <c r="B273" t="str">
        <f>IFERROR(__xludf.DUMMYFUNCTION("""COMPUTED_VALUE"""),"OpenPTTFromPM")</f>
        <v>OpenPTTFromPM</v>
      </c>
      <c r="C273" t="str">
        <f>IFERROR(__xludf.DUMMYFUNCTION("""COMPUTED_VALUE"""),"1lroslTGp1-X34JkAjgjr_qgu9aTB7y01mA3IPcyUxe8")</f>
        <v>1lroslTGp1-X34JkAjgjr_qgu9aTB7y01mA3IPcyUxe8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IFERROR(__xludf.DUMMYFUNCTION("""COMPUTED_VALUE"""),"OpenMultiTTFromPTT")</f>
        <v>OpenMultiTTFromPTT</v>
      </c>
      <c r="C274" t="str">
        <f>IFERROR(__xludf.DUMMYFUNCTION("""COMPUTED_VALUE"""),"18n9jM99QvAs2Zd7W22CLAHTJnjnP7zY9Zd3jkfNyBdA")</f>
        <v>18n9jM99QvAs2Zd7W22CLAHTJnjnP7zY9Zd3jkfNyBdA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IFERROR(__xludf.DUMMYFUNCTION("""COMPUTED_VALUE"""),"SelectMultiTT")</f>
        <v>SelectMultiTT</v>
      </c>
      <c r="C275" t="str">
        <f>IFERROR(__xludf.DUMMYFUNCTION("""COMPUTED_VALUE"""),"1KePLyYIHyMPa4vAGK8j2lktW3nYqSRgJoBOwwl8Mrcg")</f>
        <v>1KePLyYIHyMPa4vAGK8j2lktW3nYqSRgJoBOwwl8Mrcg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IFERROR(__xludf.DUMMYFUNCTION("""COMPUTED_VALUE"""),"EditMultiTT")</f>
        <v>EditMultiTT</v>
      </c>
      <c r="C276" t="str">
        <f>IFERROR(__xludf.DUMMYFUNCTION("""COMPUTED_VALUE"""),"1ylEeWzbM5-H-f9HQ0hqVcYZETYY7A6yTazfTtjL4Hbg")</f>
        <v>1ylEeWzbM5-H-f9HQ0hqVcYZETYY7A6yTazfTtjL4Hbg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IFERROR(__xludf.DUMMYFUNCTION("""COMPUTED_VALUE"""),"MultiTradingTicket")</f>
        <v>MultiTradingTicket</v>
      </c>
      <c r="B277" t="str">
        <f>IFERROR(__xludf.DUMMYFUNCTION("""COMPUTED_VALUE"""),"EditTradeUsingMTT")</f>
        <v>EditTradeUsingMTT</v>
      </c>
      <c r="C277" t="str">
        <f>IFERROR(__xludf.DUMMYFUNCTION("""COMPUTED_VALUE"""),"1oclpANwYA5vyF0G5v4OwaiuA7mu0oFb6MtNLmKeJRxg")</f>
        <v>1oclpANwYA5vyF0G5v4OwaiuA7mu0oFb6MtNLmKeJRxg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IFERROR(__xludf.DUMMYFUNCTION("""COMPUTED_VALUE"""),"MultiTradingTicket")</f>
        <v>MultiTradingTicket</v>
      </c>
      <c r="B278" t="str">
        <f>IFERROR(__xludf.DUMMYFUNCTION("""COMPUTED_VALUE"""),"SelectTradeUsingMTT")</f>
        <v>SelectTradeUsingMTT</v>
      </c>
      <c r="C278" t="str">
        <f>IFERROR(__xludf.DUMMYFUNCTION("""COMPUTED_VALUE"""),"1KP7yPihDZOgWG3Z2G-4AYFr4Zz7JxlZq-euRNvEeEBo")</f>
        <v>1KP7yPihDZOgWG3Z2G-4AYFr4Zz7JxlZq-euRNvEeEBo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IFERROR(__xludf.DUMMYFUNCTION("""COMPUTED_VALUE"""),"GetPriceUsingMTT")</f>
        <v>GetPriceUsingMTT</v>
      </c>
      <c r="C279" t="str">
        <f>IFERROR(__xludf.DUMMYFUNCTION("""COMPUTED_VALUE"""),"1w1_t3dujSKMzyrGYdqX8iDQHLU7PoIaB1FNC_R3c5lE")</f>
        <v>1w1_t3dujSKMzyrGYdqX8iDQHLU7PoIaB1FNC_R3c5lE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IFERROR(__xludf.DUMMYFUNCTION("""COMPUTED_VALUE"""),"DoneAwayUsingMTT")</f>
        <v>DoneAwayUsingMTT</v>
      </c>
      <c r="C280" t="str">
        <f>IFERROR(__xludf.DUMMYFUNCTION("""COMPUTED_VALUE"""),"1_ufv_nXKd3ZNaDbziIFtTWVO12weR3P5utLmJsphE1Q")</f>
        <v>1_ufv_nXKd3ZNaDbziIFtTWVO12weR3P5utLmJsphE1Q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IFERROR(__xludf.DUMMYFUNCTION("""COMPUTED_VALUE"""),"SendOrderUsingMTT")</f>
        <v>SendOrderUsingMTT</v>
      </c>
      <c r="C281" t="str">
        <f>IFERROR(__xludf.DUMMYFUNCTION("""COMPUTED_VALUE"""),"1gjYHBk2Re526Plkd-9T2Fcp82W2M_xS30ry2LdO1Mak")</f>
        <v>1gjYHBk2Re526Plkd-9T2Fcp82W2M_xS30ry2LdO1Mak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IFERROR(__xludf.DUMMYFUNCTION("""COMPUTED_VALUE"""),"Allocation")</f>
        <v>Allocation</v>
      </c>
      <c r="B282" t="str">
        <f>IFERROR(__xludf.DUMMYFUNCTION("""COMPUTED_VALUE"""),"UpdateGRAccountValue")</f>
        <v>UpdateGRAccountValue</v>
      </c>
      <c r="C282" t="str">
        <f>IFERROR(__xludf.DUMMYFUNCTION("""COMPUTED_VALUE"""),"1IYiRc1wyd9LDqwhFYa5t6wU_7GkLccIcXcey1uFWQcs")</f>
        <v>1IYiRc1wyd9LDqwhFYa5t6wU_7GkLccIcXcey1uFWQcs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IFERROR(__xludf.DUMMYFUNCTION("""COMPUTED_VALUE"""),"BulkChangeTradeDoneAway")</f>
        <v>BulkChangeTradeDoneAway</v>
      </c>
      <c r="C283" t="str">
        <f>IFERROR(__xludf.DUMMYFUNCTION("""COMPUTED_VALUE"""),"1URgx1zFx0u42-s4fzLq7KJ4ZFAiaLFy6--zd2Ixf-3I")</f>
        <v>1URgx1zFx0u42-s4fzLq7KJ4ZFAiaLFy6--zd2Ixf-3I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IFERROR(__xludf.DUMMYFUNCTION("""COMPUTED_VALUE"""),"UpdateGRStrategyValue")</f>
        <v>UpdateGRStrategyValue</v>
      </c>
      <c r="C284" t="str">
        <f>IFERROR(__xludf.DUMMYFUNCTION("""COMPUTED_VALUE"""),"1cB211gXXr66rCjnYXDxwr00xlzTWQnE6ktfSHSP3imU")</f>
        <v>1cB211gXXr66rCjnYXDxwr00xlzTWQnE6ktfSHSP3imU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IFERROR(__xludf.DUMMYFUNCTION("""COMPUTED_VALUE"""),"UpdateGRDefaultRule")</f>
        <v>UpdateGRDefaultRule</v>
      </c>
      <c r="C285" t="str">
        <f>IFERROR(__xludf.DUMMYFUNCTION("""COMPUTED_VALUE"""),"1Z2A-X9HWO-7HYvpOHR7lr-bHADqfo3GllKZXWPHIYYE")</f>
        <v>1Z2A-X9HWO-7HYvpOHR7lr-bHADqfo3GllKZXWPHIYYE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IFERROR(__xludf.DUMMYFUNCTION("""COMPUTED_VALUE"""),"UpdateGeneralRulePref")</f>
        <v>UpdateGeneralRulePref</v>
      </c>
      <c r="C286" t="str">
        <f>IFERROR(__xludf.DUMMYFUNCTION("""COMPUTED_VALUE"""),"Undefined")</f>
        <v>Undefined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IFERROR(__xludf.DUMMYFUNCTION("""COMPUTED_VALUE"""),"Blotter")</f>
        <v>Blotter</v>
      </c>
      <c r="B287" t="str">
        <f>IFERROR(__xludf.DUMMYFUNCTION("""COMPUTED_VALUE"""),"MultiTradingTicketFromBlotter")</f>
        <v>MultiTradingTicketFromBlotter</v>
      </c>
      <c r="C287" t="str">
        <f>IFERROR(__xludf.DUMMYFUNCTION("""COMPUTED_VALUE"""),"1NHtfDRa6f4QyIWIBvHICcov2a9oblvqOkKtUi021afg")</f>
        <v>1NHtfDRa6f4QyIWIBvHICcov2a9oblvqOkKtUi021afg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IFERROR(__xludf.DUMMYFUNCTION("""COMPUTED_VALUE"""),"CleanUp")</f>
        <v>CleanUp</v>
      </c>
      <c r="B288" t="str">
        <f>IFERROR(__xludf.DUMMYFUNCTION("""COMPUTED_VALUE"""),"DeleteClientData")</f>
        <v>DeleteClientData</v>
      </c>
      <c r="C288" t="str">
        <f>IFERROR(__xludf.DUMMYFUNCTION("""COMPUTED_VALUE"""),"18NzJZgPH05B2t6ue8bOkcdhhyiudlegCZmkV-VWizvk")</f>
        <v>18NzJZgPH05B2t6ue8bOkcdhhyiudlegCZmkV-VWizvk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IFERROR(__xludf.DUMMYFUNCTION("""COMPUTED_VALUE"""),"ModifyGRPreferenceValues")</f>
        <v>ModifyGRPreferenceValues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IFERROR(__xludf.DUMMYFUNCTION("""COMPUTED_VALUE"""),"AddMFPreferences")</f>
        <v>AddMFPreferences</v>
      </c>
      <c r="C290" t="str">
        <f>IFERROR(__xludf.DUMMYFUNCTION("""COMPUTED_VALUE"""),"1va6752DENAYeVhS50lUAkhwGSYev0Xktjtar45RqPkk")</f>
        <v>1va6752DENAYeVhS50lUAkhwGSYev0Xktjtar45RqPkk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IFERROR(__xludf.DUMMYFUNCTION("""COMPUTED_VALUE"""),"AddMFPreferenceToolbar")</f>
        <v>AddMFPreferenceToolbar</v>
      </c>
      <c r="C291" t="str">
        <f>IFERROR(__xludf.DUMMYFUNCTION("""COMPUTED_VALUE"""),"1Ry0ZELbqu1Mwmjv4apaY0huRg4RzMnHcrAL-FcEW65w")</f>
        <v>1Ry0ZELbqu1Mwmjv4apaY0huRg4RzMnHcrAL-FcEW65w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IFERROR(__xludf.DUMMYFUNCTION("""COMPUTED_VALUE"""),"DeleteMFPreferences")</f>
        <v>DeleteMFPreferences</v>
      </c>
      <c r="C292" t="str">
        <f>IFERROR(__xludf.DUMMYFUNCTION("""COMPUTED_VALUE"""),"1mCRD3EmDUNhyzjpvHK_KjUJHB78N4X4a3VHjm7KfAxk")</f>
        <v>1mCRD3EmDUNhyzjpvHK_KjUJHB78N4X4a3VHjm7KfAxk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IFERROR(__xludf.DUMMYFUNCTION("""COMPUTED_VALUE"""),"DeleteMFPreferenceToolbar")</f>
        <v>DeleteMFPreferenceToolbar</v>
      </c>
      <c r="C293" t="str">
        <f>IFERROR(__xludf.DUMMYFUNCTION("""COMPUTED_VALUE"""),"1bQnvNaxzPwb6m0rx94FNm85vCLF4YgQkqftXa453b-w")</f>
        <v>1bQnvNaxzPwb6m0rx94FNm85vCLF4YgQkqftXa453b-w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IFERROR(__xludf.DUMMYFUNCTION("""COMPUTED_VALUE"""),"RenameMFPreferences")</f>
        <v>RenameMFPreferences</v>
      </c>
      <c r="C294" t="str">
        <f>IFERROR(__xludf.DUMMYFUNCTION("""COMPUTED_VALUE"""),"1qEjbJ2hmw-Bv7YoPCV0P4aY4X_s5Rd9B3cJaWt50vOc")</f>
        <v>1qEjbJ2hmw-Bv7YoPCV0P4aY4X_s5Rd9B3cJaWt50vOc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IFERROR(__xludf.DUMMYFUNCTION("""COMPUTED_VALUE"""),"SaveCloseMFPreference")</f>
        <v>SaveCloseMFPreference</v>
      </c>
      <c r="C295" t="str">
        <f>IFERROR(__xludf.DUMMYFUNCTION("""COMPUTED_VALUE"""),"Undefined")</f>
        <v>Undefined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IFERROR(__xludf.DUMMYFUNCTION("""COMPUTED_VALUE"""),"SetMFPrefAccountValues")</f>
        <v>SetMFPrefAccountValues</v>
      </c>
      <c r="C296" t="str">
        <f>IFERROR(__xludf.DUMMYFUNCTION("""COMPUTED_VALUE"""),"14arkgkANgSlPx3msdbjJS_BCNAV0D0bj0ilVQGyyV48")</f>
        <v>14arkgkANgSlPx3msdbjJS_BCNAV0D0bj0ilVQGyyV48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IFERROR(__xludf.DUMMYFUNCTION("""COMPUTED_VALUE"""),"ModifyMFPrefGeneralRuleValues")</f>
        <v>ModifyMFPrefGeneralRuleValues</v>
      </c>
      <c r="C297" t="str">
        <f>IFERROR(__xludf.DUMMYFUNCTION("""COMPUTED_VALUE"""),"Undefined")</f>
        <v>Undefined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IFERROR(__xludf.DUMMYFUNCTION("""COMPUTED_VALUE"""),"SetMFPrefStrategyValues")</f>
        <v>SetMFPrefStrategyValues</v>
      </c>
      <c r="C298" t="str">
        <f>IFERROR(__xludf.DUMMYFUNCTION("""COMPUTED_VALUE"""),"1yFCtsHtjse7L-TUP_xVh4TQ6B7h2cpfVQedPGV6Hltk")</f>
        <v>1yFCtsHtjse7L-TUP_xVh4TQ6B7h2cpfVQedPGV6Hltk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IFERROR(__xludf.DUMMYFUNCTION("""COMPUTED_VALUE"""),"SetMFPrefGeneralRule")</f>
        <v>SetMFPrefGeneralRule</v>
      </c>
      <c r="C299" t="str">
        <f>IFERROR(__xludf.DUMMYFUNCTION("""COMPUTED_VALUE"""),"1fQ4P6Q-mjxDj3SOLhADw90TKMmoQO5xAkvHFQA50RWM")</f>
        <v>1fQ4P6Q-mjxDj3SOLhADw90TKMmoQO5xAkvHFQA50RWM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IFERROR(__xludf.DUMMYFUNCTION("""COMPUTED_VALUE"""),"SetMFPrefFundDistribution")</f>
        <v>SetMFPrefFundDistribution</v>
      </c>
      <c r="C300" t="str">
        <f>IFERROR(__xludf.DUMMYFUNCTION("""COMPUTED_VALUE"""),"1FxEmWS_WxFMiePuiEZ3_Fkd4eRckfCHzv-PzlXxgFEA")</f>
        <v>1FxEmWS_WxFMiePuiEZ3_Fkd4eRckfCHzv-PzlXxgFEA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IFERROR(__xludf.DUMMYFUNCTION("""COMPUTED_VALUE"""),"SetMFPreferencesDefaultRule")</f>
        <v>SetMFPreferencesDefaultRule</v>
      </c>
      <c r="C301" t="str">
        <f>IFERROR(__xludf.DUMMYFUNCTION("""COMPUTED_VALUE"""),"10NYzauTdFcKUdkzKWlheqOMWeWEnOr2oMx2iDpeXXTg")</f>
        <v>10NYzauTdFcKUdkzKWlheqOMWeWEnOr2oMx2iDpeXXTg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IFERROR(__xludf.DUMMYFUNCTION("""COMPUTED_VALUE"""),"SetMFPrefFundDefaultRule")</f>
        <v>SetMFPrefFundDefaultRule</v>
      </c>
      <c r="C302" t="str">
        <f>IFERROR(__xludf.DUMMYFUNCTION("""COMPUTED_VALUE"""),"1tqkyJbl0bkgE0Xw_h7KPwQVanQUCDA6ZpILYHOywock")</f>
        <v>1tqkyJbl0bkgE0Xw_h7KPwQVanQUCDA6ZpILYHOywock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IFERROR(__xludf.DUMMYFUNCTION("""COMPUTED_VALUE"""),"PTT")</f>
        <v>PTT</v>
      </c>
      <c r="B303" t="str">
        <f>IFERROR(__xludf.DUMMYFUNCTION("""COMPUTED_VALUE"""),"SetAccountFactor")</f>
        <v>SetAccountFactor</v>
      </c>
      <c r="C303" t="str">
        <f>IFERROR(__xludf.DUMMYFUNCTION("""COMPUTED_VALUE"""),"1cODN6ucPYWbxoLsX1rQvJGCGAV6TOEenIeykDlOND3A")</f>
        <v>1cODN6ucPYWbxoLsX1rQvJGCGAV6TOEenIeykDlOND3A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IFERROR(__xludf.DUMMYFUNCTION("""COMPUTED_VALUE"""),"ClearPrefetchFilters")</f>
        <v>ClearPrefetchFilters</v>
      </c>
      <c r="C304" t="str">
        <f>IFERROR(__xludf.DUMMYFUNCTION("""COMPUTED_VALUE"""),"Undefined")</f>
        <v>Undefined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IFERROR(__xludf.DUMMYFUNCTION("""COMPUTED_VALUE"""),"ExpandCollapseAllUnallocated")</f>
        <v>ExpandCollapseAllUnallocated</v>
      </c>
      <c r="C305" t="str">
        <f>IFERROR(__xludf.DUMMYFUNCTION("""COMPUTED_VALUE"""),"13vYOn1vp7ZLlp6ZEZA8Kn_yTUR7Q5ZSQfYP4k2NK3Mc")</f>
        <v>13vYOn1vp7ZLlp6ZEZA8Kn_yTUR7Q5ZSQfYP4k2NK3Mc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IFERROR(__xludf.DUMMYFUNCTION("""COMPUTED_VALUE"""),"ExpandCollapseAllAllocated")</f>
        <v>ExpandCollapseAllAllocated</v>
      </c>
      <c r="C306" t="str">
        <f>IFERROR(__xludf.DUMMYFUNCTION("""COMPUTED_VALUE"""),"1Yf-1PQsF8BXP-8l51qBj-t3VUktFVDtpeBc9m2usM_0")</f>
        <v>1Yf-1PQsF8BXP-8l51qBj-t3VUktFVDtpeBc9m2usM_0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IFERROR(__xludf.DUMMYFUNCTION("""COMPUTED_VALUE"""),"GenerateCashTransaction")</f>
        <v>GenerateCashTransaction</v>
      </c>
      <c r="C307" t="str">
        <f>IFERROR(__xludf.DUMMYFUNCTION("""COMPUTED_VALUE"""),"1KOvj3Mc_p9Dobx8L9x1S-2V0RfTN9eoQyG_29ny5eMA")</f>
        <v>1KOvj3Mc_p9Dobx8L9x1S-2V0RfTN9eoQyG_29ny5eMA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IFERROR(__xludf.DUMMYFUNCTION("""COMPUTED_VALUE"""),"SaveAllocation")</f>
        <v>SaveAllocation</v>
      </c>
      <c r="C308" t="str">
        <f>IFERROR(__xludf.DUMMYFUNCTION("""COMPUTED_VALUE"""),"Undefined")</f>
        <v>Undefined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IFERROR(__xludf.DUMMYFUNCTION("""COMPUTED_VALUE"""),"UnallocateWithOutSave")</f>
        <v>UnallocateWithOutSave</v>
      </c>
      <c r="C309" t="str">
        <f>IFERROR(__xludf.DUMMYFUNCTION("""COMPUTED_VALUE"""),"19cVarbOuQNlg9tbxHuhn3wzrl0Dl0aQ74q1jmyomP4g")</f>
        <v>19cVarbOuQNlg9tbxHuhn3wzrl0Dl0aQ74q1jmyomP4g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IFERROR(__xludf.DUMMYFUNCTION("""COMPUTED_VALUE"""),"TradeServer")</f>
        <v>TradeServer</v>
      </c>
      <c r="B310" t="str">
        <f>IFERROR(__xludf.DUMMYFUNCTION("""COMPUTED_VALUE"""),"UpdateServerConfig")</f>
        <v>UpdateServerConfig</v>
      </c>
      <c r="C310" t="str">
        <f>IFERROR(__xludf.DUMMYFUNCTION("""COMPUTED_VALUE"""),"1ntguYqi1K2vWfsTRW2CtSm4KINPmjFS_eOvtKxY85ZQ")</f>
        <v>1ntguYqi1K2vWfsTRW2CtSm4KINPmjFS_eOvtKxY85ZQ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IFERROR(__xludf.DUMMYFUNCTION("""COMPUTED_VALUE"""),"PricingServer")</f>
        <v>PricingServer</v>
      </c>
      <c r="B311" t="str">
        <f>IFERROR(__xludf.DUMMYFUNCTION("""COMPUTED_VALUE"""),"UpdatePricingConfig")</f>
        <v>UpdatePricingConfig</v>
      </c>
      <c r="C311" t="str">
        <f>IFERROR(__xludf.DUMMYFUNCTION("""COMPUTED_VALUE"""),"1-2O1thHoOe8Jm1Wv3Fb4tCm4pWcUbZihcfSvem_Boyg")</f>
        <v>1-2O1thHoOe8Jm1Wv3Fb4tCm4pWcUbZihcfSvem_Boyg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IFERROR(__xludf.DUMMYFUNCTION("""COMPUTED_VALUE"""),"Expnl")</f>
        <v>Expnl</v>
      </c>
      <c r="B312" t="str">
        <f>IFERROR(__xludf.DUMMYFUNCTION("""COMPUTED_VALUE"""),"UpdateExpnlConfig")</f>
        <v>UpdateExpnlConfig</v>
      </c>
      <c r="C312" t="str">
        <f>IFERROR(__xludf.DUMMYFUNCTION("""COMPUTED_VALUE"""),"1ZV-NcVGXqPhAJDn1HEBrg0nS-ePPBIhT2PqF_bzjjbI")</f>
        <v>1ZV-NcVGXqPhAJDn1HEBrg0nS-ePPBIhT2PqF_bzjjbI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IFERROR(__xludf.DUMMYFUNCTION("""COMPUTED_VALUE"""),"PranaClient")</f>
        <v>PranaClient</v>
      </c>
      <c r="B313" t="str">
        <f>IFERROR(__xludf.DUMMYFUNCTION("""COMPUTED_VALUE"""),"UpdateClientConfig")</f>
        <v>UpdateClientConfig</v>
      </c>
      <c r="C313" t="str">
        <f>IFERROR(__xludf.DUMMYFUNCTION("""COMPUTED_VALUE"""),"1frY1LhLHMBPkCYhsVVAsBHFT2rlJyiEXFkSkzxH1Gds")</f>
        <v>1frY1LhLHMBPkCYhsVVAsBHFT2rlJyiEXFkSkzxH1Gds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IFERROR(__xludf.DUMMYFUNCTION("""COMPUTED_VALUE"""),"PortfolioManagement")</f>
        <v>PortfolioManagement</v>
      </c>
      <c r="B314" t="str">
        <f>IFERROR(__xludf.DUMMYFUNCTION("""COMPUTED_VALUE"""),"OpenCreateTransactionFromPM")</f>
        <v>OpenCreateTransactionFromPM</v>
      </c>
      <c r="C314" t="str">
        <f>IFERROR(__xludf.DUMMYFUNCTION("""COMPUTED_VALUE"""),"Undefined")</f>
        <v>Undefined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IFERROR(__xludf.DUMMYFUNCTION("""COMPUTED_VALUE"""),"1hwn8YF0CJ2vMWiEWuMugnRzYhgCmVscoVCcOJ02qeec")</f>
        <v>1hwn8YF0CJ2vMWiEWuMugnRzYhgCmVscoVCcOJ02qeec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IFERROR(__xludf.DUMMYFUNCTION("""COMPUTED_VALUE"""),"16e4g-RAoYjoWitnDJ9y3fFYf3SAe4_CsF6ky1sSABkc")</f>
        <v>16e4g-RAoYjoWitnDJ9y3fFYf3SAe4_CsF6ky1sSABkc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IFERROR(__xludf.DUMMYFUNCTION("""COMPUTED_VALUE"""),"1hAoKGRhAfXB8jHJT_UcDFw8-xg_dAOnRuzX6lewOyc4")</f>
        <v>1hAoKGRhAfXB8jHJT_UcDFw8-xg_dAOnRuzX6lewOyc4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IFERROR(__xludf.DUMMYFUNCTION("""COMPUTED_VALUE"""),"1gSE_3bNggHmnsbG6fS9t4pXwl5etTuSELL1JWFBMCMo")</f>
        <v>1gSE_3bNggHmnsbG6fS9t4pXwl5etTuSELL1JWFBMCMo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IFERROR(__xludf.DUMMYFUNCTION("""COMPUTED_VALUE"""),"1mVIjr7WiCUI_8T1Nu9kLLd9RyRky8B0dpiVPi39wPsQ")</f>
        <v>1mVIjr7WiCUI_8T1Nu9kLLd9RyRky8B0dpiVPi39wPsQ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IFERROR(__xludf.DUMMYFUNCTION("""COMPUTED_VALUE"""),"1SPVn3fs4LD-sB1fNGx0hjylZj_EPXAuPw12tQSsykLE")</f>
        <v>1SPVn3fs4LD-sB1fNGx0hjylZj_EPXAuPw12tQSsykLE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IFERROR(__xludf.DUMMYFUNCTION("""COMPUTED_VALUE"""),"1EvRy_aXh9WrXyZvrkdk38cDpdJw5quK_eZf3ga9Uq-0")</f>
        <v>1EvRy_aXh9WrXyZvrkdk38cDpdJw5quK_eZf3ga9Uq-0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IFERROR(__xludf.DUMMYFUNCTION("""COMPUTED_VALUE"""),"1pC4k61XEpSu9UFhSg1vDsoE5sNKd6oFM8IQAnmCT3IA")</f>
        <v>1pC4k61XEpSu9UFhSg1vDsoE5sNKd6oFM8IQAnmCT3IA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IFERROR(__xludf.DUMMYFUNCTION("""COMPUTED_VALUE"""),"1r-jMuudozlz8r2zrwJ2PjOPCk616iGWZcBg4_ad6oSg")</f>
        <v>1r-jMuudozlz8r2zrwJ2PjOPCk616iGWZcBg4_ad6oSg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IFERROR(__xludf.DUMMYFUNCTION("""COMPUTED_VALUE"""),"1jrQw598shWWXw6ZjU8Px2JuS2qONwaexZdAGHbU5sdM")</f>
        <v>1jrQw598shWWXw6ZjU8Px2JuS2qONwaexZdAGHbU5sdM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IFERROR(__xludf.DUMMYFUNCTION("""COMPUTED_VALUE"""),"1EDJvzKHMHo1Dv3IYf4bbQ2XiEIL8o1Wsf4PwuQirIEM")</f>
        <v>1EDJvzKHMHo1Dv3IYf4bbQ2XiEIL8o1Wsf4PwuQirIEM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IFERROR(__xludf.DUMMYFUNCTION("""COMPUTED_VALUE"""),"1VRK3w9-AlLx6tene3e2MfXjazMUBDHk-xx5pfFTsprs")</f>
        <v>1VRK3w9-AlLx6tene3e2MfXjazMUBDHk-xx5pfFTsprs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IFERROR(__xludf.DUMMYFUNCTION("""COMPUTED_VALUE"""),"1Y-B9aR4y4vzlZUqWLoxW-jKdnha_AYEBG-4WGQ_19hk")</f>
        <v>1Y-B9aR4y4vzlZUqWLoxW-jKdnha_AYEBG-4WGQ_19hk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IFERROR(__xludf.DUMMYFUNCTION("""COMPUTED_VALUE"""),"1Kwn0Qzs9hDRfphqulV-JqNQiiCzjrOEwF0oAX3LbYDc")</f>
        <v>1Kwn0Qzs9hDRfphqulV-JqNQiiCzjrOEwF0oAX3LbYDc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IFERROR(__xludf.DUMMYFUNCTION("""COMPUTED_VALUE"""),"1tRj8lXNex06fWnQVGrX5I5OPI78adr3XFcJK1h8rIHg")</f>
        <v>1tRj8lXNex06fWnQVGrX5I5OPI78adr3XFcJK1h8rIHg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IFERROR(__xludf.DUMMYFUNCTION("""COMPUTED_VALUE"""),"1-HJfPPk4JKRUN4RTdsb-f3wQPOfEmuaW1ze0BpTGTUo")</f>
        <v>1-HJfPPk4JKRUN4RTdsb-f3wQPOfEmuaW1ze0BpTGTUo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IFERROR(__xludf.DUMMYFUNCTION("""COMPUTED_VALUE"""),"14Tygy0EYVLe0QC_N08Tfbzy9GPatKGdeJDzdn55gASw")</f>
        <v>14Tygy0EYVLe0QC_N08Tfbzy9GPatKGdeJDzdn55gASw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IFERROR(__xludf.DUMMYFUNCTION("""COMPUTED_VALUE"""),"1pycFZUjkr7vdJD6eubKHogcFpDbgMUN3smIZ8Rm_yco")</f>
        <v>1pycFZUjkr7vdJD6eubKHogcFpDbgMUN3smIZ8Rm_yco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IFERROR(__xludf.DUMMYFUNCTION("""COMPUTED_VALUE"""),"1HpQVbf8W4GajTSIC8kGF1tH3WnFo6pK6B7uke36ir2A")</f>
        <v>1HpQVbf8W4GajTSIC8kGF1tH3WnFo6pK6B7uke36ir2A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IFERROR(__xludf.DUMMYFUNCTION("""COMPUTED_VALUE"""),"1LZNbFC1PnuaPrnBTiS7cPn77JWS5KamtO5NC0K2w_4U")</f>
        <v>1LZNbFC1PnuaPrnBTiS7cPn77JWS5KamtO5NC0K2w_4U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IFERROR(__xludf.DUMMYFUNCTION("""COMPUTED_VALUE"""),"1AhEe6J2rslqa3BzEP_7UvQ7jPy4A-eMiqZrnKYFwzsA")</f>
        <v>1AhEe6J2rslqa3BzEP_7UvQ7jPy4A-eMiqZrnKYFwzsA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IFERROR(__xludf.DUMMYFUNCTION("""COMPUTED_VALUE"""),"10sowRLCM7YJ-Xy92okzSPlfXQ3p_gxUmmlK1pmugO1w")</f>
        <v>10sowRLCM7YJ-Xy92okzSPlfXQ3p_gxUmmlK1pmugO1w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IFERROR(__xludf.DUMMYFUNCTION("""COMPUTED_VALUE"""),"1LTux-Q7oooaqTo92O02j7zzAAWt68sxzlbqHEjlsOHQ")</f>
        <v>1LTux-Q7oooaqTo92O02j7zzAAWt68sxzlbqHEjlsOHQ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IFERROR(__xludf.DUMMYFUNCTION("""COMPUTED_VALUE"""),"ThirdPartyWork")</f>
        <v>ThirdPartyWork</v>
      </c>
      <c r="C348" t="str">
        <f>IFERROR(__xludf.DUMMYFUNCTION("""COMPUTED_VALUE"""),"Undefined")</f>
        <v>Undefined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IFERROR(__xludf.DUMMYFUNCTION("""COMPUTED_VALUE"""),"Automation")</f>
        <v>Automation</v>
      </c>
      <c r="C349" t="str">
        <f>IFERROR(__xludf.DUMMYFUNCTION("""COMPUTED_VALUE"""),"Undefined")</f>
        <v>Undefined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IFERROR(__xludf.DUMMYFUNCTION("""COMPUTED_VALUE"""),"ThirdPartyManagerFunction")</f>
        <v>ThirdPartyManagerFunction</v>
      </c>
      <c r="C350" t="str">
        <f>IFERROR(__xludf.DUMMYFUNCTION("""COMPUTED_VALUE"""),"undefined")</f>
        <v>undefined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IFERROR(__xludf.DUMMYFUNCTION("""COMPUTED_VALUE"""),"OpeningManager")</f>
        <v>OpeningManager</v>
      </c>
      <c r="C351" t="str">
        <f>IFERROR(__xludf.DUMMYFUNCTION("""COMPUTED_VALUE"""),"1YCm89wwcph1NRIicF83TaZHNjokNj6631tskVX_-Uqc")</f>
        <v>1YCm89wwcph1NRIicF83TaZHNjokNj6631tskVX_-Uqc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IFERROR(__xludf.DUMMYFUNCTION("""COMPUTED_VALUE"""),"SelectFromThirdPartyGrid")</f>
        <v>SelectFromThirdPartyGrid</v>
      </c>
      <c r="C352" t="str">
        <f>IFERROR(__xludf.DUMMYFUNCTION("""COMPUTED_VALUE"""),"1WwDby9zimBWnZSEvIx2bNZ44YUQXeG_P96xFNYays6c")</f>
        <v>1WwDby9zimBWnZSEvIx2bNZ44YUQXeG_P96xFNYays6c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IFERROR(__xludf.DUMMYFUNCTION("""COMPUTED_VALUE"""),"SendThirdPartyData")</f>
        <v>SendThirdPartyData</v>
      </c>
      <c r="C353" t="str">
        <f>IFERROR(__xludf.DUMMYFUNCTION("""COMPUTED_VALUE"""),"1CkawRz9O3eZDLTDD3IFjm-mQsQDTWspGsHAzTCZZmj4")</f>
        <v>1CkawRz9O3eZDLTDD3IFjm-mQsQDTWspGsHAzTCZZmj4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IFERROR(__xludf.DUMMYFUNCTION("""COMPUTED_VALUE"""),"VerifyThirdPartyView")</f>
        <v>VerifyThirdPartyView</v>
      </c>
      <c r="C354" t="str">
        <f>IFERROR(__xludf.DUMMYFUNCTION("""COMPUTED_VALUE"""),"1528uWSs4BLAXxKK6sUCy-XWIPP8V8Ki2KRvJs0jv9s8")</f>
        <v>1528uWSs4BLAXxKK6sUCy-XWIPP8V8Ki2KRvJs0jv9s8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IFERROR(__xludf.DUMMYFUNCTION("""COMPUTED_VALUE"""),"ViewAllThirdParty")</f>
        <v>ViewAllThirdParty</v>
      </c>
      <c r="C355" t="str">
        <f>IFERROR(__xludf.DUMMYFUNCTION("""COMPUTED_VALUE"""),"1DWiVq0oEQcBMo9BlB0eNB2gGWybIs_aBbbplwi52XD0")</f>
        <v>1DWiVq0oEQcBMo9BlB0eNB2gGWybIs_aBbbplwi52XD0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IFERROR(__xludf.DUMMYFUNCTION("""COMPUTED_VALUE"""),"VerifyThirdPartyGenerate")</f>
        <v>VerifyThirdPartyGenerate</v>
      </c>
      <c r="C356" t="str">
        <f>IFERROR(__xludf.DUMMYFUNCTION("""COMPUTED_VALUE"""),"1dtpOLGKF_e9DirGphaW178YiwcZeN2gJLTC8SOTHt_s")</f>
        <v>1dtpOLGKF_e9DirGphaW178YiwcZeN2gJLTC8SOTHt_s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IFERROR(__xludf.DUMMYFUNCTION("""COMPUTED_VALUE"""),"VerifyThirdPartySend")</f>
        <v>VerifyThirdPartySend</v>
      </c>
      <c r="C357" t="str">
        <f>IFERROR(__xludf.DUMMYFUNCTION("""COMPUTED_VALUE"""),"1oDj2kdyhy-C3O23_V41d-eRnBw9HwgfQ6oFUoabzrmo")</f>
        <v>1oDj2kdyhy-C3O23_V41d-eRnBw9HwgfQ6oFUoabzrmo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IFERROR(__xludf.DUMMYFUNCTION("""COMPUTED_VALUE"""),"SelectThirdPartyData")</f>
        <v>SelectThirdPartyData</v>
      </c>
      <c r="C358" t="str">
        <f>IFERROR(__xludf.DUMMYFUNCTION("""COMPUTED_VALUE"""),"10-k4rDTB5lEHUF88IcYPoyEagaa6DTnjiba3Tn00stU")</f>
        <v>10-k4rDTB5lEHUF88IcYPoyEagaa6DTnjiba3Tn00stU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IFERROR(__xludf.DUMMYFUNCTION("""COMPUTED_VALUE"""),"VerifyAccountDivisorWindow")</f>
        <v>VerifyAccountDivisorWindow</v>
      </c>
      <c r="C359" t="str">
        <f>IFERROR(__xludf.DUMMYFUNCTION("""COMPUTED_VALUE"""),"1SmEw6tAQywBZwVKCZlLwdMyj2schxBA_5VA05LxEkoM")</f>
        <v>1SmEw6tAQywBZwVKCZlLwdMyj2schxBA_5VA05LxEkoM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IFERROR(__xludf.DUMMYFUNCTION("""COMPUTED_VALUE"""),"VerifyAccountNavPreferenceWindow")</f>
        <v>VerifyAccountNavPreferenceWindow</v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IFERROR(__xludf.DUMMYFUNCTION("""COMPUTED_VALUE"""),"ThirdParty")</f>
        <v>ThirdParty</v>
      </c>
      <c r="B362" t="str">
        <f>IFERROR(__xludf.DUMMYFUNCTION("""COMPUTED_VALUE"""),"SelectThirdParty")</f>
        <v>SelectThirdParty</v>
      </c>
      <c r="C362" t="str">
        <f>IFERROR(__xludf.DUMMYFUNCTION("""COMPUTED_VALUE"""),"1k4lHaJJ_9NsJZ0FSNDDU_6f4jnaGdFRgIJnbFwRLohU")</f>
        <v>1k4lHaJJ_9NsJZ0FSNDDU_6f4jnaGdFRgIJnbFwRLohU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IFERROR(__xludf.DUMMYFUNCTION("""COMPUTED_VALUE"""),"ThirdParty")</f>
        <v>ThirdParty</v>
      </c>
      <c r="B363" t="str">
        <f>IFERROR(__xludf.DUMMYFUNCTION("""COMPUTED_VALUE"""),"ViewThirdParty")</f>
        <v>ViewThirdParty</v>
      </c>
      <c r="C363" t="str">
        <f>IFERROR(__xludf.DUMMYFUNCTION("""COMPUTED_VALUE"""),"1F_BXcQL-UOYNmtCgE2FRSzTxqoMMKNIV-clJRsPLe1s")</f>
        <v>1F_BXcQL-UOYNmtCgE2FRSzTxqoMMKNIV-clJRsPLe1s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IFERROR(__xludf.DUMMYFUNCTION("""COMPUTED_VALUE"""),"ThirdParty")</f>
        <v>ThirdParty</v>
      </c>
      <c r="B364" t="str">
        <f>IFERROR(__xludf.DUMMYFUNCTION("""COMPUTED_VALUE"""),"GenerateThirdPartyData")</f>
        <v>GenerateThirdPartyData</v>
      </c>
      <c r="C364" t="str">
        <f>IFERROR(__xludf.DUMMYFUNCTION("""COMPUTED_VALUE"""),"1jO2sEi9fgfj6h9R95yhsETkryLMSfEkw-vbND7WNKY8")</f>
        <v>1jO2sEi9fgfj6h9R95yhsETkryLMSfEkw-vbND7WNKY8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IFERROR(__xludf.DUMMYFUNCTION("""COMPUTED_VALUE"""),"ThirdParty")</f>
        <v>ThirdParty</v>
      </c>
      <c r="B365" t="str">
        <f>IFERROR(__xludf.DUMMYFUNCTION("""COMPUTED_VALUE"""),"ThirdPartyGenerate")</f>
        <v>ThirdPartyGenerate</v>
      </c>
      <c r="C365" t="str">
        <f>IFERROR(__xludf.DUMMYFUNCTION("""COMPUTED_VALUE"""),"1puok3lGCTJkc7JrWkRgGfOSPIdh4ZDhQ6wjL8ymHgHE")</f>
        <v>1puok3lGCTJkc7JrWkRgGfOSPIdh4ZDhQ6wjL8ymHgHE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IFERROR(__xludf.DUMMYFUNCTION("""COMPUTED_VALUE"""),"Admin")</f>
        <v>Admin</v>
      </c>
      <c r="B366" t="str">
        <f>IFERROR(__xludf.DUMMYFUNCTION("""COMPUTED_VALUE"""),"SetRollover")</f>
        <v>SetRollover</v>
      </c>
      <c r="C366" t="str">
        <f>IFERROR(__xludf.DUMMYFUNCTION("""COMPUTED_VALUE"""),"1enrqJSoARlmScHFR8FFzCMjK0eft-_xCn0wQRtC5ZQ8")</f>
        <v>1enrqJSoARlmScHFR8FFzCMjK0eft-_xCn0wQRtC5ZQ8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IFERROR(__xludf.DUMMYFUNCTION("""COMPUTED_VALUE"""),"Blotter")</f>
        <v>Blotter</v>
      </c>
      <c r="B367" t="str">
        <f>IFERROR(__xludf.DUMMYFUNCTION("""COMPUTED_VALUE"""),"VerifyRollover")</f>
        <v>VerifyRollover</v>
      </c>
      <c r="C367" t="str">
        <f>IFERROR(__xludf.DUMMYFUNCTION("""COMPUTED_VALUE"""),"1tJyh5JL-64iQ-bl-RuMJOMs882_Zoag9NMKD3Z9YksY")</f>
        <v>1tJyh5JL-64iQ-bl-RuMJOMs882_Zoag9NMKD3Z9YksY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IFERROR(__xludf.DUMMYFUNCTION("""COMPUTED_VALUE"""),"PranaClient")</f>
        <v>PranaClient</v>
      </c>
      <c r="B368" t="str">
        <f>IFERROR(__xludf.DUMMYFUNCTION("""COMPUTED_VALUE"""),"RestartClient")</f>
        <v>RestartClient</v>
      </c>
      <c r="C368" t="str">
        <f>IFERROR(__xludf.DUMMYFUNCTION("""COMPUTED_VALUE"""),"1Bz82rxtbsfQ4tpuZ9syMjXr63Q8bfX_f24L8wLWkI_E")</f>
        <v>1Bz82rxtbsfQ4tpuZ9syMjXr63Q8bfX_f24L8wLWkI_E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IFERROR(__xludf.DUMMYFUNCTION("""COMPUTED_VALUE"""),"Blotter")</f>
        <v>Blotter</v>
      </c>
      <c r="B369" t="str">
        <f>IFERROR(__xludf.DUMMYFUNCTION("""COMPUTED_VALUE"""),"VerifyViewAllocationDetails")</f>
        <v>VerifyViewAllocationDetails</v>
      </c>
      <c r="C369" t="str">
        <f>IFERROR(__xludf.DUMMYFUNCTION("""COMPUTED_VALUE"""),"1reP0LPUrGMeoA9ELrOqgVjEvRIhJcAliyLaecGmIRSw")</f>
        <v>1reP0LPUrGMeoA9ELrOqgVjEvRIhJcAliyLaecGmIRSw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3"/>
      <c r="C1" s="5"/>
    </row>
    <row r="2" ht="15.75" customHeight="1">
      <c r="A2" s="7"/>
      <c r="B2" s="7"/>
      <c r="C2" s="7"/>
    </row>
    <row r="3" ht="15.75" customHeight="1">
      <c r="A3" s="8" t="s">
        <v>5</v>
      </c>
      <c r="B3" s="10" t="s">
        <v>6</v>
      </c>
      <c r="C3" s="7"/>
    </row>
    <row r="4" ht="15.75" customHeight="1">
      <c r="A4" s="12" t="s">
        <v>7</v>
      </c>
      <c r="B4" s="10" t="s">
        <v>8</v>
      </c>
      <c r="C4" s="7"/>
    </row>
    <row r="5" ht="15.75" customHeight="1">
      <c r="A5" s="13"/>
      <c r="B5" s="7"/>
      <c r="C5" s="7"/>
    </row>
    <row r="6" ht="15.75" customHeight="1">
      <c r="A6" s="13"/>
      <c r="B6" s="7"/>
      <c r="C6" s="7"/>
    </row>
    <row r="7" ht="15.75" customHeight="1">
      <c r="A7" s="13"/>
      <c r="B7" s="7"/>
      <c r="C7" s="7"/>
    </row>
    <row r="8" ht="15.75" customHeight="1">
      <c r="A8" s="13"/>
      <c r="B8" s="7"/>
      <c r="C8" s="7"/>
    </row>
    <row r="9" ht="15.75" customHeight="1">
      <c r="A9" s="13"/>
      <c r="B9" s="7"/>
      <c r="C9" s="7"/>
    </row>
    <row r="10" ht="15.75" customHeight="1">
      <c r="A10" s="13"/>
      <c r="B10" s="7"/>
      <c r="C10" s="7"/>
    </row>
    <row r="11" ht="15.75" customHeight="1">
      <c r="A11" s="13"/>
      <c r="B11" s="7"/>
      <c r="C11" s="7"/>
    </row>
    <row r="12" ht="15.75" customHeight="1">
      <c r="A12" s="13"/>
      <c r="B12" s="7"/>
      <c r="C12" s="7"/>
    </row>
    <row r="13" ht="15.75" customHeight="1">
      <c r="A13" s="13"/>
      <c r="B13" s="7"/>
      <c r="C13" s="7"/>
    </row>
    <row r="14" ht="15.75" customHeight="1">
      <c r="A14" s="13"/>
      <c r="B14" s="7"/>
      <c r="C14" s="7"/>
    </row>
    <row r="15" ht="15.75" customHeight="1">
      <c r="A15" s="13"/>
      <c r="B15" s="7"/>
      <c r="C15" s="7"/>
    </row>
    <row r="16" ht="15.75" customHeight="1">
      <c r="A16" s="13"/>
      <c r="B16" s="7"/>
      <c r="C16" s="7"/>
    </row>
    <row r="17" ht="15.75" customHeight="1">
      <c r="A17" s="13"/>
      <c r="B17" s="7"/>
      <c r="C17" s="7"/>
    </row>
    <row r="18" ht="15.75" customHeight="1">
      <c r="A18" s="13"/>
      <c r="B18" s="7"/>
      <c r="C18" s="7"/>
    </row>
    <row r="19" ht="15.75" customHeight="1">
      <c r="A19" s="13"/>
      <c r="B19" s="7"/>
      <c r="C19" s="7"/>
    </row>
    <row r="20" ht="15.75" customHeight="1">
      <c r="A20" s="13"/>
      <c r="B20" s="7"/>
      <c r="C20" s="7"/>
    </row>
    <row r="21" ht="15.75" customHeight="1">
      <c r="A21" s="13"/>
      <c r="B21" s="7"/>
      <c r="C21" s="7"/>
    </row>
    <row r="22" ht="15.75" customHeight="1">
      <c r="A22" s="13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2</v>
      </c>
      <c r="B1" s="3"/>
      <c r="C1" s="3"/>
      <c r="D1" s="3"/>
      <c r="E1" s="3"/>
      <c r="F1" s="5"/>
    </row>
    <row r="2">
      <c r="A2" s="6"/>
      <c r="B2" s="6"/>
      <c r="C2" s="6"/>
      <c r="D2" s="6"/>
      <c r="E2" s="6"/>
      <c r="F2" s="6"/>
    </row>
    <row r="3">
      <c r="A3" s="12" t="s">
        <v>3</v>
      </c>
      <c r="B3" s="14" t="s">
        <v>9</v>
      </c>
      <c r="C3" s="14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1b5S4Xpp4fgZ1ez6cK92QFnVBylqz8jhwxdAyEvwDqUI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12</v>
      </c>
      <c r="D3" s="8" t="s">
        <v>9</v>
      </c>
      <c r="E3" s="21" t="s">
        <v>13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0" t="s">
        <v>16</v>
      </c>
      <c r="C6" s="10" t="s">
        <v>17</v>
      </c>
      <c r="D6" s="10">
        <v>700.0</v>
      </c>
      <c r="E6" s="7"/>
      <c r="F6" s="10" t="s">
        <v>18</v>
      </c>
      <c r="G6" s="7"/>
      <c r="H6" s="7"/>
      <c r="I6" s="7"/>
      <c r="J6" s="10">
        <v>22.0</v>
      </c>
      <c r="K6" s="7"/>
      <c r="L6" s="7"/>
      <c r="M6" s="7"/>
      <c r="N6" s="29">
        <f t="shared" ref="N6:N7" si="1">Today()</f>
        <v>43809</v>
      </c>
      <c r="O6" s="7"/>
    </row>
    <row r="7" ht="15.75" customHeight="1">
      <c r="A7" s="7"/>
      <c r="B7" s="10" t="s">
        <v>16</v>
      </c>
      <c r="C7" s="10" t="s">
        <v>19</v>
      </c>
      <c r="D7" s="10">
        <v>700.0</v>
      </c>
      <c r="E7" s="7"/>
      <c r="F7" s="10" t="s">
        <v>18</v>
      </c>
      <c r="G7" s="7"/>
      <c r="H7" s="7"/>
      <c r="I7" s="7"/>
      <c r="J7" s="10">
        <v>22.0</v>
      </c>
      <c r="K7" s="7"/>
      <c r="L7" s="7"/>
      <c r="M7" s="7"/>
      <c r="N7" s="29">
        <f t="shared" si="1"/>
        <v>43809</v>
      </c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20</v>
      </c>
      <c r="D3" s="8" t="s">
        <v>9</v>
      </c>
      <c r="E3" s="21" t="s">
        <v>21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0" t="s">
        <v>22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20</v>
      </c>
      <c r="D3" s="8" t="s">
        <v>9</v>
      </c>
      <c r="E3" s="21" t="s">
        <v>23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IFERROR(__xludf.DUMMYFUNCTION("""COMPUTED_VALUE"""),"CloseSSw/BuyBTO")</f>
        <v>CloseSSw/BuyBTO</v>
      </c>
      <c r="C5" s="26" t="str">
        <f>IFERROR(__xludf.DUMMYFUNCTION("""COMPUTED_VALUE"""),"AutoCloseStrategy")</f>
        <v>AutoCloseStrategy</v>
      </c>
      <c r="D5" s="26" t="str">
        <f>IFERROR(__xludf.DUMMYFUNCTION("""COMPUTED_VALUE"""),"LongAccount")</f>
        <v>LongAccount</v>
      </c>
      <c r="E5" s="26" t="str">
        <f>IFERROR(__xludf.DUMMYFUNCTION("""COMPUTED_VALUE"""),"LongAsset Class")</f>
        <v>LongAsset Class</v>
      </c>
      <c r="F5" s="27" t="str">
        <f>IFERROR(__xludf.DUMMYFUNCTION("""COMPUTED_VALUE"""),"LongAUECID")</f>
        <v>LongAUECID</v>
      </c>
      <c r="G5" s="26" t="str">
        <f>IFERROR(__xludf.DUMMYFUNCTION("""COMPUTED_VALUE"""),"LongExternalTransId")</f>
        <v>LongExternalTransId</v>
      </c>
      <c r="H5" s="26" t="str">
        <f>IFERROR(__xludf.DUMMYFUNCTION("""COMPUTED_VALUE"""),"LongIsSwapped")</f>
        <v>LongIsSwapped</v>
      </c>
      <c r="I5" s="26" t="str">
        <f>IFERROR(__xludf.DUMMYFUNCTION("""COMPUTED_VALUE"""),"LongLotId")</f>
        <v>LongLotId</v>
      </c>
      <c r="J5" s="26" t="str">
        <f>IFERROR(__xludf.DUMMYFUNCTION("""COMPUTED_VALUE"""),"LongNet Notional")</f>
        <v>LongNet Notional</v>
      </c>
      <c r="K5" s="26" t="str">
        <f>IFERROR(__xludf.DUMMYFUNCTION("""COMPUTED_VALUE"""),"LongOpening Price")</f>
        <v>LongOpening Price</v>
      </c>
      <c r="L5" s="26" t="str">
        <f>IFERROR(__xludf.DUMMYFUNCTION("""COMPUTED_VALUE"""),"LongOriginal Purchase Date")</f>
        <v>LongOriginal Purchase Date</v>
      </c>
      <c r="M5" s="26" t="str">
        <f>IFERROR(__xludf.DUMMYFUNCTION("""COMPUTED_VALUE"""),"LongPositionTag")</f>
        <v>LongPositionTag</v>
      </c>
      <c r="N5" s="26" t="str">
        <f>IFERROR(__xludf.DUMMYFUNCTION("""COMPUTED_VALUE"""),"LongProcess Date")</f>
        <v>LongProcess Date</v>
      </c>
      <c r="O5" s="26" t="str">
        <f>IFERROR(__xludf.DUMMYFUNCTION("""COMPUTED_VALUE"""),"LongQuantity")</f>
        <v>LongQuantity</v>
      </c>
      <c r="P5" s="26" t="str">
        <f>IFERROR(__xludf.DUMMYFUNCTION("""COMPUTED_VALUE"""),"LongSecurity Name")</f>
        <v>LongSecurity Name</v>
      </c>
      <c r="Q5" s="26" t="str">
        <f>IFERROR(__xludf.DUMMYFUNCTION("""COMPUTED_VALUE"""),"LongSettlement Currency")</f>
        <v>LongSettlement Currency</v>
      </c>
      <c r="R5" s="26" t="str">
        <f>IFERROR(__xludf.DUMMYFUNCTION("""COMPUTED_VALUE"""),"LongSettlement FxRate")</f>
        <v>LongSettlement FxRate</v>
      </c>
      <c r="S5" s="26" t="str">
        <f>IFERROR(__xludf.DUMMYFUNCTION("""COMPUTED_VALUE"""),"LongSettlement FxRate Operator")</f>
        <v>LongSettlement FxRate Operator</v>
      </c>
      <c r="T5" s="28" t="str">
        <f>IFERROR(__xludf.DUMMYFUNCTION("""COMPUTED_VALUE"""),"LongSettlement Price")</f>
        <v>LongSettlement Price</v>
      </c>
      <c r="U5" s="28" t="str">
        <f>IFERROR(__xludf.DUMMYFUNCTION("""COMPUTED_VALUE"""),"LongSettlement Unit Cost")</f>
        <v>LongSettlement Unit Cost</v>
      </c>
      <c r="V5" s="28" t="str">
        <f>IFERROR(__xludf.DUMMYFUNCTION("""COMPUTED_VALUE"""),"LongSide")</f>
        <v>LongSide</v>
      </c>
      <c r="W5" s="28" t="str">
        <f>IFERROR(__xludf.DUMMYFUNCTION("""COMPUTED_VALUE"""),"LongStrategy")</f>
        <v>LongStrategy</v>
      </c>
      <c r="X5" s="28" t="str">
        <f>IFERROR(__xludf.DUMMYFUNCTION("""COMPUTED_VALUE"""),"LongSymbol")</f>
        <v>LongSymbol</v>
      </c>
      <c r="Y5" s="28" t="str">
        <f>IFERROR(__xludf.DUMMYFUNCTION("""COMPUTED_VALUE"""),"LongTaxlot Id")</f>
        <v>LongTaxlot Id</v>
      </c>
      <c r="Z5" s="28" t="str">
        <f>IFERROR(__xludf.DUMMYFUNCTION("""COMPUTED_VALUE"""),"LongTotal Fee And Commission")</f>
        <v>LongTotal Fee And Commission</v>
      </c>
      <c r="AA5" s="28" t="str">
        <f>IFERROR(__xludf.DUMMYFUNCTION("""COMPUTED_VALUE"""),"LongTrade Date")</f>
        <v>LongTrade Date</v>
      </c>
      <c r="AB5" s="28" t="str">
        <f>IFERROR(__xludf.DUMMYFUNCTION("""COMPUTED_VALUE"""),"LongTransaction Type")</f>
        <v>LongTransaction Type</v>
      </c>
      <c r="AC5" s="28" t="str">
        <f>IFERROR(__xludf.DUMMYFUNCTION("""COMPUTED_VALUE"""),"LongUnderlyingName")</f>
        <v>LongUnderlyingName</v>
      </c>
      <c r="AD5" s="28" t="str">
        <f>IFERROR(__xludf.DUMMYFUNCTION("""COMPUTED_VALUE"""),"LongUnitCost")</f>
        <v>LongUnitCost</v>
      </c>
      <c r="AE5" s="28" t="str">
        <f>IFERROR(__xludf.DUMMYFUNCTION("""COMPUTED_VALUE"""),"ShortAccount")</f>
        <v>ShortAccount</v>
      </c>
      <c r="AF5" s="28" t="str">
        <f>IFERROR(__xludf.DUMMYFUNCTION("""COMPUTED_VALUE"""),"ShortAsset Class")</f>
        <v>ShortAsset Class</v>
      </c>
      <c r="AG5" s="28" t="str">
        <f>IFERROR(__xludf.DUMMYFUNCTION("""COMPUTED_VALUE"""),"ShortAUECID")</f>
        <v>ShortAUECID</v>
      </c>
      <c r="AH5" s="28" t="str">
        <f>IFERROR(__xludf.DUMMYFUNCTION("""COMPUTED_VALUE"""),"ShortExternalTransId")</f>
        <v>ShortExternalTransId</v>
      </c>
      <c r="AI5" s="28" t="str">
        <f>IFERROR(__xludf.DUMMYFUNCTION("""COMPUTED_VALUE"""),"ShortIsSwapped")</f>
        <v>ShortIsSwapped</v>
      </c>
      <c r="AJ5" s="28" t="str">
        <f>IFERROR(__xludf.DUMMYFUNCTION("""COMPUTED_VALUE"""),"ShortLotId")</f>
        <v>ShortLotId</v>
      </c>
      <c r="AK5" s="28" t="str">
        <f>IFERROR(__xludf.DUMMYFUNCTION("""COMPUTED_VALUE"""),"ShortNet Notional")</f>
        <v>ShortNet Notional</v>
      </c>
      <c r="AL5" s="28" t="str">
        <f>IFERROR(__xludf.DUMMYFUNCTION("""COMPUTED_VALUE"""),"ShortOpening Price")</f>
        <v>ShortOpening Price</v>
      </c>
      <c r="AM5" s="28" t="str">
        <f>IFERROR(__xludf.DUMMYFUNCTION("""COMPUTED_VALUE"""),"ShortOriginal Purchase Date")</f>
        <v>ShortOriginal Purchase Date</v>
      </c>
      <c r="AN5" s="28" t="str">
        <f>IFERROR(__xludf.DUMMYFUNCTION("""COMPUTED_VALUE"""),"ShortPositionTag")</f>
        <v>ShortPositionTag</v>
      </c>
      <c r="AO5" s="28" t="str">
        <f>IFERROR(__xludf.DUMMYFUNCTION("""COMPUTED_VALUE"""),"ShortProcess Date")</f>
        <v>ShortProcess Date</v>
      </c>
      <c r="AP5" s="28" t="str">
        <f>IFERROR(__xludf.DUMMYFUNCTION("""COMPUTED_VALUE"""),"ShortQuantity")</f>
        <v>ShortQuantity</v>
      </c>
      <c r="AQ5" s="28" t="str">
        <f>IFERROR(__xludf.DUMMYFUNCTION("""COMPUTED_VALUE"""),"ShortSecurity Name")</f>
        <v>ShortSecurity Name</v>
      </c>
      <c r="AR5" s="28" t="str">
        <f>IFERROR(__xludf.DUMMYFUNCTION("""COMPUTED_VALUE"""),"ShortSettlement Currency")</f>
        <v>ShortSettlement Currency</v>
      </c>
      <c r="AS5" s="28" t="str">
        <f>IFERROR(__xludf.DUMMYFUNCTION("""COMPUTED_VALUE"""),"ShortSettlement FxRate")</f>
        <v>ShortSettlement FxRate</v>
      </c>
      <c r="AT5" s="28" t="str">
        <f>IFERROR(__xludf.DUMMYFUNCTION("""COMPUTED_VALUE"""),"ShortSettlement FxRate Operator")</f>
        <v>ShortSettlement FxRate Operator</v>
      </c>
      <c r="AU5" s="28" t="str">
        <f>IFERROR(__xludf.DUMMYFUNCTION("""COMPUTED_VALUE"""),"ShortSettlement Price")</f>
        <v>ShortSettlement Price</v>
      </c>
      <c r="AV5" s="28" t="str">
        <f>IFERROR(__xludf.DUMMYFUNCTION("""COMPUTED_VALUE"""),"ShortSettlement Unit Cost")</f>
        <v>ShortSettlement Unit Cost</v>
      </c>
      <c r="AW5" s="28" t="str">
        <f>IFERROR(__xludf.DUMMYFUNCTION("""COMPUTED_VALUE"""),"ShortSide")</f>
        <v>ShortSide</v>
      </c>
      <c r="AX5" s="28" t="str">
        <f>IFERROR(__xludf.DUMMYFUNCTION("""COMPUTED_VALUE"""),"ShortStrategy")</f>
        <v>ShortStrategy</v>
      </c>
      <c r="AY5" s="28" t="str">
        <f>IFERROR(__xludf.DUMMYFUNCTION("""COMPUTED_VALUE"""),"ShortSymbol")</f>
        <v>ShortSymbol</v>
      </c>
      <c r="AZ5" s="28" t="str">
        <f>IFERROR(__xludf.DUMMYFUNCTION("""COMPUTED_VALUE"""),"ShortTaxlot Id")</f>
        <v>ShortTaxlot Id</v>
      </c>
      <c r="BA5" s="28" t="str">
        <f>IFERROR(__xludf.DUMMYFUNCTION("""COMPUTED_VALUE"""),"ShortTotal Fee And Commission")</f>
        <v>ShortTotal Fee And Commission</v>
      </c>
      <c r="BB5" s="28" t="str">
        <f>IFERROR(__xludf.DUMMYFUNCTION("""COMPUTED_VALUE"""),"ShortTrade Date")</f>
        <v>ShortTrade Date</v>
      </c>
      <c r="BC5" s="28" t="str">
        <f>IFERROR(__xludf.DUMMYFUNCTION("""COMPUTED_VALUE"""),"ShortTransaction Type")</f>
        <v>ShortTransaction Type</v>
      </c>
      <c r="BD5" s="28" t="str">
        <f>IFERROR(__xludf.DUMMYFUNCTION("""COMPUTED_VALUE"""),"ShortUnderlyingName")</f>
        <v>ShortUnderlyingName</v>
      </c>
      <c r="BE5" s="28" t="str">
        <f>IFERROR(__xludf.DUMMYFUNCTION("""COMPUTED_VALUE"""),"ShortUnitCost")</f>
        <v>ShortUnitCost</v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1"/>
      <c r="B6" s="32" t="b">
        <v>0</v>
      </c>
      <c r="C6" s="32" t="b">
        <v>1</v>
      </c>
      <c r="D6" s="33" t="s">
        <v>18</v>
      </c>
      <c r="E6" s="33" t="s">
        <v>24</v>
      </c>
      <c r="F6" s="33"/>
      <c r="G6" s="33"/>
      <c r="H6" s="33"/>
      <c r="I6" s="34"/>
      <c r="J6" s="33"/>
      <c r="K6" s="33"/>
      <c r="L6" s="33"/>
      <c r="M6" s="33"/>
      <c r="N6" s="33"/>
      <c r="O6" s="35">
        <v>700.0</v>
      </c>
      <c r="P6" s="33"/>
      <c r="Q6" s="33"/>
      <c r="R6" s="33"/>
      <c r="S6" s="33"/>
      <c r="T6" s="31"/>
      <c r="U6" s="31"/>
      <c r="V6" s="31" t="s">
        <v>17</v>
      </c>
      <c r="W6" s="31"/>
      <c r="X6" s="31" t="s">
        <v>16</v>
      </c>
      <c r="Y6" s="31"/>
      <c r="Z6" s="31"/>
      <c r="AA6" s="31"/>
      <c r="AB6" s="31"/>
      <c r="AC6" s="31"/>
      <c r="AD6" s="31"/>
      <c r="AE6" s="31" t="s">
        <v>18</v>
      </c>
      <c r="AF6" s="31" t="s">
        <v>24</v>
      </c>
      <c r="AG6" s="31"/>
      <c r="AH6" s="31"/>
      <c r="AI6" s="31"/>
      <c r="AJ6" s="31"/>
      <c r="AK6" s="31"/>
      <c r="AL6" s="36"/>
      <c r="AM6" s="31"/>
      <c r="AN6" s="31"/>
      <c r="AO6" s="31"/>
      <c r="AP6" s="37">
        <v>700.0</v>
      </c>
      <c r="AQ6" s="31"/>
      <c r="AR6" s="31"/>
      <c r="AS6" s="31"/>
      <c r="AT6" s="31"/>
      <c r="AU6" s="31"/>
      <c r="AV6" s="31"/>
      <c r="AW6" s="31" t="s">
        <v>19</v>
      </c>
      <c r="AX6" s="31"/>
      <c r="AY6" s="31" t="s">
        <v>16</v>
      </c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ManualClosing!$4:$4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1-RJhOo2E5PhyqaiMEjsPi8RpfYBuiSqE9fj_-bRpkKw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25</v>
      </c>
      <c r="D3" s="8" t="s">
        <v>9</v>
      </c>
      <c r="E3" s="21" t="s">
        <v>26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IFERROR(__xludf.DUMMYFUNCTION("""COMPUTED_VALUE"""),"Quantity")</f>
        <v>Quantity</v>
      </c>
      <c r="D5" s="26" t="str">
        <f>IFERROR(__xludf.DUMMYFUNCTION("""COMPUTED_VALUE"""),"Trade Date")</f>
        <v>Trade Date</v>
      </c>
      <c r="E5" s="26" t="str">
        <f>IFERROR(__xludf.DUMMYFUNCTION("""COMPUTED_VALUE"""),"Account Name")</f>
        <v>Account Name</v>
      </c>
      <c r="F5" s="27" t="str">
        <f>IFERROR(__xludf.DUMMYFUNCTION("""COMPUTED_VALUE"""),"Side")</f>
        <v>Side</v>
      </c>
      <c r="G5" s="26" t="str">
        <f>IFERROR(__xludf.DUMMYFUNCTION("""COMPUTED_VALUE"""),"Group Status")</f>
        <v>Group Status</v>
      </c>
      <c r="H5" s="26" t="str">
        <f>IFERROR(__xludf.DUMMYFUNCTION("""COMPUTED_VALUE"""),"Avg Price(Base)")</f>
        <v>Avg Price(Base)</v>
      </c>
      <c r="I5" s="26" t="str">
        <f>IFERROR(__xludf.DUMMYFUNCTION("""COMPUTED_VALUE"""),"Execution Time")</f>
        <v>Execution Time</v>
      </c>
      <c r="J5" s="26" t="str">
        <f>IFERROR(__xludf.DUMMYFUNCTION("""COMPUTED_VALUE"""),"Trade Attribute 1")</f>
        <v>Trade Attribute 1</v>
      </c>
      <c r="K5" s="26" t="str">
        <f>IFERROR(__xludf.DUMMYFUNCTION("""COMPUTED_VALUE"""),"Avg Price(Local)")</f>
        <v>Avg Price(Local)</v>
      </c>
      <c r="L5" s="26" t="str">
        <f>IFERROR(__xludf.DUMMYFUNCTION("""COMPUTED_VALUE"""),"Trade Attribute 2")</f>
        <v>Trade Attribute 2</v>
      </c>
      <c r="M5" s="26" t="str">
        <f>IFERROR(__xludf.DUMMYFUNCTION("""COMPUTED_VALUE"""),"Accrued Interest")</f>
        <v>Accrued Interest</v>
      </c>
      <c r="N5" s="26" t="str">
        <f>IFERROR(__xludf.DUMMYFUNCTION("""COMPUTED_VALUE"""),"Commission")</f>
        <v>Commission</v>
      </c>
      <c r="O5" s="26" t="str">
        <f>IFERROR(__xludf.DUMMYFUNCTION("""COMPUTED_VALUE"""),"Soft Commission")</f>
        <v>Soft Commission</v>
      </c>
      <c r="P5" s="26" t="str">
        <f>IFERROR(__xludf.DUMMYFUNCTION("""COMPUTED_VALUE"""),"Broker")</f>
        <v>Broker</v>
      </c>
      <c r="Q5" s="26" t="str">
        <f>IFERROR(__xludf.DUMMYFUNCTION("""COMPUTED_VALUE"""),"Transaction Type")</f>
        <v>Transaction Type</v>
      </c>
      <c r="R5" s="26" t="str">
        <f>IFERROR(__xludf.DUMMYFUNCTION("""COMPUTED_VALUE"""),"AUEC Fee1")</f>
        <v>AUEC Fee1</v>
      </c>
      <c r="S5" s="26" t="str">
        <f>IFERROR(__xludf.DUMMYFUNCTION("""COMPUTED_VALUE"""),"AUEC Fee2")</f>
        <v>AUEC Fee2</v>
      </c>
      <c r="T5" s="28" t="str">
        <f>IFERROR(__xludf.DUMMYFUNCTION("""COMPUTED_VALUE"""),"Clearing Broker Fee")</f>
        <v>Clearing Broker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IFERROR(__xludf.DUMMYFUNCTION("""COMPUTED_VALUE"""),"OCC Fee")</f>
        <v>OCC Fee</v>
      </c>
      <c r="W5" s="28" t="str">
        <f>IFERROR(__xludf.DUMMYFUNCTION("""COMPUTED_VALUE"""),"SEC Fee")</f>
        <v>SEC Fee</v>
      </c>
      <c r="X5" s="28" t="str">
        <f>IFERROR(__xludf.DUMMYFUNCTION("""COMPUTED_VALUE"""),"ORF Fee")</f>
        <v>ORF Fee</v>
      </c>
      <c r="Y5" s="28" t="str">
        <f>IFERROR(__xludf.DUMMYFUNCTION("""COMPUTED_VALUE"""),"IsPreAllocated")</f>
        <v>IsPreAllocated</v>
      </c>
      <c r="Z5" s="28" t="str">
        <f>IFERROR(__xludf.DUMMYFUNCTION("""COMPUTED_VALUE"""),"Stamp Duty")</f>
        <v>Stamp Duty</v>
      </c>
      <c r="AA5" s="28" t="str">
        <f>IFERROR(__xludf.DUMMYFUNCTION("""COMPUTED_VALUE"""),"IsManual Group")</f>
        <v>IsManual Group</v>
      </c>
      <c r="AB5" s="28" t="str">
        <f>IFERROR(__xludf.DUMMYFUNCTION("""COMPUTED_VALUE"""),"Tax On Commissions")</f>
        <v>Tax On Commissions</v>
      </c>
      <c r="AC5" s="28" t="str">
        <f>IFERROR(__xludf.DUMMYFUNCTION("""COMPUTED_VALUE"""),"IsAnotherTaxlotAttributesUpdated")</f>
        <v>IsAnotherTaxlotAttributesUpdated</v>
      </c>
      <c r="AD5" s="28" t="str">
        <f>IFERROR(__xludf.DUMMYFUNCTION("""COMPUTED_VALUE"""),"ISNDF")</f>
        <v>ISNDF</v>
      </c>
      <c r="AE5" s="28" t="str">
        <f>IFERROR(__xludf.DUMMYFUNCTION("""COMPUTED_VALUE"""),"Transaction Levy")</f>
        <v>Transaction Levy</v>
      </c>
      <c r="AF5" s="28" t="str">
        <f>IFERROR(__xludf.DUMMYFUNCTION("""COMPUTED_VALUE"""),"Description")</f>
        <v>Description</v>
      </c>
      <c r="AG5" s="28" t="str">
        <f>IFERROR(__xludf.DUMMYFUNCTION("""COMPUTED_VALUE"""),"GroupID")</f>
        <v>GroupID</v>
      </c>
      <c r="AH5" s="28" t="str">
        <f>IFERROR(__xludf.DUMMYFUNCTION("""COMPUTED_VALUE"""),"Internal Comments")</f>
        <v>Internal Comments</v>
      </c>
      <c r="AI5" s="28" t="str">
        <f>IFERROR(__xludf.DUMMYFUNCTION("""COMPUTED_VALUE"""),"M2MProfitLoss")</f>
        <v>M2MProfitLoss</v>
      </c>
      <c r="AJ5" s="28" t="str">
        <f>IFERROR(__xludf.DUMMYFUNCTION("""COMPUTED_VALUE"""),"FX Rate")</f>
        <v>FX Rate</v>
      </c>
      <c r="AK5" s="28" t="str">
        <f>IFERROR(__xludf.DUMMYFUNCTION("""COMPUTED_VALUE"""),"FX Conversion Operator")</f>
        <v>FX Conversion Operator</v>
      </c>
      <c r="AL5" s="28" t="str">
        <f>IFERROR(__xludf.DUMMYFUNCTION("""COMPUTED_VALUE"""),"Trade Attribute 3")</f>
        <v>Trade Attribute 3</v>
      </c>
      <c r="AM5" s="28" t="str">
        <f>IFERROR(__xludf.DUMMYFUNCTION("""COMPUTED_VALUE"""),"Trade Attribute 4")</f>
        <v>Trade Attribute 4</v>
      </c>
      <c r="AN5" s="28" t="str">
        <f>IFERROR(__xludf.DUMMYFUNCTION("""COMPUTED_VALUE"""),"Trade Attribute 5")</f>
        <v>Trade Attribute 5</v>
      </c>
      <c r="AO5" s="28" t="str">
        <f>IFERROR(__xludf.DUMMYFUNCTION("""COMPUTED_VALUE"""),"Trade Attribute 6")</f>
        <v>Trade Attribute 6</v>
      </c>
      <c r="AP5" s="28" t="str">
        <f>IFERROR(__xludf.DUMMYFUNCTION("""COMPUTED_VALUE"""),"Put Or Call")</f>
        <v>Put Or Call</v>
      </c>
      <c r="AQ5" s="28" t="str">
        <f>IFERROR(__xludf.DUMMYFUNCTION("""COMPUTED_VALUE"""),"Allocated Qty")</f>
        <v>Allocated Qty</v>
      </c>
      <c r="AR5" s="28" t="str">
        <f>IFERROR(__xludf.DUMMYFUNCTION("""COMPUTED_VALUE"""),"Total Commission And Fee")</f>
        <v>Total Commission And Fee</v>
      </c>
      <c r="AS5" s="28" t="str">
        <f>IFERROR(__xludf.DUMMYFUNCTION("""COMPUTED_VALUE"""),"Executed Qty")</f>
        <v>Executed Qty</v>
      </c>
      <c r="AT5" s="28" t="str">
        <f>IFERROR(__xludf.DUMMYFUNCTION("""COMPUTED_VALUE"""),"Net Amount( Local)")</f>
        <v>Net Amount( Local)</v>
      </c>
      <c r="AU5" s="28" t="str">
        <f>IFERROR(__xludf.DUMMYFUNCTION("""COMPUTED_VALUE"""),"Net Amount( Base)")</f>
        <v>Net Amount( Base)</v>
      </c>
      <c r="AV5" s="28" t="str">
        <f>IFERROR(__xludf.DUMMYFUNCTION("""COMPUTED_VALUE"""),"UnAllocatedQty")</f>
        <v>UnAllocatedQty</v>
      </c>
      <c r="AW5" s="28" t="str">
        <f>IFERROR(__xludf.DUMMYFUNCTION("""COMPUTED_VALUE"""),"Option Premium Adjustment")</f>
        <v>Option Premium Adjustment</v>
      </c>
      <c r="AX5" s="28" t="str">
        <f>IFERROR(__xludf.DUMMYFUNCTION("""COMPUTED_VALUE"""),"Principal Amount( Local)")</f>
        <v>Principal Amount( Local)</v>
      </c>
      <c r="AY5" s="28" t="str">
        <f>IFERROR(__xludf.DUMMYFUNCTION("""COMPUTED_VALUE"""),"Principal Amount( Base)")</f>
        <v>Principal Amount( Base)</v>
      </c>
      <c r="AZ5" s="28" t="str">
        <f>IFERROR(__xludf.DUMMYFUNCTION("""COMPUTED_VALUE"""),"Settlement Currency")</f>
        <v>Settlement Currency</v>
      </c>
      <c r="BA5" s="28" t="str">
        <f>IFERROR(__xludf.DUMMYFUNCTION("""COMPUTED_VALUE"""),"User")</f>
        <v>User</v>
      </c>
      <c r="BB5" s="28" t="str">
        <f>IFERROR(__xludf.DUMMYFUNCTION("""COMPUTED_VALUE"""),"Asset Category")</f>
        <v>Asset Category</v>
      </c>
      <c r="BC5" s="28" t="str">
        <f>IFERROR(__xludf.DUMMYFUNCTION("""COMPUTED_VALUE"""),"Change Type")</f>
        <v>Change Type</v>
      </c>
      <c r="BD5" s="28" t="str">
        <f>IFERROR(__xludf.DUMMYFUNCTION("""COMPUTED_VALUE"""),"Strategy Name")</f>
        <v>Strategy Name</v>
      </c>
      <c r="BE5" s="28" t="str">
        <f>IFERROR(__xludf.DUMMYFUNCTION("""COMPUTED_VALUE"""),"Prana Msg Type")</f>
        <v>Prana Msg Type</v>
      </c>
      <c r="BF5" s="28" t="str">
        <f>IFERROR(__xludf.DUMMYFUNCTION("""COMPUTED_VALUE"""),"Total Commission")</f>
        <v>Total Commission</v>
      </c>
      <c r="BG5" s="28" t="str">
        <f>IFERROR(__xludf.DUMMYFUNCTION("""COMPUTED_VALUE"""),"Commission Per Share")</f>
        <v>Commission Per Share</v>
      </c>
      <c r="BH5" s="28" t="str">
        <f>IFERROR(__xludf.DUMMYFUNCTION("""COMPUTED_VALUE"""),"Soft Commission Per Share")</f>
        <v>Soft Commission Per Share</v>
      </c>
      <c r="BI5" s="28" t="str">
        <f>IFERROR(__xludf.DUMMYFUNCTION("""COMPUTED_VALUE"""),"Total Commission Per Share")</f>
        <v>Total Commission Per Share</v>
      </c>
      <c r="BJ5" s="28" t="str">
        <f>IFERROR(__xludf.DUMMYFUNCTION("""COMPUTED_VALUE"""),"Closing Status")</f>
        <v>Closing Status</v>
      </c>
      <c r="BK5" s="28" t="str">
        <f>IFERROR(__xludf.DUMMYFUNCTION("""COMPUTED_VALUE"""),"Closing Method")</f>
        <v>Closing Method</v>
      </c>
      <c r="BL5" s="28" t="str">
        <f>IFERROR(__xludf.DUMMYFUNCTION("""COMPUTED_VALUE"""),"Allocation Scheme Name")</f>
        <v>Allocation Scheme Name</v>
      </c>
      <c r="BM5" s="28" t="str">
        <f>IFERROR(__xludf.DUMMYFUNCTION("""COMPUTED_VALUE"""),"Change Comment")</f>
        <v>Change Comment</v>
      </c>
      <c r="BN5" s="28" t="str">
        <f>IFERROR(__xludf.DUMMYFUNCTION("""COMPUTED_VALUE"""),"Order Type")</f>
        <v>Order Type</v>
      </c>
      <c r="BO5" s="28" t="str">
        <f>IFERROR(__xludf.DUMMYFUNCTION("""COMPUTED_VALUE"""),"Underlying")</f>
        <v>Underlying</v>
      </c>
      <c r="BP5" s="28" t="str">
        <f>IFERROR(__xludf.DUMMYFUNCTION("""COMPUTED_VALUE"""),"Exchange")</f>
        <v>Exchange</v>
      </c>
      <c r="BQ5" s="28" t="str">
        <f>IFERROR(__xludf.DUMMYFUNCTION("""COMPUTED_VALUE"""),"Currency")</f>
        <v>Currency</v>
      </c>
      <c r="BR5" s="28" t="str">
        <f>IFERROR(__xludf.DUMMYFUNCTION("""COMPUTED_VALUE"""),"AUECID")</f>
        <v>AUECID</v>
      </c>
      <c r="BS5" s="28" t="str">
        <f>IFERROR(__xludf.DUMMYFUNCTION("""COMPUTED_VALUE"""),"Trading Account")</f>
        <v>Trading Account</v>
      </c>
      <c r="BT5" s="28" t="str">
        <f>IFERROR(__xludf.DUMMYFUNCTION("""COMPUTED_VALUE"""),"Venue")</f>
        <v>Venue</v>
      </c>
      <c r="BU5" s="28" t="str">
        <f>IFERROR(__xludf.DUMMYFUNCTION("""COMPUTED_VALUE"""),"Cum Qty For Sub Order")</f>
        <v>Cum Qty For Sub Order</v>
      </c>
      <c r="BV5" s="28" t="str">
        <f>IFERROR(__xludf.DUMMYFUNCTION("""COMPUTED_VALUE"""),"Contract Multiplier")</f>
        <v>Contract Multiplier</v>
      </c>
      <c r="BW5" s="28" t="str">
        <f>IFERROR(__xludf.DUMMYFUNCTION("""COMPUTED_VALUE"""),"Company")</f>
        <v>Company</v>
      </c>
      <c r="BX5" s="28" t="str">
        <f>IFERROR(__xludf.DUMMYFUNCTION("""COMPUTED_VALUE"""),"Nirvana Process Date")</f>
        <v>Nirvana Process Date</v>
      </c>
      <c r="BY5" s="28" t="str">
        <f>IFERROR(__xludf.DUMMYFUNCTION("""COMPUTED_VALUE"""),"Process Date")</f>
        <v>Process Date</v>
      </c>
      <c r="BZ5" s="28" t="str">
        <f>IFERROR(__xludf.DUMMYFUNCTION("""COMPUTED_VALUE"""),"Original Purchase Date")</f>
        <v>Original Purchase Date</v>
      </c>
      <c r="CA5" s="28" t="str">
        <f>IFERROR(__xludf.DUMMYFUNCTION("""COMPUTED_VALUE"""),"Closing Date")</f>
        <v>Closing Date</v>
      </c>
      <c r="CB5" s="28" t="str">
        <f>IFERROR(__xludf.DUMMYFUNCTION("""COMPUTED_VALUE"""),"Settlement Date")</f>
        <v>Settlement Date</v>
      </c>
      <c r="CC5" s="28" t="str">
        <f>IFERROR(__xludf.DUMMYFUNCTION("""COMPUTED_VALUE"""),"Expiration Date")</f>
        <v>Expiration Date</v>
      </c>
      <c r="CD5" s="28" t="str">
        <f>IFERROR(__xludf.DUMMYFUNCTION("""COMPUTED_VALUE"""),"Underlying Symbol")</f>
        <v>Underlying Symbol</v>
      </c>
      <c r="CE5" s="28" t="str">
        <f>IFERROR(__xludf.DUMMYFUNCTION("""COMPUTED_VALUE"""),"Accrual Basis")</f>
        <v>Accrual Basis</v>
      </c>
      <c r="CF5" s="28" t="str">
        <f>IFERROR(__xludf.DUMMYFUNCTION("""COMPUTED_VALUE"""),"Bond Type")</f>
        <v>Bond Type</v>
      </c>
      <c r="CG5" s="28" t="str">
        <f>IFERROR(__xludf.DUMMYFUNCTION("""COMPUTED_VALUE"""),"Coupon Rate")</f>
        <v>Coupon Rate</v>
      </c>
      <c r="CH5" s="28" t="str">
        <f>IFERROR(__xludf.DUMMYFUNCTION("""COMPUTED_VALUE"""),"Delta")</f>
        <v>Delta</v>
      </c>
      <c r="CI5" s="28" t="str">
        <f>IFERROR(__xludf.DUMMYFUNCTION("""COMPUTED_VALUE"""),"Bloomberg")</f>
        <v>Bloomberg</v>
      </c>
      <c r="CJ5" s="28" t="str">
        <f>IFERROR(__xludf.DUMMYFUNCTION("""COMPUTED_VALUE"""),"Sedol Symbol")</f>
        <v>Sedol Symbol</v>
      </c>
      <c r="CK5" s="28" t="str">
        <f>IFERROR(__xludf.DUMMYFUNCTION("""COMPUTED_VALUE"""),"Cusip Symbol")</f>
        <v>Cusip Symbol</v>
      </c>
      <c r="CL5" s="28" t="str">
        <f>IFERROR(__xludf.DUMMYFUNCTION("""COMPUTED_VALUE"""),"ISIN")</f>
        <v>ISIN</v>
      </c>
      <c r="CM5" s="28" t="str">
        <f>IFERROR(__xludf.DUMMYFUNCTION("""COMPUTED_VALUE"""),"OSISSymbol")</f>
        <v>OSISSymbol</v>
      </c>
      <c r="CN5" s="28" t="str">
        <f>IFERROR(__xludf.DUMMYFUNCTION("""COMPUTED_VALUE"""),"IDCOSymbol")</f>
        <v>IDCOSymbol</v>
      </c>
      <c r="CO5" s="28" t="str">
        <f>IFERROR(__xludf.DUMMYFUNCTION("""COMPUTED_VALUE"""),"Underlying Delta")</f>
        <v>Underlying Delta</v>
      </c>
      <c r="CP5" s="28" t="str">
        <f>IFERROR(__xludf.DUMMYFUNCTION("""COMPUTED_VALUE"""),"Proxy Symbol")</f>
        <v>Proxy Symbol</v>
      </c>
      <c r="CQ5" s="28" t="str">
        <f>IFERROR(__xludf.DUMMYFUNCTION("""COMPUTED_VALUE"""),"Transaction Source")</f>
        <v>Transaction Source</v>
      </c>
      <c r="CR5" s="28" t="str">
        <f>IFERROR(__xludf.DUMMYFUNCTION("""COMPUTED_VALUE"""),"Import File Name")</f>
        <v>Import File Name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16</v>
      </c>
      <c r="C6" s="10">
        <v>700.0</v>
      </c>
      <c r="D6" s="10"/>
      <c r="E6" s="10" t="s">
        <v>18</v>
      </c>
      <c r="F6" s="10" t="s">
        <v>17</v>
      </c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25</v>
      </c>
      <c r="D3" s="8" t="s">
        <v>9</v>
      </c>
      <c r="E3" s="21" t="s">
        <v>27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IFERROR(__xludf.DUMMYFUNCTION("""COMPUTED_VALUE"""),"AvgPrice")</f>
        <v>AvgPrice</v>
      </c>
      <c r="C5" s="26" t="str">
        <f>IFERROR(__xludf.DUMMYFUNCTION("""COMPUTED_VALUE"""),"Commission")</f>
        <v>Commission</v>
      </c>
      <c r="D5" s="26" t="str">
        <f>IFERROR(__xludf.DUMMYFUNCTION("""COMPUTED_VALUE"""),"SoftCommission")</f>
        <v>SoftCommission</v>
      </c>
      <c r="E5" s="26" t="str">
        <f>IFERROR(__xludf.DUMMYFUNCTION("""COMPUTED_VALUE"""),"OtherBrokerFees")</f>
        <v>OtherBrokerFees</v>
      </c>
      <c r="F5" s="27" t="str">
        <f>IFERROR(__xludf.DUMMYFUNCTION("""COMPUTED_VALUE"""),"ClearingBrokerFees")</f>
        <v>ClearingBrokerFees</v>
      </c>
      <c r="G5" s="26" t="str">
        <f>IFERROR(__xludf.DUMMYFUNCTION("""COMPUTED_VALUE"""),"StampDuty")</f>
        <v>StampDuty</v>
      </c>
      <c r="H5" s="26" t="str">
        <f>IFERROR(__xludf.DUMMYFUNCTION("""COMPUTED_VALUE"""),"TransactionLevy")</f>
        <v>TransactionLevy</v>
      </c>
      <c r="I5" s="26" t="str">
        <f>IFERROR(__xludf.DUMMYFUNCTION("""COMPUTED_VALUE"""),"AUECFee1")</f>
        <v>AUECFee1</v>
      </c>
      <c r="J5" s="26" t="str">
        <f>IFERROR(__xludf.DUMMYFUNCTION("""COMPUTED_VALUE"""),"TaxOnCommissions")</f>
        <v>TaxOnCommissions</v>
      </c>
      <c r="K5" s="26" t="str">
        <f>IFERROR(__xludf.DUMMYFUNCTION("""COMPUTED_VALUE"""),"AUECFee2")</f>
        <v>AUECFee2</v>
      </c>
      <c r="L5" s="26" t="str">
        <f>IFERROR(__xludf.DUMMYFUNCTION("""COMPUTED_VALUE"""),"SecFee")</f>
        <v>SecFee</v>
      </c>
      <c r="M5" s="26" t="str">
        <f>IFERROR(__xludf.DUMMYFUNCTION("""COMPUTED_VALUE"""),"OccFee")</f>
        <v>OccFee</v>
      </c>
      <c r="N5" s="26" t="str">
        <f>IFERROR(__xludf.DUMMYFUNCTION("""COMPUTED_VALUE"""),"OrfFee")</f>
        <v>OrfFee</v>
      </c>
      <c r="O5" s="26" t="str">
        <f>IFERROR(__xludf.DUMMYFUNCTION("""COMPUTED_VALUE"""),"Broker")</f>
        <v>Broker</v>
      </c>
      <c r="P5" s="26" t="str">
        <f>IFERROR(__xludf.DUMMYFUNCTION("""COMPUTED_VALUE"""),"Venue")</f>
        <v>Venue</v>
      </c>
      <c r="Q5" s="26" t="str">
        <f>IFERROR(__xludf.DUMMYFUNCTION("""COMPUTED_VALUE"""),"Description")</f>
        <v>Description</v>
      </c>
      <c r="R5" s="26" t="str">
        <f>IFERROR(__xludf.DUMMYFUNCTION("""COMPUTED_VALUE"""),"InternalComments")</f>
        <v>InternalComments</v>
      </c>
      <c r="S5" s="26" t="str">
        <f>IFERROR(__xludf.DUMMYFUNCTION("""COMPUTED_VALUE"""),"FXRate")</f>
        <v>FXRate</v>
      </c>
      <c r="T5" s="28" t="str">
        <f>IFERROR(__xludf.DUMMYFUNCTION("""COMPUTED_VALUE"""),"FxConvOperator")</f>
        <v>FxConvOperator</v>
      </c>
      <c r="U5" s="28" t="str">
        <f>IFERROR(__xludf.DUMMYFUNCTION("""COMPUTED_VALUE"""),"AccruedInterest")</f>
        <v>AccruedInterest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IFERROR(__xludf.DUMMYFUNCTION("""COMPUTED_VALUE"""),"SettlementCurrency")</f>
        <v>SettlementCurrency</v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10">
        <v>50.0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EditAllocatedGroupSidePanel!$4:$4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25</v>
      </c>
      <c r="D3" s="8" t="s">
        <v>9</v>
      </c>
      <c r="E3" s="21" t="s">
        <v>28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0" t="s">
        <v>18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T6" s="30">
        <v>50.0</v>
      </c>
      <c r="BO6" s="30" t="s">
        <v>17</v>
      </c>
      <c r="BT6" s="30" t="s">
        <v>16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30" width="14.43"/>
    <col customWidth="1" min="31" max="31" width="19.0"/>
    <col customWidth="1" min="3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20</v>
      </c>
      <c r="D3" s="8" t="s">
        <v>9</v>
      </c>
      <c r="E3" s="21" t="s">
        <v>29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IFERROR(__xludf.DUMMYFUNCTION("""COMPUTED_VALUE"""),"Taxlot ID")</f>
        <v>Taxlot ID</v>
      </c>
      <c r="C5" s="26" t="str">
        <f>IFERROR(__xludf.DUMMYFUNCTION("""COMPUTED_VALUE"""),"Closing Date")</f>
        <v>Closing Date</v>
      </c>
      <c r="D5" s="26" t="str">
        <f>IFERROR(__xludf.DUMMYFUNCTION("""COMPUTED_VALUE"""),"Account")</f>
        <v>Account</v>
      </c>
      <c r="E5" s="26" t="str">
        <f>IFERROR(__xludf.DUMMYFUNCTION("""COMPUTED_VALUE"""),"Strategy")</f>
        <v>Strategy</v>
      </c>
      <c r="F5" s="27" t="str">
        <f>IFERROR(__xludf.DUMMYFUNCTION("""COMPUTED_VALUE"""),"Position Type")</f>
        <v>Position Type</v>
      </c>
      <c r="G5" s="26" t="str">
        <f>IFERROR(__xludf.DUMMYFUNCTION("""COMPUTED_VALUE"""),"Asset Class")</f>
        <v>Asset Class</v>
      </c>
      <c r="H5" s="26" t="str">
        <f>IFERROR(__xludf.DUMMYFUNCTION("""COMPUTED_VALUE"""),"Symbol")</f>
        <v>Symbol</v>
      </c>
      <c r="I5" s="26" t="str">
        <f>IFERROR(__xludf.DUMMYFUNCTION("""COMPUTED_VALUE"""),"Qty Closed")</f>
        <v>Qty Closed</v>
      </c>
      <c r="J5" s="26" t="str">
        <f>IFERROR(__xludf.DUMMYFUNCTION("""COMPUTED_VALUE"""),"Opening Price")</f>
        <v>Opening Price</v>
      </c>
      <c r="K5" s="26" t="str">
        <f>IFERROR(__xludf.DUMMYFUNCTION("""COMPUTED_VALUE"""),"Closing Price")</f>
        <v>Closing Price</v>
      </c>
      <c r="L5" s="26" t="str">
        <f>IFERROR(__xludf.DUMMYFUNCTION("""COMPUTED_VALUE"""),"ClosingTotalCommissionandFees")</f>
        <v>ClosingTotalCommissionandFees</v>
      </c>
      <c r="M5" s="26" t="str">
        <f>IFERROR(__xludf.DUMMYFUNCTION("""COMPUTED_VALUE"""),"Realized PNL(C.B.)")</f>
        <v>Realized PNL(C.B.)</v>
      </c>
      <c r="N5" s="26" t="str">
        <f>IFERROR(__xludf.DUMMYFUNCTION("""COMPUTED_VALUE"""),"Exchange")</f>
        <v>Exchange</v>
      </c>
      <c r="O5" s="26" t="str">
        <f>IFERROR(__xludf.DUMMYFUNCTION("""COMPUTED_VALUE"""),"Opening Side")</f>
        <v>Opening Side</v>
      </c>
      <c r="P5" s="26" t="str">
        <f>IFERROR(__xludf.DUMMYFUNCTION("""COMPUTED_VALUE"""),"Opening Fees &amp; Commission")</f>
        <v>Opening Fees &amp; Commission</v>
      </c>
      <c r="Q5" s="26" t="str">
        <f>IFERROR(__xludf.DUMMYFUNCTION("""COMPUTED_VALUE"""),"Closing Side")</f>
        <v>Closing Side</v>
      </c>
      <c r="R5" s="26" t="str">
        <f>IFERROR(__xludf.DUMMYFUNCTION("""COMPUTED_VALUE"""),"Closing Method")</f>
        <v>Closing Method</v>
      </c>
      <c r="S5" s="26" t="str">
        <f>IFERROR(__xludf.DUMMYFUNCTION("""COMPUTED_VALUE"""),"ClosingID")</f>
        <v>ClosingID</v>
      </c>
      <c r="T5" s="28" t="str">
        <f>IFERROR(__xludf.DUMMYFUNCTION("""COMPUTED_VALUE"""),"Original Purchase Date")</f>
        <v>Original Purchase Date</v>
      </c>
      <c r="U5" s="28" t="str">
        <f>IFERROR(__xludf.DUMMYFUNCTION("""COMPUTED_VALUE"""),"Description")</f>
        <v>Description</v>
      </c>
      <c r="V5" s="28" t="str">
        <f>IFERROR(__xludf.DUMMYFUNCTION("""COMPUTED_VALUE"""),"AccountID")</f>
        <v>AccountID</v>
      </c>
      <c r="W5" s="28" t="str">
        <f>IFERROR(__xludf.DUMMYFUNCTION("""COMPUTED_VALUE"""),"IsExpired_Settled")</f>
        <v>IsExpired_Settled</v>
      </c>
      <c r="X5" s="28" t="str">
        <f>IFERROR(__xludf.DUMMYFUNCTION("""COMPUTED_VALUE"""),"Underlying")</f>
        <v>Underlying</v>
      </c>
      <c r="Y5" s="28" t="str">
        <f>IFERROR(__xludf.DUMMYFUNCTION("""COMPUTED_VALUE"""),"CurrencyID")</f>
        <v>CurrencyID</v>
      </c>
      <c r="Z5" s="28" t="str">
        <f>IFERROR(__xludf.DUMMYFUNCTION("""COMPUTED_VALUE"""),"Currency")</f>
        <v>Currency</v>
      </c>
      <c r="AA5" s="28" t="str">
        <f>IFERROR(__xludf.DUMMYFUNCTION("""COMPUTED_VALUE"""),"AUECID")</f>
        <v>AUECID</v>
      </c>
      <c r="AB5" s="28" t="str">
        <f>IFERROR(__xludf.DUMMYFUNCTION("""COMPUTED_VALUE"""),"NotionalValue")</f>
        <v>NotionalValue</v>
      </c>
      <c r="AC5" s="28" t="str">
        <f>IFERROR(__xludf.DUMMYFUNCTION("""COMPUTED_VALUE"""),"Multiplier")</f>
        <v>Multiplier</v>
      </c>
      <c r="AD5" s="28" t="str">
        <f>IFERROR(__xludf.DUMMYFUNCTION("""COMPUTED_VALUE"""),"TimeOfSaveUTC")</f>
        <v>TimeOfSaveUTC</v>
      </c>
      <c r="AE5" s="28" t="str">
        <f>IFERROR(__xludf.DUMMYFUNCTION("""COMPUTED_VALUE"""),"Closing Position Type")</f>
        <v>Closing Position Type</v>
      </c>
      <c r="AF5" s="28" t="str">
        <f>IFERROR(__xludf.DUMMYFUNCTION("""COMPUTED_VALUE"""),"Closing Mode")</f>
        <v>Closing Mode</v>
      </c>
      <c r="AG5" s="28" t="str">
        <f>IFERROR(__xludf.DUMMYFUNCTION("""COMPUTED_VALUE"""),"StrategyID")</f>
        <v>StrategyID</v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7"/>
      <c r="D6" s="10" t="s">
        <v>18</v>
      </c>
      <c r="E6" s="38"/>
      <c r="F6" s="10"/>
      <c r="G6" s="7"/>
      <c r="H6" s="10" t="s">
        <v>16</v>
      </c>
      <c r="I6" s="10"/>
      <c r="J6" s="10"/>
      <c r="K6" s="10"/>
      <c r="L6" s="10"/>
      <c r="M6" s="10"/>
      <c r="N6" s="10"/>
      <c r="O6" s="10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VerifyClosedTrades!$4:$4</formula1>
    </dataValidation>
  </dataValidations>
  <drawing r:id="rId1"/>
</worksheet>
</file>