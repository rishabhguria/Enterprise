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DoneAwayOrder" sheetId="5" r:id="rId7"/>
    <sheet state="visible" name="PricingInput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CreateDoneAwayOrder1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SelectTradeOnOrderGrid1" sheetId="14" r:id="rId16"/>
    <sheet state="visible" name="ReplaceSubOrder1" sheetId="15" r:id="rId17"/>
    <sheet state="visible" name="CreateComplianceOrder" sheetId="16" r:id="rId18"/>
    <sheet state="visible" name="VerifyComplianceOrder" sheetId="17" r:id="rId19"/>
  </sheets>
  <definedNames/>
  <calcPr/>
</workbook>
</file>

<file path=xl/sharedStrings.xml><?xml version="1.0" encoding="utf-8"?>
<sst xmlns="http://schemas.openxmlformats.org/spreadsheetml/2006/main" count="183" uniqueCount="58">
  <si>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</si>
  <si>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</si>
  <si>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</si>
  <si>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</si>
  <si>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</si>
  <si>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</si>
  <si>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</si>
  <si>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</si>
  <si>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</si>
  <si>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</si>
  <si>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</si>
  <si>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</si>
  <si>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</si>
  <si>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</si>
  <si>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</si>
  <si>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</si>
  <si>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</si>
  <si>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CreateDoneAwayOrder</t>
  </si>
  <si>
    <t>ES H6</t>
  </si>
  <si>
    <t>Buy</t>
  </si>
  <si>
    <t>Allocation1</t>
  </si>
  <si>
    <t>Yes</t>
  </si>
  <si>
    <t>PricingInput</t>
  </si>
  <si>
    <t>CreateLiveOrder</t>
  </si>
  <si>
    <t>Simulator</t>
  </si>
  <si>
    <t>SelectTrade</t>
  </si>
  <si>
    <t>AcknowledgeTrade</t>
  </si>
  <si>
    <t>Sell</t>
  </si>
  <si>
    <t>Blotter</t>
  </si>
  <si>
    <t>SelectTradeOnOrderGrid</t>
  </si>
  <si>
    <t>New</t>
  </si>
  <si>
    <t>ReplaceSubOrder</t>
  </si>
  <si>
    <t>CreateReplaceOrder</t>
  </si>
  <si>
    <t>No</t>
  </si>
  <si>
    <t>CreateComplianceOrder</t>
  </si>
  <si>
    <t>Replace</t>
  </si>
  <si>
    <t>VerifyComplianceOrder</t>
  </si>
  <si>
    <t>Soft</t>
  </si>
  <si>
    <t>Order Side Check</t>
  </si>
  <si>
    <t>The Order Side Sell is invalid for this trade</t>
  </si>
  <si>
    <t>Allocation1-ES H6</t>
  </si>
  <si>
    <t>Order Side: Sell, Symbol: ES H6, Account: Allocation1, Quantity before trade: 600.00, Order quantity: -601.00, Quantity if trade is executed: -1.00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</si>
  <si>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</si>
  <si>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</si>
  <si>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</si>
  <si>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-1.00, selectedFeedPrice: 20.00, dayPnLBase: -151,000.00, dayPnLLocal: -151,000.00, costBasisPnLBase: -151,000.00, costBasisPnLLocal: -151,000.00, netMarketValueBase: -151,000.00, netMarketValueLocal: -151,000.00, grossExposureBase: 1,000.00, grossExposureLocal: 50.00, AccountShortName: Allocation1, Symbol: ES H6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</si>
  <si>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</si>
  <si>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</si>
  <si>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NewMF-ES H6</t>
  </si>
  <si>
    <t>masterFundName: NewMF, quantity: -1.00, sharesOutstanding: 10,000,000.00, Symbol: ES H6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</si>
  <si>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</si>
  <si>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</si>
  <si>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quantity: -1.00, selectedFeedPrice: 20.00, dayPnLBase: -151,000.00, dayPnLLocal: -151,000.00, costBasisPnLBase: -151,000.00, costBasisPnLLocal: -151,000.00, netMarketValueBase: -151,000.00, netMarketValueLocal: -151,000.00, grossMarketValueBase: 151,000.00, grossMarketValueLocal: 151,000.00, MasterFundName: NewMF, Symbol: ES H6</t>
  </si>
  <si>
    <t>Symbol-Aj</t>
  </si>
  <si>
    <t>quantity: -1.00, selectedFeedPrice: 20.00, dayPnLBase: -151,000.00, dayPnLLocal: -151,000.00, costBasisPnLBase: -151,000.00, costBasisPnLLocal: -151,000.00, netMarketValueBase: -151,000.00, netMarketValueLocal: -151,000.00, grossMarketValueBase: 151,000.00, grossMarketValueLocal: 151,000.00, Symbol: ES H6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</si>
  <si>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</si>
  <si>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</si>
  <si>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601.00, avgPrice: 0.00, selectedFeedPrice: 20.00, dayPnLBase: -601,000.00, dayPnLLocal: -601,000.00, costBasisPnLBase: -601,000.00, costBasisPnLLocal: -601,000.00, netMarketValueBase: -601,000.00, netMarketValueLocal: -601,000.00, grossExposureBase: 601,000.00, grossExposureLocal: 30,050.00, Symbol: ES H6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</si>
</sst>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1" t="b">
        <v>1</v>
      </c>
      <c r="E6" s="31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5">
        <v>500.0</v>
      </c>
      <c r="E6" s="32"/>
      <c r="F6" s="34" t="s">
        <v>20</v>
      </c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5">
        <v>20.0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6">
        <v>1.0E7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5">
        <v>100.0</v>
      </c>
      <c r="E6" s="35"/>
      <c r="F6" s="34" t="s">
        <v>20</v>
      </c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 t="s">
        <v>21</v>
      </c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19</v>
      </c>
      <c r="C6" s="11" t="s">
        <v>18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19</v>
      </c>
      <c r="C6" s="11" t="s">
        <v>18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27</v>
      </c>
      <c r="D6" s="35">
        <v>500.0</v>
      </c>
      <c r="E6" s="36">
        <v>0.0</v>
      </c>
      <c r="F6" s="34" t="s">
        <v>20</v>
      </c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11" t="s">
        <v>18</v>
      </c>
      <c r="E6" s="32"/>
      <c r="F6" s="34" t="s">
        <v>27</v>
      </c>
      <c r="G6" s="34" t="s">
        <v>30</v>
      </c>
      <c r="H6" s="35">
        <v>500.0</v>
      </c>
      <c r="I6" s="35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2"/>
      <c r="E6" s="32"/>
      <c r="F6" s="32"/>
      <c r="G6" s="36">
        <v>500.0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3" t="s">
        <v>18</v>
      </c>
      <c r="AK6" s="32" t="s">
        <v>27</v>
      </c>
      <c r="AL6" s="32" t="s">
        <v>30</v>
      </c>
      <c r="AM6" s="36">
        <v>500.0</v>
      </c>
      <c r="AN6" s="36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11" t="s">
        <v>18</v>
      </c>
      <c r="C6" s="32"/>
      <c r="D6" s="35">
        <v>501.0</v>
      </c>
      <c r="E6" s="32"/>
      <c r="F6" s="32"/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 t="s">
        <v>33</v>
      </c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11" t="s">
        <v>18</v>
      </c>
      <c r="E6" s="32"/>
      <c r="F6" s="34" t="s">
        <v>27</v>
      </c>
      <c r="G6" s="34" t="s">
        <v>30</v>
      </c>
      <c r="H6" s="35">
        <v>500.0</v>
      </c>
      <c r="I6" s="35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2"/>
      <c r="E6" s="32"/>
      <c r="F6" s="32"/>
      <c r="G6" s="36">
        <v>500.0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3" t="s">
        <v>18</v>
      </c>
      <c r="AK6" s="32" t="s">
        <v>27</v>
      </c>
      <c r="AL6" s="32" t="s">
        <v>30</v>
      </c>
      <c r="AM6" s="36">
        <v>500.0</v>
      </c>
      <c r="AN6" s="36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11" t="s">
        <v>18</v>
      </c>
      <c r="C6" s="32"/>
      <c r="D6" s="35">
        <v>601.0</v>
      </c>
      <c r="E6" s="32"/>
      <c r="F6" s="32"/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2" t="s">
        <v>35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37</v>
      </c>
      <c r="C6" s="37" t="s">
        <v>38</v>
      </c>
      <c r="D6" s="37" t="s">
        <v>39</v>
      </c>
      <c r="E6" s="37" t="s">
        <v>40</v>
      </c>
      <c r="F6" s="37">
        <v>600.0</v>
      </c>
      <c r="G6" s="37">
        <v>-1.0</v>
      </c>
      <c r="H6" s="37" t="s">
        <v>41</v>
      </c>
      <c r="I6" s="32"/>
      <c r="J6" s="32"/>
      <c r="K6" s="34" t="s">
        <v>33</v>
      </c>
      <c r="L6" s="32"/>
      <c r="M6" s="34" t="s">
        <v>35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13" t="s">
        <v>37</v>
      </c>
      <c r="C7" s="13" t="s">
        <v>42</v>
      </c>
      <c r="D7" s="13" t="s">
        <v>43</v>
      </c>
      <c r="E7" s="13" t="s">
        <v>40</v>
      </c>
      <c r="F7" s="13" t="s">
        <v>44</v>
      </c>
      <c r="G7" s="13" t="s">
        <v>44</v>
      </c>
      <c r="H7" s="13" t="s">
        <v>45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37</v>
      </c>
      <c r="C8" s="13" t="s">
        <v>46</v>
      </c>
      <c r="D8" s="9" t="s">
        <v>47</v>
      </c>
      <c r="E8" s="13" t="s">
        <v>48</v>
      </c>
      <c r="F8" s="13">
        <v>0.0</v>
      </c>
      <c r="G8" s="13">
        <v>1.0E7</v>
      </c>
      <c r="H8" s="13" t="s">
        <v>49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37</v>
      </c>
      <c r="C9" s="13" t="s">
        <v>50</v>
      </c>
      <c r="D9" s="13" t="s">
        <v>51</v>
      </c>
      <c r="E9" s="13" t="s">
        <v>48</v>
      </c>
      <c r="F9" s="13" t="s">
        <v>44</v>
      </c>
      <c r="G9" s="13" t="s">
        <v>44</v>
      </c>
      <c r="H9" s="13" t="s">
        <v>52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37</v>
      </c>
      <c r="C10" s="13" t="s">
        <v>53</v>
      </c>
      <c r="D10" s="13" t="s">
        <v>51</v>
      </c>
      <c r="E10" s="13" t="s">
        <v>18</v>
      </c>
      <c r="F10" s="13" t="s">
        <v>44</v>
      </c>
      <c r="G10" s="13" t="s">
        <v>44</v>
      </c>
      <c r="H10" s="13" t="s">
        <v>54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37</v>
      </c>
      <c r="C11" s="13" t="s">
        <v>55</v>
      </c>
      <c r="D11" s="13" t="s">
        <v>56</v>
      </c>
      <c r="E11" s="13" t="s">
        <v>18</v>
      </c>
      <c r="F11" s="13" t="s">
        <v>44</v>
      </c>
      <c r="G11" s="13" t="s">
        <v>44</v>
      </c>
      <c r="H11" s="13" t="s">
        <v>57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