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SetTTGeneralPreferences" sheetId="4" r:id="rId6"/>
    <sheet name="AddSymbolOnRAList" sheetId="5" r:id="rId7"/>
    <sheet name="CreateLiveOrder" sheetId="8" r:id="rId10"/>
    <sheet name="SelectTrade" sheetId="9" r:id="rId11"/>
    <sheet name="AcknowledgeTrade" sheetId="10" r:id="rId12"/>
    <sheet name="ExecuteTrade" sheetId="11" r:id="rId13"/>
    <sheet name="SelectTrade1" sheetId="12" r:id="rId14"/>
    <sheet name="AcknowledgeTrade1" sheetId="13" r:id="rId15"/>
    <sheet name="ExecuteTrade1" sheetId="14" r:id="rId16"/>
    <sheet name="SendLiveBloomberg" sheetId="15" r:id="rId17"/>
    <sheet name="SelectTrade2" sheetId="16" r:id="rId18"/>
    <sheet name="AcknowledgeTrade2" sheetId="17" r:id="rId19"/>
    <sheet name="ExecuteTrade2" sheetId="18" r:id="rId20"/>
    <sheet name="SelectTrade3" sheetId="19" r:id="rId21"/>
    <sheet name="AcknowledgeTrade3" sheetId="20" r:id="rId22"/>
    <sheet name="ExecuteTrade3" sheetId="21" r:id="rId23"/>
    <sheet name="VerifyOrder" sheetId="22" r:id="rId24"/>
  </sheets>
  <calcPr fullCalcOnLoad="1"/>
</workbook>
</file>

<file path=xl/sharedStrings.xml><?xml version="1.0" encoding="utf-8"?>
<sst xmlns="http://schemas.openxmlformats.org/spreadsheetml/2006/main" count="72" uniqueCount="72">
  <si>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</si>
  <si>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</si>
  <si>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</si>
  <si>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</si>
  <si>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</si>
  <si>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</si>
  <si>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</si>
  <si>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</si>
  <si>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</si>
  <si>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</si>
  <si>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</si>
  <si>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</si>
  <si>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</si>
  <si>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</si>
  <si>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</si>
  <si>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</si>
  <si>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</si>
  <si>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AddSymbolOnRAList</t>
  </si>
  <si>
    <t>AAPL</t>
  </si>
  <si>
    <t>O:CAM 10E37.50</t>
  </si>
  <si>
    <t>ES H9</t>
  </si>
  <si>
    <t>ES H9C670</t>
  </si>
  <si>
    <t>EF828225</t>
  </si>
  <si>
    <t>EUR/USD</t>
  </si>
  <si>
    <t>EUR/USD 02/06/2019</t>
  </si>
  <si>
    <t>CreateLiveOrder</t>
  </si>
  <si>
    <t>Buy</t>
  </si>
  <si>
    <t>Allocation1</t>
  </si>
  <si>
    <t>Buy to Open</t>
  </si>
  <si>
    <t>Sell</t>
  </si>
  <si>
    <t>Allocation2</t>
  </si>
  <si>
    <t>MSFT</t>
  </si>
  <si>
    <t>O:ABM 10D20.00</t>
  </si>
  <si>
    <t>CL F9</t>
  </si>
  <si>
    <t>ES H9C700</t>
  </si>
  <si>
    <t>GBP/USD</t>
  </si>
  <si>
    <t>USD/CAD 02/06/2019</t>
  </si>
  <si>
    <t>Simulator</t>
  </si>
  <si>
    <t>SelectTrade</t>
  </si>
  <si>
    <t>AcknowledgeTrade</t>
  </si>
  <si>
    <t>ExecuteTrade</t>
  </si>
  <si>
    <t>SendLiveBloomberg</t>
  </si>
  <si>
    <t>AAPL US EQUITY</t>
  </si>
  <si>
    <t>CAM US 05/22/10 C37.5 Equity</t>
  </si>
  <si>
    <t>EURUSD CURNCY</t>
  </si>
  <si>
    <t>EUR/USD N 02/06/2019 CURNCY</t>
  </si>
  <si>
    <t>MSFT US EQUITY</t>
  </si>
  <si>
    <t>ABM US 04/17/10 C20 EQUITY</t>
  </si>
  <si>
    <t>Sell to Open</t>
  </si>
  <si>
    <t>GBPUSD CURNCY</t>
  </si>
  <si>
    <t>USD/CAD N 02/06/2019 CURNCY</t>
  </si>
  <si>
    <t>Blotter</t>
  </si>
  <si>
    <t>VerifyOrder</t>
  </si>
  <si>
    <t>NASDAQ</t>
  </si>
  <si>
    <t>jpearce</t>
  </si>
  <si>
    <t>GCCAP1</t>
  </si>
  <si>
    <t>USD</t>
  </si>
  <si>
    <t>NewMF</t>
  </si>
  <si>
    <t>M</t>
  </si>
  <si>
    <t>Future</t>
  </si>
  <si>
    <t>MS</t>
  </si>
  <si>
    <t>Market</t>
  </si>
  <si>
    <t>ES</t>
  </si>
  <si>
    <t>FutureOption</t>
  </si>
  <si>
    <t>USD/CAD</t>
  </si>
  <si>
    <t>NewMF1</t>
  </si>
  <si>
    <t>FXForward</t>
  </si>
  <si>
    <t>GBP</t>
  </si>
  <si>
    <t>FX</t>
  </si>
  <si>
    <t>Equity</t>
  </si>
  <si>
    <t>ABM</t>
  </si>
  <si>
    <t>EquityOption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</si>
</sst>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fontId="0" fillId="0" borderId="0"/>
  </cellStyleXfs>
  <cellXfs count="51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5" applyFont="1" fillId="0" applyFill="1" borderId="0" applyBorder="1" xfId="0"/>
    <xf fontId="4" applyFont="1" fillId="3" applyFill="1" borderId="4" applyBorder="1" xfId="0"/>
    <xf fontId="7" applyFont="1" fillId="3" applyFill="1" borderId="4" applyBorder="1" xfId="0"/>
    <xf fontId="1" applyFont="1" fillId="2" applyFill="1" borderId="1" applyBorder="1" xfId="0">
      <alignment horizontal="center"/>
    </xf>
    <xf fontId="8" applyFont="1" fillId="3" applyFill="1" borderId="4" applyBorder="1" xfId="0"/>
    <xf fontId="8" applyFont="1" fillId="3" applyFill="1" borderId="4" applyBorder="1" xfId="0"/>
    <xf fontId="9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7" applyFont="1" fillId="0" applyFill="1" borderId="0" applyBorder="1" xfId="0"/>
    <xf fontId="4" applyFont="1" fillId="3" applyFill="1" borderId="0" applyBorder="1" xfId="0"/>
    <xf fontId="7" applyFont="1" fillId="3" applyFill="1" borderId="4" applyBorder="1" xfId="0"/>
    <xf fontId="10" applyFont="1" fillId="3" applyFill="1" borderId="0" applyBorder="1" xfId="0"/>
    <xf fontId="11" applyFont="1" fillId="4" applyFill="1" borderId="0" applyBorder="1" xfId="0"/>
    <xf fontId="12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0" applyFont="1" fillId="5" applyFill="1" borderId="0" applyBorder="1" xfId="0"/>
    <xf fontId="5" applyFont="1" fillId="0" applyFill="1" borderId="0" applyBorder="1" xfId="0"/>
    <xf fontId="5" applyFont="1" fillId="0" applyFill="1" borderId="5" applyBorder="1" xfId="0"/>
    <xf fontId="5" applyFont="1" fillId="0" applyFill="1" borderId="0" applyBorder="1" xfId="0"/>
    <xf fontId="5" applyFont="1" fillId="0" applyFill="1" borderId="5" applyBorder="1" xfId="0"/>
    <xf fontId="3" applyFont="1" fillId="0" applyFill="1" borderId="0" applyBorder="1" xfId="0"/>
    <xf fontId="5" applyFont="1" fillId="0" applyFill="1" borderId="5" applyBorder="1" xfId="0"/>
    <xf fontId="5" applyFont="1" fillId="0" applyFill="1" borderId="5" applyBorder="1" xfId="0">
      <alignment horizontal="right"/>
    </xf>
    <xf fontId="3" applyFont="1" fillId="0" applyFill="1" borderId="5" applyBorder="1" xfId="0"/>
    <xf fontId="3" applyFont="1" fillId="0" applyFill="1" borderId="5" applyBorder="1" xfId="0">
      <alignment horizontal="right"/>
    </xf>
    <xf numFmtId="14" applyNumberFormat="1" fontId="3" applyFont="1" fillId="0" applyFill="1" borderId="5" applyBorder="1" xfId="0">
      <alignment horizontal="right"/>
    </xf>
    <xf fontId="3" applyFont="1" fillId="0" applyFill="1" borderId="0" applyBorder="1" xfId="0"/>
    <xf fontId="5" applyFont="1" fillId="0" applyFill="1" borderId="5" applyBorder="1" xfId="0"/>
    <xf fontId="5" applyFont="1" fillId="0" applyFill="1" borderId="5" applyBorder="1" xfId="0">
      <alignment horizontal="right"/>
    </xf>
    <xf fontId="5" applyFont="1" fillId="0" applyFill="1" borderId="0" applyBorder="1" xfId="0">
      <alignment horizontal="right"/>
    </xf>
    <xf fontId="3" applyFont="1" fillId="0" applyFill="1" borderId="5" applyBorder="1" xfId="0"/>
    <xf fontId="3" applyFont="1" fillId="0" applyFill="1" borderId="0" applyBorder="1" xfId="0">
      <alignment horizontal="right"/>
    </xf>
    <xf fontId="3" applyFont="1" fillId="0" applyFill="1" borderId="0" applyBorder="1" xfId="0">
      <alignment horizontal="right"/>
    </xf>
    <xf fontId="3" applyFont="1" fillId="0" applyFill="1" borderId="0" applyBorder="1" xfId="0"/>
    <xf fontId="13" applyFont="1" fillId="6" applyFill="1" borderId="5" applyBorder="1" xfId="0"/>
    <xf fontId="13" applyFont="1" fillId="6" applyFill="1" borderId="0" applyBorder="1" xfId="0"/>
    <xf fontId="3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25" Type="http://schemas.openxmlformats.org/officeDocument/2006/relationships/sharedStrings" Target="sharedStrings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5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IFERROR(__xludf.DUMMYFUNCTION("""COMPUTED_VALUE"""),"Closing")</f>
        <v>Closing</v>
      </c>
      <c r="B642" s="0" t="str">
        <f>IFERROR(__xludf.DUMMYFUNCTION("""COMPUTED_VALUE"""),"SelectCreateTransactions")</f>
        <v>SelectCreateTransactions</v>
      </c>
      <c r="C642" s="0" t="str">
        <f>IFERROR(__xludf.DUMMYFUNCTION("""COMPUTED_VALUE"""),"1H_lhrQblpnlyHkVDOXbhIVIhZoC9lIB9uTE29zuQhrM")</f>
        <v>1H_lhrQblpnlyHkVDOXbhIVIhZoC9lIB9uTE29zuQhrM</v>
      </c>
    </row>
    <row r="643" ht="15.75" customHeight="1">
      <c r="A643" s="0" t="str">
        <f>IFERROR(__xludf.DUMMYFUNCTION("""COMPUTED_VALUE"""),"Closing")</f>
        <v>Closing</v>
      </c>
      <c r="B643" s="0" t="str">
        <f>IFERROR(__xludf.DUMMYFUNCTION("""COMPUTED_VALUE"""),"EditClosingTransactions")</f>
        <v>EditClosingTransactions</v>
      </c>
      <c r="C643" s="0" t="str">
        <f>IFERROR(__xludf.DUMMYFUNCTION("""COMPUTED_VALUE"""),"15009hbvBY1YaqNloK72CjyPdL0kMpnEYl2EFB4TUG6g")</f>
        <v>15009hbvBY1YaqNloK72CjyPdL0kMpnEYl2EFB4TUG6g</v>
      </c>
    </row>
    <row r="644" ht="15.75" customHeight="1">
      <c r="A644" s="0" t="str">
        <f>IFERROR(__xludf.DUMMYFUNCTION("""COMPUTED_VALUE"""),"Admin")</f>
        <v>Admin</v>
      </c>
      <c r="B644" s="0" t="str">
        <f>IFERROR(__xludf.DUMMYFUNCTION("""COMPUTED_VALUE"""),"SetAllocationPreferences")</f>
        <v>SetAllocationPreferences</v>
      </c>
      <c r="C644" s="0" t="str">
        <f>IFERROR(__xludf.DUMMYFUNCTION("""COMPUTED_VALUE"""),"16PO4KGgITIDM3iQzFlyKHfXPBXba023pXOJQCBN_Elc")</f>
        <v>16PO4KGgITIDM3iQzFlyKHfXPBXba023pXOJQCBN_Elc</v>
      </c>
    </row>
    <row r="645" ht="15.75" customHeight="1">
      <c r="A645" s="0" t="str">
        <f>IFERROR(__xludf.DUMMYFUNCTION("""COMPUTED_VALUE"""),"Closing")</f>
        <v>Closing</v>
      </c>
      <c r="B645" s="0" t="str">
        <f>IFERROR(__xludf.DUMMYFUNCTION("""COMPUTED_VALUE"""),"AddDuplicateRow")</f>
        <v>AddDuplicateRow</v>
      </c>
      <c r="C645" s="0" t="str">
        <f>IFERROR(__xludf.DUMMYFUNCTION("""COMPUTED_VALUE"""),"Undefined")</f>
        <v>Undefined</v>
      </c>
    </row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20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0" t="str">
        <f>IFERROR(__xludf.DUMMYFUNCTION("IMPORTRANGE('_Settings'!B4,""Master Data!A4:L1000"")"),"TradingTicket")</f>
        <v>TradingTicket</v>
      </c>
      <c r="B4" s="0" t="str">
        <f>IFERROR(__xludf.DUMMYFUNCTION("""COMPUTED_VALUE"""),"TradeUsingTT")</f>
        <v>TradeUsingTT</v>
      </c>
      <c r="C4" s="0" t="str">
        <f>IFERROR(__xludf.DUMMYFUNCTION("""COMPUTED_VALUE"""),"TTTrades")</f>
        <v>TTTrades</v>
      </c>
      <c r="D4" s="0" t="str">
        <f>IFERROR(__xludf.DUMMYFUNCTION("""COMPUTED_VALUE"""),"1Q0knOJ8odySzW9kzE5w8PdOc44G2QBZUfKg5ZvUx-xw")</f>
        <v>1Q0knOJ8odySzW9kzE5w8PdOc44G2QBZUfKg5ZvUx-xw</v>
      </c>
    </row>
    <row r="5">
      <c r="A5" s="0" t="str">
        <f>IFERROR(__xludf.DUMMYFUNCTION("""COMPUTED_VALUE"""),"Allocation")</f>
        <v>Allocation</v>
      </c>
      <c r="B5" s="0" t="str">
        <f>IFERROR(__xludf.DUMMYFUNCTION("""COMPUTED_VALUE"""),"SelectAllocatedGroup")</f>
        <v>SelectAllocatedGroup</v>
      </c>
      <c r="C5" s="0" t="str">
        <f>IFERROR(__xludf.DUMMYFUNCTION("""COMPUTED_VALUE"""),"TradesForAllocation")</f>
        <v>TradesForAllocation</v>
      </c>
      <c r="D5" s="0" t="str">
        <f>IFERROR(__xludf.DUMMYFUNCTION("""COMPUTED_VALUE"""),"1-RJhOo2E5PhyqaiMEjsPi8RpfYBuiSqE9fj_-bRpkKw")</f>
        <v>1-RJhOo2E5PhyqaiMEjsPi8RpfYBuiSqE9fj_-bRpkKw</v>
      </c>
    </row>
    <row r="6">
      <c r="A6" s="0" t="str">
        <f>IFERROR(__xludf.DUMMYFUNCTION("""COMPUTED_VALUE"""),"Allocation")</f>
        <v>Allocation</v>
      </c>
      <c r="B6" s="0" t="str">
        <f>IFERROR(__xludf.DUMMYFUNCTION("""COMPUTED_VALUE"""),"SelectUnallocatedGroup")</f>
        <v>SelectUnallocatedGroup</v>
      </c>
      <c r="C6" s="0" t="str">
        <f>IFERROR(__xludf.DUMMYFUNCTION("""COMPUTED_VALUE"""),"TradesForAllocation")</f>
        <v>TradesForAllocation</v>
      </c>
      <c r="D6" s="0" t="str">
        <f>IFERROR(__xludf.DUMMYFUNCTION("""COMPUTED_VALUE"""),"1-RJhOo2E5PhyqaiMEjsPi8RpfYBuiSqE9fj_-bRpkKw")</f>
        <v>1-RJhOo2E5PhyqaiMEjsPi8RpfYBuiSqE9fj_-bRpkKw</v>
      </c>
    </row>
    <row r="7">
      <c r="A7" s="0" t="str">
        <f>IFERROR(__xludf.DUMMYFUNCTION("""COMPUTED_VALUE"""),"TradingTicket")</f>
        <v>TradingTicket</v>
      </c>
      <c r="B7" s="0" t="str">
        <f>IFERROR(__xludf.DUMMYFUNCTION("""COMPUTED_VALUE"""),"CreateDoneAwayOrder")</f>
        <v>CreateDoneAwayOrder</v>
      </c>
      <c r="C7" s="0" t="str">
        <f>IFERROR(__xludf.DUMMYFUNCTION("""COMPUTED_VALUE"""),"TTInput")</f>
        <v>TTInput</v>
      </c>
      <c r="D7" s="0" t="str">
        <f>IFERROR(__xludf.DUMMYFUNCTION("""COMPUTED_VALUE"""),"1b5S4Xpp4fgZ1ez6cK92QFnVBylqz8jhwxdAyEvwDqUI")</f>
        <v>1b5S4Xpp4fgZ1ez6cK92QFnVBylqz8jhwxdAyEvwDqUI</v>
      </c>
    </row>
    <row r="8">
      <c r="A8" s="0" t="str">
        <f>IFERROR(__xludf.DUMMYFUNCTION("""COMPUTED_VALUE"""),"Allocation")</f>
        <v>Allocation</v>
      </c>
      <c r="B8" s="0" t="str">
        <f>IFERROR(__xludf.DUMMYFUNCTION("""COMPUTED_VALUE"""),"SetGroupingRules")</f>
        <v>SetGroupingRules</v>
      </c>
      <c r="C8" s="0" t="str">
        <f>IFERROR(__xludf.DUMMYFUNCTION("""COMPUTED_VALUE"""),"GroupingRules")</f>
        <v>GroupingRules</v>
      </c>
      <c r="D8" s="0" t="str">
        <f>IFERROR(__xludf.DUMMYFUNCTION("""COMPUTED_VALUE"""),"1oiITP7kpTv6Zgm5fpjzHWhIjzPRoRqS_CIZxqoxWRkA")</f>
        <v>1oiITP7kpTv6Zgm5fpjzHWhIjzPRoRqS_CIZxqoxWRkA</v>
      </c>
    </row>
    <row r="9">
      <c r="A9" s="0" t="str">
        <f>IFERROR(__xludf.DUMMYFUNCTION("""COMPUTED_VALUE"""),"Allocation")</f>
        <v>Allocation</v>
      </c>
      <c r="B9" s="0" t="str">
        <f>IFERROR(__xludf.DUMMYFUNCTION("""COMPUTED_VALUE"""),"CheckUnallocatedGroups")</f>
        <v>CheckUnallocatedGroups</v>
      </c>
      <c r="C9" s="0" t="str">
        <f>IFERROR(__xludf.DUMMYFUNCTION("""COMPUTED_VALUE"""),"UnallocatedGroupCheck")</f>
        <v>UnallocatedGroupCheck</v>
      </c>
      <c r="D9" s="0" t="str">
        <f>IFERROR(__xludf.DUMMYFUNCTION("""COMPUTED_VALUE"""),"1c7aP-E18Fb8lEVGiXac03BLoNVdUNRzodD2Xjn-9pzU")</f>
        <v>1c7aP-E18Fb8lEVGiXac03BLoNVdUNRzodD2Xjn-9pzU</v>
      </c>
    </row>
    <row r="10">
      <c r="A10" s="0" t="str">
        <f>IFERROR(__xludf.DUMMYFUNCTION("""COMPUTED_VALUE"""),"GeneralLedger")</f>
        <v>GeneralLedger</v>
      </c>
      <c r="B10" s="0" t="str">
        <f>IFERROR(__xludf.DUMMYFUNCTION("""COMPUTED_VALUE"""),"GetTradingTransaction")</f>
        <v>GetTradingTransaction</v>
      </c>
      <c r="C10" s="0" t="str">
        <f>IFERROR(__xludf.DUMMYFUNCTION("""COMPUTED_VALUE"""),"GetTradingTransaction")</f>
        <v>GetTradingTransaction</v>
      </c>
      <c r="D10" s="0" t="str">
        <f>IFERROR(__xludf.DUMMYFUNCTION("""COMPUTED_VALUE"""),"1IuJkgEDoDUSnmXhZVZdA_x-3VnlMPyzRsUMpf_eRTTQ")</f>
        <v>1IuJkgEDoDUSnmXhZVZdA_x-3VnlMPyzRsUMpf_eRTTQ</v>
      </c>
    </row>
    <row r="11">
      <c r="A11" s="0" t="str">
        <f>IFERROR(__xludf.DUMMYFUNCTION("""COMPUTED_VALUE"""),"TradingTicket")</f>
        <v>TradingTicket</v>
      </c>
      <c r="B11" s="0" t="str">
        <f>IFERROR(__xludf.DUMMYFUNCTION("""COMPUTED_VALUE"""),"CreateDoneAwayOrder")</f>
        <v>CreateDoneAwayOrder</v>
      </c>
      <c r="C11" s="0" t="str">
        <f>IFERROR(__xludf.DUMMYFUNCTION("""COMPUTED_VALUE"""),"CreateDoneAwayOrder")</f>
        <v>CreateDoneAwayOrder</v>
      </c>
      <c r="D11" s="0" t="str">
        <f>IFERROR(__xludf.DUMMYFUNCTION("""COMPUTED_VALUE"""),"1Wybl1BX2sjPWI0uYzeN6KZO-tnk3-pf5NWNrZR7m_8I")</f>
        <v>1Wybl1BX2sjPWI0uYzeN6KZO-tnk3-pf5NWNrZR7m_8I</v>
      </c>
    </row>
    <row r="12">
      <c r="A12" s="0" t="str">
        <f>IFERROR(__xludf.DUMMYFUNCTION("""COMPUTED_VALUE"""),"Allocation")</f>
        <v>Allocation</v>
      </c>
      <c r="B12" s="0" t="str">
        <f>IFERROR(__xludf.DUMMYFUNCTION("""COMPUTED_VALUE"""),"GeneralPreferencesDefaultRule")</f>
        <v>GeneralPreferencesDefaultRule</v>
      </c>
      <c r="C12" s="0" t="str">
        <f>IFERROR(__xludf.DUMMYFUNCTION("""COMPUTED_VALUE"""),"GeneralPreferencesDefualtRules")</f>
        <v>GeneralPreferencesDefualtRules</v>
      </c>
      <c r="D12" s="0" t="str">
        <f>IFERROR(__xludf.DUMMYFUNCTION("""COMPUTED_VALUE"""),"1t-y8DW-cux-RoCJhMs9d4iDbW4QOQ-BXfiT1GYQBvbw")</f>
        <v>1t-y8DW-cux-RoCJhMs9d4iDbW4QOQ-BXfiT1GYQBvbw</v>
      </c>
    </row>
    <row r="13">
      <c r="A13" s="0" t="str">
        <f>IFERROR(__xludf.DUMMYFUNCTION("""COMPUTED_VALUE"""),"Allocation")</f>
        <v>Allocation</v>
      </c>
      <c r="B13" s="0" t="str">
        <f>IFERROR(__xludf.DUMMYFUNCTION("""COMPUTED_VALUE"""),"GeneralPrefCompanyUserWise")</f>
        <v>GeneralPrefCompanyUserWise</v>
      </c>
      <c r="C13" s="0" t="str">
        <f>IFERROR(__xludf.DUMMYFUNCTION("""COMPUTED_VALUE"""),"GeneralPrefCoUserRules")</f>
        <v>GeneralPrefCoUserRules</v>
      </c>
      <c r="D13" s="0" t="str">
        <f>IFERROR(__xludf.DUMMYFUNCTION("""COMPUTED_VALUE"""),"154-ES2jrM9C4VoMik8t5SCjN2LjvQHLPe8ANoIosIcc")</f>
        <v>154-ES2jrM9C4VoMik8t5SCjN2LjvQHLPe8ANoIosIcc</v>
      </c>
    </row>
    <row r="14">
      <c r="A14" s="0" t="str">
        <f>IFERROR(__xludf.DUMMYFUNCTION("""COMPUTED_VALUE"""),"Allocation")</f>
        <v>Allocation</v>
      </c>
      <c r="B14" s="0" t="str">
        <f>IFERROR(__xludf.DUMMYFUNCTION("""COMPUTED_VALUE"""),"EnterAccountValuesToAllocate")</f>
        <v>EnterAccountValuesToAllocate</v>
      </c>
      <c r="C14" s="0" t="str">
        <f>IFERROR(__xludf.DUMMYFUNCTION("""COMPUTED_VALUE"""),"AccountValues")</f>
        <v>AccountValues</v>
      </c>
      <c r="D14" s="0" t="str">
        <f>IFERROR(__xludf.DUMMYFUNCTION("""COMPUTED_VALUE"""),"1mOtszotVOdqHquQTLi-4CBnAUrtAF2MEABuvYJh_hzw")</f>
        <v>1mOtszotVOdqHquQTLi-4CBnAUrtAF2MEABuvYJh_hzw</v>
      </c>
    </row>
    <row r="15">
      <c r="A15" s="0" t="str">
        <f>IFERROR(__xludf.DUMMYFUNCTION("""COMPUTED_VALUE"""),"Allocation")</f>
        <v>Allocation</v>
      </c>
      <c r="B15" s="0" t="str">
        <f>IFERROR(__xludf.DUMMYFUNCTION("""COMPUTED_VALUE"""),"CheckFixedPreference")</f>
        <v>CheckFixedPreference</v>
      </c>
      <c r="C15" s="0" t="str">
        <f>IFERROR(__xludf.DUMMYFUNCTION("""COMPUTED_VALUE"""),"CheckFixedPreference")</f>
        <v>CheckFixedPreference</v>
      </c>
      <c r="D15" s="0" t="str">
        <f>IFERROR(__xludf.DUMMYFUNCTION("""COMPUTED_VALUE"""),"1RNofLIplBOnX_vwsD6AecMNF72I9x58kWSMHVy9EgsM")</f>
        <v>1RNofLIplBOnX_vwsD6AecMNF72I9x58kWSMHVy9EgsM</v>
      </c>
    </row>
    <row r="16">
      <c r="A16" s="0" t="str">
        <f>IFERROR(__xludf.DUMMYFUNCTION("""COMPUTED_VALUE"""),"Allocation")</f>
        <v>Allocation</v>
      </c>
      <c r="B16" s="0" t="str">
        <f>IFERROR(__xludf.DUMMYFUNCTION("""COMPUTED_VALUE"""),"SetAccountValueCalculatedPref")</f>
        <v>SetAccountValueCalculatedPref</v>
      </c>
      <c r="C16" s="0" t="str">
        <f>IFERROR(__xludf.DUMMYFUNCTION("""COMPUTED_VALUE"""),"AccountValueCalculatePref")</f>
        <v>AccountValueCalculatePref</v>
      </c>
      <c r="D16" s="0" t="str">
        <f>IFERROR(__xludf.DUMMYFUNCTION("""COMPUTED_VALUE"""),"1svq-61dzaRHeNDz1TSSUPXQbbN3Mi4bhNQabvGVoz2c")</f>
        <v>1svq-61dzaRHeNDz1TSSUPXQbbN3Mi4bhNQabvGVoz2c</v>
      </c>
    </row>
    <row r="17">
      <c r="A17" s="0" t="str">
        <f>IFERROR(__xludf.DUMMYFUNCTION("""COMPUTED_VALUE"""),"Allocation")</f>
        <v>Allocation</v>
      </c>
      <c r="B17" s="0" t="str">
        <f>IFERROR(__xludf.DUMMYFUNCTION("""COMPUTED_VALUE"""),"SetDefaultRuleCalculatedPref")</f>
        <v>SetDefaultRuleCalculatedPref</v>
      </c>
      <c r="C17" s="0" t="str">
        <f>IFERROR(__xludf.DUMMYFUNCTION("""COMPUTED_VALUE"""),"DefaultRuleCalculatePref")</f>
        <v>DefaultRuleCalculatePref</v>
      </c>
      <c r="D17" s="0" t="str">
        <f>IFERROR(__xludf.DUMMYFUNCTION("""COMPUTED_VALUE"""),"1j6MD8nFEuJNo52Mp8uXbXRmrJs802rnEIiTOEuZFdWA")</f>
        <v>1j6MD8nFEuJNo52Mp8uXbXRmrJs802rnEIiTOEuZFdWA</v>
      </c>
    </row>
    <row r="18">
      <c r="A18" s="0" t="str">
        <f>IFERROR(__xludf.DUMMYFUNCTION("""COMPUTED_VALUE"""),"Allocation")</f>
        <v>Allocation</v>
      </c>
      <c r="B18" s="0" t="str">
        <f>IFERROR(__xludf.DUMMYFUNCTION("""COMPUTED_VALUE"""),"SetStrategyValueCalculatedPref")</f>
        <v>SetStrategyValueCalculatedPref</v>
      </c>
      <c r="C18" s="0" t="str">
        <f>IFERROR(__xludf.DUMMYFUNCTION("""COMPUTED_VALUE"""),"StrategyValueCalculatedPref")</f>
        <v>StrategyValueCalculatedPref</v>
      </c>
      <c r="D18" s="0" t="str">
        <f>IFERROR(__xludf.DUMMYFUNCTION("""COMPUTED_VALUE"""),"1rt8inh4u7qHUhCAFSaa2kmPKLkqeh3uljucYajdto60")</f>
        <v>1rt8inh4u7qHUhCAFSaa2kmPKLkqeh3uljucYajdto60</v>
      </c>
    </row>
    <row r="19">
      <c r="A19" s="0" t="str">
        <f>IFERROR(__xludf.DUMMYFUNCTION("""COMPUTED_VALUE"""),"Allocation")</f>
        <v>Allocation</v>
      </c>
      <c r="B19" s="0" t="str">
        <f>IFERROR(__xludf.DUMMYFUNCTION("""COMPUTED_VALUE"""),"SetGeneralPreferences")</f>
        <v>SetGeneralPreferences</v>
      </c>
      <c r="C19" s="0" t="str">
        <f>IFERROR(__xludf.DUMMYFUNCTION("""COMPUTED_VALUE"""),"GeneralPreferences")</f>
        <v>GeneralPreferences</v>
      </c>
      <c r="D19" s="0" t="str">
        <f>IFERROR(__xludf.DUMMYFUNCTION("""COMPUTED_VALUE"""),"1lI4loUxqzsE3IjuxIjsVY3cB4J_eTKFPPDuXngut4FE")</f>
        <v>1lI4loUxqzsE3IjuxIjsVY3cB4J_eTKFPPDuXngut4FE</v>
      </c>
    </row>
    <row r="20">
      <c r="A20" s="0" t="str">
        <f>IFERROR(__xludf.DUMMYFUNCTION("""COMPUTED_VALUE"""),"Closing")</f>
        <v>Closing</v>
      </c>
      <c r="B20" s="0" t="str">
        <f>IFERROR(__xludf.DUMMYFUNCTION("""COMPUTED_VALUE"""),"AutomaticClosing")</f>
        <v>AutomaticClosing</v>
      </c>
      <c r="C20" s="0" t="str">
        <f>IFERROR(__xludf.DUMMYFUNCTION("""COMPUTED_VALUE"""),"AutomaticClosingMasterData")</f>
        <v>AutomaticClosingMasterData</v>
      </c>
      <c r="D20" s="0" t="str">
        <f>IFERROR(__xludf.DUMMYFUNCTION("""COMPUTED_VALUE"""),"1zwv-aZp-DRCpq8bqLR0XRiyt0av-GAm0ORqbhnV-FKI")</f>
        <v>1zwv-aZp-DRCpq8bqLR0XRiyt0av-GAm0ORqbhnV-FKI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IFERROR(__xludf.DUMMYFUNCTION("IF(C3="""","""",Transpose(IMPORTRANGE('_Settings'!$B$3,C3&amp;""!A4:A1000"")))"),"SetCompliancePermission")</f>
        <v>SetCompliancePermission</v>
      </c>
      <c r="C4" s="24" t="str">
        <f>IFERROR(__xludf.DUMMYFUNCTION("""COMPUTED_VALUE"""),"DeleteSymbolFromSM")</f>
        <v>DeleteSymbolFromSM</v>
      </c>
      <c r="D4" s="24" t="str">
        <f>IFERROR(__xludf.DUMMYFUNCTION("""COMPUTED_VALUE"""),"TradeAuditCleanUp")</f>
        <v>TradeAuditCleanUp</v>
      </c>
      <c r="E4" s="24" t="str">
        <f>IFERROR(__xludf.DUMMYFUNCTION("""COMPUTED_VALUE"""),"RestartSQL")</f>
        <v>RestartSQL</v>
      </c>
      <c r="F4" s="24" t="str">
        <f>IFERROR(__xludf.DUMMYFUNCTION("""COMPUTED_VALUE"""),"RevertingSMSharesOutValue")</f>
        <v>RevertingSMSharesOutValue</v>
      </c>
      <c r="G4" s="24" t="str">
        <f>IFERROR(__xludf.DUMMYFUNCTION("""COMPUTED_VALUE"""),"UpdateFee")</f>
        <v>UpdateFee</v>
      </c>
      <c r="H4" s="24" t="str">
        <f>IFERROR(__xludf.DUMMYFUNCTION("""COMPUTED_VALUE"""),"UpdateSecFee")</f>
        <v>UpdateSecFee</v>
      </c>
      <c r="I4" s="24" t="str">
        <f>IFERROR(__xludf.DUMMYFUNCTION("""COMPUTED_VALUE"""),"SetTTUIPreferences")</f>
        <v>SetTTUIPreferences</v>
      </c>
      <c r="J4" s="24" t="str">
        <f>IFERROR(__xludf.DUMMYFUNCTION("""COMPUTED_VALUE"""),"SetTTUIAdminPreferences")</f>
        <v>SetTTUIAdminPreferences</v>
      </c>
      <c r="K4" s="24" t="str">
        <f>IFERROR(__xludf.DUMMYFUNCTION("""COMPUTED_VALUE"""),"TTPermissionLevel")</f>
        <v>TTPermissionLevel</v>
      </c>
      <c r="L4" s="24" t="str">
        <f>IFERROR(__xludf.DUMMYFUNCTION("""COMPUTED_VALUE"""),"RenameMasterStrategy")</f>
        <v>RenameMasterStrategy</v>
      </c>
      <c r="M4" s="24" t="str">
        <f>IFERROR(__xludf.DUMMYFUNCTION("""COMPUTED_VALUE"""),"UpdateExpirationDate")</f>
        <v>UpdateExpirationDate</v>
      </c>
      <c r="N4" s="24" t="str">
        <f>IFERROR(__xludf.DUMMYFUNCTION("""COMPUTED_VALUE"""),"SetComplianceAlert")</f>
        <v>SetComplianceAlert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IFERROR(__xludf.DUMMYFUNCTION("""COMPUTED_VALUE"""),"IsImportOverrideOnShortLocate")</f>
        <v>IsImportOverrideOnShortLocate</v>
      </c>
      <c r="Q4" s="25" t="str">
        <f>IFERROR(__xludf.DUMMYFUNCTION("""COMPUTED_VALUE"""),"EnableDisableModule")</f>
        <v>EnableDisableModule</v>
      </c>
      <c r="R4" s="25" t="str">
        <f>IFERROR(__xludf.DUMMYFUNCTION("""COMPUTED_VALUE"""),"SetDollarAmountPermission")</f>
        <v>SetDollarAmountPermission</v>
      </c>
      <c r="S4" s="25" t="str">
        <f>IFERROR(__xludf.DUMMYFUNCTION("""COMPUTED_VALUE"""),"SetTTGeneralPreferences")</f>
        <v>SetTTGeneralPreferences</v>
      </c>
      <c r="T4" s="25" t="str">
        <f>IFERROR(__xludf.DUMMYFUNCTION("""COMPUTED_VALUE"""),"EnableBreakdownRealizedPNL")</f>
        <v>EnableBreakdownRealizedPNL</v>
      </c>
      <c r="U4" s="25" t="str">
        <f>IFERROR(__xludf.DUMMYFUNCTION("""COMPUTED_VALUE"""),"SetTradingComplianceRules")</f>
        <v>SetTradingComplianceRules</v>
      </c>
      <c r="V4" s="25" t="str">
        <f>IFERROR(__xludf.DUMMYFUNCTION("""COMPUTED_VALUE"""),"UpdateRoundLot")</f>
        <v>UpdateRoundLot</v>
      </c>
      <c r="W4" s="25" t="str">
        <f>IFERROR(__xludf.DUMMYFUNCTION("""COMPUTED_VALUE"""),"SetThirdPartyFormat")</f>
        <v>SetThirdPartyFormat</v>
      </c>
      <c r="X4" s="25" t="str">
        <f>IFERROR(__xludf.DUMMYFUNCTION("""COMPUTED_VALUE"""),"SetActive")</f>
        <v>SetActive</v>
      </c>
      <c r="Y4" s="25" t="str">
        <f>IFERROR(__xludf.DUMMYFUNCTION("""COMPUTED_VALUE"""),"SetRollover")</f>
        <v>SetRollover</v>
      </c>
      <c r="Z4" s="25" t="str">
        <f>IFERROR(__xludf.DUMMYFUNCTION("""COMPUTED_VALUE"""),"SetCheckSide")</f>
        <v>SetCheckSide</v>
      </c>
      <c r="AA4" s="25" t="str">
        <f>IFERROR(__xludf.DUMMYFUNCTION("""COMPUTED_VALUE"""),"SetAllocationPreferences")</f>
        <v>SetAllocationPreferences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IFERROR(__xludf.DUMMYFUNCTION("""COMPUTED_VALUE"""),"RestrictedSecuritiesList")</f>
        <v>RestrictedSecuritiesList</v>
      </c>
      <c r="C5" s="27" t="str">
        <f>IFERROR(__xludf.DUMMYFUNCTION("""COMPUTED_VALUE"""),"AllowedSecuritiesList")</f>
        <v>AllowedSecuritiesList</v>
      </c>
      <c r="D5" s="27" t="str">
        <f>IFERROR(__xludf.DUMMYFUNCTION("""COMPUTED_VALUE"""),"AllowAllUserToCancelReplaceRemove")</f>
        <v>AllowAllUserToCancelReplaceRemove</v>
      </c>
      <c r="E5" s="27" t="str">
        <f>IFERROR(__xludf.DUMMYFUNCTION("""COMPUTED_VALUE"""),"MasterUserPermission")</f>
        <v>MasterUserPermission</v>
      </c>
      <c r="F5" s="28" t="str">
        <f>IFERROR(__xludf.DUMMYFUNCTION("""COMPUTED_VALUE"""),"AllowAllUserToTransferTrade")</f>
        <v>AllowAllUserToTransferTrade</v>
      </c>
      <c r="G5" s="27" t="str">
        <f>IFERROR(__xludf.DUMMYFUNCTION("""COMPUTED_VALUE"""),"DefaultOrderType")</f>
        <v>DefaultOrderType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IFERROR(__xludf.DUMMYFUNCTION("IF(C3="""","""",Transpose(IMPORTRANGE('_Settings'!$B$3,C3&amp;""!A4:A1000"")))"),"VerifyBasketExport")</f>
        <v>VerifyBasketExport</v>
      </c>
      <c r="C4" s="24" t="str">
        <f>IFERROR(__xludf.DUMMYFUNCTION("""COMPUTED_VALUE"""),"OpenTTFromPST")</f>
        <v>OpenTTFromPST</v>
      </c>
      <c r="D4" s="24" t="str">
        <f>IFERROR(__xludf.DUMMYFUNCTION("""COMPUTED_VALUE"""),"CreateNewSubLiveOrder")</f>
        <v>CreateNewSubLiveOrder</v>
      </c>
      <c r="E4" s="24" t="str">
        <f>IFERROR(__xludf.DUMMYFUNCTION("""COMPUTED_VALUE"""),"CreateReplaceLiveOrder")</f>
        <v>CreateReplaceLiveOrder</v>
      </c>
      <c r="F4" s="24" t="str">
        <f>IFERROR(__xludf.DUMMYFUNCTION("""COMPUTED_VALUE"""),"EnterDetailsOnTT")</f>
        <v>EnterDetailsOnTT</v>
      </c>
      <c r="G4" s="24" t="str">
        <f>IFERROR(__xludf.DUMMYFUNCTION("""COMPUTED_VALUE"""),"ViewAllocation")</f>
        <v>ViewAllocation</v>
      </c>
      <c r="H4" s="24" t="str">
        <f>IFERROR(__xludf.DUMMYFUNCTION("""COMPUTED_VALUE"""),"ValidateSymbolTT")</f>
        <v>ValidateSymbolTT</v>
      </c>
      <c r="I4" s="24" t="str">
        <f>IFERROR(__xludf.DUMMYFUNCTION("""COMPUTED_VALUE"""),"VerifyDataTT")</f>
        <v>VerifyDataTT</v>
      </c>
      <c r="J4" s="24" t="str">
        <f>IFERROR(__xludf.DUMMYFUNCTION("""COMPUTED_VALUE"""),"SetUIPreferencesTT")</f>
        <v>SetUIPreferencesTT</v>
      </c>
      <c r="K4" s="24" t="str">
        <f>IFERROR(__xludf.DUMMYFUNCTION("""COMPUTED_VALUE"""),"SetBrokerWisePreferencesTT")</f>
        <v>SetBrokerWisePreferencesTT</v>
      </c>
      <c r="L4" s="24" t="str">
        <f>IFERROR(__xludf.DUMMYFUNCTION("""COMPUTED_VALUE"""),"VerifyComplianceOrder")</f>
        <v>VerifyComplianceOrder</v>
      </c>
      <c r="M4" s="24" t="str">
        <f>IFERROR(__xludf.DUMMYFUNCTION("""COMPUTED_VALUE"""),"TradeNewSub")</f>
        <v>TradeNewSub</v>
      </c>
      <c r="N4" s="24" t="str">
        <f>IFERROR(__xludf.DUMMYFUNCTION("""COMPUTED_VALUE"""),"SendLiveBloomberg")</f>
        <v>SendLiveBloomberg</v>
      </c>
      <c r="O4" s="24" t="str">
        <f>IFERROR(__xludf.DUMMYFUNCTION("""COMPUTED_VALUE"""),"AddOptionTrade")</f>
        <v>AddOptionTrade</v>
      </c>
      <c r="P4" s="25" t="str">
        <f>IFERROR(__xludf.DUMMYFUNCTION("""COMPUTED_VALUE"""),"CreateComplianceOrder")</f>
        <v>CreateComplianceOrder</v>
      </c>
      <c r="Q4" s="25" t="str">
        <f>IFERROR(__xludf.DUMMYFUNCTION("""COMPUTED_VALUE"""),"CreateDoneAwayOrder")</f>
        <v>CreateDoneAwayOrder</v>
      </c>
      <c r="R4" s="25" t="str">
        <f>IFERROR(__xludf.DUMMYFUNCTION("""COMPUTED_VALUE"""),"CreateStageOrder")</f>
        <v>CreateStageOrder</v>
      </c>
      <c r="S4" s="25" t="str">
        <f>IFERROR(__xludf.DUMMYFUNCTION("""COMPUTED_VALUE"""),"ToggleBlombergOnRA")</f>
        <v>ToggleBlombergOnRA</v>
      </c>
      <c r="T4" s="25" t="str">
        <f>IFERROR(__xludf.DUMMYFUNCTION("""COMPUTED_VALUE"""),"CreateReplaceOrder")</f>
        <v>CreateReplaceOrder</v>
      </c>
      <c r="U4" s="25" t="str">
        <f>IFERROR(__xludf.DUMMYFUNCTION("""COMPUTED_VALUE"""),"RemoveSymbolFromRAList")</f>
        <v>RemoveSymbolFromRAList</v>
      </c>
      <c r="V4" s="25" t="str">
        <f>IFERROR(__xludf.DUMMYFUNCTION("""COMPUTED_VALUE"""),"DeleteSymbolListFromRA")</f>
        <v>DeleteSymbolListFromRA</v>
      </c>
      <c r="W4" s="25" t="str">
        <f>IFERROR(__xludf.DUMMYFUNCTION("""COMPUTED_VALUE"""),"AddSymbolOnRAList")</f>
        <v>AddSymbolOnRAList</v>
      </c>
      <c r="X4" s="25" t="str">
        <f>IFERROR(__xludf.DUMMYFUNCTION("""COMPUTED_VALUE"""),"CheckPendingNewOrderAlert")</f>
        <v>CheckPendingNewOrderAlert</v>
      </c>
      <c r="Y4" s="25" t="str">
        <f>IFERROR(__xludf.DUMMYFUNCTION("""COMPUTED_VALUE"""),"ExportSymbolFromRAList")</f>
        <v>ExportSymbolFromRAList</v>
      </c>
      <c r="Z4" s="25" t="str">
        <f>IFERROR(__xludf.DUMMYFUNCTION("""COMPUTED_VALUE"""),"ImportSymbol")</f>
        <v>ImportSymbol</v>
      </c>
      <c r="AA4" s="25" t="str">
        <f>IFERROR(__xludf.DUMMYFUNCTION("""COMPUTED_VALUE"""),"SetGeneralPreference")</f>
        <v>SetGeneralPreference</v>
      </c>
      <c r="AB4" s="25" t="str">
        <f>IFERROR(__xludf.DUMMYFUNCTION("""COMPUTED_VALUE"""),"SetTTCompliancePreference")</f>
        <v>SetTTCompliancePreference</v>
      </c>
      <c r="AC4" s="25" t="str">
        <f>IFERROR(__xludf.DUMMYFUNCTION("""COMPUTED_VALUE"""),"UpdateMasterFundOnTT")</f>
        <v>UpdateMasterFundOnTT</v>
      </c>
      <c r="AD4" s="25" t="str">
        <f>IFERROR(__xludf.DUMMYFUNCTION("""COMPUTED_VALUE"""),"CreateLiveOrder")</f>
        <v>CreateLiveOrder</v>
      </c>
      <c r="AE4" s="25" t="str">
        <f>IFERROR(__xludf.DUMMYFUNCTION("""COMPUTED_VALUE"""),"CreateNewSubOrder")</f>
        <v>CreateNewSubOrder</v>
      </c>
      <c r="AF4" s="25" t="str">
        <f>IFERROR(__xludf.DUMMYFUNCTION("""COMPUTED_VALUE"""),"TradeBloomberg")</f>
        <v>TradeBloomberg</v>
      </c>
      <c r="AG4" s="25" t="str">
        <f>IFERROR(__xludf.DUMMYFUNCTION("""COMPUTED_VALUE"""),"ClickSymbolLookup")</f>
        <v>ClickSymbolLookup</v>
      </c>
      <c r="AH4" s="25" t="str">
        <f>IFERROR(__xludf.DUMMYFUNCTION("""COMPUTED_VALUE"""),"VerifyTT")</f>
        <v>VerifyTT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18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19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20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21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 t="s">
        <v>22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2" t="s">
        <v>23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3" t="s">
        <v>24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AddSymbolOnRAList!$4:$4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4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IFERROR(__xludf.DUMMYFUNCTION("IF(C3="""","""",Transpose(IMPORTRANGE('_Settings'!$B$3,C3&amp;""!A4:A1000"")))"),"VerifyBasketExport")</f>
        <v>VerifyBasketExport</v>
      </c>
      <c r="C4" s="24" t="str">
        <f>IFERROR(__xludf.DUMMYFUNCTION("""COMPUTED_VALUE"""),"OpenTTFromPST")</f>
        <v>OpenTTFromPST</v>
      </c>
      <c r="D4" s="24" t="str">
        <f>IFERROR(__xludf.DUMMYFUNCTION("""COMPUTED_VALUE"""),"CreateNewSubLiveOrder")</f>
        <v>CreateNewSubLiveOrder</v>
      </c>
      <c r="E4" s="24" t="str">
        <f>IFERROR(__xludf.DUMMYFUNCTION("""COMPUTED_VALUE"""),"CreateReplaceLiveOrder")</f>
        <v>CreateReplaceLiveOrder</v>
      </c>
      <c r="F4" s="24" t="str">
        <f>IFERROR(__xludf.DUMMYFUNCTION("""COMPUTED_VALUE"""),"EnterDetailsOnTT")</f>
        <v>EnterDetailsOnTT</v>
      </c>
      <c r="G4" s="24" t="str">
        <f>IFERROR(__xludf.DUMMYFUNCTION("""COMPUTED_VALUE"""),"ViewAllocation")</f>
        <v>ViewAllocation</v>
      </c>
      <c r="H4" s="24" t="str">
        <f>IFERROR(__xludf.DUMMYFUNCTION("""COMPUTED_VALUE"""),"ValidateSymbolTT")</f>
        <v>ValidateSymbolTT</v>
      </c>
      <c r="I4" s="24" t="str">
        <f>IFERROR(__xludf.DUMMYFUNCTION("""COMPUTED_VALUE"""),"VerifyDataTT")</f>
        <v>VerifyDataTT</v>
      </c>
      <c r="J4" s="24" t="str">
        <f>IFERROR(__xludf.DUMMYFUNCTION("""COMPUTED_VALUE"""),"SetUIPreferencesTT")</f>
        <v>SetUIPreferencesTT</v>
      </c>
      <c r="K4" s="24" t="str">
        <f>IFERROR(__xludf.DUMMYFUNCTION("""COMPUTED_VALUE"""),"SetBrokerWisePreferencesTT")</f>
        <v>SetBrokerWisePreferencesTT</v>
      </c>
      <c r="L4" s="24" t="str">
        <f>IFERROR(__xludf.DUMMYFUNCTION("""COMPUTED_VALUE"""),"VerifyComplianceOrder")</f>
        <v>VerifyComplianceOrder</v>
      </c>
      <c r="M4" s="24" t="str">
        <f>IFERROR(__xludf.DUMMYFUNCTION("""COMPUTED_VALUE"""),"TradeNewSub")</f>
        <v>TradeNewSub</v>
      </c>
      <c r="N4" s="24" t="str">
        <f>IFERROR(__xludf.DUMMYFUNCTION("""COMPUTED_VALUE"""),"SendLiveBloomberg")</f>
        <v>SendLiveBloomberg</v>
      </c>
      <c r="O4" s="24" t="str">
        <f>IFERROR(__xludf.DUMMYFUNCTION("""COMPUTED_VALUE"""),"AddOptionTrade")</f>
        <v>AddOptionTrade</v>
      </c>
      <c r="P4" s="25" t="str">
        <f>IFERROR(__xludf.DUMMYFUNCTION("""COMPUTED_VALUE"""),"CreateComplianceOrder")</f>
        <v>CreateComplianceOrder</v>
      </c>
      <c r="Q4" s="25" t="str">
        <f>IFERROR(__xludf.DUMMYFUNCTION("""COMPUTED_VALUE"""),"CreateDoneAwayOrder")</f>
        <v>CreateDoneAwayOrder</v>
      </c>
      <c r="R4" s="25" t="str">
        <f>IFERROR(__xludf.DUMMYFUNCTION("""COMPUTED_VALUE"""),"CreateStageOrder")</f>
        <v>CreateStageOrder</v>
      </c>
      <c r="S4" s="25" t="str">
        <f>IFERROR(__xludf.DUMMYFUNCTION("""COMPUTED_VALUE"""),"ToggleBlombergOnRA")</f>
        <v>ToggleBlombergOnRA</v>
      </c>
      <c r="T4" s="25" t="str">
        <f>IFERROR(__xludf.DUMMYFUNCTION("""COMPUTED_VALUE"""),"CreateReplaceOrder")</f>
        <v>CreateReplaceOrder</v>
      </c>
      <c r="U4" s="25" t="str">
        <f>IFERROR(__xludf.DUMMYFUNCTION("""COMPUTED_VALUE"""),"RemoveSymbolFromRAList")</f>
        <v>RemoveSymbolFromRAList</v>
      </c>
      <c r="V4" s="25" t="str">
        <f>IFERROR(__xludf.DUMMYFUNCTION("""COMPUTED_VALUE"""),"DeleteSymbolListFromRA")</f>
        <v>DeleteSymbolListFromRA</v>
      </c>
      <c r="W4" s="25" t="str">
        <f>IFERROR(__xludf.DUMMYFUNCTION("""COMPUTED_VALUE"""),"AddSymbolOnRAList")</f>
        <v>AddSymbolOnRAList</v>
      </c>
      <c r="X4" s="25" t="str">
        <f>IFERROR(__xludf.DUMMYFUNCTION("""COMPUTED_VALUE"""),"CheckPendingNewOrderAlert")</f>
        <v>CheckPendingNewOrderAlert</v>
      </c>
      <c r="Y4" s="25" t="str">
        <f>IFERROR(__xludf.DUMMYFUNCTION("""COMPUTED_VALUE"""),"ExportSymbolFromRAList")</f>
        <v>ExportSymbolFromRAList</v>
      </c>
      <c r="Z4" s="25" t="str">
        <f>IFERROR(__xludf.DUMMYFUNCTION("""COMPUTED_VALUE"""),"ImportSymbol")</f>
        <v>ImportSymbol</v>
      </c>
      <c r="AA4" s="25" t="str">
        <f>IFERROR(__xludf.DUMMYFUNCTION("""COMPUTED_VALUE"""),"SetGeneralPreference")</f>
        <v>SetGeneralPreference</v>
      </c>
      <c r="AB4" s="25" t="str">
        <f>IFERROR(__xludf.DUMMYFUNCTION("""COMPUTED_VALUE"""),"SetTTCompliancePreference")</f>
        <v>SetTTCompliancePreference</v>
      </c>
      <c r="AC4" s="25" t="str">
        <f>IFERROR(__xludf.DUMMYFUNCTION("""COMPUTED_VALUE"""),"UpdateMasterFundOnTT")</f>
        <v>UpdateMasterFundOnTT</v>
      </c>
      <c r="AD4" s="25" t="str">
        <f>IFERROR(__xludf.DUMMYFUNCTION("""COMPUTED_VALUE"""),"CreateLiveOrder")</f>
        <v>CreateLiveOrder</v>
      </c>
      <c r="AE4" s="25" t="str">
        <f>IFERROR(__xludf.DUMMYFUNCTION("""COMPUTED_VALUE"""),"CreateNewSubOrder")</f>
        <v>CreateNewSubOrder</v>
      </c>
      <c r="AF4" s="25" t="str">
        <f>IFERROR(__xludf.DUMMYFUNCTION("""COMPUTED_VALUE"""),"TradeBloomberg")</f>
        <v>TradeBloomberg</v>
      </c>
      <c r="AG4" s="25" t="str">
        <f>IFERROR(__xludf.DUMMYFUNCTION("""COMPUTED_VALUE"""),"ClickSymbolLookup")</f>
        <v>ClickSymbolLookup</v>
      </c>
      <c r="AH4" s="25" t="str">
        <f>IFERROR(__xludf.DUMMYFUNCTION("""COMPUTED_VALUE"""),"VerifyTT")</f>
        <v>VerifyTT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1" t="s">
        <v>18</v>
      </c>
      <c r="C6" s="35" t="s">
        <v>26</v>
      </c>
      <c r="D6" s="36">
        <v>100</v>
      </c>
      <c r="E6" s="37"/>
      <c r="F6" s="35" t="s">
        <v>27</v>
      </c>
      <c r="G6" s="37"/>
      <c r="H6" s="37"/>
      <c r="I6" s="37"/>
      <c r="J6" s="38">
        <v>10</v>
      </c>
      <c r="K6" s="37"/>
      <c r="L6" s="37"/>
      <c r="M6" s="37"/>
      <c r="N6" s="39">
        <f ref="N6:N17" t="shared" si="1">today()</f>
        <v>45085</v>
      </c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35" t="s">
        <v>19</v>
      </c>
      <c r="C7" s="41" t="s">
        <v>28</v>
      </c>
      <c r="D7" s="42">
        <v>100</v>
      </c>
      <c r="E7" s="37"/>
      <c r="F7" s="35" t="s">
        <v>27</v>
      </c>
      <c r="G7" s="40"/>
      <c r="H7" s="40"/>
      <c r="I7" s="40"/>
      <c r="J7" s="43">
        <v>20</v>
      </c>
      <c r="K7" s="40"/>
      <c r="L7" s="40"/>
      <c r="M7" s="37"/>
      <c r="N7" s="39">
        <f t="shared" si="1"/>
        <v>45085</v>
      </c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35" t="s">
        <v>20</v>
      </c>
      <c r="C8" s="35" t="s">
        <v>26</v>
      </c>
      <c r="D8" s="42">
        <v>100</v>
      </c>
      <c r="E8" s="37"/>
      <c r="F8" s="35" t="s">
        <v>27</v>
      </c>
      <c r="G8" s="40"/>
      <c r="H8" s="40"/>
      <c r="I8" s="40"/>
      <c r="J8" s="43">
        <v>30</v>
      </c>
      <c r="K8" s="40"/>
      <c r="L8" s="40"/>
      <c r="M8" s="37"/>
      <c r="N8" s="39">
        <f t="shared" si="1"/>
        <v>45085</v>
      </c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35" t="s">
        <v>21</v>
      </c>
      <c r="C9" s="35" t="s">
        <v>26</v>
      </c>
      <c r="D9" s="42">
        <v>100</v>
      </c>
      <c r="E9" s="37"/>
      <c r="F9" s="35" t="s">
        <v>27</v>
      </c>
      <c r="G9" s="40"/>
      <c r="H9" s="40"/>
      <c r="I9" s="40"/>
      <c r="J9" s="43">
        <v>40</v>
      </c>
      <c r="K9" s="40"/>
      <c r="L9" s="40"/>
      <c r="M9" s="37"/>
      <c r="N9" s="39">
        <f t="shared" si="1"/>
        <v>45085</v>
      </c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40"/>
      <c r="B10" s="32" t="s">
        <v>23</v>
      </c>
      <c r="C10" s="35" t="s">
        <v>29</v>
      </c>
      <c r="D10" s="42">
        <v>100</v>
      </c>
      <c r="E10" s="37"/>
      <c r="F10" s="35" t="s">
        <v>30</v>
      </c>
      <c r="G10" s="40"/>
      <c r="H10" s="40"/>
      <c r="I10" s="40"/>
      <c r="J10" s="43">
        <v>20</v>
      </c>
      <c r="K10" s="40"/>
      <c r="L10" s="40"/>
      <c r="M10" s="37"/>
      <c r="N10" s="39">
        <f t="shared" si="1"/>
        <v>45085</v>
      </c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</row>
    <row r="11" ht="15.75" customHeight="1">
      <c r="A11" s="40"/>
      <c r="B11" s="32" t="s">
        <v>24</v>
      </c>
      <c r="C11" s="35" t="s">
        <v>29</v>
      </c>
      <c r="D11" s="42">
        <v>100</v>
      </c>
      <c r="E11" s="37"/>
      <c r="F11" s="35" t="s">
        <v>30</v>
      </c>
      <c r="G11" s="40"/>
      <c r="H11" s="40"/>
      <c r="I11" s="40"/>
      <c r="J11" s="42">
        <v>30</v>
      </c>
      <c r="K11" s="40"/>
      <c r="L11" s="40"/>
      <c r="M11" s="37"/>
      <c r="N11" s="39">
        <f t="shared" si="1"/>
        <v>45085</v>
      </c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</row>
    <row r="12" ht="15.75" customHeight="1">
      <c r="A12" s="40"/>
      <c r="B12" s="35" t="s">
        <v>31</v>
      </c>
      <c r="C12" s="35" t="s">
        <v>26</v>
      </c>
      <c r="D12" s="42">
        <v>100</v>
      </c>
      <c r="E12" s="37"/>
      <c r="F12" s="35" t="s">
        <v>27</v>
      </c>
      <c r="G12" s="40"/>
      <c r="H12" s="40"/>
      <c r="I12" s="37"/>
      <c r="J12" s="38">
        <v>10</v>
      </c>
      <c r="K12" s="40"/>
      <c r="L12" s="40"/>
      <c r="M12" s="37"/>
      <c r="N12" s="39">
        <f t="shared" si="1"/>
        <v>45085</v>
      </c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</row>
    <row r="13" ht="15.75" customHeight="1">
      <c r="A13" s="40"/>
      <c r="B13" s="35" t="s">
        <v>32</v>
      </c>
      <c r="C13" s="41" t="s">
        <v>28</v>
      </c>
      <c r="D13" s="42">
        <v>100</v>
      </c>
      <c r="E13" s="37"/>
      <c r="F13" s="35" t="s">
        <v>27</v>
      </c>
      <c r="G13" s="40"/>
      <c r="H13" s="40"/>
      <c r="I13" s="40"/>
      <c r="J13" s="43">
        <v>20</v>
      </c>
      <c r="K13" s="40"/>
      <c r="L13" s="40"/>
      <c r="M13" s="37"/>
      <c r="N13" s="39">
        <f t="shared" si="1"/>
        <v>45085</v>
      </c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</row>
    <row r="14" ht="15.75" customHeight="1">
      <c r="A14" s="40"/>
      <c r="B14" s="35" t="s">
        <v>33</v>
      </c>
      <c r="C14" s="35" t="s">
        <v>26</v>
      </c>
      <c r="D14" s="42">
        <v>100</v>
      </c>
      <c r="E14" s="37"/>
      <c r="F14" s="35" t="s">
        <v>27</v>
      </c>
      <c r="G14" s="40"/>
      <c r="H14" s="40"/>
      <c r="I14" s="40"/>
      <c r="J14" s="43">
        <v>30</v>
      </c>
      <c r="K14" s="40"/>
      <c r="L14" s="40"/>
      <c r="M14" s="37"/>
      <c r="N14" s="39">
        <f t="shared" si="1"/>
        <v>45085</v>
      </c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 s="40"/>
      <c r="DT14" s="40"/>
      <c r="DU14" s="40"/>
      <c r="DV14" s="40"/>
      <c r="DW14" s="40"/>
      <c r="DX14" s="40"/>
      <c r="DY14" s="40"/>
      <c r="DZ14" s="40"/>
      <c r="EA14" s="40"/>
      <c r="EB14" s="40"/>
      <c r="EC14" s="40"/>
      <c r="ED14" s="40"/>
      <c r="EE14" s="40"/>
      <c r="EF14" s="40"/>
      <c r="EG14" s="40"/>
      <c r="EH14" s="40"/>
      <c r="EI14" s="40"/>
      <c r="EJ14" s="40"/>
      <c r="EK14" s="40"/>
      <c r="EL14" s="40"/>
      <c r="EM14" s="40"/>
      <c r="EN14" s="40"/>
      <c r="EO14" s="40"/>
      <c r="EP14" s="40"/>
      <c r="EQ14" s="40"/>
      <c r="ER14" s="40"/>
      <c r="ES14" s="40"/>
      <c r="ET14" s="40"/>
      <c r="EU14" s="40"/>
      <c r="EV14" s="40"/>
      <c r="EW14" s="40"/>
      <c r="EX14" s="40"/>
    </row>
    <row r="15" ht="15.75" customHeight="1">
      <c r="A15" s="40"/>
      <c r="B15" s="35" t="s">
        <v>34</v>
      </c>
      <c r="C15" s="35" t="s">
        <v>26</v>
      </c>
      <c r="D15" s="42">
        <v>100</v>
      </c>
      <c r="E15" s="37"/>
      <c r="F15" s="35" t="s">
        <v>27</v>
      </c>
      <c r="G15" s="40"/>
      <c r="H15" s="40"/>
      <c r="I15" s="40"/>
      <c r="J15" s="43">
        <v>40</v>
      </c>
      <c r="K15" s="40"/>
      <c r="L15" s="40"/>
      <c r="M15" s="37"/>
      <c r="N15" s="39">
        <f t="shared" si="1"/>
        <v>45085</v>
      </c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  <c r="DS15" s="40"/>
      <c r="DT15" s="40"/>
      <c r="DU15" s="40"/>
      <c r="DV15" s="40"/>
      <c r="DW15" s="40"/>
      <c r="DX15" s="40"/>
      <c r="DY15" s="40"/>
      <c r="DZ15" s="40"/>
      <c r="EA15" s="40"/>
      <c r="EB15" s="40"/>
      <c r="EC15" s="40"/>
      <c r="ED15" s="40"/>
      <c r="EE15" s="40"/>
      <c r="EF15" s="40"/>
      <c r="EG15" s="40"/>
      <c r="EH15" s="40"/>
      <c r="EI15" s="40"/>
      <c r="EJ15" s="40"/>
      <c r="EK15" s="40"/>
      <c r="EL15" s="40"/>
      <c r="EM15" s="40"/>
      <c r="EN15" s="40"/>
      <c r="EO15" s="40"/>
      <c r="EP15" s="40"/>
      <c r="EQ15" s="40"/>
      <c r="ER15" s="40"/>
      <c r="ES15" s="40"/>
      <c r="ET15" s="40"/>
      <c r="EU15" s="40"/>
      <c r="EV15" s="40"/>
      <c r="EW15" s="40"/>
      <c r="EX15" s="40"/>
    </row>
    <row r="16" ht="15.75" customHeight="1">
      <c r="A16" s="40"/>
      <c r="B16" s="32" t="s">
        <v>35</v>
      </c>
      <c r="C16" s="35" t="s">
        <v>29</v>
      </c>
      <c r="D16" s="42">
        <v>100</v>
      </c>
      <c r="E16" s="37"/>
      <c r="F16" s="35" t="s">
        <v>30</v>
      </c>
      <c r="G16" s="40"/>
      <c r="H16" s="40"/>
      <c r="I16" s="40"/>
      <c r="J16" s="43">
        <v>20</v>
      </c>
      <c r="K16" s="40"/>
      <c r="L16" s="40"/>
      <c r="M16" s="37"/>
      <c r="N16" s="39">
        <f t="shared" si="1"/>
        <v>45085</v>
      </c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/>
      <c r="DE16" s="40"/>
      <c r="DF16" s="40"/>
      <c r="DG16" s="40"/>
      <c r="DH16" s="40"/>
      <c r="DI16" s="40"/>
      <c r="DJ16" s="40"/>
      <c r="DK16" s="40"/>
      <c r="DL16" s="40"/>
      <c r="DM16" s="40"/>
      <c r="DN16" s="40"/>
      <c r="DO16" s="40"/>
      <c r="DP16" s="40"/>
      <c r="DQ16" s="40"/>
      <c r="DR16" s="40"/>
      <c r="DS16" s="40"/>
      <c r="DT16" s="40"/>
      <c r="DU16" s="40"/>
      <c r="DV16" s="40"/>
      <c r="DW16" s="40"/>
      <c r="DX16" s="40"/>
      <c r="DY16" s="40"/>
      <c r="DZ16" s="40"/>
      <c r="EA16" s="40"/>
      <c r="EB16" s="40"/>
      <c r="EC16" s="40"/>
      <c r="ED16" s="40"/>
      <c r="EE16" s="40"/>
      <c r="EF16" s="40"/>
      <c r="EG16" s="40"/>
      <c r="EH16" s="40"/>
      <c r="EI16" s="40"/>
      <c r="EJ16" s="40"/>
      <c r="EK16" s="40"/>
      <c r="EL16" s="40"/>
      <c r="EM16" s="40"/>
      <c r="EN16" s="40"/>
      <c r="EO16" s="40"/>
      <c r="EP16" s="40"/>
      <c r="EQ16" s="40"/>
      <c r="ER16" s="40"/>
      <c r="ES16" s="40"/>
      <c r="ET16" s="40"/>
      <c r="EU16" s="40"/>
      <c r="EV16" s="40"/>
      <c r="EW16" s="40"/>
      <c r="EX16" s="40"/>
    </row>
    <row r="17" ht="15.75" customHeight="1">
      <c r="A17" s="40"/>
      <c r="B17" s="32" t="s">
        <v>36</v>
      </c>
      <c r="C17" s="35" t="s">
        <v>29</v>
      </c>
      <c r="D17" s="42">
        <v>100</v>
      </c>
      <c r="E17" s="37"/>
      <c r="F17" s="35" t="s">
        <v>30</v>
      </c>
      <c r="G17" s="40"/>
      <c r="H17" s="40"/>
      <c r="I17" s="40"/>
      <c r="J17" s="43">
        <v>30</v>
      </c>
      <c r="K17" s="40"/>
      <c r="L17" s="40"/>
      <c r="M17" s="37"/>
      <c r="N17" s="39">
        <f t="shared" si="1"/>
        <v>45085</v>
      </c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IFERROR(__xludf.DUMMYFUNCTION("IF(C3="""","""",Transpose(IMPORTRANGE('_Settings'!$B$3,C3&amp;""!A4:A1000"")))"),"VerifyTrades")</f>
        <v>VerifyTrades</v>
      </c>
      <c r="C4" s="24" t="str">
        <f>IFERROR(__xludf.DUMMYFUNCTION("""COMPUTED_VALUE"""),"ClearUI")</f>
        <v>ClearUI</v>
      </c>
      <c r="D4" s="24" t="str">
        <f>IFERROR(__xludf.DUMMYFUNCTION("""COMPUTED_VALUE"""),"SetManualResponse")</f>
        <v>SetManualResponse</v>
      </c>
      <c r="E4" s="24" t="str">
        <f>IFERROR(__xludf.DUMMYFUNCTION("""COMPUTED_VALUE"""),"OpenLiveTT")</f>
        <v>OpenLiveTT</v>
      </c>
      <c r="F4" s="24" t="str">
        <f>IFERROR(__xludf.DUMMYFUNCTION("""COMPUTED_VALUE"""),"CancelTrade")</f>
        <v>CancelTrade</v>
      </c>
      <c r="G4" s="24" t="str">
        <f>IFERROR(__xludf.DUMMYFUNCTION("""COMPUTED_VALUE"""),"ExecuteTrade")</f>
        <v>ExecuteTrade</v>
      </c>
      <c r="H4" s="24" t="str">
        <f>IFERROR(__xludf.DUMMYFUNCTION("""COMPUTED_VALUE"""),"RejectTrade")</f>
        <v>RejectTrade</v>
      </c>
      <c r="I4" s="24" t="str">
        <f>IFERROR(__xludf.DUMMYFUNCTION("""COMPUTED_VALUE"""),"SelectTrade")</f>
        <v>SelectTrade</v>
      </c>
      <c r="J4" s="24" t="str">
        <f>IFERROR(__xludf.DUMMYFUNCTION("""COMPUTED_VALUE"""),"AcknowledgeTrade")</f>
        <v>AcknowledgeTrade</v>
      </c>
      <c r="K4" s="24" t="str">
        <f>IFERROR(__xludf.DUMMYFUNCTION("""COMPUTED_VALUE"""),"SetToAutomaticResponse")</f>
        <v>SetToAutomaticResponse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35" t="s">
        <v>31</v>
      </c>
      <c r="D6" s="11"/>
      <c r="E6" s="30"/>
      <c r="F6" s="8"/>
      <c r="G6" s="11">
        <v>100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IFERROR(__xludf.DUMMYFUNCTION("IF(C3="""","""",Transpose(IMPORTRANGE('_Settings'!$B$3,C3&amp;""!A4:A1000"")))"),"VerifyTrades")</f>
        <v>VerifyTrades</v>
      </c>
      <c r="C4" s="24" t="str">
        <f>IFERROR(__xludf.DUMMYFUNCTION("""COMPUTED_VALUE"""),"ClearUI")</f>
        <v>ClearUI</v>
      </c>
      <c r="D4" s="24" t="str">
        <f>IFERROR(__xludf.DUMMYFUNCTION("""COMPUTED_VALUE"""),"SetManualResponse")</f>
        <v>SetManualResponse</v>
      </c>
      <c r="E4" s="24" t="str">
        <f>IFERROR(__xludf.DUMMYFUNCTION("""COMPUTED_VALUE"""),"OpenLiveTT")</f>
        <v>OpenLiveTT</v>
      </c>
      <c r="F4" s="24" t="str">
        <f>IFERROR(__xludf.DUMMYFUNCTION("""COMPUTED_VALUE"""),"CancelTrade")</f>
        <v>CancelTrade</v>
      </c>
      <c r="G4" s="24" t="str">
        <f>IFERROR(__xludf.DUMMYFUNCTION("""COMPUTED_VALUE"""),"ExecuteTrade")</f>
        <v>ExecuteTrade</v>
      </c>
      <c r="H4" s="24" t="str">
        <f>IFERROR(__xludf.DUMMYFUNCTION("""COMPUTED_VALUE"""),"RejectTrade")</f>
        <v>RejectTrade</v>
      </c>
      <c r="I4" s="24" t="str">
        <f>IFERROR(__xludf.DUMMYFUNCTION("""COMPUTED_VALUE"""),"SelectTrade")</f>
        <v>SelectTrade</v>
      </c>
      <c r="J4" s="24" t="str">
        <f>IFERROR(__xludf.DUMMYFUNCTION("""COMPUTED_VALUE"""),"AcknowledgeTrade")</f>
        <v>AcknowledgeTrade</v>
      </c>
      <c r="K4" s="24" t="str">
        <f>IFERROR(__xludf.DUMMYFUNCTION("""COMPUTED_VALUE"""),"SetToAutomaticResponse")</f>
        <v>SetToAutomaticResponse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35" t="s">
        <v>31</v>
      </c>
      <c r="D6" s="11"/>
      <c r="E6" s="30"/>
      <c r="F6" s="8"/>
      <c r="G6" s="11">
        <v>100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IFERROR(__xludf.DUMMYFUNCTION("IF(C3="""","""",Transpose(IMPORTRANGE('_Settings'!$B$3,C3&amp;""!A4:A1000"")))"),"VerifyTrades")</f>
        <v>VerifyTrades</v>
      </c>
      <c r="C4" s="24" t="str">
        <f>IFERROR(__xludf.DUMMYFUNCTION("""COMPUTED_VALUE"""),"ClearUI")</f>
        <v>ClearUI</v>
      </c>
      <c r="D4" s="24" t="str">
        <f>IFERROR(__xludf.DUMMYFUNCTION("""COMPUTED_VALUE"""),"SetManualResponse")</f>
        <v>SetManualResponse</v>
      </c>
      <c r="E4" s="24" t="str">
        <f>IFERROR(__xludf.DUMMYFUNCTION("""COMPUTED_VALUE"""),"OpenLiveTT")</f>
        <v>OpenLiveTT</v>
      </c>
      <c r="F4" s="24" t="str">
        <f>IFERROR(__xludf.DUMMYFUNCTION("""COMPUTED_VALUE"""),"CancelTrade")</f>
        <v>CancelTrade</v>
      </c>
      <c r="G4" s="24" t="str">
        <f>IFERROR(__xludf.DUMMYFUNCTION("""COMPUTED_VALUE"""),"ExecuteTrade")</f>
        <v>ExecuteTrade</v>
      </c>
      <c r="H4" s="24" t="str">
        <f>IFERROR(__xludf.DUMMYFUNCTION("""COMPUTED_VALUE"""),"RejectTrade")</f>
        <v>RejectTrade</v>
      </c>
      <c r="I4" s="24" t="str">
        <f>IFERROR(__xludf.DUMMYFUNCTION("""COMPUTED_VALUE"""),"SelectTrade")</f>
        <v>SelectTrade</v>
      </c>
      <c r="J4" s="24" t="str">
        <f>IFERROR(__xludf.DUMMYFUNCTION("""COMPUTED_VALUE"""),"AcknowledgeTrade")</f>
        <v>AcknowledgeTrade</v>
      </c>
      <c r="K4" s="24" t="str">
        <f>IFERROR(__xludf.DUMMYFUNCTION("""COMPUTED_VALUE"""),"SetToAutomaticResponse")</f>
        <v>SetToAutomaticResponse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</v>
      </c>
      <c r="C6" s="11">
        <v>100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IFERROR(__xludf.DUMMYFUNCTION("IF(C3="""","""",Transpose(IMPORTRANGE('_Settings'!$B$3,C3&amp;""!A4:A1000"")))"),"VerifyTrades")</f>
        <v>VerifyTrades</v>
      </c>
      <c r="C4" s="24" t="str">
        <f>IFERROR(__xludf.DUMMYFUNCTION("""COMPUTED_VALUE"""),"ClearUI")</f>
        <v>ClearUI</v>
      </c>
      <c r="D4" s="24" t="str">
        <f>IFERROR(__xludf.DUMMYFUNCTION("""COMPUTED_VALUE"""),"SetManualResponse")</f>
        <v>SetManualResponse</v>
      </c>
      <c r="E4" s="24" t="str">
        <f>IFERROR(__xludf.DUMMYFUNCTION("""COMPUTED_VALUE"""),"OpenLiveTT")</f>
        <v>OpenLiveTT</v>
      </c>
      <c r="F4" s="24" t="str">
        <f>IFERROR(__xludf.DUMMYFUNCTION("""COMPUTED_VALUE"""),"CancelTrade")</f>
        <v>CancelTrade</v>
      </c>
      <c r="G4" s="24" t="str">
        <f>IFERROR(__xludf.DUMMYFUNCTION("""COMPUTED_VALUE"""),"ExecuteTrade")</f>
        <v>ExecuteTrade</v>
      </c>
      <c r="H4" s="24" t="str">
        <f>IFERROR(__xludf.DUMMYFUNCTION("""COMPUTED_VALUE"""),"RejectTrade")</f>
        <v>RejectTrade</v>
      </c>
      <c r="I4" s="24" t="str">
        <f>IFERROR(__xludf.DUMMYFUNCTION("""COMPUTED_VALUE"""),"SelectTrade")</f>
        <v>SelectTrade</v>
      </c>
      <c r="J4" s="24" t="str">
        <f>IFERROR(__xludf.DUMMYFUNCTION("""COMPUTED_VALUE"""),"AcknowledgeTrade")</f>
        <v>AcknowledgeTrade</v>
      </c>
      <c r="K4" s="24" t="str">
        <f>IFERROR(__xludf.DUMMYFUNCTION("""COMPUTED_VALUE"""),"SetToAutomaticResponse")</f>
        <v>SetToAutomaticResponse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35" t="s">
        <v>32</v>
      </c>
      <c r="D6" s="11"/>
      <c r="E6" s="30"/>
      <c r="F6" s="8"/>
      <c r="G6" s="11">
        <v>100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IFERROR(__xludf.DUMMYFUNCTION("IF(C3="""","""",Transpose(IMPORTRANGE('_Settings'!$B$3,C3&amp;""!A4:A1000"")))"),"VerifyTrades")</f>
        <v>VerifyTrades</v>
      </c>
      <c r="C4" s="24" t="str">
        <f>IFERROR(__xludf.DUMMYFUNCTION("""COMPUTED_VALUE"""),"ClearUI")</f>
        <v>ClearUI</v>
      </c>
      <c r="D4" s="24" t="str">
        <f>IFERROR(__xludf.DUMMYFUNCTION("""COMPUTED_VALUE"""),"SetManualResponse")</f>
        <v>SetManualResponse</v>
      </c>
      <c r="E4" s="24" t="str">
        <f>IFERROR(__xludf.DUMMYFUNCTION("""COMPUTED_VALUE"""),"OpenLiveTT")</f>
        <v>OpenLiveTT</v>
      </c>
      <c r="F4" s="24" t="str">
        <f>IFERROR(__xludf.DUMMYFUNCTION("""COMPUTED_VALUE"""),"CancelTrade")</f>
        <v>CancelTrade</v>
      </c>
      <c r="G4" s="24" t="str">
        <f>IFERROR(__xludf.DUMMYFUNCTION("""COMPUTED_VALUE"""),"ExecuteTrade")</f>
        <v>ExecuteTrade</v>
      </c>
      <c r="H4" s="24" t="str">
        <f>IFERROR(__xludf.DUMMYFUNCTION("""COMPUTED_VALUE"""),"RejectTrade")</f>
        <v>RejectTrade</v>
      </c>
      <c r="I4" s="24" t="str">
        <f>IFERROR(__xludf.DUMMYFUNCTION("""COMPUTED_VALUE"""),"SelectTrade")</f>
        <v>SelectTrade</v>
      </c>
      <c r="J4" s="24" t="str">
        <f>IFERROR(__xludf.DUMMYFUNCTION("""COMPUTED_VALUE"""),"AcknowledgeTrade")</f>
        <v>AcknowledgeTrade</v>
      </c>
      <c r="K4" s="24" t="str">
        <f>IFERROR(__xludf.DUMMYFUNCTION("""COMPUTED_VALUE"""),"SetToAutomaticResponse")</f>
        <v>SetToAutomaticResponse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35" t="s">
        <v>32</v>
      </c>
      <c r="D6" s="11"/>
      <c r="E6" s="30"/>
      <c r="F6" s="8"/>
      <c r="G6" s="11">
        <v>100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IFERROR(__xludf.DUMMYFUNCTION("IF(C3="""","""",Transpose(IMPORTRANGE('_Settings'!$B$3,C3&amp;""!A4:A1000"")))"),"VerifyTrades")</f>
        <v>VerifyTrades</v>
      </c>
      <c r="C4" s="24" t="str">
        <f>IFERROR(__xludf.DUMMYFUNCTION("""COMPUTED_VALUE"""),"ClearUI")</f>
        <v>ClearUI</v>
      </c>
      <c r="D4" s="24" t="str">
        <f>IFERROR(__xludf.DUMMYFUNCTION("""COMPUTED_VALUE"""),"SetManualResponse")</f>
        <v>SetManualResponse</v>
      </c>
      <c r="E4" s="24" t="str">
        <f>IFERROR(__xludf.DUMMYFUNCTION("""COMPUTED_VALUE"""),"OpenLiveTT")</f>
        <v>OpenLiveTT</v>
      </c>
      <c r="F4" s="24" t="str">
        <f>IFERROR(__xludf.DUMMYFUNCTION("""COMPUTED_VALUE"""),"CancelTrade")</f>
        <v>CancelTrade</v>
      </c>
      <c r="G4" s="24" t="str">
        <f>IFERROR(__xludf.DUMMYFUNCTION("""COMPUTED_VALUE"""),"ExecuteTrade")</f>
        <v>ExecuteTrade</v>
      </c>
      <c r="H4" s="24" t="str">
        <f>IFERROR(__xludf.DUMMYFUNCTION("""COMPUTED_VALUE"""),"RejectTrade")</f>
        <v>RejectTrade</v>
      </c>
      <c r="I4" s="24" t="str">
        <f>IFERROR(__xludf.DUMMYFUNCTION("""COMPUTED_VALUE"""),"SelectTrade")</f>
        <v>SelectTrade</v>
      </c>
      <c r="J4" s="24" t="str">
        <f>IFERROR(__xludf.DUMMYFUNCTION("""COMPUTED_VALUE"""),"AcknowledgeTrade")</f>
        <v>AcknowledgeTrade</v>
      </c>
      <c r="K4" s="24" t="str">
        <f>IFERROR(__xludf.DUMMYFUNCTION("""COMPUTED_VALUE"""),"SetToAutomaticResponse")</f>
        <v>SetToAutomaticResponse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20</v>
      </c>
      <c r="C6" s="11">
        <v>100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4"/>
  <sheetViews>
    <sheetView workbookViewId="0"/>
  </sheetViews>
  <sheetFormatPr customHeight="1" defaultColWidth="15.13" defaultRowHeight="15.0"/>
  <cols>
    <col min="1" max="1" width="5.88" customWidth="1"/>
    <col min="2" max="2" width="28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IFERROR(__xludf.DUMMYFUNCTION("IF(C3="""","""",Transpose(IMPORTRANGE('_Settings'!$B$3,C3&amp;""!A4:A1000"")))"),"VerifyBasketExport")</f>
        <v>VerifyBasketExport</v>
      </c>
      <c r="C4" s="24" t="str">
        <f>IFERROR(__xludf.DUMMYFUNCTION("""COMPUTED_VALUE"""),"OpenTTFromPST")</f>
        <v>OpenTTFromPST</v>
      </c>
      <c r="D4" s="24" t="str">
        <f>IFERROR(__xludf.DUMMYFUNCTION("""COMPUTED_VALUE"""),"CreateNewSubLiveOrder")</f>
        <v>CreateNewSubLiveOrder</v>
      </c>
      <c r="E4" s="24" t="str">
        <f>IFERROR(__xludf.DUMMYFUNCTION("""COMPUTED_VALUE"""),"CreateReplaceLiveOrder")</f>
        <v>CreateReplaceLiveOrder</v>
      </c>
      <c r="F4" s="24" t="str">
        <f>IFERROR(__xludf.DUMMYFUNCTION("""COMPUTED_VALUE"""),"EnterDetailsOnTT")</f>
        <v>EnterDetailsOnTT</v>
      </c>
      <c r="G4" s="24" t="str">
        <f>IFERROR(__xludf.DUMMYFUNCTION("""COMPUTED_VALUE"""),"ViewAllocation")</f>
        <v>ViewAllocation</v>
      </c>
      <c r="H4" s="24" t="str">
        <f>IFERROR(__xludf.DUMMYFUNCTION("""COMPUTED_VALUE"""),"ValidateSymbolTT")</f>
        <v>ValidateSymbolTT</v>
      </c>
      <c r="I4" s="24" t="str">
        <f>IFERROR(__xludf.DUMMYFUNCTION("""COMPUTED_VALUE"""),"VerifyDataTT")</f>
        <v>VerifyDataTT</v>
      </c>
      <c r="J4" s="24" t="str">
        <f>IFERROR(__xludf.DUMMYFUNCTION("""COMPUTED_VALUE"""),"SetUIPreferencesTT")</f>
        <v>SetUIPreferencesTT</v>
      </c>
      <c r="K4" s="24" t="str">
        <f>IFERROR(__xludf.DUMMYFUNCTION("""COMPUTED_VALUE"""),"SetBrokerWisePreferencesTT")</f>
        <v>SetBrokerWisePreferencesTT</v>
      </c>
      <c r="L4" s="24" t="str">
        <f>IFERROR(__xludf.DUMMYFUNCTION("""COMPUTED_VALUE"""),"VerifyComplianceOrder")</f>
        <v>VerifyComplianceOrder</v>
      </c>
      <c r="M4" s="24" t="str">
        <f>IFERROR(__xludf.DUMMYFUNCTION("""COMPUTED_VALUE"""),"TradeNewSub")</f>
        <v>TradeNewSub</v>
      </c>
      <c r="N4" s="24" t="str">
        <f>IFERROR(__xludf.DUMMYFUNCTION("""COMPUTED_VALUE"""),"SendLiveBloomberg")</f>
        <v>SendLiveBloomberg</v>
      </c>
      <c r="O4" s="24" t="str">
        <f>IFERROR(__xludf.DUMMYFUNCTION("""COMPUTED_VALUE"""),"AddOptionTrade")</f>
        <v>AddOptionTrade</v>
      </c>
      <c r="P4" s="25" t="str">
        <f>IFERROR(__xludf.DUMMYFUNCTION("""COMPUTED_VALUE"""),"CreateComplianceOrder")</f>
        <v>CreateComplianceOrder</v>
      </c>
      <c r="Q4" s="25" t="str">
        <f>IFERROR(__xludf.DUMMYFUNCTION("""COMPUTED_VALUE"""),"CreateDoneAwayOrder")</f>
        <v>CreateDoneAwayOrder</v>
      </c>
      <c r="R4" s="25" t="str">
        <f>IFERROR(__xludf.DUMMYFUNCTION("""COMPUTED_VALUE"""),"CreateStageOrder")</f>
        <v>CreateStageOrder</v>
      </c>
      <c r="S4" s="25" t="str">
        <f>IFERROR(__xludf.DUMMYFUNCTION("""COMPUTED_VALUE"""),"ToggleBlombergOnRA")</f>
        <v>ToggleBlombergOnRA</v>
      </c>
      <c r="T4" s="25" t="str">
        <f>IFERROR(__xludf.DUMMYFUNCTION("""COMPUTED_VALUE"""),"CreateReplaceOrder")</f>
        <v>CreateReplaceOrder</v>
      </c>
      <c r="U4" s="25" t="str">
        <f>IFERROR(__xludf.DUMMYFUNCTION("""COMPUTED_VALUE"""),"RemoveSymbolFromRAList")</f>
        <v>RemoveSymbolFromRAList</v>
      </c>
      <c r="V4" s="25" t="str">
        <f>IFERROR(__xludf.DUMMYFUNCTION("""COMPUTED_VALUE"""),"DeleteSymbolListFromRA")</f>
        <v>DeleteSymbolListFromRA</v>
      </c>
      <c r="W4" s="25" t="str">
        <f>IFERROR(__xludf.DUMMYFUNCTION("""COMPUTED_VALUE"""),"AddSymbolOnRAList")</f>
        <v>AddSymbolOnRAList</v>
      </c>
      <c r="X4" s="25" t="str">
        <f>IFERROR(__xludf.DUMMYFUNCTION("""COMPUTED_VALUE"""),"CheckPendingNewOrderAlert")</f>
        <v>CheckPendingNewOrderAlert</v>
      </c>
      <c r="Y4" s="25" t="str">
        <f>IFERROR(__xludf.DUMMYFUNCTION("""COMPUTED_VALUE"""),"ExportSymbolFromRAList")</f>
        <v>ExportSymbolFromRAList</v>
      </c>
      <c r="Z4" s="25" t="str">
        <f>IFERROR(__xludf.DUMMYFUNCTION("""COMPUTED_VALUE"""),"ImportSymbol")</f>
        <v>ImportSymbol</v>
      </c>
      <c r="AA4" s="25" t="str">
        <f>IFERROR(__xludf.DUMMYFUNCTION("""COMPUTED_VALUE"""),"SetGeneralPreference")</f>
        <v>SetGeneralPreference</v>
      </c>
      <c r="AB4" s="25" t="str">
        <f>IFERROR(__xludf.DUMMYFUNCTION("""COMPUTED_VALUE"""),"SetTTCompliancePreference")</f>
        <v>SetTTCompliancePreference</v>
      </c>
      <c r="AC4" s="25" t="str">
        <f>IFERROR(__xludf.DUMMYFUNCTION("""COMPUTED_VALUE"""),"UpdateMasterFundOnTT")</f>
        <v>UpdateMasterFundOnTT</v>
      </c>
      <c r="AD4" s="25" t="str">
        <f>IFERROR(__xludf.DUMMYFUNCTION("""COMPUTED_VALUE"""),"CreateLiveOrder")</f>
        <v>CreateLiveOrder</v>
      </c>
      <c r="AE4" s="25" t="str">
        <f>IFERROR(__xludf.DUMMYFUNCTION("""COMPUTED_VALUE"""),"CreateNewSubOrder")</f>
        <v>CreateNewSubOrder</v>
      </c>
      <c r="AF4" s="25" t="str">
        <f>IFERROR(__xludf.DUMMYFUNCTION("""COMPUTED_VALUE"""),"TradeBloomberg")</f>
        <v>TradeBloomberg</v>
      </c>
      <c r="AG4" s="25" t="str">
        <f>IFERROR(__xludf.DUMMYFUNCTION("""COMPUTED_VALUE"""),"ClickSymbolLookup")</f>
        <v>ClickSymbolLookup</v>
      </c>
      <c r="AH4" s="25" t="str">
        <f>IFERROR(__xludf.DUMMYFUNCTION("""COMPUTED_VALUE"""),"VerifyTT")</f>
        <v>VerifyTT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44" t="s">
        <v>42</v>
      </c>
      <c r="C6" s="35" t="s">
        <v>26</v>
      </c>
      <c r="D6" s="36">
        <v>100</v>
      </c>
      <c r="E6" s="37"/>
      <c r="F6" s="35" t="s">
        <v>27</v>
      </c>
      <c r="G6" s="37"/>
      <c r="H6" s="37"/>
      <c r="I6" s="37"/>
      <c r="J6" s="38">
        <v>10</v>
      </c>
      <c r="K6" s="37"/>
      <c r="L6" s="37"/>
      <c r="M6" s="37"/>
      <c r="N6" s="39">
        <f ref="N6:N13" t="shared" si="1">today()</f>
        <v>45085</v>
      </c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35" t="s">
        <v>43</v>
      </c>
      <c r="C7" s="41" t="s">
        <v>28</v>
      </c>
      <c r="D7" s="42">
        <v>100</v>
      </c>
      <c r="E7" s="37"/>
      <c r="F7" s="35" t="s">
        <v>27</v>
      </c>
      <c r="G7" s="40"/>
      <c r="H7" s="40"/>
      <c r="I7" s="40"/>
      <c r="J7" s="43">
        <v>20</v>
      </c>
      <c r="K7" s="40"/>
      <c r="L7" s="40"/>
      <c r="M7" s="37"/>
      <c r="N7" s="39">
        <f t="shared" si="1"/>
        <v>45085</v>
      </c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32" t="s">
        <v>44</v>
      </c>
      <c r="C8" s="35" t="s">
        <v>29</v>
      </c>
      <c r="D8" s="42">
        <v>100</v>
      </c>
      <c r="E8" s="37"/>
      <c r="F8" s="35" t="s">
        <v>30</v>
      </c>
      <c r="G8" s="40"/>
      <c r="H8" s="40"/>
      <c r="I8" s="40"/>
      <c r="J8" s="43">
        <v>20</v>
      </c>
      <c r="K8" s="40"/>
      <c r="L8" s="40"/>
      <c r="M8" s="37"/>
      <c r="N8" s="39">
        <f t="shared" si="1"/>
        <v>45085</v>
      </c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35" t="s">
        <v>45</v>
      </c>
      <c r="C9" s="35" t="s">
        <v>29</v>
      </c>
      <c r="D9" s="42">
        <v>100</v>
      </c>
      <c r="E9" s="37"/>
      <c r="F9" s="35" t="s">
        <v>30</v>
      </c>
      <c r="G9" s="37"/>
      <c r="H9" s="37"/>
      <c r="I9" s="37"/>
      <c r="J9" s="42">
        <v>30</v>
      </c>
      <c r="K9" s="40"/>
      <c r="L9" s="40"/>
      <c r="M9" s="37"/>
      <c r="N9" s="39">
        <f t="shared" si="1"/>
        <v>45085</v>
      </c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37"/>
      <c r="B10" s="37" t="s">
        <v>46</v>
      </c>
      <c r="C10" s="35" t="s">
        <v>29</v>
      </c>
      <c r="D10" s="42">
        <v>100</v>
      </c>
      <c r="E10" s="37"/>
      <c r="F10" s="35" t="s">
        <v>27</v>
      </c>
      <c r="G10" s="37"/>
      <c r="H10" s="37"/>
      <c r="I10" s="37"/>
      <c r="J10" s="38">
        <v>10</v>
      </c>
      <c r="K10" s="40"/>
      <c r="L10" s="40"/>
      <c r="M10" s="37"/>
      <c r="N10" s="39">
        <f t="shared" si="1"/>
        <v>45085</v>
      </c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</row>
    <row r="11" ht="15.75" customHeight="1">
      <c r="A11" s="40"/>
      <c r="B11" s="35" t="s">
        <v>47</v>
      </c>
      <c r="C11" s="41" t="s">
        <v>48</v>
      </c>
      <c r="D11" s="42">
        <v>100</v>
      </c>
      <c r="E11" s="37"/>
      <c r="F11" s="35" t="s">
        <v>27</v>
      </c>
      <c r="G11" s="40"/>
      <c r="H11" s="40"/>
      <c r="I11" s="40"/>
      <c r="J11" s="43">
        <v>20</v>
      </c>
      <c r="K11" s="40"/>
      <c r="L11" s="40"/>
      <c r="M11" s="37"/>
      <c r="N11" s="39">
        <f t="shared" si="1"/>
        <v>45085</v>
      </c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</row>
    <row r="12" ht="15.75" customHeight="1">
      <c r="A12" s="40"/>
      <c r="B12" s="32" t="s">
        <v>49</v>
      </c>
      <c r="C12" s="35" t="s">
        <v>29</v>
      </c>
      <c r="D12" s="42">
        <v>100</v>
      </c>
      <c r="E12" s="37"/>
      <c r="F12" s="35" t="s">
        <v>30</v>
      </c>
      <c r="G12" s="40"/>
      <c r="H12" s="40"/>
      <c r="I12" s="40"/>
      <c r="J12" s="43">
        <v>20</v>
      </c>
      <c r="K12" s="40"/>
      <c r="L12" s="40"/>
      <c r="M12" s="37"/>
      <c r="N12" s="39">
        <f t="shared" si="1"/>
        <v>45085</v>
      </c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</row>
    <row r="13" ht="15.75" customHeight="1">
      <c r="A13" s="40"/>
      <c r="B13" s="32" t="s">
        <v>50</v>
      </c>
      <c r="C13" s="35" t="s">
        <v>29</v>
      </c>
      <c r="D13" s="42">
        <v>100</v>
      </c>
      <c r="E13" s="37"/>
      <c r="F13" s="35" t="s">
        <v>30</v>
      </c>
      <c r="G13" s="40"/>
      <c r="H13" s="40"/>
      <c r="I13" s="40"/>
      <c r="J13" s="43">
        <v>30</v>
      </c>
      <c r="K13" s="40"/>
      <c r="L13" s="40"/>
      <c r="M13" s="37"/>
      <c r="N13" s="39">
        <f t="shared" si="1"/>
        <v>45085</v>
      </c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SendLiveBloomberg!$4:$4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IFERROR(__xludf.DUMMYFUNCTION("IF(C3="""","""",Transpose(IMPORTRANGE('_Settings'!$B$3,C3&amp;""!A4:A1000"")))"),"VerifyTrades")</f>
        <v>VerifyTrades</v>
      </c>
      <c r="C4" s="24" t="str">
        <f>IFERROR(__xludf.DUMMYFUNCTION("""COMPUTED_VALUE"""),"ClearUI")</f>
        <v>ClearUI</v>
      </c>
      <c r="D4" s="24" t="str">
        <f>IFERROR(__xludf.DUMMYFUNCTION("""COMPUTED_VALUE"""),"SetManualResponse")</f>
        <v>SetManualResponse</v>
      </c>
      <c r="E4" s="24" t="str">
        <f>IFERROR(__xludf.DUMMYFUNCTION("""COMPUTED_VALUE"""),"OpenLiveTT")</f>
        <v>OpenLiveTT</v>
      </c>
      <c r="F4" s="24" t="str">
        <f>IFERROR(__xludf.DUMMYFUNCTION("""COMPUTED_VALUE"""),"CancelTrade")</f>
        <v>CancelTrade</v>
      </c>
      <c r="G4" s="24" t="str">
        <f>IFERROR(__xludf.DUMMYFUNCTION("""COMPUTED_VALUE"""),"ExecuteTrade")</f>
        <v>ExecuteTrade</v>
      </c>
      <c r="H4" s="24" t="str">
        <f>IFERROR(__xludf.DUMMYFUNCTION("""COMPUTED_VALUE"""),"RejectTrade")</f>
        <v>RejectTrade</v>
      </c>
      <c r="I4" s="24" t="str">
        <f>IFERROR(__xludf.DUMMYFUNCTION("""COMPUTED_VALUE"""),"SelectTrade")</f>
        <v>SelectTrade</v>
      </c>
      <c r="J4" s="24" t="str">
        <f>IFERROR(__xludf.DUMMYFUNCTION("""COMPUTED_VALUE"""),"AcknowledgeTrade")</f>
        <v>AcknowledgeTrade</v>
      </c>
      <c r="K4" s="24" t="str">
        <f>IFERROR(__xludf.DUMMYFUNCTION("""COMPUTED_VALUE"""),"SetToAutomaticResponse")</f>
        <v>SetToAutomaticResponse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37" t="s">
        <v>46</v>
      </c>
      <c r="D6" s="11"/>
      <c r="E6" s="30"/>
      <c r="F6" s="8"/>
      <c r="G6" s="11">
        <v>100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IFERROR(__xludf.DUMMYFUNCTION("IF(C3="""","""",Transpose(IMPORTRANGE('_Settings'!$B$3,C3&amp;""!A4:A1000"")))"),"VerifyTrades")</f>
        <v>VerifyTrades</v>
      </c>
      <c r="C4" s="24" t="str">
        <f>IFERROR(__xludf.DUMMYFUNCTION("""COMPUTED_VALUE"""),"ClearUI")</f>
        <v>ClearUI</v>
      </c>
      <c r="D4" s="24" t="str">
        <f>IFERROR(__xludf.DUMMYFUNCTION("""COMPUTED_VALUE"""),"SetManualResponse")</f>
        <v>SetManualResponse</v>
      </c>
      <c r="E4" s="24" t="str">
        <f>IFERROR(__xludf.DUMMYFUNCTION("""COMPUTED_VALUE"""),"OpenLiveTT")</f>
        <v>OpenLiveTT</v>
      </c>
      <c r="F4" s="24" t="str">
        <f>IFERROR(__xludf.DUMMYFUNCTION("""COMPUTED_VALUE"""),"CancelTrade")</f>
        <v>CancelTrade</v>
      </c>
      <c r="G4" s="24" t="str">
        <f>IFERROR(__xludf.DUMMYFUNCTION("""COMPUTED_VALUE"""),"ExecuteTrade")</f>
        <v>ExecuteTrade</v>
      </c>
      <c r="H4" s="24" t="str">
        <f>IFERROR(__xludf.DUMMYFUNCTION("""COMPUTED_VALUE"""),"RejectTrade")</f>
        <v>RejectTrade</v>
      </c>
      <c r="I4" s="24" t="str">
        <f>IFERROR(__xludf.DUMMYFUNCTION("""COMPUTED_VALUE"""),"SelectTrade")</f>
        <v>SelectTrade</v>
      </c>
      <c r="J4" s="24" t="str">
        <f>IFERROR(__xludf.DUMMYFUNCTION("""COMPUTED_VALUE"""),"AcknowledgeTrade")</f>
        <v>AcknowledgeTrade</v>
      </c>
      <c r="K4" s="24" t="str">
        <f>IFERROR(__xludf.DUMMYFUNCTION("""COMPUTED_VALUE"""),"SetToAutomaticResponse")</f>
        <v>SetToAutomaticResponse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37" t="s">
        <v>46</v>
      </c>
      <c r="D6" s="11"/>
      <c r="E6" s="30"/>
      <c r="F6" s="8"/>
      <c r="G6" s="11">
        <v>100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IFERROR(__xludf.DUMMYFUNCTION("IF(C3="""","""",Transpose(IMPORTRANGE('_Settings'!$B$3,C3&amp;""!A4:A1000"")))"),"VerifyTrades")</f>
        <v>VerifyTrades</v>
      </c>
      <c r="C4" s="24" t="str">
        <f>IFERROR(__xludf.DUMMYFUNCTION("""COMPUTED_VALUE"""),"ClearUI")</f>
        <v>ClearUI</v>
      </c>
      <c r="D4" s="24" t="str">
        <f>IFERROR(__xludf.DUMMYFUNCTION("""COMPUTED_VALUE"""),"SetManualResponse")</f>
        <v>SetManualResponse</v>
      </c>
      <c r="E4" s="24" t="str">
        <f>IFERROR(__xludf.DUMMYFUNCTION("""COMPUTED_VALUE"""),"OpenLiveTT")</f>
        <v>OpenLiveTT</v>
      </c>
      <c r="F4" s="24" t="str">
        <f>IFERROR(__xludf.DUMMYFUNCTION("""COMPUTED_VALUE"""),"CancelTrade")</f>
        <v>CancelTrade</v>
      </c>
      <c r="G4" s="24" t="str">
        <f>IFERROR(__xludf.DUMMYFUNCTION("""COMPUTED_VALUE"""),"ExecuteTrade")</f>
        <v>ExecuteTrade</v>
      </c>
      <c r="H4" s="24" t="str">
        <f>IFERROR(__xludf.DUMMYFUNCTION("""COMPUTED_VALUE"""),"RejectTrade")</f>
        <v>RejectTrade</v>
      </c>
      <c r="I4" s="24" t="str">
        <f>IFERROR(__xludf.DUMMYFUNCTION("""COMPUTED_VALUE"""),"SelectTrade")</f>
        <v>SelectTrade</v>
      </c>
      <c r="J4" s="24" t="str">
        <f>IFERROR(__xludf.DUMMYFUNCTION("""COMPUTED_VALUE"""),"AcknowledgeTrade")</f>
        <v>AcknowledgeTrade</v>
      </c>
      <c r="K4" s="24" t="str">
        <f>IFERROR(__xludf.DUMMYFUNCTION("""COMPUTED_VALUE"""),"SetToAutomaticResponse")</f>
        <v>SetToAutomaticResponse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</v>
      </c>
      <c r="C6" s="11">
        <v>100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ExecuteTrade2!$4:$4</formula1>
    </dataValidation>
  </dataValidations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IFERROR(__xludf.DUMMYFUNCTION("IF(C3="""","""",Transpose(IMPORTRANGE('_Settings'!$B$3,C3&amp;""!A4:A1000"")))"),"VerifyTrades")</f>
        <v>VerifyTrades</v>
      </c>
      <c r="C4" s="24" t="str">
        <f>IFERROR(__xludf.DUMMYFUNCTION("""COMPUTED_VALUE"""),"ClearUI")</f>
        <v>ClearUI</v>
      </c>
      <c r="D4" s="24" t="str">
        <f>IFERROR(__xludf.DUMMYFUNCTION("""COMPUTED_VALUE"""),"SetManualResponse")</f>
        <v>SetManualResponse</v>
      </c>
      <c r="E4" s="24" t="str">
        <f>IFERROR(__xludf.DUMMYFUNCTION("""COMPUTED_VALUE"""),"OpenLiveTT")</f>
        <v>OpenLiveTT</v>
      </c>
      <c r="F4" s="24" t="str">
        <f>IFERROR(__xludf.DUMMYFUNCTION("""COMPUTED_VALUE"""),"CancelTrade")</f>
        <v>CancelTrade</v>
      </c>
      <c r="G4" s="24" t="str">
        <f>IFERROR(__xludf.DUMMYFUNCTION("""COMPUTED_VALUE"""),"ExecuteTrade")</f>
        <v>ExecuteTrade</v>
      </c>
      <c r="H4" s="24" t="str">
        <f>IFERROR(__xludf.DUMMYFUNCTION("""COMPUTED_VALUE"""),"RejectTrade")</f>
        <v>RejectTrade</v>
      </c>
      <c r="I4" s="24" t="str">
        <f>IFERROR(__xludf.DUMMYFUNCTION("""COMPUTED_VALUE"""),"SelectTrade")</f>
        <v>SelectTrade</v>
      </c>
      <c r="J4" s="24" t="str">
        <f>IFERROR(__xludf.DUMMYFUNCTION("""COMPUTED_VALUE"""),"AcknowledgeTrade")</f>
        <v>AcknowledgeTrade</v>
      </c>
      <c r="K4" s="24" t="str">
        <f>IFERROR(__xludf.DUMMYFUNCTION("""COMPUTED_VALUE"""),"SetToAutomaticResponse")</f>
        <v>SetToAutomaticResponse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48</v>
      </c>
      <c r="C6" s="35" t="s">
        <v>47</v>
      </c>
      <c r="D6" s="11"/>
      <c r="E6" s="30"/>
      <c r="F6" s="8"/>
      <c r="G6" s="11">
        <v>100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IFERROR(__xludf.DUMMYFUNCTION("IF(C3="""","""",Transpose(IMPORTRANGE('_Settings'!$B$3,C3&amp;""!A4:A1000"")))"),"VerifyTrades")</f>
        <v>VerifyTrades</v>
      </c>
      <c r="C4" s="24" t="str">
        <f>IFERROR(__xludf.DUMMYFUNCTION("""COMPUTED_VALUE"""),"ClearUI")</f>
        <v>ClearUI</v>
      </c>
      <c r="D4" s="24" t="str">
        <f>IFERROR(__xludf.DUMMYFUNCTION("""COMPUTED_VALUE"""),"SetManualResponse")</f>
        <v>SetManualResponse</v>
      </c>
      <c r="E4" s="24" t="str">
        <f>IFERROR(__xludf.DUMMYFUNCTION("""COMPUTED_VALUE"""),"OpenLiveTT")</f>
        <v>OpenLiveTT</v>
      </c>
      <c r="F4" s="24" t="str">
        <f>IFERROR(__xludf.DUMMYFUNCTION("""COMPUTED_VALUE"""),"CancelTrade")</f>
        <v>CancelTrade</v>
      </c>
      <c r="G4" s="24" t="str">
        <f>IFERROR(__xludf.DUMMYFUNCTION("""COMPUTED_VALUE"""),"ExecuteTrade")</f>
        <v>ExecuteTrade</v>
      </c>
      <c r="H4" s="24" t="str">
        <f>IFERROR(__xludf.DUMMYFUNCTION("""COMPUTED_VALUE"""),"RejectTrade")</f>
        <v>RejectTrade</v>
      </c>
      <c r="I4" s="24" t="str">
        <f>IFERROR(__xludf.DUMMYFUNCTION("""COMPUTED_VALUE"""),"SelectTrade")</f>
        <v>SelectTrade</v>
      </c>
      <c r="J4" s="24" t="str">
        <f>IFERROR(__xludf.DUMMYFUNCTION("""COMPUTED_VALUE"""),"AcknowledgeTrade")</f>
        <v>AcknowledgeTrade</v>
      </c>
      <c r="K4" s="24" t="str">
        <f>IFERROR(__xludf.DUMMYFUNCTION("""COMPUTED_VALUE"""),"SetToAutomaticResponse")</f>
        <v>SetToAutomaticResponse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48</v>
      </c>
      <c r="C6" s="35" t="s">
        <v>47</v>
      </c>
      <c r="D6" s="11"/>
      <c r="E6" s="30"/>
      <c r="F6" s="8"/>
      <c r="G6" s="11">
        <v>100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AcknowledgeTrade3!$4:$4</formula1>
    </dataValidation>
  </dataValidations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IFERROR(__xludf.DUMMYFUNCTION("IF(C3="""","""",Transpose(IMPORTRANGE('_Settings'!$B$3,C3&amp;""!A4:A1000"")))"),"VerifyTrades")</f>
        <v>VerifyTrades</v>
      </c>
      <c r="C4" s="24" t="str">
        <f>IFERROR(__xludf.DUMMYFUNCTION("""COMPUTED_VALUE"""),"ClearUI")</f>
        <v>ClearUI</v>
      </c>
      <c r="D4" s="24" t="str">
        <f>IFERROR(__xludf.DUMMYFUNCTION("""COMPUTED_VALUE"""),"SetManualResponse")</f>
        <v>SetManualResponse</v>
      </c>
      <c r="E4" s="24" t="str">
        <f>IFERROR(__xludf.DUMMYFUNCTION("""COMPUTED_VALUE"""),"OpenLiveTT")</f>
        <v>OpenLiveTT</v>
      </c>
      <c r="F4" s="24" t="str">
        <f>IFERROR(__xludf.DUMMYFUNCTION("""COMPUTED_VALUE"""),"CancelTrade")</f>
        <v>CancelTrade</v>
      </c>
      <c r="G4" s="24" t="str">
        <f>IFERROR(__xludf.DUMMYFUNCTION("""COMPUTED_VALUE"""),"ExecuteTrade")</f>
        <v>ExecuteTrade</v>
      </c>
      <c r="H4" s="24" t="str">
        <f>IFERROR(__xludf.DUMMYFUNCTION("""COMPUTED_VALUE"""),"RejectTrade")</f>
        <v>RejectTrade</v>
      </c>
      <c r="I4" s="24" t="str">
        <f>IFERROR(__xludf.DUMMYFUNCTION("""COMPUTED_VALUE"""),"SelectTrade")</f>
        <v>SelectTrade</v>
      </c>
      <c r="J4" s="24" t="str">
        <f>IFERROR(__xludf.DUMMYFUNCTION("""COMPUTED_VALUE"""),"AcknowledgeTrade")</f>
        <v>AcknowledgeTrade</v>
      </c>
      <c r="K4" s="24" t="str">
        <f>IFERROR(__xludf.DUMMYFUNCTION("""COMPUTED_VALUE"""),"SetToAutomaticResponse")</f>
        <v>SetToAutomaticResponse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20</v>
      </c>
      <c r="C6" s="11">
        <v>100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1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IFERROR(__xludf.DUMMYFUNCTION("IF(C3="""","""",Transpose(IMPORTRANGE('_Settings'!$B$3,C3&amp;""!A4:A1000"")))"),"SelectCheckBoxOnOrderGrid")</f>
        <v>SelectCheckBoxOnOrderGrid</v>
      </c>
      <c r="C4" s="24" t="str">
        <f>IFERROR(__xludf.DUMMYFUNCTION("""COMPUTED_VALUE"""),"SaveOrRemoveInWorkingSubsTab")</f>
        <v>SaveOrRemoveInWorkingSubsTab</v>
      </c>
      <c r="D4" s="24" t="str">
        <f>IFERROR(__xludf.DUMMYFUNCTION("""COMPUTED_VALUE"""),"SaveOrRemoveInSummaryTab")</f>
        <v>SaveOrRemoveInSummaryTab</v>
      </c>
      <c r="E4" s="24" t="str">
        <f>IFERROR(__xludf.DUMMYFUNCTION("""COMPUTED_VALUE"""),"VerifyLowerStripBlotterUI")</f>
        <v>VerifyLowerStripBlotterUI</v>
      </c>
      <c r="F4" s="24" t="str">
        <f>IFERROR(__xludf.DUMMYFUNCTION("""COMPUTED_VALUE"""),"AddTabBlotter")</f>
        <v>AddTabBlotter</v>
      </c>
      <c r="G4" s="24" t="str">
        <f>IFERROR(__xludf.DUMMYFUNCTION("""COMPUTED_VALUE"""),"VerifyMergeOrder")</f>
        <v>VerifyMergeOrder</v>
      </c>
      <c r="H4" s="24" t="str">
        <f>IFERROR(__xludf.DUMMYFUNCTION("""COMPUTED_VALUE"""),"MergeOrder")</f>
        <v>MergeOrder</v>
      </c>
      <c r="I4" s="24" t="str">
        <f>IFERROR(__xludf.DUMMYFUNCTION("""COMPUTED_VALUE"""),"ReplaceFillsOnBlotter")</f>
        <v>ReplaceFillsOnBlotter</v>
      </c>
      <c r="J4" s="24" t="str">
        <f>IFERROR(__xludf.DUMMYFUNCTION("""COMPUTED_VALUE"""),"CheckBlotter")</f>
        <v>CheckBlotter</v>
      </c>
      <c r="K4" s="24" t="str">
        <f>IFERROR(__xludf.DUMMYFUNCTION("""COMPUTED_VALUE"""),"ViewPTTAllocationDetails")</f>
        <v>ViewPTTAllocationDetails</v>
      </c>
      <c r="L4" s="24" t="str">
        <f>IFERROR(__xludf.DUMMYFUNCTION("""COMPUTED_VALUE"""),"AllocateFromBlotter")</f>
        <v>AllocateFromBlotter</v>
      </c>
      <c r="M4" s="24" t="str">
        <f>IFERROR(__xludf.DUMMYFUNCTION("""COMPUTED_VALUE"""),"ModifyFills")</f>
        <v>ModifyFills</v>
      </c>
      <c r="N4" s="24" t="str">
        <f>IFERROR(__xludf.DUMMYFUNCTION("""COMPUTED_VALUE"""),"BlotterFunctionalities")</f>
        <v>BlotterFunctionalities</v>
      </c>
      <c r="O4" s="24" t="str">
        <f>IFERROR(__xludf.DUMMYFUNCTION("""COMPUTED_VALUE"""),"SelectFills")</f>
        <v>SelectFills</v>
      </c>
      <c r="P4" s="25" t="str">
        <f>IFERROR(__xludf.DUMMYFUNCTION("""COMPUTED_VALUE"""),"ReloadOrderFromWorkingSubs")</f>
        <v>ReloadOrderFromWorkingSubs</v>
      </c>
      <c r="Q4" s="25" t="str">
        <f>IFERROR(__xludf.DUMMYFUNCTION("""COMPUTED_VALUE"""),"ReloadOrderFromSubOrder")</f>
        <v>ReloadOrderFromSubOrder</v>
      </c>
      <c r="R4" s="25" t="str">
        <f>IFERROR(__xludf.DUMMYFUNCTION("""COMPUTED_VALUE"""),"ReloadOrderFromBlotter")</f>
        <v>ReloadOrderFromBlotter</v>
      </c>
      <c r="S4" s="25" t="str">
        <f>IFERROR(__xludf.DUMMYFUNCTION("""COMPUTED_VALUE"""),"MultipleTradeTransferToUser")</f>
        <v>MultipleTradeTransferToUser</v>
      </c>
      <c r="T4" s="25" t="str">
        <f>IFERROR(__xludf.DUMMYFUNCTION("""COMPUTED_VALUE"""),"BlotterExecutionReportSnapshot")</f>
        <v>BlotterExecutionReportSnapshot</v>
      </c>
      <c r="U4" s="25" t="str">
        <f>IFERROR(__xludf.DUMMYFUNCTION("""COMPUTED_VALUE"""),"VerifyExecutionReport")</f>
        <v>VerifyExecutionReport</v>
      </c>
      <c r="V4" s="25" t="str">
        <f>IFERROR(__xludf.DUMMYFUNCTION("""COMPUTED_VALUE"""),"ExportExecutionReportData")</f>
        <v>ExportExecutionReportData</v>
      </c>
      <c r="W4" s="25" t="str">
        <f>IFERROR(__xludf.DUMMYFUNCTION("""COMPUTED_VALUE"""),"GetExecutionReportDetails")</f>
        <v>GetExecutionReportDetails</v>
      </c>
      <c r="X4" s="25" t="str">
        <f>IFERROR(__xludf.DUMMYFUNCTION("""COMPUTED_VALUE"""),"GetExecutionReportOrders")</f>
        <v>GetExecutionReportOrders</v>
      </c>
      <c r="Y4" s="25" t="str">
        <f>IFERROR(__xludf.DUMMYFUNCTION("""COMPUTED_VALUE"""),"RemoveExecutionWorkingSubs")</f>
        <v>RemoveExecutionWorkingSubs</v>
      </c>
      <c r="Z4" s="25" t="str">
        <f>IFERROR(__xludf.DUMMYFUNCTION("""COMPUTED_VALUE"""),"RemoveManualExecution")</f>
        <v>RemoveManualExecution</v>
      </c>
      <c r="AA4" s="25" t="str">
        <f>IFERROR(__xludf.DUMMYFUNCTION("""COMPUTED_VALUE"""),"TransferToUserWorkingSubs")</f>
        <v>TransferToUserWorkingSubs</v>
      </c>
      <c r="AB4" s="25" t="str">
        <f>IFERROR(__xludf.DUMMYFUNCTION("""COMPUTED_VALUE"""),"OpenBlotter")</f>
        <v>OpenBlotter</v>
      </c>
      <c r="AC4" s="25" t="str">
        <f>IFERROR(__xludf.DUMMYFUNCTION("""COMPUTED_VALUE"""),"CancelWorkingSubs")</f>
        <v>CancelWorkingSubs</v>
      </c>
      <c r="AD4" s="25" t="str">
        <f>IFERROR(__xludf.DUMMYFUNCTION("""COMPUTED_VALUE"""),"ReplaceWorkingSubs")</f>
        <v>ReplaceWorkingSubs</v>
      </c>
      <c r="AE4" s="25" t="str">
        <f>IFERROR(__xludf.DUMMYFUNCTION("""COMPUTED_VALUE"""),"ViewAllocationDetailsWorkingSub")</f>
        <v>ViewAllocationDetailsWorkingSub</v>
      </c>
      <c r="AF4" s="25" t="str">
        <f>IFERROR(__xludf.DUMMYFUNCTION("""COMPUTED_VALUE"""),"OpenBlotter")</f>
        <v>OpenBlotter</v>
      </c>
      <c r="AG4" s="25" t="str">
        <f>IFERROR(__xludf.DUMMYFUNCTION("""COMPUTED_VALUE"""),"SelectTradeOnOrderGrid")</f>
        <v>SelectTradeOnOrderGrid</v>
      </c>
      <c r="AH4" s="25" t="str">
        <f>IFERROR(__xludf.DUMMYFUNCTION("""COMPUTED_VALUE"""),"ShowDetailsForAlgoTradeSubOrder")</f>
        <v>ShowDetailsForAlgoTradeSubOrder</v>
      </c>
      <c r="AI4" s="25" t="str">
        <f>IFERROR(__xludf.DUMMYFUNCTION("""COMPUTED_VALUE"""),"SelectTradeOrderBlotter")</f>
        <v>SelectTradeOrderBlotter</v>
      </c>
      <c r="AJ4" s="25" t="str">
        <f>IFERROR(__xludf.DUMMYFUNCTION("""COMPUTED_VALUE"""),"AddFillsWorkingSubs")</f>
        <v>AddFillsWorkingSubs</v>
      </c>
      <c r="AK4" s="25" t="str">
        <f>IFERROR(__xludf.DUMMYFUNCTION("""COMPUTED_VALUE"""),"EditAddFillsDetails")</f>
        <v>EditAddFillsDetails</v>
      </c>
      <c r="AL4" s="25" t="str">
        <f>IFERROR(__xludf.DUMMYFUNCTION("""COMPUTED_VALUE"""),"ShowDetailsForAlgoTradeWorkingSubs")</f>
        <v>ShowDetailsForAlgoTradeWorkingSubs</v>
      </c>
      <c r="AM4" s="25" t="str">
        <f>IFERROR(__xludf.DUMMYFUNCTION("""COMPUTED_VALUE"""),"VerifyWorkingSubs")</f>
        <v>VerifyWorkingSubs</v>
      </c>
      <c r="AN4" s="25" t="str">
        <f>IFERROR(__xludf.DUMMYFUNCTION("""COMPUTED_VALUE"""),"TransferToUserOrder")</f>
        <v>TransferToUserOrder</v>
      </c>
      <c r="AO4" s="25" t="str">
        <f>IFERROR(__xludf.DUMMYFUNCTION("""COMPUTED_VALUE"""),"EditOrder")</f>
        <v>EditOrder</v>
      </c>
      <c r="AP4" s="25" t="str">
        <f>IFERROR(__xludf.DUMMYFUNCTION("""COMPUTED_VALUE"""),"SelectTradeSubOrderBlotter")</f>
        <v>SelectTradeSubOrderBlotter</v>
      </c>
      <c r="AQ4" s="25" t="str">
        <f>IFERROR(__xludf.DUMMYFUNCTION("""COMPUTED_VALUE"""),"VerifyOrder")</f>
        <v>VerifyOrder</v>
      </c>
      <c r="AR4" s="25" t="str">
        <f>IFERROR(__xludf.DUMMYFUNCTION("""COMPUTED_VALUE"""),"VerifySubOrder")</f>
        <v>VerifySubOrder</v>
      </c>
      <c r="AS4" s="25" t="str">
        <f>IFERROR(__xludf.DUMMYFUNCTION("""COMPUTED_VALUE"""),"RemoveSelectedOrders")</f>
        <v>RemoveSelectedOrders</v>
      </c>
      <c r="AT4" s="25" t="str">
        <f>IFERROR(__xludf.DUMMYFUNCTION("""COMPUTED_VALUE"""),"CancelAllSelectedSubs")</f>
        <v>CancelAllSelectedSubs</v>
      </c>
      <c r="AU4" s="25" t="str">
        <f>IFERROR(__xludf.DUMMYFUNCTION("""COMPUTED_VALUE"""),"MultiTradingTicket")</f>
        <v>MultiTradingTicket</v>
      </c>
      <c r="AV4" s="25" t="str">
        <f>IFERROR(__xludf.DUMMYFUNCTION("""COMPUTED_VALUE"""),"AuditTrailOrderBlotter")</f>
        <v>AuditTrailOrderBlotter</v>
      </c>
      <c r="AW4" s="25" t="str">
        <f>IFERROR(__xludf.DUMMYFUNCTION("""COMPUTED_VALUE"""),"TradeNewSubOrder")</f>
        <v>TradeNewSubOrder</v>
      </c>
      <c r="AX4" s="25" t="str">
        <f>IFERROR(__xludf.DUMMYFUNCTION("""COMPUTED_VALUE"""),"RemoveStageOrder")</f>
        <v>RemoveStageOrder</v>
      </c>
      <c r="AY4" s="25" t="str">
        <f>IFERROR(__xludf.DUMMYFUNCTION("""COMPUTED_VALUE"""),"TransferToUserSubOrder")</f>
        <v>TransferToUserSubOrder</v>
      </c>
      <c r="AZ4" s="25" t="str">
        <f>IFERROR(__xludf.DUMMYFUNCTION("""COMPUTED_VALUE"""),"DetailsForAlgoTradeOrder")</f>
        <v>DetailsForAlgoTradeOrder</v>
      </c>
      <c r="BA4" s="25" t="str">
        <f>IFERROR(__xludf.DUMMYFUNCTION("""COMPUTED_VALUE"""),"AddFillsSubOrder")</f>
        <v>AddFillsSubOrder</v>
      </c>
      <c r="BB4" s="25" t="str">
        <f>IFERROR(__xludf.DUMMYFUNCTION("""COMPUTED_VALUE"""),"ViewAllocationDetailsSubOrder")</f>
        <v>ViewAllocationDetailsSubOrder</v>
      </c>
      <c r="BC4" s="25" t="str">
        <f>IFERROR(__xludf.DUMMYFUNCTION("""COMPUTED_VALUE"""),"VerifySubOrderAfterRollover")</f>
        <v>VerifySubOrderAfterRollover</v>
      </c>
      <c r="BD4" s="25" t="str">
        <f>IFERROR(__xludf.DUMMYFUNCTION("""COMPUTED_VALUE"""),"VerifyRollover")</f>
        <v>VerifyRollover</v>
      </c>
      <c r="BE4" s="25" t="str">
        <f>IFERROR(__xludf.DUMMYFUNCTION("""COMPUTED_VALUE"""),"CancelAllSubs")</f>
        <v>CancelAllSubs</v>
      </c>
      <c r="BF4" s="25" t="str">
        <f>IFERROR(__xludf.DUMMYFUNCTION("""COMPUTED_VALUE"""),"CancelSubOrder")</f>
        <v>CancelSubOrder</v>
      </c>
      <c r="BG4" s="25" t="str">
        <f>IFERROR(__xludf.DUMMYFUNCTION("""COMPUTED_VALUE"""),"EditStageOrder")</f>
        <v>EditStageOrder</v>
      </c>
      <c r="BH4" s="25" t="str">
        <f>IFERROR(__xludf.DUMMYFUNCTION("""COMPUTED_VALUE"""),"ReplaceSubOrder")</f>
        <v>ReplaceSubOrder</v>
      </c>
      <c r="BI4" s="25" t="str">
        <f>IFERROR(__xludf.DUMMYFUNCTION("""COMPUTED_VALUE"""),"SelectTradeWorkingSubsBlotter")</f>
        <v>SelectTradeWorkingSubsBlotter</v>
      </c>
      <c r="BJ4" s="25" t="str">
        <f>IFERROR(__xludf.DUMMYFUNCTION("""COMPUTED_VALUE"""),"GoToAllocation")</f>
        <v>GoToAllocation</v>
      </c>
      <c r="BK4" s="25" t="str">
        <f>IFERROR(__xludf.DUMMYFUNCTION("""COMPUTED_VALUE"""),"VerifyAlgoDetails")</f>
        <v>VerifyAlgoDetails</v>
      </c>
      <c r="BL4" s="25" t="str">
        <f>IFERROR(__xludf.DUMMYFUNCTION("""COMPUTED_VALUE"""),"VerifyTransferToUserOrder")</f>
        <v>VerifyTransferToUserOrder</v>
      </c>
      <c r="BM4" s="25" t="str">
        <f>IFERROR(__xludf.DUMMYFUNCTION("""COMPUTED_VALUE"""),"VerifyTransferToUserSubOdr")</f>
        <v>VerifyTransferToUserSubOdr</v>
      </c>
      <c r="BN4" s="25" t="str">
        <f>IFERROR(__xludf.DUMMYFUNCTION("""COMPUTED_VALUE"""),"VerifyTransferToUserWorkSub")</f>
        <v>VerifyTransferToUserWorkSub</v>
      </c>
      <c r="BO4" s="25" t="str">
        <f>IFERROR(__xludf.DUMMYFUNCTION("""COMPUTED_VALUE"""),"VerifyViewAllocationDetails")</f>
        <v>VerifyViewAllocationDetails</v>
      </c>
      <c r="BP4" s="25" t="str">
        <f>IFERROR(__xludf.DUMMYFUNCTION("""COMPUTED_VALUE"""),"SaveLayoutOrderGrid")</f>
        <v>SaveLayoutOrderGrid</v>
      </c>
      <c r="BQ4" s="25" t="str">
        <f>IFERROR(__xludf.DUMMYFUNCTION("""COMPUTED_VALUE"""),"ReplaceStageOrder")</f>
        <v>ReplaceStageOrder</v>
      </c>
      <c r="BR4" s="25" t="str">
        <f>IFERROR(__xludf.DUMMYFUNCTION("""COMPUTED_VALUE"""),"MultiTradingTicketFromBlotter")</f>
        <v>MultiTradingTicketFromBlotter</v>
      </c>
      <c r="BS4" s="25" t="str">
        <f>IFERROR(__xludf.DUMMYFUNCTION("""COMPUTED_VALUE"""),"ReAllocateFromBlotterByAllocate")</f>
        <v>ReAllocateFromBlotterByAllocate</v>
      </c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40"/>
      <c r="C6" s="40"/>
      <c r="D6" s="45"/>
      <c r="E6" s="40"/>
      <c r="F6" s="46"/>
      <c r="G6" s="40"/>
      <c r="H6" s="40" t="s">
        <v>53</v>
      </c>
      <c r="I6" s="40" t="s">
        <v>54</v>
      </c>
      <c r="J6" s="40" t="s">
        <v>33</v>
      </c>
      <c r="K6" s="40"/>
      <c r="L6" s="40" t="s">
        <v>55</v>
      </c>
      <c r="N6" s="40"/>
      <c r="O6" s="40"/>
      <c r="P6" s="40"/>
      <c r="Q6" s="40"/>
      <c r="R6" s="40"/>
      <c r="S6" s="46"/>
      <c r="T6" s="46"/>
      <c r="U6" s="40" t="s">
        <v>56</v>
      </c>
      <c r="V6" s="40"/>
      <c r="W6" s="40"/>
      <c r="X6" s="46"/>
      <c r="Y6" s="40"/>
      <c r="Z6" s="40"/>
      <c r="AA6" s="40" t="s">
        <v>57</v>
      </c>
      <c r="AB6" s="46"/>
      <c r="AC6" s="40"/>
      <c r="AD6" s="46"/>
      <c r="AE6" s="40"/>
      <c r="AF6" s="40" t="s">
        <v>58</v>
      </c>
      <c r="AG6" s="45"/>
      <c r="AH6" s="47" t="s">
        <v>59</v>
      </c>
      <c r="AI6" s="9" t="s">
        <v>33</v>
      </c>
      <c r="AJ6" s="40" t="s">
        <v>26</v>
      </c>
      <c r="AK6" s="47"/>
      <c r="AL6" s="46">
        <v>100</v>
      </c>
      <c r="AM6" s="46"/>
      <c r="AN6" s="46"/>
      <c r="AO6" s="46"/>
      <c r="AP6" s="40"/>
      <c r="AQ6" s="45"/>
      <c r="AR6" s="45"/>
      <c r="AS6" s="40" t="s">
        <v>60</v>
      </c>
      <c r="AT6" s="40" t="s">
        <v>27</v>
      </c>
      <c r="AU6" s="40" t="s">
        <v>61</v>
      </c>
      <c r="AV6" s="46"/>
      <c r="AW6" s="46"/>
      <c r="AY6" s="46">
        <v>100</v>
      </c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/>
      <c r="C7" s="40"/>
      <c r="D7" s="45"/>
      <c r="E7" s="40"/>
      <c r="F7" s="46"/>
      <c r="G7" s="40"/>
      <c r="H7" s="40" t="s">
        <v>53</v>
      </c>
      <c r="I7" s="40" t="s">
        <v>54</v>
      </c>
      <c r="J7" s="47" t="s">
        <v>62</v>
      </c>
      <c r="K7" s="40"/>
      <c r="L7" s="40" t="s">
        <v>55</v>
      </c>
      <c r="N7" s="40"/>
      <c r="O7" s="40"/>
      <c r="P7" s="40"/>
      <c r="Q7" s="40"/>
      <c r="R7" s="40"/>
      <c r="S7" s="46"/>
      <c r="T7" s="46"/>
      <c r="U7" s="40" t="s">
        <v>56</v>
      </c>
      <c r="V7" s="40"/>
      <c r="W7" s="40"/>
      <c r="X7" s="46"/>
      <c r="Y7" s="40"/>
      <c r="Z7" s="40"/>
      <c r="AA7" s="40" t="s">
        <v>57</v>
      </c>
      <c r="AB7" s="46"/>
      <c r="AC7" s="40"/>
      <c r="AD7" s="46"/>
      <c r="AE7" s="40"/>
      <c r="AF7" s="40" t="s">
        <v>58</v>
      </c>
      <c r="AG7" s="45"/>
      <c r="AH7" s="40" t="s">
        <v>63</v>
      </c>
      <c r="AI7" s="9" t="s">
        <v>34</v>
      </c>
      <c r="AJ7" s="40" t="s">
        <v>26</v>
      </c>
      <c r="AK7" s="47"/>
      <c r="AL7" s="46">
        <v>100</v>
      </c>
      <c r="AM7" s="46"/>
      <c r="AN7" s="46"/>
      <c r="AO7" s="46"/>
      <c r="AP7" s="40"/>
      <c r="AQ7" s="45"/>
      <c r="AR7" s="45"/>
      <c r="AS7" s="40" t="s">
        <v>60</v>
      </c>
      <c r="AT7" s="40" t="s">
        <v>27</v>
      </c>
      <c r="AU7" s="40" t="s">
        <v>61</v>
      </c>
      <c r="AV7" s="46"/>
      <c r="AW7" s="46"/>
      <c r="AY7" s="46">
        <v>100</v>
      </c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37"/>
      <c r="C8" s="37"/>
      <c r="D8" s="38"/>
      <c r="E8" s="37" t="s">
        <v>50</v>
      </c>
      <c r="F8" s="38"/>
      <c r="G8" s="37"/>
      <c r="H8" s="37" t="s">
        <v>53</v>
      </c>
      <c r="I8" s="37" t="s">
        <v>54</v>
      </c>
      <c r="J8" s="48" t="s">
        <v>64</v>
      </c>
      <c r="K8" s="37"/>
      <c r="L8" s="37" t="s">
        <v>55</v>
      </c>
      <c r="M8" s="37"/>
      <c r="N8" s="37"/>
      <c r="O8" s="37"/>
      <c r="P8" s="37"/>
      <c r="Q8" s="37"/>
      <c r="R8" s="37"/>
      <c r="S8" s="38"/>
      <c r="T8" s="46"/>
      <c r="U8" s="40" t="s">
        <v>56</v>
      </c>
      <c r="V8" s="40"/>
      <c r="W8" s="40"/>
      <c r="X8" s="46"/>
      <c r="Y8" s="40"/>
      <c r="Z8" s="40"/>
      <c r="AA8" s="37" t="s">
        <v>65</v>
      </c>
      <c r="AB8" s="38"/>
      <c r="AC8" s="37"/>
      <c r="AD8" s="46"/>
      <c r="AE8" s="40"/>
      <c r="AF8" s="40" t="s">
        <v>58</v>
      </c>
      <c r="AG8" s="46"/>
      <c r="AH8" s="40" t="s">
        <v>66</v>
      </c>
      <c r="AI8" s="34" t="s">
        <v>36</v>
      </c>
      <c r="AJ8" s="40" t="s">
        <v>29</v>
      </c>
      <c r="AK8" s="40"/>
      <c r="AL8" s="46">
        <v>100</v>
      </c>
      <c r="AM8" s="46"/>
      <c r="AN8" s="46"/>
      <c r="AO8" s="46"/>
      <c r="AP8" s="40"/>
      <c r="AQ8" s="46"/>
      <c r="AR8" s="46"/>
      <c r="AS8" s="40" t="s">
        <v>60</v>
      </c>
      <c r="AT8" s="40" t="s">
        <v>30</v>
      </c>
      <c r="AU8" s="40" t="s">
        <v>61</v>
      </c>
      <c r="AV8" s="46"/>
      <c r="AW8" s="46"/>
      <c r="AX8" s="40"/>
      <c r="AY8" s="46">
        <v>100</v>
      </c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/>
      <c r="C9" s="37"/>
      <c r="D9" s="38"/>
      <c r="E9" s="37" t="s">
        <v>50</v>
      </c>
      <c r="F9" s="46"/>
      <c r="G9" s="40"/>
      <c r="H9" s="40" t="s">
        <v>53</v>
      </c>
      <c r="I9" s="40" t="s">
        <v>54</v>
      </c>
      <c r="J9" s="49" t="s">
        <v>64</v>
      </c>
      <c r="K9" s="40"/>
      <c r="L9" s="40" t="s">
        <v>55</v>
      </c>
      <c r="M9" s="40"/>
      <c r="N9" s="40"/>
      <c r="O9" s="40"/>
      <c r="P9" s="40"/>
      <c r="Q9" s="40"/>
      <c r="R9" s="40"/>
      <c r="S9" s="46"/>
      <c r="T9" s="46"/>
      <c r="U9" s="40" t="s">
        <v>56</v>
      </c>
      <c r="V9" s="40"/>
      <c r="W9" s="40"/>
      <c r="X9" s="46"/>
      <c r="Y9" s="40"/>
      <c r="Z9" s="40"/>
      <c r="AA9" s="37" t="s">
        <v>65</v>
      </c>
      <c r="AB9" s="38"/>
      <c r="AC9" s="37"/>
      <c r="AD9" s="46"/>
      <c r="AE9" s="40"/>
      <c r="AF9" s="40" t="s">
        <v>58</v>
      </c>
      <c r="AG9" s="46"/>
      <c r="AH9" s="40" t="s">
        <v>66</v>
      </c>
      <c r="AI9" s="34" t="s">
        <v>36</v>
      </c>
      <c r="AJ9" s="34" t="s">
        <v>29</v>
      </c>
      <c r="AK9" s="40"/>
      <c r="AL9" s="46">
        <v>100</v>
      </c>
      <c r="AM9" s="46"/>
      <c r="AN9" s="46"/>
      <c r="AO9" s="46"/>
      <c r="AP9" s="40"/>
      <c r="AQ9" s="46"/>
      <c r="AR9" s="46"/>
      <c r="AS9" s="40" t="s">
        <v>60</v>
      </c>
      <c r="AT9" s="40" t="s">
        <v>30</v>
      </c>
      <c r="AU9" s="40" t="s">
        <v>61</v>
      </c>
      <c r="AV9" s="50"/>
      <c r="AW9" s="50"/>
      <c r="AX9" s="40"/>
      <c r="AY9" s="46">
        <v>100</v>
      </c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40"/>
      <c r="B10" s="40"/>
      <c r="C10" s="37"/>
      <c r="D10" s="38"/>
      <c r="E10" s="37" t="s">
        <v>49</v>
      </c>
      <c r="F10" s="46"/>
      <c r="G10" s="40"/>
      <c r="H10" s="40" t="s">
        <v>53</v>
      </c>
      <c r="I10" s="40" t="s">
        <v>54</v>
      </c>
      <c r="J10" s="34" t="s">
        <v>35</v>
      </c>
      <c r="K10" s="40"/>
      <c r="L10" s="40" t="s">
        <v>55</v>
      </c>
      <c r="M10" s="40"/>
      <c r="N10" s="40"/>
      <c r="O10" s="40"/>
      <c r="P10" s="40"/>
      <c r="Q10" s="40"/>
      <c r="R10" s="40"/>
      <c r="S10" s="46"/>
      <c r="T10" s="46"/>
      <c r="U10" s="40" t="s">
        <v>67</v>
      </c>
      <c r="V10" s="40"/>
      <c r="W10" s="40"/>
      <c r="X10" s="46"/>
      <c r="Y10" s="40"/>
      <c r="Z10" s="40"/>
      <c r="AA10" s="37" t="s">
        <v>65</v>
      </c>
      <c r="AB10" s="38"/>
      <c r="AC10" s="37"/>
      <c r="AD10" s="46"/>
      <c r="AE10" s="40"/>
      <c r="AF10" s="40" t="s">
        <v>58</v>
      </c>
      <c r="AG10" s="46"/>
      <c r="AH10" s="40" t="s">
        <v>68</v>
      </c>
      <c r="AI10" s="34" t="s">
        <v>35</v>
      </c>
      <c r="AJ10" s="40" t="s">
        <v>29</v>
      </c>
      <c r="AK10" s="40"/>
      <c r="AL10" s="46">
        <v>100</v>
      </c>
      <c r="AM10" s="46"/>
      <c r="AN10" s="46"/>
      <c r="AO10" s="46"/>
      <c r="AP10" s="40"/>
      <c r="AQ10" s="46"/>
      <c r="AR10" s="46"/>
      <c r="AS10" s="40" t="s">
        <v>60</v>
      </c>
      <c r="AT10" s="40" t="s">
        <v>30</v>
      </c>
      <c r="AU10" s="40" t="s">
        <v>61</v>
      </c>
      <c r="AV10" s="46"/>
      <c r="AW10" s="46"/>
      <c r="AX10" s="40"/>
      <c r="AY10" s="46">
        <v>100</v>
      </c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</row>
    <row r="11" ht="15.75" customHeight="1">
      <c r="A11" s="40"/>
      <c r="B11" s="40"/>
      <c r="C11" s="37"/>
      <c r="D11" s="38"/>
      <c r="E11" s="37" t="s">
        <v>49</v>
      </c>
      <c r="F11" s="46"/>
      <c r="G11" s="40"/>
      <c r="H11" s="40" t="s">
        <v>53</v>
      </c>
      <c r="I11" s="40" t="s">
        <v>54</v>
      </c>
      <c r="J11" s="34" t="s">
        <v>35</v>
      </c>
      <c r="K11" s="40"/>
      <c r="L11" s="40" t="s">
        <v>55</v>
      </c>
      <c r="M11" s="40"/>
      <c r="N11" s="40"/>
      <c r="O11" s="40"/>
      <c r="P11" s="40"/>
      <c r="Q11" s="40"/>
      <c r="R11" s="40"/>
      <c r="S11" s="46"/>
      <c r="T11" s="46"/>
      <c r="U11" s="40" t="s">
        <v>67</v>
      </c>
      <c r="V11" s="40"/>
      <c r="W11" s="40"/>
      <c r="X11" s="46"/>
      <c r="Y11" s="40"/>
      <c r="Z11" s="40"/>
      <c r="AA11" s="37" t="s">
        <v>65</v>
      </c>
      <c r="AB11" s="38"/>
      <c r="AC11" s="37"/>
      <c r="AD11" s="46"/>
      <c r="AE11" s="40"/>
      <c r="AF11" s="40" t="s">
        <v>58</v>
      </c>
      <c r="AG11" s="46"/>
      <c r="AH11" s="40" t="s">
        <v>68</v>
      </c>
      <c r="AI11" s="34" t="s">
        <v>35</v>
      </c>
      <c r="AJ11" s="34" t="s">
        <v>29</v>
      </c>
      <c r="AK11" s="40"/>
      <c r="AL11" s="46">
        <v>100</v>
      </c>
      <c r="AM11" s="46"/>
      <c r="AN11" s="46"/>
      <c r="AO11" s="46"/>
      <c r="AP11" s="40"/>
      <c r="AQ11" s="46"/>
      <c r="AR11" s="46"/>
      <c r="AS11" s="40" t="s">
        <v>60</v>
      </c>
      <c r="AT11" s="40" t="s">
        <v>30</v>
      </c>
      <c r="AU11" s="40" t="s">
        <v>61</v>
      </c>
      <c r="AV11" s="50"/>
      <c r="AW11" s="50"/>
      <c r="AX11" s="40"/>
      <c r="AY11" s="46">
        <v>100</v>
      </c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</row>
    <row r="12" ht="15.75" customHeight="1">
      <c r="A12" s="40"/>
      <c r="B12" s="40"/>
      <c r="C12" s="37"/>
      <c r="D12" s="38"/>
      <c r="E12" s="37" t="s">
        <v>46</v>
      </c>
      <c r="F12" s="46"/>
      <c r="G12" s="40"/>
      <c r="H12" s="40" t="s">
        <v>53</v>
      </c>
      <c r="I12" s="40" t="s">
        <v>54</v>
      </c>
      <c r="J12" s="40" t="s">
        <v>31</v>
      </c>
      <c r="K12" s="40"/>
      <c r="L12" s="40" t="s">
        <v>55</v>
      </c>
      <c r="M12" s="40"/>
      <c r="N12" s="40"/>
      <c r="O12" s="40"/>
      <c r="P12" s="40"/>
      <c r="Q12" s="40"/>
      <c r="R12" s="40"/>
      <c r="S12" s="46"/>
      <c r="T12" s="46"/>
      <c r="U12" s="40" t="s">
        <v>56</v>
      </c>
      <c r="V12" s="40"/>
      <c r="W12" s="40"/>
      <c r="X12" s="46"/>
      <c r="Y12" s="40"/>
      <c r="Z12" s="40"/>
      <c r="AA12" s="40" t="s">
        <v>57</v>
      </c>
      <c r="AB12" s="38"/>
      <c r="AC12" s="37"/>
      <c r="AD12" s="46"/>
      <c r="AE12" s="40"/>
      <c r="AF12" s="40" t="s">
        <v>58</v>
      </c>
      <c r="AG12" s="46"/>
      <c r="AH12" s="40" t="s">
        <v>69</v>
      </c>
      <c r="AI12" s="40" t="s">
        <v>31</v>
      </c>
      <c r="AJ12" s="40" t="s">
        <v>26</v>
      </c>
      <c r="AK12" s="40"/>
      <c r="AL12" s="46">
        <v>100</v>
      </c>
      <c r="AM12" s="46"/>
      <c r="AN12" s="46"/>
      <c r="AO12" s="46"/>
      <c r="AP12" s="40"/>
      <c r="AQ12" s="46"/>
      <c r="AR12" s="46"/>
      <c r="AS12" s="40" t="s">
        <v>60</v>
      </c>
      <c r="AT12" s="40" t="s">
        <v>27</v>
      </c>
      <c r="AU12" s="40" t="s">
        <v>61</v>
      </c>
      <c r="AV12" s="46"/>
      <c r="AW12" s="46"/>
      <c r="AX12" s="40"/>
      <c r="AY12" s="46">
        <v>100</v>
      </c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</row>
    <row r="13" ht="15.75" customHeight="1">
      <c r="A13" s="40"/>
      <c r="B13" s="40"/>
      <c r="C13" s="37"/>
      <c r="D13" s="38"/>
      <c r="E13" s="37" t="s">
        <v>46</v>
      </c>
      <c r="F13" s="46"/>
      <c r="G13" s="40"/>
      <c r="H13" s="40" t="s">
        <v>53</v>
      </c>
      <c r="I13" s="40" t="s">
        <v>54</v>
      </c>
      <c r="J13" s="40" t="s">
        <v>31</v>
      </c>
      <c r="K13" s="40"/>
      <c r="L13" s="40" t="s">
        <v>55</v>
      </c>
      <c r="M13" s="40"/>
      <c r="N13" s="40"/>
      <c r="O13" s="40"/>
      <c r="P13" s="40"/>
      <c r="Q13" s="40"/>
      <c r="R13" s="40"/>
      <c r="S13" s="46"/>
      <c r="T13" s="46"/>
      <c r="U13" s="40" t="s">
        <v>56</v>
      </c>
      <c r="V13" s="40"/>
      <c r="W13" s="40"/>
      <c r="X13" s="46"/>
      <c r="Y13" s="40"/>
      <c r="Z13" s="40"/>
      <c r="AA13" s="40" t="s">
        <v>57</v>
      </c>
      <c r="AB13" s="38"/>
      <c r="AC13" s="37"/>
      <c r="AD13" s="46"/>
      <c r="AE13" s="40"/>
      <c r="AF13" s="40" t="s">
        <v>58</v>
      </c>
      <c r="AG13" s="46"/>
      <c r="AH13" s="40" t="s">
        <v>69</v>
      </c>
      <c r="AI13" s="40" t="s">
        <v>31</v>
      </c>
      <c r="AJ13" s="40" t="s">
        <v>29</v>
      </c>
      <c r="AK13" s="40"/>
      <c r="AL13" s="46">
        <v>100</v>
      </c>
      <c r="AM13" s="46"/>
      <c r="AN13" s="46"/>
      <c r="AO13" s="46"/>
      <c r="AP13" s="40"/>
      <c r="AQ13" s="46"/>
      <c r="AR13" s="46"/>
      <c r="AS13" s="40" t="s">
        <v>60</v>
      </c>
      <c r="AT13" s="40" t="s">
        <v>27</v>
      </c>
      <c r="AU13" s="40" t="s">
        <v>61</v>
      </c>
      <c r="AV13" s="46"/>
      <c r="AW13" s="46"/>
      <c r="AX13" s="40"/>
      <c r="AY13" s="46">
        <v>100</v>
      </c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</row>
    <row r="14" ht="15.75" customHeight="1">
      <c r="A14" s="40"/>
      <c r="B14" s="40"/>
      <c r="C14" s="37"/>
      <c r="D14" s="38"/>
      <c r="E14" s="37" t="s">
        <v>47</v>
      </c>
      <c r="F14" s="46"/>
      <c r="G14" s="40"/>
      <c r="H14" s="40" t="s">
        <v>53</v>
      </c>
      <c r="I14" s="40" t="s">
        <v>54</v>
      </c>
      <c r="J14" s="40" t="s">
        <v>70</v>
      </c>
      <c r="K14" s="40"/>
      <c r="L14" s="40" t="s">
        <v>55</v>
      </c>
      <c r="M14" s="40"/>
      <c r="N14" s="40"/>
      <c r="O14" s="40"/>
      <c r="P14" s="40"/>
      <c r="Q14" s="40"/>
      <c r="R14" s="40"/>
      <c r="S14" s="46"/>
      <c r="T14" s="46"/>
      <c r="U14" s="40" t="s">
        <v>56</v>
      </c>
      <c r="V14" s="40"/>
      <c r="W14" s="40"/>
      <c r="X14" s="46"/>
      <c r="Y14" s="40"/>
      <c r="Z14" s="40"/>
      <c r="AA14" s="40" t="s">
        <v>57</v>
      </c>
      <c r="AB14" s="38"/>
      <c r="AC14" s="37"/>
      <c r="AD14" s="46"/>
      <c r="AE14" s="40"/>
      <c r="AF14" s="40" t="s">
        <v>58</v>
      </c>
      <c r="AG14" s="46"/>
      <c r="AH14" s="40" t="s">
        <v>71</v>
      </c>
      <c r="AI14" s="40" t="s">
        <v>32</v>
      </c>
      <c r="AJ14" s="47" t="s">
        <v>28</v>
      </c>
      <c r="AK14" s="40"/>
      <c r="AL14" s="46">
        <v>100</v>
      </c>
      <c r="AM14" s="46"/>
      <c r="AN14" s="46"/>
      <c r="AO14" s="46"/>
      <c r="AP14" s="40"/>
      <c r="AQ14" s="46"/>
      <c r="AR14" s="46"/>
      <c r="AS14" s="40" t="s">
        <v>60</v>
      </c>
      <c r="AT14" s="40" t="s">
        <v>27</v>
      </c>
      <c r="AU14" s="40" t="s">
        <v>61</v>
      </c>
      <c r="AV14" s="46"/>
      <c r="AW14" s="46"/>
      <c r="AX14" s="40"/>
      <c r="AY14" s="46">
        <v>100</v>
      </c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 s="40"/>
      <c r="DT14" s="40"/>
      <c r="DU14" s="40"/>
      <c r="DV14" s="40"/>
      <c r="DW14" s="40"/>
      <c r="DX14" s="40"/>
      <c r="DY14" s="40"/>
      <c r="DZ14" s="40"/>
      <c r="EA14" s="40"/>
      <c r="EB14" s="40"/>
      <c r="EC14" s="40"/>
      <c r="ED14" s="40"/>
      <c r="EE14" s="40"/>
      <c r="EF14" s="40"/>
      <c r="EG14" s="40"/>
      <c r="EH14" s="40"/>
      <c r="EI14" s="40"/>
      <c r="EJ14" s="40"/>
      <c r="EK14" s="40"/>
      <c r="EL14" s="40"/>
      <c r="EM14" s="40"/>
      <c r="EN14" s="40"/>
      <c r="EO14" s="40"/>
      <c r="EP14" s="40"/>
      <c r="EQ14" s="40"/>
      <c r="ER14" s="40"/>
      <c r="ES14" s="40"/>
      <c r="ET14" s="40"/>
      <c r="EU14" s="40"/>
      <c r="EV14" s="40"/>
      <c r="EW14" s="40"/>
      <c r="EX14" s="40"/>
    </row>
    <row r="15" ht="15.75" customHeight="1">
      <c r="A15" s="40"/>
      <c r="B15" s="40"/>
      <c r="C15" s="37"/>
      <c r="D15" s="38"/>
      <c r="E15" s="37" t="s">
        <v>47</v>
      </c>
      <c r="F15" s="46"/>
      <c r="G15" s="40"/>
      <c r="H15" s="40" t="s">
        <v>53</v>
      </c>
      <c r="I15" s="40" t="s">
        <v>54</v>
      </c>
      <c r="J15" s="40" t="s">
        <v>70</v>
      </c>
      <c r="K15" s="40"/>
      <c r="L15" s="40" t="s">
        <v>55</v>
      </c>
      <c r="M15" s="40"/>
      <c r="N15" s="40"/>
      <c r="O15" s="40"/>
      <c r="P15" s="40"/>
      <c r="Q15" s="40"/>
      <c r="R15" s="40"/>
      <c r="S15" s="46"/>
      <c r="T15" s="46"/>
      <c r="U15" s="40" t="s">
        <v>56</v>
      </c>
      <c r="V15" s="40"/>
      <c r="W15" s="40"/>
      <c r="X15" s="46"/>
      <c r="Y15" s="40"/>
      <c r="Z15" s="40"/>
      <c r="AA15" s="40" t="s">
        <v>57</v>
      </c>
      <c r="AB15" s="38"/>
      <c r="AC15" s="37"/>
      <c r="AD15" s="46"/>
      <c r="AE15" s="40"/>
      <c r="AF15" s="40" t="s">
        <v>58</v>
      </c>
      <c r="AG15" s="46"/>
      <c r="AH15" s="40" t="s">
        <v>71</v>
      </c>
      <c r="AI15" s="40" t="s">
        <v>32</v>
      </c>
      <c r="AJ15" s="47" t="s">
        <v>48</v>
      </c>
      <c r="AK15" s="40"/>
      <c r="AL15" s="46">
        <v>100</v>
      </c>
      <c r="AM15" s="46"/>
      <c r="AN15" s="46"/>
      <c r="AO15" s="46"/>
      <c r="AP15" s="40"/>
      <c r="AQ15" s="46"/>
      <c r="AR15" s="46"/>
      <c r="AS15" s="40" t="s">
        <v>60</v>
      </c>
      <c r="AT15" s="40" t="s">
        <v>27</v>
      </c>
      <c r="AU15" s="40" t="s">
        <v>61</v>
      </c>
      <c r="AV15" s="46"/>
      <c r="AW15" s="46"/>
      <c r="AX15" s="40"/>
      <c r="AY15" s="46">
        <v>100</v>
      </c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  <c r="DS15" s="40"/>
      <c r="DT15" s="40"/>
      <c r="DU15" s="40"/>
      <c r="DV15" s="40"/>
      <c r="DW15" s="40"/>
      <c r="DX15" s="40"/>
      <c r="DY15" s="40"/>
      <c r="DZ15" s="40"/>
      <c r="EA15" s="40"/>
      <c r="EB15" s="40"/>
      <c r="EC15" s="40"/>
      <c r="ED15" s="40"/>
      <c r="EE15" s="40"/>
      <c r="EF15" s="40"/>
      <c r="EG15" s="40"/>
      <c r="EH15" s="40"/>
      <c r="EI15" s="40"/>
      <c r="EJ15" s="40"/>
      <c r="EK15" s="40"/>
      <c r="EL15" s="40"/>
      <c r="EM15" s="40"/>
      <c r="EN15" s="40"/>
      <c r="EO15" s="40"/>
      <c r="EP15" s="40"/>
      <c r="EQ15" s="40"/>
      <c r="ER15" s="40"/>
      <c r="ES15" s="40"/>
      <c r="ET15" s="40"/>
      <c r="EU15" s="40"/>
      <c r="EV15" s="40"/>
      <c r="EW15" s="40"/>
      <c r="EX15" s="40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