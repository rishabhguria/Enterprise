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lectTradeUnexpiredUnsettled" sheetId="4" r:id="rId6"/>
    <sheet state="visible" name="CreateTransaction" sheetId="5" r:id="rId7"/>
    <sheet state="visible" name="GetDataClosing" sheetId="6" r:id="rId8"/>
    <sheet state="visible" name="ExerciseAssignment" sheetId="7" r:id="rId9"/>
    <sheet state="visible" name="VerifyExpiredSettledGrid" sheetId="8" r:id="rId10"/>
    <sheet state="visible" name="CheckAllocatedGroups" sheetId="9" r:id="rId11"/>
    <sheet state="visible" name="GetDataAllocation" sheetId="10" r:id="rId12"/>
  </sheets>
  <definedNames/>
  <calcPr/>
</workbook>
</file>

<file path=xl/sharedStrings.xml><?xml version="1.0" encoding="utf-8"?>
<sst xmlns="http://schemas.openxmlformats.org/spreadsheetml/2006/main" count="81" uniqueCount="30">
  <si>
    <t>Modules Info</t>
  </si>
  <si>
    <t>Modules</t>
  </si>
  <si>
    <t>Settings</t>
  </si>
  <si>
    <t>Module Step Setting File</t>
  </si>
  <si>
    <t>1bjzFzn7sq_aNk1B-5bCREqf7Fqdi4GeZC91op3sddBc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</si>
  <si>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</si>
  <si>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</si>
  <si>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</si>
  <si>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</si>
  <si>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</si>
  <si>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</si>
  <si>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</si>
  <si>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Closing</t>
  </si>
  <si>
    <t>SelectTradeUnexpiredUnsettled</t>
  </si>
  <si>
    <t>Data Format</t>
  </si>
  <si>
    <t>Input Format</t>
  </si>
  <si>
    <t>Allocation1</t>
  </si>
  <si>
    <t>EquityOption</t>
  </si>
  <si>
    <t>O:ABM 10D20.00</t>
  </si>
  <si>
    <t>CreateTransaction</t>
  </si>
  <si>
    <t>Buy</t>
  </si>
  <si>
    <t>GetDataClosing</t>
  </si>
  <si>
    <t>Historical</t>
  </si>
  <si>
    <t>ExerciseAssignment</t>
  </si>
  <si>
    <t>ABM</t>
  </si>
  <si>
    <t>VerifyExpiredSettledGrid</t>
  </si>
  <si>
    <t>Allocation</t>
  </si>
  <si>
    <t>CheckAllocatedGroups</t>
  </si>
  <si>
    <t>Sell</t>
  </si>
  <si>
    <t>GetDataAllocation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</si>
</sst>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right" shrinkToFit="0" vertical="bottom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shrinkToFit="0" vertical="bottom" wrapText="0"/>
    </xf>
    <xf borderId="0" fillId="0" fontId="3" numFmtId="0" xfId="0" applyAlignment="1" applyFont="1">
      <alignment shrinkToFit="0" vertical="bottom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IFERROR(__xludf.DUMMYFUNCTION("""COMPUTED_VALUE"""),"1mcj3boGZkRmnkbGNVOiMK0RBd1tDfxGwoUagq09FwTM")</f>
        <v>1mcj3boGZkRmnkbGNVOiMK0RBd1tDfxGwoUagq09FwTM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IFERROR(__xludf.DUMMYFUNCTION("""COMPUTED_VALUE"""),"1ZZ2-R1OHOoSZ9jUfqlZ7UX-MNoTL_RipoEPOEeDhUiU")</f>
        <v>1ZZ2-R1OHOoSZ9jUfqlZ7UX-MNoTL_RipoEPOEeDhUiU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IFERROR(__xludf.DUMMYFUNCTION("""COMPUTED_VALUE"""),"1tuNkOgVUAgmGZdePkvb6Kq4fOIVUbM2Oo-j35VwEMxU")</f>
        <v>1tuNkOgVUAgmGZdePkvb6Kq4fOIVUbM2Oo-j35VwEMxU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IFERROR(__xludf.DUMMYFUNCTION("""COMPUTED_VALUE"""),"1rFegPn3vtFd9CjW_Q7sLLAAJfMR24R2aIjZeDzV88kI")</f>
        <v>1rFegPn3vtFd9CjW_Q7sLLAAJfMR24R2aIjZeDzV88kI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IFERROR(__xludf.DUMMYFUNCTION("""COMPUTED_VALUE"""),"1AUbU9P9evi80SGX-0B0OEU4EIeSy8XoX0Jxc2neUG7Y")</f>
        <v>1AUbU9P9evi80SGX-0B0OEU4EIeSy8XoX0Jxc2neUG7Y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IFERROR(__xludf.DUMMYFUNCTION("""COMPUTED_VALUE"""),"1BmRHukyQ4miHL0fDoU1ytWmIfZkbbUhts6aUXOoJt1M")</f>
        <v>1BmRHukyQ4miHL0fDoU1ytWmIfZkbbUhts6aUXOoJt1M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IFERROR(__xludf.DUMMYFUNCTION("""COMPUTED_VALUE"""),"1ultylVChPDBFQEPMhDgNhsGAOiEjOy4yrylpQgIIDRs")</f>
        <v>1ultylVChPDBFQEPMhDgNhsGAOiEjOy4yrylpQgIIDRs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IFERROR(__xludf.DUMMYFUNCTION("""COMPUTED_VALUE"""),"1kfuraVHmWK4GQJ5l-V_xi5ZOvrVVE_6df75wO3Tczkw")</f>
        <v>1kfuraVHmWK4GQJ5l-V_xi5ZOvrVVE_6df75wO3Tczkw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IFERROR(__xludf.DUMMYFUNCTION("""COMPUTED_VALUE"""),"16WxFw58KivOf3P1utNNMuCYVONlWBgTIRn0wVd6Sq10")</f>
        <v>16WxFw58KivOf3P1utNNMuCYVONlWBgTIRn0wVd6Sq10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IFERROR(__xludf.DUMMYFUNCTION("""COMPUTED_VALUE"""),"1niCpVuSl0IoWtjAcvElNI0GeVHeA4cKvepxzq7Z4t0Y")</f>
        <v>1niCpVuSl0IoWtjAcvElNI0GeVHeA4cKvepxzq7Z4t0Y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IFERROR(__xludf.DUMMYFUNCTION("""COMPUTED_VALUE"""),"1c3AV5tCWYyTG5GupbNYTh4Y6mBGeI5Q18WF7jbA_FoE")</f>
        <v>1c3AV5tCWYyTG5GupbNYTh4Y6mBGeI5Q18WF7jbA_FoE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IFERROR(__xludf.DUMMYFUNCTION("""COMPUTED_VALUE"""),"1X6nskWL8-xWWF-gN9qfxhhV3aBuAeoxKsrdra5tJcpQ")</f>
        <v>1X6nskWL8-xWWF-gN9qfxhhV3aBuAeoxKsrdra5tJcpQ</v>
      </c>
    </row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IFERROR(__xludf.DUMMYFUNCTION("""COMPUTED_VALUE"""),"StrikePrice")</f>
        <v>StrikePrice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8"/>
      <c r="D6" s="11"/>
      <c r="E6" s="11" t="s">
        <v>17</v>
      </c>
      <c r="F6" s="8"/>
      <c r="G6" s="8"/>
      <c r="H6" s="8"/>
      <c r="I6" s="8"/>
      <c r="J6" s="8"/>
      <c r="K6" s="8"/>
      <c r="L6" s="8"/>
      <c r="M6" s="8"/>
      <c r="N6" s="8"/>
      <c r="O6" s="31"/>
      <c r="AW6" s="31"/>
      <c r="BL6" s="30"/>
      <c r="DH6" s="30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25.14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IFERROR(__xludf.DUMMYFUNCTION("IF(C3="""","""",Transpose(IMPORTRANGE('_Settings'!$B$3,C3&amp;""!A4:A1000"")))"),"CreateTransaction")</f>
        <v>CreateTransaction</v>
      </c>
      <c r="C4" s="24" t="str">
        <f>IFERROR(__xludf.DUMMYFUNCTION("""COMPUTED_VALUE"""),"AddNewTransaction")</f>
        <v>AddNewTransaction</v>
      </c>
      <c r="D4" s="24" t="str">
        <f>IFERROR(__xludf.DUMMYFUNCTION("""COMPUTED_VALUE"""),"SaveTransaction")</f>
        <v>SaveTransaction</v>
      </c>
      <c r="E4" s="24" t="str">
        <f>IFERROR(__xludf.DUMMYFUNCTION("""COMPUTED_VALUE"""),"CreateTransaction")</f>
        <v>CreateTransaction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IFERROR(__xludf.DUMMYFUNCTION("""COMPUTED_VALUE"""),"Account")</f>
        <v>Account</v>
      </c>
      <c r="D5" s="27" t="str">
        <f>IFERROR(__xludf.DUMMYFUNCTION("""COMPUTED_VALUE"""),"Side")</f>
        <v>Side</v>
      </c>
      <c r="E5" s="27" t="str">
        <f>IFERROR(__xludf.DUMMYFUNCTION("""COMPUTED_VALUE"""),"Quantity")</f>
        <v>Quantity</v>
      </c>
      <c r="F5" s="28" t="str">
        <f>IFERROR(__xludf.DUMMYFUNCTION("""COMPUTED_VALUE"""),"Executed Quantity")</f>
        <v>Executed Quantity</v>
      </c>
      <c r="G5" s="27" t="str">
        <f>IFERROR(__xludf.DUMMYFUNCTION("""COMPUTED_VALUE"""),"Average Price")</f>
        <v>Average Price</v>
      </c>
      <c r="H5" s="27" t="str">
        <f>IFERROR(__xludf.DUMMYFUNCTION("""COMPUTED_VALUE"""),"Commission")</f>
        <v>Commission</v>
      </c>
      <c r="I5" s="27" t="str">
        <f>IFERROR(__xludf.DUMMYFUNCTION("""COMPUTED_VALUE"""),"Trade Date")</f>
        <v>Trade Date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0" t="s">
        <v>18</v>
      </c>
      <c r="C6" s="30" t="s">
        <v>16</v>
      </c>
      <c r="D6" s="30" t="s">
        <v>20</v>
      </c>
      <c r="E6" s="31">
        <v>100.0</v>
      </c>
      <c r="F6" s="31">
        <v>100.0</v>
      </c>
      <c r="G6" s="31">
        <v>10.0</v>
      </c>
      <c r="H6" s="31">
        <v>0.0</v>
      </c>
      <c r="I6" s="33">
        <f>TODAY()</f>
        <v>44043</v>
      </c>
      <c r="J6" s="34"/>
      <c r="K6" s="34"/>
      <c r="L6" s="34"/>
      <c r="M6" s="34"/>
      <c r="N6" s="34"/>
      <c r="O6" s="34"/>
      <c r="P6" s="31"/>
      <c r="Q6" s="30"/>
      <c r="R6" s="34"/>
      <c r="S6" s="34"/>
      <c r="T6" s="34"/>
      <c r="U6" s="34"/>
      <c r="V6" s="33"/>
      <c r="W6" s="34"/>
      <c r="X6" s="34"/>
      <c r="Y6" s="34"/>
      <c r="Z6" s="34"/>
      <c r="AA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CreateTransaction!$4:$4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5" t="s">
        <v>22</v>
      </c>
      <c r="C6" s="36">
        <f>TODAY() - 1</f>
        <v>44042</v>
      </c>
      <c r="D6" s="36">
        <f>TODAY()</f>
        <v>44043</v>
      </c>
      <c r="E6" s="37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8"/>
      <c r="D6" s="11"/>
      <c r="E6" s="38"/>
      <c r="F6" s="8"/>
      <c r="G6" s="8"/>
      <c r="H6" s="8"/>
      <c r="I6" s="8"/>
      <c r="J6" s="8"/>
      <c r="K6" s="8"/>
      <c r="L6" s="8"/>
      <c r="M6" s="8"/>
      <c r="N6" s="8"/>
      <c r="O6" s="31">
        <v>0.0</v>
      </c>
      <c r="AW6" s="31">
        <v>100.0</v>
      </c>
      <c r="BL6" s="30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" width="14.43"/>
    <col customWidth="1" min="13" max="13" width="33.71"/>
    <col customWidth="1" min="14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8"/>
      <c r="D6" s="11"/>
      <c r="E6" s="38"/>
      <c r="F6" s="8"/>
      <c r="G6" s="31">
        <v>100.0</v>
      </c>
      <c r="H6" s="8"/>
      <c r="I6" s="8"/>
      <c r="J6" s="8"/>
      <c r="K6" s="8"/>
      <c r="L6" s="8"/>
      <c r="M6" s="31"/>
      <c r="N6" s="8"/>
      <c r="O6" s="8"/>
      <c r="AB6" s="30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71" width="14.43"/>
    <col customWidth="1" min="72" max="72" width="31.0"/>
    <col customWidth="1" min="73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16</v>
      </c>
      <c r="C6" s="8"/>
      <c r="D6" s="11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BJ6" s="39">
        <v>100.0</v>
      </c>
      <c r="BO6" s="37" t="s">
        <v>28</v>
      </c>
      <c r="BT6" s="30" t="s">
        <v>18</v>
      </c>
    </row>
    <row r="7" ht="15.75" customHeight="1">
      <c r="A7" s="8"/>
      <c r="B7" s="40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BJ7" s="39">
        <v>10000.0</v>
      </c>
      <c r="BO7" s="37" t="s">
        <v>20</v>
      </c>
      <c r="BT7" s="9" t="s">
        <v>24</v>
      </c>
    </row>
    <row r="8" ht="15.75" customHeight="1">
      <c r="A8" s="8"/>
      <c r="B8" s="40" t="s">
        <v>16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BJ8" s="39">
        <v>100.0</v>
      </c>
      <c r="BO8" s="37" t="s">
        <v>20</v>
      </c>
      <c r="BT8" s="30" t="s">
        <v>18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22</v>
      </c>
      <c r="C6" s="41">
        <f>today()-1</f>
        <v>44042</v>
      </c>
      <c r="D6" s="42">
        <f>today()</f>
        <v>44043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