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lectTradeOnOrderGrid" sheetId="5" r:id="rId7"/>
    <sheet state="visible" name="AllocateFromBlotter" sheetId="6" r:id="rId8"/>
    <sheet state="visible" name="GetDataAllocation" sheetId="7" r:id="rId9"/>
    <sheet state="visible" name="CheckAllocatedGroups" sheetId="8" r:id="rId10"/>
  </sheets>
  <definedNames/>
  <calcPr/>
</workbook>
</file>

<file path=xl/sharedStrings.xml><?xml version="1.0" encoding="utf-8"?>
<sst xmlns="http://schemas.openxmlformats.org/spreadsheetml/2006/main" count="64" uniqueCount="34">
  <si>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</si>
  <si>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</si>
  <si>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</si>
  <si>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</si>
  <si>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</si>
  <si>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</si>
  <si>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</si>
  <si>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</si>
  <si>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</si>
  <si>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</si>
  <si>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</si>
  <si>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</si>
  <si>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</si>
  <si>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</si>
  <si>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</si>
  <si>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</si>
  <si>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</si>
  <si>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Sell</t>
  </si>
  <si>
    <t>Unallocated</t>
  </si>
  <si>
    <t>Blotter</t>
  </si>
  <si>
    <t>SelectTradeOnOrderGrid</t>
  </si>
  <si>
    <t>PartiallyFilled</t>
  </si>
  <si>
    <t>MS</t>
  </si>
  <si>
    <t>AllocateFromBlotter</t>
  </si>
  <si>
    <t>Allocation2</t>
  </si>
  <si>
    <t>Allocation4</t>
  </si>
  <si>
    <t>Allocation</t>
  </si>
  <si>
    <t>GetDataAllocation</t>
  </si>
  <si>
    <t>Current</t>
  </si>
  <si>
    <t>CheckAllocatedGroups</t>
  </si>
  <si>
    <t>Manual</t>
  </si>
  <si>
    <t>Equity</t>
  </si>
  <si>
    <t>jpearce</t>
  </si>
  <si>
    <t>NASDAQ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</si>
</sst>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 am/pm"/>
    <numFmt numFmtId="165" formatCode="m/d/yyyy h:mm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164" xfId="0" applyAlignment="1" applyFont="1" applyNumberFormat="1">
      <alignment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165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500.0</v>
      </c>
      <c r="E6" s="34">
        <v>100.0</v>
      </c>
      <c r="F6" s="35" t="s">
        <v>18</v>
      </c>
      <c r="G6" s="35"/>
      <c r="H6" s="35"/>
      <c r="I6" s="35"/>
      <c r="J6" s="34">
        <v>12.0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5"/>
      <c r="D6" s="31" t="s">
        <v>16</v>
      </c>
      <c r="E6" s="35"/>
      <c r="F6" s="36" t="s">
        <v>17</v>
      </c>
      <c r="G6" s="35" t="s">
        <v>21</v>
      </c>
      <c r="H6" s="34">
        <v>500.0</v>
      </c>
      <c r="I6" s="34"/>
      <c r="J6" s="35"/>
      <c r="K6" s="35"/>
      <c r="L6" s="35"/>
      <c r="M6" s="35"/>
      <c r="N6" s="35"/>
      <c r="O6" s="35"/>
      <c r="P6" s="35"/>
      <c r="Q6" s="35" t="s">
        <v>22</v>
      </c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IFERROR(__xludf.DUMMYFUNCTION("""COMPUTED_VALUE"""),"Account")</f>
        <v>Account</v>
      </c>
      <c r="D5" s="28" t="str">
        <f>IFERROR(__xludf.DUMMYFUNCTION("""COMPUTED_VALUE"""),"Target Allocation Percentage")</f>
        <v>Target Allocation Percentage</v>
      </c>
      <c r="E5" s="28" t="str">
        <f>IFERROR(__xludf.DUMMYFUNCTION("""COMPUTED_VALUE"""),"TargetAllocationQuantity")</f>
        <v>TargetAllocationQuantity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37" t="s">
        <v>24</v>
      </c>
      <c r="D6" s="33">
        <v>50.0</v>
      </c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37" t="s">
        <v>25</v>
      </c>
      <c r="D7" s="34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AllocateFromBlotter!$4:$4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9"/>
      <c r="C6" s="39"/>
      <c r="D6" s="40"/>
      <c r="E6" s="40">
        <v>100.0</v>
      </c>
      <c r="F6" s="39" t="s">
        <v>30</v>
      </c>
      <c r="G6" s="39" t="s">
        <v>31</v>
      </c>
      <c r="H6" s="40"/>
      <c r="I6" s="40"/>
      <c r="J6" s="40"/>
      <c r="K6" s="40"/>
      <c r="L6" s="40"/>
      <c r="M6" s="39"/>
      <c r="N6" s="39"/>
      <c r="O6" s="39" t="s">
        <v>22</v>
      </c>
      <c r="P6" s="41"/>
      <c r="Q6" s="40"/>
      <c r="R6" s="40"/>
      <c r="S6" s="39"/>
      <c r="T6" s="40"/>
      <c r="U6" s="40"/>
      <c r="V6" s="39"/>
      <c r="W6" s="40"/>
      <c r="X6" s="40"/>
      <c r="Y6" s="41"/>
      <c r="Z6" s="39"/>
      <c r="AA6" s="39"/>
      <c r="AB6" s="40"/>
      <c r="AC6" s="39"/>
      <c r="AD6" s="39"/>
      <c r="AE6" s="40"/>
      <c r="AF6" s="42"/>
      <c r="AG6" s="42"/>
      <c r="AH6" s="39"/>
      <c r="AI6" s="40"/>
      <c r="AJ6" s="39"/>
      <c r="AK6" s="41"/>
      <c r="AL6" s="41"/>
      <c r="AM6" s="39"/>
      <c r="AN6" s="39"/>
      <c r="AO6" s="39"/>
      <c r="AP6" s="39"/>
      <c r="AQ6" s="39"/>
      <c r="AR6" s="39"/>
      <c r="AS6" s="40"/>
      <c r="AT6" s="43"/>
      <c r="AU6" s="43"/>
      <c r="AV6" s="44"/>
      <c r="AW6" s="40"/>
      <c r="AX6" s="40"/>
      <c r="AY6" s="39"/>
      <c r="AZ6" s="40"/>
      <c r="BA6" s="44"/>
      <c r="BB6" s="41"/>
      <c r="BC6" s="40"/>
      <c r="BD6" s="39"/>
      <c r="BE6" s="43"/>
      <c r="BF6" s="43"/>
      <c r="BG6" s="44"/>
      <c r="BH6" s="41"/>
      <c r="BI6" s="41"/>
      <c r="BJ6" s="40">
        <v>500.0</v>
      </c>
      <c r="BK6" s="40"/>
      <c r="BL6" s="39"/>
      <c r="BM6" s="39"/>
      <c r="BN6" s="44"/>
      <c r="BO6" s="39" t="s">
        <v>17</v>
      </c>
      <c r="BP6" s="40"/>
      <c r="BQ6" s="40"/>
      <c r="BR6" s="40"/>
      <c r="BS6" s="39"/>
      <c r="BT6" s="39" t="s">
        <v>16</v>
      </c>
      <c r="BU6" s="40"/>
      <c r="BV6" s="40"/>
      <c r="BW6" s="40"/>
      <c r="BX6" s="40"/>
      <c r="BY6" s="41"/>
      <c r="BZ6" s="41"/>
      <c r="CA6" s="41"/>
      <c r="CB6" s="41"/>
      <c r="CC6" s="41"/>
      <c r="CD6" s="41"/>
      <c r="CE6" s="44"/>
      <c r="CF6" s="39"/>
      <c r="CG6" s="40"/>
      <c r="CH6" s="39"/>
      <c r="CI6" s="39"/>
      <c r="CJ6" s="40"/>
      <c r="CK6" s="39"/>
      <c r="CL6" s="40"/>
      <c r="CM6" s="39" t="s">
        <v>16</v>
      </c>
      <c r="CN6" s="39" t="s">
        <v>32</v>
      </c>
      <c r="CO6" s="39" t="s">
        <v>33</v>
      </c>
      <c r="CP6" s="39"/>
      <c r="CQ6" s="42"/>
      <c r="CR6" s="40"/>
      <c r="CS6" s="41"/>
      <c r="CT6" s="41"/>
      <c r="CU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