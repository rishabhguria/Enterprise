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PricingInput" sheetId="5" r:id="rId7"/>
    <sheet state="visible" name="CreateComplianceOrder" sheetId="6" r:id="rId8"/>
    <sheet state="visible" name="VerifyComplianceOrder" sheetId="7" r:id="rId9"/>
    <sheet state="visible" name="MergeOrder" sheetId="8" r:id="rId10"/>
    <sheet state="visible" name="VerifyOrder" sheetId="9" r:id="rId11"/>
    <sheet state="visible" name="CreateComplianceOrder1" sheetId="10" r:id="rId12"/>
    <sheet state="visible" name="VerifyComplianceOrder1" sheetId="11" r:id="rId13"/>
    <sheet state="visible" name="VerifyRowCalculationBaseWindow" sheetId="12" r:id="rId14"/>
  </sheets>
  <definedNames/>
  <calcPr/>
</workbook>
</file>

<file path=xl/sharedStrings.xml><?xml version="1.0" encoding="utf-8"?>
<sst xmlns="http://schemas.openxmlformats.org/spreadsheetml/2006/main" count="164" uniqueCount="48">
  <si>
    <t>Modules Info</t>
  </si>
  <si>
    <t>Modules</t>
  </si>
  <si>
    <t>Settings</t>
  </si>
  <si>
    <t>Module Step Setting File</t>
  </si>
  <si>
    <t>1FzWTLghJOFjrGmCEN5rFkuzctvHiAo4TNjRi7fOzwlg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</si>
  <si>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</si>
  <si>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</si>
  <si>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</si>
  <si>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</si>
  <si>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</si>
  <si>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</si>
  <si>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</si>
  <si>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</si>
  <si>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</si>
  <si>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</si>
  <si>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</si>
  <si>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</si>
  <si>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</si>
  <si>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PricingInput</t>
  </si>
  <si>
    <t>CreateComplianceOrder</t>
  </si>
  <si>
    <t>Allocation1</t>
  </si>
  <si>
    <t>Yes</t>
  </si>
  <si>
    <t>CreateOrder</t>
  </si>
  <si>
    <t>VerifyComplianceOrder</t>
  </si>
  <si>
    <t>Soft</t>
  </si>
  <si>
    <t>TradeQuantity-123</t>
  </si>
  <si>
    <t>Enter Summary</t>
  </si>
  <si>
    <t>quantity: 100.00, Symbol: AAPL</t>
  </si>
  <si>
    <t>Trade level-AJ</t>
  </si>
  <si>
    <t>Multiple</t>
  </si>
  <si>
    <t>quantity: 100.00, avgPrice: 40.00, selectedFeedPrice: 40.00, dayPnLBase: 0.00, dayPnLLocal: 0.00, costBasisPnLBase: 0.00, costBasisPnLLocal: 0.00, netMarketValueBase: 4,000.00, netMarketValueLocal: 4,000.00, grossExposureBase: 4,000.00, grossExposureLocal: 4,000.00, Symbol: AAPL</t>
  </si>
  <si>
    <t>QuantityNE-123</t>
  </si>
  <si>
    <t>Blotter</t>
  </si>
  <si>
    <t>MergeOrder</t>
  </si>
  <si>
    <t>New</t>
  </si>
  <si>
    <t>VerifyOrder</t>
  </si>
  <si>
    <t>Equity</t>
  </si>
  <si>
    <t>Allocation2</t>
  </si>
  <si>
    <t>quantity: 101.00, Symbol: AAPL</t>
  </si>
  <si>
    <t>quantity: 101.00, avgPrice: 40.00, selectedFeedPrice: 40.00, dayPnLBase: 0.00, dayPnLLocal: 0.00, costBasisPnLBase: 0.00, costBasisPnLLocal: 0.00, netMarketValueBase: 4,040.00, netMarketValueLocal: 4,040.00, grossExposureBase: 4,040.00, grossExposureLocal: 4,040.00, Symbol: AAPL</t>
  </si>
  <si>
    <t>Compliance</t>
  </si>
  <si>
    <t>VerifyRowCalculationBaseWindow</t>
  </si>
  <si>
    <t>NewMF</t>
  </si>
  <si>
    <t>Market</t>
  </si>
  <si>
    <t>USD</t>
  </si>
  <si>
    <t>NASDAQ</t>
  </si>
  <si>
    <t>MS</t>
  </si>
  <si>
    <t>NewMF1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</si>
</sst>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1.0</v>
      </c>
      <c r="E6" s="30"/>
      <c r="F6" s="8"/>
      <c r="G6" s="8"/>
      <c r="H6" s="8"/>
      <c r="I6" s="8"/>
      <c r="J6" s="12">
        <v>40.0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>
        <v>40.0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100.0</v>
      </c>
      <c r="E6" s="30"/>
      <c r="F6" s="12" t="s">
        <v>20</v>
      </c>
      <c r="G6" s="8"/>
      <c r="H6" s="8"/>
      <c r="I6" s="8"/>
      <c r="J6" s="12">
        <v>40.0</v>
      </c>
      <c r="K6" s="8"/>
      <c r="L6" s="8"/>
      <c r="M6" s="8"/>
      <c r="N6" s="8"/>
      <c r="O6" s="8"/>
      <c r="AQ6" s="9" t="s">
        <v>21</v>
      </c>
      <c r="AX6" s="9" t="s">
        <v>22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 t="s">
        <v>16</v>
      </c>
      <c r="F6" s="12">
        <v>-123.0</v>
      </c>
      <c r="G6" s="12">
        <v>100.0</v>
      </c>
      <c r="H6" s="12" t="s">
        <v>27</v>
      </c>
      <c r="I6" s="8"/>
      <c r="J6" s="8"/>
      <c r="K6" s="12" t="s">
        <v>21</v>
      </c>
      <c r="L6" s="8"/>
      <c r="M6" s="12" t="s">
        <v>22</v>
      </c>
      <c r="N6" s="8"/>
      <c r="O6" s="8"/>
    </row>
    <row r="7" ht="15.75" customHeight="1">
      <c r="A7" s="8"/>
      <c r="B7" s="12" t="s">
        <v>24</v>
      </c>
      <c r="C7" s="12" t="s">
        <v>28</v>
      </c>
      <c r="D7" s="12" t="s">
        <v>26</v>
      </c>
      <c r="E7" s="12" t="s">
        <v>16</v>
      </c>
      <c r="F7" s="12" t="s">
        <v>29</v>
      </c>
      <c r="G7" s="12" t="s">
        <v>29</v>
      </c>
      <c r="H7" s="12" t="s">
        <v>30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31</v>
      </c>
      <c r="D8" s="12" t="s">
        <v>26</v>
      </c>
      <c r="E8" s="12" t="s">
        <v>16</v>
      </c>
      <c r="F8" s="12">
        <v>123.0</v>
      </c>
      <c r="G8" s="12">
        <v>100.0</v>
      </c>
      <c r="H8" s="12" t="s">
        <v>27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VerifyComplianceOrder!$4:$4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 t="s">
        <v>16</v>
      </c>
      <c r="E6" s="30"/>
      <c r="F6" s="12" t="s">
        <v>17</v>
      </c>
      <c r="G6" s="12" t="s">
        <v>34</v>
      </c>
      <c r="H6" s="12">
        <v>100.0</v>
      </c>
      <c r="I6" s="8"/>
      <c r="J6" s="8"/>
      <c r="K6" s="8"/>
      <c r="L6" s="8"/>
      <c r="M6" s="8"/>
      <c r="N6" s="8"/>
      <c r="O6" s="8"/>
      <c r="BA6" s="9" t="s">
        <v>21</v>
      </c>
    </row>
    <row r="7" ht="15.75" customHeight="1">
      <c r="A7" s="12"/>
      <c r="B7" s="12"/>
      <c r="C7" s="8"/>
      <c r="D7" s="12" t="s">
        <v>16</v>
      </c>
      <c r="E7" s="30"/>
      <c r="F7" s="12" t="s">
        <v>17</v>
      </c>
      <c r="G7" s="12" t="s">
        <v>34</v>
      </c>
      <c r="H7" s="12">
        <v>101.0</v>
      </c>
      <c r="I7" s="8"/>
      <c r="J7" s="8"/>
      <c r="K7" s="8"/>
      <c r="L7" s="8"/>
      <c r="M7" s="8"/>
      <c r="N7" s="8"/>
      <c r="O7" s="8"/>
      <c r="BA7" s="9" t="s">
        <v>21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 t="str">
        <f>IFERROR(__xludf.DUMMYFUNCTION("""COMPUTED_VALUE"""),"ActionOnFloatingWindow")</f>
        <v>ActionOnFloatingWindow</v>
      </c>
      <c r="DA4" s="25" t="str">
        <f>IFERROR(__xludf.DUMMYFUNCTION("""COMPUTED_VALUE"""),"EnableOrVerifyHotButton")</f>
        <v>EnableOrVerifyHotButton</v>
      </c>
      <c r="DB4" s="25" t="str">
        <f>IFERROR(__xludf.DUMMYFUNCTION("""COMPUTED_VALUE"""),"VerifyFilterUiRC")</f>
        <v>VerifyFilterUiRC</v>
      </c>
      <c r="DC4" s="25" t="str">
        <f>IFERROR(__xludf.DUMMYFUNCTION("""COMPUTED_VALUE"""),"CreateHotButtonOnBlotter")</f>
        <v>CreateHotButtonOnBlotter</v>
      </c>
      <c r="DD4" s="25" t="str">
        <f>IFERROR(__xludf.DUMMYFUNCTION("""COMPUTED_VALUE"""),"FillHBdetailsOnBlotter")</f>
        <v>FillHBdetailsOnBlotter</v>
      </c>
      <c r="DE4" s="25" t="str">
        <f>IFERROR(__xludf.DUMMYFUNCTION("""COMPUTED_VALUE"""),"BlotterColumnChooser")</f>
        <v>BlotterColumnChooser</v>
      </c>
      <c r="DF4" s="25" t="str">
        <f>IFERROR(__xludf.DUMMYFUNCTION("""COMPUTED_VALUE"""),"CaptureHotButtonDetails")</f>
        <v>CaptureHotButtonDetails</v>
      </c>
      <c r="DG4" s="25" t="str">
        <f>IFERROR(__xludf.DUMMYFUNCTION("""COMPUTED_VALUE"""),"RightClickActionVerification")</f>
        <v>RightClickActionVerification</v>
      </c>
      <c r="DH4" s="25" t="str">
        <f>IFERROR(__xludf.DUMMYFUNCTION("""COMPUTED_VALUE"""),"ManageHotButton")</f>
        <v>ManageHotButton</v>
      </c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IFERROR(__xludf.DUMMYFUNCTION("""COMPUTED_VALUE"""),"Testing Type")</f>
        <v>Testing Type</v>
      </c>
      <c r="BC5" s="29" t="str">
        <f>IFERROR(__xludf.DUMMYFUNCTION("""COMPUTED_VALUE"""),"Testing Column")</f>
        <v>Testing Column</v>
      </c>
      <c r="BD5" s="29" t="str">
        <f>IFERROR(__xludf.DUMMYFUNCTION("""COMPUTED_VALUE"""),"Testing Col Value")</f>
        <v>Testing Col Value</v>
      </c>
      <c r="BE5" s="29" t="str">
        <f>IFERROR(__xludf.DUMMYFUNCTION("""COMPUTED_VALUE"""),"DuplicateRow")</f>
        <v>DuplicateRow</v>
      </c>
      <c r="BF5" s="29" t="str">
        <f>IFERROR(__xludf.DUMMYFUNCTION("""COMPUTED_VALUE"""),"DuplicateCountOnUI")</f>
        <v>DuplicateCountOnUI</v>
      </c>
      <c r="BG5" s="29" t="str">
        <f>IFERROR(__xludf.DUMMYFUNCTION("""COMPUTED_VALUE"""),"Transaction Source")</f>
        <v>Transaction Source</v>
      </c>
      <c r="BH5" s="29" t="str">
        <f>IFERROR(__xludf.DUMMYFUNCTION("""COMPUTED_VALUE"""),"TIF")</f>
        <v>TIF</v>
      </c>
      <c r="BI5" s="29" t="str">
        <f>IFERROR(__xludf.DUMMYFUNCTION("""COMPUTED_VALUE"""),"ACTIV Symbol")</f>
        <v>ACTIV Symbol</v>
      </c>
      <c r="BJ5" s="29" t="str">
        <f>IFERROR(__xludf.DUMMYFUNCTION("""COMPUTED_VALUE"""),"FactSet Symbol")</f>
        <v>FactSet Symbol</v>
      </c>
      <c r="BK5" s="29" t="str">
        <f>IFERROR(__xludf.DUMMYFUNCTION("""COMPUTED_VALUE"""),"MandatoryColumn")</f>
        <v>MandatoryColumn</v>
      </c>
      <c r="BL5" s="29" t="str">
        <f>IFERROR(__xludf.DUMMYFUNCTION("""COMPUTED_VALUE"""),"Rebalancer File Name")</f>
        <v>Rebalancer File Name</v>
      </c>
      <c r="BM5" s="29" t="str">
        <f>IFERROR(__xludf.DUMMYFUNCTION("""COMPUTED_VALUE"""),"Borrower ID")</f>
        <v>Borrower ID</v>
      </c>
      <c r="BN5" s="29" t="str">
        <f>IFERROR(__xludf.DUMMYFUNCTION("""COMPUTED_VALUE"""),"Borrow Rate(%)")</f>
        <v>Borrow Rate(%)</v>
      </c>
      <c r="BO5" s="29" t="str">
        <f>IFERROR(__xludf.DUMMYFUNCTION("""COMPUTED_VALUE"""),"Borrow Broker")</f>
        <v>Borrow Broker</v>
      </c>
      <c r="BP5" s="29" t="str">
        <f>IFERROR(__xludf.DUMMYFUNCTION("""COMPUTED_VALUE"""),"Expiry Date")</f>
        <v>Expiry Date</v>
      </c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AH6" s="9" t="s">
        <v>36</v>
      </c>
      <c r="AI6" s="9" t="s">
        <v>16</v>
      </c>
      <c r="AJ6" s="9" t="s">
        <v>17</v>
      </c>
      <c r="AK6" s="9" t="s">
        <v>34</v>
      </c>
      <c r="AL6" s="9">
        <v>201.0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IFERROR(__xludf.DUMMYFUNCTION("""COMPUTED_VALUE"""),"Button")</f>
        <v>Button</v>
      </c>
      <c r="AY5" s="29" t="str">
        <f>IFERROR(__xludf.DUMMYFUNCTION("""COMPUTED_VALUE"""),"EditOrder")</f>
        <v>EditOrder</v>
      </c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>
        <v>101.0</v>
      </c>
      <c r="E6" s="30"/>
      <c r="F6" s="12" t="s">
        <v>37</v>
      </c>
      <c r="G6" s="8"/>
      <c r="H6" s="8"/>
      <c r="I6" s="8"/>
      <c r="J6" s="12">
        <v>40.0</v>
      </c>
      <c r="K6" s="8"/>
      <c r="L6" s="8"/>
      <c r="M6" s="8"/>
      <c r="N6" s="8"/>
      <c r="O6" s="8"/>
      <c r="AQ6" s="9" t="s">
        <v>21</v>
      </c>
      <c r="AX6" s="9" t="s">
        <v>22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IFERROR(__xludf.DUMMYFUNCTION("""COMPUTED_VALUE"""),"Alert Type")</f>
        <v>Alert Type</v>
      </c>
      <c r="C5" s="27" t="str">
        <f>IFERROR(__xludf.DUMMYFUNCTION("""COMPUTED_VALUE"""),"Rule Name")</f>
        <v>Rule Name</v>
      </c>
      <c r="D5" s="27" t="str">
        <f>IFERROR(__xludf.DUMMYFUNCTION("""COMPUTED_VALUE"""),"Description of Rule")</f>
        <v>Description of Rule</v>
      </c>
      <c r="E5" s="27" t="str">
        <f>IFERROR(__xludf.DUMMYFUNCTION("""COMPUTED_VALUE"""),"Dimensions")</f>
        <v>Dimensions</v>
      </c>
      <c r="F5" s="28" t="str">
        <f>IFERROR(__xludf.DUMMYFUNCTION("""COMPUTED_VALUE"""),"Threshold")</f>
        <v>Threshold</v>
      </c>
      <c r="G5" s="27" t="str">
        <f>IFERROR(__xludf.DUMMYFUNCTION("""COMPUTED_VALUE"""),"Actual Result")</f>
        <v>Actual Result</v>
      </c>
      <c r="H5" s="27" t="str">
        <f>IFERROR(__xludf.DUMMYFUNCTION("""COMPUTED_VALUE"""),"Comments")</f>
        <v>Comments</v>
      </c>
      <c r="I5" s="27" t="str">
        <f>IFERROR(__xludf.DUMMYFUNCTION("""COMPUTED_VALUE"""),"User Notes")</f>
        <v>User Notes</v>
      </c>
      <c r="J5" s="27" t="str">
        <f>IFERROR(__xludf.DUMMYFUNCTION("""COMPUTED_VALUE"""),"Write UserNote")</f>
        <v>Write UserNote</v>
      </c>
      <c r="K5" s="27" t="str">
        <f>IFERROR(__xludf.DUMMYFUNCTION("""COMPUTED_VALUE"""),"AllowTrade")</f>
        <v>AllowTrade</v>
      </c>
      <c r="L5" s="27" t="str">
        <f>IFERROR(__xludf.DUMMYFUNCTION("""COMPUTED_VALUE"""),"ClickonMultiple")</f>
        <v>ClickonMultiple</v>
      </c>
      <c r="M5" s="27" t="str">
        <f>IFERROR(__xludf.DUMMYFUNCTION("""COMPUTED_VALUE"""),"Trade")</f>
        <v>Trade</v>
      </c>
      <c r="N5" s="27" t="str">
        <f>IFERROR(__xludf.DUMMYFUNCTION("""COMPUTED_VALUE"""),"PendingApprovalPopUp")</f>
        <v>PendingApprovalPopUp</v>
      </c>
      <c r="O5" s="27" t="str">
        <f>IFERROR(__xludf.DUMMYFUNCTION("""COMPUTED_VALUE"""),"VerifyExportState")</f>
        <v>VerifyExportState</v>
      </c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12" t="s">
        <v>25</v>
      </c>
      <c r="D6" s="12" t="s">
        <v>26</v>
      </c>
      <c r="E6" s="12" t="s">
        <v>16</v>
      </c>
      <c r="F6" s="12">
        <v>-123.0</v>
      </c>
      <c r="G6" s="12">
        <v>101.0</v>
      </c>
      <c r="H6" s="12" t="s">
        <v>38</v>
      </c>
      <c r="I6" s="8"/>
      <c r="J6" s="8"/>
      <c r="K6" s="12" t="s">
        <v>21</v>
      </c>
      <c r="L6" s="8"/>
      <c r="M6" s="12" t="s">
        <v>22</v>
      </c>
      <c r="N6" s="8"/>
      <c r="O6" s="8"/>
    </row>
    <row r="7" ht="15.75" customHeight="1">
      <c r="A7" s="8"/>
      <c r="B7" s="12" t="s">
        <v>24</v>
      </c>
      <c r="C7" s="12" t="s">
        <v>28</v>
      </c>
      <c r="D7" s="12" t="s">
        <v>26</v>
      </c>
      <c r="E7" s="12" t="s">
        <v>16</v>
      </c>
      <c r="F7" s="12" t="s">
        <v>29</v>
      </c>
      <c r="G7" s="12" t="s">
        <v>29</v>
      </c>
      <c r="H7" s="12" t="s">
        <v>39</v>
      </c>
      <c r="I7" s="8"/>
      <c r="J7" s="8"/>
      <c r="K7" s="8"/>
      <c r="L7" s="8"/>
      <c r="M7" s="8"/>
      <c r="N7" s="8"/>
      <c r="O7" s="8"/>
    </row>
    <row r="8" ht="15.75" customHeight="1">
      <c r="A8" s="8"/>
      <c r="B8" s="12" t="s">
        <v>24</v>
      </c>
      <c r="C8" s="12" t="s">
        <v>31</v>
      </c>
      <c r="D8" s="12" t="s">
        <v>26</v>
      </c>
      <c r="E8" s="12" t="s">
        <v>16</v>
      </c>
      <c r="F8" s="12">
        <v>123.0</v>
      </c>
      <c r="G8" s="12">
        <v>101.0</v>
      </c>
      <c r="H8" s="12" t="s">
        <v>38</v>
      </c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VerifyComplianceOrder1!$4:$4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6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  <c r="AML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40</v>
      </c>
      <c r="D3" s="5" t="s">
        <v>9</v>
      </c>
      <c r="E3" s="22" t="s">
        <v>41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  <c r="AML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  <c r="AML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  <c r="AML5" s="29"/>
    </row>
    <row r="6" ht="15.75" customHeight="1">
      <c r="A6" s="31"/>
      <c r="B6" s="32"/>
      <c r="C6" s="33"/>
      <c r="D6" s="31"/>
      <c r="E6" s="33"/>
      <c r="F6" s="34"/>
      <c r="G6" s="33"/>
      <c r="H6" s="33" t="s">
        <v>16</v>
      </c>
      <c r="I6" s="35"/>
      <c r="J6" s="35"/>
      <c r="K6" s="35"/>
      <c r="L6" s="35">
        <v>1.0</v>
      </c>
      <c r="M6" s="33"/>
      <c r="N6" s="35"/>
      <c r="O6" s="33" t="s">
        <v>17</v>
      </c>
      <c r="P6" s="35"/>
      <c r="Q6" s="33" t="s">
        <v>16</v>
      </c>
      <c r="R6" s="33" t="s">
        <v>42</v>
      </c>
      <c r="S6" s="35"/>
      <c r="T6" s="33"/>
      <c r="U6" s="33"/>
      <c r="V6" s="36"/>
      <c r="W6" s="32"/>
      <c r="X6" s="36"/>
      <c r="Y6" s="33"/>
      <c r="Z6" s="35"/>
      <c r="AA6" s="33"/>
      <c r="AB6" s="35"/>
      <c r="AC6" s="33"/>
      <c r="AD6" s="35"/>
      <c r="AE6" s="35"/>
      <c r="AF6" s="36"/>
      <c r="AG6" s="32"/>
      <c r="AH6" s="35"/>
      <c r="AI6" s="33"/>
      <c r="AJ6" s="33" t="s">
        <v>36</v>
      </c>
      <c r="AK6" s="33"/>
      <c r="AL6" s="35"/>
      <c r="AM6" s="35"/>
      <c r="AN6" s="33"/>
      <c r="AO6" s="33"/>
      <c r="AP6" s="33"/>
      <c r="AQ6" s="33"/>
      <c r="AR6" s="33"/>
      <c r="AS6" s="35"/>
      <c r="AT6" s="35"/>
      <c r="AU6" s="33"/>
      <c r="AV6" s="33" t="s">
        <v>43</v>
      </c>
      <c r="AW6" s="33" t="s">
        <v>44</v>
      </c>
      <c r="AX6" s="33"/>
      <c r="AY6" s="35"/>
      <c r="AZ6" s="33" t="s">
        <v>45</v>
      </c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 t="s">
        <v>46</v>
      </c>
      <c r="BM6" s="33"/>
      <c r="BN6" s="33"/>
      <c r="BO6" s="33"/>
      <c r="BP6" s="33"/>
      <c r="BQ6" s="35"/>
      <c r="BR6" s="35"/>
      <c r="BS6" s="33"/>
      <c r="BT6" s="35"/>
      <c r="BU6" s="33"/>
      <c r="BV6" s="32"/>
      <c r="BW6" s="35"/>
      <c r="BX6" s="35"/>
      <c r="BY6" s="35"/>
      <c r="BZ6" s="35"/>
      <c r="CA6" s="35"/>
      <c r="CB6" s="32"/>
      <c r="CC6" s="35"/>
      <c r="CD6" s="35"/>
      <c r="CE6" s="32"/>
      <c r="CF6" s="35"/>
      <c r="CG6" s="35"/>
      <c r="CH6" s="35">
        <v>40.0</v>
      </c>
      <c r="CI6" s="35"/>
      <c r="CJ6" s="35"/>
      <c r="CK6" s="35"/>
      <c r="CL6" s="35"/>
      <c r="CM6" s="35"/>
      <c r="CN6" s="35"/>
      <c r="CO6" s="35"/>
      <c r="CP6" s="35"/>
      <c r="CQ6" s="32"/>
      <c r="CR6" s="32"/>
      <c r="CS6" s="35"/>
      <c r="CT6" s="35">
        <v>40.0</v>
      </c>
      <c r="CU6" s="35"/>
      <c r="CV6" s="35"/>
      <c r="CW6" s="35"/>
      <c r="CX6" s="35"/>
      <c r="CY6" s="35"/>
      <c r="CZ6" s="35"/>
      <c r="DA6" s="35"/>
      <c r="DB6" s="35"/>
      <c r="DC6" s="32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  <c r="AML6" s="33"/>
    </row>
    <row r="7" ht="15.75" customHeight="1">
      <c r="A7" s="33"/>
      <c r="B7" s="32"/>
      <c r="C7" s="33"/>
      <c r="D7" s="33"/>
      <c r="E7" s="33"/>
      <c r="F7" s="34"/>
      <c r="G7" s="33"/>
      <c r="H7" s="33" t="s">
        <v>16</v>
      </c>
      <c r="I7" s="35"/>
      <c r="J7" s="35"/>
      <c r="K7" s="35"/>
      <c r="L7" s="35">
        <v>100.0</v>
      </c>
      <c r="M7" s="33"/>
      <c r="N7" s="35"/>
      <c r="O7" s="33" t="s">
        <v>17</v>
      </c>
      <c r="P7" s="35"/>
      <c r="Q7" s="33" t="s">
        <v>16</v>
      </c>
      <c r="R7" s="33" t="s">
        <v>42</v>
      </c>
      <c r="S7" s="35"/>
      <c r="T7" s="33"/>
      <c r="U7" s="33"/>
      <c r="V7" s="36"/>
      <c r="W7" s="35"/>
      <c r="X7" s="36"/>
      <c r="Y7" s="33"/>
      <c r="Z7" s="35"/>
      <c r="AA7" s="33"/>
      <c r="AB7" s="35"/>
      <c r="AC7" s="33"/>
      <c r="AD7" s="35"/>
      <c r="AE7" s="35"/>
      <c r="AF7" s="36"/>
      <c r="AG7" s="35"/>
      <c r="AH7" s="35"/>
      <c r="AI7" s="33"/>
      <c r="AJ7" s="33" t="s">
        <v>36</v>
      </c>
      <c r="AK7" s="33"/>
      <c r="AL7" s="35"/>
      <c r="AM7" s="35"/>
      <c r="AN7" s="33"/>
      <c r="AO7" s="33"/>
      <c r="AP7" s="33"/>
      <c r="AQ7" s="33"/>
      <c r="AR7" s="33"/>
      <c r="AS7" s="35"/>
      <c r="AT7" s="35"/>
      <c r="AU7" s="33"/>
      <c r="AV7" s="33" t="s">
        <v>43</v>
      </c>
      <c r="AW7" s="33" t="s">
        <v>44</v>
      </c>
      <c r="AX7" s="33"/>
      <c r="AY7" s="35"/>
      <c r="AZ7" s="33" t="s">
        <v>45</v>
      </c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 t="s">
        <v>46</v>
      </c>
      <c r="BM7" s="33"/>
      <c r="BN7" s="33"/>
      <c r="BO7" s="33"/>
      <c r="BP7" s="33"/>
      <c r="BQ7" s="35"/>
      <c r="BR7" s="35"/>
      <c r="BS7" s="33"/>
      <c r="BT7" s="35"/>
      <c r="BU7" s="33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>
        <v>40.0</v>
      </c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>
        <v>4000.0</v>
      </c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  <c r="AML7" s="33"/>
    </row>
    <row r="8" ht="15.75" customHeight="1">
      <c r="A8" s="33"/>
      <c r="B8" s="32"/>
      <c r="C8" s="33"/>
      <c r="D8" s="33"/>
      <c r="E8" s="33"/>
      <c r="F8" s="34"/>
      <c r="G8" s="33"/>
      <c r="H8" s="33" t="s">
        <v>16</v>
      </c>
      <c r="I8" s="35"/>
      <c r="J8" s="35"/>
      <c r="K8" s="35"/>
      <c r="L8" s="35">
        <v>101.0</v>
      </c>
      <c r="M8" s="33"/>
      <c r="N8" s="35"/>
      <c r="O8" s="33" t="s">
        <v>17</v>
      </c>
      <c r="P8" s="35"/>
      <c r="Q8" s="33" t="s">
        <v>16</v>
      </c>
      <c r="R8" s="33" t="s">
        <v>47</v>
      </c>
      <c r="S8" s="35"/>
      <c r="T8" s="33"/>
      <c r="U8" s="33"/>
      <c r="V8" s="36"/>
      <c r="W8" s="35"/>
      <c r="X8" s="36"/>
      <c r="Y8" s="33"/>
      <c r="Z8" s="35"/>
      <c r="AA8" s="33"/>
      <c r="AB8" s="35"/>
      <c r="AC8" s="33"/>
      <c r="AD8" s="35"/>
      <c r="AE8" s="35"/>
      <c r="AF8" s="36"/>
      <c r="AG8" s="35"/>
      <c r="AH8" s="35"/>
      <c r="AI8" s="33"/>
      <c r="AJ8" s="33" t="s">
        <v>36</v>
      </c>
      <c r="AK8" s="33"/>
      <c r="AL8" s="35"/>
      <c r="AM8" s="35"/>
      <c r="AN8" s="33"/>
      <c r="AO8" s="33"/>
      <c r="AP8" s="33"/>
      <c r="AQ8" s="33"/>
      <c r="AR8" s="33"/>
      <c r="AS8" s="35"/>
      <c r="AT8" s="35"/>
      <c r="AU8" s="33"/>
      <c r="AV8" s="33" t="s">
        <v>43</v>
      </c>
      <c r="AW8" s="33" t="s">
        <v>44</v>
      </c>
      <c r="AX8" s="33"/>
      <c r="AY8" s="35"/>
      <c r="AZ8" s="33" t="s">
        <v>45</v>
      </c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 t="s">
        <v>46</v>
      </c>
      <c r="BM8" s="33"/>
      <c r="BN8" s="33"/>
      <c r="BO8" s="33"/>
      <c r="BP8" s="33"/>
      <c r="BQ8" s="35"/>
      <c r="BR8" s="35"/>
      <c r="BS8" s="33"/>
      <c r="BT8" s="35"/>
      <c r="BU8" s="33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>
        <v>40.0</v>
      </c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>
        <v>4040.0</v>
      </c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/>
      <c r="HQ8" s="33"/>
      <c r="HR8" s="33"/>
      <c r="HS8" s="33"/>
      <c r="HT8" s="33"/>
      <c r="HU8" s="33"/>
      <c r="HV8" s="33"/>
      <c r="HW8" s="33"/>
      <c r="HX8" s="33"/>
      <c r="HY8" s="33"/>
      <c r="HZ8" s="33"/>
      <c r="IA8" s="33"/>
      <c r="IB8" s="33"/>
      <c r="IC8" s="33"/>
      <c r="ID8" s="33"/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/>
      <c r="IS8" s="33"/>
      <c r="IT8" s="33"/>
      <c r="IU8" s="33"/>
      <c r="IV8" s="33"/>
      <c r="IW8" s="33"/>
      <c r="IX8" s="33"/>
      <c r="IY8" s="33"/>
      <c r="IZ8" s="33"/>
      <c r="JA8" s="33"/>
      <c r="JB8" s="33"/>
      <c r="JC8" s="33"/>
      <c r="JD8" s="33"/>
      <c r="JE8" s="33"/>
      <c r="JF8" s="33"/>
      <c r="JG8" s="33"/>
      <c r="JH8" s="33"/>
      <c r="JI8" s="33"/>
      <c r="JJ8" s="33"/>
      <c r="JK8" s="33"/>
      <c r="JL8" s="33"/>
      <c r="JM8" s="33"/>
      <c r="JN8" s="33"/>
      <c r="JO8" s="33"/>
      <c r="JP8" s="33"/>
      <c r="JQ8" s="33"/>
      <c r="JR8" s="33"/>
      <c r="JS8" s="33"/>
      <c r="JT8" s="33"/>
      <c r="JU8" s="33"/>
      <c r="JV8" s="33"/>
      <c r="JW8" s="33"/>
      <c r="JX8" s="33"/>
      <c r="JY8" s="33"/>
      <c r="JZ8" s="33"/>
      <c r="KA8" s="33"/>
      <c r="KB8" s="33"/>
      <c r="KC8" s="33"/>
      <c r="KD8" s="33"/>
      <c r="KE8" s="33"/>
      <c r="KF8" s="33"/>
      <c r="KG8" s="33"/>
      <c r="KH8" s="33"/>
      <c r="KI8" s="33"/>
      <c r="KJ8" s="33"/>
      <c r="KK8" s="33"/>
      <c r="KL8" s="33"/>
      <c r="KM8" s="33"/>
      <c r="KN8" s="33"/>
      <c r="KO8" s="33"/>
      <c r="KP8" s="33"/>
      <c r="KQ8" s="33"/>
      <c r="KR8" s="33"/>
      <c r="KS8" s="33"/>
      <c r="KT8" s="33"/>
      <c r="KU8" s="33"/>
      <c r="KV8" s="33"/>
      <c r="KW8" s="33"/>
      <c r="KX8" s="33"/>
      <c r="KY8" s="33"/>
      <c r="KZ8" s="33"/>
      <c r="LA8" s="33"/>
      <c r="LB8" s="33"/>
      <c r="LC8" s="33"/>
      <c r="LD8" s="33"/>
      <c r="LE8" s="33"/>
      <c r="LF8" s="33"/>
      <c r="LG8" s="33"/>
      <c r="LH8" s="33"/>
      <c r="LI8" s="33"/>
      <c r="LJ8" s="33"/>
      <c r="LK8" s="33"/>
      <c r="LL8" s="33"/>
      <c r="LM8" s="33"/>
      <c r="LN8" s="33"/>
      <c r="LO8" s="33"/>
      <c r="LP8" s="33"/>
      <c r="LQ8" s="33"/>
      <c r="LR8" s="33"/>
      <c r="LS8" s="33"/>
      <c r="LT8" s="33"/>
      <c r="LU8" s="33"/>
      <c r="LV8" s="33"/>
      <c r="LW8" s="33"/>
      <c r="LX8" s="33"/>
      <c r="LY8" s="33"/>
      <c r="LZ8" s="33"/>
      <c r="MA8" s="33"/>
      <c r="MB8" s="33"/>
      <c r="MC8" s="33"/>
      <c r="MD8" s="33"/>
      <c r="ME8" s="33"/>
      <c r="MF8" s="33"/>
      <c r="MG8" s="33"/>
      <c r="MH8" s="33"/>
      <c r="MI8" s="33"/>
      <c r="MJ8" s="33"/>
      <c r="MK8" s="33"/>
      <c r="ML8" s="33"/>
      <c r="MM8" s="33"/>
      <c r="MN8" s="33"/>
      <c r="MO8" s="33"/>
      <c r="MP8" s="33"/>
      <c r="MQ8" s="33"/>
      <c r="MR8" s="33"/>
      <c r="MS8" s="33"/>
      <c r="MT8" s="33"/>
      <c r="MU8" s="33"/>
      <c r="MV8" s="33"/>
      <c r="MW8" s="33"/>
      <c r="MX8" s="33"/>
      <c r="MY8" s="33"/>
      <c r="MZ8" s="33"/>
      <c r="NA8" s="33"/>
      <c r="NB8" s="33"/>
      <c r="NC8" s="33"/>
      <c r="ND8" s="33"/>
      <c r="NE8" s="33"/>
      <c r="NF8" s="33"/>
      <c r="NG8" s="33"/>
      <c r="NH8" s="33"/>
      <c r="NI8" s="33"/>
      <c r="NJ8" s="33"/>
      <c r="NK8" s="33"/>
      <c r="NL8" s="33"/>
      <c r="NM8" s="33"/>
      <c r="NN8" s="33"/>
      <c r="NO8" s="33"/>
      <c r="NP8" s="33"/>
      <c r="NQ8" s="33"/>
      <c r="NR8" s="33"/>
      <c r="NS8" s="33"/>
      <c r="NT8" s="33"/>
      <c r="NU8" s="33"/>
      <c r="NV8" s="33"/>
      <c r="NW8" s="33"/>
      <c r="NX8" s="33"/>
      <c r="NY8" s="33"/>
      <c r="NZ8" s="33"/>
      <c r="OA8" s="33"/>
      <c r="OB8" s="33"/>
      <c r="OC8" s="33"/>
      <c r="OD8" s="33"/>
      <c r="OE8" s="33"/>
      <c r="OF8" s="33"/>
      <c r="OG8" s="33"/>
      <c r="OH8" s="33"/>
      <c r="OI8" s="33"/>
      <c r="OJ8" s="33"/>
      <c r="OK8" s="33"/>
      <c r="OL8" s="33"/>
      <c r="OM8" s="33"/>
      <c r="ON8" s="33"/>
      <c r="OO8" s="33"/>
      <c r="OP8" s="33"/>
      <c r="OQ8" s="33"/>
      <c r="OR8" s="33"/>
      <c r="OS8" s="33"/>
      <c r="OT8" s="33"/>
      <c r="OU8" s="33"/>
      <c r="OV8" s="33"/>
      <c r="OW8" s="33"/>
      <c r="OX8" s="33"/>
      <c r="OY8" s="33"/>
      <c r="OZ8" s="33"/>
      <c r="PA8" s="33"/>
      <c r="PB8" s="33"/>
      <c r="PC8" s="33"/>
      <c r="PD8" s="33"/>
      <c r="PE8" s="33"/>
      <c r="PF8" s="33"/>
      <c r="PG8" s="33"/>
      <c r="PH8" s="33"/>
      <c r="PI8" s="33"/>
      <c r="PJ8" s="33"/>
      <c r="PK8" s="33"/>
      <c r="PL8" s="33"/>
      <c r="PM8" s="33"/>
      <c r="PN8" s="33"/>
      <c r="PO8" s="33"/>
      <c r="PP8" s="33"/>
      <c r="PQ8" s="33"/>
      <c r="PR8" s="33"/>
      <c r="PS8" s="33"/>
      <c r="PT8" s="33"/>
      <c r="PU8" s="33"/>
      <c r="PV8" s="33"/>
      <c r="PW8" s="33"/>
      <c r="PX8" s="33"/>
      <c r="PY8" s="33"/>
      <c r="PZ8" s="33"/>
      <c r="QA8" s="33"/>
      <c r="QB8" s="33"/>
      <c r="QC8" s="33"/>
      <c r="QD8" s="33"/>
      <c r="QE8" s="33"/>
      <c r="QF8" s="33"/>
      <c r="QG8" s="33"/>
      <c r="QH8" s="33"/>
      <c r="QI8" s="33"/>
      <c r="QJ8" s="33"/>
      <c r="QK8" s="33"/>
      <c r="QL8" s="33"/>
      <c r="QM8" s="33"/>
      <c r="QN8" s="33"/>
      <c r="QO8" s="33"/>
      <c r="QP8" s="33"/>
      <c r="QQ8" s="33"/>
      <c r="QR8" s="33"/>
      <c r="QS8" s="33"/>
      <c r="QT8" s="33"/>
      <c r="QU8" s="33"/>
      <c r="QV8" s="33"/>
      <c r="QW8" s="33"/>
      <c r="QX8" s="33"/>
      <c r="QY8" s="33"/>
      <c r="QZ8" s="33"/>
      <c r="RA8" s="33"/>
      <c r="RB8" s="33"/>
      <c r="RC8" s="33"/>
      <c r="RD8" s="33"/>
      <c r="RE8" s="33"/>
      <c r="RF8" s="33"/>
      <c r="RG8" s="33"/>
      <c r="RH8" s="33"/>
      <c r="RI8" s="33"/>
      <c r="RJ8" s="33"/>
      <c r="RK8" s="33"/>
      <c r="RL8" s="33"/>
      <c r="RM8" s="33"/>
      <c r="RN8" s="33"/>
      <c r="RO8" s="33"/>
      <c r="RP8" s="33"/>
      <c r="RQ8" s="33"/>
      <c r="RR8" s="33"/>
      <c r="RS8" s="33"/>
      <c r="RT8" s="33"/>
      <c r="RU8" s="33"/>
      <c r="RV8" s="33"/>
      <c r="RW8" s="33"/>
      <c r="RX8" s="33"/>
      <c r="RY8" s="33"/>
      <c r="RZ8" s="33"/>
      <c r="SA8" s="33"/>
      <c r="SB8" s="33"/>
      <c r="SC8" s="33"/>
      <c r="SD8" s="33"/>
      <c r="SE8" s="33"/>
      <c r="SF8" s="33"/>
      <c r="SG8" s="33"/>
      <c r="SH8" s="33"/>
      <c r="SI8" s="33"/>
      <c r="SJ8" s="33"/>
      <c r="SK8" s="33"/>
      <c r="SL8" s="33"/>
      <c r="SM8" s="33"/>
      <c r="SN8" s="33"/>
      <c r="SO8" s="33"/>
      <c r="SP8" s="33"/>
      <c r="SQ8" s="33"/>
      <c r="SR8" s="33"/>
      <c r="SS8" s="33"/>
      <c r="ST8" s="33"/>
      <c r="SU8" s="33"/>
      <c r="SV8" s="33"/>
      <c r="SW8" s="33"/>
      <c r="SX8" s="33"/>
      <c r="SY8" s="33"/>
      <c r="SZ8" s="33"/>
      <c r="TA8" s="33"/>
      <c r="TB8" s="33"/>
      <c r="TC8" s="33"/>
      <c r="TD8" s="33"/>
      <c r="TE8" s="33"/>
      <c r="TF8" s="33"/>
      <c r="TG8" s="33"/>
      <c r="TH8" s="33"/>
      <c r="TI8" s="33"/>
      <c r="TJ8" s="33"/>
      <c r="TK8" s="33"/>
      <c r="TL8" s="33"/>
      <c r="TM8" s="33"/>
      <c r="TN8" s="33"/>
      <c r="TO8" s="33"/>
      <c r="TP8" s="33"/>
      <c r="TQ8" s="33"/>
      <c r="TR8" s="33"/>
      <c r="TS8" s="33"/>
      <c r="TT8" s="33"/>
      <c r="TU8" s="33"/>
      <c r="TV8" s="33"/>
      <c r="TW8" s="33"/>
      <c r="TX8" s="33"/>
      <c r="TY8" s="33"/>
      <c r="TZ8" s="33"/>
      <c r="UA8" s="33"/>
      <c r="UB8" s="33"/>
      <c r="UC8" s="33"/>
      <c r="UD8" s="33"/>
      <c r="UE8" s="33"/>
      <c r="UF8" s="33"/>
      <c r="UG8" s="33"/>
      <c r="UH8" s="33"/>
      <c r="UI8" s="33"/>
      <c r="UJ8" s="33"/>
      <c r="UK8" s="33"/>
      <c r="UL8" s="33"/>
      <c r="UM8" s="33"/>
      <c r="UN8" s="33"/>
      <c r="UO8" s="33"/>
      <c r="UP8" s="33"/>
      <c r="UQ8" s="33"/>
      <c r="UR8" s="33"/>
      <c r="US8" s="33"/>
      <c r="UT8" s="33"/>
      <c r="UU8" s="33"/>
      <c r="UV8" s="33"/>
      <c r="UW8" s="33"/>
      <c r="UX8" s="33"/>
      <c r="UY8" s="33"/>
      <c r="UZ8" s="33"/>
      <c r="VA8" s="33"/>
      <c r="VB8" s="33"/>
      <c r="VC8" s="33"/>
      <c r="VD8" s="33"/>
      <c r="VE8" s="33"/>
      <c r="VF8" s="33"/>
      <c r="VG8" s="33"/>
      <c r="VH8" s="33"/>
      <c r="VI8" s="33"/>
      <c r="VJ8" s="33"/>
      <c r="VK8" s="33"/>
      <c r="VL8" s="33"/>
      <c r="VM8" s="33"/>
      <c r="VN8" s="33"/>
      <c r="VO8" s="33"/>
      <c r="VP8" s="33"/>
      <c r="VQ8" s="33"/>
      <c r="VR8" s="33"/>
      <c r="VS8" s="33"/>
      <c r="VT8" s="33"/>
      <c r="VU8" s="33"/>
      <c r="VV8" s="33"/>
      <c r="VW8" s="33"/>
      <c r="VX8" s="33"/>
      <c r="VY8" s="33"/>
      <c r="VZ8" s="33"/>
      <c r="WA8" s="33"/>
      <c r="WB8" s="33"/>
      <c r="WC8" s="33"/>
      <c r="WD8" s="33"/>
      <c r="WE8" s="33"/>
      <c r="WF8" s="33"/>
      <c r="WG8" s="33"/>
      <c r="WH8" s="33"/>
      <c r="WI8" s="33"/>
      <c r="WJ8" s="33"/>
      <c r="WK8" s="33"/>
      <c r="WL8" s="33"/>
      <c r="WM8" s="33"/>
      <c r="WN8" s="33"/>
      <c r="WO8" s="33"/>
      <c r="WP8" s="33"/>
      <c r="WQ8" s="33"/>
      <c r="WR8" s="33"/>
      <c r="WS8" s="33"/>
      <c r="WT8" s="33"/>
      <c r="WU8" s="33"/>
      <c r="WV8" s="33"/>
      <c r="WW8" s="33"/>
      <c r="WX8" s="33"/>
      <c r="WY8" s="33"/>
      <c r="WZ8" s="33"/>
      <c r="XA8" s="33"/>
      <c r="XB8" s="33"/>
      <c r="XC8" s="33"/>
      <c r="XD8" s="33"/>
      <c r="XE8" s="33"/>
      <c r="XF8" s="33"/>
      <c r="XG8" s="33"/>
      <c r="XH8" s="33"/>
      <c r="XI8" s="33"/>
      <c r="XJ8" s="33"/>
      <c r="XK8" s="33"/>
      <c r="XL8" s="33"/>
      <c r="XM8" s="33"/>
      <c r="XN8" s="33"/>
      <c r="XO8" s="33"/>
      <c r="XP8" s="33"/>
      <c r="XQ8" s="33"/>
      <c r="XR8" s="33"/>
      <c r="XS8" s="33"/>
      <c r="XT8" s="33"/>
      <c r="XU8" s="33"/>
      <c r="XV8" s="33"/>
      <c r="XW8" s="33"/>
      <c r="XX8" s="33"/>
      <c r="XY8" s="33"/>
      <c r="XZ8" s="33"/>
      <c r="YA8" s="33"/>
      <c r="YB8" s="33"/>
      <c r="YC8" s="33"/>
      <c r="YD8" s="33"/>
      <c r="YE8" s="33"/>
      <c r="YF8" s="33"/>
      <c r="YG8" s="33"/>
      <c r="YH8" s="33"/>
      <c r="YI8" s="33"/>
      <c r="YJ8" s="33"/>
      <c r="YK8" s="33"/>
      <c r="YL8" s="33"/>
      <c r="YM8" s="33"/>
      <c r="YN8" s="33"/>
      <c r="YO8" s="33"/>
      <c r="YP8" s="33"/>
      <c r="YQ8" s="33"/>
      <c r="YR8" s="33"/>
      <c r="YS8" s="33"/>
      <c r="YT8" s="33"/>
      <c r="YU8" s="33"/>
      <c r="YV8" s="33"/>
      <c r="YW8" s="33"/>
      <c r="YX8" s="33"/>
      <c r="YY8" s="33"/>
      <c r="YZ8" s="33"/>
      <c r="ZA8" s="33"/>
      <c r="ZB8" s="33"/>
      <c r="ZC8" s="33"/>
      <c r="ZD8" s="33"/>
      <c r="ZE8" s="33"/>
      <c r="ZF8" s="33"/>
      <c r="ZG8" s="33"/>
      <c r="ZH8" s="33"/>
      <c r="ZI8" s="33"/>
      <c r="ZJ8" s="33"/>
      <c r="ZK8" s="33"/>
      <c r="ZL8" s="33"/>
      <c r="ZM8" s="33"/>
      <c r="ZN8" s="33"/>
      <c r="ZO8" s="33"/>
      <c r="ZP8" s="33"/>
      <c r="ZQ8" s="33"/>
      <c r="ZR8" s="33"/>
      <c r="ZS8" s="33"/>
      <c r="ZT8" s="33"/>
      <c r="ZU8" s="33"/>
      <c r="ZV8" s="33"/>
      <c r="ZW8" s="33"/>
      <c r="ZX8" s="33"/>
      <c r="ZY8" s="33"/>
      <c r="ZZ8" s="33"/>
      <c r="AAA8" s="33"/>
      <c r="AAB8" s="33"/>
      <c r="AAC8" s="33"/>
      <c r="AAD8" s="33"/>
      <c r="AAE8" s="33"/>
      <c r="AAF8" s="33"/>
      <c r="AAG8" s="33"/>
      <c r="AAH8" s="33"/>
      <c r="AAI8" s="33"/>
      <c r="AAJ8" s="33"/>
      <c r="AAK8" s="33"/>
      <c r="AAL8" s="33"/>
      <c r="AAM8" s="33"/>
      <c r="AAN8" s="33"/>
      <c r="AAO8" s="33"/>
      <c r="AAP8" s="33"/>
      <c r="AAQ8" s="33"/>
      <c r="AAR8" s="33"/>
      <c r="AAS8" s="33"/>
      <c r="AAT8" s="33"/>
      <c r="AAU8" s="33"/>
      <c r="AAV8" s="33"/>
      <c r="AAW8" s="33"/>
      <c r="AAX8" s="33"/>
      <c r="AAY8" s="33"/>
      <c r="AAZ8" s="33"/>
      <c r="ABA8" s="33"/>
      <c r="ABB8" s="33"/>
      <c r="ABC8" s="33"/>
      <c r="ABD8" s="33"/>
      <c r="ABE8" s="33"/>
      <c r="ABF8" s="33"/>
      <c r="ABG8" s="33"/>
      <c r="ABH8" s="33"/>
      <c r="ABI8" s="33"/>
      <c r="ABJ8" s="33"/>
      <c r="ABK8" s="33"/>
      <c r="ABL8" s="33"/>
      <c r="ABM8" s="33"/>
      <c r="ABN8" s="33"/>
      <c r="ABO8" s="33"/>
      <c r="ABP8" s="33"/>
      <c r="ABQ8" s="33"/>
      <c r="ABR8" s="33"/>
      <c r="ABS8" s="33"/>
      <c r="ABT8" s="33"/>
      <c r="ABU8" s="33"/>
      <c r="ABV8" s="33"/>
      <c r="ABW8" s="33"/>
      <c r="ABX8" s="33"/>
      <c r="ABY8" s="33"/>
      <c r="ABZ8" s="33"/>
      <c r="ACA8" s="33"/>
      <c r="ACB8" s="33"/>
      <c r="ACC8" s="33"/>
      <c r="ACD8" s="33"/>
      <c r="ACE8" s="33"/>
      <c r="ACF8" s="33"/>
      <c r="ACG8" s="33"/>
      <c r="ACH8" s="33"/>
      <c r="ACI8" s="33"/>
      <c r="ACJ8" s="33"/>
      <c r="ACK8" s="33"/>
      <c r="ACL8" s="33"/>
      <c r="ACM8" s="33"/>
      <c r="ACN8" s="33"/>
      <c r="ACO8" s="33"/>
      <c r="ACP8" s="33"/>
      <c r="ACQ8" s="33"/>
      <c r="ACR8" s="33"/>
      <c r="ACS8" s="33"/>
      <c r="ACT8" s="33"/>
      <c r="ACU8" s="33"/>
      <c r="ACV8" s="33"/>
      <c r="ACW8" s="33"/>
      <c r="ACX8" s="33"/>
      <c r="ACY8" s="33"/>
      <c r="ACZ8" s="33"/>
      <c r="ADA8" s="33"/>
      <c r="ADB8" s="33"/>
      <c r="ADC8" s="33"/>
      <c r="ADD8" s="33"/>
      <c r="ADE8" s="33"/>
      <c r="ADF8" s="33"/>
      <c r="ADG8" s="33"/>
      <c r="ADH8" s="33"/>
      <c r="ADI8" s="33"/>
      <c r="ADJ8" s="33"/>
      <c r="ADK8" s="33"/>
      <c r="ADL8" s="33"/>
      <c r="ADM8" s="33"/>
      <c r="ADN8" s="33"/>
      <c r="ADO8" s="33"/>
      <c r="ADP8" s="33"/>
      <c r="ADQ8" s="33"/>
      <c r="ADR8" s="33"/>
      <c r="ADS8" s="33"/>
      <c r="ADT8" s="33"/>
      <c r="ADU8" s="33"/>
      <c r="ADV8" s="33"/>
      <c r="ADW8" s="33"/>
      <c r="ADX8" s="33"/>
      <c r="ADY8" s="33"/>
      <c r="ADZ8" s="33"/>
      <c r="AEA8" s="33"/>
      <c r="AEB8" s="33"/>
      <c r="AEC8" s="33"/>
      <c r="AED8" s="33"/>
      <c r="AEE8" s="33"/>
      <c r="AEF8" s="33"/>
      <c r="AEG8" s="33"/>
      <c r="AEH8" s="33"/>
      <c r="AEI8" s="33"/>
      <c r="AEJ8" s="33"/>
      <c r="AEK8" s="33"/>
      <c r="AEL8" s="33"/>
      <c r="AEM8" s="33"/>
      <c r="AEN8" s="33"/>
      <c r="AEO8" s="33"/>
      <c r="AEP8" s="33"/>
      <c r="AEQ8" s="33"/>
      <c r="AER8" s="33"/>
      <c r="AES8" s="33"/>
      <c r="AET8" s="33"/>
      <c r="AEU8" s="33"/>
      <c r="AEV8" s="33"/>
      <c r="AEW8" s="33"/>
      <c r="AEX8" s="33"/>
      <c r="AEY8" s="33"/>
      <c r="AEZ8" s="33"/>
      <c r="AFA8" s="33"/>
      <c r="AFB8" s="33"/>
      <c r="AFC8" s="33"/>
      <c r="AFD8" s="33"/>
      <c r="AFE8" s="33"/>
      <c r="AFF8" s="33"/>
      <c r="AFG8" s="33"/>
      <c r="AFH8" s="33"/>
      <c r="AFI8" s="33"/>
      <c r="AFJ8" s="33"/>
      <c r="AFK8" s="33"/>
      <c r="AFL8" s="33"/>
      <c r="AFM8" s="33"/>
      <c r="AFN8" s="33"/>
      <c r="AFO8" s="33"/>
      <c r="AFP8" s="33"/>
      <c r="AFQ8" s="33"/>
      <c r="AFR8" s="33"/>
      <c r="AFS8" s="33"/>
      <c r="AFT8" s="33"/>
      <c r="AFU8" s="33"/>
      <c r="AFV8" s="33"/>
      <c r="AFW8" s="33"/>
      <c r="AFX8" s="33"/>
      <c r="AFY8" s="33"/>
      <c r="AFZ8" s="33"/>
      <c r="AGA8" s="33"/>
      <c r="AGB8" s="33"/>
      <c r="AGC8" s="33"/>
      <c r="AGD8" s="33"/>
      <c r="AGE8" s="33"/>
      <c r="AGF8" s="33"/>
      <c r="AGG8" s="33"/>
      <c r="AGH8" s="33"/>
      <c r="AGI8" s="33"/>
      <c r="AGJ8" s="33"/>
      <c r="AGK8" s="33"/>
      <c r="AGL8" s="33"/>
      <c r="AGM8" s="33"/>
      <c r="AGN8" s="33"/>
      <c r="AGO8" s="33"/>
      <c r="AGP8" s="33"/>
      <c r="AGQ8" s="33"/>
      <c r="AGR8" s="33"/>
      <c r="AGS8" s="33"/>
      <c r="AGT8" s="33"/>
      <c r="AGU8" s="33"/>
      <c r="AGV8" s="33"/>
      <c r="AGW8" s="33"/>
      <c r="AGX8" s="33"/>
      <c r="AGY8" s="33"/>
      <c r="AGZ8" s="33"/>
      <c r="AHA8" s="33"/>
      <c r="AHB8" s="33"/>
      <c r="AHC8" s="33"/>
      <c r="AHD8" s="33"/>
      <c r="AHE8" s="33"/>
      <c r="AHF8" s="33"/>
      <c r="AHG8" s="33"/>
      <c r="AHH8" s="33"/>
      <c r="AHI8" s="33"/>
      <c r="AHJ8" s="33"/>
      <c r="AHK8" s="33"/>
      <c r="AHL8" s="33"/>
      <c r="AHM8" s="33"/>
      <c r="AHN8" s="33"/>
      <c r="AHO8" s="33"/>
      <c r="AHP8" s="33"/>
      <c r="AHQ8" s="33"/>
      <c r="AHR8" s="33"/>
      <c r="AHS8" s="33"/>
      <c r="AHT8" s="33"/>
      <c r="AHU8" s="33"/>
      <c r="AHV8" s="33"/>
      <c r="AHW8" s="33"/>
      <c r="AHX8" s="33"/>
      <c r="AHY8" s="33"/>
      <c r="AHZ8" s="33"/>
      <c r="AIA8" s="33"/>
      <c r="AIB8" s="33"/>
      <c r="AIC8" s="33"/>
      <c r="AID8" s="33"/>
      <c r="AIE8" s="33"/>
      <c r="AIF8" s="33"/>
      <c r="AIG8" s="33"/>
      <c r="AIH8" s="33"/>
      <c r="AII8" s="33"/>
      <c r="AIJ8" s="33"/>
      <c r="AIK8" s="33"/>
      <c r="AIL8" s="33"/>
      <c r="AIM8" s="33"/>
      <c r="AIN8" s="33"/>
      <c r="AIO8" s="33"/>
      <c r="AIP8" s="33"/>
      <c r="AIQ8" s="33"/>
      <c r="AIR8" s="33"/>
      <c r="AIS8" s="33"/>
      <c r="AIT8" s="33"/>
      <c r="AIU8" s="33"/>
      <c r="AIV8" s="33"/>
      <c r="AIW8" s="33"/>
      <c r="AIX8" s="33"/>
      <c r="AIY8" s="33"/>
      <c r="AIZ8" s="33"/>
      <c r="AJA8" s="33"/>
      <c r="AJB8" s="33"/>
      <c r="AJC8" s="33"/>
      <c r="AJD8" s="33"/>
      <c r="AJE8" s="33"/>
      <c r="AJF8" s="33"/>
      <c r="AJG8" s="33"/>
      <c r="AJH8" s="33"/>
      <c r="AJI8" s="33"/>
      <c r="AJJ8" s="33"/>
      <c r="AJK8" s="33"/>
      <c r="AJL8" s="33"/>
      <c r="AJM8" s="33"/>
      <c r="AJN8" s="33"/>
      <c r="AJO8" s="33"/>
      <c r="AJP8" s="33"/>
      <c r="AJQ8" s="33"/>
      <c r="AJR8" s="33"/>
      <c r="AJS8" s="33"/>
      <c r="AJT8" s="33"/>
      <c r="AJU8" s="33"/>
      <c r="AJV8" s="33"/>
      <c r="AJW8" s="33"/>
      <c r="AJX8" s="33"/>
      <c r="AJY8" s="33"/>
      <c r="AJZ8" s="33"/>
      <c r="AKA8" s="33"/>
      <c r="AKB8" s="33"/>
      <c r="AKC8" s="33"/>
      <c r="AKD8" s="33"/>
      <c r="AKE8" s="33"/>
      <c r="AKF8" s="33"/>
      <c r="AKG8" s="33"/>
      <c r="AKH8" s="33"/>
      <c r="AKI8" s="33"/>
      <c r="AKJ8" s="33"/>
      <c r="AKK8" s="33"/>
      <c r="AKL8" s="33"/>
      <c r="AKM8" s="33"/>
      <c r="AKN8" s="33"/>
      <c r="AKO8" s="33"/>
      <c r="AKP8" s="33"/>
      <c r="AKQ8" s="33"/>
      <c r="AKR8" s="33"/>
      <c r="AKS8" s="33"/>
      <c r="AKT8" s="33"/>
      <c r="AKU8" s="33"/>
      <c r="AKV8" s="33"/>
      <c r="AKW8" s="33"/>
      <c r="AKX8" s="33"/>
      <c r="AKY8" s="33"/>
      <c r="AKZ8" s="33"/>
      <c r="ALA8" s="33"/>
      <c r="ALB8" s="33"/>
      <c r="ALC8" s="33"/>
      <c r="ALD8" s="33"/>
      <c r="ALE8" s="33"/>
      <c r="ALF8" s="33"/>
      <c r="ALG8" s="33"/>
      <c r="ALH8" s="33"/>
      <c r="ALI8" s="33"/>
      <c r="ALJ8" s="33"/>
      <c r="ALK8" s="33"/>
      <c r="ALL8" s="33"/>
      <c r="ALM8" s="33"/>
      <c r="ALN8" s="33"/>
      <c r="ALO8" s="33"/>
      <c r="ALP8" s="33"/>
      <c r="ALQ8" s="33"/>
      <c r="ALR8" s="33"/>
      <c r="ALS8" s="33"/>
      <c r="ALT8" s="33"/>
      <c r="ALU8" s="33"/>
      <c r="ALV8" s="33"/>
      <c r="ALW8" s="33"/>
      <c r="ALX8" s="33"/>
      <c r="ALY8" s="33"/>
      <c r="ALZ8" s="33"/>
      <c r="AMA8" s="33"/>
      <c r="AMB8" s="33"/>
      <c r="AMC8" s="33"/>
      <c r="AMD8" s="33"/>
      <c r="AME8" s="33"/>
      <c r="AMF8" s="33"/>
      <c r="AMG8" s="33"/>
      <c r="AMH8" s="33"/>
      <c r="AMI8" s="33"/>
      <c r="AMJ8" s="33"/>
      <c r="AMK8" s="33"/>
      <c r="AML8" s="33"/>
    </row>
    <row r="9" ht="15.75" customHeight="1">
      <c r="A9" s="8"/>
      <c r="B9" s="8"/>
      <c r="C9" s="8"/>
      <c r="D9" s="8"/>
      <c r="E9" s="8"/>
      <c r="F9" s="12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12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12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12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12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12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12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12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12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12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12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