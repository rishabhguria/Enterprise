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DollarAmountPermission" sheetId="4" r:id="rId6"/>
    <sheet state="visible" name="CustomOrderTT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CalculatePTT" sheetId="9" r:id="rId11"/>
    <sheet state="visible" name="VerifyTradeSummary" sheetId="10" r:id="rId12"/>
    <sheet state="visible" name="CustomOrderTT1" sheetId="11" r:id="rId13"/>
    <sheet state="visible" name="CustomOrderTT2" sheetId="12" r:id="rId14"/>
    <sheet state="visible" name="SelectTradeOnOrderGrid" sheetId="13" r:id="rId15"/>
    <sheet state="visible" name="ReplaceSubOrder" sheetId="14" r:id="rId16"/>
    <sheet state="visible" name="ChangeThemeOnModule" sheetId="15" r:id="rId17"/>
    <sheet state="visible" name="ChangeThemeOnModule1" sheetId="16" r:id="rId18"/>
    <sheet state="visible" name="ReloadOrderFromBlotter" sheetId="17" r:id="rId19"/>
    <sheet state="visible" name="TradeNewSubOrder" sheetId="18" r:id="rId20"/>
  </sheets>
  <definedNames/>
  <calcPr/>
</workbook>
</file>

<file path=xl/sharedStrings.xml><?xml version="1.0" encoding="utf-8"?>
<sst xmlns="http://schemas.openxmlformats.org/spreadsheetml/2006/main" count="155" uniqueCount="48">
  <si>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</si>
  <si>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</si>
  <si>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</si>
  <si>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</si>
  <si>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</si>
  <si>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</si>
  <si>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</si>
  <si>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</si>
  <si>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</si>
  <si>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</si>
  <si>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</si>
  <si>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</si>
  <si>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</si>
  <si>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SetDollarAmountPermission</t>
  </si>
  <si>
    <t>Data Format</t>
  </si>
  <si>
    <t>Input Format</t>
  </si>
  <si>
    <t>TradingTicket</t>
  </si>
  <si>
    <t>CustomOrderTT</t>
  </si>
  <si>
    <t>AAPL</t>
  </si>
  <si>
    <t>DoneAway</t>
  </si>
  <si>
    <t>Allocation1</t>
  </si>
  <si>
    <t>Buy</t>
  </si>
  <si>
    <t>Allocation2</t>
  </si>
  <si>
    <t>PricingInput</t>
  </si>
  <si>
    <t>DailyValuation</t>
  </si>
  <si>
    <t>GetDailyCash</t>
  </si>
  <si>
    <t>UpdateMultipleDailyCash</t>
  </si>
  <si>
    <t>USD</t>
  </si>
  <si>
    <t>PTT</t>
  </si>
  <si>
    <t>CalculatePTT</t>
  </si>
  <si>
    <t>AMT</t>
  </si>
  <si>
    <t>Account</t>
  </si>
  <si>
    <t>Allocation1,Allocation2</t>
  </si>
  <si>
    <t>VerifyTradeSummary</t>
  </si>
  <si>
    <t>CreateOrder</t>
  </si>
  <si>
    <t>Blotter</t>
  </si>
  <si>
    <t>SelectTradeOnOrderGrid</t>
  </si>
  <si>
    <t>Filled</t>
  </si>
  <si>
    <t>Multiple</t>
  </si>
  <si>
    <t>ReplaceSubOrder</t>
  </si>
  <si>
    <t>OpenFin</t>
  </si>
  <si>
    <t>ChangeThemeOnModule</t>
  </si>
  <si>
    <t>Trading Ticket</t>
  </si>
  <si>
    <t>LIGHT</t>
  </si>
  <si>
    <t>Button</t>
  </si>
  <si>
    <t>ReloadOrderFromBlotter</t>
  </si>
  <si>
    <t>New</t>
  </si>
  <si>
    <t>TradeNewSubOrder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</si>
</sst>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IFERROR(__xludf.DUMMYFUNCTION("""COMPUTED_VALUE"""),"TT")</f>
        <v>TT</v>
      </c>
      <c r="C5" s="27" t="str">
        <f>IFERROR(__xludf.DUMMYFUNCTION("""COMPUTED_VALUE"""),"PTT")</f>
        <v>PTT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SetDollarAmountPermission!$4:$4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>
        <v>100.0</v>
      </c>
      <c r="D6" s="12">
        <v>20.0</v>
      </c>
      <c r="E6" s="12" t="s">
        <v>19</v>
      </c>
      <c r="F6" s="8"/>
      <c r="G6" s="8"/>
      <c r="H6" s="8"/>
      <c r="I6" s="12" t="s">
        <v>20</v>
      </c>
      <c r="J6" s="12" t="s">
        <v>21</v>
      </c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>
        <v>200.0</v>
      </c>
      <c r="D7" s="12">
        <v>20.0</v>
      </c>
      <c r="E7" s="12" t="s">
        <v>19</v>
      </c>
      <c r="F7" s="8"/>
      <c r="G7" s="8"/>
      <c r="H7" s="8"/>
      <c r="I7" s="12" t="s">
        <v>22</v>
      </c>
      <c r="J7" s="12" t="s">
        <v>21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f>TODAY()-1</f>
        <v>45939</v>
      </c>
      <c r="C6" s="31">
        <f>TODAY()</f>
        <v>45940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27</v>
      </c>
      <c r="D6" s="12">
        <v>10000.0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2"/>
      <c r="B7" s="12" t="s">
        <v>22</v>
      </c>
      <c r="C7" s="12" t="s">
        <v>27</v>
      </c>
      <c r="D7" s="12">
        <v>10000.0</v>
      </c>
      <c r="E7" s="30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 t="s">
        <v>30</v>
      </c>
      <c r="E6" s="12">
        <v>1000.0</v>
      </c>
      <c r="F6" s="12">
        <v>10.0</v>
      </c>
      <c r="G6" s="8"/>
      <c r="H6" s="12" t="s">
        <v>31</v>
      </c>
      <c r="I6" s="12" t="s">
        <v>32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IFERROR(__xludf.DUMMYFUNCTION("""COMPUTED_VALUE"""),"Quantity")</f>
        <v>Quantity</v>
      </c>
      <c r="D5" s="27" t="str">
        <f>IFERROR(__xludf.DUMMYFUNCTION("""COMPUTED_VALUE"""),"Order side")</f>
        <v>Order side</v>
      </c>
      <c r="E5" s="27" t="str">
        <f>IFERROR(__xludf.DUMMYFUNCTION("""COMPUTED_VALUE"""),"AllowTrade")</f>
        <v>AllowTrade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VerifyTradeSummary!$4:$4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/>
      <c r="E6" s="12" t="s">
        <v>19</v>
      </c>
      <c r="F6" s="8"/>
      <c r="G6" s="8"/>
      <c r="H6" s="8"/>
      <c r="I6" s="12"/>
      <c r="J6" s="12"/>
      <c r="K6" s="8"/>
      <c r="L6" s="8"/>
      <c r="M6" s="8"/>
      <c r="N6" s="8"/>
      <c r="O6" s="8"/>
    </row>
    <row r="7" ht="15.75" customHeight="1">
      <c r="A7" s="8"/>
      <c r="B7" s="12"/>
      <c r="C7" s="12"/>
      <c r="D7" s="12"/>
      <c r="E7" s="12"/>
      <c r="F7" s="8"/>
      <c r="G7" s="8"/>
      <c r="H7" s="8"/>
      <c r="I7" s="12"/>
      <c r="J7" s="12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/>
      <c r="E6" s="12" t="s">
        <v>34</v>
      </c>
      <c r="F6" s="8"/>
      <c r="G6" s="8"/>
      <c r="H6" s="8"/>
      <c r="I6" s="12"/>
      <c r="J6" s="12"/>
      <c r="K6" s="8"/>
      <c r="L6" s="8"/>
      <c r="M6" s="8"/>
      <c r="N6" s="8"/>
      <c r="O6" s="8"/>
    </row>
    <row r="7" ht="15.75" customHeight="1">
      <c r="A7" s="8"/>
      <c r="B7" s="12"/>
      <c r="C7" s="12"/>
      <c r="D7" s="12"/>
      <c r="E7" s="12"/>
      <c r="F7" s="8"/>
      <c r="G7" s="8"/>
      <c r="H7" s="8"/>
      <c r="I7" s="12"/>
      <c r="J7" s="12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18</v>
      </c>
      <c r="E6" s="30"/>
      <c r="F6" s="8"/>
      <c r="G6" s="12" t="s">
        <v>37</v>
      </c>
      <c r="H6" s="8"/>
      <c r="I6" s="8"/>
      <c r="J6" s="8"/>
      <c r="K6" s="8"/>
      <c r="L6" s="8"/>
      <c r="M6" s="8"/>
      <c r="N6" s="8"/>
      <c r="O6" s="8"/>
      <c r="R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18</v>
      </c>
      <c r="AK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 t="str">
        <f>IFERROR(__xludf.DUMMYFUNCTION("""COMPUTED_VALUE"""),"SavePageRTPNL")</f>
        <v>SavePageRTPNL</v>
      </c>
      <c r="P4" s="25" t="str">
        <f>IFERROR(__xludf.DUMMYFUNCTION("""COMPUTED_VALUE"""),"VerifyToastMessage")</f>
        <v>VerifyToastMessage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IFERROR(__xludf.DUMMYFUNCTION("""COMPUTED_VALUE"""),"ChangeThemeThrough")</f>
        <v>ChangeThemeThrough</v>
      </c>
      <c r="D5" s="27" t="str">
        <f>IFERROR(__xludf.DUMMYFUNCTION("""COMPUTED_VALUE"""),"DarkOrLight?")</f>
        <v>DarkOrLight?</v>
      </c>
      <c r="E5" s="27" t="str">
        <f>IFERROR(__xludf.DUMMYFUNCTION("""COMPUTED_VALUE"""),"VerifyThemeColor")</f>
        <v>VerifyThemeColor</v>
      </c>
      <c r="F5" s="28" t="str">
        <f>IFERROR(__xludf.DUMMYFUNCTION("""COMPUTED_VALUE"""),"ModuleStayOpen")</f>
        <v>ModuleStayOpen</v>
      </c>
      <c r="G5" s="27" t="str">
        <f>IFERROR(__xludf.DUMMYFUNCTION("""COMPUTED_VALUE"""),"TabName")</f>
        <v>TabName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42</v>
      </c>
      <c r="C6" s="34"/>
      <c r="D6" s="33" t="s">
        <v>43</v>
      </c>
      <c r="E6" s="35" t="s">
        <v>43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ChangeThemeOnModule!$4:$4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 t="str">
        <f>IFERROR(__xludf.DUMMYFUNCTION("""COMPUTED_VALUE"""),"SavePageRTPNL")</f>
        <v>SavePageRTPNL</v>
      </c>
      <c r="P4" s="25" t="str">
        <f>IFERROR(__xludf.DUMMYFUNCTION("""COMPUTED_VALUE"""),"VerifyToastMessage")</f>
        <v>VerifyToastMessage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IFERROR(__xludf.DUMMYFUNCTION("""COMPUTED_VALUE"""),"ChangeThemeThrough")</f>
        <v>ChangeThemeThrough</v>
      </c>
      <c r="D5" s="27" t="str">
        <f>IFERROR(__xludf.DUMMYFUNCTION("""COMPUTED_VALUE"""),"DarkOrLight?")</f>
        <v>DarkOrLight?</v>
      </c>
      <c r="E5" s="27" t="str">
        <f>IFERROR(__xludf.DUMMYFUNCTION("""COMPUTED_VALUE"""),"VerifyThemeColor")</f>
        <v>VerifyThemeColor</v>
      </c>
      <c r="F5" s="28" t="str">
        <f>IFERROR(__xludf.DUMMYFUNCTION("""COMPUTED_VALUE"""),"ModuleStayOpen")</f>
        <v>ModuleStayOpen</v>
      </c>
      <c r="G5" s="27" t="str">
        <f>IFERROR(__xludf.DUMMYFUNCTION("""COMPUTED_VALUE"""),"TabName")</f>
        <v>TabName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42</v>
      </c>
      <c r="C6" s="35" t="s">
        <v>44</v>
      </c>
      <c r="D6" s="33" t="s">
        <v>43</v>
      </c>
      <c r="E6" s="35" t="s">
        <v>43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ChangeThemeOnModule1!$4:$4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21</v>
      </c>
      <c r="AK6" s="9" t="s">
        <v>46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21</v>
      </c>
      <c r="AK6" s="9" t="s">
        <v>46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