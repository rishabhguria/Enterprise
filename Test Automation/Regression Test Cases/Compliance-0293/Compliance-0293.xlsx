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CreateComplianceOrder" sheetId="5" r:id="rId7"/>
    <sheet state="visible" name="VerifyComplianceOrder" sheetId="6" r:id="rId8"/>
    <sheet state="visible" name="SelectTradeOnOrderGrid" sheetId="7" r:id="rId9"/>
    <sheet state="visible" name="AllocateFromBlotter" sheetId="8" r:id="rId10"/>
    <sheet state="visible" name="CreateComplianceOrder1" sheetId="9" r:id="rId11"/>
    <sheet state="visible" name="SelectTradeOnOrderGrid1" sheetId="10" r:id="rId12"/>
    <sheet state="visible" name="CreateComplianceOrder3" sheetId="11" r:id="rId13"/>
    <sheet state="visible" name="LoginClient" sheetId="12" r:id="rId14"/>
  </sheets>
  <definedNames/>
  <calcPr/>
</workbook>
</file>

<file path=xl/sharedStrings.xml><?xml version="1.0" encoding="utf-8"?>
<sst xmlns="http://schemas.openxmlformats.org/spreadsheetml/2006/main" count="105" uniqueCount="40">
  <si>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</si>
  <si>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</si>
  <si>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</si>
  <si>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</si>
  <si>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</si>
  <si>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</si>
  <si>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</si>
  <si>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</si>
  <si>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</si>
  <si>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</si>
  <si>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</si>
  <si>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</si>
  <si>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</si>
  <si>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</si>
  <si>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</si>
  <si>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</si>
  <si>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Trade3</t>
  </si>
  <si>
    <t>REQUIRES APPROVAL</t>
  </si>
  <si>
    <t>TradingTicket</t>
  </si>
  <si>
    <t>CreateComplianceOrder</t>
  </si>
  <si>
    <t>AAPL</t>
  </si>
  <si>
    <t>Buy</t>
  </si>
  <si>
    <t>Unallocated</t>
  </si>
  <si>
    <t>DoneAway</t>
  </si>
  <si>
    <t>VerifyComplianceOrder</t>
  </si>
  <si>
    <t>Requires Approval</t>
  </si>
  <si>
    <t>Enter Summary</t>
  </si>
  <si>
    <t>Multiple</t>
  </si>
  <si>
    <t>Compliance Officer - Please Approve</t>
  </si>
  <si>
    <t>Yes</t>
  </si>
  <si>
    <t>Blotter</t>
  </si>
  <si>
    <t>SelectTradeOnOrderGrid</t>
  </si>
  <si>
    <t>one</t>
  </si>
  <si>
    <t>AllocateFromBlotter</t>
  </si>
  <si>
    <t>Allocation1</t>
  </si>
  <si>
    <t>Allocation2</t>
  </si>
  <si>
    <t>PranaClient</t>
  </si>
  <si>
    <t>LoginClient</t>
  </si>
  <si>
    <t>Support1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</si>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</sst>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A500"/>
        <bgColor rgb="FFFFA500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6" fillId="6" fontId="14" numFmtId="0" xfId="0" applyAlignment="1" applyBorder="1" applyFill="1" applyFont="1">
      <alignment horizontal="left" readingOrder="0" shrinkToFit="0" vertical="top" wrapText="0"/>
    </xf>
    <xf borderId="6" fillId="7" fontId="15" numFmtId="0" xfId="0" applyAlignment="1" applyBorder="1" applyFill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31" t="s">
        <v>17</v>
      </c>
      <c r="D6" s="32">
        <v>17.0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100.0</v>
      </c>
      <c r="E6" s="13">
        <v>10.0</v>
      </c>
      <c r="F6" s="13" t="s">
        <v>22</v>
      </c>
      <c r="G6" s="8"/>
      <c r="H6" s="8"/>
      <c r="I6" s="8"/>
      <c r="J6" s="13">
        <v>2.0</v>
      </c>
      <c r="K6" s="8"/>
      <c r="L6" s="8"/>
      <c r="M6" s="8"/>
      <c r="N6" s="8"/>
      <c r="O6" s="8"/>
      <c r="AX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25</v>
      </c>
      <c r="C6" s="35" t="s">
        <v>16</v>
      </c>
      <c r="D6" s="35" t="s">
        <v>26</v>
      </c>
      <c r="E6" s="35" t="s">
        <v>20</v>
      </c>
      <c r="F6" s="35" t="s">
        <v>27</v>
      </c>
      <c r="G6" s="35" t="s">
        <v>27</v>
      </c>
      <c r="H6" s="35"/>
      <c r="I6" s="35" t="s">
        <v>28</v>
      </c>
      <c r="J6" s="8"/>
      <c r="K6" s="13" t="s">
        <v>29</v>
      </c>
      <c r="L6" s="8"/>
      <c r="M6" s="9" t="s">
        <v>23</v>
      </c>
      <c r="N6" s="13" t="b">
        <v>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20</v>
      </c>
      <c r="E6" s="33"/>
      <c r="F6" s="13" t="s">
        <v>21</v>
      </c>
      <c r="G6" s="8"/>
      <c r="H6" s="8"/>
      <c r="I6" s="8"/>
      <c r="J6" s="8"/>
      <c r="K6" s="8"/>
      <c r="L6" s="8"/>
      <c r="M6" s="8"/>
      <c r="N6" s="8"/>
      <c r="O6" s="8"/>
      <c r="AW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IFERROR(__xludf.DUMMYFUNCTION("""COMPUTED_VALUE"""),"TargetAllocationQuantity")</f>
        <v>TargetAllocationQuantity</v>
      </c>
      <c r="F5" s="29" t="str">
        <f>IFERROR(__xludf.DUMMYFUNCTION("""COMPUTED_VALUE"""),"ViewAllocationVerfication")</f>
        <v>ViewAllocationVerfication</v>
      </c>
      <c r="G5" s="28" t="str">
        <f>IFERROR(__xludf.DUMMYFUNCTION("""COMPUTED_VALUE"""),"RESET")</f>
        <v>RESET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100.0</v>
      </c>
      <c r="E6" s="13">
        <v>10.0</v>
      </c>
      <c r="F6" s="13" t="s">
        <v>34</v>
      </c>
      <c r="G6" s="8"/>
      <c r="H6" s="8"/>
      <c r="I6" s="8"/>
      <c r="J6" s="13">
        <v>2.0</v>
      </c>
      <c r="K6" s="8"/>
      <c r="L6" s="8"/>
      <c r="M6" s="8"/>
      <c r="N6" s="8"/>
      <c r="O6" s="8"/>
      <c r="AX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20</v>
      </c>
      <c r="E6" s="33"/>
      <c r="F6" s="13" t="s">
        <v>21</v>
      </c>
      <c r="G6" s="8"/>
      <c r="H6" s="8"/>
      <c r="I6" s="8"/>
      <c r="J6" s="8"/>
      <c r="K6" s="8"/>
      <c r="L6" s="8"/>
      <c r="M6" s="8"/>
      <c r="N6" s="8"/>
      <c r="O6" s="8"/>
      <c r="R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100.0</v>
      </c>
      <c r="E6" s="13">
        <v>10.0</v>
      </c>
      <c r="F6" s="13" t="s">
        <v>35</v>
      </c>
      <c r="G6" s="8"/>
      <c r="H6" s="8"/>
      <c r="I6" s="8"/>
      <c r="J6" s="13">
        <v>2.0</v>
      </c>
      <c r="K6" s="8"/>
      <c r="L6" s="8"/>
      <c r="M6" s="8"/>
      <c r="N6" s="8"/>
      <c r="O6" s="8"/>
      <c r="AX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CreateComplianceOrder3!$4:$4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13" t="s">
        <v>39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