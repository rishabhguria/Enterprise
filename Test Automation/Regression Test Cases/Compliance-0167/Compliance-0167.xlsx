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SetRollover" sheetId="16" r:id="rId18"/>
    <sheet state="visible" name="VerifyRollover" sheetId="17" r:id="rId19"/>
    <sheet state="visible" name="VerifyComplianceOrder2" sheetId="18" r:id="rId20"/>
    <sheet state="visible" name="VerifyComplianceOrder3" sheetId="19" r:id="rId21"/>
    <sheet state="visible" name="ReplaceSubOrder1" sheetId="20" r:id="rId22"/>
    <sheet state="visible" name="CreateReplaceOrder1" sheetId="21" r:id="rId23"/>
    <sheet state="visible" name="VerifyRollover3" sheetId="22" r:id="rId24"/>
    <sheet state="visible" name="VerifyComplianceOrder4" sheetId="23" r:id="rId25"/>
    <sheet state="visible" name="VerifyComplianceOrder5" sheetId="24" r:id="rId26"/>
    <sheet state="visible" name="VerifyRollover4" sheetId="25" r:id="rId27"/>
    <sheet state="visible" name="RestartReleasesAndServices" sheetId="26" r:id="rId28"/>
  </sheets>
  <definedNames/>
  <calcPr/>
</workbook>
</file>

<file path=xl/sharedStrings.xml><?xml version="1.0" encoding="utf-8"?>
<sst xmlns="http://schemas.openxmlformats.org/spreadsheetml/2006/main" count="362" uniqueCount="74">
  <si>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</si>
  <si>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</si>
  <si>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</si>
  <si>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</si>
  <si>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</si>
  <si>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</si>
  <si>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</si>
  <si>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</si>
  <si>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</si>
  <si>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</si>
  <si>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</si>
  <si>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</si>
  <si>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</si>
  <si>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</si>
  <si>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</si>
  <si>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</si>
  <si>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Allocation</t>
  </si>
  <si>
    <t>AddCalculatedPreferences</t>
  </si>
  <si>
    <t>PrefSt</t>
  </si>
  <si>
    <t>SetAccountValueCalculatedPref</t>
  </si>
  <si>
    <t>Allocation2</t>
  </si>
  <si>
    <t>Allocation3</t>
  </si>
  <si>
    <t>SetDefaultRuleCalculatedPref</t>
  </si>
  <si>
    <t>Trade Quantity</t>
  </si>
  <si>
    <t>Current Preference</t>
  </si>
  <si>
    <t>TradingTicket</t>
  </si>
  <si>
    <t>CreateLiveOrder</t>
  </si>
  <si>
    <t>GOOG</t>
  </si>
  <si>
    <t>Buy</t>
  </si>
  <si>
    <t>Yes</t>
  </si>
  <si>
    <t>Simulator</t>
  </si>
  <si>
    <t>SelectTrade</t>
  </si>
  <si>
    <t>AcknowledgeTrade</t>
  </si>
  <si>
    <t>CreateComplianceOrder</t>
  </si>
  <si>
    <t>Send</t>
  </si>
  <si>
    <t>VerifyComplianceOrder</t>
  </si>
  <si>
    <t>Soft</t>
  </si>
  <si>
    <t>Account_Symbol</t>
  </si>
  <si>
    <t>If Quantity not equals to -1234, Symbol equals to "GOOG", Then block the trade.</t>
  </si>
  <si>
    <t>Allocation2-GOOG</t>
  </si>
  <si>
    <t>quantity: 505.00, symbol: GOOG, AccountShortName: Allocation2</t>
  </si>
  <si>
    <t>No</t>
  </si>
  <si>
    <t>Allocation3-GOOG</t>
  </si>
  <si>
    <t>quantity: 505.00, symbol: GOOG, AccountShortName: Allocation3</t>
  </si>
  <si>
    <t>Symbol</t>
  </si>
  <si>
    <t>If Quantity not equals to -123466, Symbol equals to "GOOG", Then block the trade.</t>
  </si>
  <si>
    <t>quantity: 1,010.00, symbol: GOOG</t>
  </si>
  <si>
    <t>Trade</t>
  </si>
  <si>
    <t>quantity: 5.00, symbol: GOOG</t>
  </si>
  <si>
    <t>Blotter</t>
  </si>
  <si>
    <t>SelectTradeOnOrderGrid</t>
  </si>
  <si>
    <t>New</t>
  </si>
  <si>
    <t>ReplaceSubOrder</t>
  </si>
  <si>
    <t>CreateReplaceOrder</t>
  </si>
  <si>
    <t>SetRollover</t>
  </si>
  <si>
    <t>Equity</t>
  </si>
  <si>
    <t>US</t>
  </si>
  <si>
    <t>NASDAQ</t>
  </si>
  <si>
    <t>Right Now</t>
  </si>
  <si>
    <t>VerifyRollover</t>
  </si>
  <si>
    <t>PendingReplace</t>
  </si>
  <si>
    <t>RollOver</t>
  </si>
  <si>
    <t>quantity: 5.00, symbol: GOOG, AccountShortName: Allocation3</t>
  </si>
  <si>
    <t>quantity: 5.00, symbol: GOOG, AccountShortName: Allocation2</t>
  </si>
  <si>
    <t>quantity: 10.00, symbol: GOOG</t>
  </si>
  <si>
    <t>quantity: 405.00, symbol: GOOG, AccountShortName: Allocation2</t>
  </si>
  <si>
    <t>quantity: 405.00, symbol: GOOG, AccountShortName: Allocation3</t>
  </si>
  <si>
    <t>quantity: 810.00, symbol: GOOG</t>
  </si>
  <si>
    <t>Replaced</t>
  </si>
  <si>
    <t>quantity: 610.00, symbol: GOOG</t>
  </si>
  <si>
    <t>quantity: 305.00, symbol: GOOG, AccountShortName: Allocation2</t>
  </si>
  <si>
    <t>quantity: 305.00, symbol: GOOG, AccountShortName: Allocation3</t>
  </si>
  <si>
    <t>Compliance</t>
  </si>
  <si>
    <t>RestartReleasesAndServices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</si>
</sst>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left style="thin">
        <color rgb="FF535353"/>
      </left>
      <right style="thin">
        <color rgb="FF535353"/>
      </right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bottom style="thin">
        <color rgb="FF535353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8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center" vertical="bottom"/>
    </xf>
    <xf borderId="6" fillId="6" fontId="13" numFmtId="0" xfId="0" applyAlignment="1" applyBorder="1" applyFill="1" applyFont="1">
      <alignment vertical="bottom"/>
    </xf>
    <xf borderId="7" fillId="0" fontId="3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4" fillId="5" fontId="4" numFmtId="49" xfId="0" applyAlignment="1" applyBorder="1" applyFont="1" applyNumberFormat="1">
      <alignment shrinkToFit="0" wrapText="0"/>
    </xf>
    <xf borderId="7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9" fillId="7" fontId="14" numFmtId="0" xfId="0" applyAlignment="1" applyBorder="1" applyFill="1" applyFont="1">
      <alignment vertical="top"/>
    </xf>
    <xf borderId="10" fillId="8" fontId="15" numFmtId="0" xfId="0" applyAlignment="1" applyBorder="1" applyFill="1" applyFont="1">
      <alignment vertical="top"/>
    </xf>
    <xf borderId="10" fillId="8" fontId="15" numFmtId="0" xfId="0" applyAlignment="1" applyBorder="1" applyFont="1">
      <alignment horizontal="right" vertical="top"/>
    </xf>
    <xf borderId="11" fillId="8" fontId="15" numFmtId="0" xfId="0" applyAlignment="1" applyBorder="1" applyFont="1">
      <alignment shrinkToFit="0" vertical="top" wrapText="0"/>
    </xf>
    <xf borderId="11" fillId="8" fontId="3" numFmtId="0" xfId="0" applyAlignment="1" applyBorder="1" applyFont="1">
      <alignment vertical="top"/>
    </xf>
    <xf borderId="12" fillId="7" fontId="14" numFmtId="0" xfId="0" applyAlignment="1" applyBorder="1" applyFont="1">
      <alignment vertical="top"/>
    </xf>
    <xf borderId="13" fillId="9" fontId="15" numFmtId="0" xfId="0" applyAlignment="1" applyBorder="1" applyFill="1" applyFont="1">
      <alignment vertical="top"/>
    </xf>
    <xf borderId="13" fillId="9" fontId="15" numFmtId="0" xfId="0" applyAlignment="1" applyBorder="1" applyFont="1">
      <alignment horizontal="right" vertical="top"/>
    </xf>
    <xf borderId="14" fillId="9" fontId="15" numFmtId="0" xfId="0" applyAlignment="1" applyBorder="1" applyFont="1">
      <alignment shrinkToFit="0" vertical="top" wrapText="0"/>
    </xf>
    <xf borderId="14" fillId="9" fontId="3" numFmtId="0" xfId="0" applyAlignment="1" applyBorder="1" applyFont="1">
      <alignment vertical="top"/>
    </xf>
    <xf borderId="13" fillId="8" fontId="15" numFmtId="0" xfId="0" applyAlignment="1" applyBorder="1" applyFont="1">
      <alignment vertical="top"/>
    </xf>
    <xf borderId="13" fillId="8" fontId="15" numFmtId="0" xfId="0" applyAlignment="1" applyBorder="1" applyFont="1">
      <alignment horizontal="right" vertical="top"/>
    </xf>
    <xf borderId="14" fillId="8" fontId="15" numFmtId="0" xfId="0" applyAlignment="1" applyBorder="1" applyFont="1">
      <alignment shrinkToFit="0" vertical="top" wrapText="0"/>
    </xf>
    <xf borderId="13" fillId="8" fontId="3" numFmtId="0" xfId="0" applyAlignment="1" applyBorder="1" applyFont="1">
      <alignment vertical="top"/>
    </xf>
    <xf borderId="13" fillId="9" fontId="3" numFmtId="0" xfId="0" applyAlignment="1" applyBorder="1" applyFont="1">
      <alignment vertical="top"/>
    </xf>
    <xf borderId="9" fillId="7" fontId="14" numFmtId="0" xfId="0" applyAlignment="1" applyBorder="1" applyFont="1">
      <alignment readingOrder="0" vertical="top"/>
    </xf>
    <xf borderId="10" fillId="8" fontId="15" numFmtId="0" xfId="0" applyAlignment="1" applyBorder="1" applyFont="1">
      <alignment readingOrder="0" vertical="top"/>
    </xf>
    <xf borderId="10" fillId="8" fontId="15" numFmtId="0" xfId="0" applyAlignment="1" applyBorder="1" applyFont="1">
      <alignment horizontal="right" readingOrder="0" vertical="top"/>
    </xf>
    <xf borderId="11" fillId="8" fontId="15" numFmtId="0" xfId="0" applyAlignment="1" applyBorder="1" applyFont="1">
      <alignment readingOrder="0" shrinkToFit="0" vertical="top" wrapText="0"/>
    </xf>
    <xf borderId="12" fillId="7" fontId="14" numFmtId="0" xfId="0" applyAlignment="1" applyBorder="1" applyFont="1">
      <alignment readingOrder="0" vertical="top"/>
    </xf>
    <xf borderId="13" fillId="9" fontId="15" numFmtId="0" xfId="0" applyAlignment="1" applyBorder="1" applyFont="1">
      <alignment readingOrder="0" vertical="top"/>
    </xf>
    <xf borderId="13" fillId="9" fontId="15" numFmtId="0" xfId="0" applyAlignment="1" applyBorder="1" applyFont="1">
      <alignment horizontal="right" readingOrder="0" vertical="top"/>
    </xf>
    <xf borderId="14" fillId="9" fontId="15" numFmtId="0" xfId="0" applyAlignment="1" applyBorder="1" applyFont="1">
      <alignment readingOrder="0" shrinkToFit="0" vertical="top" wrapText="0"/>
    </xf>
    <xf borderId="13" fillId="8" fontId="15" numFmtId="0" xfId="0" applyAlignment="1" applyBorder="1" applyFont="1">
      <alignment readingOrder="0" vertical="top"/>
    </xf>
    <xf borderId="13" fillId="8" fontId="15" numFmtId="0" xfId="0" applyAlignment="1" applyBorder="1" applyFont="1">
      <alignment horizontal="right" readingOrder="0" vertical="top"/>
    </xf>
    <xf borderId="14" fillId="8" fontId="1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30" t="b">
        <v>1</v>
      </c>
      <c r="E6" s="30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">
        <v>18</v>
      </c>
      <c r="C6" s="32" t="s">
        <v>20</v>
      </c>
      <c r="D6" s="33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18</v>
      </c>
      <c r="C7" s="35" t="s">
        <v>21</v>
      </c>
      <c r="D7" s="36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8" t="s">
        <v>23</v>
      </c>
      <c r="C6" s="32"/>
      <c r="D6" s="39" t="s">
        <v>24</v>
      </c>
      <c r="E6" s="32"/>
      <c r="F6" s="32"/>
      <c r="G6" s="40" t="b">
        <v>0</v>
      </c>
      <c r="H6" s="41" t="s">
        <v>18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4" t="s">
        <v>27</v>
      </c>
      <c r="C6" s="34" t="s">
        <v>28</v>
      </c>
      <c r="D6" s="36">
        <v>1000.0</v>
      </c>
      <c r="E6" s="42"/>
      <c r="F6" s="41" t="s">
        <v>18</v>
      </c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29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4" t="s">
        <v>28</v>
      </c>
      <c r="C6" s="34" t="s">
        <v>27</v>
      </c>
      <c r="D6" s="8"/>
      <c r="E6" s="8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4" t="s">
        <v>28</v>
      </c>
      <c r="C6" s="34" t="s">
        <v>27</v>
      </c>
      <c r="D6" s="8"/>
      <c r="E6" s="8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4" t="s">
        <v>27</v>
      </c>
      <c r="C6" s="34" t="s">
        <v>28</v>
      </c>
      <c r="D6" s="36">
        <v>10.0</v>
      </c>
      <c r="E6" s="42"/>
      <c r="F6" s="41" t="s">
        <v>18</v>
      </c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29</v>
      </c>
      <c r="AR6" s="35"/>
      <c r="AS6" s="35"/>
      <c r="AT6" s="35"/>
      <c r="AU6" s="35"/>
      <c r="AV6" s="35"/>
      <c r="AW6" s="35"/>
      <c r="AX6" s="35" t="s">
        <v>34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4" t="s">
        <v>36</v>
      </c>
      <c r="C6" s="34" t="s">
        <v>37</v>
      </c>
      <c r="D6" s="34" t="s">
        <v>38</v>
      </c>
      <c r="E6" s="34" t="s">
        <v>39</v>
      </c>
      <c r="F6" s="36">
        <v>-1234.0</v>
      </c>
      <c r="G6" s="36">
        <v>505.0</v>
      </c>
      <c r="H6" s="43" t="s">
        <v>40</v>
      </c>
      <c r="I6" s="35"/>
      <c r="J6" s="35"/>
      <c r="K6" s="34" t="s">
        <v>41</v>
      </c>
      <c r="L6" s="35"/>
      <c r="M6" s="34" t="s">
        <v>34</v>
      </c>
      <c r="N6" s="8"/>
      <c r="O6" s="8"/>
    </row>
    <row r="7" ht="15.75" customHeight="1">
      <c r="A7" s="8"/>
      <c r="B7" s="34" t="s">
        <v>36</v>
      </c>
      <c r="C7" s="34" t="s">
        <v>37</v>
      </c>
      <c r="D7" s="34" t="s">
        <v>38</v>
      </c>
      <c r="E7" s="34" t="s">
        <v>42</v>
      </c>
      <c r="F7" s="36">
        <v>-1234.0</v>
      </c>
      <c r="G7" s="36">
        <v>505.0</v>
      </c>
      <c r="H7" s="43" t="s">
        <v>43</v>
      </c>
      <c r="I7" s="35"/>
      <c r="J7" s="35"/>
      <c r="K7" s="35"/>
      <c r="L7" s="35"/>
      <c r="M7" s="35"/>
      <c r="N7" s="8"/>
      <c r="O7" s="8"/>
    </row>
    <row r="8" ht="15.75" customHeight="1">
      <c r="A8" s="8"/>
      <c r="B8" s="34" t="s">
        <v>36</v>
      </c>
      <c r="C8" s="34" t="s">
        <v>44</v>
      </c>
      <c r="D8" s="34" t="s">
        <v>45</v>
      </c>
      <c r="E8" s="34" t="s">
        <v>27</v>
      </c>
      <c r="F8" s="36">
        <v>-123466.0</v>
      </c>
      <c r="G8" s="36">
        <v>1010.0</v>
      </c>
      <c r="H8" s="43" t="s">
        <v>46</v>
      </c>
      <c r="I8" s="35"/>
      <c r="J8" s="35"/>
      <c r="K8" s="35"/>
      <c r="L8" s="35"/>
      <c r="M8" s="35"/>
      <c r="N8" s="8"/>
      <c r="O8" s="8"/>
    </row>
    <row r="9" ht="15.75" customHeight="1">
      <c r="A9" s="8"/>
      <c r="B9" s="34" t="s">
        <v>36</v>
      </c>
      <c r="C9" s="34" t="s">
        <v>47</v>
      </c>
      <c r="D9" s="34" t="s">
        <v>38</v>
      </c>
      <c r="E9" s="34" t="s">
        <v>27</v>
      </c>
      <c r="F9" s="36">
        <v>-1234.0</v>
      </c>
      <c r="G9" s="36">
        <v>5.0</v>
      </c>
      <c r="H9" s="43" t="s">
        <v>48</v>
      </c>
      <c r="I9" s="35"/>
      <c r="J9" s="35"/>
      <c r="K9" s="35"/>
      <c r="L9" s="35"/>
      <c r="M9" s="35"/>
      <c r="N9" s="8"/>
      <c r="O9" s="8"/>
    </row>
    <row r="10" ht="15.75" customHeight="1">
      <c r="A10" s="8"/>
      <c r="B10" s="34" t="s">
        <v>36</v>
      </c>
      <c r="C10" s="34" t="s">
        <v>47</v>
      </c>
      <c r="D10" s="34" t="s">
        <v>38</v>
      </c>
      <c r="E10" s="34" t="s">
        <v>27</v>
      </c>
      <c r="F10" s="36">
        <v>-1234.0</v>
      </c>
      <c r="G10" s="36">
        <v>5.0</v>
      </c>
      <c r="H10" s="43" t="s">
        <v>48</v>
      </c>
      <c r="I10" s="35"/>
      <c r="J10" s="35"/>
      <c r="K10" s="35"/>
      <c r="L10" s="35"/>
      <c r="M10" s="35"/>
      <c r="N10" s="8"/>
      <c r="O10" s="8"/>
    </row>
    <row r="11" ht="15.75" customHeight="1">
      <c r="A11" s="8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8"/>
      <c r="O11" s="8"/>
    </row>
    <row r="12" ht="15.75" customHeight="1">
      <c r="A12" s="8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4"/>
      <c r="C6" s="35"/>
      <c r="D6" s="45" t="s">
        <v>27</v>
      </c>
      <c r="E6" s="35"/>
      <c r="F6" s="34" t="s">
        <v>28</v>
      </c>
      <c r="G6" s="34" t="s">
        <v>51</v>
      </c>
      <c r="H6" s="36">
        <v>1000.0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27</v>
      </c>
      <c r="AK6" s="35" t="s">
        <v>28</v>
      </c>
      <c r="AL6" s="35" t="s">
        <v>51</v>
      </c>
      <c r="AM6" s="46">
        <v>1000.0</v>
      </c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27</v>
      </c>
      <c r="C6" s="35"/>
      <c r="D6" s="36">
        <v>800.0</v>
      </c>
      <c r="E6" s="35"/>
      <c r="F6" s="35"/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29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IFERROR(__xludf.DUMMYFUNCTION("""COMPUTED_VALUE"""),"AssetName")</f>
        <v>AssetName</v>
      </c>
      <c r="C5" s="27" t="str">
        <f>IFERROR(__xludf.DUMMYFUNCTION("""COMPUTED_VALUE"""),"UnderLyingName")</f>
        <v>UnderLyingName</v>
      </c>
      <c r="D5" s="27" t="str">
        <f>IFERROR(__xludf.DUMMYFUNCTION("""COMPUTED_VALUE"""),"DisplayName")</f>
        <v>DisplayName</v>
      </c>
      <c r="E5" s="47" t="str">
        <f>IFERROR(__xludf.DUMMYFUNCTION("""COMPUTED_VALUE"""),"ClearanceTime")</f>
        <v>ClearanceTime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8" t="s">
        <v>55</v>
      </c>
      <c r="C6" s="49" t="s">
        <v>56</v>
      </c>
      <c r="D6" s="49" t="s">
        <v>57</v>
      </c>
      <c r="E6" s="34" t="s">
        <v>58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27</v>
      </c>
      <c r="AJ6" s="35" t="s">
        <v>28</v>
      </c>
      <c r="AK6" s="35" t="s">
        <v>60</v>
      </c>
      <c r="AL6" s="50">
        <v>800.0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 t="s">
        <v>61</v>
      </c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1" t="s">
        <v>36</v>
      </c>
      <c r="C6" s="52" t="s">
        <v>37</v>
      </c>
      <c r="D6" s="52" t="s">
        <v>38</v>
      </c>
      <c r="E6" s="52" t="s">
        <v>42</v>
      </c>
      <c r="F6" s="53">
        <v>-1234.0</v>
      </c>
      <c r="G6" s="53">
        <v>5.0</v>
      </c>
      <c r="H6" s="54" t="s">
        <v>62</v>
      </c>
      <c r="I6" s="55"/>
      <c r="J6" s="35"/>
      <c r="K6" s="34" t="s">
        <v>41</v>
      </c>
      <c r="L6" s="35"/>
      <c r="M6" s="34" t="s">
        <v>34</v>
      </c>
      <c r="N6" s="8"/>
      <c r="O6" s="8"/>
    </row>
    <row r="7" ht="15.75" customHeight="1">
      <c r="A7" s="8"/>
      <c r="B7" s="56" t="s">
        <v>36</v>
      </c>
      <c r="C7" s="57" t="s">
        <v>37</v>
      </c>
      <c r="D7" s="57" t="s">
        <v>38</v>
      </c>
      <c r="E7" s="57" t="s">
        <v>39</v>
      </c>
      <c r="F7" s="58">
        <v>-1234.0</v>
      </c>
      <c r="G7" s="58">
        <v>5.0</v>
      </c>
      <c r="H7" s="59" t="s">
        <v>63</v>
      </c>
      <c r="I7" s="60"/>
      <c r="J7" s="35"/>
      <c r="K7" s="35"/>
      <c r="L7" s="35"/>
      <c r="M7" s="35"/>
      <c r="N7" s="8"/>
      <c r="O7" s="8"/>
    </row>
    <row r="8" ht="15.75" customHeight="1">
      <c r="A8" s="8"/>
      <c r="B8" s="56" t="s">
        <v>36</v>
      </c>
      <c r="C8" s="61" t="s">
        <v>44</v>
      </c>
      <c r="D8" s="61" t="s">
        <v>45</v>
      </c>
      <c r="E8" s="61" t="s">
        <v>27</v>
      </c>
      <c r="F8" s="62">
        <v>-123466.0</v>
      </c>
      <c r="G8" s="62">
        <v>10.0</v>
      </c>
      <c r="H8" s="63" t="s">
        <v>64</v>
      </c>
      <c r="I8" s="64"/>
      <c r="J8" s="35"/>
      <c r="K8" s="35"/>
      <c r="L8" s="35"/>
      <c r="M8" s="35"/>
      <c r="N8" s="8"/>
      <c r="O8" s="8"/>
    </row>
    <row r="9" ht="15.75" customHeight="1">
      <c r="A9" s="8"/>
      <c r="B9" s="56" t="s">
        <v>36</v>
      </c>
      <c r="C9" s="57" t="s">
        <v>47</v>
      </c>
      <c r="D9" s="57" t="s">
        <v>38</v>
      </c>
      <c r="E9" s="57" t="s">
        <v>27</v>
      </c>
      <c r="F9" s="58">
        <v>-1234.0</v>
      </c>
      <c r="G9" s="58">
        <v>5.0</v>
      </c>
      <c r="H9" s="59" t="s">
        <v>48</v>
      </c>
      <c r="I9" s="65"/>
      <c r="J9" s="35"/>
      <c r="K9" s="35"/>
      <c r="L9" s="35"/>
      <c r="M9" s="35"/>
      <c r="N9" s="8"/>
      <c r="O9" s="8"/>
    </row>
    <row r="10" ht="15.75" customHeight="1">
      <c r="A10" s="8"/>
      <c r="B10" s="56" t="s">
        <v>36</v>
      </c>
      <c r="C10" s="61" t="s">
        <v>47</v>
      </c>
      <c r="D10" s="61" t="s">
        <v>38</v>
      </c>
      <c r="E10" s="61" t="s">
        <v>27</v>
      </c>
      <c r="F10" s="62">
        <v>-1234.0</v>
      </c>
      <c r="G10" s="62">
        <v>5.0</v>
      </c>
      <c r="H10" s="63" t="s">
        <v>48</v>
      </c>
      <c r="I10" s="64"/>
      <c r="J10" s="35"/>
      <c r="K10" s="35"/>
      <c r="L10" s="35"/>
      <c r="M10" s="35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66" t="s">
        <v>36</v>
      </c>
      <c r="C6" s="67" t="s">
        <v>37</v>
      </c>
      <c r="D6" s="67" t="s">
        <v>38</v>
      </c>
      <c r="E6" s="67" t="s">
        <v>39</v>
      </c>
      <c r="F6" s="68">
        <v>-1234.0</v>
      </c>
      <c r="G6" s="68">
        <v>405.0</v>
      </c>
      <c r="H6" s="69" t="s">
        <v>65</v>
      </c>
      <c r="I6" s="55"/>
      <c r="J6" s="35"/>
      <c r="K6" s="34" t="s">
        <v>41</v>
      </c>
      <c r="L6" s="35"/>
      <c r="M6" s="34" t="s">
        <v>34</v>
      </c>
      <c r="N6" s="8"/>
      <c r="O6" s="8"/>
    </row>
    <row r="7" ht="15.75" customHeight="1">
      <c r="A7" s="8"/>
      <c r="B7" s="70" t="s">
        <v>36</v>
      </c>
      <c r="C7" s="71" t="s">
        <v>37</v>
      </c>
      <c r="D7" s="71" t="s">
        <v>38</v>
      </c>
      <c r="E7" s="71" t="s">
        <v>42</v>
      </c>
      <c r="F7" s="72">
        <v>-1234.0</v>
      </c>
      <c r="G7" s="72">
        <v>405.0</v>
      </c>
      <c r="H7" s="73" t="s">
        <v>66</v>
      </c>
      <c r="I7" s="60"/>
      <c r="J7" s="35"/>
      <c r="K7" s="35"/>
      <c r="L7" s="35"/>
      <c r="M7" s="35"/>
      <c r="N7" s="8"/>
      <c r="O7" s="8"/>
    </row>
    <row r="8" ht="15.75" customHeight="1">
      <c r="A8" s="8"/>
      <c r="B8" s="70" t="s">
        <v>36</v>
      </c>
      <c r="C8" s="74" t="s">
        <v>47</v>
      </c>
      <c r="D8" s="74" t="s">
        <v>38</v>
      </c>
      <c r="E8" s="74" t="s">
        <v>27</v>
      </c>
      <c r="F8" s="75">
        <v>-1234.0</v>
      </c>
      <c r="G8" s="75">
        <v>5.0</v>
      </c>
      <c r="H8" s="76" t="s">
        <v>48</v>
      </c>
      <c r="I8" s="64"/>
      <c r="J8" s="35"/>
      <c r="K8" s="35"/>
      <c r="L8" s="35"/>
      <c r="M8" s="35"/>
      <c r="N8" s="8"/>
      <c r="O8" s="8"/>
    </row>
    <row r="9" ht="15.75" customHeight="1">
      <c r="A9" s="8"/>
      <c r="B9" s="70" t="s">
        <v>36</v>
      </c>
      <c r="C9" s="71" t="s">
        <v>47</v>
      </c>
      <c r="D9" s="71" t="s">
        <v>38</v>
      </c>
      <c r="E9" s="71" t="s">
        <v>27</v>
      </c>
      <c r="F9" s="72">
        <v>-1234.0</v>
      </c>
      <c r="G9" s="72">
        <v>5.0</v>
      </c>
      <c r="H9" s="73" t="s">
        <v>48</v>
      </c>
      <c r="I9" s="65"/>
      <c r="J9" s="35"/>
      <c r="K9" s="35"/>
      <c r="L9" s="35"/>
      <c r="M9" s="35"/>
      <c r="N9" s="8"/>
      <c r="O9" s="8"/>
    </row>
    <row r="10" ht="15.75" customHeight="1">
      <c r="A10" s="8"/>
      <c r="B10" s="70" t="s">
        <v>36</v>
      </c>
      <c r="C10" s="74" t="s">
        <v>44</v>
      </c>
      <c r="D10" s="74" t="s">
        <v>45</v>
      </c>
      <c r="E10" s="74" t="s">
        <v>27</v>
      </c>
      <c r="F10" s="75">
        <v>-123466.0</v>
      </c>
      <c r="G10" s="75">
        <v>810.0</v>
      </c>
      <c r="H10" s="76" t="s">
        <v>67</v>
      </c>
      <c r="I10" s="64"/>
      <c r="J10" s="35"/>
      <c r="K10" s="35"/>
      <c r="L10" s="35"/>
      <c r="M10" s="35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4"/>
      <c r="C6" s="35"/>
      <c r="D6" s="4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27</v>
      </c>
      <c r="AK6" s="35" t="s">
        <v>28</v>
      </c>
      <c r="AL6" s="77" t="s">
        <v>68</v>
      </c>
      <c r="AM6" s="50">
        <v>800.0</v>
      </c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27</v>
      </c>
      <c r="C6" s="8"/>
      <c r="D6" s="12">
        <v>600.0</v>
      </c>
      <c r="E6" s="8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27</v>
      </c>
      <c r="AJ6" s="35" t="s">
        <v>28</v>
      </c>
      <c r="AK6" s="35" t="s">
        <v>60</v>
      </c>
      <c r="AL6" s="50">
        <v>600.0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 t="s">
        <v>61</v>
      </c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36</v>
      </c>
      <c r="C6" s="12" t="s">
        <v>37</v>
      </c>
      <c r="D6" s="12" t="s">
        <v>38</v>
      </c>
      <c r="E6" s="12" t="s">
        <v>39</v>
      </c>
      <c r="F6" s="12">
        <v>-1234.0</v>
      </c>
      <c r="G6" s="12">
        <v>405.0</v>
      </c>
      <c r="H6" s="12" t="s">
        <v>65</v>
      </c>
      <c r="I6" s="8"/>
      <c r="J6" s="8"/>
      <c r="K6" s="12" t="s">
        <v>41</v>
      </c>
      <c r="L6" s="8"/>
      <c r="M6" s="34" t="s">
        <v>34</v>
      </c>
      <c r="N6" s="8"/>
      <c r="O6" s="8"/>
    </row>
    <row r="7" ht="15.75" customHeight="1">
      <c r="A7" s="8"/>
      <c r="B7" s="12" t="s">
        <v>36</v>
      </c>
      <c r="C7" s="12" t="s">
        <v>37</v>
      </c>
      <c r="D7" s="12" t="s">
        <v>38</v>
      </c>
      <c r="E7" s="12" t="s">
        <v>42</v>
      </c>
      <c r="F7" s="12">
        <v>-1234.0</v>
      </c>
      <c r="G7" s="12">
        <v>405.0</v>
      </c>
      <c r="H7" s="12" t="s">
        <v>66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36</v>
      </c>
      <c r="C8" s="12" t="s">
        <v>44</v>
      </c>
      <c r="D8" s="12" t="s">
        <v>45</v>
      </c>
      <c r="E8" s="12" t="s">
        <v>27</v>
      </c>
      <c r="F8" s="12">
        <v>-123466.0</v>
      </c>
      <c r="G8" s="12">
        <v>810.0</v>
      </c>
      <c r="H8" s="12" t="s">
        <v>67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36</v>
      </c>
      <c r="C9" s="12" t="s">
        <v>47</v>
      </c>
      <c r="D9" s="12" t="s">
        <v>38</v>
      </c>
      <c r="E9" s="12" t="s">
        <v>27</v>
      </c>
      <c r="F9" s="12">
        <v>-1234.0</v>
      </c>
      <c r="G9" s="12">
        <v>5.0</v>
      </c>
      <c r="H9" s="12" t="s">
        <v>48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36</v>
      </c>
      <c r="C10" s="12" t="s">
        <v>47</v>
      </c>
      <c r="D10" s="12" t="s">
        <v>38</v>
      </c>
      <c r="E10" s="12" t="s">
        <v>27</v>
      </c>
      <c r="F10" s="12">
        <v>-1234.0</v>
      </c>
      <c r="G10" s="12">
        <v>5.0</v>
      </c>
      <c r="H10" s="12" t="s">
        <v>48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 t="s">
        <v>47</v>
      </c>
      <c r="D6" s="12" t="s">
        <v>38</v>
      </c>
      <c r="E6" s="12" t="s">
        <v>27</v>
      </c>
      <c r="F6" s="12">
        <v>-1234.0</v>
      </c>
      <c r="G6" s="12">
        <v>5.0</v>
      </c>
      <c r="H6" s="12" t="s">
        <v>48</v>
      </c>
      <c r="I6" s="8"/>
      <c r="J6" s="8"/>
      <c r="K6" s="12" t="s">
        <v>41</v>
      </c>
      <c r="L6" s="8"/>
      <c r="M6" s="34" t="s">
        <v>34</v>
      </c>
      <c r="N6" s="8"/>
      <c r="O6" s="8"/>
    </row>
    <row r="7" ht="15.75" customHeight="1">
      <c r="A7" s="8"/>
      <c r="B7" s="12" t="s">
        <v>36</v>
      </c>
      <c r="C7" s="12" t="s">
        <v>47</v>
      </c>
      <c r="D7" s="12" t="s">
        <v>38</v>
      </c>
      <c r="E7" s="12" t="s">
        <v>27</v>
      </c>
      <c r="F7" s="12">
        <v>-1234.0</v>
      </c>
      <c r="G7" s="12">
        <v>5.0</v>
      </c>
      <c r="H7" s="12" t="s">
        <v>48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36</v>
      </c>
      <c r="C8" s="12" t="s">
        <v>44</v>
      </c>
      <c r="D8" s="12" t="s">
        <v>45</v>
      </c>
      <c r="E8" s="12" t="s">
        <v>27</v>
      </c>
      <c r="F8" s="12">
        <v>-123466.0</v>
      </c>
      <c r="G8" s="12">
        <v>610.0</v>
      </c>
      <c r="H8" s="12" t="s">
        <v>69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36</v>
      </c>
      <c r="C9" s="12" t="s">
        <v>37</v>
      </c>
      <c r="D9" s="12" t="s">
        <v>38</v>
      </c>
      <c r="E9" s="12" t="s">
        <v>39</v>
      </c>
      <c r="F9" s="12">
        <v>-1234.0</v>
      </c>
      <c r="G9" s="12">
        <v>305.0</v>
      </c>
      <c r="H9" s="12" t="s">
        <v>70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36</v>
      </c>
      <c r="C10" s="12" t="s">
        <v>37</v>
      </c>
      <c r="D10" s="12" t="s">
        <v>38</v>
      </c>
      <c r="E10" s="12" t="s">
        <v>42</v>
      </c>
      <c r="F10" s="12">
        <v>-1234.0</v>
      </c>
      <c r="G10" s="12">
        <v>305.0</v>
      </c>
      <c r="H10" s="12" t="s">
        <v>71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VerifyComplianceOrder5!$4:$4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27</v>
      </c>
      <c r="AJ6" s="35" t="s">
        <v>28</v>
      </c>
      <c r="AK6" s="77" t="s">
        <v>68</v>
      </c>
      <c r="AL6" s="50">
        <v>600.0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 t="s">
        <v>61</v>
      </c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77" t="s">
        <v>29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27</v>
      </c>
      <c r="AJ6" s="35" t="s">
        <v>28</v>
      </c>
      <c r="AK6" s="77" t="s">
        <v>68</v>
      </c>
      <c r="AL6" s="50">
        <v>600.0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 t="s">
        <v>61</v>
      </c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