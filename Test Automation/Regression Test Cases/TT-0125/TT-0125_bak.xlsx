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firstSheet="21" activeTab="24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AddCalculatedPreferences" sheetId="5" r:id="rId5"/>
    <sheet name="SetAccountValueCalculatedPref" sheetId="6" r:id="rId6"/>
    <sheet name="SetStrategyValueCalculatedPref" sheetId="7" r:id="rId7"/>
    <sheet name="SetDefaultRuleCalculatedPref" sheetId="8" r:id="rId8"/>
    <sheet name="CreateLiveOrder" sheetId="9" r:id="rId9"/>
    <sheet name="SelectTrade" sheetId="10" r:id="rId10"/>
    <sheet name="AcknowledgeTrade" sheetId="11" r:id="rId11"/>
    <sheet name="ExecuteTrade" sheetId="12" r:id="rId12"/>
    <sheet name="SelectTrade1" sheetId="13" r:id="rId13"/>
    <sheet name="AcknowledgeTrade1" sheetId="14" r:id="rId14"/>
    <sheet name="ExecuteTrade1" sheetId="15" r:id="rId15"/>
    <sheet name="SelectTradeOnOrderGrid" sheetId="16" r:id="rId16"/>
    <sheet name="CancelSubOrder" sheetId="17" r:id="rId17"/>
    <sheet name="CreateLiveOrder1" sheetId="18" r:id="rId18"/>
    <sheet name="SelectTrade2" sheetId="19" r:id="rId19"/>
    <sheet name="AcknowledgeTrade2" sheetId="20" r:id="rId20"/>
    <sheet name="ExecuteTrade2" sheetId="21" r:id="rId21"/>
    <sheet name="GetDataAllocation" sheetId="22" r:id="rId22"/>
    <sheet name="CheckAllocatedGroups" sheetId="23" r:id="rId23"/>
    <sheet name="CheckAllocatedTaxlots" sheetId="24" r:id="rId24"/>
    <sheet name="CheckPortfolioManagement" sheetId="25" r:id="rId25"/>
  </sheets>
  <calcPr calcId="144525"/>
</workbook>
</file>

<file path=xl/sharedStrings.xml><?xml version="1.0" encoding="utf-8"?>
<sst xmlns="http://schemas.openxmlformats.org/spreadsheetml/2006/main" count="1100" uniqueCount="71">
  <si>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</si>
  <si>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</si>
  <si>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</si>
  <si>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</si>
  <si>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</si>
  <si>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</si>
  <si>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</si>
  <si>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</si>
  <si>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</si>
  <si>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</si>
  <si>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</si>
  <si>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</si>
  <si>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</si>
  <si>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</si>
  <si>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</si>
  <si>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</si>
  <si>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</si>
  <si>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</si>
  <si>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</si>
  <si>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</si>
  <si>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</si>
  <si>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</si>
  <si>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</si>
  <si>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</si>
  <si>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</si>
  <si>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</si>
  <si>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</si>
  <si>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</si>
  <si>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</si>
  <si>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CreateLiveOrder</t>
  </si>
  <si>
    <t>AAPL</t>
  </si>
  <si>
    <t>Buy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</si>
  <si>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</si>
  <si>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</si>
  <si>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</si>
  <si>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</si>
  <si>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</si>
  <si>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</si>
  <si>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</si>
  <si>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</si>
  <si>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CancelSubOrder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</si>
  <si>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</si>
  <si>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</si>
  <si>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</si>
  <si>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</si>
  <si>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</si>
  <si>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</si>
  <si>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</si>
  <si>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</si>
  <si>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</si>
  <si>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</si>
  <si>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NASDAQ</t>
  </si>
  <si>
    <t>None</t>
  </si>
  <si>
    <t>Market</t>
  </si>
  <si>
    <t>FIX</t>
  </si>
  <si>
    <t>US</t>
  </si>
  <si>
    <t>jpearce</t>
  </si>
  <si>
    <t>CheckAllocatedTaxlots</t>
  </si>
  <si>
    <t>M</t>
  </si>
  <si>
    <t>PortfolioManagement</t>
  </si>
  <si>
    <t>CheckPortfolioManagement</t>
  </si>
  <si>
    <t>NewMF1</t>
  </si>
  <si>
    <t>Short</t>
  </si>
  <si>
    <t>APPLE</t>
  </si>
  <si>
    <t>Undefined</t>
  </si>
  <si>
    <t>Long</t>
  </si>
  <si>
    <t>test1</t>
  </si>
  <si>
    <t>india</t>
  </si>
  <si>
    <t>test 1</t>
  </si>
  <si>
    <t>Yes</t>
  </si>
  <si>
    <t>NewMF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</si>
</sst>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33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sz val="11"/>
      <color rgb="FF000000"/>
      <name val="Calibri"/>
      <charset val="134"/>
    </font>
    <font>
      <u/>
      <sz val="10"/>
      <color rgb="FFD9D9D9"/>
      <name val="Arial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6" fillId="10" borderId="0" applyNumberFormat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4" fillId="17" borderId="5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5" borderId="7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0" fillId="27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27" borderId="7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0" fillId="4" borderId="0" xfId="0" applyFont="1" applyFill="1"/>
    <xf numFmtId="0" fontId="2" fillId="0" borderId="1" xfId="0" applyFont="1" applyBorder="1" applyAlignme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11" fillId="3" borderId="0" xfId="0" applyFont="1" applyFill="1" applyBorder="1" applyAlignment="1"/>
    <xf numFmtId="0" fontId="11" fillId="0" borderId="0" xfId="0" applyFont="1"/>
    <xf numFmtId="0" fontId="12" fillId="2" borderId="0" xfId="0" applyFont="1" applyFill="1" applyBorder="1" applyAlignment="1">
      <alignment horizontal="center"/>
    </xf>
    <xf numFmtId="0" fontId="2" fillId="3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haredStrings" Target="sharedStrings.xml"/><Relationship Id="rId27" Type="http://schemas.openxmlformats.org/officeDocument/2006/relationships/styles" Target="style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6.3809523809524" customWidth="1"/>
    <col min="2" max="2" width="23.5047619047619" customWidth="1"/>
    <col min="3" max="3" width="44.1333333333333" customWidth="1"/>
    <col min="4" max="26" width="12.6285714285714" customWidth="1"/>
  </cols>
  <sheetData>
    <row r="1" ht="15.75" customHeight="1" spans="1:6">
      <c r="A1" s="2" t="s">
        <v>0</v>
      </c>
      <c r="B1" s="3"/>
      <c r="C1" s="3"/>
      <c r="D1" s="3"/>
      <c r="E1" s="3"/>
      <c r="F1" s="3"/>
    </row>
    <row r="2" ht="15.75" customHeight="1" spans="1:6">
      <c r="A2" s="22"/>
      <c r="B2" s="22"/>
      <c r="C2" s="22"/>
      <c r="D2" s="22"/>
      <c r="E2" s="22"/>
      <c r="F2" s="22"/>
    </row>
    <row r="3" ht="15.75" customHeight="1" spans="1:6">
      <c r="A3" s="6" t="s">
        <v>1</v>
      </c>
      <c r="B3" s="29"/>
      <c r="C3" s="29"/>
      <c r="D3" s="29"/>
      <c r="E3" s="29"/>
      <c r="F3" s="29"/>
    </row>
    <row r="4" ht="15.75" customHeight="1" spans="1:6">
      <c r="A4" s="4" t="str">
        <f>IFERROR(__xludf.DUMMYFUNCTION("IMPORTRANGE('_Settings'!B3,""Modules!A4:L1000"")"),"Allocation")</f>
        <v>Allocation</v>
      </c>
      <c r="B4" s="22" t="str">
        <f>IFERROR(__xludf.DUMMYFUNCTION("""COMPUTED_VALUE"""),"Allocate")</f>
        <v>Allocate</v>
      </c>
      <c r="C4" s="22" t="str">
        <f>IFERROR(__xludf.DUMMYFUNCTION("""COMPUTED_VALUE"""),"undefined")</f>
        <v>undefined</v>
      </c>
      <c r="D4" s="22"/>
      <c r="E4" s="22"/>
      <c r="F4" s="22"/>
    </row>
    <row r="5" ht="15.75" customHeight="1" spans="1:6">
      <c r="A5" s="4" t="str">
        <f>IFERROR(__xludf.DUMMYFUNCTION("""COMPUTED_VALUE"""),"Allocation")</f>
        <v>Allocation</v>
      </c>
      <c r="B5" s="22" t="str">
        <f>IFERROR(__xludf.DUMMYFUNCTION("""COMPUTED_VALUE"""),"CheckAllocatedGroups")</f>
        <v>CheckAllocatedGroups</v>
      </c>
      <c r="C5" s="22" t="str">
        <f>IFERROR(__xludf.DUMMYFUNCTION("""COMPUTED_VALUE"""),"17_QBMicEOUihB2C-6dtz1DG3VfJj05Sk118TBLigcGQ")</f>
        <v>17_QBMicEOUihB2C-6dtz1DG3VfJj05Sk118TBLigcGQ</v>
      </c>
      <c r="D5" s="22"/>
      <c r="E5" s="22"/>
      <c r="F5" s="22"/>
    </row>
    <row r="6" ht="15.75" customHeight="1" spans="1:6">
      <c r="A6" s="22" t="str">
        <f>IFERROR(__xludf.DUMMYFUNCTION("""COMPUTED_VALUE"""),"Allocation")</f>
        <v>Allocation</v>
      </c>
      <c r="B6" s="22" t="str">
        <f>IFERROR(__xludf.DUMMYFUNCTION("""COMPUTED_VALUE"""),"GetDataAllocation")</f>
        <v>GetDataAllocation</v>
      </c>
      <c r="C6" s="22" t="str">
        <f>IFERROR(__xludf.DUMMYFUNCTION("""COMPUTED_VALUE"""),"1hVcm2AM6tpl7LAL1inbzLF7lPKrzoS8Hf_xEf0r0QvU")</f>
        <v>1hVcm2AM6tpl7LAL1inbzLF7lPKrzoS8Hf_xEf0r0QvU</v>
      </c>
      <c r="D6" s="22"/>
      <c r="E6" s="22"/>
      <c r="F6" s="22"/>
    </row>
    <row r="7" ht="15.75" customHeight="1" spans="1:6">
      <c r="A7" s="22" t="str">
        <f>IFERROR(__xludf.DUMMYFUNCTION("""COMPUTED_VALUE"""),"Allocation")</f>
        <v>Allocation</v>
      </c>
      <c r="B7" s="22" t="str">
        <f>IFERROR(__xludf.DUMMYFUNCTION("""COMPUTED_VALUE"""),"SelectAllocatedGroup")</f>
        <v>SelectAllocatedGroup</v>
      </c>
      <c r="C7" s="22" t="str">
        <f>IFERROR(__xludf.DUMMYFUNCTION("""COMPUTED_VALUE"""),"1xln1FAf_biSADXIchn7RxBiBbGXPZU2Qmiafzz63n_s")</f>
        <v>1xln1FAf_biSADXIchn7RxBiBbGXPZU2Qmiafzz63n_s</v>
      </c>
      <c r="D7" s="22"/>
      <c r="E7" s="22"/>
      <c r="F7" s="22"/>
    </row>
    <row r="8" ht="15.75" customHeight="1" spans="1:6">
      <c r="A8" s="22" t="str">
        <f>IFERROR(__xludf.DUMMYFUNCTION("""COMPUTED_VALUE"""),"Allocation")</f>
        <v>Allocation</v>
      </c>
      <c r="B8" s="22" t="str">
        <f>IFERROR(__xludf.DUMMYFUNCTION("""COMPUTED_VALUE"""),"EditTradesAllocated")</f>
        <v>EditTradesAllocated</v>
      </c>
      <c r="C8" s="22" t="str">
        <f>IFERROR(__xludf.DUMMYFUNCTION("""COMPUTED_VALUE"""),"1ZJZn5gs7a2MhaEr-ryFvr-6l8Lrpw49ZtdxRjUmj2lE")</f>
        <v>1ZJZn5gs7a2MhaEr-ryFvr-6l8Lrpw49ZtdxRjUmj2lE</v>
      </c>
      <c r="D8" s="22"/>
      <c r="E8" s="22"/>
      <c r="F8" s="22"/>
    </row>
    <row r="9" ht="15.75" customHeight="1" spans="1:6">
      <c r="A9" s="22" t="str">
        <f>IFERROR(__xludf.DUMMYFUNCTION("""COMPUTED_VALUE"""),"Allocation")</f>
        <v>Allocation</v>
      </c>
      <c r="B9" s="22" t="str">
        <f>IFERROR(__xludf.DUMMYFUNCTION("""COMPUTED_VALUE"""),"EditTradesUnallocated")</f>
        <v>EditTradesUnallocated</v>
      </c>
      <c r="C9" s="22" t="str">
        <f>IFERROR(__xludf.DUMMYFUNCTION("""COMPUTED_VALUE"""),"1OCGMVOHt03_eCmO7qiby_rf8bEME9TovKxz3Ntf7vgg")</f>
        <v>1OCGMVOHt03_eCmO7qiby_rf8bEME9TovKxz3Ntf7vgg</v>
      </c>
      <c r="D9" s="22"/>
      <c r="E9" s="22"/>
      <c r="F9" s="22"/>
    </row>
    <row r="10" ht="15.75" customHeight="1" spans="1:6">
      <c r="A10" s="22" t="str">
        <f>IFERROR(__xludf.DUMMYFUNCTION("""COMPUTED_VALUE"""),"Allocation")</f>
        <v>Allocation</v>
      </c>
      <c r="B10" s="22" t="str">
        <f>IFERROR(__xludf.DUMMYFUNCTION("""COMPUTED_VALUE"""),"Reallocate")</f>
        <v>Reallocate</v>
      </c>
      <c r="C10" s="22" t="str">
        <f>IFERROR(__xludf.DUMMYFUNCTION("""COMPUTED_VALUE"""),"undefined")</f>
        <v>undefined</v>
      </c>
      <c r="D10" s="22"/>
      <c r="E10" s="22"/>
      <c r="F10" s="22"/>
    </row>
    <row r="11" ht="15.75" customHeight="1" spans="1:6">
      <c r="A11" s="22" t="str">
        <f>IFERROR(__xludf.DUMMYFUNCTION("""COMPUTED_VALUE"""),"Blotter")</f>
        <v>Blotter</v>
      </c>
      <c r="B11" s="22" t="str">
        <f>IFERROR(__xludf.DUMMYFUNCTION("""COMPUTED_VALUE"""),"ReplaceFillsOnBlotter")</f>
        <v>ReplaceFillsOnBlotter</v>
      </c>
      <c r="C11" s="22" t="str">
        <f>IFERROR(__xludf.DUMMYFUNCTION("""COMPUTED_VALUE"""),"undefined")</f>
        <v>undefined</v>
      </c>
      <c r="D11" s="22"/>
      <c r="E11" s="22"/>
      <c r="F11" s="22"/>
    </row>
    <row r="12" ht="15.75" customHeight="1" spans="1:6">
      <c r="A12" s="22" t="str">
        <f>IFERROR(__xludf.DUMMYFUNCTION("""COMPUTED_VALUE"""),"Blotter")</f>
        <v>Blotter</v>
      </c>
      <c r="B12" s="22" t="str">
        <f>IFERROR(__xludf.DUMMYFUNCTION("""COMPUTED_VALUE"""),"CheckBlotter")</f>
        <v>CheckBlotter</v>
      </c>
      <c r="C12" s="22" t="str">
        <f>IFERROR(__xludf.DUMMYFUNCTION("""COMPUTED_VALUE"""),"11MUm_Wks-ynsuzwq0ucx9YCmN_Dlux4joQTI9V_vxSQ")</f>
        <v>11MUm_Wks-ynsuzwq0ucx9YCmN_Dlux4joQTI9V_vxSQ</v>
      </c>
      <c r="D12" s="22"/>
      <c r="E12" s="22"/>
      <c r="F12" s="22"/>
    </row>
    <row r="13" ht="15.75" customHeight="1" spans="1:6">
      <c r="A13" s="22" t="str">
        <f>IFERROR(__xludf.DUMMYFUNCTION("""COMPUTED_VALUE"""),"GeneralLedger")</f>
        <v>GeneralLedger</v>
      </c>
      <c r="B13" s="22" t="str">
        <f>IFERROR(__xludf.DUMMYFUNCTION("""COMPUTED_VALUE"""),"GetDataCash")</f>
        <v>GetDataCash</v>
      </c>
      <c r="C13" s="22" t="str">
        <f>IFERROR(__xludf.DUMMYFUNCTION("""COMPUTED_VALUE"""),"1HibVHHcuFf3loa0fNI6zJwXL0glRkLz9BQwFMwolEWs")</f>
        <v>1HibVHHcuFf3loa0fNI6zJwXL0glRkLz9BQwFMwolEWs</v>
      </c>
      <c r="D13" s="22"/>
      <c r="E13" s="22"/>
      <c r="F13" s="22"/>
    </row>
    <row r="14" ht="15.75" customHeight="1" spans="1:6">
      <c r="A14" s="22" t="str">
        <f>IFERROR(__xludf.DUMMYFUNCTION("""COMPUTED_VALUE"""),"GeneralLedger")</f>
        <v>GeneralLedger</v>
      </c>
      <c r="B14" s="22" t="str">
        <f>IFERROR(__xludf.DUMMYFUNCTION("""COMPUTED_VALUE"""),"EnterCashDividends")</f>
        <v>EnterCashDividends</v>
      </c>
      <c r="C14" s="22" t="str">
        <f>IFERROR(__xludf.DUMMYFUNCTION("""COMPUTED_VALUE"""),"1v_MUqtv78nxjsN8Cecn_LuQEABNjfo6irXnL4E327-E")</f>
        <v>1v_MUqtv78nxjsN8Cecn_LuQEABNjfo6irXnL4E327-E</v>
      </c>
      <c r="D14" s="22"/>
      <c r="E14" s="22"/>
      <c r="F14" s="22"/>
    </row>
    <row r="15" ht="15.75" customHeight="1" spans="1:6">
      <c r="A15" s="22" t="str">
        <f>IFERROR(__xludf.DUMMYFUNCTION("""COMPUTED_VALUE"""),"GeneralLedger")</f>
        <v>GeneralLedger</v>
      </c>
      <c r="B15" s="22" t="str">
        <f>IFERROR(__xludf.DUMMYFUNCTION("""COMPUTED_VALUE"""),"EnterNonTradingTransaction")</f>
        <v>EnterNonTradingTransaction</v>
      </c>
      <c r="C15" s="22" t="str">
        <f>IFERROR(__xludf.DUMMYFUNCTION("""COMPUTED_VALUE"""),"175-JCUqdn62shwwTBrtayS4sAfQdJI1es-MdB_afiEU")</f>
        <v>175-JCUqdn62shwwTBrtayS4sAfQdJI1es-MdB_afiEU</v>
      </c>
      <c r="D15" s="22"/>
      <c r="E15" s="22"/>
      <c r="F15" s="22"/>
    </row>
    <row r="16" ht="15.75" customHeight="1" spans="1:6">
      <c r="A16" s="22" t="str">
        <f>IFERROR(__xludf.DUMMYFUNCTION("""COMPUTED_VALUE"""),"GeneralLedger")</f>
        <v>GeneralLedger</v>
      </c>
      <c r="B16" s="22" t="str">
        <f>IFERROR(__xludf.DUMMYFUNCTION("""COMPUTED_VALUE"""),"VerifyCash")</f>
        <v>VerifyCash</v>
      </c>
      <c r="C16" s="22" t="str">
        <f>IFERROR(__xludf.DUMMYFUNCTION("""COMPUTED_VALUE"""),"17eDimySFNF45ncJKZNMN1WafcCPlObqPuWpiaELn4XI")</f>
        <v>17eDimySFNF45ncJKZNMN1WafcCPlObqPuWpiaELn4XI</v>
      </c>
      <c r="D16" s="22"/>
      <c r="E16" s="22"/>
      <c r="F16" s="22"/>
    </row>
    <row r="17" ht="15.75" customHeight="1" spans="1:6">
      <c r="A17" s="22" t="str">
        <f>IFERROR(__xludf.DUMMYFUNCTION("""COMPUTED_VALUE"""),"GeneralLedger")</f>
        <v>GeneralLedger</v>
      </c>
      <c r="B17" s="22" t="str">
        <f>IFERROR(__xludf.DUMMYFUNCTION("""COMPUTED_VALUE"""),"VerifyActivity")</f>
        <v>VerifyActivity</v>
      </c>
      <c r="C17" s="22" t="str">
        <f>IFERROR(__xludf.DUMMYFUNCTION("""COMPUTED_VALUE"""),"1Pfyi8724AHHPSpjL28hJwa2o4mQbLhWDX3ERQDqoMjM")</f>
        <v>1Pfyi8724AHHPSpjL28hJwa2o4mQbLhWDX3ERQDqoMjM</v>
      </c>
      <c r="D17" s="22"/>
      <c r="E17" s="22"/>
      <c r="F17" s="22"/>
    </row>
    <row r="18" ht="15.75" customHeight="1" spans="1:6">
      <c r="A18" s="22" t="str">
        <f>IFERROR(__xludf.DUMMYFUNCTION("""COMPUTED_VALUE"""),"GeneralLedger")</f>
        <v>GeneralLedger</v>
      </c>
      <c r="B18" s="22" t="str">
        <f>IFERROR(__xludf.DUMMYFUNCTION("""COMPUTED_VALUE"""),"VerifyTradingTransaction")</f>
        <v>VerifyTradingTransaction</v>
      </c>
      <c r="C18" s="22" t="str">
        <f>IFERROR(__xludf.DUMMYFUNCTION("""COMPUTED_VALUE"""),"1YVs2pxOwqxSOoRvY-L6RFBNX-V1Iq7YCTlJJjcZGOrk")</f>
        <v>1YVs2pxOwqxSOoRvY-L6RFBNX-V1Iq7YCTlJJjcZGOrk</v>
      </c>
      <c r="D18" s="22"/>
      <c r="E18" s="22"/>
      <c r="F18" s="22"/>
    </row>
    <row r="19" ht="15.75" customHeight="1" spans="1:6">
      <c r="A19" s="22" t="str">
        <f>IFERROR(__xludf.DUMMYFUNCTION("""COMPUTED_VALUE"""),"GeneralLedger")</f>
        <v>GeneralLedger</v>
      </c>
      <c r="B19" s="22" t="str">
        <f>IFERROR(__xludf.DUMMYFUNCTION("""COMPUTED_VALUE"""),"VerifyRevaluationData")</f>
        <v>VerifyRevaluationData</v>
      </c>
      <c r="C19" s="22" t="str">
        <f>IFERROR(__xludf.DUMMYFUNCTION("""COMPUTED_VALUE"""),"1B8hcujE70thHD0YsedA4IBNf7vn0AyfU4JVfJ_wJt20")</f>
        <v>1B8hcujE70thHD0YsedA4IBNf7vn0AyfU4JVfJ_wJt20</v>
      </c>
      <c r="D19" s="22"/>
      <c r="E19" s="22"/>
      <c r="F19" s="22"/>
    </row>
    <row r="20" ht="15.75" customHeight="1" spans="1:6">
      <c r="A20" s="22" t="str">
        <f>IFERROR(__xludf.DUMMYFUNCTION("""COMPUTED_VALUE"""),"CorporateAction")</f>
        <v>CorporateAction</v>
      </c>
      <c r="B20" s="22" t="str">
        <f>IFERROR(__xludf.DUMMYFUNCTION("""COMPUTED_VALUE"""),"CorporateAction")</f>
        <v>CorporateAction</v>
      </c>
      <c r="C20" s="22" t="str">
        <f>IFERROR(__xludf.DUMMYFUNCTION("""COMPUTED_VALUE"""),"1-W-RmffTnEi0hw7mazbNadwwiSRGoy1wrw8PHkuofYY")</f>
        <v>1-W-RmffTnEi0hw7mazbNadwwiSRGoy1wrw8PHkuofYY</v>
      </c>
      <c r="D20" s="22"/>
      <c r="E20" s="22"/>
      <c r="F20" s="22"/>
    </row>
    <row r="21" ht="15.75" customHeight="1" spans="1:6">
      <c r="A21" s="22" t="str">
        <f>IFERROR(__xludf.DUMMYFUNCTION("""COMPUTED_VALUE"""),"CreateTransaction")</f>
        <v>CreateTransaction</v>
      </c>
      <c r="B21" s="22" t="str">
        <f>IFERROR(__xludf.DUMMYFUNCTION("""COMPUTED_VALUE"""),"CreateTransaction")</f>
        <v>CreateTransaction</v>
      </c>
      <c r="C21" s="22" t="str">
        <f>IFERROR(__xludf.DUMMYFUNCTION("""COMPUTED_VALUE"""),"1esoF-RnVyz6ko5JWW7n-M62RtAdH_oBEGryr3tVxBD0")</f>
        <v>1esoF-RnVyz6ko5JWW7n-M62RtAdH_oBEGryr3tVxBD0</v>
      </c>
      <c r="D21" s="22"/>
      <c r="E21" s="22"/>
      <c r="F21" s="22"/>
    </row>
    <row r="22" ht="15.75" customHeight="1" spans="1:6">
      <c r="A22" s="22" t="str">
        <f>IFERROR(__xludf.DUMMYFUNCTION("""COMPUTED_VALUE"""),"DailyValuation")</f>
        <v>DailyValuation</v>
      </c>
      <c r="B22" s="22" t="str">
        <f>IFERROR(__xludf.DUMMYFUNCTION("""COMPUTED_VALUE"""),"UpdateBeta")</f>
        <v>UpdateBeta</v>
      </c>
      <c r="C22" s="22" t="str">
        <f>IFERROR(__xludf.DUMMYFUNCTION("""COMPUTED_VALUE"""),"1e5P2Fpj6vybIn_paB2b7Fy1UWvvzM_QLBcFFEnG_Sog")</f>
        <v>1e5P2Fpj6vybIn_paB2b7Fy1UWvvzM_QLBcFFEnG_Sog</v>
      </c>
      <c r="D22" s="22"/>
      <c r="E22" s="22"/>
      <c r="F22" s="22"/>
    </row>
    <row r="23" ht="15.75" customHeight="1" spans="1:6">
      <c r="A23" s="22" t="str">
        <f>IFERROR(__xludf.DUMMYFUNCTION("""COMPUTED_VALUE"""),"DailyValuation")</f>
        <v>DailyValuation</v>
      </c>
      <c r="B23" s="22" t="str">
        <f>IFERROR(__xludf.DUMMYFUNCTION("""COMPUTED_VALUE"""),"UpdateDailyCash")</f>
        <v>UpdateDailyCash</v>
      </c>
      <c r="C23" s="22" t="str">
        <f>IFERROR(__xludf.DUMMYFUNCTION("""COMPUTED_VALUE"""),"17wP7K35BVS-mcToVvypH9kFnKwLPjhX5cgZessf5L3U")</f>
        <v>17wP7K35BVS-mcToVvypH9kFnKwLPjhX5cgZessf5L3U</v>
      </c>
      <c r="D23" s="22"/>
      <c r="E23" s="22"/>
      <c r="F23" s="22"/>
    </row>
    <row r="24" ht="15.75" customHeight="1" spans="1:6">
      <c r="A24" s="22" t="str">
        <f>IFERROR(__xludf.DUMMYFUNCTION("""COMPUTED_VALUE"""),"DailyValuation")</f>
        <v>DailyValuation</v>
      </c>
      <c r="B24" s="22" t="str">
        <f>IFERROR(__xludf.DUMMYFUNCTION("""COMPUTED_VALUE"""),"UpdateForexConversion")</f>
        <v>UpdateForexConversion</v>
      </c>
      <c r="C24" s="22" t="str">
        <f>IFERROR(__xludf.DUMMYFUNCTION("""COMPUTED_VALUE"""),"1MhtifEhyzplKiAJ2B7ZBGDQykTLhDMrJnLNmWidmDfo")</f>
        <v>1MhtifEhyzplKiAJ2B7ZBGDQykTLhDMrJnLNmWidmDfo</v>
      </c>
      <c r="D24" s="22"/>
      <c r="E24" s="22"/>
      <c r="F24" s="22"/>
    </row>
    <row r="25" ht="15.75" customHeight="1" spans="1:6">
      <c r="A25" s="22" t="str">
        <f>IFERROR(__xludf.DUMMYFUNCTION("""COMPUTED_VALUE"""),"DailyValuation")</f>
        <v>DailyValuation</v>
      </c>
      <c r="B25" s="22" t="str">
        <f>IFERROR(__xludf.DUMMYFUNCTION("""COMPUTED_VALUE"""),"UpdateMarkPrice")</f>
        <v>UpdateMarkPrice</v>
      </c>
      <c r="C25" s="22" t="str">
        <f>IFERROR(__xludf.DUMMYFUNCTION("""COMPUTED_VALUE"""),"14ykotElrdKk_65x7FoOo3uy_l0cCpWTItQ6NjoPCFto")</f>
        <v>14ykotElrdKk_65x7FoOo3uy_l0cCpWTItQ6NjoPCFto</v>
      </c>
      <c r="D25" s="22"/>
      <c r="E25" s="22"/>
      <c r="F25" s="22"/>
    </row>
    <row r="26" ht="15.75" customHeight="1" spans="1:6">
      <c r="A26" s="22" t="str">
        <f>IFERROR(__xludf.DUMMYFUNCTION("""COMPUTED_VALUE"""),"Import")</f>
        <v>Import</v>
      </c>
      <c r="B26" s="22" t="str">
        <f>IFERROR(__xludf.DUMMYFUNCTION("""COMPUTED_VALUE"""),"Import")</f>
        <v>Import</v>
      </c>
      <c r="C26" s="22" t="str">
        <f>IFERROR(__xludf.DUMMYFUNCTION("""COMPUTED_VALUE"""),"16g9Kf7Sel1N9rpDdDYebIoVnUvEmGkdOIDvOEX1x5rs")</f>
        <v>16g9Kf7Sel1N9rpDdDYebIoVnUvEmGkdOIDvOEX1x5rs</v>
      </c>
      <c r="D26" s="22"/>
      <c r="E26" s="22"/>
      <c r="F26" s="22"/>
    </row>
    <row r="27" ht="15.75" customHeight="1" spans="1:6">
      <c r="A27" s="22" t="str">
        <f>IFERROR(__xludf.DUMMYFUNCTION("""COMPUTED_VALUE"""),"PortfolioManagement")</f>
        <v>PortfolioManagement</v>
      </c>
      <c r="B27" s="22" t="str">
        <f>IFERROR(__xludf.DUMMYFUNCTION("""COMPUTED_VALUE"""),"CheckDashboardPM")</f>
        <v>CheckDashboardPM</v>
      </c>
      <c r="C27" s="22" t="str">
        <f>IFERROR(__xludf.DUMMYFUNCTION("""COMPUTED_VALUE"""),"1dCUqkFToxbHWLcuEsup6xul17t7dk0JWXjsF_NqJWLs")</f>
        <v>1dCUqkFToxbHWLcuEsup6xul17t7dk0JWXjsF_NqJWLs</v>
      </c>
      <c r="D27" s="22"/>
      <c r="E27" s="22"/>
      <c r="F27" s="22"/>
    </row>
    <row r="28" ht="15.75" customHeight="1" spans="1:6">
      <c r="A28" s="22" t="str">
        <f>IFERROR(__xludf.DUMMYFUNCTION("""COMPUTED_VALUE"""),"PortfolioManagement")</f>
        <v>PortfolioManagement</v>
      </c>
      <c r="B28" s="22" t="str">
        <f>IFERROR(__xludf.DUMMYFUNCTION("""COMPUTED_VALUE"""),"CheckPortfolioManagement")</f>
        <v>CheckPortfolioManagement</v>
      </c>
      <c r="C28" s="22" t="str">
        <f>IFERROR(__xludf.DUMMYFUNCTION("""COMPUTED_VALUE"""),"1WrLR2m07rC0_5QRVRBEKQH-92mAfrcXJUuuIwELno2g")</f>
        <v>1WrLR2m07rC0_5QRVRBEKQH-92mAfrcXJUuuIwELno2g</v>
      </c>
      <c r="D28" s="22"/>
      <c r="E28" s="22"/>
      <c r="F28" s="22"/>
    </row>
    <row r="29" ht="15.75" customHeight="1" spans="1:6">
      <c r="A29" s="22" t="str">
        <f>IFERROR(__xludf.DUMMYFUNCTION("""COMPUTED_VALUE"""),"PortfolioManagement")</f>
        <v>PortfolioManagement</v>
      </c>
      <c r="B29" s="22" t="str">
        <f>IFERROR(__xludf.DUMMYFUNCTION("""COMPUTED_VALUE"""),"CheckPMLiveFeed")</f>
        <v>CheckPMLiveFeed</v>
      </c>
      <c r="C29" s="22" t="str">
        <f>IFERROR(__xludf.DUMMYFUNCTION("""COMPUTED_VALUE"""),"1QWSkwx0bAWzpqMe84BsrfOocoNHimoDayzIkgCxRsqc")</f>
        <v>1QWSkwx0bAWzpqMe84BsrfOocoNHimoDayzIkgCxRsqc</v>
      </c>
      <c r="D29" s="22"/>
      <c r="E29" s="22"/>
      <c r="F29" s="22"/>
    </row>
    <row r="30" ht="15.75" customHeight="1" spans="1:6">
      <c r="A30" s="22" t="str">
        <f>IFERROR(__xludf.DUMMYFUNCTION("""COMPUTED_VALUE"""),"PricingInput")</f>
        <v>PricingInput</v>
      </c>
      <c r="B30" s="22" t="str">
        <f>IFERROR(__xludf.DUMMYFUNCTION("""COMPUTED_VALUE"""),"PricingInput")</f>
        <v>PricingInput</v>
      </c>
      <c r="C30" s="22" t="str">
        <f>IFERROR(__xludf.DUMMYFUNCTION("""COMPUTED_VALUE"""),"16EMowOhNWCoGHg3C_AEEGTB-3SXFMg5x63-S3irnai0")</f>
        <v>16EMowOhNWCoGHg3C_AEEGTB-3SXFMg5x63-S3irnai0</v>
      </c>
      <c r="D30" s="22"/>
      <c r="E30" s="22"/>
      <c r="F30" s="22"/>
    </row>
    <row r="31" ht="15.75" customHeight="1" spans="1:6">
      <c r="A31" s="22" t="str">
        <f>IFERROR(__xludf.DUMMYFUNCTION("""COMPUTED_VALUE"""),"PricingInput")</f>
        <v>PricingInput</v>
      </c>
      <c r="B31" s="22" t="str">
        <f>IFERROR(__xludf.DUMMYFUNCTION("""COMPUTED_VALUE"""),"UpdateSharesOutstanding")</f>
        <v>UpdateSharesOutstanding</v>
      </c>
      <c r="C31" s="22" t="str">
        <f>IFERROR(__xludf.DUMMYFUNCTION("""COMPUTED_VALUE"""),"1q9dRSKiXfUcfgc5w_m-vMSRuUWcHC5mxzB_SFqqFzJk")</f>
        <v>1q9dRSKiXfUcfgc5w_m-vMSRuUWcHC5mxzB_SFqqFzJk</v>
      </c>
      <c r="D31" s="22"/>
      <c r="E31" s="22"/>
      <c r="F31" s="22"/>
    </row>
    <row r="32" ht="15.75" customHeight="1" spans="1:6">
      <c r="A32" s="22" t="str">
        <f>IFERROR(__xludf.DUMMYFUNCTION("""COMPUTED_VALUE"""),"SymbolLookup")</f>
        <v>SymbolLookup</v>
      </c>
      <c r="B32" s="22" t="str">
        <f>IFERROR(__xludf.DUMMYFUNCTION("""COMPUTED_VALUE"""),"VerifySymbolLookUp")</f>
        <v>VerifySymbolLookUp</v>
      </c>
      <c r="C32" s="22" t="str">
        <f>IFERROR(__xludf.DUMMYFUNCTION("""COMPUTED_VALUE"""),"1lP1jJVwyLgSReroORPW2qHMX-c1ylMBmX8jxb7m4wfI")</f>
        <v>1lP1jJVwyLgSReroORPW2qHMX-c1ylMBmX8jxb7m4wfI</v>
      </c>
      <c r="D32" s="22"/>
      <c r="E32" s="22"/>
      <c r="F32" s="22"/>
    </row>
    <row r="33" ht="15.75" customHeight="1" spans="1:6">
      <c r="A33" s="22" t="str">
        <f>IFERROR(__xludf.DUMMYFUNCTION("""COMPUTED_VALUE"""),"SymbolLookup")</f>
        <v>SymbolLookup</v>
      </c>
      <c r="B33" s="22" t="str">
        <f>IFERROR(__xludf.DUMMYFUNCTION("""COMPUTED_VALUE"""),"SymbolLookupFromTT")</f>
        <v>SymbolLookupFromTT</v>
      </c>
      <c r="C33" s="22" t="str">
        <f>IFERROR(__xludf.DUMMYFUNCTION("""COMPUTED_VALUE"""),"1Ws0Hw39H3ULaKM5Cl_p6p-caLwRm8T0L43ngVqjHMnM")</f>
        <v>1Ws0Hw39H3ULaKM5Cl_p6p-caLwRm8T0L43ngVqjHMnM</v>
      </c>
      <c r="D33" s="22"/>
      <c r="E33" s="22"/>
      <c r="F33" s="22"/>
    </row>
    <row r="34" ht="15.75" customHeight="1" spans="1:3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 spans="1:3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 spans="1:3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 spans="1:3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 spans="1:3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 spans="1:3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 spans="1:3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 spans="1:3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 spans="1:3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 spans="1:3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 spans="1:3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 spans="1:3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 spans="1:3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 spans="1:3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 spans="1:3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 spans="1:3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 spans="1:3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 spans="1:3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 spans="1:3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 spans="1:3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 spans="1:3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 spans="1:3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 spans="1:3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 spans="1:3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 spans="1:3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 spans="1:3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 spans="1:3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 spans="1:3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 spans="1:3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 spans="1:3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 spans="1:3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 spans="1:3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 spans="1:3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 spans="1:3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 spans="1:3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 spans="1:3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 spans="1:3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 spans="1:3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 spans="1:3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 spans="1:3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 spans="1:3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 spans="1:3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 spans="1:3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 spans="1:3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 spans="1:3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 spans="1:3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 spans="1:3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 spans="1:3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 spans="1:3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 spans="1:3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 spans="1:3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 spans="1:3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 spans="1:3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 spans="1:3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 spans="1:3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 spans="1:3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 spans="1:3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 spans="1:3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 spans="1:3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 spans="1:3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 spans="1:3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 spans="1:3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 spans="1:3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 spans="1:3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 spans="1:3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 spans="1:3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 spans="1:3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 spans="1:3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 spans="1:3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 spans="1:3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 spans="1:3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 spans="1:3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 spans="1:3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 spans="1:3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 spans="1:3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 spans="1:3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 spans="1:3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 spans="1:3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 spans="1:3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 spans="1:3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 spans="1:3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 spans="1:3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 spans="1:3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 spans="1:3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 spans="1:3">
      <c r="A118" s="22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 spans="1:3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 spans="1:3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 spans="1:3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 spans="1:3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 spans="1:3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 spans="1:3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 spans="1:3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 spans="1:3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 spans="1:3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 spans="1:3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 spans="1:3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 spans="1:3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 spans="1:3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 spans="1:3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 spans="1:3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 spans="1:3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 spans="1:3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 spans="1:3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 spans="1:3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 spans="1:3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 spans="1:3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 spans="1:3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 spans="1:3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 spans="1:3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 spans="1:3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 spans="1:3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 spans="1:3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 spans="1:3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 spans="1:3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 spans="1:3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 spans="1:3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 spans="1:3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 spans="1:3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 spans="1:3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 spans="1:3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 spans="1:3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 spans="1:3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 spans="1:3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 spans="1:3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 spans="1:3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 spans="1:3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 spans="1:3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 spans="1:3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 spans="1:3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 spans="1:3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 spans="1:3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 spans="1:3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 spans="1:3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 spans="1:3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 spans="1:3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 spans="1:3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 spans="1:3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 spans="1:3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 spans="1:3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 spans="1:3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 spans="1:3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 spans="1:3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 spans="1:3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 spans="1:3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 spans="1:3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 spans="1:3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 spans="1:3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 spans="1:3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 spans="1:3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 spans="1:3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 spans="1:3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 spans="1:3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 spans="1:3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 spans="1:3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 spans="1:3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 spans="1:3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 spans="1:3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 spans="1:3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 spans="1:3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 spans="1:3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 spans="1:3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 spans="1:3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 spans="1:3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 spans="1:3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 spans="1:3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 spans="1:3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 spans="1:3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 spans="1:3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 spans="1:3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 spans="1:3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 spans="1:3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 spans="1:3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 spans="1:3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 spans="1:3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 spans="1:3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 spans="1:3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 spans="1:3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 spans="1:3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 spans="1:3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 spans="1:3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 spans="1:3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 spans="1:3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 spans="1:3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 spans="1:3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 spans="1:3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 spans="1:3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 spans="1:3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 spans="1:3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 spans="1:3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 spans="1:3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 spans="1:3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 spans="1:3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 spans="1:3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 spans="1:3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 spans="1:3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 spans="1:3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 spans="1:3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 spans="1:3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 spans="1:3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 spans="1:3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 spans="1:3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 spans="1:3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 spans="1:3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 spans="1:3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 spans="1:3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 spans="1:3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 spans="1:3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 spans="1:3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 spans="1:3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 spans="1:3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 spans="1:3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 spans="1:3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 spans="1:3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 spans="1:3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 spans="1:3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 spans="1:3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 spans="1:3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 spans="1:3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 spans="1:3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 spans="1:3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 spans="1:3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 spans="1:3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 spans="1:3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 spans="1:3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 spans="1:3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 spans="1:3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 spans="1:3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 spans="1:3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 spans="1:3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 spans="1:3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 spans="1:3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 spans="1:3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 spans="1:3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 spans="1:3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 spans="1:3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 spans="1:3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 spans="1:3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 spans="1:3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 spans="1:3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 spans="1:3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 spans="1:3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 spans="1:3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 spans="1:3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 spans="1:3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 spans="1:3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 spans="1:3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 spans="1:3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 spans="1:3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 spans="1:3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 spans="1:3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 spans="1:3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 spans="1:3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 spans="1:3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 spans="1:3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 spans="1:3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 spans="1:3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 spans="1:3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 spans="1:3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 spans="1:3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 spans="1:3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 spans="1:3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 spans="1:3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 spans="1:3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 spans="1:3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 spans="1:3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 spans="1:3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 spans="1:3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 spans="1:3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 spans="1:3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 spans="1:3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 spans="1:3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 spans="1:3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 spans="1:3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 spans="1:3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 spans="1:3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 spans="1:3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 spans="1:3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 spans="1:3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 spans="1:3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 spans="1:3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 spans="1:3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 spans="1:3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 spans="1:3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 spans="1:3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 spans="1:3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 spans="1:3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 spans="1:3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 spans="1:3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 spans="1:3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 spans="1:3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 spans="1:3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 spans="1:3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 spans="1:3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 spans="1:3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 spans="1:3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 spans="1:3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 spans="1:3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 spans="1:3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 spans="1:3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 spans="1:3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 spans="1:3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 spans="1:3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 spans="1:3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 spans="1:3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 spans="1:3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 spans="1:3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 spans="1:3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 spans="1:3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 spans="1:3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 spans="1:3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 spans="1:3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 spans="1:3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 spans="1:3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 spans="1:3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 spans="1:3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 spans="1:3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 spans="1:3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 spans="1:3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 spans="1:3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 spans="1:3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 spans="1:3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 spans="1:3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 spans="1:3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 spans="1:3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 spans="1:3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 spans="1:3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 spans="1:3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 spans="1:3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 spans="1:3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 spans="1:3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 spans="1:3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 spans="1:3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 spans="1:3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 spans="1:3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 spans="1:3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 spans="1:3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 spans="1:3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 spans="1:3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 spans="1:3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 spans="1:3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 spans="1:3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 spans="1:3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 spans="1:3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 spans="1:3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 spans="1:3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 spans="1:3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 spans="1:3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 spans="1:3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 spans="1:3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 spans="1:3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 spans="1:3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 spans="1:3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 spans="1:3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 spans="1:3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 spans="1:3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 spans="1:3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 spans="1:3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 spans="1:3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 spans="1:3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 spans="1:3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 spans="1:3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 spans="1:3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 spans="1:3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 spans="1:3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 spans="1:3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 spans="1:3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 spans="1:3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 spans="1:3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 spans="1:3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 spans="1:3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 spans="1:3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 spans="1:3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 spans="1:3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 spans="1:3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 spans="1:3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 spans="1:3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 spans="1:3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 spans="1:3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 spans="1:3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 spans="1:3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 spans="1:3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 spans="1:3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 spans="1:3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 spans="1:3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 spans="1:3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 spans="1:3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 spans="1:3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 spans="1:3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 spans="1:3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 spans="1:3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 spans="1:3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 spans="1:3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 spans="1:3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 spans="1:3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 spans="1:3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 spans="1:3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 spans="1:3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 spans="1:3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 spans="1:3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 spans="1:3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 spans="1:3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 spans="1:3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 spans="1:3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 spans="1:3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 spans="1:3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 spans="1:3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 spans="1:3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 spans="1:3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 spans="1:3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 spans="1:3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 spans="1:3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 spans="1:3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 spans="1:3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 spans="1:3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 spans="1:3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 spans="1:3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 spans="1:3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 spans="1:3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 spans="1:3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 spans="1:3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 spans="1:3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 spans="1:3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 spans="1:3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 spans="1:3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 spans="1:3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 spans="1:3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 spans="1:3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 spans="1:3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 spans="1:3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 spans="1:3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 spans="1:3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 spans="1:3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 spans="1:3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 spans="1:3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 spans="1:3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 spans="1:3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 spans="1:3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 spans="1:3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 spans="1:3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 spans="1:3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 spans="1:3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 spans="1:3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 spans="1:3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 spans="1:3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 spans="1:3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 spans="1:3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 spans="1:3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 spans="1:3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 spans="1:3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 spans="1:3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 spans="1:3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 spans="1:3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 spans="1:3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 spans="1:3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 spans="1:3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 spans="1:3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 spans="1:3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 spans="1:3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 spans="1:3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 spans="1:3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 spans="1:3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 spans="1:3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 spans="1:3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 spans="1:3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 spans="1:3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 spans="1:3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 spans="1:3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 spans="1:3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 spans="1:3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 spans="1:3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 spans="1:3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 spans="1:3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 spans="1:3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 spans="1:3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 spans="1:3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 spans="1:3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 spans="1:3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 spans="1:3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 spans="1:3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 spans="1:3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 spans="1:3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 spans="1:3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 spans="1:3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 spans="1:3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 spans="1:3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 spans="1:3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 spans="1:3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 spans="1:3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 spans="1:3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 spans="1:3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 spans="1:3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 spans="1:3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 spans="1:3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 spans="1:3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 spans="1:3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 spans="1:3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 spans="1:3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 spans="1:3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 spans="1:3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 spans="1:3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 spans="1:3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 spans="1:3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 spans="1:3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 spans="1:3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 spans="1:3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 spans="1:3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 spans="1:3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 spans="1:3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 spans="1:3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 spans="1:3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 spans="1:3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 spans="1:3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 spans="1:3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 spans="1:3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 spans="1:3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 spans="1:3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 spans="1:3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 spans="1:3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 spans="1:3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 spans="1:3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 spans="1:3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 spans="1:3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 spans="1:3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 spans="1:3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 spans="1:3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 spans="1:3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 spans="1:3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 spans="1:3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 spans="1:3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 spans="1:3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 spans="1:3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 spans="1:3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 spans="1:3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 spans="1:3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 spans="1:3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 spans="1:3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 spans="1:3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 spans="1:3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 spans="1:3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 spans="1:3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 spans="1:3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 spans="1:3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 spans="1:3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 spans="1:3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 spans="1:3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 spans="1:3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 spans="1:3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 spans="1:3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 spans="1:3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 spans="1:3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 spans="1:3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 spans="1:3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 spans="1:3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 spans="1:3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 spans="1:3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 spans="1:3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 spans="1:3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 spans="1:3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 spans="1:3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 spans="1:3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:C1"/>
    </sheetView>
  </sheetViews>
  <sheetFormatPr defaultColWidth="15.1333333333333" defaultRowHeight="15" customHeight="1" outlineLevelCol="2"/>
  <cols>
    <col min="1" max="1" width="21.247619047619" customWidth="1"/>
    <col min="2" max="2" width="42.6285714285714" customWidth="1"/>
    <col min="3" max="23" width="12.6285714285714" customWidth="1"/>
  </cols>
  <sheetData>
    <row r="1" ht="15.75" customHeight="1" spans="1:3">
      <c r="A1" s="28" t="s">
        <v>2</v>
      </c>
      <c r="B1" s="3"/>
      <c r="C1" s="3"/>
    </row>
    <row r="2" ht="15.75" customHeight="1" spans="1:3">
      <c r="A2" s="4"/>
      <c r="B2" s="4"/>
      <c r="C2" s="4"/>
    </row>
    <row r="3" ht="15.75" customHeight="1" spans="1:3">
      <c r="A3" s="6" t="s">
        <v>3</v>
      </c>
      <c r="B3" s="4" t="s">
        <v>4</v>
      </c>
      <c r="C3" s="4"/>
    </row>
    <row r="4" ht="15.75" customHeight="1" spans="1:3">
      <c r="A4" s="6" t="s">
        <v>5</v>
      </c>
      <c r="B4" s="4" t="s">
        <v>6</v>
      </c>
      <c r="C4" s="4"/>
    </row>
    <row r="5" ht="15.75" customHeight="1" spans="1:3">
      <c r="A5" s="7"/>
      <c r="B5" s="4"/>
      <c r="C5" s="4"/>
    </row>
    <row r="6" ht="15.75" customHeight="1" spans="1:3">
      <c r="A6" s="7"/>
      <c r="B6" s="4"/>
      <c r="C6" s="4"/>
    </row>
    <row r="7" ht="15.75" customHeight="1" spans="1:3">
      <c r="A7" s="7"/>
      <c r="B7" s="4"/>
      <c r="C7" s="4"/>
    </row>
    <row r="8" ht="15.75" customHeight="1" spans="1:3">
      <c r="A8" s="7"/>
      <c r="B8" s="4"/>
      <c r="C8" s="4"/>
    </row>
    <row r="9" ht="15.75" customHeight="1" spans="1:3">
      <c r="A9" s="7"/>
      <c r="B9" s="4"/>
      <c r="C9" s="4"/>
    </row>
    <row r="10" ht="15.75" customHeight="1" spans="1:3">
      <c r="A10" s="7"/>
      <c r="B10" s="4"/>
      <c r="C10" s="4"/>
    </row>
    <row r="11" ht="15.75" customHeight="1" spans="1:3">
      <c r="A11" s="7"/>
      <c r="B11" s="4"/>
      <c r="C11" s="4"/>
    </row>
    <row r="12" ht="15.75" customHeight="1" spans="1:3">
      <c r="A12" s="7"/>
      <c r="B12" s="4"/>
      <c r="C12" s="4"/>
    </row>
    <row r="13" ht="15.75" customHeight="1" spans="1:3">
      <c r="A13" s="7"/>
      <c r="B13" s="4"/>
      <c r="C13" s="4"/>
    </row>
    <row r="14" ht="15.75" customHeight="1" spans="1:3">
      <c r="A14" s="7"/>
      <c r="B14" s="4"/>
      <c r="C14" s="4"/>
    </row>
    <row r="15" ht="15.75" customHeight="1" spans="1:3">
      <c r="A15" s="7"/>
      <c r="B15" s="4"/>
      <c r="C15" s="4"/>
    </row>
    <row r="16" ht="15.75" customHeight="1" spans="1:3">
      <c r="A16" s="7"/>
      <c r="B16" s="4"/>
      <c r="C16" s="4"/>
    </row>
    <row r="17" ht="15.75" customHeight="1" spans="1:3">
      <c r="A17" s="7"/>
      <c r="B17" s="4"/>
      <c r="C17" s="4"/>
    </row>
    <row r="18" ht="15.75" customHeight="1" spans="1:3">
      <c r="A18" s="7"/>
      <c r="B18" s="4"/>
      <c r="C18" s="4"/>
    </row>
    <row r="19" ht="15.75" customHeight="1" spans="1:3">
      <c r="A19" s="7"/>
      <c r="B19" s="4"/>
      <c r="C19" s="4"/>
    </row>
    <row r="20" ht="15.75" customHeight="1" spans="1:3">
      <c r="A20" s="7"/>
      <c r="B20" s="4"/>
      <c r="C20" s="4"/>
    </row>
    <row r="21" ht="15.75" customHeight="1" spans="1:3">
      <c r="A21" s="7"/>
      <c r="B21" s="4"/>
      <c r="C21" s="4"/>
    </row>
    <row r="22" ht="15.75" customHeight="1" spans="1:3">
      <c r="A22" s="7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0"/>
  <sheetViews>
    <sheetView workbookViewId="0">
      <selection activeCell="A1" sqref="A1:F1"/>
    </sheetView>
  </sheetViews>
  <sheetFormatPr defaultColWidth="15.1333333333333" defaultRowHeight="15" customHeight="1"/>
  <cols>
    <col min="4" max="4" width="33.6285714285714" customWidth="1"/>
  </cols>
  <sheetData>
    <row r="1" customHeight="1" spans="1:6">
      <c r="A1" s="2" t="s">
        <v>7</v>
      </c>
      <c r="B1" s="3"/>
      <c r="C1" s="3"/>
      <c r="D1" s="3"/>
      <c r="E1" s="3"/>
      <c r="F1" s="3"/>
    </row>
    <row r="2" customHeight="1" spans="1:6">
      <c r="A2" s="22"/>
      <c r="B2" s="22"/>
      <c r="C2" s="22"/>
      <c r="D2" s="22"/>
      <c r="E2" s="22"/>
      <c r="F2" s="22"/>
    </row>
    <row r="3" customHeight="1" spans="1:26">
      <c r="A3" s="6" t="s">
        <v>8</v>
      </c>
      <c r="B3" s="26" t="s">
        <v>9</v>
      </c>
      <c r="C3" s="26" t="s">
        <v>10</v>
      </c>
      <c r="D3" s="26"/>
      <c r="E3" s="26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customHeight="1" spans="1: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 customHeight="1" spans="1:4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 customHeight="1" spans="1:4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 customHeight="1" spans="1:4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 customHeight="1" spans="1:4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 customHeight="1" spans="1:4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 customHeight="1" spans="1:4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 customHeight="1" spans="1:4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 customHeight="1" spans="1:4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 customHeight="1" spans="1:4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 customHeight="1" spans="1: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 customHeight="1" spans="1:4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 customHeight="1" spans="1:4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 customHeight="1" spans="1:4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 customHeight="1" spans="1:4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 customHeight="1" spans="1:4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 customHeight="1" spans="1:4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13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IFERROR(__xludf.DUMMYFUNCTION("IF(C3="""","""",Transpose(IMPORTRANGE('_Settings'!$B$3,C3&amp;""!A4:A1000"")))"),"SetTTUIPreferences")</f>
        <v>SetTTUIPreferences</v>
      </c>
      <c r="C4" s="8" t="str">
        <f>IFERROR(__xludf.DUMMYFUNCTION("""COMPUTED_VALUE"""),"TTPermissionLevel")</f>
        <v>TTPermissionLevel</v>
      </c>
      <c r="D4" s="8" t="str">
        <f>IFERROR(__xludf.DUMMYFUNCTION("""COMPUTED_VALUE"""),"SetCheckSide")</f>
        <v>SetCheckSide</v>
      </c>
      <c r="E4" s="8" t="str">
        <f>IFERROR(__xludf.DUMMYFUNCTION("""COMPUTED_VALUE"""),"SetRollover")</f>
        <v>SetRollover</v>
      </c>
      <c r="F4" s="8" t="str">
        <f>IFERROR(__xludf.DUMMYFUNCTION("""COMPUTED_VALUE"""),"SetActive")</f>
        <v>SetActive</v>
      </c>
      <c r="G4" s="8" t="str">
        <f>IFERROR(__xludf.DUMMYFUNCTION("""COMPUTED_VALUE"""),"SetThirdPartyFormat")</f>
        <v>SetThirdPartyFormat</v>
      </c>
      <c r="H4" s="8" t="str">
        <f>IFERROR(__xludf.DUMMYFUNCTION("""COMPUTED_VALUE"""),"SetTradingComplianceRules")</f>
        <v>SetTradingComplianceRules</v>
      </c>
      <c r="I4" s="8" t="str">
        <f>IFERROR(__xludf.DUMMYFUNCTION("""COMPUTED_VALUE"""),"EnableBreakdownRealizedPNL")</f>
        <v>EnableBreakdownRealizedPNL</v>
      </c>
      <c r="J4" s="8" t="str">
        <f>IFERROR(__xludf.DUMMYFUNCTION("""COMPUTED_VALUE"""),"SetTTGeneralPreferences")</f>
        <v>SetTTGeneralPreferences</v>
      </c>
      <c r="K4" s="8" t="str">
        <f>IFERROR(__xludf.DUMMYFUNCTION("""COMPUTED_VALUE"""),"SetDollarAmountPermission")</f>
        <v>SetDollarAmountPermission</v>
      </c>
      <c r="L4" s="8" t="str">
        <f>IFERROR(__xludf.DUMMYFUNCTION("""COMPUTED_VALUE"""),"EnableDisableModule")</f>
        <v>EnableDisableModule</v>
      </c>
      <c r="M4" s="8" t="str">
        <f>IFERROR(__xludf.DUMMYFUNCTION("""COMPUTED_VALUE"""),"IsImportOverrideOnShortLocate")</f>
        <v>IsImportOverrideOnShortLocate</v>
      </c>
      <c r="N4" s="8" t="str">
        <f>IFERROR(__xludf.DUMMYFUNCTION("""COMPUTED_VALUE"""),"SetShortLocateStructures")</f>
        <v>SetShortLocateStructures</v>
      </c>
      <c r="O4" s="8" t="str">
        <f>IFERROR(__xludf.DUMMYFUNCTION("""COMPUTED_VALUE"""),"SetComplianceAlert")</f>
        <v>SetComplianceAlert</v>
      </c>
      <c r="P4" s="14" t="str">
        <f>IFERROR(__xludf.DUMMYFUNCTION("""COMPUTED_VALUE"""),"UpdateExpirationDate")</f>
        <v>UpdateExpirationDate</v>
      </c>
      <c r="Q4" s="14" t="str">
        <f>IFERROR(__xludf.DUMMYFUNCTION("""COMPUTED_VALUE"""),"RenameMasterStrategy")</f>
        <v>RenameMasterStrategy</v>
      </c>
      <c r="R4" s="14" t="str">
        <f>IFERROR(__xludf.DUMMYFUNCTION("""COMPUTED_VALUE"""),"SetTTUIAdminPreferences")</f>
        <v>SetTTUIAdminPreferences</v>
      </c>
      <c r="S4" s="14" t="str">
        <f>IFERROR(__xludf.DUMMYFUNCTION("""COMPUTED_VALUE"""),"UpdateSecFee")</f>
        <v>UpdateSecFee</v>
      </c>
      <c r="T4" s="14" t="str">
        <f>IFERROR(__xludf.DUMMYFUNCTION("""COMPUTED_VALUE"""),"UpdateFee")</f>
        <v>UpdateFee</v>
      </c>
      <c r="U4" s="14" t="str">
        <f>IFERROR(__xludf.DUMMYFUNCTION("""COMPUTED_VALUE"""),"RevertingSMSharesOutValue")</f>
        <v>RevertingSMSharesOutValue</v>
      </c>
      <c r="V4" s="14" t="str">
        <f>IFERROR(__xludf.DUMMYFUNCTION("""COMPUTED_VALUE"""),"SetTTUIAdminPreferences")</f>
        <v>SetTTUIAdminPreferences</v>
      </c>
      <c r="W4" s="14" t="str">
        <f>IFERROR(__xludf.DUMMYFUNCTION("""COMPUTED_VALUE"""),"RestartSQL")</f>
        <v>RestartSQL</v>
      </c>
      <c r="X4" s="14" t="str">
        <f>IFERROR(__xludf.DUMMYFUNCTION("""COMPUTED_VALUE"""),"TradeAuditCleanUp")</f>
        <v>TradeAuditCleanUp</v>
      </c>
      <c r="Y4" s="14" t="str">
        <f>IFERROR(__xludf.DUMMYFUNCTION("""COMPUTED_VALUE"""),"DeleteSymbolFromSM")</f>
        <v>DeleteSymbolFromSM</v>
      </c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IFERROR(__xludf.DUMMYFUNCTION("""COMPUTED_VALUE"""),"OverSellTradingRule")</f>
        <v>OverSellTradingRule</v>
      </c>
      <c r="C5" s="10" t="str">
        <f>IFERROR(__xludf.DUMMYFUNCTION("""COMPUTED_VALUE"""),"OverBuyTradingRule")</f>
        <v>OverBuyTradingRule</v>
      </c>
      <c r="D5" s="10" t="str">
        <f>IFERROR(__xludf.DUMMYFUNCTION("""COMPUTED_VALUE"""),"FatFingerTradingRule")</f>
        <v>FatFingerTradingRule</v>
      </c>
      <c r="E5" s="10" t="str">
        <f>IFERROR(__xludf.DUMMYFUNCTION("""COMPUTED_VALUE"""),"UnallocatedTradeAlert")</f>
        <v>UnallocatedTradeAlert</v>
      </c>
      <c r="F5" s="10" t="str">
        <f>IFERROR(__xludf.DUMMYFUNCTION("""COMPUTED_VALUE"""),"DuplicateTradeAlert")</f>
        <v>DuplicateTradeAlert</v>
      </c>
      <c r="G5" s="10" t="str">
        <f>IFERROR(__xludf.DUMMYFUNCTION("""COMPUTED_VALUE"""),"PendingNewOrderAlert")</f>
        <v>PendingNewOrderAlert</v>
      </c>
      <c r="H5" s="10" t="str">
        <f>IFERROR(__xludf.DUMMYFUNCTION("""COMPUTED_VALUE"""),"FatFingerPercent")</f>
        <v>FatFingerPercent</v>
      </c>
      <c r="I5" s="10" t="str">
        <f>IFERROR(__xludf.DUMMYFUNCTION("""COMPUTED_VALUE"""),"DuplicateTradeAlertTime")</f>
        <v>DuplicateTradeAlertTime</v>
      </c>
      <c r="J5" s="10" t="str">
        <f>IFERROR(__xludf.DUMMYFUNCTION("""COMPUTED_VALUE"""),"PendingNewOrderAlertTime")</f>
        <v>PendingNewOrderAlertTime</v>
      </c>
      <c r="K5" s="10" t="str">
        <f>IFERROR(__xludf.DUMMYFUNCTION("""COMPUTED_VALUE"""),"FatFingerAccountOrMasterFund")</f>
        <v>FatFingerAccountOrMasterFund</v>
      </c>
      <c r="L5" s="10" t="str">
        <f>IFERROR(__xludf.DUMMYFUNCTION("""COMPUTED_VALUE"""),"IsAbsoluteAmountOrDefinePercent")</f>
        <v>IsAbsoluteAmountOrDefinePercent</v>
      </c>
      <c r="M5" s="10" t="str">
        <f>IFERROR(__xludf.DUMMYFUNCTION("""COMPUTED_VALUE"""),"IsInMarketIncluded")</f>
        <v>IsInMarketIncluded</v>
      </c>
      <c r="N5" s="10" t="str">
        <f>IFERROR(__xludf.DUMMYFUNCTION("""COMPUTED_VALUE"""),"IsSharesOutstandingRule")</f>
        <v>IsSharesOutstandingRule</v>
      </c>
      <c r="O5" s="10" t="str">
        <f>IFERROR(__xludf.DUMMYFUNCTION("""COMPUTED_VALUE"""),"SharesOutstandingPercent")</f>
        <v>SharesOutstandingPercent</v>
      </c>
      <c r="P5" s="10" t="str">
        <f>IFERROR(__xludf.DUMMYFUNCTION("""COMPUTED_VALUE"""),"SharesOutstandingAccountOrMF")</f>
        <v>SharesOutstandingAccountOrMF</v>
      </c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19"/>
      <c r="B6" s="25" t="b">
        <v>1</v>
      </c>
      <c r="C6" s="25" t="b">
        <v>1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17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IFERROR(__xludf.DUMMYFUNCTION("""COMPUTED_VALUE"""),"PreferenceName")</f>
        <v>PreferenceName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22"/>
      <c r="B6" s="19" t="s">
        <v>18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str">
        <f>VLOOKUP($E$3,_MasterData!B4:D1000,3,FALSE)</f>
        <v>1svq-61dzaRHeNDz1TSSUPXQbbN3Mi4bhNQabvGVoz2c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19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IFERROR(__xludf.DUMMYFUNCTION("""COMPUTED_VALUE"""),"PreferenceName")</f>
        <v>PreferenceName</v>
      </c>
      <c r="C5" s="10" t="str">
        <f>IFERROR(__xludf.DUMMYFUNCTION("""COMPUTED_VALUE"""),"AccountName")</f>
        <v>AccountName</v>
      </c>
      <c r="D5" s="10" t="str">
        <f>IFERROR(__xludf.DUMMYFUNCTION("""COMPUTED_VALUE"""),"Percentage")</f>
        <v>Percentage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19"/>
      <c r="B6" s="19" t="s">
        <v>18</v>
      </c>
      <c r="C6" s="19" t="s">
        <v>20</v>
      </c>
      <c r="D6" s="20">
        <v>50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 spans="1:154">
      <c r="A7" s="22"/>
      <c r="B7" s="22" t="s">
        <v>18</v>
      </c>
      <c r="C7" s="22" t="s">
        <v>21</v>
      </c>
      <c r="D7" s="24">
        <v>50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str">
        <f>VLOOKUP($E$3,_MasterData!B4:D1000,3,FALSE)</f>
        <v>1rt8inh4u7qHUhCAFSaa2kmPKLkqeh3uljucYajdto60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22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IFERROR(__xludf.DUMMYFUNCTION("""COMPUTED_VALUE"""),"PreferenceName")</f>
        <v>PreferenceName</v>
      </c>
      <c r="C5" s="10" t="str">
        <f>IFERROR(__xludf.DUMMYFUNCTION("""COMPUTED_VALUE"""),"AccountName")</f>
        <v>AccountName</v>
      </c>
      <c r="D5" s="10" t="str">
        <f>IFERROR(__xludf.DUMMYFUNCTION("""COMPUTED_VALUE"""),"StrategyName")</f>
        <v>StrategyName</v>
      </c>
      <c r="E5" s="10" t="str">
        <f>IFERROR(__xludf.DUMMYFUNCTION("""COMPUTED_VALUE"""),"Percentage")</f>
        <v>Percentage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19"/>
      <c r="B6" s="19" t="s">
        <v>18</v>
      </c>
      <c r="C6" s="19" t="s">
        <v>20</v>
      </c>
      <c r="D6" s="21" t="s">
        <v>23</v>
      </c>
      <c r="E6" s="20">
        <v>50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 spans="1:154">
      <c r="A7" s="19"/>
      <c r="B7" s="19" t="s">
        <v>18</v>
      </c>
      <c r="C7" s="19" t="s">
        <v>20</v>
      </c>
      <c r="D7" s="4" t="s">
        <v>24</v>
      </c>
      <c r="E7" s="24">
        <v>50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</row>
    <row r="8" ht="15.75" customHeight="1" spans="1:154">
      <c r="A8" s="22"/>
      <c r="B8" s="22" t="s">
        <v>18</v>
      </c>
      <c r="C8" s="22" t="s">
        <v>21</v>
      </c>
      <c r="D8" s="4" t="s">
        <v>23</v>
      </c>
      <c r="E8" s="24">
        <v>75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</row>
    <row r="9" ht="15.75" customHeight="1" spans="1:154">
      <c r="A9" s="22"/>
      <c r="B9" s="22" t="s">
        <v>18</v>
      </c>
      <c r="C9" s="22" t="s">
        <v>21</v>
      </c>
      <c r="D9" s="4" t="s">
        <v>24</v>
      </c>
      <c r="E9" s="24">
        <v>25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ꦀ࣑ꦀ࣑ꦀ࣑ꦀ࣑ꦀ࣑ꦀ࣑ꦀ࣑ꦀ࣑ꦀ࣑ꦀ࣑ꦀ࣑ꦀ࣑ꦀ࣑ꦀ࣑ꦀ࣑ꦀ࣑嵱摈唀蠀迨࣑迨࣑迨࣑迨࣑迨࣑迨࣑迨࣑迨࣑迨࣑迨࣑迨࣑迨࣑迨࣑迨࣑迨࣑迨࣑嵊摇嘀谀Ꝙљ薘૜Ꝙљ" sqref="C3">
      <formula1>_Modules!$A$4:$A$1000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str">
        <f>VLOOKUP($E$3,_MasterData!B4:D1000,3,FALSE)</f>
        <v>1j6MD8nFEuJNo52Mp8uXbXRmrJs802rnEIiTOEuZFdWA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25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IFERROR(__xludf.DUMMYFUNCTION("""COMPUTED_VALUE"""),"AllocationMethod")</f>
        <v>AllocationMethod</v>
      </c>
      <c r="C5" s="10" t="str">
        <f>IFERROR(__xludf.DUMMYFUNCTION("""COMPUTED_VALUE"""),"RemainderAllocationTo")</f>
        <v>RemainderAllocationTo</v>
      </c>
      <c r="D5" s="10" t="str">
        <f>IFERROR(__xludf.DUMMYFUNCTION("""COMPUTED_VALUE"""),"Target%AsOf")</f>
        <v>Target%AsOf</v>
      </c>
      <c r="E5" s="10" t="str">
        <f>IFERROR(__xludf.DUMMYFUNCTION("""COMPUTED_VALUE"""),"ProrataAccounts")</f>
        <v>ProrataAccounts</v>
      </c>
      <c r="F5" s="10" t="str">
        <f>IFERROR(__xludf.DUMMYFUNCTION("""COMPUTED_VALUE"""),"DateUptoDays")</f>
        <v>DateUptoDays</v>
      </c>
      <c r="G5" s="10" t="str">
        <f>IFERROR(__xludf.DUMMYFUNCTION("""COMPUTED_VALUE"""),"MatchClosingTransactions")</f>
        <v>MatchClosingTransactions</v>
      </c>
      <c r="H5" s="10" t="str">
        <f>IFERROR(__xludf.DUMMYFUNCTION("""COMPUTED_VALUE"""),"PreferenceName")</f>
        <v>PreferenceName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22"/>
      <c r="B6" s="19" t="s">
        <v>26</v>
      </c>
      <c r="C6" s="19"/>
      <c r="D6" s="19" t="s">
        <v>27</v>
      </c>
      <c r="E6" s="19"/>
      <c r="F6" s="19"/>
      <c r="G6" s="23" t="b">
        <v>0</v>
      </c>
      <c r="H6" s="21" t="s">
        <v>18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28</v>
      </c>
      <c r="D3" s="6" t="s">
        <v>9</v>
      </c>
      <c r="E3" s="7" t="s">
        <v>29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4" t="str">
        <f>IFERROR(__xludf.DUMMYFUNCTION("""COMPUTED_VALUE"""),"CreateLiveOrder")</f>
        <v>CreateLiveOrder</v>
      </c>
      <c r="Q4" s="14" t="str">
        <f>IFERROR(__xludf.DUMMYFUNCTION("""COMPUTED_VALUE"""),"UpdateMasterFundOnTT")</f>
        <v>UpdateMasterFundOnTT</v>
      </c>
      <c r="R4" s="14" t="str">
        <f>IFERROR(__xludf.DUMMYFUNCTION("""COMPUTED_VALUE"""),"SetTTCompliancePreference")</f>
        <v>SetTTCompliancePreference</v>
      </c>
      <c r="S4" s="14" t="str">
        <f>IFERROR(__xludf.DUMMYFUNCTION("""COMPUTED_VALUE"""),"ImportSymbol")</f>
        <v>ImportSymbol</v>
      </c>
      <c r="T4" s="14" t="str">
        <f>IFERROR(__xludf.DUMMYFUNCTION("""COMPUTED_VALUE"""),"ExportSymbolFromRAList")</f>
        <v>ExportSymbolFromRAList</v>
      </c>
      <c r="U4" s="14" t="str">
        <f>IFERROR(__xludf.DUMMYFUNCTION("""COMPUTED_VALUE"""),"CheckPendingNewOrderAlert")</f>
        <v>CheckPendingNewOrderAlert</v>
      </c>
      <c r="V4" s="14" t="str">
        <f>IFERROR(__xludf.DUMMYFUNCTION("""COMPUTED_VALUE"""),"AddSymbolOnRAList")</f>
        <v>AddSymbolOnRAList</v>
      </c>
      <c r="W4" s="14" t="str">
        <f>IFERROR(__xludf.DUMMYFUNCTION("""COMPUTED_VALUE"""),"DeleteSymbolListFromRA")</f>
        <v>DeleteSymbolListFromRA</v>
      </c>
      <c r="X4" s="14" t="str">
        <f>IFERROR(__xludf.DUMMYFUNCTION("""COMPUTED_VALUE"""),"RemoveSymbolFromRAList")</f>
        <v>RemoveSymbolFromRAList</v>
      </c>
      <c r="Y4" s="14" t="str">
        <f>IFERROR(__xludf.DUMMYFUNCTION("""COMPUTED_VALUE"""),"ToggleBlombergOnRA")</f>
        <v>ToggleBlombergOnRA</v>
      </c>
      <c r="Z4" s="14" t="str">
        <f>IFERROR(__xludf.DUMMYFUNCTION("""COMPUTED_VALUE"""),"CreateDoneAwayOrder")</f>
        <v>CreateDoneAwayOrder</v>
      </c>
      <c r="AA4" s="14" t="str">
        <f>IFERROR(__xludf.DUMMYFUNCTION("""COMPUTED_VALUE"""),"AddOptionTrade")</f>
        <v>AddOptionTrade</v>
      </c>
      <c r="AB4" s="14" t="str">
        <f>IFERROR(__xludf.DUMMYFUNCTION("""COMPUTED_VALUE"""),"SendLiveBloomberg")</f>
        <v>SendLiveBloomberg</v>
      </c>
      <c r="AC4" s="14" t="str">
        <f>IFERROR(__xludf.DUMMYFUNCTION("""COMPUTED_VALUE"""),"ViewAllocation")</f>
        <v>ViewAllocation</v>
      </c>
      <c r="AD4" s="14" t="str">
        <f>IFERROR(__xludf.DUMMYFUNCTION("""COMPUTED_VALUE"""),"CreateReplaceLiveOrder")</f>
        <v>CreateReplaceLiveOrder</v>
      </c>
      <c r="AE4" s="14" t="str">
        <f>IFERROR(__xludf.DUMMYFUNCTION("""COMPUTED_VALUE"""),"CreateNewSubLiveOrder")</f>
        <v>CreateNewSubLiveOrder</v>
      </c>
      <c r="AF4" s="14" t="str">
        <f>IFERROR(__xludf.DUMMYFUNCTION("""COMPUTED_VALUE"""),"VerifyBasketExport")</f>
        <v>VerifyBasketExport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5" t="str">
        <f>IFERROR(__xludf.DUMMYFUNCTION("""COMPUTED_VALUE"""),"SoftBasis")</f>
        <v>SoftBasis</v>
      </c>
      <c r="U5" s="15" t="str">
        <f>IFERROR(__xludf.DUMMYFUNCTION("""COMPUTED_VALUE"""),"SoftRate")</f>
        <v>SoftRate</v>
      </c>
      <c r="V5" s="15" t="str">
        <f>IFERROR(__xludf.DUMMYFUNCTION("""COMPUTED_VALUE"""),"TradeAttribute1")</f>
        <v>TradeAttribute1</v>
      </c>
      <c r="W5" s="15" t="str">
        <f>IFERROR(__xludf.DUMMYFUNCTION("""COMPUTED_VALUE"""),"TradeAttribute2")</f>
        <v>TradeAttribute2</v>
      </c>
      <c r="X5" s="15" t="str">
        <f>IFERROR(__xludf.DUMMYFUNCTION("""COMPUTED_VALUE"""),"TradeAttribute3")</f>
        <v>TradeAttribute3</v>
      </c>
      <c r="Y5" s="15" t="str">
        <f>IFERROR(__xludf.DUMMYFUNCTION("""COMPUTED_VALUE"""),"TradeAttribute4")</f>
        <v>TradeAttribute4</v>
      </c>
      <c r="Z5" s="15" t="str">
        <f>IFERROR(__xludf.DUMMYFUNCTION("""COMPUTED_VALUE"""),"TradeAttribute5")</f>
        <v>TradeAttribute5</v>
      </c>
      <c r="AA5" s="15" t="str">
        <f>IFERROR(__xludf.DUMMYFUNCTION("""COMPUTED_VALUE"""),"TradeAttribute6")</f>
        <v>TradeAttribute6</v>
      </c>
      <c r="AB5" s="15" t="str">
        <f>IFERROR(__xludf.DUMMYFUNCTION("""COMPUTED_VALUE"""),"Venue")</f>
        <v>Venue</v>
      </c>
      <c r="AC5" s="15" t="str">
        <f>IFERROR(__xludf.DUMMYFUNCTION("""COMPUTED_VALUE"""),"ExecutionInstructions")</f>
        <v>ExecutionInstructions</v>
      </c>
      <c r="AD5" s="15" t="str">
        <f>IFERROR(__xludf.DUMMYFUNCTION("""COMPUTED_VALUE"""),"HandlingInstructions")</f>
        <v>HandlingInstructions</v>
      </c>
      <c r="AE5" s="15" t="str">
        <f>IFERROR(__xludf.DUMMYFUNCTION("""COMPUTED_VALUE"""),"Trader")</f>
        <v>Trader</v>
      </c>
      <c r="AF5" s="15" t="str">
        <f>IFERROR(__xludf.DUMMYFUNCTION("""COMPUTED_VALUE"""),"SettlementCurrency")</f>
        <v>SettlementCurrency</v>
      </c>
      <c r="AG5" s="15" t="str">
        <f>IFERROR(__xludf.DUMMYFUNCTION("""COMPUTED_VALUE"""),"SettlementFXRate")</f>
        <v>SettlementFXRate</v>
      </c>
      <c r="AH5" s="15" t="str">
        <f>IFERROR(__xludf.DUMMYFUNCTION("""COMPUTED_VALUE"""),"SettlementAmount")</f>
        <v>SettlementAmount</v>
      </c>
      <c r="AI5" s="15" t="str">
        <f>IFERROR(__xludf.DUMMYFUNCTION("""COMPUTED_VALUE"""),"SettlementFXOperator")</f>
        <v>SettlementFXOperator</v>
      </c>
      <c r="AJ5" s="15" t="str">
        <f>IFERROR(__xludf.DUMMYFUNCTION("""COMPUTED_VALUE"""),"SettleByBroker")</f>
        <v>SettleByBroker</v>
      </c>
      <c r="AK5" s="15" t="str">
        <f>IFERROR(__xludf.DUMMYFUNCTION("""COMPUTED_VALUE"""),"Account")</f>
        <v>Account</v>
      </c>
      <c r="AL5" s="15" t="str">
        <f>IFERROR(__xludf.DUMMYFUNCTION("""COMPUTED_VALUE"""),"Account %")</f>
        <v>Account %</v>
      </c>
      <c r="AM5" s="15" t="str">
        <f>IFERROR(__xludf.DUMMYFUNCTION("""COMPUTED_VALUE"""),"Deal In")</f>
        <v>Deal In</v>
      </c>
      <c r="AN5" s="15" t="str">
        <f>IFERROR(__xludf.DUMMYFUNCTION("""COMPUTED_VALUE"""),"EditOrder")</f>
        <v>EditOrder</v>
      </c>
      <c r="AO5" s="15" t="str">
        <f>IFERROR(__xludf.DUMMYFUNCTION("""COMPUTED_VALUE"""),"AllowTrade")</f>
        <v>AllowTrade</v>
      </c>
      <c r="AP5" s="15" t="str">
        <f>IFERROR(__xludf.DUMMYFUNCTION("""COMPUTED_VALUE"""),"SharesOutstandingPopUpQty")</f>
        <v>SharesOutstandingPopUpQty</v>
      </c>
      <c r="AQ5" s="15" t="str">
        <f>IFERROR(__xludf.DUMMYFUNCTION("""COMPUTED_VALUE"""),"SharesOutstandingPopUp")</f>
        <v>SharesOutstandingPopUp</v>
      </c>
      <c r="AR5" s="15" t="str">
        <f>IFERROR(__xludf.DUMMYFUNCTION("""COMPUTED_VALUE"""),"ResAllowedListPopUp")</f>
        <v>ResAllowedListPopUp</v>
      </c>
      <c r="AS5" s="15" t="str">
        <f>IFERROR(__xludf.DUMMYFUNCTION("""COMPUTED_VALUE"""),"ChkBoxBookAsSwap")</f>
        <v>ChkBoxBookAsSwap</v>
      </c>
      <c r="AT5" s="15" t="str">
        <f>IFERROR(__xludf.DUMMYFUNCTION("""COMPUTED_VALUE"""),"Interest Rate")</f>
        <v>Interest Rate</v>
      </c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22"/>
      <c r="B6" s="19" t="s">
        <v>30</v>
      </c>
      <c r="C6" s="19" t="s">
        <v>31</v>
      </c>
      <c r="D6" s="20">
        <v>100</v>
      </c>
      <c r="E6" s="20">
        <v>100</v>
      </c>
      <c r="F6" s="21" t="s">
        <v>18</v>
      </c>
      <c r="G6" s="19"/>
      <c r="H6" s="19"/>
      <c r="I6" s="19"/>
      <c r="J6" s="20">
        <v>10</v>
      </c>
      <c r="K6" s="19"/>
      <c r="L6" s="19"/>
      <c r="M6" s="19"/>
      <c r="N6" s="19"/>
      <c r="O6" s="19"/>
      <c r="P6" s="19"/>
      <c r="Q6" s="19"/>
      <c r="R6" s="19"/>
      <c r="S6" s="19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 spans="1:154">
      <c r="A7" s="19"/>
      <c r="B7" s="19" t="s">
        <v>30</v>
      </c>
      <c r="C7" s="19" t="s">
        <v>32</v>
      </c>
      <c r="D7" s="20">
        <v>90</v>
      </c>
      <c r="E7" s="20">
        <v>90</v>
      </c>
      <c r="F7" s="21" t="s">
        <v>18</v>
      </c>
      <c r="G7" s="19"/>
      <c r="H7" s="19"/>
      <c r="I7" s="19"/>
      <c r="J7" s="20">
        <v>10</v>
      </c>
      <c r="K7" s="19"/>
      <c r="L7" s="19"/>
      <c r="M7" s="19"/>
      <c r="N7" s="19"/>
      <c r="O7" s="19"/>
      <c r="P7" s="19"/>
      <c r="Q7" s="19"/>
      <c r="R7" s="19"/>
      <c r="S7" s="19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33</v>
      </c>
      <c r="D3" s="6" t="s">
        <v>9</v>
      </c>
      <c r="E3" s="7" t="s">
        <v>34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31</v>
      </c>
      <c r="C6" s="4" t="s">
        <v>30</v>
      </c>
      <c r="D6" s="4"/>
      <c r="E6" s="4"/>
      <c r="F6" s="4"/>
      <c r="G6" s="4">
        <v>100</v>
      </c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33</v>
      </c>
      <c r="D3" s="6" t="s">
        <v>9</v>
      </c>
      <c r="E3" s="7" t="s">
        <v>35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31</v>
      </c>
      <c r="C6" s="4" t="s">
        <v>30</v>
      </c>
      <c r="D6" s="4"/>
      <c r="E6" s="4"/>
      <c r="F6" s="4"/>
      <c r="G6" s="4">
        <v>100</v>
      </c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33</v>
      </c>
      <c r="D3" s="6" t="s">
        <v>9</v>
      </c>
      <c r="E3" s="7" t="s">
        <v>36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IFERROR(__xludf.DUMMYFUNCTION("""COMPUTED_VALUE"""),"Price")</f>
        <v>Price</v>
      </c>
      <c r="C5" s="10" t="str">
        <f>IFERROR(__xludf.DUMMYFUNCTION("""COMPUTED_VALUE"""),"Shares")</f>
        <v>Shares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>
        <v>10</v>
      </c>
      <c r="C6" s="4">
        <v>100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㊸࣑㊸࣑㊸࣑㊸࣑㊸࣑㊸࣑㊸࣑㊸࣑㊸࣑㊸࣑㊸࣑㊸࣑㊸࣑㊸࣑㊸࣑㊸࣑蛵會ࣿ蠀頨࣑頨࣑頨࣑頨࣑頨࣑頨࣑頨࣑頨࣑頨࣑頨࣑頨࣑頨࣑頨࣑頨࣑頨࣑頨࣑蛎朚৿踀在૪坒૪_x0015_" sqref="C3">
      <formula1>_Modules!$A$4:$A$1000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33</v>
      </c>
      <c r="D3" s="6" t="s">
        <v>9</v>
      </c>
      <c r="E3" s="7" t="s">
        <v>34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32</v>
      </c>
      <c r="C6" s="4" t="s">
        <v>30</v>
      </c>
      <c r="D6" s="4"/>
      <c r="E6" s="4"/>
      <c r="F6" s="4"/>
      <c r="G6" s="4">
        <v>90</v>
      </c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33</v>
      </c>
      <c r="D3" s="6" t="s">
        <v>9</v>
      </c>
      <c r="E3" s="7" t="s">
        <v>35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32</v>
      </c>
      <c r="C6" s="4" t="s">
        <v>30</v>
      </c>
      <c r="D6" s="4"/>
      <c r="E6" s="4"/>
      <c r="F6" s="4"/>
      <c r="G6" s="4">
        <v>90</v>
      </c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33</v>
      </c>
      <c r="D3" s="6" t="s">
        <v>9</v>
      </c>
      <c r="E3" s="7" t="s">
        <v>36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IFERROR(__xludf.DUMMYFUNCTION("""COMPUTED_VALUE"""),"Price")</f>
        <v>Price</v>
      </c>
      <c r="C5" s="10" t="str">
        <f>IFERROR(__xludf.DUMMYFUNCTION("""COMPUTED_VALUE"""),"Shares")</f>
        <v>Shares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>
        <v>10</v>
      </c>
      <c r="C6" s="4">
        <v>20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ꛈ࣑ꛈ࣑ꛈ࣑ꛈ࣑ꛈ࣑ꛈ࣑ꛈ࣑ꛈ࣑ꛈ࣑ꛈ࣑ꛈ࣑ꛈ࣑ꛈ࣑ꛈ࣑ꛈ࣑ꛈ࣑娻暰㣿耀Choose an available module" sqref="C3">
      <formula1>_Modules!$A$4:$A$1000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37</v>
      </c>
      <c r="D3" s="6" t="s">
        <v>9</v>
      </c>
      <c r="E3" s="7" t="s">
        <v>38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IFERROR(__xludf.DUMMYFUNCTION("IF(C3="""","""",Transpose(IMPORTRANGE('_Settings'!$B$3,C3&amp;""!A4:A1000"")))"),"ReplaceFillsOnBlotter")</f>
        <v>ReplaceFillsOnBlotter</v>
      </c>
      <c r="C4" s="8" t="str">
        <f>IFERROR(__xludf.DUMMYFUNCTION("""COMPUTED_VALUE"""),"CheckBlotter")</f>
        <v>CheckBlotter</v>
      </c>
      <c r="D4" s="8" t="str">
        <f>IFERROR(__xludf.DUMMYFUNCTION("""COMPUTED_VALUE"""),"BlotterFunctionalities")</f>
        <v>BlotterFunctionalities</v>
      </c>
      <c r="E4" s="8" t="str">
        <f>IFERROR(__xludf.DUMMYFUNCTION("""COMPUTED_VALUE"""),"TransferToUserWorkingSubs")</f>
        <v>TransferToUserWorkingSubs</v>
      </c>
      <c r="F4" s="8" t="str">
        <f>IFERROR(__xludf.DUMMYFUNCTION("""COMPUTED_VALUE"""),"CancelWorkingSubs")</f>
        <v>CancelWorkingSubs</v>
      </c>
      <c r="G4" s="8" t="str">
        <f>IFERROR(__xludf.DUMMYFUNCTION("""COMPUTED_VALUE"""),"ReplaceWorkingSubs")</f>
        <v>ReplaceWorkingSubs</v>
      </c>
      <c r="H4" s="8" t="str">
        <f>IFERROR(__xludf.DUMMYFUNCTION("""COMPUTED_VALUE"""),"ViewAllocationDetailsWorkingSub")</f>
        <v>ViewAllocationDetailsWorkingSub</v>
      </c>
      <c r="I4" s="8" t="str">
        <f>IFERROR(__xludf.DUMMYFUNCTION("""COMPUTED_VALUE"""),"SelectTradeOnOrderGrid")</f>
        <v>SelectTradeOnOrderGrid</v>
      </c>
      <c r="J4" s="8" t="str">
        <f>IFERROR(__xludf.DUMMYFUNCTION("""COMPUTED_VALUE"""),"ShowDetailsForAlgoTradeSubOrder")</f>
        <v>ShowDetailsForAlgoTradeSubOrder</v>
      </c>
      <c r="K4" s="8" t="str">
        <f>IFERROR(__xludf.DUMMYFUNCTION("""COMPUTED_VALUE"""),"SelectTradeOrderBlotter")</f>
        <v>SelectTradeOrderBlotter</v>
      </c>
      <c r="L4" s="8" t="str">
        <f>IFERROR(__xludf.DUMMYFUNCTION("""COMPUTED_VALUE"""),"AddFillsWorkingSubs")</f>
        <v>AddFillsWorkingSubs</v>
      </c>
      <c r="M4" s="8" t="str">
        <f>IFERROR(__xludf.DUMMYFUNCTION("""COMPUTED_VALUE"""),"EditAddFillsDetails")</f>
        <v>EditAddFillsDetails</v>
      </c>
      <c r="N4" s="8" t="str">
        <f>IFERROR(__xludf.DUMMYFUNCTION("""COMPUTED_VALUE"""),"ShowDetailsForAlgoTradeWorkingSubs")</f>
        <v>ShowDetailsForAlgoTradeWorkingSubs</v>
      </c>
      <c r="O4" s="8" t="str">
        <f>IFERROR(__xludf.DUMMYFUNCTION("""COMPUTED_VALUE"""),"VerifyWorkingSubs")</f>
        <v>VerifyWorkingSubs</v>
      </c>
      <c r="P4" s="14" t="str">
        <f>IFERROR(__xludf.DUMMYFUNCTION("""COMPUTED_VALUE"""),"TransferToUserOrder")</f>
        <v>TransferToUserOrder</v>
      </c>
      <c r="Q4" s="14" t="str">
        <f>IFERROR(__xludf.DUMMYFUNCTION("""COMPUTED_VALUE"""),"EditOrder")</f>
        <v>EditOrder</v>
      </c>
      <c r="R4" s="14" t="str">
        <f>IFERROR(__xludf.DUMMYFUNCTION("""COMPUTED_VALUE"""),"SelectTradeSubOrderBlotter")</f>
        <v>SelectTradeSubOrderBlotter</v>
      </c>
      <c r="S4" s="14" t="str">
        <f>IFERROR(__xludf.DUMMYFUNCTION("""COMPUTED_VALUE"""),"VerifyOrder")</f>
        <v>VerifyOrder</v>
      </c>
      <c r="T4" s="14" t="str">
        <f>IFERROR(__xludf.DUMMYFUNCTION("""COMPUTED_VALUE"""),"VerifySubOrder")</f>
        <v>VerifySubOrder</v>
      </c>
      <c r="U4" s="14" t="str">
        <f>IFERROR(__xludf.DUMMYFUNCTION("""COMPUTED_VALUE"""),"RemoveSelectedOrders")</f>
        <v>RemoveSelectedOrders</v>
      </c>
      <c r="V4" s="14" t="str">
        <f>IFERROR(__xludf.DUMMYFUNCTION("""COMPUTED_VALUE"""),"CancelAllSelectedSubs")</f>
        <v>CancelAllSelectedSubs</v>
      </c>
      <c r="W4" s="14" t="str">
        <f>IFERROR(__xludf.DUMMYFUNCTION("""COMPUTED_VALUE"""),"MultiTradingTicket")</f>
        <v>MultiTradingTicket</v>
      </c>
      <c r="X4" s="14" t="str">
        <f>IFERROR(__xludf.DUMMYFUNCTION("""COMPUTED_VALUE"""),"AuditTrailOrderBlotter")</f>
        <v>AuditTrailOrderBlotter</v>
      </c>
      <c r="Y4" s="14" t="str">
        <f>IFERROR(__xludf.DUMMYFUNCTION("""COMPUTED_VALUE"""),"TradeNewSubOrder")</f>
        <v>TradeNewSubOrder</v>
      </c>
      <c r="Z4" s="14" t="str">
        <f>IFERROR(__xludf.DUMMYFUNCTION("""COMPUTED_VALUE"""),"RemoveStageOrder")</f>
        <v>RemoveStageOrder</v>
      </c>
      <c r="AA4" s="14" t="str">
        <f>IFERROR(__xludf.DUMMYFUNCTION("""COMPUTED_VALUE"""),"TransferToUserSubOrder")</f>
        <v>TransferToUserSubOrder</v>
      </c>
      <c r="AB4" s="14" t="str">
        <f>IFERROR(__xludf.DUMMYFUNCTION("""COMPUTED_VALUE"""),"DetailsForAlgoTradeOrder")</f>
        <v>DetailsForAlgoTradeOrder</v>
      </c>
      <c r="AC4" s="14" t="str">
        <f>IFERROR(__xludf.DUMMYFUNCTION("""COMPUTED_VALUE"""),"AddFillsSubOrder")</f>
        <v>AddFillsSubOrder</v>
      </c>
      <c r="AD4" s="14" t="str">
        <f>IFERROR(__xludf.DUMMYFUNCTION("""COMPUTED_VALUE"""),"ViewAllocationDetailsSubOrder")</f>
        <v>ViewAllocationDetailsSubOrder</v>
      </c>
      <c r="AE4" s="14" t="str">
        <f>IFERROR(__xludf.DUMMYFUNCTION("""COMPUTED_VALUE"""),"CancelAllSubs")</f>
        <v>CancelAllSubs</v>
      </c>
      <c r="AF4" s="14" t="str">
        <f>IFERROR(__xludf.DUMMYFUNCTION("""COMPUTED_VALUE"""),"CancelSubOrder")</f>
        <v>CancelSubOrder</v>
      </c>
      <c r="AG4" s="14" t="str">
        <f>IFERROR(__xludf.DUMMYFUNCTION("""COMPUTED_VALUE"""),"EditStageOrder")</f>
        <v>EditStageOrder</v>
      </c>
      <c r="AH4" s="14" t="str">
        <f>IFERROR(__xludf.DUMMYFUNCTION("""COMPUTED_VALUE"""),"ReplaceSubOrder")</f>
        <v>ReplaceSubOrder</v>
      </c>
      <c r="AI4" s="14" t="str">
        <f>IFERROR(__xludf.DUMMYFUNCTION("""COMPUTED_VALUE"""),"SelectTradeWorkingSubsBlotter")</f>
        <v>SelectTradeWorkingSubsBlotter</v>
      </c>
      <c r="AJ4" s="14" t="str">
        <f>IFERROR(__xludf.DUMMYFUNCTION("""COMPUTED_VALUE"""),"VerifyAlgoDetails")</f>
        <v>VerifyAlgoDetails</v>
      </c>
      <c r="AK4" s="14" t="str">
        <f>IFERROR(__xludf.DUMMYFUNCTION("""COMPUTED_VALUE"""),"VerifyTransferToUserOrder")</f>
        <v>VerifyTransferToUserOrder</v>
      </c>
      <c r="AL4" s="14" t="str">
        <f>IFERROR(__xludf.DUMMYFUNCTION("""COMPUTED_VALUE"""),"VerifyTransferToUserSubOdr")</f>
        <v>VerifyTransferToUserSubOdr</v>
      </c>
      <c r="AM4" s="14" t="str">
        <f>IFERROR(__xludf.DUMMYFUNCTION("""COMPUTED_VALUE"""),"VerifyTransferToUserWorkSub")</f>
        <v>VerifyTransferToUserWorkSub</v>
      </c>
      <c r="AN4" s="14" t="str">
        <f>IFERROR(__xludf.DUMMYFUNCTION("""COMPUTED_VALUE"""),"SaveLayoutOrderGrid")</f>
        <v>SaveLayoutOrderGrid</v>
      </c>
      <c r="AO4" s="14" t="str">
        <f>IFERROR(__xludf.DUMMYFUNCTION("""COMPUTED_VALUE"""),"ReplaceStageOrder")</f>
        <v>ReplaceStageOrder</v>
      </c>
      <c r="AP4" s="14" t="str">
        <f>IFERROR(__xludf.DUMMYFUNCTION("""COMPUTED_VALUE"""),"MultiTradingTicketFromBlotter")</f>
        <v>MultiTradingTicketFromBlotter</v>
      </c>
      <c r="AQ4" s="14" t="str">
        <f>IFERROR(__xludf.DUMMYFUNCTION("""COMPUTED_VALUE"""),"VerifyViewAllocationDetails")</f>
        <v>VerifyViewAllocationDetails</v>
      </c>
      <c r="AR4" s="14" t="str">
        <f>IFERROR(__xludf.DUMMYFUNCTION("""COMPUTED_VALUE"""),"GoToAllocation")</f>
        <v>GoToAllocation</v>
      </c>
      <c r="AS4" s="14" t="str">
        <f>IFERROR(__xludf.DUMMYFUNCTION("""COMPUTED_VALUE"""),"VerifyRollover")</f>
        <v>VerifyRollover</v>
      </c>
      <c r="AT4" s="14" t="str">
        <f>IFERROR(__xludf.DUMMYFUNCTION("""COMPUTED_VALUE"""),"VerifySubOrderAfterRollover")</f>
        <v>VerifySubOrderAfterRollover</v>
      </c>
      <c r="AU4" s="14" t="str">
        <f>IFERROR(__xludf.DUMMYFUNCTION("""COMPUTED_VALUE"""),"OpenBlotter")</f>
        <v>OpenBlotter</v>
      </c>
      <c r="AV4" s="14" t="str">
        <f>IFERROR(__xludf.DUMMYFUNCTION("""COMPUTED_VALUE"""),"RemoveManualExecution")</f>
        <v>RemoveManualExecution</v>
      </c>
      <c r="AW4" s="14" t="str">
        <f>IFERROR(__xludf.DUMMYFUNCTION("""COMPUTED_VALUE"""),"RemoveExecutionWorkingSubs")</f>
        <v>RemoveExecutionWorkingSubs</v>
      </c>
      <c r="AX4" s="14" t="str">
        <f>IFERROR(__xludf.DUMMYFUNCTION("""COMPUTED_VALUE"""),"GetExecutionReportOrders")</f>
        <v>GetExecutionReportOrders</v>
      </c>
      <c r="AY4" s="14" t="str">
        <f>IFERROR(__xludf.DUMMYFUNCTION("""COMPUTED_VALUE"""),"GetExecutionReportDetails")</f>
        <v>GetExecutionReportDetails</v>
      </c>
      <c r="AZ4" s="14" t="str">
        <f>IFERROR(__xludf.DUMMYFUNCTION("""COMPUTED_VALUE"""),"ExportExecutionReportData")</f>
        <v>ExportExecutionReportData</v>
      </c>
      <c r="BA4" s="14" t="str">
        <f>IFERROR(__xludf.DUMMYFUNCTION("""COMPUTED_VALUE"""),"VerifyExecutionReport")</f>
        <v>VerifyExecutionReport</v>
      </c>
      <c r="BB4" s="14" t="str">
        <f>IFERROR(__xludf.DUMMYFUNCTION("""COMPUTED_VALUE"""),"BlotterExecutionReportSnapshot")</f>
        <v>BlotterExecutionReportSnapshot</v>
      </c>
      <c r="BC4" s="14" t="str">
        <f>IFERROR(__xludf.DUMMYFUNCTION("""COMPUTED_VALUE"""),"MultipleTradeTransferToUser")</f>
        <v>MultipleTradeTransferToUser</v>
      </c>
      <c r="BD4" s="14" t="str">
        <f>IFERROR(__xludf.DUMMYFUNCTION("""COMPUTED_VALUE"""),"CheckBlotter")</f>
        <v>CheckBlotter</v>
      </c>
      <c r="BE4" s="14" t="str">
        <f>IFERROR(__xludf.DUMMYFUNCTION("""COMPUTED_VALUE"""),"ReloadOrderFromBlotter")</f>
        <v>ReloadOrderFromBlotter</v>
      </c>
      <c r="BF4" s="14" t="str">
        <f>IFERROR(__xludf.DUMMYFUNCTION("""COMPUTED_VALUE"""),"ReloadOrderFromSubOrder")</f>
        <v>ReloadOrderFromSubOrder</v>
      </c>
      <c r="BG4" s="14" t="str">
        <f>IFERROR(__xludf.DUMMYFUNCTION("""COMPUTED_VALUE"""),"ReloadOrderFromWorkingSubs")</f>
        <v>ReloadOrderFromWorkingSubs</v>
      </c>
      <c r="BH4" s="14" t="str">
        <f>IFERROR(__xludf.DUMMYFUNCTION("""COMPUTED_VALUE"""),"SelectFills")</f>
        <v>SelectFills</v>
      </c>
      <c r="BI4" s="14" t="str">
        <f>IFERROR(__xludf.DUMMYFUNCTION("""COMPUTED_VALUE"""),"ModifyFills")</f>
        <v>ModifyFills</v>
      </c>
      <c r="BJ4" s="14" t="str">
        <f>IFERROR(__xludf.DUMMYFUNCTION("""COMPUTED_VALUE"""),"AllocateFromBlotter")</f>
        <v>AllocateFromBlotter</v>
      </c>
      <c r="BK4" s="14" t="str">
        <f>IFERROR(__xludf.DUMMYFUNCTION("""COMPUTED_VALUE"""),"ViewPTTAllocationDetails")</f>
        <v>ViewPTTAllocationDetails</v>
      </c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IFERROR(__xludf.DUMMYFUNCTION("""COMPUTED_VALUE"""),"Avg Fill Price (Base)")</f>
        <v>Avg Fill Price (Base)</v>
      </c>
      <c r="C5" s="10" t="str">
        <f>IFERROR(__xludf.DUMMYFUNCTION("""COMPUTED_VALUE"""),"Transaction Time")</f>
        <v>Transaction Time</v>
      </c>
      <c r="D5" s="10" t="str">
        <f>IFERROR(__xludf.DUMMYFUNCTION("""COMPUTED_VALUE"""),"Symbol")</f>
        <v>Symbol</v>
      </c>
      <c r="E5" s="10" t="str">
        <f>IFERROR(__xludf.DUMMYFUNCTION("""COMPUTED_VALUE"""),"Algo")</f>
        <v>Algo</v>
      </c>
      <c r="F5" s="10" t="str">
        <f>IFERROR(__xludf.DUMMYFUNCTION("""COMPUTED_VALUE"""),"Side")</f>
        <v>Side</v>
      </c>
      <c r="G5" s="10" t="str">
        <f>IFERROR(__xludf.DUMMYFUNCTION("""COMPUTED_VALUE"""),"Status")</f>
        <v>Status</v>
      </c>
      <c r="H5" s="10" t="str">
        <f>IFERROR(__xludf.DUMMYFUNCTION("""COMPUTED_VALUE"""),"Target Qty")</f>
        <v>Target Qty</v>
      </c>
      <c r="I5" s="10" t="str">
        <f>IFERROR(__xludf.DUMMYFUNCTION("""COMPUTED_VALUE"""),"Total Executed Qty")</f>
        <v>Total Executed Qty</v>
      </c>
      <c r="J5" s="10" t="str">
        <f>IFERROR(__xludf.DUMMYFUNCTION("""COMPUTED_VALUE"""),"% Executed")</f>
        <v>% Executed</v>
      </c>
      <c r="K5" s="10" t="str">
        <f>IFERROR(__xludf.DUMMYFUNCTION("""COMPUTED_VALUE"""),"Day Executed Qty")</f>
        <v>Day Executed Qty</v>
      </c>
      <c r="L5" s="10" t="str">
        <f>IFERROR(__xludf.DUMMYFUNCTION("""COMPUTED_VALUE"""),"Uncommitted Qty")</f>
        <v>Uncommitted Qty</v>
      </c>
      <c r="M5" s="10" t="str">
        <f>IFERROR(__xludf.DUMMYFUNCTION("""COMPUTED_VALUE"""),"Limit Price")</f>
        <v>Limit Price</v>
      </c>
      <c r="N5" s="10" t="str">
        <f>IFERROR(__xludf.DUMMYFUNCTION("""COMPUTED_VALUE"""),"Last Fill Price (Local)")</f>
        <v>Last Fill Price (Local)</v>
      </c>
      <c r="O5" s="10" t="str">
        <f>IFERROR(__xludf.DUMMYFUNCTION("""COMPUTED_VALUE"""),"Stop Price")</f>
        <v>Stop Price</v>
      </c>
      <c r="P5" s="10" t="str">
        <f>IFERROR(__xludf.DUMMYFUNCTION("""COMPUTED_VALUE"""),"Avg Fill Price (Local)")</f>
        <v>Avg Fill Price (Local)</v>
      </c>
      <c r="Q5" s="10" t="str">
        <f>IFERROR(__xludf.DUMMYFUNCTION("""COMPUTED_VALUE"""),"Broker")</f>
        <v>Broker</v>
      </c>
      <c r="R5" s="10" t="str">
        <f>IFERROR(__xludf.DUMMYFUNCTION("""COMPUTED_VALUE"""),"Account")</f>
        <v>Account</v>
      </c>
      <c r="S5" s="10" t="str">
        <f>IFERROR(__xludf.DUMMYFUNCTION("""COMPUTED_VALUE"""),"OrderID")</f>
        <v>OrderID</v>
      </c>
      <c r="T5" s="15" t="str">
        <f>IFERROR(__xludf.DUMMYFUNCTION("""COMPUTED_VALUE"""),"Order Type")</f>
        <v>Order Type</v>
      </c>
      <c r="U5" s="15" t="str">
        <f>IFERROR(__xludf.DUMMYFUNCTION("""COMPUTED_VALUE"""),"Principal Amount (Local)")</f>
        <v>Principal Amount (Local)</v>
      </c>
      <c r="V5" s="15" t="str">
        <f>IFERROR(__xludf.DUMMYFUNCTION("""COMPUTED_VALUE"""),"Principal Amount (Base)")</f>
        <v>Principal Amount (Base)</v>
      </c>
      <c r="W5" s="15" t="str">
        <f>IFERROR(__xludf.DUMMYFUNCTION("""COMPUTED_VALUE"""),"Peg")</f>
        <v>Peg</v>
      </c>
      <c r="X5" s="15" t="str">
        <f>IFERROR(__xludf.DUMMYFUNCTION("""COMPUTED_VALUE"""),"ParentClOrderID")</f>
        <v>ParentClOrderID</v>
      </c>
      <c r="Y5" s="15" t="str">
        <f>IFERROR(__xludf.DUMMYFUNCTION("""COMPUTED_VALUE"""),"Strike Price")</f>
        <v>Strike Price</v>
      </c>
      <c r="Z5" s="15" t="str">
        <f>IFERROR(__xludf.DUMMYFUNCTION("""COMPUTED_VALUE"""),"Last Shares")</f>
        <v>Last Shares</v>
      </c>
      <c r="AA5" s="15" t="str">
        <f>IFERROR(__xludf.DUMMYFUNCTION("""COMPUTED_VALUE"""),"Working Qty")</f>
        <v>Working Qty</v>
      </c>
      <c r="AB5" s="15" t="str">
        <f>IFERROR(__xludf.DUMMYFUNCTION("""COMPUTED_VALUE"""),"Bloomberg Symbol")</f>
        <v>Bloomberg Symbol</v>
      </c>
      <c r="AC5" s="15" t="str">
        <f>IFERROR(__xludf.DUMMYFUNCTION("""COMPUTED_VALUE"""),"Imported File Name")</f>
        <v>Imported File Name</v>
      </c>
      <c r="AD5" s="15" t="str">
        <f>IFERROR(__xludf.DUMMYFUNCTION("""COMPUTED_VALUE"""),"Master Fund")</f>
        <v>Master Fund</v>
      </c>
      <c r="AE5" s="15" t="str">
        <f>IFERROR(__xludf.DUMMYFUNCTION("""COMPUTED_VALUE"""),"Day Average Price")</f>
        <v>Day Average Price</v>
      </c>
      <c r="AF5" s="15" t="str">
        <f>IFERROR(__xludf.DUMMYFUNCTION("""COMPUTED_VALUE"""),"Asset Class")</f>
        <v>Asset Class</v>
      </c>
      <c r="AG5" s="15" t="str">
        <f>IFERROR(__xludf.DUMMYFUNCTION("""COMPUTED_VALUE"""),"Underlying Country")</f>
        <v>Underlying Country</v>
      </c>
      <c r="AH5" s="15" t="str">
        <f>IFERROR(__xludf.DUMMYFUNCTION("""COMPUTED_VALUE"""),"Trader")</f>
        <v>Trader</v>
      </c>
      <c r="AI5" s="15" t="str">
        <f>IFERROR(__xludf.DUMMYFUNCTION("""COMPUTED_VALUE"""),"User")</f>
        <v>User</v>
      </c>
      <c r="AJ5" s="15" t="str">
        <f>IFERROR(__xludf.DUMMYFUNCTION("""COMPUTED_VALUE"""),"Venue")</f>
        <v>Venue</v>
      </c>
      <c r="AK5" s="15" t="str">
        <f>IFERROR(__xludf.DUMMYFUNCTION("""COMPUTED_VALUE"""),"Settlement Currency")</f>
        <v>Settlement Currency</v>
      </c>
      <c r="AL5" s="15" t="str">
        <f>IFERROR(__xludf.DUMMYFUNCTION("""COMPUTED_VALUE"""),"FX Conversion Operator")</f>
        <v>FX Conversion Operator</v>
      </c>
      <c r="AM5" s="15" t="str">
        <f>IFERROR(__xludf.DUMMYFUNCTION("""COMPUTED_VALUE"""),"Process Date")</f>
        <v>Process Date</v>
      </c>
      <c r="AN5" s="15" t="str">
        <f>IFERROR(__xludf.DUMMYFUNCTION("""COMPUTED_VALUE"""),"Underlying Symbol")</f>
        <v>Underlying Symbol</v>
      </c>
      <c r="AO5" s="15" t="str">
        <f>IFERROR(__xludf.DUMMYFUNCTION("""COMPUTED_VALUE"""),"Put/Call")</f>
        <v>Put/Call</v>
      </c>
      <c r="AP5" s="15" t="str">
        <f>IFERROR(__xludf.DUMMYFUNCTION("""COMPUTED_VALUE"""),"FX Rate")</f>
        <v>FX Rate</v>
      </c>
      <c r="AQ5" s="15" t="str">
        <f>IFERROR(__xludf.DUMMYFUNCTION("""COMPUTED_VALUE"""),"Trade Attribute 1")</f>
        <v>Trade Attribute 1</v>
      </c>
      <c r="AR5" s="15" t="str">
        <f>IFERROR(__xludf.DUMMYFUNCTION("""COMPUTED_VALUE"""),"Trade Attribute 2")</f>
        <v>Trade Attribute 2</v>
      </c>
      <c r="AS5" s="15" t="str">
        <f>IFERROR(__xludf.DUMMYFUNCTION("""COMPUTED_VALUE"""),"Trade Attribute 3")</f>
        <v>Trade Attribute 3</v>
      </c>
      <c r="AT5" s="15" t="str">
        <f>IFERROR(__xludf.DUMMYFUNCTION("""COMPUTED_VALUE"""),"Trade Attribute 4")</f>
        <v>Trade Attribute 4</v>
      </c>
      <c r="AU5" s="15" t="str">
        <f>IFERROR(__xludf.DUMMYFUNCTION("""COMPUTED_VALUE"""),"Trade Attribute 5")</f>
        <v>Trade Attribute 5</v>
      </c>
      <c r="AV5" s="15" t="str">
        <f>IFERROR(__xludf.DUMMYFUNCTION("""COMPUTED_VALUE"""),"Trade Attribute 6")</f>
        <v>Trade Attribute 6</v>
      </c>
      <c r="AW5" s="15" t="str">
        <f>IFERROR(__xludf.DUMMYFUNCTION("""COMPUTED_VALUE"""),"Internal Comments")</f>
        <v>Internal Comments</v>
      </c>
      <c r="AX5" s="15" t="str">
        <f>IFERROR(__xludf.DUMMYFUNCTION("""COMPUTED_VALUE"""),"Allocation Scheme Name")</f>
        <v>Allocation Scheme Name</v>
      </c>
      <c r="AY5" s="15" t="str">
        <f>IFERROR(__xludf.DUMMYFUNCTION("""COMPUTED_VALUE"""),"Start of Day Qty")</f>
        <v>Start of Day Qty</v>
      </c>
      <c r="AZ5" s="15" t="str">
        <f>IFERROR(__xludf.DUMMYFUNCTION("""COMPUTED_VALUE"""),"Leaves")</f>
        <v>Leaves</v>
      </c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>
        <v>10</v>
      </c>
      <c r="C6" s="4"/>
      <c r="D6" s="4" t="s">
        <v>30</v>
      </c>
      <c r="E6" s="4"/>
      <c r="F6" s="4" t="s">
        <v>32</v>
      </c>
      <c r="G6" s="4" t="s">
        <v>39</v>
      </c>
      <c r="H6" s="4">
        <v>90</v>
      </c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37</v>
      </c>
      <c r="D3" s="6" t="s">
        <v>9</v>
      </c>
      <c r="E3" s="7" t="s">
        <v>40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IFERROR(__xludf.DUMMYFUNCTION("IF(C3="""","""",Transpose(IMPORTRANGE('_Settings'!$B$3,C3&amp;""!A4:A1000"")))"),"ReplaceFillsOnBlotter")</f>
        <v>ReplaceFillsOnBlotter</v>
      </c>
      <c r="C4" s="8" t="str">
        <f>IFERROR(__xludf.DUMMYFUNCTION("""COMPUTED_VALUE"""),"CheckBlotter")</f>
        <v>CheckBlotter</v>
      </c>
      <c r="D4" s="8" t="str">
        <f>IFERROR(__xludf.DUMMYFUNCTION("""COMPUTED_VALUE"""),"BlotterFunctionalities")</f>
        <v>BlotterFunctionalities</v>
      </c>
      <c r="E4" s="8" t="str">
        <f>IFERROR(__xludf.DUMMYFUNCTION("""COMPUTED_VALUE"""),"TransferToUserWorkingSubs")</f>
        <v>TransferToUserWorkingSubs</v>
      </c>
      <c r="F4" s="8" t="str">
        <f>IFERROR(__xludf.DUMMYFUNCTION("""COMPUTED_VALUE"""),"CancelWorkingSubs")</f>
        <v>CancelWorkingSubs</v>
      </c>
      <c r="G4" s="8" t="str">
        <f>IFERROR(__xludf.DUMMYFUNCTION("""COMPUTED_VALUE"""),"ReplaceWorkingSubs")</f>
        <v>ReplaceWorkingSubs</v>
      </c>
      <c r="H4" s="8" t="str">
        <f>IFERROR(__xludf.DUMMYFUNCTION("""COMPUTED_VALUE"""),"ViewAllocationDetailsWorkingSub")</f>
        <v>ViewAllocationDetailsWorkingSub</v>
      </c>
      <c r="I4" s="8" t="str">
        <f>IFERROR(__xludf.DUMMYFUNCTION("""COMPUTED_VALUE"""),"SelectTradeOnOrderGrid")</f>
        <v>SelectTradeOnOrderGrid</v>
      </c>
      <c r="J4" s="8" t="str">
        <f>IFERROR(__xludf.DUMMYFUNCTION("""COMPUTED_VALUE"""),"ShowDetailsForAlgoTradeSubOrder")</f>
        <v>ShowDetailsForAlgoTradeSubOrder</v>
      </c>
      <c r="K4" s="8" t="str">
        <f>IFERROR(__xludf.DUMMYFUNCTION("""COMPUTED_VALUE"""),"SelectTradeOrderBlotter")</f>
        <v>SelectTradeOrderBlotter</v>
      </c>
      <c r="L4" s="8" t="str">
        <f>IFERROR(__xludf.DUMMYFUNCTION("""COMPUTED_VALUE"""),"AddFillsWorkingSubs")</f>
        <v>AddFillsWorkingSubs</v>
      </c>
      <c r="M4" s="8" t="str">
        <f>IFERROR(__xludf.DUMMYFUNCTION("""COMPUTED_VALUE"""),"EditAddFillsDetails")</f>
        <v>EditAddFillsDetails</v>
      </c>
      <c r="N4" s="8" t="str">
        <f>IFERROR(__xludf.DUMMYFUNCTION("""COMPUTED_VALUE"""),"ShowDetailsForAlgoTradeWorkingSubs")</f>
        <v>ShowDetailsForAlgoTradeWorkingSubs</v>
      </c>
      <c r="O4" s="8" t="str">
        <f>IFERROR(__xludf.DUMMYFUNCTION("""COMPUTED_VALUE"""),"VerifyWorkingSubs")</f>
        <v>VerifyWorkingSubs</v>
      </c>
      <c r="P4" s="14" t="str">
        <f>IFERROR(__xludf.DUMMYFUNCTION("""COMPUTED_VALUE"""),"TransferToUserOrder")</f>
        <v>TransferToUserOrder</v>
      </c>
      <c r="Q4" s="14" t="str">
        <f>IFERROR(__xludf.DUMMYFUNCTION("""COMPUTED_VALUE"""),"EditOrder")</f>
        <v>EditOrder</v>
      </c>
      <c r="R4" s="14" t="str">
        <f>IFERROR(__xludf.DUMMYFUNCTION("""COMPUTED_VALUE"""),"SelectTradeSubOrderBlotter")</f>
        <v>SelectTradeSubOrderBlotter</v>
      </c>
      <c r="S4" s="14" t="str">
        <f>IFERROR(__xludf.DUMMYFUNCTION("""COMPUTED_VALUE"""),"VerifyOrder")</f>
        <v>VerifyOrder</v>
      </c>
      <c r="T4" s="14" t="str">
        <f>IFERROR(__xludf.DUMMYFUNCTION("""COMPUTED_VALUE"""),"VerifySubOrder")</f>
        <v>VerifySubOrder</v>
      </c>
      <c r="U4" s="14" t="str">
        <f>IFERROR(__xludf.DUMMYFUNCTION("""COMPUTED_VALUE"""),"RemoveSelectedOrders")</f>
        <v>RemoveSelectedOrders</v>
      </c>
      <c r="V4" s="14" t="str">
        <f>IFERROR(__xludf.DUMMYFUNCTION("""COMPUTED_VALUE"""),"CancelAllSelectedSubs")</f>
        <v>CancelAllSelectedSubs</v>
      </c>
      <c r="W4" s="14" t="str">
        <f>IFERROR(__xludf.DUMMYFUNCTION("""COMPUTED_VALUE"""),"MultiTradingTicket")</f>
        <v>MultiTradingTicket</v>
      </c>
      <c r="X4" s="14" t="str">
        <f>IFERROR(__xludf.DUMMYFUNCTION("""COMPUTED_VALUE"""),"AuditTrailOrderBlotter")</f>
        <v>AuditTrailOrderBlotter</v>
      </c>
      <c r="Y4" s="14" t="str">
        <f>IFERROR(__xludf.DUMMYFUNCTION("""COMPUTED_VALUE"""),"TradeNewSubOrder")</f>
        <v>TradeNewSubOrder</v>
      </c>
      <c r="Z4" s="14" t="str">
        <f>IFERROR(__xludf.DUMMYFUNCTION("""COMPUTED_VALUE"""),"RemoveStageOrder")</f>
        <v>RemoveStageOrder</v>
      </c>
      <c r="AA4" s="14" t="str">
        <f>IFERROR(__xludf.DUMMYFUNCTION("""COMPUTED_VALUE"""),"TransferToUserSubOrder")</f>
        <v>TransferToUserSubOrder</v>
      </c>
      <c r="AB4" s="14" t="str">
        <f>IFERROR(__xludf.DUMMYFUNCTION("""COMPUTED_VALUE"""),"DetailsForAlgoTradeOrder")</f>
        <v>DetailsForAlgoTradeOrder</v>
      </c>
      <c r="AC4" s="14" t="str">
        <f>IFERROR(__xludf.DUMMYFUNCTION("""COMPUTED_VALUE"""),"AddFillsSubOrder")</f>
        <v>AddFillsSubOrder</v>
      </c>
      <c r="AD4" s="14" t="str">
        <f>IFERROR(__xludf.DUMMYFUNCTION("""COMPUTED_VALUE"""),"ViewAllocationDetailsSubOrder")</f>
        <v>ViewAllocationDetailsSubOrder</v>
      </c>
      <c r="AE4" s="14" t="str">
        <f>IFERROR(__xludf.DUMMYFUNCTION("""COMPUTED_VALUE"""),"CancelAllSubs")</f>
        <v>CancelAllSubs</v>
      </c>
      <c r="AF4" s="14" t="str">
        <f>IFERROR(__xludf.DUMMYFUNCTION("""COMPUTED_VALUE"""),"CancelSubOrder")</f>
        <v>CancelSubOrder</v>
      </c>
      <c r="AG4" s="14" t="str">
        <f>IFERROR(__xludf.DUMMYFUNCTION("""COMPUTED_VALUE"""),"EditStageOrder")</f>
        <v>EditStageOrder</v>
      </c>
      <c r="AH4" s="14" t="str">
        <f>IFERROR(__xludf.DUMMYFUNCTION("""COMPUTED_VALUE"""),"ReplaceSubOrder")</f>
        <v>ReplaceSubOrder</v>
      </c>
      <c r="AI4" s="14" t="str">
        <f>IFERROR(__xludf.DUMMYFUNCTION("""COMPUTED_VALUE"""),"SelectTradeWorkingSubsBlotter")</f>
        <v>SelectTradeWorkingSubsBlotter</v>
      </c>
      <c r="AJ4" s="14" t="str">
        <f>IFERROR(__xludf.DUMMYFUNCTION("""COMPUTED_VALUE"""),"VerifyAlgoDetails")</f>
        <v>VerifyAlgoDetails</v>
      </c>
      <c r="AK4" s="14" t="str">
        <f>IFERROR(__xludf.DUMMYFUNCTION("""COMPUTED_VALUE"""),"VerifyTransferToUserOrder")</f>
        <v>VerifyTransferToUserOrder</v>
      </c>
      <c r="AL4" s="14" t="str">
        <f>IFERROR(__xludf.DUMMYFUNCTION("""COMPUTED_VALUE"""),"VerifyTransferToUserSubOdr")</f>
        <v>VerifyTransferToUserSubOdr</v>
      </c>
      <c r="AM4" s="14" t="str">
        <f>IFERROR(__xludf.DUMMYFUNCTION("""COMPUTED_VALUE"""),"VerifyTransferToUserWorkSub")</f>
        <v>VerifyTransferToUserWorkSub</v>
      </c>
      <c r="AN4" s="14" t="str">
        <f>IFERROR(__xludf.DUMMYFUNCTION("""COMPUTED_VALUE"""),"SaveLayoutOrderGrid")</f>
        <v>SaveLayoutOrderGrid</v>
      </c>
      <c r="AO4" s="14" t="str">
        <f>IFERROR(__xludf.DUMMYFUNCTION("""COMPUTED_VALUE"""),"ReplaceStageOrder")</f>
        <v>ReplaceStageOrder</v>
      </c>
      <c r="AP4" s="14" t="str">
        <f>IFERROR(__xludf.DUMMYFUNCTION("""COMPUTED_VALUE"""),"MultiTradingTicketFromBlotter")</f>
        <v>MultiTradingTicketFromBlotter</v>
      </c>
      <c r="AQ4" s="14" t="str">
        <f>IFERROR(__xludf.DUMMYFUNCTION("""COMPUTED_VALUE"""),"VerifyViewAllocationDetails")</f>
        <v>VerifyViewAllocationDetails</v>
      </c>
      <c r="AR4" s="14" t="str">
        <f>IFERROR(__xludf.DUMMYFUNCTION("""COMPUTED_VALUE"""),"GoToAllocation")</f>
        <v>GoToAllocation</v>
      </c>
      <c r="AS4" s="14" t="str">
        <f>IFERROR(__xludf.DUMMYFUNCTION("""COMPUTED_VALUE"""),"VerifyRollover")</f>
        <v>VerifyRollover</v>
      </c>
      <c r="AT4" s="14" t="str">
        <f>IFERROR(__xludf.DUMMYFUNCTION("""COMPUTED_VALUE"""),"VerifySubOrderAfterRollover")</f>
        <v>VerifySubOrderAfterRollover</v>
      </c>
      <c r="AU4" s="14" t="str">
        <f>IFERROR(__xludf.DUMMYFUNCTION("""COMPUTED_VALUE"""),"OpenBlotter")</f>
        <v>OpenBlotter</v>
      </c>
      <c r="AV4" s="14" t="str">
        <f>IFERROR(__xludf.DUMMYFUNCTION("""COMPUTED_VALUE"""),"RemoveManualExecution")</f>
        <v>RemoveManualExecution</v>
      </c>
      <c r="AW4" s="14" t="str">
        <f>IFERROR(__xludf.DUMMYFUNCTION("""COMPUTED_VALUE"""),"RemoveExecutionWorkingSubs")</f>
        <v>RemoveExecutionWorkingSubs</v>
      </c>
      <c r="AX4" s="14" t="str">
        <f>IFERROR(__xludf.DUMMYFUNCTION("""COMPUTED_VALUE"""),"GetExecutionReportOrders")</f>
        <v>GetExecutionReportOrders</v>
      </c>
      <c r="AY4" s="14" t="str">
        <f>IFERROR(__xludf.DUMMYFUNCTION("""COMPUTED_VALUE"""),"GetExecutionReportDetails")</f>
        <v>GetExecutionReportDetails</v>
      </c>
      <c r="AZ4" s="14" t="str">
        <f>IFERROR(__xludf.DUMMYFUNCTION("""COMPUTED_VALUE"""),"ExportExecutionReportData")</f>
        <v>ExportExecutionReportData</v>
      </c>
      <c r="BA4" s="14" t="str">
        <f>IFERROR(__xludf.DUMMYFUNCTION("""COMPUTED_VALUE"""),"VerifyExecutionReport")</f>
        <v>VerifyExecutionReport</v>
      </c>
      <c r="BB4" s="14" t="str">
        <f>IFERROR(__xludf.DUMMYFUNCTION("""COMPUTED_VALUE"""),"BlotterExecutionReportSnapshot")</f>
        <v>BlotterExecutionReportSnapshot</v>
      </c>
      <c r="BC4" s="14" t="str">
        <f>IFERROR(__xludf.DUMMYFUNCTION("""COMPUTED_VALUE"""),"MultipleTradeTransferToUser")</f>
        <v>MultipleTradeTransferToUser</v>
      </c>
      <c r="BD4" s="14" t="str">
        <f>IFERROR(__xludf.DUMMYFUNCTION("""COMPUTED_VALUE"""),"CheckBlotter")</f>
        <v>CheckBlotter</v>
      </c>
      <c r="BE4" s="14" t="str">
        <f>IFERROR(__xludf.DUMMYFUNCTION("""COMPUTED_VALUE"""),"ReloadOrderFromBlotter")</f>
        <v>ReloadOrderFromBlotter</v>
      </c>
      <c r="BF4" s="14" t="str">
        <f>IFERROR(__xludf.DUMMYFUNCTION("""COMPUTED_VALUE"""),"ReloadOrderFromSubOrder")</f>
        <v>ReloadOrderFromSubOrder</v>
      </c>
      <c r="BG4" s="14" t="str">
        <f>IFERROR(__xludf.DUMMYFUNCTION("""COMPUTED_VALUE"""),"ReloadOrderFromWorkingSubs")</f>
        <v>ReloadOrderFromWorkingSubs</v>
      </c>
      <c r="BH4" s="14" t="str">
        <f>IFERROR(__xludf.DUMMYFUNCTION("""COMPUTED_VALUE"""),"SelectFills")</f>
        <v>SelectFills</v>
      </c>
      <c r="BI4" s="14" t="str">
        <f>IFERROR(__xludf.DUMMYFUNCTION("""COMPUTED_VALUE"""),"ModifyFills")</f>
        <v>ModifyFills</v>
      </c>
      <c r="BJ4" s="14" t="str">
        <f>IFERROR(__xludf.DUMMYFUNCTION("""COMPUTED_VALUE"""),"AllocateFromBlotter")</f>
        <v>AllocateFromBlotter</v>
      </c>
      <c r="BK4" s="14" t="str">
        <f>IFERROR(__xludf.DUMMYFUNCTION("""COMPUTED_VALUE"""),"ViewPTTAllocationDetails")</f>
        <v>ViewPTTAllocationDetails</v>
      </c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IFERROR(__xludf.DUMMYFUNCTION("""COMPUTED_VALUE"""),"Transaction Time")</f>
        <v>Transaction Time</v>
      </c>
      <c r="C5" s="10" t="str">
        <f>IFERROR(__xludf.DUMMYFUNCTION("""COMPUTED_VALUE"""),"Algo")</f>
        <v>Algo</v>
      </c>
      <c r="D5" s="10" t="str">
        <f>IFERROR(__xludf.DUMMYFUNCTION("""COMPUTED_VALUE"""),"Avg Fill Price (Base)")</f>
        <v>Avg Fill Price (Base)</v>
      </c>
      <c r="E5" s="10" t="str">
        <f>IFERROR(__xludf.DUMMYFUNCTION("""COMPUTED_VALUE"""),"Bloomberg Symbol")</f>
        <v>Bloomberg Symbol</v>
      </c>
      <c r="F5" s="10" t="str">
        <f>IFERROR(__xludf.DUMMYFUNCTION("""COMPUTED_VALUE"""),"Limit Price")</f>
        <v>Limit Price</v>
      </c>
      <c r="G5" s="10" t="str">
        <f>IFERROR(__xludf.DUMMYFUNCTION("""COMPUTED_VALUE"""),"Working Qty")</f>
        <v>Working Qty</v>
      </c>
      <c r="H5" s="10" t="str">
        <f>IFERROR(__xludf.DUMMYFUNCTION("""COMPUTED_VALUE"""),"Venue")</f>
        <v>Venue</v>
      </c>
      <c r="I5" s="10" t="str">
        <f>IFERROR(__xludf.DUMMYFUNCTION("""COMPUTED_VALUE"""),"User")</f>
        <v>User</v>
      </c>
      <c r="J5" s="10" t="str">
        <f>IFERROR(__xludf.DUMMYFUNCTION("""COMPUTED_VALUE"""),"Underlying Symbol")</f>
        <v>Underlying Symbol</v>
      </c>
      <c r="K5" s="10" t="str">
        <f>IFERROR(__xludf.DUMMYFUNCTION("""COMPUTED_VALUE"""),"Underlying Country")</f>
        <v>Underlying Country</v>
      </c>
      <c r="L5" s="10" t="str">
        <f>IFERROR(__xludf.DUMMYFUNCTION("""COMPUTED_VALUE"""),"Trader")</f>
        <v>Trader</v>
      </c>
      <c r="M5" s="10" t="str">
        <f>IFERROR(__xludf.DUMMYFUNCTION("""COMPUTED_VALUE"""),"Trade Attribute 1")</f>
        <v>Trade Attribute 1</v>
      </c>
      <c r="N5" s="10" t="str">
        <f>IFERROR(__xludf.DUMMYFUNCTION("""COMPUTED_VALUE"""),"Trade Attribute 2")</f>
        <v>Trade Attribute 2</v>
      </c>
      <c r="O5" s="10" t="str">
        <f>IFERROR(__xludf.DUMMYFUNCTION("""COMPUTED_VALUE"""),"Trade Attribute 3")</f>
        <v>Trade Attribute 3</v>
      </c>
      <c r="P5" s="10" t="str">
        <f>IFERROR(__xludf.DUMMYFUNCTION("""COMPUTED_VALUE"""),"Trade Attribute 4")</f>
        <v>Trade Attribute 4</v>
      </c>
      <c r="Q5" s="10" t="str">
        <f>IFERROR(__xludf.DUMMYFUNCTION("""COMPUTED_VALUE"""),"Trade Attribute 5")</f>
        <v>Trade Attribute 5</v>
      </c>
      <c r="R5" s="10" t="str">
        <f>IFERROR(__xludf.DUMMYFUNCTION("""COMPUTED_VALUE"""),"Trade Attribute 6")</f>
        <v>Trade Attribute 6</v>
      </c>
      <c r="S5" s="10" t="str">
        <f>IFERROR(__xludf.DUMMYFUNCTION("""COMPUTED_VALUE"""),"Strike Price")</f>
        <v>Strike Price</v>
      </c>
      <c r="T5" s="15" t="str">
        <f>IFERROR(__xludf.DUMMYFUNCTION("""COMPUTED_VALUE"""),"Stop Price")</f>
        <v>Stop Price</v>
      </c>
      <c r="U5" s="15" t="str">
        <f>IFERROR(__xludf.DUMMYFUNCTION("""COMPUTED_VALUE"""),"Settlement Currency")</f>
        <v>Settlement Currency</v>
      </c>
      <c r="V5" s="15" t="str">
        <f>IFERROR(__xludf.DUMMYFUNCTION("""COMPUTED_VALUE"""),"Put/Call")</f>
        <v>Put/Call</v>
      </c>
      <c r="W5" s="15" t="str">
        <f>IFERROR(__xludf.DUMMYFUNCTION("""COMPUTED_VALUE"""),"Process Date")</f>
        <v>Process Date</v>
      </c>
      <c r="X5" s="15" t="str">
        <f>IFERROR(__xludf.DUMMYFUNCTION("""COMPUTED_VALUE"""),"Peg")</f>
        <v>Peg</v>
      </c>
      <c r="Y5" s="15" t="str">
        <f>IFERROR(__xludf.DUMMYFUNCTION("""COMPUTED_VALUE"""),"ParentClOrderID")</f>
        <v>ParentClOrderID</v>
      </c>
      <c r="Z5" s="15" t="str">
        <f>IFERROR(__xludf.DUMMYFUNCTION("""COMPUTED_VALUE"""),"OrderID")</f>
        <v>OrderID</v>
      </c>
      <c r="AA5" s="15" t="str">
        <f>IFERROR(__xludf.DUMMYFUNCTION("""COMPUTED_VALUE"""),"Master Fund")</f>
        <v>Master Fund</v>
      </c>
      <c r="AB5" s="15" t="str">
        <f>IFERROR(__xludf.DUMMYFUNCTION("""COMPUTED_VALUE"""),"Last Shares")</f>
        <v>Last Shares</v>
      </c>
      <c r="AC5" s="15" t="str">
        <f>IFERROR(__xludf.DUMMYFUNCTION("""COMPUTED_VALUE"""),"Internal Comments")</f>
        <v>Internal Comments</v>
      </c>
      <c r="AD5" s="15" t="str">
        <f>IFERROR(__xludf.DUMMYFUNCTION("""COMPUTED_VALUE"""),"FX Rate")</f>
        <v>FX Rate</v>
      </c>
      <c r="AE5" s="15" t="str">
        <f>IFERROR(__xludf.DUMMYFUNCTION("""COMPUTED_VALUE"""),"Imported File Name")</f>
        <v>Imported File Name</v>
      </c>
      <c r="AF5" s="15" t="str">
        <f>IFERROR(__xludf.DUMMYFUNCTION("""COMPUTED_VALUE"""),"FX Conversion Operator")</f>
        <v>FX Conversion Operator</v>
      </c>
      <c r="AG5" s="15" t="str">
        <f>IFERROR(__xludf.DUMMYFUNCTION("""COMPUTED_VALUE"""),"Day Average Price")</f>
        <v>Day Average Price</v>
      </c>
      <c r="AH5" s="15" t="str">
        <f>IFERROR(__xludf.DUMMYFUNCTION("""COMPUTED_VALUE"""),"Asset Class")</f>
        <v>Asset Class</v>
      </c>
      <c r="AI5" s="15" t="str">
        <f>IFERROR(__xludf.DUMMYFUNCTION("""COMPUTED_VALUE"""),"Symbol")</f>
        <v>Symbol</v>
      </c>
      <c r="AJ5" s="15" t="str">
        <f>IFERROR(__xludf.DUMMYFUNCTION("""COMPUTED_VALUE"""),"Side")</f>
        <v>Side</v>
      </c>
      <c r="AK5" s="15" t="str">
        <f>IFERROR(__xludf.DUMMYFUNCTION("""COMPUTED_VALUE"""),"Status")</f>
        <v>Status</v>
      </c>
      <c r="AL5" s="15" t="str">
        <f>IFERROR(__xludf.DUMMYFUNCTION("""COMPUTED_VALUE"""),"Quantity")</f>
        <v>Quantity</v>
      </c>
      <c r="AM5" s="15" t="str">
        <f>IFERROR(__xludf.DUMMYFUNCTION("""COMPUTED_VALUE"""),"Executed Qty")</f>
        <v>Executed Qty</v>
      </c>
      <c r="AN5" s="15" t="str">
        <f>IFERROR(__xludf.DUMMYFUNCTION("""COMPUTED_VALUE"""),"% Executed")</f>
        <v>% Executed</v>
      </c>
      <c r="AO5" s="15" t="str">
        <f>IFERROR(__xludf.DUMMYFUNCTION("""COMPUTED_VALUE"""),"Day Executed Qty")</f>
        <v>Day Executed Qty</v>
      </c>
      <c r="AP5" s="15" t="str">
        <f>IFERROR(__xludf.DUMMYFUNCTION("""COMPUTED_VALUE"""),"Remaining Qty")</f>
        <v>Remaining Qty</v>
      </c>
      <c r="AQ5" s="15" t="str">
        <f>IFERROR(__xludf.DUMMYFUNCTION("""COMPUTED_VALUE"""),"Last Fill Price (Local)")</f>
        <v>Last Fill Price (Local)</v>
      </c>
      <c r="AR5" s="15" t="str">
        <f>IFERROR(__xludf.DUMMYFUNCTION("""COMPUTED_VALUE"""),"Avg Fill Price (Local)")</f>
        <v>Avg Fill Price (Local)</v>
      </c>
      <c r="AS5" s="15" t="str">
        <f>IFERROR(__xludf.DUMMYFUNCTION("""COMPUTED_VALUE"""),"Broker")</f>
        <v>Broker</v>
      </c>
      <c r="AT5" s="15" t="str">
        <f>IFERROR(__xludf.DUMMYFUNCTION("""COMPUTED_VALUE"""),"Account")</f>
        <v>Account</v>
      </c>
      <c r="AU5" s="15" t="str">
        <f>IFERROR(__xludf.DUMMYFUNCTION("""COMPUTED_VALUE"""),"Order Type")</f>
        <v>Order Type</v>
      </c>
      <c r="AV5" s="15" t="str">
        <f>IFERROR(__xludf.DUMMYFUNCTION("""COMPUTED_VALUE"""),"Principal Amount (Local)")</f>
        <v>Principal Amount (Local)</v>
      </c>
      <c r="AW5" s="15" t="str">
        <f>IFERROR(__xludf.DUMMYFUNCTION("""COMPUTED_VALUE"""),"Principal Amount (Base)")</f>
        <v>Principal Amount (Base)</v>
      </c>
      <c r="AX5" s="15" t="str">
        <f>IFERROR(__xludf.DUMMYFUNCTION("""COMPUTED_VALUE"""),"Allocation Scheme Name")</f>
        <v>Allocation Scheme Name</v>
      </c>
      <c r="AY5" s="15" t="str">
        <f>IFERROR(__xludf.DUMMYFUNCTION("""COMPUTED_VALUE"""),"Status (With Rollover)")</f>
        <v>Status (With Rollover)</v>
      </c>
      <c r="AZ5" s="15" t="str">
        <f>IFERROR(__xludf.DUMMYFUNCTION("""COMPUTED_VALUE"""),"Start of Day Qty")</f>
        <v>Start of Day Qty</v>
      </c>
      <c r="BA5" s="15" t="str">
        <f>IFERROR(__xludf.DUMMYFUNCTION("""COMPUTED_VALUE"""),"Leaves")</f>
        <v>Leaves</v>
      </c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38">
      <c r="A6" s="4"/>
      <c r="B6" s="4"/>
      <c r="C6" s="4"/>
      <c r="D6" s="4">
        <v>10</v>
      </c>
      <c r="E6" s="4"/>
      <c r="F6" s="4"/>
      <c r="G6" s="4"/>
      <c r="H6" s="4"/>
      <c r="I6" s="4"/>
      <c r="J6" s="4" t="s">
        <v>30</v>
      </c>
      <c r="K6" s="4"/>
      <c r="L6" s="4"/>
      <c r="M6" s="4"/>
      <c r="N6" s="4"/>
      <c r="O6" s="4"/>
      <c r="AI6" s="22" t="s">
        <v>30</v>
      </c>
      <c r="AJ6" s="22" t="s">
        <v>32</v>
      </c>
      <c r="AK6" s="22" t="s">
        <v>39</v>
      </c>
      <c r="AL6" s="22">
        <v>90</v>
      </c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28</v>
      </c>
      <c r="D3" s="6" t="s">
        <v>9</v>
      </c>
      <c r="E3" s="7" t="s">
        <v>29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IFERROR(__xludf.DUMMYFUNCTION("""COMPUTED_VALUE"""),"TradeNewSub")</f>
        <v>TradeNewSub</v>
      </c>
      <c r="I4" s="8" t="str">
        <f>IFERROR(__xludf.DUMMYFUNCTION("""COMPUTED_VALUE"""),"CreateStageOrder")</f>
        <v>CreateStageOrder</v>
      </c>
      <c r="J4" s="8" t="str">
        <f>IFERROR(__xludf.DUMMYFUNCTION("""COMPUTED_VALUE"""),"CreateReplaceOrder")</f>
        <v>CreateReplaceOrder</v>
      </c>
      <c r="K4" s="8" t="str">
        <f>IFERROR(__xludf.DUMMYFUNCTION("""COMPUTED_VALUE"""),"SetGeneralPreference")</f>
        <v>SetGeneralPreference</v>
      </c>
      <c r="L4" s="8" t="str">
        <f>IFERROR(__xludf.DUMMYFUNCTION("""COMPUTED_VALUE"""),"CreateNewSubOrder")</f>
        <v>CreateNewSubOrder</v>
      </c>
      <c r="M4" s="8" t="str">
        <f>IFERROR(__xludf.DUMMYFUNCTION("""COMPUTED_VALUE"""),"TradeBloomberg")</f>
        <v>TradeBloomberg</v>
      </c>
      <c r="N4" s="8" t="str">
        <f>IFERROR(__xludf.DUMMYFUNCTION("""COMPUTED_VALUE"""),"ClickSymbolLookup")</f>
        <v>ClickSymbolLookup</v>
      </c>
      <c r="O4" s="8" t="str">
        <f>IFERROR(__xludf.DUMMYFUNCTION("""COMPUTED_VALUE"""),"VerifyTT")</f>
        <v>VerifyTT</v>
      </c>
      <c r="P4" s="14" t="str">
        <f>IFERROR(__xludf.DUMMYFUNCTION("""COMPUTED_VALUE"""),"CreateLiveOrder")</f>
        <v>CreateLiveOrder</v>
      </c>
      <c r="Q4" s="14" t="str">
        <f>IFERROR(__xludf.DUMMYFUNCTION("""COMPUTED_VALUE"""),"UpdateMasterFundOnTT")</f>
        <v>UpdateMasterFundOnTT</v>
      </c>
      <c r="R4" s="14" t="str">
        <f>IFERROR(__xludf.DUMMYFUNCTION("""COMPUTED_VALUE"""),"SetTTCompliancePreference")</f>
        <v>SetTTCompliancePreference</v>
      </c>
      <c r="S4" s="14" t="str">
        <f>IFERROR(__xludf.DUMMYFUNCTION("""COMPUTED_VALUE"""),"ImportSymbol")</f>
        <v>ImportSymbol</v>
      </c>
      <c r="T4" s="14" t="str">
        <f>IFERROR(__xludf.DUMMYFUNCTION("""COMPUTED_VALUE"""),"ExportSymbolFromRAList")</f>
        <v>ExportSymbolFromRAList</v>
      </c>
      <c r="U4" s="14" t="str">
        <f>IFERROR(__xludf.DUMMYFUNCTION("""COMPUTED_VALUE"""),"CheckPendingNewOrderAlert")</f>
        <v>CheckPendingNewOrderAlert</v>
      </c>
      <c r="V4" s="14" t="str">
        <f>IFERROR(__xludf.DUMMYFUNCTION("""COMPUTED_VALUE"""),"AddSymbolOnRAList")</f>
        <v>AddSymbolOnRAList</v>
      </c>
      <c r="W4" s="14" t="str">
        <f>IFERROR(__xludf.DUMMYFUNCTION("""COMPUTED_VALUE"""),"DeleteSymbolListFromRA")</f>
        <v>DeleteSymbolListFromRA</v>
      </c>
      <c r="X4" s="14" t="str">
        <f>IFERROR(__xludf.DUMMYFUNCTION("""COMPUTED_VALUE"""),"RemoveSymbolFromRAList")</f>
        <v>RemoveSymbolFromRAList</v>
      </c>
      <c r="Y4" s="14" t="str">
        <f>IFERROR(__xludf.DUMMYFUNCTION("""COMPUTED_VALUE"""),"ToggleBlombergOnRA")</f>
        <v>ToggleBlombergOnRA</v>
      </c>
      <c r="Z4" s="14" t="str">
        <f>IFERROR(__xludf.DUMMYFUNCTION("""COMPUTED_VALUE"""),"CreateDoneAwayOrder")</f>
        <v>CreateDoneAwayOrder</v>
      </c>
      <c r="AA4" s="14" t="str">
        <f>IFERROR(__xludf.DUMMYFUNCTION("""COMPUTED_VALUE"""),"AddOptionTrade")</f>
        <v>AddOptionTrade</v>
      </c>
      <c r="AB4" s="14" t="str">
        <f>IFERROR(__xludf.DUMMYFUNCTION("""COMPUTED_VALUE"""),"SendLiveBloomberg")</f>
        <v>SendLiveBloomberg</v>
      </c>
      <c r="AC4" s="14" t="str">
        <f>IFERROR(__xludf.DUMMYFUNCTION("""COMPUTED_VALUE"""),"ViewAllocation")</f>
        <v>ViewAllocation</v>
      </c>
      <c r="AD4" s="14" t="str">
        <f>IFERROR(__xludf.DUMMYFUNCTION("""COMPUTED_VALUE"""),"CreateReplaceLiveOrder")</f>
        <v>CreateReplaceLiveOrder</v>
      </c>
      <c r="AE4" s="14" t="str">
        <f>IFERROR(__xludf.DUMMYFUNCTION("""COMPUTED_VALUE"""),"CreateNewSubLiveOrder")</f>
        <v>CreateNewSubLiveOrder</v>
      </c>
      <c r="AF4" s="14" t="str">
        <f>IFERROR(__xludf.DUMMYFUNCTION("""COMPUTED_VALUE"""),"VerifyBasketExport")</f>
        <v>VerifyBasketExport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IFERROR(__xludf.DUMMYFUNCTION("""COMPUTED_VALUE"""),"Order Side")</f>
        <v>Order Side</v>
      </c>
      <c r="D5" s="10" t="str">
        <f>IFERROR(__xludf.DUMMYFUNCTION("""COMPUTED_VALUE"""),"Quantity")</f>
        <v>Quantity</v>
      </c>
      <c r="E5" s="10" t="str">
        <f>IFERROR(__xludf.DUMMYFUNCTION("""COMPUTED_VALUE"""),"TargetQuantityIn")</f>
        <v>TargetQuantityIn</v>
      </c>
      <c r="F5" s="10" t="str">
        <f>IFERROR(__xludf.DUMMYFUNCTION("""COMPUTED_VALUE"""),"AllocationMethod")</f>
        <v>AllocationMethod</v>
      </c>
      <c r="G5" s="10" t="str">
        <f>IFERROR(__xludf.DUMMYFUNCTION("""COMPUTED_VALUE"""),"Broker")</f>
        <v>Broker</v>
      </c>
      <c r="H5" s="10" t="str">
        <f>IFERROR(__xludf.DUMMYFUNCTION("""COMPUTED_VALUE"""),"TIF")</f>
        <v>TIF</v>
      </c>
      <c r="I5" s="10" t="str">
        <f>IFERROR(__xludf.DUMMYFUNCTION("""COMPUTED_VALUE"""),"Order Type")</f>
        <v>Order Type</v>
      </c>
      <c r="J5" s="10" t="str">
        <f>IFERROR(__xludf.DUMMYFUNCTION("""COMPUTED_VALUE"""),"Price")</f>
        <v>Price</v>
      </c>
      <c r="K5" s="10" t="str">
        <f>IFERROR(__xludf.DUMMYFUNCTION("""COMPUTED_VALUE"""),"Stop")</f>
        <v>Stop</v>
      </c>
      <c r="L5" s="10" t="str">
        <f>IFERROR(__xludf.DUMMYFUNCTION("""COMPUTED_VALUE"""),"Limit")</f>
        <v>Limit</v>
      </c>
      <c r="M5" s="10" t="str">
        <f>IFERROR(__xludf.DUMMYFUNCTION("""COMPUTED_VALUE"""),"Strategy")</f>
        <v>Strategy</v>
      </c>
      <c r="N5" s="10" t="str">
        <f>IFERROR(__xludf.DUMMYFUNCTION("""COMPUTED_VALUE"""),"Trade Date")</f>
        <v>Trade Date</v>
      </c>
      <c r="O5" s="10" t="str">
        <f>IFERROR(__xludf.DUMMYFUNCTION("""COMPUTED_VALUE"""),"FxRate")</f>
        <v>FxRate</v>
      </c>
      <c r="P5" s="10" t="str">
        <f>IFERROR(__xludf.DUMMYFUNCTION("""COMPUTED_VALUE"""),"Notes")</f>
        <v>Notes</v>
      </c>
      <c r="Q5" s="10" t="str">
        <f>IFERROR(__xludf.DUMMYFUNCTION("""COMPUTED_VALUE"""),"Broker Notes")</f>
        <v>Broker Notes</v>
      </c>
      <c r="R5" s="10" t="str">
        <f>IFERROR(__xludf.DUMMYFUNCTION("""COMPUTED_VALUE"""),"CommissionBasis")</f>
        <v>CommissionBasis</v>
      </c>
      <c r="S5" s="10" t="str">
        <f>IFERROR(__xludf.DUMMYFUNCTION("""COMPUTED_VALUE"""),"CommissionRate")</f>
        <v>CommissionRate</v>
      </c>
      <c r="T5" s="15" t="str">
        <f>IFERROR(__xludf.DUMMYFUNCTION("""COMPUTED_VALUE"""),"SoftBasis")</f>
        <v>SoftBasis</v>
      </c>
      <c r="U5" s="15" t="str">
        <f>IFERROR(__xludf.DUMMYFUNCTION("""COMPUTED_VALUE"""),"SoftRate")</f>
        <v>SoftRate</v>
      </c>
      <c r="V5" s="15" t="str">
        <f>IFERROR(__xludf.DUMMYFUNCTION("""COMPUTED_VALUE"""),"TradeAttribute1")</f>
        <v>TradeAttribute1</v>
      </c>
      <c r="W5" s="15" t="str">
        <f>IFERROR(__xludf.DUMMYFUNCTION("""COMPUTED_VALUE"""),"TradeAttribute2")</f>
        <v>TradeAttribute2</v>
      </c>
      <c r="X5" s="15" t="str">
        <f>IFERROR(__xludf.DUMMYFUNCTION("""COMPUTED_VALUE"""),"TradeAttribute3")</f>
        <v>TradeAttribute3</v>
      </c>
      <c r="Y5" s="15" t="str">
        <f>IFERROR(__xludf.DUMMYFUNCTION("""COMPUTED_VALUE"""),"TradeAttribute4")</f>
        <v>TradeAttribute4</v>
      </c>
      <c r="Z5" s="15" t="str">
        <f>IFERROR(__xludf.DUMMYFUNCTION("""COMPUTED_VALUE"""),"TradeAttribute5")</f>
        <v>TradeAttribute5</v>
      </c>
      <c r="AA5" s="15" t="str">
        <f>IFERROR(__xludf.DUMMYFUNCTION("""COMPUTED_VALUE"""),"TradeAttribute6")</f>
        <v>TradeAttribute6</v>
      </c>
      <c r="AB5" s="15" t="str">
        <f>IFERROR(__xludf.DUMMYFUNCTION("""COMPUTED_VALUE"""),"Venue")</f>
        <v>Venue</v>
      </c>
      <c r="AC5" s="15" t="str">
        <f>IFERROR(__xludf.DUMMYFUNCTION("""COMPUTED_VALUE"""),"ExecutionInstructions")</f>
        <v>ExecutionInstructions</v>
      </c>
      <c r="AD5" s="15" t="str">
        <f>IFERROR(__xludf.DUMMYFUNCTION("""COMPUTED_VALUE"""),"HandlingInstructions")</f>
        <v>HandlingInstructions</v>
      </c>
      <c r="AE5" s="15" t="str">
        <f>IFERROR(__xludf.DUMMYFUNCTION("""COMPUTED_VALUE"""),"Trader")</f>
        <v>Trader</v>
      </c>
      <c r="AF5" s="15" t="str">
        <f>IFERROR(__xludf.DUMMYFUNCTION("""COMPUTED_VALUE"""),"SettlementCurrency")</f>
        <v>SettlementCurrency</v>
      </c>
      <c r="AG5" s="15" t="str">
        <f>IFERROR(__xludf.DUMMYFUNCTION("""COMPUTED_VALUE"""),"SettlementFXRate")</f>
        <v>SettlementFXRate</v>
      </c>
      <c r="AH5" s="15" t="str">
        <f>IFERROR(__xludf.DUMMYFUNCTION("""COMPUTED_VALUE"""),"SettlementAmount")</f>
        <v>SettlementAmount</v>
      </c>
      <c r="AI5" s="15" t="str">
        <f>IFERROR(__xludf.DUMMYFUNCTION("""COMPUTED_VALUE"""),"SettlementFXOperator")</f>
        <v>SettlementFXOperator</v>
      </c>
      <c r="AJ5" s="15" t="str">
        <f>IFERROR(__xludf.DUMMYFUNCTION("""COMPUTED_VALUE"""),"SettleByBroker")</f>
        <v>SettleByBroker</v>
      </c>
      <c r="AK5" s="15" t="str">
        <f>IFERROR(__xludf.DUMMYFUNCTION("""COMPUTED_VALUE"""),"Account")</f>
        <v>Account</v>
      </c>
      <c r="AL5" s="15" t="str">
        <f>IFERROR(__xludf.DUMMYFUNCTION("""COMPUTED_VALUE"""),"Account %")</f>
        <v>Account %</v>
      </c>
      <c r="AM5" s="15" t="str">
        <f>IFERROR(__xludf.DUMMYFUNCTION("""COMPUTED_VALUE"""),"Deal In")</f>
        <v>Deal In</v>
      </c>
      <c r="AN5" s="15" t="str">
        <f>IFERROR(__xludf.DUMMYFUNCTION("""COMPUTED_VALUE"""),"EditOrder")</f>
        <v>EditOrder</v>
      </c>
      <c r="AO5" s="15" t="str">
        <f>IFERROR(__xludf.DUMMYFUNCTION("""COMPUTED_VALUE"""),"AllowTrade")</f>
        <v>AllowTrade</v>
      </c>
      <c r="AP5" s="15" t="str">
        <f>IFERROR(__xludf.DUMMYFUNCTION("""COMPUTED_VALUE"""),"SharesOutstandingPopUpQty")</f>
        <v>SharesOutstandingPopUpQty</v>
      </c>
      <c r="AQ5" s="15" t="str">
        <f>IFERROR(__xludf.DUMMYFUNCTION("""COMPUTED_VALUE"""),"SharesOutstandingPopUp")</f>
        <v>SharesOutstandingPopUp</v>
      </c>
      <c r="AR5" s="15" t="str">
        <f>IFERROR(__xludf.DUMMYFUNCTION("""COMPUTED_VALUE"""),"ResAllowedListPopUp")</f>
        <v>ResAllowedListPopUp</v>
      </c>
      <c r="AS5" s="15" t="str">
        <f>IFERROR(__xludf.DUMMYFUNCTION("""COMPUTED_VALUE"""),"ChkBoxBookAsSwap")</f>
        <v>ChkBoxBookAsSwap</v>
      </c>
      <c r="AT5" s="15" t="str">
        <f>IFERROR(__xludf.DUMMYFUNCTION("""COMPUTED_VALUE"""),"Interest Rate")</f>
        <v>Interest Rate</v>
      </c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4">
      <c r="A6" s="19"/>
      <c r="B6" s="19" t="s">
        <v>30</v>
      </c>
      <c r="C6" s="19" t="s">
        <v>32</v>
      </c>
      <c r="D6" s="20">
        <v>100</v>
      </c>
      <c r="E6" s="20">
        <v>100</v>
      </c>
      <c r="F6" s="21" t="s">
        <v>18</v>
      </c>
      <c r="G6" s="19"/>
      <c r="H6" s="19"/>
      <c r="I6" s="19"/>
      <c r="J6" s="20">
        <v>10</v>
      </c>
      <c r="K6" s="19"/>
      <c r="L6" s="19"/>
      <c r="M6" s="19"/>
      <c r="N6" s="19"/>
      <c r="O6" s="19"/>
      <c r="P6" s="19"/>
      <c r="Q6" s="19"/>
      <c r="R6" s="19"/>
      <c r="S6" s="19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33</v>
      </c>
      <c r="D3" s="6" t="s">
        <v>9</v>
      </c>
      <c r="E3" s="7" t="s">
        <v>34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32</v>
      </c>
      <c r="C6" s="4" t="s">
        <v>30</v>
      </c>
      <c r="D6" s="4"/>
      <c r="E6" s="4"/>
      <c r="F6" s="4"/>
      <c r="G6" s="4">
        <v>100</v>
      </c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33</v>
      </c>
      <c r="D3" s="6" t="s">
        <v>9</v>
      </c>
      <c r="E3" s="7" t="s">
        <v>35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32</v>
      </c>
      <c r="C6" s="4" t="s">
        <v>30</v>
      </c>
      <c r="D6" s="4"/>
      <c r="E6" s="4"/>
      <c r="F6" s="4"/>
      <c r="G6" s="4">
        <v>100</v>
      </c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33</v>
      </c>
      <c r="D3" s="6" t="s">
        <v>9</v>
      </c>
      <c r="E3" s="7" t="s">
        <v>36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/>
      <c r="M4" s="8"/>
      <c r="N4" s="8"/>
      <c r="O4" s="8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IFERROR(__xludf.DUMMYFUNCTION("""COMPUTED_VALUE"""),"Price")</f>
        <v>Price</v>
      </c>
      <c r="C5" s="10" t="str">
        <f>IFERROR(__xludf.DUMMYFUNCTION("""COMPUTED_VALUE"""),"Shares")</f>
        <v>Shares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>
        <v>10</v>
      </c>
      <c r="C6" s="4">
        <v>100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41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IFERROR(__xludf.DUMMYFUNCTION("""COMPUTED_VALUE"""),"RangeType")</f>
        <v>RangeType</v>
      </c>
      <c r="C5" s="10" t="str">
        <f>IFERROR(__xludf.DUMMYFUNCTION("""COMPUTED_VALUE"""),"From")</f>
        <v>From</v>
      </c>
      <c r="D5" s="10" t="str">
        <f>IFERROR(__xludf.DUMMYFUNCTION("""COMPUTED_VALUE"""),"To")</f>
        <v>To</v>
      </c>
      <c r="E5" s="10" t="str">
        <f>IFERROR(__xludf.DUMMYFUNCTION("""COMPUTED_VALUE"""),"FilterTabName")</f>
        <v>FilterTabName</v>
      </c>
      <c r="F5" s="10" t="str">
        <f>IFERROR(__xludf.DUMMYFUNCTION("""COMPUTED_VALUE"""),"Symbol")</f>
        <v>Symbol</v>
      </c>
      <c r="G5" s="10" t="str">
        <f>IFERROR(__xludf.DUMMYFUNCTION("""COMPUTED_VALUE"""),"Asset")</f>
        <v>Asset</v>
      </c>
      <c r="H5" s="10" t="str">
        <f>IFERROR(__xludf.DUMMYFUNCTION("""COMPUTED_VALUE"""),"Side")</f>
        <v>Side</v>
      </c>
      <c r="I5" s="10" t="str">
        <f>IFERROR(__xludf.DUMMYFUNCTION("""COMPUTED_VALUE"""),"Account")</f>
        <v>Account</v>
      </c>
      <c r="J5" s="10" t="str">
        <f>IFERROR(__xludf.DUMMYFUNCTION("""COMPUTED_VALUE"""),"Broker")</f>
        <v>Broker</v>
      </c>
      <c r="K5" s="10" t="str">
        <f>IFERROR(__xludf.DUMMYFUNCTION("""COMPUTED_VALUE"""),"Currency")</f>
        <v>Currency</v>
      </c>
      <c r="L5" s="10" t="str">
        <f>IFERROR(__xludf.DUMMYFUNCTION("""COMPUTED_VALUE"""),"Exchange")</f>
        <v>Exchange</v>
      </c>
      <c r="M5" s="10" t="str">
        <f>IFERROR(__xludf.DUMMYFUNCTION("""COMPUTED_VALUE"""),"StrategyName")</f>
        <v>StrategyName</v>
      </c>
      <c r="N5" s="10" t="str">
        <f>IFERROR(__xludf.DUMMYFUNCTION("""COMPUTED_VALUE"""),"Underlying")</f>
        <v>Underlying</v>
      </c>
      <c r="O5" s="10" t="str">
        <f>IFERROR(__xludf.DUMMYFUNCTION("""COMPUTED_VALUE"""),"Venue")</f>
        <v>Venue</v>
      </c>
      <c r="P5" s="10" t="str">
        <f>IFERROR(__xludf.DUMMYFUNCTION("""COMPUTED_VALUE"""),"TradingAccount")</f>
        <v>TradingAccount</v>
      </c>
      <c r="Q5" s="10" t="str">
        <f>IFERROR(__xludf.DUMMYFUNCTION("""COMPUTED_VALUE"""),"PreAllocated")</f>
        <v>PreAllocated</v>
      </c>
      <c r="R5" s="10" t="str">
        <f>IFERROR(__xludf.DUMMYFUNCTION("""COMPUTED_VALUE"""),"ManualGroup")</f>
        <v>ManualGroup</v>
      </c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15">
      <c r="A6" s="4"/>
      <c r="B6" s="4" t="s">
        <v>42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I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65" width="12.6285714285714" customWidth="1"/>
  </cols>
  <sheetData>
    <row r="1" ht="15.75" customHeight="1" spans="1:165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65">
      <c r="A3" s="5"/>
      <c r="B3" s="6" t="s">
        <v>8</v>
      </c>
      <c r="C3" s="7" t="s">
        <v>16</v>
      </c>
      <c r="D3" s="6" t="s">
        <v>9</v>
      </c>
      <c r="E3" s="7" t="s">
        <v>43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</row>
    <row r="4" ht="15.75" customHeight="1" spans="1:165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</row>
    <row r="5" ht="15.75" customHeight="1" spans="1:165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IFERROR(__xludf.DUMMYFUNCTION("""COMPUTED_VALUE"""),"Account Name")</f>
        <v>Account Name</v>
      </c>
      <c r="C5" s="10" t="str">
        <f>IFERROR(__xludf.DUMMYFUNCTION("""COMPUTED_VALUE"""),"Accrual Basis")</f>
        <v>Accrual Basis</v>
      </c>
      <c r="D5" s="10" t="str">
        <f>IFERROR(__xludf.DUMMYFUNCTION("""COMPUTED_VALUE"""),"Accrued Interest")</f>
        <v>Accrued Interest</v>
      </c>
      <c r="E5" s="10" t="str">
        <f>IFERROR(__xludf.DUMMYFUNCTION("""COMPUTED_VALUE"""),"Allocated Qty")</f>
        <v>Allocated Qty</v>
      </c>
      <c r="F5" s="10" t="str">
        <f>IFERROR(__xludf.DUMMYFUNCTION("""COMPUTED_VALUE"""),"Allocation Scheme Name")</f>
        <v>Allocation Scheme Name</v>
      </c>
      <c r="G5" s="10" t="str">
        <f>IFERROR(__xludf.DUMMYFUNCTION("""COMPUTED_VALUE"""),"Asset Category")</f>
        <v>Asset Category</v>
      </c>
      <c r="H5" s="10" t="str">
        <f>IFERROR(__xludf.DUMMYFUNCTION("""COMPUTED_VALUE"""),"AUEC Fee1")</f>
        <v>AUEC Fee1</v>
      </c>
      <c r="I5" s="10" t="str">
        <f>IFERROR(__xludf.DUMMYFUNCTION("""COMPUTED_VALUE"""),"AUEC Fee2")</f>
        <v>AUEC Fee2</v>
      </c>
      <c r="J5" s="10" t="str">
        <f>IFERROR(__xludf.DUMMYFUNCTION("""COMPUTED_VALUE"""),"AUECID")</f>
        <v>AUECID</v>
      </c>
      <c r="K5" s="10" t="str">
        <f>IFERROR(__xludf.DUMMYFUNCTION("""COMPUTED_VALUE"""),"Avg Price(Base)")</f>
        <v>Avg Price(Base)</v>
      </c>
      <c r="L5" s="10" t="str">
        <f>IFERROR(__xludf.DUMMYFUNCTION("""COMPUTED_VALUE"""),"Avg Price(Local)")</f>
        <v>Avg Price(Local)</v>
      </c>
      <c r="M5" s="10" t="str">
        <f>IFERROR(__xludf.DUMMYFUNCTION("""COMPUTED_VALUE"""),"Bloomberg")</f>
        <v>Bloomberg</v>
      </c>
      <c r="N5" s="10" t="str">
        <f>IFERROR(__xludf.DUMMYFUNCTION("""COMPUTED_VALUE"""),"Bond Type")</f>
        <v>Bond Type</v>
      </c>
      <c r="O5" s="10" t="str">
        <f>IFERROR(__xludf.DUMMYFUNCTION("""COMPUTED_VALUE"""),"Broker")</f>
        <v>Broker</v>
      </c>
      <c r="P5" s="10" t="str">
        <f>IFERROR(__xludf.DUMMYFUNCTION("""COMPUTED_VALUE"""),"Change Comment")</f>
        <v>Change Comment</v>
      </c>
      <c r="Q5" s="10" t="str">
        <f>IFERROR(__xludf.DUMMYFUNCTION("""COMPUTED_VALUE"""),"Change Type")</f>
        <v>Change Type</v>
      </c>
      <c r="R5" s="10" t="str">
        <f>IFERROR(__xludf.DUMMYFUNCTION("""COMPUTED_VALUE"""),"Clearing Broker Fee")</f>
        <v>Clearing Broker Fee</v>
      </c>
      <c r="S5" s="10" t="str">
        <f>IFERROR(__xludf.DUMMYFUNCTION("""COMPUTED_VALUE"""),"Closing Status")</f>
        <v>Closing Status</v>
      </c>
      <c r="T5" s="15" t="str">
        <f>IFERROR(__xludf.DUMMYFUNCTION("""COMPUTED_VALUE"""),"Commission")</f>
        <v>Commission</v>
      </c>
      <c r="U5" s="15" t="str">
        <f>IFERROR(__xludf.DUMMYFUNCTION("""COMPUTED_VALUE"""),"Commission Per Share")</f>
        <v>Commission Per Share</v>
      </c>
      <c r="V5" s="15" t="str">
        <f>IFERROR(__xludf.DUMMYFUNCTION("""COMPUTED_VALUE"""),"Company")</f>
        <v>Company</v>
      </c>
      <c r="W5" s="15" t="str">
        <f>IFERROR(__xludf.DUMMYFUNCTION("""COMPUTED_VALUE"""),"Contract Multiplier")</f>
        <v>Contract Multiplier</v>
      </c>
      <c r="X5" s="15" t="str">
        <f>IFERROR(__xludf.DUMMYFUNCTION("""COMPUTED_VALUE"""),"Coupon Rate")</f>
        <v>Coupon Rate</v>
      </c>
      <c r="Y5" s="15" t="str">
        <f>IFERROR(__xludf.DUMMYFUNCTION("""COMPUTED_VALUE"""),"Cum Qty For Sub Order")</f>
        <v>Cum Qty For Sub Order</v>
      </c>
      <c r="Z5" s="15" t="str">
        <f>IFERROR(__xludf.DUMMYFUNCTION("""COMPUTED_VALUE"""),"Currency")</f>
        <v>Currency</v>
      </c>
      <c r="AA5" s="15" t="str">
        <f>IFERROR(__xludf.DUMMYFUNCTION("""COMPUTED_VALUE"""),"Cusip Symbol")</f>
        <v>Cusip Symbol</v>
      </c>
      <c r="AB5" s="15" t="str">
        <f>IFERROR(__xludf.DUMMYFUNCTION("""COMPUTED_VALUE"""),"Delta")</f>
        <v>Delta</v>
      </c>
      <c r="AC5" s="15" t="str">
        <f>IFERROR(__xludf.DUMMYFUNCTION("""COMPUTED_VALUE"""),"Description")</f>
        <v>Description</v>
      </c>
      <c r="AD5" s="15" t="str">
        <f>IFERROR(__xludf.DUMMYFUNCTION("""COMPUTED_VALUE"""),"Exchange")</f>
        <v>Exchange</v>
      </c>
      <c r="AE5" s="15" t="str">
        <f>IFERROR(__xludf.DUMMYFUNCTION("""COMPUTED_VALUE"""),"Executed Qty")</f>
        <v>Executed Qty</v>
      </c>
      <c r="AF5" s="15" t="str">
        <f>IFERROR(__xludf.DUMMYFUNCTION("""COMPUTED_VALUE"""),"Exceution Time")</f>
        <v>Exceution Time</v>
      </c>
      <c r="AG5" s="15" t="str">
        <f>IFERROR(__xludf.DUMMYFUNCTION("""COMPUTED_VALUE"""),"Expiration Date")</f>
        <v>Expiration Date</v>
      </c>
      <c r="AH5" s="15" t="str">
        <f>IFERROR(__xludf.DUMMYFUNCTION("""COMPUTED_VALUE"""),"FX Conversion Operator")</f>
        <v>FX Conversion Operator</v>
      </c>
      <c r="AI5" s="15" t="str">
        <f>IFERROR(__xludf.DUMMYFUNCTION("""COMPUTED_VALUE"""),"FX Rate")</f>
        <v>FX Rate</v>
      </c>
      <c r="AJ5" s="15" t="str">
        <f>IFERROR(__xludf.DUMMYFUNCTION("""COMPUTED_VALUE"""),"Group Status")</f>
        <v>Group Status</v>
      </c>
      <c r="AK5" s="15" t="str">
        <f>IFERROR(__xludf.DUMMYFUNCTION("""COMPUTED_VALUE"""),"IDCOSymbol")</f>
        <v>IDCOSymbol</v>
      </c>
      <c r="AL5" s="15" t="str">
        <f>IFERROR(__xludf.DUMMYFUNCTION("""COMPUTED_VALUE"""),"Import File Name")</f>
        <v>Import File Name</v>
      </c>
      <c r="AM5" s="15" t="str">
        <f>IFERROR(__xludf.DUMMYFUNCTION("""COMPUTED_VALUE"""),"Internal Comments")</f>
        <v>Internal Comments</v>
      </c>
      <c r="AN5" s="15" t="str">
        <f>IFERROR(__xludf.DUMMYFUNCTION("""COMPUTED_VALUE"""),"IsAnotherTaxlotAttributesUpdated")</f>
        <v>IsAnotherTaxlotAttributesUpdated</v>
      </c>
      <c r="AO5" s="15" t="str">
        <f>IFERROR(__xludf.DUMMYFUNCTION("""COMPUTED_VALUE"""),"ISIN")</f>
        <v>ISIN</v>
      </c>
      <c r="AP5" s="15" t="str">
        <f>IFERROR(__xludf.DUMMYFUNCTION("""COMPUTED_VALUE"""),"IsManual Group")</f>
        <v>IsManual Group</v>
      </c>
      <c r="AQ5" s="15" t="str">
        <f>IFERROR(__xludf.DUMMYFUNCTION("""COMPUTED_VALUE"""),"ISNDF")</f>
        <v>ISNDF</v>
      </c>
      <c r="AR5" s="15" t="str">
        <f>IFERROR(__xludf.DUMMYFUNCTION("""COMPUTED_VALUE"""),"IsPreAllocated")</f>
        <v>IsPreAllocated</v>
      </c>
      <c r="AS5" s="15" t="str">
        <f>IFERROR(__xludf.DUMMYFUNCTION("""COMPUTED_VALUE"""),"M2MProfitLoss")</f>
        <v>M2MProfitLoss</v>
      </c>
      <c r="AT5" s="15" t="str">
        <f>IFERROR(__xludf.DUMMYFUNCTION("""COMPUTED_VALUE"""),"Net Amount( Base)")</f>
        <v>Net Amount( Base)</v>
      </c>
      <c r="AU5" s="15" t="str">
        <f>IFERROR(__xludf.DUMMYFUNCTION("""COMPUTED_VALUE"""),"Net Amount( Local)")</f>
        <v>Net Amount( Local)</v>
      </c>
      <c r="AV5" s="15" t="str">
        <f>IFERROR(__xludf.DUMMYFUNCTION("""COMPUTED_VALUE"""),"Nirvana Process Date")</f>
        <v>Nirvana Process Date</v>
      </c>
      <c r="AW5" s="15" t="str">
        <f>IFERROR(__xludf.DUMMYFUNCTION("""COMPUTED_VALUE"""),"OCC Fee")</f>
        <v>OCC Fee</v>
      </c>
      <c r="AX5" s="15" t="str">
        <f>IFERROR(__xludf.DUMMYFUNCTION("""COMPUTED_VALUE"""),"Option Premium Adjustment")</f>
        <v>Option Premium Adjustment</v>
      </c>
      <c r="AY5" s="15" t="str">
        <f>IFERROR(__xludf.DUMMYFUNCTION("""COMPUTED_VALUE"""),"Order Type")</f>
        <v>Order Type</v>
      </c>
      <c r="AZ5" s="15" t="str">
        <f>IFERROR(__xludf.DUMMYFUNCTION("""COMPUTED_VALUE"""),"ORF Fee")</f>
        <v>ORF Fee</v>
      </c>
      <c r="BA5" s="15" t="str">
        <f>IFERROR(__xludf.DUMMYFUNCTION("""COMPUTED_VALUE"""),"Original Purchase Date")</f>
        <v>Original Purchase Date</v>
      </c>
      <c r="BB5" s="15" t="str">
        <f>IFERROR(__xludf.DUMMYFUNCTION("""COMPUTED_VALUE"""),"OSISSymbol")</f>
        <v>OSISSymbol</v>
      </c>
      <c r="BC5" s="15" t="str">
        <f>IFERROR(__xludf.DUMMYFUNCTION("""COMPUTED_VALUE"""),"Other Broker Fees")</f>
        <v>Other Broker Fees</v>
      </c>
      <c r="BD5" s="15" t="str">
        <f>IFERROR(__xludf.DUMMYFUNCTION("""COMPUTED_VALUE"""),"Prana Msg Type")</f>
        <v>Prana Msg Type</v>
      </c>
      <c r="BE5" s="15" t="str">
        <f>IFERROR(__xludf.DUMMYFUNCTION("""COMPUTED_VALUE"""),"Principal Amount( Base)")</f>
        <v>Principal Amount( Base)</v>
      </c>
      <c r="BF5" s="15" t="str">
        <f>IFERROR(__xludf.DUMMYFUNCTION("""COMPUTED_VALUE"""),"Principal Amount( Local)")</f>
        <v>Principal Amount( Local)</v>
      </c>
      <c r="BG5" s="15" t="str">
        <f>IFERROR(__xludf.DUMMYFUNCTION("""COMPUTED_VALUE"""),"Process Date")</f>
        <v>Process Date</v>
      </c>
      <c r="BH5" s="15" t="str">
        <f>IFERROR(__xludf.DUMMYFUNCTION("""COMPUTED_VALUE"""),"Proxy Symbol")</f>
        <v>Proxy Symbol</v>
      </c>
      <c r="BI5" s="15" t="str">
        <f>IFERROR(__xludf.DUMMYFUNCTION("""COMPUTED_VALUE"""),"Put Or Call")</f>
        <v>Put Or Call</v>
      </c>
      <c r="BJ5" s="15" t="str">
        <f>IFERROR(__xludf.DUMMYFUNCTION("""COMPUTED_VALUE"""),"Quantity")</f>
        <v>Quantity</v>
      </c>
      <c r="BK5" s="15" t="str">
        <f>IFERROR(__xludf.DUMMYFUNCTION("""COMPUTED_VALUE"""),"SEC Fee")</f>
        <v>SEC Fee</v>
      </c>
      <c r="BL5" s="15" t="str">
        <f>IFERROR(__xludf.DUMMYFUNCTION("""COMPUTED_VALUE"""),"Sedol Symbol")</f>
        <v>Sedol Symbol</v>
      </c>
      <c r="BM5" s="15" t="str">
        <f>IFERROR(__xludf.DUMMYFUNCTION("""COMPUTED_VALUE"""),"Settlement Currency")</f>
        <v>Settlement Currency</v>
      </c>
      <c r="BN5" s="15" t="str">
        <f>IFERROR(__xludf.DUMMYFUNCTION("""COMPUTED_VALUE"""),"Settlement Date")</f>
        <v>Settlement Date</v>
      </c>
      <c r="BO5" s="15" t="str">
        <f>IFERROR(__xludf.DUMMYFUNCTION("""COMPUTED_VALUE"""),"Side")</f>
        <v>Side</v>
      </c>
      <c r="BP5" s="15" t="str">
        <f>IFERROR(__xludf.DUMMYFUNCTION("""COMPUTED_VALUE"""),"Soft Commission")</f>
        <v>Soft Commission</v>
      </c>
      <c r="BQ5" s="15" t="str">
        <f>IFERROR(__xludf.DUMMYFUNCTION("""COMPUTED_VALUE"""),"Soft Commission Per Share")</f>
        <v>Soft Commission Per Share</v>
      </c>
      <c r="BR5" s="15" t="str">
        <f>IFERROR(__xludf.DUMMYFUNCTION("""COMPUTED_VALUE"""),"Stamp Duty")</f>
        <v>Stamp Duty</v>
      </c>
      <c r="BS5" s="15" t="str">
        <f>IFERROR(__xludf.DUMMYFUNCTION("""COMPUTED_VALUE"""),"Strategy Name")</f>
        <v>Strategy Name</v>
      </c>
      <c r="BT5" s="15" t="str">
        <f>IFERROR(__xludf.DUMMYFUNCTION("""COMPUTED_VALUE"""),"Symbol")</f>
        <v>Symbol</v>
      </c>
      <c r="BU5" s="15" t="str">
        <f>IFERROR(__xludf.DUMMYFUNCTION("""COMPUTED_VALUE"""),"Tax On Commissions")</f>
        <v>Tax On Commissions</v>
      </c>
      <c r="BV5" s="15" t="str">
        <f>IFERROR(__xludf.DUMMYFUNCTION("""COMPUTED_VALUE"""),"Total Commission")</f>
        <v>Total Commission</v>
      </c>
      <c r="BW5" s="15" t="str">
        <f>IFERROR(__xludf.DUMMYFUNCTION("""COMPUTED_VALUE"""),"Total Commission And Fee")</f>
        <v>Total Commission And Fee</v>
      </c>
      <c r="BX5" s="15" t="str">
        <f>IFERROR(__xludf.DUMMYFUNCTION("""COMPUTED_VALUE"""),"Total Commission Per Share")</f>
        <v>Total Commission Per Share</v>
      </c>
      <c r="BY5" s="15" t="str">
        <f>IFERROR(__xludf.DUMMYFUNCTION("""COMPUTED_VALUE"""),"Trade Attribute 1")</f>
        <v>Trade Attribute 1</v>
      </c>
      <c r="BZ5" s="15" t="str">
        <f>IFERROR(__xludf.DUMMYFUNCTION("""COMPUTED_VALUE"""),"Trade Attribute 2")</f>
        <v>Trade Attribute 2</v>
      </c>
      <c r="CA5" s="15" t="str">
        <f>IFERROR(__xludf.DUMMYFUNCTION("""COMPUTED_VALUE"""),"Trade Attribute 3")</f>
        <v>Trade Attribute 3</v>
      </c>
      <c r="CB5" s="15" t="str">
        <f>IFERROR(__xludf.DUMMYFUNCTION("""COMPUTED_VALUE"""),"Trade Attribute 4")</f>
        <v>Trade Attribute 4</v>
      </c>
      <c r="CC5" s="15" t="str">
        <f>IFERROR(__xludf.DUMMYFUNCTION("""COMPUTED_VALUE"""),"Trade Attribute 5")</f>
        <v>Trade Attribute 5</v>
      </c>
      <c r="CD5" s="15" t="str">
        <f>IFERROR(__xludf.DUMMYFUNCTION("""COMPUTED_VALUE"""),"Trade Attribute 6")</f>
        <v>Trade Attribute 6</v>
      </c>
      <c r="CE5" s="15" t="str">
        <f>IFERROR(__xludf.DUMMYFUNCTION("""COMPUTED_VALUE"""),"Trade Date")</f>
        <v>Trade Date</v>
      </c>
      <c r="CF5" s="15" t="str">
        <f>IFERROR(__xludf.DUMMYFUNCTION("""COMPUTED_VALUE"""),"Trading Account")</f>
        <v>Trading Account</v>
      </c>
      <c r="CG5" s="15" t="str">
        <f>IFERROR(__xludf.DUMMYFUNCTION("""COMPUTED_VALUE"""),"Transaction Levy")</f>
        <v>Transaction Levy</v>
      </c>
      <c r="CH5" s="15" t="str">
        <f>IFERROR(__xludf.DUMMYFUNCTION("""COMPUTED_VALUE"""),"Transaction Source")</f>
        <v>Transaction Source</v>
      </c>
      <c r="CI5" s="15" t="str">
        <f>IFERROR(__xludf.DUMMYFUNCTION("""COMPUTED_VALUE"""),"Transaction Type")</f>
        <v>Transaction Type</v>
      </c>
      <c r="CJ5" s="15" t="str">
        <f>IFERROR(__xludf.DUMMYFUNCTION("""COMPUTED_VALUE"""),"UnAllocatedQty")</f>
        <v>UnAllocatedQty</v>
      </c>
      <c r="CK5" s="15" t="str">
        <f>IFERROR(__xludf.DUMMYFUNCTION("""COMPUTED_VALUE"""),"Underlying")</f>
        <v>Underlying</v>
      </c>
      <c r="CL5" s="15" t="str">
        <f>IFERROR(__xludf.DUMMYFUNCTION("""COMPUTED_VALUE"""),"Underlying Delta")</f>
        <v>Underlying Delta</v>
      </c>
      <c r="CM5" s="15" t="str">
        <f>IFERROR(__xludf.DUMMYFUNCTION("""COMPUTED_VALUE"""),"Underlying Symbol")</f>
        <v>Underlying Symbol</v>
      </c>
      <c r="CN5" s="15" t="str">
        <f>IFERROR(__xludf.DUMMYFUNCTION("""COMPUTED_VALUE"""),"User")</f>
        <v>User</v>
      </c>
      <c r="CO5" s="15" t="str">
        <f>IFERROR(__xludf.DUMMYFUNCTION("""COMPUTED_VALUE"""),"Venue")</f>
        <v>Venue</v>
      </c>
      <c r="CP5" s="15" t="str">
        <f>IFERROR(__xludf.DUMMYFUNCTION("""COMPUTED_VALUE"""),"Closing Method")</f>
        <v>Closing Method</v>
      </c>
      <c r="CQ5" s="15" t="str">
        <f>IFERROR(__xludf.DUMMYFUNCTION("""COMPUTED_VALUE"""),"Closing Date")</f>
        <v>Closing Date</v>
      </c>
      <c r="CR5" s="15" t="str">
        <f>IFERROR(__xludf.DUMMYFUNCTION("""COMPUTED_VALUE"""),"GroupID")</f>
        <v>GroupID</v>
      </c>
      <c r="CS5" s="15" t="str">
        <f>IFERROR(__xludf.DUMMYFUNCTION("""COMPUTED_VALUE"""),"Client")</f>
        <v>Client</v>
      </c>
      <c r="CT5" s="15" t="str">
        <f>IFERROR(__xludf.DUMMYFUNCTION("""COMPUTED_VALUE"""),"Borrow Broker")</f>
        <v>Borrow Broker</v>
      </c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</row>
    <row r="6" ht="15.75" customHeight="1" spans="1:164">
      <c r="A6" s="4"/>
      <c r="B6" s="4" t="s">
        <v>44</v>
      </c>
      <c r="C6" s="4" t="s">
        <v>45</v>
      </c>
      <c r="D6" s="4">
        <v>0</v>
      </c>
      <c r="E6" s="4">
        <v>100</v>
      </c>
      <c r="F6" s="4" t="s">
        <v>18</v>
      </c>
      <c r="G6" s="4" t="s">
        <v>46</v>
      </c>
      <c r="H6" s="4">
        <v>4</v>
      </c>
      <c r="I6" s="4">
        <v>5</v>
      </c>
      <c r="J6" s="4">
        <v>1</v>
      </c>
      <c r="K6" s="4">
        <v>10</v>
      </c>
      <c r="L6" s="4">
        <v>10</v>
      </c>
      <c r="M6" s="4" t="s">
        <v>47</v>
      </c>
      <c r="N6" s="4" t="s">
        <v>45</v>
      </c>
      <c r="O6" s="4" t="s">
        <v>48</v>
      </c>
      <c r="Q6">
        <v>3</v>
      </c>
      <c r="R6">
        <v>0</v>
      </c>
      <c r="S6" t="s">
        <v>49</v>
      </c>
      <c r="T6">
        <v>0</v>
      </c>
      <c r="U6">
        <v>0</v>
      </c>
      <c r="W6">
        <v>1</v>
      </c>
      <c r="X6" t="s">
        <v>45</v>
      </c>
      <c r="Y6" t="s">
        <v>45</v>
      </c>
      <c r="Z6" t="s">
        <v>50</v>
      </c>
      <c r="AA6" t="s">
        <v>30</v>
      </c>
      <c r="AB6">
        <v>1</v>
      </c>
      <c r="AD6" t="s">
        <v>51</v>
      </c>
      <c r="AE6">
        <v>100</v>
      </c>
      <c r="AF6" t="s">
        <v>45</v>
      </c>
      <c r="AI6">
        <v>1</v>
      </c>
      <c r="AJ6" t="s">
        <v>52</v>
      </c>
      <c r="AN6" t="b">
        <v>0</v>
      </c>
      <c r="AQ6" t="b">
        <v>0</v>
      </c>
      <c r="AR6" t="b">
        <v>1</v>
      </c>
      <c r="AS6">
        <v>0</v>
      </c>
      <c r="AT6">
        <v>1014.0006</v>
      </c>
      <c r="AU6">
        <v>1014.0006</v>
      </c>
      <c r="AX6">
        <v>0</v>
      </c>
      <c r="AY6" t="s">
        <v>53</v>
      </c>
      <c r="BE6">
        <v>1000</v>
      </c>
      <c r="BF6">
        <v>1000</v>
      </c>
      <c r="BJ6">
        <v>100</v>
      </c>
      <c r="BK6">
        <v>0</v>
      </c>
      <c r="BL6" t="s">
        <v>45</v>
      </c>
      <c r="BO6" t="s">
        <v>31</v>
      </c>
      <c r="BP6">
        <v>0</v>
      </c>
      <c r="BQ6">
        <v>0</v>
      </c>
      <c r="BS6" t="s">
        <v>44</v>
      </c>
      <c r="BT6" t="s">
        <v>30</v>
      </c>
      <c r="BU6">
        <v>3</v>
      </c>
      <c r="BV6">
        <v>0</v>
      </c>
      <c r="BX6">
        <v>0</v>
      </c>
      <c r="CG6">
        <v>2</v>
      </c>
      <c r="CH6" t="s">
        <v>54</v>
      </c>
      <c r="CI6" t="s">
        <v>31</v>
      </c>
      <c r="CJ6">
        <v>0</v>
      </c>
      <c r="CK6" t="s">
        <v>55</v>
      </c>
      <c r="CL6">
        <v>1</v>
      </c>
      <c r="CM6" t="s">
        <v>30</v>
      </c>
      <c r="CN6" t="s">
        <v>56</v>
      </c>
      <c r="CO6" t="s">
        <v>51</v>
      </c>
      <c r="CU6" t="s">
        <v>45</v>
      </c>
      <c r="CV6" t="s">
        <v>45</v>
      </c>
      <c r="CW6" t="s">
        <v>45</v>
      </c>
      <c r="CX6" t="s">
        <v>45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</row>
    <row r="7" ht="15.75" customHeight="1" spans="1:164">
      <c r="A7" s="4"/>
      <c r="B7" s="4" t="s">
        <v>44</v>
      </c>
      <c r="C7" s="4" t="s">
        <v>45</v>
      </c>
      <c r="D7" s="4">
        <v>0</v>
      </c>
      <c r="E7" s="4">
        <v>20</v>
      </c>
      <c r="F7" s="4" t="s">
        <v>18</v>
      </c>
      <c r="G7" s="4" t="s">
        <v>46</v>
      </c>
      <c r="H7" s="4">
        <v>4</v>
      </c>
      <c r="I7" s="4">
        <v>5</v>
      </c>
      <c r="J7" s="4">
        <v>1</v>
      </c>
      <c r="K7" s="4">
        <v>10</v>
      </c>
      <c r="L7" s="4">
        <v>10</v>
      </c>
      <c r="M7" s="4" t="s">
        <v>47</v>
      </c>
      <c r="N7" s="4" t="s">
        <v>45</v>
      </c>
      <c r="O7" s="4" t="s">
        <v>48</v>
      </c>
      <c r="Q7">
        <v>3</v>
      </c>
      <c r="R7">
        <v>0</v>
      </c>
      <c r="S7" t="s">
        <v>49</v>
      </c>
      <c r="T7">
        <v>0</v>
      </c>
      <c r="U7">
        <v>0</v>
      </c>
      <c r="W7">
        <v>1</v>
      </c>
      <c r="X7" t="s">
        <v>45</v>
      </c>
      <c r="Y7" t="s">
        <v>45</v>
      </c>
      <c r="Z7" t="s">
        <v>50</v>
      </c>
      <c r="AA7" t="s">
        <v>30</v>
      </c>
      <c r="AB7">
        <v>1</v>
      </c>
      <c r="AD7" t="s">
        <v>51</v>
      </c>
      <c r="AE7">
        <v>20</v>
      </c>
      <c r="AF7" t="s">
        <v>45</v>
      </c>
      <c r="AI7">
        <v>1</v>
      </c>
      <c r="AJ7" t="s">
        <v>52</v>
      </c>
      <c r="AN7" t="b">
        <v>0</v>
      </c>
      <c r="AQ7" t="b">
        <v>0</v>
      </c>
      <c r="AR7" t="b">
        <v>1</v>
      </c>
      <c r="AS7">
        <v>0</v>
      </c>
      <c r="AT7">
        <v>185.9999</v>
      </c>
      <c r="AU7">
        <v>185.9999</v>
      </c>
      <c r="AX7">
        <v>0</v>
      </c>
      <c r="AY7" t="s">
        <v>53</v>
      </c>
      <c r="BE7">
        <v>200</v>
      </c>
      <c r="BF7">
        <v>200</v>
      </c>
      <c r="BJ7">
        <v>90</v>
      </c>
      <c r="BK7">
        <v>0</v>
      </c>
      <c r="BL7" t="s">
        <v>45</v>
      </c>
      <c r="BO7" t="s">
        <v>32</v>
      </c>
      <c r="BP7">
        <v>0</v>
      </c>
      <c r="BQ7">
        <v>0</v>
      </c>
      <c r="BS7" t="s">
        <v>44</v>
      </c>
      <c r="BT7" t="s">
        <v>30</v>
      </c>
      <c r="BU7">
        <v>3</v>
      </c>
      <c r="BV7">
        <v>0</v>
      </c>
      <c r="BX7">
        <v>0</v>
      </c>
      <c r="CG7">
        <v>2</v>
      </c>
      <c r="CH7" t="s">
        <v>54</v>
      </c>
      <c r="CI7" t="s">
        <v>32</v>
      </c>
      <c r="CJ7">
        <v>0</v>
      </c>
      <c r="CK7" t="s">
        <v>55</v>
      </c>
      <c r="CL7">
        <v>1</v>
      </c>
      <c r="CM7" t="s">
        <v>30</v>
      </c>
      <c r="CN7" t="s">
        <v>56</v>
      </c>
      <c r="CO7" t="s">
        <v>51</v>
      </c>
      <c r="CU7" t="s">
        <v>45</v>
      </c>
      <c r="CV7" t="s">
        <v>45</v>
      </c>
      <c r="CW7" t="s">
        <v>45</v>
      </c>
      <c r="CX7" t="s">
        <v>45</v>
      </c>
      <c r="CY7" t="s">
        <v>45</v>
      </c>
      <c r="CZ7" t="s">
        <v>45</v>
      </c>
      <c r="DA7" t="s">
        <v>45</v>
      </c>
      <c r="DB7" t="s">
        <v>45</v>
      </c>
      <c r="DC7" t="s">
        <v>45</v>
      </c>
      <c r="DD7" t="s">
        <v>45</v>
      </c>
      <c r="DE7" t="s">
        <v>45</v>
      </c>
      <c r="DF7" t="s">
        <v>45</v>
      </c>
      <c r="DG7" t="s">
        <v>45</v>
      </c>
      <c r="DH7" t="s">
        <v>45</v>
      </c>
      <c r="DI7" t="s">
        <v>45</v>
      </c>
      <c r="DJ7" t="s">
        <v>45</v>
      </c>
      <c r="DK7" t="s">
        <v>45</v>
      </c>
      <c r="DL7" t="s">
        <v>45</v>
      </c>
      <c r="DM7" t="s">
        <v>45</v>
      </c>
      <c r="DN7" t="s">
        <v>45</v>
      </c>
      <c r="DO7" t="s">
        <v>45</v>
      </c>
      <c r="DP7" t="s">
        <v>45</v>
      </c>
      <c r="DQ7" t="s">
        <v>45</v>
      </c>
      <c r="DR7" t="s">
        <v>45</v>
      </c>
      <c r="DS7" t="s">
        <v>45</v>
      </c>
      <c r="DT7" t="s">
        <v>45</v>
      </c>
      <c r="DU7" t="s">
        <v>45</v>
      </c>
      <c r="DV7" t="s">
        <v>45</v>
      </c>
      <c r="DW7" t="s">
        <v>45</v>
      </c>
      <c r="DX7" t="s">
        <v>45</v>
      </c>
      <c r="DY7" t="s">
        <v>45</v>
      </c>
      <c r="DZ7" t="s">
        <v>45</v>
      </c>
      <c r="EA7" t="s">
        <v>45</v>
      </c>
      <c r="EB7" t="s">
        <v>45</v>
      </c>
      <c r="EC7" t="s">
        <v>45</v>
      </c>
      <c r="ED7" t="s">
        <v>45</v>
      </c>
      <c r="EE7" t="s">
        <v>45</v>
      </c>
      <c r="EF7" t="s">
        <v>45</v>
      </c>
      <c r="EG7" t="s">
        <v>45</v>
      </c>
      <c r="EH7" t="s">
        <v>45</v>
      </c>
      <c r="EI7" t="s">
        <v>45</v>
      </c>
      <c r="EJ7" t="s">
        <v>45</v>
      </c>
      <c r="EK7" t="s">
        <v>45</v>
      </c>
      <c r="EL7" t="s">
        <v>45</v>
      </c>
      <c r="EM7" t="s">
        <v>45</v>
      </c>
      <c r="EN7" t="s">
        <v>45</v>
      </c>
      <c r="EO7" t="s">
        <v>45</v>
      </c>
      <c r="EP7" t="s">
        <v>45</v>
      </c>
      <c r="EQ7" t="s">
        <v>45</v>
      </c>
      <c r="ER7" t="s">
        <v>45</v>
      </c>
      <c r="ES7" t="s">
        <v>45</v>
      </c>
      <c r="ET7" t="s">
        <v>45</v>
      </c>
      <c r="EU7" t="s">
        <v>45</v>
      </c>
      <c r="EV7" t="s">
        <v>45</v>
      </c>
      <c r="EW7" t="s">
        <v>45</v>
      </c>
      <c r="EX7" t="s">
        <v>45</v>
      </c>
      <c r="EY7" t="s">
        <v>45</v>
      </c>
      <c r="EZ7" t="s">
        <v>45</v>
      </c>
      <c r="FA7" t="s">
        <v>45</v>
      </c>
      <c r="FB7" t="s">
        <v>45</v>
      </c>
      <c r="FC7" t="s">
        <v>45</v>
      </c>
      <c r="FD7" t="s">
        <v>45</v>
      </c>
      <c r="FE7" t="s">
        <v>45</v>
      </c>
      <c r="FF7" t="s">
        <v>45</v>
      </c>
      <c r="FG7" t="s">
        <v>45</v>
      </c>
      <c r="FH7" t="s">
        <v>45</v>
      </c>
    </row>
    <row r="8" ht="15.75" customHeight="1" spans="1:164">
      <c r="A8" s="4"/>
      <c r="B8" s="4" t="s">
        <v>44</v>
      </c>
      <c r="C8" s="4" t="s">
        <v>45</v>
      </c>
      <c r="D8" s="4">
        <v>0</v>
      </c>
      <c r="E8" s="4">
        <v>100</v>
      </c>
      <c r="F8" s="4" t="s">
        <v>18</v>
      </c>
      <c r="G8" s="4" t="s">
        <v>46</v>
      </c>
      <c r="H8" s="4">
        <v>4</v>
      </c>
      <c r="I8" s="4">
        <v>5</v>
      </c>
      <c r="J8" s="4">
        <v>1</v>
      </c>
      <c r="K8" s="4">
        <v>10</v>
      </c>
      <c r="L8" s="4">
        <v>10</v>
      </c>
      <c r="M8" s="4" t="s">
        <v>47</v>
      </c>
      <c r="N8" s="4" t="s">
        <v>45</v>
      </c>
      <c r="O8" s="4" t="s">
        <v>48</v>
      </c>
      <c r="Q8">
        <v>3</v>
      </c>
      <c r="R8">
        <v>0</v>
      </c>
      <c r="S8" t="s">
        <v>49</v>
      </c>
      <c r="T8">
        <v>0</v>
      </c>
      <c r="U8">
        <v>0</v>
      </c>
      <c r="W8">
        <v>1</v>
      </c>
      <c r="X8" t="s">
        <v>45</v>
      </c>
      <c r="Y8" t="s">
        <v>45</v>
      </c>
      <c r="Z8" t="s">
        <v>50</v>
      </c>
      <c r="AA8" t="s">
        <v>30</v>
      </c>
      <c r="AB8">
        <v>1</v>
      </c>
      <c r="AD8" t="s">
        <v>51</v>
      </c>
      <c r="AE8">
        <v>100</v>
      </c>
      <c r="AF8" t="s">
        <v>45</v>
      </c>
      <c r="AI8">
        <v>1</v>
      </c>
      <c r="AJ8" t="s">
        <v>52</v>
      </c>
      <c r="AN8" t="b">
        <v>0</v>
      </c>
      <c r="AQ8" t="b">
        <v>0</v>
      </c>
      <c r="AR8" t="b">
        <v>1</v>
      </c>
      <c r="AS8">
        <v>0</v>
      </c>
      <c r="AT8">
        <v>985.9994</v>
      </c>
      <c r="AU8">
        <v>985.9994</v>
      </c>
      <c r="AX8">
        <v>0</v>
      </c>
      <c r="AY8" t="s">
        <v>53</v>
      </c>
      <c r="BE8">
        <v>1000</v>
      </c>
      <c r="BF8">
        <v>1000</v>
      </c>
      <c r="BJ8">
        <v>100</v>
      </c>
      <c r="BK8">
        <v>0</v>
      </c>
      <c r="BL8" t="s">
        <v>45</v>
      </c>
      <c r="BO8" t="s">
        <v>32</v>
      </c>
      <c r="BP8">
        <v>0</v>
      </c>
      <c r="BQ8">
        <v>0</v>
      </c>
      <c r="BS8" t="s">
        <v>44</v>
      </c>
      <c r="BT8" t="s">
        <v>30</v>
      </c>
      <c r="BU8">
        <v>3</v>
      </c>
      <c r="BV8">
        <v>0</v>
      </c>
      <c r="BX8">
        <v>0</v>
      </c>
      <c r="CG8">
        <v>2</v>
      </c>
      <c r="CH8" t="s">
        <v>54</v>
      </c>
      <c r="CI8" t="s">
        <v>32</v>
      </c>
      <c r="CJ8">
        <v>0</v>
      </c>
      <c r="CK8" t="s">
        <v>55</v>
      </c>
      <c r="CL8">
        <v>1</v>
      </c>
      <c r="CM8" t="s">
        <v>30</v>
      </c>
      <c r="CN8" t="s">
        <v>56</v>
      </c>
      <c r="CO8" t="s">
        <v>51</v>
      </c>
      <c r="CU8" t="s">
        <v>45</v>
      </c>
      <c r="CV8" t="s">
        <v>45</v>
      </c>
      <c r="CW8" t="s">
        <v>45</v>
      </c>
      <c r="CX8" t="s">
        <v>45</v>
      </c>
      <c r="CY8" t="s">
        <v>45</v>
      </c>
      <c r="CZ8" t="s">
        <v>45</v>
      </c>
      <c r="DA8" t="s">
        <v>45</v>
      </c>
      <c r="DB8" t="s">
        <v>45</v>
      </c>
      <c r="DC8" t="s">
        <v>45</v>
      </c>
      <c r="DD8" t="s">
        <v>45</v>
      </c>
      <c r="DE8" t="s">
        <v>45</v>
      </c>
      <c r="DF8" t="s">
        <v>45</v>
      </c>
      <c r="DG8" t="s">
        <v>45</v>
      </c>
      <c r="DH8" t="s">
        <v>45</v>
      </c>
      <c r="DI8" t="s">
        <v>45</v>
      </c>
      <c r="DJ8" t="s">
        <v>45</v>
      </c>
      <c r="DK8" t="s">
        <v>45</v>
      </c>
      <c r="DL8" t="s">
        <v>45</v>
      </c>
      <c r="DM8" t="s">
        <v>45</v>
      </c>
      <c r="DN8" t="s">
        <v>45</v>
      </c>
      <c r="DO8" t="s">
        <v>45</v>
      </c>
      <c r="DP8" t="s">
        <v>45</v>
      </c>
      <c r="DQ8" t="s">
        <v>45</v>
      </c>
      <c r="DR8" t="s">
        <v>45</v>
      </c>
      <c r="DS8" t="s">
        <v>45</v>
      </c>
      <c r="DT8" t="s">
        <v>45</v>
      </c>
      <c r="DU8" t="s">
        <v>45</v>
      </c>
      <c r="DV8" t="s">
        <v>45</v>
      </c>
      <c r="DW8" t="s">
        <v>45</v>
      </c>
      <c r="DX8" t="s">
        <v>45</v>
      </c>
      <c r="DY8" t="s">
        <v>45</v>
      </c>
      <c r="DZ8" t="s">
        <v>45</v>
      </c>
      <c r="EA8" t="s">
        <v>45</v>
      </c>
      <c r="EB8" t="s">
        <v>45</v>
      </c>
      <c r="EC8" t="s">
        <v>45</v>
      </c>
      <c r="ED8" t="s">
        <v>45</v>
      </c>
      <c r="EE8" t="s">
        <v>45</v>
      </c>
      <c r="EF8" t="s">
        <v>45</v>
      </c>
      <c r="EG8" t="s">
        <v>45</v>
      </c>
      <c r="EH8" t="s">
        <v>45</v>
      </c>
      <c r="EI8" t="s">
        <v>45</v>
      </c>
      <c r="EJ8" t="s">
        <v>45</v>
      </c>
      <c r="EK8" t="s">
        <v>45</v>
      </c>
      <c r="EL8" t="s">
        <v>45</v>
      </c>
      <c r="EM8" t="s">
        <v>45</v>
      </c>
      <c r="EN8" t="s">
        <v>45</v>
      </c>
      <c r="EO8" t="s">
        <v>45</v>
      </c>
      <c r="EP8" t="s">
        <v>45</v>
      </c>
      <c r="EQ8" t="s">
        <v>45</v>
      </c>
      <c r="ER8" t="s">
        <v>45</v>
      </c>
      <c r="ES8" t="s">
        <v>45</v>
      </c>
      <c r="ET8" t="s">
        <v>45</v>
      </c>
      <c r="EU8" t="s">
        <v>45</v>
      </c>
      <c r="EV8" t="s">
        <v>45</v>
      </c>
      <c r="EW8" t="s">
        <v>45</v>
      </c>
      <c r="EX8" t="s">
        <v>45</v>
      </c>
      <c r="EY8" t="s">
        <v>45</v>
      </c>
      <c r="EZ8" t="s">
        <v>45</v>
      </c>
      <c r="FA8" t="s">
        <v>45</v>
      </c>
      <c r="FB8" t="s">
        <v>45</v>
      </c>
      <c r="FC8" t="s">
        <v>45</v>
      </c>
      <c r="FD8" t="s">
        <v>45</v>
      </c>
      <c r="FE8" t="s">
        <v>45</v>
      </c>
      <c r="FF8" t="s">
        <v>45</v>
      </c>
      <c r="FG8" t="s">
        <v>45</v>
      </c>
      <c r="FH8" t="s">
        <v>45</v>
      </c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16</v>
      </c>
      <c r="D3" s="6" t="s">
        <v>9</v>
      </c>
      <c r="E3" s="7" t="s">
        <v>57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IFERROR(__xludf.DUMMYFUNCTION("""COMPUTED_VALUE"""),"Reallocate")</f>
        <v>Reallocate</v>
      </c>
      <c r="I4" s="8" t="str">
        <f>IFERROR(__xludf.DUMMYFUNCTION("""COMPUTED_VALUE"""),"EditUnallocatedGroupSidePanel")</f>
        <v>EditUnallocatedGroupSidePanel</v>
      </c>
      <c r="J4" s="8" t="str">
        <f>IFERROR(__xludf.DUMMYFUNCTION("""COMPUTED_VALUE"""),"TradeAttributeBulkChange")</f>
        <v>TradeAttributeBulkChange</v>
      </c>
      <c r="K4" s="8" t="str">
        <f>IFERROR(__xludf.DUMMYFUNCTION("""COMPUTED_VALUE"""),"ApplyBulkUpdateOnGroups")</f>
        <v>ApplyBulkUpdateOnGroups</v>
      </c>
      <c r="L4" s="8" t="str">
        <f>IFERROR(__xludf.DUMMYFUNCTION("""COMPUTED_VALUE"""),"ApplyPrefetchFilters")</f>
        <v>ApplyPrefetchFilters</v>
      </c>
      <c r="M4" s="8" t="str">
        <f>IFERROR(__xludf.DUMMYFUNCTION("""COMPUTED_VALUE"""),"GeneralPreferencesDefaultRule")</f>
        <v>GeneralPreferencesDefaultRule</v>
      </c>
      <c r="N4" s="8" t="str">
        <f>IFERROR(__xludf.DUMMYFUNCTION("""COMPUTED_VALUE"""),"GeneralPrefCompanyUserWise")</f>
        <v>GeneralPrefCompanyUserWise</v>
      </c>
      <c r="O4" s="8" t="str">
        <f>IFERROR(__xludf.DUMMYFUNCTION("""COMPUTED_VALUE"""),"RenameTradeAttributes")</f>
        <v>RenameTradeAttributes</v>
      </c>
      <c r="P4" s="14" t="str">
        <f>IFERROR(__xludf.DUMMYFUNCTION("""COMPUTED_VALUE"""),"SetGroupingRules")</f>
        <v>SetGroupingRules</v>
      </c>
      <c r="Q4" s="14" t="str">
        <f>IFERROR(__xludf.DUMMYFUNCTION("""COMPUTED_VALUE"""),"SetMasterFundRatio")</f>
        <v>SetMasterFundRatio</v>
      </c>
      <c r="R4" s="14" t="str">
        <f>IFERROR(__xludf.DUMMYFUNCTION("""COMPUTED_VALUE"""),"CheckFixedPreference")</f>
        <v>CheckFixedPreference</v>
      </c>
      <c r="S4" s="14" t="str">
        <f>IFERROR(__xludf.DUMMYFUNCTION("""COMPUTED_VALUE"""),"GetFixedPreference")</f>
        <v>GetFixedPreference</v>
      </c>
      <c r="T4" s="14" t="str">
        <f>IFERROR(__xludf.DUMMYFUNCTION("""COMPUTED_VALUE"""),"AddCalculatedPreferences")</f>
        <v>AddCalculatedPreferences</v>
      </c>
      <c r="U4" s="14" t="str">
        <f>IFERROR(__xludf.DUMMYFUNCTION("""COMPUTED_VALUE"""),"BulkChangeCalculatedPreferences")</f>
        <v>BulkChangeCalculatedPreferences</v>
      </c>
      <c r="V4" s="14" t="str">
        <f>IFERROR(__xludf.DUMMYFUNCTION("""COMPUTED_VALUE"""),"DeleteCalculatedPreferences")</f>
        <v>DeleteCalculatedPreferences</v>
      </c>
      <c r="W4" s="14" t="str">
        <f>IFERROR(__xludf.DUMMYFUNCTION("""COMPUTED_VALUE"""),"RenameCalculatedPreferences")</f>
        <v>RenameCalculatedPreferences</v>
      </c>
      <c r="X4" s="14" t="str">
        <f>IFERROR(__xludf.DUMMYFUNCTION("""COMPUTED_VALUE"""),"CopyCalculatedPreferences")</f>
        <v>CopyCalculatedPreferences</v>
      </c>
      <c r="Y4" s="14" t="str">
        <f>IFERROR(__xludf.DUMMYFUNCTION("""COMPUTED_VALUE"""),"RunAutoGroup")</f>
        <v>RunAutoGroup</v>
      </c>
      <c r="Z4" s="14" t="str">
        <f>IFERROR(__xludf.DUMMYFUNCTION("""COMPUTED_VALUE"""),"BookOrUpdateSwap")</f>
        <v>BookOrUpdateSwap</v>
      </c>
      <c r="AA4" s="14" t="str">
        <f>IFERROR(__xludf.DUMMYFUNCTION("""COMPUTED_VALUE"""),"RunProrata")</f>
        <v>RunProrata</v>
      </c>
      <c r="AB4" s="14" t="str">
        <f>IFERROR(__xludf.DUMMYFUNCTION("""COMPUTED_VALUE"""),"SetDefaultRuleCalculatedPref")</f>
        <v>SetDefaultRuleCalculatedPref</v>
      </c>
      <c r="AC4" s="14" t="str">
        <f>IFERROR(__xludf.DUMMYFUNCTION("""COMPUTED_VALUE"""),"SetAccountValueCalculatedPref")</f>
        <v>SetAccountValueCalculatedPref</v>
      </c>
      <c r="AD4" s="14" t="str">
        <f>IFERROR(__xludf.DUMMYFUNCTION("""COMPUTED_VALUE"""),"TradeAttributeBulkChangeGroups")</f>
        <v>TradeAttributeBulkChangeGroups</v>
      </c>
      <c r="AE4" s="14" t="str">
        <f>IFERROR(__xludf.DUMMYFUNCTION("""COMPUTED_VALUE"""),"TradeAttributeBulkChangeTaxlots")</f>
        <v>TradeAttributeBulkChangeTaxlots</v>
      </c>
      <c r="AF4" s="14" t="str">
        <f>IFERROR(__xludf.DUMMYFUNCTION("""COMPUTED_VALUE"""),"AddCalculatedPreferenceToolbar")</f>
        <v>AddCalculatedPreferenceToolbar</v>
      </c>
      <c r="AG4" s="14" t="str">
        <f>IFERROR(__xludf.DUMMYFUNCTION("""COMPUTED_VALUE"""),"SetStrategyValueCalculatedPref")</f>
        <v>SetStrategyValueCalculatedPref</v>
      </c>
      <c r="AH4" s="14" t="str">
        <f>IFERROR(__xludf.DUMMYFUNCTION("""COMPUTED_VALUE"""),"ApplyBulkUpdateOnTaxlots")</f>
        <v>ApplyBulkUpdateOnTaxlots</v>
      </c>
      <c r="AI4" s="14" t="str">
        <f>IFERROR(__xludf.DUMMYFUNCTION("""COMPUTED_VALUE"""),"CommissionBulkChangeOnGroups")</f>
        <v>CommissionBulkChangeOnGroups</v>
      </c>
      <c r="AJ4" s="14" t="str">
        <f>IFERROR(__xludf.DUMMYFUNCTION("""COMPUTED_VALUE"""),"CommissionBulkChangeOnTaxlots")</f>
        <v>CommissionBulkChangeOnTaxlots</v>
      </c>
      <c r="AK4" s="14" t="str">
        <f>IFERROR(__xludf.DUMMYFUNCTION("""COMPUTED_VALUE"""),"SelectUnallocatedGroup")</f>
        <v>SelectUnallocatedGroup</v>
      </c>
      <c r="AL4" s="14" t="str">
        <f>IFERROR(__xludf.DUMMYFUNCTION("""COMPUTED_VALUE"""),"EnterAccountValuesToAllocate")</f>
        <v>EnterAccountValuesToAllocate</v>
      </c>
      <c r="AM4" s="14" t="str">
        <f>IFERROR(__xludf.DUMMYFUNCTION("""COMPUTED_VALUE"""),"EnterAllocatePreference")</f>
        <v>EnterAllocatePreference</v>
      </c>
      <c r="AN4" s="14" t="str">
        <f>IFERROR(__xludf.DUMMYFUNCTION("""COMPUTED_VALUE"""),"EnterStrategyValuesToAllocate")</f>
        <v>EnterStrategyValuesToAllocate</v>
      </c>
      <c r="AO4" s="14" t="str">
        <f>IFERROR(__xludf.DUMMYFUNCTION("""COMPUTED_VALUE"""),"CopyCalculatedPreferenceToolbar")</f>
        <v>CopyCalculatedPreferenceToolbar</v>
      </c>
      <c r="AP4" s="14" t="str">
        <f>IFERROR(__xludf.DUMMYFUNCTION("""COMPUTED_VALUE"""),"SetGeneralRuleCalculatedPref")</f>
        <v>SetGeneralRuleCalculatedPref</v>
      </c>
      <c r="AQ4" s="14" t="str">
        <f>IFERROR(__xludf.DUMMYFUNCTION("""COMPUTED_VALUE"""),"ExportAllCalculatedPreferences")</f>
        <v>ExportAllCalculatedPreferences</v>
      </c>
      <c r="AR4" s="14" t="str">
        <f>IFERROR(__xludf.DUMMYFUNCTION("""COMPUTED_VALUE"""),"SaveCalculatedPreferences")</f>
        <v>SaveCalculatedPreferences</v>
      </c>
      <c r="AS4" s="14" t="str">
        <f>IFERROR(__xludf.DUMMYFUNCTION("""COMPUTED_VALUE"""),"CloseCalculatedPreferences")</f>
        <v>CloseCalculatedPreferences</v>
      </c>
      <c r="AT4" s="14" t="str">
        <f>IFERROR(__xludf.DUMMYFUNCTION("""COMPUTED_VALUE"""),"ExportCalculatedPreference")</f>
        <v>ExportCalculatedPreference</v>
      </c>
      <c r="AU4" s="14" t="str">
        <f>IFERROR(__xludf.DUMMYFUNCTION("""COMPUTED_VALUE"""),"ImportCalculatedPreferences")</f>
        <v>ImportCalculatedPreferences</v>
      </c>
      <c r="AV4" s="14" t="str">
        <f>IFERROR(__xludf.DUMMYFUNCTION("""COMPUTED_VALUE"""),"OpenAuditTrailUnallocatedGroup")</f>
        <v>OpenAuditTrailUnallocatedGroup</v>
      </c>
      <c r="AW4" s="14" t="str">
        <f>IFERROR(__xludf.DUMMYFUNCTION("""COMPUTED_VALUE"""),"DeleteCalculatedPreferencesTool")</f>
        <v>DeleteCalculatedPreferencesTool</v>
      </c>
      <c r="AX4" s="14" t="str">
        <f>IFERROR(__xludf.DUMMYFUNCTION("""COMPUTED_VALUE"""),"ImportCalculatedPreferencesTool")</f>
        <v>ImportCalculatedPreferencesTool</v>
      </c>
      <c r="AY4" s="14" t="str">
        <f>IFERROR(__xludf.DUMMYFUNCTION("""COMPUTED_VALUE"""),"ExportAllCalculatedPreferTool")</f>
        <v>ExportAllCalculatedPreferTool</v>
      </c>
      <c r="AZ4" s="14" t="str">
        <f>IFERROR(__xludf.DUMMYFUNCTION("""COMPUTED_VALUE"""),"OpenAuditTrailAllocatedGroup")</f>
        <v>OpenAuditTrailAllocatedGroup</v>
      </c>
      <c r="BA4" s="14" t="str">
        <f>IFERROR(__xludf.DUMMYFUNCTION("""COMPUTED_VALUE"""),"OpenSymbolLookupUnallocateGroup")</f>
        <v>OpenSymbolLookupUnallocateGroup</v>
      </c>
      <c r="BB4" s="14" t="str">
        <f>IFERROR(__xludf.DUMMYFUNCTION("""COMPUTED_VALUE"""),"OpenSymbolLookupAllocatedGroup")</f>
        <v>OpenSymbolLookupAllocatedGroup</v>
      </c>
      <c r="BC4" s="14" t="str">
        <f>IFERROR(__xludf.DUMMYFUNCTION("""COMPUTED_VALUE"""),"DeleteFixedPreference")</f>
        <v>DeleteFixedPreference</v>
      </c>
      <c r="BD4" s="14" t="str">
        <f>IFERROR(__xludf.DUMMYFUNCTION("""COMPUTED_VALUE"""),"EditAllocatedGroupSidePanel")</f>
        <v>EditAllocatedGroupSidePanel</v>
      </c>
      <c r="BE4" s="14" t="str">
        <f>IFERROR(__xludf.DUMMYFUNCTION("""COMPUTED_VALUE"""),"CheckUnallocatedGroups")</f>
        <v>CheckUnallocatedGroups</v>
      </c>
      <c r="BF4" s="14" t="str">
        <f>IFERROR(__xludf.DUMMYFUNCTION("""COMPUTED_VALUE"""),"SetGeneralPreferences")</f>
        <v>SetGeneralPreferences</v>
      </c>
      <c r="BG4" s="14" t="str">
        <f>IFERROR(__xludf.DUMMYFUNCTION("""COMPUTED_VALUE"""),"GroupTrades")</f>
        <v>GroupTrades</v>
      </c>
      <c r="BH4" s="14" t="str">
        <f>IFERROR(__xludf.DUMMYFUNCTION("""COMPUTED_VALUE"""),"UngroupTrades")</f>
        <v>UngroupTrades</v>
      </c>
      <c r="BI4" s="14" t="str">
        <f>IFERROR(__xludf.DUMMYFUNCTION("""COMPUTED_VALUE"""),"DeleteGroup")</f>
        <v>DeleteGroup</v>
      </c>
      <c r="BJ4" s="14" t="str">
        <f>IFERROR(__xludf.DUMMYFUNCTION("""COMPUTED_VALUE"""),"CloseOrder")</f>
        <v>CloseOrder</v>
      </c>
      <c r="BK4" s="14" t="str">
        <f>IFERROR(__xludf.DUMMYFUNCTION("""COMPUTED_VALUE"""),"Unallocate")</f>
        <v>Unallocate</v>
      </c>
      <c r="BL4" s="14" t="str">
        <f>IFERROR(__xludf.DUMMYFUNCTION("""COMPUTED_VALUE"""),"CloseAllocation")</f>
        <v>CloseAllocation</v>
      </c>
      <c r="BM4" s="14" t="str">
        <f>IFERROR(__xludf.DUMMYFUNCTION("""COMPUTED_VALUE"""),"UpdateGRAccountValue")</f>
        <v>UpdateGRAccountValue</v>
      </c>
      <c r="BN4" s="14" t="str">
        <f>IFERROR(__xludf.DUMMYFUNCTION("""COMPUTED_VALUE"""),"UpdateGRStrategyValue")</f>
        <v>UpdateGRStrategyValue</v>
      </c>
      <c r="BO4" s="14" t="str">
        <f>IFERROR(__xludf.DUMMYFUNCTION("""COMPUTED_VALUE"""),"UpdateGRDefaultRule")</f>
        <v>UpdateGRDefaultRule</v>
      </c>
      <c r="BP4" s="14" t="str">
        <f>IFERROR(__xludf.DUMMYFUNCTION("""COMPUTED_VALUE"""),"UpdateGeneralRulePref")</f>
        <v>UpdateGeneralRulePref</v>
      </c>
      <c r="BQ4" s="14" t="str">
        <f>IFERROR(__xludf.DUMMYFUNCTION("""COMPUTED_VALUE"""),"ModifyGRPreferenceValues")</f>
        <v>ModifyGRPreferenceValues</v>
      </c>
      <c r="BR4" s="14" t="str">
        <f>IFERROR(__xludf.DUMMYFUNCTION("""COMPUTED_VALUE"""),"AddMFPreferences")</f>
        <v>AddMFPreferences</v>
      </c>
      <c r="BS4" s="14" t="str">
        <f>IFERROR(__xludf.DUMMYFUNCTION("""COMPUTED_VALUE"""),"AddMFPreferenceToolbar")</f>
        <v>AddMFPreferenceToolbar</v>
      </c>
      <c r="BT4" s="14" t="str">
        <f>IFERROR(__xludf.DUMMYFUNCTION("""COMPUTED_VALUE"""),"DeleteMFPreferences")</f>
        <v>DeleteMFPreferences</v>
      </c>
      <c r="BU4" s="14" t="str">
        <f>IFERROR(__xludf.DUMMYFUNCTION("""COMPUTED_VALUE"""),"DeleteMFPreferenceToolbar")</f>
        <v>DeleteMFPreferenceToolbar</v>
      </c>
      <c r="BV4" s="14" t="str">
        <f>IFERROR(__xludf.DUMMYFUNCTION("""COMPUTED_VALUE"""),"RenameMFPreferences")</f>
        <v>RenameMFPreferences</v>
      </c>
      <c r="BW4" s="14" t="str">
        <f>IFERROR(__xludf.DUMMYFUNCTION("""COMPUTED_VALUE"""),"SaveCloseMFPreference")</f>
        <v>SaveCloseMFPreference</v>
      </c>
      <c r="BX4" s="14" t="str">
        <f>IFERROR(__xludf.DUMMYFUNCTION("""COMPUTED_VALUE"""),"SetMFPrefAccountValues")</f>
        <v>SetMFPrefAccountValues</v>
      </c>
      <c r="BY4" s="14" t="str">
        <f>IFERROR(__xludf.DUMMYFUNCTION("""COMPUTED_VALUE"""),"ModifyMFPrefGeneralRuleValues")</f>
        <v>ModifyMFPrefGeneralRuleValues</v>
      </c>
      <c r="BZ4" s="14" t="str">
        <f>IFERROR(__xludf.DUMMYFUNCTION("""COMPUTED_VALUE"""),"SetMFPrefStrategyValues")</f>
        <v>SetMFPrefStrategyValues</v>
      </c>
      <c r="CA4" s="14" t="str">
        <f>IFERROR(__xludf.DUMMYFUNCTION("""COMPUTED_VALUE"""),"SetMFPrefGeneralRule")</f>
        <v>SetMFPrefGeneralRule</v>
      </c>
      <c r="CB4" s="14" t="str">
        <f>IFERROR(__xludf.DUMMYFUNCTION("""COMPUTED_VALUE"""),"SetMFPrefFundDistribution")</f>
        <v>SetMFPrefFundDistribution</v>
      </c>
      <c r="CC4" s="14" t="str">
        <f>IFERROR(__xludf.DUMMYFUNCTION("""COMPUTED_VALUE"""),"SetMFPreferencesDefaultRule")</f>
        <v>SetMFPreferencesDefaultRule</v>
      </c>
      <c r="CD4" s="14" t="str">
        <f>IFERROR(__xludf.DUMMYFUNCTION("""COMPUTED_VALUE"""),"SetMFPrefFundDefaultRule")</f>
        <v>SetMFPrefFundDefaultRule</v>
      </c>
      <c r="CE4" s="14" t="str">
        <f>IFERROR(__xludf.DUMMYFUNCTION("""COMPUTED_VALUE"""),"ClearPrefetchFilters")</f>
        <v>ClearPrefetchFilters</v>
      </c>
      <c r="CF4" s="14" t="str">
        <f>IFERROR(__xludf.DUMMYFUNCTION("""COMPUTED_VALUE"""),"ExpandCollapseAllUnallocated")</f>
        <v>ExpandCollapseAllUnallocated</v>
      </c>
      <c r="CG4" s="14" t="str">
        <f>IFERROR(__xludf.DUMMYFUNCTION("""COMPUTED_VALUE"""),"ExpandCollapseAllAllocated")</f>
        <v>ExpandCollapseAllAllocated</v>
      </c>
      <c r="CH4" s="14" t="str">
        <f>IFERROR(__xludf.DUMMYFUNCTION("""COMPUTED_VALUE"""),"GenerateCashTransaction")</f>
        <v>GenerateCashTransaction</v>
      </c>
      <c r="CI4" s="14" t="str">
        <f>IFERROR(__xludf.DUMMYFUNCTION("""COMPUTED_VALUE"""),"SaveAllocation")</f>
        <v>SaveAllocation</v>
      </c>
      <c r="CJ4" s="14" t="str">
        <f>IFERROR(__xludf.DUMMYFUNCTION("""COMPUTED_VALUE"""),"UnallocateWithOutSave")</f>
        <v>UnallocateWithOutSave</v>
      </c>
      <c r="CK4" s="14" t="str">
        <f>IFERROR(__xludf.DUMMYFUNCTION("""COMPUTED_VALUE"""),"EditUnallocatedGrid")</f>
        <v>EditUnallocatedGrid</v>
      </c>
      <c r="CL4" s="14" t="str">
        <f>IFERROR(__xludf.DUMMYFUNCTION("""COMPUTED_VALUE"""),"EditAllocatedGrid")</f>
        <v>EditAllocatedGrid</v>
      </c>
      <c r="CM4" s="14" t="str">
        <f>IFERROR(__xludf.DUMMYFUNCTION("""COMPUTED_VALUE"""),"SaveLayoutAllocatedGrid")</f>
        <v>SaveLayoutAllocatedGrid</v>
      </c>
      <c r="CN4" s="14" t="str">
        <f>IFERROR(__xludf.DUMMYFUNCTION("""COMPUTED_VALUE"""),"SaveLayoutUnallocatedGrid")</f>
        <v>SaveLayoutUnallocatedGrid</v>
      </c>
      <c r="CO4" s="14" t="str">
        <f>IFERROR(__xludf.DUMMYFUNCTION("""COMPUTED_VALUE"""),"SaveLayoutAllocationUI")</f>
        <v>SaveLayoutAllocationUI</v>
      </c>
      <c r="CP4" s="14" t="str">
        <f>IFERROR(__xludf.DUMMYFUNCTION("""COMPUTED_VALUE"""),"ClearFiltersAllocatedGrid")</f>
        <v>ClearFiltersAllocatedGrid</v>
      </c>
      <c r="CQ4" s="14" t="str">
        <f>IFERROR(__xludf.DUMMYFUNCTION("""COMPUTED_VALUE"""),"ClearFiltersUnallocatedGrid")</f>
        <v>ClearFiltersUnallocatedGrid</v>
      </c>
      <c r="CR4" s="14" t="str">
        <f>IFERROR(__xludf.DUMMYFUNCTION("""COMPUTED_VALUE"""),"VerifyLayoutAllocatedGrid")</f>
        <v>VerifyLayoutAllocatedGrid</v>
      </c>
      <c r="CS4" s="14" t="str">
        <f>IFERROR(__xludf.DUMMYFUNCTION("""COMPUTED_VALUE"""),"VerifyLayoutUnallocatedGrid")</f>
        <v>VerifyLayoutUnallocatedGrid</v>
      </c>
      <c r="CT4" s="14" t="str">
        <f>IFERROR(__xludf.DUMMYFUNCTION("""COMPUTED_VALUE"""),"CleanUp")</f>
        <v>CleanUp</v>
      </c>
      <c r="CU4" s="14" t="str">
        <f>IFERROR(__xludf.DUMMYFUNCTION("""COMPUTED_VALUE"""),"CheckAllocatedTaxlots")</f>
        <v>CheckAllocatedTaxlots</v>
      </c>
      <c r="CV4" s="14" t="str">
        <f>IFERROR(__xludf.DUMMYFUNCTION("""COMPUTED_VALUE"""),"DisableChecksideForAsset")</f>
        <v>DisableChecksideForAsset</v>
      </c>
      <c r="CW4" s="14" t="str">
        <f>IFERROR(__xludf.DUMMYFUNCTION("""COMPUTED_VALUE"""),"DisableChecksideForAccount")</f>
        <v>DisableChecksideForAccount</v>
      </c>
      <c r="CX4" s="14" t="str">
        <f>IFERROR(__xludf.DUMMYFUNCTION("""COMPUTED_VALUE"""),"DisableChecksideForCounterParty")</f>
        <v>DisableChecksideForCounterParty</v>
      </c>
      <c r="CY4" s="14" t="str">
        <f>IFERROR(__xludf.DUMMYFUNCTION("""COMPUTED_VALUE"""),"DisableCheckside")</f>
        <v>DisableCheckside</v>
      </c>
      <c r="CZ4" s="14" t="str">
        <f>IFERROR(__xludf.DUMMYFUNCTION("""COMPUTED_VALUE"""),"ApplyMasterFundFilter")</f>
        <v>ApplyMasterFundFilter</v>
      </c>
      <c r="DA4" s="14" t="str">
        <f>IFERROR(__xludf.DUMMYFUNCTION("""COMPUTED_VALUE"""),"ShowMasterFundOnTT")</f>
        <v>ShowMasterFundOnTT</v>
      </c>
      <c r="DB4" s="14" t="str">
        <f>IFERROR(__xludf.DUMMYFUNCTION("""COMPUTED_VALUE"""),"ShowMasterFundAsClient")</f>
        <v>ShowMasterFundAsClient</v>
      </c>
      <c r="DC4" s="14" t="str">
        <f>IFERROR(__xludf.DUMMYFUNCTION("""COMPUTED_VALUE"""),"SetBrokerAccountMapping")</f>
        <v>SetBrokerAccountMapping</v>
      </c>
      <c r="DD4" s="14" t="str">
        <f>IFERROR(__xludf.DUMMYFUNCTION("""COMPUTED_VALUE"""),"EditUnallocatedGridWPF")</f>
        <v>EditUnallocatedGridWPF</v>
      </c>
      <c r="DE4" s="14" t="str">
        <f>IFERROR(__xludf.DUMMYFUNCTION("""COMPUTED_VALUE"""),"EditAllocatedGridWPF")</f>
        <v>EditAllocatedGridWPF</v>
      </c>
      <c r="DF4" s="14" t="str">
        <f>IFERROR(__xludf.DUMMYFUNCTION("""COMPUTED_VALUE"""),"EditAllocatedGridTaxlot")</f>
        <v>EditAllocatedGridTaxlot</v>
      </c>
      <c r="DG4" s="14" t="str">
        <f>IFERROR(__xludf.DUMMYFUNCTION("""COMPUTED_VALUE"""),"ExpandCollapseAllocatedGrid")</f>
        <v>ExpandCollapseAllocatedGrid</v>
      </c>
      <c r="DH4" s="14" t="str">
        <f>IFERROR(__xludf.DUMMYFUNCTION("""COMPUTED_VALUE"""),"ExpandCollapseUnallocatedGrid")</f>
        <v>ExpandCollapseUnallocatedGrid</v>
      </c>
      <c r="DI4" s="14" t="str">
        <f>IFERROR(__xludf.DUMMYFUNCTION("""COMPUTED_VALUE"""),"SetTradeAttributePreferences")</f>
        <v>SetTradeAttributePreferences</v>
      </c>
      <c r="DJ4" s="14" t="str">
        <f>IFERROR(__xludf.DUMMYFUNCTION("""COMPUTED_VALUE"""),"EnterCustomAllocatePreference")</f>
        <v>EnterCustomAllocatePreference</v>
      </c>
      <c r="DK4" s="14" t="str">
        <f>IFERROR(__xludf.DUMMYFUNCTION("""COMPUTED_VALUE"""),"SetAutoGroupingPreferences")</f>
        <v>SetAutoGroupingPreferences</v>
      </c>
      <c r="DL4" s="14" t="str">
        <f>IFERROR(__xludf.DUMMYFUNCTION("""COMPUTED_VALUE"""),"SetAutoGroupingAccount")</f>
        <v>SetAutoGroupingAccount</v>
      </c>
      <c r="DM4" s="14" t="str">
        <f>IFERROR(__xludf.DUMMYFUNCTION("""COMPUTED_VALUE"""),"SetAvgPriceRounding")</f>
        <v>SetAvgPriceRounding</v>
      </c>
      <c r="DN4" s="14" t="str">
        <f>IFERROR(__xludf.DUMMYFUNCTION("""COMPUTED_VALUE"""),"IsAllocationOpen")</f>
        <v>IsAllocationOpen</v>
      </c>
      <c r="DO4" s="14" t="str">
        <f>IFERROR(__xludf.DUMMYFUNCTION("""COMPUTED_VALUE"""),"AllocationAuditTrail")</f>
        <v>AllocationAuditTrail</v>
      </c>
      <c r="DP4" s="14" t="str">
        <f>IFERROR(__xludf.DUMMYFUNCTION("""COMPUTED_VALUE"""),"GetAuditTrailData")</f>
        <v>GetAuditTrailData</v>
      </c>
      <c r="DQ4" s="14" t="str">
        <f>IFERROR(__xludf.DUMMYFUNCTION("""COMPUTED_VALUE"""),"CheckAuditTrailData")</f>
        <v>CheckAuditTrailData</v>
      </c>
      <c r="DR4" s="14" t="str">
        <f>IFERROR(__xludf.DUMMYFUNCTION("""COMPUTED_VALUE"""),"Unallocate")</f>
        <v>Unallocate</v>
      </c>
      <c r="DS4" s="14" t="str">
        <f>IFERROR(__xludf.DUMMYFUNCTION("""COMPUTED_VALUE"""),"DeleteGroupWithOutSave")</f>
        <v>DeleteGroupWithOutSave</v>
      </c>
      <c r="DT4" s="1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14" t="str">
        <f>IFERROR(__xludf.DUMMYFUNCTION("""COMPUTED_VALUE"""),"CheckPreferences")</f>
        <v>CheckPreferences</v>
      </c>
      <c r="DV4" s="14" t="str">
        <f>IFERROR(__xludf.DUMMYFUNCTION("""COMPUTED_VALUE"""),"AllocateWithPopUp")</f>
        <v>AllocateWithPopUp</v>
      </c>
      <c r="DW4" s="14" t="str">
        <f>IFERROR(__xludf.DUMMYFUNCTION("""COMPUTED_VALUE"""),"SelectAllRowsAllocated")</f>
        <v>SelectAllRowsAllocated</v>
      </c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IFERROR(__xludf.DUMMYFUNCTION("""COMPUTED_VALUE"""),"Net Amount(Local)")</f>
        <v>Net Amount(Local)</v>
      </c>
      <c r="C5" s="10" t="str">
        <f>IFERROR(__xludf.DUMMYFUNCTION("""COMPUTED_VALUE"""),"Net Amount(Base)")</f>
        <v>Net Amount(Base)</v>
      </c>
      <c r="D5" s="10" t="str">
        <f>IFERROR(__xludf.DUMMYFUNCTION("""COMPUTED_VALUE"""),"Principal Amount(Local)")</f>
        <v>Principal Amount(Local)</v>
      </c>
      <c r="E5" s="10" t="str">
        <f>IFERROR(__xludf.DUMMYFUNCTION("""COMPUTED_VALUE"""),"Principal Amount(Base)")</f>
        <v>Principal Amount(Base)</v>
      </c>
      <c r="F5" s="10" t="str">
        <f>IFERROR(__xludf.DUMMYFUNCTION("""COMPUTED_VALUE"""),"FX Conversion Operator")</f>
        <v>FX Conversion Operator</v>
      </c>
      <c r="G5" s="10" t="str">
        <f>IFERROR(__xludf.DUMMYFUNCTION("""COMPUTED_VALUE"""),"TaxLotID")</f>
        <v>TaxLotID</v>
      </c>
      <c r="H5" s="10" t="str">
        <f>IFERROR(__xludf.DUMMYFUNCTION("""COMPUTED_VALUE"""),"Settlement Currency")</f>
        <v>Settlement Currency</v>
      </c>
      <c r="I5" s="10" t="str">
        <f>IFERROR(__xludf.DUMMYFUNCTION("""COMPUTED_VALUE"""),"Trade Attribute 1")</f>
        <v>Trade Attribute 1</v>
      </c>
      <c r="J5" s="10" t="str">
        <f>IFERROR(__xludf.DUMMYFUNCTION("""COMPUTED_VALUE"""),"Trade Attribute 2")</f>
        <v>Trade Attribute 2</v>
      </c>
      <c r="K5" s="10" t="str">
        <f>IFERROR(__xludf.DUMMYFUNCTION("""COMPUTED_VALUE"""),"Trade Attribute 3")</f>
        <v>Trade Attribute 3</v>
      </c>
      <c r="L5" s="10" t="str">
        <f>IFERROR(__xludf.DUMMYFUNCTION("""COMPUTED_VALUE"""),"Trade Attribute 4")</f>
        <v>Trade Attribute 4</v>
      </c>
      <c r="M5" s="10" t="str">
        <f>IFERROR(__xludf.DUMMYFUNCTION("""COMPUTED_VALUE"""),"Trade Attribute 5")</f>
        <v>Trade Attribute 5</v>
      </c>
      <c r="N5" s="10" t="str">
        <f>IFERROR(__xludf.DUMMYFUNCTION("""COMPUTED_VALUE"""),"Trade Attribute 6")</f>
        <v>Trade Attribute 6</v>
      </c>
      <c r="O5" s="10" t="str">
        <f>IFERROR(__xludf.DUMMYFUNCTION("""COMPUTED_VALUE"""),"Account Name")</f>
        <v>Account Name</v>
      </c>
      <c r="P5" s="10" t="str">
        <f>IFERROR(__xludf.DUMMYFUNCTION("""COMPUTED_VALUE"""),"Strategy Name")</f>
        <v>Strategy Name</v>
      </c>
      <c r="Q5" s="10" t="str">
        <f>IFERROR(__xludf.DUMMYFUNCTION("""COMPUTED_VALUE"""),"Percentage")</f>
        <v>Percentage</v>
      </c>
      <c r="R5" s="10" t="str">
        <f>IFERROR(__xludf.DUMMYFUNCTION("""COMPUTED_VALUE"""),"Taxlot Qty")</f>
        <v>Taxlot Qty</v>
      </c>
      <c r="S5" s="10" t="str">
        <f>IFERROR(__xludf.DUMMYFUNCTION("""COMPUTED_VALUE"""),"Commission")</f>
        <v>Commission</v>
      </c>
      <c r="T5" s="15" t="str">
        <f>IFERROR(__xludf.DUMMYFUNCTION("""COMPUTED_VALUE"""),"Soft Commission")</f>
        <v>Soft Commission</v>
      </c>
      <c r="U5" s="15" t="str">
        <f>IFERROR(__xludf.DUMMYFUNCTION("""COMPUTED_VALUE"""),"Other Broker Fees")</f>
        <v>Other Broker Fees</v>
      </c>
      <c r="V5" s="15" t="str">
        <f>IFERROR(__xludf.DUMMYFUNCTION("""COMPUTED_VALUE"""),"Clearing Broker Fees")</f>
        <v>Clearing Broker Fees</v>
      </c>
      <c r="W5" s="15" t="str">
        <f>IFERROR(__xludf.DUMMYFUNCTION("""COMPUTED_VALUE"""),"Stamp Duty")</f>
        <v>Stamp Duty</v>
      </c>
      <c r="X5" s="15" t="str">
        <f>IFERROR(__xludf.DUMMYFUNCTION("""COMPUTED_VALUE"""),"Transaction Levy")</f>
        <v>Transaction Levy</v>
      </c>
      <c r="Y5" s="15" t="str">
        <f>IFERROR(__xludf.DUMMYFUNCTION("""COMPUTED_VALUE"""),"AUEC Fee1")</f>
        <v>AUEC Fee1</v>
      </c>
      <c r="Z5" s="15" t="str">
        <f>IFERROR(__xludf.DUMMYFUNCTION("""COMPUTED_VALUE"""),"Tax On Commissions")</f>
        <v>Tax On Commissions</v>
      </c>
      <c r="AA5" s="15" t="str">
        <f>IFERROR(__xludf.DUMMYFUNCTION("""COMPUTED_VALUE"""),"AUEC Fee2")</f>
        <v>AUEC Fee2</v>
      </c>
      <c r="AB5" s="15" t="str">
        <f>IFERROR(__xludf.DUMMYFUNCTION("""COMPUTED_VALUE"""),"SEC Fee")</f>
        <v>SEC Fee</v>
      </c>
      <c r="AC5" s="15" t="str">
        <f>IFERROR(__xludf.DUMMYFUNCTION("""COMPUTED_VALUE"""),"OCC Fee")</f>
        <v>OCC Fee</v>
      </c>
      <c r="AD5" s="15" t="str">
        <f>IFERROR(__xludf.DUMMYFUNCTION("""COMPUTED_VALUE"""),"ORF Fee")</f>
        <v>ORF Fee</v>
      </c>
      <c r="AE5" s="15" t="str">
        <f>IFERROR(__xludf.DUMMYFUNCTION("""COMPUTED_VALUE"""),"Option Premium Adjustment")</f>
        <v>Option Premium Adjustment</v>
      </c>
      <c r="AF5" s="15" t="str">
        <f>IFERROR(__xludf.DUMMYFUNCTION("""COMPUTED_VALUE"""),"Closing Status")</f>
        <v>Closing Status</v>
      </c>
      <c r="AG5" s="15" t="str">
        <f>IFERROR(__xludf.DUMMYFUNCTION("""COMPUTED_VALUE"""),"External Transaction ID")</f>
        <v>External Transaction ID</v>
      </c>
      <c r="AH5" s="15" t="str">
        <f>IFERROR(__xludf.DUMMYFUNCTION("""COMPUTED_VALUE"""),"Lot ID")</f>
        <v>Lot ID</v>
      </c>
      <c r="AI5" s="15" t="str">
        <f>IFERROR(__xludf.DUMMYFUNCTION("""COMPUTED_VALUE"""),"AvgPriceBase")</f>
        <v>AvgPriceBase</v>
      </c>
      <c r="AJ5" s="15" t="str">
        <f>IFERROR(__xludf.DUMMYFUNCTION("""COMPUTED_VALUE"""),"Accrued Interest")</f>
        <v>Accrued Interest</v>
      </c>
      <c r="AK5" s="15" t="str">
        <f>IFERROR(__xludf.DUMMYFUNCTION("""COMPUTED_VALUE"""),"FXRate")</f>
        <v>FXRate</v>
      </c>
      <c r="AL5" s="15" t="str">
        <f>IFERROR(__xludf.DUMMYFUNCTION("""COMPUTED_VALUE"""),"Change Type")</f>
        <v>Change Type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</row>
    <row r="6" ht="15.75" customHeight="1" spans="1:45">
      <c r="A6" s="4"/>
      <c r="B6" s="16">
        <v>385.320228</v>
      </c>
      <c r="C6" s="16">
        <v>385.320228</v>
      </c>
      <c r="D6" s="16">
        <v>380</v>
      </c>
      <c r="E6" s="16">
        <v>380</v>
      </c>
      <c r="F6" s="17" t="s">
        <v>58</v>
      </c>
      <c r="G6" s="16"/>
      <c r="H6" s="17"/>
      <c r="I6" s="17"/>
      <c r="J6" s="17"/>
      <c r="K6" s="17"/>
      <c r="L6" s="17"/>
      <c r="M6" s="17"/>
      <c r="N6" s="17"/>
      <c r="O6" s="17" t="s">
        <v>21</v>
      </c>
      <c r="P6" s="17" t="s">
        <v>23</v>
      </c>
      <c r="Q6" s="16">
        <v>38</v>
      </c>
      <c r="R6" s="16">
        <v>38</v>
      </c>
      <c r="S6" s="16">
        <v>0</v>
      </c>
      <c r="T6" s="16">
        <v>0</v>
      </c>
      <c r="U6" s="16">
        <v>0</v>
      </c>
      <c r="V6" s="16">
        <v>0</v>
      </c>
      <c r="W6" s="16"/>
      <c r="X6" s="16"/>
      <c r="Y6" s="16"/>
      <c r="Z6" s="16"/>
      <c r="AA6" s="16"/>
      <c r="AB6" s="16">
        <v>0</v>
      </c>
      <c r="AC6" s="16">
        <v>0</v>
      </c>
      <c r="AD6" s="16">
        <v>0</v>
      </c>
      <c r="AE6" s="16">
        <v>0</v>
      </c>
      <c r="AF6" s="17" t="s">
        <v>49</v>
      </c>
      <c r="AG6" s="17"/>
      <c r="AH6" s="17"/>
      <c r="AI6" s="16">
        <v>10</v>
      </c>
      <c r="AJ6" s="16">
        <v>0</v>
      </c>
      <c r="AK6" s="16">
        <v>1</v>
      </c>
      <c r="AL6" s="16">
        <v>3</v>
      </c>
      <c r="AM6" s="17"/>
      <c r="AN6" s="17"/>
      <c r="AO6" s="17"/>
      <c r="AP6" s="17"/>
      <c r="AQ6" s="17"/>
      <c r="AR6" s="17"/>
      <c r="AS6" s="17"/>
    </row>
    <row r="7" ht="15.75" customHeight="1" spans="1:45">
      <c r="A7" s="4"/>
      <c r="B7" s="16">
        <v>121.680072</v>
      </c>
      <c r="C7" s="16">
        <v>121.680072</v>
      </c>
      <c r="D7" s="16">
        <v>120</v>
      </c>
      <c r="E7" s="16">
        <v>120</v>
      </c>
      <c r="F7" s="17" t="s">
        <v>58</v>
      </c>
      <c r="G7" s="16"/>
      <c r="H7" s="17"/>
      <c r="I7" s="17"/>
      <c r="J7" s="17"/>
      <c r="K7" s="17"/>
      <c r="L7" s="17"/>
      <c r="M7" s="17"/>
      <c r="N7" s="17"/>
      <c r="O7" s="17" t="s">
        <v>21</v>
      </c>
      <c r="P7" s="17" t="s">
        <v>24</v>
      </c>
      <c r="Q7" s="16">
        <v>12</v>
      </c>
      <c r="R7" s="16">
        <v>12</v>
      </c>
      <c r="S7" s="16">
        <v>0</v>
      </c>
      <c r="T7" s="16">
        <v>0</v>
      </c>
      <c r="U7" s="16">
        <v>0</v>
      </c>
      <c r="V7" s="16">
        <v>0</v>
      </c>
      <c r="W7" s="16"/>
      <c r="X7" s="16"/>
      <c r="Y7" s="16"/>
      <c r="Z7" s="16"/>
      <c r="AA7" s="16"/>
      <c r="AB7" s="16">
        <v>0</v>
      </c>
      <c r="AC7" s="16">
        <v>0</v>
      </c>
      <c r="AD7" s="16">
        <v>0</v>
      </c>
      <c r="AE7" s="16">
        <v>0</v>
      </c>
      <c r="AF7" s="17" t="s">
        <v>49</v>
      </c>
      <c r="AG7" s="17"/>
      <c r="AH7" s="17"/>
      <c r="AI7" s="16">
        <v>10</v>
      </c>
      <c r="AJ7" s="16">
        <v>0</v>
      </c>
      <c r="AK7" s="16">
        <v>1</v>
      </c>
      <c r="AL7" s="16">
        <v>3</v>
      </c>
      <c r="AM7" s="17"/>
      <c r="AN7" s="17"/>
      <c r="AO7" s="17"/>
      <c r="AP7" s="17"/>
      <c r="AQ7" s="17"/>
      <c r="AR7" s="17"/>
      <c r="AS7" s="17"/>
    </row>
    <row r="8" ht="15.75" customHeight="1" spans="1:45">
      <c r="A8" s="4"/>
      <c r="B8" s="16">
        <v>253.50015</v>
      </c>
      <c r="C8" s="16">
        <v>253.50015</v>
      </c>
      <c r="D8" s="16">
        <v>250</v>
      </c>
      <c r="E8" s="16">
        <v>250</v>
      </c>
      <c r="F8" s="17" t="s">
        <v>58</v>
      </c>
      <c r="G8" s="16"/>
      <c r="H8" s="17"/>
      <c r="I8" s="17"/>
      <c r="J8" s="17"/>
      <c r="K8" s="17"/>
      <c r="L8" s="17"/>
      <c r="M8" s="17"/>
      <c r="N8" s="17"/>
      <c r="O8" s="17" t="s">
        <v>20</v>
      </c>
      <c r="P8" s="17" t="s">
        <v>23</v>
      </c>
      <c r="Q8" s="16">
        <v>25</v>
      </c>
      <c r="R8" s="16">
        <v>25</v>
      </c>
      <c r="S8" s="16">
        <v>0</v>
      </c>
      <c r="T8" s="16">
        <v>0</v>
      </c>
      <c r="U8" s="16">
        <v>0</v>
      </c>
      <c r="V8" s="16">
        <v>0</v>
      </c>
      <c r="W8" s="16"/>
      <c r="X8" s="16"/>
      <c r="Y8" s="16"/>
      <c r="Z8" s="16"/>
      <c r="AA8" s="16"/>
      <c r="AB8" s="16">
        <v>0</v>
      </c>
      <c r="AC8" s="16">
        <v>0</v>
      </c>
      <c r="AD8" s="16">
        <v>0</v>
      </c>
      <c r="AE8" s="16">
        <v>0</v>
      </c>
      <c r="AF8" s="17" t="s">
        <v>49</v>
      </c>
      <c r="AG8" s="17"/>
      <c r="AH8" s="17"/>
      <c r="AI8" s="16">
        <v>10</v>
      </c>
      <c r="AJ8" s="16">
        <v>0</v>
      </c>
      <c r="AK8" s="16">
        <v>1</v>
      </c>
      <c r="AL8" s="16">
        <v>3</v>
      </c>
      <c r="AM8" s="17"/>
      <c r="AN8" s="17"/>
      <c r="AO8" s="17"/>
      <c r="AP8" s="17"/>
      <c r="AQ8" s="17"/>
      <c r="AR8" s="17"/>
      <c r="AS8" s="17"/>
    </row>
    <row r="9" ht="15.75" customHeight="1" spans="1:45">
      <c r="A9" s="4"/>
      <c r="B9" s="16">
        <v>253.50015</v>
      </c>
      <c r="C9" s="16">
        <v>253.50015</v>
      </c>
      <c r="D9" s="16">
        <v>250</v>
      </c>
      <c r="E9" s="16">
        <v>250</v>
      </c>
      <c r="F9" s="17" t="s">
        <v>58</v>
      </c>
      <c r="G9" s="16"/>
      <c r="H9" s="17"/>
      <c r="I9" s="17"/>
      <c r="J9" s="17"/>
      <c r="K9" s="17"/>
      <c r="L9" s="17"/>
      <c r="M9" s="17"/>
      <c r="N9" s="17"/>
      <c r="O9" s="17" t="s">
        <v>20</v>
      </c>
      <c r="P9" s="17" t="s">
        <v>24</v>
      </c>
      <c r="Q9" s="16">
        <v>25</v>
      </c>
      <c r="R9" s="16">
        <v>25</v>
      </c>
      <c r="S9" s="16">
        <v>0</v>
      </c>
      <c r="T9" s="16">
        <v>0</v>
      </c>
      <c r="U9" s="16">
        <v>0</v>
      </c>
      <c r="V9" s="16">
        <v>0</v>
      </c>
      <c r="W9" s="16"/>
      <c r="X9" s="16"/>
      <c r="Y9" s="16"/>
      <c r="Z9" s="16"/>
      <c r="AA9" s="16"/>
      <c r="AB9" s="16">
        <v>0</v>
      </c>
      <c r="AC9" s="16">
        <v>0</v>
      </c>
      <c r="AD9" s="16">
        <v>0</v>
      </c>
      <c r="AE9" s="16">
        <v>0</v>
      </c>
      <c r="AF9" s="17" t="s">
        <v>49</v>
      </c>
      <c r="AG9" s="17"/>
      <c r="AH9" s="17"/>
      <c r="AI9" s="16">
        <v>10</v>
      </c>
      <c r="AJ9" s="16">
        <v>0</v>
      </c>
      <c r="AK9" s="16">
        <v>1</v>
      </c>
      <c r="AL9" s="16">
        <v>3</v>
      </c>
      <c r="AM9" s="17"/>
      <c r="AN9" s="17"/>
      <c r="AO9" s="17"/>
      <c r="AP9" s="17"/>
      <c r="AQ9" s="17"/>
      <c r="AR9" s="17"/>
      <c r="AS9" s="17"/>
    </row>
    <row r="10" ht="15.75" customHeight="1" spans="1:45">
      <c r="A10" s="4"/>
      <c r="B10" s="16">
        <v>74.39996</v>
      </c>
      <c r="C10" s="16">
        <v>74.39996</v>
      </c>
      <c r="D10" s="16">
        <v>80</v>
      </c>
      <c r="E10" s="16">
        <v>80</v>
      </c>
      <c r="F10" s="17" t="s">
        <v>58</v>
      </c>
      <c r="G10" s="16"/>
      <c r="H10" s="17"/>
      <c r="I10" s="17"/>
      <c r="J10" s="17"/>
      <c r="K10" s="17"/>
      <c r="L10" s="17"/>
      <c r="M10" s="17"/>
      <c r="N10" s="17"/>
      <c r="O10" s="17" t="s">
        <v>21</v>
      </c>
      <c r="P10" s="17" t="s">
        <v>23</v>
      </c>
      <c r="Q10" s="16">
        <v>40</v>
      </c>
      <c r="R10" s="16">
        <v>8</v>
      </c>
      <c r="S10" s="16">
        <v>0</v>
      </c>
      <c r="T10" s="16">
        <v>0</v>
      </c>
      <c r="U10" s="16">
        <v>0</v>
      </c>
      <c r="V10" s="16">
        <v>0</v>
      </c>
      <c r="W10" s="16"/>
      <c r="X10" s="16"/>
      <c r="Y10" s="16"/>
      <c r="Z10" s="16"/>
      <c r="AA10" s="16"/>
      <c r="AB10" s="16">
        <v>0</v>
      </c>
      <c r="AC10" s="16">
        <v>0</v>
      </c>
      <c r="AD10" s="16">
        <v>0</v>
      </c>
      <c r="AE10" s="16">
        <v>0</v>
      </c>
      <c r="AF10" s="17" t="s">
        <v>49</v>
      </c>
      <c r="AG10" s="17"/>
      <c r="AH10" s="17"/>
      <c r="AI10" s="16">
        <v>10</v>
      </c>
      <c r="AJ10" s="16">
        <v>0</v>
      </c>
      <c r="AK10" s="16">
        <v>1</v>
      </c>
      <c r="AL10" s="16">
        <v>3</v>
      </c>
      <c r="AM10" s="17"/>
      <c r="AN10" s="17"/>
      <c r="AO10" s="17"/>
      <c r="AP10" s="17"/>
      <c r="AQ10" s="17"/>
      <c r="AR10" s="17"/>
      <c r="AS10" s="17"/>
    </row>
    <row r="11" ht="15.75" customHeight="1" spans="1:45">
      <c r="A11" s="4"/>
      <c r="B11" s="16">
        <v>18.59999</v>
      </c>
      <c r="C11" s="16">
        <v>18.59999</v>
      </c>
      <c r="D11" s="16">
        <v>20</v>
      </c>
      <c r="E11" s="16">
        <v>20</v>
      </c>
      <c r="F11" s="17" t="s">
        <v>58</v>
      </c>
      <c r="G11" s="16"/>
      <c r="H11" s="17"/>
      <c r="I11" s="17"/>
      <c r="J11" s="17"/>
      <c r="K11" s="17"/>
      <c r="L11" s="17"/>
      <c r="M11" s="17"/>
      <c r="N11" s="17"/>
      <c r="O11" s="17" t="s">
        <v>21</v>
      </c>
      <c r="P11" s="17" t="s">
        <v>24</v>
      </c>
      <c r="Q11" s="16">
        <v>10</v>
      </c>
      <c r="R11" s="16">
        <v>2</v>
      </c>
      <c r="S11" s="16">
        <v>0</v>
      </c>
      <c r="T11" s="16">
        <v>0</v>
      </c>
      <c r="U11" s="16">
        <v>0</v>
      </c>
      <c r="V11" s="16">
        <v>0</v>
      </c>
      <c r="W11" s="16"/>
      <c r="X11" s="16"/>
      <c r="Y11" s="16"/>
      <c r="Z11" s="16"/>
      <c r="AA11" s="16"/>
      <c r="AB11" s="16">
        <v>0</v>
      </c>
      <c r="AC11" s="16">
        <v>0</v>
      </c>
      <c r="AD11" s="16">
        <v>0</v>
      </c>
      <c r="AE11" s="16">
        <v>0</v>
      </c>
      <c r="AF11" s="17" t="s">
        <v>49</v>
      </c>
      <c r="AG11" s="17"/>
      <c r="AH11" s="17"/>
      <c r="AI11" s="16">
        <v>10</v>
      </c>
      <c r="AJ11" s="16">
        <v>0</v>
      </c>
      <c r="AK11" s="16">
        <v>1</v>
      </c>
      <c r="AL11" s="16">
        <v>3</v>
      </c>
      <c r="AM11" s="17"/>
      <c r="AN11" s="17"/>
      <c r="AO11" s="17"/>
      <c r="AP11" s="17"/>
      <c r="AQ11" s="17"/>
      <c r="AR11" s="17"/>
      <c r="AS11" s="17"/>
    </row>
    <row r="12" ht="15.75" customHeight="1" spans="1:45">
      <c r="A12" s="4"/>
      <c r="B12" s="16">
        <v>46.499975</v>
      </c>
      <c r="C12" s="16">
        <v>46.499975</v>
      </c>
      <c r="D12" s="16">
        <v>50</v>
      </c>
      <c r="E12" s="16">
        <v>50</v>
      </c>
      <c r="F12" s="17" t="s">
        <v>58</v>
      </c>
      <c r="G12" s="16"/>
      <c r="H12" s="17"/>
      <c r="I12" s="17"/>
      <c r="J12" s="17"/>
      <c r="K12" s="17"/>
      <c r="L12" s="17"/>
      <c r="M12" s="17"/>
      <c r="N12" s="17"/>
      <c r="O12" s="17" t="s">
        <v>20</v>
      </c>
      <c r="P12" s="17" t="s">
        <v>23</v>
      </c>
      <c r="Q12" s="16">
        <v>25</v>
      </c>
      <c r="R12" s="16">
        <v>5</v>
      </c>
      <c r="S12" s="16">
        <v>0</v>
      </c>
      <c r="T12" s="16">
        <v>0</v>
      </c>
      <c r="U12" s="16">
        <v>0</v>
      </c>
      <c r="V12" s="16">
        <v>0</v>
      </c>
      <c r="W12" s="16"/>
      <c r="X12" s="16"/>
      <c r="Y12" s="16"/>
      <c r="Z12" s="16"/>
      <c r="AA12" s="16"/>
      <c r="AB12" s="16">
        <v>0</v>
      </c>
      <c r="AC12" s="16">
        <v>0</v>
      </c>
      <c r="AD12" s="16">
        <v>0</v>
      </c>
      <c r="AE12" s="16">
        <v>0</v>
      </c>
      <c r="AF12" s="17" t="s">
        <v>49</v>
      </c>
      <c r="AG12" s="17"/>
      <c r="AH12" s="17"/>
      <c r="AI12" s="16">
        <v>10</v>
      </c>
      <c r="AJ12" s="16">
        <v>0</v>
      </c>
      <c r="AK12" s="16">
        <v>1</v>
      </c>
      <c r="AL12" s="16">
        <v>3</v>
      </c>
      <c r="AM12" s="17"/>
      <c r="AN12" s="17"/>
      <c r="AO12" s="17"/>
      <c r="AP12" s="17"/>
      <c r="AQ12" s="17"/>
      <c r="AR12" s="17"/>
      <c r="AS12" s="17"/>
    </row>
    <row r="13" ht="15.75" customHeight="1" spans="1:45">
      <c r="A13" s="4"/>
      <c r="B13" s="16">
        <v>46.499975</v>
      </c>
      <c r="C13" s="16">
        <v>46.499975</v>
      </c>
      <c r="D13" s="16">
        <v>50</v>
      </c>
      <c r="E13" s="16">
        <v>50</v>
      </c>
      <c r="F13" s="17" t="s">
        <v>58</v>
      </c>
      <c r="G13" s="16"/>
      <c r="H13" s="17"/>
      <c r="I13" s="17"/>
      <c r="J13" s="17"/>
      <c r="K13" s="17"/>
      <c r="L13" s="17"/>
      <c r="M13" s="17"/>
      <c r="N13" s="17"/>
      <c r="O13" s="17" t="s">
        <v>20</v>
      </c>
      <c r="P13" s="17" t="s">
        <v>24</v>
      </c>
      <c r="Q13" s="16">
        <v>25</v>
      </c>
      <c r="R13" s="16">
        <v>5</v>
      </c>
      <c r="S13" s="16">
        <v>0</v>
      </c>
      <c r="T13" s="16">
        <v>0</v>
      </c>
      <c r="U13" s="16">
        <v>0</v>
      </c>
      <c r="V13" s="16">
        <v>0</v>
      </c>
      <c r="W13" s="16"/>
      <c r="X13" s="16"/>
      <c r="Y13" s="16"/>
      <c r="Z13" s="16"/>
      <c r="AA13" s="16"/>
      <c r="AB13" s="16">
        <v>0</v>
      </c>
      <c r="AC13" s="16">
        <v>0</v>
      </c>
      <c r="AD13" s="16">
        <v>0</v>
      </c>
      <c r="AE13" s="16">
        <v>0</v>
      </c>
      <c r="AF13" s="17" t="s">
        <v>49</v>
      </c>
      <c r="AG13" s="17"/>
      <c r="AH13" s="17"/>
      <c r="AI13" s="16">
        <v>10</v>
      </c>
      <c r="AJ13" s="16">
        <v>0</v>
      </c>
      <c r="AK13" s="16">
        <v>1</v>
      </c>
      <c r="AL13" s="16">
        <v>3</v>
      </c>
      <c r="AM13" s="17"/>
      <c r="AN13" s="17"/>
      <c r="AO13" s="17"/>
      <c r="AP13" s="17"/>
      <c r="AQ13" s="17"/>
      <c r="AR13" s="17"/>
      <c r="AS13" s="17"/>
    </row>
    <row r="14" ht="15.75" customHeight="1" spans="1:45">
      <c r="A14" s="4"/>
      <c r="B14" s="16">
        <v>374.679772</v>
      </c>
      <c r="C14" s="16">
        <v>374.679772</v>
      </c>
      <c r="D14" s="16">
        <v>380</v>
      </c>
      <c r="E14" s="16">
        <v>380</v>
      </c>
      <c r="F14" s="17" t="s">
        <v>58</v>
      </c>
      <c r="G14" s="16"/>
      <c r="H14" s="17"/>
      <c r="I14" s="17"/>
      <c r="J14" s="17"/>
      <c r="K14" s="17"/>
      <c r="L14" s="17"/>
      <c r="M14" s="17"/>
      <c r="N14" s="17"/>
      <c r="O14" s="17" t="s">
        <v>21</v>
      </c>
      <c r="P14" s="17" t="s">
        <v>23</v>
      </c>
      <c r="Q14" s="16">
        <v>38</v>
      </c>
      <c r="R14" s="16">
        <v>38</v>
      </c>
      <c r="S14" s="16">
        <v>0</v>
      </c>
      <c r="T14" s="16">
        <v>0</v>
      </c>
      <c r="U14" s="16">
        <v>0</v>
      </c>
      <c r="V14" s="16">
        <v>0</v>
      </c>
      <c r="W14" s="16"/>
      <c r="X14" s="16"/>
      <c r="Y14" s="16"/>
      <c r="Z14" s="16"/>
      <c r="AA14" s="16"/>
      <c r="AB14" s="16">
        <v>0</v>
      </c>
      <c r="AC14" s="16">
        <v>0</v>
      </c>
      <c r="AD14" s="16">
        <v>0</v>
      </c>
      <c r="AE14" s="16">
        <v>0</v>
      </c>
      <c r="AF14" s="17" t="s">
        <v>49</v>
      </c>
      <c r="AG14" s="17"/>
      <c r="AH14" s="17"/>
      <c r="AI14" s="16">
        <v>10</v>
      </c>
      <c r="AJ14" s="16">
        <v>0</v>
      </c>
      <c r="AK14" s="16">
        <v>1</v>
      </c>
      <c r="AL14" s="16">
        <v>3</v>
      </c>
      <c r="AM14" s="17"/>
      <c r="AN14" s="17"/>
      <c r="AO14" s="17"/>
      <c r="AP14" s="17"/>
      <c r="AQ14" s="17"/>
      <c r="AR14" s="17"/>
      <c r="AS14" s="17"/>
    </row>
    <row r="15" ht="15.75" customHeight="1" spans="1:45">
      <c r="A15" s="4"/>
      <c r="B15" s="16">
        <v>118.319928</v>
      </c>
      <c r="C15" s="16">
        <v>118.319928</v>
      </c>
      <c r="D15" s="16">
        <v>120</v>
      </c>
      <c r="E15" s="16">
        <v>120</v>
      </c>
      <c r="F15" s="17" t="s">
        <v>58</v>
      </c>
      <c r="G15" s="16"/>
      <c r="H15" s="17"/>
      <c r="I15" s="17"/>
      <c r="J15" s="17"/>
      <c r="K15" s="17"/>
      <c r="L15" s="17"/>
      <c r="M15" s="17"/>
      <c r="N15" s="17"/>
      <c r="O15" s="17" t="s">
        <v>21</v>
      </c>
      <c r="P15" s="17" t="s">
        <v>24</v>
      </c>
      <c r="Q15" s="16">
        <v>12</v>
      </c>
      <c r="R15" s="16">
        <v>12</v>
      </c>
      <c r="S15" s="16">
        <v>0</v>
      </c>
      <c r="T15" s="16">
        <v>0</v>
      </c>
      <c r="U15" s="16">
        <v>0</v>
      </c>
      <c r="V15" s="16">
        <v>0</v>
      </c>
      <c r="W15" s="16"/>
      <c r="X15" s="16"/>
      <c r="Y15" s="16"/>
      <c r="Z15" s="16"/>
      <c r="AA15" s="16"/>
      <c r="AB15" s="16">
        <v>0</v>
      </c>
      <c r="AC15" s="16">
        <v>0</v>
      </c>
      <c r="AD15" s="16">
        <v>0</v>
      </c>
      <c r="AE15" s="16">
        <v>0</v>
      </c>
      <c r="AF15" s="17" t="s">
        <v>49</v>
      </c>
      <c r="AG15" s="17"/>
      <c r="AH15" s="17"/>
      <c r="AI15" s="16">
        <v>10</v>
      </c>
      <c r="AJ15" s="16">
        <v>0</v>
      </c>
      <c r="AK15" s="16">
        <v>1</v>
      </c>
      <c r="AL15" s="16">
        <v>3</v>
      </c>
      <c r="AM15" s="17"/>
      <c r="AN15" s="17"/>
      <c r="AO15" s="17"/>
      <c r="AP15" s="17"/>
      <c r="AQ15" s="17"/>
      <c r="AR15" s="17"/>
      <c r="AS15" s="17"/>
    </row>
    <row r="16" ht="15.75" customHeight="1" spans="1:45">
      <c r="A16" s="4"/>
      <c r="B16" s="16">
        <v>246.49985</v>
      </c>
      <c r="C16" s="16">
        <v>246.49985</v>
      </c>
      <c r="D16" s="16">
        <v>250</v>
      </c>
      <c r="E16" s="16">
        <v>250</v>
      </c>
      <c r="F16" s="17" t="s">
        <v>58</v>
      </c>
      <c r="G16" s="16"/>
      <c r="H16" s="17"/>
      <c r="I16" s="17"/>
      <c r="J16" s="17"/>
      <c r="K16" s="17"/>
      <c r="L16" s="17"/>
      <c r="M16" s="17"/>
      <c r="N16" s="17"/>
      <c r="O16" s="17" t="s">
        <v>20</v>
      </c>
      <c r="P16" s="17" t="s">
        <v>23</v>
      </c>
      <c r="Q16" s="16">
        <v>25</v>
      </c>
      <c r="R16" s="16">
        <v>25</v>
      </c>
      <c r="S16" s="16">
        <v>0</v>
      </c>
      <c r="T16" s="16">
        <v>0</v>
      </c>
      <c r="U16" s="16">
        <v>0</v>
      </c>
      <c r="V16" s="16">
        <v>0</v>
      </c>
      <c r="W16" s="16"/>
      <c r="X16" s="16"/>
      <c r="Y16" s="16"/>
      <c r="Z16" s="16"/>
      <c r="AA16" s="16"/>
      <c r="AB16" s="16">
        <v>0</v>
      </c>
      <c r="AC16" s="16">
        <v>0</v>
      </c>
      <c r="AD16" s="16">
        <v>0</v>
      </c>
      <c r="AE16" s="16">
        <v>0</v>
      </c>
      <c r="AF16" s="17" t="s">
        <v>49</v>
      </c>
      <c r="AG16" s="17"/>
      <c r="AH16" s="17"/>
      <c r="AI16" s="16">
        <v>10</v>
      </c>
      <c r="AJ16" s="16">
        <v>0</v>
      </c>
      <c r="AK16" s="16">
        <v>1</v>
      </c>
      <c r="AL16" s="16">
        <v>3</v>
      </c>
      <c r="AM16" s="17"/>
      <c r="AN16" s="17"/>
      <c r="AO16" s="17"/>
      <c r="AP16" s="17"/>
      <c r="AQ16" s="17"/>
      <c r="AR16" s="17"/>
      <c r="AS16" s="17"/>
    </row>
    <row r="17" ht="15.75" customHeight="1" spans="1:45">
      <c r="A17" s="4"/>
      <c r="B17" s="16">
        <v>246.49985</v>
      </c>
      <c r="C17" s="16">
        <v>246.49985</v>
      </c>
      <c r="D17" s="16">
        <v>250</v>
      </c>
      <c r="E17" s="16">
        <v>250</v>
      </c>
      <c r="F17" s="17" t="s">
        <v>58</v>
      </c>
      <c r="G17" s="16"/>
      <c r="H17" s="17"/>
      <c r="I17" s="17"/>
      <c r="J17" s="17"/>
      <c r="K17" s="17"/>
      <c r="L17" s="17"/>
      <c r="M17" s="17"/>
      <c r="N17" s="17"/>
      <c r="O17" s="17" t="s">
        <v>20</v>
      </c>
      <c r="P17" s="17" t="s">
        <v>24</v>
      </c>
      <c r="Q17" s="16">
        <v>25</v>
      </c>
      <c r="R17" s="16">
        <v>25</v>
      </c>
      <c r="S17" s="16">
        <v>0</v>
      </c>
      <c r="T17" s="16">
        <v>0</v>
      </c>
      <c r="U17" s="16">
        <v>0</v>
      </c>
      <c r="V17" s="16">
        <v>0</v>
      </c>
      <c r="W17" s="16"/>
      <c r="X17" s="16"/>
      <c r="Y17" s="16"/>
      <c r="Z17" s="16"/>
      <c r="AA17" s="16"/>
      <c r="AB17" s="16">
        <v>0</v>
      </c>
      <c r="AC17" s="16">
        <v>0</v>
      </c>
      <c r="AD17" s="16">
        <v>0</v>
      </c>
      <c r="AE17" s="16">
        <v>0</v>
      </c>
      <c r="AF17" s="17" t="s">
        <v>49</v>
      </c>
      <c r="AG17" s="17"/>
      <c r="AH17" s="17"/>
      <c r="AI17" s="16">
        <v>10</v>
      </c>
      <c r="AJ17" s="16">
        <v>0</v>
      </c>
      <c r="AK17" s="16">
        <v>1</v>
      </c>
      <c r="AL17" s="16">
        <v>3</v>
      </c>
      <c r="AM17" s="17"/>
      <c r="AN17" s="17"/>
      <c r="AO17" s="17"/>
      <c r="AP17" s="17"/>
      <c r="AQ17" s="17"/>
      <c r="AR17" s="17"/>
      <c r="AS17" s="17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 display="=IFERROR(__xludf.DUMMYFUNCTION(&quot;&quot;&quot;COMPUTED_VALUE&quot;&quot;&quot;),&quot;https://docs.google.com/spreadsheets/d/1s8Tugp9tltXlrflnMpJQZAK_8xohzWlqShomllKwg98&quot;)"/>
  </hyperlinks>
  <pageMargins left="0.75" right="0.75" top="1" bottom="1" header="0.5" footer="0.5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R100"/>
  <sheetViews>
    <sheetView tabSelected="1"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74" width="12.6285714285714" customWidth="1"/>
  </cols>
  <sheetData>
    <row r="1" ht="15.75" customHeight="1" spans="1:17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74">
      <c r="A3" s="5"/>
      <c r="B3" s="6" t="s">
        <v>8</v>
      </c>
      <c r="C3" s="7" t="s">
        <v>59</v>
      </c>
      <c r="D3" s="6" t="s">
        <v>9</v>
      </c>
      <c r="E3" s="7" t="s">
        <v>60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</row>
    <row r="4" ht="15.75" customHeight="1" spans="1:174">
      <c r="A4" s="8"/>
      <c r="B4" s="8" t="str">
        <f>IFERROR(__xludf.DUMMYFUNCTION("IF(C3="""","""",Transpose(IMPORTRANGE('_Settings'!$B$3,C3&amp;""!A4:A1000"")))"),"CheckDashboardPM")</f>
        <v>CheckDashboardPM</v>
      </c>
      <c r="C4" s="8" t="str">
        <f>IFERROR(__xludf.DUMMYFUNCTION("""COMPUTED_VALUE"""),"CheckPortfolioManagement")</f>
        <v>CheckPortfolioManagement</v>
      </c>
      <c r="D4" s="8" t="str">
        <f>IFERROR(__xludf.DUMMYFUNCTION("""COMPUTED_VALUE"""),"OpenPSTFromPM")</f>
        <v>OpenPSTFromPM</v>
      </c>
      <c r="E4" s="8" t="str">
        <f>IFERROR(__xludf.DUMMYFUNCTION("""COMPUTED_VALUE"""),"ClosePM")</f>
        <v>ClosePM</v>
      </c>
      <c r="F4" s="8" t="str">
        <f>IFERROR(__xludf.DUMMYFUNCTION("""COMPUTED_VALUE"""),"FilterPM")</f>
        <v>FilterPM</v>
      </c>
      <c r="G4" s="8" t="str">
        <f>IFERROR(__xludf.DUMMYFUNCTION("""COMPUTED_VALUE"""),"GroupRowPM")</f>
        <v>GroupRowPM</v>
      </c>
      <c r="H4" s="8" t="str">
        <f>IFERROR(__xludf.DUMMYFUNCTION("""COMPUTED_VALUE"""),"CheckDashboardWithPM")</f>
        <v>CheckDashboardWithPM</v>
      </c>
      <c r="I4" s="8" t="str">
        <f>IFERROR(__xludf.DUMMYFUNCTION("""COMPUTED_VALUE"""),"RemoveFilterPM")</f>
        <v>RemoveFilterPM</v>
      </c>
      <c r="J4" s="8" t="str">
        <f>IFERROR(__xludf.DUMMYFUNCTION("""COMPUTED_VALUE"""),"CheckSummaryRowsPM")</f>
        <v>CheckSummaryRowsPM</v>
      </c>
      <c r="K4" s="8" t="str">
        <f>IFERROR(__xludf.DUMMYFUNCTION("""COMPUTED_VALUE"""),"OpenPTTFromPM")</f>
        <v>OpenPTTFromPM</v>
      </c>
      <c r="L4" s="8" t="str">
        <f>IFERROR(__xludf.DUMMYFUNCTION("""COMPUTED_VALUE"""),"OpenClosingFromPM")</f>
        <v>OpenClosingFromPM</v>
      </c>
      <c r="M4" s="8" t="str">
        <f>IFERROR(__xludf.DUMMYFUNCTION("""COMPUTED_VALUE"""),"OpenCorporateActionFromPM")</f>
        <v>OpenCorporateActionFromPM</v>
      </c>
      <c r="N4" s="8" t="str">
        <f>IFERROR(__xludf.DUMMYFUNCTION("""COMPUTED_VALUE"""),"OpenDailyValuationFromPM")</f>
        <v>OpenDailyValuationFromPM</v>
      </c>
      <c r="O4" s="8" t="str">
        <f>IFERROR(__xludf.DUMMYFUNCTION("""COMPUTED_VALUE"""),"ClosePositionFromPM")</f>
        <v>ClosePositionFromPM</v>
      </c>
      <c r="P4" s="14" t="str">
        <f>IFERROR(__xludf.DUMMYFUNCTION("""COMPUTED_VALUE"""),"ShowSummaryToolFromPM")</f>
        <v>ShowSummaryToolFromPM</v>
      </c>
      <c r="Q4" s="14" t="str">
        <f>IFERROR(__xludf.DUMMYFUNCTION("""COMPUTED_VALUE"""),"HideSummaryToolFromPM")</f>
        <v>HideSummaryToolFromPM</v>
      </c>
      <c r="R4" s="14" t="str">
        <f>IFERROR(__xludf.DUMMYFUNCTION("""COMPUTED_VALUE"""),"CloseAccountPositionFromPM")</f>
        <v>CloseAccountPositionFromPM</v>
      </c>
      <c r="S4" s="14" t="str">
        <f>IFERROR(__xludf.DUMMYFUNCTION("""COMPUTED_VALUE"""),"CloseSelectedTaxlotsFromPM")</f>
        <v>CloseSelectedTaxlotsFromPM</v>
      </c>
      <c r="T4" s="14" t="str">
        <f>IFERROR(__xludf.DUMMYFUNCTION("""COMPUTED_VALUE"""),"ExpandCollapsePM")</f>
        <v>ExpandCollapsePM</v>
      </c>
      <c r="U4" s="14" t="str">
        <f>IFERROR(__xludf.DUMMYFUNCTION("""COMPUTED_VALUE"""),"AddCustomViewPM")</f>
        <v>AddCustomViewPM</v>
      </c>
      <c r="V4" s="14" t="str">
        <f>IFERROR(__xludf.DUMMYFUNCTION("""COMPUTED_VALUE"""),"AddCustomViewRightClickPM")</f>
        <v>AddCustomViewRightClickPM</v>
      </c>
      <c r="W4" s="14" t="str">
        <f>IFERROR(__xludf.DUMMYFUNCTION("""COMPUTED_VALUE"""),"RenameCustomViewPM")</f>
        <v>RenameCustomViewPM</v>
      </c>
      <c r="X4" s="14" t="str">
        <f>IFERROR(__xludf.DUMMYFUNCTION("""COMPUTED_VALUE"""),"DeleteCustomViewPM")</f>
        <v>DeleteCustomViewPM</v>
      </c>
      <c r="Y4" s="14" t="str">
        <f>IFERROR(__xludf.DUMMYFUNCTION("""COMPUTED_VALUE"""),"OpenCreateTransactionFromPM")</f>
        <v>OpenCreateTransactionFromPM</v>
      </c>
      <c r="Z4" s="14" t="str">
        <f>IFERROR(__xludf.DUMMYFUNCTION("""COMPUTED_VALUE"""),"RemoveGroupingFromPM")</f>
        <v>RemoveGroupingFromPM</v>
      </c>
      <c r="AA4" s="14" t="str">
        <f>IFERROR(__xludf.DUMMYFUNCTION("""COMPUTED_VALUE"""),"IncreasePositionFromPM")</f>
        <v>IncreasePositionFromPM</v>
      </c>
      <c r="AB4" s="14" t="str">
        <f>IFERROR(__xludf.DUMMYFUNCTION("""COMPUTED_VALUE"""),"CheckPMLiveFeed")</f>
        <v>CheckPMLiveFeed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</row>
    <row r="5" ht="15.75" customHeight="1" spans="1:17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IFERROR(__xludf.DUMMYFUNCTION("""COMPUTED_VALUE"""),"Trade Date")</f>
        <v>Trade Date</v>
      </c>
      <c r="C5" s="10" t="str">
        <f>IFERROR(__xludf.DUMMYFUNCTION("""COMPUTED_VALUE"""),"Symbol")</f>
        <v>Symbol</v>
      </c>
      <c r="D5" s="10" t="str">
        <f>IFERROR(__xludf.DUMMYFUNCTION("""COMPUTED_VALUE"""),"Position")</f>
        <v>Position</v>
      </c>
      <c r="E5" s="10" t="str">
        <f>IFERROR(__xludf.DUMMYFUNCTION("""COMPUTED_VALUE"""),"Account")</f>
        <v>Account</v>
      </c>
      <c r="F5" s="10" t="str">
        <f>IFERROR(__xludf.DUMMYFUNCTION("""COMPUTED_VALUE"""),"MasterFund")</f>
        <v>MasterFund</v>
      </c>
      <c r="G5" s="10" t="str">
        <f>IFERROR(__xludf.DUMMYFUNCTION("""COMPUTED_VALUE"""),"Cost Basis")</f>
        <v>Cost Basis</v>
      </c>
      <c r="H5" s="10" t="str">
        <f>IFERROR(__xludf.DUMMYFUNCTION("""COMPUTED_VALUE"""),"Position Side")</f>
        <v>Position Side</v>
      </c>
      <c r="I5" s="10" t="str">
        <f>IFERROR(__xludf.DUMMYFUNCTION("""COMPUTED_VALUE"""),"Market Value (Base)")</f>
        <v>Market Value (Base)</v>
      </c>
      <c r="J5" s="10" t="str">
        <f>IFERROR(__xludf.DUMMYFUNCTION("""COMPUTED_VALUE"""),"% Day P&amp;L (Gross MV)")</f>
        <v>% Day P&amp;L (Gross MV)</v>
      </c>
      <c r="K5" s="10" t="str">
        <f>IFERROR(__xludf.DUMMYFUNCTION("""COMPUTED_VALUE"""),"Net Exposure (Base)")</f>
        <v>Net Exposure (Base)</v>
      </c>
      <c r="L5" s="10" t="str">
        <f>IFERROR(__xludf.DUMMYFUNCTION("""COMPUTED_VALUE"""),"Beta Adj. Gross Exposure (Base)")</f>
        <v>Beta Adj. Gross Exposure (Base)</v>
      </c>
      <c r="M5" s="10" t="str">
        <f>IFERROR(__xludf.DUMMYFUNCTION("""COMPUTED_VALUE"""),"Beta Adj. Gross Exposure (Underlying) (Base)")</f>
        <v>Beta Adj. Gross Exposure (Underlying) (Base)</v>
      </c>
      <c r="N5" s="10" t="str">
        <f>IFERROR(__xludf.DUMMYFUNCTION("""COMPUTED_VALUE"""),"Day P&amp;L (Base)")</f>
        <v>Day P&amp;L (Base)</v>
      </c>
      <c r="O5" s="10" t="str">
        <f>IFERROR(__xludf.DUMMYFUNCTION("""COMPUTED_VALUE"""),"Security Name")</f>
        <v>Security Name</v>
      </c>
      <c r="P5" s="10" t="str">
        <f>IFERROR(__xludf.DUMMYFUNCTION("""COMPUTED_VALUE"""),"Closing Mark")</f>
        <v>Closing Mark</v>
      </c>
      <c r="Q5" s="10" t="str">
        <f>IFERROR(__xludf.DUMMYFUNCTION("""COMPUTED_VALUE"""),"Cost Basis P&amp;L (Base)")</f>
        <v>Cost Basis P&amp;L (Base)</v>
      </c>
      <c r="R5" s="10" t="str">
        <f>IFERROR(__xludf.DUMMYFUNCTION("""COMPUTED_VALUE"""),"Prime Broker")</f>
        <v>Prime Broker</v>
      </c>
      <c r="S5" s="10" t="str">
        <f>IFERROR(__xludf.DUMMYFUNCTION("""COMPUTED_VALUE"""),"Strategy")</f>
        <v>Strategy</v>
      </c>
      <c r="T5" s="15" t="str">
        <f>IFERROR(__xludf.DUMMYFUNCTION("""COMPUTED_VALUE"""),"Asset Class")</f>
        <v>Asset Class</v>
      </c>
      <c r="U5" s="15" t="str">
        <f>IFERROR(__xludf.DUMMYFUNCTION("""COMPUTED_VALUE"""),"Underlying")</f>
        <v>Underlying</v>
      </c>
      <c r="V5" s="15" t="str">
        <f>IFERROR(__xludf.DUMMYFUNCTION("""COMPUTED_VALUE"""),"Exchange")</f>
        <v>Exchange</v>
      </c>
      <c r="W5" s="15" t="str">
        <f>IFERROR(__xludf.DUMMYFUNCTION("""COMPUTED_VALUE"""),"Trade Currency")</f>
        <v>Trade Currency</v>
      </c>
      <c r="X5" s="15" t="str">
        <f>IFERROR(__xludf.DUMMYFUNCTION("""COMPUTED_VALUE"""),"Multiplier")</f>
        <v>Multiplier</v>
      </c>
      <c r="Y5" s="15" t="str">
        <f>IFERROR(__xludf.DUMMYFUNCTION("""COMPUTED_VALUE"""),"FX Rate")</f>
        <v>FX Rate</v>
      </c>
      <c r="Z5" s="15" t="str">
        <f>IFERROR(__xludf.DUMMYFUNCTION("""COMPUTED_VALUE"""),"Vs Currency")</f>
        <v>Vs Currency</v>
      </c>
      <c r="AA5" s="15" t="str">
        <f>IFERROR(__xludf.DUMMYFUNCTION("""COMPUTED_VALUE"""),"Lead Currency")</f>
        <v>Lead Currency</v>
      </c>
      <c r="AB5" s="15" t="str">
        <f>IFERROR(__xludf.DUMMYFUNCTION("""COMPUTED_VALUE"""),"Dividend Yield (%)")</f>
        <v>Dividend Yield (%)</v>
      </c>
      <c r="AC5" s="15" t="str">
        <f>IFERROR(__xludf.DUMMYFUNCTION("""COMPUTED_VALUE"""),"% Change")</f>
        <v>% Change</v>
      </c>
      <c r="AD5" s="15" t="str">
        <f>IFERROR(__xludf.DUMMYFUNCTION("""COMPUTED_VALUE"""),"Net Exposure (Local)")</f>
        <v>Net Exposure (Local)</v>
      </c>
      <c r="AE5" s="15" t="str">
        <f>IFERROR(__xludf.DUMMYFUNCTION("""COMPUTED_VALUE"""),"Exposure (Local)")</f>
        <v>Exposure (Local)</v>
      </c>
      <c r="AF5" s="15" t="str">
        <f>IFERROR(__xludf.DUMMYFUNCTION("""COMPUTED_VALUE"""),"Delta Adj. Position")</f>
        <v>Delta Adj. Position</v>
      </c>
      <c r="AG5" s="15" t="str">
        <f>IFERROR(__xludf.DUMMYFUNCTION("""COMPUTED_VALUE"""),"Exposure (Base)")</f>
        <v>Exposure (Base)</v>
      </c>
      <c r="AH5" s="15" t="str">
        <f>IFERROR(__xludf.DUMMYFUNCTION("""COMPUTED_VALUE"""),"Beta Adj. Exposure (Local)")</f>
        <v>Beta Adj. Exposure (Local)</v>
      </c>
      <c r="AI5" s="15" t="str">
        <f>IFERROR(__xludf.DUMMYFUNCTION("""COMPUTED_VALUE"""),"Beta Adj. Exposure (Base)")</f>
        <v>Beta Adj. Exposure (Base)</v>
      </c>
      <c r="AJ5" s="15" t="str">
        <f>IFERROR(__xludf.DUMMYFUNCTION("""COMPUTED_VALUE"""),"Exposure (BP)(Base)")</f>
        <v>Exposure (BP)(Base)</v>
      </c>
      <c r="AK5" s="15" t="str">
        <f>IFERROR(__xludf.DUMMYFUNCTION("""COMPUTED_VALUE"""),"Day P&amp;L (Local)")</f>
        <v>Day P&amp;L (Local)</v>
      </c>
      <c r="AL5" s="15" t="str">
        <f>IFERROR(__xludf.DUMMYFUNCTION("""COMPUTED_VALUE"""),"Delta")</f>
        <v>Delta</v>
      </c>
      <c r="AM5" s="15" t="str">
        <f>IFERROR(__xludf.DUMMYFUNCTION("""COMPUTED_VALUE"""),"Leveraged Factor")</f>
        <v>Leveraged Factor</v>
      </c>
      <c r="AN5" s="15" t="str">
        <f>IFERROR(__xludf.DUMMYFUNCTION("""COMPUTED_VALUE"""),"Order Side")</f>
        <v>Order Side</v>
      </c>
      <c r="AO5" s="15" t="str">
        <f>IFERROR(__xludf.DUMMYFUNCTION("""COMPUTED_VALUE"""),"Master Strategy")</f>
        <v>Master Strategy</v>
      </c>
      <c r="AP5" s="15" t="str">
        <f>IFERROR(__xludf.DUMMYFUNCTION("""COMPUTED_VALUE"""),"Transaction Side")</f>
        <v>Transaction Side</v>
      </c>
      <c r="AQ5" s="15" t="str">
        <f>IFERROR(__xludf.DUMMYFUNCTION("""COMPUTED_VALUE"""),"Underlying Symbol")</f>
        <v>Underlying Symbol</v>
      </c>
      <c r="AR5" s="15" t="str">
        <f>IFERROR(__xludf.DUMMYFUNCTION("""COMPUTED_VALUE"""),"Underlying Price")</f>
        <v>Underlying Price</v>
      </c>
      <c r="AS5" s="15" t="str">
        <f>IFERROR(__xludf.DUMMYFUNCTION("""COMPUTED_VALUE"""),"Side Multiplier")</f>
        <v>Side Multiplier</v>
      </c>
      <c r="AT5" s="15" t="str">
        <f>IFERROR(__xludf.DUMMYFUNCTION("""COMPUTED_VALUE"""),"Description")</f>
        <v>Description</v>
      </c>
      <c r="AU5" s="15" t="str">
        <f>IFERROR(__xludf.DUMMYFUNCTION("""COMPUTED_VALUE"""),"Internal Comments")</f>
        <v>Internal Comments</v>
      </c>
      <c r="AV5" s="15" t="str">
        <f>IFERROR(__xludf.DUMMYFUNCTION("""COMPUTED_VALUE"""),"FX Rate On Trade Date")</f>
        <v>FX Rate On Trade Date</v>
      </c>
      <c r="AW5" s="15" t="str">
        <f>IFERROR(__xludf.DUMMYFUNCTION("""COMPUTED_VALUE"""),"Cost Basis P&amp;L (Local)")</f>
        <v>Cost Basis P&amp;L (Local)</v>
      </c>
      <c r="AX5" s="15" t="str">
        <f>IFERROR(__xludf.DUMMYFUNCTION("""COMPUTED_VALUE"""),"Day Interest")</f>
        <v>Day Interest</v>
      </c>
      <c r="AY5" s="15" t="str">
        <f>IFERROR(__xludf.DUMMYFUNCTION("""COMPUTED_VALUE"""),"Total Interest")</f>
        <v>Total Interest</v>
      </c>
      <c r="AZ5" s="15" t="str">
        <f>IFERROR(__xludf.DUMMYFUNCTION("""COMPUTED_VALUE"""),"Market Value (Local)")</f>
        <v>Market Value (Local)</v>
      </c>
      <c r="BA5" s="15" t="str">
        <f>IFERROR(__xludf.DUMMYFUNCTION("""COMPUTED_VALUE"""),"% Gain/Loss Day")</f>
        <v>% Gain/Loss Day</v>
      </c>
      <c r="BB5" s="15" t="str">
        <f>IFERROR(__xludf.DUMMYFUNCTION("""COMPUTED_VALUE"""),"Update Time (Last Price)")</f>
        <v>Update Time (Last Price)</v>
      </c>
      <c r="BC5" s="15" t="str">
        <f>IFERROR(__xludf.DUMMYFUNCTION("""COMPUTED_VALUE"""),"Beta")</f>
        <v>Beta</v>
      </c>
      <c r="BD5" s="15" t="str">
        <f>IFERROR(__xludf.DUMMYFUNCTION("""COMPUTED_VALUE"""),"Cash Impact (Local)")</f>
        <v>Cash Impact (Local)</v>
      </c>
      <c r="BE5" s="15" t="str">
        <f>IFERROR(__xludf.DUMMYFUNCTION("""COMPUTED_VALUE"""),"User Asset")</f>
        <v>User Asset</v>
      </c>
      <c r="BF5" s="15" t="str">
        <f>IFERROR(__xludf.DUMMYFUNCTION("""COMPUTED_VALUE"""),"Security Type")</f>
        <v>Security Type</v>
      </c>
      <c r="BG5" s="15" t="str">
        <f>IFERROR(__xludf.DUMMYFUNCTION("""COMPUTED_VALUE"""),"Sector")</f>
        <v>Sector</v>
      </c>
      <c r="BH5" s="15" t="str">
        <f>IFERROR(__xludf.DUMMYFUNCTION("""COMPUTED_VALUE"""),"Sub Sector")</f>
        <v>Sub Sector</v>
      </c>
      <c r="BI5" s="15" t="str">
        <f>IFERROR(__xludf.DUMMYFUNCTION("""COMPUTED_VALUE"""),"Country")</f>
        <v>Country</v>
      </c>
      <c r="BJ5" s="15" t="str">
        <f>IFERROR(__xludf.DUMMYFUNCTION("""COMPUTED_VALUE"""),"Market Cap")</f>
        <v>Market Cap</v>
      </c>
      <c r="BK5" s="15" t="str">
        <f>IFERROR(__xludf.DUMMYFUNCTION("""COMPUTED_VALUE"""),"Shares Outstanding (MM)")</f>
        <v>Shares Outstanding (MM)</v>
      </c>
      <c r="BL5" s="15" t="str">
        <f>IFERROR(__xludf.DUMMYFUNCTION("""COMPUTED_VALUE"""),"Avg Volume 20 Day")</f>
        <v>Avg Volume 20 Day</v>
      </c>
      <c r="BM5" s="15" t="str">
        <f>IFERROR(__xludf.DUMMYFUNCTION("""COMPUTED_VALUE"""),"% Avg Volume (Delta Adj.)")</f>
        <v>% Avg Volume (Delta Adj.)</v>
      </c>
      <c r="BN5" s="15" t="str">
        <f>IFERROR(__xludf.DUMMYFUNCTION("""COMPUTED_VALUE"""),"Ex Dividend Date")</f>
        <v>Ex Dividend Date</v>
      </c>
      <c r="BO5" s="15" t="str">
        <f>IFERROR(__xludf.DUMMYFUNCTION("""COMPUTED_VALUE"""),"Cash Impact (Base)")</f>
        <v>Cash Impact (Base)</v>
      </c>
      <c r="BP5" s="15" t="str">
        <f>IFERROR(__xludf.DUMMYFUNCTION("""COMPUTED_VALUE"""),"Volatility (%)")</f>
        <v>Volatility (%)</v>
      </c>
      <c r="BQ5" s="15" t="str">
        <f>IFERROR(__xludf.DUMMYFUNCTION("""COMPUTED_VALUE"""),"User")</f>
        <v>User</v>
      </c>
      <c r="BR5" s="15" t="str">
        <f>IFERROR(__xludf.DUMMYFUNCTION("""COMPUTED_VALUE"""),"Broker")</f>
        <v>Broker</v>
      </c>
      <c r="BS5" s="15" t="str">
        <f>IFERROR(__xludf.DUMMYFUNCTION("""COMPUTED_VALUE"""),"Earned Dividend (Local)")</f>
        <v>Earned Dividend (Local)</v>
      </c>
      <c r="BT5" s="15" t="str">
        <f>IFERROR(__xludf.DUMMYFUNCTION("""COMPUTED_VALUE"""),"Earned Dividend (Base)")</f>
        <v>Earned Dividend (Base)</v>
      </c>
      <c r="BU5" s="15" t="str">
        <f>IFERROR(__xludf.DUMMYFUNCTION("""COMPUTED_VALUE"""),"Put/Call")</f>
        <v>Put/Call</v>
      </c>
      <c r="BV5" s="15" t="str">
        <f>IFERROR(__xludf.DUMMYFUNCTION("""COMPUTED_VALUE"""),"Expiration Date")</f>
        <v>Expiration Date</v>
      </c>
      <c r="BW5" s="15" t="str">
        <f>IFERROR(__xludf.DUMMYFUNCTION("""COMPUTED_VALUE"""),"Strike Price")</f>
        <v>Strike Price</v>
      </c>
      <c r="BX5" s="15" t="str">
        <f>IFERROR(__xludf.DUMMYFUNCTION("""COMPUTED_VALUE"""),"Gross Exposure (Base)")</f>
        <v>Gross Exposure (Base)</v>
      </c>
      <c r="BY5" s="15" t="str">
        <f>IFERROR(__xludf.DUMMYFUNCTION("""COMPUTED_VALUE"""),"Gross Market Value (Base)")</f>
        <v>Gross Market Value (Base)</v>
      </c>
      <c r="BZ5" s="15" t="str">
        <f>IFERROR(__xludf.DUMMYFUNCTION("""COMPUTED_VALUE"""),"Px Selected Feed (Local)")</f>
        <v>Px Selected Feed (Local)</v>
      </c>
      <c r="CA5" s="15" t="str">
        <f>IFERROR(__xludf.DUMMYFUNCTION("""COMPUTED_VALUE"""),"Px Selected Feed (Base)")</f>
        <v>Px Selected Feed (Base)</v>
      </c>
      <c r="CB5" s="15" t="str">
        <f>IFERROR(__xludf.DUMMYFUNCTION("""COMPUTED_VALUE"""),"Settlement Date")</f>
        <v>Settlement Date</v>
      </c>
      <c r="CC5" s="15" t="str">
        <f>IFERROR(__xludf.DUMMYFUNCTION("""COMPUTED_VALUE"""),"% Avg Volume")</f>
        <v>% Avg Volume</v>
      </c>
      <c r="CD5" s="15" t="str">
        <f>IFERROR(__xludf.DUMMYFUNCTION("""COMPUTED_VALUE"""),"Day P&amp;L (Base)(Price Gain)")</f>
        <v>Day P&amp;L (Base)(Price Gain)</v>
      </c>
      <c r="CE5" s="15" t="str">
        <f>IFERROR(__xludf.DUMMYFUNCTION("""COMPUTED_VALUE"""),"Day P&amp;L (Base)(FX Gain)")</f>
        <v>Day P&amp;L (Base)(FX Gain)</v>
      </c>
      <c r="CF5" s="15" t="str">
        <f>IFERROR(__xludf.DUMMYFUNCTION("""COMPUTED_VALUE"""),"Cost Basis P&amp;L (Base)(FX Gain)")</f>
        <v>Cost Basis P&amp;L (Base)(FX Gain)</v>
      </c>
      <c r="CG5" s="15" t="str">
        <f>IFERROR(__xludf.DUMMYFUNCTION("""COMPUTED_VALUE"""),"Cost Basis P&amp;L (Base)(Price Gain)")</f>
        <v>Cost Basis P&amp;L (Base)(Price Gain)</v>
      </c>
      <c r="CH5" s="15" t="str">
        <f>IFERROR(__xludf.DUMMYFUNCTION("""COMPUTED_VALUE"""),"% Gain/Loss Cost")</f>
        <v>% Gain/Loss Cost</v>
      </c>
      <c r="CI5" s="15" t="str">
        <f>IFERROR(__xludf.DUMMYFUNCTION("""COMPUTED_VALUE"""),"Underlying Value (Options)")</f>
        <v>Underlying Value (Options)</v>
      </c>
      <c r="CJ5" s="15" t="str">
        <f>IFERROR(__xludf.DUMMYFUNCTION("""COMPUTED_VALUE"""),"Avg Volume 20 Day (Underlying Symbol)")</f>
        <v>Avg Volume 20 Day (Underlying Symbol)</v>
      </c>
      <c r="CK5" s="15" t="str">
        <f>IFERROR(__xludf.DUMMYFUNCTION("""COMPUTED_VALUE"""),"IsStaleData")</f>
        <v>IsStaleData</v>
      </c>
      <c r="CL5" s="15" t="str">
        <f>IFERROR(__xludf.DUMMYFUNCTION("""COMPUTED_VALUE"""),"IDCO")</f>
        <v>IDCO</v>
      </c>
      <c r="CM5" s="15" t="str">
        <f>IFERROR(__xludf.DUMMYFUNCTION("""COMPUTED_VALUE"""),"OSI")</f>
        <v>OSI</v>
      </c>
      <c r="CN5" s="15" t="str">
        <f>IFERROR(__xludf.DUMMYFUNCTION("""COMPUTED_VALUE"""),"SEDOL")</f>
        <v>SEDOL</v>
      </c>
      <c r="CO5" s="15" t="str">
        <f>IFERROR(__xludf.DUMMYFUNCTION("""COMPUTED_VALUE"""),"CUSIP")</f>
        <v>CUSIP</v>
      </c>
      <c r="CP5" s="15" t="str">
        <f>IFERROR(__xludf.DUMMYFUNCTION("""COMPUTED_VALUE"""),"Bloomberg")</f>
        <v>Bloomberg</v>
      </c>
      <c r="CQ5" s="15" t="str">
        <f>IFERROR(__xludf.DUMMYFUNCTION("""COMPUTED_VALUE"""),"ISIN")</f>
        <v>ISIN</v>
      </c>
      <c r="CR5" s="15" t="str">
        <f>IFERROR(__xludf.DUMMYFUNCTION("""COMPUTED_VALUE"""),"Start Trade Date")</f>
        <v>Start Trade Date</v>
      </c>
      <c r="CS5" s="15" t="str">
        <f>IFERROR(__xludf.DUMMYFUNCTION("""COMPUTED_VALUE"""),"Cost Basis (Break Even)")</f>
        <v>Cost Basis (Break Even)</v>
      </c>
      <c r="CT5" s="15" t="str">
        <f>IFERROR(__xludf.DUMMYFUNCTION("""COMPUTED_VALUE"""),"Trade Attribute 3")</f>
        <v>Trade Attribute 3</v>
      </c>
      <c r="CU5" s="15" t="str">
        <f>IFERROR(__xludf.DUMMYFUNCTION("""COMPUTED_VALUE"""),"Trade Attribute 4")</f>
        <v>Trade Attribute 4</v>
      </c>
      <c r="CV5" s="15" t="str">
        <f>IFERROR(__xludf.DUMMYFUNCTION("""COMPUTED_VALUE"""),"Trade Attribute 5")</f>
        <v>Trade Attribute 5</v>
      </c>
      <c r="CW5" s="15" t="str">
        <f>IFERROR(__xludf.DUMMYFUNCTION("""COMPUTED_VALUE"""),"Trade Attribute 6")</f>
        <v>Trade Attribute 6</v>
      </c>
      <c r="CX5" s="15" t="str">
        <f>IFERROR(__xludf.DUMMYFUNCTION("""COMPUTED_VALUE"""),"Proxy Symbol")</f>
        <v>Proxy Symbol</v>
      </c>
      <c r="CY5" s="15" t="str">
        <f>IFERROR(__xludf.DUMMYFUNCTION("""COMPUTED_VALUE"""),"Pricing Source")</f>
        <v>Pricing Source</v>
      </c>
      <c r="CZ5" s="15" t="str">
        <f>IFERROR(__xludf.DUMMYFUNCTION("""COMPUTED_VALUE"""),"Delta Source")</f>
        <v>Delta Source</v>
      </c>
      <c r="DA5" s="15" t="str">
        <f>IFERROR(__xludf.DUMMYFUNCTION("""COMPUTED_VALUE"""),"Gross Exposure (Local)")</f>
        <v>Gross Exposure (Local)</v>
      </c>
      <c r="DB5" s="15" t="str">
        <f>IFERROR(__xludf.DUMMYFUNCTION("""COMPUTED_VALUE"""),"% Day P&amp;L (Net MV)")</f>
        <v>% Day P&amp;L (Net MV)</v>
      </c>
      <c r="DC5" s="15" t="str">
        <f>IFERROR(__xludf.DUMMYFUNCTION("""COMPUTED_VALUE"""),"Expiration Month")</f>
        <v>Expiration Month</v>
      </c>
      <c r="DD5" s="15" t="str">
        <f>IFERROR(__xludf.DUMMYFUNCTION("""COMPUTED_VALUE"""),"Delta Adj. Position (LME)")</f>
        <v>Delta Adj. Position (LME)</v>
      </c>
      <c r="DE5" s="15" t="str">
        <f>IFERROR(__xludf.DUMMYFUNCTION("""COMPUTED_VALUE"""),"Premium")</f>
        <v>Premium</v>
      </c>
      <c r="DF5" s="15" t="str">
        <f>IFERROR(__xludf.DUMMYFUNCTION("""COMPUTED_VALUE"""),"Premium $")</f>
        <v>Premium $</v>
      </c>
      <c r="DG5" s="15" t="str">
        <f>IFERROR(__xludf.DUMMYFUNCTION("""COMPUTED_VALUE"""),"Forward Points")</f>
        <v>Forward Points</v>
      </c>
      <c r="DH5" s="15" t="str">
        <f>IFERROR(__xludf.DUMMYFUNCTION("""COMPUTED_VALUE"""),"Closing Mark (Underlying)")</f>
        <v>Closing Mark (Underlying)</v>
      </c>
      <c r="DI5" s="15" t="str">
        <f>IFERROR(__xludf.DUMMYFUNCTION("""COMPUTED_VALUE"""),"% Change (Underlying Price)")</f>
        <v>% Change (Underlying Price)</v>
      </c>
      <c r="DJ5" s="15" t="str">
        <f>IFERROR(__xludf.DUMMYFUNCTION("""COMPUTED_VALUE"""),"Transaction Type")</f>
        <v>Transaction Type</v>
      </c>
      <c r="DK5" s="15" t="str">
        <f>IFERROR(__xludf.DUMMYFUNCTION("""COMPUTED_VALUE"""),"Closing Market Value (Local)")</f>
        <v>Closing Market Value (Local)</v>
      </c>
      <c r="DL5" s="15" t="str">
        <f>IFERROR(__xludf.DUMMYFUNCTION("""COMPUTED_VALUE"""),"Closing Market Value (Base)")</f>
        <v>Closing Market Value (Base)</v>
      </c>
      <c r="DM5" s="15" t="str">
        <f>IFERROR(__xludf.DUMMYFUNCTION("""COMPUTED_VALUE"""),"Closing FX Rate")</f>
        <v>Closing FX Rate</v>
      </c>
      <c r="DN5" s="15" t="str">
        <f>IFERROR(__xludf.DUMMYFUNCTION("""COMPUTED_VALUE"""),"Change In Underlying Price")</f>
        <v>Change In Underlying Price</v>
      </c>
      <c r="DO5" s="15" t="str">
        <f>IFERROR(__xludf.DUMMYFUNCTION("""COMPUTED_VALUE"""),"RIC")</f>
        <v>RIC</v>
      </c>
      <c r="DP5" s="15" t="str">
        <f>IFERROR(__xludf.DUMMYFUNCTION("""COMPUTED_VALUE"""),"Position Side Exposure (Boxed)")</f>
        <v>Position Side Exposure (Boxed)</v>
      </c>
      <c r="DQ5" s="15" t="str">
        <f>IFERROR(__xludf.DUMMYFUNCTION("""COMPUTED_VALUE"""),"Analyst")</f>
        <v>Analyst</v>
      </c>
      <c r="DR5" s="15" t="str">
        <f>IFERROR(__xludf.DUMMYFUNCTION("""COMPUTED_VALUE"""),"Country Of Risk")</f>
        <v>Country Of Risk</v>
      </c>
      <c r="DS5" s="15" t="str">
        <f>IFERROR(__xludf.DUMMYFUNCTION("""COMPUTED_VALUE"""),"Custom UDA1")</f>
        <v>Custom UDA1</v>
      </c>
      <c r="DT5" s="15" t="str">
        <f>IFERROR(__xludf.DUMMYFUNCTION("""COMPUTED_VALUE"""),"Custom UDA2")</f>
        <v>Custom UDA2</v>
      </c>
      <c r="DU5" s="15" t="str">
        <f>IFERROR(__xludf.DUMMYFUNCTION("""COMPUTED_VALUE"""),"Custom UDA3")</f>
        <v>Custom UDA3</v>
      </c>
      <c r="DV5" s="15" t="str">
        <f>IFERROR(__xludf.DUMMYFUNCTION("""COMPUTED_VALUE"""),"Custom UDA4")</f>
        <v>Custom UDA4</v>
      </c>
      <c r="DW5" s="15" t="str">
        <f>IFERROR(__xludf.DUMMYFUNCTION("""COMPUTED_VALUE"""),"Custom UDA5")</f>
        <v>Custom UDA5</v>
      </c>
      <c r="DX5" s="15" t="str">
        <f>IFERROR(__xludf.DUMMYFUNCTION("""COMPUTED_VALUE"""),"Custom UDA6")</f>
        <v>Custom UDA6</v>
      </c>
      <c r="DY5" s="15" t="str">
        <f>IFERROR(__xludf.DUMMYFUNCTION("""COMPUTED_VALUE"""),"Custom UDA7")</f>
        <v>Custom UDA7</v>
      </c>
      <c r="DZ5" s="15" t="str">
        <f>IFERROR(__xludf.DUMMYFUNCTION("""COMPUTED_VALUE"""),"Issuer")</f>
        <v>Issuer</v>
      </c>
      <c r="EA5" s="15" t="str">
        <f>IFERROR(__xludf.DUMMYFUNCTION("""COMPUTED_VALUE"""),"Liquid Tag")</f>
        <v>Liquid Tag</v>
      </c>
      <c r="EB5" s="15" t="str">
        <f>IFERROR(__xludf.DUMMYFUNCTION("""COMPUTED_VALUE"""),"Market Cap UDA")</f>
        <v>Market Cap UDA</v>
      </c>
      <c r="EC5" s="15" t="str">
        <f>IFERROR(__xludf.DUMMYFUNCTION("""COMPUTED_VALUE"""),"Region")</f>
        <v>Region</v>
      </c>
      <c r="ED5" s="15" t="str">
        <f>IFERROR(__xludf.DUMMYFUNCTION("""COMPUTED_VALUE"""),"Risk Currency")</f>
        <v>Risk Currency</v>
      </c>
      <c r="EE5" s="15" t="str">
        <f>IFERROR(__xludf.DUMMYFUNCTION("""COMPUTED_VALUE"""),"UCITS Eligible Tag")</f>
        <v>UCITS Eligible Tag</v>
      </c>
      <c r="EF5" s="15" t="str">
        <f>IFERROR(__xludf.DUMMYFUNCTION("""COMPUTED_VALUE"""),"FX Rate (Display)")</f>
        <v>FX Rate (Display)</v>
      </c>
      <c r="EG5" s="15" t="str">
        <f>IFERROR(__xludf.DUMMYFUNCTION("""COMPUTED_VALUE"""),"% Net Exposure (Base)")</f>
        <v>% Net Exposure (Base)</v>
      </c>
      <c r="EH5" s="15" t="str">
        <f>IFERROR(__xludf.DUMMYFUNCTION("""COMPUTED_VALUE"""),"% Gross Exposure (Base)")</f>
        <v>% Gross Exposure (Base)</v>
      </c>
      <c r="EI5" s="15" t="str">
        <f>IFERROR(__xludf.DUMMYFUNCTION("""COMPUTED_VALUE"""),"% Exposure (Base)")</f>
        <v>% Exposure (Base)</v>
      </c>
      <c r="EJ5" s="15" t="str">
        <f>IFERROR(__xludf.DUMMYFUNCTION("""COMPUTED_VALUE"""),"% Gross Exposure (Underlying) (Base)")</f>
        <v>% Gross Exposure (Underlying) (Base)</v>
      </c>
      <c r="EK5" s="15" t="str">
        <f>IFERROR(__xludf.DUMMYFUNCTION("""COMPUTED_VALUE"""),"% Beta Adj. Gross Exposure (Base)")</f>
        <v>% Beta Adj. Gross Exposure (Base)</v>
      </c>
      <c r="EL5" s="15" t="str">
        <f>IFERROR(__xludf.DUMMYFUNCTION("""COMPUTED_VALUE"""),"Position Side Exposure (Underlying)")</f>
        <v>Position Side Exposure (Underlying)</v>
      </c>
      <c r="EM5" s="15" t="str">
        <f>IFERROR(__xludf.DUMMYFUNCTION("""COMPUTED_VALUE"""),"Gross Exposure (Underlying) (Base)")</f>
        <v>Gross Exposure (Underlying) (Base)</v>
      </c>
      <c r="EN5" s="15" t="str">
        <f>IFERROR(__xludf.DUMMYFUNCTION("""COMPUTED_VALUE"""),"Gross Exposure (Underlying)")</f>
        <v>Gross Exposure (Underlying)</v>
      </c>
      <c r="EO5" s="15" t="str">
        <f>IFERROR(__xludf.DUMMYFUNCTION("""COMPUTED_VALUE"""),"Day Return")</f>
        <v>Day Return</v>
      </c>
      <c r="EP5" s="15" t="str">
        <f>IFERROR(__xludf.DUMMYFUNCTION("""COMPUTED_VALUE"""),"Start of Day NAV")</f>
        <v>Start of Day NAV</v>
      </c>
      <c r="EQ5" s="15" t="str">
        <f>IFERROR(__xludf.DUMMYFUNCTION("""COMPUTED_VALUE"""),"% Gross Market Value (Base)")</f>
        <v>% Gross Market Value (Base)</v>
      </c>
      <c r="ER5" s="15" t="str">
        <f>IFERROR(__xludf.DUMMYFUNCTION("""COMPUTED_VALUE"""),"Beta Adj. Gross Exposure (Underlying) (Local)")</f>
        <v>Beta Adj. Gross Exposure (Underlying) (Local)</v>
      </c>
      <c r="ES5" s="15" t="str">
        <f>IFERROR(__xludf.DUMMYFUNCTION("""COMPUTED_VALUE"""),"NAV")</f>
        <v>NAV</v>
      </c>
      <c r="ET5" s="15" t="str">
        <f>IFERROR(__xludf.DUMMYFUNCTION("""COMPUTED_VALUE"""),"% P&amp;L Contribution")</f>
        <v>% P&amp;L Contribution</v>
      </c>
      <c r="EU5" s="15" t="str">
        <f>IFERROR(__xludf.DUMMYFUNCTION("""COMPUTED_VALUE"""),"% Net Market Value (Base)")</f>
        <v>% Net Market Value (Base)</v>
      </c>
      <c r="EV5" s="15" t="str">
        <f>IFERROR(__xludf.DUMMYFUNCTION("""COMPUTED_VALUE"""),"Position Side Exposure")</f>
        <v>Position Side Exposure</v>
      </c>
      <c r="EW5" s="15" t="str">
        <f>IFERROR(__xludf.DUMMYFUNCTION("""COMPUTED_VALUE"""),"NAV (Touch)")</f>
        <v>NAV (Touch)</v>
      </c>
      <c r="EX5" s="15" t="str">
        <f>IFERROR(__xludf.DUMMYFUNCTION("""COMPUTED_VALUE"""),"IgnorePropertyChangeEvents")</f>
        <v>IgnorePropertyChangeEvents</v>
      </c>
      <c r="EY5" s="15" t="str">
        <f>IFERROR(__xludf.DUMMYFUNCTION("""COMPUTED_VALUE"""),"Trade Attribute 1")</f>
        <v>Trade Attribute 1</v>
      </c>
      <c r="EZ5" s="15" t="str">
        <f>IFERROR(__xludf.DUMMYFUNCTION("""COMPUTED_VALUE"""),"Trade Attribute 2")</f>
        <v>Trade Attribute 2</v>
      </c>
      <c r="FA5" s="15" t="str">
        <f>IFERROR(__xludf.DUMMYFUNCTION("""COMPUTED_VALUE"""),"Client")</f>
        <v>Client</v>
      </c>
      <c r="FB5" s="15" t="str">
        <f>IFERROR(__xludf.DUMMYFUNCTION("""COMPUTED_VALUE"""),"IsCustomViewTab")</f>
        <v>IsCustomViewTab</v>
      </c>
      <c r="FC5" s="15" t="str">
        <f>IFERROR(__xludf.DUMMYFUNCTION("""COMPUTED_VALUE"""),"ITM/OTM")</f>
        <v>ITM/OTM</v>
      </c>
      <c r="FD5" s="15" t="str">
        <f>IFERROR(__xludf.DUMMYFUNCTION("""COMPUTED_VALUE"""),"Days to Expiry")</f>
        <v>Days to Expiry</v>
      </c>
      <c r="FE5" s="15" t="str">
        <f>IFERROR(__xludf.DUMMYFUNCTION("""COMPUTED_VALUE"""),"% of Underlying Price")</f>
        <v>% of Underlying Price</v>
      </c>
      <c r="FF5" s="15" t="str">
        <f>IFERROR(__xludf.DUMMYFUNCTION("""COMPUTED_VALUE"""),"Intrinsic value")</f>
        <v>Intrinsic value</v>
      </c>
      <c r="FG5" s="15" t="str">
        <f>IFERROR(__xludf.DUMMYFUNCTION("""COMPUTED_VALUE"""),"Gain/Loss if Ex./Assign")</f>
        <v>Gain/Loss if Ex./Assign</v>
      </c>
      <c r="FH5" s="15" t="str">
        <f>IFERROR(__xludf.DUMMYFUNCTION("""COMPUTED_VALUE"""),"Day Traded Position")</f>
        <v>Day Traded Position</v>
      </c>
      <c r="FI5" s="15" t="str">
        <f>IFERROR(__xludf.DUMMYFUNCTION("""COMPUTED_VALUE"""),"isRowCountCheck")</f>
        <v>isRowCountCheck</v>
      </c>
      <c r="FJ5" s="15"/>
      <c r="FK5" s="15"/>
      <c r="FL5" s="15"/>
      <c r="FM5" s="15"/>
      <c r="FN5" s="15"/>
      <c r="FO5" s="15"/>
      <c r="FP5" s="15"/>
      <c r="FQ5" s="15"/>
      <c r="FR5" s="15"/>
    </row>
    <row r="6" ht="15.75" customHeight="1" spans="1:144">
      <c r="A6" s="4"/>
      <c r="B6" s="4"/>
      <c r="C6" s="4" t="s">
        <v>30</v>
      </c>
      <c r="D6" s="4">
        <v>38</v>
      </c>
      <c r="E6" s="4" t="s">
        <v>21</v>
      </c>
      <c r="F6" s="4" t="s">
        <v>61</v>
      </c>
      <c r="G6" s="4">
        <v>10</v>
      </c>
      <c r="H6" s="4" t="s">
        <v>62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-380</v>
      </c>
      <c r="O6" s="4" t="s">
        <v>63</v>
      </c>
      <c r="P6" t="s">
        <v>64</v>
      </c>
      <c r="Q6">
        <v>-380</v>
      </c>
      <c r="S6" t="s">
        <v>23</v>
      </c>
      <c r="T6" t="s">
        <v>46</v>
      </c>
      <c r="U6" t="s">
        <v>55</v>
      </c>
      <c r="V6" t="s">
        <v>51</v>
      </c>
      <c r="W6" t="s">
        <v>50</v>
      </c>
      <c r="X6">
        <v>1</v>
      </c>
      <c r="Y6">
        <v>1</v>
      </c>
      <c r="AB6">
        <v>0</v>
      </c>
      <c r="AC6">
        <v>0</v>
      </c>
      <c r="AD6">
        <v>0</v>
      </c>
      <c r="AE6">
        <v>0</v>
      </c>
      <c r="AF6">
        <v>38</v>
      </c>
      <c r="AG6">
        <v>0</v>
      </c>
      <c r="AH6">
        <v>0</v>
      </c>
      <c r="AI6">
        <v>0</v>
      </c>
      <c r="AJ6">
        <v>0</v>
      </c>
      <c r="AK6">
        <v>-380</v>
      </c>
      <c r="AL6">
        <v>1</v>
      </c>
      <c r="AM6">
        <v>1</v>
      </c>
      <c r="AN6" t="s">
        <v>31</v>
      </c>
      <c r="AP6" t="s">
        <v>65</v>
      </c>
      <c r="AQ6" t="s">
        <v>30</v>
      </c>
      <c r="AR6">
        <v>0</v>
      </c>
      <c r="AW6">
        <v>-380</v>
      </c>
      <c r="AX6">
        <v>0</v>
      </c>
      <c r="AY6">
        <v>0</v>
      </c>
      <c r="AZ6">
        <v>0</v>
      </c>
      <c r="BD6">
        <v>-380</v>
      </c>
      <c r="BK6">
        <v>0</v>
      </c>
      <c r="BL6">
        <v>0</v>
      </c>
      <c r="BM6">
        <v>0</v>
      </c>
      <c r="BO6">
        <v>-380</v>
      </c>
      <c r="BP6">
        <v>0</v>
      </c>
      <c r="BQ6" t="s">
        <v>56</v>
      </c>
      <c r="BR6" t="s">
        <v>48</v>
      </c>
      <c r="BS6">
        <v>0</v>
      </c>
      <c r="BT6">
        <v>0</v>
      </c>
      <c r="BX6">
        <v>0</v>
      </c>
      <c r="BY6">
        <v>0</v>
      </c>
      <c r="BZ6">
        <v>0</v>
      </c>
      <c r="CD6">
        <v>-380</v>
      </c>
      <c r="CE6">
        <v>0</v>
      </c>
      <c r="CF6">
        <v>0</v>
      </c>
      <c r="CG6">
        <v>-380</v>
      </c>
      <c r="CH6">
        <v>-100</v>
      </c>
      <c r="CI6">
        <v>0</v>
      </c>
      <c r="CJ6">
        <v>0</v>
      </c>
      <c r="CK6" t="b">
        <v>0</v>
      </c>
      <c r="CS6">
        <v>10</v>
      </c>
      <c r="DA6">
        <v>0</v>
      </c>
      <c r="DB6">
        <v>0</v>
      </c>
      <c r="DD6">
        <v>38</v>
      </c>
      <c r="DE6">
        <v>0</v>
      </c>
      <c r="DF6">
        <v>0</v>
      </c>
      <c r="DG6">
        <v>0</v>
      </c>
      <c r="DH6" t="s">
        <v>64</v>
      </c>
      <c r="DI6">
        <v>0</v>
      </c>
      <c r="DJ6" t="s">
        <v>31</v>
      </c>
      <c r="DK6">
        <v>0</v>
      </c>
      <c r="DL6">
        <v>0</v>
      </c>
      <c r="DM6">
        <v>1</v>
      </c>
      <c r="DN6">
        <v>0</v>
      </c>
      <c r="DP6" t="s">
        <v>65</v>
      </c>
      <c r="DQ6" t="s">
        <v>66</v>
      </c>
      <c r="DR6" t="s">
        <v>67</v>
      </c>
      <c r="DS6" t="s">
        <v>66</v>
      </c>
      <c r="DT6" t="s">
        <v>66</v>
      </c>
      <c r="DU6" t="s">
        <v>68</v>
      </c>
      <c r="DV6" t="s">
        <v>66</v>
      </c>
      <c r="DW6" t="s">
        <v>66</v>
      </c>
      <c r="DX6" t="s">
        <v>66</v>
      </c>
      <c r="DY6" t="s">
        <v>66</v>
      </c>
      <c r="DZ6" t="s">
        <v>63</v>
      </c>
      <c r="EA6" t="s">
        <v>68</v>
      </c>
      <c r="EB6" t="s">
        <v>66</v>
      </c>
      <c r="EC6" t="s">
        <v>66</v>
      </c>
      <c r="ED6" t="s">
        <v>50</v>
      </c>
      <c r="EE6" t="s">
        <v>69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 t="s">
        <v>65</v>
      </c>
      <c r="EM6">
        <v>0</v>
      </c>
      <c r="EN6">
        <v>0</v>
      </c>
    </row>
    <row r="7" ht="15.75" customHeight="1" spans="1:144">
      <c r="A7" s="4"/>
      <c r="B7" s="4"/>
      <c r="C7" s="4" t="s">
        <v>30</v>
      </c>
      <c r="D7" s="4">
        <v>12</v>
      </c>
      <c r="E7" s="4" t="s">
        <v>21</v>
      </c>
      <c r="F7" s="4" t="s">
        <v>61</v>
      </c>
      <c r="G7" s="4">
        <v>10</v>
      </c>
      <c r="H7" s="4" t="s">
        <v>62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-120</v>
      </c>
      <c r="O7" s="4" t="s">
        <v>63</v>
      </c>
      <c r="P7" t="s">
        <v>64</v>
      </c>
      <c r="Q7">
        <v>-120</v>
      </c>
      <c r="S7" t="s">
        <v>24</v>
      </c>
      <c r="T7" t="s">
        <v>46</v>
      </c>
      <c r="U7" t="s">
        <v>55</v>
      </c>
      <c r="V7" t="s">
        <v>51</v>
      </c>
      <c r="W7" t="s">
        <v>50</v>
      </c>
      <c r="X7">
        <v>1</v>
      </c>
      <c r="Y7">
        <v>1</v>
      </c>
      <c r="AB7">
        <v>0</v>
      </c>
      <c r="AC7">
        <v>0</v>
      </c>
      <c r="AD7">
        <v>0</v>
      </c>
      <c r="AE7">
        <v>0</v>
      </c>
      <c r="AF7">
        <v>12</v>
      </c>
      <c r="AG7">
        <v>0</v>
      </c>
      <c r="AH7">
        <v>0</v>
      </c>
      <c r="AI7">
        <v>0</v>
      </c>
      <c r="AJ7">
        <v>0</v>
      </c>
      <c r="AK7">
        <v>-120</v>
      </c>
      <c r="AL7">
        <v>1</v>
      </c>
      <c r="AM7">
        <v>1</v>
      </c>
      <c r="AN7" t="s">
        <v>31</v>
      </c>
      <c r="AP7" t="s">
        <v>65</v>
      </c>
      <c r="AQ7" t="s">
        <v>30</v>
      </c>
      <c r="AR7">
        <v>0</v>
      </c>
      <c r="AW7">
        <v>-120</v>
      </c>
      <c r="AX7">
        <v>0</v>
      </c>
      <c r="AY7">
        <v>0</v>
      </c>
      <c r="AZ7">
        <v>0</v>
      </c>
      <c r="BD7">
        <v>-120</v>
      </c>
      <c r="BK7">
        <v>0</v>
      </c>
      <c r="BL7">
        <v>0</v>
      </c>
      <c r="BM7">
        <v>0</v>
      </c>
      <c r="BO7">
        <v>-120</v>
      </c>
      <c r="BP7">
        <v>0</v>
      </c>
      <c r="BQ7" t="s">
        <v>56</v>
      </c>
      <c r="BR7" t="s">
        <v>48</v>
      </c>
      <c r="BS7">
        <v>0</v>
      </c>
      <c r="BT7">
        <v>0</v>
      </c>
      <c r="BX7">
        <v>0</v>
      </c>
      <c r="BY7">
        <v>0</v>
      </c>
      <c r="BZ7">
        <v>0</v>
      </c>
      <c r="CD7">
        <v>-120</v>
      </c>
      <c r="CE7">
        <v>0</v>
      </c>
      <c r="CF7">
        <v>0</v>
      </c>
      <c r="CG7">
        <v>-120</v>
      </c>
      <c r="CH7">
        <v>-100</v>
      </c>
      <c r="CI7">
        <v>0</v>
      </c>
      <c r="CJ7">
        <v>0</v>
      </c>
      <c r="CK7" t="b">
        <v>0</v>
      </c>
      <c r="CS7">
        <v>10</v>
      </c>
      <c r="DA7">
        <v>0</v>
      </c>
      <c r="DB7">
        <v>0</v>
      </c>
      <c r="DD7">
        <v>12</v>
      </c>
      <c r="DE7">
        <v>0</v>
      </c>
      <c r="DF7">
        <v>0</v>
      </c>
      <c r="DG7">
        <v>0</v>
      </c>
      <c r="DH7" t="s">
        <v>64</v>
      </c>
      <c r="DI7">
        <v>0</v>
      </c>
      <c r="DJ7" t="s">
        <v>31</v>
      </c>
      <c r="DK7">
        <v>0</v>
      </c>
      <c r="DL7">
        <v>0</v>
      </c>
      <c r="DM7">
        <v>1</v>
      </c>
      <c r="DN7">
        <v>0</v>
      </c>
      <c r="DP7" t="s">
        <v>65</v>
      </c>
      <c r="DQ7" t="s">
        <v>66</v>
      </c>
      <c r="DR7" t="s">
        <v>67</v>
      </c>
      <c r="DS7" t="s">
        <v>66</v>
      </c>
      <c r="DT7" t="s">
        <v>66</v>
      </c>
      <c r="DU7" t="s">
        <v>68</v>
      </c>
      <c r="DV7" t="s">
        <v>66</v>
      </c>
      <c r="DW7" t="s">
        <v>66</v>
      </c>
      <c r="DX7" t="s">
        <v>66</v>
      </c>
      <c r="DY7" t="s">
        <v>66</v>
      </c>
      <c r="DZ7" t="s">
        <v>63</v>
      </c>
      <c r="EA7" t="s">
        <v>68</v>
      </c>
      <c r="EB7" t="s">
        <v>66</v>
      </c>
      <c r="EC7" t="s">
        <v>66</v>
      </c>
      <c r="ED7" t="s">
        <v>50</v>
      </c>
      <c r="EE7" t="s">
        <v>69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 t="s">
        <v>65</v>
      </c>
      <c r="EM7">
        <v>0</v>
      </c>
      <c r="EN7">
        <v>0</v>
      </c>
    </row>
    <row r="8" ht="15.75" customHeight="1" spans="1:144">
      <c r="A8" s="4"/>
      <c r="B8" s="4"/>
      <c r="C8" s="4" t="s">
        <v>30</v>
      </c>
      <c r="D8" s="4">
        <v>-8</v>
      </c>
      <c r="E8" s="4" t="s">
        <v>21</v>
      </c>
      <c r="F8" s="4" t="s">
        <v>61</v>
      </c>
      <c r="G8" s="4">
        <v>10</v>
      </c>
      <c r="H8" s="4" t="s">
        <v>62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80</v>
      </c>
      <c r="O8" s="4" t="s">
        <v>63</v>
      </c>
      <c r="P8" t="s">
        <v>64</v>
      </c>
      <c r="Q8">
        <v>80</v>
      </c>
      <c r="S8" t="s">
        <v>23</v>
      </c>
      <c r="T8" t="s">
        <v>46</v>
      </c>
      <c r="U8" t="s">
        <v>55</v>
      </c>
      <c r="V8" t="s">
        <v>51</v>
      </c>
      <c r="W8" t="s">
        <v>50</v>
      </c>
      <c r="X8">
        <v>1</v>
      </c>
      <c r="Y8">
        <v>1</v>
      </c>
      <c r="AB8">
        <v>0</v>
      </c>
      <c r="AC8">
        <v>0</v>
      </c>
      <c r="AD8">
        <v>0</v>
      </c>
      <c r="AE8">
        <v>0</v>
      </c>
      <c r="AF8">
        <v>-8</v>
      </c>
      <c r="AG8">
        <v>0</v>
      </c>
      <c r="AH8">
        <v>0</v>
      </c>
      <c r="AI8">
        <v>0</v>
      </c>
      <c r="AJ8">
        <v>0</v>
      </c>
      <c r="AK8">
        <v>80</v>
      </c>
      <c r="AL8">
        <v>1</v>
      </c>
      <c r="AM8">
        <v>1</v>
      </c>
      <c r="AN8" t="s">
        <v>32</v>
      </c>
      <c r="AP8" t="s">
        <v>65</v>
      </c>
      <c r="AQ8" t="s">
        <v>30</v>
      </c>
      <c r="AR8">
        <v>0</v>
      </c>
      <c r="AW8">
        <v>80</v>
      </c>
      <c r="AX8">
        <v>0</v>
      </c>
      <c r="AY8">
        <v>0</v>
      </c>
      <c r="AZ8">
        <v>0</v>
      </c>
      <c r="BD8">
        <v>80</v>
      </c>
      <c r="BK8">
        <v>0</v>
      </c>
      <c r="BL8">
        <v>0</v>
      </c>
      <c r="BM8">
        <v>0</v>
      </c>
      <c r="BO8">
        <v>80</v>
      </c>
      <c r="BP8">
        <v>0</v>
      </c>
      <c r="BQ8" t="s">
        <v>56</v>
      </c>
      <c r="BR8" t="s">
        <v>48</v>
      </c>
      <c r="BS8">
        <v>0</v>
      </c>
      <c r="BT8">
        <v>0</v>
      </c>
      <c r="BX8">
        <v>0</v>
      </c>
      <c r="BY8">
        <v>0</v>
      </c>
      <c r="BZ8">
        <v>0</v>
      </c>
      <c r="CD8">
        <v>80</v>
      </c>
      <c r="CE8">
        <v>0</v>
      </c>
      <c r="CF8">
        <v>0</v>
      </c>
      <c r="CG8">
        <v>80</v>
      </c>
      <c r="CH8">
        <v>100</v>
      </c>
      <c r="CI8">
        <v>0</v>
      </c>
      <c r="CJ8">
        <v>0</v>
      </c>
      <c r="CK8" t="b">
        <v>0</v>
      </c>
      <c r="CS8">
        <v>10</v>
      </c>
      <c r="DA8">
        <v>0</v>
      </c>
      <c r="DB8">
        <v>0</v>
      </c>
      <c r="DD8">
        <v>-8</v>
      </c>
      <c r="DE8">
        <v>0</v>
      </c>
      <c r="DF8">
        <v>0</v>
      </c>
      <c r="DG8">
        <v>0</v>
      </c>
      <c r="DH8" t="s">
        <v>64</v>
      </c>
      <c r="DI8">
        <v>0</v>
      </c>
      <c r="DJ8" t="s">
        <v>32</v>
      </c>
      <c r="DK8">
        <v>0</v>
      </c>
      <c r="DL8">
        <v>0</v>
      </c>
      <c r="DM8">
        <v>1</v>
      </c>
      <c r="DN8">
        <v>0</v>
      </c>
      <c r="DP8" t="s">
        <v>65</v>
      </c>
      <c r="DQ8" t="s">
        <v>66</v>
      </c>
      <c r="DR8" t="s">
        <v>67</v>
      </c>
      <c r="DS8" t="s">
        <v>66</v>
      </c>
      <c r="DT8" t="s">
        <v>66</v>
      </c>
      <c r="DU8" t="s">
        <v>68</v>
      </c>
      <c r="DV8" t="s">
        <v>66</v>
      </c>
      <c r="DW8" t="s">
        <v>66</v>
      </c>
      <c r="DX8" t="s">
        <v>66</v>
      </c>
      <c r="DY8" t="s">
        <v>66</v>
      </c>
      <c r="DZ8" t="s">
        <v>63</v>
      </c>
      <c r="EA8" t="s">
        <v>68</v>
      </c>
      <c r="EB8" t="s">
        <v>66</v>
      </c>
      <c r="EC8" t="s">
        <v>66</v>
      </c>
      <c r="ED8" t="s">
        <v>50</v>
      </c>
      <c r="EE8" t="s">
        <v>69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 t="s">
        <v>65</v>
      </c>
      <c r="EM8">
        <v>0</v>
      </c>
      <c r="EN8">
        <v>0</v>
      </c>
    </row>
    <row r="9" ht="15.75" customHeight="1" spans="1:144">
      <c r="A9" s="4"/>
      <c r="B9" s="4"/>
      <c r="C9" s="4" t="s">
        <v>30</v>
      </c>
      <c r="D9" s="4">
        <v>-2</v>
      </c>
      <c r="E9" s="4" t="s">
        <v>21</v>
      </c>
      <c r="F9" s="4" t="s">
        <v>61</v>
      </c>
      <c r="G9" s="4">
        <v>10</v>
      </c>
      <c r="H9" s="4" t="s">
        <v>62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20</v>
      </c>
      <c r="O9" s="4" t="s">
        <v>63</v>
      </c>
      <c r="P9" t="s">
        <v>64</v>
      </c>
      <c r="Q9">
        <v>20</v>
      </c>
      <c r="S9" t="s">
        <v>24</v>
      </c>
      <c r="T9" t="s">
        <v>46</v>
      </c>
      <c r="U9" t="s">
        <v>55</v>
      </c>
      <c r="V9" t="s">
        <v>51</v>
      </c>
      <c r="W9" t="s">
        <v>50</v>
      </c>
      <c r="X9">
        <v>1</v>
      </c>
      <c r="Y9">
        <v>1</v>
      </c>
      <c r="AB9">
        <v>0</v>
      </c>
      <c r="AC9">
        <v>0</v>
      </c>
      <c r="AD9">
        <v>0</v>
      </c>
      <c r="AE9">
        <v>0</v>
      </c>
      <c r="AF9">
        <v>-2</v>
      </c>
      <c r="AG9">
        <v>0</v>
      </c>
      <c r="AH9">
        <v>0</v>
      </c>
      <c r="AI9">
        <v>0</v>
      </c>
      <c r="AJ9">
        <v>0</v>
      </c>
      <c r="AK9">
        <v>20</v>
      </c>
      <c r="AL9">
        <v>1</v>
      </c>
      <c r="AM9">
        <v>1</v>
      </c>
      <c r="AN9" t="s">
        <v>32</v>
      </c>
      <c r="AP9" t="s">
        <v>65</v>
      </c>
      <c r="AQ9" t="s">
        <v>30</v>
      </c>
      <c r="AR9">
        <v>0</v>
      </c>
      <c r="AW9">
        <v>20</v>
      </c>
      <c r="AX9">
        <v>0</v>
      </c>
      <c r="AY9">
        <v>0</v>
      </c>
      <c r="AZ9">
        <v>0</v>
      </c>
      <c r="BD9">
        <v>20</v>
      </c>
      <c r="BK9">
        <v>0</v>
      </c>
      <c r="BL9">
        <v>0</v>
      </c>
      <c r="BM9">
        <v>0</v>
      </c>
      <c r="BO9">
        <v>20</v>
      </c>
      <c r="BP9">
        <v>0</v>
      </c>
      <c r="BQ9" t="s">
        <v>56</v>
      </c>
      <c r="BR9" t="s">
        <v>48</v>
      </c>
      <c r="BS9">
        <v>0</v>
      </c>
      <c r="BT9">
        <v>0</v>
      </c>
      <c r="BX9">
        <v>0</v>
      </c>
      <c r="BY9">
        <v>0</v>
      </c>
      <c r="BZ9">
        <v>0</v>
      </c>
      <c r="CD9">
        <v>20</v>
      </c>
      <c r="CE9">
        <v>0</v>
      </c>
      <c r="CF9">
        <v>0</v>
      </c>
      <c r="CG9">
        <v>20</v>
      </c>
      <c r="CH9">
        <v>100</v>
      </c>
      <c r="CI9">
        <v>0</v>
      </c>
      <c r="CJ9">
        <v>0</v>
      </c>
      <c r="CK9" t="b">
        <v>0</v>
      </c>
      <c r="CS9">
        <v>10</v>
      </c>
      <c r="DA9">
        <v>0</v>
      </c>
      <c r="DB9">
        <v>0</v>
      </c>
      <c r="DD9">
        <v>-2</v>
      </c>
      <c r="DE9">
        <v>0</v>
      </c>
      <c r="DF9">
        <v>0</v>
      </c>
      <c r="DG9">
        <v>0</v>
      </c>
      <c r="DH9" t="s">
        <v>64</v>
      </c>
      <c r="DI9">
        <v>0</v>
      </c>
      <c r="DJ9" t="s">
        <v>32</v>
      </c>
      <c r="DK9">
        <v>0</v>
      </c>
      <c r="DL9">
        <v>0</v>
      </c>
      <c r="DM9">
        <v>1</v>
      </c>
      <c r="DN9">
        <v>0</v>
      </c>
      <c r="DP9" t="s">
        <v>65</v>
      </c>
      <c r="DQ9" t="s">
        <v>66</v>
      </c>
      <c r="DR9" t="s">
        <v>67</v>
      </c>
      <c r="DS9" t="s">
        <v>66</v>
      </c>
      <c r="DT9" t="s">
        <v>66</v>
      </c>
      <c r="DU9" t="s">
        <v>68</v>
      </c>
      <c r="DV9" t="s">
        <v>66</v>
      </c>
      <c r="DW9" t="s">
        <v>66</v>
      </c>
      <c r="DX9" t="s">
        <v>66</v>
      </c>
      <c r="DY9" t="s">
        <v>66</v>
      </c>
      <c r="DZ9" t="s">
        <v>63</v>
      </c>
      <c r="EA9" t="s">
        <v>68</v>
      </c>
      <c r="EB9" t="s">
        <v>66</v>
      </c>
      <c r="EC9" t="s">
        <v>66</v>
      </c>
      <c r="ED9" t="s">
        <v>50</v>
      </c>
      <c r="EE9" t="s">
        <v>69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 t="s">
        <v>65</v>
      </c>
      <c r="EM9">
        <v>0</v>
      </c>
      <c r="EN9">
        <v>0</v>
      </c>
    </row>
    <row r="10" ht="15.75" customHeight="1" spans="1:144">
      <c r="A10" s="4"/>
      <c r="B10" s="4"/>
      <c r="C10" s="4" t="s">
        <v>30</v>
      </c>
      <c r="D10" s="4">
        <v>-38</v>
      </c>
      <c r="E10" s="4" t="s">
        <v>21</v>
      </c>
      <c r="F10" s="4" t="s">
        <v>61</v>
      </c>
      <c r="G10" s="4">
        <v>10</v>
      </c>
      <c r="H10" s="4" t="s">
        <v>62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380</v>
      </c>
      <c r="O10" s="4" t="s">
        <v>63</v>
      </c>
      <c r="P10" t="s">
        <v>64</v>
      </c>
      <c r="Q10">
        <v>380</v>
      </c>
      <c r="S10" t="s">
        <v>23</v>
      </c>
      <c r="T10" t="s">
        <v>46</v>
      </c>
      <c r="U10" t="s">
        <v>55</v>
      </c>
      <c r="V10" t="s">
        <v>51</v>
      </c>
      <c r="W10" t="s">
        <v>50</v>
      </c>
      <c r="X10">
        <v>1</v>
      </c>
      <c r="Y10">
        <v>1</v>
      </c>
      <c r="AB10">
        <v>0</v>
      </c>
      <c r="AC10">
        <v>0</v>
      </c>
      <c r="AD10">
        <v>0</v>
      </c>
      <c r="AE10">
        <v>0</v>
      </c>
      <c r="AF10">
        <v>-38</v>
      </c>
      <c r="AG10">
        <v>0</v>
      </c>
      <c r="AH10">
        <v>0</v>
      </c>
      <c r="AI10">
        <v>0</v>
      </c>
      <c r="AJ10">
        <v>0</v>
      </c>
      <c r="AK10">
        <v>380</v>
      </c>
      <c r="AL10">
        <v>1</v>
      </c>
      <c r="AM10">
        <v>1</v>
      </c>
      <c r="AN10" t="s">
        <v>32</v>
      </c>
      <c r="AP10" t="s">
        <v>65</v>
      </c>
      <c r="AQ10" t="s">
        <v>30</v>
      </c>
      <c r="AR10">
        <v>0</v>
      </c>
      <c r="AW10">
        <v>380</v>
      </c>
      <c r="AX10">
        <v>0</v>
      </c>
      <c r="AY10">
        <v>0</v>
      </c>
      <c r="AZ10">
        <v>0</v>
      </c>
      <c r="BD10">
        <v>380</v>
      </c>
      <c r="BK10">
        <v>0</v>
      </c>
      <c r="BL10">
        <v>0</v>
      </c>
      <c r="BM10">
        <v>0</v>
      </c>
      <c r="BO10">
        <v>380</v>
      </c>
      <c r="BP10">
        <v>0</v>
      </c>
      <c r="BQ10" t="s">
        <v>56</v>
      </c>
      <c r="BR10" t="s">
        <v>48</v>
      </c>
      <c r="BS10">
        <v>0</v>
      </c>
      <c r="BT10">
        <v>0</v>
      </c>
      <c r="BX10">
        <v>0</v>
      </c>
      <c r="BY10">
        <v>0</v>
      </c>
      <c r="BZ10">
        <v>0</v>
      </c>
      <c r="CD10">
        <v>380</v>
      </c>
      <c r="CE10">
        <v>0</v>
      </c>
      <c r="CF10">
        <v>0</v>
      </c>
      <c r="CG10">
        <v>380</v>
      </c>
      <c r="CH10">
        <v>100</v>
      </c>
      <c r="CI10">
        <v>0</v>
      </c>
      <c r="CJ10">
        <v>0</v>
      </c>
      <c r="CK10" t="b">
        <v>0</v>
      </c>
      <c r="CS10">
        <v>10</v>
      </c>
      <c r="DA10">
        <v>0</v>
      </c>
      <c r="DB10">
        <v>0</v>
      </c>
      <c r="DD10">
        <v>-38</v>
      </c>
      <c r="DE10">
        <v>0</v>
      </c>
      <c r="DF10">
        <v>0</v>
      </c>
      <c r="DG10">
        <v>0</v>
      </c>
      <c r="DH10" t="s">
        <v>64</v>
      </c>
      <c r="DI10">
        <v>0</v>
      </c>
      <c r="DJ10" t="s">
        <v>32</v>
      </c>
      <c r="DK10">
        <v>0</v>
      </c>
      <c r="DL10">
        <v>0</v>
      </c>
      <c r="DM10">
        <v>1</v>
      </c>
      <c r="DN10">
        <v>0</v>
      </c>
      <c r="DP10" t="s">
        <v>65</v>
      </c>
      <c r="DQ10" t="s">
        <v>66</v>
      </c>
      <c r="DR10" t="s">
        <v>67</v>
      </c>
      <c r="DS10" t="s">
        <v>66</v>
      </c>
      <c r="DT10" t="s">
        <v>66</v>
      </c>
      <c r="DU10" t="s">
        <v>68</v>
      </c>
      <c r="DV10" t="s">
        <v>66</v>
      </c>
      <c r="DW10" t="s">
        <v>66</v>
      </c>
      <c r="DX10" t="s">
        <v>66</v>
      </c>
      <c r="DY10" t="s">
        <v>66</v>
      </c>
      <c r="DZ10" t="s">
        <v>63</v>
      </c>
      <c r="EA10" t="s">
        <v>68</v>
      </c>
      <c r="EB10" t="s">
        <v>66</v>
      </c>
      <c r="EC10" t="s">
        <v>66</v>
      </c>
      <c r="ED10" t="s">
        <v>50</v>
      </c>
      <c r="EE10" t="s">
        <v>69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 t="s">
        <v>65</v>
      </c>
      <c r="EM10">
        <v>0</v>
      </c>
      <c r="EN10">
        <v>0</v>
      </c>
    </row>
    <row r="11" ht="15.75" customHeight="1" spans="1:144">
      <c r="A11" s="4"/>
      <c r="B11" s="4"/>
      <c r="C11" s="4" t="s">
        <v>30</v>
      </c>
      <c r="D11" s="4">
        <v>-12</v>
      </c>
      <c r="E11" s="4" t="s">
        <v>21</v>
      </c>
      <c r="F11" s="4" t="s">
        <v>61</v>
      </c>
      <c r="G11" s="4">
        <v>10</v>
      </c>
      <c r="H11" s="4" t="s">
        <v>62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120</v>
      </c>
      <c r="O11" s="4" t="s">
        <v>63</v>
      </c>
      <c r="P11" t="s">
        <v>64</v>
      </c>
      <c r="Q11">
        <v>120</v>
      </c>
      <c r="S11" t="s">
        <v>24</v>
      </c>
      <c r="T11" t="s">
        <v>46</v>
      </c>
      <c r="U11" t="s">
        <v>55</v>
      </c>
      <c r="V11" t="s">
        <v>51</v>
      </c>
      <c r="W11" t="s">
        <v>50</v>
      </c>
      <c r="X11">
        <v>1</v>
      </c>
      <c r="Y11">
        <v>1</v>
      </c>
      <c r="AB11">
        <v>0</v>
      </c>
      <c r="AC11">
        <v>0</v>
      </c>
      <c r="AD11">
        <v>0</v>
      </c>
      <c r="AE11">
        <v>0</v>
      </c>
      <c r="AF11">
        <v>-12</v>
      </c>
      <c r="AG11">
        <v>0</v>
      </c>
      <c r="AH11">
        <v>0</v>
      </c>
      <c r="AI11">
        <v>0</v>
      </c>
      <c r="AJ11">
        <v>0</v>
      </c>
      <c r="AK11">
        <v>120</v>
      </c>
      <c r="AL11">
        <v>1</v>
      </c>
      <c r="AM11">
        <v>1</v>
      </c>
      <c r="AN11" t="s">
        <v>32</v>
      </c>
      <c r="AP11" t="s">
        <v>65</v>
      </c>
      <c r="AQ11" t="s">
        <v>30</v>
      </c>
      <c r="AR11">
        <v>0</v>
      </c>
      <c r="AW11">
        <v>120</v>
      </c>
      <c r="AX11">
        <v>0</v>
      </c>
      <c r="AY11">
        <v>0</v>
      </c>
      <c r="AZ11">
        <v>0</v>
      </c>
      <c r="BD11">
        <v>120</v>
      </c>
      <c r="BK11">
        <v>0</v>
      </c>
      <c r="BL11">
        <v>0</v>
      </c>
      <c r="BM11">
        <v>0</v>
      </c>
      <c r="BO11">
        <v>120</v>
      </c>
      <c r="BP11">
        <v>0</v>
      </c>
      <c r="BQ11" t="s">
        <v>56</v>
      </c>
      <c r="BR11" t="s">
        <v>48</v>
      </c>
      <c r="BS11">
        <v>0</v>
      </c>
      <c r="BT11">
        <v>0</v>
      </c>
      <c r="BX11">
        <v>0</v>
      </c>
      <c r="BY11">
        <v>0</v>
      </c>
      <c r="BZ11">
        <v>0</v>
      </c>
      <c r="CD11">
        <v>120</v>
      </c>
      <c r="CE11">
        <v>0</v>
      </c>
      <c r="CF11">
        <v>0</v>
      </c>
      <c r="CG11">
        <v>120</v>
      </c>
      <c r="CH11">
        <v>100</v>
      </c>
      <c r="CI11">
        <v>0</v>
      </c>
      <c r="CJ11">
        <v>0</v>
      </c>
      <c r="CK11" t="b">
        <v>0</v>
      </c>
      <c r="CS11">
        <v>10</v>
      </c>
      <c r="DA11">
        <v>0</v>
      </c>
      <c r="DB11">
        <v>0</v>
      </c>
      <c r="DD11">
        <v>-12</v>
      </c>
      <c r="DE11">
        <v>0</v>
      </c>
      <c r="DF11">
        <v>0</v>
      </c>
      <c r="DG11">
        <v>0</v>
      </c>
      <c r="DH11" t="s">
        <v>64</v>
      </c>
      <c r="DI11">
        <v>0</v>
      </c>
      <c r="DJ11" t="s">
        <v>32</v>
      </c>
      <c r="DK11">
        <v>0</v>
      </c>
      <c r="DL11">
        <v>0</v>
      </c>
      <c r="DM11">
        <v>1</v>
      </c>
      <c r="DN11">
        <v>0</v>
      </c>
      <c r="DP11" t="s">
        <v>65</v>
      </c>
      <c r="DQ11" t="s">
        <v>66</v>
      </c>
      <c r="DR11" t="s">
        <v>67</v>
      </c>
      <c r="DS11" t="s">
        <v>66</v>
      </c>
      <c r="DT11" t="s">
        <v>66</v>
      </c>
      <c r="DU11" t="s">
        <v>68</v>
      </c>
      <c r="DV11" t="s">
        <v>66</v>
      </c>
      <c r="DW11" t="s">
        <v>66</v>
      </c>
      <c r="DX11" t="s">
        <v>66</v>
      </c>
      <c r="DY11" t="s">
        <v>66</v>
      </c>
      <c r="DZ11" t="s">
        <v>63</v>
      </c>
      <c r="EA11" t="s">
        <v>68</v>
      </c>
      <c r="EB11" t="s">
        <v>66</v>
      </c>
      <c r="EC11" t="s">
        <v>66</v>
      </c>
      <c r="ED11" t="s">
        <v>50</v>
      </c>
      <c r="EE11" t="s">
        <v>69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t="s">
        <v>65</v>
      </c>
      <c r="EM11">
        <v>0</v>
      </c>
      <c r="EN11">
        <v>0</v>
      </c>
    </row>
    <row r="12" ht="15.75" customHeight="1" spans="1:144">
      <c r="A12" s="4"/>
      <c r="B12" s="4"/>
      <c r="C12" s="4" t="s">
        <v>30</v>
      </c>
      <c r="D12" s="4">
        <v>25</v>
      </c>
      <c r="E12" s="4" t="s">
        <v>20</v>
      </c>
      <c r="F12" s="4" t="s">
        <v>70</v>
      </c>
      <c r="G12" s="4">
        <v>10</v>
      </c>
      <c r="H12" s="4" t="s">
        <v>62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-250</v>
      </c>
      <c r="O12" s="4" t="s">
        <v>63</v>
      </c>
      <c r="P12" t="s">
        <v>64</v>
      </c>
      <c r="Q12">
        <v>-250</v>
      </c>
      <c r="S12" t="s">
        <v>23</v>
      </c>
      <c r="T12" t="s">
        <v>46</v>
      </c>
      <c r="U12" t="s">
        <v>55</v>
      </c>
      <c r="V12" t="s">
        <v>51</v>
      </c>
      <c r="W12" t="s">
        <v>50</v>
      </c>
      <c r="X12">
        <v>1</v>
      </c>
      <c r="Y12">
        <v>1</v>
      </c>
      <c r="AB12">
        <v>0</v>
      </c>
      <c r="AC12">
        <v>0</v>
      </c>
      <c r="AD12">
        <v>0</v>
      </c>
      <c r="AE12">
        <v>0</v>
      </c>
      <c r="AF12">
        <v>25</v>
      </c>
      <c r="AG12">
        <v>0</v>
      </c>
      <c r="AH12">
        <v>0</v>
      </c>
      <c r="AI12">
        <v>0</v>
      </c>
      <c r="AJ12">
        <v>0</v>
      </c>
      <c r="AK12">
        <v>-250</v>
      </c>
      <c r="AL12">
        <v>1</v>
      </c>
      <c r="AM12">
        <v>1</v>
      </c>
      <c r="AN12" t="s">
        <v>31</v>
      </c>
      <c r="AP12" t="s">
        <v>65</v>
      </c>
      <c r="AQ12" t="s">
        <v>30</v>
      </c>
      <c r="AR12">
        <v>0</v>
      </c>
      <c r="AW12">
        <v>-250</v>
      </c>
      <c r="AX12">
        <v>0</v>
      </c>
      <c r="AY12">
        <v>0</v>
      </c>
      <c r="AZ12">
        <v>0</v>
      </c>
      <c r="BD12">
        <v>-250</v>
      </c>
      <c r="BK12">
        <v>0</v>
      </c>
      <c r="BL12">
        <v>0</v>
      </c>
      <c r="BM12">
        <v>0</v>
      </c>
      <c r="BO12">
        <v>-250</v>
      </c>
      <c r="BP12">
        <v>0</v>
      </c>
      <c r="BQ12" t="s">
        <v>56</v>
      </c>
      <c r="BR12" t="s">
        <v>48</v>
      </c>
      <c r="BS12">
        <v>0</v>
      </c>
      <c r="BT12">
        <v>0</v>
      </c>
      <c r="BX12">
        <v>0</v>
      </c>
      <c r="BY12">
        <v>0</v>
      </c>
      <c r="BZ12">
        <v>0</v>
      </c>
      <c r="CD12">
        <v>-250</v>
      </c>
      <c r="CE12">
        <v>0</v>
      </c>
      <c r="CF12">
        <v>0</v>
      </c>
      <c r="CG12">
        <v>-250</v>
      </c>
      <c r="CH12">
        <v>-100</v>
      </c>
      <c r="CI12">
        <v>0</v>
      </c>
      <c r="CJ12">
        <v>0</v>
      </c>
      <c r="CK12" t="b">
        <v>0</v>
      </c>
      <c r="CS12">
        <v>10</v>
      </c>
      <c r="DA12">
        <v>0</v>
      </c>
      <c r="DB12">
        <v>0</v>
      </c>
      <c r="DD12">
        <v>25</v>
      </c>
      <c r="DE12">
        <v>0</v>
      </c>
      <c r="DF12">
        <v>0</v>
      </c>
      <c r="DG12">
        <v>0</v>
      </c>
      <c r="DH12" t="s">
        <v>64</v>
      </c>
      <c r="DI12">
        <v>0</v>
      </c>
      <c r="DJ12" t="s">
        <v>31</v>
      </c>
      <c r="DK12">
        <v>0</v>
      </c>
      <c r="DL12">
        <v>0</v>
      </c>
      <c r="DM12">
        <v>1</v>
      </c>
      <c r="DN12">
        <v>0</v>
      </c>
      <c r="DP12" t="s">
        <v>65</v>
      </c>
      <c r="DQ12" t="s">
        <v>66</v>
      </c>
      <c r="DR12" t="s">
        <v>67</v>
      </c>
      <c r="DS12" t="s">
        <v>66</v>
      </c>
      <c r="DT12" t="s">
        <v>66</v>
      </c>
      <c r="DU12" t="s">
        <v>68</v>
      </c>
      <c r="DV12" t="s">
        <v>66</v>
      </c>
      <c r="DW12" t="s">
        <v>66</v>
      </c>
      <c r="DX12" t="s">
        <v>66</v>
      </c>
      <c r="DY12" t="s">
        <v>66</v>
      </c>
      <c r="DZ12" t="s">
        <v>63</v>
      </c>
      <c r="EA12" t="s">
        <v>68</v>
      </c>
      <c r="EB12" t="s">
        <v>66</v>
      </c>
      <c r="EC12" t="s">
        <v>66</v>
      </c>
      <c r="ED12" t="s">
        <v>50</v>
      </c>
      <c r="EE12" t="s">
        <v>69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 t="s">
        <v>65</v>
      </c>
      <c r="EM12">
        <v>0</v>
      </c>
      <c r="EN12">
        <v>0</v>
      </c>
    </row>
    <row r="13" ht="15.75" customHeight="1" spans="1:144">
      <c r="A13" s="4"/>
      <c r="B13" s="4"/>
      <c r="C13" s="4" t="s">
        <v>30</v>
      </c>
      <c r="D13" s="4">
        <v>25</v>
      </c>
      <c r="E13" s="4" t="s">
        <v>20</v>
      </c>
      <c r="F13" s="4" t="s">
        <v>70</v>
      </c>
      <c r="G13" s="4">
        <v>10</v>
      </c>
      <c r="H13" s="4" t="s">
        <v>62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-250</v>
      </c>
      <c r="O13" s="4" t="s">
        <v>63</v>
      </c>
      <c r="P13" t="s">
        <v>64</v>
      </c>
      <c r="Q13">
        <v>-250</v>
      </c>
      <c r="S13" t="s">
        <v>24</v>
      </c>
      <c r="T13" t="s">
        <v>46</v>
      </c>
      <c r="U13" t="s">
        <v>55</v>
      </c>
      <c r="V13" t="s">
        <v>51</v>
      </c>
      <c r="W13" t="s">
        <v>50</v>
      </c>
      <c r="X13">
        <v>1</v>
      </c>
      <c r="Y13">
        <v>1</v>
      </c>
      <c r="AB13">
        <v>0</v>
      </c>
      <c r="AC13">
        <v>0</v>
      </c>
      <c r="AD13">
        <v>0</v>
      </c>
      <c r="AE13">
        <v>0</v>
      </c>
      <c r="AF13">
        <v>25</v>
      </c>
      <c r="AG13">
        <v>0</v>
      </c>
      <c r="AH13">
        <v>0</v>
      </c>
      <c r="AI13">
        <v>0</v>
      </c>
      <c r="AJ13">
        <v>0</v>
      </c>
      <c r="AK13">
        <v>-250</v>
      </c>
      <c r="AL13">
        <v>1</v>
      </c>
      <c r="AM13">
        <v>1</v>
      </c>
      <c r="AN13" t="s">
        <v>31</v>
      </c>
      <c r="AP13" t="s">
        <v>65</v>
      </c>
      <c r="AQ13" t="s">
        <v>30</v>
      </c>
      <c r="AR13">
        <v>0</v>
      </c>
      <c r="AW13">
        <v>-250</v>
      </c>
      <c r="AX13">
        <v>0</v>
      </c>
      <c r="AY13">
        <v>0</v>
      </c>
      <c r="AZ13">
        <v>0</v>
      </c>
      <c r="BD13">
        <v>-250</v>
      </c>
      <c r="BK13">
        <v>0</v>
      </c>
      <c r="BL13">
        <v>0</v>
      </c>
      <c r="BM13">
        <v>0</v>
      </c>
      <c r="BO13">
        <v>-250</v>
      </c>
      <c r="BP13">
        <v>0</v>
      </c>
      <c r="BQ13" t="s">
        <v>56</v>
      </c>
      <c r="BR13" t="s">
        <v>48</v>
      </c>
      <c r="BS13">
        <v>0</v>
      </c>
      <c r="BT13">
        <v>0</v>
      </c>
      <c r="BX13">
        <v>0</v>
      </c>
      <c r="BY13">
        <v>0</v>
      </c>
      <c r="BZ13">
        <v>0</v>
      </c>
      <c r="CD13">
        <v>-250</v>
      </c>
      <c r="CE13">
        <v>0</v>
      </c>
      <c r="CF13">
        <v>0</v>
      </c>
      <c r="CG13">
        <v>-250</v>
      </c>
      <c r="CH13">
        <v>-100</v>
      </c>
      <c r="CI13">
        <v>0</v>
      </c>
      <c r="CJ13">
        <v>0</v>
      </c>
      <c r="CK13" t="b">
        <v>0</v>
      </c>
      <c r="CS13">
        <v>10</v>
      </c>
      <c r="DA13">
        <v>0</v>
      </c>
      <c r="DB13">
        <v>0</v>
      </c>
      <c r="DD13">
        <v>25</v>
      </c>
      <c r="DE13">
        <v>0</v>
      </c>
      <c r="DF13">
        <v>0</v>
      </c>
      <c r="DG13">
        <v>0</v>
      </c>
      <c r="DH13" t="s">
        <v>64</v>
      </c>
      <c r="DI13">
        <v>0</v>
      </c>
      <c r="DJ13" t="s">
        <v>31</v>
      </c>
      <c r="DK13">
        <v>0</v>
      </c>
      <c r="DL13">
        <v>0</v>
      </c>
      <c r="DM13">
        <v>1</v>
      </c>
      <c r="DN13">
        <v>0</v>
      </c>
      <c r="DP13" t="s">
        <v>65</v>
      </c>
      <c r="DQ13" t="s">
        <v>66</v>
      </c>
      <c r="DR13" t="s">
        <v>67</v>
      </c>
      <c r="DS13" t="s">
        <v>66</v>
      </c>
      <c r="DT13" t="s">
        <v>66</v>
      </c>
      <c r="DU13" t="s">
        <v>68</v>
      </c>
      <c r="DV13" t="s">
        <v>66</v>
      </c>
      <c r="DW13" t="s">
        <v>66</v>
      </c>
      <c r="DX13" t="s">
        <v>66</v>
      </c>
      <c r="DY13" t="s">
        <v>66</v>
      </c>
      <c r="DZ13" t="s">
        <v>63</v>
      </c>
      <c r="EA13" t="s">
        <v>68</v>
      </c>
      <c r="EB13" t="s">
        <v>66</v>
      </c>
      <c r="EC13" t="s">
        <v>66</v>
      </c>
      <c r="ED13" t="s">
        <v>50</v>
      </c>
      <c r="EE13" t="s">
        <v>69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 t="s">
        <v>65</v>
      </c>
      <c r="EM13">
        <v>0</v>
      </c>
      <c r="EN13">
        <v>0</v>
      </c>
    </row>
    <row r="14" ht="15.75" customHeight="1" spans="1:144">
      <c r="A14" s="4"/>
      <c r="B14" s="4"/>
      <c r="C14" s="4" t="s">
        <v>30</v>
      </c>
      <c r="D14" s="4">
        <v>-5</v>
      </c>
      <c r="E14" s="4" t="s">
        <v>20</v>
      </c>
      <c r="F14" s="4" t="s">
        <v>70</v>
      </c>
      <c r="G14" s="4">
        <v>10</v>
      </c>
      <c r="H14" s="4" t="s">
        <v>62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50</v>
      </c>
      <c r="O14" s="4" t="s">
        <v>63</v>
      </c>
      <c r="P14" t="s">
        <v>64</v>
      </c>
      <c r="Q14">
        <v>50</v>
      </c>
      <c r="S14" t="s">
        <v>23</v>
      </c>
      <c r="T14" t="s">
        <v>46</v>
      </c>
      <c r="U14" t="s">
        <v>55</v>
      </c>
      <c r="V14" t="s">
        <v>51</v>
      </c>
      <c r="W14" t="s">
        <v>50</v>
      </c>
      <c r="X14">
        <v>1</v>
      </c>
      <c r="Y14">
        <v>1</v>
      </c>
      <c r="AB14">
        <v>0</v>
      </c>
      <c r="AC14">
        <v>0</v>
      </c>
      <c r="AD14">
        <v>0</v>
      </c>
      <c r="AE14">
        <v>0</v>
      </c>
      <c r="AF14">
        <v>-5</v>
      </c>
      <c r="AG14">
        <v>0</v>
      </c>
      <c r="AH14">
        <v>0</v>
      </c>
      <c r="AI14">
        <v>0</v>
      </c>
      <c r="AJ14">
        <v>0</v>
      </c>
      <c r="AK14">
        <v>50</v>
      </c>
      <c r="AL14">
        <v>1</v>
      </c>
      <c r="AM14">
        <v>1</v>
      </c>
      <c r="AN14" t="s">
        <v>32</v>
      </c>
      <c r="AP14" t="s">
        <v>65</v>
      </c>
      <c r="AQ14" t="s">
        <v>30</v>
      </c>
      <c r="AR14">
        <v>0</v>
      </c>
      <c r="AW14">
        <v>50</v>
      </c>
      <c r="AX14">
        <v>0</v>
      </c>
      <c r="AY14">
        <v>0</v>
      </c>
      <c r="AZ14">
        <v>0</v>
      </c>
      <c r="BD14">
        <v>50</v>
      </c>
      <c r="BK14">
        <v>0</v>
      </c>
      <c r="BL14">
        <v>0</v>
      </c>
      <c r="BM14">
        <v>0</v>
      </c>
      <c r="BO14">
        <v>50</v>
      </c>
      <c r="BP14">
        <v>0</v>
      </c>
      <c r="BQ14" t="s">
        <v>56</v>
      </c>
      <c r="BR14" t="s">
        <v>48</v>
      </c>
      <c r="BS14">
        <v>0</v>
      </c>
      <c r="BT14">
        <v>0</v>
      </c>
      <c r="BX14">
        <v>0</v>
      </c>
      <c r="BY14">
        <v>0</v>
      </c>
      <c r="BZ14">
        <v>0</v>
      </c>
      <c r="CD14">
        <v>50</v>
      </c>
      <c r="CE14">
        <v>0</v>
      </c>
      <c r="CF14">
        <v>0</v>
      </c>
      <c r="CG14">
        <v>50</v>
      </c>
      <c r="CH14">
        <v>100</v>
      </c>
      <c r="CI14">
        <v>0</v>
      </c>
      <c r="CJ14">
        <v>0</v>
      </c>
      <c r="CK14" t="b">
        <v>0</v>
      </c>
      <c r="CS14">
        <v>10</v>
      </c>
      <c r="DA14">
        <v>0</v>
      </c>
      <c r="DB14">
        <v>0</v>
      </c>
      <c r="DD14">
        <v>-5</v>
      </c>
      <c r="DE14">
        <v>0</v>
      </c>
      <c r="DF14">
        <v>0</v>
      </c>
      <c r="DG14">
        <v>0</v>
      </c>
      <c r="DH14" t="s">
        <v>64</v>
      </c>
      <c r="DI14">
        <v>0</v>
      </c>
      <c r="DJ14" t="s">
        <v>32</v>
      </c>
      <c r="DK14">
        <v>0</v>
      </c>
      <c r="DL14">
        <v>0</v>
      </c>
      <c r="DM14">
        <v>1</v>
      </c>
      <c r="DN14">
        <v>0</v>
      </c>
      <c r="DP14" t="s">
        <v>65</v>
      </c>
      <c r="DQ14" t="s">
        <v>66</v>
      </c>
      <c r="DR14" t="s">
        <v>67</v>
      </c>
      <c r="DS14" t="s">
        <v>66</v>
      </c>
      <c r="DT14" t="s">
        <v>66</v>
      </c>
      <c r="DU14" t="s">
        <v>68</v>
      </c>
      <c r="DV14" t="s">
        <v>66</v>
      </c>
      <c r="DW14" t="s">
        <v>66</v>
      </c>
      <c r="DX14" t="s">
        <v>66</v>
      </c>
      <c r="DY14" t="s">
        <v>66</v>
      </c>
      <c r="DZ14" t="s">
        <v>63</v>
      </c>
      <c r="EA14" t="s">
        <v>68</v>
      </c>
      <c r="EB14" t="s">
        <v>66</v>
      </c>
      <c r="EC14" t="s">
        <v>66</v>
      </c>
      <c r="ED14" t="s">
        <v>50</v>
      </c>
      <c r="EE14" t="s">
        <v>69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 t="s">
        <v>65</v>
      </c>
      <c r="EM14">
        <v>0</v>
      </c>
      <c r="EN14">
        <v>0</v>
      </c>
    </row>
    <row r="15" ht="15.75" customHeight="1" spans="1:144">
      <c r="A15" s="4"/>
      <c r="B15" s="4"/>
      <c r="C15" s="4" t="s">
        <v>30</v>
      </c>
      <c r="D15" s="4">
        <v>-5</v>
      </c>
      <c r="E15" s="4" t="s">
        <v>20</v>
      </c>
      <c r="F15" s="4" t="s">
        <v>70</v>
      </c>
      <c r="G15" s="4">
        <v>10</v>
      </c>
      <c r="H15" s="4" t="s">
        <v>62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50</v>
      </c>
      <c r="O15" s="4" t="s">
        <v>63</v>
      </c>
      <c r="P15" t="s">
        <v>64</v>
      </c>
      <c r="Q15">
        <v>50</v>
      </c>
      <c r="S15" t="s">
        <v>24</v>
      </c>
      <c r="T15" t="s">
        <v>46</v>
      </c>
      <c r="U15" t="s">
        <v>55</v>
      </c>
      <c r="V15" t="s">
        <v>51</v>
      </c>
      <c r="W15" t="s">
        <v>50</v>
      </c>
      <c r="X15">
        <v>1</v>
      </c>
      <c r="Y15">
        <v>1</v>
      </c>
      <c r="AB15">
        <v>0</v>
      </c>
      <c r="AC15">
        <v>0</v>
      </c>
      <c r="AD15">
        <v>0</v>
      </c>
      <c r="AE15">
        <v>0</v>
      </c>
      <c r="AF15">
        <v>-5</v>
      </c>
      <c r="AG15">
        <v>0</v>
      </c>
      <c r="AH15">
        <v>0</v>
      </c>
      <c r="AI15">
        <v>0</v>
      </c>
      <c r="AJ15">
        <v>0</v>
      </c>
      <c r="AK15">
        <v>50</v>
      </c>
      <c r="AL15">
        <v>1</v>
      </c>
      <c r="AM15">
        <v>1</v>
      </c>
      <c r="AN15" t="s">
        <v>32</v>
      </c>
      <c r="AP15" t="s">
        <v>65</v>
      </c>
      <c r="AQ15" t="s">
        <v>30</v>
      </c>
      <c r="AR15">
        <v>0</v>
      </c>
      <c r="AW15">
        <v>50</v>
      </c>
      <c r="AX15">
        <v>0</v>
      </c>
      <c r="AY15">
        <v>0</v>
      </c>
      <c r="AZ15">
        <v>0</v>
      </c>
      <c r="BD15">
        <v>50</v>
      </c>
      <c r="BK15">
        <v>0</v>
      </c>
      <c r="BL15">
        <v>0</v>
      </c>
      <c r="BM15">
        <v>0</v>
      </c>
      <c r="BO15">
        <v>50</v>
      </c>
      <c r="BP15">
        <v>0</v>
      </c>
      <c r="BQ15" t="s">
        <v>56</v>
      </c>
      <c r="BR15" t="s">
        <v>48</v>
      </c>
      <c r="BS15">
        <v>0</v>
      </c>
      <c r="BT15">
        <v>0</v>
      </c>
      <c r="BX15">
        <v>0</v>
      </c>
      <c r="BY15">
        <v>0</v>
      </c>
      <c r="BZ15">
        <v>0</v>
      </c>
      <c r="CD15">
        <v>50</v>
      </c>
      <c r="CE15">
        <v>0</v>
      </c>
      <c r="CF15">
        <v>0</v>
      </c>
      <c r="CG15">
        <v>50</v>
      </c>
      <c r="CH15">
        <v>100</v>
      </c>
      <c r="CI15">
        <v>0</v>
      </c>
      <c r="CJ15">
        <v>0</v>
      </c>
      <c r="CK15" t="b">
        <v>0</v>
      </c>
      <c r="CS15">
        <v>10</v>
      </c>
      <c r="DA15">
        <v>0</v>
      </c>
      <c r="DB15">
        <v>0</v>
      </c>
      <c r="DD15">
        <v>-5</v>
      </c>
      <c r="DE15">
        <v>0</v>
      </c>
      <c r="DF15">
        <v>0</v>
      </c>
      <c r="DG15">
        <v>0</v>
      </c>
      <c r="DH15" t="s">
        <v>64</v>
      </c>
      <c r="DI15">
        <v>0</v>
      </c>
      <c r="DJ15" t="s">
        <v>32</v>
      </c>
      <c r="DK15">
        <v>0</v>
      </c>
      <c r="DL15">
        <v>0</v>
      </c>
      <c r="DM15">
        <v>1</v>
      </c>
      <c r="DN15">
        <v>0</v>
      </c>
      <c r="DP15" t="s">
        <v>65</v>
      </c>
      <c r="DQ15" t="s">
        <v>66</v>
      </c>
      <c r="DR15" t="s">
        <v>67</v>
      </c>
      <c r="DS15" t="s">
        <v>66</v>
      </c>
      <c r="DT15" t="s">
        <v>66</v>
      </c>
      <c r="DU15" t="s">
        <v>68</v>
      </c>
      <c r="DV15" t="s">
        <v>66</v>
      </c>
      <c r="DW15" t="s">
        <v>66</v>
      </c>
      <c r="DX15" t="s">
        <v>66</v>
      </c>
      <c r="DY15" t="s">
        <v>66</v>
      </c>
      <c r="DZ15" t="s">
        <v>63</v>
      </c>
      <c r="EA15" t="s">
        <v>68</v>
      </c>
      <c r="EB15" t="s">
        <v>66</v>
      </c>
      <c r="EC15" t="s">
        <v>66</v>
      </c>
      <c r="ED15" t="s">
        <v>50</v>
      </c>
      <c r="EE15" t="s">
        <v>69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 t="s">
        <v>65</v>
      </c>
      <c r="EM15">
        <v>0</v>
      </c>
      <c r="EN15">
        <v>0</v>
      </c>
    </row>
    <row r="16" ht="15.75" customHeight="1" spans="1:144">
      <c r="A16" s="4"/>
      <c r="B16" s="4"/>
      <c r="C16" s="4" t="s">
        <v>30</v>
      </c>
      <c r="D16" s="4">
        <v>-25</v>
      </c>
      <c r="E16" s="4" t="s">
        <v>20</v>
      </c>
      <c r="F16" s="4" t="s">
        <v>70</v>
      </c>
      <c r="G16" s="4">
        <v>10</v>
      </c>
      <c r="H16" s="4" t="s">
        <v>62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250</v>
      </c>
      <c r="O16" s="4" t="s">
        <v>63</v>
      </c>
      <c r="P16" t="s">
        <v>64</v>
      </c>
      <c r="Q16">
        <v>250</v>
      </c>
      <c r="S16" t="s">
        <v>23</v>
      </c>
      <c r="T16" t="s">
        <v>46</v>
      </c>
      <c r="U16" t="s">
        <v>55</v>
      </c>
      <c r="V16" t="s">
        <v>51</v>
      </c>
      <c r="W16" t="s">
        <v>50</v>
      </c>
      <c r="X16">
        <v>1</v>
      </c>
      <c r="Y16">
        <v>1</v>
      </c>
      <c r="AB16">
        <v>0</v>
      </c>
      <c r="AC16">
        <v>0</v>
      </c>
      <c r="AD16">
        <v>0</v>
      </c>
      <c r="AE16">
        <v>0</v>
      </c>
      <c r="AF16">
        <v>-25</v>
      </c>
      <c r="AG16">
        <v>0</v>
      </c>
      <c r="AH16">
        <v>0</v>
      </c>
      <c r="AI16">
        <v>0</v>
      </c>
      <c r="AJ16">
        <v>0</v>
      </c>
      <c r="AK16">
        <v>250</v>
      </c>
      <c r="AL16">
        <v>1</v>
      </c>
      <c r="AM16">
        <v>1</v>
      </c>
      <c r="AN16" t="s">
        <v>32</v>
      </c>
      <c r="AP16" t="s">
        <v>65</v>
      </c>
      <c r="AQ16" t="s">
        <v>30</v>
      </c>
      <c r="AR16">
        <v>0</v>
      </c>
      <c r="AW16">
        <v>250</v>
      </c>
      <c r="AX16">
        <v>0</v>
      </c>
      <c r="AY16">
        <v>0</v>
      </c>
      <c r="AZ16">
        <v>0</v>
      </c>
      <c r="BD16">
        <v>250</v>
      </c>
      <c r="BK16">
        <v>0</v>
      </c>
      <c r="BL16">
        <v>0</v>
      </c>
      <c r="BM16">
        <v>0</v>
      </c>
      <c r="BO16">
        <v>250</v>
      </c>
      <c r="BP16">
        <v>0</v>
      </c>
      <c r="BQ16" t="s">
        <v>56</v>
      </c>
      <c r="BR16" t="s">
        <v>48</v>
      </c>
      <c r="BS16">
        <v>0</v>
      </c>
      <c r="BT16">
        <v>0</v>
      </c>
      <c r="BX16">
        <v>0</v>
      </c>
      <c r="BY16">
        <v>0</v>
      </c>
      <c r="BZ16">
        <v>0</v>
      </c>
      <c r="CD16">
        <v>250</v>
      </c>
      <c r="CE16">
        <v>0</v>
      </c>
      <c r="CF16">
        <v>0</v>
      </c>
      <c r="CG16">
        <v>250</v>
      </c>
      <c r="CH16">
        <v>100</v>
      </c>
      <c r="CI16">
        <v>0</v>
      </c>
      <c r="CJ16">
        <v>0</v>
      </c>
      <c r="CK16" t="b">
        <v>0</v>
      </c>
      <c r="CS16">
        <v>10</v>
      </c>
      <c r="DA16">
        <v>0</v>
      </c>
      <c r="DB16">
        <v>0</v>
      </c>
      <c r="DD16">
        <v>-25</v>
      </c>
      <c r="DE16">
        <v>0</v>
      </c>
      <c r="DF16">
        <v>0</v>
      </c>
      <c r="DG16">
        <v>0</v>
      </c>
      <c r="DH16" t="s">
        <v>64</v>
      </c>
      <c r="DI16">
        <v>0</v>
      </c>
      <c r="DJ16" t="s">
        <v>32</v>
      </c>
      <c r="DK16">
        <v>0</v>
      </c>
      <c r="DL16">
        <v>0</v>
      </c>
      <c r="DM16">
        <v>1</v>
      </c>
      <c r="DN16">
        <v>0</v>
      </c>
      <c r="DP16" t="s">
        <v>65</v>
      </c>
      <c r="DQ16" t="s">
        <v>66</v>
      </c>
      <c r="DR16" t="s">
        <v>67</v>
      </c>
      <c r="DS16" t="s">
        <v>66</v>
      </c>
      <c r="DT16" t="s">
        <v>66</v>
      </c>
      <c r="DU16" t="s">
        <v>68</v>
      </c>
      <c r="DV16" t="s">
        <v>66</v>
      </c>
      <c r="DW16" t="s">
        <v>66</v>
      </c>
      <c r="DX16" t="s">
        <v>66</v>
      </c>
      <c r="DY16" t="s">
        <v>66</v>
      </c>
      <c r="DZ16" t="s">
        <v>63</v>
      </c>
      <c r="EA16" t="s">
        <v>68</v>
      </c>
      <c r="EB16" t="s">
        <v>66</v>
      </c>
      <c r="EC16" t="s">
        <v>66</v>
      </c>
      <c r="ED16" t="s">
        <v>50</v>
      </c>
      <c r="EE16" t="s">
        <v>69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 t="s">
        <v>65</v>
      </c>
      <c r="EM16">
        <v>0</v>
      </c>
      <c r="EN16">
        <v>0</v>
      </c>
    </row>
    <row r="17" ht="15.75" customHeight="1" spans="1:144">
      <c r="A17" s="4"/>
      <c r="B17" s="4"/>
      <c r="C17" s="4" t="s">
        <v>30</v>
      </c>
      <c r="D17" s="4">
        <v>-25</v>
      </c>
      <c r="E17" s="4" t="s">
        <v>20</v>
      </c>
      <c r="F17" s="4" t="s">
        <v>70</v>
      </c>
      <c r="G17" s="4">
        <v>10</v>
      </c>
      <c r="H17" s="4" t="s">
        <v>62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250</v>
      </c>
      <c r="O17" s="4" t="s">
        <v>63</v>
      </c>
      <c r="P17" t="s">
        <v>64</v>
      </c>
      <c r="Q17">
        <v>250</v>
      </c>
      <c r="S17" t="s">
        <v>24</v>
      </c>
      <c r="T17" t="s">
        <v>46</v>
      </c>
      <c r="U17" t="s">
        <v>55</v>
      </c>
      <c r="V17" t="s">
        <v>51</v>
      </c>
      <c r="W17" t="s">
        <v>50</v>
      </c>
      <c r="X17">
        <v>1</v>
      </c>
      <c r="Y17">
        <v>1</v>
      </c>
      <c r="AB17">
        <v>0</v>
      </c>
      <c r="AC17">
        <v>0</v>
      </c>
      <c r="AD17">
        <v>0</v>
      </c>
      <c r="AE17">
        <v>0</v>
      </c>
      <c r="AF17">
        <v>-25</v>
      </c>
      <c r="AG17">
        <v>0</v>
      </c>
      <c r="AH17">
        <v>0</v>
      </c>
      <c r="AI17">
        <v>0</v>
      </c>
      <c r="AJ17">
        <v>0</v>
      </c>
      <c r="AK17">
        <v>250</v>
      </c>
      <c r="AL17">
        <v>1</v>
      </c>
      <c r="AM17">
        <v>1</v>
      </c>
      <c r="AN17" t="s">
        <v>32</v>
      </c>
      <c r="AP17" t="s">
        <v>65</v>
      </c>
      <c r="AQ17" t="s">
        <v>30</v>
      </c>
      <c r="AR17">
        <v>0</v>
      </c>
      <c r="AW17">
        <v>250</v>
      </c>
      <c r="AX17">
        <v>0</v>
      </c>
      <c r="AY17">
        <v>0</v>
      </c>
      <c r="AZ17">
        <v>0</v>
      </c>
      <c r="BD17">
        <v>250</v>
      </c>
      <c r="BK17">
        <v>0</v>
      </c>
      <c r="BL17">
        <v>0</v>
      </c>
      <c r="BM17">
        <v>0</v>
      </c>
      <c r="BO17">
        <v>250</v>
      </c>
      <c r="BP17">
        <v>0</v>
      </c>
      <c r="BQ17" t="s">
        <v>56</v>
      </c>
      <c r="BR17" t="s">
        <v>48</v>
      </c>
      <c r="BS17">
        <v>0</v>
      </c>
      <c r="BT17">
        <v>0</v>
      </c>
      <c r="BX17">
        <v>0</v>
      </c>
      <c r="BY17">
        <v>0</v>
      </c>
      <c r="BZ17">
        <v>0</v>
      </c>
      <c r="CD17">
        <v>250</v>
      </c>
      <c r="CE17">
        <v>0</v>
      </c>
      <c r="CF17">
        <v>0</v>
      </c>
      <c r="CG17">
        <v>250</v>
      </c>
      <c r="CH17">
        <v>100</v>
      </c>
      <c r="CI17">
        <v>0</v>
      </c>
      <c r="CJ17">
        <v>0</v>
      </c>
      <c r="CK17" t="b">
        <v>0</v>
      </c>
      <c r="CS17">
        <v>10</v>
      </c>
      <c r="DA17">
        <v>0</v>
      </c>
      <c r="DB17">
        <v>0</v>
      </c>
      <c r="DD17">
        <v>-25</v>
      </c>
      <c r="DE17">
        <v>0</v>
      </c>
      <c r="DF17">
        <v>0</v>
      </c>
      <c r="DG17">
        <v>0</v>
      </c>
      <c r="DH17" t="s">
        <v>64</v>
      </c>
      <c r="DI17">
        <v>0</v>
      </c>
      <c r="DJ17" t="s">
        <v>32</v>
      </c>
      <c r="DK17">
        <v>0</v>
      </c>
      <c r="DL17">
        <v>0</v>
      </c>
      <c r="DM17">
        <v>1</v>
      </c>
      <c r="DN17">
        <v>0</v>
      </c>
      <c r="DP17" t="s">
        <v>65</v>
      </c>
      <c r="DQ17" t="s">
        <v>66</v>
      </c>
      <c r="DR17" t="s">
        <v>67</v>
      </c>
      <c r="DS17" t="s">
        <v>66</v>
      </c>
      <c r="DT17" t="s">
        <v>66</v>
      </c>
      <c r="DU17" t="s">
        <v>68</v>
      </c>
      <c r="DV17" t="s">
        <v>66</v>
      </c>
      <c r="DW17" t="s">
        <v>66</v>
      </c>
      <c r="DX17" t="s">
        <v>66</v>
      </c>
      <c r="DY17" t="s">
        <v>66</v>
      </c>
      <c r="DZ17" t="s">
        <v>63</v>
      </c>
      <c r="EA17" t="s">
        <v>68</v>
      </c>
      <c r="EB17" t="s">
        <v>66</v>
      </c>
      <c r="EC17" t="s">
        <v>66</v>
      </c>
      <c r="ED17" t="s">
        <v>50</v>
      </c>
      <c r="EE17" t="s">
        <v>69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 t="s">
        <v>65</v>
      </c>
      <c r="EM17">
        <v>0</v>
      </c>
      <c r="EN17">
        <v>0</v>
      </c>
    </row>
    <row r="18" ht="15.75" customHeight="1" spans="1:164">
      <c r="A18" s="4"/>
      <c r="B18" s="4"/>
      <c r="C18" s="4" t="s">
        <v>45</v>
      </c>
      <c r="D18" s="4" t="s">
        <v>45</v>
      </c>
      <c r="E18" s="4" t="s">
        <v>45</v>
      </c>
      <c r="F18" s="4" t="s">
        <v>45</v>
      </c>
      <c r="G18" s="4" t="s">
        <v>45</v>
      </c>
      <c r="H18" s="4" t="s">
        <v>45</v>
      </c>
      <c r="I18" s="4" t="s">
        <v>45</v>
      </c>
      <c r="J18" s="4" t="s">
        <v>45</v>
      </c>
      <c r="K18" s="4" t="s">
        <v>45</v>
      </c>
      <c r="L18" s="4" t="s">
        <v>45</v>
      </c>
      <c r="M18" s="4" t="s">
        <v>45</v>
      </c>
      <c r="N18" s="4" t="s">
        <v>45</v>
      </c>
      <c r="O18" s="4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  <c r="AK18" t="s">
        <v>45</v>
      </c>
      <c r="AL18" t="s">
        <v>45</v>
      </c>
      <c r="AM18" t="s">
        <v>45</v>
      </c>
      <c r="AN18" t="s">
        <v>45</v>
      </c>
      <c r="AO18" t="s">
        <v>45</v>
      </c>
      <c r="AP18" t="s">
        <v>45</v>
      </c>
      <c r="AQ18" t="s">
        <v>45</v>
      </c>
      <c r="AR18" t="s">
        <v>45</v>
      </c>
      <c r="AW18" t="s">
        <v>45</v>
      </c>
      <c r="AX18" t="s">
        <v>45</v>
      </c>
      <c r="AY18" t="s">
        <v>45</v>
      </c>
      <c r="AZ18" t="s">
        <v>45</v>
      </c>
      <c r="BD18" t="s">
        <v>45</v>
      </c>
      <c r="BK18" t="s">
        <v>45</v>
      </c>
      <c r="BL18" t="s">
        <v>45</v>
      </c>
      <c r="BM18" t="s">
        <v>45</v>
      </c>
      <c r="BN18" t="s">
        <v>45</v>
      </c>
      <c r="BO18" t="s">
        <v>45</v>
      </c>
      <c r="BP18" t="s">
        <v>45</v>
      </c>
      <c r="BQ18" t="s">
        <v>45</v>
      </c>
      <c r="BR18" t="s">
        <v>45</v>
      </c>
      <c r="BS18" t="s">
        <v>45</v>
      </c>
      <c r="BT18" t="s">
        <v>45</v>
      </c>
      <c r="BU18" t="s">
        <v>45</v>
      </c>
      <c r="BV18" t="s">
        <v>45</v>
      </c>
      <c r="BW18" t="s">
        <v>45</v>
      </c>
      <c r="BX18" t="s">
        <v>45</v>
      </c>
      <c r="BY18" t="s">
        <v>45</v>
      </c>
      <c r="BZ18" t="s">
        <v>45</v>
      </c>
      <c r="CA18" t="s">
        <v>45</v>
      </c>
      <c r="CB18" t="s">
        <v>45</v>
      </c>
      <c r="CC18" t="s">
        <v>45</v>
      </c>
      <c r="CD18" t="s">
        <v>45</v>
      </c>
      <c r="CE18" t="s">
        <v>45</v>
      </c>
      <c r="CF18" t="s">
        <v>45</v>
      </c>
      <c r="CG18" t="s">
        <v>45</v>
      </c>
      <c r="CH18" t="s">
        <v>45</v>
      </c>
      <c r="CI18" t="s">
        <v>45</v>
      </c>
      <c r="CJ18" t="s">
        <v>45</v>
      </c>
      <c r="CK18" t="s">
        <v>45</v>
      </c>
      <c r="CL18" t="s">
        <v>45</v>
      </c>
      <c r="CM18" t="s">
        <v>45</v>
      </c>
      <c r="CS18" t="s">
        <v>45</v>
      </c>
      <c r="CT18" t="s">
        <v>45</v>
      </c>
      <c r="CU18" t="s">
        <v>45</v>
      </c>
      <c r="CV18" t="s">
        <v>45</v>
      </c>
      <c r="CW18" t="s">
        <v>45</v>
      </c>
      <c r="CX18" t="s">
        <v>45</v>
      </c>
      <c r="DA18" t="s">
        <v>45</v>
      </c>
      <c r="DB18" t="s">
        <v>45</v>
      </c>
      <c r="DC18" t="s">
        <v>45</v>
      </c>
      <c r="DD18" t="s">
        <v>45</v>
      </c>
      <c r="DE18" t="s">
        <v>45</v>
      </c>
      <c r="DF18" t="s">
        <v>45</v>
      </c>
      <c r="DG18" t="s">
        <v>45</v>
      </c>
      <c r="DH18" t="s">
        <v>45</v>
      </c>
      <c r="DI18" t="s">
        <v>45</v>
      </c>
      <c r="DJ18" t="s">
        <v>45</v>
      </c>
      <c r="DK18" t="s">
        <v>45</v>
      </c>
      <c r="DL18" t="s">
        <v>45</v>
      </c>
      <c r="DM18" t="s">
        <v>45</v>
      </c>
      <c r="DN18" t="s">
        <v>45</v>
      </c>
      <c r="DO18" t="s">
        <v>45</v>
      </c>
      <c r="DP18" t="s">
        <v>45</v>
      </c>
      <c r="DQ18" t="s">
        <v>45</v>
      </c>
      <c r="DR18" t="s">
        <v>45</v>
      </c>
      <c r="DS18" t="s">
        <v>45</v>
      </c>
      <c r="DT18" t="s">
        <v>45</v>
      </c>
      <c r="DU18" t="s">
        <v>45</v>
      </c>
      <c r="DV18" t="s">
        <v>45</v>
      </c>
      <c r="DW18" t="s">
        <v>45</v>
      </c>
      <c r="DX18" t="s">
        <v>45</v>
      </c>
      <c r="DY18" t="s">
        <v>45</v>
      </c>
      <c r="DZ18" t="s">
        <v>45</v>
      </c>
      <c r="EA18" t="s">
        <v>45</v>
      </c>
      <c r="EB18" t="s">
        <v>45</v>
      </c>
      <c r="EC18" t="s">
        <v>45</v>
      </c>
      <c r="ED18" t="s">
        <v>45</v>
      </c>
      <c r="EE18" t="s">
        <v>45</v>
      </c>
      <c r="EF18" t="s">
        <v>45</v>
      </c>
      <c r="EG18" t="s">
        <v>45</v>
      </c>
      <c r="EH18" t="s">
        <v>45</v>
      </c>
      <c r="EI18" t="s">
        <v>45</v>
      </c>
      <c r="EJ18" t="s">
        <v>45</v>
      </c>
      <c r="EK18" t="s">
        <v>45</v>
      </c>
      <c r="EL18" t="s">
        <v>45</v>
      </c>
      <c r="EM18" t="s">
        <v>45</v>
      </c>
      <c r="EN18" t="s">
        <v>45</v>
      </c>
      <c r="EO18" t="s">
        <v>45</v>
      </c>
      <c r="EP18" t="s">
        <v>45</v>
      </c>
      <c r="EQ18" t="s">
        <v>45</v>
      </c>
      <c r="ER18" t="s">
        <v>45</v>
      </c>
      <c r="ES18" t="s">
        <v>45</v>
      </c>
      <c r="ET18" t="s">
        <v>45</v>
      </c>
      <c r="EU18" t="s">
        <v>45</v>
      </c>
      <c r="EV18" t="s">
        <v>45</v>
      </c>
      <c r="EW18" t="s">
        <v>45</v>
      </c>
      <c r="EX18" t="s">
        <v>45</v>
      </c>
      <c r="EY18" t="s">
        <v>45</v>
      </c>
      <c r="EZ18" t="s">
        <v>45</v>
      </c>
      <c r="FA18" t="s">
        <v>45</v>
      </c>
      <c r="FB18" t="s">
        <v>45</v>
      </c>
      <c r="FC18" t="s">
        <v>45</v>
      </c>
      <c r="FD18" t="s">
        <v>45</v>
      </c>
      <c r="FE18" t="s">
        <v>45</v>
      </c>
      <c r="FF18" t="s">
        <v>45</v>
      </c>
      <c r="FG18" t="s">
        <v>45</v>
      </c>
      <c r="FH18" t="s">
        <v>45</v>
      </c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謠࣑謠࣑謠࣑謠࣑謠࣑謠࣑謠࣑謠࣑謠࣑謠࣑謠࣑謠࣑謠࣑謠࣑謠࣑謠࣑惄斬倀耀" sqref="C3">
      <formula1>_Modules!$A$4:$A$1000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_Modules</vt:lpstr>
      <vt:lpstr>_Settings</vt:lpstr>
      <vt:lpstr>_MasterData</vt:lpstr>
      <vt:lpstr>SetTradingComplianceRules</vt:lpstr>
      <vt:lpstr>AddCalculatedPreferences</vt:lpstr>
      <vt:lpstr>SetAccountValueCalculatedPref</vt:lpstr>
      <vt:lpstr>SetStrategyValueCalculatedPref</vt:lpstr>
      <vt:lpstr>SetDefaultRuleCalculatedPref</vt:lpstr>
      <vt:lpstr>CreateLiveOrder</vt:lpstr>
      <vt:lpstr>SelectTrade</vt:lpstr>
      <vt:lpstr>AcknowledgeTrade</vt:lpstr>
      <vt:lpstr>ExecuteTrade</vt:lpstr>
      <vt:lpstr>SelectTrade1</vt:lpstr>
      <vt:lpstr>AcknowledgeTrade1</vt:lpstr>
      <vt:lpstr>ExecuteTrade1</vt:lpstr>
      <vt:lpstr>SelectTradeOnOrderGrid</vt:lpstr>
      <vt:lpstr>CancelSubOrder</vt:lpstr>
      <vt:lpstr>CreateLiveOrder1</vt:lpstr>
      <vt:lpstr>SelectTrade2</vt:lpstr>
      <vt:lpstr>AcknowledgeTrade2</vt:lpstr>
      <vt:lpstr>ExecuteTrade2</vt:lpstr>
      <vt:lpstr>GetDataAllocation</vt:lpstr>
      <vt:lpstr>CheckAllocatedGroups</vt:lpstr>
      <vt:lpstr>CheckAllocatedTaxlots</vt:lpstr>
      <vt:lpstr>CheckPortfolioManagement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Karan.Singh</cp:lastModifiedBy>
  <dcterms:created xsi:type="dcterms:W3CDTF">2022-06-12T22:13:34Z</dcterms:created>
  <dcterms:modified xsi:type="dcterms:W3CDTF">2022-06-12T22:15:30Z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028CC3D40B0A4270A2525473780679F0</vt:lpwstr>
  </property>
  <property fmtid="{D5CDD505-2E9C-101B-9397-08002B2CF9AE}" pid="3" name="KSOProductBuildVer">
    <vt:lpwstr>1033-11.2.0.11156</vt:lpwstr>
  </property>
</Properties>
</file>