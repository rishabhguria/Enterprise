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AcknowledgeTrade" sheetId="5" r:id="rId7"/>
    <sheet state="visible" name="ExecuteTrade" sheetId="6" r:id="rId8"/>
    <sheet state="visible" name="GroupTrades" sheetId="7" r:id="rId9"/>
    <sheet state="visible" name="SelectTradeOnOrderGrid" sheetId="8" r:id="rId10"/>
    <sheet state="visible" name="VerifyAllocationWindow" sheetId="9" r:id="rId11"/>
    <sheet state="visible" name="SelectTrade1" sheetId="10" r:id="rId12"/>
    <sheet state="visible" name="AcknowledgeTrade1" sheetId="11" r:id="rId13"/>
    <sheet state="visible" name="ExecuteTrade1" sheetId="12" r:id="rId14"/>
    <sheet state="visible" name="SelectTrade" sheetId="13" r:id="rId15"/>
    <sheet state="visible" name="VerifyAllocationWindow1" sheetId="14" r:id="rId16"/>
    <sheet state="visible" name="UngroupTrades" sheetId="15" r:id="rId17"/>
    <sheet state="visible" name="DeleteGroup" sheetId="16" r:id="rId18"/>
  </sheets>
  <definedNames/>
  <calcPr/>
</workbook>
</file>

<file path=xl/sharedStrings.xml><?xml version="1.0" encoding="utf-8"?>
<sst xmlns="http://schemas.openxmlformats.org/spreadsheetml/2006/main" count="123" uniqueCount="32">
  <si>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</si>
  <si>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</si>
  <si>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</si>
  <si>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</si>
  <si>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</si>
  <si>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</si>
  <si>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</si>
  <si>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</si>
  <si>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</si>
  <si>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</si>
  <si>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</si>
  <si>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</si>
  <si>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</si>
  <si>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</si>
  <si>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</si>
  <si>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</si>
  <si>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</si>
  <si>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Unallocated</t>
  </si>
  <si>
    <t>Simulator</t>
  </si>
  <si>
    <t>AcknowledgeTrade</t>
  </si>
  <si>
    <t>ExecuteTrade</t>
  </si>
  <si>
    <t>Allocation</t>
  </si>
  <si>
    <t>GroupTrades</t>
  </si>
  <si>
    <t>Blotter</t>
  </si>
  <si>
    <t>SelectTradeOnOrderGrid</t>
  </si>
  <si>
    <t>PartiallyFilled</t>
  </si>
  <si>
    <t>VerifyAllocationWindow</t>
  </si>
  <si>
    <t>Buy</t>
  </si>
  <si>
    <t>MS</t>
  </si>
  <si>
    <t>SelectTrade</t>
  </si>
  <si>
    <t>UngroupTrades</t>
  </si>
  <si>
    <t>DeleteGroup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</si>
</sst>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/>
      <c r="D6" s="33">
        <v>100.0</v>
      </c>
      <c r="E6" s="32"/>
      <c r="F6" s="34" t="s">
        <v>17</v>
      </c>
      <c r="G6" s="32"/>
      <c r="H6" s="32"/>
      <c r="I6" s="32"/>
      <c r="J6" s="35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4" t="s">
        <v>16</v>
      </c>
      <c r="C7" s="32"/>
      <c r="D7" s="35">
        <v>200.0</v>
      </c>
      <c r="E7" s="32"/>
      <c r="F7" s="34" t="s">
        <v>17</v>
      </c>
      <c r="G7" s="32"/>
      <c r="H7" s="32"/>
      <c r="I7" s="32"/>
      <c r="J7" s="35">
        <v>2.0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4" t="s">
        <v>16</v>
      </c>
      <c r="D6" s="30"/>
      <c r="E6" s="32"/>
      <c r="F6" s="32"/>
      <c r="G6" s="35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2.0</v>
      </c>
      <c r="C6" s="35">
        <v>50.0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GroupTrades!$4:$4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31" t="s">
        <v>16</v>
      </c>
      <c r="E6" s="32"/>
      <c r="F6" s="32"/>
      <c r="G6" s="34" t="s">
        <v>25</v>
      </c>
      <c r="H6" s="35">
        <v>100.0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IFERROR(__xludf.DUMMYFUNCTION("""COMPUTED_VALUE"""),"Broker")</f>
        <v>Broker</v>
      </c>
      <c r="E5" s="27" t="str">
        <f>IFERROR(__xludf.DUMMYFUNCTION("""COMPUTED_VALUE"""),"Quantity")</f>
        <v>Quantity</v>
      </c>
      <c r="F5" s="28" t="str">
        <f>IFERROR(__xludf.DUMMYFUNCTION("""COMPUTED_VALUE"""),"Avg Price")</f>
        <v>Avg Price</v>
      </c>
      <c r="G5" s="27" t="str">
        <f>IFERROR(__xludf.DUMMYFUNCTION("""COMPUTED_VALUE"""),"% Unexecuted Qty")</f>
        <v>% Unexecuted Qty</v>
      </c>
      <c r="H5" s="27" t="str">
        <f>IFERROR(__xludf.DUMMYFUNCTION("""COMPUTED_VALUE"""),"Unexecuted Qty")</f>
        <v>Unexecuted Qty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4" t="s">
        <v>27</v>
      </c>
      <c r="D6" s="31" t="s">
        <v>28</v>
      </c>
      <c r="E6" s="35">
        <v>300.0</v>
      </c>
      <c r="F6" s="35">
        <v>2.0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VerifyAllocationWindow!$4:$4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4" t="s">
        <v>16</v>
      </c>
      <c r="D6" s="30"/>
      <c r="E6" s="32"/>
      <c r="F6" s="32"/>
      <c r="G6" s="35">
        <v>200.0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4" t="s">
        <v>16</v>
      </c>
      <c r="D6" s="30"/>
      <c r="E6" s="32"/>
      <c r="F6" s="32"/>
      <c r="G6" s="35">
        <v>200.0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150.0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6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IFERROR(__xludf.DUMMYFUNCTION("""COMPUTED_VALUE"""),"Broker")</f>
        <v>Broker</v>
      </c>
      <c r="E5" s="27" t="str">
        <f>IFERROR(__xludf.DUMMYFUNCTION("""COMPUTED_VALUE"""),"Quantity")</f>
        <v>Quantity</v>
      </c>
      <c r="F5" s="28" t="str">
        <f>IFERROR(__xludf.DUMMYFUNCTION("""COMPUTED_VALUE"""),"Avg Price")</f>
        <v>Avg Price</v>
      </c>
      <c r="G5" s="27" t="str">
        <f>IFERROR(__xludf.DUMMYFUNCTION("""COMPUTED_VALUE"""),"% Unexecuted Qty")</f>
        <v>% Unexecuted Qty</v>
      </c>
      <c r="H5" s="27" t="str">
        <f>IFERROR(__xludf.DUMMYFUNCTION("""COMPUTED_VALUE"""),"Unexecuted Qty")</f>
        <v>Unexecuted Qty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4" t="s">
        <v>27</v>
      </c>
      <c r="D6" s="31" t="s">
        <v>28</v>
      </c>
      <c r="E6" s="37">
        <v>100.0</v>
      </c>
      <c r="F6" s="35">
        <v>2.0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VerifyAllocationWindow1!$4:$4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27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UngroupTrades!$4:$4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27</v>
      </c>
      <c r="D6" s="12">
        <v>200.0</v>
      </c>
      <c r="E6" s="12">
        <v>150.0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DeleteGroup!$4:$4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