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TradingComplianceRules" sheetId="4" r:id="rId6"/>
    <sheet state="visible" name="CreateDoneAwayOrder" sheetId="5" r:id="rId7"/>
    <sheet state="visible" name="AddCalculatedPreferences" sheetId="6" r:id="rId8"/>
    <sheet state="visible" name="SetAccountValueCalculatedPref" sheetId="7" r:id="rId9"/>
    <sheet state="visible" name="SetDefaultRuleCalculatedPref" sheetId="8" r:id="rId10"/>
    <sheet state="visible" name="VerifyOrder" sheetId="9" r:id="rId11"/>
    <sheet state="visible" name="CheckAllocatedGroups" sheetId="10" r:id="rId12"/>
    <sheet state="visible" name="GetDataAllocation" sheetId="11" r:id="rId13"/>
    <sheet state="visible" name="CreateDoneAwayOrder1" sheetId="12" r:id="rId14"/>
    <sheet state="visible" name="CheckUnallocatedGroups" sheetId="13" r:id="rId15"/>
    <sheet state="visible" name="GetDailyCash" sheetId="14" r:id="rId16"/>
    <sheet state="visible" name="UpdateMultipleDailyCash" sheetId="15" r:id="rId17"/>
  </sheets>
  <definedNames/>
  <calcPr/>
</workbook>
</file>

<file path=xl/sharedStrings.xml><?xml version="1.0" encoding="utf-8"?>
<sst xmlns="http://schemas.openxmlformats.org/spreadsheetml/2006/main" count="169" uniqueCount="61">
  <si>
    <t>Modules Info</t>
  </si>
  <si>
    <t>Modules</t>
  </si>
  <si>
    <t>Settings</t>
  </si>
  <si>
    <t>Module Step Setting File</t>
  </si>
  <si>
    <t>1HDGslINsX2xvwv6GJ3A4R106X2n1r8EbCpymEmKvxA8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</si>
  <si>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</si>
  <si>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</si>
  <si>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</si>
  <si>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</si>
  <si>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</si>
  <si>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</si>
  <si>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</si>
  <si>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</si>
  <si>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SetTradingComplianceRules</t>
  </si>
  <si>
    <t>Data Format</t>
  </si>
  <si>
    <t>Input Format</t>
  </si>
  <si>
    <t>TradingTicket</t>
  </si>
  <si>
    <t>CreateDoneAwayOrder</t>
  </si>
  <si>
    <t>AAPL</t>
  </si>
  <si>
    <t>Buy</t>
  </si>
  <si>
    <t>Allocation2,Allocation3</t>
  </si>
  <si>
    <t>60,40</t>
  </si>
  <si>
    <t>Allocation</t>
  </si>
  <si>
    <t>AddCalculatedPreferences</t>
  </si>
  <si>
    <t>TT350</t>
  </si>
  <si>
    <t>SetAccountValueCalculatedPref</t>
  </si>
  <si>
    <t>Allocation2</t>
  </si>
  <si>
    <t>Allocation3</t>
  </si>
  <si>
    <t>SetDefaultRuleCalculatedPref</t>
  </si>
  <si>
    <t>Leveling</t>
  </si>
  <si>
    <t>Blotter</t>
  </si>
  <si>
    <t>VerifyOrder</t>
  </si>
  <si>
    <t>NASDAQ</t>
  </si>
  <si>
    <t>M</t>
  </si>
  <si>
    <t>Equity</t>
  </si>
  <si>
    <t>Filled</t>
  </si>
  <si>
    <t>MS</t>
  </si>
  <si>
    <t>Market</t>
  </si>
  <si>
    <t>Sell</t>
  </si>
  <si>
    <t>CheckAllocatedGroups</t>
  </si>
  <si>
    <t>Multiple</t>
  </si>
  <si>
    <t>AAPL US EQUITY</t>
  </si>
  <si>
    <t>Open</t>
  </si>
  <si>
    <t>APPLE</t>
  </si>
  <si>
    <t>USD</t>
  </si>
  <si>
    <t>BrokerNotes</t>
  </si>
  <si>
    <t>None</t>
  </si>
  <si>
    <t>DefaultNotes</t>
  </si>
  <si>
    <t>InternalOrder</t>
  </si>
  <si>
    <t>Strategy Unallocated</t>
  </si>
  <si>
    <t>GCCAP1</t>
  </si>
  <si>
    <t>US</t>
  </si>
  <si>
    <t>jpearce</t>
  </si>
  <si>
    <t>NONE</t>
  </si>
  <si>
    <t>GetDataAllocation</t>
  </si>
  <si>
    <t>Current</t>
  </si>
  <si>
    <t>CheckUnallocatedGroups</t>
  </si>
  <si>
    <t>DailyValuation</t>
  </si>
  <si>
    <t>GetDailyCash</t>
  </si>
  <si>
    <t>UpdateMultipleDailyCash</t>
  </si>
  <si>
    <t>Allocation1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</si>
</sst>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 h:mm:ss am/pm"/>
    <numFmt numFmtId="165" formatCode="m/d/yyyy h:mm"/>
  </numFmts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readingOrder="0" shrinkToFit="0" wrapText="0"/>
    </xf>
    <xf borderId="0" fillId="0" fontId="14" numFmtId="0" xfId="0" applyAlignment="1" applyFont="1">
      <alignment readingOrder="0" shrinkToFit="0" vertical="bottom" wrapText="0"/>
    </xf>
    <xf borderId="0" fillId="0" fontId="14" numFmtId="0" xfId="0" applyAlignment="1" applyFont="1">
      <alignment horizontal="right" readingOrder="0" shrinkToFit="0" vertical="bottom" wrapText="0"/>
    </xf>
    <xf borderId="0" fillId="0" fontId="14" numFmtId="4" xfId="0" applyAlignment="1" applyFont="1" applyNumberFormat="1">
      <alignment horizontal="right" readingOrder="0" shrinkToFit="0" vertical="bottom" wrapText="0"/>
    </xf>
    <xf borderId="0" fillId="0" fontId="14" numFmtId="0" xfId="0" applyAlignment="1" applyFont="1">
      <alignment shrinkToFit="0" vertical="bottom" wrapText="0"/>
    </xf>
    <xf borderId="0" fillId="0" fontId="14" numFmtId="164" xfId="0" applyAlignment="1" applyFont="1" applyNumberFormat="1">
      <alignment readingOrder="0" shrinkToFit="0" vertical="bottom" wrapText="0"/>
    </xf>
    <xf borderId="0" fillId="0" fontId="14" numFmtId="165" xfId="0" applyAlignment="1" applyFont="1" applyNumberFormat="1">
      <alignment horizontal="right" readingOrder="0" shrinkToFit="0" vertical="bottom" wrapText="0"/>
    </xf>
    <xf borderId="0" fillId="0" fontId="5" numFmtId="14" xfId="0" applyAlignment="1" applyFont="1" applyNumberFormat="1">
      <alignment readingOrder="0" shrinkToFit="0" wrapText="0"/>
    </xf>
    <xf borderId="0" fillId="0" fontId="5" numFmtId="14" xfId="0" applyAlignment="1" applyFont="1" applyNumberFormat="1">
      <alignment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IFERROR(__xludf.DUMMYFUNCTION("""COMPUTED_VALUE"""),"1kXWX5XbWkcCarG3_NeoZcsMD84Dg7Y1HBOol0fT3llw")</f>
        <v>1kXWX5XbWkcCarG3_NeoZcsMD84Dg7Y1HBOol0fT3llw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IFERROR(__xludf.DUMMYFUNCTION("""COMPUTED_VALUE"""),"1Fsx99xjLV4wXC7CsT9wtcnBrZWmyHtcJTabwhtzutts")</f>
        <v>1Fsx99xjLV4wXC7CsT9wtcnBrZWmyHtcJTabwhtzutts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IFERROR(__xludf.DUMMYFUNCTION("""COMPUTED_VALUE"""),"1eq2tbYNZTU6VAfgYF2-ao4AM8-9yiVmbLsTlsY4KXro")</f>
        <v>1eq2tbYNZTU6VAfgYF2-ao4AM8-9yiVmbLsTlsY4KXro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IFERROR(__xludf.DUMMYFUNCTION("""COMPUTED_VALUE"""),"PranaClient")</f>
        <v>PranaClient</v>
      </c>
      <c r="B629" t="str">
        <f>IFERROR(__xludf.DUMMYFUNCTION("""COMPUTED_VALUE"""),"LoginClient")</f>
        <v>LoginClient</v>
      </c>
      <c r="C629" t="str">
        <f>IFERROR(__xludf.DUMMYFUNCTION("""COMPUTED_VALUE"""),"15s_MBgGJ0dfZ8sabmSGlh8UnFHbnEhlY_4upAbjXzmg")</f>
        <v>15s_MBgGJ0dfZ8sabmSGlh8UnFHbnEhlY_4upAbjXzmg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IFERROR(__xludf.DUMMYFUNCTION("""COMPUTED_VALUE"""),"BulkChangeCreateStageOrder")</f>
        <v>BulkChangeCreateStageOrder</v>
      </c>
      <c r="C630" t="str">
        <f>IFERROR(__xludf.DUMMYFUNCTION("""COMPUTED_VALUE"""),"1XpPlMHrXIkdrEc4GgpL4YGWBTY6izs1MK6Jy7Z3jR-Q")</f>
        <v>1XpPlMHrXIkdrEc4GgpL4YGWBTY6izs1MK6Jy7Z3jR-Q</v>
      </c>
    </row>
    <row r="631" ht="15.75" customHeight="1">
      <c r="A631" t="str">
        <f>IFERROR(__xludf.DUMMYFUNCTION("""COMPUTED_VALUE"""),"MultiTradingTicket")</f>
        <v>MultiTradingTicket</v>
      </c>
      <c r="B631" t="str">
        <f>IFERROR(__xludf.DUMMYFUNCTION("""COMPUTED_VALUE"""),"BulkUpdateUsingMTT")</f>
        <v>BulkUpdateUsingMTT</v>
      </c>
      <c r="C631" t="str">
        <f>IFERROR(__xludf.DUMMYFUNCTION("""COMPUTED_VALUE"""),"1z5unUI4CMAB-Y1nnow1quueM3t3SDsE_5x7GoqlPJdo")</f>
        <v>1z5unUI4CMAB-Y1nnow1quueM3t3SDsE_5x7GoqlPJdo</v>
      </c>
    </row>
    <row r="632" ht="15.75" customHeight="1">
      <c r="A632" t="str">
        <f>IFERROR(__xludf.DUMMYFUNCTION("""COMPUTED_VALUE"""),"PranaClient")</f>
        <v>PranaClient</v>
      </c>
      <c r="B632" t="str">
        <f>IFERROR(__xludf.DUMMYFUNCTION("""COMPUTED_VALUE"""),"CompareXML")</f>
        <v>CompareXML</v>
      </c>
      <c r="C632" t="str">
        <f>IFERROR(__xludf.DUMMYFUNCTION("""COMPUTED_VALUE"""),"1UbkLLvFc4omZgamtV9FPjYfaLw9XLbjQYRKGGO3lyPE")</f>
        <v>1UbkLLvFc4omZgamtV9FPjYfaLw9XLbjQYRKGGO3lyPE</v>
      </c>
    </row>
    <row r="633" ht="15.75" customHeight="1">
      <c r="A633" t="str">
        <f>IFERROR(__xludf.DUMMYFUNCTION("""COMPUTED_VALUE"""),"Admin")</f>
        <v>Admin</v>
      </c>
      <c r="B633" t="str">
        <f>IFERROR(__xludf.DUMMYFUNCTION("""COMPUTED_VALUE"""),"SetMasterFundOnTT")</f>
        <v>SetMasterFundOnTT</v>
      </c>
      <c r="C633" t="str">
        <f>IFERROR(__xludf.DUMMYFUNCTION("""COMPUTED_VALUE"""),"1LK3f7jczHzLHkY7I_RK-58BnR45KNGpebn0hHO3eSgo")</f>
        <v>1LK3f7jczHzLHkY7I_RK-58BnR45KNGpebn0hHO3eSgo</v>
      </c>
    </row>
    <row r="634" ht="15.75" customHeight="1">
      <c r="A634" t="str">
        <f>IFERROR(__xludf.DUMMYFUNCTION("""COMPUTED_VALUE"""),"TradingTicket")</f>
        <v>TradingTicket</v>
      </c>
      <c r="B634" t="str">
        <f>IFERROR(__xludf.DUMMYFUNCTION("""COMPUTED_VALUE"""),"VerifyCustomAllocationonTT")</f>
        <v>VerifyCustomAllocationonTT</v>
      </c>
      <c r="C634" t="str">
        <f>IFERROR(__xludf.DUMMYFUNCTION("""COMPUTED_VALUE"""),"10ici7f6_wpSFiwpn22nHeSOFsZ1dU_pzk6nMLQKHIRY")</f>
        <v>10ici7f6_wpSFiwpn22nHeSOFsZ1dU_pzk6nMLQKHIRY</v>
      </c>
    </row>
    <row r="635" ht="15.75" customHeight="1">
      <c r="A635" t="str">
        <f>IFERROR(__xludf.DUMMYFUNCTION("""COMPUTED_VALUE"""),"Blotter")</f>
        <v>Blotter</v>
      </c>
      <c r="B635" t="str">
        <f>IFERROR(__xludf.DUMMYFUNCTION("""COMPUTED_VALUE"""),"ReAllocateFromBlotterByAllocate")</f>
        <v>ReAllocateFromBlotterByAllocate</v>
      </c>
      <c r="C635" t="str">
        <f>IFERROR(__xludf.DUMMYFUNCTION("""COMPUTED_VALUE"""),"1RA-PKK7Kzfl_fgl03zAC8sp1VOE9HjaY5EL7ItkPBK4")</f>
        <v>1RA-PKK7Kzfl_fgl03zAC8sp1VOE9HjaY5EL7ItkPBK4</v>
      </c>
    </row>
    <row r="636" ht="15.75" customHeight="1">
      <c r="A636" t="str">
        <f>IFERROR(__xludf.DUMMYFUNCTION("""COMPUTED_VALUE"""),"Simulator")</f>
        <v>Simulator</v>
      </c>
      <c r="B636" t="str">
        <f>IFERROR(__xludf.DUMMYFUNCTION("""COMPUTED_VALUE"""),"VerifyTagInAllFixLogs")</f>
        <v>VerifyTagInAllFixLogs</v>
      </c>
      <c r="C636" t="str">
        <f>IFERROR(__xludf.DUMMYFUNCTION("""COMPUTED_VALUE"""),"1jKDiJYpLWAfkSGRoeJ_liPC1ZaTdCTC5AqjDzj9I61Q")</f>
        <v>1jKDiJYpLWAfkSGRoeJ_liPC1ZaTdCTC5AqjDzj9I61Q</v>
      </c>
    </row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 t="str">
        <f>IFERROR(__xludf.DUMMYFUNCTION("""COMPUTED_VALUE"""),"DeleteSymbolFromSM")</f>
        <v>DeleteSymbolFromSM</v>
      </c>
      <c r="AB4" s="26" t="str">
        <f>IFERROR(__xludf.DUMMYFUNCTION("""COMPUTED_VALUE"""),"SetMasterFundOnTT")</f>
        <v>SetMasterFundOnTT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IFERROR(__xludf.DUMMYFUNCTION("""COMPUTED_VALUE"""),"OverSellTradingRule")</f>
        <v>OverSellTradingRule</v>
      </c>
      <c r="C5" s="28" t="str">
        <f>IFERROR(__xludf.DUMMYFUNCTION("""COMPUTED_VALUE"""),"OverBuyTradingRule")</f>
        <v>OverBuyTradingRule</v>
      </c>
      <c r="D5" s="28" t="str">
        <f>IFERROR(__xludf.DUMMYFUNCTION("""COMPUTED_VALUE"""),"FatFingerTradingRule")</f>
        <v>FatFingerTradingRule</v>
      </c>
      <c r="E5" s="28" t="str">
        <f>IFERROR(__xludf.DUMMYFUNCTION("""COMPUTED_VALUE"""),"UnallocatedTradeAlert")</f>
        <v>UnallocatedTradeAlert</v>
      </c>
      <c r="F5" s="29" t="str">
        <f>IFERROR(__xludf.DUMMYFUNCTION("""COMPUTED_VALUE"""),"DuplicateTradeAlert")</f>
        <v>DuplicateTradeAlert</v>
      </c>
      <c r="G5" s="28" t="str">
        <f>IFERROR(__xludf.DUMMYFUNCTION("""COMPUTED_VALUE"""),"PendingNewOrderAlert")</f>
        <v>PendingNewOrderAlert</v>
      </c>
      <c r="H5" s="28" t="str">
        <f>IFERROR(__xludf.DUMMYFUNCTION("""COMPUTED_VALUE"""),"FatFingerPercent")</f>
        <v>FatFingerPercent</v>
      </c>
      <c r="I5" s="28" t="str">
        <f>IFERROR(__xludf.DUMMYFUNCTION("""COMPUTED_VALUE"""),"DuplicateTradeAlertTime")</f>
        <v>DuplicateTradeAlertTime</v>
      </c>
      <c r="J5" s="28" t="str">
        <f>IFERROR(__xludf.DUMMYFUNCTION("""COMPUTED_VALUE"""),"PendingNewOrderAlertTime")</f>
        <v>PendingNewOrderAlertTime</v>
      </c>
      <c r="K5" s="28" t="str">
        <f>IFERROR(__xludf.DUMMYFUNCTION("""COMPUTED_VALUE"""),"FatFingerAccountOrMasterFund")</f>
        <v>FatFingerAccountOrMasterFund</v>
      </c>
      <c r="L5" s="28" t="str">
        <f>IFERROR(__xludf.DUMMYFUNCTION("""COMPUTED_VALUE"""),"IsAbsoluteAmountOrDefinePercent")</f>
        <v>IsAbsoluteAmountOrDefinePercent</v>
      </c>
      <c r="M5" s="28" t="str">
        <f>IFERROR(__xludf.DUMMYFUNCTION("""COMPUTED_VALUE"""),"IsInMarketIncluded")</f>
        <v>IsInMarketIncluded</v>
      </c>
      <c r="N5" s="28" t="str">
        <f>IFERROR(__xludf.DUMMYFUNCTION("""COMPUTED_VALUE"""),"IsSharesOutstandingRule")</f>
        <v>IsSharesOutstandingRule</v>
      </c>
      <c r="O5" s="28" t="str">
        <f>IFERROR(__xludf.DUMMYFUNCTION("""COMPUTED_VALUE"""),"SharesOutstandingPercent")</f>
        <v>SharesOutstandingPercent</v>
      </c>
      <c r="P5" s="28" t="str">
        <f>IFERROR(__xludf.DUMMYFUNCTION("""COMPUTED_VALUE"""),"SharesOutstandingAccountOrMF")</f>
        <v>SharesOutstandingAccountOrMF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b">
        <v>1</v>
      </c>
      <c r="C6" s="13" t="b">
        <v>1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SetTradingComplianceRules!$4:$4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18</v>
      </c>
      <c r="C6" s="13" t="s">
        <v>19</v>
      </c>
      <c r="D6" s="13">
        <v>1000.0</v>
      </c>
      <c r="E6" s="13">
        <v>1000.0</v>
      </c>
      <c r="F6" s="8"/>
      <c r="G6" s="8"/>
      <c r="H6" s="8"/>
      <c r="I6" s="8"/>
      <c r="J6" s="13">
        <v>1.0</v>
      </c>
      <c r="K6" s="8"/>
      <c r="L6" s="8"/>
      <c r="M6" s="8"/>
      <c r="N6" s="8"/>
      <c r="O6" s="8"/>
      <c r="AK6" s="9" t="s">
        <v>20</v>
      </c>
      <c r="AL6" s="9" t="s">
        <v>21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24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AddCalculatedPreferences!$4:$4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IFERROR(__xludf.DUMMYFUNCTION("""COMPUTED_VALUE"""),"AccountName")</f>
        <v>AccountName</v>
      </c>
      <c r="D5" s="28" t="str">
        <f>IFERROR(__xludf.DUMMYFUNCTION("""COMPUTED_VALUE"""),"Percentage")</f>
        <v>Percentage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24</v>
      </c>
      <c r="C6" s="13" t="s">
        <v>26</v>
      </c>
      <c r="D6" s="13">
        <v>80.0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24</v>
      </c>
      <c r="C7" s="13" t="s">
        <v>27</v>
      </c>
      <c r="D7" s="13">
        <v>20.0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SetAccountValueCalculatedPref!$4:$4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IFERROR(__xludf.DUMMYFUNCTION("""COMPUTED_VALUE"""),"AllocationMethod")</f>
        <v>AllocationMethod</v>
      </c>
      <c r="C5" s="28" t="str">
        <f>IFERROR(__xludf.DUMMYFUNCTION("""COMPUTED_VALUE"""),"RemainderAllocationTo")</f>
        <v>RemainderAllocationTo</v>
      </c>
      <c r="D5" s="28" t="str">
        <f>IFERROR(__xludf.DUMMYFUNCTION("""COMPUTED_VALUE"""),"Target%AsOf")</f>
        <v>Target%AsOf</v>
      </c>
      <c r="E5" s="28" t="str">
        <f>IFERROR(__xludf.DUMMYFUNCTION("""COMPUTED_VALUE"""),"ProrataAccounts")</f>
        <v>ProrataAccounts</v>
      </c>
      <c r="F5" s="29" t="str">
        <f>IFERROR(__xludf.DUMMYFUNCTION("""COMPUTED_VALUE"""),"DateUptoDays")</f>
        <v>DateUptoDays</v>
      </c>
      <c r="G5" s="28" t="str">
        <f>IFERROR(__xludf.DUMMYFUNCTION("""COMPUTED_VALUE"""),"MatchClosingTransactions")</f>
        <v>MatchClosingTransactions</v>
      </c>
      <c r="H5" s="28" t="str">
        <f>IFERROR(__xludf.DUMMYFUNCTION("""COMPUTED_VALUE"""),"PreferenceName")</f>
        <v>PreferenceName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 t="s">
        <v>29</v>
      </c>
      <c r="E6" s="13" t="s">
        <v>20</v>
      </c>
      <c r="F6" s="8"/>
      <c r="G6" s="13" t="b">
        <v>0</v>
      </c>
      <c r="H6" s="13" t="s">
        <v>24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SetDefaultRuleCalculatedPref!$4:$4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13" t="s">
        <v>32</v>
      </c>
      <c r="I6" s="8"/>
      <c r="J6" s="8"/>
      <c r="K6" s="8"/>
      <c r="L6" s="8"/>
      <c r="M6" s="8"/>
      <c r="N6" s="8"/>
      <c r="O6" s="8"/>
      <c r="AD6" s="9">
        <v>1.0</v>
      </c>
      <c r="AF6" s="9" t="s">
        <v>33</v>
      </c>
      <c r="AH6" s="9" t="s">
        <v>34</v>
      </c>
      <c r="AI6" s="9" t="s">
        <v>18</v>
      </c>
      <c r="AJ6" s="9" t="s">
        <v>19</v>
      </c>
      <c r="AK6" s="9" t="s">
        <v>35</v>
      </c>
      <c r="AL6" s="9">
        <v>1000.0</v>
      </c>
      <c r="AM6" s="9">
        <v>1000.0</v>
      </c>
      <c r="AN6" s="9">
        <v>100.0</v>
      </c>
      <c r="AS6" s="9" t="s">
        <v>36</v>
      </c>
      <c r="AU6" s="9" t="s">
        <v>37</v>
      </c>
      <c r="AV6" s="9">
        <v>1000.0</v>
      </c>
      <c r="AW6" s="9">
        <v>1000.0</v>
      </c>
    </row>
    <row r="7" ht="15.75" customHeight="1">
      <c r="A7" s="8"/>
      <c r="B7" s="8"/>
      <c r="C7" s="8"/>
      <c r="D7" s="13"/>
      <c r="E7" s="8"/>
      <c r="F7" s="8"/>
      <c r="G7" s="8"/>
      <c r="H7" s="13" t="s">
        <v>32</v>
      </c>
      <c r="I7" s="8"/>
      <c r="J7" s="8"/>
      <c r="K7" s="8"/>
      <c r="L7" s="8"/>
      <c r="M7" s="8"/>
      <c r="N7" s="8"/>
      <c r="O7" s="8"/>
      <c r="AD7" s="9">
        <v>1.0</v>
      </c>
      <c r="AF7" s="9" t="s">
        <v>33</v>
      </c>
      <c r="AH7" s="9" t="s">
        <v>34</v>
      </c>
      <c r="AI7" s="9" t="s">
        <v>18</v>
      </c>
      <c r="AJ7" s="9" t="s">
        <v>38</v>
      </c>
      <c r="AK7" s="9" t="s">
        <v>35</v>
      </c>
      <c r="AL7" s="9">
        <v>1200.0</v>
      </c>
      <c r="AM7" s="9">
        <v>1200.0</v>
      </c>
      <c r="AN7" s="9">
        <v>100.0</v>
      </c>
      <c r="AS7" s="9" t="s">
        <v>36</v>
      </c>
      <c r="AU7" s="9" t="s">
        <v>37</v>
      </c>
      <c r="AV7" s="9">
        <v>-1200.0</v>
      </c>
      <c r="AW7" s="9">
        <v>-1200.0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2" t="s">
        <v>40</v>
      </c>
      <c r="C6" s="32"/>
      <c r="D6" s="33"/>
      <c r="E6" s="34">
        <v>1000.0</v>
      </c>
      <c r="F6" s="32"/>
      <c r="G6" s="32" t="s">
        <v>34</v>
      </c>
      <c r="H6" s="33">
        <v>4.0</v>
      </c>
      <c r="I6" s="33">
        <v>5.0</v>
      </c>
      <c r="J6" s="33">
        <v>1.0</v>
      </c>
      <c r="K6" s="33">
        <v>1.0</v>
      </c>
      <c r="L6" s="33">
        <v>1.0</v>
      </c>
      <c r="M6" s="32" t="s">
        <v>41</v>
      </c>
      <c r="N6" s="32"/>
      <c r="O6" s="32" t="s">
        <v>36</v>
      </c>
      <c r="P6" s="35"/>
      <c r="Q6" s="33">
        <v>3.0</v>
      </c>
      <c r="R6" s="33">
        <v>0.0</v>
      </c>
      <c r="S6" s="32" t="s">
        <v>42</v>
      </c>
      <c r="T6" s="33">
        <v>0.0</v>
      </c>
      <c r="U6" s="33">
        <v>0.0</v>
      </c>
      <c r="V6" s="32" t="s">
        <v>43</v>
      </c>
      <c r="W6" s="33">
        <v>1.0</v>
      </c>
      <c r="X6" s="33"/>
      <c r="Y6" s="35"/>
      <c r="Z6" s="32" t="s">
        <v>44</v>
      </c>
      <c r="AA6" s="32" t="s">
        <v>18</v>
      </c>
      <c r="AB6" s="33">
        <v>1.0</v>
      </c>
      <c r="AC6" s="32" t="s">
        <v>45</v>
      </c>
      <c r="AD6" s="32" t="s">
        <v>32</v>
      </c>
      <c r="AE6" s="34">
        <v>1000.0</v>
      </c>
      <c r="AF6" s="36"/>
      <c r="AG6" s="36"/>
      <c r="AH6" s="32" t="s">
        <v>33</v>
      </c>
      <c r="AI6" s="33">
        <v>1.0</v>
      </c>
      <c r="AJ6" s="32" t="s">
        <v>46</v>
      </c>
      <c r="AK6" s="35"/>
      <c r="AL6" s="35"/>
      <c r="AM6" s="32" t="s">
        <v>47</v>
      </c>
      <c r="AN6" s="32" t="b">
        <v>0</v>
      </c>
      <c r="AO6" s="35"/>
      <c r="AP6" s="32" t="b">
        <v>1</v>
      </c>
      <c r="AQ6" s="32" t="b">
        <v>0</v>
      </c>
      <c r="AR6" s="32" t="b">
        <v>1</v>
      </c>
      <c r="AS6" s="33">
        <v>0.0</v>
      </c>
      <c r="AT6" s="34">
        <v>1014.0006</v>
      </c>
      <c r="AU6" s="34">
        <v>1014.0006</v>
      </c>
      <c r="AV6" s="37"/>
      <c r="AW6" s="33">
        <v>0.0</v>
      </c>
      <c r="AX6" s="33">
        <v>0.0</v>
      </c>
      <c r="AY6" s="32" t="s">
        <v>37</v>
      </c>
      <c r="AZ6" s="33">
        <v>0.0</v>
      </c>
      <c r="BA6" s="37"/>
      <c r="BB6" s="35"/>
      <c r="BC6" s="33">
        <v>0.0</v>
      </c>
      <c r="BD6" s="32" t="s">
        <v>48</v>
      </c>
      <c r="BE6" s="34">
        <v>1000.0</v>
      </c>
      <c r="BF6" s="34">
        <v>1000.0</v>
      </c>
      <c r="BG6" s="37"/>
      <c r="BH6" s="35"/>
      <c r="BI6" s="35"/>
      <c r="BJ6" s="34">
        <v>1000.0</v>
      </c>
      <c r="BK6" s="33">
        <v>0.0</v>
      </c>
      <c r="BL6" s="32"/>
      <c r="BM6" s="32" t="s">
        <v>44</v>
      </c>
      <c r="BN6" s="37"/>
      <c r="BO6" s="32" t="s">
        <v>19</v>
      </c>
      <c r="BP6" s="33">
        <v>0.0</v>
      </c>
      <c r="BQ6" s="33">
        <v>0.0</v>
      </c>
      <c r="BR6" s="33">
        <v>6.0E-4</v>
      </c>
      <c r="BS6" s="32" t="s">
        <v>49</v>
      </c>
      <c r="BT6" s="32" t="s">
        <v>18</v>
      </c>
      <c r="BU6" s="33">
        <v>3.0</v>
      </c>
      <c r="BV6" s="33">
        <v>0.0</v>
      </c>
      <c r="BW6" s="33">
        <v>14.0006</v>
      </c>
      <c r="BX6" s="33">
        <v>0.0</v>
      </c>
      <c r="BY6" s="35"/>
      <c r="BZ6" s="35"/>
      <c r="CA6" s="35"/>
      <c r="CB6" s="35"/>
      <c r="CC6" s="35"/>
      <c r="CD6" s="35"/>
      <c r="CE6" s="37"/>
      <c r="CF6" s="32" t="s">
        <v>50</v>
      </c>
      <c r="CG6" s="33">
        <v>2.0</v>
      </c>
      <c r="CH6" s="32" t="s">
        <v>16</v>
      </c>
      <c r="CI6" s="32" t="s">
        <v>19</v>
      </c>
      <c r="CJ6" s="33">
        <v>0.0</v>
      </c>
      <c r="CK6" s="32" t="s">
        <v>51</v>
      </c>
      <c r="CL6" s="33">
        <v>1.0</v>
      </c>
      <c r="CM6" s="32" t="s">
        <v>18</v>
      </c>
      <c r="CN6" s="32" t="s">
        <v>52</v>
      </c>
      <c r="CO6" s="32" t="s">
        <v>32</v>
      </c>
      <c r="CP6" s="32" t="s">
        <v>53</v>
      </c>
      <c r="CQ6" s="36"/>
      <c r="CR6" s="33"/>
      <c r="CS6" s="35"/>
      <c r="CT6" s="35"/>
      <c r="CU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54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55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18</v>
      </c>
      <c r="C6" s="13" t="s">
        <v>38</v>
      </c>
      <c r="D6" s="13">
        <v>1200.0</v>
      </c>
      <c r="E6" s="13">
        <v>1200.0</v>
      </c>
      <c r="F6" s="13" t="s">
        <v>24</v>
      </c>
      <c r="G6" s="8"/>
      <c r="H6" s="8"/>
      <c r="I6" s="8"/>
      <c r="J6" s="13">
        <v>1.0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56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IFERROR(__xludf.DUMMYFUNCTION("""COMPUTED_VALUE"""),"Accrual Basis")</f>
        <v>Accrual Basis</v>
      </c>
      <c r="C5" s="28" t="str">
        <f>IFERROR(__xludf.DUMMYFUNCTION("""COMPUTED_VALUE"""),"Accrued Interest")</f>
        <v>Accrued Interest</v>
      </c>
      <c r="D5" s="28" t="str">
        <f>IFERROR(__xludf.DUMMYFUNCTION("""COMPUTED_VALUE"""),"Allocated Qty")</f>
        <v>Allocated Qty</v>
      </c>
      <c r="E5" s="28" t="str">
        <f>IFERROR(__xludf.DUMMYFUNCTION("""COMPUTED_VALUE"""),"Allocation Scheme Name")</f>
        <v>Allocation Scheme Name</v>
      </c>
      <c r="F5" s="29" t="str">
        <f>IFERROR(__xludf.DUMMYFUNCTION("""COMPUTED_VALUE"""),"Asset Category")</f>
        <v>Asset Category</v>
      </c>
      <c r="G5" s="28" t="str">
        <f>IFERROR(__xludf.DUMMYFUNCTION("""COMPUTED_VALUE"""),"AUEC Fee1")</f>
        <v>AUEC Fee1</v>
      </c>
      <c r="H5" s="28" t="str">
        <f>IFERROR(__xludf.DUMMYFUNCTION("""COMPUTED_VALUE"""),"AUEC Fee2")</f>
        <v>AUEC Fee2</v>
      </c>
      <c r="I5" s="28" t="str">
        <f>IFERROR(__xludf.DUMMYFUNCTION("""COMPUTED_VALUE"""),"AUECID")</f>
        <v>AUECID</v>
      </c>
      <c r="J5" s="28" t="str">
        <f>IFERROR(__xludf.DUMMYFUNCTION("""COMPUTED_VALUE"""),"Avg Price(Base)")</f>
        <v>Avg Price(Base)</v>
      </c>
      <c r="K5" s="28" t="str">
        <f>IFERROR(__xludf.DUMMYFUNCTION("""COMPUTED_VALUE"""),"Avg Price(Local)")</f>
        <v>Avg Price(Local)</v>
      </c>
      <c r="L5" s="28" t="str">
        <f>IFERROR(__xludf.DUMMYFUNCTION("""COMPUTED_VALUE"""),"Bloomberg")</f>
        <v>Bloomberg</v>
      </c>
      <c r="M5" s="28" t="str">
        <f>IFERROR(__xludf.DUMMYFUNCTION("""COMPUTED_VALUE"""),"Bond Type")</f>
        <v>Bond Type</v>
      </c>
      <c r="N5" s="28" t="str">
        <f>IFERROR(__xludf.DUMMYFUNCTION("""COMPUTED_VALUE"""),"Broker")</f>
        <v>Broker</v>
      </c>
      <c r="O5" s="28" t="str">
        <f>IFERROR(__xludf.DUMMYFUNCTION("""COMPUTED_VALUE"""),"Change Comment")</f>
        <v>Change Comment</v>
      </c>
      <c r="P5" s="28" t="str">
        <f>IFERROR(__xludf.DUMMYFUNCTION("""COMPUTED_VALUE"""),"Change Type")</f>
        <v>Change Type</v>
      </c>
      <c r="Q5" s="28" t="str">
        <f>IFERROR(__xludf.DUMMYFUNCTION("""COMPUTED_VALUE"""),"Clearing Broker Fee")</f>
        <v>Clearing Broker Fee</v>
      </c>
      <c r="R5" s="28" t="str">
        <f>IFERROR(__xludf.DUMMYFUNCTION("""COMPUTED_VALUE"""),"Closing Method")</f>
        <v>Closing Method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IFERROR(__xludf.DUMMYFUNCTION("""COMPUTED_VALUE"""),"Execution Time")</f>
        <v>Execution Time</v>
      </c>
      <c r="AG5" s="30" t="str">
        <f>IFERROR(__xludf.DUMMYFUNCTION("""COMPUTED_VALUE"""),"FX Conversion Operator")</f>
        <v>FX Conversion Operator</v>
      </c>
      <c r="AH5" s="30" t="str">
        <f>IFERROR(__xludf.DUMMYFUNCTION("""COMPUTED_VALUE"""),"FX Rate")</f>
        <v>FX Rate</v>
      </c>
      <c r="AI5" s="30" t="str">
        <f>IFERROR(__xludf.DUMMYFUNCTION("""COMPUTED_VALUE"""),"Group Status")</f>
        <v>Group Status</v>
      </c>
      <c r="AJ5" s="30" t="str">
        <f>IFERROR(__xludf.DUMMYFUNCTION("""COMPUTED_VALUE"""),"GroupID")</f>
        <v>GroupID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IFERROR(__xludf.DUMMYFUNCTION("""COMPUTED_VALUE"""),"Symbol")</f>
        <v>Symbol</v>
      </c>
      <c r="BT5" s="30" t="str">
        <f>IFERROR(__xludf.DUMMYFUNCTION("""COMPUTED_VALUE"""),"Tax On Commissions")</f>
        <v>Tax On Commissions</v>
      </c>
      <c r="BU5" s="30" t="str">
        <f>IFERROR(__xludf.DUMMYFUNCTION("""COMPUTED_VALUE"""),"Total Commission")</f>
        <v>Total Commission</v>
      </c>
      <c r="BV5" s="30" t="str">
        <f>IFERROR(__xludf.DUMMYFUNCTION("""COMPUTED_VALUE"""),"Total Commission And Fee")</f>
        <v>Total Commission And Fee</v>
      </c>
      <c r="BW5" s="30" t="str">
        <f>IFERROR(__xludf.DUMMYFUNCTION("""COMPUTED_VALUE"""),"Total Commission Per Share")</f>
        <v>Total Commission Per Share</v>
      </c>
      <c r="BX5" s="30" t="str">
        <f>IFERROR(__xludf.DUMMYFUNCTION("""COMPUTED_VALUE"""),"Trade Attribute 1")</f>
        <v>Trade Attribute 1</v>
      </c>
      <c r="BY5" s="30" t="str">
        <f>IFERROR(__xludf.DUMMYFUNCTION("""COMPUTED_VALUE"""),"Trade Attribute 2")</f>
        <v>Trade Attribute 2</v>
      </c>
      <c r="BZ5" s="30" t="str">
        <f>IFERROR(__xludf.DUMMYFUNCTION("""COMPUTED_VALUE"""),"Trade Attribute 3")</f>
        <v>Trade Attribute 3</v>
      </c>
      <c r="CA5" s="30" t="str">
        <f>IFERROR(__xludf.DUMMYFUNCTION("""COMPUTED_VALUE"""),"Trade Attribute 4")</f>
        <v>Trade Attribute 4</v>
      </c>
      <c r="CB5" s="30" t="str">
        <f>IFERROR(__xludf.DUMMYFUNCTION("""COMPUTED_VALUE"""),"Trade Attribute 5")</f>
        <v>Trade Attribute 5</v>
      </c>
      <c r="CC5" s="30" t="str">
        <f>IFERROR(__xludf.DUMMYFUNCTION("""COMPUTED_VALUE"""),"Trade Attribute 6")</f>
        <v>Trade Attribute 6</v>
      </c>
      <c r="CD5" s="30" t="str">
        <f>IFERROR(__xludf.DUMMYFUNCTION("""COMPUTED_VALUE"""),"Trade Date")</f>
        <v>Trade Date</v>
      </c>
      <c r="CE5" s="30" t="str">
        <f>IFERROR(__xludf.DUMMYFUNCTION("""COMPUTED_VALUE"""),"Trading Account")</f>
        <v>Trading Account</v>
      </c>
      <c r="CF5" s="30" t="str">
        <f>IFERROR(__xludf.DUMMYFUNCTION("""COMPUTED_VALUE"""),"Transaction Levy")</f>
        <v>Transaction Levy</v>
      </c>
      <c r="CG5" s="30" t="str">
        <f>IFERROR(__xludf.DUMMYFUNCTION("""COMPUTED_VALUE"""),"Transaction Source")</f>
        <v>Transaction Source</v>
      </c>
      <c r="CH5" s="30" t="str">
        <f>IFERROR(__xludf.DUMMYFUNCTION("""COMPUTED_VALUE"""),"Transaction Type")</f>
        <v>Transaction Type</v>
      </c>
      <c r="CI5" s="30" t="str">
        <f>IFERROR(__xludf.DUMMYFUNCTION("""COMPUTED_VALUE"""),"UnAllocatedQty")</f>
        <v>UnAllocatedQty</v>
      </c>
      <c r="CJ5" s="30" t="str">
        <f>IFERROR(__xludf.DUMMYFUNCTION("""COMPUTED_VALUE"""),"Underlying")</f>
        <v>Underlying</v>
      </c>
      <c r="CK5" s="30" t="str">
        <f>IFERROR(__xludf.DUMMYFUNCTION("""COMPUTED_VALUE"""),"Underlying Delta")</f>
        <v>Underlying Delta</v>
      </c>
      <c r="CL5" s="30" t="str">
        <f>IFERROR(__xludf.DUMMYFUNCTION("""COMPUTED_VALUE"""),"Underlying Symbol")</f>
        <v>Underlying Symbol</v>
      </c>
      <c r="CM5" s="30" t="str">
        <f>IFERROR(__xludf.DUMMYFUNCTION("""COMPUTED_VALUE"""),"User")</f>
        <v>User</v>
      </c>
      <c r="CN5" s="30" t="str">
        <f>IFERROR(__xludf.DUMMYFUNCTION("""COMPUTED_VALUE"""),"Venue")</f>
        <v>Venue</v>
      </c>
      <c r="CO5" s="30" t="str">
        <f>IFERROR(__xludf.DUMMYFUNCTION("""COMPUTED_VALUE"""),"Closing Date")</f>
        <v>Closing Date</v>
      </c>
      <c r="CP5" s="30" t="str">
        <f>IFERROR(__xludf.DUMMYFUNCTION("""COMPUTED_VALUE"""),"Expiration Date")</f>
        <v>Expiration Date</v>
      </c>
      <c r="CQ5" s="30" t="str">
        <f>IFERROR(__xludf.DUMMYFUNCTION("""COMPUTED_VALUE"""),"Master Fund")</f>
        <v>Master Fund</v>
      </c>
      <c r="CR5" s="30" t="str">
        <f>IFERROR(__xludf.DUMMYFUNCTION("""COMPUTED_VALUE"""),"Borrow Broker")</f>
        <v>Borrow Broker</v>
      </c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13" t="s">
        <v>34</v>
      </c>
      <c r="G6" s="8"/>
      <c r="H6" s="8"/>
      <c r="I6" s="8"/>
      <c r="J6" s="8"/>
      <c r="K6" s="8"/>
      <c r="L6" s="8"/>
      <c r="M6" s="8"/>
      <c r="N6" s="13" t="s">
        <v>36</v>
      </c>
      <c r="O6" s="8"/>
      <c r="AD6" s="9" t="s">
        <v>32</v>
      </c>
      <c r="AE6" s="9">
        <v>1200.0</v>
      </c>
      <c r="AG6" s="9" t="s">
        <v>33</v>
      </c>
      <c r="AH6" s="9">
        <v>1.0</v>
      </c>
      <c r="AY6" s="9" t="s">
        <v>37</v>
      </c>
      <c r="BE6" s="9">
        <v>1200.0</v>
      </c>
      <c r="BF6" s="9">
        <v>1200.0</v>
      </c>
      <c r="BJ6" s="9">
        <v>1200.0</v>
      </c>
      <c r="BO6" s="9" t="s">
        <v>38</v>
      </c>
      <c r="BS6" s="9" t="s">
        <v>18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CheckUnallocatedGroups!$4:$4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57</v>
      </c>
      <c r="D3" s="5" t="s">
        <v>9</v>
      </c>
      <c r="E3" s="23" t="s">
        <v>58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8">
        <f>Today()-1</f>
        <v>45008</v>
      </c>
      <c r="C6" s="39">
        <f>Today()</f>
        <v>45009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57</v>
      </c>
      <c r="D3" s="5" t="s">
        <v>9</v>
      </c>
      <c r="E3" s="23" t="s">
        <v>59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26</v>
      </c>
      <c r="C6" s="13" t="s">
        <v>44</v>
      </c>
      <c r="D6" s="13">
        <v>100600.0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27</v>
      </c>
      <c r="C7" s="13" t="s">
        <v>44</v>
      </c>
      <c r="D7" s="13">
        <v>200400.0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13" t="s">
        <v>60</v>
      </c>
      <c r="C8" s="13" t="s">
        <v>44</v>
      </c>
      <c r="D8" s="13">
        <v>300000.0</v>
      </c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13" t="s">
        <v>26</v>
      </c>
      <c r="C9" s="13" t="s">
        <v>44</v>
      </c>
      <c r="D9" s="13">
        <v>400000.0</v>
      </c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UpdateMultipleDailyCash!$4:$4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