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ChangeDate" sheetId="7" r:id="rId9"/>
    <sheet state="visible" name="ExecuteTrade" sheetId="8" r:id="rId10"/>
    <sheet state="visible" name="RestartReleasesAndServices" sheetId="9" r:id="rId11"/>
    <sheet state="visible" name="GetDataAllocation" sheetId="10" r:id="rId12"/>
    <sheet state="visible" name="SelectUnallocatedGroup" sheetId="11" r:id="rId13"/>
    <sheet state="visible" name="GroupTrades" sheetId="12" r:id="rId14"/>
    <sheet state="visible" name="EnterAccountValuesToAllocate" sheetId="13" r:id="rId15"/>
    <sheet state="visible" name="CheckAllocatedGroups" sheetId="14" r:id="rId16"/>
    <sheet state="visible" name="VerifySubOrder" sheetId="15" r:id="rId17"/>
    <sheet state="visible" name="CustomOrderTT1" sheetId="16" r:id="rId18"/>
    <sheet state="visible" name="ChangeDate1" sheetId="17" r:id="rId19"/>
  </sheets>
  <definedNames/>
  <calcPr/>
</workbook>
</file>

<file path=xl/sharedStrings.xml><?xml version="1.0" encoding="utf-8"?>
<sst xmlns="http://schemas.openxmlformats.org/spreadsheetml/2006/main" count="133" uniqueCount="44">
  <si>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</si>
  <si>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</si>
  <si>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</si>
  <si>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</si>
  <si>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</si>
  <si>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</si>
  <si>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</si>
  <si>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</si>
  <si>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</si>
  <si>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</si>
  <si>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</si>
  <si>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</si>
  <si>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</si>
  <si>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</si>
  <si>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</si>
  <si>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</si>
  <si>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</si>
  <si>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</si>
  <si>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</si>
  <si>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</si>
  <si>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</si>
  <si>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</si>
  <si>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</si>
  <si>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</si>
  <si>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</si>
  <si>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</si>
  <si>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AcknowledgeTrade</t>
  </si>
  <si>
    <t>Admin</t>
  </si>
  <si>
    <t>ChangeDate</t>
  </si>
  <si>
    <t>Today()+1</t>
  </si>
  <si>
    <t>ExecuteTrade</t>
  </si>
  <si>
    <t>Compliance</t>
  </si>
  <si>
    <t>RestartReleasesAndServices</t>
  </si>
  <si>
    <t>Allocation</t>
  </si>
  <si>
    <t>GetDataAllocation</t>
  </si>
  <si>
    <t>Historical</t>
  </si>
  <si>
    <t>SelectUnallocatedGroup</t>
  </si>
  <si>
    <t>GroupTrades</t>
  </si>
  <si>
    <t>EnterAccountValuesToAllocate</t>
  </si>
  <si>
    <t>Allocation1</t>
  </si>
  <si>
    <t>CheckAllocatedGroups</t>
  </si>
  <si>
    <t>Blotter</t>
  </si>
  <si>
    <t>VerifySubOrder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</si>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</sst>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1">
        <v>5000.0</v>
      </c>
      <c r="D6" s="33"/>
      <c r="E6" s="35" t="s">
        <v>20</v>
      </c>
      <c r="F6" s="36"/>
      <c r="G6" s="36"/>
      <c r="H6" s="36"/>
      <c r="I6" s="35" t="s">
        <v>21</v>
      </c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23</v>
      </c>
      <c r="V6" s="36" t="s">
        <v>24</v>
      </c>
      <c r="W6" s="36"/>
      <c r="X6" s="31">
        <v>315.95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 t="s">
        <v>19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29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>
        <v>315.95</v>
      </c>
      <c r="C6" s="38">
        <v>2500.0</v>
      </c>
      <c r="D6" s="39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40" t="b">
        <v>1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35</v>
      </c>
      <c r="C6" s="41">
        <f>TODAY()-10</f>
        <v>45947</v>
      </c>
      <c r="D6" s="41">
        <f>TODAY()+1</f>
        <v>45958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22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39</v>
      </c>
      <c r="C6" s="31">
        <v>100.0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39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19</v>
      </c>
      <c r="AJ6" s="36" t="s">
        <v>22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1">
        <v>5000.0</v>
      </c>
      <c r="D6" s="33"/>
      <c r="E6" s="35" t="s">
        <v>20</v>
      </c>
      <c r="F6" s="36"/>
      <c r="G6" s="36"/>
      <c r="H6" s="36"/>
      <c r="I6" s="35" t="s">
        <v>21</v>
      </c>
      <c r="J6" s="35" t="s">
        <v>22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23</v>
      </c>
      <c r="V6" s="36" t="s">
        <v>24</v>
      </c>
      <c r="W6" s="36"/>
      <c r="X6" s="31">
        <v>315.95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43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