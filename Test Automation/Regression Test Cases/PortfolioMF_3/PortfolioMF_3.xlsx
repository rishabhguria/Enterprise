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GetForexConversion" sheetId="11" r:id="rId13"/>
    <sheet state="visible" name="UpdateForexConversion" sheetId="12" r:id="rId14"/>
    <sheet state="visible" name="GetDataAllocation" sheetId="13" r:id="rId15"/>
    <sheet state="visible" name="SelectAllocatedGroup" sheetId="14" r:id="rId16"/>
    <sheet state="visible" name="BookOrUpdateSwap" sheetId="15" r:id="rId17"/>
    <sheet state="visible" name="SelectAllocatedGroup1" sheetId="16" r:id="rId18"/>
    <sheet state="visible" name="BookOrUpdateSwap1" sheetId="17" r:id="rId19"/>
    <sheet state="visible" name="PricingInput1" sheetId="18" r:id="rId20"/>
    <sheet state="visible" name="CreateDoneAwayOrder" sheetId="19" r:id="rId21"/>
    <sheet state="visible" name="GetCashTransaction" sheetId="20" r:id="rId22"/>
    <sheet state="visible" name="AddCashTransaction" sheetId="21" r:id="rId23"/>
    <sheet state="visible" name="RunRevaluation" sheetId="22" r:id="rId24"/>
  </sheets>
  <definedNames/>
  <calcPr/>
</workbook>
</file>

<file path=xl/sharedStrings.xml><?xml version="1.0" encoding="utf-8"?>
<sst xmlns="http://schemas.openxmlformats.org/spreadsheetml/2006/main" count="249" uniqueCount="78">
  <si>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</si>
  <si>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</si>
  <si>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</si>
  <si>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</si>
  <si>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</si>
  <si>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</si>
  <si>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</si>
  <si>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</si>
  <si>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</si>
  <si>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</si>
  <si>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</si>
  <si>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</si>
  <si>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</si>
  <si>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</si>
  <si>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</si>
  <si>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</si>
  <si>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</si>
  <si>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</si>
  <si>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</si>
  <si>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</si>
  <si>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</si>
  <si>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</si>
  <si>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</si>
  <si>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</si>
  <si>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</si>
  <si>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</si>
  <si>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</si>
  <si>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</si>
  <si>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</si>
  <si>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</si>
  <si>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</si>
  <si>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</si>
  <si>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</si>
  <si>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</si>
  <si>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</si>
  <si>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</si>
  <si>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</si>
  <si>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</si>
  <si>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</si>
  <si>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0303-HKG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</si>
  <si>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</si>
  <si>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</si>
  <si>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</si>
  <si>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</si>
  <si>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</si>
  <si>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</si>
  <si>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</si>
  <si>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</si>
  <si>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GetForexConversion</t>
  </si>
  <si>
    <t>UpdateForexConversion</t>
  </si>
  <si>
    <t>EUR</t>
  </si>
  <si>
    <t>USD A0-FX</t>
  </si>
  <si>
    <t>GBP</t>
  </si>
  <si>
    <t>GBP A0-FX</t>
  </si>
  <si>
    <t>HKD</t>
  </si>
  <si>
    <t>HKD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</si>
  <si>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</si>
  <si>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</si>
  <si>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</si>
  <si>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</si>
  <si>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</si>
  <si>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</si>
  <si>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</si>
  <si>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CreateDoneAwayOrder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</si>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</sst>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1"/>
      <c r="J6" s="31"/>
      <c r="K6" s="31"/>
      <c r="L6" s="33">
        <v>50.0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23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24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25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27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6">
        <v>26.47</v>
      </c>
      <c r="E6" s="31" t="s">
        <v>30</v>
      </c>
      <c r="F6" s="31"/>
      <c r="G6" s="31"/>
      <c r="H6" s="31"/>
      <c r="I6" s="31"/>
      <c r="J6" s="32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6" si="1">TODAY()-1</f>
        <v>45404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27</v>
      </c>
      <c r="C7" s="33">
        <v>100.0</v>
      </c>
      <c r="D7" s="33">
        <v>10.0</v>
      </c>
      <c r="E7" s="31" t="s">
        <v>30</v>
      </c>
      <c r="F7" s="31"/>
      <c r="G7" s="31"/>
      <c r="H7" s="31"/>
      <c r="I7" s="31"/>
      <c r="J7" s="32" t="s">
        <v>31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45404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30</v>
      </c>
      <c r="F8" s="31"/>
      <c r="G8" s="31"/>
      <c r="H8" s="31"/>
      <c r="I8" s="31"/>
      <c r="J8" s="32" t="s">
        <v>31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45404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10.0</v>
      </c>
      <c r="D9" s="33">
        <v>20.0</v>
      </c>
      <c r="E9" s="31" t="s">
        <v>30</v>
      </c>
      <c r="F9" s="31"/>
      <c r="G9" s="31"/>
      <c r="H9" s="31"/>
      <c r="I9" s="31"/>
      <c r="J9" s="32" t="s">
        <v>32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45404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25</v>
      </c>
      <c r="C10" s="33">
        <v>100.0</v>
      </c>
      <c r="D10" s="33">
        <v>10.0</v>
      </c>
      <c r="E10" s="31" t="s">
        <v>30</v>
      </c>
      <c r="F10" s="31"/>
      <c r="G10" s="31"/>
      <c r="H10" s="31"/>
      <c r="I10" s="31"/>
      <c r="J10" s="32" t="s">
        <v>33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45404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24</v>
      </c>
      <c r="C11" s="33">
        <v>10.0</v>
      </c>
      <c r="D11" s="33">
        <v>36.6</v>
      </c>
      <c r="E11" s="31" t="s">
        <v>30</v>
      </c>
      <c r="F11" s="31"/>
      <c r="G11" s="31"/>
      <c r="H11" s="31"/>
      <c r="I11" s="31"/>
      <c r="J11" s="32" t="s">
        <v>33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45404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22</v>
      </c>
      <c r="C12" s="33">
        <v>100.0</v>
      </c>
      <c r="D12" s="33">
        <v>8.0</v>
      </c>
      <c r="E12" s="31" t="s">
        <v>30</v>
      </c>
      <c r="F12" s="31"/>
      <c r="G12" s="31"/>
      <c r="H12" s="31"/>
      <c r="I12" s="31"/>
      <c r="J12" s="32" t="s">
        <v>31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45404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20000.0</v>
      </c>
      <c r="D13" s="33">
        <v>5.0</v>
      </c>
      <c r="E13" s="31" t="s">
        <v>30</v>
      </c>
      <c r="F13" s="31"/>
      <c r="G13" s="31"/>
      <c r="H13" s="31"/>
      <c r="I13" s="31"/>
      <c r="J13" s="32" t="s">
        <v>32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45404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100.0</v>
      </c>
      <c r="D14" s="33">
        <v>8.0</v>
      </c>
      <c r="E14" s="31" t="s">
        <v>30</v>
      </c>
      <c r="F14" s="31"/>
      <c r="G14" s="31"/>
      <c r="H14" s="31"/>
      <c r="I14" s="31"/>
      <c r="J14" s="32" t="s">
        <v>36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45404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10.0</v>
      </c>
      <c r="D15" s="33">
        <v>5.0</v>
      </c>
      <c r="E15" s="31" t="s">
        <v>30</v>
      </c>
      <c r="F15" s="31"/>
      <c r="G15" s="31"/>
      <c r="H15" s="31"/>
      <c r="I15" s="31"/>
      <c r="J15" s="32" t="s">
        <v>38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45404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2" t="s">
        <v>39</v>
      </c>
      <c r="C16" s="33">
        <v>100.0</v>
      </c>
      <c r="D16" s="33">
        <v>10.0</v>
      </c>
      <c r="E16" s="31" t="s">
        <v>30</v>
      </c>
      <c r="F16" s="31"/>
      <c r="G16" s="31"/>
      <c r="H16" s="31"/>
      <c r="I16" s="32" t="s">
        <v>40</v>
      </c>
      <c r="J16" s="32" t="s">
        <v>31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7">
        <f t="shared" si="1"/>
        <v>45404</v>
      </c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2"/>
      <c r="C17" s="33"/>
      <c r="D17" s="33"/>
      <c r="E17" s="31"/>
      <c r="F17" s="31"/>
      <c r="G17" s="31"/>
      <c r="H17" s="31"/>
      <c r="I17" s="31"/>
      <c r="J17" s="32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7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27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25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24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22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34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35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37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2" t="s">
        <v>39</v>
      </c>
      <c r="C16" s="33">
        <v>10.0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45404</v>
      </c>
      <c r="C6" s="37">
        <f t="shared" si="1"/>
        <v>45404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45</v>
      </c>
      <c r="C6" s="32" t="s">
        <v>46</v>
      </c>
      <c r="D6" s="36">
        <v>54662.0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12" t="s">
        <v>47</v>
      </c>
      <c r="C7" s="12" t="s">
        <v>46</v>
      </c>
      <c r="D7" s="12">
        <v>1642.0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45404</v>
      </c>
      <c r="C6" s="37">
        <f>TODAY()</f>
        <v>45405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50</v>
      </c>
      <c r="C6" s="32" t="s">
        <v>46</v>
      </c>
      <c r="D6" s="34" t="s">
        <v>51</v>
      </c>
      <c r="E6" s="33">
        <v>1.07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52</v>
      </c>
      <c r="C7" s="32" t="s">
        <v>46</v>
      </c>
      <c r="D7" s="32" t="s">
        <v>53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46</v>
      </c>
      <c r="C8" s="32" t="s">
        <v>54</v>
      </c>
      <c r="D8" s="32" t="s">
        <v>55</v>
      </c>
      <c r="E8" s="33">
        <v>7.851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7">
        <f>TODAY()-1</f>
        <v>45404</v>
      </c>
      <c r="D6" s="37">
        <f>TODAY()</f>
        <v>45405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61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62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61</v>
      </c>
      <c r="C6" s="32" t="s">
        <v>31</v>
      </c>
      <c r="D6" s="36">
        <v>100.0</v>
      </c>
      <c r="E6" s="31"/>
      <c r="F6" s="31"/>
      <c r="G6" s="31"/>
      <c r="H6" s="31"/>
      <c r="I6" s="31"/>
      <c r="J6" s="33">
        <v>50.0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61</v>
      </c>
      <c r="C7" s="32" t="s">
        <v>32</v>
      </c>
      <c r="D7" s="33">
        <v>1.0</v>
      </c>
      <c r="E7" s="31"/>
      <c r="F7" s="31"/>
      <c r="G7" s="31"/>
      <c r="H7" s="31"/>
      <c r="I7" s="31"/>
      <c r="J7" s="33">
        <v>50.0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61</v>
      </c>
      <c r="C8" s="32" t="s">
        <v>32</v>
      </c>
      <c r="D8" s="33">
        <v>98.0</v>
      </c>
      <c r="E8" s="31"/>
      <c r="F8" s="31"/>
      <c r="G8" s="31"/>
      <c r="H8" s="31"/>
      <c r="I8" s="31"/>
      <c r="J8" s="33">
        <v>50.0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62</v>
      </c>
      <c r="C9" s="32" t="s">
        <v>32</v>
      </c>
      <c r="D9" s="33">
        <v>10.0</v>
      </c>
      <c r="E9" s="31"/>
      <c r="F9" s="31"/>
      <c r="G9" s="31"/>
      <c r="H9" s="31"/>
      <c r="I9" s="31"/>
      <c r="J9" s="33">
        <v>5.0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32" t="s">
        <v>27</v>
      </c>
      <c r="C10" s="32" t="s">
        <v>31</v>
      </c>
      <c r="D10" s="33">
        <v>100.0</v>
      </c>
      <c r="E10" s="8"/>
      <c r="F10" s="12" t="s">
        <v>47</v>
      </c>
      <c r="G10" s="8"/>
      <c r="H10" s="8"/>
      <c r="I10" s="8"/>
      <c r="J10" s="33">
        <v>10.0</v>
      </c>
      <c r="K10" s="8"/>
      <c r="L10" s="8"/>
      <c r="M10" s="8"/>
      <c r="N10" s="8"/>
      <c r="O10" s="8"/>
    </row>
    <row r="11" ht="15.75" customHeight="1">
      <c r="A11" s="8"/>
      <c r="B11" s="32" t="s">
        <v>24</v>
      </c>
      <c r="C11" s="32" t="s">
        <v>31</v>
      </c>
      <c r="D11" s="33">
        <v>10.0</v>
      </c>
      <c r="E11" s="8"/>
      <c r="F11" s="12" t="s">
        <v>47</v>
      </c>
      <c r="G11" s="8"/>
      <c r="H11" s="8"/>
      <c r="I11" s="8"/>
      <c r="J11" s="33">
        <v>36.6</v>
      </c>
      <c r="K11" s="8"/>
      <c r="L11" s="8"/>
      <c r="M11" s="8"/>
      <c r="N11" s="8"/>
      <c r="O11" s="8"/>
    </row>
    <row r="12" ht="15.75" customHeight="1">
      <c r="A12" s="8"/>
      <c r="B12" s="32" t="s">
        <v>22</v>
      </c>
      <c r="C12" s="32" t="s">
        <v>31</v>
      </c>
      <c r="D12" s="33">
        <v>100.0</v>
      </c>
      <c r="E12" s="8"/>
      <c r="F12" s="12" t="s">
        <v>47</v>
      </c>
      <c r="G12" s="8"/>
      <c r="H12" s="8"/>
      <c r="I12" s="8"/>
      <c r="J12" s="33">
        <v>8.0</v>
      </c>
      <c r="K12" s="8"/>
      <c r="L12" s="8"/>
      <c r="M12" s="8"/>
      <c r="N12" s="8"/>
      <c r="O12" s="8"/>
    </row>
    <row r="13" ht="15.75" customHeight="1">
      <c r="A13" s="8"/>
      <c r="B13" s="32" t="s">
        <v>39</v>
      </c>
      <c r="C13" s="32" t="s">
        <v>31</v>
      </c>
      <c r="D13" s="33">
        <v>100.0</v>
      </c>
      <c r="E13" s="8"/>
      <c r="F13" s="12" t="s">
        <v>47</v>
      </c>
      <c r="G13" s="8"/>
      <c r="H13" s="8"/>
      <c r="I13" s="8"/>
      <c r="J13" s="33">
        <v>10.0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45</v>
      </c>
      <c r="C6" s="31" t="s">
        <v>66</v>
      </c>
      <c r="D6" s="38">
        <f t="shared" ref="D6:E6" si="1">TODAY()</f>
        <v>45405</v>
      </c>
      <c r="E6" s="38">
        <f t="shared" si="1"/>
        <v>45405</v>
      </c>
      <c r="F6" s="31"/>
      <c r="G6" s="31" t="s">
        <v>67</v>
      </c>
      <c r="H6" s="31" t="s">
        <v>68</v>
      </c>
      <c r="I6" s="31" t="s">
        <v>67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70</v>
      </c>
      <c r="D6" s="34" t="s">
        <v>71</v>
      </c>
      <c r="E6" s="31" t="s">
        <v>72</v>
      </c>
      <c r="F6" s="32" t="s">
        <v>45</v>
      </c>
      <c r="G6" s="32" t="s">
        <v>46</v>
      </c>
      <c r="H6" s="33">
        <v>1500.0</v>
      </c>
      <c r="I6" s="37">
        <f>TODAY()-1</f>
        <v>45404</v>
      </c>
      <c r="J6" s="37">
        <f>TODAY()+2</f>
        <v>45407</v>
      </c>
      <c r="K6" s="37">
        <f>TODAY()</f>
        <v>45405</v>
      </c>
      <c r="L6" s="31"/>
      <c r="M6" s="39" t="s">
        <v>73</v>
      </c>
      <c r="N6" s="39" t="s">
        <v>46</v>
      </c>
      <c r="O6" s="40">
        <v>1.0</v>
      </c>
      <c r="P6" s="39" t="s">
        <v>74</v>
      </c>
      <c r="Q6" s="41" t="s">
        <v>75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77</v>
      </c>
      <c r="C6" s="32" t="s">
        <v>45</v>
      </c>
      <c r="D6" s="37">
        <f>TODAY()</f>
        <v>45405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