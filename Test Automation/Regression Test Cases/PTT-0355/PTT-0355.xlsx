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OutSamsara" sheetId="4" r:id="rId6"/>
    <sheet state="visible" name="LoginClient" sheetId="5" r:id="rId7"/>
    <sheet state="visible" name="SetPTTPreference" sheetId="6" r:id="rId8"/>
    <sheet state="visible" name="CalculatePTT" sheetId="7" r:id="rId9"/>
    <sheet state="visible" name="VerifyPTT" sheetId="8" r:id="rId10"/>
    <sheet state="visible" name="SavePageView" sheetId="9" r:id="rId11"/>
    <sheet state="visible" name="SetPTTPreference1" sheetId="10" r:id="rId12"/>
    <sheet state="visible" name="CalculatePTT1" sheetId="11" r:id="rId13"/>
    <sheet state="visible" name="VerifyPTT1" sheetId="12" r:id="rId14"/>
    <sheet state="visible" name="SavePageView1" sheetId="13" r:id="rId15"/>
    <sheet state="visible" name="SetPTTPreference2" sheetId="14" r:id="rId16"/>
    <sheet state="visible" name="CalculatePTT2" sheetId="15" r:id="rId17"/>
    <sheet state="visible" name="VerifyPTT2" sheetId="16" r:id="rId18"/>
    <sheet state="visible" name="SavePageView2" sheetId="17" r:id="rId19"/>
    <sheet state="visible" name="SetPTTPreference3" sheetId="18" r:id="rId20"/>
    <sheet state="visible" name="CalculatePTT3" sheetId="19" r:id="rId21"/>
    <sheet state="visible" name="VerifyPTT3" sheetId="20" r:id="rId22"/>
    <sheet state="visible" name="SavePageView3" sheetId="21" r:id="rId23"/>
    <sheet state="visible" name="SetPTTPreference4" sheetId="22" r:id="rId24"/>
    <sheet state="visible" name="CalculatePTT4" sheetId="23" r:id="rId25"/>
    <sheet state="visible" name="VerifyPTT4" sheetId="24" r:id="rId26"/>
    <sheet state="visible" name="SavePageView4" sheetId="25" r:id="rId27"/>
  </sheets>
  <definedNames/>
  <calcPr/>
</workbook>
</file>

<file path=xl/sharedStrings.xml><?xml version="1.0" encoding="utf-8"?>
<sst xmlns="http://schemas.openxmlformats.org/spreadsheetml/2006/main" count="221" uniqueCount="47">
  <si>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</si>
  <si>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</si>
  <si>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</si>
  <si>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</si>
  <si>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</si>
  <si>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</si>
  <si>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</si>
  <si>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</si>
  <si>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</si>
  <si>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</si>
  <si>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</si>
  <si>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</si>
  <si>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</si>
  <si>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LogOutSamsara</t>
  </si>
  <si>
    <t>Data Format</t>
  </si>
  <si>
    <t>Input Format</t>
  </si>
  <si>
    <t>Save</t>
  </si>
  <si>
    <t>PranaClient</t>
  </si>
  <si>
    <t>LoginClient</t>
  </si>
  <si>
    <t>Support1</t>
  </si>
  <si>
    <t>Nirvana@1</t>
  </si>
  <si>
    <t>PTT</t>
  </si>
  <si>
    <t>SetPTTPreference</t>
  </si>
  <si>
    <t>Account</t>
  </si>
  <si>
    <t>CalculatePTT</t>
  </si>
  <si>
    <t>FB</t>
  </si>
  <si>
    <t>Increase</t>
  </si>
  <si>
    <t>Percentage</t>
  </si>
  <si>
    <t>Yes</t>
  </si>
  <si>
    <t>Allocation1</t>
  </si>
  <si>
    <t>VerifyPTT</t>
  </si>
  <si>
    <t>OpenFin</t>
  </si>
  <si>
    <t>SavePageView</t>
  </si>
  <si>
    <t>Trading Ticket</t>
  </si>
  <si>
    <t>TT_Page</t>
  </si>
  <si>
    <t>TT_Page1</t>
  </si>
  <si>
    <t>Allocation1,Allocation2</t>
  </si>
  <si>
    <t>Allocation2</t>
  </si>
  <si>
    <t>TT_Page2</t>
  </si>
  <si>
    <t>MasterFund</t>
  </si>
  <si>
    <t>NewMF</t>
  </si>
  <si>
    <t>Allocation3</t>
  </si>
  <si>
    <t>TT_Page3</t>
  </si>
  <si>
    <t>NewMF,NewMF2</t>
  </si>
  <si>
    <t>LP C/O</t>
  </si>
  <si>
    <t>rt</t>
  </si>
  <si>
    <t>TT_Page4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</si>
</sst>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3" xfId="0" applyAlignment="1" applyFont="1" applyNumberFormat="1">
      <alignment horizontal="right" readingOrder="0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19</v>
      </c>
      <c r="C6" s="34" t="s">
        <v>20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23</v>
      </c>
      <c r="F6" s="12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SetPTTPreference!$4:$4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4" t="s">
        <v>26</v>
      </c>
      <c r="D6" s="35" t="s">
        <v>27</v>
      </c>
      <c r="E6" s="36">
        <v>10.0</v>
      </c>
      <c r="F6" s="36">
        <v>10.0</v>
      </c>
      <c r="G6" s="34" t="s">
        <v>28</v>
      </c>
      <c r="H6" s="8"/>
      <c r="I6" s="12" t="s">
        <v>29</v>
      </c>
      <c r="J6" s="8"/>
      <c r="K6" s="12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5" t="s">
        <v>29</v>
      </c>
      <c r="C6" s="38">
        <v>0.0</v>
      </c>
      <c r="D6" s="39">
        <v>0.0</v>
      </c>
      <c r="E6" s="40"/>
      <c r="F6" s="40"/>
      <c r="G6" s="38">
        <v>0.0</v>
      </c>
      <c r="H6" s="38">
        <v>0.0</v>
      </c>
      <c r="I6" s="41">
        <v>0.0</v>
      </c>
      <c r="J6" s="42"/>
      <c r="K6" s="38">
        <v>0.0</v>
      </c>
      <c r="L6" s="40"/>
      <c r="M6" s="40"/>
      <c r="N6" s="40"/>
      <c r="O6" s="40"/>
      <c r="P6" s="40"/>
      <c r="Q6" s="40"/>
      <c r="R6" s="40"/>
      <c r="S6" s="43">
        <v>1.0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33</v>
      </c>
      <c r="C6" s="34" t="s">
        <v>34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/>
      <c r="F6" s="12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SetPTTPreference1!$4:$4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4" t="s">
        <v>26</v>
      </c>
      <c r="D6" s="35" t="s">
        <v>27</v>
      </c>
      <c r="E6" s="36">
        <v>10.0</v>
      </c>
      <c r="F6" s="36">
        <v>10.0</v>
      </c>
      <c r="G6" s="34" t="s">
        <v>28</v>
      </c>
      <c r="H6" s="8"/>
      <c r="I6" s="12"/>
      <c r="J6" s="8"/>
      <c r="K6" s="12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5" t="s">
        <v>29</v>
      </c>
      <c r="C6" s="38">
        <v>0.0</v>
      </c>
      <c r="D6" s="39">
        <v>0.0</v>
      </c>
      <c r="E6" s="40"/>
      <c r="F6" s="40"/>
      <c r="G6" s="38">
        <v>0.0</v>
      </c>
      <c r="H6" s="38">
        <v>0.0</v>
      </c>
      <c r="I6" s="41">
        <v>0.0</v>
      </c>
      <c r="J6" s="42"/>
      <c r="K6" s="38">
        <v>0.0</v>
      </c>
      <c r="L6" s="40"/>
      <c r="M6" s="40"/>
      <c r="N6" s="40"/>
      <c r="O6" s="40"/>
      <c r="P6" s="40"/>
      <c r="Q6" s="40"/>
      <c r="R6" s="40"/>
      <c r="S6" s="43">
        <v>1.0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33</v>
      </c>
      <c r="C6" s="33" t="s">
        <v>35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/>
      <c r="F6" s="12" t="s">
        <v>36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SetPTTPreference2!$4:$4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4" t="s">
        <v>26</v>
      </c>
      <c r="D6" s="35" t="s">
        <v>27</v>
      </c>
      <c r="E6" s="36">
        <v>10.0</v>
      </c>
      <c r="F6" s="36">
        <v>10.0</v>
      </c>
      <c r="G6" s="34" t="s">
        <v>28</v>
      </c>
      <c r="H6" s="8"/>
      <c r="I6" s="12"/>
      <c r="J6" s="8"/>
      <c r="K6" s="12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5" t="s">
        <v>29</v>
      </c>
      <c r="C6" s="38">
        <v>0.0</v>
      </c>
      <c r="D6" s="39">
        <v>0.0</v>
      </c>
      <c r="E6" s="40"/>
      <c r="F6" s="40"/>
      <c r="G6" s="38">
        <v>0.0</v>
      </c>
      <c r="H6" s="38">
        <v>0.0</v>
      </c>
      <c r="I6" s="41">
        <v>0.0</v>
      </c>
      <c r="J6" s="42"/>
      <c r="K6" s="38">
        <v>0.0</v>
      </c>
      <c r="L6" s="40"/>
      <c r="M6" s="40"/>
      <c r="N6" s="40"/>
      <c r="O6" s="40"/>
      <c r="P6" s="40"/>
      <c r="Q6" s="40"/>
      <c r="R6" s="40"/>
      <c r="S6" s="43">
        <v>1.0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33" t="s">
        <v>37</v>
      </c>
      <c r="C7" s="38">
        <v>0.0</v>
      </c>
      <c r="D7" s="39">
        <v>0.0</v>
      </c>
      <c r="E7" s="40"/>
      <c r="F7" s="40"/>
      <c r="G7" s="38">
        <v>0.0</v>
      </c>
      <c r="H7" s="38">
        <v>0.0</v>
      </c>
      <c r="I7" s="41">
        <v>0.0</v>
      </c>
      <c r="J7" s="42"/>
      <c r="K7" s="38">
        <v>0.0</v>
      </c>
      <c r="L7" s="40"/>
      <c r="M7" s="40"/>
      <c r="N7" s="40"/>
      <c r="O7" s="40"/>
      <c r="P7" s="40"/>
      <c r="Q7" s="40"/>
      <c r="R7" s="40"/>
      <c r="S7" s="43">
        <v>1.0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33</v>
      </c>
      <c r="C6" s="33" t="s">
        <v>38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39</v>
      </c>
      <c r="F6" s="12" t="s">
        <v>40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SetPTTPreference3!$4:$4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4" t="s">
        <v>26</v>
      </c>
      <c r="D6" s="35" t="s">
        <v>27</v>
      </c>
      <c r="E6" s="36">
        <v>10.0</v>
      </c>
      <c r="F6" s="36">
        <v>10.0</v>
      </c>
      <c r="G6" s="34" t="s">
        <v>28</v>
      </c>
      <c r="H6" s="8"/>
      <c r="I6" s="12"/>
      <c r="J6" s="8"/>
      <c r="K6" s="12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5" t="s">
        <v>29</v>
      </c>
      <c r="C6" s="38">
        <v>0.0</v>
      </c>
      <c r="D6" s="39">
        <v>0.0</v>
      </c>
      <c r="E6" s="40"/>
      <c r="F6" s="40"/>
      <c r="G6" s="38">
        <v>0.0</v>
      </c>
      <c r="H6" s="38">
        <v>0.0</v>
      </c>
      <c r="I6" s="41">
        <v>0.0</v>
      </c>
      <c r="J6" s="42"/>
      <c r="K6" s="38">
        <v>0.0</v>
      </c>
      <c r="L6" s="40"/>
      <c r="M6" s="40"/>
      <c r="N6" s="40"/>
      <c r="O6" s="40"/>
      <c r="P6" s="40"/>
      <c r="Q6" s="40"/>
      <c r="R6" s="40"/>
      <c r="S6" s="43">
        <v>1.0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33" t="s">
        <v>41</v>
      </c>
      <c r="C7" s="38">
        <v>0.0</v>
      </c>
      <c r="D7" s="39">
        <v>0.0</v>
      </c>
      <c r="E7" s="40"/>
      <c r="F7" s="40"/>
      <c r="G7" s="38">
        <v>0.0</v>
      </c>
      <c r="H7" s="38">
        <v>0.0</v>
      </c>
      <c r="I7" s="41">
        <v>0.0</v>
      </c>
      <c r="J7" s="42"/>
      <c r="K7" s="38">
        <v>0.0</v>
      </c>
      <c r="L7" s="40"/>
      <c r="M7" s="40"/>
      <c r="N7" s="40"/>
      <c r="O7" s="40"/>
      <c r="P7" s="40"/>
      <c r="Q7" s="40"/>
      <c r="R7" s="40"/>
      <c r="S7" s="43">
        <v>1.0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33</v>
      </c>
      <c r="C6" s="33" t="s">
        <v>42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IFERROR(__xludf.DUMMYFUNCTION("""COMPUTED_VALUE"""),"Add/Subtract/Set")</f>
        <v>Add/Subtract/Set</v>
      </c>
      <c r="C5" s="27" t="str">
        <f>IFERROR(__xludf.DUMMYFUNCTION("""COMPUTED_VALUE"""),"Type")</f>
        <v>Type</v>
      </c>
      <c r="D5" s="27" t="str">
        <f>IFERROR(__xludf.DUMMYFUNCTION("""COMPUTED_VALUE"""),"Combined Account Total")</f>
        <v>Combined Account Total</v>
      </c>
      <c r="E5" s="27" t="str">
        <f>IFERROR(__xludf.DUMMYFUNCTION("""COMPUTED_VALUE"""),"MasterFund/Account")</f>
        <v>MasterFund/Account</v>
      </c>
      <c r="F5" s="28" t="str">
        <f>IFERROR(__xludf.DUMMYFUNCTION("""COMPUTED_VALUE"""),"Accounts")</f>
        <v>Accounts</v>
      </c>
      <c r="G5" s="27" t="str">
        <f>IFERROR(__xludf.DUMMYFUNCTION("""COMPUTED_VALUE"""),"Increase Decimal Digits")</f>
        <v>Increase Decimal Digits</v>
      </c>
      <c r="H5" s="27" t="str">
        <f>IFERROR(__xludf.DUMMYFUNCTION("""COMPUTED_VALUE"""),"ChkRemoveAccountsWithZeroNAV")</f>
        <v>ChkRemoveAccountsWithZeroNAV</v>
      </c>
      <c r="I5" s="27" t="str">
        <f>IFERROR(__xludf.DUMMYFUNCTION("""COMPUTED_VALUE"""),"Default Symbology")</f>
        <v>Default Symbology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39</v>
      </c>
      <c r="F6" s="12" t="s">
        <v>43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SetPTTPreference4!$4:$4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34" t="s">
        <v>26</v>
      </c>
      <c r="D6" s="35" t="s">
        <v>27</v>
      </c>
      <c r="E6" s="36">
        <v>10.0</v>
      </c>
      <c r="F6" s="36">
        <v>10.0</v>
      </c>
      <c r="G6" s="34" t="s">
        <v>28</v>
      </c>
      <c r="H6" s="8"/>
      <c r="I6" s="12"/>
      <c r="J6" s="8"/>
      <c r="K6" s="12" t="s">
        <v>28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7"/>
      <c r="B6" s="35" t="s">
        <v>29</v>
      </c>
      <c r="C6" s="38">
        <v>0.0</v>
      </c>
      <c r="D6" s="39">
        <v>0.0</v>
      </c>
      <c r="E6" s="40"/>
      <c r="F6" s="40"/>
      <c r="G6" s="38">
        <v>0.0</v>
      </c>
      <c r="H6" s="38">
        <v>0.0</v>
      </c>
      <c r="I6" s="41">
        <v>0.0</v>
      </c>
      <c r="J6" s="42"/>
      <c r="K6" s="38">
        <v>0.0</v>
      </c>
      <c r="L6" s="40"/>
      <c r="M6" s="40"/>
      <c r="N6" s="40"/>
      <c r="O6" s="40"/>
      <c r="P6" s="40"/>
      <c r="Q6" s="40"/>
      <c r="R6" s="40"/>
      <c r="S6" s="43">
        <v>1.0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7"/>
      <c r="B7" s="33" t="s">
        <v>41</v>
      </c>
      <c r="C7" s="38">
        <v>0.0</v>
      </c>
      <c r="D7" s="39">
        <v>0.0</v>
      </c>
      <c r="E7" s="40"/>
      <c r="F7" s="40"/>
      <c r="G7" s="38">
        <v>0.0</v>
      </c>
      <c r="H7" s="38">
        <v>0.0</v>
      </c>
      <c r="I7" s="41">
        <v>0.0</v>
      </c>
      <c r="J7" s="42"/>
      <c r="K7" s="38">
        <v>0.0</v>
      </c>
      <c r="L7" s="40"/>
      <c r="M7" s="40"/>
      <c r="N7" s="40"/>
      <c r="O7" s="40"/>
      <c r="P7" s="40"/>
      <c r="Q7" s="40"/>
      <c r="R7" s="40"/>
      <c r="S7" s="43">
        <v>1.0</v>
      </c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37"/>
      <c r="B8" s="33" t="s">
        <v>44</v>
      </c>
      <c r="C8" s="38">
        <v>0.0</v>
      </c>
      <c r="D8" s="39">
        <v>0.0</v>
      </c>
      <c r="E8" s="40"/>
      <c r="F8" s="40"/>
      <c r="G8" s="38">
        <v>0.0</v>
      </c>
      <c r="H8" s="38">
        <v>0.0</v>
      </c>
      <c r="I8" s="41">
        <v>0.0</v>
      </c>
      <c r="J8" s="42"/>
      <c r="K8" s="38">
        <v>0.0</v>
      </c>
      <c r="L8" s="40"/>
      <c r="M8" s="40"/>
      <c r="N8" s="40"/>
      <c r="O8" s="40"/>
      <c r="P8" s="40"/>
      <c r="Q8" s="40"/>
      <c r="R8" s="40"/>
      <c r="S8" s="43">
        <v>1.0</v>
      </c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37"/>
      <c r="B9" s="33" t="s">
        <v>45</v>
      </c>
      <c r="C9" s="38">
        <v>0.0</v>
      </c>
      <c r="D9" s="39">
        <v>0.0</v>
      </c>
      <c r="E9" s="40"/>
      <c r="F9" s="40"/>
      <c r="G9" s="38">
        <v>0.0</v>
      </c>
      <c r="H9" s="38">
        <v>0.0</v>
      </c>
      <c r="I9" s="41">
        <v>0.0</v>
      </c>
      <c r="J9" s="42"/>
      <c r="K9" s="38">
        <v>0.0</v>
      </c>
      <c r="L9" s="40"/>
      <c r="M9" s="40"/>
      <c r="N9" s="40"/>
      <c r="O9" s="40"/>
      <c r="P9" s="40"/>
      <c r="Q9" s="40"/>
      <c r="R9" s="40"/>
      <c r="S9" s="43">
        <v>1.0</v>
      </c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33</v>
      </c>
      <c r="C6" s="33" t="s">
        <v>46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SavePageView4!$4:$4</formula1>
    </dataValidation>
  </dataValidations>
  <drawing r:id="rId1"/>
</worksheet>
</file>