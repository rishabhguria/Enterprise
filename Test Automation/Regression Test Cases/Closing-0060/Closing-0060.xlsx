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VerifyShortPositionsGrid" sheetId="7" r:id="rId9"/>
    <sheet state="visible" name="AutomaticClosing" sheetId="8" r:id="rId10"/>
    <sheet state="visible" name="VerifyClosedTrades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<sst xmlns="http://schemas.openxmlformats.org/spreadsheetml/2006/main" count="112" uniqueCount="38">
  <si>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</si>
  <si>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</si>
  <si>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</si>
  <si>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</si>
  <si>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</si>
  <si>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</si>
  <si>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</si>
  <si>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</si>
  <si>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</si>
  <si>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</si>
  <si>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</si>
  <si>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</si>
  <si>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</si>
  <si>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</si>
  <si>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</si>
  <si>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</si>
  <si>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</si>
  <si>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</si>
  <si>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</si>
  <si>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Sell</t>
  </si>
  <si>
    <t>Closing</t>
  </si>
  <si>
    <t>GetDataClosing</t>
  </si>
  <si>
    <t>Current</t>
  </si>
  <si>
    <t>VerifyLongPositionsGrid</t>
  </si>
  <si>
    <t>Equity</t>
  </si>
  <si>
    <t>VerifyShortPositionsGrid</t>
  </si>
  <si>
    <t>AutomaticClosing</t>
  </si>
  <si>
    <t>BTAX</t>
  </si>
  <si>
    <t>None</t>
  </si>
  <si>
    <t>Default</t>
  </si>
  <si>
    <t>VerifyClosedTrades</t>
  </si>
  <si>
    <t>Strategy Unallocated</t>
  </si>
  <si>
    <t>Long</t>
  </si>
  <si>
    <t>Allocation</t>
  </si>
  <si>
    <t>GetDataAllocation</t>
  </si>
  <si>
    <t>CheckAllocatedGroups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</si>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</sst>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2" numFmtId="14" xfId="0" applyFont="1" applyNumberForma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16</v>
      </c>
      <c r="C6" s="12" t="s">
        <v>17</v>
      </c>
      <c r="D6" s="12">
        <v>120.0</v>
      </c>
      <c r="E6" s="8"/>
      <c r="F6" s="12" t="s">
        <v>18</v>
      </c>
      <c r="G6" s="8"/>
      <c r="H6" s="8"/>
      <c r="I6" s="8"/>
      <c r="J6" s="12">
        <v>15.0</v>
      </c>
      <c r="K6" s="8"/>
      <c r="L6" s="8"/>
      <c r="M6" s="8"/>
      <c r="N6" s="30">
        <f t="shared" ref="N6:N7" si="1">Today()</f>
        <v>45856</v>
      </c>
      <c r="O6" s="8"/>
    </row>
    <row r="7" ht="15.75" customHeight="1">
      <c r="A7" s="8"/>
      <c r="B7" s="12" t="s">
        <v>16</v>
      </c>
      <c r="C7" s="12" t="s">
        <v>19</v>
      </c>
      <c r="D7" s="12">
        <v>100.0</v>
      </c>
      <c r="E7" s="8"/>
      <c r="F7" s="12" t="s">
        <v>18</v>
      </c>
      <c r="G7" s="8"/>
      <c r="H7" s="8"/>
      <c r="I7" s="8"/>
      <c r="J7" s="12">
        <v>15.0</v>
      </c>
      <c r="K7" s="8"/>
      <c r="L7" s="8"/>
      <c r="M7" s="8"/>
      <c r="N7" s="30">
        <f t="shared" si="1"/>
        <v>45856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 t="str">
        <f>IFERROR(__xludf.DUMMYFUNCTION("""COMPUTED_VALUE"""),"CustomUDA1")</f>
        <v>CustomUDA1</v>
      </c>
      <c r="AC5" s="29" t="str">
        <f>IFERROR(__xludf.DUMMYFUNCTION("""COMPUTED_VALUE"""),"CustomUDA2")</f>
        <v>CustomUDA2</v>
      </c>
      <c r="AD5" s="29" t="str">
        <f>IFERROR(__xludf.DUMMYFUNCTION("""COMPUTED_VALUE"""),"CustomUDA3")</f>
        <v>CustomUDA3</v>
      </c>
      <c r="AE5" s="29" t="str">
        <f>IFERROR(__xludf.DUMMYFUNCTION("""COMPUTED_VALUE"""),"CustomUDA4")</f>
        <v>CustomUDA4</v>
      </c>
      <c r="AF5" s="29" t="str">
        <f>IFERROR(__xludf.DUMMYFUNCTION("""COMPUTED_VALUE"""),"CustomUDA5")</f>
        <v>CustomUDA5</v>
      </c>
      <c r="AG5" s="29" t="str">
        <f>IFERROR(__xludf.DUMMYFUNCTION("""COMPUTED_VALUE"""),"CustomUDA6")</f>
        <v>CustomUDA6</v>
      </c>
      <c r="AH5" s="29" t="str">
        <f>IFERROR(__xludf.DUMMYFUNCTION("""COMPUTED_VALUE"""),"CustomUDA7")</f>
        <v>CustomUDA7</v>
      </c>
      <c r="AI5" s="29" t="str">
        <f>IFERROR(__xludf.DUMMYFUNCTION("""COMPUTED_VALUE"""),"CustomUDA8")</f>
        <v>CustomUDA8</v>
      </c>
      <c r="AJ5" s="29" t="str">
        <f>IFERROR(__xludf.DUMMYFUNCTION("""COMPUTED_VALUE"""),"CustomUDA9")</f>
        <v>CustomUDA9</v>
      </c>
      <c r="AK5" s="29" t="str">
        <f>IFERROR(__xludf.DUMMYFUNCTION("""COMPUTED_VALUE"""),"CustomUDA10")</f>
        <v>CustomUDA10</v>
      </c>
      <c r="AL5" s="29" t="str">
        <f>IFERROR(__xludf.DUMMYFUNCTION("""COMPUTED_VALUE"""),"CustomUDA11")</f>
        <v>CustomUDA11</v>
      </c>
      <c r="AM5" s="29" t="str">
        <f>IFERROR(__xludf.DUMMYFUNCTION("""COMPUTED_VALUE"""),"CustomUDA12")</f>
        <v>CustomUDA12</v>
      </c>
      <c r="AN5" s="29" t="str">
        <f>IFERROR(__xludf.DUMMYFUNCTION("""COMPUTED_VALUE"""),"MandatoryColumn")</f>
        <v>MandatoryColumn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18</v>
      </c>
      <c r="C6" s="12" t="s">
        <v>24</v>
      </c>
      <c r="D6" s="8"/>
      <c r="E6" s="8"/>
      <c r="F6" s="8"/>
      <c r="G6" s="8"/>
      <c r="H6" s="12">
        <v>1814.0</v>
      </c>
      <c r="I6" s="12">
        <v>15.0</v>
      </c>
      <c r="J6" s="30">
        <f>today()</f>
        <v>45856</v>
      </c>
      <c r="K6" s="8"/>
      <c r="L6" s="8"/>
      <c r="M6" s="12">
        <v>120.0</v>
      </c>
      <c r="N6" s="8"/>
      <c r="O6" s="8"/>
      <c r="P6" s="9" t="s">
        <v>17</v>
      </c>
      <c r="R6" s="9" t="s">
        <v>16</v>
      </c>
      <c r="T6" s="9">
        <v>14.0</v>
      </c>
      <c r="U6" s="31">
        <f>today()</f>
        <v>45856</v>
      </c>
      <c r="X6" s="9">
        <v>15.116675</v>
      </c>
      <c r="Y6" s="9">
        <v>15.12</v>
      </c>
      <c r="Z6" s="9">
        <v>15.0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 t="str">
        <f>IFERROR(__xludf.DUMMYFUNCTION("""COMPUTED_VALUE"""),"MandatoryColumn")</f>
        <v>MandatoryColumn</v>
      </c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18</v>
      </c>
      <c r="C6" s="12" t="s">
        <v>24</v>
      </c>
      <c r="D6" s="8"/>
      <c r="E6" s="8"/>
      <c r="F6" s="8"/>
      <c r="G6" s="8"/>
      <c r="H6" s="12">
        <v>1486.0</v>
      </c>
      <c r="I6" s="12">
        <v>15.0</v>
      </c>
      <c r="J6" s="30">
        <f>today()</f>
        <v>45856</v>
      </c>
      <c r="K6" s="8"/>
      <c r="L6" s="8"/>
      <c r="M6" s="12">
        <v>100.0</v>
      </c>
      <c r="N6" s="8"/>
      <c r="O6" s="8"/>
      <c r="P6" s="9" t="s">
        <v>19</v>
      </c>
      <c r="R6" s="9" t="s">
        <v>16</v>
      </c>
      <c r="T6" s="9">
        <v>14.0</v>
      </c>
      <c r="U6" s="31">
        <f>TODAY()</f>
        <v>45856</v>
      </c>
      <c r="X6" s="9">
        <v>14.859992</v>
      </c>
      <c r="Y6" s="9">
        <v>14.86</v>
      </c>
      <c r="Z6" s="9">
        <v>15.0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b">
        <v>0</v>
      </c>
      <c r="C6" s="33" t="b">
        <v>1</v>
      </c>
      <c r="D6" s="34" t="s">
        <v>27</v>
      </c>
      <c r="E6" s="35" t="s">
        <v>28</v>
      </c>
      <c r="F6" s="35" t="s">
        <v>29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 t="str">
        <f>IFERROR(__xludf.DUMMYFUNCTION("""COMPUTED_VALUE"""),"isRowCountCheck")</f>
        <v>isRowCountCheck</v>
      </c>
      <c r="AI5" s="29" t="str">
        <f>IFERROR(__xludf.DUMMYFUNCTION("""COMPUTED_VALUE"""),"MandatoryColumn")</f>
        <v>MandatoryColumn</v>
      </c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0">
        <f>Today()</f>
        <v>45856</v>
      </c>
      <c r="D6" s="12" t="s">
        <v>18</v>
      </c>
      <c r="E6" s="12" t="s">
        <v>31</v>
      </c>
      <c r="F6" s="12" t="s">
        <v>32</v>
      </c>
      <c r="G6" s="12" t="s">
        <v>24</v>
      </c>
      <c r="H6" s="12" t="s">
        <v>16</v>
      </c>
      <c r="I6" s="12">
        <v>100.0</v>
      </c>
      <c r="J6" s="12">
        <v>15.0</v>
      </c>
      <c r="K6" s="12">
        <v>15.0</v>
      </c>
      <c r="L6" s="12">
        <v>14.0</v>
      </c>
      <c r="M6" s="12">
        <v>-25.67</v>
      </c>
      <c r="N6" s="8"/>
      <c r="O6" s="8"/>
      <c r="P6" s="9">
        <v>11.67</v>
      </c>
      <c r="T6" s="31">
        <f>Today()</f>
        <v>45856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18</v>
      </c>
      <c r="C6" s="12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BJ6" s="9">
        <v>120.0</v>
      </c>
      <c r="BO6" s="9" t="s">
        <v>17</v>
      </c>
      <c r="BT6" s="9" t="s">
        <v>16</v>
      </c>
    </row>
    <row r="7" ht="15.75" customHeight="1">
      <c r="A7" s="8"/>
      <c r="B7" s="12" t="s">
        <v>18</v>
      </c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J7" s="9">
        <v>100.0</v>
      </c>
      <c r="BO7" s="9" t="s">
        <v>19</v>
      </c>
      <c r="BT7" s="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8"/>
      <c r="B6" s="8"/>
      <c r="C6" s="12" t="s">
        <v>16</v>
      </c>
      <c r="D6" s="12">
        <v>120.0</v>
      </c>
      <c r="E6" s="12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24</v>
      </c>
      <c r="X6" s="9">
        <v>1.0</v>
      </c>
      <c r="AN6" s="9" t="s">
        <v>17</v>
      </c>
    </row>
    <row r="7" ht="15.75" customHeight="1">
      <c r="A7" s="8"/>
      <c r="B7" s="8"/>
      <c r="C7" s="12" t="s">
        <v>16</v>
      </c>
      <c r="D7" s="12">
        <v>-100.0</v>
      </c>
      <c r="E7" s="12" t="s">
        <v>18</v>
      </c>
      <c r="F7" s="8"/>
      <c r="G7" s="8"/>
      <c r="H7" s="8"/>
      <c r="I7" s="8"/>
      <c r="J7" s="8"/>
      <c r="K7" s="8"/>
      <c r="L7" s="8"/>
      <c r="M7" s="8"/>
      <c r="N7" s="8"/>
      <c r="O7" s="8"/>
      <c r="T7" s="9" t="s">
        <v>24</v>
      </c>
      <c r="X7" s="9">
        <v>1.0</v>
      </c>
      <c r="AN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