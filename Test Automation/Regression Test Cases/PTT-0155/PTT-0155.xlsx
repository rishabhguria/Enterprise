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CalculatePTT" sheetId="8" r:id="rId10"/>
    <sheet state="visible" name="VerifyPTT" sheetId="9" r:id="rId11"/>
    <sheet state="visible" name="SetPTTPreference" sheetId="10" r:id="rId12"/>
    <sheet state="visible" name="CalculatePTT1" sheetId="11" r:id="rId13"/>
    <sheet state="visible" name="VerifyPTT1" sheetId="12" r:id="rId14"/>
  </sheets>
  <definedNames/>
  <calcPr/>
</workbook>
</file>

<file path=xl/sharedStrings.xml><?xml version="1.0" encoding="utf-8"?>
<sst xmlns="http://schemas.openxmlformats.org/spreadsheetml/2006/main" count="100" uniqueCount="36">
  <si>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</si>
  <si>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</si>
  <si>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</si>
  <si>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</si>
  <si>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</si>
  <si>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</si>
  <si>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</si>
  <si>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</si>
  <si>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</si>
  <si>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</si>
  <si>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</si>
  <si>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</si>
  <si>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</si>
  <si>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</si>
  <si>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</si>
  <si>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</si>
  <si>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</si>
  <si>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</si>
  <si>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Allocation4</t>
  </si>
  <si>
    <t>PricingInput</t>
  </si>
  <si>
    <t>DailyValuation</t>
  </si>
  <si>
    <t>GetDailyCash</t>
  </si>
  <si>
    <t>UpdateMultipleDailyCash</t>
  </si>
  <si>
    <t>Allocation1</t>
  </si>
  <si>
    <t>USD</t>
  </si>
  <si>
    <t>Allocation3</t>
  </si>
  <si>
    <t>PTT</t>
  </si>
  <si>
    <t>CalculatePTT</t>
  </si>
  <si>
    <t>Increase</t>
  </si>
  <si>
    <t>Percentage</t>
  </si>
  <si>
    <t>No</t>
  </si>
  <si>
    <t>Account</t>
  </si>
  <si>
    <t>Allocation1,Allocation2,Allocation3</t>
  </si>
  <si>
    <t>VerifyPTT</t>
  </si>
  <si>
    <t>Allocation2</t>
  </si>
  <si>
    <t>SetPTTPreference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</si>
</sst>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6" fontId="14" numFmtId="0" xfId="0" applyAlignment="1" applyFill="1" applyFont="1">
      <alignment horizontal="right" vertical="bottom"/>
    </xf>
    <xf borderId="0" fillId="6" fontId="14" numFmtId="0" xfId="0" applyAlignment="1" applyFont="1">
      <alignment vertical="bottom"/>
    </xf>
    <xf borderId="0" fillId="6" fontId="14" numFmtId="0" xfId="0" applyAlignment="1" applyFont="1">
      <alignment horizontal="right" vertical="bottom"/>
    </xf>
    <xf borderId="0" fillId="0" fontId="5" numFmtId="0" xfId="0" applyAlignment="1" applyFont="1">
      <alignment shrinkToFit="0" vertical="bottom" wrapText="0"/>
    </xf>
    <xf borderId="0" fillId="0" fontId="15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1.0</v>
      </c>
      <c r="E6" s="32"/>
      <c r="F6" s="32" t="s">
        <v>18</v>
      </c>
      <c r="G6" s="32"/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16</v>
      </c>
      <c r="C6" s="34">
        <v>140.0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>
        <f>TODAY()-1</f>
        <v>45159</v>
      </c>
      <c r="C6" s="37">
        <f>TODAY()</f>
        <v>45160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23</v>
      </c>
      <c r="C6" s="38" t="s">
        <v>24</v>
      </c>
      <c r="D6" s="39">
        <v>-324334.0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25</v>
      </c>
      <c r="C7" s="38" t="s">
        <v>24</v>
      </c>
      <c r="D7" s="41">
        <v>845757.0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8" t="s">
        <v>28</v>
      </c>
      <c r="D6" s="31" t="s">
        <v>29</v>
      </c>
      <c r="E6" s="34">
        <v>30.0</v>
      </c>
      <c r="F6" s="38"/>
      <c r="G6" s="38" t="s">
        <v>30</v>
      </c>
      <c r="H6" s="38" t="s">
        <v>31</v>
      </c>
      <c r="I6" s="42" t="s">
        <v>32</v>
      </c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3" t="s">
        <v>23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4">
        <v>1.0</v>
      </c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44" t="s">
        <v>34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4">
        <v>1.0</v>
      </c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44" t="s">
        <v>25</v>
      </c>
      <c r="C8" s="32"/>
      <c r="D8" s="32"/>
      <c r="E8" s="32"/>
      <c r="F8" s="32"/>
      <c r="G8" s="32"/>
      <c r="H8" s="32"/>
      <c r="I8" s="32"/>
      <c r="J8" s="32"/>
      <c r="K8" s="32"/>
      <c r="L8" s="32"/>
      <c r="M8" s="34">
        <v>1.0</v>
      </c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IFERROR(__xludf.DUMMYFUNCTION("""COMPUTED_VALUE"""),"Add/Subtract/Set")</f>
        <v>Add/Subtract/Set</v>
      </c>
      <c r="C5" s="28" t="str">
        <f>IFERROR(__xludf.DUMMYFUNCTION("""COMPUTED_VALUE"""),"Type")</f>
        <v>Type</v>
      </c>
      <c r="D5" s="28" t="str">
        <f>IFERROR(__xludf.DUMMYFUNCTION("""COMPUTED_VALUE"""),"Combined Account Total")</f>
        <v>Combined Account Total</v>
      </c>
      <c r="E5" s="28" t="str">
        <f>IFERROR(__xludf.DUMMYFUNCTION("""COMPUTED_VALUE"""),"MasterFund/Account")</f>
        <v>MasterFund/Account</v>
      </c>
      <c r="F5" s="29" t="str">
        <f>IFERROR(__xludf.DUMMYFUNCTION("""COMPUTED_VALUE"""),"Accounts")</f>
        <v>Accounts</v>
      </c>
      <c r="G5" s="28" t="str">
        <f>IFERROR(__xludf.DUMMYFUNCTION("""COMPUTED_VALUE"""),"Increase Decimal Digits")</f>
        <v>Increase Decimal Digits</v>
      </c>
      <c r="H5" s="28" t="str">
        <f>IFERROR(__xludf.DUMMYFUNCTION("""COMPUTED_VALUE"""),"ChkRemoveAccountsWithZeroNAV")</f>
        <v>ChkRemoveAccountsWithZeroNAV</v>
      </c>
      <c r="I5" s="28" t="str">
        <f>IFERROR(__xludf.DUMMYFUNCTION("""COMPUTED_VALUE"""),"Default Symbology")</f>
        <v>Default Symbology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45" t="b">
        <v>1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SetPTTPreference!$4:$4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8" t="s">
        <v>28</v>
      </c>
      <c r="D6" s="31" t="s">
        <v>29</v>
      </c>
      <c r="E6" s="34">
        <v>30.0</v>
      </c>
      <c r="F6" s="38"/>
      <c r="G6" s="38" t="s">
        <v>30</v>
      </c>
      <c r="H6" s="38" t="s">
        <v>31</v>
      </c>
      <c r="I6" s="42" t="s">
        <v>32</v>
      </c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3" t="s">
        <v>23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4">
        <v>1.0</v>
      </c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44" t="s">
        <v>34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4">
        <v>1.0</v>
      </c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44" t="s">
        <v>25</v>
      </c>
      <c r="C8" s="32"/>
      <c r="D8" s="32"/>
      <c r="E8" s="32"/>
      <c r="F8" s="32"/>
      <c r="G8" s="32"/>
      <c r="H8" s="32"/>
      <c r="I8" s="32"/>
      <c r="J8" s="32"/>
      <c r="K8" s="32"/>
      <c r="L8" s="32"/>
      <c r="M8" s="34">
        <v>1.0</v>
      </c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