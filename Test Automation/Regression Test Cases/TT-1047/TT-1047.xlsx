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uecVenueExchange" sheetId="4" r:id="rId6"/>
    <sheet state="visible" name="SetAuecExecutingBroker" sheetId="5" r:id="rId7"/>
    <sheet state="visible" name="SetDollarAmountPermission" sheetId="6" r:id="rId8"/>
    <sheet state="visible" name="SetCompliancePermission" sheetId="7" r:id="rId9"/>
    <sheet state="visible" name="CustomOrderTT" sheetId="8" r:id="rId10"/>
    <sheet state="visible" name="GetDailyCash" sheetId="9" r:id="rId11"/>
    <sheet state="visible" name="UpdateMultipleDailyCash" sheetId="10" r:id="rId12"/>
    <sheet state="visible" name="SetGeneralPreference" sheetId="11" r:id="rId13"/>
    <sheet state="visible" name="AddCalculatedPreferences" sheetId="12" r:id="rId14"/>
    <sheet state="visible" name="SetAccountValueCalculatedPref" sheetId="13" r:id="rId15"/>
    <sheet state="visible" name="SetDefaultRuleCalculatedPref" sheetId="14" r:id="rId16"/>
    <sheet state="visible" name="CustomOrderTT1" sheetId="15" r:id="rId17"/>
    <sheet state="visible" name="CalculatePTT" sheetId="16" r:id="rId18"/>
  </sheets>
  <definedNames/>
  <calcPr/>
</workbook>
</file>

<file path=xl/sharedStrings.xml><?xml version="1.0" encoding="utf-8"?>
<sst xmlns="http://schemas.openxmlformats.org/spreadsheetml/2006/main" count="134" uniqueCount="50">
  <si>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</si>
  <si>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</si>
  <si>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</si>
  <si>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</si>
  <si>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</si>
  <si>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</si>
  <si>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</si>
  <si>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</si>
  <si>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</si>
  <si>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</si>
  <si>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</si>
  <si>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</si>
  <si>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</si>
  <si>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AuecVenueExchange</t>
  </si>
  <si>
    <t>Data Format</t>
  </si>
  <si>
    <t>Input Format</t>
  </si>
  <si>
    <t>SetAuecExecutingBroker</t>
  </si>
  <si>
    <t>Allocation1</t>
  </si>
  <si>
    <t>MS</t>
  </si>
  <si>
    <t>Allocation2</t>
  </si>
  <si>
    <t>GS</t>
  </si>
  <si>
    <t>SetDollarAmountPermission</t>
  </si>
  <si>
    <t>SetCompliancePermission</t>
  </si>
  <si>
    <t>TradeQuantity-123</t>
  </si>
  <si>
    <t>REQUIRES APPROVAL</t>
  </si>
  <si>
    <t>TradingTicket</t>
  </si>
  <si>
    <t>CustomOrderTT</t>
  </si>
  <si>
    <t>AAPL</t>
  </si>
  <si>
    <t>DoneAway</t>
  </si>
  <si>
    <t>Sell short</t>
  </si>
  <si>
    <t>DailyValuation</t>
  </si>
  <si>
    <t>GetDailyCash</t>
  </si>
  <si>
    <t>UpdateMultipleDailyCash</t>
  </si>
  <si>
    <t>USD</t>
  </si>
  <si>
    <t>SetGeneralPreference</t>
  </si>
  <si>
    <t>Allocation</t>
  </si>
  <si>
    <t>AddCalculatedPreferences</t>
  </si>
  <si>
    <t>Test1</t>
  </si>
  <si>
    <t>SetAccountValueCalculatedPref</t>
  </si>
  <si>
    <t>Allocation3</t>
  </si>
  <si>
    <t>Allocation4</t>
  </si>
  <si>
    <t>SetDefaultRuleCalculatedPref</t>
  </si>
  <si>
    <t>Trade Quantity</t>
  </si>
  <si>
    <t>Current Preference</t>
  </si>
  <si>
    <t>PTT</t>
  </si>
  <si>
    <t>CalculatePTT</t>
  </si>
  <si>
    <t>Increase</t>
  </si>
  <si>
    <t>Amt</t>
  </si>
  <si>
    <t>Account</t>
  </si>
  <si>
    <t>Allocation1,Allocation2,Allocation3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</si>
</sst>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IFERROR(__xludf.DUMMYFUNCTION("""COMPUTED_VALUE"""),"FromTableVenueID")</f>
        <v>FromTableVenueID</v>
      </c>
      <c r="C5" s="28" t="str">
        <f>IFERROR(__xludf.DUMMYFUNCTION("""COMPUTED_VALUE"""),"ToTableVenueID")</f>
        <v>ToTableVenueID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v>1.0</v>
      </c>
      <c r="C6" s="31">
        <v>103.0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AuecVenueExchange!$4:$4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17</v>
      </c>
      <c r="C6" s="13" t="s">
        <v>18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19</v>
      </c>
      <c r="C7" s="13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b">
        <v>1</v>
      </c>
      <c r="C6" s="34" t="b">
        <v>1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SetDollarAmountPermission!$4:$4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23</v>
      </c>
      <c r="C6" s="33" t="s">
        <v>24</v>
      </c>
      <c r="D6" s="31">
        <v>17.0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>
        <v>1000.0</v>
      </c>
      <c r="D6" s="13">
        <v>2.0</v>
      </c>
      <c r="E6" s="13" t="s">
        <v>28</v>
      </c>
      <c r="F6" s="8"/>
      <c r="G6" s="13" t="b">
        <v>1</v>
      </c>
      <c r="H6" s="8"/>
      <c r="I6" s="13" t="s">
        <v>17</v>
      </c>
      <c r="J6" s="13" t="s">
        <v>29</v>
      </c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>TODAY()-1</f>
        <v>45910</v>
      </c>
      <c r="C6" s="35">
        <f>TODAY()</f>
        <v>45911</v>
      </c>
      <c r="D6" s="13"/>
      <c r="E6" s="13"/>
      <c r="F6" s="13"/>
      <c r="G6" s="8"/>
      <c r="H6" s="36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17</v>
      </c>
      <c r="C6" s="33" t="s">
        <v>33</v>
      </c>
      <c r="D6" s="31">
        <v>100000.0</v>
      </c>
      <c r="E6" s="13"/>
      <c r="F6" s="13"/>
      <c r="G6" s="8"/>
      <c r="H6" s="36"/>
      <c r="I6" s="13"/>
      <c r="J6" s="13"/>
      <c r="K6" s="8"/>
      <c r="L6" s="8"/>
      <c r="M6" s="8"/>
      <c r="N6" s="8"/>
      <c r="O6" s="8"/>
    </row>
    <row r="7" ht="15.75" customHeight="1">
      <c r="A7" s="13"/>
      <c r="B7" s="33" t="s">
        <v>19</v>
      </c>
      <c r="C7" s="33" t="s">
        <v>33</v>
      </c>
      <c r="D7" s="31">
        <v>100000.0</v>
      </c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36"/>
      <c r="C8" s="36"/>
      <c r="D8" s="37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32"/>
      <c r="F6" s="8"/>
      <c r="G6" s="8"/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36" t="s">
        <v>17</v>
      </c>
      <c r="D6" s="13">
        <v>25.0</v>
      </c>
      <c r="E6" s="32"/>
      <c r="F6" s="8"/>
      <c r="G6" s="8"/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37</v>
      </c>
      <c r="C7" s="36" t="s">
        <v>19</v>
      </c>
      <c r="D7" s="13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37</v>
      </c>
      <c r="C8" s="36" t="s">
        <v>39</v>
      </c>
      <c r="D8" s="13">
        <v>25.0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37</v>
      </c>
      <c r="C9" s="36" t="s">
        <v>40</v>
      </c>
      <c r="D9" s="13">
        <v>25.0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3" t="s">
        <v>42</v>
      </c>
      <c r="C6" s="39"/>
      <c r="D6" s="33" t="s">
        <v>43</v>
      </c>
      <c r="E6" s="39"/>
      <c r="F6" s="39"/>
      <c r="G6" s="39"/>
      <c r="H6" s="33" t="s">
        <v>37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13"/>
      <c r="C7" s="36"/>
      <c r="D7" s="1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36"/>
      <c r="D8" s="13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36"/>
      <c r="D9" s="13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2.0</v>
      </c>
      <c r="E6" s="13" t="s">
        <v>28</v>
      </c>
      <c r="F6" s="8"/>
      <c r="G6" s="13" t="b">
        <v>1</v>
      </c>
      <c r="H6" s="8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46</v>
      </c>
      <c r="D6" s="13" t="s">
        <v>47</v>
      </c>
      <c r="E6" s="13">
        <v>100.0</v>
      </c>
      <c r="F6" s="13">
        <v>2.0</v>
      </c>
      <c r="G6" s="13"/>
      <c r="H6" s="33" t="s">
        <v>48</v>
      </c>
      <c r="I6" s="34" t="s">
        <v>49</v>
      </c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