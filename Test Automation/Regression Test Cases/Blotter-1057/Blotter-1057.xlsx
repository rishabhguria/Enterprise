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tGeneralPreferences" sheetId="5" r:id="rId7"/>
    <sheet state="visible" name="RunProrata" sheetId="6" r:id="rId8"/>
    <sheet state="visible" name="CustomOrderTT1" sheetId="7" r:id="rId9"/>
    <sheet state="visible" name="CaptureHotButtonDetails" sheetId="8" r:id="rId10"/>
    <sheet state="visible" name="CreateHotButtonOnBlotter" sheetId="9" r:id="rId11"/>
    <sheet state="visible" name="FillHBdetailsOnBlotter" sheetId="10" r:id="rId12"/>
    <sheet state="visible" name="EnableOrVerifyHotButton" sheetId="11" r:id="rId13"/>
    <sheet state="visible" name="EnableOrVerifyHotButton1" sheetId="12" r:id="rId14"/>
    <sheet state="visible" name="VerifyTT" sheetId="13" r:id="rId15"/>
    <sheet state="visible" name="CustomOrderTT2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<sst xmlns="http://schemas.openxmlformats.org/spreadsheetml/2006/main" count="148" uniqueCount="48">
  <si>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</si>
  <si>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</si>
  <si>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</si>
  <si>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</si>
  <si>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</si>
  <si>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</si>
  <si>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</si>
  <si>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</si>
  <si>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</si>
  <si>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</si>
  <si>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</si>
  <si>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</si>
  <si>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</si>
  <si>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</si>
  <si>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</si>
  <si>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</si>
  <si>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</si>
  <si>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</si>
  <si>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</si>
  <si>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Allocation1,Allocation2</t>
  </si>
  <si>
    <t>50,50</t>
  </si>
  <si>
    <t>Allocation</t>
  </si>
  <si>
    <t>SetGeneralPreferences</t>
  </si>
  <si>
    <t>Nirvana</t>
  </si>
  <si>
    <t>RunProrata</t>
  </si>
  <si>
    <t>CreateOrder</t>
  </si>
  <si>
    <t>Blotter</t>
  </si>
  <si>
    <t>CaptureHotButtonDetails</t>
  </si>
  <si>
    <t>New</t>
  </si>
  <si>
    <t>CreateHotButtonOnBlotter</t>
  </si>
  <si>
    <t>No Confirmation</t>
  </si>
  <si>
    <t>FillHBdetailsOnBlotter</t>
  </si>
  <si>
    <t>Blank</t>
  </si>
  <si>
    <t>MS</t>
  </si>
  <si>
    <t>Day</t>
  </si>
  <si>
    <t>Market</t>
  </si>
  <si>
    <t>Manual</t>
  </si>
  <si>
    <t>Next</t>
  </si>
  <si>
    <t>EnableOrVerifyHotButton</t>
  </si>
  <si>
    <t>Favorite</t>
  </si>
  <si>
    <t>VerifyTT</t>
  </si>
  <si>
    <t>VerifyOrder</t>
  </si>
  <si>
    <t>N.A.</t>
  </si>
  <si>
    <t>NASDAQ</t>
  </si>
  <si>
    <t>Samsara</t>
  </si>
  <si>
    <t>Equity</t>
  </si>
  <si>
    <t>Multiple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</si>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</sst>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11.0"/>
      <color rgb="FF35C759"/>
      <name val="Calibri"/>
    </font>
    <font>
      <sz val="11.0"/>
      <color rgb="FFAEE9BD"/>
      <name val="Calibri"/>
    </font>
    <font>
      <sz val="11.0"/>
      <color rgb="FF9DC8ED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6" fontId="13" numFmtId="0" xfId="0" applyAlignment="1" applyBorder="1" applyFill="1" applyFont="1">
      <alignment vertical="bottom"/>
    </xf>
    <xf borderId="5" fillId="6" fontId="13" numFmtId="0" xfId="0" applyAlignment="1" applyBorder="1" applyFont="1">
      <alignment readingOrder="0" vertical="bottom"/>
    </xf>
    <xf borderId="5" fillId="6" fontId="14" numFmtId="0" xfId="0" applyAlignment="1" applyBorder="1" applyFont="1">
      <alignment vertical="bottom"/>
    </xf>
    <xf borderId="5" fillId="6" fontId="15" numFmtId="0" xfId="0" applyAlignment="1" applyBorder="1" applyFont="1">
      <alignment vertical="bottom"/>
    </xf>
    <xf borderId="5" fillId="6" fontId="13" numFmtId="0" xfId="0" applyAlignment="1" applyBorder="1" applyFont="1">
      <alignment horizontal="right" vertical="bottom"/>
    </xf>
    <xf borderId="5" fillId="7" fontId="13" numFmtId="0" xfId="0" applyAlignment="1" applyBorder="1" applyFill="1" applyFont="1">
      <alignment vertical="bottom"/>
    </xf>
    <xf borderId="5" fillId="7" fontId="13" numFmtId="0" xfId="0" applyAlignment="1" applyBorder="1" applyFont="1">
      <alignment horizontal="right" vertical="bottom"/>
    </xf>
    <xf borderId="5" fillId="7" fontId="13" numFmtId="0" xfId="0" applyAlignment="1" applyBorder="1" applyFont="1">
      <alignment readingOrder="0" vertical="bottom"/>
    </xf>
    <xf borderId="5" fillId="7" fontId="14" numFmtId="0" xfId="0" applyAlignment="1" applyBorder="1" applyFont="1">
      <alignment vertical="bottom"/>
    </xf>
    <xf borderId="5" fillId="7" fontId="1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2.0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P6" s="9" t="s">
        <v>19</v>
      </c>
      <c r="Q6" s="9" t="s">
        <v>20</v>
      </c>
      <c r="Z6" s="30">
        <f>today()-1</f>
        <v>45959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X6" s="9" t="s">
        <v>23</v>
      </c>
      <c r="Z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IFERROR(__xludf.DUMMYFUNCTION("""COMPUTED_VALUE"""),"SchemeName")</f>
        <v>SchemeName</v>
      </c>
      <c r="D5" s="27" t="str">
        <f>IFERROR(__xludf.DUMMYFUNCTION("""COMPUTED_VALUE"""),"SchemeBasis")</f>
        <v>SchemeBasis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>
        <f>today()-1</f>
        <v>45959</v>
      </c>
      <c r="C6" s="12" t="s">
        <v>23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RunProrata!$4:$4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2.0</v>
      </c>
      <c r="E6" s="12" t="s">
        <v>25</v>
      </c>
      <c r="F6" s="8"/>
      <c r="G6" s="8"/>
      <c r="H6" s="8"/>
      <c r="I6" s="12" t="s">
        <v>23</v>
      </c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CaptureHotButtonDetails!$4:$4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28</v>
      </c>
      <c r="C6" s="34"/>
      <c r="D6" s="35" t="s">
        <v>30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 t="str">
        <f>IFERROR(__xludf.DUMMYFUNCTION("""COMPUTED_VALUE"""),"Cent/BPS")</f>
        <v>Cent/BPS</v>
      </c>
      <c r="Q5" s="27" t="str">
        <f>IFERROR(__xludf.DUMMYFUNCTION("""COMPUTED_VALUE"""),"Ask/Bid/Last/Mid")</f>
        <v>Ask/Bid/Last/Mid</v>
      </c>
      <c r="R5" s="27" t="str">
        <f>IFERROR(__xludf.DUMMYFUNCTION("""COMPUTED_VALUE"""),"Limit Price")</f>
        <v>Limit Price</v>
      </c>
      <c r="S5" s="27" t="str">
        <f>IFERROR(__xludf.DUMMYFUNCTION("""COMPUTED_VALUE"""),"Expiration Date")</f>
        <v>Expiration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16</v>
      </c>
      <c r="C6" s="36">
        <v>100.0</v>
      </c>
      <c r="D6" s="33" t="s">
        <v>32</v>
      </c>
      <c r="E6" s="37" t="s">
        <v>33</v>
      </c>
      <c r="F6" s="34"/>
      <c r="G6" s="37" t="s">
        <v>34</v>
      </c>
      <c r="H6" s="37" t="s">
        <v>35</v>
      </c>
      <c r="I6" s="37" t="s">
        <v>18</v>
      </c>
      <c r="J6" s="37" t="s">
        <v>36</v>
      </c>
      <c r="K6" s="38" t="b">
        <v>1</v>
      </c>
      <c r="L6" s="37" t="s">
        <v>37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FillHBdetailsOnBlotter!$4:$4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9" t="b">
        <v>1</v>
      </c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34"/>
      <c r="D6" s="33" t="s">
        <v>28</v>
      </c>
      <c r="E6" s="38" t="b">
        <v>1</v>
      </c>
      <c r="F6" s="37" t="s">
        <v>39</v>
      </c>
      <c r="G6" s="34"/>
      <c r="H6" s="38" t="b">
        <v>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18</v>
      </c>
      <c r="D6" s="12">
        <v>100.0</v>
      </c>
      <c r="E6" s="31"/>
      <c r="F6" s="12" t="s">
        <v>23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34"/>
      <c r="D6" s="40">
        <v>2.0</v>
      </c>
      <c r="E6" s="37"/>
      <c r="F6" s="34"/>
      <c r="G6" s="41" t="b">
        <v>1</v>
      </c>
      <c r="H6" s="34"/>
      <c r="I6" s="34"/>
      <c r="J6" s="37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42" t="s">
        <v>42</v>
      </c>
      <c r="D6" s="32"/>
      <c r="E6" s="34"/>
      <c r="F6" s="34"/>
      <c r="G6" s="34"/>
      <c r="H6" s="42" t="s">
        <v>43</v>
      </c>
      <c r="I6" s="42" t="s">
        <v>44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42" t="s">
        <v>45</v>
      </c>
      <c r="AI6" s="43" t="s">
        <v>16</v>
      </c>
      <c r="AJ6" s="44" t="s">
        <v>18</v>
      </c>
      <c r="AK6" s="45" t="s">
        <v>28</v>
      </c>
      <c r="AL6" s="46">
        <v>100.0</v>
      </c>
      <c r="AM6" s="34"/>
      <c r="AN6" s="34"/>
      <c r="AO6" s="34"/>
      <c r="AP6" s="34"/>
      <c r="AQ6" s="34"/>
      <c r="AR6" s="34"/>
      <c r="AS6" s="42" t="s">
        <v>33</v>
      </c>
      <c r="AT6" s="42" t="s">
        <v>46</v>
      </c>
      <c r="AU6" s="34"/>
      <c r="AV6" s="34"/>
      <c r="AW6" s="34"/>
      <c r="AX6" s="34"/>
      <c r="AY6" s="34"/>
      <c r="AZ6" s="34"/>
      <c r="BA6" s="42" t="s">
        <v>44</v>
      </c>
      <c r="BB6" s="34"/>
      <c r="BC6" s="34"/>
      <c r="BD6" s="34"/>
      <c r="BE6" s="34"/>
      <c r="BF6" s="34"/>
      <c r="BG6" s="42" t="s">
        <v>12</v>
      </c>
      <c r="BH6" s="42" t="s">
        <v>34</v>
      </c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47" t="s">
        <v>42</v>
      </c>
      <c r="D7" s="48">
        <v>2.0</v>
      </c>
      <c r="E7" s="34"/>
      <c r="F7" s="34"/>
      <c r="G7" s="34"/>
      <c r="H7" s="47" t="s">
        <v>43</v>
      </c>
      <c r="I7" s="47" t="s">
        <v>44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47" t="s">
        <v>45</v>
      </c>
      <c r="AI7" s="49" t="s">
        <v>16</v>
      </c>
      <c r="AJ7" s="50" t="s">
        <v>18</v>
      </c>
      <c r="AK7" s="51" t="s">
        <v>47</v>
      </c>
      <c r="AL7" s="48">
        <v>100.0</v>
      </c>
      <c r="AM7" s="48">
        <v>100.0</v>
      </c>
      <c r="AN7" s="34"/>
      <c r="AO7" s="34"/>
      <c r="AP7" s="34"/>
      <c r="AQ7" s="48">
        <v>2.0</v>
      </c>
      <c r="AR7" s="48">
        <v>2.0</v>
      </c>
      <c r="AS7" s="47" t="s">
        <v>33</v>
      </c>
      <c r="AT7" s="47" t="s">
        <v>46</v>
      </c>
      <c r="AU7" s="34"/>
      <c r="AV7" s="34"/>
      <c r="AW7" s="34"/>
      <c r="AX7" s="34"/>
      <c r="AY7" s="34"/>
      <c r="AZ7" s="34"/>
      <c r="BA7" s="47" t="s">
        <v>44</v>
      </c>
      <c r="BB7" s="34"/>
      <c r="BC7" s="34"/>
      <c r="BD7" s="34"/>
      <c r="BE7" s="34"/>
      <c r="BF7" s="34"/>
      <c r="BG7" s="47" t="s">
        <v>12</v>
      </c>
      <c r="BH7" s="47" t="s">
        <v>34</v>
      </c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