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CheckPortfolioManagement" sheetId="5" r:id="rId7"/>
    <sheet state="visible" name="GroupRowPM" sheetId="6" r:id="rId8"/>
    <sheet state="visible" name="ClosePositionFromPM" sheetId="7" r:id="rId9"/>
    <sheet state="visible" name="CreateDoneAwayOrder1" sheetId="8" r:id="rId10"/>
    <sheet state="visible" name="GetDataClosing" sheetId="9" r:id="rId11"/>
    <sheet state="visible" name="VerifyLongPositionsGrid" sheetId="10" r:id="rId12"/>
    <sheet state="visible" name="VerifyShortPositionsGrid" sheetId="11" r:id="rId13"/>
    <sheet state="visible" name="ManualClosing" sheetId="12" r:id="rId14"/>
    <sheet state="visible" name="ManualClosing1" sheetId="13" r:id="rId15"/>
    <sheet state="visible" name="VerifyClosedTrades" sheetId="14" r:id="rId16"/>
    <sheet state="visible" name="VerifyWorkingSubs" sheetId="15" r:id="rId17"/>
    <sheet state="visible" name="GetDataAllocation" sheetId="16" r:id="rId18"/>
    <sheet state="visible" name="CheckAllocatedGroups" sheetId="17" r:id="rId19"/>
    <sheet state="visible" name="CheckPortfolioManagement1" sheetId="18" r:id="rId20"/>
  </sheets>
  <definedNames/>
  <calcPr/>
</workbook>
</file>

<file path=xl/sharedStrings.xml><?xml version="1.0" encoding="utf-8"?>
<sst xmlns="http://schemas.openxmlformats.org/spreadsheetml/2006/main" count="272" uniqueCount="49">
  <si>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</si>
  <si>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</si>
  <si>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</si>
  <si>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</si>
  <si>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</si>
  <si>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</si>
  <si>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</si>
  <si>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</si>
  <si>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</si>
  <si>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</si>
  <si>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</si>
  <si>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</si>
  <si>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</si>
  <si>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</si>
  <si>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</si>
  <si>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</si>
  <si>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EDV-TC</t>
  </si>
  <si>
    <t>Sell short</t>
  </si>
  <si>
    <t>Allocation1</t>
  </si>
  <si>
    <t>MS</t>
  </si>
  <si>
    <t>Allocation2</t>
  </si>
  <si>
    <t>PortfolioManagement</t>
  </si>
  <si>
    <t>CheckPortfolioManagement</t>
  </si>
  <si>
    <t>Equity</t>
  </si>
  <si>
    <t>US</t>
  </si>
  <si>
    <t>Short</t>
  </si>
  <si>
    <t>GroupRowPM</t>
  </si>
  <si>
    <t>Symbol</t>
  </si>
  <si>
    <t>ClosePositionFromPM</t>
  </si>
  <si>
    <t>Buy to Close</t>
  </si>
  <si>
    <t>Closing</t>
  </si>
  <si>
    <t>GetDataClosing</t>
  </si>
  <si>
    <t>Current</t>
  </si>
  <si>
    <t>VerifyLongPositionsGrid</t>
  </si>
  <si>
    <t>VerifyShortPositionsGrid</t>
  </si>
  <si>
    <t>ManualClosing</t>
  </si>
  <si>
    <t>VerifyClosedTrades</t>
  </si>
  <si>
    <t>MANUAL</t>
  </si>
  <si>
    <t>Blotter</t>
  </si>
  <si>
    <t>VerifyWorkingSubs</t>
  </si>
  <si>
    <t>Filled</t>
  </si>
  <si>
    <t>Market</t>
  </si>
  <si>
    <t>Multiple</t>
  </si>
  <si>
    <t>Allocation</t>
  </si>
  <si>
    <t>GetDataAllocation</t>
  </si>
  <si>
    <t>CheckAllocatedGroups</t>
  </si>
  <si>
    <t>Closed</t>
  </si>
  <si>
    <t>SellShort</t>
  </si>
  <si>
    <t>BuytoClose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</si>
</sst>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3" xfId="0" applyAlignment="1" applyFont="1" applyNumberFormat="1">
      <alignment readingOrder="0" shrinkToFit="0" wrapText="0"/>
    </xf>
    <xf borderId="0" fillId="0" fontId="2" numFmtId="3" xfId="0" applyAlignment="1" applyFont="1" applyNumberFormat="1">
      <alignment readingOrder="0"/>
    </xf>
    <xf borderId="0" fillId="0" fontId="5" numFmtId="0" xfId="0" applyAlignment="1" applyFont="1">
      <alignment readingOrder="0" shrinkToFit="0" wrapText="0"/>
    </xf>
    <xf borderId="0" fillId="0" fontId="5" numFmtId="4" xfId="0" applyAlignment="1" applyFont="1" applyNumberFormat="1">
      <alignment readingOrder="0" shrinkToFit="0" wrapText="0"/>
    </xf>
    <xf borderId="0" fillId="0" fontId="5" numFmtId="3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0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1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9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6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5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5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28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2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IFERROR(__xludf.DUMMYFUNCTION("""COMPUTED_VALUE"""),"OpenClosingFromPM")</f>
        <v>OpenClosingFromPM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IFERROR(__xludf.DUMMYFUNCTION("""COMPUTED_VALUE"""),"OpenCorporateActionFromPM")</f>
        <v>OpenCorporateActionFromPM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IFERROR(__xludf.DUMMYFUNCTION("""COMPUTED_VALUE"""),"OpenDailyValuationFromPM")</f>
        <v>OpenDailyValuationFromPM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IFERROR(__xludf.DUMMYFUNCTION("""COMPUTED_VALUE"""),"ClosePositionFromPM")</f>
        <v>ClosePositionFromPM</v>
      </c>
      <c r="C320" t="str">
        <f>IFERROR(__xludf.DUMMYFUNCTION("""COMPUTED_VALUE"""),"1-P8y2jWa8-TgjIAgysm8LiFOFNCawLK6ehtNf8n3g0o")</f>
        <v>1-P8y2jWa8-TgjIAgysm8LiFOFNCawLK6ehtNf8n3g0o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IFERROR(__xludf.DUMMYFUNCTION("""COMPUTED_VALUE"""),"ShowSummaryToolFromPM")</f>
        <v>ShowSummaryToolFromPM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IFERROR(__xludf.DUMMYFUNCTION("""COMPUTED_VALUE"""),"HideSummaryToolFromPM")</f>
        <v>HideSummaryToolFromPM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IFERROR(__xludf.DUMMYFUNCTION("""COMPUTED_VALUE"""),"CloseAccountPositionFromPM")</f>
        <v>CloseAccountPositionFromPM</v>
      </c>
      <c r="C323" t="str">
        <f>IFERROR(__xludf.DUMMYFUNCTION("""COMPUTED_VALUE"""),"1r4mdKH6xHBGXly0xX_3kfVZnbgFRt6h09CKzb6B2j30")</f>
        <v>1r4mdKH6xHBGXly0xX_3kfVZnbgFRt6h09CKzb6B2j30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IFERROR(__xludf.DUMMYFUNCTION("""COMPUTED_VALUE"""),"CloseSelectedTaxlotsFromPM")</f>
        <v>CloseSelectedTaxlotsFromPM</v>
      </c>
      <c r="C324" t="str">
        <f>IFERROR(__xludf.DUMMYFUNCTION("""COMPUTED_VALUE"""),"1bepmvkmXtLL4UpGLcjeYXrovfZi8iUwi1A3os0v1Uj0")</f>
        <v>1bepmvkmXtLL4UpGLcjeYXrovfZi8iUwi1A3os0v1Uj0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IFERROR(__xludf.DUMMYFUNCTION("""COMPUTED_VALUE"""),"ExpandCollapsePM")</f>
        <v>ExpandCollapsePM</v>
      </c>
      <c r="C325" t="str">
        <f>IFERROR(__xludf.DUMMYFUNCTION("""COMPUTED_VALUE"""),"1nPYQhQ-Gpxk7lgLy_GqUcKiz5fcJpQhrTV5bJyY03qc")</f>
        <v>1nPYQhQ-Gpxk7lgLy_GqUcKiz5fcJpQhrTV5bJyY03qc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IFERROR(__xludf.DUMMYFUNCTION("""COMPUTED_VALUE"""),"AddCustomViewPM")</f>
        <v>AddCustomViewPM</v>
      </c>
      <c r="C326" t="str">
        <f>IFERROR(__xludf.DUMMYFUNCTION("""COMPUTED_VALUE"""),"1NbdvoXzq9bLTUkCX2_gVxCtjCR2kBldnGGw-z1Eim8I")</f>
        <v>1NbdvoXzq9bLTUkCX2_gVxCtjCR2kBldnGGw-z1Eim8I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IFERROR(__xludf.DUMMYFUNCTION("""COMPUTED_VALUE"""),"AddCustomViewRightClickPM")</f>
        <v>AddCustomViewRightClickPM</v>
      </c>
      <c r="C327" t="str">
        <f>IFERROR(__xludf.DUMMYFUNCTION("""COMPUTED_VALUE"""),"1Q7iif6wWXqCIfSrgSBzoU30gZbMUkNAMhcF68qLMvps")</f>
        <v>1Q7iif6wWXqCIfSrgSBzoU30gZbMUkNAMhcF68qLMvps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IFERROR(__xludf.DUMMYFUNCTION("""COMPUTED_VALUE"""),"RenameCustomViewPM")</f>
        <v>RenameCustomViewPM</v>
      </c>
      <c r="C328" t="str">
        <f>IFERROR(__xludf.DUMMYFUNCTION("""COMPUTED_VALUE"""),"11-lGY3oTzf5kpgkJM4lHHX32AUcd6BpZ2CU2UsLPpAE")</f>
        <v>11-lGY3oTzf5kpgkJM4lHHX32AUcd6BpZ2CU2UsLPpAE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IFERROR(__xludf.DUMMYFUNCTION("""COMPUTED_VALUE"""),"DeleteCustomViewPM")</f>
        <v>DeleteCustomViewPM</v>
      </c>
      <c r="C329" t="str">
        <f>IFERROR(__xludf.DUMMYFUNCTION("""COMPUTED_VALUE"""),"1X-gnstY40ismguHxChNKmthJ1G80Q49D37OBmzHA5BM")</f>
        <v>1X-gnstY40ismguHxChNKmthJ1G80Q49D37OBmzHA5BM</v>
      </c>
    </row>
    <row r="330" ht="15.75" customHeight="1">
      <c r="A330" t="str">
        <f>IFERROR(__xludf.DUMMYFUNCTION("""COMPUTED_VALUE"""),"Closing")</f>
        <v>Closing</v>
      </c>
      <c r="B330" t="str">
        <f>IFERROR(__xludf.DUMMYFUNCTION("""COMPUTED_VALUE"""),"SetClosingPreference")</f>
        <v>SetClosingPreference</v>
      </c>
      <c r="C330" t="str">
        <f>IFERROR(__xludf.DUMMYFUNCTION("""COMPUTED_VALUE"""),"1SBWCGC1qCDElP5xT215lxXFECJmufBKtZhmLiF-uDlE")</f>
        <v>1SBWCGC1qCDElP5xT215lxXFECJmufBKtZhmLiF-uDlE</v>
      </c>
    </row>
    <row r="331" ht="15.75" customHeight="1">
      <c r="A331" t="str">
        <f>IFERROR(__xludf.DUMMYFUNCTION("""COMPUTED_VALUE"""),"CreateTransaction")</f>
        <v>CreateTransaction</v>
      </c>
      <c r="B331" t="str">
        <f>IFERROR(__xludf.DUMMYFUNCTION("""COMPUTED_VALUE"""),"SaveTransaction")</f>
        <v>SaveTransaction</v>
      </c>
      <c r="C331" t="str">
        <f>IFERROR(__xludf.DUMMYFUNCTION("""COMPUTED_VALUE"""),"undefined")</f>
        <v>undefined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IFERROR(__xludf.DUMMYFUNCTION("""COMPUTED_VALUE"""),"EditUnallocatedGrid")</f>
        <v>EditUnallocatedGrid</v>
      </c>
      <c r="C332" t="str">
        <f>IFERROR(__xludf.DUMMYFUNCTION("""COMPUTED_VALUE"""),"13ZNMuqKcSpAW_MsR69_GoKBz_beluHfFVyViDpUnCkc")</f>
        <v>13ZNMuqKcSpAW_MsR69_GoKBz_beluHfFVyViDpUnCkc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IFERROR(__xludf.DUMMYFUNCTION("""COMPUTED_VALUE"""),"EditAllocatedGrid")</f>
        <v>EditAllocatedGrid</v>
      </c>
      <c r="C333" t="str">
        <f>IFERROR(__xludf.DUMMYFUNCTION("""COMPUTED_VALUE"""),"1Qe_MB72ABGFy_tC-AtAJSBoOqNECmDnuHW2p--em0xc")</f>
        <v>1Qe_MB72ABGFy_tC-AtAJSBoOqNECmDnuHW2p--em0xc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IFERROR(__xludf.DUMMYFUNCTION("""COMPUTED_VALUE"""),"SetPTTPreference")</f>
        <v>SetPTTPreference</v>
      </c>
      <c r="C334" t="str">
        <f>IFERROR(__xludf.DUMMYFUNCTION("""COMPUTED_VALUE"""),"1ldeUCvJu8gA2hZDe6NneM5_zHpORs3VIMmFqtZK_zTo")</f>
        <v>1ldeUCvJu8gA2hZDe6NneM5_zHpORs3VIMmFqtZK_zTo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IFERROR(__xludf.DUMMYFUNCTION("""COMPUTED_VALUE"""),"SetLongShortPTTPreference")</f>
        <v>SetLongShortPTTPreference</v>
      </c>
      <c r="C335" t="str">
        <f>IFERROR(__xludf.DUMMYFUNCTION("""COMPUTED_VALUE"""),"1K6pZbNryz6dksItb7aYYpqHUV4sWPVRsnYGiEZCb6BY")</f>
        <v>1K6pZbNryz6dksItb7aYYpqHUV4sWPVRsnYGiEZCb6BY</v>
      </c>
    </row>
    <row r="336" ht="15.75" customHeight="1">
      <c r="A336" t="str">
        <f>IFERROR(__xludf.DUMMYFUNCTION("""COMPUTED_VALUE"""),"TradingTicket")</f>
        <v>TradingTicket</v>
      </c>
      <c r="B336" t="str">
        <f>IFERROR(__xludf.DUMMYFUNCTION("""COMPUTED_VALUE"""),"VerifyTT")</f>
        <v>VerifyTT</v>
      </c>
      <c r="C336" t="str">
        <f>IFERROR(__xludf.DUMMYFUNCTION("""COMPUTED_VALUE"""),"1bKhXEya1wodNYLnY1-QcHI_XG3UWZaHQ81HV-TN-5Kc")</f>
        <v>1bKhXEya1wodNYLnY1-QcHI_XG3UWZaHQ81HV-TN-5Kc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IFERROR(__xludf.DUMMYFUNCTION("""COMPUTED_VALUE"""),"SaveLayoutAllocatedGrid")</f>
        <v>SaveLayoutAllocatedGrid</v>
      </c>
      <c r="C337" t="str">
        <f>IFERROR(__xludf.DUMMYFUNCTION("""COMPUTED_VALUE"""),"1aTyf1QMUlY1sd90ATn_Ik7tSnqoJNJ2ORUTgE2CcKVc")</f>
        <v>1aTyf1QMUlY1sd90ATn_Ik7tSnqoJNJ2ORUTgE2CcKVc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IFERROR(__xludf.DUMMYFUNCTION("""COMPUTED_VALUE"""),"SaveLayoutUnallocatedGrid")</f>
        <v>SaveLayoutUnallocatedGrid</v>
      </c>
      <c r="C338" t="str">
        <f>IFERROR(__xludf.DUMMYFUNCTION("""COMPUTED_VALUE"""),"14EKTplxgrSnZ3LrmPGSsdvC3A1Cn7Gl3iYaLoliVy5c")</f>
        <v>14EKTplxgrSnZ3LrmPGSsdvC3A1Cn7Gl3iYaLoliVy5c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IFERROR(__xludf.DUMMYFUNCTION("""COMPUTED_VALUE"""),"SaveLayoutAllocationUI")</f>
        <v>SaveLayoutAllocationUI</v>
      </c>
      <c r="C339" t="str">
        <f>IFERROR(__xludf.DUMMYFUNCTION("""COMPUTED_VALUE"""),"1w55ijS0jNdggXMegSAddndubbfCazPcYQ4T-iQXE9-8")</f>
        <v>1w55ijS0jNdggXMegSAddndubbfCazPcYQ4T-iQXE9-8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IFERROR(__xludf.DUMMYFUNCTION("""COMPUTED_VALUE"""),"ClearFiltersAllocatedGrid")</f>
        <v>ClearFiltersAllocatedGrid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IFERROR(__xludf.DUMMYFUNCTION("""COMPUTED_VALUE"""),"ClearFiltersUnallocatedGrid")</f>
        <v>ClearFiltersUnallocatedGrid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IFERROR(__xludf.DUMMYFUNCTION("""COMPUTED_VALUE"""),"VerifyLayoutAllocatedGrid")</f>
        <v>VerifyLayoutAllocatedGrid</v>
      </c>
      <c r="C342" t="str">
        <f>IFERROR(__xludf.DUMMYFUNCTION("""COMPUTED_VALUE"""),"1Dm60vGCrArH03PZJNSUJF2XSLE8bTZId3GMfDSiNsgE")</f>
        <v>1Dm60vGCrArH03PZJNSUJF2XSLE8bTZId3GMfDSiNsgE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IFERROR(__xludf.DUMMYFUNCTION("""COMPUTED_VALUE"""),"VerifyLayoutUnallocatedGrid")</f>
        <v>VerifyLayoutUnallocatedGrid</v>
      </c>
      <c r="C343" t="str">
        <f>IFERROR(__xludf.DUMMYFUNCTION("""COMPUTED_VALUE"""),"13oH5Ytu1wVsxt5b13YVUvBPplFK0NO_TK4bRhOZWxN8")</f>
        <v>13oH5Ytu1wVsxt5b13YVUvBPplFK0NO_TK4bRhOZWxN8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IFERROR(__xludf.DUMMYFUNCTION("""COMPUTED_VALUE"""),"UpdateForexConversionMonthly")</f>
        <v>UpdateForexConversionMonthly</v>
      </c>
      <c r="C344" t="str">
        <f>IFERROR(__xludf.DUMMYFUNCTION("""COMPUTED_VALUE"""),"1TZUZ5-nBzkzBtbjFUoa_EB6_eDzdYjS0ibH5XGYYwAw")</f>
        <v>1TZUZ5-nBzkzBtbjFUoa_EB6_eDzdYjS0ibH5XGYYwAw</v>
      </c>
    </row>
    <row r="345" ht="15.75" customHeight="1">
      <c r="A345" t="str">
        <f>IFERROR(__xludf.DUMMYFUNCTION("""COMPUTED_VALUE"""),"GeneralLedger")</f>
        <v>GeneralLedger</v>
      </c>
      <c r="B345" t="str">
        <f>IFERROR(__xludf.DUMMYFUNCTION("""COMPUTED_VALUE"""),"SaveTransaction")</f>
        <v>SaveTransaction</v>
      </c>
      <c r="C345" t="str">
        <f>IFERROR(__xludf.DUMMYFUNCTION("""COMPUTED_VALUE"""),"undefined")</f>
        <v>undefined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IFERROR(__xludf.DUMMYFUNCTION("""COMPUTED_VALUE"""),"UpdateMarkPriceMonthly")</f>
        <v>UpdateMarkPriceMonthly</v>
      </c>
      <c r="C346" t="str">
        <f>IFERROR(__xludf.DUMMYFUNCTION("""COMPUTED_VALUE"""),"1CAqtQbVxh4NllyrMXscZd9EiKnaMKSW-_a9zZtK2ULI")</f>
        <v>1CAqtQbVxh4NllyrMXscZd9EiKnaMKSW-_a9zZtK2ULI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IFERROR(__xludf.DUMMYFUNCTION("""COMPUTED_VALUE"""),"CleanUp")</f>
        <v>CleanUp</v>
      </c>
      <c r="C347" t="str">
        <f>IFERROR(__xludf.DUMMYFUNCTION("""COMPUTED_VALUE"""),"141237jvZTCMRUMwfe0LXJI6_OVqTlCniHe4xfwketxs")</f>
        <v>141237jvZTCMRUMwfe0LXJI6_OVqTlCniHe4xfwketxs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IFERROR(__xludf.DUMMYFUNCTION("""COMPUTED_VALUE"""),"CheckAllocatedTaxlots")</f>
        <v>CheckAllocatedTaxlots</v>
      </c>
      <c r="C348" t="str">
        <f>IFERROR(__xludf.DUMMYFUNCTION("""COMPUTED_VALUE"""),"1ly27YrdiNWaAup2LCqtlbPCuNU2qHnDVGbGX6s6cAJM")</f>
        <v>1ly27YrdiNWaAup2LCqtlbPCuNU2qHnDVGbGX6s6cAJM</v>
      </c>
    </row>
    <row r="349" ht="15.75" customHeight="1">
      <c r="A349" t="str">
        <f>IFERROR(__xludf.DUMMYFUNCTION("""COMPUTED_VALUE"""),"Closing")</f>
        <v>Closing</v>
      </c>
      <c r="B349" t="str">
        <f>IFERROR(__xludf.DUMMYFUNCTION("""COMPUTED_VALUE"""),"EditTradeUnexpiredUnsettled")</f>
        <v>EditTradeUnexpiredUnsettled</v>
      </c>
      <c r="C349" t="str">
        <f>IFERROR(__xludf.DUMMYFUNCTION("""COMPUTED_VALUE"""),"1gjlTvz7BOfWSUwRY25-5BkROLuD55WxDrFeD31t9BlQ")</f>
        <v>1gjlTvz7BOfWSUwRY25-5BkROLuD55WxDrFeD31t9BlQ</v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IFERROR(__xludf.DUMMYFUNCTION("""COMPUTED_VALUE"""),"VerifyThirdPartyView")</f>
        <v>VerifyThirdPartyView</v>
      </c>
      <c r="C350" t="str">
        <f>IFERROR(__xludf.DUMMYFUNCTION("""COMPUTED_VALUE"""),"1OPgUZqNYhV3KEPmPCahj5p6WvTvcu6yt-IilVEoYdck")</f>
        <v>1OPgUZqNYhV3KEPmPCahj5p6WvTvcu6yt-IilVEoYdck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IFERROR(__xludf.DUMMYFUNCTION("""COMPUTED_VALUE"""),"CheckCompliance")</f>
        <v>CheckCompliance</v>
      </c>
      <c r="C351" t="str">
        <f>IFERROR(__xludf.DUMMYFUNCTION("""COMPUTED_VALUE"""),"1rHjLXpZjBLQM6QWnpXPgAllc-YEEgN3ft01yzOc3Z_k")</f>
        <v>1rHjLXpZjBLQM6QWnpXPgAllc-YEEgN3ft01yzOc3Z_k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IFERROR(__xludf.DUMMYFUNCTION("""COMPUTED_VALUE"""),"VerifyAccountDivisorWindow")</f>
        <v>VerifyAccountDivisorWindow</v>
      </c>
      <c r="C352" t="str">
        <f>IFERROR(__xludf.DUMMYFUNCTION("""COMPUTED_VALUE"""),"1o2I6wY7Q2ZhQmtkXdRpqlxQVJ8IApk0IcIxM0anIe4E")</f>
        <v>1o2I6wY7Q2ZhQmtkXdRpqlxQVJ8IApk0IcIxM0anIe4E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IFERROR(__xludf.DUMMYFUNCTION("""COMPUTED_VALUE"""),"VerifyAccountSymbolDivisorWindow")</f>
        <v>VerifyAccountSymbolDivisorWindow</v>
      </c>
      <c r="C353" t="str">
        <f>IFERROR(__xludf.DUMMYFUNCTION("""COMPUTED_VALUE"""),"1ADKVvtlUcDE2a_GFsrcnF3qLRtLLDQ1rEJbzQws78i8")</f>
        <v>1ADKVvtlUcDE2a_GFsrcnF3qLRtLLDQ1rEJbzQws78i8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IFERROR(__xludf.DUMMYFUNCTION("""COMPUTED_VALUE"""),"VerifyAggregationAccountSymbolWithNav")</f>
        <v>VerifyAggregationAccountSymbolWithNav</v>
      </c>
      <c r="C354" t="str">
        <f>IFERROR(__xludf.DUMMYFUNCTION("""COMPUTED_VALUE"""),"1lnfZcSlUOa9o7gHKbVZNk25z7jkFzrWO3HCg1iRDEhg")</f>
        <v>1lnfZcSlUOa9o7gHKbVZNk25z7jkFzrWO3HCg1iRDEhg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IFERROR(__xludf.DUMMYFUNCTION("""COMPUTED_VALUE"""),"VerifyAggregationAccountWithNav")</f>
        <v>VerifyAggregationAccountWithNav</v>
      </c>
      <c r="C355" t="str">
        <f>IFERROR(__xludf.DUMMYFUNCTION("""COMPUTED_VALUE"""),"1bVQ8hXYcI8QA4dwbvx9VW307agnDiO6msA8_55Z9Ho4")</f>
        <v>1bVQ8hXYcI8QA4dwbvx9VW307agnDiO6msA8_55Z9Ho4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IFERROR(__xludf.DUMMYFUNCTION("""COMPUTED_VALUE"""),"VerifyAggregationMasterFundSymbolWithNav")</f>
        <v>VerifyAggregationMasterFundSymbolWithNav</v>
      </c>
      <c r="C356" t="str">
        <f>IFERROR(__xludf.DUMMYFUNCTION("""COMPUTED_VALUE"""),"149nnw4Cwl1HHouYCXdqP9R7Mx98I_xiisiVCYk7UJkk")</f>
        <v>149nnw4Cwl1HHouYCXdqP9R7Mx98I_xiisiVCYk7UJkk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IFERROR(__xludf.DUMMYFUNCTION("""COMPUTED_VALUE"""),"VerifyAggregationMasterFundUnderlyingSymbolWithNav")</f>
        <v>VerifyAggregationMasterFundUnderlyingSymbolWithNav</v>
      </c>
      <c r="C357" t="str">
        <f>IFERROR(__xludf.DUMMYFUNCTION("""COMPUTED_VALUE"""),"14DzH-ZDYwWbCfXuBzG8v04Qb1mQp1of2O6GLQXcWMsQ")</f>
        <v>14DzH-ZDYwWbCfXuBzG8v04Qb1mQp1of2O6GLQXcWMsQ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IFERROR(__xludf.DUMMYFUNCTION("""COMPUTED_VALUE"""),"VerifyAggregationMasterFundWithNav")</f>
        <v>VerifyAggregationMasterFundWithNav</v>
      </c>
      <c r="C358" t="str">
        <f>IFERROR(__xludf.DUMMYFUNCTION("""COMPUTED_VALUE"""),"1zsjoqOkIN3nYkIIxRHJMhmyX6J_C62DE3Oo2y7BGdVs")</f>
        <v>1zsjoqOkIN3nYkIIxRHJMhmyX6J_C62DE3Oo2y7BGdVs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IFERROR(__xludf.DUMMYFUNCTION("""COMPUTED_VALUE"""),"VerifyAggregationSectorWithNav")</f>
        <v>VerifyAggregationSectorWithNav</v>
      </c>
      <c r="C359" t="str">
        <f>IFERROR(__xludf.DUMMYFUNCTION("""COMPUTED_VALUE"""),"1PwtsUw7M1uKb7OUFflhtzsANVeSCTOQuOmvDpORnIho")</f>
        <v>1PwtsUw7M1uKb7OUFflhtzsANVeSCTOQuOmvDpORnIho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IFERROR(__xludf.DUMMYFUNCTION("""COMPUTED_VALUE"""),"VerifyAggregationUnderlyingSymbolWithNav")</f>
        <v>VerifyAggregationUnderlyingSymbolWithNav</v>
      </c>
      <c r="C360" t="str">
        <f>IFERROR(__xludf.DUMMYFUNCTION("""COMPUTED_VALUE"""),"176-KXks3ZB5ZHuKBMwUMw29_Cv2044sZyo8Km9DSXhY")</f>
        <v>176-KXks3ZB5ZHuKBMwUMw29_Cv2044sZyo8Km9DSXhY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IFERROR(__xludf.DUMMYFUNCTION("""COMPUTED_VALUE"""),"VerifyAuecWindow")</f>
        <v>VerifyAuecWindow</v>
      </c>
      <c r="C361" t="str">
        <f>IFERROR(__xludf.DUMMYFUNCTION("""COMPUTED_VALUE"""),"16b_2-FgoStwuBkNr_JjCAyklRXIuqbbe3yokDxprokc")</f>
        <v>16b_2-FgoStwuBkNr_JjCAyklRXIuqbbe3yokDxprokc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IFERROR(__xludf.DUMMYFUNCTION("""COMPUTED_VALUE"""),"VerifyBetaWindow")</f>
        <v>VerifyBetaWindow</v>
      </c>
      <c r="C362" t="str">
        <f>IFERROR(__xludf.DUMMYFUNCTION("""COMPUTED_VALUE"""),"1fbKcjC8gLwYcrNAXPL4_1obtoTCCX0MmPEKkR5s582U")</f>
        <v>1fbKcjC8gLwYcrNAXPL4_1obtoTCCX0MmPEKkR5s582U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IFERROR(__xludf.DUMMYFUNCTION("""COMPUTED_VALUE"""),"VerifyCustomSymbolDataWindow")</f>
        <v>VerifyCustomSymbolDataWindow</v>
      </c>
      <c r="C363" t="str">
        <f>IFERROR(__xludf.DUMMYFUNCTION("""COMPUTED_VALUE"""),"1-ro_FbZAIVOSxzuukFA-JqauiFzAp2zzPW1nR5HDbNQ")</f>
        <v>1-ro_FbZAIVOSxzuukFA-JqauiFzAp2zzPW1nR5HDbNQ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IFERROR(__xludf.DUMMYFUNCTION("""COMPUTED_VALUE"""),"VerifyDayEndCashAccountWindow")</f>
        <v>VerifyDayEndCashAccountWindow</v>
      </c>
      <c r="C364" t="str">
        <f>IFERROR(__xludf.DUMMYFUNCTION("""COMPUTED_VALUE"""),"14hibcKhSsVy9-wON6kpUuT3WpnX2wo9pBQzmPi8qLL0")</f>
        <v>14hibcKhSsVy9-wON6kpUuT3WpnX2wo9pBQzmPi8qLL0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IFERROR(__xludf.DUMMYFUNCTION("""COMPUTED_VALUE"""),"VerifyDbNavWindow")</f>
        <v>VerifyDbNavWindow</v>
      </c>
      <c r="C365" t="str">
        <f>IFERROR(__xludf.DUMMYFUNCTION("""COMPUTED_VALUE"""),"18-WlIts2DAJ-WJbsdY1Rpj5dOSmW5uYCwetKlx26fnQ")</f>
        <v>18-WlIts2DAJ-WJbsdY1Rpj5dOSmW5uYCwetKlx26fnQ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IFERROR(__xludf.DUMMYFUNCTION("""COMPUTED_VALUE"""),"VerifyGlobalDivisorWindow")</f>
        <v>VerifyGlobalDivisorWindow</v>
      </c>
      <c r="C366" t="str">
        <f>IFERROR(__xludf.DUMMYFUNCTION("""COMPUTED_VALUE"""),"1z5ONnrNdd3WVB7RZIGa-yHhn0U7mw19K0moh5ObmK-I")</f>
        <v>1z5ONnrNdd3WVB7RZIGa-yHhn0U7mw19K0moh5ObmK-I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IFERROR(__xludf.DUMMYFUNCTION("""COMPUTED_VALUE"""),"VerifyPmCalculationPreferenceWindow")</f>
        <v>VerifyPmCalculationPreferenceWindow</v>
      </c>
      <c r="C367" t="str">
        <f>IFERROR(__xludf.DUMMYFUNCTION("""COMPUTED_VALUE"""),"1yse7cNfakHdRjfRrq1SQW0Yxxopg67W_juGAkOyqHPk")</f>
        <v>1yse7cNfakHdRjfRrq1SQW0Yxxopg67W_juGAkOyqHPk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IFERROR(__xludf.DUMMYFUNCTION("""COMPUTED_VALUE"""),"VerifyRowCalculationBaseWindow")</f>
        <v>VerifyRowCalculationBaseWindow</v>
      </c>
      <c r="C368" t="str">
        <f>IFERROR(__xludf.DUMMYFUNCTION("""COMPUTED_VALUE"""),"16bZAwMHOfN8bD2TadtVor3HvDM0dtF51XYU1iRUEXpQ")</f>
        <v>16bZAwMHOfN8bD2TadtVor3HvDM0dtF51XYU1iRUEXpQ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IFERROR(__xludf.DUMMYFUNCTION("""COMPUTED_VALUE"""),"VerifySecurityWindow")</f>
        <v>VerifySecurityWindow</v>
      </c>
      <c r="C369" t="str">
        <f>IFERROR(__xludf.DUMMYFUNCTION("""COMPUTED_VALUE"""),"1xeK-JWq8oHwAbmnGt_N4qn9Nt8F9XHo5-Mtr0t_7pRw")</f>
        <v>1xeK-JWq8oHwAbmnGt_N4qn9Nt8F9XHo5-Mtr0t_7pRw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IFERROR(__xludf.DUMMYFUNCTION("""COMPUTED_VALUE"""),"VerifySymbolDataWindow")</f>
        <v>VerifySymbolDataWindow</v>
      </c>
      <c r="C370" t="str">
        <f>IFERROR(__xludf.DUMMYFUNCTION("""COMPUTED_VALUE"""),"13iKSNjdwzv3DKe_1fcHZJ8GUk5s-HKAGG5PE6MY-smA")</f>
        <v>13iKSNjdwzv3DKe_1fcHZJ8GUk5s-HKAGG5PE6MY-smA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IFERROR(__xludf.DUMMYFUNCTION("""COMPUTED_VALUE"""),"VerifySymbolDivisorWindow")</f>
        <v>VerifySymbolDivisorWindow</v>
      </c>
      <c r="C371" t="str">
        <f>IFERROR(__xludf.DUMMYFUNCTION("""COMPUTED_VALUE"""),"1uyHz1cQUHCK-GcBufMehtS9i6BspKa5HVCLnf4pfGuk")</f>
        <v>1uyHz1cQUHCK-GcBufMehtS9i6BspKa5HVCLnf4pfGuk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IFERROR(__xludf.DUMMYFUNCTION("""COMPUTED_VALUE"""),"VerifyTaxlotWindow")</f>
        <v>VerifyTaxlotWindow</v>
      </c>
      <c r="C372" t="str">
        <f>IFERROR(__xludf.DUMMYFUNCTION("""COMPUTED_VALUE"""),"1LmfcHeXwbnPa-An0b_OD4pDLm7pUlzSX41G5QZ2Uons")</f>
        <v>1LmfcHeXwbnPa-An0b_OD4pDLm7pUlzSX41G5QZ2Uons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IFERROR(__xludf.DUMMYFUNCTION("""COMPUTED_VALUE"""),"RestartEsper")</f>
        <v>RestartEsper</v>
      </c>
      <c r="C373" t="str">
        <f>IFERROR(__xludf.DUMMYFUNCTION("""COMPUTED_VALUE"""),"undefined")</f>
        <v>undefined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IFERROR(__xludf.DUMMYFUNCTION("""COMPUTED_VALUE"""),"VerifyAccountNavPreferenceWindow")</f>
        <v>VerifyAccountNavPreferenceWindow</v>
      </c>
      <c r="C374" t="str">
        <f>IFERROR(__xludf.DUMMYFUNCTION("""COMPUTED_VALUE"""),"1PbpS5QGNvwJE_YSvMrjHxbUPPQhcUDrQHC4N9KHYjWY")</f>
        <v>1PbpS5QGNvwJE_YSvMrjHxbUPPQhcUDrQHC4N9KHYjWY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 VerifyAggregationAccountUnderlyingSymbolWithNav")</f>
        <v> VerifyAggregationAccountUnderlyingSymbolWithNav</v>
      </c>
      <c r="C375" t="str">
        <f>IFERROR(__xludf.DUMMYFUNCTION("""COMPUTED_VALUE"""),"1e43aiziZ9lVzR6j8eABeYJVnCkgU34OcPRcWujsT2Sk")</f>
        <v>1e43aiziZ9lVzR6j8eABeYJVnCkgU34OcPRcWujsT2Sk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IFERROR(__xludf.DUMMYFUNCTION("""COMPUTED_VALUE"""),"VerifyAggregationAssetWithNav")</f>
        <v>VerifyAggregationAssetWithNav</v>
      </c>
      <c r="C376" t="str">
        <f>IFERROR(__xludf.DUMMYFUNCTION("""COMPUTED_VALUE"""),"1etvN2Ze8TA6NI_8xSaOdqLwhWnk9NXKUUDhi-_NctcY")</f>
        <v>1etvN2Ze8TA6NI_8xSaOdqLwhWnk9NXKUUDhi-_NctcY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IFERROR(__xludf.DUMMYFUNCTION("""COMPUTED_VALUE"""),"VerifyAggregationSymbolWithNav")</f>
        <v>VerifyAggregationSymbolWithNav</v>
      </c>
      <c r="C377" t="str">
        <f>IFERROR(__xludf.DUMMYFUNCTION("""COMPUTED_VALUE"""),"13XyCHzB6LhftZ5UNht5K7e3dan_fGbii_TnOOGLwDg0")</f>
        <v>13XyCHzB6LhftZ5UNht5K7e3dan_fGbii_TnOOGLwDg0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IFERROR(__xludf.DUMMYFUNCTION("""COMPUTED_VALUE"""),"VerifyAggregationSubSectorWithNav")</f>
        <v>VerifyAggregationSubSectorWithNav</v>
      </c>
      <c r="C378" t="str">
        <f>IFERROR(__xludf.DUMMYFUNCTION("""COMPUTED_VALUE"""),"1DBHQwTuKH0lzdeBCel_4raYQn6PkkFTYydpCHbsB4Qk")</f>
        <v>1DBHQwTuKH0lzdeBCel_4raYQn6PkkFTYydpCHbsB4Qk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IFERROR(__xludf.DUMMYFUNCTION("""COMPUTED_VALUE"""),"VerifyAggregationGlobalWithNav")</f>
        <v>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VerifyAggregationGlobalWithNav")</f>
        <v> VerifyAggregationGlobalWithNav</v>
      </c>
      <c r="C380" t="str">
        <f>IFERROR(__xludf.DUMMYFUNCTION("""COMPUTED_VALUE"""),"1XVSAkmIoWI-AC0BHXwWO3TqCkz2uOlJFE5eM6W0_Cew")</f>
        <v>1XVSAkmIoWI-AC0BHXwWO3TqCkz2uOlJFE5eM6W0_Cew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IFERROR(__xludf.DUMMYFUNCTION("""COMPUTED_VALUE"""),"1z5ONnrNdd3WVB7RZIGa-yHhn0U7mw19K0moh5ObmK-I")</f>
        <v>1z5ONnrNdd3WVB7RZIGa-yHhn0U7mw19K0moh5ObmK-I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VerifyAccrualForAccountWindow")</f>
        <v> VerifyAccrualForAccountWindow</v>
      </c>
      <c r="C382" t="str">
        <f>IFERROR(__xludf.DUMMYFUNCTION("""COMPUTED_VALUE"""),"1zKkT3mW6MMJ2tPzzT2fHVQT6vyc0mePzllndBlUl5IM")</f>
        <v>1zKkT3mW6MMJ2tPzzT2fHVQT6vyc0mePzllndBlUl5IM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IFERROR(__xludf.DUMMYFUNCTION("""COMPUTED_VALUE"""),"1z5ONnrNdd3WVB7RZIGa-yHhn0U7mw19K0moh5ObmK-I")</f>
        <v>1z5ONnrNdd3WVB7RZIGa-yHhn0U7mw19K0moh5ObmK-I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IFERROR(__xludf.DUMMYFUNCTION("""COMPUTED_VALUE"""),"VerifyMasterFundDivisorWindow")</f>
        <v>VerifyMasterFundDivisorWindow</v>
      </c>
      <c r="C384" t="str">
        <f>IFERROR(__xludf.DUMMYFUNCTION("""COMPUTED_VALUE"""),"13rWeedH_MlhhxYACJeLeckVtBWejh246MGPN4QQpmMM")</f>
        <v>13rWeedH_MlhhxYACJeLeckVtBWejh246MGPN4QQpmMM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IFERROR(__xludf.DUMMYFUNCTION("""COMPUTED_VALUE"""),"VerifyMasterFundSymbolDivisorWindow")</f>
        <v>VerifyMasterFundSymbolDivisorWindow</v>
      </c>
      <c r="C385" t="str">
        <f>IFERROR(__xludf.DUMMYFUNCTION("""COMPUTED_VALUE"""),"1YPctyrs3yMgf0X1_jVz3LRORCo4B4cNqbyc_K0FujO0")</f>
        <v>1YPctyrs3yMgf0X1_jVz3LRORCo4B4cNqbyc_K0FujO0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IFERROR(__xludf.DUMMYFUNCTION("""COMPUTED_VALUE"""),"FetchAccountPositions")</f>
        <v>FetchAccountPositions</v>
      </c>
      <c r="C386" t="str">
        <f>IFERROR(__xludf.DUMMYFUNCTION("""COMPUTED_VALUE"""),"1BeNn_44h4ClIE46em_ho4qgzGnXy_GxtYTH3cBmtKPk")</f>
        <v>1BeNn_44h4ClIE46em_ho4qgzGnXy_GxtYTH3cBmtKPk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IFERROR(__xludf.DUMMYFUNCTION("""COMPUTED_VALUE"""),"AddCash")</f>
        <v>AddCash</v>
      </c>
      <c r="C387" t="str">
        <f>IFERROR(__xludf.DUMMYFUNCTION("""COMPUTED_VALUE"""),"1jkLpZFgLuRokIigwbjW9_Z47rlvj-YDlRcP_c4XkP_k")</f>
        <v>1jkLpZFgLuRokIigwbjW9_Z47rlvj-YDlRcP_c4XkP_k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IFERROR(__xludf.DUMMYFUNCTION("""COMPUTED_VALUE"""),"VerifyGridData")</f>
        <v>VerifyGridData</v>
      </c>
      <c r="C388" t="str">
        <f>IFERROR(__xludf.DUMMYFUNCTION("""COMPUTED_VALUE"""),"1mspGsgTjI-yT8NsZKZn8moOE-Vp0hoNdUziI1pFBq0I")</f>
        <v>1mspGsgTjI-yT8NsZKZn8moOE-Vp0hoNdUziI1pFBq0I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IFERROR(__xludf.DUMMYFUNCTION("""COMPUTED_VALUE"""),"RunRebalance")</f>
        <v>RunRebalance</v>
      </c>
      <c r="C389" t="str">
        <f>IFERROR(__xludf.DUMMYFUNCTION("""COMPUTED_VALUE"""),"1B2L3J6YUrDWz8rRtdvv0lYDQvnH8nYkmqQm12ZwK7jc")</f>
        <v>1B2L3J6YUrDWz8rRtdvv0lYDQvnH8nYkmqQm12ZwK7jc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IFERROR(__xludf.DUMMYFUNCTION("""COMPUTED_VALUE"""),"SelectTrade")</f>
        <v>SelectTrade</v>
      </c>
      <c r="C390" t="str">
        <f>IFERROR(__xludf.DUMMYFUNCTION("""COMPUTED_VALUE"""),"1FTTZIzpIKJz6P-IPbrA5EPTxiMe2ARbyGfgsnMXlct4")</f>
        <v>1FTTZIzpIKJz6P-IPbrA5EPTxiMe2ARbyGfgsnMXlct4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IFERROR(__xludf.DUMMYFUNCTION("""COMPUTED_VALUE"""),"AcknowledgeTrade")</f>
        <v>AcknowledgeTrade</v>
      </c>
      <c r="C391" t="str">
        <f>IFERROR(__xludf.DUMMYFUNCTION("""COMPUTED_VALUE"""),"1sQAsvIkAT3oSRlv0P4ERgM6O-p9EGHnCNRCfZZ6EKPM")</f>
        <v>1sQAsvIkAT3oSRlv0P4ERgM6O-p9EGHnCNRCfZZ6EKPM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IFERROR(__xludf.DUMMYFUNCTION("""COMPUTED_VALUE"""),"RejectTrade")</f>
        <v>RejectTrade</v>
      </c>
      <c r="C392" t="str">
        <f>IFERROR(__xludf.DUMMYFUNCTION("""COMPUTED_VALUE"""),"18DR7gQzurIoB_fivnSt8QoqUWcLVRpZQSDr37UqoXKU")</f>
        <v>18DR7gQzurIoB_fivnSt8QoqUWcLVRpZQSDr37UqoXKU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IFERROR(__xludf.DUMMYFUNCTION("""COMPUTED_VALUE"""),"ExecuteTrade")</f>
        <v>ExecuteTrade</v>
      </c>
      <c r="C393" t="str">
        <f>IFERROR(__xludf.DUMMYFUNCTION("""COMPUTED_VALUE"""),"1pp_DAI1bHvMNnrEvw8O7TeJWebgUjt3FSsdgjVWeJkE")</f>
        <v>1pp_DAI1bHvMNnrEvw8O7TeJWebgUjt3FSsdgjVWeJkE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IFERROR(__xludf.DUMMYFUNCTION("""COMPUTED_VALUE"""),"CancelTrade")</f>
        <v>CancelTrade</v>
      </c>
      <c r="C394" t="str">
        <f>IFERROR(__xludf.DUMMYFUNCTION("""COMPUTED_VALUE"""),"1hX7-3j5InwEYhwGhZXePVHcW-9vxINkOET671xdWGsc")</f>
        <v>1hX7-3j5InwEYhwGhZXePVHcW-9vxINkOET671xdWGsc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IFERROR(__xludf.DUMMYFUNCTION("""COMPUTED_VALUE"""),"OpenLiveTT")</f>
        <v>OpenLiveTT</v>
      </c>
      <c r="C395" t="str">
        <f>IFERROR(__xludf.DUMMYFUNCTION("""COMPUTED_VALUE"""),"1q3BIdA-Gau2cX2cBnlgy7eas26rbuZEdQMfROhYvOgI")</f>
        <v>1q3BIdA-Gau2cX2cBnlgy7eas26rbuZEdQMfROhYvOgI</v>
      </c>
    </row>
    <row r="396" ht="15.75" customHeight="1">
      <c r="A396" t="str">
        <f>IFERROR(__xludf.DUMMYFUNCTION("""COMPUTED_VALUE"""),"TradingTicket")</f>
        <v>TradingTicket</v>
      </c>
      <c r="B396" t="str">
        <f>IFERROR(__xludf.DUMMYFUNCTION("""COMPUTED_VALUE"""),"CreateLiveOrder")</f>
        <v>CreateLiveOrder</v>
      </c>
      <c r="C396" t="str">
        <f>IFERROR(__xludf.DUMMYFUNCTION("""COMPUTED_VALUE"""),"115Bw2-ohdF1ilHcVpmgJ2DX9SJjX1zI-6SvF3CpCjm8")</f>
        <v>115Bw2-ohdF1ilHcVpmgJ2DX9SJjX1zI-6SvF3CpCjm8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IFERROR(__xludf.DUMMYFUNCTION("""COMPUTED_VALUE"""),"SetManualResponse ")</f>
        <v>SetManualResponse </v>
      </c>
      <c r="C397" t="str">
        <f>IFERROR(__xludf.DUMMYFUNCTION("""COMPUTED_VALUE"""),"10qeNhV85AQPMToOqHZlhzdXyNnDNjiueFxVwGUI_MO4")</f>
        <v>10qeNhV85AQPMToOqHZlhzdXyNnDNjiueFxVwGUI_MO4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IFERROR(__xludf.DUMMYFUNCTION("""COMPUTED_VALUE"""),"ClearUI")</f>
        <v>ClearUI</v>
      </c>
      <c r="C398" t="str">
        <f>IFERROR(__xludf.DUMMYFUNCTION("""COMPUTED_VALUE"""),"1LO0lVmw42vb8rN4FBdD2nZspNUXqgQCerd4ip5U8His")</f>
        <v>1LO0lVmw42vb8rN4FBdD2nZspNUXqgQCerd4ip5U8His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IFERROR(__xludf.DUMMYFUNCTION("""COMPUTED_VALUE"""),"RebalanceAcrossSecurities")</f>
        <v>RebalanceAcrossSecurities</v>
      </c>
      <c r="C399" t="str">
        <f>IFERROR(__xludf.DUMMYFUNCTION("""COMPUTED_VALUE"""),"1C-pSRr2mYlstlgFOXGSaoMyr-7ZKnUyCiCZMgNR75C0")</f>
        <v>1C-pSRr2mYlstlgFOXGSaoMyr-7ZKnUyCiCZMgNR75C0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IFERROR(__xludf.DUMMYFUNCTION("""COMPUTED_VALUE"""),"ClearCalculations")</f>
        <v>ClearCalculations</v>
      </c>
      <c r="C400" t="str">
        <f>IFERROR(__xludf.DUMMYFUNCTION("""COMPUTED_VALUE"""),"1pQy7yDMWL8pTAYmkyQd-37O6NjL8-HJsxUSDe_0vr3Y")</f>
        <v>1pQy7yDMWL8pTAYmkyQd-37O6NjL8-HJsxUSDe_0vr3Y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IFERROR(__xludf.DUMMYFUNCTION("""COMPUTED_VALUE"""),"ModifyRebalance")</f>
        <v>ModifyRebalance</v>
      </c>
      <c r="C401" t="str">
        <f>IFERROR(__xludf.DUMMYFUNCTION("""COMPUTED_VALUE"""),"1PL-GKbx6oOTs--yRdzkUeclt9Wvb6f5jt4XN1oEGIZk")</f>
        <v>1PL-GKbx6oOTs--yRdzkUeclt9Wvb6f5jt4XN1oEGIZk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IFERROR(__xludf.DUMMYFUNCTION("""COMPUTED_VALUE"""),"SelectThirdParty")</f>
        <v>SelectThirdParty</v>
      </c>
      <c r="C402" t="str">
        <f>IFERROR(__xludf.DUMMYFUNCTION("""COMPUTED_VALUE"""),"1liR_hGZCDbVQXoq6lXJaHhVX-C6zpm2FZKNUaUnD7k8")</f>
        <v>1liR_hGZCDbVQXoq6lXJaHhVX-C6zpm2FZKNUaUnD7k8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IFERROR(__xludf.DUMMYFUNCTION("""COMPUTED_VALUE"""),"ViewThirdParty")</f>
        <v>ViewThirdParty</v>
      </c>
      <c r="C403" t="str">
        <f>IFERROR(__xludf.DUMMYFUNCTION("""COMPUTED_VALUE"""),"1L-T9YKEKNm_ncTLX6p563fxmzW1DvdfOn3fW5ZhQiKs")</f>
        <v>1L-T9YKEKNm_ncTLX6p563fxmzW1DvdfOn3fW5ZhQiKs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IFERROR(__xludf.DUMMYFUNCTION("""COMPUTED_VALUE"""),"ThirdPartyGenerate")</f>
        <v>ThirdPartyGenerate</v>
      </c>
      <c r="C404" t="str">
        <f>IFERROR(__xludf.DUMMYFUNCTION("""COMPUTED_VALUE"""),"1hWXI97uokXrkZMWLiuOrUPZMYEmIb2-QuYGHPvEooqk")</f>
        <v>1hWXI97uokXrkZMWLiuOrUPZMYEmIb2-QuYGHPvEooqk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IFERROR(__xludf.DUMMYFUNCTION("""COMPUTED_VALUE"""),"VerifyThirdPartyView")</f>
        <v>VerifyThirdPartyView</v>
      </c>
      <c r="C405" t="str">
        <f>IFERROR(__xludf.DUMMYFUNCTION("""COMPUTED_VALUE"""),"1OPgUZqNYhV3KEPmPCahj5p6WvTvcu6yt-IilVEoYdck")</f>
        <v>1OPgUZqNYhV3KEPmPCahj5p6WvTvcu6yt-IilVEoYdck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IFERROR(__xludf.DUMMYFUNCTION("""COMPUTED_VALUE"""),"VerifyThirdPartyGenerate")</f>
        <v>VerifyThirdPartyGenerate</v>
      </c>
      <c r="C406" t="str">
        <f>IFERROR(__xludf.DUMMYFUNCTION("""COMPUTED_VALUE"""),"1TX-aVCyjewgmTHgLEH493prpSt_ChoMDatfBG5cVehM")</f>
        <v>1TX-aVCyjewgmTHgLEH493prpSt_ChoMDatfBG5cVehM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IFERROR(__xludf.DUMMYFUNCTION("""COMPUTED_VALUE"""),"VerifyThirdPartySend")</f>
        <v>VerifyThirdPartySend</v>
      </c>
      <c r="C407" t="str">
        <f>IFERROR(__xludf.DUMMYFUNCTION("""COMPUTED_VALUE"""),"1TFrpzJZv_IpTrlD7aBcoe8mWXKXiq4OeBVw49pOpJY8")</f>
        <v>1TFrpzJZv_IpTrlD7aBcoe8mWXKXiq4OeBVw49pOpJY8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IFERROR(__xludf.DUMMYFUNCTION("""COMPUTED_VALUE"""),"ThirdPartySend")</f>
        <v>ThirdPartySend</v>
      </c>
      <c r="C408" t="str">
        <f>IFERROR(__xludf.DUMMYFUNCTION("""COMPUTED_VALUE"""),"1ELxt02tfMApvtpApk-Uz6JQVqK95xGCxH6tEwuv_yMQ")</f>
        <v>1ELxt02tfMApvtpApk-Uz6JQVqK95xGCxH6tEwuv_yMQ</v>
      </c>
    </row>
    <row r="409" ht="15.75" customHeight="1">
      <c r="A409" t="str">
        <f>IFERROR(__xludf.DUMMYFUNCTION("""COMPUTED_VALUE"""),"Blotter")</f>
        <v>Blotter</v>
      </c>
      <c r="B409" t="str">
        <f>IFERROR(__xludf.DUMMYFUNCTION("""COMPUTED_VALUE"""),"VerifyViewAllocationDetails")</f>
        <v>VerifyViewAllocationDetails</v>
      </c>
      <c r="C409" t="str">
        <f>IFERROR(__xludf.DUMMYFUNCTION("""COMPUTED_VALUE"""),"1onX95lO5NTDqGvP-5pv_fQlL0p1SAPerH3jm5s9xIbE")</f>
        <v>1onX95lO5NTDqGvP-5pv_fQlL0p1SAPerH3jm5s9xIbE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IFERROR(__xludf.DUMMYFUNCTION("""COMPUTED_VALUE"""),"SelectPTTRecord")</f>
        <v>SelectPTTRecord</v>
      </c>
      <c r="C410" t="str">
        <f>IFERROR(__xludf.DUMMYFUNCTION("""COMPUTED_VALUE"""),"1MzR4w0s74eMMAMcl-KSxjpoZfHiuOypwn42ACvmTkKM")</f>
        <v>1MzR4w0s74eMMAMcl-KSxjpoZfHiuOypwn42ACvmTkKM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IFERROR(__xludf.DUMMYFUNCTION("""COMPUTED_VALUE"""),"EditPTTRecord")</f>
        <v>EditPTTRecord</v>
      </c>
      <c r="C411" t="str">
        <f>IFERROR(__xludf.DUMMYFUNCTION("""COMPUTED_VALUE"""),"13Ecyy3eTKlOlM2mlZRP_nxQjfP02VfkmPAAS8AQWMQk")</f>
        <v>13Ecyy3eTKlOlM2mlZRP_nxQjfP02VfkmPAAS8AQWMQk</v>
      </c>
    </row>
    <row r="412" ht="15.75" customHeight="1">
      <c r="A412" t="str">
        <f>IFERROR(__xludf.DUMMYFUNCTION("""COMPUTED_VALUE"""),"Blotter")</f>
        <v>Blotter</v>
      </c>
      <c r="B412" t="str">
        <f>IFERROR(__xludf.DUMMYFUNCTION("""COMPUTED_VALUE"""),"GoToAllocation")</f>
        <v>GoToAllocation</v>
      </c>
      <c r="C412" t="str">
        <f>IFERROR(__xludf.DUMMYFUNCTION("""COMPUTED_VALUE"""),"1O10TSVXx7-qL87FJas1gFd9p3JugF_Bn4u9W7TpD46U")</f>
        <v>1O10TSVXx7-qL87FJas1gFd9p3JugF_Bn4u9W7TpD46U</v>
      </c>
    </row>
    <row r="413" ht="15.75" customHeight="1">
      <c r="A413" t="str">
        <f>IFERROR(__xludf.DUMMYFUNCTION("""COMPUTED_VALUE"""),"Simulator")</f>
        <v>Simulator</v>
      </c>
      <c r="B413" t="str">
        <f>IFERROR(__xludf.DUMMYFUNCTION("""COMPUTED_VALUE"""),"CloseSimulator")</f>
        <v>CloseSimulator</v>
      </c>
      <c r="C413" t="str">
        <f>IFERROR(__xludf.DUMMYFUNCTION("""COMPUTED_VALUE"""),"undefined")</f>
        <v>undefined</v>
      </c>
    </row>
    <row r="414" ht="15.75" customHeight="1">
      <c r="A414" t="str">
        <f>IFERROR(__xludf.DUMMYFUNCTION("""COMPUTED_VALUE"""),"GeneralLedger")</f>
        <v>GeneralLedger</v>
      </c>
      <c r="B414" t="str">
        <f>IFERROR(__xludf.DUMMYFUNCTION("""COMPUTED_VALUE"""),"VerifyCashTransaction")</f>
        <v>VerifyCashTransaction</v>
      </c>
      <c r="C414" t="str">
        <f>IFERROR(__xludf.DUMMYFUNCTION("""COMPUTED_VALUE"""),"1txiXYRv6RuxBB6CkKPa64Foilc8XIy5M-1KPAOBp9Z0")</f>
        <v>1txiXYRv6RuxBB6CkKPa64Foilc8XIy5M-1KPAOBp9Z0</v>
      </c>
    </row>
    <row r="415" ht="15.75" customHeight="1">
      <c r="A415" t="str">
        <f>IFERROR(__xludf.DUMMYFUNCTION("""COMPUTED_VALUE"""),"Rebalancer")</f>
        <v>Rebalancer</v>
      </c>
      <c r="B415" t="str">
        <f>IFERROR(__xludf.DUMMYFUNCTION("""COMPUTED_VALUE"""),"ModelPortfolio")</f>
        <v>ModelPortfolio</v>
      </c>
      <c r="C415" t="str">
        <f>IFERROR(__xludf.DUMMYFUNCTION("""COMPUTED_VALUE"""),"1w51NpunZkBS_x4rZvkQXu2o8AUhD_GQPCtuFN-r1AFw")</f>
        <v>1w51NpunZkBS_x4rZvkQXu2o8AUhD_GQPCtuFN-r1AFw</v>
      </c>
    </row>
    <row r="416" ht="15.75" customHeight="1">
      <c r="A416" t="str">
        <f>IFERROR(__xludf.DUMMYFUNCTION("""COMPUTED_VALUE"""),"DailyValuation")</f>
        <v>DailyValuation</v>
      </c>
      <c r="B416" t="str">
        <f>IFERROR(__xludf.DUMMYFUNCTION("""COMPUTED_VALUE"""),"VerifyDailyCash")</f>
        <v>VerifyDailyCash</v>
      </c>
      <c r="C416" t="str">
        <f>IFERROR(__xludf.DUMMYFUNCTION("""COMPUTED_VALUE"""),"1wXn8vaJbEg8VcRqhsw0cR1-Odkjr1m2zE8tXCmLX54g")</f>
        <v>1wXn8vaJbEg8VcRqhsw0cR1-Odkjr1m2zE8tXCmLX54g</v>
      </c>
    </row>
    <row r="417" ht="15.75" customHeight="1">
      <c r="A417" t="str">
        <f>IFERROR(__xludf.DUMMYFUNCTION("""COMPUTED_VALUE"""),"Admin")</f>
        <v>Admin</v>
      </c>
      <c r="B417" t="str">
        <f>IFERROR(__xludf.DUMMYFUNCTION("""COMPUTED_VALUE"""),"SetCheckSide")</f>
        <v>SetCheckSide</v>
      </c>
      <c r="C417" t="str">
        <f>IFERROR(__xludf.DUMMYFUNCTION("""COMPUTED_VALUE"""),"1yyQmTWt6_vzUYvOiD3DjjThIuA-7rtaxLv1CWXWSP1c")</f>
        <v>1yyQmTWt6_vzUYvOiD3DjjThIuA-7rtaxLv1CWXWSP1c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IFERROR(__xludf.DUMMYFUNCTION("""COMPUTED_VALUE"""),"OpenSpinOff")</f>
        <v>OpenSpinOff</v>
      </c>
      <c r="C418" t="str">
        <f>IFERROR(__xludf.DUMMYFUNCTION("""COMPUTED_VALUE"""),"1s7UywmXsvA66vGSvDSU_CidM0OgQwEbFnisEBEFmoz0")</f>
        <v>1s7UywmXsvA66vGSvDSU_CidM0OgQwEbFnisEBEFmoz0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IFERROR(__xludf.DUMMYFUNCTION("""COMPUTED_VALUE"""),"VerifyAndApplyCorpAction")</f>
        <v>VerifyAndApplyCorpAction</v>
      </c>
      <c r="C419" t="str">
        <f>IFERROR(__xludf.DUMMYFUNCTION("""COMPUTED_VALUE"""),"1cHNKlWy_s_rmmZHG2nid4hP7PjQozO104yUNI3CyU1o")</f>
        <v>1cHNKlWy_s_rmmZHG2nid4hP7PjQozO104yUNI3CyU1o</v>
      </c>
    </row>
    <row r="420" ht="15.75" customHeight="1">
      <c r="A420" t="str">
        <f>IFERROR(__xludf.DUMMYFUNCTION("""COMPUTED_VALUE"""),"CorporateAction ")</f>
        <v>CorporateAction </v>
      </c>
      <c r="B420" t="str">
        <f>IFERROR(__xludf.DUMMYFUNCTION("""COMPUTED_VALUE"""),"VerifyAndSaveCorpAction")</f>
        <v>VerifyAndSaveCorpAction</v>
      </c>
      <c r="C420" t="str">
        <f>IFERROR(__xludf.DUMMYFUNCTION("""COMPUTED_VALUE"""),"1bruEDkUzHa33GtKgwOjgeu-gUDGJFATMt-u7J51XEU4")</f>
        <v>1bruEDkUzHa33GtKgwOjgeu-gUDGJFATMt-u7J51XEU4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IFERROR(__xludf.DUMMYFUNCTION("""COMPUTED_VALUE"""),"DisableChecksideForAsset")</f>
        <v>DisableChecksideForAsset</v>
      </c>
      <c r="C421" t="str">
        <f>IFERROR(__xludf.DUMMYFUNCTION("""COMPUTED_VALUE"""),"1w1BRJVZsjn1B0PDYrYEKzXGEw-NFKSMIyNqeBCt4yec")</f>
        <v>1w1BRJVZsjn1B0PDYrYEKzXGEw-NFKSMIyNqeBCt4yec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IFERROR(__xludf.DUMMYFUNCTION("""COMPUTED_VALUE"""),"DisableChecksideForAccount")</f>
        <v>DisableChecksideForAccount</v>
      </c>
      <c r="C422" t="str">
        <f>IFERROR(__xludf.DUMMYFUNCTION("""COMPUTED_VALUE"""),"1m8_kQ_0tVJoTiBpYOtlKW23NWSHVfniRS6qC-gXm10s")</f>
        <v>1m8_kQ_0tVJoTiBpYOtlKW23NWSHVfniRS6qC-gXm10s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IFERROR(__xludf.DUMMYFUNCTION("""COMPUTED_VALUE"""),"DisableChecksideForCounterParty")</f>
        <v>DisableChecksideForCounterParty</v>
      </c>
      <c r="C423" t="str">
        <f>IFERROR(__xludf.DUMMYFUNCTION("""COMPUTED_VALUE"""),"17N8VCOwI2fnS5Lh1_oE2TZ5tHs8EeP3ATBk93WwvRHk")</f>
        <v>17N8VCOwI2fnS5Lh1_oE2TZ5tHs8EeP3ATBk93WwvRHk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IFERROR(__xludf.DUMMYFUNCTION("""COMPUTED_VALUE"""),"DisableCheckside")</f>
        <v>DisableCheckside</v>
      </c>
      <c r="C424" t="str">
        <f>IFERROR(__xludf.DUMMYFUNCTION("""COMPUTED_VALUE"""),"1F88uJdltwqga7oeOfytDjDGsBP4kpEF_aSFBEzDCUqY")</f>
        <v>1F88uJdltwqga7oeOfytDjDGsBP4kpEF_aSFBEzDCUqY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IFERROR(__xludf.DUMMYFUNCTION("""COMPUTED_VALUE"""),"ApplyMasterFundFilter")</f>
        <v>ApplyMasterFundFilter</v>
      </c>
      <c r="C425" t="str">
        <f>IFERROR(__xludf.DUMMYFUNCTION("""COMPUTED_VALUE"""),"1yIy9yo2gUgRLah_KTWBr8Q8ouxWuW7qEoYCxd-IyZqU")</f>
        <v>1yIy9yo2gUgRLah_KTWBr8Q8ouxWuW7qEoYCxd-IyZqU</v>
      </c>
    </row>
    <row r="426" ht="15.75" customHeight="1">
      <c r="A426" t="str">
        <f>IFERROR(__xludf.DUMMYFUNCTION("""COMPUTED_VALUE"""),"TradingTicket")</f>
        <v>TradingTicket</v>
      </c>
      <c r="B426" t="str">
        <f>IFERROR(__xludf.DUMMYFUNCTION("""COMPUTED_VALUE"""),"UpdateMasterFundOnTT")</f>
        <v>UpdateMasterFundOnTT</v>
      </c>
      <c r="C426" t="str">
        <f>IFERROR(__xludf.DUMMYFUNCTION("""COMPUTED_VALUE"""),"1vtwSXTZXLwVYR5bhmfKT7b9o6JVmS_9MOZn7CcypLvw")</f>
        <v>1vtwSXTZXLwVYR5bhmfKT7b9o6JVmS_9MOZn7CcypLvw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IFERROR(__xludf.DUMMYFUNCTION("""COMPUTED_VALUE"""),"ShowMasterFundOnTT")</f>
        <v>ShowMasterFundOnTT</v>
      </c>
      <c r="C427" t="str">
        <f>IFERROR(__xludf.DUMMYFUNCTION("""COMPUTED_VALUE"""),"1tY8_vmgwAtlU3wdGRDk8WSaRLCv6640XZ0pVR7jx06k")</f>
        <v>1tY8_vmgwAtlU3wdGRDk8WSaRLCv6640XZ0pVR7jx06k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IFERROR(__xludf.DUMMYFUNCTION("""COMPUTED_VALUE"""),"ShowMasterFundAsClient")</f>
        <v>ShowMasterFundAsClient</v>
      </c>
      <c r="C428" t="str">
        <f>IFERROR(__xludf.DUMMYFUNCTION("""COMPUTED_VALUE"""),"1dXSCZtp_PbY2-xO4HyuQFjP9rqovyxBIHohhAalWHdk")</f>
        <v>1dXSCZtp_PbY2-xO4HyuQFjP9rqovyxBIHohhAalWHdk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IFERROR(__xludf.DUMMYFUNCTION("""COMPUTED_VALUE"""),"SetBrokerAccountMapping")</f>
        <v>SetBrokerAccountMapping</v>
      </c>
      <c r="C429" t="str">
        <f>IFERROR(__xludf.DUMMYFUNCTION("""COMPUTED_VALUE"""),"1MPDRlprMFMS8DkR-4ntdGvBOQ6Gp4Cbkz1mGJyRiPBU")</f>
        <v>1MPDRlprMFMS8DkR-4ntdGvBOQ6Gp4Cbkz1mGJyRiPBU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IFERROR(__xludf.DUMMYFUNCTION("""COMPUTED_VALUE"""),"EditUnallocatedGridWPF")</f>
        <v>EditUnallocatedGridWPF</v>
      </c>
      <c r="C430" t="str">
        <f>IFERROR(__xludf.DUMMYFUNCTION("""COMPUTED_VALUE"""),"1FoqMjsh7kSUAPZgAsBdK0Dgz6XaVskoGr37G773xRsI")</f>
        <v>1FoqMjsh7kSUAPZgAsBdK0Dgz6XaVskoGr37G773xRsI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IFERROR(__xludf.DUMMYFUNCTION("""COMPUTED_VALUE"""),"EditAllocatedGridWPF")</f>
        <v>EditAllocatedGridWPF</v>
      </c>
      <c r="C431" t="str">
        <f>IFERROR(__xludf.DUMMYFUNCTION("""COMPUTED_VALUE"""),"1JDZt3yDzGJYLwgfnrM-1JpkYjLh4xdqn3im1wNwUiWg")</f>
        <v>1JDZt3yDzGJYLwgfnrM-1JpkYjLh4xdqn3im1wNwUiWg</v>
      </c>
    </row>
    <row r="432" ht="15.75" customHeight="1">
      <c r="A432" t="str">
        <f>IFERROR(__xludf.DUMMYFUNCTION("""COMPUTED_VALUE"""),"Admin")</f>
        <v>Admin</v>
      </c>
      <c r="B432" t="str">
        <f>IFERROR(__xludf.DUMMYFUNCTION("""COMPUTED_VALUE"""),"SetRollover")</f>
        <v>SetRollover</v>
      </c>
      <c r="C432" t="str">
        <f>IFERROR(__xludf.DUMMYFUNCTION("""COMPUTED_VALUE"""),"1mcj3boGZkRmnkbGNVOiMK0RBd1tDfxGwoUagq09FwTM")</f>
        <v>1mcj3boGZkRmnkbGNVOiMK0RBd1tDfxGwoUagq09FwTM</v>
      </c>
    </row>
    <row r="433" ht="15.75" customHeight="1">
      <c r="A433" t="str">
        <f>IFERROR(__xludf.DUMMYFUNCTION("""COMPUTED_VALUE"""),"Blotter")</f>
        <v>Blotter</v>
      </c>
      <c r="B433" t="str">
        <f>IFERROR(__xludf.DUMMYFUNCTION("""COMPUTED_VALUE"""),"VerifyRollover")</f>
        <v>VerifyRollover</v>
      </c>
      <c r="C433" t="str">
        <f>IFERROR(__xludf.DUMMYFUNCTION("""COMPUTED_VALUE"""),"1ZZ2-R1OHOoSZ9jUfqlZ7UX-MNoTL_RipoEPOEeDhUiU")</f>
        <v>1ZZ2-R1OHOoSZ9jUfqlZ7UX-MNoTL_RipoEPOEeDhUiU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IFERROR(__xludf.DUMMYFUNCTION("""COMPUTED_VALUE"""),"EditAllocatedGridTaxlot")</f>
        <v>EditAllocatedGridTaxlot</v>
      </c>
      <c r="C434" t="str">
        <f>IFERROR(__xludf.DUMMYFUNCTION("""COMPUTED_VALUE"""),"1tuNkOgVUAgmGZdePkvb6Kq4fOIVUbM2Oo-j35VwEMxU")</f>
        <v>1tuNkOgVUAgmGZdePkvb6Kq4fOIVUbM2Oo-j35VwEMxU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IFERROR(__xludf.DUMMYFUNCTION("""COMPUTED_VALUE"""),"ExpandCollapseAllocatedGrid")</f>
        <v>ExpandCollapseAllocatedGrid</v>
      </c>
      <c r="C435" t="str">
        <f>IFERROR(__xludf.DUMMYFUNCTION("""COMPUTED_VALUE"""),"1rFegPn3vtFd9CjW_Q7sLLAAJfMR24R2aIjZeDzV88kI")</f>
        <v>1rFegPn3vtFd9CjW_Q7sLLAAJfMR24R2aIjZeDzV88kI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IFERROR(__xludf.DUMMYFUNCTION("""COMPUTED_VALUE"""),"ExpandCollapseUnallocatedGrid")</f>
        <v>ExpandCollapseUnallocatedGrid</v>
      </c>
      <c r="C436" t="str">
        <f>IFERROR(__xludf.DUMMYFUNCTION("""COMPUTED_VALUE"""),"1AUbU9P9evi80SGX-0B0OEU4EIeSy8XoX0Jxc2neUG7Y")</f>
        <v>1AUbU9P9evi80SGX-0B0OEU4EIeSy8XoX0Jxc2neUG7Y</v>
      </c>
    </row>
    <row r="437" ht="15.75" customHeight="1">
      <c r="A437" t="str">
        <f>IFERROR(__xludf.DUMMYFUNCTION("""COMPUTED_VALUE"""),"Blotter")</f>
        <v>Blotter</v>
      </c>
      <c r="B437" t="str">
        <f>IFERROR(__xludf.DUMMYFUNCTION("""COMPUTED_VALUE"""),"VerifySubOrderAfterRollover")</f>
        <v>VerifySubOrderAfterRollover</v>
      </c>
      <c r="C437" t="str">
        <f>IFERROR(__xludf.DUMMYFUNCTION("""COMPUTED_VALUE"""),"1BmRHukyQ4miHL0fDoU1ytWmIfZkbbUhts6aUXOoJt1M")</f>
        <v>1BmRHukyQ4miHL0fDoU1ytWmIfZkbbUhts6aUXOoJt1M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IFERROR(__xludf.DUMMYFUNCTION("""COMPUTED_VALUE"""),"SelectTransactionImportType")</f>
        <v>SelectTransactionImportType</v>
      </c>
      <c r="C438" t="str">
        <f>IFERROR(__xludf.DUMMYFUNCTION("""COMPUTED_VALUE"""),"1ultylVChPDBFQEPMhDgNhsGAOiEjOy4yrylpQgIIDRs")</f>
        <v>1ultylVChPDBFQEPMhDgNhsGAOiEjOy4yrylpQgIIDRs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IFERROR(__xludf.DUMMYFUNCTION("""COMPUTED_VALUE"""),"SelectAllOnImport")</f>
        <v>SelectAllOnImport</v>
      </c>
      <c r="C439" t="str">
        <f>IFERROR(__xludf.DUMMYFUNCTION("""COMPUTED_VALUE"""),"1kfuraVHmWK4GQJ5l-V_xi5ZOvrVVE_6df75wO3Tczkw")</f>
        <v>1kfuraVHmWK4GQJ5l-V_xi5ZOvrVVE_6df75wO3Tczkw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IFERROR(__xludf.DUMMYFUNCTION("""COMPUTED_VALUE"""),"SelectMarkPriceImportType")</f>
        <v>SelectMarkPriceImportType</v>
      </c>
      <c r="C440" t="str">
        <f>IFERROR(__xludf.DUMMYFUNCTION("""COMPUTED_VALUE"""),"16WxFw58KivOf3P1utNNMuCYVONlWBgTIRn0wVd6Sq10")</f>
        <v>16WxFw58KivOf3P1utNNMuCYVONlWBgTIRn0wVd6Sq10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IFERROR(__xludf.DUMMYFUNCTION("""COMPUTED_VALUE"""),"SelectForexImportType")</f>
        <v>SelectForexImportType</v>
      </c>
      <c r="C441" t="str">
        <f>IFERROR(__xludf.DUMMYFUNCTION("""COMPUTED_VALUE"""),"1niCpVuSl0IoWtjAcvElNI0GeVHeA4cKvepxzq7Z4t0Y")</f>
        <v>1niCpVuSl0IoWtjAcvElNI0GeVHeA4cKvepxzq7Z4t0Y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IFERROR(__xludf.DUMMYFUNCTION("""COMPUTED_VALUE"""),"SelectDoubleEntryCashImportType")</f>
        <v>SelectDoubleEntryCashImportType</v>
      </c>
      <c r="C442" t="str">
        <f>IFERROR(__xludf.DUMMYFUNCTION("""COMPUTED_VALUE"""),"1c3AV5tCWYyTG5GupbNYTh4Y6mBGeI5Q18WF7jbA_FoE")</f>
        <v>1c3AV5tCWYyTG5GupbNYTh4Y6mBGeI5Q18WF7jbA_FoE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IFERROR(__xludf.DUMMYFUNCTION("""COMPUTED_VALUE"""),"SelectActivitiesImportType")</f>
        <v>SelectActivitiesImportType</v>
      </c>
      <c r="C443" t="str">
        <f>IFERROR(__xludf.DUMMYFUNCTION("""COMPUTED_VALUE"""),"1X6nskWL8-xWWF-gN9qfxhhV3aBuAeoxKsrdra5tJcpQ")</f>
        <v>1X6nskWL8-xWWF-gN9qfxhhV3aBuAeoxKsrdra5tJcpQ</v>
      </c>
    </row>
    <row r="444" ht="15.75" customHeight="1">
      <c r="A444" t="str">
        <f>IFERROR(__xludf.DUMMYFUNCTION("""COMPUTED_VALUE"""),"TradingTicket")</f>
        <v>TradingTicket</v>
      </c>
      <c r="B444" t="str">
        <f>IFERROR(__xludf.DUMMYFUNCTION("""COMPUTED_VALUE"""),"SetTTCompliancePreference")</f>
        <v>SetTTCompliancePreference</v>
      </c>
      <c r="C444" t="str">
        <f>IFERROR(__xludf.DUMMYFUNCTION("""COMPUTED_VALUE"""),"1OPa8vYQi1QXXNENlCNdP6ay_L5vU7WyWP5dErE2KHEA")</f>
        <v>1OPa8vYQi1QXXNENlCNdP6ay_L5vU7WyWP5dErE2KHEA</v>
      </c>
    </row>
    <row r="445" ht="15.75" customHeight="1">
      <c r="A445" t="str">
        <f>IFERROR(__xludf.DUMMYFUNCTION("""COMPUTED_VALUE"""),"Rebalancer")</f>
        <v>Rebalancer</v>
      </c>
      <c r="B445" t="str">
        <f>IFERROR(__xludf.DUMMYFUNCTION("""COMPUTED_VALUE"""),"LockandUnlockGridData")</f>
        <v>LockandUnlockGridData</v>
      </c>
      <c r="C445" t="str">
        <f>IFERROR(__xludf.DUMMYFUNCTION("""COMPUTED_VALUE"""),"1Km85kIYSTzG-NQHFDL8ZVRQQ0TKLUDOYsw-kdDX29xE")</f>
        <v>1Km85kIYSTzG-NQHFDL8ZVRQQ0TKLUDOYsw-kdDX29xE</v>
      </c>
    </row>
    <row r="446" ht="15.75" customHeight="1">
      <c r="A446" t="str">
        <f>IFERROR(__xludf.DUMMYFUNCTION("""COMPUTED_VALUE"""),"Allocation")</f>
        <v>Allocation</v>
      </c>
      <c r="B446" t="str">
        <f>IFERROR(__xludf.DUMMYFUNCTION("""COMPUTED_VALUE"""),"SetTradeAttributePreferences")</f>
        <v>SetTradeAttributePreferences</v>
      </c>
      <c r="C446" t="str">
        <f>IFERROR(__xludf.DUMMYFUNCTION("""COMPUTED_VALUE"""),"1jyPRPc_0lTWCpP9oldB5fgtg2dy3jSnXLkS_qYf40-I")</f>
        <v>1jyPRPc_0lTWCpP9oldB5fgtg2dy3jSnXLkS_qYf40-I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IFERROR(__xludf.DUMMYFUNCTION("""COMPUTED_VALUE"""),"VerifyAccountBalances")</f>
        <v>VerifyAccountBalances</v>
      </c>
      <c r="C447" t="str">
        <f>IFERROR(__xludf.DUMMYFUNCTION("""COMPUTED_VALUE"""),"1ym14EKcw7B3au8SvVteq2gmFR3cDcsMvQQEIm0TQjf4")</f>
        <v>1ym14EKcw7B3au8SvVteq2gmFR3cDcsMvQQEIm0TQjf4</v>
      </c>
    </row>
    <row r="448" ht="15.75" customHeight="1">
      <c r="A448" t="str">
        <f>IFERROR(__xludf.DUMMYFUNCTION("""COMPUTED_VALUE"""),"Rebalancer")</f>
        <v>Rebalancer</v>
      </c>
      <c r="B448" t="str">
        <f>IFERROR(__xludf.DUMMYFUNCTION("""COMPUTED_VALUE"""),"RefreshGridData")</f>
        <v>RefreshGridData</v>
      </c>
      <c r="C448" t="str">
        <f>IFERROR(__xludf.DUMMYFUNCTION("""COMPUTED_VALUE"""),"1iFsjUbnYA0Jwd89eYQjg5OrnW3lr2WGVb5quimwHrRw")</f>
        <v>1iFsjUbnYA0Jwd89eYQjg5OrnW3lr2WGVb5quimwHrRw</v>
      </c>
    </row>
    <row r="449" ht="15.75" customHeight="1">
      <c r="A449" t="str">
        <f>IFERROR(__xludf.DUMMYFUNCTION("""COMPUTED_VALUE"""),"GeneralLedger")</f>
        <v>GeneralLedger</v>
      </c>
      <c r="B449" t="str">
        <f>IFERROR(__xludf.DUMMYFUNCTION("""COMPUTED_VALUE"""),"AddMultipleOpeningBalTranItem")</f>
        <v>AddMultipleOpeningBalTranItem</v>
      </c>
      <c r="C449" t="str">
        <f>IFERROR(__xludf.DUMMYFUNCTION("""COMPUTED_VALUE"""),"14VkN8stineosylh8hvnYNK-GMxNG0uFZBKPjv00GOVc")</f>
        <v>14VkN8stineosylh8hvnYNK-GMxNG0uFZBKPjv00GOVc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IFERROR(__xludf.DUMMYFUNCTION("""COMPUTED_VALUE"""),"ApplyFilterOnImport")</f>
        <v>ApplyFilterOnImport</v>
      </c>
      <c r="C450" t="str">
        <f>IFERROR(__xludf.DUMMYFUNCTION("""COMPUTED_VALUE"""),"1NbH6CrAG4P2-tfFJ5m9jUCbnHY9N7cAluffYy9kFrtg")</f>
        <v>1NbH6CrAG4P2-tfFJ5m9jUCbnHY9N7cAluffYy9kFrtg</v>
      </c>
    </row>
    <row r="451" ht="15.75" customHeight="1">
      <c r="A451" t="str">
        <f>IFERROR(__xludf.DUMMYFUNCTION("""COMPUTED_VALUE"""),"Rebalancer")</f>
        <v>Rebalancer</v>
      </c>
      <c r="B451" t="str">
        <f>IFERROR(__xludf.DUMMYFUNCTION("""COMPUTED_VALUE"""),"SendtoStaging")</f>
        <v>SendtoStaging</v>
      </c>
      <c r="C451" t="str">
        <f>IFERROR(__xludf.DUMMYFUNCTION("""COMPUTED_VALUE"""),"1Zhte_TGc173a8WWc7feC_7HQ_A-M9Q7Np-aK2NPeTIo")</f>
        <v>1Zhte_TGc173a8WWc7feC_7HQ_A-M9Q7Np-aK2NPeTIo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IFERROR(__xludf.DUMMYFUNCTION("""COMPUTED_VALUE"""),"SetDefaultSymbology")</f>
        <v>SetDefaultSymbology</v>
      </c>
      <c r="C452" t="str">
        <f>IFERROR(__xludf.DUMMYFUNCTION("""COMPUTED_VALUE"""),"1b7zlTIVQjL2vZc0hUNmY0Nj3YpQi8BtYcWMr8_hvABw")</f>
        <v>1b7zlTIVQjL2vZc0hUNmY0Nj3YpQi8BtYcWMr8_hvABw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IFERROR(__xludf.DUMMYFUNCTION("""COMPUTED_VALUE"""),"EnterCustomAllocatePreference")</f>
        <v>EnterCustomAllocatePreference</v>
      </c>
      <c r="C453" t="str">
        <f>IFERROR(__xludf.DUMMYFUNCTION("""COMPUTED_VALUE"""),"1eNnQSyrPr_L4TcV7izBj89sySDQaYK6gNqNVbd2ChKE")</f>
        <v>1eNnQSyrPr_L4TcV7izBj89sySDQaYK6gNqNVbd2ChKE</v>
      </c>
    </row>
    <row r="454" ht="15.75" customHeight="1">
      <c r="A454" t="str">
        <f>IFERROR(__xludf.DUMMYFUNCTION("""COMPUTED_VALUE"""),"PTT")</f>
        <v>PTT</v>
      </c>
      <c r="B454" t="str">
        <f>IFERROR(__xludf.DUMMYFUNCTION("""COMPUTED_VALUE"""),"EditPTTAccountLevelWPF")</f>
        <v>EditPTTAccountLevelWPF</v>
      </c>
      <c r="C454" t="str">
        <f>IFERROR(__xludf.DUMMYFUNCTION("""COMPUTED_VALUE"""),"1lkoB4yg9KAzhNswvpJ9xWcz4YPaysGRGQuXBp7wigzQ")</f>
        <v>1lkoB4yg9KAzhNswvpJ9xWcz4YPaysGRGQuXBp7wigzQ</v>
      </c>
    </row>
    <row r="455" ht="15.75" customHeight="1">
      <c r="A455" t="str">
        <f>IFERROR(__xludf.DUMMYFUNCTION("""COMPUTED_VALUE"""),"PortfolioManagement")</f>
        <v>PortfolioManagement</v>
      </c>
      <c r="B455" t="str">
        <f>IFERROR(__xludf.DUMMYFUNCTION("""COMPUTED_VALUE"""),"OpenCreateTransactionFromPM")</f>
        <v>OpenCreateTransactionFromPM</v>
      </c>
      <c r="C455" t="str">
        <f>IFERROR(__xludf.DUMMYFUNCTION("""COMPUTED_VALUE"""),"1kYgb5moj5P-JWXvKHbuX1snB8mlE4Vdc4aiH1bDnoHI")</f>
        <v>1kYgb5moj5P-JWXvKHbuX1snB8mlE4Vdc4aiH1bDnoHI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IFERROR(__xludf.DUMMYFUNCTION("""COMPUTED_VALUE"""),"SetAutoGroupingPreferences")</f>
        <v>SetAutoGroupingPreferences</v>
      </c>
      <c r="C456" t="str">
        <f>IFERROR(__xludf.DUMMYFUNCTION("""COMPUTED_VALUE"""),"1D35ujYz3sSem5ddRMKhpDtAxLAuwzV3i4A0w31WFRjE")</f>
        <v>1D35ujYz3sSem5ddRMKhpDtAxLAuwzV3i4A0w31WFRjE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IFERROR(__xludf.DUMMYFUNCTION("""COMPUTED_VALUE"""),"SetAutoGroupingAccount")</f>
        <v>SetAutoGroupingAccount</v>
      </c>
      <c r="C457" t="str">
        <f>IFERROR(__xludf.DUMMYFUNCTION("""COMPUTED_VALUE"""),"1CF-lbRv2R0CjOCWWaoSCrEih5WxPa65LdKDcH_H7AvM")</f>
        <v>1CF-lbRv2R0CjOCWWaoSCrEih5WxPa65LdKDcH_H7AvM</v>
      </c>
    </row>
    <row r="458" ht="15.75" customHeight="1">
      <c r="A458" t="str">
        <f>IFERROR(__xludf.DUMMYFUNCTION("""COMPUTED_VALUE"""),"Allocation")</f>
        <v>Allocation</v>
      </c>
      <c r="B458" t="str">
        <f>IFERROR(__xludf.DUMMYFUNCTION("""COMPUTED_VALUE"""),"SetAvgPriceRounding")</f>
        <v>SetAvgPriceRounding</v>
      </c>
      <c r="C458" t="str">
        <f>IFERROR(__xludf.DUMMYFUNCTION("""COMPUTED_VALUE"""),"1appeOpkVhy6OTICRFxIDc71ZbQKU-Ynw5sV7KihABMU")</f>
        <v>1appeOpkVhy6OTICRFxIDc71ZbQKU-Ynw5sV7KihABMU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IFERROR(__xludf.DUMMYFUNCTION("""COMPUTED_VALUE"""),"SetActive")</f>
        <v>SetActive</v>
      </c>
      <c r="C459" t="str">
        <f>IFERROR(__xludf.DUMMYFUNCTION("""COMPUTED_VALUE"""),"1ymrfngxFmxi2NFQGgXVw211iNNJ37T-E5RaoFHqrBv0")</f>
        <v>1ymrfngxFmxi2NFQGgXVw211iNNJ37T-E5RaoFHqrBv0</v>
      </c>
    </row>
    <row r="460" ht="15.75" customHeight="1">
      <c r="A460" t="str">
        <f>IFERROR(__xludf.DUMMYFUNCTION("""COMPUTED_VALUE"""),"Admin")</f>
        <v>Admin</v>
      </c>
      <c r="B460" t="str">
        <f>IFERROR(__xludf.DUMMYFUNCTION("""COMPUTED_VALUE"""),"SetThirdPartyFormat")</f>
        <v>SetThirdPartyFormat</v>
      </c>
      <c r="C460" t="str">
        <f>IFERROR(__xludf.DUMMYFUNCTION("""COMPUTED_VALUE"""),"1YBuAIaPPp_zD8dJLcJZofXxiKAE6eZJzGO4FqDo7GTE")</f>
        <v>1YBuAIaPPp_zD8dJLcJZofXxiKAE6eZJzGO4FqDo7GTE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IFERROR(__xludf.DUMMYFUNCTION("""COMPUTED_VALUE"""),"RebalanceViaBloomberg")</f>
        <v>RebalanceViaBloomberg</v>
      </c>
      <c r="C461" t="str">
        <f>IFERROR(__xludf.DUMMYFUNCTION("""COMPUTED_VALUE"""),"1KhWzt5vyNW1kzhPLXipM9CAX2wUBQQLJePUogClbNy0")</f>
        <v>1KhWzt5vyNW1kzhPLXipM9CAX2wUBQQLJePUogClbNy0</v>
      </c>
    </row>
    <row r="462" ht="15.75" customHeight="1">
      <c r="A462" t="str">
        <f>IFERROR(__xludf.DUMMYFUNCTION("""COMPUTED_VALUE"""),"ThirdParty")</f>
        <v>ThirdParty</v>
      </c>
      <c r="B462" t="str">
        <f>IFERROR(__xludf.DUMMYFUNCTION("""COMPUTED_VALUE"""),"RefreshThirdParty")</f>
        <v>RefreshThirdParty</v>
      </c>
      <c r="C462" t="str">
        <f>IFERROR(__xludf.DUMMYFUNCTION("""COMPUTED_VALUE"""),"1lOOWkQYcBWumeD4F4mCbIz0B_-RtHa-lbk2xvVUXKAQ")</f>
        <v>1lOOWkQYcBWumeD4F4mCbIz0B_-RtHa-lbk2xvVUXKAQ</v>
      </c>
    </row>
    <row r="463" ht="15.75" customHeight="1">
      <c r="A463" t="str">
        <f>IFERROR(__xludf.DUMMYFUNCTION("""COMPUTED_VALUE"""),"Rebalancer")</f>
        <v>Rebalancer</v>
      </c>
      <c r="B463" t="str">
        <f>IFERROR(__xludf.DUMMYFUNCTION("""COMPUTED_VALUE"""),"AddUserAdjustedNAV")</f>
        <v>AddUserAdjustedNAV</v>
      </c>
      <c r="C463" t="str">
        <f>IFERROR(__xludf.DUMMYFUNCTION("""COMPUTED_VALUE"""),"1qQ0LJ_1IrYMh6SBmiw0AFS9zYw6kLYcDP2Wn07lO6Lk")</f>
        <v>1qQ0LJ_1IrYMh6SBmiw0AFS9zYw6kLYcDP2Wn07lO6Lk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IFERROR(__xludf.DUMMYFUNCTION("""COMPUTED_VALUE"""),"IsAllocationOpen")</f>
        <v>IsAllocationOpen</v>
      </c>
      <c r="C464" t="str">
        <f>IFERROR(__xludf.DUMMYFUNCTION("""COMPUTED_VALUE"""),"1Yj9sEWGLvIGVCkeE8wc3xNY8Z4yZNGigW0Bdgp8edvA")</f>
        <v>1Yj9sEWGLvIGVCkeE8wc3xNY8Z4yZNGigW0Bdgp8edvA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IFERROR(__xludf.DUMMYFUNCTION("""COMPUTED_VALUE"""),"ImportOnShortLocate")</f>
        <v>ImportOnShortLocate</v>
      </c>
      <c r="C465" t="str">
        <f>IFERROR(__xludf.DUMMYFUNCTION("""COMPUTED_VALUE"""),"1C1ug_xZK2cdCqIYVDKTOxKoGTSIdtZaPgm86m17Er_Y")</f>
        <v>1C1ug_xZK2cdCqIYVDKTOxKoGTSIdtZaPgm86m17Er_Y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IFERROR(__xludf.DUMMYFUNCTION("""COMPUTED_VALUE"""),"ApplyFilterOnShortLocate")</f>
        <v>ApplyFilterOnShortLocate</v>
      </c>
      <c r="C466" t="str">
        <f>IFERROR(__xludf.DUMMYFUNCTION("""COMPUTED_VALUE"""),"1Cn-Bl95PXGhKloQYYlJej7rKVd4ux1kGG_MBit4fk4A")</f>
        <v>1Cn-Bl95PXGhKloQYYlJej7rKVd4ux1kGG_MBit4fk4A</v>
      </c>
    </row>
    <row r="467" ht="15.75" customHeight="1">
      <c r="A467" t="str">
        <f>IFERROR(__xludf.DUMMYFUNCTION("""COMPUTED_VALUE"""),"ShortLocate")</f>
        <v>ShortLocate</v>
      </c>
      <c r="B467" t="str">
        <f>IFERROR(__xludf.DUMMYFUNCTION("""COMPUTED_VALUE"""),"OpenTTFromShortLocate")</f>
        <v>OpenTTFromShortLocate</v>
      </c>
      <c r="C467" t="str">
        <f>IFERROR(__xludf.DUMMYFUNCTION("""COMPUTED_VALUE"""),"1VN5CVtgHNYp2lmtsmJrMDYMXq_8Gh_rSpLpAb6ErM6M")</f>
        <v>1VN5CVtgHNYp2lmtsmJrMDYMXq_8Gh_rSpLpAb6ErM6M</v>
      </c>
    </row>
    <row r="468" ht="15.75" customHeight="1">
      <c r="A468" t="str">
        <f>IFERROR(__xludf.DUMMYFUNCTION("""COMPUTED_VALUE"""),"PortfolioManagement")</f>
        <v>PortfolioManagement</v>
      </c>
      <c r="B468" t="str">
        <f>IFERROR(__xludf.DUMMYFUNCTION("""COMPUTED_VALUE"""),"RemoveGroupingFromPM")</f>
        <v>RemoveGroupingFromPM</v>
      </c>
      <c r="C468" t="str">
        <f>IFERROR(__xludf.DUMMYFUNCTION("""COMPUTED_VALUE"""),"1YKIncD0kWnaqpNFNOsgCVyA1F91XPeAgnyduLhg4NUg")</f>
        <v>1YKIncD0kWnaqpNFNOsgCVyA1F91XPeAgnyduLhg4NUg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IFERROR(__xludf.DUMMYFUNCTION("""COMPUTED_VALUE"""),"AddTabOnWatchlist")</f>
        <v>AddTabOnWatchlist</v>
      </c>
      <c r="C469" t="str">
        <f>IFERROR(__xludf.DUMMYFUNCTION("""COMPUTED_VALUE"""),"1jjhORl_GGC1MaE-TaNLImepF81XAVLTJrRzVfbjFgww")</f>
        <v>1jjhORl_GGC1MaE-TaNLImepF81XAVLTJrRzVfbjFgww</v>
      </c>
    </row>
    <row r="470" ht="15.75" customHeight="1">
      <c r="A470" t="str">
        <f>IFERROR(__xludf.DUMMYFUNCTION("""COMPUTED_VALUE"""),"Watchlist")</f>
        <v>Watchlist</v>
      </c>
      <c r="B470" t="str">
        <f>IFERROR(__xludf.DUMMYFUNCTION("""COMPUTED_VALUE"""),"DeleteTabOnWatchlist")</f>
        <v>DeleteTabOnWatchlist</v>
      </c>
      <c r="C470" t="str">
        <f>IFERROR(__xludf.DUMMYFUNCTION("""COMPUTED_VALUE"""),"1RgygcdRJLzJYHZ0zP3Z6BDlHpdOX2WYr8NDtGPZTM7E")</f>
        <v>1RgygcdRJLzJYHZ0zP3Z6BDlHpdOX2WYr8NDtGPZTM7E</v>
      </c>
    </row>
    <row r="471" ht="15.75" customHeight="1">
      <c r="A471" t="str">
        <f>IFERROR(__xludf.DUMMYFUNCTION("""COMPUTED_VALUE"""),"ShortLocate")</f>
        <v>ShortLocate</v>
      </c>
      <c r="B471" t="str">
        <f>IFERROR(__xludf.DUMMYFUNCTION("""COMPUTED_VALUE"""),"Upload")</f>
        <v>Upload</v>
      </c>
      <c r="C471" t="str">
        <f>IFERROR(__xludf.DUMMYFUNCTION("""COMPUTED_VALUE"""),"1DBkPKMXuOkBiTKkni_QwMf9B-Vs7FbA9VGOGKS51ZT4")</f>
        <v>1DBkPKMXuOkBiTKkni_QwMf9B-Vs7FbA9VGOGKS51ZT4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IFERROR(__xludf.DUMMYFUNCTION("""COMPUTED_VALUE"""),"ViewDataOnRecon")</f>
        <v>ViewDataOnRecon</v>
      </c>
      <c r="C472" t="str">
        <f>IFERROR(__xludf.DUMMYFUNCTION("""COMPUTED_VALUE"""),"1BbKkpqbBk38mGc3pkD1qocCD2l1ul-edULN0zIfJnX0")</f>
        <v>1BbKkpqbBk38mGc3pkD1qocCD2l1ul-edULN0zIfJnX0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IFERROR(__xludf.DUMMYFUNCTION("""COMPUTED_VALUE"""),"RunRecon")</f>
        <v>RunRecon</v>
      </c>
      <c r="C473" t="str">
        <f>IFERROR(__xludf.DUMMYFUNCTION("""COMPUTED_VALUE"""),"1DW645A60flaLELO2P22MpKYws1JG4n6BHBPkmms9cLw")</f>
        <v>1DW645A60flaLELO2P22MpKYws1JG4n6BHBPkmms9cLw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IFERROR(__xludf.DUMMYFUNCTION("""COMPUTED_VALUE"""),"GenerateExceptionReport")</f>
        <v>GenerateExceptionReport</v>
      </c>
      <c r="C474" t="str">
        <f>IFERROR(__xludf.DUMMYFUNCTION("""COMPUTED_VALUE"""),"10mHZ-4hGDgpDcAZFTNOSjWUY0tCOkmljN_PiDLwfInQ")</f>
        <v>10mHZ-4hGDgpDcAZFTNOSjWUY0tCOkmljN_PiDLwfInQ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IFERROR(__xludf.DUMMYFUNCTION("""COMPUTED_VALUE"""),"ImportDataOnRecon")</f>
        <v>ImportDataOnRecon</v>
      </c>
      <c r="C475" t="str">
        <f>IFERROR(__xludf.DUMMYFUNCTION("""COMPUTED_VALUE"""),"1vSoBC5mnlpIAaj42v6OpnHQkGmK8gaC-xL91AFbqpzk")</f>
        <v>1vSoBC5mnlpIAaj42v6OpnHQkGmK8gaC-xL91AFbqpzk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IFERROR(__xludf.DUMMYFUNCTION("""COMPUTED_VALUE"""),"VerifyShortLocateGrid")</f>
        <v>VerifyShortLocateGrid</v>
      </c>
      <c r="C476" t="str">
        <f>IFERROR(__xludf.DUMMYFUNCTION("""COMPUTED_VALUE"""),"1qAzz_4B1zB9C9Vo0fwcHW1n3y4NbkaQdOAUu2-lNpqo")</f>
        <v>1qAzz_4B1zB9C9Vo0fwcHW1n3y4NbkaQdOAUu2-lNpqo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IFERROR(__xludf.DUMMYFUNCTION("""COMPUTED_VALUE"""),"VerifyApplicationData")</f>
        <v>VerifyApplicationData</v>
      </c>
      <c r="C477" t="str">
        <f>IFERROR(__xludf.DUMMYFUNCTION("""COMPUTED_VALUE"""),"1jLU1Bj4VFFNvZ0Wi033TIL8f5pwmJpXs_wwWfZSYsew")</f>
        <v>1jLU1Bj4VFFNvZ0Wi033TIL8f5pwmJpXs_wwWfZSYsew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IFERROR(__xludf.DUMMYFUNCTION("""COMPUTED_VALUE"""),"VerifyExceptionReport")</f>
        <v>VerifyExceptionReport</v>
      </c>
      <c r="C478" t="str">
        <f>IFERROR(__xludf.DUMMYFUNCTION("""COMPUTED_VALUE"""),"14zGa8XglUbfEDxZkT3kMdelOdTfTP2DE6GmuNtG7Wwk")</f>
        <v>14zGa8XglUbfEDxZkT3kMdelOdTfTP2DE6GmuNtG7Wwk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IFERROR(__xludf.DUMMYFUNCTION("""COMPUTED_VALUE"""),"VerifyPrimeBrokerData")</f>
        <v>VerifyPrimeBrokerData</v>
      </c>
      <c r="C479" t="str">
        <f>IFERROR(__xludf.DUMMYFUNCTION("""COMPUTED_VALUE"""),"1wcOx1NW-51uplf8YB8fYA6_SoD4MxIc609lcfAUapK8")</f>
        <v>1wcOx1NW-51uplf8YB8fYA6_SoD4MxIc609lcfAUapK8</v>
      </c>
    </row>
    <row r="480" ht="15.75" customHeight="1">
      <c r="A480" t="str">
        <f>IFERROR(__xludf.DUMMYFUNCTION("""COMPUTED_VALUE"""),"Admin")</f>
        <v>Admin</v>
      </c>
      <c r="B480" t="str">
        <f>IFERROR(__xludf.DUMMYFUNCTION("""COMPUTED_VALUE"""),"SetTradingComplianceRules")</f>
        <v>SetTradingComplianceRules</v>
      </c>
      <c r="C480" t="str">
        <f>IFERROR(__xludf.DUMMYFUNCTION("""COMPUTED_VALUE"""),"17Wu2UvH-BU-Px5WPcyG0Xhz2IxPoaWJqrIt67mvCrAA")</f>
        <v>17Wu2UvH-BU-Px5WPcyG0Xhz2IxPoaWJqrIt67mvCrAA</v>
      </c>
    </row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IFERROR(__xludf.DUMMYFUNCTION("""COMPUTED_VALUE"""),"Borrow Quantity")</f>
        <v>Borrow Quantity</v>
      </c>
      <c r="AQ5" s="29" t="str">
        <f>IFERROR(__xludf.DUMMYFUNCTION("""COMPUTED_VALUE"""),"ShortLocate")</f>
        <v>ShortLocate</v>
      </c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16</v>
      </c>
      <c r="C6" s="11" t="s">
        <v>17</v>
      </c>
      <c r="D6" s="11">
        <v>50000.0</v>
      </c>
      <c r="E6" s="11">
        <v>50000.0</v>
      </c>
      <c r="F6" s="11" t="s">
        <v>18</v>
      </c>
      <c r="G6" s="11" t="s">
        <v>19</v>
      </c>
      <c r="H6" s="8"/>
      <c r="I6" s="8"/>
      <c r="J6" s="11">
        <v>10.0</v>
      </c>
      <c r="K6" s="8"/>
      <c r="L6" s="8"/>
      <c r="M6" s="8"/>
      <c r="N6" s="8"/>
      <c r="O6" s="8"/>
    </row>
    <row r="7" ht="15.75" customHeight="1">
      <c r="A7" s="8"/>
      <c r="B7" s="11" t="s">
        <v>16</v>
      </c>
      <c r="C7" s="11" t="s">
        <v>17</v>
      </c>
      <c r="D7" s="11">
        <v>50000.0</v>
      </c>
      <c r="E7" s="11">
        <v>50000.0</v>
      </c>
      <c r="F7" s="11" t="s">
        <v>20</v>
      </c>
      <c r="G7" s="11" t="s">
        <v>19</v>
      </c>
      <c r="H7" s="8"/>
      <c r="I7" s="8"/>
      <c r="J7" s="11">
        <v>11.0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8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Outstanding")</f>
        <v>Shares Outstanding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/>
      <c r="FD5" s="29"/>
      <c r="FE5" s="29"/>
      <c r="FF5" s="29"/>
      <c r="FG5" s="29"/>
      <c r="FH5" s="29"/>
      <c r="FI5" s="29"/>
      <c r="FJ5" s="29"/>
      <c r="FK5" s="29"/>
      <c r="FL5" s="29"/>
    </row>
    <row r="6" ht="15.75" customHeight="1">
      <c r="A6" s="11"/>
      <c r="B6" s="11"/>
      <c r="C6" s="11" t="s">
        <v>16</v>
      </c>
      <c r="D6" s="30">
        <v>-50000.0</v>
      </c>
      <c r="E6" s="11" t="s">
        <v>18</v>
      </c>
      <c r="F6" s="8"/>
      <c r="G6" s="11">
        <v>10.0</v>
      </c>
      <c r="H6" s="8"/>
      <c r="I6" s="8"/>
      <c r="J6" s="8"/>
      <c r="K6" s="8"/>
      <c r="L6" s="8"/>
      <c r="M6" s="8"/>
      <c r="N6" s="11">
        <v>0.0</v>
      </c>
      <c r="O6" s="8"/>
      <c r="Q6" s="9">
        <v>0.0</v>
      </c>
      <c r="T6" s="9" t="s">
        <v>23</v>
      </c>
      <c r="U6" s="9" t="s">
        <v>24</v>
      </c>
      <c r="AB6" s="9">
        <v>0.0</v>
      </c>
      <c r="AD6" s="9">
        <v>0.0</v>
      </c>
      <c r="AE6" s="9">
        <v>0.0</v>
      </c>
      <c r="AF6" s="31">
        <v>-50000.0</v>
      </c>
      <c r="AG6" s="9">
        <v>0.0</v>
      </c>
      <c r="AH6" s="9">
        <v>0.0</v>
      </c>
      <c r="AI6" s="9">
        <v>0.0</v>
      </c>
      <c r="AJ6" s="9">
        <v>0.0</v>
      </c>
      <c r="AK6" s="31">
        <v>500000.0</v>
      </c>
      <c r="AL6" s="9">
        <v>1.0</v>
      </c>
      <c r="AN6" s="9" t="s">
        <v>17</v>
      </c>
      <c r="AP6" s="9" t="s">
        <v>25</v>
      </c>
      <c r="AQ6" s="9" t="s">
        <v>16</v>
      </c>
      <c r="AW6" s="31">
        <v>500000.0</v>
      </c>
      <c r="AX6" s="9">
        <v>0.0</v>
      </c>
      <c r="AY6" s="9">
        <v>0.0</v>
      </c>
      <c r="AZ6" s="9">
        <v>0.0</v>
      </c>
      <c r="BD6" s="31">
        <v>500000.0</v>
      </c>
      <c r="BJ6" s="9">
        <v>0.0</v>
      </c>
      <c r="BK6" s="9">
        <v>0.0</v>
      </c>
      <c r="BL6" s="9">
        <v>0.0</v>
      </c>
      <c r="BM6" s="9">
        <v>0.0</v>
      </c>
      <c r="BO6" s="9">
        <v>0.0</v>
      </c>
      <c r="BP6" s="9">
        <v>0.0</v>
      </c>
      <c r="BR6" s="9" t="s">
        <v>19</v>
      </c>
      <c r="BS6" s="9">
        <v>0.0</v>
      </c>
      <c r="BT6" s="9">
        <v>0.0</v>
      </c>
      <c r="BW6" s="9">
        <v>0.0</v>
      </c>
      <c r="BX6" s="9">
        <v>0.0</v>
      </c>
      <c r="BY6" s="9">
        <v>0.0</v>
      </c>
      <c r="BZ6" s="9">
        <v>0.0</v>
      </c>
      <c r="CA6" s="9">
        <v>0.0</v>
      </c>
      <c r="CC6" s="9">
        <v>0.0</v>
      </c>
      <c r="CD6" s="9">
        <v>0.0</v>
      </c>
      <c r="CE6" s="9">
        <v>0.0</v>
      </c>
      <c r="CF6" s="9">
        <v>0.0</v>
      </c>
      <c r="CG6" s="9">
        <v>0.0</v>
      </c>
      <c r="CH6" s="9">
        <v>0.0</v>
      </c>
      <c r="DE6" s="9">
        <v>0.0</v>
      </c>
      <c r="DF6" s="9">
        <v>0.0</v>
      </c>
      <c r="DG6" s="9">
        <v>0.0</v>
      </c>
      <c r="EG6" s="9">
        <v>0.0</v>
      </c>
      <c r="EH6" s="9">
        <v>0.0</v>
      </c>
      <c r="EI6" s="9">
        <v>0.0</v>
      </c>
      <c r="EJ6" s="9">
        <v>0.0</v>
      </c>
      <c r="EK6" s="9">
        <v>0.0</v>
      </c>
      <c r="EM6" s="9">
        <v>0.0</v>
      </c>
      <c r="EN6" s="9">
        <v>0.0</v>
      </c>
      <c r="EO6" s="9">
        <v>0.0</v>
      </c>
    </row>
    <row r="7" ht="15.75" customHeight="1">
      <c r="A7" s="8"/>
      <c r="B7" s="8"/>
      <c r="C7" s="11" t="s">
        <v>16</v>
      </c>
      <c r="D7" s="30">
        <v>-50000.0</v>
      </c>
      <c r="E7" s="11" t="s">
        <v>20</v>
      </c>
      <c r="F7" s="8"/>
      <c r="G7" s="11">
        <v>11.0</v>
      </c>
      <c r="H7" s="8"/>
      <c r="I7" s="8"/>
      <c r="J7" s="8"/>
      <c r="K7" s="8"/>
      <c r="L7" s="8"/>
      <c r="M7" s="8"/>
      <c r="N7" s="11">
        <v>0.0</v>
      </c>
      <c r="O7" s="8"/>
      <c r="Q7" s="9">
        <v>0.0</v>
      </c>
      <c r="T7" s="9" t="s">
        <v>23</v>
      </c>
      <c r="U7" s="9" t="s">
        <v>24</v>
      </c>
      <c r="AB7" s="9">
        <v>0.0</v>
      </c>
      <c r="AD7" s="9">
        <v>0.0</v>
      </c>
      <c r="AE7" s="9">
        <v>0.0</v>
      </c>
      <c r="AF7" s="31">
        <v>-50000.0</v>
      </c>
      <c r="AG7" s="9">
        <v>0.0</v>
      </c>
      <c r="AH7" s="9">
        <v>0.0</v>
      </c>
      <c r="AI7" s="9">
        <v>0.0</v>
      </c>
      <c r="AJ7" s="9">
        <v>0.0</v>
      </c>
      <c r="AK7" s="31">
        <v>550000.0</v>
      </c>
      <c r="AL7" s="9">
        <v>1.0</v>
      </c>
      <c r="AN7" s="9" t="s">
        <v>17</v>
      </c>
      <c r="AP7" s="9" t="s">
        <v>25</v>
      </c>
      <c r="AQ7" s="9" t="s">
        <v>16</v>
      </c>
      <c r="AW7" s="31">
        <v>550000.0</v>
      </c>
      <c r="AX7" s="9">
        <v>0.0</v>
      </c>
      <c r="AY7" s="9">
        <v>0.0</v>
      </c>
      <c r="AZ7" s="9">
        <v>0.0</v>
      </c>
      <c r="BD7" s="31">
        <v>550000.0</v>
      </c>
      <c r="BJ7" s="9">
        <v>0.0</v>
      </c>
      <c r="BK7" s="9">
        <v>0.0</v>
      </c>
      <c r="BL7" s="9">
        <v>0.0</v>
      </c>
      <c r="BM7" s="9">
        <v>0.0</v>
      </c>
      <c r="BO7" s="9">
        <v>0.0</v>
      </c>
      <c r="BP7" s="9">
        <v>0.0</v>
      </c>
      <c r="BR7" s="9" t="s">
        <v>19</v>
      </c>
      <c r="BS7" s="9">
        <v>0.0</v>
      </c>
      <c r="BT7" s="9">
        <v>0.0</v>
      </c>
      <c r="BW7" s="9">
        <v>0.0</v>
      </c>
      <c r="BX7" s="9">
        <v>0.0</v>
      </c>
      <c r="BY7" s="9">
        <v>0.0</v>
      </c>
      <c r="BZ7" s="9">
        <v>0.0</v>
      </c>
      <c r="CA7" s="9">
        <v>0.0</v>
      </c>
      <c r="CC7" s="9">
        <v>0.0</v>
      </c>
      <c r="CD7" s="9">
        <v>0.0</v>
      </c>
      <c r="CE7" s="9">
        <v>0.0</v>
      </c>
      <c r="CF7" s="9">
        <v>0.0</v>
      </c>
      <c r="CG7" s="9">
        <v>0.0</v>
      </c>
      <c r="CH7" s="9">
        <v>0.0</v>
      </c>
      <c r="DE7" s="9">
        <v>0.0</v>
      </c>
      <c r="DF7" s="9">
        <v>0.0</v>
      </c>
      <c r="DG7" s="9">
        <v>0.0</v>
      </c>
      <c r="EG7" s="9">
        <v>0.0</v>
      </c>
      <c r="EH7" s="9">
        <v>0.0</v>
      </c>
      <c r="EI7" s="9">
        <v>0.0</v>
      </c>
      <c r="EJ7" s="9">
        <v>0.0</v>
      </c>
      <c r="EK7" s="9">
        <v>0.0</v>
      </c>
      <c r="EM7" s="9">
        <v>0.0</v>
      </c>
      <c r="EN7" s="9">
        <v>0.0</v>
      </c>
      <c r="EO7" s="9">
        <v>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IFERROR(__xludf.DUMMYFUNCTION("""COMPUTED_VALUE"""),"ColumnName")</f>
        <v>ColumnName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27</v>
      </c>
      <c r="C6" s="8"/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GroupRowPM!$4:$4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IFERROR(__xludf.DUMMYFUNCTION("""COMPUTED_VALUE"""),"Symbol")</f>
        <v>Symbol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18</v>
      </c>
      <c r="C6" s="11" t="s">
        <v>16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ClosePositionFromPM!$4:$4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IFERROR(__xludf.DUMMYFUNCTION("""COMPUTED_VALUE"""),"Borrow Quantity")</f>
        <v>Borrow Quantity</v>
      </c>
      <c r="AQ5" s="29" t="str">
        <f>IFERROR(__xludf.DUMMYFUNCTION("""COMPUTED_VALUE"""),"ShortLocate")</f>
        <v>ShortLocate</v>
      </c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16</v>
      </c>
      <c r="C6" s="11" t="s">
        <v>29</v>
      </c>
      <c r="D6" s="11">
        <v>100000.0</v>
      </c>
      <c r="E6" s="32"/>
      <c r="F6" s="11"/>
      <c r="G6" s="11" t="s">
        <v>19</v>
      </c>
      <c r="H6" s="8"/>
      <c r="I6" s="8"/>
      <c r="J6" s="11">
        <v>20.0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32</v>
      </c>
      <c r="C6" s="8"/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IFERROR(__xludf.DUMMYFUNCTION("""COMPUTED_VALUE"""),"AUECID")</f>
        <v>AUECID</v>
      </c>
      <c r="E5" s="27" t="str">
        <f>IFERROR(__xludf.DUMMYFUNCTION("""COMPUTED_VALUE"""),"ExternalTransId")</f>
        <v>ExternalTransId</v>
      </c>
      <c r="F5" s="28" t="str">
        <f>IFERROR(__xludf.DUMMYFUNCTION("""COMPUTED_VALUE"""),"IsSwapped")</f>
        <v>IsSwapped</v>
      </c>
      <c r="G5" s="27" t="str">
        <f>IFERROR(__xludf.DUMMYFUNCTION("""COMPUTED_VALUE"""),"LotId")</f>
        <v>LotId</v>
      </c>
      <c r="H5" s="27" t="str">
        <f>IFERROR(__xludf.DUMMYFUNCTION("""COMPUTED_VALUE"""),"Net Notional")</f>
        <v>Net Notional</v>
      </c>
      <c r="I5" s="27" t="str">
        <f>IFERROR(__xludf.DUMMYFUNCTION("""COMPUTED_VALUE"""),"Opening Price")</f>
        <v>Opening Price</v>
      </c>
      <c r="J5" s="27" t="str">
        <f>IFERROR(__xludf.DUMMYFUNCTION("""COMPUTED_VALUE"""),"Original Purchase Date")</f>
        <v>Original Purchase Date</v>
      </c>
      <c r="K5" s="27" t="str">
        <f>IFERROR(__xludf.DUMMYFUNCTION("""COMPUTED_VALUE"""),"PositionTag")</f>
        <v>PositionTag</v>
      </c>
      <c r="L5" s="27" t="str">
        <f>IFERROR(__xludf.DUMMYFUNCTION("""COMPUTED_VALUE"""),"Process Date")</f>
        <v>Process Date</v>
      </c>
      <c r="M5" s="27" t="str">
        <f>IFERROR(__xludf.DUMMYFUNCTION("""COMPUTED_VALUE"""),"Quantity")</f>
        <v>Quantity</v>
      </c>
      <c r="N5" s="27" t="str">
        <f>IFERROR(__xludf.DUMMYFUNCTION("""COMPUTED_VALUE"""),"Security Name")</f>
        <v>Security Name</v>
      </c>
      <c r="O5" s="27" t="str">
        <f>IFERROR(__xludf.DUMMYFUNCTION("""COMPUTED_VALUE"""),"Settlement Currency")</f>
        <v>Settlement Currency</v>
      </c>
      <c r="P5" s="27" t="str">
        <f>IFERROR(__xludf.DUMMYFUNCTION("""COMPUTED_VALUE"""),"Side")</f>
        <v>Side</v>
      </c>
      <c r="Q5" s="27" t="str">
        <f>IFERROR(__xludf.DUMMYFUNCTION("""COMPUTED_VALUE"""),"Strategy")</f>
        <v>Strategy</v>
      </c>
      <c r="R5" s="27" t="str">
        <f>IFERROR(__xludf.DUMMYFUNCTION("""COMPUTED_VALUE"""),"Symbol")</f>
        <v>Symbol</v>
      </c>
      <c r="S5" s="27" t="str">
        <f>IFERROR(__xludf.DUMMYFUNCTION("""COMPUTED_VALUE"""),"Taxlot ID")</f>
        <v>Taxlot ID</v>
      </c>
      <c r="T5" s="29" t="str">
        <f>IFERROR(__xludf.DUMMYFUNCTION("""COMPUTED_VALUE"""),"Total Fees and Commission")</f>
        <v>Total Fees and Commission</v>
      </c>
      <c r="U5" s="29" t="str">
        <f>IFERROR(__xludf.DUMMYFUNCTION("""COMPUTED_VALUE"""),"Trade Date")</f>
        <v>Trade Date</v>
      </c>
      <c r="V5" s="29" t="str">
        <f>IFERROR(__xludf.DUMMYFUNCTION("""COMPUTED_VALUE"""),"Transaction Type")</f>
        <v>Transaction Type</v>
      </c>
      <c r="W5" s="29" t="str">
        <f>IFERROR(__xludf.DUMMYFUNCTION("""COMPUTED_VALUE"""),"UnderlyingName")</f>
        <v>UnderlyingName</v>
      </c>
      <c r="X5" s="29" t="str">
        <f>IFERROR(__xludf.DUMMYFUNCTION("""COMPUTED_VALUE"""),"UnitCost")</f>
        <v>UnitCost</v>
      </c>
      <c r="Y5" s="29" t="str">
        <f>IFERROR(__xludf.DUMMYFUNCTION("""COMPUTED_VALUE"""),"Unit Cost(Base)")</f>
        <v>Unit Cost(Base)</v>
      </c>
      <c r="Z5" s="29" t="str">
        <f>IFERROR(__xludf.DUMMYFUNCTION("""COMPUTED_VALUE"""),"AvgPriceBase")</f>
        <v>AvgPriceBase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18</v>
      </c>
      <c r="C6" s="11" t="s">
        <v>23</v>
      </c>
      <c r="D6" s="11"/>
      <c r="E6" s="32"/>
      <c r="F6" s="8"/>
      <c r="G6" s="8"/>
      <c r="H6" s="33">
        <v>1000000.0</v>
      </c>
      <c r="I6" s="11">
        <v>20.0</v>
      </c>
      <c r="J6" s="8"/>
      <c r="K6" s="8"/>
      <c r="L6" s="8"/>
      <c r="M6" s="33">
        <v>50000.0</v>
      </c>
      <c r="N6" s="8"/>
      <c r="O6" s="8"/>
      <c r="P6" s="9" t="s">
        <v>29</v>
      </c>
      <c r="R6" s="9" t="s">
        <v>16</v>
      </c>
      <c r="X6" s="9">
        <v>20.0</v>
      </c>
    </row>
    <row r="7" ht="15.75" customHeight="1">
      <c r="A7" s="8"/>
      <c r="B7" s="11" t="s">
        <v>20</v>
      </c>
      <c r="C7" s="11" t="s">
        <v>23</v>
      </c>
      <c r="D7" s="8"/>
      <c r="E7" s="8"/>
      <c r="F7" s="8"/>
      <c r="G7" s="8"/>
      <c r="H7" s="33">
        <v>1000000.0</v>
      </c>
      <c r="I7" s="11">
        <v>20.0</v>
      </c>
      <c r="J7" s="8"/>
      <c r="K7" s="8"/>
      <c r="L7" s="8"/>
      <c r="M7" s="33">
        <v>50000.0</v>
      </c>
      <c r="N7" s="8"/>
      <c r="O7" s="8"/>
      <c r="P7" s="9" t="s">
        <v>29</v>
      </c>
      <c r="R7" s="9" t="s">
        <v>16</v>
      </c>
      <c r="X7" s="9">
        <v>20.0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VerifyLongPositionsGrid!$4:$4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IFERROR(__xludf.DUMMYFUNCTION("""COMPUTED_VALUE"""),"AUECID")</f>
        <v>AUECID</v>
      </c>
      <c r="E5" s="27" t="str">
        <f>IFERROR(__xludf.DUMMYFUNCTION("""COMPUTED_VALUE"""),"ExternalTransId")</f>
        <v>ExternalTransId</v>
      </c>
      <c r="F5" s="28" t="str">
        <f>IFERROR(__xludf.DUMMYFUNCTION("""COMPUTED_VALUE"""),"IsSwapped")</f>
        <v>IsSwapped</v>
      </c>
      <c r="G5" s="27" t="str">
        <f>IFERROR(__xludf.DUMMYFUNCTION("""COMPUTED_VALUE"""),"LotId")</f>
        <v>LotId</v>
      </c>
      <c r="H5" s="27" t="str">
        <f>IFERROR(__xludf.DUMMYFUNCTION("""COMPUTED_VALUE"""),"Net Notional")</f>
        <v>Net Notional</v>
      </c>
      <c r="I5" s="27" t="str">
        <f>IFERROR(__xludf.DUMMYFUNCTION("""COMPUTED_VALUE"""),"Opening Price")</f>
        <v>Opening Price</v>
      </c>
      <c r="J5" s="27" t="str">
        <f>IFERROR(__xludf.DUMMYFUNCTION("""COMPUTED_VALUE"""),"Original Purchase Date")</f>
        <v>Original Purchase Date</v>
      </c>
      <c r="K5" s="27" t="str">
        <f>IFERROR(__xludf.DUMMYFUNCTION("""COMPUTED_VALUE"""),"PositionTag")</f>
        <v>PositionTag</v>
      </c>
      <c r="L5" s="27" t="str">
        <f>IFERROR(__xludf.DUMMYFUNCTION("""COMPUTED_VALUE"""),"Process Date")</f>
        <v>Process Date</v>
      </c>
      <c r="M5" s="27" t="str">
        <f>IFERROR(__xludf.DUMMYFUNCTION("""COMPUTED_VALUE"""),"Quantity")</f>
        <v>Quantity</v>
      </c>
      <c r="N5" s="27" t="str">
        <f>IFERROR(__xludf.DUMMYFUNCTION("""COMPUTED_VALUE"""),"Security Name")</f>
        <v>Security Name</v>
      </c>
      <c r="O5" s="27" t="str">
        <f>IFERROR(__xludf.DUMMYFUNCTION("""COMPUTED_VALUE"""),"Settlement Currency")</f>
        <v>Settlement Currency</v>
      </c>
      <c r="P5" s="27" t="str">
        <f>IFERROR(__xludf.DUMMYFUNCTION("""COMPUTED_VALUE"""),"Side")</f>
        <v>Side</v>
      </c>
      <c r="Q5" s="27" t="str">
        <f>IFERROR(__xludf.DUMMYFUNCTION("""COMPUTED_VALUE"""),"Strategy")</f>
        <v>Strategy</v>
      </c>
      <c r="R5" s="27" t="str">
        <f>IFERROR(__xludf.DUMMYFUNCTION("""COMPUTED_VALUE"""),"Symbol")</f>
        <v>Symbol</v>
      </c>
      <c r="S5" s="27" t="str">
        <f>IFERROR(__xludf.DUMMYFUNCTION("""COMPUTED_VALUE"""),"Taxlot ID")</f>
        <v>Taxlot ID</v>
      </c>
      <c r="T5" s="29" t="str">
        <f>IFERROR(__xludf.DUMMYFUNCTION("""COMPUTED_VALUE"""),"Total Fees and Commission")</f>
        <v>Total Fees and Commission</v>
      </c>
      <c r="U5" s="29" t="str">
        <f>IFERROR(__xludf.DUMMYFUNCTION("""COMPUTED_VALUE"""),"Trade Date")</f>
        <v>Trade Date</v>
      </c>
      <c r="V5" s="29" t="str">
        <f>IFERROR(__xludf.DUMMYFUNCTION("""COMPUTED_VALUE"""),"Transaction Type")</f>
        <v>Transaction Type</v>
      </c>
      <c r="W5" s="29" t="str">
        <f>IFERROR(__xludf.DUMMYFUNCTION("""COMPUTED_VALUE"""),"UnderlyingName")</f>
        <v>UnderlyingName</v>
      </c>
      <c r="X5" s="29" t="str">
        <f>IFERROR(__xludf.DUMMYFUNCTION("""COMPUTED_VALUE"""),"UnitCost")</f>
        <v>UnitCost</v>
      </c>
      <c r="Y5" s="29" t="str">
        <f>IFERROR(__xludf.DUMMYFUNCTION("""COMPUTED_VALUE"""),"Unit Cost(Base)")</f>
        <v>Unit Cost(Base)</v>
      </c>
      <c r="Z5" s="29" t="str">
        <f>IFERROR(__xludf.DUMMYFUNCTION("""COMPUTED_VALUE"""),"AvgPriceBase")</f>
        <v>AvgPriceBase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18</v>
      </c>
      <c r="C6" s="11" t="s">
        <v>23</v>
      </c>
      <c r="D6" s="11"/>
      <c r="E6" s="32"/>
      <c r="F6" s="8"/>
      <c r="G6" s="8"/>
      <c r="H6" s="30">
        <v>500000.0</v>
      </c>
      <c r="I6" s="11">
        <v>10.0</v>
      </c>
      <c r="J6" s="8"/>
      <c r="K6" s="8"/>
      <c r="L6" s="8"/>
      <c r="M6" s="30">
        <v>50000.0</v>
      </c>
      <c r="N6" s="8"/>
      <c r="O6" s="8"/>
      <c r="P6" s="9" t="s">
        <v>17</v>
      </c>
      <c r="R6" s="9" t="s">
        <v>16</v>
      </c>
    </row>
    <row r="7" ht="15.75" customHeight="1">
      <c r="A7" s="8"/>
      <c r="B7" s="11" t="s">
        <v>20</v>
      </c>
      <c r="C7" s="11" t="s">
        <v>23</v>
      </c>
      <c r="D7" s="8"/>
      <c r="E7" s="8"/>
      <c r="F7" s="8"/>
      <c r="G7" s="8"/>
      <c r="H7" s="30">
        <v>550000.0</v>
      </c>
      <c r="I7" s="11">
        <v>11.0</v>
      </c>
      <c r="J7" s="8"/>
      <c r="K7" s="8"/>
      <c r="L7" s="8"/>
      <c r="M7" s="30">
        <v>50000.0</v>
      </c>
      <c r="N7" s="8"/>
      <c r="O7" s="8"/>
      <c r="P7" s="9" t="s">
        <v>17</v>
      </c>
      <c r="R7" s="9" t="s">
        <v>16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VerifyShortPositionsGrid!$4:$4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IFERROR(__xludf.DUMMYFUNCTION("""COMPUTED_VALUE"""),"CloseSSw/BuyBTO")</f>
        <v>CloseSSw/BuyBTO</v>
      </c>
      <c r="C5" s="27" t="str">
        <f>IFERROR(__xludf.DUMMYFUNCTION("""COMPUTED_VALUE"""),"AutoCloseStrategy")</f>
        <v>AutoCloseStrategy</v>
      </c>
      <c r="D5" s="27" t="str">
        <f>IFERROR(__xludf.DUMMYFUNCTION("""COMPUTED_VALUE"""),"LongAccount")</f>
        <v>LongAccount</v>
      </c>
      <c r="E5" s="27" t="str">
        <f>IFERROR(__xludf.DUMMYFUNCTION("""COMPUTED_VALUE"""),"LongAsset Class")</f>
        <v>LongAsset Class</v>
      </c>
      <c r="F5" s="28" t="str">
        <f>IFERROR(__xludf.DUMMYFUNCTION("""COMPUTED_VALUE"""),"LongAUECID")</f>
        <v>LongAUECID</v>
      </c>
      <c r="G5" s="27" t="str">
        <f>IFERROR(__xludf.DUMMYFUNCTION("""COMPUTED_VALUE"""),"LongExternalTransId")</f>
        <v>LongExternalTransId</v>
      </c>
      <c r="H5" s="27" t="str">
        <f>IFERROR(__xludf.DUMMYFUNCTION("""COMPUTED_VALUE"""),"LongIsSwapped")</f>
        <v>LongIsSwapped</v>
      </c>
      <c r="I5" s="27" t="str">
        <f>IFERROR(__xludf.DUMMYFUNCTION("""COMPUTED_VALUE"""),"LongLotId")</f>
        <v>LongLotId</v>
      </c>
      <c r="J5" s="27" t="str">
        <f>IFERROR(__xludf.DUMMYFUNCTION("""COMPUTED_VALUE"""),"LongNet Notional")</f>
        <v>LongNet Notional</v>
      </c>
      <c r="K5" s="27" t="str">
        <f>IFERROR(__xludf.DUMMYFUNCTION("""COMPUTED_VALUE"""),"LongOpening Price")</f>
        <v>LongOpening Price</v>
      </c>
      <c r="L5" s="27" t="str">
        <f>IFERROR(__xludf.DUMMYFUNCTION("""COMPUTED_VALUE"""),"LongOriginal Purchase Date")</f>
        <v>LongOriginal Purchase Date</v>
      </c>
      <c r="M5" s="27" t="str">
        <f>IFERROR(__xludf.DUMMYFUNCTION("""COMPUTED_VALUE"""),"LongPositionTag")</f>
        <v>LongPositionTag</v>
      </c>
      <c r="N5" s="27" t="str">
        <f>IFERROR(__xludf.DUMMYFUNCTION("""COMPUTED_VALUE"""),"LongProcess Date")</f>
        <v>LongProcess Date</v>
      </c>
      <c r="O5" s="27" t="str">
        <f>IFERROR(__xludf.DUMMYFUNCTION("""COMPUTED_VALUE"""),"LongQuantity")</f>
        <v>LongQuantity</v>
      </c>
      <c r="P5" s="27" t="str">
        <f>IFERROR(__xludf.DUMMYFUNCTION("""COMPUTED_VALUE"""),"LongSecurity Name")</f>
        <v>LongSecurity Name</v>
      </c>
      <c r="Q5" s="27" t="str">
        <f>IFERROR(__xludf.DUMMYFUNCTION("""COMPUTED_VALUE"""),"LongSettlement Currency")</f>
        <v>LongSettlement Currency</v>
      </c>
      <c r="R5" s="27" t="str">
        <f>IFERROR(__xludf.DUMMYFUNCTION("""COMPUTED_VALUE"""),"LongSettlement FxRate")</f>
        <v>LongSettlement FxRate</v>
      </c>
      <c r="S5" s="27" t="str">
        <f>IFERROR(__xludf.DUMMYFUNCTION("""COMPUTED_VALUE"""),"LongSettlement FxRate Operator")</f>
        <v>LongSettlement FxRate Operator</v>
      </c>
      <c r="T5" s="29" t="str">
        <f>IFERROR(__xludf.DUMMYFUNCTION("""COMPUTED_VALUE"""),"LongSettlement Price")</f>
        <v>LongSettlement Price</v>
      </c>
      <c r="U5" s="29" t="str">
        <f>IFERROR(__xludf.DUMMYFUNCTION("""COMPUTED_VALUE"""),"LongSettlement Unit Cost")</f>
        <v>LongSettlement Unit Cost</v>
      </c>
      <c r="V5" s="29" t="str">
        <f>IFERROR(__xludf.DUMMYFUNCTION("""COMPUTED_VALUE"""),"LongSide")</f>
        <v>LongSide</v>
      </c>
      <c r="W5" s="29" t="str">
        <f>IFERROR(__xludf.DUMMYFUNCTION("""COMPUTED_VALUE"""),"LongStrategy")</f>
        <v>LongStrategy</v>
      </c>
      <c r="X5" s="29" t="str">
        <f>IFERROR(__xludf.DUMMYFUNCTION("""COMPUTED_VALUE"""),"LongSymbol")</f>
        <v>LongSymbol</v>
      </c>
      <c r="Y5" s="29" t="str">
        <f>IFERROR(__xludf.DUMMYFUNCTION("""COMPUTED_VALUE"""),"LongTaxlot Id")</f>
        <v>LongTaxlot Id</v>
      </c>
      <c r="Z5" s="29" t="str">
        <f>IFERROR(__xludf.DUMMYFUNCTION("""COMPUTED_VALUE"""),"LongTotal Fee And Commission")</f>
        <v>LongTotal Fee And Commission</v>
      </c>
      <c r="AA5" s="29" t="str">
        <f>IFERROR(__xludf.DUMMYFUNCTION("""COMPUTED_VALUE"""),"LongTrade Date")</f>
        <v>LongTrade Date</v>
      </c>
      <c r="AB5" s="29" t="str">
        <f>IFERROR(__xludf.DUMMYFUNCTION("""COMPUTED_VALUE"""),"LongTransaction Type")</f>
        <v>LongTransaction Type</v>
      </c>
      <c r="AC5" s="29" t="str">
        <f>IFERROR(__xludf.DUMMYFUNCTION("""COMPUTED_VALUE"""),"LongUnderlyingName")</f>
        <v>LongUnderlyingName</v>
      </c>
      <c r="AD5" s="29" t="str">
        <f>IFERROR(__xludf.DUMMYFUNCTION("""COMPUTED_VALUE"""),"LongUnitCost")</f>
        <v>LongUnitCost</v>
      </c>
      <c r="AE5" s="29" t="str">
        <f>IFERROR(__xludf.DUMMYFUNCTION("""COMPUTED_VALUE"""),"ShortAccount")</f>
        <v>ShortAccount</v>
      </c>
      <c r="AF5" s="29" t="str">
        <f>IFERROR(__xludf.DUMMYFUNCTION("""COMPUTED_VALUE"""),"ShortAsset Class")</f>
        <v>ShortAsset Class</v>
      </c>
      <c r="AG5" s="29" t="str">
        <f>IFERROR(__xludf.DUMMYFUNCTION("""COMPUTED_VALUE"""),"ShortAUECID")</f>
        <v>ShortAUECID</v>
      </c>
      <c r="AH5" s="29" t="str">
        <f>IFERROR(__xludf.DUMMYFUNCTION("""COMPUTED_VALUE"""),"ShortExternalTransId")</f>
        <v>ShortExternalTransId</v>
      </c>
      <c r="AI5" s="29" t="str">
        <f>IFERROR(__xludf.DUMMYFUNCTION("""COMPUTED_VALUE"""),"ShortIsSwapped")</f>
        <v>ShortIsSwapped</v>
      </c>
      <c r="AJ5" s="29" t="str">
        <f>IFERROR(__xludf.DUMMYFUNCTION("""COMPUTED_VALUE"""),"ShortLotId")</f>
        <v>ShortLotId</v>
      </c>
      <c r="AK5" s="29" t="str">
        <f>IFERROR(__xludf.DUMMYFUNCTION("""COMPUTED_VALUE"""),"ShortNet Notional")</f>
        <v>ShortNet Notional</v>
      </c>
      <c r="AL5" s="29" t="str">
        <f>IFERROR(__xludf.DUMMYFUNCTION("""COMPUTED_VALUE"""),"ShortOpening Price")</f>
        <v>ShortOpening Price</v>
      </c>
      <c r="AM5" s="29" t="str">
        <f>IFERROR(__xludf.DUMMYFUNCTION("""COMPUTED_VALUE"""),"ShortOriginal Purchase Date")</f>
        <v>ShortOriginal Purchase Date</v>
      </c>
      <c r="AN5" s="29" t="str">
        <f>IFERROR(__xludf.DUMMYFUNCTION("""COMPUTED_VALUE"""),"ShortPositionTag")</f>
        <v>ShortPositionTag</v>
      </c>
      <c r="AO5" s="29" t="str">
        <f>IFERROR(__xludf.DUMMYFUNCTION("""COMPUTED_VALUE"""),"ShortProcess Date")</f>
        <v>ShortProcess Date</v>
      </c>
      <c r="AP5" s="29" t="str">
        <f>IFERROR(__xludf.DUMMYFUNCTION("""COMPUTED_VALUE"""),"ShortQuantity")</f>
        <v>ShortQuantity</v>
      </c>
      <c r="AQ5" s="29" t="str">
        <f>IFERROR(__xludf.DUMMYFUNCTION("""COMPUTED_VALUE"""),"ShortSecurity Name")</f>
        <v>ShortSecurity Name</v>
      </c>
      <c r="AR5" s="29" t="str">
        <f>IFERROR(__xludf.DUMMYFUNCTION("""COMPUTED_VALUE"""),"ShortSettlement Currency")</f>
        <v>ShortSettlement Currency</v>
      </c>
      <c r="AS5" s="29" t="str">
        <f>IFERROR(__xludf.DUMMYFUNCTION("""COMPUTED_VALUE"""),"ShortSettlement FxRate")</f>
        <v>ShortSettlement FxRate</v>
      </c>
      <c r="AT5" s="29" t="str">
        <f>IFERROR(__xludf.DUMMYFUNCTION("""COMPUTED_VALUE"""),"ShortSettlement FxRate Operator")</f>
        <v>ShortSettlement FxRate Operator</v>
      </c>
      <c r="AU5" s="29" t="str">
        <f>IFERROR(__xludf.DUMMYFUNCTION("""COMPUTED_VALUE"""),"ShortSettlement Price")</f>
        <v>ShortSettlement Price</v>
      </c>
      <c r="AV5" s="29" t="str">
        <f>IFERROR(__xludf.DUMMYFUNCTION("""COMPUTED_VALUE"""),"ShortSettlement Unit Cost")</f>
        <v>ShortSettlement Unit Cost</v>
      </c>
      <c r="AW5" s="29" t="str">
        <f>IFERROR(__xludf.DUMMYFUNCTION("""COMPUTED_VALUE"""),"ShortSide")</f>
        <v>ShortSide</v>
      </c>
      <c r="AX5" s="29" t="str">
        <f>IFERROR(__xludf.DUMMYFUNCTION("""COMPUTED_VALUE"""),"ShortStrategy")</f>
        <v>ShortStrategy</v>
      </c>
      <c r="AY5" s="29" t="str">
        <f>IFERROR(__xludf.DUMMYFUNCTION("""COMPUTED_VALUE"""),"ShortSymbol")</f>
        <v>ShortSymbol</v>
      </c>
      <c r="AZ5" s="29" t="str">
        <f>IFERROR(__xludf.DUMMYFUNCTION("""COMPUTED_VALUE"""),"ShortTaxlot Id")</f>
        <v>ShortTaxlot Id</v>
      </c>
      <c r="BA5" s="29" t="str">
        <f>IFERROR(__xludf.DUMMYFUNCTION("""COMPUTED_VALUE"""),"ShortTotal Fee And Commission")</f>
        <v>ShortTotal Fee And Commission</v>
      </c>
      <c r="BB5" s="29" t="str">
        <f>IFERROR(__xludf.DUMMYFUNCTION("""COMPUTED_VALUE"""),"ShortTrade Date")</f>
        <v>ShortTrade Date</v>
      </c>
      <c r="BC5" s="29" t="str">
        <f>IFERROR(__xludf.DUMMYFUNCTION("""COMPUTED_VALUE"""),"ShortTransaction Type")</f>
        <v>ShortTransaction Type</v>
      </c>
      <c r="BD5" s="29" t="str">
        <f>IFERROR(__xludf.DUMMYFUNCTION("""COMPUTED_VALUE"""),"ShortUnderlyingName")</f>
        <v>ShortUnderlyingName</v>
      </c>
      <c r="BE5" s="29" t="str">
        <f>IFERROR(__xludf.DUMMYFUNCTION("""COMPUTED_VALUE"""),"ShortUnitCost")</f>
        <v>ShortUnitCost</v>
      </c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b">
        <v>0</v>
      </c>
      <c r="C6" s="11" t="b">
        <v>1</v>
      </c>
      <c r="D6" s="11" t="s">
        <v>18</v>
      </c>
      <c r="E6" s="11" t="s">
        <v>23</v>
      </c>
      <c r="F6" s="8"/>
      <c r="G6" s="8"/>
      <c r="H6" s="8"/>
      <c r="I6" s="8"/>
      <c r="J6" s="8"/>
      <c r="K6" s="11">
        <v>20.0</v>
      </c>
      <c r="L6" s="8"/>
      <c r="M6" s="8"/>
      <c r="N6" s="8"/>
      <c r="O6" s="11">
        <v>50000.0</v>
      </c>
      <c r="V6" s="9" t="s">
        <v>29</v>
      </c>
      <c r="X6" s="9" t="s">
        <v>16</v>
      </c>
      <c r="AE6" s="9" t="s">
        <v>18</v>
      </c>
      <c r="AF6" s="9" t="s">
        <v>23</v>
      </c>
      <c r="AL6" s="9">
        <v>10.0</v>
      </c>
      <c r="AP6" s="31">
        <v>50000.0</v>
      </c>
      <c r="AW6" s="9" t="s">
        <v>17</v>
      </c>
      <c r="AY6" s="9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ManualClosing!$4:$4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IFERROR(__xludf.DUMMYFUNCTION("""COMPUTED_VALUE"""),"CloseSSw/BuyBTO")</f>
        <v>CloseSSw/BuyBTO</v>
      </c>
      <c r="C5" s="27" t="str">
        <f>IFERROR(__xludf.DUMMYFUNCTION("""COMPUTED_VALUE"""),"AutoCloseStrategy")</f>
        <v>AutoCloseStrategy</v>
      </c>
      <c r="D5" s="27" t="str">
        <f>IFERROR(__xludf.DUMMYFUNCTION("""COMPUTED_VALUE"""),"LongAccount")</f>
        <v>LongAccount</v>
      </c>
      <c r="E5" s="27" t="str">
        <f>IFERROR(__xludf.DUMMYFUNCTION("""COMPUTED_VALUE"""),"LongAsset Class")</f>
        <v>LongAsset Class</v>
      </c>
      <c r="F5" s="28" t="str">
        <f>IFERROR(__xludf.DUMMYFUNCTION("""COMPUTED_VALUE"""),"LongAUECID")</f>
        <v>LongAUECID</v>
      </c>
      <c r="G5" s="27" t="str">
        <f>IFERROR(__xludf.DUMMYFUNCTION("""COMPUTED_VALUE"""),"LongExternalTransId")</f>
        <v>LongExternalTransId</v>
      </c>
      <c r="H5" s="27" t="str">
        <f>IFERROR(__xludf.DUMMYFUNCTION("""COMPUTED_VALUE"""),"LongIsSwapped")</f>
        <v>LongIsSwapped</v>
      </c>
      <c r="I5" s="27" t="str">
        <f>IFERROR(__xludf.DUMMYFUNCTION("""COMPUTED_VALUE"""),"LongLotId")</f>
        <v>LongLotId</v>
      </c>
      <c r="J5" s="27" t="str">
        <f>IFERROR(__xludf.DUMMYFUNCTION("""COMPUTED_VALUE"""),"LongNet Notional")</f>
        <v>LongNet Notional</v>
      </c>
      <c r="K5" s="27" t="str">
        <f>IFERROR(__xludf.DUMMYFUNCTION("""COMPUTED_VALUE"""),"LongOpening Price")</f>
        <v>LongOpening Price</v>
      </c>
      <c r="L5" s="27" t="str">
        <f>IFERROR(__xludf.DUMMYFUNCTION("""COMPUTED_VALUE"""),"LongOriginal Purchase Date")</f>
        <v>LongOriginal Purchase Date</v>
      </c>
      <c r="M5" s="27" t="str">
        <f>IFERROR(__xludf.DUMMYFUNCTION("""COMPUTED_VALUE"""),"LongPositionTag")</f>
        <v>LongPositionTag</v>
      </c>
      <c r="N5" s="27" t="str">
        <f>IFERROR(__xludf.DUMMYFUNCTION("""COMPUTED_VALUE"""),"LongProcess Date")</f>
        <v>LongProcess Date</v>
      </c>
      <c r="O5" s="27" t="str">
        <f>IFERROR(__xludf.DUMMYFUNCTION("""COMPUTED_VALUE"""),"LongQuantity")</f>
        <v>LongQuantity</v>
      </c>
      <c r="P5" s="27" t="str">
        <f>IFERROR(__xludf.DUMMYFUNCTION("""COMPUTED_VALUE"""),"LongSecurity Name")</f>
        <v>LongSecurity Name</v>
      </c>
      <c r="Q5" s="27" t="str">
        <f>IFERROR(__xludf.DUMMYFUNCTION("""COMPUTED_VALUE"""),"LongSettlement Currency")</f>
        <v>LongSettlement Currency</v>
      </c>
      <c r="R5" s="27" t="str">
        <f>IFERROR(__xludf.DUMMYFUNCTION("""COMPUTED_VALUE"""),"LongSettlement FxRate")</f>
        <v>LongSettlement FxRate</v>
      </c>
      <c r="S5" s="27" t="str">
        <f>IFERROR(__xludf.DUMMYFUNCTION("""COMPUTED_VALUE"""),"LongSettlement FxRate Operator")</f>
        <v>LongSettlement FxRate Operator</v>
      </c>
      <c r="T5" s="29" t="str">
        <f>IFERROR(__xludf.DUMMYFUNCTION("""COMPUTED_VALUE"""),"LongSettlement Price")</f>
        <v>LongSettlement Price</v>
      </c>
      <c r="U5" s="29" t="str">
        <f>IFERROR(__xludf.DUMMYFUNCTION("""COMPUTED_VALUE"""),"LongSettlement Unit Cost")</f>
        <v>LongSettlement Unit Cost</v>
      </c>
      <c r="V5" s="29" t="str">
        <f>IFERROR(__xludf.DUMMYFUNCTION("""COMPUTED_VALUE"""),"LongSide")</f>
        <v>LongSide</v>
      </c>
      <c r="W5" s="29" t="str">
        <f>IFERROR(__xludf.DUMMYFUNCTION("""COMPUTED_VALUE"""),"LongStrategy")</f>
        <v>LongStrategy</v>
      </c>
      <c r="X5" s="29" t="str">
        <f>IFERROR(__xludf.DUMMYFUNCTION("""COMPUTED_VALUE"""),"LongSymbol")</f>
        <v>LongSymbol</v>
      </c>
      <c r="Y5" s="29" t="str">
        <f>IFERROR(__xludf.DUMMYFUNCTION("""COMPUTED_VALUE"""),"LongTaxlot Id")</f>
        <v>LongTaxlot Id</v>
      </c>
      <c r="Z5" s="29" t="str">
        <f>IFERROR(__xludf.DUMMYFUNCTION("""COMPUTED_VALUE"""),"LongTotal Fee And Commission")</f>
        <v>LongTotal Fee And Commission</v>
      </c>
      <c r="AA5" s="29" t="str">
        <f>IFERROR(__xludf.DUMMYFUNCTION("""COMPUTED_VALUE"""),"LongTrade Date")</f>
        <v>LongTrade Date</v>
      </c>
      <c r="AB5" s="29" t="str">
        <f>IFERROR(__xludf.DUMMYFUNCTION("""COMPUTED_VALUE"""),"LongTransaction Type")</f>
        <v>LongTransaction Type</v>
      </c>
      <c r="AC5" s="29" t="str">
        <f>IFERROR(__xludf.DUMMYFUNCTION("""COMPUTED_VALUE"""),"LongUnderlyingName")</f>
        <v>LongUnderlyingName</v>
      </c>
      <c r="AD5" s="29" t="str">
        <f>IFERROR(__xludf.DUMMYFUNCTION("""COMPUTED_VALUE"""),"LongUnitCost")</f>
        <v>LongUnitCost</v>
      </c>
      <c r="AE5" s="29" t="str">
        <f>IFERROR(__xludf.DUMMYFUNCTION("""COMPUTED_VALUE"""),"ShortAccount")</f>
        <v>ShortAccount</v>
      </c>
      <c r="AF5" s="29" t="str">
        <f>IFERROR(__xludf.DUMMYFUNCTION("""COMPUTED_VALUE"""),"ShortAsset Class")</f>
        <v>ShortAsset Class</v>
      </c>
      <c r="AG5" s="29" t="str">
        <f>IFERROR(__xludf.DUMMYFUNCTION("""COMPUTED_VALUE"""),"ShortAUECID")</f>
        <v>ShortAUECID</v>
      </c>
      <c r="AH5" s="29" t="str">
        <f>IFERROR(__xludf.DUMMYFUNCTION("""COMPUTED_VALUE"""),"ShortExternalTransId")</f>
        <v>ShortExternalTransId</v>
      </c>
      <c r="AI5" s="29" t="str">
        <f>IFERROR(__xludf.DUMMYFUNCTION("""COMPUTED_VALUE"""),"ShortIsSwapped")</f>
        <v>ShortIsSwapped</v>
      </c>
      <c r="AJ5" s="29" t="str">
        <f>IFERROR(__xludf.DUMMYFUNCTION("""COMPUTED_VALUE"""),"ShortLotId")</f>
        <v>ShortLotId</v>
      </c>
      <c r="AK5" s="29" t="str">
        <f>IFERROR(__xludf.DUMMYFUNCTION("""COMPUTED_VALUE"""),"ShortNet Notional")</f>
        <v>ShortNet Notional</v>
      </c>
      <c r="AL5" s="29" t="str">
        <f>IFERROR(__xludf.DUMMYFUNCTION("""COMPUTED_VALUE"""),"ShortOpening Price")</f>
        <v>ShortOpening Price</v>
      </c>
      <c r="AM5" s="29" t="str">
        <f>IFERROR(__xludf.DUMMYFUNCTION("""COMPUTED_VALUE"""),"ShortOriginal Purchase Date")</f>
        <v>ShortOriginal Purchase Date</v>
      </c>
      <c r="AN5" s="29" t="str">
        <f>IFERROR(__xludf.DUMMYFUNCTION("""COMPUTED_VALUE"""),"ShortPositionTag")</f>
        <v>ShortPositionTag</v>
      </c>
      <c r="AO5" s="29" t="str">
        <f>IFERROR(__xludf.DUMMYFUNCTION("""COMPUTED_VALUE"""),"ShortProcess Date")</f>
        <v>ShortProcess Date</v>
      </c>
      <c r="AP5" s="29" t="str">
        <f>IFERROR(__xludf.DUMMYFUNCTION("""COMPUTED_VALUE"""),"ShortQuantity")</f>
        <v>ShortQuantity</v>
      </c>
      <c r="AQ5" s="29" t="str">
        <f>IFERROR(__xludf.DUMMYFUNCTION("""COMPUTED_VALUE"""),"ShortSecurity Name")</f>
        <v>ShortSecurity Name</v>
      </c>
      <c r="AR5" s="29" t="str">
        <f>IFERROR(__xludf.DUMMYFUNCTION("""COMPUTED_VALUE"""),"ShortSettlement Currency")</f>
        <v>ShortSettlement Currency</v>
      </c>
      <c r="AS5" s="29" t="str">
        <f>IFERROR(__xludf.DUMMYFUNCTION("""COMPUTED_VALUE"""),"ShortSettlement FxRate")</f>
        <v>ShortSettlement FxRate</v>
      </c>
      <c r="AT5" s="29" t="str">
        <f>IFERROR(__xludf.DUMMYFUNCTION("""COMPUTED_VALUE"""),"ShortSettlement FxRate Operator")</f>
        <v>ShortSettlement FxRate Operator</v>
      </c>
      <c r="AU5" s="29" t="str">
        <f>IFERROR(__xludf.DUMMYFUNCTION("""COMPUTED_VALUE"""),"ShortSettlement Price")</f>
        <v>ShortSettlement Price</v>
      </c>
      <c r="AV5" s="29" t="str">
        <f>IFERROR(__xludf.DUMMYFUNCTION("""COMPUTED_VALUE"""),"ShortSettlement Unit Cost")</f>
        <v>ShortSettlement Unit Cost</v>
      </c>
      <c r="AW5" s="29" t="str">
        <f>IFERROR(__xludf.DUMMYFUNCTION("""COMPUTED_VALUE"""),"ShortSide")</f>
        <v>ShortSide</v>
      </c>
      <c r="AX5" s="29" t="str">
        <f>IFERROR(__xludf.DUMMYFUNCTION("""COMPUTED_VALUE"""),"ShortStrategy")</f>
        <v>ShortStrategy</v>
      </c>
      <c r="AY5" s="29" t="str">
        <f>IFERROR(__xludf.DUMMYFUNCTION("""COMPUTED_VALUE"""),"ShortSymbol")</f>
        <v>ShortSymbol</v>
      </c>
      <c r="AZ5" s="29" t="str">
        <f>IFERROR(__xludf.DUMMYFUNCTION("""COMPUTED_VALUE"""),"ShortTaxlot Id")</f>
        <v>ShortTaxlot Id</v>
      </c>
      <c r="BA5" s="29" t="str">
        <f>IFERROR(__xludf.DUMMYFUNCTION("""COMPUTED_VALUE"""),"ShortTotal Fee And Commission")</f>
        <v>ShortTotal Fee And Commission</v>
      </c>
      <c r="BB5" s="29" t="str">
        <f>IFERROR(__xludf.DUMMYFUNCTION("""COMPUTED_VALUE"""),"ShortTrade Date")</f>
        <v>ShortTrade Date</v>
      </c>
      <c r="BC5" s="29" t="str">
        <f>IFERROR(__xludf.DUMMYFUNCTION("""COMPUTED_VALUE"""),"ShortTransaction Type")</f>
        <v>ShortTransaction Type</v>
      </c>
      <c r="BD5" s="29" t="str">
        <f>IFERROR(__xludf.DUMMYFUNCTION("""COMPUTED_VALUE"""),"ShortUnderlyingName")</f>
        <v>ShortUnderlyingName</v>
      </c>
      <c r="BE5" s="29" t="str">
        <f>IFERROR(__xludf.DUMMYFUNCTION("""COMPUTED_VALUE"""),"ShortUnitCost")</f>
        <v>ShortUnitCost</v>
      </c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b">
        <v>0</v>
      </c>
      <c r="C6" s="11" t="b">
        <v>1</v>
      </c>
      <c r="D6" s="11" t="s">
        <v>20</v>
      </c>
      <c r="E6" s="11" t="s">
        <v>23</v>
      </c>
      <c r="F6" s="8"/>
      <c r="G6" s="8"/>
      <c r="H6" s="8"/>
      <c r="I6" s="8"/>
      <c r="J6" s="8"/>
      <c r="K6" s="11">
        <v>20.0</v>
      </c>
      <c r="L6" s="8"/>
      <c r="M6" s="8"/>
      <c r="N6" s="8"/>
      <c r="O6" s="11">
        <v>50000.0</v>
      </c>
      <c r="V6" s="9" t="s">
        <v>29</v>
      </c>
      <c r="X6" s="9" t="s">
        <v>16</v>
      </c>
      <c r="AE6" s="9" t="s">
        <v>20</v>
      </c>
      <c r="AF6" s="9" t="s">
        <v>23</v>
      </c>
      <c r="AL6" s="9">
        <v>11.0</v>
      </c>
      <c r="AP6" s="31">
        <v>50000.0</v>
      </c>
      <c r="AW6" s="9" t="s">
        <v>17</v>
      </c>
      <c r="AY6" s="9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ManualClosing1!$4:$4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 ID")</f>
        <v>Taxlot ID</v>
      </c>
      <c r="C5" s="27" t="str">
        <f>IFERROR(__xludf.DUMMYFUNCTION("""COMPUTED_VALUE"""),"Closing Date")</f>
        <v>Closing Date</v>
      </c>
      <c r="D5" s="27" t="str">
        <f>IFERROR(__xludf.DUMMYFUNCTION("""COMPUTED_VALUE"""),"Account")</f>
        <v>Account</v>
      </c>
      <c r="E5" s="27" t="str">
        <f>IFERROR(__xludf.DUMMYFUNCTION("""COMPUTED_VALUE"""),"Strategy")</f>
        <v>Strategy</v>
      </c>
      <c r="F5" s="28" t="str">
        <f>IFERROR(__xludf.DUMMYFUNCTION("""COMPUTED_VALUE"""),"Position Type")</f>
        <v>Position Type</v>
      </c>
      <c r="G5" s="27" t="str">
        <f>IFERROR(__xludf.DUMMYFUNCTION("""COMPUTED_VALUE"""),"Asset Class")</f>
        <v>Asset Class</v>
      </c>
      <c r="H5" s="27" t="str">
        <f>IFERROR(__xludf.DUMMYFUNCTION("""COMPUTED_VALUE"""),"Symbol")</f>
        <v>Symbol</v>
      </c>
      <c r="I5" s="27" t="str">
        <f>IFERROR(__xludf.DUMMYFUNCTION("""COMPUTED_VALUE"""),"Qty Closed")</f>
        <v>Qty Closed</v>
      </c>
      <c r="J5" s="27" t="str">
        <f>IFERROR(__xludf.DUMMYFUNCTION("""COMPUTED_VALUE"""),"Opening Price")</f>
        <v>Opening Price</v>
      </c>
      <c r="K5" s="27" t="str">
        <f>IFERROR(__xludf.DUMMYFUNCTION("""COMPUTED_VALUE"""),"Closing Price")</f>
        <v>Closing Price</v>
      </c>
      <c r="L5" s="27" t="str">
        <f>IFERROR(__xludf.DUMMYFUNCTION("""COMPUTED_VALUE"""),"ClosingTotalCommissionandFees")</f>
        <v>ClosingTotalCommissionandFees</v>
      </c>
      <c r="M5" s="27" t="str">
        <f>IFERROR(__xludf.DUMMYFUNCTION("""COMPUTED_VALUE"""),"Realized PNL(C.B.)")</f>
        <v>Realized PNL(C.B.)</v>
      </c>
      <c r="N5" s="27" t="str">
        <f>IFERROR(__xludf.DUMMYFUNCTION("""COMPUTED_VALUE"""),"Exchange")</f>
        <v>Exchange</v>
      </c>
      <c r="O5" s="27" t="str">
        <f>IFERROR(__xludf.DUMMYFUNCTION("""COMPUTED_VALUE"""),"Opening Side")</f>
        <v>Opening Side</v>
      </c>
      <c r="P5" s="27" t="str">
        <f>IFERROR(__xludf.DUMMYFUNCTION("""COMPUTED_VALUE"""),"Opening Fees &amp; Commission")</f>
        <v>Opening Fees &amp; Commission</v>
      </c>
      <c r="Q5" s="27" t="str">
        <f>IFERROR(__xludf.DUMMYFUNCTION("""COMPUTED_VALUE"""),"Closing Side")</f>
        <v>Closing Side</v>
      </c>
      <c r="R5" s="27" t="str">
        <f>IFERROR(__xludf.DUMMYFUNCTION("""COMPUTED_VALUE"""),"Closing Method")</f>
        <v>Closing Method</v>
      </c>
      <c r="S5" s="27" t="str">
        <f>IFERROR(__xludf.DUMMYFUNCTION("""COMPUTED_VALUE"""),"ClosingID")</f>
        <v>ClosingID</v>
      </c>
      <c r="T5" s="29" t="str">
        <f>IFERROR(__xludf.DUMMYFUNCTION("""COMPUTED_VALUE"""),"Original Purchase Date")</f>
        <v>Original Purchase Date</v>
      </c>
      <c r="U5" s="29" t="str">
        <f>IFERROR(__xludf.DUMMYFUNCTION("""COMPUTED_VALUE"""),"Description")</f>
        <v>Description</v>
      </c>
      <c r="V5" s="29" t="str">
        <f>IFERROR(__xludf.DUMMYFUNCTION("""COMPUTED_VALUE"""),"AccountID")</f>
        <v>AccountID</v>
      </c>
      <c r="W5" s="29" t="str">
        <f>IFERROR(__xludf.DUMMYFUNCTION("""COMPUTED_VALUE"""),"IsExpired_Settled")</f>
        <v>IsExpired_Settled</v>
      </c>
      <c r="X5" s="29" t="str">
        <f>IFERROR(__xludf.DUMMYFUNCTION("""COMPUTED_VALUE"""),"Underlying")</f>
        <v>Underlying</v>
      </c>
      <c r="Y5" s="29" t="str">
        <f>IFERROR(__xludf.DUMMYFUNCTION("""COMPUTED_VALUE"""),"CurrencyID")</f>
        <v>CurrencyID</v>
      </c>
      <c r="Z5" s="29" t="str">
        <f>IFERROR(__xludf.DUMMYFUNCTION("""COMPUTED_VALUE"""),"Currency")</f>
        <v>Currency</v>
      </c>
      <c r="AA5" s="29" t="str">
        <f>IFERROR(__xludf.DUMMYFUNCTION("""COMPUTED_VALUE"""),"AUECID")</f>
        <v>AUECID</v>
      </c>
      <c r="AB5" s="29" t="str">
        <f>IFERROR(__xludf.DUMMYFUNCTION("""COMPUTED_VALUE"""),"NotionalValue")</f>
        <v>NotionalValue</v>
      </c>
      <c r="AC5" s="29" t="str">
        <f>IFERROR(__xludf.DUMMYFUNCTION("""COMPUTED_VALUE"""),"Multiplier")</f>
        <v>Multiplier</v>
      </c>
      <c r="AD5" s="29" t="str">
        <f>IFERROR(__xludf.DUMMYFUNCTION("""COMPUTED_VALUE"""),"TimeOfSaveUTC")</f>
        <v>TimeOfSaveUTC</v>
      </c>
      <c r="AE5" s="29" t="str">
        <f>IFERROR(__xludf.DUMMYFUNCTION("""COMPUTED_VALUE"""),"Closing Position Type")</f>
        <v>Closing Position Type</v>
      </c>
      <c r="AF5" s="29" t="str">
        <f>IFERROR(__xludf.DUMMYFUNCTION("""COMPUTED_VALUE"""),"Closing Mode")</f>
        <v>Closing Mode</v>
      </c>
      <c r="AG5" s="29" t="str">
        <f>IFERROR(__xludf.DUMMYFUNCTION("""COMPUTED_VALUE"""),"StrategyID")</f>
        <v>StrategyID</v>
      </c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 t="s">
        <v>18</v>
      </c>
      <c r="E6" s="32"/>
      <c r="F6" s="11" t="s">
        <v>25</v>
      </c>
      <c r="G6" s="11" t="s">
        <v>23</v>
      </c>
      <c r="H6" s="11" t="s">
        <v>16</v>
      </c>
      <c r="I6" s="30">
        <v>50000.0</v>
      </c>
      <c r="J6" s="11">
        <v>10.0</v>
      </c>
      <c r="K6" s="11">
        <v>20.0</v>
      </c>
      <c r="L6" s="11">
        <v>0.0</v>
      </c>
      <c r="M6" s="8"/>
      <c r="N6" s="8"/>
      <c r="O6" s="11" t="s">
        <v>25</v>
      </c>
      <c r="P6" s="9">
        <v>0.0</v>
      </c>
      <c r="Q6" s="9" t="s">
        <v>29</v>
      </c>
      <c r="R6" s="9" t="s">
        <v>37</v>
      </c>
    </row>
    <row r="7" ht="15.75" customHeight="1">
      <c r="A7" s="8"/>
      <c r="B7" s="8"/>
      <c r="C7" s="8"/>
      <c r="D7" s="11" t="s">
        <v>20</v>
      </c>
      <c r="E7" s="8"/>
      <c r="F7" s="11" t="s">
        <v>25</v>
      </c>
      <c r="G7" s="11" t="s">
        <v>23</v>
      </c>
      <c r="H7" s="11" t="s">
        <v>16</v>
      </c>
      <c r="I7" s="30">
        <v>50000.0</v>
      </c>
      <c r="J7" s="11">
        <v>11.0</v>
      </c>
      <c r="K7" s="11">
        <v>20.0</v>
      </c>
      <c r="L7" s="11">
        <v>0.0</v>
      </c>
      <c r="M7" s="8"/>
      <c r="N7" s="8"/>
      <c r="O7" s="11" t="s">
        <v>25</v>
      </c>
      <c r="P7" s="9">
        <v>0.0</v>
      </c>
      <c r="Q7" s="9" t="s">
        <v>29</v>
      </c>
      <c r="R7" s="9" t="s">
        <v>37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VerifyClosedTrades!$4:$4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IFERROR(__xludf.DUMMYFUNCTION("""COMPUTED_VALUE"""),"Unexecuted Qty")</f>
        <v>Unexecuted Qty</v>
      </c>
      <c r="G5" s="27" t="str">
        <f>IFERROR(__xludf.DUMMYFUNCTION("""COMPUTED_VALUE"""),"Status")</f>
        <v>Status</v>
      </c>
      <c r="H5" s="27" t="str">
        <f>IFERROR(__xludf.DUMMYFUNCTION("""COMPUTED_VALUE"""),"Last Shares")</f>
        <v>Last Shares</v>
      </c>
      <c r="I5" s="27" t="str">
        <f>IFERROR(__xludf.DUMMYFUNCTION("""COMPUTED_VALUE"""),"Last Fill Price (Local)")</f>
        <v>Last Fill Price (Local)</v>
      </c>
      <c r="J5" s="27" t="str">
        <f>IFERROR(__xludf.DUMMYFUNCTION("""COMPUTED_VALUE"""),"Avg Fill Price (Local)")</f>
        <v>Avg Fill Price (Local)</v>
      </c>
      <c r="K5" s="27" t="str">
        <f>IFERROR(__xludf.DUMMYFUNCTION("""COMPUTED_VALUE"""),"Broker")</f>
        <v>Broker</v>
      </c>
      <c r="L5" s="27" t="str">
        <f>IFERROR(__xludf.DUMMYFUNCTION("""COMPUTED_VALUE"""),"Account")</f>
        <v>Account</v>
      </c>
      <c r="M5" s="27" t="str">
        <f>IFERROR(__xludf.DUMMYFUNCTION("""COMPUTED_VALUE"""),"Order Type")</f>
        <v>Order Type</v>
      </c>
      <c r="N5" s="27" t="str">
        <f>IFERROR(__xludf.DUMMYFUNCTION("""COMPUTED_VALUE"""),"OrderStatus")</f>
        <v>OrderStatus</v>
      </c>
      <c r="O5" s="27" t="str">
        <f>IFERROR(__xludf.DUMMYFUNCTION("""COMPUTED_VALUE"""),"Avg Fill Price (Base)")</f>
        <v>Avg Fill Price (Base)</v>
      </c>
      <c r="P5" s="27" t="str">
        <f>IFERROR(__xludf.DUMMYFUNCTION("""COMPUTED_VALUE"""),"Limit Price")</f>
        <v>Limit Price</v>
      </c>
      <c r="Q5" s="27" t="str">
        <f>IFERROR(__xludf.DUMMYFUNCTION("""COMPUTED_VALUE"""),"Stop Price")</f>
        <v>Stop Price</v>
      </c>
      <c r="R5" s="27" t="str">
        <f>IFERROR(__xludf.DUMMYFUNCTION("""COMPUTED_VALUE"""),"User")</f>
        <v>User</v>
      </c>
      <c r="S5" s="27" t="str">
        <f>IFERROR(__xludf.DUMMYFUNCTION("""COMPUTED_VALUE"""),"Bloomberg Symbol")</f>
        <v>Bloomberg Symbol</v>
      </c>
      <c r="T5" s="29" t="str">
        <f>IFERROR(__xludf.DUMMYFUNCTION("""COMPUTED_VALUE"""),"Algo")</f>
        <v>Algo</v>
      </c>
      <c r="U5" s="29" t="str">
        <f>IFERROR(__xludf.DUMMYFUNCTION("""COMPUTED_VALUE"""),"Allocation Scheme Name")</f>
        <v>Allocation Scheme Name</v>
      </c>
      <c r="V5" s="29" t="str">
        <f>IFERROR(__xludf.DUMMYFUNCTION("""COMPUTED_VALUE"""),"Allocation Status")</f>
        <v>Allocation Status</v>
      </c>
      <c r="W5" s="29" t="str">
        <f>IFERROR(__xludf.DUMMYFUNCTION("""COMPUTED_VALUE"""),"Asset Class")</f>
        <v>Asset Class</v>
      </c>
      <c r="X5" s="29" t="str">
        <f>IFERROR(__xludf.DUMMYFUNCTION("""COMPUTED_VALUE"""),"FX Conversion Operator")</f>
        <v>FX Conversion Operator</v>
      </c>
      <c r="Y5" s="29" t="str">
        <f>IFERROR(__xludf.DUMMYFUNCTION("""COMPUTED_VALUE"""),"FX Rate")</f>
        <v>FX Rate</v>
      </c>
      <c r="Z5" s="29" t="str">
        <f>IFERROR(__xludf.DUMMYFUNCTION("""COMPUTED_VALUE"""),"Imported File Name")</f>
        <v>Imported File Name</v>
      </c>
      <c r="AA5" s="29" t="str">
        <f>IFERROR(__xludf.DUMMYFUNCTION("""COMPUTED_VALUE"""),"Internal Comments")</f>
        <v>Internal Comments</v>
      </c>
      <c r="AB5" s="29" t="str">
        <f>IFERROR(__xludf.DUMMYFUNCTION("""COMPUTED_VALUE"""),"Peg")</f>
        <v>Peg</v>
      </c>
      <c r="AC5" s="29" t="str">
        <f>IFERROR(__xludf.DUMMYFUNCTION("""COMPUTED_VALUE"""),"Principal Amount (Base)")</f>
        <v>Principal Amount (Base)</v>
      </c>
      <c r="AD5" s="29" t="str">
        <f>IFERROR(__xludf.DUMMYFUNCTION("""COMPUTED_VALUE"""),"Principal Amount (Local)")</f>
        <v>Principal Amount (Local)</v>
      </c>
      <c r="AE5" s="29" t="str">
        <f>IFERROR(__xludf.DUMMYFUNCTION("""COMPUTED_VALUE"""),"Process Date")</f>
        <v>Process Date</v>
      </c>
      <c r="AF5" s="29" t="str">
        <f>IFERROR(__xludf.DUMMYFUNCTION("""COMPUTED_VALUE"""),"Put/Call")</f>
        <v>Put/Call</v>
      </c>
      <c r="AG5" s="29" t="str">
        <f>IFERROR(__xludf.DUMMYFUNCTION("""COMPUTED_VALUE"""),"Settlement Currency")</f>
        <v>Settlement Currency</v>
      </c>
      <c r="AH5" s="29" t="str">
        <f>IFERROR(__xludf.DUMMYFUNCTION("""COMPUTED_VALUE"""),"Source")</f>
        <v>Source</v>
      </c>
      <c r="AI5" s="29" t="str">
        <f>IFERROR(__xludf.DUMMYFUNCTION("""COMPUTED_VALUE"""),"Status (With Rollover)")</f>
        <v>Status (With Rollover)</v>
      </c>
      <c r="AJ5" s="29" t="str">
        <f>IFERROR(__xludf.DUMMYFUNCTION("""COMPUTED_VALUE"""),"Strategy")</f>
        <v>Strategy</v>
      </c>
      <c r="AK5" s="29" t="str">
        <f>IFERROR(__xludf.DUMMYFUNCTION("""COMPUTED_VALUE"""),"Strike Price")</f>
        <v>Strike Price</v>
      </c>
      <c r="AL5" s="29" t="str">
        <f>IFERROR(__xludf.DUMMYFUNCTION("""COMPUTED_VALUE"""),"Trade Attribute 1")</f>
        <v>Trade Attribute 1</v>
      </c>
      <c r="AM5" s="29" t="str">
        <f>IFERROR(__xludf.DUMMYFUNCTION("""COMPUTED_VALUE"""),"Trade Attribute 2")</f>
        <v>Trade Attribute 2</v>
      </c>
      <c r="AN5" s="29" t="str">
        <f>IFERROR(__xludf.DUMMYFUNCTION("""COMPUTED_VALUE"""),"Trade Attribute 3")</f>
        <v>Trade Attribute 3</v>
      </c>
      <c r="AO5" s="29" t="str">
        <f>IFERROR(__xludf.DUMMYFUNCTION("""COMPUTED_VALUE"""),"Trade Attribute 4")</f>
        <v>Trade Attribute 4</v>
      </c>
      <c r="AP5" s="29" t="str">
        <f>IFERROR(__xludf.DUMMYFUNCTION("""COMPUTED_VALUE"""),"Trade Attribute 5")</f>
        <v>Trade Attribute 5</v>
      </c>
      <c r="AQ5" s="29" t="str">
        <f>IFERROR(__xludf.DUMMYFUNCTION("""COMPUTED_VALUE"""),"Trade Attribute 6")</f>
        <v>Trade Attribute 6</v>
      </c>
      <c r="AR5" s="29" t="str">
        <f>IFERROR(__xludf.DUMMYFUNCTION("""COMPUTED_VALUE"""),"Trader")</f>
        <v>Trader</v>
      </c>
      <c r="AS5" s="29" t="str">
        <f>IFERROR(__xludf.DUMMYFUNCTION("""COMPUTED_VALUE"""),"Transaction Time")</f>
        <v>Transaction Time</v>
      </c>
      <c r="AT5" s="29" t="str">
        <f>IFERROR(__xludf.DUMMYFUNCTION("""COMPUTED_VALUE"""),"Underlying Country")</f>
        <v>Underlying Country</v>
      </c>
      <c r="AU5" s="29" t="str">
        <f>IFERROR(__xludf.DUMMYFUNCTION("""COMPUTED_VALUE"""),"Underlying Symbol")</f>
        <v>Underlying Symbol</v>
      </c>
      <c r="AV5" s="29" t="str">
        <f>IFERROR(__xludf.DUMMYFUNCTION("""COMPUTED_VALUE"""),"Venue")</f>
        <v>Venue</v>
      </c>
      <c r="AW5" s="29" t="str">
        <f>IFERROR(__xludf.DUMMYFUNCTION("""COMPUTED_VALUE"""),"Working Qty")</f>
        <v>Working Qty</v>
      </c>
      <c r="AX5" s="29" t="str">
        <f>IFERROR(__xludf.DUMMYFUNCTION("""COMPUTED_VALUE"""),"Client")</f>
        <v>Client</v>
      </c>
      <c r="AY5" s="29" t="str">
        <f>IFERROR(__xludf.DUMMYFUNCTION("""COMPUTED_VALUE"""),"OrderID")</f>
        <v>OrderID</v>
      </c>
      <c r="AZ5" s="29" t="str">
        <f>IFERROR(__xludf.DUMMYFUNCTION("""COMPUTED_VALUE"""),"ParentClOrderID")</f>
        <v>ParentClOrderID</v>
      </c>
      <c r="BA5" s="29" t="str">
        <f>IFERROR(__xludf.DUMMYFUNCTION("""COMPUTED_VALUE"""),"Master Fund")</f>
        <v>Master Fund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16</v>
      </c>
      <c r="C6" s="11" t="s">
        <v>17</v>
      </c>
      <c r="D6" s="30">
        <v>50000.0</v>
      </c>
      <c r="E6" s="30">
        <v>50000.0</v>
      </c>
      <c r="F6" s="8"/>
      <c r="G6" s="11" t="s">
        <v>40</v>
      </c>
      <c r="H6" s="30">
        <v>50000.0</v>
      </c>
      <c r="I6" s="11">
        <v>10.0</v>
      </c>
      <c r="J6" s="11">
        <v>10.0</v>
      </c>
      <c r="K6" s="11" t="s">
        <v>19</v>
      </c>
      <c r="L6" s="11" t="s">
        <v>18</v>
      </c>
      <c r="M6" s="11" t="s">
        <v>41</v>
      </c>
      <c r="N6" s="8"/>
      <c r="O6" s="11">
        <v>0.0</v>
      </c>
      <c r="AC6" s="9">
        <v>0.0</v>
      </c>
      <c r="AD6" s="31">
        <v>-500000.0</v>
      </c>
    </row>
    <row r="7" ht="15.75" customHeight="1">
      <c r="A7" s="8"/>
      <c r="B7" s="11" t="s">
        <v>16</v>
      </c>
      <c r="C7" s="11" t="s">
        <v>17</v>
      </c>
      <c r="D7" s="30">
        <v>50000.0</v>
      </c>
      <c r="E7" s="30">
        <v>50000.0</v>
      </c>
      <c r="F7" s="8"/>
      <c r="G7" s="11" t="s">
        <v>40</v>
      </c>
      <c r="H7" s="30">
        <v>50000.0</v>
      </c>
      <c r="I7" s="11">
        <v>11.0</v>
      </c>
      <c r="J7" s="11">
        <v>11.0</v>
      </c>
      <c r="K7" s="11" t="s">
        <v>19</v>
      </c>
      <c r="L7" s="11" t="s">
        <v>20</v>
      </c>
      <c r="M7" s="11" t="s">
        <v>41</v>
      </c>
      <c r="N7" s="8"/>
      <c r="O7" s="11">
        <v>0.0</v>
      </c>
      <c r="AC7" s="9">
        <v>0.0</v>
      </c>
      <c r="AD7" s="31">
        <v>-550000.0</v>
      </c>
    </row>
    <row r="8" ht="15.75" customHeight="1">
      <c r="A8" s="8"/>
      <c r="B8" s="11" t="s">
        <v>16</v>
      </c>
      <c r="C8" s="11" t="s">
        <v>29</v>
      </c>
      <c r="D8" s="34">
        <v>100000.0</v>
      </c>
      <c r="E8" s="34">
        <v>100000.0</v>
      </c>
      <c r="F8" s="35"/>
      <c r="G8" s="36" t="s">
        <v>40</v>
      </c>
      <c r="H8" s="34">
        <v>100000.0</v>
      </c>
      <c r="I8" s="37">
        <v>20.0</v>
      </c>
      <c r="J8" s="37">
        <v>20.0</v>
      </c>
      <c r="K8" s="36" t="s">
        <v>19</v>
      </c>
      <c r="L8" s="36" t="s">
        <v>42</v>
      </c>
      <c r="M8" s="11" t="s">
        <v>41</v>
      </c>
      <c r="N8" s="8"/>
      <c r="O8" s="11">
        <v>0.0</v>
      </c>
      <c r="AC8" s="9">
        <v>0.0</v>
      </c>
      <c r="AD8" s="31">
        <v>2000000.0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VerifyWorkingSubs!$4:$4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43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32</v>
      </c>
      <c r="C6" s="8"/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43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IFERROR(__xludf.DUMMYFUNCTION("""COMPUTED_VALUE"""),"IsManualGroup")</f>
        <v>IsManualGroup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18</v>
      </c>
      <c r="C6" s="8"/>
      <c r="D6" s="11"/>
      <c r="E6" s="30">
        <v>50000.0</v>
      </c>
      <c r="F6" s="8"/>
      <c r="G6" s="11" t="s">
        <v>23</v>
      </c>
      <c r="H6" s="11">
        <v>0.0</v>
      </c>
      <c r="I6" s="11">
        <v>0.0</v>
      </c>
      <c r="J6" s="8"/>
      <c r="K6" s="11">
        <v>0.0</v>
      </c>
      <c r="L6" s="11">
        <v>10.0</v>
      </c>
      <c r="M6" s="8"/>
      <c r="N6" s="8"/>
      <c r="O6" s="11" t="s">
        <v>19</v>
      </c>
      <c r="R6" s="9">
        <v>0.0</v>
      </c>
      <c r="S6" s="9" t="s">
        <v>46</v>
      </c>
      <c r="T6" s="9">
        <v>0.0</v>
      </c>
      <c r="AE6" s="31">
        <v>50000.0</v>
      </c>
      <c r="AT6" s="9">
        <v>0.0</v>
      </c>
      <c r="AU6" s="31">
        <v>500000.0</v>
      </c>
      <c r="AW6" s="9">
        <v>0.0</v>
      </c>
      <c r="AY6" s="9" t="s">
        <v>41</v>
      </c>
      <c r="AZ6" s="9">
        <v>0.0</v>
      </c>
      <c r="BC6" s="9">
        <v>0.0</v>
      </c>
      <c r="BE6" s="9">
        <v>0.0</v>
      </c>
      <c r="BF6" s="31">
        <v>500000.0</v>
      </c>
      <c r="BJ6" s="31">
        <v>50000.0</v>
      </c>
      <c r="BK6" s="9">
        <v>0.0</v>
      </c>
      <c r="BO6" s="9" t="s">
        <v>17</v>
      </c>
      <c r="BT6" s="9" t="s">
        <v>16</v>
      </c>
      <c r="BW6" s="9">
        <v>0.0</v>
      </c>
      <c r="CG6" s="9">
        <v>0.0</v>
      </c>
      <c r="CI6" s="9" t="s">
        <v>47</v>
      </c>
      <c r="CJ6" s="9">
        <v>0.0</v>
      </c>
    </row>
    <row r="7" ht="15.75" customHeight="1">
      <c r="A7" s="8"/>
      <c r="B7" s="11" t="s">
        <v>20</v>
      </c>
      <c r="C7" s="8"/>
      <c r="D7" s="8"/>
      <c r="E7" s="30">
        <v>50000.0</v>
      </c>
      <c r="F7" s="8"/>
      <c r="G7" s="11" t="s">
        <v>23</v>
      </c>
      <c r="H7" s="11">
        <v>0.0</v>
      </c>
      <c r="I7" s="11">
        <v>0.0</v>
      </c>
      <c r="J7" s="8"/>
      <c r="K7" s="11">
        <v>0.0</v>
      </c>
      <c r="L7" s="11">
        <v>11.0</v>
      </c>
      <c r="M7" s="8"/>
      <c r="N7" s="8"/>
      <c r="O7" s="11" t="s">
        <v>19</v>
      </c>
      <c r="R7" s="9">
        <v>0.0</v>
      </c>
      <c r="S7" s="9" t="s">
        <v>46</v>
      </c>
      <c r="T7" s="9">
        <v>0.0</v>
      </c>
      <c r="AE7" s="31">
        <v>50000.0</v>
      </c>
      <c r="AT7" s="9">
        <v>0.0</v>
      </c>
      <c r="AU7" s="31">
        <v>550000.0</v>
      </c>
      <c r="AW7" s="9">
        <v>0.0</v>
      </c>
      <c r="AY7" s="9" t="s">
        <v>41</v>
      </c>
      <c r="AZ7" s="9">
        <v>0.0</v>
      </c>
      <c r="BC7" s="9">
        <v>0.0</v>
      </c>
      <c r="BE7" s="9">
        <v>0.0</v>
      </c>
      <c r="BF7" s="31">
        <v>550000.0</v>
      </c>
      <c r="BJ7" s="31">
        <v>50000.0</v>
      </c>
      <c r="BK7" s="9">
        <v>0.0</v>
      </c>
      <c r="BO7" s="9" t="s">
        <v>17</v>
      </c>
      <c r="BT7" s="9" t="s">
        <v>16</v>
      </c>
      <c r="BW7" s="9">
        <v>0.0</v>
      </c>
      <c r="CG7" s="9">
        <v>0.0</v>
      </c>
      <c r="CI7" s="9" t="s">
        <v>47</v>
      </c>
      <c r="CJ7" s="9">
        <v>0.0</v>
      </c>
    </row>
    <row r="8" ht="15.75" customHeight="1">
      <c r="A8" s="8"/>
      <c r="B8" s="11" t="s">
        <v>42</v>
      </c>
      <c r="C8" s="8"/>
      <c r="D8" s="8"/>
      <c r="E8" s="30">
        <v>100000.0</v>
      </c>
      <c r="F8" s="8"/>
      <c r="G8" s="11" t="s">
        <v>23</v>
      </c>
      <c r="H8" s="11">
        <v>0.0</v>
      </c>
      <c r="I8" s="11">
        <v>0.0</v>
      </c>
      <c r="J8" s="8"/>
      <c r="K8" s="11">
        <v>0.0</v>
      </c>
      <c r="L8" s="11">
        <v>20.0</v>
      </c>
      <c r="M8" s="8"/>
      <c r="N8" s="8"/>
      <c r="O8" s="11" t="s">
        <v>19</v>
      </c>
      <c r="R8" s="9">
        <v>0.0</v>
      </c>
      <c r="S8" s="9" t="s">
        <v>46</v>
      </c>
      <c r="T8" s="9">
        <v>0.0</v>
      </c>
      <c r="AE8" s="31">
        <v>100000.0</v>
      </c>
      <c r="AT8" s="9">
        <v>0.0</v>
      </c>
      <c r="AU8" s="31">
        <v>2000000.0</v>
      </c>
      <c r="AW8" s="9">
        <v>0.0</v>
      </c>
      <c r="AY8" s="9" t="s">
        <v>41</v>
      </c>
      <c r="AZ8" s="9">
        <v>0.0</v>
      </c>
      <c r="BC8" s="9">
        <v>0.0</v>
      </c>
      <c r="BE8" s="9">
        <v>0.0</v>
      </c>
      <c r="BF8" s="31">
        <v>2000000.0</v>
      </c>
      <c r="BJ8" s="31">
        <v>100000.0</v>
      </c>
      <c r="BK8" s="9">
        <v>0.0</v>
      </c>
      <c r="BO8" s="9" t="s">
        <v>29</v>
      </c>
      <c r="BT8" s="9" t="s">
        <v>16</v>
      </c>
      <c r="BW8" s="9">
        <v>0.0</v>
      </c>
      <c r="CG8" s="9">
        <v>0.0</v>
      </c>
      <c r="CI8" s="9" t="s">
        <v>48</v>
      </c>
      <c r="CJ8" s="9">
        <v>0.0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8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Outstanding")</f>
        <v>Shares Outstanding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/>
      <c r="FD5" s="29"/>
      <c r="FE5" s="29"/>
      <c r="FF5" s="29"/>
      <c r="FG5" s="29"/>
      <c r="FH5" s="29"/>
      <c r="FI5" s="29"/>
      <c r="FJ5" s="29"/>
      <c r="FK5" s="29"/>
      <c r="FL5" s="29"/>
    </row>
    <row r="6" ht="15.75" customHeight="1">
      <c r="A6" s="11"/>
      <c r="B6" s="11"/>
      <c r="C6" s="11" t="s">
        <v>16</v>
      </c>
      <c r="D6" s="30">
        <v>-50000.0</v>
      </c>
      <c r="E6" s="11" t="s">
        <v>18</v>
      </c>
      <c r="F6" s="8"/>
      <c r="G6" s="11">
        <v>10.0</v>
      </c>
      <c r="H6" s="11" t="s">
        <v>25</v>
      </c>
      <c r="I6" s="8"/>
      <c r="J6" s="8"/>
      <c r="K6" s="11">
        <v>0.0</v>
      </c>
      <c r="L6" s="8"/>
      <c r="M6" s="8"/>
      <c r="N6" s="11">
        <v>0.0</v>
      </c>
      <c r="O6" s="8"/>
      <c r="Q6" s="9">
        <v>0.0</v>
      </c>
      <c r="T6" s="9" t="s">
        <v>23</v>
      </c>
      <c r="U6" s="9" t="s">
        <v>24</v>
      </c>
      <c r="AB6" s="9">
        <v>0.0</v>
      </c>
      <c r="AD6" s="9">
        <v>0.0</v>
      </c>
      <c r="AE6" s="9">
        <v>0.0</v>
      </c>
      <c r="AF6" s="31">
        <v>-50000.0</v>
      </c>
      <c r="AG6" s="9">
        <v>0.0</v>
      </c>
      <c r="AH6" s="9">
        <v>0.0</v>
      </c>
      <c r="AI6" s="9">
        <v>0.0</v>
      </c>
      <c r="AJ6" s="9">
        <v>0.0</v>
      </c>
      <c r="AK6" s="31">
        <v>500000.0</v>
      </c>
      <c r="AL6" s="9">
        <v>1.0</v>
      </c>
      <c r="AN6" s="9" t="s">
        <v>17</v>
      </c>
      <c r="AP6" s="9" t="s">
        <v>25</v>
      </c>
      <c r="AQ6" s="9" t="s">
        <v>16</v>
      </c>
      <c r="AW6" s="31">
        <v>500000.0</v>
      </c>
      <c r="AX6" s="9">
        <v>0.0</v>
      </c>
      <c r="AY6" s="9">
        <v>0.0</v>
      </c>
      <c r="AZ6" s="9">
        <v>0.0</v>
      </c>
      <c r="BD6" s="31">
        <v>500000.0</v>
      </c>
      <c r="BJ6" s="9">
        <v>0.0</v>
      </c>
      <c r="BK6" s="9">
        <v>0.0</v>
      </c>
      <c r="BL6" s="9">
        <v>0.0</v>
      </c>
      <c r="BM6" s="9">
        <v>0.0</v>
      </c>
      <c r="BO6" s="9">
        <v>0.0</v>
      </c>
      <c r="BP6" s="9">
        <v>0.0</v>
      </c>
      <c r="BR6" s="9" t="s">
        <v>19</v>
      </c>
      <c r="BS6" s="9">
        <v>0.0</v>
      </c>
      <c r="BT6" s="9">
        <v>0.0</v>
      </c>
      <c r="BW6" s="9">
        <v>0.0</v>
      </c>
      <c r="BX6" s="9">
        <v>0.0</v>
      </c>
      <c r="BY6" s="9">
        <v>0.0</v>
      </c>
      <c r="BZ6" s="9">
        <v>0.0</v>
      </c>
      <c r="CA6" s="9">
        <v>0.0</v>
      </c>
      <c r="CC6" s="9">
        <v>0.0</v>
      </c>
      <c r="CD6" s="9">
        <v>0.0</v>
      </c>
      <c r="CE6" s="9">
        <v>0.0</v>
      </c>
      <c r="CF6" s="9">
        <v>0.0</v>
      </c>
      <c r="CG6" s="9">
        <v>0.0</v>
      </c>
      <c r="CH6" s="9">
        <v>0.0</v>
      </c>
      <c r="DE6" s="9">
        <v>0.0</v>
      </c>
      <c r="DF6" s="9">
        <v>0.0</v>
      </c>
      <c r="DG6" s="9">
        <v>0.0</v>
      </c>
      <c r="EG6" s="9">
        <v>0.0</v>
      </c>
      <c r="EH6" s="9">
        <v>0.0</v>
      </c>
      <c r="EI6" s="9">
        <v>0.0</v>
      </c>
      <c r="EJ6" s="9">
        <v>0.0</v>
      </c>
      <c r="EK6" s="9">
        <v>0.0</v>
      </c>
      <c r="EM6" s="9">
        <v>0.0</v>
      </c>
      <c r="EN6" s="9">
        <v>0.0</v>
      </c>
      <c r="EO6" s="9">
        <v>0.0</v>
      </c>
    </row>
    <row r="7" ht="15.75" customHeight="1">
      <c r="A7" s="8"/>
      <c r="B7" s="8"/>
      <c r="C7" s="11" t="s">
        <v>16</v>
      </c>
      <c r="D7" s="30">
        <v>-50000.0</v>
      </c>
      <c r="E7" s="11" t="s">
        <v>20</v>
      </c>
      <c r="F7" s="8"/>
      <c r="G7" s="11">
        <v>11.0</v>
      </c>
      <c r="H7" s="11" t="s">
        <v>25</v>
      </c>
      <c r="I7" s="8"/>
      <c r="J7" s="8"/>
      <c r="K7" s="11">
        <v>0.0</v>
      </c>
      <c r="L7" s="8"/>
      <c r="M7" s="8"/>
      <c r="N7" s="11">
        <v>0.0</v>
      </c>
      <c r="O7" s="8"/>
      <c r="Q7" s="9">
        <v>0.0</v>
      </c>
      <c r="T7" s="9" t="s">
        <v>23</v>
      </c>
      <c r="U7" s="9" t="s">
        <v>24</v>
      </c>
      <c r="AB7" s="9">
        <v>0.0</v>
      </c>
      <c r="AD7" s="9">
        <v>0.0</v>
      </c>
      <c r="AE7" s="9">
        <v>0.0</v>
      </c>
      <c r="AF7" s="31">
        <v>-50000.0</v>
      </c>
      <c r="AG7" s="9">
        <v>0.0</v>
      </c>
      <c r="AH7" s="9">
        <v>0.0</v>
      </c>
      <c r="AI7" s="9">
        <v>0.0</v>
      </c>
      <c r="AJ7" s="9">
        <v>0.0</v>
      </c>
      <c r="AK7" s="31">
        <v>550000.0</v>
      </c>
      <c r="AL7" s="9">
        <v>1.0</v>
      </c>
      <c r="AN7" s="9" t="s">
        <v>17</v>
      </c>
      <c r="AP7" s="9" t="s">
        <v>25</v>
      </c>
      <c r="AQ7" s="9" t="s">
        <v>16</v>
      </c>
      <c r="AW7" s="31">
        <v>550000.0</v>
      </c>
      <c r="AX7" s="9">
        <v>0.0</v>
      </c>
      <c r="AY7" s="9">
        <v>0.0</v>
      </c>
      <c r="AZ7" s="9">
        <v>0.0</v>
      </c>
      <c r="BD7" s="31">
        <v>550000.0</v>
      </c>
      <c r="BJ7" s="9">
        <v>0.0</v>
      </c>
      <c r="BK7" s="9">
        <v>0.0</v>
      </c>
      <c r="BL7" s="9">
        <v>0.0</v>
      </c>
      <c r="BM7" s="9">
        <v>0.0</v>
      </c>
      <c r="BO7" s="9">
        <v>0.0</v>
      </c>
      <c r="BP7" s="9">
        <v>0.0</v>
      </c>
      <c r="BR7" s="9" t="s">
        <v>19</v>
      </c>
      <c r="BS7" s="9">
        <v>0.0</v>
      </c>
      <c r="BT7" s="9">
        <v>0.0</v>
      </c>
      <c r="BW7" s="9">
        <v>0.0</v>
      </c>
      <c r="BX7" s="9">
        <v>0.0</v>
      </c>
      <c r="BY7" s="9">
        <v>0.0</v>
      </c>
      <c r="BZ7" s="9">
        <v>0.0</v>
      </c>
      <c r="CA7" s="9">
        <v>0.0</v>
      </c>
      <c r="CC7" s="9">
        <v>0.0</v>
      </c>
      <c r="CD7" s="9">
        <v>0.0</v>
      </c>
      <c r="CE7" s="9">
        <v>0.0</v>
      </c>
      <c r="CF7" s="9">
        <v>0.0</v>
      </c>
      <c r="CG7" s="9">
        <v>0.0</v>
      </c>
      <c r="CH7" s="9">
        <v>0.0</v>
      </c>
      <c r="DE7" s="9">
        <v>0.0</v>
      </c>
      <c r="DF7" s="9">
        <v>0.0</v>
      </c>
      <c r="DG7" s="9">
        <v>0.0</v>
      </c>
      <c r="EG7" s="9">
        <v>0.0</v>
      </c>
      <c r="EH7" s="9">
        <v>0.0</v>
      </c>
      <c r="EI7" s="9">
        <v>0.0</v>
      </c>
      <c r="EJ7" s="9">
        <v>0.0</v>
      </c>
      <c r="EK7" s="9">
        <v>0.0</v>
      </c>
      <c r="EM7" s="9">
        <v>0.0</v>
      </c>
      <c r="EN7" s="9">
        <v>0.0</v>
      </c>
      <c r="EO7" s="9">
        <v>0.0</v>
      </c>
    </row>
    <row r="8" ht="15.75" customHeight="1">
      <c r="A8" s="8"/>
      <c r="B8" s="8"/>
      <c r="C8" s="11" t="s">
        <v>16</v>
      </c>
      <c r="D8" s="30">
        <v>50000.0</v>
      </c>
      <c r="E8" s="11" t="s">
        <v>18</v>
      </c>
      <c r="F8" s="8"/>
      <c r="G8" s="11">
        <v>20.0</v>
      </c>
      <c r="H8" s="11" t="s">
        <v>25</v>
      </c>
      <c r="I8" s="8"/>
      <c r="J8" s="8"/>
      <c r="K8" s="11">
        <v>0.0</v>
      </c>
      <c r="L8" s="8"/>
      <c r="M8" s="8"/>
      <c r="N8" s="11">
        <v>0.0</v>
      </c>
      <c r="O8" s="8"/>
      <c r="Q8" s="9">
        <v>0.0</v>
      </c>
      <c r="T8" s="9" t="s">
        <v>23</v>
      </c>
      <c r="U8" s="9" t="s">
        <v>24</v>
      </c>
      <c r="AB8" s="9">
        <v>0.0</v>
      </c>
      <c r="AD8" s="9">
        <v>0.0</v>
      </c>
      <c r="AE8" s="9">
        <v>0.0</v>
      </c>
      <c r="AF8" s="31">
        <v>50000.0</v>
      </c>
      <c r="AG8" s="9">
        <v>0.0</v>
      </c>
      <c r="AH8" s="9">
        <v>0.0</v>
      </c>
      <c r="AI8" s="9">
        <v>0.0</v>
      </c>
      <c r="AJ8" s="9">
        <v>0.0</v>
      </c>
      <c r="AK8" s="31">
        <v>-1000000.0</v>
      </c>
      <c r="AL8" s="9">
        <v>1.0</v>
      </c>
      <c r="AN8" s="9" t="s">
        <v>29</v>
      </c>
      <c r="AP8" s="9" t="s">
        <v>25</v>
      </c>
      <c r="AQ8" s="9" t="s">
        <v>16</v>
      </c>
      <c r="AW8" s="31">
        <v>-1000000.0</v>
      </c>
      <c r="AX8" s="9">
        <v>0.0</v>
      </c>
      <c r="AY8" s="9">
        <v>0.0</v>
      </c>
      <c r="AZ8" s="9">
        <v>0.0</v>
      </c>
      <c r="BD8" s="31">
        <v>-1000000.0</v>
      </c>
      <c r="BJ8" s="9">
        <v>0.0</v>
      </c>
      <c r="BK8" s="9">
        <v>0.0</v>
      </c>
      <c r="BL8" s="9">
        <v>0.0</v>
      </c>
      <c r="BM8" s="9">
        <v>0.0</v>
      </c>
      <c r="BO8" s="9">
        <v>0.0</v>
      </c>
      <c r="BP8" s="9">
        <v>0.0</v>
      </c>
      <c r="BR8" s="9" t="s">
        <v>19</v>
      </c>
      <c r="BS8" s="9">
        <v>0.0</v>
      </c>
      <c r="BT8" s="9">
        <v>0.0</v>
      </c>
      <c r="BW8" s="9">
        <v>0.0</v>
      </c>
      <c r="BX8" s="9">
        <v>0.0</v>
      </c>
      <c r="BY8" s="9">
        <v>0.0</v>
      </c>
      <c r="BZ8" s="9">
        <v>0.0</v>
      </c>
      <c r="CA8" s="9">
        <v>0.0</v>
      </c>
      <c r="CC8" s="9">
        <v>0.0</v>
      </c>
      <c r="CD8" s="9">
        <v>0.0</v>
      </c>
      <c r="CE8" s="9">
        <v>0.0</v>
      </c>
      <c r="CF8" s="9">
        <v>0.0</v>
      </c>
      <c r="CG8" s="9">
        <v>0.0</v>
      </c>
      <c r="CH8" s="9">
        <v>0.0</v>
      </c>
      <c r="DE8" s="9">
        <v>0.0</v>
      </c>
      <c r="DF8" s="9">
        <v>0.0</v>
      </c>
      <c r="DG8" s="9">
        <v>0.0</v>
      </c>
      <c r="EG8" s="9">
        <v>0.0</v>
      </c>
      <c r="EH8" s="9">
        <v>0.0</v>
      </c>
      <c r="EI8" s="9">
        <v>0.0</v>
      </c>
      <c r="EJ8" s="9">
        <v>0.0</v>
      </c>
      <c r="EK8" s="9">
        <v>0.0</v>
      </c>
      <c r="EM8" s="9">
        <v>0.0</v>
      </c>
      <c r="EN8" s="9">
        <v>0.0</v>
      </c>
      <c r="EO8" s="9">
        <v>0.0</v>
      </c>
    </row>
    <row r="9" ht="15.75" customHeight="1">
      <c r="A9" s="8"/>
      <c r="B9" s="8"/>
      <c r="C9" s="11" t="s">
        <v>16</v>
      </c>
      <c r="D9" s="30">
        <v>50000.0</v>
      </c>
      <c r="E9" s="11" t="s">
        <v>20</v>
      </c>
      <c r="F9" s="8"/>
      <c r="G9" s="11">
        <v>20.0</v>
      </c>
      <c r="H9" s="11" t="s">
        <v>25</v>
      </c>
      <c r="I9" s="8"/>
      <c r="J9" s="8"/>
      <c r="K9" s="11">
        <v>0.0</v>
      </c>
      <c r="L9" s="8"/>
      <c r="M9" s="8"/>
      <c r="N9" s="11">
        <v>0.0</v>
      </c>
      <c r="O9" s="8"/>
      <c r="Q9" s="9">
        <v>0.0</v>
      </c>
      <c r="T9" s="9" t="s">
        <v>23</v>
      </c>
      <c r="U9" s="9" t="s">
        <v>24</v>
      </c>
      <c r="AB9" s="9">
        <v>0.0</v>
      </c>
      <c r="AD9" s="9">
        <v>0.0</v>
      </c>
      <c r="AE9" s="9">
        <v>0.0</v>
      </c>
      <c r="AF9" s="31">
        <v>50000.0</v>
      </c>
      <c r="AG9" s="9">
        <v>0.0</v>
      </c>
      <c r="AH9" s="9">
        <v>0.0</v>
      </c>
      <c r="AI9" s="9">
        <v>0.0</v>
      </c>
      <c r="AJ9" s="9">
        <v>0.0</v>
      </c>
      <c r="AK9" s="31">
        <v>-1000000.0</v>
      </c>
      <c r="AL9" s="9">
        <v>1.0</v>
      </c>
      <c r="AN9" s="9" t="s">
        <v>29</v>
      </c>
      <c r="AP9" s="9" t="s">
        <v>25</v>
      </c>
      <c r="AQ9" s="9" t="s">
        <v>16</v>
      </c>
      <c r="AW9" s="31">
        <v>-1000000.0</v>
      </c>
      <c r="AX9" s="9">
        <v>0.0</v>
      </c>
      <c r="AY9" s="9">
        <v>0.0</v>
      </c>
      <c r="AZ9" s="9">
        <v>0.0</v>
      </c>
      <c r="BD9" s="31">
        <v>-1000000.0</v>
      </c>
      <c r="BJ9" s="9">
        <v>0.0</v>
      </c>
      <c r="BK9" s="9">
        <v>0.0</v>
      </c>
      <c r="BL9" s="9">
        <v>0.0</v>
      </c>
      <c r="BM9" s="9">
        <v>0.0</v>
      </c>
      <c r="BO9" s="9">
        <v>0.0</v>
      </c>
      <c r="BP9" s="9">
        <v>0.0</v>
      </c>
      <c r="BR9" s="9" t="s">
        <v>19</v>
      </c>
      <c r="BS9" s="9">
        <v>0.0</v>
      </c>
      <c r="BT9" s="9">
        <v>0.0</v>
      </c>
      <c r="BW9" s="9">
        <v>0.0</v>
      </c>
      <c r="BX9" s="9">
        <v>0.0</v>
      </c>
      <c r="BY9" s="9">
        <v>0.0</v>
      </c>
      <c r="BZ9" s="9">
        <v>0.0</v>
      </c>
      <c r="CA9" s="9">
        <v>0.0</v>
      </c>
      <c r="CC9" s="9">
        <v>0.0</v>
      </c>
      <c r="CD9" s="9">
        <v>0.0</v>
      </c>
      <c r="CE9" s="9">
        <v>0.0</v>
      </c>
      <c r="CF9" s="9">
        <v>0.0</v>
      </c>
      <c r="CG9" s="9">
        <v>0.0</v>
      </c>
      <c r="CH9" s="9">
        <v>0.0</v>
      </c>
      <c r="DE9" s="9">
        <v>0.0</v>
      </c>
      <c r="DF9" s="9">
        <v>0.0</v>
      </c>
      <c r="DG9" s="9">
        <v>0.0</v>
      </c>
      <c r="EG9" s="9">
        <v>0.0</v>
      </c>
      <c r="EH9" s="9">
        <v>0.0</v>
      </c>
      <c r="EI9" s="9">
        <v>0.0</v>
      </c>
      <c r="EJ9" s="9">
        <v>0.0</v>
      </c>
      <c r="EK9" s="9">
        <v>0.0</v>
      </c>
      <c r="EM9" s="9">
        <v>0.0</v>
      </c>
      <c r="EN9" s="9">
        <v>0.0</v>
      </c>
      <c r="EO9" s="9">
        <v>0.0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