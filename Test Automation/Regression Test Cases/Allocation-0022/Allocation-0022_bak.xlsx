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eanUp" sheetId="4" r:id="rId6"/>
    <sheet state="visible" name="CreateDoneAwayOrder" sheetId="5" r:id="rId7"/>
    <sheet state="visible" name="SetGeneralPreferences" sheetId="6" r:id="rId8"/>
    <sheet state="visible" name="RunProrata" sheetId="7" r:id="rId9"/>
    <sheet state="visible" name="GetFixedPreference" sheetId="8" r:id="rId10"/>
    <sheet state="visible" name="CheckFixedPreference" sheetId="9" r:id="rId11"/>
    <sheet state="visible" name="CreateStageOrder" sheetId="10" r:id="rId12"/>
    <sheet state="visible" name="MultiTradingTicketFromBlotter" sheetId="11" r:id="rId13"/>
    <sheet state="visible" name="DoneAwayUsingMTT" sheetId="12" r:id="rId14"/>
    <sheet state="visible" name="CreateTransaction" sheetId="13" r:id="rId15"/>
    <sheet state="visible" name="VerifyOrder" sheetId="14" r:id="rId16"/>
    <sheet state="visible" name="CheckAllocatedGroups" sheetId="15" r:id="rId17"/>
    <sheet state="visible" name="CheckUnallocatedGroups" sheetId="16" r:id="rId18"/>
    <sheet state="visible" name="GetDataClosing" sheetId="17" r:id="rId19"/>
    <sheet state="visible" name="VerifyLongPositionsGrid" sheetId="18" r:id="rId20"/>
    <sheet state="visible" name="VerifyShortPositionsGrid" sheetId="19" r:id="rId21"/>
    <sheet state="visible" name="CheckPortfolioManagement" sheetId="20" r:id="rId22"/>
    <sheet state="visible" name="GetActivityData" sheetId="21" r:id="rId23"/>
    <sheet state="visible" name="VerifyActivity" sheetId="22" r:id="rId24"/>
    <sheet state="visible" name="ResetGeneralPreferences" sheetId="23" r:id="rId25"/>
  </sheets>
  <definedNames/>
  <calcPr/>
</workbook>
</file>

<file path=xl/sharedStrings.xml><?xml version="1.0" encoding="utf-8"?>
<sst xmlns="http://schemas.openxmlformats.org/spreadsheetml/2006/main" count="414" uniqueCount="63">
  <si>
    <t>Modules Info</t>
  </si>
  <si>
    <t>Master Data Info</t>
  </si>
  <si>
    <t>Settings</t>
  </si>
  <si>
    <t>Modules</t>
  </si>
  <si>
    <t>Module Step Setting File</t>
  </si>
  <si>
    <t>Module</t>
  </si>
  <si>
    <t>12JGA8V5NgTrTsDZn5CARyqaETD-zrjjkipRXhBacCt0</t>
  </si>
  <si>
    <t>Step</t>
  </si>
  <si>
    <t>Master Data Sheet</t>
  </si>
  <si>
    <t>Master Data Settings File</t>
  </si>
  <si>
    <t>1Nt_rf5DtgjbN9Ag4AMMlUkZYROxKZLH5m54YOl7tRT0</t>
  </si>
  <si>
    <t>Data</t>
  </si>
  <si>
    <t>Allocation</t>
  </si>
  <si>
    <t>CleanUp</t>
  </si>
  <si>
    <t>Data Format</t>
  </si>
  <si>
    <t>Input Format</t>
  </si>
  <si>
    <t>TradingTicket</t>
  </si>
  <si>
    <t>CreateDoneAwayOrder</t>
  </si>
  <si>
    <t>MSFT</t>
  </si>
  <si>
    <t>Buy</t>
  </si>
  <si>
    <t>Allocation1,Allocation2</t>
  </si>
  <si>
    <t>60,40</t>
  </si>
  <si>
    <t>Sell</t>
  </si>
  <si>
    <t>40,60</t>
  </si>
  <si>
    <t>SetGeneralPreferences</t>
  </si>
  <si>
    <t>Positions_Symbol</t>
  </si>
  <si>
    <t>Symbol</t>
  </si>
  <si>
    <t>RunProrata</t>
  </si>
  <si>
    <t>GetFixedPreference</t>
  </si>
  <si>
    <t>CheckFixedPreference</t>
  </si>
  <si>
    <t>Allocation1</t>
  </si>
  <si>
    <t>Allocation2</t>
  </si>
  <si>
    <t>CreateStageOrder</t>
  </si>
  <si>
    <t>IBM</t>
  </si>
  <si>
    <t>Blotter</t>
  </si>
  <si>
    <t>MultiTradingTicketFromBlotter</t>
  </si>
  <si>
    <t>New</t>
  </si>
  <si>
    <t>MultiTradingTicket</t>
  </si>
  <si>
    <t>DoneAwayUsingMTT</t>
  </si>
  <si>
    <t>CreateTransaction</t>
  </si>
  <si>
    <t>VerifyOrder</t>
  </si>
  <si>
    <t>CheckAllocatedGroups</t>
  </si>
  <si>
    <t>Filled</t>
  </si>
  <si>
    <t>Multiple</t>
  </si>
  <si>
    <t>CheckUnallocatedGroups</t>
  </si>
  <si>
    <t>Closing</t>
  </si>
  <si>
    <t>GetDataClosing</t>
  </si>
  <si>
    <t>VerifyLongPositionsGrid</t>
  </si>
  <si>
    <t>Historical</t>
  </si>
  <si>
    <t>VerifyShortPositionsGrid</t>
  </si>
  <si>
    <t>Long</t>
  </si>
  <si>
    <t>Short</t>
  </si>
  <si>
    <t>PortfolioManagement</t>
  </si>
  <si>
    <t>CheckPortfolioManagement</t>
  </si>
  <si>
    <t>GeneralLedger</t>
  </si>
  <si>
    <t>GetActivityData</t>
  </si>
  <si>
    <t>VerifyActivity</t>
  </si>
  <si>
    <t>SelectAll</t>
  </si>
  <si>
    <t>No</t>
  </si>
  <si>
    <t>Yes</t>
  </si>
  <si>
    <t>EquityL</t>
  </si>
  <si>
    <t>USD</t>
  </si>
  <si>
    <t>Trading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</si>
</sst>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6" fontId="13" numFmtId="14" xfId="0" applyFill="1" applyFont="1" applyNumberFormat="1"/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4" numFmtId="0" xfId="0" applyAlignment="1" applyFont="1">
      <alignment horizontal="center" vertical="bottom"/>
    </xf>
    <xf borderId="0" fillId="6" fontId="14" numFmtId="0" xfId="0" applyAlignment="1" applyFont="1">
      <alignment horizontal="left" readingOrder="0"/>
    </xf>
    <xf borderId="0" fillId="0" fontId="14" numFmtId="0" xfId="0" applyAlignment="1" applyFont="1">
      <alignment horizontal="left" readingOrder="0" vertical="bottom"/>
    </xf>
    <xf borderId="0" fillId="0" fontId="15" numFmtId="0" xfId="0" applyAlignment="1" applyFont="1">
      <alignment readingOrder="0" vertical="bottom"/>
    </xf>
    <xf borderId="0" fillId="0" fontId="14" numFmtId="4" xfId="0" applyAlignment="1" applyFont="1" applyNumberFormat="1">
      <alignment horizontal="right" readingOrder="0" vertical="bottom"/>
    </xf>
    <xf borderId="0" fillId="0" fontId="14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15" numFmtId="0" xfId="0" applyAlignment="1" applyFont="1">
      <alignment readingOrder="0"/>
    </xf>
    <xf borderId="0" fillId="0" fontId="15" numFmtId="3" xfId="0" applyAlignment="1" applyFont="1" applyNumberFormat="1">
      <alignment horizontal="right" readingOrder="0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10"/>
      <c r="C3" s="12"/>
      <c r="D3" s="12"/>
      <c r="E3" s="12"/>
      <c r="F3" s="12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3"/>
      <c r="C1" s="4"/>
    </row>
    <row r="2" ht="15.75" customHeight="1">
      <c r="A2" s="7"/>
      <c r="B2" s="7"/>
      <c r="C2" s="7"/>
    </row>
    <row r="3" ht="15.75" customHeight="1">
      <c r="A3" s="8" t="s">
        <v>4</v>
      </c>
      <c r="B3" s="15" t="s">
        <v>6</v>
      </c>
      <c r="C3" s="7"/>
    </row>
    <row r="4" ht="15.75" customHeight="1">
      <c r="A4" s="9" t="s">
        <v>9</v>
      </c>
      <c r="B4" s="15" t="s">
        <v>10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5" t="s">
        <v>1</v>
      </c>
      <c r="B1" s="3"/>
      <c r="C1" s="3"/>
      <c r="D1" s="3"/>
      <c r="E1" s="3"/>
      <c r="F1" s="4"/>
    </row>
    <row r="2">
      <c r="A2" s="6"/>
      <c r="B2" s="6"/>
      <c r="C2" s="6"/>
      <c r="D2" s="6"/>
      <c r="E2" s="6"/>
      <c r="F2" s="6"/>
    </row>
    <row r="3">
      <c r="A3" s="9" t="s">
        <v>5</v>
      </c>
      <c r="B3" s="11" t="s">
        <v>7</v>
      </c>
      <c r="C3" s="11" t="s">
        <v>8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13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Date")</f>
        <v>From Date</v>
      </c>
      <c r="C5" s="26" t="str">
        <f>IFERROR(__xludf.DUMMYFUNCTION("""COMPUTED_VALUE"""),"To Date")</f>
        <v>To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/>
      <c r="C6" s="29">
        <f>today()</f>
        <v>43635</v>
      </c>
      <c r="D6" s="15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CleanUp!$4:$4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6" width="14.43"/>
    <col customWidth="1" min="37" max="37" width="25.57"/>
    <col customWidth="1" min="38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16</v>
      </c>
      <c r="D3" s="8" t="s">
        <v>7</v>
      </c>
      <c r="E3" s="21" t="s">
        <v>17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3" t="s">
        <v>18</v>
      </c>
      <c r="C6" s="33" t="s">
        <v>19</v>
      </c>
      <c r="D6" s="34">
        <v>10000.0</v>
      </c>
      <c r="E6" s="34">
        <v>10000.0</v>
      </c>
      <c r="F6" s="35"/>
      <c r="G6" s="35"/>
      <c r="H6" s="36"/>
      <c r="I6" s="36"/>
      <c r="J6" s="34">
        <v>50.0</v>
      </c>
      <c r="K6" s="36"/>
      <c r="L6" s="36"/>
      <c r="M6" s="36"/>
      <c r="N6" s="37">
        <f t="shared" ref="N6:N7" si="1">today()-2</f>
        <v>43633</v>
      </c>
      <c r="O6" s="36"/>
      <c r="P6" s="36"/>
      <c r="Q6" s="36"/>
      <c r="R6" s="36"/>
      <c r="S6" s="36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8" t="s">
        <v>20</v>
      </c>
      <c r="AL6" s="38" t="s">
        <v>21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9" t="s">
        <v>18</v>
      </c>
      <c r="C7" s="39" t="s">
        <v>22</v>
      </c>
      <c r="D7" s="40">
        <v>1000.0</v>
      </c>
      <c r="E7" s="40">
        <v>1000.0</v>
      </c>
      <c r="F7" s="41"/>
      <c r="G7" s="41"/>
      <c r="H7" s="32"/>
      <c r="I7" s="32"/>
      <c r="J7" s="40">
        <v>60.0</v>
      </c>
      <c r="K7" s="32"/>
      <c r="L7" s="32"/>
      <c r="M7" s="32"/>
      <c r="N7" s="42">
        <f t="shared" si="1"/>
        <v>43633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8" t="s">
        <v>20</v>
      </c>
      <c r="AL7" s="38" t="s">
        <v>23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1"/>
      <c r="C8" s="41"/>
      <c r="D8" s="43"/>
      <c r="E8" s="43"/>
      <c r="F8" s="41"/>
      <c r="G8" s="41"/>
      <c r="H8" s="32"/>
      <c r="I8" s="32"/>
      <c r="J8" s="43"/>
      <c r="K8" s="32"/>
      <c r="L8" s="32"/>
      <c r="M8" s="32"/>
      <c r="N8" s="44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1"/>
      <c r="C9" s="41"/>
      <c r="D9" s="43"/>
      <c r="E9" s="43"/>
      <c r="F9" s="41"/>
      <c r="G9" s="41"/>
      <c r="H9" s="32"/>
      <c r="I9" s="32"/>
      <c r="J9" s="43"/>
      <c r="K9" s="32"/>
      <c r="L9" s="32"/>
      <c r="M9" s="32"/>
      <c r="N9" s="44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41"/>
      <c r="C10" s="41"/>
      <c r="D10" s="43"/>
      <c r="E10" s="43"/>
      <c r="F10" s="41"/>
      <c r="G10" s="41"/>
      <c r="H10" s="32"/>
      <c r="I10" s="32"/>
      <c r="J10" s="43"/>
      <c r="K10" s="32"/>
      <c r="L10" s="32"/>
      <c r="M10" s="32"/>
      <c r="N10" s="44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41"/>
      <c r="C11" s="41"/>
      <c r="D11" s="43"/>
      <c r="E11" s="43"/>
      <c r="F11" s="41"/>
      <c r="G11" s="41"/>
      <c r="H11" s="32"/>
      <c r="I11" s="32"/>
      <c r="J11" s="43"/>
      <c r="K11" s="32"/>
      <c r="L11" s="32"/>
      <c r="M11" s="32"/>
      <c r="N11" s="44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41"/>
      <c r="C12" s="41"/>
      <c r="D12" s="43"/>
      <c r="E12" s="43"/>
      <c r="F12" s="41"/>
      <c r="G12" s="41"/>
      <c r="H12" s="32"/>
      <c r="I12" s="32"/>
      <c r="J12" s="43"/>
      <c r="K12" s="32"/>
      <c r="L12" s="32"/>
      <c r="M12" s="32"/>
      <c r="N12" s="44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41"/>
      <c r="C13" s="41"/>
      <c r="D13" s="43"/>
      <c r="E13" s="43"/>
      <c r="F13" s="41"/>
      <c r="G13" s="41"/>
      <c r="H13" s="32"/>
      <c r="I13" s="32"/>
      <c r="J13" s="43"/>
      <c r="K13" s="32"/>
      <c r="L13" s="32"/>
      <c r="M13" s="32"/>
      <c r="N13" s="44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3" width="14.43"/>
    <col customWidth="1" min="24" max="24" width="21.71"/>
    <col customWidth="1" min="25" max="25" width="27.86"/>
    <col customWidth="1" min="26" max="26" width="24.14"/>
    <col customWidth="1" min="27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1lI4loUxqzsE3IjuxIjsVY3cB4J_eTKFPPDuXngut4FE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24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IFERROR(__xludf.DUMMYFUNCTION("""COMPUTED_VALUE"""),"ValidateCheckSide")</f>
        <v>ValidateCheckSide</v>
      </c>
      <c r="C5" s="26" t="str">
        <f>IFERROR(__xludf.DUMMYFUNCTION("""COMPUTED_VALUE"""),"DisabledChecksideAssets")</f>
        <v>DisabledChecksideAssets</v>
      </c>
      <c r="D5" s="26" t="str">
        <f>IFERROR(__xludf.DUMMYFUNCTION("""COMPUTED_VALUE"""),"PrecisionValue")</f>
        <v>PrecisionValue</v>
      </c>
      <c r="E5" s="26" t="str">
        <f>IFERROR(__xludf.DUMMYFUNCTION("""COMPUTED_VALUE"""),"UseCommissionInNetAmount")</f>
        <v>UseCommissionInNetAmount</v>
      </c>
      <c r="F5" s="27" t="str">
        <f>IFERROR(__xludf.DUMMYFUNCTION("""COMPUTED_VALUE"""),"SaveWithoutState")</f>
        <v>SaveWithoutState</v>
      </c>
      <c r="G5" s="26" t="str">
        <f>IFERROR(__xludf.DUMMYFUNCTION("""COMPUTED_VALUE"""),"SaveWithState")</f>
        <v>SaveWithState</v>
      </c>
      <c r="H5" s="26" t="str">
        <f>IFERROR(__xludf.DUMMYFUNCTION("""COMPUTED_VALUE"""),"ClearQuantities")</f>
        <v>ClearQuantities</v>
      </c>
      <c r="I5" s="26" t="str">
        <f>IFERROR(__xludf.DUMMYFUNCTION("""COMPUTED_VALUE"""),"ReapplyAllocation")</f>
        <v>ReapplyAllocation</v>
      </c>
      <c r="J5" s="26" t="str">
        <f>IFERROR(__xludf.DUMMYFUNCTION("""COMPUTED_VALUE"""),"DefaultAllocation")</f>
        <v>DefaultAllocation</v>
      </c>
      <c r="K5" s="26" t="str">
        <f>IFERROR(__xludf.DUMMYFUNCTION("""COMPUTED_VALUE"""),"IsCustomPreference")</f>
        <v>IsCustomPreference</v>
      </c>
      <c r="L5" s="26" t="str">
        <f>IFERROR(__xludf.DUMMYFUNCTION("""COMPUTED_VALUE"""),"AllocationMethod")</f>
        <v>AllocationMethod</v>
      </c>
      <c r="M5" s="26" t="str">
        <f>IFERROR(__xludf.DUMMYFUNCTION("""COMPUTED_VALUE"""),"RemainderAllocationTo")</f>
        <v>RemainderAllocationTo</v>
      </c>
      <c r="N5" s="26" t="str">
        <f>IFERROR(__xludf.DUMMYFUNCTION("""COMPUTED_VALUE"""),"Target%AsOf")</f>
        <v>Target%AsOf</v>
      </c>
      <c r="O5" s="26" t="str">
        <f>IFERROR(__xludf.DUMMYFUNCTION("""COMPUTED_VALUE"""),"ProrataAccounts")</f>
        <v>ProrataAccounts</v>
      </c>
      <c r="P5" s="26" t="str">
        <f>IFERROR(__xludf.DUMMYFUNCTION("""COMPUTED_VALUE"""),"DateUptoDays")</f>
        <v>DateUptoDays</v>
      </c>
      <c r="Q5" s="26" t="str">
        <f>IFERROR(__xludf.DUMMYFUNCTION("""COMPUTED_VALUE"""),"MatchClosing")</f>
        <v>MatchClosing</v>
      </c>
      <c r="R5" s="26" t="str">
        <f>IFERROR(__xludf.DUMMYFUNCTION("""COMPUTED_VALUE"""),"CommissionAlertOnBrokerChange")</f>
        <v>CommissionAlertOnBrokerChange</v>
      </c>
      <c r="S5" s="26" t="str">
        <f>IFERROR(__xludf.DUMMYFUNCTION("""COMPUTED_VALUE"""),"RecalculateCommissionOnBrokerChange")</f>
        <v>RecalculateCommissionOnBrokerChange</v>
      </c>
      <c r="T5" s="28" t="str">
        <f>IFERROR(__xludf.DUMMYFUNCTION("""COMPUTED_VALUE"""),"CommissionAlertOnAllocation")</f>
        <v>CommissionAlertOnAllocation</v>
      </c>
      <c r="U5" s="28" t="str">
        <f>IFERROR(__xludf.DUMMYFUNCTION("""COMPUTED_VALUE"""),"RecalculateCommissionOnAllocation")</f>
        <v>RecalculateCommissionOnAllocation</v>
      </c>
      <c r="V5" s="28" t="str">
        <f>IFERROR(__xludf.DUMMYFUNCTION("""COMPUTED_VALUE"""),"EnableMasterFund")</f>
        <v>EnableMasterFund</v>
      </c>
      <c r="W5" s="28" t="str">
        <f>IFERROR(__xludf.DUMMYFUNCTION("""COMPUTED_VALUE"""),"1MasterFund/1Symbol")</f>
        <v>1MasterFund/1Symbol</v>
      </c>
      <c r="X5" s="28" t="str">
        <f>IFERROR(__xludf.DUMMYFUNCTION("""COMPUTED_VALUE"""),"ProrataSchemeName")</f>
        <v>ProrataSchemeName</v>
      </c>
      <c r="Y5" s="28" t="str">
        <f>IFERROR(__xludf.DUMMYFUNCTION("""COMPUTED_VALUE"""),"ProrataAllocationSchemeBasis")</f>
        <v>ProrataAllocationSchemeBasis</v>
      </c>
      <c r="Z5" s="28" t="str">
        <f>IFERROR(__xludf.DUMMYFUNCTION("""COMPUTED_VALUE"""),"ShowAdvancedProrataUI")</f>
        <v>ShowAdvancedProrataUI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X6" s="38" t="s">
        <v>25</v>
      </c>
      <c r="Y6" s="38" t="s">
        <v>26</v>
      </c>
      <c r="Z6" s="45" t="b">
        <v>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27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IFERROR(__xludf.DUMMYFUNCTION("""COMPUTED_VALUE"""),"SchemeName")</f>
        <v>SchemeName</v>
      </c>
      <c r="D5" s="26" t="str">
        <f>IFERROR(__xludf.DUMMYFUNCTION("""COMPUTED_VALUE"""),"SchemeBasis")</f>
        <v>SchemeBasis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7">
        <f>today()</f>
        <v>43635</v>
      </c>
      <c r="C6" s="33" t="s">
        <v>25</v>
      </c>
      <c r="D6" s="33" t="s">
        <v>26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28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IFERROR(__xludf.DUMMYFUNCTION("""COMPUTED_VALUE"""),"PreferenceName")</f>
        <v>PreferenceName</v>
      </c>
      <c r="C5" s="26" t="str">
        <f>IFERROR(__xludf.DUMMYFUNCTION("""COMPUTED_VALUE"""),"")</f>
        <v/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46" t="s">
        <v>25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GetFixedPreference!$4:$4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0" width="27.0"/>
    <col customWidth="1" min="11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1RNofLIplBOnX_vwsD6AecMNF72I9x58kWSMHVy9EgsM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29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IFERROR(__xludf.DUMMYFUNCTION("""COMPUTED_VALUE"""),"Ticker Symbol")</f>
        <v>Ticker Symbol</v>
      </c>
      <c r="D5" s="26" t="str">
        <f>IFERROR(__xludf.DUMMYFUNCTION("""COMPUTED_VALUE"""),"Description")</f>
        <v>Description</v>
      </c>
      <c r="E5" s="26" t="str">
        <f>IFERROR(__xludf.DUMMYFUNCTION("""COMPUTED_VALUE"""),"Sedol Symbol")</f>
        <v>Sedol Symbol</v>
      </c>
      <c r="F5" s="27" t="str">
        <f>IFERROR(__xludf.DUMMYFUNCTION("""COMPUTED_VALUE"""),"Bloomberg Symbol")</f>
        <v>Bloomberg Symbol</v>
      </c>
      <c r="G5" s="26" t="str">
        <f>IFERROR(__xludf.DUMMYFUNCTION("""COMPUTED_VALUE"""),"Side")</f>
        <v>Side</v>
      </c>
      <c r="H5" s="26" t="str">
        <f>IFERROR(__xludf.DUMMYFUNCTION("""COMPUTED_VALUE"""),"Quantity")</f>
        <v>Quantity</v>
      </c>
      <c r="I5" s="26" t="str">
        <f>IFERROR(__xludf.DUMMYFUNCTION("""COMPUTED_VALUE"""),"Total Quantity")</f>
        <v>Total Quantity</v>
      </c>
      <c r="J5" s="26" t="str">
        <f>IFERROR(__xludf.DUMMYFUNCTION("""COMPUTED_VALUE"""),"Allocation %")</f>
        <v>Allocation %</v>
      </c>
      <c r="K5" s="26" t="str">
        <f>IFERROR(__xludf.DUMMYFUNCTION("""COMPUTED_VALUE"""),"RoundLots")</f>
        <v>RoundLots</v>
      </c>
      <c r="L5" s="26" t="str">
        <f>IFERROR(__xludf.DUMMYFUNCTION("""COMPUTED_VALUE"""),"Trade Type")</f>
        <v>Trade Type</v>
      </c>
      <c r="M5" s="26" t="str">
        <f>IFERROR(__xludf.DUMMYFUNCTION("""COMPUTED_VALUE"""),"Currency")</f>
        <v>Currency</v>
      </c>
      <c r="N5" s="26" t="str">
        <f>IFERROR(__xludf.DUMMYFUNCTION("""COMPUTED_VALUE"""),"PB")</f>
        <v>PB</v>
      </c>
      <c r="O5" s="26" t="str">
        <f>IFERROR(__xludf.DUMMYFUNCTION("""COMPUTED_VALUE"""),"Allocation Scheme Key")</f>
        <v>Allocation Scheme Key</v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47" t="s">
        <v>30</v>
      </c>
      <c r="C6" s="47" t="s">
        <v>18</v>
      </c>
      <c r="D6" s="15"/>
      <c r="E6" s="30"/>
      <c r="F6" s="7"/>
      <c r="G6" s="7"/>
      <c r="H6" s="47">
        <v>5600.0</v>
      </c>
      <c r="I6" s="47">
        <v>9000.0</v>
      </c>
      <c r="J6" s="47"/>
      <c r="K6" s="47">
        <v>0.0</v>
      </c>
      <c r="L6" s="7"/>
      <c r="M6" s="7"/>
      <c r="N6" s="7"/>
      <c r="O6" s="47" t="s">
        <v>26</v>
      </c>
    </row>
    <row r="7" ht="15.75" customHeight="1">
      <c r="A7" s="7"/>
      <c r="B7" s="47" t="s">
        <v>31</v>
      </c>
      <c r="C7" s="47" t="s">
        <v>18</v>
      </c>
      <c r="D7" s="7"/>
      <c r="E7" s="7"/>
      <c r="F7" s="7"/>
      <c r="G7" s="7"/>
      <c r="H7" s="47">
        <v>3400.0</v>
      </c>
      <c r="I7" s="47">
        <v>9000.0</v>
      </c>
      <c r="J7" s="47"/>
      <c r="K7" s="47">
        <v>0.0</v>
      </c>
      <c r="L7" s="7"/>
      <c r="M7" s="7"/>
      <c r="N7" s="7"/>
      <c r="O7" s="47" t="s">
        <v>26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CheckFixedPreference!$4:$4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16</v>
      </c>
      <c r="D3" s="8" t="s">
        <v>7</v>
      </c>
      <c r="E3" s="21" t="s">
        <v>32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18</v>
      </c>
      <c r="C6" s="15" t="s">
        <v>19</v>
      </c>
      <c r="D6" s="15">
        <v>5000.0</v>
      </c>
      <c r="E6" s="15">
        <v>5000.0</v>
      </c>
      <c r="F6" s="33" t="s">
        <v>25</v>
      </c>
      <c r="G6" s="7"/>
      <c r="H6" s="7"/>
      <c r="I6" s="7"/>
      <c r="J6" s="15">
        <v>70.0</v>
      </c>
      <c r="K6" s="7"/>
      <c r="L6" s="7"/>
      <c r="M6" s="7"/>
      <c r="N6" s="29">
        <f t="shared" ref="N6:N9" si="1">today()</f>
        <v>43635</v>
      </c>
      <c r="O6" s="7"/>
    </row>
    <row r="7" ht="15.75" customHeight="1">
      <c r="A7" s="7"/>
      <c r="B7" s="15" t="s">
        <v>18</v>
      </c>
      <c r="C7" s="15" t="s">
        <v>22</v>
      </c>
      <c r="D7" s="15">
        <v>500.0</v>
      </c>
      <c r="E7" s="15">
        <v>500.0</v>
      </c>
      <c r="F7" s="33" t="s">
        <v>25</v>
      </c>
      <c r="G7" s="7"/>
      <c r="H7" s="7"/>
      <c r="I7" s="7"/>
      <c r="J7" s="15">
        <v>80.0</v>
      </c>
      <c r="K7" s="7"/>
      <c r="L7" s="7"/>
      <c r="M7" s="7"/>
      <c r="N7" s="29">
        <f t="shared" si="1"/>
        <v>43635</v>
      </c>
      <c r="O7" s="7"/>
    </row>
    <row r="8" ht="15.75" customHeight="1">
      <c r="A8" s="7"/>
      <c r="B8" s="15" t="s">
        <v>33</v>
      </c>
      <c r="C8" s="15" t="s">
        <v>19</v>
      </c>
      <c r="D8" s="15">
        <v>100.0</v>
      </c>
      <c r="E8" s="15">
        <v>100.0</v>
      </c>
      <c r="F8" s="33" t="s">
        <v>25</v>
      </c>
      <c r="G8" s="7"/>
      <c r="H8" s="7"/>
      <c r="I8" s="7"/>
      <c r="J8" s="15">
        <v>10.0</v>
      </c>
      <c r="K8" s="7"/>
      <c r="L8" s="7"/>
      <c r="M8" s="7"/>
      <c r="N8" s="29">
        <f t="shared" si="1"/>
        <v>43635</v>
      </c>
      <c r="O8" s="7"/>
    </row>
    <row r="9" ht="15.75" customHeight="1">
      <c r="A9" s="7"/>
      <c r="B9" s="15" t="s">
        <v>33</v>
      </c>
      <c r="C9" s="15" t="s">
        <v>22</v>
      </c>
      <c r="D9" s="15">
        <v>50.0</v>
      </c>
      <c r="E9" s="15">
        <v>50.0</v>
      </c>
      <c r="F9" s="33" t="s">
        <v>25</v>
      </c>
      <c r="G9" s="7"/>
      <c r="H9" s="7"/>
      <c r="I9" s="7"/>
      <c r="J9" s="15">
        <v>20.0</v>
      </c>
      <c r="K9" s="7"/>
      <c r="L9" s="7"/>
      <c r="M9" s="7"/>
      <c r="N9" s="29">
        <f t="shared" si="1"/>
        <v>43635</v>
      </c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34</v>
      </c>
      <c r="D3" s="8" t="s">
        <v>7</v>
      </c>
      <c r="E3" s="21" t="s">
        <v>35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IFERROR(__xludf.DUMMYFUNCTION("""COMPUTED_VALUE"""),"Remaining Qty")</f>
        <v>Remaining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/>
      <c r="C6" s="7"/>
      <c r="D6" s="15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AI6" s="48" t="s">
        <v>18</v>
      </c>
      <c r="AJ6" s="48" t="s">
        <v>22</v>
      </c>
      <c r="AK6" s="48" t="s">
        <v>36</v>
      </c>
      <c r="AL6" s="48">
        <v>500.0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AI7" s="48" t="s">
        <v>18</v>
      </c>
      <c r="AJ7" s="48" t="s">
        <v>19</v>
      </c>
      <c r="AK7" s="48" t="s">
        <v>36</v>
      </c>
      <c r="AL7" s="48">
        <v>5000.0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AI8" s="15" t="s">
        <v>33</v>
      </c>
      <c r="AJ8" s="15" t="s">
        <v>19</v>
      </c>
      <c r="AK8" s="48" t="s">
        <v>36</v>
      </c>
      <c r="AL8" s="15">
        <v>100.0</v>
      </c>
      <c r="AM8" s="15"/>
      <c r="AN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AI9" s="15" t="s">
        <v>33</v>
      </c>
      <c r="AJ9" s="15" t="s">
        <v>22</v>
      </c>
      <c r="AK9" s="48" t="s">
        <v>36</v>
      </c>
      <c r="AL9" s="15">
        <v>50.0</v>
      </c>
      <c r="AM9" s="15"/>
      <c r="AN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22.71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37</v>
      </c>
      <c r="D3" s="8" t="s">
        <v>7</v>
      </c>
      <c r="E3" s="21" t="s">
        <v>38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IFERROR(__xludf.DUMMYFUNCTION("IF(C3="""","""",Transpose(IMPORTRANGE('_Settings'!$B$3,C3&amp;""!A4:A1000"")))"),"EditTradeUsingMTT")</f>
        <v>EditTradeUsingMTT</v>
      </c>
      <c r="C4" s="23" t="str">
        <f>IFERROR(__xludf.DUMMYFUNCTION("""COMPUTED_VALUE"""),"SelectTradeUsingMTT")</f>
        <v>SelectTradeUsingMTT</v>
      </c>
      <c r="D4" s="23" t="str">
        <f>IFERROR(__xludf.DUMMYFUNCTION("""COMPUTED_VALUE"""),"GetPriceUsingMTT")</f>
        <v>GetPriceUsingMTT</v>
      </c>
      <c r="E4" s="23" t="str">
        <f>IFERROR(__xludf.DUMMYFUNCTION("""COMPUTED_VALUE"""),"DoneAwayUsingMTT")</f>
        <v>DoneAwayUsingMTT</v>
      </c>
      <c r="F4" s="23" t="str">
        <f>IFERROR(__xludf.DUMMYFUNCTION("""COMPUTED_VALUE"""),"SendOrderUsingMTT")</f>
        <v>SendOrderUsingMTT</v>
      </c>
      <c r="G4" s="23" t="str">
        <f>IFERROR(__xludf.DUMMYFUNCTION("""COMPUTED_VALUE"""),"BulkChangeTradeDoneAway")</f>
        <v>BulkChangeTradeDoneAway</v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 Quantity")</f>
        <v>Target Quantity</v>
      </c>
      <c r="F5" s="27" t="str">
        <f>IFERROR(__xludf.DUMMYFUNCTION("""COMPUTED_VALUE"""),"Allocation")</f>
        <v>Allocation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 Rate")</f>
        <v>FX 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 Basis")</f>
        <v>Commission Basis</v>
      </c>
      <c r="S5" s="26" t="str">
        <f>IFERROR(__xludf.DUMMYFUNCTION("""COMPUTED_VALUE"""),"Commission Rate")</f>
        <v>Commission Rate</v>
      </c>
      <c r="T5" s="28" t="str">
        <f>IFERROR(__xludf.DUMMYFUNCTION("""COMPUTED_VALUE"""),"Soft Basis")</f>
        <v>Soft Basis</v>
      </c>
      <c r="U5" s="28" t="str">
        <f>IFERROR(__xludf.DUMMYFUNCTION("""COMPUTED_VALUE"""),"Soft Rate")</f>
        <v>Soft Rate</v>
      </c>
      <c r="V5" s="28" t="str">
        <f>IFERROR(__xludf.DUMMYFUNCTION("""COMPUTED_VALUE"""),"Trade Attribute 1")</f>
        <v>Trade Attribute 1</v>
      </c>
      <c r="W5" s="28" t="str">
        <f>IFERROR(__xludf.DUMMYFUNCTION("""COMPUTED_VALUE"""),"Trade Attribute 2")</f>
        <v>Trade Attribute 2</v>
      </c>
      <c r="X5" s="28" t="str">
        <f>IFERROR(__xludf.DUMMYFUNCTION("""COMPUTED_VALUE"""),"Trade Attribute 3")</f>
        <v>Trade Attribute 3</v>
      </c>
      <c r="Y5" s="28" t="str">
        <f>IFERROR(__xludf.DUMMYFUNCTION("""COMPUTED_VALUE"""),"Trade Attribute 4")</f>
        <v>Trade Attribute 4</v>
      </c>
      <c r="Z5" s="28" t="str">
        <f>IFERROR(__xludf.DUMMYFUNCTION("""COMPUTED_VALUE"""),"Trade Attribute 5")</f>
        <v>Trade Attribute 5</v>
      </c>
      <c r="AA5" s="28" t="str">
        <f>IFERROR(__xludf.DUMMYFUNCTION("""COMPUTED_VALUE"""),"Trade Attribute 6")</f>
        <v>Trade Attribute 6</v>
      </c>
      <c r="AB5" s="28" t="str">
        <f>IFERROR(__xludf.DUMMYFUNCTION("""COMPUTED_VALUE"""),"Venue")</f>
        <v>Venue</v>
      </c>
      <c r="AC5" s="28" t="str">
        <f>IFERROR(__xludf.DUMMYFUNCTION("""COMPUTED_VALUE"""),"Execution Instructions")</f>
        <v>Execution Instructions</v>
      </c>
      <c r="AD5" s="28" t="str">
        <f>IFERROR(__xludf.DUMMYFUNCTION("""COMPUTED_VALUE"""),"Handling Instructions")</f>
        <v>Handling Instructions</v>
      </c>
      <c r="AE5" s="28" t="str">
        <f>IFERROR(__xludf.DUMMYFUNCTION("""COMPUTED_VALUE"""),"Trader")</f>
        <v>Trader</v>
      </c>
      <c r="AF5" s="28" t="str">
        <f>IFERROR(__xludf.DUMMYFUNCTION("""COMPUTED_VALUE"""),"Settlement Currency")</f>
        <v>Settlement Currency</v>
      </c>
      <c r="AG5" s="28" t="str">
        <f>IFERROR(__xludf.DUMMYFUNCTION("""COMPUTED_VALUE"""),"Settlement Fx Rate")</f>
        <v>Settlement Fx Rate</v>
      </c>
      <c r="AH5" s="28" t="str">
        <f>IFERROR(__xludf.DUMMYFUNCTION("""COMPUTED_VALUE"""),"Settlement Amount")</f>
        <v>Settlement Amount</v>
      </c>
      <c r="AI5" s="28" t="str">
        <f>IFERROR(__xludf.DUMMYFUNCTION("""COMPUTED_VALUE"""),"Settlement Fx Operator")</f>
        <v>Settlement Fx Operator</v>
      </c>
      <c r="AJ5" s="28" t="str">
        <f>IFERROR(__xludf.DUMMYFUNCTION("""COMPUTED_VALUE"""),"ImportFileName")</f>
        <v>ImportFileName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18</v>
      </c>
      <c r="C6" s="15" t="s">
        <v>19</v>
      </c>
      <c r="D6" s="15">
        <v>5000.0</v>
      </c>
      <c r="E6" s="15">
        <v>5000.0</v>
      </c>
      <c r="F6" s="38" t="s">
        <v>25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15" t="s">
        <v>18</v>
      </c>
      <c r="C7" s="15" t="s">
        <v>22</v>
      </c>
      <c r="D7" s="15">
        <v>500.0</v>
      </c>
      <c r="E7" s="15">
        <v>500.0</v>
      </c>
      <c r="F7" s="38" t="s">
        <v>25</v>
      </c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15" t="s">
        <v>33</v>
      </c>
      <c r="C8" s="15" t="s">
        <v>19</v>
      </c>
      <c r="D8" s="15">
        <v>100.0</v>
      </c>
      <c r="E8" s="15">
        <v>100.0</v>
      </c>
      <c r="F8" s="38" t="s">
        <v>25</v>
      </c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15" t="s">
        <v>33</v>
      </c>
      <c r="C9" s="15" t="s">
        <v>22</v>
      </c>
      <c r="D9" s="15">
        <v>50.0</v>
      </c>
      <c r="E9" s="15">
        <v>50.0</v>
      </c>
      <c r="F9" s="38" t="s">
        <v>25</v>
      </c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39</v>
      </c>
      <c r="D3" s="8" t="s">
        <v>7</v>
      </c>
      <c r="E3" s="21" t="s">
        <v>39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IFERROR(__xludf.DUMMYFUNCTION("IF(C3="""","""",Transpose(IMPORTRANGE('_Settings'!$B$3,C3&amp;""!A4:A1000"")))"),"CreateTransaction")</f>
        <v>CreateTransaction</v>
      </c>
      <c r="C4" s="23" t="str">
        <f>IFERROR(__xludf.DUMMYFUNCTION("""COMPUTED_VALUE"""),"AddNewTransaction")</f>
        <v>AddNewTransaction</v>
      </c>
      <c r="D4" s="23" t="str">
        <f>IFERROR(__xludf.DUMMYFUNCTION("""COMPUTED_VALUE"""),"SaveTransaction")</f>
        <v>SaveTransaction</v>
      </c>
      <c r="E4" s="23" t="str">
        <f>IFERROR(__xludf.DUMMYFUNCTION("""COMPUTED_VALUE"""),"")</f>
        <v/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IFERROR(__xludf.DUMMYFUNCTION("""COMPUTED_VALUE"""),"Account")</f>
        <v>Account</v>
      </c>
      <c r="D5" s="26" t="str">
        <f>IFERROR(__xludf.DUMMYFUNCTION("""COMPUTED_VALUE"""),"Side")</f>
        <v>Side</v>
      </c>
      <c r="E5" s="26" t="str">
        <f>IFERROR(__xludf.DUMMYFUNCTION("""COMPUTED_VALUE"""),"Quantity")</f>
        <v>Quantity</v>
      </c>
      <c r="F5" s="27" t="str">
        <f>IFERROR(__xludf.DUMMYFUNCTION("""COMPUTED_VALUE"""),"Executed Quantity")</f>
        <v>Executed Quantity</v>
      </c>
      <c r="G5" s="26" t="str">
        <f>IFERROR(__xludf.DUMMYFUNCTION("""COMPUTED_VALUE"""),"Average Price")</f>
        <v>Average Price</v>
      </c>
      <c r="H5" s="26" t="str">
        <f>IFERROR(__xludf.DUMMYFUNCTION("""COMPUTED_VALUE"""),"Commission")</f>
        <v>Commission</v>
      </c>
      <c r="I5" s="26" t="str">
        <f>IFERROR(__xludf.DUMMYFUNCTION("""COMPUTED_VALUE"""),"Trade Date")</f>
        <v>Trade Date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18</v>
      </c>
      <c r="C6" s="15" t="s">
        <v>25</v>
      </c>
      <c r="D6" s="15" t="s">
        <v>19</v>
      </c>
      <c r="E6" s="15">
        <v>700.0</v>
      </c>
      <c r="F6" s="15"/>
      <c r="G6" s="15">
        <v>1.0</v>
      </c>
      <c r="H6" s="7"/>
      <c r="I6" s="29">
        <f t="shared" ref="I6:I7" si="1">today()</f>
        <v>43635</v>
      </c>
      <c r="J6" s="7"/>
      <c r="K6" s="7"/>
      <c r="L6" s="7"/>
      <c r="M6" s="7"/>
      <c r="N6" s="7"/>
      <c r="O6" s="7"/>
    </row>
    <row r="7" ht="15.75" customHeight="1">
      <c r="A7" s="7"/>
      <c r="B7" s="15" t="s">
        <v>18</v>
      </c>
      <c r="C7" s="15" t="s">
        <v>25</v>
      </c>
      <c r="D7" s="15" t="s">
        <v>22</v>
      </c>
      <c r="E7" s="15">
        <v>300.0</v>
      </c>
      <c r="F7" s="15"/>
      <c r="G7" s="15">
        <v>1.0</v>
      </c>
      <c r="H7" s="7"/>
      <c r="I7" s="29">
        <f t="shared" si="1"/>
        <v>43635</v>
      </c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9" width="14.43"/>
    <col customWidth="1" min="50" max="50" width="28.71"/>
    <col customWidth="1" min="51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34</v>
      </c>
      <c r="D3" s="8" t="s">
        <v>7</v>
      </c>
      <c r="E3" s="21" t="s">
        <v>40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IFERROR(__xludf.DUMMYFUNCTION("""COMPUTED_VALUE"""),"Remaining Qty")</f>
        <v>Remaining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/>
      <c r="C6" s="7"/>
      <c r="D6" s="15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AI6" s="48" t="s">
        <v>18</v>
      </c>
      <c r="AJ6" s="48" t="s">
        <v>19</v>
      </c>
      <c r="AK6" s="48" t="s">
        <v>42</v>
      </c>
      <c r="AL6" s="48">
        <v>5000.0</v>
      </c>
      <c r="AM6" s="48">
        <v>5000.0</v>
      </c>
      <c r="AT6" s="48" t="s">
        <v>43</v>
      </c>
      <c r="AX6" s="48" t="s">
        <v>25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AI7" s="48" t="s">
        <v>18</v>
      </c>
      <c r="AJ7" s="48" t="s">
        <v>22</v>
      </c>
      <c r="AK7" s="48" t="s">
        <v>42</v>
      </c>
      <c r="AL7" s="48">
        <v>500.0</v>
      </c>
      <c r="AM7" s="48">
        <v>500.0</v>
      </c>
      <c r="AT7" s="48" t="s">
        <v>43</v>
      </c>
      <c r="AX7" s="48" t="s">
        <v>25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AI8" s="48" t="s">
        <v>33</v>
      </c>
      <c r="AJ8" s="48" t="s">
        <v>19</v>
      </c>
      <c r="AK8" s="48" t="s">
        <v>42</v>
      </c>
      <c r="AL8" s="48">
        <v>100.0</v>
      </c>
      <c r="AM8" s="48">
        <v>100.0</v>
      </c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AI9" s="48" t="s">
        <v>33</v>
      </c>
      <c r="AJ9" s="48" t="s">
        <v>22</v>
      </c>
      <c r="AK9" s="48" t="s">
        <v>42</v>
      </c>
      <c r="AL9" s="48">
        <v>50.0</v>
      </c>
      <c r="AM9" s="48">
        <v>50.0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22.29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41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/>
      <c r="C6" s="7"/>
      <c r="D6" s="15"/>
      <c r="E6" s="49">
        <v>10000.0</v>
      </c>
      <c r="F6" s="47"/>
      <c r="G6" s="7"/>
      <c r="H6" s="7"/>
      <c r="I6" s="7"/>
      <c r="J6" s="7"/>
      <c r="K6" s="7"/>
      <c r="L6" s="7"/>
      <c r="M6" s="7"/>
      <c r="N6" s="7"/>
      <c r="O6" s="7"/>
      <c r="BJ6" s="49">
        <v>10000.0</v>
      </c>
      <c r="BO6" s="47" t="s">
        <v>19</v>
      </c>
      <c r="BT6" s="47" t="s">
        <v>18</v>
      </c>
    </row>
    <row r="7" ht="15.75" customHeight="1">
      <c r="A7" s="7"/>
      <c r="B7" s="7"/>
      <c r="C7" s="7"/>
      <c r="D7" s="7"/>
      <c r="E7" s="49">
        <v>1000.0</v>
      </c>
      <c r="F7" s="47"/>
      <c r="G7" s="7"/>
      <c r="H7" s="7"/>
      <c r="I7" s="7"/>
      <c r="J7" s="7"/>
      <c r="K7" s="7"/>
      <c r="L7" s="7"/>
      <c r="M7" s="7"/>
      <c r="N7" s="7"/>
      <c r="O7" s="7"/>
      <c r="BJ7" s="49">
        <v>1000.0</v>
      </c>
      <c r="BO7" s="47" t="s">
        <v>22</v>
      </c>
      <c r="BT7" s="47" t="s">
        <v>18</v>
      </c>
    </row>
    <row r="8" ht="15.75" customHeight="1">
      <c r="A8" s="7"/>
      <c r="B8" s="7"/>
      <c r="C8" s="7"/>
      <c r="D8" s="7"/>
      <c r="E8" s="49">
        <v>5000.0</v>
      </c>
      <c r="F8" s="47" t="s">
        <v>25</v>
      </c>
      <c r="G8" s="7"/>
      <c r="H8" s="7"/>
      <c r="I8" s="7"/>
      <c r="J8" s="7"/>
      <c r="K8" s="7"/>
      <c r="L8" s="7"/>
      <c r="M8" s="7"/>
      <c r="N8" s="7"/>
      <c r="O8" s="7"/>
      <c r="BJ8" s="49">
        <v>5000.0</v>
      </c>
      <c r="BO8" s="47" t="s">
        <v>19</v>
      </c>
      <c r="BT8" s="47" t="s">
        <v>18</v>
      </c>
    </row>
    <row r="9" ht="15.75" customHeight="1">
      <c r="A9" s="7"/>
      <c r="B9" s="7"/>
      <c r="C9" s="7"/>
      <c r="D9" s="7"/>
      <c r="E9" s="50">
        <v>500.0</v>
      </c>
      <c r="F9" s="47" t="s">
        <v>25</v>
      </c>
      <c r="G9" s="7"/>
      <c r="H9" s="7"/>
      <c r="I9" s="7"/>
      <c r="J9" s="7"/>
      <c r="K9" s="7"/>
      <c r="L9" s="7"/>
      <c r="M9" s="7"/>
      <c r="N9" s="7"/>
      <c r="O9" s="7"/>
      <c r="BJ9" s="50">
        <v>500.0</v>
      </c>
      <c r="BO9" s="47" t="s">
        <v>22</v>
      </c>
      <c r="BT9" s="47" t="s">
        <v>18</v>
      </c>
    </row>
    <row r="10" ht="15.75" customHeight="1">
      <c r="A10" s="7"/>
      <c r="B10" s="7"/>
      <c r="C10" s="7"/>
      <c r="D10" s="7"/>
      <c r="E10" s="50">
        <v>700.0</v>
      </c>
      <c r="F10" s="47" t="s">
        <v>25</v>
      </c>
      <c r="G10" s="7"/>
      <c r="H10" s="7"/>
      <c r="I10" s="7"/>
      <c r="J10" s="7"/>
      <c r="K10" s="7"/>
      <c r="L10" s="7"/>
      <c r="M10" s="7"/>
      <c r="N10" s="7"/>
      <c r="O10" s="7"/>
      <c r="BJ10" s="50">
        <v>700.0</v>
      </c>
      <c r="BO10" s="47" t="s">
        <v>19</v>
      </c>
      <c r="BT10" s="47" t="s">
        <v>18</v>
      </c>
    </row>
    <row r="11" ht="15.75" customHeight="1">
      <c r="A11" s="7"/>
      <c r="B11" s="7"/>
      <c r="C11" s="7"/>
      <c r="D11" s="7"/>
      <c r="E11" s="50">
        <v>300.0</v>
      </c>
      <c r="F11" s="47" t="s">
        <v>25</v>
      </c>
      <c r="G11" s="7"/>
      <c r="H11" s="7"/>
      <c r="I11" s="7"/>
      <c r="J11" s="7"/>
      <c r="K11" s="7"/>
      <c r="L11" s="7"/>
      <c r="M11" s="7"/>
      <c r="N11" s="7"/>
      <c r="O11" s="7"/>
      <c r="BJ11" s="50">
        <v>300.0</v>
      </c>
      <c r="BO11" s="47" t="s">
        <v>22</v>
      </c>
      <c r="BT11" s="47" t="s">
        <v>18</v>
      </c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1c7aP-E18Fb8lEVGiXac03BLoNVdUNRzodD2Xjn-9pzU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44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IFERROR(__xludf.DUMMYFUNCTION("""COMPUTED_VALUE"""),"Accrual Basis")</f>
        <v>Accrual Basis</v>
      </c>
      <c r="C5" s="26" t="str">
        <f>IFERROR(__xludf.DUMMYFUNCTION("""COMPUTED_VALUE"""),"Accrued Interest")</f>
        <v>Accrued Interest</v>
      </c>
      <c r="D5" s="26" t="str">
        <f>IFERROR(__xludf.DUMMYFUNCTION("""COMPUTED_VALUE"""),"Allocated Qty")</f>
        <v>Allocated Qty</v>
      </c>
      <c r="E5" s="26" t="str">
        <f>IFERROR(__xludf.DUMMYFUNCTION("""COMPUTED_VALUE"""),"Allocation Scheme Name")</f>
        <v>Allocation Scheme Name</v>
      </c>
      <c r="F5" s="27" t="str">
        <f>IFERROR(__xludf.DUMMYFUNCTION("""COMPUTED_VALUE"""),"Asset Category")</f>
        <v>Asset Category</v>
      </c>
      <c r="G5" s="26" t="str">
        <f>IFERROR(__xludf.DUMMYFUNCTION("""COMPUTED_VALUE"""),"AUEC Fee1")</f>
        <v>AUEC Fee1</v>
      </c>
      <c r="H5" s="26" t="str">
        <f>IFERROR(__xludf.DUMMYFUNCTION("""COMPUTED_VALUE"""),"AUEC Fee2")</f>
        <v>AUEC Fee2</v>
      </c>
      <c r="I5" s="26" t="str">
        <f>IFERROR(__xludf.DUMMYFUNCTION("""COMPUTED_VALUE"""),"AUECID")</f>
        <v>AUECID</v>
      </c>
      <c r="J5" s="26" t="str">
        <f>IFERROR(__xludf.DUMMYFUNCTION("""COMPUTED_VALUE"""),"Avg Price(Base)")</f>
        <v>Avg Price(Base)</v>
      </c>
      <c r="K5" s="26" t="str">
        <f>IFERROR(__xludf.DUMMYFUNCTION("""COMPUTED_VALUE"""),"Avg Price(Local)")</f>
        <v>Avg Price(Local)</v>
      </c>
      <c r="L5" s="26" t="str">
        <f>IFERROR(__xludf.DUMMYFUNCTION("""COMPUTED_VALUE"""),"Bloomberg")</f>
        <v>Bloomberg</v>
      </c>
      <c r="M5" s="26" t="str">
        <f>IFERROR(__xludf.DUMMYFUNCTION("""COMPUTED_VALUE"""),"Bond Type")</f>
        <v>Bond Type</v>
      </c>
      <c r="N5" s="26" t="str">
        <f>IFERROR(__xludf.DUMMYFUNCTION("""COMPUTED_VALUE"""),"Broker")</f>
        <v>Broker</v>
      </c>
      <c r="O5" s="26" t="str">
        <f>IFERROR(__xludf.DUMMYFUNCTION("""COMPUTED_VALUE"""),"Change Comment")</f>
        <v>Change Comment</v>
      </c>
      <c r="P5" s="26" t="str">
        <f>IFERROR(__xludf.DUMMYFUNCTION("""COMPUTED_VALUE"""),"Change Type")</f>
        <v>Change Type</v>
      </c>
      <c r="Q5" s="26" t="str">
        <f>IFERROR(__xludf.DUMMYFUNCTION("""COMPUTED_VALUE"""),"Clearing Broker Fee")</f>
        <v>Clearing Broker Fee</v>
      </c>
      <c r="R5" s="26" t="str">
        <f>IFERROR(__xludf.DUMMYFUNCTION("""COMPUTED_VALUE"""),"Closing Method")</f>
        <v>Closing Method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IFERROR(__xludf.DUMMYFUNCTION("""COMPUTED_VALUE"""),"Execution Time")</f>
        <v>Execution Time</v>
      </c>
      <c r="AG5" s="28" t="str">
        <f>IFERROR(__xludf.DUMMYFUNCTION("""COMPUTED_VALUE"""),"FX Conversion Operator")</f>
        <v>FX Conversion Operator</v>
      </c>
      <c r="AH5" s="28" t="str">
        <f>IFERROR(__xludf.DUMMYFUNCTION("""COMPUTED_VALUE"""),"FX Rate")</f>
        <v>FX Rate</v>
      </c>
      <c r="AI5" s="28" t="str">
        <f>IFERROR(__xludf.DUMMYFUNCTION("""COMPUTED_VALUE"""),"Group Status")</f>
        <v>Group Status</v>
      </c>
      <c r="AJ5" s="28" t="str">
        <f>IFERROR(__xludf.DUMMYFUNCTION("""COMPUTED_VALUE"""),"GroupID")</f>
        <v>GroupID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 Group")</f>
        <v>IsManual 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IFERROR(__xludf.DUMMYFUNCTION("""COMPUTED_VALUE"""),"Symbol")</f>
        <v>Symbol</v>
      </c>
      <c r="BT5" s="28" t="str">
        <f>IFERROR(__xludf.DUMMYFUNCTION("""COMPUTED_VALUE"""),"Tax On Commissions")</f>
        <v>Tax On Commissions</v>
      </c>
      <c r="BU5" s="28" t="str">
        <f>IFERROR(__xludf.DUMMYFUNCTION("""COMPUTED_VALUE"""),"Total Commission")</f>
        <v>Total Commission</v>
      </c>
      <c r="BV5" s="28" t="str">
        <f>IFERROR(__xludf.DUMMYFUNCTION("""COMPUTED_VALUE"""),"Total Commission And Fee")</f>
        <v>Total Commission And Fee</v>
      </c>
      <c r="BW5" s="28" t="str">
        <f>IFERROR(__xludf.DUMMYFUNCTION("""COMPUTED_VALUE"""),"Total Commission Per Share")</f>
        <v>Total Commission Per Share</v>
      </c>
      <c r="BX5" s="28" t="str">
        <f>IFERROR(__xludf.DUMMYFUNCTION("""COMPUTED_VALUE"""),"Trade Attribute 1")</f>
        <v>Trade Attribute 1</v>
      </c>
      <c r="BY5" s="28" t="str">
        <f>IFERROR(__xludf.DUMMYFUNCTION("""COMPUTED_VALUE"""),"Trade Attribute 2")</f>
        <v>Trade Attribute 2</v>
      </c>
      <c r="BZ5" s="28" t="str">
        <f>IFERROR(__xludf.DUMMYFUNCTION("""COMPUTED_VALUE"""),"Trade Attribute 3")</f>
        <v>Trade Attribute 3</v>
      </c>
      <c r="CA5" s="28" t="str">
        <f>IFERROR(__xludf.DUMMYFUNCTION("""COMPUTED_VALUE"""),"Trade Attribute 4")</f>
        <v>Trade Attribute 4</v>
      </c>
      <c r="CB5" s="28" t="str">
        <f>IFERROR(__xludf.DUMMYFUNCTION("""COMPUTED_VALUE"""),"Trade Attribute 5")</f>
        <v>Trade Attribute 5</v>
      </c>
      <c r="CC5" s="28" t="str">
        <f>IFERROR(__xludf.DUMMYFUNCTION("""COMPUTED_VALUE"""),"Trade Attribute 6")</f>
        <v>Trade Attribute 6</v>
      </c>
      <c r="CD5" s="28" t="str">
        <f>IFERROR(__xludf.DUMMYFUNCTION("""COMPUTED_VALUE"""),"Trade Date")</f>
        <v>Trade Date</v>
      </c>
      <c r="CE5" s="28" t="str">
        <f>IFERROR(__xludf.DUMMYFUNCTION("""COMPUTED_VALUE"""),"Trading Account")</f>
        <v>Trading Account</v>
      </c>
      <c r="CF5" s="28" t="str">
        <f>IFERROR(__xludf.DUMMYFUNCTION("""COMPUTED_VALUE"""),"Transaction Levy")</f>
        <v>Transaction Levy</v>
      </c>
      <c r="CG5" s="28" t="str">
        <f>IFERROR(__xludf.DUMMYFUNCTION("""COMPUTED_VALUE"""),"Transaction Source")</f>
        <v>Transaction Source</v>
      </c>
      <c r="CH5" s="28" t="str">
        <f>IFERROR(__xludf.DUMMYFUNCTION("""COMPUTED_VALUE"""),"Transaction Type")</f>
        <v>Transaction Type</v>
      </c>
      <c r="CI5" s="28" t="str">
        <f>IFERROR(__xludf.DUMMYFUNCTION("""COMPUTED_VALUE"""),"UnAllocatedQty")</f>
        <v>UnAllocatedQty</v>
      </c>
      <c r="CJ5" s="28" t="str">
        <f>IFERROR(__xludf.DUMMYFUNCTION("""COMPUTED_VALUE"""),"Underlying")</f>
        <v>Underlying</v>
      </c>
      <c r="CK5" s="28" t="str">
        <f>IFERROR(__xludf.DUMMYFUNCTION("""COMPUTED_VALUE"""),"Underlying Delta")</f>
        <v>Underlying Delta</v>
      </c>
      <c r="CL5" s="28" t="str">
        <f>IFERROR(__xludf.DUMMYFUNCTION("""COMPUTED_VALUE"""),"Underlying Symbol")</f>
        <v>Underlying Symbol</v>
      </c>
      <c r="CM5" s="28" t="str">
        <f>IFERROR(__xludf.DUMMYFUNCTION("""COMPUTED_VALUE"""),"User")</f>
        <v>User</v>
      </c>
      <c r="CN5" s="28" t="str">
        <f>IFERROR(__xludf.DUMMYFUNCTION("""COMPUTED_VALUE"""),"Venue")</f>
        <v>Venue</v>
      </c>
      <c r="CO5" s="28" t="str">
        <f>IFERROR(__xludf.DUMMYFUNCTION("""COMPUTED_VALUE"""),"Closing Date")</f>
        <v>Closing Date</v>
      </c>
      <c r="CP5" s="28" t="str">
        <f>IFERROR(__xludf.DUMMYFUNCTION("""COMPUTED_VALUE"""),"Expiration Date")</f>
        <v>Expiration Date</v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/>
      <c r="C6" s="7"/>
      <c r="D6" s="15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AE6" s="50">
        <v>100.0</v>
      </c>
      <c r="BJ6" s="50">
        <v>100.0</v>
      </c>
      <c r="BO6" s="47" t="s">
        <v>19</v>
      </c>
      <c r="BS6" s="47" t="s">
        <v>33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AE7" s="50">
        <v>50.0</v>
      </c>
      <c r="BJ7" s="50">
        <v>50.0</v>
      </c>
      <c r="BO7" s="47" t="s">
        <v>22</v>
      </c>
      <c r="BS7" s="47" t="s">
        <v>33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45</v>
      </c>
      <c r="D3" s="8" t="s">
        <v>7</v>
      </c>
      <c r="E3" s="21" t="s">
        <v>46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48</v>
      </c>
      <c r="C6" s="29">
        <f>today()-2</f>
        <v>43633</v>
      </c>
      <c r="D6" s="51">
        <f>today()</f>
        <v>43635</v>
      </c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45</v>
      </c>
      <c r="D3" s="8" t="s">
        <v>7</v>
      </c>
      <c r="E3" s="21" t="s">
        <v>47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52" t="s">
        <v>31</v>
      </c>
      <c r="C6" s="7"/>
      <c r="D6" s="15"/>
      <c r="E6" s="30"/>
      <c r="F6" s="7"/>
      <c r="G6" s="7"/>
      <c r="H6" s="7"/>
      <c r="I6" s="7"/>
      <c r="J6" s="7"/>
      <c r="K6" s="52" t="s">
        <v>50</v>
      </c>
      <c r="L6" s="7"/>
      <c r="M6" s="52">
        <v>4000.0</v>
      </c>
      <c r="N6" s="7"/>
      <c r="O6" s="7"/>
      <c r="P6" s="52" t="s">
        <v>19</v>
      </c>
      <c r="R6" s="52" t="s">
        <v>18</v>
      </c>
      <c r="V6" s="52" t="s">
        <v>19</v>
      </c>
    </row>
    <row r="7" ht="15.75" customHeight="1">
      <c r="A7" s="7"/>
      <c r="B7" s="52" t="s">
        <v>30</v>
      </c>
      <c r="C7" s="7"/>
      <c r="D7" s="7"/>
      <c r="E7" s="7"/>
      <c r="F7" s="7"/>
      <c r="G7" s="7"/>
      <c r="H7" s="7"/>
      <c r="I7" s="7"/>
      <c r="J7" s="7"/>
      <c r="K7" s="52" t="s">
        <v>50</v>
      </c>
      <c r="L7" s="7"/>
      <c r="M7" s="52">
        <v>6000.0</v>
      </c>
      <c r="N7" s="7"/>
      <c r="O7" s="7"/>
      <c r="P7" s="52" t="s">
        <v>19</v>
      </c>
      <c r="R7" s="52" t="s">
        <v>18</v>
      </c>
      <c r="V7" s="52" t="s">
        <v>19</v>
      </c>
    </row>
    <row r="8" ht="15.75" customHeight="1">
      <c r="A8" s="7"/>
      <c r="B8" s="52" t="s">
        <v>31</v>
      </c>
      <c r="C8" s="7"/>
      <c r="D8" s="7"/>
      <c r="E8" s="7"/>
      <c r="F8" s="7"/>
      <c r="G8" s="7"/>
      <c r="H8" s="7"/>
      <c r="I8" s="7"/>
      <c r="J8" s="7"/>
      <c r="K8" s="52" t="s">
        <v>50</v>
      </c>
      <c r="L8" s="7"/>
      <c r="M8" s="52">
        <v>1889.0</v>
      </c>
      <c r="N8" s="7"/>
      <c r="O8" s="7"/>
      <c r="P8" s="52" t="s">
        <v>19</v>
      </c>
      <c r="R8" s="52" t="s">
        <v>18</v>
      </c>
      <c r="V8" s="52" t="s">
        <v>19</v>
      </c>
    </row>
    <row r="9" ht="15.75" customHeight="1">
      <c r="A9" s="7"/>
      <c r="B9" s="52" t="s">
        <v>30</v>
      </c>
      <c r="C9" s="7"/>
      <c r="D9" s="7"/>
      <c r="E9" s="7"/>
      <c r="F9" s="7"/>
      <c r="G9" s="7"/>
      <c r="H9" s="7"/>
      <c r="I9" s="7"/>
      <c r="J9" s="7"/>
      <c r="K9" s="52" t="s">
        <v>50</v>
      </c>
      <c r="L9" s="7"/>
      <c r="M9" s="52">
        <v>3111.0</v>
      </c>
      <c r="N9" s="7"/>
      <c r="O9" s="7"/>
      <c r="P9" s="52" t="s">
        <v>19</v>
      </c>
      <c r="R9" s="52" t="s">
        <v>18</v>
      </c>
      <c r="V9" s="52" t="s">
        <v>19</v>
      </c>
    </row>
    <row r="10" ht="15.75" customHeight="1">
      <c r="A10" s="7"/>
      <c r="B10" s="52" t="s">
        <v>31</v>
      </c>
      <c r="C10" s="7"/>
      <c r="D10" s="7"/>
      <c r="E10" s="7"/>
      <c r="F10" s="7"/>
      <c r="G10" s="7"/>
      <c r="H10" s="7"/>
      <c r="I10" s="7"/>
      <c r="J10" s="7"/>
      <c r="K10" s="52" t="s">
        <v>50</v>
      </c>
      <c r="L10" s="7"/>
      <c r="M10" s="52">
        <v>264.0</v>
      </c>
      <c r="N10" s="7"/>
      <c r="O10" s="7"/>
      <c r="P10" s="52" t="s">
        <v>19</v>
      </c>
      <c r="R10" s="52" t="s">
        <v>18</v>
      </c>
      <c r="V10" s="52" t="s">
        <v>19</v>
      </c>
    </row>
    <row r="11" ht="15.75" customHeight="1">
      <c r="A11" s="7"/>
      <c r="B11" s="52" t="s">
        <v>30</v>
      </c>
      <c r="C11" s="7"/>
      <c r="D11" s="7"/>
      <c r="E11" s="7"/>
      <c r="F11" s="7"/>
      <c r="G11" s="7"/>
      <c r="H11" s="7"/>
      <c r="I11" s="7"/>
      <c r="J11" s="7"/>
      <c r="K11" s="52" t="s">
        <v>50</v>
      </c>
      <c r="L11" s="7"/>
      <c r="M11" s="52">
        <v>436.0</v>
      </c>
      <c r="N11" s="7"/>
      <c r="O11" s="7"/>
      <c r="P11" s="52" t="s">
        <v>19</v>
      </c>
      <c r="R11" s="52" t="s">
        <v>18</v>
      </c>
      <c r="V11" s="52" t="s">
        <v>19</v>
      </c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45</v>
      </c>
      <c r="D3" s="8" t="s">
        <v>7</v>
      </c>
      <c r="E3" s="21" t="s">
        <v>49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52" t="s">
        <v>31</v>
      </c>
      <c r="C6" s="7"/>
      <c r="D6" s="15"/>
      <c r="E6" s="30"/>
      <c r="F6" s="7"/>
      <c r="G6" s="7"/>
      <c r="H6" s="7"/>
      <c r="I6" s="7"/>
      <c r="J6" s="7"/>
      <c r="K6" s="52" t="s">
        <v>51</v>
      </c>
      <c r="L6" s="7"/>
      <c r="M6" s="52">
        <v>600.0</v>
      </c>
      <c r="N6" s="7"/>
      <c r="O6" s="7"/>
      <c r="P6" s="52" t="s">
        <v>22</v>
      </c>
      <c r="R6" s="52" t="s">
        <v>18</v>
      </c>
      <c r="V6" s="52" t="s">
        <v>22</v>
      </c>
    </row>
    <row r="7" ht="15.75" customHeight="1">
      <c r="A7" s="7"/>
      <c r="B7" s="52" t="s">
        <v>30</v>
      </c>
      <c r="C7" s="7"/>
      <c r="D7" s="7"/>
      <c r="E7" s="7"/>
      <c r="F7" s="7"/>
      <c r="G7" s="7"/>
      <c r="H7" s="7"/>
      <c r="I7" s="7"/>
      <c r="J7" s="7"/>
      <c r="K7" s="52" t="s">
        <v>51</v>
      </c>
      <c r="L7" s="7"/>
      <c r="M7" s="52">
        <v>400.0</v>
      </c>
      <c r="N7" s="7"/>
      <c r="O7" s="7"/>
      <c r="P7" s="52" t="s">
        <v>22</v>
      </c>
      <c r="R7" s="52" t="s">
        <v>18</v>
      </c>
      <c r="V7" s="52" t="s">
        <v>22</v>
      </c>
    </row>
    <row r="8" ht="15.75" customHeight="1">
      <c r="A8" s="7"/>
      <c r="B8" s="52" t="s">
        <v>31</v>
      </c>
      <c r="C8" s="7"/>
      <c r="D8" s="7"/>
      <c r="E8" s="7"/>
      <c r="F8" s="7"/>
      <c r="G8" s="7"/>
      <c r="H8" s="7"/>
      <c r="I8" s="7"/>
      <c r="J8" s="7"/>
      <c r="K8" s="52" t="s">
        <v>51</v>
      </c>
      <c r="L8" s="7"/>
      <c r="M8" s="52">
        <v>189.0</v>
      </c>
      <c r="N8" s="7"/>
      <c r="O8" s="7"/>
      <c r="P8" s="52" t="s">
        <v>22</v>
      </c>
      <c r="R8" s="52" t="s">
        <v>18</v>
      </c>
      <c r="V8" s="52" t="s">
        <v>22</v>
      </c>
    </row>
    <row r="9" ht="15.75" customHeight="1">
      <c r="A9" s="7"/>
      <c r="B9" s="52" t="s">
        <v>30</v>
      </c>
      <c r="C9" s="7"/>
      <c r="D9" s="7"/>
      <c r="E9" s="7"/>
      <c r="F9" s="7"/>
      <c r="G9" s="7"/>
      <c r="H9" s="7"/>
      <c r="I9" s="7"/>
      <c r="J9" s="7"/>
      <c r="K9" s="52" t="s">
        <v>51</v>
      </c>
      <c r="L9" s="7"/>
      <c r="M9" s="52">
        <v>311.0</v>
      </c>
      <c r="N9" s="7"/>
      <c r="O9" s="7"/>
      <c r="P9" s="52" t="s">
        <v>22</v>
      </c>
      <c r="R9" s="52" t="s">
        <v>18</v>
      </c>
      <c r="V9" s="52" t="s">
        <v>22</v>
      </c>
    </row>
    <row r="10" ht="15.75" customHeight="1">
      <c r="A10" s="7"/>
      <c r="B10" s="52" t="s">
        <v>31</v>
      </c>
      <c r="C10" s="7"/>
      <c r="D10" s="7"/>
      <c r="E10" s="7"/>
      <c r="F10" s="7"/>
      <c r="G10" s="7"/>
      <c r="H10" s="7"/>
      <c r="I10" s="7"/>
      <c r="J10" s="7"/>
      <c r="K10" s="52" t="s">
        <v>51</v>
      </c>
      <c r="L10" s="7"/>
      <c r="M10" s="52">
        <v>113.0</v>
      </c>
      <c r="N10" s="7"/>
      <c r="O10" s="7"/>
      <c r="P10" s="52" t="s">
        <v>22</v>
      </c>
      <c r="R10" s="52" t="s">
        <v>18</v>
      </c>
      <c r="V10" s="52" t="s">
        <v>22</v>
      </c>
    </row>
    <row r="11" ht="15.75" customHeight="1">
      <c r="A11" s="7"/>
      <c r="B11" s="52" t="s">
        <v>30</v>
      </c>
      <c r="C11" s="7"/>
      <c r="D11" s="7"/>
      <c r="E11" s="7"/>
      <c r="F11" s="7"/>
      <c r="G11" s="7"/>
      <c r="H11" s="7"/>
      <c r="I11" s="7"/>
      <c r="J11" s="7"/>
      <c r="K11" s="52" t="s">
        <v>51</v>
      </c>
      <c r="L11" s="7"/>
      <c r="M11" s="52">
        <v>187.0</v>
      </c>
      <c r="N11" s="7"/>
      <c r="O11" s="7"/>
      <c r="P11" s="52" t="s">
        <v>22</v>
      </c>
      <c r="R11" s="52" t="s">
        <v>18</v>
      </c>
      <c r="V11" s="52" t="s">
        <v>22</v>
      </c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52</v>
      </c>
      <c r="D3" s="8" t="s">
        <v>7</v>
      </c>
      <c r="E3" s="21" t="s">
        <v>53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</row>
    <row r="6" ht="15.75" customHeight="1">
      <c r="A6" s="15"/>
      <c r="B6" s="15"/>
      <c r="C6" s="48" t="s">
        <v>18</v>
      </c>
      <c r="D6" s="53">
        <v>6000.0</v>
      </c>
      <c r="E6" s="48" t="s">
        <v>30</v>
      </c>
      <c r="F6" s="7"/>
      <c r="G6" s="7"/>
      <c r="H6" s="7"/>
      <c r="I6" s="7"/>
      <c r="J6" s="7"/>
      <c r="K6" s="7"/>
      <c r="L6" s="7"/>
      <c r="M6" s="7"/>
      <c r="N6" s="7"/>
      <c r="O6" s="7"/>
      <c r="AN6" s="48" t="s">
        <v>19</v>
      </c>
      <c r="AO6" s="48"/>
      <c r="AP6" s="54"/>
    </row>
    <row r="7" ht="15.75" customHeight="1">
      <c r="A7" s="7"/>
      <c r="B7" s="7"/>
      <c r="C7" s="48" t="s">
        <v>18</v>
      </c>
      <c r="D7" s="55">
        <v>-400.0</v>
      </c>
      <c r="E7" s="48" t="s">
        <v>30</v>
      </c>
      <c r="F7" s="7"/>
      <c r="G7" s="7"/>
      <c r="H7" s="7"/>
      <c r="I7" s="7"/>
      <c r="J7" s="7"/>
      <c r="K7" s="7"/>
      <c r="L7" s="7"/>
      <c r="M7" s="7"/>
      <c r="N7" s="7"/>
      <c r="O7" s="7"/>
      <c r="AN7" s="48" t="s">
        <v>22</v>
      </c>
      <c r="AO7" s="48"/>
      <c r="AP7" s="54"/>
    </row>
    <row r="8" ht="15.75" customHeight="1">
      <c r="A8" s="7"/>
      <c r="B8" s="7"/>
      <c r="C8" s="48" t="s">
        <v>18</v>
      </c>
      <c r="D8" s="53">
        <v>3111.0</v>
      </c>
      <c r="E8" s="48" t="s">
        <v>30</v>
      </c>
      <c r="F8" s="7"/>
      <c r="G8" s="7"/>
      <c r="H8" s="7"/>
      <c r="I8" s="7"/>
      <c r="J8" s="7"/>
      <c r="K8" s="7"/>
      <c r="L8" s="7"/>
      <c r="M8" s="7"/>
      <c r="N8" s="7"/>
      <c r="O8" s="7"/>
      <c r="AN8" s="48" t="s">
        <v>19</v>
      </c>
      <c r="AO8" s="48"/>
      <c r="AP8" s="54"/>
    </row>
    <row r="9" ht="15.75" customHeight="1">
      <c r="A9" s="7"/>
      <c r="B9" s="7"/>
      <c r="C9" s="48" t="s">
        <v>18</v>
      </c>
      <c r="D9" s="55">
        <v>-311.0</v>
      </c>
      <c r="E9" s="48" t="s">
        <v>30</v>
      </c>
      <c r="F9" s="7"/>
      <c r="G9" s="7"/>
      <c r="H9" s="7"/>
      <c r="I9" s="7"/>
      <c r="J9" s="7"/>
      <c r="K9" s="7"/>
      <c r="L9" s="7"/>
      <c r="M9" s="7"/>
      <c r="N9" s="7"/>
      <c r="O9" s="7"/>
      <c r="AN9" s="48" t="s">
        <v>22</v>
      </c>
      <c r="AO9" s="48"/>
      <c r="AP9" s="54"/>
    </row>
    <row r="10" ht="15.75" customHeight="1">
      <c r="A10" s="7"/>
      <c r="B10" s="7"/>
      <c r="C10" s="48" t="s">
        <v>18</v>
      </c>
      <c r="D10" s="55">
        <v>436.0</v>
      </c>
      <c r="E10" s="48" t="s">
        <v>30</v>
      </c>
      <c r="F10" s="7"/>
      <c r="G10" s="7"/>
      <c r="H10" s="7"/>
      <c r="I10" s="7"/>
      <c r="J10" s="7"/>
      <c r="K10" s="7"/>
      <c r="L10" s="7"/>
      <c r="M10" s="7"/>
      <c r="N10" s="7"/>
      <c r="O10" s="7"/>
      <c r="AN10" s="48" t="s">
        <v>19</v>
      </c>
      <c r="AO10" s="48"/>
      <c r="AP10" s="54"/>
    </row>
    <row r="11" ht="15.75" customHeight="1">
      <c r="A11" s="7"/>
      <c r="B11" s="7"/>
      <c r="C11" s="48" t="s">
        <v>18</v>
      </c>
      <c r="D11" s="55">
        <v>-187.0</v>
      </c>
      <c r="E11" s="48" t="s">
        <v>30</v>
      </c>
      <c r="F11" s="7"/>
      <c r="G11" s="7"/>
      <c r="H11" s="7"/>
      <c r="I11" s="7"/>
      <c r="J11" s="7"/>
      <c r="K11" s="7"/>
      <c r="L11" s="7"/>
      <c r="M11" s="7"/>
      <c r="N11" s="7"/>
      <c r="O11" s="7"/>
      <c r="AN11" s="48" t="s">
        <v>22</v>
      </c>
      <c r="AO11" s="48"/>
      <c r="AP11" s="54"/>
    </row>
    <row r="12" ht="15.75" customHeight="1">
      <c r="A12" s="7"/>
      <c r="B12" s="7"/>
      <c r="C12" s="48" t="s">
        <v>18</v>
      </c>
      <c r="D12" s="53">
        <v>4000.0</v>
      </c>
      <c r="E12" s="48" t="s">
        <v>31</v>
      </c>
      <c r="F12" s="7"/>
      <c r="G12" s="7"/>
      <c r="H12" s="7"/>
      <c r="I12" s="7"/>
      <c r="J12" s="7"/>
      <c r="K12" s="7"/>
      <c r="L12" s="7"/>
      <c r="M12" s="7"/>
      <c r="N12" s="7"/>
      <c r="O12" s="7"/>
      <c r="AN12" s="48" t="s">
        <v>19</v>
      </c>
      <c r="AO12" s="48"/>
      <c r="AP12" s="54"/>
    </row>
    <row r="13" ht="15.75" customHeight="1">
      <c r="A13" s="7"/>
      <c r="B13" s="7"/>
      <c r="C13" s="48" t="s">
        <v>18</v>
      </c>
      <c r="D13" s="55">
        <v>-600.0</v>
      </c>
      <c r="E13" s="48" t="s">
        <v>31</v>
      </c>
      <c r="F13" s="7"/>
      <c r="G13" s="7"/>
      <c r="H13" s="7"/>
      <c r="I13" s="7"/>
      <c r="J13" s="7"/>
      <c r="K13" s="7"/>
      <c r="L13" s="7"/>
      <c r="M13" s="7"/>
      <c r="N13" s="7"/>
      <c r="O13" s="7"/>
      <c r="AN13" s="48" t="s">
        <v>22</v>
      </c>
      <c r="AO13" s="48"/>
      <c r="AP13" s="54"/>
    </row>
    <row r="14" ht="15.75" customHeight="1">
      <c r="A14" s="7"/>
      <c r="B14" s="7"/>
      <c r="C14" s="48" t="s">
        <v>18</v>
      </c>
      <c r="D14" s="53">
        <v>1889.0</v>
      </c>
      <c r="E14" s="48" t="s">
        <v>31</v>
      </c>
      <c r="F14" s="7"/>
      <c r="G14" s="7"/>
      <c r="H14" s="7"/>
      <c r="I14" s="7"/>
      <c r="J14" s="7"/>
      <c r="K14" s="7"/>
      <c r="L14" s="7"/>
      <c r="M14" s="7"/>
      <c r="N14" s="7"/>
      <c r="O14" s="7"/>
      <c r="AN14" s="48" t="s">
        <v>19</v>
      </c>
      <c r="AO14" s="48"/>
      <c r="AP14" s="54"/>
    </row>
    <row r="15" ht="15.75" customHeight="1">
      <c r="A15" s="7"/>
      <c r="B15" s="7"/>
      <c r="C15" s="48" t="s">
        <v>18</v>
      </c>
      <c r="D15" s="55">
        <v>-189.0</v>
      </c>
      <c r="E15" s="48" t="s">
        <v>31</v>
      </c>
      <c r="F15" s="7"/>
      <c r="G15" s="7"/>
      <c r="H15" s="7"/>
      <c r="I15" s="7"/>
      <c r="J15" s="7"/>
      <c r="K15" s="7"/>
      <c r="L15" s="7"/>
      <c r="M15" s="7"/>
      <c r="N15" s="7"/>
      <c r="O15" s="7"/>
      <c r="AN15" s="48" t="s">
        <v>22</v>
      </c>
      <c r="AO15" s="48"/>
      <c r="AP15" s="54"/>
    </row>
    <row r="16" ht="15.75" customHeight="1">
      <c r="A16" s="7"/>
      <c r="B16" s="7"/>
      <c r="C16" s="48" t="s">
        <v>18</v>
      </c>
      <c r="D16" s="55">
        <v>264.0</v>
      </c>
      <c r="E16" s="48" t="s">
        <v>31</v>
      </c>
      <c r="F16" s="7"/>
      <c r="G16" s="7"/>
      <c r="H16" s="7"/>
      <c r="I16" s="7"/>
      <c r="J16" s="7"/>
      <c r="K16" s="7"/>
      <c r="L16" s="7"/>
      <c r="M16" s="7"/>
      <c r="N16" s="7"/>
      <c r="O16" s="7"/>
      <c r="AN16" s="48" t="s">
        <v>19</v>
      </c>
      <c r="AO16" s="48"/>
      <c r="AP16" s="54"/>
    </row>
    <row r="17" ht="15.75" customHeight="1">
      <c r="A17" s="7"/>
      <c r="B17" s="7"/>
      <c r="C17" s="48" t="s">
        <v>18</v>
      </c>
      <c r="D17" s="55">
        <v>-113.0</v>
      </c>
      <c r="E17" s="48" t="s">
        <v>31</v>
      </c>
      <c r="F17" s="7"/>
      <c r="G17" s="7"/>
      <c r="H17" s="7"/>
      <c r="I17" s="7"/>
      <c r="J17" s="7"/>
      <c r="K17" s="7"/>
      <c r="L17" s="7"/>
      <c r="M17" s="7"/>
      <c r="N17" s="7"/>
      <c r="O17" s="7"/>
      <c r="AN17" s="48" t="s">
        <v>22</v>
      </c>
      <c r="AO17" s="48"/>
      <c r="AP17" s="54"/>
    </row>
    <row r="18" ht="15.75" customHeight="1">
      <c r="A18" s="7"/>
      <c r="B18" s="7"/>
      <c r="C18" s="48" t="s">
        <v>33</v>
      </c>
      <c r="D18" s="55">
        <v>100.0</v>
      </c>
      <c r="E18" s="54"/>
      <c r="F18" s="7"/>
      <c r="G18" s="7"/>
      <c r="H18" s="7"/>
      <c r="I18" s="7"/>
      <c r="J18" s="7"/>
      <c r="K18" s="7"/>
      <c r="L18" s="7"/>
      <c r="M18" s="7"/>
      <c r="N18" s="7"/>
      <c r="O18" s="7"/>
      <c r="AN18" s="48" t="s">
        <v>19</v>
      </c>
      <c r="AO18" s="48"/>
      <c r="AP18" s="54"/>
    </row>
    <row r="19" ht="15.75" customHeight="1">
      <c r="A19" s="7"/>
      <c r="B19" s="7"/>
      <c r="C19" s="48" t="s">
        <v>33</v>
      </c>
      <c r="D19" s="55">
        <v>-50.0</v>
      </c>
      <c r="E19" s="54"/>
      <c r="F19" s="7"/>
      <c r="G19" s="7"/>
      <c r="H19" s="7"/>
      <c r="I19" s="7"/>
      <c r="J19" s="7"/>
      <c r="K19" s="7"/>
      <c r="L19" s="7"/>
      <c r="M19" s="7"/>
      <c r="N19" s="7"/>
      <c r="O19" s="7"/>
      <c r="AN19" s="48" t="s">
        <v>22</v>
      </c>
      <c r="AO19" s="48"/>
      <c r="AP19" s="54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54</v>
      </c>
      <c r="D3" s="8" t="s">
        <v>7</v>
      </c>
      <c r="E3" s="21" t="s">
        <v>55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57</v>
      </c>
      <c r="C6" s="15" t="s">
        <v>20</v>
      </c>
      <c r="D6" s="51">
        <f>today()-2</f>
        <v>43633</v>
      </c>
      <c r="E6" s="51">
        <f>today()</f>
        <v>43635</v>
      </c>
      <c r="F6" s="15" t="s">
        <v>58</v>
      </c>
      <c r="G6" s="15" t="s">
        <v>59</v>
      </c>
      <c r="H6" s="15" t="s">
        <v>58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54</v>
      </c>
      <c r="D3" s="8" t="s">
        <v>7</v>
      </c>
      <c r="E3" s="21" t="s">
        <v>56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48" t="s">
        <v>30</v>
      </c>
      <c r="C6" s="7"/>
      <c r="D6" s="48" t="s">
        <v>60</v>
      </c>
      <c r="E6" s="30"/>
      <c r="F6" s="7"/>
      <c r="G6" s="7"/>
      <c r="H6" s="7"/>
      <c r="I6" s="7"/>
      <c r="J6" s="7"/>
      <c r="K6" s="48" t="s">
        <v>61</v>
      </c>
      <c r="L6" s="7"/>
      <c r="M6" s="7"/>
      <c r="N6" s="7"/>
      <c r="O6" s="7"/>
      <c r="V6" s="48">
        <v>6000.0</v>
      </c>
      <c r="AB6" s="48" t="s">
        <v>18</v>
      </c>
      <c r="AG6" s="48" t="s">
        <v>62</v>
      </c>
    </row>
    <row r="7" ht="15.75" customHeight="1">
      <c r="A7" s="7"/>
      <c r="B7" s="48" t="s">
        <v>31</v>
      </c>
      <c r="C7" s="7"/>
      <c r="D7" s="48" t="s">
        <v>60</v>
      </c>
      <c r="E7" s="7"/>
      <c r="F7" s="7"/>
      <c r="G7" s="7"/>
      <c r="H7" s="7"/>
      <c r="I7" s="7"/>
      <c r="J7" s="7"/>
      <c r="K7" s="48" t="s">
        <v>61</v>
      </c>
      <c r="L7" s="7"/>
      <c r="M7" s="7"/>
      <c r="N7" s="7"/>
      <c r="O7" s="7"/>
      <c r="V7" s="48">
        <v>4000.0</v>
      </c>
      <c r="AB7" s="48" t="s">
        <v>18</v>
      </c>
      <c r="AG7" s="48" t="s">
        <v>62</v>
      </c>
    </row>
    <row r="8" ht="15.75" customHeight="1">
      <c r="A8" s="7"/>
      <c r="B8" s="48" t="s">
        <v>31</v>
      </c>
      <c r="C8" s="7"/>
      <c r="D8" s="48" t="s">
        <v>60</v>
      </c>
      <c r="E8" s="7"/>
      <c r="F8" s="7"/>
      <c r="G8" s="7"/>
      <c r="H8" s="7"/>
      <c r="I8" s="7"/>
      <c r="J8" s="7"/>
      <c r="K8" s="48" t="s">
        <v>61</v>
      </c>
      <c r="L8" s="7"/>
      <c r="M8" s="7"/>
      <c r="N8" s="7"/>
      <c r="O8" s="7"/>
      <c r="V8" s="48">
        <v>600.0</v>
      </c>
      <c r="AB8" s="48" t="s">
        <v>18</v>
      </c>
      <c r="AG8" s="48" t="s">
        <v>62</v>
      </c>
    </row>
    <row r="9" ht="15.75" customHeight="1">
      <c r="A9" s="7"/>
      <c r="B9" s="48" t="s">
        <v>30</v>
      </c>
      <c r="C9" s="7"/>
      <c r="D9" s="48" t="s">
        <v>60</v>
      </c>
      <c r="E9" s="7"/>
      <c r="F9" s="7"/>
      <c r="G9" s="7"/>
      <c r="H9" s="7"/>
      <c r="I9" s="7"/>
      <c r="J9" s="7"/>
      <c r="K9" s="48" t="s">
        <v>61</v>
      </c>
      <c r="L9" s="7"/>
      <c r="M9" s="7"/>
      <c r="N9" s="7"/>
      <c r="O9" s="7"/>
      <c r="V9" s="48">
        <v>400.0</v>
      </c>
      <c r="AB9" s="48" t="s">
        <v>18</v>
      </c>
      <c r="AG9" s="48" t="s">
        <v>62</v>
      </c>
    </row>
    <row r="10" ht="15.75" customHeight="1">
      <c r="A10" s="7"/>
      <c r="B10" s="48" t="s">
        <v>30</v>
      </c>
      <c r="C10" s="7"/>
      <c r="D10" s="48" t="s">
        <v>60</v>
      </c>
      <c r="E10" s="7"/>
      <c r="F10" s="7"/>
      <c r="G10" s="7"/>
      <c r="H10" s="7"/>
      <c r="I10" s="7"/>
      <c r="J10" s="7"/>
      <c r="K10" s="48" t="s">
        <v>61</v>
      </c>
      <c r="L10" s="7"/>
      <c r="M10" s="7"/>
      <c r="N10" s="7"/>
      <c r="O10" s="7"/>
      <c r="V10" s="48">
        <v>3111.0</v>
      </c>
      <c r="AB10" s="48" t="s">
        <v>18</v>
      </c>
      <c r="AG10" s="48" t="s">
        <v>62</v>
      </c>
    </row>
    <row r="11" ht="15.75" customHeight="1">
      <c r="A11" s="7"/>
      <c r="B11" s="48" t="s">
        <v>31</v>
      </c>
      <c r="C11" s="7"/>
      <c r="D11" s="48" t="s">
        <v>60</v>
      </c>
      <c r="E11" s="7"/>
      <c r="F11" s="7"/>
      <c r="G11" s="7"/>
      <c r="H11" s="7"/>
      <c r="I11" s="7"/>
      <c r="J11" s="7"/>
      <c r="K11" s="48" t="s">
        <v>61</v>
      </c>
      <c r="L11" s="7"/>
      <c r="M11" s="7"/>
      <c r="N11" s="7"/>
      <c r="O11" s="7"/>
      <c r="V11" s="48">
        <v>1889.0</v>
      </c>
      <c r="AB11" s="48" t="s">
        <v>18</v>
      </c>
      <c r="AG11" s="48" t="s">
        <v>62</v>
      </c>
    </row>
    <row r="12" ht="15.75" customHeight="1">
      <c r="A12" s="7"/>
      <c r="B12" s="48" t="s">
        <v>30</v>
      </c>
      <c r="C12" s="7"/>
      <c r="D12" s="48" t="s">
        <v>60</v>
      </c>
      <c r="E12" s="7"/>
      <c r="F12" s="7"/>
      <c r="G12" s="7"/>
      <c r="H12" s="7"/>
      <c r="I12" s="7"/>
      <c r="J12" s="7"/>
      <c r="K12" s="48" t="s">
        <v>61</v>
      </c>
      <c r="L12" s="7"/>
      <c r="M12" s="7"/>
      <c r="N12" s="7"/>
      <c r="O12" s="7"/>
      <c r="V12" s="48">
        <v>311.0</v>
      </c>
      <c r="AB12" s="48" t="s">
        <v>18</v>
      </c>
      <c r="AG12" s="48" t="s">
        <v>62</v>
      </c>
    </row>
    <row r="13" ht="15.75" customHeight="1">
      <c r="A13" s="7"/>
      <c r="B13" s="48" t="s">
        <v>31</v>
      </c>
      <c r="C13" s="7"/>
      <c r="D13" s="48" t="s">
        <v>60</v>
      </c>
      <c r="E13" s="7"/>
      <c r="F13" s="7"/>
      <c r="G13" s="7"/>
      <c r="H13" s="7"/>
      <c r="I13" s="7"/>
      <c r="J13" s="7"/>
      <c r="K13" s="48" t="s">
        <v>61</v>
      </c>
      <c r="L13" s="7"/>
      <c r="M13" s="7"/>
      <c r="N13" s="7"/>
      <c r="O13" s="7"/>
      <c r="V13" s="48">
        <v>189.0</v>
      </c>
      <c r="AB13" s="48" t="s">
        <v>18</v>
      </c>
      <c r="AG13" s="48" t="s">
        <v>62</v>
      </c>
    </row>
    <row r="14" ht="15.75" customHeight="1">
      <c r="A14" s="7"/>
      <c r="B14" s="48" t="s">
        <v>30</v>
      </c>
      <c r="C14" s="7"/>
      <c r="D14" s="48" t="s">
        <v>60</v>
      </c>
      <c r="E14" s="7"/>
      <c r="F14" s="7"/>
      <c r="G14" s="7"/>
      <c r="H14" s="7"/>
      <c r="I14" s="7"/>
      <c r="J14" s="7"/>
      <c r="K14" s="48" t="s">
        <v>61</v>
      </c>
      <c r="L14" s="7"/>
      <c r="M14" s="7"/>
      <c r="N14" s="7"/>
      <c r="O14" s="7"/>
      <c r="V14" s="48">
        <v>436.0</v>
      </c>
      <c r="AB14" s="48" t="s">
        <v>18</v>
      </c>
      <c r="AG14" s="48" t="s">
        <v>62</v>
      </c>
    </row>
    <row r="15" ht="15.75" customHeight="1">
      <c r="A15" s="7"/>
      <c r="B15" s="48" t="s">
        <v>31</v>
      </c>
      <c r="C15" s="7"/>
      <c r="D15" s="48" t="s">
        <v>60</v>
      </c>
      <c r="E15" s="7"/>
      <c r="F15" s="7"/>
      <c r="G15" s="7"/>
      <c r="H15" s="7"/>
      <c r="I15" s="7"/>
      <c r="J15" s="7"/>
      <c r="K15" s="48" t="s">
        <v>61</v>
      </c>
      <c r="L15" s="7"/>
      <c r="M15" s="7"/>
      <c r="N15" s="7"/>
      <c r="O15" s="7"/>
      <c r="V15" s="48">
        <v>264.0</v>
      </c>
      <c r="AB15" s="48" t="s">
        <v>18</v>
      </c>
      <c r="AG15" s="48" t="s">
        <v>62</v>
      </c>
    </row>
    <row r="16" ht="15.75" customHeight="1">
      <c r="A16" s="7"/>
      <c r="B16" s="48" t="s">
        <v>30</v>
      </c>
      <c r="C16" s="7"/>
      <c r="D16" s="48" t="s">
        <v>60</v>
      </c>
      <c r="E16" s="7"/>
      <c r="F16" s="7"/>
      <c r="G16" s="7"/>
      <c r="H16" s="7"/>
      <c r="I16" s="7"/>
      <c r="J16" s="7"/>
      <c r="K16" s="48" t="s">
        <v>61</v>
      </c>
      <c r="L16" s="7"/>
      <c r="M16" s="7"/>
      <c r="N16" s="7"/>
      <c r="O16" s="7"/>
      <c r="V16" s="48">
        <v>187.0</v>
      </c>
      <c r="AB16" s="48" t="s">
        <v>18</v>
      </c>
      <c r="AG16" s="48" t="s">
        <v>62</v>
      </c>
    </row>
    <row r="17" ht="15.75" customHeight="1">
      <c r="A17" s="7"/>
      <c r="B17" s="48" t="s">
        <v>31</v>
      </c>
      <c r="C17" s="7"/>
      <c r="D17" s="48" t="s">
        <v>60</v>
      </c>
      <c r="E17" s="7"/>
      <c r="F17" s="7"/>
      <c r="G17" s="7"/>
      <c r="H17" s="7"/>
      <c r="I17" s="7"/>
      <c r="J17" s="7"/>
      <c r="K17" s="48" t="s">
        <v>61</v>
      </c>
      <c r="L17" s="7"/>
      <c r="M17" s="7"/>
      <c r="N17" s="7"/>
      <c r="O17" s="7"/>
      <c r="V17" s="48">
        <v>113.0</v>
      </c>
      <c r="AB17" s="48" t="s">
        <v>18</v>
      </c>
      <c r="AG17" s="48" t="s">
        <v>62</v>
      </c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1lI4loUxqzsE3IjuxIjsVY3cB4J_eTKFPPDuXngut4FE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24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IFERROR(__xludf.DUMMYFUNCTION("""COMPUTED_VALUE"""),"ValidateCheckSide")</f>
        <v>ValidateCheckSide</v>
      </c>
      <c r="C5" s="26" t="str">
        <f>IFERROR(__xludf.DUMMYFUNCTION("""COMPUTED_VALUE"""),"DisabledChecksideAssets")</f>
        <v>DisabledChecksideAssets</v>
      </c>
      <c r="D5" s="26" t="str">
        <f>IFERROR(__xludf.DUMMYFUNCTION("""COMPUTED_VALUE"""),"PrecisionValue")</f>
        <v>PrecisionValue</v>
      </c>
      <c r="E5" s="26" t="str">
        <f>IFERROR(__xludf.DUMMYFUNCTION("""COMPUTED_VALUE"""),"UseCommissionInNetAmount")</f>
        <v>UseCommissionInNetAmount</v>
      </c>
      <c r="F5" s="27" t="str">
        <f>IFERROR(__xludf.DUMMYFUNCTION("""COMPUTED_VALUE"""),"SaveWithoutState")</f>
        <v>SaveWithoutState</v>
      </c>
      <c r="G5" s="26" t="str">
        <f>IFERROR(__xludf.DUMMYFUNCTION("""COMPUTED_VALUE"""),"SaveWithState")</f>
        <v>SaveWithState</v>
      </c>
      <c r="H5" s="26" t="str">
        <f>IFERROR(__xludf.DUMMYFUNCTION("""COMPUTED_VALUE"""),"ClearQuantities")</f>
        <v>ClearQuantities</v>
      </c>
      <c r="I5" s="26" t="str">
        <f>IFERROR(__xludf.DUMMYFUNCTION("""COMPUTED_VALUE"""),"ReapplyAllocation")</f>
        <v>ReapplyAllocation</v>
      </c>
      <c r="J5" s="26" t="str">
        <f>IFERROR(__xludf.DUMMYFUNCTION("""COMPUTED_VALUE"""),"DefaultAllocation")</f>
        <v>DefaultAllocation</v>
      </c>
      <c r="K5" s="26" t="str">
        <f>IFERROR(__xludf.DUMMYFUNCTION("""COMPUTED_VALUE"""),"IsCustomPreference")</f>
        <v>IsCustomPreference</v>
      </c>
      <c r="L5" s="26" t="str">
        <f>IFERROR(__xludf.DUMMYFUNCTION("""COMPUTED_VALUE"""),"AllocationMethod")</f>
        <v>AllocationMethod</v>
      </c>
      <c r="M5" s="26" t="str">
        <f>IFERROR(__xludf.DUMMYFUNCTION("""COMPUTED_VALUE"""),"RemainderAllocationTo")</f>
        <v>RemainderAllocationTo</v>
      </c>
      <c r="N5" s="26" t="str">
        <f>IFERROR(__xludf.DUMMYFUNCTION("""COMPUTED_VALUE"""),"Target%AsOf")</f>
        <v>Target%AsOf</v>
      </c>
      <c r="O5" s="26" t="str">
        <f>IFERROR(__xludf.DUMMYFUNCTION("""COMPUTED_VALUE"""),"ProrataAccounts")</f>
        <v>ProrataAccounts</v>
      </c>
      <c r="P5" s="26" t="str">
        <f>IFERROR(__xludf.DUMMYFUNCTION("""COMPUTED_VALUE"""),"DateUptoDays")</f>
        <v>DateUptoDays</v>
      </c>
      <c r="Q5" s="26" t="str">
        <f>IFERROR(__xludf.DUMMYFUNCTION("""COMPUTED_VALUE"""),"MatchClosing")</f>
        <v>MatchClosing</v>
      </c>
      <c r="R5" s="26" t="str">
        <f>IFERROR(__xludf.DUMMYFUNCTION("""COMPUTED_VALUE"""),"CommissionAlertOnBrokerChange")</f>
        <v>CommissionAlertOnBrokerChange</v>
      </c>
      <c r="S5" s="26" t="str">
        <f>IFERROR(__xludf.DUMMYFUNCTION("""COMPUTED_VALUE"""),"RecalculateCommissionOnBrokerChange")</f>
        <v>RecalculateCommissionOnBrokerChange</v>
      </c>
      <c r="T5" s="28" t="str">
        <f>IFERROR(__xludf.DUMMYFUNCTION("""COMPUTED_VALUE"""),"CommissionAlertOnAllocation")</f>
        <v>CommissionAlertOnAllocation</v>
      </c>
      <c r="U5" s="28" t="str">
        <f>IFERROR(__xludf.DUMMYFUNCTION("""COMPUTED_VALUE"""),"RecalculateCommissionOnAllocation")</f>
        <v>RecalculateCommissionOnAllocation</v>
      </c>
      <c r="V5" s="28" t="str">
        <f>IFERROR(__xludf.DUMMYFUNCTION("""COMPUTED_VALUE"""),"EnableMasterFund")</f>
        <v>EnableMasterFund</v>
      </c>
      <c r="W5" s="28" t="str">
        <f>IFERROR(__xludf.DUMMYFUNCTION("""COMPUTED_VALUE"""),"1MasterFund/1Symbol")</f>
        <v>1MasterFund/1Symbol</v>
      </c>
      <c r="X5" s="28" t="str">
        <f>IFERROR(__xludf.DUMMYFUNCTION("""COMPUTED_VALUE"""),"ProrataSchemeName")</f>
        <v>ProrataSchemeName</v>
      </c>
      <c r="Y5" s="28" t="str">
        <f>IFERROR(__xludf.DUMMYFUNCTION("""COMPUTED_VALUE"""),"ProrataAllocationSchemeBasis")</f>
        <v>ProrataAllocationSchemeBasis</v>
      </c>
      <c r="Z5" s="28" t="str">
        <f>IFERROR(__xludf.DUMMYFUNCTION("""COMPUTED_VALUE"""),"ShowAdvancedProrataUI")</f>
        <v>ShowAdvancedProrataUI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/>
      <c r="C6" s="7"/>
      <c r="D6" s="15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Z6" s="31" t="b">
        <v>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