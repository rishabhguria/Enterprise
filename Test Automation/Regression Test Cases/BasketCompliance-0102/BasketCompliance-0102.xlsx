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CreateDoneAwayOrder" sheetId="5" r:id="rId7"/>
    <sheet state="visible" name="CreateStageOrder" sheetId="6" r:id="rId8"/>
    <sheet state="visible" name="PricingInput" sheetId="7" r:id="rId9"/>
    <sheet state="visible" name="GetMarkPriceData" sheetId="8" r:id="rId10"/>
    <sheet state="visible" name="UpdateMarkPrice" sheetId="9" r:id="rId11"/>
    <sheet state="visible" name="GetForexConversion" sheetId="10" r:id="rId12"/>
    <sheet state="visible" name="UpdateForexConversion" sheetId="11" r:id="rId13"/>
    <sheet state="visible" name="GetDataAllocation" sheetId="12" r:id="rId14"/>
    <sheet state="visible" name="BookOrUpdateSwap" sheetId="13" r:id="rId15"/>
    <sheet state="visible" name="SelectAllocatedGroup" sheetId="14" r:id="rId16"/>
    <sheet state="visible" name="AddCashTransaction" sheetId="15" r:id="rId17"/>
    <sheet state="visible" name="VerifyPTTCompliance" sheetId="16" r:id="rId18"/>
    <sheet state="visible" name="CalculatePTT" sheetId="17" r:id="rId19"/>
    <sheet state="visible" name="EditOrder" sheetId="18" r:id="rId20"/>
    <sheet state="visible" name="VerifyPTT" sheetId="19" r:id="rId21"/>
    <sheet state="visible" name="CreateComplianceOrder" sheetId="20" r:id="rId22"/>
    <sheet state="visible" name="GetAccountBalance" sheetId="21" r:id="rId23"/>
    <sheet state="visible" name="VerifyComplianceOrder" sheetId="22" r:id="rId24"/>
    <sheet state="visible" name="GetCashTransaction" sheetId="23" r:id="rId25"/>
    <sheet state="visible" name="SelectTradeOnOrderGrid" sheetId="24" r:id="rId26"/>
    <sheet state="visible" name="UpdateExpnlConfig" sheetId="25" r:id="rId27"/>
    <sheet state="visible" name="UpdateMultipleDailyCash" sheetId="26" r:id="rId28"/>
    <sheet state="visible" name="CreateOrderPTT1" sheetId="27" r:id="rId29"/>
  </sheets>
  <definedNames/>
  <calcPr/>
</workbook>
</file>

<file path=xl/sharedStrings.xml><?xml version="1.0" encoding="utf-8"?>
<sst xmlns="http://schemas.openxmlformats.org/spreadsheetml/2006/main" count="365" uniqueCount="90">
  <si>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</si>
  <si>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</si>
  <si>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</si>
  <si>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</si>
  <si>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</si>
  <si>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</si>
  <si>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</si>
  <si>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</si>
  <si>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</si>
  <si>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</si>
  <si>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</si>
  <si>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</si>
  <si>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</si>
  <si>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</si>
  <si>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</si>
  <si>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</si>
  <si>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TradingTicket</t>
  </si>
  <si>
    <t>CreateDoneAwayOrder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</si>
  <si>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</si>
  <si>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</si>
  <si>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</si>
  <si>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</si>
  <si>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</si>
  <si>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</si>
  <si>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</si>
  <si>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</si>
  <si>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</si>
  <si>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</si>
  <si>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</si>
  <si>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</si>
  <si>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</si>
  <si>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PricingInput</t>
  </si>
  <si>
    <t>COP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</si>
  <si>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</si>
  <si>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</si>
  <si>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</si>
  <si>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</si>
  <si>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</si>
  <si>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</si>
  <si>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</si>
  <si>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Allocation</t>
  </si>
  <si>
    <t>GetDataAllocation</t>
  </si>
  <si>
    <t>Historical</t>
  </si>
  <si>
    <t>BookOrUpdateSwap</t>
  </si>
  <si>
    <t>SelectAllocatedGroup</t>
  </si>
  <si>
    <t>GeneralLedger</t>
  </si>
  <si>
    <t>AddCashTransaction</t>
  </si>
  <si>
    <t>DividendIncome</t>
  </si>
  <si>
    <t>PTT</t>
  </si>
  <si>
    <t>VerifyPTTCompliance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</si>
  <si>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</si>
  <si>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</si>
  <si>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</si>
  <si>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</si>
  <si>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2,744.00, avgPrice: 20.00, selectedFeedPrice: 20.00, netMarketValueBase: 54,880.00, netExposureLocal: 54,880.00, Symbol: AAPL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</si>
  <si>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</si>
  <si>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</si>
  <si>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</si>
  <si>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3,044.00, dayPnLBase: 1,000.00, dayPnLLocal: 1,000.00, netMarketValueBase: 60,880.00, netMarketValueLocal: 60,880.00, selectedFeedPrice: 20.00, accountNav: 665,173.3333, AccountShortName: Allocation1, Symbol: AAPL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</si>
  <si>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</si>
  <si>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</si>
  <si>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</si>
  <si>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3,144.00, dayPnLBase: 2,800.00, dayPnLLocal: 2,800.00, netMarketValueBase: 62,880.00, netMarketValueLocal: 62,880.00, selectedFeedPrice: 20.00, masterFundNav: 766,973.3333, MasterFundName: NewMF, Symbol: AAPL</t>
  </si>
  <si>
    <t>CalculatePTT</t>
  </si>
  <si>
    <t>Increase</t>
  </si>
  <si>
    <t>Percentage</t>
  </si>
  <si>
    <t>No</t>
  </si>
  <si>
    <t>Account</t>
  </si>
  <si>
    <t>Blotter</t>
  </si>
  <si>
    <t>EditOrder</t>
  </si>
  <si>
    <t>NASDAQ</t>
  </si>
  <si>
    <t>Equity</t>
  </si>
  <si>
    <t>New</t>
  </si>
  <si>
    <t>Market</t>
  </si>
  <si>
    <t>VerifyPTT</t>
  </si>
  <si>
    <t>CreateComplianceOrder</t>
  </si>
  <si>
    <t>Replace</t>
  </si>
  <si>
    <t>GetAccountBalance</t>
  </si>
  <si>
    <t>VerifyComplianceOrder</t>
  </si>
  <si>
    <t>quantity: 3,000.00, avgPrice: 20.00, selectedFeedPrice: 20.00, netMarketValueBase: 60,000.00, netExposureLocal: 60,000.00, Symbol: AAPL</t>
  </si>
  <si>
    <t>quantity: 3,300.00, dayPnLBase: 1,000.00, dayPnLLocal: 1,000.00, netMarketValueBase: 66,000.00, netMarketValueLocal: 66,000.00, selectedFeedPrice: 20.00, accountNav: 665,173.3333, AccountShortName: Allocation1, Symbol: AAPL</t>
  </si>
  <si>
    <t>quantity: 3,400.00, dayPnLBase: 2,800.00, dayPnLLocal: 2,800.00, netMarketValueBase: 68,000.00, netMarketValueLocal: 68,000.00, selectedFeedPrice: 20.00, masterFundNav: 766,973.3333, MasterFundName: NewMF, Symbol: AAPL</t>
  </si>
  <si>
    <t>GetCashTransaction</t>
  </si>
  <si>
    <t>SelectTradeOnOrderGrid</t>
  </si>
  <si>
    <t>Expnl</t>
  </si>
  <si>
    <t>UpdateExpnlConfig</t>
  </si>
  <si>
    <t>CalculateFxGainLossOnFutures</t>
  </si>
  <si>
    <t>IsM2MIncludedInCash</t>
  </si>
  <si>
    <t>UpdateMultipleDailyCash</t>
  </si>
  <si>
    <t>CreateOrderPTT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</si>
</sst>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6" fontId="13" numFmtId="16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6" fontId="3" numFmtId="14" xfId="0" applyAlignment="1" applyBorder="1" applyFont="1" applyNumberForma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65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>
        <f t="shared" ref="B6:C6" si="1">TODAY()-1</f>
        <v>44951</v>
      </c>
      <c r="C6" s="31">
        <f t="shared" si="1"/>
        <v>44951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5" t="s">
        <v>19</v>
      </c>
      <c r="D6" s="36">
        <v>100.0</v>
      </c>
      <c r="E6" s="37"/>
      <c r="F6" s="35" t="s">
        <v>20</v>
      </c>
      <c r="G6" s="37"/>
      <c r="H6" s="37"/>
      <c r="I6" s="37"/>
      <c r="J6" s="38">
        <v>10.0</v>
      </c>
      <c r="K6" s="37"/>
      <c r="L6" s="37"/>
      <c r="M6" s="37"/>
      <c r="N6" s="39">
        <f>TODAY()-28</f>
        <v>44924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 t="s">
        <v>21</v>
      </c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1"/>
      <c r="B7" s="42" t="s">
        <v>22</v>
      </c>
      <c r="C7" s="43" t="s">
        <v>19</v>
      </c>
      <c r="D7" s="44">
        <v>100.0</v>
      </c>
      <c r="E7" s="43"/>
      <c r="F7" s="43" t="s">
        <v>23</v>
      </c>
      <c r="G7" s="43"/>
      <c r="H7" s="43"/>
      <c r="I7" s="43"/>
      <c r="J7" s="45">
        <v>2.0</v>
      </c>
      <c r="K7" s="43"/>
      <c r="L7" s="43"/>
      <c r="M7" s="43"/>
      <c r="N7" s="46">
        <f t="shared" ref="N7:N20" si="1">TODAY()-1</f>
        <v>44951</v>
      </c>
      <c r="O7" s="43"/>
      <c r="P7" s="43"/>
      <c r="Q7" s="43"/>
      <c r="R7" s="43"/>
      <c r="S7" s="43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 t="s">
        <v>21</v>
      </c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3"/>
      <c r="B8" s="43" t="s">
        <v>24</v>
      </c>
      <c r="C8" s="43" t="s">
        <v>19</v>
      </c>
      <c r="D8" s="45">
        <v>100.0</v>
      </c>
      <c r="E8" s="43"/>
      <c r="F8" s="43" t="s">
        <v>23</v>
      </c>
      <c r="G8" s="43"/>
      <c r="H8" s="43"/>
      <c r="I8" s="43"/>
      <c r="J8" s="45">
        <v>2.0</v>
      </c>
      <c r="K8" s="43"/>
      <c r="L8" s="43"/>
      <c r="M8" s="43"/>
      <c r="N8" s="46">
        <f t="shared" si="1"/>
        <v>44951</v>
      </c>
      <c r="O8" s="43"/>
      <c r="P8" s="43"/>
      <c r="Q8" s="43"/>
      <c r="R8" s="43"/>
      <c r="S8" s="43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 t="s">
        <v>21</v>
      </c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3"/>
      <c r="B9" s="43" t="s">
        <v>25</v>
      </c>
      <c r="C9" s="43" t="s">
        <v>19</v>
      </c>
      <c r="D9" s="45">
        <v>100.0</v>
      </c>
      <c r="E9" s="43"/>
      <c r="F9" s="43" t="s">
        <v>23</v>
      </c>
      <c r="G9" s="43"/>
      <c r="H9" s="43"/>
      <c r="I9" s="43"/>
      <c r="J9" s="45">
        <v>2.0</v>
      </c>
      <c r="K9" s="43"/>
      <c r="L9" s="43"/>
      <c r="M9" s="43"/>
      <c r="N9" s="46">
        <f t="shared" si="1"/>
        <v>44951</v>
      </c>
      <c r="O9" s="43"/>
      <c r="P9" s="43"/>
      <c r="Q9" s="43"/>
      <c r="R9" s="43"/>
      <c r="S9" s="43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 t="s">
        <v>21</v>
      </c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3"/>
      <c r="B10" s="43" t="s">
        <v>26</v>
      </c>
      <c r="C10" s="43" t="s">
        <v>19</v>
      </c>
      <c r="D10" s="45">
        <v>100.0</v>
      </c>
      <c r="E10" s="43"/>
      <c r="F10" s="43" t="s">
        <v>23</v>
      </c>
      <c r="G10" s="43"/>
      <c r="H10" s="43"/>
      <c r="I10" s="43"/>
      <c r="J10" s="45">
        <v>2.0</v>
      </c>
      <c r="K10" s="43"/>
      <c r="L10" s="43"/>
      <c r="M10" s="43"/>
      <c r="N10" s="46">
        <f t="shared" si="1"/>
        <v>44951</v>
      </c>
      <c r="O10" s="43"/>
      <c r="P10" s="43"/>
      <c r="Q10" s="43"/>
      <c r="R10" s="43"/>
      <c r="S10" s="43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 t="s">
        <v>21</v>
      </c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3"/>
      <c r="B11" s="43" t="s">
        <v>27</v>
      </c>
      <c r="C11" s="43" t="s">
        <v>19</v>
      </c>
      <c r="D11" s="45">
        <v>100.0</v>
      </c>
      <c r="E11" s="43"/>
      <c r="F11" s="43" t="s">
        <v>23</v>
      </c>
      <c r="G11" s="43"/>
      <c r="H11" s="43"/>
      <c r="I11" s="43"/>
      <c r="J11" s="45">
        <v>2.0</v>
      </c>
      <c r="K11" s="43"/>
      <c r="L11" s="43"/>
      <c r="M11" s="43"/>
      <c r="N11" s="46">
        <f t="shared" si="1"/>
        <v>44951</v>
      </c>
      <c r="O11" s="43"/>
      <c r="P11" s="43"/>
      <c r="Q11" s="43"/>
      <c r="R11" s="43"/>
      <c r="S11" s="43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 t="s">
        <v>21</v>
      </c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3"/>
      <c r="B12" s="43" t="s">
        <v>28</v>
      </c>
      <c r="C12" s="43" t="s">
        <v>19</v>
      </c>
      <c r="D12" s="45">
        <v>100.0</v>
      </c>
      <c r="E12" s="43"/>
      <c r="F12" s="43" t="s">
        <v>23</v>
      </c>
      <c r="G12" s="43"/>
      <c r="H12" s="43"/>
      <c r="I12" s="43"/>
      <c r="J12" s="45">
        <v>2.0</v>
      </c>
      <c r="K12" s="43"/>
      <c r="L12" s="43"/>
      <c r="M12" s="43"/>
      <c r="N12" s="46">
        <f t="shared" si="1"/>
        <v>44951</v>
      </c>
      <c r="O12" s="43"/>
      <c r="P12" s="43"/>
      <c r="Q12" s="43"/>
      <c r="R12" s="43"/>
      <c r="S12" s="43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 t="s">
        <v>21</v>
      </c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3"/>
      <c r="B13" s="47">
        <v>1.23456789E8</v>
      </c>
      <c r="C13" s="43" t="s">
        <v>19</v>
      </c>
      <c r="D13" s="45">
        <v>100.0</v>
      </c>
      <c r="E13" s="43"/>
      <c r="F13" s="43" t="s">
        <v>23</v>
      </c>
      <c r="G13" s="43"/>
      <c r="H13" s="43"/>
      <c r="I13" s="43"/>
      <c r="J13" s="45">
        <v>2.0</v>
      </c>
      <c r="K13" s="43"/>
      <c r="L13" s="43"/>
      <c r="M13" s="43"/>
      <c r="N13" s="46">
        <f t="shared" si="1"/>
        <v>44951</v>
      </c>
      <c r="O13" s="43"/>
      <c r="P13" s="43"/>
      <c r="Q13" s="43"/>
      <c r="R13" s="43"/>
      <c r="S13" s="43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 t="s">
        <v>21</v>
      </c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3"/>
      <c r="B14" s="43" t="s">
        <v>22</v>
      </c>
      <c r="C14" s="43" t="s">
        <v>19</v>
      </c>
      <c r="D14" s="45">
        <v>100.0</v>
      </c>
      <c r="E14" s="47">
        <v>0.0</v>
      </c>
      <c r="F14" s="43" t="s">
        <v>23</v>
      </c>
      <c r="G14" s="43"/>
      <c r="H14" s="43"/>
      <c r="I14" s="43"/>
      <c r="J14" s="45">
        <v>2.0</v>
      </c>
      <c r="K14" s="43"/>
      <c r="L14" s="43"/>
      <c r="M14" s="43"/>
      <c r="N14" s="46">
        <f t="shared" si="1"/>
        <v>44951</v>
      </c>
      <c r="O14" s="43"/>
      <c r="P14" s="43"/>
      <c r="Q14" s="43"/>
      <c r="R14" s="43"/>
      <c r="S14" s="43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 t="s">
        <v>21</v>
      </c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3"/>
      <c r="B15" s="43" t="s">
        <v>24</v>
      </c>
      <c r="C15" s="43" t="s">
        <v>19</v>
      </c>
      <c r="D15" s="45">
        <v>100.0</v>
      </c>
      <c r="E15" s="47">
        <v>0.0</v>
      </c>
      <c r="F15" s="43" t="s">
        <v>23</v>
      </c>
      <c r="G15" s="43"/>
      <c r="H15" s="43"/>
      <c r="I15" s="43"/>
      <c r="J15" s="45">
        <v>2.0</v>
      </c>
      <c r="K15" s="43"/>
      <c r="L15" s="43"/>
      <c r="M15" s="43"/>
      <c r="N15" s="46">
        <f t="shared" si="1"/>
        <v>44951</v>
      </c>
      <c r="O15" s="43"/>
      <c r="P15" s="43"/>
      <c r="Q15" s="43"/>
      <c r="R15" s="43"/>
      <c r="S15" s="43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 t="s">
        <v>21</v>
      </c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3"/>
      <c r="B16" s="43" t="s">
        <v>25</v>
      </c>
      <c r="C16" s="43" t="s">
        <v>19</v>
      </c>
      <c r="D16" s="45">
        <v>100.0</v>
      </c>
      <c r="E16" s="47">
        <v>0.0</v>
      </c>
      <c r="F16" s="43" t="s">
        <v>23</v>
      </c>
      <c r="G16" s="43"/>
      <c r="H16" s="43"/>
      <c r="I16" s="43"/>
      <c r="J16" s="45">
        <v>2.0</v>
      </c>
      <c r="K16" s="43"/>
      <c r="L16" s="43"/>
      <c r="M16" s="43"/>
      <c r="N16" s="46">
        <f t="shared" si="1"/>
        <v>44951</v>
      </c>
      <c r="O16" s="43"/>
      <c r="P16" s="43"/>
      <c r="Q16" s="43"/>
      <c r="R16" s="43"/>
      <c r="S16" s="43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 t="s">
        <v>21</v>
      </c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3"/>
      <c r="B17" s="43" t="s">
        <v>26</v>
      </c>
      <c r="C17" s="43" t="s">
        <v>19</v>
      </c>
      <c r="D17" s="45">
        <v>100.0</v>
      </c>
      <c r="E17" s="47">
        <v>0.0</v>
      </c>
      <c r="F17" s="43" t="s">
        <v>23</v>
      </c>
      <c r="G17" s="43"/>
      <c r="H17" s="43"/>
      <c r="I17" s="43"/>
      <c r="J17" s="45">
        <v>2.0</v>
      </c>
      <c r="K17" s="43"/>
      <c r="L17" s="43"/>
      <c r="M17" s="43"/>
      <c r="N17" s="46">
        <f t="shared" si="1"/>
        <v>44951</v>
      </c>
      <c r="O17" s="43"/>
      <c r="P17" s="43"/>
      <c r="Q17" s="43"/>
      <c r="R17" s="43"/>
      <c r="S17" s="43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 t="s">
        <v>21</v>
      </c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43"/>
      <c r="B18" s="43" t="s">
        <v>27</v>
      </c>
      <c r="C18" s="43" t="s">
        <v>19</v>
      </c>
      <c r="D18" s="45">
        <v>100.0</v>
      </c>
      <c r="E18" s="47">
        <v>0.0</v>
      </c>
      <c r="F18" s="43" t="s">
        <v>23</v>
      </c>
      <c r="G18" s="43"/>
      <c r="H18" s="43"/>
      <c r="I18" s="43"/>
      <c r="J18" s="45">
        <v>2.0</v>
      </c>
      <c r="K18" s="43"/>
      <c r="L18" s="43"/>
      <c r="M18" s="43"/>
      <c r="N18" s="46">
        <f t="shared" si="1"/>
        <v>44951</v>
      </c>
      <c r="O18" s="43"/>
      <c r="P18" s="43"/>
      <c r="Q18" s="43"/>
      <c r="R18" s="43"/>
      <c r="S18" s="43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 t="s">
        <v>21</v>
      </c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</row>
    <row r="19" ht="15.75" customHeight="1">
      <c r="A19" s="43"/>
      <c r="B19" s="43" t="s">
        <v>28</v>
      </c>
      <c r="C19" s="43" t="s">
        <v>19</v>
      </c>
      <c r="D19" s="45">
        <v>100.0</v>
      </c>
      <c r="E19" s="47">
        <v>0.0</v>
      </c>
      <c r="F19" s="43" t="s">
        <v>23</v>
      </c>
      <c r="G19" s="43"/>
      <c r="H19" s="43"/>
      <c r="I19" s="43"/>
      <c r="J19" s="45">
        <v>2.0</v>
      </c>
      <c r="K19" s="43"/>
      <c r="L19" s="43"/>
      <c r="M19" s="43"/>
      <c r="N19" s="46">
        <f t="shared" si="1"/>
        <v>44951</v>
      </c>
      <c r="O19" s="43"/>
      <c r="P19" s="43"/>
      <c r="Q19" s="43"/>
      <c r="R19" s="43"/>
      <c r="S19" s="43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 t="s">
        <v>21</v>
      </c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</row>
    <row r="20" ht="15.75" customHeight="1">
      <c r="A20" s="43"/>
      <c r="B20" s="47">
        <v>1.23456789E8</v>
      </c>
      <c r="C20" s="43" t="s">
        <v>19</v>
      </c>
      <c r="D20" s="45">
        <v>100.0</v>
      </c>
      <c r="E20" s="47">
        <v>0.0</v>
      </c>
      <c r="F20" s="43" t="s">
        <v>23</v>
      </c>
      <c r="G20" s="43"/>
      <c r="H20" s="43"/>
      <c r="I20" s="43"/>
      <c r="J20" s="45">
        <v>2.0</v>
      </c>
      <c r="K20" s="43"/>
      <c r="L20" s="43"/>
      <c r="M20" s="43"/>
      <c r="N20" s="46">
        <f t="shared" si="1"/>
        <v>44951</v>
      </c>
      <c r="O20" s="43"/>
      <c r="P20" s="43"/>
      <c r="Q20" s="43"/>
      <c r="R20" s="43"/>
      <c r="S20" s="43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 t="s">
        <v>21</v>
      </c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</row>
    <row r="21" ht="15.75" customHeight="1">
      <c r="A21" s="8"/>
      <c r="B21" s="13" t="s">
        <v>22</v>
      </c>
      <c r="C21" s="13" t="s">
        <v>19</v>
      </c>
      <c r="D21" s="13">
        <v>100.0</v>
      </c>
      <c r="E21" s="8"/>
      <c r="F21" s="13" t="s">
        <v>29</v>
      </c>
      <c r="G21" s="8"/>
      <c r="H21" s="8"/>
      <c r="I21" s="8"/>
      <c r="J21" s="13">
        <v>2.0</v>
      </c>
      <c r="K21" s="8"/>
      <c r="L21" s="8"/>
      <c r="M21" s="8"/>
      <c r="N21" s="8"/>
      <c r="O21" s="8"/>
      <c r="AQ21" s="9" t="s">
        <v>21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22</v>
      </c>
      <c r="C6" s="43" t="s">
        <v>19</v>
      </c>
      <c r="D6" s="44">
        <v>100.0</v>
      </c>
      <c r="E6" s="43"/>
      <c r="F6" s="43" t="s">
        <v>23</v>
      </c>
      <c r="G6" s="43"/>
      <c r="H6" s="43"/>
      <c r="I6" s="43"/>
      <c r="J6" s="45">
        <v>2.0</v>
      </c>
      <c r="K6" s="43"/>
      <c r="L6" s="43"/>
      <c r="M6" s="43"/>
      <c r="N6" s="48"/>
      <c r="O6" s="43"/>
      <c r="P6" s="43"/>
      <c r="Q6" s="43"/>
      <c r="R6" s="43"/>
      <c r="S6" s="4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3"/>
      <c r="B7" s="43" t="s">
        <v>24</v>
      </c>
      <c r="C7" s="43" t="s">
        <v>19</v>
      </c>
      <c r="D7" s="45">
        <v>100.0</v>
      </c>
      <c r="E7" s="43"/>
      <c r="F7" s="43" t="s">
        <v>23</v>
      </c>
      <c r="G7" s="43"/>
      <c r="H7" s="43"/>
      <c r="I7" s="43"/>
      <c r="J7" s="45">
        <v>2.0</v>
      </c>
      <c r="K7" s="43"/>
      <c r="L7" s="43"/>
      <c r="M7" s="43"/>
      <c r="N7" s="48"/>
      <c r="O7" s="43"/>
      <c r="P7" s="43"/>
      <c r="Q7" s="43"/>
      <c r="R7" s="43"/>
      <c r="S7" s="43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3"/>
      <c r="B8" s="43" t="s">
        <v>25</v>
      </c>
      <c r="C8" s="43" t="s">
        <v>19</v>
      </c>
      <c r="D8" s="45">
        <v>100.0</v>
      </c>
      <c r="E8" s="43"/>
      <c r="F8" s="43" t="s">
        <v>23</v>
      </c>
      <c r="G8" s="43"/>
      <c r="H8" s="43"/>
      <c r="I8" s="43"/>
      <c r="J8" s="45">
        <v>2.0</v>
      </c>
      <c r="K8" s="43"/>
      <c r="L8" s="43"/>
      <c r="M8" s="43"/>
      <c r="N8" s="48"/>
      <c r="O8" s="43"/>
      <c r="P8" s="43"/>
      <c r="Q8" s="43"/>
      <c r="R8" s="43"/>
      <c r="S8" s="43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3"/>
      <c r="B9" s="43" t="s">
        <v>26</v>
      </c>
      <c r="C9" s="43" t="s">
        <v>19</v>
      </c>
      <c r="D9" s="45">
        <v>100.0</v>
      </c>
      <c r="E9" s="43"/>
      <c r="F9" s="43" t="s">
        <v>23</v>
      </c>
      <c r="G9" s="43"/>
      <c r="H9" s="43"/>
      <c r="I9" s="43"/>
      <c r="J9" s="45">
        <v>2.0</v>
      </c>
      <c r="K9" s="43"/>
      <c r="L9" s="43"/>
      <c r="M9" s="43"/>
      <c r="N9" s="48"/>
      <c r="O9" s="43"/>
      <c r="P9" s="43"/>
      <c r="Q9" s="43"/>
      <c r="R9" s="43"/>
      <c r="S9" s="43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3"/>
      <c r="B10" s="43" t="s">
        <v>27</v>
      </c>
      <c r="C10" s="43" t="s">
        <v>19</v>
      </c>
      <c r="D10" s="45">
        <v>100.0</v>
      </c>
      <c r="E10" s="43"/>
      <c r="F10" s="43" t="s">
        <v>23</v>
      </c>
      <c r="G10" s="43"/>
      <c r="H10" s="43"/>
      <c r="I10" s="43"/>
      <c r="J10" s="45">
        <v>2.0</v>
      </c>
      <c r="K10" s="43"/>
      <c r="L10" s="43"/>
      <c r="M10" s="43"/>
      <c r="N10" s="48"/>
      <c r="O10" s="43"/>
      <c r="P10" s="43"/>
      <c r="Q10" s="43"/>
      <c r="R10" s="43"/>
      <c r="S10" s="43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3"/>
      <c r="B11" s="43" t="s">
        <v>28</v>
      </c>
      <c r="C11" s="43" t="s">
        <v>19</v>
      </c>
      <c r="D11" s="45">
        <v>100.0</v>
      </c>
      <c r="E11" s="43"/>
      <c r="F11" s="43" t="s">
        <v>23</v>
      </c>
      <c r="G11" s="43"/>
      <c r="H11" s="43"/>
      <c r="I11" s="43"/>
      <c r="J11" s="45">
        <v>2.0</v>
      </c>
      <c r="K11" s="43"/>
      <c r="L11" s="43"/>
      <c r="M11" s="43"/>
      <c r="N11" s="48"/>
      <c r="O11" s="43"/>
      <c r="P11" s="43"/>
      <c r="Q11" s="43"/>
      <c r="R11" s="43"/>
      <c r="S11" s="43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3"/>
      <c r="B12" s="47">
        <v>1.23456789E8</v>
      </c>
      <c r="C12" s="43" t="s">
        <v>19</v>
      </c>
      <c r="D12" s="45">
        <v>100.0</v>
      </c>
      <c r="E12" s="43"/>
      <c r="F12" s="43" t="s">
        <v>23</v>
      </c>
      <c r="G12" s="43"/>
      <c r="H12" s="43"/>
      <c r="I12" s="43"/>
      <c r="J12" s="45">
        <v>2.0</v>
      </c>
      <c r="K12" s="43"/>
      <c r="L12" s="43"/>
      <c r="M12" s="43"/>
      <c r="N12" s="48"/>
      <c r="O12" s="43"/>
      <c r="P12" s="43"/>
      <c r="Q12" s="43"/>
      <c r="R12" s="43"/>
      <c r="S12" s="43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22</v>
      </c>
      <c r="C6" s="45">
        <v>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24</v>
      </c>
      <c r="C7" s="49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25</v>
      </c>
      <c r="C8" s="49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26</v>
      </c>
      <c r="C9" s="49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27</v>
      </c>
      <c r="C10" s="49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28</v>
      </c>
      <c r="C11" s="49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>
        <v>1.23456789E8</v>
      </c>
      <c r="C12" s="49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32</v>
      </c>
      <c r="C13" s="13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6">
        <f t="shared" ref="B6:C6" si="1">TODAY()-1</f>
        <v>44951</v>
      </c>
      <c r="C6" s="46">
        <f t="shared" si="1"/>
        <v>44951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>
        <v>1.23456789E8</v>
      </c>
      <c r="C6" s="38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5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24</v>
      </c>
      <c r="C8" s="49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25</v>
      </c>
      <c r="C9" s="49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26</v>
      </c>
      <c r="C10" s="49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27</v>
      </c>
      <c r="C11" s="49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28</v>
      </c>
      <c r="C12" s="49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3" t="s">
        <v>32</v>
      </c>
      <c r="C13" s="54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6">
        <f t="shared" ref="B6:C6" si="1">TODAY()-1</f>
        <v>44951</v>
      </c>
      <c r="C6" s="46">
        <f t="shared" si="1"/>
        <v>44951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55" t="s">
        <v>37</v>
      </c>
      <c r="C6" s="56" t="s">
        <v>38</v>
      </c>
      <c r="D6" s="42" t="s">
        <v>39</v>
      </c>
      <c r="E6" s="45">
        <v>1.2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57">
        <f>today()-1</f>
        <v>44951</v>
      </c>
      <c r="D6" s="57">
        <f>today()</f>
        <v>44952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/>
      <c r="C6" s="58">
        <v>0.0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55" t="s">
        <v>25</v>
      </c>
      <c r="C6" s="45">
        <v>100.0</v>
      </c>
      <c r="D6" s="42"/>
      <c r="E6" s="43" t="s">
        <v>23</v>
      </c>
      <c r="F6" s="43" t="s">
        <v>19</v>
      </c>
      <c r="G6" s="43"/>
      <c r="H6" s="45">
        <v>2.0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/>
      <c r="C6" s="43" t="s">
        <v>47</v>
      </c>
      <c r="D6" s="59" t="s">
        <v>22</v>
      </c>
      <c r="E6" s="43"/>
      <c r="F6" s="59" t="s">
        <v>23</v>
      </c>
      <c r="G6" s="59" t="s">
        <v>37</v>
      </c>
      <c r="H6" s="60">
        <v>100000.0</v>
      </c>
      <c r="I6" s="61">
        <f>today()-2</f>
        <v>44950</v>
      </c>
      <c r="J6" s="61">
        <f>today()+8</f>
        <v>44960</v>
      </c>
      <c r="K6" s="61"/>
      <c r="L6" s="61"/>
      <c r="M6" s="43"/>
      <c r="N6" s="43"/>
      <c r="O6" s="47"/>
      <c r="P6" s="43"/>
      <c r="Q6" s="43"/>
      <c r="R6" s="43"/>
      <c r="S6" s="4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50</v>
      </c>
      <c r="C6" s="13" t="s">
        <v>51</v>
      </c>
      <c r="D6" s="13" t="s">
        <v>52</v>
      </c>
      <c r="E6" s="13" t="s">
        <v>22</v>
      </c>
      <c r="F6" s="13" t="s">
        <v>53</v>
      </c>
      <c r="G6" s="13" t="s">
        <v>53</v>
      </c>
      <c r="H6" s="13" t="s">
        <v>54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50</v>
      </c>
      <c r="C7" s="13" t="s">
        <v>55</v>
      </c>
      <c r="D7" s="13" t="s">
        <v>56</v>
      </c>
      <c r="E7" s="13" t="s">
        <v>57</v>
      </c>
      <c r="F7" s="13" t="s">
        <v>53</v>
      </c>
      <c r="G7" s="13" t="s">
        <v>53</v>
      </c>
      <c r="H7" s="13" t="s">
        <v>58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50</v>
      </c>
      <c r="C8" s="13" t="s">
        <v>59</v>
      </c>
      <c r="D8" s="13" t="s">
        <v>60</v>
      </c>
      <c r="E8" s="13" t="s">
        <v>61</v>
      </c>
      <c r="F8" s="13" t="s">
        <v>53</v>
      </c>
      <c r="G8" s="13" t="s">
        <v>53</v>
      </c>
      <c r="H8" s="13" t="s">
        <v>62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2"/>
      <c r="B6" s="62" t="s">
        <v>22</v>
      </c>
      <c r="C6" s="62" t="s">
        <v>64</v>
      </c>
      <c r="D6" s="62" t="s">
        <v>65</v>
      </c>
      <c r="E6" s="63">
        <v>12.0</v>
      </c>
      <c r="F6" s="63">
        <v>20.0</v>
      </c>
      <c r="G6" s="62" t="s">
        <v>66</v>
      </c>
      <c r="H6" s="62" t="s">
        <v>67</v>
      </c>
      <c r="I6" s="62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64">
        <v>20.0</v>
      </c>
      <c r="E6" s="32"/>
      <c r="F6" s="8"/>
      <c r="G6" s="13"/>
      <c r="H6" s="64" t="s">
        <v>70</v>
      </c>
      <c r="I6" s="8"/>
      <c r="J6" s="13" t="s">
        <v>22</v>
      </c>
      <c r="K6" s="8"/>
      <c r="L6" s="8"/>
      <c r="M6" s="8"/>
      <c r="N6" s="8"/>
      <c r="O6" s="8"/>
      <c r="AH6" s="64" t="s">
        <v>71</v>
      </c>
      <c r="AI6" s="9" t="s">
        <v>22</v>
      </c>
      <c r="AJ6" s="9" t="s">
        <v>19</v>
      </c>
      <c r="AK6" s="64" t="s">
        <v>72</v>
      </c>
      <c r="AL6" s="65">
        <v>2744.0</v>
      </c>
      <c r="AT6" s="9" t="s">
        <v>23</v>
      </c>
      <c r="AU6" s="9" t="s">
        <v>73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2" t="s">
        <v>23</v>
      </c>
      <c r="C6" s="13">
        <v>457486.67</v>
      </c>
      <c r="D6" s="63">
        <v>100.0</v>
      </c>
      <c r="E6" s="63">
        <v>2000.0</v>
      </c>
      <c r="F6" s="63"/>
      <c r="G6" s="13">
        <v>12.0</v>
      </c>
      <c r="H6" s="63"/>
      <c r="I6" s="13">
        <v>2744.0</v>
      </c>
      <c r="J6" s="13">
        <v>2844.0</v>
      </c>
      <c r="K6" s="13">
        <v>56880.0</v>
      </c>
      <c r="L6" s="63">
        <v>100.0</v>
      </c>
      <c r="M6" s="6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>
        <v>3000.0</v>
      </c>
      <c r="E6" s="32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21</v>
      </c>
      <c r="AX6" s="9" t="s">
        <v>76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57">
        <f>today()</f>
        <v>44952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50</v>
      </c>
      <c r="C6" s="13" t="s">
        <v>51</v>
      </c>
      <c r="D6" s="13" t="s">
        <v>52</v>
      </c>
      <c r="E6" s="13" t="s">
        <v>22</v>
      </c>
      <c r="F6" s="13" t="s">
        <v>53</v>
      </c>
      <c r="G6" s="13" t="s">
        <v>53</v>
      </c>
      <c r="H6" s="13" t="s">
        <v>79</v>
      </c>
      <c r="I6" s="8"/>
      <c r="J6" s="8"/>
      <c r="K6" s="13" t="s">
        <v>21</v>
      </c>
      <c r="L6" s="8"/>
      <c r="M6" s="9" t="s">
        <v>76</v>
      </c>
      <c r="N6" s="8"/>
      <c r="O6" s="8"/>
    </row>
    <row r="7" ht="15.75" customHeight="1">
      <c r="A7" s="8"/>
      <c r="B7" s="13" t="s">
        <v>50</v>
      </c>
      <c r="C7" s="13" t="s">
        <v>55</v>
      </c>
      <c r="D7" s="13" t="s">
        <v>56</v>
      </c>
      <c r="E7" s="13" t="s">
        <v>57</v>
      </c>
      <c r="F7" s="13" t="s">
        <v>53</v>
      </c>
      <c r="G7" s="13" t="s">
        <v>53</v>
      </c>
      <c r="H7" s="13" t="s">
        <v>80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50</v>
      </c>
      <c r="C8" s="13" t="s">
        <v>59</v>
      </c>
      <c r="D8" s="13" t="s">
        <v>60</v>
      </c>
      <c r="E8" s="13" t="s">
        <v>61</v>
      </c>
      <c r="F8" s="13" t="s">
        <v>53</v>
      </c>
      <c r="G8" s="13" t="s">
        <v>53</v>
      </c>
      <c r="H8" s="13" t="s">
        <v>81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57">
        <f>today()-3</f>
        <v>44949</v>
      </c>
      <c r="E6" s="57">
        <f>today()</f>
        <v>44952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2"/>
      <c r="F6" s="13" t="s">
        <v>19</v>
      </c>
      <c r="G6" s="13" t="s">
        <v>72</v>
      </c>
      <c r="H6" s="13">
        <v>2744.0</v>
      </c>
      <c r="I6" s="8"/>
      <c r="J6" s="8"/>
      <c r="K6" s="8"/>
      <c r="L6" s="13">
        <v>2744.0</v>
      </c>
      <c r="M6" s="8"/>
      <c r="N6" s="13">
        <v>20.0</v>
      </c>
      <c r="O6" s="8"/>
      <c r="P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6" t="s">
        <v>86</v>
      </c>
      <c r="C6" s="67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6" t="s">
        <v>87</v>
      </c>
      <c r="C7" s="67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 t="s">
        <v>23</v>
      </c>
      <c r="C6" s="68" t="s">
        <v>37</v>
      </c>
      <c r="D6" s="69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29</v>
      </c>
      <c r="C7" s="40" t="s">
        <v>37</v>
      </c>
      <c r="D7" s="49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2" t="s">
        <v>22</v>
      </c>
      <c r="C6" s="62" t="s">
        <v>64</v>
      </c>
      <c r="D6" s="62" t="s">
        <v>65</v>
      </c>
      <c r="E6" s="63">
        <v>12.0</v>
      </c>
      <c r="F6" s="63">
        <v>20.0</v>
      </c>
      <c r="G6" s="62" t="s">
        <v>66</v>
      </c>
      <c r="H6" s="62" t="s">
        <v>67</v>
      </c>
      <c r="I6" s="62" t="s">
        <v>23</v>
      </c>
      <c r="J6" s="13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