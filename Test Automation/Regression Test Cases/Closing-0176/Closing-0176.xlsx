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<sst xmlns="http://schemas.openxmlformats.org/spreadsheetml/2006/main" count="218" uniqueCount="58">
  <si>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</si>
  <si>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</si>
  <si>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</si>
  <si>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</si>
  <si>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</si>
  <si>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</si>
  <si>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</si>
  <si>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</si>
  <si>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</si>
  <si>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</si>
  <si>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</si>
  <si>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</si>
  <si>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</si>
  <si>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</si>
  <si>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</si>
  <si>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</si>
  <si>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13N715.00</t>
  </si>
  <si>
    <t>Closing</t>
  </si>
  <si>
    <t>SetClosingPreference</t>
  </si>
  <si>
    <t>TradingTicket</t>
  </si>
  <si>
    <t>CreateDoneAwayOrder</t>
  </si>
  <si>
    <t>AAPL</t>
  </si>
  <si>
    <t>Sell</t>
  </si>
  <si>
    <t>Allocation1</t>
  </si>
  <si>
    <t>MS</t>
  </si>
  <si>
    <t>Buy to Close</t>
  </si>
  <si>
    <t>O:AAPL 13N715.00</t>
  </si>
  <si>
    <t>Buy to Open</t>
  </si>
  <si>
    <t>DailyValuation</t>
  </si>
  <si>
    <t>GetMarkPriceData</t>
  </si>
  <si>
    <t>UpdateMarkPrice</t>
  </si>
  <si>
    <t>GetDataClosing</t>
  </si>
  <si>
    <t>SelectTradeUnexpiredUnsettled</t>
  </si>
  <si>
    <t>Open</t>
  </si>
  <si>
    <t>ExerciseAssignment</t>
  </si>
  <si>
    <t>VerifyExpiredSettledGrid</t>
  </si>
  <si>
    <t>Exercise</t>
  </si>
  <si>
    <t>Long</t>
  </si>
  <si>
    <t>Allocation</t>
  </si>
  <si>
    <t>GetDataAllocation</t>
  </si>
  <si>
    <t>Historical</t>
  </si>
  <si>
    <t>1/1/1800</t>
  </si>
  <si>
    <t>CheckAllocatedGroups</t>
  </si>
  <si>
    <t/>
  </si>
  <si>
    <t>Equity</t>
  </si>
  <si>
    <t>USD</t>
  </si>
  <si>
    <t>US</t>
  </si>
  <si>
    <t>EquityOption</t>
  </si>
  <si>
    <t>Closed</t>
  </si>
  <si>
    <t>Sell to Close</t>
  </si>
  <si>
    <t>Sell short</t>
  </si>
  <si>
    <t>PortfolioManagement</t>
  </si>
  <si>
    <t>CheckPortfolioManagement</t>
  </si>
  <si>
    <t>NewMF</t>
  </si>
  <si>
    <t>Short</t>
  </si>
  <si>
    <t>APPLE</t>
  </si>
  <si>
    <t>NASDAQ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</si>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</sst>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6" fillId="0" fontId="5" numFmtId="16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44682.0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8" t="s">
        <v>22</v>
      </c>
      <c r="D6" s="39">
        <v>100.0</v>
      </c>
      <c r="E6" s="40">
        <v>100.0</v>
      </c>
      <c r="F6" s="38" t="s">
        <v>23</v>
      </c>
      <c r="G6" s="38" t="s">
        <v>24</v>
      </c>
      <c r="H6" s="38"/>
      <c r="I6" s="38"/>
      <c r="J6" s="40">
        <v>10.0</v>
      </c>
      <c r="K6" s="38"/>
      <c r="L6" s="38"/>
      <c r="M6" s="38"/>
      <c r="N6" s="32">
        <v>44682.0</v>
      </c>
      <c r="O6" s="40">
        <v>1.0</v>
      </c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21</v>
      </c>
      <c r="C7" s="41" t="s">
        <v>25</v>
      </c>
      <c r="D7" s="40">
        <v>50.0</v>
      </c>
      <c r="E7" s="40">
        <v>50.0</v>
      </c>
      <c r="F7" s="38" t="s">
        <v>23</v>
      </c>
      <c r="G7" s="38" t="s">
        <v>24</v>
      </c>
      <c r="H7" s="38"/>
      <c r="I7" s="38"/>
      <c r="J7" s="40">
        <v>10.0</v>
      </c>
      <c r="K7" s="38"/>
      <c r="L7" s="38"/>
      <c r="M7" s="38"/>
      <c r="N7" s="32">
        <v>44682.0</v>
      </c>
      <c r="O7" s="40">
        <v>1.0</v>
      </c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26</v>
      </c>
      <c r="C8" s="38" t="s">
        <v>27</v>
      </c>
      <c r="D8" s="40">
        <v>10.0</v>
      </c>
      <c r="E8" s="38"/>
      <c r="F8" s="38" t="s">
        <v>23</v>
      </c>
      <c r="G8" s="38"/>
      <c r="H8" s="38"/>
      <c r="I8" s="38"/>
      <c r="J8" s="40">
        <v>10.0</v>
      </c>
      <c r="K8" s="38"/>
      <c r="L8" s="38"/>
      <c r="M8" s="38"/>
      <c r="N8" s="32">
        <v>44682.0</v>
      </c>
      <c r="O8" s="40">
        <v>1.0</v>
      </c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>
        <f>TODAY()-1</f>
        <v>44984</v>
      </c>
      <c r="C6" s="42">
        <f>TODAY()</f>
        <v>44985</v>
      </c>
      <c r="D6" s="31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40">
        <v>120.0</v>
      </c>
      <c r="D6" s="31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2">
        <v>44562.0</v>
      </c>
      <c r="D6" s="32">
        <v>44896.0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8"/>
      <c r="D6" s="31"/>
      <c r="E6" s="38"/>
      <c r="F6" s="38"/>
      <c r="G6" s="38"/>
      <c r="H6" s="38"/>
      <c r="I6" s="38"/>
      <c r="J6" s="38"/>
      <c r="K6" s="38" t="s">
        <v>24</v>
      </c>
      <c r="L6" s="38"/>
      <c r="M6" s="38"/>
      <c r="N6" s="38"/>
      <c r="O6" s="38"/>
      <c r="P6" s="38"/>
      <c r="Q6" s="38"/>
      <c r="R6" s="38"/>
      <c r="S6" s="38"/>
      <c r="T6" s="38"/>
      <c r="U6" s="38" t="s">
        <v>33</v>
      </c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 t="s">
        <v>27</v>
      </c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43">
        <v>10.0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44" t="s">
        <v>26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8"/>
      <c r="D6" s="31"/>
      <c r="E6" s="38"/>
      <c r="F6" s="38"/>
      <c r="G6" s="38"/>
      <c r="H6" s="38"/>
      <c r="I6" s="38"/>
      <c r="J6" s="38" t="s">
        <v>36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 t="s">
        <v>37</v>
      </c>
      <c r="X6" s="38"/>
      <c r="Y6" s="38"/>
      <c r="Z6" s="38" t="s">
        <v>27</v>
      </c>
      <c r="AA6" s="38"/>
      <c r="AB6" s="44" t="s">
        <v>26</v>
      </c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40</v>
      </c>
      <c r="C6" s="45" t="s">
        <v>41</v>
      </c>
      <c r="D6" s="46">
        <f>today()</f>
        <v>44985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23</v>
      </c>
      <c r="C6" s="38" t="s">
        <v>43</v>
      </c>
      <c r="D6" s="31"/>
      <c r="E6" s="48">
        <v>100.0</v>
      </c>
      <c r="F6" s="38"/>
      <c r="G6" s="47" t="s">
        <v>44</v>
      </c>
      <c r="H6" s="38"/>
      <c r="I6" s="38"/>
      <c r="J6" s="38"/>
      <c r="K6" s="38"/>
      <c r="L6" s="38"/>
      <c r="M6" s="38"/>
      <c r="N6" s="38"/>
      <c r="O6" s="38" t="s">
        <v>24</v>
      </c>
      <c r="P6" s="38"/>
      <c r="Q6" s="43">
        <v>3.0</v>
      </c>
      <c r="R6" s="38"/>
      <c r="S6" s="47" t="s">
        <v>33</v>
      </c>
      <c r="T6" s="38"/>
      <c r="U6" s="38"/>
      <c r="V6" s="38"/>
      <c r="W6" s="38"/>
      <c r="X6" s="38"/>
      <c r="Y6" s="38"/>
      <c r="Z6" s="38" t="s">
        <v>45</v>
      </c>
      <c r="AA6" s="38"/>
      <c r="AB6" s="38"/>
      <c r="AC6" s="38"/>
      <c r="AD6" s="38"/>
      <c r="AE6" s="48">
        <v>100.0</v>
      </c>
      <c r="AF6" s="38" t="s">
        <v>43</v>
      </c>
      <c r="AG6" s="38"/>
      <c r="AH6" s="38"/>
      <c r="AI6" s="43">
        <v>1.0</v>
      </c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49">
        <v>100.0</v>
      </c>
      <c r="BK6" s="38"/>
      <c r="BL6" s="38"/>
      <c r="BM6" s="38" t="s">
        <v>45</v>
      </c>
      <c r="BN6" s="38"/>
      <c r="BO6" s="47" t="s">
        <v>22</v>
      </c>
      <c r="BP6" s="38"/>
      <c r="BQ6" s="38"/>
      <c r="BR6" s="38"/>
      <c r="BS6" s="38"/>
      <c r="BT6" s="47" t="s">
        <v>21</v>
      </c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 t="s">
        <v>46</v>
      </c>
      <c r="CL6" s="43">
        <v>1.0</v>
      </c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7" t="s">
        <v>23</v>
      </c>
      <c r="C7" s="38" t="s">
        <v>43</v>
      </c>
      <c r="D7" s="38"/>
      <c r="E7" s="48">
        <v>50.0</v>
      </c>
      <c r="F7" s="38"/>
      <c r="G7" s="47" t="s">
        <v>44</v>
      </c>
      <c r="H7" s="38"/>
      <c r="I7" s="38"/>
      <c r="J7" s="38"/>
      <c r="K7" s="38"/>
      <c r="L7" s="38"/>
      <c r="M7" s="38"/>
      <c r="N7" s="38"/>
      <c r="O7" s="38" t="s">
        <v>24</v>
      </c>
      <c r="P7" s="38"/>
      <c r="Q7" s="43">
        <v>3.0</v>
      </c>
      <c r="R7" s="38"/>
      <c r="S7" s="47" t="s">
        <v>33</v>
      </c>
      <c r="T7" s="38"/>
      <c r="U7" s="38"/>
      <c r="V7" s="38"/>
      <c r="W7" s="38"/>
      <c r="X7" s="38"/>
      <c r="Y7" s="38"/>
      <c r="Z7" s="38" t="s">
        <v>45</v>
      </c>
      <c r="AA7" s="38"/>
      <c r="AB7" s="38"/>
      <c r="AC7" s="38"/>
      <c r="AD7" s="38"/>
      <c r="AE7" s="48">
        <v>50.0</v>
      </c>
      <c r="AF7" s="38" t="s">
        <v>43</v>
      </c>
      <c r="AG7" s="38"/>
      <c r="AH7" s="38"/>
      <c r="AI7" s="43">
        <v>1.0</v>
      </c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49">
        <v>50.0</v>
      </c>
      <c r="BK7" s="38"/>
      <c r="BL7" s="38"/>
      <c r="BM7" s="38" t="s">
        <v>45</v>
      </c>
      <c r="BN7" s="38"/>
      <c r="BO7" s="47" t="s">
        <v>25</v>
      </c>
      <c r="BP7" s="38"/>
      <c r="BQ7" s="38"/>
      <c r="BR7" s="38"/>
      <c r="BS7" s="38"/>
      <c r="BT7" s="47" t="s">
        <v>21</v>
      </c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 t="s">
        <v>46</v>
      </c>
      <c r="CL7" s="43">
        <v>1.0</v>
      </c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7" t="s">
        <v>23</v>
      </c>
      <c r="C8" s="38" t="s">
        <v>43</v>
      </c>
      <c r="D8" s="38"/>
      <c r="E8" s="48">
        <v>10.0</v>
      </c>
      <c r="F8" s="38"/>
      <c r="G8" s="47" t="s">
        <v>47</v>
      </c>
      <c r="H8" s="38"/>
      <c r="I8" s="38"/>
      <c r="J8" s="38"/>
      <c r="K8" s="38"/>
      <c r="L8" s="38"/>
      <c r="M8" s="38"/>
      <c r="N8" s="38"/>
      <c r="O8" s="38" t="s">
        <v>24</v>
      </c>
      <c r="P8" s="38"/>
      <c r="Q8" s="43">
        <v>3.0</v>
      </c>
      <c r="R8" s="38"/>
      <c r="S8" s="47" t="s">
        <v>48</v>
      </c>
      <c r="T8" s="38"/>
      <c r="U8" s="38"/>
      <c r="V8" s="38"/>
      <c r="W8" s="38"/>
      <c r="X8" s="38"/>
      <c r="Y8" s="38"/>
      <c r="Z8" s="38" t="s">
        <v>45</v>
      </c>
      <c r="AA8" s="38"/>
      <c r="AB8" s="38"/>
      <c r="AC8" s="38"/>
      <c r="AD8" s="38"/>
      <c r="AE8" s="48">
        <v>10.0</v>
      </c>
      <c r="AF8" s="38" t="s">
        <v>43</v>
      </c>
      <c r="AG8" s="38"/>
      <c r="AH8" s="38"/>
      <c r="AI8" s="43">
        <v>1.0</v>
      </c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49">
        <v>10.0</v>
      </c>
      <c r="BK8" s="38"/>
      <c r="BL8" s="38"/>
      <c r="BM8" s="38" t="s">
        <v>45</v>
      </c>
      <c r="BN8" s="38"/>
      <c r="BO8" s="47" t="s">
        <v>27</v>
      </c>
      <c r="BP8" s="38"/>
      <c r="BQ8" s="38"/>
      <c r="BR8" s="38"/>
      <c r="BS8" s="38"/>
      <c r="BT8" s="47" t="s">
        <v>26</v>
      </c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 t="s">
        <v>46</v>
      </c>
      <c r="CL8" s="43">
        <v>1.0</v>
      </c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7" t="s">
        <v>23</v>
      </c>
      <c r="C9" s="38" t="s">
        <v>43</v>
      </c>
      <c r="D9" s="38"/>
      <c r="E9" s="48">
        <v>10.0</v>
      </c>
      <c r="F9" s="38"/>
      <c r="G9" s="47" t="s">
        <v>47</v>
      </c>
      <c r="H9" s="38"/>
      <c r="I9" s="38"/>
      <c r="J9" s="38"/>
      <c r="K9" s="38"/>
      <c r="L9" s="38"/>
      <c r="M9" s="38"/>
      <c r="N9" s="38"/>
      <c r="O9" s="38" t="s">
        <v>24</v>
      </c>
      <c r="P9" s="38"/>
      <c r="Q9" s="43">
        <v>3.0</v>
      </c>
      <c r="R9" s="38"/>
      <c r="S9" s="47" t="s">
        <v>48</v>
      </c>
      <c r="T9" s="38"/>
      <c r="U9" s="38"/>
      <c r="V9" s="38"/>
      <c r="W9" s="38"/>
      <c r="X9" s="38"/>
      <c r="Y9" s="38"/>
      <c r="Z9" s="38" t="s">
        <v>45</v>
      </c>
      <c r="AA9" s="38"/>
      <c r="AB9" s="38"/>
      <c r="AC9" s="38"/>
      <c r="AD9" s="38"/>
      <c r="AE9" s="48">
        <v>10.0</v>
      </c>
      <c r="AF9" s="38" t="s">
        <v>43</v>
      </c>
      <c r="AG9" s="38"/>
      <c r="AH9" s="38"/>
      <c r="AI9" s="43">
        <v>1.0</v>
      </c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49">
        <v>10.0</v>
      </c>
      <c r="BK9" s="38"/>
      <c r="BL9" s="38"/>
      <c r="BM9" s="38" t="s">
        <v>45</v>
      </c>
      <c r="BN9" s="38"/>
      <c r="BO9" s="47" t="s">
        <v>49</v>
      </c>
      <c r="BP9" s="38"/>
      <c r="BQ9" s="38"/>
      <c r="BR9" s="38"/>
      <c r="BS9" s="38"/>
      <c r="BT9" s="47" t="s">
        <v>26</v>
      </c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 t="s">
        <v>46</v>
      </c>
      <c r="CL9" s="43">
        <v>1.0</v>
      </c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47" t="s">
        <v>23</v>
      </c>
      <c r="C10" s="38"/>
      <c r="D10" s="38"/>
      <c r="E10" s="50">
        <v>1000.0</v>
      </c>
      <c r="F10" s="38"/>
      <c r="G10" s="47" t="s">
        <v>44</v>
      </c>
      <c r="H10" s="38"/>
      <c r="I10" s="38"/>
      <c r="J10" s="38"/>
      <c r="K10" s="38"/>
      <c r="L10" s="38"/>
      <c r="M10" s="38"/>
      <c r="N10" s="38"/>
      <c r="O10" s="38" t="s">
        <v>24</v>
      </c>
      <c r="P10" s="38"/>
      <c r="Q10" s="43">
        <v>3.0</v>
      </c>
      <c r="R10" s="38"/>
      <c r="S10" s="47" t="s">
        <v>33</v>
      </c>
      <c r="T10" s="38"/>
      <c r="U10" s="38"/>
      <c r="V10" s="38"/>
      <c r="W10" s="38"/>
      <c r="X10" s="38"/>
      <c r="Y10" s="38"/>
      <c r="Z10" s="38" t="s">
        <v>45</v>
      </c>
      <c r="AA10" s="38"/>
      <c r="AB10" s="38"/>
      <c r="AC10" s="38"/>
      <c r="AD10" s="38"/>
      <c r="AE10" s="50">
        <v>1000.0</v>
      </c>
      <c r="AF10" s="38"/>
      <c r="AG10" s="38"/>
      <c r="AH10" s="38"/>
      <c r="AI10" s="43">
        <v>1.0</v>
      </c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51">
        <v>1000.0</v>
      </c>
      <c r="BK10" s="38"/>
      <c r="BL10" s="38"/>
      <c r="BM10" s="38" t="s">
        <v>45</v>
      </c>
      <c r="BN10" s="38"/>
      <c r="BO10" s="47" t="s">
        <v>50</v>
      </c>
      <c r="BP10" s="38"/>
      <c r="BQ10" s="38"/>
      <c r="BR10" s="38"/>
      <c r="BS10" s="38"/>
      <c r="BT10" s="47" t="s">
        <v>21</v>
      </c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 t="s">
        <v>46</v>
      </c>
      <c r="CL10" s="43">
        <v>1.0</v>
      </c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52" t="s">
        <v>21</v>
      </c>
      <c r="D6" s="53">
        <v>-1000.0</v>
      </c>
      <c r="E6" s="54" t="s">
        <v>23</v>
      </c>
      <c r="F6" s="52" t="s">
        <v>53</v>
      </c>
      <c r="G6" s="52"/>
      <c r="H6" s="52" t="s">
        <v>54</v>
      </c>
      <c r="I6" s="52"/>
      <c r="J6" s="52"/>
      <c r="K6" s="52"/>
      <c r="L6" s="52"/>
      <c r="M6" s="52"/>
      <c r="N6" s="52"/>
      <c r="O6" s="52" t="s">
        <v>55</v>
      </c>
      <c r="P6" s="38"/>
      <c r="Q6" s="38"/>
      <c r="R6" s="38"/>
      <c r="S6" s="38"/>
      <c r="T6" s="38" t="s">
        <v>44</v>
      </c>
      <c r="U6" s="38" t="s">
        <v>46</v>
      </c>
      <c r="V6" s="38" t="s">
        <v>56</v>
      </c>
      <c r="W6" s="38" t="s">
        <v>45</v>
      </c>
      <c r="X6" s="43">
        <v>1.0</v>
      </c>
      <c r="Y6" s="43">
        <v>1.0</v>
      </c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47" t="s">
        <v>50</v>
      </c>
      <c r="AO6" s="38"/>
      <c r="AP6" s="47" t="s">
        <v>54</v>
      </c>
      <c r="AQ6" s="38" t="s">
        <v>21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 t="s">
        <v>24</v>
      </c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44" t="s">
        <v>57</v>
      </c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47" t="s">
        <v>54</v>
      </c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</row>
    <row r="7" ht="15.75" customHeight="1">
      <c r="A7" s="52"/>
      <c r="B7" s="52"/>
      <c r="C7" s="52" t="s">
        <v>21</v>
      </c>
      <c r="D7" s="48">
        <v>-100.0</v>
      </c>
      <c r="E7" s="54" t="s">
        <v>23</v>
      </c>
      <c r="F7" s="52" t="s">
        <v>53</v>
      </c>
      <c r="G7" s="52"/>
      <c r="H7" s="52" t="s">
        <v>54</v>
      </c>
      <c r="I7" s="52"/>
      <c r="J7" s="52"/>
      <c r="K7" s="52"/>
      <c r="L7" s="52"/>
      <c r="M7" s="52"/>
      <c r="N7" s="52"/>
      <c r="O7" s="52" t="s">
        <v>55</v>
      </c>
      <c r="P7" s="38"/>
      <c r="Q7" s="38"/>
      <c r="R7" s="38"/>
      <c r="S7" s="38"/>
      <c r="T7" s="38" t="s">
        <v>44</v>
      </c>
      <c r="U7" s="38" t="s">
        <v>46</v>
      </c>
      <c r="V7" s="38" t="s">
        <v>56</v>
      </c>
      <c r="W7" s="38" t="s">
        <v>45</v>
      </c>
      <c r="X7" s="43">
        <v>1.0</v>
      </c>
      <c r="Y7" s="43">
        <v>1.0</v>
      </c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47" t="s">
        <v>22</v>
      </c>
      <c r="AO7" s="38"/>
      <c r="AP7" s="47" t="s">
        <v>37</v>
      </c>
      <c r="AQ7" s="38" t="s">
        <v>21</v>
      </c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 t="s">
        <v>24</v>
      </c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44" t="s">
        <v>57</v>
      </c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47" t="s">
        <v>37</v>
      </c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</row>
    <row r="8" ht="15.75" customHeight="1">
      <c r="A8" s="52"/>
      <c r="B8" s="52"/>
      <c r="C8" s="52" t="s">
        <v>21</v>
      </c>
      <c r="D8" s="48">
        <v>50.0</v>
      </c>
      <c r="E8" s="54" t="s">
        <v>23</v>
      </c>
      <c r="F8" s="52" t="s">
        <v>53</v>
      </c>
      <c r="G8" s="52"/>
      <c r="H8" s="52" t="s">
        <v>54</v>
      </c>
      <c r="I8" s="52"/>
      <c r="J8" s="52"/>
      <c r="K8" s="52"/>
      <c r="L8" s="52"/>
      <c r="M8" s="52"/>
      <c r="N8" s="52"/>
      <c r="O8" s="52" t="s">
        <v>55</v>
      </c>
      <c r="P8" s="38"/>
      <c r="Q8" s="38"/>
      <c r="R8" s="38"/>
      <c r="S8" s="38"/>
      <c r="T8" s="38" t="s">
        <v>44</v>
      </c>
      <c r="U8" s="38" t="s">
        <v>46</v>
      </c>
      <c r="V8" s="38" t="s">
        <v>56</v>
      </c>
      <c r="W8" s="38" t="s">
        <v>45</v>
      </c>
      <c r="X8" s="43">
        <v>1.0</v>
      </c>
      <c r="Y8" s="43">
        <v>1.0</v>
      </c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47" t="s">
        <v>25</v>
      </c>
      <c r="AO8" s="38"/>
      <c r="AP8" s="47" t="s">
        <v>54</v>
      </c>
      <c r="AQ8" s="38" t="s">
        <v>21</v>
      </c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 t="s">
        <v>24</v>
      </c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44" t="s">
        <v>57</v>
      </c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47" t="s">
        <v>54</v>
      </c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