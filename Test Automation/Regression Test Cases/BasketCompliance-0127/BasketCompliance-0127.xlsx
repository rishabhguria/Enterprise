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SetCompliancePermission" sheetId="6" r:id="rId8"/>
    <sheet state="visible" name="FetchAccountPositions" sheetId="7" r:id="rId9"/>
    <sheet state="visible" name="AddCash" sheetId="8" r:id="rId10"/>
    <sheet state="visible" name="RunRebalance" sheetId="9" r:id="rId11"/>
    <sheet state="visible" name="CheckBasketCompliance" sheetId="10" r:id="rId12"/>
    <sheet state="visible" name="UpdateMultipleDailyCash" sheetId="11" r:id="rId13"/>
  </sheets>
  <definedNames/>
  <calcPr/>
</workbook>
</file>

<file path=xl/sharedStrings.xml><?xml version="1.0" encoding="utf-8"?>
<sst xmlns="http://schemas.openxmlformats.org/spreadsheetml/2006/main" count="107" uniqueCount="54">
  <si>
    <t>Modules Info</t>
  </si>
  <si>
    <t>Modules</t>
  </si>
  <si>
    <t>Settings</t>
  </si>
  <si>
    <t>Module Step Setting File</t>
  </si>
  <si>
    <t>1V117UCEKgiBm4JNwfKGO6fdzuXXiHyceS9jTaAL7ky4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</si>
  <si>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</si>
  <si>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</si>
  <si>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</si>
  <si>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</si>
  <si>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</si>
  <si>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</si>
  <si>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</si>
  <si>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</si>
  <si>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</si>
  <si>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</si>
  <si>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</si>
  <si>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GOOG</t>
  </si>
  <si>
    <t>Buy</t>
  </si>
  <si>
    <t>Allocation1</t>
  </si>
  <si>
    <t>Yes</t>
  </si>
  <si>
    <t>DailyValuation</t>
  </si>
  <si>
    <t>GetDailyCash</t>
  </si>
  <si>
    <t>Admin</t>
  </si>
  <si>
    <t>SetCompliancePermission</t>
  </si>
  <si>
    <t>Trade</t>
  </si>
  <si>
    <t>Soft</t>
  </si>
  <si>
    <t>Account_Symbol</t>
  </si>
  <si>
    <t>HARD</t>
  </si>
  <si>
    <t>MasterFund_Symbol</t>
  </si>
  <si>
    <t>Soft With Notes</t>
  </si>
  <si>
    <t>Symbol</t>
  </si>
  <si>
    <t>REQUIRES APPROVAL</t>
  </si>
  <si>
    <t>Rebalancer</t>
  </si>
  <si>
    <t>FetchAccountPositions</t>
  </si>
  <si>
    <t>Real-Time Positions</t>
  </si>
  <si>
    <t>AddCash</t>
  </si>
  <si>
    <t>Impact NAV</t>
  </si>
  <si>
    <t>None</t>
  </si>
  <si>
    <t>RunRebalance</t>
  </si>
  <si>
    <t>Nearest Round Off</t>
  </si>
  <si>
    <t>CheckBasketCompliance</t>
  </si>
  <si>
    <t>Hard</t>
  </si>
  <si>
    <t>If Quantity not equals to -1234, Symbol equals to "GOOG", Then block the trade.</t>
  </si>
  <si>
    <t>Allocation1-GOOG</t>
  </si>
  <si>
    <t>quantity: 101.00, symbol: GOOG, AccountShortName: Allocation1</t>
  </si>
  <si>
    <t>Requires Approval</t>
  </si>
  <si>
    <t>If Quantity not equals to -123466, Symbol equals to "GOOG", Then block the trade.</t>
  </si>
  <si>
    <t>quantity: 101.00, symbol: GOOG</t>
  </si>
  <si>
    <t>Compliance Officer - Please Approve</t>
  </si>
  <si>
    <t>quantity: 1.00, symbol: GOOG</t>
  </si>
  <si>
    <t>NewMF-GOOG</t>
  </si>
  <si>
    <t>quantity: 101.00, symbol: GOOG, MasterFundName: NewMF</t>
  </si>
  <si>
    <t>UpdateMultipleDailyCash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</si>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</sst>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  <font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6" fontId="13" numFmtId="14" xfId="0" applyAlignment="1" applyBorder="1" applyFill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7" fillId="6" fontId="14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6" fontId="14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6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6" fillId="0" fontId="5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3"/>
      <c r="F6" s="33" t="s">
        <v>18</v>
      </c>
      <c r="G6" s="33"/>
      <c r="H6" s="33"/>
      <c r="I6" s="33"/>
      <c r="J6" s="35">
        <v>10.0</v>
      </c>
      <c r="K6" s="33"/>
      <c r="L6" s="33"/>
      <c r="M6" s="33"/>
      <c r="N6" s="36">
        <f>TODAY()-1</f>
        <v>45853</v>
      </c>
      <c r="O6" s="33"/>
      <c r="P6" s="33"/>
      <c r="Q6" s="33"/>
      <c r="R6" s="33"/>
      <c r="S6" s="33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19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7">
        <f t="shared" ref="B6:C6" si="1">today()-1</f>
        <v>45853</v>
      </c>
      <c r="C6" s="38">
        <f t="shared" si="1"/>
        <v>45853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9" t="s">
        <v>24</v>
      </c>
      <c r="C6" s="40" t="s">
        <v>25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26</v>
      </c>
      <c r="C7" s="13" t="s">
        <v>27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28</v>
      </c>
      <c r="C8" s="13" t="s">
        <v>29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30</v>
      </c>
      <c r="C9" s="13" t="s">
        <v>31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0" t="s">
        <v>18</v>
      </c>
      <c r="C6" s="42" t="s">
        <v>34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34">
        <v>1000.0</v>
      </c>
      <c r="C6" s="44" t="s">
        <v>36</v>
      </c>
      <c r="D6" s="45" t="s">
        <v>37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IFERROR(__xludf.DUMMYFUNCTION("""COMPUTED_VALUE"""),"Testing Type")</f>
        <v>Testing Type</v>
      </c>
      <c r="K5" s="28" t="str">
        <f>IFERROR(__xludf.DUMMYFUNCTION("""COMPUTED_VALUE"""),"Testing Column")</f>
        <v>Testing Column</v>
      </c>
      <c r="L5" s="28" t="str">
        <f>IFERROR(__xludf.DUMMYFUNCTION("""COMPUTED_VALUE"""),"Testing Col Value")</f>
        <v>Testing Col Value</v>
      </c>
      <c r="M5" s="28" t="str">
        <f>IFERROR(__xludf.DUMMYFUNCTION("""COMPUTED_VALUE"""),"DuplicateCountOnUI")</f>
        <v>DuplicateCountOnUI</v>
      </c>
      <c r="N5" s="28" t="str">
        <f>IFERROR(__xludf.DUMMYFUNCTION("""COMPUTED_VALUE"""),"DuplicateRow")</f>
        <v>DuplicateRow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41</v>
      </c>
      <c r="C6" s="13" t="s">
        <v>26</v>
      </c>
      <c r="D6" s="13" t="s">
        <v>42</v>
      </c>
      <c r="E6" s="13" t="s">
        <v>43</v>
      </c>
      <c r="F6" s="13">
        <v>-1234.0</v>
      </c>
      <c r="G6" s="13">
        <v>101.0</v>
      </c>
      <c r="H6" s="13" t="s">
        <v>44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45</v>
      </c>
      <c r="C7" s="13" t="s">
        <v>30</v>
      </c>
      <c r="D7" s="13" t="s">
        <v>46</v>
      </c>
      <c r="E7" s="13" t="s">
        <v>16</v>
      </c>
      <c r="F7" s="13">
        <v>-123466.0</v>
      </c>
      <c r="G7" s="13">
        <v>101.0</v>
      </c>
      <c r="H7" s="13" t="s">
        <v>47</v>
      </c>
      <c r="I7" s="13" t="s">
        <v>48</v>
      </c>
      <c r="J7" s="8"/>
      <c r="K7" s="8"/>
      <c r="L7" s="8"/>
      <c r="M7" s="8"/>
      <c r="N7" s="8"/>
      <c r="O7" s="8"/>
    </row>
    <row r="8" ht="15.75" customHeight="1">
      <c r="A8" s="8"/>
      <c r="B8" s="13" t="s">
        <v>25</v>
      </c>
      <c r="C8" s="13" t="s">
        <v>24</v>
      </c>
      <c r="D8" s="13" t="s">
        <v>42</v>
      </c>
      <c r="E8" s="13" t="s">
        <v>16</v>
      </c>
      <c r="F8" s="13">
        <v>-1234.0</v>
      </c>
      <c r="G8" s="13">
        <v>1.0</v>
      </c>
      <c r="H8" s="13" t="s">
        <v>49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29</v>
      </c>
      <c r="C9" s="13" t="s">
        <v>28</v>
      </c>
      <c r="D9" s="13" t="s">
        <v>42</v>
      </c>
      <c r="E9" s="13" t="s">
        <v>50</v>
      </c>
      <c r="F9" s="13">
        <v>-1234.0</v>
      </c>
      <c r="G9" s="13">
        <v>101.0</v>
      </c>
      <c r="H9" s="13" t="s">
        <v>51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CheckBasketCompliance!$4:$4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 t="s">
        <v>18</v>
      </c>
      <c r="C6" s="44" t="s">
        <v>53</v>
      </c>
      <c r="D6" s="34">
        <v>100000.0</v>
      </c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