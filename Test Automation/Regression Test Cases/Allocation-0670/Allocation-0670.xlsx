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CreateDoneAwayOrder1" sheetId="8" r:id="rId10"/>
    <sheet state="visible" name="SelectAllocatedGroup" sheetId="9" r:id="rId11"/>
    <sheet state="visible" name="SelectAllocatedGroup1" sheetId="10" r:id="rId12"/>
    <sheet state="visible" name="EditAllocatedGridTaxlot" sheetId="11" r:id="rId13"/>
    <sheet state="visible" name="EditAllocatedGridTaxlot1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<sst xmlns="http://schemas.openxmlformats.org/spreadsheetml/2006/main" count="114" uniqueCount="35">
  <si>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</si>
  <si>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</si>
  <si>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</si>
  <si>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</si>
  <si>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</si>
  <si>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</si>
  <si>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</si>
  <si>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</si>
  <si>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</si>
  <si>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</si>
  <si>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</si>
  <si>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</si>
  <si>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</si>
  <si>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</si>
  <si>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</si>
  <si>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</si>
  <si>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Yash</t>
  </si>
  <si>
    <t>SetAccountValueCalculatedPref</t>
  </si>
  <si>
    <t>Allocation1</t>
  </si>
  <si>
    <t>Allocation2</t>
  </si>
  <si>
    <t>Allocation3</t>
  </si>
  <si>
    <t>Allocation4</t>
  </si>
  <si>
    <t>Allocation5</t>
  </si>
  <si>
    <t>SetDefaultRuleCalculatedPref</t>
  </si>
  <si>
    <t>Trade Quantity</t>
  </si>
  <si>
    <t>Current Preference</t>
  </si>
  <si>
    <t>TradingTicket</t>
  </si>
  <si>
    <t>CreateDoneAwayOrder</t>
  </si>
  <si>
    <t>FRU-TC</t>
  </si>
  <si>
    <t>Buy</t>
  </si>
  <si>
    <t>GLE-LON</t>
  </si>
  <si>
    <t>SAP</t>
  </si>
  <si>
    <t>SelectAllocatedGroup</t>
  </si>
  <si>
    <t>EditAllocatedGridTaxlot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</si>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</sst>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18</v>
      </c>
      <c r="D6" s="35">
        <v>20.0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16</v>
      </c>
      <c r="C7" s="34" t="s">
        <v>19</v>
      </c>
      <c r="D7" s="36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16</v>
      </c>
      <c r="C8" s="34" t="s">
        <v>20</v>
      </c>
      <c r="D8" s="36">
        <v>20.0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16</v>
      </c>
      <c r="C9" s="34" t="s">
        <v>21</v>
      </c>
      <c r="D9" s="36">
        <v>20.0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2" t="s">
        <v>16</v>
      </c>
      <c r="C10" s="34" t="s">
        <v>22</v>
      </c>
      <c r="D10" s="36">
        <v>20.0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3"/>
      <c r="D6" s="37" t="s">
        <v>25</v>
      </c>
      <c r="E6" s="33"/>
      <c r="F6" s="33"/>
      <c r="G6" s="38" t="b">
        <v>0</v>
      </c>
      <c r="H6" s="32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4" t="s">
        <v>29</v>
      </c>
      <c r="D6" s="35">
        <v>400.0</v>
      </c>
      <c r="E6" s="33"/>
      <c r="F6" s="32" t="s">
        <v>16</v>
      </c>
      <c r="G6" s="33"/>
      <c r="H6" s="33"/>
      <c r="I6" s="33"/>
      <c r="J6" s="36">
        <v>100.0</v>
      </c>
      <c r="K6" s="33"/>
      <c r="L6" s="33"/>
      <c r="M6" s="33"/>
      <c r="N6" s="33"/>
      <c r="O6" s="36">
        <v>2.3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30</v>
      </c>
      <c r="C6" s="34" t="s">
        <v>29</v>
      </c>
      <c r="D6" s="35">
        <v>400.0</v>
      </c>
      <c r="E6" s="33"/>
      <c r="F6" s="32" t="s">
        <v>16</v>
      </c>
      <c r="G6" s="33"/>
      <c r="H6" s="33"/>
      <c r="I6" s="33"/>
      <c r="J6" s="36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31</v>
      </c>
      <c r="C7" s="34" t="s">
        <v>29</v>
      </c>
      <c r="D7" s="36">
        <v>400.0</v>
      </c>
      <c r="E7" s="33"/>
      <c r="F7" s="32" t="s">
        <v>16</v>
      </c>
      <c r="G7" s="33"/>
      <c r="H7" s="33"/>
      <c r="I7" s="33"/>
      <c r="J7" s="36">
        <v>100.0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28</v>
      </c>
      <c r="C8" s="34" t="s">
        <v>29</v>
      </c>
      <c r="D8" s="36">
        <v>800.0</v>
      </c>
      <c r="E8" s="33"/>
      <c r="F8" s="32" t="s">
        <v>16</v>
      </c>
      <c r="G8" s="33"/>
      <c r="H8" s="33"/>
      <c r="I8" s="33"/>
      <c r="J8" s="36">
        <v>100.0</v>
      </c>
      <c r="K8" s="33"/>
      <c r="L8" s="33"/>
      <c r="M8" s="33"/>
      <c r="N8" s="33"/>
      <c r="O8" s="36">
        <v>2.3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6">
        <v>400.0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6">
        <v>800.0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IFERROR(__xludf.DUMMYFUNCTION("""COMPUTED_VALUE"""),"Account Name")</f>
        <v>Account Name</v>
      </c>
      <c r="AH5" s="30" t="str">
        <f>IFERROR(__xludf.DUMMYFUNCTION("""COMPUTED_VALUE"""),"Lot ID")</f>
        <v>Lot ID</v>
      </c>
      <c r="AI5" s="30" t="str">
        <f>IFERROR(__xludf.DUMMYFUNCTION("""COMPUTED_VALUE"""),"External Transaction ID")</f>
        <v>External Transaction ID</v>
      </c>
      <c r="AJ5" s="30" t="str">
        <f>IFERROR(__xludf.DUMMYFUNCTION("""COMPUTED_VALUE"""),"FXRate")</f>
        <v>FXRate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 t="s">
        <v>28</v>
      </c>
      <c r="AE6" s="39">
        <v>80.0</v>
      </c>
      <c r="AF6" s="40">
        <v>43.478</v>
      </c>
      <c r="AG6" s="33" t="s">
        <v>20</v>
      </c>
      <c r="AH6" s="33"/>
      <c r="AI6" s="33"/>
      <c r="AJ6" s="39">
        <v>2.6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EditAllocatedGridTaxlot!$4:$4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IFERROR(__xludf.DUMMYFUNCTION("""COMPUTED_VALUE"""),"Account Name")</f>
        <v>Account Name</v>
      </c>
      <c r="AH5" s="30" t="str">
        <f>IFERROR(__xludf.DUMMYFUNCTION("""COMPUTED_VALUE"""),"Lot ID")</f>
        <v>Lot ID</v>
      </c>
      <c r="AI5" s="30" t="str">
        <f>IFERROR(__xludf.DUMMYFUNCTION("""COMPUTED_VALUE"""),"External Transaction ID")</f>
        <v>External Transaction ID</v>
      </c>
      <c r="AJ5" s="30" t="str">
        <f>IFERROR(__xludf.DUMMYFUNCTION("""COMPUTED_VALUE"""),"FXRate")</f>
        <v>FXRate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 t="s">
        <v>28</v>
      </c>
      <c r="AE6" s="40">
        <v>160.0</v>
      </c>
      <c r="AF6" s="40">
        <v>43.478</v>
      </c>
      <c r="AG6" s="33" t="s">
        <v>20</v>
      </c>
      <c r="AH6" s="33"/>
      <c r="AI6" s="33"/>
      <c r="AJ6" s="39">
        <v>2.6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EditAllocatedGridTaxlot1!$4:$4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4" t="s">
        <v>20</v>
      </c>
      <c r="P6" s="33"/>
      <c r="Q6" s="33"/>
      <c r="R6" s="39">
        <v>80.0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9">
        <v>2.6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4"/>
      <c r="P7" s="33"/>
      <c r="Q7" s="33"/>
      <c r="R7" s="39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9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