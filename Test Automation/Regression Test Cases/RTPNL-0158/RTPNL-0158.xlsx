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OpenRTPNL" sheetId="5" r:id="rId8"/>
    <sheet state="visible" name="IncreaseOrUnwindPositionRTPNL" sheetId="6" r:id="rId9"/>
  </sheets>
  <definedNames/>
  <calcPr/>
  <extLst>
    <ext uri="GoogleSheetsCustomDataVersion2">
      <go:sheetsCustomData xmlns:go="http://customooxmlschemas.google.com/" r:id="rId10" roundtripDataChecksum="9jAGzmFuexA4tCe01ra8CG6OJhDHlHrqEOd9yfKY1M8="/>
    </ext>
  </extLst>
</workbook>
</file>

<file path=xl/sharedStrings.xml><?xml version="1.0" encoding="utf-8"?>
<sst xmlns="http://schemas.openxmlformats.org/spreadsheetml/2006/main" count="48" uniqueCount="33">
  <si>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</si>
  <si>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</si>
  <si>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</si>
  <si>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</si>
  <si>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</si>
  <si>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</si>
  <si>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</si>
  <si>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</si>
  <si>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</si>
  <si>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</si>
  <si>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</si>
  <si>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</si>
  <si>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</si>
  <si>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</si>
  <si>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</si>
  <si>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</si>
  <si>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</si>
  <si>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</si>
  <si>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</si>
  <si>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</si>
  <si>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Allocation3</t>
  </si>
  <si>
    <t>SAP</t>
  </si>
  <si>
    <t>Allocation2</t>
  </si>
  <si>
    <t>Sell short</t>
  </si>
  <si>
    <t>OpenWindow</t>
  </si>
  <si>
    <t>TabName</t>
  </si>
  <si>
    <t>Description</t>
  </si>
  <si>
    <t>Save?</t>
  </si>
  <si>
    <t>Nirvana,PM</t>
  </si>
  <si>
    <t>SummaryDashboard</t>
  </si>
  <si>
    <t>RTPNL</t>
  </si>
  <si>
    <t>IncreaseOrUnwindPositionRTPNL</t>
  </si>
  <si>
    <t>adjust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</si>
</sst>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Alignment="1" applyFont="1">
      <alignment readingOrder="0"/>
    </xf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24">
        <v>2000.0</v>
      </c>
      <c r="D6" s="6">
        <v>10.0</v>
      </c>
      <c r="E6" s="6" t="s">
        <v>17</v>
      </c>
      <c r="F6" s="6"/>
      <c r="G6" s="6"/>
      <c r="H6" s="6"/>
      <c r="I6" s="6" t="s">
        <v>18</v>
      </c>
      <c r="J6" s="24" t="s">
        <v>19</v>
      </c>
      <c r="K6" s="6"/>
      <c r="L6" s="6"/>
      <c r="M6" s="6"/>
      <c r="N6" s="6"/>
      <c r="O6" s="6"/>
    </row>
    <row r="7" ht="15.75" customHeight="1">
      <c r="A7" s="6"/>
      <c r="B7" s="6" t="s">
        <v>16</v>
      </c>
      <c r="C7" s="24">
        <v>1000.0</v>
      </c>
      <c r="D7" s="6">
        <v>10.0</v>
      </c>
      <c r="E7" s="6" t="s">
        <v>17</v>
      </c>
      <c r="F7" s="6"/>
      <c r="G7" s="6"/>
      <c r="H7" s="6"/>
      <c r="I7" s="6" t="s">
        <v>20</v>
      </c>
      <c r="J7" s="6" t="s">
        <v>19</v>
      </c>
      <c r="K7" s="6"/>
      <c r="L7" s="6"/>
      <c r="M7" s="6"/>
      <c r="N7" s="6"/>
      <c r="O7" s="6"/>
    </row>
    <row r="8" ht="15.75" customHeight="1">
      <c r="A8" s="6"/>
      <c r="B8" s="24" t="s">
        <v>21</v>
      </c>
      <c r="C8" s="24">
        <v>500.0</v>
      </c>
      <c r="D8" s="6">
        <v>10.0</v>
      </c>
      <c r="E8" s="6" t="s">
        <v>17</v>
      </c>
      <c r="F8" s="6"/>
      <c r="G8" s="6"/>
      <c r="H8" s="6"/>
      <c r="I8" s="6" t="s">
        <v>22</v>
      </c>
      <c r="J8" s="24" t="s">
        <v>23</v>
      </c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5.13"/>
  </cols>
  <sheetData>
    <row r="5">
      <c r="A5" s="25"/>
      <c r="B5" s="26" t="s">
        <v>24</v>
      </c>
      <c r="C5" s="26" t="s">
        <v>25</v>
      </c>
      <c r="D5" s="26" t="s">
        <v>26</v>
      </c>
      <c r="E5" s="26" t="s">
        <v>27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7"/>
      <c r="B6" s="28" t="s">
        <v>28</v>
      </c>
      <c r="C6" s="28" t="s">
        <v>29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30</v>
      </c>
      <c r="D3" s="4" t="s">
        <v>9</v>
      </c>
      <c r="E3" s="11" t="s">
        <v>31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IFERROR(__xludf.DUMMYFUNCTION("""COMPUTED_VALUE"""),"Security Name")</f>
        <v>Security Name</v>
      </c>
      <c r="D5" s="22" t="str">
        <f>IFERROR(__xludf.DUMMYFUNCTION("""COMPUTED_VALUE"""),"Fund")</f>
        <v>Fund</v>
      </c>
      <c r="E5" s="22" t="str">
        <f>IFERROR(__xludf.DUMMYFUNCTION("""COMPUTED_VALUE"""),"Account")</f>
        <v>Account</v>
      </c>
      <c r="F5" s="22" t="str">
        <f>IFERROR(__xludf.DUMMYFUNCTION("""COMPUTED_VALUE"""),"Asset Class")</f>
        <v>Asset Class</v>
      </c>
      <c r="G5" s="22" t="str">
        <f>IFERROR(__xludf.DUMMYFUNCTION("""COMPUTED_VALUE"""),"Position")</f>
        <v>Position</v>
      </c>
      <c r="H5" s="22" t="str">
        <f>IFERROR(__xludf.DUMMYFUNCTION("""COMPUTED_VALUE"""),"Position Side")</f>
        <v>Position Side</v>
      </c>
      <c r="I5" s="22" t="str">
        <f>IFERROR(__xludf.DUMMYFUNCTION("""COMPUTED_VALUE"""),"Px Selected Feed (Local)")</f>
        <v>Px Selected Feed (Local)</v>
      </c>
      <c r="J5" s="22" t="str">
        <f>IFERROR(__xludf.DUMMYFUNCTION("""COMPUTED_VALUE"""),"Px Selected Feed (Base)")</f>
        <v>Px Selected Feed (Base)</v>
      </c>
      <c r="K5" s="22" t="str">
        <f>IFERROR(__xludf.DUMMYFUNCTION("""COMPUTED_VALUE"""),"Market Value (Base)")</f>
        <v>Market Value (Base)</v>
      </c>
      <c r="L5" s="22" t="str">
        <f>IFERROR(__xludf.DUMMYFUNCTION("""COMPUTED_VALUE"""),"% Net Market Value (Base)")</f>
        <v>% Net Market Value (Base)</v>
      </c>
      <c r="M5" s="22" t="str">
        <f>IFERROR(__xludf.DUMMYFUNCTION("""COMPUTED_VALUE"""),"Cost Basis P&amp;L (Base)")</f>
        <v>Cost Basis P&amp;L (Base)</v>
      </c>
      <c r="N5" s="22" t="str">
        <f>IFERROR(__xludf.DUMMYFUNCTION("""COMPUTED_VALUE"""),"% Gain/Loss Cost")</f>
        <v>% Gain/Loss Cost</v>
      </c>
      <c r="O5" s="22" t="str">
        <f>IFERROR(__xludf.DUMMYFUNCTION("""COMPUTED_VALUE"""),"Day P&amp;L (Base)")</f>
        <v>Day P&amp;L (Base)</v>
      </c>
      <c r="P5" s="22" t="str">
        <f>IFERROR(__xludf.DUMMYFUNCTION("""COMPUTED_VALUE"""),"% Gain/Loss Day")</f>
        <v>% Gain/Loss Day</v>
      </c>
      <c r="Q5" s="22" t="str">
        <f>IFERROR(__xludf.DUMMYFUNCTION("""COMPUTED_VALUE"""),"Exposure (Base)")</f>
        <v>Exposure (Base)</v>
      </c>
      <c r="R5" s="22" t="str">
        <f>IFERROR(__xludf.DUMMYFUNCTION("""COMPUTED_VALUE"""),"% Exposure (Base)")</f>
        <v>% Exposure (Base)</v>
      </c>
      <c r="S5" s="22" t="str">
        <f>IFERROR(__xludf.DUMMYFUNCTION("""COMPUTED_VALUE"""),"Live Feed Provider Ticker")</f>
        <v>Live Feed Provider Ticker</v>
      </c>
      <c r="T5" s="23" t="str">
        <f>IFERROR(__xludf.DUMMYFUNCTION("""COMPUTED_VALUE"""),"PositionAction")</f>
        <v>PositionAction</v>
      </c>
      <c r="U5" s="23" t="str">
        <f>IFERROR(__xludf.DUMMYFUNCTION("""COMPUTED_VALUE"""),"VerifyOptionsList")</f>
        <v>VerifyOptionsList</v>
      </c>
      <c r="V5" s="23" t="str">
        <f>IFERROR(__xludf.DUMMYFUNCTION("""COMPUTED_VALUE"""),"Disable/Grey buttons")</f>
        <v>Disable/Grey buttons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 t="s">
        <v>16</v>
      </c>
      <c r="C6" s="6"/>
      <c r="D6" s="6"/>
      <c r="E6" s="6" t="s">
        <v>18</v>
      </c>
      <c r="F6" s="6"/>
      <c r="G6" s="6"/>
      <c r="H6" s="6"/>
      <c r="I6" s="6"/>
      <c r="J6" s="6"/>
      <c r="K6" s="6"/>
      <c r="L6" s="6"/>
      <c r="M6" s="6"/>
      <c r="N6" s="6"/>
      <c r="O6" s="6"/>
      <c r="V6" s="29" t="s">
        <v>32</v>
      </c>
    </row>
    <row r="7" ht="15.75" customHeight="1">
      <c r="A7" s="6"/>
      <c r="B7" s="24" t="s">
        <v>21</v>
      </c>
      <c r="C7" s="6"/>
      <c r="D7" s="6"/>
      <c r="E7" s="6" t="s">
        <v>22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