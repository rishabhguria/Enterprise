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EnableBlankMarkPrices" sheetId="6" r:id="rId8"/>
    <sheet state="visible" name="UpateSymbolBlankMP" sheetId="7" r:id="rId9"/>
    <sheet state="visible" name="UpdateBlankMP" sheetId="8" r:id="rId10"/>
    <sheet state="visible" name="CheckPortfolioManagement" sheetId="9" r:id="rId11"/>
    <sheet state="visible" name="FilterPM" sheetId="10" r:id="rId12"/>
    <sheet state="visible" name="FilterBlankMP" sheetId="11" r:id="rId13"/>
    <sheet state="visible" name="FilterPM1" sheetId="12" r:id="rId14"/>
    <sheet state="visible" name="CheckPortfolioManagement1" sheetId="13" r:id="rId15"/>
  </sheets>
  <definedNames/>
  <calcPr/>
</workbook>
</file>

<file path=xl/sharedStrings.xml><?xml version="1.0" encoding="utf-8"?>
<sst xmlns="http://schemas.openxmlformats.org/spreadsheetml/2006/main" count="143" uniqueCount="47">
  <si>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</si>
  <si>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</si>
  <si>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</si>
  <si>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</si>
  <si>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</si>
  <si>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</si>
  <si>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</si>
  <si>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</si>
  <si>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</si>
  <si>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</si>
  <si>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</si>
  <si>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</si>
  <si>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</si>
  <si>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</si>
  <si>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</si>
  <si>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</si>
  <si>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</si>
  <si>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</si>
  <si>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Allocation1,Allocation3</t>
  </si>
  <si>
    <t>50,50</t>
  </si>
  <si>
    <t>DailyValuation</t>
  </si>
  <si>
    <t>GetMarkPriceData</t>
  </si>
  <si>
    <t>EnableBlankMarkPrices</t>
  </si>
  <si>
    <t>UpateSymbolBlankMP</t>
  </si>
  <si>
    <t>UpdateBlankMP</t>
  </si>
  <si>
    <t>Allocation1</t>
  </si>
  <si>
    <t>Allocation3</t>
  </si>
  <si>
    <t>PortfolioManagement</t>
  </si>
  <si>
    <t>CheckPortfolioManagement</t>
  </si>
  <si>
    <t>NewMF</t>
  </si>
  <si>
    <t>Long</t>
  </si>
  <si>
    <t>SAP AG SP.ADR</t>
  </si>
  <si>
    <t>Undefined</t>
  </si>
  <si>
    <t>FIMAT</t>
  </si>
  <si>
    <t>Strategy Unallocated</t>
  </si>
  <si>
    <t>Equity</t>
  </si>
  <si>
    <t>US</t>
  </si>
  <si>
    <t>NYSE</t>
  </si>
  <si>
    <t>USD</t>
  </si>
  <si>
    <t>BrokerNotes</t>
  </si>
  <si>
    <t>DefaultNotes</t>
  </si>
  <si>
    <t>jpearce</t>
  </si>
  <si>
    <t>MS</t>
  </si>
  <si>
    <t>FilterPM</t>
  </si>
  <si>
    <t>Account</t>
  </si>
  <si>
    <t>FilterBlankMP</t>
  </si>
  <si>
    <t>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</si>
</sst>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>today()-1</f>
        <v>45033</v>
      </c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>
        <f t="shared" ref="B6:C6" si="1">today()-2</f>
        <v>45032</v>
      </c>
      <c r="C6" s="34">
        <f t="shared" si="1"/>
        <v>45032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IFERROR(__xludf.DUMMYFUNCTION("""COMPUTED_VALUE"""),"IsDefaultFilterToShowAccountWiseDataOnDailyValuation")</f>
        <v>IsDefaultFilterToShowAccountWiseDataOnDailyValuation</v>
      </c>
      <c r="C5" s="28" t="str">
        <f>IFERROR(__xludf.DUMMYFUNCTION("""COMPUTED_VALUE"""),"IsFilteringAccountWiseDataAllowedOnDailyValuation")</f>
        <v>IsFilteringAccountWiseDataAllowedOnDailyValuation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 t="b">
        <v>1</v>
      </c>
      <c r="C6" s="37" t="b">
        <v>1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EnableBlankMarkPrices!$4:$4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IFERROR(__xludf.DUMMYFUNCTION("""COMPUTED_VALUE"""),"Enter Symbol")</f>
        <v>Enter Symbol</v>
      </c>
      <c r="C5" s="28" t="str">
        <f>IFERROR(__xludf.DUMMYFUNCTION("""COMPUTED_VALUE"""),"Copy From")</f>
        <v>Copy From</v>
      </c>
      <c r="D5" s="28" t="str">
        <f>IFERROR(__xludf.DUMMYFUNCTION("""COMPUTED_VALUE"""),"Copy To")</f>
        <v>Copy To</v>
      </c>
      <c r="E5" s="28" t="str">
        <f>IFERROR(__xludf.DUMMYFUNCTION("""COMPUTED_VALUE"""),"Click On Copy")</f>
        <v>Click On Copy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UpateSymbolBlankMP!$4:$4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IFERROR(__xludf.DUMMYFUNCTION("""COMPUTED_VALUE"""),"Bloomberg Symbol")</f>
        <v>Bloomberg Symbol</v>
      </c>
      <c r="D5" s="28" t="str">
        <f>IFERROR(__xludf.DUMMYFUNCTION("""COMPUTED_VALUE"""),"Account")</f>
        <v>Account</v>
      </c>
      <c r="E5" s="28" t="str">
        <f>IFERROR(__xludf.DUMMYFUNCTION("""COMPUTED_VALUE"""),"MarkPrice")</f>
        <v>MarkPrice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13">
        <v>10.0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8"/>
      <c r="D7" s="13" t="s">
        <v>25</v>
      </c>
      <c r="E7" s="13">
        <v>11.0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8"/>
      <c r="D8" s="13" t="s">
        <v>26</v>
      </c>
      <c r="E8" s="13">
        <v>12.0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38" t="s">
        <v>16</v>
      </c>
      <c r="D6" s="39">
        <v>250.0</v>
      </c>
      <c r="E6" s="38" t="s">
        <v>25</v>
      </c>
      <c r="F6" s="38" t="s">
        <v>29</v>
      </c>
      <c r="G6" s="39">
        <v>1.0</v>
      </c>
      <c r="H6" s="38" t="s">
        <v>30</v>
      </c>
      <c r="I6" s="8"/>
      <c r="J6" s="8"/>
      <c r="K6" s="8"/>
      <c r="L6" s="8"/>
      <c r="M6" s="8"/>
      <c r="N6" s="8"/>
      <c r="O6" s="38" t="s">
        <v>31</v>
      </c>
      <c r="P6" s="38" t="s">
        <v>32</v>
      </c>
      <c r="R6" s="38" t="s">
        <v>33</v>
      </c>
      <c r="S6" s="38" t="s">
        <v>34</v>
      </c>
      <c r="T6" s="38" t="s">
        <v>35</v>
      </c>
      <c r="U6" s="38" t="s">
        <v>36</v>
      </c>
      <c r="V6" s="38" t="s">
        <v>37</v>
      </c>
      <c r="W6" s="38" t="s">
        <v>38</v>
      </c>
      <c r="X6" s="39">
        <v>1.0</v>
      </c>
      <c r="Y6" s="39">
        <v>1.0</v>
      </c>
      <c r="AB6" s="39">
        <v>0.0</v>
      </c>
      <c r="AC6" s="39">
        <v>0.0</v>
      </c>
      <c r="AD6" s="39">
        <v>0.0</v>
      </c>
      <c r="AE6" s="39">
        <v>0.0</v>
      </c>
      <c r="AF6" s="39">
        <v>250.0</v>
      </c>
      <c r="AG6" s="39">
        <v>0.0</v>
      </c>
      <c r="AH6" s="39">
        <v>0.0</v>
      </c>
      <c r="AI6" s="39">
        <v>0.0</v>
      </c>
      <c r="AJ6" s="39">
        <v>0.0</v>
      </c>
      <c r="AK6" s="39">
        <v>0.0</v>
      </c>
      <c r="AL6" s="39">
        <v>1.0</v>
      </c>
      <c r="AM6" s="39">
        <v>1.0</v>
      </c>
      <c r="AN6" s="38" t="s">
        <v>17</v>
      </c>
      <c r="AP6" s="38" t="s">
        <v>30</v>
      </c>
      <c r="AR6" s="39">
        <v>0.0</v>
      </c>
      <c r="AS6" s="39">
        <v>1.0</v>
      </c>
      <c r="AT6" s="38" t="s">
        <v>39</v>
      </c>
      <c r="AU6" s="38" t="s">
        <v>40</v>
      </c>
      <c r="AV6" s="39">
        <v>1.0</v>
      </c>
      <c r="AW6" s="39">
        <v>-250.0</v>
      </c>
      <c r="AX6" s="39">
        <v>0.0</v>
      </c>
      <c r="AY6" s="39">
        <v>0.0</v>
      </c>
      <c r="AZ6" s="39">
        <v>0.0</v>
      </c>
      <c r="BA6" s="39">
        <v>0.0</v>
      </c>
      <c r="BE6" s="38" t="s">
        <v>35</v>
      </c>
      <c r="BF6" s="38" t="s">
        <v>32</v>
      </c>
      <c r="BG6" s="38" t="s">
        <v>32</v>
      </c>
      <c r="BH6" s="38" t="s">
        <v>32</v>
      </c>
      <c r="BI6" s="38" t="s">
        <v>32</v>
      </c>
      <c r="BJ6" s="39">
        <v>0.0</v>
      </c>
      <c r="BK6" s="39">
        <v>0.0</v>
      </c>
      <c r="BQ6" s="38" t="s">
        <v>41</v>
      </c>
      <c r="BR6" s="38" t="s">
        <v>42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 t="s">
        <v>44</v>
      </c>
      <c r="C6" s="41" t="s">
        <v>46</v>
      </c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FilterBlankMP!$4:$4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44</v>
      </c>
      <c r="C6" s="13" t="s">
        <v>26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</row>
    <row r="6" ht="15.75" customHeight="1">
      <c r="C6" s="38" t="s">
        <v>16</v>
      </c>
      <c r="D6" s="39">
        <v>250.0</v>
      </c>
      <c r="E6" s="38" t="s">
        <v>26</v>
      </c>
      <c r="F6" s="38" t="s">
        <v>29</v>
      </c>
      <c r="G6" s="39">
        <v>1.0</v>
      </c>
      <c r="H6" s="38" t="s">
        <v>30</v>
      </c>
      <c r="I6" s="8"/>
      <c r="J6" s="8"/>
      <c r="K6" s="8"/>
      <c r="L6" s="8"/>
      <c r="M6" s="8"/>
      <c r="N6" s="8"/>
      <c r="O6" s="38" t="s">
        <v>31</v>
      </c>
      <c r="P6" s="38" t="s">
        <v>32</v>
      </c>
      <c r="R6" s="38" t="s">
        <v>42</v>
      </c>
      <c r="S6" s="38" t="s">
        <v>34</v>
      </c>
      <c r="T6" s="38" t="s">
        <v>35</v>
      </c>
      <c r="U6" s="38" t="s">
        <v>36</v>
      </c>
      <c r="V6" s="38" t="s">
        <v>37</v>
      </c>
      <c r="W6" s="38" t="s">
        <v>38</v>
      </c>
      <c r="X6" s="39">
        <v>1.0</v>
      </c>
      <c r="Y6" s="39">
        <v>1.0</v>
      </c>
      <c r="AB6" s="39">
        <v>0.0</v>
      </c>
      <c r="AC6" s="39">
        <v>0.0</v>
      </c>
      <c r="AD6" s="39">
        <v>0.0</v>
      </c>
      <c r="AE6" s="39">
        <v>0.0</v>
      </c>
      <c r="AF6" s="39">
        <v>250.0</v>
      </c>
      <c r="AG6" s="39">
        <v>0.0</v>
      </c>
      <c r="AH6" s="39">
        <v>0.0</v>
      </c>
      <c r="AI6" s="39">
        <v>0.0</v>
      </c>
      <c r="AJ6" s="39">
        <v>0.0</v>
      </c>
      <c r="AK6" s="39">
        <v>0.0</v>
      </c>
      <c r="AL6" s="39">
        <v>1.0</v>
      </c>
      <c r="AM6" s="39">
        <v>1.0</v>
      </c>
      <c r="AN6" s="38" t="s">
        <v>17</v>
      </c>
      <c r="AP6" s="38" t="s">
        <v>30</v>
      </c>
      <c r="AR6" s="39">
        <v>0.0</v>
      </c>
      <c r="AS6" s="39">
        <v>1.0</v>
      </c>
      <c r="AT6" s="38" t="s">
        <v>39</v>
      </c>
      <c r="AU6" s="38" t="s">
        <v>40</v>
      </c>
      <c r="AV6" s="39">
        <v>1.0</v>
      </c>
      <c r="AW6" s="39">
        <v>-250.0</v>
      </c>
      <c r="AX6" s="39">
        <v>0.0</v>
      </c>
      <c r="AY6" s="39">
        <v>0.0</v>
      </c>
      <c r="AZ6" s="39">
        <v>0.0</v>
      </c>
      <c r="BA6" s="39">
        <v>0.0</v>
      </c>
      <c r="BE6" s="38" t="s">
        <v>35</v>
      </c>
      <c r="BF6" s="38" t="s">
        <v>32</v>
      </c>
      <c r="BG6" s="38" t="s">
        <v>32</v>
      </c>
      <c r="BH6" s="38" t="s">
        <v>32</v>
      </c>
      <c r="BI6" s="38" t="s">
        <v>32</v>
      </c>
      <c r="BJ6" s="39">
        <v>0.0</v>
      </c>
      <c r="BK6" s="39">
        <v>0.0</v>
      </c>
      <c r="BQ6" s="38" t="s">
        <v>41</v>
      </c>
      <c r="BR6" s="38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