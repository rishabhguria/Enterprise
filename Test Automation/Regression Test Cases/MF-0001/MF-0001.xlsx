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UpdateGRDefaultRule" sheetId="12" r:id="rId14"/>
    <sheet state="visible" name="SetMFPrefGeneralRule1" sheetId="13" r:id="rId15"/>
    <sheet state="visible" name="UpdateGRDefaultRule1" sheetId="14" r:id="rId16"/>
    <sheet state="visible" name="UpdateGRAccountValue1" sheetId="15" r:id="rId17"/>
    <sheet state="visible" name="CreateDoneAwayOrder" sheetId="16" r:id="rId18"/>
    <sheet state="visible" name="CheckAllocatedGroups" sheetId="17" r:id="rId19"/>
    <sheet state="visible" name="GetDataClosing" sheetId="18" r:id="rId20"/>
    <sheet state="visible" name="VerifyLongPositionsGrid" sheetId="19" r:id="rId21"/>
    <sheet state="visible" name="VerifyShortPositionsGrid" sheetId="20" r:id="rId22"/>
    <sheet state="visible" name="GetDataAllocation" sheetId="21" r:id="rId23"/>
  </sheets>
  <definedNames/>
  <calcPr/>
</workbook>
</file>

<file path=xl/sharedStrings.xml><?xml version="1.0" encoding="utf-8"?>
<sst xmlns="http://schemas.openxmlformats.org/spreadsheetml/2006/main" count="2809" uniqueCount="834">
  <si>
    <t>Settings</t>
  </si>
  <si>
    <t>Master Data Info</t>
  </si>
  <si>
    <t>Modules Info</t>
  </si>
  <si>
    <t>Module</t>
  </si>
  <si>
    <t>Module Step Setting File</t>
  </si>
  <si>
    <t>Step</t>
  </si>
  <si>
    <t>Modules</t>
  </si>
  <si>
    <t>Master Data Sheet</t>
  </si>
  <si>
    <t>1x-5MIyl9niiICu-qFJd7MN3xDycv7TySrDKqPC7NSAs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</si>
  <si>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</si>
  <si>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</si>
  <si>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</si>
  <si>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</si>
  <si>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</si>
  <si>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</si>
  <si>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</si>
  <si>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</si>
  <si>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</si>
  <si>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</si>
  <si>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</si>
  <si>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</si>
  <si>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</si>
  <si>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</si>
  <si>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</si>
  <si>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</si>
  <si>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</si>
  <si>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</si>
  <si>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</si>
  <si>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</si>
  <si>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</si>
  <si>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</si>
  <si>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</si>
  <si>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</si>
  <si>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</si>
  <si>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</si>
  <si>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</si>
  <si>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</si>
  <si>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</si>
  <si>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</si>
  <si>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</si>
  <si>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</si>
  <si>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</si>
  <si>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</si>
  <si>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</si>
  <si>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</si>
  <si>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</si>
  <si>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</si>
  <si>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</si>
  <si>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</si>
  <si>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</si>
  <si>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</si>
  <si>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</si>
  <si>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</si>
  <si>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</si>
  <si>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</si>
  <si>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</si>
  <si>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</si>
  <si>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</si>
  <si>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</si>
  <si>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</si>
  <si>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</si>
  <si>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</si>
  <si>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</si>
  <si>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</si>
  <si>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</si>
  <si>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</si>
  <si>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</si>
  <si>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</si>
  <si>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</si>
  <si>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</si>
  <si>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</si>
  <si>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</si>
  <si>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</si>
  <si>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</si>
  <si>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</si>
  <si>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</si>
  <si>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</si>
  <si>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</si>
  <si>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</si>
  <si>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</si>
  <si>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</si>
  <si>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</si>
  <si>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</si>
  <si>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</si>
  <si>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</si>
  <si>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</si>
  <si>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</si>
  <si>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</si>
  <si>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</si>
  <si>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</si>
  <si>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</si>
  <si>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</si>
  <si>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</si>
  <si>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</si>
  <si>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</si>
  <si>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</si>
  <si>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</si>
  <si>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</si>
  <si>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</si>
  <si>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</si>
  <si>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</si>
  <si>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</si>
  <si>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</si>
  <si>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</si>
  <si>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</si>
  <si>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</si>
  <si>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</si>
  <si>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</si>
  <si>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</si>
  <si>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</si>
  <si>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</si>
  <si>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</si>
  <si>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</si>
  <si>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</si>
  <si>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</si>
  <si>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</si>
  <si>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</si>
  <si>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</si>
  <si>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</si>
  <si>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</si>
  <si>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</si>
  <si>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</si>
  <si>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</si>
  <si>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</si>
  <si>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</si>
  <si>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</si>
  <si>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</si>
  <si>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</si>
  <si>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</si>
  <si>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</si>
  <si>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</si>
  <si>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</si>
  <si>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</si>
  <si>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</si>
  <si>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</si>
  <si>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</si>
  <si>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</si>
  <si>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</si>
  <si>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</si>
  <si>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</si>
  <si>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</si>
  <si>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</si>
  <si>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</si>
  <si>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</si>
  <si>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</si>
  <si>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</si>
  <si>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</si>
  <si>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</si>
  <si>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</si>
  <si>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</si>
  <si>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</si>
  <si>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</si>
  <si>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</si>
  <si>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</si>
  <si>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</si>
  <si>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</si>
  <si>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</si>
  <si>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</si>
  <si>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</si>
  <si>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</si>
  <si>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</si>
  <si>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</si>
  <si>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</si>
  <si>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</si>
  <si>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</si>
  <si>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</si>
  <si>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</si>
  <si>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</si>
  <si>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</si>
  <si>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</si>
  <si>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</si>
  <si>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</si>
  <si>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</si>
  <si>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</si>
  <si>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</si>
  <si>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</si>
  <si>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</si>
  <si>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</si>
  <si>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</si>
  <si>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</si>
  <si>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</si>
  <si>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</si>
  <si>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</si>
  <si>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</si>
  <si>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</si>
  <si>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</si>
  <si>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</si>
  <si>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</si>
  <si>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</si>
  <si>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</si>
  <si>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</si>
  <si>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</si>
  <si>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</si>
  <si>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</si>
  <si>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</si>
  <si>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</si>
  <si>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</si>
  <si>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</si>
  <si>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</si>
  <si>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</si>
  <si>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</si>
  <si>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</si>
  <si>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</si>
  <si>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</si>
  <si>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</si>
  <si>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</si>
  <si>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</si>
  <si>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</si>
  <si>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</si>
  <si>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</si>
  <si>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</si>
  <si>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</si>
  <si>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</si>
  <si>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</si>
  <si>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</si>
  <si>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</si>
  <si>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</si>
  <si>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</si>
  <si>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</si>
  <si>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</si>
  <si>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</si>
  <si>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</si>
  <si>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</si>
  <si>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</si>
  <si>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</si>
  <si>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</si>
  <si>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</si>
  <si>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</si>
  <si>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</si>
  <si>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</si>
  <si>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</si>
  <si>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</si>
  <si>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</si>
  <si>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</si>
  <si>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</si>
  <si>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</si>
  <si>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</si>
  <si>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</si>
  <si>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</si>
  <si>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</si>
  <si>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</si>
  <si>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</si>
  <si>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</si>
  <si>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</si>
  <si>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</si>
  <si>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</si>
  <si>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</si>
  <si>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</si>
  <si>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</si>
  <si>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</si>
  <si>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</si>
  <si>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</si>
  <si>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</si>
  <si>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</si>
  <si>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</si>
  <si>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</si>
  <si>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</si>
  <si>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</si>
  <si>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</si>
  <si>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</si>
  <si>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</si>
  <si>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</si>
  <si>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</si>
  <si>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</si>
  <si>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</si>
  <si>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</si>
  <si>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</si>
  <si>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</si>
  <si>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</si>
  <si>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</si>
  <si>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</si>
  <si>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</si>
  <si>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</si>
  <si>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</si>
  <si>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</si>
  <si>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</si>
  <si>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</si>
  <si>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</si>
  <si>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</si>
  <si>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</si>
  <si>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</si>
  <si>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</si>
  <si>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</si>
  <si>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</si>
  <si>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</si>
  <si>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</si>
  <si>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</si>
  <si>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</si>
  <si>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</si>
  <si>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</si>
  <si>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</si>
  <si>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</si>
  <si>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</si>
  <si>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</si>
  <si>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</si>
  <si>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</si>
  <si>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</si>
  <si>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</si>
  <si>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</si>
  <si>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</si>
  <si>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</si>
  <si>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</si>
  <si>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</si>
  <si>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</si>
  <si>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</si>
  <si>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</si>
  <si>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</si>
  <si>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Data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</si>
  <si>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</si>
  <si>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</si>
  <si>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</si>
  <si>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</si>
  <si>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</si>
  <si>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</si>
  <si>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</si>
  <si>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</si>
  <si>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</si>
  <si>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</si>
  <si>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</si>
  <si>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</si>
  <si>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</si>
  <si>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</si>
  <si>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</si>
  <si>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</si>
  <si>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</si>
  <si>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</si>
  <si>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</si>
  <si>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</si>
  <si>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</si>
  <si>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</si>
  <si>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</si>
  <si>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</si>
  <si>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</si>
  <si>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</si>
  <si>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</si>
  <si>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</si>
  <si>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</si>
  <si>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</si>
  <si>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</si>
  <si>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</si>
  <si>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</si>
  <si>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</si>
  <si>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</si>
  <si>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</si>
  <si>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</si>
  <si>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</si>
  <si>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</si>
  <si>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</si>
  <si>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</si>
  <si>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</si>
  <si>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</si>
  <si>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</si>
  <si>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</si>
  <si>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</si>
  <si>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</si>
  <si>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</si>
  <si>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</si>
  <si>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</si>
  <si>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</si>
  <si>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</si>
  <si>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</si>
  <si>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</si>
  <si>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</si>
  <si>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</si>
  <si>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</si>
  <si>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</si>
  <si>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</si>
  <si>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</si>
  <si>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</si>
  <si>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</si>
  <si>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</si>
  <si>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</si>
  <si>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</si>
  <si>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</si>
  <si>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</si>
  <si>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</si>
  <si>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</si>
  <si>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</si>
  <si>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</si>
  <si>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</si>
  <si>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</si>
  <si>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</si>
  <si>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</si>
  <si>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</si>
  <si>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</si>
  <si>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</si>
  <si>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</si>
  <si>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</si>
  <si>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</si>
  <si>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</si>
  <si>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</si>
  <si>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</si>
  <si>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</si>
  <si>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</si>
  <si>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</si>
  <si>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</si>
  <si>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</si>
  <si>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</si>
  <si>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</si>
  <si>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</si>
  <si>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</si>
  <si>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</si>
  <si>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</si>
  <si>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AddMFPreferences</t>
  </si>
  <si>
    <t>146Z9ZJQiDO8EHvdwoSxV0wCV6Ek6G3uQW2D7TkUxaO8</t>
  </si>
  <si>
    <t>Data Format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</si>
  <si>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</si>
  <si>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</si>
  <si>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</si>
  <si>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</si>
  <si>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</si>
  <si>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</si>
  <si>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</si>
  <si>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</si>
  <si>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</si>
  <si>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</si>
  <si>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Input Format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</si>
  <si>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</si>
  <si>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</si>
  <si>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</si>
  <si>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</si>
  <si>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</si>
  <si>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</si>
  <si>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</si>
  <si>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</si>
  <si>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</si>
  <si>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</si>
  <si>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</si>
  <si>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</si>
  <si>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</si>
  <si>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</si>
  <si>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</si>
  <si>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</si>
  <si>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</si>
  <si>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</si>
  <si>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</si>
  <si>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</si>
  <si>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</si>
  <si>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</si>
  <si>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</si>
  <si>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</si>
  <si>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</si>
  <si>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</si>
  <si>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</si>
  <si>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</si>
  <si>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</si>
  <si>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</si>
  <si>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</si>
  <si>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</si>
  <si>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</si>
  <si>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</si>
  <si>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</si>
  <si>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</si>
  <si>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</si>
  <si>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</si>
  <si>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CloseAllocation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</si>
  <si>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</si>
  <si>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</si>
  <si>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</si>
  <si>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</si>
  <si>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</si>
  <si>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CashSettlementAtCost</t>
  </si>
  <si>
    <t>1pJueAVRAi97uyXM0O686g434dgncNO-iK4hh0lSer_o</t>
  </si>
  <si>
    <t>SaveAllocation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</si>
  <si>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</si>
  <si>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</si>
  <si>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</si>
  <si>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</si>
  <si>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</si>
  <si>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</si>
  <si>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</si>
  <si>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</si>
  <si>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</si>
  <si>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</si>
  <si>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</si>
  <si>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</si>
  <si>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</si>
  <si>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</si>
  <si>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</si>
  <si>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</si>
  <si>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</si>
  <si>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</si>
  <si>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</si>
  <si>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</si>
  <si>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UnallocateWithOutSave</t>
  </si>
  <si>
    <t>10Ls_qaWBrZGD6Hu6PwXHM_creNWqKJBF1vx_W_hD7II</t>
  </si>
  <si>
    <t>GenerateCashTransaction</t>
  </si>
  <si>
    <t>VerifyCloseOrder</t>
  </si>
  <si>
    <t>1OnFHTJtkJDxG5Vv6GKA_Ok_qmW3Mx6sdmrMe_JPeiEo</t>
  </si>
  <si>
    <t>SetMFPrefFundDefaultRule</t>
  </si>
  <si>
    <t>UnWindCloseOrder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</si>
  <si>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</si>
  <si>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</si>
  <si>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</si>
  <si>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</si>
  <si>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</si>
  <si>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</si>
  <si>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1sXKcAWtu9h5YRA9QWyV7gfdN0atri6beiInDSd-hCmo</t>
  </si>
  <si>
    <t>DeleteMFPreferenceToolbar</t>
  </si>
  <si>
    <t>ClosingCleanUp</t>
  </si>
  <si>
    <t>DeleteMFPreferences</t>
  </si>
  <si>
    <t>1mOvKBSjjS9PQDaWPPD2DXRjWNh0AmB0d7I3UzPUEELo</t>
  </si>
  <si>
    <t>AddMFPreferenceToolbar</t>
  </si>
  <si>
    <t>ModifyGRPreferenceValues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</si>
  <si>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</si>
  <si>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</si>
  <si>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</si>
  <si>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</si>
  <si>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</si>
  <si>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</si>
  <si>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</si>
  <si>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UpdateGRDefaultRule</t>
  </si>
  <si>
    <t>UpdateGeneralRulePref</t>
  </si>
  <si>
    <t>UpdateGRStrategyValue</t>
  </si>
  <si>
    <t>UpdateGRAccountValue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</si>
  <si>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</si>
  <si>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</si>
  <si>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</si>
  <si>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</si>
  <si>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</si>
  <si>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</si>
  <si>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</si>
  <si>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</si>
  <si>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</si>
  <si>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</si>
  <si>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</si>
  <si>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</si>
  <si>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</si>
  <si>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</si>
  <si>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</si>
  <si>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</si>
  <si>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</si>
  <si>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</si>
  <si>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</si>
  <si>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</si>
  <si>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</si>
  <si>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</si>
  <si>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</si>
  <si>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</si>
  <si>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</si>
  <si>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</si>
  <si>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</si>
  <si>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</si>
  <si>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</si>
  <si>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</si>
  <si>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</si>
  <si>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</si>
  <si>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</si>
  <si>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</si>
  <si>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PreferenceName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</si>
  <si>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</si>
  <si>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</si>
  <si>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</si>
  <si>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</si>
  <si>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</si>
  <si>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</si>
  <si>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</si>
  <si>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</si>
  <si>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</si>
  <si>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</si>
  <si>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</si>
  <si>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</si>
  <si>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</si>
  <si>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</si>
  <si>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</si>
  <si>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</si>
  <si>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</si>
  <si>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</si>
  <si>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</si>
  <si>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</si>
  <si>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</si>
  <si>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</si>
  <si>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</si>
  <si>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</si>
  <si>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</si>
  <si>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</si>
  <si>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</si>
  <si>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</si>
  <si>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</si>
  <si>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</si>
  <si>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</si>
  <si>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</si>
  <si>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</si>
  <si>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</si>
  <si>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</si>
  <si>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</si>
  <si>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</si>
  <si>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</si>
  <si>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</si>
  <si>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</si>
  <si>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</si>
  <si>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</si>
  <si>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</si>
  <si>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</si>
  <si>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</si>
  <si>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</si>
  <si>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</si>
  <si>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</si>
  <si>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</si>
  <si>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</si>
  <si>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</si>
  <si>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</si>
  <si>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</si>
  <si>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</si>
  <si>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</si>
  <si>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</si>
  <si>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</si>
  <si>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</si>
  <si>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</si>
  <si>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</si>
  <si>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</si>
  <si>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</si>
  <si>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</si>
  <si>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</si>
  <si>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</si>
  <si>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</si>
  <si>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</si>
  <si>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</si>
  <si>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</si>
  <si>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</si>
  <si>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</si>
  <si>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</si>
  <si>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</si>
  <si>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</si>
  <si>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</si>
  <si>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</si>
  <si>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</si>
  <si>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</si>
  <si>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</si>
  <si>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</si>
  <si>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</si>
  <si>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</si>
  <si>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</si>
  <si>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</si>
  <si>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</si>
  <si>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</si>
  <si>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</si>
  <si>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</si>
  <si>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</si>
  <si>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</si>
  <si>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</si>
  <si>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</si>
  <si>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</si>
  <si>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</si>
  <si>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</si>
  <si>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MatchClosingTransaction</t>
  </si>
  <si>
    <t>NewMF</t>
  </si>
  <si>
    <t>Current Preference</t>
  </si>
  <si>
    <t>MasterFundName</t>
  </si>
  <si>
    <t>TargetPercentage</t>
  </si>
  <si>
    <t>NewMF1</t>
  </si>
  <si>
    <t>MasterFund</t>
  </si>
  <si>
    <t>AccountName</t>
  </si>
  <si>
    <t>Percentage</t>
  </si>
  <si>
    <t>Allocation1</t>
  </si>
  <si>
    <t>Allocation3</t>
  </si>
  <si>
    <t>MatchClosingTransactions</t>
  </si>
  <si>
    <t>Fair Pricing</t>
  </si>
  <si>
    <t>Account Inception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</si>
  <si>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</si>
  <si>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</si>
  <si>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</si>
  <si>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</si>
  <si>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</si>
  <si>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</si>
  <si>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</si>
  <si>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</si>
  <si>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</si>
  <si>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Equity</t>
  </si>
  <si>
    <t>Buy,Sell</t>
  </si>
  <si>
    <t>Prorata</t>
  </si>
  <si>
    <t>Allocation1,Allocation3</t>
  </si>
  <si>
    <t>Trade Quantity</t>
  </si>
  <si>
    <t>Exclude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</si>
  <si>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</si>
  <si>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</si>
  <si>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</si>
  <si>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</si>
  <si>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</si>
  <si>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</si>
  <si>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</si>
  <si>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</si>
  <si>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</si>
  <si>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</si>
  <si>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</si>
  <si>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</si>
  <si>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</si>
  <si>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</si>
  <si>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</si>
  <si>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</si>
  <si>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</si>
  <si>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</si>
  <si>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</si>
  <si>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</si>
  <si>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</si>
  <si>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</si>
  <si>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</si>
  <si>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</si>
  <si>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</si>
  <si>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</si>
  <si>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</si>
  <si>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</si>
  <si>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</si>
  <si>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</si>
  <si>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</si>
  <si>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</si>
  <si>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</si>
  <si>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</si>
  <si>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</si>
  <si>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</si>
  <si>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</si>
  <si>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</si>
  <si>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CL F9</t>
  </si>
  <si>
    <t>Buy to Open</t>
  </si>
  <si>
    <t>MSFT</t>
  </si>
  <si>
    <t>Buy</t>
  </si>
  <si>
    <t>Sell</t>
  </si>
  <si>
    <t>FLO</t>
  </si>
  <si>
    <t>Allocation3,Allocation1</t>
  </si>
  <si>
    <t>75,25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</si>
  <si>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</si>
  <si>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</si>
  <si>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</si>
  <si>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</si>
  <si>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</si>
  <si>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</si>
  <si>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</si>
  <si>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</si>
  <si>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</si>
  <si>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</si>
  <si>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</si>
  <si>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</si>
  <si>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</si>
  <si>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</si>
  <si>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</si>
  <si>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</si>
  <si>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</si>
  <si>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</si>
  <si>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</si>
  <si>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</si>
  <si>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</si>
  <si>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</si>
  <si>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</si>
  <si>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</si>
  <si>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</si>
  <si>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</si>
  <si>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</si>
  <si>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</si>
  <si>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</si>
  <si>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</si>
  <si>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</si>
  <si>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</si>
  <si>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</si>
  <si>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</si>
  <si>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</si>
  <si>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</si>
  <si>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</si>
  <si>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</si>
  <si>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</si>
  <si>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</si>
  <si>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</si>
  <si>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</si>
  <si>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</si>
  <si>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</si>
  <si>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</si>
  <si>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</si>
  <si>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</si>
  <si>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</si>
  <si>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</si>
  <si>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</si>
  <si>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</si>
  <si>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</si>
  <si>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</si>
  <si>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</si>
  <si>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</si>
  <si>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</si>
  <si>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</si>
  <si>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</si>
  <si>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</si>
  <si>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</si>
  <si>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</si>
  <si>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</si>
  <si>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</si>
  <si>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</si>
  <si>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</si>
  <si>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</si>
  <si>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</si>
  <si>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</si>
  <si>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</si>
  <si>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</si>
  <si>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</si>
  <si>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</si>
  <si>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</si>
  <si>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</si>
  <si>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</si>
  <si>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</si>
  <si>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</si>
  <si>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</si>
  <si>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</si>
  <si>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</si>
  <si>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</si>
  <si>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</si>
  <si>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</si>
  <si>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</si>
  <si>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</si>
  <si>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</si>
  <si>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</si>
  <si>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</si>
  <si>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</si>
  <si>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</si>
  <si>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</si>
  <si>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</si>
  <si>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</si>
  <si>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</si>
  <si>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</si>
  <si>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</si>
  <si>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</si>
  <si>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</si>
  <si>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</si>
  <si>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</si>
  <si>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</si>
  <si>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</si>
  <si>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</si>
  <si>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RangeType</t>
  </si>
  <si>
    <t>From</t>
  </si>
  <si>
    <t>To</t>
  </si>
  <si>
    <t>Account Filter</t>
  </si>
  <si>
    <t>Current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</si>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</sst>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Fill="1" applyFont="1"/>
    <xf borderId="0" fillId="6" fontId="13" numFmtId="0" xfId="0" applyFont="1"/>
    <xf borderId="0" fillId="0" fontId="5" numFmtId="14" xfId="0" applyAlignment="1" applyFont="1" applyNumberFormat="1">
      <alignment shrinkToFit="0" wrapText="0"/>
    </xf>
    <xf borderId="0" fillId="6" fontId="13" numFmtId="1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6</v>
      </c>
      <c r="B3" s="12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404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417</v>
      </c>
      <c r="C207" t="s">
        <v>418</v>
      </c>
    </row>
    <row r="208" ht="15.75" customHeight="1">
      <c r="A208" t="s">
        <v>27</v>
      </c>
      <c r="B208" t="s">
        <v>419</v>
      </c>
      <c r="C208" t="s">
        <v>420</v>
      </c>
    </row>
    <row r="209" ht="15.75" customHeight="1">
      <c r="A209" t="s">
        <v>27</v>
      </c>
      <c r="B209" t="s">
        <v>421</v>
      </c>
      <c r="C209" t="s">
        <v>422</v>
      </c>
    </row>
    <row r="210" ht="15.75" customHeight="1">
      <c r="A210" t="s">
        <v>27</v>
      </c>
      <c r="B210" t="s">
        <v>423</v>
      </c>
      <c r="C210" t="s">
        <v>424</v>
      </c>
    </row>
    <row r="211" ht="15.75" customHeight="1">
      <c r="A211" t="s">
        <v>27</v>
      </c>
      <c r="B211" t="s">
        <v>425</v>
      </c>
      <c r="C211" t="s">
        <v>426</v>
      </c>
    </row>
    <row r="212" ht="15.75" customHeight="1">
      <c r="A212" t="s">
        <v>27</v>
      </c>
      <c r="B212" t="s">
        <v>427</v>
      </c>
      <c r="C212" t="s">
        <v>428</v>
      </c>
    </row>
    <row r="213" ht="15.75" customHeight="1">
      <c r="A213" t="s">
        <v>27</v>
      </c>
      <c r="B213" t="s">
        <v>429</v>
      </c>
      <c r="C213" t="s">
        <v>430</v>
      </c>
    </row>
    <row r="214" ht="15.75" customHeight="1">
      <c r="A214" t="s">
        <v>50</v>
      </c>
      <c r="B214" t="s">
        <v>431</v>
      </c>
      <c r="C214" t="s">
        <v>432</v>
      </c>
    </row>
    <row r="215" ht="15.75" customHeight="1">
      <c r="A215" t="s">
        <v>50</v>
      </c>
      <c r="B215" t="s">
        <v>433</v>
      </c>
      <c r="C215" t="s">
        <v>434</v>
      </c>
    </row>
    <row r="216" ht="15.75" customHeight="1">
      <c r="A216" t="s">
        <v>50</v>
      </c>
      <c r="B216" t="s">
        <v>435</v>
      </c>
      <c r="C216" t="s">
        <v>436</v>
      </c>
    </row>
    <row r="217" ht="15.75" customHeight="1">
      <c r="A217" t="s">
        <v>50</v>
      </c>
      <c r="B217" t="s">
        <v>437</v>
      </c>
      <c r="C217" t="s">
        <v>438</v>
      </c>
    </row>
    <row r="218" ht="15.75" customHeight="1">
      <c r="A218" t="s">
        <v>271</v>
      </c>
      <c r="B218" t="s">
        <v>439</v>
      </c>
      <c r="C218" t="s">
        <v>440</v>
      </c>
    </row>
    <row r="219" ht="15.75" customHeight="1">
      <c r="A219" t="s">
        <v>271</v>
      </c>
      <c r="B219" t="s">
        <v>441</v>
      </c>
      <c r="C219" t="s">
        <v>442</v>
      </c>
    </row>
    <row r="220" ht="15.75" customHeight="1">
      <c r="A220" t="s">
        <v>271</v>
      </c>
      <c r="B220" t="s">
        <v>443</v>
      </c>
      <c r="C220" t="s">
        <v>444</v>
      </c>
    </row>
    <row r="221" ht="15.75" customHeight="1">
      <c r="A221" t="s">
        <v>271</v>
      </c>
      <c r="B221" t="s">
        <v>445</v>
      </c>
      <c r="C221" t="s">
        <v>446</v>
      </c>
    </row>
    <row r="222" ht="15.75" customHeight="1">
      <c r="A222" t="s">
        <v>271</v>
      </c>
      <c r="B222" t="s">
        <v>447</v>
      </c>
      <c r="C222" t="s">
        <v>448</v>
      </c>
    </row>
    <row r="223" ht="15.75" customHeight="1">
      <c r="A223" t="s">
        <v>271</v>
      </c>
      <c r="B223" t="s">
        <v>449</v>
      </c>
      <c r="C223" t="s">
        <v>450</v>
      </c>
    </row>
    <row r="224" ht="15.75" customHeight="1">
      <c r="A224" t="s">
        <v>271</v>
      </c>
      <c r="B224" t="s">
        <v>451</v>
      </c>
      <c r="C224" t="s">
        <v>452</v>
      </c>
    </row>
    <row r="225" ht="15.75" customHeight="1">
      <c r="A225" t="s">
        <v>271</v>
      </c>
      <c r="B225" t="s">
        <v>453</v>
      </c>
      <c r="C225" t="s">
        <v>454</v>
      </c>
    </row>
    <row r="226" ht="15.75" customHeight="1">
      <c r="A226" t="s">
        <v>271</v>
      </c>
      <c r="B226" t="s">
        <v>461</v>
      </c>
      <c r="C226" t="s">
        <v>462</v>
      </c>
    </row>
    <row r="227" ht="15.75" customHeight="1">
      <c r="A227" t="s">
        <v>271</v>
      </c>
      <c r="B227" t="s">
        <v>464</v>
      </c>
      <c r="C227" t="s">
        <v>465</v>
      </c>
    </row>
    <row r="228" ht="15.75" customHeight="1">
      <c r="A228" t="s">
        <v>271</v>
      </c>
      <c r="B228" t="s">
        <v>466</v>
      </c>
      <c r="C228" t="s">
        <v>467</v>
      </c>
    </row>
    <row r="229" ht="15.75" customHeight="1">
      <c r="A229" t="s">
        <v>271</v>
      </c>
      <c r="B229" t="s">
        <v>468</v>
      </c>
      <c r="C229" t="s">
        <v>469</v>
      </c>
    </row>
    <row r="230" ht="15.75" customHeight="1">
      <c r="A230" t="s">
        <v>271</v>
      </c>
      <c r="B230" t="s">
        <v>470</v>
      </c>
      <c r="C230" t="s">
        <v>471</v>
      </c>
    </row>
    <row r="231" ht="15.75" customHeight="1">
      <c r="A231" t="s">
        <v>271</v>
      </c>
      <c r="B231" t="s">
        <v>472</v>
      </c>
      <c r="C231" t="s">
        <v>473</v>
      </c>
    </row>
    <row r="232" ht="15.75" customHeight="1">
      <c r="A232" t="s">
        <v>271</v>
      </c>
      <c r="B232" t="s">
        <v>474</v>
      </c>
      <c r="C232" t="s">
        <v>475</v>
      </c>
    </row>
    <row r="233" ht="15.75" customHeight="1">
      <c r="A233" t="s">
        <v>271</v>
      </c>
      <c r="B233" t="s">
        <v>476</v>
      </c>
      <c r="C233" t="s">
        <v>477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478</v>
      </c>
      <c r="C235" t="s">
        <v>479</v>
      </c>
    </row>
    <row r="236" ht="15.75" customHeight="1">
      <c r="A236" t="s">
        <v>271</v>
      </c>
      <c r="B236" t="s">
        <v>480</v>
      </c>
      <c r="C236" t="s">
        <v>481</v>
      </c>
    </row>
    <row r="237" ht="15.75" customHeight="1">
      <c r="A237" t="s">
        <v>271</v>
      </c>
      <c r="B237" t="s">
        <v>482</v>
      </c>
      <c r="C237" t="s">
        <v>483</v>
      </c>
    </row>
    <row r="238" ht="15.75" customHeight="1">
      <c r="A238" t="s">
        <v>271</v>
      </c>
      <c r="B238" t="s">
        <v>398</v>
      </c>
      <c r="C238" t="s">
        <v>485</v>
      </c>
    </row>
    <row r="239" ht="15.75" customHeight="1">
      <c r="A239" t="s">
        <v>271</v>
      </c>
      <c r="B239" t="s">
        <v>487</v>
      </c>
      <c r="C239" t="s">
        <v>488</v>
      </c>
    </row>
    <row r="240" ht="15.75" customHeight="1">
      <c r="A240" t="s">
        <v>271</v>
      </c>
      <c r="B240" t="s">
        <v>490</v>
      </c>
      <c r="C240" t="s">
        <v>497</v>
      </c>
    </row>
    <row r="241" ht="15.75" customHeight="1">
      <c r="A241" t="s">
        <v>271</v>
      </c>
      <c r="B241" t="s">
        <v>499</v>
      </c>
      <c r="C241" t="s">
        <v>501</v>
      </c>
    </row>
    <row r="242" ht="15.75" customHeight="1">
      <c r="A242" t="s">
        <v>271</v>
      </c>
      <c r="B242" t="s">
        <v>504</v>
      </c>
      <c r="C242" t="s">
        <v>505</v>
      </c>
    </row>
    <row r="243" ht="15.75" customHeight="1">
      <c r="A243" t="s">
        <v>31</v>
      </c>
      <c r="B243" t="s">
        <v>506</v>
      </c>
      <c r="C243" t="s">
        <v>507</v>
      </c>
    </row>
    <row r="244" ht="15.75" customHeight="1">
      <c r="A244" t="s">
        <v>31</v>
      </c>
      <c r="B244" t="s">
        <v>508</v>
      </c>
    </row>
    <row r="245" ht="15.75" customHeight="1">
      <c r="A245" t="s">
        <v>31</v>
      </c>
      <c r="B245" t="s">
        <v>509</v>
      </c>
      <c r="C245" t="s">
        <v>510</v>
      </c>
    </row>
    <row r="246" ht="15.75" customHeight="1">
      <c r="A246" t="s">
        <v>31</v>
      </c>
      <c r="B246" t="s">
        <v>515</v>
      </c>
      <c r="C246" t="s">
        <v>516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517</v>
      </c>
      <c r="C248" t="s">
        <v>518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519</v>
      </c>
      <c r="C250" t="s">
        <v>520</v>
      </c>
    </row>
    <row r="251" ht="15.75" customHeight="1">
      <c r="A251" t="s">
        <v>50</v>
      </c>
      <c r="B251" t="s">
        <v>521</v>
      </c>
      <c r="C251" t="s">
        <v>522</v>
      </c>
    </row>
    <row r="252" ht="15.75" customHeight="1">
      <c r="A252" t="s">
        <v>50</v>
      </c>
      <c r="B252" t="s">
        <v>523</v>
      </c>
      <c r="C252" t="s">
        <v>524</v>
      </c>
    </row>
    <row r="253" ht="15.75" customHeight="1">
      <c r="A253" t="s">
        <v>50</v>
      </c>
      <c r="B253" t="s">
        <v>525</v>
      </c>
      <c r="C253" t="s">
        <v>526</v>
      </c>
    </row>
    <row r="254" ht="15.75" customHeight="1">
      <c r="A254" t="s">
        <v>50</v>
      </c>
      <c r="B254" t="s">
        <v>527</v>
      </c>
      <c r="C254" t="s">
        <v>528</v>
      </c>
    </row>
    <row r="255" ht="15.75" customHeight="1">
      <c r="A255" t="s">
        <v>61</v>
      </c>
      <c r="B255" t="s">
        <v>529</v>
      </c>
      <c r="C255" t="s">
        <v>530</v>
      </c>
    </row>
    <row r="256" ht="15.75" customHeight="1">
      <c r="A256" t="s">
        <v>61</v>
      </c>
      <c r="B256" t="s">
        <v>531</v>
      </c>
      <c r="C256" t="s">
        <v>532</v>
      </c>
    </row>
    <row r="257" ht="15.75" customHeight="1">
      <c r="A257" t="s">
        <v>13</v>
      </c>
      <c r="B257" t="s">
        <v>455</v>
      </c>
    </row>
    <row r="258" ht="15.75" customHeight="1">
      <c r="A258" t="s">
        <v>61</v>
      </c>
      <c r="B258" t="s">
        <v>533</v>
      </c>
    </row>
    <row r="259" ht="15.75" customHeight="1">
      <c r="A259" t="s">
        <v>61</v>
      </c>
      <c r="B259" t="s">
        <v>534</v>
      </c>
    </row>
    <row r="260" ht="15.75" customHeight="1">
      <c r="A260" t="s">
        <v>61</v>
      </c>
      <c r="B260" t="s">
        <v>535</v>
      </c>
      <c r="C260" t="s">
        <v>536</v>
      </c>
    </row>
    <row r="261" ht="15.75" customHeight="1">
      <c r="A261" t="s">
        <v>31</v>
      </c>
      <c r="B261" t="s">
        <v>537</v>
      </c>
    </row>
    <row r="262" ht="15.75" customHeight="1">
      <c r="A262" t="s">
        <v>27</v>
      </c>
      <c r="B262" t="s">
        <v>538</v>
      </c>
      <c r="C262" t="s">
        <v>539</v>
      </c>
    </row>
    <row r="263" ht="15.75" customHeight="1">
      <c r="A263" t="s">
        <v>31</v>
      </c>
      <c r="B263" t="s">
        <v>540</v>
      </c>
      <c r="C263" t="s">
        <v>541</v>
      </c>
    </row>
    <row r="264" ht="15.75" customHeight="1">
      <c r="A264" t="s">
        <v>104</v>
      </c>
      <c r="B264" t="s">
        <v>542</v>
      </c>
      <c r="C264" t="s">
        <v>543</v>
      </c>
    </row>
    <row r="265" ht="15.75" customHeight="1">
      <c r="A265" t="s">
        <v>48</v>
      </c>
      <c r="B265" t="s">
        <v>544</v>
      </c>
      <c r="C265" t="s">
        <v>545</v>
      </c>
    </row>
    <row r="266" ht="15.75" customHeight="1">
      <c r="A266" t="s">
        <v>104</v>
      </c>
      <c r="B266" t="s">
        <v>546</v>
      </c>
      <c r="C266" t="s">
        <v>547</v>
      </c>
    </row>
    <row r="267" ht="15.75" customHeight="1">
      <c r="A267" t="s">
        <v>104</v>
      </c>
      <c r="B267" t="s">
        <v>548</v>
      </c>
      <c r="C267" t="s">
        <v>550</v>
      </c>
    </row>
    <row r="268" ht="15.75" customHeight="1">
      <c r="A268" t="s">
        <v>551</v>
      </c>
      <c r="B268" t="s">
        <v>552</v>
      </c>
      <c r="C268" t="s">
        <v>553</v>
      </c>
    </row>
    <row r="269" ht="15.75" customHeight="1">
      <c r="A269" t="s">
        <v>554</v>
      </c>
      <c r="B269" t="s">
        <v>555</v>
      </c>
      <c r="C269" t="s">
        <v>556</v>
      </c>
    </row>
    <row r="270" ht="15.75" customHeight="1">
      <c r="A270" t="s">
        <v>557</v>
      </c>
      <c r="B270" t="s">
        <v>558</v>
      </c>
      <c r="C270" t="s">
        <v>559</v>
      </c>
    </row>
    <row r="271" ht="15.75" customHeight="1">
      <c r="A271" t="s">
        <v>560</v>
      </c>
      <c r="B271" t="s">
        <v>561</v>
      </c>
      <c r="C271" t="s">
        <v>562</v>
      </c>
    </row>
    <row r="272" ht="15.75" customHeight="1">
      <c r="A272" t="s">
        <v>560</v>
      </c>
      <c r="B272" t="s">
        <v>563</v>
      </c>
      <c r="C272" t="s">
        <v>564</v>
      </c>
    </row>
    <row r="273" ht="15.75" customHeight="1">
      <c r="A273" t="s">
        <v>560</v>
      </c>
      <c r="B273" t="s">
        <v>565</v>
      </c>
      <c r="C273" t="s">
        <v>566</v>
      </c>
    </row>
    <row r="274" ht="15.75" customHeight="1">
      <c r="A274" t="s">
        <v>560</v>
      </c>
      <c r="B274" t="s">
        <v>567</v>
      </c>
      <c r="C274" t="s">
        <v>568</v>
      </c>
    </row>
    <row r="275" ht="15.75" customHeight="1">
      <c r="A275" t="s">
        <v>560</v>
      </c>
      <c r="B275" t="s">
        <v>569</v>
      </c>
      <c r="C275" t="s">
        <v>570</v>
      </c>
    </row>
    <row r="276" ht="15.75" customHeight="1">
      <c r="A276" t="s">
        <v>560</v>
      </c>
      <c r="B276" t="s">
        <v>571</v>
      </c>
      <c r="C276" t="s">
        <v>572</v>
      </c>
    </row>
    <row r="277" ht="15.75" customHeight="1">
      <c r="A277" t="s">
        <v>61</v>
      </c>
      <c r="B277" t="s">
        <v>573</v>
      </c>
      <c r="C277" t="s">
        <v>574</v>
      </c>
    </row>
    <row r="278" ht="15.75" customHeight="1">
      <c r="A278" t="s">
        <v>560</v>
      </c>
      <c r="B278" t="s">
        <v>575</v>
      </c>
      <c r="C278" t="s">
        <v>576</v>
      </c>
    </row>
    <row r="279" ht="15.75" customHeight="1">
      <c r="A279" t="s">
        <v>560</v>
      </c>
      <c r="B279" t="s">
        <v>577</v>
      </c>
      <c r="C279" t="s">
        <v>578</v>
      </c>
    </row>
    <row r="280" ht="15.75" customHeight="1">
      <c r="A280" t="s">
        <v>560</v>
      </c>
      <c r="B280" t="s">
        <v>579</v>
      </c>
      <c r="C280" t="s">
        <v>580</v>
      </c>
    </row>
    <row r="281" ht="15.75" customHeight="1">
      <c r="A281" t="s">
        <v>293</v>
      </c>
      <c r="B281" t="s">
        <v>581</v>
      </c>
      <c r="C281" t="s">
        <v>582</v>
      </c>
    </row>
    <row r="282" ht="15.75" customHeight="1">
      <c r="A282" t="s">
        <v>293</v>
      </c>
      <c r="B282" t="s">
        <v>583</v>
      </c>
      <c r="C282" t="s">
        <v>584</v>
      </c>
    </row>
    <row r="283" ht="15.75" customHeight="1">
      <c r="A283" t="s">
        <v>293</v>
      </c>
      <c r="B283" t="s">
        <v>585</v>
      </c>
      <c r="C283" t="s">
        <v>586</v>
      </c>
    </row>
    <row r="284" ht="15.75" customHeight="1">
      <c r="A284" t="s">
        <v>293</v>
      </c>
      <c r="B284" t="s">
        <v>587</v>
      </c>
      <c r="C284" t="s">
        <v>588</v>
      </c>
    </row>
    <row r="285" ht="15.75" customHeight="1">
      <c r="A285" t="s">
        <v>293</v>
      </c>
      <c r="B285" t="s">
        <v>589</v>
      </c>
      <c r="C285" t="s">
        <v>590</v>
      </c>
    </row>
    <row r="286" ht="15.75" customHeight="1">
      <c r="A286" t="s">
        <v>13</v>
      </c>
      <c r="B286" t="s">
        <v>514</v>
      </c>
      <c r="C286" t="s">
        <v>183</v>
      </c>
    </row>
    <row r="287" ht="15.75" customHeight="1">
      <c r="A287" t="s">
        <v>293</v>
      </c>
      <c r="B287" t="s">
        <v>591</v>
      </c>
      <c r="C287" t="s">
        <v>592</v>
      </c>
    </row>
    <row r="288" ht="15.75" customHeight="1">
      <c r="A288" t="s">
        <v>13</v>
      </c>
      <c r="B288" t="s">
        <v>513</v>
      </c>
      <c r="C288" t="s">
        <v>593</v>
      </c>
    </row>
    <row r="289" ht="15.75" customHeight="1">
      <c r="A289" t="s">
        <v>13</v>
      </c>
      <c r="B289" t="s">
        <v>511</v>
      </c>
      <c r="C289" t="s">
        <v>161</v>
      </c>
    </row>
    <row r="290" ht="15.75" customHeight="1">
      <c r="A290" t="s">
        <v>13</v>
      </c>
      <c r="B290" t="s">
        <v>512</v>
      </c>
    </row>
    <row r="291" ht="15.75" customHeight="1">
      <c r="A291" t="s">
        <v>27</v>
      </c>
      <c r="B291" t="s">
        <v>594</v>
      </c>
      <c r="C291" t="s">
        <v>595</v>
      </c>
    </row>
    <row r="292" ht="15.75" customHeight="1">
      <c r="A292" t="s">
        <v>90</v>
      </c>
      <c r="B292" t="s">
        <v>596</v>
      </c>
      <c r="C292" t="s">
        <v>597</v>
      </c>
    </row>
    <row r="293" ht="15.75" customHeight="1">
      <c r="A293" t="s">
        <v>13</v>
      </c>
      <c r="B293" t="s">
        <v>503</v>
      </c>
    </row>
    <row r="294" ht="15.75" customHeight="1">
      <c r="A294" t="s">
        <v>13</v>
      </c>
      <c r="B294" t="s">
        <v>403</v>
      </c>
      <c r="C294" t="s">
        <v>145</v>
      </c>
    </row>
    <row r="295" ht="15.75" customHeight="1">
      <c r="A295" t="s">
        <v>13</v>
      </c>
      <c r="B295" t="s">
        <v>502</v>
      </c>
      <c r="C295" t="s">
        <v>598</v>
      </c>
    </row>
    <row r="296" ht="15.75" customHeight="1">
      <c r="A296" t="s">
        <v>13</v>
      </c>
      <c r="B296" t="s">
        <v>500</v>
      </c>
      <c r="C296" t="s">
        <v>599</v>
      </c>
    </row>
    <row r="297" ht="15.75" customHeight="1">
      <c r="A297" t="s">
        <v>13</v>
      </c>
      <c r="B297" t="s">
        <v>498</v>
      </c>
      <c r="C297" t="s">
        <v>600</v>
      </c>
    </row>
    <row r="298" ht="15.75" customHeight="1">
      <c r="A298" t="s">
        <v>13</v>
      </c>
      <c r="B298" t="s">
        <v>496</v>
      </c>
      <c r="C298" t="s">
        <v>601</v>
      </c>
    </row>
    <row r="299" ht="15.75" customHeight="1">
      <c r="A299" t="s">
        <v>13</v>
      </c>
      <c r="B299" t="s">
        <v>456</v>
      </c>
    </row>
    <row r="300" ht="15.75" customHeight="1">
      <c r="A300" t="s">
        <v>13</v>
      </c>
      <c r="B300" t="s">
        <v>495</v>
      </c>
      <c r="C300" t="s">
        <v>602</v>
      </c>
    </row>
    <row r="301" ht="15.75" customHeight="1">
      <c r="A301" t="s">
        <v>13</v>
      </c>
      <c r="B301" t="s">
        <v>457</v>
      </c>
    </row>
    <row r="302" ht="15.75" customHeight="1">
      <c r="A302" t="s">
        <v>13</v>
      </c>
      <c r="B302" t="s">
        <v>494</v>
      </c>
      <c r="C302" t="s">
        <v>603</v>
      </c>
    </row>
    <row r="303" ht="15.75" customHeight="1">
      <c r="A303" t="s">
        <v>13</v>
      </c>
      <c r="B303" t="s">
        <v>493</v>
      </c>
      <c r="C303" t="s">
        <v>604</v>
      </c>
    </row>
    <row r="304" ht="15.75" customHeight="1">
      <c r="A304" t="s">
        <v>13</v>
      </c>
      <c r="B304" t="s">
        <v>492</v>
      </c>
      <c r="C304" t="s">
        <v>605</v>
      </c>
    </row>
    <row r="305" ht="15.75" customHeight="1">
      <c r="A305" t="s">
        <v>13</v>
      </c>
      <c r="B305" t="s">
        <v>491</v>
      </c>
      <c r="C305" t="s">
        <v>606</v>
      </c>
    </row>
    <row r="306" ht="15.75" customHeight="1">
      <c r="A306" t="s">
        <v>13</v>
      </c>
      <c r="B306" t="s">
        <v>489</v>
      </c>
      <c r="C306" t="s">
        <v>607</v>
      </c>
    </row>
    <row r="307" ht="15.75" customHeight="1">
      <c r="A307" t="s">
        <v>560</v>
      </c>
      <c r="B307" t="s">
        <v>608</v>
      </c>
      <c r="C307" t="s">
        <v>609</v>
      </c>
    </row>
    <row r="308" ht="15.75" customHeight="1">
      <c r="A308" t="s">
        <v>13</v>
      </c>
      <c r="B308" t="s">
        <v>458</v>
      </c>
    </row>
    <row r="309" ht="15.75" customHeight="1">
      <c r="A309" t="s">
        <v>13</v>
      </c>
      <c r="B309" t="s">
        <v>459</v>
      </c>
    </row>
    <row r="310" ht="15.75" customHeight="1">
      <c r="A310" t="s">
        <v>13</v>
      </c>
      <c r="B310" t="s">
        <v>460</v>
      </c>
    </row>
    <row r="311" ht="15.75" customHeight="1">
      <c r="A311" t="s">
        <v>13</v>
      </c>
      <c r="B311" t="s">
        <v>486</v>
      </c>
      <c r="C311" t="s">
        <v>610</v>
      </c>
    </row>
    <row r="312" ht="15.75" customHeight="1">
      <c r="A312" t="s">
        <v>13</v>
      </c>
      <c r="B312" t="s">
        <v>463</v>
      </c>
      <c r="C312" t="s">
        <v>12</v>
      </c>
    </row>
    <row r="313" ht="15.75" customHeight="1">
      <c r="A313" t="s">
        <v>13</v>
      </c>
      <c r="B313" t="s">
        <v>484</v>
      </c>
      <c r="C313" t="s">
        <v>611</v>
      </c>
    </row>
    <row r="314" ht="15.75" customHeight="1">
      <c r="A314" t="s">
        <v>554</v>
      </c>
      <c r="B314" t="s">
        <v>612</v>
      </c>
      <c r="C314" t="s">
        <v>613</v>
      </c>
    </row>
    <row r="315" ht="15.75" customHeight="1">
      <c r="A315" t="s">
        <v>551</v>
      </c>
      <c r="B315" t="s">
        <v>614</v>
      </c>
      <c r="C315" t="s">
        <v>615</v>
      </c>
    </row>
    <row r="316" ht="15.75" customHeight="1">
      <c r="A316" t="s">
        <v>220</v>
      </c>
      <c r="B316" t="s">
        <v>616</v>
      </c>
      <c r="C316" t="s">
        <v>617</v>
      </c>
    </row>
    <row r="317" ht="15.75" customHeight="1">
      <c r="A317" t="s">
        <v>557</v>
      </c>
      <c r="B317" t="s">
        <v>618</v>
      </c>
      <c r="C317" t="s">
        <v>619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10" t="s">
        <v>4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5</v>
      </c>
      <c r="C3" s="9" t="s">
        <v>7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380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621</v>
      </c>
      <c r="D5" s="27" t="s">
        <v>622</v>
      </c>
      <c r="E5" s="27" t="s">
        <v>623</v>
      </c>
      <c r="F5" s="28" t="s">
        <v>624</v>
      </c>
      <c r="G5" s="27" t="s">
        <v>625</v>
      </c>
      <c r="H5" s="27" t="s">
        <v>626</v>
      </c>
      <c r="I5" s="27" t="s">
        <v>627</v>
      </c>
      <c r="J5" s="27" t="s">
        <v>628</v>
      </c>
      <c r="K5" s="27" t="s">
        <v>629</v>
      </c>
      <c r="L5" s="27" t="s">
        <v>630</v>
      </c>
      <c r="M5" s="27" t="s">
        <v>631</v>
      </c>
      <c r="N5" s="27" t="s">
        <v>632</v>
      </c>
      <c r="O5" s="27" t="s">
        <v>633</v>
      </c>
      <c r="P5" s="27" t="s">
        <v>634</v>
      </c>
      <c r="Q5" s="27" t="s">
        <v>635</v>
      </c>
      <c r="R5" s="27" t="s">
        <v>636</v>
      </c>
      <c r="S5" s="27" t="s">
        <v>637</v>
      </c>
      <c r="T5" s="29" t="s">
        <v>638</v>
      </c>
      <c r="U5" s="29" t="s">
        <v>639</v>
      </c>
      <c r="V5" s="29" t="s">
        <v>640</v>
      </c>
      <c r="W5" s="29" t="s">
        <v>641</v>
      </c>
      <c r="X5" s="29" t="s">
        <v>642</v>
      </c>
      <c r="Y5" s="29" t="s">
        <v>643</v>
      </c>
      <c r="Z5" s="29" t="s">
        <v>644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V6" s="17" t="b">
        <v>1</v>
      </c>
      <c r="W6" s="17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403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tr">
        <f>"MFPref-"&amp;text(TODAY(),"dd-mm-yy")</f>
        <v>MFPref-16-04-18</v>
      </c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491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632</v>
      </c>
      <c r="D5" s="27" t="s">
        <v>633</v>
      </c>
      <c r="E5" s="27" t="s">
        <v>634</v>
      </c>
      <c r="F5" s="28" t="s">
        <v>549</v>
      </c>
      <c r="G5" s="27" t="s">
        <v>645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646</v>
      </c>
      <c r="C6" s="15" t="s">
        <v>647</v>
      </c>
      <c r="D6" s="15"/>
      <c r="E6" s="30"/>
      <c r="F6" s="31" t="str">
        <f>"MFPref-"&amp;text(TODAY(),"dd-mm-yy")</f>
        <v>MFPref-16-04-18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492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648</v>
      </c>
      <c r="D5" s="27" t="s">
        <v>649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 t="shared" ref="B6:B7" si="1">"MFPref-"&amp;text(TODAY(),"dd-mm-yy")</f>
        <v>MFPref-16-04-18</v>
      </c>
      <c r="C6" s="15" t="s">
        <v>646</v>
      </c>
      <c r="D6" s="15">
        <v>100.0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tr">
        <f t="shared" si="1"/>
        <v>MFPref-16-04-18</v>
      </c>
      <c r="C7" s="15" t="s">
        <v>650</v>
      </c>
      <c r="D7" s="15">
        <v>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495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651</v>
      </c>
      <c r="D5" s="27" t="s">
        <v>652</v>
      </c>
      <c r="E5" s="27" t="s">
        <v>653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 t="shared" ref="B6:B7" si="1">"MFPref-"&amp;text(TODAY(),"dd-mm-yy")</f>
        <v>MFPref-16-04-18</v>
      </c>
      <c r="C6" s="15" t="s">
        <v>646</v>
      </c>
      <c r="D6" s="15" t="s">
        <v>654</v>
      </c>
      <c r="E6" s="15">
        <v>50.0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tr">
        <f t="shared" si="1"/>
        <v>MFPref-16-04-18</v>
      </c>
      <c r="C7" s="15" t="s">
        <v>646</v>
      </c>
      <c r="D7" s="15" t="s">
        <v>655</v>
      </c>
      <c r="E7" s="15">
        <v>50.0</v>
      </c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489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651</v>
      </c>
      <c r="D5" s="27" t="s">
        <v>630</v>
      </c>
      <c r="E5" s="27" t="s">
        <v>631</v>
      </c>
      <c r="F5" s="28" t="s">
        <v>632</v>
      </c>
      <c r="G5" s="27" t="s">
        <v>633</v>
      </c>
      <c r="H5" s="27" t="s">
        <v>634</v>
      </c>
      <c r="I5" s="27" t="s">
        <v>656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>"MFPref-"&amp;text(TODAY(),"dd-mm-yy")</f>
        <v>MFPref-16-04-18</v>
      </c>
      <c r="C6" s="15" t="s">
        <v>646</v>
      </c>
      <c r="D6" s="15" t="s">
        <v>657</v>
      </c>
      <c r="E6" s="30"/>
      <c r="F6" s="15" t="s">
        <v>658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493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651</v>
      </c>
      <c r="D5" s="27" t="s">
        <v>659</v>
      </c>
      <c r="E5" s="27" t="s">
        <v>660</v>
      </c>
      <c r="F5" s="28" t="s">
        <v>661</v>
      </c>
      <c r="G5" s="27" t="s">
        <v>662</v>
      </c>
      <c r="H5" s="27" t="s">
        <v>663</v>
      </c>
      <c r="I5" s="27" t="s">
        <v>664</v>
      </c>
      <c r="J5" s="27" t="s">
        <v>665</v>
      </c>
      <c r="K5" s="27" t="s">
        <v>666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>"MFPref-"&amp;text(TODAY(),"dd-mm-yy")</f>
        <v>MFPref-16-04-18</v>
      </c>
      <c r="C6" s="15" t="s">
        <v>646</v>
      </c>
      <c r="D6" s="15"/>
      <c r="E6" s="30"/>
      <c r="F6" s="15" t="s">
        <v>667</v>
      </c>
      <c r="G6" s="15" t="s">
        <v>668</v>
      </c>
      <c r="H6" s="7"/>
      <c r="I6" s="7"/>
      <c r="J6" s="15" t="s">
        <v>667</v>
      </c>
      <c r="K6" s="15" t="s">
        <v>669</v>
      </c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514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652</v>
      </c>
      <c r="D5" s="27" t="s">
        <v>653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 t="shared" ref="B6:B7" si="1">"MFPref-"&amp;text(TODAY(),"dd-mm-yy")</f>
        <v>MFPref-16-04-18</v>
      </c>
      <c r="C6" s="15" t="s">
        <v>654</v>
      </c>
      <c r="D6" s="15">
        <v>60.0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tr">
        <f t="shared" si="1"/>
        <v>MFPref-16-04-18</v>
      </c>
      <c r="C7" s="15" t="s">
        <v>655</v>
      </c>
      <c r="D7" s="15">
        <v>40.0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511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656</v>
      </c>
      <c r="H5" s="27" t="s">
        <v>549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C6" s="15"/>
      <c r="D6" s="15" t="s">
        <v>670</v>
      </c>
      <c r="E6" s="15" t="s">
        <v>671</v>
      </c>
      <c r="F6" s="7"/>
      <c r="G6" s="7"/>
      <c r="H6" s="32" t="str">
        <f>"MFPref-"&amp;text(TODAY(),"dd-mm-yy")</f>
        <v>MFPref-16-04-18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31"/>
      <c r="C7" s="15"/>
      <c r="D7" s="15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493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651</v>
      </c>
      <c r="D5" s="27" t="s">
        <v>659</v>
      </c>
      <c r="E5" s="27" t="s">
        <v>660</v>
      </c>
      <c r="F5" s="28" t="s">
        <v>661</v>
      </c>
      <c r="G5" s="27" t="s">
        <v>662</v>
      </c>
      <c r="H5" s="27" t="s">
        <v>663</v>
      </c>
      <c r="I5" s="27" t="s">
        <v>664</v>
      </c>
      <c r="J5" s="27" t="s">
        <v>665</v>
      </c>
      <c r="K5" s="27" t="s">
        <v>666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2" t="str">
        <f>"MFPref-"&amp;text(TODAY(),"dd-mm-yy")</f>
        <v>MFPref-16-04-18</v>
      </c>
      <c r="C6" s="15" t="s">
        <v>646</v>
      </c>
      <c r="D6" s="15"/>
      <c r="E6" s="30"/>
      <c r="F6" s="17" t="s">
        <v>667</v>
      </c>
      <c r="G6" s="17" t="s">
        <v>668</v>
      </c>
      <c r="H6" s="7"/>
      <c r="I6" s="7"/>
      <c r="J6" s="15" t="s">
        <v>673</v>
      </c>
      <c r="K6" s="15" t="s">
        <v>669</v>
      </c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511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656</v>
      </c>
      <c r="H5" s="27" t="s">
        <v>549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7" t="s">
        <v>672</v>
      </c>
      <c r="C6" s="15"/>
      <c r="D6" s="15" t="s">
        <v>658</v>
      </c>
      <c r="E6" s="15"/>
      <c r="F6" s="7"/>
      <c r="G6" s="7"/>
      <c r="H6" s="32" t="str">
        <f>"MFPref-"&amp;text(TODAY(),"dd-mm-yy")</f>
        <v>MFPref-16-04-18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31"/>
      <c r="C7" s="15"/>
      <c r="D7" s="15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514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549</v>
      </c>
      <c r="C5" s="27" t="s">
        <v>652</v>
      </c>
      <c r="D5" s="27" t="s">
        <v>653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/>
      <c r="C6" s="15" t="s">
        <v>654</v>
      </c>
      <c r="D6" s="15">
        <v>64.0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15" t="s">
        <v>655</v>
      </c>
      <c r="D7" s="15">
        <v>36.0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303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674</v>
      </c>
      <c r="L4" s="24" t="s">
        <v>279</v>
      </c>
      <c r="M4" s="24" t="s">
        <v>301</v>
      </c>
      <c r="N4" s="24" t="s">
        <v>303</v>
      </c>
      <c r="O4" s="24" t="s">
        <v>548</v>
      </c>
      <c r="P4" s="25" t="s">
        <v>546</v>
      </c>
      <c r="Q4" s="25" t="s">
        <v>542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675</v>
      </c>
      <c r="C5" s="27" t="s">
        <v>676</v>
      </c>
      <c r="D5" s="27" t="s">
        <v>677</v>
      </c>
      <c r="E5" s="27" t="s">
        <v>678</v>
      </c>
      <c r="F5" s="28" t="s">
        <v>630</v>
      </c>
      <c r="G5" s="27" t="s">
        <v>679</v>
      </c>
      <c r="H5" s="27" t="s">
        <v>680</v>
      </c>
      <c r="I5" s="27" t="s">
        <v>681</v>
      </c>
      <c r="J5" s="27" t="s">
        <v>682</v>
      </c>
      <c r="K5" s="27" t="s">
        <v>683</v>
      </c>
      <c r="L5" s="27" t="s">
        <v>684</v>
      </c>
      <c r="M5" s="27" t="s">
        <v>685</v>
      </c>
      <c r="N5" s="27" t="s">
        <v>686</v>
      </c>
      <c r="O5" s="27" t="s">
        <v>687</v>
      </c>
      <c r="P5" s="27" t="s">
        <v>688</v>
      </c>
      <c r="Q5" s="27" t="s">
        <v>689</v>
      </c>
      <c r="R5" s="27" t="s">
        <v>690</v>
      </c>
      <c r="S5" s="27" t="s">
        <v>691</v>
      </c>
      <c r="T5" s="29" t="s">
        <v>692</v>
      </c>
      <c r="U5" s="29" t="s">
        <v>693</v>
      </c>
      <c r="V5" s="29" t="s">
        <v>694</v>
      </c>
      <c r="W5" s="29" t="s">
        <v>695</v>
      </c>
      <c r="X5" s="29" t="s">
        <v>696</v>
      </c>
      <c r="Y5" s="29" t="s">
        <v>697</v>
      </c>
      <c r="Z5" s="29" t="s">
        <v>698</v>
      </c>
      <c r="AA5" s="29" t="s">
        <v>699</v>
      </c>
      <c r="AB5" s="29" t="s">
        <v>700</v>
      </c>
      <c r="AC5" s="29" t="s">
        <v>701</v>
      </c>
      <c r="AD5" s="29" t="s">
        <v>702</v>
      </c>
      <c r="AE5" s="29" t="s">
        <v>703</v>
      </c>
      <c r="AF5" s="29" t="s">
        <v>704</v>
      </c>
      <c r="AG5" s="29" t="s">
        <v>705</v>
      </c>
      <c r="AH5" s="29" t="s">
        <v>706</v>
      </c>
      <c r="AI5" s="29" t="s">
        <v>707</v>
      </c>
      <c r="AJ5" s="29" t="s">
        <v>708</v>
      </c>
      <c r="AK5" s="29" t="s">
        <v>709</v>
      </c>
      <c r="AL5" s="29" t="s">
        <v>710</v>
      </c>
      <c r="AM5" s="29" t="s">
        <v>711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712</v>
      </c>
      <c r="C6" s="15" t="s">
        <v>713</v>
      </c>
      <c r="D6" s="15">
        <v>100.0</v>
      </c>
      <c r="E6" s="15">
        <v>100.0</v>
      </c>
      <c r="F6" s="32" t="str">
        <f>"MFPref-"&amp;text(TODAY(),"dd-mm-yy")</f>
        <v>MFPref-16-04-18</v>
      </c>
      <c r="G6" s="7"/>
      <c r="H6" s="7"/>
      <c r="I6" s="7"/>
      <c r="J6" s="15">
        <v>10.0</v>
      </c>
      <c r="K6" s="7"/>
      <c r="L6" s="7"/>
      <c r="M6" s="7"/>
      <c r="N6" s="33">
        <f t="shared" ref="N6:N10" si="1">TODAY()</f>
        <v>43206</v>
      </c>
      <c r="O6" s="7"/>
    </row>
    <row r="7" ht="15.75" customHeight="1">
      <c r="A7" s="7"/>
      <c r="B7" s="15" t="s">
        <v>714</v>
      </c>
      <c r="C7" s="15" t="s">
        <v>715</v>
      </c>
      <c r="D7" s="15">
        <v>100.0</v>
      </c>
      <c r="E7" s="15">
        <v>100.0</v>
      </c>
      <c r="F7" s="15" t="s">
        <v>654</v>
      </c>
      <c r="G7" s="7"/>
      <c r="H7" s="7"/>
      <c r="I7" s="7"/>
      <c r="J7" s="15">
        <v>10.0</v>
      </c>
      <c r="K7" s="7"/>
      <c r="L7" s="7"/>
      <c r="M7" s="7"/>
      <c r="N7" s="33">
        <f t="shared" si="1"/>
        <v>43206</v>
      </c>
      <c r="O7" s="7"/>
    </row>
    <row r="8" ht="15.75" customHeight="1">
      <c r="A8" s="7"/>
      <c r="B8" s="15" t="s">
        <v>714</v>
      </c>
      <c r="C8" s="15" t="s">
        <v>716</v>
      </c>
      <c r="D8" s="15">
        <v>100.0</v>
      </c>
      <c r="E8" s="15">
        <v>100.0</v>
      </c>
      <c r="F8" s="31" t="str">
        <f>"MFPref-"&amp;text(TODAY(),"dd-mm-yy")</f>
        <v>MFPref-16-04-18</v>
      </c>
      <c r="G8" s="7"/>
      <c r="H8" s="7"/>
      <c r="I8" s="7"/>
      <c r="J8" s="15">
        <v>10.0</v>
      </c>
      <c r="K8" s="7"/>
      <c r="L8" s="7"/>
      <c r="M8" s="7"/>
      <c r="N8" s="33">
        <f t="shared" si="1"/>
        <v>43206</v>
      </c>
      <c r="O8" s="7"/>
    </row>
    <row r="9" ht="15.75" customHeight="1">
      <c r="A9" s="7"/>
      <c r="B9" s="15" t="s">
        <v>717</v>
      </c>
      <c r="C9" s="15" t="s">
        <v>715</v>
      </c>
      <c r="D9" s="15">
        <v>100.0</v>
      </c>
      <c r="E9" s="15">
        <v>100.0</v>
      </c>
      <c r="F9" s="7"/>
      <c r="G9" s="7"/>
      <c r="H9" s="7"/>
      <c r="I9" s="7"/>
      <c r="J9" s="15">
        <v>10.0</v>
      </c>
      <c r="K9" s="7"/>
      <c r="L9" s="7"/>
      <c r="M9" s="7"/>
      <c r="N9" s="33">
        <f t="shared" si="1"/>
        <v>43206</v>
      </c>
      <c r="O9" s="7"/>
      <c r="AK9" s="17" t="s">
        <v>718</v>
      </c>
      <c r="AL9" s="17" t="s">
        <v>719</v>
      </c>
    </row>
    <row r="10" ht="15.75" customHeight="1">
      <c r="A10" s="7"/>
      <c r="B10" s="15" t="s">
        <v>717</v>
      </c>
      <c r="C10" s="15" t="s">
        <v>713</v>
      </c>
      <c r="D10" s="15">
        <v>100.0</v>
      </c>
      <c r="E10" s="15">
        <v>100.0</v>
      </c>
      <c r="F10" s="31" t="str">
        <f>"MFPref-"&amp;text(TODAY(),"dd-mm-yy")</f>
        <v>MFPref-16-04-18</v>
      </c>
      <c r="G10" s="7"/>
      <c r="H10" s="7"/>
      <c r="I10" s="7"/>
      <c r="J10" s="15">
        <v>10.0</v>
      </c>
      <c r="K10" s="7"/>
      <c r="L10" s="7"/>
      <c r="M10" s="7"/>
      <c r="N10" s="34">
        <f t="shared" si="1"/>
        <v>43206</v>
      </c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14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720</v>
      </c>
      <c r="C5" s="27" t="s">
        <v>721</v>
      </c>
      <c r="D5" s="27" t="s">
        <v>722</v>
      </c>
      <c r="E5" s="27" t="s">
        <v>723</v>
      </c>
      <c r="F5" s="28" t="s">
        <v>724</v>
      </c>
      <c r="G5" s="27" t="s">
        <v>725</v>
      </c>
      <c r="H5" s="27" t="s">
        <v>726</v>
      </c>
      <c r="I5" s="27" t="s">
        <v>727</v>
      </c>
      <c r="J5" s="27" t="s">
        <v>728</v>
      </c>
      <c r="K5" s="27" t="s">
        <v>729</v>
      </c>
      <c r="L5" s="27" t="s">
        <v>730</v>
      </c>
      <c r="M5" s="27" t="s">
        <v>731</v>
      </c>
      <c r="N5" s="27" t="s">
        <v>732</v>
      </c>
      <c r="O5" s="27" t="s">
        <v>679</v>
      </c>
      <c r="P5" s="27" t="s">
        <v>733</v>
      </c>
      <c r="Q5" s="27" t="s">
        <v>734</v>
      </c>
      <c r="R5" s="27" t="s">
        <v>735</v>
      </c>
      <c r="S5" s="27" t="s">
        <v>736</v>
      </c>
      <c r="T5" s="29" t="s">
        <v>737</v>
      </c>
      <c r="U5" s="29" t="s">
        <v>738</v>
      </c>
      <c r="V5" s="29" t="s">
        <v>739</v>
      </c>
      <c r="W5" s="29" t="s">
        <v>740</v>
      </c>
      <c r="X5" s="29" t="s">
        <v>741</v>
      </c>
      <c r="Y5" s="29" t="s">
        <v>742</v>
      </c>
      <c r="Z5" s="29" t="s">
        <v>743</v>
      </c>
      <c r="AA5" s="29" t="s">
        <v>744</v>
      </c>
      <c r="AB5" s="29" t="s">
        <v>745</v>
      </c>
      <c r="AC5" s="29" t="s">
        <v>746</v>
      </c>
      <c r="AD5" s="29" t="s">
        <v>109</v>
      </c>
      <c r="AE5" s="29" t="s">
        <v>747</v>
      </c>
      <c r="AF5" s="29" t="s">
        <v>748</v>
      </c>
      <c r="AG5" s="29" t="s">
        <v>749</v>
      </c>
      <c r="AH5" s="29" t="s">
        <v>750</v>
      </c>
      <c r="AI5" s="29" t="s">
        <v>751</v>
      </c>
      <c r="AJ5" s="29" t="s">
        <v>752</v>
      </c>
      <c r="AK5" s="29" t="s">
        <v>753</v>
      </c>
      <c r="AL5" s="29" t="s">
        <v>754</v>
      </c>
      <c r="AM5" s="29" t="s">
        <v>755</v>
      </c>
      <c r="AN5" s="29" t="s">
        <v>756</v>
      </c>
      <c r="AO5" s="29" t="s">
        <v>757</v>
      </c>
      <c r="AP5" s="29" t="s">
        <v>758</v>
      </c>
      <c r="AQ5" s="29" t="s">
        <v>759</v>
      </c>
      <c r="AR5" s="29" t="s">
        <v>760</v>
      </c>
      <c r="AS5" s="29" t="s">
        <v>761</v>
      </c>
      <c r="AT5" s="29" t="s">
        <v>762</v>
      </c>
      <c r="AU5" s="29" t="s">
        <v>763</v>
      </c>
      <c r="AV5" s="29" t="s">
        <v>764</v>
      </c>
      <c r="AW5" s="29" t="s">
        <v>765</v>
      </c>
      <c r="AX5" s="29" t="s">
        <v>766</v>
      </c>
      <c r="AY5" s="29" t="s">
        <v>681</v>
      </c>
      <c r="AZ5" s="29" t="s">
        <v>767</v>
      </c>
      <c r="BA5" s="29" t="s">
        <v>768</v>
      </c>
      <c r="BB5" s="29" t="s">
        <v>769</v>
      </c>
      <c r="BC5" s="29" t="s">
        <v>770</v>
      </c>
      <c r="BD5" s="29" t="s">
        <v>771</v>
      </c>
      <c r="BE5" s="29" t="s">
        <v>772</v>
      </c>
      <c r="BF5" s="29" t="s">
        <v>773</v>
      </c>
      <c r="BG5" s="29" t="s">
        <v>774</v>
      </c>
      <c r="BH5" s="29" t="s">
        <v>775</v>
      </c>
      <c r="BI5" s="29" t="s">
        <v>776</v>
      </c>
      <c r="BJ5" s="29" t="s">
        <v>677</v>
      </c>
      <c r="BK5" s="29" t="s">
        <v>777</v>
      </c>
      <c r="BL5" s="29" t="s">
        <v>778</v>
      </c>
      <c r="BM5" s="29" t="s">
        <v>779</v>
      </c>
      <c r="BN5" s="29" t="s">
        <v>780</v>
      </c>
      <c r="BO5" s="29" t="s">
        <v>781</v>
      </c>
      <c r="BP5" s="29" t="s">
        <v>782</v>
      </c>
      <c r="BQ5" s="29" t="s">
        <v>783</v>
      </c>
      <c r="BR5" s="29" t="s">
        <v>784</v>
      </c>
      <c r="BS5" s="29" t="s">
        <v>785</v>
      </c>
      <c r="BT5" s="29" t="s">
        <v>675</v>
      </c>
      <c r="BU5" s="29" t="s">
        <v>786</v>
      </c>
      <c r="BV5" s="29" t="s">
        <v>787</v>
      </c>
      <c r="BW5" s="29" t="s">
        <v>788</v>
      </c>
      <c r="BX5" s="29" t="s">
        <v>789</v>
      </c>
      <c r="BY5" s="29" t="s">
        <v>790</v>
      </c>
      <c r="BZ5" s="29" t="s">
        <v>791</v>
      </c>
      <c r="CA5" s="29" t="s">
        <v>792</v>
      </c>
      <c r="CB5" s="29" t="s">
        <v>793</v>
      </c>
      <c r="CC5" s="29" t="s">
        <v>794</v>
      </c>
      <c r="CD5" s="29" t="s">
        <v>795</v>
      </c>
      <c r="CE5" s="29" t="s">
        <v>686</v>
      </c>
      <c r="CF5" s="29" t="s">
        <v>796</v>
      </c>
      <c r="CG5" s="29" t="s">
        <v>797</v>
      </c>
      <c r="CH5" s="29" t="s">
        <v>798</v>
      </c>
      <c r="CI5" s="29" t="s">
        <v>799</v>
      </c>
      <c r="CJ5" s="29" t="s">
        <v>800</v>
      </c>
      <c r="CK5" s="29" t="s">
        <v>801</v>
      </c>
      <c r="CL5" s="29" t="s">
        <v>802</v>
      </c>
      <c r="CM5" s="29" t="s">
        <v>803</v>
      </c>
      <c r="CN5" s="29" t="s">
        <v>804</v>
      </c>
      <c r="CO5" s="29" t="s">
        <v>700</v>
      </c>
      <c r="CP5" s="29" t="s">
        <v>805</v>
      </c>
      <c r="CQ5" s="29" t="s">
        <v>806</v>
      </c>
      <c r="CR5" s="29" t="s">
        <v>807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808</v>
      </c>
      <c r="C6" s="7"/>
      <c r="D6" s="15"/>
      <c r="E6" s="15">
        <v>100.0</v>
      </c>
      <c r="F6" s="7"/>
      <c r="G6" s="7"/>
      <c r="H6" s="7"/>
      <c r="I6" s="7"/>
      <c r="J6" s="7"/>
      <c r="K6" s="7"/>
      <c r="L6" s="7"/>
      <c r="M6" s="7"/>
      <c r="N6" s="7"/>
      <c r="O6" s="7"/>
      <c r="AE6" s="17">
        <v>100.0</v>
      </c>
      <c r="BJ6" s="17">
        <v>100.0</v>
      </c>
      <c r="BO6" s="17" t="s">
        <v>713</v>
      </c>
      <c r="BT6" s="17" t="s">
        <v>712</v>
      </c>
    </row>
    <row r="7" ht="15.75" customHeight="1">
      <c r="A7" s="7"/>
      <c r="B7" s="15" t="s">
        <v>654</v>
      </c>
      <c r="C7" s="7"/>
      <c r="D7" s="7"/>
      <c r="E7" s="15">
        <v>100.0</v>
      </c>
      <c r="F7" s="7"/>
      <c r="G7" s="7"/>
      <c r="H7" s="7"/>
      <c r="I7" s="7"/>
      <c r="J7" s="7"/>
      <c r="K7" s="7"/>
      <c r="L7" s="7"/>
      <c r="M7" s="7"/>
      <c r="N7" s="7"/>
      <c r="O7" s="7"/>
      <c r="AE7" s="17">
        <v>100.0</v>
      </c>
      <c r="BJ7" s="17">
        <v>100.0</v>
      </c>
      <c r="BO7" s="17" t="s">
        <v>715</v>
      </c>
      <c r="BT7" s="17" t="s">
        <v>714</v>
      </c>
    </row>
    <row r="8" ht="15.75" customHeight="1">
      <c r="A8" s="7"/>
      <c r="B8" s="15" t="s">
        <v>654</v>
      </c>
      <c r="C8" s="7"/>
      <c r="D8" s="7"/>
      <c r="E8" s="15">
        <v>100.0</v>
      </c>
      <c r="F8" s="7"/>
      <c r="G8" s="7"/>
      <c r="H8" s="7"/>
      <c r="I8" s="7"/>
      <c r="J8" s="7"/>
      <c r="K8" s="7"/>
      <c r="L8" s="7"/>
      <c r="M8" s="7"/>
      <c r="N8" s="7"/>
      <c r="O8" s="7"/>
      <c r="AE8" s="17">
        <v>100.0</v>
      </c>
      <c r="BJ8" s="17">
        <v>100.0</v>
      </c>
      <c r="BO8" s="17" t="s">
        <v>716</v>
      </c>
      <c r="BT8" s="17" t="s">
        <v>714</v>
      </c>
    </row>
    <row r="9" ht="15.75" customHeight="1">
      <c r="A9" s="7"/>
      <c r="B9" s="15" t="s">
        <v>808</v>
      </c>
      <c r="C9" s="7"/>
      <c r="D9" s="7"/>
      <c r="E9" s="15">
        <v>100.0</v>
      </c>
      <c r="F9" s="7"/>
      <c r="G9" s="7"/>
      <c r="H9" s="7"/>
      <c r="I9" s="7"/>
      <c r="J9" s="7"/>
      <c r="K9" s="7"/>
      <c r="L9" s="7"/>
      <c r="M9" s="7"/>
      <c r="N9" s="7"/>
      <c r="O9" s="7"/>
      <c r="AE9" s="17">
        <v>100.0</v>
      </c>
      <c r="BJ9" s="17">
        <v>100.0</v>
      </c>
      <c r="BO9" s="17" t="s">
        <v>715</v>
      </c>
      <c r="BT9" s="17" t="s">
        <v>717</v>
      </c>
    </row>
    <row r="10" ht="15.75" customHeight="1">
      <c r="A10" s="7"/>
      <c r="B10" s="15" t="s">
        <v>654</v>
      </c>
      <c r="C10" s="7"/>
      <c r="D10" s="7"/>
      <c r="E10" s="15">
        <v>100.0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AE10" s="17">
        <v>100.0</v>
      </c>
      <c r="BJ10" s="17">
        <v>100.0</v>
      </c>
      <c r="BO10" s="17" t="s">
        <v>713</v>
      </c>
      <c r="BT10" s="17" t="s">
        <v>717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271</v>
      </c>
      <c r="D3" s="10" t="s">
        <v>5</v>
      </c>
      <c r="E3" s="22" t="s">
        <v>439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441</v>
      </c>
      <c r="D4" s="24" t="s">
        <v>445</v>
      </c>
      <c r="E4" s="24" t="s">
        <v>447</v>
      </c>
      <c r="F4" s="24" t="s">
        <v>449</v>
      </c>
      <c r="G4" s="24" t="s">
        <v>451</v>
      </c>
      <c r="H4" s="24" t="s">
        <v>453</v>
      </c>
      <c r="I4" s="24" t="s">
        <v>461</v>
      </c>
      <c r="J4" s="24" t="s">
        <v>464</v>
      </c>
      <c r="K4" s="24" t="s">
        <v>466</v>
      </c>
      <c r="L4" s="24" t="s">
        <v>468</v>
      </c>
      <c r="M4" s="24" t="s">
        <v>443</v>
      </c>
      <c r="N4" s="24" t="s">
        <v>470</v>
      </c>
      <c r="O4" s="24" t="s">
        <v>472</v>
      </c>
      <c r="P4" s="25" t="s">
        <v>474</v>
      </c>
      <c r="Q4" s="25" t="s">
        <v>476</v>
      </c>
      <c r="R4" s="25" t="s">
        <v>272</v>
      </c>
      <c r="S4" s="25" t="s">
        <v>478</v>
      </c>
      <c r="T4" s="25" t="s">
        <v>480</v>
      </c>
      <c r="U4" s="25" t="s">
        <v>482</v>
      </c>
      <c r="V4" s="25" t="s">
        <v>398</v>
      </c>
      <c r="W4" s="25" t="s">
        <v>487</v>
      </c>
      <c r="X4" s="25" t="s">
        <v>490</v>
      </c>
      <c r="Y4" s="25" t="s">
        <v>499</v>
      </c>
      <c r="Z4" s="25" t="s">
        <v>504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823</v>
      </c>
      <c r="C5" s="27" t="s">
        <v>824</v>
      </c>
      <c r="D5" s="27" t="s">
        <v>825</v>
      </c>
      <c r="E5" s="27" t="s">
        <v>826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827</v>
      </c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271</v>
      </c>
      <c r="D3" s="10" t="s">
        <v>5</v>
      </c>
      <c r="E3" s="22" t="s">
        <v>449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441</v>
      </c>
      <c r="D4" s="24" t="s">
        <v>445</v>
      </c>
      <c r="E4" s="24" t="s">
        <v>447</v>
      </c>
      <c r="F4" s="24" t="s">
        <v>449</v>
      </c>
      <c r="G4" s="24" t="s">
        <v>451</v>
      </c>
      <c r="H4" s="24" t="s">
        <v>453</v>
      </c>
      <c r="I4" s="24" t="s">
        <v>461</v>
      </c>
      <c r="J4" s="24" t="s">
        <v>464</v>
      </c>
      <c r="K4" s="24" t="s">
        <v>466</v>
      </c>
      <c r="L4" s="24" t="s">
        <v>468</v>
      </c>
      <c r="M4" s="24" t="s">
        <v>443</v>
      </c>
      <c r="N4" s="24" t="s">
        <v>470</v>
      </c>
      <c r="O4" s="24" t="s">
        <v>472</v>
      </c>
      <c r="P4" s="25" t="s">
        <v>474</v>
      </c>
      <c r="Q4" s="25" t="s">
        <v>476</v>
      </c>
      <c r="R4" s="25" t="s">
        <v>272</v>
      </c>
      <c r="S4" s="25" t="s">
        <v>478</v>
      </c>
      <c r="T4" s="25" t="s">
        <v>480</v>
      </c>
      <c r="U4" s="25" t="s">
        <v>482</v>
      </c>
      <c r="V4" s="25" t="s">
        <v>398</v>
      </c>
      <c r="W4" s="25" t="s">
        <v>487</v>
      </c>
      <c r="X4" s="25" t="s">
        <v>490</v>
      </c>
      <c r="Y4" s="25" t="s">
        <v>499</v>
      </c>
      <c r="Z4" s="25" t="s">
        <v>504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709</v>
      </c>
      <c r="C5" s="27" t="s">
        <v>809</v>
      </c>
      <c r="D5" s="27" t="s">
        <v>728</v>
      </c>
      <c r="E5" s="27" t="s">
        <v>810</v>
      </c>
      <c r="F5" s="28" t="s">
        <v>811</v>
      </c>
      <c r="G5" s="27" t="s">
        <v>812</v>
      </c>
      <c r="H5" s="27" t="s">
        <v>813</v>
      </c>
      <c r="I5" s="27" t="s">
        <v>814</v>
      </c>
      <c r="J5" s="27" t="s">
        <v>768</v>
      </c>
      <c r="K5" s="27" t="s">
        <v>815</v>
      </c>
      <c r="L5" s="27" t="s">
        <v>774</v>
      </c>
      <c r="M5" s="27" t="s">
        <v>677</v>
      </c>
      <c r="N5" s="27" t="s">
        <v>816</v>
      </c>
      <c r="O5" s="27" t="s">
        <v>779</v>
      </c>
      <c r="P5" s="27" t="s">
        <v>781</v>
      </c>
      <c r="Q5" s="27" t="s">
        <v>685</v>
      </c>
      <c r="R5" s="27" t="s">
        <v>675</v>
      </c>
      <c r="S5" s="27" t="s">
        <v>817</v>
      </c>
      <c r="T5" s="29" t="s">
        <v>818</v>
      </c>
      <c r="U5" s="29" t="s">
        <v>686</v>
      </c>
      <c r="V5" s="29" t="s">
        <v>799</v>
      </c>
      <c r="W5" s="29" t="s">
        <v>819</v>
      </c>
      <c r="X5" s="29" t="s">
        <v>820</v>
      </c>
      <c r="Y5" s="29" t="s">
        <v>821</v>
      </c>
      <c r="Z5" s="29" t="s">
        <v>822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655</v>
      </c>
      <c r="C6" s="7"/>
      <c r="D6" s="15"/>
      <c r="E6" s="30"/>
      <c r="F6" s="7"/>
      <c r="G6" s="7"/>
      <c r="H6" s="7"/>
      <c r="I6" s="7"/>
      <c r="J6" s="7"/>
      <c r="K6" s="7"/>
      <c r="L6" s="7"/>
      <c r="M6" s="15">
        <v>50.0</v>
      </c>
      <c r="N6" s="7"/>
      <c r="O6" s="7"/>
      <c r="P6" s="17" t="s">
        <v>713</v>
      </c>
      <c r="R6" s="17" t="s">
        <v>712</v>
      </c>
    </row>
    <row r="7" ht="15.75" customHeight="1">
      <c r="A7" s="7"/>
      <c r="B7" s="15" t="s">
        <v>654</v>
      </c>
      <c r="C7" s="7"/>
      <c r="D7" s="7"/>
      <c r="E7" s="7"/>
      <c r="F7" s="7"/>
      <c r="G7" s="7"/>
      <c r="H7" s="7"/>
      <c r="I7" s="7"/>
      <c r="J7" s="7"/>
      <c r="K7" s="7"/>
      <c r="L7" s="7"/>
      <c r="M7" s="15">
        <v>50.0</v>
      </c>
      <c r="N7" s="7"/>
      <c r="O7" s="7"/>
      <c r="P7" s="17" t="s">
        <v>713</v>
      </c>
      <c r="R7" s="17" t="s">
        <v>712</v>
      </c>
    </row>
    <row r="8" ht="15.75" customHeight="1">
      <c r="A8" s="7"/>
      <c r="B8" s="15" t="s">
        <v>654</v>
      </c>
      <c r="C8" s="7"/>
      <c r="D8" s="7"/>
      <c r="E8" s="7"/>
      <c r="F8" s="7"/>
      <c r="G8" s="7"/>
      <c r="H8" s="7"/>
      <c r="I8" s="7"/>
      <c r="J8" s="7"/>
      <c r="K8" s="7"/>
      <c r="L8" s="7"/>
      <c r="M8" s="15">
        <v>100.0</v>
      </c>
      <c r="N8" s="7"/>
      <c r="O8" s="7"/>
      <c r="P8" s="17" t="s">
        <v>715</v>
      </c>
      <c r="R8" s="17" t="s">
        <v>714</v>
      </c>
    </row>
    <row r="9" ht="15.75" customHeight="1">
      <c r="A9" s="7"/>
      <c r="B9" s="15" t="s">
        <v>655</v>
      </c>
      <c r="C9" s="7"/>
      <c r="D9" s="7"/>
      <c r="E9" s="7"/>
      <c r="F9" s="7"/>
      <c r="G9" s="7"/>
      <c r="H9" s="7"/>
      <c r="I9" s="7"/>
      <c r="J9" s="7"/>
      <c r="K9" s="7"/>
      <c r="L9" s="7"/>
      <c r="M9" s="15">
        <v>75.0</v>
      </c>
      <c r="N9" s="7"/>
      <c r="O9" s="7"/>
      <c r="P9" s="17" t="s">
        <v>715</v>
      </c>
      <c r="R9" s="17" t="s">
        <v>717</v>
      </c>
    </row>
    <row r="10" ht="15.75" customHeight="1">
      <c r="A10" s="7"/>
      <c r="B10" s="15" t="s">
        <v>654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15">
        <v>25.0</v>
      </c>
      <c r="N10" s="7"/>
      <c r="O10" s="7"/>
      <c r="P10" s="17" t="s">
        <v>715</v>
      </c>
      <c r="R10" s="17" t="s">
        <v>717</v>
      </c>
    </row>
    <row r="11" ht="15.75" customHeight="1">
      <c r="A11" s="7"/>
      <c r="B11" s="15" t="s">
        <v>654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15">
        <v>100.0</v>
      </c>
      <c r="N11" s="7"/>
      <c r="O11" s="7"/>
      <c r="P11" s="17" t="s">
        <v>713</v>
      </c>
      <c r="R11" s="17" t="s">
        <v>717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V12" s="1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271</v>
      </c>
      <c r="D3" s="10" t="s">
        <v>5</v>
      </c>
      <c r="E3" s="22" t="s">
        <v>451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441</v>
      </c>
      <c r="D4" s="24" t="s">
        <v>445</v>
      </c>
      <c r="E4" s="24" t="s">
        <v>447</v>
      </c>
      <c r="F4" s="24" t="s">
        <v>449</v>
      </c>
      <c r="G4" s="24" t="s">
        <v>451</v>
      </c>
      <c r="H4" s="24" t="s">
        <v>453</v>
      </c>
      <c r="I4" s="24" t="s">
        <v>461</v>
      </c>
      <c r="J4" s="24" t="s">
        <v>464</v>
      </c>
      <c r="K4" s="24" t="s">
        <v>466</v>
      </c>
      <c r="L4" s="24" t="s">
        <v>468</v>
      </c>
      <c r="M4" s="24" t="s">
        <v>443</v>
      </c>
      <c r="N4" s="24" t="s">
        <v>470</v>
      </c>
      <c r="O4" s="24" t="s">
        <v>472</v>
      </c>
      <c r="P4" s="25" t="s">
        <v>474</v>
      </c>
      <c r="Q4" s="25" t="s">
        <v>476</v>
      </c>
      <c r="R4" s="25" t="s">
        <v>272</v>
      </c>
      <c r="S4" s="25" t="s">
        <v>478</v>
      </c>
      <c r="T4" s="25" t="s">
        <v>480</v>
      </c>
      <c r="U4" s="25" t="s">
        <v>482</v>
      </c>
      <c r="V4" s="25" t="s">
        <v>398</v>
      </c>
      <c r="W4" s="25" t="s">
        <v>487</v>
      </c>
      <c r="X4" s="25" t="s">
        <v>490</v>
      </c>
      <c r="Y4" s="25" t="s">
        <v>499</v>
      </c>
      <c r="Z4" s="25" t="s">
        <v>504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709</v>
      </c>
      <c r="C5" s="27" t="s">
        <v>809</v>
      </c>
      <c r="D5" s="27" t="s">
        <v>728</v>
      </c>
      <c r="E5" s="27" t="s">
        <v>810</v>
      </c>
      <c r="F5" s="28" t="s">
        <v>811</v>
      </c>
      <c r="G5" s="27" t="s">
        <v>812</v>
      </c>
      <c r="H5" s="27" t="s">
        <v>813</v>
      </c>
      <c r="I5" s="27" t="s">
        <v>814</v>
      </c>
      <c r="J5" s="27" t="s">
        <v>768</v>
      </c>
      <c r="K5" s="27" t="s">
        <v>815</v>
      </c>
      <c r="L5" s="27" t="s">
        <v>774</v>
      </c>
      <c r="M5" s="27" t="s">
        <v>677</v>
      </c>
      <c r="N5" s="27" t="s">
        <v>816</v>
      </c>
      <c r="O5" s="27" t="s">
        <v>779</v>
      </c>
      <c r="P5" s="27" t="s">
        <v>781</v>
      </c>
      <c r="Q5" s="27" t="s">
        <v>685</v>
      </c>
      <c r="R5" s="27" t="s">
        <v>675</v>
      </c>
      <c r="S5" s="27" t="s">
        <v>817</v>
      </c>
      <c r="T5" s="29" t="s">
        <v>818</v>
      </c>
      <c r="U5" s="29" t="s">
        <v>686</v>
      </c>
      <c r="V5" s="29" t="s">
        <v>799</v>
      </c>
      <c r="W5" s="29" t="s">
        <v>819</v>
      </c>
      <c r="X5" s="29" t="s">
        <v>820</v>
      </c>
      <c r="Y5" s="29" t="s">
        <v>821</v>
      </c>
      <c r="Z5" s="29" t="s">
        <v>822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654</v>
      </c>
      <c r="C6" s="7"/>
      <c r="D6" s="15"/>
      <c r="E6" s="30"/>
      <c r="F6" s="7"/>
      <c r="G6" s="7"/>
      <c r="H6" s="7"/>
      <c r="I6" s="7"/>
      <c r="J6" s="7"/>
      <c r="K6" s="7"/>
      <c r="L6" s="7"/>
      <c r="M6" s="15">
        <v>100.0</v>
      </c>
      <c r="N6" s="7"/>
      <c r="O6" s="7"/>
      <c r="P6" s="17" t="s">
        <v>716</v>
      </c>
      <c r="R6" s="17" t="s">
        <v>714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307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18</v>
      </c>
      <c r="F3" s="10" t="s">
        <v>405</v>
      </c>
      <c r="G3" s="16" t="s">
        <v>416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 t="s">
        <v>460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484</v>
      </c>
      <c r="AY4" s="25" t="s">
        <v>486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491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496</v>
      </c>
      <c r="BK4" s="25" t="s">
        <v>305</v>
      </c>
      <c r="BL4" s="25" t="s">
        <v>498</v>
      </c>
      <c r="BM4" s="25" t="s">
        <v>500</v>
      </c>
      <c r="BN4" s="25" t="s">
        <v>502</v>
      </c>
      <c r="BO4" s="25" t="s">
        <v>403</v>
      </c>
      <c r="BP4" s="25" t="s">
        <v>503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511</v>
      </c>
      <c r="CA4" s="25" t="s">
        <v>512</v>
      </c>
      <c r="CB4" s="25" t="s">
        <v>364</v>
      </c>
      <c r="CC4" s="25" t="s">
        <v>513</v>
      </c>
      <c r="CD4" s="25" t="s">
        <v>514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512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823</v>
      </c>
      <c r="C5" s="27" t="s">
        <v>824</v>
      </c>
      <c r="D5" s="27" t="s">
        <v>825</v>
      </c>
      <c r="E5" s="27" t="s">
        <v>828</v>
      </c>
      <c r="F5" s="28" t="s">
        <v>675</v>
      </c>
      <c r="G5" s="27" t="s">
        <v>829</v>
      </c>
      <c r="H5" s="27" t="s">
        <v>781</v>
      </c>
      <c r="I5" s="27" t="s">
        <v>709</v>
      </c>
      <c r="J5" s="27" t="s">
        <v>679</v>
      </c>
      <c r="K5" s="27" t="s">
        <v>743</v>
      </c>
      <c r="L5" s="27" t="s">
        <v>109</v>
      </c>
      <c r="M5" s="27" t="s">
        <v>830</v>
      </c>
      <c r="N5" s="27" t="s">
        <v>801</v>
      </c>
      <c r="O5" s="27" t="s">
        <v>700</v>
      </c>
      <c r="P5" s="27" t="s">
        <v>831</v>
      </c>
      <c r="Q5" s="27" t="s">
        <v>832</v>
      </c>
      <c r="R5" s="27" t="s">
        <v>833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827</v>
      </c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