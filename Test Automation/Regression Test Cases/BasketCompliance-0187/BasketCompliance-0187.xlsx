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DoneAwayOrder" sheetId="6" r:id="rId8"/>
    <sheet state="visible" name="PricingInput" sheetId="7" r:id="rId9"/>
    <sheet state="visible" name="GetForexConversion" sheetId="8" r:id="rId10"/>
    <sheet state="visible" name="UpdateForexConversion" sheetId="9" r:id="rId11"/>
    <sheet state="visible" name="GetDailyCash" sheetId="10" r:id="rId12"/>
    <sheet state="visible" name="UpdateMultipleDailyCash" sheetId="11" r:id="rId13"/>
    <sheet state="visible" name="FetchAccountPositions" sheetId="12" r:id="rId14"/>
    <sheet state="visible" name="AddCash" sheetId="13" r:id="rId15"/>
    <sheet state="visible" name="RunRebalance" sheetId="14" r:id="rId16"/>
    <sheet state="visible" name="CheckBasketCompliance" sheetId="15" r:id="rId17"/>
    <sheet state="visible" name="SendToStagingExport" sheetId="16" r:id="rId18"/>
    <sheet state="visible" name="SelectTradeOnOrderGrid" sheetId="17" r:id="rId19"/>
    <sheet state="visible" name="EditOrder" sheetId="18" r:id="rId20"/>
    <sheet state="visible" name="CreateComplianceOrder" sheetId="19" r:id="rId21"/>
    <sheet state="visible" name="VerifyComplianceOrder" sheetId="20" r:id="rId22"/>
  </sheets>
  <definedNames/>
  <calcPr/>
</workbook>
</file>

<file path=xl/sharedStrings.xml><?xml version="1.0" encoding="utf-8"?>
<sst xmlns="http://schemas.openxmlformats.org/spreadsheetml/2006/main" count="234" uniqueCount="67">
  <si>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</si>
  <si>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</si>
  <si>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</si>
  <si>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</si>
  <si>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</si>
  <si>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</si>
  <si>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</si>
  <si>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</si>
  <si>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</si>
  <si>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</si>
  <si>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</si>
  <si>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</si>
  <si>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</si>
  <si>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</si>
  <si>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</si>
  <si>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</si>
  <si>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</si>
  <si>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</si>
  <si>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</si>
  <si>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</si>
  <si>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</si>
  <si>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IBM</t>
  </si>
  <si>
    <t>Buy</t>
  </si>
  <si>
    <t>Allocation1</t>
  </si>
  <si>
    <t>Yes</t>
  </si>
  <si>
    <t>O:COP 14O62.50</t>
  </si>
  <si>
    <t>Buy to Open</t>
  </si>
  <si>
    <t>ES U2</t>
  </si>
  <si>
    <t>FRU-TC</t>
  </si>
  <si>
    <t>DBLSX</t>
  </si>
  <si>
    <t>Allocation2</t>
  </si>
  <si>
    <t>PricingInput</t>
  </si>
  <si>
    <t>COP</t>
  </si>
  <si>
    <t>DailyValuation</t>
  </si>
  <si>
    <t>GetForexConversion</t>
  </si>
  <si>
    <t>UpdateForexConversion</t>
  </si>
  <si>
    <t>USD</t>
  </si>
  <si>
    <t>CAD</t>
  </si>
  <si>
    <t>CAD AO-FX</t>
  </si>
  <si>
    <t>GetDailyCash</t>
  </si>
  <si>
    <t>UpdateMultipleDailyCash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</si>
  <si>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</si>
  <si>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</si>
  <si>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</si>
  <si>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</si>
  <si>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</si>
  <si>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</si>
  <si>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</si>
  <si>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</si>
  <si>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</si>
  <si>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</si>
  <si>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CheckBasketCompliance</t>
  </si>
  <si>
    <t>Soft</t>
  </si>
  <si>
    <t>Global_GMV</t>
  </si>
  <si>
    <t>Enter Summary</t>
  </si>
  <si>
    <t>Global</t>
  </si>
  <si>
    <t>percentGrossMarketValueGlobal: 0.518</t>
  </si>
  <si>
    <t>SendToStagingExport</t>
  </si>
  <si>
    <t>Blotter</t>
  </si>
  <si>
    <t>SelectTradeOnOrderGrid</t>
  </si>
  <si>
    <t>New</t>
  </si>
  <si>
    <t>MS</t>
  </si>
  <si>
    <t>EditOrder</t>
  </si>
  <si>
    <t>CreateComplianceOrder</t>
  </si>
  <si>
    <t>Replace</t>
  </si>
  <si>
    <t>VerifyComplianceOrder</t>
  </si>
  <si>
    <t>percentGrossMarketValueGlobal: 0.5261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</si>
</sst>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9.0"/>
      <color rgb="FFFFFFFF"/>
      <name val="&quot;Segoe UI&quot;"/>
    </font>
    <font>
      <sz val="9.0"/>
      <color rgb="FF000000"/>
      <name val="&quot;Segoe UI&quot;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535353"/>
      </right>
    </border>
    <border>
      <right style="thin">
        <color rgb="FF535353"/>
      </right>
      <top style="thin">
        <color rgb="FF535353"/>
      </top>
      <bottom style="thin">
        <color rgb="FF535353"/>
      </bottom>
    </border>
    <border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0" fillId="6" fontId="14" numFmtId="0" xfId="0" applyAlignment="1" applyFill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7" fillId="0" fontId="5" numFmtId="0" xfId="0" applyAlignment="1" applyBorder="1" applyFont="1">
      <alignment shrinkToFit="0" vertical="bottom" wrapText="0"/>
    </xf>
    <xf borderId="8" fillId="0" fontId="3" numFmtId="0" xfId="0" applyAlignment="1" applyBorder="1" applyFont="1">
      <alignment vertical="bottom"/>
    </xf>
    <xf borderId="9" fillId="7" fontId="15" numFmtId="0" xfId="0" applyAlignment="1" applyBorder="1" applyFill="1" applyFont="1">
      <alignment vertical="top"/>
    </xf>
    <xf borderId="9" fillId="8" fontId="16" numFmtId="0" xfId="0" applyAlignment="1" applyBorder="1" applyFill="1" applyFont="1">
      <alignment vertical="top"/>
    </xf>
    <xf borderId="9" fillId="8" fontId="16" numFmtId="0" xfId="0" applyAlignment="1" applyBorder="1" applyFont="1">
      <alignment vertical="top"/>
    </xf>
    <xf borderId="10" fillId="8" fontId="16" numFmtId="0" xfId="0" applyAlignment="1" applyBorder="1" applyFont="1">
      <alignment shrinkToFit="0" vertical="top" wrapText="0"/>
    </xf>
    <xf borderId="9" fillId="8" fontId="3" numFmtId="0" xfId="0" applyAlignment="1" applyBorder="1" applyFont="1">
      <alignment vertical="top"/>
    </xf>
    <xf borderId="0" fillId="0" fontId="17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0" fontId="17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0</v>
      </c>
      <c r="E6" s="34" t="b">
        <v>0</v>
      </c>
      <c r="F6" s="34" t="b">
        <v>0</v>
      </c>
      <c r="G6" s="34" t="b">
        <v>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IFERROR(__xludf.DUMMYFUNCTION("IF(C3="""","""",Transpose(IMPORTRANGE('_Settings'!$B$3,C3&amp;""!A4:A1000"")))"),"RestartReleasesAndServices")</f>
        <v>RestartReleasesAndServices</v>
      </c>
      <c r="C4" s="25" t="str">
        <f>IFERROR(__xludf.DUMMYFUNCTION("""COMPUTED_VALUE"""),"ReplaceInterceptorFile")</f>
        <v>ReplaceInterceptorFile</v>
      </c>
      <c r="D4" s="25" t="str">
        <f>IFERROR(__xludf.DUMMYFUNCTION("""COMPUTED_VALUE"""),"EditInterceptorFile")</f>
        <v>EditInterceptorFile</v>
      </c>
      <c r="E4" s="25" t="str">
        <f>IFERROR(__xludf.DUMMYFUNCTION("""COMPUTED_VALUE"""),"VerifyAlertHistory")</f>
        <v>VerifyAlertHistory</v>
      </c>
      <c r="F4" s="25" t="str">
        <f>IFERROR(__xludf.DUMMYFUNCTION("""COMPUTED_VALUE"""),"ApproveorRejectpendingapproval")</f>
        <v>ApproveorRejectpendingapproval</v>
      </c>
      <c r="G4" s="25" t="str">
        <f>IFERROR(__xludf.DUMMYFUNCTION("""COMPUTED_VALUE"""),"VerifyAggAccountSymbolWithNav")</f>
        <v>VerifyAggAccountSymbolWithNav</v>
      </c>
      <c r="H4" s="25" t="str">
        <f>IFERROR(__xludf.DUMMYFUNCTION("""COMPUTED_VALUE"""),"RestartRuleMediator")</f>
        <v>RestartRuleMediator</v>
      </c>
      <c r="I4" s="25" t="str">
        <f>IFERROR(__xludf.DUMMYFUNCTION("""COMPUTED_VALUE"""),"VerifyMasterFundSymbolDivisorWindow")</f>
        <v>VerifyMasterFundSymbolDivisorWindow</v>
      </c>
      <c r="J4" s="25" t="str">
        <f>IFERROR(__xludf.DUMMYFUNCTION("""COMPUTED_VALUE"""),"VerifyMasterFundDivisorWindow")</f>
        <v>VerifyMasterFundDivisorWindow</v>
      </c>
      <c r="K4" s="25" t="str">
        <f>IFERROR(__xludf.DUMMYFUNCTION("""COMPUTED_VALUE"""),"VerifyGlobalDivisorWindow")</f>
        <v>VerifyGlobalDivisorWindow</v>
      </c>
      <c r="L4" s="25" t="str">
        <f>IFERROR(__xludf.DUMMYFUNCTION("""COMPUTED_VALUE"""),"VerifyAccrualForAccountWindow")</f>
        <v>VerifyAccrualForAccountWindow</v>
      </c>
      <c r="M4" s="25" t="str">
        <f>IFERROR(__xludf.DUMMYFUNCTION("""COMPUTED_VALUE"""),"VerifyGlobalDivisorWindow")</f>
        <v>VerifyGlobalDivisorWindow</v>
      </c>
      <c r="N4" s="25" t="str">
        <f>IFERROR(__xludf.DUMMYFUNCTION("""COMPUTED_VALUE"""),"VerifyAggregationGlobalWithNav")</f>
        <v>VerifyAggregationGlobalWithNav</v>
      </c>
      <c r="O4" s="25" t="str">
        <f>IFERROR(__xludf.DUMMYFUNCTION("""COMPUTED_VALUE"""),"VerifyAggregationGlobalWithNav")</f>
        <v>VerifyAggregationGlobalWithNav</v>
      </c>
      <c r="P4" s="26" t="str">
        <f>IFERROR(__xludf.DUMMYFUNCTION("""COMPUTED_VALUE"""),"VerifyAggregationSubSectorWithNav")</f>
        <v>VerifyAggregationSubSectorWithNav</v>
      </c>
      <c r="Q4" s="26" t="str">
        <f>IFERROR(__xludf.DUMMYFUNCTION("""COMPUTED_VALUE"""),"VerifyAggregationSymbolWithNav")</f>
        <v>VerifyAggregationSymbolWithNav</v>
      </c>
      <c r="R4" s="26" t="str">
        <f>IFERROR(__xludf.DUMMYFUNCTION("""COMPUTED_VALUE"""),"VerifyAggregationAssetWithNav")</f>
        <v>VerifyAggregationAssetWithNav</v>
      </c>
      <c r="S4" s="26" t="str">
        <f>IFERROR(__xludf.DUMMYFUNCTION("""COMPUTED_VALUE"""),"VerifyAggregationAccountUnderlyingSymbolWithNav")</f>
        <v>VerifyAggregationAccountUnderlyingSymbolWithNav</v>
      </c>
      <c r="T4" s="26" t="str">
        <f>IFERROR(__xludf.DUMMYFUNCTION("""COMPUTED_VALUE"""),"VerifyAccountNavPreferenceWindow")</f>
        <v>VerifyAccountNavPreferenceWindow</v>
      </c>
      <c r="U4" s="26" t="str">
        <f>IFERROR(__xludf.DUMMYFUNCTION("""COMPUTED_VALUE"""),"RestartEsper")</f>
        <v>RestartEsper</v>
      </c>
      <c r="V4" s="26" t="str">
        <f>IFERROR(__xludf.DUMMYFUNCTION("""COMPUTED_VALUE"""),"VerifyTaxlotWindow")</f>
        <v>VerifyTaxlotWindow</v>
      </c>
      <c r="W4" s="26" t="str">
        <f>IFERROR(__xludf.DUMMYFUNCTION("""COMPUTED_VALUE"""),"VerifySymbolDivisorWindow")</f>
        <v>VerifySymbolDivisorWindow</v>
      </c>
      <c r="X4" s="26" t="str">
        <f>IFERROR(__xludf.DUMMYFUNCTION("""COMPUTED_VALUE"""),"VerifySymbolDataWindow")</f>
        <v>VerifySymbolDataWindow</v>
      </c>
      <c r="Y4" s="26" t="str">
        <f>IFERROR(__xludf.DUMMYFUNCTION("""COMPUTED_VALUE"""),"VerifySecurityWindow")</f>
        <v>VerifySecurityWindow</v>
      </c>
      <c r="Z4" s="26" t="str">
        <f>IFERROR(__xludf.DUMMYFUNCTION("""COMPUTED_VALUE"""),"VerifyRowCalculationBaseWindow")</f>
        <v>VerifyRowCalculationBaseWindow</v>
      </c>
      <c r="AA4" s="26" t="str">
        <f>IFERROR(__xludf.DUMMYFUNCTION("""COMPUTED_VALUE"""),"VerifyPmCalculationPreferenceWindow")</f>
        <v>VerifyPmCalculationPreferenceWindow</v>
      </c>
      <c r="AB4" s="26" t="str">
        <f>IFERROR(__xludf.DUMMYFUNCTION("""COMPUTED_VALUE"""),"VerifyGlobalDivisorWindow")</f>
        <v>VerifyGlobalDivisorWindow</v>
      </c>
      <c r="AC4" s="26" t="str">
        <f>IFERROR(__xludf.DUMMYFUNCTION("""COMPUTED_VALUE"""),"VerifyDbNavWindow")</f>
        <v>VerifyDbNavWindow</v>
      </c>
      <c r="AD4" s="26" t="str">
        <f>IFERROR(__xludf.DUMMYFUNCTION("""COMPUTED_VALUE"""),"VerifyDayEndCashAccountWindow")</f>
        <v>VerifyDayEndCashAccountWindow</v>
      </c>
      <c r="AE4" s="26" t="str">
        <f>IFERROR(__xludf.DUMMYFUNCTION("""COMPUTED_VALUE"""),"VerifyCustomSymbolDataWindow")</f>
        <v>VerifyCustomSymbolDataWindow</v>
      </c>
      <c r="AF4" s="26" t="str">
        <f>IFERROR(__xludf.DUMMYFUNCTION("""COMPUTED_VALUE"""),"VerifyBetaWindow")</f>
        <v>VerifyBetaWindow</v>
      </c>
      <c r="AG4" s="26" t="str">
        <f>IFERROR(__xludf.DUMMYFUNCTION("""COMPUTED_VALUE"""),"VerifyAuecWindow")</f>
        <v>VerifyAuecWindow</v>
      </c>
      <c r="AH4" s="26" t="str">
        <f>IFERROR(__xludf.DUMMYFUNCTION("""COMPUTED_VALUE"""),"VerifyAggregationUnderlyingSymbolWithNav")</f>
        <v>VerifyAggregationUnderlyingSymbolWithNav</v>
      </c>
      <c r="AI4" s="26" t="str">
        <f>IFERROR(__xludf.DUMMYFUNCTION("""COMPUTED_VALUE"""),"VerifyAggregationSectorWithNav")</f>
        <v>VerifyAggregationSectorWithNav</v>
      </c>
      <c r="AJ4" s="26" t="str">
        <f>IFERROR(__xludf.DUMMYFUNCTION("""COMPUTED_VALUE"""),"VerifyAggregationMasterFundWithNav")</f>
        <v>VerifyAggregationMasterFundWithNav</v>
      </c>
      <c r="AK4" s="26" t="str">
        <f>IFERROR(__xludf.DUMMYFUNCTION("""COMPUTED_VALUE"""),"VerifyAggregationMasterFundUnderlyingSymbolWithNav")</f>
        <v>VerifyAggregationMasterFundUnderlyingSymbolWithNav</v>
      </c>
      <c r="AL4" s="26" t="str">
        <f>IFERROR(__xludf.DUMMYFUNCTION("""COMPUTED_VALUE"""),"VerifyAggregationMasterFundSymbolWithNav")</f>
        <v>VerifyAggregationMasterFundSymbolWithNav</v>
      </c>
      <c r="AM4" s="26" t="str">
        <f>IFERROR(__xludf.DUMMYFUNCTION("""COMPUTED_VALUE"""),"VerifyAggregationAccountWithNav")</f>
        <v>VerifyAggregationAccountWithNav</v>
      </c>
      <c r="AN4" s="26" t="str">
        <f>IFERROR(__xludf.DUMMYFUNCTION("""COMPUTED_VALUE"""),"VerifyAggregationAccountSymbolWithNav")</f>
        <v>VerifyAggregationAccountSymbolWithNav</v>
      </c>
      <c r="AO4" s="26" t="str">
        <f>IFERROR(__xludf.DUMMYFUNCTION("""COMPUTED_VALUE"""),"VerifyAccountSymbolDivisorWindow")</f>
        <v>VerifyAccountSymbolDivisorWindow</v>
      </c>
      <c r="AP4" s="26" t="str">
        <f>IFERROR(__xludf.DUMMYFUNCTION("""COMPUTED_VALUE"""),"VerifyAccountDivisorWindow")</f>
        <v>VerifyAccountDivisorWindow</v>
      </c>
      <c r="AQ4" s="26" t="str">
        <f>IFERROR(__xludf.DUMMYFUNCTION("""COMPUTED_VALUE"""),"CheckCompliance")</f>
        <v>CheckCompliance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2" t="s">
        <v>22</v>
      </c>
      <c r="D6" s="35">
        <v>100.0</v>
      </c>
      <c r="E6" s="32"/>
      <c r="F6" s="32" t="s">
        <v>23</v>
      </c>
      <c r="G6" s="32"/>
      <c r="H6" s="32"/>
      <c r="I6" s="32"/>
      <c r="J6" s="36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24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25</v>
      </c>
      <c r="C7" s="32" t="s">
        <v>26</v>
      </c>
      <c r="D7" s="36">
        <v>100.0</v>
      </c>
      <c r="E7" s="32"/>
      <c r="F7" s="32" t="s">
        <v>23</v>
      </c>
      <c r="G7" s="32"/>
      <c r="H7" s="32"/>
      <c r="I7" s="32"/>
      <c r="J7" s="36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 t="s">
        <v>24</v>
      </c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27</v>
      </c>
      <c r="C8" s="32" t="s">
        <v>22</v>
      </c>
      <c r="D8" s="36">
        <v>100.0</v>
      </c>
      <c r="E8" s="32"/>
      <c r="F8" s="32" t="s">
        <v>23</v>
      </c>
      <c r="G8" s="32"/>
      <c r="H8" s="32"/>
      <c r="I8" s="32"/>
      <c r="J8" s="36">
        <v>10.0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 t="s">
        <v>24</v>
      </c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>
        <v>1.23456789E8</v>
      </c>
      <c r="C9" s="32" t="s">
        <v>22</v>
      </c>
      <c r="D9" s="36">
        <v>100.0</v>
      </c>
      <c r="E9" s="32"/>
      <c r="F9" s="32" t="s">
        <v>23</v>
      </c>
      <c r="G9" s="32"/>
      <c r="H9" s="32"/>
      <c r="I9" s="32"/>
      <c r="J9" s="36">
        <v>10.0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 t="s">
        <v>24</v>
      </c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 t="s">
        <v>28</v>
      </c>
      <c r="C10" s="32" t="s">
        <v>22</v>
      </c>
      <c r="D10" s="36">
        <v>100.0</v>
      </c>
      <c r="E10" s="32"/>
      <c r="F10" s="32" t="s">
        <v>23</v>
      </c>
      <c r="G10" s="32"/>
      <c r="H10" s="32"/>
      <c r="I10" s="32"/>
      <c r="J10" s="36">
        <v>10.0</v>
      </c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 t="s">
        <v>24</v>
      </c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32" t="s">
        <v>29</v>
      </c>
      <c r="C11" s="32" t="s">
        <v>22</v>
      </c>
      <c r="D11" s="36">
        <v>100.0</v>
      </c>
      <c r="E11" s="32"/>
      <c r="F11" s="32" t="s">
        <v>23</v>
      </c>
      <c r="G11" s="32"/>
      <c r="H11" s="32"/>
      <c r="I11" s="32"/>
      <c r="J11" s="36">
        <v>10.0</v>
      </c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 t="s">
        <v>24</v>
      </c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2"/>
      <c r="B12" s="32" t="s">
        <v>21</v>
      </c>
      <c r="C12" s="32" t="s">
        <v>22</v>
      </c>
      <c r="D12" s="36">
        <v>100.0</v>
      </c>
      <c r="E12" s="32"/>
      <c r="F12" s="32" t="s">
        <v>30</v>
      </c>
      <c r="G12" s="32"/>
      <c r="H12" s="32"/>
      <c r="I12" s="32"/>
      <c r="J12" s="36">
        <v>10.0</v>
      </c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 t="s">
        <v>24</v>
      </c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32"/>
      <c r="B13" s="32" t="s">
        <v>25</v>
      </c>
      <c r="C13" s="32" t="s">
        <v>26</v>
      </c>
      <c r="D13" s="36">
        <v>100.0</v>
      </c>
      <c r="E13" s="32"/>
      <c r="F13" s="32" t="s">
        <v>30</v>
      </c>
      <c r="G13" s="32"/>
      <c r="H13" s="32"/>
      <c r="I13" s="32"/>
      <c r="J13" s="36">
        <v>10.0</v>
      </c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 t="s">
        <v>24</v>
      </c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</row>
    <row r="14" ht="15.75" customHeight="1">
      <c r="A14" s="32"/>
      <c r="B14" s="32" t="s">
        <v>27</v>
      </c>
      <c r="C14" s="32" t="s">
        <v>22</v>
      </c>
      <c r="D14" s="36">
        <v>100.0</v>
      </c>
      <c r="E14" s="32"/>
      <c r="F14" s="32" t="s">
        <v>30</v>
      </c>
      <c r="G14" s="32"/>
      <c r="H14" s="32"/>
      <c r="I14" s="32"/>
      <c r="J14" s="36">
        <v>10.0</v>
      </c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 t="s">
        <v>24</v>
      </c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</row>
    <row r="15" ht="15.75" customHeight="1">
      <c r="A15" s="32"/>
      <c r="B15" s="32">
        <v>1.23456789E8</v>
      </c>
      <c r="C15" s="32" t="s">
        <v>22</v>
      </c>
      <c r="D15" s="36">
        <v>100.0</v>
      </c>
      <c r="E15" s="32"/>
      <c r="F15" s="32" t="s">
        <v>30</v>
      </c>
      <c r="G15" s="32"/>
      <c r="H15" s="32"/>
      <c r="I15" s="32"/>
      <c r="J15" s="36">
        <v>10.0</v>
      </c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 t="s">
        <v>24</v>
      </c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</row>
    <row r="16" ht="15.75" customHeight="1">
      <c r="A16" s="32"/>
      <c r="B16" s="32" t="s">
        <v>28</v>
      </c>
      <c r="C16" s="32" t="s">
        <v>22</v>
      </c>
      <c r="D16" s="36">
        <v>100.0</v>
      </c>
      <c r="E16" s="32"/>
      <c r="F16" s="32" t="s">
        <v>30</v>
      </c>
      <c r="G16" s="32"/>
      <c r="H16" s="32"/>
      <c r="I16" s="32"/>
      <c r="J16" s="36">
        <v>10.0</v>
      </c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 t="s">
        <v>24</v>
      </c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</row>
    <row r="17" ht="15.75" customHeight="1">
      <c r="A17" s="32"/>
      <c r="B17" s="32" t="s">
        <v>29</v>
      </c>
      <c r="C17" s="32" t="s">
        <v>22</v>
      </c>
      <c r="D17" s="36">
        <v>100.0</v>
      </c>
      <c r="E17" s="32"/>
      <c r="F17" s="32" t="s">
        <v>30</v>
      </c>
      <c r="G17" s="32"/>
      <c r="H17" s="32"/>
      <c r="I17" s="32"/>
      <c r="J17" s="36">
        <v>10.0</v>
      </c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 t="s">
        <v>24</v>
      </c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6">
        <v>20.0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25</v>
      </c>
      <c r="C7" s="36">
        <v>20.0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27</v>
      </c>
      <c r="C8" s="36">
        <v>20.0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7">
        <v>1.23456789E8</v>
      </c>
      <c r="C9" s="36">
        <v>20.0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 t="s">
        <v>28</v>
      </c>
      <c r="C10" s="36">
        <v>20.0</v>
      </c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32" t="s">
        <v>29</v>
      </c>
      <c r="C11" s="36">
        <v>20.0</v>
      </c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2"/>
      <c r="B12" s="32" t="s">
        <v>32</v>
      </c>
      <c r="C12" s="36">
        <v>20.0</v>
      </c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f t="shared" ref="B6:C6" si="1">today()-1</f>
        <v>45103</v>
      </c>
      <c r="C6" s="38">
        <f t="shared" si="1"/>
        <v>45103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36</v>
      </c>
      <c r="C6" s="40" t="s">
        <v>37</v>
      </c>
      <c r="D6" s="31" t="s">
        <v>38</v>
      </c>
      <c r="E6" s="36">
        <v>1.2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>
        <f t="shared" ref="B6:C6" si="1">today()-1</f>
        <v>45103</v>
      </c>
      <c r="C6" s="42">
        <f t="shared" si="1"/>
        <v>45103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23</v>
      </c>
      <c r="C6" s="40" t="s">
        <v>36</v>
      </c>
      <c r="D6" s="43">
        <v>1.9694313E7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4" t="s">
        <v>23</v>
      </c>
      <c r="C6" s="45" t="s">
        <v>43</v>
      </c>
      <c r="D6" s="44" t="s">
        <v>44</v>
      </c>
      <c r="E6" s="45" t="s">
        <v>45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6"/>
      <c r="B6" s="47">
        <v>100000.0</v>
      </c>
      <c r="C6" s="45" t="s">
        <v>47</v>
      </c>
      <c r="D6" s="44" t="s">
        <v>48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8" t="s">
        <v>50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9"/>
      <c r="B6" s="50" t="s">
        <v>52</v>
      </c>
      <c r="C6" s="51" t="s">
        <v>53</v>
      </c>
      <c r="D6" s="52" t="s">
        <v>54</v>
      </c>
      <c r="E6" s="51" t="s">
        <v>55</v>
      </c>
      <c r="F6" s="51">
        <v>-10.0</v>
      </c>
      <c r="G6" s="51">
        <v>0.52</v>
      </c>
      <c r="H6" s="53" t="s">
        <v>56</v>
      </c>
      <c r="I6" s="54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CheckBasketCompliance!$4:$4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IFERROR(__xludf.DUMMYFUNCTION("""COMPUTED_VALUE"""),"AllowTrade")</f>
        <v>AllowTrade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5" t="s">
        <v>23</v>
      </c>
      <c r="C6" s="56" t="s">
        <v>22</v>
      </c>
      <c r="D6" s="55" t="s">
        <v>21</v>
      </c>
      <c r="E6" s="57">
        <v>1.0</v>
      </c>
      <c r="F6" s="57">
        <v>20.0</v>
      </c>
      <c r="G6" s="57">
        <v>20.0</v>
      </c>
      <c r="H6" s="32"/>
      <c r="I6" s="32" t="s">
        <v>24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56" t="s">
        <v>23</v>
      </c>
      <c r="C7" s="56" t="s">
        <v>22</v>
      </c>
      <c r="D7" s="57">
        <v>1.23456789E8</v>
      </c>
      <c r="E7" s="57">
        <v>1.0</v>
      </c>
      <c r="F7" s="57">
        <v>20.0</v>
      </c>
      <c r="G7" s="57">
        <v>0.0</v>
      </c>
      <c r="H7" s="32"/>
      <c r="I7" s="32" t="s">
        <v>24</v>
      </c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56" t="s">
        <v>23</v>
      </c>
      <c r="C8" s="56" t="s">
        <v>22</v>
      </c>
      <c r="D8" s="56" t="s">
        <v>28</v>
      </c>
      <c r="E8" s="57">
        <v>1.0</v>
      </c>
      <c r="F8" s="57">
        <v>20.0</v>
      </c>
      <c r="G8" s="57">
        <v>17.0</v>
      </c>
      <c r="H8" s="32"/>
      <c r="I8" s="32" t="s">
        <v>24</v>
      </c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56" t="s">
        <v>23</v>
      </c>
      <c r="C9" s="56" t="s">
        <v>22</v>
      </c>
      <c r="D9" s="56" t="s">
        <v>29</v>
      </c>
      <c r="E9" s="57">
        <v>1.0</v>
      </c>
      <c r="F9" s="57">
        <v>20.0</v>
      </c>
      <c r="G9" s="57">
        <v>20.0</v>
      </c>
      <c r="H9" s="32"/>
      <c r="I9" s="32" t="s">
        <v>24</v>
      </c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SendToStagingExport!$4:$4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21</v>
      </c>
      <c r="E6" s="32"/>
      <c r="F6" s="32" t="s">
        <v>22</v>
      </c>
      <c r="G6" s="32" t="s">
        <v>60</v>
      </c>
      <c r="H6" s="36">
        <v>1.0</v>
      </c>
      <c r="I6" s="32"/>
      <c r="J6" s="32"/>
      <c r="K6" s="32"/>
      <c r="L6" s="32"/>
      <c r="M6" s="32"/>
      <c r="N6" s="32"/>
      <c r="O6" s="32"/>
      <c r="P6" s="32"/>
      <c r="Q6" s="32" t="s">
        <v>61</v>
      </c>
      <c r="R6" s="32" t="s">
        <v>23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21</v>
      </c>
      <c r="AJ6" s="32" t="s">
        <v>22</v>
      </c>
      <c r="AK6" s="32" t="s">
        <v>60</v>
      </c>
      <c r="AL6" s="37">
        <v>1.0</v>
      </c>
      <c r="AM6" s="32"/>
      <c r="AN6" s="32"/>
      <c r="AO6" s="32"/>
      <c r="AP6" s="32"/>
      <c r="AQ6" s="32"/>
      <c r="AR6" s="32"/>
      <c r="AS6" s="32" t="s">
        <v>61</v>
      </c>
      <c r="AT6" s="32" t="s">
        <v>23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5">
        <v>100.0</v>
      </c>
      <c r="E6" s="32"/>
      <c r="F6" s="32"/>
      <c r="G6" s="32"/>
      <c r="H6" s="32"/>
      <c r="I6" s="32"/>
      <c r="J6" s="36">
        <v>20.0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24</v>
      </c>
      <c r="AR6" s="32"/>
      <c r="AS6" s="32"/>
      <c r="AT6" s="32"/>
      <c r="AU6" s="32"/>
      <c r="AV6" s="32"/>
      <c r="AW6" s="32"/>
      <c r="AX6" s="32" t="s">
        <v>64</v>
      </c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9"/>
      <c r="B6" s="50" t="s">
        <v>52</v>
      </c>
      <c r="C6" s="51" t="s">
        <v>53</v>
      </c>
      <c r="D6" s="52" t="s">
        <v>54</v>
      </c>
      <c r="E6" s="51" t="s">
        <v>55</v>
      </c>
      <c r="F6" s="51">
        <v>-10.0</v>
      </c>
      <c r="G6" s="51">
        <v>0.53</v>
      </c>
      <c r="H6" s="53" t="s">
        <v>66</v>
      </c>
      <c r="I6" s="54"/>
      <c r="J6" s="32"/>
      <c r="K6" s="40" t="s">
        <v>24</v>
      </c>
      <c r="L6" s="32"/>
      <c r="M6" s="40" t="s">
        <v>64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