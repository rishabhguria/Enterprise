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PreTradeCompliancePermission" sheetId="5" r:id="rId7"/>
    <sheet state="visible" name="RestartReleasesAndServices" sheetId="6" r:id="rId8"/>
    <sheet state="visible" name="CreateDoneAwayOrder" sheetId="7" r:id="rId9"/>
    <sheet state="visible" name="CreateCompliance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reateComplianceOrder1" sheetId="13" r:id="rId15"/>
    <sheet state="visible" name="VerifyComplianceOrder" sheetId="14" r:id="rId16"/>
    <sheet state="visible" name="SetComplianceAlert1" sheetId="15" r:id="rId17"/>
    <sheet state="visible" name="CreateDoneAwayOrder1" sheetId="16" r:id="rId18"/>
    <sheet state="visible" name="CreateComplianceOrder2" sheetId="17" r:id="rId19"/>
    <sheet state="visible" name="CreateLiveOrder1" sheetId="18" r:id="rId20"/>
    <sheet state="visible" name="SelectTrade1" sheetId="19" r:id="rId21"/>
    <sheet state="visible" name="AcknowledgeTrade1" sheetId="20" r:id="rId22"/>
    <sheet state="visible" name="ExecuteTrade1" sheetId="21" r:id="rId23"/>
    <sheet state="visible" name="CreateComplianceOrder3" sheetId="22" r:id="rId24"/>
    <sheet state="visible" name="VerifyComplianceOrder2" sheetId="23" r:id="rId25"/>
    <sheet state="visible" name="SetComplianceAlert2" sheetId="24" r:id="rId26"/>
    <sheet state="visible" name="CreateDoneAwayOrder2" sheetId="25" r:id="rId27"/>
    <sheet state="visible" name="CreateComplianceOrder4" sheetId="26" r:id="rId28"/>
    <sheet state="visible" name="CreateLiveOrder2" sheetId="27" r:id="rId29"/>
    <sheet state="visible" name="CreateDoneAwayOrder3" sheetId="28" r:id="rId30"/>
    <sheet state="visible" name="CreateComplianceOrder5" sheetId="29" r:id="rId31"/>
    <sheet state="visible" name="VerifyComplianceOrder3" sheetId="30" r:id="rId32"/>
    <sheet state="visible" name="SetComplianceAlert3" sheetId="31" r:id="rId33"/>
    <sheet state="visible" name="CreateComplianceOrder6" sheetId="32" r:id="rId34"/>
    <sheet state="visible" name="VerifyComplianceOrder4" sheetId="33" r:id="rId35"/>
    <sheet state="visible" name="Sheet10" sheetId="34" r:id="rId36"/>
  </sheets>
  <definedNames/>
  <calcPr/>
</workbook>
</file>

<file path=xl/sharedStrings.xml><?xml version="1.0" encoding="utf-8"?>
<sst xmlns="http://schemas.openxmlformats.org/spreadsheetml/2006/main" count="370" uniqueCount="51">
  <si>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</si>
  <si>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</si>
  <si>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</si>
  <si>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</si>
  <si>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</si>
  <si>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</si>
  <si>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</si>
  <si>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</si>
  <si>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</si>
  <si>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</si>
  <si>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</si>
  <si>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</si>
  <si>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</si>
  <si>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</si>
  <si>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</si>
  <si>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</si>
  <si>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SetPreTradeCompliancePermission</t>
  </si>
  <si>
    <t>Compliance</t>
  </si>
  <si>
    <t>RestartReleasesAndServices</t>
  </si>
  <si>
    <t>Yes</t>
  </si>
  <si>
    <t>TradingTicket</t>
  </si>
  <si>
    <t>CreateDoneAwayOrder</t>
  </si>
  <si>
    <t>MSFT</t>
  </si>
  <si>
    <t>Buy</t>
  </si>
  <si>
    <t>Allocation1</t>
  </si>
  <si>
    <t>MS</t>
  </si>
  <si>
    <t>Day</t>
  </si>
  <si>
    <t>Market</t>
  </si>
  <si>
    <t>CreateComplianceOrder</t>
  </si>
  <si>
    <t>CreateOrder</t>
  </si>
  <si>
    <t>CreateLiveOrder</t>
  </si>
  <si>
    <t>Simulator</t>
  </si>
  <si>
    <t>SelectTrade</t>
  </si>
  <si>
    <t>AcknowledgeTrade</t>
  </si>
  <si>
    <t>ExecuteTrade</t>
  </si>
  <si>
    <t>Send</t>
  </si>
  <si>
    <t>VerifyComplianceOrder</t>
  </si>
  <si>
    <t>Soft</t>
  </si>
  <si>
    <t>Staging</t>
  </si>
  <si>
    <t>Enter Summary</t>
  </si>
  <si>
    <t>Allocation1-MSFT</t>
  </si>
  <si>
    <t>quantity: 3,000.00, AccountShortName: Allocation1, Symbol: MSFT</t>
  </si>
  <si>
    <t>AAPL</t>
  </si>
  <si>
    <t>Allocation1-AAPL</t>
  </si>
  <si>
    <t>quantity: 3,400.00, AccountShortName: Allocation1, Symbol: AAPL</t>
  </si>
  <si>
    <t>GOOG</t>
  </si>
  <si>
    <t>Allocation1-GOOG</t>
  </si>
  <si>
    <t>quantity: 2,600.00, AccountShortName: Allocation1, Symbol: GOOG</t>
  </si>
  <si>
    <t>LSCC</t>
  </si>
  <si>
    <t>Allocation1-LSCC</t>
  </si>
  <si>
    <t>quantity: 3,000.00, AccountShortName: Allocation1, Symbol: LSCC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</si>
</sst>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7" fontId="15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IFERROR(__xludf.DUMMYFUNCTION("""COMPUTED_VALUE"""),"Trading")</f>
        <v>Trading</v>
      </c>
      <c r="C5" s="27" t="str">
        <f>IFERROR(__xludf.DUMMYFUNCTION("""COMPUTED_VALUE"""),"Manual Trading")</f>
        <v>Manual Trading</v>
      </c>
      <c r="D5" s="27" t="str">
        <f>IFERROR(__xludf.DUMMYFUNCTION("""COMPUTED_VALUE"""),"Staging")</f>
        <v>Staging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SetPreTradeCompliancePermission!$4:$4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 t="s">
        <v>23</v>
      </c>
      <c r="D6" s="12">
        <v>400.0</v>
      </c>
      <c r="E6" s="12">
        <v>400.0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  <c r="AX6" s="9" t="s">
        <v>29</v>
      </c>
    </row>
    <row r="8" ht="15.75" customHeight="1">
      <c r="A8" s="8"/>
      <c r="B8" s="12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37</v>
      </c>
      <c r="C6" s="33" t="s">
        <v>38</v>
      </c>
      <c r="D6" s="33" t="s">
        <v>39</v>
      </c>
      <c r="E6" s="33" t="s">
        <v>40</v>
      </c>
      <c r="F6" s="33">
        <v>2500.0</v>
      </c>
      <c r="G6" s="33">
        <v>3000.0</v>
      </c>
      <c r="H6" s="33" t="s">
        <v>41</v>
      </c>
      <c r="I6" s="34"/>
      <c r="J6" s="35"/>
      <c r="K6" s="36" t="s">
        <v>19</v>
      </c>
      <c r="L6" s="35"/>
      <c r="M6" s="36" t="s">
        <v>35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42</v>
      </c>
      <c r="C6" s="12" t="s">
        <v>23</v>
      </c>
      <c r="D6" s="12">
        <v>400.0</v>
      </c>
      <c r="E6" s="12">
        <v>400.0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  <c r="AX6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42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42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42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42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37</v>
      </c>
      <c r="C6" s="33" t="s">
        <v>38</v>
      </c>
      <c r="D6" s="33" t="s">
        <v>39</v>
      </c>
      <c r="E6" s="33" t="s">
        <v>43</v>
      </c>
      <c r="F6" s="33">
        <v>2500.0</v>
      </c>
      <c r="G6" s="33">
        <v>3400.0</v>
      </c>
      <c r="H6" s="33" t="s">
        <v>44</v>
      </c>
      <c r="I6" s="34"/>
      <c r="J6" s="8"/>
      <c r="K6" s="12" t="s">
        <v>19</v>
      </c>
      <c r="L6" s="8"/>
      <c r="M6" s="12" t="s">
        <v>35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45</v>
      </c>
      <c r="C6" s="12" t="s">
        <v>23</v>
      </c>
      <c r="D6" s="12">
        <v>400.0</v>
      </c>
      <c r="E6" s="12">
        <v>400.0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  <c r="AX6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45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45</v>
      </c>
      <c r="C6" s="12" t="s">
        <v>23</v>
      </c>
      <c r="D6" s="12">
        <v>1000.0</v>
      </c>
      <c r="E6" s="12">
        <v>1000.0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45</v>
      </c>
      <c r="C6" s="12" t="s">
        <v>23</v>
      </c>
      <c r="D6" s="12">
        <v>600.0</v>
      </c>
      <c r="E6" s="12">
        <v>600.0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37</v>
      </c>
      <c r="C6" s="33" t="s">
        <v>38</v>
      </c>
      <c r="D6" s="33" t="s">
        <v>39</v>
      </c>
      <c r="E6" s="37" t="s">
        <v>46</v>
      </c>
      <c r="F6" s="33">
        <v>2500.0</v>
      </c>
      <c r="G6" s="37">
        <v>2600.0</v>
      </c>
      <c r="H6" s="37" t="s">
        <v>47</v>
      </c>
      <c r="I6" s="34"/>
      <c r="J6" s="8"/>
      <c r="K6" s="12" t="s">
        <v>19</v>
      </c>
      <c r="L6" s="8"/>
      <c r="M6" s="12" t="s">
        <v>35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48</v>
      </c>
      <c r="C6" s="12" t="s">
        <v>23</v>
      </c>
      <c r="D6" s="12">
        <v>3000.0</v>
      </c>
      <c r="E6" s="12">
        <v>3000.0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45257</v>
      </c>
      <c r="O6" s="8"/>
      <c r="AQ6" s="9" t="s">
        <v>19</v>
      </c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CreateComplianceOrder6!$4:$4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37</v>
      </c>
      <c r="C6" s="33" t="s">
        <v>38</v>
      </c>
      <c r="D6" s="33" t="s">
        <v>39</v>
      </c>
      <c r="E6" s="37" t="s">
        <v>49</v>
      </c>
      <c r="F6" s="33">
        <v>2500.0</v>
      </c>
      <c r="G6" s="37">
        <v>3000.0</v>
      </c>
      <c r="H6" s="37" t="s">
        <v>50</v>
      </c>
      <c r="I6" s="34"/>
      <c r="J6" s="8"/>
      <c r="K6" s="12" t="s">
        <v>19</v>
      </c>
      <c r="L6" s="8"/>
      <c r="M6" s="12" t="s">
        <v>35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IFERROR(__xludf.DUMMYFUNCTION("""COMPUTED_VALUE"""),"Trading")</f>
        <v>Trading</v>
      </c>
      <c r="C5" s="27" t="str">
        <f>IFERROR(__xludf.DUMMYFUNCTION("""COMPUTED_VALUE"""),"Manual Trading")</f>
        <v>Manual Trading</v>
      </c>
      <c r="D5" s="27" t="str">
        <f>IFERROR(__xludf.DUMMYFUNCTION("""COMPUTED_VALUE"""),"Staging")</f>
        <v>Staging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Sheet10!$4:$4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