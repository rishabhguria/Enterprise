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PricingInput" sheetId="7" r:id="rId9"/>
    <sheet state="visible" name="TradePTT" sheetId="8" r:id="rId10"/>
    <sheet state="visible" name="CreateDoneAwayOrderPTT" sheetId="9" r:id="rId11"/>
    <sheet state="visible" name="Unallocate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  <sheet state="visible" name="CheckUnallocatedGroups" sheetId="14" r:id="rId16"/>
    <sheet state="visible" name="GetDataAllocation" sheetId="15" r:id="rId17"/>
    <sheet state="visible" name="GetDataClosing" sheetId="16" r:id="rId18"/>
    <sheet state="visible" name="VerifyLongPositionsGrid" sheetId="17" r:id="rId19"/>
    <sheet state="visible" name="VerifyShortPositionsGrid" sheetId="18" r:id="rId20"/>
    <sheet state="visible" name="GetActivityData" sheetId="19" r:id="rId21"/>
    <sheet state="visible" name="VerifyActivity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<sst xmlns="http://schemas.openxmlformats.org/spreadsheetml/2006/main" count="299" uniqueCount="67">
  <si>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</si>
  <si>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</si>
  <si>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</si>
  <si>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</si>
  <si>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</si>
  <si>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</si>
  <si>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</si>
  <si>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</si>
  <si>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</si>
  <si>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</si>
  <si>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</si>
  <si>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</si>
  <si>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</si>
  <si>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</si>
  <si>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</si>
  <si>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</si>
  <si>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</si>
  <si>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</si>
  <si>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</si>
  <si>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</si>
  <si>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</si>
  <si>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</si>
  <si>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</si>
  <si>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</si>
  <si>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</si>
  <si>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</si>
  <si>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</si>
  <si>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</si>
  <si>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</si>
  <si>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</si>
  <si>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</si>
  <si>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</si>
  <si>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</si>
  <si>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</si>
  <si>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</si>
  <si>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</si>
  <si>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PricingInput</t>
  </si>
  <si>
    <t>PTT</t>
  </si>
  <si>
    <t>TradePTT</t>
  </si>
  <si>
    <t>HITT</t>
  </si>
  <si>
    <t>Percentage</t>
  </si>
  <si>
    <t>No</t>
  </si>
  <si>
    <t>Account</t>
  </si>
  <si>
    <t>Allocation</t>
  </si>
  <si>
    <t>Unallocate</t>
  </si>
  <si>
    <t>SelectUnallocatedGroup</t>
  </si>
  <si>
    <t>EnterAllocatePreference</t>
  </si>
  <si>
    <t>Calculated</t>
  </si>
  <si>
    <t>Pro-rata (NAV)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</si>
  <si>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</si>
  <si>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</si>
  <si>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</si>
  <si>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</si>
  <si>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</si>
  <si>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</si>
  <si>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VerifyLongPositionsGrid</t>
  </si>
  <si>
    <t>VerifyShortPositionsGrid</t>
  </si>
  <si>
    <t>GeneralLedger</t>
  </si>
  <si>
    <t>GetActivityData</t>
  </si>
  <si>
    <t>SelectAll</t>
  </si>
  <si>
    <t>Allocation1,Allocation2,Allocation3,OFFSHORE</t>
  </si>
  <si>
    <t>Yes</t>
  </si>
  <si>
    <t>VerifyActivity</t>
  </si>
  <si>
    <t>EquityL</t>
  </si>
  <si>
    <t>EquityS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</si>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</sst>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4" fillId="6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9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8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4" t="s">
        <v>7</v>
      </c>
      <c r="B1" s="2"/>
      <c r="C1" s="2"/>
      <c r="D1" s="2"/>
      <c r="E1" s="2"/>
      <c r="F1" s="3"/>
    </row>
    <row r="2">
      <c r="A2" s="15"/>
      <c r="B2" s="15"/>
      <c r="C2" s="15"/>
      <c r="D2" s="15"/>
      <c r="E2" s="15"/>
      <c r="F2" s="15"/>
    </row>
    <row r="3">
      <c r="A3" s="16" t="s">
        <v>8</v>
      </c>
      <c r="B3" s="17" t="s">
        <v>9</v>
      </c>
      <c r="C3" s="17" t="s">
        <v>10</v>
      </c>
      <c r="D3" s="18"/>
      <c r="E3" s="18"/>
      <c r="F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 t="s">
        <v>17</v>
      </c>
      <c r="D6" s="9">
        <v>400.0</v>
      </c>
      <c r="E6" s="9">
        <v>400.0</v>
      </c>
      <c r="F6" s="9"/>
      <c r="J6" s="9">
        <v>1.0</v>
      </c>
      <c r="AK6" s="9" t="s">
        <v>18</v>
      </c>
      <c r="AL6" s="32" t="s">
        <v>19</v>
      </c>
    </row>
    <row r="7" ht="15.75" customHeight="1">
      <c r="A7" s="8"/>
      <c r="B7" s="11" t="s">
        <v>20</v>
      </c>
      <c r="C7" s="9" t="s">
        <v>17</v>
      </c>
      <c r="D7" s="9">
        <v>400.0</v>
      </c>
      <c r="E7" s="9">
        <v>400.0</v>
      </c>
      <c r="F7" s="9"/>
      <c r="J7" s="9">
        <v>1.0</v>
      </c>
      <c r="K7" s="8"/>
      <c r="L7" s="8"/>
      <c r="M7" s="8"/>
      <c r="N7" s="8"/>
      <c r="O7" s="8"/>
      <c r="AK7" s="9" t="s">
        <v>21</v>
      </c>
      <c r="AL7" s="32" t="s">
        <v>22</v>
      </c>
    </row>
    <row r="8" ht="15.75" customHeight="1">
      <c r="A8" s="8"/>
      <c r="B8" s="11" t="s">
        <v>23</v>
      </c>
      <c r="C8" s="9" t="s">
        <v>17</v>
      </c>
      <c r="D8" s="9">
        <v>400.0</v>
      </c>
      <c r="E8" s="9">
        <v>400.0</v>
      </c>
      <c r="F8" s="9" t="s">
        <v>24</v>
      </c>
      <c r="J8" s="9">
        <v>1.0</v>
      </c>
      <c r="K8" s="8"/>
      <c r="L8" s="8"/>
      <c r="M8" s="8"/>
      <c r="N8" s="8"/>
      <c r="O8" s="8"/>
      <c r="AL8" s="9"/>
    </row>
    <row r="9" ht="15.75" customHeight="1">
      <c r="A9" s="8"/>
      <c r="B9" s="11" t="s">
        <v>16</v>
      </c>
      <c r="C9" s="11" t="s">
        <v>17</v>
      </c>
      <c r="D9" s="11">
        <v>100.0</v>
      </c>
      <c r="E9" s="11">
        <v>100.0</v>
      </c>
      <c r="F9" s="11" t="s">
        <v>25</v>
      </c>
      <c r="G9" s="8"/>
      <c r="H9" s="8"/>
      <c r="I9" s="8"/>
      <c r="J9" s="11">
        <v>1.0</v>
      </c>
      <c r="K9" s="8"/>
      <c r="L9" s="8"/>
      <c r="M9" s="8"/>
      <c r="N9" s="8"/>
      <c r="O9" s="8"/>
    </row>
    <row r="10" ht="15.75" customHeight="1">
      <c r="A10" s="8"/>
      <c r="B10" s="11" t="s">
        <v>20</v>
      </c>
      <c r="C10" s="11" t="s">
        <v>26</v>
      </c>
      <c r="D10" s="11">
        <v>600.0</v>
      </c>
      <c r="E10" s="11">
        <v>600.0</v>
      </c>
      <c r="F10" s="11" t="s">
        <v>25</v>
      </c>
      <c r="G10" s="8"/>
      <c r="H10" s="8"/>
      <c r="I10" s="8"/>
      <c r="J10" s="11">
        <v>1.0</v>
      </c>
      <c r="K10" s="8"/>
      <c r="L10" s="8"/>
      <c r="M10" s="8"/>
      <c r="N10" s="8"/>
      <c r="O10" s="8"/>
    </row>
    <row r="11" ht="15.75" customHeight="1">
      <c r="A11" s="8"/>
      <c r="B11" s="11" t="s">
        <v>23</v>
      </c>
      <c r="C11" s="11" t="s">
        <v>26</v>
      </c>
      <c r="D11" s="11">
        <v>400.0</v>
      </c>
      <c r="E11" s="11">
        <v>400.0</v>
      </c>
      <c r="F11" s="11" t="s">
        <v>25</v>
      </c>
      <c r="G11" s="8"/>
      <c r="H11" s="8"/>
      <c r="I11" s="8"/>
      <c r="J11" s="11">
        <v>1.0</v>
      </c>
      <c r="K11" s="8"/>
      <c r="L11" s="8"/>
      <c r="M11" s="8"/>
      <c r="N11" s="8"/>
      <c r="O11" s="8"/>
    </row>
    <row r="12" ht="15.75" customHeight="1">
      <c r="A12" s="8"/>
      <c r="B12" s="11" t="s">
        <v>27</v>
      </c>
      <c r="C12" s="11" t="s">
        <v>28</v>
      </c>
      <c r="D12" s="11">
        <v>100.0</v>
      </c>
      <c r="E12" s="11">
        <v>100.0</v>
      </c>
      <c r="F12" s="11" t="s">
        <v>25</v>
      </c>
      <c r="G12" s="8"/>
      <c r="H12" s="8"/>
      <c r="I12" s="8"/>
      <c r="J12" s="11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3">
        <f>TODAY()-1</f>
        <v>44515</v>
      </c>
      <c r="C6" s="33">
        <f>TODAY()</f>
        <v>44516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32</v>
      </c>
      <c r="C6" s="9" t="s">
        <v>33</v>
      </c>
      <c r="D6" s="9">
        <v>71218.0</v>
      </c>
    </row>
    <row r="7" ht="15.75" customHeight="1">
      <c r="A7" s="8"/>
      <c r="B7" s="11" t="s">
        <v>34</v>
      </c>
      <c r="C7" s="11" t="s">
        <v>33</v>
      </c>
      <c r="D7" s="11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35</v>
      </c>
      <c r="C8" s="11" t="s">
        <v>33</v>
      </c>
      <c r="D8" s="11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tr">
        <f>IFERROR(__xludf.DUMMYFUNCTION("""COMPUTED_VALUE"""),"UpdateSharesOutstanding")</f>
        <v>UpdateSharesOutstanding</v>
      </c>
      <c r="D4" s="27" t="str">
        <f>IFERROR(__xludf.DUMMYFUNCTION("""COMPUTED_VALUE"""),"EODTPreferences")</f>
        <v>EODTPreferences</v>
      </c>
      <c r="E4" s="27" t="str">
        <f>IFERROR(__xludf.DUMMYFUNCTION("""COMPUTED_VALUE"""),"LiveData")</f>
        <v>LiveData</v>
      </c>
      <c r="F4" s="27" t="str">
        <f>IFERROR(__xludf.DUMMYFUNCTION("""COMPUTED_VALUE"""),"UncheckDividendYield")</f>
        <v>UncheckDividendYield</v>
      </c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IFERROR(__xludf.DUMMYFUNCTION("""COMPUTED_VALUE"""),"User Px")</f>
        <v>User Px</v>
      </c>
      <c r="D5" s="30" t="str">
        <f>IFERROR(__xludf.DUMMYFUNCTION("""COMPUTED_VALUE"""),"Asset Class")</f>
        <v>Asset Class</v>
      </c>
      <c r="E5" s="30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30" t="str">
        <f>IFERROR(__xludf.DUMMYFUNCTION("""COMPUTED_VALUE"""),"User Volatility")</f>
        <v>User Volatility</v>
      </c>
      <c r="H5" s="30" t="str">
        <f>IFERROR(__xludf.DUMMYFUNCTION("""COMPUTED_VALUE"""),"Interest Rate")</f>
        <v>Interest Rate</v>
      </c>
      <c r="I5" s="30" t="str">
        <f>IFERROR(__xludf.DUMMYFUNCTION("""COMPUTED_VALUE"""),"User Interest Rate")</f>
        <v>User Interest Rate</v>
      </c>
      <c r="J5" s="30" t="str">
        <f>IFERROR(__xludf.DUMMYFUNCTION("""COMPUTED_VALUE"""),"Dividend Yield")</f>
        <v>Dividend Yield</v>
      </c>
      <c r="K5" s="30" t="str">
        <f>IFERROR(__xludf.DUMMYFUNCTION("""COMPUTED_VALUE"""),"User Dividend Yield")</f>
        <v>User Dividend Yield</v>
      </c>
      <c r="L5" s="30" t="str">
        <f>IFERROR(__xludf.DUMMYFUNCTION("""COMPUTED_VALUE"""),"Actual Delta")</f>
        <v>Actual Delta</v>
      </c>
      <c r="M5" s="30" t="str">
        <f>IFERROR(__xludf.DUMMYFUNCTION("""COMPUTED_VALUE"""),"User Delta")</f>
        <v>User Delta</v>
      </c>
      <c r="N5" s="30" t="str">
        <f>IFERROR(__xludf.DUMMYFUNCTION("""COMPUTED_VALUE"""),"Selected Px")</f>
        <v>Selected Px</v>
      </c>
      <c r="O5" s="30" t="str">
        <f>IFERROR(__xludf.DUMMYFUNCTION("""COMPUTED_VALUE"""),"Forward Points")</f>
        <v>Forward Points</v>
      </c>
      <c r="P5" s="30" t="str">
        <f>IFERROR(__xludf.DUMMYFUNCTION("""COMPUTED_VALUE"""),"Shares Outstanding")</f>
        <v>Shares Outstanding</v>
      </c>
      <c r="Q5" s="30" t="str">
        <f>IFERROR(__xludf.DUMMYFUNCTION("""COMPUTED_VALUE"""),"User Shares Outstanding")</f>
        <v>User Shares Outstanding</v>
      </c>
      <c r="R5" s="30" t="str">
        <f>IFERROR(__xludf.DUMMYFUNCTION("""COMPUTED_VALUE"""),"LastPriceUsed")</f>
        <v>LastPriceUsed</v>
      </c>
      <c r="S5" s="30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>
        <v>5.0</v>
      </c>
      <c r="Q6" s="9">
        <v>1000.0</v>
      </c>
    </row>
    <row r="7" ht="15.75" customHeight="1">
      <c r="A7" s="8"/>
      <c r="B7" s="11" t="s">
        <v>20</v>
      </c>
      <c r="C7" s="11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1000.0</v>
      </c>
    </row>
    <row r="8" ht="15.75" customHeight="1">
      <c r="A8" s="8"/>
      <c r="B8" s="11" t="s">
        <v>27</v>
      </c>
      <c r="C8" s="11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9">
        <v>1000.0</v>
      </c>
    </row>
    <row r="9" ht="15.75" customHeight="1">
      <c r="A9" s="8"/>
      <c r="B9" s="11" t="s">
        <v>23</v>
      </c>
      <c r="C9" s="11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9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37</v>
      </c>
      <c r="D3" s="5" t="s">
        <v>9</v>
      </c>
      <c r="E3" s="24" t="s">
        <v>38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IFERROR(__xludf.DUMMYFUNCTION("IF(C3="""","""",Transpose(IMPORTRANGE('_Settings'!$B$3,C3&amp;""!A4:A1000"")))"),"CalculatePTT")</f>
        <v>CalculatePTT</v>
      </c>
      <c r="C4" s="27" t="str">
        <f>IFERROR(__xludf.DUMMYFUNCTION("""COMPUTED_VALUE"""),"TradeUsingPTT")</f>
        <v>TradeUsingPTT</v>
      </c>
      <c r="D4" s="27" t="str">
        <f>IFERROR(__xludf.DUMMYFUNCTION("""COMPUTED_VALUE"""),"StageOrderUsingPTT")</f>
        <v>StageOrderUsingPTT</v>
      </c>
      <c r="E4" s="27" t="str">
        <f>IFERROR(__xludf.DUMMYFUNCTION("""COMPUTED_VALUE"""),"CreateOrderPTT")</f>
        <v>CreateOrderPTT</v>
      </c>
      <c r="F4" s="27" t="str">
        <f>IFERROR(__xludf.DUMMYFUNCTION("""COMPUTED_VALUE"""),"TradePTT")</f>
        <v>TradePTT</v>
      </c>
      <c r="G4" s="27" t="str">
        <f>IFERROR(__xludf.DUMMYFUNCTION("""COMPUTED_VALUE"""),"VerifyPTT")</f>
        <v>VerifyPTT</v>
      </c>
      <c r="H4" s="27" t="str">
        <f>IFERROR(__xludf.DUMMYFUNCTION("""COMPUTED_VALUE"""),"OpenMultiTTFromPTT")</f>
        <v>OpenMultiTTFromPTT</v>
      </c>
      <c r="I4" s="27" t="str">
        <f>IFERROR(__xludf.DUMMYFUNCTION("""COMPUTED_VALUE"""),"SelectMultiTT")</f>
        <v>SelectMultiTT</v>
      </c>
      <c r="J4" s="27" t="str">
        <f>IFERROR(__xludf.DUMMYFUNCTION("""COMPUTED_VALUE"""),"EditMultiTT")</f>
        <v>EditMultiTT</v>
      </c>
      <c r="K4" s="27" t="str">
        <f>IFERROR(__xludf.DUMMYFUNCTION("""COMPUTED_VALUE"""),"SetAccountFactor")</f>
        <v>SetAccountFactor</v>
      </c>
      <c r="L4" s="27" t="str">
        <f>IFERROR(__xludf.DUMMYFUNCTION("""COMPUTED_VALUE"""),"SetPTTPreference")</f>
        <v>SetPTTPreference</v>
      </c>
      <c r="M4" s="27" t="str">
        <f>IFERROR(__xludf.DUMMYFUNCTION("""COMPUTED_VALUE"""),"SetLongShortPTTPreference")</f>
        <v>SetLongShortPTTPreference</v>
      </c>
      <c r="N4" s="27" t="str">
        <f>IFERROR(__xludf.DUMMYFUNCTION("""COMPUTED_VALUE"""),"SelectPTTRecord")</f>
        <v>SelectPTTRecord</v>
      </c>
      <c r="O4" s="27" t="str">
        <f>IFERROR(__xludf.DUMMYFUNCTION("""COMPUTED_VALUE"""),"EditPTTRecord")</f>
        <v>EditPTTRecord</v>
      </c>
      <c r="P4" s="28" t="str">
        <f>IFERROR(__xludf.DUMMYFUNCTION("""COMPUTED_VALUE"""),"SetDefaultSymbology")</f>
        <v>SetDefaultSymbology</v>
      </c>
      <c r="Q4" s="28" t="str">
        <f>IFERROR(__xludf.DUMMYFUNCTION("""COMPUTED_VALUE"""),"EditPTTAccountLevelWPF")</f>
        <v>EditPTTAccountLevelWPF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IFERROR(__xludf.DUMMYFUNCTION("""COMPUTED_VALUE"""),"Ticker")</f>
        <v>Ticker</v>
      </c>
      <c r="C5" s="30" t="str">
        <f>IFERROR(__xludf.DUMMYFUNCTION("""COMPUTED_VALUE"""),"Add/Set")</f>
        <v>Add/Set</v>
      </c>
      <c r="D5" s="30" t="str">
        <f>IFERROR(__xludf.DUMMYFUNCTION("""COMPUTED_VALUE"""),"Type")</f>
        <v>Type</v>
      </c>
      <c r="E5" s="30" t="str">
        <f>IFERROR(__xludf.DUMMYFUNCTION("""COMPUTED_VALUE"""),"Target")</f>
        <v>Target</v>
      </c>
      <c r="F5" s="30" t="str">
        <f>IFERROR(__xludf.DUMMYFUNCTION("""COMPUTED_VALUE"""),"Price")</f>
        <v>Price</v>
      </c>
      <c r="G5" s="30" t="str">
        <f>IFERROR(__xludf.DUMMYFUNCTION("""COMPUTED_VALUE"""),"Combined Account Total")</f>
        <v>Combined Account Total</v>
      </c>
      <c r="H5" s="30" t="str">
        <f>IFERROR(__xludf.DUMMYFUNCTION("""COMPUTED_VALUE"""),"MasterFund/Account")</f>
        <v>MasterFund/Account</v>
      </c>
      <c r="I5" s="30" t="str">
        <f>IFERROR(__xludf.DUMMYFUNCTION("""COMPUTED_VALUE"""),"Accounts")</f>
        <v>Accounts</v>
      </c>
      <c r="J5" s="30" t="str">
        <f>IFERROR(__xludf.DUMMYFUNCTION("""COMPUTED_VALUE"""),"Default Symbology")</f>
        <v>Default Symbology</v>
      </c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39</v>
      </c>
      <c r="D6" s="9" t="s">
        <v>40</v>
      </c>
      <c r="E6" s="9">
        <v>5.0</v>
      </c>
      <c r="F6" s="9">
        <v>1.0</v>
      </c>
      <c r="G6" s="9" t="s">
        <v>41</v>
      </c>
      <c r="H6" s="9" t="s">
        <v>42</v>
      </c>
      <c r="I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39</v>
      </c>
      <c r="D6" s="9">
        <v>500.0</v>
      </c>
      <c r="E6" s="9">
        <v>500.0</v>
      </c>
      <c r="J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44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IFERROR(__xludf.DUMMYFUNCTION("""COMPUTED_VALUE"""),"Quantity")</f>
        <v>Quantity</v>
      </c>
      <c r="D5" s="30" t="str">
        <f>IFERROR(__xludf.DUMMYFUNCTION("""COMPUTED_VALUE"""),"Trade Date")</f>
        <v>Trade Date</v>
      </c>
      <c r="E5" s="30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 Base)")</f>
        <v>Avg Price( 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39</v>
      </c>
      <c r="C6" s="9">
        <v>500.0</v>
      </c>
      <c r="F6" s="9" t="s">
        <v>17</v>
      </c>
      <c r="H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45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IFERROR(__xludf.DUMMYFUNCTION("""COMPUTED_VALUE"""),"Side")</f>
        <v>Side</v>
      </c>
      <c r="D5" s="30" t="str">
        <f>IFERROR(__xludf.DUMMYFUNCTION("""COMPUTED_VALUE"""),"Quantity")</f>
        <v>Quantity</v>
      </c>
      <c r="E5" s="30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30" t="str">
        <f>IFERROR(__xludf.DUMMYFUNCTION("""COMPUTED_VALUE"""),"Net Amount( Local)")</f>
        <v>Net Amount( Local)</v>
      </c>
      <c r="H5" s="30" t="str">
        <f>IFERROR(__xludf.DUMMYFUNCTION("""COMPUTED_VALUE"""),"Net Amount( Base)")</f>
        <v>Net Amount( Base)</v>
      </c>
      <c r="I5" s="30" t="str">
        <f>IFERROR(__xludf.DUMMYFUNCTION("""COMPUTED_VALUE"""),"Principal Amount( Local)")</f>
        <v>Principal Amount( Local)</v>
      </c>
      <c r="J5" s="30" t="str">
        <f>IFERROR(__xludf.DUMMYFUNCTION("""COMPUTED_VALUE"""),"Transaction Type")</f>
        <v>Transaction Type</v>
      </c>
      <c r="K5" s="30" t="str">
        <f>IFERROR(__xludf.DUMMYFUNCTION("""COMPUTED_VALUE"""),"Principal Amount( Base)")</f>
        <v>Principal Amount( Base)</v>
      </c>
      <c r="L5" s="30" t="str">
        <f>IFERROR(__xludf.DUMMYFUNCTION("""COMPUTED_VALUE"""),"Execution Time")</f>
        <v>Execution Time</v>
      </c>
      <c r="M5" s="30" t="str">
        <f>IFERROR(__xludf.DUMMYFUNCTION("""COMPUTED_VALUE"""),"Trading Account")</f>
        <v>Trading Account</v>
      </c>
      <c r="N5" s="30" t="str">
        <f>IFERROR(__xludf.DUMMYFUNCTION("""COMPUTED_VALUE"""),"Avg Price(Local)")</f>
        <v>Avg Price(Local)</v>
      </c>
      <c r="O5" s="30" t="str">
        <f>IFERROR(__xludf.DUMMYFUNCTION("""COMPUTED_VALUE"""),"Avg Price(Base)")</f>
        <v>Avg Price(Base)</v>
      </c>
      <c r="P5" s="30" t="str">
        <f>IFERROR(__xludf.DUMMYFUNCTION("""COMPUTED_VALUE"""),"Broker")</f>
        <v>Broker</v>
      </c>
      <c r="Q5" s="30" t="str">
        <f>IFERROR(__xludf.DUMMYFUNCTION("""COMPUTED_VALUE"""),"FX Rate")</f>
        <v>FX Rate</v>
      </c>
      <c r="R5" s="30" t="str">
        <f>IFERROR(__xludf.DUMMYFUNCTION("""COMPUTED_VALUE"""),"Venue")</f>
        <v>Venue</v>
      </c>
      <c r="S5" s="30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1" t="s">
        <v>16</v>
      </c>
      <c r="C6" s="11" t="s">
        <v>17</v>
      </c>
      <c r="D6" s="11">
        <v>100.0</v>
      </c>
      <c r="E6" s="11">
        <v>100.0</v>
      </c>
      <c r="O6" s="9">
        <v>1.0</v>
      </c>
    </row>
    <row r="7" ht="15.75" customHeight="1">
      <c r="A7" s="8"/>
      <c r="B7" s="11" t="s">
        <v>20</v>
      </c>
      <c r="C7" s="11" t="s">
        <v>26</v>
      </c>
      <c r="D7" s="11">
        <v>600.0</v>
      </c>
      <c r="E7" s="11">
        <v>600.0</v>
      </c>
      <c r="F7" s="8"/>
      <c r="G7" s="8"/>
      <c r="H7" s="8"/>
      <c r="I7" s="8"/>
      <c r="J7" s="8"/>
      <c r="K7" s="8"/>
      <c r="L7" s="8"/>
      <c r="M7" s="8"/>
      <c r="N7" s="8"/>
      <c r="O7" s="11">
        <v>1.0</v>
      </c>
    </row>
    <row r="8" ht="15.75" customHeight="1">
      <c r="A8" s="8"/>
      <c r="B8" s="11" t="s">
        <v>23</v>
      </c>
      <c r="C8" s="11" t="s">
        <v>26</v>
      </c>
      <c r="D8" s="11">
        <v>400.0</v>
      </c>
      <c r="E8" s="11">
        <v>400.0</v>
      </c>
      <c r="F8" s="8"/>
      <c r="G8" s="8"/>
      <c r="H8" s="8"/>
      <c r="I8" s="8"/>
      <c r="J8" s="8"/>
      <c r="K8" s="8"/>
      <c r="L8" s="8"/>
      <c r="M8" s="8"/>
      <c r="N8" s="8"/>
      <c r="O8" s="11">
        <v>1.0</v>
      </c>
    </row>
    <row r="9" ht="15.75" customHeight="1">
      <c r="A9" s="8"/>
      <c r="B9" s="11" t="s">
        <v>27</v>
      </c>
      <c r="C9" s="11" t="s">
        <v>28</v>
      </c>
      <c r="D9" s="11">
        <v>100.0</v>
      </c>
      <c r="E9" s="11">
        <v>100.0</v>
      </c>
      <c r="F9" s="8"/>
      <c r="G9" s="8"/>
      <c r="H9" s="8"/>
      <c r="I9" s="8"/>
      <c r="J9" s="8"/>
      <c r="K9" s="8"/>
      <c r="L9" s="8"/>
      <c r="M9" s="8"/>
      <c r="N9" s="8"/>
      <c r="O9" s="11">
        <v>1.0</v>
      </c>
    </row>
    <row r="10" ht="15.75" customHeight="1">
      <c r="A10" s="8"/>
      <c r="B10" s="11" t="s">
        <v>39</v>
      </c>
      <c r="C10" s="11" t="s">
        <v>17</v>
      </c>
      <c r="D10" s="11">
        <v>500.0</v>
      </c>
      <c r="E10" s="11">
        <v>500.0</v>
      </c>
      <c r="F10" s="8"/>
      <c r="G10" s="8"/>
      <c r="H10" s="8"/>
      <c r="I10" s="8"/>
      <c r="J10" s="8"/>
      <c r="K10" s="8"/>
      <c r="L10" s="8"/>
      <c r="M10" s="8"/>
      <c r="N10" s="8"/>
      <c r="O10" s="11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46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IFERROR(__xludf.DUMMYFUNCTION("""COMPUTED_VALUE"""),"PreferenceType")</f>
        <v>PreferenceType</v>
      </c>
      <c r="C5" s="30" t="str">
        <f>IFERROR(__xludf.DUMMYFUNCTION("""COMPUTED_VALUE"""),"PreferenceName")</f>
        <v>PreferenceName</v>
      </c>
      <c r="D5" s="30" t="str">
        <f>IFERROR(__xludf.DUMMYFUNCTION("""COMPUTED_VALUE"""),"PTTPrefNeeded")</f>
        <v>PTTPrefNeeded</v>
      </c>
      <c r="E5" s="30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30" t="str">
        <f>IFERROR(__xludf.DUMMYFUNCTION("""COMPUTED_VALUE"""),"RemainderAllocationTo")</f>
        <v>RemainderAllocationTo</v>
      </c>
      <c r="H5" s="30" t="str">
        <f>IFERROR(__xludf.DUMMYFUNCTION("""COMPUTED_VALUE"""),"Target%AsOf")</f>
        <v>Target%AsOf</v>
      </c>
      <c r="I5" s="30" t="str">
        <f>IFERROR(__xludf.DUMMYFUNCTION("""COMPUTED_VALUE"""),"AccountsForProrata")</f>
        <v>AccountsForProrata</v>
      </c>
      <c r="J5" s="30" t="str">
        <f>IFERROR(__xludf.DUMMYFUNCTION("""COMPUTED_VALUE"""),"DateUptoDays")</f>
        <v>DateUptoDays</v>
      </c>
      <c r="K5" s="30" t="str">
        <f>IFERROR(__xludf.DUMMYFUNCTION("""COMPUTED_VALUE"""),"MatchClosingTransactions")</f>
        <v>MatchClosingTransactions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47</v>
      </c>
      <c r="D6" s="9" t="b">
        <v>1</v>
      </c>
      <c r="G6" s="9"/>
      <c r="H6" s="9" t="s">
        <v>48</v>
      </c>
      <c r="I6" s="9" t="s">
        <v>18</v>
      </c>
      <c r="K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9">
        <v>1.0</v>
      </c>
      <c r="L6" s="9">
        <v>1.0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9">
        <v>1.0</v>
      </c>
      <c r="L7" s="9">
        <v>1.0</v>
      </c>
      <c r="M7" s="8"/>
      <c r="N7" s="8"/>
      <c r="O7" s="8"/>
      <c r="BJ7" s="9">
        <v>500.0</v>
      </c>
      <c r="BO7" s="9" t="s">
        <v>17</v>
      </c>
      <c r="BT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9">
        <v>1.0</v>
      </c>
      <c r="L8" s="9">
        <v>1.0</v>
      </c>
      <c r="M8" s="8"/>
      <c r="N8" s="8"/>
      <c r="O8" s="8"/>
      <c r="BJ8" s="9">
        <v>100.0</v>
      </c>
      <c r="BO8" s="9" t="s">
        <v>28</v>
      </c>
      <c r="BT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50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IFERROR(__xludf.DUMMYFUNCTION("""COMPUTED_VALUE"""),"Accrual Basis")</f>
        <v>Accrual Basis</v>
      </c>
      <c r="C5" s="30" t="str">
        <f>IFERROR(__xludf.DUMMYFUNCTION("""COMPUTED_VALUE"""),"Accrued Interest")</f>
        <v>Accrued Interest</v>
      </c>
      <c r="D5" s="30" t="str">
        <f>IFERROR(__xludf.DUMMYFUNCTION("""COMPUTED_VALUE"""),"Allocated Qty")</f>
        <v>Allocated Qty</v>
      </c>
      <c r="E5" s="30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30" t="str">
        <f>IFERROR(__xludf.DUMMYFUNCTION("""COMPUTED_VALUE"""),"AUEC Fee1")</f>
        <v>AUEC Fee1</v>
      </c>
      <c r="H5" s="30" t="str">
        <f>IFERROR(__xludf.DUMMYFUNCTION("""COMPUTED_VALUE"""),"AUEC Fee2")</f>
        <v>AUEC Fee2</v>
      </c>
      <c r="I5" s="30" t="str">
        <f>IFERROR(__xludf.DUMMYFUNCTION("""COMPUTED_VALUE"""),"AUECID")</f>
        <v>AUECID</v>
      </c>
      <c r="J5" s="30" t="str">
        <f>IFERROR(__xludf.DUMMYFUNCTION("""COMPUTED_VALUE"""),"Avg Price(Base)")</f>
        <v>Avg Price(Base)</v>
      </c>
      <c r="K5" s="30" t="str">
        <f>IFERROR(__xludf.DUMMYFUNCTION("""COMPUTED_VALUE"""),"Avg Price(Local)")</f>
        <v>Avg Price(Local)</v>
      </c>
      <c r="L5" s="30" t="str">
        <f>IFERROR(__xludf.DUMMYFUNCTION("""COMPUTED_VALUE"""),"Bloomberg")</f>
        <v>Bloomberg</v>
      </c>
      <c r="M5" s="30" t="str">
        <f>IFERROR(__xludf.DUMMYFUNCTION("""COMPUTED_VALUE"""),"Bond Type")</f>
        <v>Bond Type</v>
      </c>
      <c r="N5" s="30" t="str">
        <f>IFERROR(__xludf.DUMMYFUNCTION("""COMPUTED_VALUE"""),"Broker")</f>
        <v>Broker</v>
      </c>
      <c r="O5" s="30" t="str">
        <f>IFERROR(__xludf.DUMMYFUNCTION("""COMPUTED_VALUE"""),"Change Comment")</f>
        <v>Change Comment</v>
      </c>
      <c r="P5" s="30" t="str">
        <f>IFERROR(__xludf.DUMMYFUNCTION("""COMPUTED_VALUE"""),"Change Type")</f>
        <v>Change Type</v>
      </c>
      <c r="Q5" s="30" t="str">
        <f>IFERROR(__xludf.DUMMYFUNCTION("""COMPUTED_VALUE"""),"Clearing Broker Fee")</f>
        <v>Clearing Broker Fee</v>
      </c>
      <c r="R5" s="30" t="str">
        <f>IFERROR(__xludf.DUMMYFUNCTION("""COMPUTED_VALUE"""),"Closing Method")</f>
        <v>Closing Method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J6" s="9">
        <v>1.0</v>
      </c>
      <c r="K6" s="9">
        <v>1.0</v>
      </c>
      <c r="AE6" s="9">
        <v>600.0</v>
      </c>
      <c r="BJ6" s="9">
        <v>600.0</v>
      </c>
      <c r="BO6" s="9" t="s">
        <v>26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>
        <v>1.0</v>
      </c>
      <c r="K7" s="11">
        <v>1.0</v>
      </c>
      <c r="L7" s="8"/>
      <c r="M7" s="8"/>
      <c r="N7" s="8"/>
      <c r="O7" s="8"/>
      <c r="AE7" s="9">
        <v>400.0</v>
      </c>
      <c r="BJ7" s="9">
        <v>400.0</v>
      </c>
      <c r="BO7" s="9" t="s">
        <v>26</v>
      </c>
      <c r="BS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51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39">
        <v>59.0</v>
      </c>
      <c r="N6" s="38"/>
      <c r="O6" s="38"/>
      <c r="P6" s="40" t="s">
        <v>17</v>
      </c>
      <c r="Q6" s="40"/>
      <c r="R6" s="40" t="s">
        <v>16</v>
      </c>
      <c r="S6" s="3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1">
        <v>12.0</v>
      </c>
      <c r="N7" s="40"/>
      <c r="O7" s="40"/>
      <c r="P7" s="40" t="s">
        <v>17</v>
      </c>
      <c r="Q7" s="40"/>
      <c r="R7" s="40" t="s">
        <v>16</v>
      </c>
      <c r="S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>
        <v>29.0</v>
      </c>
      <c r="N8" s="40"/>
      <c r="O8" s="40"/>
      <c r="P8" s="40" t="s">
        <v>17</v>
      </c>
      <c r="Q8" s="40"/>
      <c r="R8" s="40" t="s">
        <v>16</v>
      </c>
      <c r="S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32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 t="s">
        <v>17</v>
      </c>
      <c r="Q9" s="40"/>
      <c r="R9" s="40" t="s">
        <v>39</v>
      </c>
      <c r="S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34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 t="s">
        <v>17</v>
      </c>
      <c r="Q10" s="40"/>
      <c r="R10" s="40" t="s">
        <v>39</v>
      </c>
      <c r="S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 t="s">
        <v>17</v>
      </c>
      <c r="Q11" s="40"/>
      <c r="R11" s="40" t="s">
        <v>39</v>
      </c>
      <c r="S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42">
        <v>59.0</v>
      </c>
      <c r="N6" s="38"/>
      <c r="O6" s="38"/>
      <c r="P6" s="40" t="s">
        <v>28</v>
      </c>
      <c r="Q6" s="40"/>
      <c r="R6" s="40" t="s">
        <v>27</v>
      </c>
      <c r="S6" s="3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1">
        <v>12.0</v>
      </c>
      <c r="N7" s="40"/>
      <c r="O7" s="40"/>
      <c r="P7" s="40" t="s">
        <v>28</v>
      </c>
      <c r="Q7" s="40"/>
      <c r="R7" s="40" t="s">
        <v>27</v>
      </c>
      <c r="S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3">
        <v>29.0</v>
      </c>
      <c r="N8" s="40"/>
      <c r="O8" s="40"/>
      <c r="P8" s="40" t="s">
        <v>28</v>
      </c>
      <c r="Q8" s="40"/>
      <c r="R8" s="40" t="s">
        <v>27</v>
      </c>
      <c r="S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58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59</v>
      </c>
      <c r="C6" s="38" t="s">
        <v>60</v>
      </c>
      <c r="D6" s="44">
        <f t="shared" ref="D6:E6" si="1">TODAY()</f>
        <v>44516</v>
      </c>
      <c r="E6" s="44">
        <f t="shared" si="1"/>
        <v>44516</v>
      </c>
      <c r="F6" s="45" t="s">
        <v>41</v>
      </c>
      <c r="G6" s="45" t="s">
        <v>61</v>
      </c>
      <c r="H6" s="45" t="s">
        <v>41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62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 t="s">
        <v>63</v>
      </c>
      <c r="E6" s="38"/>
      <c r="F6" s="38"/>
      <c r="G6" s="38"/>
      <c r="H6" s="38"/>
      <c r="I6" s="38"/>
      <c r="J6" s="38"/>
      <c r="K6" s="38" t="s">
        <v>33</v>
      </c>
      <c r="L6" s="38"/>
      <c r="M6" s="38"/>
      <c r="N6" s="38"/>
      <c r="O6" s="38"/>
      <c r="P6" s="38"/>
      <c r="Q6" s="38"/>
      <c r="R6" s="38"/>
      <c r="S6" s="38"/>
      <c r="T6" s="40"/>
      <c r="U6" s="40"/>
      <c r="V6" s="46">
        <v>59.0</v>
      </c>
      <c r="W6" s="40"/>
      <c r="X6" s="40"/>
      <c r="Y6" s="40"/>
      <c r="Z6" s="40"/>
      <c r="AA6" s="40"/>
      <c r="AB6" s="40" t="s">
        <v>16</v>
      </c>
      <c r="AC6" s="40"/>
      <c r="AD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 t="s">
        <v>63</v>
      </c>
      <c r="E7" s="40"/>
      <c r="F7" s="40"/>
      <c r="G7" s="40"/>
      <c r="H7" s="40"/>
      <c r="I7" s="40"/>
      <c r="J7" s="40"/>
      <c r="K7" s="40" t="s">
        <v>33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6">
        <v>12.0</v>
      </c>
      <c r="W7" s="40"/>
      <c r="X7" s="40"/>
      <c r="Y7" s="40"/>
      <c r="Z7" s="40"/>
      <c r="AA7" s="40"/>
      <c r="AB7" s="40" t="s">
        <v>16</v>
      </c>
      <c r="AC7" s="40"/>
      <c r="AD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 t="s">
        <v>63</v>
      </c>
      <c r="E8" s="40"/>
      <c r="F8" s="40"/>
      <c r="G8" s="40"/>
      <c r="H8" s="40"/>
      <c r="I8" s="40"/>
      <c r="J8" s="40"/>
      <c r="K8" s="40" t="s">
        <v>33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6">
        <v>29.0</v>
      </c>
      <c r="W8" s="40"/>
      <c r="X8" s="40"/>
      <c r="Y8" s="40"/>
      <c r="Z8" s="40"/>
      <c r="AA8" s="40"/>
      <c r="AB8" s="40" t="s">
        <v>16</v>
      </c>
      <c r="AC8" s="40"/>
      <c r="AD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32</v>
      </c>
      <c r="C9" s="40"/>
      <c r="D9" s="40" t="s">
        <v>63</v>
      </c>
      <c r="E9" s="40"/>
      <c r="F9" s="40"/>
      <c r="G9" s="40"/>
      <c r="H9" s="40"/>
      <c r="I9" s="40"/>
      <c r="J9" s="40"/>
      <c r="K9" s="40" t="s">
        <v>33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 t="s">
        <v>39</v>
      </c>
      <c r="AC9" s="40"/>
      <c r="AD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34</v>
      </c>
      <c r="C10" s="40"/>
      <c r="D10" s="40" t="s">
        <v>63</v>
      </c>
      <c r="E10" s="40"/>
      <c r="F10" s="40"/>
      <c r="G10" s="40"/>
      <c r="H10" s="40"/>
      <c r="I10" s="40"/>
      <c r="J10" s="40"/>
      <c r="K10" s="40" t="s">
        <v>33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 t="s">
        <v>39</v>
      </c>
      <c r="AC10" s="40"/>
      <c r="AD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35</v>
      </c>
      <c r="C11" s="40"/>
      <c r="D11" s="40" t="s">
        <v>63</v>
      </c>
      <c r="E11" s="40"/>
      <c r="F11" s="40"/>
      <c r="G11" s="40"/>
      <c r="H11" s="40"/>
      <c r="I11" s="40"/>
      <c r="J11" s="40"/>
      <c r="K11" s="40" t="s">
        <v>33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 t="s">
        <v>39</v>
      </c>
      <c r="AC11" s="40"/>
      <c r="AD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 t="s">
        <v>32</v>
      </c>
      <c r="C12" s="40"/>
      <c r="D12" s="40" t="s">
        <v>64</v>
      </c>
      <c r="E12" s="40"/>
      <c r="F12" s="40"/>
      <c r="G12" s="40"/>
      <c r="H12" s="40"/>
      <c r="I12" s="40"/>
      <c r="J12" s="40"/>
      <c r="K12" s="40" t="s">
        <v>33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6">
        <v>59.0</v>
      </c>
      <c r="W12" s="40"/>
      <c r="X12" s="40"/>
      <c r="Y12" s="40"/>
      <c r="Z12" s="40"/>
      <c r="AA12" s="40"/>
      <c r="AB12" s="40" t="s">
        <v>27</v>
      </c>
      <c r="AC12" s="40"/>
      <c r="AD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0" t="s">
        <v>34</v>
      </c>
      <c r="C13" s="40"/>
      <c r="D13" s="40" t="s">
        <v>64</v>
      </c>
      <c r="E13" s="40"/>
      <c r="F13" s="40"/>
      <c r="G13" s="40"/>
      <c r="H13" s="40"/>
      <c r="I13" s="40"/>
      <c r="J13" s="40"/>
      <c r="K13" s="40" t="s">
        <v>33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6">
        <v>12.0</v>
      </c>
      <c r="W13" s="40"/>
      <c r="X13" s="40"/>
      <c r="Y13" s="40"/>
      <c r="Z13" s="40"/>
      <c r="AA13" s="40"/>
      <c r="AB13" s="40" t="s">
        <v>27</v>
      </c>
      <c r="AC13" s="40"/>
      <c r="AD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0" t="s">
        <v>35</v>
      </c>
      <c r="C14" s="40"/>
      <c r="D14" s="40" t="s">
        <v>64</v>
      </c>
      <c r="E14" s="40"/>
      <c r="F14" s="40"/>
      <c r="G14" s="40"/>
      <c r="H14" s="40"/>
      <c r="I14" s="40"/>
      <c r="J14" s="40"/>
      <c r="K14" s="40" t="s">
        <v>33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6">
        <v>29.0</v>
      </c>
      <c r="W14" s="40"/>
      <c r="X14" s="40"/>
      <c r="Y14" s="40"/>
      <c r="Z14" s="40"/>
      <c r="AA14" s="40"/>
      <c r="AB14" s="40" t="s">
        <v>27</v>
      </c>
      <c r="AC14" s="40"/>
      <c r="AD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65</v>
      </c>
      <c r="D3" s="5" t="s">
        <v>9</v>
      </c>
      <c r="E3" s="24" t="s">
        <v>66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8" t="str">
        <f>IFERROR(__xludf.DUMMYFUNCTION("""COMPUTED_VALUE"""),"ShowSummaryToolFromPM")</f>
        <v>ShowSummaryToolFromPM</v>
      </c>
      <c r="Q4" s="28" t="str">
        <f>IFERROR(__xludf.DUMMYFUNCTION("""COMPUTED_VALUE"""),"HideSummaryToolFromPM")</f>
        <v>HideSummaryToolFromPM</v>
      </c>
      <c r="R4" s="28" t="str">
        <f>IFERROR(__xludf.DUMMYFUNCTION("""COMPUTED_VALUE"""),"CloseAccountPositionFromPM")</f>
        <v>CloseAccountPositionFromPM</v>
      </c>
      <c r="S4" s="28" t="str">
        <f>IFERROR(__xludf.DUMMYFUNCTION("""COMPUTED_VALUE"""),"CloseSelectedTaxlotsFromPM")</f>
        <v>CloseSelectedTaxlotsFromPM</v>
      </c>
      <c r="T4" s="28" t="str">
        <f>IFERROR(__xludf.DUMMYFUNCTION("""COMPUTED_VALUE"""),"ExpandCollapsePM")</f>
        <v>ExpandCollapsePM</v>
      </c>
      <c r="U4" s="28" t="str">
        <f>IFERROR(__xludf.DUMMYFUNCTION("""COMPUTED_VALUE"""),"AddCustomViewPM")</f>
        <v>AddCustomViewPM</v>
      </c>
      <c r="V4" s="28" t="str">
        <f>IFERROR(__xludf.DUMMYFUNCTION("""COMPUTED_VALUE"""),"AddCustomViewRightClickPM")</f>
        <v>AddCustomViewRightClickPM</v>
      </c>
      <c r="W4" s="28" t="str">
        <f>IFERROR(__xludf.DUMMYFUNCTION("""COMPUTED_VALUE"""),"RenameCustomViewPM")</f>
        <v>RenameCustomViewPM</v>
      </c>
      <c r="X4" s="28" t="str">
        <f>IFERROR(__xludf.DUMMYFUNCTION("""COMPUTED_VALUE"""),"DeleteCustomViewPM")</f>
        <v>DeleteCustomViewPM</v>
      </c>
      <c r="Y4" s="28" t="str">
        <f>IFERROR(__xludf.DUMMYFUNCTION("""COMPUTED_VALUE"""),"OpenCreateTransactionFromPM")</f>
        <v>OpenCreateTransactionFromPM</v>
      </c>
      <c r="Z4" s="28" t="str">
        <f>IFERROR(__xludf.DUMMYFUNCTION("""COMPUTED_VALUE"""),"RemoveGroupingFromPM")</f>
        <v>RemoveGroupingFromPM</v>
      </c>
      <c r="AA4" s="28" t="str">
        <f>IFERROR(__xludf.DUMMYFUNCTION("""COMPUTED_VALUE"""),"IncreasePositionFromPM")</f>
        <v>IncreasePositionFromPM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ITM/OTM")</f>
        <v>% of ITM/OTM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/>
      <c r="FI5" s="31"/>
      <c r="FJ5" s="31"/>
      <c r="FK5" s="31"/>
      <c r="FL5" s="31"/>
      <c r="FM5" s="31"/>
    </row>
    <row r="6" ht="15.75" customHeight="1">
      <c r="A6" s="36"/>
      <c r="B6" s="37"/>
      <c r="C6" s="38" t="s">
        <v>16</v>
      </c>
      <c r="D6" s="43">
        <v>59.0</v>
      </c>
      <c r="E6" s="38" t="s">
        <v>32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17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</row>
    <row r="7" ht="15.75" customHeight="1">
      <c r="A7" s="40"/>
      <c r="B7" s="40"/>
      <c r="C7" s="40" t="s">
        <v>16</v>
      </c>
      <c r="D7" s="41">
        <v>12.0</v>
      </c>
      <c r="E7" s="40" t="s">
        <v>34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 t="s">
        <v>17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</row>
    <row r="8" ht="15.75" customHeight="1">
      <c r="A8" s="40"/>
      <c r="B8" s="40"/>
      <c r="C8" s="40" t="s">
        <v>16</v>
      </c>
      <c r="D8" s="43">
        <v>29.0</v>
      </c>
      <c r="E8" s="40" t="s">
        <v>35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 t="s">
        <v>17</v>
      </c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</row>
    <row r="9" ht="15.75" customHeight="1">
      <c r="A9" s="40"/>
      <c r="B9" s="40"/>
      <c r="C9" s="40" t="s">
        <v>39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 t="s">
        <v>17</v>
      </c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</row>
    <row r="10" ht="15.75" customHeight="1">
      <c r="A10" s="40"/>
      <c r="B10" s="40"/>
      <c r="C10" s="40" t="s">
        <v>39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 t="s">
        <v>17</v>
      </c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</row>
    <row r="11" ht="15.75" customHeight="1">
      <c r="A11" s="40"/>
      <c r="B11" s="40"/>
      <c r="C11" s="40" t="s">
        <v>39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 t="s">
        <v>17</v>
      </c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</row>
    <row r="12" ht="15.75" customHeight="1">
      <c r="A12" s="40"/>
      <c r="B12" s="40"/>
      <c r="C12" s="40" t="s">
        <v>27</v>
      </c>
      <c r="D12" s="43">
        <v>-59.0</v>
      </c>
      <c r="E12" s="40" t="s">
        <v>32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 t="s">
        <v>28</v>
      </c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</row>
    <row r="13" ht="15.75" customHeight="1">
      <c r="A13" s="40"/>
      <c r="B13" s="40"/>
      <c r="C13" s="40" t="s">
        <v>27</v>
      </c>
      <c r="D13" s="41">
        <v>-12.0</v>
      </c>
      <c r="E13" s="40" t="s">
        <v>34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 t="s">
        <v>28</v>
      </c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</row>
    <row r="14" ht="15.75" customHeight="1">
      <c r="A14" s="40"/>
      <c r="B14" s="40"/>
      <c r="C14" s="40" t="s">
        <v>27</v>
      </c>
      <c r="D14" s="43">
        <v>-29.0</v>
      </c>
      <c r="E14" s="40" t="s">
        <v>35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 t="s">
        <v>28</v>
      </c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</row>
    <row r="15" ht="15.75" customHeight="1">
      <c r="A15" s="40"/>
      <c r="B15" s="40"/>
      <c r="C15" s="40" t="s">
        <v>23</v>
      </c>
      <c r="D15" s="41">
        <v>-400.0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 t="s">
        <v>26</v>
      </c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</row>
    <row r="16" ht="15.75" customHeight="1">
      <c r="A16" s="40"/>
      <c r="B16" s="40"/>
      <c r="C16" s="40" t="s">
        <v>20</v>
      </c>
      <c r="D16" s="41">
        <v>-600.0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 t="s">
        <v>26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