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<sst xmlns="http://schemas.openxmlformats.org/spreadsheetml/2006/main" count="112" uniqueCount="40">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</sst>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 t="str">
        <f>IFERROR(__xludf.DUMMYFUNCTION("""COMPUTED_VALUE"""),"RefreshExpnlUi")</f>
        <v>RefreshExpnlUi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19</v>
      </c>
      <c r="C6" s="36" t="s">
        <v>20</v>
      </c>
      <c r="D6" s="37">
        <v>500.0</v>
      </c>
      <c r="E6" s="36"/>
      <c r="F6" s="36" t="s">
        <v>21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today()-1</f>
        <v>45854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22</v>
      </c>
      <c r="D7" s="38">
        <v>500.0</v>
      </c>
      <c r="E7" s="36"/>
      <c r="F7" s="36" t="s">
        <v>21</v>
      </c>
      <c r="G7" s="36"/>
      <c r="H7" s="36"/>
      <c r="I7" s="36"/>
      <c r="J7" s="38">
        <v>20.0</v>
      </c>
      <c r="K7" s="36"/>
      <c r="L7" s="36"/>
      <c r="M7" s="36"/>
      <c r="N7" s="39">
        <f t="shared" si="1"/>
        <v>45854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9">
        <f t="shared" ref="C6:D6" si="1">today()-1</f>
        <v>45854</v>
      </c>
      <c r="D6" s="39">
        <f t="shared" si="1"/>
        <v>45854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 t="str">
        <f>IFERROR(__xludf.DUMMYFUNCTION("""COMPUTED_VALUE"""),"CustomUDA1")</f>
        <v>CustomUDA1</v>
      </c>
      <c r="AC5" s="30" t="str">
        <f>IFERROR(__xludf.DUMMYFUNCTION("""COMPUTED_VALUE"""),"CustomUDA2")</f>
        <v>CustomUDA2</v>
      </c>
      <c r="AD5" s="30" t="str">
        <f>IFERROR(__xludf.DUMMYFUNCTION("""COMPUTED_VALUE"""),"CustomUDA3")</f>
        <v>CustomUDA3</v>
      </c>
      <c r="AE5" s="30" t="str">
        <f>IFERROR(__xludf.DUMMYFUNCTION("""COMPUTED_VALUE"""),"CustomUDA4")</f>
        <v>CustomUDA4</v>
      </c>
      <c r="AF5" s="30" t="str">
        <f>IFERROR(__xludf.DUMMYFUNCTION("""COMPUTED_VALUE"""),"CustomUDA5")</f>
        <v>CustomUDA5</v>
      </c>
      <c r="AG5" s="30" t="str">
        <f>IFERROR(__xludf.DUMMYFUNCTION("""COMPUTED_VALUE"""),"CustomUDA6")</f>
        <v>CustomUDA6</v>
      </c>
      <c r="AH5" s="30" t="str">
        <f>IFERROR(__xludf.DUMMYFUNCTION("""COMPUTED_VALUE"""),"CustomUDA7")</f>
        <v>CustomUDA7</v>
      </c>
      <c r="AI5" s="30" t="str">
        <f>IFERROR(__xludf.DUMMYFUNCTION("""COMPUTED_VALUE"""),"CustomUDA8")</f>
        <v>CustomUDA8</v>
      </c>
      <c r="AJ5" s="30" t="str">
        <f>IFERROR(__xludf.DUMMYFUNCTION("""COMPUTED_VALUE"""),"CustomUDA9")</f>
        <v>CustomUDA9</v>
      </c>
      <c r="AK5" s="30" t="str">
        <f>IFERROR(__xludf.DUMMYFUNCTION("""COMPUTED_VALUE"""),"CustomUDA10")</f>
        <v>CustomUDA10</v>
      </c>
      <c r="AL5" s="30" t="str">
        <f>IFERROR(__xludf.DUMMYFUNCTION("""COMPUTED_VALUE"""),"CustomUDA11")</f>
        <v>CustomUDA11</v>
      </c>
      <c r="AM5" s="30" t="str">
        <f>IFERROR(__xludf.DUMMYFUNCTION("""COMPUTED_VALUE"""),"CustomUDA12")</f>
        <v>CustomUDA12</v>
      </c>
      <c r="AN5" s="30" t="str">
        <f>IFERROR(__xludf.DUMMYFUNCTION("""COMPUTED_VALUE"""),"MandatoryColumn")</f>
        <v>MandatoryColumn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 t="s">
        <v>27</v>
      </c>
      <c r="D6" s="35"/>
      <c r="E6" s="36"/>
      <c r="F6" s="36"/>
      <c r="G6" s="36"/>
      <c r="H6" s="40">
        <v>5014.0028</v>
      </c>
      <c r="I6" s="40">
        <v>10.0</v>
      </c>
      <c r="J6" s="39">
        <f>today()-1</f>
        <v>45854</v>
      </c>
      <c r="K6" s="36" t="s">
        <v>28</v>
      </c>
      <c r="L6" s="36"/>
      <c r="M6" s="38">
        <v>500.0</v>
      </c>
      <c r="N6" s="36"/>
      <c r="O6" s="36" t="s">
        <v>29</v>
      </c>
      <c r="P6" s="36" t="s">
        <v>20</v>
      </c>
      <c r="Q6" s="41" t="s">
        <v>30</v>
      </c>
      <c r="R6" s="36" t="s">
        <v>19</v>
      </c>
      <c r="S6" s="36"/>
      <c r="T6" s="40">
        <v>14.0028</v>
      </c>
      <c r="U6" s="39">
        <f>today()-1</f>
        <v>45854</v>
      </c>
      <c r="V6" s="36" t="s">
        <v>20</v>
      </c>
      <c r="W6" s="36" t="s">
        <v>31</v>
      </c>
      <c r="X6" s="40">
        <v>10.0280056</v>
      </c>
      <c r="Y6" s="40">
        <v>10.0280056</v>
      </c>
      <c r="Z6" s="38">
        <v>10.0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 t="str">
        <f>IFERROR(__xludf.DUMMYFUNCTION("""COMPUTED_VALUE"""),"MandatoryColumn")</f>
        <v>MandatoryColumn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 t="s">
        <v>27</v>
      </c>
      <c r="D6" s="35"/>
      <c r="E6" s="36"/>
      <c r="F6" s="36"/>
      <c r="G6" s="36"/>
      <c r="H6" s="40">
        <v>9985.9944</v>
      </c>
      <c r="I6" s="38">
        <v>20.0</v>
      </c>
      <c r="J6" s="39">
        <f>today()-1</f>
        <v>45854</v>
      </c>
      <c r="K6" s="36" t="s">
        <v>33</v>
      </c>
      <c r="L6" s="36"/>
      <c r="M6" s="38">
        <v>500.0</v>
      </c>
      <c r="N6" s="36"/>
      <c r="O6" s="36" t="s">
        <v>29</v>
      </c>
      <c r="P6" s="36" t="s">
        <v>22</v>
      </c>
      <c r="Q6" s="41" t="s">
        <v>30</v>
      </c>
      <c r="R6" s="36" t="s">
        <v>19</v>
      </c>
      <c r="S6" s="36"/>
      <c r="T6" s="40">
        <v>14.0056</v>
      </c>
      <c r="U6" s="39">
        <f>today()-1</f>
        <v>45854</v>
      </c>
      <c r="V6" s="36" t="s">
        <v>22</v>
      </c>
      <c r="W6" s="36" t="s">
        <v>31</v>
      </c>
      <c r="X6" s="40">
        <v>19.9719888</v>
      </c>
      <c r="Y6" s="40">
        <v>19.9719888</v>
      </c>
      <c r="Z6" s="38">
        <v>20.0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b">
        <v>0</v>
      </c>
      <c r="C6" s="43" t="b">
        <v>1</v>
      </c>
      <c r="D6" s="35" t="s">
        <v>21</v>
      </c>
      <c r="E6" s="36" t="s">
        <v>27</v>
      </c>
      <c r="F6" s="36"/>
      <c r="G6" s="36"/>
      <c r="H6" s="36"/>
      <c r="I6" s="44"/>
      <c r="J6" s="36"/>
      <c r="K6" s="38">
        <v>10.0</v>
      </c>
      <c r="L6" s="36"/>
      <c r="M6" s="36"/>
      <c r="N6" s="36"/>
      <c r="O6" s="38">
        <v>500.0</v>
      </c>
      <c r="P6" s="36"/>
      <c r="Q6" s="36"/>
      <c r="R6" s="36"/>
      <c r="S6" s="36"/>
      <c r="T6" s="36"/>
      <c r="U6" s="36"/>
      <c r="V6" s="36" t="s">
        <v>20</v>
      </c>
      <c r="W6" s="36"/>
      <c r="X6" s="36" t="s">
        <v>19</v>
      </c>
      <c r="Y6" s="36"/>
      <c r="Z6" s="36"/>
      <c r="AA6" s="36"/>
      <c r="AB6" s="36"/>
      <c r="AC6" s="36"/>
      <c r="AD6" s="36"/>
      <c r="AE6" s="36" t="s">
        <v>21</v>
      </c>
      <c r="AF6" s="36" t="s">
        <v>27</v>
      </c>
      <c r="AG6" s="36"/>
      <c r="AH6" s="36"/>
      <c r="AI6" s="36"/>
      <c r="AJ6" s="36"/>
      <c r="AK6" s="36"/>
      <c r="AL6" s="38">
        <v>20.0</v>
      </c>
      <c r="AM6" s="36"/>
      <c r="AN6" s="36"/>
      <c r="AO6" s="36"/>
      <c r="AP6" s="38">
        <v>500.0</v>
      </c>
      <c r="AQ6" s="36"/>
      <c r="AR6" s="36"/>
      <c r="AS6" s="36"/>
      <c r="AT6" s="36"/>
      <c r="AU6" s="36"/>
      <c r="AV6" s="36"/>
      <c r="AW6" s="36" t="s">
        <v>22</v>
      </c>
      <c r="AX6" s="36"/>
      <c r="AY6" s="36" t="s">
        <v>19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 t="str">
        <f>IFERROR(__xludf.DUMMYFUNCTION("""COMPUTED_VALUE"""),"MandatoryColumn")</f>
        <v>MandatoryColumn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9">
        <f>today()-1</f>
        <v>45854</v>
      </c>
      <c r="D6" s="35" t="s">
        <v>21</v>
      </c>
      <c r="E6" s="41" t="s">
        <v>30</v>
      </c>
      <c r="F6" s="36" t="s">
        <v>28</v>
      </c>
      <c r="G6" s="36" t="s">
        <v>27</v>
      </c>
      <c r="H6" s="36" t="s">
        <v>19</v>
      </c>
      <c r="I6" s="38">
        <v>500.0</v>
      </c>
      <c r="J6" s="38">
        <v>10.0</v>
      </c>
      <c r="K6" s="38">
        <v>20.0</v>
      </c>
      <c r="L6" s="36"/>
      <c r="M6" s="36"/>
      <c r="N6" s="36" t="s">
        <v>36</v>
      </c>
      <c r="O6" s="36" t="s">
        <v>28</v>
      </c>
      <c r="P6" s="40">
        <v>14.0028</v>
      </c>
      <c r="Q6" s="36" t="s">
        <v>22</v>
      </c>
      <c r="R6" s="36" t="s">
        <v>37</v>
      </c>
      <c r="S6" s="36"/>
      <c r="T6" s="39">
        <f>today()-1</f>
        <v>45854</v>
      </c>
      <c r="U6" s="36"/>
      <c r="V6" s="36"/>
      <c r="W6" s="36"/>
      <c r="X6" s="36"/>
      <c r="Y6" s="36"/>
      <c r="Z6" s="36" t="s">
        <v>29</v>
      </c>
      <c r="AA6" s="36"/>
      <c r="AB6" s="36"/>
      <c r="AC6" s="36"/>
      <c r="AD6" s="36"/>
      <c r="AE6" s="36" t="s">
        <v>33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  <col customWidth="1" min="165" max="165" width="21.0"/>
    <col customWidth="1" min="166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