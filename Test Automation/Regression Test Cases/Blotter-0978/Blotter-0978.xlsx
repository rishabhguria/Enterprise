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nableOrVerifyHotButton" sheetId="5" r:id="rId7"/>
    <sheet state="visible" name="CreateHotButtonOnBlotter" sheetId="6" r:id="rId8"/>
    <sheet state="visible" name="FillHBdetailsOnBlotter" sheetId="7" r:id="rId9"/>
    <sheet state="visible" name="SelectTradeOnBlotter" sheetId="8" r:id="rId10"/>
    <sheet state="visible" name="EnableOrVerifyHotButton1" sheetId="9" r:id="rId11"/>
  </sheets>
  <definedNames/>
  <calcPr/>
</workbook>
</file>

<file path=xl/sharedStrings.xml><?xml version="1.0" encoding="utf-8"?>
<sst xmlns="http://schemas.openxmlformats.org/spreadsheetml/2006/main" count="158" uniqueCount="117">
  <si>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</si>
  <si>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</si>
  <si>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</si>
  <si>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</si>
  <si>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</si>
  <si>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</si>
  <si>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</si>
  <si>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</si>
  <si>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</si>
  <si>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</si>
  <si>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</si>
  <si>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</si>
  <si>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</si>
  <si>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</si>
  <si>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</si>
  <si>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</si>
  <si>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</si>
  <si>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CreateOrder</t>
  </si>
  <si>
    <t>Buy</t>
  </si>
  <si>
    <t>MSFT</t>
  </si>
  <si>
    <t>Blotter</t>
  </si>
  <si>
    <t>EnableOrVerifyHotButton</t>
  </si>
  <si>
    <t>CreateHotButtonOnBlotter</t>
  </si>
  <si>
    <t>Labach</t>
  </si>
  <si>
    <t>Send Order To Market</t>
  </si>
  <si>
    <t>Confirm on TT</t>
  </si>
  <si>
    <t>Next</t>
  </si>
  <si>
    <t>FillHBdetailsOnBlotter</t>
  </si>
  <si>
    <t>Quantity</t>
  </si>
  <si>
    <t>SelectTradeOnBlotter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</si>
  <si>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</si>
  <si>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</si>
  <si>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</si>
  <si>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</si>
  <si>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</si>
  <si>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</si>
  <si>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</si>
  <si>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Current 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</si>
  <si>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</si>
  <si>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</si>
  <si>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</si>
  <si>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</si>
  <si>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</si>
  <si>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</si>
  <si>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</si>
  <si>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</si>
  <si>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</si>
  <si>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</si>
  <si>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</si>
  <si>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</si>
  <si>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</si>
  <si>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</si>
  <si>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</si>
  <si>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</si>
  <si>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</si>
  <si>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</si>
  <si>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</si>
  <si>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</si>
  <si>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</si>
  <si>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</si>
  <si>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</si>
  <si>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</si>
  <si>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</si>
  <si>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Symbol</t>
  </si>
  <si>
    <t>Side</t>
  </si>
  <si>
    <t>Status</t>
  </si>
  <si>
    <t>Target Qty</t>
  </si>
  <si>
    <t>Executed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</si>
  <si>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</si>
  <si>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</si>
  <si>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</si>
  <si>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</si>
  <si>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</si>
  <si>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</si>
  <si>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</si>
  <si>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</si>
  <si>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</si>
  <si>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</si>
  <si>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</si>
  <si>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</si>
  <si>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</si>
  <si>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</si>
  <si>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</si>
  <si>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</si>
  <si>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</si>
  <si>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</si>
  <si>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</si>
  <si>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</si>
  <si>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</si>
  <si>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TIF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</si>
  <si>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</si>
  <si>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</si>
  <si>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</si>
  <si>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</si>
  <si>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</si>
  <si>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</si>
  <si>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</si>
  <si>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</si>
  <si>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RolloverAllSubs</t>
  </si>
  <si>
    <t>MergeOrderCustomMessageBox</t>
  </si>
  <si>
    <t>Toolbar : BlotterToolBar</t>
  </si>
  <si>
    <t>Refresh Data</t>
  </si>
  <si>
    <t>Add Tab (Working)</t>
  </si>
  <si>
    <t>Add Tab (Order)</t>
  </si>
  <si>
    <t>Preferences</t>
  </si>
  <si>
    <t>Save All Layout</t>
  </si>
  <si>
    <t>Remove Orders</t>
  </si>
  <si>
    <t>Cancel All Subs</t>
  </si>
  <si>
    <t>Rollover All Subs</t>
  </si>
  <si>
    <t>Link Tab</t>
  </si>
  <si>
    <t>Upload Stage Orders</t>
  </si>
  <si>
    <t>Merge Orders</t>
  </si>
  <si>
    <t>TabItem Key Orders</t>
  </si>
  <si>
    <t>TabItem Key WorkingSubs</t>
  </si>
  <si>
    <t>TabItem Key Summary</t>
  </si>
  <si>
    <t>TabItem Key Dynamic</t>
  </si>
  <si>
    <t>favourite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</si>
</sst>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center" vertical="bottom"/>
    </xf>
    <xf borderId="0" fillId="5" fontId="1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IFERROR(__xludf.DUMMYFUNCTION("""COMPUTED_VALUE"""),"Trade Attribute 01")</f>
        <v>Trade Attribute 01</v>
      </c>
      <c r="AN5" s="30" t="str">
        <f>IFERROR(__xludf.DUMMYFUNCTION("""COMPUTED_VALUE"""),"Trade Attribute 02")</f>
        <v>Trade Attribute 02</v>
      </c>
      <c r="AO5" s="30" t="str">
        <f>IFERROR(__xludf.DUMMYFUNCTION("""COMPUTED_VALUE"""),"Trade Attribute 03")</f>
        <v>Trade Attribute 03</v>
      </c>
      <c r="AP5" s="30" t="str">
        <f>IFERROR(__xludf.DUMMYFUNCTION("""COMPUTED_VALUE"""),"Trade Attribute 04")</f>
        <v>Trade Attribute 04</v>
      </c>
      <c r="AQ5" s="30" t="str">
        <f>IFERROR(__xludf.DUMMYFUNCTION("""COMPUTED_VALUE"""),"Trade Attribute 05")</f>
        <v>Trade Attribute 05</v>
      </c>
      <c r="AR5" s="30" t="str">
        <f>IFERROR(__xludf.DUMMYFUNCTION("""COMPUTED_VALUE"""),"Trade Attribute 06")</f>
        <v>Trade Attribute 06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v>1000.0</v>
      </c>
      <c r="D6" s="34">
        <v>2.0</v>
      </c>
      <c r="E6" s="35" t="s">
        <v>17</v>
      </c>
      <c r="F6" s="36"/>
      <c r="G6" s="36"/>
      <c r="H6" s="36"/>
      <c r="I6" s="36"/>
      <c r="J6" s="35" t="s">
        <v>18</v>
      </c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7" t="s">
        <v>19</v>
      </c>
      <c r="C7" s="33">
        <v>1000.0</v>
      </c>
      <c r="D7" s="33">
        <v>2.0</v>
      </c>
      <c r="E7" s="35" t="s">
        <v>17</v>
      </c>
      <c r="F7" s="36"/>
      <c r="G7" s="36"/>
      <c r="H7" s="36"/>
      <c r="I7" s="36"/>
      <c r="J7" s="35" t="s">
        <v>18</v>
      </c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b">
        <v>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IFERROR(__xludf.DUMMYFUNCTION("""COMPUTED_VALUE"""),"ButtonName")</f>
        <v>ButtonName</v>
      </c>
      <c r="C5" s="28" t="str">
        <f>IFERROR(__xludf.DUMMYFUNCTION("""COMPUTED_VALUE"""),"Select Action Type")</f>
        <v>Select Action Type</v>
      </c>
      <c r="D5" s="28" t="str">
        <f>IFERROR(__xludf.DUMMYFUNCTION("""COMPUTED_VALUE"""),"Transmission Preference")</f>
        <v>Transmission Preference</v>
      </c>
      <c r="E5" s="28" t="str">
        <f>IFERROR(__xludf.DUMMYFUNCTION("""COMPUTED_VALUE"""),"Button Color")</f>
        <v>Button Color</v>
      </c>
      <c r="F5" s="29" t="str">
        <f>IFERROR(__xludf.DUMMYFUNCTION("""COMPUTED_VALUE"""),"Action")</f>
        <v>Action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23</v>
      </c>
      <c r="C6" s="35" t="s">
        <v>24</v>
      </c>
      <c r="D6" s="32" t="s">
        <v>25</v>
      </c>
      <c r="E6" s="36"/>
      <c r="F6" s="35" t="s">
        <v>26</v>
      </c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CreateHotButtonOnBlotter!$4:$4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IFERROR(__xludf.DUMMYFUNCTION("""COMPUTED_VALUE"""),"Allocation")</f>
        <v>Allocation</v>
      </c>
      <c r="E5" s="28" t="str">
        <f>IFERROR(__xludf.DUMMYFUNCTION("""COMPUTED_VALUE"""),"Broker")</f>
        <v>Broker</v>
      </c>
      <c r="F5" s="29" t="str">
        <f>IFERROR(__xludf.DUMMYFUNCTION("""COMPUTED_VALUE"""),"Venue")</f>
        <v>Venue</v>
      </c>
      <c r="G5" s="28" t="str">
        <f>IFERROR(__xludf.DUMMYFUNCTION("""COMPUTED_VALUE"""),"TIF")</f>
        <v>TIF</v>
      </c>
      <c r="H5" s="28" t="str">
        <f>IFERROR(__xludf.DUMMYFUNCTION("""COMPUTED_VALUE"""),"Order Type")</f>
        <v>Order Type</v>
      </c>
      <c r="I5" s="28" t="str">
        <f>IFERROR(__xludf.DUMMYFUNCTION("""COMPUTED_VALUE"""),"Order Side")</f>
        <v>Order Side</v>
      </c>
      <c r="J5" s="28" t="str">
        <f>IFERROR(__xludf.DUMMYFUNCTION("""COMPUTED_VALUE"""),"Execution Type")</f>
        <v>Execution Type</v>
      </c>
      <c r="K5" s="28" t="str">
        <f>IFERROR(__xludf.DUMMYFUNCTION("""COMPUTED_VALUE"""),"Add to Favourite")</f>
        <v>Add to Favourite</v>
      </c>
      <c r="L5" s="28" t="str">
        <f>IFERROR(__xludf.DUMMYFUNCTION("""COMPUTED_VALUE"""),"Action")</f>
        <v>Action</v>
      </c>
      <c r="M5" s="28" t="str">
        <f>IFERROR(__xludf.DUMMYFUNCTION("""COMPUTED_VALUE"""),"Calculation Basis Type")</f>
        <v>Calculation Basis Type</v>
      </c>
      <c r="N5" s="28" t="str">
        <f>IFERROR(__xludf.DUMMYFUNCTION("""COMPUTED_VALUE"""),"Calculation Basis Amount")</f>
        <v>Calculation Basis Amount</v>
      </c>
      <c r="O5" s="28" t="str">
        <f>IFERROR(__xludf.DUMMYFUNCTION("""COMPUTED_VALUE"""),"Calculation ON")</f>
        <v>Calculation ON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1"/>
      <c r="E6" s="36"/>
      <c r="F6" s="36"/>
      <c r="G6" s="36"/>
      <c r="H6" s="36"/>
      <c r="I6" s="36"/>
      <c r="J6" s="36"/>
      <c r="K6" s="40" t="b">
        <v>1</v>
      </c>
      <c r="L6" s="35" t="s">
        <v>26</v>
      </c>
      <c r="M6" s="35" t="s">
        <v>28</v>
      </c>
      <c r="N6" s="33">
        <v>100.0</v>
      </c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FillHBdetailsOnBlotter!$4:$4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/>
      <c r="B5" s="29" t="s">
        <v>30</v>
      </c>
      <c r="C5" s="29" t="s">
        <v>31</v>
      </c>
      <c r="D5" s="29" t="s">
        <v>32</v>
      </c>
      <c r="E5" s="29" t="s">
        <v>33</v>
      </c>
      <c r="F5" s="29" t="s">
        <v>34</v>
      </c>
      <c r="G5" s="29" t="s">
        <v>35</v>
      </c>
      <c r="H5" s="29" t="s">
        <v>36</v>
      </c>
      <c r="I5" s="29" t="s">
        <v>37</v>
      </c>
      <c r="J5" s="29" t="s">
        <v>38</v>
      </c>
      <c r="K5" s="29" t="s">
        <v>28</v>
      </c>
      <c r="L5" s="29" t="s">
        <v>39</v>
      </c>
      <c r="M5" s="29" t="s">
        <v>40</v>
      </c>
      <c r="N5" s="29" t="s">
        <v>41</v>
      </c>
      <c r="O5" s="29" t="s">
        <v>42</v>
      </c>
      <c r="P5" s="29" t="s">
        <v>43</v>
      </c>
      <c r="Q5" s="29" t="s">
        <v>44</v>
      </c>
      <c r="R5" s="29" t="s">
        <v>45</v>
      </c>
      <c r="S5" s="29" t="s">
        <v>46</v>
      </c>
      <c r="T5" s="41" t="s">
        <v>47</v>
      </c>
      <c r="U5" s="41" t="s">
        <v>48</v>
      </c>
      <c r="V5" s="41" t="s">
        <v>49</v>
      </c>
      <c r="W5" s="41" t="s">
        <v>50</v>
      </c>
      <c r="X5" s="41" t="s">
        <v>51</v>
      </c>
      <c r="Y5" s="41" t="s">
        <v>52</v>
      </c>
      <c r="Z5" s="41" t="s">
        <v>53</v>
      </c>
      <c r="AA5" s="41" t="s">
        <v>54</v>
      </c>
      <c r="AB5" s="41" t="s">
        <v>55</v>
      </c>
      <c r="AC5" s="41" t="s">
        <v>56</v>
      </c>
      <c r="AD5" s="41" t="s">
        <v>57</v>
      </c>
      <c r="AE5" s="41" t="s">
        <v>58</v>
      </c>
      <c r="AF5" s="41" t="s">
        <v>59</v>
      </c>
      <c r="AG5" s="41" t="s">
        <v>60</v>
      </c>
      <c r="AH5" s="41" t="s">
        <v>61</v>
      </c>
      <c r="AI5" s="41" t="s">
        <v>62</v>
      </c>
      <c r="AJ5" s="41" t="s">
        <v>63</v>
      </c>
      <c r="AK5" s="41" t="s">
        <v>64</v>
      </c>
      <c r="AL5" s="41" t="s">
        <v>65</v>
      </c>
      <c r="AM5" s="41" t="s">
        <v>66</v>
      </c>
      <c r="AN5" s="41" t="s">
        <v>67</v>
      </c>
      <c r="AO5" s="41" t="s">
        <v>68</v>
      </c>
      <c r="AP5" s="41" t="s">
        <v>69</v>
      </c>
      <c r="AQ5" s="41" t="s">
        <v>70</v>
      </c>
      <c r="AR5" s="41" t="s">
        <v>71</v>
      </c>
      <c r="AS5" s="41" t="s">
        <v>72</v>
      </c>
      <c r="AT5" s="41" t="s">
        <v>73</v>
      </c>
      <c r="AU5" s="41" t="s">
        <v>74</v>
      </c>
      <c r="AV5" s="41" t="s">
        <v>75</v>
      </c>
      <c r="AW5" s="41" t="s">
        <v>76</v>
      </c>
      <c r="AX5" s="41" t="s">
        <v>77</v>
      </c>
      <c r="AY5" s="41" t="s">
        <v>78</v>
      </c>
      <c r="AZ5" s="41" t="s">
        <v>79</v>
      </c>
      <c r="BA5" s="41" t="s">
        <v>80</v>
      </c>
      <c r="BB5" s="41" t="s">
        <v>81</v>
      </c>
      <c r="BC5" s="41" t="s">
        <v>82</v>
      </c>
      <c r="BD5" s="41" t="s">
        <v>83</v>
      </c>
      <c r="BE5" s="41" t="s">
        <v>84</v>
      </c>
      <c r="BF5" s="41" t="s">
        <v>85</v>
      </c>
      <c r="BG5" s="41" t="s">
        <v>86</v>
      </c>
      <c r="BH5" s="41" t="s">
        <v>87</v>
      </c>
      <c r="BI5" s="41" t="s">
        <v>88</v>
      </c>
      <c r="BJ5" s="41" t="s">
        <v>89</v>
      </c>
      <c r="BK5" s="41" t="s">
        <v>90</v>
      </c>
      <c r="BL5" s="41" t="s">
        <v>91</v>
      </c>
      <c r="BM5" s="41" t="s">
        <v>92</v>
      </c>
      <c r="BN5" s="41" t="s">
        <v>93</v>
      </c>
      <c r="BO5" s="41" t="s">
        <v>94</v>
      </c>
      <c r="BP5" s="41" t="s">
        <v>95</v>
      </c>
      <c r="BQ5" s="41" t="s">
        <v>96</v>
      </c>
      <c r="BR5" s="41" t="s">
        <v>97</v>
      </c>
      <c r="BS5" s="41" t="s">
        <v>98</v>
      </c>
      <c r="BT5" s="41" t="s">
        <v>99</v>
      </c>
      <c r="BU5" s="41" t="s">
        <v>100</v>
      </c>
      <c r="BV5" s="41" t="s">
        <v>101</v>
      </c>
      <c r="BW5" s="41" t="s">
        <v>102</v>
      </c>
      <c r="BX5" s="41" t="s">
        <v>103</v>
      </c>
      <c r="BY5" s="41" t="s">
        <v>104</v>
      </c>
      <c r="BZ5" s="41" t="s">
        <v>105</v>
      </c>
      <c r="CA5" s="41" t="s">
        <v>106</v>
      </c>
      <c r="CB5" s="41" t="s">
        <v>107</v>
      </c>
      <c r="CC5" s="41" t="s">
        <v>108</v>
      </c>
      <c r="CD5" s="41" t="s">
        <v>109</v>
      </c>
      <c r="CE5" s="41" t="s">
        <v>110</v>
      </c>
      <c r="CF5" s="41" t="s">
        <v>111</v>
      </c>
      <c r="CG5" s="41" t="s">
        <v>112</v>
      </c>
      <c r="CH5" s="41" t="s">
        <v>113</v>
      </c>
      <c r="CI5" s="41" t="s">
        <v>114</v>
      </c>
      <c r="CJ5" s="41" t="s">
        <v>115</v>
      </c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J6" s="9" t="s">
        <v>16</v>
      </c>
      <c r="AK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J7" s="9" t="s">
        <v>19</v>
      </c>
      <c r="AK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 t="str">
        <f>IFERROR(__xludf.DUMMYFUNCTION("""COMPUTED_VALUE"""),"ActionOnFloatingWindow")</f>
        <v>ActionOnFloatingWindow</v>
      </c>
      <c r="DA4" s="26" t="str">
        <f>IFERROR(__xludf.DUMMYFUNCTION("""COMPUTED_VALUE"""),"EnableOrVerifyHotButton")</f>
        <v>EnableOrVerifyHotButton</v>
      </c>
      <c r="DB4" s="26" t="str">
        <f>IFERROR(__xludf.DUMMYFUNCTION("""COMPUTED_VALUE"""),"VerifyFilterUiRC")</f>
        <v>VerifyFilterUiRC</v>
      </c>
      <c r="DC4" s="26" t="str">
        <f>IFERROR(__xludf.DUMMYFUNCTION("""COMPUTED_VALUE"""),"CreateHotButtonOnBlotter")</f>
        <v>CreateHotButtonOnBlotter</v>
      </c>
      <c r="DD4" s="26" t="str">
        <f>IFERROR(__xludf.DUMMYFUNCTION("""COMPUTED_VALUE"""),"FillHBdetailsOnBlotter")</f>
        <v>FillHBdetailsOnBlotter</v>
      </c>
      <c r="DE4" s="26" t="str">
        <f>IFERROR(__xludf.DUMMYFUNCTION("""COMPUTED_VALUE"""),"BlotterColumnChooser")</f>
        <v>BlotterColumnChooser</v>
      </c>
      <c r="DF4" s="26" t="str">
        <f>IFERROR(__xludf.DUMMYFUNCTION("""COMPUTED_VALUE"""),"CaptureHotButtonDetails")</f>
        <v>CaptureHotButtonDetails</v>
      </c>
      <c r="DG4" s="26" t="str">
        <f>IFERROR(__xludf.DUMMYFUNCTION("""COMPUTED_VALUE"""),"RightClickActionVerification")</f>
        <v>RightClickActionVerification</v>
      </c>
      <c r="DH4" s="26" t="str">
        <f>IFERROR(__xludf.DUMMYFUNCTION("""COMPUTED_VALUE"""),"ManageHotButton")</f>
        <v>ManageHotButton</v>
      </c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IFERROR(__xludf.DUMMYFUNCTION("""COMPUTED_VALUE"""),"EnableHotButton")</f>
        <v>EnableHotButton</v>
      </c>
      <c r="C5" s="28" t="str">
        <f>IFERROR(__xludf.DUMMYFUNCTION("""COMPUTED_VALUE"""),"VisiblityOfHotButtonPanel")</f>
        <v>VisiblityOfHotButtonPanel</v>
      </c>
      <c r="D5" s="28" t="str">
        <f>IFERROR(__xludf.DUMMYFUNCTION("""COMPUTED_VALUE"""),"HotKey Name")</f>
        <v>HotKey Name</v>
      </c>
      <c r="E5" s="28" t="str">
        <f>IFERROR(__xludf.DUMMYFUNCTION("""COMPUTED_VALUE"""),"HotKey Visiblity")</f>
        <v>HotKey Visiblity</v>
      </c>
      <c r="F5" s="29" t="str">
        <f>IFERROR(__xludf.DUMMYFUNCTION("""COMPUTED_VALUE"""),"TabToFind")</f>
        <v>TabToFind</v>
      </c>
      <c r="G5" s="28" t="str">
        <f>IFERROR(__xludf.DUMMYFUNCTION("""COMPUTED_VALUE"""),"Hotkey Disbable")</f>
        <v>Hotkey Disbable</v>
      </c>
      <c r="H5" s="28" t="str">
        <f>IFERROR(__xludf.DUMMYFUNCTION("""COMPUTED_VALUE"""),"UseHotButton")</f>
        <v>UseHotButton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/>
      <c r="D6" s="37" t="s">
        <v>23</v>
      </c>
      <c r="E6" s="40"/>
      <c r="F6" s="35" t="s">
        <v>116</v>
      </c>
      <c r="G6" s="40" t="b">
        <v>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EnableOrVerifyHotButton1!$4:$4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