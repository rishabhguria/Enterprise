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SendtoStaging" sheetId="10" r:id="rId12"/>
    <sheet state="visible" name="FetchAccountPositions1" sheetId="11" r:id="rId13"/>
    <sheet state="visible" name="AddCash1" sheetId="12" r:id="rId14"/>
    <sheet state="visible" name="SendtoStaging1" sheetId="13" r:id="rId15"/>
    <sheet state="visible" name="CheckPortfolioManagement" sheetId="14" r:id="rId16"/>
    <sheet state="visible" name="UpdateMultipleDailyCash" sheetId="15" r:id="rId17"/>
  </sheets>
  <definedNames/>
  <calcPr/>
</workbook>
</file>

<file path=xl/sharedStrings.xml><?xml version="1.0" encoding="utf-8"?>
<sst xmlns="http://schemas.openxmlformats.org/spreadsheetml/2006/main" count="196" uniqueCount="50">
  <si>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</si>
  <si>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</si>
  <si>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</si>
  <si>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</si>
  <si>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</si>
  <si>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</si>
  <si>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</si>
  <si>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</si>
  <si>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</si>
  <si>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</si>
  <si>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</si>
  <si>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</si>
  <si>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</si>
  <si>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</si>
  <si>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</si>
  <si>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</si>
  <si>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ADBE</t>
  </si>
  <si>
    <t>Buy</t>
  </si>
  <si>
    <t>Allocation1</t>
  </si>
  <si>
    <t>AAPL</t>
  </si>
  <si>
    <t>Allocation2</t>
  </si>
  <si>
    <t>MSFT</t>
  </si>
  <si>
    <t>PricingInput</t>
  </si>
  <si>
    <t>DailyValuation</t>
  </si>
  <si>
    <t>GetDailyCash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</si>
  <si>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</si>
  <si>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</si>
  <si>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</si>
  <si>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</si>
  <si>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</si>
  <si>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</si>
  <si>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</si>
  <si>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</si>
  <si>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</si>
  <si>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</si>
  <si>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</si>
  <si>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PortfolioManagement</t>
  </si>
  <si>
    <t>CheckPortfolioManagement</t>
  </si>
  <si>
    <t/>
  </si>
  <si>
    <t>NewMF</t>
  </si>
  <si>
    <t>Long</t>
  </si>
  <si>
    <t>FIMAT</t>
  </si>
  <si>
    <t>Equity</t>
  </si>
  <si>
    <t>US</t>
  </si>
  <si>
    <t>NASDAQ</t>
  </si>
  <si>
    <t>USD</t>
  </si>
  <si>
    <t>jpearce</t>
  </si>
  <si>
    <t>MS</t>
  </si>
  <si>
    <t>NewMF1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</si>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</sst>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6">
        <f t="shared" ref="N6:N8" si="1">TODAY()-1</f>
        <v>45132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7"/>
      <c r="B7" s="33" t="s">
        <v>19</v>
      </c>
      <c r="C7" s="33" t="s">
        <v>17</v>
      </c>
      <c r="D7" s="35">
        <v>100.0</v>
      </c>
      <c r="E7" s="33"/>
      <c r="F7" s="33" t="s">
        <v>20</v>
      </c>
      <c r="G7" s="33"/>
      <c r="H7" s="33"/>
      <c r="I7" s="33"/>
      <c r="J7" s="35">
        <v>10.0</v>
      </c>
      <c r="K7" s="33"/>
      <c r="L7" s="33"/>
      <c r="M7" s="33"/>
      <c r="N7" s="36">
        <f t="shared" si="1"/>
        <v>45132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21</v>
      </c>
      <c r="C8" s="33" t="s">
        <v>17</v>
      </c>
      <c r="D8" s="35">
        <v>100.0</v>
      </c>
      <c r="E8" s="33"/>
      <c r="F8" s="33" t="s">
        <v>20</v>
      </c>
      <c r="G8" s="33"/>
      <c r="H8" s="33"/>
      <c r="I8" s="33"/>
      <c r="J8" s="35">
        <v>10.0</v>
      </c>
      <c r="K8" s="33"/>
      <c r="L8" s="33"/>
      <c r="M8" s="33"/>
      <c r="N8" s="36">
        <f t="shared" si="1"/>
        <v>45132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5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21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45132</v>
      </c>
      <c r="C6" s="40">
        <f>TODAY()</f>
        <v>45133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41" t="s">
        <v>27</v>
      </c>
      <c r="D6" s="42" t="s">
        <v>28</v>
      </c>
      <c r="E6" s="43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50000.0</v>
      </c>
      <c r="C6" s="43" t="s">
        <v>31</v>
      </c>
      <c r="D6" s="42" t="s">
        <v>32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18</v>
      </c>
      <c r="C6" s="46" t="s">
        <v>17</v>
      </c>
      <c r="D6" s="45" t="s">
        <v>16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20</v>
      </c>
      <c r="C6" s="41" t="s">
        <v>27</v>
      </c>
      <c r="D6" s="42" t="s">
        <v>28</v>
      </c>
      <c r="E6" s="43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50000.0</v>
      </c>
      <c r="C6" s="43" t="s">
        <v>31</v>
      </c>
      <c r="D6" s="42" t="s">
        <v>32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20</v>
      </c>
      <c r="C6" s="46" t="s">
        <v>17</v>
      </c>
      <c r="D6" s="45" t="s">
        <v>19</v>
      </c>
      <c r="E6" s="48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6" t="s">
        <v>20</v>
      </c>
      <c r="C7" s="46" t="s">
        <v>17</v>
      </c>
      <c r="D7" s="46" t="s">
        <v>21</v>
      </c>
      <c r="E7" s="48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9" t="s">
        <v>38</v>
      </c>
      <c r="B6" s="49"/>
      <c r="C6" s="45" t="s">
        <v>16</v>
      </c>
      <c r="D6" s="49">
        <v>100.0</v>
      </c>
      <c r="E6" s="8" t="s">
        <v>18</v>
      </c>
      <c r="F6" s="8" t="s">
        <v>39</v>
      </c>
      <c r="G6" s="8"/>
      <c r="H6" s="8" t="s">
        <v>40</v>
      </c>
      <c r="I6" s="8"/>
      <c r="J6" s="8"/>
      <c r="K6" s="8"/>
      <c r="L6" s="8"/>
      <c r="M6" s="8"/>
      <c r="N6" s="8"/>
      <c r="O6" s="8"/>
      <c r="R6" t="s">
        <v>41</v>
      </c>
      <c r="T6" t="s">
        <v>42</v>
      </c>
      <c r="U6" t="s">
        <v>43</v>
      </c>
      <c r="V6" t="s">
        <v>44</v>
      </c>
      <c r="W6" t="s">
        <v>45</v>
      </c>
      <c r="X6">
        <v>1.0</v>
      </c>
      <c r="Y6">
        <v>1.0</v>
      </c>
      <c r="AN6" t="s">
        <v>17</v>
      </c>
      <c r="AP6" t="s">
        <v>40</v>
      </c>
      <c r="AV6">
        <v>1.0</v>
      </c>
      <c r="BE6" t="s">
        <v>42</v>
      </c>
      <c r="BQ6" t="s">
        <v>46</v>
      </c>
      <c r="BR6" t="s">
        <v>47</v>
      </c>
      <c r="BU6" t="s">
        <v>42</v>
      </c>
      <c r="DJ6" t="s">
        <v>17</v>
      </c>
      <c r="DM6">
        <v>1.0</v>
      </c>
      <c r="DP6" t="s">
        <v>40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/>
      <c r="C7" s="45" t="s">
        <v>19</v>
      </c>
      <c r="D7" s="8">
        <v>100.0</v>
      </c>
      <c r="E7" s="8" t="s">
        <v>20</v>
      </c>
      <c r="F7" s="8" t="s">
        <v>48</v>
      </c>
      <c r="G7" s="8"/>
      <c r="H7" s="8" t="s">
        <v>40</v>
      </c>
      <c r="I7" s="8"/>
      <c r="J7" s="8"/>
      <c r="K7" s="8"/>
      <c r="L7" s="8"/>
      <c r="M7" s="8"/>
      <c r="N7" s="8"/>
      <c r="O7" s="8"/>
      <c r="R7" t="s">
        <v>47</v>
      </c>
      <c r="T7" t="s">
        <v>42</v>
      </c>
      <c r="U7" t="s">
        <v>43</v>
      </c>
      <c r="V7" t="s">
        <v>44</v>
      </c>
      <c r="W7" t="s">
        <v>45</v>
      </c>
      <c r="X7">
        <v>1.0</v>
      </c>
      <c r="Y7">
        <v>1.0</v>
      </c>
      <c r="AN7" t="s">
        <v>17</v>
      </c>
      <c r="AP7" t="s">
        <v>40</v>
      </c>
      <c r="AV7">
        <v>1.0</v>
      </c>
      <c r="BE7" t="s">
        <v>42</v>
      </c>
      <c r="BQ7" t="s">
        <v>46</v>
      </c>
      <c r="BR7" t="s">
        <v>47</v>
      </c>
      <c r="BU7" t="s">
        <v>42</v>
      </c>
      <c r="DJ7" t="s">
        <v>17</v>
      </c>
      <c r="DM7">
        <v>1.0</v>
      </c>
      <c r="DP7" t="s">
        <v>40</v>
      </c>
      <c r="FO7" t="s">
        <v>38</v>
      </c>
      <c r="FP7" t="s">
        <v>38</v>
      </c>
      <c r="FQ7" t="s">
        <v>38</v>
      </c>
    </row>
    <row r="8" ht="15.75" customHeight="1">
      <c r="A8" s="8" t="s">
        <v>38</v>
      </c>
      <c r="B8" s="8"/>
      <c r="C8" s="46" t="s">
        <v>21</v>
      </c>
      <c r="D8" s="8">
        <v>100.0</v>
      </c>
      <c r="E8" s="8" t="s">
        <v>20</v>
      </c>
      <c r="F8" s="8" t="s">
        <v>48</v>
      </c>
      <c r="G8" s="8"/>
      <c r="H8" s="8" t="s">
        <v>40</v>
      </c>
      <c r="I8" s="8"/>
      <c r="J8" s="8"/>
      <c r="K8" s="8"/>
      <c r="L8" s="8"/>
      <c r="M8" s="8"/>
      <c r="N8" s="8"/>
      <c r="O8" s="8"/>
      <c r="R8" t="s">
        <v>47</v>
      </c>
      <c r="T8" t="s">
        <v>42</v>
      </c>
      <c r="U8" t="s">
        <v>43</v>
      </c>
      <c r="V8" t="s">
        <v>44</v>
      </c>
      <c r="W8" t="s">
        <v>45</v>
      </c>
      <c r="X8">
        <v>1.0</v>
      </c>
      <c r="Y8">
        <v>1.0</v>
      </c>
      <c r="AN8" t="s">
        <v>17</v>
      </c>
      <c r="AP8" t="s">
        <v>40</v>
      </c>
      <c r="AV8">
        <v>1.0</v>
      </c>
      <c r="BE8" t="s">
        <v>42</v>
      </c>
      <c r="BQ8" t="s">
        <v>46</v>
      </c>
      <c r="BR8" t="s">
        <v>47</v>
      </c>
      <c r="BU8" t="s">
        <v>42</v>
      </c>
      <c r="DJ8" t="s">
        <v>17</v>
      </c>
      <c r="DM8">
        <v>1.0</v>
      </c>
      <c r="DP8" t="s">
        <v>40</v>
      </c>
      <c r="FO8" t="s">
        <v>38</v>
      </c>
      <c r="FP8" t="s">
        <v>38</v>
      </c>
      <c r="FQ8" t="s">
        <v>38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18</v>
      </c>
      <c r="C6" s="8" t="s">
        <v>45</v>
      </c>
      <c r="D6" s="49">
        <v>10000.0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20</v>
      </c>
      <c r="C7" s="8" t="s">
        <v>45</v>
      </c>
      <c r="D7" s="8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