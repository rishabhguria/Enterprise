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TradePTT" sheetId="8" r:id="rId10"/>
    <sheet state="visible" name="VerifyOrder" sheetId="9" r:id="rId11"/>
  </sheets>
  <definedNames/>
  <calcPr/>
</workbook>
</file>

<file path=xl/sharedStrings.xml><?xml version="1.0" encoding="utf-8"?>
<sst xmlns="http://schemas.openxmlformats.org/spreadsheetml/2006/main" count="70" uniqueCount="34">
  <si>
    <t>Modules Info</t>
  </si>
  <si>
    <t>Modules</t>
  </si>
  <si>
    <t>Settings</t>
  </si>
  <si>
    <t>Module Step Setting File</t>
  </si>
  <si>
    <t>1FGxALDJcb5ehnsyvPsvvK2RmR5w5NvwxselvS8Rk8g0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</si>
  <si>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</si>
  <si>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</si>
  <si>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</si>
  <si>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</si>
  <si>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</si>
  <si>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</si>
  <si>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</si>
  <si>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</si>
  <si>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</si>
  <si>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</si>
  <si>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</si>
  <si>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</si>
  <si>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</si>
  <si>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</si>
  <si>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PricingInput</t>
  </si>
  <si>
    <t>DailyValuation</t>
  </si>
  <si>
    <t>GetDailyCash</t>
  </si>
  <si>
    <t>UpdateDailyCash</t>
  </si>
  <si>
    <t>USD</t>
  </si>
  <si>
    <t>PTT</t>
  </si>
  <si>
    <t>TradePTT</t>
  </si>
  <si>
    <t>Increase</t>
  </si>
  <si>
    <t>Percentage</t>
  </si>
  <si>
    <t>No</t>
  </si>
  <si>
    <t>Account</t>
  </si>
  <si>
    <t>Blotter</t>
  </si>
  <si>
    <t>VerifyOrder</t>
  </si>
  <si>
    <t>Filled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</si>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</sst>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Arial"/>
    </font>
    <font>
      <sz val="9.0"/>
      <color rgb="FFFF8000"/>
      <name val="Verdan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vertical="bottom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5" fillId="6" fontId="14" numFmtId="0" xfId="0" applyAlignment="1" applyBorder="1" applyFill="1" applyFont="1">
      <alignment horizontal="right" readingOrder="0" shrinkToFit="0" vertical="top" wrapText="0"/>
    </xf>
    <xf borderId="5" fillId="6" fontId="15" numFmtId="0" xfId="0" applyAlignment="1" applyBorder="1" applyFont="1">
      <alignment horizontal="right" readingOrder="0" shrinkToFit="0" vertical="top" wrapText="0"/>
    </xf>
    <xf borderId="5" fillId="6" fontId="16" numFmtId="0" xfId="0" applyAlignment="1" applyBorder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IFERROR(__xludf.DUMMYFUNCTION("""COMPUTED_VALUE"""),"FilterClosing")</f>
        <v>FilterClosing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IFERROR(__xludf.DUMMYFUNCTION("""COMPUTED_VALUE"""),"1Rt9YEiWOkpM_6xJWq_IOac461RMIte3raiLVzVKmMsQ")</f>
        <v>1Rt9YEiWOkpM_6xJWq_IOac461RMIte3raiLVzVKmMsQ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 ")</f>
        <v>FilterClosing 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</row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 t="str">
        <f>IFERROR(__xludf.DUMMYFUNCTION("""COMPUTED_VALUE"""),"CreateReplaceLiveOrder")</f>
        <v>CreateReplaceLiveOrder</v>
      </c>
      <c r="AE4" s="25" t="str">
        <f>IFERROR(__xludf.DUMMYFUNCTION("""COMPUTED_VALUE"""),"CreateNewSubLiveOrder")</f>
        <v>CreateNewSubLiveOrder</v>
      </c>
      <c r="AF4" s="25" t="str">
        <f>IFERROR(__xludf.DUMMYFUNCTION("""COMPUTED_VALUE"""),"VerifyBasketExport")</f>
        <v>VerifyBasketExport</v>
      </c>
      <c r="AG4" s="25" t="str">
        <f>IFERROR(__xludf.DUMMYFUNCTION("""COMPUTED_VALUE"""),"CreateComplianceOrder")</f>
        <v>CreateComplianceOrder</v>
      </c>
      <c r="AH4" s="25" t="str">
        <f>IFERROR(__xludf.DUMMYFUNCTION("""COMPUTED_VALUE"""),"VerifyComplianceOrder")</f>
        <v>VerifyComplianceOrder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0" t="s">
        <v>17</v>
      </c>
      <c r="D6" s="30">
        <v>100.0</v>
      </c>
      <c r="E6" s="31"/>
      <c r="F6" s="30" t="s">
        <v>18</v>
      </c>
      <c r="G6" s="8"/>
      <c r="H6" s="8"/>
      <c r="I6" s="8"/>
      <c r="J6" s="30">
        <v>10.0</v>
      </c>
      <c r="K6" s="8"/>
      <c r="L6" s="8"/>
      <c r="M6" s="8"/>
      <c r="N6" s="8"/>
      <c r="O6" s="8"/>
    </row>
    <row r="7" ht="15.75" customHeight="1">
      <c r="A7" s="30"/>
      <c r="B7" s="30"/>
      <c r="C7" s="30"/>
      <c r="D7" s="30"/>
      <c r="E7" s="31"/>
      <c r="F7" s="30"/>
      <c r="G7" s="8"/>
      <c r="H7" s="8"/>
      <c r="I7" s="8"/>
      <c r="J7" s="30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0">
        <v>10.0</v>
      </c>
      <c r="D6" s="30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IFERROR(__xludf.DUMMYFUNCTION("""COMPUTED_VALUE"""),"UpdateMultipleDailyCash")</f>
        <v>UpdateMultipleDailyCash</v>
      </c>
      <c r="AI4" s="25" t="str">
        <f>IFERROR(__xludf.DUMMYFUNCTION("""COMPUTED_VALUE"""),"IsDefaultFilterToShowAccountWiseDataOnDailyValuation")</f>
        <v>IsDefaultFilterToShowAccountWiseDataOnDailyValuation</v>
      </c>
      <c r="AJ4" s="25" t="str">
        <f>IFERROR(__xludf.DUMMYFUNCTION("""COMPUTED_VALUE"""),"EnableBlankMarkPrices")</f>
        <v>EnableBlankMarkPrices</v>
      </c>
      <c r="AK4" s="25" t="str">
        <f>IFERROR(__xludf.DUMMYFUNCTION("""COMPUTED_VALUE"""),"EnableBlankMarkPrices")</f>
        <v>EnableBlankMarkPrices</v>
      </c>
      <c r="AL4" s="25" t="str">
        <f>IFERROR(__xludf.DUMMYFUNCTION("""COMPUTED_VALUE"""),"UpateSymbolAndMarkPrice")</f>
        <v>UpateSymbolAndMarkPrice</v>
      </c>
      <c r="AM4" s="25" t="str">
        <f>IFERROR(__xludf.DUMMYFUNCTION("""COMPUTED_VALUE"""),"UpateSymbolBlankMP")</f>
        <v>UpateSymbolBlankMP</v>
      </c>
      <c r="AN4" s="25" t="str">
        <f>IFERROR(__xludf.DUMMYFUNCTION("""COMPUTED_VALUE"""),"UpdateBlankMP")</f>
        <v>UpdateBlankMP</v>
      </c>
      <c r="AO4" s="25" t="str">
        <f>IFERROR(__xludf.DUMMYFUNCTION("""COMPUTED_VALUE"""),"FilterBlankMP")</f>
        <v>FilterBlankMP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>
        <f t="shared" ref="B6:C6" si="1">today()-1</f>
        <v>44956</v>
      </c>
      <c r="C6" s="32">
        <f t="shared" si="1"/>
        <v>44956</v>
      </c>
      <c r="D6" s="30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IFERROR(__xludf.DUMMYFUNCTION("""COMPUTED_VALUE"""),"UpdateMultipleDailyCash")</f>
        <v>UpdateMultipleDailyCash</v>
      </c>
      <c r="AI4" s="25" t="str">
        <f>IFERROR(__xludf.DUMMYFUNCTION("""COMPUTED_VALUE"""),"IsDefaultFilterToShowAccountWiseDataOnDailyValuation")</f>
        <v>IsDefaultFilterToShowAccountWiseDataOnDailyValuation</v>
      </c>
      <c r="AJ4" s="25" t="str">
        <f>IFERROR(__xludf.DUMMYFUNCTION("""COMPUTED_VALUE"""),"EnableBlankMarkPrices")</f>
        <v>EnableBlankMarkPrices</v>
      </c>
      <c r="AK4" s="25" t="str">
        <f>IFERROR(__xludf.DUMMYFUNCTION("""COMPUTED_VALUE"""),"EnableBlankMarkPrices")</f>
        <v>EnableBlankMarkPrices</v>
      </c>
      <c r="AL4" s="25" t="str">
        <f>IFERROR(__xludf.DUMMYFUNCTION("""COMPUTED_VALUE"""),"UpateSymbolAndMarkPrice")</f>
        <v>UpateSymbolAndMarkPrice</v>
      </c>
      <c r="AM4" s="25" t="str">
        <f>IFERROR(__xludf.DUMMYFUNCTION("""COMPUTED_VALUE"""),"UpateSymbolBlankMP")</f>
        <v>UpateSymbolBlankMP</v>
      </c>
      <c r="AN4" s="25" t="str">
        <f>IFERROR(__xludf.DUMMYFUNCTION("""COMPUTED_VALUE"""),"UpdateBlankMP")</f>
        <v>UpdateBlankMP</v>
      </c>
      <c r="AO4" s="25" t="str">
        <f>IFERROR(__xludf.DUMMYFUNCTION("""COMPUTED_VALUE"""),"FilterBlankMP")</f>
        <v>FilterBlankMP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18</v>
      </c>
      <c r="C6" s="30" t="s">
        <v>23</v>
      </c>
      <c r="D6" s="30">
        <v>10000.0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30"/>
      <c r="B7" s="30"/>
      <c r="C7" s="30"/>
      <c r="D7" s="30"/>
      <c r="E7" s="31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 t="str">
        <f>IFERROR(__xludf.DUMMYFUNCTION("""COMPUTED_VALUE"""),"VerifyPTTCompliance")</f>
        <v>VerifyPTTCompliance</v>
      </c>
      <c r="S4" s="25" t="str">
        <f>IFERROR(__xludf.DUMMYFUNCTION("""COMPUTED_VALUE"""),"CreateOrderAfterEditPTT")</f>
        <v>CreateOrderAfterEditPTT</v>
      </c>
      <c r="T4" s="25" t="str">
        <f>IFERROR(__xludf.DUMMYFUNCTION("""COMPUTED_VALUE"""),"EditPTTWPFGrid")</f>
        <v>EditPTTWPFGrid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 t="s">
        <v>16</v>
      </c>
      <c r="C6" s="34" t="s">
        <v>26</v>
      </c>
      <c r="D6" s="33" t="s">
        <v>27</v>
      </c>
      <c r="E6" s="35">
        <v>10.0</v>
      </c>
      <c r="F6" s="35">
        <v>10.0</v>
      </c>
      <c r="G6" s="34" t="s">
        <v>28</v>
      </c>
      <c r="H6" s="34" t="s">
        <v>29</v>
      </c>
      <c r="I6" s="36" t="s">
        <v>18</v>
      </c>
      <c r="J6" s="34"/>
      <c r="K6" s="37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IFERROR(__xludf.DUMMYFUNCTION("""COMPUTED_VALUE"""),"AllocateFromBlotter")</f>
        <v>AllocateFromBlotter</v>
      </c>
      <c r="BK4" s="25" t="str">
        <f>IFERROR(__xludf.DUMMYFUNCTION("""COMPUTED_VALUE"""),"ViewPTTAllocationDetails")</f>
        <v>ViewPTTAllocationDetails</v>
      </c>
      <c r="BL4" s="25" t="str">
        <f>IFERROR(__xludf.DUMMYFUNCTION("""COMPUTED_VALUE"""),"MergeOrder")</f>
        <v>MergeOrder</v>
      </c>
      <c r="BM4" s="25" t="str">
        <f>IFERROR(__xludf.DUMMYFUNCTION("""COMPUTED_VALUE"""),"VerifyMergeOrder")</f>
        <v>VerifyMergeOrder</v>
      </c>
      <c r="BN4" s="25" t="str">
        <f>IFERROR(__xludf.DUMMYFUNCTION("""COMPUTED_VALUE"""),"AddTabOnWatchlist")</f>
        <v>AddTabOnWatchlist</v>
      </c>
      <c r="BO4" s="25" t="str">
        <f>IFERROR(__xludf.DUMMYFUNCTION("""COMPUTED_VALUE"""),"AddTab")</f>
        <v>AddTab</v>
      </c>
      <c r="BP4" s="25" t="str">
        <f>IFERROR(__xludf.DUMMYFUNCTION("""COMPUTED_VALUE"""),"AddTabBlotter")</f>
        <v>AddTabBlotter</v>
      </c>
      <c r="BQ4" s="25" t="str">
        <f>IFERROR(__xludf.DUMMYFUNCTION("""COMPUTED_VALUE"""),"VerifyLowerStripBlotterUI")</f>
        <v>VerifyLowerStripBlotterUI</v>
      </c>
      <c r="BR4" s="25" t="str">
        <f>IFERROR(__xludf.DUMMYFUNCTION("""COMPUTED_VALUE"""),"SaveOrRemoveInSummaryTab")</f>
        <v>SaveOrRemoveInSummaryTab</v>
      </c>
      <c r="BS4" s="25" t="str">
        <f>IFERROR(__xludf.DUMMYFUNCTION("""COMPUTED_VALUE"""),"SaveOrRemoveInWorkingSubsTab")</f>
        <v>SaveOrRemoveInWorkingSubsTab</v>
      </c>
      <c r="BT4" s="25" t="str">
        <f>IFERROR(__xludf.DUMMYFUNCTION("""COMPUTED_VALUE"""),"SelectCheckBoxOnOrderGrid")</f>
        <v>SelectCheckBoxOnOrderGrid</v>
      </c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8"/>
      <c r="D6" s="38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38" t="s">
        <v>16</v>
      </c>
      <c r="AJ6" s="38" t="s">
        <v>17</v>
      </c>
      <c r="AK6" s="38" t="s">
        <v>32</v>
      </c>
      <c r="AL6" s="39">
        <v>100.0</v>
      </c>
      <c r="AM6" s="38"/>
      <c r="AN6" s="38"/>
      <c r="AO6" s="38"/>
      <c r="AQ6" s="38">
        <v>10.0</v>
      </c>
      <c r="AR6" s="38">
        <v>10.0</v>
      </c>
      <c r="AT6" s="38" t="s">
        <v>18</v>
      </c>
      <c r="AU6" s="38" t="s">
        <v>33</v>
      </c>
      <c r="AV6" s="38"/>
      <c r="AW6" s="38"/>
      <c r="A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