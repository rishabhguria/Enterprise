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AddCalculatedPreferences1" sheetId="7" r:id="rId9"/>
    <sheet state="visible" name="SetAccountValueCalculatedPref1" sheetId="8" r:id="rId10"/>
    <sheet state="visible" name="SetDefaultRuleCalculatedPref1" sheetId="9" r:id="rId11"/>
    <sheet state="visible" name="CreateStageOrder" sheetId="10" r:id="rId12"/>
    <sheet state="visible" name="MergeOrder" sheetId="11" r:id="rId13"/>
    <sheet state="visible" name="VerifyMergeOrder" sheetId="12" r:id="rId14"/>
    <sheet state="visible" name="CreateDoneAwayOrder" sheetId="13" r:id="rId15"/>
    <sheet state="visible" name="RemoveStageOrder" sheetId="14" r:id="rId16"/>
  </sheets>
  <definedNames/>
  <calcPr/>
</workbook>
</file>

<file path=xl/sharedStrings.xml><?xml version="1.0" encoding="utf-8"?>
<sst xmlns="http://schemas.openxmlformats.org/spreadsheetml/2006/main" count="140" uniqueCount="41">
  <si>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</si>
  <si>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</si>
  <si>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</si>
  <si>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</si>
  <si>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</si>
  <si>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</si>
  <si>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</si>
  <si>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</si>
  <si>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</si>
  <si>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</si>
  <si>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</si>
  <si>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</si>
  <si>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</si>
  <si>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</si>
  <si>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</si>
  <si>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</si>
  <si>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Pref1</t>
  </si>
  <si>
    <t>SetAccountValueCalculatedPref</t>
  </si>
  <si>
    <t>Allocation1</t>
  </si>
  <si>
    <t>Allocation3</t>
  </si>
  <si>
    <t>SetDefaultRuleCalculatedPref</t>
  </si>
  <si>
    <t>Leveling</t>
  </si>
  <si>
    <t>Allocation1,Allocation3</t>
  </si>
  <si>
    <t>Prorata</t>
  </si>
  <si>
    <t>TradingTicket</t>
  </si>
  <si>
    <t>CreateStageOrder</t>
  </si>
  <si>
    <t>IBM</t>
  </si>
  <si>
    <t>Buy</t>
  </si>
  <si>
    <t>Blotter</t>
  </si>
  <si>
    <t>MergeOrder</t>
  </si>
  <si>
    <t>New</t>
  </si>
  <si>
    <t>MS</t>
  </si>
  <si>
    <t>Market</t>
  </si>
  <si>
    <t>IBM US EQUITY</t>
  </si>
  <si>
    <t>Equity</t>
  </si>
  <si>
    <t>NASDAQ</t>
  </si>
  <si>
    <t>Yes</t>
  </si>
  <si>
    <t>VerifyMergeOrder</t>
  </si>
  <si>
    <t>CreateDoneAwayOrder</t>
  </si>
  <si>
    <t>RemoveStageOrder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</si>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</sst>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  <font>
      <sz val="9.0"/>
      <color rgb="FF000000"/>
      <name val="&quot;Segoe UI&quot;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4" numFmtId="0" xfId="0" applyAlignment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4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6" fontId="14" numFmtId="0" xfId="0" applyFont="1"/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vertical="bottom"/>
    </xf>
    <xf borderId="5" fillId="7" fontId="15" numFmtId="0" xfId="0" applyAlignment="1" applyBorder="1" applyFill="1" applyFont="1">
      <alignment horizontal="right" vertical="top"/>
    </xf>
    <xf borderId="5" fillId="8" fontId="3" numFmtId="0" xfId="0" applyAlignment="1" applyBorder="1" applyFill="1" applyFont="1">
      <alignment vertical="top"/>
    </xf>
    <xf borderId="5" fillId="7" fontId="3" numFmtId="0" xfId="0" applyAlignment="1" applyBorder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horizontal="right" vertical="top"/>
    </xf>
    <xf borderId="0" fillId="7" fontId="16" numFmtId="0" xfId="0" applyAlignment="1" applyFont="1">
      <alignment horizontal="right" vertical="top"/>
    </xf>
    <xf borderId="5" fillId="7" fontId="3" numFmtId="0" xfId="0" applyAlignment="1" applyBorder="1" applyFont="1">
      <alignment shrinkToFit="0" vertical="top" wrapText="0"/>
    </xf>
    <xf borderId="0" fillId="7" fontId="3" numFmtId="0" xfId="0" applyAlignment="1" applyFont="1">
      <alignment vertical="top"/>
    </xf>
    <xf borderId="0" fillId="8" fontId="17" numFmtId="0" xfId="0" applyAlignment="1" applyFont="1">
      <alignment horizontal="right" vertical="top"/>
    </xf>
    <xf borderId="0" fillId="8" fontId="16" numFmtId="0" xfId="0" applyAlignment="1" applyFont="1">
      <alignment horizontal="right" vertical="top"/>
    </xf>
    <xf borderId="5" fillId="8" fontId="17" numFmtId="0" xfId="0" applyAlignment="1" applyBorder="1" applyFont="1">
      <alignment horizontal="right" vertical="top"/>
    </xf>
    <xf borderId="5" fillId="7" fontId="3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 t="s">
        <v>18</v>
      </c>
      <c r="D6" s="34">
        <v>60.0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16</v>
      </c>
      <c r="C7" s="33" t="s">
        <v>19</v>
      </c>
      <c r="D7" s="36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38"/>
      <c r="C6" s="37"/>
      <c r="D6" s="37" t="s">
        <v>21</v>
      </c>
      <c r="E6" s="39" t="s">
        <v>22</v>
      </c>
      <c r="F6" s="37"/>
      <c r="G6" s="13" t="b">
        <v>0</v>
      </c>
      <c r="H6" s="37" t="s">
        <v>16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41" t="str">
        <f>"Pref2-"&amp;text(TODAY(),"dd-mm-yy")</f>
        <v>Pref2-04-10-22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41" t="str">
        <f t="shared" ref="B6:B7" si="1">"Pref2-"&amp;text(TODAY(),"dd-mm-yy")</f>
        <v>Pref2-04-10-22</v>
      </c>
      <c r="C6" s="33" t="s">
        <v>18</v>
      </c>
      <c r="D6" s="34">
        <v>60.0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tr">
        <f t="shared" si="1"/>
        <v>Pref2-04-10-22</v>
      </c>
      <c r="C7" s="33" t="s">
        <v>19</v>
      </c>
      <c r="D7" s="36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37"/>
      <c r="C6" s="37"/>
      <c r="D6" s="42" t="s">
        <v>23</v>
      </c>
      <c r="E6" s="43" t="s">
        <v>22</v>
      </c>
      <c r="F6" s="37"/>
      <c r="G6" s="44" t="b">
        <v>1</v>
      </c>
      <c r="H6" s="41" t="str">
        <f>"Pref2-"&amp;text(TODAY(),"dd-mm-yy")</f>
        <v>Pref2-04-10-22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45" t="s">
        <v>26</v>
      </c>
      <c r="C6" s="45" t="s">
        <v>27</v>
      </c>
      <c r="D6" s="34">
        <v>100.0</v>
      </c>
      <c r="E6" s="37"/>
      <c r="F6" s="37" t="s">
        <v>16</v>
      </c>
      <c r="G6" s="37"/>
      <c r="H6" s="37"/>
      <c r="I6" s="46"/>
      <c r="J6" s="34">
        <v>110.0</v>
      </c>
      <c r="K6" s="45"/>
      <c r="L6" s="4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7"/>
      <c r="B7" s="45" t="s">
        <v>26</v>
      </c>
      <c r="C7" s="45" t="s">
        <v>27</v>
      </c>
      <c r="D7" s="48">
        <v>200.0</v>
      </c>
      <c r="E7" s="37"/>
      <c r="F7" s="41" t="str">
        <f>"Pref2-"&amp;text(TODAY(),"dd-mm-yy")</f>
        <v>Pref2-04-10-22</v>
      </c>
      <c r="G7" s="37"/>
      <c r="H7" s="37"/>
      <c r="I7" s="46"/>
      <c r="J7" s="34">
        <v>110.0</v>
      </c>
      <c r="K7" s="45"/>
      <c r="L7" s="47"/>
      <c r="M7" s="37"/>
      <c r="N7" s="37"/>
      <c r="O7" s="37"/>
      <c r="P7" s="37"/>
      <c r="Q7" s="37"/>
      <c r="R7" s="37"/>
      <c r="S7" s="3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IFERROR(__xludf.DUMMYFUNCTION("""COMPUTED_VALUE"""),"Allow Merge")</f>
        <v>Allow Merge</v>
      </c>
      <c r="BB5" s="31" t="str">
        <f>IFERROR(__xludf.DUMMYFUNCTION("""COMPUTED_VALUE"""),"ButtonClick")</f>
        <v>ButtonClick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7"/>
      <c r="C6" s="37"/>
      <c r="D6" s="47" t="s">
        <v>26</v>
      </c>
      <c r="E6" s="37"/>
      <c r="F6" s="47" t="s">
        <v>27</v>
      </c>
      <c r="G6" s="47" t="s">
        <v>30</v>
      </c>
      <c r="H6" s="49">
        <v>100.0</v>
      </c>
      <c r="I6" s="37"/>
      <c r="J6" s="37"/>
      <c r="K6" s="37"/>
      <c r="L6" s="37"/>
      <c r="M6" s="37"/>
      <c r="N6" s="37"/>
      <c r="O6" s="37"/>
      <c r="P6" s="37"/>
      <c r="Q6" s="47" t="s">
        <v>31</v>
      </c>
      <c r="R6" s="47"/>
      <c r="S6" s="37"/>
      <c r="T6" s="50" t="s">
        <v>32</v>
      </c>
      <c r="U6" s="40"/>
      <c r="V6" s="40"/>
      <c r="W6" s="40"/>
      <c r="X6" s="40"/>
      <c r="Y6" s="40"/>
      <c r="Z6" s="40"/>
      <c r="AA6" s="37"/>
      <c r="AB6" s="51" t="s">
        <v>33</v>
      </c>
      <c r="AC6" s="40"/>
      <c r="AD6" s="40"/>
      <c r="AE6" s="40"/>
      <c r="AF6" s="52" t="s">
        <v>34</v>
      </c>
      <c r="AG6" s="40"/>
      <c r="AH6" s="40"/>
      <c r="AI6" s="40"/>
      <c r="AJ6" s="40" t="s">
        <v>35</v>
      </c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36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52"/>
      <c r="C7" s="40"/>
      <c r="D7" s="53" t="s">
        <v>26</v>
      </c>
      <c r="E7" s="40"/>
      <c r="F7" s="53" t="s">
        <v>27</v>
      </c>
      <c r="G7" s="53" t="s">
        <v>30</v>
      </c>
      <c r="H7" s="54">
        <v>200.0</v>
      </c>
      <c r="I7" s="40"/>
      <c r="J7" s="40"/>
      <c r="K7" s="40"/>
      <c r="L7" s="40"/>
      <c r="M7" s="40"/>
      <c r="N7" s="40"/>
      <c r="O7" s="40"/>
      <c r="P7" s="40"/>
      <c r="Q7" s="55" t="s">
        <v>31</v>
      </c>
      <c r="R7" s="47"/>
      <c r="S7" s="40"/>
      <c r="T7" s="50" t="s">
        <v>32</v>
      </c>
      <c r="U7" s="40"/>
      <c r="V7" s="40"/>
      <c r="W7" s="40"/>
      <c r="X7" s="40"/>
      <c r="Y7" s="40"/>
      <c r="Z7" s="40"/>
      <c r="AA7" s="40"/>
      <c r="AB7" s="53" t="s">
        <v>33</v>
      </c>
      <c r="AC7" s="40"/>
      <c r="AD7" s="40"/>
      <c r="AE7" s="40"/>
      <c r="AF7" s="53" t="s">
        <v>34</v>
      </c>
      <c r="AG7" s="40"/>
      <c r="AH7" s="40"/>
      <c r="AI7" s="40"/>
      <c r="AJ7" s="40" t="s">
        <v>35</v>
      </c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 t="s">
        <v>36</v>
      </c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37"/>
      <c r="C6" s="37"/>
      <c r="D6" s="4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52" t="s">
        <v>26</v>
      </c>
      <c r="AJ6" s="52" t="s">
        <v>27</v>
      </c>
      <c r="AK6" s="52" t="s">
        <v>30</v>
      </c>
      <c r="AL6" s="49">
        <v>100.0</v>
      </c>
      <c r="AM6" s="40"/>
      <c r="AN6" s="40"/>
      <c r="AO6" s="40"/>
      <c r="AP6" s="40"/>
      <c r="AQ6" s="40"/>
      <c r="AR6" s="40"/>
      <c r="AS6" s="52" t="s">
        <v>31</v>
      </c>
      <c r="AT6" s="52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7"/>
      <c r="C7" s="37"/>
      <c r="D7" s="4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52" t="s">
        <v>26</v>
      </c>
      <c r="AJ7" s="52" t="s">
        <v>27</v>
      </c>
      <c r="AK7" s="52" t="s">
        <v>30</v>
      </c>
      <c r="AL7" s="56">
        <v>200.0</v>
      </c>
      <c r="AM7" s="40"/>
      <c r="AN7" s="40"/>
      <c r="AO7" s="40"/>
      <c r="AP7" s="40"/>
      <c r="AQ7" s="40"/>
      <c r="AR7" s="40"/>
      <c r="AS7" s="52" t="s">
        <v>31</v>
      </c>
      <c r="AT7" s="52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45" t="s">
        <v>26</v>
      </c>
      <c r="C6" s="45" t="s">
        <v>27</v>
      </c>
      <c r="D6" s="48">
        <v>1000.0</v>
      </c>
      <c r="E6" s="37"/>
      <c r="F6" s="42" t="s">
        <v>18</v>
      </c>
      <c r="G6" s="37"/>
      <c r="H6" s="37"/>
      <c r="I6" s="46"/>
      <c r="J6" s="34">
        <v>110.0</v>
      </c>
      <c r="K6" s="45"/>
      <c r="L6" s="4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IFERROR(__xludf.DUMMYFUNCTION("""COMPUTED_VALUE"""),"Remaining Qty")</f>
        <v>Remaining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8"/>
      <c r="D6" s="8"/>
      <c r="E6" s="8"/>
      <c r="F6" s="8"/>
      <c r="G6" s="8"/>
      <c r="H6" s="13" t="s">
        <v>35</v>
      </c>
      <c r="I6" s="8"/>
      <c r="J6" s="8"/>
      <c r="K6" s="8"/>
      <c r="L6" s="8"/>
      <c r="M6" s="8"/>
      <c r="N6" s="8"/>
      <c r="O6" s="8"/>
      <c r="AI6" s="45" t="s">
        <v>26</v>
      </c>
      <c r="AJ6" s="45" t="s">
        <v>27</v>
      </c>
      <c r="AK6" s="48" t="s">
        <v>40</v>
      </c>
      <c r="AL6" s="48">
        <v>1000.0</v>
      </c>
      <c r="AT6" s="42" t="s">
        <v>18</v>
      </c>
      <c r="AU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8"/>
      <c r="AJ7" s="8"/>
      <c r="AK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