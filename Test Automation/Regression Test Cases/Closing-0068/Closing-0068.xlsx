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SelectTradeUnexpiredUnsettled" sheetId="6" r:id="rId8"/>
    <sheet state="visible" name="ExerciseAssignment" sheetId="7" r:id="rId9"/>
    <sheet state="visible" name="VerifyExpiredSettledGrid" sheetId="8" r:id="rId10"/>
    <sheet state="visible" name="CheckAllocatedGroups" sheetId="9" r:id="rId11"/>
    <sheet state="visible" name="SetClosingPreference1" sheetId="10" r:id="rId12"/>
  </sheets>
  <definedNames/>
  <calcPr/>
</workbook>
</file>

<file path=xl/sharedStrings.xml><?xml version="1.0" encoding="utf-8"?>
<sst xmlns="http://schemas.openxmlformats.org/spreadsheetml/2006/main" count="98" uniqueCount="34">
  <si>
    <t>Modules Info</t>
  </si>
  <si>
    <t>Master Data Info</t>
  </si>
  <si>
    <t>Settings</t>
  </si>
  <si>
    <t>Module</t>
  </si>
  <si>
    <t>Module Step Setting File</t>
  </si>
  <si>
    <t>Modules</t>
  </si>
  <si>
    <t>Step</t>
  </si>
  <si>
    <t>15Il9KeswuJGgf6kL64q0xt7c_sevGOAe7T20r5WsNa0</t>
  </si>
  <si>
    <t>Master Data Sheet</t>
  </si>
  <si>
    <t>Master Data Settings File</t>
  </si>
  <si>
    <t>1hEhI9rg16D4Xvfk19pDaFUFF78jjfIG29BBaNg8kT0A</t>
  </si>
  <si>
    <t>Data</t>
  </si>
  <si>
    <t>Closing</t>
  </si>
  <si>
    <t>SetClosingPreference</t>
  </si>
  <si>
    <t>Data Format</t>
  </si>
  <si>
    <t>Input Format</t>
  </si>
  <si>
    <t>TradingTicket</t>
  </si>
  <si>
    <t>CreateDoneAwayOrder</t>
  </si>
  <si>
    <t>O:ABM 10D20.00</t>
  </si>
  <si>
    <t>Buy to Open</t>
  </si>
  <si>
    <t>Allocation1</t>
  </si>
  <si>
    <t xml:space="preserve"> O:DO 10Q85.00</t>
  </si>
  <si>
    <t>SelectTradeUnexpiredUnsettled</t>
  </si>
  <si>
    <t>EquityOption</t>
  </si>
  <si>
    <t>ExerciseAssignment</t>
  </si>
  <si>
    <t>VerifyExpiredSettledGrid</t>
  </si>
  <si>
    <t>O:DO 10Q85.00</t>
  </si>
  <si>
    <t>Allocation</t>
  </si>
  <si>
    <t>CheckAllocatedGroups</t>
  </si>
  <si>
    <t>Sell short</t>
  </si>
  <si>
    <t>DO</t>
  </si>
  <si>
    <t>Buy</t>
  </si>
  <si>
    <t>ABM</t>
  </si>
  <si>
    <t>Sell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</si>
</sst>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164" xfId="0" applyAlignment="1" applyFont="1" applyNumberFormat="1">
      <alignment readingOrder="0"/>
    </xf>
    <xf borderId="0" fillId="0" fontId="3" numFmtId="14" xfId="0" applyFont="1" applyNumberFormat="1"/>
    <xf borderId="0" fillId="6" fontId="0" numFmtId="14" xfId="0" applyAlignment="1" applyFill="1" applyFont="1" applyNumberFormat="1">
      <alignment horizontal="right"/>
    </xf>
    <xf borderId="0" fillId="6" fontId="1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5</v>
      </c>
      <c r="B3" s="12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5" t="s">
        <v>7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1"/>
      <c r="E3" s="11"/>
      <c r="F3" s="11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IFERROR(__xludf.DUMMYFUNCTION("""COMPUTED_VALUE"""),"Method")</f>
        <v>Method</v>
      </c>
      <c r="C5" s="26" t="str">
        <f>IFERROR(__xludf.DUMMYFUNCTION("""COMPUTED_VALUE"""),"Global Algorithm")</f>
        <v>Global Algorithm</v>
      </c>
      <c r="D5" s="26" t="str">
        <f>IFERROR(__xludf.DUMMYFUNCTION("""COMPUTED_VALUE"""),"Secondary Sort Criteria")</f>
        <v>Secondary Sort Criteria</v>
      </c>
      <c r="E5" s="26" t="str">
        <f>IFERROR(__xludf.DUMMYFUNCTION("""COMPUTED_VALUE"""),"Override Global Algorithm")</f>
        <v>Override Global Algorithm</v>
      </c>
      <c r="F5" s="27" t="str">
        <f>IFERROR(__xludf.DUMMYFUNCTION("""COMPUTED_VALUE"""),"Can close Sell Short with Buy and Buy to Open")</f>
        <v>Can close Sell Short with Buy and Buy to Open</v>
      </c>
      <c r="G5" s="26" t="str">
        <f>IFERROR(__xludf.DUMMYFUNCTION("""COMPUTED_VALUE"""),"Can close Sell with Buy to Close")</f>
        <v>Can close Sell with Buy to Close</v>
      </c>
      <c r="H5" s="26" t="str">
        <f>IFERROR(__xludf.DUMMYFUNCTION("""COMPUTED_VALUE"""),"Fetch Data Automatically")</f>
        <v>Fetch Data Automatically</v>
      </c>
      <c r="I5" s="26" t="str">
        <f>IFERROR(__xludf.DUMMYFUNCTION("""COMPUTED_VALUE"""),"Auto Close Stategy")</f>
        <v>Auto Close Stategy</v>
      </c>
      <c r="J5" s="26" t="str">
        <f>IFERROR(__xludf.DUMMYFUNCTION("""COMPUTED_VALUE"""),"Exercise/Assign CheckSide Validation")</f>
        <v>Exercise/Assign CheckSide Validation</v>
      </c>
      <c r="K5" s="26" t="str">
        <f>IFERROR(__xludf.DUMMYFUNCTION("""COMPUTED_VALUE"""),"Long Term Tax Rate (%)")</f>
        <v>Long Term Tax Rate (%)</v>
      </c>
      <c r="L5" s="26" t="str">
        <f>IFERROR(__xludf.DUMMYFUNCTION("""COMPUTED_VALUE"""),"Short Term Tax Rate (%)")</f>
        <v>Short Term Tax Rate (%)</v>
      </c>
      <c r="M5" s="26" t="str">
        <f>IFERROR(__xludf.DUMMYFUNCTION("""COMPUTED_VALUE"""),"Quantity round off digits")</f>
        <v>Quantity round off digits</v>
      </c>
      <c r="N5" s="26" t="str">
        <f>IFERROR(__xludf.DUMMYFUNCTION("""COMPUTED_VALUE"""),"Price round off digits")</f>
        <v>Price round off digits</v>
      </c>
      <c r="O5" s="26" t="str">
        <f>IFERROR(__xludf.DUMMYFUNCTION("""COMPUTED_VALUE"""),"Closing Field")</f>
        <v>Closing Field</v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15" t="b">
        <v>1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16</v>
      </c>
      <c r="D3" s="9" t="s">
        <v>6</v>
      </c>
      <c r="E3" s="21" t="s">
        <v>17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15" t="s">
        <v>19</v>
      </c>
      <c r="D6" s="15">
        <v>100.0</v>
      </c>
      <c r="E6" s="30"/>
      <c r="F6" s="15" t="s">
        <v>20</v>
      </c>
      <c r="G6" s="7"/>
      <c r="H6" s="7"/>
      <c r="I6" s="7"/>
      <c r="J6" s="15">
        <v>10.0</v>
      </c>
      <c r="K6" s="7"/>
      <c r="L6" s="7"/>
      <c r="M6" s="7"/>
      <c r="N6" s="31">
        <f t="shared" ref="N6:N7" si="1">Today()</f>
        <v>43753</v>
      </c>
      <c r="O6" s="7"/>
    </row>
    <row r="7" ht="15.75" customHeight="1">
      <c r="A7" s="7"/>
      <c r="B7" s="15" t="s">
        <v>21</v>
      </c>
      <c r="C7" s="15" t="s">
        <v>19</v>
      </c>
      <c r="D7" s="15">
        <v>200.0</v>
      </c>
      <c r="E7" s="7"/>
      <c r="F7" s="15" t="s">
        <v>20</v>
      </c>
      <c r="G7" s="7"/>
      <c r="H7" s="7"/>
      <c r="I7" s="7"/>
      <c r="J7" s="15">
        <v>20.0</v>
      </c>
      <c r="K7" s="7"/>
      <c r="L7" s="7"/>
      <c r="M7" s="7"/>
      <c r="N7" s="31">
        <f t="shared" si="1"/>
        <v>43753</v>
      </c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20</v>
      </c>
      <c r="C6" s="7"/>
      <c r="D6" s="7"/>
      <c r="E6" s="15" t="s">
        <v>23</v>
      </c>
      <c r="F6" s="7"/>
      <c r="G6" s="7"/>
      <c r="H6" s="7"/>
      <c r="I6" s="7"/>
      <c r="J6" s="7"/>
      <c r="K6" s="7"/>
      <c r="L6" s="7"/>
      <c r="M6" s="7"/>
      <c r="N6" s="7"/>
      <c r="O6" s="7"/>
      <c r="BV6" s="29" t="s">
        <v>19</v>
      </c>
      <c r="CG6" s="29">
        <v>200.0</v>
      </c>
      <c r="DH6" s="29" t="s">
        <v>21</v>
      </c>
    </row>
    <row r="7" ht="15.75" customHeight="1">
      <c r="A7" s="7"/>
      <c r="B7" s="15" t="s">
        <v>20</v>
      </c>
      <c r="C7" s="7"/>
      <c r="D7" s="7"/>
      <c r="E7" s="15" t="s">
        <v>23</v>
      </c>
      <c r="F7" s="7"/>
      <c r="G7" s="7"/>
      <c r="H7" s="7"/>
      <c r="I7" s="7"/>
      <c r="J7" s="7"/>
      <c r="K7" s="7"/>
      <c r="L7" s="7"/>
      <c r="M7" s="7"/>
      <c r="N7" s="7"/>
      <c r="O7" s="7"/>
      <c r="BV7" s="29" t="s">
        <v>19</v>
      </c>
      <c r="CG7" s="29">
        <v>100.0</v>
      </c>
      <c r="DH7" s="29" t="s">
        <v>18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24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25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20</v>
      </c>
      <c r="C6" s="7"/>
      <c r="D6" s="7"/>
      <c r="E6" s="31">
        <f t="shared" ref="E6:E7" si="1">Today()</f>
        <v>43753</v>
      </c>
      <c r="F6" s="7"/>
      <c r="G6" s="7"/>
      <c r="H6" s="7"/>
      <c r="I6" s="7"/>
      <c r="J6" s="7"/>
      <c r="K6" s="7"/>
      <c r="L6" s="7"/>
      <c r="M6" s="7"/>
      <c r="N6" s="7"/>
      <c r="O6" s="7"/>
      <c r="Z6" s="29" t="s">
        <v>19</v>
      </c>
      <c r="AB6" s="29" t="s">
        <v>18</v>
      </c>
    </row>
    <row r="7" ht="15.75" customHeight="1">
      <c r="A7" s="7"/>
      <c r="B7" s="15" t="s">
        <v>20</v>
      </c>
      <c r="C7" s="7"/>
      <c r="D7" s="7"/>
      <c r="E7" s="31">
        <f t="shared" si="1"/>
        <v>43753</v>
      </c>
      <c r="F7" s="7"/>
      <c r="G7" s="7"/>
      <c r="H7" s="7"/>
      <c r="I7" s="7"/>
      <c r="J7" s="7"/>
      <c r="K7" s="7"/>
      <c r="L7" s="7"/>
      <c r="M7" s="7"/>
      <c r="N7" s="7"/>
      <c r="O7" s="7"/>
      <c r="Z7" s="29" t="s">
        <v>19</v>
      </c>
      <c r="AB7" s="29" t="s">
        <v>26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28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20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G6" s="32"/>
      <c r="AX6" s="29">
        <v>0.0</v>
      </c>
      <c r="BG6" s="33">
        <f t="shared" ref="BG6:BG11" si="1">Today()</f>
        <v>43753</v>
      </c>
      <c r="BO6" s="29" t="s">
        <v>19</v>
      </c>
      <c r="BT6" s="29" t="s">
        <v>18</v>
      </c>
      <c r="CE6" s="33">
        <f>today()</f>
        <v>43753</v>
      </c>
    </row>
    <row r="7" ht="15.75" customHeight="1">
      <c r="A7" s="7"/>
      <c r="B7" s="15" t="s">
        <v>20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G7" s="32"/>
      <c r="AX7" s="29">
        <v>0.0</v>
      </c>
      <c r="BG7" s="33">
        <f t="shared" si="1"/>
        <v>43753</v>
      </c>
      <c r="BO7" s="29" t="s">
        <v>19</v>
      </c>
      <c r="BT7" s="29" t="s">
        <v>26</v>
      </c>
      <c r="CE7" s="33">
        <f t="shared" ref="CE7:CE11" si="2">Today()</f>
        <v>43753</v>
      </c>
    </row>
    <row r="8" ht="15.75" customHeight="1">
      <c r="A8" s="7"/>
      <c r="B8" s="15" t="s">
        <v>20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AX8" s="29">
        <v>400000.0</v>
      </c>
      <c r="BG8" s="33">
        <f t="shared" si="1"/>
        <v>43753</v>
      </c>
      <c r="BO8" s="29" t="s">
        <v>29</v>
      </c>
      <c r="BT8" s="29" t="s">
        <v>30</v>
      </c>
      <c r="CE8" s="33">
        <f t="shared" si="2"/>
        <v>43753</v>
      </c>
    </row>
    <row r="9" ht="15.75" customHeight="1">
      <c r="A9" s="7"/>
      <c r="B9" s="15" t="s">
        <v>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X9" s="29">
        <v>100000.0</v>
      </c>
      <c r="BG9" s="33">
        <f t="shared" si="1"/>
        <v>43753</v>
      </c>
      <c r="BO9" s="29" t="s">
        <v>31</v>
      </c>
      <c r="BT9" s="29" t="s">
        <v>32</v>
      </c>
      <c r="CE9" s="33">
        <f t="shared" si="2"/>
        <v>43753</v>
      </c>
    </row>
    <row r="10" ht="15.75" customHeight="1">
      <c r="A10" s="7"/>
      <c r="B10" s="15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AG10" s="32"/>
      <c r="AX10" s="29">
        <v>-100000.0</v>
      </c>
      <c r="BG10" s="33">
        <f t="shared" si="1"/>
        <v>43753</v>
      </c>
      <c r="BO10" s="29" t="s">
        <v>33</v>
      </c>
      <c r="BT10" s="29" t="s">
        <v>18</v>
      </c>
      <c r="CE10" s="33">
        <f t="shared" si="2"/>
        <v>43753</v>
      </c>
    </row>
    <row r="11" ht="15.75" customHeight="1">
      <c r="A11" s="7"/>
      <c r="B11" s="15" t="s">
        <v>20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AG11" s="32"/>
      <c r="AX11" s="29">
        <v>-400000.0</v>
      </c>
      <c r="BG11" s="34">
        <f t="shared" si="1"/>
        <v>43753</v>
      </c>
      <c r="BO11" s="29" t="s">
        <v>33</v>
      </c>
      <c r="BT11" s="35" t="s">
        <v>26</v>
      </c>
      <c r="CE11" s="33">
        <f t="shared" si="2"/>
        <v>43753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37.29"/>
    <col customWidth="1" min="11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IFERROR(__xludf.DUMMYFUNCTION("""COMPUTED_VALUE"""),"Method")</f>
        <v>Method</v>
      </c>
      <c r="C5" s="26" t="str">
        <f>IFERROR(__xludf.DUMMYFUNCTION("""COMPUTED_VALUE"""),"Global Algorithm")</f>
        <v>Global Algorithm</v>
      </c>
      <c r="D5" s="26" t="str">
        <f>IFERROR(__xludf.DUMMYFUNCTION("""COMPUTED_VALUE"""),"Secondary Sort Criteria")</f>
        <v>Secondary Sort Criteria</v>
      </c>
      <c r="E5" s="26" t="str">
        <f>IFERROR(__xludf.DUMMYFUNCTION("""COMPUTED_VALUE"""),"Override Global Algorithm")</f>
        <v>Override Global Algorithm</v>
      </c>
      <c r="F5" s="27" t="str">
        <f>IFERROR(__xludf.DUMMYFUNCTION("""COMPUTED_VALUE"""),"Can close Sell Short with Buy and Buy to Open")</f>
        <v>Can close Sell Short with Buy and Buy to Open</v>
      </c>
      <c r="G5" s="26" t="str">
        <f>IFERROR(__xludf.DUMMYFUNCTION("""COMPUTED_VALUE"""),"Can close Sell with Buy to Close")</f>
        <v>Can close Sell with Buy to Close</v>
      </c>
      <c r="H5" s="26" t="str">
        <f>IFERROR(__xludf.DUMMYFUNCTION("""COMPUTED_VALUE"""),"Fetch Data Automatically")</f>
        <v>Fetch Data Automatically</v>
      </c>
      <c r="I5" s="26" t="str">
        <f>IFERROR(__xludf.DUMMYFUNCTION("""COMPUTED_VALUE"""),"Auto Close Stategy")</f>
        <v>Auto Close Stategy</v>
      </c>
      <c r="J5" s="26" t="str">
        <f>IFERROR(__xludf.DUMMYFUNCTION("""COMPUTED_VALUE"""),"Exercise/Assign CheckSide Validation")</f>
        <v>Exercise/Assign CheckSide Validation</v>
      </c>
      <c r="K5" s="26" t="str">
        <f>IFERROR(__xludf.DUMMYFUNCTION("""COMPUTED_VALUE"""),"Long Term Tax Rate (%)")</f>
        <v>Long Term Tax Rate (%)</v>
      </c>
      <c r="L5" s="26" t="str">
        <f>IFERROR(__xludf.DUMMYFUNCTION("""COMPUTED_VALUE"""),"Short Term Tax Rate (%)")</f>
        <v>Short Term Tax Rate (%)</v>
      </c>
      <c r="M5" s="26" t="str">
        <f>IFERROR(__xludf.DUMMYFUNCTION("""COMPUTED_VALUE"""),"Quantity round off digits")</f>
        <v>Quantity round off digits</v>
      </c>
      <c r="N5" s="26" t="str">
        <f>IFERROR(__xludf.DUMMYFUNCTION("""COMPUTED_VALUE"""),"Price round off digits")</f>
        <v>Price round off digits</v>
      </c>
      <c r="O5" s="26" t="str">
        <f>IFERROR(__xludf.DUMMYFUNCTION("""COMPUTED_VALUE"""),"Closing Field")</f>
        <v>Closing Field</v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15" t="b">
        <v>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SetClosingPreference1!$4:$4</formula1>
    </dataValidation>
  </dataValidations>
  <drawing r:id="rId1"/>
</worksheet>
</file>