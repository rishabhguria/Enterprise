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GeneralPreference" sheetId="4" r:id="rId6"/>
    <sheet state="visible" name="AddTabBlotter" sheetId="5" r:id="rId7"/>
    <sheet state="visible" name="SetCompliancePermission" sheetId="6" r:id="rId8"/>
    <sheet state="visible" name="LoginClient" sheetId="7" r:id="rId9"/>
    <sheet state="visible" name="CreateComplianceOrder" sheetId="8" r:id="rId10"/>
    <sheet state="visible" name="VerifyComplianceOrder" sheetId="9" r:id="rId11"/>
    <sheet state="visible" name="CustomTabActions" sheetId="10" r:id="rId12"/>
    <sheet state="visible" name="LoginClient3" sheetId="11" r:id="rId13"/>
    <sheet state="visible" name="ApproveorRejectpendingapproval1" sheetId="12" r:id="rId14"/>
    <sheet state="visible" name="LoginClient4" sheetId="13" r:id="rId15"/>
  </sheets>
  <definedNames/>
  <calcPr/>
</workbook>
</file>

<file path=xl/sharedStrings.xml><?xml version="1.0" encoding="utf-8"?>
<sst xmlns="http://schemas.openxmlformats.org/spreadsheetml/2006/main" count="109" uniqueCount="46">
  <si>
    <t>Modules Info</t>
  </si>
  <si>
    <t>Modules</t>
  </si>
  <si>
    <t>Settings</t>
  </si>
  <si>
    <t>Module Step Setting File</t>
  </si>
  <si>
    <t>1K8ZvVNuTwmBNFJDFZePBBtFSBNuEnt5jA54fLNZWShw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</si>
  <si>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</si>
  <si>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</si>
  <si>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</si>
  <si>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</si>
  <si>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</si>
  <si>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</si>
  <si>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</si>
  <si>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</si>
  <si>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SetGeneralPreference</t>
  </si>
  <si>
    <t>Data Format</t>
  </si>
  <si>
    <t>Input Format</t>
  </si>
  <si>
    <t>DefaultNotes,DefaultBrokerNotes</t>
  </si>
  <si>
    <t>Blotter</t>
  </si>
  <si>
    <t>AddTabBlotter</t>
  </si>
  <si>
    <t>CustomOrder</t>
  </si>
  <si>
    <t>Add Tab(Order)</t>
  </si>
  <si>
    <t>Admin</t>
  </si>
  <si>
    <t>SetCompliancePermission</t>
  </si>
  <si>
    <t>TradeQuantity-123</t>
  </si>
  <si>
    <t>REQUIRES APPROVAL</t>
  </si>
  <si>
    <t>PranaClient</t>
  </si>
  <si>
    <t>LoginClient</t>
  </si>
  <si>
    <t>Support1</t>
  </si>
  <si>
    <t>Nirvana@1</t>
  </si>
  <si>
    <t>CreateComplianceOrder</t>
  </si>
  <si>
    <t>AAPL</t>
  </si>
  <si>
    <t>Buy</t>
  </si>
  <si>
    <t>Allocation1</t>
  </si>
  <si>
    <t>Send</t>
  </si>
  <si>
    <t>VerifyComplianceOrder</t>
  </si>
  <si>
    <t>Requires Approval</t>
  </si>
  <si>
    <t>Enter Summary</t>
  </si>
  <si>
    <t>Compliance Officer - Please Approve</t>
  </si>
  <si>
    <t>Yes</t>
  </si>
  <si>
    <t>CustomTabActions</t>
  </si>
  <si>
    <t>Allocate</t>
  </si>
  <si>
    <t>suborder</t>
  </si>
  <si>
    <t>Support2</t>
  </si>
  <si>
    <t>Compliance</t>
  </si>
  <si>
    <t>ApproveorRejectpendingapproval</t>
  </si>
  <si>
    <t>Reject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</si>
</sst>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FFFFFF"/>
      <name val="Segoe UI"/>
    </font>
    <font>
      <sz val="9.0"/>
      <color rgb="FF000000"/>
      <name val="Segoe UI"/>
    </font>
    <font>
      <sz val="9.0"/>
      <color rgb="FF000000"/>
      <name val="Arial"/>
    </font>
  </fonts>
  <fills count="8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A500"/>
        <bgColor rgb="FFFFA500"/>
      </patternFill>
    </fill>
    <fill>
      <patternFill patternType="solid">
        <fgColor rgb="FFCBD6E0"/>
        <bgColor rgb="FFCBD6E0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535353"/>
      </left>
      <right style="thin">
        <color rgb="FF535353"/>
      </right>
      <top style="thin">
        <color rgb="FF535353"/>
      </top>
      <bottom style="thin">
        <color rgb="FF535353"/>
      </bottom>
    </border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readingOrder="0" vertical="bottom"/>
    </xf>
    <xf borderId="5" fillId="6" fontId="13" numFmtId="0" xfId="0" applyAlignment="1" applyBorder="1" applyFill="1" applyFont="1">
      <alignment vertical="top"/>
    </xf>
    <xf borderId="5" fillId="7" fontId="14" numFmtId="0" xfId="0" applyAlignment="1" applyBorder="1" applyFill="1" applyFont="1">
      <alignment vertical="top"/>
    </xf>
    <xf borderId="5" fillId="7" fontId="14" numFmtId="0" xfId="0" applyAlignment="1" applyBorder="1" applyFont="1">
      <alignment vertical="top"/>
    </xf>
    <xf borderId="5" fillId="7" fontId="15" numFmtId="0" xfId="0" applyAlignment="1" applyBorder="1" applyFont="1">
      <alignment horizontal="right" vertical="top"/>
    </xf>
    <xf borderId="5" fillId="7" fontId="3" numFmtId="0" xfId="0" applyAlignment="1" applyBorder="1" applyFont="1">
      <alignment horizontal="right" vertical="top"/>
    </xf>
    <xf borderId="5" fillId="7" fontId="3" numFmtId="0" xfId="0" applyAlignment="1" applyBorder="1" applyFont="1">
      <alignment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IFERROR(__xludf.DUMMYFUNCTION("""COMPUTED_VALUE"""),"DefaultSymbology")</f>
        <v>DefaultSymbology</v>
      </c>
      <c r="C5" s="27" t="str">
        <f>IFERROR(__xludf.DUMMYFUNCTION("""COMPUTED_VALUE"""),"DefaultOptionType")</f>
        <v>DefaultOptionType</v>
      </c>
      <c r="D5" s="27" t="str">
        <f>IFERROR(__xludf.DUMMYFUNCTION("""COMPUTED_VALUE"""),"DefaultNotes")</f>
        <v>DefaultNotes</v>
      </c>
      <c r="E5" s="27" t="str">
        <f>IFERROR(__xludf.DUMMYFUNCTION("""COMPUTED_VALUE"""),"DefaultBrokerNotes")</f>
        <v>DefaultBrokerNotes</v>
      </c>
      <c r="F5" s="28" t="str">
        <f>IFERROR(__xludf.DUMMYFUNCTION("""COMPUTED_VALUE"""),"KeepTradingTicketOpenAfterTrade")</f>
        <v>KeepTradingTicketOpenAfterTrade</v>
      </c>
      <c r="G5" s="27" t="str">
        <f>IFERROR(__xludf.DUMMYFUNCTION("""COMPUTED_VALUE"""),"ShowOptionDetails")</f>
        <v>ShowOptionDetails</v>
      </c>
      <c r="H5" s="27" t="str">
        <f>IFERROR(__xludf.DUMMYFUNCTION("""COMPUTED_VALUE"""),"Use Custodian Broker")</f>
        <v>Use Custodian Broker</v>
      </c>
      <c r="I5" s="27" t="str">
        <f>IFERROR(__xludf.DUMMYFUNCTION("""COMPUTED_VALUE"""),"Button_Status")</f>
        <v>Button_Status</v>
      </c>
      <c r="J5" s="27" t="str">
        <f>IFERROR(__xludf.DUMMYFUNCTION("""COMPUTED_VALUE"""),"ClearColumnValue")</f>
        <v>ClearColumnValue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8"/>
      <c r="H6" s="8"/>
      <c r="I6" s="8"/>
      <c r="J6" s="12" t="s">
        <v>16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SetGeneralPreference!$4:$4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IFERROR(__xludf.DUMMYFUNCTION("""COMPUTED_VALUE"""),"TabName")</f>
        <v>TabName</v>
      </c>
      <c r="C5" s="27" t="str">
        <f>IFERROR(__xludf.DUMMYFUNCTION("""COMPUTED_VALUE"""),"Button Name")</f>
        <v>Button Name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19</v>
      </c>
      <c r="C6" s="31" t="s">
        <v>20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AddTabBlotter!$4:$4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IFERROR(__xludf.DUMMYFUNCTION("""COMPUTED_VALUE"""),"ConfigUpdater")</f>
        <v>ConfigUpdater</v>
      </c>
      <c r="AK4" s="25" t="str">
        <f>IFERROR(__xludf.DUMMYFUNCTION("""COMPUTED_VALUE"""),"AccountPermission")</f>
        <v>AccountPermission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IFERROR(__xludf.DUMMYFUNCTION("""COMPUTED_VALUE"""),"Rule Name")</f>
        <v>Rule Name</v>
      </c>
      <c r="C5" s="27" t="str">
        <f>IFERROR(__xludf.DUMMYFUNCTION("""COMPUTED_VALUE"""),"Alert Type Permission")</f>
        <v>Alert Type Permission</v>
      </c>
      <c r="D5" s="27" t="str">
        <f>IFERROR(__xludf.DUMMYFUNCTION("""COMPUTED_VALUE"""),"UserID")</f>
        <v>UserID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2" t="s">
        <v>23</v>
      </c>
      <c r="C6" s="31" t="s">
        <v>24</v>
      </c>
      <c r="D6" s="33">
        <v>17.0</v>
      </c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SetCompliancePermission!$4:$4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IFERROR(__xludf.DUMMYFUNCTION("IF(C3="""","""",Transpose(IMPORTRANGE('_Settings'!$B$3,C3&amp;""!A4:A1000"")))"),"RestartClient")</f>
        <v>RestartClient</v>
      </c>
      <c r="C4" s="24" t="str">
        <f>IFERROR(__xludf.DUMMYFUNCTION("""COMPUTED_VALUE"""),"UpdateClientConfig")</f>
        <v>UpdateClientConfig</v>
      </c>
      <c r="D4" s="24" t="str">
        <f>IFERROR(__xludf.DUMMYFUNCTION("""COMPUTED_VALUE"""),"PranaClient")</f>
        <v>PranaClient</v>
      </c>
      <c r="E4" s="24" t="str">
        <f>IFERROR(__xludf.DUMMYFUNCTION("""COMPUTED_VALUE"""),"CompareXML")</f>
        <v>CompareXML</v>
      </c>
      <c r="F4" s="24" t="str">
        <f>IFERROR(__xludf.DUMMYFUNCTION("""COMPUTED_VALUE"""),"LoginClient")</f>
        <v>LoginClient</v>
      </c>
      <c r="G4" s="24" t="str">
        <f>IFERROR(__xludf.DUMMYFUNCTION("""COMPUTED_VALUE"""),"DbPicker")</f>
        <v>DbPicker</v>
      </c>
      <c r="H4" s="24" t="str">
        <f>IFERROR(__xludf.DUMMYFUNCTION("""COMPUTED_VALUE"""),"RunPortfolio")</f>
        <v>RunPortfolio</v>
      </c>
      <c r="I4" s="24" t="str">
        <f>IFERROR(__xludf.DUMMYFUNCTION("""COMPUTED_VALUE"""),"MoveFile")</f>
        <v>MoveFile</v>
      </c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IFERROR(__xludf.DUMMYFUNCTION("""COMPUTED_VALUE"""),"LoginUserName")</f>
        <v>LoginUserName</v>
      </c>
      <c r="C5" s="27" t="str">
        <f>IFERROR(__xludf.DUMMYFUNCTION("""COMPUTED_VALUE"""),"LoginPassword")</f>
        <v>LoginPassword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2" t="s">
        <v>27</v>
      </c>
      <c r="C6" s="31" t="s">
        <v>28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LoginClient!$4:$4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IFERROR(__xludf.DUMMYFUNCTION("""COMPUTED_VALUE"""),"Button")</f>
        <v>Button</v>
      </c>
      <c r="AY5" s="29" t="str">
        <f>IFERROR(__xludf.DUMMYFUNCTION("""COMPUTED_VALUE"""),"EditOrder")</f>
        <v>EditOrder</v>
      </c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2" t="s">
        <v>30</v>
      </c>
      <c r="C6" s="31" t="s">
        <v>31</v>
      </c>
      <c r="D6" s="33">
        <v>100.0</v>
      </c>
      <c r="E6" s="35"/>
      <c r="F6" s="31" t="s">
        <v>32</v>
      </c>
      <c r="G6" s="35"/>
      <c r="H6" s="35"/>
      <c r="I6" s="35"/>
      <c r="J6" s="36">
        <v>2.0</v>
      </c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7" t="s">
        <v>33</v>
      </c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CreateComplianceOrder!$4:$4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IFERROR(__xludf.DUMMYFUNCTION("""COMPUTED_VALUE"""),"Alert Type")</f>
        <v>Alert Type</v>
      </c>
      <c r="C5" s="27" t="str">
        <f>IFERROR(__xludf.DUMMYFUNCTION("""COMPUTED_VALUE"""),"Rule Name")</f>
        <v>Rule Name</v>
      </c>
      <c r="D5" s="27" t="str">
        <f>IFERROR(__xludf.DUMMYFUNCTION("""COMPUTED_VALUE"""),"Description of Rule")</f>
        <v>Description of Rule</v>
      </c>
      <c r="E5" s="27" t="str">
        <f>IFERROR(__xludf.DUMMYFUNCTION("""COMPUTED_VALUE"""),"Dimensions")</f>
        <v>Dimensions</v>
      </c>
      <c r="F5" s="28" t="str">
        <f>IFERROR(__xludf.DUMMYFUNCTION("""COMPUTED_VALUE"""),"Threshold")</f>
        <v>Threshold</v>
      </c>
      <c r="G5" s="27" t="str">
        <f>IFERROR(__xludf.DUMMYFUNCTION("""COMPUTED_VALUE"""),"Actual Result")</f>
        <v>Actual Result</v>
      </c>
      <c r="H5" s="27" t="str">
        <f>IFERROR(__xludf.DUMMYFUNCTION("""COMPUTED_VALUE"""),"Comments")</f>
        <v>Comments</v>
      </c>
      <c r="I5" s="27" t="str">
        <f>IFERROR(__xludf.DUMMYFUNCTION("""COMPUTED_VALUE"""),"User Notes")</f>
        <v>User Notes</v>
      </c>
      <c r="J5" s="27" t="str">
        <f>IFERROR(__xludf.DUMMYFUNCTION("""COMPUTED_VALUE"""),"Write UserNote")</f>
        <v>Write UserNote</v>
      </c>
      <c r="K5" s="27" t="str">
        <f>IFERROR(__xludf.DUMMYFUNCTION("""COMPUTED_VALUE"""),"AllowTrade")</f>
        <v>AllowTrade</v>
      </c>
      <c r="L5" s="27" t="str">
        <f>IFERROR(__xludf.DUMMYFUNCTION("""COMPUTED_VALUE"""),"ClickonMultiple")</f>
        <v>ClickonMultiple</v>
      </c>
      <c r="M5" s="27" t="str">
        <f>IFERROR(__xludf.DUMMYFUNCTION("""COMPUTED_VALUE"""),"Trade")</f>
        <v>Trade</v>
      </c>
      <c r="N5" s="27" t="str">
        <f>IFERROR(__xludf.DUMMYFUNCTION("""COMPUTED_VALUE"""),"PendingApprovalPopUp")</f>
        <v>PendingApprovalPopUp</v>
      </c>
      <c r="O5" s="27" t="str">
        <f>IFERROR(__xludf.DUMMYFUNCTION("""COMPUTED_VALUE"""),"VerifyExportState")</f>
        <v>VerifyExportState</v>
      </c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8" t="s">
        <v>35</v>
      </c>
      <c r="C6" s="39" t="s">
        <v>23</v>
      </c>
      <c r="D6" s="40" t="s">
        <v>36</v>
      </c>
      <c r="E6" s="39" t="s">
        <v>30</v>
      </c>
      <c r="F6" s="41">
        <v>-123.0</v>
      </c>
      <c r="G6" s="42">
        <v>100.0</v>
      </c>
      <c r="H6" s="43"/>
      <c r="I6" s="39" t="s">
        <v>37</v>
      </c>
      <c r="J6" s="35"/>
      <c r="K6" s="31" t="s">
        <v>38</v>
      </c>
      <c r="L6" s="35"/>
      <c r="M6" s="37" t="s">
        <v>33</v>
      </c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VerifyComplianceOrder!$4:$4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39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IFERROR(__xludf.DUMMYFUNCTION("""COMPUTED_VALUE"""),"Action")</f>
        <v>Action</v>
      </c>
      <c r="C5" s="27" t="str">
        <f>IFERROR(__xludf.DUMMYFUNCTION("""COMPUTED_VALUE"""),"ActionOnWhichGrid")</f>
        <v>ActionOnWhichGrid</v>
      </c>
      <c r="D5" s="27" t="str">
        <f>IFERROR(__xludf.DUMMYFUNCTION("""COMPUTED_VALUE"""),"TabName")</f>
        <v>TabName</v>
      </c>
      <c r="E5" s="27" t="str">
        <f>IFERROR(__xludf.DUMMYFUNCTION("""COMPUTED_VALUE"""),"Symbol")</f>
        <v>Symbol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IFERROR(__xludf.DUMMYFUNCTION("""COMPUTED_VALUE"""),"Broker")</f>
        <v>Broker</v>
      </c>
      <c r="J5" s="27" t="str">
        <f>IFERROR(__xludf.DUMMYFUNCTION("""COMPUTED_VALUE"""),"Account")</f>
        <v>Account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2" t="s">
        <v>40</v>
      </c>
      <c r="C6" s="31" t="s">
        <v>41</v>
      </c>
      <c r="D6" s="12" t="s">
        <v>19</v>
      </c>
      <c r="E6" s="31" t="s">
        <v>30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CustomTabActions!$4:$4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IFERROR(__xludf.DUMMYFUNCTION("IF(C3="""","""",Transpose(IMPORTRANGE('_Settings'!$B$3,C3&amp;""!A4:A1000"")))"),"RestartClient")</f>
        <v>RestartClient</v>
      </c>
      <c r="C4" s="24" t="str">
        <f>IFERROR(__xludf.DUMMYFUNCTION("""COMPUTED_VALUE"""),"UpdateClientConfig")</f>
        <v>UpdateClientConfig</v>
      </c>
      <c r="D4" s="24" t="str">
        <f>IFERROR(__xludf.DUMMYFUNCTION("""COMPUTED_VALUE"""),"PranaClient")</f>
        <v>PranaClient</v>
      </c>
      <c r="E4" s="24" t="str">
        <f>IFERROR(__xludf.DUMMYFUNCTION("""COMPUTED_VALUE"""),"CompareXML")</f>
        <v>CompareXML</v>
      </c>
      <c r="F4" s="24" t="str">
        <f>IFERROR(__xludf.DUMMYFUNCTION("""COMPUTED_VALUE"""),"LoginClient")</f>
        <v>LoginClient</v>
      </c>
      <c r="G4" s="24" t="str">
        <f>IFERROR(__xludf.DUMMYFUNCTION("""COMPUTED_VALUE"""),"DbPicker")</f>
        <v>DbPicker</v>
      </c>
      <c r="H4" s="24" t="str">
        <f>IFERROR(__xludf.DUMMYFUNCTION("""COMPUTED_VALUE"""),"RunPortfolio")</f>
        <v>RunPortfolio</v>
      </c>
      <c r="I4" s="24" t="str">
        <f>IFERROR(__xludf.DUMMYFUNCTION("""COMPUTED_VALUE"""),"MoveFile")</f>
        <v>MoveFile</v>
      </c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IFERROR(__xludf.DUMMYFUNCTION("""COMPUTED_VALUE"""),"LoginUserName")</f>
        <v>LoginUserName</v>
      </c>
      <c r="C5" s="27" t="str">
        <f>IFERROR(__xludf.DUMMYFUNCTION("""COMPUTED_VALUE"""),"LoginPassword")</f>
        <v>LoginPassword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42</v>
      </c>
      <c r="C6" s="12" t="s">
        <v>28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LoginClient3!$4:$4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43</v>
      </c>
      <c r="D3" s="5" t="s">
        <v>9</v>
      </c>
      <c r="E3" s="22" t="s">
        <v>44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IFERROR(__xludf.DUMMYFUNCTION("""COMPUTED_VALUE"""),"RestartRuleMediator")</f>
        <v>RestartRuleMediator</v>
      </c>
      <c r="AL4" s="25" t="str">
        <f>IFERROR(__xludf.DUMMYFUNCTION("""COMPUTED_VALUE"""),"VerifyAggAccountSymbolWithNav")</f>
        <v>VerifyAggAccountSymbolWithNav</v>
      </c>
      <c r="AM4" s="25" t="str">
        <f>IFERROR(__xludf.DUMMYFUNCTION("""COMPUTED_VALUE"""),"ApproveorRejectpendingapproval")</f>
        <v>ApproveorRejectpendingapproval</v>
      </c>
      <c r="AN4" s="25" t="str">
        <f>IFERROR(__xludf.DUMMYFUNCTION("""COMPUTED_VALUE"""),"VerifyAlertHistory")</f>
        <v>VerifyAlertHistory</v>
      </c>
      <c r="AO4" s="25" t="str">
        <f>IFERROR(__xludf.DUMMYFUNCTION("""COMPUTED_VALUE"""),"EditInterceptorFile")</f>
        <v>EditInterceptorFile</v>
      </c>
      <c r="AP4" s="25" t="str">
        <f>IFERROR(__xludf.DUMMYFUNCTION("""COMPUTED_VALUE"""),"ReplaceInterceptorFile")</f>
        <v>ReplaceInterceptorFile</v>
      </c>
      <c r="AQ4" s="25" t="str">
        <f>IFERROR(__xludf.DUMMYFUNCTION("""COMPUTED_VALUE"""),"RestartReleasesAndServices")</f>
        <v>RestartReleasesAndServices</v>
      </c>
      <c r="AR4" s="25" t="str">
        <f>IFERROR(__xludf.DUMMYFUNCTION("""COMPUTED_VALUE"""),"GetEmail")</f>
        <v>GetEmail</v>
      </c>
      <c r="AS4" s="25" t="str">
        <f>IFERROR(__xludf.DUMMYFUNCTION("""COMPUTED_VALUE"""),"EnableDisableRule")</f>
        <v>EnableDisableRule</v>
      </c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IFERROR(__xludf.DUMMYFUNCTION("""COMPUTED_VALUE"""),"Symbols")</f>
        <v>Symbols</v>
      </c>
      <c r="D5" s="27" t="str">
        <f>IFERROR(__xludf.DUMMYFUNCTION("""COMPUTED_VALUE"""),"Trade Origination")</f>
        <v>Trade Origination</v>
      </c>
      <c r="E5" s="27" t="str">
        <f>IFERROR(__xludf.DUMMYFUNCTION("""COMPUTED_VALUE"""),"Trader")</f>
        <v>Trader</v>
      </c>
      <c r="F5" s="28" t="str">
        <f>IFERROR(__xludf.DUMMYFUNCTION("""COMPUTED_VALUE"""),"Trade Details")</f>
        <v>Trade Details</v>
      </c>
      <c r="G5" s="27" t="str">
        <f>IFERROR(__xludf.DUMMYFUNCTION("""COMPUTED_VALUE"""),"Trade Notes")</f>
        <v>Trade Notes</v>
      </c>
      <c r="H5" s="27" t="str">
        <f>IFERROR(__xludf.DUMMYFUNCTION("""COMPUTED_VALUE"""),"Compliance Officer Notes")</f>
        <v>Compliance Officer Notes</v>
      </c>
      <c r="I5" s="27" t="str">
        <f>IFERROR(__xludf.DUMMYFUNCTION("""COMPUTED_VALUE"""),"User Name")</f>
        <v>User Name</v>
      </c>
      <c r="J5" s="27" t="str">
        <f>IFERROR(__xludf.DUMMYFUNCTION("""COMPUTED_VALUE"""),"Trade Price")</f>
        <v>Trade Price</v>
      </c>
      <c r="K5" s="27" t="str">
        <f>IFERROR(__xludf.DUMMYFUNCTION("""COMPUTED_VALUE"""),"Basket Name")</f>
        <v>Basket Name</v>
      </c>
      <c r="L5" s="27" t="str">
        <f>IFERROR(__xludf.DUMMYFUNCTION("""COMPUTED_VALUE"""),"Quantity")</f>
        <v>Quantity</v>
      </c>
      <c r="M5" s="27" t="str">
        <f>IFERROR(__xludf.DUMMYFUNCTION("""COMPUTED_VALUE"""),"Broker")</f>
        <v>Broker</v>
      </c>
      <c r="N5" s="27" t="str">
        <f>IFERROR(__xludf.DUMMYFUNCTION("""COMPUTED_VALUE"""),"Status")</f>
        <v>Status</v>
      </c>
      <c r="O5" s="27" t="str">
        <f>IFERROR(__xludf.DUMMYFUNCTION("""COMPUTED_VALUE"""),"Order Side")</f>
        <v>Order Side</v>
      </c>
      <c r="P5" s="27" t="str">
        <f>IFERROR(__xludf.DUMMYFUNCTION("""COMPUTED_VALUE"""),"ApproveorRejectAll")</f>
        <v>ApproveorRejectAll</v>
      </c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30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  <c r="P6" s="9" t="s">
        <v>45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ApproveorRejectpendingapproval1!$4:$4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IFERROR(__xludf.DUMMYFUNCTION("IF(C3="""","""",Transpose(IMPORTRANGE('_Settings'!$B$3,C3&amp;""!A4:A1000"")))"),"RestartClient")</f>
        <v>RestartClient</v>
      </c>
      <c r="C4" s="24" t="str">
        <f>IFERROR(__xludf.DUMMYFUNCTION("""COMPUTED_VALUE"""),"UpdateClientConfig")</f>
        <v>UpdateClientConfig</v>
      </c>
      <c r="D4" s="24" t="str">
        <f>IFERROR(__xludf.DUMMYFUNCTION("""COMPUTED_VALUE"""),"PranaClient")</f>
        <v>PranaClient</v>
      </c>
      <c r="E4" s="24" t="str">
        <f>IFERROR(__xludf.DUMMYFUNCTION("""COMPUTED_VALUE"""),"CompareXML")</f>
        <v>CompareXML</v>
      </c>
      <c r="F4" s="24" t="str">
        <f>IFERROR(__xludf.DUMMYFUNCTION("""COMPUTED_VALUE"""),"LoginClient")</f>
        <v>LoginClient</v>
      </c>
      <c r="G4" s="24" t="str">
        <f>IFERROR(__xludf.DUMMYFUNCTION("""COMPUTED_VALUE"""),"DbPicker")</f>
        <v>DbPicker</v>
      </c>
      <c r="H4" s="24" t="str">
        <f>IFERROR(__xludf.DUMMYFUNCTION("""COMPUTED_VALUE"""),"RunPortfolio")</f>
        <v>RunPortfolio</v>
      </c>
      <c r="I4" s="24" t="str">
        <f>IFERROR(__xludf.DUMMYFUNCTION("""COMPUTED_VALUE"""),"MoveFile")</f>
        <v>MoveFile</v>
      </c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IFERROR(__xludf.DUMMYFUNCTION("""COMPUTED_VALUE"""),"LoginUserName")</f>
        <v>LoginUserName</v>
      </c>
      <c r="C5" s="27" t="str">
        <f>IFERROR(__xludf.DUMMYFUNCTION("""COMPUTED_VALUE"""),"LoginPassword")</f>
        <v>LoginPassword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27</v>
      </c>
      <c r="C6" s="12" t="s">
        <v>28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LoginClient4!$4:$4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