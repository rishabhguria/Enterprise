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lectUnallocatedGroup" sheetId="8" r:id="rId10"/>
    <sheet state="visible" name="EnterAllocatePreference" sheetId="9" r:id="rId11"/>
    <sheet state="visible" name="GetDataAllocation" sheetId="10" r:id="rId12"/>
    <sheet state="visible" name="VerifyViewAllocationDetails" sheetId="11" r:id="rId13"/>
    <sheet state="visible" name="CreateStageOrder" sheetId="12" r:id="rId14"/>
    <sheet state="visible" name="SelectTradeOnOrderGrid" sheetId="13" r:id="rId15"/>
    <sheet state="visible" name="TradeNewSubOrder" sheetId="14" r:id="rId16"/>
    <sheet state="visible" name="CreateNewSubOrder" sheetId="15" r:id="rId17"/>
    <sheet state="visible" name="CreateNewSubOrder1" sheetId="16" r:id="rId18"/>
    <sheet state="visible" name="SelectTradeSubOrderBlotter" sheetId="17" r:id="rId19"/>
    <sheet state="visible" name="AllocateFromBlotter" sheetId="18" r:id="rId20"/>
    <sheet state="visible" name="SelectTradeSubOrderBlotter1" sheetId="19" r:id="rId21"/>
    <sheet state="visible" name="VerifySubOrder" sheetId="20" r:id="rId22"/>
  </sheets>
  <definedNames/>
  <calcPr/>
</workbook>
</file>

<file path=xl/sharedStrings.xml><?xml version="1.0" encoding="utf-8"?>
<sst xmlns="http://schemas.openxmlformats.org/spreadsheetml/2006/main" count="167" uniqueCount="45">
  <si>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</si>
  <si>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</si>
  <si>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</si>
  <si>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</si>
  <si>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</si>
  <si>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</si>
  <si>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</si>
  <si>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</si>
  <si>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</si>
  <si>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</si>
  <si>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</si>
  <si>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</si>
  <si>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</si>
  <si>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</si>
  <si>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</si>
  <si>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</si>
  <si>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</si>
  <si>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</si>
  <si>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</si>
  <si>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Allocation</t>
  </si>
  <si>
    <t>AddCalculatedPreferences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</si>
  <si>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</si>
  <si>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</si>
  <si>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</si>
  <si>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</si>
  <si>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</si>
  <si>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</si>
  <si>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SelectUnallocatedGroup</t>
  </si>
  <si>
    <t>EnterAllocatePreference</t>
  </si>
  <si>
    <t>Calculated</t>
  </si>
  <si>
    <t>GetDataAllocation</t>
  </si>
  <si>
    <t>Current</t>
  </si>
  <si>
    <t>Blotter</t>
  </si>
  <si>
    <t>VerifyViewAllocationDetails</t>
  </si>
  <si>
    <t>CreateStageOrder</t>
  </si>
  <si>
    <t>AAPL</t>
  </si>
  <si>
    <t>SelectTradeOnOrderGrid</t>
  </si>
  <si>
    <t>TradeNewSubOrder</t>
  </si>
  <si>
    <t>CreateNewSubOrder</t>
  </si>
  <si>
    <t>SelectTradeSubOrderBlotter</t>
  </si>
  <si>
    <t>Filled</t>
  </si>
  <si>
    <t>AllocateFromBlotter</t>
  </si>
  <si>
    <t>Allocation1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</si>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</sst>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1">
        <f>Today()</f>
        <v>45907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tr">
        <f>"Pref6-"&amp;text(TODAY(),"dd-mm-yy")</f>
        <v>Pref6-07-09-25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 t="str">
        <f t="shared" ref="B6:B7" si="1">"Pref6-"&amp;text(TODAY(),"dd-mm-yy")</f>
        <v>Pref6-07-09-25</v>
      </c>
      <c r="C6" s="11" t="s">
        <v>22</v>
      </c>
      <c r="D6" s="11">
        <v>60.0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tr">
        <f t="shared" si="1"/>
        <v>Pref6-07-09-25</v>
      </c>
      <c r="C7" s="11" t="s">
        <v>23</v>
      </c>
      <c r="D7" s="11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25</v>
      </c>
      <c r="C6" s="8"/>
      <c r="D6" s="11" t="s">
        <v>26</v>
      </c>
      <c r="E6" s="8"/>
      <c r="F6" s="8"/>
      <c r="G6" s="11" t="b">
        <v>1</v>
      </c>
      <c r="H6" s="8" t="str">
        <f>"Pref6-"&amp;text(TODAY(),"dd-mm-yy")</f>
        <v>Pref6-07-09-25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29</v>
      </c>
      <c r="C6" s="8" t="str">
        <f>"Pref6-"&amp;text(TODAY(),"dd-mm-yy")</f>
        <v>Pref6-07-09-25</v>
      </c>
      <c r="D6" s="8"/>
      <c r="E6" s="11" t="b">
        <v>1</v>
      </c>
      <c r="F6" s="11" t="s">
        <v>25</v>
      </c>
      <c r="G6" s="8"/>
      <c r="H6" s="8"/>
      <c r="I6" s="8"/>
      <c r="J6" s="8"/>
      <c r="K6" s="11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22</v>
      </c>
      <c r="C6" s="11">
        <v>60.0</v>
      </c>
      <c r="D6" s="11">
        <v>60.0</v>
      </c>
      <c r="E6" s="11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>
        <v>40.0</v>
      </c>
      <c r="D7" s="11">
        <v>40.0</v>
      </c>
      <c r="E7" s="11">
        <v>400.0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VerifyViewAllocationDetails!$4:$4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11" t="s">
        <v>17</v>
      </c>
      <c r="D6" s="11">
        <v>1000.0</v>
      </c>
      <c r="E6" s="30"/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35</v>
      </c>
      <c r="E6" s="8"/>
      <c r="F6" s="11" t="s">
        <v>17</v>
      </c>
      <c r="G6" s="11"/>
      <c r="H6" s="11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200.0</v>
      </c>
      <c r="E6" s="30"/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300.0</v>
      </c>
      <c r="E6" s="30"/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17</v>
      </c>
      <c r="AK6" s="9" t="s">
        <v>40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42</v>
      </c>
      <c r="D6" s="1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17</v>
      </c>
      <c r="AK6" s="9" t="s">
        <v>40</v>
      </c>
      <c r="AL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J6" s="9" t="s">
        <v>17</v>
      </c>
      <c r="AK6" s="9" t="s">
        <v>40</v>
      </c>
      <c r="AL6" s="9">
        <v>200.0</v>
      </c>
      <c r="AQ6" s="9" t="s">
        <v>44</v>
      </c>
      <c r="AR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35</v>
      </c>
      <c r="AJ7" s="9" t="s">
        <v>17</v>
      </c>
      <c r="AK7" s="9" t="s">
        <v>40</v>
      </c>
      <c r="AL7" s="9">
        <v>300.0</v>
      </c>
      <c r="AQ7" s="9" t="s">
        <v>44</v>
      </c>
      <c r="AR7" s="9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