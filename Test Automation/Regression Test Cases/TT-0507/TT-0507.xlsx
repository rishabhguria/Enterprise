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21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20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1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SetTradingComplianceRules" sheetId="4" r:id="rId6"/>
    <sheet state="visible" name="ShowMasterFundOnTT" sheetId="5" r:id="rId7"/>
    <sheet state="visible" name="UpdateMasterFundOnTT" sheetId="6" r:id="rId8"/>
    <sheet state="visible" name="CreateDoneAwayOrder" sheetId="7" r:id="rId9"/>
    <sheet state="visible" name="PricingInput" sheetId="8" r:id="rId10"/>
    <sheet state="visible" name="CalculatePTT" sheetId="9" r:id="rId11"/>
    <sheet state="visible" name="TradePTT" sheetId="10" r:id="rId12"/>
    <sheet state="visible" name="CreateDoneAwayOrder1" sheetId="11" r:id="rId13"/>
    <sheet state="visible" name="CalculatePTT1" sheetId="12" r:id="rId14"/>
    <sheet state="visible" name="TradePTT1" sheetId="13" r:id="rId15"/>
    <sheet state="visible" name="CreateLiveOrder" sheetId="14" r:id="rId16"/>
    <sheet state="visible" name="SelectTrade" sheetId="15" r:id="rId17"/>
    <sheet state="visible" name="AcknowledgeTrade" sheetId="16" r:id="rId18"/>
    <sheet state="visible" name="ExecuteTrade" sheetId="17" r:id="rId19"/>
    <sheet state="visible" name="VerifyOrder" sheetId="18" r:id="rId20"/>
    <sheet state="visible" name="GetDataAllocation" sheetId="19" r:id="rId21"/>
    <sheet state="visible" name="CheckAllocatedGroups" sheetId="20" r:id="rId22"/>
    <sheet state="visible" name="CheckPortfolioManagement2" sheetId="21" r:id="rId23"/>
  </sheets>
  <definedNames/>
  <calcPr/>
</workbook>
</file>

<file path=xl/sharedStrings.xml><?xml version="1.0" encoding="utf-8"?>
<sst xmlns="http://schemas.openxmlformats.org/spreadsheetml/2006/main" count="285" uniqueCount="66">
  <si>
    <t>Modules Info</t>
  </si>
  <si>
    <t>Modules</t>
  </si>
  <si>
    <t>Settings</t>
  </si>
  <si>
    <t>Module Step Setting File</t>
  </si>
  <si>
    <t>1-a9RTtZFODC_0n05aHtOszVfQ5dKJ7YpSep0EGjlOR8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</si>
  <si>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</si>
  <si>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</si>
  <si>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</si>
  <si>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</si>
  <si>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</si>
  <si>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</si>
  <si>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</si>
  <si>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Admin</t>
  </si>
  <si>
    <t>SetTradingComplianceRules</t>
  </si>
  <si>
    <t>Data Format</t>
  </si>
  <si>
    <t>Input Format</t>
  </si>
  <si>
    <t>MasterFund</t>
  </si>
  <si>
    <t>Allocation</t>
  </si>
  <si>
    <t>ShowMasterFundOnTT</t>
  </si>
  <si>
    <t>TradingTicket</t>
  </si>
  <si>
    <t>UpdateMasterFundOnTT</t>
  </si>
  <si>
    <t>NewMF</t>
  </si>
  <si>
    <t>CreateDoneAwayOrder</t>
  </si>
  <si>
    <t>AAPL</t>
  </si>
  <si>
    <t>Buy</t>
  </si>
  <si>
    <t>Allocation1</t>
  </si>
  <si>
    <t>PricingInput</t>
  </si>
  <si>
    <t>PTT</t>
  </si>
  <si>
    <t>CalculatePTT</t>
  </si>
  <si>
    <t>Set</t>
  </si>
  <si>
    <t>Percentage</t>
  </si>
  <si>
    <t>No</t>
  </si>
  <si>
    <t>TradePTT</t>
  </si>
  <si>
    <t>CreateLiveOrder</t>
  </si>
  <si>
    <t>Simulator</t>
  </si>
  <si>
    <t>SelectTrade</t>
  </si>
  <si>
    <t>AcknowledgeTrade</t>
  </si>
  <si>
    <t>ExecuteTrade</t>
  </si>
  <si>
    <t>Blotter</t>
  </si>
  <si>
    <t>VerifyOrder</t>
  </si>
  <si>
    <t>NASDAQ</t>
  </si>
  <si>
    <t xml:space="preserve">jpearce </t>
  </si>
  <si>
    <t>US</t>
  </si>
  <si>
    <t>USD</t>
  </si>
  <si>
    <t>Equity</t>
  </si>
  <si>
    <t>Filled</t>
  </si>
  <si>
    <t>MS</t>
  </si>
  <si>
    <t>Market</t>
  </si>
  <si>
    <t>jpearce</t>
  </si>
  <si>
    <t>GetDataAllocation</t>
  </si>
  <si>
    <t>Current</t>
  </si>
  <si>
    <t>CheckAllocatedGroups</t>
  </si>
  <si>
    <t>Open</t>
  </si>
  <si>
    <t>M</t>
  </si>
  <si>
    <t>PortfolioManagement</t>
  </si>
  <si>
    <t>CheckPortfolioManagement</t>
  </si>
  <si>
    <t>Long</t>
  </si>
  <si>
    <t>APPLE</t>
  </si>
  <si>
    <t>FIMAT</t>
  </si>
  <si>
    <t>Strategy Unallocated</t>
  </si>
  <si>
    <t>New Hedge</t>
  </si>
  <si>
    <t>Small Cap</t>
  </si>
  <si>
    <t>Undefined</t>
  </si>
  <si>
    <t>AAPL US EQUITY</t>
  </si>
  <si>
    <t>User Defined</t>
  </si>
  <si>
    <t>Default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</si>
</sst>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####,###,###,###,##0.00#############"/>
  </numFmts>
  <fonts count="17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sz val="10.0"/>
      <color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11.0"/>
      <name val="Calibri"/>
    </font>
    <font>
      <sz val="11.0"/>
      <color rgb="FF000000"/>
      <name val="Calibri"/>
    </font>
    <font>
      <sz val="11.0"/>
      <color rgb="FF000000"/>
      <name val="Arial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9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7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7" numFmtId="0" xfId="0" applyAlignment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4" fontId="12" numFmtId="0" xfId="0" applyAlignment="1" applyFill="1" applyFont="1">
      <alignment shrinkToFit="0" wrapText="0"/>
    </xf>
    <xf borderId="0" fillId="4" fontId="13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1" numFmtId="0" xfId="0" applyFont="1"/>
    <xf borderId="0" fillId="0" fontId="3" numFmtId="0" xfId="0" applyAlignment="1" applyFont="1">
      <alignment vertical="bottom"/>
    </xf>
    <xf borderId="0" fillId="0" fontId="3" numFmtId="0" xfId="0" applyAlignment="1" applyFont="1">
      <alignment vertical="bottom"/>
    </xf>
    <xf borderId="0" fillId="0" fontId="5" numFmtId="0" xfId="0" applyAlignment="1" applyFont="1">
      <alignment horizontal="center" vertical="bottom"/>
    </xf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horizontal="center" vertical="bottom"/>
    </xf>
    <xf borderId="5" fillId="0" fontId="3" numFmtId="0" xfId="0" applyAlignment="1" applyBorder="1" applyFont="1">
      <alignment vertical="bottom"/>
    </xf>
    <xf borderId="6" fillId="0" fontId="3" numFmtId="0" xfId="0" applyAlignment="1" applyBorder="1" applyFont="1">
      <alignment vertical="bottom"/>
    </xf>
    <xf borderId="6" fillId="0" fontId="3" numFmtId="0" xfId="0" applyAlignment="1" applyBorder="1" applyFont="1">
      <alignment vertical="bottom"/>
    </xf>
    <xf borderId="6" fillId="0" fontId="5" numFmtId="0" xfId="0" applyAlignment="1" applyBorder="1" applyFont="1">
      <alignment horizontal="right" vertical="bottom"/>
    </xf>
    <xf borderId="6" fillId="0" fontId="5" numFmtId="0" xfId="0" applyAlignment="1" applyBorder="1" applyFont="1">
      <alignment horizontal="right" vertical="bottom"/>
    </xf>
    <xf borderId="0" fillId="0" fontId="3" numFmtId="0" xfId="0" applyAlignment="1" applyFont="1">
      <alignment horizontal="right" vertical="bottom"/>
    </xf>
    <xf borderId="6" fillId="0" fontId="3" numFmtId="0" xfId="0" applyAlignment="1" applyBorder="1" applyFont="1">
      <alignment horizontal="right" vertical="bottom"/>
    </xf>
    <xf borderId="0" fillId="0" fontId="5" numFmtId="0" xfId="0" applyAlignment="1" applyFont="1">
      <alignment readingOrder="0" shrinkToFit="0" wrapText="0"/>
    </xf>
    <xf borderId="0" fillId="0" fontId="3" numFmtId="3" xfId="0" applyAlignment="1" applyFont="1" applyNumberFormat="1">
      <alignment horizontal="right" vertical="bottom"/>
    </xf>
    <xf borderId="7" fillId="0" fontId="5" numFmtId="0" xfId="0" applyAlignment="1" applyBorder="1" applyFont="1">
      <alignment horizontal="right" vertical="bottom"/>
    </xf>
    <xf borderId="8" fillId="0" fontId="3" numFmtId="0" xfId="0" applyAlignment="1" applyBorder="1" applyFont="1">
      <alignment vertical="bottom"/>
    </xf>
    <xf borderId="7" fillId="0" fontId="3" numFmtId="0" xfId="0" applyAlignment="1" applyBorder="1" applyFont="1">
      <alignment vertical="bottom"/>
    </xf>
    <xf borderId="6" fillId="0" fontId="14" numFmtId="0" xfId="0" applyAlignment="1" applyBorder="1" applyFont="1">
      <alignment vertical="bottom"/>
    </xf>
    <xf borderId="6" fillId="0" fontId="14" numFmtId="164" xfId="0" applyAlignment="1" applyBorder="1" applyFont="1" applyNumberFormat="1">
      <alignment horizontal="right" vertical="bottom"/>
    </xf>
    <xf borderId="6" fillId="0" fontId="15" numFmtId="164" xfId="0" applyAlignment="1" applyBorder="1" applyFont="1" applyNumberFormat="1">
      <alignment horizontal="right" vertical="bottom"/>
    </xf>
    <xf borderId="6" fillId="0" fontId="5" numFmtId="0" xfId="0" applyAlignment="1" applyBorder="1" applyFont="1">
      <alignment vertical="bottom"/>
    </xf>
    <xf borderId="6" fillId="0" fontId="14" numFmtId="0" xfId="0" applyAlignment="1" applyBorder="1" applyFont="1">
      <alignment vertical="bottom"/>
    </xf>
    <xf borderId="0" fillId="0" fontId="14" numFmtId="164" xfId="0" applyAlignment="1" applyFont="1" applyNumberFormat="1">
      <alignment horizontal="right" vertical="bottom"/>
    </xf>
    <xf borderId="0" fillId="0" fontId="14" numFmtId="0" xfId="0" applyAlignment="1" applyFont="1">
      <alignment vertical="bottom"/>
    </xf>
    <xf borderId="0" fillId="0" fontId="15" numFmtId="164" xfId="0" applyAlignment="1" applyFont="1" applyNumberFormat="1">
      <alignment horizontal="right" vertical="bottom"/>
    </xf>
    <xf borderId="7" fillId="0" fontId="3" numFmtId="0" xfId="0" applyAlignment="1" applyBorder="1" applyFont="1">
      <alignment vertical="bottom"/>
    </xf>
    <xf borderId="8" fillId="0" fontId="14" numFmtId="0" xfId="0" applyAlignment="1" applyBorder="1" applyFont="1">
      <alignment vertical="bottom"/>
    </xf>
    <xf borderId="8" fillId="0" fontId="14" numFmtId="164" xfId="0" applyAlignment="1" applyBorder="1" applyFont="1" applyNumberFormat="1">
      <alignment horizontal="right" vertical="bottom"/>
    </xf>
    <xf borderId="8" fillId="0" fontId="15" numFmtId="164" xfId="0" applyAlignment="1" applyBorder="1" applyFont="1" applyNumberFormat="1">
      <alignment horizontal="right" vertical="bottom"/>
    </xf>
    <xf borderId="8" fillId="0" fontId="5" numFmtId="0" xfId="0" applyAlignment="1" applyBorder="1" applyFont="1">
      <alignment vertical="bottom"/>
    </xf>
    <xf borderId="0" fillId="0" fontId="15" numFmtId="0" xfId="0" applyAlignment="1" applyFont="1">
      <alignment vertical="bottom"/>
    </xf>
    <xf borderId="0" fillId="0" fontId="15" numFmtId="0" xfId="0" applyAlignment="1" applyFont="1">
      <alignment readingOrder="0" shrinkToFit="0" vertical="bottom" wrapText="0"/>
    </xf>
    <xf borderId="0" fillId="0" fontId="15" numFmtId="3" xfId="0" applyAlignment="1" applyFont="1" applyNumberFormat="1">
      <alignment horizontal="right" readingOrder="0" shrinkToFit="0" vertical="bottom" wrapText="0"/>
    </xf>
    <xf borderId="0" fillId="0" fontId="15" numFmtId="0" xfId="0" applyAlignment="1" applyFont="1">
      <alignment horizontal="right" readingOrder="0" shrinkToFit="0" vertical="bottom" wrapText="0"/>
    </xf>
    <xf borderId="6" fillId="0" fontId="16" numFmtId="0" xfId="0" applyAlignment="1" applyBorder="1" applyFont="1">
      <alignment vertical="bottom"/>
    </xf>
    <xf borderId="6" fillId="0" fontId="15" numFmtId="3" xfId="0" applyAlignment="1" applyBorder="1" applyFont="1" applyNumberFormat="1">
      <alignment horizontal="right" vertical="bottom"/>
    </xf>
    <xf borderId="6" fillId="0" fontId="15" numFmtId="0" xfId="0" applyAlignment="1" applyBorder="1" applyFont="1">
      <alignment vertical="bottom"/>
    </xf>
    <xf borderId="6" fillId="0" fontId="15" numFmtId="0" xfId="0" applyAlignment="1" applyBorder="1" applyFont="1">
      <alignment horizontal="right" vertical="bottom"/>
    </xf>
    <xf borderId="0" fillId="0" fontId="15" numFmtId="0" xfId="0" applyAlignment="1" applyFont="1">
      <alignment horizontal="right" vertical="bottom"/>
    </xf>
    <xf borderId="0" fillId="0" fontId="15" numFmtId="3" xfId="0" applyAlignment="1" applyFont="1" applyNumberFormat="1">
      <alignment horizontal="right" vertical="bottom"/>
    </xf>
    <xf borderId="0" fillId="0" fontId="15" numFmtId="0" xfId="0" applyAlignment="1" applyFont="1">
      <alignment horizontal="center" vertical="bottom"/>
    </xf>
    <xf borderId="7" fillId="0" fontId="15" numFmtId="0" xfId="0" applyAlignment="1" applyBorder="1" applyFont="1">
      <alignment horizontal="right" vertical="bottom"/>
    </xf>
    <xf borderId="0" fillId="0" fontId="16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8.xml"/><Relationship Id="rId11" Type="http://schemas.openxmlformats.org/officeDocument/2006/relationships/worksheet" Target="worksheets/sheet9.xml"/><Relationship Id="rId22" Type="http://schemas.openxmlformats.org/officeDocument/2006/relationships/worksheet" Target="worksheets/sheet20.xml"/><Relationship Id="rId10" Type="http://schemas.openxmlformats.org/officeDocument/2006/relationships/worksheet" Target="worksheets/sheet8.xml"/><Relationship Id="rId21" Type="http://schemas.openxmlformats.org/officeDocument/2006/relationships/worksheet" Target="worksheets/sheet19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23" Type="http://schemas.openxmlformats.org/officeDocument/2006/relationships/worksheet" Target="worksheets/sheet21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19" Type="http://schemas.openxmlformats.org/officeDocument/2006/relationships/worksheet" Target="worksheets/sheet17.xml"/><Relationship Id="rId6" Type="http://schemas.openxmlformats.org/officeDocument/2006/relationships/worksheet" Target="worksheets/sheet4.xml"/><Relationship Id="rId18" Type="http://schemas.openxmlformats.org/officeDocument/2006/relationships/worksheet" Target="worksheets/sheet16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1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1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1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1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1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1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1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1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1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1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1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1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1.png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1.png"/></Relationships>
</file>

<file path=xl/drawings/_rels/drawing18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1.png"/></Relationships>
</file>

<file path=xl/drawings/_rels/drawing19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1.png"/></Relationships>
</file>

<file path=xl/drawings/_rels/drawing20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1.png"/></Relationships>
</file>

<file path=xl/drawings/_rels/drawing21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IFERROR(__xludf.DUMMYFUNCTION("""COMPUTED_VALUE"""),"1dAW4zy24rTGIk36aETFXuQIiGMdIekN8xCbk-P0LmLA")</f>
        <v>1dAW4zy24rTGIk36aETFXuQIiGMdIekN8xCbk-P0LmLA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IFERROR(__xludf.DUMMYFUNCTION("""COMPUTED_VALUE"""),"17z9ihiMKD6gfUvZ9W-EjVcck7eLx5-pL1aGZINvM7DM")</f>
        <v>17z9ihiMKD6gfUvZ9W-EjVcck7eLx5-pL1aGZINvM7DM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IFERROR(__xludf.DUMMYFUNCTION("""COMPUTED_VALUE"""),"1zHzWd-dKjjhFUjGMV5t3NQvfyrdLY3UgzQqgPYz_w-M")</f>
        <v>1zHzWd-dKjjhFUjGMV5t3NQvfyrdLY3UgzQqgPYz_w-M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IFERROR(__xludf.DUMMYFUNCTION("""COMPUTED_VALUE"""),"1Od578flUHxwEJwC1Fz1DITVFvR2djQefHIh7VovYb4w")</f>
        <v>1Od578flUHxwEJwC1Fz1DITVFvR2djQefHIh7VovYb4w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IFERROR(__xludf.DUMMYFUNCTION("""COMPUTED_VALUE"""),"1UDUQRoc1aD2NzlOBbpEHizmHA_TClEqDOUqmI85UdPY")</f>
        <v>1UDUQRoc1aD2NzlOBbpEHizmHA_TClEqDOUqmI85UdPY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IFERROR(__xludf.DUMMYFUNCTION("""COMPUTED_VALUE"""),"CheckBlotter")</f>
        <v>CheckBlotter</v>
      </c>
      <c r="C12" s="4" t="str">
        <f>IFERROR(__xludf.DUMMYFUNCTION("""COMPUTED_VALUE"""),"13ZrsiZ70OIEAatRBfOiR_gV5rJ_midISjjF8v-4eL0Y")</f>
        <v>13ZrsiZ70OIEAatRBfOiR_gV5rJ_midISjjF8v-4eL0Y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IFERROR(__xludf.DUMMYFUNCTION("""COMPUTED_VALUE"""),"1tyMnWQY__e4MUR_xwPpIDDmcPGtTnjD3W3VkZKeGYzI")</f>
        <v>1tyMnWQY__e4MUR_xwPpIDDmcPGtTnjD3W3VkZKeGYzI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IFERROR(__xludf.DUMMYFUNCTION("""COMPUTED_VALUE"""),"1USUg7JbYRIA3kdfb0kw6ZMMOSpQ1ZYhS75Gao9wR5T8")</f>
        <v>1USUg7JbYRIA3kdfb0kw6ZMMOSpQ1ZYhS75Gao9wR5T8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IFERROR(__xludf.DUMMYFUNCTION("""COMPUTED_VALUE"""),"1p2p6gSqvocKogadVT8EcyD1uh3PHpJ19DpW4ijaPhxE")</f>
        <v>1p2p6gSqvocKogadVT8EcyD1uh3PHpJ19DpW4ijaPhxE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IFERROR(__xludf.DUMMYFUNCTION("""COMPUTED_VALUE"""),"19uFS9OGON_IU8FmYpPrX0mhGeWrYqRslB9hXN6_tcJw")</f>
        <v>19uFS9OGON_IU8FmYpPrX0mhGeWrYqRslB9hXN6_tcJw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IFERROR(__xludf.DUMMYFUNCTION("""COMPUTED_VALUE"""),"1-XlUXAxaC6I6StmIuxYN-EpjycpOsKaKUTf2A8ycEz8")</f>
        <v>1-XlUXAxaC6I6StmIuxYN-EpjycpOsKaKUTf2A8ycEz8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IFERROR(__xludf.DUMMYFUNCTION("""COMPUTED_VALUE"""),"1sL_WZLppCT4Ki-R3zoVfUsjrZLxQpK1e4BjriH8glWU")</f>
        <v>1sL_WZLppCT4Ki-R3zoVfUsjrZLxQpK1e4BjriH8glWU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IFERROR(__xludf.DUMMYFUNCTION("""COMPUTED_VALUE"""),"102WNNSUlKvyh3foJRyeIRNwf9zLZy3mPzlXFy3nx5eI")</f>
        <v>102WNNSUlKvyh3foJRyeIRNwf9zLZy3mPzlXFy3nx5eI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IFERROR(__xludf.DUMMYFUNCTION("""COMPUTED_VALUE"""),"1-0Em95ZN9Vt-zKWBJwpEk4-Gv9MytxdcIN56mf3XmAY")</f>
        <v>1-0Em95ZN9Vt-zKWBJwpEk4-Gv9MytxdcIN56mf3XmAY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IFERROR(__xludf.DUMMYFUNCTION("""COMPUTED_VALUE"""),"1XBVNrYsG0mscyH68ut4sRom8XHcikIuM5L2SZOnTqh8")</f>
        <v>1XBVNrYsG0mscyH68ut4sRom8XHcikIuM5L2SZOnTqh8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IFERROR(__xludf.DUMMYFUNCTION("""COMPUTED_VALUE"""),"1dVMhvhPJNkuRqzig0Yyxm9TcxCvSCxm4pGTHTUTnsRE")</f>
        <v>1dVMhvhPJNkuRqzig0Yyxm9TcxCvSCxm4pGTHTUTnsRE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IFERROR(__xludf.DUMMYFUNCTION("""COMPUTED_VALUE"""),"1VgfvPkC2fO8lxFnWeV2SJts5aU1T2aFQ0qKO0SLQUe8")</f>
        <v>1VgfvPkC2fO8lxFnWeV2SJts5aU1T2aFQ0qKO0SLQUe8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IFERROR(__xludf.DUMMYFUNCTION("""COMPUTED_VALUE"""),"1zW-ZRiE_Nva2mXz7B9Rcq8AEgDMa5eZaUAA_V2cuGso")</f>
        <v>1zW-ZRiE_Nva2mXz7B9Rcq8AEgDMa5eZaUAA_V2cuGso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IFERROR(__xludf.DUMMYFUNCTION("""COMPUTED_VALUE"""),"16RytMV8yiBXzfJCYZpll7LZktPSSGF4KWO7qf7ok8JQ")</f>
        <v>16RytMV8yiBXzfJCYZpll7LZktPSSGF4KWO7qf7ok8JQ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IFERROR(__xludf.DUMMYFUNCTION("""COMPUTED_VALUE"""),"1enXmitAcl2gpCRQiXEHfGs14iE42srrOblgmWD48ZBs")</f>
        <v>1enXmitAcl2gpCRQiXEHfGs14iE42srrOblgmWD48ZBs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IFERROR(__xludf.DUMMYFUNCTION("""COMPUTED_VALUE"""),"1C7Ks4F1TdJ8FZ6aZHjbrGn084nRfj8jEyfA5AFY5Nq0")</f>
        <v>1C7Ks4F1TdJ8FZ6aZHjbrGn084nRfj8jEyfA5AFY5Nq0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IFERROR(__xludf.DUMMYFUNCTION("""COMPUTED_VALUE"""),"1ZYl3uoCzgPXxwJvvcfCJFn-BuPdlu5gk2xFErxHot4E")</f>
        <v>1ZYl3uoCzgPXxwJvvcfCJFn-BuPdlu5gk2xFErxHot4E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IFERROR(__xludf.DUMMYFUNCTION("""COMPUTED_VALUE"""),"1Vq83gkZMMI1Nno_if1flIxv0iKrih-ths4OzYTya63g")</f>
        <v>1Vq83gkZMMI1Nno_if1flIxv0iKrih-ths4OzYTya63g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IFERROR(__xludf.DUMMYFUNCTION("""COMPUTED_VALUE"""),"1PvJslce4o2d-qEGhOJrynvXMJkt18ljCw9Pu5raIKXY")</f>
        <v>1PvJslce4o2d-qEGhOJrynvXMJkt18ljCw9Pu5raIKXY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IFERROR(__xludf.DUMMYFUNCTION("""COMPUTED_VALUE"""),"1MWj-Ewd_04hjbFCDp4jovmv42JdTVXl3OPLl_2Xl8YM")</f>
        <v>1MWj-Ewd_04hjbFCDp4jovmv42JdTVXl3OPLl_2Xl8YM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IFERROR(__xludf.DUMMYFUNCTION("""COMPUTED_VALUE"""),"14QSrtmSo-hnXcnllkpyGNjEuADSVYEG-iEsa8-G5EZw")</f>
        <v>14QSrtmSo-hnXcnllkpyGNjEuADSVYEG-iEsa8-G5EZw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IFERROR(__xludf.DUMMYFUNCTION("""COMPUTED_VALUE"""),"1Cgo4_M28Dd3NnKk4ASpCKTv_dvi6I8bjSSceZyVjX9A")</f>
        <v>1Cgo4_M28Dd3NnKk4ASpCKTv_dvi6I8bjSSceZyVjX9A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IFERROR(__xludf.DUMMYFUNCTION("""COMPUTED_VALUE"""),"1nGpwtxrIFtmReUhGpIilT0MevcyxkX19n4HnGhdnzYE")</f>
        <v>1nGpwtxrIFtmReUhGpIilT0MevcyxkX19n4HnGhdnzYE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IFERROR(__xludf.DUMMYFUNCTION("""COMPUTED_VALUE"""),"1Kg0g4qJialeFYzLCU4TTV0I5NyaTDDmAlGxn3x6T-ok")</f>
        <v>1Kg0g4qJialeFYzLCU4TTV0I5NyaTDDmAlGxn3x6T-ok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IFERROR(__xludf.DUMMYFUNCTION("""COMPUTED_VALUE"""),"1_Go4Nh_j8RGdlKm_DDwyvOgfOr3AwhBuVa9rA-AUAOw")</f>
        <v>1_Go4Nh_j8RGdlKm_DDwyvOgfOr3AwhBuVa9rA-AUAOw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IFERROR(__xludf.DUMMYFUNCTION("""COMPUTED_VALUE"""),"1054Dp-OxM1p-rZnzzSqh-SqQkpD8Z_OWXg3CfFdqy7M")</f>
        <v>1054Dp-OxM1p-rZnzzSqh-SqQkpD8Z_OWXg3CfFdqy7M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IFERROR(__xludf.DUMMYFUNCTION("""COMPUTED_VALUE"""),"1uWQj54UjFWhgsLL9n5pavuSkyyDXc2Vcn7SoBgryi3o")</f>
        <v>1uWQj54UjFWhgsLL9n5pavuSkyyDXc2Vcn7SoBgryi3o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IFERROR(__xludf.DUMMYFUNCTION("""COMPUTED_VALUE"""),"1QaI6E-t-jX8GKJ5JGoQ4u9mtVMyU1Cn0CKimTSyR5q4")</f>
        <v>1QaI6E-t-jX8GKJ5JGoQ4u9mtVMyU1Cn0CKimTSyR5q4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IFERROR(__xludf.DUMMYFUNCTION("""COMPUTED_VALUE"""),"11J2CyS04tBp4uY6TcAPw3JIrDRfa-LbGSO4t2uHxwps")</f>
        <v>11J2CyS04tBp4uY6TcAPw3JIrDRfa-LbGSO4t2uHxwps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IFERROR(__xludf.DUMMYFUNCTION("""COMPUTED_VALUE"""),"1M_vWwbJmnVHSZCn_aXTbhje_gX1wR7qPtpIVUwfXXEI")</f>
        <v>1M_vWwbJmnVHSZCn_aXTbhje_gX1wR7qPtpIVUwfXXEI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IFERROR(__xludf.DUMMYFUNCTION("""COMPUTED_VALUE"""),"1vFZ64ryr2VFLcElyXorjcKwwOhZ8tjDhryLIAHy27bE")</f>
        <v>1vFZ64ryr2VFLcElyXorjcKwwOhZ8tjDhryLIAHy27bE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IFERROR(__xludf.DUMMYFUNCTION("""COMPUTED_VALUE"""),"1L3gN238YfNhME2oXANYOxsDqCsLD4ZEHIlA5Jsb6m6c")</f>
        <v>1L3gN238YfNhME2oXANYOxsDqCsLD4ZEHIlA5Jsb6m6c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IFERROR(__xludf.DUMMYFUNCTION("""COMPUTED_VALUE"""),"1pKHneTUFUr5WXMe4F-VBAmct-wXnePCUdmBXuOqeVuw")</f>
        <v>1pKHneTUFUr5WXMe4F-VBAmct-wXnePCUdmBXuOqeVuw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IFERROR(__xludf.DUMMYFUNCTION("""COMPUTED_VALUE"""),"1WzU1RiZXL_7t6r0dcR0WnXz71am7fUsr-wU3kjWCtaE")</f>
        <v>1WzU1RiZXL_7t6r0dcR0WnXz71am7fUsr-wU3kjWCtaE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IFERROR(__xludf.DUMMYFUNCTION("""COMPUTED_VALUE"""),"1RIHUYWPMKXGpnAsp4Jz6Em30T64FYyR5TIgIkrla3yU")</f>
        <v>1RIHUYWPMKXGpnAsp4Jz6Em30T64FYyR5TIgIkrla3yU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IFERROR(__xludf.DUMMYFUNCTION("""COMPUTED_VALUE"""),"1Q3CvcJTXAvTE2mBIvHOTKjxVj65x69-r_2DX4vvEdI8")</f>
        <v>1Q3CvcJTXAvTE2mBIvHOTKjxVj65x69-r_2DX4vvEdI8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IFERROR(__xludf.DUMMYFUNCTION("""COMPUTED_VALUE"""),"1wNuNwZOJqtA-8mRJL9Ia6-naXg3bSmEyC3qYtF3Zb6k")</f>
        <v>1wNuNwZOJqtA-8mRJL9Ia6-naXg3bSmEyC3qYtF3Zb6k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IFERROR(__xludf.DUMMYFUNCTION("""COMPUTED_VALUE"""),"1v2TwlXYUVTAW9403xEXtZUKOP9DAhnmCSHAEgc6AVaI")</f>
        <v>1v2TwlXYUVTAW9403xEXtZUKOP9DAhnmCSHAEgc6AVaI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IFERROR(__xludf.DUMMYFUNCTION("""COMPUTED_VALUE"""),"1N-zYKtF75gyqLL5P02km4hZ7Jkr0uNE2IK0AoWpxdB4")</f>
        <v>1N-zYKtF75gyqLL5P02km4hZ7Jkr0uNE2IK0AoWpxdB4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IFERROR(__xludf.DUMMYFUNCTION("""COMPUTED_VALUE"""),"Split")</f>
        <v>Split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IFERROR(__xludf.DUMMYFUNCTION("""COMPUTED_VALUE"""),"CorporateAction")</f>
        <v>CorporateAction</v>
      </c>
      <c r="B57" t="str">
        <f>IFERROR(__xludf.DUMMYFUNCTION("""COMPUTED_VALUE"""),"StockDividend")</f>
        <v>StockDividend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IFERROR(__xludf.DUMMYFUNCTION("""COMPUTED_VALUE"""),"TradingTicket")</f>
        <v>TradingTicket</v>
      </c>
      <c r="B58" t="str">
        <f>IFERROR(__xludf.DUMMYFUNCTION("""COMPUTED_VALUE"""),"EnterDetailsOnTT")</f>
        <v>EnterDetailsOnTT</v>
      </c>
      <c r="C58" t="str">
        <f>IFERROR(__xludf.DUMMYFUNCTION("""COMPUTED_VALUE"""),"1USUFnv2khq0UbjkrPU_zQJSuYXrvmItX38YEDm8i76M")</f>
        <v>1USUFnv2khq0UbjkrPU_zQJSuYXrvmItX38YEDm8i76M</v>
      </c>
    </row>
    <row r="59" ht="15.75" customHeight="1">
      <c r="A59" t="str">
        <f>IFERROR(__xludf.DUMMYFUNCTION("""COMPUTED_VALUE"""),"DailyValuation")</f>
        <v>DailyValuation</v>
      </c>
      <c r="B59" t="str">
        <f>IFERROR(__xludf.DUMMYFUNCTION("""COMPUTED_VALUE"""),"CleanUp")</f>
        <v>CleanUp</v>
      </c>
      <c r="C59" t="str">
        <f>IFERROR(__xludf.DUMMYFUNCTION("""COMPUTED_VALUE"""),"Undefined")</f>
        <v>Undefined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IFERROR(__xludf.DUMMYFUNCTION("""COMPUTED_VALUE"""),"EditUnallocatedGroupSidePanel")</f>
        <v>EditUnallocatedGroupSidePanel</v>
      </c>
      <c r="C60" t="str">
        <f>IFERROR(__xludf.DUMMYFUNCTION("""COMPUTED_VALUE"""),"1yQCR9Blg-BWAFR5rejoQ3Xot5kTqa1YSrepP8yRI0no")</f>
        <v>1yQCR9Blg-BWAFR5rejoQ3Xot5kTqa1YSrepP8yRI0no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IFERROR(__xludf.DUMMYFUNCTION("""COMPUTED_VALUE"""),"TradeAttributeBulkChange")</f>
        <v>TradeAttributeBulkChange</v>
      </c>
      <c r="C61" t="str">
        <f>IFERROR(__xludf.DUMMYFUNCTION("""COMPUTED_VALUE"""),"1xR2U77hDGoYiG9UJiadlkCtex4CRP3XdEHpNVb6-_DU")</f>
        <v>1xR2U77hDGoYiG9UJiadlkCtex4CRP3XdEHpNVb6-_DU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IFERROR(__xludf.DUMMYFUNCTION("""COMPUTED_VALUE"""),"ApplyBulkUpdateOnGroups")</f>
        <v>ApplyBulkUpdateOnGroups</v>
      </c>
      <c r="C62" t="str">
        <f>IFERROR(__xludf.DUMMYFUNCTION("""COMPUTED_VALUE"""),"1H1EToJE2qBCDCNT5pO7WcuJ0iHV1kDkWlUcEtahS-t0")</f>
        <v>1H1EToJE2qBCDCNT5pO7WcuJ0iHV1kDkWlUcEtahS-t0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IFERROR(__xludf.DUMMYFUNCTION("""COMPUTED_VALUE"""),"ApplyPrefetchFilters")</f>
        <v>ApplyPrefetchFilters</v>
      </c>
      <c r="C63" t="str">
        <f>IFERROR(__xludf.DUMMYFUNCTION("""COMPUTED_VALUE"""),"1Yd3RGZzNaXytrUWlc8Ri6Dz4jB5W5r3-aLLpT8fi0WQ")</f>
        <v>1Yd3RGZzNaXytrUWlc8Ri6Dz4jB5W5r3-aLLpT8fi0WQ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IFERROR(__xludf.DUMMYFUNCTION("""COMPUTED_VALUE"""),"GeneralPreferencesDefaultRule")</f>
        <v>GeneralPreferencesDefaultRule</v>
      </c>
      <c r="C64" t="str">
        <f>IFERROR(__xludf.DUMMYFUNCTION("""COMPUTED_VALUE"""),"1NdBqiHIw-u9pqZMPVlcNKatJPe7upqebG7W2y5rMqzE")</f>
        <v>1NdBqiHIw-u9pqZMPVlcNKatJPe7upqebG7W2y5rMqzE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IFERROR(__xludf.DUMMYFUNCTION("""COMPUTED_VALUE"""),"GeneralPrefCompanyUserWise")</f>
        <v>GeneralPrefCompanyUserWise</v>
      </c>
      <c r="C65" t="str">
        <f>IFERROR(__xludf.DUMMYFUNCTION("""COMPUTED_VALUE"""),"1_lJmD986KGGdVst_lNkOtnFwiUJJsqL0-r0ZnsgbBOY")</f>
        <v>1_lJmD986KGGdVst_lNkOtnFwiUJJsqL0-r0ZnsgbBOY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IFERROR(__xludf.DUMMYFUNCTION("""COMPUTED_VALUE"""),"RenameTradeAttributes")</f>
        <v>RenameTradeAttributes</v>
      </c>
      <c r="C66" t="str">
        <f>IFERROR(__xludf.DUMMYFUNCTION("""COMPUTED_VALUE"""),"1pMOWszVmrlGDHYTadcb5_EUVP8T4vk6pLOP4_kFCagw")</f>
        <v>1pMOWszVmrlGDHYTadcb5_EUVP8T4vk6pLOP4_kFCagw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IFERROR(__xludf.DUMMYFUNCTION("""COMPUTED_VALUE"""),"SetGroupingRules")</f>
        <v>SetGroupingRules</v>
      </c>
      <c r="C67" t="str">
        <f>IFERROR(__xludf.DUMMYFUNCTION("""COMPUTED_VALUE"""),"1QLeyqVSjQtcuPzU9zlGJg_H8l4QWFjACqX99YM-g82I")</f>
        <v>1QLeyqVSjQtcuPzU9zlGJg_H8l4QWFjACqX99YM-g82I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IFERROR(__xludf.DUMMYFUNCTION("""COMPUTED_VALUE"""),"SetMasterFundRatio")</f>
        <v>SetMasterFundRatio</v>
      </c>
      <c r="C68" t="str">
        <f>IFERROR(__xludf.DUMMYFUNCTION("""COMPUTED_VALUE"""),"1gdeUgF-J2HwokdWex9YmjHD4Ccg50-NZB7E8YkmPtOo")</f>
        <v>1gdeUgF-J2HwokdWex9YmjHD4Ccg50-NZB7E8YkmPtOo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IFERROR(__xludf.DUMMYFUNCTION("""COMPUTED_VALUE"""),"CheckFixedPreference")</f>
        <v>CheckFixedPreference</v>
      </c>
      <c r="C69" t="str">
        <f>IFERROR(__xludf.DUMMYFUNCTION("""COMPUTED_VALUE"""),"1Zu2Bi3EmtHPhjLwCDeJ29XaN2qT3Qxabh7bCJWu7PTI")</f>
        <v>1Zu2Bi3EmtHPhjLwCDeJ29XaN2qT3Qxabh7bCJWu7PTI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IFERROR(__xludf.DUMMYFUNCTION("""COMPUTED_VALUE"""),"GetFixedPreference")</f>
        <v>GetFixedPreference</v>
      </c>
      <c r="C70" t="str">
        <f>IFERROR(__xludf.DUMMYFUNCTION("""COMPUTED_VALUE"""),"1ODsvxjkKKhh0dGDsE_DQyuSMdpx2X9J4089o-Dt1a9A")</f>
        <v>1ODsvxjkKKhh0dGDsE_DQyuSMdpx2X9J4089o-Dt1a9A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IFERROR(__xludf.DUMMYFUNCTION("""COMPUTED_VALUE"""),"AddCalculatedPreferences")</f>
        <v>AddCalculatedPreferences</v>
      </c>
      <c r="C71" t="str">
        <f>IFERROR(__xludf.DUMMYFUNCTION("""COMPUTED_VALUE"""),"1faXJF5y2ZVHmLsgikwmvDB-Jtq_rGbNG6zlAUDzRBtA")</f>
        <v>1faXJF5y2ZVHmLsgikwmvDB-Jtq_rGbNG6zlAUDzRBtA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IFERROR(__xludf.DUMMYFUNCTION("""COMPUTED_VALUE"""),"BulkChangeCalculatedPreferences")</f>
        <v>BulkChangeCalculatedPreferences</v>
      </c>
      <c r="C72" t="str">
        <f>IFERROR(__xludf.DUMMYFUNCTION("""COMPUTED_VALUE"""),"1llt7_DP_NqeceNLLJIKbcJarV5Lqj6ALOHCKOuJmGjk")</f>
        <v>1llt7_DP_NqeceNLLJIKbcJarV5Lqj6ALOHCKOuJmGjk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IFERROR(__xludf.DUMMYFUNCTION("""COMPUTED_VALUE"""),"DeleteCalculatedPreferences")</f>
        <v>DeleteCalculatedPreferences</v>
      </c>
      <c r="C73" t="str">
        <f>IFERROR(__xludf.DUMMYFUNCTION("""COMPUTED_VALUE"""),"1fNu6gI_y_85KD4O0jSI66dgRQwcPPJheWBdLlHvTGFg")</f>
        <v>1fNu6gI_y_85KD4O0jSI66dgRQwcPPJheWBdLlHvTGFg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IFERROR(__xludf.DUMMYFUNCTION("""COMPUTED_VALUE"""),"RenameCalculatedPreferences")</f>
        <v>RenameCalculatedPreferences</v>
      </c>
      <c r="C74" t="str">
        <f>IFERROR(__xludf.DUMMYFUNCTION("""COMPUTED_VALUE"""),"1YxoMrdMTEXgWpPXHs7vTOHT3Df0ifrbC19UEqshVQfI")</f>
        <v>1YxoMrdMTEXgWpPXHs7vTOHT3Df0ifrbC19UEqshVQfI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IFERROR(__xludf.DUMMYFUNCTION("""COMPUTED_VALUE"""),"CopyCalculatedPreferences")</f>
        <v>CopyCalculatedPreferences</v>
      </c>
      <c r="C75" t="str">
        <f>IFERROR(__xludf.DUMMYFUNCTION("""COMPUTED_VALUE"""),"1l2YY8Mzn32EgaMbMJhhzT2XMWHmURG-s0Zu8Olt_3fU")</f>
        <v>1l2YY8Mzn32EgaMbMJhhzT2XMWHmURG-s0Zu8Olt_3fU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IFERROR(__xludf.DUMMYFUNCTION("""COMPUTED_VALUE"""),"RunAutoGroup")</f>
        <v>RunAutoGroup</v>
      </c>
      <c r="C76" t="str">
        <f>IFERROR(__xludf.DUMMYFUNCTION("""COMPUTED_VALUE"""),"12vKN0G7oN8cWEJ4AlpsbQhg1ZjcvZZ4xGj4U--I5G90")</f>
        <v>12vKN0G7oN8cWEJ4AlpsbQhg1ZjcvZZ4xGj4U--I5G90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IFERROR(__xludf.DUMMYFUNCTION("""COMPUTED_VALUE"""),"BookOrUpdateSwap")</f>
        <v>BookOrUpdateSwap</v>
      </c>
      <c r="C77" t="str">
        <f>IFERROR(__xludf.DUMMYFUNCTION("""COMPUTED_VALUE"""),"1kAt3Mgmw5tT6toTdnsGHKVMKAVf3hEh5XynY25StseE")</f>
        <v>1kAt3Mgmw5tT6toTdnsGHKVMKAVf3hEh5XynY25StseE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IFERROR(__xludf.DUMMYFUNCTION("""COMPUTED_VALUE"""),"RunProrata")</f>
        <v>RunProrata</v>
      </c>
      <c r="C78" t="str">
        <f>IFERROR(__xludf.DUMMYFUNCTION("""COMPUTED_VALUE"""),"16DnLu_yRMpQd_JaFe_TkLYqrruNMkt7YlE7TbZhNq1k")</f>
        <v>16DnLu_yRMpQd_JaFe_TkLYqrruNMkt7YlE7TbZhNq1k</v>
      </c>
    </row>
    <row r="79" ht="15.75" customHeight="1">
      <c r="A79" t="str">
        <f>IFERROR(__xludf.DUMMYFUNCTION("""COMPUTED_VALUE"""),"Allocation")</f>
        <v>Allocation</v>
      </c>
      <c r="B79" t="str">
        <f>IFERROR(__xludf.DUMMYFUNCTION("""COMPUTED_VALUE"""),"SetDefaultRuleCalculatedPref")</f>
        <v>SetDefaultRuleCalculatedPref</v>
      </c>
      <c r="C79" t="str">
        <f>IFERROR(__xludf.DUMMYFUNCTION("""COMPUTED_VALUE"""),"10JstdZ0oAMKlf3YcIFD3LEy3lSUVJZ88BP-uXbM_37M")</f>
        <v>10JstdZ0oAMKlf3YcIFD3LEy3lSUVJZ88BP-uXbM_37M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IFERROR(__xludf.DUMMYFUNCTION("""COMPUTED_VALUE"""),"SetTTUIPreferences")</f>
        <v>SetTTUIPreferences</v>
      </c>
      <c r="C80" t="str">
        <f>IFERROR(__xludf.DUMMYFUNCTION("""COMPUTED_VALUE"""),"10lnSWIZEIkkrpKRGZSTZZ3CJwUT2e_wja-kp_hFbqgs")</f>
        <v>10lnSWIZEIkkrpKRGZSTZZ3CJwUT2e_wja-kp_hFbqgs</v>
      </c>
    </row>
    <row r="81" ht="15.75" customHeight="1">
      <c r="A81" t="str">
        <f>IFERROR(__xludf.DUMMYFUNCTION("""COMPUTED_VALUE"""),"Admin")</f>
        <v>Admin</v>
      </c>
      <c r="B81" t="str">
        <f>IFERROR(__xludf.DUMMYFUNCTION("""COMPUTED_VALUE"""),"TTPermissionLevel")</f>
        <v>TTPermissionLevel</v>
      </c>
      <c r="C81" t="str">
        <f>IFERROR(__xludf.DUMMYFUNCTION("""COMPUTED_VALUE"""),"10v0BJe2YKjTEVcglnAbRuMYRHHr2FY-iAfdpmMRzRiE")</f>
        <v>10v0BJe2YKjTEVcglnAbRuMYRHHr2FY-iAfdpmMRzRiE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IFERROR(__xludf.DUMMYFUNCTION("""COMPUTED_VALUE"""),"ValidateSymbolTT")</f>
        <v>ValidateSymbolTT</v>
      </c>
      <c r="C82" t="str">
        <f>IFERROR(__xludf.DUMMYFUNCTION("""COMPUTED_VALUE"""),"1isIZCSjuRGxfoo8ExjjNDs0TzIIeZIsHSnQvqmaDKQI")</f>
        <v>1isIZCSjuRGxfoo8ExjjNDs0TzIIeZIsHSnQvqmaDKQI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IFERROR(__xludf.DUMMYFUNCTION("""COMPUTED_VALUE"""),"VerifyDataTT")</f>
        <v>VerifyDataTT</v>
      </c>
      <c r="C83" t="str">
        <f>IFERROR(__xludf.DUMMYFUNCTION("""COMPUTED_VALUE"""),"Undefined")</f>
        <v>Undefined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IFERROR(__xludf.DUMMYFUNCTION("""COMPUTED_VALUE"""),"SetUIPreferencesTT")</f>
        <v>SetUIPreferencesTT</v>
      </c>
      <c r="C84" t="str">
        <f>IFERROR(__xludf.DUMMYFUNCTION("""COMPUTED_VALUE"""),"1on24Xx1A89RTEZQ936dDTQItTDtvLOJ0q7jxDMXximg")</f>
        <v>1on24Xx1A89RTEZQ936dDTQItTDtvLOJ0q7jxDMXximg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IFERROR(__xludf.DUMMYFUNCTION("""COMPUTED_VALUE"""),"SetBrokerWisePreferencesTT")</f>
        <v>SetBrokerWisePreferencesTT</v>
      </c>
      <c r="C85" t="str">
        <f>IFERROR(__xludf.DUMMYFUNCTION("""COMPUTED_VALUE"""),"1oazHOMbdZzIFqt9RWTRPe_FI8r-VEbDEKFhRoyrF_ZI")</f>
        <v>1oazHOMbdZzIFqt9RWTRPe_FI8r-VEbDEKFhRoyrF_ZI</v>
      </c>
    </row>
    <row r="86" ht="15.75" customHeight="1">
      <c r="A86" t="str">
        <f>IFERROR(__xludf.DUMMYFUNCTION("""COMPUTED_VALUE"""),"TradingTicket")</f>
        <v>TradingTicket</v>
      </c>
      <c r="B86" t="str">
        <f>IFERROR(__xludf.DUMMYFUNCTION("""COMPUTED_VALUE"""),"VerifyComplianceOrder")</f>
        <v>VerifyComplianceOrder</v>
      </c>
      <c r="C86" t="str">
        <f>IFERROR(__xludf.DUMMYFUNCTION("""COMPUTED_VALUE"""),"1C1ihxuii7UtcJWaOpuhmq2xNZfrmJtCRgTQInc4VfTM")</f>
        <v>1C1ihxuii7UtcJWaOpuhmq2xNZfrmJtCRgTQInc4VfTM</v>
      </c>
    </row>
    <row r="87" ht="15.75" customHeight="1">
      <c r="A87" t="str">
        <f>IFERROR(__xludf.DUMMYFUNCTION("""COMPUTED_VALUE"""),"Blotter")</f>
        <v>Blotter</v>
      </c>
      <c r="B87" t="str">
        <f>IFERROR(__xludf.DUMMYFUNCTION("""COMPUTED_VALUE"""),"BlotterFunctionalities")</f>
        <v>BlotterFunctionalities</v>
      </c>
      <c r="C87" t="str">
        <f>IFERROR(__xludf.DUMMYFUNCTION("""COMPUTED_VALUE"""),"1NTjIJzn83A5UVkjxsSH3LnmJ5c7qV5uOQs8vtIWCRLg")</f>
        <v>1NTjIJzn83A5UVkjxsSH3LnmJ5c7qV5uOQs8vtIWCRLg</v>
      </c>
    </row>
    <row r="88" ht="15.75" customHeight="1">
      <c r="A88" t="str">
        <f>IFERROR(__xludf.DUMMYFUNCTION("""COMPUTED_VALUE"""),"TradingTicket")</f>
        <v>TradingTicket</v>
      </c>
      <c r="B88" t="str">
        <f>IFERROR(__xludf.DUMMYFUNCTION("""COMPUTED_VALUE"""),"TradeNewSub")</f>
        <v>TradeNewSub</v>
      </c>
      <c r="C88" t="str">
        <f>IFERROR(__xludf.DUMMYFUNCTION("""COMPUTED_VALUE"""),"1zKwPhUWsQiJuXW-5M_TapYbtIUsySxSnBvlnGGYS6Ak")</f>
        <v>1zKwPhUWsQiJuXW-5M_TapYbtIUsySxSnBvlnGGYS6Ak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IFERROR(__xludf.DUMMYFUNCTION("""COMPUTED_VALUE"""),"GetTradingTransaction")</f>
        <v>GetTradingTransaction</v>
      </c>
      <c r="C89" t="str">
        <f>IFERROR(__xludf.DUMMYFUNCTION("""COMPUTED_VALUE"""),"1kv8v1CbDlw931gEvlCVeiXqmEc9l3QCI_MwkOELS2qw")</f>
        <v>1kv8v1CbDlw931gEvlCVeiXqmEc9l3QCI_MwkOELS2qw</v>
      </c>
    </row>
    <row r="90" ht="15.75" customHeight="1">
      <c r="A90" t="str">
        <f>IFERROR(__xludf.DUMMYFUNCTION("""COMPUTED_VALUE"""),"GeneralLedger")</f>
        <v>GeneralLedger</v>
      </c>
      <c r="B90" t="str">
        <f>IFERROR(__xludf.DUMMYFUNCTION("""COMPUTED_VALUE"""),"GetActivityData")</f>
        <v>GetActivityData</v>
      </c>
      <c r="C90" t="str">
        <f>IFERROR(__xludf.DUMMYFUNCTION("""COMPUTED_VALUE"""),"1gC0fGcg2kDadwcHwX4w3_k5mEk9qKGCjBN44zKok6kw")</f>
        <v>1gC0fGcg2kDadwcHwX4w3_k5mEk9qKGCjBN44zKok6kw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IFERROR(__xludf.DUMMYFUNCTION("""COMPUTED_VALUE"""),"SetAccountValueCalculatedPref")</f>
        <v>SetAccountValueCalculatedPref</v>
      </c>
      <c r="C91" t="str">
        <f>IFERROR(__xludf.DUMMYFUNCTION("""COMPUTED_VALUE"""),"1szyA-wnQxJNDjKp5TPI-uk3EJyLpMX2K0QEQn9jfQ7U")</f>
        <v>1szyA-wnQxJNDjKp5TPI-uk3EJyLpMX2K0QEQn9jfQ7U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IFERROR(__xludf.DUMMYFUNCTION("""COMPUTED_VALUE"""),"TradeAttributeBulkChangeGroups")</f>
        <v>TradeAttributeBulkChangeGroups</v>
      </c>
      <c r="C92" t="str">
        <f>IFERROR(__xludf.DUMMYFUNCTION("""COMPUTED_VALUE"""),"1OIjDCM6TnKKQSDlidlK0dxEESXLKiqUJwn0hQQ_tBgg")</f>
        <v>1OIjDCM6TnKKQSDlidlK0dxEESXLKiqUJwn0hQQ_tBgg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IFERROR(__xludf.DUMMYFUNCTION("""COMPUTED_VALUE"""),"TradeAttributeBulkChangeTaxlots")</f>
        <v>TradeAttributeBulkChangeTaxlots</v>
      </c>
      <c r="C93" t="str">
        <f>IFERROR(__xludf.DUMMYFUNCTION("""COMPUTED_VALUE"""),"1-EkhvJm1K679q763Pphv6jCkS338lkjK1empSqlEI6g")</f>
        <v>1-EkhvJm1K679q763Pphv6jCkS338lkjK1empSqlEI6g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IFERROR(__xludf.DUMMYFUNCTION("""COMPUTED_VALUE"""),"AddCalculatedPreferenceToolbar")</f>
        <v>AddCalculatedPreferenceToolbar</v>
      </c>
      <c r="C94" t="str">
        <f>IFERROR(__xludf.DUMMYFUNCTION("""COMPUTED_VALUE"""),"1DXbBxZ56O_c_EOU2QMzew8pcePIeS9V7oBQzfHm1nrU")</f>
        <v>1DXbBxZ56O_c_EOU2QMzew8pcePIeS9V7oBQzfHm1nrU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IFERROR(__xludf.DUMMYFUNCTION("""COMPUTED_VALUE"""),"GetRevaluationData")</f>
        <v>GetRevaluationData</v>
      </c>
      <c r="C95" t="str">
        <f>IFERROR(__xludf.DUMMYFUNCTION("""COMPUTED_VALUE"""),"1_jCrLemDOFwKSZ0VodisRVJ3gJ2pYEa9vtELYDKZ7D8")</f>
        <v>1_jCrLemDOFwKSZ0VodisRVJ3gJ2pYEa9vtELYDKZ7D8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IFERROR(__xludf.DUMMYFUNCTION("""COMPUTED_VALUE"""),"SetStrategyValueCalculatedPref")</f>
        <v>SetStrategyValueCalculatedPref</v>
      </c>
      <c r="C96" t="str">
        <f>IFERROR(__xludf.DUMMYFUNCTION("""COMPUTED_VALUE"""),"16RHY1TeGLbg5aTXsB-Ui80dCjjhaTX8_mez3VOo9FEk")</f>
        <v>16RHY1TeGLbg5aTXsB-Ui80dCjjhaTX8_mez3VOo9FEk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IFERROR(__xludf.DUMMYFUNCTION("""COMPUTED_VALUE"""),"GetAccountDetails")</f>
        <v>GetAccountDetails</v>
      </c>
      <c r="C97" t="str">
        <f>IFERROR(__xludf.DUMMYFUNCTION("""COMPUTED_VALUE"""),"1TXu6gXnarAC8lKHRoBfjneR2t9URT4SQRLYj-_dv9B8")</f>
        <v>1TXu6gXnarAC8lKHRoBfjneR2t9URT4SQRLYj-_dv9B8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IFERROR(__xludf.DUMMYFUNCTION("""COMPUTED_VALUE"""),"ApplyBulkUpdateOnTaxlots")</f>
        <v>ApplyBulkUpdateOnTaxlots</v>
      </c>
      <c r="C98" t="str">
        <f>IFERROR(__xludf.DUMMYFUNCTION("""COMPUTED_VALUE"""),"1VH3caZODr9iY2kqHjoSV3FhwJni6tKZaHoFPgAW7oH0")</f>
        <v>1VH3caZODr9iY2kqHjoSV3FhwJni6tKZaHoFPgAW7oH0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IFERROR(__xludf.DUMMYFUNCTION("""COMPUTED_VALUE"""),"GetNonTradingTransaction")</f>
        <v>GetNonTradingTransaction</v>
      </c>
      <c r="C99" t="str">
        <f>IFERROR(__xludf.DUMMYFUNCTION("""COMPUTED_VALUE"""),"1WwXkdWAh3bdjgnontJiBzztlPilW0CctfCnAlV9Jtsk")</f>
        <v>1WwXkdWAh3bdjgnontJiBzztlPilW0CctfCnAlV9Jtsk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IFERROR(__xludf.DUMMYFUNCTION("""COMPUTED_VALUE"""),"CommissionBulkChangeOnGroups")</f>
        <v>CommissionBulkChangeOnGroups</v>
      </c>
      <c r="C100" t="str">
        <f>IFERROR(__xludf.DUMMYFUNCTION("""COMPUTED_VALUE"""),"1GHbxG_gmo0oAM2ECsMcvjgkbxL3HmvWhdwso0kHhxxY")</f>
        <v>1GHbxG_gmo0oAM2ECsMcvjgkbxL3HmvWhdwso0kHhxxY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IFERROR(__xludf.DUMMYFUNCTION("""COMPUTED_VALUE"""),"GetDividendData")</f>
        <v>GetDividendData</v>
      </c>
      <c r="C101" t="str">
        <f>IFERROR(__xludf.DUMMYFUNCTION("""COMPUTED_VALUE"""),"1GswznQiWvhiSC0OEO7CQehE7tAU2I_GAPgMkpYmR8HY")</f>
        <v>1GswznQiWvhiSC0OEO7CQehE7tAU2I_GAPgMkpYmR8HY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IFERROR(__xludf.DUMMYFUNCTION("""COMPUTED_VALUE"""),"CommissionBulkChangeOnTaxlots")</f>
        <v>CommissionBulkChangeOnTaxlots</v>
      </c>
      <c r="C102" t="str">
        <f>IFERROR(__xludf.DUMMYFUNCTION("""COMPUTED_VALUE"""),"1JSV--K7Q9AVdFghlAQLPvoliFST4hJcrUqb7Lm7ht_s")</f>
        <v>1JSV--K7Q9AVdFghlAQLPvoliFST4hJcrUqb7Lm7ht_s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IFERROR(__xludf.DUMMYFUNCTION("""COMPUTED_VALUE"""),"VerifyNonTradingTransaction")</f>
        <v>VerifyNonTradingTransaction</v>
      </c>
      <c r="C103" t="str">
        <f>IFERROR(__xludf.DUMMYFUNCTION("""COMPUTED_VALUE"""),"1o4SeiIVOvtilKbWLzkvKtCGRHUJvLPzFD3kWYlOTDFY")</f>
        <v>1o4SeiIVOvtilKbWLzkvKtCGRHUJvLPzFD3kWYlOTDFY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IFERROR(__xludf.DUMMYFUNCTION("""COMPUTED_VALUE"""),"SelectUnallocatedGroup")</f>
        <v>SelectUnallocatedGroup</v>
      </c>
      <c r="C104" t="str">
        <f>IFERROR(__xludf.DUMMYFUNCTION("""COMPUTED_VALUE"""),"1PykwrxeWk59EvKJjR2-bkrhi9UOWXCqXJ9LsY_QGIyg")</f>
        <v>1PykwrxeWk59EvKJjR2-bkrhi9UOWXCqXJ9LsY_QGIyg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IFERROR(__xludf.DUMMYFUNCTION("""COMPUTED_VALUE"""),"VerifyDividend")</f>
        <v>VerifyDividend</v>
      </c>
      <c r="C105" t="str">
        <f>IFERROR(__xludf.DUMMYFUNCTION("""COMPUTED_VALUE"""),"1yNATSEwdZIg22rajZvFROqYG-SMOcj0UKSuABzCcbrg")</f>
        <v>1yNATSEwdZIg22rajZvFROqYG-SMOcj0UKSuABzCcbrg</v>
      </c>
    </row>
    <row r="106" ht="15.75" customHeight="1">
      <c r="A106" t="str">
        <f>IFERROR(__xludf.DUMMYFUNCTION("""COMPUTED_VALUE"""),"Allocation")</f>
        <v>Allocation</v>
      </c>
      <c r="B106" t="str">
        <f>IFERROR(__xludf.DUMMYFUNCTION("""COMPUTED_VALUE"""),"EnterAccountValuesToAllocate")</f>
        <v>EnterAccountValuesToAllocate</v>
      </c>
      <c r="C106" t="str">
        <f>IFERROR(__xludf.DUMMYFUNCTION("""COMPUTED_VALUE"""),"1kr04YBOz0Ztah2RGYUkYH5t3_s4wso2_y_Z2nndmke4")</f>
        <v>1kr04YBOz0Ztah2RGYUkYH5t3_s4wso2_y_Z2nndmke4</v>
      </c>
    </row>
    <row r="107" ht="15.75" customHeight="1">
      <c r="A107" t="str">
        <f>IFERROR(__xludf.DUMMYFUNCTION("""COMPUTED_VALUE"""),"GeneralLedger")</f>
        <v>GeneralLedger</v>
      </c>
      <c r="B107" t="str">
        <f>IFERROR(__xludf.DUMMYFUNCTION("""COMPUTED_VALUE"""),"GetOpeningBalanceData")</f>
        <v>GetOpeningBalanceData</v>
      </c>
      <c r="C107" t="str">
        <f>IFERROR(__xludf.DUMMYFUNCTION("""COMPUTED_VALUE"""),"1GJsRSs8phBv97QiJwIDXxz__kmfV3tq2DF7jPw6Rzcc")</f>
        <v>1GJsRSs8phBv97QiJwIDXxz__kmfV3tq2DF7jPw6Rzcc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IFERROR(__xludf.DUMMYFUNCTION("""COMPUTED_VALUE"""),"EnterAllocatePreference")</f>
        <v>EnterAllocatePreference</v>
      </c>
      <c r="C108" t="str">
        <f>IFERROR(__xludf.DUMMYFUNCTION("""COMPUTED_VALUE"""),"1haSEXf6TIeQYi_1sgjBN0a8Kd0oihrY49BfLwnN7fuI")</f>
        <v>1haSEXf6TIeQYi_1sgjBN0a8Kd0oihrY49BfLwnN7fuI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IFERROR(__xludf.DUMMYFUNCTION("""COMPUTED_VALUE"""),"GetAccountBalance")</f>
        <v>GetAccountBalance</v>
      </c>
      <c r="C109" t="str">
        <f>IFERROR(__xludf.DUMMYFUNCTION("""COMPUTED_VALUE"""),"19yGJzO1TCo08wHjexzSA7gxYozh5nmBmm_h8W-7yXXE")</f>
        <v>19yGJzO1TCo08wHjexzSA7gxYozh5nmBmm_h8W-7yXXE</v>
      </c>
    </row>
    <row r="110" ht="15.75" customHeight="1">
      <c r="A110" t="str">
        <f>IFERROR(__xludf.DUMMYFUNCTION("""COMPUTED_VALUE"""),"Expnl")</f>
        <v>Expnl</v>
      </c>
      <c r="B110" t="str">
        <f>IFERROR(__xludf.DUMMYFUNCTION("""COMPUTED_VALUE"""),"RestartExpnl")</f>
        <v>RestartExpnl</v>
      </c>
      <c r="C110" t="str">
        <f>IFERROR(__xludf.DUMMYFUNCTION("""COMPUTED_VALUE"""),"1SFxd7-IZSkRF_20Dfu_Uk623wJILbNPUOwLIkgbyHyc")</f>
        <v>1SFxd7-IZSkRF_20Dfu_Uk623wJILbNPUOwLIkgbyHyc</v>
      </c>
    </row>
    <row r="111" ht="15.75" customHeight="1">
      <c r="A111" t="str">
        <f>IFERROR(__xludf.DUMMYFUNCTION("""COMPUTED_VALUE"""),"PortfolioManagement")</f>
        <v>PortfolioManagement</v>
      </c>
      <c r="B111" t="str">
        <f>IFERROR(__xludf.DUMMYFUNCTION("""COMPUTED_VALUE"""),"ClosePM")</f>
        <v>ClosePM</v>
      </c>
      <c r="C111" t="str">
        <f>IFERROR(__xludf.DUMMYFUNCTION("""COMPUTED_VALUE"""),"Undefined")</f>
        <v>Undefined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IFERROR(__xludf.DUMMYFUNCTION("""COMPUTED_VALUE"""),"EnterStrategyValuesToAllocate")</f>
        <v>EnterStrategyValuesToAllocate</v>
      </c>
      <c r="C112" t="str">
        <f>IFERROR(__xludf.DUMMYFUNCTION("""COMPUTED_VALUE"""),"1-8cEVr7pAI2wgMdL3_6tq-WORMZN8GmCtu9xIjj6j6o")</f>
        <v>1-8cEVr7pAI2wgMdL3_6tq-WORMZN8GmCtu9xIjj6j6o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IFERROR(__xludf.DUMMYFUNCTION("""COMPUTED_VALUE"""),"SelectNonTradingTransaction")</f>
        <v>SelectNonTradingTransaction</v>
      </c>
      <c r="C113" t="str">
        <f>IFERROR(__xludf.DUMMYFUNCTION("""COMPUTED_VALUE"""),"1ZZCt0lDjl7RLYD2Mntzrt8K90X_eJFTEXwVYmBpuJrI")</f>
        <v>1ZZCt0lDjl7RLYD2Mntzrt8K90X_eJFTEXwVYmBpuJrI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IFERROR(__xludf.DUMMYFUNCTION("""COMPUTED_VALUE"""),"SelectNonTradingTranItem")</f>
        <v>SelectNonTradingTranItem</v>
      </c>
      <c r="C114" t="str">
        <f>IFERROR(__xludf.DUMMYFUNCTION("""COMPUTED_VALUE"""),"16m3UbEFQhQPWPiSa_1EhmXlZxLYP_MUqbxMjHJ-ClFY")</f>
        <v>16m3UbEFQhQPWPiSa_1EhmXlZxLYP_MUqbxMjHJ-ClFY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IFERROR(__xludf.DUMMYFUNCTION("""COMPUTED_VALUE"""),"CopyCalculatedPreferenceToolbar")</f>
        <v>CopyCalculatedPreferenceToolbar</v>
      </c>
      <c r="C115" t="str">
        <f>IFERROR(__xludf.DUMMYFUNCTION("""COMPUTED_VALUE"""),"1_ToPqKQ7KBsW-Qbh_BzgjcxrmCVkWJXDYrKj7bFoT1c")</f>
        <v>1_ToPqKQ7KBsW-Qbh_BzgjcxrmCVkWJXDYrKj7bFoT1c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IFERROR(__xludf.DUMMYFUNCTION("""COMPUTED_VALUE"""),"SetGeneralRuleCalculatedPref")</f>
        <v>SetGeneralRuleCalculatedPref</v>
      </c>
      <c r="C116" t="str">
        <f>IFERROR(__xludf.DUMMYFUNCTION("""COMPUTED_VALUE"""),"1aXiFWEohqaH2_K4j0vh9e2qsSVxsknfuhcQeOE9hi3Q")</f>
        <v>1aXiFWEohqaH2_K4j0vh9e2qsSVxsknfuhcQeOE9hi3Q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IFERROR(__xludf.DUMMYFUNCTION("""COMPUTED_VALUE"""),"DeleteNonTradingTransaction")</f>
        <v>DeleteNonTradingTransaction</v>
      </c>
      <c r="C117" t="str">
        <f>IFERROR(__xludf.DUMMYFUNCTION("""COMPUTED_VALUE"""),"1EjVRXlSGmVrAZDdOicBBFp0AQRuU9J2S0sWJSK8n2YQ")</f>
        <v>1EjVRXlSGmVrAZDdOicBBFp0AQRuU9J2S0sWJSK8n2YQ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IFERROR(__xludf.DUMMYFUNCTION("""COMPUTED_VALUE"""),"DeleteNonTradingTranItem")</f>
        <v>DeleteNonTradingTranItem</v>
      </c>
      <c r="C118" t="str">
        <f>IFERROR(__xludf.DUMMYFUNCTION("""COMPUTED_VALUE"""),"17d6nTaGrtU53Ggt44z0DBtOe6BoXa-RluaNmydPewJc")</f>
        <v>17d6nTaGrtU53Ggt44z0DBtOe6BoXa-RluaNmydPewJc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IFERROR(__xludf.DUMMYFUNCTION("""COMPUTED_VALUE"""),"ExportAllCalculatedPreferences")</f>
        <v>ExportAllCalculatedPreferences</v>
      </c>
      <c r="C119" t="str">
        <f>IFERROR(__xludf.DUMMYFUNCTION("""COMPUTED_VALUE"""),"1t7n3e5xHa-zqiwDexIMbaSHvIBvZeqc9clL5rr4oU1E")</f>
        <v>1t7n3e5xHa-zqiwDexIMbaSHvIBvZeqc9clL5rr4oU1E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IFERROR(__xludf.DUMMYFUNCTION("""COMPUTED_VALUE"""),"AddNonTradingTransaction")</f>
        <v>AddNonTradingTransaction</v>
      </c>
      <c r="C120" t="str">
        <f>IFERROR(__xludf.DUMMYFUNCTION("""COMPUTED_VALUE"""),"1g_iduG9-VROpoRQbgomDMnwhDO5V1MCdoXo7B0KkCjo")</f>
        <v>1g_iduG9-VROpoRQbgomDMnwhDO5V1MCdoXo7B0KkCjo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IFERROR(__xludf.DUMMYFUNCTION("""COMPUTED_VALUE"""),"AddNonTradingTranItem")</f>
        <v>AddNonTradingTranItem</v>
      </c>
      <c r="C121" t="str">
        <f>IFERROR(__xludf.DUMMYFUNCTION("""COMPUTED_VALUE"""),"1f-by-zymlQYhK_E-j7JuCFmcrmShTNyoIRdep0I9WiQ")</f>
        <v>1f-by-zymlQYhK_E-j7JuCFmcrmShTNyoIRdep0I9WiQ</v>
      </c>
    </row>
    <row r="122" ht="15.75" customHeight="1">
      <c r="A122" t="str">
        <f>IFERROR(__xludf.DUMMYFUNCTION("""COMPUTED_VALUE"""),"Allocation")</f>
        <v>Allocation</v>
      </c>
      <c r="B122" t="str">
        <f>IFERROR(__xludf.DUMMYFUNCTION("""COMPUTED_VALUE"""),"SaveCalculatedPreferences")</f>
        <v>SaveCalculatedPreferences</v>
      </c>
      <c r="C122" t="str">
        <f>IFERROR(__xludf.DUMMYFUNCTION("""COMPUTED_VALUE"""),"Undefined")</f>
        <v>Undefined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IFERROR(__xludf.DUMMYFUNCTION("""COMPUTED_VALUE"""),"VerifyOpeningBalanceData")</f>
        <v>VerifyOpeningBalanceData</v>
      </c>
      <c r="C123" t="str">
        <f>IFERROR(__xludf.DUMMYFUNCTION("""COMPUTED_VALUE"""),"1HBHQimrc8zfoFghmOi00Kyuswkhw5t2zr8z75prYQoU")</f>
        <v>1HBHQimrc8zfoFghmOi00Kyuswkhw5t2zr8z75prYQoU</v>
      </c>
    </row>
    <row r="124" ht="15.75" customHeight="1">
      <c r="A124" t="str">
        <f>IFERROR(__xludf.DUMMYFUNCTION("""COMPUTED_VALUE"""),"GeneralLedger")</f>
        <v>GeneralLedger</v>
      </c>
      <c r="B124" t="str">
        <f>IFERROR(__xludf.DUMMYFUNCTION("""COMPUTED_VALUE"""),"SelectOpeningBalanceTransaction")</f>
        <v>SelectOpeningBalanceTransaction</v>
      </c>
      <c r="C124" t="str">
        <f>IFERROR(__xludf.DUMMYFUNCTION("""COMPUTED_VALUE"""),"1hRgqQ_8KWjDa-IhDaI4dj4DIa-LKAF0dtsLGSuRISFg")</f>
        <v>1hRgqQ_8KWjDa-IhDaI4dj4DIa-LKAF0dtsLGSuRISFg</v>
      </c>
    </row>
    <row r="125" ht="15.75" customHeight="1">
      <c r="A125" t="str">
        <f>IFERROR(__xludf.DUMMYFUNCTION("""COMPUTED_VALUE"""),"TradingTicket")</f>
        <v>TradingTicket</v>
      </c>
      <c r="B125" t="str">
        <f>IFERROR(__xludf.DUMMYFUNCTION("""COMPUTED_VALUE"""),"CreateStageOrder ")</f>
        <v>CreateStageOrder </v>
      </c>
      <c r="C125" t="str">
        <f>IFERROR(__xludf.DUMMYFUNCTION("""COMPUTED_VALUE"""),"1aKdtkgfy-qm5UkM4xEgwsIC2Y0tkkZ2nnlAt2YRyCIY")</f>
        <v>1aKdtkgfy-qm5UkM4xEgwsIC2Y0tkkZ2nnlAt2YRyCIY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IFERROR(__xludf.DUMMYFUNCTION("""COMPUTED_VALUE"""),"TransferToUserWorkingSubs")</f>
        <v>TransferToUserWorkingSubs</v>
      </c>
      <c r="C126" t="str">
        <f>IFERROR(__xludf.DUMMYFUNCTION("""COMPUTED_VALUE"""),"1kz2VbYDYVt81r6Crqstq3_e7JPi3pG646PWatn8mPqI")</f>
        <v>1kz2VbYDYVt81r6Crqstq3_e7JPi3pG646PWatn8mPqI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IFERROR(__xludf.DUMMYFUNCTION("""COMPUTED_VALUE"""),"CancelWorkingSubs")</f>
        <v>CancelWorkingSubs</v>
      </c>
      <c r="C127" t="str">
        <f>IFERROR(__xludf.DUMMYFUNCTION("""COMPUTED_VALUE"""),"1NBR38i2felKivQP6OhR7WBHM-4rxXfJzcKuENwPKRGE")</f>
        <v>1NBR38i2felKivQP6OhR7WBHM-4rxXfJzcKuENwPKRGE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IFERROR(__xludf.DUMMYFUNCTION("""COMPUTED_VALUE"""),"ReplaceWorkingSubs")</f>
        <v>ReplaceWorkingSubs</v>
      </c>
      <c r="C128" t="str">
        <f>IFERROR(__xludf.DUMMYFUNCTION("""COMPUTED_VALUE"""),"1E4shR2SnIPZbHN18xXEMyrgo70wZH3PZ7bsQcZMxqWs")</f>
        <v>1E4shR2SnIPZbHN18xXEMyrgo70wZH3PZ7bsQcZMxqWs</v>
      </c>
    </row>
    <row r="129" ht="15.75" customHeight="1">
      <c r="A129" t="str">
        <f>IFERROR(__xludf.DUMMYFUNCTION("""COMPUTED_VALUE"""),"Expnl")</f>
        <v>Expnl</v>
      </c>
      <c r="B129" t="str">
        <f>IFERROR(__xludf.DUMMYFUNCTION("""COMPUTED_VALUE"""),"UpdateExpnlConfig")</f>
        <v>UpdateExpnlConfig</v>
      </c>
      <c r="C129" t="str">
        <f>IFERROR(__xludf.DUMMYFUNCTION("""COMPUTED_VALUE"""),"1HCFewt-pwGWR5iNNmWN6uvH655SGnG39ZPt3qgn1fzA")</f>
        <v>1HCFewt-pwGWR5iNNmWN6uvH655SGnG39ZPt3qgn1fzA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IFERROR(__xludf.DUMMYFUNCTION("""COMPUTED_VALUE"""),"ViewAllocationDetailsWorkingSub")</f>
        <v>ViewAllocationDetailsWorkingSub</v>
      </c>
      <c r="C130" t="str">
        <f>IFERROR(__xludf.DUMMYFUNCTION("""COMPUTED_VALUE"""),"1RIECjeIoo9Ed5LapEOoN4zgF1bqZRnOsbWjnqXuNGVQ")</f>
        <v>1RIECjeIoo9Ed5LapEOoN4zgF1bqZRnOsbWjnqXuNGVQ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IFERROR(__xludf.DUMMYFUNCTION("""COMPUTED_VALUE"""),"SelectTradeOnOrderGrid")</f>
        <v>SelectTradeOnOrderGrid</v>
      </c>
      <c r="C131" t="str">
        <f>IFERROR(__xludf.DUMMYFUNCTION("""COMPUTED_VALUE"""),"1G1TzFJzPKFnIeFk1Ygruk-TgZ1E4OzotLzmXkrCfydo")</f>
        <v>1G1TzFJzPKFnIeFk1Ygruk-TgZ1E4OzotLzmXkrCfydo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IFERROR(__xludf.DUMMYFUNCTION("""COMPUTED_VALUE"""),"ShowDetailsForAlgoTradeSubOrder")</f>
        <v>ShowDetailsForAlgoTradeSubOrder</v>
      </c>
      <c r="C132" t="str">
        <f>IFERROR(__xludf.DUMMYFUNCTION("""COMPUTED_VALUE"""),"1cs4Fq7TTIBg-0scmlXwevni9dZWkhIRRtH8PFI0zITU")</f>
        <v>1cs4Fq7TTIBg-0scmlXwevni9dZWkhIRRtH8PFI0zITU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IFERROR(__xludf.DUMMYFUNCTION("""COMPUTED_VALUE"""),"SelectTradeOrderBlotter")</f>
        <v>SelectTradeOrderBlotter</v>
      </c>
      <c r="C133" t="str">
        <f>IFERROR(__xludf.DUMMYFUNCTION("""COMPUTED_VALUE"""),"13ynqJyBLiTSOeDNH_88Zy2459I5IbcLrArZ3KrZJcUM")</f>
        <v>13ynqJyBLiTSOeDNH_88Zy2459I5IbcLrArZ3KrZJcUM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IFERROR(__xludf.DUMMYFUNCTION("""COMPUTED_VALUE"""),"AddFillsWorkingSubs")</f>
        <v>AddFillsWorkingSubs</v>
      </c>
      <c r="C134" t="str">
        <f>IFERROR(__xludf.DUMMYFUNCTION("""COMPUTED_VALUE"""),"1QMJ1EeGqZUMPaentiXmY-qZo0nib_XUvbEJJUqCu54s")</f>
        <v>1QMJ1EeGqZUMPaentiXmY-qZo0nib_XUvbEJJUqCu54s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IFERROR(__xludf.DUMMYFUNCTION("""COMPUTED_VALUE"""),"EditAddFillsDetails")</f>
        <v>EditAddFillsDetails</v>
      </c>
      <c r="C135" t="str">
        <f>IFERROR(__xludf.DUMMYFUNCTION("""COMPUTED_VALUE"""),"1E-tAvpWCMvH1-L2VgrY-CsAMjjQbseS53lRaadteqY4")</f>
        <v>1E-tAvpWCMvH1-L2VgrY-CsAMjjQbseS53lRaadteqY4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IFERROR(__xludf.DUMMYFUNCTION("""COMPUTED_VALUE"""),"ShowDetailsForAlgoTradeWorkingSubs")</f>
        <v>ShowDetailsForAlgoTradeWorkingSubs</v>
      </c>
      <c r="C136" t="str">
        <f>IFERROR(__xludf.DUMMYFUNCTION("""COMPUTED_VALUE"""),"1MW6UTBXJ6_4nEgZhz-2VRPEBOcOGahWTNBaogUf-_90")</f>
        <v>1MW6UTBXJ6_4nEgZhz-2VRPEBOcOGahWTNBaogUf-_90</v>
      </c>
    </row>
    <row r="137" ht="15.75" customHeight="1">
      <c r="A137" t="str">
        <f>IFERROR(__xludf.DUMMYFUNCTION("""COMPUTED_VALUE"""),"Closing")</f>
        <v>Closing</v>
      </c>
      <c r="B137" t="str">
        <f>IFERROR(__xludf.DUMMYFUNCTION("""COMPUTED_VALUE"""),"SwapExpire")</f>
        <v>SwapExpire</v>
      </c>
      <c r="C137" t="str">
        <f>IFERROR(__xludf.DUMMYFUNCTION("""COMPUTED_VALUE"""),"1sPvrowwTQsK7O1mUC-eQeJJSEgA9er_TCbHzyMsToxw")</f>
        <v>1sPvrowwTQsK7O1mUC-eQeJJSEgA9er_TCbHzyMsToxw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IFERROR(__xludf.DUMMYFUNCTION("""COMPUTED_VALUE"""),"VerifyWorkingSubs")</f>
        <v>VerifyWorkingSubs</v>
      </c>
      <c r="C138" t="str">
        <f>IFERROR(__xludf.DUMMYFUNCTION("""COMPUTED_VALUE"""),"13McK_2eAGLCT-zvjQjNR2TNP5foe4OzipdCTy1LibIk")</f>
        <v>13McK_2eAGLCT-zvjQjNR2TNP5foe4OzipdCTy1LibIk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IFERROR(__xludf.DUMMYFUNCTION("""COMPUTED_VALUE"""),"TransferToUserOrder")</f>
        <v>TransferToUserOrder</v>
      </c>
      <c r="C139" t="str">
        <f>IFERROR(__xludf.DUMMYFUNCTION("""COMPUTED_VALUE"""),"11uZx-CaSQ01yGgtab77kdvBCGN1nOo3g0k8Bw5WqjZg")</f>
        <v>11uZx-CaSQ01yGgtab77kdvBCGN1nOo3g0k8Bw5WqjZg</v>
      </c>
    </row>
    <row r="140" ht="15.75" customHeight="1">
      <c r="A140" t="str">
        <f>IFERROR(__xludf.DUMMYFUNCTION("""COMPUTED_VALUE"""),"Allocation")</f>
        <v>Allocation</v>
      </c>
      <c r="B140" t="str">
        <f>IFERROR(__xludf.DUMMYFUNCTION("""COMPUTED_VALUE"""),"CloseCalculatedPreferences")</f>
        <v>CloseCalculatedPreferences</v>
      </c>
      <c r="C140" t="str">
        <f>IFERROR(__xludf.DUMMYFUNCTION("""COMPUTED_VALUE"""),"Undefined")</f>
        <v>Undefined</v>
      </c>
    </row>
    <row r="141" ht="15.75" customHeight="1">
      <c r="A141" t="str">
        <f>IFERROR(__xludf.DUMMYFUNCTION("""COMPUTED_VALUE"""),"TradingTicket")</f>
        <v>TradingTicket</v>
      </c>
      <c r="B141" t="str">
        <f>IFERROR(__xludf.DUMMYFUNCTION("""COMPUTED_VALUE"""),"CreateReplaceOrder")</f>
        <v>CreateReplaceOrder</v>
      </c>
      <c r="C141" t="str">
        <f>IFERROR(__xludf.DUMMYFUNCTION("""COMPUTED_VALUE"""),"1yur8pXg-NhCMSD11wSVwvv0Fez2TUQp9ujOOBjwd3Us")</f>
        <v>1yur8pXg-NhCMSD11wSVwvv0Fez2TUQp9ujOOBjwd3Us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IFERROR(__xludf.DUMMYFUNCTION("""COMPUTED_VALUE"""),"EditOrder")</f>
        <v>EditOrder</v>
      </c>
      <c r="C142" t="str">
        <f>IFERROR(__xludf.DUMMYFUNCTION("""COMPUTED_VALUE"""),"1lKZmmIgqPZZBJtNH48lLmgj0q9ec1_4IPwkMjm00z-8")</f>
        <v>1lKZmmIgqPZZBJtNH48lLmgj0q9ec1_4IPwkMjm00z-8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IFERROR(__xludf.DUMMYFUNCTION("""COMPUTED_VALUE"""),"SelectTradeSubOrderBlotter")</f>
        <v>SelectTradeSubOrderBlotter</v>
      </c>
      <c r="C143" t="str">
        <f>IFERROR(__xludf.DUMMYFUNCTION("""COMPUTED_VALUE"""),"19D1UAVXlfPtqeFEBJfut55kr89Eu_txYvrbwbDEzF8Y")</f>
        <v>19D1UAVXlfPtqeFEBJfut55kr89Eu_txYvrbwbDEzF8Y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IFERROR(__xludf.DUMMYFUNCTION("""COMPUTED_VALUE"""),"VerifyOrder")</f>
        <v>VerifyOrder</v>
      </c>
      <c r="C144" t="str">
        <f>IFERROR(__xludf.DUMMYFUNCTION("""COMPUTED_VALUE"""),"16vGHPpbvjKADI0ELsUMnsil9L4zXpQewyXXpGOR50e4")</f>
        <v>16vGHPpbvjKADI0ELsUMnsil9L4zXpQewyXXpGOR50e4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IFERROR(__xludf.DUMMYFUNCTION("""COMPUTED_VALUE"""),"VerifySubOrder")</f>
        <v>VerifySubOrder</v>
      </c>
      <c r="C145" t="str">
        <f>IFERROR(__xludf.DUMMYFUNCTION("""COMPUTED_VALUE"""),"1Sju_rkEX7ClHISzkl9UFKNY6k_5t_S0tdxtpZAnXpqg")</f>
        <v>1Sju_rkEX7ClHISzkl9UFKNY6k_5t_S0tdxtpZAnXpqg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IFERROR(__xludf.DUMMYFUNCTION("""COMPUTED_VALUE"""),"RemoveSelectedOrders")</f>
        <v>RemoveSelectedOrders</v>
      </c>
      <c r="C146" t="str">
        <f>IFERROR(__xludf.DUMMYFUNCTION("""COMPUTED_VALUE"""),"1hMVNdo4B8WswaauY8yqbHmt3Wx_NMRxgdB2vow1p5ag")</f>
        <v>1hMVNdo4B8WswaauY8yqbHmt3Wx_NMRxgdB2vow1p5ag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IFERROR(__xludf.DUMMYFUNCTION("""COMPUTED_VALUE"""),"CancelAllSelectedSubs")</f>
        <v>CancelAllSelectedSubs</v>
      </c>
      <c r="C147" t="str">
        <f>IFERROR(__xludf.DUMMYFUNCTION("""COMPUTED_VALUE"""),"17hK-yfN8xD8Jmg_FY__Qc7iyqgJ_SEvFr4VPoKbeMwA")</f>
        <v>17hK-yfN8xD8Jmg_FY__Qc7iyqgJ_SEvFr4VPoKbeMwA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IFERROR(__xludf.DUMMYFUNCTION("""COMPUTED_VALUE"""),"MultiTradingTicket")</f>
        <v>MultiTradingTicket</v>
      </c>
      <c r="C148" t="str">
        <f>IFERROR(__xludf.DUMMYFUNCTION("""COMPUTED_VALUE"""),"1PVfLR7ICBE01CuxIYtMmaiNL2Kh672bUXBCbt4UzQ6o")</f>
        <v>1PVfLR7ICBE01CuxIYtMmaiNL2Kh672bUXBCbt4UzQ6o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IFERROR(__xludf.DUMMYFUNCTION("""COMPUTED_VALUE"""),"AuditTrailOrderBlotter")</f>
        <v>AuditTrailOrderBlotter</v>
      </c>
      <c r="C149" t="str">
        <f>IFERROR(__xludf.DUMMYFUNCTION("""COMPUTED_VALUE"""),"160g9HJhQPDPrb5GQ9yBr07xujKJVYwd9MqM5deuYRdg")</f>
        <v>160g9HJhQPDPrb5GQ9yBr07xujKJVYwd9MqM5deuYRdg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IFERROR(__xludf.DUMMYFUNCTION("""COMPUTED_VALUE"""),"TradeNewSubOrder")</f>
        <v>TradeNewSubOrder</v>
      </c>
      <c r="C150" t="str">
        <f>IFERROR(__xludf.DUMMYFUNCTION("""COMPUTED_VALUE"""),"1Y0fnfatmthYmvzL4CE2DD2fnb5XpxasaQ-eFA8AHZZQ")</f>
        <v>1Y0fnfatmthYmvzL4CE2DD2fnb5XpxasaQ-eFA8AHZZQ</v>
      </c>
    </row>
    <row r="151" ht="15.75" customHeight="1">
      <c r="A151" t="str">
        <f>IFERROR(__xludf.DUMMYFUNCTION("""COMPUTED_VALUE"""),"Blotter")</f>
        <v>Blotter</v>
      </c>
      <c r="B151" t="str">
        <f>IFERROR(__xludf.DUMMYFUNCTION("""COMPUTED_VALUE"""),"RemoveStageOrder")</f>
        <v>RemoveStageOrder</v>
      </c>
      <c r="C151" t="str">
        <f>IFERROR(__xludf.DUMMYFUNCTION("""COMPUTED_VALUE"""),"1GpKhg0atHUhh5xpcVyJ6Pd3hJZQxWyd6a8oGGx9nPYg")</f>
        <v>1GpKhg0atHUhh5xpcVyJ6Pd3hJZQxWyd6a8oGGx9nPYg</v>
      </c>
    </row>
    <row r="152" ht="15.75" customHeight="1">
      <c r="A152" t="str">
        <f>IFERROR(__xludf.DUMMYFUNCTION("""COMPUTED_VALUE"""),"TradingTicket")</f>
        <v>TradingTicket</v>
      </c>
      <c r="B152" t="str">
        <f>IFERROR(__xludf.DUMMYFUNCTION("""COMPUTED_VALUE"""),"SetGeneralPreference")</f>
        <v>SetGeneralPreference</v>
      </c>
      <c r="C152" t="str">
        <f>IFERROR(__xludf.DUMMYFUNCTION("""COMPUTED_VALUE"""),"1phmh27oiwwsNI8gsVMqQfGGO_0r53sX6ECZYHWcovOo")</f>
        <v>1phmh27oiwwsNI8gsVMqQfGGO_0r53sX6ECZYHWcovOo</v>
      </c>
    </row>
    <row r="153" ht="15.75" customHeight="1">
      <c r="A153" t="str">
        <f>IFERROR(__xludf.DUMMYFUNCTION("""COMPUTED_VALUE"""),"Allocation")</f>
        <v>Allocation</v>
      </c>
      <c r="B153" t="str">
        <f>IFERROR(__xludf.DUMMYFUNCTION("""COMPUTED_VALUE"""),"ExportCalculatedPreference")</f>
        <v>ExportCalculatedPreference</v>
      </c>
      <c r="C153" t="str">
        <f>IFERROR(__xludf.DUMMYFUNCTION("""COMPUTED_VALUE"""),"14Z9mQRGA079RUxIVwyD7PLJFHYiOWiv2B-Al2lvfB3o")</f>
        <v>14Z9mQRGA079RUxIVwyD7PLJFHYiOWiv2B-Al2lvfB3o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IFERROR(__xludf.DUMMYFUNCTION("""COMPUTED_VALUE"""),"SelectOpeningBalanceTranItem")</f>
        <v>SelectOpeningBalanceTranItem</v>
      </c>
      <c r="C154" t="str">
        <f>IFERROR(__xludf.DUMMYFUNCTION("""COMPUTED_VALUE"""),"1hBeOAPWx6TCdJJCI4w8uFuWHTAtyZoYxMjU6EsfNFEk")</f>
        <v>1hBeOAPWx6TCdJJCI4w8uFuWHTAtyZoYxMjU6EsfNFEk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IFERROR(__xludf.DUMMYFUNCTION("""COMPUTED_VALUE"""),"EODTPreferences")</f>
        <v>EODTPreferences</v>
      </c>
      <c r="C155" t="str">
        <f>IFERROR(__xludf.DUMMYFUNCTION("""COMPUTED_VALUE"""),"1fFcmVLJC1pdRtoDEYUpc-7PqDqHrSB9eszanKXDSJj4")</f>
        <v>1fFcmVLJC1pdRtoDEYUpc-7PqDqHrSB9eszanKXDSJj4</v>
      </c>
    </row>
    <row r="156" ht="15.75" customHeight="1">
      <c r="A156" t="str">
        <f>IFERROR(__xludf.DUMMYFUNCTION("""COMPUTED_VALUE"""),"PricingInput")</f>
        <v>PricingInput</v>
      </c>
      <c r="B156" t="str">
        <f>IFERROR(__xludf.DUMMYFUNCTION("""COMPUTED_VALUE"""),"LiveData")</f>
        <v>LiveData</v>
      </c>
      <c r="C156" t="str">
        <f>IFERROR(__xludf.DUMMYFUNCTION("""COMPUTED_VALUE"""),"1YOGzCbzwMOUWi6IInIaMz0zG1USfIA94aG1uJB_CI08")</f>
        <v>1YOGzCbzwMOUWi6IInIaMz0zG1USfIA94aG1uJB_CI08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IFERROR(__xludf.DUMMYFUNCTION("""COMPUTED_VALUE"""),"EditNonTradingTransaction")</f>
        <v>EditNonTradingTransaction</v>
      </c>
      <c r="C157" t="str">
        <f>IFERROR(__xludf.DUMMYFUNCTION("""COMPUTED_VALUE"""),"1QNAooZZRVTav0dvHEE8XpPUSKYVTrEIX2ZnajpipHy4")</f>
        <v>1QNAooZZRVTav0dvHEE8XpPUSKYVTrEIX2ZnajpipHy4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IFERROR(__xludf.DUMMYFUNCTION("""COMPUTED_VALUE"""),"EditNonTradingTranItem")</f>
        <v>EditNonTradingTranItem</v>
      </c>
      <c r="C158" t="str">
        <f>IFERROR(__xludf.DUMMYFUNCTION("""COMPUTED_VALUE"""),"1QcdF9vMihakzH2FxKv9Cpbj_RQbRL9ekc6YNTmX1z84")</f>
        <v>1QcdF9vMihakzH2FxKv9Cpbj_RQbRL9ekc6YNTmX1z84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IFERROR(__xludf.DUMMYFUNCTION("""COMPUTED_VALUE"""),"DeleteOpeningBalanceTransaction")</f>
        <v>DeleteOpeningBalanceTransaction</v>
      </c>
      <c r="C159" t="str">
        <f>IFERROR(__xludf.DUMMYFUNCTION("""COMPUTED_VALUE"""),"1rgAbCdFrwIQMzfUdq_wtSIftaHjcPOpcYLMOv57yFm8")</f>
        <v>1rgAbCdFrwIQMzfUdq_wtSIftaHjcPOpcYLMOv57yFm8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IFERROR(__xludf.DUMMYFUNCTION("""COMPUTED_VALUE"""),"DeleteOpeningBalanceTranItem")</f>
        <v>DeleteOpeningBalanceTranItem</v>
      </c>
      <c r="C160" t="str">
        <f>IFERROR(__xludf.DUMMYFUNCTION("""COMPUTED_VALUE"""),"1c_LKV6zddYnZbIaXjB1YR41mZ4nlWwdD8Utip2o4gCE")</f>
        <v>1c_LKV6zddYnZbIaXjB1YR41mZ4nlWwdD8Utip2o4gCE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IFERROR(__xludf.DUMMYFUNCTION("""COMPUTED_VALUE"""),"ImportCalculatedPreferences")</f>
        <v>ImportCalculatedPreferences</v>
      </c>
      <c r="C161" t="str">
        <f>IFERROR(__xludf.DUMMYFUNCTION("""COMPUTED_VALUE"""),"1UBqDSoxtrz7S7kPHKAv-U3PIbDLOoqvMVk2ePCXS3JI")</f>
        <v>1UBqDSoxtrz7S7kPHKAv-U3PIbDLOoqvMVk2ePCXS3JI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IFERROR(__xludf.DUMMYFUNCTION("""COMPUTED_VALUE"""),"GetDayEndCash")</f>
        <v>GetDayEndCash</v>
      </c>
      <c r="C162" t="str">
        <f>IFERROR(__xludf.DUMMYFUNCTION("""COMPUTED_VALUE"""),"1ezlJO3ad1pj8tG7Y13sk4HHPJQqXBEeDnF4yFfqk2vE")</f>
        <v>1ezlJO3ad1pj8tG7Y13sk4HHPJQqXBEeDnF4yFfqk2vE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IFERROR(__xludf.DUMMYFUNCTION("""COMPUTED_VALUE"""),"VerifyDayEndCash")</f>
        <v>VerifyDayEndCash</v>
      </c>
      <c r="C163" t="str">
        <f>IFERROR(__xludf.DUMMYFUNCTION("""COMPUTED_VALUE"""),"12Egp-BXTkbQ_7GUw6K5R9vN0h1cCWX33r9TLwUnfo74")</f>
        <v>12Egp-BXTkbQ_7GUw6K5R9vN0h1cCWX33r9TLwUnfo74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IFERROR(__xludf.DUMMYFUNCTION("""COMPUTED_VALUE"""),"OpenAuditTrailUnallocatedGroup")</f>
        <v>OpenAuditTrailUnallocatedGroup</v>
      </c>
      <c r="C164" t="str">
        <f>IFERROR(__xludf.DUMMYFUNCTION("""COMPUTED_VALUE"""),"1-L0ACZJpBrZm_Mt6lp10r-l8qiO2nDijPY7e0lp1axM")</f>
        <v>1-L0ACZJpBrZm_Mt6lp10r-l8qiO2nDijPY7e0lp1axM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IFERROR(__xludf.DUMMYFUNCTION("""COMPUTED_VALUE"""),"DeleteCalculatedPreferencesTool")</f>
        <v>DeleteCalculatedPreferencesTool</v>
      </c>
      <c r="C165" t="str">
        <f>IFERROR(__xludf.DUMMYFUNCTION("""COMPUTED_VALUE"""),"1_jVpPpMklRkZw3q0WK9yD6CZ9UKHrIwt5zxC5U9dRcg")</f>
        <v>1_jVpPpMklRkZw3q0WK9yD6CZ9UKHrIwt5zxC5U9dRcg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IFERROR(__xludf.DUMMYFUNCTION("""COMPUTED_VALUE"""),"ImportCalculatedPreferencesTool")</f>
        <v>ImportCalculatedPreferencesTool</v>
      </c>
      <c r="C166" t="str">
        <f>IFERROR(__xludf.DUMMYFUNCTION("""COMPUTED_VALUE"""),"15cvdIe75lDUXBGGMjjwC10U3pS8MfyoIe2lkeVTiz4Q")</f>
        <v>15cvdIe75lDUXBGGMjjwC10U3pS8MfyoIe2lkeVTiz4Q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IFERROR(__xludf.DUMMYFUNCTION("""COMPUTED_VALUE"""),"RunRevaluation")</f>
        <v>RunRevaluation</v>
      </c>
      <c r="C167" t="str">
        <f>IFERROR(__xludf.DUMMYFUNCTION("""COMPUTED_VALUE"""),"1CTkEDNwBtXXECS37_3g9vrTE1pbqsU-d8nKU-xj6BH8")</f>
        <v>1CTkEDNwBtXXECS37_3g9vrTE1pbqsU-d8nKU-xj6BH8</v>
      </c>
    </row>
    <row r="168" ht="15.75" customHeight="1">
      <c r="A168" t="str">
        <f>IFERROR(__xludf.DUMMYFUNCTION("""COMPUTED_VALUE"""),"GeneralLedger")</f>
        <v>GeneralLedger</v>
      </c>
      <c r="B168" t="str">
        <f>IFERROR(__xludf.DUMMYFUNCTION("""COMPUTED_VALUE"""),"CalculateDayEndCash")</f>
        <v>CalculateDayEndCash</v>
      </c>
      <c r="C168" t="str">
        <f>IFERROR(__xludf.DUMMYFUNCTION("""COMPUTED_VALUE"""),"Undefined")</f>
        <v>Undefined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IFERROR(__xludf.DUMMYFUNCTION("""COMPUTED_VALUE"""),"ExportAllCalculatedPreferTool")</f>
        <v>ExportAllCalculatedPreferTool</v>
      </c>
      <c r="C169" t="str">
        <f>IFERROR(__xludf.DUMMYFUNCTION("""COMPUTED_VALUE"""),"19sktX0w4yHgQ6O1tvExgZzeUqcWIZA12C1zB18Be3Eg")</f>
        <v>19sktX0w4yHgQ6O1tvExgZzeUqcWIZA12C1zB18Be3Eg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IFERROR(__xludf.DUMMYFUNCTION("""COMPUTED_VALUE"""),"OpenAuditTrailAllocatedGroup")</f>
        <v>OpenAuditTrailAllocatedGroup</v>
      </c>
      <c r="C170" t="str">
        <f>IFERROR(__xludf.DUMMYFUNCTION("""COMPUTED_VALUE"""),"1tY0ONne4e_DLk01CP3Yr8PFqkHW7CN5Tcrdg_aTfyIc")</f>
        <v>1tY0ONne4e_DLk01CP3Yr8PFqkHW7CN5Tcrdg_aTfyIc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IFERROR(__xludf.DUMMYFUNCTION("""COMPUTED_VALUE"""),"OpenSymbolLookupUnallocateGroup")</f>
        <v>OpenSymbolLookupUnallocateGroup</v>
      </c>
      <c r="C171" t="str">
        <f>IFERROR(__xludf.DUMMYFUNCTION("""COMPUTED_VALUE"""),"1VgMLGfez9GRGMaP1WjU16fe-0tqNQm6Q4avE33EcOYY")</f>
        <v>1VgMLGfez9GRGMaP1WjU16fe-0tqNQm6Q4avE33EcOYY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IFERROR(__xludf.DUMMYFUNCTION("""COMPUTED_VALUE"""),"OpenSymbolLookupAllocatedGroup")</f>
        <v>OpenSymbolLookupAllocatedGroup</v>
      </c>
      <c r="C172" t="str">
        <f>IFERROR(__xludf.DUMMYFUNCTION("""COMPUTED_VALUE"""),"1UlD88MnL7cRrdpAs0oIY4CgiqqPAt6rG1QINQRoIUk0")</f>
        <v>1UlD88MnL7cRrdpAs0oIY4CgiqqPAt6rG1QINQRoIUk0</v>
      </c>
    </row>
    <row r="173" ht="15.75" customHeight="1">
      <c r="A173" t="str">
        <f>IFERROR(__xludf.DUMMYFUNCTION("""COMPUTED_VALUE"""),"Allocation")</f>
        <v>Allocation</v>
      </c>
      <c r="B173" t="str">
        <f>IFERROR(__xludf.DUMMYFUNCTION("""COMPUTED_VALUE"""),"DeleteFixedPreference")</f>
        <v>DeleteFixedPreference</v>
      </c>
      <c r="C173" t="str">
        <f>IFERROR(__xludf.DUMMYFUNCTION("""COMPUTED_VALUE"""),"1QuxQdRwCQLhQmIE-7ojQHbkfi3GduKopw_zRf7x4Z8k")</f>
        <v>1QuxQdRwCQLhQmIE-7ojQHbkfi3GduKopw_zRf7x4Z8k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IFERROR(__xludf.DUMMYFUNCTION("""COMPUTED_VALUE"""),"TransferToUserSubOrder")</f>
        <v>TransferToUserSubOrder</v>
      </c>
      <c r="C174" t="str">
        <f>IFERROR(__xludf.DUMMYFUNCTION("""COMPUTED_VALUE"""),"1hwATfGdtmHElWfysPQ8SoqtQYGAONa4CD5KGPnZG3g0")</f>
        <v>1hwATfGdtmHElWfysPQ8SoqtQYGAONa4CD5KGPnZG3g0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IFERROR(__xludf.DUMMYFUNCTION("""COMPUTED_VALUE"""),"DetailsForAlgoTradeOrder")</f>
        <v>DetailsForAlgoTradeOrder</v>
      </c>
      <c r="C175" t="str">
        <f>IFERROR(__xludf.DUMMYFUNCTION("""COMPUTED_VALUE"""),"1hKsLv5DWOG0nEHHNeqf5DATqVyLmKGNoGDvVEIduyxo")</f>
        <v>1hKsLv5DWOG0nEHHNeqf5DATqVyLmKGNoGDvVEIduyxo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IFERROR(__xludf.DUMMYFUNCTION("""COMPUTED_VALUE"""),"AddFillsSubOrder")</f>
        <v>AddFillsSubOrder</v>
      </c>
      <c r="C176" t="str">
        <f>IFERROR(__xludf.DUMMYFUNCTION("""COMPUTED_VALUE"""),"1epH2quBNafssL7JOfzPXsTzTtJ8ZaAHSnA9uKb8qH1U")</f>
        <v>1epH2quBNafssL7JOfzPXsTzTtJ8ZaAHSnA9uKb8qH1U</v>
      </c>
    </row>
    <row r="177" ht="15.75" customHeight="1">
      <c r="A177" t="str">
        <f>IFERROR(__xludf.DUMMYFUNCTION("""COMPUTED_VALUE"""),"Blotter")</f>
        <v>Blotter</v>
      </c>
      <c r="B177" t="str">
        <f>IFERROR(__xludf.DUMMYFUNCTION("""COMPUTED_VALUE"""),"ViewAllocationDetailsSubOrder")</f>
        <v>ViewAllocationDetailsSubOrder</v>
      </c>
      <c r="C177" t="str">
        <f>IFERROR(__xludf.DUMMYFUNCTION("""COMPUTED_VALUE"""),"1WFYL2DkTFjySpR-YYRIeZl8PCVg5VN801r302PFIqUw")</f>
        <v>1WFYL2DkTFjySpR-YYRIeZl8PCVg5VN801r302PFIqUw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IFERROR(__xludf.DUMMYFUNCTION("""COMPUTED_VALUE"""),"GetCashTransaction")</f>
        <v>GetCashTransaction</v>
      </c>
      <c r="C178" t="str">
        <f>IFERROR(__xludf.DUMMYFUNCTION("""COMPUTED_VALUE"""),"1eAu5kF0FOdHgLRmmaT6htwYFnDGtrElLVJv94QOc9Jk")</f>
        <v>1eAu5kF0FOdHgLRmmaT6htwYFnDGtrElLVJv94QOc9Jk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IFERROR(__xludf.DUMMYFUNCTION("""COMPUTED_VALUE"""),"SelectCashTransaction")</f>
        <v>SelectCashTransaction</v>
      </c>
      <c r="C179" t="str">
        <f>IFERROR(__xludf.DUMMYFUNCTION("""COMPUTED_VALUE"""),"1-JkpHPUP1cA_3kQbZkuY7fNLf2ujwn0GGAXQYg9Q3cs")</f>
        <v>1-JkpHPUP1cA_3kQbZkuY7fNLf2ujwn0GGAXQYg9Q3cs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IFERROR(__xludf.DUMMYFUNCTION("""COMPUTED_VALUE"""),"DeleteCashTransaction")</f>
        <v>DeleteCashTransaction</v>
      </c>
      <c r="C180" t="str">
        <f>IFERROR(__xludf.DUMMYFUNCTION("""COMPUTED_VALUE"""),"1-FMKzKFLs35vDwOy-dMpEXAgpkacDP7IxwYnkwezVRA")</f>
        <v>1-FMKzKFLs35vDwOy-dMpEXAgpkacDP7IxwYnkwezVRA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IFERROR(__xludf.DUMMYFUNCTION("""COMPUTED_VALUE"""),"EditCashTransaction")</f>
        <v>EditCashTransaction</v>
      </c>
      <c r="C181" t="str">
        <f>IFERROR(__xludf.DUMMYFUNCTION("""COMPUTED_VALUE"""),"1G86u72qdKVcfi1M5XOrtfzhereVolhrkGxtzlcFj3FE")</f>
        <v>1G86u72qdKVcfi1M5XOrtfzhereVolhrkGxtzlcFj3FE</v>
      </c>
    </row>
    <row r="182" ht="15.75" customHeight="1">
      <c r="A182" t="str">
        <f>IFERROR(__xludf.DUMMYFUNCTION("""COMPUTED_VALUE"""),"GeneralLedger")</f>
        <v>GeneralLedger</v>
      </c>
      <c r="B182" t="str">
        <f>IFERROR(__xludf.DUMMYFUNCTION("""COMPUTED_VALUE"""),"AddCashTransaction")</f>
        <v>AddCashTransaction</v>
      </c>
      <c r="C182" t="str">
        <f>IFERROR(__xludf.DUMMYFUNCTION("""COMPUTED_VALUE"""),"1sevd52QJcsTK-3lUhpRdNjV9xdzrQQXZeLRutjI_uKk")</f>
        <v>1sevd52QJcsTK-3lUhpRdNjV9xdzrQQXZeLRutjI_uKk</v>
      </c>
    </row>
    <row r="183" ht="15.75" customHeight="1">
      <c r="A183" t="str">
        <f>IFERROR(__xludf.DUMMYFUNCTION("""COMPUTED_VALUE"""),"Allocation")</f>
        <v>Allocation</v>
      </c>
      <c r="B183" t="str">
        <f>IFERROR(__xludf.DUMMYFUNCTION("""COMPUTED_VALUE"""),"EditAllocatedGroupSidePanel")</f>
        <v>EditAllocatedGroupSidePanel</v>
      </c>
      <c r="C183" t="str">
        <f>IFERROR(__xludf.DUMMYFUNCTION("""COMPUTED_VALUE"""),"1to781E8gHDZpAklYKgq0gbqaOiSm4UKSyxrXQekG8-E")</f>
        <v>1to781E8gHDZpAklYKgq0gbqaOiSm4UKSyxrXQekG8-E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IFERROR(__xludf.DUMMYFUNCTION("""COMPUTED_VALUE"""),"GetMarkPriceData")</f>
        <v>GetMarkPriceData</v>
      </c>
      <c r="C184" t="str">
        <f>IFERROR(__xludf.DUMMYFUNCTION("""COMPUTED_VALUE"""),"1n8_HzZqruobAe_bzZUNDlFTjWWOXhYdC6XO8toLSA1U")</f>
        <v>1n8_HzZqruobAe_bzZUNDlFTjWWOXhYdC6XO8toLSA1U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IFERROR(__xludf.DUMMYFUNCTION("""COMPUTED_VALUE"""),"GetForwardPoints")</f>
        <v>GetForwardPoints</v>
      </c>
      <c r="C185" t="str">
        <f>IFERROR(__xludf.DUMMYFUNCTION("""COMPUTED_VALUE"""),"1QzfIvMI24u1alGmbfvHB8YsLQnTXbnEskdO5U_4c03M")</f>
        <v>1QzfIvMI24u1alGmbfvHB8YsLQnTXbnEskdO5U_4c03M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IFERROR(__xludf.DUMMYFUNCTION("""COMPUTED_VALUE"""),"UpdateForwardPoints")</f>
        <v>UpdateForwardPoints</v>
      </c>
      <c r="C186" t="str">
        <f>IFERROR(__xludf.DUMMYFUNCTION("""COMPUTED_VALUE"""),"13AkdqEmmE2bNXqK_D5_68u-ZCAC0NWVG5008Fv31TBY")</f>
        <v>13AkdqEmmE2bNXqK_D5_68u-ZCAC0NWVG5008Fv31TBY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IFERROR(__xludf.DUMMYFUNCTION("""COMPUTED_VALUE"""),"GetForexConversion")</f>
        <v>GetForexConversion</v>
      </c>
      <c r="C187" t="str">
        <f>IFERROR(__xludf.DUMMYFUNCTION("""COMPUTED_VALUE"""),"1-EtK3j_FyjgJHsYvldAuV4YFHX-qm1CzWPL4SKUKm_I")</f>
        <v>1-EtK3j_FyjgJHsYvldAuV4YFHX-qm1CzWPL4SKUKm_I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IFERROR(__xludf.DUMMYFUNCTION("""COMPUTED_VALUE"""),"DeleteNAV")</f>
        <v>DeleteNAV</v>
      </c>
      <c r="C188" t="str">
        <f>IFERROR(__xludf.DUMMYFUNCTION("""COMPUTED_VALUE"""),"1eh6Leacf5FhDvEUrEksk9SLUjWAOnXtHRxNauMziD4o")</f>
        <v>1eh6Leacf5FhDvEUrEksk9SLUjWAOnXtHRxNauMziD4o</v>
      </c>
    </row>
    <row r="189" ht="15.75" customHeight="1">
      <c r="A189" t="str">
        <f>IFERROR(__xludf.DUMMYFUNCTION("""COMPUTED_VALUE"""),"Allocation")</f>
        <v>Allocation</v>
      </c>
      <c r="B189" t="str">
        <f>IFERROR(__xludf.DUMMYFUNCTION("""COMPUTED_VALUE"""),"CheckUnallocatedGroups")</f>
        <v>CheckUnallocatedGroups</v>
      </c>
      <c r="C189" t="str">
        <f>IFERROR(__xludf.DUMMYFUNCTION("""COMPUTED_VALUE"""),"1TAt_QqMW8h2ttxV57It9jVYC7njvL5tOt-r4EGRYGcE")</f>
        <v>1TAt_QqMW8h2ttxV57It9jVYC7njvL5tOt-r4EGRYGcE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IFERROR(__xludf.DUMMYFUNCTION("""COMPUTED_VALUE"""),"GetDailyCash")</f>
        <v>GetDailyCash</v>
      </c>
      <c r="C190" t="str">
        <f>IFERROR(__xludf.DUMMYFUNCTION("""COMPUTED_VALUE"""),"14gid3u0_rNvP0XS5C1YIlhQOluw_ZaKzbQj6rh_Y-CY")</f>
        <v>14gid3u0_rNvP0XS5C1YIlhQOluw_ZaKzbQj6rh_Y-CY</v>
      </c>
    </row>
    <row r="191" ht="15.75" customHeight="1">
      <c r="A191" t="str">
        <f>IFERROR(__xludf.DUMMYFUNCTION("""COMPUTED_VALUE"""),"Allocation")</f>
        <v>Allocation</v>
      </c>
      <c r="B191" t="str">
        <f>IFERROR(__xludf.DUMMYFUNCTION("""COMPUTED_VALUE"""),"SetGeneralPreferences")</f>
        <v>SetGeneralPreferences</v>
      </c>
      <c r="C191" t="str">
        <f>IFERROR(__xludf.DUMMYFUNCTION("""COMPUTED_VALUE"""),"13lsUBmvcs1NBlGITGBbugtTWepJLuzLGMOMde0zoOFI")</f>
        <v>13lsUBmvcs1NBlGITGBbugtTWepJLuzLGMOMde0zoOFI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IFERROR(__xludf.DUMMYFUNCTION("""COMPUTED_VALUE"""),"GetDailyBeta")</f>
        <v>GetDailyBeta</v>
      </c>
      <c r="C192" t="str">
        <f>IFERROR(__xludf.DUMMYFUNCTION("""COMPUTED_VALUE"""),"1pQIetLHHfnLHOHDOH81rC03QLUOIpHsKO6dDH-9qgiA")</f>
        <v>1pQIetLHHfnLHOHDOH81rC03QLUOIpHsKO6dDH-9qgiA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IFERROR(__xludf.DUMMYFUNCTION("""COMPUTED_VALUE"""),"GetDailyVolatility")</f>
        <v>GetDailyVolatility</v>
      </c>
      <c r="C193" t="str">
        <f>IFERROR(__xludf.DUMMYFUNCTION("""COMPUTED_VALUE"""),"1YzjFof__EtWy8oxu5pQ4N6G7Nktkl0nyAu81BckiIHo")</f>
        <v>1YzjFof__EtWy8oxu5pQ4N6G7Nktkl0nyAu81BckiIHo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IFERROR(__xludf.DUMMYFUNCTION("""COMPUTED_VALUE"""),"GetDailyDividendYield")</f>
        <v>GetDailyDividendYield</v>
      </c>
      <c r="C194" t="str">
        <f>IFERROR(__xludf.DUMMYFUNCTION("""COMPUTED_VALUE"""),"1IT8x5br3VynepPgq_xCGQsJR0piFM3lhqTr5GTh0kyM")</f>
        <v>1IT8x5br3VynepPgq_xCGQsJR0piFM3lhqTr5GTh0kyM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IFERROR(__xludf.DUMMYFUNCTION("""COMPUTED_VALUE"""),"GetDailyTradingVolume")</f>
        <v>GetDailyTradingVolume</v>
      </c>
      <c r="C195" t="str">
        <f>IFERROR(__xludf.DUMMYFUNCTION("""COMPUTED_VALUE"""),"1b0nK_mdsKdKSE4C04O7I8ZpvPLGjbiy-MhX9TjlXJOc")</f>
        <v>1b0nK_mdsKdKSE4C04O7I8ZpvPLGjbiy-MhX9TjlXJOc</v>
      </c>
    </row>
    <row r="196" ht="15.75" customHeight="1">
      <c r="A196" t="str">
        <f>IFERROR(__xludf.DUMMYFUNCTION("""COMPUTED_VALUE"""),"DailyValuation")</f>
        <v>DailyValuation</v>
      </c>
      <c r="B196" t="str">
        <f>IFERROR(__xludf.DUMMYFUNCTION("""COMPUTED_VALUE"""),"GetDailyOutstandings")</f>
        <v>GetDailyOutstandings</v>
      </c>
      <c r="C196" t="str">
        <f>IFERROR(__xludf.DUMMYFUNCTION("""COMPUTED_VALUE"""),"1JWIRWOskU5-ZLGBe3TJje54Hlb55btHuU3SX7Yu7WME")</f>
        <v>1JWIRWOskU5-ZLGBe3TJje54Hlb55btHuU3SX7Yu7WME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IFERROR(__xludf.DUMMYFUNCTION("""COMPUTED_VALUE"""),"GroupTrades")</f>
        <v>GroupTrades</v>
      </c>
      <c r="C197" t="str">
        <f>IFERROR(__xludf.DUMMYFUNCTION("""COMPUTED_VALUE"""),"1So5L0BXlev1p0ans29tDBJeLp2hRQnaDt7l5ChXhfes")</f>
        <v>1So5L0BXlev1p0ans29tDBJeLp2hRQnaDt7l5ChXhfes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IFERROR(__xludf.DUMMYFUNCTION("""COMPUTED_VALUE"""),"UngroupTrades")</f>
        <v>UngroupTrades</v>
      </c>
      <c r="C198" t="str">
        <f>IFERROR(__xludf.DUMMYFUNCTION("""COMPUTED_VALUE"""),"1pYOsK-haxePz_Yimf8WRvV4AA03Okf2Hys87-MH9gY8")</f>
        <v>1pYOsK-haxePz_Yimf8WRvV4AA03Okf2Hys87-MH9gY8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IFERROR(__xludf.DUMMYFUNCTION("""COMPUTED_VALUE"""),"DeleteGroup")</f>
        <v>DeleteGroup</v>
      </c>
      <c r="C199" t="str">
        <f>IFERROR(__xludf.DUMMYFUNCTION("""COMPUTED_VALUE"""),"1GB2HOSoXy5_fXzB6PWrRFuaVq7s_N92V1nsnnHizRIc")</f>
        <v>1GB2HOSoXy5_fXzB6PWrRFuaVq7s_N92V1nsnnHizRIc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IFERROR(__xludf.DUMMYFUNCTION("""COMPUTED_VALUE"""),"CloseOrder")</f>
        <v>CloseOrder</v>
      </c>
      <c r="C200" t="str">
        <f>IFERROR(__xludf.DUMMYFUNCTION("""COMPUTED_VALUE"""),"1hQS_ZIe0f-YDXYnVZH0axct7qbeGC9dZ8jS8WCF4z7Q")</f>
        <v>1hQS_ZIe0f-YDXYnVZH0axct7qbeGC9dZ8jS8WCF4z7Q</v>
      </c>
    </row>
    <row r="201" ht="15.75" customHeight="1">
      <c r="A201" t="str">
        <f>IFERROR(__xludf.DUMMYFUNCTION("""COMPUTED_VALUE"""),"Allocation")</f>
        <v>Allocation</v>
      </c>
      <c r="B201" t="str">
        <f>IFERROR(__xludf.DUMMYFUNCTION("""COMPUTED_VALUE"""),"Unallocate")</f>
        <v>Unallocate</v>
      </c>
      <c r="C201" t="str">
        <f>IFERROR(__xludf.DUMMYFUNCTION("""COMPUTED_VALUE"""),"1t4kPkbjkNXIe4MARfTMRmNFGo_pNUbSH11y89_kdYv8")</f>
        <v>1t4kPkbjkNXIe4MARfTMRmNFGo_pNUbSH11y89_kdYv8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IFERROR(__xludf.DUMMYFUNCTION("""COMPUTED_VALUE"""),"GetDailyDelta")</f>
        <v>GetDailyDelta</v>
      </c>
      <c r="C202" t="str">
        <f>IFERROR(__xludf.DUMMYFUNCTION("""COMPUTED_VALUE"""),"1EWopTT0IuOzHKc-T4uQJSGDc_PdR7QnTb3XX-tcRY_w")</f>
        <v>1EWopTT0IuOzHKc-T4uQJSGDc_PdR7QnTb3XX-tcRY_w</v>
      </c>
    </row>
    <row r="203" ht="15.75" customHeight="1">
      <c r="A203" t="str">
        <f>IFERROR(__xludf.DUMMYFUNCTION("""COMPUTED_VALUE"""),"DailyValuation")</f>
        <v>DailyValuation</v>
      </c>
      <c r="B203" t="str">
        <f>IFERROR(__xludf.DUMMYFUNCTION("""COMPUTED_VALUE"""),"UpdateDailyVolatility")</f>
        <v>UpdateDailyVolatility</v>
      </c>
      <c r="C203" t="str">
        <f>IFERROR(__xludf.DUMMYFUNCTION("""COMPUTED_VALUE"""),"1iA4AMqVk2SrSflatQ2iNOBpgxijhht1Fnx5gjinTpNE")</f>
        <v>1iA4AMqVk2SrSflatQ2iNOBpgxijhht1Fnx5gjinTpNE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IFERROR(__xludf.DUMMYFUNCTION("""COMPUTED_VALUE"""),"AddOpeningBalanceTransaction")</f>
        <v>AddOpeningBalanceTransaction</v>
      </c>
      <c r="C204" t="str">
        <f>IFERROR(__xludf.DUMMYFUNCTION("""COMPUTED_VALUE"""),"1aYOUexiSRWPy8aTQV4LoLIAgO5vDCT827evf8qbriCw")</f>
        <v>1aYOUexiSRWPy8aTQV4LoLIAgO5vDCT827evf8qbriCw</v>
      </c>
    </row>
    <row r="205" ht="15.75" customHeight="1">
      <c r="A205" t="str">
        <f>IFERROR(__xludf.DUMMYFUNCTION("""COMPUTED_VALUE"""),"GeneralLedger")</f>
        <v>GeneralLedger</v>
      </c>
      <c r="B205" t="str">
        <f>IFERROR(__xludf.DUMMYFUNCTION("""COMPUTED_VALUE"""),"AddOpeningBalanceTranItem")</f>
        <v>AddOpeningBalanceTranItem</v>
      </c>
      <c r="C205" t="str">
        <f>IFERROR(__xludf.DUMMYFUNCTION("""COMPUTED_VALUE"""),"1Fwh_5fQ1FG6uekAkW9Onl3gExHJ4LFINEfUWhVU7RZE")</f>
        <v>1Fwh_5fQ1FG6uekAkW9Onl3gExHJ4LFINEfUWhVU7RZE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IFERROR(__xludf.DUMMYFUNCTION("""COMPUTED_VALUE"""),"CancelAllSubs")</f>
        <v>CancelAllSubs</v>
      </c>
      <c r="C206" t="str">
        <f>IFERROR(__xludf.DUMMYFUNCTION("""COMPUTED_VALUE"""),"1SFrgXfnkqGWJMgHFA_u_7p2RPeiz9bYEbsmAuNUkulo")</f>
        <v>1SFrgXfnkqGWJMgHFA_u_7p2RPeiz9bYEbsmAuNUkulo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IFERROR(__xludf.DUMMYFUNCTION("""COMPUTED_VALUE"""),"CancelSubOrder")</f>
        <v>CancelSubOrder</v>
      </c>
      <c r="C207" t="str">
        <f>IFERROR(__xludf.DUMMYFUNCTION("""COMPUTED_VALUE"""),"1HgRCOHOWDe0WdsCwOOCeifnh4CU_EMG0jYwvF1Kw5CU")</f>
        <v>1HgRCOHOWDe0WdsCwOOCeifnh4CU_EMG0jYwvF1Kw5CU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IFERROR(__xludf.DUMMYFUNCTION("""COMPUTED_VALUE"""),"EditStageOrder")</f>
        <v>EditStageOrder</v>
      </c>
      <c r="C208" t="str">
        <f>IFERROR(__xludf.DUMMYFUNCTION("""COMPUTED_VALUE"""),"1CSJwXvHLRSniyl60uT7TjQbnLpp-heMq72pgOJJ1F2c")</f>
        <v>1CSJwXvHLRSniyl60uT7TjQbnLpp-heMq72pgOJJ1F2c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IFERROR(__xludf.DUMMYFUNCTION("""COMPUTED_VALUE"""),"ReplaceSubOrder")</f>
        <v>ReplaceSubOrder</v>
      </c>
      <c r="C209" t="str">
        <f>IFERROR(__xludf.DUMMYFUNCTION("""COMPUTED_VALUE"""),"1DiMnJfL8ny_q4NkWjHDLna6eWN_b1wz9lFLXHDLAxvc")</f>
        <v>1DiMnJfL8ny_q4NkWjHDLna6eWN_b1wz9lFLXHDLAxvc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IFERROR(__xludf.DUMMYFUNCTION("""COMPUTED_VALUE"""),"SelectTradeWorkingSubsBlotter")</f>
        <v>SelectTradeWorkingSubsBlotter</v>
      </c>
      <c r="C210" t="str">
        <f>IFERROR(__xludf.DUMMYFUNCTION("""COMPUTED_VALUE"""),"1bMbn1pg_skkJ9tr1sYGLyll2RO_KUXGAY_4l0agiVqs")</f>
        <v>1bMbn1pg_skkJ9tr1sYGLyll2RO_KUXGAY_4l0agiVqs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IFERROR(__xludf.DUMMYFUNCTION("""COMPUTED_VALUE"""),"VerifyAlgoDetails")</f>
        <v>VerifyAlgoDetails</v>
      </c>
      <c r="C211" t="str">
        <f>IFERROR(__xludf.DUMMYFUNCTION("""COMPUTED_VALUE"""),"1keLoHSkjbycZTYgUKqJWjQgUdVfUhUyItu_TF_Nnepg")</f>
        <v>1keLoHSkjbycZTYgUKqJWjQgUdVfUhUyItu_TF_Nnepg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IFERROR(__xludf.DUMMYFUNCTION("""COMPUTED_VALUE"""),"VerifyTransferToUserOrder")</f>
        <v>VerifyTransferToUserOrder</v>
      </c>
      <c r="C212" t="str">
        <f>IFERROR(__xludf.DUMMYFUNCTION("""COMPUTED_VALUE"""),"1JB77pWGg3Yigh8nRXBE3j84K0MUfsHo66tZGfomxokI")</f>
        <v>1JB77pWGg3Yigh8nRXBE3j84K0MUfsHo66tZGfomxokI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IFERROR(__xludf.DUMMYFUNCTION("""COMPUTED_VALUE"""),"VerifyTransferToUserSubOdr")</f>
        <v>VerifyTransferToUserSubOdr</v>
      </c>
      <c r="C213" t="str">
        <f>IFERROR(__xludf.DUMMYFUNCTION("""COMPUTED_VALUE"""),"13i3cde69VhVWqwDeyZvG2UTR0kaaEh6xf5cAoobr5mA")</f>
        <v>13i3cde69VhVWqwDeyZvG2UTR0kaaEh6xf5cAoobr5mA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IFERROR(__xludf.DUMMYFUNCTION("""COMPUTED_VALUE"""),"VerifyTransferToUserWorkSub")</f>
        <v>VerifyTransferToUserWorkSub</v>
      </c>
      <c r="C214" t="str">
        <f>IFERROR(__xludf.DUMMYFUNCTION("""COMPUTED_VALUE"""),"1d_4UCN2TwKGLAIryatMhyDmfPFId5_idGnegTQS_lSc")</f>
        <v>1d_4UCN2TwKGLAIryatMhyDmfPFId5_idGnegTQS_lSc</v>
      </c>
    </row>
    <row r="215" ht="15.75" customHeight="1">
      <c r="A215" t="str">
        <f>IFERROR(__xludf.DUMMYFUNCTION("""COMPUTED_VALUE"""),"Blotter")</f>
        <v>Blotter</v>
      </c>
      <c r="B215" t="str">
        <f>IFERROR(__xludf.DUMMYFUNCTION("""COMPUTED_VALUE"""),"SaveLayoutOrderGrid")</f>
        <v>SaveLayoutOrderGrid</v>
      </c>
      <c r="C215" t="str">
        <f>IFERROR(__xludf.DUMMYFUNCTION("""COMPUTED_VALUE"""),"1X0u87WRgFV9nfzAoxarkRCoGrGk1JKkwWhu3-eW1lKE")</f>
        <v>1X0u87WRgFV9nfzAoxarkRCoGrGk1JKkwWhu3-eW1lKE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IFERROR(__xludf.DUMMYFUNCTION("""COMPUTED_VALUE"""),"UpdateDividendYield")</f>
        <v>UpdateDividendYield</v>
      </c>
      <c r="C216" t="str">
        <f>IFERROR(__xludf.DUMMYFUNCTION("""COMPUTED_VALUE"""),"1l5ay-Y1acsWSAUtq9YQrxfOojAfjLCblSDpkEf0NHGo")</f>
        <v>1l5ay-Y1acsWSAUtq9YQrxfOojAfjLCblSDpkEf0NHGo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IFERROR(__xludf.DUMMYFUNCTION("""COMPUTED_VALUE"""),"UpdateTradingVolume")</f>
        <v>UpdateTradingVolume</v>
      </c>
      <c r="C217" t="str">
        <f>IFERROR(__xludf.DUMMYFUNCTION("""COMPUTED_VALUE"""),"1A19wf6hpfMJmBm83N_GhvYK2Gp3K-e3JP9EJ-P576Cw")</f>
        <v>1A19wf6hpfMJmBm83N_GhvYK2Gp3K-e3JP9EJ-P576Cw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IFERROR(__xludf.DUMMYFUNCTION("""COMPUTED_VALUE"""),"UpdateDailyDelta")</f>
        <v>UpdateDailyDelta</v>
      </c>
      <c r="C218" t="str">
        <f>IFERROR(__xludf.DUMMYFUNCTION("""COMPUTED_VALUE"""),"171XsheaaYdF5gMm2y5rdioGxjl_k82Rso_opEanflJI")</f>
        <v>171XsheaaYdF5gMm2y5rdioGxjl_k82Rso_opEanflJI</v>
      </c>
    </row>
    <row r="219" ht="15.75" customHeight="1">
      <c r="A219" t="str">
        <f>IFERROR(__xludf.DUMMYFUNCTION("""COMPUTED_VALUE"""),"DailyValuation")</f>
        <v>DailyValuation</v>
      </c>
      <c r="B219" t="str">
        <f>IFERROR(__xludf.DUMMYFUNCTION("""COMPUTED_VALUE"""),"UpdateDailyOutstandings")</f>
        <v>UpdateDailyOutstandings</v>
      </c>
      <c r="C219" t="str">
        <f>IFERROR(__xludf.DUMMYFUNCTION("""COMPUTED_VALUE"""),"1RX-Gap2zvagmEtgtn-yaOAByX7d1Wf9B5UxxxwHnBG0")</f>
        <v>1RX-Gap2zvagmEtgtn-yaOAByX7d1Wf9B5UxxxwHnBG0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IFERROR(__xludf.DUMMYFUNCTION("""COMPUTED_VALUE"""),"GetDataClosing")</f>
        <v>GetDataClosing</v>
      </c>
      <c r="C220" t="str">
        <f>IFERROR(__xludf.DUMMYFUNCTION("""COMPUTED_VALUE"""),"1zpj_umDuj1-o0Qnjy4AhkiZErr6BrbbzovL3thm9fjU")</f>
        <v>1zpj_umDuj1-o0Qnjy4AhkiZErr6BrbbzovL3thm9fjU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IFERROR(__xludf.DUMMYFUNCTION("""COMPUTED_VALUE"""),"ManualClosing")</f>
        <v>ManualClosing</v>
      </c>
      <c r="C221" t="str">
        <f>IFERROR(__xludf.DUMMYFUNCTION("""COMPUTED_VALUE"""),"1leJHZuhOWWw5Ahg0-DWVH5mHJ2YJlmZqRGOyALE7i9o")</f>
        <v>1leJHZuhOWWw5Ahg0-DWVH5mHJ2YJlmZqRGOyALE7i9o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IFERROR(__xludf.DUMMYFUNCTION("""COMPUTED_VALUE"""),"AutomaticClosing")</f>
        <v>AutomaticClosing</v>
      </c>
      <c r="C222" t="str">
        <f>IFERROR(__xludf.DUMMYFUNCTION("""COMPUTED_VALUE"""),"1WIQF7IwpSf3Cn5ovCdMQfdfxSkfCZCzVTpL_YVpEAnE")</f>
        <v>1WIQF7IwpSf3Cn5ovCdMQfdfxSkfCZCzVTpL_YVpEAnE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IFERROR(__xludf.DUMMYFUNCTION("""COMPUTED_VALUE"""),"UnwindClosing")</f>
        <v>UnwindClosing</v>
      </c>
      <c r="C223" t="str">
        <f>IFERROR(__xludf.DUMMYFUNCTION("""COMPUTED_VALUE"""),"1TGfoXbvH7XnRrtTbygxQiP_CGCUiD-kpaKBT1GGlJ5k")</f>
        <v>1TGfoXbvH7XnRrtTbygxQiP_CGCUiD-kpaKBT1GGlJ5k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IFERROR(__xludf.DUMMYFUNCTION("""COMPUTED_VALUE"""),"VerifyClosedTrades")</f>
        <v>VerifyClosedTrades</v>
      </c>
      <c r="C224" t="str">
        <f>IFERROR(__xludf.DUMMYFUNCTION("""COMPUTED_VALUE"""),"1-5-WK8gbrZ5gYJUTrxBke3x1Jgr3YYQdxyXVQBo6G84")</f>
        <v>1-5-WK8gbrZ5gYJUTrxBke3x1Jgr3YYQdxyXVQBo6G84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IFERROR(__xludf.DUMMYFUNCTION("""COMPUTED_VALUE"""),"VerifyLongPositionsGrid")</f>
        <v>VerifyLongPositionsGrid</v>
      </c>
      <c r="C225" t="str">
        <f>IFERROR(__xludf.DUMMYFUNCTION("""COMPUTED_VALUE"""),"1ttg9BWnk78DQDv-O4l-GQH4z2KLYqF-8x1YFxtmb2dM")</f>
        <v>1ttg9BWnk78DQDv-O4l-GQH4z2KLYqF-8x1YFxtmb2dM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IFERROR(__xludf.DUMMYFUNCTION("""COMPUTED_VALUE"""),"VerifyShortPositionsGrid")</f>
        <v>VerifyShortPositionsGrid</v>
      </c>
      <c r="C226" t="str">
        <f>IFERROR(__xludf.DUMMYFUNCTION("""COMPUTED_VALUE"""),"1iqnH235Ns1i-v1Te0t9y-s3gqhy30uGvGHdSxw9OuJc")</f>
        <v>1iqnH235Ns1i-v1Te0t9y-s3gqhy30uGvGHdSxw9OuJc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IFERROR(__xludf.DUMMYFUNCTION("""COMPUTED_VALUE"""),"SelectTradeUnexpiredUnsettled")</f>
        <v>SelectTradeUnexpiredUnsettled</v>
      </c>
      <c r="C227" t="str">
        <f>IFERROR(__xludf.DUMMYFUNCTION("""COMPUTED_VALUE"""),"1-lMv6JDKIjGiOD4yxxSfJBqD3PQjTk0_DqLFKliK-P4")</f>
        <v>1-lMv6JDKIjGiOD4yxxSfJBqD3PQjTk0_DqLFKliK-P4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IFERROR(__xludf.DUMMYFUNCTION("""COMPUTED_VALUE"""),"CashSettlementAtCost")</f>
        <v>CashSettlementAtCost</v>
      </c>
      <c r="C228" t="str">
        <f>IFERROR(__xludf.DUMMYFUNCTION("""COMPUTED_VALUE"""),"1WJrc9c47Pmk5qY7KMztGApsKlRbZNjVqNy90oWT9k5s")</f>
        <v>1WJrc9c47Pmk5qY7KMztGApsKlRbZNjVqNy90oWT9k5s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IFERROR(__xludf.DUMMYFUNCTION("""COMPUTED_VALUE"""),"CashSettlementAtZeroPrice")</f>
        <v>CashSettlementAtZeroPrice</v>
      </c>
      <c r="C229" t="str">
        <f>IFERROR(__xludf.DUMMYFUNCTION("""COMPUTED_VALUE"""),"17MNUtvIrTvTqiCtkjA9whCS3pSEmYiyq2dCpRNDR-Jw")</f>
        <v>17MNUtvIrTvTqiCtkjA9whCS3pSEmYiyq2dCpRNDR-Jw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IFERROR(__xludf.DUMMYFUNCTION("""COMPUTED_VALUE"""),"CashSettlementAtClosingDtSpotPx")</f>
        <v>CashSettlementAtClosingDtSpotPx</v>
      </c>
      <c r="C230" t="str">
        <f>IFERROR(__xludf.DUMMYFUNCTION("""COMPUTED_VALUE"""),"1C9uStqgFfWCHQzP5yX3EX8U5hkThVJiIrdTCvZ26BMc")</f>
        <v>1C9uStqgFfWCHQzP5yX3EX8U5hkThVJiIrdTCvZ26BMc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IFERROR(__xludf.DUMMYFUNCTION("""COMPUTED_VALUE"""),"PhysicalSettlement")</f>
        <v>PhysicalSettlement</v>
      </c>
      <c r="C231" t="str">
        <f>IFERROR(__xludf.DUMMYFUNCTION("""COMPUTED_VALUE"""),"1wSzKcpaAo_qIGXZhh7cr2aEMjgI5lIRo4Mhvhwq2qeY")</f>
        <v>1wSzKcpaAo_qIGXZhh7cr2aEMjgI5lIRo4Mhvhwq2qeY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IFERROR(__xludf.DUMMYFUNCTION("""COMPUTED_VALUE"""),"Expire")</f>
        <v>Expire</v>
      </c>
      <c r="C232" t="str">
        <f>IFERROR(__xludf.DUMMYFUNCTION("""COMPUTED_VALUE"""),"1Ip_8IOwz9bqljSD-feOp_lKkuwUz0ojb0L1ZfJB16Qk")</f>
        <v>1Ip_8IOwz9bqljSD-feOp_lKkuwUz0ojb0L1ZfJB16Qk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IFERROR(__xludf.DUMMYFUNCTION("""COMPUTED_VALUE"""),"ExerciseAssignment")</f>
        <v>ExerciseAssignment</v>
      </c>
      <c r="C233" t="str">
        <f>IFERROR(__xludf.DUMMYFUNCTION("""COMPUTED_VALUE"""),"1wtRdFxIJps7V6dCVpAiuURu6otnywpC22qYcCc8mcRo")</f>
        <v>1wtRdFxIJps7V6dCVpAiuURu6otnywpC22qYcCc8mcRo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IFERROR(__xludf.DUMMYFUNCTION("""COMPUTED_VALUE"""),"ExerciseAssignmentAtZero")</f>
        <v>ExerciseAssignmentAtZero</v>
      </c>
      <c r="C234" t="str">
        <f>IFERROR(__xludf.DUMMYFUNCTION("""COMPUTED_VALUE"""),"1RDhYUjIX5mcXvife-2a1DhS9e9_nAdKKNtIS723weSU")</f>
        <v>1RDhYUjIX5mcXvife-2a1DhS9e9_nAdKKNtIS723weSU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IFERROR(__xludf.DUMMYFUNCTION("""COMPUTED_VALUE"""),"SwapExpireAndRollover")</f>
        <v>SwapExpireAndRollover</v>
      </c>
      <c r="C235" t="str">
        <f>IFERROR(__xludf.DUMMYFUNCTION("""COMPUTED_VALUE"""),"12ERQgX7aAMiLB-7a8IQzGZT9zRJ3hxpnM1dEsBpvoTs")</f>
        <v>12ERQgX7aAMiLB-7a8IQzGZT9zRJ3hxpnM1dEsBpvoTs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IFERROR(__xludf.DUMMYFUNCTION("""COMPUTED_VALUE"""),"SwapExpire")</f>
        <v>SwapExpire</v>
      </c>
      <c r="C236" t="str">
        <f>IFERROR(__xludf.DUMMYFUNCTION("""COMPUTED_VALUE"""),"1sPvrowwTQsK7O1mUC-eQeJJSEgA9er_TCbHzyMsToxw")</f>
        <v>1sPvrowwTQsK7O1mUC-eQeJJSEgA9er_TCbHzyMsToxw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IFERROR(__xludf.DUMMYFUNCTION("""COMPUTED_VALUE"""),"VerifyExpiredSettledGrid")</f>
        <v>VerifyExpiredSettledGrid</v>
      </c>
      <c r="C237" t="str">
        <f>IFERROR(__xludf.DUMMYFUNCTION("""COMPUTED_VALUE"""),"10Zg67pbgVBxMXLfS0tb0CvJl6d4CddHzic_azwXCniM")</f>
        <v>10Zg67pbgVBxMXLfS0tb0CvJl6d4CddHzic_azwXCniM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IFERROR(__xludf.DUMMYFUNCTION("""COMPUTED_VALUE"""),"VerifyUnExpiredUnSettledGrid")</f>
        <v>VerifyUnExpiredUnSettledGrid</v>
      </c>
      <c r="C238" t="str">
        <f>IFERROR(__xludf.DUMMYFUNCTION("""COMPUTED_VALUE"""),"1rF_yrG82eLBZe-adfgdXilcZYJ6oludm1T8aoBS5c5o")</f>
        <v>1rF_yrG82eLBZe-adfgdXilcZYJ6oludm1T8aoBS5c5o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IFERROR(__xludf.DUMMYFUNCTION("""COMPUTED_VALUE"""),"UnWindTradeSettlement")</f>
        <v>UnWindTradeSettlement</v>
      </c>
      <c r="C239" t="str">
        <f>IFERROR(__xludf.DUMMYFUNCTION("""COMPUTED_VALUE"""),"1pGpjjND8zdK0CvWzT85s06ej72BcB2NDC7Q-WabwmKU")</f>
        <v>1pGpjjND8zdK0CvWzT85s06ej72BcB2NDC7Q-WabwmKU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IFERROR(__xludf.DUMMYFUNCTION("""COMPUTED_VALUE"""),"CloseOrder")</f>
        <v>CloseOrder</v>
      </c>
      <c r="C240" t="str">
        <f>IFERROR(__xludf.DUMMYFUNCTION("""COMPUTED_VALUE"""),"1vv9Kfv9KKSGeFLVF5gLJ02Q1tKJ5c9IHvX-Ou2CFpq4")</f>
        <v>1vv9Kfv9KKSGeFLVF5gLJ02Q1tKJ5c9IHvX-Ou2CFpq4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IFERROR(__xludf.DUMMYFUNCTION("""COMPUTED_VALUE"""),"VerifyCloseOrder")</f>
        <v>VerifyCloseOrder</v>
      </c>
      <c r="C241" t="str">
        <f>IFERROR(__xludf.DUMMYFUNCTION("""COMPUTED_VALUE"""),"1aKet1Md_J6wogUHMdNxyLsRKxYDsQAami-K_3W_9QtQ")</f>
        <v>1aKet1Md_J6wogUHMdNxyLsRKxYDsQAami-K_3W_9QtQ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IFERROR(__xludf.DUMMYFUNCTION("""COMPUTED_VALUE"""),"UnWindCloseOrder")</f>
        <v>UnWindCloseOrder</v>
      </c>
      <c r="C242" t="str">
        <f>IFERROR(__xludf.DUMMYFUNCTION("""COMPUTED_VALUE"""),"1fGQY5n6Q7p59RUxuwZzrcdNms0UeLdsR3hCGQmHSORY")</f>
        <v>1fGQY5n6Q7p59RUxuwZzrcdNms0UeLdsR3hCGQmHSORY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IFERROR(__xludf.DUMMYFUNCTION("""COMPUTED_VALUE"""),"ClosingCleanUp")</f>
        <v>ClosingCleanUp</v>
      </c>
      <c r="C243" t="str">
        <f>IFERROR(__xludf.DUMMYFUNCTION("""COMPUTED_VALUE"""),"1atfrQHjBlCKqTMcOEgTGeCL-hYY6nKtN80Uz1petdC4")</f>
        <v>1atfrQHjBlCKqTMcOEgTGeCL-hYY6nKtN80Uz1petdC4</v>
      </c>
    </row>
    <row r="244" ht="15.75" customHeight="1">
      <c r="A244" t="str">
        <f>IFERROR(__xludf.DUMMYFUNCTION("""COMPUTED_VALUE"""),"Closing")</f>
        <v>Closing</v>
      </c>
      <c r="B244" t="str">
        <f>IFERROR(__xludf.DUMMYFUNCTION("""COMPUTED_VALUE"""),"CloseClosingUI")</f>
        <v>CloseClosingUI</v>
      </c>
      <c r="C244" t="str">
        <f>IFERROR(__xludf.DUMMYFUNCTION("""COMPUTED_VALUE"""),"1Fwftdx7FZtRacGg7lr02b8ReR-9wM2S7uuooFC2sxiM")</f>
        <v>1Fwftdx7FZtRacGg7lr02b8ReR-9wM2S7uuooFC2sxiM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IFERROR(__xludf.DUMMYFUNCTION("""COMPUTED_VALUE"""),"GetDailyCalculationsData")</f>
        <v>GetDailyCalculationsData</v>
      </c>
      <c r="C245" t="str">
        <f>IFERROR(__xludf.DUMMYFUNCTION("""COMPUTED_VALUE"""),"1GUy-RbvdREdP9isWFulTF3xqzCn4AWr0RvL_r4boFmE")</f>
        <v>1GUy-RbvdREdP9isWFulTF3xqzCn4AWr0RvL_r4boFmE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IFERROR(__xludf.DUMMYFUNCTION("""COMPUTED_VALUE"""),"CalculateDailyCalculations")</f>
        <v>CalculateDailyCalculations</v>
      </c>
      <c r="C246" t="str">
        <f>IFERROR(__xludf.DUMMYFUNCTION("""COMPUTED_VALUE"""),"Undefined")</f>
        <v>Undefined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IFERROR(__xludf.DUMMYFUNCTION("""COMPUTED_VALUE"""),"EditOpeningBalanceTransaction")</f>
        <v>EditOpeningBalanceTransaction</v>
      </c>
      <c r="C247" t="str">
        <f>IFERROR(__xludf.DUMMYFUNCTION("""COMPUTED_VALUE"""),"1xA6dyBc4R1EBoqW6kY2Dti984vRAuD-5PxoFrgVMPA8")</f>
        <v>1xA6dyBc4R1EBoqW6kY2Dti984vRAuD-5PxoFrgVMPA8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IFERROR(__xludf.DUMMYFUNCTION("""COMPUTED_VALUE"""),"EditOpeningBalanceTranItem")</f>
        <v>EditOpeningBalanceTranItem</v>
      </c>
      <c r="C248" t="str">
        <f>IFERROR(__xludf.DUMMYFUNCTION("""COMPUTED_VALUE"""),"18j5l_WQ5Vfj90uB1s_BQ179tKwHv_Lf1wexmG7TnYu0")</f>
        <v>18j5l_WQ5Vfj90uB1s_BQ179tKwHv_Lf1wexmG7TnYu0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IFERROR(__xludf.DUMMYFUNCTION("""COMPUTED_VALUE"""),"UpdateBeta")</f>
        <v>UpdateBeta</v>
      </c>
      <c r="C249" t="str">
        <f>IFERROR(__xludf.DUMMYFUNCTION("""COMPUTED_VALUE"""),"1dVMhvhPJNkuRqzig0Yyxm9TcxCvSCxm4pGTHTUTnsRE")</f>
        <v>1dVMhvhPJNkuRqzig0Yyxm9TcxCvSCxm4pGTHTUTnsRE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IFERROR(__xludf.DUMMYFUNCTION("""COMPUTED_VALUE"""),"UpdateNAV")</f>
        <v>UpdateNAV</v>
      </c>
      <c r="C250" t="str">
        <f>IFERROR(__xludf.DUMMYFUNCTION("""COMPUTED_VALUE"""),"1hPiMOS3ea665vDEmxN9P-HH8lukKgmMnynK7_ZbYvZE")</f>
        <v>1hPiMOS3ea665vDEmxN9P-HH8lukKgmMnynK7_ZbYvZE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IFERROR(__xludf.DUMMYFUNCTION("""COMPUTED_VALUE"""),"UpdateDailyCash")</f>
        <v>UpdateDailyCash</v>
      </c>
      <c r="C251" t="str">
        <f>IFERROR(__xludf.DUMMYFUNCTION("""COMPUTED_VALUE"""),"1VgfvPkC2fO8lxFnWeV2SJts5aU1T2aFQ0qKO0SLQUe8")</f>
        <v>1VgfvPkC2fO8lxFnWeV2SJts5aU1T2aFQ0qKO0SLQUe8</v>
      </c>
    </row>
    <row r="252" ht="15.75" customHeight="1">
      <c r="A252" t="str">
        <f>IFERROR(__xludf.DUMMYFUNCTION("""COMPUTED_VALUE"""),"GeneralLedger")</f>
        <v>GeneralLedger</v>
      </c>
      <c r="B252" t="str">
        <f>IFERROR(__xludf.DUMMYFUNCTION("""COMPUTED_VALUE"""),"VerifyDailyCalTransactions")</f>
        <v>VerifyDailyCalTransactions</v>
      </c>
      <c r="C252" t="str">
        <f>IFERROR(__xludf.DUMMYFUNCTION("""COMPUTED_VALUE"""),"1GiZkUkl9S3W-syFWHx7eF24G8LX1NhjocAEtLxZqOBI")</f>
        <v>1GiZkUkl9S3W-syFWHx7eF24G8LX1NhjocAEtLxZqOBI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IFERROR(__xludf.DUMMYFUNCTION("""COMPUTED_VALUE"""),"UpdateDailyCreditLimt")</f>
        <v>UpdateDailyCreditLimt</v>
      </c>
      <c r="C253" t="str">
        <f>IFERROR(__xludf.DUMMYFUNCTION("""COMPUTED_VALUE"""),"1PGYnrEHaAZlP-Oh2PMA8WujQmK1pV5B4YlDkScrpR7o")</f>
        <v>1PGYnrEHaAZlP-Oh2PMA8WujQmK1pV5B4YlDkScrpR7o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IFERROR(__xludf.DUMMYFUNCTION("""COMPUTED_VALUE"""),"RemoveDailyCreditLimit")</f>
        <v>RemoveDailyCreditLimit</v>
      </c>
      <c r="C254" t="str">
        <f>IFERROR(__xludf.DUMMYFUNCTION("""COMPUTED_VALUE"""),"1uLdemvg5SsNtTpZzTRX03wcYmYQsfkgO_nbn3yRqMjQ")</f>
        <v>1uLdemvg5SsNtTpZzTRX03wcYmYQsfkgO_nbn3yRqMjQ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IFERROR(__xludf.DUMMYFUNCTION("""COMPUTED_VALUE"""),"RemoveDailyCash")</f>
        <v>RemoveDailyCash</v>
      </c>
      <c r="C255" t="str">
        <f>IFERROR(__xludf.DUMMYFUNCTION("""COMPUTED_VALUE"""),"1MrTHenFxkF5J71zXMaCuxQQEn0MTKrzO5gQMAwfQKRs")</f>
        <v>1MrTHenFxkF5J71zXMaCuxQQEn0MTKrzO5gQMAwfQKRs</v>
      </c>
    </row>
    <row r="256" ht="15.75" customHeight="1">
      <c r="A256" t="str">
        <f>IFERROR(__xludf.DUMMYFUNCTION("""COMPUTED_VALUE"""),"DailyValuation")</f>
        <v>DailyValuation</v>
      </c>
      <c r="B256" t="str">
        <f>IFERROR(__xludf.DUMMYFUNCTION("""COMPUTED_VALUE"""),"RemoveNAV")</f>
        <v>RemoveNAV</v>
      </c>
      <c r="C256" t="str">
        <f>IFERROR(__xludf.DUMMYFUNCTION("""COMPUTED_VALUE"""),"1eaoIETDNb24RXEreULlqBhqvx-wzyLQ-QZEGx6OOWIk")</f>
        <v>1eaoIETDNb24RXEreULlqBhqvx-wzyLQ-QZEGx6OOWIk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IFERROR(__xludf.DUMMYFUNCTION("""COMPUTED_VALUE"""),"FilterPM")</f>
        <v>FilterPM</v>
      </c>
      <c r="C257" t="str">
        <f>IFERROR(__xludf.DUMMYFUNCTION("""COMPUTED_VALUE"""),"1yC8Wv8pFz-xSKCh-BNoBEG_jvndfI1AIgV0zSlSDMI0")</f>
        <v>1yC8Wv8pFz-xSKCh-BNoBEG_jvndfI1AIgV0zSlSDMI0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IFERROR(__xludf.DUMMYFUNCTION("""COMPUTED_VALUE"""),"GroupRowPM")</f>
        <v>GroupRowPM</v>
      </c>
      <c r="C258" t="str">
        <f>IFERROR(__xludf.DUMMYFUNCTION("""COMPUTED_VALUE"""),"1BwceFfRFXBSOniiRhT1Nl_2D9MTRETjYIb7ZHUU6W4c")</f>
        <v>1BwceFfRFXBSOniiRhT1Nl_2D9MTRETjYIb7ZHUU6W4c</v>
      </c>
    </row>
    <row r="259" ht="15.75" customHeight="1">
      <c r="A259" t="str">
        <f>IFERROR(__xludf.DUMMYFUNCTION("""COMPUTED_VALUE"""),"Allocation")</f>
        <v>Allocation</v>
      </c>
      <c r="B259" t="str">
        <f>IFERROR(__xludf.DUMMYFUNCTION("""COMPUTED_VALUE"""),"CloseAllocation")</f>
        <v>CloseAllocation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IFERROR(__xludf.DUMMYFUNCTION("""COMPUTED_VALUE"""),"CheckDashboardWithPM")</f>
        <v>CheckDashboardWithPM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IFERROR(__xludf.DUMMYFUNCTION("""COMPUTED_VALUE"""),"RemoveFilterPM")</f>
        <v>RemoveFilterPM</v>
      </c>
      <c r="C261" t="str">
        <f>IFERROR(__xludf.DUMMYFUNCTION("""COMPUTED_VALUE"""),"Undefined")</f>
        <v>Undefined</v>
      </c>
    </row>
    <row r="262" ht="15.75" customHeight="1">
      <c r="A262" t="str">
        <f>IFERROR(__xludf.DUMMYFUNCTION("""COMPUTED_VALUE"""),"PortfolioManagement")</f>
        <v>PortfolioManagement</v>
      </c>
      <c r="B262" t="str">
        <f>IFERROR(__xludf.DUMMYFUNCTION("""COMPUTED_VALUE"""),"CheckSummaryRowsPM")</f>
        <v>CheckSummaryRowsPM</v>
      </c>
      <c r="C262" t="str">
        <f>IFERROR(__xludf.DUMMYFUNCTION("""COMPUTED_VALUE"""),"1Rvzh-eJXivhL6DEagE3qvEb1nFNqCrK4C1CGKgbWGc8")</f>
        <v>1Rvzh-eJXivhL6DEagE3qvEb1nFNqCrK4C1CGKgbWGc8</v>
      </c>
    </row>
    <row r="263" ht="15.75" customHeight="1">
      <c r="A263" t="str">
        <f>IFERROR(__xludf.DUMMYFUNCTION("""COMPUTED_VALUE"""),"GeneralLedger")</f>
        <v>GeneralLedger</v>
      </c>
      <c r="B263" t="str">
        <f>IFERROR(__xludf.DUMMYFUNCTION("""COMPUTED_VALUE"""),"CloseGeneralLedger")</f>
        <v>CloseGeneralLedger</v>
      </c>
      <c r="C263" t="str">
        <f>IFERROR(__xludf.DUMMYFUNCTION("""COMPUTED_VALUE"""),"Undefined")</f>
        <v>Undefined</v>
      </c>
    </row>
    <row r="264" ht="15.75" customHeight="1">
      <c r="A264" t="str">
        <f>IFERROR(__xludf.DUMMYFUNCTION("""COMPUTED_VALUE"""),"Blotter")</f>
        <v>Blotter</v>
      </c>
      <c r="B264" t="str">
        <f>IFERROR(__xludf.DUMMYFUNCTION("""COMPUTED_VALUE"""),"ReplaceStageOrder")</f>
        <v>ReplaceStageOrder</v>
      </c>
      <c r="C264" t="str">
        <f>IFERROR(__xludf.DUMMYFUNCTION("""COMPUTED_VALUE"""),"1Jso0TC_FWBB044YhD7W2BtiwhvzHb7EOgl_rdA3HFR0")</f>
        <v>1Jso0TC_FWBB044YhD7W2BtiwhvzHb7EOgl_rdA3HFR0</v>
      </c>
    </row>
    <row r="265" ht="15.75" customHeight="1">
      <c r="A265" t="str">
        <f>IFERROR(__xludf.DUMMYFUNCTION("""COMPUTED_VALUE"""),"GeneralLedger")</f>
        <v>GeneralLedger</v>
      </c>
      <c r="B265" t="str">
        <f>IFERROR(__xludf.DUMMYFUNCTION("""COMPUTED_VALUE"""),"VerifyAccountDetails")</f>
        <v>VerifyAccountDetails</v>
      </c>
      <c r="C265" t="str">
        <f>IFERROR(__xludf.DUMMYFUNCTION("""COMPUTED_VALUE"""),"1uyuwvv3L3R9HyXKpbUMYRZcMqOcR0HdO9g8C50GvA7o")</f>
        <v>1uyuwvv3L3R9HyXKpbUMYRZcMqOcR0HdO9g8C50GvA7o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IFERROR(__xludf.DUMMYFUNCTION("""COMPUTED_VALUE"""),"CreateNewSubOrder")</f>
        <v>CreateNewSubOrder</v>
      </c>
      <c r="C266" t="str">
        <f>IFERROR(__xludf.DUMMYFUNCTION("""COMPUTED_VALUE"""),"1AstfuV459BqKeepu1MNmnf9RnELNSqTbT8n5dWFhU4A")</f>
        <v>1AstfuV459BqKeepu1MNmnf9RnELNSqTbT8n5dWFhU4A</v>
      </c>
    </row>
    <row r="267" ht="15.75" customHeight="1">
      <c r="A267" t="str">
        <f>IFERROR(__xludf.DUMMYFUNCTION("""COMPUTED_VALUE"""),"CreateTransaction")</f>
        <v>CreateTransaction</v>
      </c>
      <c r="B267" t="str">
        <f>IFERROR(__xludf.DUMMYFUNCTION("""COMPUTED_VALUE"""),"AddNewTransaction")</f>
        <v>AddNewTransaction</v>
      </c>
      <c r="C267" t="str">
        <f>IFERROR(__xludf.DUMMYFUNCTION("""COMPUTED_VALUE"""),"109VETDxhCZifjTuw0RgdbIACi58AzIZl3dDnb6i6XHo")</f>
        <v>109VETDxhCZifjTuw0RgdbIACi58AzIZl3dDnb6i6XHo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IFERROR(__xludf.DUMMYFUNCTION("""COMPUTED_VALUE"""),"TradeBloomberg")</f>
        <v>TradeBloomberg</v>
      </c>
      <c r="C268" t="str">
        <f>IFERROR(__xludf.DUMMYFUNCTION("""COMPUTED_VALUE"""),"1XdZaKDGYgE9-tKFQso0HKZSgkAxkpHZOvbFRHMlZ3xA")</f>
        <v>1XdZaKDGYgE9-tKFQso0HKZSgkAxkpHZOvbFRHMlZ3xA</v>
      </c>
    </row>
    <row r="269" ht="15.75" customHeight="1">
      <c r="A269" t="str">
        <f>IFERROR(__xludf.DUMMYFUNCTION("""COMPUTED_VALUE"""),"TradingTicket")</f>
        <v>TradingTicket</v>
      </c>
      <c r="B269" t="str">
        <f>IFERROR(__xludf.DUMMYFUNCTION("""COMPUTED_VALUE"""),"ClickSymbolLookup")</f>
        <v>ClickSymbolLookup</v>
      </c>
      <c r="C269" t="str">
        <f>IFERROR(__xludf.DUMMYFUNCTION("""COMPUTED_VALUE"""),"1tUAq8qQntTSgASBY91fvVU8snKI0bJhC-FtS9W_wbzg")</f>
        <v>1tUAq8qQntTSgASBY91fvVU8snKI0bJhC-FtS9W_wbzg</v>
      </c>
    </row>
    <row r="270" ht="15.75" customHeight="1">
      <c r="A270" t="str">
        <f>IFERROR(__xludf.DUMMYFUNCTION("""COMPUTED_VALUE"""),"PricingServer")</f>
        <v>PricingServer</v>
      </c>
      <c r="B270" t="str">
        <f>IFERROR(__xludf.DUMMYFUNCTION("""COMPUTED_VALUE"""),"RestartPricingServer")</f>
        <v>RestartPricingServer</v>
      </c>
      <c r="C270" t="str">
        <f>IFERROR(__xludf.DUMMYFUNCTION("""COMPUTED_VALUE"""),"1Bno1TrJBKAvxD0_Fata4ZCQmTQjAVzTeScSoEZObcVU")</f>
        <v>1Bno1TrJBKAvxD0_Fata4ZCQmTQjAVzTeScSoEZObcVU</v>
      </c>
    </row>
    <row r="271" ht="15.75" customHeight="1">
      <c r="A271" t="str">
        <f>IFERROR(__xludf.DUMMYFUNCTION("""COMPUTED_VALUE"""),"TradeServer")</f>
        <v>TradeServer</v>
      </c>
      <c r="B271" t="str">
        <f>IFERROR(__xludf.DUMMYFUNCTION("""COMPUTED_VALUE"""),"RestartServer")</f>
        <v>RestartServer</v>
      </c>
      <c r="C271" t="str">
        <f>IFERROR(__xludf.DUMMYFUNCTION("""COMPUTED_VALUE"""),"1rgd2fe8QniENxU_y5tc12gCzhrYT-gekVPiniOFI6kw")</f>
        <v>1rgd2fe8QniENxU_y5tc12gCzhrYT-gekVPiniOFI6kw</v>
      </c>
    </row>
    <row r="272" ht="15.75" customHeight="1">
      <c r="A272" t="str">
        <f>IFERROR(__xludf.DUMMYFUNCTION("""COMPUTED_VALUE"""),"PranaClient")</f>
        <v>PranaClient</v>
      </c>
      <c r="B272" t="str">
        <f>IFERROR(__xludf.DUMMYFUNCTION("""COMPUTED_VALUE"""),"RestartClient")</f>
        <v>RestartClient</v>
      </c>
      <c r="C272" t="str">
        <f>IFERROR(__xludf.DUMMYFUNCTION("""COMPUTED_VALUE"""),"17HcIdum8zZH8Ni0jqEsdVE8-5i_Pp7PnFRmrFAMw42c")</f>
        <v>17HcIdum8zZH8Ni0jqEsdVE8-5i_Pp7PnFRmrFAMw42c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IFERROR(__xludf.DUMMYFUNCTION("""COMPUTED_VALUE"""),"CalculatePTT")</f>
        <v>CalculatePTT</v>
      </c>
      <c r="C273" t="str">
        <f>IFERROR(__xludf.DUMMYFUNCTION("""COMPUTED_VALUE"""),"1Usd8z5f1Gxiq2eU1suYXk3Wr-DyU1ioP01IpI3fb7HU")</f>
        <v>1Usd8z5f1Gxiq2eU1suYXk3Wr-DyU1ioP01IpI3fb7HU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IFERROR(__xludf.DUMMYFUNCTION("""COMPUTED_VALUE"""),"TradeUsingPTT")</f>
        <v>TradeUsingPTT</v>
      </c>
      <c r="C274" t="str">
        <f>IFERROR(__xludf.DUMMYFUNCTION("""COMPUTED_VALUE"""),"1eQN7kJn_D3eEi6utF462OrYRTnClw3BNXwnf8Nb24kE")</f>
        <v>1eQN7kJn_D3eEi6utF462OrYRTnClw3BNXwnf8Nb24kE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IFERROR(__xludf.DUMMYFUNCTION("""COMPUTED_VALUE"""),"VerifyPTTCompliance")</f>
        <v>VerifyPTTCompliance</v>
      </c>
      <c r="C275" t="str">
        <f>IFERROR(__xludf.DUMMYFUNCTION("""COMPUTED_VALUE"""),"1Vpasp_hFXJJz1bHltjhvLZZAgyBDtgwZwPCC3yE2F7E")</f>
        <v>1Vpasp_hFXJJz1bHltjhvLZZAgyBDtgwZwPCC3yE2F7E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IFERROR(__xludf.DUMMYFUNCTION("""COMPUTED_VALUE"""),"StageOrderUsingPTT")</f>
        <v>StageOrderUsingPTT</v>
      </c>
      <c r="C276" t="str">
        <f>IFERROR(__xludf.DUMMYFUNCTION("""COMPUTED_VALUE"""),"1aPIvRy1g73wuE_MnfsS9_6sZL8WBRMC5OSbBMVFTwZ4")</f>
        <v>1aPIvRy1g73wuE_MnfsS9_6sZL8WBRMC5OSbBMVFTwZ4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IFERROR(__xludf.DUMMYFUNCTION("""COMPUTED_VALUE"""),"CreateOrderPTT")</f>
        <v>CreateOrderPTT</v>
      </c>
      <c r="C277" t="str">
        <f>IFERROR(__xludf.DUMMYFUNCTION("""COMPUTED_VALUE"""),"1clS5unmZ92YCMaKCVLJ3r_ShuU8JBprNUpRv8R82FGU")</f>
        <v>1clS5unmZ92YCMaKCVLJ3r_ShuU8JBprNUpRv8R82FGU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IFERROR(__xludf.DUMMYFUNCTION("""COMPUTED_VALUE"""),"TradePTT")</f>
        <v>TradePTT</v>
      </c>
      <c r="C278" t="str">
        <f>IFERROR(__xludf.DUMMYFUNCTION("""COMPUTED_VALUE"""),"1B0mYySs5M1I6dikafVQ-4neiuHI-Vn_CefIpGSizjjc")</f>
        <v>1B0mYySs5M1I6dikafVQ-4neiuHI-Vn_CefIpGSizjjc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IFERROR(__xludf.DUMMYFUNCTION("""COMPUTED_VALUE"""),"VerifyPTT")</f>
        <v>VerifyPTT</v>
      </c>
      <c r="C279" t="str">
        <f>IFERROR(__xludf.DUMMYFUNCTION("""COMPUTED_VALUE"""),"1DhRXM2fca9wmYyaQSNF2bw07jlvNCvnHLL6qkOh4VYI")</f>
        <v>1DhRXM2fca9wmYyaQSNF2bw07jlvNCvnHLL6qkOh4VYI</v>
      </c>
    </row>
    <row r="280" ht="15.75" customHeight="1">
      <c r="A280" t="str">
        <f>IFERROR(__xludf.DUMMYFUNCTION("""COMPUTED_VALUE"""),"PortfolioManagement")</f>
        <v>PortfolioManagement</v>
      </c>
      <c r="B280" t="str">
        <f>IFERROR(__xludf.DUMMYFUNCTION("""COMPUTED_VALUE"""),"OpenPTTFromPM")</f>
        <v>OpenPTTFromPM</v>
      </c>
      <c r="C280" t="str">
        <f>IFERROR(__xludf.DUMMYFUNCTION("""COMPUTED_VALUE"""),"1VIvijDDAhEkPlk94McsOVF8Jhhp0VL5XZT6HhpFL9Zc")</f>
        <v>1VIvijDDAhEkPlk94McsOVF8Jhhp0VL5XZT6HhpFL9Zc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IFERROR(__xludf.DUMMYFUNCTION("""COMPUTED_VALUE"""),"OpenMultiTTFromPTT")</f>
        <v>OpenMultiTTFromPTT</v>
      </c>
      <c r="C281" t="str">
        <f>IFERROR(__xludf.DUMMYFUNCTION("""COMPUTED_VALUE"""),"1yFz_O3Qa1RLU4rwM7B95-FObIdnsJkq5W3t8wb25pwk")</f>
        <v>1yFz_O3Qa1RLU4rwM7B95-FObIdnsJkq5W3t8wb25pwk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IFERROR(__xludf.DUMMYFUNCTION("""COMPUTED_VALUE"""),"SelectMultiTT")</f>
        <v>SelectMultiTT</v>
      </c>
      <c r="C282" t="str">
        <f>IFERROR(__xludf.DUMMYFUNCTION("""COMPUTED_VALUE"""),"11zVa4QDQKlc2xL6L7T4ZkXvvPbqsdUS4dwdtv-vQckA")</f>
        <v>11zVa4QDQKlc2xL6L7T4ZkXvvPbqsdUS4dwdtv-vQckA</v>
      </c>
    </row>
    <row r="283" ht="15.75" customHeight="1">
      <c r="A283" t="str">
        <f>IFERROR(__xludf.DUMMYFUNCTION("""COMPUTED_VALUE"""),"PTT")</f>
        <v>PTT</v>
      </c>
      <c r="B283" t="str">
        <f>IFERROR(__xludf.DUMMYFUNCTION("""COMPUTED_VALUE"""),"EditMultiTT")</f>
        <v>EditMultiTT</v>
      </c>
      <c r="C283" t="str">
        <f>IFERROR(__xludf.DUMMYFUNCTION("""COMPUTED_VALUE"""),"1TP115IJHmOPYWofIcvK8Qm4INI0h3lVcWYgM7A1GDY0")</f>
        <v>1TP115IJHmOPYWofIcvK8Qm4INI0h3lVcWYgM7A1GDY0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IFERROR(__xludf.DUMMYFUNCTION("""COMPUTED_VALUE"""),"EditTradeUsingMTT")</f>
        <v>EditTradeUsingMTT</v>
      </c>
      <c r="C284" t="str">
        <f>IFERROR(__xludf.DUMMYFUNCTION("""COMPUTED_VALUE"""),"1VaJGHF0zBhhJsVgD_iWrTX0Nr78l3r6Vi8qxUzFqfpg")</f>
        <v>1VaJGHF0zBhhJsVgD_iWrTX0Nr78l3r6Vi8qxUzFqfpg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IFERROR(__xludf.DUMMYFUNCTION("""COMPUTED_VALUE"""),"SelectTradeUsingMTT")</f>
        <v>SelectTradeUsingMTT</v>
      </c>
      <c r="C285" t="str">
        <f>IFERROR(__xludf.DUMMYFUNCTION("""COMPUTED_VALUE"""),"1S084g8k68lhm_CzYP_s6hwzDsfQY_6PB602z30FlPho")</f>
        <v>1S084g8k68lhm_CzYP_s6hwzDsfQY_6PB602z30FlPho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IFERROR(__xludf.DUMMYFUNCTION("""COMPUTED_VALUE"""),"GetPriceUsingMTT")</f>
        <v>GetPriceUsingMTT</v>
      </c>
      <c r="C286" t="str">
        <f>IFERROR(__xludf.DUMMYFUNCTION("""COMPUTED_VALUE"""),"1_MlZUjk6ONPxfNtDIiycrqW9OaNnNF1m2u9LLf-5PcQ")</f>
        <v>1_MlZUjk6ONPxfNtDIiycrqW9OaNnNF1m2u9LLf-5PcQ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IFERROR(__xludf.DUMMYFUNCTION("""COMPUTED_VALUE"""),"DoneAwayUsingMTT")</f>
        <v>DoneAwayUsingMTT</v>
      </c>
      <c r="C287" t="str">
        <f>IFERROR(__xludf.DUMMYFUNCTION("""COMPUTED_VALUE"""),"17UYmoBLvsngTQLOZr9QrA8jxOAd0meDTXmZZyvI3OXI")</f>
        <v>17UYmoBLvsngTQLOZr9QrA8jxOAd0meDTXmZZyvI3OXI</v>
      </c>
    </row>
    <row r="288" ht="15.75" customHeight="1">
      <c r="A288" t="str">
        <f>IFERROR(__xludf.DUMMYFUNCTION("""COMPUTED_VALUE"""),"MultiTradingTicket")</f>
        <v>MultiTradingTicket</v>
      </c>
      <c r="B288" t="str">
        <f>IFERROR(__xludf.DUMMYFUNCTION("""COMPUTED_VALUE"""),"SendOrderUsingMTT")</f>
        <v>SendOrderUsingMTT</v>
      </c>
      <c r="C288" t="str">
        <f>IFERROR(__xludf.DUMMYFUNCTION("""COMPUTED_VALUE"""),"1Ncu0Zw9d-NZRpdNoPkeEXa5zXKF9E-P2wsxlX0wuyrc")</f>
        <v>1Ncu0Zw9d-NZRpdNoPkeEXa5zXKF9E-P2wsxlX0wuyrc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IFERROR(__xludf.DUMMYFUNCTION("""COMPUTED_VALUE"""),"UpdateGRAccountValue")</f>
        <v>UpdateGRAccountValue</v>
      </c>
      <c r="C289" t="str">
        <f>IFERROR(__xludf.DUMMYFUNCTION("""COMPUTED_VALUE"""),"1JNw9FkwFpwS2PGoV2iPz2qmPWmsTb8csLDPno0EuKzY")</f>
        <v>1JNw9FkwFpwS2PGoV2iPz2qmPWmsTb8csLDPno0EuKzY</v>
      </c>
    </row>
    <row r="290" ht="15.75" customHeight="1">
      <c r="A290" t="str">
        <f>IFERROR(__xludf.DUMMYFUNCTION("""COMPUTED_VALUE"""),"MultiTradingTicket")</f>
        <v>MultiTradingTicket</v>
      </c>
      <c r="B290" t="str">
        <f>IFERROR(__xludf.DUMMYFUNCTION("""COMPUTED_VALUE"""),"BulkChangeTradeDoneAway")</f>
        <v>BulkChangeTradeDoneAway</v>
      </c>
      <c r="C290" t="str">
        <f>IFERROR(__xludf.DUMMYFUNCTION("""COMPUTED_VALUE"""),"18XNfQJN7Pu4gTl1w2NXXhtl6NZpq3a53C0HJQ6Sp57c")</f>
        <v>18XNfQJN7Pu4gTl1w2NXXhtl6NZpq3a53C0HJQ6Sp57c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IFERROR(__xludf.DUMMYFUNCTION("""COMPUTED_VALUE"""),"UpdateGRStrategyValue")</f>
        <v>UpdateGRStrategyValue</v>
      </c>
      <c r="C291" t="str">
        <f>IFERROR(__xludf.DUMMYFUNCTION("""COMPUTED_VALUE"""),"1rMIUfcuqi6w1rhs_b8qvPSRahQ4icKmE0M2aOjPpKes")</f>
        <v>1rMIUfcuqi6w1rhs_b8qvPSRahQ4icKmE0M2aOjPpKes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IFERROR(__xludf.DUMMYFUNCTION("""COMPUTED_VALUE"""),"UpdateGRDefaultRule")</f>
        <v>UpdateGRDefaultRule</v>
      </c>
      <c r="C292" t="str">
        <f>IFERROR(__xludf.DUMMYFUNCTION("""COMPUTED_VALUE"""),"1pw1PrdXa_R5C5EukiFRPZWxGGq7JT9Agg84XvlWtXHM")</f>
        <v>1pw1PrdXa_R5C5EukiFRPZWxGGq7JT9Agg84XvlWtXHM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IFERROR(__xludf.DUMMYFUNCTION("""COMPUTED_VALUE"""),"UpdateGeneralRulePref")</f>
        <v>UpdateGeneralRulePref</v>
      </c>
      <c r="C293" t="str">
        <f>IFERROR(__xludf.DUMMYFUNCTION("""COMPUTED_VALUE"""),"Undefined")</f>
        <v>Undefined</v>
      </c>
    </row>
    <row r="294" ht="15.75" customHeight="1">
      <c r="A294" t="str">
        <f>IFERROR(__xludf.DUMMYFUNCTION("""COMPUTED_VALUE"""),"Blotter")</f>
        <v>Blotter</v>
      </c>
      <c r="B294" t="str">
        <f>IFERROR(__xludf.DUMMYFUNCTION("""COMPUTED_VALUE"""),"MultiTradingTicketFromBlotter")</f>
        <v>MultiTradingTicketFromBlotter</v>
      </c>
      <c r="C294" t="str">
        <f>IFERROR(__xludf.DUMMYFUNCTION("""COMPUTED_VALUE"""),"18LoNnAmIEkgMbba_u6IGuxxf0-Qe0rEpckSjd2uUouw")</f>
        <v>18LoNnAmIEkgMbba_u6IGuxxf0-Qe0rEpckSjd2uUouw</v>
      </c>
    </row>
    <row r="295" ht="15.75" customHeight="1">
      <c r="A295" t="str">
        <f>IFERROR(__xludf.DUMMYFUNCTION("""COMPUTED_VALUE"""),"CleanUp")</f>
        <v>CleanUp</v>
      </c>
      <c r="B295" t="str">
        <f>IFERROR(__xludf.DUMMYFUNCTION("""COMPUTED_VALUE"""),"DeleteClientData")</f>
        <v>DeleteClientData</v>
      </c>
      <c r="C295" t="str">
        <f>IFERROR(__xludf.DUMMYFUNCTION("""COMPUTED_VALUE"""),"1M-iHFf8UTEustA_Kaho7JrgnPvw5cftqwiBeRmymzB8")</f>
        <v>1M-iHFf8UTEustA_Kaho7JrgnPvw5cftqwiBeRmymzB8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IFERROR(__xludf.DUMMYFUNCTION("""COMPUTED_VALUE"""),"ModifyGRPreferenceValues")</f>
        <v>ModifyGRPreferenceValues</v>
      </c>
      <c r="C296" t="str">
        <f>IFERROR(__xludf.DUMMYFUNCTION("""COMPUTED_VALUE"""),"Undefined")</f>
        <v>Undefined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IFERROR(__xludf.DUMMYFUNCTION("""COMPUTED_VALUE"""),"AddMFPreferences")</f>
        <v>AddMFPreferences</v>
      </c>
      <c r="C297" t="str">
        <f>IFERROR(__xludf.DUMMYFUNCTION("""COMPUTED_VALUE"""),"1IlEdaeUqOBtg4mM4gYsuJa70B8Sbnp7plSyIOiAVIgk")</f>
        <v>1IlEdaeUqOBtg4mM4gYsuJa70B8Sbnp7plSyIOiAVIgk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IFERROR(__xludf.DUMMYFUNCTION("""COMPUTED_VALUE"""),"AddMFPreferenceToolbar")</f>
        <v>AddMFPreferenceToolbar</v>
      </c>
      <c r="C298" t="str">
        <f>IFERROR(__xludf.DUMMYFUNCTION("""COMPUTED_VALUE"""),"1dj8bA6nfZ1fxsLG7C3A_Ek0CtDIB8q7FR_rcxshATwQ")</f>
        <v>1dj8bA6nfZ1fxsLG7C3A_Ek0CtDIB8q7FR_rcxshATwQ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IFERROR(__xludf.DUMMYFUNCTION("""COMPUTED_VALUE"""),"DeleteMFPreferences")</f>
        <v>DeleteMFPreferences</v>
      </c>
      <c r="C299" t="str">
        <f>IFERROR(__xludf.DUMMYFUNCTION("""COMPUTED_VALUE"""),"1Dll2sWDtcfuwrpiTqSe-eN4inI0LypdXOVltGtNIqu8")</f>
        <v>1Dll2sWDtcfuwrpiTqSe-eN4inI0LypdXOVltGtNIqu8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IFERROR(__xludf.DUMMYFUNCTION("""COMPUTED_VALUE"""),"DeleteMFPreferenceToolbar")</f>
        <v>DeleteMFPreferenceToolbar</v>
      </c>
      <c r="C300" t="str">
        <f>IFERROR(__xludf.DUMMYFUNCTION("""COMPUTED_VALUE"""),"1lPnz-FV1f1G2GPvvQCySelg_zICYLc6nPkmy7MrNpX8")</f>
        <v>1lPnz-FV1f1G2GPvvQCySelg_zICYLc6nPkmy7MrNpX8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IFERROR(__xludf.DUMMYFUNCTION("""COMPUTED_VALUE"""),"RenameMFPreferences")</f>
        <v>RenameMFPreferences</v>
      </c>
      <c r="C301" t="str">
        <f>IFERROR(__xludf.DUMMYFUNCTION("""COMPUTED_VALUE"""),"16cTYyVqnDb0UBDA_IpfqwmNHyWAe8Ms-xO7jo-FKn0A")</f>
        <v>16cTYyVqnDb0UBDA_IpfqwmNHyWAe8Ms-xO7jo-FKn0A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IFERROR(__xludf.DUMMYFUNCTION("""COMPUTED_VALUE"""),"SaveCloseMFPreference")</f>
        <v>SaveCloseMFPreference</v>
      </c>
      <c r="C302" t="str">
        <f>IFERROR(__xludf.DUMMYFUNCTION("""COMPUTED_VALUE"""),"Undefined")</f>
        <v>Undefined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IFERROR(__xludf.DUMMYFUNCTION("""COMPUTED_VALUE"""),"SetMFPrefAccountValues")</f>
        <v>SetMFPrefAccountValues</v>
      </c>
      <c r="C303" t="str">
        <f>IFERROR(__xludf.DUMMYFUNCTION("""COMPUTED_VALUE"""),"1Owu2cic47Z8WbUo7WLWwgVPP5PNVHDHm-co-OUWbgmc")</f>
        <v>1Owu2cic47Z8WbUo7WLWwgVPP5PNVHDHm-co-OUWbgmc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IFERROR(__xludf.DUMMYFUNCTION("""COMPUTED_VALUE"""),"ModifyMFPrefGeneralRuleValues")</f>
        <v>ModifyMFPrefGeneralRuleValues</v>
      </c>
      <c r="C304" t="str">
        <f>IFERROR(__xludf.DUMMYFUNCTION("""COMPUTED_VALUE"""),"Undefined")</f>
        <v>Undefined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IFERROR(__xludf.DUMMYFUNCTION("""COMPUTED_VALUE"""),"SetMFPrefStrategyValues")</f>
        <v>SetMFPrefStrategyValues</v>
      </c>
      <c r="C305" t="str">
        <f>IFERROR(__xludf.DUMMYFUNCTION("""COMPUTED_VALUE"""),"1Y50AzSmKdg7JfFK_LD8Z_vfcYqmFBTY5OUH-3AWHhgI")</f>
        <v>1Y50AzSmKdg7JfFK_LD8Z_vfcYqmFBTY5OUH-3AWHhgI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IFERROR(__xludf.DUMMYFUNCTION("""COMPUTED_VALUE"""),"SetMFPrefGeneralRule")</f>
        <v>SetMFPrefGeneralRule</v>
      </c>
      <c r="C306" t="str">
        <f>IFERROR(__xludf.DUMMYFUNCTION("""COMPUTED_VALUE"""),"1wTPQxotwV6JCtfSovv5YJI6ZA3N8v8QfO3Rl7M8WBw4")</f>
        <v>1wTPQxotwV6JCtfSovv5YJI6ZA3N8v8QfO3Rl7M8WBw4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IFERROR(__xludf.DUMMYFUNCTION("""COMPUTED_VALUE"""),"SetMFPrefFundDistribution")</f>
        <v>SetMFPrefFundDistribution</v>
      </c>
      <c r="C307" t="str">
        <f>IFERROR(__xludf.DUMMYFUNCTION("""COMPUTED_VALUE"""),"1J8U9t3KVSIgtMdaCtvDl7vczUVKJ0rbXoktGlC0pouM")</f>
        <v>1J8U9t3KVSIgtMdaCtvDl7vczUVKJ0rbXoktGlC0pouM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IFERROR(__xludf.DUMMYFUNCTION("""COMPUTED_VALUE"""),"SetMFPreferencesDefaultRule")</f>
        <v>SetMFPreferencesDefaultRule</v>
      </c>
      <c r="C308" t="str">
        <f>IFERROR(__xludf.DUMMYFUNCTION("""COMPUTED_VALUE"""),"19ADTickI55w_f0Qh4KDprj-ycjacQTK1rRm3kN1lL9I")</f>
        <v>19ADTickI55w_f0Qh4KDprj-ycjacQTK1rRm3kN1lL9I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IFERROR(__xludf.DUMMYFUNCTION("""COMPUTED_VALUE"""),"SetMFPrefFundDefaultRule")</f>
        <v>SetMFPrefFundDefaultRule</v>
      </c>
      <c r="C309" t="str">
        <f>IFERROR(__xludf.DUMMYFUNCTION("""COMPUTED_VALUE"""),"16-eFUIQ3ukzsjSPxB24KZvEky-ECCg70eA4oWMP0k-0")</f>
        <v>16-eFUIQ3ukzsjSPxB24KZvEky-ECCg70eA4oWMP0k-0</v>
      </c>
    </row>
    <row r="310" ht="15.75" customHeight="1">
      <c r="A310" t="str">
        <f>IFERROR(__xludf.DUMMYFUNCTION("""COMPUTED_VALUE"""),"PTT")</f>
        <v>PTT</v>
      </c>
      <c r="B310" t="str">
        <f>IFERROR(__xludf.DUMMYFUNCTION("""COMPUTED_VALUE"""),"SetAccountFactor")</f>
        <v>SetAccountFactor</v>
      </c>
      <c r="C310" t="str">
        <f>IFERROR(__xludf.DUMMYFUNCTION("""COMPUTED_VALUE"""),"10BtQvahVCYnraPnKKsXTlDDrXH35Dfu57xMmuGesPbw")</f>
        <v>10BtQvahVCYnraPnKKsXTlDDrXH35Dfu57xMmuGesPbw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IFERROR(__xludf.DUMMYFUNCTION("""COMPUTED_VALUE"""),"ClearPrefetchFilters")</f>
        <v>ClearPrefetchFilters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IFERROR(__xludf.DUMMYFUNCTION("""COMPUTED_VALUE"""),"ExpandCollapseAllUnallocated")</f>
        <v>ExpandCollapseAllUnallocated</v>
      </c>
      <c r="C312" t="str">
        <f>IFERROR(__xludf.DUMMYFUNCTION("""COMPUTED_VALUE"""),"1FlgjlUfMB_Ov2ajxqPDBmx4FjNzjR-hUBeEMwt9iQY4")</f>
        <v>1FlgjlUfMB_Ov2ajxqPDBmx4FjNzjR-hUBeEMwt9iQY4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IFERROR(__xludf.DUMMYFUNCTION("""COMPUTED_VALUE"""),"ExpandCollapseAllAllocated")</f>
        <v>ExpandCollapseAllAllocated</v>
      </c>
      <c r="C313" t="str">
        <f>IFERROR(__xludf.DUMMYFUNCTION("""COMPUTED_VALUE"""),"1ehtDHXUOwy3gDt4GoAJ9GbAoxhAGxjndnc_T-1yFgR8")</f>
        <v>1ehtDHXUOwy3gDt4GoAJ9GbAoxhAGxjndnc_T-1yFgR8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IFERROR(__xludf.DUMMYFUNCTION("""COMPUTED_VALUE"""),"GenerateCashTransaction")</f>
        <v>GenerateCashTransaction</v>
      </c>
      <c r="C314" t="str">
        <f>IFERROR(__xludf.DUMMYFUNCTION("""COMPUTED_VALUE"""),"1cmWZ4-ng-hApE-psRT8bSWDbTVr7SYk0cVc8bUH6io8")</f>
        <v>1cmWZ4-ng-hApE-psRT8bSWDbTVr7SYk0cVc8bUH6io8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IFERROR(__xludf.DUMMYFUNCTION("""COMPUTED_VALUE"""),"SaveAllocation")</f>
        <v>SaveAllocation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IFERROR(__xludf.DUMMYFUNCTION("""COMPUTED_VALUE"""),"Allocation")</f>
        <v>Allocation</v>
      </c>
      <c r="B316" t="str">
        <f>IFERROR(__xludf.DUMMYFUNCTION("""COMPUTED_VALUE"""),"UnallocateWithOutSave")</f>
        <v>UnallocateWithOutSave</v>
      </c>
      <c r="C316" t="str">
        <f>IFERROR(__xludf.DUMMYFUNCTION("""COMPUTED_VALUE"""),"1L9Jzxvuy5z_ke_fw4Ut_3K-JV6BVs1ABWW5abckiRuk")</f>
        <v>1L9Jzxvuy5z_ke_fw4Ut_3K-JV6BVs1ABWW5abckiRuk</v>
      </c>
    </row>
    <row r="317" ht="15.75" customHeight="1">
      <c r="A317" t="str">
        <f>IFERROR(__xludf.DUMMYFUNCTION("""COMPUTED_VALUE"""),"TradeServer")</f>
        <v>TradeServer</v>
      </c>
      <c r="B317" t="str">
        <f>IFERROR(__xludf.DUMMYFUNCTION("""COMPUTED_VALUE"""),"UpdateServerConfig")</f>
        <v>UpdateServerConfig</v>
      </c>
      <c r="C317" t="str">
        <f>IFERROR(__xludf.DUMMYFUNCTION("""COMPUTED_VALUE"""),"1TpAslQOfNHC2s8O1Pa0jlryh5LOsLayesGJ-HdRVDoY")</f>
        <v>1TpAslQOfNHC2s8O1Pa0jlryh5LOsLayesGJ-HdRVDoY</v>
      </c>
    </row>
    <row r="318" ht="15.75" customHeight="1">
      <c r="A318" t="str">
        <f>IFERROR(__xludf.DUMMYFUNCTION("""COMPUTED_VALUE"""),"PricingServer")</f>
        <v>PricingServer</v>
      </c>
      <c r="B318" t="str">
        <f>IFERROR(__xludf.DUMMYFUNCTION("""COMPUTED_VALUE"""),"UpdatePricingConfig")</f>
        <v>UpdatePricingConfig</v>
      </c>
      <c r="C318" t="str">
        <f>IFERROR(__xludf.DUMMYFUNCTION("""COMPUTED_VALUE"""),"1Bu2vtRhzucwHoO-CJpsj3Z5UqUWOWJKUcbkMM6vGTqo")</f>
        <v>1Bu2vtRhzucwHoO-CJpsj3Z5UqUWOWJKUcbkMM6vGTqo</v>
      </c>
    </row>
    <row r="319" ht="15.75" customHeight="1">
      <c r="A319" t="str">
        <f>IFERROR(__xludf.DUMMYFUNCTION("""COMPUTED_VALUE"""),"PranaClient")</f>
        <v>PranaClient</v>
      </c>
      <c r="B319" t="str">
        <f>IFERROR(__xludf.DUMMYFUNCTION("""COMPUTED_VALUE"""),"UpdateClientConfig")</f>
        <v>UpdateClientConfig</v>
      </c>
      <c r="C319" t="str">
        <f>IFERROR(__xludf.DUMMYFUNCTION("""COMPUTED_VALUE"""),"18PkgWy5HKnMMEpYHNfztlnZCng_Slh7Iy3Jjdf9FnyI")</f>
        <v>18PkgWy5HKnMMEpYHNfztlnZCng_Slh7Iy3Jjdf9FnyI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IFERROR(__xludf.DUMMYFUNCTION("""COMPUTED_VALUE"""),"OpenClosingFromPM")</f>
        <v>OpenClosingFromPM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IFERROR(__xludf.DUMMYFUNCTION("""COMPUTED_VALUE"""),"OpenCorporateActionFromPM")</f>
        <v>OpenCorporateActionFromPM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IFERROR(__xludf.DUMMYFUNCTION("""COMPUTED_VALUE"""),"OpenDailyValuationFromPM")</f>
        <v>OpenDailyValuationFromPM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IFERROR(__xludf.DUMMYFUNCTION("""COMPUTED_VALUE"""),"ClosePositionFromPM")</f>
        <v>ClosePositionFromPM</v>
      </c>
      <c r="C323" t="str">
        <f>IFERROR(__xludf.DUMMYFUNCTION("""COMPUTED_VALUE"""),"1EH8pKjhhBPNLqmDrqbG0JqtjsXaV8KJYA6l5N4MrrIY")</f>
        <v>1EH8pKjhhBPNLqmDrqbG0JqtjsXaV8KJYA6l5N4MrrIY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IFERROR(__xludf.DUMMYFUNCTION("""COMPUTED_VALUE"""),"ShowSummaryToolFromPM")</f>
        <v>ShowSummaryToolFromPM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IFERROR(__xludf.DUMMYFUNCTION("""COMPUTED_VALUE"""),"HideSummaryToolFromPM")</f>
        <v>HideSummaryToolFromPM</v>
      </c>
      <c r="C325" t="str">
        <f>IFERROR(__xludf.DUMMYFUNCTION("""COMPUTED_VALUE"""),"Undefined")</f>
        <v>Undefined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IFERROR(__xludf.DUMMYFUNCTION("""COMPUTED_VALUE"""),"CloseAccountPositionFromPM")</f>
        <v>CloseAccountPositionFromPM</v>
      </c>
      <c r="C326" t="str">
        <f>IFERROR(__xludf.DUMMYFUNCTION("""COMPUTED_VALUE"""),"1gZaSRFUpO1ruQv0px2yVE7mLEnMKIc_QL_JxhUJns6w")</f>
        <v>1gZaSRFUpO1ruQv0px2yVE7mLEnMKIc_QL_JxhUJns6w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IFERROR(__xludf.DUMMYFUNCTION("""COMPUTED_VALUE"""),"CloseSelectedTaxlotsFromPM")</f>
        <v>CloseSelectedTaxlotsFromPM</v>
      </c>
      <c r="C327" t="str">
        <f>IFERROR(__xludf.DUMMYFUNCTION("""COMPUTED_VALUE"""),"1Z8sb4__Lg0JalM6pM6xkVc_TiLbeNHrj6IknKSnL5H4")</f>
        <v>1Z8sb4__Lg0JalM6pM6xkVc_TiLbeNHrj6IknKSnL5H4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IFERROR(__xludf.DUMMYFUNCTION("""COMPUTED_VALUE"""),"ExpandCollapsePM")</f>
        <v>ExpandCollapsePM</v>
      </c>
      <c r="C328" t="str">
        <f>IFERROR(__xludf.DUMMYFUNCTION("""COMPUTED_VALUE"""),"16iKUzpEpEJO_Bl2pXlVRM-vD5UK97D5AFC9rw46xLBk")</f>
        <v>16iKUzpEpEJO_Bl2pXlVRM-vD5UK97D5AFC9rw46xLBk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IFERROR(__xludf.DUMMYFUNCTION("""COMPUTED_VALUE"""),"AddCustomViewPM")</f>
        <v>AddCustomViewPM</v>
      </c>
      <c r="C329" t="str">
        <f>IFERROR(__xludf.DUMMYFUNCTION("""COMPUTED_VALUE"""),"1RTjztF0M6g7xcSJNmqN1nHi0V-gzwXQuBB4-RbMrIdA")</f>
        <v>1RTjztF0M6g7xcSJNmqN1nHi0V-gzwXQuBB4-RbMrIdA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IFERROR(__xludf.DUMMYFUNCTION("""COMPUTED_VALUE"""),"AddCustomViewRightClickPM")</f>
        <v>AddCustomViewRightClickPM</v>
      </c>
      <c r="C330" t="str">
        <f>IFERROR(__xludf.DUMMYFUNCTION("""COMPUTED_VALUE"""),"1oiSYwztRGp8xzlvAitHk5O2zskEABIhO5tgHUEL1svc")</f>
        <v>1oiSYwztRGp8xzlvAitHk5O2zskEABIhO5tgHUEL1svc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IFERROR(__xludf.DUMMYFUNCTION("""COMPUTED_VALUE"""),"RenameCustomViewPM")</f>
        <v>RenameCustomViewPM</v>
      </c>
      <c r="C331" t="str">
        <f>IFERROR(__xludf.DUMMYFUNCTION("""COMPUTED_VALUE"""),"17QovWM75UjApdwFwFRSmfy8ed2oBNL4vbwf5BJpKNtg")</f>
        <v>17QovWM75UjApdwFwFRSmfy8ed2oBNL4vbwf5BJpKNtg</v>
      </c>
    </row>
    <row r="332" ht="15.75" customHeight="1">
      <c r="A332" t="str">
        <f>IFERROR(__xludf.DUMMYFUNCTION("""COMPUTED_VALUE"""),"PortfolioManagement")</f>
        <v>PortfolioManagement</v>
      </c>
      <c r="B332" t="str">
        <f>IFERROR(__xludf.DUMMYFUNCTION("""COMPUTED_VALUE"""),"DeleteCustomViewPM")</f>
        <v>DeleteCustomViewPM</v>
      </c>
      <c r="C332" t="str">
        <f>IFERROR(__xludf.DUMMYFUNCTION("""COMPUTED_VALUE"""),"1_kadfg1NiQaQ44l2s4JaAOdX0oK0uIiEpEpcE8kSXc4")</f>
        <v>1_kadfg1NiQaQ44l2s4JaAOdX0oK0uIiEpEpcE8kSXc4</v>
      </c>
    </row>
    <row r="333" ht="15.75" customHeight="1">
      <c r="A333" t="str">
        <f>IFERROR(__xludf.DUMMYFUNCTION("""COMPUTED_VALUE"""),"Closing")</f>
        <v>Closing</v>
      </c>
      <c r="B333" t="str">
        <f>IFERROR(__xludf.DUMMYFUNCTION("""COMPUTED_VALUE"""),"SetClosingPreference")</f>
        <v>SetClosingPreference</v>
      </c>
      <c r="C333" t="str">
        <f>IFERROR(__xludf.DUMMYFUNCTION("""COMPUTED_VALUE"""),"1rIgT_oUd8VYn3uvQkaqypsWXPI5mArskMgfPFTMOqy4")</f>
        <v>1rIgT_oUd8VYn3uvQkaqypsWXPI5mArskMgfPFTMOqy4</v>
      </c>
    </row>
    <row r="334" ht="15.75" customHeight="1">
      <c r="A334" t="str">
        <f>IFERROR(__xludf.DUMMYFUNCTION("""COMPUTED_VALUE"""),"CreateTransaction")</f>
        <v>CreateTransaction</v>
      </c>
      <c r="B334" t="str">
        <f>IFERROR(__xludf.DUMMYFUNCTION("""COMPUTED_VALUE"""),"SaveTransaction")</f>
        <v>SaveTransaction</v>
      </c>
      <c r="C334" t="str">
        <f>IFERROR(__xludf.DUMMYFUNCTION("""COMPUTED_VALUE"""),"Undefined")</f>
        <v>Undefined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IFERROR(__xludf.DUMMYFUNCTION("""COMPUTED_VALUE"""),"EditUnallocatedGrid")</f>
        <v>EditUnallocatedGrid</v>
      </c>
      <c r="C335" t="str">
        <f>IFERROR(__xludf.DUMMYFUNCTION("""COMPUTED_VALUE"""),"1CjzXvuGPVDt7n4wJXsXH_CROBLKwj-GiagtBRetK2qU")</f>
        <v>1CjzXvuGPVDt7n4wJXsXH_CROBLKwj-GiagtBRetK2qU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IFERROR(__xludf.DUMMYFUNCTION("""COMPUTED_VALUE"""),"EditAllocatedGrid")</f>
        <v>EditAllocatedGrid</v>
      </c>
      <c r="C336" t="str">
        <f>IFERROR(__xludf.DUMMYFUNCTION("""COMPUTED_VALUE"""),"17D-CeSv7zeLu6w3e6KeVgmSR8GUhyfnVkMBKFVBrARI")</f>
        <v>17D-CeSv7zeLu6w3e6KeVgmSR8GUhyfnVkMBKFVBrARI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IFERROR(__xludf.DUMMYFUNCTION("""COMPUTED_VALUE"""),"SetPTTPreference")</f>
        <v>SetPTTPreference</v>
      </c>
      <c r="C337" t="str">
        <f>IFERROR(__xludf.DUMMYFUNCTION("""COMPUTED_VALUE"""),"1JV2odq8th8dTkDYRpq9RVp4raTtWdmbKUn5nMJX441s")</f>
        <v>1JV2odq8th8dTkDYRpq9RVp4raTtWdmbKUn5nMJX441s</v>
      </c>
    </row>
    <row r="338" ht="15.75" customHeight="1">
      <c r="A338" t="str">
        <f>IFERROR(__xludf.DUMMYFUNCTION("""COMPUTED_VALUE"""),"PTT")</f>
        <v>PTT</v>
      </c>
      <c r="B338" t="str">
        <f>IFERROR(__xludf.DUMMYFUNCTION("""COMPUTED_VALUE"""),"SetLongShortPTTPreference")</f>
        <v>SetLongShortPTTPreference</v>
      </c>
      <c r="C338" t="str">
        <f>IFERROR(__xludf.DUMMYFUNCTION("""COMPUTED_VALUE"""),"1sVj_55a0V51yYMgEL9RB8hYTgtzHoJcBI5hYzjILSRk")</f>
        <v>1sVj_55a0V51yYMgEL9RB8hYTgtzHoJcBI5hYzjILSRk</v>
      </c>
    </row>
    <row r="339" ht="15.75" customHeight="1">
      <c r="A339" t="str">
        <f>IFERROR(__xludf.DUMMYFUNCTION("""COMPUTED_VALUE"""),"TradingTicket")</f>
        <v>TradingTicket</v>
      </c>
      <c r="B339" t="str">
        <f>IFERROR(__xludf.DUMMYFUNCTION("""COMPUTED_VALUE"""),"VerifyTT")</f>
        <v>VerifyTT</v>
      </c>
      <c r="C339" t="str">
        <f>IFERROR(__xludf.DUMMYFUNCTION("""COMPUTED_VALUE"""),"1OWqgdRDfNIdrJXb61LMsF2wWIdH59kPrc-oGeZc1MEI")</f>
        <v>1OWqgdRDfNIdrJXb61LMsF2wWIdH59kPrc-oGeZc1MEI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IFERROR(__xludf.DUMMYFUNCTION("""COMPUTED_VALUE"""),"SaveLayoutAllocatedGrid")</f>
        <v>SaveLayoutAllocatedGrid</v>
      </c>
      <c r="C340" t="str">
        <f>IFERROR(__xludf.DUMMYFUNCTION("""COMPUTED_VALUE"""),"1aZcLqglE7GPm90-oMIdSJp7HlQrA30JIDZ-M2a2zcms")</f>
        <v>1aZcLqglE7GPm90-oMIdSJp7HlQrA30JIDZ-M2a2zcms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IFERROR(__xludf.DUMMYFUNCTION("""COMPUTED_VALUE"""),"SaveLayoutUnallocatedGrid")</f>
        <v>SaveLayoutUnallocatedGrid</v>
      </c>
      <c r="C341" t="str">
        <f>IFERROR(__xludf.DUMMYFUNCTION("""COMPUTED_VALUE"""),"1vcbfMsKMqF_V0OadQLfepNtS8WnwHqU0WFEA0aT_HeU")</f>
        <v>1vcbfMsKMqF_V0OadQLfepNtS8WnwHqU0WFEA0aT_HeU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IFERROR(__xludf.DUMMYFUNCTION("""COMPUTED_VALUE"""),"SaveLayoutAllocationUI")</f>
        <v>SaveLayoutAllocationUI</v>
      </c>
      <c r="C342" t="str">
        <f>IFERROR(__xludf.DUMMYFUNCTION("""COMPUTED_VALUE"""),"12wm-nFx8_xYkNhDb-kzakUa7uPl25NpCXbma6t3ZfiQ")</f>
        <v>12wm-nFx8_xYkNhDb-kzakUa7uPl25NpCXbma6t3ZfiQ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IFERROR(__xludf.DUMMYFUNCTION("""COMPUTED_VALUE"""),"ClearFiltersAllocatedGrid")</f>
        <v>ClearFiltersAllocatedGrid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IFERROR(__xludf.DUMMYFUNCTION("""COMPUTED_VALUE"""),"ClearFiltersUnallocatedGrid")</f>
        <v>ClearFiltersUnallocatedGrid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IFERROR(__xludf.DUMMYFUNCTION("""COMPUTED_VALUE"""),"VerifyLayoutAllocatedGrid")</f>
        <v>VerifyLayoutAllocatedGrid</v>
      </c>
      <c r="C345" t="str">
        <f>IFERROR(__xludf.DUMMYFUNCTION("""COMPUTED_VALUE"""),"1K-KHAWECCYGz8BTjRLH44g9Ol1pMUScm2Kx6yUQE7BU")</f>
        <v>1K-KHAWECCYGz8BTjRLH44g9Ol1pMUScm2Kx6yUQE7BU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IFERROR(__xludf.DUMMYFUNCTION("""COMPUTED_VALUE"""),"VerifyLayoutUnallocatedGrid")</f>
        <v>VerifyLayoutUnallocatedGrid</v>
      </c>
      <c r="C346" t="str">
        <f>IFERROR(__xludf.DUMMYFUNCTION("""COMPUTED_VALUE"""),"1sesgPiGJtT-Ey32zmnnKdOdBkvOJ6shdKgN--cZCNaM")</f>
        <v>1sesgPiGJtT-Ey32zmnnKdOdBkvOJ6shdKgN--cZCNaM</v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IFERROR(__xludf.DUMMYFUNCTION("""COMPUTED_VALUE"""),"UpdateForexConversionMonthly")</f>
        <v>UpdateForexConversionMonthly</v>
      </c>
      <c r="C347" t="str">
        <f>IFERROR(__xludf.DUMMYFUNCTION("""COMPUTED_VALUE"""),"1tWcQwLro3p26kKsWI6Z1I7GtylC9L1lsnTqAwHOZKzA")</f>
        <v>1tWcQwLro3p26kKsWI6Z1I7GtylC9L1lsnTqAwHOZKzA</v>
      </c>
    </row>
    <row r="348" ht="15.75" customHeight="1">
      <c r="A348" t="str">
        <f>IFERROR(__xludf.DUMMYFUNCTION("""COMPUTED_VALUE"""),"GeneralLedger")</f>
        <v>GeneralLedger</v>
      </c>
      <c r="B348" t="str">
        <f>IFERROR(__xludf.DUMMYFUNCTION("""COMPUTED_VALUE"""),"SaveTransaction")</f>
        <v>SaveTransaction</v>
      </c>
      <c r="C348" t="str">
        <f>IFERROR(__xludf.DUMMYFUNCTION("""COMPUTED_VALUE"""),"Undefined")</f>
        <v>Undefined</v>
      </c>
    </row>
    <row r="349" ht="15.75" customHeight="1">
      <c r="A349" t="str">
        <f>IFERROR(__xludf.DUMMYFUNCTION("""COMPUTED_VALUE"""),"DailyValuation")</f>
        <v>DailyValuation</v>
      </c>
      <c r="B349" t="str">
        <f>IFERROR(__xludf.DUMMYFUNCTION("""COMPUTED_VALUE"""),"UpdateMarkPriceMonthly")</f>
        <v>UpdateMarkPriceMonthly</v>
      </c>
      <c r="C349" t="str">
        <f>IFERROR(__xludf.DUMMYFUNCTION("""COMPUTED_VALUE"""),"1jdvjXxtQbc6B4hMFjCuUSHjrKwafI_4dN8zjMvnoryE")</f>
        <v>1jdvjXxtQbc6B4hMFjCuUSHjrKwafI_4dN8zjMvnoryE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IFERROR(__xludf.DUMMYFUNCTION("""COMPUTED_VALUE"""),"CleanUp")</f>
        <v>CleanUp</v>
      </c>
      <c r="C350" t="str">
        <f>IFERROR(__xludf.DUMMYFUNCTION("""COMPUTED_VALUE"""),"1LNsU7ep1l4cr_oy_uI86EJ1CkvkLHF6Yo0WOMRU74S8")</f>
        <v>1LNsU7ep1l4cr_oy_uI86EJ1CkvkLHF6Yo0WOMRU74S8</v>
      </c>
    </row>
    <row r="351" ht="15.75" customHeight="1">
      <c r="A351" t="str">
        <f>IFERROR(__xludf.DUMMYFUNCTION("""COMPUTED_VALUE"""),"Allocation")</f>
        <v>Allocation</v>
      </c>
      <c r="B351" t="str">
        <f>IFERROR(__xludf.DUMMYFUNCTION("""COMPUTED_VALUE"""),"CheckAllocatedTaxlots")</f>
        <v>CheckAllocatedTaxlots</v>
      </c>
      <c r="C351" t="str">
        <f>IFERROR(__xludf.DUMMYFUNCTION("""COMPUTED_VALUE"""),"1eGXUoChdJAU0jioBXcfFCco8AUptTMF3X3Ej_eTbGKk")</f>
        <v>1eGXUoChdJAU0jioBXcfFCco8AUptTMF3X3Ej_eTbGKk</v>
      </c>
    </row>
    <row r="352" ht="15.75" customHeight="1">
      <c r="A352" t="str">
        <f>IFERROR(__xludf.DUMMYFUNCTION("""COMPUTED_VALUE"""),"Closing")</f>
        <v>Closing</v>
      </c>
      <c r="B352" t="str">
        <f>IFERROR(__xludf.DUMMYFUNCTION("""COMPUTED_VALUE"""),"EditTradeUnexpiredUnsettled")</f>
        <v>EditTradeUnexpiredUnsettled</v>
      </c>
      <c r="C352" t="str">
        <f>IFERROR(__xludf.DUMMYFUNCTION("""COMPUTED_VALUE"""),"14HIfvcWxAjFiWkRU_cqPRIr9M_uQUpK5PUWLB8-QGeY")</f>
        <v>14HIfvcWxAjFiWkRU_cqPRIr9M_uQUpK5PUWLB8-QGeY</v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IFERROR(__xludf.DUMMYFUNCTION("""COMPUTED_VALUE"""),"VerifyThirdPartyView")</f>
        <v>VerifyThirdPartyView</v>
      </c>
      <c r="C353" t="str">
        <f>IFERROR(__xludf.DUMMYFUNCTION("""COMPUTED_VALUE"""),"1PlxAVmA1kQxKEDdmir_dZ2yCnS0sczqxaxI14lspQRc")</f>
        <v>1PlxAVmA1kQxKEDdmir_dZ2yCnS0sczqxaxI14lspQRc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IFERROR(__xludf.DUMMYFUNCTION("""COMPUTED_VALUE"""),"CheckCompliance")</f>
        <v>CheckCompliance</v>
      </c>
      <c r="C354" t="str">
        <f>IFERROR(__xludf.DUMMYFUNCTION("""COMPUTED_VALUE"""),"1V1RvmzETVxcH9CLybyKXqI5pWvziKkgQY1hpXLZpRb0")</f>
        <v>1V1RvmzETVxcH9CLybyKXqI5pWvziKkgQY1hpXLZpRb0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IFERROR(__xludf.DUMMYFUNCTION("""COMPUTED_VALUE"""),"VerifyAccountDivisorWindow")</f>
        <v>VerifyAccountDivisorWindow</v>
      </c>
      <c r="C355" t="str">
        <f>IFERROR(__xludf.DUMMYFUNCTION("""COMPUTED_VALUE"""),"1AQl7WcPdSUJr2euw305eRRQMuZWLmiJXK_zLYXfXpe0")</f>
        <v>1AQl7WcPdSUJr2euw305eRRQMuZWLmiJXK_zLYXfXpe0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IFERROR(__xludf.DUMMYFUNCTION("""COMPUTED_VALUE"""),"VerifyAccountSymbolDivisorWindow")</f>
        <v>VerifyAccountSymbolDivisorWindow</v>
      </c>
      <c r="C356" t="str">
        <f>IFERROR(__xludf.DUMMYFUNCTION("""COMPUTED_VALUE"""),"16JaseGtsYIGOyEASc-NbgrrX2NsXB9UQxLaelT6YRgQ")</f>
        <v>16JaseGtsYIGOyEASc-NbgrrX2NsXB9UQxLaelT6YRgQ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IFERROR(__xludf.DUMMYFUNCTION("""COMPUTED_VALUE"""),"VerifyAggregationAccountSymbolWithNav")</f>
        <v>VerifyAggregationAccountSymbolWithNav</v>
      </c>
      <c r="C357" t="str">
        <f>IFERROR(__xludf.DUMMYFUNCTION("""COMPUTED_VALUE"""),"1HqBILRs6rj75XQAhwegUY0yUgq0DFvsYJU1JqOKcCWw")</f>
        <v>1HqBILRs6rj75XQAhwegUY0yUgq0DFvsYJU1JqOKcCWw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IFERROR(__xludf.DUMMYFUNCTION("""COMPUTED_VALUE"""),"VerifyAggregationAccountWithNav")</f>
        <v>VerifyAggregationAccountWithNav</v>
      </c>
      <c r="C358" t="str">
        <f>IFERROR(__xludf.DUMMYFUNCTION("""COMPUTED_VALUE"""),"10senHLHNcYUh0kxAWl1Up6T7v4TtqcfQeVnNDTArAjg")</f>
        <v>10senHLHNcYUh0kxAWl1Up6T7v4TtqcfQeVnNDTArAjg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IFERROR(__xludf.DUMMYFUNCTION("""COMPUTED_VALUE"""),"VerifyAggregationMasterFundSymbolWithNav")</f>
        <v>VerifyAggregationMasterFundSymbolWithNav</v>
      </c>
      <c r="C359" t="str">
        <f>IFERROR(__xludf.DUMMYFUNCTION("""COMPUTED_VALUE"""),"1hpCDxexdBt2bsLnkKN6YERG6qu69pm_lyvTpfWmMM5Y")</f>
        <v>1hpCDxexdBt2bsLnkKN6YERG6qu69pm_lyvTpfWmMM5Y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IFERROR(__xludf.DUMMYFUNCTION("""COMPUTED_VALUE"""),"VerifyAggregationMasterFundUnderlyingSymbolWithNav")</f>
        <v>VerifyAggregationMasterFundUnderlyingSymbolWithNav</v>
      </c>
      <c r="C360" t="str">
        <f>IFERROR(__xludf.DUMMYFUNCTION("""COMPUTED_VALUE"""),"1StAxeCnhmJunJOF4qJw7V7rZDdzeSnvX__M_m1ZuPnM")</f>
        <v>1StAxeCnhmJunJOF4qJw7V7rZDdzeSnvX__M_m1ZuPnM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IFERROR(__xludf.DUMMYFUNCTION("""COMPUTED_VALUE"""),"VerifyAggregationMasterFundWithNav")</f>
        <v>VerifyAggregationMasterFundWithNav</v>
      </c>
      <c r="C361" t="str">
        <f>IFERROR(__xludf.DUMMYFUNCTION("""COMPUTED_VALUE"""),"1Jz70Q9qwZ_KOtJ0prDxI5KzBnE_QVBCDBZH3r44j7P8")</f>
        <v>1Jz70Q9qwZ_KOtJ0prDxI5KzBnE_QVBCDBZH3r44j7P8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IFERROR(__xludf.DUMMYFUNCTION("""COMPUTED_VALUE"""),"VerifyAggregationSectorWithNav")</f>
        <v>VerifyAggregationSectorWithNav</v>
      </c>
      <c r="C362" t="str">
        <f>IFERROR(__xludf.DUMMYFUNCTION("""COMPUTED_VALUE"""),"1LOLJZdwbbwm5MWN6Aj_y28uGgG8a5k52W10D4WJ-qkQ")</f>
        <v>1LOLJZdwbbwm5MWN6Aj_y28uGgG8a5k52W10D4WJ-qkQ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IFERROR(__xludf.DUMMYFUNCTION("""COMPUTED_VALUE"""),"VerifyAggregationUnderlyingSymbolWithNav")</f>
        <v>VerifyAggregationUnderlyingSymbolWithNav</v>
      </c>
      <c r="C363" t="str">
        <f>IFERROR(__xludf.DUMMYFUNCTION("""COMPUTED_VALUE"""),"1IlOCDJWqGZHQTQtKCdo8xvCewBQR_Pw60YZtZIktB4g")</f>
        <v>1IlOCDJWqGZHQTQtKCdo8xvCewBQR_Pw60YZtZIktB4g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IFERROR(__xludf.DUMMYFUNCTION("""COMPUTED_VALUE"""),"VerifyAuecWindow")</f>
        <v>VerifyAuecWindow</v>
      </c>
      <c r="C364" t="str">
        <f>IFERROR(__xludf.DUMMYFUNCTION("""COMPUTED_VALUE"""),"1RjKrb8uRhjiDYhV2_08MxltmgLmu-Nvd19RVEJ5t5fU")</f>
        <v>1RjKrb8uRhjiDYhV2_08MxltmgLmu-Nvd19RVEJ5t5fU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IFERROR(__xludf.DUMMYFUNCTION("""COMPUTED_VALUE"""),"VerifyBetaWindow")</f>
        <v>VerifyBetaWindow</v>
      </c>
      <c r="C365" t="str">
        <f>IFERROR(__xludf.DUMMYFUNCTION("""COMPUTED_VALUE"""),"1QSOAd6hb8iMGX99AAmBzh30ETFcaz04qbf8FEfLeYvg")</f>
        <v>1QSOAd6hb8iMGX99AAmBzh30ETFcaz04qbf8FEfLeYvg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IFERROR(__xludf.DUMMYFUNCTION("""COMPUTED_VALUE"""),"VerifyCustomSymbolDataWindow")</f>
        <v>VerifyCustomSymbolDataWindow</v>
      </c>
      <c r="C366" t="str">
        <f>IFERROR(__xludf.DUMMYFUNCTION("""COMPUTED_VALUE"""),"1giMfU5SJAKDQXA1Q4k75EmpXWW3khjzRDSVLnhL0EIY")</f>
        <v>1giMfU5SJAKDQXA1Q4k75EmpXWW3khjzRDSVLnhL0EIY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IFERROR(__xludf.DUMMYFUNCTION("""COMPUTED_VALUE"""),"VerifyDayEndCashAccountWindow")</f>
        <v>VerifyDayEndCashAccountWindow</v>
      </c>
      <c r="C367" t="str">
        <f>IFERROR(__xludf.DUMMYFUNCTION("""COMPUTED_VALUE"""),"1uiC0ZQIk0iOlMA5Va1xcENNDotJcx9lYGyBUwg9Hgto")</f>
        <v>1uiC0ZQIk0iOlMA5Va1xcENNDotJcx9lYGyBUwg9Hgto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IFERROR(__xludf.DUMMYFUNCTION("""COMPUTED_VALUE"""),"VerifyDbNavWindow")</f>
        <v>VerifyDbNavWindow</v>
      </c>
      <c r="C368" t="str">
        <f>IFERROR(__xludf.DUMMYFUNCTION("""COMPUTED_VALUE"""),"1SY6I7Y1kNH4RpCgdDlY3E-h8usrAsSq5w0L2A_JbP0E")</f>
        <v>1SY6I7Y1kNH4RpCgdDlY3E-h8usrAsSq5w0L2A_JbP0E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IFERROR(__xludf.DUMMYFUNCTION("""COMPUTED_VALUE"""),"VerifyGlobalDivisorWindow")</f>
        <v>VerifyGlobalDivisorWindow</v>
      </c>
      <c r="C369" t="str">
        <f>IFERROR(__xludf.DUMMYFUNCTION("""COMPUTED_VALUE"""),"1k5EBRXPiJ1hAJdYsT4pHusMAvNL8WFGRU-AVEwxmWtw")</f>
        <v>1k5EBRXPiJ1hAJdYsT4pHusMAvNL8WFGRU-AVEwxmWtw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IFERROR(__xludf.DUMMYFUNCTION("""COMPUTED_VALUE"""),"VerifyPmCalculationPreferenceWindow")</f>
        <v>VerifyPmCalculationPreferenceWindow</v>
      </c>
      <c r="C370" t="str">
        <f>IFERROR(__xludf.DUMMYFUNCTION("""COMPUTED_VALUE"""),"132M3XrMLcOse0wnuxC6V3UrkiB8-BoFhvU2tLauJ0N4")</f>
        <v>132M3XrMLcOse0wnuxC6V3UrkiB8-BoFhvU2tLauJ0N4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IFERROR(__xludf.DUMMYFUNCTION("""COMPUTED_VALUE"""),"VerifyRowCalculationBaseWindow")</f>
        <v>VerifyRowCalculationBaseWindow</v>
      </c>
      <c r="C371" t="str">
        <f>IFERROR(__xludf.DUMMYFUNCTION("""COMPUTED_VALUE"""),"1cajGzH7tqLxFC8BnuHlMCg-SRNTsx7KgHS6low_imiw")</f>
        <v>1cajGzH7tqLxFC8BnuHlMCg-SRNTsx7KgHS6low_imiw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IFERROR(__xludf.DUMMYFUNCTION("""COMPUTED_VALUE"""),"VerifySecurityWindow")</f>
        <v>VerifySecurityWindow</v>
      </c>
      <c r="C372" t="str">
        <f>IFERROR(__xludf.DUMMYFUNCTION("""COMPUTED_VALUE"""),"1FIVvYeBou_v0Rajgdlg4Dn259vj948a4ITnN6XGPiHY")</f>
        <v>1FIVvYeBou_v0Rajgdlg4Dn259vj948a4ITnN6XGPiHY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IFERROR(__xludf.DUMMYFUNCTION("""COMPUTED_VALUE"""),"VerifySymbolDataWindow")</f>
        <v>VerifySymbolDataWindow</v>
      </c>
      <c r="C373" t="str">
        <f>IFERROR(__xludf.DUMMYFUNCTION("""COMPUTED_VALUE"""),"1OAVpHXxYG9sHC2AdPSAmYbRcNgndP44OYbO-bvaSKIE")</f>
        <v>1OAVpHXxYG9sHC2AdPSAmYbRcNgndP44OYbO-bvaSKIE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IFERROR(__xludf.DUMMYFUNCTION("""COMPUTED_VALUE"""),"VerifySymbolDivisorWindow")</f>
        <v>VerifySymbolDivisorWindow</v>
      </c>
      <c r="C374" t="str">
        <f>IFERROR(__xludf.DUMMYFUNCTION("""COMPUTED_VALUE"""),"1deUHsiNLHEEsp-GNB4X4XUHjBGdMJF84xLmjUIBUcLA")</f>
        <v>1deUHsiNLHEEsp-GNB4X4XUHjBGdMJF84xLmjUIBUcLA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IFERROR(__xludf.DUMMYFUNCTION("""COMPUTED_VALUE"""),"VerifyTaxlotWindow")</f>
        <v>VerifyTaxlotWindow</v>
      </c>
      <c r="C375" t="str">
        <f>IFERROR(__xludf.DUMMYFUNCTION("""COMPUTED_VALUE"""),"1mnKl6jHQhD7AEx1jzxfLWuc2Kv5kLcwPNU4smHImEPs")</f>
        <v>1mnKl6jHQhD7AEx1jzxfLWuc2Kv5kLcwPNU4smHImEPs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IFERROR(__xludf.DUMMYFUNCTION("""COMPUTED_VALUE"""),"RestartEsper")</f>
        <v>RestartEsper</v>
      </c>
      <c r="C376" t="str">
        <f>IFERROR(__xludf.DUMMYFUNCTION("""COMPUTED_VALUE"""),"Undefined")</f>
        <v>Undefined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IFERROR(__xludf.DUMMYFUNCTION("""COMPUTED_VALUE"""),"VerifyAccountNavPreferenceWindow")</f>
        <v>VerifyAccountNavPreferenceWindow</v>
      </c>
      <c r="C377" t="str">
        <f>IFERROR(__xludf.DUMMYFUNCTION("""COMPUTED_VALUE"""),"1nf8W2oy_M0GSmFfcCFHOYCHWUwLMlzqDUSGBR36IbaI")</f>
        <v>1nf8W2oy_M0GSmFfcCFHOYCHWUwLMlzqDUSGBR36IbaI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VerifyAggregationAccountUnderlyingSymbolWithNav")</f>
        <v> VerifyAggregationAccountUnderlyingSymbolWithNav</v>
      </c>
      <c r="C378" t="str">
        <f>IFERROR(__xludf.DUMMYFUNCTION("""COMPUTED_VALUE"""),"1jjVXzRolyFKUIxrpIo6DtnV6bx2CUj1M_kCNY_vsgy4")</f>
        <v>1jjVXzRolyFKUIxrpIo6DtnV6bx2CUj1M_kCNY_vsgy4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IFERROR(__xludf.DUMMYFUNCTION("""COMPUTED_VALUE"""),"VerifyAggregationAssetWithNav")</f>
        <v>VerifyAggregationAssetWithNav</v>
      </c>
      <c r="C379" t="str">
        <f>IFERROR(__xludf.DUMMYFUNCTION("""COMPUTED_VALUE"""),"18RcQxNwhAWOwcmy59o0cucJIdPSl6sADpFYIcsJ5sqo")</f>
        <v>18RcQxNwhAWOwcmy59o0cucJIdPSl6sADpFYIcsJ5sqo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IFERROR(__xludf.DUMMYFUNCTION("""COMPUTED_VALUE"""),"VerifyAggregationSymbolWithNav")</f>
        <v>VerifyAggregationSymbolWithNav</v>
      </c>
      <c r="C380" t="str">
        <f>IFERROR(__xludf.DUMMYFUNCTION("""COMPUTED_VALUE"""),"1C2o5-jwhnctEvEaVDDPBZz0tGyVsNv4VW3fW1bOL5TQ")</f>
        <v>1C2o5-jwhnctEvEaVDDPBZz0tGyVsNv4VW3fW1bOL5TQ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IFERROR(__xludf.DUMMYFUNCTION("""COMPUTED_VALUE"""),"VerifyAggregationSubSectorWithNav")</f>
        <v>VerifyAggregationSubSectorWithNav</v>
      </c>
      <c r="C381" t="str">
        <f>IFERROR(__xludf.DUMMYFUNCTION("""COMPUTED_VALUE"""),"1eX2Mfhb7koI3BhKKW6izvlEfitWdKST9vScAS14DYj0")</f>
        <v>1eX2Mfhb7koI3BhKKW6izvlEfitWdKST9vScAS14DYj0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IFERROR(__xludf.DUMMYFUNCTION("""COMPUTED_VALUE"""),"VerifyAggregationGlobalWithNav")</f>
        <v>VerifyAggregationGlobalWithNav</v>
      </c>
      <c r="C382" t="str">
        <f>IFERROR(__xludf.DUMMYFUNCTION("""COMPUTED_VALUE"""),"1CBXHBOOctFe-5Xw_99Yv2wghGcigXObx30_17CJORTs")</f>
        <v>1CBXHBOOctFe-5Xw_99Yv2wghGcigXObx30_17CJORTs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VerifyAggregationGlobalWithNav")</f>
        <v> VerifyAggregationGlobalWithNav</v>
      </c>
      <c r="C383" t="str">
        <f>IFERROR(__xludf.DUMMYFUNCTION("""COMPUTED_VALUE"""),"1CBXHBOOctFe-5Xw_99Yv2wghGcigXObx30_17CJORTs")</f>
        <v>1CBXHBOOctFe-5Xw_99Yv2wghGcigXObx30_17CJORTs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IFERROR(__xludf.DUMMYFUNCTION("""COMPUTED_VALUE"""),"1k5EBRXPiJ1hAJdYsT4pHusMAvNL8WFGRU-AVEwxmWtw")</f>
        <v>1k5EBRXPiJ1hAJdYsT4pHusMAvNL8WFGRU-AVEwxmWtw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 VerifyAccrualForAccountWindow")</f>
        <v> VerifyAccrualForAccountWindow</v>
      </c>
      <c r="C385" t="str">
        <f>IFERROR(__xludf.DUMMYFUNCTION("""COMPUTED_VALUE"""),"1c_NLMk5uy2GW1oz-Zyz2EOEkjIs10v95M_q-jh7vKvs")</f>
        <v>1c_NLMk5uy2GW1oz-Zyz2EOEkjIs10v95M_q-jh7vKvs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IFERROR(__xludf.DUMMYFUNCTION("""COMPUTED_VALUE"""),"VerifyGlobalDivisorWindow")</f>
        <v>VerifyGlobalDivisorWindow</v>
      </c>
      <c r="C386" t="str">
        <f>IFERROR(__xludf.DUMMYFUNCTION("""COMPUTED_VALUE"""),"1k5EBRXPiJ1hAJdYsT4pHusMAvNL8WFGRU-AVEwxmWtw")</f>
        <v>1k5EBRXPiJ1hAJdYsT4pHusMAvNL8WFGRU-AVEwxmWtw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IFERROR(__xludf.DUMMYFUNCTION("""COMPUTED_VALUE"""),"VerifyMasterFundDivisorWindow")</f>
        <v>VerifyMasterFundDivisorWindow</v>
      </c>
      <c r="C387" t="str">
        <f>IFERROR(__xludf.DUMMYFUNCTION("""COMPUTED_VALUE"""),"1eiadZFi4EpW3GFqZaaoMFvWshTpPlk6F-hWhIJ18reQ")</f>
        <v>1eiadZFi4EpW3GFqZaaoMFvWshTpPlk6F-hWhIJ18reQ</v>
      </c>
    </row>
    <row r="388" ht="15.75" customHeight="1">
      <c r="A388" t="str">
        <f>IFERROR(__xludf.DUMMYFUNCTION("""COMPUTED_VALUE"""),"Compliance")</f>
        <v>Compliance</v>
      </c>
      <c r="B388" t="str">
        <f>IFERROR(__xludf.DUMMYFUNCTION("""COMPUTED_VALUE"""),"VerifyMasterFundSymbolDivisorWindow")</f>
        <v>VerifyMasterFundSymbolDivisorWindow</v>
      </c>
      <c r="C388" t="str">
        <f>IFERROR(__xludf.DUMMYFUNCTION("""COMPUTED_VALUE"""),"1tLvFabe6MOsJmg5CfsfrJ40ICMChWvnF-hcgnxRUcCc")</f>
        <v>1tLvFabe6MOsJmg5CfsfrJ40ICMChWvnF-hcgnxRUcCc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IFERROR(__xludf.DUMMYFUNCTION("""COMPUTED_VALUE"""),"FetchAccountPositions")</f>
        <v>FetchAccountPositions</v>
      </c>
      <c r="C389" t="str">
        <f>IFERROR(__xludf.DUMMYFUNCTION("""COMPUTED_VALUE"""),"1AwaQXJiwQ63pRdslfNamOnTIfyFa9PYlvDCRG8Moj7I")</f>
        <v>1AwaQXJiwQ63pRdslfNamOnTIfyFa9PYlvDCRG8Moj7I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IFERROR(__xludf.DUMMYFUNCTION("""COMPUTED_VALUE"""),"AddCash")</f>
        <v>AddCash</v>
      </c>
      <c r="C390" t="str">
        <f>IFERROR(__xludf.DUMMYFUNCTION("""COMPUTED_VALUE"""),"1AXzHAJjwT-9_5UW_XZw8Dwg7yp7Wz6mPkc0bQTXu160")</f>
        <v>1AXzHAJjwT-9_5UW_XZw8Dwg7yp7Wz6mPkc0bQTXu160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IFERROR(__xludf.DUMMYFUNCTION("""COMPUTED_VALUE"""),"VerifyGridData")</f>
        <v>VerifyGridData</v>
      </c>
      <c r="C391" t="str">
        <f>IFERROR(__xludf.DUMMYFUNCTION("""COMPUTED_VALUE"""),"1B7i0IoV9AO1bwZU3Tp_Qg16uzTHINgkzk9LQZ0sW_fs")</f>
        <v>1B7i0IoV9AO1bwZU3Tp_Qg16uzTHINgkzk9LQZ0sW_fs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IFERROR(__xludf.DUMMYFUNCTION("""COMPUTED_VALUE"""),"RunRebalance")</f>
        <v>RunRebalance</v>
      </c>
      <c r="C392" t="str">
        <f>IFERROR(__xludf.DUMMYFUNCTION("""COMPUTED_VALUE"""),"1CEnDaSGOuGcFNjm3hHd8aBDyUcX0sT7u_R9_4qKqDQg")</f>
        <v>1CEnDaSGOuGcFNjm3hHd8aBDyUcX0sT7u_R9_4qKqDQg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IFERROR(__xludf.DUMMYFUNCTION("""COMPUTED_VALUE"""),"EnableComplianceTab")</f>
        <v>EnableComplianceTab</v>
      </c>
      <c r="C393" t="str">
        <f>IFERROR(__xludf.DUMMYFUNCTION("""COMPUTED_VALUE"""),"Undefined")</f>
        <v>Undefined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IFERROR(__xludf.DUMMYFUNCTION("""COMPUTED_VALUE"""),"RebalancePreference")</f>
        <v>RebalancePreference</v>
      </c>
      <c r="C394" t="str">
        <f>IFERROR(__xludf.DUMMYFUNCTION("""COMPUTED_VALUE"""),"1I1ruBtO8EtWeNS27V6l1CtRbmFnyCoGYjJeQKaXGO9c")</f>
        <v>1I1ruBtO8EtWeNS27V6l1CtRbmFnyCoGYjJeQKaXGO9c</v>
      </c>
    </row>
    <row r="395" ht="15.75" customHeight="1">
      <c r="A395" t="str">
        <f>IFERROR(__xludf.DUMMYFUNCTION("""COMPUTED_VALUE"""),"Rebalancer")</f>
        <v>Rebalancer</v>
      </c>
      <c r="B395" t="str">
        <f>IFERROR(__xludf.DUMMYFUNCTION("""COMPUTED_VALUE"""),"ImportModelPortfolio")</f>
        <v>ImportModelPortfolio</v>
      </c>
      <c r="C395" t="str">
        <f>IFERROR(__xludf.DUMMYFUNCTION("""COMPUTED_VALUE"""),"1uA3-X_sfdgHpLlla2gmA5qaIeMTJ6myEpMQomvaH57E")</f>
        <v>1uA3-X_sfdgHpLlla2gmA5qaIeMTJ6myEpMQomvaH57E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IFERROR(__xludf.DUMMYFUNCTION("""COMPUTED_VALUE"""),"SelectTrade")</f>
        <v>SelectTrade</v>
      </c>
      <c r="C396" t="str">
        <f>IFERROR(__xludf.DUMMYFUNCTION("""COMPUTED_VALUE"""),"1oJZA4RBw_XCkQDDZBy85ywqvQNpWajanrSAgqZzI13E")</f>
        <v>1oJZA4RBw_XCkQDDZBy85ywqvQNpWajanrSAgqZzI13E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IFERROR(__xludf.DUMMYFUNCTION("""COMPUTED_VALUE"""),"AcknowledgeTrade")</f>
        <v>AcknowledgeTrade</v>
      </c>
      <c r="C397" t="str">
        <f>IFERROR(__xludf.DUMMYFUNCTION("""COMPUTED_VALUE"""),"1CdBYKFFqYhOy4q1BEQGu82mUnF7WNWe4Z814u9beHxI")</f>
        <v>1CdBYKFFqYhOy4q1BEQGu82mUnF7WNWe4Z814u9beHxI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IFERROR(__xludf.DUMMYFUNCTION("""COMPUTED_VALUE"""),"RejectTrade")</f>
        <v>RejectTrade</v>
      </c>
      <c r="C398" t="str">
        <f>IFERROR(__xludf.DUMMYFUNCTION("""COMPUTED_VALUE"""),"1Y1WdSpP2a4mgL9AgFePTD5-O91_kez0RV_3oa79deEo")</f>
        <v>1Y1WdSpP2a4mgL9AgFePTD5-O91_kez0RV_3oa79deEo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IFERROR(__xludf.DUMMYFUNCTION("""COMPUTED_VALUE"""),"ExecuteTrade")</f>
        <v>ExecuteTrade</v>
      </c>
      <c r="C399" t="str">
        <f>IFERROR(__xludf.DUMMYFUNCTION("""COMPUTED_VALUE"""),"1e_0FhonaytFQGqmA2SZC8cqHQ7AVLoOxgvQEkeR849g")</f>
        <v>1e_0FhonaytFQGqmA2SZC8cqHQ7AVLoOxgvQEkeR849g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IFERROR(__xludf.DUMMYFUNCTION("""COMPUTED_VALUE"""),"CancelTrade")</f>
        <v>CancelTrade</v>
      </c>
      <c r="C400" t="str">
        <f>IFERROR(__xludf.DUMMYFUNCTION("""COMPUTED_VALUE"""),"1XgmEBTVWV37ueOSbU-KFxQMdWXS2s9BOXYqMxqKf2BY")</f>
        <v>1XgmEBTVWV37ueOSbU-KFxQMdWXS2s9BOXYqMxqKf2BY</v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IFERROR(__xludf.DUMMYFUNCTION("""COMPUTED_VALUE"""),"OpenLiveTT")</f>
        <v>OpenLiveTT</v>
      </c>
      <c r="C401" t="str">
        <f>IFERROR(__xludf.DUMMYFUNCTION("""COMPUTED_VALUE"""),"1e4CzgxX2NVRwzHvDyPOuiTJca4c8SXcpIGr2QVrjYQI")</f>
        <v>1e4CzgxX2NVRwzHvDyPOuiTJca4c8SXcpIGr2QVrjYQI</v>
      </c>
    </row>
    <row r="402" ht="15.75" customHeight="1">
      <c r="A402" t="str">
        <f>IFERROR(__xludf.DUMMYFUNCTION("""COMPUTED_VALUE"""),"TradingTicket")</f>
        <v>TradingTicket</v>
      </c>
      <c r="B402" t="str">
        <f>IFERROR(__xludf.DUMMYFUNCTION("""COMPUTED_VALUE"""),"CreateLiveOrder")</f>
        <v>CreateLiveOrder</v>
      </c>
      <c r="C402" t="str">
        <f>IFERROR(__xludf.DUMMYFUNCTION("""COMPUTED_VALUE"""),"1YElm81jXxZdxskT731iIp16oGd1p-W5Ffb9MVJDoofg")</f>
        <v>1YElm81jXxZdxskT731iIp16oGd1p-W5Ffb9MVJDoofg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IFERROR(__xludf.DUMMYFUNCTION("""COMPUTED_VALUE"""),"SetManualResponse ")</f>
        <v>SetManualResponse 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IFERROR(__xludf.DUMMYFUNCTION("""COMPUTED_VALUE"""),"Simulator")</f>
        <v>Simulator</v>
      </c>
      <c r="B404" t="str">
        <f>IFERROR(__xludf.DUMMYFUNCTION("""COMPUTED_VALUE"""),"ClearUI")</f>
        <v>ClearUI</v>
      </c>
      <c r="C404" t="str">
        <f>IFERROR(__xludf.DUMMYFUNCTION("""COMPUTED_VALUE"""),"1bi6uYRfzxVu3GJCc3nSEh0YvVqGOtn-spYb06yo_hnY")</f>
        <v>1bi6uYRfzxVu3GJCc3nSEh0YvVqGOtn-spYb06yo_hnY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IFERROR(__xludf.DUMMYFUNCTION("""COMPUTED_VALUE"""),"RebalanceAcrossSecurities")</f>
        <v>RebalanceAcrossSecurities</v>
      </c>
      <c r="C405" t="str">
        <f>IFERROR(__xludf.DUMMYFUNCTION("""COMPUTED_VALUE"""),"1_DQqAXKgUDfMNZ4igcBmYvkPrPEjdQfZcn6_6SIc1LA")</f>
        <v>1_DQqAXKgUDfMNZ4igcBmYvkPrPEjdQfZcn6_6SIc1LA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IFERROR(__xludf.DUMMYFUNCTION("""COMPUTED_VALUE"""),"CheckBasketCompliance")</f>
        <v>CheckBasketCompliance</v>
      </c>
      <c r="C406" t="str">
        <f>IFERROR(__xludf.DUMMYFUNCTION("""COMPUTED_VALUE"""),"1OyBrMYDA5pir_a0JoXRjM-kGt-a_f9fa5fayZhq7gQA")</f>
        <v>1OyBrMYDA5pir_a0JoXRjM-kGt-a_f9fa5fayZhq7gQA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IFERROR(__xludf.DUMMYFUNCTION("""COMPUTED_VALUE"""),"ClearCalculations")</f>
        <v>ClearCalculations</v>
      </c>
      <c r="C407" t="str">
        <f>IFERROR(__xludf.DUMMYFUNCTION("""COMPUTED_VALUE"""),"1YZnEM1XNVemOWc-WrHrlgFWLxrgjrRkjzNt5BMMb0SQ")</f>
        <v>1YZnEM1XNVemOWc-WrHrlgFWLxrgjrRkjzNt5BMMb0SQ</v>
      </c>
    </row>
    <row r="408" ht="15.75" customHeight="1">
      <c r="A408" t="str">
        <f>IFERROR(__xludf.DUMMYFUNCTION("""COMPUTED_VALUE"""),"Rebalancer")</f>
        <v>Rebalancer</v>
      </c>
      <c r="B408" t="str">
        <f>IFERROR(__xludf.DUMMYFUNCTION("""COMPUTED_VALUE"""),"ModifyRebalance")</f>
        <v>ModifyRebalance</v>
      </c>
      <c r="C408" t="str">
        <f>IFERROR(__xludf.DUMMYFUNCTION("""COMPUTED_VALUE"""),"14dJxKOyoZUguSNdGUYEkaQb5fO8cn-Xi7Lvco3mqQT0")</f>
        <v>14dJxKOyoZUguSNdGUYEkaQb5fO8cn-Xi7Lvco3mqQT0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IFERROR(__xludf.DUMMYFUNCTION("""COMPUTED_VALUE"""),"SelectThirdParty")</f>
        <v>SelectThirdParty</v>
      </c>
      <c r="C409" t="str">
        <f>IFERROR(__xludf.DUMMYFUNCTION("""COMPUTED_VALUE"""),"1jjylktggovoVKJ93ygprcwMqE7x5APXRPDlZORnG-lM")</f>
        <v>1jjylktggovoVKJ93ygprcwMqE7x5APXRPDlZORnG-lM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IFERROR(__xludf.DUMMYFUNCTION("""COMPUTED_VALUE"""),"ViewThirdParty")</f>
        <v>ViewThirdParty</v>
      </c>
      <c r="C410" t="str">
        <f>IFERROR(__xludf.DUMMYFUNCTION("""COMPUTED_VALUE"""),"1M_vWwbJmnVHSZCn_aXTbhje_gX1wR7qPtpIVUwfXXEI")</f>
        <v>1M_vWwbJmnVHSZCn_aXTbhje_gX1wR7qPtpIVUwfXXEI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IFERROR(__xludf.DUMMYFUNCTION("""COMPUTED_VALUE"""),"ThirdPartyGenerate")</f>
        <v>ThirdPartyGenerate</v>
      </c>
      <c r="C411" t="str">
        <f>IFERROR(__xludf.DUMMYFUNCTION("""COMPUTED_VALUE"""),"1VY_dfHFF7h6QdGCqKyvQNhL1L0AflvVXqmsJf_-Q-wM")</f>
        <v>1VY_dfHFF7h6QdGCqKyvQNhL1L0AflvVXqmsJf_-Q-wM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IFERROR(__xludf.DUMMYFUNCTION("""COMPUTED_VALUE"""),"VerifyThirdPartyView")</f>
        <v>VerifyThirdPartyView</v>
      </c>
      <c r="C412" t="str">
        <f>IFERROR(__xludf.DUMMYFUNCTION("""COMPUTED_VALUE"""),"1PlxAVmA1kQxKEDdmir_dZ2yCnS0sczqxaxI14lspQRc")</f>
        <v>1PlxAVmA1kQxKEDdmir_dZ2yCnS0sczqxaxI14lspQRc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IFERROR(__xludf.DUMMYFUNCTION("""COMPUTED_VALUE"""),"VerifyThirdPartyGenerate")</f>
        <v>VerifyThirdPartyGenerate</v>
      </c>
      <c r="C413" t="str">
        <f>IFERROR(__xludf.DUMMYFUNCTION("""COMPUTED_VALUE"""),"1wcR0IDUt_nDrixwL4ekhCphzdwkRzSvN74wQc6bqa6I")</f>
        <v>1wcR0IDUt_nDrixwL4ekhCphzdwkRzSvN74wQc6bqa6I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IFERROR(__xludf.DUMMYFUNCTION("""COMPUTED_VALUE"""),"VerifyThirdPartySend")</f>
        <v>VerifyThirdPartySend</v>
      </c>
      <c r="C414" t="str">
        <f>IFERROR(__xludf.DUMMYFUNCTION("""COMPUTED_VALUE"""),"1xMTnPgjA-5czlK--QDF7kSLwwzm_Nr_U-hWjlIptwvA")</f>
        <v>1xMTnPgjA-5czlK--QDF7kSLwwzm_Nr_U-hWjlIptwvA</v>
      </c>
    </row>
    <row r="415" ht="15.75" customHeight="1">
      <c r="A415" t="str">
        <f>IFERROR(__xludf.DUMMYFUNCTION("""COMPUTED_VALUE"""),"ThirdParty")</f>
        <v>ThirdParty</v>
      </c>
      <c r="B415" t="str">
        <f>IFERROR(__xludf.DUMMYFUNCTION("""COMPUTED_VALUE"""),"ThirdPartySend")</f>
        <v>ThirdPartySend</v>
      </c>
      <c r="C415" t="str">
        <f>IFERROR(__xludf.DUMMYFUNCTION("""COMPUTED_VALUE"""),"1GTyXwiBJ89Cz8jXXGex2tRDqiQ-zfsA2Ab877TNJGO8")</f>
        <v>1GTyXwiBJ89Cz8jXXGex2tRDqiQ-zfsA2Ab877TNJGO8</v>
      </c>
    </row>
    <row r="416" ht="15.75" customHeight="1">
      <c r="A416" t="str">
        <f>IFERROR(__xludf.DUMMYFUNCTION("""COMPUTED_VALUE"""),"Blotter")</f>
        <v>Blotter</v>
      </c>
      <c r="B416" t="str">
        <f>IFERROR(__xludf.DUMMYFUNCTION("""COMPUTED_VALUE"""),"VerifyViewAllocationDetails")</f>
        <v>VerifyViewAllocationDetails</v>
      </c>
      <c r="C416" t="str">
        <f>IFERROR(__xludf.DUMMYFUNCTION("""COMPUTED_VALUE"""),"1bNNEr-lSd0r160QEx23XXOR6M4VNsWETJctUKdRQISI")</f>
        <v>1bNNEr-lSd0r160QEx23XXOR6M4VNsWETJctUKdRQISI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IFERROR(__xludf.DUMMYFUNCTION("""COMPUTED_VALUE"""),"SelectPTTRecord")</f>
        <v>SelectPTTRecord</v>
      </c>
      <c r="C417" t="str">
        <f>IFERROR(__xludf.DUMMYFUNCTION("""COMPUTED_VALUE"""),"1ZwKNiPobd02LDEL972DGhHwWWjyxykoNCOLI0J0A3FQ")</f>
        <v>1ZwKNiPobd02LDEL972DGhHwWWjyxykoNCOLI0J0A3FQ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IFERROR(__xludf.DUMMYFUNCTION("""COMPUTED_VALUE"""),"EditPTTRecord")</f>
        <v>EditPTTRecord</v>
      </c>
      <c r="C418" t="str">
        <f>IFERROR(__xludf.DUMMYFUNCTION("""COMPUTED_VALUE"""),"1UX2q2cE3Yhd9N1Cymq56lMWFO5b_5MRDssdEeUHk7Uw")</f>
        <v>1UX2q2cE3Yhd9N1Cymq56lMWFO5b_5MRDssdEeUHk7Uw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IFERROR(__xludf.DUMMYFUNCTION("""COMPUTED_VALUE"""),"CreateOrderAfterEditPTT")</f>
        <v>CreateOrderAfterEditPTT</v>
      </c>
      <c r="C419" t="str">
        <f>IFERROR(__xludf.DUMMYFUNCTION("""COMPUTED_VALUE"""),"1_Pi7jaWwC1-jHc4gdZjz6rVBF8BeDCN5MP-lkS3-P5A")</f>
        <v>1_Pi7jaWwC1-jHc4gdZjz6rVBF8BeDCN5MP-lkS3-P5A</v>
      </c>
    </row>
    <row r="420" ht="15.75" customHeight="1">
      <c r="A420" t="str">
        <f>IFERROR(__xludf.DUMMYFUNCTION("""COMPUTED_VALUE"""),"PTT")</f>
        <v>PTT</v>
      </c>
      <c r="B420" t="str">
        <f>IFERROR(__xludf.DUMMYFUNCTION("""COMPUTED_VALUE"""),"EditPTTWPFGrid")</f>
        <v>EditPTTWPFGrid</v>
      </c>
      <c r="C420" t="str">
        <f>IFERROR(__xludf.DUMMYFUNCTION("""COMPUTED_VALUE"""),"1o84-ebWnVj-2eOPPbqtkU7cjAdopGIv9U9UpnvyS_RM")</f>
        <v>1o84-ebWnVj-2eOPPbqtkU7cjAdopGIv9U9UpnvyS_RM</v>
      </c>
    </row>
    <row r="421" ht="15.75" customHeight="1">
      <c r="A421" t="str">
        <f>IFERROR(__xludf.DUMMYFUNCTION("""COMPUTED_VALUE"""),"Blotter")</f>
        <v>Blotter</v>
      </c>
      <c r="B421" t="str">
        <f>IFERROR(__xludf.DUMMYFUNCTION("""COMPUTED_VALUE"""),"GoToAllocation")</f>
        <v>GoToAllocation</v>
      </c>
      <c r="C421" t="str">
        <f>IFERROR(__xludf.DUMMYFUNCTION("""COMPUTED_VALUE"""),"10QzcdIo3u5jhik0CvwvheVC9AB6WY_giUhBXgjokbKA")</f>
        <v>10QzcdIo3u5jhik0CvwvheVC9AB6WY_giUhBXgjokbKA</v>
      </c>
    </row>
    <row r="422" ht="15.75" customHeight="1">
      <c r="A422" t="str">
        <f>IFERROR(__xludf.DUMMYFUNCTION("""COMPUTED_VALUE"""),"Simulator")</f>
        <v>Simulator</v>
      </c>
      <c r="B422" t="str">
        <f>IFERROR(__xludf.DUMMYFUNCTION("""COMPUTED_VALUE"""),"CloseSimulator")</f>
        <v>CloseSimulator</v>
      </c>
      <c r="C422" t="str">
        <f>IFERROR(__xludf.DUMMYFUNCTION("""COMPUTED_VALUE"""),"Undefined")</f>
        <v>Undefined</v>
      </c>
    </row>
    <row r="423" ht="15.75" customHeight="1">
      <c r="A423" t="str">
        <f>IFERROR(__xludf.DUMMYFUNCTION("""COMPUTED_VALUE"""),"GeneralLedger")</f>
        <v>GeneralLedger</v>
      </c>
      <c r="B423" t="str">
        <f>IFERROR(__xludf.DUMMYFUNCTION("""COMPUTED_VALUE"""),"VerifyCashTransaction")</f>
        <v>VerifyCashTransaction</v>
      </c>
      <c r="C423" t="str">
        <f>IFERROR(__xludf.DUMMYFUNCTION("""COMPUTED_VALUE"""),"1yhwHj8QXLwaG6_tqD1DiMTBFbGfFx06eBEkztEnm-Jw")</f>
        <v>1yhwHj8QXLwaG6_tqD1DiMTBFbGfFx06eBEkztEnm-Jw</v>
      </c>
    </row>
    <row r="424" ht="15.75" customHeight="1">
      <c r="A424" t="str">
        <f>IFERROR(__xludf.DUMMYFUNCTION("""COMPUTED_VALUE"""),"Rebalancer")</f>
        <v>Rebalancer</v>
      </c>
      <c r="B424" t="str">
        <f>IFERROR(__xludf.DUMMYFUNCTION("""COMPUTED_VALUE"""),"ModelPortfolio")</f>
        <v>ModelPortfolio</v>
      </c>
      <c r="C424" t="str">
        <f>IFERROR(__xludf.DUMMYFUNCTION("""COMPUTED_VALUE"""),"136i7p89n9UDWHd_V-4a1bV4rkJpS_ilCt9E0-pe1yK8")</f>
        <v>136i7p89n9UDWHd_V-4a1bV4rkJpS_ilCt9E0-pe1yK8</v>
      </c>
    </row>
    <row r="425" ht="15.75" customHeight="1">
      <c r="A425" t="str">
        <f>IFERROR(__xludf.DUMMYFUNCTION("""COMPUTED_VALUE"""),"DailyValuation")</f>
        <v>DailyValuation</v>
      </c>
      <c r="B425" t="str">
        <f>IFERROR(__xludf.DUMMYFUNCTION("""COMPUTED_VALUE"""),"VerifyDailyCash")</f>
        <v>VerifyDailyCash</v>
      </c>
      <c r="C425" t="str">
        <f>IFERROR(__xludf.DUMMYFUNCTION("""COMPUTED_VALUE"""),"1e9G7T26lY7vSvQv24ueVwOQKraBS_0LQ_KuMJQWQhZE")</f>
        <v>1e9G7T26lY7vSvQv24ueVwOQKraBS_0LQ_KuMJQWQhZE</v>
      </c>
    </row>
    <row r="426" ht="15.75" customHeight="1">
      <c r="A426" t="str">
        <f>IFERROR(__xludf.DUMMYFUNCTION("""COMPUTED_VALUE"""),"Admin")</f>
        <v>Admin</v>
      </c>
      <c r="B426" t="str">
        <f>IFERROR(__xludf.DUMMYFUNCTION("""COMPUTED_VALUE"""),"SetCheckSide")</f>
        <v>SetCheckSide</v>
      </c>
      <c r="C426" t="str">
        <f>IFERROR(__xludf.DUMMYFUNCTION("""COMPUTED_VALUE"""),"1ReudWT4409vS83RpMHfwkV9B4orUNJ9atUNdHyDBQ4s")</f>
        <v>1ReudWT4409vS83RpMHfwkV9B4orUNJ9atUNdHyDBQ4s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IFERROR(__xludf.DUMMYFUNCTION("""COMPUTED_VALUE"""),"OpenSpinOff")</f>
        <v>OpenSpinOff</v>
      </c>
      <c r="C427" t="str">
        <f>IFERROR(__xludf.DUMMYFUNCTION("""COMPUTED_VALUE"""),"1ca52Q2hfdhwZ8A2jVvaiicu3dt8a8J8L3Jhcse7pG2A")</f>
        <v>1ca52Q2hfdhwZ8A2jVvaiicu3dt8a8J8L3Jhcse7pG2A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IFERROR(__xludf.DUMMYFUNCTION("""COMPUTED_VALUE"""),"VerifyAndApplyCorpAction")</f>
        <v>VerifyAndApplyCorpAction</v>
      </c>
      <c r="C428" t="str">
        <f>IFERROR(__xludf.DUMMYFUNCTION("""COMPUTED_VALUE"""),"1SBzqeTSAoUoHFDHMn4k7c6g6LHSBIrpd4emybhFreTg")</f>
        <v>1SBzqeTSAoUoHFDHMn4k7c6g6LHSBIrpd4emybhFreTg</v>
      </c>
    </row>
    <row r="429" ht="15.75" customHeight="1">
      <c r="A429" t="str">
        <f>IFERROR(__xludf.DUMMYFUNCTION("""COMPUTED_VALUE"""),"CorporateAction ")</f>
        <v>CorporateAction </v>
      </c>
      <c r="B429" t="str">
        <f>IFERROR(__xludf.DUMMYFUNCTION("""COMPUTED_VALUE"""),"VerifyAndSaveCorpAction")</f>
        <v>VerifyAndSaveCorpAction</v>
      </c>
      <c r="C429" t="str">
        <f>IFERROR(__xludf.DUMMYFUNCTION("""COMPUTED_VALUE"""),"1wAywyRQ48H22P5SEjLRQxebHLFtPifvm4VFxZoSYlTI")</f>
        <v>1wAywyRQ48H22P5SEjLRQxebHLFtPifvm4VFxZoSYlTI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IFERROR(__xludf.DUMMYFUNCTION("""COMPUTED_VALUE"""),"DisableChecksideForAsset")</f>
        <v>DisableChecksideForAsset</v>
      </c>
      <c r="C430" t="str">
        <f>IFERROR(__xludf.DUMMYFUNCTION("""COMPUTED_VALUE"""),"16ErDdYMk92r2vHKFbCSsrMnG2qsS600CjuKBnkuz9bg")</f>
        <v>16ErDdYMk92r2vHKFbCSsrMnG2qsS600CjuKBnkuz9bg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IFERROR(__xludf.DUMMYFUNCTION("""COMPUTED_VALUE"""),"DisableChecksideForAccount")</f>
        <v>DisableChecksideForAccount</v>
      </c>
      <c r="C431" t="str">
        <f>IFERROR(__xludf.DUMMYFUNCTION("""COMPUTED_VALUE"""),"1_ofNNle4c82uOrOMYVoJijcsU3RrE_tOk8sP-7DTQbE")</f>
        <v>1_ofNNle4c82uOrOMYVoJijcsU3RrE_tOk8sP-7DTQbE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IFERROR(__xludf.DUMMYFUNCTION("""COMPUTED_VALUE"""),"DisableChecksideForCounterParty")</f>
        <v>DisableChecksideForCounterParty</v>
      </c>
      <c r="C432" t="str">
        <f>IFERROR(__xludf.DUMMYFUNCTION("""COMPUTED_VALUE"""),"1S6IfjsUhgXZnzhxXTQ9Pu8C2d3owAfDh3AkXsJ77ONs")</f>
        <v>1S6IfjsUhgXZnzhxXTQ9Pu8C2d3owAfDh3AkXsJ77ONs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IFERROR(__xludf.DUMMYFUNCTION("""COMPUTED_VALUE"""),"DisableCheckside")</f>
        <v>DisableCheckside</v>
      </c>
      <c r="C433" t="str">
        <f>IFERROR(__xludf.DUMMYFUNCTION("""COMPUTED_VALUE"""),"1VvbbBLsHbv0nOMc8RenJrC7_8Yjvi3rS_glRksBYT_g")</f>
        <v>1VvbbBLsHbv0nOMc8RenJrC7_8Yjvi3rS_glRksBYT_g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IFERROR(__xludf.DUMMYFUNCTION("""COMPUTED_VALUE"""),"ApplyMasterFundFilter")</f>
        <v>ApplyMasterFundFilter</v>
      </c>
      <c r="C434" t="str">
        <f>IFERROR(__xludf.DUMMYFUNCTION("""COMPUTED_VALUE"""),"1aOi8zMpuwOlcgS4kk8Ruk2p6o_Y6yab83mZG5CGPHsI")</f>
        <v>1aOi8zMpuwOlcgS4kk8Ruk2p6o_Y6yab83mZG5CGPHsI</v>
      </c>
    </row>
    <row r="435" ht="15.75" customHeight="1">
      <c r="A435" t="str">
        <f>IFERROR(__xludf.DUMMYFUNCTION("""COMPUTED_VALUE"""),"TradingTicket")</f>
        <v>TradingTicket</v>
      </c>
      <c r="B435" t="str">
        <f>IFERROR(__xludf.DUMMYFUNCTION("""COMPUTED_VALUE"""),"UpdateMasterFundOnTT")</f>
        <v>UpdateMasterFundOnTT</v>
      </c>
      <c r="C435" t="str">
        <f>IFERROR(__xludf.DUMMYFUNCTION("""COMPUTED_VALUE"""),"1NH2RgaXiyv04qiaKhglHuboYXdFpvtuQx8ZaQl1cqFs")</f>
        <v>1NH2RgaXiyv04qiaKhglHuboYXdFpvtuQx8ZaQl1cqFs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IFERROR(__xludf.DUMMYFUNCTION("""COMPUTED_VALUE"""),"ShowMasterFundOnTT")</f>
        <v>ShowMasterFundOnTT</v>
      </c>
      <c r="C436" t="str">
        <f>IFERROR(__xludf.DUMMYFUNCTION("""COMPUTED_VALUE"""),"1qIRihKlBnQ9rcLjWoqIp-PhksybW-tE4KcRwTi-uTh8")</f>
        <v>1qIRihKlBnQ9rcLjWoqIp-PhksybW-tE4KcRwTi-uTh8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IFERROR(__xludf.DUMMYFUNCTION("""COMPUTED_VALUE"""),"ShowMasterFundAsClient")</f>
        <v>ShowMasterFundAsClient</v>
      </c>
      <c r="C437" t="str">
        <f>IFERROR(__xludf.DUMMYFUNCTION("""COMPUTED_VALUE"""),"1mBYEgZFVmhMZkYKMz2zBcLvpelcKVcdkwVNoWjn9Yhg")</f>
        <v>1mBYEgZFVmhMZkYKMz2zBcLvpelcKVcdkwVNoWjn9Yhg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IFERROR(__xludf.DUMMYFUNCTION("""COMPUTED_VALUE"""),"SetBrokerAccountMapping")</f>
        <v>SetBrokerAccountMapping</v>
      </c>
      <c r="C438" t="str">
        <f>IFERROR(__xludf.DUMMYFUNCTION("""COMPUTED_VALUE"""),"1nb7n3oYvCbSlMI6mlmZw3W8oxoLWQ1JFUZkN8dhvKGo")</f>
        <v>1nb7n3oYvCbSlMI6mlmZw3W8oxoLWQ1JFUZkN8dhvKGo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IFERROR(__xludf.DUMMYFUNCTION("""COMPUTED_VALUE"""),"EditUnallocatedGridWPF")</f>
        <v>EditUnallocatedGridWPF</v>
      </c>
      <c r="C439" t="str">
        <f>IFERROR(__xludf.DUMMYFUNCTION("""COMPUTED_VALUE"""),"1c-Gj_pSa6hbKILBzHvXLuimO2VmGjEek0icIYnPcCPE")</f>
        <v>1c-Gj_pSa6hbKILBzHvXLuimO2VmGjEek0icIYnPcCPE</v>
      </c>
    </row>
    <row r="440" ht="15.75" customHeight="1">
      <c r="A440" t="str">
        <f>IFERROR(__xludf.DUMMYFUNCTION("""COMPUTED_VALUE"""),"Allocation")</f>
        <v>Allocation</v>
      </c>
      <c r="B440" t="str">
        <f>IFERROR(__xludf.DUMMYFUNCTION("""COMPUTED_VALUE"""),"EditAllocatedGridWPF")</f>
        <v>EditAllocatedGridWPF</v>
      </c>
      <c r="C440" t="str">
        <f>IFERROR(__xludf.DUMMYFUNCTION("""COMPUTED_VALUE"""),"1tOzxGOLWmanR1CinNEV8SAdqJX3ajMPchVgiX6Cao8s")</f>
        <v>1tOzxGOLWmanR1CinNEV8SAdqJX3ajMPchVgiX6Cao8s</v>
      </c>
    </row>
    <row r="441" ht="15.75" customHeight="1">
      <c r="A441" t="str">
        <f>IFERROR(__xludf.DUMMYFUNCTION("""COMPUTED_VALUE"""),"Admin")</f>
        <v>Admin</v>
      </c>
      <c r="B441" t="str">
        <f>IFERROR(__xludf.DUMMYFUNCTION("""COMPUTED_VALUE"""),"SetRollover")</f>
        <v>SetRollover</v>
      </c>
      <c r="C441" t="str">
        <f>IFERROR(__xludf.DUMMYFUNCTION("""COMPUTED_VALUE"""),"1B3vLz-YjdbGHniMwguZEWSalbMWNmVHodgQHVzZAq60")</f>
        <v>1B3vLz-YjdbGHniMwguZEWSalbMWNmVHodgQHVzZAq60</v>
      </c>
    </row>
    <row r="442" ht="15.75" customHeight="1">
      <c r="A442" t="str">
        <f>IFERROR(__xludf.DUMMYFUNCTION("""COMPUTED_VALUE"""),"Blotter")</f>
        <v>Blotter</v>
      </c>
      <c r="B442" t="str">
        <f>IFERROR(__xludf.DUMMYFUNCTION("""COMPUTED_VALUE"""),"VerifyRollover")</f>
        <v>VerifyRollover</v>
      </c>
      <c r="C442" t="str">
        <f>IFERROR(__xludf.DUMMYFUNCTION("""COMPUTED_VALUE"""),"1VQh3eCLRiyXufUtJv6VqIb0wjqC_jElZJAWe8vnyiFo")</f>
        <v>1VQh3eCLRiyXufUtJv6VqIb0wjqC_jElZJAWe8vnyiFo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IFERROR(__xludf.DUMMYFUNCTION("""COMPUTED_VALUE"""),"EditAllocatedGridTaxlot")</f>
        <v>EditAllocatedGridTaxlot</v>
      </c>
      <c r="C443" t="str">
        <f>IFERROR(__xludf.DUMMYFUNCTION("""COMPUTED_VALUE"""),"1jrQ5cTjzaAnJprHDrMJ7xLoViDRLxJhmViRhlMQyPmc")</f>
        <v>1jrQ5cTjzaAnJprHDrMJ7xLoViDRLxJhmViRhlMQyPmc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IFERROR(__xludf.DUMMYFUNCTION("""COMPUTED_VALUE"""),"ExpandCollapseAllocatedGrid")</f>
        <v>ExpandCollapseAllocatedGrid</v>
      </c>
      <c r="C444" t="str">
        <f>IFERROR(__xludf.DUMMYFUNCTION("""COMPUTED_VALUE"""),"1EtqBdhsUhwi27QZ_a5TFGvk7epbQRBAud4wwG4GjT-o")</f>
        <v>1EtqBdhsUhwi27QZ_a5TFGvk7epbQRBAud4wwG4GjT-o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IFERROR(__xludf.DUMMYFUNCTION("""COMPUTED_VALUE"""),"ExpandCollapseUnallocatedGrid")</f>
        <v>ExpandCollapseUnallocatedGrid</v>
      </c>
      <c r="C445" t="str">
        <f>IFERROR(__xludf.DUMMYFUNCTION("""COMPUTED_VALUE"""),"1DJn_ByYxhMzgt2AkKP7VvHaijAtfcn500twVCi3FuwY")</f>
        <v>1DJn_ByYxhMzgt2AkKP7VvHaijAtfcn500twVCi3FuwY</v>
      </c>
    </row>
    <row r="446" ht="15.75" customHeight="1">
      <c r="A446" t="str">
        <f>IFERROR(__xludf.DUMMYFUNCTION("""COMPUTED_VALUE"""),"Blotter")</f>
        <v>Blotter</v>
      </c>
      <c r="B446" t="str">
        <f>IFERROR(__xludf.DUMMYFUNCTION("""COMPUTED_VALUE"""),"VerifySubOrderAfterRollover")</f>
        <v>VerifySubOrderAfterRollover</v>
      </c>
      <c r="C446" t="str">
        <f>IFERROR(__xludf.DUMMYFUNCTION("""COMPUTED_VALUE"""),"1zDsXI3LPkoDacftZ2KF5YYjIcUlD3QhRUYRulDL5oN8")</f>
        <v>1zDsXI3LPkoDacftZ2KF5YYjIcUlD3QhRUYRulDL5oN8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IFERROR(__xludf.DUMMYFUNCTION("""COMPUTED_VALUE"""),"SelectTransactionImportType")</f>
        <v>SelectTransactionImportType</v>
      </c>
      <c r="C447" t="str">
        <f>IFERROR(__xludf.DUMMYFUNCTION("""COMPUTED_VALUE"""),"1MfOpDVrcGiBBIHH8fFTmd6amj1jHHg6rePWgu-2nZK8")</f>
        <v>1MfOpDVrcGiBBIHH8fFTmd6amj1jHHg6rePWgu-2nZK8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IFERROR(__xludf.DUMMYFUNCTION("""COMPUTED_VALUE"""),"SelectAllOnImport")</f>
        <v>SelectAllOnImport</v>
      </c>
      <c r="C448" t="str">
        <f>IFERROR(__xludf.DUMMYFUNCTION("""COMPUTED_VALUE"""),"1O-Z5n-OqLZKUyKhPsyc4cTH_RWRJRhFVjLQN9iZgf_g")</f>
        <v>1O-Z5n-OqLZKUyKhPsyc4cTH_RWRJRhFVjLQN9iZgf_g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IFERROR(__xludf.DUMMYFUNCTION("""COMPUTED_VALUE"""),"SelectMarkPriceImportType")</f>
        <v>SelectMarkPriceImportType</v>
      </c>
      <c r="C449" t="str">
        <f>IFERROR(__xludf.DUMMYFUNCTION("""COMPUTED_VALUE"""),"1X60AOW1PdXXC_MqWvlhO-_Xtym74TQ6JiKQf7BaFGFU")</f>
        <v>1X60AOW1PdXXC_MqWvlhO-_Xtym74TQ6JiKQf7BaFGFU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IFERROR(__xludf.DUMMYFUNCTION("""COMPUTED_VALUE"""),"SelectForexImportType")</f>
        <v>SelectForexImportType</v>
      </c>
      <c r="C450" t="str">
        <f>IFERROR(__xludf.DUMMYFUNCTION("""COMPUTED_VALUE"""),"1pQFXFOAH774XT-VZCbKCTilzQka7eSVAZO_30jAJkzc")</f>
        <v>1pQFXFOAH774XT-VZCbKCTilzQka7eSVAZO_30jAJkzc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IFERROR(__xludf.DUMMYFUNCTION("""COMPUTED_VALUE"""),"SelectDoubleEntryCashImportType")</f>
        <v>SelectDoubleEntryCashImportType</v>
      </c>
      <c r="C451" t="str">
        <f>IFERROR(__xludf.DUMMYFUNCTION("""COMPUTED_VALUE"""),"1LD-4ln6dD3Xr8MpjRWUrFZphBmyCgSTa6YWxKH2dnro")</f>
        <v>1LD-4ln6dD3Xr8MpjRWUrFZphBmyCgSTa6YWxKH2dnro</v>
      </c>
    </row>
    <row r="452" ht="15.75" customHeight="1">
      <c r="A452" t="str">
        <f>IFERROR(__xludf.DUMMYFUNCTION("""COMPUTED_VALUE"""),"Import")</f>
        <v>Import</v>
      </c>
      <c r="B452" t="str">
        <f>IFERROR(__xludf.DUMMYFUNCTION("""COMPUTED_VALUE"""),"SelectActivitiesImportType")</f>
        <v>SelectActivitiesImportType</v>
      </c>
      <c r="C452" t="str">
        <f>IFERROR(__xludf.DUMMYFUNCTION("""COMPUTED_VALUE"""),"1bU6-nZPWyWD3EHUirvMbX3iEk-dq8pOqW-T-92H7QH0")</f>
        <v>1bU6-nZPWyWD3EHUirvMbX3iEk-dq8pOqW-T-92H7QH0</v>
      </c>
    </row>
    <row r="453" ht="15.75" customHeight="1">
      <c r="A453" t="str">
        <f>IFERROR(__xludf.DUMMYFUNCTION("""COMPUTED_VALUE"""),"TradingTicket")</f>
        <v>TradingTicket</v>
      </c>
      <c r="B453" t="str">
        <f>IFERROR(__xludf.DUMMYFUNCTION("""COMPUTED_VALUE"""),"SetTTCompliancePreference")</f>
        <v>SetTTCompliancePreference</v>
      </c>
      <c r="C453" t="str">
        <f>IFERROR(__xludf.DUMMYFUNCTION("""COMPUTED_VALUE"""),"1Grp3J4MoPb4ugRngl-qzV4SSJXRISkZhbgiuGuLVEz4")</f>
        <v>1Grp3J4MoPb4ugRngl-qzV4SSJXRISkZhbgiuGuLVEz4</v>
      </c>
    </row>
    <row r="454" ht="15.75" customHeight="1">
      <c r="A454" t="str">
        <f>IFERROR(__xludf.DUMMYFUNCTION("""COMPUTED_VALUE"""),"Rebalancer")</f>
        <v>Rebalancer</v>
      </c>
      <c r="B454" t="str">
        <f>IFERROR(__xludf.DUMMYFUNCTION("""COMPUTED_VALUE"""),"LockandUnlockGridData")</f>
        <v>LockandUnlockGridData</v>
      </c>
      <c r="C454" t="str">
        <f>IFERROR(__xludf.DUMMYFUNCTION("""COMPUTED_VALUE"""),"1EAH65rZNySGGob__JM-Ohve-xSIVrLprry1-bHfxlIE")</f>
        <v>1EAH65rZNySGGob__JM-Ohve-xSIVrLprry1-bHfxlIE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IFERROR(__xludf.DUMMYFUNCTION("""COMPUTED_VALUE"""),"SetTradeAttributePreferences")</f>
        <v>SetTradeAttributePreferences</v>
      </c>
      <c r="C455" t="str">
        <f>IFERROR(__xludf.DUMMYFUNCTION("""COMPUTED_VALUE"""),"1my_zLaXc6szWpIOxmI-qCSNy0-rZqlHsM-ta7yilhBY")</f>
        <v>1my_zLaXc6szWpIOxmI-qCSNy0-rZqlHsM-ta7yilhBY</v>
      </c>
    </row>
    <row r="456" ht="15.75" customHeight="1">
      <c r="A456" t="str">
        <f>IFERROR(__xludf.DUMMYFUNCTION("""COMPUTED_VALUE"""),"GeneralLedger")</f>
        <v>GeneralLedger</v>
      </c>
      <c r="B456" t="str">
        <f>IFERROR(__xludf.DUMMYFUNCTION("""COMPUTED_VALUE"""),"VerifyAccountBalances")</f>
        <v>VerifyAccountBalances</v>
      </c>
      <c r="C456" t="str">
        <f>IFERROR(__xludf.DUMMYFUNCTION("""COMPUTED_VALUE"""),"1DPjaL7vtGJ9FJ9_Z4o7CkMSXYNcU4Qiga6SLll9BoUQ")</f>
        <v>1DPjaL7vtGJ9FJ9_Z4o7CkMSXYNcU4Qiga6SLll9BoUQ</v>
      </c>
    </row>
    <row r="457" ht="15.75" customHeight="1">
      <c r="A457" t="str">
        <f>IFERROR(__xludf.DUMMYFUNCTION("""COMPUTED_VALUE"""),"Rebalancer")</f>
        <v>Rebalancer</v>
      </c>
      <c r="B457" t="str">
        <f>IFERROR(__xludf.DUMMYFUNCTION("""COMPUTED_VALUE"""),"RefreshGridData")</f>
        <v>RefreshGridData</v>
      </c>
      <c r="C457" t="str">
        <f>IFERROR(__xludf.DUMMYFUNCTION("""COMPUTED_VALUE"""),"1Twh9hXbusYu_GS7dbW4xTddG57o7_sRf_eA0tSIHHnI")</f>
        <v>1Twh9hXbusYu_GS7dbW4xTddG57o7_sRf_eA0tSIHHnI</v>
      </c>
    </row>
    <row r="458" ht="15.75" customHeight="1">
      <c r="A458" t="str">
        <f>IFERROR(__xludf.DUMMYFUNCTION("""COMPUTED_VALUE"""),"GeneralLedger")</f>
        <v>GeneralLedger</v>
      </c>
      <c r="B458" t="str">
        <f>IFERROR(__xludf.DUMMYFUNCTION("""COMPUTED_VALUE"""),"AddMultipleOpeningBalTranItem")</f>
        <v>AddMultipleOpeningBalTranItem</v>
      </c>
      <c r="C458" t="str">
        <f>IFERROR(__xludf.DUMMYFUNCTION("""COMPUTED_VALUE"""),"1bJ3bDpFjTc_8g8qo7j1JVshB_LOl23u_1DYWXef1veE")</f>
        <v>1bJ3bDpFjTc_8g8qo7j1JVshB_LOl23u_1DYWXef1veE</v>
      </c>
    </row>
    <row r="459" ht="15.75" customHeight="1">
      <c r="A459" t="str">
        <f>IFERROR(__xludf.DUMMYFUNCTION("""COMPUTED_VALUE"""),"Import")</f>
        <v>Import</v>
      </c>
      <c r="B459" t="str">
        <f>IFERROR(__xludf.DUMMYFUNCTION("""COMPUTED_VALUE"""),"ApplyFilterOnImport")</f>
        <v>ApplyFilterOnImport</v>
      </c>
      <c r="C459" t="str">
        <f>IFERROR(__xludf.DUMMYFUNCTION("""COMPUTED_VALUE"""),"1Da-rjrbxEE3vLRnSqkr_MNxdUBaUjvyrVyCRsADwJKU")</f>
        <v>1Da-rjrbxEE3vLRnSqkr_MNxdUBaUjvyrVyCRsADwJKU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IFERROR(__xludf.DUMMYFUNCTION("""COMPUTED_VALUE"""),"SendtoStaging")</f>
        <v>SendtoStaging</v>
      </c>
      <c r="C460" t="str">
        <f>IFERROR(__xludf.DUMMYFUNCTION("""COMPUTED_VALUE"""),"1LVrDx22SvXtNLHuCgAdGOnjsdhE3b9tjTEtzx2RdECc")</f>
        <v>1LVrDx22SvXtNLHuCgAdGOnjsdhE3b9tjTEtzx2RdECc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IFERROR(__xludf.DUMMYFUNCTION("""COMPUTED_VALUE"""),"SendToStagingExport")</f>
        <v>SendToStagingExport</v>
      </c>
      <c r="C461" t="str">
        <f>IFERROR(__xludf.DUMMYFUNCTION("""COMPUTED_VALUE"""),"1ed4mu6dPKZ1upq8fj0V3A44fKKF0Kaci13w3MzPRi94")</f>
        <v>1ed4mu6dPKZ1upq8fj0V3A44fKKF0Kaci13w3MzPRi94</v>
      </c>
    </row>
    <row r="462" ht="15.75" customHeight="1">
      <c r="A462" t="str">
        <f>IFERROR(__xludf.DUMMYFUNCTION("""COMPUTED_VALUE"""),"PTT")</f>
        <v>PTT</v>
      </c>
      <c r="B462" t="str">
        <f>IFERROR(__xludf.DUMMYFUNCTION("""COMPUTED_VALUE"""),"SetDefaultSymbology")</f>
        <v>SetDefaultSymbology</v>
      </c>
      <c r="C462" t="str">
        <f>IFERROR(__xludf.DUMMYFUNCTION("""COMPUTED_VALUE"""),"1c8RXMSMKCCZZhGpaSJFpL0iNAB41irezmfODVoz-HOM")</f>
        <v>1c8RXMSMKCCZZhGpaSJFpL0iNAB41irezmfODVoz-HOM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IFERROR(__xludf.DUMMYFUNCTION("""COMPUTED_VALUE"""),"EnterCustomAllocatePreference")</f>
        <v>EnterCustomAllocatePreference</v>
      </c>
      <c r="C463" t="str">
        <f>IFERROR(__xludf.DUMMYFUNCTION("""COMPUTED_VALUE"""),"1Ag9B515mUdzPP5zMlZiJvXg_TX9Pf0V-JJb7HHGUFZQ")</f>
        <v>1Ag9B515mUdzPP5zMlZiJvXg_TX9Pf0V-JJb7HHGUFZQ</v>
      </c>
    </row>
    <row r="464" ht="15.75" customHeight="1">
      <c r="A464" t="str">
        <f>IFERROR(__xludf.DUMMYFUNCTION("""COMPUTED_VALUE"""),"PTT")</f>
        <v>PTT</v>
      </c>
      <c r="B464" t="str">
        <f>IFERROR(__xludf.DUMMYFUNCTION("""COMPUTED_VALUE"""),"EditPTTAccountLevelWPF")</f>
        <v>EditPTTAccountLevelWPF</v>
      </c>
      <c r="C464" t="str">
        <f>IFERROR(__xludf.DUMMYFUNCTION("""COMPUTED_VALUE"""),"14SRXKP6K_jM43UPVxHLajQ3RiPUNkFiafNIpKFU1qJw")</f>
        <v>14SRXKP6K_jM43UPVxHLajQ3RiPUNkFiafNIpKFU1qJw</v>
      </c>
    </row>
    <row r="465" ht="15.75" customHeight="1">
      <c r="A465" t="str">
        <f>IFERROR(__xludf.DUMMYFUNCTION("""COMPUTED_VALUE"""),"PortfolioManagement")</f>
        <v>PortfolioManagement</v>
      </c>
      <c r="B465" t="str">
        <f>IFERROR(__xludf.DUMMYFUNCTION("""COMPUTED_VALUE"""),"OpenCreateTransactionFromPM")</f>
        <v>OpenCreateTransactionFromPM</v>
      </c>
      <c r="C465" t="str">
        <f>IFERROR(__xludf.DUMMYFUNCTION("""COMPUTED_VALUE"""),"1Iqlyl1OX0stY1-IKyRyaVqLsL4U21WB22TR5R9IOuV0")</f>
        <v>1Iqlyl1OX0stY1-IKyRyaVqLsL4U21WB22TR5R9IOuV0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IFERROR(__xludf.DUMMYFUNCTION("""COMPUTED_VALUE"""),"SetAutoGroupingPreferences")</f>
        <v>SetAutoGroupingPreferences</v>
      </c>
      <c r="C466" t="str">
        <f>IFERROR(__xludf.DUMMYFUNCTION("""COMPUTED_VALUE"""),"1w0BOrROJMhSBD6gLWR9m2PsXt7yg48njQgJ3X9qWWeE")</f>
        <v>1w0BOrROJMhSBD6gLWR9m2PsXt7yg48njQgJ3X9qWWeE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IFERROR(__xludf.DUMMYFUNCTION("""COMPUTED_VALUE"""),"SetAutoGroupingAccount")</f>
        <v>SetAutoGroupingAccount</v>
      </c>
      <c r="C467" t="str">
        <f>IFERROR(__xludf.DUMMYFUNCTION("""COMPUTED_VALUE"""),"1UpTQDv3-OcoXnckKzH1C0np-5xkdjS3szbTcvwX-VWE")</f>
        <v>1UpTQDv3-OcoXnckKzH1C0np-5xkdjS3szbTcvwX-VWE</v>
      </c>
    </row>
    <row r="468" ht="15.75" customHeight="1">
      <c r="A468" t="str">
        <f>IFERROR(__xludf.DUMMYFUNCTION("""COMPUTED_VALUE"""),"Allocation")</f>
        <v>Allocation</v>
      </c>
      <c r="B468" t="str">
        <f>IFERROR(__xludf.DUMMYFUNCTION("""COMPUTED_VALUE"""),"SetAvgPriceRounding")</f>
        <v>SetAvgPriceRounding</v>
      </c>
      <c r="C468" t="str">
        <f>IFERROR(__xludf.DUMMYFUNCTION("""COMPUTED_VALUE"""),"1vMyQT3uR4ejtWOsCfpo0iqiZJvk8d4CyZ1m7nZfRedw")</f>
        <v>1vMyQT3uR4ejtWOsCfpo0iqiZJvk8d4CyZ1m7nZfRedw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IFERROR(__xludf.DUMMYFUNCTION("""COMPUTED_VALUE"""),"SetActive")</f>
        <v>SetActive</v>
      </c>
      <c r="C469" t="str">
        <f>IFERROR(__xludf.DUMMYFUNCTION("""COMPUTED_VALUE"""),"1ML-STLVrOrrVravDSrrhHBiPP2STeaHPpz6u2UzUbjY")</f>
        <v>1ML-STLVrOrrVravDSrrhHBiPP2STeaHPpz6u2UzUbjY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IFERROR(__xludf.DUMMYFUNCTION("""COMPUTED_VALUE"""),"SetThirdPartyFormat")</f>
        <v>SetThirdPartyFormat</v>
      </c>
      <c r="C470" t="str">
        <f>IFERROR(__xludf.DUMMYFUNCTION("""COMPUTED_VALUE"""),"1lpUcHcElZaOXkhMXuDMlsMhf---N3oQjSe1rn2RnGjE")</f>
        <v>1lpUcHcElZaOXkhMXuDMlsMhf---N3oQjSe1rn2RnGjE</v>
      </c>
    </row>
    <row r="471" ht="15.75" customHeight="1">
      <c r="A471" t="str">
        <f>IFERROR(__xludf.DUMMYFUNCTION("""COMPUTED_VALUE"""),"Admin")</f>
        <v>Admin</v>
      </c>
      <c r="B471" t="str">
        <f>IFERROR(__xludf.DUMMYFUNCTION("""COMPUTED_VALUE"""),"UpdateRoundLot")</f>
        <v>UpdateRoundLot</v>
      </c>
      <c r="C471" t="str">
        <f>IFERROR(__xludf.DUMMYFUNCTION("""COMPUTED_VALUE"""),"1IDlXbwq4xx3F351jk1e9GhmOOysQkjY49iti_LJY29Y")</f>
        <v>1IDlXbwq4xx3F351jk1e9GhmOOysQkjY49iti_LJY29Y</v>
      </c>
    </row>
    <row r="472" ht="15.75" customHeight="1">
      <c r="A472" t="str">
        <f>IFERROR(__xludf.DUMMYFUNCTION("""COMPUTED_VALUE"""),"Rebalancer")</f>
        <v>Rebalancer</v>
      </c>
      <c r="B472" t="str">
        <f>IFERROR(__xludf.DUMMYFUNCTION("""COMPUTED_VALUE"""),"RebalanceViaBloomberg")</f>
        <v>RebalanceViaBloomberg</v>
      </c>
      <c r="C472" t="str">
        <f>IFERROR(__xludf.DUMMYFUNCTION("""COMPUTED_VALUE"""),"1LwzjM4qhF7L7Sxpj0tmKmwrbnudRqAXE2o9sTrXIRg4")</f>
        <v>1LwzjM4qhF7L7Sxpj0tmKmwrbnudRqAXE2o9sTrXIRg4</v>
      </c>
    </row>
    <row r="473" ht="15.75" customHeight="1">
      <c r="A473" t="str">
        <f>IFERROR(__xludf.DUMMYFUNCTION("""COMPUTED_VALUE"""),"ThirdParty")</f>
        <v>ThirdParty</v>
      </c>
      <c r="B473" t="str">
        <f>IFERROR(__xludf.DUMMYFUNCTION("""COMPUTED_VALUE"""),"RefreshThirdParty")</f>
        <v>RefreshThirdParty</v>
      </c>
      <c r="C473" t="str">
        <f>IFERROR(__xludf.DUMMYFUNCTION("""COMPUTED_VALUE"""),"1guMwvYY7eIhwmTxoDxp96X7I1ob2jLHmhM39Dwo1Y_0")</f>
        <v>1guMwvYY7eIhwmTxoDxp96X7I1ob2jLHmhM39Dwo1Y_0</v>
      </c>
    </row>
    <row r="474" ht="15.75" customHeight="1">
      <c r="A474" t="str">
        <f>IFERROR(__xludf.DUMMYFUNCTION("""COMPUTED_VALUE"""),"Rebalancer")</f>
        <v>Rebalancer</v>
      </c>
      <c r="B474" t="str">
        <f>IFERROR(__xludf.DUMMYFUNCTION("""COMPUTED_VALUE"""),"AddUserAdjustedNAV")</f>
        <v>AddUserAdjustedNAV</v>
      </c>
      <c r="C474" t="str">
        <f>IFERROR(__xludf.DUMMYFUNCTION("""COMPUTED_VALUE"""),"19OVwZsuCpOR4wNoumc9dcWKh-GlmHGzdDHpxrI9vy2Q")</f>
        <v>19OVwZsuCpOR4wNoumc9dcWKh-GlmHGzdDHpxrI9vy2Q</v>
      </c>
    </row>
    <row r="475" ht="15.75" customHeight="1">
      <c r="A475" t="str">
        <f>IFERROR(__xludf.DUMMYFUNCTION("""COMPUTED_VALUE"""),"Allocation")</f>
        <v>Allocation</v>
      </c>
      <c r="B475" t="str">
        <f>IFERROR(__xludf.DUMMYFUNCTION("""COMPUTED_VALUE"""),"IsAllocationOpen")</f>
        <v>IsAllocationOpen</v>
      </c>
      <c r="C475" t="str">
        <f>IFERROR(__xludf.DUMMYFUNCTION("""COMPUTED_VALUE"""),"1tXfGlqhDgCdohzVgP6y6ZH15Fk9uu1P72qRZ3Z2rpG4")</f>
        <v>1tXfGlqhDgCdohzVgP6y6ZH15Fk9uu1P72qRZ3Z2rpG4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IFERROR(__xludf.DUMMYFUNCTION("""COMPUTED_VALUE"""),"ImportOnShortLocate")</f>
        <v>ImportOnShortLocate</v>
      </c>
      <c r="C476" t="str">
        <f>IFERROR(__xludf.DUMMYFUNCTION("""COMPUTED_VALUE"""),"19QVF-aiOcmBqU2qKUK-OCu98j5uyT4B-XqK8arWvdUE")</f>
        <v>19QVF-aiOcmBqU2qKUK-OCu98j5uyT4B-XqK8arWvdUE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IFERROR(__xludf.DUMMYFUNCTION("""COMPUTED_VALUE"""),"ApplyFilterOnShortLocate")</f>
        <v>ApplyFilterOnShortLocate</v>
      </c>
      <c r="C477" t="str">
        <f>IFERROR(__xludf.DUMMYFUNCTION("""COMPUTED_VALUE"""),"1PEbXqnVsJIUstDlBtSQ74U3EFTjGSqLfB7FqQsO5Lmw")</f>
        <v>1PEbXqnVsJIUstDlBtSQ74U3EFTjGSqLfB7FqQsO5Lmw</v>
      </c>
    </row>
    <row r="478" ht="15.75" customHeight="1">
      <c r="A478" t="str">
        <f>IFERROR(__xludf.DUMMYFUNCTION("""COMPUTED_VALUE"""),"ShortLocate")</f>
        <v>ShortLocate</v>
      </c>
      <c r="B478" t="str">
        <f>IFERROR(__xludf.DUMMYFUNCTION("""COMPUTED_VALUE"""),"OpenTTFromShortLocate")</f>
        <v>OpenTTFromShortLocate</v>
      </c>
      <c r="C478" t="str">
        <f>IFERROR(__xludf.DUMMYFUNCTION("""COMPUTED_VALUE"""),"1C5cKOwx9EUg1jODdQv4vMSqPEx82TJf3ahEnHpr3WXQ")</f>
        <v>1C5cKOwx9EUg1jODdQv4vMSqPEx82TJf3ahEnHpr3WXQ</v>
      </c>
    </row>
    <row r="479" ht="15.75" customHeight="1">
      <c r="A479" t="str">
        <f>IFERROR(__xludf.DUMMYFUNCTION("""COMPUTED_VALUE"""),"PortfolioManagement")</f>
        <v>PortfolioManagement</v>
      </c>
      <c r="B479" t="str">
        <f>IFERROR(__xludf.DUMMYFUNCTION("""COMPUTED_VALUE"""),"RemoveGroupingFromPM")</f>
        <v>RemoveGroupingFromPM</v>
      </c>
      <c r="C479" t="str">
        <f>IFERROR(__xludf.DUMMYFUNCTION("""COMPUTED_VALUE"""),"1dHOaB4ss1ElxiqF88xo8RR5XXPvF76pKh6JDOySJu-E")</f>
        <v>1dHOaB4ss1ElxiqF88xo8RR5XXPvF76pKh6JDOySJu-E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IFERROR(__xludf.DUMMYFUNCTION("""COMPUTED_VALUE"""),"AddTabOnWatchlist")</f>
        <v>AddTabOnWatchlist</v>
      </c>
      <c r="C480" t="str">
        <f>IFERROR(__xludf.DUMMYFUNCTION("""COMPUTED_VALUE"""),"1-Fquq09E5X5hH37sCvpU3vM33MTlYZO2fGOuT5GEl_0")</f>
        <v>1-Fquq09E5X5hH37sCvpU3vM33MTlYZO2fGOuT5GEl_0</v>
      </c>
    </row>
    <row r="481" ht="15.75" customHeight="1">
      <c r="A481" t="str">
        <f>IFERROR(__xludf.DUMMYFUNCTION("""COMPUTED_VALUE"""),"Watchlist")</f>
        <v>Watchlist</v>
      </c>
      <c r="B481" t="str">
        <f>IFERROR(__xludf.DUMMYFUNCTION("""COMPUTED_VALUE"""),"DeleteTabOnWatchlist")</f>
        <v>DeleteTabOnWatchlist</v>
      </c>
      <c r="C481" t="str">
        <f>IFERROR(__xludf.DUMMYFUNCTION("""COMPUTED_VALUE"""),"1aPotCHpuxmGXORel0Or7Cz4LqQtNgOXy6cutDrXC4ZA")</f>
        <v>1aPotCHpuxmGXORel0Or7Cz4LqQtNgOXy6cutDrXC4ZA</v>
      </c>
    </row>
    <row r="482" ht="15.75" customHeight="1">
      <c r="A482" t="str">
        <f>IFERROR(__xludf.DUMMYFUNCTION("""COMPUTED_VALUE"""),"ShortLocate")</f>
        <v>ShortLocate</v>
      </c>
      <c r="B482" t="str">
        <f>IFERROR(__xludf.DUMMYFUNCTION("""COMPUTED_VALUE"""),"Upload")</f>
        <v>Upload</v>
      </c>
      <c r="C482" t="str">
        <f>IFERROR(__xludf.DUMMYFUNCTION("""COMPUTED_VALUE"""),"1Yt8a2lXlhGObiQrMMM5W_j6RdU8jQn-mLCPBdmpe7Q4")</f>
        <v>1Yt8a2lXlhGObiQrMMM5W_j6RdU8jQn-mLCPBdmpe7Q4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IFERROR(__xludf.DUMMYFUNCTION("""COMPUTED_VALUE"""),"ViewDataOnRecon")</f>
        <v>ViewDataOnRecon</v>
      </c>
      <c r="C483" t="str">
        <f>IFERROR(__xludf.DUMMYFUNCTION("""COMPUTED_VALUE"""),"1MvpMdaCDeVLEpK1FmZNAkpQIPeitH0as0fCgj60iBiI")</f>
        <v>1MvpMdaCDeVLEpK1FmZNAkpQIPeitH0as0fCgj60iBiI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IFERROR(__xludf.DUMMYFUNCTION("""COMPUTED_VALUE"""),"RunRecon")</f>
        <v>RunRecon</v>
      </c>
      <c r="C484" t="str">
        <f>IFERROR(__xludf.DUMMYFUNCTION("""COMPUTED_VALUE"""),"1DDa6JCeggmfNaYD62TTTcjt1bmrk6ge5KcAe2yFoeMw")</f>
        <v>1DDa6JCeggmfNaYD62TTTcjt1bmrk6ge5KcAe2yFoeMw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IFERROR(__xludf.DUMMYFUNCTION("""COMPUTED_VALUE"""),"GenerateExceptionReport")</f>
        <v>GenerateExceptionReport</v>
      </c>
      <c r="C485" t="str">
        <f>IFERROR(__xludf.DUMMYFUNCTION("""COMPUTED_VALUE"""),"1UdCz3mbG1GJqgKZJ828uP7hYNKCi5g_gMKrTM4Nuw70")</f>
        <v>1UdCz3mbG1GJqgKZJ828uP7hYNKCi5g_gMKrTM4Nuw70</v>
      </c>
    </row>
    <row r="486" ht="15.75" customHeight="1">
      <c r="A486" t="str">
        <f>IFERROR(__xludf.DUMMYFUNCTION("""COMPUTED_VALUE"""),"Recon")</f>
        <v>Recon</v>
      </c>
      <c r="B486" t="str">
        <f>IFERROR(__xludf.DUMMYFUNCTION("""COMPUTED_VALUE"""),"ImportDataOnRecon")</f>
        <v>ImportDataOnRecon</v>
      </c>
      <c r="C486" t="str">
        <f>IFERROR(__xludf.DUMMYFUNCTION("""COMPUTED_VALUE"""),"1TGSSMCVBapTePkTNPegO5K-1JXoG29MXtaMfvS42lT4")</f>
        <v>1TGSSMCVBapTePkTNPegO5K-1JXoG29MXtaMfvS42lT4</v>
      </c>
    </row>
    <row r="487" ht="15.75" customHeight="1">
      <c r="A487" t="str">
        <f>IFERROR(__xludf.DUMMYFUNCTION("""COMPUTED_VALUE"""),"ShortLocate")</f>
        <v>ShortLocate</v>
      </c>
      <c r="B487" t="str">
        <f>IFERROR(__xludf.DUMMYFUNCTION("""COMPUTED_VALUE"""),"VerifyShortLocateGrid")</f>
        <v>VerifyShortLocateGrid</v>
      </c>
      <c r="C487" t="str">
        <f>IFERROR(__xludf.DUMMYFUNCTION("""COMPUTED_VALUE"""),"1sQkk0Iso34FqpWhLPcYXKUPQnmZ8Pjini2G3BJhnquM")</f>
        <v>1sQkk0Iso34FqpWhLPcYXKUPQnmZ8Pjini2G3BJhnquM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IFERROR(__xludf.DUMMYFUNCTION("""COMPUTED_VALUE"""),"VerifyApplicationData")</f>
        <v>VerifyApplicationData</v>
      </c>
      <c r="C488" t="str">
        <f>IFERROR(__xludf.DUMMYFUNCTION("""COMPUTED_VALUE"""),"12uaBilYuoqtrRW6_HDDP48tS7_jnEsipPeSiI04cKsU")</f>
        <v>12uaBilYuoqtrRW6_HDDP48tS7_jnEsipPeSiI04cKsU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IFERROR(__xludf.DUMMYFUNCTION("""COMPUTED_VALUE"""),"VerifyExceptionReport")</f>
        <v>VerifyExceptionReport</v>
      </c>
      <c r="C489" t="str">
        <f>IFERROR(__xludf.DUMMYFUNCTION("""COMPUTED_VALUE"""),"1XV5X_FcfT9lsESq_rfDGc3fxjjBPTf0U6hi--LgJFpk")</f>
        <v>1XV5X_FcfT9lsESq_rfDGc3fxjjBPTf0U6hi--LgJFpk</v>
      </c>
    </row>
    <row r="490" ht="15.75" customHeight="1">
      <c r="A490" t="str">
        <f>IFERROR(__xludf.DUMMYFUNCTION("""COMPUTED_VALUE"""),"Recon")</f>
        <v>Recon</v>
      </c>
      <c r="B490" t="str">
        <f>IFERROR(__xludf.DUMMYFUNCTION("""COMPUTED_VALUE"""),"VerifyPrimeBrokerData")</f>
        <v>VerifyPrimeBrokerData</v>
      </c>
      <c r="C490" t="str">
        <f>IFERROR(__xludf.DUMMYFUNCTION("""COMPUTED_VALUE"""),"1t0clw8YL_XSFlsdLmKvJToFZu0s9objoeJH9wCCADyE")</f>
        <v>1t0clw8YL_XSFlsdLmKvJToFZu0s9objoeJH9wCCADyE</v>
      </c>
    </row>
    <row r="491" ht="15.75" customHeight="1">
      <c r="A491" t="str">
        <f>IFERROR(__xludf.DUMMYFUNCTION("""COMPUTED_VALUE"""),"Admin")</f>
        <v>Admin</v>
      </c>
      <c r="B491" t="str">
        <f>IFERROR(__xludf.DUMMYFUNCTION("""COMPUTED_VALUE"""),"SetTradingComplianceRules")</f>
        <v>SetTradingComplianceRules</v>
      </c>
      <c r="C491" t="str">
        <f>IFERROR(__xludf.DUMMYFUNCTION("""COMPUTED_VALUE"""),"1azN1M08dpW7VMj-beZnqcg3K67iDFaQtsG3VPQICd34")</f>
        <v>1azN1M08dpW7VMj-beZnqcg3K67iDFaQtsG3VPQICd34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IFERROR(__xludf.DUMMYFUNCTION("""COMPUTED_VALUE"""),"ImportSymbol")</f>
        <v>ImportSymbol</v>
      </c>
      <c r="C492" t="str">
        <f>IFERROR(__xludf.DUMMYFUNCTION("""COMPUTED_VALUE"""),"1J1yzfPy0VAAGjLSKMbWrAky24FH9wnzsX22WqJo0rTw")</f>
        <v>1J1yzfPy0VAAGjLSKMbWrAky24FH9wnzsX22WqJo0rTw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IFERROR(__xludf.DUMMYFUNCTION("""COMPUTED_VALUE"""),"ExportSymbolFromRAList")</f>
        <v>ExportSymbolFromRAList</v>
      </c>
      <c r="C493" t="str">
        <f>IFERROR(__xludf.DUMMYFUNCTION("""COMPUTED_VALUE"""),"1_Jcd2NyXYod49jJBTF7mnnyrz-bqcIOuRrXNBhoAndM")</f>
        <v>1_Jcd2NyXYod49jJBTF7mnnyrz-bqcIOuRrXNBhoAndM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 CheckPendingNewOrderAlert")</f>
        <v> CheckPendingNewOrderAlert</v>
      </c>
      <c r="C494" t="str">
        <f>IFERROR(__xludf.DUMMYFUNCTION("""COMPUTED_VALUE"""),"1IjKsUSAA3GmZT9QQkCwzDRD8t7aMh3gfEnicm2yt7yk")</f>
        <v>1IjKsUSAA3GmZT9QQkCwzDRD8t7aMh3gfEnicm2yt7yk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IFERROR(__xludf.DUMMYFUNCTION("""COMPUTED_VALUE"""),"AddSymbolOnRAList")</f>
        <v>AddSymbolOnRAList</v>
      </c>
      <c r="C495" t="str">
        <f>IFERROR(__xludf.DUMMYFUNCTION("""COMPUTED_VALUE"""),"1msdo-HHZukw5R83IjNxsWerlvkI-fgQTDh4cp_x-lEM")</f>
        <v>1msdo-HHZukw5R83IjNxsWerlvkI-fgQTDh4cp_x-lEM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IFERROR(__xludf.DUMMYFUNCTION("""COMPUTED_VALUE"""),"DeleteSymbolListFromRA")</f>
        <v>DeleteSymbolListFromRA</v>
      </c>
      <c r="C496" t="str">
        <f>IFERROR(__xludf.DUMMYFUNCTION("""COMPUTED_VALUE"""),"1kvkQ3sHjIMOR6FW4ddUp3GL5YgZFuVUrFwr0ccGcALs")</f>
        <v>1kvkQ3sHjIMOR6FW4ddUp3GL5YgZFuVUrFwr0ccGcALs</v>
      </c>
    </row>
    <row r="497" ht="15.75" customHeight="1">
      <c r="A497" t="str">
        <f>IFERROR(__xludf.DUMMYFUNCTION("""COMPUTED_VALUE"""),"TradingTicket")</f>
        <v>TradingTicket</v>
      </c>
      <c r="B497" t="str">
        <f>IFERROR(__xludf.DUMMYFUNCTION("""COMPUTED_VALUE"""),"RemoveSymbolFromRAList")</f>
        <v>RemoveSymbolFromRAList</v>
      </c>
      <c r="C497" t="str">
        <f>IFERROR(__xludf.DUMMYFUNCTION("""COMPUTED_VALUE"""),"1-YmkMS_HNizqClLTgaGFhyqIssE8ZUmQHizsGnCO0-0")</f>
        <v>1-YmkMS_HNizqClLTgaGFhyqIssE8ZUmQHizsGnCO0-0</v>
      </c>
    </row>
    <row r="498" ht="15.75" customHeight="1">
      <c r="A498" t="str">
        <f>IFERROR(__xludf.DUMMYFUNCTION("""COMPUTED_VALUE"""),"Report")</f>
        <v>Report</v>
      </c>
      <c r="B498" t="str">
        <f>IFERROR(__xludf.DUMMYFUNCTION("""COMPUTED_VALUE"""),"ReportMatching")</f>
        <v>ReportMatching</v>
      </c>
      <c r="C498" t="str">
        <f>IFERROR(__xludf.DUMMYFUNCTION("""COMPUTED_VALUE"""),"1jht2hZ44HjYgB6aaBYiPuuuTSaEkHaPT4jKo7YIRGu4")</f>
        <v>1jht2hZ44HjYgB6aaBYiPuuuTSaEkHaPT4jKo7YIRGu4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IFERROR(__xludf.DUMMYFUNCTION("""COMPUTED_VALUE"""),"EnableBreakdownRealizedPNL")</f>
        <v>EnableBreakdownRealizedPNL</v>
      </c>
      <c r="C499" t="str">
        <f>IFERROR(__xludf.DUMMYFUNCTION("""COMPUTED_VALUE"""),"1fOE8jOgP2gNa3oRibbTXnvv_lvz-lbHvy-pceE4ajbs")</f>
        <v>1fOE8jOgP2gNa3oRibbTXnvv_lvz-lbHvy-pceE4ajbs</v>
      </c>
    </row>
    <row r="500" ht="15.75" customHeight="1">
      <c r="A500" t="str">
        <f>IFERROR(__xludf.DUMMYFUNCTION("""COMPUTED_VALUE"""),"Admin")</f>
        <v>Admin</v>
      </c>
      <c r="B500" t="str">
        <f>IFERROR(__xludf.DUMMYFUNCTION("""COMPUTED_VALUE"""),"SetTTGeneralPreferences")</f>
        <v>SetTTGeneralPreferences</v>
      </c>
      <c r="C500" t="str">
        <f>IFERROR(__xludf.DUMMYFUNCTION("""COMPUTED_VALUE"""),"1HhQmll51_SDv5EfY7waeq2fCv92vjcbj_GijhdZyvhI")</f>
        <v>1HhQmll51_SDv5EfY7waeq2fCv92vjcbj_GijhdZyvhI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IFERROR(__xludf.DUMMYFUNCTION("""COMPUTED_VALUE"""),"OpenBlotter")</f>
        <v>OpenBlotter</v>
      </c>
      <c r="C501" t="str">
        <f>IFERROR(__xludf.DUMMYFUNCTION("""COMPUTED_VALUE"""),"1gxr6RyiwWcasB3fKgXdgFiGMuKmec4L2x__tgBOzGJ4")</f>
        <v>1gxr6RyiwWcasB3fKgXdgFiGMuKmec4L2x__tgBOzGJ4</v>
      </c>
    </row>
    <row r="502" ht="15.75" customHeight="1">
      <c r="A502" t="str">
        <f>IFERROR(__xludf.DUMMYFUNCTION("""COMPUTED_VALUE"""),"ExeExecutor")</f>
        <v>ExeExecutor</v>
      </c>
      <c r="B502" t="str">
        <f>IFERROR(__xludf.DUMMYFUNCTION("""COMPUTED_VALUE"""),"CallExeExecutor")</f>
        <v>CallExeExecutor</v>
      </c>
      <c r="C502" t="str">
        <f>IFERROR(__xludf.DUMMYFUNCTION("""COMPUTED_VALUE"""),"1owuq6wQlz8I3_fYGTcvp_BtK2b79jE6vCJTDGLtxi4k")</f>
        <v>1owuq6wQlz8I3_fYGTcvp_BtK2b79jE6vCJTDGLtxi4k</v>
      </c>
    </row>
    <row r="503" ht="15.75" customHeight="1">
      <c r="A503" t="str">
        <f>IFERROR(__xludf.DUMMYFUNCTION("""COMPUTED_VALUE"""),"TradingTicket")</f>
        <v>TradingTicket</v>
      </c>
      <c r="B503" t="str">
        <f>IFERROR(__xludf.DUMMYFUNCTION("""COMPUTED_VALUE"""),"ToggleBlombergOnRA")</f>
        <v>ToggleBlombergOnRA</v>
      </c>
      <c r="C503" t="str">
        <f>IFERROR(__xludf.DUMMYFUNCTION("""COMPUTED_VALUE"""),"11C1E7MWiLt7_Bk66Vw9dmQ6oZNSONXaMtNXDJOQXq5s")</f>
        <v>11C1E7MWiLt7_Bk66Vw9dmQ6oZNSONXaMtNXDJOQXq5s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IFERROR(__xludf.DUMMYFUNCTION("""COMPUTED_VALUE"""),"RemoveManualExecution")</f>
        <v>RemoveManualExecution</v>
      </c>
      <c r="C504" t="str">
        <f>IFERROR(__xludf.DUMMYFUNCTION("""COMPUTED_VALUE"""),"1U6qqov4LzcjxrSucq0agJD46Q-GxDor6UdqCigUJ4Hk")</f>
        <v>1U6qqov4LzcjxrSucq0agJD46Q-GxDor6UdqCigUJ4Hk</v>
      </c>
    </row>
    <row r="505" ht="15.75" customHeight="1">
      <c r="A505" t="str">
        <f>IFERROR(__xludf.DUMMYFUNCTION("""COMPUTED_VALUE"""),"Blotter")</f>
        <v>Blotter</v>
      </c>
      <c r="B505" t="str">
        <f>IFERROR(__xludf.DUMMYFUNCTION("""COMPUTED_VALUE"""),"RemoveExecutionWorkingSubs")</f>
        <v>RemoveExecutionWorkingSubs</v>
      </c>
      <c r="C505" t="str">
        <f>IFERROR(__xludf.DUMMYFUNCTION("""COMPUTED_VALUE"""),"1gr6T2UvPfnYDk0z6dFV_mRYS8DySX1Vq8xjIgjK43Ok")</f>
        <v>1gr6T2UvPfnYDk0z6dFV_mRYS8DySX1Vq8xjIgjK43Ok</v>
      </c>
    </row>
    <row r="506" ht="15.75" customHeight="1">
      <c r="A506" t="str">
        <f>IFERROR(__xludf.DUMMYFUNCTION("""COMPUTED_VALUE"""),"Dropcopy")</f>
        <v>Dropcopy</v>
      </c>
      <c r="B506" t="str">
        <f>IFERROR(__xludf.DUMMYFUNCTION("""COMPUTED_VALUE"""),"UploadDropcopyFile")</f>
        <v>UploadDropcopyFile</v>
      </c>
      <c r="C506" t="str">
        <f>IFERROR(__xludf.DUMMYFUNCTION("""COMPUTED_VALUE"""),"1Tr2xSDgsBU643lR2QckIJKwAkNLNn-X0DpSgL4BbVB4")</f>
        <v>1Tr2xSDgsBU643lR2QckIJKwAkNLNn-X0DpSgL4BbVB4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IFERROR(__xludf.DUMMYFUNCTION("""COMPUTED_VALUE"""),"StartTradeServer")</f>
        <v>StartTradeServer</v>
      </c>
      <c r="C507" t="str">
        <f>IFERROR(__xludf.DUMMYFUNCTION("""COMPUTED_VALUE"""),"1_V828-1UqtJPJrCVclzkn3URR23OxnBP06IouHxEc18")</f>
        <v>1_V828-1UqtJPJrCVclzkn3URR23OxnBP06IouHxEc18</v>
      </c>
    </row>
    <row r="508" ht="15.75" customHeight="1">
      <c r="A508" t="str">
        <f>IFERROR(__xludf.DUMMYFUNCTION("""COMPUTED_VALUE"""),"TradeServer")</f>
        <v>TradeServer</v>
      </c>
      <c r="B508" t="str">
        <f>IFERROR(__xludf.DUMMYFUNCTION("""COMPUTED_VALUE"""),"CloseTradeServer ")</f>
        <v>CloseTradeServer </v>
      </c>
      <c r="C508" t="str">
        <f>IFERROR(__xludf.DUMMYFUNCTION("""COMPUTED_VALUE"""),"1NkAbdJ74ry_1fxzkJoBzFl9F_rMWydAb8sHkBebiFjk")</f>
        <v>1NkAbdJ74ry_1fxzkJoBzFl9F_rMWydAb8sHkBebiFjk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IFERROR(__xludf.DUMMYFUNCTION("""COMPUTED_VALUE"""),"GetExecutionReportOrders")</f>
        <v>GetExecutionReportOrders</v>
      </c>
      <c r="C509" t="str">
        <f>IFERROR(__xludf.DUMMYFUNCTION("""COMPUTED_VALUE"""),"1n7tEPxTe0qMZZ4L3gBhqHDVhiNPODDDQ1d__74EcJC8")</f>
        <v>1n7tEPxTe0qMZZ4L3gBhqHDVhiNPODDDQ1d__74EcJC8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IFERROR(__xludf.DUMMYFUNCTION("""COMPUTED_VALUE"""),"GetExecutionReportDetails")</f>
        <v>GetExecutionReportDetails</v>
      </c>
      <c r="C510" t="str">
        <f>IFERROR(__xludf.DUMMYFUNCTION("""COMPUTED_VALUE"""),"1S6sj5FWvIc-3o_AfPaPuatehpzQm1Qx2rydxXGom_dg")</f>
        <v>1S6sj5FWvIc-3o_AfPaPuatehpzQm1Qx2rydxXGom_dg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IFERROR(__xludf.DUMMYFUNCTION("""COMPUTED_VALUE"""),"ExportExecutionReportData")</f>
        <v>ExportExecutionReportData</v>
      </c>
      <c r="C511" t="str">
        <f>IFERROR(__xludf.DUMMYFUNCTION("""COMPUTED_VALUE"""),"1NuepzxikoEeQ9UGIazOW9FdK3u7QGJplxR7E8kC43zk")</f>
        <v>1NuepzxikoEeQ9UGIazOW9FdK3u7QGJplxR7E8kC43zk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IFERROR(__xludf.DUMMYFUNCTION("""COMPUTED_VALUE"""),"VerifyExecutionReport")</f>
        <v>VerifyExecutionReport</v>
      </c>
      <c r="C512" t="str">
        <f>IFERROR(__xludf.DUMMYFUNCTION("""COMPUTED_VALUE"""),"1oFdiPMJZ6QcqQOw8iiVuMy67mAJN06vJWm3q-cVwnno")</f>
        <v>1oFdiPMJZ6QcqQOw8iiVuMy67mAJN06vJWm3q-cVwnno</v>
      </c>
    </row>
    <row r="513" ht="15.75" customHeight="1">
      <c r="A513" t="str">
        <f>IFERROR(__xludf.DUMMYFUNCTION("""COMPUTED_VALUE"""),"Blotter")</f>
        <v>Blotter</v>
      </c>
      <c r="B513" t="str">
        <f>IFERROR(__xludf.DUMMYFUNCTION("""COMPUTED_VALUE"""),"BlotterExecutionReportSnapshot")</f>
        <v>BlotterExecutionReportSnapshot</v>
      </c>
      <c r="C513" t="str">
        <f>IFERROR(__xludf.DUMMYFUNCTION("""COMPUTED_VALUE"""),"1qS_WdHc-9zx-QFEzjKFnwArW39qAuRmf2BwbLZIYrx8")</f>
        <v>1qS_WdHc-9zx-QFEzjKFnwArW39qAuRmf2BwbLZIYrx8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IFERROR(__xludf.DUMMYFUNCTION("""COMPUTED_VALUE"""),"SetDollarAmountPermission")</f>
        <v>SetDollarAmountPermission</v>
      </c>
      <c r="C514" t="str">
        <f>IFERROR(__xludf.DUMMYFUNCTION("""COMPUTED_VALUE"""),"1xOFeeEAfRZ7uVQd-bOgJ8e2jRaAjMLV_Blt4kgkW758")</f>
        <v>1xOFeeEAfRZ7uVQd-bOgJ8e2jRaAjMLV_Blt4kgkW758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IFERROR(__xludf.DUMMYFUNCTION("""COMPUTED_VALUE"""),"EnableDisableModule")</f>
        <v>EnableDisableModule</v>
      </c>
      <c r="C515" t="str">
        <f>IFERROR(__xludf.DUMMYFUNCTION("""COMPUTED_VALUE"""),"1gOEnHffMXCfk3OHpA4l1AxtdYLt7yCY9nIAHCVLNwVc")</f>
        <v>1gOEnHffMXCfk3OHpA4l1AxtdYLt7yCY9nIAHCVLNwVc</v>
      </c>
    </row>
    <row r="516" ht="15.75" customHeight="1">
      <c r="A516" t="str">
        <f>IFERROR(__xludf.DUMMYFUNCTION("""COMPUTED_VALUE"""),"Blotter")</f>
        <v>Blotter</v>
      </c>
      <c r="B516" t="str">
        <f>IFERROR(__xludf.DUMMYFUNCTION("""COMPUTED_VALUE"""),"MultipleTradeTransferToUser")</f>
        <v>MultipleTradeTransferToUser</v>
      </c>
      <c r="C516" t="str">
        <f>IFERROR(__xludf.DUMMYFUNCTION("""COMPUTED_VALUE"""),"1MwTe8wnpOxfAt8LI3PyswJ6sddAaGzi5MdpUL8JAo-E")</f>
        <v>1MwTe8wnpOxfAt8LI3PyswJ6sddAaGzi5MdpUL8JAo-E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IFERROR(__xludf.DUMMYFUNCTION("""COMPUTED_VALUE"""),"IsImportOverrideOnShortLocate")</f>
        <v>IsImportOverrideOnShortLocate</v>
      </c>
      <c r="C517" t="str">
        <f>IFERROR(__xludf.DUMMYFUNCTION("""COMPUTED_VALUE"""),"1JlA0Y1H-vrWeIlqgP3MsswQdI6cigTmArnA7R2LWQc4")</f>
        <v>1JlA0Y1H-vrWeIlqgP3MsswQdI6cigTmArnA7R2LWQc4</v>
      </c>
    </row>
    <row r="518" ht="15.75" customHeight="1">
      <c r="A518" t="str">
        <f>IFERROR(__xludf.DUMMYFUNCTION("""COMPUTED_VALUE"""),"Admin")</f>
        <v>Admin</v>
      </c>
      <c r="B518" t="str">
        <f>IFERROR(__xludf.DUMMYFUNCTION("""COMPUTED_VALUE"""),"SetShortLocateStructures")</f>
        <v>SetShortLocateStructures</v>
      </c>
      <c r="C518" t="str">
        <f>IFERROR(__xludf.DUMMYFUNCTION("""COMPUTED_VALUE"""),"1kR80czhB9OTe0d_J57MU3TZ4AfXbKGWNfDZ-2FQbHwI")</f>
        <v>1kR80czhB9OTe0d_J57MU3TZ4AfXbKGWNfDZ-2FQbHwI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IFERROR(__xludf.DUMMYFUNCTION("""COMPUTED_VALUE"""),"DownloadFile")</f>
        <v>DownloadFile</v>
      </c>
      <c r="C519" t="str">
        <f>IFERROR(__xludf.DUMMYFUNCTION("""COMPUTED_VALUE"""),"1o7j1EbVMp55C2W0LtWgInbcaRCadHrS8uLmpnVq98uY")</f>
        <v>1o7j1EbVMp55C2W0LtWgInbcaRCadHrS8uLmpnVq98uY</v>
      </c>
    </row>
    <row r="520" ht="15.75" customHeight="1">
      <c r="A520" t="str">
        <f>IFERROR(__xludf.DUMMYFUNCTION("""COMPUTED_VALUE"""),"ShortLocate")</f>
        <v>ShortLocate</v>
      </c>
      <c r="B520" t="str">
        <f>IFERROR(__xludf.DUMMYFUNCTION("""COMPUTED_VALUE"""),"SearchShortLocateUI")</f>
        <v>SearchShortLocateUI</v>
      </c>
      <c r="C520" t="str">
        <f>IFERROR(__xludf.DUMMYFUNCTION("""COMPUTED_VALUE"""),"1WpyTBvj-iezHv6E9PbjJ3UJKNDEkGuyVLw4TOx5zcas")</f>
        <v>1WpyTBvj-iezHv6E9PbjJ3UJKNDEkGuyVLw4TOx5zcas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IFERROR(__xludf.DUMMYFUNCTION("""COMPUTED_VALUE"""),"CreateDoneAwayOrder")</f>
        <v>CreateDoneAwayOrder</v>
      </c>
      <c r="C521" t="str">
        <f>IFERROR(__xludf.DUMMYFUNCTION("""COMPUTED_VALUE"""),"1wm4OFdbzRVpfMu1QiZ75_PnC_AYuu9gYEOCRj5nxWrM")</f>
        <v>1wm4OFdbzRVpfMu1QiZ75_PnC_AYuu9gYEOCRj5nxWrM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IFERROR(__xludf.DUMMYFUNCTION("""COMPUTED_VALUE"""),"CreateComplianceOrder")</f>
        <v>CreateComplianceOrder</v>
      </c>
      <c r="C522" t="str">
        <f>IFERROR(__xludf.DUMMYFUNCTION("""COMPUTED_VALUE"""),"1gmcte0l7mexRV3mcVKh44GtDozpoxvkubq93yh2tGqU")</f>
        <v>1gmcte0l7mexRV3mcVKh44GtDozpoxvkubq93yh2tGqU</v>
      </c>
    </row>
    <row r="523" ht="15.75" customHeight="1">
      <c r="A523" t="str">
        <f>IFERROR(__xludf.DUMMYFUNCTION("""COMPUTED_VALUE"""),"Simulator")</f>
        <v>Simulator</v>
      </c>
      <c r="B523" t="str">
        <f>IFERROR(__xludf.DUMMYFUNCTION("""COMPUTED_VALUE"""),"VerifyTrades")</f>
        <v>VerifyTrades</v>
      </c>
      <c r="C523" t="str">
        <f>IFERROR(__xludf.DUMMYFUNCTION("""COMPUTED_VALUE"""),"1dCrY-kPvBYwHWZFEAPkwG7_-NIXiZCgTXwbmTvW0ejY")</f>
        <v>1dCrY-kPvBYwHWZFEAPkwG7_-NIXiZCgTXwbmTvW0ejY</v>
      </c>
    </row>
    <row r="524" ht="15.75" customHeight="1">
      <c r="A524" t="str">
        <f>IFERROR(__xludf.DUMMYFUNCTION("""COMPUTED_VALUE"""),"ShortLocate")</f>
        <v>ShortLocate</v>
      </c>
      <c r="B524" t="str">
        <f>IFERROR(__xludf.DUMMYFUNCTION("""COMPUTED_VALUE"""),"SetShortLocatePreferences")</f>
        <v>SetShortLocatePreferences</v>
      </c>
      <c r="C524" t="str">
        <f>IFERROR(__xludf.DUMMYFUNCTION("""COMPUTED_VALUE"""),"1YBhqpdTe5HhM37nCSMHR8xiY56Y5rQdUizIAR0ZhetA")</f>
        <v>1YBhqpdTe5HhM37nCSMHR8xiY56Y5rQdUizIAR0ZhetA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IFERROR(__xludf.DUMMYFUNCTION("""COMPUTED_VALUE"""),"GetSymbolData")</f>
        <v>GetSymbolData</v>
      </c>
      <c r="C525" t="str">
        <f>IFERROR(__xludf.DUMMYFUNCTION("""COMPUTED_VALUE"""),"1DkMDvYHJVI0PJ-rTpp2qT_DByDKjy7Jk0saOYBb6-mU")</f>
        <v>1DkMDvYHJVI0PJ-rTpp2qT_DByDKjy7Jk0saOYBb6-mU</v>
      </c>
    </row>
    <row r="526" ht="15.75" customHeight="1">
      <c r="A526" t="str">
        <f>IFERROR(__xludf.DUMMYFUNCTION("""COMPUTED_VALUE"""),"SecurityMaster")</f>
        <v>SecurityMaster</v>
      </c>
      <c r="B526" t="str">
        <f>IFERROR(__xludf.DUMMYFUNCTION("""COMPUTED_VALUE"""),"EditSMData")</f>
        <v>EditSMData</v>
      </c>
      <c r="C526" t="str">
        <f>IFERROR(__xludf.DUMMYFUNCTION("""COMPUTED_VALUE"""),"1d9VnMnman_DekbWVZZe1TyFq1K7qIz4-u3Ho348l7NQ")</f>
        <v>1d9VnMnman_DekbWVZZe1TyFq1K7qIz4-u3Ho348l7NQ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IFERROR(__xludf.DUMMYFUNCTION("""COMPUTED_VALUE"""),"RestartRuleMediator")</f>
        <v>RestartRuleMediator</v>
      </c>
      <c r="C527" t="str">
        <f>IFERROR(__xludf.DUMMYFUNCTION("""COMPUTED_VALUE"""),"1x9o8wpvtq-vnalvhw9-bSPFTvsAgLuSBv39sk-__sqA")</f>
        <v>1x9o8wpvtq-vnalvhw9-bSPFTvsAgLuSBv39sk-__sqA</v>
      </c>
    </row>
    <row r="528" ht="15.75" customHeight="1">
      <c r="A528" t="str">
        <f>IFERROR(__xludf.DUMMYFUNCTION("""COMPUTED_VALUE"""),"Compliance")</f>
        <v>Compliance</v>
      </c>
      <c r="B528" t="str">
        <f>IFERROR(__xludf.DUMMYFUNCTION("""COMPUTED_VALUE"""),"VerifyAggAccountSymbolWithNav")</f>
        <v>VerifyAggAccountSymbolWithNav</v>
      </c>
      <c r="C528" t="str">
        <f>IFERROR(__xludf.DUMMYFUNCTION("""COMPUTED_VALUE"""),"1QnRdwOkq7zW-9t1KpCO8lLG9e-abFT1Hi2jBNJs6XSQ")</f>
        <v>1QnRdwOkq7zW-9t1KpCO8lLG9e-abFT1Hi2jBNJs6XSQ</v>
      </c>
    </row>
    <row r="529" ht="15.75" customHeight="1">
      <c r="A529" t="str">
        <f>IFERROR(__xludf.DUMMYFUNCTION("""COMPUTED_VALUE"""),"Admin")</f>
        <v>Admin</v>
      </c>
      <c r="B529" t="str">
        <f>IFERROR(__xludf.DUMMYFUNCTION("""COMPUTED_VALUE"""),"SetComplianceAlert")</f>
        <v>SetComplianceAlert</v>
      </c>
      <c r="C529" t="str">
        <f>IFERROR(__xludf.DUMMYFUNCTION("""COMPUTED_VALUE"""),"1w3Tl0jhDzxZ-1bnuGo4OGQ5EoVFrAYr0TQ6Xl0YgpAY")</f>
        <v>1w3Tl0jhDzxZ-1bnuGo4OGQ5EoVFrAYr0TQ6Xl0YgpAY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IFERROR(__xludf.DUMMYFUNCTION("""COMPUTED_VALUE"""),"ReloadOrderFromBlotter")</f>
        <v>ReloadOrderFromBlotter</v>
      </c>
      <c r="C530" t="str">
        <f>IFERROR(__xludf.DUMMYFUNCTION("""COMPUTED_VALUE"""),"1qE7n9le_EHMocRkBbKlAcMbopbxmR7c6Nd_yVObz5Hc")</f>
        <v>1qE7n9le_EHMocRkBbKlAcMbopbxmR7c6Nd_yVObz5Hc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IFERROR(__xludf.DUMMYFUNCTION("""COMPUTED_VALUE"""),"ReloadOrderFromSubOrder")</f>
        <v>ReloadOrderFromSubOrder</v>
      </c>
      <c r="C531" t="str">
        <f>IFERROR(__xludf.DUMMYFUNCTION("""COMPUTED_VALUE"""),"1g0ptpj616n-M3tdgp6QODnakxqVbRiuaH5fglhhWvUA")</f>
        <v>1g0ptpj616n-M3tdgp6QODnakxqVbRiuaH5fglhhWvUA</v>
      </c>
    </row>
    <row r="532" ht="15.75" customHeight="1">
      <c r="A532" t="str">
        <f>IFERROR(__xludf.DUMMYFUNCTION("""COMPUTED_VALUE"""),"Blotter")</f>
        <v>Blotter</v>
      </c>
      <c r="B532" t="str">
        <f>IFERROR(__xludf.DUMMYFUNCTION("""COMPUTED_VALUE"""),"ReloadOrderFromWorkingSubs")</f>
        <v>ReloadOrderFromWorkingSubs</v>
      </c>
      <c r="C532" t="str">
        <f>IFERROR(__xludf.DUMMYFUNCTION("""COMPUTED_VALUE"""),"1XQ4pQr3fnuG-wfebHJWeoAU_oWraVvaEoq5vxfmeyFU")</f>
        <v>1XQ4pQr3fnuG-wfebHJWeoAU_oWraVvaEoq5vxfmeyFU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IFERROR(__xludf.DUMMYFUNCTION("""COMPUTED_VALUE"""),"AutoExercise")</f>
        <v>AutoExercise</v>
      </c>
      <c r="C533" t="str">
        <f>IFERROR(__xludf.DUMMYFUNCTION("""COMPUTED_VALUE"""),"1txUo3R71Idwek_WSkxDmfa85jvmU4skpklkunC9l4to")</f>
        <v>1txUo3R71Idwek_WSkxDmfa85jvmU4skpklkunC9l4to</v>
      </c>
    </row>
    <row r="534" ht="15.75" customHeight="1">
      <c r="A534" t="str">
        <f>IFERROR(__xludf.DUMMYFUNCTION("""COMPUTED_VALUE"""),"PortfolioManagement")</f>
        <v>PortfolioManagement</v>
      </c>
      <c r="B534" t="str">
        <f>IFERROR(__xludf.DUMMYFUNCTION("""COMPUTED_VALUE"""),"IncreasePositionFromPM")</f>
        <v>IncreasePositionFromPM</v>
      </c>
      <c r="C534" t="str">
        <f>IFERROR(__xludf.DUMMYFUNCTION("""COMPUTED_VALUE"""),"1jo5CsRlvFnrD55hhWEgqFOiGuhY6UoAWRWk9ysrekJ4")</f>
        <v>1jo5CsRlvFnrD55hhWEgqFOiGuhY6UoAWRWk9ysrekJ4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IFERROR(__xludf.DUMMYFUNCTION("""COMPUTED_VALUE"""),"AddOptionTrade")</f>
        <v>AddOptionTrade</v>
      </c>
      <c r="C535" t="str">
        <f>IFERROR(__xludf.DUMMYFUNCTION("""COMPUTED_VALUE"""),"17x5jnRAVCvQUGHBhgiiVTUeAomMG3s-WN918W8i78RY")</f>
        <v>17x5jnRAVCvQUGHBhgiiVTUeAomMG3s-WN918W8i78RY</v>
      </c>
    </row>
    <row r="536" ht="15.75" customHeight="1">
      <c r="A536" t="str">
        <f>IFERROR(__xludf.DUMMYFUNCTION("""COMPUTED_VALUE"""),"TradingTicket")</f>
        <v>TradingTicket</v>
      </c>
      <c r="B536" t="str">
        <f>IFERROR(__xludf.DUMMYFUNCTION("""COMPUTED_VALUE"""),"SendLiveBloomberg")</f>
        <v>SendLiveBloomberg</v>
      </c>
      <c r="C536" t="str">
        <f>IFERROR(__xludf.DUMMYFUNCTION("""COMPUTED_VALUE"""),"11bhQDFMxUdCHiZELuMSPwLt6XZavd_QvQB5Lxkm1XXE")</f>
        <v>11bhQDFMxUdCHiZELuMSPwLt6XZavd_QvQB5Lxkm1XXE</v>
      </c>
    </row>
    <row r="537" ht="15.75" customHeight="1">
      <c r="A537" t="str">
        <f>IFERROR(__xludf.DUMMYFUNCTION("""COMPUTED_VALUE"""),"Admin")</f>
        <v>Admin</v>
      </c>
      <c r="B537" t="str">
        <f>IFERROR(__xludf.DUMMYFUNCTION("""COMPUTED_VALUE"""),"UpdateExpirationDate")</f>
        <v>UpdateExpirationDate</v>
      </c>
      <c r="C537" t="str">
        <f>IFERROR(__xludf.DUMMYFUNCTION("""COMPUTED_VALUE"""),"1v_DBl1sU9-btwN2cjxlFI_LWcxrlSVvrF1KOzeJisPg")</f>
        <v>1v_DBl1sU9-btwN2cjxlFI_LWcxrlSVvrF1KOzeJisPg</v>
      </c>
    </row>
    <row r="538" ht="15.75" customHeight="1">
      <c r="A538" t="str">
        <f>IFERROR(__xludf.DUMMYFUNCTION("""COMPUTED_VALUE"""),"PricingInput")</f>
        <v>PricingInput</v>
      </c>
      <c r="B538" t="str">
        <f>IFERROR(__xludf.DUMMYFUNCTION("""COMPUTED_VALUE"""),"UncheckDividendYield")</f>
        <v>UncheckDividendYield</v>
      </c>
      <c r="C538" t="str">
        <f>IFERROR(__xludf.DUMMYFUNCTION("""COMPUTED_VALUE"""),"191PZhRplV1PcCALc5XtZSmsny5aT0kGj27fH7ERiAd8")</f>
        <v>191PZhRplV1PcCALc5XtZSmsny5aT0kGj27fH7ERiAd8</v>
      </c>
    </row>
    <row r="539" ht="15.75" customHeight="1">
      <c r="A539" t="str">
        <f>IFERROR(__xludf.DUMMYFUNCTION("""COMPUTED_VALUE"""),"Admin")</f>
        <v>Admin</v>
      </c>
      <c r="B539" t="str">
        <f>IFERROR(__xludf.DUMMYFUNCTION("""COMPUTED_VALUE"""),"RenameMasterStrategy")</f>
        <v>RenameMasterStrategy</v>
      </c>
      <c r="C539" t="str">
        <f>IFERROR(__xludf.DUMMYFUNCTION("""COMPUTED_VALUE"""),"1rUVERdbqvBECNyG_BrwWmTnx6C02IGItQZFJkw5ZzvM")</f>
        <v>1rUVERdbqvBECNyG_BrwWmTnx6C02IGItQZFJkw5ZzvM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IFERROR(__xludf.DUMMYFUNCTION("""COMPUTED_VALUE"""),"SelectFills")</f>
        <v>SelectFills</v>
      </c>
      <c r="C540" t="str">
        <f>IFERROR(__xludf.DUMMYFUNCTION("""COMPUTED_VALUE"""),"1Ies-dH6F3ega-0G78bGC6O4wv2KeaxZVCOrQ36yBSlQ")</f>
        <v>1Ies-dH6F3ega-0G78bGC6O4wv2KeaxZVCOrQ36yBSlQ</v>
      </c>
    </row>
    <row r="541" ht="15.75" customHeight="1">
      <c r="A541" t="str">
        <f>IFERROR(__xludf.DUMMYFUNCTION("""COMPUTED_VALUE"""),"Blotter")</f>
        <v>Blotter</v>
      </c>
      <c r="B541" t="str">
        <f>IFERROR(__xludf.DUMMYFUNCTION("""COMPUTED_VALUE"""),"ModifyFills")</f>
        <v>ModifyFills</v>
      </c>
      <c r="C541" t="str">
        <f>IFERROR(__xludf.DUMMYFUNCTION("""COMPUTED_VALUE"""),"1MILvcLzeuv6xKRk3qd4Sxn9N81mZ-zAP1j_d22RRaRk")</f>
        <v>1MILvcLzeuv6xKRk3qd4Sxn9N81mZ-zAP1j_d22RRaRk</v>
      </c>
    </row>
    <row r="542" ht="15.75" customHeight="1">
      <c r="A542" t="str">
        <f>IFERROR(__xludf.DUMMYFUNCTION("""COMPUTED_VALUE"""),"PranaClient")</f>
        <v>PranaClient</v>
      </c>
      <c r="B542" t="str">
        <f>IFERROR(__xludf.DUMMYFUNCTION("""COMPUTED_VALUE"""),"PranaClient")</f>
        <v>PranaClient</v>
      </c>
      <c r="C542" t="str">
        <f>IFERROR(__xludf.DUMMYFUNCTION("""COMPUTED_VALUE"""),"1WDFAjSIlOFsNX0LLYwhJaUkTKf6rViDpcTcizTr7tkE")</f>
        <v>1WDFAjSIlOFsNX0LLYwhJaUkTKf6rViDpcTcizTr7tkE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IFERROR(__xludf.DUMMYFUNCTION("""COMPUTED_VALUE"""),"EditMultipleCloseQuantity")</f>
        <v>EditMultipleCloseQuantity</v>
      </c>
      <c r="C543" t="str">
        <f>IFERROR(__xludf.DUMMYFUNCTION("""COMPUTED_VALUE"""),"1As4aK9TB7BNLyLzv833qnm_81Y9C10iVC1t_pVb_g4o")</f>
        <v>1As4aK9TB7BNLyLzv833qnm_81Y9C10iVC1t_pVb_g4o</v>
      </c>
    </row>
    <row r="544" ht="15.75" customHeight="1">
      <c r="A544" t="str">
        <f>IFERROR(__xludf.DUMMYFUNCTION("""COMPUTED_VALUE"""),"Closing")</f>
        <v>Closing</v>
      </c>
      <c r="B544" t="str">
        <f>IFERROR(__xludf.DUMMYFUNCTION("""COMPUTED_VALUE"""),"ManualCloseOrder")</f>
        <v>ManualCloseOrder</v>
      </c>
      <c r="C544" t="str">
        <f>IFERROR(__xludf.DUMMYFUNCTION("""COMPUTED_VALUE"""),"1Z6VinSFfvyzX51UkxNQ57jx1V4d_2r5QgnF-82XZiII")</f>
        <v>1Z6VinSFfvyzX51UkxNQ57jx1V4d_2r5QgnF-82XZiII</v>
      </c>
    </row>
    <row r="545" ht="15.75" customHeight="1">
      <c r="A545" t="str">
        <f>IFERROR(__xludf.DUMMYFUNCTION("""COMPUTED_VALUE"""),"Admin")</f>
        <v>Admin</v>
      </c>
      <c r="B545" t="str">
        <f>IFERROR(__xludf.DUMMYFUNCTION("""COMPUTED_VALUE"""),"SetTTUIAdminPreferences")</f>
        <v>SetTTUIAdminPreferences</v>
      </c>
      <c r="C545" t="str">
        <f>IFERROR(__xludf.DUMMYFUNCTION("""COMPUTED_VALUE"""),"1Xoytpjlm_uCbH7E2OBVyA5cpiEdagmLynZS77w0sB9E")</f>
        <v>1Xoytpjlm_uCbH7E2OBVyA5cpiEdagmLynZS77w0sB9E</v>
      </c>
    </row>
    <row r="546" ht="15.75" customHeight="1">
      <c r="A546" t="str">
        <f>IFERROR(__xludf.DUMMYFUNCTION("""COMPUTED_VALUE"""),"Closing")</f>
        <v>Closing</v>
      </c>
      <c r="B546" t="str">
        <f>IFERROR(__xludf.DUMMYFUNCTION("""COMPUTED_VALUE"""),"PreviewDataWithFilters")</f>
        <v>PreviewDataWithFilters</v>
      </c>
      <c r="C546" t="str">
        <f>IFERROR(__xludf.DUMMYFUNCTION("""COMPUTED_VALUE"""),"1KuYiSB26XWBfbzb75TDdM5e9oYb3vnk75drHSH0LnqY")</f>
        <v>1KuYiSB26XWBfbzb75TDdM5e9oYb3vnk75drHSH0LnqY</v>
      </c>
    </row>
    <row r="547" ht="15.75" customHeight="1">
      <c r="A547" t="str">
        <f>IFERROR(__xludf.DUMMYFUNCTION("""COMPUTED_VALUE"""),"TradingTicket")</f>
        <v>TradingTicket</v>
      </c>
      <c r="B547" t="str">
        <f>IFERROR(__xludf.DUMMYFUNCTION("""COMPUTED_VALUE"""),"ViewAllocation")</f>
        <v>ViewAllocation</v>
      </c>
      <c r="C547" t="str">
        <f>IFERROR(__xludf.DUMMYFUNCTION("""COMPUTED_VALUE"""),"1lByE4-9oGLqgyjwm136U-2hfBqhRA_J-WHj8Eo1iTAo")</f>
        <v>1lByE4-9oGLqgyjwm136U-2hfBqhRA_J-WHj8Eo1iTAo</v>
      </c>
    </row>
    <row r="548" ht="15.75" customHeight="1">
      <c r="A548" t="str">
        <f>IFERROR(__xludf.DUMMYFUNCTION("""COMPUTED_VALUE"""),"Admin")</f>
        <v>Admin</v>
      </c>
      <c r="B548" t="str">
        <f>IFERROR(__xludf.DUMMYFUNCTION("""COMPUTED_VALUE"""),"UpdateSecFee")</f>
        <v>UpdateSecFee</v>
      </c>
      <c r="C548" t="str">
        <f>IFERROR(__xludf.DUMMYFUNCTION("""COMPUTED_VALUE"""),"1gRoCh9m9NqIGTjNnEl44mGE3VScdhFYZFIGauMOiu0A")</f>
        <v>1gRoCh9m9NqIGTjNnEl44mGE3VScdhFYZFIGauMOiu0A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IFERROR(__xludf.DUMMYFUNCTION("""COMPUTED_VALUE"""),"CreateClosingTemplate")</f>
        <v>CreateClosingTemplate</v>
      </c>
      <c r="C549" t="str">
        <f>IFERROR(__xludf.DUMMYFUNCTION("""COMPUTED_VALUE"""),"1jfp8aZqh3UdVRZlAjBYQgJyHqTyBbhFc4uHQA7y9krs")</f>
        <v>1jfp8aZqh3UdVRZlAjBYQgJyHqTyBbhFc4uHQA7y9krs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IFERROR(__xludf.DUMMYFUNCTION("""COMPUTED_VALUE"""),"CreateUnwindingTemplate")</f>
        <v>CreateUnwindingTemplate</v>
      </c>
      <c r="C550" t="str">
        <f>IFERROR(__xludf.DUMMYFUNCTION("""COMPUTED_VALUE"""),"1Mu3QSS9ja4VJBNwHgxOrColyJvnFp-9taHs7WERfoGA")</f>
        <v>1Mu3QSS9ja4VJBNwHgxOrColyJvnFp-9taHs7WERfoGA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IFERROR(__xludf.DUMMYFUNCTION("""COMPUTED_VALUE"""),"EditTemplate")</f>
        <v>EditTemplate</v>
      </c>
      <c r="C551" t="str">
        <f>IFERROR(__xludf.DUMMYFUNCTION("""COMPUTED_VALUE"""),"1M-9P8q5tiKJgPHUTttNF6nknqVv2KelBDn-DmSjTqzE")</f>
        <v>1M-9P8q5tiKJgPHUTttNF6nknqVv2KelBDn-DmSjTqzE</v>
      </c>
    </row>
    <row r="552" ht="15.75" customHeight="1">
      <c r="A552" t="str">
        <f>IFERROR(__xludf.DUMMYFUNCTION("""COMPUTED_VALUE"""),"Closing")</f>
        <v>Closing</v>
      </c>
      <c r="B552" t="str">
        <f>IFERROR(__xludf.DUMMYFUNCTION("""COMPUTED_VALUE"""),"DeleteTemplate")</f>
        <v>DeleteTemplate</v>
      </c>
      <c r="C552" t="str">
        <f>IFERROR(__xludf.DUMMYFUNCTION("""COMPUTED_VALUE"""),"125HVLz9JsDfW-RasFrXrQbkmpfBgoLNIwAOq-tzTlKg")</f>
        <v>125HVLz9JsDfW-RasFrXrQbkmpfBgoLNIwAOq-tzTlKg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IFERROR(__xludf.DUMMYFUNCTION("""COMPUTED_VALUE"""),"AllocationAuditTrail")</f>
        <v>AllocationAuditTrail</v>
      </c>
      <c r="C553" t="str">
        <f>IFERROR(__xludf.DUMMYFUNCTION("""COMPUTED_VALUE"""),"10yWz7qGDCZSmNciBeD3O041xErneAlctCAKUTSUMCjo")</f>
        <v>10yWz7qGDCZSmNciBeD3O041xErneAlctCAKUTSUMCjo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IFERROR(__xludf.DUMMYFUNCTION("""COMPUTED_VALUE"""),"GetAuditTrailData")</f>
        <v>GetAuditTrailData</v>
      </c>
      <c r="C554" t="str">
        <f>IFERROR(__xludf.DUMMYFUNCTION("""COMPUTED_VALUE"""),"1tE0JmmhLdBJdhU5UVnPXGBlkR2I3vOjQv07gU21GvxE")</f>
        <v>1tE0JmmhLdBJdhU5UVnPXGBlkR2I3vOjQv07gU21GvxE</v>
      </c>
    </row>
    <row r="555" ht="15.75" customHeight="1">
      <c r="A555" t="str">
        <f>IFERROR(__xludf.DUMMYFUNCTION("""COMPUTED_VALUE"""),"Allocation")</f>
        <v>Allocation</v>
      </c>
      <c r="B555" t="str">
        <f>IFERROR(__xludf.DUMMYFUNCTION("""COMPUTED_VALUE"""),"CheckAuditTrailData")</f>
        <v>CheckAuditTrailData</v>
      </c>
      <c r="C555" t="str">
        <f>IFERROR(__xludf.DUMMYFUNCTION("""COMPUTED_VALUE"""),"12-0bH70bYN6Seh10B26EVNX7irTpsc_sZyluYAHwjQc")</f>
        <v>12-0bH70bYN6Seh10B26EVNX7irTpsc_sZyluYAHwjQc</v>
      </c>
    </row>
    <row r="556" ht="15.75" customHeight="1">
      <c r="A556" t="str">
        <f>IFERROR(__xludf.DUMMYFUNCTION("""COMPUTED_VALUE"""),"Closing")</f>
        <v>Closing</v>
      </c>
      <c r="B556" t="str">
        <f>IFERROR(__xludf.DUMMYFUNCTION("""COMPUTED_VALUE"""),"RunTemplate")</f>
        <v>RunTemplate</v>
      </c>
      <c r="C556" t="str">
        <f>IFERROR(__xludf.DUMMYFUNCTION("""COMPUTED_VALUE"""),"1bVzO569ANMee7krdBrWkFhCZKN5hTw6usYeUmdMDkzI")</f>
        <v>1bVzO569ANMee7krdBrWkFhCZKN5hTw6usYeUmdMDkzI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IFERROR(__xludf.DUMMYFUNCTION("""COMPUTED_VALUE"""),"EnterEquity")</f>
        <v>EnterEquity</v>
      </c>
      <c r="C557" t="str">
        <f>IFERROR(__xludf.DUMMYFUNCTION("""COMPUTED_VALUE"""),"1gNFsXBL_FJJrxJtDO2zjzVWu9qT_j1bzsfLqt4p-_Fo")</f>
        <v>1gNFsXBL_FJJrxJtDO2zjzVWu9qT_j1bzsfLqt4p-_Fo</v>
      </c>
    </row>
    <row r="558" ht="15.75" customHeight="1">
      <c r="A558" t="str">
        <f>IFERROR(__xludf.DUMMYFUNCTION("""COMPUTED_VALUE"""),"SymbolLookup")</f>
        <v>SymbolLookup</v>
      </c>
      <c r="B558" t="str">
        <f>IFERROR(__xludf.DUMMYFUNCTION("""COMPUTED_VALUE"""),"UpdateSecurityInfoOnSM")</f>
        <v>UpdateSecurityInfoOnSM</v>
      </c>
      <c r="C558" t="str">
        <f>IFERROR(__xludf.DUMMYFUNCTION("""COMPUTED_VALUE"""),"1RAgAbVa3RJzX7cn7Q8rWnjjzhfqmjIR64sJ84ZIl6PU")</f>
        <v>1RAgAbVa3RJzX7cn7Q8rWnjjzhfqmjIR64sJ84ZIl6PU</v>
      </c>
    </row>
    <row r="559" ht="15.75" customHeight="1">
      <c r="A559" t="str">
        <f>IFERROR(__xludf.DUMMYFUNCTION("""COMPUTED_VALUE"""),"Blotter")</f>
        <v>Blotter</v>
      </c>
      <c r="B559" t="str">
        <f>IFERROR(__xludf.DUMMYFUNCTION("""COMPUTED_VALUE"""),"AllocateFromBlotter")</f>
        <v>AllocateFromBlotter</v>
      </c>
      <c r="C559" t="str">
        <f>IFERROR(__xludf.DUMMYFUNCTION("""COMPUTED_VALUE"""),"1GsnTQHJQ7cVEizrryoUXk5eXeK0x0migAZPTN4d4rNQ")</f>
        <v>1GsnTQHJQ7cVEizrryoUXk5eXeK0x0migAZPTN4d4rNQ</v>
      </c>
    </row>
    <row r="560" ht="15.75" customHeight="1">
      <c r="A560" t="str">
        <f>IFERROR(__xludf.DUMMYFUNCTION("""COMPUTED_VALUE"""),"Admin")</f>
        <v>Admin</v>
      </c>
      <c r="B560" t="str">
        <f>IFERROR(__xludf.DUMMYFUNCTION("""COMPUTED_VALUE"""),"UpdateFee")</f>
        <v>UpdateFee</v>
      </c>
      <c r="C560" t="str">
        <f>IFERROR(__xludf.DUMMYFUNCTION("""COMPUTED_VALUE"""),"1t-RYeXwDqpClPnSrtgjRvnnCBVV4IZrE5q5cPKHHLLU")</f>
        <v>1t-RYeXwDqpClPnSrtgjRvnnCBVV4IZrE5q5cPKHHLLU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IFERROR(__xludf.DUMMYFUNCTION("""COMPUTED_VALUE"""),"DeleteGroupWithOutSave")</f>
        <v>DeleteGroupWithOutSave</v>
      </c>
      <c r="C561" t="str">
        <f>IFERROR(__xludf.DUMMYFUNCTION("""COMPUTED_VALUE"""),"1iBGHDOTSzgrcmh6jUKtLpmkIWeAU7Bkq-hGCZgisALw")</f>
        <v>1iBGHDOTSzgrcmh6jUKtLpmkIWeAU7Bkq-hGCZgisALw</v>
      </c>
    </row>
    <row r="562" ht="15.75" customHeight="1">
      <c r="A562" t="str">
        <f>IFERROR(__xludf.DUMMYFUNCTION("""COMPUTED_VALUE"""),"Allocation")</f>
        <v>Allocation</v>
      </c>
      <c r="B562" t="str">
        <f>IFERROR(__xludf.DUMMYFUNCTION("""COMPUTED_VALUE"""),"CheckPreferences")</f>
        <v>CheckPreferences</v>
      </c>
      <c r="C562" t="str">
        <f>IFERROR(__xludf.DUMMYFUNCTION("""COMPUTED_VALUE"""),"1HVuVuvAGvAMqFZra8_Q_UePURkSApZwNJIWqtez9PKM")</f>
        <v>1HVuVuvAGvAMqFZra8_Q_UePURkSApZwNJIWqtez9PKM</v>
      </c>
    </row>
    <row r="563" ht="15.75" customHeight="1">
      <c r="A563" t="str">
        <f>IFERROR(__xludf.DUMMYFUNCTION("""COMPUTED_VALUE"""),"Rebalancer")</f>
        <v>Rebalancer</v>
      </c>
      <c r="B563" t="str">
        <f>IFERROR(__xludf.DUMMYFUNCTION("""COMPUTED_VALUE"""),"SymbologyChangeRB")</f>
        <v>SymbologyChangeRB</v>
      </c>
      <c r="C563" t="str">
        <f>IFERROR(__xludf.DUMMYFUNCTION("""COMPUTED_VALUE"""),"Undefined")</f>
        <v>Undefined</v>
      </c>
    </row>
    <row r="564" ht="15.75" customHeight="1">
      <c r="A564" t="str">
        <f>IFERROR(__xludf.DUMMYFUNCTION("""COMPUTED_VALUE"""),"TradingTicket")</f>
        <v>TradingTicket</v>
      </c>
      <c r="B564" t="str">
        <f>IFERROR(__xludf.DUMMYFUNCTION("""COMPUTED_VALUE"""),"CreateReplaceLiveOrder")</f>
        <v>CreateReplaceLiveOrder</v>
      </c>
      <c r="C564" t="str">
        <f>IFERROR(__xludf.DUMMYFUNCTION("""COMPUTED_VALUE"""),"1XwWb172lSyEQcY3jmIlN32DUfXzcpCX3TAaiFMrAW6Q")</f>
        <v>1XwWb172lSyEQcY3jmIlN32DUfXzcpCX3TAaiFMrAW6Q</v>
      </c>
    </row>
    <row r="565" ht="15.75" customHeight="1">
      <c r="A565" t="str">
        <f>IFERROR(__xludf.DUMMYFUNCTION("""COMPUTED_VALUE"""),"Admin")</f>
        <v>Admin</v>
      </c>
      <c r="B565" t="str">
        <f>IFERROR(__xludf.DUMMYFUNCTION("""COMPUTED_VALUE"""),"RevertingSMSharesOutValue")</f>
        <v>RevertingSMSharesOutValue</v>
      </c>
      <c r="C565" t="str">
        <f>IFERROR(__xludf.DUMMYFUNCTION("""COMPUTED_VALUE"""),"1UFQ_O137A9fYomG8U3DZi6u0aJOLhEdOb9uPd1XRGg4")</f>
        <v>1UFQ_O137A9fYomG8U3DZi6u0aJOLhEdOb9uPd1XRGg4</v>
      </c>
    </row>
    <row r="566" ht="15.75" customHeight="1">
      <c r="A566" t="str">
        <f>IFERROR(__xludf.DUMMYFUNCTION("""COMPUTED_VALUE"""),"SymbolLookup")</f>
        <v>SymbolLookup</v>
      </c>
      <c r="B566" t="str">
        <f>IFERROR(__xludf.DUMMYFUNCTION("""COMPUTED_VALUE"""),"TradeSymbolFromSM")</f>
        <v>TradeSymbolFromSM</v>
      </c>
      <c r="C566" t="str">
        <f>IFERROR(__xludf.DUMMYFUNCTION("""COMPUTED_VALUE"""),"1PNlRP_f9Ce4d39zh_JfxS1-IRQ2lZ9LmbDv-YNbW0ws")</f>
        <v>1PNlRP_f9Ce4d39zh_JfxS1-IRQ2lZ9LmbDv-YNbW0ws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IFERROR(__xludf.DUMMYFUNCTION("""COMPUTED_VALUE"""),"SelectAccountWiseAsset")</f>
        <v>SelectAccountWiseAsset</v>
      </c>
      <c r="C567" t="str">
        <f>IFERROR(__xludf.DUMMYFUNCTION("""COMPUTED_VALUE"""),"10MC6_i1BVoL1LzM9Lj5pQq11-DVZxi4lg6JmZyXndlA")</f>
        <v>10MC6_i1BVoL1LzM9Lj5pQq11-DVZxi4lg6JmZyXndlA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IFERROR(__xludf.DUMMYFUNCTION("""COMPUTED_VALUE"""),"VerifyCTData")</f>
        <v>VerifyCTData</v>
      </c>
      <c r="C568" t="str">
        <f>IFERROR(__xludf.DUMMYFUNCTION("""COMPUTED_VALUE"""),"1wwRMdxFwMzL4j6aOJK1awK-P3H5mg_73kIOYdQV-jzE")</f>
        <v>1wwRMdxFwMzL4j6aOJK1awK-P3H5mg_73kIOYdQV-jzE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IFERROR(__xludf.DUMMYFUNCTION("""COMPUTED_VALUE"""),"ExerciseAssignmentWithOutSave")</f>
        <v>ExerciseAssignmentWithOutSave</v>
      </c>
      <c r="C569" t="str">
        <f>IFERROR(__xludf.DUMMYFUNCTION("""COMPUTED_VALUE"""),"1ydTFRdCEiW0S4QjO_nq3U9QkZ_sElCJSRuC8YTFTmDM")</f>
        <v>1ydTFRdCEiW0S4QjO_nq3U9QkZ_sElCJSRuC8YTFTmDM</v>
      </c>
    </row>
    <row r="570" ht="15.75" customHeight="1">
      <c r="A570" t="str">
        <f>IFERROR(__xludf.DUMMYFUNCTION("""COMPUTED_VALUE"""),"Closing")</f>
        <v>Closing</v>
      </c>
      <c r="B570" t="str">
        <f>IFERROR(__xludf.DUMMYFUNCTION("""COMPUTED_VALUE"""),"SaveCTData")</f>
        <v>SaveCTData</v>
      </c>
      <c r="C570" t="str">
        <f>IFERROR(__xludf.DUMMYFUNCTION("""COMPUTED_VALUE"""),"1TyXEOncuetpBc6awaz-9e8qmzRPhspaacAFxbb1KuXk")</f>
        <v>1TyXEOncuetpBc6awaz-9e8qmzRPhspaacAFxbb1KuXk</v>
      </c>
    </row>
    <row r="571" ht="15.75" customHeight="1">
      <c r="A571" t="str">
        <f>IFERROR(__xludf.DUMMYFUNCTION("""COMPUTED_VALUE"""),"Allocation")</f>
        <v>Allocation</v>
      </c>
      <c r="B571" t="str">
        <f>IFERROR(__xludf.DUMMYFUNCTION("""COMPUTED_VALUE"""),"AllocateWithPopUp")</f>
        <v>AllocateWithPopUp</v>
      </c>
      <c r="C571" t="str">
        <f>IFERROR(__xludf.DUMMYFUNCTION("""COMPUTED_VALUE"""),"1ujrr9fe1BF5zNwGm3FQX-VQGjnK8-GTda2InZicXhr0")</f>
        <v>1ujrr9fe1BF5zNwGm3FQX-VQGjnK8-GTda2InZicXhr0</v>
      </c>
    </row>
    <row r="572" ht="15.75" customHeight="1">
      <c r="A572" t="str">
        <f>IFERROR(__xludf.DUMMYFUNCTION("""COMPUTED_VALUE"""),"TradingTicket")</f>
        <v>TradingTicket</v>
      </c>
      <c r="B572" t="str">
        <f>IFERROR(__xludf.DUMMYFUNCTION("""COMPUTED_VALUE"""),"CreateNewSubLiveOrder")</f>
        <v>CreateNewSubLiveOrder</v>
      </c>
      <c r="C572" t="str">
        <f>IFERROR(__xludf.DUMMYFUNCTION("""COMPUTED_VALUE"""),"1VZ3yefl1NzzIoTT3B2uyDuSCt5Koeutvqcmf9ljJY2s")</f>
        <v>1VZ3yefl1NzzIoTT3B2uyDuSCt5Koeutvqcmf9ljJY2s</v>
      </c>
    </row>
    <row r="573" ht="15.75" customHeight="1">
      <c r="A573" t="str">
        <f>IFERROR(__xludf.DUMMYFUNCTION("""COMPUTED_VALUE"""),"Blotter")</f>
        <v>Blotter</v>
      </c>
      <c r="B573" t="str">
        <f>IFERROR(__xludf.DUMMYFUNCTION("""COMPUTED_VALUE"""),"ViewPTTAllocationDetails")</f>
        <v>ViewPTTAllocationDetails</v>
      </c>
      <c r="C573" t="str">
        <f>IFERROR(__xludf.DUMMYFUNCTION("""COMPUTED_VALUE"""),"1zhdc8S2ATpongUWtw4_n_Ao2z4dmVK8NaK3KnXEZcVs")</f>
        <v>1zhdc8S2ATpongUWtw4_n_Ao2z4dmVK8NaK3KnXEZcVs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IFERROR(__xludf.DUMMYFUNCTION("""COMPUTED_VALUE"""),"RestartSQL")</f>
        <v>RestartSQL</v>
      </c>
      <c r="C574" t="str">
        <f>IFERROR(__xludf.DUMMYFUNCTION("""COMPUTED_VALUE"""),"1Tf2tkH3voMf7Bddd7JKWvwpP_UlMk-ToxSdRxfAD0jM")</f>
        <v>1Tf2tkH3voMf7Bddd7JKWvwpP_UlMk-ToxSdRxfAD0jM</v>
      </c>
    </row>
    <row r="575" ht="15.75" customHeight="1">
      <c r="A575" t="str">
        <f>IFERROR(__xludf.DUMMYFUNCTION("""COMPUTED_VALUE"""),"Admin")</f>
        <v>Admin</v>
      </c>
      <c r="B575" t="str">
        <f>IFERROR(__xludf.DUMMYFUNCTION("""COMPUTED_VALUE"""),"TradeAuditCleanUp")</f>
        <v>TradeAuditCleanUp</v>
      </c>
      <c r="C575" t="str">
        <f>IFERROR(__xludf.DUMMYFUNCTION("""COMPUTED_VALUE"""),"1I5ypN0xJd-5h0D0FV3MNW12oOCuKLopQXeYbU4uymsQ")</f>
        <v>1I5ypN0xJd-5h0D0FV3MNW12oOCuKLopQXeYbU4uymsQ</v>
      </c>
    </row>
    <row r="576" ht="15.75" customHeight="1">
      <c r="A576" t="str">
        <f>IFERROR(__xludf.DUMMYFUNCTION("""COMPUTED_VALUE"""),"Import")</f>
        <v>Import</v>
      </c>
      <c r="B576" t="str">
        <f>IFERROR(__xludf.DUMMYFUNCTION("""COMPUTED_VALUE"""),"SelectTradeOnImport")</f>
        <v>SelectTradeOnImport</v>
      </c>
      <c r="C576" t="str">
        <f>IFERROR(__xludf.DUMMYFUNCTION("""COMPUTED_VALUE"""),"1HjUosyUubSyBTOoMjfoEXPhhuwTE0zxlMg_E5M-35KI")</f>
        <v>1HjUosyUubSyBTOoMjfoEXPhhuwTE0zxlMg_E5M-35KI</v>
      </c>
    </row>
    <row r="577" ht="15.75" customHeight="1">
      <c r="A577" t="str">
        <f>IFERROR(__xludf.DUMMYFUNCTION("""COMPUTED_VALUE"""),"Allocation")</f>
        <v>Allocation</v>
      </c>
      <c r="B577" t="str">
        <f>IFERROR(__xludf.DUMMYFUNCTION("""COMPUTED_VALUE"""),"SelectAllRowsAllocated")</f>
        <v>SelectAllRowsAllocated</v>
      </c>
      <c r="C577" t="str">
        <f>IFERROR(__xludf.DUMMYFUNCTION("""COMPUTED_VALUE"""),"Undefined")</f>
        <v>Undefined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IFERROR(__xludf.DUMMYFUNCTION("""COMPUTED_VALUE"""),"FilterLongPositionGrid")</f>
        <v>FilterLongPositionGrid</v>
      </c>
      <c r="C578" t="str">
        <f>IFERROR(__xludf.DUMMYFUNCTION("""COMPUTED_VALUE"""),"1ntkjcw7jS8fAkXNT1tS7ljnkeomzfYY3hPmh4aD_sAA")</f>
        <v>1ntkjcw7jS8fAkXNT1tS7ljnkeomzfYY3hPmh4aD_sAA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IFERROR(__xludf.DUMMYFUNCTION("""COMPUTED_VALUE"""),"FilterShortPositionGrid")</f>
        <v>FilterShortPositionGrid</v>
      </c>
      <c r="C579" t="str">
        <f>IFERROR(__xludf.DUMMYFUNCTION("""COMPUTED_VALUE"""),"1fmfWmLW7JtnC3QwQKE2SYNBjpfVryomKbf8dddB6uHo")</f>
        <v>1fmfWmLW7JtnC3QwQKE2SYNBjpfVryomKbf8dddB6uHo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IFERROR(__xludf.DUMMYFUNCTION("""COMPUTED_VALUE"""),"FilterClosingGrid")</f>
        <v>FilterClosingGrid</v>
      </c>
      <c r="C580" t="str">
        <f>IFERROR(__xludf.DUMMYFUNCTION("""COMPUTED_VALUE"""),"1z_Tn21iZAmnP5WjmCfyv2uDZQ6_QCU53OGLuDkx8Oc4")</f>
        <v>1z_Tn21iZAmnP5WjmCfyv2uDZQ6_QCU53OGLuDkx8Oc4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IFERROR(__xludf.DUMMYFUNCTION("""COMPUTED_VALUE"""),"FilterUnexpiredGrid")</f>
        <v>FilterUnexpiredGrid</v>
      </c>
      <c r="C581" t="str">
        <f>IFERROR(__xludf.DUMMYFUNCTION("""COMPUTED_VALUE"""),"1xZ1BV6Hh4RBWqJJnN_kJeyL0fwG7Ahrr3S06JFmSoYg")</f>
        <v>1xZ1BV6Hh4RBWqJJnN_kJeyL0fwG7Ahrr3S06JFmSoYg</v>
      </c>
    </row>
    <row r="582" ht="15.75" customHeight="1">
      <c r="A582" t="str">
        <f>IFERROR(__xludf.DUMMYFUNCTION("""COMPUTED_VALUE"""),"Closing")</f>
        <v>Closing</v>
      </c>
      <c r="B582" t="str">
        <f>IFERROR(__xludf.DUMMYFUNCTION("""COMPUTED_VALUE"""),"FilterExpiredGrid")</f>
        <v>FilterExpiredGrid</v>
      </c>
      <c r="C582" t="str">
        <f>IFERROR(__xludf.DUMMYFUNCTION("""COMPUTED_VALUE"""),"1wHqenR3Gam1p0PqW3aulNwmgLPY_UioCzlLWNtUNPfA")</f>
        <v>1wHqenR3Gam1p0PqW3aulNwmgLPY_UioCzlLWNtUNPfA</v>
      </c>
    </row>
    <row r="583" ht="15.75" customHeight="1">
      <c r="A583" t="str">
        <f>IFERROR(__xludf.DUMMYFUNCTION("""COMPUTED_VALUE"""),"GeneralLedger")</f>
        <v>GeneralLedger</v>
      </c>
      <c r="B583" t="str">
        <f>IFERROR(__xludf.DUMMYFUNCTION("""COMPUTED_VALUE"""),"FilterCashTransactionGrid")</f>
        <v>FilterCashTransactionGrid</v>
      </c>
      <c r="C583" t="str">
        <f>IFERROR(__xludf.DUMMYFUNCTION("""COMPUTED_VALUE"""),"1dC0jq3TP8OpNNJ8iqYrIIpx_-wGyka9u3QG_vMPR6Jk")</f>
        <v>1dC0jq3TP8OpNNJ8iqYrIIpx_-wGyka9u3QG_vMPR6Jk</v>
      </c>
    </row>
    <row r="584" ht="15.75" customHeight="1">
      <c r="A584" t="str">
        <f>IFERROR(__xludf.DUMMYFUNCTION("""COMPUTED_VALUE"""),"Recon")</f>
        <v>Recon</v>
      </c>
      <c r="B584" t="str">
        <f>IFERROR(__xludf.DUMMYFUNCTION("""COMPUTED_VALUE"""),"VerifyApplicationData")</f>
        <v>VerifyApplicationData</v>
      </c>
      <c r="C584" t="str">
        <f>IFERROR(__xludf.DUMMYFUNCTION("""COMPUTED_VALUE"""),"12uaBilYuoqtrRW6_HDDP48tS7_jnEsipPeSiI04cKsU")</f>
        <v>12uaBilYuoqtrRW6_HDDP48tS7_jnEsipPeSiI04cKsU</v>
      </c>
    </row>
    <row r="585" ht="15.75" customHeight="1">
      <c r="A585" t="str">
        <f>IFERROR(__xludf.DUMMYFUNCTION("""COMPUTED_VALUE"""),"GeneralLedger")</f>
        <v>GeneralLedger</v>
      </c>
      <c r="B585" t="str">
        <f>IFERROR(__xludf.DUMMYFUNCTION("""COMPUTED_VALUE"""),"EditGridCashTransactions")</f>
        <v>EditGridCashTransactions</v>
      </c>
      <c r="C585" t="str">
        <f>IFERROR(__xludf.DUMMYFUNCTION("""COMPUTED_VALUE"""),"1DbIO0VY7xpdEigO0mZ-XsVT568tgFmOXTwVpApe1exI")</f>
        <v>1DbIO0VY7xpdEigO0mZ-XsVT568tgFmOXTwVpApe1exI</v>
      </c>
    </row>
    <row r="586" ht="15.75" customHeight="1">
      <c r="A586" t="str">
        <f>IFERROR(__xludf.DUMMYFUNCTION("""COMPUTED_VALUE"""),"Closing")</f>
        <v>Closing</v>
      </c>
      <c r="B586" t="str">
        <f>IFERROR(__xludf.DUMMYFUNCTION("""COMPUTED_VALUE"""),"UnwindAllClosingData")</f>
        <v>UnwindAllClosingData</v>
      </c>
      <c r="C586" t="str">
        <f>IFERROR(__xludf.DUMMYFUNCTION("""COMPUTED_VALUE"""),"1LaX9icgrLb7UfkgW9ctd7uQhtirYerCxwOcdswi3qJ4")</f>
        <v>1LaX9icgrLb7UfkgW9ctd7uQhtirYerCxwOcdswi3qJ4</v>
      </c>
    </row>
    <row r="587" ht="15.75" customHeight="1">
      <c r="A587" t="str">
        <f>IFERROR(__xludf.DUMMYFUNCTION("""COMPUTED_VALUE"""),"GeneralLedger")</f>
        <v>GeneralLedger</v>
      </c>
      <c r="B587" t="str">
        <f>IFERROR(__xludf.DUMMYFUNCTION("""COMPUTED_VALUE"""),"SaveCashTransaction")</f>
        <v>SaveCashTransaction</v>
      </c>
      <c r="C587" t="str">
        <f>IFERROR(__xludf.DUMMYFUNCTION("""COMPUTED_VALUE"""),"1C9P1HbY6Ro9lyEQ5ZR0swuE8ZsndB32hjwqmgHAPO48")</f>
        <v>1C9P1HbY6Ro9lyEQ5ZR0swuE8ZsndB32hjwqmgHAPO48</v>
      </c>
    </row>
    <row r="588" ht="15.75" customHeight="1">
      <c r="A588" t="str">
        <f>IFERROR(__xludf.DUMMYFUNCTION("""COMPUTED_VALUE"""),"ThirdParty")</f>
        <v>ThirdParty</v>
      </c>
      <c r="B588" t="str">
        <f>IFERROR(__xludf.DUMMYFUNCTION("""COMPUTED_VALUE"""),"ChangeThirdpartyDate")</f>
        <v>ChangeThirdpartyDate</v>
      </c>
      <c r="C588" t="str">
        <f>IFERROR(__xludf.DUMMYFUNCTION("""COMPUTED_VALUE"""),"1r1jHbvFBzvHIf55vHWyS1tZHMjEnQ-JSG4wuNkUdo8w")</f>
        <v>1r1jHbvFBzvHIf55vHWyS1tZHMjEnQ-JSG4wuNkUdo8w</v>
      </c>
    </row>
    <row r="589" ht="15.75" customHeight="1">
      <c r="A589" t="str">
        <f>IFERROR(__xludf.DUMMYFUNCTION("""COMPUTED_VALUE"""),"GeneralLedger")</f>
        <v>GeneralLedger</v>
      </c>
      <c r="B589" t="str">
        <f>IFERROR(__xludf.DUMMYFUNCTION("""COMPUTED_VALUE"""),"RunManualRevaluation")</f>
        <v>RunManualRevaluation</v>
      </c>
      <c r="C589" t="str">
        <f>IFERROR(__xludf.DUMMYFUNCTION("""COMPUTED_VALUE"""),"1IpFI6-6JOwbL8gM-udQe1oYtIYXeEUX23ACYlbw7CAY")</f>
        <v>1IpFI6-6JOwbL8gM-udQe1oYtIYXeEUX23ACYlbw7CAY</v>
      </c>
    </row>
    <row r="590" ht="15.75" customHeight="1">
      <c r="A590" t="str">
        <f>IFERROR(__xludf.DUMMYFUNCTION("""COMPUTED_VALUE"""),"SymbolLookup")</f>
        <v>SymbolLookup</v>
      </c>
      <c r="B590" t="str">
        <f>IFERROR(__xludf.DUMMYFUNCTION("""COMPUTED_VALUE"""),"AddSymbol")</f>
        <v>AddSymbol</v>
      </c>
      <c r="C590" t="str">
        <f>IFERROR(__xludf.DUMMYFUNCTION("""COMPUTED_VALUE"""),"1PUyWc_VM13xLUcyQtECH7mYIvYQznLYdEjD41p5ATvo")</f>
        <v>1PUyWc_VM13xLUcyQtECH7mYIvYQznLYdEjD41p5ATvo</v>
      </c>
    </row>
    <row r="591" ht="15.75" customHeight="1">
      <c r="A591" t="str">
        <f>IFERROR(__xludf.DUMMYFUNCTION("""COMPUTED_VALUE"""),"Admin")</f>
        <v>Admin</v>
      </c>
      <c r="B591" t="str">
        <f>IFERROR(__xludf.DUMMYFUNCTION("""COMPUTED_VALUE"""),"DeleteSymbolFromSM")</f>
        <v>DeleteSymbolFromSM</v>
      </c>
      <c r="C591" t="str">
        <f>IFERROR(__xludf.DUMMYFUNCTION("""COMPUTED_VALUE"""),"1UQGi8IiCImUPn2i6EU0ofTcyy_2hwKGgHnjxdlRJD1s")</f>
        <v>1UQGi8IiCImUPn2i6EU0ofTcyy_2hwKGgHnjxdlRJD1s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IFERROR(__xludf.DUMMYFUNCTION("""COMPUTED_VALUE"""),"AddSymbolToWatchlist")</f>
        <v>AddSymbolToWatchlist</v>
      </c>
      <c r="C592" t="str">
        <f>IFERROR(__xludf.DUMMYFUNCTION("""COMPUTED_VALUE"""),"1CWvtsX9WRwgsY7IPC9XXmj-zkwapfAoP4tauSGybyb8")</f>
        <v>1CWvtsX9WRwgsY7IPC9XXmj-zkwapfAoP4tauSGybyb8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IFERROR(__xludf.DUMMYFUNCTION("""COMPUTED_VALUE"""),"TradeFromWatchlist")</f>
        <v>TradeFromWatchlist</v>
      </c>
      <c r="C593" t="str">
        <f>IFERROR(__xludf.DUMMYFUNCTION("""COMPUTED_VALUE"""),"1_gr9yAcv8XFCvsAga7kXC2kGLcr4Um8jwnsOhyTDua8")</f>
        <v>1_gr9yAcv8XFCvsAga7kXC2kGLcr4Um8jwnsOhyTDua8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IFERROR(__xludf.DUMMYFUNCTION("""COMPUTED_VALUE"""),"MultiTradeFromWatchlist")</f>
        <v>MultiTradeFromWatchlist</v>
      </c>
      <c r="C594" t="str">
        <f>IFERROR(__xludf.DUMMYFUNCTION("""COMPUTED_VALUE"""),"1rHIT8qxxt2ksNiLFI6Ig6ZXBYvp7yIuHfgc6AYFwYbs")</f>
        <v>1rHIT8qxxt2ksNiLFI6Ig6ZXBYvp7yIuHfgc6AYFwYbs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IFERROR(__xludf.DUMMYFUNCTION("""COMPUTED_VALUE"""),"DeleteSymbolFromWatchlist")</f>
        <v>DeleteSymbolFromWatchlist</v>
      </c>
      <c r="C595" t="str">
        <f>IFERROR(__xludf.DUMMYFUNCTION("""COMPUTED_VALUE"""),"1dTWLDYGXBeQl6LezEPzd60kFiyaea6looT7M4rwMv2I")</f>
        <v>1dTWLDYGXBeQl6LezEPzd60kFiyaea6looT7M4rwMv2I</v>
      </c>
    </row>
    <row r="596" ht="15.75" customHeight="1">
      <c r="A596" t="str">
        <f>IFERROR(__xludf.DUMMYFUNCTION("""COMPUTED_VALUE"""),"Watchlist")</f>
        <v>Watchlist</v>
      </c>
      <c r="B596" t="str">
        <f>IFERROR(__xludf.DUMMYFUNCTION("""COMPUTED_VALUE"""),"VerifySymbolsOnWatchlist")</f>
        <v>VerifySymbolsOnWatchlist</v>
      </c>
      <c r="C596" t="str">
        <f>IFERROR(__xludf.DUMMYFUNCTION("""COMPUTED_VALUE"""),"1znuLT8W_GL5u40WjJBKcPVMDYjEc2dCFxwQ_2yTGzRk")</f>
        <v>1znuLT8W_GL5u40WjJBKcPVMDYjEc2dCFxwQ_2yTGzRk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IFERROR(__xludf.DUMMYFUNCTION("""COMPUTED_VALUE"""),"VerifyAppMatchedData")</f>
        <v>VerifyAppMatchedData</v>
      </c>
      <c r="C597" t="str">
        <f>IFERROR(__xludf.DUMMYFUNCTION("""COMPUTED_VALUE"""),"1FcLdR_WnLZQHNZAb7fo31xvViPBiukK-X3k3IfDUT5E")</f>
        <v>1FcLdR_WnLZQHNZAb7fo31xvViPBiukK-X3k3IfDUT5E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IFERROR(__xludf.DUMMYFUNCTION("""COMPUTED_VALUE"""),"VerifyAppUnmatchedData")</f>
        <v>VerifyAppUnmatchedData</v>
      </c>
      <c r="C598" t="str">
        <f>IFERROR(__xludf.DUMMYFUNCTION("""COMPUTED_VALUE"""),"1xeVMiuwuNo3S6RUbUKWd8vGC2KydXNR7P51U89_3Yj4")</f>
        <v>1xeVMiuwuNo3S6RUbUKWd8vGC2KydXNR7P51U89_3Yj4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IFERROR(__xludf.DUMMYFUNCTION("""COMPUTED_VALUE"""),"VerifyPBMatchedData")</f>
        <v>VerifyPBMatchedData</v>
      </c>
      <c r="C599" t="str">
        <f>IFERROR(__xludf.DUMMYFUNCTION("""COMPUTED_VALUE"""),"1Wf4tlPp9DuAnbeTQJSJP1jFGY3nQl4LX2Px79JxbDdo")</f>
        <v>1Wf4tlPp9DuAnbeTQJSJP1jFGY3nQl4LX2Px79JxbDdo</v>
      </c>
    </row>
    <row r="600" ht="15.75" customHeight="1">
      <c r="A600" t="str">
        <f>IFERROR(__xludf.DUMMYFUNCTION("""COMPUTED_VALUE"""),"Recon")</f>
        <v>Recon</v>
      </c>
      <c r="B600" t="str">
        <f>IFERROR(__xludf.DUMMYFUNCTION("""COMPUTED_VALUE"""),"VerifyPBUnmatchedData")</f>
        <v>VerifyPBUnmatchedData</v>
      </c>
      <c r="C600" t="str">
        <f>IFERROR(__xludf.DUMMYFUNCTION("""COMPUTED_VALUE"""),"1SyeWrX5C-iBb5GKLRjVajC7dDI8Z7jALI4Z_58qM1t0")</f>
        <v>1SyeWrX5C-iBb5GKLRjVajC7dDI8Z7jALI4Z_58qM1t0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IFERROR(__xludf.DUMMYFUNCTION("""COMPUTED_VALUE"""),"OpenQtt")</f>
        <v>OpenQtt</v>
      </c>
      <c r="C601" t="str">
        <f>IFERROR(__xludf.DUMMYFUNCTION("""COMPUTED_VALUE"""),"1fxUsSbuYzzoFKbiPI8jP3qpfTtLIg38iXf_eO_-wiMQ")</f>
        <v>1fxUsSbuYzzoFKbiPI8jP3qpfTtLIg38iXf_eO_-wiMQ</v>
      </c>
    </row>
    <row r="602" ht="15.75" customHeight="1">
      <c r="A602" t="str">
        <f>IFERROR(__xludf.DUMMYFUNCTION("""COMPUTED_VALUE"""),"QTT")</f>
        <v>QTT</v>
      </c>
      <c r="B602" t="str">
        <f>IFERROR(__xludf.DUMMYFUNCTION("""COMPUTED_VALUE"""),"TradeFromQTT")</f>
        <v>TradeFromQTT</v>
      </c>
      <c r="C602" t="str">
        <f>IFERROR(__xludf.DUMMYFUNCTION("""COMPUTED_VALUE"""),"1c8z9uEtlJwmoxKTHOI7GTZUAANw-oZmQlhfT_OI-_oE")</f>
        <v>1c8z9uEtlJwmoxKTHOI7GTZUAANw-oZmQlhfT_OI-_oE</v>
      </c>
    </row>
    <row r="603" ht="15.75" customHeight="1">
      <c r="A603" t="str">
        <f>IFERROR(__xludf.DUMMYFUNCTION("""COMPUTED_VALUE"""),"TradingTicket")</f>
        <v>TradingTicket</v>
      </c>
      <c r="B603" t="str">
        <f>IFERROR(__xludf.DUMMYFUNCTION("""COMPUTED_VALUE"""),"VerifyBasketExport")</f>
        <v>VerifyBasketExport</v>
      </c>
      <c r="C603" t="str">
        <f>IFERROR(__xludf.DUMMYFUNCTION("""COMPUTED_VALUE"""),"1BncbZbC0fRvgdJBGqgOpno2NiNysxguEOKqQ_wx4rRM")</f>
        <v>1BncbZbC0fRvgdJBGqgOpno2NiNysxguEOKqQ_wx4rRM</v>
      </c>
    </row>
    <row r="604" ht="15.75" customHeight="1">
      <c r="A604" t="str">
        <f>IFERROR(__xludf.DUMMYFUNCTION("""COMPUTED_VALUE"""),"Admin")</f>
        <v>Admin</v>
      </c>
      <c r="B604" t="str">
        <f>IFERROR(__xludf.DUMMYFUNCTION("""COMPUTED_VALUE"""),"SetCompliancePermission")</f>
        <v>SetCompliancePermission</v>
      </c>
      <c r="C604" t="str">
        <f>IFERROR(__xludf.DUMMYFUNCTION("""COMPUTED_VALUE"""),"1-pNim8pz7Yv4cffmGN5HGGavnpzLzpq_5kA4AE20NYM")</f>
        <v>1-pNim8pz7Yv4cffmGN5HGGavnpzLzpq_5kA4AE20NYM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IFERROR(__xludf.DUMMYFUNCTION("""COMPUTED_VALUE"""),"ApproveorRejectpendingapproval")</f>
        <v>ApproveorRejectpendingapproval</v>
      </c>
      <c r="C605" t="str">
        <f>IFERROR(__xludf.DUMMYFUNCTION("""COMPUTED_VALUE"""),"1UhtKaIOSsaBasxqY3sKs-yzcdn7UYylLMA_S4p_LSUg")</f>
        <v>1UhtKaIOSsaBasxqY3sKs-yzcdn7UYylLMA_S4p_LSUg</v>
      </c>
    </row>
    <row r="606" ht="15.75" customHeight="1">
      <c r="A606" t="str">
        <f>IFERROR(__xludf.DUMMYFUNCTION("""COMPUTED_VALUE"""),"Compliance")</f>
        <v>Compliance</v>
      </c>
      <c r="B606" t="str">
        <f>IFERROR(__xludf.DUMMYFUNCTION("""COMPUTED_VALUE"""),"VerifyAlertHistory")</f>
        <v>VerifyAlertHistory</v>
      </c>
      <c r="C606" t="str">
        <f>IFERROR(__xludf.DUMMYFUNCTION("""COMPUTED_VALUE"""),"1ygGptXUyfzDQoJvkfgVUkPUYd4xHQRbgZPB1q7Mq4kI")</f>
        <v>1ygGptXUyfzDQoJvkfgVUkPUYd4xHQRbgZPB1q7Mq4kI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IFERROR(__xludf.DUMMYFUNCTION("""COMPUTED_VALUE"""),"MergeOrder")</f>
        <v>MergeOrder</v>
      </c>
      <c r="C607" t="str">
        <f>IFERROR(__xludf.DUMMYFUNCTION("""COMPUTED_VALUE"""),"1kwyTwH_g61zdsuJMhxqb6Maa6M29IITtQgDUPkSqCfI")</f>
        <v>1kwyTwH_g61zdsuJMhxqb6Maa6M29IITtQgDUPkSqCfI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IFERROR(__xludf.DUMMYFUNCTION("""COMPUTED_VALUE"""),"VerifyMergeOrder")</f>
        <v>VerifyMergeOrder</v>
      </c>
      <c r="C608" t="str">
        <f>IFERROR(__xludf.DUMMYFUNCTION("""COMPUTED_VALUE"""),"1dgPXerDnGponQg7QoRz9zJh5jFCq9rY4gVQkfW6ueRs")</f>
        <v>1dgPXerDnGponQg7QoRz9zJh5jFCq9rY4gVQkfW6ueRs</v>
      </c>
    </row>
    <row r="609" ht="15.75" customHeight="1">
      <c r="A609" t="str">
        <f>IFERROR(__xludf.DUMMYFUNCTION("""COMPUTED_VALUE"""),"Blotter")</f>
        <v>Blotter</v>
      </c>
      <c r="B609" t="str">
        <f>IFERROR(__xludf.DUMMYFUNCTION("""COMPUTED_VALUE"""),"AddTabBlotter")</f>
        <v>AddTabBlotter</v>
      </c>
      <c r="C609" t="str">
        <f>IFERROR(__xludf.DUMMYFUNCTION("""COMPUTED_VALUE"""),"1-HZoUz8p44kRmIYxeitmY0y8sxzMyURZWzTS0g37nzA")</f>
        <v>1-HZoUz8p44kRmIYxeitmY0y8sxzMyURZWzTS0g37nzA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IFERROR(__xludf.DUMMYFUNCTION("""COMPUTED_VALUE"""),"CloseRebalancer")</f>
        <v>CloseRebalancer</v>
      </c>
      <c r="C610" t="str">
        <f>IFERROR(__xludf.DUMMYFUNCTION("""COMPUTED_VALUE"""),"Undefined")</f>
        <v>Undefined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IFERROR(__xludf.DUMMYFUNCTION("""COMPUTED_VALUE"""),"AddCustomCashUsingImport")</f>
        <v>AddCustomCashUsingImport</v>
      </c>
      <c r="C611" t="str">
        <f>IFERROR(__xludf.DUMMYFUNCTION("""COMPUTED_VALUE"""),"1O3SOjzGFXrKLUBVExe6mkwP-cW27WQT9G0PcvkNksJc")</f>
        <v>1O3SOjzGFXrKLUBVExe6mkwP-cW27WQT9G0PcvkNksJc</v>
      </c>
    </row>
    <row r="612" ht="15.75" customHeight="1">
      <c r="A612" t="str">
        <f>IFERROR(__xludf.DUMMYFUNCTION("""COMPUTED_VALUE"""),"Rebalancer")</f>
        <v>Rebalancer</v>
      </c>
      <c r="B612" t="str">
        <f>IFERROR(__xludf.DUMMYFUNCTION("""COMPUTED_VALUE"""),"EditRebalanceGrid")</f>
        <v>EditRebalanceGrid</v>
      </c>
      <c r="C612" t="str">
        <f>IFERROR(__xludf.DUMMYFUNCTION("""COMPUTED_VALUE"""),"1E0dJWA33kTyYO_fdwidKBhJ1jMfTMbCADdoV67llPOA")</f>
        <v>1E0dJWA33kTyYO_fdwidKBhJ1jMfTMbCADdoV67llPOA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IFERROR(__xludf.DUMMYFUNCTION("""COMPUTED_VALUE"""),"EnableBlankMarkPrices")</f>
        <v>EnableBlankMarkPrices</v>
      </c>
      <c r="C613" t="str">
        <f>IFERROR(__xludf.DUMMYFUNCTION("""COMPUTED_VALUE"""),"1Lqg6zZCIQgFixPQUaXAjHwB-7OqPvbCOe32Jestm87U")</f>
        <v>1Lqg6zZCIQgFixPQUaXAjHwB-7OqPvbCOe32Jestm87U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IFERROR(__xludf.DUMMYFUNCTION("""COMPUTED_VALUE"""),"UpateSymbolBlankMP")</f>
        <v>UpateSymbolBlankMP</v>
      </c>
      <c r="C614" t="str">
        <f>IFERROR(__xludf.DUMMYFUNCTION("""COMPUTED_VALUE"""),"1kPqUA1eIuSVlgOBITs5CA81FHMww-cIa-anDNa23yuk")</f>
        <v>1kPqUA1eIuSVlgOBITs5CA81FHMww-cIa-anDNa23yuk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IFERROR(__xludf.DUMMYFUNCTION("""COMPUTED_VALUE"""),"UpdateBlankMP")</f>
        <v>UpdateBlankMP</v>
      </c>
      <c r="C615" t="str">
        <f>IFERROR(__xludf.DUMMYFUNCTION("""COMPUTED_VALUE"""),"1ED_HWp6cWhFdSYM9FJ4WIjNK5s9YQ96UM3HY6z7Uego")</f>
        <v>1ED_HWp6cWhFdSYM9FJ4WIjNK5s9YQ96UM3HY6z7Uego</v>
      </c>
    </row>
    <row r="616" ht="15.75" customHeight="1">
      <c r="A616" t="str">
        <f>IFERROR(__xludf.DUMMYFUNCTION("""COMPUTED_VALUE"""),"DailyValuation")</f>
        <v>DailyValuation</v>
      </c>
      <c r="B616" t="str">
        <f>IFERROR(__xludf.DUMMYFUNCTION("""COMPUTED_VALUE"""),"FilterBlankMP")</f>
        <v>FilterBlankMP</v>
      </c>
      <c r="C616" t="str">
        <f>IFERROR(__xludf.DUMMYFUNCTION("""COMPUTED_VALUE"""),"1hie509djkqOqzLwQ7S4lThLSFspiAn7Ow8Bo7rnDW4A")</f>
        <v>1hie509djkqOqzLwQ7S4lThLSFspiAn7Ow8Bo7rnDW4A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IFERROR(__xludf.DUMMYFUNCTION("""COMPUTED_VALUE"""),"SelectFromSMGridUI")</f>
        <v>SelectFromSMGridUI</v>
      </c>
      <c r="C617" t="str">
        <f>IFERROR(__xludf.DUMMYFUNCTION("""COMPUTED_VALUE"""),"1PjcRlbekDcLgzexy59Ff3csyLlFtkgjkCABuxqPrIFk")</f>
        <v>1PjcRlbekDcLgzexy59Ff3csyLlFtkgjkCABuxqPrIFk</v>
      </c>
    </row>
    <row r="618" ht="15.75" customHeight="1">
      <c r="A618" t="str">
        <f>IFERROR(__xludf.DUMMYFUNCTION("""COMPUTED_VALUE"""),"SymbolLookup")</f>
        <v>SymbolLookup</v>
      </c>
      <c r="B618" t="str">
        <f>IFERROR(__xludf.DUMMYFUNCTION("""COMPUTED_VALUE"""),"EditSMGridUi")</f>
        <v>EditSMGridUi</v>
      </c>
      <c r="C618" t="str">
        <f>IFERROR(__xludf.DUMMYFUNCTION("""COMPUTED_VALUE"""),"1HrnkYuHLAx8E64bu4fG7IGtnxXUEuwos_yJXHep8Gc0")</f>
        <v>1HrnkYuHLAx8E64bu4fG7IGtnxXUEuwos_yJXHep8Gc0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IFERROR(__xludf.DUMMYFUNCTION("""COMPUTED_VALUE"""),"EditInterceptorFile")</f>
        <v>EditInterceptorFile</v>
      </c>
      <c r="C619" t="str">
        <f>IFERROR(__xludf.DUMMYFUNCTION("""COMPUTED_VALUE"""),"1uRm_GGzspf-weRP6J-_7fCGDgJxtBXOqQ0LWy8KA90Q")</f>
        <v>1uRm_GGzspf-weRP6J-_7fCGDgJxtBXOqQ0LWy8KA90Q</v>
      </c>
    </row>
    <row r="620" ht="15.75" customHeight="1">
      <c r="A620" t="str">
        <f>IFERROR(__xludf.DUMMYFUNCTION("""COMPUTED_VALUE"""),"Compliance")</f>
        <v>Compliance</v>
      </c>
      <c r="B620" t="str">
        <f>IFERROR(__xludf.DUMMYFUNCTION("""COMPUTED_VALUE"""),"ReplaceInterceptorFile")</f>
        <v>ReplaceInterceptorFile</v>
      </c>
      <c r="C620" t="str">
        <f>IFERROR(__xludf.DUMMYFUNCTION("""COMPUTED_VALUE"""),"Undefined")</f>
        <v>Undefined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IFERROR(__xludf.DUMMYFUNCTION("""COMPUTED_VALUE"""),"VerifyLowerStripBlotterUI")</f>
        <v>VerifyLowerStripBlotterUI</v>
      </c>
      <c r="C621" t="str">
        <f>IFERROR(__xludf.DUMMYFUNCTION("""COMPUTED_VALUE"""),"1YDrduYEvyxQ-ys7ZmzJ1hAFHnVlU4eDnSPUoOeGr_f4")</f>
        <v>1YDrduYEvyxQ-ys7ZmzJ1hAFHnVlU4eDnSPUoOeGr_f4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IFERROR(__xludf.DUMMYFUNCTION("""COMPUTED_VALUE"""),"SaveOrRemoveInSummaryTab")</f>
        <v>SaveOrRemoveInSummaryTab</v>
      </c>
      <c r="C622" t="str">
        <f>IFERROR(__xludf.DUMMYFUNCTION("""COMPUTED_VALUE"""),"1w2lTzhhnevYZjNuQsbEfjU06TK5bPsmZrffn3PWjstA")</f>
        <v>1w2lTzhhnevYZjNuQsbEfjU06TK5bPsmZrffn3PWjstA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IFERROR(__xludf.DUMMYFUNCTION("""COMPUTED_VALUE"""),"SaveOrRemoveInWorkingSubsTab")</f>
        <v>SaveOrRemoveInWorkingSubsTab</v>
      </c>
      <c r="C623" t="str">
        <f>IFERROR(__xludf.DUMMYFUNCTION("""COMPUTED_VALUE"""),"1pTm3IssLBKuCHCVwzzjA4Y-2hzUGPXPx9Or-EGngy50")</f>
        <v>1pTm3IssLBKuCHCVwzzjA4Y-2hzUGPXPx9Or-EGngy50</v>
      </c>
    </row>
    <row r="624" ht="15.75" customHeight="1">
      <c r="A624" t="str">
        <f>IFERROR(__xludf.DUMMYFUNCTION("""COMPUTED_VALUE"""),"Blotter")</f>
        <v>Blotter</v>
      </c>
      <c r="B624" t="str">
        <f>IFERROR(__xludf.DUMMYFUNCTION("""COMPUTED_VALUE"""),"SelectCheckBoxOnOrderGrid")</f>
        <v>SelectCheckBoxOnOrderGrid</v>
      </c>
      <c r="C624" t="str">
        <f>IFERROR(__xludf.DUMMYFUNCTION("""COMPUTED_VALUE"""),"1pBoTKoxm2i8Grrd5C95OVH3v8ny3DiEsw2du30G_8Og")</f>
        <v>1pBoTKoxm2i8Grrd5C95OVH3v8ny3DiEsw2du30G_8Og</v>
      </c>
    </row>
    <row r="625" ht="15.75" customHeight="1">
      <c r="A625" t="str">
        <f>IFERROR(__xludf.DUMMYFUNCTION("""COMPUTED_VALUE"""),"Compliance")</f>
        <v>Compliance</v>
      </c>
      <c r="B625" t="str">
        <f>IFERROR(__xludf.DUMMYFUNCTION("""COMPUTED_VALUE"""),"RestartReleasesAndServices")</f>
        <v>RestartReleasesAndServices</v>
      </c>
      <c r="C625" t="str">
        <f>IFERROR(__xludf.DUMMYFUNCTION("""COMPUTED_VALUE"""),"19yYT51s3MQyYorKH4wk_SdxFAdVT_LG3M60cam5_IiY")</f>
        <v>19yYT51s3MQyYorKH4wk_SdxFAdVT_LG3M60cam5_IiY</v>
      </c>
    </row>
    <row r="626" ht="15.75" customHeight="1">
      <c r="A626" t="str">
        <f>IFERROR(__xludf.DUMMYFUNCTION("""COMPUTED_VALUE"""),"PTT")</f>
        <v>PTT</v>
      </c>
      <c r="B626" t="str">
        <f>IFERROR(__xludf.DUMMYFUNCTION("""COMPUTED_VALUE"""),"AutoStageImportFromPTTExport")</f>
        <v>AutoStageImportFromPTTExport</v>
      </c>
      <c r="C626" t="str">
        <f>IFERROR(__xludf.DUMMYFUNCTION("""COMPUTED_VALUE"""),"Undefined")</f>
        <v>Undefined</v>
      </c>
    </row>
    <row r="627" ht="15.75" customHeight="1">
      <c r="A627" t="str">
        <f>IFERROR(__xludf.DUMMYFUNCTION("""COMPUTED_VALUE"""),"Closing")</f>
        <v>Closing</v>
      </c>
      <c r="B627" t="str">
        <f>IFERROR(__xludf.DUMMYFUNCTION("""COMPUTED_VALUE"""),"FilterClosing")</f>
        <v>FilterClosing</v>
      </c>
      <c r="C627" t="str">
        <f>IFERROR(__xludf.DUMMYFUNCTION("""COMPUTED_VALUE"""),"1jVBqTixWDU8JyJbGKGBtrJQjm_NeYTaz3wu41AO1fk8")</f>
        <v>1jVBqTixWDU8JyJbGKGBtrJQjm_NeYTaz3wu41AO1fk8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IFERROR(__xludf.DUMMYFUNCTION("""COMPUTED_VALUE"""),"BulkEditUpdateFromMTT")</f>
        <v>BulkEditUpdateFromMTT</v>
      </c>
      <c r="C628" t="str">
        <f>IFERROR(__xludf.DUMMYFUNCTION("""COMPUTED_VALUE"""),"1PXjnQRFWRpATbYq-3yGKHrs-7O07blOuuM8BjzF_UGs")</f>
        <v>1PXjnQRFWRpATbYq-3yGKHrs-7O07blOuuM8BjzF_UGs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IFERROR(__xludf.DUMMYFUNCTION("""COMPUTED_VALUE"""),"BulkChangeCreateStageOrder")</f>
        <v>BulkChangeCreateStageOrder</v>
      </c>
      <c r="C629" t="str">
        <f>IFERROR(__xludf.DUMMYFUNCTION("""COMPUTED_VALUE"""),"1XpPlMHrXIkdrEc4GgpL4YGWBTY6izs1MK6Jy7Z3jR-Q")</f>
        <v>1XpPlMHrXIkdrEc4GgpL4YGWBTY6izs1MK6Jy7Z3jR-Q</v>
      </c>
    </row>
    <row r="630" ht="15.75" customHeight="1">
      <c r="A630" t="str">
        <f>IFERROR(__xludf.DUMMYFUNCTION("""COMPUTED_VALUE"""),"MultiTradingTicket")</f>
        <v>MultiTradingTicket</v>
      </c>
      <c r="B630" t="str">
        <f>IFERROR(__xludf.DUMMYFUNCTION("""COMPUTED_VALUE"""),"BulkUpdateUsingMTT")</f>
        <v>BulkUpdateUsingMTT</v>
      </c>
      <c r="C630" t="str">
        <f>IFERROR(__xludf.DUMMYFUNCTION("""COMPUTED_VALUE"""),"1z5unUI4CMAB-Y1nnow1quueM3t3SDsE_5x7GoqlPJdo")</f>
        <v>1z5unUI4CMAB-Y1nnow1quueM3t3SDsE_5x7GoqlPJdo</v>
      </c>
    </row>
    <row r="631" ht="15.75" customHeight="1">
      <c r="A631" t="str">
        <f>IFERROR(__xludf.DUMMYFUNCTION("""COMPUTED_VALUE"""),"PranaClient")</f>
        <v>PranaClient</v>
      </c>
      <c r="B631" t="str">
        <f>IFERROR(__xludf.DUMMYFUNCTION("""COMPUTED_VALUE"""),"CompareXML")</f>
        <v>CompareXML</v>
      </c>
      <c r="C631" t="str">
        <f>IFERROR(__xludf.DUMMYFUNCTION("""COMPUTED_VALUE"""),"1UbkLLvFc4omZgamtV9FPjYfaLw9XLbjQYRKGGO3lyPE")</f>
        <v>1UbkLLvFc4omZgamtV9FPjYfaLw9XLbjQYRKGGO3lyPE</v>
      </c>
    </row>
    <row r="632" ht="15.75" customHeight="1">
      <c r="A632" t="str">
        <f>IFERROR(__xludf.DUMMYFUNCTION("""COMPUTED_VALUE"""),"Admin")</f>
        <v>Admin</v>
      </c>
      <c r="B632" t="str">
        <f>IFERROR(__xludf.DUMMYFUNCTION("""COMPUTED_VALUE"""),"SetMasterFundOnTT")</f>
        <v>SetMasterFundOnTT</v>
      </c>
      <c r="C632" t="str">
        <f>IFERROR(__xludf.DUMMYFUNCTION("""COMPUTED_VALUE"""),"1LK3f7jczHzLHkY7I_RK-58BnR45KNGpebn0hHO3eSgo")</f>
        <v>1LK3f7jczHzLHkY7I_RK-58BnR45KNGpebn0hHO3eSgo</v>
      </c>
    </row>
    <row r="633" ht="15.75" customHeight="1">
      <c r="A633" t="str">
        <f>IFERROR(__xludf.DUMMYFUNCTION("""COMPUTED_VALUE"""),"TradingTicket")</f>
        <v>TradingTicket</v>
      </c>
      <c r="B633" t="str">
        <f>IFERROR(__xludf.DUMMYFUNCTION("""COMPUTED_VALUE"""),"VerifyCustomAllocationonTT")</f>
        <v>VerifyCustomAllocationonTT</v>
      </c>
      <c r="C633" t="str">
        <f>IFERROR(__xludf.DUMMYFUNCTION("""COMPUTED_VALUE"""),"10ici7f6_wpSFiwpn22nHeSOFsZ1dU_pzk6nMLQKHIRY")</f>
        <v>10ici7f6_wpSFiwpn22nHeSOFsZ1dU_pzk6nMLQKHIRY</v>
      </c>
    </row>
    <row r="634" ht="15.75" customHeight="1">
      <c r="A634" t="str">
        <f>IFERROR(__xludf.DUMMYFUNCTION("""COMPUTED_VALUE"""),"Blotter")</f>
        <v>Blotter</v>
      </c>
      <c r="B634" t="str">
        <f>IFERROR(__xludf.DUMMYFUNCTION("""COMPUTED_VALUE"""),"ReAllocateFromBlotterByAllocate")</f>
        <v>ReAllocateFromBlotterByAllocate</v>
      </c>
      <c r="C634" t="str">
        <f>IFERROR(__xludf.DUMMYFUNCTION("""COMPUTED_VALUE"""),"1RA-PKK7Kzfl_fgl03zAC8sp1VOE9HjaY5EL7ItkPBK4")</f>
        <v>1RA-PKK7Kzfl_fgl03zAC8sp1VOE9HjaY5EL7ItkPBK4</v>
      </c>
    </row>
    <row r="635" ht="15.75" customHeight="1">
      <c r="A635" t="str">
        <f>IFERROR(__xludf.DUMMYFUNCTION("""COMPUTED_VALUE"""),"Simulator")</f>
        <v>Simulator</v>
      </c>
      <c r="B635" t="str">
        <f>IFERROR(__xludf.DUMMYFUNCTION("""COMPUTED_VALUE"""),"VerifyTagInAllFixLogs")</f>
        <v>VerifyTagInAllFixLogs</v>
      </c>
      <c r="C635" t="str">
        <f>IFERROR(__xludf.DUMMYFUNCTION("""COMPUTED_VALUE"""),"1jKDiJYpLWAfkSGRoeJ_liPC1ZaTdCTC5AqjDzj9I61Q")</f>
        <v>1jKDiJYpLWAfkSGRoeJ_liPC1ZaTdCTC5AqjDzj9I61Q</v>
      </c>
    </row>
    <row r="636" ht="15.75" customHeight="1">
      <c r="A636" t="str">
        <f>IFERROR(__xludf.DUMMYFUNCTION("""COMPUTED_VALUE"""),"PranaClient")</f>
        <v>PranaClient</v>
      </c>
      <c r="B636" t="str">
        <f>IFERROR(__xludf.DUMMYFUNCTION("""COMPUTED_VALUE"""),"LoginClient")</f>
        <v>LoginClient</v>
      </c>
      <c r="C636" t="str">
        <f>IFERROR(__xludf.DUMMYFUNCTION("""COMPUTED_VALUE"""),"15s_MBgGJ0dfZ8sabmSGlh8UnFHbnEhlY_4upAbjXzmg")</f>
        <v>15s_MBgGJ0dfZ8sabmSGlh8UnFHbnEhlY_4upAbjXzmg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IFERROR(__xludf.DUMMYFUNCTION("""COMPUTED_VALUE"""),"SortAndVerifyPM")</f>
        <v>SortAndVerifyPM</v>
      </c>
      <c r="C637" t="str">
        <f>IFERROR(__xludf.DUMMYFUNCTION("""COMPUTED_VALUE"""),"1TqhiATlN6jhyI-VeiodnGdVQyLGZiu97o5NWbxOWr9s")</f>
        <v>1TqhiATlN6jhyI-VeiodnGdVQyLGZiu97o5NWbxOWr9s</v>
      </c>
    </row>
    <row r="638" ht="15.75" customHeight="1">
      <c r="A638" t="str">
        <f>IFERROR(__xludf.DUMMYFUNCTION("""COMPUTED_VALUE"""),"PortfolioManagement")</f>
        <v>PortfolioManagement</v>
      </c>
      <c r="B638" t="str">
        <f>IFERROR(__xludf.DUMMYFUNCTION("""COMPUTED_VALUE"""),"OpenPIFromPM")</f>
        <v>OpenPIFromPM</v>
      </c>
      <c r="C638" t="str">
        <f>IFERROR(__xludf.DUMMYFUNCTION("""COMPUTED_VALUE"""),"1dPK0Rp0k7gPTdi7pAXxULvjivbVrTViWALmSew6wF-0")</f>
        <v>1dPK0Rp0k7gPTdi7pAXxULvjivbVrTViWALmSew6wF-0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IFERROR(__xludf.DUMMYFUNCTION("""COMPUTED_VALUE"""),"RefreshPriceUsingMTT")</f>
        <v>RefreshPriceUsingMTT</v>
      </c>
      <c r="C639" t="str">
        <f>IFERROR(__xludf.DUMMYFUNCTION("""COMPUTED_VALUE"""),"178NOc-LsqpjkyVkksd_XD-EQcokXBH-1NEzm5ceoSAk")</f>
        <v>178NOc-LsqpjkyVkksd_XD-EQcokXBH-1NEzm5ceoSAk</v>
      </c>
    </row>
    <row r="640" ht="15.75" customHeight="1">
      <c r="A640" t="str">
        <f>IFERROR(__xludf.DUMMYFUNCTION("""COMPUTED_VALUE"""),"MultiTradingTicket")</f>
        <v>MultiTradingTicket</v>
      </c>
      <c r="B640" t="str">
        <f>IFERROR(__xludf.DUMMYFUNCTION("""COMPUTED_VALUE"""),"VerifyMTT")</f>
        <v>VerifyMTT</v>
      </c>
      <c r="C640" t="str">
        <f>IFERROR(__xludf.DUMMYFUNCTION("""COMPUTED_VALUE"""),"1Vv-FRtdz-znMa6eWfAZqSH3k0FWRSgYKVdL6W0eCjF8")</f>
        <v>1Vv-FRtdz-znMa6eWfAZqSH3k0FWRSgYKVdL6W0eCjF8</v>
      </c>
    </row>
    <row r="641" ht="15.75" customHeight="1">
      <c r="A641" t="str">
        <f>IFERROR(__xludf.DUMMYFUNCTION("""COMPUTED_VALUE"""),"Simulator")</f>
        <v>Simulator</v>
      </c>
      <c r="B641" t="str">
        <f>IFERROR(__xludf.DUMMYFUNCTION("""COMPUTED_VALUE"""),"SetToAutomaticResponse")</f>
        <v>SetToAutomaticResponse</v>
      </c>
      <c r="C641" t="str">
        <f>IFERROR(__xludf.DUMMYFUNCTION("""COMPUTED_VALUE"""),"undefined")</f>
        <v>undefined</v>
      </c>
    </row>
    <row r="642" ht="15.75" customHeight="1">
      <c r="A642" t="str">
        <f>IFERROR(__xludf.DUMMYFUNCTION("""COMPUTED_VALUE"""),"Closing")</f>
        <v>Closing</v>
      </c>
      <c r="B642" t="str">
        <f>IFERROR(__xludf.DUMMYFUNCTION("""COMPUTED_VALUE"""),"SelectCreateTransactions")</f>
        <v>SelectCreateTransactions</v>
      </c>
      <c r="C642" t="str">
        <f>IFERROR(__xludf.DUMMYFUNCTION("""COMPUTED_VALUE"""),"1H_lhrQblpnlyHkVDOXbhIVIhZoC9lIB9uTE29zuQhrM")</f>
        <v>1H_lhrQblpnlyHkVDOXbhIVIhZoC9lIB9uTE29zuQhrM</v>
      </c>
    </row>
    <row r="643" ht="15.75" customHeight="1">
      <c r="A643" t="str">
        <f>IFERROR(__xludf.DUMMYFUNCTION("""COMPUTED_VALUE"""),"Closing")</f>
        <v>Closing</v>
      </c>
      <c r="B643" t="str">
        <f>IFERROR(__xludf.DUMMYFUNCTION("""COMPUTED_VALUE"""),"EditClosingTransactions")</f>
        <v>EditClosingTransactions</v>
      </c>
      <c r="C643" t="str">
        <f>IFERROR(__xludf.DUMMYFUNCTION("""COMPUTED_VALUE"""),"15009hbvBY1YaqNloK72CjyPdL0kMpnEYl2EFB4TUG6g")</f>
        <v>15009hbvBY1YaqNloK72CjyPdL0kMpnEYl2EFB4TUG6g</v>
      </c>
    </row>
    <row r="644" ht="15.75" customHeight="1">
      <c r="A644" t="str">
        <f>IFERROR(__xludf.DUMMYFUNCTION("""COMPUTED_VALUE"""),"Admin")</f>
        <v>Admin</v>
      </c>
      <c r="B644" t="str">
        <f>IFERROR(__xludf.DUMMYFUNCTION("""COMPUTED_VALUE"""),"SetAllocationPreferences")</f>
        <v>SetAllocationPreferences</v>
      </c>
      <c r="C644" t="str">
        <f>IFERROR(__xludf.DUMMYFUNCTION("""COMPUTED_VALUE"""),"16PO4KGgITIDM3iQzFlyKHfXPBXba023pXOJQCBN_Elc")</f>
        <v>16PO4KGgITIDM3iQzFlyKHfXPBXba023pXOJQCBN_Elc</v>
      </c>
    </row>
    <row r="645" ht="15.75" customHeight="1">
      <c r="A645" t="str">
        <f>IFERROR(__xludf.DUMMYFUNCTION("""COMPUTED_VALUE"""),"Closing")</f>
        <v>Closing</v>
      </c>
      <c r="B645" t="str">
        <f>IFERROR(__xludf.DUMMYFUNCTION("""COMPUTED_VALUE"""),"AddDuplicateRow")</f>
        <v>AddDuplicateRow</v>
      </c>
      <c r="C645" t="str">
        <f>IFERROR(__xludf.DUMMYFUNCTION("""COMPUTED_VALUE"""),"Undefined")</f>
        <v>Undefined</v>
      </c>
    </row>
    <row r="646" ht="15.75" customHeight="1">
      <c r="A646" t="str">
        <f>IFERROR(__xludf.DUMMYFUNCTION("""COMPUTED_VALUE"""),"TradeServer")</f>
        <v>TradeServer</v>
      </c>
      <c r="B646" t="str">
        <f>IFERROR(__xludf.DUMMYFUNCTION("""COMPUTED_VALUE"""),"ConnectToSimAutoMan")</f>
        <v>ConnectToSimAutoMan</v>
      </c>
      <c r="C646" t="str">
        <f>IFERROR(__xludf.DUMMYFUNCTION("""COMPUTED_VALUE"""),"13IX3MrLRTuTJsyg3JaQ71o5MoHPrX4JeQ5EXnHjhkH8")</f>
        <v>13IX3MrLRTuTJsyg3JaQ71o5MoHPrX4JeQ5EXnHjhkH8</v>
      </c>
    </row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IFERROR(__xludf.DUMMYFUNCTION("IF(C3="""","""",Transpose(IMPORTRANGE('_Settings'!$B$3,C3&amp;""!A4:A1000"")))"),"SetCompliancePermission")</f>
        <v>SetCompliancePermission</v>
      </c>
      <c r="C4" s="25" t="str">
        <f>IFERROR(__xludf.DUMMYFUNCTION("""COMPUTED_VALUE"""),"DeleteSymbolFromSM")</f>
        <v>DeleteSymbolFromSM</v>
      </c>
      <c r="D4" s="25" t="str">
        <f>IFERROR(__xludf.DUMMYFUNCTION("""COMPUTED_VALUE"""),"TradeAuditCleanUp")</f>
        <v>TradeAuditCleanUp</v>
      </c>
      <c r="E4" s="25" t="str">
        <f>IFERROR(__xludf.DUMMYFUNCTION("""COMPUTED_VALUE"""),"RestartSQL")</f>
        <v>RestartSQL</v>
      </c>
      <c r="F4" s="25" t="str">
        <f>IFERROR(__xludf.DUMMYFUNCTION("""COMPUTED_VALUE"""),"RevertingSMSharesOutValue")</f>
        <v>RevertingSMSharesOutValue</v>
      </c>
      <c r="G4" s="25" t="str">
        <f>IFERROR(__xludf.DUMMYFUNCTION("""COMPUTED_VALUE"""),"UpdateFee")</f>
        <v>UpdateFee</v>
      </c>
      <c r="H4" s="25" t="str">
        <f>IFERROR(__xludf.DUMMYFUNCTION("""COMPUTED_VALUE"""),"UpdateSecFee")</f>
        <v>UpdateSecFee</v>
      </c>
      <c r="I4" s="25" t="str">
        <f>IFERROR(__xludf.DUMMYFUNCTION("""COMPUTED_VALUE"""),"SetTTUIPreferences")</f>
        <v>SetTTUIPreferences</v>
      </c>
      <c r="J4" s="25" t="str">
        <f>IFERROR(__xludf.DUMMYFUNCTION("""COMPUTED_VALUE"""),"SetTTUIAdminPreferences")</f>
        <v>SetTTUIAdminPreferences</v>
      </c>
      <c r="K4" s="25" t="str">
        <f>IFERROR(__xludf.DUMMYFUNCTION("""COMPUTED_VALUE"""),"TTPermissionLevel")</f>
        <v>TTPermissionLevel</v>
      </c>
      <c r="L4" s="25" t="str">
        <f>IFERROR(__xludf.DUMMYFUNCTION("""COMPUTED_VALUE"""),"RenameMasterStrategy")</f>
        <v>RenameMasterStrategy</v>
      </c>
      <c r="M4" s="25" t="str">
        <f>IFERROR(__xludf.DUMMYFUNCTION("""COMPUTED_VALUE"""),"UpdateExpirationDate")</f>
        <v>UpdateExpirationDate</v>
      </c>
      <c r="N4" s="25" t="str">
        <f>IFERROR(__xludf.DUMMYFUNCTION("""COMPUTED_VALUE"""),"SetComplianceAlert")</f>
        <v>SetComplianceAlert</v>
      </c>
      <c r="O4" s="25" t="str">
        <f>IFERROR(__xludf.DUMMYFUNCTION("""COMPUTED_VALUE"""),"SetShortLocateStructures")</f>
        <v>SetShortLocateStructures</v>
      </c>
      <c r="P4" s="26" t="str">
        <f>IFERROR(__xludf.DUMMYFUNCTION("""COMPUTED_VALUE"""),"IsImportOverrideOnShortLocate")</f>
        <v>IsImportOverrideOnShortLocate</v>
      </c>
      <c r="Q4" s="26" t="str">
        <f>IFERROR(__xludf.DUMMYFUNCTION("""COMPUTED_VALUE"""),"EnableDisableModule")</f>
        <v>EnableDisableModule</v>
      </c>
      <c r="R4" s="26" t="str">
        <f>IFERROR(__xludf.DUMMYFUNCTION("""COMPUTED_VALUE"""),"SetDollarAmountPermission")</f>
        <v>SetDollarAmountPermission</v>
      </c>
      <c r="S4" s="26" t="str">
        <f>IFERROR(__xludf.DUMMYFUNCTION("""COMPUTED_VALUE"""),"SetTTGeneralPreferences")</f>
        <v>SetTTGeneralPreferences</v>
      </c>
      <c r="T4" s="26" t="str">
        <f>IFERROR(__xludf.DUMMYFUNCTION("""COMPUTED_VALUE"""),"EnableBreakdownRealizedPNL")</f>
        <v>EnableBreakdownRealizedPNL</v>
      </c>
      <c r="U4" s="26" t="str">
        <f>IFERROR(__xludf.DUMMYFUNCTION("""COMPUTED_VALUE"""),"SetTradingComplianceRules")</f>
        <v>SetTradingComplianceRules</v>
      </c>
      <c r="V4" s="26" t="str">
        <f>IFERROR(__xludf.DUMMYFUNCTION("""COMPUTED_VALUE"""),"UpdateRoundLot")</f>
        <v>UpdateRoundLot</v>
      </c>
      <c r="W4" s="26" t="str">
        <f>IFERROR(__xludf.DUMMYFUNCTION("""COMPUTED_VALUE"""),"SetThirdPartyFormat")</f>
        <v>SetThirdPartyFormat</v>
      </c>
      <c r="X4" s="26" t="str">
        <f>IFERROR(__xludf.DUMMYFUNCTION("""COMPUTED_VALUE"""),"SetActive")</f>
        <v>SetActive</v>
      </c>
      <c r="Y4" s="26" t="str">
        <f>IFERROR(__xludf.DUMMYFUNCTION("""COMPUTED_VALUE"""),"SetRollover")</f>
        <v>SetRollover</v>
      </c>
      <c r="Z4" s="26" t="str">
        <f>IFERROR(__xludf.DUMMYFUNCTION("""COMPUTED_VALUE"""),"SetCheckSide")</f>
        <v>SetCheckSide</v>
      </c>
      <c r="AA4" s="26" t="str">
        <f>IFERROR(__xludf.DUMMYFUNCTION("""COMPUTED_VALUE"""),"SetAllocationPreferences")</f>
        <v>SetAllocationPreferences</v>
      </c>
      <c r="AB4" s="26" t="str">
        <f>IFERROR(__xludf.DUMMYFUNCTION("""COMPUTED_VALUE"""),"SetMasterFundOnTT")</f>
        <v>SetMasterFundOnTT</v>
      </c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IFERROR(__xludf.DUMMYFUNCTION("""COMPUTED_VALUE"""),"OverSellTradingRule")</f>
        <v>OverSellTradingRule</v>
      </c>
      <c r="C5" s="28" t="str">
        <f>IFERROR(__xludf.DUMMYFUNCTION("""COMPUTED_VALUE"""),"OverBuyTradingRule")</f>
        <v>OverBuyTradingRule</v>
      </c>
      <c r="D5" s="28" t="str">
        <f>IFERROR(__xludf.DUMMYFUNCTION("""COMPUTED_VALUE"""),"FatFingerTradingRule")</f>
        <v>FatFingerTradingRule</v>
      </c>
      <c r="E5" s="28" t="str">
        <f>IFERROR(__xludf.DUMMYFUNCTION("""COMPUTED_VALUE"""),"UnallocatedTradeAlert")</f>
        <v>UnallocatedTradeAlert</v>
      </c>
      <c r="F5" s="29" t="str">
        <f>IFERROR(__xludf.DUMMYFUNCTION("""COMPUTED_VALUE"""),"DuplicateTradeAlert")</f>
        <v>DuplicateTradeAlert</v>
      </c>
      <c r="G5" s="28" t="str">
        <f>IFERROR(__xludf.DUMMYFUNCTION("""COMPUTED_VALUE"""),"PendingNewOrderAlert")</f>
        <v>PendingNewOrderAlert</v>
      </c>
      <c r="H5" s="28" t="str">
        <f>IFERROR(__xludf.DUMMYFUNCTION("""COMPUTED_VALUE"""),"FatFingerPercent")</f>
        <v>FatFingerPercent</v>
      </c>
      <c r="I5" s="28" t="str">
        <f>IFERROR(__xludf.DUMMYFUNCTION("""COMPUTED_VALUE"""),"DuplicateTradeAlertTime")</f>
        <v>DuplicateTradeAlertTime</v>
      </c>
      <c r="J5" s="28" t="str">
        <f>IFERROR(__xludf.DUMMYFUNCTION("""COMPUTED_VALUE"""),"PendingNewOrderAlertTime")</f>
        <v>PendingNewOrderAlertTime</v>
      </c>
      <c r="K5" s="28" t="str">
        <f>IFERROR(__xludf.DUMMYFUNCTION("""COMPUTED_VALUE"""),"FatFingerAccountOrMasterFund")</f>
        <v>FatFingerAccountOrMasterFund</v>
      </c>
      <c r="L5" s="28" t="str">
        <f>IFERROR(__xludf.DUMMYFUNCTION("""COMPUTED_VALUE"""),"IsAbsoluteAmountOrDefinePercent")</f>
        <v>IsAbsoluteAmountOrDefinePercent</v>
      </c>
      <c r="M5" s="28" t="str">
        <f>IFERROR(__xludf.DUMMYFUNCTION("""COMPUTED_VALUE"""),"IsInMarketIncluded")</f>
        <v>IsInMarketIncluded</v>
      </c>
      <c r="N5" s="28" t="str">
        <f>IFERROR(__xludf.DUMMYFUNCTION("""COMPUTED_VALUE"""),"IsSharesOutstandingRule")</f>
        <v>IsSharesOutstandingRule</v>
      </c>
      <c r="O5" s="28" t="str">
        <f>IFERROR(__xludf.DUMMYFUNCTION("""COMPUTED_VALUE"""),"SharesOutstandingPercent")</f>
        <v>SharesOutstandingPercent</v>
      </c>
      <c r="P5" s="28" t="str">
        <f>IFERROR(__xludf.DUMMYFUNCTION("""COMPUTED_VALUE"""),"SharesOutstandingAccountOrMF")</f>
        <v>SharesOutstandingAccountOrMF</v>
      </c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/>
      <c r="C6" s="32"/>
      <c r="D6" s="31"/>
      <c r="E6" s="32"/>
      <c r="F6" s="32"/>
      <c r="G6" s="32"/>
      <c r="H6" s="32"/>
      <c r="I6" s="32"/>
      <c r="J6" s="32"/>
      <c r="K6" s="32"/>
      <c r="L6" s="32"/>
      <c r="M6" s="32"/>
      <c r="N6" s="33" t="b">
        <v>1</v>
      </c>
      <c r="O6" s="34">
        <v>2.0</v>
      </c>
      <c r="P6" s="32" t="s">
        <v>16</v>
      </c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SetTradingComplianceRules!$4:$4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17</v>
      </c>
      <c r="D3" s="5" t="s">
        <v>9</v>
      </c>
      <c r="E3" s="23" t="s">
        <v>18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IFERROR(__xludf.DUMMYFUNCTION("""COMPUTED_VALUE"""),"ShowMasterFundOnTT")</f>
        <v>ShowMasterFundOnTT</v>
      </c>
      <c r="C5" s="28"/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5" t="b">
        <v>1</v>
      </c>
      <c r="C6" s="32"/>
      <c r="D6" s="31"/>
      <c r="E6" s="32"/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ShowMasterFundOnTT!$4:$4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19</v>
      </c>
      <c r="D3" s="5" t="s">
        <v>9</v>
      </c>
      <c r="E3" s="23" t="s">
        <v>20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IFERROR(__xludf.DUMMYFUNCTION("""COMPUTED_VALUE"""),"MasterFund")</f>
        <v>MasterFund</v>
      </c>
      <c r="C5" s="28"/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21</v>
      </c>
      <c r="C6" s="32"/>
      <c r="D6" s="31"/>
      <c r="E6" s="32"/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UpdateMasterFundOnTT!$4:$4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19</v>
      </c>
      <c r="D3" s="5" t="s">
        <v>9</v>
      </c>
      <c r="E3" s="23" t="s">
        <v>22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IFERROR(__xludf.DUMMYFUNCTION("""COMPUTED_VALUE"""),"Increase/Decrease Quantity")</f>
        <v>Increase/Decrease Quantity</v>
      </c>
      <c r="AY5" s="30" t="str">
        <f>IFERROR(__xludf.DUMMYFUNCTION("""COMPUTED_VALUE"""),"Master Funds")</f>
        <v>Master Funds</v>
      </c>
      <c r="AZ5" s="30" t="str">
        <f>IFERROR(__xludf.DUMMYFUNCTION("""COMPUTED_VALUE"""),"TRVAccountName")</f>
        <v>TRVAccountName</v>
      </c>
      <c r="BA5" s="30" t="str">
        <f>IFERROR(__xludf.DUMMYFUNCTION("""COMPUTED_VALUE"""),"TRVTradeQuantity")</f>
        <v>TRVTradeQuantity</v>
      </c>
      <c r="BB5" s="30" t="str">
        <f>IFERROR(__xludf.DUMMYFUNCTION("""COMPUTED_VALUE"""),"TRVCurrentPosition")</f>
        <v>TRVCurrentPosition</v>
      </c>
      <c r="BC5" s="30" t="str">
        <f>IFERROR(__xludf.DUMMYFUNCTION("""COMPUTED_VALUE"""),"TRVNav")</f>
        <v>TRVNav</v>
      </c>
      <c r="BD5" s="30" t="str">
        <f>IFERROR(__xludf.DUMMYFUNCTION("""COMPUTED_VALUE"""),"Account QTY")</f>
        <v>Account QTY</v>
      </c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6"/>
      <c r="B6" s="37" t="s">
        <v>23</v>
      </c>
      <c r="C6" s="38" t="s">
        <v>24</v>
      </c>
      <c r="D6" s="39">
        <v>1000.0</v>
      </c>
      <c r="E6" s="40">
        <v>1000.0</v>
      </c>
      <c r="F6" s="38" t="s">
        <v>25</v>
      </c>
      <c r="G6" s="38"/>
      <c r="H6" s="38"/>
      <c r="I6" s="38"/>
      <c r="J6" s="40">
        <v>10.0</v>
      </c>
      <c r="K6" s="38"/>
      <c r="L6" s="38"/>
      <c r="M6" s="38"/>
      <c r="N6" s="38"/>
      <c r="O6" s="38"/>
      <c r="P6" s="38"/>
      <c r="Q6" s="38"/>
      <c r="R6" s="38"/>
      <c r="S6" s="38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41">
        <v>0.0</v>
      </c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CreateDoneAwayOrder!$4:$4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26</v>
      </c>
      <c r="D3" s="5" t="s">
        <v>9</v>
      </c>
      <c r="E3" s="23" t="s">
        <v>26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IFERROR(__xludf.DUMMYFUNCTION("IF(C3="""","""",Transpose(IMPORTRANGE('_Settings'!$B$3,C3&amp;""!A4:A1000"")))"),"PricingInput")</f>
        <v>PricingInput</v>
      </c>
      <c r="C4" s="25" t="str">
        <f>IFERROR(__xludf.DUMMYFUNCTION("""COMPUTED_VALUE"""),"UpdateSharesOutstanding")</f>
        <v>UpdateSharesOutstanding</v>
      </c>
      <c r="D4" s="25" t="str">
        <f>IFERROR(__xludf.DUMMYFUNCTION("""COMPUTED_VALUE"""),"UncheckDividendYield")</f>
        <v>UncheckDividendYield</v>
      </c>
      <c r="E4" s="25" t="str">
        <f>IFERROR(__xludf.DUMMYFUNCTION("""COMPUTED_VALUE"""),"EODTPreferences")</f>
        <v>EODTPreferences</v>
      </c>
      <c r="F4" s="25" t="str">
        <f>IFERROR(__xludf.DUMMYFUNCTION("""COMPUTED_VALUE"""),"LiveData")</f>
        <v>LiveData</v>
      </c>
      <c r="G4" s="25"/>
      <c r="H4" s="25"/>
      <c r="I4" s="25"/>
      <c r="J4" s="25"/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IFERROR(__xludf.DUMMYFUNCTION("""COMPUTED_VALUE"""),"User Px")</f>
        <v>User Px</v>
      </c>
      <c r="D5" s="28" t="str">
        <f>IFERROR(__xludf.DUMMYFUNCTION("""COMPUTED_VALUE"""),"Asset Class")</f>
        <v>Asset Class</v>
      </c>
      <c r="E5" s="28" t="str">
        <f>IFERROR(__xludf.DUMMYFUNCTION("""COMPUTED_VALUE"""),"Volatility(%)")</f>
        <v>Volatility(%)</v>
      </c>
      <c r="F5" s="29" t="str">
        <f>IFERROR(__xludf.DUMMYFUNCTION("""COMPUTED_VALUE"""),"Historical Volatility")</f>
        <v>Historical Volatility</v>
      </c>
      <c r="G5" s="28" t="str">
        <f>IFERROR(__xludf.DUMMYFUNCTION("""COMPUTED_VALUE"""),"User Volatility")</f>
        <v>User Volatility</v>
      </c>
      <c r="H5" s="28" t="str">
        <f>IFERROR(__xludf.DUMMYFUNCTION("""COMPUTED_VALUE"""),"Interest Rate")</f>
        <v>Interest Rate</v>
      </c>
      <c r="I5" s="28" t="str">
        <f>IFERROR(__xludf.DUMMYFUNCTION("""COMPUTED_VALUE"""),"User Interest Rate")</f>
        <v>User Interest Rate</v>
      </c>
      <c r="J5" s="28" t="str">
        <f>IFERROR(__xludf.DUMMYFUNCTION("""COMPUTED_VALUE"""),"Dividend Yield")</f>
        <v>Dividend Yield</v>
      </c>
      <c r="K5" s="28" t="str">
        <f>IFERROR(__xludf.DUMMYFUNCTION("""COMPUTED_VALUE"""),"User Dividend Yield")</f>
        <v>User Dividend Yield</v>
      </c>
      <c r="L5" s="28" t="str">
        <f>IFERROR(__xludf.DUMMYFUNCTION("""COMPUTED_VALUE"""),"Actual Delta")</f>
        <v>Actual Delta</v>
      </c>
      <c r="M5" s="28" t="str">
        <f>IFERROR(__xludf.DUMMYFUNCTION("""COMPUTED_VALUE"""),"User Delta")</f>
        <v>User Delta</v>
      </c>
      <c r="N5" s="28" t="str">
        <f>IFERROR(__xludf.DUMMYFUNCTION("""COMPUTED_VALUE"""),"Selected Px")</f>
        <v>Selected Px</v>
      </c>
      <c r="O5" s="28" t="str">
        <f>IFERROR(__xludf.DUMMYFUNCTION("""COMPUTED_VALUE"""),"Forward Points")</f>
        <v>Forward Points</v>
      </c>
      <c r="P5" s="28" t="str">
        <f>IFERROR(__xludf.DUMMYFUNCTION("""COMPUTED_VALUE"""),"Shares Outstanding")</f>
        <v>Shares Outstanding</v>
      </c>
      <c r="Q5" s="28" t="str">
        <f>IFERROR(__xludf.DUMMYFUNCTION("""COMPUTED_VALUE"""),"User Shares Outstanding")</f>
        <v>User Shares Outstanding</v>
      </c>
      <c r="R5" s="28" t="str">
        <f>IFERROR(__xludf.DUMMYFUNCTION("""COMPUTED_VALUE"""),"LastPriceUsed")</f>
        <v>LastPriceUsed</v>
      </c>
      <c r="S5" s="28" t="str">
        <f>IFERROR(__xludf.DUMMYFUNCTION("""COMPUTED_VALUE"""),"VolatilityUsed")</f>
        <v>VolatilityUsed</v>
      </c>
      <c r="T5" s="30" t="str">
        <f>IFERROR(__xludf.DUMMYFUNCTION("""COMPUTED_VALUE"""),"IntRateUsed")</f>
        <v>IntRateUsed</v>
      </c>
      <c r="U5" s="30" t="str">
        <f>IFERROR(__xludf.DUMMYFUNCTION("""COMPUTED_VALUE"""),"SM Shares Outstanding")</f>
        <v>SM Shares Outstanding</v>
      </c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6"/>
      <c r="B6" s="37" t="s">
        <v>23</v>
      </c>
      <c r="C6" s="42">
        <v>500.0</v>
      </c>
      <c r="D6" s="37"/>
      <c r="E6" s="38"/>
      <c r="F6" s="38"/>
      <c r="G6" s="38"/>
      <c r="H6" s="38"/>
      <c r="I6" s="38"/>
      <c r="J6" s="38"/>
      <c r="K6" s="38"/>
      <c r="L6" s="38"/>
      <c r="M6" s="38"/>
      <c r="N6" s="38"/>
      <c r="O6" s="38"/>
      <c r="P6" s="38"/>
      <c r="Q6" s="42">
        <v>1000000.0</v>
      </c>
      <c r="R6" s="38"/>
      <c r="S6" s="38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PricingInput!$4:$4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27</v>
      </c>
      <c r="D3" s="5" t="s">
        <v>9</v>
      </c>
      <c r="E3" s="23" t="s">
        <v>28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IFERROR(__xludf.DUMMYFUNCTION("IF(C3="""","""",Transpose(IMPORTRANGE('_Settings'!$B$3,C3&amp;""!A4:A1000"")))"),"AutoStageImportFromPTTExport")</f>
        <v>AutoStageImportFromPTTExport</v>
      </c>
      <c r="C4" s="25" t="str">
        <f>IFERROR(__xludf.DUMMYFUNCTION("""COMPUTED_VALUE"""),"EditPTTAccountLevelWPF")</f>
        <v>EditPTTAccountLevelWPF</v>
      </c>
      <c r="D4" s="25" t="str">
        <f>IFERROR(__xludf.DUMMYFUNCTION("""COMPUTED_VALUE"""),"SetDefaultSymbology")</f>
        <v>SetDefaultSymbology</v>
      </c>
      <c r="E4" s="25" t="str">
        <f>IFERROR(__xludf.DUMMYFUNCTION("""COMPUTED_VALUE"""),"EditPTTWPFGrid")</f>
        <v>EditPTTWPFGrid</v>
      </c>
      <c r="F4" s="25" t="str">
        <f>IFERROR(__xludf.DUMMYFUNCTION("""COMPUTED_VALUE"""),"CreateOrderAfterEditPTT")</f>
        <v>CreateOrderAfterEditPTT</v>
      </c>
      <c r="G4" s="25" t="str">
        <f>IFERROR(__xludf.DUMMYFUNCTION("""COMPUTED_VALUE"""),"EditPTTRecord")</f>
        <v>EditPTTRecord</v>
      </c>
      <c r="H4" s="25" t="str">
        <f>IFERROR(__xludf.DUMMYFUNCTION("""COMPUTED_VALUE"""),"SelectPTTRecord")</f>
        <v>SelectPTTRecord</v>
      </c>
      <c r="I4" s="25" t="str">
        <f>IFERROR(__xludf.DUMMYFUNCTION("""COMPUTED_VALUE"""),"CalculatePTT")</f>
        <v>CalculatePTT</v>
      </c>
      <c r="J4" s="25" t="str">
        <f>IFERROR(__xludf.DUMMYFUNCTION("""COMPUTED_VALUE"""),"TradeUsingPTT")</f>
        <v>TradeUsingPTT</v>
      </c>
      <c r="K4" s="25" t="str">
        <f>IFERROR(__xludf.DUMMYFUNCTION("""COMPUTED_VALUE"""),"VerifyPTTCompliance")</f>
        <v>VerifyPTTCompliance</v>
      </c>
      <c r="L4" s="25" t="str">
        <f>IFERROR(__xludf.DUMMYFUNCTION("""COMPUTED_VALUE"""),"StageOrderUsingPTT")</f>
        <v>StageOrderUsingPTT</v>
      </c>
      <c r="M4" s="25" t="str">
        <f>IFERROR(__xludf.DUMMYFUNCTION("""COMPUTED_VALUE"""),"CreateOrderPTT")</f>
        <v>CreateOrderPTT</v>
      </c>
      <c r="N4" s="25" t="str">
        <f>IFERROR(__xludf.DUMMYFUNCTION("""COMPUTED_VALUE"""),"TradePTT")</f>
        <v>TradePTT</v>
      </c>
      <c r="O4" s="25" t="str">
        <f>IFERROR(__xludf.DUMMYFUNCTION("""COMPUTED_VALUE"""),"VerifyPTT")</f>
        <v>VerifyPTT</v>
      </c>
      <c r="P4" s="26" t="str">
        <f>IFERROR(__xludf.DUMMYFUNCTION("""COMPUTED_VALUE"""),"OpenMultiTTFromPTT")</f>
        <v>OpenMultiTTFromPTT</v>
      </c>
      <c r="Q4" s="26" t="str">
        <f>IFERROR(__xludf.DUMMYFUNCTION("""COMPUTED_VALUE"""),"SelectMultiTT")</f>
        <v>SelectMultiTT</v>
      </c>
      <c r="R4" s="26" t="str">
        <f>IFERROR(__xludf.DUMMYFUNCTION("""COMPUTED_VALUE"""),"EditMultiTT")</f>
        <v>EditMultiTT</v>
      </c>
      <c r="S4" s="26" t="str">
        <f>IFERROR(__xludf.DUMMYFUNCTION("""COMPUTED_VALUE"""),"SetLongShortPTTPreference")</f>
        <v>SetLongShortPTTPreference</v>
      </c>
      <c r="T4" s="26" t="str">
        <f>IFERROR(__xludf.DUMMYFUNCTION("""COMPUTED_VALUE"""),"SetPTTPreference")</f>
        <v>SetPTTPreference</v>
      </c>
      <c r="U4" s="26" t="str">
        <f>IFERROR(__xludf.DUMMYFUNCTION("""COMPUTED_VALUE"""),"SetAccountFactor")</f>
        <v>SetAccountFactor</v>
      </c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IFERROR(__xludf.DUMMYFUNCTION("""COMPUTED_VALUE"""),"Ticker")</f>
        <v>Ticker</v>
      </c>
      <c r="C5" s="28" t="str">
        <f>IFERROR(__xludf.DUMMYFUNCTION("""COMPUTED_VALUE"""),"Add/Set")</f>
        <v>Add/Set</v>
      </c>
      <c r="D5" s="28" t="str">
        <f>IFERROR(__xludf.DUMMYFUNCTION("""COMPUTED_VALUE"""),"Type")</f>
        <v>Type</v>
      </c>
      <c r="E5" s="28" t="str">
        <f>IFERROR(__xludf.DUMMYFUNCTION("""COMPUTED_VALUE"""),"Target")</f>
        <v>Target</v>
      </c>
      <c r="F5" s="29" t="str">
        <f>IFERROR(__xludf.DUMMYFUNCTION("""COMPUTED_VALUE"""),"Price")</f>
        <v>Price</v>
      </c>
      <c r="G5" s="28" t="str">
        <f>IFERROR(__xludf.DUMMYFUNCTION("""COMPUTED_VALUE"""),"Combined Account Total")</f>
        <v>Combined Account Total</v>
      </c>
      <c r="H5" s="28" t="str">
        <f>IFERROR(__xludf.DUMMYFUNCTION("""COMPUTED_VALUE"""),"MasterFund/Account")</f>
        <v>MasterFund/Account</v>
      </c>
      <c r="I5" s="28" t="str">
        <f>IFERROR(__xludf.DUMMYFUNCTION("""COMPUTED_VALUE"""),"Accounts")</f>
        <v>Accounts</v>
      </c>
      <c r="J5" s="28" t="str">
        <f>IFERROR(__xludf.DUMMYFUNCTION("""COMPUTED_VALUE"""),"Master Funds")</f>
        <v>Master Funds</v>
      </c>
      <c r="K5" s="28" t="str">
        <f>IFERROR(__xludf.DUMMYFUNCTION("""COMPUTED_VALUE"""),"Round Lots")</f>
        <v>Round Lots</v>
      </c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6"/>
      <c r="B6" s="37" t="s">
        <v>23</v>
      </c>
      <c r="C6" s="38" t="s">
        <v>29</v>
      </c>
      <c r="D6" s="37" t="s">
        <v>30</v>
      </c>
      <c r="E6" s="40">
        <v>19000.0</v>
      </c>
      <c r="F6" s="40">
        <v>500.0</v>
      </c>
      <c r="G6" s="38" t="s">
        <v>31</v>
      </c>
      <c r="H6" s="38" t="s">
        <v>16</v>
      </c>
      <c r="I6" s="38" t="s">
        <v>21</v>
      </c>
      <c r="J6" s="38"/>
      <c r="K6" s="38"/>
      <c r="L6" s="38"/>
      <c r="M6" s="38"/>
      <c r="N6" s="38"/>
      <c r="O6" s="38"/>
      <c r="P6" s="38"/>
      <c r="Q6" s="38"/>
      <c r="R6" s="38"/>
      <c r="S6" s="38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CalculatePTT!$4:$4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27</v>
      </c>
      <c r="D3" s="5" t="s">
        <v>9</v>
      </c>
      <c r="E3" s="23" t="s">
        <v>32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IFERROR(__xludf.DUMMYFUNCTION("IF(C3="""","""",Transpose(IMPORTRANGE('_Settings'!$B$3,C3&amp;""!A4:A1000"")))"),"AutoStageImportFromPTTExport")</f>
        <v>AutoStageImportFromPTTExport</v>
      </c>
      <c r="C4" s="25" t="str">
        <f>IFERROR(__xludf.DUMMYFUNCTION("""COMPUTED_VALUE"""),"EditPTTAccountLevelWPF")</f>
        <v>EditPTTAccountLevelWPF</v>
      </c>
      <c r="D4" s="25" t="str">
        <f>IFERROR(__xludf.DUMMYFUNCTION("""COMPUTED_VALUE"""),"SetDefaultSymbology")</f>
        <v>SetDefaultSymbology</v>
      </c>
      <c r="E4" s="25" t="str">
        <f>IFERROR(__xludf.DUMMYFUNCTION("""COMPUTED_VALUE"""),"EditPTTWPFGrid")</f>
        <v>EditPTTWPFGrid</v>
      </c>
      <c r="F4" s="25" t="str">
        <f>IFERROR(__xludf.DUMMYFUNCTION("""COMPUTED_VALUE"""),"CreateOrderAfterEditPTT")</f>
        <v>CreateOrderAfterEditPTT</v>
      </c>
      <c r="G4" s="25" t="str">
        <f>IFERROR(__xludf.DUMMYFUNCTION("""COMPUTED_VALUE"""),"EditPTTRecord")</f>
        <v>EditPTTRecord</v>
      </c>
      <c r="H4" s="25" t="str">
        <f>IFERROR(__xludf.DUMMYFUNCTION("""COMPUTED_VALUE"""),"SelectPTTRecord")</f>
        <v>SelectPTTRecord</v>
      </c>
      <c r="I4" s="25" t="str">
        <f>IFERROR(__xludf.DUMMYFUNCTION("""COMPUTED_VALUE"""),"CalculatePTT")</f>
        <v>CalculatePTT</v>
      </c>
      <c r="J4" s="25" t="str">
        <f>IFERROR(__xludf.DUMMYFUNCTION("""COMPUTED_VALUE"""),"TradeUsingPTT")</f>
        <v>TradeUsingPTT</v>
      </c>
      <c r="K4" s="25" t="str">
        <f>IFERROR(__xludf.DUMMYFUNCTION("""COMPUTED_VALUE"""),"VerifyPTTCompliance")</f>
        <v>VerifyPTTCompliance</v>
      </c>
      <c r="L4" s="25" t="str">
        <f>IFERROR(__xludf.DUMMYFUNCTION("""COMPUTED_VALUE"""),"StageOrderUsingPTT")</f>
        <v>StageOrderUsingPTT</v>
      </c>
      <c r="M4" s="25" t="str">
        <f>IFERROR(__xludf.DUMMYFUNCTION("""COMPUTED_VALUE"""),"CreateOrderPTT")</f>
        <v>CreateOrderPTT</v>
      </c>
      <c r="N4" s="25" t="str">
        <f>IFERROR(__xludf.DUMMYFUNCTION("""COMPUTED_VALUE"""),"TradePTT")</f>
        <v>TradePTT</v>
      </c>
      <c r="O4" s="25" t="str">
        <f>IFERROR(__xludf.DUMMYFUNCTION("""COMPUTED_VALUE"""),"VerifyPTT")</f>
        <v>VerifyPTT</v>
      </c>
      <c r="P4" s="26" t="str">
        <f>IFERROR(__xludf.DUMMYFUNCTION("""COMPUTED_VALUE"""),"OpenMultiTTFromPTT")</f>
        <v>OpenMultiTTFromPTT</v>
      </c>
      <c r="Q4" s="26" t="str">
        <f>IFERROR(__xludf.DUMMYFUNCTION("""COMPUTED_VALUE"""),"SelectMultiTT")</f>
        <v>SelectMultiTT</v>
      </c>
      <c r="R4" s="26" t="str">
        <f>IFERROR(__xludf.DUMMYFUNCTION("""COMPUTED_VALUE"""),"EditMultiTT")</f>
        <v>EditMultiTT</v>
      </c>
      <c r="S4" s="26" t="str">
        <f>IFERROR(__xludf.DUMMYFUNCTION("""COMPUTED_VALUE"""),"SetLongShortPTTPreference")</f>
        <v>SetLongShortPTTPreference</v>
      </c>
      <c r="T4" s="26" t="str">
        <f>IFERROR(__xludf.DUMMYFUNCTION("""COMPUTED_VALUE"""),"SetPTTPreference")</f>
        <v>SetPTTPreference</v>
      </c>
      <c r="U4" s="26" t="str">
        <f>IFERROR(__xludf.DUMMYFUNCTION("""COMPUTED_VALUE"""),"SetAccountFactor")</f>
        <v>SetAccountFactor</v>
      </c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IFERROR(__xludf.DUMMYFUNCTION("""COMPUTED_VALUE"""),"Ticker")</f>
        <v>Ticker</v>
      </c>
      <c r="C5" s="28" t="str">
        <f>IFERROR(__xludf.DUMMYFUNCTION("""COMPUTED_VALUE"""),"Add/Set")</f>
        <v>Add/Set</v>
      </c>
      <c r="D5" s="28" t="str">
        <f>IFERROR(__xludf.DUMMYFUNCTION("""COMPUTED_VALUE"""),"Type")</f>
        <v>Type</v>
      </c>
      <c r="E5" s="28" t="str">
        <f>IFERROR(__xludf.DUMMYFUNCTION("""COMPUTED_VALUE"""),"Target")</f>
        <v>Target</v>
      </c>
      <c r="F5" s="29" t="str">
        <f>IFERROR(__xludf.DUMMYFUNCTION("""COMPUTED_VALUE"""),"Price")</f>
        <v>Price</v>
      </c>
      <c r="G5" s="28" t="str">
        <f>IFERROR(__xludf.DUMMYFUNCTION("""COMPUTED_VALUE"""),"Combined Account Total")</f>
        <v>Combined Account Total</v>
      </c>
      <c r="H5" s="28" t="str">
        <f>IFERROR(__xludf.DUMMYFUNCTION("""COMPUTED_VALUE"""),"MasterFund/Account")</f>
        <v>MasterFund/Account</v>
      </c>
      <c r="I5" s="28" t="str">
        <f>IFERROR(__xludf.DUMMYFUNCTION("""COMPUTED_VALUE"""),"Accounts")</f>
        <v>Accounts</v>
      </c>
      <c r="J5" s="28" t="str">
        <f>IFERROR(__xludf.DUMMYFUNCTION("""COMPUTED_VALUE"""),"MTT POP UP?")</f>
        <v>MTT POP UP?</v>
      </c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6"/>
      <c r="B6" s="37" t="s">
        <v>23</v>
      </c>
      <c r="C6" s="38" t="s">
        <v>29</v>
      </c>
      <c r="D6" s="37" t="s">
        <v>30</v>
      </c>
      <c r="E6" s="40">
        <v>19000.0</v>
      </c>
      <c r="F6" s="40">
        <v>500.0</v>
      </c>
      <c r="G6" s="38" t="s">
        <v>31</v>
      </c>
      <c r="H6" s="38" t="s">
        <v>16</v>
      </c>
      <c r="I6" s="38" t="s">
        <v>21</v>
      </c>
      <c r="J6" s="38"/>
      <c r="K6" s="38"/>
      <c r="L6" s="38"/>
      <c r="M6" s="38"/>
      <c r="N6" s="38"/>
      <c r="O6" s="38"/>
      <c r="P6" s="38"/>
      <c r="Q6" s="38"/>
      <c r="R6" s="38"/>
      <c r="S6" s="38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TradePTT!$4:$4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19</v>
      </c>
      <c r="D3" s="5" t="s">
        <v>9</v>
      </c>
      <c r="E3" s="23" t="s">
        <v>22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IFERROR(__xludf.DUMMYFUNCTION("""COMPUTED_VALUE"""),"Increase/Decrease Quantity")</f>
        <v>Increase/Decrease Quantity</v>
      </c>
      <c r="AY5" s="30" t="str">
        <f>IFERROR(__xludf.DUMMYFUNCTION("""COMPUTED_VALUE"""),"Master Funds")</f>
        <v>Master Funds</v>
      </c>
      <c r="AZ5" s="30" t="str">
        <f>IFERROR(__xludf.DUMMYFUNCTION("""COMPUTED_VALUE"""),"TRVAccountName")</f>
        <v>TRVAccountName</v>
      </c>
      <c r="BA5" s="30" t="str">
        <f>IFERROR(__xludf.DUMMYFUNCTION("""COMPUTED_VALUE"""),"TRVTradeQuantity")</f>
        <v>TRVTradeQuantity</v>
      </c>
      <c r="BB5" s="30" t="str">
        <f>IFERROR(__xludf.DUMMYFUNCTION("""COMPUTED_VALUE"""),"TRVCurrentPosition")</f>
        <v>TRVCurrentPosition</v>
      </c>
      <c r="BC5" s="30" t="str">
        <f>IFERROR(__xludf.DUMMYFUNCTION("""COMPUTED_VALUE"""),"TRVNav")</f>
        <v>TRVNav</v>
      </c>
      <c r="BD5" s="30" t="str">
        <f>IFERROR(__xludf.DUMMYFUNCTION("""COMPUTED_VALUE"""),"Account QTY")</f>
        <v>Account QTY</v>
      </c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6"/>
      <c r="B6" s="37" t="s">
        <v>23</v>
      </c>
      <c r="C6" s="38" t="s">
        <v>24</v>
      </c>
      <c r="D6" s="39">
        <v>185200.0</v>
      </c>
      <c r="E6" s="40">
        <v>185200.0</v>
      </c>
      <c r="F6" s="38"/>
      <c r="G6" s="38"/>
      <c r="H6" s="38"/>
      <c r="I6" s="38"/>
      <c r="J6" s="40">
        <v>500.0</v>
      </c>
      <c r="K6" s="38"/>
      <c r="L6" s="38"/>
      <c r="M6" s="38"/>
      <c r="N6" s="38"/>
      <c r="O6" s="38"/>
      <c r="P6" s="38"/>
      <c r="Q6" s="38"/>
      <c r="R6" s="38"/>
      <c r="S6" s="38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 t="s">
        <v>31</v>
      </c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CreateDoneAwayOrder1!$4:$4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27</v>
      </c>
      <c r="D3" s="5" t="s">
        <v>9</v>
      </c>
      <c r="E3" s="23" t="s">
        <v>28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IFERROR(__xludf.DUMMYFUNCTION("IF(C3="""","""",Transpose(IMPORTRANGE('_Settings'!$B$3,C3&amp;""!A4:A1000"")))"),"AutoStageImportFromPTTExport")</f>
        <v>AutoStageImportFromPTTExport</v>
      </c>
      <c r="C4" s="25" t="str">
        <f>IFERROR(__xludf.DUMMYFUNCTION("""COMPUTED_VALUE"""),"EditPTTAccountLevelWPF")</f>
        <v>EditPTTAccountLevelWPF</v>
      </c>
      <c r="D4" s="25" t="str">
        <f>IFERROR(__xludf.DUMMYFUNCTION("""COMPUTED_VALUE"""),"SetDefaultSymbology")</f>
        <v>SetDefaultSymbology</v>
      </c>
      <c r="E4" s="25" t="str">
        <f>IFERROR(__xludf.DUMMYFUNCTION("""COMPUTED_VALUE"""),"EditPTTWPFGrid")</f>
        <v>EditPTTWPFGrid</v>
      </c>
      <c r="F4" s="25" t="str">
        <f>IFERROR(__xludf.DUMMYFUNCTION("""COMPUTED_VALUE"""),"CreateOrderAfterEditPTT")</f>
        <v>CreateOrderAfterEditPTT</v>
      </c>
      <c r="G4" s="25" t="str">
        <f>IFERROR(__xludf.DUMMYFUNCTION("""COMPUTED_VALUE"""),"EditPTTRecord")</f>
        <v>EditPTTRecord</v>
      </c>
      <c r="H4" s="25" t="str">
        <f>IFERROR(__xludf.DUMMYFUNCTION("""COMPUTED_VALUE"""),"SelectPTTRecord")</f>
        <v>SelectPTTRecord</v>
      </c>
      <c r="I4" s="25" t="str">
        <f>IFERROR(__xludf.DUMMYFUNCTION("""COMPUTED_VALUE"""),"CalculatePTT")</f>
        <v>CalculatePTT</v>
      </c>
      <c r="J4" s="25" t="str">
        <f>IFERROR(__xludf.DUMMYFUNCTION("""COMPUTED_VALUE"""),"TradeUsingPTT")</f>
        <v>TradeUsingPTT</v>
      </c>
      <c r="K4" s="25" t="str">
        <f>IFERROR(__xludf.DUMMYFUNCTION("""COMPUTED_VALUE"""),"VerifyPTTCompliance")</f>
        <v>VerifyPTTCompliance</v>
      </c>
      <c r="L4" s="25" t="str">
        <f>IFERROR(__xludf.DUMMYFUNCTION("""COMPUTED_VALUE"""),"StageOrderUsingPTT")</f>
        <v>StageOrderUsingPTT</v>
      </c>
      <c r="M4" s="25" t="str">
        <f>IFERROR(__xludf.DUMMYFUNCTION("""COMPUTED_VALUE"""),"CreateOrderPTT")</f>
        <v>CreateOrderPTT</v>
      </c>
      <c r="N4" s="25" t="str">
        <f>IFERROR(__xludf.DUMMYFUNCTION("""COMPUTED_VALUE"""),"TradePTT")</f>
        <v>TradePTT</v>
      </c>
      <c r="O4" s="25" t="str">
        <f>IFERROR(__xludf.DUMMYFUNCTION("""COMPUTED_VALUE"""),"VerifyPTT")</f>
        <v>VerifyPTT</v>
      </c>
      <c r="P4" s="26" t="str">
        <f>IFERROR(__xludf.DUMMYFUNCTION("""COMPUTED_VALUE"""),"OpenMultiTTFromPTT")</f>
        <v>OpenMultiTTFromPTT</v>
      </c>
      <c r="Q4" s="26" t="str">
        <f>IFERROR(__xludf.DUMMYFUNCTION("""COMPUTED_VALUE"""),"SelectMultiTT")</f>
        <v>SelectMultiTT</v>
      </c>
      <c r="R4" s="26" t="str">
        <f>IFERROR(__xludf.DUMMYFUNCTION("""COMPUTED_VALUE"""),"EditMultiTT")</f>
        <v>EditMultiTT</v>
      </c>
      <c r="S4" s="26" t="str">
        <f>IFERROR(__xludf.DUMMYFUNCTION("""COMPUTED_VALUE"""),"SetLongShortPTTPreference")</f>
        <v>SetLongShortPTTPreference</v>
      </c>
      <c r="T4" s="26" t="str">
        <f>IFERROR(__xludf.DUMMYFUNCTION("""COMPUTED_VALUE"""),"SetPTTPreference")</f>
        <v>SetPTTPreference</v>
      </c>
      <c r="U4" s="26" t="str">
        <f>IFERROR(__xludf.DUMMYFUNCTION("""COMPUTED_VALUE"""),"SetAccountFactor")</f>
        <v>SetAccountFactor</v>
      </c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IFERROR(__xludf.DUMMYFUNCTION("""COMPUTED_VALUE"""),"Ticker")</f>
        <v>Ticker</v>
      </c>
      <c r="C5" s="28" t="str">
        <f>IFERROR(__xludf.DUMMYFUNCTION("""COMPUTED_VALUE"""),"Add/Set")</f>
        <v>Add/Set</v>
      </c>
      <c r="D5" s="28" t="str">
        <f>IFERROR(__xludf.DUMMYFUNCTION("""COMPUTED_VALUE"""),"Type")</f>
        <v>Type</v>
      </c>
      <c r="E5" s="28" t="str">
        <f>IFERROR(__xludf.DUMMYFUNCTION("""COMPUTED_VALUE"""),"Target")</f>
        <v>Target</v>
      </c>
      <c r="F5" s="29" t="str">
        <f>IFERROR(__xludf.DUMMYFUNCTION("""COMPUTED_VALUE"""),"Price")</f>
        <v>Price</v>
      </c>
      <c r="G5" s="28" t="str">
        <f>IFERROR(__xludf.DUMMYFUNCTION("""COMPUTED_VALUE"""),"Combined Account Total")</f>
        <v>Combined Account Total</v>
      </c>
      <c r="H5" s="28" t="str">
        <f>IFERROR(__xludf.DUMMYFUNCTION("""COMPUTED_VALUE"""),"MasterFund/Account")</f>
        <v>MasterFund/Account</v>
      </c>
      <c r="I5" s="28" t="str">
        <f>IFERROR(__xludf.DUMMYFUNCTION("""COMPUTED_VALUE"""),"Accounts")</f>
        <v>Accounts</v>
      </c>
      <c r="J5" s="28" t="str">
        <f>IFERROR(__xludf.DUMMYFUNCTION("""COMPUTED_VALUE"""),"Master Funds")</f>
        <v>Master Funds</v>
      </c>
      <c r="K5" s="28" t="str">
        <f>IFERROR(__xludf.DUMMYFUNCTION("""COMPUTED_VALUE"""),"Round Lots")</f>
        <v>Round Lots</v>
      </c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6"/>
      <c r="B6" s="37" t="s">
        <v>23</v>
      </c>
      <c r="C6" s="38" t="s">
        <v>29</v>
      </c>
      <c r="D6" s="37" t="s">
        <v>30</v>
      </c>
      <c r="E6" s="40">
        <v>19000.0</v>
      </c>
      <c r="F6" s="40">
        <v>500.0</v>
      </c>
      <c r="G6" s="38" t="s">
        <v>31</v>
      </c>
      <c r="H6" s="38" t="s">
        <v>16</v>
      </c>
      <c r="I6" s="38" t="s">
        <v>21</v>
      </c>
      <c r="J6" s="38"/>
      <c r="K6" s="38"/>
      <c r="L6" s="38"/>
      <c r="M6" s="38"/>
      <c r="N6" s="38"/>
      <c r="O6" s="38"/>
      <c r="P6" s="38"/>
      <c r="Q6" s="38"/>
      <c r="R6" s="38"/>
      <c r="S6" s="38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CalculatePTT1!$4:$4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27</v>
      </c>
      <c r="D3" s="5" t="s">
        <v>9</v>
      </c>
      <c r="E3" s="23" t="s">
        <v>32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IFERROR(__xludf.DUMMYFUNCTION("IF(C3="""","""",Transpose(IMPORTRANGE('_Settings'!$B$3,C3&amp;""!A4:A1000"")))"),"AutoStageImportFromPTTExport")</f>
        <v>AutoStageImportFromPTTExport</v>
      </c>
      <c r="C4" s="25" t="str">
        <f>IFERROR(__xludf.DUMMYFUNCTION("""COMPUTED_VALUE"""),"EditPTTAccountLevelWPF")</f>
        <v>EditPTTAccountLevelWPF</v>
      </c>
      <c r="D4" s="25" t="str">
        <f>IFERROR(__xludf.DUMMYFUNCTION("""COMPUTED_VALUE"""),"SetDefaultSymbology")</f>
        <v>SetDefaultSymbology</v>
      </c>
      <c r="E4" s="25" t="str">
        <f>IFERROR(__xludf.DUMMYFUNCTION("""COMPUTED_VALUE"""),"EditPTTWPFGrid")</f>
        <v>EditPTTWPFGrid</v>
      </c>
      <c r="F4" s="25" t="str">
        <f>IFERROR(__xludf.DUMMYFUNCTION("""COMPUTED_VALUE"""),"CreateOrderAfterEditPTT")</f>
        <v>CreateOrderAfterEditPTT</v>
      </c>
      <c r="G4" s="25" t="str">
        <f>IFERROR(__xludf.DUMMYFUNCTION("""COMPUTED_VALUE"""),"EditPTTRecord")</f>
        <v>EditPTTRecord</v>
      </c>
      <c r="H4" s="25" t="str">
        <f>IFERROR(__xludf.DUMMYFUNCTION("""COMPUTED_VALUE"""),"SelectPTTRecord")</f>
        <v>SelectPTTRecord</v>
      </c>
      <c r="I4" s="25" t="str">
        <f>IFERROR(__xludf.DUMMYFUNCTION("""COMPUTED_VALUE"""),"CalculatePTT")</f>
        <v>CalculatePTT</v>
      </c>
      <c r="J4" s="25" t="str">
        <f>IFERROR(__xludf.DUMMYFUNCTION("""COMPUTED_VALUE"""),"TradeUsingPTT")</f>
        <v>TradeUsingPTT</v>
      </c>
      <c r="K4" s="25" t="str">
        <f>IFERROR(__xludf.DUMMYFUNCTION("""COMPUTED_VALUE"""),"VerifyPTTCompliance")</f>
        <v>VerifyPTTCompliance</v>
      </c>
      <c r="L4" s="25" t="str">
        <f>IFERROR(__xludf.DUMMYFUNCTION("""COMPUTED_VALUE"""),"StageOrderUsingPTT")</f>
        <v>StageOrderUsingPTT</v>
      </c>
      <c r="M4" s="25" t="str">
        <f>IFERROR(__xludf.DUMMYFUNCTION("""COMPUTED_VALUE"""),"CreateOrderPTT")</f>
        <v>CreateOrderPTT</v>
      </c>
      <c r="N4" s="25" t="str">
        <f>IFERROR(__xludf.DUMMYFUNCTION("""COMPUTED_VALUE"""),"TradePTT")</f>
        <v>TradePTT</v>
      </c>
      <c r="O4" s="25" t="str">
        <f>IFERROR(__xludf.DUMMYFUNCTION("""COMPUTED_VALUE"""),"VerifyPTT")</f>
        <v>VerifyPTT</v>
      </c>
      <c r="P4" s="26" t="str">
        <f>IFERROR(__xludf.DUMMYFUNCTION("""COMPUTED_VALUE"""),"OpenMultiTTFromPTT")</f>
        <v>OpenMultiTTFromPTT</v>
      </c>
      <c r="Q4" s="26" t="str">
        <f>IFERROR(__xludf.DUMMYFUNCTION("""COMPUTED_VALUE"""),"SelectMultiTT")</f>
        <v>SelectMultiTT</v>
      </c>
      <c r="R4" s="26" t="str">
        <f>IFERROR(__xludf.DUMMYFUNCTION("""COMPUTED_VALUE"""),"EditMultiTT")</f>
        <v>EditMultiTT</v>
      </c>
      <c r="S4" s="26" t="str">
        <f>IFERROR(__xludf.DUMMYFUNCTION("""COMPUTED_VALUE"""),"SetLongShortPTTPreference")</f>
        <v>SetLongShortPTTPreference</v>
      </c>
      <c r="T4" s="26" t="str">
        <f>IFERROR(__xludf.DUMMYFUNCTION("""COMPUTED_VALUE"""),"SetPTTPreference")</f>
        <v>SetPTTPreference</v>
      </c>
      <c r="U4" s="26" t="str">
        <f>IFERROR(__xludf.DUMMYFUNCTION("""COMPUTED_VALUE"""),"SetAccountFactor")</f>
        <v>SetAccountFactor</v>
      </c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IFERROR(__xludf.DUMMYFUNCTION("""COMPUTED_VALUE"""),"Ticker")</f>
        <v>Ticker</v>
      </c>
      <c r="C5" s="28" t="str">
        <f>IFERROR(__xludf.DUMMYFUNCTION("""COMPUTED_VALUE"""),"Add/Set")</f>
        <v>Add/Set</v>
      </c>
      <c r="D5" s="28" t="str">
        <f>IFERROR(__xludf.DUMMYFUNCTION("""COMPUTED_VALUE"""),"Type")</f>
        <v>Type</v>
      </c>
      <c r="E5" s="28" t="str">
        <f>IFERROR(__xludf.DUMMYFUNCTION("""COMPUTED_VALUE"""),"Target")</f>
        <v>Target</v>
      </c>
      <c r="F5" s="29" t="str">
        <f>IFERROR(__xludf.DUMMYFUNCTION("""COMPUTED_VALUE"""),"Price")</f>
        <v>Price</v>
      </c>
      <c r="G5" s="28" t="str">
        <f>IFERROR(__xludf.DUMMYFUNCTION("""COMPUTED_VALUE"""),"Combined Account Total")</f>
        <v>Combined Account Total</v>
      </c>
      <c r="H5" s="28" t="str">
        <f>IFERROR(__xludf.DUMMYFUNCTION("""COMPUTED_VALUE"""),"MasterFund/Account")</f>
        <v>MasterFund/Account</v>
      </c>
      <c r="I5" s="28" t="str">
        <f>IFERROR(__xludf.DUMMYFUNCTION("""COMPUTED_VALUE"""),"Accounts")</f>
        <v>Accounts</v>
      </c>
      <c r="J5" s="28" t="str">
        <f>IFERROR(__xludf.DUMMYFUNCTION("""COMPUTED_VALUE"""),"MTT POP UP?")</f>
        <v>MTT POP UP?</v>
      </c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6"/>
      <c r="B6" s="37" t="s">
        <v>23</v>
      </c>
      <c r="C6" s="38" t="s">
        <v>29</v>
      </c>
      <c r="D6" s="37" t="s">
        <v>30</v>
      </c>
      <c r="E6" s="40">
        <v>19000.0</v>
      </c>
      <c r="F6" s="40">
        <v>10.0</v>
      </c>
      <c r="G6" s="38" t="s">
        <v>31</v>
      </c>
      <c r="H6" s="38" t="s">
        <v>16</v>
      </c>
      <c r="I6" s="38" t="s">
        <v>21</v>
      </c>
      <c r="J6" s="38"/>
      <c r="K6" s="38"/>
      <c r="L6" s="38"/>
      <c r="M6" s="38"/>
      <c r="N6" s="38"/>
      <c r="O6" s="38"/>
      <c r="P6" s="38"/>
      <c r="Q6" s="38"/>
      <c r="R6" s="38"/>
      <c r="S6" s="38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TradePTT1!$4:$4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19</v>
      </c>
      <c r="D3" s="5" t="s">
        <v>9</v>
      </c>
      <c r="E3" s="23" t="s">
        <v>33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IFERROR(__xludf.DUMMYFUNCTION("""COMPUTED_VALUE"""),"EditOrder")</f>
        <v>EditOrder</v>
      </c>
      <c r="AO5" s="30" t="str">
        <f>IFERROR(__xludf.DUMMYFUNCTION("""COMPUTED_VALUE"""),"AllowTrade")</f>
        <v>AllowTrade</v>
      </c>
      <c r="AP5" s="30" t="str">
        <f>IFERROR(__xludf.DUMMYFUNCTION("""COMPUTED_VALUE"""),"SharesOutstandingPopUpQty")</f>
        <v>SharesOutstandingPopUpQty</v>
      </c>
      <c r="AQ5" s="30" t="str">
        <f>IFERROR(__xludf.DUMMYFUNCTION("""COMPUTED_VALUE"""),"SharesOutstandingPopUp")</f>
        <v>SharesOutstandingPopUp</v>
      </c>
      <c r="AR5" s="30" t="str">
        <f>IFERROR(__xludf.DUMMYFUNCTION("""COMPUTED_VALUE"""),"ResAllowedListPopUp")</f>
        <v>ResAllowedListPopUp</v>
      </c>
      <c r="AS5" s="30" t="str">
        <f>IFERROR(__xludf.DUMMYFUNCTION("""COMPUTED_VALUE"""),"ChkBoxBookAsSwap")</f>
        <v>ChkBoxBookAsSwap</v>
      </c>
      <c r="AT5" s="30" t="str">
        <f>IFERROR(__xludf.DUMMYFUNCTION("""COMPUTED_VALUE"""),"Interest Rate")</f>
        <v>Interest Rate</v>
      </c>
      <c r="AU5" s="30" t="str">
        <f>IFERROR(__xludf.DUMMYFUNCTION("""COMPUTED_VALUE"""),"OrderPendingNewPopup")</f>
        <v>OrderPendingNewPopup</v>
      </c>
      <c r="AV5" s="30" t="str">
        <f>IFERROR(__xludf.DUMMYFUNCTION("""COMPUTED_VALUE"""),"Master Funds")</f>
        <v>Master Funds</v>
      </c>
      <c r="AW5" s="30" t="str">
        <f>IFERROR(__xludf.DUMMYFUNCTION("""COMPUTED_VALUE"""),"Allow Duplicate Trade")</f>
        <v>Allow Duplicate Trade</v>
      </c>
      <c r="AX5" s="30" t="str">
        <f>IFERROR(__xludf.DUMMYFUNCTION("""COMPUTED_VALUE"""),"TRVAccountName")</f>
        <v>TRVAccountName</v>
      </c>
      <c r="AY5" s="30" t="str">
        <f>IFERROR(__xludf.DUMMYFUNCTION("""COMPUTED_VALUE"""),"TRVTradeQuantity")</f>
        <v>TRVTradeQuantity</v>
      </c>
      <c r="AZ5" s="30" t="str">
        <f>IFERROR(__xludf.DUMMYFUNCTION("""COMPUTED_VALUE"""),"TRVCurrentPosition")</f>
        <v>TRVCurrentPosition</v>
      </c>
      <c r="BA5" s="30" t="str">
        <f>IFERROR(__xludf.DUMMYFUNCTION("""COMPUTED_VALUE"""),"TRVNav")</f>
        <v>TRVNav</v>
      </c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6"/>
      <c r="B6" s="37" t="s">
        <v>23</v>
      </c>
      <c r="C6" s="38" t="s">
        <v>24</v>
      </c>
      <c r="D6" s="39">
        <v>185200.0</v>
      </c>
      <c r="E6" s="40">
        <v>185200.0</v>
      </c>
      <c r="F6" s="38"/>
      <c r="G6" s="38"/>
      <c r="H6" s="38"/>
      <c r="I6" s="38"/>
      <c r="J6" s="40">
        <v>500.0</v>
      </c>
      <c r="K6" s="38"/>
      <c r="L6" s="38"/>
      <c r="M6" s="38"/>
      <c r="N6" s="38"/>
      <c r="O6" s="38"/>
      <c r="P6" s="38"/>
      <c r="Q6" s="38"/>
      <c r="R6" s="38"/>
      <c r="S6" s="38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CreateLiveOrder!$4:$4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34</v>
      </c>
      <c r="D3" s="5" t="s">
        <v>9</v>
      </c>
      <c r="E3" s="23" t="s">
        <v>35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IFERROR(__xludf.DUMMYFUNCTION("IF(C3="""","""",Transpose(IMPORTRANGE('_Settings'!$B$3,C3&amp;""!A4:A1000"")))"),"VerifyTrades")</f>
        <v>VerifyTrades</v>
      </c>
      <c r="C4" s="25" t="str">
        <f>IFERROR(__xludf.DUMMYFUNCTION("""COMPUTED_VALUE"""),"ClearUI")</f>
        <v>ClearUI</v>
      </c>
      <c r="D4" s="25" t="str">
        <f>IFERROR(__xludf.DUMMYFUNCTION("""COMPUTED_VALUE"""),"SetManualResponse")</f>
        <v>SetManualResponse</v>
      </c>
      <c r="E4" s="25" t="str">
        <f>IFERROR(__xludf.DUMMYFUNCTION("""COMPUTED_VALUE"""),"OpenLiveTT")</f>
        <v>OpenLiveTT</v>
      </c>
      <c r="F4" s="25" t="str">
        <f>IFERROR(__xludf.DUMMYFUNCTION("""COMPUTED_VALUE"""),"CancelTrade")</f>
        <v>CancelTrade</v>
      </c>
      <c r="G4" s="25" t="str">
        <f>IFERROR(__xludf.DUMMYFUNCTION("""COMPUTED_VALUE"""),"ExecuteTrade")</f>
        <v>ExecuteTrade</v>
      </c>
      <c r="H4" s="25" t="str">
        <f>IFERROR(__xludf.DUMMYFUNCTION("""COMPUTED_VALUE"""),"RejectTrade")</f>
        <v>RejectTrade</v>
      </c>
      <c r="I4" s="25" t="str">
        <f>IFERROR(__xludf.DUMMYFUNCTION("""COMPUTED_VALUE"""),"SelectTrade")</f>
        <v>SelectTrade</v>
      </c>
      <c r="J4" s="25" t="str">
        <f>IFERROR(__xludf.DUMMYFUNCTION("""COMPUTED_VALUE"""),"AcknowledgeTrade")</f>
        <v>AcknowledgeTrade</v>
      </c>
      <c r="K4" s="25" t="str">
        <f>IFERROR(__xludf.DUMMYFUNCTION("""COMPUTED_VALUE"""),"SetToAutomaticResponse")</f>
        <v>SetToAutomaticResponse</v>
      </c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IFERROR(__xludf.DUMMYFUNCTION("""COMPUTED_VALUE"""),"Side")</f>
        <v>Side</v>
      </c>
      <c r="C5" s="28" t="str">
        <f>IFERROR(__xludf.DUMMYFUNCTION("""COMPUTED_VALUE"""),"Symbol")</f>
        <v>Symbol</v>
      </c>
      <c r="D5" s="28" t="str">
        <f>IFERROR(__xludf.DUMMYFUNCTION("""COMPUTED_VALUE"""),"Order Type")</f>
        <v>Order Type</v>
      </c>
      <c r="E5" s="28" t="str">
        <f>IFERROR(__xludf.DUMMYFUNCTION("""COMPUTED_VALUE"""),"Price")</f>
        <v>Price</v>
      </c>
      <c r="F5" s="29" t="str">
        <f>IFERROR(__xludf.DUMMYFUNCTION("""COMPUTED_VALUE"""),"AvgPrice")</f>
        <v>AvgPrice</v>
      </c>
      <c r="G5" s="28" t="str">
        <f>IFERROR(__xludf.DUMMYFUNCTION("""COMPUTED_VALUE"""),"Quantity")</f>
        <v>Quantity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24</v>
      </c>
      <c r="C6" s="13" t="s">
        <v>23</v>
      </c>
      <c r="D6" s="13"/>
      <c r="E6" s="43"/>
      <c r="F6" s="8"/>
      <c r="G6" s="39">
        <v>185200.0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SelectTrade!$4:$4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34</v>
      </c>
      <c r="D3" s="5" t="s">
        <v>9</v>
      </c>
      <c r="E3" s="23" t="s">
        <v>36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IFERROR(__xludf.DUMMYFUNCTION("IF(C3="""","""",Transpose(IMPORTRANGE('_Settings'!$B$3,C3&amp;""!A4:A1000"")))"),"VerifyTrades")</f>
        <v>VerifyTrades</v>
      </c>
      <c r="C4" s="25" t="str">
        <f>IFERROR(__xludf.DUMMYFUNCTION("""COMPUTED_VALUE"""),"ClearUI")</f>
        <v>ClearUI</v>
      </c>
      <c r="D4" s="25" t="str">
        <f>IFERROR(__xludf.DUMMYFUNCTION("""COMPUTED_VALUE"""),"SetManualResponse")</f>
        <v>SetManualResponse</v>
      </c>
      <c r="E4" s="25" t="str">
        <f>IFERROR(__xludf.DUMMYFUNCTION("""COMPUTED_VALUE"""),"OpenLiveTT")</f>
        <v>OpenLiveTT</v>
      </c>
      <c r="F4" s="25" t="str">
        <f>IFERROR(__xludf.DUMMYFUNCTION("""COMPUTED_VALUE"""),"CancelTrade")</f>
        <v>CancelTrade</v>
      </c>
      <c r="G4" s="25" t="str">
        <f>IFERROR(__xludf.DUMMYFUNCTION("""COMPUTED_VALUE"""),"ExecuteTrade")</f>
        <v>ExecuteTrade</v>
      </c>
      <c r="H4" s="25" t="str">
        <f>IFERROR(__xludf.DUMMYFUNCTION("""COMPUTED_VALUE"""),"RejectTrade")</f>
        <v>RejectTrade</v>
      </c>
      <c r="I4" s="25" t="str">
        <f>IFERROR(__xludf.DUMMYFUNCTION("""COMPUTED_VALUE"""),"SelectTrade")</f>
        <v>SelectTrade</v>
      </c>
      <c r="J4" s="25" t="str">
        <f>IFERROR(__xludf.DUMMYFUNCTION("""COMPUTED_VALUE"""),"AcknowledgeTrade")</f>
        <v>AcknowledgeTrade</v>
      </c>
      <c r="K4" s="25" t="str">
        <f>IFERROR(__xludf.DUMMYFUNCTION("""COMPUTED_VALUE"""),"SetToAutomaticResponse")</f>
        <v>SetToAutomaticResponse</v>
      </c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IFERROR(__xludf.DUMMYFUNCTION("""COMPUTED_VALUE"""),"Side")</f>
        <v>Side</v>
      </c>
      <c r="C5" s="28" t="str">
        <f>IFERROR(__xludf.DUMMYFUNCTION("""COMPUTED_VALUE"""),"Symbol")</f>
        <v>Symbol</v>
      </c>
      <c r="D5" s="28" t="str">
        <f>IFERROR(__xludf.DUMMYFUNCTION("""COMPUTED_VALUE"""),"Order Type")</f>
        <v>Order Type</v>
      </c>
      <c r="E5" s="28" t="str">
        <f>IFERROR(__xludf.DUMMYFUNCTION("""COMPUTED_VALUE"""),"Price")</f>
        <v>Price</v>
      </c>
      <c r="F5" s="29" t="str">
        <f>IFERROR(__xludf.DUMMYFUNCTION("""COMPUTED_VALUE"""),"AvgPrice")</f>
        <v>AvgPrice</v>
      </c>
      <c r="G5" s="28" t="str">
        <f>IFERROR(__xludf.DUMMYFUNCTION("""COMPUTED_VALUE"""),"Quantity")</f>
        <v>Quantity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24</v>
      </c>
      <c r="C6" s="13" t="s">
        <v>23</v>
      </c>
      <c r="D6" s="13"/>
      <c r="E6" s="43"/>
      <c r="F6" s="8"/>
      <c r="G6" s="39">
        <v>185200.0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AcknowledgeTrade!$4:$4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34</v>
      </c>
      <c r="D3" s="5" t="s">
        <v>9</v>
      </c>
      <c r="E3" s="23" t="s">
        <v>37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IFERROR(__xludf.DUMMYFUNCTION("IF(C3="""","""",Transpose(IMPORTRANGE('_Settings'!$B$3,C3&amp;""!A4:A1000"")))"),"VerifyTrades")</f>
        <v>VerifyTrades</v>
      </c>
      <c r="C4" s="25" t="str">
        <f>IFERROR(__xludf.DUMMYFUNCTION("""COMPUTED_VALUE"""),"ClearUI")</f>
        <v>ClearUI</v>
      </c>
      <c r="D4" s="25" t="str">
        <f>IFERROR(__xludf.DUMMYFUNCTION("""COMPUTED_VALUE"""),"SetManualResponse")</f>
        <v>SetManualResponse</v>
      </c>
      <c r="E4" s="25" t="str">
        <f>IFERROR(__xludf.DUMMYFUNCTION("""COMPUTED_VALUE"""),"OpenLiveTT")</f>
        <v>OpenLiveTT</v>
      </c>
      <c r="F4" s="25" t="str">
        <f>IFERROR(__xludf.DUMMYFUNCTION("""COMPUTED_VALUE"""),"CancelTrade")</f>
        <v>CancelTrade</v>
      </c>
      <c r="G4" s="25" t="str">
        <f>IFERROR(__xludf.DUMMYFUNCTION("""COMPUTED_VALUE"""),"ExecuteTrade")</f>
        <v>ExecuteTrade</v>
      </c>
      <c r="H4" s="25" t="str">
        <f>IFERROR(__xludf.DUMMYFUNCTION("""COMPUTED_VALUE"""),"RejectTrade")</f>
        <v>RejectTrade</v>
      </c>
      <c r="I4" s="25" t="str">
        <f>IFERROR(__xludf.DUMMYFUNCTION("""COMPUTED_VALUE"""),"SelectTrade")</f>
        <v>SelectTrade</v>
      </c>
      <c r="J4" s="25" t="str">
        <f>IFERROR(__xludf.DUMMYFUNCTION("""COMPUTED_VALUE"""),"AcknowledgeTrade")</f>
        <v>AcknowledgeTrade</v>
      </c>
      <c r="K4" s="25" t="str">
        <f>IFERROR(__xludf.DUMMYFUNCTION("""COMPUTED_VALUE"""),"SetToAutomaticResponse")</f>
        <v>SetToAutomaticResponse</v>
      </c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IFERROR(__xludf.DUMMYFUNCTION("""COMPUTED_VALUE"""),"Price")</f>
        <v>Price</v>
      </c>
      <c r="C5" s="28" t="str">
        <f>IFERROR(__xludf.DUMMYFUNCTION("""COMPUTED_VALUE"""),"Shares")</f>
        <v>Shares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>
        <v>500.0</v>
      </c>
      <c r="C6" s="39">
        <v>185200.0</v>
      </c>
      <c r="D6" s="13"/>
      <c r="E6" s="43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ExecuteTrade!$4:$4</formula1>
    </dataValidation>
  </dataValidations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38</v>
      </c>
      <c r="D3" s="5" t="s">
        <v>9</v>
      </c>
      <c r="E3" s="23" t="s">
        <v>39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IFERROR(__xludf.DUMMYFUNCTION("IF(C3="""","""",Transpose(IMPORTRANGE('_Settings'!$B$3,C3&amp;""!A4:A1000"")))"),"SelectCheckBoxOnOrderGrid")</f>
        <v>SelectCheckBoxOnOrderGrid</v>
      </c>
      <c r="C4" s="25" t="str">
        <f>IFERROR(__xludf.DUMMYFUNCTION("""COMPUTED_VALUE"""),"SaveOrRemoveInWorkingSubsTab")</f>
        <v>SaveOrRemoveInWorkingSubsTab</v>
      </c>
      <c r="D4" s="25" t="str">
        <f>IFERROR(__xludf.DUMMYFUNCTION("""COMPUTED_VALUE"""),"SaveOrRemoveInSummaryTab")</f>
        <v>SaveOrRemoveInSummaryTab</v>
      </c>
      <c r="E4" s="25" t="str">
        <f>IFERROR(__xludf.DUMMYFUNCTION("""COMPUTED_VALUE"""),"VerifyLowerStripBlotterUI")</f>
        <v>VerifyLowerStripBlotterUI</v>
      </c>
      <c r="F4" s="25" t="str">
        <f>IFERROR(__xludf.DUMMYFUNCTION("""COMPUTED_VALUE"""),"AddTabBlotter")</f>
        <v>AddTabBlotter</v>
      </c>
      <c r="G4" s="25" t="str">
        <f>IFERROR(__xludf.DUMMYFUNCTION("""COMPUTED_VALUE"""),"VerifyMergeOrder")</f>
        <v>VerifyMergeOrder</v>
      </c>
      <c r="H4" s="25" t="str">
        <f>IFERROR(__xludf.DUMMYFUNCTION("""COMPUTED_VALUE"""),"MergeOrder")</f>
        <v>MergeOrder</v>
      </c>
      <c r="I4" s="25" t="str">
        <f>IFERROR(__xludf.DUMMYFUNCTION("""COMPUTED_VALUE"""),"ReplaceFillsOnBlotter")</f>
        <v>ReplaceFillsOnBlotter</v>
      </c>
      <c r="J4" s="25" t="str">
        <f>IFERROR(__xludf.DUMMYFUNCTION("""COMPUTED_VALUE"""),"CheckBlotter")</f>
        <v>CheckBlotter</v>
      </c>
      <c r="K4" s="25" t="str">
        <f>IFERROR(__xludf.DUMMYFUNCTION("""COMPUTED_VALUE"""),"ViewPTTAllocationDetails")</f>
        <v>ViewPTTAllocationDetails</v>
      </c>
      <c r="L4" s="25" t="str">
        <f>IFERROR(__xludf.DUMMYFUNCTION("""COMPUTED_VALUE"""),"AllocateFromBlotter")</f>
        <v>AllocateFromBlotter</v>
      </c>
      <c r="M4" s="25" t="str">
        <f>IFERROR(__xludf.DUMMYFUNCTION("""COMPUTED_VALUE"""),"ModifyFills")</f>
        <v>ModifyFills</v>
      </c>
      <c r="N4" s="25" t="str">
        <f>IFERROR(__xludf.DUMMYFUNCTION("""COMPUTED_VALUE"""),"BlotterFunctionalities")</f>
        <v>BlotterFunctionalities</v>
      </c>
      <c r="O4" s="25" t="str">
        <f>IFERROR(__xludf.DUMMYFUNCTION("""COMPUTED_VALUE"""),"SelectFills")</f>
        <v>SelectFills</v>
      </c>
      <c r="P4" s="26" t="str">
        <f>IFERROR(__xludf.DUMMYFUNCTION("""COMPUTED_VALUE"""),"ReloadOrderFromWorkingSubs")</f>
        <v>ReloadOrderFromWorkingSubs</v>
      </c>
      <c r="Q4" s="26" t="str">
        <f>IFERROR(__xludf.DUMMYFUNCTION("""COMPUTED_VALUE"""),"ReloadOrderFromSubOrder")</f>
        <v>ReloadOrderFromSubOrder</v>
      </c>
      <c r="R4" s="26" t="str">
        <f>IFERROR(__xludf.DUMMYFUNCTION("""COMPUTED_VALUE"""),"ReloadOrderFromBlotter")</f>
        <v>ReloadOrderFromBlotter</v>
      </c>
      <c r="S4" s="26" t="str">
        <f>IFERROR(__xludf.DUMMYFUNCTION("""COMPUTED_VALUE"""),"MultipleTradeTransferToUser")</f>
        <v>MultipleTradeTransferToUser</v>
      </c>
      <c r="T4" s="26" t="str">
        <f>IFERROR(__xludf.DUMMYFUNCTION("""COMPUTED_VALUE"""),"BlotterExecutionReportSnapshot")</f>
        <v>BlotterExecutionReportSnapshot</v>
      </c>
      <c r="U4" s="26" t="str">
        <f>IFERROR(__xludf.DUMMYFUNCTION("""COMPUTED_VALUE"""),"VerifyExecutionReport")</f>
        <v>VerifyExecutionReport</v>
      </c>
      <c r="V4" s="26" t="str">
        <f>IFERROR(__xludf.DUMMYFUNCTION("""COMPUTED_VALUE"""),"ExportExecutionReportData")</f>
        <v>ExportExecutionReportData</v>
      </c>
      <c r="W4" s="26" t="str">
        <f>IFERROR(__xludf.DUMMYFUNCTION("""COMPUTED_VALUE"""),"GetExecutionReportDetails")</f>
        <v>GetExecutionReportDetails</v>
      </c>
      <c r="X4" s="26" t="str">
        <f>IFERROR(__xludf.DUMMYFUNCTION("""COMPUTED_VALUE"""),"GetExecutionReportOrders")</f>
        <v>GetExecutionReportOrders</v>
      </c>
      <c r="Y4" s="26" t="str">
        <f>IFERROR(__xludf.DUMMYFUNCTION("""COMPUTED_VALUE"""),"RemoveExecutionWorkingSubs")</f>
        <v>RemoveExecutionWorkingSubs</v>
      </c>
      <c r="Z4" s="26" t="str">
        <f>IFERROR(__xludf.DUMMYFUNCTION("""COMPUTED_VALUE"""),"RemoveManualExecution")</f>
        <v>RemoveManualExecution</v>
      </c>
      <c r="AA4" s="26" t="str">
        <f>IFERROR(__xludf.DUMMYFUNCTION("""COMPUTED_VALUE"""),"TransferToUserWorkingSubs")</f>
        <v>TransferToUserWorkingSubs</v>
      </c>
      <c r="AB4" s="26" t="str">
        <f>IFERROR(__xludf.DUMMYFUNCTION("""COMPUTED_VALUE"""),"OpenBlotter")</f>
        <v>OpenBlotter</v>
      </c>
      <c r="AC4" s="26" t="str">
        <f>IFERROR(__xludf.DUMMYFUNCTION("""COMPUTED_VALUE"""),"CancelWorkingSubs")</f>
        <v>CancelWorkingSubs</v>
      </c>
      <c r="AD4" s="26" t="str">
        <f>IFERROR(__xludf.DUMMYFUNCTION("""COMPUTED_VALUE"""),"ReplaceWorkingSubs")</f>
        <v>ReplaceWorkingSubs</v>
      </c>
      <c r="AE4" s="26" t="str">
        <f>IFERROR(__xludf.DUMMYFUNCTION("""COMPUTED_VALUE"""),"ViewAllocationDetailsWorkingSub")</f>
        <v>ViewAllocationDetailsWorkingSub</v>
      </c>
      <c r="AF4" s="26" t="str">
        <f>IFERROR(__xludf.DUMMYFUNCTION("""COMPUTED_VALUE"""),"OpenBlotter")</f>
        <v>OpenBlotter</v>
      </c>
      <c r="AG4" s="26" t="str">
        <f>IFERROR(__xludf.DUMMYFUNCTION("""COMPUTED_VALUE"""),"SelectTradeOnOrderGrid")</f>
        <v>SelectTradeOnOrderGrid</v>
      </c>
      <c r="AH4" s="26" t="str">
        <f>IFERROR(__xludf.DUMMYFUNCTION("""COMPUTED_VALUE"""),"ShowDetailsForAlgoTradeSubOrder")</f>
        <v>ShowDetailsForAlgoTradeSubOrder</v>
      </c>
      <c r="AI4" s="26" t="str">
        <f>IFERROR(__xludf.DUMMYFUNCTION("""COMPUTED_VALUE"""),"SelectTradeOrderBlotter")</f>
        <v>SelectTradeOrderBlotter</v>
      </c>
      <c r="AJ4" s="26" t="str">
        <f>IFERROR(__xludf.DUMMYFUNCTION("""COMPUTED_VALUE"""),"AddFillsWorkingSubs")</f>
        <v>AddFillsWorkingSubs</v>
      </c>
      <c r="AK4" s="26" t="str">
        <f>IFERROR(__xludf.DUMMYFUNCTION("""COMPUTED_VALUE"""),"EditAddFillsDetails")</f>
        <v>EditAddFillsDetails</v>
      </c>
      <c r="AL4" s="26" t="str">
        <f>IFERROR(__xludf.DUMMYFUNCTION("""COMPUTED_VALUE"""),"ShowDetailsForAlgoTradeWorkingSubs")</f>
        <v>ShowDetailsForAlgoTradeWorkingSubs</v>
      </c>
      <c r="AM4" s="26" t="str">
        <f>IFERROR(__xludf.DUMMYFUNCTION("""COMPUTED_VALUE"""),"VerifyWorkingSubs")</f>
        <v>VerifyWorkingSubs</v>
      </c>
      <c r="AN4" s="26" t="str">
        <f>IFERROR(__xludf.DUMMYFUNCTION("""COMPUTED_VALUE"""),"TransferToUserOrder")</f>
        <v>TransferToUserOrder</v>
      </c>
      <c r="AO4" s="26" t="str">
        <f>IFERROR(__xludf.DUMMYFUNCTION("""COMPUTED_VALUE"""),"EditOrder")</f>
        <v>EditOrder</v>
      </c>
      <c r="AP4" s="26" t="str">
        <f>IFERROR(__xludf.DUMMYFUNCTION("""COMPUTED_VALUE"""),"SelectTradeSubOrderBlotter")</f>
        <v>SelectTradeSubOrderBlotter</v>
      </c>
      <c r="AQ4" s="26" t="str">
        <f>IFERROR(__xludf.DUMMYFUNCTION("""COMPUTED_VALUE"""),"VerifyOrder")</f>
        <v>VerifyOrder</v>
      </c>
      <c r="AR4" s="26" t="str">
        <f>IFERROR(__xludf.DUMMYFUNCTION("""COMPUTED_VALUE"""),"VerifySubOrder")</f>
        <v>VerifySubOrder</v>
      </c>
      <c r="AS4" s="26" t="str">
        <f>IFERROR(__xludf.DUMMYFUNCTION("""COMPUTED_VALUE"""),"RemoveSelectedOrders")</f>
        <v>RemoveSelectedOrders</v>
      </c>
      <c r="AT4" s="26" t="str">
        <f>IFERROR(__xludf.DUMMYFUNCTION("""COMPUTED_VALUE"""),"CancelAllSelectedSubs")</f>
        <v>CancelAllSelectedSubs</v>
      </c>
      <c r="AU4" s="26" t="str">
        <f>IFERROR(__xludf.DUMMYFUNCTION("""COMPUTED_VALUE"""),"MultiTradingTicket")</f>
        <v>MultiTradingTicket</v>
      </c>
      <c r="AV4" s="26" t="str">
        <f>IFERROR(__xludf.DUMMYFUNCTION("""COMPUTED_VALUE"""),"AuditTrailOrderBlotter")</f>
        <v>AuditTrailOrderBlotter</v>
      </c>
      <c r="AW4" s="26" t="str">
        <f>IFERROR(__xludf.DUMMYFUNCTION("""COMPUTED_VALUE"""),"TradeNewSubOrder")</f>
        <v>TradeNewSubOrder</v>
      </c>
      <c r="AX4" s="26" t="str">
        <f>IFERROR(__xludf.DUMMYFUNCTION("""COMPUTED_VALUE"""),"RemoveStageOrder")</f>
        <v>RemoveStageOrder</v>
      </c>
      <c r="AY4" s="26" t="str">
        <f>IFERROR(__xludf.DUMMYFUNCTION("""COMPUTED_VALUE"""),"TransferToUserSubOrder")</f>
        <v>TransferToUserSubOrder</v>
      </c>
      <c r="AZ4" s="26" t="str">
        <f>IFERROR(__xludf.DUMMYFUNCTION("""COMPUTED_VALUE"""),"DetailsForAlgoTradeOrder")</f>
        <v>DetailsForAlgoTradeOrder</v>
      </c>
      <c r="BA4" s="26" t="str">
        <f>IFERROR(__xludf.DUMMYFUNCTION("""COMPUTED_VALUE"""),"AddFillsSubOrder")</f>
        <v>AddFillsSubOrder</v>
      </c>
      <c r="BB4" s="26" t="str">
        <f>IFERROR(__xludf.DUMMYFUNCTION("""COMPUTED_VALUE"""),"ViewAllocationDetailsSubOrder")</f>
        <v>ViewAllocationDetailsSubOrder</v>
      </c>
      <c r="BC4" s="26" t="str">
        <f>IFERROR(__xludf.DUMMYFUNCTION("""COMPUTED_VALUE"""),"VerifySubOrderAfterRollover")</f>
        <v>VerifySubOrderAfterRollover</v>
      </c>
      <c r="BD4" s="26" t="str">
        <f>IFERROR(__xludf.DUMMYFUNCTION("""COMPUTED_VALUE"""),"VerifyRollover")</f>
        <v>VerifyRollover</v>
      </c>
      <c r="BE4" s="26" t="str">
        <f>IFERROR(__xludf.DUMMYFUNCTION("""COMPUTED_VALUE"""),"CancelAllSubs")</f>
        <v>CancelAllSubs</v>
      </c>
      <c r="BF4" s="26" t="str">
        <f>IFERROR(__xludf.DUMMYFUNCTION("""COMPUTED_VALUE"""),"CancelSubOrder")</f>
        <v>CancelSubOrder</v>
      </c>
      <c r="BG4" s="26" t="str">
        <f>IFERROR(__xludf.DUMMYFUNCTION("""COMPUTED_VALUE"""),"EditStageOrder")</f>
        <v>EditStageOrder</v>
      </c>
      <c r="BH4" s="26" t="str">
        <f>IFERROR(__xludf.DUMMYFUNCTION("""COMPUTED_VALUE"""),"ReplaceSubOrder")</f>
        <v>ReplaceSubOrder</v>
      </c>
      <c r="BI4" s="26" t="str">
        <f>IFERROR(__xludf.DUMMYFUNCTION("""COMPUTED_VALUE"""),"SelectTradeWorkingSubsBlotter")</f>
        <v>SelectTradeWorkingSubsBlotter</v>
      </c>
      <c r="BJ4" s="26" t="str">
        <f>IFERROR(__xludf.DUMMYFUNCTION("""COMPUTED_VALUE"""),"GoToAllocation")</f>
        <v>GoToAllocation</v>
      </c>
      <c r="BK4" s="26" t="str">
        <f>IFERROR(__xludf.DUMMYFUNCTION("""COMPUTED_VALUE"""),"VerifyAlgoDetails")</f>
        <v>VerifyAlgoDetails</v>
      </c>
      <c r="BL4" s="26" t="str">
        <f>IFERROR(__xludf.DUMMYFUNCTION("""COMPUTED_VALUE"""),"VerifyTransferToUserOrder")</f>
        <v>VerifyTransferToUserOrder</v>
      </c>
      <c r="BM4" s="26" t="str">
        <f>IFERROR(__xludf.DUMMYFUNCTION("""COMPUTED_VALUE"""),"VerifyTransferToUserSubOdr")</f>
        <v>VerifyTransferToUserSubOdr</v>
      </c>
      <c r="BN4" s="26" t="str">
        <f>IFERROR(__xludf.DUMMYFUNCTION("""COMPUTED_VALUE"""),"VerifyTransferToUserWorkSub")</f>
        <v>VerifyTransferToUserWorkSub</v>
      </c>
      <c r="BO4" s="26" t="str">
        <f>IFERROR(__xludf.DUMMYFUNCTION("""COMPUTED_VALUE"""),"VerifyViewAllocationDetails")</f>
        <v>VerifyViewAllocationDetails</v>
      </c>
      <c r="BP4" s="26" t="str">
        <f>IFERROR(__xludf.DUMMYFUNCTION("""COMPUTED_VALUE"""),"SaveLayoutOrderGrid")</f>
        <v>SaveLayoutOrderGrid</v>
      </c>
      <c r="BQ4" s="26" t="str">
        <f>IFERROR(__xludf.DUMMYFUNCTION("""COMPUTED_VALUE"""),"ReplaceStageOrder")</f>
        <v>ReplaceStageOrder</v>
      </c>
      <c r="BR4" s="26" t="str">
        <f>IFERROR(__xludf.DUMMYFUNCTION("""COMPUTED_VALUE"""),"MultiTradingTicketFromBlotter")</f>
        <v>MultiTradingTicketFromBlotter</v>
      </c>
      <c r="BS4" s="26" t="str">
        <f>IFERROR(__xludf.DUMMYFUNCTION("""COMPUTED_VALUE"""),"ReAllocateFromBlotterByAllocate")</f>
        <v>ReAllocateFromBlotterByAllocate</v>
      </c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IFERROR(__xludf.DUMMYFUNCTION("""COMPUTED_VALUE"""),"Current User")</f>
        <v>Current 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 t="str">
        <f>IFERROR(__xludf.DUMMYFUNCTION("""COMPUTED_VALUE"""),"Actual User")</f>
        <v>Actual User</v>
      </c>
      <c r="BB5" s="30" t="str">
        <f>IFERROR(__xludf.DUMMYFUNCTION("""COMPUTED_VALUE"""),"Testing Type")</f>
        <v>Testing Type</v>
      </c>
      <c r="BC5" s="30" t="str">
        <f>IFERROR(__xludf.DUMMYFUNCTION("""COMPUTED_VALUE"""),"Testing Column")</f>
        <v>Testing Column</v>
      </c>
      <c r="BD5" s="30" t="str">
        <f>IFERROR(__xludf.DUMMYFUNCTION("""COMPUTED_VALUE"""),"Testing Col Value")</f>
        <v>Testing Col Value</v>
      </c>
      <c r="BE5" s="30" t="str">
        <f>IFERROR(__xludf.DUMMYFUNCTION("""COMPUTED_VALUE"""),"DuplicateRow")</f>
        <v>DuplicateRow</v>
      </c>
      <c r="BF5" s="30" t="str">
        <f>IFERROR(__xludf.DUMMYFUNCTION("""COMPUTED_VALUE"""),"DuplicateCountOnUI")</f>
        <v>DuplicateCountOnUI</v>
      </c>
      <c r="BG5" s="30" t="str">
        <f>IFERROR(__xludf.DUMMYFUNCTION("""COMPUTED_VALUE"""),"Transaction Source")</f>
        <v>Transaction Source</v>
      </c>
      <c r="BH5" s="30" t="str">
        <f>IFERROR(__xludf.DUMMYFUNCTION("""COMPUTED_VALUE"""),"TIF")</f>
        <v>TIF</v>
      </c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6"/>
      <c r="B6" s="37"/>
      <c r="C6" s="38"/>
      <c r="D6" s="39">
        <v>10.0</v>
      </c>
      <c r="E6" s="38"/>
      <c r="F6" s="38"/>
      <c r="G6" s="38"/>
      <c r="H6" s="38" t="s">
        <v>40</v>
      </c>
      <c r="I6" s="38" t="s">
        <v>41</v>
      </c>
      <c r="J6" s="38" t="s">
        <v>23</v>
      </c>
      <c r="K6" s="38" t="s">
        <v>42</v>
      </c>
      <c r="L6" s="38"/>
      <c r="M6" s="38"/>
      <c r="N6" s="38"/>
      <c r="O6" s="38"/>
      <c r="P6" s="38"/>
      <c r="Q6" s="38"/>
      <c r="R6" s="38"/>
      <c r="S6" s="42">
        <v>0.0</v>
      </c>
      <c r="T6" s="41">
        <v>0.0</v>
      </c>
      <c r="U6" s="32" t="s">
        <v>43</v>
      </c>
      <c r="V6" s="32"/>
      <c r="W6" s="32"/>
      <c r="X6" s="32"/>
      <c r="Y6" s="32"/>
      <c r="Z6" s="32"/>
      <c r="AA6" s="32"/>
      <c r="AB6" s="32"/>
      <c r="AC6" s="32"/>
      <c r="AD6" s="41">
        <v>1.0</v>
      </c>
      <c r="AE6" s="32"/>
      <c r="AF6" s="32"/>
      <c r="AG6" s="32"/>
      <c r="AH6" s="32" t="s">
        <v>44</v>
      </c>
      <c r="AI6" s="32" t="s">
        <v>23</v>
      </c>
      <c r="AJ6" s="32" t="s">
        <v>24</v>
      </c>
      <c r="AK6" s="32" t="s">
        <v>45</v>
      </c>
      <c r="AL6" s="41">
        <v>1000.0</v>
      </c>
      <c r="AM6" s="41">
        <v>1000.0</v>
      </c>
      <c r="AN6" s="41">
        <v>100.0</v>
      </c>
      <c r="AO6" s="41">
        <v>1000.0</v>
      </c>
      <c r="AP6" s="32"/>
      <c r="AQ6" s="41">
        <v>10.0</v>
      </c>
      <c r="AR6" s="41">
        <v>10.0</v>
      </c>
      <c r="AS6" s="32" t="s">
        <v>46</v>
      </c>
      <c r="AT6" s="32" t="s">
        <v>25</v>
      </c>
      <c r="AU6" s="32" t="s">
        <v>47</v>
      </c>
      <c r="AV6" s="44">
        <v>10000.0</v>
      </c>
      <c r="AW6" s="44">
        <v>10000.0</v>
      </c>
      <c r="AX6" s="32"/>
      <c r="AY6" s="44">
        <v>1000.0</v>
      </c>
      <c r="AZ6" s="32"/>
      <c r="BA6" s="32" t="s">
        <v>48</v>
      </c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32"/>
      <c r="B7" s="32"/>
      <c r="C7" s="32"/>
      <c r="D7" s="45">
        <v>500.0</v>
      </c>
      <c r="E7" s="46"/>
      <c r="F7" s="46"/>
      <c r="G7" s="46"/>
      <c r="H7" s="46" t="s">
        <v>40</v>
      </c>
      <c r="I7" s="46" t="s">
        <v>41</v>
      </c>
      <c r="J7" s="46" t="s">
        <v>23</v>
      </c>
      <c r="K7" s="46" t="s">
        <v>42</v>
      </c>
      <c r="L7" s="32"/>
      <c r="M7" s="32"/>
      <c r="N7" s="32"/>
      <c r="O7" s="32"/>
      <c r="P7" s="32"/>
      <c r="Q7" s="32"/>
      <c r="R7" s="32"/>
      <c r="S7" s="41">
        <v>0.0</v>
      </c>
      <c r="T7" s="41">
        <v>0.0</v>
      </c>
      <c r="U7" s="32" t="s">
        <v>43</v>
      </c>
      <c r="V7" s="32"/>
      <c r="W7" s="32"/>
      <c r="X7" s="32"/>
      <c r="Y7" s="32"/>
      <c r="Z7" s="32"/>
      <c r="AA7" s="32"/>
      <c r="AB7" s="32"/>
      <c r="AC7" s="32"/>
      <c r="AD7" s="41">
        <v>1.0</v>
      </c>
      <c r="AE7" s="32"/>
      <c r="AF7" s="32"/>
      <c r="AG7" s="32"/>
      <c r="AH7" s="32" t="s">
        <v>44</v>
      </c>
      <c r="AI7" s="32" t="s">
        <v>23</v>
      </c>
      <c r="AJ7" s="32" t="s">
        <v>24</v>
      </c>
      <c r="AK7" s="32" t="s">
        <v>45</v>
      </c>
      <c r="AL7" s="44">
        <v>185200.0</v>
      </c>
      <c r="AM7" s="44">
        <v>185200.0</v>
      </c>
      <c r="AN7" s="41">
        <v>100.0</v>
      </c>
      <c r="AO7" s="44">
        <v>185200.0</v>
      </c>
      <c r="AP7" s="32"/>
      <c r="AQ7" s="41">
        <v>500.0</v>
      </c>
      <c r="AR7" s="41">
        <v>500.0</v>
      </c>
      <c r="AS7" s="32" t="s">
        <v>46</v>
      </c>
      <c r="AT7" s="32" t="s">
        <v>25</v>
      </c>
      <c r="AU7" s="32" t="s">
        <v>47</v>
      </c>
      <c r="AV7" s="44">
        <v>9.26E7</v>
      </c>
      <c r="AW7" s="44">
        <v>9.26E7</v>
      </c>
      <c r="AX7" s="32"/>
      <c r="AY7" s="44">
        <v>185200.0</v>
      </c>
      <c r="AZ7" s="32"/>
      <c r="BA7" s="32" t="s">
        <v>48</v>
      </c>
      <c r="BB7" s="32"/>
      <c r="BC7" s="32"/>
      <c r="BD7" s="32"/>
      <c r="BE7" s="32"/>
      <c r="BF7" s="32"/>
      <c r="BG7" s="32"/>
      <c r="BH7" s="32"/>
      <c r="BI7" s="32"/>
      <c r="BJ7" s="32"/>
      <c r="BK7" s="32"/>
      <c r="BL7" s="32"/>
      <c r="BM7" s="32"/>
      <c r="BN7" s="32"/>
      <c r="BO7" s="32"/>
      <c r="BP7" s="32"/>
      <c r="BQ7" s="32"/>
      <c r="BR7" s="32"/>
      <c r="BS7" s="32"/>
      <c r="BT7" s="32"/>
      <c r="BU7" s="32"/>
      <c r="BV7" s="32"/>
      <c r="BW7" s="32"/>
      <c r="BX7" s="32"/>
      <c r="BY7" s="32"/>
      <c r="BZ7" s="32"/>
      <c r="CA7" s="32"/>
      <c r="CB7" s="32"/>
      <c r="CC7" s="32"/>
      <c r="CD7" s="32"/>
      <c r="CE7" s="32"/>
      <c r="CF7" s="32"/>
      <c r="CG7" s="32"/>
      <c r="CH7" s="32"/>
      <c r="CI7" s="32"/>
      <c r="CJ7" s="32"/>
      <c r="CK7" s="32"/>
      <c r="CL7" s="32"/>
      <c r="CM7" s="32"/>
      <c r="CN7" s="32"/>
      <c r="CO7" s="32"/>
      <c r="CP7" s="32"/>
      <c r="CQ7" s="32"/>
      <c r="CR7" s="32"/>
      <c r="CS7" s="32"/>
      <c r="CT7" s="32"/>
      <c r="CU7" s="32"/>
      <c r="CV7" s="32"/>
      <c r="CW7" s="32"/>
      <c r="CX7" s="32"/>
      <c r="CY7" s="32"/>
      <c r="CZ7" s="32"/>
      <c r="DA7" s="32"/>
      <c r="DB7" s="32"/>
      <c r="DC7" s="32"/>
      <c r="DD7" s="32"/>
      <c r="DE7" s="32"/>
      <c r="DF7" s="32"/>
      <c r="DG7" s="32"/>
      <c r="DH7" s="32"/>
      <c r="DI7" s="32"/>
      <c r="DJ7" s="32"/>
      <c r="DK7" s="32"/>
      <c r="DL7" s="32"/>
      <c r="DM7" s="32"/>
      <c r="DN7" s="32"/>
      <c r="DO7" s="32"/>
      <c r="DP7" s="32"/>
      <c r="DQ7" s="32"/>
      <c r="DR7" s="32"/>
      <c r="DS7" s="32"/>
      <c r="DT7" s="32"/>
      <c r="DU7" s="32"/>
      <c r="DV7" s="32"/>
      <c r="DW7" s="32"/>
      <c r="DX7" s="32"/>
      <c r="DY7" s="32"/>
      <c r="DZ7" s="32"/>
      <c r="EA7" s="32"/>
      <c r="EB7" s="32"/>
      <c r="EC7" s="32"/>
      <c r="ED7" s="32"/>
      <c r="EE7" s="32"/>
      <c r="EF7" s="32"/>
      <c r="EG7" s="32"/>
      <c r="EH7" s="32"/>
      <c r="EI7" s="32"/>
      <c r="EJ7" s="32"/>
      <c r="EK7" s="32"/>
      <c r="EL7" s="32"/>
      <c r="EM7" s="32"/>
      <c r="EN7" s="32"/>
      <c r="EO7" s="32"/>
      <c r="EP7" s="32"/>
      <c r="EQ7" s="32"/>
      <c r="ER7" s="32"/>
      <c r="ES7" s="32"/>
      <c r="ET7" s="32"/>
      <c r="EU7" s="32"/>
      <c r="EV7" s="32"/>
      <c r="EW7" s="32"/>
      <c r="EX7" s="32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17</v>
      </c>
      <c r="D3" s="5" t="s">
        <v>9</v>
      </c>
      <c r="E3" s="23" t="s">
        <v>49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IFERROR(__xludf.DUMMYFUNCTION("""COMPUTED_VALUE"""),"RangeType")</f>
        <v>RangeType</v>
      </c>
      <c r="C5" s="28" t="str">
        <f>IFERROR(__xludf.DUMMYFUNCTION("""COMPUTED_VALUE"""),"From")</f>
        <v>From</v>
      </c>
      <c r="D5" s="28" t="str">
        <f>IFERROR(__xludf.DUMMYFUNCTION("""COMPUTED_VALUE"""),"To")</f>
        <v>To</v>
      </c>
      <c r="E5" s="28" t="str">
        <f>IFERROR(__xludf.DUMMYFUNCTION("""COMPUTED_VALUE"""),"FilterTabName")</f>
        <v>FilterTabName</v>
      </c>
      <c r="F5" s="29" t="str">
        <f>IFERROR(__xludf.DUMMYFUNCTION("""COMPUTED_VALUE"""),"Symbol")</f>
        <v>Symbol</v>
      </c>
      <c r="G5" s="28" t="str">
        <f>IFERROR(__xludf.DUMMYFUNCTION("""COMPUTED_VALUE"""),"Asset")</f>
        <v>Asset</v>
      </c>
      <c r="H5" s="28" t="str">
        <f>IFERROR(__xludf.DUMMYFUNCTION("""COMPUTED_VALUE"""),"Side")</f>
        <v>Side</v>
      </c>
      <c r="I5" s="28" t="str">
        <f>IFERROR(__xludf.DUMMYFUNCTION("""COMPUTED_VALUE"""),"Account")</f>
        <v>Account</v>
      </c>
      <c r="J5" s="28" t="str">
        <f>IFERROR(__xludf.DUMMYFUNCTION("""COMPUTED_VALUE"""),"Broker")</f>
        <v>Broker</v>
      </c>
      <c r="K5" s="28" t="str">
        <f>IFERROR(__xludf.DUMMYFUNCTION("""COMPUTED_VALUE"""),"Currency")</f>
        <v>Currency</v>
      </c>
      <c r="L5" s="28" t="str">
        <f>IFERROR(__xludf.DUMMYFUNCTION("""COMPUTED_VALUE"""),"Exchange")</f>
        <v>Exchange</v>
      </c>
      <c r="M5" s="28" t="str">
        <f>IFERROR(__xludf.DUMMYFUNCTION("""COMPUTED_VALUE"""),"StrategyName")</f>
        <v>StrategyName</v>
      </c>
      <c r="N5" s="28" t="str">
        <f>IFERROR(__xludf.DUMMYFUNCTION("""COMPUTED_VALUE"""),"Underlying")</f>
        <v>Underlying</v>
      </c>
      <c r="O5" s="28" t="str">
        <f>IFERROR(__xludf.DUMMYFUNCTION("""COMPUTED_VALUE"""),"Venue")</f>
        <v>Venue</v>
      </c>
      <c r="P5" s="28" t="str">
        <f>IFERROR(__xludf.DUMMYFUNCTION("""COMPUTED_VALUE"""),"TradingAccount")</f>
        <v>TradingAccount</v>
      </c>
      <c r="Q5" s="28" t="str">
        <f>IFERROR(__xludf.DUMMYFUNCTION("""COMPUTED_VALUE"""),"PreAllocated")</f>
        <v>PreAllocated</v>
      </c>
      <c r="R5" s="28" t="str">
        <f>IFERROR(__xludf.DUMMYFUNCTION("""COMPUTED_VALUE"""),"ManualGroup")</f>
        <v>ManualGroup</v>
      </c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47"/>
      <c r="B6" s="37" t="s">
        <v>50</v>
      </c>
      <c r="C6" s="38"/>
      <c r="D6" s="37"/>
      <c r="E6" s="38"/>
      <c r="F6" s="38"/>
      <c r="G6" s="38"/>
      <c r="H6" s="38"/>
      <c r="I6" s="38"/>
      <c r="J6" s="38"/>
      <c r="K6" s="38"/>
      <c r="L6" s="38"/>
      <c r="M6" s="38"/>
      <c r="N6" s="38"/>
      <c r="O6" s="38"/>
      <c r="P6" s="38"/>
      <c r="Q6" s="38"/>
      <c r="R6" s="38"/>
      <c r="S6" s="38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GetDataAllocation!$4:$4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17</v>
      </c>
      <c r="D3" s="5" t="s">
        <v>9</v>
      </c>
      <c r="E3" s="23" t="s">
        <v>51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 Name")</f>
        <v>Account Name</v>
      </c>
      <c r="C5" s="28" t="str">
        <f>IFERROR(__xludf.DUMMYFUNCTION("""COMPUTED_VALUE"""),"Accrual Basis")</f>
        <v>Accrual Basis</v>
      </c>
      <c r="D5" s="28" t="str">
        <f>IFERROR(__xludf.DUMMYFUNCTION("""COMPUTED_VALUE"""),"Accrued Interest")</f>
        <v>Accrued Interest</v>
      </c>
      <c r="E5" s="28" t="str">
        <f>IFERROR(__xludf.DUMMYFUNCTION("""COMPUTED_VALUE"""),"Allocated Qty")</f>
        <v>Allocated Qty</v>
      </c>
      <c r="F5" s="29" t="str">
        <f>IFERROR(__xludf.DUMMYFUNCTION("""COMPUTED_VALUE"""),"Allocation Scheme Name")</f>
        <v>Allocation Scheme Name</v>
      </c>
      <c r="G5" s="28" t="str">
        <f>IFERROR(__xludf.DUMMYFUNCTION("""COMPUTED_VALUE"""),"Asset Category")</f>
        <v>Asset Category</v>
      </c>
      <c r="H5" s="28" t="str">
        <f>IFERROR(__xludf.DUMMYFUNCTION("""COMPUTED_VALUE"""),"AUEC Fee1")</f>
        <v>AUEC Fee1</v>
      </c>
      <c r="I5" s="28" t="str">
        <f>IFERROR(__xludf.DUMMYFUNCTION("""COMPUTED_VALUE"""),"AUEC Fee2")</f>
        <v>AUEC Fee2</v>
      </c>
      <c r="J5" s="28" t="str">
        <f>IFERROR(__xludf.DUMMYFUNCTION("""COMPUTED_VALUE"""),"AUECID")</f>
        <v>AUECID</v>
      </c>
      <c r="K5" s="28" t="str">
        <f>IFERROR(__xludf.DUMMYFUNCTION("""COMPUTED_VALUE"""),"Avg Price(Base)")</f>
        <v>Avg Price(Base)</v>
      </c>
      <c r="L5" s="28" t="str">
        <f>IFERROR(__xludf.DUMMYFUNCTION("""COMPUTED_VALUE"""),"Avg Price(Local)")</f>
        <v>Avg Price(Local)</v>
      </c>
      <c r="M5" s="28" t="str">
        <f>IFERROR(__xludf.DUMMYFUNCTION("""COMPUTED_VALUE"""),"Bloomberg")</f>
        <v>Bloomberg</v>
      </c>
      <c r="N5" s="28" t="str">
        <f>IFERROR(__xludf.DUMMYFUNCTION("""COMPUTED_VALUE"""),"Bond Type")</f>
        <v>Bond Type</v>
      </c>
      <c r="O5" s="28" t="str">
        <f>IFERROR(__xludf.DUMMYFUNCTION("""COMPUTED_VALUE"""),"Broker")</f>
        <v>Broker</v>
      </c>
      <c r="P5" s="28" t="str">
        <f>IFERROR(__xludf.DUMMYFUNCTION("""COMPUTED_VALUE"""),"Change Comment")</f>
        <v>Change Comment</v>
      </c>
      <c r="Q5" s="28" t="str">
        <f>IFERROR(__xludf.DUMMYFUNCTION("""COMPUTED_VALUE"""),"Change Type")</f>
        <v>Change Type</v>
      </c>
      <c r="R5" s="28" t="str">
        <f>IFERROR(__xludf.DUMMYFUNCTION("""COMPUTED_VALUE"""),"Clearing Broker Fee")</f>
        <v>Clearing Broker Fee</v>
      </c>
      <c r="S5" s="28" t="str">
        <f>IFERROR(__xludf.DUMMYFUNCTION("""COMPUTED_VALUE"""),"Closing Status")</f>
        <v>Closing Status</v>
      </c>
      <c r="T5" s="30" t="str">
        <f>IFERROR(__xludf.DUMMYFUNCTION("""COMPUTED_VALUE"""),"Commission")</f>
        <v>Commission</v>
      </c>
      <c r="U5" s="30" t="str">
        <f>IFERROR(__xludf.DUMMYFUNCTION("""COMPUTED_VALUE"""),"Commission Per Share")</f>
        <v>Commission Per Share</v>
      </c>
      <c r="V5" s="30" t="str">
        <f>IFERROR(__xludf.DUMMYFUNCTION("""COMPUTED_VALUE"""),"Company")</f>
        <v>Company</v>
      </c>
      <c r="W5" s="30" t="str">
        <f>IFERROR(__xludf.DUMMYFUNCTION("""COMPUTED_VALUE"""),"Contract Multiplier")</f>
        <v>Contract Multiplier</v>
      </c>
      <c r="X5" s="30" t="str">
        <f>IFERROR(__xludf.DUMMYFUNCTION("""COMPUTED_VALUE"""),"Coupon Rate")</f>
        <v>Coupon Rate</v>
      </c>
      <c r="Y5" s="30" t="str">
        <f>IFERROR(__xludf.DUMMYFUNCTION("""COMPUTED_VALUE"""),"Cum Qty For Sub Order")</f>
        <v>Cum Qty For Sub Order</v>
      </c>
      <c r="Z5" s="30" t="str">
        <f>IFERROR(__xludf.DUMMYFUNCTION("""COMPUTED_VALUE"""),"Currency")</f>
        <v>Currency</v>
      </c>
      <c r="AA5" s="30" t="str">
        <f>IFERROR(__xludf.DUMMYFUNCTION("""COMPUTED_VALUE"""),"Cusip Symbol")</f>
        <v>Cusip Symbol</v>
      </c>
      <c r="AB5" s="30" t="str">
        <f>IFERROR(__xludf.DUMMYFUNCTION("""COMPUTED_VALUE"""),"Delta")</f>
        <v>Delta</v>
      </c>
      <c r="AC5" s="30" t="str">
        <f>IFERROR(__xludf.DUMMYFUNCTION("""COMPUTED_VALUE"""),"Description")</f>
        <v>Description</v>
      </c>
      <c r="AD5" s="30" t="str">
        <f>IFERROR(__xludf.DUMMYFUNCTION("""COMPUTED_VALUE"""),"Exchange")</f>
        <v>Exchange</v>
      </c>
      <c r="AE5" s="30" t="str">
        <f>IFERROR(__xludf.DUMMYFUNCTION("""COMPUTED_VALUE"""),"Executed Qty")</f>
        <v>Executed Qty</v>
      </c>
      <c r="AF5" s="30" t="str">
        <f>IFERROR(__xludf.DUMMYFUNCTION("""COMPUTED_VALUE"""),"Exceution Time")</f>
        <v>Exceution Time</v>
      </c>
      <c r="AG5" s="30" t="str">
        <f>IFERROR(__xludf.DUMMYFUNCTION("""COMPUTED_VALUE"""),"Expiration Date")</f>
        <v>Expiration Date</v>
      </c>
      <c r="AH5" s="30" t="str">
        <f>IFERROR(__xludf.DUMMYFUNCTION("""COMPUTED_VALUE"""),"FX Conversion Operator")</f>
        <v>FX Conversion Operator</v>
      </c>
      <c r="AI5" s="30" t="str">
        <f>IFERROR(__xludf.DUMMYFUNCTION("""COMPUTED_VALUE"""),"FX Rate")</f>
        <v>FX Rate</v>
      </c>
      <c r="AJ5" s="30" t="str">
        <f>IFERROR(__xludf.DUMMYFUNCTION("""COMPUTED_VALUE"""),"Group Status")</f>
        <v>Group Status</v>
      </c>
      <c r="AK5" s="30" t="str">
        <f>IFERROR(__xludf.DUMMYFUNCTION("""COMPUTED_VALUE"""),"IDCOSymbol")</f>
        <v>IDCOSymbol</v>
      </c>
      <c r="AL5" s="30" t="str">
        <f>IFERROR(__xludf.DUMMYFUNCTION("""COMPUTED_VALUE"""),"Import File Name")</f>
        <v>Import File Name</v>
      </c>
      <c r="AM5" s="30" t="str">
        <f>IFERROR(__xludf.DUMMYFUNCTION("""COMPUTED_VALUE"""),"Internal Comments")</f>
        <v>Internal Comments</v>
      </c>
      <c r="AN5" s="30" t="str">
        <f>IFERROR(__xludf.DUMMYFUNCTION("""COMPUTED_VALUE"""),"IsAnotherTaxlotAttributesUpdated")</f>
        <v>IsAnotherTaxlotAttributesUpdated</v>
      </c>
      <c r="AO5" s="30" t="str">
        <f>IFERROR(__xludf.DUMMYFUNCTION("""COMPUTED_VALUE"""),"ISIN")</f>
        <v>ISIN</v>
      </c>
      <c r="AP5" s="30" t="str">
        <f>IFERROR(__xludf.DUMMYFUNCTION("""COMPUTED_VALUE"""),"IsManual Group")</f>
        <v>IsManual Group</v>
      </c>
      <c r="AQ5" s="30" t="str">
        <f>IFERROR(__xludf.DUMMYFUNCTION("""COMPUTED_VALUE"""),"ISNDF")</f>
        <v>ISNDF</v>
      </c>
      <c r="AR5" s="30" t="str">
        <f>IFERROR(__xludf.DUMMYFUNCTION("""COMPUTED_VALUE"""),"IsPreAllocated")</f>
        <v>IsPreAllocated</v>
      </c>
      <c r="AS5" s="30" t="str">
        <f>IFERROR(__xludf.DUMMYFUNCTION("""COMPUTED_VALUE"""),"M2MProfitLoss")</f>
        <v>M2MProfitLoss</v>
      </c>
      <c r="AT5" s="30" t="str">
        <f>IFERROR(__xludf.DUMMYFUNCTION("""COMPUTED_VALUE"""),"Net Amount( Base)")</f>
        <v>Net Amount( Base)</v>
      </c>
      <c r="AU5" s="30" t="str">
        <f>IFERROR(__xludf.DUMMYFUNCTION("""COMPUTED_VALUE"""),"Net Amount( Local)")</f>
        <v>Net Amount( Local)</v>
      </c>
      <c r="AV5" s="30" t="str">
        <f>IFERROR(__xludf.DUMMYFUNCTION("""COMPUTED_VALUE"""),"Nirvana Process Date")</f>
        <v>Nirvana Process Date</v>
      </c>
      <c r="AW5" s="30" t="str">
        <f>IFERROR(__xludf.DUMMYFUNCTION("""COMPUTED_VALUE"""),"OCC Fee")</f>
        <v>OCC Fee</v>
      </c>
      <c r="AX5" s="30" t="str">
        <f>IFERROR(__xludf.DUMMYFUNCTION("""COMPUTED_VALUE"""),"Option Premium Adjustment")</f>
        <v>Option Premium Adjustment</v>
      </c>
      <c r="AY5" s="30" t="str">
        <f>IFERROR(__xludf.DUMMYFUNCTION("""COMPUTED_VALUE"""),"Order Type")</f>
        <v>Order Type</v>
      </c>
      <c r="AZ5" s="30" t="str">
        <f>IFERROR(__xludf.DUMMYFUNCTION("""COMPUTED_VALUE"""),"ORF Fee")</f>
        <v>ORF Fee</v>
      </c>
      <c r="BA5" s="30" t="str">
        <f>IFERROR(__xludf.DUMMYFUNCTION("""COMPUTED_VALUE"""),"Original Purchase Date")</f>
        <v>Original Purchase Date</v>
      </c>
      <c r="BB5" s="30" t="str">
        <f>IFERROR(__xludf.DUMMYFUNCTION("""COMPUTED_VALUE"""),"OSISSymbol")</f>
        <v>OSISSymbol</v>
      </c>
      <c r="BC5" s="30" t="str">
        <f>IFERROR(__xludf.DUMMYFUNCTION("""COMPUTED_VALUE"""),"Other Broker Fees")</f>
        <v>Other Broker Fees</v>
      </c>
      <c r="BD5" s="30" t="str">
        <f>IFERROR(__xludf.DUMMYFUNCTION("""COMPUTED_VALUE"""),"Prana Msg Type")</f>
        <v>Prana Msg Type</v>
      </c>
      <c r="BE5" s="30" t="str">
        <f>IFERROR(__xludf.DUMMYFUNCTION("""COMPUTED_VALUE"""),"Principal Amount( Base)")</f>
        <v>Principal Amount( Base)</v>
      </c>
      <c r="BF5" s="30" t="str">
        <f>IFERROR(__xludf.DUMMYFUNCTION("""COMPUTED_VALUE"""),"Principal Amount( Local)")</f>
        <v>Principal Amount( Local)</v>
      </c>
      <c r="BG5" s="30" t="str">
        <f>IFERROR(__xludf.DUMMYFUNCTION("""COMPUTED_VALUE"""),"Process Date")</f>
        <v>Process Date</v>
      </c>
      <c r="BH5" s="30" t="str">
        <f>IFERROR(__xludf.DUMMYFUNCTION("""COMPUTED_VALUE"""),"Proxy Symbol")</f>
        <v>Proxy Symbol</v>
      </c>
      <c r="BI5" s="30" t="str">
        <f>IFERROR(__xludf.DUMMYFUNCTION("""COMPUTED_VALUE"""),"Put Or Call")</f>
        <v>Put Or Call</v>
      </c>
      <c r="BJ5" s="30" t="str">
        <f>IFERROR(__xludf.DUMMYFUNCTION("""COMPUTED_VALUE"""),"Quantity")</f>
        <v>Quantity</v>
      </c>
      <c r="BK5" s="30" t="str">
        <f>IFERROR(__xludf.DUMMYFUNCTION("""COMPUTED_VALUE"""),"SEC Fee")</f>
        <v>SEC Fee</v>
      </c>
      <c r="BL5" s="30" t="str">
        <f>IFERROR(__xludf.DUMMYFUNCTION("""COMPUTED_VALUE"""),"Sedol Symbol")</f>
        <v>Sedol Symbol</v>
      </c>
      <c r="BM5" s="30" t="str">
        <f>IFERROR(__xludf.DUMMYFUNCTION("""COMPUTED_VALUE"""),"Settlement Currency")</f>
        <v>Settlement Currency</v>
      </c>
      <c r="BN5" s="30" t="str">
        <f>IFERROR(__xludf.DUMMYFUNCTION("""COMPUTED_VALUE"""),"Settlement Date")</f>
        <v>Settlement Date</v>
      </c>
      <c r="BO5" s="30" t="str">
        <f>IFERROR(__xludf.DUMMYFUNCTION("""COMPUTED_VALUE"""),"Side")</f>
        <v>Side</v>
      </c>
      <c r="BP5" s="30" t="str">
        <f>IFERROR(__xludf.DUMMYFUNCTION("""COMPUTED_VALUE"""),"Soft Commission")</f>
        <v>Soft Commission</v>
      </c>
      <c r="BQ5" s="30" t="str">
        <f>IFERROR(__xludf.DUMMYFUNCTION("""COMPUTED_VALUE"""),"Soft Commission Per Share")</f>
        <v>Soft Commission Per Share</v>
      </c>
      <c r="BR5" s="30" t="str">
        <f>IFERROR(__xludf.DUMMYFUNCTION("""COMPUTED_VALUE"""),"Stamp Duty")</f>
        <v>Stamp Duty</v>
      </c>
      <c r="BS5" s="30" t="str">
        <f>IFERROR(__xludf.DUMMYFUNCTION("""COMPUTED_VALUE"""),"Strategy Name")</f>
        <v>Strategy Name</v>
      </c>
      <c r="BT5" s="30" t="str">
        <f>IFERROR(__xludf.DUMMYFUNCTION("""COMPUTED_VALUE"""),"Symbol")</f>
        <v>Symbol</v>
      </c>
      <c r="BU5" s="30" t="str">
        <f>IFERROR(__xludf.DUMMYFUNCTION("""COMPUTED_VALUE"""),"Tax On Commissions")</f>
        <v>Tax On Commissions</v>
      </c>
      <c r="BV5" s="30" t="str">
        <f>IFERROR(__xludf.DUMMYFUNCTION("""COMPUTED_VALUE"""),"Total Commission")</f>
        <v>Total Commission</v>
      </c>
      <c r="BW5" s="30" t="str">
        <f>IFERROR(__xludf.DUMMYFUNCTION("""COMPUTED_VALUE"""),"Total Commission And Fee")</f>
        <v>Total Commission And Fee</v>
      </c>
      <c r="BX5" s="30" t="str">
        <f>IFERROR(__xludf.DUMMYFUNCTION("""COMPUTED_VALUE"""),"Total Commission Per Share")</f>
        <v>Total Commission Per Share</v>
      </c>
      <c r="BY5" s="30" t="str">
        <f>IFERROR(__xludf.DUMMYFUNCTION("""COMPUTED_VALUE"""),"Trade Attribute 1")</f>
        <v>Trade Attribute 1</v>
      </c>
      <c r="BZ5" s="30" t="str">
        <f>IFERROR(__xludf.DUMMYFUNCTION("""COMPUTED_VALUE"""),"Trade Attribute 2")</f>
        <v>Trade Attribute 2</v>
      </c>
      <c r="CA5" s="30" t="str">
        <f>IFERROR(__xludf.DUMMYFUNCTION("""COMPUTED_VALUE"""),"Trade Attribute 3")</f>
        <v>Trade Attribute 3</v>
      </c>
      <c r="CB5" s="30" t="str">
        <f>IFERROR(__xludf.DUMMYFUNCTION("""COMPUTED_VALUE"""),"Trade Attribute 4")</f>
        <v>Trade Attribute 4</v>
      </c>
      <c r="CC5" s="30" t="str">
        <f>IFERROR(__xludf.DUMMYFUNCTION("""COMPUTED_VALUE"""),"Trade Attribute 5")</f>
        <v>Trade Attribute 5</v>
      </c>
      <c r="CD5" s="30" t="str">
        <f>IFERROR(__xludf.DUMMYFUNCTION("""COMPUTED_VALUE"""),"Trade Attribute 6")</f>
        <v>Trade Attribute 6</v>
      </c>
      <c r="CE5" s="30" t="str">
        <f>IFERROR(__xludf.DUMMYFUNCTION("""COMPUTED_VALUE"""),"Trade Date")</f>
        <v>Trade Date</v>
      </c>
      <c r="CF5" s="30" t="str">
        <f>IFERROR(__xludf.DUMMYFUNCTION("""COMPUTED_VALUE"""),"Trading Account")</f>
        <v>Trading Account</v>
      </c>
      <c r="CG5" s="30" t="str">
        <f>IFERROR(__xludf.DUMMYFUNCTION("""COMPUTED_VALUE"""),"Transaction Levy")</f>
        <v>Transaction Levy</v>
      </c>
      <c r="CH5" s="30" t="str">
        <f>IFERROR(__xludf.DUMMYFUNCTION("""COMPUTED_VALUE"""),"Transaction Source")</f>
        <v>Transaction Source</v>
      </c>
      <c r="CI5" s="30" t="str">
        <f>IFERROR(__xludf.DUMMYFUNCTION("""COMPUTED_VALUE"""),"Transaction Type")</f>
        <v>Transaction Type</v>
      </c>
      <c r="CJ5" s="30" t="str">
        <f>IFERROR(__xludf.DUMMYFUNCTION("""COMPUTED_VALUE"""),"UnAllocatedQty")</f>
        <v>UnAllocatedQty</v>
      </c>
      <c r="CK5" s="30" t="str">
        <f>IFERROR(__xludf.DUMMYFUNCTION("""COMPUTED_VALUE"""),"Underlying")</f>
        <v>Underlying</v>
      </c>
      <c r="CL5" s="30" t="str">
        <f>IFERROR(__xludf.DUMMYFUNCTION("""COMPUTED_VALUE"""),"Underlying Delta")</f>
        <v>Underlying Delta</v>
      </c>
      <c r="CM5" s="30" t="str">
        <f>IFERROR(__xludf.DUMMYFUNCTION("""COMPUTED_VALUE"""),"Underlying Symbol")</f>
        <v>Underlying Symbol</v>
      </c>
      <c r="CN5" s="30" t="str">
        <f>IFERROR(__xludf.DUMMYFUNCTION("""COMPUTED_VALUE"""),"User")</f>
        <v>User</v>
      </c>
      <c r="CO5" s="30" t="str">
        <f>IFERROR(__xludf.DUMMYFUNCTION("""COMPUTED_VALUE"""),"Venue")</f>
        <v>Venue</v>
      </c>
      <c r="CP5" s="30" t="str">
        <f>IFERROR(__xludf.DUMMYFUNCTION("""COMPUTED_VALUE"""),"Closing Method")</f>
        <v>Closing Method</v>
      </c>
      <c r="CQ5" s="30" t="str">
        <f>IFERROR(__xludf.DUMMYFUNCTION("""COMPUTED_VALUE"""),"Closing Date")</f>
        <v>Closing Date</v>
      </c>
      <c r="CR5" s="30" t="str">
        <f>IFERROR(__xludf.DUMMYFUNCTION("""COMPUTED_VALUE"""),"GroupID")</f>
        <v>GroupID</v>
      </c>
      <c r="CS5" s="30" t="str">
        <f>IFERROR(__xludf.DUMMYFUNCTION("""COMPUTED_VALUE"""),"Client")</f>
        <v>Client</v>
      </c>
      <c r="CT5" s="30" t="str">
        <f>IFERROR(__xludf.DUMMYFUNCTION("""COMPUTED_VALUE"""),"Borrow Broker")</f>
        <v>Borrow Broker</v>
      </c>
      <c r="CU5" s="30" t="str">
        <f>IFERROR(__xludf.DUMMYFUNCTION("""COMPUTED_VALUE"""),"ACTIV Symbol")</f>
        <v>ACTIV Symbol</v>
      </c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47"/>
      <c r="B6" s="48" t="s">
        <v>25</v>
      </c>
      <c r="C6" s="38"/>
      <c r="D6" s="49">
        <v>0.0</v>
      </c>
      <c r="E6" s="50">
        <v>1000.0</v>
      </c>
      <c r="F6" s="38"/>
      <c r="G6" s="51" t="s">
        <v>44</v>
      </c>
      <c r="H6" s="49"/>
      <c r="I6" s="49"/>
      <c r="J6" s="38"/>
      <c r="K6" s="49">
        <v>10.0</v>
      </c>
      <c r="L6" s="49">
        <v>10.0</v>
      </c>
      <c r="M6" s="38"/>
      <c r="N6" s="38"/>
      <c r="O6" s="51" t="s">
        <v>46</v>
      </c>
      <c r="P6" s="38"/>
      <c r="Q6" s="49">
        <v>3.0</v>
      </c>
      <c r="R6" s="49">
        <v>0.0</v>
      </c>
      <c r="S6" s="52" t="s">
        <v>52</v>
      </c>
      <c r="T6" s="53">
        <v>0.0</v>
      </c>
      <c r="U6" s="53">
        <v>0.0</v>
      </c>
      <c r="V6" s="32"/>
      <c r="W6" s="32"/>
      <c r="X6" s="32"/>
      <c r="Y6" s="32"/>
      <c r="Z6" s="54" t="s">
        <v>43</v>
      </c>
      <c r="AA6" s="32"/>
      <c r="AB6" s="53">
        <v>1.0</v>
      </c>
      <c r="AC6" s="32"/>
      <c r="AD6" s="54" t="s">
        <v>40</v>
      </c>
      <c r="AE6" s="55">
        <v>1000.0</v>
      </c>
      <c r="AF6" s="32"/>
      <c r="AG6" s="32"/>
      <c r="AH6" s="54" t="s">
        <v>53</v>
      </c>
      <c r="AI6" s="41">
        <v>1.0</v>
      </c>
      <c r="AJ6" s="32"/>
      <c r="AK6" s="32"/>
      <c r="AL6" s="32"/>
      <c r="AM6" s="32"/>
      <c r="AN6" s="54"/>
      <c r="AO6" s="32"/>
      <c r="AP6" s="54"/>
      <c r="AQ6" s="54"/>
      <c r="AR6" s="54"/>
      <c r="AS6" s="32"/>
      <c r="AT6" s="53">
        <v>10014.0056</v>
      </c>
      <c r="AU6" s="53">
        <v>10014.0056</v>
      </c>
      <c r="AV6" s="32"/>
      <c r="AW6" s="53">
        <v>0.0</v>
      </c>
      <c r="AX6" s="53">
        <v>0.0</v>
      </c>
      <c r="AY6" s="32" t="s">
        <v>47</v>
      </c>
      <c r="AZ6" s="53">
        <v>0.0</v>
      </c>
      <c r="BA6" s="32"/>
      <c r="BB6" s="32"/>
      <c r="BC6" s="53">
        <v>0.0</v>
      </c>
      <c r="BD6" s="32"/>
      <c r="BE6" s="53">
        <v>10000.0</v>
      </c>
      <c r="BF6" s="53">
        <v>10000.0</v>
      </c>
      <c r="BG6" s="32"/>
      <c r="BH6" s="32"/>
      <c r="BI6" s="32"/>
      <c r="BJ6" s="55">
        <v>1000.0</v>
      </c>
      <c r="BK6" s="53"/>
      <c r="BL6" s="32"/>
      <c r="BM6" s="54" t="s">
        <v>43</v>
      </c>
      <c r="BN6" s="32"/>
      <c r="BO6" s="54" t="s">
        <v>24</v>
      </c>
      <c r="BP6" s="53">
        <v>0.0</v>
      </c>
      <c r="BQ6" s="53">
        <v>0.0</v>
      </c>
      <c r="BR6" s="32"/>
      <c r="BS6" s="32"/>
      <c r="BT6" s="32" t="s">
        <v>23</v>
      </c>
      <c r="BU6" s="53">
        <v>3.0</v>
      </c>
      <c r="BV6" s="53">
        <v>0.0</v>
      </c>
      <c r="BW6" s="55">
        <v>14.0056</v>
      </c>
      <c r="BX6" s="53">
        <v>0.0</v>
      </c>
      <c r="BY6" s="32"/>
      <c r="BZ6" s="32"/>
      <c r="CA6" s="32"/>
      <c r="CB6" s="32"/>
      <c r="CC6" s="32"/>
      <c r="CD6" s="32"/>
      <c r="CE6" s="32"/>
      <c r="CF6" s="32"/>
      <c r="CG6" s="53"/>
      <c r="CH6" s="54"/>
      <c r="CI6" s="54" t="s">
        <v>24</v>
      </c>
      <c r="CJ6" s="53">
        <v>0.0</v>
      </c>
      <c r="CK6" s="54" t="s">
        <v>42</v>
      </c>
      <c r="CL6" s="32"/>
      <c r="CM6" s="54" t="s">
        <v>23</v>
      </c>
      <c r="CN6" s="32" t="s">
        <v>48</v>
      </c>
      <c r="CO6" s="54" t="s">
        <v>40</v>
      </c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56"/>
      <c r="B7" s="57" t="s">
        <v>25</v>
      </c>
      <c r="C7" s="46"/>
      <c r="D7" s="58">
        <v>0.0</v>
      </c>
      <c r="E7" s="59">
        <v>185200.0</v>
      </c>
      <c r="F7" s="46"/>
      <c r="G7" s="60" t="s">
        <v>44</v>
      </c>
      <c r="H7" s="58"/>
      <c r="I7" s="58"/>
      <c r="J7" s="46"/>
      <c r="K7" s="58">
        <v>500.0</v>
      </c>
      <c r="L7" s="58">
        <v>500.0</v>
      </c>
      <c r="M7" s="56"/>
      <c r="N7" s="46"/>
      <c r="O7" s="60" t="s">
        <v>46</v>
      </c>
      <c r="P7" s="46"/>
      <c r="Q7" s="58">
        <v>3.0</v>
      </c>
      <c r="R7" s="58">
        <v>0.0</v>
      </c>
      <c r="S7" s="57" t="s">
        <v>52</v>
      </c>
      <c r="T7" s="53">
        <v>0.0</v>
      </c>
      <c r="U7" s="53">
        <v>0.0</v>
      </c>
      <c r="V7" s="32"/>
      <c r="W7" s="32"/>
      <c r="X7" s="32"/>
      <c r="Y7" s="32"/>
      <c r="Z7" s="54" t="s">
        <v>43</v>
      </c>
      <c r="AA7" s="32"/>
      <c r="AB7" s="53">
        <v>1.0</v>
      </c>
      <c r="AC7" s="32"/>
      <c r="AD7" s="54" t="s">
        <v>40</v>
      </c>
      <c r="AE7" s="55">
        <v>185200.0</v>
      </c>
      <c r="AF7" s="32"/>
      <c r="AG7" s="32"/>
      <c r="AH7" s="54" t="s">
        <v>53</v>
      </c>
      <c r="AI7" s="41">
        <v>1.0</v>
      </c>
      <c r="AJ7" s="32"/>
      <c r="AK7" s="32"/>
      <c r="AL7" s="32"/>
      <c r="AM7" s="32"/>
      <c r="AN7" s="54"/>
      <c r="AO7" s="32"/>
      <c r="AP7" s="54"/>
      <c r="AQ7" s="54"/>
      <c r="AR7" s="54"/>
      <c r="AS7" s="32"/>
      <c r="AT7" s="53">
        <v>9.2600065856E7</v>
      </c>
      <c r="AU7" s="53">
        <v>9.2600065856E7</v>
      </c>
      <c r="AV7" s="32"/>
      <c r="AW7" s="53">
        <v>0.0</v>
      </c>
      <c r="AX7" s="53">
        <v>0.0</v>
      </c>
      <c r="AY7" s="32" t="s">
        <v>47</v>
      </c>
      <c r="AZ7" s="53">
        <v>0.0</v>
      </c>
      <c r="BA7" s="32"/>
      <c r="BB7" s="32"/>
      <c r="BC7" s="53">
        <v>0.0</v>
      </c>
      <c r="BD7" s="32"/>
      <c r="BE7" s="53">
        <v>9.26E7</v>
      </c>
      <c r="BF7" s="53">
        <v>9.26E7</v>
      </c>
      <c r="BG7" s="32"/>
      <c r="BH7" s="32"/>
      <c r="BI7" s="32"/>
      <c r="BJ7" s="55">
        <v>185200.0</v>
      </c>
      <c r="BK7" s="53"/>
      <c r="BL7" s="32"/>
      <c r="BM7" s="54" t="s">
        <v>43</v>
      </c>
      <c r="BN7" s="32"/>
      <c r="BO7" s="54" t="s">
        <v>24</v>
      </c>
      <c r="BP7" s="53">
        <v>0.0</v>
      </c>
      <c r="BQ7" s="53">
        <v>0.0</v>
      </c>
      <c r="BR7" s="32"/>
      <c r="BS7" s="32"/>
      <c r="BT7" s="32" t="s">
        <v>23</v>
      </c>
      <c r="BU7" s="53">
        <v>3.0</v>
      </c>
      <c r="BV7" s="53">
        <v>0.0</v>
      </c>
      <c r="BW7" s="55">
        <v>65.856</v>
      </c>
      <c r="BX7" s="53">
        <v>0.0</v>
      </c>
      <c r="BY7" s="32"/>
      <c r="BZ7" s="32"/>
      <c r="CA7" s="32"/>
      <c r="CB7" s="32"/>
      <c r="CC7" s="32"/>
      <c r="CD7" s="32"/>
      <c r="CE7" s="32"/>
      <c r="CF7" s="32"/>
      <c r="CG7" s="53"/>
      <c r="CH7" s="61"/>
      <c r="CI7" s="54" t="s">
        <v>24</v>
      </c>
      <c r="CJ7" s="53">
        <v>0.0</v>
      </c>
      <c r="CK7" s="54" t="s">
        <v>42</v>
      </c>
      <c r="CL7" s="32"/>
      <c r="CM7" s="54" t="s">
        <v>23</v>
      </c>
      <c r="CN7" s="32" t="s">
        <v>48</v>
      </c>
      <c r="CO7" s="54" t="s">
        <v>40</v>
      </c>
      <c r="CP7" s="32"/>
      <c r="CQ7" s="32"/>
      <c r="CR7" s="32"/>
      <c r="CS7" s="32"/>
      <c r="CT7" s="32"/>
      <c r="CU7" s="32"/>
      <c r="CV7" s="32"/>
      <c r="CW7" s="32"/>
      <c r="CX7" s="32"/>
      <c r="CY7" s="32"/>
      <c r="CZ7" s="32"/>
      <c r="DA7" s="32"/>
      <c r="DB7" s="32"/>
      <c r="DC7" s="32"/>
      <c r="DD7" s="32"/>
      <c r="DE7" s="32"/>
      <c r="DF7" s="32"/>
      <c r="DG7" s="32"/>
      <c r="DH7" s="32"/>
      <c r="DI7" s="32"/>
      <c r="DJ7" s="32"/>
      <c r="DK7" s="32"/>
      <c r="DL7" s="32"/>
      <c r="DM7" s="32"/>
      <c r="DN7" s="32"/>
      <c r="DO7" s="32"/>
      <c r="DP7" s="32"/>
      <c r="DQ7" s="32"/>
      <c r="DR7" s="32"/>
      <c r="DS7" s="32"/>
      <c r="DT7" s="32"/>
      <c r="DU7" s="32"/>
      <c r="DV7" s="32"/>
      <c r="DW7" s="32"/>
      <c r="DX7" s="32"/>
      <c r="DY7" s="32"/>
      <c r="DZ7" s="32"/>
      <c r="EA7" s="32"/>
      <c r="EB7" s="32"/>
      <c r="EC7" s="32"/>
      <c r="ED7" s="32"/>
      <c r="EE7" s="32"/>
      <c r="EF7" s="32"/>
      <c r="EG7" s="32"/>
      <c r="EH7" s="32"/>
      <c r="EI7" s="32"/>
      <c r="EJ7" s="32"/>
      <c r="EK7" s="32"/>
      <c r="EL7" s="32"/>
      <c r="EM7" s="32"/>
      <c r="EN7" s="32"/>
      <c r="EO7" s="32"/>
      <c r="EP7" s="32"/>
      <c r="EQ7" s="32"/>
      <c r="ER7" s="32"/>
      <c r="ES7" s="32"/>
      <c r="ET7" s="32"/>
      <c r="EU7" s="32"/>
      <c r="EV7" s="32"/>
      <c r="EW7" s="32"/>
      <c r="EX7" s="32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CheckAllocatedGroups!$4:$4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76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54</v>
      </c>
      <c r="D3" s="5" t="s">
        <v>9</v>
      </c>
      <c r="E3" s="23" t="s">
        <v>55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</row>
    <row r="4" ht="15.75" customHeight="1">
      <c r="A4" s="25"/>
      <c r="B4" s="25" t="str">
        <f>IFERROR(__xludf.DUMMYFUNCTION("IF(C3="""","""",Transpose(IMPORTRANGE('_Settings'!$B$3,C3&amp;""!A4:A1000"")))"),"CheckDashboardPM")</f>
        <v>CheckDashboardPM</v>
      </c>
      <c r="C4" s="25" t="str">
        <f>IFERROR(__xludf.DUMMYFUNCTION("""COMPUTED_VALUE"""),"CheckPortfolioManagement")</f>
        <v>CheckPortfolioManagement</v>
      </c>
      <c r="D4" s="25" t="str">
        <f>IFERROR(__xludf.DUMMYFUNCTION("""COMPUTED_VALUE"""),"CheckPMLiveFeed")</f>
        <v>CheckPMLiveFeed</v>
      </c>
      <c r="E4" s="25" t="str">
        <f>IFERROR(__xludf.DUMMYFUNCTION("""COMPUTED_VALUE"""),"OpenPSTFromPM")</f>
        <v>OpenPSTFromPM</v>
      </c>
      <c r="F4" s="25" t="str">
        <f>IFERROR(__xludf.DUMMYFUNCTION("""COMPUTED_VALUE"""),"IncreasePositionFromPM")</f>
        <v>IncreasePositionFromPM</v>
      </c>
      <c r="G4" s="25" t="str">
        <f>IFERROR(__xludf.DUMMYFUNCTION("""COMPUTED_VALUE"""),"ClosePM")</f>
        <v>ClosePM</v>
      </c>
      <c r="H4" s="25" t="str">
        <f>IFERROR(__xludf.DUMMYFUNCTION("""COMPUTED_VALUE"""),"RemoveGroupingFromPM")</f>
        <v>RemoveGroupingFromPM</v>
      </c>
      <c r="I4" s="25" t="str">
        <f>IFERROR(__xludf.DUMMYFUNCTION("""COMPUTED_VALUE"""),"OpenCreateTransactionFromPM")</f>
        <v>OpenCreateTransactionFromPM</v>
      </c>
      <c r="J4" s="25" t="str">
        <f>IFERROR(__xludf.DUMMYFUNCTION("""COMPUTED_VALUE"""),"FilterPM")</f>
        <v>FilterPM</v>
      </c>
      <c r="K4" s="25" t="str">
        <f>IFERROR(__xludf.DUMMYFUNCTION("""COMPUTED_VALUE"""),"GroupRowPM")</f>
        <v>GroupRowPM</v>
      </c>
      <c r="L4" s="25" t="str">
        <f>IFERROR(__xludf.DUMMYFUNCTION("""COMPUTED_VALUE"""),"CheckDashboardWithPM")</f>
        <v>CheckDashboardWithPM</v>
      </c>
      <c r="M4" s="25" t="str">
        <f>IFERROR(__xludf.DUMMYFUNCTION("""COMPUTED_VALUE"""),"RemoveFilterPM")</f>
        <v>RemoveFilterPM</v>
      </c>
      <c r="N4" s="25" t="str">
        <f>IFERROR(__xludf.DUMMYFUNCTION("""COMPUTED_VALUE"""),"CheckSummaryRowsPM")</f>
        <v>CheckSummaryRowsPM</v>
      </c>
      <c r="O4" s="25" t="str">
        <f>IFERROR(__xludf.DUMMYFUNCTION("""COMPUTED_VALUE"""),"OpenPTTFromPM")</f>
        <v>OpenPTTFromPM</v>
      </c>
      <c r="P4" s="26" t="str">
        <f>IFERROR(__xludf.DUMMYFUNCTION("""COMPUTED_VALUE"""),"DeleteCustomViewPM")</f>
        <v>DeleteCustomViewPM</v>
      </c>
      <c r="Q4" s="26" t="str">
        <f>IFERROR(__xludf.DUMMYFUNCTION("""COMPUTED_VALUE"""),"RenameCustomViewPM")</f>
        <v>RenameCustomViewPM</v>
      </c>
      <c r="R4" s="26" t="str">
        <f>IFERROR(__xludf.DUMMYFUNCTION("""COMPUTED_VALUE"""),"AddCustomViewRightClickPM")</f>
        <v>AddCustomViewRightClickPM</v>
      </c>
      <c r="S4" s="26" t="str">
        <f>IFERROR(__xludf.DUMMYFUNCTION("""COMPUTED_VALUE"""),"AddCustomViewPM")</f>
        <v>AddCustomViewPM</v>
      </c>
      <c r="T4" s="26" t="str">
        <f>IFERROR(__xludf.DUMMYFUNCTION("""COMPUTED_VALUE"""),"ExpandCollapsePM")</f>
        <v>ExpandCollapsePM</v>
      </c>
      <c r="U4" s="26" t="str">
        <f>IFERROR(__xludf.DUMMYFUNCTION("""COMPUTED_VALUE"""),"CloseSelectedTaxlotsFromPM")</f>
        <v>CloseSelectedTaxlotsFromPM</v>
      </c>
      <c r="V4" s="26" t="str">
        <f>IFERROR(__xludf.DUMMYFUNCTION("""COMPUTED_VALUE"""),"CloseAccountPositionFromPM")</f>
        <v>CloseAccountPositionFromPM</v>
      </c>
      <c r="W4" s="26" t="str">
        <f>IFERROR(__xludf.DUMMYFUNCTION("""COMPUTED_VALUE"""),"HideSummaryToolFromPM")</f>
        <v>HideSummaryToolFromPM</v>
      </c>
      <c r="X4" s="26" t="str">
        <f>IFERROR(__xludf.DUMMYFUNCTION("""COMPUTED_VALUE"""),"ShowSummaryToolFromPM")</f>
        <v>ShowSummaryToolFromPM</v>
      </c>
      <c r="Y4" s="26" t="str">
        <f>IFERROR(__xludf.DUMMYFUNCTION("""COMPUTED_VALUE"""),"ClosePositionFromPM")</f>
        <v>ClosePositionFromPM</v>
      </c>
      <c r="Z4" s="26" t="str">
        <f>IFERROR(__xludf.DUMMYFUNCTION("""COMPUTED_VALUE"""),"OpenDailyValuationFromPM")</f>
        <v>OpenDailyValuationFromPM</v>
      </c>
      <c r="AA4" s="26" t="str">
        <f>IFERROR(__xludf.DUMMYFUNCTION("""COMPUTED_VALUE"""),"OpenCorporateActionFromPM")</f>
        <v>OpenCorporateActionFromPM</v>
      </c>
      <c r="AB4" s="26" t="str">
        <f>IFERROR(__xludf.DUMMYFUNCTION("""COMPUTED_VALUE"""),"OpenClosingFromPM")</f>
        <v>OpenClosingFromPM</v>
      </c>
      <c r="AC4" s="26" t="str">
        <f>IFERROR(__xludf.DUMMYFUNCTION("""COMPUTED_VALUE"""),"SortAndVerifyPM")</f>
        <v>SortAndVerifyPM</v>
      </c>
      <c r="AD4" s="26" t="str">
        <f>IFERROR(__xludf.DUMMYFUNCTION("""COMPUTED_VALUE"""),"OpenPIFromPM")</f>
        <v>OpenPIFromPM</v>
      </c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IFERROR(__xludf.DUMMYFUNCTION("""COMPUTED_VALUE"""),"Trade Date")</f>
        <v>Trade Date</v>
      </c>
      <c r="C5" s="28" t="str">
        <f>IFERROR(__xludf.DUMMYFUNCTION("""COMPUTED_VALUE"""),"Symbol")</f>
        <v>Symbol</v>
      </c>
      <c r="D5" s="28" t="str">
        <f>IFERROR(__xludf.DUMMYFUNCTION("""COMPUTED_VALUE"""),"Position")</f>
        <v>Position</v>
      </c>
      <c r="E5" s="28" t="str">
        <f>IFERROR(__xludf.DUMMYFUNCTION("""COMPUTED_VALUE"""),"Account")</f>
        <v>Account</v>
      </c>
      <c r="F5" s="29" t="str">
        <f>IFERROR(__xludf.DUMMYFUNCTION("""COMPUTED_VALUE"""),"MasterFund")</f>
        <v>MasterFund</v>
      </c>
      <c r="G5" s="28" t="str">
        <f>IFERROR(__xludf.DUMMYFUNCTION("""COMPUTED_VALUE"""),"Cost Basis")</f>
        <v>Cost Basis</v>
      </c>
      <c r="H5" s="28" t="str">
        <f>IFERROR(__xludf.DUMMYFUNCTION("""COMPUTED_VALUE"""),"Position Side")</f>
        <v>Position Side</v>
      </c>
      <c r="I5" s="28" t="str">
        <f>IFERROR(__xludf.DUMMYFUNCTION("""COMPUTED_VALUE"""),"Market Value (Base)")</f>
        <v>Market Value (Base)</v>
      </c>
      <c r="J5" s="28" t="str">
        <f>IFERROR(__xludf.DUMMYFUNCTION("""COMPUTED_VALUE"""),"% Day P&amp;L (Gross MV)")</f>
        <v>% Day P&amp;L (Gross MV)</v>
      </c>
      <c r="K5" s="28" t="str">
        <f>IFERROR(__xludf.DUMMYFUNCTION("""COMPUTED_VALUE"""),"Net Exposure (Base)")</f>
        <v>Net Exposure (Base)</v>
      </c>
      <c r="L5" s="28" t="str">
        <f>IFERROR(__xludf.DUMMYFUNCTION("""COMPUTED_VALUE"""),"Beta Adj. Gross Exposure (Base)")</f>
        <v>Beta Adj. Gross Exposure (Base)</v>
      </c>
      <c r="M5" s="28" t="str">
        <f>IFERROR(__xludf.DUMMYFUNCTION("""COMPUTED_VALUE"""),"Beta Adj. Gross Exposure (Underlying) (Base)")</f>
        <v>Beta Adj. Gross Exposure (Underlying) (Base)</v>
      </c>
      <c r="N5" s="28" t="str">
        <f>IFERROR(__xludf.DUMMYFUNCTION("""COMPUTED_VALUE"""),"Day P&amp;L (Base)")</f>
        <v>Day P&amp;L (Base)</v>
      </c>
      <c r="O5" s="28" t="str">
        <f>IFERROR(__xludf.DUMMYFUNCTION("""COMPUTED_VALUE"""),"Security Name")</f>
        <v>Security Name</v>
      </c>
      <c r="P5" s="28" t="str">
        <f>IFERROR(__xludf.DUMMYFUNCTION("""COMPUTED_VALUE"""),"Closing Mark")</f>
        <v>Closing Mark</v>
      </c>
      <c r="Q5" s="28" t="str">
        <f>IFERROR(__xludf.DUMMYFUNCTION("""COMPUTED_VALUE"""),"Cost Basis P&amp;L (Base)")</f>
        <v>Cost Basis P&amp;L (Base)</v>
      </c>
      <c r="R5" s="28" t="str">
        <f>IFERROR(__xludf.DUMMYFUNCTION("""COMPUTED_VALUE"""),"Prime Broker")</f>
        <v>Prime Broker</v>
      </c>
      <c r="S5" s="28" t="str">
        <f>IFERROR(__xludf.DUMMYFUNCTION("""COMPUTED_VALUE"""),"Strategy")</f>
        <v>Strategy</v>
      </c>
      <c r="T5" s="30" t="str">
        <f>IFERROR(__xludf.DUMMYFUNCTION("""COMPUTED_VALUE"""),"Asset Class")</f>
        <v>Asset Class</v>
      </c>
      <c r="U5" s="30" t="str">
        <f>IFERROR(__xludf.DUMMYFUNCTION("""COMPUTED_VALUE"""),"Underlying")</f>
        <v>Underlying</v>
      </c>
      <c r="V5" s="30" t="str">
        <f>IFERROR(__xludf.DUMMYFUNCTION("""COMPUTED_VALUE"""),"Exchange")</f>
        <v>Exchange</v>
      </c>
      <c r="W5" s="30" t="str">
        <f>IFERROR(__xludf.DUMMYFUNCTION("""COMPUTED_VALUE"""),"Trade Currency")</f>
        <v>Trade Currency</v>
      </c>
      <c r="X5" s="30" t="str">
        <f>IFERROR(__xludf.DUMMYFUNCTION("""COMPUTED_VALUE"""),"Multiplier")</f>
        <v>Multiplier</v>
      </c>
      <c r="Y5" s="30" t="str">
        <f>IFERROR(__xludf.DUMMYFUNCTION("""COMPUTED_VALUE"""),"FX Rate")</f>
        <v>FX Rate</v>
      </c>
      <c r="Z5" s="30" t="str">
        <f>IFERROR(__xludf.DUMMYFUNCTION("""COMPUTED_VALUE"""),"Vs Currency")</f>
        <v>Vs Currency</v>
      </c>
      <c r="AA5" s="30" t="str">
        <f>IFERROR(__xludf.DUMMYFUNCTION("""COMPUTED_VALUE"""),"Lead Currency")</f>
        <v>Lead Currency</v>
      </c>
      <c r="AB5" s="30" t="str">
        <f>IFERROR(__xludf.DUMMYFUNCTION("""COMPUTED_VALUE"""),"Dividend Yield (%)")</f>
        <v>Dividend Yield (%)</v>
      </c>
      <c r="AC5" s="30" t="str">
        <f>IFERROR(__xludf.DUMMYFUNCTION("""COMPUTED_VALUE"""),"% Change")</f>
        <v>% Change</v>
      </c>
      <c r="AD5" s="30" t="str">
        <f>IFERROR(__xludf.DUMMYFUNCTION("""COMPUTED_VALUE"""),"Net Exposure (Local)")</f>
        <v>Net Exposure (Local)</v>
      </c>
      <c r="AE5" s="30" t="str">
        <f>IFERROR(__xludf.DUMMYFUNCTION("""COMPUTED_VALUE"""),"Exposure (Local)")</f>
        <v>Exposure (Local)</v>
      </c>
      <c r="AF5" s="30" t="str">
        <f>IFERROR(__xludf.DUMMYFUNCTION("""COMPUTED_VALUE"""),"Delta Adj. Position")</f>
        <v>Delta Adj. Position</v>
      </c>
      <c r="AG5" s="30" t="str">
        <f>IFERROR(__xludf.DUMMYFUNCTION("""COMPUTED_VALUE"""),"Exposure (Base)")</f>
        <v>Exposure (Base)</v>
      </c>
      <c r="AH5" s="30" t="str">
        <f>IFERROR(__xludf.DUMMYFUNCTION("""COMPUTED_VALUE"""),"Beta Adj. Exposure (Local)")</f>
        <v>Beta Adj. Exposure (Local)</v>
      </c>
      <c r="AI5" s="30" t="str">
        <f>IFERROR(__xludf.DUMMYFUNCTION("""COMPUTED_VALUE"""),"Beta Adj. Exposure (Base)")</f>
        <v>Beta Adj. Exposure (Base)</v>
      </c>
      <c r="AJ5" s="30" t="str">
        <f>IFERROR(__xludf.DUMMYFUNCTION("""COMPUTED_VALUE"""),"Exposure (BP)(Base)")</f>
        <v>Exposure (BP)(Base)</v>
      </c>
      <c r="AK5" s="30" t="str">
        <f>IFERROR(__xludf.DUMMYFUNCTION("""COMPUTED_VALUE"""),"Day P&amp;L (Local)")</f>
        <v>Day P&amp;L (Local)</v>
      </c>
      <c r="AL5" s="30" t="str">
        <f>IFERROR(__xludf.DUMMYFUNCTION("""COMPUTED_VALUE"""),"Delta")</f>
        <v>Delta</v>
      </c>
      <c r="AM5" s="30" t="str">
        <f>IFERROR(__xludf.DUMMYFUNCTION("""COMPUTED_VALUE"""),"Leveraged Factor")</f>
        <v>Leveraged Factor</v>
      </c>
      <c r="AN5" s="30" t="str">
        <f>IFERROR(__xludf.DUMMYFUNCTION("""COMPUTED_VALUE"""),"Order Side")</f>
        <v>Order Side</v>
      </c>
      <c r="AO5" s="30" t="str">
        <f>IFERROR(__xludf.DUMMYFUNCTION("""COMPUTED_VALUE"""),"Master Strategy")</f>
        <v>Master Strategy</v>
      </c>
      <c r="AP5" s="30" t="str">
        <f>IFERROR(__xludf.DUMMYFUNCTION("""COMPUTED_VALUE"""),"Transaction Side")</f>
        <v>Transaction Side</v>
      </c>
      <c r="AQ5" s="30" t="str">
        <f>IFERROR(__xludf.DUMMYFUNCTION("""COMPUTED_VALUE"""),"Underlying Symbol")</f>
        <v>Underlying Symbol</v>
      </c>
      <c r="AR5" s="30" t="str">
        <f>IFERROR(__xludf.DUMMYFUNCTION("""COMPUTED_VALUE"""),"Underlying Price")</f>
        <v>Underlying Price</v>
      </c>
      <c r="AS5" s="30" t="str">
        <f>IFERROR(__xludf.DUMMYFUNCTION("""COMPUTED_VALUE"""),"Side Multiplier")</f>
        <v>Side Multiplier</v>
      </c>
      <c r="AT5" s="30" t="str">
        <f>IFERROR(__xludf.DUMMYFUNCTION("""COMPUTED_VALUE"""),"Description")</f>
        <v>Description</v>
      </c>
      <c r="AU5" s="30" t="str">
        <f>IFERROR(__xludf.DUMMYFUNCTION("""COMPUTED_VALUE"""),"Internal Comments")</f>
        <v>Internal Comments</v>
      </c>
      <c r="AV5" s="30" t="str">
        <f>IFERROR(__xludf.DUMMYFUNCTION("""COMPUTED_VALUE"""),"FX Rate On Trade Date")</f>
        <v>FX Rate On Trade Date</v>
      </c>
      <c r="AW5" s="30" t="str">
        <f>IFERROR(__xludf.DUMMYFUNCTION("""COMPUTED_VALUE"""),"Cost Basis P&amp;L (Local)")</f>
        <v>Cost Basis P&amp;L (Local)</v>
      </c>
      <c r="AX5" s="30" t="str">
        <f>IFERROR(__xludf.DUMMYFUNCTION("""COMPUTED_VALUE"""),"Day Interest")</f>
        <v>Day Interest</v>
      </c>
      <c r="AY5" s="30" t="str">
        <f>IFERROR(__xludf.DUMMYFUNCTION("""COMPUTED_VALUE"""),"Total Interest")</f>
        <v>Total Interest</v>
      </c>
      <c r="AZ5" s="30" t="str">
        <f>IFERROR(__xludf.DUMMYFUNCTION("""COMPUTED_VALUE"""),"Market Value (Local)")</f>
        <v>Market Value (Local)</v>
      </c>
      <c r="BA5" s="30" t="str">
        <f>IFERROR(__xludf.DUMMYFUNCTION("""COMPUTED_VALUE"""),"% Gain/Loss Day")</f>
        <v>% Gain/Loss Day</v>
      </c>
      <c r="BB5" s="30" t="str">
        <f>IFERROR(__xludf.DUMMYFUNCTION("""COMPUTED_VALUE"""),"Update Time (Last Price)")</f>
        <v>Update Time (Last Price)</v>
      </c>
      <c r="BC5" s="30" t="str">
        <f>IFERROR(__xludf.DUMMYFUNCTION("""COMPUTED_VALUE"""),"Beta")</f>
        <v>Beta</v>
      </c>
      <c r="BD5" s="30" t="str">
        <f>IFERROR(__xludf.DUMMYFUNCTION("""COMPUTED_VALUE"""),"Cash Impact (Local)")</f>
        <v>Cash Impact (Local)</v>
      </c>
      <c r="BE5" s="30" t="str">
        <f>IFERROR(__xludf.DUMMYFUNCTION("""COMPUTED_VALUE"""),"User Asset")</f>
        <v>User Asset</v>
      </c>
      <c r="BF5" s="30" t="str">
        <f>IFERROR(__xludf.DUMMYFUNCTION("""COMPUTED_VALUE"""),"Security Type")</f>
        <v>Security Type</v>
      </c>
      <c r="BG5" s="30" t="str">
        <f>IFERROR(__xludf.DUMMYFUNCTION("""COMPUTED_VALUE"""),"Sector")</f>
        <v>Sector</v>
      </c>
      <c r="BH5" s="30" t="str">
        <f>IFERROR(__xludf.DUMMYFUNCTION("""COMPUTED_VALUE"""),"Sub Sector")</f>
        <v>Sub Sector</v>
      </c>
      <c r="BI5" s="30" t="str">
        <f>IFERROR(__xludf.DUMMYFUNCTION("""COMPUTED_VALUE"""),"Country")</f>
        <v>Country</v>
      </c>
      <c r="BJ5" s="30" t="str">
        <f>IFERROR(__xludf.DUMMYFUNCTION("""COMPUTED_VALUE"""),"Market Cap")</f>
        <v>Market Cap</v>
      </c>
      <c r="BK5" s="30" t="str">
        <f>IFERROR(__xludf.DUMMYFUNCTION("""COMPUTED_VALUE"""),"Shares Outstanding (MM)")</f>
        <v>Shares Outstanding (MM)</v>
      </c>
      <c r="BL5" s="30" t="str">
        <f>IFERROR(__xludf.DUMMYFUNCTION("""COMPUTED_VALUE"""),"Avg Volume 20 Day")</f>
        <v>Avg Volume 20 Day</v>
      </c>
      <c r="BM5" s="30" t="str">
        <f>IFERROR(__xludf.DUMMYFUNCTION("""COMPUTED_VALUE"""),"% Avg Volume (Delta Adj.)")</f>
        <v>% Avg Volume (Delta Adj.)</v>
      </c>
      <c r="BN5" s="30" t="str">
        <f>IFERROR(__xludf.DUMMYFUNCTION("""COMPUTED_VALUE"""),"Ex Dividend Date")</f>
        <v>Ex Dividend Date</v>
      </c>
      <c r="BO5" s="30" t="str">
        <f>IFERROR(__xludf.DUMMYFUNCTION("""COMPUTED_VALUE"""),"Cash Impact (Base)")</f>
        <v>Cash Impact (Base)</v>
      </c>
      <c r="BP5" s="30" t="str">
        <f>IFERROR(__xludf.DUMMYFUNCTION("""COMPUTED_VALUE"""),"Volatility (%)")</f>
        <v>Volatility (%)</v>
      </c>
      <c r="BQ5" s="30" t="str">
        <f>IFERROR(__xludf.DUMMYFUNCTION("""COMPUTED_VALUE"""),"User")</f>
        <v>User</v>
      </c>
      <c r="BR5" s="30" t="str">
        <f>IFERROR(__xludf.DUMMYFUNCTION("""COMPUTED_VALUE"""),"Broker")</f>
        <v>Broker</v>
      </c>
      <c r="BS5" s="30" t="str">
        <f>IFERROR(__xludf.DUMMYFUNCTION("""COMPUTED_VALUE"""),"Earned Dividend (Local)")</f>
        <v>Earned Dividend (Local)</v>
      </c>
      <c r="BT5" s="30" t="str">
        <f>IFERROR(__xludf.DUMMYFUNCTION("""COMPUTED_VALUE"""),"Earned Dividend (Base)")</f>
        <v>Earned Dividend (Base)</v>
      </c>
      <c r="BU5" s="30" t="str">
        <f>IFERROR(__xludf.DUMMYFUNCTION("""COMPUTED_VALUE"""),"Put/Call")</f>
        <v>Put/Call</v>
      </c>
      <c r="BV5" s="30" t="str">
        <f>IFERROR(__xludf.DUMMYFUNCTION("""COMPUTED_VALUE"""),"Expiration Date")</f>
        <v>Expiration Date</v>
      </c>
      <c r="BW5" s="30" t="str">
        <f>IFERROR(__xludf.DUMMYFUNCTION("""COMPUTED_VALUE"""),"Strike Price")</f>
        <v>Strike Price</v>
      </c>
      <c r="BX5" s="30" t="str">
        <f>IFERROR(__xludf.DUMMYFUNCTION("""COMPUTED_VALUE"""),"Gross Exposure (Base)")</f>
        <v>Gross Exposure (Base)</v>
      </c>
      <c r="BY5" s="30" t="str">
        <f>IFERROR(__xludf.DUMMYFUNCTION("""COMPUTED_VALUE"""),"Gross Market Value (Base)")</f>
        <v>Gross Market Value (Base)</v>
      </c>
      <c r="BZ5" s="30" t="str">
        <f>IFERROR(__xludf.DUMMYFUNCTION("""COMPUTED_VALUE"""),"Px Selected Feed (Local)")</f>
        <v>Px Selected Feed (Local)</v>
      </c>
      <c r="CA5" s="30" t="str">
        <f>IFERROR(__xludf.DUMMYFUNCTION("""COMPUTED_VALUE"""),"Px Selected Feed (Base)")</f>
        <v>Px Selected Feed (Base)</v>
      </c>
      <c r="CB5" s="30" t="str">
        <f>IFERROR(__xludf.DUMMYFUNCTION("""COMPUTED_VALUE"""),"Settlement Date")</f>
        <v>Settlement Date</v>
      </c>
      <c r="CC5" s="30" t="str">
        <f>IFERROR(__xludf.DUMMYFUNCTION("""COMPUTED_VALUE"""),"% Avg Volume")</f>
        <v>% Avg Volume</v>
      </c>
      <c r="CD5" s="30" t="str">
        <f>IFERROR(__xludf.DUMMYFUNCTION("""COMPUTED_VALUE"""),"Day P&amp;L (Base)(Price Gain)")</f>
        <v>Day P&amp;L (Base)(Price Gain)</v>
      </c>
      <c r="CE5" s="30" t="str">
        <f>IFERROR(__xludf.DUMMYFUNCTION("""COMPUTED_VALUE"""),"Day P&amp;L (Base)(FX Gain)")</f>
        <v>Day P&amp;L (Base)(FX Gain)</v>
      </c>
      <c r="CF5" s="30" t="str">
        <f>IFERROR(__xludf.DUMMYFUNCTION("""COMPUTED_VALUE"""),"Cost Basis P&amp;L (Base)(FX Gain)")</f>
        <v>Cost Basis P&amp;L (Base)(FX Gain)</v>
      </c>
      <c r="CG5" s="30" t="str">
        <f>IFERROR(__xludf.DUMMYFUNCTION("""COMPUTED_VALUE"""),"Cost Basis P&amp;L (Base)(Price Gain)")</f>
        <v>Cost Basis P&amp;L (Base)(Price Gain)</v>
      </c>
      <c r="CH5" s="30" t="str">
        <f>IFERROR(__xludf.DUMMYFUNCTION("""COMPUTED_VALUE"""),"% Gain/Loss Cost")</f>
        <v>% Gain/Loss Cost</v>
      </c>
      <c r="CI5" s="30" t="str">
        <f>IFERROR(__xludf.DUMMYFUNCTION("""COMPUTED_VALUE"""),"Underlying Value (Options)")</f>
        <v>Underlying Value (Options)</v>
      </c>
      <c r="CJ5" s="30" t="str">
        <f>IFERROR(__xludf.DUMMYFUNCTION("""COMPUTED_VALUE"""),"Avg Volume 20 Day (Underlying Symbol)")</f>
        <v>Avg Volume 20 Day (Underlying Symbol)</v>
      </c>
      <c r="CK5" s="30" t="str">
        <f>IFERROR(__xludf.DUMMYFUNCTION("""COMPUTED_VALUE"""),"IsStaleData")</f>
        <v>IsStaleData</v>
      </c>
      <c r="CL5" s="30" t="str">
        <f>IFERROR(__xludf.DUMMYFUNCTION("""COMPUTED_VALUE"""),"IDCO")</f>
        <v>IDCO</v>
      </c>
      <c r="CM5" s="30" t="str">
        <f>IFERROR(__xludf.DUMMYFUNCTION("""COMPUTED_VALUE"""),"OSI")</f>
        <v>OSI</v>
      </c>
      <c r="CN5" s="30" t="str">
        <f>IFERROR(__xludf.DUMMYFUNCTION("""COMPUTED_VALUE"""),"SEDOL")</f>
        <v>SEDOL</v>
      </c>
      <c r="CO5" s="30" t="str">
        <f>IFERROR(__xludf.DUMMYFUNCTION("""COMPUTED_VALUE"""),"CUSIP")</f>
        <v>CUSIP</v>
      </c>
      <c r="CP5" s="30" t="str">
        <f>IFERROR(__xludf.DUMMYFUNCTION("""COMPUTED_VALUE"""),"Bloomberg")</f>
        <v>Bloomberg</v>
      </c>
      <c r="CQ5" s="30" t="str">
        <f>IFERROR(__xludf.DUMMYFUNCTION("""COMPUTED_VALUE"""),"ISIN")</f>
        <v>ISIN</v>
      </c>
      <c r="CR5" s="30" t="str">
        <f>IFERROR(__xludf.DUMMYFUNCTION("""COMPUTED_VALUE"""),"Start Trade Date")</f>
        <v>Start Trade Date</v>
      </c>
      <c r="CS5" s="30" t="str">
        <f>IFERROR(__xludf.DUMMYFUNCTION("""COMPUTED_VALUE"""),"Cost Basis (Break Even)")</f>
        <v>Cost Basis (Break Even)</v>
      </c>
      <c r="CT5" s="30" t="str">
        <f>IFERROR(__xludf.DUMMYFUNCTION("""COMPUTED_VALUE"""),"Trade Attribute 3")</f>
        <v>Trade Attribute 3</v>
      </c>
      <c r="CU5" s="30" t="str">
        <f>IFERROR(__xludf.DUMMYFUNCTION("""COMPUTED_VALUE"""),"Trade Attribute 4")</f>
        <v>Trade Attribute 4</v>
      </c>
      <c r="CV5" s="30" t="str">
        <f>IFERROR(__xludf.DUMMYFUNCTION("""COMPUTED_VALUE"""),"Trade Attribute 5")</f>
        <v>Trade Attribute 5</v>
      </c>
      <c r="CW5" s="30" t="str">
        <f>IFERROR(__xludf.DUMMYFUNCTION("""COMPUTED_VALUE"""),"Trade Attribute 6")</f>
        <v>Trade Attribute 6</v>
      </c>
      <c r="CX5" s="30" t="str">
        <f>IFERROR(__xludf.DUMMYFUNCTION("""COMPUTED_VALUE"""),"Proxy Symbol")</f>
        <v>Proxy Symbol</v>
      </c>
      <c r="CY5" s="30" t="str">
        <f>IFERROR(__xludf.DUMMYFUNCTION("""COMPUTED_VALUE"""),"Pricing Source")</f>
        <v>Pricing Source</v>
      </c>
      <c r="CZ5" s="30" t="str">
        <f>IFERROR(__xludf.DUMMYFUNCTION("""COMPUTED_VALUE"""),"Delta Source")</f>
        <v>Delta Source</v>
      </c>
      <c r="DA5" s="30" t="str">
        <f>IFERROR(__xludf.DUMMYFUNCTION("""COMPUTED_VALUE"""),"Gross Exposure (Local)")</f>
        <v>Gross Exposure (Local)</v>
      </c>
      <c r="DB5" s="30" t="str">
        <f>IFERROR(__xludf.DUMMYFUNCTION("""COMPUTED_VALUE"""),"% Day P&amp;L (Net MV)")</f>
        <v>% Day P&amp;L (Net MV)</v>
      </c>
      <c r="DC5" s="30" t="str">
        <f>IFERROR(__xludf.DUMMYFUNCTION("""COMPUTED_VALUE"""),"Expiration Month")</f>
        <v>Expiration Month</v>
      </c>
      <c r="DD5" s="30" t="str">
        <f>IFERROR(__xludf.DUMMYFUNCTION("""COMPUTED_VALUE"""),"Delta Adj. Position (LME)")</f>
        <v>Delta Adj. Position (LME)</v>
      </c>
      <c r="DE5" s="30" t="str">
        <f>IFERROR(__xludf.DUMMYFUNCTION("""COMPUTED_VALUE"""),"Premium")</f>
        <v>Premium</v>
      </c>
      <c r="DF5" s="30" t="str">
        <f>IFERROR(__xludf.DUMMYFUNCTION("""COMPUTED_VALUE"""),"Premium $")</f>
        <v>Premium $</v>
      </c>
      <c r="DG5" s="30" t="str">
        <f>IFERROR(__xludf.DUMMYFUNCTION("""COMPUTED_VALUE"""),"Forward Points")</f>
        <v>Forward Points</v>
      </c>
      <c r="DH5" s="30" t="str">
        <f>IFERROR(__xludf.DUMMYFUNCTION("""COMPUTED_VALUE"""),"Closing Mark (Underlying)")</f>
        <v>Closing Mark (Underlying)</v>
      </c>
      <c r="DI5" s="30" t="str">
        <f>IFERROR(__xludf.DUMMYFUNCTION("""COMPUTED_VALUE"""),"% Change (Underlying Price)")</f>
        <v>% Change (Underlying Price)</v>
      </c>
      <c r="DJ5" s="30" t="str">
        <f>IFERROR(__xludf.DUMMYFUNCTION("""COMPUTED_VALUE"""),"Transaction Type")</f>
        <v>Transaction Type</v>
      </c>
      <c r="DK5" s="30" t="str">
        <f>IFERROR(__xludf.DUMMYFUNCTION("""COMPUTED_VALUE"""),"Closing Market Value (Local)")</f>
        <v>Closing Market Value (Local)</v>
      </c>
      <c r="DL5" s="30" t="str">
        <f>IFERROR(__xludf.DUMMYFUNCTION("""COMPUTED_VALUE"""),"Closing Market Value (Base)")</f>
        <v>Closing Market Value (Base)</v>
      </c>
      <c r="DM5" s="30" t="str">
        <f>IFERROR(__xludf.DUMMYFUNCTION("""COMPUTED_VALUE"""),"Closing FX Rate")</f>
        <v>Closing FX Rate</v>
      </c>
      <c r="DN5" s="30" t="str">
        <f>IFERROR(__xludf.DUMMYFUNCTION("""COMPUTED_VALUE"""),"Change In Underlying Price")</f>
        <v>Change In Underlying Price</v>
      </c>
      <c r="DO5" s="30" t="str">
        <f>IFERROR(__xludf.DUMMYFUNCTION("""COMPUTED_VALUE"""),"RIC")</f>
        <v>RIC</v>
      </c>
      <c r="DP5" s="30" t="str">
        <f>IFERROR(__xludf.DUMMYFUNCTION("""COMPUTED_VALUE"""),"Position Side Exposure (Boxed)")</f>
        <v>Position Side Exposure (Boxed)</v>
      </c>
      <c r="DQ5" s="30" t="str">
        <f>IFERROR(__xludf.DUMMYFUNCTION("""COMPUTED_VALUE"""),"Analyst")</f>
        <v>Analyst</v>
      </c>
      <c r="DR5" s="30" t="str">
        <f>IFERROR(__xludf.DUMMYFUNCTION("""COMPUTED_VALUE"""),"Country Of Risk")</f>
        <v>Country Of Risk</v>
      </c>
      <c r="DS5" s="30" t="str">
        <f>IFERROR(__xludf.DUMMYFUNCTION("""COMPUTED_VALUE"""),"Custom UDA1")</f>
        <v>Custom UDA1</v>
      </c>
      <c r="DT5" s="30" t="str">
        <f>IFERROR(__xludf.DUMMYFUNCTION("""COMPUTED_VALUE"""),"Custom UDA2")</f>
        <v>Custom UDA2</v>
      </c>
      <c r="DU5" s="30" t="str">
        <f>IFERROR(__xludf.DUMMYFUNCTION("""COMPUTED_VALUE"""),"Custom UDA3")</f>
        <v>Custom UDA3</v>
      </c>
      <c r="DV5" s="30" t="str">
        <f>IFERROR(__xludf.DUMMYFUNCTION("""COMPUTED_VALUE"""),"Custom UDA4")</f>
        <v>Custom UDA4</v>
      </c>
      <c r="DW5" s="30" t="str">
        <f>IFERROR(__xludf.DUMMYFUNCTION("""COMPUTED_VALUE"""),"Custom UDA5")</f>
        <v>Custom UDA5</v>
      </c>
      <c r="DX5" s="30" t="str">
        <f>IFERROR(__xludf.DUMMYFUNCTION("""COMPUTED_VALUE"""),"Custom UDA6")</f>
        <v>Custom UDA6</v>
      </c>
      <c r="DY5" s="30" t="str">
        <f>IFERROR(__xludf.DUMMYFUNCTION("""COMPUTED_VALUE"""),"Custom UDA7")</f>
        <v>Custom UDA7</v>
      </c>
      <c r="DZ5" s="30" t="str">
        <f>IFERROR(__xludf.DUMMYFUNCTION("""COMPUTED_VALUE"""),"Issuer")</f>
        <v>Issuer</v>
      </c>
      <c r="EA5" s="30" t="str">
        <f>IFERROR(__xludf.DUMMYFUNCTION("""COMPUTED_VALUE"""),"Liquid Tag")</f>
        <v>Liquid Tag</v>
      </c>
      <c r="EB5" s="30" t="str">
        <f>IFERROR(__xludf.DUMMYFUNCTION("""COMPUTED_VALUE"""),"Market Cap UDA")</f>
        <v>Market Cap UDA</v>
      </c>
      <c r="EC5" s="30" t="str">
        <f>IFERROR(__xludf.DUMMYFUNCTION("""COMPUTED_VALUE"""),"Region")</f>
        <v>Region</v>
      </c>
      <c r="ED5" s="30" t="str">
        <f>IFERROR(__xludf.DUMMYFUNCTION("""COMPUTED_VALUE"""),"Risk Currency")</f>
        <v>Risk Currency</v>
      </c>
      <c r="EE5" s="30" t="str">
        <f>IFERROR(__xludf.DUMMYFUNCTION("""COMPUTED_VALUE"""),"UCITS Eligible Tag")</f>
        <v>UCITS Eligible Tag</v>
      </c>
      <c r="EF5" s="30" t="str">
        <f>IFERROR(__xludf.DUMMYFUNCTION("""COMPUTED_VALUE"""),"FX Rate (Display)")</f>
        <v>FX Rate (Display)</v>
      </c>
      <c r="EG5" s="30" t="str">
        <f>IFERROR(__xludf.DUMMYFUNCTION("""COMPUTED_VALUE"""),"% Net Exposure (Base)")</f>
        <v>% Net Exposure (Base)</v>
      </c>
      <c r="EH5" s="30" t="str">
        <f>IFERROR(__xludf.DUMMYFUNCTION("""COMPUTED_VALUE"""),"% Gross Exposure (Base)")</f>
        <v>% Gross Exposure (Base)</v>
      </c>
      <c r="EI5" s="30" t="str">
        <f>IFERROR(__xludf.DUMMYFUNCTION("""COMPUTED_VALUE"""),"% Exposure (Base)")</f>
        <v>% Exposure (Base)</v>
      </c>
      <c r="EJ5" s="30" t="str">
        <f>IFERROR(__xludf.DUMMYFUNCTION("""COMPUTED_VALUE"""),"% Gross Exposure (Underlying) (Base)")</f>
        <v>% Gross Exposure (Underlying) (Base)</v>
      </c>
      <c r="EK5" s="30" t="str">
        <f>IFERROR(__xludf.DUMMYFUNCTION("""COMPUTED_VALUE"""),"% Beta Adj. Gross Exposure (Base)")</f>
        <v>% Beta Adj. Gross Exposure (Base)</v>
      </c>
      <c r="EL5" s="30" t="str">
        <f>IFERROR(__xludf.DUMMYFUNCTION("""COMPUTED_VALUE"""),"Position Side Exposure (Underlying)")</f>
        <v>Position Side Exposure (Underlying)</v>
      </c>
      <c r="EM5" s="30" t="str">
        <f>IFERROR(__xludf.DUMMYFUNCTION("""COMPUTED_VALUE"""),"Gross Exposure (Underlying) (Base)")</f>
        <v>Gross Exposure (Underlying) (Base)</v>
      </c>
      <c r="EN5" s="30" t="str">
        <f>IFERROR(__xludf.DUMMYFUNCTION("""COMPUTED_VALUE"""),"Gross Exposure (Underlying)")</f>
        <v>Gross Exposure (Underlying)</v>
      </c>
      <c r="EO5" s="30" t="str">
        <f>IFERROR(__xludf.DUMMYFUNCTION("""COMPUTED_VALUE"""),"Day Return")</f>
        <v>Day Return</v>
      </c>
      <c r="EP5" s="30" t="str">
        <f>IFERROR(__xludf.DUMMYFUNCTION("""COMPUTED_VALUE"""),"Start of Day NAV")</f>
        <v>Start of Day NAV</v>
      </c>
      <c r="EQ5" s="30" t="str">
        <f>IFERROR(__xludf.DUMMYFUNCTION("""COMPUTED_VALUE"""),"% Gross Market Value (Base)")</f>
        <v>% Gross Market Value (Base)</v>
      </c>
      <c r="ER5" s="30" t="str">
        <f>IFERROR(__xludf.DUMMYFUNCTION("""COMPUTED_VALUE"""),"Beta Adj. Gross Exposure (Underlying) (Local)")</f>
        <v>Beta Adj. Gross Exposure (Underlying) (Local)</v>
      </c>
      <c r="ES5" s="30" t="str">
        <f>IFERROR(__xludf.DUMMYFUNCTION("""COMPUTED_VALUE"""),"NAV")</f>
        <v>NAV</v>
      </c>
      <c r="ET5" s="30" t="str">
        <f>IFERROR(__xludf.DUMMYFUNCTION("""COMPUTED_VALUE"""),"% P&amp;L Contribution")</f>
        <v>% P&amp;L Contribution</v>
      </c>
      <c r="EU5" s="30" t="str">
        <f>IFERROR(__xludf.DUMMYFUNCTION("""COMPUTED_VALUE"""),"% Net Market Value (Base)")</f>
        <v>% Net Market Value (Base)</v>
      </c>
      <c r="EV5" s="30" t="str">
        <f>IFERROR(__xludf.DUMMYFUNCTION("""COMPUTED_VALUE"""),"Position Side Exposure")</f>
        <v>Position Side Exposure</v>
      </c>
      <c r="EW5" s="30" t="str">
        <f>IFERROR(__xludf.DUMMYFUNCTION("""COMPUTED_VALUE"""),"NAV (Touch)")</f>
        <v>NAV (Touch)</v>
      </c>
      <c r="EX5" s="30" t="str">
        <f>IFERROR(__xludf.DUMMYFUNCTION("""COMPUTED_VALUE"""),"IgnorePropertyChangeEvents")</f>
        <v>IgnorePropertyChangeEvents</v>
      </c>
      <c r="EY5" s="30" t="str">
        <f>IFERROR(__xludf.DUMMYFUNCTION("""COMPUTED_VALUE"""),"Trade Attribute 1")</f>
        <v>Trade Attribute 1</v>
      </c>
      <c r="EZ5" s="30" t="str">
        <f>IFERROR(__xludf.DUMMYFUNCTION("""COMPUTED_VALUE"""),"Trade Attribute 2")</f>
        <v>Trade Attribute 2</v>
      </c>
      <c r="FA5" s="30" t="str">
        <f>IFERROR(__xludf.DUMMYFUNCTION("""COMPUTED_VALUE"""),"Client")</f>
        <v>Client</v>
      </c>
      <c r="FB5" s="30" t="str">
        <f>IFERROR(__xludf.DUMMYFUNCTION("""COMPUTED_VALUE"""),"IsCustomViewTab")</f>
        <v>IsCustomViewTab</v>
      </c>
      <c r="FC5" s="30" t="str">
        <f>IFERROR(__xludf.DUMMYFUNCTION("""COMPUTED_VALUE"""),"ITM/OTM")</f>
        <v>ITM/OTM</v>
      </c>
      <c r="FD5" s="30" t="str">
        <f>IFERROR(__xludf.DUMMYFUNCTION("""COMPUTED_VALUE"""),"Days to Expiry")</f>
        <v>Days to Expiry</v>
      </c>
      <c r="FE5" s="30" t="str">
        <f>IFERROR(__xludf.DUMMYFUNCTION("""COMPUTED_VALUE"""),"% of Underlying Price")</f>
        <v>% of Underlying Price</v>
      </c>
      <c r="FF5" s="30" t="str">
        <f>IFERROR(__xludf.DUMMYFUNCTION("""COMPUTED_VALUE"""),"Intrinsic value")</f>
        <v>Intrinsic value</v>
      </c>
      <c r="FG5" s="30" t="str">
        <f>IFERROR(__xludf.DUMMYFUNCTION("""COMPUTED_VALUE"""),"Gain/Loss if Ex./Assign")</f>
        <v>Gain/Loss if Ex./Assign</v>
      </c>
      <c r="FH5" s="30" t="str">
        <f>IFERROR(__xludf.DUMMYFUNCTION("""COMPUTED_VALUE"""),"Day Traded Position")</f>
        <v>Day Traded Position</v>
      </c>
      <c r="FI5" s="30" t="str">
        <f>IFERROR(__xludf.DUMMYFUNCTION("""COMPUTED_VALUE"""),"isRowCountCheck")</f>
        <v>isRowCountCheck</v>
      </c>
      <c r="FJ5" s="30" t="str">
        <f>IFERROR(__xludf.DUMMYFUNCTION("""COMPUTED_VALUE"""),"ACTIV Symbol")</f>
        <v>ACTIV Symbol</v>
      </c>
      <c r="FK5" s="30"/>
      <c r="FL5" s="30"/>
      <c r="FM5" s="30"/>
      <c r="FN5" s="30"/>
      <c r="FO5" s="30"/>
      <c r="FP5" s="30"/>
      <c r="FQ5" s="30"/>
      <c r="FR5" s="30"/>
      <c r="FS5" s="30"/>
      <c r="FT5" s="30"/>
    </row>
    <row r="6" ht="15.75" customHeight="1">
      <c r="A6" s="47"/>
      <c r="B6" s="37"/>
      <c r="C6" s="62" t="s">
        <v>23</v>
      </c>
      <c r="D6" s="63">
        <v>1000.0</v>
      </c>
      <c r="E6" s="62" t="s">
        <v>25</v>
      </c>
      <c r="F6" s="62" t="s">
        <v>21</v>
      </c>
      <c r="G6" s="64">
        <v>10.0</v>
      </c>
      <c r="H6" s="65" t="s">
        <v>56</v>
      </c>
      <c r="I6" s="66">
        <v>500000.0</v>
      </c>
      <c r="J6" s="38"/>
      <c r="K6" s="66"/>
      <c r="L6" s="38"/>
      <c r="M6" s="38"/>
      <c r="N6" s="66">
        <v>490000.0</v>
      </c>
      <c r="O6" s="67" t="s">
        <v>57</v>
      </c>
      <c r="P6" s="68"/>
      <c r="Q6" s="66"/>
      <c r="R6" s="67" t="s">
        <v>58</v>
      </c>
      <c r="S6" s="67" t="s">
        <v>59</v>
      </c>
      <c r="T6" s="61" t="s">
        <v>44</v>
      </c>
      <c r="U6" s="61" t="s">
        <v>42</v>
      </c>
      <c r="V6" s="61" t="s">
        <v>40</v>
      </c>
      <c r="W6" s="61" t="s">
        <v>43</v>
      </c>
      <c r="X6" s="69">
        <v>1.0</v>
      </c>
      <c r="Y6" s="32"/>
      <c r="Z6" s="32"/>
      <c r="AA6" s="69"/>
      <c r="AB6" s="69"/>
      <c r="AC6" s="69"/>
      <c r="AD6" s="70"/>
      <c r="AE6" s="70"/>
      <c r="AF6" s="70"/>
      <c r="AG6" s="70"/>
      <c r="AH6" s="70"/>
      <c r="AI6" s="70"/>
      <c r="AJ6" s="69"/>
      <c r="AK6" s="70"/>
      <c r="AL6" s="69">
        <v>1.0</v>
      </c>
      <c r="AM6" s="32"/>
      <c r="AN6" s="32" t="s">
        <v>24</v>
      </c>
      <c r="AO6" s="32"/>
      <c r="AP6" s="61" t="s">
        <v>56</v>
      </c>
      <c r="AQ6" s="61" t="s">
        <v>23</v>
      </c>
      <c r="AR6" s="69">
        <v>500.0</v>
      </c>
      <c r="AS6" s="69">
        <v>1.0</v>
      </c>
      <c r="AT6" s="61"/>
      <c r="AU6" s="61"/>
      <c r="AV6" s="69"/>
      <c r="AW6" s="70"/>
      <c r="AX6" s="69"/>
      <c r="AY6" s="69"/>
      <c r="AZ6" s="70"/>
      <c r="BA6" s="70"/>
      <c r="BB6" s="32"/>
      <c r="BC6" s="69">
        <v>1.0</v>
      </c>
      <c r="BD6" s="70"/>
      <c r="BE6" s="61" t="s">
        <v>44</v>
      </c>
      <c r="BF6" s="61" t="s">
        <v>60</v>
      </c>
      <c r="BG6" s="61" t="s">
        <v>61</v>
      </c>
      <c r="BH6" s="61" t="s">
        <v>62</v>
      </c>
      <c r="BI6" s="69"/>
      <c r="BJ6" s="70">
        <v>5.0E8</v>
      </c>
      <c r="BK6" s="70"/>
      <c r="BL6" s="69"/>
      <c r="BM6" s="69"/>
      <c r="BN6" s="32"/>
      <c r="BO6" s="70"/>
      <c r="BP6" s="69">
        <v>0.0</v>
      </c>
      <c r="BQ6" s="61" t="s">
        <v>48</v>
      </c>
      <c r="BR6" s="61" t="s">
        <v>46</v>
      </c>
      <c r="BS6" s="69"/>
      <c r="BT6" s="69"/>
      <c r="BU6" s="32"/>
      <c r="BV6" s="32"/>
      <c r="BW6" s="69"/>
      <c r="BX6" s="70"/>
      <c r="BY6" s="70"/>
      <c r="BZ6" s="70"/>
      <c r="CA6" s="69"/>
      <c r="CB6" s="69"/>
      <c r="CC6" s="32"/>
      <c r="CD6" s="70">
        <v>490000.0</v>
      </c>
      <c r="CE6" s="69"/>
      <c r="CF6" s="69"/>
      <c r="CG6" s="70">
        <v>490000.0</v>
      </c>
      <c r="CH6" s="70">
        <v>4900.0</v>
      </c>
      <c r="CI6" s="69">
        <v>0.0</v>
      </c>
      <c r="CJ6" s="32"/>
      <c r="CK6" s="71" t="b">
        <v>0</v>
      </c>
      <c r="CL6" s="32"/>
      <c r="CM6" s="32"/>
      <c r="CN6" s="61" t="s">
        <v>23</v>
      </c>
      <c r="CO6" s="61" t="s">
        <v>23</v>
      </c>
      <c r="CP6" s="61" t="s">
        <v>63</v>
      </c>
      <c r="CQ6" s="32"/>
      <c r="CR6" s="32"/>
      <c r="CS6" s="69">
        <v>10.0</v>
      </c>
      <c r="CT6" s="32"/>
      <c r="CU6" s="32"/>
      <c r="CV6" s="32"/>
      <c r="CW6" s="32"/>
      <c r="CX6" s="32"/>
      <c r="CY6" s="61" t="s">
        <v>64</v>
      </c>
      <c r="CZ6" s="61" t="s">
        <v>65</v>
      </c>
      <c r="DA6" s="70">
        <v>500000.0</v>
      </c>
      <c r="DB6" s="32"/>
      <c r="DC6" s="32"/>
      <c r="DD6" s="70"/>
      <c r="DE6" s="69"/>
      <c r="DF6" s="69"/>
      <c r="DG6" s="72"/>
      <c r="DH6" s="68"/>
      <c r="DI6" s="69"/>
      <c r="DJ6" s="61"/>
      <c r="DK6" s="69"/>
      <c r="DL6" s="69"/>
      <c r="DM6" s="69"/>
      <c r="DN6" s="69"/>
      <c r="DO6" s="32"/>
      <c r="DP6" s="73"/>
      <c r="DQ6" s="61"/>
      <c r="DR6" s="61"/>
      <c r="DS6" s="61"/>
      <c r="DT6" s="61"/>
      <c r="DU6" s="61"/>
      <c r="DV6" s="61"/>
      <c r="DW6" s="61"/>
      <c r="DX6" s="61"/>
      <c r="DY6" s="61"/>
      <c r="DZ6" s="61"/>
      <c r="EA6" s="61"/>
      <c r="EB6" s="61"/>
      <c r="EC6" s="61"/>
      <c r="ED6" s="61"/>
      <c r="EE6" s="61"/>
      <c r="EF6" s="69"/>
      <c r="EG6" s="69"/>
      <c r="EH6" s="69"/>
      <c r="EI6" s="69"/>
      <c r="EJ6" s="69"/>
      <c r="EK6" s="69"/>
      <c r="EL6" s="73"/>
      <c r="EM6" s="70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  <c r="EY6" s="32"/>
      <c r="EZ6" s="32"/>
      <c r="FA6" s="32"/>
      <c r="FB6" s="32"/>
      <c r="FC6" s="32"/>
      <c r="FD6" s="32"/>
      <c r="FE6" s="32"/>
      <c r="FF6" s="32"/>
      <c r="FG6" s="32"/>
      <c r="FH6" s="32"/>
      <c r="FI6" s="32"/>
      <c r="FJ6" s="32"/>
      <c r="FK6" s="32"/>
      <c r="FL6" s="32"/>
      <c r="FM6" s="32"/>
      <c r="FN6" s="32"/>
      <c r="FO6" s="32"/>
      <c r="FP6" s="32"/>
      <c r="FQ6" s="32"/>
    </row>
    <row r="7" ht="15.75" customHeight="1">
      <c r="A7" s="32"/>
      <c r="B7" s="32"/>
      <c r="C7" s="62" t="s">
        <v>23</v>
      </c>
      <c r="D7" s="63">
        <v>185200.0</v>
      </c>
      <c r="E7" s="62" t="s">
        <v>25</v>
      </c>
      <c r="F7" s="62" t="s">
        <v>21</v>
      </c>
      <c r="G7" s="64">
        <v>500.0</v>
      </c>
      <c r="H7" s="73" t="s">
        <v>56</v>
      </c>
      <c r="I7" s="70">
        <v>9.26E7</v>
      </c>
      <c r="J7" s="32"/>
      <c r="K7" s="70"/>
      <c r="L7" s="32"/>
      <c r="M7" s="32"/>
      <c r="N7" s="70">
        <v>0.0</v>
      </c>
      <c r="O7" s="61" t="s">
        <v>57</v>
      </c>
      <c r="P7" s="69"/>
      <c r="Q7" s="70"/>
      <c r="R7" s="61" t="s">
        <v>58</v>
      </c>
      <c r="S7" s="61" t="s">
        <v>59</v>
      </c>
      <c r="T7" s="61" t="s">
        <v>44</v>
      </c>
      <c r="U7" s="61" t="s">
        <v>42</v>
      </c>
      <c r="V7" s="61" t="s">
        <v>40</v>
      </c>
      <c r="W7" s="61" t="s">
        <v>43</v>
      </c>
      <c r="X7" s="69">
        <v>1.0</v>
      </c>
      <c r="Y7" s="32"/>
      <c r="Z7" s="32"/>
      <c r="AA7" s="69"/>
      <c r="AB7" s="69"/>
      <c r="AC7" s="69"/>
      <c r="AD7" s="70"/>
      <c r="AE7" s="70"/>
      <c r="AF7" s="70"/>
      <c r="AG7" s="70"/>
      <c r="AH7" s="70"/>
      <c r="AI7" s="70"/>
      <c r="AJ7" s="70"/>
      <c r="AK7" s="70"/>
      <c r="AL7" s="69">
        <v>1.0</v>
      </c>
      <c r="AM7" s="32"/>
      <c r="AN7" s="32" t="s">
        <v>24</v>
      </c>
      <c r="AO7" s="32"/>
      <c r="AP7" s="61" t="s">
        <v>56</v>
      </c>
      <c r="AQ7" s="61" t="s">
        <v>23</v>
      </c>
      <c r="AR7" s="69">
        <v>500.0</v>
      </c>
      <c r="AS7" s="69">
        <v>1.0</v>
      </c>
      <c r="AT7" s="32"/>
      <c r="AU7" s="32"/>
      <c r="AV7" s="69"/>
      <c r="AW7" s="70"/>
      <c r="AX7" s="69"/>
      <c r="AY7" s="69"/>
      <c r="AZ7" s="70"/>
      <c r="BA7" s="70"/>
      <c r="BB7" s="32"/>
      <c r="BC7" s="69">
        <v>1.0</v>
      </c>
      <c r="BD7" s="70"/>
      <c r="BE7" s="61" t="s">
        <v>44</v>
      </c>
      <c r="BF7" s="61" t="s">
        <v>60</v>
      </c>
      <c r="BG7" s="61" t="s">
        <v>61</v>
      </c>
      <c r="BH7" s="61" t="s">
        <v>62</v>
      </c>
      <c r="BI7" s="69"/>
      <c r="BJ7" s="70">
        <v>5.0E8</v>
      </c>
      <c r="BK7" s="70"/>
      <c r="BL7" s="69"/>
      <c r="BM7" s="69"/>
      <c r="BN7" s="32"/>
      <c r="BO7" s="70"/>
      <c r="BP7" s="69">
        <v>0.0</v>
      </c>
      <c r="BQ7" s="61" t="s">
        <v>48</v>
      </c>
      <c r="BR7" s="61" t="s">
        <v>46</v>
      </c>
      <c r="BS7" s="69"/>
      <c r="BT7" s="69"/>
      <c r="BU7" s="32"/>
      <c r="BV7" s="32"/>
      <c r="BW7" s="69"/>
      <c r="BX7" s="70"/>
      <c r="BY7" s="70"/>
      <c r="BZ7" s="70"/>
      <c r="CA7" s="69"/>
      <c r="CB7" s="69"/>
      <c r="CC7" s="32"/>
      <c r="CD7" s="70">
        <v>0.0</v>
      </c>
      <c r="CE7" s="69"/>
      <c r="CF7" s="69"/>
      <c r="CG7" s="70">
        <v>0.0</v>
      </c>
      <c r="CH7" s="70">
        <v>0.0</v>
      </c>
      <c r="CI7" s="69">
        <v>0.0</v>
      </c>
      <c r="CJ7" s="32"/>
      <c r="CK7" s="71" t="b">
        <v>0</v>
      </c>
      <c r="CL7" s="32"/>
      <c r="CM7" s="32"/>
      <c r="CN7" s="61" t="s">
        <v>23</v>
      </c>
      <c r="CO7" s="61" t="s">
        <v>23</v>
      </c>
      <c r="CP7" s="61" t="s">
        <v>63</v>
      </c>
      <c r="CQ7" s="32"/>
      <c r="CR7" s="32"/>
      <c r="CS7" s="69">
        <v>500.0</v>
      </c>
      <c r="CT7" s="32"/>
      <c r="CU7" s="32"/>
      <c r="CV7" s="32"/>
      <c r="CW7" s="32"/>
      <c r="CX7" s="32"/>
      <c r="CY7" s="61" t="s">
        <v>64</v>
      </c>
      <c r="CZ7" s="61" t="s">
        <v>65</v>
      </c>
      <c r="DA7" s="70">
        <v>9.26E7</v>
      </c>
      <c r="DB7" s="32"/>
      <c r="DC7" s="32"/>
      <c r="DD7" s="70"/>
      <c r="DE7" s="69"/>
      <c r="DF7" s="69"/>
      <c r="DG7" s="69"/>
      <c r="DH7" s="69"/>
      <c r="DI7" s="69"/>
      <c r="DJ7" s="61"/>
      <c r="DK7" s="69"/>
      <c r="DL7" s="69"/>
      <c r="DM7" s="69"/>
      <c r="DN7" s="69"/>
      <c r="DO7" s="32"/>
      <c r="DP7" s="73"/>
      <c r="DQ7" s="61"/>
      <c r="DR7" s="61"/>
      <c r="DS7" s="61"/>
      <c r="DT7" s="61"/>
      <c r="DU7" s="61"/>
      <c r="DV7" s="61"/>
      <c r="DW7" s="61"/>
      <c r="DX7" s="61"/>
      <c r="DY7" s="61"/>
      <c r="DZ7" s="61"/>
      <c r="EA7" s="61"/>
      <c r="EB7" s="61"/>
      <c r="EC7" s="61"/>
      <c r="ED7" s="61"/>
      <c r="EE7" s="61"/>
      <c r="EF7" s="69"/>
      <c r="EG7" s="69"/>
      <c r="EH7" s="69"/>
      <c r="EI7" s="69"/>
      <c r="EJ7" s="69"/>
      <c r="EK7" s="69"/>
      <c r="EL7" s="73"/>
      <c r="EM7" s="70"/>
      <c r="EN7" s="32"/>
      <c r="EO7" s="32"/>
      <c r="EP7" s="32"/>
      <c r="EQ7" s="32"/>
      <c r="ER7" s="32"/>
      <c r="ES7" s="32"/>
      <c r="ET7" s="32"/>
      <c r="EU7" s="32"/>
      <c r="EV7" s="32"/>
      <c r="EW7" s="32"/>
      <c r="EX7" s="32"/>
      <c r="EY7" s="32"/>
      <c r="EZ7" s="32"/>
      <c r="FA7" s="32"/>
      <c r="FB7" s="32"/>
      <c r="FC7" s="32"/>
      <c r="FD7" s="32"/>
      <c r="FE7" s="32"/>
      <c r="FF7" s="32"/>
      <c r="FG7" s="32"/>
      <c r="FH7" s="32"/>
      <c r="FI7" s="32"/>
      <c r="FJ7" s="32"/>
      <c r="FK7" s="32"/>
      <c r="FL7" s="32"/>
      <c r="FM7" s="32"/>
      <c r="FN7" s="32"/>
      <c r="FO7" s="32"/>
      <c r="FP7" s="32"/>
      <c r="FQ7" s="32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CheckPortfolioManagement2!$4:$4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