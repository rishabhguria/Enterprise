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4" activeTab="8"/>
  </bookViews>
  <sheets>
    <sheet name="_Modules" sheetId="1" r:id="rId1"/>
    <sheet name="_Settings" sheetId="2" r:id="rId2"/>
    <sheet name="_MasterData" sheetId="3" r:id="rId3"/>
    <sheet name="ShowMasterFundOnTT" sheetId="4" r:id="rId4"/>
    <sheet name="CreateDoneAwayOrder" sheetId="5" r:id="rId5"/>
    <sheet name="VerifyOrder" sheetId="6" r:id="rId6"/>
    <sheet name="GetDataAllocation" sheetId="7" r:id="rId7"/>
    <sheet name="Check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CE10" i="8" l="1"/>
  <c r="CE9" i="8"/>
  <c r="CE8" i="8"/>
  <c r="CE7" i="8"/>
  <c r="CE6" i="8"/>
  <c r="N10" i="5"/>
  <c r="N9" i="5"/>
  <c r="N8" i="5"/>
  <c r="N7" i="5"/>
  <c r="N6" i="5"/>
  <c r="FK5" i="9"/>
  <c r="FC5" i="9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FI4" i="9"/>
  <c r="FA4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H4" i="9"/>
  <c r="EZ4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G4" i="9"/>
  <c r="EY4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FG5" i="9"/>
  <c r="FF5" i="9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FE5" i="9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FK4" i="9"/>
  <c r="FC4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Y5" i="9"/>
  <c r="DS5" i="9"/>
  <c r="CM5" i="9"/>
  <c r="BG5" i="9"/>
  <c r="AA5" i="9"/>
  <c r="FF4" i="9"/>
  <c r="DZ4" i="9"/>
  <c r="CT4" i="9"/>
  <c r="BN4" i="9"/>
  <c r="AH4" i="9"/>
  <c r="B4" i="9"/>
  <c r="EU5" i="8"/>
  <c r="EL5" i="8"/>
  <c r="EC5" i="8"/>
  <c r="DT5" i="8"/>
  <c r="DK5" i="8"/>
  <c r="DA5" i="8"/>
  <c r="CR5" i="8"/>
  <c r="CI5" i="8"/>
  <c r="BZ5" i="8"/>
  <c r="BQ5" i="8"/>
  <c r="BH5" i="8"/>
  <c r="AY5" i="8"/>
  <c r="AO5" i="8"/>
  <c r="AF5" i="8"/>
  <c r="W5" i="8"/>
  <c r="N5" i="8"/>
  <c r="E5" i="8"/>
  <c r="ET4" i="8"/>
  <c r="EK4" i="8"/>
  <c r="EA4" i="8"/>
  <c r="DR4" i="8"/>
  <c r="DI4" i="8"/>
  <c r="CZ4" i="8"/>
  <c r="CQ4" i="8"/>
  <c r="CH4" i="8"/>
  <c r="BY4" i="8"/>
  <c r="BO4" i="8"/>
  <c r="BF4" i="8"/>
  <c r="AW4" i="8"/>
  <c r="AN4" i="8"/>
  <c r="AE4" i="8"/>
  <c r="V4" i="8"/>
  <c r="M4" i="8"/>
  <c r="C4" i="8"/>
  <c r="ER5" i="7"/>
  <c r="EI5" i="7"/>
  <c r="DZ5" i="7"/>
  <c r="DQ5" i="7"/>
  <c r="DH5" i="7"/>
  <c r="CY5" i="7"/>
  <c r="CO5" i="7"/>
  <c r="CF5" i="7"/>
  <c r="BW5" i="7"/>
  <c r="BN5" i="7"/>
  <c r="BE5" i="7"/>
  <c r="AV5" i="7"/>
  <c r="AM5" i="7"/>
  <c r="AC5" i="7"/>
  <c r="T5" i="7"/>
  <c r="K5" i="7"/>
  <c r="B5" i="7"/>
  <c r="EQ4" i="7"/>
  <c r="EH4" i="7"/>
  <c r="DY4" i="7"/>
  <c r="DO4" i="7"/>
  <c r="DF4" i="7"/>
  <c r="CW4" i="7"/>
  <c r="CN4" i="7"/>
  <c r="CE4" i="7"/>
  <c r="BV4" i="7"/>
  <c r="BM4" i="7"/>
  <c r="BC4" i="7"/>
  <c r="AT4" i="7"/>
  <c r="AK4" i="7"/>
  <c r="AB4" i="7"/>
  <c r="S4" i="7"/>
  <c r="J4" i="7"/>
  <c r="EO5" i="6"/>
  <c r="EF5" i="6"/>
  <c r="DW5" i="6"/>
  <c r="DN5" i="6"/>
  <c r="DE5" i="6"/>
  <c r="CV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R5" i="5"/>
  <c r="EJ5" i="5"/>
  <c r="EB5" i="5"/>
  <c r="DT5" i="5"/>
  <c r="DL5" i="5"/>
  <c r="DD5" i="5"/>
  <c r="CV5" i="5"/>
  <c r="EW5" i="9"/>
  <c r="DQ5" i="9"/>
  <c r="CK5" i="9"/>
  <c r="BE5" i="9"/>
  <c r="Y5" i="9"/>
  <c r="FD4" i="9"/>
  <c r="DX4" i="9"/>
  <c r="CR4" i="9"/>
  <c r="BL4" i="9"/>
  <c r="AF4" i="9"/>
  <c r="ET5" i="8"/>
  <c r="EK5" i="8"/>
  <c r="EB5" i="8"/>
  <c r="DS5" i="8"/>
  <c r="DI5" i="8"/>
  <c r="CZ5" i="8"/>
  <c r="CQ5" i="8"/>
  <c r="CH5" i="8"/>
  <c r="BY5" i="8"/>
  <c r="BP5" i="8"/>
  <c r="BG5" i="8"/>
  <c r="AW5" i="8"/>
  <c r="AN5" i="8"/>
  <c r="AE5" i="8"/>
  <c r="V5" i="8"/>
  <c r="M5" i="8"/>
  <c r="D5" i="8"/>
  <c r="ES4" i="8"/>
  <c r="EI4" i="8"/>
  <c r="DZ4" i="8"/>
  <c r="DQ4" i="8"/>
  <c r="DH4" i="8"/>
  <c r="CY4" i="8"/>
  <c r="CP4" i="8"/>
  <c r="CG4" i="8"/>
  <c r="BW4" i="8"/>
  <c r="BN4" i="8"/>
  <c r="BE4" i="8"/>
  <c r="AV4" i="8"/>
  <c r="AM4" i="8"/>
  <c r="AD4" i="8"/>
  <c r="U4" i="8"/>
  <c r="K4" i="8"/>
  <c r="B4" i="8"/>
  <c r="EQ5" i="7"/>
  <c r="EH5" i="7"/>
  <c r="DY5" i="7"/>
  <c r="DP5" i="7"/>
  <c r="DG5" i="7"/>
  <c r="CW5" i="7"/>
  <c r="CN5" i="7"/>
  <c r="CE5" i="7"/>
  <c r="BV5" i="7"/>
  <c r="BM5" i="7"/>
  <c r="BD5" i="7"/>
  <c r="AU5" i="7"/>
  <c r="AK5" i="7"/>
  <c r="AB5" i="7"/>
  <c r="S5" i="7"/>
  <c r="J5" i="7"/>
  <c r="A5" i="7"/>
  <c r="EP4" i="7"/>
  <c r="EG4" i="7"/>
  <c r="DW4" i="7"/>
  <c r="DN4" i="7"/>
  <c r="DE4" i="7"/>
  <c r="CV4" i="7"/>
  <c r="CM4" i="7"/>
  <c r="CD4" i="7"/>
  <c r="BU4" i="7"/>
  <c r="BK4" i="7"/>
  <c r="BB4" i="7"/>
  <c r="AS4" i="7"/>
  <c r="AJ4" i="7"/>
  <c r="AA4" i="7"/>
  <c r="R4" i="7"/>
  <c r="I4" i="7"/>
  <c r="EW5" i="6"/>
  <c r="EN5" i="6"/>
  <c r="EE5" i="6"/>
  <c r="DV5" i="6"/>
  <c r="DM5" i="6"/>
  <c r="DD5" i="6"/>
  <c r="CU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Q5" i="5"/>
  <c r="EI5" i="5"/>
  <c r="EA5" i="5"/>
  <c r="DS5" i="5"/>
  <c r="DK5" i="5"/>
  <c r="DC5" i="5"/>
  <c r="CU5" i="5"/>
  <c r="CM5" i="5"/>
  <c r="CE5" i="5"/>
  <c r="BW5" i="5"/>
  <c r="BO5" i="5"/>
  <c r="BG5" i="5"/>
  <c r="EQ5" i="9"/>
  <c r="DK5" i="9"/>
  <c r="CE5" i="9"/>
  <c r="AY5" i="9"/>
  <c r="S5" i="9"/>
  <c r="EX4" i="9"/>
  <c r="DR4" i="9"/>
  <c r="CL4" i="9"/>
  <c r="BF4" i="9"/>
  <c r="Z4" i="9"/>
  <c r="ES5" i="8"/>
  <c r="EJ5" i="8"/>
  <c r="EA5" i="8"/>
  <c r="DQ5" i="8"/>
  <c r="DH5" i="8"/>
  <c r="CY5" i="8"/>
  <c r="CP5" i="8"/>
  <c r="CG5" i="8"/>
  <c r="BX5" i="8"/>
  <c r="BO5" i="8"/>
  <c r="BE5" i="8"/>
  <c r="AV5" i="8"/>
  <c r="AM5" i="8"/>
  <c r="AD5" i="8"/>
  <c r="U5" i="8"/>
  <c r="L5" i="8"/>
  <c r="C5" i="8"/>
  <c r="EQ4" i="8"/>
  <c r="EH4" i="8"/>
  <c r="DY4" i="8"/>
  <c r="DP4" i="8"/>
  <c r="DG4" i="8"/>
  <c r="CX4" i="8"/>
  <c r="CO4" i="8"/>
  <c r="CE4" i="8"/>
  <c r="BV4" i="8"/>
  <c r="BM4" i="8"/>
  <c r="BD4" i="8"/>
  <c r="AU4" i="8"/>
  <c r="AL4" i="8"/>
  <c r="AC4" i="8"/>
  <c r="S4" i="8"/>
  <c r="J4" i="8"/>
  <c r="EP5" i="7"/>
  <c r="EG5" i="7"/>
  <c r="DX5" i="7"/>
  <c r="DO5" i="7"/>
  <c r="DE5" i="7"/>
  <c r="CV5" i="7"/>
  <c r="CM5" i="7"/>
  <c r="CD5" i="7"/>
  <c r="BU5" i="7"/>
  <c r="BL5" i="7"/>
  <c r="BC5" i="7"/>
  <c r="AS5" i="7"/>
  <c r="AJ5" i="7"/>
  <c r="AA5" i="7"/>
  <c r="R5" i="7"/>
  <c r="I5" i="7"/>
  <c r="EX4" i="7"/>
  <c r="EO4" i="7"/>
  <c r="EE4" i="7"/>
  <c r="DV4" i="7"/>
  <c r="DM4" i="7"/>
  <c r="DD4" i="7"/>
  <c r="CU4" i="7"/>
  <c r="CL4" i="7"/>
  <c r="CC4" i="7"/>
  <c r="BS4" i="7"/>
  <c r="BJ4" i="7"/>
  <c r="BA4" i="7"/>
  <c r="AR4" i="7"/>
  <c r="AI4" i="7"/>
  <c r="Z4" i="7"/>
  <c r="Q4" i="7"/>
  <c r="G4" i="7"/>
  <c r="EV5" i="6"/>
  <c r="EM5" i="6"/>
  <c r="ED5" i="6"/>
  <c r="DU5" i="6"/>
  <c r="DL5" i="6"/>
  <c r="DC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X5" i="5"/>
  <c r="EP5" i="5"/>
  <c r="EH5" i="5"/>
  <c r="DZ5" i="5"/>
  <c r="DR5" i="5"/>
  <c r="DJ5" i="5"/>
  <c r="DB5" i="5"/>
  <c r="CT5" i="5"/>
  <c r="CL5" i="5"/>
  <c r="CD5" i="5"/>
  <c r="BV5" i="5"/>
  <c r="BN5" i="5"/>
  <c r="EO5" i="9"/>
  <c r="DI5" i="9"/>
  <c r="CC5" i="9"/>
  <c r="AW5" i="9"/>
  <c r="Q5" i="9"/>
  <c r="EV4" i="9"/>
  <c r="DP4" i="9"/>
  <c r="CJ4" i="9"/>
  <c r="BD4" i="9"/>
  <c r="X4" i="9"/>
  <c r="ER5" i="8"/>
  <c r="EI5" i="8"/>
  <c r="DY5" i="8"/>
  <c r="DP5" i="8"/>
  <c r="DG5" i="8"/>
  <c r="CX5" i="8"/>
  <c r="CO5" i="8"/>
  <c r="CF5" i="8"/>
  <c r="BW5" i="8"/>
  <c r="BM5" i="8"/>
  <c r="BD5" i="8"/>
  <c r="AU5" i="8"/>
  <c r="AL5" i="8"/>
  <c r="AC5" i="8"/>
  <c r="T5" i="8"/>
  <c r="K5" i="8"/>
  <c r="A5" i="8"/>
  <c r="EP4" i="8"/>
  <c r="EG4" i="8"/>
  <c r="DX4" i="8"/>
  <c r="DO4" i="8"/>
  <c r="DF4" i="8"/>
  <c r="CW4" i="8"/>
  <c r="CM4" i="8"/>
  <c r="CD4" i="8"/>
  <c r="BU4" i="8"/>
  <c r="BL4" i="8"/>
  <c r="BC4" i="8"/>
  <c r="AT4" i="8"/>
  <c r="AK4" i="8"/>
  <c r="AA4" i="8"/>
  <c r="R4" i="8"/>
  <c r="I4" i="8"/>
  <c r="EX5" i="7"/>
  <c r="EO5" i="7"/>
  <c r="EF5" i="7"/>
  <c r="DW5" i="7"/>
  <c r="DM5" i="7"/>
  <c r="DD5" i="7"/>
  <c r="CU5" i="7"/>
  <c r="CL5" i="7"/>
  <c r="CC5" i="7"/>
  <c r="BT5" i="7"/>
  <c r="BK5" i="7"/>
  <c r="BA5" i="7"/>
  <c r="AR5" i="7"/>
  <c r="AI5" i="7"/>
  <c r="Z5" i="7"/>
  <c r="Q5" i="7"/>
  <c r="H5" i="7"/>
  <c r="EW4" i="7"/>
  <c r="EM4" i="7"/>
  <c r="ED4" i="7"/>
  <c r="DU4" i="7"/>
  <c r="DL4" i="7"/>
  <c r="DC4" i="7"/>
  <c r="CT4" i="7"/>
  <c r="CK4" i="7"/>
  <c r="CA4" i="7"/>
  <c r="BR4" i="7"/>
  <c r="BI4" i="7"/>
  <c r="AZ4" i="7"/>
  <c r="AQ4" i="7"/>
  <c r="AH4" i="7"/>
  <c r="Y4" i="7"/>
  <c r="O4" i="7"/>
  <c r="F4" i="7"/>
  <c r="EU5" i="6"/>
  <c r="EL5" i="6"/>
  <c r="EC5" i="6"/>
  <c r="DT5" i="6"/>
  <c r="DK5" i="6"/>
  <c r="DA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W5" i="5"/>
  <c r="EO5" i="5"/>
  <c r="EG5" i="5"/>
  <c r="DY5" i="5"/>
  <c r="DQ5" i="5"/>
  <c r="DI5" i="5"/>
  <c r="DA5" i="5"/>
  <c r="CS5" i="5"/>
  <c r="CK5" i="5"/>
  <c r="CC5" i="5"/>
  <c r="BU5" i="5"/>
  <c r="BM5" i="5"/>
  <c r="EI5" i="9"/>
  <c r="DC5" i="9"/>
  <c r="BW5" i="9"/>
  <c r="AQ5" i="9"/>
  <c r="K5" i="9"/>
  <c r="EP4" i="9"/>
  <c r="DJ4" i="9"/>
  <c r="CD4" i="9"/>
  <c r="AX4" i="9"/>
  <c r="R4" i="9"/>
  <c r="EQ5" i="8"/>
  <c r="EG5" i="8"/>
  <c r="DX5" i="8"/>
  <c r="DO5" i="8"/>
  <c r="DF5" i="8"/>
  <c r="CW5" i="8"/>
  <c r="CN5" i="8"/>
  <c r="CE5" i="8"/>
  <c r="BU5" i="8"/>
  <c r="BL5" i="8"/>
  <c r="BC5" i="8"/>
  <c r="AT5" i="8"/>
  <c r="AK5" i="8"/>
  <c r="AB5" i="8"/>
  <c r="S5" i="8"/>
  <c r="I5" i="8"/>
  <c r="EX4" i="8"/>
  <c r="EO4" i="8"/>
  <c r="EF4" i="8"/>
  <c r="DW4" i="8"/>
  <c r="DN4" i="8"/>
  <c r="DE4" i="8"/>
  <c r="CU4" i="8"/>
  <c r="CL4" i="8"/>
  <c r="CC4" i="8"/>
  <c r="BT4" i="8"/>
  <c r="BK4" i="8"/>
  <c r="BB4" i="8"/>
  <c r="AS4" i="8"/>
  <c r="AI4" i="8"/>
  <c r="Z4" i="8"/>
  <c r="Q4" i="8"/>
  <c r="H4" i="8"/>
  <c r="EW5" i="7"/>
  <c r="EN5" i="7"/>
  <c r="EE5" i="7"/>
  <c r="DU5" i="7"/>
  <c r="DL5" i="7"/>
  <c r="DC5" i="7"/>
  <c r="CT5" i="7"/>
  <c r="CK5" i="7"/>
  <c r="CB5" i="7"/>
  <c r="BS5" i="7"/>
  <c r="BI5" i="7"/>
  <c r="AZ5" i="7"/>
  <c r="AQ5" i="7"/>
  <c r="AH5" i="7"/>
  <c r="Y5" i="7"/>
  <c r="P5" i="7"/>
  <c r="G5" i="7"/>
  <c r="EU4" i="7"/>
  <c r="EL4" i="7"/>
  <c r="EC4" i="7"/>
  <c r="DT4" i="7"/>
  <c r="DK4" i="7"/>
  <c r="DB4" i="7"/>
  <c r="CS4" i="7"/>
  <c r="CI4" i="7"/>
  <c r="BZ4" i="7"/>
  <c r="BQ4" i="7"/>
  <c r="BH4" i="7"/>
  <c r="AY4" i="7"/>
  <c r="AP4" i="7"/>
  <c r="AG4" i="7"/>
  <c r="W4" i="7"/>
  <c r="N4" i="7"/>
  <c r="E4" i="7"/>
  <c r="ET5" i="6"/>
  <c r="EK5" i="6"/>
  <c r="EB5" i="6"/>
  <c r="DS5" i="6"/>
  <c r="DI5" i="6"/>
  <c r="CZ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G5" i="9"/>
  <c r="DA5" i="9"/>
  <c r="BU5" i="9"/>
  <c r="AO5" i="9"/>
  <c r="I5" i="9"/>
  <c r="EN4" i="9"/>
  <c r="DH4" i="9"/>
  <c r="CB4" i="9"/>
  <c r="AV4" i="9"/>
  <c r="P4" i="9"/>
  <c r="EO5" i="8"/>
  <c r="EF5" i="8"/>
  <c r="DW5" i="8"/>
  <c r="DN5" i="8"/>
  <c r="DE5" i="8"/>
  <c r="CV5" i="8"/>
  <c r="CM5" i="8"/>
  <c r="CC5" i="8"/>
  <c r="BT5" i="8"/>
  <c r="BK5" i="8"/>
  <c r="BB5" i="8"/>
  <c r="AS5" i="8"/>
  <c r="AJ5" i="8"/>
  <c r="AA5" i="8"/>
  <c r="Q5" i="8"/>
  <c r="H5" i="8"/>
  <c r="EW4" i="8"/>
  <c r="EN4" i="8"/>
  <c r="EE4" i="8"/>
  <c r="DV4" i="8"/>
  <c r="DM4" i="8"/>
  <c r="DC4" i="8"/>
  <c r="CT4" i="8"/>
  <c r="CK4" i="8"/>
  <c r="CB4" i="8"/>
  <c r="BS4" i="8"/>
  <c r="BJ4" i="8"/>
  <c r="BA4" i="8"/>
  <c r="AQ4" i="8"/>
  <c r="AH4" i="8"/>
  <c r="Y4" i="8"/>
  <c r="P4" i="8"/>
  <c r="G4" i="8"/>
  <c r="EV5" i="7"/>
  <c r="EM5" i="7"/>
  <c r="EC5" i="7"/>
  <c r="DT5" i="7"/>
  <c r="DK5" i="7"/>
  <c r="DB5" i="7"/>
  <c r="CS5" i="7"/>
  <c r="CJ5" i="7"/>
  <c r="CA5" i="7"/>
  <c r="BQ5" i="7"/>
  <c r="BH5" i="7"/>
  <c r="AY5" i="7"/>
  <c r="AP5" i="7"/>
  <c r="AG5" i="7"/>
  <c r="X5" i="7"/>
  <c r="O5" i="7"/>
  <c r="E5" i="7"/>
  <c r="ET4" i="7"/>
  <c r="EK4" i="7"/>
  <c r="EB4" i="7"/>
  <c r="DS4" i="7"/>
  <c r="DJ4" i="7"/>
  <c r="DA4" i="7"/>
  <c r="CQ4" i="7"/>
  <c r="CH4" i="7"/>
  <c r="BY4" i="7"/>
  <c r="BP4" i="7"/>
  <c r="BG4" i="7"/>
  <c r="AX4" i="7"/>
  <c r="AO4" i="7"/>
  <c r="AE4" i="7"/>
  <c r="V4" i="7"/>
  <c r="M4" i="7"/>
  <c r="D4" i="7"/>
  <c r="ES5" i="6"/>
  <c r="EJ5" i="6"/>
  <c r="EA5" i="6"/>
  <c r="DQ5" i="6"/>
  <c r="DH5" i="6"/>
  <c r="CY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U5" i="5"/>
  <c r="EM5" i="5"/>
  <c r="EE5" i="5"/>
  <c r="DW5" i="5"/>
  <c r="DO5" i="5"/>
  <c r="DG5" i="5"/>
  <c r="CY5" i="5"/>
  <c r="CQ5" i="5"/>
  <c r="CI5" i="5"/>
  <c r="CA5" i="5"/>
  <c r="BS5" i="5"/>
  <c r="BK5" i="5"/>
  <c r="EA5" i="9"/>
  <c r="CU5" i="9"/>
  <c r="BO5" i="9"/>
  <c r="AI5" i="9"/>
  <c r="C5" i="9"/>
  <c r="EH4" i="9"/>
  <c r="DB4" i="9"/>
  <c r="BV4" i="9"/>
  <c r="AP4" i="9"/>
  <c r="J4" i="9"/>
  <c r="EW5" i="8"/>
  <c r="EN5" i="8"/>
  <c r="EE5" i="8"/>
  <c r="DV5" i="8"/>
  <c r="DM5" i="8"/>
  <c r="DD5" i="8"/>
  <c r="CU5" i="8"/>
  <c r="CK5" i="8"/>
  <c r="CB5" i="8"/>
  <c r="BS5" i="8"/>
  <c r="BJ5" i="8"/>
  <c r="BA5" i="8"/>
  <c r="AR5" i="8"/>
  <c r="AI5" i="8"/>
  <c r="Y5" i="8"/>
  <c r="P5" i="8"/>
  <c r="G5" i="8"/>
  <c r="EV4" i="8"/>
  <c r="EM4" i="8"/>
  <c r="ED4" i="8"/>
  <c r="DU4" i="8"/>
  <c r="DK4" i="8"/>
  <c r="DB4" i="8"/>
  <c r="CS4" i="8"/>
  <c r="CJ4" i="8"/>
  <c r="CA4" i="8"/>
  <c r="BR4" i="8"/>
  <c r="BI4" i="8"/>
  <c r="AY4" i="8"/>
  <c r="AP4" i="8"/>
  <c r="AG4" i="8"/>
  <c r="X4" i="8"/>
  <c r="O4" i="8"/>
  <c r="F4" i="8"/>
  <c r="EU5" i="7"/>
  <c r="EK5" i="7"/>
  <c r="EB5" i="7"/>
  <c r="DS5" i="7"/>
  <c r="DJ5" i="7"/>
  <c r="DA5" i="7"/>
  <c r="CR5" i="7"/>
  <c r="CI5" i="7"/>
  <c r="BY5" i="7"/>
  <c r="BP5" i="7"/>
  <c r="BG5" i="7"/>
  <c r="AX5" i="7"/>
  <c r="AO5" i="7"/>
  <c r="AF5" i="7"/>
  <c r="W5" i="7"/>
  <c r="M5" i="7"/>
  <c r="D5" i="7"/>
  <c r="ES4" i="7"/>
  <c r="EJ4" i="7"/>
  <c r="EA4" i="7"/>
  <c r="DR4" i="7"/>
  <c r="DI4" i="7"/>
  <c r="CY4" i="7"/>
  <c r="CP4" i="7"/>
  <c r="CG4" i="7"/>
  <c r="BX4" i="7"/>
  <c r="BO4" i="7"/>
  <c r="BF4" i="7"/>
  <c r="AW4" i="7"/>
  <c r="AM4" i="7"/>
  <c r="AD4" i="7"/>
  <c r="U4" i="7"/>
  <c r="L4" i="7"/>
  <c r="C4" i="7"/>
  <c r="ER5" i="6"/>
  <c r="EI5" i="6"/>
  <c r="DY5" i="6"/>
  <c r="DP5" i="6"/>
  <c r="DG5" i="6"/>
  <c r="CX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T5" i="5"/>
  <c r="EL5" i="5"/>
  <c r="ED5" i="5"/>
  <c r="DV5" i="5"/>
  <c r="DN5" i="5"/>
  <c r="DF5" i="5"/>
  <c r="CX5" i="5"/>
  <c r="CP5" i="5"/>
  <c r="CH5" i="5"/>
  <c r="DY5" i="9"/>
  <c r="CS5" i="9"/>
  <c r="BM5" i="9"/>
  <c r="AG5" i="9"/>
  <c r="A5" i="9"/>
  <c r="EF4" i="9"/>
  <c r="CZ4" i="9"/>
  <c r="BT4" i="9"/>
  <c r="AN4" i="9"/>
  <c r="H4" i="9"/>
  <c r="EV5" i="8"/>
  <c r="EM5" i="8"/>
  <c r="ED5" i="8"/>
  <c r="DU5" i="8"/>
  <c r="DL5" i="8"/>
  <c r="DC5" i="8"/>
  <c r="CS5" i="8"/>
  <c r="CJ5" i="8"/>
  <c r="CA5" i="8"/>
  <c r="BR5" i="8"/>
  <c r="BI5" i="8"/>
  <c r="AZ5" i="8"/>
  <c r="AQ5" i="8"/>
  <c r="AG5" i="8"/>
  <c r="X5" i="8"/>
  <c r="O5" i="8"/>
  <c r="F5" i="8"/>
  <c r="EU4" i="8"/>
  <c r="EL4" i="8"/>
  <c r="EC4" i="8"/>
  <c r="DS4" i="8"/>
  <c r="DJ4" i="8"/>
  <c r="DA4" i="8"/>
  <c r="CR4" i="8"/>
  <c r="CI4" i="8"/>
  <c r="BZ4" i="8"/>
  <c r="BQ4" i="8"/>
  <c r="BG4" i="8"/>
  <c r="AX4" i="8"/>
  <c r="AO4" i="8"/>
  <c r="AF4" i="8"/>
  <c r="W4" i="8"/>
  <c r="N4" i="8"/>
  <c r="E4" i="8"/>
  <c r="ES5" i="7"/>
  <c r="EJ5" i="7"/>
  <c r="EA5" i="7"/>
  <c r="DR5" i="7"/>
  <c r="DI5" i="7"/>
  <c r="CZ5" i="7"/>
  <c r="CQ5" i="7"/>
  <c r="CG5" i="7"/>
  <c r="BX5" i="7"/>
  <c r="BO5" i="7"/>
  <c r="BF5" i="7"/>
  <c r="AW5" i="7"/>
  <c r="AN5" i="7"/>
  <c r="AE5" i="7"/>
  <c r="U5" i="7"/>
  <c r="L5" i="7"/>
  <c r="C5" i="7"/>
  <c r="ER4" i="7"/>
  <c r="EI4" i="7"/>
  <c r="DZ4" i="7"/>
  <c r="DQ4" i="7"/>
  <c r="DG4" i="7"/>
  <c r="CX4" i="7"/>
  <c r="CO4" i="7"/>
  <c r="CF4" i="7"/>
  <c r="BW4" i="7"/>
  <c r="BN4" i="7"/>
  <c r="BE4" i="7"/>
  <c r="AU4" i="7"/>
  <c r="AL4" i="7"/>
  <c r="AC4" i="7"/>
  <c r="T4" i="7"/>
  <c r="K4" i="7"/>
  <c r="B4" i="7"/>
  <c r="EQ5" i="6"/>
  <c r="EG5" i="6"/>
  <c r="DX5" i="6"/>
  <c r="DO5" i="6"/>
  <c r="DF5" i="6"/>
  <c r="CW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S5" i="5"/>
  <c r="EK5" i="5"/>
  <c r="EC5" i="5"/>
  <c r="DU5" i="5"/>
  <c r="DM5" i="5"/>
  <c r="DE5" i="5"/>
  <c r="CW5" i="5"/>
  <c r="CO5" i="5"/>
  <c r="CG5" i="5"/>
  <c r="CZ5" i="5"/>
  <c r="BX5" i="5"/>
  <c r="BH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CR5" i="5"/>
  <c r="BT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EV5" i="5"/>
  <c r="CN5" i="5"/>
  <c r="BR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EN5" i="5"/>
  <c r="CJ5" i="5"/>
  <c r="BQ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EF5" i="5"/>
  <c r="CF5" i="5"/>
  <c r="BP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DX5" i="5"/>
  <c r="CB5" i="5"/>
  <c r="BL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DP5" i="5"/>
  <c r="BZ5" i="5"/>
  <c r="BJ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DH5" i="5"/>
  <c r="BY5" i="5"/>
  <c r="BI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J973" i="3"/>
  <c r="F972" i="3"/>
  <c r="H971" i="3"/>
  <c r="K970" i="3"/>
  <c r="B970" i="3"/>
  <c r="E969" i="3"/>
  <c r="H968" i="3"/>
  <c r="K967" i="3"/>
  <c r="B967" i="3"/>
  <c r="D966" i="3"/>
  <c r="G965" i="3"/>
  <c r="J964" i="3"/>
  <c r="A964" i="3"/>
  <c r="D963" i="3"/>
  <c r="G962" i="3"/>
  <c r="J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E973" i="3"/>
  <c r="D972" i="3"/>
  <c r="G971" i="3"/>
  <c r="J970" i="3"/>
  <c r="A970" i="3"/>
  <c r="D969" i="3"/>
  <c r="G968" i="3"/>
  <c r="J967" i="3"/>
  <c r="L966" i="3"/>
  <c r="C966" i="3"/>
  <c r="F965" i="3"/>
  <c r="I964" i="3"/>
  <c r="L963" i="3"/>
  <c r="C963" i="3"/>
  <c r="F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I974" i="3"/>
  <c r="D973" i="3"/>
  <c r="C972" i="3"/>
  <c r="F971" i="3"/>
  <c r="I970" i="3"/>
  <c r="L969" i="3"/>
  <c r="C969" i="3"/>
  <c r="F968" i="3"/>
  <c r="H967" i="3"/>
  <c r="K966" i="3"/>
  <c r="B966" i="3"/>
  <c r="E965" i="3"/>
  <c r="H964" i="3"/>
  <c r="K963" i="3"/>
  <c r="B963" i="3"/>
  <c r="D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974" i="3"/>
  <c r="C973" i="3"/>
  <c r="B972" i="3"/>
  <c r="E971" i="3"/>
  <c r="H970" i="3"/>
  <c r="K969" i="3"/>
  <c r="B969" i="3"/>
  <c r="D968" i="3"/>
  <c r="G967" i="3"/>
  <c r="J966" i="3"/>
  <c r="A966" i="3"/>
  <c r="D965" i="3"/>
  <c r="G964" i="3"/>
  <c r="J963" i="3"/>
  <c r="L962" i="3"/>
  <c r="C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F974" i="3"/>
  <c r="B973" i="3"/>
  <c r="A972" i="3"/>
  <c r="D971" i="3"/>
  <c r="G970" i="3"/>
  <c r="J969" i="3"/>
  <c r="L968" i="3"/>
  <c r="C968" i="3"/>
  <c r="F967" i="3"/>
  <c r="I966" i="3"/>
  <c r="L965" i="3"/>
  <c r="C965" i="3"/>
  <c r="F964" i="3"/>
  <c r="H963" i="3"/>
  <c r="K962" i="3"/>
  <c r="B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974" i="3"/>
  <c r="I972" i="3"/>
  <c r="L971" i="3"/>
  <c r="C971" i="3"/>
  <c r="F970" i="3"/>
  <c r="H969" i="3"/>
  <c r="K968" i="3"/>
  <c r="B968" i="3"/>
  <c r="E967" i="3"/>
  <c r="H966" i="3"/>
  <c r="K965" i="3"/>
  <c r="B965" i="3"/>
  <c r="D964" i="3"/>
  <c r="G963" i="3"/>
  <c r="J962" i="3"/>
  <c r="A962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L973" i="3"/>
  <c r="H972" i="3"/>
  <c r="K971" i="3"/>
  <c r="B971" i="3"/>
  <c r="D970" i="3"/>
  <c r="G969" i="3"/>
  <c r="J968" i="3"/>
  <c r="A968" i="3"/>
  <c r="D967" i="3"/>
  <c r="G966" i="3"/>
  <c r="J965" i="3"/>
  <c r="L964" i="3"/>
  <c r="C964" i="3"/>
  <c r="F963" i="3"/>
  <c r="I962" i="3"/>
  <c r="L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973" i="3"/>
  <c r="G972" i="3"/>
  <c r="J971" i="3"/>
  <c r="L970" i="3"/>
  <c r="C970" i="3"/>
  <c r="F969" i="3"/>
  <c r="I968" i="3"/>
  <c r="L967" i="3"/>
  <c r="C967" i="3"/>
  <c r="F966" i="3"/>
  <c r="H965" i="3"/>
  <c r="K964" i="3"/>
  <c r="B964" i="3"/>
  <c r="E963" i="3"/>
  <c r="H962" i="3"/>
  <c r="K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92" i="3"/>
  <c r="I890" i="3"/>
  <c r="E889" i="3"/>
  <c r="A888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A892" i="3"/>
  <c r="H890" i="3"/>
  <c r="D889" i="3"/>
  <c r="L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K891" i="3"/>
  <c r="G890" i="3"/>
  <c r="C889" i="3"/>
  <c r="K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91" i="3"/>
  <c r="B890" i="3"/>
  <c r="J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91" i="3"/>
  <c r="A890" i="3"/>
  <c r="I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91" i="3"/>
  <c r="L889" i="3"/>
  <c r="H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91" i="3"/>
  <c r="K889" i="3"/>
  <c r="G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J890" i="3"/>
  <c r="F889" i="3"/>
  <c r="B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F808" i="3"/>
  <c r="G807" i="3"/>
  <c r="E806" i="3"/>
  <c r="F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E808" i="3"/>
  <c r="F807" i="3"/>
  <c r="D806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D808" i="3"/>
  <c r="B807" i="3"/>
  <c r="C806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C808" i="3"/>
  <c r="A807" i="3"/>
  <c r="B806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B808" i="3"/>
  <c r="L806" i="3"/>
  <c r="J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J807" i="3"/>
  <c r="K806" i="3"/>
  <c r="I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I807" i="3"/>
  <c r="J806" i="3"/>
  <c r="H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H807" i="3"/>
  <c r="F806" i="3"/>
  <c r="G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C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B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A722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L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K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I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637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C503" i="3"/>
  <c r="K497" i="3"/>
  <c r="G492" i="3"/>
  <c r="C487" i="3"/>
  <c r="K481" i="3"/>
  <c r="G476" i="3"/>
  <c r="C471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K507" i="3"/>
  <c r="G502" i="3"/>
  <c r="C497" i="3"/>
  <c r="K491" i="3"/>
  <c r="G486" i="3"/>
  <c r="C481" i="3"/>
  <c r="K475" i="3"/>
  <c r="G470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C507" i="3"/>
  <c r="K501" i="3"/>
  <c r="G496" i="3"/>
  <c r="C491" i="3"/>
  <c r="K485" i="3"/>
  <c r="G480" i="3"/>
  <c r="C475" i="3"/>
  <c r="K469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G506" i="3"/>
  <c r="C501" i="3"/>
  <c r="K495" i="3"/>
  <c r="G490" i="3"/>
  <c r="C485" i="3"/>
  <c r="K479" i="3"/>
  <c r="G474" i="3"/>
  <c r="C469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K505" i="3"/>
  <c r="G500" i="3"/>
  <c r="C495" i="3"/>
  <c r="K489" i="3"/>
  <c r="G484" i="3"/>
  <c r="C479" i="3"/>
  <c r="K473" i="3"/>
  <c r="G468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C505" i="3"/>
  <c r="K499" i="3"/>
  <c r="G494" i="3"/>
  <c r="C489" i="3"/>
  <c r="K483" i="3"/>
  <c r="G478" i="3"/>
  <c r="C473" i="3"/>
  <c r="K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G504" i="3"/>
  <c r="C499" i="3"/>
  <c r="K493" i="3"/>
  <c r="G488" i="3"/>
  <c r="C483" i="3"/>
  <c r="K477" i="3"/>
  <c r="G472" i="3"/>
  <c r="E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K503" i="3"/>
  <c r="G498" i="3"/>
  <c r="C493" i="3"/>
  <c r="K487" i="3"/>
  <c r="G482" i="3"/>
  <c r="C477" i="3"/>
  <c r="K471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K134" i="3"/>
  <c r="F133" i="3"/>
  <c r="C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E134" i="3"/>
  <c r="A133" i="3"/>
  <c r="B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D134" i="3"/>
  <c r="L132" i="3"/>
  <c r="A132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C134" i="3"/>
  <c r="K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B134" i="3"/>
  <c r="J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I133" i="3"/>
  <c r="F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H133" i="3"/>
  <c r="E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G133" i="3"/>
  <c r="D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A831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I831" i="1"/>
  <c r="L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H831" i="1"/>
  <c r="K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G831" i="1"/>
  <c r="J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F831" i="1"/>
  <c r="I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E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C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B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F661" i="1"/>
  <c r="H660" i="1"/>
  <c r="K659" i="1"/>
  <c r="B659" i="1"/>
  <c r="E658" i="1"/>
  <c r="H657" i="1"/>
  <c r="K656" i="1"/>
  <c r="B656" i="1"/>
  <c r="D655" i="1"/>
  <c r="G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F662" i="1"/>
  <c r="D661" i="1"/>
  <c r="G660" i="1"/>
  <c r="J659" i="1"/>
  <c r="A659" i="1"/>
  <c r="D658" i="1"/>
  <c r="G657" i="1"/>
  <c r="J656" i="1"/>
  <c r="L655" i="1"/>
  <c r="C655" i="1"/>
  <c r="F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662" i="1"/>
  <c r="C661" i="1"/>
  <c r="F660" i="1"/>
  <c r="I659" i="1"/>
  <c r="L658" i="1"/>
  <c r="C658" i="1"/>
  <c r="F657" i="1"/>
  <c r="H656" i="1"/>
  <c r="K655" i="1"/>
  <c r="B655" i="1"/>
  <c r="E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C662" i="1"/>
  <c r="B661" i="1"/>
  <c r="E660" i="1"/>
  <c r="H659" i="1"/>
  <c r="K658" i="1"/>
  <c r="B658" i="1"/>
  <c r="D657" i="1"/>
  <c r="G656" i="1"/>
  <c r="J655" i="1"/>
  <c r="A655" i="1"/>
  <c r="D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K661" i="1"/>
  <c r="A661" i="1"/>
  <c r="D660" i="1"/>
  <c r="G659" i="1"/>
  <c r="J658" i="1"/>
  <c r="L657" i="1"/>
  <c r="C657" i="1"/>
  <c r="F656" i="1"/>
  <c r="I655" i="1"/>
  <c r="L654" i="1"/>
  <c r="C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J661" i="1"/>
  <c r="L660" i="1"/>
  <c r="C660" i="1"/>
  <c r="F659" i="1"/>
  <c r="H658" i="1"/>
  <c r="K657" i="1"/>
  <c r="B657" i="1"/>
  <c r="E656" i="1"/>
  <c r="H655" i="1"/>
  <c r="K654" i="1"/>
  <c r="B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I661" i="1"/>
  <c r="K660" i="1"/>
  <c r="B660" i="1"/>
  <c r="D659" i="1"/>
  <c r="G658" i="1"/>
  <c r="J657" i="1"/>
  <c r="A657" i="1"/>
  <c r="D656" i="1"/>
  <c r="G655" i="1"/>
  <c r="J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G661" i="1"/>
  <c r="J660" i="1"/>
  <c r="L659" i="1"/>
  <c r="C659" i="1"/>
  <c r="F658" i="1"/>
  <c r="I657" i="1"/>
  <c r="L656" i="1"/>
  <c r="C656" i="1"/>
  <c r="F655" i="1"/>
  <c r="H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D495" i="1"/>
  <c r="J492" i="1"/>
  <c r="J491" i="1"/>
  <c r="L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H494" i="1"/>
  <c r="I492" i="1"/>
  <c r="I491" i="1"/>
  <c r="J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B494" i="1"/>
  <c r="H492" i="1"/>
  <c r="H491" i="1"/>
  <c r="I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A494" i="1"/>
  <c r="E492" i="1"/>
  <c r="F491" i="1"/>
  <c r="H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L493" i="1"/>
  <c r="D492" i="1"/>
  <c r="E491" i="1"/>
  <c r="G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493" i="1"/>
  <c r="B492" i="1"/>
  <c r="D491" i="1"/>
  <c r="F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493" i="1"/>
  <c r="A492" i="1"/>
  <c r="B491" i="1"/>
  <c r="E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D493" i="1"/>
  <c r="L491" i="1"/>
  <c r="A491" i="1"/>
  <c r="D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F322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E322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J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I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E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E4" i="1"/>
  <c r="D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4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A4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J2" i="9" l="1"/>
  <c r="J2" i="7"/>
  <c r="J2" i="8"/>
  <c r="J2" i="6"/>
  <c r="J2" i="4"/>
  <c r="J2" i="5"/>
</calcChain>
</file>

<file path=xl/sharedStrings.xml><?xml version="1.0" encoding="utf-8"?>
<sst xmlns="http://schemas.openxmlformats.org/spreadsheetml/2006/main" count="234" uniqueCount="46">
  <si>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</si>
  <si>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</si>
  <si>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</si>
  <si>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</si>
  <si>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</si>
  <si>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</si>
  <si>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</si>
  <si>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</si>
  <si>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</si>
  <si>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</si>
  <si>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</si>
  <si>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</si>
  <si>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</si>
  <si>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</si>
  <si>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</si>
  <si>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</si>
  <si>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</si>
  <si>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</si>
  <si>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</si>
  <si>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</si>
  <si>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</si>
  <si>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</si>
  <si>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AAPL</t>
  </si>
  <si>
    <t>Allocation3</t>
  </si>
  <si>
    <t>Allocation2</t>
  </si>
  <si>
    <t>Allocation4</t>
  </si>
  <si>
    <t>Allocation1,Allocation2,Allocation3</t>
  </si>
  <si>
    <t>50,25,25</t>
  </si>
  <si>
    <t>Blotter</t>
  </si>
  <si>
    <t>VerifyOrder</t>
  </si>
  <si>
    <t>US</t>
  </si>
  <si>
    <t>GCCAP1</t>
  </si>
  <si>
    <t>NewMF</t>
  </si>
  <si>
    <t>Equity</t>
  </si>
  <si>
    <t>Filled</t>
  </si>
  <si>
    <t>Market</t>
  </si>
  <si>
    <t>NewMF1</t>
  </si>
  <si>
    <t>Multiple</t>
  </si>
  <si>
    <t>GetDataAllocation</t>
  </si>
  <si>
    <t>Current</t>
  </si>
  <si>
    <t>CheckAllocatedGroups</t>
  </si>
  <si>
    <t>PortfolioManagement</t>
  </si>
  <si>
    <t>CheckPortfolioManagement</t>
  </si>
  <si>
    <t>MICROSOFT INC</t>
  </si>
  <si>
    <t>APPLE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</si>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</sst>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5" xfId="0" applyFont="1" applyBorder="1" applyAlignment="1"/>
    <xf numFmtId="0" fontId="3" fillId="0" borderId="0" xfId="0" applyFont="1" applyAlignment="1"/>
    <xf numFmtId="14" fontId="3" fillId="0" borderId="0" xfId="0" applyNumberFormat="1" applyFont="1" applyAlignment="1"/>
    <xf numFmtId="0" fontId="3" fillId="0" borderId="5" xfId="0" applyFont="1" applyBorder="1" applyAlignment="1"/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4" fontId="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165" fontId="13" fillId="0" borderId="5" xfId="0" applyNumberFormat="1" applyFont="1" applyBorder="1" applyAlignment="1">
      <alignment horizontal="right"/>
    </xf>
    <xf numFmtId="14" fontId="3" fillId="0" borderId="5" xfId="0" applyNumberFormat="1" applyFont="1" applyBorder="1" applyAlignment="1"/>
    <xf numFmtId="0" fontId="1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7" t="s">
        <v>0</v>
      </c>
      <c r="B1" s="48"/>
      <c r="C1" s="48"/>
      <c r="D1" s="48"/>
      <c r="E1" s="48"/>
      <c r="F1" s="49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0" t="s">
        <v>2</v>
      </c>
      <c r="B1" s="48"/>
      <c r="C1" s="4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7" t="s">
        <v>7</v>
      </c>
      <c r="B1" s="48"/>
      <c r="C1" s="48"/>
      <c r="D1" s="48"/>
      <c r="E1" s="48"/>
      <c r="F1" s="4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18</v>
      </c>
      <c r="C6" s="27" t="s">
        <v>19</v>
      </c>
      <c r="D6" s="27">
        <v>1000</v>
      </c>
      <c r="E6" s="27">
        <v>1000</v>
      </c>
      <c r="F6" s="27" t="s">
        <v>20</v>
      </c>
      <c r="G6" s="27" t="s">
        <v>21</v>
      </c>
      <c r="H6" s="27"/>
      <c r="I6" s="27"/>
      <c r="J6" s="27">
        <v>120</v>
      </c>
      <c r="K6" s="27"/>
      <c r="L6" s="27"/>
      <c r="M6" s="27"/>
      <c r="N6" s="28">
        <f t="shared" ref="N6:N10" ca="1" si="0">TODAY()</f>
        <v>44412</v>
      </c>
      <c r="O6" s="29"/>
      <c r="P6" s="29"/>
      <c r="Q6" s="29"/>
      <c r="R6" s="29"/>
      <c r="S6" s="29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>
      <c r="A7" s="27"/>
      <c r="B7" s="27" t="s">
        <v>22</v>
      </c>
      <c r="C7" s="27" t="s">
        <v>19</v>
      </c>
      <c r="D7" s="27">
        <v>1000</v>
      </c>
      <c r="E7" s="27">
        <v>1000</v>
      </c>
      <c r="F7" s="27" t="s">
        <v>23</v>
      </c>
      <c r="G7" s="27" t="s">
        <v>21</v>
      </c>
      <c r="H7" s="27"/>
      <c r="I7" s="27"/>
      <c r="J7" s="27">
        <v>130</v>
      </c>
      <c r="K7" s="27"/>
      <c r="L7" s="27"/>
      <c r="M7" s="27"/>
      <c r="N7" s="28">
        <f t="shared" ca="1" si="0"/>
        <v>44412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</row>
    <row r="8" spans="1:154" ht="15.75" customHeight="1">
      <c r="A8" s="27"/>
      <c r="B8" s="27" t="s">
        <v>18</v>
      </c>
      <c r="C8" s="27" t="s">
        <v>19</v>
      </c>
      <c r="D8" s="27">
        <v>1000</v>
      </c>
      <c r="E8" s="27">
        <v>1000</v>
      </c>
      <c r="F8" s="27" t="s">
        <v>24</v>
      </c>
      <c r="G8" s="27" t="s">
        <v>21</v>
      </c>
      <c r="H8" s="27"/>
      <c r="I8" s="27"/>
      <c r="J8" s="27">
        <v>120</v>
      </c>
      <c r="K8" s="27"/>
      <c r="L8" s="27"/>
      <c r="M8" s="27"/>
      <c r="N8" s="28">
        <f t="shared" ca="1" si="0"/>
        <v>44412</v>
      </c>
      <c r="O8" s="29"/>
      <c r="P8" s="29"/>
      <c r="Q8" s="29"/>
      <c r="R8" s="29"/>
      <c r="S8" s="29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</row>
    <row r="9" spans="1:154" ht="15.75" customHeight="1">
      <c r="A9" s="27"/>
      <c r="B9" s="27" t="s">
        <v>22</v>
      </c>
      <c r="C9" s="27" t="s">
        <v>19</v>
      </c>
      <c r="D9" s="27">
        <v>1000</v>
      </c>
      <c r="E9" s="27">
        <v>1000</v>
      </c>
      <c r="F9" s="27" t="s">
        <v>25</v>
      </c>
      <c r="G9" s="27" t="s">
        <v>21</v>
      </c>
      <c r="H9" s="27"/>
      <c r="I9" s="27"/>
      <c r="J9" s="27">
        <v>130</v>
      </c>
      <c r="K9" s="27"/>
      <c r="L9" s="27"/>
      <c r="M9" s="27"/>
      <c r="N9" s="28">
        <f t="shared" ca="1" si="0"/>
        <v>44412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</row>
    <row r="10" spans="1:154" ht="15.75" customHeight="1">
      <c r="A10" s="5"/>
      <c r="B10" s="27" t="s">
        <v>18</v>
      </c>
      <c r="C10" s="27" t="s">
        <v>19</v>
      </c>
      <c r="D10" s="27">
        <v>2000</v>
      </c>
      <c r="E10" s="27">
        <v>2000</v>
      </c>
      <c r="F10" s="27"/>
      <c r="G10" s="27" t="s">
        <v>21</v>
      </c>
      <c r="H10" s="27"/>
      <c r="I10" s="27"/>
      <c r="J10" s="27">
        <v>120</v>
      </c>
      <c r="K10" s="27"/>
      <c r="L10" s="27"/>
      <c r="M10" s="27"/>
      <c r="N10" s="28">
        <f t="shared" ca="1" si="0"/>
        <v>44412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K10" s="30" t="s">
        <v>26</v>
      </c>
      <c r="AL10" s="30" t="s">
        <v>27</v>
      </c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7"/>
      <c r="O12" s="27"/>
      <c r="P12" s="27"/>
      <c r="Q12" s="27"/>
      <c r="R12" s="28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7"/>
      <c r="O13" s="27"/>
      <c r="P13" s="27"/>
      <c r="Q13" s="27"/>
      <c r="R13" s="28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7"/>
      <c r="O14" s="27"/>
      <c r="P14" s="27"/>
      <c r="Q14" s="27"/>
      <c r="R14" s="28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7"/>
      <c r="O15" s="27"/>
      <c r="P15" s="27"/>
      <c r="Q15" s="27"/>
      <c r="R15" s="28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6"/>
      <c r="C6" s="29"/>
      <c r="D6" s="31">
        <v>120</v>
      </c>
      <c r="E6" s="29"/>
      <c r="F6" s="29"/>
      <c r="G6" s="29"/>
      <c r="H6" s="29"/>
      <c r="I6" s="29"/>
      <c r="J6" s="29" t="s">
        <v>18</v>
      </c>
      <c r="K6" s="29" t="s">
        <v>30</v>
      </c>
      <c r="L6" s="32" t="s">
        <v>31</v>
      </c>
      <c r="M6" s="29"/>
      <c r="N6" s="29"/>
      <c r="O6" s="29"/>
      <c r="P6" s="29"/>
      <c r="Q6" s="29"/>
      <c r="R6" s="29"/>
      <c r="S6" s="29"/>
      <c r="T6" s="27"/>
      <c r="U6" s="27"/>
      <c r="V6" s="27"/>
      <c r="W6" s="27"/>
      <c r="X6" s="27"/>
      <c r="Y6" s="27"/>
      <c r="Z6" s="27"/>
      <c r="AA6" s="27" t="s">
        <v>32</v>
      </c>
      <c r="AB6" s="27"/>
      <c r="AC6" s="27"/>
      <c r="AD6" s="33">
        <v>1</v>
      </c>
      <c r="AE6" s="27"/>
      <c r="AF6" s="27"/>
      <c r="AG6" s="27"/>
      <c r="AH6" s="27" t="s">
        <v>33</v>
      </c>
      <c r="AI6" s="27" t="s">
        <v>18</v>
      </c>
      <c r="AJ6" s="27" t="s">
        <v>19</v>
      </c>
      <c r="AK6" s="27" t="s">
        <v>34</v>
      </c>
      <c r="AL6" s="33">
        <v>1000</v>
      </c>
      <c r="AM6" s="33">
        <v>1000</v>
      </c>
      <c r="AN6" s="33">
        <v>100</v>
      </c>
      <c r="AO6" s="27"/>
      <c r="AP6" s="27"/>
      <c r="AQ6" s="33">
        <v>120</v>
      </c>
      <c r="AR6" s="33">
        <v>120</v>
      </c>
      <c r="AS6" s="27" t="s">
        <v>21</v>
      </c>
      <c r="AT6" s="27" t="s">
        <v>20</v>
      </c>
      <c r="AU6" s="27" t="s">
        <v>35</v>
      </c>
      <c r="AV6" s="33">
        <v>120000</v>
      </c>
      <c r="AW6" s="33">
        <v>120000</v>
      </c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>
      <c r="A7" s="29"/>
      <c r="B7" s="29"/>
      <c r="C7" s="29"/>
      <c r="D7" s="34">
        <v>130</v>
      </c>
      <c r="E7" s="29"/>
      <c r="F7" s="29"/>
      <c r="G7" s="29"/>
      <c r="H7" s="29"/>
      <c r="I7" s="29"/>
      <c r="J7" s="29" t="s">
        <v>22</v>
      </c>
      <c r="K7" s="29" t="s">
        <v>30</v>
      </c>
      <c r="L7" s="32" t="s">
        <v>31</v>
      </c>
      <c r="M7" s="29"/>
      <c r="N7" s="29"/>
      <c r="O7" s="29"/>
      <c r="P7" s="29"/>
      <c r="Q7" s="29"/>
      <c r="R7" s="29"/>
      <c r="S7" s="29"/>
      <c r="T7" s="27"/>
      <c r="U7" s="27"/>
      <c r="V7" s="27"/>
      <c r="W7" s="27"/>
      <c r="X7" s="27"/>
      <c r="Y7" s="27"/>
      <c r="Z7" s="27"/>
      <c r="AA7" s="27" t="s">
        <v>32</v>
      </c>
      <c r="AB7" s="27"/>
      <c r="AC7" s="27"/>
      <c r="AD7" s="33">
        <v>1</v>
      </c>
      <c r="AE7" s="27"/>
      <c r="AF7" s="27"/>
      <c r="AG7" s="27"/>
      <c r="AH7" s="27" t="s">
        <v>33</v>
      </c>
      <c r="AI7" s="27" t="s">
        <v>22</v>
      </c>
      <c r="AJ7" s="27" t="s">
        <v>19</v>
      </c>
      <c r="AK7" s="27" t="s">
        <v>34</v>
      </c>
      <c r="AL7" s="33">
        <v>1000</v>
      </c>
      <c r="AM7" s="33">
        <v>1000</v>
      </c>
      <c r="AN7" s="33">
        <v>100</v>
      </c>
      <c r="AO7" s="27"/>
      <c r="AP7" s="27"/>
      <c r="AQ7" s="33">
        <v>130</v>
      </c>
      <c r="AR7" s="33">
        <v>130</v>
      </c>
      <c r="AS7" s="27" t="s">
        <v>21</v>
      </c>
      <c r="AT7" s="27" t="s">
        <v>23</v>
      </c>
      <c r="AU7" s="27" t="s">
        <v>35</v>
      </c>
      <c r="AV7" s="33">
        <v>130000</v>
      </c>
      <c r="AW7" s="33">
        <v>130000</v>
      </c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</row>
    <row r="8" spans="1:154" ht="15.75" customHeight="1">
      <c r="A8" s="29"/>
      <c r="B8" s="29"/>
      <c r="C8" s="29"/>
      <c r="D8" s="34">
        <v>120</v>
      </c>
      <c r="E8" s="29"/>
      <c r="F8" s="29"/>
      <c r="G8" s="29"/>
      <c r="H8" s="29"/>
      <c r="I8" s="29"/>
      <c r="J8" s="29" t="s">
        <v>18</v>
      </c>
      <c r="K8" s="29" t="s">
        <v>30</v>
      </c>
      <c r="L8" s="32" t="s">
        <v>31</v>
      </c>
      <c r="M8" s="29"/>
      <c r="N8" s="29"/>
      <c r="O8" s="29"/>
      <c r="P8" s="29"/>
      <c r="Q8" s="29"/>
      <c r="R8" s="29"/>
      <c r="S8" s="29"/>
      <c r="T8" s="27"/>
      <c r="U8" s="27"/>
      <c r="V8" s="27"/>
      <c r="W8" s="27"/>
      <c r="X8" s="27"/>
      <c r="Y8" s="27"/>
      <c r="Z8" s="27"/>
      <c r="AA8" s="27" t="s">
        <v>36</v>
      </c>
      <c r="AB8" s="27"/>
      <c r="AC8" s="27"/>
      <c r="AD8" s="33">
        <v>1</v>
      </c>
      <c r="AE8" s="27"/>
      <c r="AF8" s="27"/>
      <c r="AG8" s="27"/>
      <c r="AH8" s="27" t="s">
        <v>33</v>
      </c>
      <c r="AI8" s="27" t="s">
        <v>18</v>
      </c>
      <c r="AJ8" s="27" t="s">
        <v>19</v>
      </c>
      <c r="AK8" s="27" t="s">
        <v>34</v>
      </c>
      <c r="AL8" s="33">
        <v>1000</v>
      </c>
      <c r="AM8" s="33">
        <v>1000</v>
      </c>
      <c r="AN8" s="33">
        <v>100</v>
      </c>
      <c r="AO8" s="27"/>
      <c r="AP8" s="27"/>
      <c r="AQ8" s="33">
        <v>120</v>
      </c>
      <c r="AR8" s="33">
        <v>120</v>
      </c>
      <c r="AS8" s="27" t="s">
        <v>21</v>
      </c>
      <c r="AT8" s="27" t="s">
        <v>24</v>
      </c>
      <c r="AU8" s="27" t="s">
        <v>35</v>
      </c>
      <c r="AV8" s="33">
        <v>120000</v>
      </c>
      <c r="AW8" s="33">
        <v>120000</v>
      </c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</row>
    <row r="9" spans="1:154" ht="15.75" customHeight="1">
      <c r="A9" s="27"/>
      <c r="B9" s="27"/>
      <c r="C9" s="27"/>
      <c r="D9" s="35">
        <v>130</v>
      </c>
      <c r="E9" s="27"/>
      <c r="F9" s="27"/>
      <c r="G9" s="35"/>
      <c r="H9" s="27"/>
      <c r="I9" s="27"/>
      <c r="J9" s="29" t="s">
        <v>22</v>
      </c>
      <c r="K9" s="29" t="s">
        <v>30</v>
      </c>
      <c r="L9" s="29" t="s">
        <v>31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 t="s">
        <v>36</v>
      </c>
      <c r="AB9" s="27"/>
      <c r="AC9" s="27"/>
      <c r="AD9" s="33">
        <v>1</v>
      </c>
      <c r="AE9" s="27"/>
      <c r="AF9" s="27"/>
      <c r="AG9" s="27"/>
      <c r="AH9" s="27" t="s">
        <v>33</v>
      </c>
      <c r="AI9" s="27" t="s">
        <v>22</v>
      </c>
      <c r="AJ9" s="27" t="s">
        <v>19</v>
      </c>
      <c r="AK9" s="27" t="s">
        <v>34</v>
      </c>
      <c r="AL9" s="33">
        <v>1000</v>
      </c>
      <c r="AM9" s="33">
        <v>1000</v>
      </c>
      <c r="AN9" s="33">
        <v>100</v>
      </c>
      <c r="AO9" s="27"/>
      <c r="AP9" s="27"/>
      <c r="AQ9" s="33">
        <v>130</v>
      </c>
      <c r="AR9" s="33">
        <v>130</v>
      </c>
      <c r="AS9" s="27" t="s">
        <v>21</v>
      </c>
      <c r="AT9" s="27" t="s">
        <v>25</v>
      </c>
      <c r="AU9" s="27" t="s">
        <v>35</v>
      </c>
      <c r="AV9" s="33">
        <v>130000</v>
      </c>
      <c r="AW9" s="33">
        <v>130000</v>
      </c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</row>
    <row r="10" spans="1:154" ht="15.75" customHeight="1">
      <c r="A10" s="5"/>
      <c r="B10" s="5"/>
      <c r="C10" s="5"/>
      <c r="D10" s="7">
        <v>120</v>
      </c>
      <c r="E10" s="5"/>
      <c r="F10" s="5"/>
      <c r="G10" s="5"/>
      <c r="H10" s="5"/>
      <c r="I10" s="5"/>
      <c r="J10" s="29" t="s">
        <v>18</v>
      </c>
      <c r="K10" s="29" t="s">
        <v>30</v>
      </c>
      <c r="L10" s="29" t="s">
        <v>31</v>
      </c>
      <c r="M10" s="5"/>
      <c r="N10" s="5"/>
      <c r="O10" s="5"/>
      <c r="AA10" s="6" t="s">
        <v>37</v>
      </c>
      <c r="AD10" s="6">
        <v>1</v>
      </c>
      <c r="AH10" s="27" t="s">
        <v>33</v>
      </c>
      <c r="AI10" s="6" t="s">
        <v>18</v>
      </c>
      <c r="AJ10" s="6" t="s">
        <v>19</v>
      </c>
      <c r="AK10" s="6" t="s">
        <v>34</v>
      </c>
      <c r="AL10" s="6">
        <v>2000</v>
      </c>
      <c r="AM10" s="6">
        <v>2000</v>
      </c>
      <c r="AN10" s="6">
        <v>100</v>
      </c>
      <c r="AQ10" s="6">
        <v>120</v>
      </c>
      <c r="AR10" s="6">
        <v>120</v>
      </c>
      <c r="AS10" s="6" t="s">
        <v>21</v>
      </c>
      <c r="AT10" s="6" t="s">
        <v>37</v>
      </c>
      <c r="AU10" s="6" t="s">
        <v>35</v>
      </c>
      <c r="AV10" s="6">
        <v>240000</v>
      </c>
      <c r="AW10" s="6">
        <v>240000</v>
      </c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H11" s="27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39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36" t="s">
        <v>20</v>
      </c>
      <c r="C6" s="29"/>
      <c r="D6" s="26"/>
      <c r="E6" s="37">
        <v>1000</v>
      </c>
      <c r="F6" s="29"/>
      <c r="G6" s="38" t="s">
        <v>33</v>
      </c>
      <c r="H6" s="37">
        <v>4</v>
      </c>
      <c r="I6" s="37">
        <v>5</v>
      </c>
      <c r="J6" s="29"/>
      <c r="K6" s="37">
        <v>120</v>
      </c>
      <c r="L6" s="37">
        <v>120</v>
      </c>
      <c r="M6" s="29"/>
      <c r="N6" s="29"/>
      <c r="O6" s="38" t="s">
        <v>21</v>
      </c>
      <c r="P6" s="29"/>
      <c r="Q6" s="29"/>
      <c r="R6" s="29"/>
      <c r="S6" s="29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39">
        <v>1000</v>
      </c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39">
        <v>120014.0672</v>
      </c>
      <c r="AU6" s="39">
        <v>120014.0672</v>
      </c>
      <c r="AV6" s="27"/>
      <c r="AW6" s="27"/>
      <c r="AX6" s="27"/>
      <c r="AY6" s="27" t="s">
        <v>35</v>
      </c>
      <c r="AZ6" s="27"/>
      <c r="BA6" s="27"/>
      <c r="BB6" s="27"/>
      <c r="BC6" s="27"/>
      <c r="BD6" s="27"/>
      <c r="BE6" s="39">
        <v>120000</v>
      </c>
      <c r="BF6" s="39">
        <v>120000</v>
      </c>
      <c r="BG6" s="27"/>
      <c r="BH6" s="27"/>
      <c r="BI6" s="27"/>
      <c r="BJ6" s="33">
        <v>1000</v>
      </c>
      <c r="BK6" s="27"/>
      <c r="BL6" s="27"/>
      <c r="BM6" s="27"/>
      <c r="BN6" s="27"/>
      <c r="BO6" s="40" t="s">
        <v>19</v>
      </c>
      <c r="BP6" s="27"/>
      <c r="BQ6" s="27"/>
      <c r="BR6" s="27"/>
      <c r="BS6" s="27"/>
      <c r="BT6" s="40" t="s">
        <v>18</v>
      </c>
      <c r="BU6" s="39">
        <v>3</v>
      </c>
      <c r="BV6" s="33">
        <v>0</v>
      </c>
      <c r="BW6" s="39">
        <v>14.0672</v>
      </c>
      <c r="BX6" s="33">
        <v>0</v>
      </c>
      <c r="BY6" s="27"/>
      <c r="BZ6" s="27"/>
      <c r="CA6" s="27"/>
      <c r="CB6" s="27"/>
      <c r="CC6" s="27"/>
      <c r="CD6" s="27"/>
      <c r="CE6" s="41">
        <f t="shared" ref="CE6:CE10" ca="1" si="0">TODAY()</f>
        <v>44412</v>
      </c>
      <c r="CF6" s="40" t="s">
        <v>31</v>
      </c>
      <c r="CG6" s="39">
        <v>2</v>
      </c>
      <c r="CH6" s="27"/>
      <c r="CI6" s="40" t="s">
        <v>19</v>
      </c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</row>
    <row r="7" spans="1:154" ht="15.75" customHeight="1">
      <c r="A7" s="29"/>
      <c r="B7" s="38" t="s">
        <v>23</v>
      </c>
      <c r="C7" s="29"/>
      <c r="D7" s="29"/>
      <c r="E7" s="37">
        <v>1000</v>
      </c>
      <c r="F7" s="29"/>
      <c r="G7" s="38" t="s">
        <v>33</v>
      </c>
      <c r="H7" s="37">
        <v>4</v>
      </c>
      <c r="I7" s="37">
        <v>5</v>
      </c>
      <c r="J7" s="29"/>
      <c r="K7" s="37">
        <v>130</v>
      </c>
      <c r="L7" s="37">
        <v>130</v>
      </c>
      <c r="M7" s="29"/>
      <c r="N7" s="29"/>
      <c r="O7" s="38" t="s">
        <v>21</v>
      </c>
      <c r="P7" s="29"/>
      <c r="Q7" s="29"/>
      <c r="R7" s="29"/>
      <c r="S7" s="29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39">
        <v>1000</v>
      </c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39">
        <v>130014.07279999999</v>
      </c>
      <c r="AU7" s="39">
        <v>130014.07279999999</v>
      </c>
      <c r="AV7" s="27"/>
      <c r="AW7" s="27"/>
      <c r="AX7" s="27"/>
      <c r="AY7" s="27" t="s">
        <v>35</v>
      </c>
      <c r="AZ7" s="27"/>
      <c r="BA7" s="27"/>
      <c r="BB7" s="27"/>
      <c r="BC7" s="27"/>
      <c r="BD7" s="27"/>
      <c r="BE7" s="39">
        <v>130000</v>
      </c>
      <c r="BF7" s="39">
        <v>130000</v>
      </c>
      <c r="BG7" s="27"/>
      <c r="BH7" s="27"/>
      <c r="BI7" s="27"/>
      <c r="BJ7" s="33">
        <v>1000</v>
      </c>
      <c r="BK7" s="27"/>
      <c r="BL7" s="27"/>
      <c r="BM7" s="27"/>
      <c r="BN7" s="27"/>
      <c r="BO7" s="40" t="s">
        <v>19</v>
      </c>
      <c r="BP7" s="27"/>
      <c r="BQ7" s="27"/>
      <c r="BR7" s="27"/>
      <c r="BS7" s="27"/>
      <c r="BT7" s="40" t="s">
        <v>22</v>
      </c>
      <c r="BU7" s="39">
        <v>3</v>
      </c>
      <c r="BV7" s="33">
        <v>0</v>
      </c>
      <c r="BW7" s="39">
        <v>14.072800000000001</v>
      </c>
      <c r="BX7" s="33">
        <v>0</v>
      </c>
      <c r="BY7" s="27"/>
      <c r="BZ7" s="27"/>
      <c r="CA7" s="27"/>
      <c r="CB7" s="27"/>
      <c r="CC7" s="27"/>
      <c r="CD7" s="27"/>
      <c r="CE7" s="41">
        <f t="shared" ca="1" si="0"/>
        <v>44412</v>
      </c>
      <c r="CF7" s="40" t="s">
        <v>31</v>
      </c>
      <c r="CG7" s="39">
        <v>2</v>
      </c>
      <c r="CH7" s="27"/>
      <c r="CI7" s="40" t="s">
        <v>19</v>
      </c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</row>
    <row r="8" spans="1:154" ht="15.75" customHeight="1">
      <c r="A8" s="29"/>
      <c r="B8" s="38" t="s">
        <v>24</v>
      </c>
      <c r="C8" s="29"/>
      <c r="D8" s="29"/>
      <c r="E8" s="37">
        <v>1000</v>
      </c>
      <c r="F8" s="29"/>
      <c r="G8" s="38" t="s">
        <v>33</v>
      </c>
      <c r="H8" s="37">
        <v>4</v>
      </c>
      <c r="I8" s="37">
        <v>5</v>
      </c>
      <c r="J8" s="29"/>
      <c r="K8" s="37">
        <v>120</v>
      </c>
      <c r="L8" s="37">
        <v>120</v>
      </c>
      <c r="M8" s="29"/>
      <c r="N8" s="29"/>
      <c r="O8" s="38" t="s">
        <v>21</v>
      </c>
      <c r="P8" s="29"/>
      <c r="Q8" s="29"/>
      <c r="R8" s="29"/>
      <c r="S8" s="29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9">
        <v>1000</v>
      </c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39">
        <v>120014.0672</v>
      </c>
      <c r="AU8" s="39">
        <v>120014.0672</v>
      </c>
      <c r="AV8" s="27"/>
      <c r="AW8" s="27"/>
      <c r="AX8" s="27"/>
      <c r="AY8" s="27" t="s">
        <v>35</v>
      </c>
      <c r="AZ8" s="27"/>
      <c r="BA8" s="27"/>
      <c r="BB8" s="27"/>
      <c r="BC8" s="27"/>
      <c r="BD8" s="27"/>
      <c r="BE8" s="39">
        <v>120000</v>
      </c>
      <c r="BF8" s="39">
        <v>120000</v>
      </c>
      <c r="BG8" s="27"/>
      <c r="BH8" s="27"/>
      <c r="BI8" s="27"/>
      <c r="BJ8" s="33">
        <v>1000</v>
      </c>
      <c r="BK8" s="27"/>
      <c r="BL8" s="27"/>
      <c r="BM8" s="27"/>
      <c r="BN8" s="27"/>
      <c r="BO8" s="40" t="s">
        <v>19</v>
      </c>
      <c r="BP8" s="27"/>
      <c r="BQ8" s="27"/>
      <c r="BR8" s="27"/>
      <c r="BS8" s="27"/>
      <c r="BT8" s="40" t="s">
        <v>18</v>
      </c>
      <c r="BU8" s="39">
        <v>3</v>
      </c>
      <c r="BV8" s="33">
        <v>0</v>
      </c>
      <c r="BW8" s="39">
        <v>14.0672</v>
      </c>
      <c r="BX8" s="33">
        <v>0</v>
      </c>
      <c r="BY8" s="27"/>
      <c r="BZ8" s="27"/>
      <c r="CA8" s="27"/>
      <c r="CB8" s="27"/>
      <c r="CC8" s="27"/>
      <c r="CD8" s="27"/>
      <c r="CE8" s="41">
        <f t="shared" ca="1" si="0"/>
        <v>44412</v>
      </c>
      <c r="CF8" s="40" t="s">
        <v>31</v>
      </c>
      <c r="CG8" s="39">
        <v>2</v>
      </c>
      <c r="CH8" s="27"/>
      <c r="CI8" s="40" t="s">
        <v>19</v>
      </c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</row>
    <row r="9" spans="1:154" ht="15.75" customHeight="1">
      <c r="A9" s="27"/>
      <c r="B9" s="40" t="s">
        <v>25</v>
      </c>
      <c r="C9" s="27"/>
      <c r="D9" s="27"/>
      <c r="E9" s="39">
        <v>1000</v>
      </c>
      <c r="F9" s="27"/>
      <c r="G9" s="40" t="s">
        <v>33</v>
      </c>
      <c r="H9" s="39">
        <v>4</v>
      </c>
      <c r="I9" s="39">
        <v>5</v>
      </c>
      <c r="J9" s="27"/>
      <c r="K9" s="39">
        <v>130</v>
      </c>
      <c r="L9" s="39">
        <v>130</v>
      </c>
      <c r="M9" s="27"/>
      <c r="N9" s="27"/>
      <c r="O9" s="40" t="s">
        <v>21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39">
        <v>1000</v>
      </c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39">
        <v>130014.07279999999</v>
      </c>
      <c r="AU9" s="39">
        <v>130014.07279999999</v>
      </c>
      <c r="AV9" s="27"/>
      <c r="AW9" s="27"/>
      <c r="AX9" s="27"/>
      <c r="AY9" s="27" t="s">
        <v>35</v>
      </c>
      <c r="AZ9" s="27"/>
      <c r="BA9" s="27"/>
      <c r="BB9" s="27"/>
      <c r="BC9" s="27"/>
      <c r="BD9" s="27"/>
      <c r="BE9" s="39">
        <v>130000</v>
      </c>
      <c r="BF9" s="39">
        <v>130000</v>
      </c>
      <c r="BG9" s="27"/>
      <c r="BH9" s="27"/>
      <c r="BI9" s="27"/>
      <c r="BJ9" s="33">
        <v>1000</v>
      </c>
      <c r="BK9" s="27"/>
      <c r="BL9" s="27"/>
      <c r="BM9" s="27"/>
      <c r="BN9" s="27"/>
      <c r="BO9" s="40" t="s">
        <v>19</v>
      </c>
      <c r="BP9" s="27"/>
      <c r="BQ9" s="27"/>
      <c r="BR9" s="27"/>
      <c r="BS9" s="27"/>
      <c r="BT9" s="40" t="s">
        <v>22</v>
      </c>
      <c r="BU9" s="39">
        <v>3</v>
      </c>
      <c r="BV9" s="33">
        <v>0</v>
      </c>
      <c r="BW9" s="39">
        <v>14.072800000000001</v>
      </c>
      <c r="BX9" s="33">
        <v>0</v>
      </c>
      <c r="BY9" s="27"/>
      <c r="BZ9" s="27"/>
      <c r="CA9" s="27"/>
      <c r="CB9" s="27"/>
      <c r="CC9" s="27"/>
      <c r="CD9" s="27"/>
      <c r="CE9" s="41">
        <f t="shared" ca="1" si="0"/>
        <v>44412</v>
      </c>
      <c r="CF9" s="40" t="s">
        <v>31</v>
      </c>
      <c r="CG9" s="39">
        <v>2</v>
      </c>
      <c r="CH9" s="27"/>
      <c r="CI9" s="40" t="s">
        <v>19</v>
      </c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</row>
    <row r="10" spans="1:154" ht="15.75" customHeight="1">
      <c r="A10" s="5"/>
      <c r="B10" s="40" t="s">
        <v>37</v>
      </c>
      <c r="C10" s="5"/>
      <c r="D10" s="5"/>
      <c r="E10" s="42">
        <v>2000</v>
      </c>
      <c r="F10" s="5"/>
      <c r="G10" s="40" t="s">
        <v>33</v>
      </c>
      <c r="H10" s="39">
        <v>4</v>
      </c>
      <c r="I10" s="39">
        <v>5</v>
      </c>
      <c r="J10" s="5"/>
      <c r="K10" s="37">
        <v>120</v>
      </c>
      <c r="L10" s="37">
        <v>120</v>
      </c>
      <c r="M10" s="5"/>
      <c r="N10" s="5"/>
      <c r="O10" s="7" t="s">
        <v>21</v>
      </c>
      <c r="AE10" s="42">
        <v>2000</v>
      </c>
      <c r="AT10" s="39">
        <v>240014.13440000001</v>
      </c>
      <c r="AU10" s="39">
        <v>240014.13440000001</v>
      </c>
      <c r="AY10" s="27" t="s">
        <v>35</v>
      </c>
      <c r="BE10" s="39">
        <v>240000</v>
      </c>
      <c r="BF10" s="39">
        <v>240000</v>
      </c>
      <c r="BJ10" s="6">
        <v>2000</v>
      </c>
      <c r="BO10" s="6" t="s">
        <v>19</v>
      </c>
      <c r="BT10" s="6" t="s">
        <v>18</v>
      </c>
      <c r="BU10" s="39">
        <v>3</v>
      </c>
      <c r="BV10" s="33">
        <v>0</v>
      </c>
      <c r="BW10" s="39">
        <v>14.134399999999999</v>
      </c>
      <c r="BX10" s="33">
        <v>0</v>
      </c>
      <c r="CE10" s="41">
        <f t="shared" ca="1" si="0"/>
        <v>44412</v>
      </c>
      <c r="CF10" s="40" t="s">
        <v>31</v>
      </c>
      <c r="CG10" s="39">
        <v>2</v>
      </c>
      <c r="CI10" s="40" t="s">
        <v>19</v>
      </c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7" t="s">
        <v>11</v>
      </c>
      <c r="C1" s="48"/>
      <c r="D1" s="48"/>
      <c r="E1" s="48"/>
      <c r="F1" s="48"/>
      <c r="G1" s="48"/>
      <c r="H1" s="4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45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26"/>
      <c r="B6" s="26"/>
      <c r="C6" s="40" t="s">
        <v>18</v>
      </c>
      <c r="D6" s="43">
        <v>1000</v>
      </c>
      <c r="E6" s="40" t="s">
        <v>20</v>
      </c>
      <c r="F6" s="40" t="s">
        <v>32</v>
      </c>
      <c r="G6" s="43">
        <v>120</v>
      </c>
      <c r="H6" s="29"/>
      <c r="I6" s="29"/>
      <c r="J6" s="29"/>
      <c r="K6" s="44"/>
      <c r="L6" s="29"/>
      <c r="M6" s="29"/>
      <c r="N6" s="29"/>
      <c r="O6" s="40" t="s">
        <v>43</v>
      </c>
      <c r="P6" s="29"/>
      <c r="Q6" s="29"/>
      <c r="R6" s="29"/>
      <c r="S6" s="29"/>
      <c r="T6" s="40" t="s">
        <v>33</v>
      </c>
      <c r="U6" s="40" t="s">
        <v>30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40" t="s">
        <v>19</v>
      </c>
      <c r="AO6" s="27"/>
      <c r="AP6" s="27"/>
      <c r="AQ6" s="40" t="s">
        <v>18</v>
      </c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40" t="s">
        <v>21</v>
      </c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40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</row>
    <row r="7" spans="1:167" ht="15.75" customHeight="1">
      <c r="A7" s="29"/>
      <c r="B7" s="29"/>
      <c r="C7" s="40" t="s">
        <v>18</v>
      </c>
      <c r="D7" s="43">
        <v>1000</v>
      </c>
      <c r="E7" s="40" t="s">
        <v>20</v>
      </c>
      <c r="F7" s="40" t="s">
        <v>32</v>
      </c>
      <c r="G7" s="43">
        <v>120</v>
      </c>
      <c r="H7" s="29"/>
      <c r="I7" s="29"/>
      <c r="J7" s="29"/>
      <c r="K7" s="44"/>
      <c r="L7" s="29"/>
      <c r="M7" s="29"/>
      <c r="N7" s="29"/>
      <c r="O7" s="40" t="s">
        <v>43</v>
      </c>
      <c r="P7" s="29"/>
      <c r="Q7" s="29"/>
      <c r="R7" s="29"/>
      <c r="S7" s="29"/>
      <c r="T7" s="40" t="s">
        <v>33</v>
      </c>
      <c r="U7" s="40" t="s">
        <v>30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40" t="s">
        <v>19</v>
      </c>
      <c r="AO7" s="27"/>
      <c r="AP7" s="27"/>
      <c r="AQ7" s="40" t="s">
        <v>18</v>
      </c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40" t="s">
        <v>21</v>
      </c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40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</row>
    <row r="8" spans="1:167" ht="15.75" customHeight="1">
      <c r="A8" s="29"/>
      <c r="B8" s="45"/>
      <c r="C8" s="40" t="s">
        <v>22</v>
      </c>
      <c r="D8" s="43">
        <v>1000</v>
      </c>
      <c r="E8" s="40" t="s">
        <v>23</v>
      </c>
      <c r="F8" s="40" t="s">
        <v>32</v>
      </c>
      <c r="G8" s="43">
        <v>130</v>
      </c>
      <c r="H8" s="29"/>
      <c r="I8" s="29"/>
      <c r="J8" s="29"/>
      <c r="K8" s="44"/>
      <c r="L8" s="29"/>
      <c r="M8" s="29"/>
      <c r="N8" s="29"/>
      <c r="O8" s="40" t="s">
        <v>44</v>
      </c>
      <c r="P8" s="29"/>
      <c r="Q8" s="29"/>
      <c r="R8" s="29"/>
      <c r="S8" s="29"/>
      <c r="T8" s="40" t="s">
        <v>33</v>
      </c>
      <c r="U8" s="40" t="s">
        <v>30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40" t="s">
        <v>19</v>
      </c>
      <c r="AO8" s="27"/>
      <c r="AP8" s="27"/>
      <c r="AQ8" s="40" t="s">
        <v>22</v>
      </c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40" t="s">
        <v>21</v>
      </c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40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</row>
    <row r="9" spans="1:167" ht="15.75" customHeight="1">
      <c r="A9" s="27"/>
      <c r="B9" s="28"/>
      <c r="C9" s="40" t="s">
        <v>18</v>
      </c>
      <c r="D9" s="43">
        <v>500</v>
      </c>
      <c r="E9" s="40" t="s">
        <v>23</v>
      </c>
      <c r="F9" s="40" t="s">
        <v>32</v>
      </c>
      <c r="G9" s="43">
        <v>120</v>
      </c>
      <c r="H9" s="27"/>
      <c r="I9" s="27"/>
      <c r="J9" s="27"/>
      <c r="K9" s="43"/>
      <c r="L9" s="27"/>
      <c r="M9" s="27"/>
      <c r="N9" s="27"/>
      <c r="O9" s="40" t="s">
        <v>43</v>
      </c>
      <c r="P9" s="27"/>
      <c r="Q9" s="27"/>
      <c r="R9" s="27"/>
      <c r="S9" s="27"/>
      <c r="T9" s="40" t="s">
        <v>33</v>
      </c>
      <c r="U9" s="40" t="s">
        <v>30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40" t="s">
        <v>19</v>
      </c>
      <c r="AO9" s="27"/>
      <c r="AP9" s="27"/>
      <c r="AQ9" s="40" t="s">
        <v>18</v>
      </c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40" t="s">
        <v>21</v>
      </c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40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</row>
    <row r="10" spans="1:167" ht="15.75" customHeight="1">
      <c r="A10" s="5"/>
      <c r="B10" s="5"/>
      <c r="C10" s="46" t="s">
        <v>18</v>
      </c>
      <c r="D10" s="43">
        <v>1000</v>
      </c>
      <c r="E10" s="40" t="s">
        <v>24</v>
      </c>
      <c r="F10" s="40" t="s">
        <v>36</v>
      </c>
      <c r="G10" s="43">
        <v>120</v>
      </c>
      <c r="H10" s="5"/>
      <c r="I10" s="5"/>
      <c r="J10" s="5"/>
      <c r="K10" s="5"/>
      <c r="L10" s="5"/>
      <c r="M10" s="5"/>
      <c r="N10" s="5"/>
      <c r="O10" s="40" t="s">
        <v>43</v>
      </c>
      <c r="T10" s="40" t="s">
        <v>33</v>
      </c>
      <c r="U10" s="40" t="s">
        <v>30</v>
      </c>
      <c r="AN10" s="40" t="s">
        <v>19</v>
      </c>
      <c r="AQ10" s="40" t="s">
        <v>18</v>
      </c>
      <c r="BR10" s="40" t="s">
        <v>21</v>
      </c>
    </row>
    <row r="11" spans="1:167" ht="15.75" customHeight="1">
      <c r="A11" s="5"/>
      <c r="B11" s="5"/>
      <c r="C11" s="40" t="s">
        <v>18</v>
      </c>
      <c r="D11" s="43">
        <v>500</v>
      </c>
      <c r="E11" s="40" t="s">
        <v>24</v>
      </c>
      <c r="F11" s="40" t="s">
        <v>36</v>
      </c>
      <c r="G11" s="43">
        <v>120</v>
      </c>
      <c r="H11" s="5"/>
      <c r="I11" s="5"/>
      <c r="J11" s="5"/>
      <c r="K11" s="5"/>
      <c r="L11" s="5"/>
      <c r="M11" s="5"/>
      <c r="N11" s="5"/>
      <c r="O11" s="40" t="s">
        <v>43</v>
      </c>
      <c r="T11" s="40" t="s">
        <v>33</v>
      </c>
      <c r="U11" s="40" t="s">
        <v>30</v>
      </c>
      <c r="AN11" s="40" t="s">
        <v>19</v>
      </c>
      <c r="AQ11" s="40" t="s">
        <v>18</v>
      </c>
      <c r="BR11" s="40" t="s">
        <v>21</v>
      </c>
    </row>
    <row r="12" spans="1:167" ht="15.75" customHeight="1">
      <c r="A12" s="5"/>
      <c r="B12" s="5"/>
      <c r="C12" s="40" t="s">
        <v>22</v>
      </c>
      <c r="D12" s="43">
        <v>1000</v>
      </c>
      <c r="E12" s="40" t="s">
        <v>25</v>
      </c>
      <c r="F12" s="40" t="s">
        <v>36</v>
      </c>
      <c r="G12" s="43">
        <v>130</v>
      </c>
      <c r="H12" s="5"/>
      <c r="I12" s="5"/>
      <c r="J12" s="5"/>
      <c r="K12" s="5"/>
      <c r="L12" s="5"/>
      <c r="M12" s="5"/>
      <c r="N12" s="5"/>
      <c r="O12" s="40" t="s">
        <v>44</v>
      </c>
      <c r="T12" s="40" t="s">
        <v>33</v>
      </c>
      <c r="U12" s="40" t="s">
        <v>30</v>
      </c>
      <c r="AN12" s="40" t="s">
        <v>19</v>
      </c>
      <c r="AQ12" s="40" t="s">
        <v>22</v>
      </c>
      <c r="BR12" s="40" t="s">
        <v>21</v>
      </c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0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ShowMasterFundOnTT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2021-08-04T10:31:14Z</dcterms:modified>
</cp:coreProperties>
</file>