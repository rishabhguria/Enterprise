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UpdateExpirationDate" sheetId="4" r:id="rId6"/>
    <sheet state="visible" name="SetClosingPreference" sheetId="5" r:id="rId7"/>
    <sheet state="visible" name="CreateDoneAwayOrder" sheetId="6" r:id="rId8"/>
    <sheet state="visible" name="GetMarkPriceData" sheetId="7" r:id="rId9"/>
    <sheet state="visible" name="UpdateMarkPrice" sheetId="8" r:id="rId10"/>
    <sheet state="visible" name="GetDataClosing" sheetId="9" r:id="rId11"/>
    <sheet state="visible" name="SelectTradeUnexpiredUnsettled" sheetId="10" r:id="rId12"/>
    <sheet state="visible" name="ExerciseAssignment" sheetId="11" r:id="rId13"/>
    <sheet state="visible" name="GetDataAllocation" sheetId="12" r:id="rId14"/>
    <sheet state="visible" name="CheckAllocatedGroups" sheetId="13" r:id="rId15"/>
    <sheet state="visible" name="CheckPortfolioManagement" sheetId="14" r:id="rId16"/>
  </sheets>
  <definedNames/>
  <calcPr/>
</workbook>
</file>

<file path=xl/sharedStrings.xml><?xml version="1.0" encoding="utf-8"?>
<sst xmlns="http://schemas.openxmlformats.org/spreadsheetml/2006/main" count="274" uniqueCount="59">
  <si>
    <t>Modules Info</t>
  </si>
  <si>
    <t>Modules</t>
  </si>
  <si>
    <t>Settings</t>
  </si>
  <si>
    <t>Module Step Setting File</t>
  </si>
  <si>
    <t>1-OnCJJHP2ByjdYbF53fJwv9z4thBiHnNugUdMvYm2nU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</si>
  <si>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</si>
  <si>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</si>
  <si>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</si>
  <si>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</si>
  <si>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</si>
  <si>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</si>
  <si>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</si>
  <si>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Admin</t>
  </si>
  <si>
    <t>UpdateExpirationDate</t>
  </si>
  <si>
    <t>Data Format</t>
  </si>
  <si>
    <t>Input Format</t>
  </si>
  <si>
    <t xml:space="preserve"> O:AAPL 13N715.00</t>
  </si>
  <si>
    <t>Closing</t>
  </si>
  <si>
    <t>SetClosingPreference</t>
  </si>
  <si>
    <t>TradingTicket</t>
  </si>
  <si>
    <t>CreateDoneAwayOrder</t>
  </si>
  <si>
    <t>AAPL</t>
  </si>
  <si>
    <t>Buy</t>
  </si>
  <si>
    <t>Allocation1</t>
  </si>
  <si>
    <t>MS</t>
  </si>
  <si>
    <t>Sell</t>
  </si>
  <si>
    <t>O:AAPL 13N715.00</t>
  </si>
  <si>
    <t>Buy to Open</t>
  </si>
  <si>
    <t>DailyValuation</t>
  </si>
  <si>
    <t>GetMarkPriceData</t>
  </si>
  <si>
    <t>UpdateMarkPrice</t>
  </si>
  <si>
    <t>GetDataClosing</t>
  </si>
  <si>
    <t>Historical</t>
  </si>
  <si>
    <t>SelectTradeUnexpiredUnsettled</t>
  </si>
  <si>
    <t>Open</t>
  </si>
  <si>
    <t>ExerciseAssignment</t>
  </si>
  <si>
    <t>Allocation</t>
  </si>
  <si>
    <t>GetDataAllocation</t>
  </si>
  <si>
    <t>CheckAllocatedGroups</t>
  </si>
  <si>
    <t/>
  </si>
  <si>
    <t>Equity</t>
  </si>
  <si>
    <t>USD</t>
  </si>
  <si>
    <t>US</t>
  </si>
  <si>
    <t>NONE</t>
  </si>
  <si>
    <t>EquityOption</t>
  </si>
  <si>
    <t>Closed</t>
  </si>
  <si>
    <t>Sell to Close</t>
  </si>
  <si>
    <t>Exercise</t>
  </si>
  <si>
    <t>Sell short</t>
  </si>
  <si>
    <t>BuytoOpen</t>
  </si>
  <si>
    <t>PortfolioManagement</t>
  </si>
  <si>
    <t>CheckPortfolioManagement</t>
  </si>
  <si>
    <t>NewMF</t>
  </si>
  <si>
    <t>Short</t>
  </si>
  <si>
    <t>APPLE</t>
  </si>
  <si>
    <t>Strategy Unallocated</t>
  </si>
  <si>
    <t>NASDAQ</t>
  </si>
  <si>
    <t>Long</t>
  </si>
  <si>
    <t>AAPL US EQUITY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</si>
</sst>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14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0.0"/>
      <color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7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5" numFmtId="0" xfId="0" applyAlignment="1" applyFont="1">
      <alignment vertical="bottom"/>
    </xf>
    <xf borderId="0" fillId="0" fontId="5" numFmtId="164" xfId="0" applyAlignment="1" applyFont="1" applyNumberFormat="1">
      <alignment horizontal="right" vertical="bottom"/>
    </xf>
    <xf borderId="0" fillId="0" fontId="5" numFmtId="0" xfId="0" applyAlignment="1" applyFont="1">
      <alignment readingOrder="0" shrinkToFit="0" wrapText="0"/>
    </xf>
    <xf borderId="5" fillId="0" fontId="5" numFmtId="0" xfId="0" applyAlignment="1" applyBorder="1" applyFont="1">
      <alignment horizontal="center" vertical="bottom"/>
    </xf>
    <xf borderId="6" fillId="0" fontId="3" numFmtId="0" xfId="0" applyAlignment="1" applyBorder="1" applyFont="1">
      <alignment vertical="bottom"/>
    </xf>
    <xf borderId="6" fillId="0" fontId="5" numFmtId="0" xfId="0" applyAlignment="1" applyBorder="1" applyFont="1">
      <alignment horizontal="center" vertical="bottom"/>
    </xf>
    <xf borderId="0" fillId="0" fontId="3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horizontal="right" vertical="bottom"/>
    </xf>
    <xf borderId="0" fillId="0" fontId="5" numFmtId="14" xfId="0" applyAlignment="1" applyFont="1" applyNumberFormat="1">
      <alignment horizontal="right" vertical="bottom"/>
    </xf>
    <xf borderId="0" fillId="0" fontId="3" numFmtId="0" xfId="0" applyAlignment="1" applyFont="1">
      <alignment horizontal="right" vertical="bottom"/>
    </xf>
    <xf borderId="0" fillId="0" fontId="3" numFmtId="0" xfId="0" applyAlignment="1" applyFont="1">
      <alignment shrinkToFit="0" vertical="bottom" wrapText="0"/>
    </xf>
    <xf borderId="0" fillId="0" fontId="5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IFERROR(__xludf.DUMMYFUNCTION("""COMPUTED_VALUE"""),"1kXWX5XbWkcCarG3_NeoZcsMD84Dg7Y1HBOol0fT3llw")</f>
        <v>1kXWX5XbWkcCarG3_NeoZcsMD84Dg7Y1HBOol0fT3llw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IFERROR(__xludf.DUMMYFUNCTION("""COMPUTED_VALUE"""),"1Fsx99xjLV4wXC7CsT9wtcnBrZWmyHtcJTabwhtzutts")</f>
        <v>1Fsx99xjLV4wXC7CsT9wtcnBrZWmyHtcJTabwhtzutts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IFERROR(__xludf.DUMMYFUNCTION("""COMPUTED_VALUE"""),"1zHzWd-dKjjhFUjGMV5t3NQvfyrdLY3UgzQqgPYz_w-M")</f>
        <v>1zHzWd-dKjjhFUjGMV5t3NQvfyrdLY3UgzQqgPYz_w-M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IFERROR(__xludf.DUMMYFUNCTION("""COMPUTED_VALUE"""),"1Od578flUHxwEJwC1Fz1DITVFvR2djQefHIh7VovYb4w")</f>
        <v>1Od578flUHxwEJwC1Fz1DITVFvR2djQefHIh7VovYb4w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IFERROR(__xludf.DUMMYFUNCTION("""COMPUTED_VALUE"""),"1UDUQRoc1aD2NzlOBbpEHizmHA_TClEqDOUqmI85UdPY")</f>
        <v>1UDUQRoc1aD2NzlOBbpEHizmHA_TClEqDOUqmI85UdPY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IFERROR(__xludf.DUMMYFUNCTION("""COMPUTED_VALUE"""),"13ZrsiZ70OIEAatRBfOiR_gV5rJ_midISjjF8v-4eL0Y")</f>
        <v>13ZrsiZ70OIEAatRBfOiR_gV5rJ_midISjjF8v-4eL0Y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IFERROR(__xludf.DUMMYFUNCTION("""COMPUTED_VALUE"""),"1tyMnWQY__e4MUR_xwPpIDDmcPGtTnjD3W3VkZKeGYzI")</f>
        <v>1tyMnWQY__e4MUR_xwPpIDDmcPGtTnjD3W3VkZKeGYzI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IFERROR(__xludf.DUMMYFUNCTION("""COMPUTED_VALUE"""),"1USUg7JbYRIA3kdfb0kw6ZMMOSpQ1ZYhS75Gao9wR5T8")</f>
        <v>1USUg7JbYRIA3kdfb0kw6ZMMOSpQ1ZYhS75Gao9wR5T8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IFERROR(__xludf.DUMMYFUNCTION("""COMPUTED_VALUE"""),"1p2p6gSqvocKogadVT8EcyD1uh3PHpJ19DpW4ijaPhxE")</f>
        <v>1p2p6gSqvocKogadVT8EcyD1uh3PHpJ19DpW4ijaPhxE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IFERROR(__xludf.DUMMYFUNCTION("""COMPUTED_VALUE"""),"19uFS9OGON_IU8FmYpPrX0mhGeWrYqRslB9hXN6_tcJw")</f>
        <v>19uFS9OGON_IU8FmYpPrX0mhGeWrYqRslB9hXN6_tcJw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IFERROR(__xludf.DUMMYFUNCTION("""COMPUTED_VALUE"""),"1-XlUXAxaC6I6StmIuxYN-EpjycpOsKaKUTf2A8ycEz8")</f>
        <v>1-XlUXAxaC6I6StmIuxYN-EpjycpOsKaKUTf2A8ycEz8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IFERROR(__xludf.DUMMYFUNCTION("""COMPUTED_VALUE"""),"1sL_WZLppCT4Ki-R3zoVfUsjrZLxQpK1e4BjriH8glWU")</f>
        <v>1sL_WZLppCT4Ki-R3zoVfUsjrZLxQpK1e4BjriH8glWU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IFERROR(__xludf.DUMMYFUNCTION("""COMPUTED_VALUE"""),"102WNNSUlKvyh3foJRyeIRNwf9zLZy3mPzlXFy3nx5eI")</f>
        <v>102WNNSUlKvyh3foJRyeIRNwf9zLZy3mPzlXFy3nx5eI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IFERROR(__xludf.DUMMYFUNCTION("""COMPUTED_VALUE"""),"1-0Em95ZN9Vt-zKWBJwpEk4-Gv9MytxdcIN56mf3XmAY")</f>
        <v>1-0Em95ZN9Vt-zKWBJwpEk4-Gv9MytxdcIN56mf3XmAY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IFERROR(__xludf.DUMMYFUNCTION("""COMPUTED_VALUE"""),"1XBVNrYsG0mscyH68ut4sRom8XHcikIuM5L2SZOnTqh8")</f>
        <v>1XBVNrYsG0mscyH68ut4sRom8XHcikIuM5L2SZOnTqh8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IFERROR(__xludf.DUMMYFUNCTION("""COMPUTED_VALUE"""),"1dVMhvhPJNkuRqzig0Yyxm9TcxCvSCxm4pGTHTUTnsRE")</f>
        <v>1dVMhvhPJNkuRqzig0Yyxm9TcxCvSCxm4pGTHTUTnsRE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IFERROR(__xludf.DUMMYFUNCTION("""COMPUTED_VALUE"""),"1VgfvPkC2fO8lxFnWeV2SJts5aU1T2aFQ0qKO0SLQUe8")</f>
        <v>1VgfvPkC2fO8lxFnWeV2SJts5aU1T2aFQ0qKO0SLQUe8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IFERROR(__xludf.DUMMYFUNCTION("""COMPUTED_VALUE"""),"1zW-ZRiE_Nva2mXz7B9Rcq8AEgDMa5eZaUAA_V2cuGso")</f>
        <v>1zW-ZRiE_Nva2mXz7B9Rcq8AEgDMa5eZaUAA_V2cuGso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IFERROR(__xludf.DUMMYFUNCTION("""COMPUTED_VALUE"""),"16RytMV8yiBXzfJCYZpll7LZktPSSGF4KWO7qf7ok8JQ")</f>
        <v>16RytMV8yiBXzfJCYZpll7LZktPSSGF4KWO7qf7ok8JQ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IFERROR(__xludf.DUMMYFUNCTION("""COMPUTED_VALUE"""),"1enXmitAcl2gpCRQiXEHfGs14iE42srrOblgmWD48ZBs")</f>
        <v>1enXmitAcl2gpCRQiXEHfGs14iE42srrOblgmWD48ZBs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IFERROR(__xludf.DUMMYFUNCTION("""COMPUTED_VALUE"""),"1C7Ks4F1TdJ8FZ6aZHjbrGn084nRfj8jEyfA5AFY5Nq0")</f>
        <v>1C7Ks4F1TdJ8FZ6aZHjbrGn084nRfj8jEyfA5AFY5Nq0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IFERROR(__xludf.DUMMYFUNCTION("""COMPUTED_VALUE"""),"1ZYl3uoCzgPXxwJvvcfCJFn-BuPdlu5gk2xFErxHot4E")</f>
        <v>1ZYl3uoCzgPXxwJvvcfCJFn-BuPdlu5gk2xFErxHot4E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IFERROR(__xludf.DUMMYFUNCTION("""COMPUTED_VALUE"""),"1dhMZot7F9QQRFijtknpohXOzfw-LKDG0jNChXBmHnV0")</f>
        <v>1dhMZot7F9QQRFijtknpohXOzfw-LKDG0jNChXBmHnV0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IFERROR(__xludf.DUMMYFUNCTION("""COMPUTED_VALUE"""),"1PvJslce4o2d-qEGhOJrynvXMJkt18ljCw9Pu5raIKXY")</f>
        <v>1PvJslce4o2d-qEGhOJrynvXMJkt18ljCw9Pu5raIKXY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IFERROR(__xludf.DUMMYFUNCTION("""COMPUTED_VALUE"""),"1MWj-Ewd_04hjbFCDp4jovmv42JdTVXl3OPLl_2Xl8YM")</f>
        <v>1MWj-Ewd_04hjbFCDp4jovmv42JdTVXl3OPLl_2Xl8YM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IFERROR(__xludf.DUMMYFUNCTION("""COMPUTED_VALUE"""),"14QSrtmSo-hnXcnllkpyGNjEuADSVYEG-iEsa8-G5EZw")</f>
        <v>14QSrtmSo-hnXcnllkpyGNjEuADSVYEG-iEsa8-G5EZw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IFERROR(__xludf.DUMMYFUNCTION("""COMPUTED_VALUE"""),"1Cgo4_M28Dd3NnKk4ASpCKTv_dvi6I8bjSSceZyVjX9A")</f>
        <v>1Cgo4_M28Dd3NnKk4ASpCKTv_dvi6I8bjSSceZyVjX9A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IFERROR(__xludf.DUMMYFUNCTION("""COMPUTED_VALUE"""),"1nGpwtxrIFtmReUhGpIilT0MevcyxkX19n4HnGhdnzYE")</f>
        <v>1nGpwtxrIFtmReUhGpIilT0MevcyxkX19n4HnGhdnzYE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IFERROR(__xludf.DUMMYFUNCTION("""COMPUTED_VALUE"""),"1Kg0g4qJialeFYzLCU4TTV0I5NyaTDDmAlGxn3x6T-ok")</f>
        <v>1Kg0g4qJialeFYzLCU4TTV0I5NyaTDDmAlGxn3x6T-ok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IFERROR(__xludf.DUMMYFUNCTION("""COMPUTED_VALUE"""),"1_Go4Nh_j8RGdlKm_DDwyvOgfOr3AwhBuVa9rA-AUAOw")</f>
        <v>1_Go4Nh_j8RGdlKm_DDwyvOgfOr3AwhBuVa9rA-AUAOw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IFERROR(__xludf.DUMMYFUNCTION("""COMPUTED_VALUE"""),"1054Dp-OxM1p-rZnzzSqh-SqQkpD8Z_OWXg3CfFdqy7M")</f>
        <v>1054Dp-OxM1p-rZnzzSqh-SqQkpD8Z_OWXg3CfFdqy7M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IFERROR(__xludf.DUMMYFUNCTION("""COMPUTED_VALUE"""),"1uWQj54UjFWhgsLL9n5pavuSkyyDXc2Vcn7SoBgryi3o")</f>
        <v>1uWQj54UjFWhgsLL9n5pavuSkyyDXc2Vcn7SoBgryi3o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IFERROR(__xludf.DUMMYFUNCTION("""COMPUTED_VALUE"""),"1QaI6E-t-jX8GKJ5JGoQ4u9mtVMyU1Cn0CKimTSyR5q4")</f>
        <v>1QaI6E-t-jX8GKJ5JGoQ4u9mtVMyU1Cn0CKimTSyR5q4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IFERROR(__xludf.DUMMYFUNCTION("""COMPUTED_VALUE"""),"11J2CyS04tBp4uY6TcAPw3JIrDRfa-LbGSO4t2uHxwps")</f>
        <v>11J2CyS04tBp4uY6TcAPw3JIrDRfa-LbGSO4t2uHxwps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IFERROR(__xludf.DUMMYFUNCTION("""COMPUTED_VALUE"""),"1M_vWwbJmnVHSZCn_aXTbhje_gX1wR7qPtpIVUwfXXEI")</f>
        <v>1M_vWwbJmnVHSZCn_aXTbhje_gX1wR7qPtpIVUwfXXEI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IFERROR(__xludf.DUMMYFUNCTION("""COMPUTED_VALUE"""),"1vFZ64ryr2VFLcElyXorjcKwwOhZ8tjDhryLIAHy27bE")</f>
        <v>1vFZ64ryr2VFLcElyXorjcKwwOhZ8tjDhryLIAHy27bE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IFERROR(__xludf.DUMMYFUNCTION("""COMPUTED_VALUE"""),"1L3gN238YfNhME2oXANYOxsDqCsLD4ZEHIlA5Jsb6m6c")</f>
        <v>1L3gN238YfNhME2oXANYOxsDqCsLD4ZEHIlA5Jsb6m6c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IFERROR(__xludf.DUMMYFUNCTION("""COMPUTED_VALUE"""),"1pKHneTUFUr5WXMe4F-VBAmct-wXnePCUdmBXuOqeVuw")</f>
        <v>1pKHneTUFUr5WXMe4F-VBAmct-wXnePCUdmBXuOqeVuw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IFERROR(__xludf.DUMMYFUNCTION("""COMPUTED_VALUE"""),"1WzU1RiZXL_7t6r0dcR0WnXz71am7fUsr-wU3kjWCtaE")</f>
        <v>1WzU1RiZXL_7t6r0dcR0WnXz71am7fUsr-wU3kjWCtaE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IFERROR(__xludf.DUMMYFUNCTION("""COMPUTED_VALUE"""),"1RIHUYWPMKXGpnAsp4Jz6Em30T64FYyR5TIgIkrla3yU")</f>
        <v>1RIHUYWPMKXGpnAsp4Jz6Em30T64FYyR5TIgIkrla3yU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IFERROR(__xludf.DUMMYFUNCTION("""COMPUTED_VALUE"""),"1Q3CvcJTXAvTE2mBIvHOTKjxVj65x69-r_2DX4vvEdI8")</f>
        <v>1Q3CvcJTXAvTE2mBIvHOTKjxVj65x69-r_2DX4vvEdI8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IFERROR(__xludf.DUMMYFUNCTION("""COMPUTED_VALUE"""),"1wNuNwZOJqtA-8mRJL9Ia6-naXg3bSmEyC3qYtF3Zb6k")</f>
        <v>1wNuNwZOJqtA-8mRJL9Ia6-naXg3bSmEyC3qYtF3Zb6k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IFERROR(__xludf.DUMMYFUNCTION("""COMPUTED_VALUE"""),"1v2TwlXYUVTAW9403xEXtZUKOP9DAhnmCSHAEgc6AVaI")</f>
        <v>1v2TwlXYUVTAW9403xEXtZUKOP9DAhnmCSHAEgc6AVaI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IFERROR(__xludf.DUMMYFUNCTION("""COMPUTED_VALUE"""),"1N-zYKtF75gyqLL5P02km4hZ7Jkr0uNE2IK0AoWpxdB4")</f>
        <v>1N-zYKtF75gyqLL5P02km4hZ7Jkr0uNE2IK0AoWpxdB4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IFERROR(__xludf.DUMMYFUNCTION("""COMPUTED_VALUE"""),"1USUFnv2khq0UbjkrPU_zQJSuYXrvmItX38YEDm8i76M")</f>
        <v>1USUFnv2khq0UbjkrPU_zQJSuYXrvmItX38YEDm8i76M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IFERROR(__xludf.DUMMYFUNCTION("""COMPUTED_VALUE"""),"1yQCR9Blg-BWAFR5rejoQ3Xot5kTqa1YSrepP8yRI0no")</f>
        <v>1yQCR9Blg-BWAFR5rejoQ3Xot5kTqa1YSrepP8yRI0no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IFERROR(__xludf.DUMMYFUNCTION("""COMPUTED_VALUE"""),"1xR2U77hDGoYiG9UJiadlkCtex4CRP3XdEHpNVb6-_DU")</f>
        <v>1xR2U77hDGoYiG9UJiadlkCtex4CRP3XdEHpNVb6-_DU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IFERROR(__xludf.DUMMYFUNCTION("""COMPUTED_VALUE"""),"1H1EToJE2qBCDCNT5pO7WcuJ0iHV1kDkWlUcEtahS-t0")</f>
        <v>1H1EToJE2qBCDCNT5pO7WcuJ0iHV1kDkWlUcEtahS-t0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IFERROR(__xludf.DUMMYFUNCTION("""COMPUTED_VALUE"""),"1Yd3RGZzNaXytrUWlc8Ri6Dz4jB5W5r3-aLLpT8fi0WQ")</f>
        <v>1Yd3RGZzNaXytrUWlc8Ri6Dz4jB5W5r3-aLLpT8fi0WQ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IFERROR(__xludf.DUMMYFUNCTION("""COMPUTED_VALUE"""),"1NdBqiHIw-u9pqZMPVlcNKatJPe7upqebG7W2y5rMqzE")</f>
        <v>1NdBqiHIw-u9pqZMPVlcNKatJPe7upqebG7W2y5rMqzE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IFERROR(__xludf.DUMMYFUNCTION("""COMPUTED_VALUE"""),"1_lJmD986KGGdVst_lNkOtnFwiUJJsqL0-r0ZnsgbBOY")</f>
        <v>1_lJmD986KGGdVst_lNkOtnFwiUJJsqL0-r0ZnsgbBOY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IFERROR(__xludf.DUMMYFUNCTION("""COMPUTED_VALUE"""),"1pMOWszVmrlGDHYTadcb5_EUVP8T4vk6pLOP4_kFCagw")</f>
        <v>1pMOWszVmrlGDHYTadcb5_EUVP8T4vk6pLOP4_kFCagw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IFERROR(__xludf.DUMMYFUNCTION("""COMPUTED_VALUE"""),"1QLeyqVSjQtcuPzU9zlGJg_H8l4QWFjACqX99YM-g82I")</f>
        <v>1QLeyqVSjQtcuPzU9zlGJg_H8l4QWFjACqX99YM-g82I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IFERROR(__xludf.DUMMYFUNCTION("""COMPUTED_VALUE"""),"1gdeUgF-J2HwokdWex9YmjHD4Ccg50-NZB7E8YkmPtOo")</f>
        <v>1gdeUgF-J2HwokdWex9YmjHD4Ccg50-NZB7E8YkmPtOo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IFERROR(__xludf.DUMMYFUNCTION("""COMPUTED_VALUE"""),"1Zu2Bi3EmtHPhjLwCDeJ29XaN2qT3Qxabh7bCJWu7PTI")</f>
        <v>1Zu2Bi3EmtHPhjLwCDeJ29XaN2qT3Qxabh7bCJWu7PTI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IFERROR(__xludf.DUMMYFUNCTION("""COMPUTED_VALUE"""),"1ODsvxjkKKhh0dGDsE_DQyuSMdpx2X9J4089o-Dt1a9A")</f>
        <v>1ODsvxjkKKhh0dGDsE_DQyuSMdpx2X9J4089o-Dt1a9A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IFERROR(__xludf.DUMMYFUNCTION("""COMPUTED_VALUE"""),"1faXJF5y2ZVHmLsgikwmvDB-Jtq_rGbNG6zlAUDzRBtA")</f>
        <v>1faXJF5y2ZVHmLsgikwmvDB-Jtq_rGbNG6zlAUDzRBtA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IFERROR(__xludf.DUMMYFUNCTION("""COMPUTED_VALUE"""),"1llt7_DP_NqeceNLLJIKbcJarV5Lqj6ALOHCKOuJmGjk")</f>
        <v>1llt7_DP_NqeceNLLJIKbcJarV5Lqj6ALOHCKOuJmGjk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IFERROR(__xludf.DUMMYFUNCTION("""COMPUTED_VALUE"""),"1fNu6gI_y_85KD4O0jSI66dgRQwcPPJheWBdLlHvTGFg")</f>
        <v>1fNu6gI_y_85KD4O0jSI66dgRQwcPPJheWBdLlHvTGFg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IFERROR(__xludf.DUMMYFUNCTION("""COMPUTED_VALUE"""),"1YxoMrdMTEXgWpPXHs7vTOHT3Df0ifrbC19UEqshVQfI")</f>
        <v>1YxoMrdMTEXgWpPXHs7vTOHT3Df0ifrbC19UEqshVQfI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IFERROR(__xludf.DUMMYFUNCTION("""COMPUTED_VALUE"""),"1l2YY8Mzn32EgaMbMJhhzT2XMWHmURG-s0Zu8Olt_3fU")</f>
        <v>1l2YY8Mzn32EgaMbMJhhzT2XMWHmURG-s0Zu8Olt_3fU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IFERROR(__xludf.DUMMYFUNCTION("""COMPUTED_VALUE"""),"12vKN0G7oN8cWEJ4AlpsbQhg1ZjcvZZ4xGj4U--I5G90")</f>
        <v>12vKN0G7oN8cWEJ4AlpsbQhg1ZjcvZZ4xGj4U--I5G90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IFERROR(__xludf.DUMMYFUNCTION("""COMPUTED_VALUE"""),"1kAt3Mgmw5tT6toTdnsGHKVMKAVf3hEh5XynY25StseE")</f>
        <v>1kAt3Mgmw5tT6toTdnsGHKVMKAVf3hEh5XynY25StseE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IFERROR(__xludf.DUMMYFUNCTION("""COMPUTED_VALUE"""),"16DnLu_yRMpQd_JaFe_TkLYqrruNMkt7YlE7TbZhNq1k")</f>
        <v>16DnLu_yRMpQd_JaFe_TkLYqrruNMkt7YlE7TbZhNq1k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IFERROR(__xludf.DUMMYFUNCTION("""COMPUTED_VALUE"""),"10JstdZ0oAMKlf3YcIFD3LEy3lSUVJZ88BP-uXbM_37M")</f>
        <v>10JstdZ0oAMKlf3YcIFD3LEy3lSUVJZ88BP-uXbM_37M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IFERROR(__xludf.DUMMYFUNCTION("""COMPUTED_VALUE"""),"10lnSWIZEIkkrpKRGZSTZZ3CJwUT2e_wja-kp_hFbqgs")</f>
        <v>10lnSWIZEIkkrpKRGZSTZZ3CJwUT2e_wja-kp_hFbqgs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IFERROR(__xludf.DUMMYFUNCTION("""COMPUTED_VALUE"""),"10v0BJe2YKjTEVcglnAbRuMYRHHr2FY-iAfdpmMRzRiE")</f>
        <v>10v0BJe2YKjTEVcglnAbRuMYRHHr2FY-iAfdpmMRzRiE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IFERROR(__xludf.DUMMYFUNCTION("""COMPUTED_VALUE"""),"1isIZCSjuRGxfoo8ExjjNDs0TzIIeZIsHSnQvqmaDKQI")</f>
        <v>1isIZCSjuRGxfoo8ExjjNDs0TzIIeZIsHSnQvqmaDKQI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IFERROR(__xludf.DUMMYFUNCTION("""COMPUTED_VALUE"""),"1on24Xx1A89RTEZQ936dDTQItTDtvLOJ0q7jxDMXximg")</f>
        <v>1on24Xx1A89RTEZQ936dDTQItTDtvLOJ0q7jxDMXximg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IFERROR(__xludf.DUMMYFUNCTION("""COMPUTED_VALUE"""),"1oazHOMbdZzIFqt9RWTRPe_FI8r-VEbDEKFhRoyrF_ZI")</f>
        <v>1oazHOMbdZzIFqt9RWTRPe_FI8r-VEbDEKFhRoyrF_ZI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IFERROR(__xludf.DUMMYFUNCTION("""COMPUTED_VALUE"""),"1C1ihxuii7UtcJWaOpuhmq2xNZfrmJtCRgTQInc4VfTM")</f>
        <v>1C1ihxuii7UtcJWaOpuhmq2xNZfrmJtCRgTQInc4VfTM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IFERROR(__xludf.DUMMYFUNCTION("""COMPUTED_VALUE"""),"1NTjIJzn83A5UVkjxsSH3LnmJ5c7qV5uOQs8vtIWCRLg")</f>
        <v>1NTjIJzn83A5UVkjxsSH3LnmJ5c7qV5uOQs8vtIWCRLg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IFERROR(__xludf.DUMMYFUNCTION("""COMPUTED_VALUE"""),"1zKwPhUWsQiJuXW-5M_TapYbtIUsySxSnBvlnGGYS6Ak")</f>
        <v>1zKwPhUWsQiJuXW-5M_TapYbtIUsySxSnBvlnGGYS6Ak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IFERROR(__xludf.DUMMYFUNCTION("""COMPUTED_VALUE"""),"1kv8v1CbDlw931gEvlCVeiXqmEc9l3QCI_MwkOELS2qw")</f>
        <v>1kv8v1CbDlw931gEvlCVeiXqmEc9l3QCI_MwkOELS2qw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IFERROR(__xludf.DUMMYFUNCTION("""COMPUTED_VALUE"""),"1gC0fGcg2kDadwcHwX4w3_k5mEk9qKGCjBN44zKok6kw")</f>
        <v>1gC0fGcg2kDadwcHwX4w3_k5mEk9qKGCjBN44zKok6kw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IFERROR(__xludf.DUMMYFUNCTION("""COMPUTED_VALUE"""),"1szyA-wnQxJNDjKp5TPI-uk3EJyLpMX2K0QEQn9jfQ7U")</f>
        <v>1szyA-wnQxJNDjKp5TPI-uk3EJyLpMX2K0QEQn9jfQ7U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IFERROR(__xludf.DUMMYFUNCTION("""COMPUTED_VALUE"""),"1OIjDCM6TnKKQSDlidlK0dxEESXLKiqUJwn0hQQ_tBgg")</f>
        <v>1OIjDCM6TnKKQSDlidlK0dxEESXLKiqUJwn0hQQ_tBgg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IFERROR(__xludf.DUMMYFUNCTION("""COMPUTED_VALUE"""),"1-EkhvJm1K679q763Pphv6jCkS338lkjK1empSqlEI6g")</f>
        <v>1-EkhvJm1K679q763Pphv6jCkS338lkjK1empSqlEI6g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IFERROR(__xludf.DUMMYFUNCTION("""COMPUTED_VALUE"""),"1DXbBxZ56O_c_EOU2QMzew8pcePIeS9V7oBQzfHm1nrU")</f>
        <v>1DXbBxZ56O_c_EOU2QMzew8pcePIeS9V7oBQzfHm1nrU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IFERROR(__xludf.DUMMYFUNCTION("""COMPUTED_VALUE"""),"1_jCrLemDOFwKSZ0VodisRVJ3gJ2pYEa9vtELYDKZ7D8")</f>
        <v>1_jCrLemDOFwKSZ0VodisRVJ3gJ2pYEa9vtELYDKZ7D8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IFERROR(__xludf.DUMMYFUNCTION("""COMPUTED_VALUE"""),"16RHY1TeGLbg5aTXsB-Ui80dCjjhaTX8_mez3VOo9FEk")</f>
        <v>16RHY1TeGLbg5aTXsB-Ui80dCjjhaTX8_mez3VOo9FEk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IFERROR(__xludf.DUMMYFUNCTION("""COMPUTED_VALUE"""),"1TXu6gXnarAC8lKHRoBfjneR2t9URT4SQRLYj-_dv9B8")</f>
        <v>1TXu6gXnarAC8lKHRoBfjneR2t9URT4SQRLYj-_dv9B8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IFERROR(__xludf.DUMMYFUNCTION("""COMPUTED_VALUE"""),"1VH3caZODr9iY2kqHjoSV3FhwJni6tKZaHoFPgAW7oH0")</f>
        <v>1VH3caZODr9iY2kqHjoSV3FhwJni6tKZaHoFPgAW7oH0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IFERROR(__xludf.DUMMYFUNCTION("""COMPUTED_VALUE"""),"1WwXkdWAh3bdjgnontJiBzztlPilW0CctfCnAlV9Jtsk")</f>
        <v>1WwXkdWAh3bdjgnontJiBzztlPilW0CctfCnAlV9Jtsk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IFERROR(__xludf.DUMMYFUNCTION("""COMPUTED_VALUE"""),"1GHbxG_gmo0oAM2ECsMcvjgkbxL3HmvWhdwso0kHhxxY")</f>
        <v>1GHbxG_gmo0oAM2ECsMcvjgkbxL3HmvWhdwso0kHhxxY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IFERROR(__xludf.DUMMYFUNCTION("""COMPUTED_VALUE"""),"1GswznQiWvhiSC0OEO7CQehE7tAU2I_GAPgMkpYmR8HY")</f>
        <v>1GswznQiWvhiSC0OEO7CQehE7tAU2I_GAPgMkpYmR8HY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IFERROR(__xludf.DUMMYFUNCTION("""COMPUTED_VALUE"""),"1JSV--K7Q9AVdFghlAQLPvoliFST4hJcrUqb7Lm7ht_s")</f>
        <v>1JSV--K7Q9AVdFghlAQLPvoliFST4hJcrUqb7Lm7ht_s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IFERROR(__xludf.DUMMYFUNCTION("""COMPUTED_VALUE"""),"1o4SeiIVOvtilKbWLzkvKtCGRHUJvLPzFD3kWYlOTDFY")</f>
        <v>1o4SeiIVOvtilKbWLzkvKtCGRHUJvLPzFD3kWYlOTDFY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IFERROR(__xludf.DUMMYFUNCTION("""COMPUTED_VALUE"""),"1PykwrxeWk59EvKJjR2-bkrhi9UOWXCqXJ9LsY_QGIyg")</f>
        <v>1PykwrxeWk59EvKJjR2-bkrhi9UOWXCqXJ9LsY_QGIyg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IFERROR(__xludf.DUMMYFUNCTION("""COMPUTED_VALUE"""),"1yNATSEwdZIg22rajZvFROqYG-SMOcj0UKSuABzCcbrg")</f>
        <v>1yNATSEwdZIg22rajZvFROqYG-SMOcj0UKSuABzCcbrg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IFERROR(__xludf.DUMMYFUNCTION("""COMPUTED_VALUE"""),"1kr04YBOz0Ztah2RGYUkYH5t3_s4wso2_y_Z2nndmke4")</f>
        <v>1kr04YBOz0Ztah2RGYUkYH5t3_s4wso2_y_Z2nndmke4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IFERROR(__xludf.DUMMYFUNCTION("""COMPUTED_VALUE"""),"1GJsRSs8phBv97QiJwIDXxz__kmfV3tq2DF7jPw6Rzcc")</f>
        <v>1GJsRSs8phBv97QiJwIDXxz__kmfV3tq2DF7jPw6Rzcc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IFERROR(__xludf.DUMMYFUNCTION("""COMPUTED_VALUE"""),"1haSEXf6TIeQYi_1sgjBN0a8Kd0oihrY49BfLwnN7fuI")</f>
        <v>1haSEXf6TIeQYi_1sgjBN0a8Kd0oihrY49BfLwnN7fuI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IFERROR(__xludf.DUMMYFUNCTION("""COMPUTED_VALUE"""),"19yGJzO1TCo08wHjexzSA7gxYozh5nmBmm_h8W-7yXXE")</f>
        <v>19yGJzO1TCo08wHjexzSA7gxYozh5nmBmm_h8W-7yXXE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IFERROR(__xludf.DUMMYFUNCTION("""COMPUTED_VALUE"""),"1SFxd7-IZSkRF_20Dfu_Uk623wJILbNPUOwLIkgbyHyc")</f>
        <v>1SFxd7-IZSkRF_20Dfu_Uk623wJILbNPUOwLIkgbyHyc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IFERROR(__xludf.DUMMYFUNCTION("""COMPUTED_VALUE"""),"1-8cEVr7pAI2wgMdL3_6tq-WORMZN8GmCtu9xIjj6j6o")</f>
        <v>1-8cEVr7pAI2wgMdL3_6tq-WORMZN8GmCtu9xIjj6j6o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IFERROR(__xludf.DUMMYFUNCTION("""COMPUTED_VALUE"""),"1ZZCt0lDjl7RLYD2Mntzrt8K90X_eJFTEXwVYmBpuJrI")</f>
        <v>1ZZCt0lDjl7RLYD2Mntzrt8K90X_eJFTEXwVYmBpuJrI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IFERROR(__xludf.DUMMYFUNCTION("""COMPUTED_VALUE"""),"16m3UbEFQhQPWPiSa_1EhmXlZxLYP_MUqbxMjHJ-ClFY")</f>
        <v>16m3UbEFQhQPWPiSa_1EhmXlZxLYP_MUqbxMjHJ-ClFY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IFERROR(__xludf.DUMMYFUNCTION("""COMPUTED_VALUE"""),"1_ToPqKQ7KBsW-Qbh_BzgjcxrmCVkWJXDYrKj7bFoT1c")</f>
        <v>1_ToPqKQ7KBsW-Qbh_BzgjcxrmCVkWJXDYrKj7bFoT1c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IFERROR(__xludf.DUMMYFUNCTION("""COMPUTED_VALUE"""),"1aXiFWEohqaH2_K4j0vh9e2qsSVxsknfuhcQeOE9hi3Q")</f>
        <v>1aXiFWEohqaH2_K4j0vh9e2qsSVxsknfuhcQeOE9hi3Q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IFERROR(__xludf.DUMMYFUNCTION("""COMPUTED_VALUE"""),"1EjVRXlSGmVrAZDdOicBBFp0AQRuU9J2S0sWJSK8n2YQ")</f>
        <v>1EjVRXlSGmVrAZDdOicBBFp0AQRuU9J2S0sWJSK8n2YQ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IFERROR(__xludf.DUMMYFUNCTION("""COMPUTED_VALUE"""),"17d6nTaGrtU53Ggt44z0DBtOe6BoXa-RluaNmydPewJc")</f>
        <v>17d6nTaGrtU53Ggt44z0DBtOe6BoXa-RluaNmydPewJc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IFERROR(__xludf.DUMMYFUNCTION("""COMPUTED_VALUE"""),"1t7n3e5xHa-zqiwDexIMbaSHvIBvZeqc9clL5rr4oU1E")</f>
        <v>1t7n3e5xHa-zqiwDexIMbaSHvIBvZeqc9clL5rr4oU1E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IFERROR(__xludf.DUMMYFUNCTION("""COMPUTED_VALUE"""),"1g_iduG9-VROpoRQbgomDMnwhDO5V1MCdoXo7B0KkCjo")</f>
        <v>1g_iduG9-VROpoRQbgomDMnwhDO5V1MCdoXo7B0KkCjo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IFERROR(__xludf.DUMMYFUNCTION("""COMPUTED_VALUE"""),"1f-by-zymlQYhK_E-j7JuCFmcrmShTNyoIRdep0I9WiQ")</f>
        <v>1f-by-zymlQYhK_E-j7JuCFmcrmShTNyoIRdep0I9WiQ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IFERROR(__xludf.DUMMYFUNCTION("""COMPUTED_VALUE"""),"1HBHQimrc8zfoFghmOi00Kyuswkhw5t2zr8z75prYQoU")</f>
        <v>1HBHQimrc8zfoFghmOi00Kyuswkhw5t2zr8z75prYQoU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IFERROR(__xludf.DUMMYFUNCTION("""COMPUTED_VALUE"""),"1hRgqQ_8KWjDa-IhDaI4dj4DIa-LKAF0dtsLGSuRISFg")</f>
        <v>1hRgqQ_8KWjDa-IhDaI4dj4DIa-LKAF0dtsLGSuRISFg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IFERROR(__xludf.DUMMYFUNCTION("""COMPUTED_VALUE"""),"1aKdtkgfy-qm5UkM4xEgwsIC2Y0tkkZ2nnlAt2YRyCIY")</f>
        <v>1aKdtkgfy-qm5UkM4xEgwsIC2Y0tkkZ2nnlAt2YRyCIY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IFERROR(__xludf.DUMMYFUNCTION("""COMPUTED_VALUE"""),"1kz2VbYDYVt81r6Crqstq3_e7JPi3pG646PWatn8mPqI")</f>
        <v>1kz2VbYDYVt81r6Crqstq3_e7JPi3pG646PWatn8mPqI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IFERROR(__xludf.DUMMYFUNCTION("""COMPUTED_VALUE"""),"1NBR38i2felKivQP6OhR7WBHM-4rxXfJzcKuENwPKRGE")</f>
        <v>1NBR38i2felKivQP6OhR7WBHM-4rxXfJzcKuENwPKRGE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IFERROR(__xludf.DUMMYFUNCTION("""COMPUTED_VALUE"""),"1E4shR2SnIPZbHN18xXEMyrgo70wZH3PZ7bsQcZMxqWs")</f>
        <v>1E4shR2SnIPZbHN18xXEMyrgo70wZH3PZ7bsQcZMxqWs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IFERROR(__xludf.DUMMYFUNCTION("""COMPUTED_VALUE"""),"1HCFewt-pwGWR5iNNmWN6uvH655SGnG39ZPt3qgn1fzA")</f>
        <v>1HCFewt-pwGWR5iNNmWN6uvH655SGnG39ZPt3qgn1fzA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IFERROR(__xludf.DUMMYFUNCTION("""COMPUTED_VALUE"""),"1RIECjeIoo9Ed5LapEOoN4zgF1bqZRnOsbWjnqXuNGVQ")</f>
        <v>1RIECjeIoo9Ed5LapEOoN4zgF1bqZRnOsbWjnqXuNGVQ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IFERROR(__xludf.DUMMYFUNCTION("""COMPUTED_VALUE"""),"1G1TzFJzPKFnIeFk1Ygruk-TgZ1E4OzotLzmXkrCfydo")</f>
        <v>1G1TzFJzPKFnIeFk1Ygruk-TgZ1E4OzotLzmXkrCfydo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IFERROR(__xludf.DUMMYFUNCTION("""COMPUTED_VALUE"""),"1cs4Fq7TTIBg-0scmlXwevni9dZWkhIRRtH8PFI0zITU")</f>
        <v>1cs4Fq7TTIBg-0scmlXwevni9dZWkhIRRtH8PFI0zITU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IFERROR(__xludf.DUMMYFUNCTION("""COMPUTED_VALUE"""),"13ynqJyBLiTSOeDNH_88Zy2459I5IbcLrArZ3KrZJcUM")</f>
        <v>13ynqJyBLiTSOeDNH_88Zy2459I5IbcLrArZ3KrZJcUM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IFERROR(__xludf.DUMMYFUNCTION("""COMPUTED_VALUE"""),"1QMJ1EeGqZUMPaentiXmY-qZo0nib_XUvbEJJUqCu54s")</f>
        <v>1QMJ1EeGqZUMPaentiXmY-qZo0nib_XUvbEJJUqCu54s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IFERROR(__xludf.DUMMYFUNCTION("""COMPUTED_VALUE"""),"1E-tAvpWCMvH1-L2VgrY-CsAMjjQbseS53lRaadteqY4")</f>
        <v>1E-tAvpWCMvH1-L2VgrY-CsAMjjQbseS53lRaadteqY4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IFERROR(__xludf.DUMMYFUNCTION("""COMPUTED_VALUE"""),"1MW6UTBXJ6_4nEgZhz-2VRPEBOcOGahWTNBaogUf-_90")</f>
        <v>1MW6UTBXJ6_4nEgZhz-2VRPEBOcOGahWTNBaogUf-_90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IFERROR(__xludf.DUMMYFUNCTION("""COMPUTED_VALUE"""),"1sPvrowwTQsK7O1mUC-eQeJJSEgA9er_TCbHzyMsToxw")</f>
        <v>1sPvrowwTQsK7O1mUC-eQeJJSEgA9er_TCbHzyMsToxw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IFERROR(__xludf.DUMMYFUNCTION("""COMPUTED_VALUE"""),"13McK_2eAGLCT-zvjQjNR2TNP5foe4OzipdCTy1LibIk")</f>
        <v>13McK_2eAGLCT-zvjQjNR2TNP5foe4OzipdCTy1LibIk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IFERROR(__xludf.DUMMYFUNCTION("""COMPUTED_VALUE"""),"11uZx-CaSQ01yGgtab77kdvBCGN1nOo3g0k8Bw5WqjZg")</f>
        <v>11uZx-CaSQ01yGgtab77kdvBCGN1nOo3g0k8Bw5WqjZg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IFERROR(__xludf.DUMMYFUNCTION("""COMPUTED_VALUE"""),"1yur8pXg-NhCMSD11wSVwvv0Fez2TUQp9ujOOBjwd3Us")</f>
        <v>1yur8pXg-NhCMSD11wSVwvv0Fez2TUQp9ujOOBjwd3Us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IFERROR(__xludf.DUMMYFUNCTION("""COMPUTED_VALUE"""),"1lKZmmIgqPZZBJtNH48lLmgj0q9ec1_4IPwkMjm00z-8")</f>
        <v>1lKZmmIgqPZZBJtNH48lLmgj0q9ec1_4IPwkMjm00z-8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IFERROR(__xludf.DUMMYFUNCTION("""COMPUTED_VALUE"""),"19D1UAVXlfPtqeFEBJfut55kr89Eu_txYvrbwbDEzF8Y")</f>
        <v>19D1UAVXlfPtqeFEBJfut55kr89Eu_txYvrbwbDEzF8Y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IFERROR(__xludf.DUMMYFUNCTION("""COMPUTED_VALUE"""),"19Sn1yI9trlccQAGFXG-Y-afytOt_KfoVnPQzvl6XROo")</f>
        <v>19Sn1yI9trlccQAGFXG-Y-afytOt_KfoVnPQzvl6XROo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IFERROR(__xludf.DUMMYFUNCTION("""COMPUTED_VALUE"""),"1Sju_rkEX7ClHISzkl9UFKNY6k_5t_S0tdxtpZAnXpqg")</f>
        <v>1Sju_rkEX7ClHISzkl9UFKNY6k_5t_S0tdxtpZAnXpqg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IFERROR(__xludf.DUMMYFUNCTION("""COMPUTED_VALUE"""),"1hMVNdo4B8WswaauY8yqbHmt3Wx_NMRxgdB2vow1p5ag")</f>
        <v>1hMVNdo4B8WswaauY8yqbHmt3Wx_NMRxgdB2vow1p5ag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IFERROR(__xludf.DUMMYFUNCTION("""COMPUTED_VALUE"""),"17hK-yfN8xD8Jmg_FY__Qc7iyqgJ_SEvFr4VPoKbeMwA")</f>
        <v>17hK-yfN8xD8Jmg_FY__Qc7iyqgJ_SEvFr4VPoKbeMwA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IFERROR(__xludf.DUMMYFUNCTION("""COMPUTED_VALUE"""),"1PVfLR7ICBE01CuxIYtMmaiNL2Kh672bUXBCbt4UzQ6o")</f>
        <v>1PVfLR7ICBE01CuxIYtMmaiNL2Kh672bUXBCbt4UzQ6o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IFERROR(__xludf.DUMMYFUNCTION("""COMPUTED_VALUE"""),"160g9HJhQPDPrb5GQ9yBr07xujKJVYwd9MqM5deuYRdg")</f>
        <v>160g9HJhQPDPrb5GQ9yBr07xujKJVYwd9MqM5deuYRdg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IFERROR(__xludf.DUMMYFUNCTION("""COMPUTED_VALUE"""),"1Y0fnfatmthYmvzL4CE2DD2fnb5XpxasaQ-eFA8AHZZQ")</f>
        <v>1Y0fnfatmthYmvzL4CE2DD2fnb5XpxasaQ-eFA8AHZZQ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IFERROR(__xludf.DUMMYFUNCTION("""COMPUTED_VALUE"""),"1GpKhg0atHUhh5xpcVyJ6Pd3hJZQxWyd6a8oGGx9nPYg")</f>
        <v>1GpKhg0atHUhh5xpcVyJ6Pd3hJZQxWyd6a8oGGx9nPYg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IFERROR(__xludf.DUMMYFUNCTION("""COMPUTED_VALUE"""),"1phmh27oiwwsNI8gsVMqQfGGO_0r53sX6ECZYHWcovOo")</f>
        <v>1phmh27oiwwsNI8gsVMqQfGGO_0r53sX6ECZYHWcovOo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IFERROR(__xludf.DUMMYFUNCTION("""COMPUTED_VALUE"""),"14Z9mQRGA079RUxIVwyD7PLJFHYiOWiv2B-Al2lvfB3o")</f>
        <v>14Z9mQRGA079RUxIVwyD7PLJFHYiOWiv2B-Al2lvfB3o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IFERROR(__xludf.DUMMYFUNCTION("""COMPUTED_VALUE"""),"1hBeOAPWx6TCdJJCI4w8uFuWHTAtyZoYxMjU6EsfNFEk")</f>
        <v>1hBeOAPWx6TCdJJCI4w8uFuWHTAtyZoYxMjU6EsfNFEk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IFERROR(__xludf.DUMMYFUNCTION("""COMPUTED_VALUE"""),"1fFcmVLJC1pdRtoDEYUpc-7PqDqHrSB9eszanKXDSJj4")</f>
        <v>1fFcmVLJC1pdRtoDEYUpc-7PqDqHrSB9eszanKXDSJj4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IFERROR(__xludf.DUMMYFUNCTION("""COMPUTED_VALUE"""),"1YOGzCbzwMOUWi6IInIaMz0zG1USfIA94aG1uJB_CI08")</f>
        <v>1YOGzCbzwMOUWi6IInIaMz0zG1USfIA94aG1uJB_CI08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IFERROR(__xludf.DUMMYFUNCTION("""COMPUTED_VALUE"""),"1QNAooZZRVTav0dvHEE8XpPUSKYVTrEIX2ZnajpipHy4")</f>
        <v>1QNAooZZRVTav0dvHEE8XpPUSKYVTrEIX2ZnajpipHy4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IFERROR(__xludf.DUMMYFUNCTION("""COMPUTED_VALUE"""),"1QcdF9vMihakzH2FxKv9Cpbj_RQbRL9ekc6YNTmX1z84")</f>
        <v>1QcdF9vMihakzH2FxKv9Cpbj_RQbRL9ekc6YNTmX1z84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IFERROR(__xludf.DUMMYFUNCTION("""COMPUTED_VALUE"""),"1rgAbCdFrwIQMzfUdq_wtSIftaHjcPOpcYLMOv57yFm8")</f>
        <v>1rgAbCdFrwIQMzfUdq_wtSIftaHjcPOpcYLMOv57yFm8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IFERROR(__xludf.DUMMYFUNCTION("""COMPUTED_VALUE"""),"1c_LKV6zddYnZbIaXjB1YR41mZ4nlWwdD8Utip2o4gCE")</f>
        <v>1c_LKV6zddYnZbIaXjB1YR41mZ4nlWwdD8Utip2o4gCE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IFERROR(__xludf.DUMMYFUNCTION("""COMPUTED_VALUE"""),"1UBqDSoxtrz7S7kPHKAv-U3PIbDLOoqvMVk2ePCXS3JI")</f>
        <v>1UBqDSoxtrz7S7kPHKAv-U3PIbDLOoqvMVk2ePCXS3JI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IFERROR(__xludf.DUMMYFUNCTION("""COMPUTED_VALUE"""),"1ezlJO3ad1pj8tG7Y13sk4HHPJQqXBEeDnF4yFfqk2vE")</f>
        <v>1ezlJO3ad1pj8tG7Y13sk4HHPJQqXBEeDnF4yFfqk2vE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IFERROR(__xludf.DUMMYFUNCTION("""COMPUTED_VALUE"""),"12Egp-BXTkbQ_7GUw6K5R9vN0h1cCWX33r9TLwUnfo74")</f>
        <v>12Egp-BXTkbQ_7GUw6K5R9vN0h1cCWX33r9TLwUnfo74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IFERROR(__xludf.DUMMYFUNCTION("""COMPUTED_VALUE"""),"1-L0ACZJpBrZm_Mt6lp10r-l8qiO2nDijPY7e0lp1axM")</f>
        <v>1-L0ACZJpBrZm_Mt6lp10r-l8qiO2nDijPY7e0lp1axM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IFERROR(__xludf.DUMMYFUNCTION("""COMPUTED_VALUE"""),"1_jVpPpMklRkZw3q0WK9yD6CZ9UKHrIwt5zxC5U9dRcg")</f>
        <v>1_jVpPpMklRkZw3q0WK9yD6CZ9UKHrIwt5zxC5U9dRcg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IFERROR(__xludf.DUMMYFUNCTION("""COMPUTED_VALUE"""),"15cvdIe75lDUXBGGMjjwC10U3pS8MfyoIe2lkeVTiz4Q")</f>
        <v>15cvdIe75lDUXBGGMjjwC10U3pS8MfyoIe2lkeVTiz4Q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IFERROR(__xludf.DUMMYFUNCTION("""COMPUTED_VALUE"""),"1CTkEDNwBtXXECS37_3g9vrTE1pbqsU-d8nKU-xj6BH8")</f>
        <v>1CTkEDNwBtXXECS37_3g9vrTE1pbqsU-d8nKU-xj6BH8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IFERROR(__xludf.DUMMYFUNCTION("""COMPUTED_VALUE"""),"19sktX0w4yHgQ6O1tvExgZzeUqcWIZA12C1zB18Be3Eg")</f>
        <v>19sktX0w4yHgQ6O1tvExgZzeUqcWIZA12C1zB18Be3Eg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IFERROR(__xludf.DUMMYFUNCTION("""COMPUTED_VALUE"""),"1tY0ONne4e_DLk01CP3Yr8PFqkHW7CN5Tcrdg_aTfyIc")</f>
        <v>1tY0ONne4e_DLk01CP3Yr8PFqkHW7CN5Tcrdg_aTfyIc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IFERROR(__xludf.DUMMYFUNCTION("""COMPUTED_VALUE"""),"1VgMLGfez9GRGMaP1WjU16fe-0tqNQm6Q4avE33EcOYY")</f>
        <v>1VgMLGfez9GRGMaP1WjU16fe-0tqNQm6Q4avE33EcOYY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IFERROR(__xludf.DUMMYFUNCTION("""COMPUTED_VALUE"""),"1UlD88MnL7cRrdpAs0oIY4CgiqqPAt6rG1QINQRoIUk0")</f>
        <v>1UlD88MnL7cRrdpAs0oIY4CgiqqPAt6rG1QINQRoIUk0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IFERROR(__xludf.DUMMYFUNCTION("""COMPUTED_VALUE"""),"1QuxQdRwCQLhQmIE-7ojQHbkfi3GduKopw_zRf7x4Z8k")</f>
        <v>1QuxQdRwCQLhQmIE-7ojQHbkfi3GduKopw_zRf7x4Z8k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IFERROR(__xludf.DUMMYFUNCTION("""COMPUTED_VALUE"""),"1hwATfGdtmHElWfysPQ8SoqtQYGAONa4CD5KGPnZG3g0")</f>
        <v>1hwATfGdtmHElWfysPQ8SoqtQYGAONa4CD5KGPnZG3g0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IFERROR(__xludf.DUMMYFUNCTION("""COMPUTED_VALUE"""),"1hKsLv5DWOG0nEHHNeqf5DATqVyLmKGNoGDvVEIduyxo")</f>
        <v>1hKsLv5DWOG0nEHHNeqf5DATqVyLmKGNoGDvVEIduyxo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IFERROR(__xludf.DUMMYFUNCTION("""COMPUTED_VALUE"""),"1epH2quBNafssL7JOfzPXsTzTtJ8ZaAHSnA9uKb8qH1U")</f>
        <v>1epH2quBNafssL7JOfzPXsTzTtJ8ZaAHSnA9uKb8qH1U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IFERROR(__xludf.DUMMYFUNCTION("""COMPUTED_VALUE"""),"1WFYL2DkTFjySpR-YYRIeZl8PCVg5VN801r302PFIqUw")</f>
        <v>1WFYL2DkTFjySpR-YYRIeZl8PCVg5VN801r302PFIqUw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IFERROR(__xludf.DUMMYFUNCTION("""COMPUTED_VALUE"""),"1eAu5kF0FOdHgLRmmaT6htwYFnDGtrElLVJv94QOc9Jk")</f>
        <v>1eAu5kF0FOdHgLRmmaT6htwYFnDGtrElLVJv94QOc9Jk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IFERROR(__xludf.DUMMYFUNCTION("""COMPUTED_VALUE"""),"1-JkpHPUP1cA_3kQbZkuY7fNLf2ujwn0GGAXQYg9Q3cs")</f>
        <v>1-JkpHPUP1cA_3kQbZkuY7fNLf2ujwn0GGAXQYg9Q3cs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IFERROR(__xludf.DUMMYFUNCTION("""COMPUTED_VALUE"""),"1-FMKzKFLs35vDwOy-dMpEXAgpkacDP7IxwYnkwezVRA")</f>
        <v>1-FMKzKFLs35vDwOy-dMpEXAgpkacDP7IxwYnkwezVRA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IFERROR(__xludf.DUMMYFUNCTION("""COMPUTED_VALUE"""),"1G86u72qdKVcfi1M5XOrtfzhereVolhrkGxtzlcFj3FE")</f>
        <v>1G86u72qdKVcfi1M5XOrtfzhereVolhrkGxtzlcFj3FE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IFERROR(__xludf.DUMMYFUNCTION("""COMPUTED_VALUE"""),"1sevd52QJcsTK-3lUhpRdNjV9xdzrQQXZeLRutjI_uKk")</f>
        <v>1sevd52QJcsTK-3lUhpRdNjV9xdzrQQXZeLRutjI_uKk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IFERROR(__xludf.DUMMYFUNCTION("""COMPUTED_VALUE"""),"1to781E8gHDZpAklYKgq0gbqaOiSm4UKSyxrXQekG8-E")</f>
        <v>1to781E8gHDZpAklYKgq0gbqaOiSm4UKSyxrXQekG8-E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IFERROR(__xludf.DUMMYFUNCTION("""COMPUTED_VALUE"""),"1n8_HzZqruobAe_bzZUNDlFTjWWOXhYdC6XO8toLSA1U")</f>
        <v>1n8_HzZqruobAe_bzZUNDlFTjWWOXhYdC6XO8toLSA1U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IFERROR(__xludf.DUMMYFUNCTION("""COMPUTED_VALUE"""),"1QzfIvMI24u1alGmbfvHB8YsLQnTXbnEskdO5U_4c03M")</f>
        <v>1QzfIvMI24u1alGmbfvHB8YsLQnTXbnEskdO5U_4c03M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IFERROR(__xludf.DUMMYFUNCTION("""COMPUTED_VALUE"""),"13AkdqEmmE2bNXqK_D5_68u-ZCAC0NWVG5008Fv31TBY")</f>
        <v>13AkdqEmmE2bNXqK_D5_68u-ZCAC0NWVG5008Fv31TBY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IFERROR(__xludf.DUMMYFUNCTION("""COMPUTED_VALUE"""),"1-EtK3j_FyjgJHsYvldAuV4YFHX-qm1CzWPL4SKUKm_I")</f>
        <v>1-EtK3j_FyjgJHsYvldAuV4YFHX-qm1CzWPL4SKUKm_I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IFERROR(__xludf.DUMMYFUNCTION("""COMPUTED_VALUE"""),"1eh6Leacf5FhDvEUrEksk9SLUjWAOnXtHRxNauMziD4o")</f>
        <v>1eh6Leacf5FhDvEUrEksk9SLUjWAOnXtHRxNauMziD4o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IFERROR(__xludf.DUMMYFUNCTION("""COMPUTED_VALUE"""),"1TAt_QqMW8h2ttxV57It9jVYC7njvL5tOt-r4EGRYGcE")</f>
        <v>1TAt_QqMW8h2ttxV57It9jVYC7njvL5tOt-r4EGRYGcE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IFERROR(__xludf.DUMMYFUNCTION("""COMPUTED_VALUE"""),"14gid3u0_rNvP0XS5C1YIlhQOluw_ZaKzbQj6rh_Y-CY")</f>
        <v>14gid3u0_rNvP0XS5C1YIlhQOluw_ZaKzbQj6rh_Y-CY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IFERROR(__xludf.DUMMYFUNCTION("""COMPUTED_VALUE"""),"13lsUBmvcs1NBlGITGBbugtTWepJLuzLGMOMde0zoOFI")</f>
        <v>13lsUBmvcs1NBlGITGBbugtTWepJLuzLGMOMde0zoOFI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IFERROR(__xludf.DUMMYFUNCTION("""COMPUTED_VALUE"""),"1pQIetLHHfnLHOHDOH81rC03QLUOIpHsKO6dDH-9qgiA")</f>
        <v>1pQIetLHHfnLHOHDOH81rC03QLUOIpHsKO6dDH-9qgiA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IFERROR(__xludf.DUMMYFUNCTION("""COMPUTED_VALUE"""),"1YzjFof__EtWy8oxu5pQ4N6G7Nktkl0nyAu81BckiIHo")</f>
        <v>1YzjFof__EtWy8oxu5pQ4N6G7Nktkl0nyAu81BckiIHo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IFERROR(__xludf.DUMMYFUNCTION("""COMPUTED_VALUE"""),"1IT8x5br3VynepPgq_xCGQsJR0piFM3lhqTr5GTh0kyM")</f>
        <v>1IT8x5br3VynepPgq_xCGQsJR0piFM3lhqTr5GTh0kyM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IFERROR(__xludf.DUMMYFUNCTION("""COMPUTED_VALUE"""),"1b0nK_mdsKdKSE4C04O7I8ZpvPLGjbiy-MhX9TjlXJOc")</f>
        <v>1b0nK_mdsKdKSE4C04O7I8ZpvPLGjbiy-MhX9TjlXJOc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IFERROR(__xludf.DUMMYFUNCTION("""COMPUTED_VALUE"""),"1JWIRWOskU5-ZLGBe3TJje54Hlb55btHuU3SX7Yu7WME")</f>
        <v>1JWIRWOskU5-ZLGBe3TJje54Hlb55btHuU3SX7Yu7WME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IFERROR(__xludf.DUMMYFUNCTION("""COMPUTED_VALUE"""),"1So5L0BXlev1p0ans29tDBJeLp2hRQnaDt7l5ChXhfes")</f>
        <v>1So5L0BXlev1p0ans29tDBJeLp2hRQnaDt7l5ChXhfes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IFERROR(__xludf.DUMMYFUNCTION("""COMPUTED_VALUE"""),"1pYOsK-haxePz_Yimf8WRvV4AA03Okf2Hys87-MH9gY8")</f>
        <v>1pYOsK-haxePz_Yimf8WRvV4AA03Okf2Hys87-MH9gY8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IFERROR(__xludf.DUMMYFUNCTION("""COMPUTED_VALUE"""),"1GB2HOSoXy5_fXzB6PWrRFuaVq7s_N92V1nsnnHizRIc")</f>
        <v>1GB2HOSoXy5_fXzB6PWrRFuaVq7s_N92V1nsnnHizRIc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IFERROR(__xludf.DUMMYFUNCTION("""COMPUTED_VALUE"""),"1hQS_ZIe0f-YDXYnVZH0axct7qbeGC9dZ8jS8WCF4z7Q")</f>
        <v>1hQS_ZIe0f-YDXYnVZH0axct7qbeGC9dZ8jS8WCF4z7Q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IFERROR(__xludf.DUMMYFUNCTION("""COMPUTED_VALUE"""),"1t4kPkbjkNXIe4MARfTMRmNFGo_pNUbSH11y89_kdYv8")</f>
        <v>1t4kPkbjkNXIe4MARfTMRmNFGo_pNUbSH11y89_kdYv8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IFERROR(__xludf.DUMMYFUNCTION("""COMPUTED_VALUE"""),"1EWopTT0IuOzHKc-T4uQJSGDc_PdR7QnTb3XX-tcRY_w")</f>
        <v>1EWopTT0IuOzHKc-T4uQJSGDc_PdR7QnTb3XX-tcRY_w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IFERROR(__xludf.DUMMYFUNCTION("""COMPUTED_VALUE"""),"1iA4AMqVk2SrSflatQ2iNOBpgxijhht1Fnx5gjinTpNE")</f>
        <v>1iA4AMqVk2SrSflatQ2iNOBpgxijhht1Fnx5gjinTpNE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IFERROR(__xludf.DUMMYFUNCTION("""COMPUTED_VALUE"""),"1aYOUexiSRWPy8aTQV4LoLIAgO5vDCT827evf8qbriCw")</f>
        <v>1aYOUexiSRWPy8aTQV4LoLIAgO5vDCT827evf8qbriCw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IFERROR(__xludf.DUMMYFUNCTION("""COMPUTED_VALUE"""),"1Fwh_5fQ1FG6uekAkW9Onl3gExHJ4LFINEfUWhVU7RZE")</f>
        <v>1Fwh_5fQ1FG6uekAkW9Onl3gExHJ4LFINEfUWhVU7RZE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IFERROR(__xludf.DUMMYFUNCTION("""COMPUTED_VALUE"""),"1SFrgXfnkqGWJMgHFA_u_7p2RPeiz9bYEbsmAuNUkulo")</f>
        <v>1SFrgXfnkqGWJMgHFA_u_7p2RPeiz9bYEbsmAuNUkulo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IFERROR(__xludf.DUMMYFUNCTION("""COMPUTED_VALUE"""),"1HgRCOHOWDe0WdsCwOOCeifnh4CU_EMG0jYwvF1Kw5CU")</f>
        <v>1HgRCOHOWDe0WdsCwOOCeifnh4CU_EMG0jYwvF1Kw5CU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IFERROR(__xludf.DUMMYFUNCTION("""COMPUTED_VALUE"""),"1CSJwXvHLRSniyl60uT7TjQbnLpp-heMq72pgOJJ1F2c")</f>
        <v>1CSJwXvHLRSniyl60uT7TjQbnLpp-heMq72pgOJJ1F2c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IFERROR(__xludf.DUMMYFUNCTION("""COMPUTED_VALUE"""),"1DiMnJfL8ny_q4NkWjHDLna6eWN_b1wz9lFLXHDLAxvc")</f>
        <v>1DiMnJfL8ny_q4NkWjHDLna6eWN_b1wz9lFLXHDLAxvc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IFERROR(__xludf.DUMMYFUNCTION("""COMPUTED_VALUE"""),"1bMbn1pg_skkJ9tr1sYGLyll2RO_KUXGAY_4l0agiVqs")</f>
        <v>1bMbn1pg_skkJ9tr1sYGLyll2RO_KUXGAY_4l0agiVqs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IFERROR(__xludf.DUMMYFUNCTION("""COMPUTED_VALUE"""),"1keLoHSkjbycZTYgUKqJWjQgUdVfUhUyItu_TF_Nnepg")</f>
        <v>1keLoHSkjbycZTYgUKqJWjQgUdVfUhUyItu_TF_Nnepg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IFERROR(__xludf.DUMMYFUNCTION("""COMPUTED_VALUE"""),"1JB77pWGg3Yigh8nRXBE3j84K0MUfsHo66tZGfomxokI")</f>
        <v>1JB77pWGg3Yigh8nRXBE3j84K0MUfsHo66tZGfomxokI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IFERROR(__xludf.DUMMYFUNCTION("""COMPUTED_VALUE"""),"13i3cde69VhVWqwDeyZvG2UTR0kaaEh6xf5cAoobr5mA")</f>
        <v>13i3cde69VhVWqwDeyZvG2UTR0kaaEh6xf5cAoobr5mA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IFERROR(__xludf.DUMMYFUNCTION("""COMPUTED_VALUE"""),"1d_4UCN2TwKGLAIryatMhyDmfPFId5_idGnegTQS_lSc")</f>
        <v>1d_4UCN2TwKGLAIryatMhyDmfPFId5_idGnegTQS_lSc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IFERROR(__xludf.DUMMYFUNCTION("""COMPUTED_VALUE"""),"1X0u87WRgFV9nfzAoxarkRCoGrGk1JKkwWhu3-eW1lKE")</f>
        <v>1X0u87WRgFV9nfzAoxarkRCoGrGk1JKkwWhu3-eW1lKE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IFERROR(__xludf.DUMMYFUNCTION("""COMPUTED_VALUE"""),"1l5ay-Y1acsWSAUtq9YQrxfOojAfjLCblSDpkEf0NHGo")</f>
        <v>1l5ay-Y1acsWSAUtq9YQrxfOojAfjLCblSDpkEf0NHGo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IFERROR(__xludf.DUMMYFUNCTION("""COMPUTED_VALUE"""),"1A19wf6hpfMJmBm83N_GhvYK2Gp3K-e3JP9EJ-P576Cw")</f>
        <v>1A19wf6hpfMJmBm83N_GhvYK2Gp3K-e3JP9EJ-P576Cw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IFERROR(__xludf.DUMMYFUNCTION("""COMPUTED_VALUE"""),"171XsheaaYdF5gMm2y5rdioGxjl_k82Rso_opEanflJI")</f>
        <v>171XsheaaYdF5gMm2y5rdioGxjl_k82Rso_opEanflJI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IFERROR(__xludf.DUMMYFUNCTION("""COMPUTED_VALUE"""),"1RX-Gap2zvagmEtgtn-yaOAByX7d1Wf9B5UxxxwHnBG0")</f>
        <v>1RX-Gap2zvagmEtgtn-yaOAByX7d1Wf9B5UxxxwHnBG0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IFERROR(__xludf.DUMMYFUNCTION("""COMPUTED_VALUE"""),"1zpj_umDuj1-o0Qnjy4AhkiZErr6BrbbzovL3thm9fjU")</f>
        <v>1zpj_umDuj1-o0Qnjy4AhkiZErr6BrbbzovL3thm9fjU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IFERROR(__xludf.DUMMYFUNCTION("""COMPUTED_VALUE"""),"1leJHZuhOWWw5Ahg0-DWVH5mHJ2YJlmZqRGOyALE7i9o")</f>
        <v>1leJHZuhOWWw5Ahg0-DWVH5mHJ2YJlmZqRGOyALE7i9o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IFERROR(__xludf.DUMMYFUNCTION("""COMPUTED_VALUE"""),"1WIQF7IwpSf3Cn5ovCdMQfdfxSkfCZCzVTpL_YVpEAnE")</f>
        <v>1WIQF7IwpSf3Cn5ovCdMQfdfxSkfCZCzVTpL_YVpEAnE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IFERROR(__xludf.DUMMYFUNCTION("""COMPUTED_VALUE"""),"1TGfoXbvH7XnRrtTbygxQiP_CGCUiD-kpaKBT1GGlJ5k")</f>
        <v>1TGfoXbvH7XnRrtTbygxQiP_CGCUiD-kpaKBT1GGlJ5k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IFERROR(__xludf.DUMMYFUNCTION("""COMPUTED_VALUE"""),"1-5-WK8gbrZ5gYJUTrxBke3x1Jgr3YYQdxyXVQBo6G84")</f>
        <v>1-5-WK8gbrZ5gYJUTrxBke3x1Jgr3YYQdxyXVQBo6G84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IFERROR(__xludf.DUMMYFUNCTION("""COMPUTED_VALUE"""),"1ttg9BWnk78DQDv-O4l-GQH4z2KLYqF-8x1YFxtmb2dM")</f>
        <v>1ttg9BWnk78DQDv-O4l-GQH4z2KLYqF-8x1YFxtmb2dM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IFERROR(__xludf.DUMMYFUNCTION("""COMPUTED_VALUE"""),"1iqnH235Ns1i-v1Te0t9y-s3gqhy30uGvGHdSxw9OuJc")</f>
        <v>1iqnH235Ns1i-v1Te0t9y-s3gqhy30uGvGHdSxw9OuJc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IFERROR(__xludf.DUMMYFUNCTION("""COMPUTED_VALUE"""),"1-lMv6JDKIjGiOD4yxxSfJBqD3PQjTk0_DqLFKliK-P4")</f>
        <v>1-lMv6JDKIjGiOD4yxxSfJBqD3PQjTk0_DqLFKliK-P4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IFERROR(__xludf.DUMMYFUNCTION("""COMPUTED_VALUE"""),"1WJrc9c47Pmk5qY7KMztGApsKlRbZNjVqNy90oWT9k5s")</f>
        <v>1WJrc9c47Pmk5qY7KMztGApsKlRbZNjVqNy90oWT9k5s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IFERROR(__xludf.DUMMYFUNCTION("""COMPUTED_VALUE"""),"17MNUtvIrTvTqiCtkjA9whCS3pSEmYiyq2dCpRNDR-Jw")</f>
        <v>17MNUtvIrTvTqiCtkjA9whCS3pSEmYiyq2dCpRNDR-Jw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IFERROR(__xludf.DUMMYFUNCTION("""COMPUTED_VALUE"""),"1C9uStqgFfWCHQzP5yX3EX8U5hkThVJiIrdTCvZ26BMc")</f>
        <v>1C9uStqgFfWCHQzP5yX3EX8U5hkThVJiIrdTCvZ26BMc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IFERROR(__xludf.DUMMYFUNCTION("""COMPUTED_VALUE"""),"1wSzKcpaAo_qIGXZhh7cr2aEMjgI5lIRo4Mhvhwq2qeY")</f>
        <v>1wSzKcpaAo_qIGXZhh7cr2aEMjgI5lIRo4Mhvhwq2qeY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IFERROR(__xludf.DUMMYFUNCTION("""COMPUTED_VALUE"""),"1Ip_8IOwz9bqljSD-feOp_lKkuwUz0ojb0L1ZfJB16Qk")</f>
        <v>1Ip_8IOwz9bqljSD-feOp_lKkuwUz0ojb0L1ZfJB16Qk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IFERROR(__xludf.DUMMYFUNCTION("""COMPUTED_VALUE"""),"1wtRdFxIJps7V6dCVpAiuURu6otnywpC22qYcCc8mcRo")</f>
        <v>1wtRdFxIJps7V6dCVpAiuURu6otnywpC22qYcCc8mcRo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IFERROR(__xludf.DUMMYFUNCTION("""COMPUTED_VALUE"""),"1RDhYUjIX5mcXvife-2a1DhS9e9_nAdKKNtIS723weSU")</f>
        <v>1RDhYUjIX5mcXvife-2a1DhS9e9_nAdKKNtIS723weSU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IFERROR(__xludf.DUMMYFUNCTION("""COMPUTED_VALUE"""),"12ERQgX7aAMiLB-7a8IQzGZT9zRJ3hxpnM1dEsBpvoTs")</f>
        <v>12ERQgX7aAMiLB-7a8IQzGZT9zRJ3hxpnM1dEsBpvoTs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IFERROR(__xludf.DUMMYFUNCTION("""COMPUTED_VALUE"""),"1sPvrowwTQsK7O1mUC-eQeJJSEgA9er_TCbHzyMsToxw")</f>
        <v>1sPvrowwTQsK7O1mUC-eQeJJSEgA9er_TCbHzyMsToxw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IFERROR(__xludf.DUMMYFUNCTION("""COMPUTED_VALUE"""),"10Zg67pbgVBxMXLfS0tb0CvJl6d4CddHzic_azwXCniM")</f>
        <v>10Zg67pbgVBxMXLfS0tb0CvJl6d4CddHzic_azwXCniM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IFERROR(__xludf.DUMMYFUNCTION("""COMPUTED_VALUE"""),"1rF_yrG82eLBZe-adfgdXilcZYJ6oludm1T8aoBS5c5o")</f>
        <v>1rF_yrG82eLBZe-adfgdXilcZYJ6oludm1T8aoBS5c5o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IFERROR(__xludf.DUMMYFUNCTION("""COMPUTED_VALUE"""),"1pGpjjND8zdK0CvWzT85s06ej72BcB2NDC7Q-WabwmKU")</f>
        <v>1pGpjjND8zdK0CvWzT85s06ej72BcB2NDC7Q-WabwmKU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IFERROR(__xludf.DUMMYFUNCTION("""COMPUTED_VALUE"""),"1vv9Kfv9KKSGeFLVF5gLJ02Q1tKJ5c9IHvX-Ou2CFpq4")</f>
        <v>1vv9Kfv9KKSGeFLVF5gLJ02Q1tKJ5c9IHvX-Ou2CFpq4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IFERROR(__xludf.DUMMYFUNCTION("""COMPUTED_VALUE"""),"1aKet1Md_J6wogUHMdNxyLsRKxYDsQAami-K_3W_9QtQ")</f>
        <v>1aKet1Md_J6wogUHMdNxyLsRKxYDsQAami-K_3W_9QtQ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IFERROR(__xludf.DUMMYFUNCTION("""COMPUTED_VALUE"""),"1fGQY5n6Q7p59RUxuwZzrcdNms0UeLdsR3hCGQmHSORY")</f>
        <v>1fGQY5n6Q7p59RUxuwZzrcdNms0UeLdsR3hCGQmHSORY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IFERROR(__xludf.DUMMYFUNCTION("""COMPUTED_VALUE"""),"1atfrQHjBlCKqTMcOEgTGeCL-hYY6nKtN80Uz1petdC4")</f>
        <v>1atfrQHjBlCKqTMcOEgTGeCL-hYY6nKtN80Uz1petdC4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IFERROR(__xludf.DUMMYFUNCTION("""COMPUTED_VALUE"""),"1Fwftdx7FZtRacGg7lr02b8ReR-9wM2S7uuooFC2sxiM")</f>
        <v>1Fwftdx7FZtRacGg7lr02b8ReR-9wM2S7uuooFC2sxiM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IFERROR(__xludf.DUMMYFUNCTION("""COMPUTED_VALUE"""),"1GUy-RbvdREdP9isWFulTF3xqzCn4AWr0RvL_r4boFmE")</f>
        <v>1GUy-RbvdREdP9isWFulTF3xqzCn4AWr0RvL_r4boFmE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IFERROR(__xludf.DUMMYFUNCTION("""COMPUTED_VALUE"""),"1xA6dyBc4R1EBoqW6kY2Dti984vRAuD-5PxoFrgVMPA8")</f>
        <v>1xA6dyBc4R1EBoqW6kY2Dti984vRAuD-5PxoFrgVMPA8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IFERROR(__xludf.DUMMYFUNCTION("""COMPUTED_VALUE"""),"18j5l_WQ5Vfj90uB1s_BQ179tKwHv_Lf1wexmG7TnYu0")</f>
        <v>18j5l_WQ5Vfj90uB1s_BQ179tKwHv_Lf1wexmG7TnYu0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IFERROR(__xludf.DUMMYFUNCTION("""COMPUTED_VALUE"""),"1dVMhvhPJNkuRqzig0Yyxm9TcxCvSCxm4pGTHTUTnsRE")</f>
        <v>1dVMhvhPJNkuRqzig0Yyxm9TcxCvSCxm4pGTHTUTnsRE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IFERROR(__xludf.DUMMYFUNCTION("""COMPUTED_VALUE"""),"1hPiMOS3ea665vDEmxN9P-HH8lukKgmMnynK7_ZbYvZE")</f>
        <v>1hPiMOS3ea665vDEmxN9P-HH8lukKgmMnynK7_ZbYvZE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IFERROR(__xludf.DUMMYFUNCTION("""COMPUTED_VALUE"""),"1VgfvPkC2fO8lxFnWeV2SJts5aU1T2aFQ0qKO0SLQUe8")</f>
        <v>1VgfvPkC2fO8lxFnWeV2SJts5aU1T2aFQ0qKO0SLQUe8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IFERROR(__xludf.DUMMYFUNCTION("""COMPUTED_VALUE"""),"1GiZkUkl9S3W-syFWHx7eF24G8LX1NhjocAEtLxZqOBI")</f>
        <v>1GiZkUkl9S3W-syFWHx7eF24G8LX1NhjocAEtLxZqOBI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IFERROR(__xludf.DUMMYFUNCTION("""COMPUTED_VALUE"""),"1PGYnrEHaAZlP-Oh2PMA8WujQmK1pV5B4YlDkScrpR7o")</f>
        <v>1PGYnrEHaAZlP-Oh2PMA8WujQmK1pV5B4YlDkScrpR7o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IFERROR(__xludf.DUMMYFUNCTION("""COMPUTED_VALUE"""),"1uLdemvg5SsNtTpZzTRX03wcYmYQsfkgO_nbn3yRqMjQ")</f>
        <v>1uLdemvg5SsNtTpZzTRX03wcYmYQsfkgO_nbn3yRqMjQ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IFERROR(__xludf.DUMMYFUNCTION("""COMPUTED_VALUE"""),"1MrTHenFxkF5J71zXMaCuxQQEn0MTKrzO5gQMAwfQKRs")</f>
        <v>1MrTHenFxkF5J71zXMaCuxQQEn0MTKrzO5gQMAwfQKRs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IFERROR(__xludf.DUMMYFUNCTION("""COMPUTED_VALUE"""),"1eaoIETDNb24RXEreULlqBhqvx-wzyLQ-QZEGx6OOWIk")</f>
        <v>1eaoIETDNb24RXEreULlqBhqvx-wzyLQ-QZEGx6OOWIk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IFERROR(__xludf.DUMMYFUNCTION("""COMPUTED_VALUE"""),"1yC8Wv8pFz-xSKCh-BNoBEG_jvndfI1AIgV0zSlSDMI0")</f>
        <v>1yC8Wv8pFz-xSKCh-BNoBEG_jvndfI1AIgV0zSlSDMI0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IFERROR(__xludf.DUMMYFUNCTION("""COMPUTED_VALUE"""),"1BwceFfRFXBSOniiRhT1Nl_2D9MTRETjYIb7ZHUU6W4c")</f>
        <v>1BwceFfRFXBSOniiRhT1Nl_2D9MTRETjYIb7ZHUU6W4c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IFERROR(__xludf.DUMMYFUNCTION("""COMPUTED_VALUE"""),"1Rvzh-eJXivhL6DEagE3qvEb1nFNqCrK4C1CGKgbWGc8")</f>
        <v>1Rvzh-eJXivhL6DEagE3qvEb1nFNqCrK4C1CGKgbWGc8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IFERROR(__xludf.DUMMYFUNCTION("""COMPUTED_VALUE"""),"1Jso0TC_FWBB044YhD7W2BtiwhvzHb7EOgl_rdA3HFR0")</f>
        <v>1Jso0TC_FWBB044YhD7W2BtiwhvzHb7EOgl_rdA3HFR0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IFERROR(__xludf.DUMMYFUNCTION("""COMPUTED_VALUE"""),"1uyuwvv3L3R9HyXKpbUMYRZcMqOcR0HdO9g8C50GvA7o")</f>
        <v>1uyuwvv3L3R9HyXKpbUMYRZcMqOcR0HdO9g8C50GvA7o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IFERROR(__xludf.DUMMYFUNCTION("""COMPUTED_VALUE"""),"1AstfuV459BqKeepu1MNmnf9RnELNSqTbT8n5dWFhU4A")</f>
        <v>1AstfuV459BqKeepu1MNmnf9RnELNSqTbT8n5dWFhU4A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IFERROR(__xludf.DUMMYFUNCTION("""COMPUTED_VALUE"""),"109VETDxhCZifjTuw0RgdbIACi58AzIZl3dDnb6i6XHo")</f>
        <v>109VETDxhCZifjTuw0RgdbIACi58AzIZl3dDnb6i6XHo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IFERROR(__xludf.DUMMYFUNCTION("""COMPUTED_VALUE"""),"1XdZaKDGYgE9-tKFQso0HKZSgkAxkpHZOvbFRHMlZ3xA")</f>
        <v>1XdZaKDGYgE9-tKFQso0HKZSgkAxkpHZOvbFRHMlZ3xA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IFERROR(__xludf.DUMMYFUNCTION("""COMPUTED_VALUE"""),"1tUAq8qQntTSgASBY91fvVU8snKI0bJhC-FtS9W_wbzg")</f>
        <v>1tUAq8qQntTSgASBY91fvVU8snKI0bJhC-FtS9W_wbzg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IFERROR(__xludf.DUMMYFUNCTION("""COMPUTED_VALUE"""),"1Bno1TrJBKAvxD0_Fata4ZCQmTQjAVzTeScSoEZObcVU")</f>
        <v>1Bno1TrJBKAvxD0_Fata4ZCQmTQjAVzTeScSoEZObcVU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IFERROR(__xludf.DUMMYFUNCTION("""COMPUTED_VALUE"""),"1rgd2fe8QniENxU_y5tc12gCzhrYT-gekVPiniOFI6kw")</f>
        <v>1rgd2fe8QniENxU_y5tc12gCzhrYT-gekVPiniOFI6kw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IFERROR(__xludf.DUMMYFUNCTION("""COMPUTED_VALUE"""),"17HcIdum8zZH8Ni0jqEsdVE8-5i_Pp7PnFRmrFAMw42c")</f>
        <v>17HcIdum8zZH8Ni0jqEsdVE8-5i_Pp7PnFRmrFAMw42c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IFERROR(__xludf.DUMMYFUNCTION("""COMPUTED_VALUE"""),"1Usd8z5f1Gxiq2eU1suYXk3Wr-DyU1ioP01IpI3fb7HU")</f>
        <v>1Usd8z5f1Gxiq2eU1suYXk3Wr-DyU1ioP01IpI3fb7HU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IFERROR(__xludf.DUMMYFUNCTION("""COMPUTED_VALUE"""),"1eQN7kJn_D3eEi6utF462OrYRTnClw3BNXwnf8Nb24kE")</f>
        <v>1eQN7kJn_D3eEi6utF462OrYRTnClw3BNXwnf8Nb24kE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IFERROR(__xludf.DUMMYFUNCTION("""COMPUTED_VALUE"""),"1Vpasp_hFXJJz1bHltjhvLZZAgyBDtgwZwPCC3yE2F7E")</f>
        <v>1Vpasp_hFXJJz1bHltjhvLZZAgyBDtgwZwPCC3yE2F7E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IFERROR(__xludf.DUMMYFUNCTION("""COMPUTED_VALUE"""),"1aPIvRy1g73wuE_MnfsS9_6sZL8WBRMC5OSbBMVFTwZ4")</f>
        <v>1aPIvRy1g73wuE_MnfsS9_6sZL8WBRMC5OSbBMVFTwZ4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IFERROR(__xludf.DUMMYFUNCTION("""COMPUTED_VALUE"""),"1clS5unmZ92YCMaKCVLJ3r_ShuU8JBprNUpRv8R82FGU")</f>
        <v>1clS5unmZ92YCMaKCVLJ3r_ShuU8JBprNUpRv8R82FGU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IFERROR(__xludf.DUMMYFUNCTION("""COMPUTED_VALUE"""),"1B0mYySs5M1I6dikafVQ-4neiuHI-Vn_CefIpGSizjjc")</f>
        <v>1B0mYySs5M1I6dikafVQ-4neiuHI-Vn_CefIpGSizjjc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IFERROR(__xludf.DUMMYFUNCTION("""COMPUTED_VALUE"""),"1DhRXM2fca9wmYyaQSNF2bw07jlvNCvnHLL6qkOh4VYI")</f>
        <v>1DhRXM2fca9wmYyaQSNF2bw07jlvNCvnHLL6qkOh4VYI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IFERROR(__xludf.DUMMYFUNCTION("""COMPUTED_VALUE"""),"1VIvijDDAhEkPlk94McsOVF8Jhhp0VL5XZT6HhpFL9Zc")</f>
        <v>1VIvijDDAhEkPlk94McsOVF8Jhhp0VL5XZT6HhpFL9Zc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IFERROR(__xludf.DUMMYFUNCTION("""COMPUTED_VALUE"""),"1yFz_O3Qa1RLU4rwM7B95-FObIdnsJkq5W3t8wb25pwk")</f>
        <v>1yFz_O3Qa1RLU4rwM7B95-FObIdnsJkq5W3t8wb25pwk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IFERROR(__xludf.DUMMYFUNCTION("""COMPUTED_VALUE"""),"11zVa4QDQKlc2xL6L7T4ZkXvvPbqsdUS4dwdtv-vQckA")</f>
        <v>11zVa4QDQKlc2xL6L7T4ZkXvvPbqsdUS4dwdtv-vQckA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IFERROR(__xludf.DUMMYFUNCTION("""COMPUTED_VALUE"""),"1TP115IJHmOPYWofIcvK8Qm4INI0h3lVcWYgM7A1GDY0")</f>
        <v>1TP115IJHmOPYWofIcvK8Qm4INI0h3lVcWYgM7A1GDY0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IFERROR(__xludf.DUMMYFUNCTION("""COMPUTED_VALUE"""),"1VaJGHF0zBhhJsVgD_iWrTX0Nr78l3r6Vi8qxUzFqfpg")</f>
        <v>1VaJGHF0zBhhJsVgD_iWrTX0Nr78l3r6Vi8qxUzFqfpg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IFERROR(__xludf.DUMMYFUNCTION("""COMPUTED_VALUE"""),"1S084g8k68lhm_CzYP_s6hwzDsfQY_6PB602z30FlPho")</f>
        <v>1S084g8k68lhm_CzYP_s6hwzDsfQY_6PB602z30FlPho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IFERROR(__xludf.DUMMYFUNCTION("""COMPUTED_VALUE"""),"1_MlZUjk6ONPxfNtDIiycrqW9OaNnNF1m2u9LLf-5PcQ")</f>
        <v>1_MlZUjk6ONPxfNtDIiycrqW9OaNnNF1m2u9LLf-5PcQ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IFERROR(__xludf.DUMMYFUNCTION("""COMPUTED_VALUE"""),"17UYmoBLvsngTQLOZr9QrA8jxOAd0meDTXmZZyvI3OXI")</f>
        <v>17UYmoBLvsngTQLOZr9QrA8jxOAd0meDTXmZZyvI3OXI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IFERROR(__xludf.DUMMYFUNCTION("""COMPUTED_VALUE"""),"1Ncu0Zw9d-NZRpdNoPkeEXa5zXKF9E-P2wsxlX0wuyrc")</f>
        <v>1Ncu0Zw9d-NZRpdNoPkeEXa5zXKF9E-P2wsxlX0wuyrc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IFERROR(__xludf.DUMMYFUNCTION("""COMPUTED_VALUE"""),"1JNw9FkwFpwS2PGoV2iPz2qmPWmsTb8csLDPno0EuKzY")</f>
        <v>1JNw9FkwFpwS2PGoV2iPz2qmPWmsTb8csLDPno0EuKzY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IFERROR(__xludf.DUMMYFUNCTION("""COMPUTED_VALUE"""),"18XNfQJN7Pu4gTl1w2NXXhtl6NZpq3a53C0HJQ6Sp57c")</f>
        <v>18XNfQJN7Pu4gTl1w2NXXhtl6NZpq3a53C0HJQ6Sp57c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IFERROR(__xludf.DUMMYFUNCTION("""COMPUTED_VALUE"""),"1rMIUfcuqi6w1rhs_b8qvPSRahQ4icKmE0M2aOjPpKes")</f>
        <v>1rMIUfcuqi6w1rhs_b8qvPSRahQ4icKmE0M2aOjPpKes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IFERROR(__xludf.DUMMYFUNCTION("""COMPUTED_VALUE"""),"1pw1PrdXa_R5C5EukiFRPZWxGGq7JT9Agg84XvlWtXHM")</f>
        <v>1pw1PrdXa_R5C5EukiFRPZWxGGq7JT9Agg84XvlWtXHM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IFERROR(__xludf.DUMMYFUNCTION("""COMPUTED_VALUE"""),"18LoNnAmIEkgMbba_u6IGuxxf0-Qe0rEpckSjd2uUouw")</f>
        <v>18LoNnAmIEkgMbba_u6IGuxxf0-Qe0rEpckSjd2uUouw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IFERROR(__xludf.DUMMYFUNCTION("""COMPUTED_VALUE"""),"1M-iHFf8UTEustA_Kaho7JrgnPvw5cftqwiBeRmymzB8")</f>
        <v>1M-iHFf8UTEustA_Kaho7JrgnPvw5cftqwiBeRmymzB8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IFERROR(__xludf.DUMMYFUNCTION("""COMPUTED_VALUE"""),"1IlEdaeUqOBtg4mM4gYsuJa70B8Sbnp7plSyIOiAVIgk")</f>
        <v>1IlEdaeUqOBtg4mM4gYsuJa70B8Sbnp7plSyIOiAVIgk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IFERROR(__xludf.DUMMYFUNCTION("""COMPUTED_VALUE"""),"1dj8bA6nfZ1fxsLG7C3A_Ek0CtDIB8q7FR_rcxshATwQ")</f>
        <v>1dj8bA6nfZ1fxsLG7C3A_Ek0CtDIB8q7FR_rcxshATwQ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IFERROR(__xludf.DUMMYFUNCTION("""COMPUTED_VALUE"""),"1Dll2sWDtcfuwrpiTqSe-eN4inI0LypdXOVltGtNIqu8")</f>
        <v>1Dll2sWDtcfuwrpiTqSe-eN4inI0LypdXOVltGtNIqu8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IFERROR(__xludf.DUMMYFUNCTION("""COMPUTED_VALUE"""),"1lPnz-FV1f1G2GPvvQCySelg_zICYLc6nPkmy7MrNpX8")</f>
        <v>1lPnz-FV1f1G2GPvvQCySelg_zICYLc6nPkmy7MrNpX8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IFERROR(__xludf.DUMMYFUNCTION("""COMPUTED_VALUE"""),"16cTYyVqnDb0UBDA_IpfqwmNHyWAe8Ms-xO7jo-FKn0A")</f>
        <v>16cTYyVqnDb0UBDA_IpfqwmNHyWAe8Ms-xO7jo-FKn0A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IFERROR(__xludf.DUMMYFUNCTION("""COMPUTED_VALUE"""),"1Owu2cic47Z8WbUo7WLWwgVPP5PNVHDHm-co-OUWbgmc")</f>
        <v>1Owu2cic47Z8WbUo7WLWwgVPP5PNVHDHm-co-OUWbgmc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IFERROR(__xludf.DUMMYFUNCTION("""COMPUTED_VALUE"""),"1Y50AzSmKdg7JfFK_LD8Z_vfcYqmFBTY5OUH-3AWHhgI")</f>
        <v>1Y50AzSmKdg7JfFK_LD8Z_vfcYqmFBTY5OUH-3AWHhgI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IFERROR(__xludf.DUMMYFUNCTION("""COMPUTED_VALUE"""),"1wTPQxotwV6JCtfSovv5YJI6ZA3N8v8QfO3Rl7M8WBw4")</f>
        <v>1wTPQxotwV6JCtfSovv5YJI6ZA3N8v8QfO3Rl7M8WBw4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IFERROR(__xludf.DUMMYFUNCTION("""COMPUTED_VALUE"""),"1J8U9t3KVSIgtMdaCtvDl7vczUVKJ0rbXoktGlC0pouM")</f>
        <v>1J8U9t3KVSIgtMdaCtvDl7vczUVKJ0rbXoktGlC0pouM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IFERROR(__xludf.DUMMYFUNCTION("""COMPUTED_VALUE"""),"19ADTickI55w_f0Qh4KDprj-ycjacQTK1rRm3kN1lL9I")</f>
        <v>19ADTickI55w_f0Qh4KDprj-ycjacQTK1rRm3kN1lL9I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IFERROR(__xludf.DUMMYFUNCTION("""COMPUTED_VALUE"""),"16-eFUIQ3ukzsjSPxB24KZvEky-ECCg70eA4oWMP0k-0")</f>
        <v>16-eFUIQ3ukzsjSPxB24KZvEky-ECCg70eA4oWMP0k-0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IFERROR(__xludf.DUMMYFUNCTION("""COMPUTED_VALUE"""),"10BtQvahVCYnraPnKKsXTlDDrXH35Dfu57xMmuGesPbw")</f>
        <v>10BtQvahVCYnraPnKKsXTlDDrXH35Dfu57xMmuGesPbw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IFERROR(__xludf.DUMMYFUNCTION("""COMPUTED_VALUE"""),"1FlgjlUfMB_Ov2ajxqPDBmx4FjNzjR-hUBeEMwt9iQY4")</f>
        <v>1FlgjlUfMB_Ov2ajxqPDBmx4FjNzjR-hUBeEMwt9iQY4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IFERROR(__xludf.DUMMYFUNCTION("""COMPUTED_VALUE"""),"1ehtDHXUOwy3gDt4GoAJ9GbAoxhAGxjndnc_T-1yFgR8")</f>
        <v>1ehtDHXUOwy3gDt4GoAJ9GbAoxhAGxjndnc_T-1yFgR8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IFERROR(__xludf.DUMMYFUNCTION("""COMPUTED_VALUE"""),"1cmWZ4-ng-hApE-psRT8bSWDbTVr7SYk0cVc8bUH6io8")</f>
        <v>1cmWZ4-ng-hApE-psRT8bSWDbTVr7SYk0cVc8bUH6io8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IFERROR(__xludf.DUMMYFUNCTION("""COMPUTED_VALUE"""),"1L9Jzxvuy5z_ke_fw4Ut_3K-JV6BVs1ABWW5abckiRuk")</f>
        <v>1L9Jzxvuy5z_ke_fw4Ut_3K-JV6BVs1ABWW5abckiRuk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IFERROR(__xludf.DUMMYFUNCTION("""COMPUTED_VALUE"""),"1TpAslQOfNHC2s8O1Pa0jlryh5LOsLayesGJ-HdRVDoY")</f>
        <v>1TpAslQOfNHC2s8O1Pa0jlryh5LOsLayesGJ-HdRVDoY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IFERROR(__xludf.DUMMYFUNCTION("""COMPUTED_VALUE"""),"1Bu2vtRhzucwHoO-CJpsj3Z5UqUWOWJKUcbkMM6vGTqo")</f>
        <v>1Bu2vtRhzucwHoO-CJpsj3Z5UqUWOWJKUcbkMM6vGTqo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IFERROR(__xludf.DUMMYFUNCTION("""COMPUTED_VALUE"""),"18PkgWy5HKnMMEpYHNfztlnZCng_Slh7Iy3Jjdf9FnyI")</f>
        <v>18PkgWy5HKnMMEpYHNfztlnZCng_Slh7Iy3Jjdf9FnyI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IFERROR(__xludf.DUMMYFUNCTION("""COMPUTED_VALUE"""),"1EH8pKjhhBPNLqmDrqbG0JqtjsXaV8KJYA6l5N4MrrIY")</f>
        <v>1EH8pKjhhBPNLqmDrqbG0JqtjsXaV8KJYA6l5N4MrrIY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IFERROR(__xludf.DUMMYFUNCTION("""COMPUTED_VALUE"""),"1gZaSRFUpO1ruQv0px2yVE7mLEnMKIc_QL_JxhUJns6w")</f>
        <v>1gZaSRFUpO1ruQv0px2yVE7mLEnMKIc_QL_JxhUJns6w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IFERROR(__xludf.DUMMYFUNCTION("""COMPUTED_VALUE"""),"1Z8sb4__Lg0JalM6pM6xkVc_TiLbeNHrj6IknKSnL5H4")</f>
        <v>1Z8sb4__Lg0JalM6pM6xkVc_TiLbeNHrj6IknKSnL5H4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IFERROR(__xludf.DUMMYFUNCTION("""COMPUTED_VALUE"""),"16iKUzpEpEJO_Bl2pXlVRM-vD5UK97D5AFC9rw46xLBk")</f>
        <v>16iKUzpEpEJO_Bl2pXlVRM-vD5UK97D5AFC9rw46xLBk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IFERROR(__xludf.DUMMYFUNCTION("""COMPUTED_VALUE"""),"1RTjztF0M6g7xcSJNmqN1nHi0V-gzwXQuBB4-RbMrIdA")</f>
        <v>1RTjztF0M6g7xcSJNmqN1nHi0V-gzwXQuBB4-RbMrIdA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IFERROR(__xludf.DUMMYFUNCTION("""COMPUTED_VALUE"""),"1oiSYwztRGp8xzlvAitHk5O2zskEABIhO5tgHUEL1svc")</f>
        <v>1oiSYwztRGp8xzlvAitHk5O2zskEABIhO5tgHUEL1svc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IFERROR(__xludf.DUMMYFUNCTION("""COMPUTED_VALUE"""),"17QovWM75UjApdwFwFRSmfy8ed2oBNL4vbwf5BJpKNtg")</f>
        <v>17QovWM75UjApdwFwFRSmfy8ed2oBNL4vbwf5BJpKNtg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IFERROR(__xludf.DUMMYFUNCTION("""COMPUTED_VALUE"""),"1_kadfg1NiQaQ44l2s4JaAOdX0oK0uIiEpEpcE8kSXc4")</f>
        <v>1_kadfg1NiQaQ44l2s4JaAOdX0oK0uIiEpEpcE8kSXc4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IFERROR(__xludf.DUMMYFUNCTION("""COMPUTED_VALUE"""),"1rIgT_oUd8VYn3uvQkaqypsWXPI5mArskMgfPFTMOqy4")</f>
        <v>1rIgT_oUd8VYn3uvQkaqypsWXPI5mArskMgfPFTMOqy4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IFERROR(__xludf.DUMMYFUNCTION("""COMPUTED_VALUE"""),"1CjzXvuGPVDt7n4wJXsXH_CROBLKwj-GiagtBRetK2qU")</f>
        <v>1CjzXvuGPVDt7n4wJXsXH_CROBLKwj-GiagtBRetK2qU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IFERROR(__xludf.DUMMYFUNCTION("""COMPUTED_VALUE"""),"17D-CeSv7zeLu6w3e6KeVgmSR8GUhyfnVkMBKFVBrARI")</f>
        <v>17D-CeSv7zeLu6w3e6KeVgmSR8GUhyfnVkMBKFVBrARI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IFERROR(__xludf.DUMMYFUNCTION("""COMPUTED_VALUE"""),"1JV2odq8th8dTkDYRpq9RVp4raTtWdmbKUn5nMJX441s")</f>
        <v>1JV2odq8th8dTkDYRpq9RVp4raTtWdmbKUn5nMJX441s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IFERROR(__xludf.DUMMYFUNCTION("""COMPUTED_VALUE"""),"1sVj_55a0V51yYMgEL9RB8hYTgtzHoJcBI5hYzjILSRk")</f>
        <v>1sVj_55a0V51yYMgEL9RB8hYTgtzHoJcBI5hYzjILSRk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IFERROR(__xludf.DUMMYFUNCTION("""COMPUTED_VALUE"""),"1OWqgdRDfNIdrJXb61LMsF2wWIdH59kPrc-oGeZc1MEI")</f>
        <v>1OWqgdRDfNIdrJXb61LMsF2wWIdH59kPrc-oGeZc1MEI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IFERROR(__xludf.DUMMYFUNCTION("""COMPUTED_VALUE"""),"1aZcLqglE7GPm90-oMIdSJp7HlQrA30JIDZ-M2a2zcms")</f>
        <v>1aZcLqglE7GPm90-oMIdSJp7HlQrA30JIDZ-M2a2zcms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IFERROR(__xludf.DUMMYFUNCTION("""COMPUTED_VALUE"""),"1vcbfMsKMqF_V0OadQLfepNtS8WnwHqU0WFEA0aT_HeU")</f>
        <v>1vcbfMsKMqF_V0OadQLfepNtS8WnwHqU0WFEA0aT_HeU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IFERROR(__xludf.DUMMYFUNCTION("""COMPUTED_VALUE"""),"12wm-nFx8_xYkNhDb-kzakUa7uPl25NpCXbma6t3ZfiQ")</f>
        <v>12wm-nFx8_xYkNhDb-kzakUa7uPl25NpCXbma6t3ZfiQ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IFERROR(__xludf.DUMMYFUNCTION("""COMPUTED_VALUE"""),"1K-KHAWECCYGz8BTjRLH44g9Ol1pMUScm2Kx6yUQE7BU")</f>
        <v>1K-KHAWECCYGz8BTjRLH44g9Ol1pMUScm2Kx6yUQE7BU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IFERROR(__xludf.DUMMYFUNCTION("""COMPUTED_VALUE"""),"1sesgPiGJtT-Ey32zmnnKdOdBkvOJ6shdKgN--cZCNaM")</f>
        <v>1sesgPiGJtT-Ey32zmnnKdOdBkvOJ6shdKgN--cZCNaM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IFERROR(__xludf.DUMMYFUNCTION("""COMPUTED_VALUE"""),"1tWcQwLro3p26kKsWI6Z1I7GtylC9L1lsnTqAwHOZKzA")</f>
        <v>1tWcQwLro3p26kKsWI6Z1I7GtylC9L1lsnTqAwHOZKzA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IFERROR(__xludf.DUMMYFUNCTION("""COMPUTED_VALUE"""),"1jdvjXxtQbc6B4hMFjCuUSHjrKwafI_4dN8zjMvnoryE")</f>
        <v>1jdvjXxtQbc6B4hMFjCuUSHjrKwafI_4dN8zjMvnoryE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IFERROR(__xludf.DUMMYFUNCTION("""COMPUTED_VALUE"""),"1LNsU7ep1l4cr_oy_uI86EJ1CkvkLHF6Yo0WOMRU74S8")</f>
        <v>1LNsU7ep1l4cr_oy_uI86EJ1CkvkLHF6Yo0WOMRU74S8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IFERROR(__xludf.DUMMYFUNCTION("""COMPUTED_VALUE"""),"1eGXUoChdJAU0jioBXcfFCco8AUptTMF3X3Ej_eTbGKk")</f>
        <v>1eGXUoChdJAU0jioBXcfFCco8AUptTMF3X3Ej_eTbGKk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IFERROR(__xludf.DUMMYFUNCTION("""COMPUTED_VALUE"""),"14HIfvcWxAjFiWkRU_cqPRIr9M_uQUpK5PUWLB8-QGeY")</f>
        <v>14HIfvcWxAjFiWkRU_cqPRIr9M_uQUpK5PUWLB8-QGeY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IFERROR(__xludf.DUMMYFUNCTION("""COMPUTED_VALUE"""),"1PlxAVmA1kQxKEDdmir_dZ2yCnS0sczqxaxI14lspQRc")</f>
        <v>1PlxAVmA1kQxKEDdmir_dZ2yCnS0sczqxaxI14lspQRc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IFERROR(__xludf.DUMMYFUNCTION("""COMPUTED_VALUE"""),"1V1RvmzETVxcH9CLybyKXqI5pWvziKkgQY1hpXLZpRb0")</f>
        <v>1V1RvmzETVxcH9CLybyKXqI5pWvziKkgQY1hpXLZpRb0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IFERROR(__xludf.DUMMYFUNCTION("""COMPUTED_VALUE"""),"1AQl7WcPdSUJr2euw305eRRQMuZWLmiJXK_zLYXfXpe0")</f>
        <v>1AQl7WcPdSUJr2euw305eRRQMuZWLmiJXK_zLYXfXpe0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IFERROR(__xludf.DUMMYFUNCTION("""COMPUTED_VALUE"""),"16JaseGtsYIGOyEASc-NbgrrX2NsXB9UQxLaelT6YRgQ")</f>
        <v>16JaseGtsYIGOyEASc-NbgrrX2NsXB9UQxLaelT6YRgQ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IFERROR(__xludf.DUMMYFUNCTION("""COMPUTED_VALUE"""),"1HqBILRs6rj75XQAhwegUY0yUgq0DFvsYJU1JqOKcCWw")</f>
        <v>1HqBILRs6rj75XQAhwegUY0yUgq0DFvsYJU1JqOKcCWw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IFERROR(__xludf.DUMMYFUNCTION("""COMPUTED_VALUE"""),"10senHLHNcYUh0kxAWl1Up6T7v4TtqcfQeVnNDTArAjg")</f>
        <v>10senHLHNcYUh0kxAWl1Up6T7v4TtqcfQeVnNDTArAjg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IFERROR(__xludf.DUMMYFUNCTION("""COMPUTED_VALUE"""),"1hpCDxexdBt2bsLnkKN6YERG6qu69pm_lyvTpfWmMM5Y")</f>
        <v>1hpCDxexdBt2bsLnkKN6YERG6qu69pm_lyvTpfWmMM5Y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IFERROR(__xludf.DUMMYFUNCTION("""COMPUTED_VALUE"""),"1StAxeCnhmJunJOF4qJw7V7rZDdzeSnvX__M_m1ZuPnM")</f>
        <v>1StAxeCnhmJunJOF4qJw7V7rZDdzeSnvX__M_m1ZuPnM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IFERROR(__xludf.DUMMYFUNCTION("""COMPUTED_VALUE"""),"1Jz70Q9qwZ_KOtJ0prDxI5KzBnE_QVBCDBZH3r44j7P8")</f>
        <v>1Jz70Q9qwZ_KOtJ0prDxI5KzBnE_QVBCDBZH3r44j7P8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IFERROR(__xludf.DUMMYFUNCTION("""COMPUTED_VALUE"""),"1LOLJZdwbbwm5MWN6Aj_y28uGgG8a5k52W10D4WJ-qkQ")</f>
        <v>1LOLJZdwbbwm5MWN6Aj_y28uGgG8a5k52W10D4WJ-qkQ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IFERROR(__xludf.DUMMYFUNCTION("""COMPUTED_VALUE"""),"1IlOCDJWqGZHQTQtKCdo8xvCewBQR_Pw60YZtZIktB4g")</f>
        <v>1IlOCDJWqGZHQTQtKCdo8xvCewBQR_Pw60YZtZIktB4g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IFERROR(__xludf.DUMMYFUNCTION("""COMPUTED_VALUE"""),"1RjKrb8uRhjiDYhV2_08MxltmgLmu-Nvd19RVEJ5t5fU")</f>
        <v>1RjKrb8uRhjiDYhV2_08MxltmgLmu-Nvd19RVEJ5t5fU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IFERROR(__xludf.DUMMYFUNCTION("""COMPUTED_VALUE"""),"1QSOAd6hb8iMGX99AAmBzh30ETFcaz04qbf8FEfLeYvg")</f>
        <v>1QSOAd6hb8iMGX99AAmBzh30ETFcaz04qbf8FEfLeYvg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IFERROR(__xludf.DUMMYFUNCTION("""COMPUTED_VALUE"""),"1giMfU5SJAKDQXA1Q4k75EmpXWW3khjzRDSVLnhL0EIY")</f>
        <v>1giMfU5SJAKDQXA1Q4k75EmpXWW3khjzRDSVLnhL0EIY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IFERROR(__xludf.DUMMYFUNCTION("""COMPUTED_VALUE"""),"1uiC0ZQIk0iOlMA5Va1xcENNDotJcx9lYGyBUwg9Hgto")</f>
        <v>1uiC0ZQIk0iOlMA5Va1xcENNDotJcx9lYGyBUwg9Hgto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IFERROR(__xludf.DUMMYFUNCTION("""COMPUTED_VALUE"""),"1SY6I7Y1kNH4RpCgdDlY3E-h8usrAsSq5w0L2A_JbP0E")</f>
        <v>1SY6I7Y1kNH4RpCgdDlY3E-h8usrAsSq5w0L2A_JbP0E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IFERROR(__xludf.DUMMYFUNCTION("""COMPUTED_VALUE"""),"1k5EBRXPiJ1hAJdYsT4pHusMAvNL8WFGRU-AVEwxmWtw")</f>
        <v>1k5EBRXPiJ1hAJdYsT4pHusMAvNL8WFGRU-AVEwxmWtw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IFERROR(__xludf.DUMMYFUNCTION("""COMPUTED_VALUE"""),"132M3XrMLcOse0wnuxC6V3UrkiB8-BoFhvU2tLauJ0N4")</f>
        <v>132M3XrMLcOse0wnuxC6V3UrkiB8-BoFhvU2tLauJ0N4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IFERROR(__xludf.DUMMYFUNCTION("""COMPUTED_VALUE"""),"1cajGzH7tqLxFC8BnuHlMCg-SRNTsx7KgHS6low_imiw")</f>
        <v>1cajGzH7tqLxFC8BnuHlMCg-SRNTsx7KgHS6low_imiw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IFERROR(__xludf.DUMMYFUNCTION("""COMPUTED_VALUE"""),"1FIVvYeBou_v0Rajgdlg4Dn259vj948a4ITnN6XGPiHY")</f>
        <v>1FIVvYeBou_v0Rajgdlg4Dn259vj948a4ITnN6XGPiHY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IFERROR(__xludf.DUMMYFUNCTION("""COMPUTED_VALUE"""),"1OAVpHXxYG9sHC2AdPSAmYbRcNgndP44OYbO-bvaSKIE")</f>
        <v>1OAVpHXxYG9sHC2AdPSAmYbRcNgndP44OYbO-bvaSKIE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IFERROR(__xludf.DUMMYFUNCTION("""COMPUTED_VALUE"""),"1deUHsiNLHEEsp-GNB4X4XUHjBGdMJF84xLmjUIBUcLA")</f>
        <v>1deUHsiNLHEEsp-GNB4X4XUHjBGdMJF84xLmjUIBUcLA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IFERROR(__xludf.DUMMYFUNCTION("""COMPUTED_VALUE"""),"1mnKl6jHQhD7AEx1jzxfLWuc2Kv5kLcwPNU4smHImEPs")</f>
        <v>1mnKl6jHQhD7AEx1jzxfLWuc2Kv5kLcwPNU4smHImEPs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IFERROR(__xludf.DUMMYFUNCTION("""COMPUTED_VALUE"""),"1nf8W2oy_M0GSmFfcCFHOYCHWUwLMlzqDUSGBR36IbaI")</f>
        <v>1nf8W2oy_M0GSmFfcCFHOYCHWUwLMlzqDUSGBR36IbaI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IFERROR(__xludf.DUMMYFUNCTION("""COMPUTED_VALUE"""),"1jjVXzRolyFKUIxrpIo6DtnV6bx2CUj1M_kCNY_vsgy4")</f>
        <v>1jjVXzRolyFKUIxrpIo6DtnV6bx2CUj1M_kCNY_vsgy4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IFERROR(__xludf.DUMMYFUNCTION("""COMPUTED_VALUE"""),"18RcQxNwhAWOwcmy59o0cucJIdPSl6sADpFYIcsJ5sqo")</f>
        <v>18RcQxNwhAWOwcmy59o0cucJIdPSl6sADpFYIcsJ5sqo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IFERROR(__xludf.DUMMYFUNCTION("""COMPUTED_VALUE"""),"1C2o5-jwhnctEvEaVDDPBZz0tGyVsNv4VW3fW1bOL5TQ")</f>
        <v>1C2o5-jwhnctEvEaVDDPBZz0tGyVsNv4VW3fW1bOL5TQ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IFERROR(__xludf.DUMMYFUNCTION("""COMPUTED_VALUE"""),"1eX2Mfhb7koI3BhKKW6izvlEfitWdKST9vScAS14DYj0")</f>
        <v>1eX2Mfhb7koI3BhKKW6izvlEfitWdKST9vScAS14DYj0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IFERROR(__xludf.DUMMYFUNCTION("""COMPUTED_VALUE"""),"1CBXHBOOctFe-5Xw_99Yv2wghGcigXObx30_17CJORTs")</f>
        <v>1CBXHBOOctFe-5Xw_99Yv2wghGcigXObx30_17CJORTs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IFERROR(__xludf.DUMMYFUNCTION("""COMPUTED_VALUE"""),"1CBXHBOOctFe-5Xw_99Yv2wghGcigXObx30_17CJORTs")</f>
        <v>1CBXHBOOctFe-5Xw_99Yv2wghGcigXObx30_17CJORTs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IFERROR(__xludf.DUMMYFUNCTION("""COMPUTED_VALUE"""),"1k5EBRXPiJ1hAJdYsT4pHusMAvNL8WFGRU-AVEwxmWtw")</f>
        <v>1k5EBRXPiJ1hAJdYsT4pHusMAvNL8WFGRU-AVEwxmWtw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IFERROR(__xludf.DUMMYFUNCTION("""COMPUTED_VALUE"""),"1c_NLMk5uy2GW1oz-Zyz2EOEkjIs10v95M_q-jh7vKvs")</f>
        <v>1c_NLMk5uy2GW1oz-Zyz2EOEkjIs10v95M_q-jh7vKvs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IFERROR(__xludf.DUMMYFUNCTION("""COMPUTED_VALUE"""),"1k5EBRXPiJ1hAJdYsT4pHusMAvNL8WFGRU-AVEwxmWtw")</f>
        <v>1k5EBRXPiJ1hAJdYsT4pHusMAvNL8WFGRU-AVEwxmWtw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IFERROR(__xludf.DUMMYFUNCTION("""COMPUTED_VALUE"""),"1eiadZFi4EpW3GFqZaaoMFvWshTpPlk6F-hWhIJ18reQ")</f>
        <v>1eiadZFi4EpW3GFqZaaoMFvWshTpPlk6F-hWhIJ18reQ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IFERROR(__xludf.DUMMYFUNCTION("""COMPUTED_VALUE"""),"1tLvFabe6MOsJmg5CfsfrJ40ICMChWvnF-hcgnxRUcCc")</f>
        <v>1tLvFabe6MOsJmg5CfsfrJ40ICMChWvnF-hcgnxRUcCc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IFERROR(__xludf.DUMMYFUNCTION("""COMPUTED_VALUE"""),"1AwaQXJiwQ63pRdslfNamOnTIfyFa9PYlvDCRG8Moj7I")</f>
        <v>1AwaQXJiwQ63pRdslfNamOnTIfyFa9PYlvDCRG8Moj7I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IFERROR(__xludf.DUMMYFUNCTION("""COMPUTED_VALUE"""),"1AXzHAJjwT-9_5UW_XZw8Dwg7yp7Wz6mPkc0bQTXu160")</f>
        <v>1AXzHAJjwT-9_5UW_XZw8Dwg7yp7Wz6mPkc0bQTXu160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IFERROR(__xludf.DUMMYFUNCTION("""COMPUTED_VALUE"""),"1B7i0IoV9AO1bwZU3Tp_Qg16uzTHINgkzk9LQZ0sW_fs")</f>
        <v>1B7i0IoV9AO1bwZU3Tp_Qg16uzTHINgkzk9LQZ0sW_fs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IFERROR(__xludf.DUMMYFUNCTION("""COMPUTED_VALUE"""),"1CEnDaSGOuGcFNjm3hHd8aBDyUcX0sT7u_R9_4qKqDQg")</f>
        <v>1CEnDaSGOuGcFNjm3hHd8aBDyUcX0sT7u_R9_4qKqDQg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IFERROR(__xludf.DUMMYFUNCTION("""COMPUTED_VALUE"""),"1I1ruBtO8EtWeNS27V6l1CtRbmFnyCoGYjJeQKaXGO9c")</f>
        <v>1I1ruBtO8EtWeNS27V6l1CtRbmFnyCoGYjJeQKaXGO9c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IFERROR(__xludf.DUMMYFUNCTION("""COMPUTED_VALUE"""),"1uA3-X_sfdgHpLlla2gmA5qaIeMTJ6myEpMQomvaH57E")</f>
        <v>1uA3-X_sfdgHpLlla2gmA5qaIeMTJ6myEpMQomvaH57E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IFERROR(__xludf.DUMMYFUNCTION("""COMPUTED_VALUE"""),"1oJZA4RBw_XCkQDDZBy85ywqvQNpWajanrSAgqZzI13E")</f>
        <v>1oJZA4RBw_XCkQDDZBy85ywqvQNpWajanrSAgqZzI13E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IFERROR(__xludf.DUMMYFUNCTION("""COMPUTED_VALUE"""),"1CdBYKFFqYhOy4q1BEQGu82mUnF7WNWe4Z814u9beHxI")</f>
        <v>1CdBYKFFqYhOy4q1BEQGu82mUnF7WNWe4Z814u9beHxI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IFERROR(__xludf.DUMMYFUNCTION("""COMPUTED_VALUE"""),"1Y1WdSpP2a4mgL9AgFePTD5-O91_kez0RV_3oa79deEo")</f>
        <v>1Y1WdSpP2a4mgL9AgFePTD5-O91_kez0RV_3oa79deEo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IFERROR(__xludf.DUMMYFUNCTION("""COMPUTED_VALUE"""),"1e_0FhonaytFQGqmA2SZC8cqHQ7AVLoOxgvQEkeR849g")</f>
        <v>1e_0FhonaytFQGqmA2SZC8cqHQ7AVLoOxgvQEkeR849g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IFERROR(__xludf.DUMMYFUNCTION("""COMPUTED_VALUE"""),"1XgmEBTVWV37ueOSbU-KFxQMdWXS2s9BOXYqMxqKf2BY")</f>
        <v>1XgmEBTVWV37ueOSbU-KFxQMdWXS2s9BOXYqMxqKf2BY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IFERROR(__xludf.DUMMYFUNCTION("""COMPUTED_VALUE"""),"1e4CzgxX2NVRwzHvDyPOuiTJca4c8SXcpIGr2QVrjYQI")</f>
        <v>1e4CzgxX2NVRwzHvDyPOuiTJca4c8SXcpIGr2QVrjYQI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IFERROR(__xludf.DUMMYFUNCTION("""COMPUTED_VALUE"""),"1YElm81jXxZdxskT731iIp16oGd1p-W5Ffb9MVJDoofg")</f>
        <v>1YElm81jXxZdxskT731iIp16oGd1p-W5Ffb9MVJDoofg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IFERROR(__xludf.DUMMYFUNCTION("""COMPUTED_VALUE"""),"1bi6uYRfzxVu3GJCc3nSEh0YvVqGOtn-spYb06yo_hnY")</f>
        <v>1bi6uYRfzxVu3GJCc3nSEh0YvVqGOtn-spYb06yo_hnY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IFERROR(__xludf.DUMMYFUNCTION("""COMPUTED_VALUE"""),"1_DQqAXKgUDfMNZ4igcBmYvkPrPEjdQfZcn6_6SIc1LA")</f>
        <v>1_DQqAXKgUDfMNZ4igcBmYvkPrPEjdQfZcn6_6SIc1LA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IFERROR(__xludf.DUMMYFUNCTION("""COMPUTED_VALUE"""),"1OyBrMYDA5pir_a0JoXRjM-kGt-a_f9fa5fayZhq7gQA")</f>
        <v>1OyBrMYDA5pir_a0JoXRjM-kGt-a_f9fa5fayZhq7gQA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IFERROR(__xludf.DUMMYFUNCTION("""COMPUTED_VALUE"""),"1YZnEM1XNVemOWc-WrHrlgFWLxrgjrRkjzNt5BMMb0SQ")</f>
        <v>1YZnEM1XNVemOWc-WrHrlgFWLxrgjrRkjzNt5BMMb0SQ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IFERROR(__xludf.DUMMYFUNCTION("""COMPUTED_VALUE"""),"14dJxKOyoZUguSNdGUYEkaQb5fO8cn-Xi7Lvco3mqQT0")</f>
        <v>14dJxKOyoZUguSNdGUYEkaQb5fO8cn-Xi7Lvco3mqQT0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IFERROR(__xludf.DUMMYFUNCTION("""COMPUTED_VALUE"""),"1jjylktggovoVKJ93ygprcwMqE7x5APXRPDlZORnG-lM")</f>
        <v>1jjylktggovoVKJ93ygprcwMqE7x5APXRPDlZORnG-lM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IFERROR(__xludf.DUMMYFUNCTION("""COMPUTED_VALUE"""),"1M_vWwbJmnVHSZCn_aXTbhje_gX1wR7qPtpIVUwfXXEI")</f>
        <v>1M_vWwbJmnVHSZCn_aXTbhje_gX1wR7qPtpIVUwfXXEI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IFERROR(__xludf.DUMMYFUNCTION("""COMPUTED_VALUE"""),"1VY_dfHFF7h6QdGCqKyvQNhL1L0AflvVXqmsJf_-Q-wM")</f>
        <v>1VY_dfHFF7h6QdGCqKyvQNhL1L0AflvVXqmsJf_-Q-wM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IFERROR(__xludf.DUMMYFUNCTION("""COMPUTED_VALUE"""),"1PlxAVmA1kQxKEDdmir_dZ2yCnS0sczqxaxI14lspQRc")</f>
        <v>1PlxAVmA1kQxKEDdmir_dZ2yCnS0sczqxaxI14lspQRc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IFERROR(__xludf.DUMMYFUNCTION("""COMPUTED_VALUE"""),"1wcR0IDUt_nDrixwL4ekhCphzdwkRzSvN74wQc6bqa6I")</f>
        <v>1wcR0IDUt_nDrixwL4ekhCphzdwkRzSvN74wQc6bqa6I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IFERROR(__xludf.DUMMYFUNCTION("""COMPUTED_VALUE"""),"1xMTnPgjA-5czlK--QDF7kSLwwzm_Nr_U-hWjlIptwvA")</f>
        <v>1xMTnPgjA-5czlK--QDF7kSLwwzm_Nr_U-hWjlIptwvA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IFERROR(__xludf.DUMMYFUNCTION("""COMPUTED_VALUE"""),"1GTyXwiBJ89Cz8jXXGex2tRDqiQ-zfsA2Ab877TNJGO8")</f>
        <v>1GTyXwiBJ89Cz8jXXGex2tRDqiQ-zfsA2Ab877TNJGO8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IFERROR(__xludf.DUMMYFUNCTION("""COMPUTED_VALUE"""),"1bNNEr-lSd0r160QEx23XXOR6M4VNsWETJctUKdRQISI")</f>
        <v>1bNNEr-lSd0r160QEx23XXOR6M4VNsWETJctUKdRQISI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IFERROR(__xludf.DUMMYFUNCTION("""COMPUTED_VALUE"""),"1ZwKNiPobd02LDEL972DGhHwWWjyxykoNCOLI0J0A3FQ")</f>
        <v>1ZwKNiPobd02LDEL972DGhHwWWjyxykoNCOLI0J0A3FQ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IFERROR(__xludf.DUMMYFUNCTION("""COMPUTED_VALUE"""),"EditPTTRecord")</f>
        <v>EditPTTRecord</v>
      </c>
      <c r="C418" t="str">
        <f>IFERROR(__xludf.DUMMYFUNCTION("""COMPUTED_VALUE"""),"1UX2q2cE3Yhd9N1Cymq56lMWFO5b_5MRDssdEeUHk7Uw")</f>
        <v>1UX2q2cE3Yhd9N1Cymq56lMWFO5b_5MRDssdEeUHk7Uw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IFERROR(__xludf.DUMMYFUNCTION("""COMPUTED_VALUE"""),"1_Pi7jaWwC1-jHc4gdZjz6rVBF8BeDCN5MP-lkS3-P5A")</f>
        <v>1_Pi7jaWwC1-jHc4gdZjz6rVBF8BeDCN5MP-lkS3-P5A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IFERROR(__xludf.DUMMYFUNCTION("""COMPUTED_VALUE"""),"1o84-ebWnVj-2eOPPbqtkU7cjAdopGIv9U9UpnvyS_RM")</f>
        <v>1o84-ebWnVj-2eOPPbqtkU7cjAdopGIv9U9UpnvyS_RM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IFERROR(__xludf.DUMMYFUNCTION("""COMPUTED_VALUE"""),"10QzcdIo3u5jhik0CvwvheVC9AB6WY_giUhBXgjokbKA")</f>
        <v>10QzcdIo3u5jhik0CvwvheVC9AB6WY_giUhBXgjokbKA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IFERROR(__xludf.DUMMYFUNCTION("""COMPUTED_VALUE"""),"1yhwHj8QXLwaG6_tqD1DiMTBFbGfFx06eBEkztEnm-Jw")</f>
        <v>1yhwHj8QXLwaG6_tqD1DiMTBFbGfFx06eBEkztEnm-Jw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IFERROR(__xludf.DUMMYFUNCTION("""COMPUTED_VALUE"""),"136i7p89n9UDWHd_V-4a1bV4rkJpS_ilCt9E0-pe1yK8")</f>
        <v>136i7p89n9UDWHd_V-4a1bV4rkJpS_ilCt9E0-pe1yK8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IFERROR(__xludf.DUMMYFUNCTION("""COMPUTED_VALUE"""),"1e9G7T26lY7vSvQv24ueVwOQKraBS_0LQ_KuMJQWQhZE")</f>
        <v>1e9G7T26lY7vSvQv24ueVwOQKraBS_0LQ_KuMJQWQhZE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IFERROR(__xludf.DUMMYFUNCTION("""COMPUTED_VALUE"""),"1ReudWT4409vS83RpMHfwkV9B4orUNJ9atUNdHyDBQ4s")</f>
        <v>1ReudWT4409vS83RpMHfwkV9B4orUNJ9atUNdHyDBQ4s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IFERROR(__xludf.DUMMYFUNCTION("""COMPUTED_VALUE"""),"1ca52Q2hfdhwZ8A2jVvaiicu3dt8a8J8L3Jhcse7pG2A")</f>
        <v>1ca52Q2hfdhwZ8A2jVvaiicu3dt8a8J8L3Jhcse7pG2A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IFERROR(__xludf.DUMMYFUNCTION("""COMPUTED_VALUE"""),"1SBzqeTSAoUoHFDHMn4k7c6g6LHSBIrpd4emybhFreTg")</f>
        <v>1SBzqeTSAoUoHFDHMn4k7c6g6LHSBIrpd4emybhFreTg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IFERROR(__xludf.DUMMYFUNCTION("""COMPUTED_VALUE"""),"1wAywyRQ48H22P5SEjLRQxebHLFtPifvm4VFxZoSYlTI")</f>
        <v>1wAywyRQ48H22P5SEjLRQxebHLFtPifvm4VFxZoSYlTI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IFERROR(__xludf.DUMMYFUNCTION("""COMPUTED_VALUE"""),"16ErDdYMk92r2vHKFbCSsrMnG2qsS600CjuKBnkuz9bg")</f>
        <v>16ErDdYMk92r2vHKFbCSsrMnG2qsS600CjuKBnkuz9bg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IFERROR(__xludf.DUMMYFUNCTION("""COMPUTED_VALUE"""),"1_ofNNle4c82uOrOMYVoJijcsU3RrE_tOk8sP-7DTQbE")</f>
        <v>1_ofNNle4c82uOrOMYVoJijcsU3RrE_tOk8sP-7DTQbE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IFERROR(__xludf.DUMMYFUNCTION("""COMPUTED_VALUE"""),"1S6IfjsUhgXZnzhxXTQ9Pu8C2d3owAfDh3AkXsJ77ONs")</f>
        <v>1S6IfjsUhgXZnzhxXTQ9Pu8C2d3owAfDh3AkXsJ77ONs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IFERROR(__xludf.DUMMYFUNCTION("""COMPUTED_VALUE"""),"1VvbbBLsHbv0nOMc8RenJrC7_8Yjvi3rS_glRksBYT_g")</f>
        <v>1VvbbBLsHbv0nOMc8RenJrC7_8Yjvi3rS_glRksBYT_g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IFERROR(__xludf.DUMMYFUNCTION("""COMPUTED_VALUE"""),"1aOi8zMpuwOlcgS4kk8Ruk2p6o_Y6yab83mZG5CGPHsI")</f>
        <v>1aOi8zMpuwOlcgS4kk8Ruk2p6o_Y6yab83mZG5CGPHsI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IFERROR(__xludf.DUMMYFUNCTION("""COMPUTED_VALUE"""),"1NH2RgaXiyv04qiaKhglHuboYXdFpvtuQx8ZaQl1cqFs")</f>
        <v>1NH2RgaXiyv04qiaKhglHuboYXdFpvtuQx8ZaQl1cqFs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IFERROR(__xludf.DUMMYFUNCTION("""COMPUTED_VALUE"""),"1qIRihKlBnQ9rcLjWoqIp-PhksybW-tE4KcRwTi-uTh8")</f>
        <v>1qIRihKlBnQ9rcLjWoqIp-PhksybW-tE4KcRwTi-uTh8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IFERROR(__xludf.DUMMYFUNCTION("""COMPUTED_VALUE"""),"1mBYEgZFVmhMZkYKMz2zBcLvpelcKVcdkwVNoWjn9Yhg")</f>
        <v>1mBYEgZFVmhMZkYKMz2zBcLvpelcKVcdkwVNoWjn9Yhg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IFERROR(__xludf.DUMMYFUNCTION("""COMPUTED_VALUE"""),"1nb7n3oYvCbSlMI6mlmZw3W8oxoLWQ1JFUZkN8dhvKGo")</f>
        <v>1nb7n3oYvCbSlMI6mlmZw3W8oxoLWQ1JFUZkN8dhvKGo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IFERROR(__xludf.DUMMYFUNCTION("""COMPUTED_VALUE"""),"1c-Gj_pSa6hbKILBzHvXLuimO2VmGjEek0icIYnPcCPE")</f>
        <v>1c-Gj_pSa6hbKILBzHvXLuimO2VmGjEek0icIYnPcCPE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IFERROR(__xludf.DUMMYFUNCTION("""COMPUTED_VALUE"""),"1tOzxGOLWmanR1CinNEV8SAdqJX3ajMPchVgiX6Cao8s")</f>
        <v>1tOzxGOLWmanR1CinNEV8SAdqJX3ajMPchVgiX6Cao8s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IFERROR(__xludf.DUMMYFUNCTION("""COMPUTED_VALUE"""),"1B3vLz-YjdbGHniMwguZEWSalbMWNmVHodgQHVzZAq60")</f>
        <v>1B3vLz-YjdbGHniMwguZEWSalbMWNmVHodgQHVzZAq60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IFERROR(__xludf.DUMMYFUNCTION("""COMPUTED_VALUE"""),"1VQh3eCLRiyXufUtJv6VqIb0wjqC_jElZJAWe8vnyiFo")</f>
        <v>1VQh3eCLRiyXufUtJv6VqIb0wjqC_jElZJAWe8vnyiFo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IFERROR(__xludf.DUMMYFUNCTION("""COMPUTED_VALUE"""),"1jrQ5cTjzaAnJprHDrMJ7xLoViDRLxJhmViRhlMQyPmc")</f>
        <v>1jrQ5cTjzaAnJprHDrMJ7xLoViDRLxJhmViRhlMQyPmc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IFERROR(__xludf.DUMMYFUNCTION("""COMPUTED_VALUE"""),"1EtqBdhsUhwi27QZ_a5TFGvk7epbQRBAud4wwG4GjT-o")</f>
        <v>1EtqBdhsUhwi27QZ_a5TFGvk7epbQRBAud4wwG4GjT-o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IFERROR(__xludf.DUMMYFUNCTION("""COMPUTED_VALUE"""),"1DJn_ByYxhMzgt2AkKP7VvHaijAtfcn500twVCi3FuwY")</f>
        <v>1DJn_ByYxhMzgt2AkKP7VvHaijAtfcn500twVCi3FuwY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IFERROR(__xludf.DUMMYFUNCTION("""COMPUTED_VALUE"""),"1zDsXI3LPkoDacftZ2KF5YYjIcUlD3QhRUYRulDL5oN8")</f>
        <v>1zDsXI3LPkoDacftZ2KF5YYjIcUlD3QhRUYRulDL5oN8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IFERROR(__xludf.DUMMYFUNCTION("""COMPUTED_VALUE"""),"1MfOpDVrcGiBBIHH8fFTmd6amj1jHHg6rePWgu-2nZK8")</f>
        <v>1MfOpDVrcGiBBIHH8fFTmd6amj1jHHg6rePWgu-2nZK8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IFERROR(__xludf.DUMMYFUNCTION("""COMPUTED_VALUE"""),"1O-Z5n-OqLZKUyKhPsyc4cTH_RWRJRhFVjLQN9iZgf_g")</f>
        <v>1O-Z5n-OqLZKUyKhPsyc4cTH_RWRJRhFVjLQN9iZgf_g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IFERROR(__xludf.DUMMYFUNCTION("""COMPUTED_VALUE"""),"1X60AOW1PdXXC_MqWvlhO-_Xtym74TQ6JiKQf7BaFGFU")</f>
        <v>1X60AOW1PdXXC_MqWvlhO-_Xtym74TQ6JiKQf7BaFGFU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IFERROR(__xludf.DUMMYFUNCTION("""COMPUTED_VALUE"""),"1pQFXFOAH774XT-VZCbKCTilzQka7eSVAZO_30jAJkzc")</f>
        <v>1pQFXFOAH774XT-VZCbKCTilzQka7eSVAZO_30jAJkzc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IFERROR(__xludf.DUMMYFUNCTION("""COMPUTED_VALUE"""),"1LD-4ln6dD3Xr8MpjRWUrFZphBmyCgSTa6YWxKH2dnro")</f>
        <v>1LD-4ln6dD3Xr8MpjRWUrFZphBmyCgSTa6YWxKH2dnro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IFERROR(__xludf.DUMMYFUNCTION("""COMPUTED_VALUE"""),"1bU6-nZPWyWD3EHUirvMbX3iEk-dq8pOqW-T-92H7QH0")</f>
        <v>1bU6-nZPWyWD3EHUirvMbX3iEk-dq8pOqW-T-92H7QH0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IFERROR(__xludf.DUMMYFUNCTION("""COMPUTED_VALUE"""),"1Grp3J4MoPb4ugRngl-qzV4SSJXRISkZhbgiuGuLVEz4")</f>
        <v>1Grp3J4MoPb4ugRngl-qzV4SSJXRISkZhbgiuGuLVEz4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IFERROR(__xludf.DUMMYFUNCTION("""COMPUTED_VALUE"""),"1EAH65rZNySGGob__JM-Ohve-xSIVrLprry1-bHfxlIE")</f>
        <v>1EAH65rZNySGGob__JM-Ohve-xSIVrLprry1-bHfxlIE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IFERROR(__xludf.DUMMYFUNCTION("""COMPUTED_VALUE"""),"1my_zLaXc6szWpIOxmI-qCSNy0-rZqlHsM-ta7yilhBY")</f>
        <v>1my_zLaXc6szWpIOxmI-qCSNy0-rZqlHsM-ta7yilhBY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IFERROR(__xludf.DUMMYFUNCTION("""COMPUTED_VALUE"""),"1DPjaL7vtGJ9FJ9_Z4o7CkMSXYNcU4Qiga6SLll9BoUQ")</f>
        <v>1DPjaL7vtGJ9FJ9_Z4o7CkMSXYNcU4Qiga6SLll9BoUQ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IFERROR(__xludf.DUMMYFUNCTION("""COMPUTED_VALUE"""),"1Twh9hXbusYu_GS7dbW4xTddG57o7_sRf_eA0tSIHHnI")</f>
        <v>1Twh9hXbusYu_GS7dbW4xTddG57o7_sRf_eA0tSIHHnI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IFERROR(__xludf.DUMMYFUNCTION("""COMPUTED_VALUE"""),"1bJ3bDpFjTc_8g8qo7j1JVshB_LOl23u_1DYWXef1veE")</f>
        <v>1bJ3bDpFjTc_8g8qo7j1JVshB_LOl23u_1DYWXef1veE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IFERROR(__xludf.DUMMYFUNCTION("""COMPUTED_VALUE"""),"1Da-rjrbxEE3vLRnSqkr_MNxdUBaUjvyrVyCRsADwJKU")</f>
        <v>1Da-rjrbxEE3vLRnSqkr_MNxdUBaUjvyrVyCRsADwJKU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IFERROR(__xludf.DUMMYFUNCTION("""COMPUTED_VALUE"""),"1LVrDx22SvXtNLHuCgAdGOnjsdhE3b9tjTEtzx2RdECc")</f>
        <v>1LVrDx22SvXtNLHuCgAdGOnjsdhE3b9tjTEtzx2RdECc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IFERROR(__xludf.DUMMYFUNCTION("""COMPUTED_VALUE"""),"1ed4mu6dPKZ1upq8fj0V3A44fKKF0Kaci13w3MzPRi94")</f>
        <v>1ed4mu6dPKZ1upq8fj0V3A44fKKF0Kaci13w3MzPRi94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IFERROR(__xludf.DUMMYFUNCTION("""COMPUTED_VALUE"""),"1c8RXMSMKCCZZhGpaSJFpL0iNAB41irezmfODVoz-HOM")</f>
        <v>1c8RXMSMKCCZZhGpaSJFpL0iNAB41irezmfODVoz-HOM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IFERROR(__xludf.DUMMYFUNCTION("""COMPUTED_VALUE"""),"1Ag9B515mUdzPP5zMlZiJvXg_TX9Pf0V-JJb7HHGUFZQ")</f>
        <v>1Ag9B515mUdzPP5zMlZiJvXg_TX9Pf0V-JJb7HHGUFZQ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IFERROR(__xludf.DUMMYFUNCTION("""COMPUTED_VALUE"""),"14SRXKP6K_jM43UPVxHLajQ3RiPUNkFiafNIpKFU1qJw")</f>
        <v>14SRXKP6K_jM43UPVxHLajQ3RiPUNkFiafNIpKFU1qJw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IFERROR(__xludf.DUMMYFUNCTION("""COMPUTED_VALUE"""),"1Iqlyl1OX0stY1-IKyRyaVqLsL4U21WB22TR5R9IOuV0")</f>
        <v>1Iqlyl1OX0stY1-IKyRyaVqLsL4U21WB22TR5R9IOuV0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IFERROR(__xludf.DUMMYFUNCTION("""COMPUTED_VALUE"""),"1w0BOrROJMhSBD6gLWR9m2PsXt7yg48njQgJ3X9qWWeE")</f>
        <v>1w0BOrROJMhSBD6gLWR9m2PsXt7yg48njQgJ3X9qWWeE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IFERROR(__xludf.DUMMYFUNCTION("""COMPUTED_VALUE"""),"1UpTQDv3-OcoXnckKzH1C0np-5xkdjS3szbTcvwX-VWE")</f>
        <v>1UpTQDv3-OcoXnckKzH1C0np-5xkdjS3szbTcvwX-VWE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IFERROR(__xludf.DUMMYFUNCTION("""COMPUTED_VALUE"""),"1vMyQT3uR4ejtWOsCfpo0iqiZJvk8d4CyZ1m7nZfRedw")</f>
        <v>1vMyQT3uR4ejtWOsCfpo0iqiZJvk8d4CyZ1m7nZfRedw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IFERROR(__xludf.DUMMYFUNCTION("""COMPUTED_VALUE"""),"1ML-STLVrOrrVravDSrrhHBiPP2STeaHPpz6u2UzUbjY")</f>
        <v>1ML-STLVrOrrVravDSrrhHBiPP2STeaHPpz6u2UzUbjY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IFERROR(__xludf.DUMMYFUNCTION("""COMPUTED_VALUE"""),"1lpUcHcElZaOXkhMXuDMlsMhf---N3oQjSe1rn2RnGjE")</f>
        <v>1lpUcHcElZaOXkhMXuDMlsMhf---N3oQjSe1rn2RnGjE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IFERROR(__xludf.DUMMYFUNCTION("""COMPUTED_VALUE"""),"1IDlXbwq4xx3F351jk1e9GhmOOysQkjY49iti_LJY29Y")</f>
        <v>1IDlXbwq4xx3F351jk1e9GhmOOysQkjY49iti_LJY29Y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IFERROR(__xludf.DUMMYFUNCTION("""COMPUTED_VALUE"""),"1LwzjM4qhF7L7Sxpj0tmKmwrbnudRqAXE2o9sTrXIRg4")</f>
        <v>1LwzjM4qhF7L7Sxpj0tmKmwrbnudRqAXE2o9sTrXIRg4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IFERROR(__xludf.DUMMYFUNCTION("""COMPUTED_VALUE"""),"1guMwvYY7eIhwmTxoDxp96X7I1ob2jLHmhM39Dwo1Y_0")</f>
        <v>1guMwvYY7eIhwmTxoDxp96X7I1ob2jLHmhM39Dwo1Y_0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IFERROR(__xludf.DUMMYFUNCTION("""COMPUTED_VALUE"""),"19OVwZsuCpOR4wNoumc9dcWKh-GlmHGzdDHpxrI9vy2Q")</f>
        <v>19OVwZsuCpOR4wNoumc9dcWKh-GlmHGzdDHpxrI9vy2Q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IFERROR(__xludf.DUMMYFUNCTION("""COMPUTED_VALUE"""),"1tXfGlqhDgCdohzVgP6y6ZH15Fk9uu1P72qRZ3Z2rpG4")</f>
        <v>1tXfGlqhDgCdohzVgP6y6ZH15Fk9uu1P72qRZ3Z2rpG4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IFERROR(__xludf.DUMMYFUNCTION("""COMPUTED_VALUE"""),"19QVF-aiOcmBqU2qKUK-OCu98j5uyT4B-XqK8arWvdUE")</f>
        <v>19QVF-aiOcmBqU2qKUK-OCu98j5uyT4B-XqK8arWvdUE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IFERROR(__xludf.DUMMYFUNCTION("""COMPUTED_VALUE"""),"1PEbXqnVsJIUstDlBtSQ74U3EFTjGSqLfB7FqQsO5Lmw")</f>
        <v>1PEbXqnVsJIUstDlBtSQ74U3EFTjGSqLfB7FqQsO5Lmw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IFERROR(__xludf.DUMMYFUNCTION("""COMPUTED_VALUE"""),"1C5cKOwx9EUg1jODdQv4vMSqPEx82TJf3ahEnHpr3WXQ")</f>
        <v>1C5cKOwx9EUg1jODdQv4vMSqPEx82TJf3ahEnHpr3WXQ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IFERROR(__xludf.DUMMYFUNCTION("""COMPUTED_VALUE"""),"1dHOaB4ss1ElxiqF88xo8RR5XXPvF76pKh6JDOySJu-E")</f>
        <v>1dHOaB4ss1ElxiqF88xo8RR5XXPvF76pKh6JDOySJu-E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IFERROR(__xludf.DUMMYFUNCTION("""COMPUTED_VALUE"""),"1-Fquq09E5X5hH37sCvpU3vM33MTlYZO2fGOuT5GEl_0")</f>
        <v>1-Fquq09E5X5hH37sCvpU3vM33MTlYZO2fGOuT5GEl_0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IFERROR(__xludf.DUMMYFUNCTION("""COMPUTED_VALUE"""),"1aPotCHpuxmGXORel0Or7Cz4LqQtNgOXy6cutDrXC4ZA")</f>
        <v>1aPotCHpuxmGXORel0Or7Cz4LqQtNgOXy6cutDrXC4ZA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IFERROR(__xludf.DUMMYFUNCTION("""COMPUTED_VALUE"""),"1Yt8a2lXlhGObiQrMMM5W_j6RdU8jQn-mLCPBdmpe7Q4")</f>
        <v>1Yt8a2lXlhGObiQrMMM5W_j6RdU8jQn-mLCPBdmpe7Q4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IFERROR(__xludf.DUMMYFUNCTION("""COMPUTED_VALUE"""),"1MvpMdaCDeVLEpK1FmZNAkpQIPeitH0as0fCgj60iBiI")</f>
        <v>1MvpMdaCDeVLEpK1FmZNAkpQIPeitH0as0fCgj60iBiI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IFERROR(__xludf.DUMMYFUNCTION("""COMPUTED_VALUE"""),"1DDa6JCeggmfNaYD62TTTcjt1bmrk6ge5KcAe2yFoeMw")</f>
        <v>1DDa6JCeggmfNaYD62TTTcjt1bmrk6ge5KcAe2yFoeMw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IFERROR(__xludf.DUMMYFUNCTION("""COMPUTED_VALUE"""),"1UdCz3mbG1GJqgKZJ828uP7hYNKCi5g_gMKrTM4Nuw70")</f>
        <v>1UdCz3mbG1GJqgKZJ828uP7hYNKCi5g_gMKrTM4Nuw70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IFERROR(__xludf.DUMMYFUNCTION("""COMPUTED_VALUE"""),"1TGSSMCVBapTePkTNPegO5K-1JXoG29MXtaMfvS42lT4")</f>
        <v>1TGSSMCVBapTePkTNPegO5K-1JXoG29MXtaMfvS42lT4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IFERROR(__xludf.DUMMYFUNCTION("""COMPUTED_VALUE"""),"1sQkk0Iso34FqpWhLPcYXKUPQnmZ8Pjini2G3BJhnquM")</f>
        <v>1sQkk0Iso34FqpWhLPcYXKUPQnmZ8Pjini2G3BJhnquM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IFERROR(__xludf.DUMMYFUNCTION("""COMPUTED_VALUE"""),"12uaBilYuoqtrRW6_HDDP48tS7_jnEsipPeSiI04cKsU")</f>
        <v>12uaBilYuoqtrRW6_HDDP48tS7_jnEsipPeSiI04cKsU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IFERROR(__xludf.DUMMYFUNCTION("""COMPUTED_VALUE"""),"1XV5X_FcfT9lsESq_rfDGc3fxjjBPTf0U6hi--LgJFpk")</f>
        <v>1XV5X_FcfT9lsESq_rfDGc3fxjjBPTf0U6hi--LgJFpk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IFERROR(__xludf.DUMMYFUNCTION("""COMPUTED_VALUE"""),"1t0clw8YL_XSFlsdLmKvJToFZu0s9objoeJH9wCCADyE")</f>
        <v>1t0clw8YL_XSFlsdLmKvJToFZu0s9objoeJH9wCCADyE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IFERROR(__xludf.DUMMYFUNCTION("""COMPUTED_VALUE"""),"1azN1M08dpW7VMj-beZnqcg3K67iDFaQtsG3VPQICd34")</f>
        <v>1azN1M08dpW7VMj-beZnqcg3K67iDFaQtsG3VPQICd34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IFERROR(__xludf.DUMMYFUNCTION("""COMPUTED_VALUE"""),"1J1yzfPy0VAAGjLSKMbWrAky24FH9wnzsX22WqJo0rTw")</f>
        <v>1J1yzfPy0VAAGjLSKMbWrAky24FH9wnzsX22WqJo0rTw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IFERROR(__xludf.DUMMYFUNCTION("""COMPUTED_VALUE"""),"1_Jcd2NyXYod49jJBTF7mnnyrz-bqcIOuRrXNBhoAndM")</f>
        <v>1_Jcd2NyXYod49jJBTF7mnnyrz-bqcIOuRrXNBhoAndM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IFERROR(__xludf.DUMMYFUNCTION("""COMPUTED_VALUE"""),"1IjKsUSAA3GmZT9QQkCwzDRD8t7aMh3gfEnicm2yt7yk")</f>
        <v>1IjKsUSAA3GmZT9QQkCwzDRD8t7aMh3gfEnicm2yt7yk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IFERROR(__xludf.DUMMYFUNCTION("""COMPUTED_VALUE"""),"1msdo-HHZukw5R83IjNxsWerlvkI-fgQTDh4cp_x-lEM")</f>
        <v>1msdo-HHZukw5R83IjNxsWerlvkI-fgQTDh4cp_x-lEM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IFERROR(__xludf.DUMMYFUNCTION("""COMPUTED_VALUE"""),"1kvkQ3sHjIMOR6FW4ddUp3GL5YgZFuVUrFwr0ccGcALs")</f>
        <v>1kvkQ3sHjIMOR6FW4ddUp3GL5YgZFuVUrFwr0ccGcALs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IFERROR(__xludf.DUMMYFUNCTION("""COMPUTED_VALUE"""),"1-YmkMS_HNizqClLTgaGFhyqIssE8ZUmQHizsGnCO0-0")</f>
        <v>1-YmkMS_HNizqClLTgaGFhyqIssE8ZUmQHizsGnCO0-0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IFERROR(__xludf.DUMMYFUNCTION("""COMPUTED_VALUE"""),"1jht2hZ44HjYgB6aaBYiPuuuTSaEkHaPT4jKo7YIRGu4")</f>
        <v>1jht2hZ44HjYgB6aaBYiPuuuTSaEkHaPT4jKo7YIRGu4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IFERROR(__xludf.DUMMYFUNCTION("""COMPUTED_VALUE"""),"1fOE8jOgP2gNa3oRibbTXnvv_lvz-lbHvy-pceE4ajbs")</f>
        <v>1fOE8jOgP2gNa3oRibbTXnvv_lvz-lbHvy-pceE4ajbs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IFERROR(__xludf.DUMMYFUNCTION("""COMPUTED_VALUE"""),"1HhQmll51_SDv5EfY7waeq2fCv92vjcbj_GijhdZyvhI")</f>
        <v>1HhQmll51_SDv5EfY7waeq2fCv92vjcbj_GijhdZyvhI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IFERROR(__xludf.DUMMYFUNCTION("""COMPUTED_VALUE"""),"1gxr6RyiwWcasB3fKgXdgFiGMuKmec4L2x__tgBOzGJ4")</f>
        <v>1gxr6RyiwWcasB3fKgXdgFiGMuKmec4L2x__tgBOzGJ4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IFERROR(__xludf.DUMMYFUNCTION("""COMPUTED_VALUE"""),"1owuq6wQlz8I3_fYGTcvp_BtK2b79jE6vCJTDGLtxi4k")</f>
        <v>1owuq6wQlz8I3_fYGTcvp_BtK2b79jE6vCJTDGLtxi4k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IFERROR(__xludf.DUMMYFUNCTION("""COMPUTED_VALUE"""),"11C1E7MWiLt7_Bk66Vw9dmQ6oZNSONXaMtNXDJOQXq5s")</f>
        <v>11C1E7MWiLt7_Bk66Vw9dmQ6oZNSONXaMtNXDJOQXq5s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IFERROR(__xludf.DUMMYFUNCTION("""COMPUTED_VALUE"""),"1U6qqov4LzcjxrSucq0agJD46Q-GxDor6UdqCigUJ4Hk")</f>
        <v>1U6qqov4LzcjxrSucq0agJD46Q-GxDor6UdqCigUJ4Hk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IFERROR(__xludf.DUMMYFUNCTION("""COMPUTED_VALUE"""),"1gr6T2UvPfnYDk0z6dFV_mRYS8DySX1Vq8xjIgjK43Ok")</f>
        <v>1gr6T2UvPfnYDk0z6dFV_mRYS8DySX1Vq8xjIgjK43Ok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IFERROR(__xludf.DUMMYFUNCTION("""COMPUTED_VALUE"""),"1Tr2xSDgsBU643lR2QckIJKwAkNLNn-X0DpSgL4BbVB4")</f>
        <v>1Tr2xSDgsBU643lR2QckIJKwAkNLNn-X0DpSgL4BbVB4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IFERROR(__xludf.DUMMYFUNCTION("""COMPUTED_VALUE"""),"1_V828-1UqtJPJrCVclzkn3URR23OxnBP06IouHxEc18")</f>
        <v>1_V828-1UqtJPJrCVclzkn3URR23OxnBP06IouHxEc18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IFERROR(__xludf.DUMMYFUNCTION("""COMPUTED_VALUE"""),"1NkAbdJ74ry_1fxzkJoBzFl9F_rMWydAb8sHkBebiFjk")</f>
        <v>1NkAbdJ74ry_1fxzkJoBzFl9F_rMWydAb8sHkBebiFjk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IFERROR(__xludf.DUMMYFUNCTION("""COMPUTED_VALUE"""),"1n7tEPxTe0qMZZ4L3gBhqHDVhiNPODDDQ1d__74EcJC8")</f>
        <v>1n7tEPxTe0qMZZ4L3gBhqHDVhiNPODDDQ1d__74EcJC8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IFERROR(__xludf.DUMMYFUNCTION("""COMPUTED_VALUE"""),"1S6sj5FWvIc-3o_AfPaPuatehpzQm1Qx2rydxXGom_dg")</f>
        <v>1S6sj5FWvIc-3o_AfPaPuatehpzQm1Qx2rydxXGom_dg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IFERROR(__xludf.DUMMYFUNCTION("""COMPUTED_VALUE"""),"1NuepzxikoEeQ9UGIazOW9FdK3u7QGJplxR7E8kC43zk")</f>
        <v>1NuepzxikoEeQ9UGIazOW9FdK3u7QGJplxR7E8kC43zk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IFERROR(__xludf.DUMMYFUNCTION("""COMPUTED_VALUE"""),"1oFdiPMJZ6QcqQOw8iiVuMy67mAJN06vJWm3q-cVwnno")</f>
        <v>1oFdiPMJZ6QcqQOw8iiVuMy67mAJN06vJWm3q-cVwnno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IFERROR(__xludf.DUMMYFUNCTION("""COMPUTED_VALUE"""),"1qS_WdHc-9zx-QFEzjKFnwArW39qAuRmf2BwbLZIYrx8")</f>
        <v>1qS_WdHc-9zx-QFEzjKFnwArW39qAuRmf2BwbLZIYrx8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IFERROR(__xludf.DUMMYFUNCTION("""COMPUTED_VALUE"""),"1xOFeeEAfRZ7uVQd-bOgJ8e2jRaAjMLV_Blt4kgkW758")</f>
        <v>1xOFeeEAfRZ7uVQd-bOgJ8e2jRaAjMLV_Blt4kgkW758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IFERROR(__xludf.DUMMYFUNCTION("""COMPUTED_VALUE"""),"1gOEnHffMXCfk3OHpA4l1AxtdYLt7yCY9nIAHCVLNwVc")</f>
        <v>1gOEnHffMXCfk3OHpA4l1AxtdYLt7yCY9nIAHCVLNwVc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IFERROR(__xludf.DUMMYFUNCTION("""COMPUTED_VALUE"""),"1MwTe8wnpOxfAt8LI3PyswJ6sddAaGzi5MdpUL8JAo-E")</f>
        <v>1MwTe8wnpOxfAt8LI3PyswJ6sddAaGzi5MdpUL8JAo-E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IFERROR(__xludf.DUMMYFUNCTION("""COMPUTED_VALUE"""),"1JlA0Y1H-vrWeIlqgP3MsswQdI6cigTmArnA7R2LWQc4")</f>
        <v>1JlA0Y1H-vrWeIlqgP3MsswQdI6cigTmArnA7R2LWQc4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IFERROR(__xludf.DUMMYFUNCTION("""COMPUTED_VALUE"""),"1kR80czhB9OTe0d_J57MU3TZ4AfXbKGWNfDZ-2FQbHwI")</f>
        <v>1kR80czhB9OTe0d_J57MU3TZ4AfXbKGWNfDZ-2FQbHwI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IFERROR(__xludf.DUMMYFUNCTION("""COMPUTED_VALUE"""),"1o7j1EbVMp55C2W0LtWgInbcaRCadHrS8uLmpnVq98uY")</f>
        <v>1o7j1EbVMp55C2W0LtWgInbcaRCadHrS8uLmpnVq98uY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IFERROR(__xludf.DUMMYFUNCTION("""COMPUTED_VALUE"""),"1WpyTBvj-iezHv6E9PbjJ3UJKNDEkGuyVLw4TOx5zcas")</f>
        <v>1WpyTBvj-iezHv6E9PbjJ3UJKNDEkGuyVLw4TOx5zcas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IFERROR(__xludf.DUMMYFUNCTION("""COMPUTED_VALUE"""),"1u6KqBelmQQ2oYAB3PeSwYS-Dl3oOd1Dhuag0CXdBdWI")</f>
        <v>1u6KqBelmQQ2oYAB3PeSwYS-Dl3oOd1Dhuag0CXdBdWI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IFERROR(__xludf.DUMMYFUNCTION("""COMPUTED_VALUE"""),"1gmcte0l7mexRV3mcVKh44GtDozpoxvkubq93yh2tGqU")</f>
        <v>1gmcte0l7mexRV3mcVKh44GtDozpoxvkubq93yh2tGqU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IFERROR(__xludf.DUMMYFUNCTION("""COMPUTED_VALUE"""),"1dCrY-kPvBYwHWZFEAPkwG7_-NIXiZCgTXwbmTvW0ejY")</f>
        <v>1dCrY-kPvBYwHWZFEAPkwG7_-NIXiZCgTXwbmTvW0ejY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IFERROR(__xludf.DUMMYFUNCTION("""COMPUTED_VALUE"""),"1YBhqpdTe5HhM37nCSMHR8xiY56Y5rQdUizIAR0ZhetA")</f>
        <v>1YBhqpdTe5HhM37nCSMHR8xiY56Y5rQdUizIAR0ZhetA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IFERROR(__xludf.DUMMYFUNCTION("""COMPUTED_VALUE"""),"1DkMDvYHJVI0PJ-rTpp2qT_DByDKjy7Jk0saOYBb6-mU")</f>
        <v>1DkMDvYHJVI0PJ-rTpp2qT_DByDKjy7Jk0saOYBb6-mU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IFERROR(__xludf.DUMMYFUNCTION("""COMPUTED_VALUE"""),"1d9VnMnman_DekbWVZZe1TyFq1K7qIz4-u3Ho348l7NQ")</f>
        <v>1d9VnMnman_DekbWVZZe1TyFq1K7qIz4-u3Ho348l7NQ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IFERROR(__xludf.DUMMYFUNCTION("""COMPUTED_VALUE"""),"1x9o8wpvtq-vnalvhw9-bSPFTvsAgLuSBv39sk-__sqA")</f>
        <v>1x9o8wpvtq-vnalvhw9-bSPFTvsAgLuSBv39sk-__sqA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IFERROR(__xludf.DUMMYFUNCTION("""COMPUTED_VALUE"""),"1QnRdwOkq7zW-9t1KpCO8lLG9e-abFT1Hi2jBNJs6XSQ")</f>
        <v>1QnRdwOkq7zW-9t1KpCO8lLG9e-abFT1Hi2jBNJs6XSQ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IFERROR(__xludf.DUMMYFUNCTION("""COMPUTED_VALUE"""),"1w3Tl0jhDzxZ-1bnuGo4OGQ5EoVFrAYr0TQ6Xl0YgpAY")</f>
        <v>1w3Tl0jhDzxZ-1bnuGo4OGQ5EoVFrAYr0TQ6Xl0YgpAY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IFERROR(__xludf.DUMMYFUNCTION("""COMPUTED_VALUE"""),"1qE7n9le_EHMocRkBbKlAcMbopbxmR7c6Nd_yVObz5Hc")</f>
        <v>1qE7n9le_EHMocRkBbKlAcMbopbxmR7c6Nd_yVObz5Hc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IFERROR(__xludf.DUMMYFUNCTION("""COMPUTED_VALUE"""),"1g0ptpj616n-M3tdgp6QODnakxqVbRiuaH5fglhhWvUA")</f>
        <v>1g0ptpj616n-M3tdgp6QODnakxqVbRiuaH5fglhhWvUA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IFERROR(__xludf.DUMMYFUNCTION("""COMPUTED_VALUE"""),"1XQ4pQr3fnuG-wfebHJWeoAU_oWraVvaEoq5vxfmeyFU")</f>
        <v>1XQ4pQr3fnuG-wfebHJWeoAU_oWraVvaEoq5vxfmeyFU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IFERROR(__xludf.DUMMYFUNCTION("""COMPUTED_VALUE"""),"1txUo3R71Idwek_WSkxDmfa85jvmU4skpklkunC9l4to")</f>
        <v>1txUo3R71Idwek_WSkxDmfa85jvmU4skpklkunC9l4to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IFERROR(__xludf.DUMMYFUNCTION("""COMPUTED_VALUE"""),"1jo5CsRlvFnrD55hhWEgqFOiGuhY6UoAWRWk9ysrekJ4")</f>
        <v>1jo5CsRlvFnrD55hhWEgqFOiGuhY6UoAWRWk9ysrekJ4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IFERROR(__xludf.DUMMYFUNCTION("""COMPUTED_VALUE"""),"17x5jnRAVCvQUGHBhgiiVTUeAomMG3s-WN918W8i78RY")</f>
        <v>17x5jnRAVCvQUGHBhgiiVTUeAomMG3s-WN918W8i78RY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IFERROR(__xludf.DUMMYFUNCTION("""COMPUTED_VALUE"""),"11bhQDFMxUdCHiZELuMSPwLt6XZavd_QvQB5Lxkm1XXE")</f>
        <v>11bhQDFMxUdCHiZELuMSPwLt6XZavd_QvQB5Lxkm1XXE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IFERROR(__xludf.DUMMYFUNCTION("""COMPUTED_VALUE"""),"1v_DBl1sU9-btwN2cjxlFI_LWcxrlSVvrF1KOzeJisPg")</f>
        <v>1v_DBl1sU9-btwN2cjxlFI_LWcxrlSVvrF1KOzeJisPg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IFERROR(__xludf.DUMMYFUNCTION("""COMPUTED_VALUE"""),"191PZhRplV1PcCALc5XtZSmsny5aT0kGj27fH7ERiAd8")</f>
        <v>191PZhRplV1PcCALc5XtZSmsny5aT0kGj27fH7ERiAd8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IFERROR(__xludf.DUMMYFUNCTION("""COMPUTED_VALUE"""),"1rUVERdbqvBECNyG_BrwWmTnx6C02IGItQZFJkw5ZzvM")</f>
        <v>1rUVERdbqvBECNyG_BrwWmTnx6C02IGItQZFJkw5ZzvM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IFERROR(__xludf.DUMMYFUNCTION("""COMPUTED_VALUE"""),"1Ies-dH6F3ega-0G78bGC6O4wv2KeaxZVCOrQ36yBSlQ")</f>
        <v>1Ies-dH6F3ega-0G78bGC6O4wv2KeaxZVCOrQ36yBSlQ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IFERROR(__xludf.DUMMYFUNCTION("""COMPUTED_VALUE"""),"1MILvcLzeuv6xKRk3qd4Sxn9N81mZ-zAP1j_d22RRaRk")</f>
        <v>1MILvcLzeuv6xKRk3qd4Sxn9N81mZ-zAP1j_d22RRaRk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IFERROR(__xludf.DUMMYFUNCTION("""COMPUTED_VALUE"""),"1WDFAjSIlOFsNX0LLYwhJaUkTKf6rViDpcTcizTr7tkE")</f>
        <v>1WDFAjSIlOFsNX0LLYwhJaUkTKf6rViDpcTcizTr7tkE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IFERROR(__xludf.DUMMYFUNCTION("""COMPUTED_VALUE"""),"1As4aK9TB7BNLyLzv833qnm_81Y9C10iVC1t_pVb_g4o")</f>
        <v>1As4aK9TB7BNLyLzv833qnm_81Y9C10iVC1t_pVb_g4o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IFERROR(__xludf.DUMMYFUNCTION("""COMPUTED_VALUE"""),"1Z6VinSFfvyzX51UkxNQ57jx1V4d_2r5QgnF-82XZiII")</f>
        <v>1Z6VinSFfvyzX51UkxNQ57jx1V4d_2r5QgnF-82XZiII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IFERROR(__xludf.DUMMYFUNCTION("""COMPUTED_VALUE"""),"1Xoytpjlm_uCbH7E2OBVyA5cpiEdagmLynZS77w0sB9E")</f>
        <v>1Xoytpjlm_uCbH7E2OBVyA5cpiEdagmLynZS77w0sB9E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IFERROR(__xludf.DUMMYFUNCTION("""COMPUTED_VALUE"""),"1KuYiSB26XWBfbzb75TDdM5e9oYb3vnk75drHSH0LnqY")</f>
        <v>1KuYiSB26XWBfbzb75TDdM5e9oYb3vnk75drHSH0LnqY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IFERROR(__xludf.DUMMYFUNCTION("""COMPUTED_VALUE"""),"1lByE4-9oGLqgyjwm136U-2hfBqhRA_J-WHj8Eo1iTAo")</f>
        <v>1lByE4-9oGLqgyjwm136U-2hfBqhRA_J-WHj8Eo1iTAo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IFERROR(__xludf.DUMMYFUNCTION("""COMPUTED_VALUE"""),"1gRoCh9m9NqIGTjNnEl44mGE3VScdhFYZFIGauMOiu0A")</f>
        <v>1gRoCh9m9NqIGTjNnEl44mGE3VScdhFYZFIGauMOiu0A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IFERROR(__xludf.DUMMYFUNCTION("""COMPUTED_VALUE"""),"1jfp8aZqh3UdVRZlAjBYQgJyHqTyBbhFc4uHQA7y9krs")</f>
        <v>1jfp8aZqh3UdVRZlAjBYQgJyHqTyBbhFc4uHQA7y9krs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IFERROR(__xludf.DUMMYFUNCTION("""COMPUTED_VALUE"""),"1Mu3QSS9ja4VJBNwHgxOrColyJvnFp-9taHs7WERfoGA")</f>
        <v>1Mu3QSS9ja4VJBNwHgxOrColyJvnFp-9taHs7WERfoGA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IFERROR(__xludf.DUMMYFUNCTION("""COMPUTED_VALUE"""),"1M-9P8q5tiKJgPHUTttNF6nknqVv2KelBDn-DmSjTqzE")</f>
        <v>1M-9P8q5tiKJgPHUTttNF6nknqVv2KelBDn-DmSjTqzE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IFERROR(__xludf.DUMMYFUNCTION("""COMPUTED_VALUE"""),"125HVLz9JsDfW-RasFrXrQbkmpfBgoLNIwAOq-tzTlKg")</f>
        <v>125HVLz9JsDfW-RasFrXrQbkmpfBgoLNIwAOq-tzTlKg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IFERROR(__xludf.DUMMYFUNCTION("""COMPUTED_VALUE"""),"10yWz7qGDCZSmNciBeD3O041xErneAlctCAKUTSUMCjo")</f>
        <v>10yWz7qGDCZSmNciBeD3O041xErneAlctCAKUTSUMCjo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IFERROR(__xludf.DUMMYFUNCTION("""COMPUTED_VALUE"""),"1tE0JmmhLdBJdhU5UVnPXGBlkR2I3vOjQv07gU21GvxE")</f>
        <v>1tE0JmmhLdBJdhU5UVnPXGBlkR2I3vOjQv07gU21GvxE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IFERROR(__xludf.DUMMYFUNCTION("""COMPUTED_VALUE"""),"12-0bH70bYN6Seh10B26EVNX7irTpsc_sZyluYAHwjQc")</f>
        <v>12-0bH70bYN6Seh10B26EVNX7irTpsc_sZyluYAHwjQc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IFERROR(__xludf.DUMMYFUNCTION("""COMPUTED_VALUE"""),"1bVzO569ANMee7krdBrWkFhCZKN5hTw6usYeUmdMDkzI")</f>
        <v>1bVzO569ANMee7krdBrWkFhCZKN5hTw6usYeUmdMDkzI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IFERROR(__xludf.DUMMYFUNCTION("""COMPUTED_VALUE"""),"1gNFsXBL_FJJrxJtDO2zjzVWu9qT_j1bzsfLqt4p-_Fo")</f>
        <v>1gNFsXBL_FJJrxJtDO2zjzVWu9qT_j1bzsfLqt4p-_Fo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IFERROR(__xludf.DUMMYFUNCTION("""COMPUTED_VALUE"""),"1RAgAbVa3RJzX7cn7Q8rWnjjzhfqmjIR64sJ84ZIl6PU")</f>
        <v>1RAgAbVa3RJzX7cn7Q8rWnjjzhfqmjIR64sJ84ZIl6PU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IFERROR(__xludf.DUMMYFUNCTION("""COMPUTED_VALUE"""),"1GsnTQHJQ7cVEizrryoUXk5eXeK0x0migAZPTN4d4rNQ")</f>
        <v>1GsnTQHJQ7cVEizrryoUXk5eXeK0x0migAZPTN4d4rNQ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IFERROR(__xludf.DUMMYFUNCTION("""COMPUTED_VALUE"""),"1t-RYeXwDqpClPnSrtgjRvnnCBVV4IZrE5q5cPKHHLLU")</f>
        <v>1t-RYeXwDqpClPnSrtgjRvnnCBVV4IZrE5q5cPKHHLLU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IFERROR(__xludf.DUMMYFUNCTION("""COMPUTED_VALUE"""),"1iBGHDOTSzgrcmh6jUKtLpmkIWeAU7Bkq-hGCZgisALw")</f>
        <v>1iBGHDOTSzgrcmh6jUKtLpmkIWeAU7Bkq-hGCZgisALw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IFERROR(__xludf.DUMMYFUNCTION("""COMPUTED_VALUE"""),"1HVuVuvAGvAMqFZra8_Q_UePURkSApZwNJIWqtez9PKM")</f>
        <v>1HVuVuvAGvAMqFZra8_Q_UePURkSApZwNJIWqtez9PKM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IFERROR(__xludf.DUMMYFUNCTION("""COMPUTED_VALUE"""),"1XwWb172lSyEQcY3jmIlN32DUfXzcpCX3TAaiFMrAW6Q")</f>
        <v>1XwWb172lSyEQcY3jmIlN32DUfXzcpCX3TAaiFMrAW6Q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IFERROR(__xludf.DUMMYFUNCTION("""COMPUTED_VALUE"""),"1UFQ_O137A9fYomG8U3DZi6u0aJOLhEdOb9uPd1XRGg4")</f>
        <v>1UFQ_O137A9fYomG8U3DZi6u0aJOLhEdOb9uPd1XRGg4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IFERROR(__xludf.DUMMYFUNCTION("""COMPUTED_VALUE"""),"1PNlRP_f9Ce4d39zh_JfxS1-IRQ2lZ9LmbDv-YNbW0ws")</f>
        <v>1PNlRP_f9Ce4d39zh_JfxS1-IRQ2lZ9LmbDv-YNbW0ws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IFERROR(__xludf.DUMMYFUNCTION("""COMPUTED_VALUE"""),"10MC6_i1BVoL1LzM9Lj5pQq11-DVZxi4lg6JmZyXndlA")</f>
        <v>10MC6_i1BVoL1LzM9Lj5pQq11-DVZxi4lg6JmZyXndlA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IFERROR(__xludf.DUMMYFUNCTION("""COMPUTED_VALUE"""),"1wwRMdxFwMzL4j6aOJK1awK-P3H5mg_73kIOYdQV-jzE")</f>
        <v>1wwRMdxFwMzL4j6aOJK1awK-P3H5mg_73kIOYdQV-jzE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IFERROR(__xludf.DUMMYFUNCTION("""COMPUTED_VALUE"""),"1ydTFRdCEiW0S4QjO_nq3U9QkZ_sElCJSRuC8YTFTmDM")</f>
        <v>1ydTFRdCEiW0S4QjO_nq3U9QkZ_sElCJSRuC8YTFTmDM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IFERROR(__xludf.DUMMYFUNCTION("""COMPUTED_VALUE"""),"1TyXEOncuetpBc6awaz-9e8qmzRPhspaacAFxbb1KuXk")</f>
        <v>1TyXEOncuetpBc6awaz-9e8qmzRPhspaacAFxbb1KuXk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IFERROR(__xludf.DUMMYFUNCTION("""COMPUTED_VALUE"""),"1ujrr9fe1BF5zNwGm3FQX-VQGjnK8-GTda2InZicXhr0")</f>
        <v>1ujrr9fe1BF5zNwGm3FQX-VQGjnK8-GTda2InZicXhr0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IFERROR(__xludf.DUMMYFUNCTION("""COMPUTED_VALUE"""),"1VZ3yefl1NzzIoTT3B2uyDuSCt5Koeutvqcmf9ljJY2s")</f>
        <v>1VZ3yefl1NzzIoTT3B2uyDuSCt5Koeutvqcmf9ljJY2s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IFERROR(__xludf.DUMMYFUNCTION("""COMPUTED_VALUE"""),"1zhdc8S2ATpongUWtw4_n_Ao2z4dmVK8NaK3KnXEZcVs")</f>
        <v>1zhdc8S2ATpongUWtw4_n_Ao2z4dmVK8NaK3KnXEZcVs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IFERROR(__xludf.DUMMYFUNCTION("""COMPUTED_VALUE"""),"1Tf2tkH3voMf7Bddd7JKWvwpP_UlMk-ToxSdRxfAD0jM")</f>
        <v>1Tf2tkH3voMf7Bddd7JKWvwpP_UlMk-ToxSdRxfAD0jM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IFERROR(__xludf.DUMMYFUNCTION("""COMPUTED_VALUE"""),"1I5ypN0xJd-5h0D0FV3MNW12oOCuKLopQXeYbU4uymsQ")</f>
        <v>1I5ypN0xJd-5h0D0FV3MNW12oOCuKLopQXeYbU4uymsQ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IFERROR(__xludf.DUMMYFUNCTION("""COMPUTED_VALUE"""),"1HjUosyUubSyBTOoMjfoEXPhhuwTE0zxlMg_E5M-35KI")</f>
        <v>1HjUosyUubSyBTOoMjfoEXPhhuwTE0zxlMg_E5M-35KI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IFERROR(__xludf.DUMMYFUNCTION("""COMPUTED_VALUE"""),"1ntkjcw7jS8fAkXNT1tS7ljnkeomzfYY3hPmh4aD_sAA")</f>
        <v>1ntkjcw7jS8fAkXNT1tS7ljnkeomzfYY3hPmh4aD_sAA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IFERROR(__xludf.DUMMYFUNCTION("""COMPUTED_VALUE"""),"1fmfWmLW7JtnC3QwQKE2SYNBjpfVryomKbf8dddB6uHo")</f>
        <v>1fmfWmLW7JtnC3QwQKE2SYNBjpfVryomKbf8dddB6uHo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IFERROR(__xludf.DUMMYFUNCTION("""COMPUTED_VALUE"""),"1z_Tn21iZAmnP5WjmCfyv2uDZQ6_QCU53OGLuDkx8Oc4")</f>
        <v>1z_Tn21iZAmnP5WjmCfyv2uDZQ6_QCU53OGLuDkx8Oc4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IFERROR(__xludf.DUMMYFUNCTION("""COMPUTED_VALUE"""),"1xZ1BV6Hh4RBWqJJnN_kJeyL0fwG7Ahrr3S06JFmSoYg")</f>
        <v>1xZ1BV6Hh4RBWqJJnN_kJeyL0fwG7Ahrr3S06JFmSoYg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IFERROR(__xludf.DUMMYFUNCTION("""COMPUTED_VALUE"""),"1wHqenR3Gam1p0PqW3aulNwmgLPY_UioCzlLWNtUNPfA")</f>
        <v>1wHqenR3Gam1p0PqW3aulNwmgLPY_UioCzlLWNtUNPfA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IFERROR(__xludf.DUMMYFUNCTION("""COMPUTED_VALUE"""),"1dC0jq3TP8OpNNJ8iqYrIIpx_-wGyka9u3QG_vMPR6Jk")</f>
        <v>1dC0jq3TP8OpNNJ8iqYrIIpx_-wGyka9u3QG_vMPR6Jk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IFERROR(__xludf.DUMMYFUNCTION("""COMPUTED_VALUE"""),"12uaBilYuoqtrRW6_HDDP48tS7_jnEsipPeSiI04cKsU")</f>
        <v>12uaBilYuoqtrRW6_HDDP48tS7_jnEsipPeSiI04cKsU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IFERROR(__xludf.DUMMYFUNCTION("""COMPUTED_VALUE"""),"1DbIO0VY7xpdEigO0mZ-XsVT568tgFmOXTwVpApe1exI")</f>
        <v>1DbIO0VY7xpdEigO0mZ-XsVT568tgFmOXTwVpApe1exI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IFERROR(__xludf.DUMMYFUNCTION("""COMPUTED_VALUE"""),"1LaX9icgrLb7UfkgW9ctd7uQhtirYerCxwOcdswi3qJ4")</f>
        <v>1LaX9icgrLb7UfkgW9ctd7uQhtirYerCxwOcdswi3qJ4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IFERROR(__xludf.DUMMYFUNCTION("""COMPUTED_VALUE"""),"1C9P1HbY6Ro9lyEQ5ZR0swuE8ZsndB32hjwqmgHAPO48")</f>
        <v>1C9P1HbY6Ro9lyEQ5ZR0swuE8ZsndB32hjwqmgHAPO48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IFERROR(__xludf.DUMMYFUNCTION("""COMPUTED_VALUE"""),"1r1jHbvFBzvHIf55vHWyS1tZHMjEnQ-JSG4wuNkUdo8w")</f>
        <v>1r1jHbvFBzvHIf55vHWyS1tZHMjEnQ-JSG4wuNkUdo8w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IFERROR(__xludf.DUMMYFUNCTION("""COMPUTED_VALUE"""),"1IpFI6-6JOwbL8gM-udQe1oYtIYXeEUX23ACYlbw7CAY")</f>
        <v>1IpFI6-6JOwbL8gM-udQe1oYtIYXeEUX23ACYlbw7CAY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IFERROR(__xludf.DUMMYFUNCTION("""COMPUTED_VALUE"""),"1PUyWc_VM13xLUcyQtECH7mYIvYQznLYdEjD41p5ATvo")</f>
        <v>1PUyWc_VM13xLUcyQtECH7mYIvYQznLYdEjD41p5ATvo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IFERROR(__xludf.DUMMYFUNCTION("""COMPUTED_VALUE"""),"1UQGi8IiCImUPn2i6EU0ofTcyy_2hwKGgHnjxdlRJD1s")</f>
        <v>1UQGi8IiCImUPn2i6EU0ofTcyy_2hwKGgHnjxdlRJD1s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IFERROR(__xludf.DUMMYFUNCTION("""COMPUTED_VALUE"""),"1CWvtsX9WRwgsY7IPC9XXmj-zkwapfAoP4tauSGybyb8")</f>
        <v>1CWvtsX9WRwgsY7IPC9XXmj-zkwapfAoP4tauSGybyb8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IFERROR(__xludf.DUMMYFUNCTION("""COMPUTED_VALUE"""),"1_gr9yAcv8XFCvsAga7kXC2kGLcr4Um8jwnsOhyTDua8")</f>
        <v>1_gr9yAcv8XFCvsAga7kXC2kGLcr4Um8jwnsOhyTDua8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IFERROR(__xludf.DUMMYFUNCTION("""COMPUTED_VALUE"""),"1rHIT8qxxt2ksNiLFI6Ig6ZXBYvp7yIuHfgc6AYFwYbs")</f>
        <v>1rHIT8qxxt2ksNiLFI6Ig6ZXBYvp7yIuHfgc6AYFwYbs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IFERROR(__xludf.DUMMYFUNCTION("""COMPUTED_VALUE"""),"1dTWLDYGXBeQl6LezEPzd60kFiyaea6looT7M4rwMv2I")</f>
        <v>1dTWLDYGXBeQl6LezEPzd60kFiyaea6looT7M4rwMv2I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IFERROR(__xludf.DUMMYFUNCTION("""COMPUTED_VALUE"""),"1znuLT8W_GL5u40WjJBKcPVMDYjEc2dCFxwQ_2yTGzRk")</f>
        <v>1znuLT8W_GL5u40WjJBKcPVMDYjEc2dCFxwQ_2yTGzRk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IFERROR(__xludf.DUMMYFUNCTION("""COMPUTED_VALUE"""),"1FcLdR_WnLZQHNZAb7fo31xvViPBiukK-X3k3IfDUT5E")</f>
        <v>1FcLdR_WnLZQHNZAb7fo31xvViPBiukK-X3k3IfDUT5E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IFERROR(__xludf.DUMMYFUNCTION("""COMPUTED_VALUE"""),"1xeVMiuwuNo3S6RUbUKWd8vGC2KydXNR7P51U89_3Yj4")</f>
        <v>1xeVMiuwuNo3S6RUbUKWd8vGC2KydXNR7P51U89_3Yj4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IFERROR(__xludf.DUMMYFUNCTION("""COMPUTED_VALUE"""),"1Wf4tlPp9DuAnbeTQJSJP1jFGY3nQl4LX2Px79JxbDdo")</f>
        <v>1Wf4tlPp9DuAnbeTQJSJP1jFGY3nQl4LX2Px79JxbDdo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IFERROR(__xludf.DUMMYFUNCTION("""COMPUTED_VALUE"""),"1SyeWrX5C-iBb5GKLRjVajC7dDI8Z7jALI4Z_58qM1t0")</f>
        <v>1SyeWrX5C-iBb5GKLRjVajC7dDI8Z7jALI4Z_58qM1t0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IFERROR(__xludf.DUMMYFUNCTION("""COMPUTED_VALUE"""),"1fxUsSbuYzzoFKbiPI8jP3qpfTtLIg38iXf_eO_-wiMQ")</f>
        <v>1fxUsSbuYzzoFKbiPI8jP3qpfTtLIg38iXf_eO_-wiMQ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IFERROR(__xludf.DUMMYFUNCTION("""COMPUTED_VALUE"""),"1c8z9uEtlJwmoxKTHOI7GTZUAANw-oZmQlhfT_OI-_oE")</f>
        <v>1c8z9uEtlJwmoxKTHOI7GTZUAANw-oZmQlhfT_OI-_oE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IFERROR(__xludf.DUMMYFUNCTION("""COMPUTED_VALUE"""),"1BncbZbC0fRvgdJBGqgOpno2NiNysxguEOKqQ_wx4rRM")</f>
        <v>1BncbZbC0fRvgdJBGqgOpno2NiNysxguEOKqQ_wx4rRM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IFERROR(__xludf.DUMMYFUNCTION("""COMPUTED_VALUE"""),"1-pNim8pz7Yv4cffmGN5HGGavnpzLzpq_5kA4AE20NYM")</f>
        <v>1-pNim8pz7Yv4cffmGN5HGGavnpzLzpq_5kA4AE20NYM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IFERROR(__xludf.DUMMYFUNCTION("""COMPUTED_VALUE"""),"1UhtKaIOSsaBasxqY3sKs-yzcdn7UYylLMA_S4p_LSUg")</f>
        <v>1UhtKaIOSsaBasxqY3sKs-yzcdn7UYylLMA_S4p_LSUg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IFERROR(__xludf.DUMMYFUNCTION("""COMPUTED_VALUE"""),"1ygGptXUyfzDQoJvkfgVUkPUYd4xHQRbgZPB1q7Mq4kI")</f>
        <v>1ygGptXUyfzDQoJvkfgVUkPUYd4xHQRbgZPB1q7Mq4kI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IFERROR(__xludf.DUMMYFUNCTION("""COMPUTED_VALUE"""),"1kwyTwH_g61zdsuJMhxqb6Maa6M29IITtQgDUPkSqCfI")</f>
        <v>1kwyTwH_g61zdsuJMhxqb6Maa6M29IITtQgDUPkSqCfI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IFERROR(__xludf.DUMMYFUNCTION("""COMPUTED_VALUE"""),"1dgPXerDnGponQg7QoRz9zJh5jFCq9rY4gVQkfW6ueRs")</f>
        <v>1dgPXerDnGponQg7QoRz9zJh5jFCq9rY4gVQkfW6ueRs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IFERROR(__xludf.DUMMYFUNCTION("""COMPUTED_VALUE"""),"1-HZoUz8p44kRmIYxeitmY0y8sxzMyURZWzTS0g37nzA")</f>
        <v>1-HZoUz8p44kRmIYxeitmY0y8sxzMyURZWzTS0g37nzA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IFERROR(__xludf.DUMMYFUNCTION("""COMPUTED_VALUE"""),"1O3SOjzGFXrKLUBVExe6mkwP-cW27WQT9G0PcvkNksJc")</f>
        <v>1O3SOjzGFXrKLUBVExe6mkwP-cW27WQT9G0PcvkNksJc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IFERROR(__xludf.DUMMYFUNCTION("""COMPUTED_VALUE"""),"1E0dJWA33kTyYO_fdwidKBhJ1jMfTMbCADdoV67llPOA")</f>
        <v>1E0dJWA33kTyYO_fdwidKBhJ1jMfTMbCADdoV67llPOA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IFERROR(__xludf.DUMMYFUNCTION("""COMPUTED_VALUE"""),"1Lqg6zZCIQgFixPQUaXAjHwB-7OqPvbCOe32Jestm87U")</f>
        <v>1Lqg6zZCIQgFixPQUaXAjHwB-7OqPvbCOe32Jestm87U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IFERROR(__xludf.DUMMYFUNCTION("""COMPUTED_VALUE"""),"1kPqUA1eIuSVlgOBITs5CA81FHMww-cIa-anDNa23yuk")</f>
        <v>1kPqUA1eIuSVlgOBITs5CA81FHMww-cIa-anDNa23yuk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IFERROR(__xludf.DUMMYFUNCTION("""COMPUTED_VALUE"""),"1ED_HWp6cWhFdSYM9FJ4WIjNK5s9YQ96UM3HY6z7Uego")</f>
        <v>1ED_HWp6cWhFdSYM9FJ4WIjNK5s9YQ96UM3HY6z7Uego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IFERROR(__xludf.DUMMYFUNCTION("""COMPUTED_VALUE"""),"1hie509djkqOqzLwQ7S4lThLSFspiAn7Ow8Bo7rnDW4A")</f>
        <v>1hie509djkqOqzLwQ7S4lThLSFspiAn7Ow8Bo7rnDW4A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IFERROR(__xludf.DUMMYFUNCTION("""COMPUTED_VALUE"""),"1PjcRlbekDcLgzexy59Ff3csyLlFtkgjkCABuxqPrIFk")</f>
        <v>1PjcRlbekDcLgzexy59Ff3csyLlFtkgjkCABuxqPrIFk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IFERROR(__xludf.DUMMYFUNCTION("""COMPUTED_VALUE"""),"1HrnkYuHLAx8E64bu4fG7IGtnxXUEuwos_yJXHep8Gc0")</f>
        <v>1HrnkYuHLAx8E64bu4fG7IGtnxXUEuwos_yJXHep8Gc0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IFERROR(__xludf.DUMMYFUNCTION("""COMPUTED_VALUE"""),"1uRm_GGzspf-weRP6J-_7fCGDgJxtBXOqQ0LWy8KA90Q")</f>
        <v>1uRm_GGzspf-weRP6J-_7fCGDgJxtBXOqQ0LWy8KA90Q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IFERROR(__xludf.DUMMYFUNCTION("""COMPUTED_VALUE"""),"1YDrduYEvyxQ-ys7ZmzJ1hAFHnVlU4eDnSPUoOeGr_f4")</f>
        <v>1YDrduYEvyxQ-ys7ZmzJ1hAFHnVlU4eDnSPUoOeGr_f4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IFERROR(__xludf.DUMMYFUNCTION("""COMPUTED_VALUE"""),"1w2lTzhhnevYZjNuQsbEfjU06TK5bPsmZrffn3PWjstA")</f>
        <v>1w2lTzhhnevYZjNuQsbEfjU06TK5bPsmZrffn3PWjstA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IFERROR(__xludf.DUMMYFUNCTION("""COMPUTED_VALUE"""),"1pTm3IssLBKuCHCVwzzjA4Y-2hzUGPXPx9Or-EGngy50")</f>
        <v>1pTm3IssLBKuCHCVwzzjA4Y-2hzUGPXPx9Or-EGngy50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IFERROR(__xludf.DUMMYFUNCTION("""COMPUTED_VALUE"""),"1pBoTKoxm2i8Grrd5C95OVH3v8ny3DiEsw2du30G_8Og")</f>
        <v>1pBoTKoxm2i8Grrd5C95OVH3v8ny3DiEsw2du30G_8Og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IFERROR(__xludf.DUMMYFUNCTION("""COMPUTED_VALUE"""),"19yYT51s3MQyYorKH4wk_SdxFAdVT_LG3M60cam5_IiY")</f>
        <v>19yYT51s3MQyYorKH4wk_SdxFAdVT_LG3M60cam5_IiY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IFERROR(__xludf.DUMMYFUNCTION("""COMPUTED_VALUE"""),"1jVBqTixWDU8JyJbGKGBtrJQjm_NeYTaz3wu41AO1fk8")</f>
        <v>1jVBqTixWDU8JyJbGKGBtrJQjm_NeYTaz3wu41AO1fk8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IFERROR(__xludf.DUMMYFUNCTION("""COMPUTED_VALUE"""),"1PXjnQRFWRpATbYq-3yGKHrs-7O07blOuuM8BjzF_UGs")</f>
        <v>1PXjnQRFWRpATbYq-3yGKHrs-7O07blOuuM8BjzF_UGs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IFERROR(__xludf.DUMMYFUNCTION("""COMPUTED_VALUE"""),"BulkChangeCreateStageOrder")</f>
        <v>BulkChangeCreateStageOrder</v>
      </c>
      <c r="C629" t="str">
        <f>IFERROR(__xludf.DUMMYFUNCTION("""COMPUTED_VALUE"""),"1XpPlMHrXIkdrEc4GgpL4YGWBTY6izs1MK6Jy7Z3jR-Q")</f>
        <v>1XpPlMHrXIkdrEc4GgpL4YGWBTY6izs1MK6Jy7Z3jR-Q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IFERROR(__xludf.DUMMYFUNCTION("""COMPUTED_VALUE"""),"BulkUpdateUsingMTT")</f>
        <v>BulkUpdateUsingMTT</v>
      </c>
      <c r="C630" t="str">
        <f>IFERROR(__xludf.DUMMYFUNCTION("""COMPUTED_VALUE"""),"1z5unUI4CMAB-Y1nnow1quueM3t3SDsE_5x7GoqlPJdo")</f>
        <v>1z5unUI4CMAB-Y1nnow1quueM3t3SDsE_5x7GoqlPJdo</v>
      </c>
    </row>
    <row r="631" ht="15.75" customHeight="1">
      <c r="A631" t="str">
        <f>IFERROR(__xludf.DUMMYFUNCTION("""COMPUTED_VALUE"""),"PranaClient")</f>
        <v>PranaClient</v>
      </c>
      <c r="B631" t="str">
        <f>IFERROR(__xludf.DUMMYFUNCTION("""COMPUTED_VALUE"""),"CompareXML")</f>
        <v>CompareXML</v>
      </c>
      <c r="C631" t="str">
        <f>IFERROR(__xludf.DUMMYFUNCTION("""COMPUTED_VALUE"""),"1UbkLLvFc4omZgamtV9FPjYfaLw9XLbjQYRKGGO3lyPE")</f>
        <v>1UbkLLvFc4omZgamtV9FPjYfaLw9XLbjQYRKGGO3lyPE</v>
      </c>
    </row>
    <row r="632" ht="15.75" customHeight="1">
      <c r="A632" t="str">
        <f>IFERROR(__xludf.DUMMYFUNCTION("""COMPUTED_VALUE"""),"Admin")</f>
        <v>Admin</v>
      </c>
      <c r="B632" t="str">
        <f>IFERROR(__xludf.DUMMYFUNCTION("""COMPUTED_VALUE"""),"SetMasterFundOnTT")</f>
        <v>SetMasterFundOnTT</v>
      </c>
      <c r="C632" t="str">
        <f>IFERROR(__xludf.DUMMYFUNCTION("""COMPUTED_VALUE"""),"1LK3f7jczHzLHkY7I_RK-58BnR45KNGpebn0hHO3eSgo")</f>
        <v>1LK3f7jczHzLHkY7I_RK-58BnR45KNGpebn0hHO3eSgo</v>
      </c>
    </row>
    <row r="633" ht="15.75" customHeight="1">
      <c r="A633" t="str">
        <f>IFERROR(__xludf.DUMMYFUNCTION("""COMPUTED_VALUE"""),"TradingTicket")</f>
        <v>TradingTicket</v>
      </c>
      <c r="B633" t="str">
        <f>IFERROR(__xludf.DUMMYFUNCTION("""COMPUTED_VALUE"""),"VerifyCustomAllocationonTT")</f>
        <v>VerifyCustomAllocationonTT</v>
      </c>
      <c r="C633" t="str">
        <f>IFERROR(__xludf.DUMMYFUNCTION("""COMPUTED_VALUE"""),"10ici7f6_wpSFiwpn22nHeSOFsZ1dU_pzk6nMLQKHIRY")</f>
        <v>10ici7f6_wpSFiwpn22nHeSOFsZ1dU_pzk6nMLQKHIRY</v>
      </c>
    </row>
    <row r="634" ht="15.75" customHeight="1">
      <c r="A634" t="str">
        <f>IFERROR(__xludf.DUMMYFUNCTION("""COMPUTED_VALUE"""),"Blotter")</f>
        <v>Blotter</v>
      </c>
      <c r="B634" t="str">
        <f>IFERROR(__xludf.DUMMYFUNCTION("""COMPUTED_VALUE"""),"ReAllocateFromBlotterByAllocate")</f>
        <v>ReAllocateFromBlotterByAllocate</v>
      </c>
      <c r="C634" t="str">
        <f>IFERROR(__xludf.DUMMYFUNCTION("""COMPUTED_VALUE"""),"1RA-PKK7Kzfl_fgl03zAC8sp1VOE9HjaY5EL7ItkPBK4")</f>
        <v>1RA-PKK7Kzfl_fgl03zAC8sp1VOE9HjaY5EL7ItkPBK4</v>
      </c>
    </row>
    <row r="635" ht="15.75" customHeight="1">
      <c r="A635" t="str">
        <f>IFERROR(__xludf.DUMMYFUNCTION("""COMPUTED_VALUE"""),"Simulator")</f>
        <v>Simulator</v>
      </c>
      <c r="B635" t="str">
        <f>IFERROR(__xludf.DUMMYFUNCTION("""COMPUTED_VALUE"""),"VerifyTagInAllFixLogs")</f>
        <v>VerifyTagInAllFixLogs</v>
      </c>
      <c r="C635" t="str">
        <f>IFERROR(__xludf.DUMMYFUNCTION("""COMPUTED_VALUE"""),"1jKDiJYpLWAfkSGRoeJ_liPC1ZaTdCTC5AqjDzj9I61Q")</f>
        <v>1jKDiJYpLWAfkSGRoeJ_liPC1ZaTdCTC5AqjDzj9I61Q</v>
      </c>
    </row>
    <row r="636" ht="15.75" customHeight="1">
      <c r="A636" t="str">
        <f>IFERROR(__xludf.DUMMYFUNCTION("""COMPUTED_VALUE"""),"PranaClient")</f>
        <v>PranaClient</v>
      </c>
      <c r="B636" t="str">
        <f>IFERROR(__xludf.DUMMYFUNCTION("""COMPUTED_VALUE"""),"LoginClient")</f>
        <v>LoginClient</v>
      </c>
      <c r="C636" t="str">
        <f>IFERROR(__xludf.DUMMYFUNCTION("""COMPUTED_VALUE"""),"15s_MBgGJ0dfZ8sabmSGlh8UnFHbnEhlY_4upAbjXzmg")</f>
        <v>15s_MBgGJ0dfZ8sabmSGlh8UnFHbnEhlY_4upAbjXzmg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IFERROR(__xludf.DUMMYFUNCTION("""COMPUTED_VALUE"""),"SortAndVerifyPM")</f>
        <v>SortAndVerifyPM</v>
      </c>
      <c r="C637" t="str">
        <f>IFERROR(__xludf.DUMMYFUNCTION("""COMPUTED_VALUE"""),"1TqhiATlN6jhyI-VeiodnGdVQyLGZiu97o5NWbxOWr9s")</f>
        <v>1TqhiATlN6jhyI-VeiodnGdVQyLGZiu97o5NWbxOWr9s</v>
      </c>
    </row>
    <row r="638" ht="15.75" customHeight="1">
      <c r="A638" t="str">
        <f>IFERROR(__xludf.DUMMYFUNCTION("""COMPUTED_VALUE"""),"PortfolioManagement")</f>
        <v>PortfolioManagement</v>
      </c>
      <c r="B638" t="str">
        <f>IFERROR(__xludf.DUMMYFUNCTION("""COMPUTED_VALUE"""),"OpenPIFromPM")</f>
        <v>OpenPIFromPM</v>
      </c>
      <c r="C638" t="str">
        <f>IFERROR(__xludf.DUMMYFUNCTION("""COMPUTED_VALUE"""),"1dPK0Rp0k7gPTdi7pAXxULvjivbVrTViWALmSew6wF-0")</f>
        <v>1dPK0Rp0k7gPTdi7pAXxULvjivbVrTViWALmSew6wF-0</v>
      </c>
    </row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IFERROR(__xludf.DUMMYFUNCTION("IF(C3="""","""",Transpose(IMPORTRANGE('_Settings'!$B$3,C3&amp;""!A4:A1000"")))"),"SetCompliancePermission")</f>
        <v>SetCompliancePermission</v>
      </c>
      <c r="C4" s="25" t="str">
        <f>IFERROR(__xludf.DUMMYFUNCTION("""COMPUTED_VALUE"""),"DeleteSymbolFromSM")</f>
        <v>DeleteSymbolFromSM</v>
      </c>
      <c r="D4" s="25" t="str">
        <f>IFERROR(__xludf.DUMMYFUNCTION("""COMPUTED_VALUE"""),"TradeAuditCleanUp")</f>
        <v>TradeAuditCleanUp</v>
      </c>
      <c r="E4" s="25" t="str">
        <f>IFERROR(__xludf.DUMMYFUNCTION("""COMPUTED_VALUE"""),"RestartSQL")</f>
        <v>RestartSQL</v>
      </c>
      <c r="F4" s="25" t="str">
        <f>IFERROR(__xludf.DUMMYFUNCTION("""COMPUTED_VALUE"""),"RevertingSMSharesOutValue")</f>
        <v>RevertingSMSharesOutValue</v>
      </c>
      <c r="G4" s="25" t="str">
        <f>IFERROR(__xludf.DUMMYFUNCTION("""COMPUTED_VALUE"""),"UpdateFee")</f>
        <v>UpdateFee</v>
      </c>
      <c r="H4" s="25" t="str">
        <f>IFERROR(__xludf.DUMMYFUNCTION("""COMPUTED_VALUE"""),"UpdateSecFee")</f>
        <v>UpdateSecFee</v>
      </c>
      <c r="I4" s="25" t="str">
        <f>IFERROR(__xludf.DUMMYFUNCTION("""COMPUTED_VALUE"""),"SetTTUIPreferences")</f>
        <v>SetTTUIPreferences</v>
      </c>
      <c r="J4" s="25" t="str">
        <f>IFERROR(__xludf.DUMMYFUNCTION("""COMPUTED_VALUE"""),"SetTTUIAdminPreferences")</f>
        <v>SetTTUIAdminPreferences</v>
      </c>
      <c r="K4" s="25" t="str">
        <f>IFERROR(__xludf.DUMMYFUNCTION("""COMPUTED_VALUE"""),"TTPermissionLevel")</f>
        <v>TTPermissionLevel</v>
      </c>
      <c r="L4" s="25" t="str">
        <f>IFERROR(__xludf.DUMMYFUNCTION("""COMPUTED_VALUE"""),"RenameMasterStrategy")</f>
        <v>RenameMasterStrategy</v>
      </c>
      <c r="M4" s="25" t="str">
        <f>IFERROR(__xludf.DUMMYFUNCTION("""COMPUTED_VALUE"""),"UpdateExpirationDate")</f>
        <v>UpdateExpirationDate</v>
      </c>
      <c r="N4" s="25" t="str">
        <f>IFERROR(__xludf.DUMMYFUNCTION("""COMPUTED_VALUE"""),"SetComplianceAlert")</f>
        <v>SetComplianceAlert</v>
      </c>
      <c r="O4" s="25" t="str">
        <f>IFERROR(__xludf.DUMMYFUNCTION("""COMPUTED_VALUE"""),"SetShortLocateStructures")</f>
        <v>SetShortLocateStructures</v>
      </c>
      <c r="P4" s="26" t="str">
        <f>IFERROR(__xludf.DUMMYFUNCTION("""COMPUTED_VALUE"""),"IsImportOverrideOnShortLocate")</f>
        <v>IsImportOverrideOnShortLocate</v>
      </c>
      <c r="Q4" s="26" t="str">
        <f>IFERROR(__xludf.DUMMYFUNCTION("""COMPUTED_VALUE"""),"EnableDisableModule")</f>
        <v>EnableDisableModule</v>
      </c>
      <c r="R4" s="26" t="str">
        <f>IFERROR(__xludf.DUMMYFUNCTION("""COMPUTED_VALUE"""),"SetDollarAmountPermission")</f>
        <v>SetDollarAmountPermission</v>
      </c>
      <c r="S4" s="26" t="str">
        <f>IFERROR(__xludf.DUMMYFUNCTION("""COMPUTED_VALUE"""),"SetTTGeneralPreferences")</f>
        <v>SetTTGeneralPreferences</v>
      </c>
      <c r="T4" s="26" t="str">
        <f>IFERROR(__xludf.DUMMYFUNCTION("""COMPUTED_VALUE"""),"EnableBreakdownRealizedPNL")</f>
        <v>EnableBreakdownRealizedPNL</v>
      </c>
      <c r="U4" s="26" t="str">
        <f>IFERROR(__xludf.DUMMYFUNCTION("""COMPUTED_VALUE"""),"SetTradingComplianceRules")</f>
        <v>SetTradingComplianceRules</v>
      </c>
      <c r="V4" s="26" t="str">
        <f>IFERROR(__xludf.DUMMYFUNCTION("""COMPUTED_VALUE"""),"UpdateRoundLot")</f>
        <v>UpdateRoundLot</v>
      </c>
      <c r="W4" s="26" t="str">
        <f>IFERROR(__xludf.DUMMYFUNCTION("""COMPUTED_VALUE"""),"SetThirdPartyFormat")</f>
        <v>SetThirdPartyFormat</v>
      </c>
      <c r="X4" s="26" t="str">
        <f>IFERROR(__xludf.DUMMYFUNCTION("""COMPUTED_VALUE"""),"SetActive")</f>
        <v>SetActive</v>
      </c>
      <c r="Y4" s="26" t="str">
        <f>IFERROR(__xludf.DUMMYFUNCTION("""COMPUTED_VALUE"""),"SetRollover")</f>
        <v>SetRollover</v>
      </c>
      <c r="Z4" s="26" t="str">
        <f>IFERROR(__xludf.DUMMYFUNCTION("""COMPUTED_VALUE"""),"SetCheckSide")</f>
        <v>SetCheckSide</v>
      </c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IFERROR(__xludf.DUMMYFUNCTION("""COMPUTED_VALUE"""),"Option")</f>
        <v>Option</v>
      </c>
      <c r="C5" s="28" t="str">
        <f>IFERROR(__xludf.DUMMYFUNCTION("""COMPUTED_VALUE"""),"Expiration Date")</f>
        <v>Expiration Date</v>
      </c>
      <c r="D5" s="28" t="str">
        <f>IFERROR(__xludf.DUMMYFUNCTION("""COMPUTED_VALUE"""),"AssetClass")</f>
        <v>AssetClass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1" t="s">
        <v>16</v>
      </c>
      <c r="C6" s="32">
        <v>44682.0</v>
      </c>
      <c r="D6" s="13"/>
      <c r="E6" s="33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UpdateExpirationDate!$4:$4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17</v>
      </c>
      <c r="D3" s="5" t="s">
        <v>9</v>
      </c>
      <c r="E3" s="23" t="s">
        <v>18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IFERROR(__xludf.DUMMYFUNCTION("IF(C3="""","""",Transpose(IMPORTRANGE('_Settings'!$B$3,C3&amp;""!A4:A1000"")))"),"FilterClosing")</f>
        <v>FilterClosing</v>
      </c>
      <c r="C4" s="25" t="str">
        <f>IFERROR(__xludf.DUMMYFUNCTION("""COMPUTED_VALUE"""),"UnwindAllClosingData")</f>
        <v>UnwindAllClosingData</v>
      </c>
      <c r="D4" s="25" t="str">
        <f>IFERROR(__xludf.DUMMYFUNCTION("""COMPUTED_VALUE"""),"FilterExpiredGrid")</f>
        <v>FilterExpiredGrid</v>
      </c>
      <c r="E4" s="25" t="str">
        <f>IFERROR(__xludf.DUMMYFUNCTION("""COMPUTED_VALUE"""),"FilterUnexpiredGrid")</f>
        <v>FilterUnexpiredGrid</v>
      </c>
      <c r="F4" s="25" t="str">
        <f>IFERROR(__xludf.DUMMYFUNCTION("""COMPUTED_VALUE"""),"FilterClosingGrid")</f>
        <v>FilterClosingGrid</v>
      </c>
      <c r="G4" s="25" t="str">
        <f>IFERROR(__xludf.DUMMYFUNCTION("""COMPUTED_VALUE"""),"FilterShortPositionGrid")</f>
        <v>FilterShortPositionGrid</v>
      </c>
      <c r="H4" s="25" t="str">
        <f>IFERROR(__xludf.DUMMYFUNCTION("""COMPUTED_VALUE"""),"FilterLongPositionGrid")</f>
        <v>FilterLongPositionGrid</v>
      </c>
      <c r="I4" s="25" t="str">
        <f>IFERROR(__xludf.DUMMYFUNCTION("""COMPUTED_VALUE"""),"SaveCTData")</f>
        <v>SaveCTData</v>
      </c>
      <c r="J4" s="25" t="str">
        <f>IFERROR(__xludf.DUMMYFUNCTION("""COMPUTED_VALUE"""),"ExerciseAssignmentWithOutSave")</f>
        <v>ExerciseAssignmentWithOutSave</v>
      </c>
      <c r="K4" s="25" t="str">
        <f>IFERROR(__xludf.DUMMYFUNCTION("""COMPUTED_VALUE"""),"VerifyCTData")</f>
        <v>VerifyCTData</v>
      </c>
      <c r="L4" s="25" t="str">
        <f>IFERROR(__xludf.DUMMYFUNCTION("""COMPUTED_VALUE"""),"SelectAccountWiseAsset")</f>
        <v>SelectAccountWiseAsset</v>
      </c>
      <c r="M4" s="25" t="str">
        <f>IFERROR(__xludf.DUMMYFUNCTION("""COMPUTED_VALUE"""),"RunTemplate")</f>
        <v>RunTemplate</v>
      </c>
      <c r="N4" s="25" t="str">
        <f>IFERROR(__xludf.DUMMYFUNCTION("""COMPUTED_VALUE"""),"DeleteTemplate")</f>
        <v>DeleteTemplate</v>
      </c>
      <c r="O4" s="25" t="str">
        <f>IFERROR(__xludf.DUMMYFUNCTION("""COMPUTED_VALUE"""),"EditTemplate")</f>
        <v>EditTemplate</v>
      </c>
      <c r="P4" s="26" t="str">
        <f>IFERROR(__xludf.DUMMYFUNCTION("""COMPUTED_VALUE"""),"CreateUnwindingTemplate")</f>
        <v>CreateUnwindingTemplate</v>
      </c>
      <c r="Q4" s="26" t="str">
        <f>IFERROR(__xludf.DUMMYFUNCTION("""COMPUTED_VALUE"""),"CreateClosingTemplate")</f>
        <v>CreateClosingTemplate</v>
      </c>
      <c r="R4" s="26" t="str">
        <f>IFERROR(__xludf.DUMMYFUNCTION("""COMPUTED_VALUE"""),"PreviewDataWithFilters")</f>
        <v>PreviewDataWithFilters</v>
      </c>
      <c r="S4" s="26" t="str">
        <f>IFERROR(__xludf.DUMMYFUNCTION("""COMPUTED_VALUE"""),"ManualCloseOrder")</f>
        <v>ManualCloseOrder</v>
      </c>
      <c r="T4" s="26" t="str">
        <f>IFERROR(__xludf.DUMMYFUNCTION("""COMPUTED_VALUE"""),"EditMultipleCloseQuantity")</f>
        <v>EditMultipleCloseQuantity</v>
      </c>
      <c r="U4" s="26" t="str">
        <f>IFERROR(__xludf.DUMMYFUNCTION("""COMPUTED_VALUE"""),"AutoExercise")</f>
        <v>AutoExercise</v>
      </c>
      <c r="V4" s="26" t="str">
        <f>IFERROR(__xludf.DUMMYFUNCTION("""COMPUTED_VALUE"""),"SwapExpire")</f>
        <v>SwapExpire</v>
      </c>
      <c r="W4" s="26" t="str">
        <f>IFERROR(__xludf.DUMMYFUNCTION("""COMPUTED_VALUE"""),"GetDataClosing")</f>
        <v>GetDataClosing</v>
      </c>
      <c r="X4" s="26" t="str">
        <f>IFERROR(__xludf.DUMMYFUNCTION("""COMPUTED_VALUE"""),"ManualClosing")</f>
        <v>ManualClosing</v>
      </c>
      <c r="Y4" s="26" t="str">
        <f>IFERROR(__xludf.DUMMYFUNCTION("""COMPUTED_VALUE"""),"AutomaticClosing")</f>
        <v>AutomaticClosing</v>
      </c>
      <c r="Z4" s="26" t="str">
        <f>IFERROR(__xludf.DUMMYFUNCTION("""COMPUTED_VALUE"""),"UnwindClosing")</f>
        <v>UnwindClosing</v>
      </c>
      <c r="AA4" s="26" t="str">
        <f>IFERROR(__xludf.DUMMYFUNCTION("""COMPUTED_VALUE"""),"VerifyClosedTrades")</f>
        <v>VerifyClosedTrades</v>
      </c>
      <c r="AB4" s="26" t="str">
        <f>IFERROR(__xludf.DUMMYFUNCTION("""COMPUTED_VALUE"""),"VerifyLongPositionsGrid")</f>
        <v>VerifyLongPositionsGrid</v>
      </c>
      <c r="AC4" s="26" t="str">
        <f>IFERROR(__xludf.DUMMYFUNCTION("""COMPUTED_VALUE"""),"VerifyShortPositionsGrid")</f>
        <v>VerifyShortPositionsGrid</v>
      </c>
      <c r="AD4" s="26" t="str">
        <f>IFERROR(__xludf.DUMMYFUNCTION("""COMPUTED_VALUE"""),"CashSettlementAtCost")</f>
        <v>CashSettlementAtCost</v>
      </c>
      <c r="AE4" s="26" t="str">
        <f>IFERROR(__xludf.DUMMYFUNCTION("""COMPUTED_VALUE"""),"SelectTradeUnexpiredUnsettled")</f>
        <v>SelectTradeUnexpiredUnsettled</v>
      </c>
      <c r="AF4" s="26" t="str">
        <f>IFERROR(__xludf.DUMMYFUNCTION("""COMPUTED_VALUE"""),"CashSettlementAtClosingDtSpotPx")</f>
        <v>CashSettlementAtClosingDtSpotPx</v>
      </c>
      <c r="AG4" s="26" t="str">
        <f>IFERROR(__xludf.DUMMYFUNCTION("""COMPUTED_VALUE"""),"PhysicalSettlement")</f>
        <v>PhysicalSettlement</v>
      </c>
      <c r="AH4" s="26" t="str">
        <f>IFERROR(__xludf.DUMMYFUNCTION("""COMPUTED_VALUE"""),"Expire")</f>
        <v>Expire</v>
      </c>
      <c r="AI4" s="26" t="str">
        <f>IFERROR(__xludf.DUMMYFUNCTION("""COMPUTED_VALUE"""),"ExerciseAssignment")</f>
        <v>ExerciseAssignment</v>
      </c>
      <c r="AJ4" s="26" t="str">
        <f>IFERROR(__xludf.DUMMYFUNCTION("""COMPUTED_VALUE"""),"ExerciseAssignmentAtZero")</f>
        <v>ExerciseAssignmentAtZero</v>
      </c>
      <c r="AK4" s="26" t="str">
        <f>IFERROR(__xludf.DUMMYFUNCTION("""COMPUTED_VALUE"""),"SwapExpireAndRollover")</f>
        <v>SwapExpireAndRollover</v>
      </c>
      <c r="AL4" s="26" t="str">
        <f>IFERROR(__xludf.DUMMYFUNCTION("""COMPUTED_VALUE"""),"SwapExpire")</f>
        <v>SwapExpire</v>
      </c>
      <c r="AM4" s="26" t="str">
        <f>IFERROR(__xludf.DUMMYFUNCTION("""COMPUTED_VALUE"""),"VerifyExpiredSettledGrid")</f>
        <v>VerifyExpiredSettledGrid</v>
      </c>
      <c r="AN4" s="26" t="str">
        <f>IFERROR(__xludf.DUMMYFUNCTION("""COMPUTED_VALUE"""),"VerifyUnExpiredUnSettledGrid")</f>
        <v>VerifyUnExpiredUnSettledGrid</v>
      </c>
      <c r="AO4" s="26" t="str">
        <f>IFERROR(__xludf.DUMMYFUNCTION("""COMPUTED_VALUE"""),"UnWindTradeSettlement")</f>
        <v>UnWindTradeSettlement</v>
      </c>
      <c r="AP4" s="26" t="str">
        <f>IFERROR(__xludf.DUMMYFUNCTION("""COMPUTED_VALUE"""),"CloseOrder")</f>
        <v>CloseOrder</v>
      </c>
      <c r="AQ4" s="26" t="str">
        <f>IFERROR(__xludf.DUMMYFUNCTION("""COMPUTED_VALUE"""),"VerifyCloseOrder")</f>
        <v>VerifyCloseOrder</v>
      </c>
      <c r="AR4" s="26" t="str">
        <f>IFERROR(__xludf.DUMMYFUNCTION("""COMPUTED_VALUE"""),"UnWindCloseOrder")</f>
        <v>UnWindCloseOrder</v>
      </c>
      <c r="AS4" s="26" t="str">
        <f>IFERROR(__xludf.DUMMYFUNCTION("""COMPUTED_VALUE"""),"ClosingCleanUp")</f>
        <v>ClosingCleanUp</v>
      </c>
      <c r="AT4" s="26" t="str">
        <f>IFERROR(__xludf.DUMMYFUNCTION("""COMPUTED_VALUE"""),"CloseClosingUI")</f>
        <v>CloseClosingUI</v>
      </c>
      <c r="AU4" s="26" t="str">
        <f>IFERROR(__xludf.DUMMYFUNCTION("""COMPUTED_VALUE"""),"EditTradeUnexpiredUnsettled")</f>
        <v>EditTradeUnexpiredUnsettled</v>
      </c>
      <c r="AV4" s="26" t="str">
        <f>IFERROR(__xludf.DUMMYFUNCTION("""COMPUTED_VALUE"""),"SetClosingPreference")</f>
        <v>SetClosingPreference</v>
      </c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IFERROR(__xludf.DUMMYFUNCTION("""COMPUTED_VALUE"""),"Method")</f>
        <v>Method</v>
      </c>
      <c r="C5" s="28" t="str">
        <f>IFERROR(__xludf.DUMMYFUNCTION("""COMPUTED_VALUE"""),"Global Algorithm")</f>
        <v>Global Algorithm</v>
      </c>
      <c r="D5" s="28" t="str">
        <f>IFERROR(__xludf.DUMMYFUNCTION("""COMPUTED_VALUE"""),"Secondary Sort Criteria")</f>
        <v>Secondary Sort Criteria</v>
      </c>
      <c r="E5" s="28" t="str">
        <f>IFERROR(__xludf.DUMMYFUNCTION("""COMPUTED_VALUE"""),"Override Global Algorithm")</f>
        <v>Override Global Algorithm</v>
      </c>
      <c r="F5" s="29" t="str">
        <f>IFERROR(__xludf.DUMMYFUNCTION("""COMPUTED_VALUE"""),"Can close Sell Short with Buy and Buy to Open")</f>
        <v>Can close Sell Short with Buy and Buy to Open</v>
      </c>
      <c r="G5" s="28" t="str">
        <f>IFERROR(__xludf.DUMMYFUNCTION("""COMPUTED_VALUE"""),"Can close Sell with Buy to Close")</f>
        <v>Can close Sell with Buy to Close</v>
      </c>
      <c r="H5" s="28" t="str">
        <f>IFERROR(__xludf.DUMMYFUNCTION("""COMPUTED_VALUE"""),"Fetch Data Automatically")</f>
        <v>Fetch Data Automatically</v>
      </c>
      <c r="I5" s="28" t="str">
        <f>IFERROR(__xludf.DUMMYFUNCTION("""COMPUTED_VALUE"""),"Auto Close Stategy")</f>
        <v>Auto Close Stategy</v>
      </c>
      <c r="J5" s="28" t="str">
        <f>IFERROR(__xludf.DUMMYFUNCTION("""COMPUTED_VALUE"""),"Exercise/Assign CheckSide Validation")</f>
        <v>Exercise/Assign CheckSide Validation</v>
      </c>
      <c r="K5" s="28" t="str">
        <f>IFERROR(__xludf.DUMMYFUNCTION("""COMPUTED_VALUE"""),"Long Term Tax Rate (%)")</f>
        <v>Long Term Tax Rate (%)</v>
      </c>
      <c r="L5" s="28" t="str">
        <f>IFERROR(__xludf.DUMMYFUNCTION("""COMPUTED_VALUE"""),"Short Term Tax Rate (%)")</f>
        <v>Short Term Tax Rate (%)</v>
      </c>
      <c r="M5" s="28" t="str">
        <f>IFERROR(__xludf.DUMMYFUNCTION("""COMPUTED_VALUE"""),"Quantity round off digits")</f>
        <v>Quantity round off digits</v>
      </c>
      <c r="N5" s="28" t="str">
        <f>IFERROR(__xludf.DUMMYFUNCTION("""COMPUTED_VALUE"""),"Price round off digits")</f>
        <v>Price round off digits</v>
      </c>
      <c r="O5" s="28" t="str">
        <f>IFERROR(__xludf.DUMMYFUNCTION("""COMPUTED_VALUE"""),"Closing Field")</f>
        <v>Closing Field</v>
      </c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4" t="b">
        <v>1</v>
      </c>
      <c r="F6" s="35"/>
      <c r="G6" s="35"/>
      <c r="H6" s="35"/>
      <c r="I6" s="35"/>
      <c r="J6" s="36" t="b">
        <v>1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SetClosingPreference!$4:$4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20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7"/>
      <c r="B6" s="37" t="s">
        <v>21</v>
      </c>
      <c r="C6" s="38" t="s">
        <v>22</v>
      </c>
      <c r="D6" s="39">
        <v>100.0</v>
      </c>
      <c r="E6" s="40">
        <v>100.0</v>
      </c>
      <c r="F6" s="38" t="s">
        <v>23</v>
      </c>
      <c r="G6" s="38" t="s">
        <v>24</v>
      </c>
      <c r="H6" s="38"/>
      <c r="I6" s="38"/>
      <c r="J6" s="40">
        <v>10.0</v>
      </c>
      <c r="K6" s="38"/>
      <c r="L6" s="38"/>
      <c r="M6" s="38"/>
      <c r="N6" s="32">
        <v>44682.0</v>
      </c>
      <c r="O6" s="40">
        <v>1.0</v>
      </c>
      <c r="P6" s="38"/>
      <c r="Q6" s="38"/>
      <c r="R6" s="38"/>
      <c r="S6" s="38"/>
      <c r="T6" s="38"/>
      <c r="U6" s="38"/>
      <c r="V6" s="38"/>
      <c r="W6" s="38"/>
      <c r="X6" s="38"/>
      <c r="Y6" s="38"/>
      <c r="Z6" s="38"/>
      <c r="AA6" s="38"/>
      <c r="AB6" s="38"/>
      <c r="AC6" s="38"/>
      <c r="AD6" s="38"/>
      <c r="AE6" s="38"/>
      <c r="AF6" s="38"/>
      <c r="AG6" s="38"/>
      <c r="AH6" s="38"/>
      <c r="AI6" s="38"/>
      <c r="AJ6" s="38"/>
      <c r="AK6" s="38"/>
      <c r="AL6" s="38"/>
      <c r="AM6" s="38"/>
      <c r="AN6" s="38"/>
      <c r="AO6" s="38"/>
      <c r="AP6" s="38"/>
      <c r="AQ6" s="38"/>
      <c r="AR6" s="38"/>
      <c r="AS6" s="38"/>
      <c r="AT6" s="38"/>
      <c r="AU6" s="38"/>
      <c r="AV6" s="38"/>
      <c r="AW6" s="38"/>
      <c r="AX6" s="38"/>
      <c r="AY6" s="38"/>
      <c r="AZ6" s="38"/>
      <c r="BA6" s="38"/>
      <c r="BB6" s="38"/>
      <c r="BC6" s="38"/>
      <c r="BD6" s="38"/>
      <c r="BE6" s="38"/>
      <c r="BF6" s="38"/>
      <c r="BG6" s="38"/>
      <c r="BH6" s="38"/>
      <c r="BI6" s="38"/>
      <c r="BJ6" s="38"/>
      <c r="BK6" s="38"/>
      <c r="BL6" s="38"/>
      <c r="BM6" s="38"/>
      <c r="BN6" s="38"/>
      <c r="BO6" s="38"/>
      <c r="BP6" s="38"/>
      <c r="BQ6" s="38"/>
      <c r="BR6" s="38"/>
      <c r="BS6" s="38"/>
      <c r="BT6" s="38"/>
      <c r="BU6" s="38"/>
      <c r="BV6" s="38"/>
      <c r="BW6" s="38"/>
      <c r="BX6" s="38"/>
      <c r="BY6" s="38"/>
      <c r="BZ6" s="38"/>
      <c r="CA6" s="38"/>
      <c r="CB6" s="38"/>
      <c r="CC6" s="38"/>
      <c r="CD6" s="38"/>
      <c r="CE6" s="38"/>
      <c r="CF6" s="38"/>
      <c r="CG6" s="38"/>
      <c r="CH6" s="38"/>
      <c r="CI6" s="38"/>
      <c r="CJ6" s="38"/>
      <c r="CK6" s="38"/>
      <c r="CL6" s="38"/>
      <c r="CM6" s="38"/>
      <c r="CN6" s="38"/>
      <c r="CO6" s="38"/>
      <c r="CP6" s="38"/>
      <c r="CQ6" s="38"/>
      <c r="CR6" s="38"/>
      <c r="CS6" s="38"/>
      <c r="CT6" s="38"/>
      <c r="CU6" s="38"/>
      <c r="CV6" s="38"/>
      <c r="CW6" s="38"/>
      <c r="CX6" s="38"/>
      <c r="CY6" s="38"/>
      <c r="CZ6" s="38"/>
      <c r="DA6" s="38"/>
      <c r="DB6" s="38"/>
      <c r="DC6" s="38"/>
      <c r="DD6" s="38"/>
      <c r="DE6" s="38"/>
      <c r="DF6" s="38"/>
      <c r="DG6" s="38"/>
      <c r="DH6" s="38"/>
      <c r="DI6" s="38"/>
      <c r="DJ6" s="38"/>
      <c r="DK6" s="38"/>
      <c r="DL6" s="38"/>
      <c r="DM6" s="38"/>
      <c r="DN6" s="38"/>
      <c r="DO6" s="38"/>
      <c r="DP6" s="38"/>
      <c r="DQ6" s="38"/>
      <c r="DR6" s="38"/>
      <c r="DS6" s="38"/>
      <c r="DT6" s="38"/>
      <c r="DU6" s="38"/>
      <c r="DV6" s="38"/>
      <c r="DW6" s="38"/>
      <c r="DX6" s="38"/>
      <c r="DY6" s="38"/>
      <c r="DZ6" s="38"/>
      <c r="EA6" s="38"/>
      <c r="EB6" s="38"/>
      <c r="EC6" s="38"/>
      <c r="ED6" s="38"/>
      <c r="EE6" s="38"/>
      <c r="EF6" s="38"/>
      <c r="EG6" s="38"/>
      <c r="EH6" s="38"/>
      <c r="EI6" s="38"/>
      <c r="EJ6" s="38"/>
      <c r="EK6" s="38"/>
      <c r="EL6" s="38"/>
      <c r="EM6" s="38"/>
      <c r="EN6" s="38"/>
      <c r="EO6" s="38"/>
      <c r="EP6" s="38"/>
      <c r="EQ6" s="38"/>
      <c r="ER6" s="38"/>
      <c r="ES6" s="38"/>
      <c r="ET6" s="38"/>
      <c r="EU6" s="38"/>
      <c r="EV6" s="38"/>
      <c r="EW6" s="38"/>
      <c r="EX6" s="38"/>
    </row>
    <row r="7" ht="15.75" customHeight="1">
      <c r="A7" s="38"/>
      <c r="B7" s="38" t="s">
        <v>21</v>
      </c>
      <c r="C7" s="38" t="s">
        <v>25</v>
      </c>
      <c r="D7" s="40">
        <v>50.0</v>
      </c>
      <c r="E7" s="40">
        <v>50.0</v>
      </c>
      <c r="F7" s="38" t="s">
        <v>23</v>
      </c>
      <c r="G7" s="38" t="s">
        <v>24</v>
      </c>
      <c r="H7" s="38"/>
      <c r="I7" s="38"/>
      <c r="J7" s="40">
        <v>10.0</v>
      </c>
      <c r="K7" s="38"/>
      <c r="L7" s="38"/>
      <c r="M7" s="38"/>
      <c r="N7" s="32">
        <v>44682.0</v>
      </c>
      <c r="O7" s="40">
        <v>1.0</v>
      </c>
      <c r="P7" s="38"/>
      <c r="Q7" s="38"/>
      <c r="R7" s="38"/>
      <c r="S7" s="38"/>
      <c r="T7" s="38"/>
      <c r="U7" s="38"/>
      <c r="V7" s="38"/>
      <c r="W7" s="38"/>
      <c r="X7" s="38"/>
      <c r="Y7" s="38"/>
      <c r="Z7" s="38"/>
      <c r="AA7" s="38"/>
      <c r="AB7" s="38"/>
      <c r="AC7" s="38"/>
      <c r="AD7" s="38"/>
      <c r="AE7" s="38"/>
      <c r="AF7" s="38"/>
      <c r="AG7" s="38"/>
      <c r="AH7" s="38"/>
      <c r="AI7" s="38"/>
      <c r="AJ7" s="38"/>
      <c r="AK7" s="38"/>
      <c r="AL7" s="38"/>
      <c r="AM7" s="38"/>
      <c r="AN7" s="38"/>
      <c r="AO7" s="38"/>
      <c r="AP7" s="38"/>
      <c r="AQ7" s="38"/>
      <c r="AR7" s="38"/>
      <c r="AS7" s="38"/>
      <c r="AT7" s="38"/>
      <c r="AU7" s="38"/>
      <c r="AV7" s="38"/>
      <c r="AW7" s="38"/>
      <c r="AX7" s="38"/>
      <c r="AY7" s="38"/>
      <c r="AZ7" s="38"/>
      <c r="BA7" s="38"/>
      <c r="BB7" s="38"/>
      <c r="BC7" s="38"/>
      <c r="BD7" s="38"/>
      <c r="BE7" s="38"/>
      <c r="BF7" s="38"/>
      <c r="BG7" s="38"/>
      <c r="BH7" s="38"/>
      <c r="BI7" s="38"/>
      <c r="BJ7" s="38"/>
      <c r="BK7" s="38"/>
      <c r="BL7" s="38"/>
      <c r="BM7" s="38"/>
      <c r="BN7" s="38"/>
      <c r="BO7" s="38"/>
      <c r="BP7" s="38"/>
      <c r="BQ7" s="38"/>
      <c r="BR7" s="38"/>
      <c r="BS7" s="38"/>
      <c r="BT7" s="38"/>
      <c r="BU7" s="38"/>
      <c r="BV7" s="38"/>
      <c r="BW7" s="38"/>
      <c r="BX7" s="38"/>
      <c r="BY7" s="38"/>
      <c r="BZ7" s="38"/>
      <c r="CA7" s="38"/>
      <c r="CB7" s="38"/>
      <c r="CC7" s="38"/>
      <c r="CD7" s="38"/>
      <c r="CE7" s="38"/>
      <c r="CF7" s="38"/>
      <c r="CG7" s="38"/>
      <c r="CH7" s="38"/>
      <c r="CI7" s="38"/>
      <c r="CJ7" s="38"/>
      <c r="CK7" s="38"/>
      <c r="CL7" s="38"/>
      <c r="CM7" s="38"/>
      <c r="CN7" s="38"/>
      <c r="CO7" s="38"/>
      <c r="CP7" s="38"/>
      <c r="CQ7" s="38"/>
      <c r="CR7" s="38"/>
      <c r="CS7" s="38"/>
      <c r="CT7" s="38"/>
      <c r="CU7" s="38"/>
      <c r="CV7" s="38"/>
      <c r="CW7" s="38"/>
      <c r="CX7" s="38"/>
      <c r="CY7" s="38"/>
      <c r="CZ7" s="38"/>
      <c r="DA7" s="38"/>
      <c r="DB7" s="38"/>
      <c r="DC7" s="38"/>
      <c r="DD7" s="38"/>
      <c r="DE7" s="38"/>
      <c r="DF7" s="38"/>
      <c r="DG7" s="38"/>
      <c r="DH7" s="38"/>
      <c r="DI7" s="38"/>
      <c r="DJ7" s="38"/>
      <c r="DK7" s="38"/>
      <c r="DL7" s="38"/>
      <c r="DM7" s="38"/>
      <c r="DN7" s="38"/>
      <c r="DO7" s="38"/>
      <c r="DP7" s="38"/>
      <c r="DQ7" s="38"/>
      <c r="DR7" s="38"/>
      <c r="DS7" s="38"/>
      <c r="DT7" s="38"/>
      <c r="DU7" s="38"/>
      <c r="DV7" s="38"/>
      <c r="DW7" s="38"/>
      <c r="DX7" s="38"/>
      <c r="DY7" s="38"/>
      <c r="DZ7" s="38"/>
      <c r="EA7" s="38"/>
      <c r="EB7" s="38"/>
      <c r="EC7" s="38"/>
      <c r="ED7" s="38"/>
      <c r="EE7" s="38"/>
      <c r="EF7" s="38"/>
      <c r="EG7" s="38"/>
      <c r="EH7" s="38"/>
      <c r="EI7" s="38"/>
      <c r="EJ7" s="38"/>
      <c r="EK7" s="38"/>
      <c r="EL7" s="38"/>
      <c r="EM7" s="38"/>
      <c r="EN7" s="38"/>
      <c r="EO7" s="38"/>
      <c r="EP7" s="38"/>
      <c r="EQ7" s="38"/>
      <c r="ER7" s="38"/>
      <c r="ES7" s="38"/>
      <c r="ET7" s="38"/>
      <c r="EU7" s="38"/>
      <c r="EV7" s="38"/>
      <c r="EW7" s="38"/>
      <c r="EX7" s="38"/>
    </row>
    <row r="8" ht="15.75" customHeight="1">
      <c r="A8" s="38"/>
      <c r="B8" s="38" t="s">
        <v>26</v>
      </c>
      <c r="C8" s="38" t="s">
        <v>27</v>
      </c>
      <c r="D8" s="40">
        <v>10.0</v>
      </c>
      <c r="E8" s="38"/>
      <c r="F8" s="38" t="s">
        <v>23</v>
      </c>
      <c r="G8" s="38"/>
      <c r="H8" s="38"/>
      <c r="I8" s="38"/>
      <c r="J8" s="40">
        <v>10.0</v>
      </c>
      <c r="K8" s="38"/>
      <c r="L8" s="38"/>
      <c r="M8" s="38"/>
      <c r="N8" s="32">
        <v>44682.0</v>
      </c>
      <c r="O8" s="40">
        <v>1.0</v>
      </c>
      <c r="P8" s="38"/>
      <c r="Q8" s="38"/>
      <c r="R8" s="38"/>
      <c r="S8" s="38"/>
      <c r="T8" s="38"/>
      <c r="U8" s="38"/>
      <c r="V8" s="38"/>
      <c r="W8" s="38"/>
      <c r="X8" s="38"/>
      <c r="Y8" s="38"/>
      <c r="Z8" s="38"/>
      <c r="AA8" s="38"/>
      <c r="AB8" s="38"/>
      <c r="AC8" s="38"/>
      <c r="AD8" s="38"/>
      <c r="AE8" s="38"/>
      <c r="AF8" s="38"/>
      <c r="AG8" s="38"/>
      <c r="AH8" s="38"/>
      <c r="AI8" s="38"/>
      <c r="AJ8" s="38"/>
      <c r="AK8" s="38"/>
      <c r="AL8" s="38"/>
      <c r="AM8" s="38"/>
      <c r="AN8" s="38"/>
      <c r="AO8" s="38"/>
      <c r="AP8" s="38"/>
      <c r="AQ8" s="38"/>
      <c r="AR8" s="38"/>
      <c r="AS8" s="38"/>
      <c r="AT8" s="38"/>
      <c r="AU8" s="38"/>
      <c r="AV8" s="38"/>
      <c r="AW8" s="38"/>
      <c r="AX8" s="38"/>
      <c r="AY8" s="38"/>
      <c r="AZ8" s="38"/>
      <c r="BA8" s="38"/>
      <c r="BB8" s="38"/>
      <c r="BC8" s="38"/>
      <c r="BD8" s="38"/>
      <c r="BE8" s="38"/>
      <c r="BF8" s="38"/>
      <c r="BG8" s="38"/>
      <c r="BH8" s="38"/>
      <c r="BI8" s="38"/>
      <c r="BJ8" s="38"/>
      <c r="BK8" s="38"/>
      <c r="BL8" s="38"/>
      <c r="BM8" s="38"/>
      <c r="BN8" s="38"/>
      <c r="BO8" s="38"/>
      <c r="BP8" s="38"/>
      <c r="BQ8" s="38"/>
      <c r="BR8" s="38"/>
      <c r="BS8" s="38"/>
      <c r="BT8" s="38"/>
      <c r="BU8" s="38"/>
      <c r="BV8" s="38"/>
      <c r="BW8" s="38"/>
      <c r="BX8" s="38"/>
      <c r="BY8" s="38"/>
      <c r="BZ8" s="38"/>
      <c r="CA8" s="38"/>
      <c r="CB8" s="38"/>
      <c r="CC8" s="38"/>
      <c r="CD8" s="38"/>
      <c r="CE8" s="38"/>
      <c r="CF8" s="38"/>
      <c r="CG8" s="38"/>
      <c r="CH8" s="38"/>
      <c r="CI8" s="38"/>
      <c r="CJ8" s="38"/>
      <c r="CK8" s="38"/>
      <c r="CL8" s="38"/>
      <c r="CM8" s="38"/>
      <c r="CN8" s="38"/>
      <c r="CO8" s="38"/>
      <c r="CP8" s="38"/>
      <c r="CQ8" s="38"/>
      <c r="CR8" s="38"/>
      <c r="CS8" s="38"/>
      <c r="CT8" s="38"/>
      <c r="CU8" s="38"/>
      <c r="CV8" s="38"/>
      <c r="CW8" s="38"/>
      <c r="CX8" s="38"/>
      <c r="CY8" s="38"/>
      <c r="CZ8" s="38"/>
      <c r="DA8" s="38"/>
      <c r="DB8" s="38"/>
      <c r="DC8" s="38"/>
      <c r="DD8" s="38"/>
      <c r="DE8" s="38"/>
      <c r="DF8" s="38"/>
      <c r="DG8" s="38"/>
      <c r="DH8" s="38"/>
      <c r="DI8" s="38"/>
      <c r="DJ8" s="38"/>
      <c r="DK8" s="38"/>
      <c r="DL8" s="38"/>
      <c r="DM8" s="38"/>
      <c r="DN8" s="38"/>
      <c r="DO8" s="38"/>
      <c r="DP8" s="38"/>
      <c r="DQ8" s="38"/>
      <c r="DR8" s="38"/>
      <c r="DS8" s="38"/>
      <c r="DT8" s="38"/>
      <c r="DU8" s="38"/>
      <c r="DV8" s="38"/>
      <c r="DW8" s="38"/>
      <c r="DX8" s="38"/>
      <c r="DY8" s="38"/>
      <c r="DZ8" s="38"/>
      <c r="EA8" s="38"/>
      <c r="EB8" s="38"/>
      <c r="EC8" s="38"/>
      <c r="ED8" s="38"/>
      <c r="EE8" s="38"/>
      <c r="EF8" s="38"/>
      <c r="EG8" s="38"/>
      <c r="EH8" s="38"/>
      <c r="EI8" s="38"/>
      <c r="EJ8" s="38"/>
      <c r="EK8" s="38"/>
      <c r="EL8" s="38"/>
      <c r="EM8" s="38"/>
      <c r="EN8" s="38"/>
      <c r="EO8" s="38"/>
      <c r="EP8" s="38"/>
      <c r="EQ8" s="38"/>
      <c r="ER8" s="38"/>
      <c r="ES8" s="38"/>
      <c r="ET8" s="38"/>
      <c r="EU8" s="38"/>
      <c r="EV8" s="38"/>
      <c r="EW8" s="38"/>
      <c r="EX8" s="38"/>
    </row>
    <row r="9" ht="15.75" customHeight="1">
      <c r="A9" s="38"/>
      <c r="B9" s="38"/>
      <c r="C9" s="38"/>
      <c r="D9" s="38"/>
      <c r="E9" s="38"/>
      <c r="F9" s="38"/>
      <c r="G9" s="38"/>
      <c r="H9" s="38"/>
      <c r="I9" s="38"/>
      <c r="J9" s="38"/>
      <c r="K9" s="38"/>
      <c r="L9" s="38"/>
      <c r="M9" s="38"/>
      <c r="N9" s="38"/>
      <c r="O9" s="38"/>
      <c r="P9" s="38"/>
      <c r="Q9" s="38"/>
      <c r="R9" s="38"/>
      <c r="S9" s="38"/>
      <c r="T9" s="38"/>
      <c r="U9" s="38"/>
      <c r="V9" s="38"/>
      <c r="W9" s="38"/>
      <c r="X9" s="38"/>
      <c r="Y9" s="38"/>
      <c r="Z9" s="38"/>
      <c r="AA9" s="38"/>
      <c r="AB9" s="38"/>
      <c r="AC9" s="38"/>
      <c r="AD9" s="38"/>
      <c r="AE9" s="38"/>
      <c r="AF9" s="38"/>
      <c r="AG9" s="38"/>
      <c r="AH9" s="38"/>
      <c r="AI9" s="38"/>
      <c r="AJ9" s="38"/>
      <c r="AK9" s="38"/>
      <c r="AL9" s="38"/>
      <c r="AM9" s="38"/>
      <c r="AN9" s="38"/>
      <c r="AO9" s="38"/>
      <c r="AP9" s="38"/>
      <c r="AQ9" s="38"/>
      <c r="AR9" s="38"/>
      <c r="AS9" s="38"/>
      <c r="AT9" s="38"/>
      <c r="AU9" s="38"/>
      <c r="AV9" s="38"/>
      <c r="AW9" s="38"/>
      <c r="AX9" s="38"/>
      <c r="AY9" s="38"/>
      <c r="AZ9" s="38"/>
      <c r="BA9" s="38"/>
      <c r="BB9" s="38"/>
      <c r="BC9" s="38"/>
      <c r="BD9" s="38"/>
      <c r="BE9" s="38"/>
      <c r="BF9" s="38"/>
      <c r="BG9" s="38"/>
      <c r="BH9" s="38"/>
      <c r="BI9" s="38"/>
      <c r="BJ9" s="38"/>
      <c r="BK9" s="38"/>
      <c r="BL9" s="38"/>
      <c r="BM9" s="38"/>
      <c r="BN9" s="38"/>
      <c r="BO9" s="38"/>
      <c r="BP9" s="38"/>
      <c r="BQ9" s="38"/>
      <c r="BR9" s="38"/>
      <c r="BS9" s="38"/>
      <c r="BT9" s="38"/>
      <c r="BU9" s="38"/>
      <c r="BV9" s="38"/>
      <c r="BW9" s="38"/>
      <c r="BX9" s="38"/>
      <c r="BY9" s="38"/>
      <c r="BZ9" s="38"/>
      <c r="CA9" s="38"/>
      <c r="CB9" s="38"/>
      <c r="CC9" s="38"/>
      <c r="CD9" s="38"/>
      <c r="CE9" s="38"/>
      <c r="CF9" s="38"/>
      <c r="CG9" s="38"/>
      <c r="CH9" s="38"/>
      <c r="CI9" s="38"/>
      <c r="CJ9" s="38"/>
      <c r="CK9" s="38"/>
      <c r="CL9" s="38"/>
      <c r="CM9" s="38"/>
      <c r="CN9" s="38"/>
      <c r="CO9" s="38"/>
      <c r="CP9" s="38"/>
      <c r="CQ9" s="38"/>
      <c r="CR9" s="38"/>
      <c r="CS9" s="38"/>
      <c r="CT9" s="38"/>
      <c r="CU9" s="38"/>
      <c r="CV9" s="38"/>
      <c r="CW9" s="38"/>
      <c r="CX9" s="38"/>
      <c r="CY9" s="38"/>
      <c r="CZ9" s="38"/>
      <c r="DA9" s="38"/>
      <c r="DB9" s="38"/>
      <c r="DC9" s="38"/>
      <c r="DD9" s="38"/>
      <c r="DE9" s="38"/>
      <c r="DF9" s="38"/>
      <c r="DG9" s="38"/>
      <c r="DH9" s="38"/>
      <c r="DI9" s="38"/>
      <c r="DJ9" s="38"/>
      <c r="DK9" s="38"/>
      <c r="DL9" s="38"/>
      <c r="DM9" s="38"/>
      <c r="DN9" s="38"/>
      <c r="DO9" s="38"/>
      <c r="DP9" s="38"/>
      <c r="DQ9" s="38"/>
      <c r="DR9" s="38"/>
      <c r="DS9" s="38"/>
      <c r="DT9" s="38"/>
      <c r="DU9" s="38"/>
      <c r="DV9" s="38"/>
      <c r="DW9" s="38"/>
      <c r="DX9" s="38"/>
      <c r="DY9" s="38"/>
      <c r="DZ9" s="38"/>
      <c r="EA9" s="38"/>
      <c r="EB9" s="38"/>
      <c r="EC9" s="38"/>
      <c r="ED9" s="38"/>
      <c r="EE9" s="38"/>
      <c r="EF9" s="38"/>
      <c r="EG9" s="38"/>
      <c r="EH9" s="38"/>
      <c r="EI9" s="38"/>
      <c r="EJ9" s="38"/>
      <c r="EK9" s="38"/>
      <c r="EL9" s="38"/>
      <c r="EM9" s="38"/>
      <c r="EN9" s="38"/>
      <c r="EO9" s="38"/>
      <c r="EP9" s="38"/>
      <c r="EQ9" s="38"/>
      <c r="ER9" s="38"/>
      <c r="ES9" s="38"/>
      <c r="ET9" s="38"/>
      <c r="EU9" s="38"/>
      <c r="EV9" s="38"/>
      <c r="EW9" s="38"/>
      <c r="EX9" s="3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28</v>
      </c>
      <c r="D3" s="5" t="s">
        <v>9</v>
      </c>
      <c r="E3" s="23" t="s">
        <v>29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IFERROR(__xludf.DUMMYFUNCTION("IF(C3="""","""",Transpose(IMPORTRANGE('_Settings'!$B$3,C3&amp;""!A4:A1000"")))"),"FilterBlankMP")</f>
        <v>FilterBlankMP</v>
      </c>
      <c r="C4" s="25" t="str">
        <f>IFERROR(__xludf.DUMMYFUNCTION("""COMPUTED_VALUE"""),"UpdateBlankMP")</f>
        <v>UpdateBlankMP</v>
      </c>
      <c r="D4" s="25" t="str">
        <f>IFERROR(__xludf.DUMMYFUNCTION("""COMPUTED_VALUE"""),"UpateSymbolBlankMP")</f>
        <v>UpateSymbolBlankMP</v>
      </c>
      <c r="E4" s="25" t="str">
        <f>IFERROR(__xludf.DUMMYFUNCTION("""COMPUTED_VALUE"""),"EnableBlankMarkPrices")</f>
        <v>EnableBlankMarkPrices</v>
      </c>
      <c r="F4" s="25" t="str">
        <f>IFERROR(__xludf.DUMMYFUNCTION("""COMPUTED_VALUE"""),"UpdateBeta")</f>
        <v>UpdateBeta</v>
      </c>
      <c r="G4" s="25" t="str">
        <f>IFERROR(__xludf.DUMMYFUNCTION("""COMPUTED_VALUE"""),"UpdateDailyCash")</f>
        <v>UpdateDailyCash</v>
      </c>
      <c r="H4" s="25" t="str">
        <f>IFERROR(__xludf.DUMMYFUNCTION("""COMPUTED_VALUE"""),"UpdateMultipleDailyCash")</f>
        <v>UpdateMultipleDailyCash</v>
      </c>
      <c r="I4" s="25" t="str">
        <f>IFERROR(__xludf.DUMMYFUNCTION("""COMPUTED_VALUE"""),"UpdateForexConversion")</f>
        <v>UpdateForexConversion</v>
      </c>
      <c r="J4" s="25" t="str">
        <f>IFERROR(__xludf.DUMMYFUNCTION("""COMPUTED_VALUE"""),"UpdateMarkPrice")</f>
        <v>UpdateMarkPrice</v>
      </c>
      <c r="K4" s="25" t="str">
        <f>IFERROR(__xludf.DUMMYFUNCTION("""COMPUTED_VALUE"""),"CleanUp")</f>
        <v>CleanUp</v>
      </c>
      <c r="L4" s="25" t="str">
        <f>IFERROR(__xludf.DUMMYFUNCTION("""COMPUTED_VALUE"""),"GetMarkPriceData")</f>
        <v>GetMarkPriceData</v>
      </c>
      <c r="M4" s="25" t="str">
        <f>IFERROR(__xludf.DUMMYFUNCTION("""COMPUTED_VALUE"""),"GetForwardPoints")</f>
        <v>GetForwardPoints</v>
      </c>
      <c r="N4" s="25" t="str">
        <f>IFERROR(__xludf.DUMMYFUNCTION("""COMPUTED_VALUE"""),"UpdateForwardPoints")</f>
        <v>UpdateForwardPoints</v>
      </c>
      <c r="O4" s="25" t="str">
        <f>IFERROR(__xludf.DUMMYFUNCTION("""COMPUTED_VALUE"""),"GetForexConversion")</f>
        <v>GetForexConversion</v>
      </c>
      <c r="P4" s="26" t="str">
        <f>IFERROR(__xludf.DUMMYFUNCTION("""COMPUTED_VALUE"""),"DeleteNAV")</f>
        <v>DeleteNAV</v>
      </c>
      <c r="Q4" s="26" t="str">
        <f>IFERROR(__xludf.DUMMYFUNCTION("""COMPUTED_VALUE"""),"GetDailyCash")</f>
        <v>GetDailyCash</v>
      </c>
      <c r="R4" s="26" t="str">
        <f>IFERROR(__xludf.DUMMYFUNCTION("""COMPUTED_VALUE"""),"GetDailyBeta")</f>
        <v>GetDailyBeta</v>
      </c>
      <c r="S4" s="26" t="str">
        <f>IFERROR(__xludf.DUMMYFUNCTION("""COMPUTED_VALUE"""),"GetDailyVolatility")</f>
        <v>GetDailyVolatility</v>
      </c>
      <c r="T4" s="26" t="str">
        <f>IFERROR(__xludf.DUMMYFUNCTION("""COMPUTED_VALUE"""),"GetDailyDividendYield")</f>
        <v>GetDailyDividendYield</v>
      </c>
      <c r="U4" s="26" t="str">
        <f>IFERROR(__xludf.DUMMYFUNCTION("""COMPUTED_VALUE"""),"GetDailyTradingVolume")</f>
        <v>GetDailyTradingVolume</v>
      </c>
      <c r="V4" s="26" t="str">
        <f>IFERROR(__xludf.DUMMYFUNCTION("""COMPUTED_VALUE"""),"GetDailyOutstandings")</f>
        <v>GetDailyOutstandings</v>
      </c>
      <c r="W4" s="26" t="str">
        <f>IFERROR(__xludf.DUMMYFUNCTION("""COMPUTED_VALUE"""),"VerifyDailyCash")</f>
        <v>VerifyDailyCash</v>
      </c>
      <c r="X4" s="26" t="str">
        <f>IFERROR(__xludf.DUMMYFUNCTION("""COMPUTED_VALUE"""),"GetDailyDelta")</f>
        <v>GetDailyDelta</v>
      </c>
      <c r="Y4" s="26" t="str">
        <f>IFERROR(__xludf.DUMMYFUNCTION("""COMPUTED_VALUE"""),"UpdateDailyVolatility")</f>
        <v>UpdateDailyVolatility</v>
      </c>
      <c r="Z4" s="26" t="str">
        <f>IFERROR(__xludf.DUMMYFUNCTION("""COMPUTED_VALUE"""),"UpdateDividendYield")</f>
        <v>UpdateDividendYield</v>
      </c>
      <c r="AA4" s="26" t="str">
        <f>IFERROR(__xludf.DUMMYFUNCTION("""COMPUTED_VALUE"""),"UpdateTradingVolume")</f>
        <v>UpdateTradingVolume</v>
      </c>
      <c r="AB4" s="26" t="str">
        <f>IFERROR(__xludf.DUMMYFUNCTION("""COMPUTED_VALUE"""),"UpdateDailyDelta")</f>
        <v>UpdateDailyDelta</v>
      </c>
      <c r="AC4" s="26" t="str">
        <f>IFERROR(__xludf.DUMMYFUNCTION("""COMPUTED_VALUE"""),"UpdateDailyOutstandings")</f>
        <v>UpdateDailyOutstandings</v>
      </c>
      <c r="AD4" s="26" t="str">
        <f>IFERROR(__xludf.DUMMYFUNCTION("""COMPUTED_VALUE"""),"UpdateBeta")</f>
        <v>UpdateBeta</v>
      </c>
      <c r="AE4" s="26" t="str">
        <f>IFERROR(__xludf.DUMMYFUNCTION("""COMPUTED_VALUE"""),"UpdateNAV")</f>
        <v>UpdateNAV</v>
      </c>
      <c r="AF4" s="26" t="str">
        <f>IFERROR(__xludf.DUMMYFUNCTION("""COMPUTED_VALUE"""),"UpdateDailyCash")</f>
        <v>UpdateDailyCash</v>
      </c>
      <c r="AG4" s="26" t="str">
        <f>IFERROR(__xludf.DUMMYFUNCTION("""COMPUTED_VALUE"""),"UpdateDailyCreditLimt")</f>
        <v>UpdateDailyCreditLimt</v>
      </c>
      <c r="AH4" s="26" t="str">
        <f>IFERROR(__xludf.DUMMYFUNCTION("""COMPUTED_VALUE"""),"RemoveDailyCreditLimit")</f>
        <v>RemoveDailyCreditLimit</v>
      </c>
      <c r="AI4" s="26" t="str">
        <f>IFERROR(__xludf.DUMMYFUNCTION("""COMPUTED_VALUE"""),"RemoveDailyCash")</f>
        <v>RemoveDailyCash</v>
      </c>
      <c r="AJ4" s="26" t="str">
        <f>IFERROR(__xludf.DUMMYFUNCTION("""COMPUTED_VALUE"""),"RemoveNAV")</f>
        <v>RemoveNAV</v>
      </c>
      <c r="AK4" s="26" t="str">
        <f>IFERROR(__xludf.DUMMYFUNCTION("""COMPUTED_VALUE"""),"UpdateMarkPriceMonthly")</f>
        <v>UpdateMarkPriceMonthly</v>
      </c>
      <c r="AL4" s="26" t="str">
        <f>IFERROR(__xludf.DUMMYFUNCTION("""COMPUTED_VALUE"""),"UpdateForexConversionMonthly")</f>
        <v>UpdateForexConversionMonthly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IFERROR(__xludf.DUMMYFUNCTION("""COMPUTED_VALUE"""),"Select Date")</f>
        <v>Select Date</v>
      </c>
      <c r="C5" s="28" t="str">
        <f>IFERROR(__xludf.DUMMYFUNCTION("""COMPUTED_VALUE"""),"Copy Date ")</f>
        <v>Copy Date 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41">
        <f>TODAY()-1</f>
        <v>45054</v>
      </c>
      <c r="C6" s="41">
        <f>TODAY()</f>
        <v>45055</v>
      </c>
      <c r="D6" s="13"/>
      <c r="E6" s="33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GetMarkPriceData!$4:$4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28</v>
      </c>
      <c r="D3" s="5" t="s">
        <v>9</v>
      </c>
      <c r="E3" s="23" t="s">
        <v>30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IFERROR(__xludf.DUMMYFUNCTION("IF(C3="""","""",Transpose(IMPORTRANGE('_Settings'!$B$3,C3&amp;""!A4:A1000"")))"),"FilterBlankMP")</f>
        <v>FilterBlankMP</v>
      </c>
      <c r="C4" s="25" t="str">
        <f>IFERROR(__xludf.DUMMYFUNCTION("""COMPUTED_VALUE"""),"UpdateBlankMP")</f>
        <v>UpdateBlankMP</v>
      </c>
      <c r="D4" s="25" t="str">
        <f>IFERROR(__xludf.DUMMYFUNCTION("""COMPUTED_VALUE"""),"UpateSymbolBlankMP")</f>
        <v>UpateSymbolBlankMP</v>
      </c>
      <c r="E4" s="25" t="str">
        <f>IFERROR(__xludf.DUMMYFUNCTION("""COMPUTED_VALUE"""),"EnableBlankMarkPrices")</f>
        <v>EnableBlankMarkPrices</v>
      </c>
      <c r="F4" s="25" t="str">
        <f>IFERROR(__xludf.DUMMYFUNCTION("""COMPUTED_VALUE"""),"UpdateBeta")</f>
        <v>UpdateBeta</v>
      </c>
      <c r="G4" s="25" t="str">
        <f>IFERROR(__xludf.DUMMYFUNCTION("""COMPUTED_VALUE"""),"UpdateDailyCash")</f>
        <v>UpdateDailyCash</v>
      </c>
      <c r="H4" s="25" t="str">
        <f>IFERROR(__xludf.DUMMYFUNCTION("""COMPUTED_VALUE"""),"UpdateMultipleDailyCash")</f>
        <v>UpdateMultipleDailyCash</v>
      </c>
      <c r="I4" s="25" t="str">
        <f>IFERROR(__xludf.DUMMYFUNCTION("""COMPUTED_VALUE"""),"UpdateForexConversion")</f>
        <v>UpdateForexConversion</v>
      </c>
      <c r="J4" s="25" t="str">
        <f>IFERROR(__xludf.DUMMYFUNCTION("""COMPUTED_VALUE"""),"UpdateMarkPrice")</f>
        <v>UpdateMarkPrice</v>
      </c>
      <c r="K4" s="25" t="str">
        <f>IFERROR(__xludf.DUMMYFUNCTION("""COMPUTED_VALUE"""),"CleanUp")</f>
        <v>CleanUp</v>
      </c>
      <c r="L4" s="25" t="str">
        <f>IFERROR(__xludf.DUMMYFUNCTION("""COMPUTED_VALUE"""),"GetMarkPriceData")</f>
        <v>GetMarkPriceData</v>
      </c>
      <c r="M4" s="25" t="str">
        <f>IFERROR(__xludf.DUMMYFUNCTION("""COMPUTED_VALUE"""),"GetForwardPoints")</f>
        <v>GetForwardPoints</v>
      </c>
      <c r="N4" s="25" t="str">
        <f>IFERROR(__xludf.DUMMYFUNCTION("""COMPUTED_VALUE"""),"UpdateForwardPoints")</f>
        <v>UpdateForwardPoints</v>
      </c>
      <c r="O4" s="25" t="str">
        <f>IFERROR(__xludf.DUMMYFUNCTION("""COMPUTED_VALUE"""),"GetForexConversion")</f>
        <v>GetForexConversion</v>
      </c>
      <c r="P4" s="26" t="str">
        <f>IFERROR(__xludf.DUMMYFUNCTION("""COMPUTED_VALUE"""),"DeleteNAV")</f>
        <v>DeleteNAV</v>
      </c>
      <c r="Q4" s="26" t="str">
        <f>IFERROR(__xludf.DUMMYFUNCTION("""COMPUTED_VALUE"""),"GetDailyCash")</f>
        <v>GetDailyCash</v>
      </c>
      <c r="R4" s="26" t="str">
        <f>IFERROR(__xludf.DUMMYFUNCTION("""COMPUTED_VALUE"""),"GetDailyBeta")</f>
        <v>GetDailyBeta</v>
      </c>
      <c r="S4" s="26" t="str">
        <f>IFERROR(__xludf.DUMMYFUNCTION("""COMPUTED_VALUE"""),"GetDailyVolatility")</f>
        <v>GetDailyVolatility</v>
      </c>
      <c r="T4" s="26" t="str">
        <f>IFERROR(__xludf.DUMMYFUNCTION("""COMPUTED_VALUE"""),"GetDailyDividendYield")</f>
        <v>GetDailyDividendYield</v>
      </c>
      <c r="U4" s="26" t="str">
        <f>IFERROR(__xludf.DUMMYFUNCTION("""COMPUTED_VALUE"""),"GetDailyTradingVolume")</f>
        <v>GetDailyTradingVolume</v>
      </c>
      <c r="V4" s="26" t="str">
        <f>IFERROR(__xludf.DUMMYFUNCTION("""COMPUTED_VALUE"""),"GetDailyOutstandings")</f>
        <v>GetDailyOutstandings</v>
      </c>
      <c r="W4" s="26" t="str">
        <f>IFERROR(__xludf.DUMMYFUNCTION("""COMPUTED_VALUE"""),"VerifyDailyCash")</f>
        <v>VerifyDailyCash</v>
      </c>
      <c r="X4" s="26" t="str">
        <f>IFERROR(__xludf.DUMMYFUNCTION("""COMPUTED_VALUE"""),"GetDailyDelta")</f>
        <v>GetDailyDelta</v>
      </c>
      <c r="Y4" s="26" t="str">
        <f>IFERROR(__xludf.DUMMYFUNCTION("""COMPUTED_VALUE"""),"UpdateDailyVolatility")</f>
        <v>UpdateDailyVolatility</v>
      </c>
      <c r="Z4" s="26" t="str">
        <f>IFERROR(__xludf.DUMMYFUNCTION("""COMPUTED_VALUE"""),"UpdateDividendYield")</f>
        <v>UpdateDividendYield</v>
      </c>
      <c r="AA4" s="26" t="str">
        <f>IFERROR(__xludf.DUMMYFUNCTION("""COMPUTED_VALUE"""),"UpdateTradingVolume")</f>
        <v>UpdateTradingVolume</v>
      </c>
      <c r="AB4" s="26" t="str">
        <f>IFERROR(__xludf.DUMMYFUNCTION("""COMPUTED_VALUE"""),"UpdateDailyDelta")</f>
        <v>UpdateDailyDelta</v>
      </c>
      <c r="AC4" s="26" t="str">
        <f>IFERROR(__xludf.DUMMYFUNCTION("""COMPUTED_VALUE"""),"UpdateDailyOutstandings")</f>
        <v>UpdateDailyOutstandings</v>
      </c>
      <c r="AD4" s="26" t="str">
        <f>IFERROR(__xludf.DUMMYFUNCTION("""COMPUTED_VALUE"""),"UpdateBeta")</f>
        <v>UpdateBeta</v>
      </c>
      <c r="AE4" s="26" t="str">
        <f>IFERROR(__xludf.DUMMYFUNCTION("""COMPUTED_VALUE"""),"UpdateNAV")</f>
        <v>UpdateNAV</v>
      </c>
      <c r="AF4" s="26" t="str">
        <f>IFERROR(__xludf.DUMMYFUNCTION("""COMPUTED_VALUE"""),"UpdateDailyCash")</f>
        <v>UpdateDailyCash</v>
      </c>
      <c r="AG4" s="26" t="str">
        <f>IFERROR(__xludf.DUMMYFUNCTION("""COMPUTED_VALUE"""),"UpdateDailyCreditLimt")</f>
        <v>UpdateDailyCreditLimt</v>
      </c>
      <c r="AH4" s="26" t="str">
        <f>IFERROR(__xludf.DUMMYFUNCTION("""COMPUTED_VALUE"""),"RemoveDailyCreditLimit")</f>
        <v>RemoveDailyCreditLimit</v>
      </c>
      <c r="AI4" s="26" t="str">
        <f>IFERROR(__xludf.DUMMYFUNCTION("""COMPUTED_VALUE"""),"RemoveDailyCash")</f>
        <v>RemoveDailyCash</v>
      </c>
      <c r="AJ4" s="26" t="str">
        <f>IFERROR(__xludf.DUMMYFUNCTION("""COMPUTED_VALUE"""),"RemoveNAV")</f>
        <v>RemoveNAV</v>
      </c>
      <c r="AK4" s="26" t="str">
        <f>IFERROR(__xludf.DUMMYFUNCTION("""COMPUTED_VALUE"""),"UpdateMarkPriceMonthly")</f>
        <v>UpdateMarkPriceMonthly</v>
      </c>
      <c r="AL4" s="26" t="str">
        <f>IFERROR(__xludf.DUMMYFUNCTION("""COMPUTED_VALUE"""),"UpdateForexConversionMonthly")</f>
        <v>UpdateForexConversionMonthly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IFERROR(__xludf.DUMMYFUNCTION("""COMPUTED_VALUE"""),"Price")</f>
        <v>Price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1" t="s">
        <v>26</v>
      </c>
      <c r="C6" s="40">
        <v>120.0</v>
      </c>
      <c r="D6" s="13"/>
      <c r="E6" s="33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UpdateMarkPrice!$4:$4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17</v>
      </c>
      <c r="D3" s="5" t="s">
        <v>9</v>
      </c>
      <c r="E3" s="23" t="s">
        <v>31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IFERROR(__xludf.DUMMYFUNCTION("IF(C3="""","""",Transpose(IMPORTRANGE('_Settings'!$B$3,C3&amp;""!A4:A1000"")))"),"FilterClosing")</f>
        <v>FilterClosing</v>
      </c>
      <c r="C4" s="25" t="str">
        <f>IFERROR(__xludf.DUMMYFUNCTION("""COMPUTED_VALUE"""),"UnwindAllClosingData")</f>
        <v>UnwindAllClosingData</v>
      </c>
      <c r="D4" s="25" t="str">
        <f>IFERROR(__xludf.DUMMYFUNCTION("""COMPUTED_VALUE"""),"FilterExpiredGrid")</f>
        <v>FilterExpiredGrid</v>
      </c>
      <c r="E4" s="25" t="str">
        <f>IFERROR(__xludf.DUMMYFUNCTION("""COMPUTED_VALUE"""),"FilterUnexpiredGrid")</f>
        <v>FilterUnexpiredGrid</v>
      </c>
      <c r="F4" s="25" t="str">
        <f>IFERROR(__xludf.DUMMYFUNCTION("""COMPUTED_VALUE"""),"FilterClosingGrid")</f>
        <v>FilterClosingGrid</v>
      </c>
      <c r="G4" s="25" t="str">
        <f>IFERROR(__xludf.DUMMYFUNCTION("""COMPUTED_VALUE"""),"FilterShortPositionGrid")</f>
        <v>FilterShortPositionGrid</v>
      </c>
      <c r="H4" s="25" t="str">
        <f>IFERROR(__xludf.DUMMYFUNCTION("""COMPUTED_VALUE"""),"FilterLongPositionGrid")</f>
        <v>FilterLongPositionGrid</v>
      </c>
      <c r="I4" s="25" t="str">
        <f>IFERROR(__xludf.DUMMYFUNCTION("""COMPUTED_VALUE"""),"SaveCTData")</f>
        <v>SaveCTData</v>
      </c>
      <c r="J4" s="25" t="str">
        <f>IFERROR(__xludf.DUMMYFUNCTION("""COMPUTED_VALUE"""),"ExerciseAssignmentWithOutSave")</f>
        <v>ExerciseAssignmentWithOutSave</v>
      </c>
      <c r="K4" s="25" t="str">
        <f>IFERROR(__xludf.DUMMYFUNCTION("""COMPUTED_VALUE"""),"VerifyCTData")</f>
        <v>VerifyCTData</v>
      </c>
      <c r="L4" s="25" t="str">
        <f>IFERROR(__xludf.DUMMYFUNCTION("""COMPUTED_VALUE"""),"SelectAccountWiseAsset")</f>
        <v>SelectAccountWiseAsset</v>
      </c>
      <c r="M4" s="25" t="str">
        <f>IFERROR(__xludf.DUMMYFUNCTION("""COMPUTED_VALUE"""),"RunTemplate")</f>
        <v>RunTemplate</v>
      </c>
      <c r="N4" s="25" t="str">
        <f>IFERROR(__xludf.DUMMYFUNCTION("""COMPUTED_VALUE"""),"DeleteTemplate")</f>
        <v>DeleteTemplate</v>
      </c>
      <c r="O4" s="25" t="str">
        <f>IFERROR(__xludf.DUMMYFUNCTION("""COMPUTED_VALUE"""),"EditTemplate")</f>
        <v>EditTemplate</v>
      </c>
      <c r="P4" s="26" t="str">
        <f>IFERROR(__xludf.DUMMYFUNCTION("""COMPUTED_VALUE"""),"CreateUnwindingTemplate")</f>
        <v>CreateUnwindingTemplate</v>
      </c>
      <c r="Q4" s="26" t="str">
        <f>IFERROR(__xludf.DUMMYFUNCTION("""COMPUTED_VALUE"""),"CreateClosingTemplate")</f>
        <v>CreateClosingTemplate</v>
      </c>
      <c r="R4" s="26" t="str">
        <f>IFERROR(__xludf.DUMMYFUNCTION("""COMPUTED_VALUE"""),"PreviewDataWithFilters")</f>
        <v>PreviewDataWithFilters</v>
      </c>
      <c r="S4" s="26" t="str">
        <f>IFERROR(__xludf.DUMMYFUNCTION("""COMPUTED_VALUE"""),"ManualCloseOrder")</f>
        <v>ManualCloseOrder</v>
      </c>
      <c r="T4" s="26" t="str">
        <f>IFERROR(__xludf.DUMMYFUNCTION("""COMPUTED_VALUE"""),"EditMultipleCloseQuantity")</f>
        <v>EditMultipleCloseQuantity</v>
      </c>
      <c r="U4" s="26" t="str">
        <f>IFERROR(__xludf.DUMMYFUNCTION("""COMPUTED_VALUE"""),"AutoExercise")</f>
        <v>AutoExercise</v>
      </c>
      <c r="V4" s="26" t="str">
        <f>IFERROR(__xludf.DUMMYFUNCTION("""COMPUTED_VALUE"""),"SwapExpire")</f>
        <v>SwapExpire</v>
      </c>
      <c r="W4" s="26" t="str">
        <f>IFERROR(__xludf.DUMMYFUNCTION("""COMPUTED_VALUE"""),"GetDataClosing")</f>
        <v>GetDataClosing</v>
      </c>
      <c r="X4" s="26" t="str">
        <f>IFERROR(__xludf.DUMMYFUNCTION("""COMPUTED_VALUE"""),"ManualClosing")</f>
        <v>ManualClosing</v>
      </c>
      <c r="Y4" s="26" t="str">
        <f>IFERROR(__xludf.DUMMYFUNCTION("""COMPUTED_VALUE"""),"AutomaticClosing")</f>
        <v>AutomaticClosing</v>
      </c>
      <c r="Z4" s="26" t="str">
        <f>IFERROR(__xludf.DUMMYFUNCTION("""COMPUTED_VALUE"""),"UnwindClosing")</f>
        <v>UnwindClosing</v>
      </c>
      <c r="AA4" s="26" t="str">
        <f>IFERROR(__xludf.DUMMYFUNCTION("""COMPUTED_VALUE"""),"VerifyClosedTrades")</f>
        <v>VerifyClosedTrades</v>
      </c>
      <c r="AB4" s="26" t="str">
        <f>IFERROR(__xludf.DUMMYFUNCTION("""COMPUTED_VALUE"""),"VerifyLongPositionsGrid")</f>
        <v>VerifyLongPositionsGrid</v>
      </c>
      <c r="AC4" s="26" t="str">
        <f>IFERROR(__xludf.DUMMYFUNCTION("""COMPUTED_VALUE"""),"VerifyShortPositionsGrid")</f>
        <v>VerifyShortPositionsGrid</v>
      </c>
      <c r="AD4" s="26" t="str">
        <f>IFERROR(__xludf.DUMMYFUNCTION("""COMPUTED_VALUE"""),"CashSettlementAtCost")</f>
        <v>CashSettlementAtCost</v>
      </c>
      <c r="AE4" s="26" t="str">
        <f>IFERROR(__xludf.DUMMYFUNCTION("""COMPUTED_VALUE"""),"SelectTradeUnexpiredUnsettled")</f>
        <v>SelectTradeUnexpiredUnsettled</v>
      </c>
      <c r="AF4" s="26" t="str">
        <f>IFERROR(__xludf.DUMMYFUNCTION("""COMPUTED_VALUE"""),"CashSettlementAtClosingDtSpotPx")</f>
        <v>CashSettlementAtClosingDtSpotPx</v>
      </c>
      <c r="AG4" s="26" t="str">
        <f>IFERROR(__xludf.DUMMYFUNCTION("""COMPUTED_VALUE"""),"PhysicalSettlement")</f>
        <v>PhysicalSettlement</v>
      </c>
      <c r="AH4" s="26" t="str">
        <f>IFERROR(__xludf.DUMMYFUNCTION("""COMPUTED_VALUE"""),"Expire")</f>
        <v>Expire</v>
      </c>
      <c r="AI4" s="26" t="str">
        <f>IFERROR(__xludf.DUMMYFUNCTION("""COMPUTED_VALUE"""),"ExerciseAssignment")</f>
        <v>ExerciseAssignment</v>
      </c>
      <c r="AJ4" s="26" t="str">
        <f>IFERROR(__xludf.DUMMYFUNCTION("""COMPUTED_VALUE"""),"ExerciseAssignmentAtZero")</f>
        <v>ExerciseAssignmentAtZero</v>
      </c>
      <c r="AK4" s="26" t="str">
        <f>IFERROR(__xludf.DUMMYFUNCTION("""COMPUTED_VALUE"""),"SwapExpireAndRollover")</f>
        <v>SwapExpireAndRollover</v>
      </c>
      <c r="AL4" s="26" t="str">
        <f>IFERROR(__xludf.DUMMYFUNCTION("""COMPUTED_VALUE"""),"SwapExpire")</f>
        <v>SwapExpire</v>
      </c>
      <c r="AM4" s="26" t="str">
        <f>IFERROR(__xludf.DUMMYFUNCTION("""COMPUTED_VALUE"""),"VerifyExpiredSettledGrid")</f>
        <v>VerifyExpiredSettledGrid</v>
      </c>
      <c r="AN4" s="26" t="str">
        <f>IFERROR(__xludf.DUMMYFUNCTION("""COMPUTED_VALUE"""),"VerifyUnExpiredUnSettledGrid")</f>
        <v>VerifyUnExpiredUnSettledGrid</v>
      </c>
      <c r="AO4" s="26" t="str">
        <f>IFERROR(__xludf.DUMMYFUNCTION("""COMPUTED_VALUE"""),"UnWindTradeSettlement")</f>
        <v>UnWindTradeSettlement</v>
      </c>
      <c r="AP4" s="26" t="str">
        <f>IFERROR(__xludf.DUMMYFUNCTION("""COMPUTED_VALUE"""),"CloseOrder")</f>
        <v>CloseOrder</v>
      </c>
      <c r="AQ4" s="26" t="str">
        <f>IFERROR(__xludf.DUMMYFUNCTION("""COMPUTED_VALUE"""),"VerifyCloseOrder")</f>
        <v>VerifyCloseOrder</v>
      </c>
      <c r="AR4" s="26" t="str">
        <f>IFERROR(__xludf.DUMMYFUNCTION("""COMPUTED_VALUE"""),"UnWindCloseOrder")</f>
        <v>UnWindCloseOrder</v>
      </c>
      <c r="AS4" s="26" t="str">
        <f>IFERROR(__xludf.DUMMYFUNCTION("""COMPUTED_VALUE"""),"ClosingCleanUp")</f>
        <v>ClosingCleanUp</v>
      </c>
      <c r="AT4" s="26" t="str">
        <f>IFERROR(__xludf.DUMMYFUNCTION("""COMPUTED_VALUE"""),"CloseClosingUI")</f>
        <v>CloseClosingUI</v>
      </c>
      <c r="AU4" s="26" t="str">
        <f>IFERROR(__xludf.DUMMYFUNCTION("""COMPUTED_VALUE"""),"EditTradeUnexpiredUnsettled")</f>
        <v>EditTradeUnexpiredUnsettled</v>
      </c>
      <c r="AV4" s="26" t="str">
        <f>IFERROR(__xludf.DUMMYFUNCTION("""COMPUTED_VALUE"""),"SetClosingPreference")</f>
        <v>SetClosingPreference</v>
      </c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IFERROR(__xludf.DUMMYFUNCTION("""COMPUTED_VALUE"""),"RangeType")</f>
        <v>RangeType</v>
      </c>
      <c r="C5" s="28" t="str">
        <f>IFERROR(__xludf.DUMMYFUNCTION("""COMPUTED_VALUE"""),"From")</f>
        <v>From</v>
      </c>
      <c r="D5" s="28" t="str">
        <f>IFERROR(__xludf.DUMMYFUNCTION("""COMPUTED_VALUE"""),"To")</f>
        <v>To</v>
      </c>
      <c r="E5" s="28" t="str">
        <f>IFERROR(__xludf.DUMMYFUNCTION("""COMPUTED_VALUE"""),"Account Filter")</f>
        <v>Account Filter</v>
      </c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1" t="s">
        <v>32</v>
      </c>
      <c r="C6" s="32">
        <v>44562.0</v>
      </c>
      <c r="D6" s="32">
        <v>44896.0</v>
      </c>
      <c r="E6" s="33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GetDataClosing!$4:$4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17</v>
      </c>
      <c r="D3" s="5" t="s">
        <v>9</v>
      </c>
      <c r="E3" s="23" t="s">
        <v>33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IFERROR(__xludf.DUMMYFUNCTION("IF(C3="""","""",Transpose(IMPORTRANGE('_Settings'!$B$3,C3&amp;""!A4:A1000"")))"),"FilterClosing")</f>
        <v>FilterClosing</v>
      </c>
      <c r="C4" s="25" t="str">
        <f>IFERROR(__xludf.DUMMYFUNCTION("""COMPUTED_VALUE"""),"UnwindAllClosingData")</f>
        <v>UnwindAllClosingData</v>
      </c>
      <c r="D4" s="25" t="str">
        <f>IFERROR(__xludf.DUMMYFUNCTION("""COMPUTED_VALUE"""),"FilterExpiredGrid")</f>
        <v>FilterExpiredGrid</v>
      </c>
      <c r="E4" s="25" t="str">
        <f>IFERROR(__xludf.DUMMYFUNCTION("""COMPUTED_VALUE"""),"FilterUnexpiredGrid")</f>
        <v>FilterUnexpiredGrid</v>
      </c>
      <c r="F4" s="25" t="str">
        <f>IFERROR(__xludf.DUMMYFUNCTION("""COMPUTED_VALUE"""),"FilterClosingGrid")</f>
        <v>FilterClosingGrid</v>
      </c>
      <c r="G4" s="25" t="str">
        <f>IFERROR(__xludf.DUMMYFUNCTION("""COMPUTED_VALUE"""),"FilterShortPositionGrid")</f>
        <v>FilterShortPositionGrid</v>
      </c>
      <c r="H4" s="25" t="str">
        <f>IFERROR(__xludf.DUMMYFUNCTION("""COMPUTED_VALUE"""),"FilterLongPositionGrid")</f>
        <v>FilterLongPositionGrid</v>
      </c>
      <c r="I4" s="25" t="str">
        <f>IFERROR(__xludf.DUMMYFUNCTION("""COMPUTED_VALUE"""),"SaveCTData")</f>
        <v>SaveCTData</v>
      </c>
      <c r="J4" s="25" t="str">
        <f>IFERROR(__xludf.DUMMYFUNCTION("""COMPUTED_VALUE"""),"ExerciseAssignmentWithOutSave")</f>
        <v>ExerciseAssignmentWithOutSave</v>
      </c>
      <c r="K4" s="25" t="str">
        <f>IFERROR(__xludf.DUMMYFUNCTION("""COMPUTED_VALUE"""),"VerifyCTData")</f>
        <v>VerifyCTData</v>
      </c>
      <c r="L4" s="25" t="str">
        <f>IFERROR(__xludf.DUMMYFUNCTION("""COMPUTED_VALUE"""),"SelectAccountWiseAsset")</f>
        <v>SelectAccountWiseAsset</v>
      </c>
      <c r="M4" s="25" t="str">
        <f>IFERROR(__xludf.DUMMYFUNCTION("""COMPUTED_VALUE"""),"RunTemplate")</f>
        <v>RunTemplate</v>
      </c>
      <c r="N4" s="25" t="str">
        <f>IFERROR(__xludf.DUMMYFUNCTION("""COMPUTED_VALUE"""),"DeleteTemplate")</f>
        <v>DeleteTemplate</v>
      </c>
      <c r="O4" s="25" t="str">
        <f>IFERROR(__xludf.DUMMYFUNCTION("""COMPUTED_VALUE"""),"EditTemplate")</f>
        <v>EditTemplate</v>
      </c>
      <c r="P4" s="26" t="str">
        <f>IFERROR(__xludf.DUMMYFUNCTION("""COMPUTED_VALUE"""),"CreateUnwindingTemplate")</f>
        <v>CreateUnwindingTemplate</v>
      </c>
      <c r="Q4" s="26" t="str">
        <f>IFERROR(__xludf.DUMMYFUNCTION("""COMPUTED_VALUE"""),"CreateClosingTemplate")</f>
        <v>CreateClosingTemplate</v>
      </c>
      <c r="R4" s="26" t="str">
        <f>IFERROR(__xludf.DUMMYFUNCTION("""COMPUTED_VALUE"""),"PreviewDataWithFilters")</f>
        <v>PreviewDataWithFilters</v>
      </c>
      <c r="S4" s="26" t="str">
        <f>IFERROR(__xludf.DUMMYFUNCTION("""COMPUTED_VALUE"""),"ManualCloseOrder")</f>
        <v>ManualCloseOrder</v>
      </c>
      <c r="T4" s="26" t="str">
        <f>IFERROR(__xludf.DUMMYFUNCTION("""COMPUTED_VALUE"""),"EditMultipleCloseQuantity")</f>
        <v>EditMultipleCloseQuantity</v>
      </c>
      <c r="U4" s="26" t="str">
        <f>IFERROR(__xludf.DUMMYFUNCTION("""COMPUTED_VALUE"""),"AutoExercise")</f>
        <v>AutoExercise</v>
      </c>
      <c r="V4" s="26" t="str">
        <f>IFERROR(__xludf.DUMMYFUNCTION("""COMPUTED_VALUE"""),"SwapExpire")</f>
        <v>SwapExpire</v>
      </c>
      <c r="W4" s="26" t="str">
        <f>IFERROR(__xludf.DUMMYFUNCTION("""COMPUTED_VALUE"""),"GetDataClosing")</f>
        <v>GetDataClosing</v>
      </c>
      <c r="X4" s="26" t="str">
        <f>IFERROR(__xludf.DUMMYFUNCTION("""COMPUTED_VALUE"""),"ManualClosing")</f>
        <v>ManualClosing</v>
      </c>
      <c r="Y4" s="26" t="str">
        <f>IFERROR(__xludf.DUMMYFUNCTION("""COMPUTED_VALUE"""),"AutomaticClosing")</f>
        <v>AutomaticClosing</v>
      </c>
      <c r="Z4" s="26" t="str">
        <f>IFERROR(__xludf.DUMMYFUNCTION("""COMPUTED_VALUE"""),"UnwindClosing")</f>
        <v>UnwindClosing</v>
      </c>
      <c r="AA4" s="26" t="str">
        <f>IFERROR(__xludf.DUMMYFUNCTION("""COMPUTED_VALUE"""),"VerifyClosedTrades")</f>
        <v>VerifyClosedTrades</v>
      </c>
      <c r="AB4" s="26" t="str">
        <f>IFERROR(__xludf.DUMMYFUNCTION("""COMPUTED_VALUE"""),"VerifyLongPositionsGrid")</f>
        <v>VerifyLongPositionsGrid</v>
      </c>
      <c r="AC4" s="26" t="str">
        <f>IFERROR(__xludf.DUMMYFUNCTION("""COMPUTED_VALUE"""),"VerifyShortPositionsGrid")</f>
        <v>VerifyShortPositionsGrid</v>
      </c>
      <c r="AD4" s="26" t="str">
        <f>IFERROR(__xludf.DUMMYFUNCTION("""COMPUTED_VALUE"""),"CashSettlementAtCost")</f>
        <v>CashSettlementAtCost</v>
      </c>
      <c r="AE4" s="26" t="str">
        <f>IFERROR(__xludf.DUMMYFUNCTION("""COMPUTED_VALUE"""),"SelectTradeUnexpiredUnsettled")</f>
        <v>SelectTradeUnexpiredUnsettled</v>
      </c>
      <c r="AF4" s="26" t="str">
        <f>IFERROR(__xludf.DUMMYFUNCTION("""COMPUTED_VALUE"""),"CashSettlementAtClosingDtSpotPx")</f>
        <v>CashSettlementAtClosingDtSpotPx</v>
      </c>
      <c r="AG4" s="26" t="str">
        <f>IFERROR(__xludf.DUMMYFUNCTION("""COMPUTED_VALUE"""),"PhysicalSettlement")</f>
        <v>PhysicalSettlement</v>
      </c>
      <c r="AH4" s="26" t="str">
        <f>IFERROR(__xludf.DUMMYFUNCTION("""COMPUTED_VALUE"""),"Expire")</f>
        <v>Expire</v>
      </c>
      <c r="AI4" s="26" t="str">
        <f>IFERROR(__xludf.DUMMYFUNCTION("""COMPUTED_VALUE"""),"ExerciseAssignment")</f>
        <v>ExerciseAssignment</v>
      </c>
      <c r="AJ4" s="26" t="str">
        <f>IFERROR(__xludf.DUMMYFUNCTION("""COMPUTED_VALUE"""),"ExerciseAssignmentAtZero")</f>
        <v>ExerciseAssignmentAtZero</v>
      </c>
      <c r="AK4" s="26" t="str">
        <f>IFERROR(__xludf.DUMMYFUNCTION("""COMPUTED_VALUE"""),"SwapExpireAndRollover")</f>
        <v>SwapExpireAndRollover</v>
      </c>
      <c r="AL4" s="26" t="str">
        <f>IFERROR(__xludf.DUMMYFUNCTION("""COMPUTED_VALUE"""),"SwapExpire")</f>
        <v>SwapExpire</v>
      </c>
      <c r="AM4" s="26" t="str">
        <f>IFERROR(__xludf.DUMMYFUNCTION("""COMPUTED_VALUE"""),"VerifyExpiredSettledGrid")</f>
        <v>VerifyExpiredSettledGrid</v>
      </c>
      <c r="AN4" s="26" t="str">
        <f>IFERROR(__xludf.DUMMYFUNCTION("""COMPUTED_VALUE"""),"VerifyUnExpiredUnSettledGrid")</f>
        <v>VerifyUnExpiredUnSettledGrid</v>
      </c>
      <c r="AO4" s="26" t="str">
        <f>IFERROR(__xludf.DUMMYFUNCTION("""COMPUTED_VALUE"""),"UnWindTradeSettlement")</f>
        <v>UnWindTradeSettlement</v>
      </c>
      <c r="AP4" s="26" t="str">
        <f>IFERROR(__xludf.DUMMYFUNCTION("""COMPUTED_VALUE"""),"CloseOrder")</f>
        <v>CloseOrder</v>
      </c>
      <c r="AQ4" s="26" t="str">
        <f>IFERROR(__xludf.DUMMYFUNCTION("""COMPUTED_VALUE"""),"VerifyCloseOrder")</f>
        <v>VerifyCloseOrder</v>
      </c>
      <c r="AR4" s="26" t="str">
        <f>IFERROR(__xludf.DUMMYFUNCTION("""COMPUTED_VALUE"""),"UnWindCloseOrder")</f>
        <v>UnWindCloseOrder</v>
      </c>
      <c r="AS4" s="26" t="str">
        <f>IFERROR(__xludf.DUMMYFUNCTION("""COMPUTED_VALUE"""),"ClosingCleanUp")</f>
        <v>ClosingCleanUp</v>
      </c>
      <c r="AT4" s="26" t="str">
        <f>IFERROR(__xludf.DUMMYFUNCTION("""COMPUTED_VALUE"""),"CloseClosingUI")</f>
        <v>CloseClosingUI</v>
      </c>
      <c r="AU4" s="26" t="str">
        <f>IFERROR(__xludf.DUMMYFUNCTION("""COMPUTED_VALUE"""),"EditTradeUnexpiredUnsettled")</f>
        <v>EditTradeUnexpiredUnsettled</v>
      </c>
      <c r="AV4" s="26" t="str">
        <f>IFERROR(__xludf.DUMMYFUNCTION("""COMPUTED_VALUE"""),"SetClosingPreference")</f>
        <v>SetClosingPreference</v>
      </c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IFERROR(__xludf.DUMMYFUNCTION("""COMPUTED_VALUE"""),"AccruedInterest")</f>
        <v>AccruedInterest</v>
      </c>
      <c r="D5" s="28" t="str">
        <f>IFERROR(__xludf.DUMMYFUNCTION("""COMPUTED_VALUE"""),"Analyst")</f>
        <v>Analyst</v>
      </c>
      <c r="E5" s="28" t="str">
        <f>IFERROR(__xludf.DUMMYFUNCTION("""COMPUTED_VALUE"""),"Asset Class")</f>
        <v>Asset Class</v>
      </c>
      <c r="F5" s="29" t="str">
        <f>IFERROR(__xludf.DUMMYFUNCTION("""COMPUTED_VALUE"""),"Asset Derivative")</f>
        <v>Asset Derivative</v>
      </c>
      <c r="G5" s="28" t="str">
        <f>IFERROR(__xludf.DUMMYFUNCTION("""COMPUTED_VALUE"""),"AUECID")</f>
        <v>AUECID</v>
      </c>
      <c r="H5" s="28" t="str">
        <f>IFERROR(__xludf.DUMMYFUNCTION("""COMPUTED_VALUE"""),"AUECModifiedDate")</f>
        <v>AUECModifiedDate</v>
      </c>
      <c r="I5" s="28" t="str">
        <f>IFERROR(__xludf.DUMMYFUNCTION("""COMPUTED_VALUE"""),"Average Price")</f>
        <v>Average Price</v>
      </c>
      <c r="J5" s="28" t="str">
        <f>IFERROR(__xludf.DUMMYFUNCTION("""COMPUTED_VALUE"""),"BloombergSymbol")</f>
        <v>BloombergSymbol</v>
      </c>
      <c r="K5" s="28" t="str">
        <f>IFERROR(__xludf.DUMMYFUNCTION("""COMPUTED_VALUE"""),"Broker")</f>
        <v>Broker</v>
      </c>
      <c r="L5" s="28" t="str">
        <f>IFERROR(__xludf.DUMMYFUNCTION("""COMPUTED_VALUE"""),"CalcBasis")</f>
        <v>CalcBasis</v>
      </c>
      <c r="M5" s="28" t="str">
        <f>IFERROR(__xludf.DUMMYFUNCTION("""COMPUTED_VALUE"""),"CashSettledPrice")</f>
        <v>CashSettledPrice</v>
      </c>
      <c r="N5" s="28" t="str">
        <f>IFERROR(__xludf.DUMMYFUNCTION("""COMPUTED_VALUE"""),"ChangeComment")</f>
        <v>ChangeComment</v>
      </c>
      <c r="O5" s="28" t="str">
        <f>IFERROR(__xludf.DUMMYFUNCTION("""COMPUTED_VALUE"""),"ChangeType")</f>
        <v>ChangeType</v>
      </c>
      <c r="P5" s="28" t="str">
        <f>IFERROR(__xludf.DUMMYFUNCTION("""COMPUTED_VALUE"""),"ClearingBrokerFee")</f>
        <v>ClearingBrokerFee</v>
      </c>
      <c r="Q5" s="28" t="str">
        <f>IFERROR(__xludf.DUMMYFUNCTION("""COMPUTED_VALUE"""),"ClearingFee")</f>
        <v>ClearingFee</v>
      </c>
      <c r="R5" s="28" t="str">
        <f>IFERROR(__xludf.DUMMYFUNCTION("""COMPUTED_VALUE"""),"ClosedTotalCommissionandFees")</f>
        <v>ClosedTotalCommissionandFees</v>
      </c>
      <c r="S5" s="28" t="str">
        <f>IFERROR(__xludf.DUMMYFUNCTION("""COMPUTED_VALUE"""),"ClosingAlgo")</f>
        <v>ClosingAlgo</v>
      </c>
      <c r="T5" s="30" t="str">
        <f>IFERROR(__xludf.DUMMYFUNCTION("""COMPUTED_VALUE"""),"ClosingDate")</f>
        <v>ClosingDate</v>
      </c>
      <c r="U5" s="30" t="str">
        <f>IFERROR(__xludf.DUMMYFUNCTION("""COMPUTED_VALUE"""),"ClosingStatus")</f>
        <v>ClosingStatus</v>
      </c>
      <c r="V5" s="30" t="str">
        <f>IFERROR(__xludf.DUMMYFUNCTION("""COMPUTED_VALUE"""),"Commission")</f>
        <v>Commission</v>
      </c>
      <c r="W5" s="30" t="str">
        <f>IFERROR(__xludf.DUMMYFUNCTION("""COMPUTED_VALUE"""),"CommissionAmt")</f>
        <v>CommissionAmt</v>
      </c>
      <c r="X5" s="30" t="str">
        <f>IFERROR(__xludf.DUMMYFUNCTION("""COMPUTED_VALUE"""),"CommissionRate")</f>
        <v>CommissionRate</v>
      </c>
      <c r="Y5" s="30" t="str">
        <f>IFERROR(__xludf.DUMMYFUNCTION("""COMPUTED_VALUE"""),"CompanyUserName")</f>
        <v>CompanyUserName</v>
      </c>
      <c r="Z5" s="30" t="str">
        <f>IFERROR(__xludf.DUMMYFUNCTION("""COMPUTED_VALUE"""),"ContractMultiplier")</f>
        <v>ContractMultiplier</v>
      </c>
      <c r="AA5" s="30" t="str">
        <f>IFERROR(__xludf.DUMMYFUNCTION("""COMPUTED_VALUE"""),"CountryName")</f>
        <v>CountryName</v>
      </c>
      <c r="AB5" s="30" t="str">
        <f>IFERROR(__xludf.DUMMYFUNCTION("""COMPUTED_VALUE"""),"CountryOfRisk")</f>
        <v>CountryOfRisk</v>
      </c>
      <c r="AC5" s="30" t="str">
        <f>IFERROR(__xludf.DUMMYFUNCTION("""COMPUTED_VALUE"""),"CumQty")</f>
        <v>CumQty</v>
      </c>
      <c r="AD5" s="30" t="str">
        <f>IFERROR(__xludf.DUMMYFUNCTION("""COMPUTED_VALUE"""),"CurrencyID")</f>
        <v>CurrencyID</v>
      </c>
      <c r="AE5" s="30" t="str">
        <f>IFERROR(__xludf.DUMMYFUNCTION("""COMPUTED_VALUE"""),"CurrencyName")</f>
        <v>CurrencyName</v>
      </c>
      <c r="AF5" s="30" t="str">
        <f>IFERROR(__xludf.DUMMYFUNCTION("""COMPUTED_VALUE"""),"CusipSymbol")</f>
        <v>CusipSymbol</v>
      </c>
      <c r="AG5" s="30" t="str">
        <f>IFERROR(__xludf.DUMMYFUNCTION("""COMPUTED_VALUE"""),"CustomUDA1")</f>
        <v>CustomUDA1</v>
      </c>
      <c r="AH5" s="30" t="str">
        <f>IFERROR(__xludf.DUMMYFUNCTION("""COMPUTED_VALUE"""),"CustomUDA2")</f>
        <v>CustomUDA2</v>
      </c>
      <c r="AI5" s="30" t="str">
        <f>IFERROR(__xludf.DUMMYFUNCTION("""COMPUTED_VALUE"""),"CustomUDA3")</f>
        <v>CustomUDA3</v>
      </c>
      <c r="AJ5" s="30" t="str">
        <f>IFERROR(__xludf.DUMMYFUNCTION("""COMPUTED_VALUE"""),"CustomUDA4")</f>
        <v>CustomUDA4</v>
      </c>
      <c r="AK5" s="30" t="str">
        <f>IFERROR(__xludf.DUMMYFUNCTION("""COMPUTED_VALUE"""),"CustomUDA5")</f>
        <v>CustomUDA5</v>
      </c>
      <c r="AL5" s="30" t="str">
        <f>IFERROR(__xludf.DUMMYFUNCTION("""COMPUTED_VALUE"""),"CustomUDA6")</f>
        <v>CustomUDA6</v>
      </c>
      <c r="AM5" s="30" t="str">
        <f>IFERROR(__xludf.DUMMYFUNCTION("""COMPUTED_VALUE"""),"CustomUDA7")</f>
        <v>CustomUDA7</v>
      </c>
      <c r="AN5" s="30" t="str">
        <f>IFERROR(__xludf.DUMMYFUNCTION("""COMPUTED_VALUE"""),"Delta")</f>
        <v>Delta</v>
      </c>
      <c r="AO5" s="30" t="str">
        <f>IFERROR(__xludf.DUMMYFUNCTION("""COMPUTED_VALUE"""),"Description")</f>
        <v>Description</v>
      </c>
      <c r="AP5" s="30" t="str">
        <f>IFERROR(__xludf.DUMMYFUNCTION("""COMPUTED_VALUE"""),"ExchangeName")</f>
        <v>ExchangeName</v>
      </c>
      <c r="AQ5" s="30" t="str">
        <f>IFERROR(__xludf.DUMMYFUNCTION("""COMPUTED_VALUE"""),"ExecutedQty")</f>
        <v>ExecutedQty</v>
      </c>
      <c r="AR5" s="30" t="str">
        <f>IFERROR(__xludf.DUMMYFUNCTION("""COMPUTED_VALUE"""),"ExpirationDate")</f>
        <v>ExpirationDate</v>
      </c>
      <c r="AS5" s="30" t="str">
        <f>IFERROR(__xludf.DUMMYFUNCTION("""COMPUTED_VALUE"""),"ExternalTransID")</f>
        <v>ExternalTransID</v>
      </c>
      <c r="AT5" s="30" t="str">
        <f>IFERROR(__xludf.DUMMYFUNCTION("""COMPUTED_VALUE"""),"FXConversionMethodOperator")</f>
        <v>FXConversionMethodOperator</v>
      </c>
      <c r="AU5" s="30" t="str">
        <f>IFERROR(__xludf.DUMMYFUNCTION("""COMPUTED_VALUE"""),"FXRate")</f>
        <v>FXRate</v>
      </c>
      <c r="AV5" s="30" t="str">
        <f>IFERROR(__xludf.DUMMYFUNCTION("""COMPUTED_VALUE"""),"GroupID")</f>
        <v>GroupID</v>
      </c>
      <c r="AW5" s="30" t="str">
        <f>IFERROR(__xludf.DUMMYFUNCTION("""COMPUTED_VALUE"""),"IDCOSymbol")</f>
        <v>IDCOSymbol</v>
      </c>
      <c r="AX5" s="30" t="str">
        <f>IFERROR(__xludf.DUMMYFUNCTION("""COMPUTED_VALUE"""),"InternalComments")</f>
        <v>InternalComments</v>
      </c>
      <c r="AY5" s="30" t="str">
        <f>IFERROR(__xludf.DUMMYFUNCTION("""COMPUTED_VALUE"""),"IsExerciseAtZero")</f>
        <v>IsExerciseAtZero</v>
      </c>
      <c r="AZ5" s="30" t="str">
        <f>IFERROR(__xludf.DUMMYFUNCTION("""COMPUTED_VALUE"""),"ISINSymbol")</f>
        <v>ISINSymbol</v>
      </c>
      <c r="BA5" s="30" t="str">
        <f>IFERROR(__xludf.DUMMYFUNCTION("""COMPUTED_VALUE"""),"IsNDF")</f>
        <v>IsNDF</v>
      </c>
      <c r="BB5" s="30" t="str">
        <f>IFERROR(__xludf.DUMMYFUNCTION("""COMPUTED_VALUE"""),"IsPosition")</f>
        <v>IsPosition</v>
      </c>
      <c r="BC5" s="30" t="str">
        <f>IFERROR(__xludf.DUMMYFUNCTION("""COMPUTED_VALUE"""),"IsPreAllocated")</f>
        <v>IsPreAllocated</v>
      </c>
      <c r="BD5" s="30" t="str">
        <f>IFERROR(__xludf.DUMMYFUNCTION("""COMPUTED_VALUE"""),"Issuer")</f>
        <v>Issuer</v>
      </c>
      <c r="BE5" s="30" t="str">
        <f>IFERROR(__xludf.DUMMYFUNCTION("""COMPUTED_VALUE"""),"IsSwapped")</f>
        <v>IsSwapped</v>
      </c>
      <c r="BF5" s="30" t="str">
        <f>IFERROR(__xludf.DUMMYFUNCTION("""COMPUTED_VALUE"""),"LeadCurrencyID")</f>
        <v>LeadCurrencyID</v>
      </c>
      <c r="BG5" s="30" t="str">
        <f>IFERROR(__xludf.DUMMYFUNCTION("""COMPUTED_VALUE"""),"LiquidTag")</f>
        <v>LiquidTag</v>
      </c>
      <c r="BH5" s="30" t="str">
        <f>IFERROR(__xludf.DUMMYFUNCTION("""COMPUTED_VALUE"""),"LongOrShort")</f>
        <v>LongOrShort</v>
      </c>
      <c r="BI5" s="30" t="str">
        <f>IFERROR(__xludf.DUMMYFUNCTION("""COMPUTED_VALUE"""),"LotId")</f>
        <v>LotId</v>
      </c>
      <c r="BJ5" s="30" t="str">
        <f>IFERROR(__xludf.DUMMYFUNCTION("""COMPUTED_VALUE"""),"M2MProfitLoss")</f>
        <v>M2MProfitLoss</v>
      </c>
      <c r="BK5" s="30" t="str">
        <f>IFERROR(__xludf.DUMMYFUNCTION("""COMPUTED_VALUE"""),"MarkPrice")</f>
        <v>MarkPrice</v>
      </c>
      <c r="BL5" s="30" t="str">
        <f>IFERROR(__xludf.DUMMYFUNCTION("""COMPUTED_VALUE"""),"MasterFund")</f>
        <v>MasterFund</v>
      </c>
      <c r="BM5" s="30" t="str">
        <f>IFERROR(__xludf.DUMMYFUNCTION("""COMPUTED_VALUE"""),"MiscFees")</f>
        <v>MiscFees</v>
      </c>
      <c r="BN5" s="30" t="str">
        <f>IFERROR(__xludf.DUMMYFUNCTION("""COMPUTED_VALUE"""),"NavLockStatus")</f>
        <v>NavLockStatus</v>
      </c>
      <c r="BO5" s="30" t="str">
        <f>IFERROR(__xludf.DUMMYFUNCTION("""COMPUTED_VALUE"""),"Net Notional")</f>
        <v>Net Notional</v>
      </c>
      <c r="BP5" s="30" t="str">
        <f>IFERROR(__xludf.DUMMYFUNCTION("""COMPUTED_VALUE"""),"NirvanaProcessDate")</f>
        <v>NirvanaProcessDate</v>
      </c>
      <c r="BQ5" s="30" t="str">
        <f>IFERROR(__xludf.DUMMYFUNCTION("""COMPUTED_VALUE"""),"OccFee")</f>
        <v>OccFee</v>
      </c>
      <c r="BR5" s="30" t="str">
        <f>IFERROR(__xludf.DUMMYFUNCTION("""COMPUTED_VALUE"""),"OptionPremiumAdjustment")</f>
        <v>OptionPremiumAdjustment</v>
      </c>
      <c r="BS5" s="30" t="str">
        <f>IFERROR(__xludf.DUMMYFUNCTION("""COMPUTED_VALUE"""),"OrderSideTagValue")</f>
        <v>OrderSideTagValue</v>
      </c>
      <c r="BT5" s="30" t="str">
        <f>IFERROR(__xludf.DUMMYFUNCTION("""COMPUTED_VALUE"""),"OrderType")</f>
        <v>OrderType</v>
      </c>
      <c r="BU5" s="30" t="str">
        <f>IFERROR(__xludf.DUMMYFUNCTION("""COMPUTED_VALUE"""),"OrfFee")</f>
        <v>OrfFee</v>
      </c>
      <c r="BV5" s="30" t="str">
        <f>IFERROR(__xludf.DUMMYFUNCTION("""COMPUTED_VALUE"""),"Original Side")</f>
        <v>Original Side</v>
      </c>
      <c r="BW5" s="30" t="str">
        <f>IFERROR(__xludf.DUMMYFUNCTION("""COMPUTED_VALUE"""),"OriginalPurchase Date")</f>
        <v>OriginalPurchase Date</v>
      </c>
      <c r="BX5" s="30" t="str">
        <f>IFERROR(__xludf.DUMMYFUNCTION("""COMPUTED_VALUE"""),"OSISymbol")</f>
        <v>OSISymbol</v>
      </c>
      <c r="BY5" s="30" t="str">
        <f>IFERROR(__xludf.DUMMYFUNCTION("""COMPUTED_VALUE"""),"OtherBrokerFees")</f>
        <v>OtherBrokerFees</v>
      </c>
      <c r="BZ5" s="30" t="str">
        <f>IFERROR(__xludf.DUMMYFUNCTION("""COMPUTED_VALUE"""),"ParentRowPK")</f>
        <v>ParentRowPK</v>
      </c>
      <c r="CA5" s="30" t="str">
        <f>IFERROR(__xludf.DUMMYFUNCTION("""COMPUTED_VALUE"""),"Percentage")</f>
        <v>Percentage</v>
      </c>
      <c r="CB5" s="30" t="str">
        <f>IFERROR(__xludf.DUMMYFUNCTION("""COMPUTED_VALUE"""),"PositionTag")</f>
        <v>PositionTag</v>
      </c>
      <c r="CC5" s="30" t="str">
        <f>IFERROR(__xludf.DUMMYFUNCTION("""COMPUTED_VALUE"""),"PositionType")</f>
        <v>PositionType</v>
      </c>
      <c r="CD5" s="30" t="str">
        <f>IFERROR(__xludf.DUMMYFUNCTION("""COMPUTED_VALUE"""),"Process Date")</f>
        <v>Process Date</v>
      </c>
      <c r="CE5" s="30" t="str">
        <f>IFERROR(__xludf.DUMMYFUNCTION("""COMPUTED_VALUE"""),"ProxySymbol")</f>
        <v>ProxySymbol</v>
      </c>
      <c r="CF5" s="30" t="str">
        <f>IFERROR(__xludf.DUMMYFUNCTION("""COMPUTED_VALUE"""),"PutOrCall")</f>
        <v>PutOrCall</v>
      </c>
      <c r="CG5" s="30" t="str">
        <f>IFERROR(__xludf.DUMMYFUNCTION("""COMPUTED_VALUE"""),"Quantity")</f>
        <v>Quantity</v>
      </c>
      <c r="CH5" s="30" t="str">
        <f>IFERROR(__xludf.DUMMYFUNCTION("""COMPUTED_VALUE"""),"Region")</f>
        <v>Region</v>
      </c>
      <c r="CI5" s="30" t="str">
        <f>IFERROR(__xludf.DUMMYFUNCTION("""COMPUTED_VALUE"""),"ReutersSymbol")</f>
        <v>ReutersSymbol</v>
      </c>
      <c r="CJ5" s="30" t="str">
        <f>IFERROR(__xludf.DUMMYFUNCTION("""COMPUTED_VALUE"""),"RiskCurrency")</f>
        <v>RiskCurrency</v>
      </c>
      <c r="CK5" s="30" t="str">
        <f>IFERROR(__xludf.DUMMYFUNCTION("""COMPUTED_VALUE"""),"SecFee")</f>
        <v>SecFee</v>
      </c>
      <c r="CL5" s="30" t="str">
        <f>IFERROR(__xludf.DUMMYFUNCTION("""COMPUTED_VALUE"""),"SectorName")</f>
        <v>SectorName</v>
      </c>
      <c r="CM5" s="30" t="str">
        <f>IFERROR(__xludf.DUMMYFUNCTION("""COMPUTED_VALUE"""),"Security Name")</f>
        <v>Security Name</v>
      </c>
      <c r="CN5" s="30" t="str">
        <f>IFERROR(__xludf.DUMMYFUNCTION("""COMPUTED_VALUE"""),"SecurityTypeName")</f>
        <v>SecurityTypeName</v>
      </c>
      <c r="CO5" s="30" t="str">
        <f>IFERROR(__xludf.DUMMYFUNCTION("""COMPUTED_VALUE"""),"SedolSymbol")</f>
        <v>SedolSymbol</v>
      </c>
      <c r="CP5" s="30" t="str">
        <f>IFERROR(__xludf.DUMMYFUNCTION("""COMPUTED_VALUE"""),"SettlCurrAmt")</f>
        <v>SettlCurrAmt</v>
      </c>
      <c r="CQ5" s="30" t="str">
        <f>IFERROR(__xludf.DUMMYFUNCTION("""COMPUTED_VALUE"""),"SettlCurrFxRate")</f>
        <v>SettlCurrFxRate</v>
      </c>
      <c r="CR5" s="30" t="str">
        <f>IFERROR(__xludf.DUMMYFUNCTION("""COMPUTED_VALUE"""),"SettlCurrFxRateCalc")</f>
        <v>SettlCurrFxRateCalc</v>
      </c>
      <c r="CS5" s="30" t="str">
        <f>IFERROR(__xludf.DUMMYFUNCTION("""COMPUTED_VALUE"""),"SettlCurrUnitCost")</f>
        <v>SettlCurrUnitCost</v>
      </c>
      <c r="CT5" s="30" t="str">
        <f>IFERROR(__xludf.DUMMYFUNCTION("""COMPUTED_VALUE"""),"Settlement Mode")</f>
        <v>Settlement Mode</v>
      </c>
      <c r="CU5" s="30" t="str">
        <f>IFERROR(__xludf.DUMMYFUNCTION("""COMPUTED_VALUE"""),"Settlement Qty")</f>
        <v>Settlement Qty</v>
      </c>
      <c r="CV5" s="30" t="str">
        <f>IFERROR(__xludf.DUMMYFUNCTION("""COMPUTED_VALUE"""),"SettlementCurrencyID")</f>
        <v>SettlementCurrencyID</v>
      </c>
      <c r="CW5" s="30" t="str">
        <f>IFERROR(__xludf.DUMMYFUNCTION("""COMPUTED_VALUE"""),"SettlementDate")</f>
        <v>SettlementDate</v>
      </c>
      <c r="CX5" s="30" t="str">
        <f>IFERROR(__xludf.DUMMYFUNCTION("""COMPUTED_VALUE"""),"SideMultiplier")</f>
        <v>SideMultiplier</v>
      </c>
      <c r="CY5" s="30" t="str">
        <f>IFERROR(__xludf.DUMMYFUNCTION("""COMPUTED_VALUE"""),"SoftCommission")</f>
        <v>SoftCommission</v>
      </c>
      <c r="CZ5" s="30" t="str">
        <f>IFERROR(__xludf.DUMMYFUNCTION("""COMPUTED_VALUE"""),"SoftCommissionAmt")</f>
        <v>SoftCommissionAmt</v>
      </c>
      <c r="DA5" s="30" t="str">
        <f>IFERROR(__xludf.DUMMYFUNCTION("""COMPUTED_VALUE"""),"SoftCommissionCalcBasis")</f>
        <v>SoftCommissionCalcBasis</v>
      </c>
      <c r="DB5" s="30" t="str">
        <f>IFERROR(__xludf.DUMMYFUNCTION("""COMPUTED_VALUE"""),"SoftCommissionRate")</f>
        <v>SoftCommissionRate</v>
      </c>
      <c r="DC5" s="30" t="str">
        <f>IFERROR(__xludf.DUMMYFUNCTION("""COMPUTED_VALUE"""),"StampDuty")</f>
        <v>StampDuty</v>
      </c>
      <c r="DD5" s="30" t="str">
        <f>IFERROR(__xludf.DUMMYFUNCTION("""COMPUTED_VALUE"""),"Strategy")</f>
        <v>Strategy</v>
      </c>
      <c r="DE5" s="30" t="str">
        <f>IFERROR(__xludf.DUMMYFUNCTION("""COMPUTED_VALUE"""),"Strike Price")</f>
        <v>Strike Price</v>
      </c>
      <c r="DF5" s="30" t="str">
        <f>IFERROR(__xludf.DUMMYFUNCTION("""COMPUTED_VALUE"""),"SubSectorName")</f>
        <v>SubSectorName</v>
      </c>
      <c r="DG5" s="30" t="str">
        <f>IFERROR(__xludf.DUMMYFUNCTION("""COMPUTED_VALUE"""),"SwapParameters")</f>
        <v>SwapParameters</v>
      </c>
      <c r="DH5" s="30" t="str">
        <f>IFERROR(__xludf.DUMMYFUNCTION("""COMPUTED_VALUE"""),"Symbol")</f>
        <v>Symbol</v>
      </c>
      <c r="DI5" s="30" t="str">
        <f>IFERROR(__xludf.DUMMYFUNCTION("""COMPUTED_VALUE"""),"TaxlotClosingId")</f>
        <v>TaxlotClosingId</v>
      </c>
      <c r="DJ5" s="30" t="str">
        <f>IFERROR(__xludf.DUMMYFUNCTION("""COMPUTED_VALUE"""),"TaxLotID")</f>
        <v>TaxLotID</v>
      </c>
      <c r="DK5" s="30" t="str">
        <f>IFERROR(__xludf.DUMMYFUNCTION("""COMPUTED_VALUE"""),"TaxlotPk")</f>
        <v>TaxlotPk</v>
      </c>
      <c r="DL5" s="30" t="str">
        <f>IFERROR(__xludf.DUMMYFUNCTION("""COMPUTED_VALUE"""),"TaxLotQtyToClose")</f>
        <v>TaxLotQtyToClose</v>
      </c>
      <c r="DM5" s="30" t="str">
        <f>IFERROR(__xludf.DUMMYFUNCTION("""COMPUTED_VALUE"""),"TaxonCommissions")</f>
        <v>TaxonCommissions</v>
      </c>
      <c r="DN5" s="30" t="str">
        <f>IFERROR(__xludf.DUMMYFUNCTION("""COMPUTED_VALUE"""),"TimeOfSaveUTC")</f>
        <v>TimeOfSaveUTC</v>
      </c>
      <c r="DO5" s="30" t="str">
        <f>IFERROR(__xludf.DUMMYFUNCTION("""COMPUTED_VALUE"""),"TotalCommission&amp;Fees")</f>
        <v>TotalCommission&amp;Fees</v>
      </c>
      <c r="DP5" s="30" t="str">
        <f>IFERROR(__xludf.DUMMYFUNCTION("""COMPUTED_VALUE"""),"TotalCommissionandFees")</f>
        <v>TotalCommissionandFees</v>
      </c>
      <c r="DQ5" s="30" t="str">
        <f>IFERROR(__xludf.DUMMYFUNCTION("""COMPUTED_VALUE"""),"Tradedate")</f>
        <v>Tradedate</v>
      </c>
      <c r="DR5" s="30" t="str">
        <f>IFERROR(__xludf.DUMMYFUNCTION("""COMPUTED_VALUE"""),"TradeAttribute1")</f>
        <v>TradeAttribute1</v>
      </c>
      <c r="DS5" s="30" t="str">
        <f>IFERROR(__xludf.DUMMYFUNCTION("""COMPUTED_VALUE"""),"TradeAttribute2")</f>
        <v>TradeAttribute2</v>
      </c>
      <c r="DT5" s="30" t="str">
        <f>IFERROR(__xludf.DUMMYFUNCTION("""COMPUTED_VALUE"""),"TradeAttribute3")</f>
        <v>TradeAttribute3</v>
      </c>
      <c r="DU5" s="30" t="str">
        <f>IFERROR(__xludf.DUMMYFUNCTION("""COMPUTED_VALUE"""),"TradeAttribute4")</f>
        <v>TradeAttribute4</v>
      </c>
      <c r="DV5" s="30" t="str">
        <f>IFERROR(__xludf.DUMMYFUNCTION("""COMPUTED_VALUE"""),"TradeAttribute5")</f>
        <v>TradeAttribute5</v>
      </c>
      <c r="DW5" s="30" t="str">
        <f>IFERROR(__xludf.DUMMYFUNCTION("""COMPUTED_VALUE"""),"TradeAttribute6")</f>
        <v>TradeAttribute6</v>
      </c>
      <c r="DX5" s="30" t="str">
        <f>IFERROR(__xludf.DUMMYFUNCTION("""COMPUTED_VALUE"""),"TradingAccountName")</f>
        <v>TradingAccountName</v>
      </c>
      <c r="DY5" s="30" t="str">
        <f>IFERROR(__xludf.DUMMYFUNCTION("""COMPUTED_VALUE"""),"TransactionLevy")</f>
        <v>TransactionLevy</v>
      </c>
      <c r="DZ5" s="30" t="str">
        <f>IFERROR(__xludf.DUMMYFUNCTION("""COMPUTED_VALUE"""),"TransactionType")</f>
        <v>TransactionType</v>
      </c>
      <c r="EA5" s="30" t="str">
        <f>IFERROR(__xludf.DUMMYFUNCTION("""COMPUTED_VALUE"""),"UcitsEligibleTag")</f>
        <v>UcitsEligibleTag</v>
      </c>
      <c r="EB5" s="30" t="str">
        <f>IFERROR(__xludf.DUMMYFUNCTION("""COMPUTED_VALUE"""),"UDAAsset")</f>
        <v>UDAAsset</v>
      </c>
      <c r="EC5" s="30" t="str">
        <f>IFERROR(__xludf.DUMMYFUNCTION("""COMPUTED_VALUE"""),"UnderlyingDelta")</f>
        <v>UnderlyingDelta</v>
      </c>
      <c r="ED5" s="30" t="str">
        <f>IFERROR(__xludf.DUMMYFUNCTION("""COMPUTED_VALUE"""),"UnderlyingName")</f>
        <v>UnderlyingName</v>
      </c>
      <c r="EE5" s="30" t="str">
        <f>IFERROR(__xludf.DUMMYFUNCTION("""COMPUTED_VALUE"""),"UnderlyingSymbol")</f>
        <v>UnderlyingSymbol</v>
      </c>
      <c r="EF5" s="30" t="str">
        <f>IFERROR(__xludf.DUMMYFUNCTION("""COMPUTED_VALUE"""),"UnitCost")</f>
        <v>UnitCost</v>
      </c>
      <c r="EG5" s="30" t="str">
        <f>IFERROR(__xludf.DUMMYFUNCTION("""COMPUTED_VALUE"""),"UnRealizedPNL")</f>
        <v>UnRealizedPNL</v>
      </c>
      <c r="EH5" s="30" t="str">
        <f>IFERROR(__xludf.DUMMYFUNCTION("""COMPUTED_VALUE"""),"Venue")</f>
        <v>Venue</v>
      </c>
      <c r="EI5" s="30" t="str">
        <f>IFERROR(__xludf.DUMMYFUNCTION("""COMPUTED_VALUE"""),"VsCurrencyID")</f>
        <v>VsCurrencyID</v>
      </c>
      <c r="EJ5" s="30" t="str">
        <f>IFERROR(__xludf.DUMMYFUNCTION("""COMPUTED_VALUE"""),"WorkflowState")</f>
        <v>WorkflowState</v>
      </c>
      <c r="EK5" s="30" t="str">
        <f>IFERROR(__xludf.DUMMYFUNCTION("""COMPUTED_VALUE"""),"AvgPriceBase")</f>
        <v>AvgPriceBase</v>
      </c>
      <c r="EL5" s="30" t="str">
        <f>IFERROR(__xludf.DUMMYFUNCTION("""COMPUTED_VALUE"""),"MarketCap")</f>
        <v>MarketCap</v>
      </c>
      <c r="EM5" s="30" t="str">
        <f>IFERROR(__xludf.DUMMYFUNCTION("""COMPUTED_VALUE"""),"UnitCostBase")</f>
        <v>UnitCostBase</v>
      </c>
      <c r="EN5" s="30" t="str">
        <f>IFERROR(__xludf.DUMMYFUNCTION("""COMPUTED_VALUE"""),"ITM/OTM")</f>
        <v>ITM/OTM</v>
      </c>
      <c r="EO5" s="30" t="str">
        <f>IFERROR(__xludf.DUMMYFUNCTION("""COMPUTED_VALUE"""),"Days to Expiry")</f>
        <v>Days to Expiry</v>
      </c>
      <c r="EP5" s="30" t="str">
        <f>IFERROR(__xludf.DUMMYFUNCTION("""COMPUTED_VALUE"""),"% of Underlying Price")</f>
        <v>% of Underlying Price</v>
      </c>
      <c r="EQ5" s="30" t="str">
        <f>IFERROR(__xludf.DUMMYFUNCTION("""COMPUTED_VALUE"""),"Intrinsic value")</f>
        <v>Intrinsic value</v>
      </c>
      <c r="ER5" s="30" t="str">
        <f>IFERROR(__xludf.DUMMYFUNCTION("""COMPUTED_VALUE"""),"Gain/Loss if Ex./Assign")</f>
        <v>Gain/Loss if Ex./Assign</v>
      </c>
      <c r="ES5" s="30"/>
      <c r="ET5" s="30"/>
      <c r="EU5" s="30"/>
      <c r="EV5" s="30"/>
      <c r="EW5" s="30"/>
      <c r="EX5" s="30"/>
    </row>
    <row r="6" ht="15.75" customHeight="1">
      <c r="A6" s="37"/>
      <c r="B6" s="37" t="s">
        <v>23</v>
      </c>
      <c r="C6" s="38"/>
      <c r="D6" s="37"/>
      <c r="E6" s="38"/>
      <c r="F6" s="38"/>
      <c r="G6" s="38"/>
      <c r="H6" s="38"/>
      <c r="I6" s="38"/>
      <c r="J6" s="38"/>
      <c r="K6" s="38" t="s">
        <v>24</v>
      </c>
      <c r="L6" s="38"/>
      <c r="M6" s="38"/>
      <c r="N6" s="38"/>
      <c r="O6" s="38"/>
      <c r="P6" s="38"/>
      <c r="Q6" s="38"/>
      <c r="R6" s="38"/>
      <c r="S6" s="38"/>
      <c r="T6" s="38"/>
      <c r="U6" s="38" t="s">
        <v>34</v>
      </c>
      <c r="V6" s="38"/>
      <c r="W6" s="38"/>
      <c r="X6" s="38"/>
      <c r="Y6" s="38"/>
      <c r="Z6" s="38"/>
      <c r="AA6" s="38"/>
      <c r="AB6" s="38"/>
      <c r="AC6" s="38"/>
      <c r="AD6" s="38"/>
      <c r="AE6" s="38"/>
      <c r="AF6" s="38"/>
      <c r="AG6" s="38"/>
      <c r="AH6" s="38"/>
      <c r="AI6" s="38"/>
      <c r="AJ6" s="38"/>
      <c r="AK6" s="38"/>
      <c r="AL6" s="38"/>
      <c r="AM6" s="38"/>
      <c r="AN6" s="38"/>
      <c r="AO6" s="38"/>
      <c r="AP6" s="38"/>
      <c r="AQ6" s="42">
        <v>10.0</v>
      </c>
      <c r="AR6" s="38"/>
      <c r="AS6" s="38"/>
      <c r="AT6" s="38"/>
      <c r="AU6" s="38"/>
      <c r="AV6" s="38"/>
      <c r="AW6" s="38"/>
      <c r="AX6" s="38"/>
      <c r="AY6" s="38"/>
      <c r="AZ6" s="38"/>
      <c r="BA6" s="38"/>
      <c r="BB6" s="38"/>
      <c r="BC6" s="38"/>
      <c r="BD6" s="38"/>
      <c r="BE6" s="38"/>
      <c r="BF6" s="38"/>
      <c r="BG6" s="38"/>
      <c r="BH6" s="38"/>
      <c r="BI6" s="38"/>
      <c r="BJ6" s="38"/>
      <c r="BK6" s="38"/>
      <c r="BL6" s="38"/>
      <c r="BM6" s="38"/>
      <c r="BN6" s="38"/>
      <c r="BO6" s="38"/>
      <c r="BP6" s="38"/>
      <c r="BQ6" s="38"/>
      <c r="BR6" s="38"/>
      <c r="BS6" s="38"/>
      <c r="BT6" s="38"/>
      <c r="BU6" s="38"/>
      <c r="BV6" s="38" t="s">
        <v>27</v>
      </c>
      <c r="BW6" s="38"/>
      <c r="BX6" s="38"/>
      <c r="BY6" s="38"/>
      <c r="BZ6" s="38"/>
      <c r="CA6" s="38"/>
      <c r="CB6" s="38"/>
      <c r="CC6" s="38"/>
      <c r="CD6" s="38"/>
      <c r="CE6" s="38"/>
      <c r="CF6" s="38"/>
      <c r="CG6" s="42">
        <v>10.0</v>
      </c>
      <c r="CH6" s="38"/>
      <c r="CI6" s="38"/>
      <c r="CJ6" s="38"/>
      <c r="CK6" s="38"/>
      <c r="CL6" s="38"/>
      <c r="CM6" s="38"/>
      <c r="CN6" s="38"/>
      <c r="CO6" s="38"/>
      <c r="CP6" s="38"/>
      <c r="CQ6" s="38"/>
      <c r="CR6" s="38"/>
      <c r="CS6" s="38"/>
      <c r="CT6" s="38"/>
      <c r="CU6" s="38"/>
      <c r="CV6" s="38"/>
      <c r="CW6" s="38"/>
      <c r="CX6" s="38"/>
      <c r="CY6" s="38"/>
      <c r="CZ6" s="38"/>
      <c r="DA6" s="38"/>
      <c r="DB6" s="38"/>
      <c r="DC6" s="38"/>
      <c r="DD6" s="38"/>
      <c r="DE6" s="38"/>
      <c r="DF6" s="38"/>
      <c r="DG6" s="38"/>
      <c r="DH6" s="43" t="s">
        <v>16</v>
      </c>
      <c r="DI6" s="38"/>
      <c r="DJ6" s="38"/>
      <c r="DK6" s="38"/>
      <c r="DL6" s="38"/>
      <c r="DM6" s="38"/>
      <c r="DN6" s="38"/>
      <c r="DO6" s="38"/>
      <c r="DP6" s="38"/>
      <c r="DQ6" s="38"/>
      <c r="DR6" s="38"/>
      <c r="DS6" s="38"/>
      <c r="DT6" s="38"/>
      <c r="DU6" s="38"/>
      <c r="DV6" s="38"/>
      <c r="DW6" s="38"/>
      <c r="DX6" s="38"/>
      <c r="DY6" s="38"/>
      <c r="DZ6" s="38"/>
      <c r="EA6" s="38"/>
      <c r="EB6" s="38"/>
      <c r="EC6" s="38"/>
      <c r="ED6" s="38"/>
      <c r="EE6" s="38"/>
      <c r="EF6" s="38"/>
      <c r="EG6" s="38"/>
      <c r="EH6" s="38"/>
      <c r="EI6" s="38"/>
      <c r="EJ6" s="38"/>
      <c r="EK6" s="38"/>
      <c r="EL6" s="38"/>
      <c r="EM6" s="38"/>
      <c r="EN6" s="38"/>
      <c r="EO6" s="38"/>
      <c r="EP6" s="38"/>
      <c r="EQ6" s="38"/>
      <c r="ER6" s="38"/>
      <c r="ES6" s="38"/>
      <c r="ET6" s="38"/>
      <c r="EU6" s="38"/>
      <c r="EV6" s="38"/>
      <c r="EW6" s="38"/>
      <c r="EX6" s="3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SelectTradeUnexpiredUnsettled!$4:$4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17</v>
      </c>
      <c r="D3" s="5" t="s">
        <v>9</v>
      </c>
      <c r="E3" s="23" t="s">
        <v>35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IFERROR(__xludf.DUMMYFUNCTION("IF(C3="""","""",Transpose(IMPORTRANGE('_Settings'!$B$3,C3&amp;""!A4:A1000"")))"),"FilterClosing")</f>
        <v>FilterClosing</v>
      </c>
      <c r="C4" s="25" t="str">
        <f>IFERROR(__xludf.DUMMYFUNCTION("""COMPUTED_VALUE"""),"UnwindAllClosingData")</f>
        <v>UnwindAllClosingData</v>
      </c>
      <c r="D4" s="25" t="str">
        <f>IFERROR(__xludf.DUMMYFUNCTION("""COMPUTED_VALUE"""),"FilterExpiredGrid")</f>
        <v>FilterExpiredGrid</v>
      </c>
      <c r="E4" s="25" t="str">
        <f>IFERROR(__xludf.DUMMYFUNCTION("""COMPUTED_VALUE"""),"FilterUnexpiredGrid")</f>
        <v>FilterUnexpiredGrid</v>
      </c>
      <c r="F4" s="25" t="str">
        <f>IFERROR(__xludf.DUMMYFUNCTION("""COMPUTED_VALUE"""),"FilterClosingGrid")</f>
        <v>FilterClosingGrid</v>
      </c>
      <c r="G4" s="25" t="str">
        <f>IFERROR(__xludf.DUMMYFUNCTION("""COMPUTED_VALUE"""),"FilterShortPositionGrid")</f>
        <v>FilterShortPositionGrid</v>
      </c>
      <c r="H4" s="25" t="str">
        <f>IFERROR(__xludf.DUMMYFUNCTION("""COMPUTED_VALUE"""),"FilterLongPositionGrid")</f>
        <v>FilterLongPositionGrid</v>
      </c>
      <c r="I4" s="25" t="str">
        <f>IFERROR(__xludf.DUMMYFUNCTION("""COMPUTED_VALUE"""),"SaveCTData")</f>
        <v>SaveCTData</v>
      </c>
      <c r="J4" s="25" t="str">
        <f>IFERROR(__xludf.DUMMYFUNCTION("""COMPUTED_VALUE"""),"ExerciseAssignmentWithOutSave")</f>
        <v>ExerciseAssignmentWithOutSave</v>
      </c>
      <c r="K4" s="25" t="str">
        <f>IFERROR(__xludf.DUMMYFUNCTION("""COMPUTED_VALUE"""),"VerifyCTData")</f>
        <v>VerifyCTData</v>
      </c>
      <c r="L4" s="25" t="str">
        <f>IFERROR(__xludf.DUMMYFUNCTION("""COMPUTED_VALUE"""),"SelectAccountWiseAsset")</f>
        <v>SelectAccountWiseAsset</v>
      </c>
      <c r="M4" s="25" t="str">
        <f>IFERROR(__xludf.DUMMYFUNCTION("""COMPUTED_VALUE"""),"RunTemplate")</f>
        <v>RunTemplate</v>
      </c>
      <c r="N4" s="25" t="str">
        <f>IFERROR(__xludf.DUMMYFUNCTION("""COMPUTED_VALUE"""),"DeleteTemplate")</f>
        <v>DeleteTemplate</v>
      </c>
      <c r="O4" s="25" t="str">
        <f>IFERROR(__xludf.DUMMYFUNCTION("""COMPUTED_VALUE"""),"EditTemplate")</f>
        <v>EditTemplate</v>
      </c>
      <c r="P4" s="26" t="str">
        <f>IFERROR(__xludf.DUMMYFUNCTION("""COMPUTED_VALUE"""),"CreateUnwindingTemplate")</f>
        <v>CreateUnwindingTemplate</v>
      </c>
      <c r="Q4" s="26" t="str">
        <f>IFERROR(__xludf.DUMMYFUNCTION("""COMPUTED_VALUE"""),"CreateClosingTemplate")</f>
        <v>CreateClosingTemplate</v>
      </c>
      <c r="R4" s="26" t="str">
        <f>IFERROR(__xludf.DUMMYFUNCTION("""COMPUTED_VALUE"""),"PreviewDataWithFilters")</f>
        <v>PreviewDataWithFilters</v>
      </c>
      <c r="S4" s="26" t="str">
        <f>IFERROR(__xludf.DUMMYFUNCTION("""COMPUTED_VALUE"""),"ManualCloseOrder")</f>
        <v>ManualCloseOrder</v>
      </c>
      <c r="T4" s="26" t="str">
        <f>IFERROR(__xludf.DUMMYFUNCTION("""COMPUTED_VALUE"""),"EditMultipleCloseQuantity")</f>
        <v>EditMultipleCloseQuantity</v>
      </c>
      <c r="U4" s="26" t="str">
        <f>IFERROR(__xludf.DUMMYFUNCTION("""COMPUTED_VALUE"""),"AutoExercise")</f>
        <v>AutoExercise</v>
      </c>
      <c r="V4" s="26" t="str">
        <f>IFERROR(__xludf.DUMMYFUNCTION("""COMPUTED_VALUE"""),"SwapExpire")</f>
        <v>SwapExpire</v>
      </c>
      <c r="W4" s="26" t="str">
        <f>IFERROR(__xludf.DUMMYFUNCTION("""COMPUTED_VALUE"""),"GetDataClosing")</f>
        <v>GetDataClosing</v>
      </c>
      <c r="X4" s="26" t="str">
        <f>IFERROR(__xludf.DUMMYFUNCTION("""COMPUTED_VALUE"""),"ManualClosing")</f>
        <v>ManualClosing</v>
      </c>
      <c r="Y4" s="26" t="str">
        <f>IFERROR(__xludf.DUMMYFUNCTION("""COMPUTED_VALUE"""),"AutomaticClosing")</f>
        <v>AutomaticClosing</v>
      </c>
      <c r="Z4" s="26" t="str">
        <f>IFERROR(__xludf.DUMMYFUNCTION("""COMPUTED_VALUE"""),"UnwindClosing")</f>
        <v>UnwindClosing</v>
      </c>
      <c r="AA4" s="26" t="str">
        <f>IFERROR(__xludf.DUMMYFUNCTION("""COMPUTED_VALUE"""),"VerifyClosedTrades")</f>
        <v>VerifyClosedTrades</v>
      </c>
      <c r="AB4" s="26" t="str">
        <f>IFERROR(__xludf.DUMMYFUNCTION("""COMPUTED_VALUE"""),"VerifyLongPositionsGrid")</f>
        <v>VerifyLongPositionsGrid</v>
      </c>
      <c r="AC4" s="26" t="str">
        <f>IFERROR(__xludf.DUMMYFUNCTION("""COMPUTED_VALUE"""),"VerifyShortPositionsGrid")</f>
        <v>VerifyShortPositionsGrid</v>
      </c>
      <c r="AD4" s="26" t="str">
        <f>IFERROR(__xludf.DUMMYFUNCTION("""COMPUTED_VALUE"""),"CashSettlementAtCost")</f>
        <v>CashSettlementAtCost</v>
      </c>
      <c r="AE4" s="26" t="str">
        <f>IFERROR(__xludf.DUMMYFUNCTION("""COMPUTED_VALUE"""),"SelectTradeUnexpiredUnsettled")</f>
        <v>SelectTradeUnexpiredUnsettled</v>
      </c>
      <c r="AF4" s="26" t="str">
        <f>IFERROR(__xludf.DUMMYFUNCTION("""COMPUTED_VALUE"""),"CashSettlementAtClosingDtSpotPx")</f>
        <v>CashSettlementAtClosingDtSpotPx</v>
      </c>
      <c r="AG4" s="26" t="str">
        <f>IFERROR(__xludf.DUMMYFUNCTION("""COMPUTED_VALUE"""),"PhysicalSettlement")</f>
        <v>PhysicalSettlement</v>
      </c>
      <c r="AH4" s="26" t="str">
        <f>IFERROR(__xludf.DUMMYFUNCTION("""COMPUTED_VALUE"""),"Expire")</f>
        <v>Expire</v>
      </c>
      <c r="AI4" s="26" t="str">
        <f>IFERROR(__xludf.DUMMYFUNCTION("""COMPUTED_VALUE"""),"ExerciseAssignment")</f>
        <v>ExerciseAssignment</v>
      </c>
      <c r="AJ4" s="26" t="str">
        <f>IFERROR(__xludf.DUMMYFUNCTION("""COMPUTED_VALUE"""),"ExerciseAssignmentAtZero")</f>
        <v>ExerciseAssignmentAtZero</v>
      </c>
      <c r="AK4" s="26" t="str">
        <f>IFERROR(__xludf.DUMMYFUNCTION("""COMPUTED_VALUE"""),"SwapExpireAndRollover")</f>
        <v>SwapExpireAndRollover</v>
      </c>
      <c r="AL4" s="26" t="str">
        <f>IFERROR(__xludf.DUMMYFUNCTION("""COMPUTED_VALUE"""),"SwapExpire")</f>
        <v>SwapExpire</v>
      </c>
      <c r="AM4" s="26" t="str">
        <f>IFERROR(__xludf.DUMMYFUNCTION("""COMPUTED_VALUE"""),"VerifyExpiredSettledGrid")</f>
        <v>VerifyExpiredSettledGrid</v>
      </c>
      <c r="AN4" s="26" t="str">
        <f>IFERROR(__xludf.DUMMYFUNCTION("""COMPUTED_VALUE"""),"VerifyUnExpiredUnSettledGrid")</f>
        <v>VerifyUnExpiredUnSettledGrid</v>
      </c>
      <c r="AO4" s="26" t="str">
        <f>IFERROR(__xludf.DUMMYFUNCTION("""COMPUTED_VALUE"""),"UnWindTradeSettlement")</f>
        <v>UnWindTradeSettlement</v>
      </c>
      <c r="AP4" s="26" t="str">
        <f>IFERROR(__xludf.DUMMYFUNCTION("""COMPUTED_VALUE"""),"CloseOrder")</f>
        <v>CloseOrder</v>
      </c>
      <c r="AQ4" s="26" t="str">
        <f>IFERROR(__xludf.DUMMYFUNCTION("""COMPUTED_VALUE"""),"VerifyCloseOrder")</f>
        <v>VerifyCloseOrder</v>
      </c>
      <c r="AR4" s="26" t="str">
        <f>IFERROR(__xludf.DUMMYFUNCTION("""COMPUTED_VALUE"""),"UnWindCloseOrder")</f>
        <v>UnWindCloseOrder</v>
      </c>
      <c r="AS4" s="26" t="str">
        <f>IFERROR(__xludf.DUMMYFUNCTION("""COMPUTED_VALUE"""),"ClosingCleanUp")</f>
        <v>ClosingCleanUp</v>
      </c>
      <c r="AT4" s="26" t="str">
        <f>IFERROR(__xludf.DUMMYFUNCTION("""COMPUTED_VALUE"""),"CloseClosingUI")</f>
        <v>CloseClosingUI</v>
      </c>
      <c r="AU4" s="26" t="str">
        <f>IFERROR(__xludf.DUMMYFUNCTION("""COMPUTED_VALUE"""),"EditTradeUnexpiredUnsettled")</f>
        <v>EditTradeUnexpiredUnsettled</v>
      </c>
      <c r="AV4" s="26" t="str">
        <f>IFERROR(__xludf.DUMMYFUNCTION("""COMPUTED_VALUE"""),"SetClosingPreference")</f>
        <v>SetClosingPreference</v>
      </c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IFERROR(__xludf.DUMMYFUNCTION("""COMPUTED_VALUE"""),"AccountValue")</f>
        <v>AccountValue</v>
      </c>
      <c r="D5" s="28" t="str">
        <f>IFERROR(__xludf.DUMMYFUNCTION("""COMPUTED_VALUE"""),"AccruedInterest")</f>
        <v>AccruedInterest</v>
      </c>
      <c r="E5" s="28" t="str">
        <f>IFERROR(__xludf.DUMMYFUNCTION("""COMPUTED_VALUE"""),"Asset")</f>
        <v>Asset</v>
      </c>
      <c r="F5" s="29" t="str">
        <f>IFERROR(__xludf.DUMMYFUNCTION("""COMPUTED_VALUE"""),"AUEC Fee1")</f>
        <v>AUEC Fee1</v>
      </c>
      <c r="G5" s="28" t="str">
        <f>IFERROR(__xludf.DUMMYFUNCTION("""COMPUTED_VALUE"""),"AUCE Fee2")</f>
        <v>AUCE Fee2</v>
      </c>
      <c r="H5" s="28" t="str">
        <f>IFERROR(__xludf.DUMMYFUNCTION("""COMPUTED_VALUE"""),"AUECID")</f>
        <v>AUECID</v>
      </c>
      <c r="I5" s="28" t="str">
        <f>IFERROR(__xludf.DUMMYFUNCTION("""COMPUTED_VALUE"""),"AUECLocalDateToday")</f>
        <v>AUECLocalDateToday</v>
      </c>
      <c r="J5" s="28" t="str">
        <f>IFERROR(__xludf.DUMMYFUNCTION("""COMPUTED_VALUE"""),"Average Price")</f>
        <v>Average Price</v>
      </c>
      <c r="K5" s="28" t="str">
        <f>IFERROR(__xludf.DUMMYFUNCTION("""COMPUTED_VALUE"""),"AvgPriceRealizedPL")</f>
        <v>AvgPriceRealizedPL</v>
      </c>
      <c r="L5" s="28" t="str">
        <f>IFERROR(__xludf.DUMMYFUNCTION("""COMPUTED_VALUE"""),"Broker")</f>
        <v>Broker</v>
      </c>
      <c r="M5" s="28" t="str">
        <f>IFERROR(__xludf.DUMMYFUNCTION("""COMPUTED_VALUE"""),"Clearing Broker Fee")</f>
        <v>Clearing Broker Fee</v>
      </c>
      <c r="N5" s="28" t="str">
        <f>IFERROR(__xludf.DUMMYFUNCTION("""COMPUTED_VALUE"""),"ClosedQty")</f>
        <v>ClosedQty</v>
      </c>
      <c r="O5" s="28" t="str">
        <f>IFERROR(__xludf.DUMMYFUNCTION("""COMPUTED_VALUE"""),"Commission")</f>
        <v>Commission</v>
      </c>
      <c r="P5" s="28" t="str">
        <f>IFERROR(__xludf.DUMMYFUNCTION("""COMPUTED_VALUE"""),"CostBasisRealizePNL")</f>
        <v>CostBasisRealizePNL</v>
      </c>
      <c r="Q5" s="28" t="str">
        <f>IFERROR(__xludf.DUMMYFUNCTION("""COMPUTED_VALUE"""),"Currency")</f>
        <v>Currency</v>
      </c>
      <c r="R5" s="28" t="str">
        <f>IFERROR(__xludf.DUMMYFUNCTION("""COMPUTED_VALUE"""),"Description")</f>
        <v>Description</v>
      </c>
      <c r="S5" s="28" t="str">
        <f>IFERROR(__xludf.DUMMYFUNCTION("""COMPUTED_VALUE"""),"EndDate")</f>
        <v>EndDate</v>
      </c>
      <c r="T5" s="30" t="str">
        <f>IFERROR(__xludf.DUMMYFUNCTION("""COMPUTED_VALUE"""),"ExchangeID")</f>
        <v>ExchangeID</v>
      </c>
      <c r="U5" s="30" t="str">
        <f>IFERROR(__xludf.DUMMYFUNCTION("""COMPUTED_VALUE"""),"Expiration Date")</f>
        <v>Expiration Date</v>
      </c>
      <c r="V5" s="30" t="str">
        <f>IFERROR(__xludf.DUMMYFUNCTION("""COMPUTED_VALUE"""),"ExpiredQty")</f>
        <v>ExpiredQty</v>
      </c>
      <c r="W5" s="30" t="str">
        <f>IFERROR(__xludf.DUMMYFUNCTION("""COMPUTED_VALUE"""),"ExpiredTaxlotID")</f>
        <v>ExpiredTaxlotID</v>
      </c>
      <c r="X5" s="30" t="str">
        <f>IFERROR(__xludf.DUMMYFUNCTION("""COMPUTED_VALUE"""),"FXRate")</f>
        <v>FXRate</v>
      </c>
      <c r="Y5" s="30" t="str">
        <f>IFERROR(__xludf.DUMMYFUNCTION("""COMPUTED_VALUE"""),"FXRateoperator")</f>
        <v>FXRateoperator</v>
      </c>
      <c r="Z5" s="30" t="str">
        <f>IFERROR(__xludf.DUMMYFUNCTION("""COMPUTED_VALUE"""),"ID")</f>
        <v>ID</v>
      </c>
      <c r="AA5" s="30" t="str">
        <f>IFERROR(__xludf.DUMMYFUNCTION("""COMPUTED_VALUE"""),"If Pay/Recevie Changes")</f>
        <v>If Pay/Recevie Changes</v>
      </c>
      <c r="AB5" s="30" t="str">
        <f>IFERROR(__xludf.DUMMYFUNCTION("""COMPUTED_VALUE"""),"IntPositionType")</f>
        <v>IntPositionType</v>
      </c>
      <c r="AC5" s="30" t="str">
        <f>IFERROR(__xludf.DUMMYFUNCTION("""COMPUTED_VALUE"""),"LeadCurrencyID")</f>
        <v>LeadCurrencyID</v>
      </c>
      <c r="AD5" s="30" t="str">
        <f>IFERROR(__xludf.DUMMYFUNCTION("""COMPUTED_VALUE"""),"Leveraged Factor")</f>
        <v>Leveraged Factor</v>
      </c>
      <c r="AE5" s="30" t="str">
        <f>IFERROR(__xludf.DUMMYFUNCTION("""COMPUTED_VALUE"""),"MarkPriceForMonth")</f>
        <v>MarkPriceForMonth</v>
      </c>
      <c r="AF5" s="30" t="str">
        <f>IFERROR(__xludf.DUMMYFUNCTION("""COMPUTED_VALUE"""),"MonthToDateRealizedProfit")</f>
        <v>MonthToDateRealizedProfit</v>
      </c>
      <c r="AG5" s="30" t="str">
        <f>IFERROR(__xludf.DUMMYFUNCTION("""COMPUTED_VALUE"""),"Multiplier")</f>
        <v>Multiplier</v>
      </c>
      <c r="AH5" s="30" t="str">
        <f>IFERROR(__xludf.DUMMYFUNCTION("""COMPUTED_VALUE"""),"NotionalValue")</f>
        <v>NotionalValue</v>
      </c>
      <c r="AI5" s="30" t="str">
        <f>IFERROR(__xludf.DUMMYFUNCTION("""COMPUTED_VALUE"""),"OCC Fee")</f>
        <v>OCC Fee</v>
      </c>
      <c r="AJ5" s="30" t="str">
        <f>IFERROR(__xludf.DUMMYFUNCTION("""COMPUTED_VALUE"""),"OpenQty")</f>
        <v>OpenQty</v>
      </c>
      <c r="AK5" s="30" t="str">
        <f>IFERROR(__xludf.DUMMYFUNCTION("""COMPUTED_VALUE"""),"Option Activated")</f>
        <v>Option Activated</v>
      </c>
      <c r="AL5" s="30" t="str">
        <f>IFERROR(__xludf.DUMMYFUNCTION("""COMPUTED_VALUE"""),"Option Type")</f>
        <v>Option Type</v>
      </c>
      <c r="AM5" s="30" t="str">
        <f>IFERROR(__xludf.DUMMYFUNCTION("""COMPUTED_VALUE"""),"OptionPremiumAdjustment")</f>
        <v>OptionPremiumAdjustment</v>
      </c>
      <c r="AN5" s="30" t="str">
        <f>IFERROR(__xludf.DUMMYFUNCTION("""COMPUTED_VALUE"""),"ORF Fee")</f>
        <v>ORF Fee</v>
      </c>
      <c r="AO5" s="30" t="str">
        <f>IFERROR(__xludf.DUMMYFUNCTION("""COMPUTED_VALUE"""),"Original Side")</f>
        <v>Original Side</v>
      </c>
      <c r="AP5" s="30" t="str">
        <f>IFERROR(__xludf.DUMMYFUNCTION("""COMPUTED_VALUE"""),"OriginalPurchaseDate")</f>
        <v>OriginalPurchaseDate</v>
      </c>
      <c r="AQ5" s="30" t="str">
        <f>IFERROR(__xludf.DUMMYFUNCTION("""COMPUTED_VALUE"""),"Other Broker Fees")</f>
        <v>Other Broker Fees</v>
      </c>
      <c r="AR5" s="30" t="str">
        <f>IFERROR(__xludf.DUMMYFUNCTION("""COMPUTED_VALUE"""),"ParentTradeDate")</f>
        <v>ParentTradeDate</v>
      </c>
      <c r="AS5" s="30" t="str">
        <f>IFERROR(__xludf.DUMMYFUNCTION("""COMPUTED_VALUE"""),"Pay/Recive")</f>
        <v>Pay/Recive</v>
      </c>
      <c r="AT5" s="30" t="str">
        <f>IFERROR(__xludf.DUMMYFUNCTION("""COMPUTED_VALUE"""),"PositionType")</f>
        <v>PositionType</v>
      </c>
      <c r="AU5" s="30" t="str">
        <f>IFERROR(__xludf.DUMMYFUNCTION("""COMPUTED_VALUE"""),"ProcessDate")</f>
        <v>ProcessDate</v>
      </c>
      <c r="AV5" s="30" t="str">
        <f>IFERROR(__xludf.DUMMYFUNCTION("""COMPUTED_VALUE"""),"QtyCurrency")</f>
        <v>QtyCurrency</v>
      </c>
      <c r="AW5" s="30" t="str">
        <f>IFERROR(__xludf.DUMMYFUNCTION("""COMPUTED_VALUE"""),"Quantity")</f>
        <v>Quantity</v>
      </c>
      <c r="AX5" s="30" t="str">
        <f>IFERROR(__xludf.DUMMYFUNCTION("""COMPUTED_VALUE"""),"RecordType")</f>
        <v>RecordType</v>
      </c>
      <c r="AY5" s="30" t="str">
        <f>IFERROR(__xludf.DUMMYFUNCTION("""COMPUTED_VALUE"""),"SEC Fee")</f>
        <v>SEC Fee</v>
      </c>
      <c r="AZ5" s="30" t="str">
        <f>IFERROR(__xludf.DUMMYFUNCTION("""COMPUTED_VALUE"""),"Settlement Currency")</f>
        <v>Settlement Currency</v>
      </c>
      <c r="BA5" s="30" t="str">
        <f>IFERROR(__xludf.DUMMYFUNCTION("""COMPUTED_VALUE"""),"Settlement Date")</f>
        <v>Settlement Date</v>
      </c>
      <c r="BB5" s="30" t="str">
        <f>IFERROR(__xludf.DUMMYFUNCTION("""COMPUTED_VALUE"""),"Settlement FxRate")</f>
        <v>Settlement FxRate</v>
      </c>
      <c r="BC5" s="30" t="str">
        <f>IFERROR(__xludf.DUMMYFUNCTION("""COMPUTED_VALUE"""),"Settlement FxRate Operator")</f>
        <v>Settlement FxRate Operator</v>
      </c>
      <c r="BD5" s="30" t="str">
        <f>IFERROR(__xludf.DUMMYFUNCTION("""COMPUTED_VALUE"""),"Settlement Price")</f>
        <v>Settlement Price</v>
      </c>
      <c r="BE5" s="30" t="str">
        <f>IFERROR(__xludf.DUMMYFUNCTION("""COMPUTED_VALUE"""),"Side")</f>
        <v>Side</v>
      </c>
      <c r="BF5" s="30" t="str">
        <f>IFERROR(__xludf.DUMMYFUNCTION("""COMPUTED_VALUE"""),"Soft Commission")</f>
        <v>Soft Commission</v>
      </c>
      <c r="BG5" s="30" t="str">
        <f>IFERROR(__xludf.DUMMYFUNCTION("""COMPUTED_VALUE"""),"Stamp Duty")</f>
        <v>Stamp Duty</v>
      </c>
      <c r="BH5" s="30" t="str">
        <f>IFERROR(__xludf.DUMMYFUNCTION("""COMPUTED_VALUE"""),"StartTaxlotID")</f>
        <v>StartTaxlotID</v>
      </c>
      <c r="BI5" s="30" t="str">
        <f>IFERROR(__xludf.DUMMYFUNCTION("""COMPUTED_VALUE"""),"Status")</f>
        <v>Status</v>
      </c>
      <c r="BJ5" s="30" t="str">
        <f>IFERROR(__xludf.DUMMYFUNCTION("""COMPUTED_VALUE"""),"Strategy")</f>
        <v>Strategy</v>
      </c>
      <c r="BK5" s="30" t="str">
        <f>IFERROR(__xludf.DUMMYFUNCTION("""COMPUTED_VALUE"""),"Strike Price")</f>
        <v>Strike Price</v>
      </c>
      <c r="BL5" s="30" t="str">
        <f>IFERROR(__xludf.DUMMYFUNCTION("""COMPUTED_VALUE"""),"Symbol")</f>
        <v>Symbol</v>
      </c>
      <c r="BM5" s="30" t="str">
        <f>IFERROR(__xludf.DUMMYFUNCTION("""COMPUTED_VALUE"""),"SymbolAveragePrice")</f>
        <v>SymbolAveragePrice</v>
      </c>
      <c r="BN5" s="30" t="str">
        <f>IFERROR(__xludf.DUMMYFUNCTION("""COMPUTED_VALUE"""),"Tax On Commissions")</f>
        <v>Tax On Commissions</v>
      </c>
      <c r="BO5" s="30" t="str">
        <f>IFERROR(__xludf.DUMMYFUNCTION("""COMPUTED_VALUE"""),"TaxLotClosingId")</f>
        <v>TaxLotClosingId</v>
      </c>
      <c r="BP5" s="30" t="str">
        <f>IFERROR(__xludf.DUMMYFUNCTION("""COMPUTED_VALUE"""),"Trade Date")</f>
        <v>Trade Date</v>
      </c>
      <c r="BQ5" s="30" t="str">
        <f>IFERROR(__xludf.DUMMYFUNCTION("""COMPUTED_VALUE"""),"Transaction Levy")</f>
        <v>Transaction Levy</v>
      </c>
      <c r="BR5" s="30" t="str">
        <f>IFERROR(__xludf.DUMMYFUNCTION("""COMPUTED_VALUE"""),"Transaction Type")</f>
        <v>Transaction Type</v>
      </c>
      <c r="BS5" s="30" t="str">
        <f>IFERROR(__xludf.DUMMYFUNCTION("""COMPUTED_VALUE"""),"TransactionSource")</f>
        <v>TransactionSource</v>
      </c>
      <c r="BT5" s="30" t="str">
        <f>IFERROR(__xludf.DUMMYFUNCTION("""COMPUTED_VALUE"""),"Underlying Symbol")</f>
        <v>Underlying Symbol</v>
      </c>
      <c r="BU5" s="30" t="str">
        <f>IFERROR(__xludf.DUMMYFUNCTION("""COMPUTED_VALUE"""),"UnderlyingID")</f>
        <v>UnderlyingID</v>
      </c>
      <c r="BV5" s="30" t="str">
        <f>IFERROR(__xludf.DUMMYFUNCTION("""COMPUTED_VALUE"""),"Venue")</f>
        <v>Venue</v>
      </c>
      <c r="BW5" s="30" t="str">
        <f>IFERROR(__xludf.DUMMYFUNCTION("""COMPUTED_VALUE"""),"Settlement Qty")</f>
        <v>Settlement Qty</v>
      </c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7"/>
      <c r="B6" s="37"/>
      <c r="C6" s="38"/>
      <c r="D6" s="37"/>
      <c r="E6" s="38"/>
      <c r="F6" s="38"/>
      <c r="G6" s="38"/>
      <c r="H6" s="38"/>
      <c r="I6" s="38"/>
      <c r="J6" s="38"/>
      <c r="K6" s="38"/>
      <c r="L6" s="38"/>
      <c r="M6" s="38"/>
      <c r="N6" s="38"/>
      <c r="O6" s="38"/>
      <c r="P6" s="38"/>
      <c r="Q6" s="38"/>
      <c r="R6" s="38"/>
      <c r="S6" s="38"/>
      <c r="T6" s="38"/>
      <c r="U6" s="38"/>
      <c r="V6" s="38"/>
      <c r="W6" s="38"/>
      <c r="X6" s="38"/>
      <c r="Y6" s="38"/>
      <c r="Z6" s="38"/>
      <c r="AA6" s="38"/>
      <c r="AB6" s="38"/>
      <c r="AC6" s="38"/>
      <c r="AD6" s="38"/>
      <c r="AE6" s="38"/>
      <c r="AF6" s="38"/>
      <c r="AG6" s="38"/>
      <c r="AH6" s="38"/>
      <c r="AI6" s="38"/>
      <c r="AJ6" s="38"/>
      <c r="AK6" s="38"/>
      <c r="AL6" s="38"/>
      <c r="AM6" s="38"/>
      <c r="AN6" s="38"/>
      <c r="AO6" s="38"/>
      <c r="AP6" s="38"/>
      <c r="AQ6" s="38"/>
      <c r="AR6" s="38"/>
      <c r="AS6" s="38"/>
      <c r="AT6" s="38"/>
      <c r="AU6" s="38"/>
      <c r="AV6" s="38"/>
      <c r="AW6" s="42">
        <v>50.0</v>
      </c>
      <c r="AX6" s="38"/>
      <c r="AY6" s="38"/>
      <c r="AZ6" s="38"/>
      <c r="BA6" s="38"/>
      <c r="BB6" s="38"/>
      <c r="BC6" s="38"/>
      <c r="BD6" s="38"/>
      <c r="BE6" s="38"/>
      <c r="BF6" s="38"/>
      <c r="BG6" s="38"/>
      <c r="BH6" s="38"/>
      <c r="BI6" s="38"/>
      <c r="BJ6" s="38"/>
      <c r="BK6" s="38"/>
      <c r="BL6" s="38"/>
      <c r="BM6" s="38"/>
      <c r="BN6" s="38"/>
      <c r="BO6" s="38"/>
      <c r="BP6" s="38"/>
      <c r="BQ6" s="38"/>
      <c r="BR6" s="38"/>
      <c r="BS6" s="38"/>
      <c r="BT6" s="38"/>
      <c r="BU6" s="38"/>
      <c r="BV6" s="38"/>
      <c r="BW6" s="38"/>
      <c r="BX6" s="38"/>
      <c r="BY6" s="38"/>
      <c r="BZ6" s="38"/>
      <c r="CA6" s="38"/>
      <c r="CB6" s="38"/>
      <c r="CC6" s="38"/>
      <c r="CD6" s="38"/>
      <c r="CE6" s="38"/>
      <c r="CF6" s="38"/>
      <c r="CG6" s="38"/>
      <c r="CH6" s="38"/>
      <c r="CI6" s="38"/>
      <c r="CJ6" s="38"/>
      <c r="CK6" s="38"/>
      <c r="CL6" s="38"/>
      <c r="CM6" s="38"/>
      <c r="CN6" s="38"/>
      <c r="CO6" s="38"/>
      <c r="CP6" s="38"/>
      <c r="CQ6" s="38"/>
      <c r="CR6" s="38"/>
      <c r="CS6" s="38"/>
      <c r="CT6" s="38"/>
      <c r="CU6" s="38"/>
      <c r="CV6" s="38"/>
      <c r="CW6" s="38"/>
      <c r="CX6" s="38"/>
      <c r="CY6" s="38"/>
      <c r="CZ6" s="38"/>
      <c r="DA6" s="38"/>
      <c r="DB6" s="38"/>
      <c r="DC6" s="38"/>
      <c r="DD6" s="38"/>
      <c r="DE6" s="38"/>
      <c r="DF6" s="38"/>
      <c r="DG6" s="38"/>
      <c r="DH6" s="38"/>
      <c r="DI6" s="38"/>
      <c r="DJ6" s="38"/>
      <c r="DK6" s="38"/>
      <c r="DL6" s="38"/>
      <c r="DM6" s="38"/>
      <c r="DN6" s="38"/>
      <c r="DO6" s="38"/>
      <c r="DP6" s="38"/>
      <c r="DQ6" s="38"/>
      <c r="DR6" s="38"/>
      <c r="DS6" s="38"/>
      <c r="DT6" s="38"/>
      <c r="DU6" s="38"/>
      <c r="DV6" s="38"/>
      <c r="DW6" s="38"/>
      <c r="DX6" s="38"/>
      <c r="DY6" s="38"/>
      <c r="DZ6" s="38"/>
      <c r="EA6" s="38"/>
      <c r="EB6" s="38"/>
      <c r="EC6" s="38"/>
      <c r="ED6" s="38"/>
      <c r="EE6" s="38"/>
      <c r="EF6" s="38"/>
      <c r="EG6" s="38"/>
      <c r="EH6" s="38"/>
      <c r="EI6" s="38"/>
      <c r="EJ6" s="38"/>
      <c r="EK6" s="38"/>
      <c r="EL6" s="38"/>
      <c r="EM6" s="38"/>
      <c r="EN6" s="38"/>
      <c r="EO6" s="38"/>
      <c r="EP6" s="38"/>
      <c r="EQ6" s="38"/>
      <c r="ER6" s="38"/>
      <c r="ES6" s="38"/>
      <c r="ET6" s="38"/>
      <c r="EU6" s="38"/>
      <c r="EV6" s="38"/>
      <c r="EW6" s="38"/>
      <c r="EX6" s="3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ExerciseAssignment!$4:$4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36</v>
      </c>
      <c r="D3" s="5" t="s">
        <v>9</v>
      </c>
      <c r="E3" s="23" t="s">
        <v>37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IFERROR(__xludf.DUMMYFUNCTION("""COMPUTED_VALUE"""),"RangeType")</f>
        <v>RangeType</v>
      </c>
      <c r="C5" s="28" t="str">
        <f>IFERROR(__xludf.DUMMYFUNCTION("""COMPUTED_VALUE"""),"From")</f>
        <v>From</v>
      </c>
      <c r="D5" s="28" t="str">
        <f>IFERROR(__xludf.DUMMYFUNCTION("""COMPUTED_VALUE"""),"To")</f>
        <v>To</v>
      </c>
      <c r="E5" s="28" t="str">
        <f>IFERROR(__xludf.DUMMYFUNCTION("""COMPUTED_VALUE"""),"FilterTabName")</f>
        <v>FilterTabName</v>
      </c>
      <c r="F5" s="29" t="str">
        <f>IFERROR(__xludf.DUMMYFUNCTION("""COMPUTED_VALUE"""),"Symbol")</f>
        <v>Symbol</v>
      </c>
      <c r="G5" s="28" t="str">
        <f>IFERROR(__xludf.DUMMYFUNCTION("""COMPUTED_VALUE"""),"Asset")</f>
        <v>Asset</v>
      </c>
      <c r="H5" s="28" t="str">
        <f>IFERROR(__xludf.DUMMYFUNCTION("""COMPUTED_VALUE"""),"Side")</f>
        <v>Side</v>
      </c>
      <c r="I5" s="28" t="str">
        <f>IFERROR(__xludf.DUMMYFUNCTION("""COMPUTED_VALUE"""),"Account")</f>
        <v>Account</v>
      </c>
      <c r="J5" s="28" t="str">
        <f>IFERROR(__xludf.DUMMYFUNCTION("""COMPUTED_VALUE"""),"Broker")</f>
        <v>Broker</v>
      </c>
      <c r="K5" s="28" t="str">
        <f>IFERROR(__xludf.DUMMYFUNCTION("""COMPUTED_VALUE"""),"Currency")</f>
        <v>Currency</v>
      </c>
      <c r="L5" s="28" t="str">
        <f>IFERROR(__xludf.DUMMYFUNCTION("""COMPUTED_VALUE"""),"Exchange")</f>
        <v>Exchange</v>
      </c>
      <c r="M5" s="28" t="str">
        <f>IFERROR(__xludf.DUMMYFUNCTION("""COMPUTED_VALUE"""),"StrategyName")</f>
        <v>StrategyName</v>
      </c>
      <c r="N5" s="28" t="str">
        <f>IFERROR(__xludf.DUMMYFUNCTION("""COMPUTED_VALUE"""),"Underlying")</f>
        <v>Underlying</v>
      </c>
      <c r="O5" s="28" t="str">
        <f>IFERROR(__xludf.DUMMYFUNCTION("""COMPUTED_VALUE"""),"Venue")</f>
        <v>Venue</v>
      </c>
      <c r="P5" s="28" t="str">
        <f>IFERROR(__xludf.DUMMYFUNCTION("""COMPUTED_VALUE"""),"TradingAccount")</f>
        <v>TradingAccount</v>
      </c>
      <c r="Q5" s="28" t="str">
        <f>IFERROR(__xludf.DUMMYFUNCTION("""COMPUTED_VALUE"""),"PreAllocated")</f>
        <v>PreAllocated</v>
      </c>
      <c r="R5" s="28" t="str">
        <f>IFERROR(__xludf.DUMMYFUNCTION("""COMPUTED_VALUE"""),"ManualGroup")</f>
        <v>ManualGroup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7"/>
      <c r="B6" s="37" t="s">
        <v>32</v>
      </c>
      <c r="C6" s="32">
        <v>44562.0</v>
      </c>
      <c r="D6" s="32">
        <v>44896.0</v>
      </c>
      <c r="E6" s="38"/>
      <c r="F6" s="38"/>
      <c r="G6" s="38"/>
      <c r="H6" s="38"/>
      <c r="I6" s="38"/>
      <c r="J6" s="38"/>
      <c r="K6" s="38"/>
      <c r="L6" s="38"/>
      <c r="M6" s="38"/>
      <c r="N6" s="38"/>
      <c r="O6" s="38"/>
      <c r="P6" s="38"/>
      <c r="Q6" s="38"/>
      <c r="R6" s="38"/>
      <c r="S6" s="38"/>
      <c r="T6" s="38"/>
      <c r="U6" s="38"/>
      <c r="V6" s="38"/>
      <c r="W6" s="38"/>
      <c r="X6" s="38"/>
      <c r="Y6" s="38"/>
      <c r="Z6" s="38"/>
      <c r="AA6" s="38"/>
      <c r="AB6" s="38"/>
      <c r="AC6" s="38"/>
      <c r="AD6" s="38"/>
      <c r="AE6" s="38"/>
      <c r="AF6" s="38"/>
      <c r="AG6" s="38"/>
      <c r="AH6" s="38"/>
      <c r="AI6" s="38"/>
      <c r="AJ6" s="38"/>
      <c r="AK6" s="38"/>
      <c r="AL6" s="38"/>
      <c r="AM6" s="38"/>
      <c r="AN6" s="38"/>
      <c r="AO6" s="38"/>
      <c r="AP6" s="38"/>
      <c r="AQ6" s="38"/>
      <c r="AR6" s="38"/>
      <c r="AS6" s="38"/>
      <c r="AT6" s="38"/>
      <c r="AU6" s="38"/>
      <c r="AV6" s="38"/>
      <c r="AW6" s="38"/>
      <c r="AX6" s="38"/>
      <c r="AY6" s="38"/>
      <c r="AZ6" s="38"/>
      <c r="BA6" s="38"/>
      <c r="BB6" s="38"/>
      <c r="BC6" s="38"/>
      <c r="BD6" s="38"/>
      <c r="BE6" s="38"/>
      <c r="BF6" s="38"/>
      <c r="BG6" s="38"/>
      <c r="BH6" s="38"/>
      <c r="BI6" s="38"/>
      <c r="BJ6" s="38"/>
      <c r="BK6" s="38"/>
      <c r="BL6" s="38"/>
      <c r="BM6" s="38"/>
      <c r="BN6" s="38"/>
      <c r="BO6" s="38"/>
      <c r="BP6" s="38"/>
      <c r="BQ6" s="38"/>
      <c r="BR6" s="38"/>
      <c r="BS6" s="38"/>
      <c r="BT6" s="38"/>
      <c r="BU6" s="38"/>
      <c r="BV6" s="38"/>
      <c r="BW6" s="38"/>
      <c r="BX6" s="38"/>
      <c r="BY6" s="38"/>
      <c r="BZ6" s="38"/>
      <c r="CA6" s="38"/>
      <c r="CB6" s="38"/>
      <c r="CC6" s="38"/>
      <c r="CD6" s="38"/>
      <c r="CE6" s="38"/>
      <c r="CF6" s="38"/>
      <c r="CG6" s="38"/>
      <c r="CH6" s="38"/>
      <c r="CI6" s="38"/>
      <c r="CJ6" s="38"/>
      <c r="CK6" s="38"/>
      <c r="CL6" s="38"/>
      <c r="CM6" s="38"/>
      <c r="CN6" s="38"/>
      <c r="CO6" s="38"/>
      <c r="CP6" s="38"/>
      <c r="CQ6" s="38"/>
      <c r="CR6" s="38"/>
      <c r="CS6" s="38"/>
      <c r="CT6" s="38"/>
      <c r="CU6" s="38"/>
      <c r="CV6" s="38"/>
      <c r="CW6" s="38"/>
      <c r="CX6" s="38"/>
      <c r="CY6" s="38"/>
      <c r="CZ6" s="38"/>
      <c r="DA6" s="38"/>
      <c r="DB6" s="38"/>
      <c r="DC6" s="38"/>
      <c r="DD6" s="38"/>
      <c r="DE6" s="38"/>
      <c r="DF6" s="38"/>
      <c r="DG6" s="38"/>
      <c r="DH6" s="38"/>
      <c r="DI6" s="38"/>
      <c r="DJ6" s="38"/>
      <c r="DK6" s="38"/>
      <c r="DL6" s="38"/>
      <c r="DM6" s="38"/>
      <c r="DN6" s="38"/>
      <c r="DO6" s="38"/>
      <c r="DP6" s="38"/>
      <c r="DQ6" s="38"/>
      <c r="DR6" s="38"/>
      <c r="DS6" s="38"/>
      <c r="DT6" s="38"/>
      <c r="DU6" s="38"/>
      <c r="DV6" s="38"/>
      <c r="DW6" s="38"/>
      <c r="DX6" s="38"/>
      <c r="DY6" s="38"/>
      <c r="DZ6" s="38"/>
      <c r="EA6" s="38"/>
      <c r="EB6" s="38"/>
      <c r="EC6" s="38"/>
      <c r="ED6" s="38"/>
      <c r="EE6" s="38"/>
      <c r="EF6" s="38"/>
      <c r="EG6" s="38"/>
      <c r="EH6" s="38"/>
      <c r="EI6" s="38"/>
      <c r="EJ6" s="38"/>
      <c r="EK6" s="38"/>
      <c r="EL6" s="38"/>
      <c r="EM6" s="38"/>
      <c r="EN6" s="38"/>
      <c r="EO6" s="38"/>
      <c r="EP6" s="38"/>
      <c r="EQ6" s="38"/>
      <c r="ER6" s="38"/>
      <c r="ES6" s="38"/>
      <c r="ET6" s="38"/>
      <c r="EU6" s="38"/>
      <c r="EV6" s="38"/>
      <c r="EW6" s="38"/>
      <c r="EX6" s="3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GetDataAllocation!$4:$4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36</v>
      </c>
      <c r="D3" s="5" t="s">
        <v>9</v>
      </c>
      <c r="E3" s="23" t="s">
        <v>38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IFERROR(__xludf.DUMMYFUNCTION("""COMPUTED_VALUE"""),"Accrual Basis")</f>
        <v>Accrual Basis</v>
      </c>
      <c r="D5" s="28" t="str">
        <f>IFERROR(__xludf.DUMMYFUNCTION("""COMPUTED_VALUE"""),"Accrued Interest")</f>
        <v>Accrued Interest</v>
      </c>
      <c r="E5" s="28" t="str">
        <f>IFERROR(__xludf.DUMMYFUNCTION("""COMPUTED_VALUE"""),"Allocated Qty")</f>
        <v>Allocated Qty</v>
      </c>
      <c r="F5" s="29" t="str">
        <f>IFERROR(__xludf.DUMMYFUNCTION("""COMPUTED_VALUE"""),"Allocation Scheme Name")</f>
        <v>Allocation Scheme Name</v>
      </c>
      <c r="G5" s="28" t="str">
        <f>IFERROR(__xludf.DUMMYFUNCTION("""COMPUTED_VALUE"""),"Asset Category")</f>
        <v>Asset Category</v>
      </c>
      <c r="H5" s="28" t="str">
        <f>IFERROR(__xludf.DUMMYFUNCTION("""COMPUTED_VALUE"""),"AUEC Fee1")</f>
        <v>AUEC Fee1</v>
      </c>
      <c r="I5" s="28" t="str">
        <f>IFERROR(__xludf.DUMMYFUNCTION("""COMPUTED_VALUE"""),"AUEC Fee2")</f>
        <v>AUEC Fee2</v>
      </c>
      <c r="J5" s="28" t="str">
        <f>IFERROR(__xludf.DUMMYFUNCTION("""COMPUTED_VALUE"""),"AUECID")</f>
        <v>AUECID</v>
      </c>
      <c r="K5" s="28" t="str">
        <f>IFERROR(__xludf.DUMMYFUNCTION("""COMPUTED_VALUE"""),"Avg Price(Base)")</f>
        <v>Avg Price(Base)</v>
      </c>
      <c r="L5" s="28" t="str">
        <f>IFERROR(__xludf.DUMMYFUNCTION("""COMPUTED_VALUE"""),"Avg Price(Local)")</f>
        <v>Avg Price(Local)</v>
      </c>
      <c r="M5" s="28" t="str">
        <f>IFERROR(__xludf.DUMMYFUNCTION("""COMPUTED_VALUE"""),"Bloomberg")</f>
        <v>Bloomberg</v>
      </c>
      <c r="N5" s="28" t="str">
        <f>IFERROR(__xludf.DUMMYFUNCTION("""COMPUTED_VALUE"""),"Bond Type")</f>
        <v>Bond Type</v>
      </c>
      <c r="O5" s="28" t="str">
        <f>IFERROR(__xludf.DUMMYFUNCTION("""COMPUTED_VALUE"""),"Broker")</f>
        <v>Broker</v>
      </c>
      <c r="P5" s="28" t="str">
        <f>IFERROR(__xludf.DUMMYFUNCTION("""COMPUTED_VALUE"""),"Change Comment")</f>
        <v>Change Comment</v>
      </c>
      <c r="Q5" s="28" t="str">
        <f>IFERROR(__xludf.DUMMYFUNCTION("""COMPUTED_VALUE"""),"Change Type")</f>
        <v>Change Type</v>
      </c>
      <c r="R5" s="28" t="str">
        <f>IFERROR(__xludf.DUMMYFUNCTION("""COMPUTED_VALUE"""),"Clearing Broker Fee")</f>
        <v>Clearing Broker Fee</v>
      </c>
      <c r="S5" s="28" t="str">
        <f>IFERROR(__xludf.DUMMYFUNCTION("""COMPUTED_VALUE"""),"Closing Status")</f>
        <v>Closing Status</v>
      </c>
      <c r="T5" s="30" t="str">
        <f>IFERROR(__xludf.DUMMYFUNCTION("""COMPUTED_VALUE"""),"Commission")</f>
        <v>Commission</v>
      </c>
      <c r="U5" s="30" t="str">
        <f>IFERROR(__xludf.DUMMYFUNCTION("""COMPUTED_VALUE"""),"Commission Per Share")</f>
        <v>Commission Per Share</v>
      </c>
      <c r="V5" s="30" t="str">
        <f>IFERROR(__xludf.DUMMYFUNCTION("""COMPUTED_VALUE"""),"Company")</f>
        <v>Company</v>
      </c>
      <c r="W5" s="30" t="str">
        <f>IFERROR(__xludf.DUMMYFUNCTION("""COMPUTED_VALUE"""),"Contract Multiplier")</f>
        <v>Contract Multiplier</v>
      </c>
      <c r="X5" s="30" t="str">
        <f>IFERROR(__xludf.DUMMYFUNCTION("""COMPUTED_VALUE"""),"Coupon Rate")</f>
        <v>Coupon Rate</v>
      </c>
      <c r="Y5" s="30" t="str">
        <f>IFERROR(__xludf.DUMMYFUNCTION("""COMPUTED_VALUE"""),"Cum Qty For Sub Order")</f>
        <v>Cum Qty For Sub Order</v>
      </c>
      <c r="Z5" s="30" t="str">
        <f>IFERROR(__xludf.DUMMYFUNCTION("""COMPUTED_VALUE"""),"Currency")</f>
        <v>Currency</v>
      </c>
      <c r="AA5" s="30" t="str">
        <f>IFERROR(__xludf.DUMMYFUNCTION("""COMPUTED_VALUE"""),"Cusip Symbol")</f>
        <v>Cusip Symbol</v>
      </c>
      <c r="AB5" s="30" t="str">
        <f>IFERROR(__xludf.DUMMYFUNCTION("""COMPUTED_VALUE"""),"Delta")</f>
        <v>Delta</v>
      </c>
      <c r="AC5" s="30" t="str">
        <f>IFERROR(__xludf.DUMMYFUNCTION("""COMPUTED_VALUE"""),"Description")</f>
        <v>Description</v>
      </c>
      <c r="AD5" s="30" t="str">
        <f>IFERROR(__xludf.DUMMYFUNCTION("""COMPUTED_VALUE"""),"Exchange")</f>
        <v>Exchange</v>
      </c>
      <c r="AE5" s="30" t="str">
        <f>IFERROR(__xludf.DUMMYFUNCTION("""COMPUTED_VALUE"""),"Executed Qty")</f>
        <v>Executed Qty</v>
      </c>
      <c r="AF5" s="30" t="str">
        <f>IFERROR(__xludf.DUMMYFUNCTION("""COMPUTED_VALUE"""),"Exceution Time")</f>
        <v>Exceution Time</v>
      </c>
      <c r="AG5" s="30" t="str">
        <f>IFERROR(__xludf.DUMMYFUNCTION("""COMPUTED_VALUE"""),"Expiration Date")</f>
        <v>Expiration Date</v>
      </c>
      <c r="AH5" s="30" t="str">
        <f>IFERROR(__xludf.DUMMYFUNCTION("""COMPUTED_VALUE"""),"FX Conversion Operator")</f>
        <v>FX Conversion Operator</v>
      </c>
      <c r="AI5" s="30" t="str">
        <f>IFERROR(__xludf.DUMMYFUNCTION("""COMPUTED_VALUE"""),"FX Rate")</f>
        <v>FX Rate</v>
      </c>
      <c r="AJ5" s="30" t="str">
        <f>IFERROR(__xludf.DUMMYFUNCTION("""COMPUTED_VALUE"""),"Group Status")</f>
        <v>Group Status</v>
      </c>
      <c r="AK5" s="30" t="str">
        <f>IFERROR(__xludf.DUMMYFUNCTION("""COMPUTED_VALUE"""),"IDCOSymbol")</f>
        <v>IDCOSymbol</v>
      </c>
      <c r="AL5" s="30" t="str">
        <f>IFERROR(__xludf.DUMMYFUNCTION("""COMPUTED_VALUE"""),"Import File Name")</f>
        <v>Import File Name</v>
      </c>
      <c r="AM5" s="30" t="str">
        <f>IFERROR(__xludf.DUMMYFUNCTION("""COMPUTED_VALUE"""),"Internal Comments")</f>
        <v>Internal Comments</v>
      </c>
      <c r="AN5" s="30" t="str">
        <f>IFERROR(__xludf.DUMMYFUNCTION("""COMPUTED_VALUE"""),"IsAnotherTaxlotAttributesUpdated")</f>
        <v>IsAnotherTaxlotAttributesUpdated</v>
      </c>
      <c r="AO5" s="30" t="str">
        <f>IFERROR(__xludf.DUMMYFUNCTION("""COMPUTED_VALUE"""),"ISIN")</f>
        <v>ISIN</v>
      </c>
      <c r="AP5" s="30" t="str">
        <f>IFERROR(__xludf.DUMMYFUNCTION("""COMPUTED_VALUE"""),"IsManual Group")</f>
        <v>IsManual Group</v>
      </c>
      <c r="AQ5" s="30" t="str">
        <f>IFERROR(__xludf.DUMMYFUNCTION("""COMPUTED_VALUE"""),"ISNDF")</f>
        <v>ISNDF</v>
      </c>
      <c r="AR5" s="30" t="str">
        <f>IFERROR(__xludf.DUMMYFUNCTION("""COMPUTED_VALUE"""),"IsPreAllocated")</f>
        <v>IsPreAllocated</v>
      </c>
      <c r="AS5" s="30" t="str">
        <f>IFERROR(__xludf.DUMMYFUNCTION("""COMPUTED_VALUE"""),"M2MProfitLoss")</f>
        <v>M2MProfitLoss</v>
      </c>
      <c r="AT5" s="30" t="str">
        <f>IFERROR(__xludf.DUMMYFUNCTION("""COMPUTED_VALUE"""),"Net Amount( Base)")</f>
        <v>Net Amount( Base)</v>
      </c>
      <c r="AU5" s="30" t="str">
        <f>IFERROR(__xludf.DUMMYFUNCTION("""COMPUTED_VALUE"""),"Net Amount( Local)")</f>
        <v>Net Amount( Local)</v>
      </c>
      <c r="AV5" s="30" t="str">
        <f>IFERROR(__xludf.DUMMYFUNCTION("""COMPUTED_VALUE"""),"Nirvana Process Date")</f>
        <v>Nirvana Process Date</v>
      </c>
      <c r="AW5" s="30" t="str">
        <f>IFERROR(__xludf.DUMMYFUNCTION("""COMPUTED_VALUE"""),"OCC Fee")</f>
        <v>OCC Fee</v>
      </c>
      <c r="AX5" s="30" t="str">
        <f>IFERROR(__xludf.DUMMYFUNCTION("""COMPUTED_VALUE"""),"Option Premium Adjustment")</f>
        <v>Option Premium Adjustment</v>
      </c>
      <c r="AY5" s="30" t="str">
        <f>IFERROR(__xludf.DUMMYFUNCTION("""COMPUTED_VALUE"""),"Order Type")</f>
        <v>Order Type</v>
      </c>
      <c r="AZ5" s="30" t="str">
        <f>IFERROR(__xludf.DUMMYFUNCTION("""COMPUTED_VALUE"""),"ORF Fee")</f>
        <v>ORF Fee</v>
      </c>
      <c r="BA5" s="30" t="str">
        <f>IFERROR(__xludf.DUMMYFUNCTION("""COMPUTED_VALUE"""),"Original Purchase Date")</f>
        <v>Original Purchase Date</v>
      </c>
      <c r="BB5" s="30" t="str">
        <f>IFERROR(__xludf.DUMMYFUNCTION("""COMPUTED_VALUE"""),"OSISSymbol")</f>
        <v>OSISSymbol</v>
      </c>
      <c r="BC5" s="30" t="str">
        <f>IFERROR(__xludf.DUMMYFUNCTION("""COMPUTED_VALUE"""),"Other Broker Fees")</f>
        <v>Other Broker Fees</v>
      </c>
      <c r="BD5" s="30" t="str">
        <f>IFERROR(__xludf.DUMMYFUNCTION("""COMPUTED_VALUE"""),"Prana Msg Type")</f>
        <v>Prana Msg Type</v>
      </c>
      <c r="BE5" s="30" t="str">
        <f>IFERROR(__xludf.DUMMYFUNCTION("""COMPUTED_VALUE"""),"Principal Amount( Base)")</f>
        <v>Principal Amount( Base)</v>
      </c>
      <c r="BF5" s="30" t="str">
        <f>IFERROR(__xludf.DUMMYFUNCTION("""COMPUTED_VALUE"""),"Principal Amount( Local)")</f>
        <v>Principal Amount( Local)</v>
      </c>
      <c r="BG5" s="30" t="str">
        <f>IFERROR(__xludf.DUMMYFUNCTION("""COMPUTED_VALUE"""),"Process Date")</f>
        <v>Process Date</v>
      </c>
      <c r="BH5" s="30" t="str">
        <f>IFERROR(__xludf.DUMMYFUNCTION("""COMPUTED_VALUE"""),"Proxy Symbol")</f>
        <v>Proxy Symbol</v>
      </c>
      <c r="BI5" s="30" t="str">
        <f>IFERROR(__xludf.DUMMYFUNCTION("""COMPUTED_VALUE"""),"Put Or Call")</f>
        <v>Put Or Call</v>
      </c>
      <c r="BJ5" s="30" t="str">
        <f>IFERROR(__xludf.DUMMYFUNCTION("""COMPUTED_VALUE"""),"Quantity")</f>
        <v>Quantity</v>
      </c>
      <c r="BK5" s="30" t="str">
        <f>IFERROR(__xludf.DUMMYFUNCTION("""COMPUTED_VALUE"""),"SEC Fee")</f>
        <v>SEC Fee</v>
      </c>
      <c r="BL5" s="30" t="str">
        <f>IFERROR(__xludf.DUMMYFUNCTION("""COMPUTED_VALUE"""),"Sedol Symbol")</f>
        <v>Sedol Symbol</v>
      </c>
      <c r="BM5" s="30" t="str">
        <f>IFERROR(__xludf.DUMMYFUNCTION("""COMPUTED_VALUE"""),"Settlement Currency")</f>
        <v>Settlement Currency</v>
      </c>
      <c r="BN5" s="30" t="str">
        <f>IFERROR(__xludf.DUMMYFUNCTION("""COMPUTED_VALUE"""),"Settlement Date")</f>
        <v>Settlement Date</v>
      </c>
      <c r="BO5" s="30" t="str">
        <f>IFERROR(__xludf.DUMMYFUNCTION("""COMPUTED_VALUE"""),"Side")</f>
        <v>Side</v>
      </c>
      <c r="BP5" s="30" t="str">
        <f>IFERROR(__xludf.DUMMYFUNCTION("""COMPUTED_VALUE"""),"Soft Commission")</f>
        <v>Soft Commission</v>
      </c>
      <c r="BQ5" s="30" t="str">
        <f>IFERROR(__xludf.DUMMYFUNCTION("""COMPUTED_VALUE"""),"Soft Commission Per Share")</f>
        <v>Soft Commission Per Share</v>
      </c>
      <c r="BR5" s="30" t="str">
        <f>IFERROR(__xludf.DUMMYFUNCTION("""COMPUTED_VALUE"""),"Stamp Duty")</f>
        <v>Stamp Duty</v>
      </c>
      <c r="BS5" s="30" t="str">
        <f>IFERROR(__xludf.DUMMYFUNCTION("""COMPUTED_VALUE"""),"Strategy Name")</f>
        <v>Strategy Name</v>
      </c>
      <c r="BT5" s="30" t="str">
        <f>IFERROR(__xludf.DUMMYFUNCTION("""COMPUTED_VALUE"""),"Symbol")</f>
        <v>Symbol</v>
      </c>
      <c r="BU5" s="30" t="str">
        <f>IFERROR(__xludf.DUMMYFUNCTION("""COMPUTED_VALUE"""),"Tax On Commissions")</f>
        <v>Tax On Commissions</v>
      </c>
      <c r="BV5" s="30" t="str">
        <f>IFERROR(__xludf.DUMMYFUNCTION("""COMPUTED_VALUE"""),"Total Commission")</f>
        <v>Total Commission</v>
      </c>
      <c r="BW5" s="30" t="str">
        <f>IFERROR(__xludf.DUMMYFUNCTION("""COMPUTED_VALUE"""),"Total Commission And Fee")</f>
        <v>Total Commission And Fee</v>
      </c>
      <c r="BX5" s="30" t="str">
        <f>IFERROR(__xludf.DUMMYFUNCTION("""COMPUTED_VALUE"""),"Total Commission Per Share")</f>
        <v>Total Commission Per Share</v>
      </c>
      <c r="BY5" s="30" t="str">
        <f>IFERROR(__xludf.DUMMYFUNCTION("""COMPUTED_VALUE"""),"Trade Attribute 1")</f>
        <v>Trade Attribute 1</v>
      </c>
      <c r="BZ5" s="30" t="str">
        <f>IFERROR(__xludf.DUMMYFUNCTION("""COMPUTED_VALUE"""),"Trade Attribute 2")</f>
        <v>Trade Attribute 2</v>
      </c>
      <c r="CA5" s="30" t="str">
        <f>IFERROR(__xludf.DUMMYFUNCTION("""COMPUTED_VALUE"""),"Trade Attribute 3")</f>
        <v>Trade Attribute 3</v>
      </c>
      <c r="CB5" s="30" t="str">
        <f>IFERROR(__xludf.DUMMYFUNCTION("""COMPUTED_VALUE"""),"Trade Attribute 4")</f>
        <v>Trade Attribute 4</v>
      </c>
      <c r="CC5" s="30" t="str">
        <f>IFERROR(__xludf.DUMMYFUNCTION("""COMPUTED_VALUE"""),"Trade Attribute 5")</f>
        <v>Trade Attribute 5</v>
      </c>
      <c r="CD5" s="30" t="str">
        <f>IFERROR(__xludf.DUMMYFUNCTION("""COMPUTED_VALUE"""),"Trade Attribute 6")</f>
        <v>Trade Attribute 6</v>
      </c>
      <c r="CE5" s="30" t="str">
        <f>IFERROR(__xludf.DUMMYFUNCTION("""COMPUTED_VALUE"""),"Trade Date")</f>
        <v>Trade Date</v>
      </c>
      <c r="CF5" s="30" t="str">
        <f>IFERROR(__xludf.DUMMYFUNCTION("""COMPUTED_VALUE"""),"Trading Account")</f>
        <v>Trading Account</v>
      </c>
      <c r="CG5" s="30" t="str">
        <f>IFERROR(__xludf.DUMMYFUNCTION("""COMPUTED_VALUE"""),"Transaction Levy")</f>
        <v>Transaction Levy</v>
      </c>
      <c r="CH5" s="30" t="str">
        <f>IFERROR(__xludf.DUMMYFUNCTION("""COMPUTED_VALUE"""),"Transaction Source")</f>
        <v>Transaction Source</v>
      </c>
      <c r="CI5" s="30" t="str">
        <f>IFERROR(__xludf.DUMMYFUNCTION("""COMPUTED_VALUE"""),"Transaction Type")</f>
        <v>Transaction Type</v>
      </c>
      <c r="CJ5" s="30" t="str">
        <f>IFERROR(__xludf.DUMMYFUNCTION("""COMPUTED_VALUE"""),"UnAllocatedQty")</f>
        <v>UnAllocatedQty</v>
      </c>
      <c r="CK5" s="30" t="str">
        <f>IFERROR(__xludf.DUMMYFUNCTION("""COMPUTED_VALUE"""),"Underlying")</f>
        <v>Underlying</v>
      </c>
      <c r="CL5" s="30" t="str">
        <f>IFERROR(__xludf.DUMMYFUNCTION("""COMPUTED_VALUE"""),"Underlying Delta")</f>
        <v>Underlying Delta</v>
      </c>
      <c r="CM5" s="30" t="str">
        <f>IFERROR(__xludf.DUMMYFUNCTION("""COMPUTED_VALUE"""),"Underlying Symbol")</f>
        <v>Underlying Symbol</v>
      </c>
      <c r="CN5" s="30" t="str">
        <f>IFERROR(__xludf.DUMMYFUNCTION("""COMPUTED_VALUE"""),"User")</f>
        <v>User</v>
      </c>
      <c r="CO5" s="30" t="str">
        <f>IFERROR(__xludf.DUMMYFUNCTION("""COMPUTED_VALUE"""),"Venue")</f>
        <v>Venue</v>
      </c>
      <c r="CP5" s="30" t="str">
        <f>IFERROR(__xludf.DUMMYFUNCTION("""COMPUTED_VALUE"""),"Closing Method")</f>
        <v>Closing Method</v>
      </c>
      <c r="CQ5" s="30" t="str">
        <f>IFERROR(__xludf.DUMMYFUNCTION("""COMPUTED_VALUE"""),"Closing Date")</f>
        <v>Closing Date</v>
      </c>
      <c r="CR5" s="30" t="str">
        <f>IFERROR(__xludf.DUMMYFUNCTION("""COMPUTED_VALUE"""),"GroupID")</f>
        <v>GroupID</v>
      </c>
      <c r="CS5" s="30" t="str">
        <f>IFERROR(__xludf.DUMMYFUNCTION("""COMPUTED_VALUE"""),"Client")</f>
        <v>Client</v>
      </c>
      <c r="CT5" s="30" t="str">
        <f>IFERROR(__xludf.DUMMYFUNCTION("""COMPUTED_VALUE"""),"Borrow Broker")</f>
        <v>Borrow Broker</v>
      </c>
      <c r="CU5" s="30" t="str">
        <f>IFERROR(__xludf.DUMMYFUNCTION("""COMPUTED_VALUE"""),"ACTIV Symbol")</f>
        <v>ACTIV Symbol</v>
      </c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7"/>
      <c r="B6" s="31" t="s">
        <v>23</v>
      </c>
      <c r="C6" s="38" t="s">
        <v>39</v>
      </c>
      <c r="D6" s="31"/>
      <c r="E6" s="40">
        <v>100.0</v>
      </c>
      <c r="F6" s="38"/>
      <c r="G6" s="38" t="s">
        <v>40</v>
      </c>
      <c r="H6" s="38"/>
      <c r="I6" s="38"/>
      <c r="J6" s="38"/>
      <c r="K6" s="38"/>
      <c r="L6" s="38"/>
      <c r="M6" s="38"/>
      <c r="N6" s="38" t="s">
        <v>39</v>
      </c>
      <c r="O6" s="38" t="s">
        <v>24</v>
      </c>
      <c r="P6" s="38"/>
      <c r="Q6" s="42">
        <v>3.0</v>
      </c>
      <c r="R6" s="38"/>
      <c r="S6" s="38" t="s">
        <v>34</v>
      </c>
      <c r="T6" s="38"/>
      <c r="U6" s="38"/>
      <c r="V6" s="38"/>
      <c r="W6" s="38"/>
      <c r="X6" s="38"/>
      <c r="Y6" s="38"/>
      <c r="Z6" s="38"/>
      <c r="AA6" s="38"/>
      <c r="AB6" s="38"/>
      <c r="AC6" s="38"/>
      <c r="AD6" s="38"/>
      <c r="AE6" s="42">
        <v>100.0</v>
      </c>
      <c r="AF6" s="38" t="s">
        <v>39</v>
      </c>
      <c r="AG6" s="38"/>
      <c r="AH6" s="38"/>
      <c r="AI6" s="42">
        <v>1.0</v>
      </c>
      <c r="AJ6" s="38"/>
      <c r="AK6" s="38"/>
      <c r="AL6" s="38"/>
      <c r="AM6" s="38"/>
      <c r="AN6" s="38"/>
      <c r="AO6" s="38"/>
      <c r="AP6" s="38"/>
      <c r="AQ6" s="38"/>
      <c r="AR6" s="38"/>
      <c r="AS6" s="38"/>
      <c r="AT6" s="38"/>
      <c r="AU6" s="38"/>
      <c r="AV6" s="38"/>
      <c r="AW6" s="38"/>
      <c r="AX6" s="38"/>
      <c r="AY6" s="38"/>
      <c r="AZ6" s="38"/>
      <c r="BA6" s="38"/>
      <c r="BB6" s="38"/>
      <c r="BC6" s="38"/>
      <c r="BD6" s="38"/>
      <c r="BE6" s="38"/>
      <c r="BF6" s="38"/>
      <c r="BG6" s="38"/>
      <c r="BH6" s="38"/>
      <c r="BI6" s="38"/>
      <c r="BJ6" s="42">
        <v>100.0</v>
      </c>
      <c r="BK6" s="38"/>
      <c r="BL6" s="38" t="s">
        <v>39</v>
      </c>
      <c r="BM6" s="38" t="s">
        <v>41</v>
      </c>
      <c r="BN6" s="38"/>
      <c r="BO6" s="38" t="s">
        <v>22</v>
      </c>
      <c r="BP6" s="38"/>
      <c r="BQ6" s="38"/>
      <c r="BR6" s="38"/>
      <c r="BS6" s="38"/>
      <c r="BT6" s="38" t="s">
        <v>21</v>
      </c>
      <c r="BU6" s="38"/>
      <c r="BV6" s="38"/>
      <c r="BW6" s="38"/>
      <c r="BX6" s="38"/>
      <c r="BY6" s="38"/>
      <c r="BZ6" s="38"/>
      <c r="CA6" s="38"/>
      <c r="CB6" s="38"/>
      <c r="CC6" s="38"/>
      <c r="CD6" s="38"/>
      <c r="CE6" s="38"/>
      <c r="CF6" s="38"/>
      <c r="CG6" s="38"/>
      <c r="CH6" s="38"/>
      <c r="CI6" s="38" t="s">
        <v>22</v>
      </c>
      <c r="CJ6" s="38"/>
      <c r="CK6" s="38" t="s">
        <v>42</v>
      </c>
      <c r="CL6" s="42">
        <v>1.0</v>
      </c>
      <c r="CM6" s="38" t="s">
        <v>21</v>
      </c>
      <c r="CN6" s="38"/>
      <c r="CO6" s="38"/>
      <c r="CP6" s="38" t="s">
        <v>43</v>
      </c>
      <c r="CQ6" s="38"/>
      <c r="CR6" s="38"/>
      <c r="CS6" s="38"/>
      <c r="CT6" s="38"/>
      <c r="CU6" s="38"/>
      <c r="CV6" s="38"/>
      <c r="CW6" s="38"/>
      <c r="CX6" s="38"/>
      <c r="CY6" s="38"/>
      <c r="CZ6" s="38"/>
      <c r="DA6" s="38"/>
      <c r="DB6" s="38"/>
      <c r="DC6" s="38"/>
      <c r="DD6" s="38"/>
      <c r="DE6" s="38"/>
      <c r="DF6" s="38"/>
      <c r="DG6" s="38"/>
      <c r="DH6" s="38"/>
      <c r="DI6" s="38"/>
      <c r="DJ6" s="38"/>
      <c r="DK6" s="38"/>
      <c r="DL6" s="38"/>
      <c r="DM6" s="38"/>
      <c r="DN6" s="38"/>
      <c r="DO6" s="38"/>
      <c r="DP6" s="38"/>
      <c r="DQ6" s="38"/>
      <c r="DR6" s="38"/>
      <c r="DS6" s="38"/>
      <c r="DT6" s="38"/>
      <c r="DU6" s="38"/>
      <c r="DV6" s="38"/>
      <c r="DW6" s="38"/>
      <c r="DX6" s="38"/>
      <c r="DY6" s="38"/>
      <c r="DZ6" s="38"/>
      <c r="EA6" s="38"/>
      <c r="EB6" s="38"/>
      <c r="EC6" s="38"/>
      <c r="ED6" s="38"/>
      <c r="EE6" s="38"/>
      <c r="EF6" s="38"/>
      <c r="EG6" s="38"/>
      <c r="EH6" s="38"/>
      <c r="EI6" s="38"/>
      <c r="EJ6" s="38"/>
      <c r="EK6" s="38"/>
      <c r="EL6" s="38"/>
      <c r="EM6" s="38"/>
      <c r="EN6" s="38"/>
      <c r="EO6" s="38"/>
      <c r="EP6" s="38"/>
      <c r="EQ6" s="38"/>
      <c r="ER6" s="38"/>
      <c r="ES6" s="38"/>
      <c r="ET6" s="38"/>
      <c r="EU6" s="38"/>
      <c r="EV6" s="38"/>
      <c r="EW6" s="38"/>
      <c r="EX6" s="38"/>
    </row>
    <row r="7" ht="15.75" customHeight="1">
      <c r="A7" s="38"/>
      <c r="B7" s="38" t="s">
        <v>23</v>
      </c>
      <c r="C7" s="38" t="s">
        <v>39</v>
      </c>
      <c r="D7" s="38"/>
      <c r="E7" s="40">
        <v>10.0</v>
      </c>
      <c r="F7" s="38"/>
      <c r="G7" s="38" t="s">
        <v>44</v>
      </c>
      <c r="H7" s="38"/>
      <c r="I7" s="38"/>
      <c r="J7" s="38"/>
      <c r="K7" s="38"/>
      <c r="L7" s="38"/>
      <c r="M7" s="38"/>
      <c r="N7" s="38" t="s">
        <v>39</v>
      </c>
      <c r="O7" s="38" t="s">
        <v>24</v>
      </c>
      <c r="P7" s="38"/>
      <c r="Q7" s="42">
        <v>3.0</v>
      </c>
      <c r="R7" s="38"/>
      <c r="S7" s="38" t="s">
        <v>45</v>
      </c>
      <c r="T7" s="38"/>
      <c r="U7" s="38"/>
      <c r="V7" s="38"/>
      <c r="W7" s="38"/>
      <c r="X7" s="38"/>
      <c r="Y7" s="38"/>
      <c r="Z7" s="38"/>
      <c r="AA7" s="38"/>
      <c r="AB7" s="38"/>
      <c r="AC7" s="38"/>
      <c r="AD7" s="38"/>
      <c r="AE7" s="42">
        <v>10.0</v>
      </c>
      <c r="AF7" s="38" t="s">
        <v>39</v>
      </c>
      <c r="AG7" s="38"/>
      <c r="AH7" s="38"/>
      <c r="AI7" s="42">
        <v>1.0</v>
      </c>
      <c r="AJ7" s="38"/>
      <c r="AK7" s="38"/>
      <c r="AL7" s="38"/>
      <c r="AM7" s="38"/>
      <c r="AN7" s="38"/>
      <c r="AO7" s="38"/>
      <c r="AP7" s="38"/>
      <c r="AQ7" s="38"/>
      <c r="AR7" s="38"/>
      <c r="AS7" s="38"/>
      <c r="AT7" s="38"/>
      <c r="AU7" s="38"/>
      <c r="AV7" s="38"/>
      <c r="AW7" s="38"/>
      <c r="AX7" s="38"/>
      <c r="AY7" s="38"/>
      <c r="AZ7" s="38"/>
      <c r="BA7" s="38"/>
      <c r="BB7" s="38"/>
      <c r="BC7" s="38"/>
      <c r="BD7" s="38"/>
      <c r="BE7" s="38"/>
      <c r="BF7" s="38"/>
      <c r="BG7" s="38"/>
      <c r="BH7" s="38"/>
      <c r="BI7" s="38"/>
      <c r="BJ7" s="42">
        <v>10.0</v>
      </c>
      <c r="BK7" s="38"/>
      <c r="BL7" s="38" t="s">
        <v>39</v>
      </c>
      <c r="BM7" s="38" t="s">
        <v>41</v>
      </c>
      <c r="BN7" s="38"/>
      <c r="BO7" s="38" t="s">
        <v>46</v>
      </c>
      <c r="BP7" s="38"/>
      <c r="BQ7" s="38"/>
      <c r="BR7" s="38"/>
      <c r="BS7" s="38"/>
      <c r="BT7" s="43" t="s">
        <v>26</v>
      </c>
      <c r="BU7" s="38"/>
      <c r="BV7" s="38"/>
      <c r="BW7" s="38"/>
      <c r="BX7" s="38"/>
      <c r="BY7" s="38"/>
      <c r="BZ7" s="38"/>
      <c r="CA7" s="38"/>
      <c r="CB7" s="38"/>
      <c r="CC7" s="38"/>
      <c r="CD7" s="38"/>
      <c r="CE7" s="38"/>
      <c r="CF7" s="38"/>
      <c r="CG7" s="38"/>
      <c r="CH7" s="38"/>
      <c r="CI7" s="38" t="s">
        <v>47</v>
      </c>
      <c r="CJ7" s="38"/>
      <c r="CK7" s="38" t="s">
        <v>42</v>
      </c>
      <c r="CL7" s="42">
        <v>1.0</v>
      </c>
      <c r="CM7" s="38" t="s">
        <v>21</v>
      </c>
      <c r="CN7" s="38"/>
      <c r="CO7" s="38"/>
      <c r="CP7" s="38" t="s">
        <v>43</v>
      </c>
      <c r="CQ7" s="38"/>
      <c r="CR7" s="38"/>
      <c r="CS7" s="38"/>
      <c r="CT7" s="38"/>
      <c r="CU7" s="38"/>
      <c r="CV7" s="38"/>
      <c r="CW7" s="38"/>
      <c r="CX7" s="38"/>
      <c r="CY7" s="38"/>
      <c r="CZ7" s="38"/>
      <c r="DA7" s="38"/>
      <c r="DB7" s="38"/>
      <c r="DC7" s="38"/>
      <c r="DD7" s="38"/>
      <c r="DE7" s="38"/>
      <c r="DF7" s="38"/>
      <c r="DG7" s="38"/>
      <c r="DH7" s="38"/>
      <c r="DI7" s="38"/>
      <c r="DJ7" s="38"/>
      <c r="DK7" s="38"/>
      <c r="DL7" s="38"/>
      <c r="DM7" s="38"/>
      <c r="DN7" s="38"/>
      <c r="DO7" s="38"/>
      <c r="DP7" s="38"/>
      <c r="DQ7" s="38"/>
      <c r="DR7" s="38"/>
      <c r="DS7" s="38"/>
      <c r="DT7" s="38"/>
      <c r="DU7" s="38"/>
      <c r="DV7" s="38"/>
      <c r="DW7" s="38"/>
      <c r="DX7" s="38"/>
      <c r="DY7" s="38"/>
      <c r="DZ7" s="38"/>
      <c r="EA7" s="38"/>
      <c r="EB7" s="38"/>
      <c r="EC7" s="38"/>
      <c r="ED7" s="38"/>
      <c r="EE7" s="38"/>
      <c r="EF7" s="38"/>
      <c r="EG7" s="38"/>
      <c r="EH7" s="38"/>
      <c r="EI7" s="38"/>
      <c r="EJ7" s="38"/>
      <c r="EK7" s="38"/>
      <c r="EL7" s="38"/>
      <c r="EM7" s="38"/>
      <c r="EN7" s="38"/>
      <c r="EO7" s="38"/>
      <c r="EP7" s="38"/>
      <c r="EQ7" s="38"/>
      <c r="ER7" s="38"/>
      <c r="ES7" s="38"/>
      <c r="ET7" s="38"/>
      <c r="EU7" s="38"/>
      <c r="EV7" s="38"/>
      <c r="EW7" s="38"/>
      <c r="EX7" s="38"/>
    </row>
    <row r="8" ht="15.75" customHeight="1">
      <c r="A8" s="38"/>
      <c r="B8" s="38" t="s">
        <v>23</v>
      </c>
      <c r="C8" s="38" t="s">
        <v>39</v>
      </c>
      <c r="D8" s="38"/>
      <c r="E8" s="40">
        <v>50.0</v>
      </c>
      <c r="F8" s="38"/>
      <c r="G8" s="38" t="s">
        <v>40</v>
      </c>
      <c r="H8" s="38"/>
      <c r="I8" s="38"/>
      <c r="J8" s="38"/>
      <c r="K8" s="38"/>
      <c r="L8" s="38"/>
      <c r="M8" s="38"/>
      <c r="N8" s="38" t="s">
        <v>39</v>
      </c>
      <c r="O8" s="38" t="s">
        <v>24</v>
      </c>
      <c r="P8" s="38"/>
      <c r="Q8" s="42">
        <v>3.0</v>
      </c>
      <c r="R8" s="38"/>
      <c r="S8" s="38" t="s">
        <v>34</v>
      </c>
      <c r="T8" s="38"/>
      <c r="U8" s="38"/>
      <c r="V8" s="38"/>
      <c r="W8" s="38"/>
      <c r="X8" s="38"/>
      <c r="Y8" s="38"/>
      <c r="Z8" s="38"/>
      <c r="AA8" s="38"/>
      <c r="AB8" s="38"/>
      <c r="AC8" s="38"/>
      <c r="AD8" s="38"/>
      <c r="AE8" s="42">
        <v>50.0</v>
      </c>
      <c r="AF8" s="38" t="s">
        <v>39</v>
      </c>
      <c r="AG8" s="38"/>
      <c r="AH8" s="38"/>
      <c r="AI8" s="42">
        <v>1.0</v>
      </c>
      <c r="AJ8" s="38"/>
      <c r="AK8" s="38"/>
      <c r="AL8" s="38"/>
      <c r="AM8" s="38"/>
      <c r="AN8" s="38"/>
      <c r="AO8" s="38"/>
      <c r="AP8" s="38"/>
      <c r="AQ8" s="38"/>
      <c r="AR8" s="38"/>
      <c r="AS8" s="38"/>
      <c r="AT8" s="38"/>
      <c r="AU8" s="38"/>
      <c r="AV8" s="38"/>
      <c r="AW8" s="38"/>
      <c r="AX8" s="38"/>
      <c r="AY8" s="38"/>
      <c r="AZ8" s="38"/>
      <c r="BA8" s="38"/>
      <c r="BB8" s="38"/>
      <c r="BC8" s="38"/>
      <c r="BD8" s="38"/>
      <c r="BE8" s="38"/>
      <c r="BF8" s="38"/>
      <c r="BG8" s="38"/>
      <c r="BH8" s="38"/>
      <c r="BI8" s="38"/>
      <c r="BJ8" s="42">
        <v>50.0</v>
      </c>
      <c r="BK8" s="38"/>
      <c r="BL8" s="38" t="s">
        <v>39</v>
      </c>
      <c r="BM8" s="38" t="s">
        <v>41</v>
      </c>
      <c r="BN8" s="38"/>
      <c r="BO8" s="38" t="s">
        <v>25</v>
      </c>
      <c r="BP8" s="38"/>
      <c r="BQ8" s="38"/>
      <c r="BR8" s="38"/>
      <c r="BS8" s="38"/>
      <c r="BT8" s="38" t="s">
        <v>21</v>
      </c>
      <c r="BU8" s="38"/>
      <c r="BV8" s="38"/>
      <c r="BW8" s="38"/>
      <c r="BX8" s="38"/>
      <c r="BY8" s="38"/>
      <c r="BZ8" s="38"/>
      <c r="CA8" s="38"/>
      <c r="CB8" s="38"/>
      <c r="CC8" s="38"/>
      <c r="CD8" s="38"/>
      <c r="CE8" s="38"/>
      <c r="CF8" s="38"/>
      <c r="CG8" s="38"/>
      <c r="CH8" s="38"/>
      <c r="CI8" s="38" t="s">
        <v>25</v>
      </c>
      <c r="CJ8" s="38"/>
      <c r="CK8" s="38" t="s">
        <v>42</v>
      </c>
      <c r="CL8" s="42">
        <v>1.0</v>
      </c>
      <c r="CM8" s="38" t="s">
        <v>21</v>
      </c>
      <c r="CN8" s="38"/>
      <c r="CO8" s="38"/>
      <c r="CP8" s="38" t="s">
        <v>43</v>
      </c>
      <c r="CQ8" s="38"/>
      <c r="CR8" s="38"/>
      <c r="CS8" s="38"/>
      <c r="CT8" s="38"/>
      <c r="CU8" s="38"/>
      <c r="CV8" s="38"/>
      <c r="CW8" s="38"/>
      <c r="CX8" s="38"/>
      <c r="CY8" s="38"/>
      <c r="CZ8" s="38"/>
      <c r="DA8" s="38"/>
      <c r="DB8" s="38"/>
      <c r="DC8" s="38"/>
      <c r="DD8" s="38"/>
      <c r="DE8" s="38"/>
      <c r="DF8" s="38"/>
      <c r="DG8" s="38"/>
      <c r="DH8" s="38"/>
      <c r="DI8" s="38"/>
      <c r="DJ8" s="38"/>
      <c r="DK8" s="38"/>
      <c r="DL8" s="38"/>
      <c r="DM8" s="38"/>
      <c r="DN8" s="38"/>
      <c r="DO8" s="38"/>
      <c r="DP8" s="38"/>
      <c r="DQ8" s="38"/>
      <c r="DR8" s="38"/>
      <c r="DS8" s="38"/>
      <c r="DT8" s="38"/>
      <c r="DU8" s="38"/>
      <c r="DV8" s="38"/>
      <c r="DW8" s="38"/>
      <c r="DX8" s="38"/>
      <c r="DY8" s="38"/>
      <c r="DZ8" s="38"/>
      <c r="EA8" s="38"/>
      <c r="EB8" s="38"/>
      <c r="EC8" s="38"/>
      <c r="ED8" s="38"/>
      <c r="EE8" s="38"/>
      <c r="EF8" s="38"/>
      <c r="EG8" s="38"/>
      <c r="EH8" s="38"/>
      <c r="EI8" s="38"/>
      <c r="EJ8" s="38"/>
      <c r="EK8" s="38"/>
      <c r="EL8" s="38"/>
      <c r="EM8" s="38"/>
      <c r="EN8" s="38"/>
      <c r="EO8" s="38"/>
      <c r="EP8" s="38"/>
      <c r="EQ8" s="38"/>
      <c r="ER8" s="38"/>
      <c r="ES8" s="38"/>
      <c r="ET8" s="38"/>
      <c r="EU8" s="38"/>
      <c r="EV8" s="38"/>
      <c r="EW8" s="38"/>
      <c r="EX8" s="38"/>
    </row>
    <row r="9" ht="15.75" customHeight="1">
      <c r="A9" s="38"/>
      <c r="B9" s="38" t="s">
        <v>23</v>
      </c>
      <c r="C9" s="38" t="s">
        <v>39</v>
      </c>
      <c r="D9" s="38"/>
      <c r="E9" s="40">
        <v>50.0</v>
      </c>
      <c r="F9" s="38"/>
      <c r="G9" s="38" t="s">
        <v>40</v>
      </c>
      <c r="H9" s="38"/>
      <c r="I9" s="38"/>
      <c r="J9" s="38"/>
      <c r="K9" s="38"/>
      <c r="L9" s="38"/>
      <c r="M9" s="38"/>
      <c r="N9" s="38" t="s">
        <v>39</v>
      </c>
      <c r="O9" s="38" t="s">
        <v>24</v>
      </c>
      <c r="P9" s="38"/>
      <c r="Q9" s="42">
        <v>3.0</v>
      </c>
      <c r="R9" s="38"/>
      <c r="S9" s="38" t="s">
        <v>34</v>
      </c>
      <c r="T9" s="38"/>
      <c r="U9" s="38"/>
      <c r="V9" s="38"/>
      <c r="W9" s="38"/>
      <c r="X9" s="38"/>
      <c r="Y9" s="38"/>
      <c r="Z9" s="38"/>
      <c r="AA9" s="38"/>
      <c r="AB9" s="38"/>
      <c r="AC9" s="38"/>
      <c r="AD9" s="38"/>
      <c r="AE9" s="42">
        <v>50.0</v>
      </c>
      <c r="AF9" s="38" t="s">
        <v>39</v>
      </c>
      <c r="AG9" s="38"/>
      <c r="AH9" s="38"/>
      <c r="AI9" s="42">
        <v>1.0</v>
      </c>
      <c r="AJ9" s="38"/>
      <c r="AK9" s="38"/>
      <c r="AL9" s="38"/>
      <c r="AM9" s="38"/>
      <c r="AN9" s="38"/>
      <c r="AO9" s="38"/>
      <c r="AP9" s="38"/>
      <c r="AQ9" s="38"/>
      <c r="AR9" s="38"/>
      <c r="AS9" s="38"/>
      <c r="AT9" s="38"/>
      <c r="AU9" s="38"/>
      <c r="AV9" s="38"/>
      <c r="AW9" s="38"/>
      <c r="AX9" s="38"/>
      <c r="AY9" s="38"/>
      <c r="AZ9" s="38"/>
      <c r="BA9" s="38"/>
      <c r="BB9" s="38"/>
      <c r="BC9" s="38"/>
      <c r="BD9" s="38"/>
      <c r="BE9" s="38"/>
      <c r="BF9" s="38"/>
      <c r="BG9" s="38"/>
      <c r="BH9" s="38"/>
      <c r="BI9" s="38"/>
      <c r="BJ9" s="42">
        <v>50.0</v>
      </c>
      <c r="BK9" s="38"/>
      <c r="BL9" s="38" t="s">
        <v>39</v>
      </c>
      <c r="BM9" s="38" t="s">
        <v>41</v>
      </c>
      <c r="BN9" s="38"/>
      <c r="BO9" s="38" t="s">
        <v>25</v>
      </c>
      <c r="BP9" s="38"/>
      <c r="BQ9" s="38"/>
      <c r="BR9" s="38"/>
      <c r="BS9" s="38"/>
      <c r="BT9" s="38" t="s">
        <v>21</v>
      </c>
      <c r="BU9" s="38"/>
      <c r="BV9" s="38"/>
      <c r="BW9" s="38"/>
      <c r="BX9" s="38"/>
      <c r="BY9" s="38"/>
      <c r="BZ9" s="38"/>
      <c r="CA9" s="38"/>
      <c r="CB9" s="38"/>
      <c r="CC9" s="38"/>
      <c r="CD9" s="38"/>
      <c r="CE9" s="38"/>
      <c r="CF9" s="38"/>
      <c r="CG9" s="38"/>
      <c r="CH9" s="38"/>
      <c r="CI9" s="38" t="s">
        <v>47</v>
      </c>
      <c r="CJ9" s="38"/>
      <c r="CK9" s="38" t="s">
        <v>42</v>
      </c>
      <c r="CL9" s="42">
        <v>1.0</v>
      </c>
      <c r="CM9" s="38" t="s">
        <v>21</v>
      </c>
      <c r="CN9" s="38"/>
      <c r="CO9" s="38"/>
      <c r="CP9" s="38" t="s">
        <v>43</v>
      </c>
      <c r="CQ9" s="38"/>
      <c r="CR9" s="38"/>
      <c r="CS9" s="38"/>
      <c r="CT9" s="38"/>
      <c r="CU9" s="38"/>
      <c r="CV9" s="38"/>
      <c r="CW9" s="38"/>
      <c r="CX9" s="38"/>
      <c r="CY9" s="38"/>
      <c r="CZ9" s="38"/>
      <c r="DA9" s="38"/>
      <c r="DB9" s="38"/>
      <c r="DC9" s="38"/>
      <c r="DD9" s="38"/>
      <c r="DE9" s="38"/>
      <c r="DF9" s="38"/>
      <c r="DG9" s="38"/>
      <c r="DH9" s="38"/>
      <c r="DI9" s="38"/>
      <c r="DJ9" s="38"/>
      <c r="DK9" s="38"/>
      <c r="DL9" s="38"/>
      <c r="DM9" s="38"/>
      <c r="DN9" s="38"/>
      <c r="DO9" s="38"/>
      <c r="DP9" s="38"/>
      <c r="DQ9" s="38"/>
      <c r="DR9" s="38"/>
      <c r="DS9" s="38"/>
      <c r="DT9" s="38"/>
      <c r="DU9" s="38"/>
      <c r="DV9" s="38"/>
      <c r="DW9" s="38"/>
      <c r="DX9" s="38"/>
      <c r="DY9" s="38"/>
      <c r="DZ9" s="38"/>
      <c r="EA9" s="38"/>
      <c r="EB9" s="38"/>
      <c r="EC9" s="38"/>
      <c r="ED9" s="38"/>
      <c r="EE9" s="38"/>
      <c r="EF9" s="38"/>
      <c r="EG9" s="38"/>
      <c r="EH9" s="38"/>
      <c r="EI9" s="38"/>
      <c r="EJ9" s="38"/>
      <c r="EK9" s="38"/>
      <c r="EL9" s="38"/>
      <c r="EM9" s="38"/>
      <c r="EN9" s="38"/>
      <c r="EO9" s="38"/>
      <c r="EP9" s="38"/>
      <c r="EQ9" s="38"/>
      <c r="ER9" s="38"/>
      <c r="ES9" s="38"/>
      <c r="ET9" s="38"/>
      <c r="EU9" s="38"/>
      <c r="EV9" s="38"/>
      <c r="EW9" s="38"/>
      <c r="EX9" s="38"/>
    </row>
    <row r="10" ht="15.75" customHeight="1">
      <c r="A10" s="38"/>
      <c r="B10" s="38" t="s">
        <v>23</v>
      </c>
      <c r="C10" s="38" t="s">
        <v>39</v>
      </c>
      <c r="D10" s="38"/>
      <c r="E10" s="40">
        <v>950.0</v>
      </c>
      <c r="F10" s="38"/>
      <c r="G10" s="38" t="s">
        <v>40</v>
      </c>
      <c r="H10" s="38"/>
      <c r="I10" s="38"/>
      <c r="J10" s="38"/>
      <c r="K10" s="38"/>
      <c r="L10" s="38"/>
      <c r="M10" s="38"/>
      <c r="N10" s="38" t="s">
        <v>39</v>
      </c>
      <c r="O10" s="38" t="s">
        <v>24</v>
      </c>
      <c r="P10" s="38"/>
      <c r="Q10" s="42">
        <v>3.0</v>
      </c>
      <c r="R10" s="38"/>
      <c r="S10" s="38" t="s">
        <v>34</v>
      </c>
      <c r="T10" s="38"/>
      <c r="U10" s="38"/>
      <c r="V10" s="38"/>
      <c r="W10" s="38"/>
      <c r="X10" s="38"/>
      <c r="Y10" s="38"/>
      <c r="Z10" s="38"/>
      <c r="AA10" s="38"/>
      <c r="AB10" s="38"/>
      <c r="AC10" s="38"/>
      <c r="AD10" s="38"/>
      <c r="AE10" s="42">
        <v>950.0</v>
      </c>
      <c r="AF10" s="38" t="s">
        <v>39</v>
      </c>
      <c r="AG10" s="38"/>
      <c r="AH10" s="38"/>
      <c r="AI10" s="42">
        <v>1.0</v>
      </c>
      <c r="AJ10" s="38"/>
      <c r="AK10" s="38"/>
      <c r="AL10" s="38"/>
      <c r="AM10" s="38"/>
      <c r="AN10" s="38"/>
      <c r="AO10" s="38"/>
      <c r="AP10" s="38"/>
      <c r="AQ10" s="38"/>
      <c r="AR10" s="38"/>
      <c r="AS10" s="38"/>
      <c r="AT10" s="38"/>
      <c r="AU10" s="38"/>
      <c r="AV10" s="38"/>
      <c r="AW10" s="38"/>
      <c r="AX10" s="38"/>
      <c r="AY10" s="38"/>
      <c r="AZ10" s="38"/>
      <c r="BA10" s="38"/>
      <c r="BB10" s="38"/>
      <c r="BC10" s="38"/>
      <c r="BD10" s="38"/>
      <c r="BE10" s="38"/>
      <c r="BF10" s="38"/>
      <c r="BG10" s="38"/>
      <c r="BH10" s="38"/>
      <c r="BI10" s="38"/>
      <c r="BJ10" s="42">
        <v>950.0</v>
      </c>
      <c r="BK10" s="38"/>
      <c r="BL10" s="38" t="s">
        <v>39</v>
      </c>
      <c r="BM10" s="38" t="s">
        <v>41</v>
      </c>
      <c r="BN10" s="38"/>
      <c r="BO10" s="38" t="s">
        <v>48</v>
      </c>
      <c r="BP10" s="38"/>
      <c r="BQ10" s="38"/>
      <c r="BR10" s="38"/>
      <c r="BS10" s="38"/>
      <c r="BT10" s="38" t="s">
        <v>21</v>
      </c>
      <c r="BU10" s="38"/>
      <c r="BV10" s="38"/>
      <c r="BW10" s="38"/>
      <c r="BX10" s="38"/>
      <c r="BY10" s="38"/>
      <c r="BZ10" s="38"/>
      <c r="CA10" s="38"/>
      <c r="CB10" s="38"/>
      <c r="CC10" s="38"/>
      <c r="CD10" s="38"/>
      <c r="CE10" s="38"/>
      <c r="CF10" s="38"/>
      <c r="CG10" s="38"/>
      <c r="CH10" s="38"/>
      <c r="CI10" s="38" t="s">
        <v>47</v>
      </c>
      <c r="CJ10" s="38"/>
      <c r="CK10" s="38" t="s">
        <v>42</v>
      </c>
      <c r="CL10" s="42">
        <v>1.0</v>
      </c>
      <c r="CM10" s="38" t="s">
        <v>21</v>
      </c>
      <c r="CN10" s="38"/>
      <c r="CO10" s="38"/>
      <c r="CP10" s="38" t="s">
        <v>43</v>
      </c>
      <c r="CQ10" s="38"/>
      <c r="CR10" s="38"/>
      <c r="CS10" s="38"/>
      <c r="CT10" s="38"/>
      <c r="CU10" s="38"/>
      <c r="CV10" s="38"/>
      <c r="CW10" s="38"/>
      <c r="CX10" s="38"/>
      <c r="CY10" s="38"/>
      <c r="CZ10" s="38"/>
      <c r="DA10" s="38"/>
      <c r="DB10" s="38"/>
      <c r="DC10" s="38"/>
      <c r="DD10" s="38"/>
      <c r="DE10" s="38"/>
      <c r="DF10" s="38"/>
      <c r="DG10" s="38"/>
      <c r="DH10" s="38"/>
      <c r="DI10" s="38"/>
      <c r="DJ10" s="38"/>
      <c r="DK10" s="38"/>
      <c r="DL10" s="38"/>
      <c r="DM10" s="38"/>
      <c r="DN10" s="38"/>
      <c r="DO10" s="38"/>
      <c r="DP10" s="38"/>
      <c r="DQ10" s="38"/>
      <c r="DR10" s="38"/>
      <c r="DS10" s="38"/>
      <c r="DT10" s="38"/>
      <c r="DU10" s="38"/>
      <c r="DV10" s="38"/>
      <c r="DW10" s="38"/>
      <c r="DX10" s="38"/>
      <c r="DY10" s="38"/>
      <c r="DZ10" s="38"/>
      <c r="EA10" s="38"/>
      <c r="EB10" s="38"/>
      <c r="EC10" s="38"/>
      <c r="ED10" s="38"/>
      <c r="EE10" s="38"/>
      <c r="EF10" s="38"/>
      <c r="EG10" s="38"/>
      <c r="EH10" s="38"/>
      <c r="EI10" s="38"/>
      <c r="EJ10" s="38"/>
      <c r="EK10" s="38"/>
      <c r="EL10" s="38"/>
      <c r="EM10" s="38"/>
      <c r="EN10" s="38"/>
      <c r="EO10" s="38"/>
      <c r="EP10" s="38"/>
      <c r="EQ10" s="38"/>
      <c r="ER10" s="38"/>
      <c r="ES10" s="38"/>
      <c r="ET10" s="38"/>
      <c r="EU10" s="38"/>
      <c r="EV10" s="38"/>
      <c r="EW10" s="38"/>
      <c r="EX10" s="38"/>
    </row>
    <row r="11" ht="15.75" customHeight="1">
      <c r="A11" s="38"/>
      <c r="B11" s="38" t="s">
        <v>23</v>
      </c>
      <c r="C11" s="38" t="s">
        <v>39</v>
      </c>
      <c r="D11" s="38"/>
      <c r="E11" s="40">
        <v>10.0</v>
      </c>
      <c r="F11" s="38"/>
      <c r="G11" s="38" t="s">
        <v>44</v>
      </c>
      <c r="H11" s="38"/>
      <c r="I11" s="38"/>
      <c r="J11" s="38"/>
      <c r="K11" s="38"/>
      <c r="L11" s="38"/>
      <c r="M11" s="38"/>
      <c r="N11" s="38" t="s">
        <v>39</v>
      </c>
      <c r="O11" s="38" t="s">
        <v>24</v>
      </c>
      <c r="P11" s="38"/>
      <c r="Q11" s="42">
        <v>3.0</v>
      </c>
      <c r="R11" s="38"/>
      <c r="S11" s="38" t="s">
        <v>45</v>
      </c>
      <c r="T11" s="38"/>
      <c r="U11" s="38"/>
      <c r="V11" s="38"/>
      <c r="W11" s="38"/>
      <c r="X11" s="38"/>
      <c r="Y11" s="38"/>
      <c r="Z11" s="38"/>
      <c r="AA11" s="38"/>
      <c r="AB11" s="38"/>
      <c r="AC11" s="38"/>
      <c r="AD11" s="38"/>
      <c r="AE11" s="42">
        <v>10.0</v>
      </c>
      <c r="AF11" s="38" t="s">
        <v>39</v>
      </c>
      <c r="AG11" s="38"/>
      <c r="AH11" s="38"/>
      <c r="AI11" s="42">
        <v>1.0</v>
      </c>
      <c r="AJ11" s="38"/>
      <c r="AK11" s="38"/>
      <c r="AL11" s="38"/>
      <c r="AM11" s="38"/>
      <c r="AN11" s="38"/>
      <c r="AO11" s="38"/>
      <c r="AP11" s="38"/>
      <c r="AQ11" s="38"/>
      <c r="AR11" s="38"/>
      <c r="AS11" s="38"/>
      <c r="AT11" s="38"/>
      <c r="AU11" s="38"/>
      <c r="AV11" s="38"/>
      <c r="AW11" s="38"/>
      <c r="AX11" s="38"/>
      <c r="AY11" s="38"/>
      <c r="AZ11" s="38"/>
      <c r="BA11" s="38"/>
      <c r="BB11" s="38"/>
      <c r="BC11" s="38"/>
      <c r="BD11" s="38"/>
      <c r="BE11" s="38"/>
      <c r="BF11" s="38"/>
      <c r="BG11" s="38"/>
      <c r="BH11" s="38"/>
      <c r="BI11" s="38"/>
      <c r="BJ11" s="42">
        <v>10.0</v>
      </c>
      <c r="BK11" s="38"/>
      <c r="BL11" s="38" t="s">
        <v>39</v>
      </c>
      <c r="BM11" s="38" t="s">
        <v>41</v>
      </c>
      <c r="BN11" s="38"/>
      <c r="BO11" s="38" t="s">
        <v>27</v>
      </c>
      <c r="BP11" s="38"/>
      <c r="BQ11" s="38"/>
      <c r="BR11" s="38"/>
      <c r="BS11" s="38"/>
      <c r="BT11" s="43" t="s">
        <v>26</v>
      </c>
      <c r="BU11" s="38"/>
      <c r="BV11" s="38"/>
      <c r="BW11" s="38"/>
      <c r="BX11" s="38"/>
      <c r="BY11" s="38"/>
      <c r="BZ11" s="38"/>
      <c r="CA11" s="38"/>
      <c r="CB11" s="38"/>
      <c r="CC11" s="38"/>
      <c r="CD11" s="38"/>
      <c r="CE11" s="38"/>
      <c r="CF11" s="38"/>
      <c r="CG11" s="38"/>
      <c r="CH11" s="38"/>
      <c r="CI11" s="38" t="s">
        <v>49</v>
      </c>
      <c r="CJ11" s="38"/>
      <c r="CK11" s="38" t="s">
        <v>42</v>
      </c>
      <c r="CL11" s="42">
        <v>1.0</v>
      </c>
      <c r="CM11" s="38" t="s">
        <v>21</v>
      </c>
      <c r="CN11" s="38"/>
      <c r="CO11" s="38"/>
      <c r="CP11" s="38" t="s">
        <v>43</v>
      </c>
      <c r="CQ11" s="38"/>
      <c r="CR11" s="38"/>
      <c r="CS11" s="38"/>
      <c r="CT11" s="38"/>
      <c r="CU11" s="38"/>
      <c r="CV11" s="38"/>
      <c r="CW11" s="38"/>
      <c r="CX11" s="38"/>
      <c r="CY11" s="38"/>
      <c r="CZ11" s="38"/>
      <c r="DA11" s="38"/>
      <c r="DB11" s="38"/>
      <c r="DC11" s="38"/>
      <c r="DD11" s="38"/>
      <c r="DE11" s="38"/>
      <c r="DF11" s="38"/>
      <c r="DG11" s="38"/>
      <c r="DH11" s="38"/>
      <c r="DI11" s="38"/>
      <c r="DJ11" s="38"/>
      <c r="DK11" s="38"/>
      <c r="DL11" s="38"/>
      <c r="DM11" s="38"/>
      <c r="DN11" s="38"/>
      <c r="DO11" s="38"/>
      <c r="DP11" s="38"/>
      <c r="DQ11" s="38"/>
      <c r="DR11" s="38"/>
      <c r="DS11" s="38"/>
      <c r="DT11" s="38"/>
      <c r="DU11" s="38"/>
      <c r="DV11" s="38"/>
      <c r="DW11" s="38"/>
      <c r="DX11" s="38"/>
      <c r="DY11" s="38"/>
      <c r="DZ11" s="38"/>
      <c r="EA11" s="38"/>
      <c r="EB11" s="38"/>
      <c r="EC11" s="38"/>
      <c r="ED11" s="38"/>
      <c r="EE11" s="38"/>
      <c r="EF11" s="38"/>
      <c r="EG11" s="38"/>
      <c r="EH11" s="38"/>
      <c r="EI11" s="38"/>
      <c r="EJ11" s="38"/>
      <c r="EK11" s="38"/>
      <c r="EL11" s="38"/>
      <c r="EM11" s="38"/>
      <c r="EN11" s="38"/>
      <c r="EO11" s="38"/>
      <c r="EP11" s="38"/>
      <c r="EQ11" s="38"/>
      <c r="ER11" s="38"/>
      <c r="ES11" s="38"/>
      <c r="ET11" s="38"/>
      <c r="EU11" s="38"/>
      <c r="EV11" s="38"/>
      <c r="EW11" s="38"/>
      <c r="EX11" s="3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CheckAllocatedGroups!$4:$4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76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50</v>
      </c>
      <c r="D3" s="5" t="s">
        <v>9</v>
      </c>
      <c r="E3" s="23" t="s">
        <v>51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</row>
    <row r="4" ht="15.75" customHeight="1">
      <c r="A4" s="25"/>
      <c r="B4" s="25" t="str">
        <f>IFERROR(__xludf.DUMMYFUNCTION("IF(C3="""","""",Transpose(IMPORTRANGE('_Settings'!$B$3,C3&amp;""!A4:A1000"")))"),"CheckDashboardPM")</f>
        <v>CheckDashboardPM</v>
      </c>
      <c r="C4" s="25" t="str">
        <f>IFERROR(__xludf.DUMMYFUNCTION("""COMPUTED_VALUE"""),"CheckPortfolioManagement")</f>
        <v>CheckPortfolioManagement</v>
      </c>
      <c r="D4" s="25" t="str">
        <f>IFERROR(__xludf.DUMMYFUNCTION("""COMPUTED_VALUE"""),"CheckPMLiveFeed")</f>
        <v>CheckPMLiveFeed</v>
      </c>
      <c r="E4" s="25" t="str">
        <f>IFERROR(__xludf.DUMMYFUNCTION("""COMPUTED_VALUE"""),"OpenPSTFromPM")</f>
        <v>OpenPSTFromPM</v>
      </c>
      <c r="F4" s="25" t="str">
        <f>IFERROR(__xludf.DUMMYFUNCTION("""COMPUTED_VALUE"""),"IncreasePositionFromPM")</f>
        <v>IncreasePositionFromPM</v>
      </c>
      <c r="G4" s="25" t="str">
        <f>IFERROR(__xludf.DUMMYFUNCTION("""COMPUTED_VALUE"""),"ClosePM")</f>
        <v>ClosePM</v>
      </c>
      <c r="H4" s="25" t="str">
        <f>IFERROR(__xludf.DUMMYFUNCTION("""COMPUTED_VALUE"""),"RemoveGroupingFromPM")</f>
        <v>RemoveGroupingFromPM</v>
      </c>
      <c r="I4" s="25" t="str">
        <f>IFERROR(__xludf.DUMMYFUNCTION("""COMPUTED_VALUE"""),"OpenCreateTransactionFromPM")</f>
        <v>OpenCreateTransactionFromPM</v>
      </c>
      <c r="J4" s="25" t="str">
        <f>IFERROR(__xludf.DUMMYFUNCTION("""COMPUTED_VALUE"""),"FilterPM")</f>
        <v>FilterPM</v>
      </c>
      <c r="K4" s="25" t="str">
        <f>IFERROR(__xludf.DUMMYFUNCTION("""COMPUTED_VALUE"""),"GroupRowPM")</f>
        <v>GroupRowPM</v>
      </c>
      <c r="L4" s="25" t="str">
        <f>IFERROR(__xludf.DUMMYFUNCTION("""COMPUTED_VALUE"""),"CheckDashboardWithPM")</f>
        <v>CheckDashboardWithPM</v>
      </c>
      <c r="M4" s="25" t="str">
        <f>IFERROR(__xludf.DUMMYFUNCTION("""COMPUTED_VALUE"""),"RemoveFilterPM")</f>
        <v>RemoveFilterPM</v>
      </c>
      <c r="N4" s="25" t="str">
        <f>IFERROR(__xludf.DUMMYFUNCTION("""COMPUTED_VALUE"""),"CheckSummaryRowsPM")</f>
        <v>CheckSummaryRowsPM</v>
      </c>
      <c r="O4" s="25" t="str">
        <f>IFERROR(__xludf.DUMMYFUNCTION("""COMPUTED_VALUE"""),"OpenPTTFromPM")</f>
        <v>OpenPTTFromPM</v>
      </c>
      <c r="P4" s="26" t="str">
        <f>IFERROR(__xludf.DUMMYFUNCTION("""COMPUTED_VALUE"""),"DeleteCustomViewPM")</f>
        <v>DeleteCustomViewPM</v>
      </c>
      <c r="Q4" s="26" t="str">
        <f>IFERROR(__xludf.DUMMYFUNCTION("""COMPUTED_VALUE"""),"RenameCustomViewPM")</f>
        <v>RenameCustomViewPM</v>
      </c>
      <c r="R4" s="26" t="str">
        <f>IFERROR(__xludf.DUMMYFUNCTION("""COMPUTED_VALUE"""),"AddCustomViewRightClickPM")</f>
        <v>AddCustomViewRightClickPM</v>
      </c>
      <c r="S4" s="26" t="str">
        <f>IFERROR(__xludf.DUMMYFUNCTION("""COMPUTED_VALUE"""),"AddCustomViewPM")</f>
        <v>AddCustomViewPM</v>
      </c>
      <c r="T4" s="26" t="str">
        <f>IFERROR(__xludf.DUMMYFUNCTION("""COMPUTED_VALUE"""),"ExpandCollapsePM")</f>
        <v>ExpandCollapsePM</v>
      </c>
      <c r="U4" s="26" t="str">
        <f>IFERROR(__xludf.DUMMYFUNCTION("""COMPUTED_VALUE"""),"CloseSelectedTaxlotsFromPM")</f>
        <v>CloseSelectedTaxlotsFromPM</v>
      </c>
      <c r="V4" s="26" t="str">
        <f>IFERROR(__xludf.DUMMYFUNCTION("""COMPUTED_VALUE"""),"CloseAccountPositionFromPM")</f>
        <v>CloseAccountPositionFromPM</v>
      </c>
      <c r="W4" s="26" t="str">
        <f>IFERROR(__xludf.DUMMYFUNCTION("""COMPUTED_VALUE"""),"HideSummaryToolFromPM")</f>
        <v>HideSummaryToolFromPM</v>
      </c>
      <c r="X4" s="26" t="str">
        <f>IFERROR(__xludf.DUMMYFUNCTION("""COMPUTED_VALUE"""),"ShowSummaryToolFromPM")</f>
        <v>ShowSummaryToolFromPM</v>
      </c>
      <c r="Y4" s="26" t="str">
        <f>IFERROR(__xludf.DUMMYFUNCTION("""COMPUTED_VALUE"""),"ClosePositionFromPM")</f>
        <v>ClosePositionFromPM</v>
      </c>
      <c r="Z4" s="26" t="str">
        <f>IFERROR(__xludf.DUMMYFUNCTION("""COMPUTED_VALUE"""),"OpenDailyValuationFromPM")</f>
        <v>OpenDailyValuationFromPM</v>
      </c>
      <c r="AA4" s="26" t="str">
        <f>IFERROR(__xludf.DUMMYFUNCTION("""COMPUTED_VALUE"""),"OpenCorporateActionFromPM")</f>
        <v>OpenCorporateActionFromPM</v>
      </c>
      <c r="AB4" s="26" t="str">
        <f>IFERROR(__xludf.DUMMYFUNCTION("""COMPUTED_VALUE"""),"OpenClosingFromPM")</f>
        <v>OpenClosingFromPM</v>
      </c>
      <c r="AC4" s="26" t="str">
        <f>IFERROR(__xludf.DUMMYFUNCTION("""COMPUTED_VALUE"""),"SortAndVerifyPM")</f>
        <v>SortAndVerifyPM</v>
      </c>
      <c r="AD4" s="26" t="str">
        <f>IFERROR(__xludf.DUMMYFUNCTION("""COMPUTED_VALUE"""),"OpenPIFromPM")</f>
        <v>OpenPIFromPM</v>
      </c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IFERROR(__xludf.DUMMYFUNCTION("""COMPUTED_VALUE"""),"Trade Date")</f>
        <v>Trade Date</v>
      </c>
      <c r="C5" s="28" t="str">
        <f>IFERROR(__xludf.DUMMYFUNCTION("""COMPUTED_VALUE"""),"Symbol")</f>
        <v>Symbol</v>
      </c>
      <c r="D5" s="28" t="str">
        <f>IFERROR(__xludf.DUMMYFUNCTION("""COMPUTED_VALUE"""),"Position")</f>
        <v>Position</v>
      </c>
      <c r="E5" s="28" t="str">
        <f>IFERROR(__xludf.DUMMYFUNCTION("""COMPUTED_VALUE"""),"Account")</f>
        <v>Account</v>
      </c>
      <c r="F5" s="29" t="str">
        <f>IFERROR(__xludf.DUMMYFUNCTION("""COMPUTED_VALUE"""),"MasterFund")</f>
        <v>MasterFund</v>
      </c>
      <c r="G5" s="28" t="str">
        <f>IFERROR(__xludf.DUMMYFUNCTION("""COMPUTED_VALUE"""),"Cost Basis")</f>
        <v>Cost Basis</v>
      </c>
      <c r="H5" s="28" t="str">
        <f>IFERROR(__xludf.DUMMYFUNCTION("""COMPUTED_VALUE"""),"Position Side")</f>
        <v>Position Side</v>
      </c>
      <c r="I5" s="28" t="str">
        <f>IFERROR(__xludf.DUMMYFUNCTION("""COMPUTED_VALUE"""),"Market Value (Base)")</f>
        <v>Market Value (Base)</v>
      </c>
      <c r="J5" s="28" t="str">
        <f>IFERROR(__xludf.DUMMYFUNCTION("""COMPUTED_VALUE"""),"% Day P&amp;L (Gross MV)")</f>
        <v>% Day P&amp;L (Gross MV)</v>
      </c>
      <c r="K5" s="28" t="str">
        <f>IFERROR(__xludf.DUMMYFUNCTION("""COMPUTED_VALUE"""),"Net Exposure (Base)")</f>
        <v>Net Exposure (Base)</v>
      </c>
      <c r="L5" s="28" t="str">
        <f>IFERROR(__xludf.DUMMYFUNCTION("""COMPUTED_VALUE"""),"Beta Adj. Gross Exposure (Base)")</f>
        <v>Beta Adj. Gross Exposure (Base)</v>
      </c>
      <c r="M5" s="28" t="str">
        <f>IFERROR(__xludf.DUMMYFUNCTION("""COMPUTED_VALUE"""),"Beta Adj. Gross Exposure (Underlying) (Base)")</f>
        <v>Beta Adj. Gross Exposure (Underlying) (Base)</v>
      </c>
      <c r="N5" s="28" t="str">
        <f>IFERROR(__xludf.DUMMYFUNCTION("""COMPUTED_VALUE"""),"Day P&amp;L (Base)")</f>
        <v>Day P&amp;L (Base)</v>
      </c>
      <c r="O5" s="28" t="str">
        <f>IFERROR(__xludf.DUMMYFUNCTION("""COMPUTED_VALUE"""),"Security Name")</f>
        <v>Security Name</v>
      </c>
      <c r="P5" s="28" t="str">
        <f>IFERROR(__xludf.DUMMYFUNCTION("""COMPUTED_VALUE"""),"Closing Mark")</f>
        <v>Closing Mark</v>
      </c>
      <c r="Q5" s="28" t="str">
        <f>IFERROR(__xludf.DUMMYFUNCTION("""COMPUTED_VALUE"""),"Cost Basis P&amp;L (Base)")</f>
        <v>Cost Basis P&amp;L (Base)</v>
      </c>
      <c r="R5" s="28" t="str">
        <f>IFERROR(__xludf.DUMMYFUNCTION("""COMPUTED_VALUE"""),"Prime Broker")</f>
        <v>Prime Broker</v>
      </c>
      <c r="S5" s="28" t="str">
        <f>IFERROR(__xludf.DUMMYFUNCTION("""COMPUTED_VALUE"""),"Strategy")</f>
        <v>Strategy</v>
      </c>
      <c r="T5" s="30" t="str">
        <f>IFERROR(__xludf.DUMMYFUNCTION("""COMPUTED_VALUE"""),"Asset Class")</f>
        <v>Asset Class</v>
      </c>
      <c r="U5" s="30" t="str">
        <f>IFERROR(__xludf.DUMMYFUNCTION("""COMPUTED_VALUE"""),"Underlying")</f>
        <v>Underlying</v>
      </c>
      <c r="V5" s="30" t="str">
        <f>IFERROR(__xludf.DUMMYFUNCTION("""COMPUTED_VALUE"""),"Exchange")</f>
        <v>Exchange</v>
      </c>
      <c r="W5" s="30" t="str">
        <f>IFERROR(__xludf.DUMMYFUNCTION("""COMPUTED_VALUE"""),"Trade Currency")</f>
        <v>Trade Currency</v>
      </c>
      <c r="X5" s="30" t="str">
        <f>IFERROR(__xludf.DUMMYFUNCTION("""COMPUTED_VALUE"""),"Multiplier")</f>
        <v>Multiplier</v>
      </c>
      <c r="Y5" s="30" t="str">
        <f>IFERROR(__xludf.DUMMYFUNCTION("""COMPUTED_VALUE"""),"FX Rate")</f>
        <v>FX Rate</v>
      </c>
      <c r="Z5" s="30" t="str">
        <f>IFERROR(__xludf.DUMMYFUNCTION("""COMPUTED_VALUE"""),"Vs Currency")</f>
        <v>Vs Currency</v>
      </c>
      <c r="AA5" s="30" t="str">
        <f>IFERROR(__xludf.DUMMYFUNCTION("""COMPUTED_VALUE"""),"Lead Currency")</f>
        <v>Lead Currency</v>
      </c>
      <c r="AB5" s="30" t="str">
        <f>IFERROR(__xludf.DUMMYFUNCTION("""COMPUTED_VALUE"""),"Dividend Yield (%)")</f>
        <v>Dividend Yield (%)</v>
      </c>
      <c r="AC5" s="30" t="str">
        <f>IFERROR(__xludf.DUMMYFUNCTION("""COMPUTED_VALUE"""),"% Change")</f>
        <v>% Change</v>
      </c>
      <c r="AD5" s="30" t="str">
        <f>IFERROR(__xludf.DUMMYFUNCTION("""COMPUTED_VALUE"""),"Net Exposure (Local)")</f>
        <v>Net Exposure (Local)</v>
      </c>
      <c r="AE5" s="30" t="str">
        <f>IFERROR(__xludf.DUMMYFUNCTION("""COMPUTED_VALUE"""),"Exposure (Local)")</f>
        <v>Exposure (Local)</v>
      </c>
      <c r="AF5" s="30" t="str">
        <f>IFERROR(__xludf.DUMMYFUNCTION("""COMPUTED_VALUE"""),"Delta Adj. Position")</f>
        <v>Delta Adj. Position</v>
      </c>
      <c r="AG5" s="30" t="str">
        <f>IFERROR(__xludf.DUMMYFUNCTION("""COMPUTED_VALUE"""),"Exposure (Base)")</f>
        <v>Exposure (Base)</v>
      </c>
      <c r="AH5" s="30" t="str">
        <f>IFERROR(__xludf.DUMMYFUNCTION("""COMPUTED_VALUE"""),"Beta Adj. Exposure (Local)")</f>
        <v>Beta Adj. Exposure (Local)</v>
      </c>
      <c r="AI5" s="30" t="str">
        <f>IFERROR(__xludf.DUMMYFUNCTION("""COMPUTED_VALUE"""),"Beta Adj. Exposure (Base)")</f>
        <v>Beta Adj. Exposure (Base)</v>
      </c>
      <c r="AJ5" s="30" t="str">
        <f>IFERROR(__xludf.DUMMYFUNCTION("""COMPUTED_VALUE"""),"Exposure (BP)(Base)")</f>
        <v>Exposure (BP)(Base)</v>
      </c>
      <c r="AK5" s="30" t="str">
        <f>IFERROR(__xludf.DUMMYFUNCTION("""COMPUTED_VALUE"""),"Day P&amp;L (Local)")</f>
        <v>Day P&amp;L (Local)</v>
      </c>
      <c r="AL5" s="30" t="str">
        <f>IFERROR(__xludf.DUMMYFUNCTION("""COMPUTED_VALUE"""),"Delta")</f>
        <v>Delta</v>
      </c>
      <c r="AM5" s="30" t="str">
        <f>IFERROR(__xludf.DUMMYFUNCTION("""COMPUTED_VALUE"""),"Leveraged Factor")</f>
        <v>Leveraged Factor</v>
      </c>
      <c r="AN5" s="30" t="str">
        <f>IFERROR(__xludf.DUMMYFUNCTION("""COMPUTED_VALUE"""),"Order Side")</f>
        <v>Order Side</v>
      </c>
      <c r="AO5" s="30" t="str">
        <f>IFERROR(__xludf.DUMMYFUNCTION("""COMPUTED_VALUE"""),"Master Strategy")</f>
        <v>Master Strategy</v>
      </c>
      <c r="AP5" s="30" t="str">
        <f>IFERROR(__xludf.DUMMYFUNCTION("""COMPUTED_VALUE"""),"Transaction Side")</f>
        <v>Transaction Side</v>
      </c>
      <c r="AQ5" s="30" t="str">
        <f>IFERROR(__xludf.DUMMYFUNCTION("""COMPUTED_VALUE"""),"Underlying Symbol")</f>
        <v>Underlying Symbol</v>
      </c>
      <c r="AR5" s="30" t="str">
        <f>IFERROR(__xludf.DUMMYFUNCTION("""COMPUTED_VALUE"""),"Underlying Price")</f>
        <v>Underlying Price</v>
      </c>
      <c r="AS5" s="30" t="str">
        <f>IFERROR(__xludf.DUMMYFUNCTION("""COMPUTED_VALUE"""),"Side Multiplier")</f>
        <v>Side Multiplier</v>
      </c>
      <c r="AT5" s="30" t="str">
        <f>IFERROR(__xludf.DUMMYFUNCTION("""COMPUTED_VALUE"""),"Description")</f>
        <v>Description</v>
      </c>
      <c r="AU5" s="30" t="str">
        <f>IFERROR(__xludf.DUMMYFUNCTION("""COMPUTED_VALUE"""),"Internal Comments")</f>
        <v>Internal Comments</v>
      </c>
      <c r="AV5" s="30" t="str">
        <f>IFERROR(__xludf.DUMMYFUNCTION("""COMPUTED_VALUE"""),"FX Rate On Trade Date")</f>
        <v>FX Rate On Trade Date</v>
      </c>
      <c r="AW5" s="30" t="str">
        <f>IFERROR(__xludf.DUMMYFUNCTION("""COMPUTED_VALUE"""),"Cost Basis P&amp;L (Local)")</f>
        <v>Cost Basis P&amp;L (Local)</v>
      </c>
      <c r="AX5" s="30" t="str">
        <f>IFERROR(__xludf.DUMMYFUNCTION("""COMPUTED_VALUE"""),"Day Interest")</f>
        <v>Day Interest</v>
      </c>
      <c r="AY5" s="30" t="str">
        <f>IFERROR(__xludf.DUMMYFUNCTION("""COMPUTED_VALUE"""),"Total Interest")</f>
        <v>Total Interest</v>
      </c>
      <c r="AZ5" s="30" t="str">
        <f>IFERROR(__xludf.DUMMYFUNCTION("""COMPUTED_VALUE"""),"Market Value (Local)")</f>
        <v>Market Value (Local)</v>
      </c>
      <c r="BA5" s="30" t="str">
        <f>IFERROR(__xludf.DUMMYFUNCTION("""COMPUTED_VALUE"""),"% Gain/Loss Day")</f>
        <v>% Gain/Loss Day</v>
      </c>
      <c r="BB5" s="30" t="str">
        <f>IFERROR(__xludf.DUMMYFUNCTION("""COMPUTED_VALUE"""),"Update Time (Last Price)")</f>
        <v>Update Time (Last Price)</v>
      </c>
      <c r="BC5" s="30" t="str">
        <f>IFERROR(__xludf.DUMMYFUNCTION("""COMPUTED_VALUE"""),"Beta")</f>
        <v>Beta</v>
      </c>
      <c r="BD5" s="30" t="str">
        <f>IFERROR(__xludf.DUMMYFUNCTION("""COMPUTED_VALUE"""),"Cash Impact (Local)")</f>
        <v>Cash Impact (Local)</v>
      </c>
      <c r="BE5" s="30" t="str">
        <f>IFERROR(__xludf.DUMMYFUNCTION("""COMPUTED_VALUE"""),"User Asset")</f>
        <v>User Asset</v>
      </c>
      <c r="BF5" s="30" t="str">
        <f>IFERROR(__xludf.DUMMYFUNCTION("""COMPUTED_VALUE"""),"Security Type")</f>
        <v>Security Type</v>
      </c>
      <c r="BG5" s="30" t="str">
        <f>IFERROR(__xludf.DUMMYFUNCTION("""COMPUTED_VALUE"""),"Sector")</f>
        <v>Sector</v>
      </c>
      <c r="BH5" s="30" t="str">
        <f>IFERROR(__xludf.DUMMYFUNCTION("""COMPUTED_VALUE"""),"Sub Sector")</f>
        <v>Sub Sector</v>
      </c>
      <c r="BI5" s="30" t="str">
        <f>IFERROR(__xludf.DUMMYFUNCTION("""COMPUTED_VALUE"""),"Country")</f>
        <v>Country</v>
      </c>
      <c r="BJ5" s="30" t="str">
        <f>IFERROR(__xludf.DUMMYFUNCTION("""COMPUTED_VALUE"""),"Market Cap")</f>
        <v>Market Cap</v>
      </c>
      <c r="BK5" s="30" t="str">
        <f>IFERROR(__xludf.DUMMYFUNCTION("""COMPUTED_VALUE"""),"Shares Outstanding (MM)")</f>
        <v>Shares Outstanding (MM)</v>
      </c>
      <c r="BL5" s="30" t="str">
        <f>IFERROR(__xludf.DUMMYFUNCTION("""COMPUTED_VALUE"""),"Avg Volume 20 Day")</f>
        <v>Avg Volume 20 Day</v>
      </c>
      <c r="BM5" s="30" t="str">
        <f>IFERROR(__xludf.DUMMYFUNCTION("""COMPUTED_VALUE"""),"% Avg Volume (Delta Adj.)")</f>
        <v>% Avg Volume (Delta Adj.)</v>
      </c>
      <c r="BN5" s="30" t="str">
        <f>IFERROR(__xludf.DUMMYFUNCTION("""COMPUTED_VALUE"""),"Ex Dividend Date")</f>
        <v>Ex Dividend Date</v>
      </c>
      <c r="BO5" s="30" t="str">
        <f>IFERROR(__xludf.DUMMYFUNCTION("""COMPUTED_VALUE"""),"Cash Impact (Base)")</f>
        <v>Cash Impact (Base)</v>
      </c>
      <c r="BP5" s="30" t="str">
        <f>IFERROR(__xludf.DUMMYFUNCTION("""COMPUTED_VALUE"""),"Volatility (%)")</f>
        <v>Volatility (%)</v>
      </c>
      <c r="BQ5" s="30" t="str">
        <f>IFERROR(__xludf.DUMMYFUNCTION("""COMPUTED_VALUE"""),"User")</f>
        <v>User</v>
      </c>
      <c r="BR5" s="30" t="str">
        <f>IFERROR(__xludf.DUMMYFUNCTION("""COMPUTED_VALUE"""),"Broker")</f>
        <v>Broker</v>
      </c>
      <c r="BS5" s="30" t="str">
        <f>IFERROR(__xludf.DUMMYFUNCTION("""COMPUTED_VALUE"""),"Earned Dividend (Local)")</f>
        <v>Earned Dividend (Local)</v>
      </c>
      <c r="BT5" s="30" t="str">
        <f>IFERROR(__xludf.DUMMYFUNCTION("""COMPUTED_VALUE"""),"Earned Dividend (Base)")</f>
        <v>Earned Dividend (Base)</v>
      </c>
      <c r="BU5" s="30" t="str">
        <f>IFERROR(__xludf.DUMMYFUNCTION("""COMPUTED_VALUE"""),"Put/Call")</f>
        <v>Put/Call</v>
      </c>
      <c r="BV5" s="30" t="str">
        <f>IFERROR(__xludf.DUMMYFUNCTION("""COMPUTED_VALUE"""),"Expiration Date")</f>
        <v>Expiration Date</v>
      </c>
      <c r="BW5" s="30" t="str">
        <f>IFERROR(__xludf.DUMMYFUNCTION("""COMPUTED_VALUE"""),"Strike Price")</f>
        <v>Strike Price</v>
      </c>
      <c r="BX5" s="30" t="str">
        <f>IFERROR(__xludf.DUMMYFUNCTION("""COMPUTED_VALUE"""),"Gross Exposure (Base)")</f>
        <v>Gross Exposure (Base)</v>
      </c>
      <c r="BY5" s="30" t="str">
        <f>IFERROR(__xludf.DUMMYFUNCTION("""COMPUTED_VALUE"""),"Gross Market Value (Base)")</f>
        <v>Gross Market Value (Base)</v>
      </c>
      <c r="BZ5" s="30" t="str">
        <f>IFERROR(__xludf.DUMMYFUNCTION("""COMPUTED_VALUE"""),"Px Selected Feed (Local)")</f>
        <v>Px Selected Feed (Local)</v>
      </c>
      <c r="CA5" s="30" t="str">
        <f>IFERROR(__xludf.DUMMYFUNCTION("""COMPUTED_VALUE"""),"Px Selected Feed (Base)")</f>
        <v>Px Selected Feed (Base)</v>
      </c>
      <c r="CB5" s="30" t="str">
        <f>IFERROR(__xludf.DUMMYFUNCTION("""COMPUTED_VALUE"""),"Settlement Date")</f>
        <v>Settlement Date</v>
      </c>
      <c r="CC5" s="30" t="str">
        <f>IFERROR(__xludf.DUMMYFUNCTION("""COMPUTED_VALUE"""),"% Avg Volume")</f>
        <v>% Avg Volume</v>
      </c>
      <c r="CD5" s="30" t="str">
        <f>IFERROR(__xludf.DUMMYFUNCTION("""COMPUTED_VALUE"""),"Day P&amp;L (Base)(Price Gain)")</f>
        <v>Day P&amp;L (Base)(Price Gain)</v>
      </c>
      <c r="CE5" s="30" t="str">
        <f>IFERROR(__xludf.DUMMYFUNCTION("""COMPUTED_VALUE"""),"Day P&amp;L (Base)(FX Gain)")</f>
        <v>Day P&amp;L (Base)(FX Gain)</v>
      </c>
      <c r="CF5" s="30" t="str">
        <f>IFERROR(__xludf.DUMMYFUNCTION("""COMPUTED_VALUE"""),"Cost Basis P&amp;L (Base)(FX Gain)")</f>
        <v>Cost Basis P&amp;L (Base)(FX Gain)</v>
      </c>
      <c r="CG5" s="30" t="str">
        <f>IFERROR(__xludf.DUMMYFUNCTION("""COMPUTED_VALUE"""),"Cost Basis P&amp;L (Base)(Price Gain)")</f>
        <v>Cost Basis P&amp;L (Base)(Price Gain)</v>
      </c>
      <c r="CH5" s="30" t="str">
        <f>IFERROR(__xludf.DUMMYFUNCTION("""COMPUTED_VALUE"""),"% Gain/Loss Cost")</f>
        <v>% Gain/Loss Cost</v>
      </c>
      <c r="CI5" s="30" t="str">
        <f>IFERROR(__xludf.DUMMYFUNCTION("""COMPUTED_VALUE"""),"Underlying Value (Options)")</f>
        <v>Underlying Value (Options)</v>
      </c>
      <c r="CJ5" s="30" t="str">
        <f>IFERROR(__xludf.DUMMYFUNCTION("""COMPUTED_VALUE"""),"Avg Volume 20 Day (Underlying Symbol)")</f>
        <v>Avg Volume 20 Day (Underlying Symbol)</v>
      </c>
      <c r="CK5" s="30" t="str">
        <f>IFERROR(__xludf.DUMMYFUNCTION("""COMPUTED_VALUE"""),"IsStaleData")</f>
        <v>IsStaleData</v>
      </c>
      <c r="CL5" s="30" t="str">
        <f>IFERROR(__xludf.DUMMYFUNCTION("""COMPUTED_VALUE"""),"IDCO")</f>
        <v>IDCO</v>
      </c>
      <c r="CM5" s="30" t="str">
        <f>IFERROR(__xludf.DUMMYFUNCTION("""COMPUTED_VALUE"""),"OSI")</f>
        <v>OSI</v>
      </c>
      <c r="CN5" s="30" t="str">
        <f>IFERROR(__xludf.DUMMYFUNCTION("""COMPUTED_VALUE"""),"SEDOL")</f>
        <v>SEDOL</v>
      </c>
      <c r="CO5" s="30" t="str">
        <f>IFERROR(__xludf.DUMMYFUNCTION("""COMPUTED_VALUE"""),"CUSIP")</f>
        <v>CUSIP</v>
      </c>
      <c r="CP5" s="30" t="str">
        <f>IFERROR(__xludf.DUMMYFUNCTION("""COMPUTED_VALUE"""),"Bloomberg")</f>
        <v>Bloomberg</v>
      </c>
      <c r="CQ5" s="30" t="str">
        <f>IFERROR(__xludf.DUMMYFUNCTION("""COMPUTED_VALUE"""),"ISIN")</f>
        <v>ISIN</v>
      </c>
      <c r="CR5" s="30" t="str">
        <f>IFERROR(__xludf.DUMMYFUNCTION("""COMPUTED_VALUE"""),"Start Trade Date")</f>
        <v>Start Trade Date</v>
      </c>
      <c r="CS5" s="30" t="str">
        <f>IFERROR(__xludf.DUMMYFUNCTION("""COMPUTED_VALUE"""),"Cost Basis (Break Even)")</f>
        <v>Cost Basis (Break Even)</v>
      </c>
      <c r="CT5" s="30" t="str">
        <f>IFERROR(__xludf.DUMMYFUNCTION("""COMPUTED_VALUE"""),"Trade Attribute 3")</f>
        <v>Trade Attribute 3</v>
      </c>
      <c r="CU5" s="30" t="str">
        <f>IFERROR(__xludf.DUMMYFUNCTION("""COMPUTED_VALUE"""),"Trade Attribute 4")</f>
        <v>Trade Attribute 4</v>
      </c>
      <c r="CV5" s="30" t="str">
        <f>IFERROR(__xludf.DUMMYFUNCTION("""COMPUTED_VALUE"""),"Trade Attribute 5")</f>
        <v>Trade Attribute 5</v>
      </c>
      <c r="CW5" s="30" t="str">
        <f>IFERROR(__xludf.DUMMYFUNCTION("""COMPUTED_VALUE"""),"Trade Attribute 6")</f>
        <v>Trade Attribute 6</v>
      </c>
      <c r="CX5" s="30" t="str">
        <f>IFERROR(__xludf.DUMMYFUNCTION("""COMPUTED_VALUE"""),"Proxy Symbol")</f>
        <v>Proxy Symbol</v>
      </c>
      <c r="CY5" s="30" t="str">
        <f>IFERROR(__xludf.DUMMYFUNCTION("""COMPUTED_VALUE"""),"Pricing Source")</f>
        <v>Pricing Source</v>
      </c>
      <c r="CZ5" s="30" t="str">
        <f>IFERROR(__xludf.DUMMYFUNCTION("""COMPUTED_VALUE"""),"Delta Source")</f>
        <v>Delta Source</v>
      </c>
      <c r="DA5" s="30" t="str">
        <f>IFERROR(__xludf.DUMMYFUNCTION("""COMPUTED_VALUE"""),"Gross Exposure (Local)")</f>
        <v>Gross Exposure (Local)</v>
      </c>
      <c r="DB5" s="30" t="str">
        <f>IFERROR(__xludf.DUMMYFUNCTION("""COMPUTED_VALUE"""),"% Day P&amp;L (Net MV)")</f>
        <v>% Day P&amp;L (Net MV)</v>
      </c>
      <c r="DC5" s="30" t="str">
        <f>IFERROR(__xludf.DUMMYFUNCTION("""COMPUTED_VALUE"""),"Expiration Month")</f>
        <v>Expiration Month</v>
      </c>
      <c r="DD5" s="30" t="str">
        <f>IFERROR(__xludf.DUMMYFUNCTION("""COMPUTED_VALUE"""),"Delta Adj. Position (LME)")</f>
        <v>Delta Adj. Position (LME)</v>
      </c>
      <c r="DE5" s="30" t="str">
        <f>IFERROR(__xludf.DUMMYFUNCTION("""COMPUTED_VALUE"""),"Premium")</f>
        <v>Premium</v>
      </c>
      <c r="DF5" s="30" t="str">
        <f>IFERROR(__xludf.DUMMYFUNCTION("""COMPUTED_VALUE"""),"Premium $")</f>
        <v>Premium $</v>
      </c>
      <c r="DG5" s="30" t="str">
        <f>IFERROR(__xludf.DUMMYFUNCTION("""COMPUTED_VALUE"""),"Forward Points")</f>
        <v>Forward Points</v>
      </c>
      <c r="DH5" s="30" t="str">
        <f>IFERROR(__xludf.DUMMYFUNCTION("""COMPUTED_VALUE"""),"Closing Mark (Underlying)")</f>
        <v>Closing Mark (Underlying)</v>
      </c>
      <c r="DI5" s="30" t="str">
        <f>IFERROR(__xludf.DUMMYFUNCTION("""COMPUTED_VALUE"""),"% Change (Underlying Price)")</f>
        <v>% Change (Underlying Price)</v>
      </c>
      <c r="DJ5" s="30" t="str">
        <f>IFERROR(__xludf.DUMMYFUNCTION("""COMPUTED_VALUE"""),"Transaction Type")</f>
        <v>Transaction Type</v>
      </c>
      <c r="DK5" s="30" t="str">
        <f>IFERROR(__xludf.DUMMYFUNCTION("""COMPUTED_VALUE"""),"Closing Market Value (Local)")</f>
        <v>Closing Market Value (Local)</v>
      </c>
      <c r="DL5" s="30" t="str">
        <f>IFERROR(__xludf.DUMMYFUNCTION("""COMPUTED_VALUE"""),"Closing Market Value (Base)")</f>
        <v>Closing Market Value (Base)</v>
      </c>
      <c r="DM5" s="30" t="str">
        <f>IFERROR(__xludf.DUMMYFUNCTION("""COMPUTED_VALUE"""),"Closing FX Rate")</f>
        <v>Closing FX Rate</v>
      </c>
      <c r="DN5" s="30" t="str">
        <f>IFERROR(__xludf.DUMMYFUNCTION("""COMPUTED_VALUE"""),"Change In Underlying Price")</f>
        <v>Change In Underlying Price</v>
      </c>
      <c r="DO5" s="30" t="str">
        <f>IFERROR(__xludf.DUMMYFUNCTION("""COMPUTED_VALUE"""),"RIC")</f>
        <v>RIC</v>
      </c>
      <c r="DP5" s="30" t="str">
        <f>IFERROR(__xludf.DUMMYFUNCTION("""COMPUTED_VALUE"""),"Position Side Exposure (Boxed)")</f>
        <v>Position Side Exposure (Boxed)</v>
      </c>
      <c r="DQ5" s="30" t="str">
        <f>IFERROR(__xludf.DUMMYFUNCTION("""COMPUTED_VALUE"""),"Analyst")</f>
        <v>Analyst</v>
      </c>
      <c r="DR5" s="30" t="str">
        <f>IFERROR(__xludf.DUMMYFUNCTION("""COMPUTED_VALUE"""),"Country Of Risk")</f>
        <v>Country Of Risk</v>
      </c>
      <c r="DS5" s="30" t="str">
        <f>IFERROR(__xludf.DUMMYFUNCTION("""COMPUTED_VALUE"""),"Custom UDA1")</f>
        <v>Custom UDA1</v>
      </c>
      <c r="DT5" s="30" t="str">
        <f>IFERROR(__xludf.DUMMYFUNCTION("""COMPUTED_VALUE"""),"Custom UDA2")</f>
        <v>Custom UDA2</v>
      </c>
      <c r="DU5" s="30" t="str">
        <f>IFERROR(__xludf.DUMMYFUNCTION("""COMPUTED_VALUE"""),"Custom UDA3")</f>
        <v>Custom UDA3</v>
      </c>
      <c r="DV5" s="30" t="str">
        <f>IFERROR(__xludf.DUMMYFUNCTION("""COMPUTED_VALUE"""),"Custom UDA4")</f>
        <v>Custom UDA4</v>
      </c>
      <c r="DW5" s="30" t="str">
        <f>IFERROR(__xludf.DUMMYFUNCTION("""COMPUTED_VALUE"""),"Custom UDA5")</f>
        <v>Custom UDA5</v>
      </c>
      <c r="DX5" s="30" t="str">
        <f>IFERROR(__xludf.DUMMYFUNCTION("""COMPUTED_VALUE"""),"Custom UDA6")</f>
        <v>Custom UDA6</v>
      </c>
      <c r="DY5" s="30" t="str">
        <f>IFERROR(__xludf.DUMMYFUNCTION("""COMPUTED_VALUE"""),"Custom UDA7")</f>
        <v>Custom UDA7</v>
      </c>
      <c r="DZ5" s="30" t="str">
        <f>IFERROR(__xludf.DUMMYFUNCTION("""COMPUTED_VALUE"""),"Issuer")</f>
        <v>Issuer</v>
      </c>
      <c r="EA5" s="30" t="str">
        <f>IFERROR(__xludf.DUMMYFUNCTION("""COMPUTED_VALUE"""),"Liquid Tag")</f>
        <v>Liquid Tag</v>
      </c>
      <c r="EB5" s="30" t="str">
        <f>IFERROR(__xludf.DUMMYFUNCTION("""COMPUTED_VALUE"""),"Market Cap UDA")</f>
        <v>Market Cap UDA</v>
      </c>
      <c r="EC5" s="30" t="str">
        <f>IFERROR(__xludf.DUMMYFUNCTION("""COMPUTED_VALUE"""),"Region")</f>
        <v>Region</v>
      </c>
      <c r="ED5" s="30" t="str">
        <f>IFERROR(__xludf.DUMMYFUNCTION("""COMPUTED_VALUE"""),"Risk Currency")</f>
        <v>Risk Currency</v>
      </c>
      <c r="EE5" s="30" t="str">
        <f>IFERROR(__xludf.DUMMYFUNCTION("""COMPUTED_VALUE"""),"UCITS Eligible Tag")</f>
        <v>UCITS Eligible Tag</v>
      </c>
      <c r="EF5" s="30" t="str">
        <f>IFERROR(__xludf.DUMMYFUNCTION("""COMPUTED_VALUE"""),"FX Rate (Display)")</f>
        <v>FX Rate (Display)</v>
      </c>
      <c r="EG5" s="30" t="str">
        <f>IFERROR(__xludf.DUMMYFUNCTION("""COMPUTED_VALUE"""),"% Net Exposure (Base)")</f>
        <v>% Net Exposure (Base)</v>
      </c>
      <c r="EH5" s="30" t="str">
        <f>IFERROR(__xludf.DUMMYFUNCTION("""COMPUTED_VALUE"""),"% Gross Exposure (Base)")</f>
        <v>% Gross Exposure (Base)</v>
      </c>
      <c r="EI5" s="30" t="str">
        <f>IFERROR(__xludf.DUMMYFUNCTION("""COMPUTED_VALUE"""),"% Exposure (Base)")</f>
        <v>% Exposure (Base)</v>
      </c>
      <c r="EJ5" s="30" t="str">
        <f>IFERROR(__xludf.DUMMYFUNCTION("""COMPUTED_VALUE"""),"% Gross Exposure (Underlying) (Base)")</f>
        <v>% Gross Exposure (Underlying) (Base)</v>
      </c>
      <c r="EK5" s="30" t="str">
        <f>IFERROR(__xludf.DUMMYFUNCTION("""COMPUTED_VALUE"""),"% Beta Adj. Gross Exposure (Base)")</f>
        <v>% Beta Adj. Gross Exposure (Base)</v>
      </c>
      <c r="EL5" s="30" t="str">
        <f>IFERROR(__xludf.DUMMYFUNCTION("""COMPUTED_VALUE"""),"Position Side Exposure (Underlying)")</f>
        <v>Position Side Exposure (Underlying)</v>
      </c>
      <c r="EM5" s="30" t="str">
        <f>IFERROR(__xludf.DUMMYFUNCTION("""COMPUTED_VALUE"""),"Gross Exposure (Underlying) (Base)")</f>
        <v>Gross Exposure (Underlying) (Base)</v>
      </c>
      <c r="EN5" s="30" t="str">
        <f>IFERROR(__xludf.DUMMYFUNCTION("""COMPUTED_VALUE"""),"Gross Exposure (Underlying)")</f>
        <v>Gross Exposure (Underlying)</v>
      </c>
      <c r="EO5" s="30" t="str">
        <f>IFERROR(__xludf.DUMMYFUNCTION("""COMPUTED_VALUE"""),"Day Return")</f>
        <v>Day Return</v>
      </c>
      <c r="EP5" s="30" t="str">
        <f>IFERROR(__xludf.DUMMYFUNCTION("""COMPUTED_VALUE"""),"Start of Day NAV")</f>
        <v>Start of Day NAV</v>
      </c>
      <c r="EQ5" s="30" t="str">
        <f>IFERROR(__xludf.DUMMYFUNCTION("""COMPUTED_VALUE"""),"% Gross Market Value (Base)")</f>
        <v>% Gross Market Value (Base)</v>
      </c>
      <c r="ER5" s="30" t="str">
        <f>IFERROR(__xludf.DUMMYFUNCTION("""COMPUTED_VALUE"""),"Beta Adj. Gross Exposure (Underlying) (Local)")</f>
        <v>Beta Adj. Gross Exposure (Underlying) (Local)</v>
      </c>
      <c r="ES5" s="30" t="str">
        <f>IFERROR(__xludf.DUMMYFUNCTION("""COMPUTED_VALUE"""),"NAV")</f>
        <v>NAV</v>
      </c>
      <c r="ET5" s="30" t="str">
        <f>IFERROR(__xludf.DUMMYFUNCTION("""COMPUTED_VALUE"""),"% P&amp;L Contribution")</f>
        <v>% P&amp;L Contribution</v>
      </c>
      <c r="EU5" s="30" t="str">
        <f>IFERROR(__xludf.DUMMYFUNCTION("""COMPUTED_VALUE"""),"% Net Market Value (Base)")</f>
        <v>% Net Market Value (Base)</v>
      </c>
      <c r="EV5" s="30" t="str">
        <f>IFERROR(__xludf.DUMMYFUNCTION("""COMPUTED_VALUE"""),"Position Side Exposure")</f>
        <v>Position Side Exposure</v>
      </c>
      <c r="EW5" s="30" t="str">
        <f>IFERROR(__xludf.DUMMYFUNCTION("""COMPUTED_VALUE"""),"NAV (Touch)")</f>
        <v>NAV (Touch)</v>
      </c>
      <c r="EX5" s="30" t="str">
        <f>IFERROR(__xludf.DUMMYFUNCTION("""COMPUTED_VALUE"""),"IgnorePropertyChangeEvents")</f>
        <v>IgnorePropertyChangeEvents</v>
      </c>
      <c r="EY5" s="30" t="str">
        <f>IFERROR(__xludf.DUMMYFUNCTION("""COMPUTED_VALUE"""),"Trade Attribute 1")</f>
        <v>Trade Attribute 1</v>
      </c>
      <c r="EZ5" s="30" t="str">
        <f>IFERROR(__xludf.DUMMYFUNCTION("""COMPUTED_VALUE"""),"Trade Attribute 2")</f>
        <v>Trade Attribute 2</v>
      </c>
      <c r="FA5" s="30" t="str">
        <f>IFERROR(__xludf.DUMMYFUNCTION("""COMPUTED_VALUE"""),"Client")</f>
        <v>Client</v>
      </c>
      <c r="FB5" s="30" t="str">
        <f>IFERROR(__xludf.DUMMYFUNCTION("""COMPUTED_VALUE"""),"IsCustomViewTab")</f>
        <v>IsCustomViewTab</v>
      </c>
      <c r="FC5" s="30" t="str">
        <f>IFERROR(__xludf.DUMMYFUNCTION("""COMPUTED_VALUE"""),"ITM/OTM")</f>
        <v>ITM/OTM</v>
      </c>
      <c r="FD5" s="30" t="str">
        <f>IFERROR(__xludf.DUMMYFUNCTION("""COMPUTED_VALUE"""),"Days to Expiry")</f>
        <v>Days to Expiry</v>
      </c>
      <c r="FE5" s="30" t="str">
        <f>IFERROR(__xludf.DUMMYFUNCTION("""COMPUTED_VALUE"""),"% of Underlying Price")</f>
        <v>% of Underlying Price</v>
      </c>
      <c r="FF5" s="30" t="str">
        <f>IFERROR(__xludf.DUMMYFUNCTION("""COMPUTED_VALUE"""),"Intrinsic value")</f>
        <v>Intrinsic value</v>
      </c>
      <c r="FG5" s="30" t="str">
        <f>IFERROR(__xludf.DUMMYFUNCTION("""COMPUTED_VALUE"""),"Gain/Loss if Ex./Assign")</f>
        <v>Gain/Loss if Ex./Assign</v>
      </c>
      <c r="FH5" s="30" t="str">
        <f>IFERROR(__xludf.DUMMYFUNCTION("""COMPUTED_VALUE"""),"Day Traded Position")</f>
        <v>Day Traded Position</v>
      </c>
      <c r="FI5" s="30" t="str">
        <f>IFERROR(__xludf.DUMMYFUNCTION("""COMPUTED_VALUE"""),"isRowCountCheck")</f>
        <v>isRowCountCheck</v>
      </c>
      <c r="FJ5" s="30" t="str">
        <f>IFERROR(__xludf.DUMMYFUNCTION("""COMPUTED_VALUE"""),"ACTIV Symbol")</f>
        <v>ACTIV Symbol</v>
      </c>
      <c r="FK5" s="30"/>
      <c r="FL5" s="30"/>
      <c r="FM5" s="30"/>
      <c r="FN5" s="30"/>
      <c r="FO5" s="30"/>
      <c r="FP5" s="30"/>
      <c r="FQ5" s="30"/>
      <c r="FR5" s="30"/>
      <c r="FS5" s="30"/>
      <c r="FT5" s="30"/>
    </row>
    <row r="6" ht="15.75" customHeight="1">
      <c r="A6" s="37"/>
      <c r="B6" s="37"/>
      <c r="C6" s="44" t="s">
        <v>21</v>
      </c>
      <c r="D6" s="39">
        <v>100.0</v>
      </c>
      <c r="E6" s="44" t="s">
        <v>23</v>
      </c>
      <c r="F6" s="44" t="s">
        <v>52</v>
      </c>
      <c r="G6" s="44"/>
      <c r="H6" s="44" t="s">
        <v>53</v>
      </c>
      <c r="I6" s="44"/>
      <c r="J6" s="44"/>
      <c r="K6" s="44"/>
      <c r="L6" s="44"/>
      <c r="M6" s="44"/>
      <c r="N6" s="44"/>
      <c r="O6" s="44" t="s">
        <v>54</v>
      </c>
      <c r="P6" s="38"/>
      <c r="Q6" s="38"/>
      <c r="R6" s="38"/>
      <c r="S6" s="38" t="s">
        <v>55</v>
      </c>
      <c r="T6" s="38" t="s">
        <v>40</v>
      </c>
      <c r="U6" s="38" t="s">
        <v>42</v>
      </c>
      <c r="V6" s="38" t="s">
        <v>56</v>
      </c>
      <c r="W6" s="38" t="s">
        <v>41</v>
      </c>
      <c r="X6" s="42">
        <v>1.0</v>
      </c>
      <c r="Y6" s="42">
        <v>1.0</v>
      </c>
      <c r="Z6" s="38"/>
      <c r="AA6" s="38"/>
      <c r="AB6" s="38"/>
      <c r="AC6" s="38"/>
      <c r="AD6" s="38"/>
      <c r="AE6" s="38"/>
      <c r="AF6" s="38"/>
      <c r="AG6" s="38"/>
      <c r="AH6" s="38"/>
      <c r="AI6" s="38"/>
      <c r="AJ6" s="38"/>
      <c r="AK6" s="38"/>
      <c r="AL6" s="38"/>
      <c r="AM6" s="38"/>
      <c r="AN6" s="38" t="s">
        <v>22</v>
      </c>
      <c r="AO6" s="38"/>
      <c r="AP6" s="38" t="s">
        <v>57</v>
      </c>
      <c r="AQ6" s="38" t="s">
        <v>21</v>
      </c>
      <c r="AR6" s="38"/>
      <c r="AS6" s="38"/>
      <c r="AT6" s="38"/>
      <c r="AU6" s="38"/>
      <c r="AV6" s="38"/>
      <c r="AW6" s="38"/>
      <c r="AX6" s="38"/>
      <c r="AY6" s="38"/>
      <c r="AZ6" s="38"/>
      <c r="BA6" s="38"/>
      <c r="BB6" s="38"/>
      <c r="BC6" s="38"/>
      <c r="BD6" s="38"/>
      <c r="BE6" s="38" t="s">
        <v>40</v>
      </c>
      <c r="BF6" s="38"/>
      <c r="BG6" s="38"/>
      <c r="BH6" s="38"/>
      <c r="BI6" s="38"/>
      <c r="BJ6" s="38"/>
      <c r="BK6" s="38"/>
      <c r="BL6" s="38"/>
      <c r="BM6" s="38"/>
      <c r="BN6" s="38"/>
      <c r="BO6" s="38"/>
      <c r="BP6" s="38"/>
      <c r="BQ6" s="38"/>
      <c r="BR6" s="38" t="s">
        <v>24</v>
      </c>
      <c r="BS6" s="38"/>
      <c r="BT6" s="38"/>
      <c r="BU6" s="38"/>
      <c r="BV6" s="38"/>
      <c r="BW6" s="38"/>
      <c r="BX6" s="38"/>
      <c r="BY6" s="38"/>
      <c r="BZ6" s="38"/>
      <c r="CA6" s="38"/>
      <c r="CB6" s="38"/>
      <c r="CC6" s="38"/>
      <c r="CD6" s="38"/>
      <c r="CE6" s="38"/>
      <c r="CF6" s="38"/>
      <c r="CG6" s="38"/>
      <c r="CH6" s="38"/>
      <c r="CI6" s="38"/>
      <c r="CJ6" s="38"/>
      <c r="CK6" s="38"/>
      <c r="CL6" s="38"/>
      <c r="CM6" s="38"/>
      <c r="CN6" s="38" t="s">
        <v>21</v>
      </c>
      <c r="CO6" s="38" t="s">
        <v>21</v>
      </c>
      <c r="CP6" s="43" t="s">
        <v>58</v>
      </c>
      <c r="CQ6" s="38"/>
      <c r="CR6" s="38"/>
      <c r="CS6" s="38"/>
      <c r="CT6" s="38"/>
      <c r="CU6" s="38"/>
      <c r="CV6" s="38"/>
      <c r="CW6" s="38"/>
      <c r="CX6" s="38"/>
      <c r="CY6" s="38"/>
      <c r="CZ6" s="38"/>
      <c r="DA6" s="38"/>
      <c r="DB6" s="38"/>
      <c r="DC6" s="38"/>
      <c r="DD6" s="38"/>
      <c r="DE6" s="38"/>
      <c r="DF6" s="38"/>
      <c r="DG6" s="38"/>
      <c r="DH6" s="38"/>
      <c r="DI6" s="38"/>
      <c r="DJ6" s="38"/>
      <c r="DK6" s="38"/>
      <c r="DL6" s="38"/>
      <c r="DM6" s="38"/>
      <c r="DN6" s="38"/>
      <c r="DO6" s="38"/>
      <c r="DP6" s="38" t="s">
        <v>57</v>
      </c>
      <c r="DQ6" s="38"/>
      <c r="DR6" s="38"/>
      <c r="DS6" s="38"/>
      <c r="DT6" s="38"/>
      <c r="DU6" s="38"/>
      <c r="DV6" s="38"/>
      <c r="DW6" s="38"/>
      <c r="DX6" s="38"/>
      <c r="DY6" s="38"/>
      <c r="DZ6" s="38"/>
      <c r="EA6" s="38"/>
      <c r="EB6" s="38"/>
      <c r="EC6" s="38"/>
      <c r="ED6" s="38"/>
      <c r="EE6" s="38"/>
      <c r="EF6" s="38"/>
      <c r="EG6" s="38"/>
      <c r="EH6" s="38"/>
      <c r="EI6" s="38"/>
      <c r="EJ6" s="38"/>
      <c r="EK6" s="38"/>
      <c r="EL6" s="38"/>
      <c r="EM6" s="38"/>
      <c r="EN6" s="38"/>
      <c r="EO6" s="38"/>
      <c r="EP6" s="38"/>
      <c r="EQ6" s="38"/>
      <c r="ER6" s="38"/>
      <c r="ES6" s="38"/>
      <c r="ET6" s="38"/>
      <c r="EU6" s="38"/>
      <c r="EV6" s="38"/>
      <c r="EW6" s="38"/>
      <c r="EX6" s="38"/>
      <c r="EY6" s="38"/>
      <c r="EZ6" s="38"/>
      <c r="FA6" s="38"/>
      <c r="FB6" s="38"/>
      <c r="FC6" s="38"/>
      <c r="FD6" s="38"/>
      <c r="FE6" s="38"/>
      <c r="FF6" s="38"/>
      <c r="FG6" s="38"/>
      <c r="FH6" s="38"/>
      <c r="FI6" s="38"/>
      <c r="FJ6" s="38"/>
      <c r="FK6" s="38"/>
      <c r="FL6" s="38"/>
      <c r="FM6" s="38"/>
      <c r="FN6" s="38"/>
      <c r="FO6" s="38"/>
      <c r="FP6" s="38"/>
      <c r="FQ6" s="38"/>
      <c r="FR6" s="38"/>
      <c r="FS6" s="38"/>
      <c r="FT6" s="38"/>
    </row>
    <row r="7" ht="15.75" customHeight="1">
      <c r="A7" s="44"/>
      <c r="B7" s="44"/>
      <c r="C7" s="44" t="s">
        <v>21</v>
      </c>
      <c r="D7" s="40">
        <v>-50.0</v>
      </c>
      <c r="E7" s="44" t="s">
        <v>23</v>
      </c>
      <c r="F7" s="44" t="s">
        <v>52</v>
      </c>
      <c r="G7" s="44"/>
      <c r="H7" s="44" t="s">
        <v>53</v>
      </c>
      <c r="I7" s="44"/>
      <c r="J7" s="44"/>
      <c r="K7" s="44"/>
      <c r="L7" s="44"/>
      <c r="M7" s="44"/>
      <c r="N7" s="44"/>
      <c r="O7" s="44" t="s">
        <v>54</v>
      </c>
      <c r="P7" s="38"/>
      <c r="Q7" s="38"/>
      <c r="R7" s="38"/>
      <c r="S7" s="38" t="s">
        <v>55</v>
      </c>
      <c r="T7" s="38" t="s">
        <v>40</v>
      </c>
      <c r="U7" s="38" t="s">
        <v>42</v>
      </c>
      <c r="V7" s="38" t="s">
        <v>56</v>
      </c>
      <c r="W7" s="38" t="s">
        <v>41</v>
      </c>
      <c r="X7" s="42">
        <v>1.0</v>
      </c>
      <c r="Y7" s="42">
        <v>1.0</v>
      </c>
      <c r="Z7" s="38"/>
      <c r="AA7" s="38"/>
      <c r="AB7" s="38"/>
      <c r="AC7" s="38"/>
      <c r="AD7" s="38"/>
      <c r="AE7" s="38"/>
      <c r="AF7" s="38"/>
      <c r="AG7" s="38"/>
      <c r="AH7" s="38"/>
      <c r="AI7" s="38"/>
      <c r="AJ7" s="38"/>
      <c r="AK7" s="38"/>
      <c r="AL7" s="38"/>
      <c r="AM7" s="38"/>
      <c r="AN7" s="38" t="s">
        <v>25</v>
      </c>
      <c r="AO7" s="38"/>
      <c r="AP7" s="38" t="s">
        <v>57</v>
      </c>
      <c r="AQ7" s="38" t="s">
        <v>21</v>
      </c>
      <c r="AR7" s="38"/>
      <c r="AS7" s="38"/>
      <c r="AT7" s="38"/>
      <c r="AU7" s="38"/>
      <c r="AV7" s="38"/>
      <c r="AW7" s="38"/>
      <c r="AX7" s="38"/>
      <c r="AY7" s="38"/>
      <c r="AZ7" s="38"/>
      <c r="BA7" s="38"/>
      <c r="BB7" s="38"/>
      <c r="BC7" s="38"/>
      <c r="BD7" s="38"/>
      <c r="BE7" s="38" t="s">
        <v>40</v>
      </c>
      <c r="BF7" s="38"/>
      <c r="BG7" s="38"/>
      <c r="BH7" s="38"/>
      <c r="BI7" s="38"/>
      <c r="BJ7" s="38"/>
      <c r="BK7" s="38"/>
      <c r="BL7" s="38"/>
      <c r="BM7" s="38"/>
      <c r="BN7" s="38"/>
      <c r="BO7" s="38"/>
      <c r="BP7" s="38"/>
      <c r="BQ7" s="38"/>
      <c r="BR7" s="38" t="s">
        <v>24</v>
      </c>
      <c r="BS7" s="38"/>
      <c r="BT7" s="38"/>
      <c r="BU7" s="38"/>
      <c r="BV7" s="38"/>
      <c r="BW7" s="38"/>
      <c r="BX7" s="38"/>
      <c r="BY7" s="38"/>
      <c r="BZ7" s="38"/>
      <c r="CA7" s="38"/>
      <c r="CB7" s="38"/>
      <c r="CC7" s="38"/>
      <c r="CD7" s="38"/>
      <c r="CE7" s="38"/>
      <c r="CF7" s="38"/>
      <c r="CG7" s="38"/>
      <c r="CH7" s="38"/>
      <c r="CI7" s="38"/>
      <c r="CJ7" s="38"/>
      <c r="CK7" s="38"/>
      <c r="CL7" s="38"/>
      <c r="CM7" s="38"/>
      <c r="CN7" s="38" t="s">
        <v>21</v>
      </c>
      <c r="CO7" s="38" t="s">
        <v>21</v>
      </c>
      <c r="CP7" s="43" t="s">
        <v>58</v>
      </c>
      <c r="CQ7" s="38"/>
      <c r="CR7" s="38"/>
      <c r="CS7" s="38"/>
      <c r="CT7" s="38"/>
      <c r="CU7" s="38"/>
      <c r="CV7" s="38"/>
      <c r="CW7" s="38"/>
      <c r="CX7" s="38"/>
      <c r="CY7" s="38"/>
      <c r="CZ7" s="38"/>
      <c r="DA7" s="38"/>
      <c r="DB7" s="38"/>
      <c r="DC7" s="38"/>
      <c r="DD7" s="38"/>
      <c r="DE7" s="38"/>
      <c r="DF7" s="38"/>
      <c r="DG7" s="38"/>
      <c r="DH7" s="38"/>
      <c r="DI7" s="38"/>
      <c r="DJ7" s="38"/>
      <c r="DK7" s="38"/>
      <c r="DL7" s="38"/>
      <c r="DM7" s="38"/>
      <c r="DN7" s="38"/>
      <c r="DO7" s="38"/>
      <c r="DP7" s="38" t="s">
        <v>57</v>
      </c>
      <c r="DQ7" s="38"/>
      <c r="DR7" s="38"/>
      <c r="DS7" s="38"/>
      <c r="DT7" s="38"/>
      <c r="DU7" s="38"/>
      <c r="DV7" s="38"/>
      <c r="DW7" s="38"/>
      <c r="DX7" s="38"/>
      <c r="DY7" s="38"/>
      <c r="DZ7" s="38"/>
      <c r="EA7" s="38"/>
      <c r="EB7" s="38"/>
      <c r="EC7" s="38"/>
      <c r="ED7" s="38"/>
      <c r="EE7" s="38"/>
      <c r="EF7" s="38"/>
      <c r="EG7" s="38"/>
      <c r="EH7" s="38"/>
      <c r="EI7" s="38"/>
      <c r="EJ7" s="38"/>
      <c r="EK7" s="38"/>
      <c r="EL7" s="38"/>
      <c r="EM7" s="38"/>
      <c r="EN7" s="38"/>
      <c r="EO7" s="38"/>
      <c r="EP7" s="38"/>
      <c r="EQ7" s="38"/>
      <c r="ER7" s="38"/>
      <c r="ES7" s="38"/>
      <c r="ET7" s="38"/>
      <c r="EU7" s="38"/>
      <c r="EV7" s="38"/>
      <c r="EW7" s="38"/>
      <c r="EX7" s="38"/>
      <c r="EY7" s="38"/>
      <c r="EZ7" s="38"/>
      <c r="FA7" s="38"/>
      <c r="FB7" s="38"/>
      <c r="FC7" s="38"/>
      <c r="FD7" s="38"/>
      <c r="FE7" s="38"/>
      <c r="FF7" s="38"/>
      <c r="FG7" s="38"/>
      <c r="FH7" s="38"/>
      <c r="FI7" s="38"/>
      <c r="FJ7" s="38"/>
      <c r="FK7" s="38"/>
      <c r="FL7" s="38"/>
      <c r="FM7" s="38"/>
      <c r="FN7" s="38"/>
      <c r="FO7" s="38"/>
      <c r="FP7" s="38"/>
      <c r="FQ7" s="38"/>
      <c r="FR7" s="38"/>
      <c r="FS7" s="38"/>
      <c r="FT7" s="38"/>
    </row>
    <row r="8" ht="15.75" customHeight="1">
      <c r="A8" s="44"/>
      <c r="B8" s="44"/>
      <c r="C8" s="44" t="s">
        <v>21</v>
      </c>
      <c r="D8" s="40">
        <v>-50.0</v>
      </c>
      <c r="E8" s="44" t="s">
        <v>23</v>
      </c>
      <c r="F8" s="44" t="s">
        <v>52</v>
      </c>
      <c r="G8" s="44"/>
      <c r="H8" s="44" t="s">
        <v>53</v>
      </c>
      <c r="I8" s="44"/>
      <c r="J8" s="44"/>
      <c r="K8" s="44"/>
      <c r="L8" s="44"/>
      <c r="M8" s="44"/>
      <c r="N8" s="44"/>
      <c r="O8" s="44" t="s">
        <v>54</v>
      </c>
      <c r="P8" s="38"/>
      <c r="Q8" s="38"/>
      <c r="R8" s="38"/>
      <c r="S8" s="38" t="s">
        <v>55</v>
      </c>
      <c r="T8" s="38" t="s">
        <v>40</v>
      </c>
      <c r="U8" s="38" t="s">
        <v>42</v>
      </c>
      <c r="V8" s="38" t="s">
        <v>56</v>
      </c>
      <c r="W8" s="38" t="s">
        <v>41</v>
      </c>
      <c r="X8" s="42">
        <v>1.0</v>
      </c>
      <c r="Y8" s="42">
        <v>1.0</v>
      </c>
      <c r="Z8" s="38"/>
      <c r="AA8" s="38"/>
      <c r="AB8" s="38"/>
      <c r="AC8" s="38"/>
      <c r="AD8" s="38"/>
      <c r="AE8" s="38"/>
      <c r="AF8" s="38"/>
      <c r="AG8" s="38"/>
      <c r="AH8" s="38"/>
      <c r="AI8" s="38"/>
      <c r="AJ8" s="38"/>
      <c r="AK8" s="38"/>
      <c r="AL8" s="38"/>
      <c r="AM8" s="38"/>
      <c r="AN8" s="38" t="s">
        <v>25</v>
      </c>
      <c r="AO8" s="38"/>
      <c r="AP8" s="38" t="s">
        <v>57</v>
      </c>
      <c r="AQ8" s="38" t="s">
        <v>21</v>
      </c>
      <c r="AR8" s="38"/>
      <c r="AS8" s="38"/>
      <c r="AT8" s="38"/>
      <c r="AU8" s="38"/>
      <c r="AV8" s="38"/>
      <c r="AW8" s="38"/>
      <c r="AX8" s="38"/>
      <c r="AY8" s="38"/>
      <c r="AZ8" s="38"/>
      <c r="BA8" s="38"/>
      <c r="BB8" s="38"/>
      <c r="BC8" s="38"/>
      <c r="BD8" s="38"/>
      <c r="BE8" s="38" t="s">
        <v>40</v>
      </c>
      <c r="BF8" s="38"/>
      <c r="BG8" s="38"/>
      <c r="BH8" s="38"/>
      <c r="BI8" s="38"/>
      <c r="BJ8" s="38"/>
      <c r="BK8" s="38"/>
      <c r="BL8" s="38"/>
      <c r="BM8" s="38"/>
      <c r="BN8" s="38"/>
      <c r="BO8" s="38"/>
      <c r="BP8" s="38"/>
      <c r="BQ8" s="38"/>
      <c r="BR8" s="38" t="s">
        <v>24</v>
      </c>
      <c r="BS8" s="38"/>
      <c r="BT8" s="38"/>
      <c r="BU8" s="38"/>
      <c r="BV8" s="38"/>
      <c r="BW8" s="38"/>
      <c r="BX8" s="38"/>
      <c r="BY8" s="38"/>
      <c r="BZ8" s="38"/>
      <c r="CA8" s="38"/>
      <c r="CB8" s="38"/>
      <c r="CC8" s="38"/>
      <c r="CD8" s="38"/>
      <c r="CE8" s="38"/>
      <c r="CF8" s="38"/>
      <c r="CG8" s="38"/>
      <c r="CH8" s="38"/>
      <c r="CI8" s="38"/>
      <c r="CJ8" s="38"/>
      <c r="CK8" s="38"/>
      <c r="CL8" s="38"/>
      <c r="CM8" s="38"/>
      <c r="CN8" s="38" t="s">
        <v>21</v>
      </c>
      <c r="CO8" s="38" t="s">
        <v>21</v>
      </c>
      <c r="CP8" s="43" t="s">
        <v>58</v>
      </c>
      <c r="CQ8" s="38"/>
      <c r="CR8" s="38"/>
      <c r="CS8" s="38"/>
      <c r="CT8" s="38"/>
      <c r="CU8" s="38"/>
      <c r="CV8" s="38"/>
      <c r="CW8" s="38"/>
      <c r="CX8" s="38"/>
      <c r="CY8" s="38"/>
      <c r="CZ8" s="38"/>
      <c r="DA8" s="38"/>
      <c r="DB8" s="38"/>
      <c r="DC8" s="38"/>
      <c r="DD8" s="38"/>
      <c r="DE8" s="38"/>
      <c r="DF8" s="38"/>
      <c r="DG8" s="38"/>
      <c r="DH8" s="38"/>
      <c r="DI8" s="38"/>
      <c r="DJ8" s="38"/>
      <c r="DK8" s="38"/>
      <c r="DL8" s="38"/>
      <c r="DM8" s="38"/>
      <c r="DN8" s="38"/>
      <c r="DO8" s="38"/>
      <c r="DP8" s="38" t="s">
        <v>57</v>
      </c>
      <c r="DQ8" s="38"/>
      <c r="DR8" s="38"/>
      <c r="DS8" s="38"/>
      <c r="DT8" s="38"/>
      <c r="DU8" s="38"/>
      <c r="DV8" s="38"/>
      <c r="DW8" s="38"/>
      <c r="DX8" s="38"/>
      <c r="DY8" s="38"/>
      <c r="DZ8" s="38"/>
      <c r="EA8" s="38"/>
      <c r="EB8" s="38"/>
      <c r="EC8" s="38"/>
      <c r="ED8" s="38"/>
      <c r="EE8" s="38"/>
      <c r="EF8" s="38"/>
      <c r="EG8" s="38"/>
      <c r="EH8" s="38"/>
      <c r="EI8" s="38"/>
      <c r="EJ8" s="38"/>
      <c r="EK8" s="38"/>
      <c r="EL8" s="38"/>
      <c r="EM8" s="38"/>
      <c r="EN8" s="38"/>
      <c r="EO8" s="38"/>
      <c r="EP8" s="38"/>
      <c r="EQ8" s="38"/>
      <c r="ER8" s="38"/>
      <c r="ES8" s="38"/>
      <c r="ET8" s="38"/>
      <c r="EU8" s="38"/>
      <c r="EV8" s="38"/>
      <c r="EW8" s="38"/>
      <c r="EX8" s="38"/>
      <c r="EY8" s="38"/>
      <c r="EZ8" s="38"/>
      <c r="FA8" s="38"/>
      <c r="FB8" s="38"/>
      <c r="FC8" s="38"/>
      <c r="FD8" s="38"/>
      <c r="FE8" s="38"/>
      <c r="FF8" s="38"/>
      <c r="FG8" s="38"/>
      <c r="FH8" s="38"/>
      <c r="FI8" s="38"/>
      <c r="FJ8" s="38"/>
      <c r="FK8" s="38"/>
      <c r="FL8" s="38"/>
      <c r="FM8" s="38"/>
      <c r="FN8" s="38"/>
      <c r="FO8" s="38"/>
      <c r="FP8" s="38"/>
      <c r="FQ8" s="38"/>
      <c r="FR8" s="38"/>
      <c r="FS8" s="38"/>
      <c r="FT8" s="38"/>
    </row>
    <row r="9" ht="15.75" customHeight="1">
      <c r="A9" s="44"/>
      <c r="B9" s="44"/>
      <c r="C9" s="44" t="s">
        <v>21</v>
      </c>
      <c r="D9" s="40">
        <v>-950.0</v>
      </c>
      <c r="E9" s="44" t="s">
        <v>23</v>
      </c>
      <c r="F9" s="44" t="s">
        <v>52</v>
      </c>
      <c r="G9" s="44"/>
      <c r="H9" s="44" t="s">
        <v>53</v>
      </c>
      <c r="I9" s="44"/>
      <c r="J9" s="44"/>
      <c r="K9" s="44"/>
      <c r="L9" s="44"/>
      <c r="M9" s="44"/>
      <c r="N9" s="44"/>
      <c r="O9" s="44" t="s">
        <v>54</v>
      </c>
      <c r="P9" s="38"/>
      <c r="Q9" s="38"/>
      <c r="R9" s="38"/>
      <c r="S9" s="38" t="s">
        <v>55</v>
      </c>
      <c r="T9" s="38" t="s">
        <v>40</v>
      </c>
      <c r="U9" s="38" t="s">
        <v>42</v>
      </c>
      <c r="V9" s="38" t="s">
        <v>56</v>
      </c>
      <c r="W9" s="38" t="s">
        <v>41</v>
      </c>
      <c r="X9" s="42">
        <v>1.0</v>
      </c>
      <c r="Y9" s="42">
        <v>1.0</v>
      </c>
      <c r="Z9" s="38"/>
      <c r="AA9" s="38"/>
      <c r="AB9" s="38"/>
      <c r="AC9" s="38"/>
      <c r="AD9" s="38"/>
      <c r="AE9" s="38"/>
      <c r="AF9" s="38"/>
      <c r="AG9" s="38"/>
      <c r="AH9" s="38"/>
      <c r="AI9" s="38"/>
      <c r="AJ9" s="38"/>
      <c r="AK9" s="38"/>
      <c r="AL9" s="38"/>
      <c r="AM9" s="38"/>
      <c r="AN9" s="38" t="s">
        <v>48</v>
      </c>
      <c r="AO9" s="38"/>
      <c r="AP9" s="38" t="s">
        <v>53</v>
      </c>
      <c r="AQ9" s="38" t="s">
        <v>21</v>
      </c>
      <c r="AR9" s="38"/>
      <c r="AS9" s="38"/>
      <c r="AT9" s="38"/>
      <c r="AU9" s="38"/>
      <c r="AV9" s="38"/>
      <c r="AW9" s="38"/>
      <c r="AX9" s="38"/>
      <c r="AY9" s="38"/>
      <c r="AZ9" s="38"/>
      <c r="BA9" s="38"/>
      <c r="BB9" s="38"/>
      <c r="BC9" s="38"/>
      <c r="BD9" s="38"/>
      <c r="BE9" s="38" t="s">
        <v>40</v>
      </c>
      <c r="BF9" s="38"/>
      <c r="BG9" s="38"/>
      <c r="BH9" s="38"/>
      <c r="BI9" s="38"/>
      <c r="BJ9" s="38"/>
      <c r="BK9" s="38"/>
      <c r="BL9" s="38"/>
      <c r="BM9" s="38"/>
      <c r="BN9" s="38"/>
      <c r="BO9" s="38"/>
      <c r="BP9" s="38"/>
      <c r="BQ9" s="38"/>
      <c r="BR9" s="38" t="s">
        <v>24</v>
      </c>
      <c r="BS9" s="38"/>
      <c r="BT9" s="38"/>
      <c r="BU9" s="38"/>
      <c r="BV9" s="38"/>
      <c r="BW9" s="38"/>
      <c r="BX9" s="38"/>
      <c r="BY9" s="38"/>
      <c r="BZ9" s="38"/>
      <c r="CA9" s="38"/>
      <c r="CB9" s="38"/>
      <c r="CC9" s="38"/>
      <c r="CD9" s="38"/>
      <c r="CE9" s="38"/>
      <c r="CF9" s="38"/>
      <c r="CG9" s="38"/>
      <c r="CH9" s="38"/>
      <c r="CI9" s="38"/>
      <c r="CJ9" s="38"/>
      <c r="CK9" s="38"/>
      <c r="CL9" s="38"/>
      <c r="CM9" s="38"/>
      <c r="CN9" s="38" t="s">
        <v>21</v>
      </c>
      <c r="CO9" s="38" t="s">
        <v>21</v>
      </c>
      <c r="CP9" s="43" t="s">
        <v>58</v>
      </c>
      <c r="CQ9" s="38"/>
      <c r="CR9" s="38"/>
      <c r="CS9" s="38"/>
      <c r="CT9" s="38"/>
      <c r="CU9" s="38"/>
      <c r="CV9" s="38"/>
      <c r="CW9" s="38"/>
      <c r="CX9" s="38"/>
      <c r="CY9" s="38"/>
      <c r="CZ9" s="38"/>
      <c r="DA9" s="38"/>
      <c r="DB9" s="38"/>
      <c r="DC9" s="38"/>
      <c r="DD9" s="38"/>
      <c r="DE9" s="38"/>
      <c r="DF9" s="38"/>
      <c r="DG9" s="38"/>
      <c r="DH9" s="38"/>
      <c r="DI9" s="38"/>
      <c r="DJ9" s="38"/>
      <c r="DK9" s="38"/>
      <c r="DL9" s="38"/>
      <c r="DM9" s="38"/>
      <c r="DN9" s="38"/>
      <c r="DO9" s="38"/>
      <c r="DP9" s="38" t="s">
        <v>53</v>
      </c>
      <c r="DQ9" s="38"/>
      <c r="DR9" s="38"/>
      <c r="DS9" s="38"/>
      <c r="DT9" s="38"/>
      <c r="DU9" s="38"/>
      <c r="DV9" s="38"/>
      <c r="DW9" s="38"/>
      <c r="DX9" s="38"/>
      <c r="DY9" s="38"/>
      <c r="DZ9" s="38"/>
      <c r="EA9" s="38"/>
      <c r="EB9" s="38"/>
      <c r="EC9" s="38"/>
      <c r="ED9" s="38"/>
      <c r="EE9" s="38"/>
      <c r="EF9" s="38"/>
      <c r="EG9" s="38"/>
      <c r="EH9" s="38"/>
      <c r="EI9" s="38"/>
      <c r="EJ9" s="38"/>
      <c r="EK9" s="38"/>
      <c r="EL9" s="38"/>
      <c r="EM9" s="38"/>
      <c r="EN9" s="38"/>
      <c r="EO9" s="38"/>
      <c r="EP9" s="38"/>
      <c r="EQ9" s="38"/>
      <c r="ER9" s="38"/>
      <c r="ES9" s="38"/>
      <c r="ET9" s="38"/>
      <c r="EU9" s="38"/>
      <c r="EV9" s="38"/>
      <c r="EW9" s="38"/>
      <c r="EX9" s="38"/>
      <c r="EY9" s="38"/>
      <c r="EZ9" s="38"/>
      <c r="FA9" s="38"/>
      <c r="FB9" s="38"/>
      <c r="FC9" s="38"/>
      <c r="FD9" s="38"/>
      <c r="FE9" s="38"/>
      <c r="FF9" s="38"/>
      <c r="FG9" s="38"/>
      <c r="FH9" s="38"/>
      <c r="FI9" s="38"/>
      <c r="FJ9" s="38"/>
      <c r="FK9" s="38"/>
      <c r="FL9" s="38"/>
      <c r="FM9" s="38"/>
      <c r="FN9" s="38"/>
      <c r="FO9" s="38"/>
      <c r="FP9" s="38"/>
      <c r="FQ9" s="38"/>
      <c r="FR9" s="38"/>
      <c r="FS9" s="38"/>
      <c r="FT9" s="38"/>
    </row>
    <row r="10" ht="15.75" customHeight="1">
      <c r="A10" s="44"/>
      <c r="B10" s="44"/>
      <c r="C10" s="44"/>
      <c r="D10" s="44"/>
      <c r="E10" s="44"/>
      <c r="F10" s="44"/>
      <c r="G10" s="44"/>
      <c r="H10" s="44"/>
      <c r="I10" s="44"/>
      <c r="J10" s="44"/>
      <c r="K10" s="44"/>
      <c r="L10" s="44"/>
      <c r="M10" s="44"/>
      <c r="N10" s="44"/>
      <c r="O10" s="44"/>
      <c r="P10" s="38"/>
      <c r="Q10" s="38"/>
      <c r="R10" s="38"/>
      <c r="S10" s="38"/>
      <c r="T10" s="38"/>
      <c r="U10" s="38"/>
      <c r="V10" s="38"/>
      <c r="W10" s="38"/>
      <c r="X10" s="38"/>
      <c r="Y10" s="38"/>
      <c r="Z10" s="38"/>
      <c r="AA10" s="38"/>
      <c r="AB10" s="38"/>
      <c r="AC10" s="38"/>
      <c r="AD10" s="38"/>
      <c r="AE10" s="38"/>
      <c r="AF10" s="38"/>
      <c r="AG10" s="38"/>
      <c r="AH10" s="38"/>
      <c r="AI10" s="38"/>
      <c r="AJ10" s="38"/>
      <c r="AK10" s="38"/>
      <c r="AL10" s="38"/>
      <c r="AM10" s="38"/>
      <c r="AN10" s="38"/>
      <c r="AO10" s="38"/>
      <c r="AP10" s="38"/>
      <c r="AQ10" s="38"/>
      <c r="AR10" s="38"/>
      <c r="AS10" s="38"/>
      <c r="AT10" s="38"/>
      <c r="AU10" s="38"/>
      <c r="AV10" s="38"/>
      <c r="AW10" s="38"/>
      <c r="AX10" s="38"/>
      <c r="AY10" s="38"/>
      <c r="AZ10" s="38"/>
      <c r="BA10" s="38"/>
      <c r="BB10" s="38"/>
      <c r="BC10" s="38"/>
      <c r="BD10" s="38"/>
      <c r="BE10" s="38"/>
      <c r="BF10" s="38"/>
      <c r="BG10" s="38"/>
      <c r="BH10" s="38"/>
      <c r="BI10" s="38"/>
      <c r="BJ10" s="38"/>
      <c r="BK10" s="38"/>
      <c r="BL10" s="38"/>
      <c r="BM10" s="38"/>
      <c r="BN10" s="38"/>
      <c r="BO10" s="38"/>
      <c r="BP10" s="38"/>
      <c r="BQ10" s="38"/>
      <c r="BR10" s="38"/>
      <c r="BS10" s="38"/>
      <c r="BT10" s="38"/>
      <c r="BU10" s="38"/>
      <c r="BV10" s="38"/>
      <c r="BW10" s="38"/>
      <c r="BX10" s="38"/>
      <c r="BY10" s="38"/>
      <c r="BZ10" s="38"/>
      <c r="CA10" s="38"/>
      <c r="CB10" s="38"/>
      <c r="CC10" s="38"/>
      <c r="CD10" s="38"/>
      <c r="CE10" s="38"/>
      <c r="CF10" s="38"/>
      <c r="CG10" s="38"/>
      <c r="CH10" s="38"/>
      <c r="CI10" s="38"/>
      <c r="CJ10" s="38"/>
      <c r="CK10" s="38"/>
      <c r="CL10" s="38"/>
      <c r="CM10" s="38"/>
      <c r="CN10" s="38"/>
      <c r="CO10" s="38"/>
      <c r="CP10" s="38"/>
      <c r="CQ10" s="38"/>
      <c r="CR10" s="38"/>
      <c r="CS10" s="38"/>
      <c r="CT10" s="38"/>
      <c r="CU10" s="38"/>
      <c r="CV10" s="38"/>
      <c r="CW10" s="38"/>
      <c r="CX10" s="38"/>
      <c r="CY10" s="38"/>
      <c r="CZ10" s="38"/>
      <c r="DA10" s="38"/>
      <c r="DB10" s="38"/>
      <c r="DC10" s="38"/>
      <c r="DD10" s="38"/>
      <c r="DE10" s="38"/>
      <c r="DF10" s="38"/>
      <c r="DG10" s="38"/>
      <c r="DH10" s="38"/>
      <c r="DI10" s="38"/>
      <c r="DJ10" s="38"/>
      <c r="DK10" s="38"/>
      <c r="DL10" s="38"/>
      <c r="DM10" s="38"/>
      <c r="DN10" s="38"/>
      <c r="DO10" s="38"/>
      <c r="DP10" s="38"/>
      <c r="DQ10" s="38"/>
      <c r="DR10" s="38"/>
      <c r="DS10" s="38"/>
      <c r="DT10" s="38"/>
      <c r="DU10" s="38"/>
      <c r="DV10" s="38"/>
      <c r="DW10" s="38"/>
      <c r="DX10" s="38"/>
      <c r="DY10" s="38"/>
      <c r="DZ10" s="38"/>
      <c r="EA10" s="38"/>
      <c r="EB10" s="38"/>
      <c r="EC10" s="38"/>
      <c r="ED10" s="38"/>
      <c r="EE10" s="38"/>
      <c r="EF10" s="38"/>
      <c r="EG10" s="38"/>
      <c r="EH10" s="38"/>
      <c r="EI10" s="38"/>
      <c r="EJ10" s="38"/>
      <c r="EK10" s="38"/>
      <c r="EL10" s="38"/>
      <c r="EM10" s="38"/>
      <c r="EN10" s="38"/>
      <c r="EO10" s="38"/>
      <c r="EP10" s="38"/>
      <c r="EQ10" s="38"/>
      <c r="ER10" s="38"/>
      <c r="ES10" s="38"/>
      <c r="ET10" s="38"/>
      <c r="EU10" s="38"/>
      <c r="EV10" s="38"/>
      <c r="EW10" s="38"/>
      <c r="EX10" s="38"/>
      <c r="EY10" s="38"/>
      <c r="EZ10" s="38"/>
      <c r="FA10" s="38"/>
      <c r="FB10" s="38"/>
      <c r="FC10" s="38"/>
      <c r="FD10" s="38"/>
      <c r="FE10" s="38"/>
      <c r="FF10" s="38"/>
      <c r="FG10" s="38"/>
      <c r="FH10" s="38"/>
      <c r="FI10" s="38"/>
      <c r="FJ10" s="38"/>
      <c r="FK10" s="38"/>
      <c r="FL10" s="38"/>
      <c r="FM10" s="38"/>
      <c r="FN10" s="38"/>
      <c r="FO10" s="38"/>
      <c r="FP10" s="38"/>
      <c r="FQ10" s="38"/>
      <c r="FR10" s="38"/>
      <c r="FS10" s="38"/>
      <c r="FT10" s="3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CheckPortfolioManagement!$4:$4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