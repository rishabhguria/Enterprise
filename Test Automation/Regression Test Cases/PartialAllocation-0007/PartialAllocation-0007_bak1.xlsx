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CheckUnallocatedGroups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  <sheet state="visible" name="GetDataAllocation" sheetId="11" r:id="rId13"/>
    <sheet state="visible" name="GetDataClosing" sheetId="12" r:id="rId14"/>
    <sheet state="visible" name="VerifyLongPositionsGrid" sheetId="13" r:id="rId15"/>
    <sheet state="visible" name="VerifyShort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Copy of Data" sheetId="18" r:id="rId20"/>
    <sheet state="visible" name="Copy of Data 1" sheetId="19" r:id="rId21"/>
    <sheet state="visible" name="Copy of Data 2" sheetId="20" r:id="rId22"/>
    <sheet state="visible" name="SetGeneralPreferences" sheetId="21" r:id="rId23"/>
  </sheets>
  <definedNames/>
  <calcPr/>
</workbook>
</file>

<file path=xl/sharedStrings.xml><?xml version="1.0" encoding="utf-8"?>
<sst xmlns="http://schemas.openxmlformats.org/spreadsheetml/2006/main" count="258" uniqueCount="63">
  <si>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</si>
  <si>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</si>
  <si>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</si>
  <si>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</si>
  <si>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</si>
  <si>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</si>
  <si>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</si>
  <si>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</si>
  <si>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</si>
  <si>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</si>
  <si>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</si>
  <si>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</si>
  <si>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</si>
  <si>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</si>
  <si>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</si>
  <si>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</si>
  <si>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</si>
  <si>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</si>
  <si>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</si>
  <si>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</si>
  <si>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</si>
  <si>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</si>
  <si>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</si>
  <si>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</si>
  <si>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</si>
  <si>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</si>
  <si>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</si>
  <si>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</si>
  <si>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</si>
  <si>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</si>
  <si>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</si>
  <si>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</si>
  <si>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</si>
  <si>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</si>
  <si>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</si>
  <si>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</si>
  <si>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Allocation</t>
  </si>
  <si>
    <t>CheckUnallocatedGroups</t>
  </si>
  <si>
    <t>SelectUnallocatedGroup</t>
  </si>
  <si>
    <t>EnterAllocatePreference</t>
  </si>
  <si>
    <t>Calculated</t>
  </si>
  <si>
    <t>Pro-rata (NAV)</t>
  </si>
  <si>
    <t>CheckAllocatedGroups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</si>
  <si>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</si>
  <si>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</si>
  <si>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</si>
  <si>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</si>
  <si>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</si>
  <si>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</si>
  <si>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</si>
  <si>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</si>
  <si>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</si>
  <si>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</si>
  <si>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</si>
  <si>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</si>
  <si>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</si>
  <si>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</si>
  <si>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EquityS</t>
  </si>
  <si>
    <t>PortfolioManagement</t>
  </si>
  <si>
    <t>CheckPortfolioManagement</t>
  </si>
  <si>
    <t>msft</t>
  </si>
  <si>
    <t>buy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</si>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</sst>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44480</v>
      </c>
      <c r="C6" s="33">
        <f>TODAY()</f>
        <v>44481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31.0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40</v>
      </c>
      <c r="G6" s="9"/>
      <c r="H6" s="9" t="s">
        <v>41</v>
      </c>
      <c r="I6" s="9" t="s">
        <v>18</v>
      </c>
      <c r="J6" s="33">
        <f>TODAY()</f>
        <v>44481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42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11">
        <v>1.0</v>
      </c>
      <c r="L7" s="11">
        <v>1.0</v>
      </c>
      <c r="M7" s="8"/>
      <c r="N7" s="8"/>
      <c r="O7" s="8"/>
      <c r="BJ7" s="9">
        <v>100.0</v>
      </c>
      <c r="BO7" s="9" t="s">
        <v>28</v>
      </c>
      <c r="BT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44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45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44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45</v>
      </c>
      <c r="D3" s="5" t="s">
        <v>9</v>
      </c>
      <c r="E3" s="24" t="s">
        <v>47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11">
        <v>1.0</v>
      </c>
      <c r="J6" s="8"/>
      <c r="K6" s="8"/>
      <c r="L6" s="8"/>
      <c r="M6" s="11">
        <v>59.0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11">
        <v>1.0</v>
      </c>
      <c r="J7" s="11"/>
      <c r="K7" s="8"/>
      <c r="L7" s="8"/>
      <c r="M7" s="11">
        <v>12.0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11">
        <v>1.0</v>
      </c>
      <c r="J8" s="8"/>
      <c r="K8" s="8"/>
      <c r="L8" s="8"/>
      <c r="M8" s="11">
        <v>29.0</v>
      </c>
      <c r="N8" s="8"/>
      <c r="O8" s="8"/>
      <c r="P8" s="9" t="s">
        <v>17</v>
      </c>
      <c r="R8" s="9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45</v>
      </c>
      <c r="D3" s="5" t="s">
        <v>9</v>
      </c>
      <c r="E3" s="24" t="s">
        <v>48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11">
        <v>1.0</v>
      </c>
      <c r="J6" s="8"/>
      <c r="K6" s="8"/>
      <c r="L6" s="8"/>
      <c r="M6" s="11">
        <v>58.0</v>
      </c>
      <c r="N6" s="8"/>
      <c r="O6" s="8"/>
      <c r="P6" s="9" t="s">
        <v>28</v>
      </c>
      <c r="R6" s="9" t="s">
        <v>27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11">
        <v>1.0</v>
      </c>
      <c r="J7" s="8"/>
      <c r="K7" s="8"/>
      <c r="L7" s="8"/>
      <c r="M7" s="11">
        <v>12.0</v>
      </c>
      <c r="N7" s="8"/>
      <c r="O7" s="8"/>
      <c r="P7" s="9" t="s">
        <v>28</v>
      </c>
      <c r="R7" s="9" t="s">
        <v>27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11">
        <v>1.0</v>
      </c>
      <c r="J8" s="8"/>
      <c r="K8" s="8"/>
      <c r="L8" s="8"/>
      <c r="M8" s="11">
        <v>30.0</v>
      </c>
      <c r="N8" s="8"/>
      <c r="O8" s="8"/>
      <c r="P8" s="9" t="s">
        <v>28</v>
      </c>
      <c r="R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49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51</v>
      </c>
      <c r="C6" s="38" t="s">
        <v>52</v>
      </c>
      <c r="D6" s="39">
        <f t="shared" ref="D6:E6" si="1">TODAY()</f>
        <v>44481</v>
      </c>
      <c r="E6" s="39">
        <f t="shared" si="1"/>
        <v>44481</v>
      </c>
      <c r="F6" s="40" t="s">
        <v>53</v>
      </c>
      <c r="G6" s="40" t="s">
        <v>54</v>
      </c>
      <c r="H6" s="40" t="s">
        <v>53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49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 t="s">
        <v>56</v>
      </c>
      <c r="E6" s="35"/>
      <c r="F6" s="8"/>
      <c r="G6" s="8"/>
      <c r="H6" s="8"/>
      <c r="I6" s="8"/>
      <c r="J6" s="8"/>
      <c r="K6" s="11" t="s">
        <v>33</v>
      </c>
      <c r="L6" s="8"/>
      <c r="M6" s="8"/>
      <c r="N6" s="8"/>
      <c r="O6" s="8"/>
      <c r="AB6" s="9" t="s">
        <v>16</v>
      </c>
    </row>
    <row r="7" ht="15.75" customHeight="1">
      <c r="A7" s="8"/>
      <c r="B7" s="11" t="s">
        <v>34</v>
      </c>
      <c r="C7" s="8"/>
      <c r="D7" s="11" t="s">
        <v>56</v>
      </c>
      <c r="E7" s="8"/>
      <c r="F7" s="8"/>
      <c r="G7" s="8"/>
      <c r="H7" s="8"/>
      <c r="I7" s="8"/>
      <c r="J7" s="8"/>
      <c r="K7" s="11" t="s">
        <v>33</v>
      </c>
      <c r="L7" s="8"/>
      <c r="M7" s="8"/>
      <c r="N7" s="8"/>
      <c r="O7" s="8"/>
      <c r="AB7" s="9" t="s">
        <v>16</v>
      </c>
    </row>
    <row r="8" ht="15.75" customHeight="1">
      <c r="A8" s="8"/>
      <c r="B8" s="11" t="s">
        <v>35</v>
      </c>
      <c r="C8" s="8"/>
      <c r="D8" s="11" t="s">
        <v>56</v>
      </c>
      <c r="E8" s="8"/>
      <c r="F8" s="8"/>
      <c r="G8" s="8"/>
      <c r="H8" s="8"/>
      <c r="I8" s="8"/>
      <c r="J8" s="8"/>
      <c r="K8" s="40" t="s">
        <v>33</v>
      </c>
      <c r="L8" s="8"/>
      <c r="M8" s="8"/>
      <c r="N8" s="8"/>
      <c r="O8" s="8"/>
      <c r="AB8" s="9" t="s">
        <v>16</v>
      </c>
    </row>
    <row r="9" ht="15.75" customHeight="1">
      <c r="A9" s="8"/>
      <c r="B9" s="11" t="s">
        <v>32</v>
      </c>
      <c r="C9" s="8"/>
      <c r="D9" s="11" t="s">
        <v>57</v>
      </c>
      <c r="E9" s="8"/>
      <c r="F9" s="8"/>
      <c r="G9" s="8"/>
      <c r="H9" s="8"/>
      <c r="I9" s="8"/>
      <c r="J9" s="8"/>
      <c r="K9" s="40" t="s">
        <v>33</v>
      </c>
      <c r="L9" s="8"/>
      <c r="M9" s="8"/>
      <c r="N9" s="8"/>
      <c r="O9" s="8"/>
      <c r="AB9" s="9" t="s">
        <v>27</v>
      </c>
    </row>
    <row r="10" ht="15.75" customHeight="1">
      <c r="A10" s="8"/>
      <c r="B10" s="11" t="s">
        <v>34</v>
      </c>
      <c r="C10" s="8"/>
      <c r="D10" s="11" t="s">
        <v>57</v>
      </c>
      <c r="E10" s="8"/>
      <c r="F10" s="8"/>
      <c r="G10" s="8"/>
      <c r="H10" s="8"/>
      <c r="I10" s="8"/>
      <c r="J10" s="8"/>
      <c r="K10" s="40" t="s">
        <v>33</v>
      </c>
      <c r="L10" s="8"/>
      <c r="M10" s="8"/>
      <c r="N10" s="8"/>
      <c r="O10" s="8"/>
      <c r="AB10" s="9" t="s">
        <v>27</v>
      </c>
    </row>
    <row r="11" ht="15.75" customHeight="1">
      <c r="A11" s="8"/>
      <c r="B11" s="11" t="s">
        <v>35</v>
      </c>
      <c r="C11" s="8"/>
      <c r="D11" s="11" t="s">
        <v>57</v>
      </c>
      <c r="E11" s="8"/>
      <c r="F11" s="8"/>
      <c r="G11" s="8"/>
      <c r="H11" s="8"/>
      <c r="I11" s="8"/>
      <c r="J11" s="8"/>
      <c r="K11" s="40" t="s">
        <v>33</v>
      </c>
      <c r="L11" s="8"/>
      <c r="M11" s="8"/>
      <c r="N11" s="8"/>
      <c r="O11" s="8"/>
      <c r="AB11" s="9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58</v>
      </c>
      <c r="D3" s="5" t="s">
        <v>9</v>
      </c>
      <c r="E3" s="24" t="s">
        <v>59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11"/>
      <c r="B6" s="11"/>
      <c r="C6" s="11" t="s">
        <v>16</v>
      </c>
      <c r="D6" s="11">
        <v>58.0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11">
        <v>12.0</v>
      </c>
      <c r="E7" s="11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17</v>
      </c>
    </row>
    <row r="8" ht="15.75" customHeight="1">
      <c r="A8" s="8"/>
      <c r="B8" s="8"/>
      <c r="C8" s="11" t="s">
        <v>16</v>
      </c>
      <c r="D8" s="11">
        <v>30.0</v>
      </c>
      <c r="E8" s="11" t="s">
        <v>35</v>
      </c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17</v>
      </c>
    </row>
    <row r="9" ht="15.75" customHeight="1">
      <c r="A9" s="8"/>
      <c r="B9" s="8"/>
      <c r="C9" s="11" t="s">
        <v>27</v>
      </c>
      <c r="D9" s="8"/>
      <c r="E9" s="11" t="s">
        <v>32</v>
      </c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28</v>
      </c>
    </row>
    <row r="10" ht="15.75" customHeight="1">
      <c r="A10" s="8"/>
      <c r="B10" s="8"/>
      <c r="C10" s="11" t="s">
        <v>27</v>
      </c>
      <c r="D10" s="8"/>
      <c r="E10" s="11" t="s">
        <v>34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9" t="s">
        <v>28</v>
      </c>
    </row>
    <row r="11" ht="15.75" customHeight="1">
      <c r="A11" s="8"/>
      <c r="B11" s="8"/>
      <c r="C11" s="11" t="s">
        <v>27</v>
      </c>
      <c r="D11" s="8"/>
      <c r="E11" s="11" t="s">
        <v>35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9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60</v>
      </c>
      <c r="C6" s="8"/>
      <c r="D6" s="11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60</v>
      </c>
      <c r="C6" s="8"/>
      <c r="D6" s="11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60</v>
      </c>
      <c r="C6" s="8"/>
      <c r="D6" s="11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1lI4loUxqzsE3IjuxIjsVY3cB4J_eTKFPPDuXngut4FE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IFERROR(__xludf.DUMMYFUNCTION("""COMPUTED_VALUE"""),"ValidateCheckSide")</f>
        <v>ValidateCheckSide</v>
      </c>
      <c r="C5" s="30" t="str">
        <f>IFERROR(__xludf.DUMMYFUNCTION("""COMPUTED_VALUE"""),"DisabledChecksideAssets")</f>
        <v>DisabledChecksideAssets</v>
      </c>
      <c r="D5" s="30" t="str">
        <f>IFERROR(__xludf.DUMMYFUNCTION("""COMPUTED_VALUE"""),"PrecisionValue")</f>
        <v>PrecisionValue</v>
      </c>
      <c r="E5" s="30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30" t="str">
        <f>IFERROR(__xludf.DUMMYFUNCTION("""COMPUTED_VALUE"""),"SaveWithState")</f>
        <v>SaveWithState</v>
      </c>
      <c r="H5" s="30" t="str">
        <f>IFERROR(__xludf.DUMMYFUNCTION("""COMPUTED_VALUE"""),"ClearQuantities")</f>
        <v>ClearQuantities</v>
      </c>
      <c r="I5" s="30" t="str">
        <f>IFERROR(__xludf.DUMMYFUNCTION("""COMPUTED_VALUE"""),"ReapplyAllocation")</f>
        <v>ReapplyAllocation</v>
      </c>
      <c r="J5" s="30" t="str">
        <f>IFERROR(__xludf.DUMMYFUNCTION("""COMPUTED_VALUE"""),"DefaultAllocation")</f>
        <v>DefaultAllocation</v>
      </c>
      <c r="K5" s="30" t="str">
        <f>IFERROR(__xludf.DUMMYFUNCTION("""COMPUTED_VALUE"""),"IsCustomPreference")</f>
        <v>IsCustomPreference</v>
      </c>
      <c r="L5" s="30" t="str">
        <f>IFERROR(__xludf.DUMMYFUNCTION("""COMPUTED_VALUE"""),"AllocationMethod")</f>
        <v>AllocationMethod</v>
      </c>
      <c r="M5" s="30" t="str">
        <f>IFERROR(__xludf.DUMMYFUNCTION("""COMPUTED_VALUE"""),"RemainderAllocationTo")</f>
        <v>RemainderAllocationTo</v>
      </c>
      <c r="N5" s="30" t="str">
        <f>IFERROR(__xludf.DUMMYFUNCTION("""COMPUTED_VALUE"""),"Target%AsOf")</f>
        <v>Target%AsOf</v>
      </c>
      <c r="O5" s="30" t="str">
        <f>IFERROR(__xludf.DUMMYFUNCTION("""COMPUTED_VALUE"""),"ProrataAccounts")</f>
        <v>ProrataAccounts</v>
      </c>
      <c r="P5" s="30" t="str">
        <f>IFERROR(__xludf.DUMMYFUNCTION("""COMPUTED_VALUE"""),"DateUptoDays")</f>
        <v>DateUptoDays</v>
      </c>
      <c r="Q5" s="30" t="str">
        <f>IFERROR(__xludf.DUMMYFUNCTION("""COMPUTED_VALUE"""),"MatchClosing")</f>
        <v>MatchClosing</v>
      </c>
      <c r="R5" s="30" t="str">
        <f>IFERROR(__xludf.DUMMYFUNCTION("""COMPUTED_VALUE"""),"CommissionAlertOnBrokerChange")</f>
        <v>CommissionAlertOnBrokerChange</v>
      </c>
      <c r="S5" s="30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b">
        <v>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