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ditTradeUnexpiredUnsettled" sheetId="11" r:id="rId13"/>
    <sheet state="visible" name="ExerciseAssignment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<sst xmlns="http://schemas.openxmlformats.org/spreadsheetml/2006/main" count="189" uniqueCount="56">
  <si>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</si>
  <si>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</si>
  <si>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</si>
  <si>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</si>
  <si>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</si>
  <si>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</si>
  <si>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</si>
  <si>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</si>
  <si>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</si>
  <si>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</si>
  <si>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</si>
  <si>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</si>
  <si>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</si>
  <si>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</si>
  <si>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</si>
  <si>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</si>
  <si>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11S62.50</t>
  </si>
  <si>
    <t>Closing</t>
  </si>
  <si>
    <t>SetClosingPreference</t>
  </si>
  <si>
    <t>TradingTicket</t>
  </si>
  <si>
    <t>CreateDoneAwayOrder</t>
  </si>
  <si>
    <t>RIG</t>
  </si>
  <si>
    <t>Buy</t>
  </si>
  <si>
    <t>Allocation1</t>
  </si>
  <si>
    <t>Sell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</si>
  <si>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</si>
  <si>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</si>
  <si>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</si>
  <si>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</si>
  <si>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</si>
  <si>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</si>
  <si>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</si>
  <si>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</si>
  <si>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</si>
  <si>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 xml:space="preserve">Buy to Open </t>
  </si>
  <si>
    <t>EditTradeUnexpiredUnsettled</t>
  </si>
  <si>
    <t>ExerciseAssignment</t>
  </si>
  <si>
    <t>Allocation</t>
  </si>
  <si>
    <t>GetDataAllocation</t>
  </si>
  <si>
    <t>CheckAllocatedGroups</t>
  </si>
  <si>
    <t>MS</t>
  </si>
  <si>
    <t>Open</t>
  </si>
  <si>
    <t>Closed</t>
  </si>
  <si>
    <t>Sell to Close</t>
  </si>
  <si>
    <t>PartiallyClosed</t>
  </si>
  <si>
    <t>Sell short</t>
  </si>
  <si>
    <t>PortfolioManagement</t>
  </si>
  <si>
    <t>CheckPortfolioManagement</t>
  </si>
  <si>
    <t>Short</t>
  </si>
  <si>
    <t>Strategy Unallocated</t>
  </si>
  <si>
    <t>Equity</t>
  </si>
  <si>
    <t>US</t>
  </si>
  <si>
    <t>NYSE</t>
  </si>
  <si>
    <t>USD</t>
  </si>
  <si>
    <t>Long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</si>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</sst>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14" xfId="0" applyAlignment="1" applyFill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7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today()-1</f>
        <v>45014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8" t="s">
        <v>22</v>
      </c>
      <c r="D6" s="39">
        <v>100.0</v>
      </c>
      <c r="E6" s="40">
        <v>100.0</v>
      </c>
      <c r="F6" s="38" t="s">
        <v>23</v>
      </c>
      <c r="G6" s="38"/>
      <c r="H6" s="38"/>
      <c r="I6" s="38"/>
      <c r="J6" s="40">
        <v>1.0</v>
      </c>
      <c r="K6" s="38"/>
      <c r="L6" s="38"/>
      <c r="M6" s="38"/>
      <c r="N6" s="41">
        <f t="shared" ref="N6:N8" si="1">today()-1</f>
        <v>45014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21</v>
      </c>
      <c r="C7" s="42" t="s">
        <v>24</v>
      </c>
      <c r="D7" s="40">
        <v>50.0</v>
      </c>
      <c r="E7" s="40">
        <v>50.0</v>
      </c>
      <c r="F7" s="38" t="s">
        <v>23</v>
      </c>
      <c r="G7" s="38"/>
      <c r="H7" s="38"/>
      <c r="I7" s="38"/>
      <c r="J7" s="40">
        <v>1.0</v>
      </c>
      <c r="K7" s="38"/>
      <c r="L7" s="38"/>
      <c r="M7" s="38"/>
      <c r="N7" s="43">
        <f t="shared" si="1"/>
        <v>45014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16</v>
      </c>
      <c r="C8" s="44" t="s">
        <v>25</v>
      </c>
      <c r="D8" s="40">
        <v>10.0</v>
      </c>
      <c r="E8" s="40">
        <v>10.0</v>
      </c>
      <c r="F8" s="38" t="s">
        <v>23</v>
      </c>
      <c r="G8" s="38"/>
      <c r="H8" s="38"/>
      <c r="I8" s="38"/>
      <c r="J8" s="40">
        <v>10.0</v>
      </c>
      <c r="K8" s="38"/>
      <c r="L8" s="38"/>
      <c r="M8" s="38"/>
      <c r="N8" s="43">
        <f t="shared" si="1"/>
        <v>45014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>
        <f>TODAY()-1</f>
        <v>45014</v>
      </c>
      <c r="C6" s="45">
        <f>TODAY()</f>
        <v>45015</v>
      </c>
      <c r="D6" s="31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 t="s">
        <v>21</v>
      </c>
      <c r="C6" s="48">
        <v>120.0</v>
      </c>
      <c r="D6" s="31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35" t="s">
        <v>30</v>
      </c>
      <c r="C6" s="49" t="s">
        <v>31</v>
      </c>
      <c r="D6" s="41">
        <f>today()</f>
        <v>45015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6"/>
      <c r="B6" s="35" t="s">
        <v>23</v>
      </c>
      <c r="C6" s="36"/>
      <c r="D6" s="35"/>
      <c r="E6" s="36" t="s">
        <v>33</v>
      </c>
      <c r="F6" s="36"/>
      <c r="G6" s="36"/>
      <c r="H6" s="36"/>
      <c r="I6" s="48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50">
        <v>10.0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44" t="s">
        <v>34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50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 t="s">
        <v>16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/>
      <c r="D6" s="31"/>
      <c r="E6" s="40">
        <v>5.0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/>
      <c r="D6" s="31"/>
      <c r="E6" s="38"/>
      <c r="F6" s="38"/>
      <c r="G6" s="38"/>
      <c r="H6" s="38"/>
      <c r="I6" s="38"/>
      <c r="J6" s="40">
        <v>100.0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35" t="s">
        <v>30</v>
      </c>
      <c r="C6" s="49" t="s">
        <v>31</v>
      </c>
      <c r="D6" s="41">
        <f>today()</f>
        <v>45015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23</v>
      </c>
      <c r="C6" s="8"/>
      <c r="D6" s="13"/>
      <c r="E6" s="52">
        <v>100.0</v>
      </c>
      <c r="F6" s="8"/>
      <c r="G6" s="8"/>
      <c r="H6" s="8"/>
      <c r="I6" s="8"/>
      <c r="J6" s="8"/>
      <c r="K6" s="52"/>
      <c r="L6" s="52"/>
      <c r="M6" s="8"/>
      <c r="N6" s="8"/>
      <c r="O6" s="51" t="s">
        <v>40</v>
      </c>
      <c r="S6" s="51" t="s">
        <v>41</v>
      </c>
      <c r="AE6" s="52">
        <v>100.0</v>
      </c>
      <c r="BE6" s="52"/>
      <c r="BF6" s="52"/>
      <c r="BJ6" s="52">
        <v>100.0</v>
      </c>
      <c r="BO6" s="51" t="s">
        <v>22</v>
      </c>
      <c r="BT6" s="51" t="s">
        <v>21</v>
      </c>
    </row>
    <row r="7" ht="15.75" customHeight="1">
      <c r="A7" s="8"/>
      <c r="B7" s="51" t="s">
        <v>23</v>
      </c>
      <c r="C7" s="8"/>
      <c r="D7" s="8"/>
      <c r="E7" s="52">
        <v>50.0</v>
      </c>
      <c r="F7" s="8"/>
      <c r="G7" s="8"/>
      <c r="H7" s="8"/>
      <c r="I7" s="8"/>
      <c r="J7" s="8"/>
      <c r="K7" s="52"/>
      <c r="L7" s="52"/>
      <c r="M7" s="8"/>
      <c r="N7" s="8"/>
      <c r="O7" s="51" t="s">
        <v>40</v>
      </c>
      <c r="S7" s="51" t="s">
        <v>41</v>
      </c>
      <c r="AE7" s="52">
        <v>50.0</v>
      </c>
      <c r="BE7" s="52"/>
      <c r="BF7" s="52"/>
      <c r="BJ7" s="52">
        <v>50.0</v>
      </c>
      <c r="BO7" s="51" t="s">
        <v>24</v>
      </c>
      <c r="BT7" s="51" t="s">
        <v>21</v>
      </c>
    </row>
    <row r="8" ht="15.75" customHeight="1">
      <c r="A8" s="8"/>
      <c r="B8" s="51" t="s">
        <v>23</v>
      </c>
      <c r="C8" s="8"/>
      <c r="D8" s="8"/>
      <c r="E8" s="52">
        <v>5.0</v>
      </c>
      <c r="F8" s="8"/>
      <c r="G8" s="8"/>
      <c r="H8" s="8"/>
      <c r="I8" s="8"/>
      <c r="J8" s="8"/>
      <c r="K8" s="53"/>
      <c r="L8" s="53"/>
      <c r="M8" s="8"/>
      <c r="N8" s="8"/>
      <c r="O8" s="51" t="s">
        <v>40</v>
      </c>
      <c r="S8" s="51" t="s">
        <v>42</v>
      </c>
      <c r="AE8" s="52">
        <v>5.0</v>
      </c>
      <c r="BE8" s="52"/>
      <c r="BF8" s="52"/>
      <c r="BJ8" s="52">
        <v>5.0</v>
      </c>
      <c r="BO8" s="51" t="s">
        <v>43</v>
      </c>
      <c r="BT8" s="51" t="s">
        <v>16</v>
      </c>
    </row>
    <row r="9" ht="15.75" customHeight="1">
      <c r="A9" s="8"/>
      <c r="B9" s="51" t="s">
        <v>23</v>
      </c>
      <c r="C9" s="8"/>
      <c r="D9" s="8"/>
      <c r="E9" s="52">
        <v>10.0</v>
      </c>
      <c r="F9" s="8"/>
      <c r="G9" s="8"/>
      <c r="H9" s="8"/>
      <c r="I9" s="8"/>
      <c r="J9" s="8"/>
      <c r="K9" s="53"/>
      <c r="L9" s="53"/>
      <c r="M9" s="8"/>
      <c r="N9" s="8"/>
      <c r="O9" s="51" t="s">
        <v>40</v>
      </c>
      <c r="S9" s="51" t="s">
        <v>44</v>
      </c>
      <c r="AE9" s="52">
        <v>10.0</v>
      </c>
      <c r="BE9" s="53"/>
      <c r="BF9" s="53"/>
      <c r="BJ9" s="52">
        <v>10.0</v>
      </c>
      <c r="BO9" s="51" t="s">
        <v>25</v>
      </c>
      <c r="BT9" s="51" t="s">
        <v>16</v>
      </c>
    </row>
    <row r="10" ht="15.75" customHeight="1">
      <c r="A10" s="8"/>
      <c r="B10" s="51" t="s">
        <v>23</v>
      </c>
      <c r="C10" s="8"/>
      <c r="D10" s="8"/>
      <c r="E10" s="52">
        <v>450.0</v>
      </c>
      <c r="F10" s="8"/>
      <c r="G10" s="8"/>
      <c r="H10" s="8"/>
      <c r="I10" s="8"/>
      <c r="J10" s="8"/>
      <c r="K10" s="53"/>
      <c r="L10" s="53"/>
      <c r="M10" s="8"/>
      <c r="N10" s="8"/>
      <c r="O10" s="51" t="s">
        <v>40</v>
      </c>
      <c r="S10" s="51" t="s">
        <v>41</v>
      </c>
      <c r="AE10" s="52">
        <v>450.0</v>
      </c>
      <c r="BE10" s="53"/>
      <c r="BF10" s="53"/>
      <c r="BJ10" s="52">
        <v>450.0</v>
      </c>
      <c r="BO10" s="51" t="s">
        <v>45</v>
      </c>
      <c r="BT10" s="51" t="s">
        <v>21</v>
      </c>
    </row>
    <row r="11" ht="15.75" customHeight="1">
      <c r="A11" s="8"/>
      <c r="B11" s="51" t="s">
        <v>23</v>
      </c>
      <c r="C11" s="8"/>
      <c r="D11" s="8"/>
      <c r="E11" s="52">
        <v>50.0</v>
      </c>
      <c r="F11" s="8"/>
      <c r="G11" s="8"/>
      <c r="H11" s="8"/>
      <c r="I11" s="8"/>
      <c r="J11" s="8"/>
      <c r="K11" s="53"/>
      <c r="L11" s="53"/>
      <c r="M11" s="8"/>
      <c r="N11" s="8"/>
      <c r="O11" s="51" t="s">
        <v>40</v>
      </c>
      <c r="S11" s="51" t="s">
        <v>41</v>
      </c>
      <c r="AE11" s="52">
        <v>50.0</v>
      </c>
      <c r="BE11" s="53"/>
      <c r="BF11" s="53"/>
      <c r="BJ11" s="52">
        <v>50.0</v>
      </c>
      <c r="BO11" s="51" t="s">
        <v>24</v>
      </c>
      <c r="BT11" s="51" t="s">
        <v>21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51" t="s">
        <v>21</v>
      </c>
      <c r="D6" s="52">
        <v>100.0</v>
      </c>
      <c r="E6" s="51" t="s">
        <v>23</v>
      </c>
      <c r="F6" s="8"/>
      <c r="G6" s="52">
        <v>1.0</v>
      </c>
      <c r="H6" s="51" t="s">
        <v>48</v>
      </c>
      <c r="I6" s="8"/>
      <c r="J6" s="8"/>
      <c r="K6" s="8"/>
      <c r="L6" s="8"/>
      <c r="M6" s="8"/>
      <c r="N6" s="8"/>
      <c r="O6" s="8"/>
      <c r="S6" s="51" t="s">
        <v>49</v>
      </c>
      <c r="T6" s="51" t="s">
        <v>50</v>
      </c>
      <c r="U6" s="54" t="s">
        <v>51</v>
      </c>
      <c r="V6" s="51" t="s">
        <v>52</v>
      </c>
      <c r="W6" s="51" t="s">
        <v>53</v>
      </c>
      <c r="AN6" s="51" t="s">
        <v>22</v>
      </c>
    </row>
    <row r="7" ht="15.75" customHeight="1">
      <c r="A7" s="8"/>
      <c r="B7" s="8"/>
      <c r="C7" s="51" t="s">
        <v>21</v>
      </c>
      <c r="D7" s="52">
        <v>-50.0</v>
      </c>
      <c r="E7" s="51" t="s">
        <v>23</v>
      </c>
      <c r="F7" s="8"/>
      <c r="G7" s="52">
        <v>1.0</v>
      </c>
      <c r="H7" s="51" t="s">
        <v>48</v>
      </c>
      <c r="I7" s="8"/>
      <c r="J7" s="8"/>
      <c r="K7" s="8"/>
      <c r="L7" s="8"/>
      <c r="M7" s="8"/>
      <c r="N7" s="8"/>
      <c r="O7" s="8"/>
      <c r="S7" s="51" t="s">
        <v>49</v>
      </c>
      <c r="T7" s="51" t="s">
        <v>50</v>
      </c>
      <c r="U7" s="54" t="s">
        <v>51</v>
      </c>
      <c r="V7" s="51" t="s">
        <v>52</v>
      </c>
      <c r="W7" s="51" t="s">
        <v>53</v>
      </c>
      <c r="AN7" s="51" t="s">
        <v>24</v>
      </c>
    </row>
    <row r="8" ht="15.75" customHeight="1">
      <c r="A8" s="8"/>
      <c r="B8" s="8"/>
      <c r="C8" s="51" t="s">
        <v>16</v>
      </c>
      <c r="D8" s="52">
        <v>5.0</v>
      </c>
      <c r="E8" s="51" t="s">
        <v>23</v>
      </c>
      <c r="F8" s="8"/>
      <c r="G8" s="52">
        <v>10.0</v>
      </c>
      <c r="H8" s="51" t="s">
        <v>54</v>
      </c>
      <c r="I8" s="8"/>
      <c r="J8" s="8"/>
      <c r="K8" s="8"/>
      <c r="L8" s="8"/>
      <c r="M8" s="8"/>
      <c r="N8" s="8"/>
      <c r="O8" s="8"/>
      <c r="S8" s="51" t="s">
        <v>49</v>
      </c>
      <c r="T8" s="51" t="s">
        <v>33</v>
      </c>
      <c r="U8" s="54" t="s">
        <v>51</v>
      </c>
      <c r="V8" s="51" t="s">
        <v>55</v>
      </c>
      <c r="W8" s="51" t="s">
        <v>53</v>
      </c>
      <c r="AN8" s="51" t="s">
        <v>25</v>
      </c>
    </row>
    <row r="9" ht="15.75" customHeight="1">
      <c r="A9" s="8"/>
      <c r="B9" s="8"/>
      <c r="C9" s="51" t="s">
        <v>21</v>
      </c>
      <c r="D9" s="52">
        <v>-50.0</v>
      </c>
      <c r="E9" s="51" t="s">
        <v>23</v>
      </c>
      <c r="F9" s="8"/>
      <c r="G9" s="52">
        <v>100.0</v>
      </c>
      <c r="H9" s="51" t="s">
        <v>48</v>
      </c>
      <c r="I9" s="8"/>
      <c r="J9" s="8"/>
      <c r="K9" s="8"/>
      <c r="L9" s="8"/>
      <c r="M9" s="8"/>
      <c r="N9" s="8"/>
      <c r="O9" s="8"/>
      <c r="S9" s="51" t="s">
        <v>49</v>
      </c>
      <c r="T9" s="51" t="s">
        <v>50</v>
      </c>
      <c r="U9" s="54" t="s">
        <v>51</v>
      </c>
      <c r="V9" s="51" t="s">
        <v>52</v>
      </c>
      <c r="W9" s="51" t="s">
        <v>53</v>
      </c>
      <c r="AN9" s="51" t="s">
        <v>24</v>
      </c>
    </row>
    <row r="10" ht="15.75" customHeight="1">
      <c r="A10" s="8"/>
      <c r="B10" s="8"/>
      <c r="C10" s="51" t="s">
        <v>21</v>
      </c>
      <c r="D10" s="52">
        <v>-450.0</v>
      </c>
      <c r="E10" s="51" t="s">
        <v>23</v>
      </c>
      <c r="F10" s="8"/>
      <c r="G10" s="52">
        <v>100.0</v>
      </c>
      <c r="H10" s="51" t="s">
        <v>48</v>
      </c>
      <c r="I10" s="8"/>
      <c r="J10" s="8"/>
      <c r="K10" s="8"/>
      <c r="L10" s="8"/>
      <c r="M10" s="8"/>
      <c r="N10" s="8"/>
      <c r="O10" s="8"/>
      <c r="S10" s="51" t="s">
        <v>49</v>
      </c>
      <c r="T10" s="51" t="s">
        <v>50</v>
      </c>
      <c r="U10" s="54" t="s">
        <v>51</v>
      </c>
      <c r="V10" s="51" t="s">
        <v>52</v>
      </c>
      <c r="W10" s="51" t="s">
        <v>53</v>
      </c>
      <c r="AN10" s="51" t="s">
        <v>45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N11" s="5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