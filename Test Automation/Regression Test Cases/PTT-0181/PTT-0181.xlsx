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<sst xmlns="http://schemas.openxmlformats.org/spreadsheetml/2006/main" count="84" uniqueCount="38">
  <si>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</si>
  <si>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</si>
  <si>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</si>
  <si>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</si>
  <si>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</si>
  <si>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</si>
  <si>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</si>
  <si>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</si>
  <si>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</si>
  <si>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</si>
  <si>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</si>
  <si>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</si>
  <si>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</si>
  <si>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</si>
  <si>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</si>
  <si>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</si>
  <si>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</si>
  <si>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</si>
  <si>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Allocation1,Allocation3</t>
  </si>
  <si>
    <t>50,50</t>
  </si>
  <si>
    <t>DailyValuation</t>
  </si>
  <si>
    <t>GetDailyCash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</si>
  <si>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</si>
  <si>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</si>
  <si>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</si>
  <si>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</si>
  <si>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</si>
  <si>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</si>
  <si>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</si>
  <si>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</si>
  <si>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</si>
  <si>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CalculatePTT</t>
  </si>
  <si>
    <t>Decrease</t>
  </si>
  <si>
    <t>Percentage</t>
  </si>
  <si>
    <t>No</t>
  </si>
  <si>
    <t>MasterFund</t>
  </si>
  <si>
    <t>VerifyPTT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</si>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</sst>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G6" s="31" t="s">
        <v>18</v>
      </c>
      <c r="H6" s="33" t="s">
        <v>19</v>
      </c>
      <c r="I6" s="31" t="s">
        <v>16</v>
      </c>
      <c r="J6" s="34" t="b">
        <v>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45090</v>
      </c>
      <c r="C6" s="35">
        <f>TODAY()</f>
        <v>45091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6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24</v>
      </c>
      <c r="D7" s="37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8" t="s">
        <v>29</v>
      </c>
      <c r="D6" s="36">
        <v>100.0</v>
      </c>
      <c r="E6" s="32"/>
      <c r="F6" s="39" t="s">
        <v>23</v>
      </c>
      <c r="G6" s="32"/>
      <c r="H6" s="32"/>
      <c r="I6" s="32"/>
      <c r="J6" s="37">
        <v>140.0</v>
      </c>
      <c r="K6" s="32"/>
      <c r="L6" s="32"/>
      <c r="M6" s="32"/>
      <c r="N6" s="35">
        <f t="shared" ref="N6:N7" si="1">TODAY()-1</f>
        <v>45090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28</v>
      </c>
      <c r="C7" s="38" t="s">
        <v>29</v>
      </c>
      <c r="D7" s="37">
        <v>100.0</v>
      </c>
      <c r="E7" s="32"/>
      <c r="F7" s="39" t="s">
        <v>25</v>
      </c>
      <c r="G7" s="32"/>
      <c r="H7" s="32"/>
      <c r="I7" s="32"/>
      <c r="J7" s="37">
        <v>140.0</v>
      </c>
      <c r="K7" s="32"/>
      <c r="L7" s="32"/>
      <c r="M7" s="32"/>
      <c r="N7" s="35">
        <f t="shared" si="1"/>
        <v>45090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7">
        <v>140.0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9" t="s">
        <v>32</v>
      </c>
      <c r="D6" s="31" t="s">
        <v>33</v>
      </c>
      <c r="E6" s="37">
        <v>30.0</v>
      </c>
      <c r="F6" s="32"/>
      <c r="G6" s="32" t="s">
        <v>34</v>
      </c>
      <c r="H6" s="32" t="s">
        <v>35</v>
      </c>
      <c r="I6" s="32" t="s">
        <v>17</v>
      </c>
      <c r="J6" s="32" t="s">
        <v>17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41"/>
      <c r="D6" s="31"/>
      <c r="E6" s="32"/>
      <c r="F6" s="32"/>
      <c r="G6" s="42"/>
      <c r="H6" s="42">
        <v>0.0</v>
      </c>
      <c r="I6" s="42">
        <v>200.0</v>
      </c>
      <c r="J6" s="32"/>
      <c r="K6" s="32"/>
      <c r="L6" s="32"/>
      <c r="M6" s="39">
        <v>1.0</v>
      </c>
      <c r="N6" s="32"/>
      <c r="O6" s="32"/>
      <c r="P6" s="32"/>
      <c r="Q6" s="32"/>
      <c r="R6" s="43" t="s">
        <v>37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/>
      <c r="C7" s="41"/>
      <c r="D7" s="32"/>
      <c r="E7" s="32"/>
      <c r="F7" s="32"/>
      <c r="G7" s="45"/>
      <c r="H7" s="45"/>
      <c r="I7" s="32"/>
      <c r="J7" s="32"/>
      <c r="K7" s="32"/>
      <c r="L7" s="32"/>
      <c r="M7" s="32"/>
      <c r="N7" s="32"/>
      <c r="O7" s="32"/>
      <c r="P7" s="32"/>
      <c r="Q7" s="32"/>
      <c r="R7" s="44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