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utomaticClosing" sheetId="5" r:id="rId7"/>
    <sheet state="visible" name="VerifyClosedTrades" sheetId="6" r:id="rId8"/>
    <sheet state="visible" name="UnwindClosing" sheetId="7" r:id="rId9"/>
    <sheet state="visible" name="GetDataClosing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  <sheet state="visible" name="VerifyLongPositionsGrid" sheetId="12" r:id="rId14"/>
    <sheet state="visible" name="VerifyShortPositionsGrid" sheetId="13" r:id="rId15"/>
  </sheets>
  <definedNames/>
  <calcPr/>
</workbook>
</file>

<file path=xl/sharedStrings.xml><?xml version="1.0" encoding="utf-8"?>
<sst xmlns="http://schemas.openxmlformats.org/spreadsheetml/2006/main" count="183" uniqueCount="44">
  <si>
    <t>Master Data Info</t>
  </si>
  <si>
    <t>Settings</t>
  </si>
  <si>
    <t>Modules Info</t>
  </si>
  <si>
    <t>Modules</t>
  </si>
  <si>
    <t>Module Step Setting File</t>
  </si>
  <si>
    <t>Module</t>
  </si>
  <si>
    <t>1ME5nnmNmgGcG-gtQosTv7DydLzJUA3iWN2GBgspatg8</t>
  </si>
  <si>
    <t>Step</t>
  </si>
  <si>
    <t>Master Data Settings File</t>
  </si>
  <si>
    <t>1Nt_rf5DtgjbN9Ag4AMMlUkZYROxKZLH5m54YOl7tRT0</t>
  </si>
  <si>
    <t>Master Data Sheet</t>
  </si>
  <si>
    <t>Data</t>
  </si>
  <si>
    <t>TradingTicket</t>
  </si>
  <si>
    <t>CreateDoneAwayOrder</t>
  </si>
  <si>
    <t>Data Format</t>
  </si>
  <si>
    <t>Input Format</t>
  </si>
  <si>
    <t>GOOG</t>
  </si>
  <si>
    <t>Buy</t>
  </si>
  <si>
    <t>Allocation1</t>
  </si>
  <si>
    <t>Market</t>
  </si>
  <si>
    <t>Sell</t>
  </si>
  <si>
    <t>Closing</t>
  </si>
  <si>
    <t>AutomaticClosing</t>
  </si>
  <si>
    <t>MFIFO</t>
  </si>
  <si>
    <t>AvgPXDESC</t>
  </si>
  <si>
    <t>Default</t>
  </si>
  <si>
    <t>VerifyClosedTrades</t>
  </si>
  <si>
    <t>Long</t>
  </si>
  <si>
    <t>UnwindClosing</t>
  </si>
  <si>
    <t>Strategy Unallocated</t>
  </si>
  <si>
    <t>Equity</t>
  </si>
  <si>
    <t>GetDataClosing</t>
  </si>
  <si>
    <t>Historical</t>
  </si>
  <si>
    <t>Allocation</t>
  </si>
  <si>
    <t>GetDataAllocation</t>
  </si>
  <si>
    <t>CheckAllocatedGroups</t>
  </si>
  <si>
    <t>PartiallyClosed</t>
  </si>
  <si>
    <t xml:space="preserve">Buy </t>
  </si>
  <si>
    <t>Closed</t>
  </si>
  <si>
    <t>Open</t>
  </si>
  <si>
    <t>PortfolioManagement</t>
  </si>
  <si>
    <t>CheckPortfolioManagement</t>
  </si>
  <si>
    <t>VerifyLongPositionsGrid</t>
  </si>
  <si>
    <t>VerifyShortPositionsGrid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</si>
</sst>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9" numFmtId="0" xfId="0" applyFont="1"/>
    <xf borderId="4" fillId="3" fontId="4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1" numFmtId="164" xfId="0" applyAlignment="1" applyFont="1" applyNumberForma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0" fontId="5" numFmtId="164" xfId="0" applyAlignment="1" applyFont="1" applyNumberForma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6" numFmtId="164" xfId="0" applyAlignment="1" applyFont="1" applyNumberForma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1" numFmtId="164" xfId="0" applyAlignment="1" applyFont="1" applyNumberForma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4" fillId="5" fontId="6" numFmtId="164" xfId="0" applyAlignment="1" applyBorder="1" applyFont="1" applyNumberFormat="1">
      <alignment shrinkToFit="0" wrapText="0"/>
    </xf>
    <xf borderId="0" fillId="5" fontId="10" numFmtId="0" xfId="0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right" shrinkToFit="0" vertical="bottom" wrapText="0"/>
    </xf>
    <xf borderId="0" fillId="0" fontId="2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vertical="bottom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5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shrinkToFit="0" vertical="bottom" wrapText="0"/>
    </xf>
    <xf borderId="0" fillId="0" fontId="4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readingOrder="0" shrinkToFit="0" wrapText="0"/>
    </xf>
    <xf borderId="0" fillId="5" fontId="10" numFmtId="164" xfId="0" applyFont="1" applyNumberFormat="1"/>
    <xf borderId="0" fillId="0" fontId="4" numFmtId="0" xfId="0" applyAlignment="1" applyFont="1">
      <alignment vertical="bottom"/>
    </xf>
    <xf borderId="0" fillId="0" fontId="4" numFmtId="14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4"/>
      <c r="C3" s="16"/>
      <c r="D3" s="16"/>
      <c r="E3" s="16"/>
      <c r="F3" s="16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5" t="s">
        <v>1</v>
      </c>
      <c r="B1" s="3"/>
      <c r="C1" s="4"/>
    </row>
    <row r="2" ht="15.75" customHeight="1">
      <c r="A2" s="7"/>
      <c r="B2" s="7"/>
      <c r="C2" s="7"/>
    </row>
    <row r="3" ht="15.75" customHeight="1">
      <c r="A3" s="8" t="s">
        <v>4</v>
      </c>
      <c r="B3" s="10" t="s">
        <v>6</v>
      </c>
      <c r="C3" s="7"/>
    </row>
    <row r="4" ht="15.75" customHeight="1">
      <c r="A4" s="9" t="s">
        <v>8</v>
      </c>
      <c r="B4" s="10" t="s">
        <v>9</v>
      </c>
      <c r="C4" s="7"/>
    </row>
    <row r="5" ht="15.75" customHeight="1">
      <c r="A5" s="12"/>
      <c r="B5" s="7"/>
      <c r="C5" s="7"/>
    </row>
    <row r="6" ht="15.75" customHeight="1">
      <c r="A6" s="12"/>
      <c r="B6" s="7"/>
      <c r="C6" s="7"/>
    </row>
    <row r="7" ht="15.75" customHeight="1">
      <c r="A7" s="12"/>
      <c r="B7" s="7"/>
      <c r="C7" s="7"/>
    </row>
    <row r="8" ht="15.75" customHeight="1">
      <c r="A8" s="12"/>
      <c r="B8" s="7"/>
      <c r="C8" s="7"/>
    </row>
    <row r="9" ht="15.75" customHeight="1">
      <c r="A9" s="12"/>
      <c r="B9" s="7"/>
      <c r="C9" s="7"/>
    </row>
    <row r="10" ht="15.75" customHeight="1">
      <c r="A10" s="12"/>
      <c r="B10" s="7"/>
      <c r="C10" s="7"/>
    </row>
    <row r="11" ht="15.75" customHeight="1">
      <c r="A11" s="12"/>
      <c r="B11" s="7"/>
      <c r="C11" s="7"/>
    </row>
    <row r="12" ht="15.75" customHeight="1">
      <c r="A12" s="12"/>
      <c r="B12" s="7"/>
      <c r="C12" s="7"/>
    </row>
    <row r="13" ht="15.75" customHeight="1">
      <c r="A13" s="12"/>
      <c r="B13" s="7"/>
      <c r="C13" s="7"/>
    </row>
    <row r="14" ht="15.75" customHeight="1">
      <c r="A14" s="12"/>
      <c r="B14" s="7"/>
      <c r="C14" s="7"/>
    </row>
    <row r="15" ht="15.75" customHeight="1">
      <c r="A15" s="12"/>
      <c r="B15" s="7"/>
      <c r="C15" s="7"/>
    </row>
    <row r="16" ht="15.75" customHeight="1">
      <c r="A16" s="12"/>
      <c r="B16" s="7"/>
      <c r="C16" s="7"/>
    </row>
    <row r="17" ht="15.75" customHeight="1">
      <c r="A17" s="12"/>
      <c r="B17" s="7"/>
      <c r="C17" s="7"/>
    </row>
    <row r="18" ht="15.75" customHeight="1">
      <c r="A18" s="12"/>
      <c r="B18" s="7"/>
      <c r="C18" s="7"/>
    </row>
    <row r="19" ht="15.75" customHeight="1">
      <c r="A19" s="12"/>
      <c r="B19" s="7"/>
      <c r="C19" s="7"/>
    </row>
    <row r="20" ht="15.75" customHeight="1">
      <c r="A20" s="12"/>
      <c r="B20" s="7"/>
      <c r="C20" s="7"/>
    </row>
    <row r="21" ht="15.75" customHeight="1">
      <c r="A21" s="12"/>
      <c r="B21" s="7"/>
      <c r="C21" s="7"/>
    </row>
    <row r="22" ht="15.75" customHeight="1">
      <c r="A22" s="12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9" t="s">
        <v>5</v>
      </c>
      <c r="B3" s="11" t="s">
        <v>7</v>
      </c>
      <c r="C3" s="11" t="s">
        <v>10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8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1b5S4Xpp4fgZ1ez6cK92QFnVBylqz8jhwxdAyEvwDqUI</v>
      </c>
      <c r="K2" s="20"/>
      <c r="L2" s="7"/>
      <c r="M2" s="7"/>
      <c r="N2" s="21"/>
      <c r="O2" s="7"/>
    </row>
    <row r="3" ht="15.75" customHeight="1">
      <c r="A3" s="22"/>
      <c r="B3" s="8" t="s">
        <v>5</v>
      </c>
      <c r="C3" s="23" t="s">
        <v>12</v>
      </c>
      <c r="D3" s="8" t="s">
        <v>7</v>
      </c>
      <c r="E3" s="23" t="s">
        <v>13</v>
      </c>
      <c r="F3" s="8" t="s">
        <v>14</v>
      </c>
      <c r="G3" s="12" t="s">
        <v>15</v>
      </c>
      <c r="H3" s="8"/>
      <c r="I3" s="22"/>
      <c r="J3" s="22"/>
      <c r="K3" s="22"/>
      <c r="L3" s="22"/>
      <c r="M3" s="22"/>
      <c r="N3" s="24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7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8" t="str">
        <f>IFERROR(__xludf.DUMMYFUNCTION("""COMPUTED_VALUE"""),"VerifyTT")</f>
        <v>VerifyTT</v>
      </c>
      <c r="Q4" s="28" t="str">
        <f>IFERROR(__xludf.DUMMYFUNCTION("""COMPUTED_VALUE"""),"")</f>
        <v/>
      </c>
      <c r="R4" s="28" t="str">
        <f>IFERROR(__xludf.DUMMYFUNCTION("""COMPUTED_VALUE"""),"")</f>
        <v/>
      </c>
      <c r="S4" s="28" t="str">
        <f>IFERROR(__xludf.DUMMYFUNCTION("""COMPUTED_VALUE"""),"")</f>
        <v/>
      </c>
      <c r="T4" s="28" t="str">
        <f>IFERROR(__xludf.DUMMYFUNCTION("""COMPUTED_VALUE"""),"")</f>
        <v/>
      </c>
      <c r="U4" s="28" t="str">
        <f>IFERROR(__xludf.DUMMYFUNCTION("""COMPUTED_VALUE"""),"")</f>
        <v/>
      </c>
      <c r="V4" s="28" t="str">
        <f>IFERROR(__xludf.DUMMYFUNCTION("""COMPUTED_VALUE"""),"")</f>
        <v/>
      </c>
      <c r="W4" s="28" t="str">
        <f>IFERROR(__xludf.DUMMYFUNCTION("""COMPUTED_VALUE"""),"")</f>
        <v/>
      </c>
      <c r="X4" s="28" t="str">
        <f>IFERROR(__xludf.DUMMYFUNCTION("""COMPUTED_VALUE"""),"")</f>
        <v/>
      </c>
      <c r="Y4" s="28" t="str">
        <f>IFERROR(__xludf.DUMMYFUNCTION("""COMPUTED_VALUE"""),"")</f>
        <v/>
      </c>
      <c r="Z4" s="28" t="str">
        <f>IFERROR(__xludf.DUMMYFUNCTION("""COMPUTED_VALUE"""),"")</f>
        <v/>
      </c>
      <c r="AA4" s="28" t="str">
        <f>IFERROR(__xludf.DUMMYFUNCTION("""COMPUTED_VALUE"""),"")</f>
        <v/>
      </c>
      <c r="AB4" s="28" t="str">
        <f>IFERROR(__xludf.DUMMYFUNCTION("""COMPUTED_VALUE"""),"")</f>
        <v/>
      </c>
      <c r="AC4" s="28" t="str">
        <f>IFERROR(__xludf.DUMMYFUNCTION("""COMPUTED_VALUE"""),"")</f>
        <v/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IFERROR(__xludf.DUMMYFUNCTION("""COMPUTED_VALUE"""),"Symbol")</f>
        <v>Symbol</v>
      </c>
      <c r="C5" s="30" t="str">
        <f>IFERROR(__xludf.DUMMYFUNCTION("""COMPUTED_VALUE"""),"Order Side")</f>
        <v>Order Side</v>
      </c>
      <c r="D5" s="30" t="str">
        <f>IFERROR(__xludf.DUMMYFUNCTION("""COMPUTED_VALUE"""),"Quantity")</f>
        <v>Quantity</v>
      </c>
      <c r="E5" s="30" t="str">
        <f>IFERROR(__xludf.DUMMYFUNCTION("""COMPUTED_VALUE"""),"TargetQuantityIn")</f>
        <v>TargetQuantityIn</v>
      </c>
      <c r="F5" s="31" t="str">
        <f>IFERROR(__xludf.DUMMYFUNCTION("""COMPUTED_VALUE"""),"AllocationMethod")</f>
        <v>AllocationMethod</v>
      </c>
      <c r="G5" s="30" t="str">
        <f>IFERROR(__xludf.DUMMYFUNCTION("""COMPUTED_VALUE"""),"Broker")</f>
        <v>Broker</v>
      </c>
      <c r="H5" s="30" t="str">
        <f>IFERROR(__xludf.DUMMYFUNCTION("""COMPUTED_VALUE"""),"TIF")</f>
        <v>TIF</v>
      </c>
      <c r="I5" s="30" t="str">
        <f>IFERROR(__xludf.DUMMYFUNCTION("""COMPUTED_VALUE"""),"Order Type")</f>
        <v>Order Type</v>
      </c>
      <c r="J5" s="30" t="str">
        <f>IFERROR(__xludf.DUMMYFUNCTION("""COMPUTED_VALUE"""),"Price")</f>
        <v>Price</v>
      </c>
      <c r="K5" s="30" t="str">
        <f>IFERROR(__xludf.DUMMYFUNCTION("""COMPUTED_VALUE"""),"Stop")</f>
        <v>Stop</v>
      </c>
      <c r="L5" s="30" t="str">
        <f>IFERROR(__xludf.DUMMYFUNCTION("""COMPUTED_VALUE"""),"Limit")</f>
        <v>Limit</v>
      </c>
      <c r="M5" s="30" t="str">
        <f>IFERROR(__xludf.DUMMYFUNCTION("""COMPUTED_VALUE"""),"Strategy")</f>
        <v>Strategy</v>
      </c>
      <c r="N5" s="32" t="str">
        <f>IFERROR(__xludf.DUMMYFUNCTION("""COMPUTED_VALUE"""),"Trade Date")</f>
        <v>Trade Date</v>
      </c>
      <c r="O5" s="30" t="str">
        <f>IFERROR(__xludf.DUMMYFUNCTION("""COMPUTED_VALUE"""),"FxRate")</f>
        <v>FxRate</v>
      </c>
      <c r="P5" s="30" t="str">
        <f>IFERROR(__xludf.DUMMYFUNCTION("""COMPUTED_VALUE"""),"Notes")</f>
        <v>Notes</v>
      </c>
      <c r="Q5" s="30" t="str">
        <f>IFERROR(__xludf.DUMMYFUNCTION("""COMPUTED_VALUE"""),"Broker Notes")</f>
        <v>Broker Notes</v>
      </c>
      <c r="R5" s="30" t="str">
        <f>IFERROR(__xludf.DUMMYFUNCTION("""COMPUTED_VALUE"""),"CommissionBasis")</f>
        <v>CommissionBasis</v>
      </c>
      <c r="S5" s="30" t="str">
        <f>IFERROR(__xludf.DUMMYFUNCTION("""COMPUTED_VALUE"""),"CommissionRate")</f>
        <v>CommissionRate</v>
      </c>
      <c r="T5" s="33" t="str">
        <f>IFERROR(__xludf.DUMMYFUNCTION("""COMPUTED_VALUE"""),"SoftBasis")</f>
        <v>SoftBasis</v>
      </c>
      <c r="U5" s="33" t="str">
        <f>IFERROR(__xludf.DUMMYFUNCTION("""COMPUTED_VALUE"""),"SoftRate")</f>
        <v>SoftRate</v>
      </c>
      <c r="V5" s="33" t="str">
        <f>IFERROR(__xludf.DUMMYFUNCTION("""COMPUTED_VALUE"""),"TradeAttribute1")</f>
        <v>TradeAttribute1</v>
      </c>
      <c r="W5" s="33" t="str">
        <f>IFERROR(__xludf.DUMMYFUNCTION("""COMPUTED_VALUE"""),"TradeAttribute2")</f>
        <v>TradeAttribute2</v>
      </c>
      <c r="X5" s="33" t="str">
        <f>IFERROR(__xludf.DUMMYFUNCTION("""COMPUTED_VALUE"""),"TradeAttribute3")</f>
        <v>TradeAttribute3</v>
      </c>
      <c r="Y5" s="33" t="str">
        <f>IFERROR(__xludf.DUMMYFUNCTION("""COMPUTED_VALUE"""),"TradeAttribute4")</f>
        <v>TradeAttribute4</v>
      </c>
      <c r="Z5" s="33" t="str">
        <f>IFERROR(__xludf.DUMMYFUNCTION("""COMPUTED_VALUE"""),"TradeAttribute5")</f>
        <v>TradeAttribute5</v>
      </c>
      <c r="AA5" s="33" t="str">
        <f>IFERROR(__xludf.DUMMYFUNCTION("""COMPUTED_VALUE"""),"TradeAttribute6")</f>
        <v>TradeAttribute6</v>
      </c>
      <c r="AB5" s="33" t="str">
        <f>IFERROR(__xludf.DUMMYFUNCTION("""COMPUTED_VALUE"""),"Venue")</f>
        <v>Venue</v>
      </c>
      <c r="AC5" s="33" t="str">
        <f>IFERROR(__xludf.DUMMYFUNCTION("""COMPUTED_VALUE"""),"ExecutionInstructions")</f>
        <v>ExecutionInstructions</v>
      </c>
      <c r="AD5" s="33" t="str">
        <f>IFERROR(__xludf.DUMMYFUNCTION("""COMPUTED_VALUE"""),"HandlingInstructions")</f>
        <v>HandlingInstructions</v>
      </c>
      <c r="AE5" s="33" t="str">
        <f>IFERROR(__xludf.DUMMYFUNCTION("""COMPUTED_VALUE"""),"Trader")</f>
        <v>Trader</v>
      </c>
      <c r="AF5" s="33" t="str">
        <f>IFERROR(__xludf.DUMMYFUNCTION("""COMPUTED_VALUE"""),"SettlementCurrency")</f>
        <v>SettlementCurrency</v>
      </c>
      <c r="AG5" s="33" t="str">
        <f>IFERROR(__xludf.DUMMYFUNCTION("""COMPUTED_VALUE"""),"SettlementFXRate")</f>
        <v>SettlementFXRate</v>
      </c>
      <c r="AH5" s="33" t="str">
        <f>IFERROR(__xludf.DUMMYFUNCTION("""COMPUTED_VALUE"""),"SettlementAmount")</f>
        <v>SettlementAmount</v>
      </c>
      <c r="AI5" s="33" t="str">
        <f>IFERROR(__xludf.DUMMYFUNCTION("""COMPUTED_VALUE"""),"SettlementFXOperator")</f>
        <v>SettlementFXOperator</v>
      </c>
      <c r="AJ5" s="33" t="str">
        <f>IFERROR(__xludf.DUMMYFUNCTION("""COMPUTED_VALUE"""),"SettleByBroker")</f>
        <v>SettleByBroker</v>
      </c>
      <c r="AK5" s="33" t="str">
        <f>IFERROR(__xludf.DUMMYFUNCTION("""COMPUTED_VALUE"""),"Account")</f>
        <v>Account</v>
      </c>
      <c r="AL5" s="33" t="str">
        <f>IFERROR(__xludf.DUMMYFUNCTION("""COMPUTED_VALUE"""),"Account %")</f>
        <v>Account %</v>
      </c>
      <c r="AM5" s="33" t="str">
        <f>IFERROR(__xludf.DUMMYFUNCTION("""COMPUTED_VALUE"""),"Deal In")</f>
        <v>Deal In</v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10"/>
      <c r="B6" s="34" t="s">
        <v>16</v>
      </c>
      <c r="C6" s="35" t="s">
        <v>17</v>
      </c>
      <c r="D6" s="36">
        <v>120.0</v>
      </c>
      <c r="E6" s="37"/>
      <c r="F6" s="35" t="s">
        <v>18</v>
      </c>
      <c r="G6" s="37"/>
      <c r="H6" s="37"/>
      <c r="I6" s="38" t="s">
        <v>19</v>
      </c>
      <c r="J6" s="39">
        <v>12.0</v>
      </c>
      <c r="K6" s="37"/>
      <c r="L6" s="37"/>
      <c r="M6" s="37"/>
      <c r="N6" s="40">
        <v>42786.0</v>
      </c>
      <c r="O6" s="7"/>
    </row>
    <row r="7" ht="15.75" customHeight="1">
      <c r="A7" s="7"/>
      <c r="B7" s="34" t="s">
        <v>16</v>
      </c>
      <c r="C7" s="35" t="s">
        <v>20</v>
      </c>
      <c r="D7" s="41">
        <v>100.0</v>
      </c>
      <c r="E7" s="37"/>
      <c r="F7" s="35" t="s">
        <v>18</v>
      </c>
      <c r="G7" s="37"/>
      <c r="H7" s="37"/>
      <c r="I7" s="38" t="s">
        <v>19</v>
      </c>
      <c r="J7" s="39">
        <v>12.0</v>
      </c>
      <c r="K7" s="37"/>
      <c r="L7" s="37"/>
      <c r="M7" s="37"/>
      <c r="N7" s="40">
        <v>42788.0</v>
      </c>
      <c r="O7" s="7"/>
    </row>
    <row r="8" ht="15.75" customHeight="1">
      <c r="A8" s="7"/>
      <c r="B8" s="34" t="s">
        <v>16</v>
      </c>
      <c r="C8" s="35" t="s">
        <v>17</v>
      </c>
      <c r="D8" s="39">
        <v>120.0</v>
      </c>
      <c r="E8" s="37"/>
      <c r="F8" s="35" t="s">
        <v>18</v>
      </c>
      <c r="G8" s="37"/>
      <c r="H8" s="37"/>
      <c r="I8" s="38" t="s">
        <v>19</v>
      </c>
      <c r="J8" s="39">
        <v>13.0</v>
      </c>
      <c r="K8" s="37"/>
      <c r="L8" s="37"/>
      <c r="M8" s="37"/>
      <c r="N8" s="40">
        <v>42787.0</v>
      </c>
      <c r="O8" s="7"/>
    </row>
    <row r="9" ht="15.75" customHeight="1">
      <c r="A9" s="7"/>
      <c r="B9" s="34" t="s">
        <v>16</v>
      </c>
      <c r="C9" s="35" t="s">
        <v>17</v>
      </c>
      <c r="D9" s="39">
        <v>120.0</v>
      </c>
      <c r="E9" s="37"/>
      <c r="F9" s="35" t="s">
        <v>18</v>
      </c>
      <c r="G9" s="37"/>
      <c r="H9" s="37"/>
      <c r="I9" s="38" t="s">
        <v>19</v>
      </c>
      <c r="J9" s="39">
        <v>15.0</v>
      </c>
      <c r="K9" s="37"/>
      <c r="L9" s="37"/>
      <c r="M9" s="37"/>
      <c r="N9" s="40">
        <v>42788.0</v>
      </c>
      <c r="O9" s="7"/>
    </row>
    <row r="10" ht="15.75" customHeight="1">
      <c r="A10" s="7"/>
      <c r="B10" s="34" t="s">
        <v>16</v>
      </c>
      <c r="C10" s="34" t="s">
        <v>20</v>
      </c>
      <c r="D10" s="41">
        <v>100.0</v>
      </c>
      <c r="E10" s="37"/>
      <c r="F10" s="34" t="s">
        <v>18</v>
      </c>
      <c r="G10" s="37"/>
      <c r="H10" s="37"/>
      <c r="I10" s="38" t="s">
        <v>19</v>
      </c>
      <c r="J10" s="41">
        <v>12.0</v>
      </c>
      <c r="K10" s="37"/>
      <c r="L10" s="37"/>
      <c r="M10" s="35"/>
      <c r="N10" s="42">
        <v>42786.0</v>
      </c>
      <c r="O10" s="7"/>
    </row>
    <row r="11" ht="15.75" customHeight="1">
      <c r="A11" s="7"/>
      <c r="B11" s="35"/>
      <c r="C11" s="35"/>
      <c r="D11" s="39"/>
      <c r="E11" s="37"/>
      <c r="F11" s="35"/>
      <c r="G11" s="37"/>
      <c r="H11" s="37"/>
      <c r="I11" s="37"/>
      <c r="J11" s="39"/>
      <c r="K11" s="37"/>
      <c r="L11" s="37"/>
      <c r="M11" s="35"/>
      <c r="N11" s="21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21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21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21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21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21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21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1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21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21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21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21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21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21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21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21"/>
      <c r="O26" s="7"/>
    </row>
    <row r="27" ht="15.75" customHeight="1">
      <c r="N27" s="43"/>
    </row>
    <row r="28" ht="15.75" customHeight="1">
      <c r="N28" s="43"/>
    </row>
    <row r="29" ht="15.75" customHeight="1">
      <c r="N29" s="43"/>
    </row>
    <row r="30" ht="15.75" customHeight="1">
      <c r="N30" s="43"/>
    </row>
    <row r="31" ht="15.75" customHeight="1">
      <c r="N31" s="43"/>
    </row>
    <row r="32" ht="15.75" customHeight="1">
      <c r="N32" s="43"/>
    </row>
    <row r="33" ht="15.75" customHeight="1">
      <c r="N33" s="43"/>
    </row>
    <row r="34" ht="15.75" customHeight="1">
      <c r="N34" s="43"/>
    </row>
    <row r="35" ht="15.75" customHeight="1">
      <c r="N35" s="43"/>
    </row>
    <row r="36" ht="15.75" customHeight="1">
      <c r="N36" s="43"/>
    </row>
    <row r="37" ht="15.75" customHeight="1">
      <c r="N37" s="43"/>
    </row>
    <row r="38" ht="15.75" customHeight="1">
      <c r="N38" s="43"/>
    </row>
    <row r="39" ht="15.75" customHeight="1">
      <c r="N39" s="43"/>
    </row>
    <row r="40" ht="15.75" customHeight="1">
      <c r="N40" s="43"/>
    </row>
    <row r="41" ht="15.75" customHeight="1">
      <c r="N41" s="43"/>
    </row>
    <row r="42" ht="15.75" customHeight="1">
      <c r="N42" s="43"/>
    </row>
    <row r="43" ht="15.75" customHeight="1">
      <c r="N43" s="43"/>
    </row>
    <row r="44" ht="15.75" customHeight="1">
      <c r="N44" s="43"/>
    </row>
    <row r="45" ht="15.75" customHeight="1">
      <c r="N45" s="43"/>
    </row>
    <row r="46" ht="15.75" customHeight="1">
      <c r="N46" s="43"/>
    </row>
    <row r="47" ht="15.75" customHeight="1">
      <c r="N47" s="43"/>
    </row>
    <row r="48" ht="15.75" customHeight="1">
      <c r="N48" s="43"/>
    </row>
    <row r="49" ht="15.75" customHeight="1">
      <c r="N49" s="43"/>
    </row>
    <row r="50" ht="15.75" customHeight="1">
      <c r="N50" s="43"/>
    </row>
    <row r="51" ht="15.75" customHeight="1">
      <c r="N51" s="43"/>
    </row>
    <row r="52" ht="15.75" customHeight="1">
      <c r="N52" s="43"/>
    </row>
    <row r="53" ht="15.75" customHeight="1">
      <c r="N53" s="43"/>
    </row>
    <row r="54" ht="15.75" customHeight="1">
      <c r="N54" s="43"/>
    </row>
    <row r="55" ht="15.75" customHeight="1">
      <c r="N55" s="43"/>
    </row>
    <row r="56" ht="15.75" customHeight="1">
      <c r="N56" s="43"/>
    </row>
    <row r="57" ht="15.75" customHeight="1">
      <c r="N57" s="43"/>
    </row>
    <row r="58" ht="15.75" customHeight="1">
      <c r="N58" s="43"/>
    </row>
    <row r="59" ht="15.75" customHeight="1">
      <c r="N59" s="43"/>
    </row>
    <row r="60" ht="15.75" customHeight="1">
      <c r="N60" s="43"/>
    </row>
    <row r="61" ht="15.75" customHeight="1">
      <c r="N61" s="43"/>
    </row>
    <row r="62" ht="15.75" customHeight="1">
      <c r="N62" s="43"/>
    </row>
    <row r="63" ht="15.75" customHeight="1">
      <c r="N63" s="43"/>
    </row>
    <row r="64" ht="15.75" customHeight="1">
      <c r="N64" s="43"/>
    </row>
    <row r="65" ht="15.75" customHeight="1">
      <c r="N65" s="43"/>
    </row>
    <row r="66" ht="15.75" customHeight="1">
      <c r="N66" s="43"/>
    </row>
    <row r="67" ht="15.75" customHeight="1">
      <c r="N67" s="43"/>
    </row>
    <row r="68" ht="15.75" customHeight="1">
      <c r="N68" s="43"/>
    </row>
    <row r="69" ht="15.75" customHeight="1">
      <c r="N69" s="43"/>
    </row>
    <row r="70" ht="15.75" customHeight="1">
      <c r="N70" s="43"/>
    </row>
    <row r="71" ht="15.75" customHeight="1">
      <c r="N71" s="43"/>
    </row>
    <row r="72" ht="15.75" customHeight="1">
      <c r="N72" s="43"/>
    </row>
    <row r="73" ht="15.75" customHeight="1">
      <c r="N73" s="43"/>
    </row>
    <row r="74" ht="15.75" customHeight="1">
      <c r="N74" s="43"/>
    </row>
    <row r="75" ht="15.75" customHeight="1">
      <c r="N75" s="43"/>
    </row>
    <row r="76" ht="15.75" customHeight="1">
      <c r="N76" s="43"/>
    </row>
    <row r="77" ht="15.75" customHeight="1">
      <c r="N77" s="43"/>
    </row>
    <row r="78" ht="15.75" customHeight="1">
      <c r="N78" s="43"/>
    </row>
    <row r="79" ht="15.75" customHeight="1">
      <c r="N79" s="43"/>
    </row>
    <row r="80" ht="15.75" customHeight="1">
      <c r="N80" s="43"/>
    </row>
    <row r="81" ht="15.75" customHeight="1">
      <c r="N81" s="43"/>
    </row>
    <row r="82" ht="15.75" customHeight="1">
      <c r="N82" s="43"/>
    </row>
    <row r="83" ht="15.75" customHeight="1">
      <c r="N83" s="43"/>
    </row>
    <row r="84" ht="15.75" customHeight="1">
      <c r="N84" s="43"/>
    </row>
    <row r="85" ht="15.75" customHeight="1">
      <c r="N85" s="43"/>
    </row>
    <row r="86" ht="15.75" customHeight="1">
      <c r="N86" s="43"/>
    </row>
    <row r="87" ht="15.75" customHeight="1">
      <c r="N87" s="43"/>
    </row>
    <row r="88" ht="15.75" customHeight="1">
      <c r="N88" s="43"/>
    </row>
    <row r="89" ht="15.75" customHeight="1">
      <c r="N89" s="43"/>
    </row>
    <row r="90" ht="15.75" customHeight="1">
      <c r="N90" s="43"/>
    </row>
    <row r="91" ht="15.75" customHeight="1">
      <c r="N91" s="43"/>
    </row>
    <row r="92" ht="15.75" customHeight="1">
      <c r="N92" s="43"/>
    </row>
    <row r="93" ht="15.75" customHeight="1">
      <c r="N93" s="43"/>
    </row>
    <row r="94" ht="15.75" customHeight="1">
      <c r="N94" s="43"/>
    </row>
    <row r="95" ht="15.75" customHeight="1">
      <c r="N95" s="43"/>
    </row>
    <row r="96" ht="15.75" customHeight="1">
      <c r="N96" s="43"/>
    </row>
    <row r="97" ht="15.75" customHeight="1">
      <c r="N97" s="43"/>
    </row>
    <row r="98" ht="15.75" customHeight="1">
      <c r="N98" s="43"/>
    </row>
    <row r="99" ht="15.75" customHeight="1">
      <c r="N99" s="43"/>
    </row>
    <row r="100" ht="15.75" customHeight="1">
      <c r="N100" s="43"/>
    </row>
    <row r="101" ht="15.75" customHeight="1">
      <c r="N101" s="43"/>
    </row>
    <row r="102" ht="15.75" customHeight="1">
      <c r="N102" s="43"/>
    </row>
    <row r="103" ht="15.75" customHeight="1">
      <c r="N103" s="43"/>
    </row>
    <row r="104" ht="15.75" customHeight="1">
      <c r="N104" s="43"/>
    </row>
    <row r="105" ht="15.75" customHeight="1">
      <c r="N105" s="43"/>
    </row>
    <row r="106" ht="15.75" customHeight="1">
      <c r="N106" s="43"/>
    </row>
    <row r="107" ht="15.75" customHeight="1">
      <c r="N107" s="43"/>
    </row>
    <row r="108" ht="15.75" customHeight="1">
      <c r="N108" s="43"/>
    </row>
    <row r="109" ht="15.75" customHeight="1">
      <c r="N109" s="43"/>
    </row>
    <row r="110" ht="15.75" customHeight="1">
      <c r="N110" s="43"/>
    </row>
    <row r="111" ht="15.75" customHeight="1">
      <c r="N111" s="43"/>
    </row>
    <row r="112" ht="15.75" customHeight="1">
      <c r="N112" s="43"/>
    </row>
    <row r="113" ht="15.75" customHeight="1">
      <c r="N113" s="43"/>
    </row>
    <row r="114" ht="15.75" customHeight="1">
      <c r="N114" s="43"/>
    </row>
    <row r="115" ht="15.75" customHeight="1">
      <c r="N115" s="43"/>
    </row>
    <row r="116" ht="15.75" customHeight="1">
      <c r="N116" s="43"/>
    </row>
    <row r="117" ht="15.75" customHeight="1">
      <c r="N117" s="43"/>
    </row>
    <row r="118" ht="15.75" customHeight="1">
      <c r="N118" s="43"/>
    </row>
    <row r="119" ht="15.75" customHeight="1">
      <c r="N119" s="43"/>
    </row>
    <row r="120" ht="15.75" customHeight="1">
      <c r="N120" s="43"/>
    </row>
    <row r="121" ht="15.75" customHeight="1">
      <c r="N121" s="43"/>
    </row>
    <row r="122" ht="15.75" customHeight="1">
      <c r="N122" s="43"/>
    </row>
    <row r="123" ht="15.75" customHeight="1">
      <c r="N123" s="43"/>
    </row>
    <row r="124" ht="15.75" customHeight="1">
      <c r="N124" s="43"/>
    </row>
    <row r="125" ht="15.75" customHeight="1">
      <c r="N125" s="43"/>
    </row>
    <row r="126" ht="15.75" customHeight="1">
      <c r="N126" s="43"/>
    </row>
    <row r="127" ht="15.75" customHeight="1">
      <c r="N127" s="43"/>
    </row>
    <row r="128" ht="15.75" customHeight="1">
      <c r="N128" s="43"/>
    </row>
    <row r="129" ht="15.75" customHeight="1">
      <c r="N129" s="43"/>
    </row>
    <row r="130" ht="15.75" customHeight="1">
      <c r="N130" s="43"/>
    </row>
    <row r="131" ht="15.75" customHeight="1">
      <c r="N131" s="43"/>
    </row>
    <row r="132" ht="15.75" customHeight="1">
      <c r="N132" s="43"/>
    </row>
    <row r="133" ht="15.75" customHeight="1">
      <c r="N133" s="43"/>
    </row>
    <row r="134" ht="15.75" customHeight="1">
      <c r="N134" s="43"/>
    </row>
    <row r="135" ht="15.75" customHeight="1">
      <c r="N135" s="43"/>
    </row>
    <row r="136" ht="15.75" customHeight="1">
      <c r="N136" s="43"/>
    </row>
    <row r="137" ht="15.75" customHeight="1">
      <c r="N137" s="43"/>
    </row>
    <row r="138" ht="15.75" customHeight="1">
      <c r="N138" s="43"/>
    </row>
    <row r="139" ht="15.75" customHeight="1">
      <c r="N139" s="43"/>
    </row>
    <row r="140" ht="15.75" customHeight="1">
      <c r="N140" s="43"/>
    </row>
    <row r="141" ht="15.75" customHeight="1">
      <c r="N141" s="43"/>
    </row>
    <row r="142" ht="15.75" customHeight="1">
      <c r="N142" s="43"/>
    </row>
    <row r="143" ht="15.75" customHeight="1">
      <c r="N143" s="43"/>
    </row>
    <row r="144" ht="15.75" customHeight="1">
      <c r="N144" s="43"/>
    </row>
    <row r="145" ht="15.75" customHeight="1">
      <c r="N145" s="43"/>
    </row>
    <row r="146" ht="15.75" customHeight="1">
      <c r="N146" s="43"/>
    </row>
    <row r="147" ht="15.75" customHeight="1">
      <c r="N147" s="43"/>
    </row>
    <row r="148" ht="15.75" customHeight="1">
      <c r="N148" s="43"/>
    </row>
    <row r="149" ht="15.75" customHeight="1">
      <c r="N149" s="43"/>
    </row>
    <row r="150" ht="15.75" customHeight="1">
      <c r="N150" s="43"/>
    </row>
    <row r="151" ht="15.75" customHeight="1">
      <c r="N151" s="43"/>
    </row>
    <row r="152" ht="15.75" customHeight="1">
      <c r="N152" s="43"/>
    </row>
    <row r="153" ht="15.75" customHeight="1">
      <c r="N153" s="43"/>
    </row>
    <row r="154" ht="15.75" customHeight="1">
      <c r="N154" s="43"/>
    </row>
    <row r="155" ht="15.75" customHeight="1">
      <c r="N155" s="43"/>
    </row>
    <row r="156" ht="15.75" customHeight="1">
      <c r="N156" s="43"/>
    </row>
    <row r="157" ht="15.75" customHeight="1">
      <c r="N157" s="43"/>
    </row>
    <row r="158" ht="15.75" customHeight="1">
      <c r="N158" s="43"/>
    </row>
    <row r="159" ht="15.75" customHeight="1">
      <c r="N159" s="43"/>
    </row>
    <row r="160" ht="15.75" customHeight="1">
      <c r="N160" s="43"/>
    </row>
    <row r="161" ht="15.75" customHeight="1">
      <c r="N161" s="43"/>
    </row>
    <row r="162" ht="15.75" customHeight="1">
      <c r="N162" s="43"/>
    </row>
    <row r="163" ht="15.75" customHeight="1">
      <c r="N163" s="43"/>
    </row>
    <row r="164" ht="15.75" customHeight="1">
      <c r="N164" s="43"/>
    </row>
    <row r="165" ht="15.75" customHeight="1">
      <c r="N165" s="43"/>
    </row>
    <row r="166" ht="15.75" customHeight="1">
      <c r="N166" s="43"/>
    </row>
    <row r="167" ht="15.75" customHeight="1">
      <c r="N167" s="43"/>
    </row>
    <row r="168" ht="15.75" customHeight="1">
      <c r="N168" s="43"/>
    </row>
    <row r="169" ht="15.75" customHeight="1">
      <c r="N169" s="43"/>
    </row>
    <row r="170" ht="15.75" customHeight="1">
      <c r="N170" s="43"/>
    </row>
    <row r="171" ht="15.75" customHeight="1">
      <c r="N171" s="43"/>
    </row>
    <row r="172" ht="15.75" customHeight="1">
      <c r="N172" s="43"/>
    </row>
    <row r="173" ht="15.75" customHeight="1">
      <c r="N173" s="43"/>
    </row>
    <row r="174" ht="15.75" customHeight="1">
      <c r="N174" s="43"/>
    </row>
    <row r="175" ht="15.75" customHeight="1">
      <c r="N175" s="43"/>
    </row>
    <row r="176" ht="15.75" customHeight="1">
      <c r="N176" s="43"/>
    </row>
    <row r="177" ht="15.75" customHeight="1">
      <c r="N177" s="43"/>
    </row>
    <row r="178" ht="15.75" customHeight="1">
      <c r="N178" s="43"/>
    </row>
    <row r="179" ht="15.75" customHeight="1">
      <c r="N179" s="43"/>
    </row>
    <row r="180" ht="15.75" customHeight="1">
      <c r="N180" s="43"/>
    </row>
    <row r="181" ht="15.75" customHeight="1">
      <c r="N181" s="43"/>
    </row>
    <row r="182" ht="15.75" customHeight="1">
      <c r="N182" s="43"/>
    </row>
    <row r="183" ht="15.75" customHeight="1">
      <c r="N183" s="43"/>
    </row>
    <row r="184" ht="15.75" customHeight="1">
      <c r="N184" s="43"/>
    </row>
    <row r="185" ht="15.75" customHeight="1">
      <c r="N185" s="43"/>
    </row>
    <row r="186" ht="15.75" customHeight="1">
      <c r="N186" s="43"/>
    </row>
    <row r="187" ht="15.75" customHeight="1">
      <c r="N187" s="43"/>
    </row>
    <row r="188" ht="15.75" customHeight="1">
      <c r="N188" s="43"/>
    </row>
    <row r="189" ht="15.75" customHeight="1">
      <c r="N189" s="43"/>
    </row>
    <row r="190" ht="15.75" customHeight="1">
      <c r="N190" s="43"/>
    </row>
    <row r="191" ht="15.75" customHeight="1">
      <c r="N191" s="43"/>
    </row>
    <row r="192" ht="15.75" customHeight="1">
      <c r="N192" s="43"/>
    </row>
    <row r="193" ht="15.75" customHeight="1">
      <c r="N193" s="43"/>
    </row>
    <row r="194" ht="15.75" customHeight="1">
      <c r="N194" s="43"/>
    </row>
    <row r="195" ht="15.75" customHeight="1">
      <c r="N195" s="43"/>
    </row>
    <row r="196" ht="15.75" customHeight="1">
      <c r="N196" s="43"/>
    </row>
    <row r="197" ht="15.75" customHeight="1">
      <c r="N197" s="43"/>
    </row>
    <row r="198" ht="15.75" customHeight="1">
      <c r="N198" s="43"/>
    </row>
    <row r="199" ht="15.75" customHeight="1">
      <c r="N199" s="43"/>
    </row>
    <row r="200" ht="15.75" customHeight="1">
      <c r="N200" s="43"/>
    </row>
    <row r="201" ht="15.75" customHeight="1">
      <c r="N201" s="43"/>
    </row>
    <row r="202" ht="15.75" customHeight="1">
      <c r="N202" s="43"/>
    </row>
    <row r="203" ht="15.75" customHeight="1">
      <c r="N203" s="43"/>
    </row>
    <row r="204" ht="15.75" customHeight="1">
      <c r="N204" s="43"/>
    </row>
    <row r="205" ht="15.75" customHeight="1">
      <c r="N205" s="43"/>
    </row>
    <row r="206" ht="15.75" customHeight="1">
      <c r="N206" s="43"/>
    </row>
    <row r="207" ht="15.75" customHeight="1">
      <c r="N207" s="43"/>
    </row>
    <row r="208" ht="15.75" customHeight="1">
      <c r="N208" s="43"/>
    </row>
    <row r="209" ht="15.75" customHeight="1">
      <c r="N209" s="43"/>
    </row>
    <row r="210" ht="15.75" customHeight="1">
      <c r="N210" s="43"/>
    </row>
    <row r="211" ht="15.75" customHeight="1">
      <c r="N211" s="43"/>
    </row>
    <row r="212" ht="15.75" customHeight="1">
      <c r="N212" s="43"/>
    </row>
    <row r="213" ht="15.75" customHeight="1">
      <c r="N213" s="43"/>
    </row>
    <row r="214" ht="15.75" customHeight="1">
      <c r="N214" s="43"/>
    </row>
    <row r="215" ht="15.75" customHeight="1">
      <c r="N215" s="43"/>
    </row>
    <row r="216" ht="15.75" customHeight="1">
      <c r="N216" s="43"/>
    </row>
    <row r="217" ht="15.75" customHeight="1">
      <c r="N217" s="43"/>
    </row>
    <row r="218" ht="15.75" customHeight="1">
      <c r="N218" s="43"/>
    </row>
    <row r="219" ht="15.75" customHeight="1">
      <c r="N219" s="43"/>
    </row>
    <row r="220" ht="15.75" customHeight="1">
      <c r="N220" s="43"/>
    </row>
    <row r="221" ht="15.75" customHeight="1">
      <c r="N221" s="43"/>
    </row>
    <row r="222" ht="15.75" customHeight="1">
      <c r="N222" s="43"/>
    </row>
    <row r="223" ht="15.75" customHeight="1">
      <c r="N223" s="43"/>
    </row>
    <row r="224" ht="15.75" customHeight="1">
      <c r="N224" s="43"/>
    </row>
    <row r="225" ht="15.75" customHeight="1">
      <c r="N225" s="43"/>
    </row>
    <row r="226" ht="15.75" customHeight="1">
      <c r="N226" s="43"/>
    </row>
    <row r="227" ht="15.75" customHeight="1">
      <c r="N227" s="43"/>
    </row>
    <row r="228" ht="15.75" customHeight="1">
      <c r="N228" s="43"/>
    </row>
    <row r="229" ht="15.75" customHeight="1">
      <c r="N229" s="43"/>
    </row>
    <row r="230" ht="15.75" customHeight="1">
      <c r="N230" s="43"/>
    </row>
    <row r="231" ht="15.75" customHeight="1">
      <c r="N231" s="43"/>
    </row>
    <row r="232" ht="15.75" customHeight="1">
      <c r="N232" s="43"/>
    </row>
    <row r="233" ht="15.75" customHeight="1">
      <c r="N233" s="43"/>
    </row>
    <row r="234" ht="15.75" customHeight="1">
      <c r="N234" s="43"/>
    </row>
    <row r="235" ht="15.75" customHeight="1">
      <c r="N235" s="43"/>
    </row>
    <row r="236" ht="15.75" customHeight="1">
      <c r="N236" s="43"/>
    </row>
    <row r="237" ht="15.75" customHeight="1">
      <c r="N237" s="43"/>
    </row>
    <row r="238" ht="15.75" customHeight="1">
      <c r="N238" s="43"/>
    </row>
    <row r="239" ht="15.75" customHeight="1">
      <c r="N239" s="43"/>
    </row>
    <row r="240" ht="15.75" customHeight="1">
      <c r="N240" s="43"/>
    </row>
    <row r="241" ht="15.75" customHeight="1">
      <c r="N241" s="43"/>
    </row>
    <row r="242" ht="15.75" customHeight="1">
      <c r="N242" s="43"/>
    </row>
    <row r="243" ht="15.75" customHeight="1">
      <c r="N243" s="43"/>
    </row>
    <row r="244" ht="15.75" customHeight="1">
      <c r="N244" s="43"/>
    </row>
    <row r="245" ht="15.75" customHeight="1">
      <c r="N245" s="43"/>
    </row>
    <row r="246" ht="15.75" customHeight="1">
      <c r="N246" s="43"/>
    </row>
    <row r="247" ht="15.75" customHeight="1">
      <c r="N247" s="43"/>
    </row>
    <row r="248" ht="15.75" customHeight="1">
      <c r="N248" s="43"/>
    </row>
    <row r="249" ht="15.75" customHeight="1">
      <c r="N249" s="43"/>
    </row>
    <row r="250" ht="15.75" customHeight="1">
      <c r="N250" s="43"/>
    </row>
    <row r="251" ht="15.75" customHeight="1">
      <c r="N251" s="43"/>
    </row>
    <row r="252" ht="15.75" customHeight="1">
      <c r="N252" s="43"/>
    </row>
    <row r="253" ht="15.75" customHeight="1">
      <c r="N253" s="43"/>
    </row>
    <row r="254" ht="15.75" customHeight="1">
      <c r="N254" s="43"/>
    </row>
    <row r="255" ht="15.75" customHeight="1">
      <c r="N255" s="43"/>
    </row>
    <row r="256" ht="15.75" customHeight="1">
      <c r="N256" s="43"/>
    </row>
    <row r="257" ht="15.75" customHeight="1">
      <c r="N257" s="43"/>
    </row>
    <row r="258" ht="15.75" customHeight="1">
      <c r="N258" s="43"/>
    </row>
    <row r="259" ht="15.75" customHeight="1">
      <c r="N259" s="43"/>
    </row>
    <row r="260" ht="15.75" customHeight="1">
      <c r="N260" s="43"/>
    </row>
    <row r="261" ht="15.75" customHeight="1">
      <c r="N261" s="43"/>
    </row>
    <row r="262" ht="15.75" customHeight="1">
      <c r="N262" s="43"/>
    </row>
    <row r="263" ht="15.75" customHeight="1">
      <c r="N263" s="43"/>
    </row>
    <row r="264" ht="15.75" customHeight="1">
      <c r="N264" s="43"/>
    </row>
    <row r="265" ht="15.75" customHeight="1">
      <c r="N265" s="43"/>
    </row>
    <row r="266" ht="15.75" customHeight="1">
      <c r="N266" s="43"/>
    </row>
    <row r="267" ht="15.75" customHeight="1">
      <c r="N267" s="43"/>
    </row>
    <row r="268" ht="15.75" customHeight="1">
      <c r="N268" s="43"/>
    </row>
    <row r="269" ht="15.75" customHeight="1">
      <c r="N269" s="43"/>
    </row>
    <row r="270" ht="15.75" customHeight="1">
      <c r="N270" s="43"/>
    </row>
    <row r="271" ht="15.75" customHeight="1">
      <c r="N271" s="43"/>
    </row>
    <row r="272" ht="15.75" customHeight="1">
      <c r="N272" s="43"/>
    </row>
    <row r="273" ht="15.75" customHeight="1">
      <c r="N273" s="43"/>
    </row>
    <row r="274" ht="15.75" customHeight="1">
      <c r="N274" s="43"/>
    </row>
    <row r="275" ht="15.75" customHeight="1">
      <c r="N275" s="43"/>
    </row>
    <row r="276" ht="15.75" customHeight="1">
      <c r="N276" s="43"/>
    </row>
    <row r="277" ht="15.75" customHeight="1">
      <c r="N277" s="43"/>
    </row>
    <row r="278" ht="15.75" customHeight="1">
      <c r="N278" s="43"/>
    </row>
    <row r="279" ht="15.75" customHeight="1">
      <c r="N279" s="43"/>
    </row>
    <row r="280" ht="15.75" customHeight="1">
      <c r="N280" s="43"/>
    </row>
    <row r="281" ht="15.75" customHeight="1">
      <c r="N281" s="43"/>
    </row>
    <row r="282" ht="15.75" customHeight="1">
      <c r="N282" s="43"/>
    </row>
    <row r="283" ht="15.75" customHeight="1">
      <c r="N283" s="43"/>
    </row>
    <row r="284" ht="15.75" customHeight="1">
      <c r="N284" s="43"/>
    </row>
    <row r="285" ht="15.75" customHeight="1">
      <c r="N285" s="43"/>
    </row>
    <row r="286" ht="15.75" customHeight="1">
      <c r="N286" s="43"/>
    </row>
    <row r="287" ht="15.75" customHeight="1">
      <c r="N287" s="43"/>
    </row>
    <row r="288" ht="15.75" customHeight="1">
      <c r="N288" s="43"/>
    </row>
    <row r="289" ht="15.75" customHeight="1">
      <c r="N289" s="43"/>
    </row>
    <row r="290" ht="15.75" customHeight="1">
      <c r="N290" s="43"/>
    </row>
    <row r="291" ht="15.75" customHeight="1">
      <c r="N291" s="43"/>
    </row>
    <row r="292" ht="15.75" customHeight="1">
      <c r="N292" s="43"/>
    </row>
    <row r="293" ht="15.75" customHeight="1">
      <c r="N293" s="43"/>
    </row>
    <row r="294" ht="15.75" customHeight="1">
      <c r="N294" s="43"/>
    </row>
    <row r="295" ht="15.75" customHeight="1">
      <c r="N295" s="43"/>
    </row>
    <row r="296" ht="15.75" customHeight="1">
      <c r="N296" s="43"/>
    </row>
    <row r="297" ht="15.75" customHeight="1">
      <c r="N297" s="43"/>
    </row>
    <row r="298" ht="15.75" customHeight="1">
      <c r="N298" s="43"/>
    </row>
    <row r="299" ht="15.75" customHeight="1">
      <c r="N299" s="43"/>
    </row>
    <row r="300" ht="15.75" customHeight="1">
      <c r="N300" s="43"/>
    </row>
    <row r="301" ht="15.75" customHeight="1">
      <c r="N301" s="43"/>
    </row>
    <row r="302" ht="15.75" customHeight="1">
      <c r="N302" s="43"/>
    </row>
    <row r="303" ht="15.75" customHeight="1">
      <c r="N303" s="43"/>
    </row>
    <row r="304" ht="15.75" customHeight="1">
      <c r="N304" s="43"/>
    </row>
    <row r="305" ht="15.75" customHeight="1">
      <c r="N305" s="43"/>
    </row>
    <row r="306" ht="15.75" customHeight="1">
      <c r="N306" s="43"/>
    </row>
    <row r="307" ht="15.75" customHeight="1">
      <c r="N307" s="43"/>
    </row>
    <row r="308" ht="15.75" customHeight="1">
      <c r="N308" s="43"/>
    </row>
    <row r="309" ht="15.75" customHeight="1">
      <c r="N309" s="43"/>
    </row>
    <row r="310" ht="15.75" customHeight="1">
      <c r="N310" s="43"/>
    </row>
    <row r="311" ht="15.75" customHeight="1">
      <c r="N311" s="43"/>
    </row>
    <row r="312" ht="15.75" customHeight="1">
      <c r="N312" s="43"/>
    </row>
    <row r="313" ht="15.75" customHeight="1">
      <c r="N313" s="43"/>
    </row>
    <row r="314" ht="15.75" customHeight="1">
      <c r="N314" s="43"/>
    </row>
    <row r="315" ht="15.75" customHeight="1">
      <c r="N315" s="43"/>
    </row>
    <row r="316" ht="15.75" customHeight="1">
      <c r="N316" s="43"/>
    </row>
    <row r="317" ht="15.75" customHeight="1">
      <c r="N317" s="43"/>
    </row>
    <row r="318" ht="15.75" customHeight="1">
      <c r="N318" s="43"/>
    </row>
    <row r="319" ht="15.75" customHeight="1">
      <c r="N319" s="43"/>
    </row>
    <row r="320" ht="15.75" customHeight="1">
      <c r="N320" s="43"/>
    </row>
    <row r="321" ht="15.75" customHeight="1">
      <c r="N321" s="43"/>
    </row>
    <row r="322" ht="15.75" customHeight="1">
      <c r="N322" s="43"/>
    </row>
    <row r="323" ht="15.75" customHeight="1">
      <c r="N323" s="43"/>
    </row>
    <row r="324" ht="15.75" customHeight="1">
      <c r="N324" s="43"/>
    </row>
    <row r="325" ht="15.75" customHeight="1">
      <c r="N325" s="43"/>
    </row>
    <row r="326" ht="15.75" customHeight="1">
      <c r="N326" s="43"/>
    </row>
    <row r="327" ht="15.75" customHeight="1">
      <c r="N327" s="43"/>
    </row>
    <row r="328" ht="15.75" customHeight="1">
      <c r="N328" s="43"/>
    </row>
    <row r="329" ht="15.75" customHeight="1">
      <c r="N329" s="43"/>
    </row>
    <row r="330" ht="15.75" customHeight="1">
      <c r="N330" s="43"/>
    </row>
    <row r="331" ht="15.75" customHeight="1">
      <c r="N331" s="43"/>
    </row>
    <row r="332" ht="15.75" customHeight="1">
      <c r="N332" s="43"/>
    </row>
    <row r="333" ht="15.75" customHeight="1">
      <c r="N333" s="43"/>
    </row>
    <row r="334" ht="15.75" customHeight="1">
      <c r="N334" s="43"/>
    </row>
    <row r="335" ht="15.75" customHeight="1">
      <c r="N335" s="43"/>
    </row>
    <row r="336" ht="15.75" customHeight="1">
      <c r="N336" s="43"/>
    </row>
    <row r="337" ht="15.75" customHeight="1">
      <c r="N337" s="43"/>
    </row>
    <row r="338" ht="15.75" customHeight="1">
      <c r="N338" s="43"/>
    </row>
    <row r="339" ht="15.75" customHeight="1">
      <c r="N339" s="43"/>
    </row>
    <row r="340" ht="15.75" customHeight="1">
      <c r="N340" s="43"/>
    </row>
    <row r="341" ht="15.75" customHeight="1">
      <c r="N341" s="43"/>
    </row>
    <row r="342" ht="15.75" customHeight="1">
      <c r="N342" s="43"/>
    </row>
    <row r="343" ht="15.75" customHeight="1">
      <c r="N343" s="43"/>
    </row>
    <row r="344" ht="15.75" customHeight="1">
      <c r="N344" s="43"/>
    </row>
    <row r="345" ht="15.75" customHeight="1">
      <c r="N345" s="43"/>
    </row>
    <row r="346" ht="15.75" customHeight="1">
      <c r="N346" s="43"/>
    </row>
    <row r="347" ht="15.75" customHeight="1">
      <c r="N347" s="43"/>
    </row>
    <row r="348" ht="15.75" customHeight="1">
      <c r="N348" s="43"/>
    </row>
    <row r="349" ht="15.75" customHeight="1">
      <c r="N349" s="43"/>
    </row>
    <row r="350" ht="15.75" customHeight="1">
      <c r="N350" s="43"/>
    </row>
    <row r="351" ht="15.75" customHeight="1">
      <c r="N351" s="43"/>
    </row>
    <row r="352" ht="15.75" customHeight="1">
      <c r="N352" s="43"/>
    </row>
    <row r="353" ht="15.75" customHeight="1">
      <c r="N353" s="43"/>
    </row>
    <row r="354" ht="15.75" customHeight="1">
      <c r="N354" s="43"/>
    </row>
    <row r="355" ht="15.75" customHeight="1">
      <c r="N355" s="43"/>
    </row>
    <row r="356" ht="15.75" customHeight="1">
      <c r="N356" s="43"/>
    </row>
    <row r="357" ht="15.75" customHeight="1">
      <c r="N357" s="43"/>
    </row>
    <row r="358" ht="15.75" customHeight="1">
      <c r="N358" s="43"/>
    </row>
    <row r="359" ht="15.75" customHeight="1">
      <c r="N359" s="43"/>
    </row>
    <row r="360" ht="15.75" customHeight="1">
      <c r="N360" s="43"/>
    </row>
    <row r="361" ht="15.75" customHeight="1">
      <c r="N361" s="43"/>
    </row>
    <row r="362" ht="15.75" customHeight="1">
      <c r="N362" s="43"/>
    </row>
    <row r="363" ht="15.75" customHeight="1">
      <c r="N363" s="43"/>
    </row>
    <row r="364" ht="15.75" customHeight="1">
      <c r="N364" s="43"/>
    </row>
    <row r="365" ht="15.75" customHeight="1">
      <c r="N365" s="43"/>
    </row>
    <row r="366" ht="15.75" customHeight="1">
      <c r="N366" s="43"/>
    </row>
    <row r="367" ht="15.75" customHeight="1">
      <c r="N367" s="43"/>
    </row>
    <row r="368" ht="15.75" customHeight="1">
      <c r="N368" s="43"/>
    </row>
    <row r="369" ht="15.75" customHeight="1">
      <c r="N369" s="43"/>
    </row>
    <row r="370" ht="15.75" customHeight="1">
      <c r="N370" s="43"/>
    </row>
    <row r="371" ht="15.75" customHeight="1">
      <c r="N371" s="43"/>
    </row>
    <row r="372" ht="15.75" customHeight="1">
      <c r="N372" s="43"/>
    </row>
    <row r="373" ht="15.75" customHeight="1">
      <c r="N373" s="43"/>
    </row>
    <row r="374" ht="15.75" customHeight="1">
      <c r="N374" s="43"/>
    </row>
    <row r="375" ht="15.75" customHeight="1">
      <c r="N375" s="43"/>
    </row>
    <row r="376" ht="15.75" customHeight="1">
      <c r="N376" s="43"/>
    </row>
    <row r="377" ht="15.75" customHeight="1">
      <c r="N377" s="43"/>
    </row>
    <row r="378" ht="15.75" customHeight="1">
      <c r="N378" s="43"/>
    </row>
    <row r="379" ht="15.75" customHeight="1">
      <c r="N379" s="43"/>
    </row>
    <row r="380" ht="15.75" customHeight="1">
      <c r="N380" s="43"/>
    </row>
    <row r="381" ht="15.75" customHeight="1">
      <c r="N381" s="43"/>
    </row>
    <row r="382" ht="15.75" customHeight="1">
      <c r="N382" s="43"/>
    </row>
    <row r="383" ht="15.75" customHeight="1">
      <c r="N383" s="43"/>
    </row>
    <row r="384" ht="15.75" customHeight="1">
      <c r="N384" s="43"/>
    </row>
    <row r="385" ht="15.75" customHeight="1">
      <c r="N385" s="43"/>
    </row>
    <row r="386" ht="15.75" customHeight="1">
      <c r="N386" s="43"/>
    </row>
    <row r="387" ht="15.75" customHeight="1">
      <c r="N387" s="43"/>
    </row>
    <row r="388" ht="15.75" customHeight="1">
      <c r="N388" s="43"/>
    </row>
    <row r="389" ht="15.75" customHeight="1">
      <c r="N389" s="43"/>
    </row>
    <row r="390" ht="15.75" customHeight="1">
      <c r="N390" s="43"/>
    </row>
    <row r="391" ht="15.75" customHeight="1">
      <c r="N391" s="43"/>
    </row>
    <row r="392" ht="15.75" customHeight="1">
      <c r="N392" s="43"/>
    </row>
    <row r="393" ht="15.75" customHeight="1">
      <c r="N393" s="43"/>
    </row>
    <row r="394" ht="15.75" customHeight="1">
      <c r="N394" s="43"/>
    </row>
    <row r="395" ht="15.75" customHeight="1">
      <c r="N395" s="43"/>
    </row>
    <row r="396" ht="15.75" customHeight="1">
      <c r="N396" s="43"/>
    </row>
    <row r="397" ht="15.75" customHeight="1">
      <c r="N397" s="43"/>
    </row>
    <row r="398" ht="15.75" customHeight="1">
      <c r="N398" s="43"/>
    </row>
    <row r="399" ht="15.75" customHeight="1">
      <c r="N399" s="43"/>
    </row>
    <row r="400" ht="15.75" customHeight="1">
      <c r="N400" s="43"/>
    </row>
    <row r="401" ht="15.75" customHeight="1">
      <c r="N401" s="43"/>
    </row>
    <row r="402" ht="15.75" customHeight="1">
      <c r="N402" s="43"/>
    </row>
    <row r="403" ht="15.75" customHeight="1">
      <c r="N403" s="43"/>
    </row>
    <row r="404" ht="15.75" customHeight="1">
      <c r="N404" s="43"/>
    </row>
    <row r="405" ht="15.75" customHeight="1">
      <c r="N405" s="43"/>
    </row>
    <row r="406" ht="15.75" customHeight="1">
      <c r="N406" s="43"/>
    </row>
    <row r="407" ht="15.75" customHeight="1">
      <c r="N407" s="43"/>
    </row>
    <row r="408" ht="15.75" customHeight="1">
      <c r="N408" s="43"/>
    </row>
    <row r="409" ht="15.75" customHeight="1">
      <c r="N409" s="43"/>
    </row>
    <row r="410" ht="15.75" customHeight="1">
      <c r="N410" s="43"/>
    </row>
    <row r="411" ht="15.75" customHeight="1">
      <c r="N411" s="43"/>
    </row>
    <row r="412" ht="15.75" customHeight="1">
      <c r="N412" s="43"/>
    </row>
    <row r="413" ht="15.75" customHeight="1">
      <c r="N413" s="43"/>
    </row>
    <row r="414" ht="15.75" customHeight="1">
      <c r="N414" s="43"/>
    </row>
    <row r="415" ht="15.75" customHeight="1">
      <c r="N415" s="43"/>
    </row>
    <row r="416" ht="15.75" customHeight="1">
      <c r="N416" s="43"/>
    </row>
    <row r="417" ht="15.75" customHeight="1">
      <c r="N417" s="43"/>
    </row>
    <row r="418" ht="15.75" customHeight="1">
      <c r="N418" s="43"/>
    </row>
    <row r="419" ht="15.75" customHeight="1">
      <c r="N419" s="43"/>
    </row>
    <row r="420" ht="15.75" customHeight="1">
      <c r="N420" s="43"/>
    </row>
    <row r="421" ht="15.75" customHeight="1">
      <c r="N421" s="43"/>
    </row>
    <row r="422" ht="15.75" customHeight="1">
      <c r="N422" s="43"/>
    </row>
    <row r="423" ht="15.75" customHeight="1">
      <c r="N423" s="43"/>
    </row>
    <row r="424" ht="15.75" customHeight="1">
      <c r="N424" s="43"/>
    </row>
    <row r="425" ht="15.75" customHeight="1">
      <c r="N425" s="43"/>
    </row>
    <row r="426" ht="15.75" customHeight="1">
      <c r="N426" s="43"/>
    </row>
    <row r="427" ht="15.75" customHeight="1">
      <c r="N427" s="43"/>
    </row>
    <row r="428" ht="15.75" customHeight="1">
      <c r="N428" s="43"/>
    </row>
    <row r="429" ht="15.75" customHeight="1">
      <c r="N429" s="43"/>
    </row>
    <row r="430" ht="15.75" customHeight="1">
      <c r="N430" s="43"/>
    </row>
    <row r="431" ht="15.75" customHeight="1">
      <c r="N431" s="43"/>
    </row>
    <row r="432" ht="15.75" customHeight="1">
      <c r="N432" s="43"/>
    </row>
    <row r="433" ht="15.75" customHeight="1">
      <c r="N433" s="43"/>
    </row>
    <row r="434" ht="15.75" customHeight="1">
      <c r="N434" s="43"/>
    </row>
    <row r="435" ht="15.75" customHeight="1">
      <c r="N435" s="43"/>
    </row>
    <row r="436" ht="15.75" customHeight="1">
      <c r="N436" s="43"/>
    </row>
    <row r="437" ht="15.75" customHeight="1">
      <c r="N437" s="43"/>
    </row>
    <row r="438" ht="15.75" customHeight="1">
      <c r="N438" s="43"/>
    </row>
    <row r="439" ht="15.75" customHeight="1">
      <c r="N439" s="43"/>
    </row>
    <row r="440" ht="15.75" customHeight="1">
      <c r="N440" s="43"/>
    </row>
    <row r="441" ht="15.75" customHeight="1">
      <c r="N441" s="43"/>
    </row>
    <row r="442" ht="15.75" customHeight="1">
      <c r="N442" s="43"/>
    </row>
    <row r="443" ht="15.75" customHeight="1">
      <c r="N443" s="43"/>
    </row>
    <row r="444" ht="15.75" customHeight="1">
      <c r="N444" s="43"/>
    </row>
    <row r="445" ht="15.75" customHeight="1">
      <c r="N445" s="43"/>
    </row>
    <row r="446" ht="15.75" customHeight="1">
      <c r="N446" s="43"/>
    </row>
    <row r="447" ht="15.75" customHeight="1">
      <c r="N447" s="43"/>
    </row>
    <row r="448" ht="15.75" customHeight="1">
      <c r="N448" s="43"/>
    </row>
    <row r="449" ht="15.75" customHeight="1">
      <c r="N449" s="43"/>
    </row>
    <row r="450" ht="15.75" customHeight="1">
      <c r="N450" s="43"/>
    </row>
    <row r="451" ht="15.75" customHeight="1">
      <c r="N451" s="43"/>
    </row>
    <row r="452" ht="15.75" customHeight="1">
      <c r="N452" s="43"/>
    </row>
    <row r="453" ht="15.75" customHeight="1">
      <c r="N453" s="43"/>
    </row>
    <row r="454" ht="15.75" customHeight="1">
      <c r="N454" s="43"/>
    </row>
    <row r="455" ht="15.75" customHeight="1">
      <c r="N455" s="43"/>
    </row>
    <row r="456" ht="15.75" customHeight="1">
      <c r="N456" s="43"/>
    </row>
    <row r="457" ht="15.75" customHeight="1">
      <c r="N457" s="43"/>
    </row>
    <row r="458" ht="15.75" customHeight="1">
      <c r="N458" s="43"/>
    </row>
    <row r="459" ht="15.75" customHeight="1">
      <c r="N459" s="43"/>
    </row>
    <row r="460" ht="15.75" customHeight="1">
      <c r="N460" s="43"/>
    </row>
    <row r="461" ht="15.75" customHeight="1">
      <c r="N461" s="43"/>
    </row>
    <row r="462" ht="15.75" customHeight="1">
      <c r="N462" s="43"/>
    </row>
    <row r="463" ht="15.75" customHeight="1">
      <c r="N463" s="43"/>
    </row>
    <row r="464" ht="15.75" customHeight="1">
      <c r="N464" s="43"/>
    </row>
    <row r="465" ht="15.75" customHeight="1">
      <c r="N465" s="43"/>
    </row>
    <row r="466" ht="15.75" customHeight="1">
      <c r="N466" s="43"/>
    </row>
    <row r="467" ht="15.75" customHeight="1">
      <c r="N467" s="43"/>
    </row>
    <row r="468" ht="15.75" customHeight="1">
      <c r="N468" s="43"/>
    </row>
    <row r="469" ht="15.75" customHeight="1">
      <c r="N469" s="43"/>
    </row>
    <row r="470" ht="15.75" customHeight="1">
      <c r="N470" s="43"/>
    </row>
    <row r="471" ht="15.75" customHeight="1">
      <c r="N471" s="43"/>
    </row>
    <row r="472" ht="15.75" customHeight="1">
      <c r="N472" s="43"/>
    </row>
    <row r="473" ht="15.75" customHeight="1">
      <c r="N473" s="43"/>
    </row>
    <row r="474" ht="15.75" customHeight="1">
      <c r="N474" s="43"/>
    </row>
    <row r="475" ht="15.75" customHeight="1">
      <c r="N475" s="43"/>
    </row>
    <row r="476" ht="15.75" customHeight="1">
      <c r="N476" s="43"/>
    </row>
    <row r="477" ht="15.75" customHeight="1">
      <c r="N477" s="43"/>
    </row>
    <row r="478" ht="15.75" customHeight="1">
      <c r="N478" s="43"/>
    </row>
    <row r="479" ht="15.75" customHeight="1">
      <c r="N479" s="43"/>
    </row>
    <row r="480" ht="15.75" customHeight="1">
      <c r="N480" s="43"/>
    </row>
    <row r="481" ht="15.75" customHeight="1">
      <c r="N481" s="43"/>
    </row>
    <row r="482" ht="15.75" customHeight="1">
      <c r="N482" s="43"/>
    </row>
    <row r="483" ht="15.75" customHeight="1">
      <c r="N483" s="43"/>
    </row>
    <row r="484" ht="15.75" customHeight="1">
      <c r="N484" s="43"/>
    </row>
    <row r="485" ht="15.75" customHeight="1">
      <c r="N485" s="43"/>
    </row>
    <row r="486" ht="15.75" customHeight="1">
      <c r="N486" s="43"/>
    </row>
    <row r="487" ht="15.75" customHeight="1">
      <c r="N487" s="43"/>
    </row>
    <row r="488" ht="15.75" customHeight="1">
      <c r="N488" s="43"/>
    </row>
    <row r="489" ht="15.75" customHeight="1">
      <c r="N489" s="43"/>
    </row>
    <row r="490" ht="15.75" customHeight="1">
      <c r="N490" s="43"/>
    </row>
    <row r="491" ht="15.75" customHeight="1">
      <c r="N491" s="43"/>
    </row>
    <row r="492" ht="15.75" customHeight="1">
      <c r="N492" s="43"/>
    </row>
    <row r="493" ht="15.75" customHeight="1">
      <c r="N493" s="43"/>
    </row>
    <row r="494" ht="15.75" customHeight="1">
      <c r="N494" s="43"/>
    </row>
    <row r="495" ht="15.75" customHeight="1">
      <c r="N495" s="43"/>
    </row>
    <row r="496" ht="15.75" customHeight="1">
      <c r="N496" s="43"/>
    </row>
    <row r="497" ht="15.75" customHeight="1">
      <c r="N497" s="43"/>
    </row>
    <row r="498" ht="15.75" customHeight="1">
      <c r="N498" s="43"/>
    </row>
    <row r="499" ht="15.75" customHeight="1">
      <c r="N499" s="43"/>
    </row>
    <row r="500" ht="15.75" customHeight="1">
      <c r="N500" s="43"/>
    </row>
    <row r="501" ht="15.75" customHeight="1">
      <c r="N501" s="43"/>
    </row>
    <row r="502" ht="15.75" customHeight="1">
      <c r="N502" s="43"/>
    </row>
    <row r="503" ht="15.75" customHeight="1">
      <c r="N503" s="43"/>
    </row>
    <row r="504" ht="15.75" customHeight="1">
      <c r="N504" s="43"/>
    </row>
    <row r="505" ht="15.75" customHeight="1">
      <c r="N505" s="43"/>
    </row>
    <row r="506" ht="15.75" customHeight="1">
      <c r="N506" s="43"/>
    </row>
    <row r="507" ht="15.75" customHeight="1">
      <c r="N507" s="43"/>
    </row>
    <row r="508" ht="15.75" customHeight="1">
      <c r="N508" s="43"/>
    </row>
    <row r="509" ht="15.75" customHeight="1">
      <c r="N509" s="43"/>
    </row>
    <row r="510" ht="15.75" customHeight="1">
      <c r="N510" s="43"/>
    </row>
    <row r="511" ht="15.75" customHeight="1">
      <c r="N511" s="43"/>
    </row>
    <row r="512" ht="15.75" customHeight="1">
      <c r="N512" s="43"/>
    </row>
    <row r="513" ht="15.75" customHeight="1">
      <c r="N513" s="43"/>
    </row>
    <row r="514" ht="15.75" customHeight="1">
      <c r="N514" s="43"/>
    </row>
    <row r="515" ht="15.75" customHeight="1">
      <c r="N515" s="43"/>
    </row>
    <row r="516" ht="15.75" customHeight="1">
      <c r="N516" s="43"/>
    </row>
    <row r="517" ht="15.75" customHeight="1">
      <c r="N517" s="43"/>
    </row>
    <row r="518" ht="15.75" customHeight="1">
      <c r="N518" s="43"/>
    </row>
    <row r="519" ht="15.75" customHeight="1">
      <c r="N519" s="43"/>
    </row>
    <row r="520" ht="15.75" customHeight="1">
      <c r="N520" s="43"/>
    </row>
    <row r="521" ht="15.75" customHeight="1">
      <c r="N521" s="43"/>
    </row>
    <row r="522" ht="15.75" customHeight="1">
      <c r="N522" s="43"/>
    </row>
    <row r="523" ht="15.75" customHeight="1">
      <c r="N523" s="43"/>
    </row>
    <row r="524" ht="15.75" customHeight="1">
      <c r="N524" s="43"/>
    </row>
    <row r="525" ht="15.75" customHeight="1">
      <c r="N525" s="43"/>
    </row>
    <row r="526" ht="15.75" customHeight="1">
      <c r="N526" s="43"/>
    </row>
    <row r="527" ht="15.75" customHeight="1">
      <c r="N527" s="43"/>
    </row>
    <row r="528" ht="15.75" customHeight="1">
      <c r="N528" s="43"/>
    </row>
    <row r="529" ht="15.75" customHeight="1">
      <c r="N529" s="43"/>
    </row>
    <row r="530" ht="15.75" customHeight="1">
      <c r="N530" s="43"/>
    </row>
    <row r="531" ht="15.75" customHeight="1">
      <c r="N531" s="43"/>
    </row>
    <row r="532" ht="15.75" customHeight="1">
      <c r="N532" s="43"/>
    </row>
    <row r="533" ht="15.75" customHeight="1">
      <c r="N533" s="43"/>
    </row>
    <row r="534" ht="15.75" customHeight="1">
      <c r="N534" s="43"/>
    </row>
    <row r="535" ht="15.75" customHeight="1">
      <c r="N535" s="43"/>
    </row>
    <row r="536" ht="15.75" customHeight="1">
      <c r="N536" s="43"/>
    </row>
    <row r="537" ht="15.75" customHeight="1">
      <c r="N537" s="43"/>
    </row>
    <row r="538" ht="15.75" customHeight="1">
      <c r="N538" s="43"/>
    </row>
    <row r="539" ht="15.75" customHeight="1">
      <c r="N539" s="43"/>
    </row>
    <row r="540" ht="15.75" customHeight="1">
      <c r="N540" s="43"/>
    </row>
    <row r="541" ht="15.75" customHeight="1">
      <c r="N541" s="43"/>
    </row>
    <row r="542" ht="15.75" customHeight="1">
      <c r="N542" s="43"/>
    </row>
    <row r="543" ht="15.75" customHeight="1">
      <c r="N543" s="43"/>
    </row>
    <row r="544" ht="15.75" customHeight="1">
      <c r="N544" s="43"/>
    </row>
    <row r="545" ht="15.75" customHeight="1">
      <c r="N545" s="43"/>
    </row>
    <row r="546" ht="15.75" customHeight="1">
      <c r="N546" s="43"/>
    </row>
    <row r="547" ht="15.75" customHeight="1">
      <c r="N547" s="43"/>
    </row>
    <row r="548" ht="15.75" customHeight="1">
      <c r="N548" s="43"/>
    </row>
    <row r="549" ht="15.75" customHeight="1">
      <c r="N549" s="43"/>
    </row>
    <row r="550" ht="15.75" customHeight="1">
      <c r="N550" s="43"/>
    </row>
    <row r="551" ht="15.75" customHeight="1">
      <c r="N551" s="43"/>
    </row>
    <row r="552" ht="15.75" customHeight="1">
      <c r="N552" s="43"/>
    </row>
    <row r="553" ht="15.75" customHeight="1">
      <c r="N553" s="43"/>
    </row>
    <row r="554" ht="15.75" customHeight="1">
      <c r="N554" s="43"/>
    </row>
    <row r="555" ht="15.75" customHeight="1">
      <c r="N555" s="43"/>
    </row>
    <row r="556" ht="15.75" customHeight="1">
      <c r="N556" s="43"/>
    </row>
    <row r="557" ht="15.75" customHeight="1">
      <c r="N557" s="43"/>
    </row>
    <row r="558" ht="15.75" customHeight="1">
      <c r="N558" s="43"/>
    </row>
    <row r="559" ht="15.75" customHeight="1">
      <c r="N559" s="43"/>
    </row>
    <row r="560" ht="15.75" customHeight="1">
      <c r="N560" s="43"/>
    </row>
    <row r="561" ht="15.75" customHeight="1">
      <c r="N561" s="43"/>
    </row>
    <row r="562" ht="15.75" customHeight="1">
      <c r="N562" s="43"/>
    </row>
    <row r="563" ht="15.75" customHeight="1">
      <c r="N563" s="43"/>
    </row>
    <row r="564" ht="15.75" customHeight="1">
      <c r="N564" s="43"/>
    </row>
    <row r="565" ht="15.75" customHeight="1">
      <c r="N565" s="43"/>
    </row>
    <row r="566" ht="15.75" customHeight="1">
      <c r="N566" s="43"/>
    </row>
    <row r="567" ht="15.75" customHeight="1">
      <c r="N567" s="43"/>
    </row>
    <row r="568" ht="15.75" customHeight="1">
      <c r="N568" s="43"/>
    </row>
    <row r="569" ht="15.75" customHeight="1">
      <c r="N569" s="43"/>
    </row>
    <row r="570" ht="15.75" customHeight="1">
      <c r="N570" s="43"/>
    </row>
    <row r="571" ht="15.75" customHeight="1">
      <c r="N571" s="43"/>
    </row>
    <row r="572" ht="15.75" customHeight="1">
      <c r="N572" s="43"/>
    </row>
    <row r="573" ht="15.75" customHeight="1">
      <c r="N573" s="43"/>
    </row>
    <row r="574" ht="15.75" customHeight="1">
      <c r="N574" s="43"/>
    </row>
    <row r="575" ht="15.75" customHeight="1">
      <c r="N575" s="43"/>
    </row>
    <row r="576" ht="15.75" customHeight="1">
      <c r="N576" s="43"/>
    </row>
    <row r="577" ht="15.75" customHeight="1">
      <c r="N577" s="43"/>
    </row>
    <row r="578" ht="15.75" customHeight="1">
      <c r="N578" s="43"/>
    </row>
    <row r="579" ht="15.75" customHeight="1">
      <c r="N579" s="43"/>
    </row>
    <row r="580" ht="15.75" customHeight="1">
      <c r="N580" s="43"/>
    </row>
    <row r="581" ht="15.75" customHeight="1">
      <c r="N581" s="43"/>
    </row>
    <row r="582" ht="15.75" customHeight="1">
      <c r="N582" s="43"/>
    </row>
    <row r="583" ht="15.75" customHeight="1">
      <c r="N583" s="43"/>
    </row>
    <row r="584" ht="15.75" customHeight="1">
      <c r="N584" s="43"/>
    </row>
    <row r="585" ht="15.75" customHeight="1">
      <c r="N585" s="43"/>
    </row>
    <row r="586" ht="15.75" customHeight="1">
      <c r="N586" s="43"/>
    </row>
    <row r="587" ht="15.75" customHeight="1">
      <c r="N587" s="43"/>
    </row>
    <row r="588" ht="15.75" customHeight="1">
      <c r="N588" s="43"/>
    </row>
    <row r="589" ht="15.75" customHeight="1">
      <c r="N589" s="43"/>
    </row>
    <row r="590" ht="15.75" customHeight="1">
      <c r="N590" s="43"/>
    </row>
    <row r="591" ht="15.75" customHeight="1">
      <c r="N591" s="43"/>
    </row>
    <row r="592" ht="15.75" customHeight="1">
      <c r="N592" s="43"/>
    </row>
    <row r="593" ht="15.75" customHeight="1">
      <c r="N593" s="43"/>
    </row>
    <row r="594" ht="15.75" customHeight="1">
      <c r="N594" s="43"/>
    </row>
    <row r="595" ht="15.75" customHeight="1">
      <c r="N595" s="43"/>
    </row>
    <row r="596" ht="15.75" customHeight="1">
      <c r="N596" s="43"/>
    </row>
    <row r="597" ht="15.75" customHeight="1">
      <c r="N597" s="43"/>
    </row>
    <row r="598" ht="15.75" customHeight="1">
      <c r="N598" s="43"/>
    </row>
    <row r="599" ht="15.75" customHeight="1">
      <c r="N599" s="43"/>
    </row>
    <row r="600" ht="15.75" customHeight="1">
      <c r="N600" s="43"/>
    </row>
    <row r="601" ht="15.75" customHeight="1">
      <c r="N601" s="43"/>
    </row>
    <row r="602" ht="15.75" customHeight="1">
      <c r="N602" s="43"/>
    </row>
    <row r="603" ht="15.75" customHeight="1">
      <c r="N603" s="43"/>
    </row>
    <row r="604" ht="15.75" customHeight="1">
      <c r="N604" s="43"/>
    </row>
    <row r="605" ht="15.75" customHeight="1">
      <c r="N605" s="43"/>
    </row>
    <row r="606" ht="15.75" customHeight="1">
      <c r="N606" s="43"/>
    </row>
    <row r="607" ht="15.75" customHeight="1">
      <c r="N607" s="43"/>
    </row>
    <row r="608" ht="15.75" customHeight="1">
      <c r="N608" s="43"/>
    </row>
    <row r="609" ht="15.75" customHeight="1">
      <c r="N609" s="43"/>
    </row>
    <row r="610" ht="15.75" customHeight="1">
      <c r="N610" s="43"/>
    </row>
    <row r="611" ht="15.75" customHeight="1">
      <c r="N611" s="43"/>
    </row>
    <row r="612" ht="15.75" customHeight="1">
      <c r="N612" s="43"/>
    </row>
    <row r="613" ht="15.75" customHeight="1">
      <c r="N613" s="43"/>
    </row>
    <row r="614" ht="15.75" customHeight="1">
      <c r="N614" s="43"/>
    </row>
    <row r="615" ht="15.75" customHeight="1">
      <c r="N615" s="43"/>
    </row>
    <row r="616" ht="15.75" customHeight="1">
      <c r="N616" s="43"/>
    </row>
    <row r="617" ht="15.75" customHeight="1">
      <c r="N617" s="43"/>
    </row>
    <row r="618" ht="15.75" customHeight="1">
      <c r="N618" s="43"/>
    </row>
    <row r="619" ht="15.75" customHeight="1">
      <c r="N619" s="43"/>
    </row>
    <row r="620" ht="15.75" customHeight="1">
      <c r="N620" s="43"/>
    </row>
    <row r="621" ht="15.75" customHeight="1">
      <c r="N621" s="43"/>
    </row>
    <row r="622" ht="15.75" customHeight="1">
      <c r="N622" s="43"/>
    </row>
    <row r="623" ht="15.75" customHeight="1">
      <c r="N623" s="43"/>
    </row>
    <row r="624" ht="15.75" customHeight="1">
      <c r="N624" s="43"/>
    </row>
    <row r="625" ht="15.75" customHeight="1">
      <c r="N625" s="43"/>
    </row>
    <row r="626" ht="15.75" customHeight="1">
      <c r="N626" s="43"/>
    </row>
    <row r="627" ht="15.75" customHeight="1">
      <c r="N627" s="43"/>
    </row>
    <row r="628" ht="15.75" customHeight="1">
      <c r="N628" s="43"/>
    </row>
    <row r="629" ht="15.75" customHeight="1">
      <c r="N629" s="43"/>
    </row>
    <row r="630" ht="15.75" customHeight="1">
      <c r="N630" s="43"/>
    </row>
    <row r="631" ht="15.75" customHeight="1">
      <c r="N631" s="43"/>
    </row>
    <row r="632" ht="15.75" customHeight="1">
      <c r="N632" s="43"/>
    </row>
    <row r="633" ht="15.75" customHeight="1">
      <c r="N633" s="43"/>
    </row>
    <row r="634" ht="15.75" customHeight="1">
      <c r="N634" s="43"/>
    </row>
    <row r="635" ht="15.75" customHeight="1">
      <c r="N635" s="43"/>
    </row>
    <row r="636" ht="15.75" customHeight="1">
      <c r="N636" s="43"/>
    </row>
    <row r="637" ht="15.75" customHeight="1">
      <c r="N637" s="43"/>
    </row>
    <row r="638" ht="15.75" customHeight="1">
      <c r="N638" s="43"/>
    </row>
    <row r="639" ht="15.75" customHeight="1">
      <c r="N639" s="43"/>
    </row>
    <row r="640" ht="15.75" customHeight="1">
      <c r="N640" s="43"/>
    </row>
    <row r="641" ht="15.75" customHeight="1">
      <c r="N641" s="43"/>
    </row>
    <row r="642" ht="15.75" customHeight="1">
      <c r="N642" s="43"/>
    </row>
    <row r="643" ht="15.75" customHeight="1">
      <c r="N643" s="43"/>
    </row>
    <row r="644" ht="15.75" customHeight="1">
      <c r="N644" s="43"/>
    </row>
    <row r="645" ht="15.75" customHeight="1">
      <c r="N645" s="43"/>
    </row>
    <row r="646" ht="15.75" customHeight="1">
      <c r="N646" s="43"/>
    </row>
    <row r="647" ht="15.75" customHeight="1">
      <c r="N647" s="43"/>
    </row>
    <row r="648" ht="15.75" customHeight="1">
      <c r="N648" s="43"/>
    </row>
    <row r="649" ht="15.75" customHeight="1">
      <c r="N649" s="43"/>
    </row>
    <row r="650" ht="15.75" customHeight="1">
      <c r="N650" s="43"/>
    </row>
    <row r="651" ht="15.75" customHeight="1">
      <c r="N651" s="43"/>
    </row>
    <row r="652" ht="15.75" customHeight="1">
      <c r="N652" s="43"/>
    </row>
    <row r="653" ht="15.75" customHeight="1">
      <c r="N653" s="43"/>
    </row>
    <row r="654" ht="15.75" customHeight="1">
      <c r="N654" s="43"/>
    </row>
    <row r="655" ht="15.75" customHeight="1">
      <c r="N655" s="43"/>
    </row>
    <row r="656" ht="15.75" customHeight="1">
      <c r="N656" s="43"/>
    </row>
    <row r="657" ht="15.75" customHeight="1">
      <c r="N657" s="43"/>
    </row>
    <row r="658" ht="15.75" customHeight="1">
      <c r="N658" s="43"/>
    </row>
    <row r="659" ht="15.75" customHeight="1">
      <c r="N659" s="43"/>
    </row>
    <row r="660" ht="15.75" customHeight="1">
      <c r="N660" s="43"/>
    </row>
    <row r="661" ht="15.75" customHeight="1">
      <c r="N661" s="43"/>
    </row>
    <row r="662" ht="15.75" customHeight="1">
      <c r="N662" s="43"/>
    </row>
    <row r="663" ht="15.75" customHeight="1">
      <c r="N663" s="43"/>
    </row>
    <row r="664" ht="15.75" customHeight="1">
      <c r="N664" s="43"/>
    </row>
    <row r="665" ht="15.75" customHeight="1">
      <c r="N665" s="43"/>
    </row>
    <row r="666" ht="15.75" customHeight="1">
      <c r="N666" s="43"/>
    </row>
    <row r="667" ht="15.75" customHeight="1">
      <c r="N667" s="43"/>
    </row>
    <row r="668" ht="15.75" customHeight="1">
      <c r="N668" s="43"/>
    </row>
    <row r="669" ht="15.75" customHeight="1">
      <c r="N669" s="43"/>
    </row>
    <row r="670" ht="15.75" customHeight="1">
      <c r="N670" s="43"/>
    </row>
    <row r="671" ht="15.75" customHeight="1">
      <c r="N671" s="43"/>
    </row>
    <row r="672" ht="15.75" customHeight="1">
      <c r="N672" s="43"/>
    </row>
    <row r="673" ht="15.75" customHeight="1">
      <c r="N673" s="43"/>
    </row>
    <row r="674" ht="15.75" customHeight="1">
      <c r="N674" s="43"/>
    </row>
    <row r="675" ht="15.75" customHeight="1">
      <c r="N675" s="43"/>
    </row>
    <row r="676" ht="15.75" customHeight="1">
      <c r="N676" s="43"/>
    </row>
    <row r="677" ht="15.75" customHeight="1">
      <c r="N677" s="43"/>
    </row>
    <row r="678" ht="15.75" customHeight="1">
      <c r="N678" s="43"/>
    </row>
    <row r="679" ht="15.75" customHeight="1">
      <c r="N679" s="43"/>
    </row>
    <row r="680" ht="15.75" customHeight="1">
      <c r="N680" s="43"/>
    </row>
    <row r="681" ht="15.75" customHeight="1">
      <c r="N681" s="43"/>
    </row>
    <row r="682" ht="15.75" customHeight="1">
      <c r="N682" s="43"/>
    </row>
    <row r="683" ht="15.75" customHeight="1">
      <c r="N683" s="43"/>
    </row>
    <row r="684" ht="15.75" customHeight="1">
      <c r="N684" s="43"/>
    </row>
    <row r="685" ht="15.75" customHeight="1">
      <c r="N685" s="43"/>
    </row>
    <row r="686" ht="15.75" customHeight="1">
      <c r="N686" s="43"/>
    </row>
    <row r="687" ht="15.75" customHeight="1">
      <c r="N687" s="43"/>
    </row>
    <row r="688" ht="15.75" customHeight="1">
      <c r="N688" s="43"/>
    </row>
    <row r="689" ht="15.75" customHeight="1">
      <c r="N689" s="43"/>
    </row>
    <row r="690" ht="15.75" customHeight="1">
      <c r="N690" s="43"/>
    </row>
    <row r="691" ht="15.75" customHeight="1">
      <c r="N691" s="43"/>
    </row>
    <row r="692" ht="15.75" customHeight="1">
      <c r="N692" s="43"/>
    </row>
    <row r="693" ht="15.75" customHeight="1">
      <c r="N693" s="43"/>
    </row>
    <row r="694" ht="15.75" customHeight="1">
      <c r="N694" s="43"/>
    </row>
    <row r="695" ht="15.75" customHeight="1">
      <c r="N695" s="43"/>
    </row>
    <row r="696" ht="15.75" customHeight="1">
      <c r="N696" s="43"/>
    </row>
    <row r="697" ht="15.75" customHeight="1">
      <c r="N697" s="43"/>
    </row>
    <row r="698" ht="15.75" customHeight="1">
      <c r="N698" s="43"/>
    </row>
    <row r="699" ht="15.75" customHeight="1">
      <c r="N699" s="43"/>
    </row>
    <row r="700" ht="15.75" customHeight="1">
      <c r="N700" s="43"/>
    </row>
    <row r="701" ht="15.75" customHeight="1">
      <c r="N701" s="43"/>
    </row>
    <row r="702" ht="15.75" customHeight="1">
      <c r="N702" s="43"/>
    </row>
    <row r="703" ht="15.75" customHeight="1">
      <c r="N703" s="43"/>
    </row>
    <row r="704" ht="15.75" customHeight="1">
      <c r="N704" s="43"/>
    </row>
    <row r="705" ht="15.75" customHeight="1">
      <c r="N705" s="43"/>
    </row>
    <row r="706" ht="15.75" customHeight="1">
      <c r="N706" s="43"/>
    </row>
    <row r="707" ht="15.75" customHeight="1">
      <c r="N707" s="43"/>
    </row>
    <row r="708" ht="15.75" customHeight="1">
      <c r="N708" s="43"/>
    </row>
    <row r="709" ht="15.75" customHeight="1">
      <c r="N709" s="43"/>
    </row>
    <row r="710" ht="15.75" customHeight="1">
      <c r="N710" s="43"/>
    </row>
    <row r="711" ht="15.75" customHeight="1">
      <c r="N711" s="43"/>
    </row>
    <row r="712" ht="15.75" customHeight="1">
      <c r="N712" s="43"/>
    </row>
    <row r="713" ht="15.75" customHeight="1">
      <c r="N713" s="43"/>
    </row>
    <row r="714" ht="15.75" customHeight="1">
      <c r="N714" s="43"/>
    </row>
    <row r="715" ht="15.75" customHeight="1">
      <c r="N715" s="43"/>
    </row>
    <row r="716" ht="15.75" customHeight="1">
      <c r="N716" s="43"/>
    </row>
    <row r="717" ht="15.75" customHeight="1">
      <c r="N717" s="43"/>
    </row>
    <row r="718" ht="15.75" customHeight="1">
      <c r="N718" s="43"/>
    </row>
    <row r="719" ht="15.75" customHeight="1">
      <c r="N719" s="43"/>
    </row>
    <row r="720" ht="15.75" customHeight="1">
      <c r="N720" s="43"/>
    </row>
    <row r="721" ht="15.75" customHeight="1">
      <c r="N721" s="43"/>
    </row>
    <row r="722" ht="15.75" customHeight="1">
      <c r="N722" s="43"/>
    </row>
    <row r="723" ht="15.75" customHeight="1">
      <c r="N723" s="43"/>
    </row>
    <row r="724" ht="15.75" customHeight="1">
      <c r="N724" s="43"/>
    </row>
    <row r="725" ht="15.75" customHeight="1">
      <c r="N725" s="43"/>
    </row>
    <row r="726" ht="15.75" customHeight="1">
      <c r="N726" s="43"/>
    </row>
    <row r="727" ht="15.75" customHeight="1">
      <c r="N727" s="43"/>
    </row>
    <row r="728" ht="15.75" customHeight="1">
      <c r="N728" s="43"/>
    </row>
    <row r="729" ht="15.75" customHeight="1">
      <c r="N729" s="43"/>
    </row>
    <row r="730" ht="15.75" customHeight="1">
      <c r="N730" s="43"/>
    </row>
    <row r="731" ht="15.75" customHeight="1">
      <c r="N731" s="43"/>
    </row>
    <row r="732" ht="15.75" customHeight="1">
      <c r="N732" s="43"/>
    </row>
    <row r="733" ht="15.75" customHeight="1">
      <c r="N733" s="43"/>
    </row>
    <row r="734" ht="15.75" customHeight="1">
      <c r="N734" s="43"/>
    </row>
    <row r="735" ht="15.75" customHeight="1">
      <c r="N735" s="43"/>
    </row>
    <row r="736" ht="15.75" customHeight="1">
      <c r="N736" s="43"/>
    </row>
    <row r="737" ht="15.75" customHeight="1">
      <c r="N737" s="43"/>
    </row>
    <row r="738" ht="15.75" customHeight="1">
      <c r="N738" s="43"/>
    </row>
    <row r="739" ht="15.75" customHeight="1">
      <c r="N739" s="43"/>
    </row>
    <row r="740" ht="15.75" customHeight="1">
      <c r="N740" s="43"/>
    </row>
    <row r="741" ht="15.75" customHeight="1">
      <c r="N741" s="43"/>
    </row>
    <row r="742" ht="15.75" customHeight="1">
      <c r="N742" s="43"/>
    </row>
    <row r="743" ht="15.75" customHeight="1">
      <c r="N743" s="43"/>
    </row>
    <row r="744" ht="15.75" customHeight="1">
      <c r="N744" s="43"/>
    </row>
    <row r="745" ht="15.75" customHeight="1">
      <c r="N745" s="43"/>
    </row>
    <row r="746" ht="15.75" customHeight="1">
      <c r="N746" s="43"/>
    </row>
    <row r="747" ht="15.75" customHeight="1">
      <c r="N747" s="43"/>
    </row>
    <row r="748" ht="15.75" customHeight="1">
      <c r="N748" s="43"/>
    </row>
    <row r="749" ht="15.75" customHeight="1">
      <c r="N749" s="43"/>
    </row>
    <row r="750" ht="15.75" customHeight="1">
      <c r="N750" s="43"/>
    </row>
    <row r="751" ht="15.75" customHeight="1">
      <c r="N751" s="43"/>
    </row>
    <row r="752" ht="15.75" customHeight="1">
      <c r="N752" s="43"/>
    </row>
    <row r="753" ht="15.75" customHeight="1">
      <c r="N753" s="43"/>
    </row>
    <row r="754" ht="15.75" customHeight="1">
      <c r="N754" s="43"/>
    </row>
    <row r="755" ht="15.75" customHeight="1">
      <c r="N755" s="43"/>
    </row>
    <row r="756" ht="15.75" customHeight="1">
      <c r="N756" s="43"/>
    </row>
    <row r="757" ht="15.75" customHeight="1">
      <c r="N757" s="43"/>
    </row>
    <row r="758" ht="15.75" customHeight="1">
      <c r="N758" s="43"/>
    </row>
    <row r="759" ht="15.75" customHeight="1">
      <c r="N759" s="43"/>
    </row>
    <row r="760" ht="15.75" customHeight="1">
      <c r="N760" s="43"/>
    </row>
    <row r="761" ht="15.75" customHeight="1">
      <c r="N761" s="43"/>
    </row>
    <row r="762" ht="15.75" customHeight="1">
      <c r="N762" s="43"/>
    </row>
    <row r="763" ht="15.75" customHeight="1">
      <c r="N763" s="43"/>
    </row>
    <row r="764" ht="15.75" customHeight="1">
      <c r="N764" s="43"/>
    </row>
    <row r="765" ht="15.75" customHeight="1">
      <c r="N765" s="43"/>
    </row>
    <row r="766" ht="15.75" customHeight="1">
      <c r="N766" s="43"/>
    </row>
    <row r="767" ht="15.75" customHeight="1">
      <c r="N767" s="43"/>
    </row>
    <row r="768" ht="15.75" customHeight="1">
      <c r="N768" s="43"/>
    </row>
    <row r="769" ht="15.75" customHeight="1">
      <c r="N769" s="43"/>
    </row>
    <row r="770" ht="15.75" customHeight="1">
      <c r="N770" s="43"/>
    </row>
    <row r="771" ht="15.75" customHeight="1">
      <c r="N771" s="43"/>
    </row>
    <row r="772" ht="15.75" customHeight="1">
      <c r="N772" s="43"/>
    </row>
    <row r="773" ht="15.75" customHeight="1">
      <c r="N773" s="43"/>
    </row>
    <row r="774" ht="15.75" customHeight="1">
      <c r="N774" s="43"/>
    </row>
    <row r="775" ht="15.75" customHeight="1">
      <c r="N775" s="43"/>
    </row>
    <row r="776" ht="15.75" customHeight="1">
      <c r="N776" s="43"/>
    </row>
    <row r="777" ht="15.75" customHeight="1">
      <c r="N777" s="43"/>
    </row>
    <row r="778" ht="15.75" customHeight="1">
      <c r="N778" s="43"/>
    </row>
    <row r="779" ht="15.75" customHeight="1">
      <c r="N779" s="43"/>
    </row>
    <row r="780" ht="15.75" customHeight="1">
      <c r="N780" s="43"/>
    </row>
    <row r="781" ht="15.75" customHeight="1">
      <c r="N781" s="43"/>
    </row>
    <row r="782" ht="15.75" customHeight="1">
      <c r="N782" s="43"/>
    </row>
    <row r="783" ht="15.75" customHeight="1">
      <c r="N783" s="43"/>
    </row>
    <row r="784" ht="15.75" customHeight="1">
      <c r="N784" s="43"/>
    </row>
    <row r="785" ht="15.75" customHeight="1">
      <c r="N785" s="43"/>
    </row>
    <row r="786" ht="15.75" customHeight="1">
      <c r="N786" s="43"/>
    </row>
    <row r="787" ht="15.75" customHeight="1">
      <c r="N787" s="43"/>
    </row>
    <row r="788" ht="15.75" customHeight="1">
      <c r="N788" s="43"/>
    </row>
    <row r="789" ht="15.75" customHeight="1">
      <c r="N789" s="43"/>
    </row>
    <row r="790" ht="15.75" customHeight="1">
      <c r="N790" s="43"/>
    </row>
    <row r="791" ht="15.75" customHeight="1">
      <c r="N791" s="43"/>
    </row>
    <row r="792" ht="15.75" customHeight="1">
      <c r="N792" s="43"/>
    </row>
    <row r="793" ht="15.75" customHeight="1">
      <c r="N793" s="43"/>
    </row>
    <row r="794" ht="15.75" customHeight="1">
      <c r="N794" s="43"/>
    </row>
    <row r="795" ht="15.75" customHeight="1">
      <c r="N795" s="43"/>
    </row>
    <row r="796" ht="15.75" customHeight="1">
      <c r="N796" s="43"/>
    </row>
    <row r="797" ht="15.75" customHeight="1">
      <c r="N797" s="43"/>
    </row>
    <row r="798" ht="15.75" customHeight="1">
      <c r="N798" s="43"/>
    </row>
    <row r="799" ht="15.75" customHeight="1">
      <c r="N799" s="43"/>
    </row>
    <row r="800" ht="15.75" customHeight="1">
      <c r="N800" s="43"/>
    </row>
    <row r="801" ht="15.75" customHeight="1">
      <c r="N801" s="43"/>
    </row>
    <row r="802" ht="15.75" customHeight="1">
      <c r="N802" s="43"/>
    </row>
    <row r="803" ht="15.75" customHeight="1">
      <c r="N803" s="43"/>
    </row>
    <row r="804" ht="15.75" customHeight="1">
      <c r="N804" s="43"/>
    </row>
    <row r="805" ht="15.75" customHeight="1">
      <c r="N805" s="43"/>
    </row>
    <row r="806" ht="15.75" customHeight="1">
      <c r="N806" s="43"/>
    </row>
    <row r="807" ht="15.75" customHeight="1">
      <c r="N807" s="43"/>
    </row>
    <row r="808" ht="15.75" customHeight="1">
      <c r="N808" s="43"/>
    </row>
    <row r="809" ht="15.75" customHeight="1">
      <c r="N809" s="43"/>
    </row>
    <row r="810" ht="15.75" customHeight="1">
      <c r="N810" s="43"/>
    </row>
    <row r="811" ht="15.75" customHeight="1">
      <c r="N811" s="43"/>
    </row>
    <row r="812" ht="15.75" customHeight="1">
      <c r="N812" s="43"/>
    </row>
    <row r="813" ht="15.75" customHeight="1">
      <c r="N813" s="43"/>
    </row>
    <row r="814" ht="15.75" customHeight="1">
      <c r="N814" s="43"/>
    </row>
    <row r="815" ht="15.75" customHeight="1">
      <c r="N815" s="43"/>
    </row>
    <row r="816" ht="15.75" customHeight="1">
      <c r="N816" s="43"/>
    </row>
    <row r="817" ht="15.75" customHeight="1">
      <c r="N817" s="43"/>
    </row>
    <row r="818" ht="15.75" customHeight="1">
      <c r="N818" s="43"/>
    </row>
    <row r="819" ht="15.75" customHeight="1">
      <c r="N819" s="43"/>
    </row>
    <row r="820" ht="15.75" customHeight="1">
      <c r="N820" s="43"/>
    </row>
    <row r="821" ht="15.75" customHeight="1">
      <c r="N821" s="43"/>
    </row>
    <row r="822" ht="15.75" customHeight="1">
      <c r="N822" s="43"/>
    </row>
    <row r="823" ht="15.75" customHeight="1">
      <c r="N823" s="43"/>
    </row>
    <row r="824" ht="15.75" customHeight="1">
      <c r="N824" s="43"/>
    </row>
    <row r="825" ht="15.75" customHeight="1">
      <c r="N825" s="43"/>
    </row>
    <row r="826" ht="15.75" customHeight="1">
      <c r="N826" s="43"/>
    </row>
    <row r="827" ht="15.75" customHeight="1">
      <c r="N827" s="43"/>
    </row>
    <row r="828" ht="15.75" customHeight="1">
      <c r="N828" s="43"/>
    </row>
    <row r="829" ht="15.75" customHeight="1">
      <c r="N829" s="43"/>
    </row>
    <row r="830" ht="15.75" customHeight="1">
      <c r="N830" s="43"/>
    </row>
    <row r="831" ht="15.75" customHeight="1">
      <c r="N831" s="43"/>
    </row>
    <row r="832" ht="15.75" customHeight="1">
      <c r="N832" s="43"/>
    </row>
    <row r="833" ht="15.75" customHeight="1">
      <c r="N833" s="43"/>
    </row>
    <row r="834" ht="15.75" customHeight="1">
      <c r="N834" s="43"/>
    </row>
    <row r="835" ht="15.75" customHeight="1">
      <c r="N835" s="43"/>
    </row>
    <row r="836" ht="15.75" customHeight="1">
      <c r="N836" s="43"/>
    </row>
    <row r="837" ht="15.75" customHeight="1">
      <c r="N837" s="43"/>
    </row>
    <row r="838" ht="15.75" customHeight="1">
      <c r="N838" s="43"/>
    </row>
    <row r="839" ht="15.75" customHeight="1">
      <c r="N839" s="43"/>
    </row>
    <row r="840" ht="15.75" customHeight="1">
      <c r="N840" s="43"/>
    </row>
    <row r="841" ht="15.75" customHeight="1">
      <c r="N841" s="43"/>
    </row>
    <row r="842" ht="15.75" customHeight="1">
      <c r="N842" s="43"/>
    </row>
    <row r="843" ht="15.75" customHeight="1">
      <c r="N843" s="43"/>
    </row>
    <row r="844" ht="15.75" customHeight="1">
      <c r="N844" s="43"/>
    </row>
    <row r="845" ht="15.75" customHeight="1">
      <c r="N845" s="43"/>
    </row>
    <row r="846" ht="15.75" customHeight="1">
      <c r="N846" s="43"/>
    </row>
    <row r="847" ht="15.75" customHeight="1">
      <c r="N847" s="43"/>
    </row>
    <row r="848" ht="15.75" customHeight="1">
      <c r="N848" s="43"/>
    </row>
    <row r="849" ht="15.75" customHeight="1">
      <c r="N849" s="43"/>
    </row>
    <row r="850" ht="15.75" customHeight="1">
      <c r="N850" s="43"/>
    </row>
    <row r="851" ht="15.75" customHeight="1">
      <c r="N851" s="43"/>
    </row>
    <row r="852" ht="15.75" customHeight="1">
      <c r="N852" s="43"/>
    </row>
    <row r="853" ht="15.75" customHeight="1">
      <c r="N853" s="43"/>
    </row>
    <row r="854" ht="15.75" customHeight="1">
      <c r="N854" s="43"/>
    </row>
    <row r="855" ht="15.75" customHeight="1">
      <c r="N855" s="43"/>
    </row>
    <row r="856" ht="15.75" customHeight="1">
      <c r="N856" s="43"/>
    </row>
    <row r="857" ht="15.75" customHeight="1">
      <c r="N857" s="43"/>
    </row>
    <row r="858" ht="15.75" customHeight="1">
      <c r="N858" s="43"/>
    </row>
    <row r="859" ht="15.75" customHeight="1">
      <c r="N859" s="43"/>
    </row>
    <row r="860" ht="15.75" customHeight="1">
      <c r="N860" s="43"/>
    </row>
    <row r="861" ht="15.75" customHeight="1">
      <c r="N861" s="43"/>
    </row>
    <row r="862" ht="15.75" customHeight="1">
      <c r="N862" s="43"/>
    </row>
    <row r="863" ht="15.75" customHeight="1">
      <c r="N863" s="43"/>
    </row>
    <row r="864" ht="15.75" customHeight="1">
      <c r="N864" s="43"/>
    </row>
    <row r="865" ht="15.75" customHeight="1">
      <c r="N865" s="43"/>
    </row>
    <row r="866" ht="15.75" customHeight="1">
      <c r="N866" s="43"/>
    </row>
    <row r="867" ht="15.75" customHeight="1">
      <c r="N867" s="43"/>
    </row>
    <row r="868" ht="15.75" customHeight="1">
      <c r="N868" s="43"/>
    </row>
    <row r="869" ht="15.75" customHeight="1">
      <c r="N869" s="43"/>
    </row>
    <row r="870" ht="15.75" customHeight="1">
      <c r="N870" s="43"/>
    </row>
    <row r="871" ht="15.75" customHeight="1">
      <c r="N871" s="43"/>
    </row>
    <row r="872" ht="15.75" customHeight="1">
      <c r="N872" s="43"/>
    </row>
    <row r="873" ht="15.75" customHeight="1">
      <c r="N873" s="43"/>
    </row>
    <row r="874" ht="15.75" customHeight="1">
      <c r="N874" s="43"/>
    </row>
    <row r="875" ht="15.75" customHeight="1">
      <c r="N875" s="43"/>
    </row>
    <row r="876" ht="15.75" customHeight="1">
      <c r="N876" s="43"/>
    </row>
    <row r="877" ht="15.75" customHeight="1">
      <c r="N877" s="43"/>
    </row>
    <row r="878" ht="15.75" customHeight="1">
      <c r="N878" s="43"/>
    </row>
    <row r="879" ht="15.75" customHeight="1">
      <c r="N879" s="43"/>
    </row>
    <row r="880" ht="15.75" customHeight="1">
      <c r="N880" s="43"/>
    </row>
    <row r="881" ht="15.75" customHeight="1">
      <c r="N881" s="43"/>
    </row>
    <row r="882" ht="15.75" customHeight="1">
      <c r="N882" s="43"/>
    </row>
    <row r="883" ht="15.75" customHeight="1">
      <c r="N883" s="43"/>
    </row>
    <row r="884" ht="15.75" customHeight="1">
      <c r="N884" s="43"/>
    </row>
    <row r="885" ht="15.75" customHeight="1">
      <c r="N885" s="43"/>
    </row>
    <row r="886" ht="15.75" customHeight="1">
      <c r="N886" s="43"/>
    </row>
    <row r="887" ht="15.75" customHeight="1">
      <c r="N887" s="43"/>
    </row>
    <row r="888" ht="15.75" customHeight="1">
      <c r="N888" s="43"/>
    </row>
    <row r="889" ht="15.75" customHeight="1">
      <c r="N889" s="43"/>
    </row>
    <row r="890" ht="15.75" customHeight="1">
      <c r="N890" s="43"/>
    </row>
    <row r="891" ht="15.75" customHeight="1">
      <c r="N891" s="43"/>
    </row>
    <row r="892" ht="15.75" customHeight="1">
      <c r="N892" s="43"/>
    </row>
    <row r="893" ht="15.75" customHeight="1">
      <c r="N893" s="43"/>
    </row>
    <row r="894" ht="15.75" customHeight="1">
      <c r="N894" s="43"/>
    </row>
    <row r="895" ht="15.75" customHeight="1">
      <c r="N895" s="43"/>
    </row>
    <row r="896" ht="15.75" customHeight="1">
      <c r="N896" s="43"/>
    </row>
    <row r="897" ht="15.75" customHeight="1">
      <c r="N897" s="43"/>
    </row>
    <row r="898" ht="15.75" customHeight="1">
      <c r="N898" s="43"/>
    </row>
    <row r="899" ht="15.75" customHeight="1">
      <c r="N899" s="43"/>
    </row>
    <row r="900" ht="15.75" customHeight="1">
      <c r="N900" s="43"/>
    </row>
    <row r="901" ht="15.75" customHeight="1">
      <c r="N901" s="43"/>
    </row>
    <row r="902" ht="15.75" customHeight="1">
      <c r="N902" s="43"/>
    </row>
    <row r="903" ht="15.75" customHeight="1">
      <c r="N903" s="43"/>
    </row>
    <row r="904" ht="15.75" customHeight="1">
      <c r="N904" s="43"/>
    </row>
    <row r="905" ht="15.75" customHeight="1">
      <c r="N905" s="43"/>
    </row>
    <row r="906" ht="15.75" customHeight="1">
      <c r="N906" s="43"/>
    </row>
    <row r="907" ht="15.75" customHeight="1">
      <c r="N907" s="43"/>
    </row>
    <row r="908" ht="15.75" customHeight="1">
      <c r="N908" s="43"/>
    </row>
    <row r="909" ht="15.75" customHeight="1">
      <c r="N909" s="43"/>
    </row>
    <row r="910" ht="15.75" customHeight="1">
      <c r="N910" s="43"/>
    </row>
    <row r="911" ht="15.75" customHeight="1">
      <c r="N911" s="43"/>
    </row>
    <row r="912" ht="15.75" customHeight="1">
      <c r="N912" s="43"/>
    </row>
    <row r="913" ht="15.75" customHeight="1">
      <c r="N913" s="43"/>
    </row>
    <row r="914" ht="15.75" customHeight="1">
      <c r="N914" s="43"/>
    </row>
    <row r="915" ht="15.75" customHeight="1">
      <c r="N915" s="43"/>
    </row>
    <row r="916" ht="15.75" customHeight="1">
      <c r="N916" s="43"/>
    </row>
    <row r="917" ht="15.75" customHeight="1">
      <c r="N917" s="43"/>
    </row>
    <row r="918" ht="15.75" customHeight="1">
      <c r="N918" s="43"/>
    </row>
    <row r="919" ht="15.75" customHeight="1">
      <c r="N919" s="43"/>
    </row>
    <row r="920" ht="15.75" customHeight="1">
      <c r="N920" s="43"/>
    </row>
    <row r="921" ht="15.75" customHeight="1">
      <c r="N921" s="43"/>
    </row>
    <row r="922" ht="15.75" customHeight="1">
      <c r="N922" s="43"/>
    </row>
    <row r="923" ht="15.75" customHeight="1">
      <c r="N923" s="43"/>
    </row>
    <row r="924" ht="15.75" customHeight="1">
      <c r="N924" s="43"/>
    </row>
    <row r="925" ht="15.75" customHeight="1">
      <c r="N925" s="43"/>
    </row>
    <row r="926" ht="15.75" customHeight="1">
      <c r="N926" s="43"/>
    </row>
    <row r="927" ht="15.75" customHeight="1">
      <c r="N927" s="43"/>
    </row>
    <row r="928" ht="15.75" customHeight="1">
      <c r="N928" s="43"/>
    </row>
    <row r="929" ht="15.75" customHeight="1">
      <c r="N929" s="43"/>
    </row>
    <row r="930" ht="15.75" customHeight="1">
      <c r="N930" s="43"/>
    </row>
    <row r="931" ht="15.75" customHeight="1">
      <c r="N931" s="43"/>
    </row>
    <row r="932" ht="15.75" customHeight="1">
      <c r="N932" s="43"/>
    </row>
    <row r="933" ht="15.75" customHeight="1">
      <c r="N933" s="43"/>
    </row>
    <row r="934" ht="15.75" customHeight="1">
      <c r="N934" s="43"/>
    </row>
    <row r="935" ht="15.75" customHeight="1">
      <c r="N935" s="43"/>
    </row>
    <row r="936" ht="15.75" customHeight="1">
      <c r="N936" s="43"/>
    </row>
    <row r="937" ht="15.75" customHeight="1">
      <c r="N937" s="43"/>
    </row>
    <row r="938" ht="15.75" customHeight="1">
      <c r="N938" s="43"/>
    </row>
    <row r="939" ht="15.75" customHeight="1">
      <c r="N939" s="43"/>
    </row>
    <row r="940" ht="15.75" customHeight="1">
      <c r="N940" s="43"/>
    </row>
    <row r="941" ht="15.75" customHeight="1">
      <c r="N941" s="43"/>
    </row>
    <row r="942" ht="15.75" customHeight="1">
      <c r="N942" s="43"/>
    </row>
    <row r="943" ht="15.75" customHeight="1">
      <c r="N943" s="43"/>
    </row>
    <row r="944" ht="15.75" customHeight="1">
      <c r="N944" s="43"/>
    </row>
    <row r="945" ht="15.75" customHeight="1">
      <c r="N945" s="43"/>
    </row>
    <row r="946" ht="15.75" customHeight="1">
      <c r="N946" s="43"/>
    </row>
    <row r="947" ht="15.75" customHeight="1">
      <c r="N947" s="43"/>
    </row>
    <row r="948" ht="15.75" customHeight="1">
      <c r="N948" s="43"/>
    </row>
    <row r="949" ht="15.75" customHeight="1">
      <c r="N949" s="43"/>
    </row>
    <row r="950" ht="15.75" customHeight="1">
      <c r="N950" s="43"/>
    </row>
    <row r="951" ht="15.75" customHeight="1">
      <c r="N951" s="43"/>
    </row>
    <row r="952" ht="15.75" customHeight="1">
      <c r="N952" s="43"/>
    </row>
    <row r="953" ht="15.75" customHeight="1">
      <c r="N953" s="43"/>
    </row>
    <row r="954" ht="15.75" customHeight="1">
      <c r="N954" s="43"/>
    </row>
    <row r="955" ht="15.75" customHeight="1">
      <c r="N955" s="43"/>
    </row>
    <row r="956" ht="15.75" customHeight="1">
      <c r="N956" s="43"/>
    </row>
    <row r="957" ht="15.75" customHeight="1">
      <c r="N957" s="43"/>
    </row>
    <row r="958" ht="15.75" customHeight="1">
      <c r="N958" s="43"/>
    </row>
    <row r="959" ht="15.75" customHeight="1">
      <c r="N959" s="43"/>
    </row>
    <row r="960" ht="15.75" customHeight="1">
      <c r="N960" s="43"/>
    </row>
    <row r="961" ht="15.75" customHeight="1">
      <c r="N961" s="43"/>
    </row>
    <row r="962" ht="15.75" customHeight="1">
      <c r="N962" s="43"/>
    </row>
    <row r="963" ht="15.75" customHeight="1">
      <c r="N963" s="43"/>
    </row>
    <row r="964" ht="15.75" customHeight="1">
      <c r="N964" s="43"/>
    </row>
    <row r="965" ht="15.75" customHeight="1">
      <c r="N965" s="43"/>
    </row>
    <row r="966" ht="15.75" customHeight="1">
      <c r="N966" s="43"/>
    </row>
    <row r="967" ht="15.75" customHeight="1">
      <c r="N967" s="43"/>
    </row>
    <row r="968" ht="15.75" customHeight="1">
      <c r="N968" s="43"/>
    </row>
    <row r="969" ht="15.75" customHeight="1">
      <c r="N969" s="43"/>
    </row>
    <row r="970" ht="15.75" customHeight="1">
      <c r="N970" s="43"/>
    </row>
    <row r="971" ht="15.75" customHeight="1">
      <c r="N971" s="43"/>
    </row>
    <row r="972" ht="15.75" customHeight="1">
      <c r="N972" s="43"/>
    </row>
    <row r="973" ht="15.75" customHeight="1">
      <c r="N973" s="43"/>
    </row>
    <row r="974" ht="15.75" customHeight="1">
      <c r="N974" s="43"/>
    </row>
    <row r="975" ht="15.75" customHeight="1">
      <c r="N975" s="43"/>
    </row>
    <row r="976" ht="15.75" customHeight="1">
      <c r="N976" s="43"/>
    </row>
    <row r="977" ht="15.75" customHeight="1">
      <c r="N977" s="43"/>
    </row>
    <row r="978" ht="15.75" customHeight="1">
      <c r="N978" s="43"/>
    </row>
    <row r="979" ht="15.75" customHeight="1">
      <c r="N979" s="43"/>
    </row>
    <row r="980" ht="15.75" customHeight="1">
      <c r="N980" s="43"/>
    </row>
    <row r="981" ht="15.75" customHeight="1">
      <c r="N981" s="43"/>
    </row>
    <row r="982" ht="15.75" customHeight="1">
      <c r="N982" s="43"/>
    </row>
    <row r="983" ht="15.75" customHeight="1">
      <c r="N983" s="43"/>
    </row>
    <row r="984" ht="15.75" customHeight="1">
      <c r="N984" s="43"/>
    </row>
    <row r="985" ht="15.75" customHeight="1">
      <c r="N985" s="43"/>
    </row>
    <row r="986" ht="15.75" customHeight="1">
      <c r="N986" s="43"/>
    </row>
    <row r="987" ht="15.75" customHeight="1">
      <c r="N987" s="43"/>
    </row>
    <row r="988" ht="15.75" customHeight="1">
      <c r="N988" s="43"/>
    </row>
    <row r="989" ht="15.75" customHeight="1">
      <c r="N989" s="43"/>
    </row>
    <row r="990" ht="15.75" customHeight="1">
      <c r="N990" s="43"/>
    </row>
    <row r="991" ht="15.75" customHeight="1">
      <c r="N991" s="43"/>
    </row>
    <row r="992" ht="15.75" customHeight="1">
      <c r="N992" s="43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1zwv-aZp-DRCpq8bqLR0XRiyt0av-GAm0ORqbhnV-FKI</v>
      </c>
      <c r="K2" s="20"/>
      <c r="L2" s="7"/>
      <c r="M2" s="7"/>
      <c r="N2" s="7"/>
      <c r="O2" s="7"/>
    </row>
    <row r="3" ht="15.75" customHeight="1">
      <c r="A3" s="22"/>
      <c r="B3" s="8" t="s">
        <v>5</v>
      </c>
      <c r="C3" s="23" t="s">
        <v>21</v>
      </c>
      <c r="D3" s="8" t="s">
        <v>7</v>
      </c>
      <c r="E3" s="23" t="s">
        <v>22</v>
      </c>
      <c r="F3" s="8" t="s">
        <v>14</v>
      </c>
      <c r="G3" s="12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IFERROR(__xludf.DUMMYFUNCTION("""COMPUTED_VALUE"""),"CloseSSw/BuyBTO ")</f>
        <v>CloseSSw/BuyBTO </v>
      </c>
      <c r="C5" s="30" t="str">
        <f>IFERROR(__xludf.DUMMYFUNCTION("""COMPUTED_VALUE"""),"AutoCloseStrategy")</f>
        <v>AutoCloseStrategy</v>
      </c>
      <c r="D5" s="30" t="str">
        <f>IFERROR(__xludf.DUMMYFUNCTION("""COMPUTED_VALUE"""),"Algorithm")</f>
        <v>Algorithm</v>
      </c>
      <c r="E5" s="30" t="str">
        <f>IFERROR(__xludf.DUMMYFUNCTION("""COMPUTED_VALUE"""),"SecondarySortCriteria")</f>
        <v>SecondarySortCriteria</v>
      </c>
      <c r="F5" s="31" t="str">
        <f>IFERROR(__xludf.DUMMYFUNCTION("""COMPUTED_VALUE"""),"ClosingField")</f>
        <v>ClosingField</v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3" t="str">
        <f>IFERROR(__xludf.DUMMYFUNCTION("""COMPUTED_VALUE"""),"")</f>
        <v/>
      </c>
      <c r="U5" s="33" t="str">
        <f>IFERROR(__xludf.DUMMYFUNCTION("""COMPUTED_VALUE"""),"")</f>
        <v/>
      </c>
      <c r="V5" s="33" t="str">
        <f>IFERROR(__xludf.DUMMYFUNCTION("""COMPUTED_VALUE"""),"")</f>
        <v/>
      </c>
      <c r="W5" s="33" t="str">
        <f>IFERROR(__xludf.DUMMYFUNCTION("""COMPUTED_VALUE"""),"")</f>
        <v/>
      </c>
      <c r="X5" s="33" t="str">
        <f>IFERROR(__xludf.DUMMYFUNCTION("""COMPUTED_VALUE"""),"")</f>
        <v/>
      </c>
      <c r="Y5" s="33" t="str">
        <f>IFERROR(__xludf.DUMMYFUNCTION("""COMPUTED_VALUE"""),"")</f>
        <v/>
      </c>
      <c r="Z5" s="33" t="str">
        <f>IFERROR(__xludf.DUMMYFUNCTION("""COMPUTED_VALUE"""),"")</f>
        <v/>
      </c>
      <c r="AA5" s="33" t="str">
        <f>IFERROR(__xludf.DUMMYFUNCTION("""COMPUTED_VALUE"""),"")</f>
        <v/>
      </c>
      <c r="AB5" s="33" t="str">
        <f>IFERROR(__xludf.DUMMYFUNCTION("""COMPUTED_VALUE"""),"")</f>
        <v/>
      </c>
      <c r="AC5" s="33" t="str">
        <f>IFERROR(__xludf.DUMMYFUNCTION("""COMPUTED_VALUE"""),"")</f>
        <v/>
      </c>
      <c r="AD5" s="33" t="str">
        <f>IFERROR(__xludf.DUMMYFUNCTION("""COMPUTED_VALUE"""),"")</f>
        <v/>
      </c>
      <c r="AE5" s="33" t="str">
        <f>IFERROR(__xludf.DUMMYFUNCTION("""COMPUTED_VALUE"""),"")</f>
        <v/>
      </c>
      <c r="AF5" s="33" t="str">
        <f>IFERROR(__xludf.DUMMYFUNCTION("""COMPUTED_VALUE"""),"")</f>
        <v/>
      </c>
      <c r="AG5" s="33" t="str">
        <f>IFERROR(__xludf.DUMMYFUNCTION("""COMPUTED_VALUE"""),"")</f>
        <v/>
      </c>
      <c r="AH5" s="33" t="str">
        <f>IFERROR(__xludf.DUMMYFUNCTION("""COMPUTED_VALUE"""),"")</f>
        <v/>
      </c>
      <c r="AI5" s="33" t="str">
        <f>IFERROR(__xludf.DUMMYFUNCTION("""COMPUTED_VALUE"""),"")</f>
        <v/>
      </c>
      <c r="AJ5" s="33" t="str">
        <f>IFERROR(__xludf.DUMMYFUNCTION("""COMPUTED_VALUE"""),"")</f>
        <v/>
      </c>
      <c r="AK5" s="33" t="str">
        <f>IFERROR(__xludf.DUMMYFUNCTION("""COMPUTED_VALUE"""),"")</f>
        <v/>
      </c>
      <c r="AL5" s="33" t="str">
        <f>IFERROR(__xludf.DUMMYFUNCTION("""COMPUTED_VALUE"""),"")</f>
        <v/>
      </c>
      <c r="AM5" s="33" t="str">
        <f>IFERROR(__xludf.DUMMYFUNCTION("""COMPUTED_VALUE"""),"")</f>
        <v/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10"/>
      <c r="B6" s="10" t="b">
        <v>1</v>
      </c>
      <c r="C6" s="10" t="b">
        <v>0</v>
      </c>
      <c r="D6" s="10" t="s">
        <v>23</v>
      </c>
      <c r="E6" s="10" t="s">
        <v>24</v>
      </c>
      <c r="F6" s="10" t="s">
        <v>25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2"/>
      <c r="B3" s="8" t="s">
        <v>5</v>
      </c>
      <c r="C3" s="23" t="s">
        <v>21</v>
      </c>
      <c r="D3" s="8" t="s">
        <v>7</v>
      </c>
      <c r="E3" s="23" t="s">
        <v>26</v>
      </c>
      <c r="F3" s="8" t="s">
        <v>14</v>
      </c>
      <c r="G3" s="12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IFERROR(__xludf.DUMMYFUNCTION("""COMPUTED_VALUE"""),"Taxlot ID")</f>
        <v>Taxlot ID</v>
      </c>
      <c r="C5" s="30" t="str">
        <f>IFERROR(__xludf.DUMMYFUNCTION("""COMPUTED_VALUE"""),"Closing Date")</f>
        <v>Closing Date</v>
      </c>
      <c r="D5" s="30" t="str">
        <f>IFERROR(__xludf.DUMMYFUNCTION("""COMPUTED_VALUE"""),"Account")</f>
        <v>Account</v>
      </c>
      <c r="E5" s="30" t="str">
        <f>IFERROR(__xludf.DUMMYFUNCTION("""COMPUTED_VALUE"""),"Strategy")</f>
        <v>Strategy</v>
      </c>
      <c r="F5" s="31" t="str">
        <f>IFERROR(__xludf.DUMMYFUNCTION("""COMPUTED_VALUE"""),"Position Type")</f>
        <v>Position Type</v>
      </c>
      <c r="G5" s="30" t="str">
        <f>IFERROR(__xludf.DUMMYFUNCTION("""COMPUTED_VALUE"""),"Asset Class")</f>
        <v>Asset Class</v>
      </c>
      <c r="H5" s="30" t="str">
        <f>IFERROR(__xludf.DUMMYFUNCTION("""COMPUTED_VALUE"""),"Symbol")</f>
        <v>Symbol</v>
      </c>
      <c r="I5" s="30" t="str">
        <f>IFERROR(__xludf.DUMMYFUNCTION("""COMPUTED_VALUE"""),"Qty Closed")</f>
        <v>Qty Closed</v>
      </c>
      <c r="J5" s="30" t="str">
        <f>IFERROR(__xludf.DUMMYFUNCTION("""COMPUTED_VALUE"""),"Opening Price")</f>
        <v>Opening Price</v>
      </c>
      <c r="K5" s="30" t="str">
        <f>IFERROR(__xludf.DUMMYFUNCTION("""COMPUTED_VALUE"""),"Closing Price")</f>
        <v>Closing Price</v>
      </c>
      <c r="L5" s="30" t="str">
        <f>IFERROR(__xludf.DUMMYFUNCTION("""COMPUTED_VALUE"""),"ClosingTotalCommissionandFees")</f>
        <v>ClosingTotalCommissionandFees</v>
      </c>
      <c r="M5" s="30" t="str">
        <f>IFERROR(__xludf.DUMMYFUNCTION("""COMPUTED_VALUE"""),"Realized PNL(C.B.)")</f>
        <v>Realized PNL(C.B.)</v>
      </c>
      <c r="N5" s="30" t="str">
        <f>IFERROR(__xludf.DUMMYFUNCTION("""COMPUTED_VALUE"""),"Exchange")</f>
        <v>Exchange</v>
      </c>
      <c r="O5" s="30" t="str">
        <f>IFERROR(__xludf.DUMMYFUNCTION("""COMPUTED_VALUE"""),"Opening Side")</f>
        <v>Opening Side</v>
      </c>
      <c r="P5" s="30" t="str">
        <f>IFERROR(__xludf.DUMMYFUNCTION("""COMPUTED_VALUE"""),"Opening Fees &amp; Commission")</f>
        <v>Opening Fees &amp; Commission</v>
      </c>
      <c r="Q5" s="30" t="str">
        <f>IFERROR(__xludf.DUMMYFUNCTION("""COMPUTED_VALUE"""),"Closing Side")</f>
        <v>Closing Side</v>
      </c>
      <c r="R5" s="30" t="str">
        <f>IFERROR(__xludf.DUMMYFUNCTION("""COMPUTED_VALUE"""),"Closing Method")</f>
        <v>Closing Method</v>
      </c>
      <c r="S5" s="30" t="str">
        <f>IFERROR(__xludf.DUMMYFUNCTION("""COMPUTED_VALUE"""),"ClosingID")</f>
        <v>ClosingID</v>
      </c>
      <c r="T5" s="33" t="str">
        <f>IFERROR(__xludf.DUMMYFUNCTION("""COMPUTED_VALUE"""),"Original Purchase Date")</f>
        <v>Original Purchase Date</v>
      </c>
      <c r="U5" s="33" t="str">
        <f>IFERROR(__xludf.DUMMYFUNCTION("""COMPUTED_VALUE"""),"Description")</f>
        <v>Description</v>
      </c>
      <c r="V5" s="33" t="str">
        <f>IFERROR(__xludf.DUMMYFUNCTION("""COMPUTED_VALUE"""),"AccountID")</f>
        <v>AccountID</v>
      </c>
      <c r="W5" s="33" t="str">
        <f>IFERROR(__xludf.DUMMYFUNCTION("""COMPUTED_VALUE"""),"IsExpired_Settled")</f>
        <v>IsExpired_Settled</v>
      </c>
      <c r="X5" s="33" t="str">
        <f>IFERROR(__xludf.DUMMYFUNCTION("""COMPUTED_VALUE"""),"Underlying")</f>
        <v>Underlying</v>
      </c>
      <c r="Y5" s="33" t="str">
        <f>IFERROR(__xludf.DUMMYFUNCTION("""COMPUTED_VALUE"""),"CurrencyID")</f>
        <v>CurrencyID</v>
      </c>
      <c r="Z5" s="33" t="str">
        <f>IFERROR(__xludf.DUMMYFUNCTION("""COMPUTED_VALUE"""),"Currency")</f>
        <v>Currency</v>
      </c>
      <c r="AA5" s="33" t="str">
        <f>IFERROR(__xludf.DUMMYFUNCTION("""COMPUTED_VALUE"""),"AUECID")</f>
        <v>AUECID</v>
      </c>
      <c r="AB5" s="33" t="str">
        <f>IFERROR(__xludf.DUMMYFUNCTION("""COMPUTED_VALUE"""),"NotionalValue")</f>
        <v>NotionalValue</v>
      </c>
      <c r="AC5" s="33" t="str">
        <f>IFERROR(__xludf.DUMMYFUNCTION("""COMPUTED_VALUE"""),"Multiplier")</f>
        <v>Multiplier</v>
      </c>
      <c r="AD5" s="33" t="str">
        <f>IFERROR(__xludf.DUMMYFUNCTION("""COMPUTED_VALUE"""),"TimeOfSaveUTC")</f>
        <v>TimeOfSaveUTC</v>
      </c>
      <c r="AE5" s="33" t="str">
        <f>IFERROR(__xludf.DUMMYFUNCTION("""COMPUTED_VALUE"""),"Closing Position Type")</f>
        <v>Closing Position Type</v>
      </c>
      <c r="AF5" s="33" t="str">
        <f>IFERROR(__xludf.DUMMYFUNCTION("""COMPUTED_VALUE"""),"Closing Mode")</f>
        <v>Closing Mode</v>
      </c>
      <c r="AG5" s="33" t="str">
        <f>IFERROR(__xludf.DUMMYFUNCTION("""COMPUTED_VALUE"""),"StrategyID")</f>
        <v>StrategyID</v>
      </c>
      <c r="AH5" s="33" t="str">
        <f>IFERROR(__xludf.DUMMYFUNCTION("""COMPUTED_VALUE"""),"")</f>
        <v/>
      </c>
      <c r="AI5" s="33" t="str">
        <f>IFERROR(__xludf.DUMMYFUNCTION("""COMPUTED_VALUE"""),"")</f>
        <v/>
      </c>
      <c r="AJ5" s="33" t="str">
        <f>IFERROR(__xludf.DUMMYFUNCTION("""COMPUTED_VALUE"""),"")</f>
        <v/>
      </c>
      <c r="AK5" s="33" t="str">
        <f>IFERROR(__xludf.DUMMYFUNCTION("""COMPUTED_VALUE"""),"")</f>
        <v/>
      </c>
      <c r="AL5" s="33" t="str">
        <f>IFERROR(__xludf.DUMMYFUNCTION("""COMPUTED_VALUE"""),"")</f>
        <v/>
      </c>
      <c r="AM5" s="33" t="str">
        <f>IFERROR(__xludf.DUMMYFUNCTION("""COMPUTED_VALUE"""),"")</f>
        <v/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10"/>
      <c r="B6" s="10"/>
      <c r="C6" s="45">
        <v>42786.0</v>
      </c>
      <c r="D6" s="46" t="s">
        <v>18</v>
      </c>
      <c r="E6" s="37"/>
      <c r="F6" s="37"/>
      <c r="G6" s="37"/>
      <c r="H6" s="34" t="s">
        <v>16</v>
      </c>
      <c r="I6" s="41">
        <v>100.0</v>
      </c>
      <c r="J6" s="41">
        <v>12.0</v>
      </c>
      <c r="K6" s="39">
        <v>12.0</v>
      </c>
      <c r="L6" s="37"/>
      <c r="M6" s="37"/>
      <c r="N6" s="37"/>
      <c r="O6" s="35" t="s">
        <v>27</v>
      </c>
      <c r="P6" s="37"/>
      <c r="Q6" s="37" t="s">
        <v>20</v>
      </c>
      <c r="R6" s="38" t="s">
        <v>23</v>
      </c>
      <c r="S6" s="37"/>
      <c r="T6" s="37"/>
      <c r="U6" s="37"/>
      <c r="V6" s="37"/>
      <c r="W6" s="37"/>
      <c r="X6" s="37"/>
    </row>
    <row r="7" ht="15.75" customHeight="1">
      <c r="A7" s="7"/>
      <c r="B7" s="7"/>
      <c r="C7" s="45">
        <v>42788.0</v>
      </c>
      <c r="D7" s="35" t="s">
        <v>18</v>
      </c>
      <c r="E7" s="37"/>
      <c r="F7" s="37"/>
      <c r="G7" s="37"/>
      <c r="H7" s="34" t="s">
        <v>16</v>
      </c>
      <c r="I7" s="41">
        <v>100.0</v>
      </c>
      <c r="J7" s="41">
        <v>15.0</v>
      </c>
      <c r="K7" s="39">
        <v>12.0</v>
      </c>
      <c r="L7" s="37"/>
      <c r="M7" s="37"/>
      <c r="N7" s="37"/>
      <c r="O7" s="35" t="s">
        <v>27</v>
      </c>
      <c r="P7" s="37"/>
      <c r="Q7" s="37" t="s">
        <v>20</v>
      </c>
      <c r="R7" s="38" t="s">
        <v>23</v>
      </c>
      <c r="S7" s="37"/>
      <c r="T7" s="37"/>
      <c r="U7" s="37"/>
      <c r="V7" s="37"/>
      <c r="W7" s="37"/>
      <c r="X7" s="3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2"/>
      <c r="B3" s="8" t="s">
        <v>5</v>
      </c>
      <c r="C3" s="23" t="s">
        <v>21</v>
      </c>
      <c r="D3" s="8" t="s">
        <v>7</v>
      </c>
      <c r="E3" s="23" t="s">
        <v>28</v>
      </c>
      <c r="F3" s="8" t="s">
        <v>14</v>
      </c>
      <c r="G3" s="12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IFERROR(__xludf.DUMMYFUNCTION("""COMPUTED_VALUE"""),"Taxlot ID")</f>
        <v>Taxlot ID</v>
      </c>
      <c r="C5" s="30" t="str">
        <f>IFERROR(__xludf.DUMMYFUNCTION("""COMPUTED_VALUE"""),"Closing Date")</f>
        <v>Closing Date</v>
      </c>
      <c r="D5" s="30" t="str">
        <f>IFERROR(__xludf.DUMMYFUNCTION("""COMPUTED_VALUE"""),"Account")</f>
        <v>Account</v>
      </c>
      <c r="E5" s="30" t="str">
        <f>IFERROR(__xludf.DUMMYFUNCTION("""COMPUTED_VALUE"""),"Strategy")</f>
        <v>Strategy</v>
      </c>
      <c r="F5" s="31" t="str">
        <f>IFERROR(__xludf.DUMMYFUNCTION("""COMPUTED_VALUE"""),"Position Type")</f>
        <v>Position Type</v>
      </c>
      <c r="G5" s="30" t="str">
        <f>IFERROR(__xludf.DUMMYFUNCTION("""COMPUTED_VALUE"""),"Asset Class")</f>
        <v>Asset Class</v>
      </c>
      <c r="H5" s="30" t="str">
        <f>IFERROR(__xludf.DUMMYFUNCTION("""COMPUTED_VALUE"""),"Symbol")</f>
        <v>Symbol</v>
      </c>
      <c r="I5" s="30" t="str">
        <f>IFERROR(__xludf.DUMMYFUNCTION("""COMPUTED_VALUE"""),"Qty Closed")</f>
        <v>Qty Closed</v>
      </c>
      <c r="J5" s="30" t="str">
        <f>IFERROR(__xludf.DUMMYFUNCTION("""COMPUTED_VALUE"""),"Opening Price")</f>
        <v>Opening Price</v>
      </c>
      <c r="K5" s="30" t="str">
        <f>IFERROR(__xludf.DUMMYFUNCTION("""COMPUTED_VALUE"""),"Closing Price")</f>
        <v>Closing Price</v>
      </c>
      <c r="L5" s="30" t="str">
        <f>IFERROR(__xludf.DUMMYFUNCTION("""COMPUTED_VALUE"""),"ClosingTotalCommissionandFees")</f>
        <v>ClosingTotalCommissionandFees</v>
      </c>
      <c r="M5" s="30" t="str">
        <f>IFERROR(__xludf.DUMMYFUNCTION("""COMPUTED_VALUE"""),"Realized PNL(C.B.)")</f>
        <v>Realized PNL(C.B.)</v>
      </c>
      <c r="N5" s="30" t="str">
        <f>IFERROR(__xludf.DUMMYFUNCTION("""COMPUTED_VALUE"""),"Exchange")</f>
        <v>Exchange</v>
      </c>
      <c r="O5" s="30" t="str">
        <f>IFERROR(__xludf.DUMMYFUNCTION("""COMPUTED_VALUE"""),"Opening Side")</f>
        <v>Opening Side</v>
      </c>
      <c r="P5" s="30" t="str">
        <f>IFERROR(__xludf.DUMMYFUNCTION("""COMPUTED_VALUE"""),"Opening Fees &amp; Commission")</f>
        <v>Opening Fees &amp; Commission</v>
      </c>
      <c r="Q5" s="30" t="str">
        <f>IFERROR(__xludf.DUMMYFUNCTION("""COMPUTED_VALUE"""),"Closing Side")</f>
        <v>Closing Side</v>
      </c>
      <c r="R5" s="30" t="str">
        <f>IFERROR(__xludf.DUMMYFUNCTION("""COMPUTED_VALUE"""),"Closing Method")</f>
        <v>Closing Method</v>
      </c>
      <c r="S5" s="30" t="str">
        <f>IFERROR(__xludf.DUMMYFUNCTION("""COMPUTED_VALUE"""),"ClosingID")</f>
        <v>ClosingID</v>
      </c>
      <c r="T5" s="33" t="str">
        <f>IFERROR(__xludf.DUMMYFUNCTION("""COMPUTED_VALUE"""),"Original Purchase Date")</f>
        <v>Original Purchase Date</v>
      </c>
      <c r="U5" s="33" t="str">
        <f>IFERROR(__xludf.DUMMYFUNCTION("""COMPUTED_VALUE"""),"Description")</f>
        <v>Description</v>
      </c>
      <c r="V5" s="33" t="str">
        <f>IFERROR(__xludf.DUMMYFUNCTION("""COMPUTED_VALUE"""),"AccountID")</f>
        <v>AccountID</v>
      </c>
      <c r="W5" s="33" t="str">
        <f>IFERROR(__xludf.DUMMYFUNCTION("""COMPUTED_VALUE"""),"IsExpired_Settled")</f>
        <v>IsExpired_Settled</v>
      </c>
      <c r="X5" s="33" t="str">
        <f>IFERROR(__xludf.DUMMYFUNCTION("""COMPUTED_VALUE"""),"Underlying")</f>
        <v>Underlying</v>
      </c>
      <c r="Y5" s="33" t="str">
        <f>IFERROR(__xludf.DUMMYFUNCTION("""COMPUTED_VALUE"""),"CurrencyID")</f>
        <v>CurrencyID</v>
      </c>
      <c r="Z5" s="33" t="str">
        <f>IFERROR(__xludf.DUMMYFUNCTION("""COMPUTED_VALUE"""),"Currency")</f>
        <v>Currency</v>
      </c>
      <c r="AA5" s="33" t="str">
        <f>IFERROR(__xludf.DUMMYFUNCTION("""COMPUTED_VALUE"""),"AUECID")</f>
        <v>AUECID</v>
      </c>
      <c r="AB5" s="33" t="str">
        <f>IFERROR(__xludf.DUMMYFUNCTION("""COMPUTED_VALUE"""),"NotionalValue")</f>
        <v>NotionalValue</v>
      </c>
      <c r="AC5" s="33" t="str">
        <f>IFERROR(__xludf.DUMMYFUNCTION("""COMPUTED_VALUE"""),"Multiplier")</f>
        <v>Multiplier</v>
      </c>
      <c r="AD5" s="33" t="str">
        <f>IFERROR(__xludf.DUMMYFUNCTION("""COMPUTED_VALUE"""),"TimeOfSaveUTC")</f>
        <v>TimeOfSaveUTC</v>
      </c>
      <c r="AE5" s="33" t="str">
        <f>IFERROR(__xludf.DUMMYFUNCTION("""COMPUTED_VALUE"""),"Closing Position Type")</f>
        <v>Closing Position Type</v>
      </c>
      <c r="AF5" s="33" t="str">
        <f>IFERROR(__xludf.DUMMYFUNCTION("""COMPUTED_VALUE"""),"Closing Mode")</f>
        <v>Closing Mode</v>
      </c>
      <c r="AG5" s="33" t="str">
        <f>IFERROR(__xludf.DUMMYFUNCTION("""COMPUTED_VALUE"""),"StrategyID")</f>
        <v>StrategyID</v>
      </c>
      <c r="AH5" s="33" t="str">
        <f>IFERROR(__xludf.DUMMYFUNCTION("""COMPUTED_VALUE"""),"")</f>
        <v/>
      </c>
      <c r="AI5" s="33" t="str">
        <f>IFERROR(__xludf.DUMMYFUNCTION("""COMPUTED_VALUE"""),"")</f>
        <v/>
      </c>
      <c r="AJ5" s="33" t="str">
        <f>IFERROR(__xludf.DUMMYFUNCTION("""COMPUTED_VALUE"""),"")</f>
        <v/>
      </c>
      <c r="AK5" s="33" t="str">
        <f>IFERROR(__xludf.DUMMYFUNCTION("""COMPUTED_VALUE"""),"")</f>
        <v/>
      </c>
      <c r="AL5" s="33" t="str">
        <f>IFERROR(__xludf.DUMMYFUNCTION("""COMPUTED_VALUE"""),"")</f>
        <v/>
      </c>
      <c r="AM5" s="33" t="str">
        <f>IFERROR(__xludf.DUMMYFUNCTION("""COMPUTED_VALUE"""),"")</f>
        <v/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10"/>
      <c r="B6" s="10"/>
      <c r="C6" s="42">
        <v>42786.0</v>
      </c>
      <c r="D6" s="46" t="s">
        <v>18</v>
      </c>
      <c r="E6" s="35" t="s">
        <v>29</v>
      </c>
      <c r="F6" s="35" t="s">
        <v>27</v>
      </c>
      <c r="G6" s="35" t="s">
        <v>30</v>
      </c>
      <c r="H6" s="34" t="s">
        <v>16</v>
      </c>
      <c r="I6" s="41">
        <v>100.0</v>
      </c>
      <c r="J6" s="41">
        <v>12.0</v>
      </c>
      <c r="K6" s="39">
        <v>12.0</v>
      </c>
      <c r="L6" s="37"/>
      <c r="M6" s="37"/>
      <c r="N6" s="37"/>
      <c r="O6" s="35" t="s">
        <v>27</v>
      </c>
      <c r="P6" s="37"/>
      <c r="Q6" s="37" t="s">
        <v>20</v>
      </c>
      <c r="R6" s="38" t="s">
        <v>23</v>
      </c>
      <c r="S6" s="37"/>
      <c r="T6" s="47">
        <v>42786.0</v>
      </c>
      <c r="U6" s="37"/>
      <c r="V6" s="37"/>
      <c r="W6" s="37"/>
      <c r="X6" s="37"/>
      <c r="Y6" s="37"/>
      <c r="Z6" s="37"/>
      <c r="AA6" s="37"/>
      <c r="AB6" s="37"/>
      <c r="AC6" s="37"/>
    </row>
    <row r="7" ht="15.75" customHeight="1">
      <c r="A7" s="7"/>
      <c r="B7" s="7"/>
      <c r="C7" s="42">
        <v>42788.0</v>
      </c>
      <c r="D7" s="10" t="s">
        <v>18</v>
      </c>
      <c r="E7" s="10" t="s">
        <v>29</v>
      </c>
      <c r="F7" s="10" t="s">
        <v>27</v>
      </c>
      <c r="G7" s="10" t="s">
        <v>30</v>
      </c>
      <c r="H7" s="34" t="s">
        <v>16</v>
      </c>
      <c r="I7" s="10">
        <v>100.0</v>
      </c>
      <c r="J7" s="10">
        <v>15.0</v>
      </c>
      <c r="K7" s="10">
        <v>12.0</v>
      </c>
      <c r="L7" s="7"/>
      <c r="M7" s="7"/>
      <c r="N7" s="7"/>
      <c r="O7" s="10" t="s">
        <v>27</v>
      </c>
      <c r="Q7" s="44" t="s">
        <v>20</v>
      </c>
      <c r="R7" s="44" t="s">
        <v>23</v>
      </c>
      <c r="T7" s="48">
        <v>42788.0</v>
      </c>
    </row>
    <row r="8" ht="15.75" customHeight="1">
      <c r="A8" s="7"/>
      <c r="B8" s="7"/>
      <c r="C8" s="21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T8" s="43"/>
    </row>
    <row r="9" ht="15.75" customHeight="1">
      <c r="A9" s="7"/>
      <c r="B9" s="7"/>
      <c r="C9" s="21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T9" s="43"/>
    </row>
    <row r="10" ht="15.75" customHeight="1">
      <c r="A10" s="7"/>
      <c r="B10" s="7"/>
      <c r="C10" s="21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21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21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21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2"/>
      <c r="B3" s="8" t="s">
        <v>5</v>
      </c>
      <c r="C3" s="23" t="s">
        <v>21</v>
      </c>
      <c r="D3" s="8" t="s">
        <v>7</v>
      </c>
      <c r="E3" s="23" t="s">
        <v>31</v>
      </c>
      <c r="F3" s="8" t="s">
        <v>14</v>
      </c>
      <c r="G3" s="12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IFERROR(__xludf.DUMMYFUNCTION("""COMPUTED_VALUE"""),"Account Filter")</f>
        <v>Account Filter</v>
      </c>
      <c r="F5" s="31" t="str">
        <f>IFERROR(__xludf.DUMMYFUNCTION("""COMPUTED_VALUE"""),"")</f>
        <v/>
      </c>
      <c r="G5" s="30" t="str">
        <f>IFERROR(__xludf.DUMMYFUNCTION("""COMPUTED_VALUE"""),"")</f>
        <v/>
      </c>
      <c r="H5" s="30" t="str">
        <f>IFERROR(__xludf.DUMMYFUNCTION("""COMPUTED_VALUE"""),"")</f>
        <v/>
      </c>
      <c r="I5" s="30" t="str">
        <f>IFERROR(__xludf.DUMMYFUNCTION("""COMPUTED_VALUE"""),"")</f>
        <v/>
      </c>
      <c r="J5" s="30" t="str">
        <f>IFERROR(__xludf.DUMMYFUNCTION("""COMPUTED_VALUE"""),"")</f>
        <v/>
      </c>
      <c r="K5" s="30" t="str">
        <f>IFERROR(__xludf.DUMMYFUNCTION("""COMPUTED_VALUE"""),"")</f>
        <v/>
      </c>
      <c r="L5" s="30" t="str">
        <f>IFERROR(__xludf.DUMMYFUNCTION("""COMPUTED_VALUE"""),"")</f>
        <v/>
      </c>
      <c r="M5" s="30" t="str">
        <f>IFERROR(__xludf.DUMMYFUNCTION("""COMPUTED_VALUE"""),"")</f>
        <v/>
      </c>
      <c r="N5" s="30" t="str">
        <f>IFERROR(__xludf.DUMMYFUNCTION("""COMPUTED_VALUE"""),"")</f>
        <v/>
      </c>
      <c r="O5" s="30" t="str">
        <f>IFERROR(__xludf.DUMMYFUNCTION("""COMPUTED_VALUE"""),"")</f>
        <v/>
      </c>
      <c r="P5" s="30" t="str">
        <f>IFERROR(__xludf.DUMMYFUNCTION("""COMPUTED_VALUE"""),"")</f>
        <v/>
      </c>
      <c r="Q5" s="30" t="str">
        <f>IFERROR(__xludf.DUMMYFUNCTION("""COMPUTED_VALUE"""),"")</f>
        <v/>
      </c>
      <c r="R5" s="30" t="str">
        <f>IFERROR(__xludf.DUMMYFUNCTION("""COMPUTED_VALUE"""),"")</f>
        <v/>
      </c>
      <c r="S5" s="30" t="str">
        <f>IFERROR(__xludf.DUMMYFUNCTION("""COMPUTED_VALUE"""),"")</f>
        <v/>
      </c>
      <c r="T5" s="33" t="str">
        <f>IFERROR(__xludf.DUMMYFUNCTION("""COMPUTED_VALUE"""),"")</f>
        <v/>
      </c>
      <c r="U5" s="33" t="str">
        <f>IFERROR(__xludf.DUMMYFUNCTION("""COMPUTED_VALUE"""),"")</f>
        <v/>
      </c>
      <c r="V5" s="33" t="str">
        <f>IFERROR(__xludf.DUMMYFUNCTION("""COMPUTED_VALUE"""),"")</f>
        <v/>
      </c>
      <c r="W5" s="33" t="str">
        <f>IFERROR(__xludf.DUMMYFUNCTION("""COMPUTED_VALUE"""),"")</f>
        <v/>
      </c>
      <c r="X5" s="33" t="str">
        <f>IFERROR(__xludf.DUMMYFUNCTION("""COMPUTED_VALUE"""),"")</f>
        <v/>
      </c>
      <c r="Y5" s="33" t="str">
        <f>IFERROR(__xludf.DUMMYFUNCTION("""COMPUTED_VALUE"""),"")</f>
        <v/>
      </c>
      <c r="Z5" s="33" t="str">
        <f>IFERROR(__xludf.DUMMYFUNCTION("""COMPUTED_VALUE"""),"")</f>
        <v/>
      </c>
      <c r="AA5" s="33" t="str">
        <f>IFERROR(__xludf.DUMMYFUNCTION("""COMPUTED_VALUE"""),"")</f>
        <v/>
      </c>
      <c r="AB5" s="33" t="str">
        <f>IFERROR(__xludf.DUMMYFUNCTION("""COMPUTED_VALUE"""),"")</f>
        <v/>
      </c>
      <c r="AC5" s="33" t="str">
        <f>IFERROR(__xludf.DUMMYFUNCTION("""COMPUTED_VALUE"""),"")</f>
        <v/>
      </c>
      <c r="AD5" s="33" t="str">
        <f>IFERROR(__xludf.DUMMYFUNCTION("""COMPUTED_VALUE"""),"")</f>
        <v/>
      </c>
      <c r="AE5" s="33" t="str">
        <f>IFERROR(__xludf.DUMMYFUNCTION("""COMPUTED_VALUE"""),"")</f>
        <v/>
      </c>
      <c r="AF5" s="33" t="str">
        <f>IFERROR(__xludf.DUMMYFUNCTION("""COMPUTED_VALUE"""),"")</f>
        <v/>
      </c>
      <c r="AG5" s="33" t="str">
        <f>IFERROR(__xludf.DUMMYFUNCTION("""COMPUTED_VALUE"""),"")</f>
        <v/>
      </c>
      <c r="AH5" s="33" t="str">
        <f>IFERROR(__xludf.DUMMYFUNCTION("""COMPUTED_VALUE"""),"")</f>
        <v/>
      </c>
      <c r="AI5" s="33" t="str">
        <f>IFERROR(__xludf.DUMMYFUNCTION("""COMPUTED_VALUE"""),"")</f>
        <v/>
      </c>
      <c r="AJ5" s="33" t="str">
        <f>IFERROR(__xludf.DUMMYFUNCTION("""COMPUTED_VALUE"""),"")</f>
        <v/>
      </c>
      <c r="AK5" s="33" t="str">
        <f>IFERROR(__xludf.DUMMYFUNCTION("""COMPUTED_VALUE"""),"")</f>
        <v/>
      </c>
      <c r="AL5" s="33" t="str">
        <f>IFERROR(__xludf.DUMMYFUNCTION("""COMPUTED_VALUE"""),"")</f>
        <v/>
      </c>
      <c r="AM5" s="33" t="str">
        <f>IFERROR(__xludf.DUMMYFUNCTION("""COMPUTED_VALUE"""),"")</f>
        <v/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10"/>
      <c r="B6" s="46" t="s">
        <v>32</v>
      </c>
      <c r="C6" s="42">
        <v>42786.0</v>
      </c>
      <c r="D6" s="42">
        <v>42788.0</v>
      </c>
      <c r="E6" s="49" t="s">
        <v>18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2"/>
      <c r="B3" s="8" t="s">
        <v>5</v>
      </c>
      <c r="C3" s="23" t="s">
        <v>33</v>
      </c>
      <c r="D3" s="8" t="s">
        <v>7</v>
      </c>
      <c r="E3" s="23" t="s">
        <v>34</v>
      </c>
      <c r="F3" s="8" t="s">
        <v>14</v>
      </c>
      <c r="G3" s="12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IFERROR(__xludf.DUMMYFUNCTION("""COMPUTED_VALUE"""),"RangeType")</f>
        <v>RangeType</v>
      </c>
      <c r="C5" s="30" t="str">
        <f>IFERROR(__xludf.DUMMYFUNCTION("""COMPUTED_VALUE"""),"From")</f>
        <v>From</v>
      </c>
      <c r="D5" s="30" t="str">
        <f>IFERROR(__xludf.DUMMYFUNCTION("""COMPUTED_VALUE"""),"To")</f>
        <v>To</v>
      </c>
      <c r="E5" s="30" t="str">
        <f>IFERROR(__xludf.DUMMYFUNCTION("""COMPUTED_VALUE"""),"FilterTabName")</f>
        <v>FilterTabName</v>
      </c>
      <c r="F5" s="31" t="str">
        <f>IFERROR(__xludf.DUMMYFUNCTION("""COMPUTED_VALUE"""),"Symbol")</f>
        <v>Symbol</v>
      </c>
      <c r="G5" s="30" t="str">
        <f>IFERROR(__xludf.DUMMYFUNCTION("""COMPUTED_VALUE"""),"Asset")</f>
        <v>Asset</v>
      </c>
      <c r="H5" s="30" t="str">
        <f>IFERROR(__xludf.DUMMYFUNCTION("""COMPUTED_VALUE"""),"Side")</f>
        <v>Side</v>
      </c>
      <c r="I5" s="30" t="str">
        <f>IFERROR(__xludf.DUMMYFUNCTION("""COMPUTED_VALUE"""),"Account")</f>
        <v>Account</v>
      </c>
      <c r="J5" s="30" t="str">
        <f>IFERROR(__xludf.DUMMYFUNCTION("""COMPUTED_VALUE"""),"Broker")</f>
        <v>Broker</v>
      </c>
      <c r="K5" s="30" t="str">
        <f>IFERROR(__xludf.DUMMYFUNCTION("""COMPUTED_VALUE"""),"Currency")</f>
        <v>Currency</v>
      </c>
      <c r="L5" s="30" t="str">
        <f>IFERROR(__xludf.DUMMYFUNCTION("""COMPUTED_VALUE"""),"Exchange")</f>
        <v>Exchange</v>
      </c>
      <c r="M5" s="30" t="str">
        <f>IFERROR(__xludf.DUMMYFUNCTION("""COMPUTED_VALUE"""),"StrategyName")</f>
        <v>StrategyName</v>
      </c>
      <c r="N5" s="30" t="str">
        <f>IFERROR(__xludf.DUMMYFUNCTION("""COMPUTED_VALUE"""),"Underlying")</f>
        <v>Underlying</v>
      </c>
      <c r="O5" s="30" t="str">
        <f>IFERROR(__xludf.DUMMYFUNCTION("""COMPUTED_VALUE"""),"Venue")</f>
        <v>Venue</v>
      </c>
      <c r="P5" s="30" t="str">
        <f>IFERROR(__xludf.DUMMYFUNCTION("""COMPUTED_VALUE"""),"TradingAccount")</f>
        <v>TradingAccount</v>
      </c>
      <c r="Q5" s="30" t="str">
        <f>IFERROR(__xludf.DUMMYFUNCTION("""COMPUTED_VALUE"""),"PreAllocated")</f>
        <v>PreAllocated</v>
      </c>
      <c r="R5" s="30" t="str">
        <f>IFERROR(__xludf.DUMMYFUNCTION("""COMPUTED_VALUE"""),"ManualGroup")</f>
        <v>ManualGroup</v>
      </c>
      <c r="S5" s="30" t="str">
        <f>IFERROR(__xludf.DUMMYFUNCTION("""COMPUTED_VALUE"""),"")</f>
        <v/>
      </c>
      <c r="T5" s="33" t="str">
        <f>IFERROR(__xludf.DUMMYFUNCTION("""COMPUTED_VALUE"""),"")</f>
        <v/>
      </c>
      <c r="U5" s="33" t="str">
        <f>IFERROR(__xludf.DUMMYFUNCTION("""COMPUTED_VALUE"""),"")</f>
        <v/>
      </c>
      <c r="V5" s="33" t="str">
        <f>IFERROR(__xludf.DUMMYFUNCTION("""COMPUTED_VALUE"""),"")</f>
        <v/>
      </c>
      <c r="W5" s="33" t="str">
        <f>IFERROR(__xludf.DUMMYFUNCTION("""COMPUTED_VALUE"""),"")</f>
        <v/>
      </c>
      <c r="X5" s="33" t="str">
        <f>IFERROR(__xludf.DUMMYFUNCTION("""COMPUTED_VALUE"""),"")</f>
        <v/>
      </c>
      <c r="Y5" s="33" t="str">
        <f>IFERROR(__xludf.DUMMYFUNCTION("""COMPUTED_VALUE"""),"")</f>
        <v/>
      </c>
      <c r="Z5" s="33" t="str">
        <f>IFERROR(__xludf.DUMMYFUNCTION("""COMPUTED_VALUE"""),"")</f>
        <v/>
      </c>
      <c r="AA5" s="33" t="str">
        <f>IFERROR(__xludf.DUMMYFUNCTION("""COMPUTED_VALUE"""),"")</f>
        <v/>
      </c>
      <c r="AB5" s="33" t="str">
        <f>IFERROR(__xludf.DUMMYFUNCTION("""COMPUTED_VALUE"""),"")</f>
        <v/>
      </c>
      <c r="AC5" s="33" t="str">
        <f>IFERROR(__xludf.DUMMYFUNCTION("""COMPUTED_VALUE"""),"")</f>
        <v/>
      </c>
      <c r="AD5" s="33" t="str">
        <f>IFERROR(__xludf.DUMMYFUNCTION("""COMPUTED_VALUE"""),"")</f>
        <v/>
      </c>
      <c r="AE5" s="33" t="str">
        <f>IFERROR(__xludf.DUMMYFUNCTION("""COMPUTED_VALUE"""),"")</f>
        <v/>
      </c>
      <c r="AF5" s="33" t="str">
        <f>IFERROR(__xludf.DUMMYFUNCTION("""COMPUTED_VALUE"""),"")</f>
        <v/>
      </c>
      <c r="AG5" s="33" t="str">
        <f>IFERROR(__xludf.DUMMYFUNCTION("""COMPUTED_VALUE"""),"")</f>
        <v/>
      </c>
      <c r="AH5" s="33" t="str">
        <f>IFERROR(__xludf.DUMMYFUNCTION("""COMPUTED_VALUE"""),"")</f>
        <v/>
      </c>
      <c r="AI5" s="33" t="str">
        <f>IFERROR(__xludf.DUMMYFUNCTION("""COMPUTED_VALUE"""),"")</f>
        <v/>
      </c>
      <c r="AJ5" s="33" t="str">
        <f>IFERROR(__xludf.DUMMYFUNCTION("""COMPUTED_VALUE"""),"")</f>
        <v/>
      </c>
      <c r="AK5" s="33" t="str">
        <f>IFERROR(__xludf.DUMMYFUNCTION("""COMPUTED_VALUE"""),"")</f>
        <v/>
      </c>
      <c r="AL5" s="33" t="str">
        <f>IFERROR(__xludf.DUMMYFUNCTION("""COMPUTED_VALUE"""),"")</f>
        <v/>
      </c>
      <c r="AM5" s="33" t="str">
        <f>IFERROR(__xludf.DUMMYFUNCTION("""COMPUTED_VALUE"""),"")</f>
        <v/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10"/>
      <c r="B6" s="46" t="s">
        <v>32</v>
      </c>
      <c r="C6" s="42">
        <v>42786.0</v>
      </c>
      <c r="D6" s="42">
        <v>42791.0</v>
      </c>
      <c r="E6" s="5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2"/>
      <c r="B3" s="8" t="s">
        <v>5</v>
      </c>
      <c r="C3" s="23" t="s">
        <v>33</v>
      </c>
      <c r="D3" s="8" t="s">
        <v>7</v>
      </c>
      <c r="E3" s="23" t="s">
        <v>35</v>
      </c>
      <c r="F3" s="8" t="s">
        <v>14</v>
      </c>
      <c r="G3" s="12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8" t="str">
        <f>IFERROR(__xludf.DUMMYFUNCTION("""COMPUTED_VALUE"""),"RenameTradeAttributes")</f>
        <v>RenameTradeAttributes</v>
      </c>
      <c r="Q4" s="28" t="str">
        <f>IFERROR(__xludf.DUMMYFUNCTION("""COMPUTED_VALUE"""),"SetGroupingRules")</f>
        <v>SetGroupingRules</v>
      </c>
      <c r="R4" s="28" t="str">
        <f>IFERROR(__xludf.DUMMYFUNCTION("""COMPUTED_VALUE"""),"SetMasterFundRatio")</f>
        <v>SetMasterFundRatio</v>
      </c>
      <c r="S4" s="28" t="str">
        <f>IFERROR(__xludf.DUMMYFUNCTION("""COMPUTED_VALUE"""),"CheckFixedPreference")</f>
        <v>CheckFixedPreference</v>
      </c>
      <c r="T4" s="28" t="str">
        <f>IFERROR(__xludf.DUMMYFUNCTION("""COMPUTED_VALUE"""),"GetFixedPreference")</f>
        <v>GetFixedPreference</v>
      </c>
      <c r="U4" s="28" t="str">
        <f>IFERROR(__xludf.DUMMYFUNCTION("""COMPUTED_VALUE"""),"AddCalculatedPreferences")</f>
        <v>AddCalculatedPreferences</v>
      </c>
      <c r="V4" s="28" t="str">
        <f>IFERROR(__xludf.DUMMYFUNCTION("""COMPUTED_VALUE"""),"BulkChangeCalculatedPreferences")</f>
        <v>BulkChangeCalculatedPreferences</v>
      </c>
      <c r="W4" s="28" t="str">
        <f>IFERROR(__xludf.DUMMYFUNCTION("""COMPUTED_VALUE"""),"DeleteCalculatedPreferences")</f>
        <v>DeleteCalculatedPreferences</v>
      </c>
      <c r="X4" s="28" t="str">
        <f>IFERROR(__xludf.DUMMYFUNCTION("""COMPUTED_VALUE"""),"RenameCalculatedPreferences")</f>
        <v>RenameCalculatedPreferences</v>
      </c>
      <c r="Y4" s="28" t="str">
        <f>IFERROR(__xludf.DUMMYFUNCTION("""COMPUTED_VALUE"""),"CopyCalculatedPreferences")</f>
        <v>CopyCalculatedPreferences</v>
      </c>
      <c r="Z4" s="28" t="str">
        <f>IFERROR(__xludf.DUMMYFUNCTION("""COMPUTED_VALUE"""),"RunAutoGroup")</f>
        <v>RunAutoGroup</v>
      </c>
      <c r="AA4" s="28" t="str">
        <f>IFERROR(__xludf.DUMMYFUNCTION("""COMPUTED_VALUE"""),"BookOrUpdateSwap")</f>
        <v>BookOrUpdateSwap</v>
      </c>
      <c r="AB4" s="28" t="str">
        <f>IFERROR(__xludf.DUMMYFUNCTION("""COMPUTED_VALUE"""),"RunProrata")</f>
        <v>RunProrata</v>
      </c>
      <c r="AC4" s="28" t="str">
        <f>IFERROR(__xludf.DUMMYFUNCTION("""COMPUTED_VALUE"""),"SetDefaultRuleCalculatedPref")</f>
        <v>SetDefaultRuleCalculatedPref</v>
      </c>
      <c r="AD4" s="28" t="str">
        <f>IFERROR(__xludf.DUMMYFUNCTION("""COMPUTED_VALUE"""),"SetAccountValueCalculatedPref")</f>
        <v>SetAccountValueCalculatedPref</v>
      </c>
      <c r="AE4" s="28" t="str">
        <f>IFERROR(__xludf.DUMMYFUNCTION("""COMPUTED_VALUE"""),"TradeAttributeBulkChangeGroups")</f>
        <v>TradeAttributeBulkChangeGroups</v>
      </c>
      <c r="AF4" s="28" t="str">
        <f>IFERROR(__xludf.DUMMYFUNCTION("""COMPUTED_VALUE"""),"TradeAttributeBulkChangeTaxlots")</f>
        <v>TradeAttributeBulkChangeTaxlots</v>
      </c>
      <c r="AG4" s="28" t="str">
        <f>IFERROR(__xludf.DUMMYFUNCTION("""COMPUTED_VALUE"""),"AddCalculatedPreferenceToolbar")</f>
        <v>AddCalculatedPreferenceToolbar</v>
      </c>
      <c r="AH4" s="28" t="str">
        <f>IFERROR(__xludf.DUMMYFUNCTION("""COMPUTED_VALUE"""),"SetStrategyValueCalculatedPref")</f>
        <v>SetStrategyValueCalculatedPref</v>
      </c>
      <c r="AI4" s="28" t="str">
        <f>IFERROR(__xludf.DUMMYFUNCTION("""COMPUTED_VALUE"""),"ApplyBulkUpdateOnTaxlots")</f>
        <v>ApplyBulkUpdateOnTaxlots</v>
      </c>
      <c r="AJ4" s="28" t="str">
        <f>IFERROR(__xludf.DUMMYFUNCTION("""COMPUTED_VALUE"""),"CommissionBulkChangeOnGroups")</f>
        <v>CommissionBulkChangeOnGroups</v>
      </c>
      <c r="AK4" s="28" t="str">
        <f>IFERROR(__xludf.DUMMYFUNCTION("""COMPUTED_VALUE"""),"CommissionBulkChangeOnTaxlots")</f>
        <v>CommissionBulkChangeOnTaxlots</v>
      </c>
      <c r="AL4" s="28" t="str">
        <f>IFERROR(__xludf.DUMMYFUNCTION("""COMPUTED_VALUE"""),"SelectUnallocatedGroup")</f>
        <v>SelectUnallocatedGroup</v>
      </c>
      <c r="AM4" s="28" t="str">
        <f>IFERROR(__xludf.DUMMYFUNCTION("""COMPUTED_VALUE"""),"EnterAccountValuesToAllocate")</f>
        <v>EnterAccountValuesToAllocate</v>
      </c>
      <c r="AN4" s="28" t="str">
        <f>IFERROR(__xludf.DUMMYFUNCTION("""COMPUTED_VALUE"""),"EnterAllocatePreference")</f>
        <v>EnterAllocatePreference</v>
      </c>
      <c r="AO4" s="28" t="str">
        <f>IFERROR(__xludf.DUMMYFUNCTION("""COMPUTED_VALUE"""),"EnterStrategyValuesToAllocate")</f>
        <v>EnterStrategyValuesToAllocate</v>
      </c>
      <c r="AP4" s="28" t="str">
        <f>IFERROR(__xludf.DUMMYFUNCTION("""COMPUTED_VALUE"""),"CopyCalculatedPreferenceToolbar")</f>
        <v>CopyCalculatedPreferenceToolbar</v>
      </c>
      <c r="AQ4" s="28" t="str">
        <f>IFERROR(__xludf.DUMMYFUNCTION("""COMPUTED_VALUE"""),"SetGeneralRuleCalculatedPref")</f>
        <v>SetGeneralRuleCalculatedPref</v>
      </c>
      <c r="AR4" s="28" t="str">
        <f>IFERROR(__xludf.DUMMYFUNCTION("""COMPUTED_VALUE"""),"ExportAllCalculatedPreferences")</f>
        <v>ExportAllCalculatedPreferences</v>
      </c>
      <c r="AS4" s="28" t="str">
        <f>IFERROR(__xludf.DUMMYFUNCTION("""COMPUTED_VALUE"""),"SaveCalculatedPreferences")</f>
        <v>SaveCalculatedPreferences</v>
      </c>
      <c r="AT4" s="28" t="str">
        <f>IFERROR(__xludf.DUMMYFUNCTION("""COMPUTED_VALUE"""),"CloseCalculatedPreferences")</f>
        <v>CloseCalculatedPreferences</v>
      </c>
      <c r="AU4" s="28" t="str">
        <f>IFERROR(__xludf.DUMMYFUNCTION("""COMPUTED_VALUE"""),"ExportCalculatedPreference")</f>
        <v>ExportCalculatedPreference</v>
      </c>
      <c r="AV4" s="28" t="str">
        <f>IFERROR(__xludf.DUMMYFUNCTION("""COMPUTED_VALUE"""),"ImportCalculatedPreferences")</f>
        <v>ImportCalculatedPreferences</v>
      </c>
      <c r="AW4" s="28" t="str">
        <f>IFERROR(__xludf.DUMMYFUNCTION("""COMPUTED_VALUE"""),"OpenAuditTrailUnallocatedGroup")</f>
        <v>OpenAuditTrailUnallocatedGroup</v>
      </c>
      <c r="AX4" s="28" t="str">
        <f>IFERROR(__xludf.DUMMYFUNCTION("""COMPUTED_VALUE"""),"DeleteCalculatedPreferencesTool")</f>
        <v>DeleteCalculatedPreferencesTool</v>
      </c>
      <c r="AY4" s="28" t="str">
        <f>IFERROR(__xludf.DUMMYFUNCTION("""COMPUTED_VALUE"""),"ImportCalculatedPreferencesTool")</f>
        <v>ImportCalculatedPreferencesTool</v>
      </c>
      <c r="AZ4" s="28" t="str">
        <f>IFERROR(__xludf.DUMMYFUNCTION("""COMPUTED_VALUE"""),"ExportAllCalculatedPreferTool")</f>
        <v>ExportAllCalculatedPreferTool</v>
      </c>
      <c r="BA4" s="28" t="str">
        <f>IFERROR(__xludf.DUMMYFUNCTION("""COMPUTED_VALUE"""),"OpenAuditTrailAllocatedGroup")</f>
        <v>OpenAuditTrailAllocatedGroup</v>
      </c>
      <c r="BB4" s="28" t="str">
        <f>IFERROR(__xludf.DUMMYFUNCTION("""COMPUTED_VALUE"""),"OpenSymbolLookupUnallocateGroup")</f>
        <v>OpenSymbolLookupUnallocateGroup</v>
      </c>
      <c r="BC4" s="28" t="str">
        <f>IFERROR(__xludf.DUMMYFUNCTION("""COMPUTED_VALUE"""),"OpenSymbolLookupAllocatedGroup")</f>
        <v>OpenSymbolLookupAllocatedGroup</v>
      </c>
      <c r="BD4" s="28" t="str">
        <f>IFERROR(__xludf.DUMMYFUNCTION("""COMPUTED_VALUE"""),"DeleteFixedPreference")</f>
        <v>DeleteFixedPreference</v>
      </c>
      <c r="BE4" s="28" t="str">
        <f>IFERROR(__xludf.DUMMYFUNCTION("""COMPUTED_VALUE"""),"EditAllocatedGroupSidePanel")</f>
        <v>EditAllocatedGroupSidePanel</v>
      </c>
      <c r="BF4" s="28" t="str">
        <f>IFERROR(__xludf.DUMMYFUNCTION("""COMPUTED_VALUE"""),"CheckUnallocatedGroups")</f>
        <v>CheckUnallocatedGroups</v>
      </c>
      <c r="BG4" s="28" t="str">
        <f>IFERROR(__xludf.DUMMYFUNCTION("""COMPUTED_VALUE"""),"SetGeneralPreferences")</f>
        <v>SetGeneralPreferences</v>
      </c>
      <c r="BH4" s="28" t="str">
        <f>IFERROR(__xludf.DUMMYFUNCTION("""COMPUTED_VALUE"""),"GroupTrades")</f>
        <v>GroupTrades</v>
      </c>
      <c r="BI4" s="28" t="str">
        <f>IFERROR(__xludf.DUMMYFUNCTION("""COMPUTED_VALUE"""),"UngroupTrades")</f>
        <v>UngroupTrades</v>
      </c>
      <c r="BJ4" s="28" t="str">
        <f>IFERROR(__xludf.DUMMYFUNCTION("""COMPUTED_VALUE"""),"DeleteGroup")</f>
        <v>DeleteGroup</v>
      </c>
      <c r="BK4" s="28" t="str">
        <f>IFERROR(__xludf.DUMMYFUNCTION("""COMPUTED_VALUE"""),"CloseOrder")</f>
        <v>CloseOrder</v>
      </c>
      <c r="BL4" s="28" t="str">
        <f>IFERROR(__xludf.DUMMYFUNCTION("""COMPUTED_VALUE"""),"Unallocate")</f>
        <v>Unallocate</v>
      </c>
      <c r="BM4" s="28" t="str">
        <f>IFERROR(__xludf.DUMMYFUNCTION("""COMPUTED_VALUE"""),"CloseAllocation")</f>
        <v>CloseAllocation</v>
      </c>
      <c r="BN4" s="28" t="str">
        <f>IFERROR(__xludf.DUMMYFUNCTION("""COMPUTED_VALUE"""),"UpdateGRAccountValue")</f>
        <v>UpdateGRAccountValue</v>
      </c>
      <c r="BO4" s="28" t="str">
        <f>IFERROR(__xludf.DUMMYFUNCTION("""COMPUTED_VALUE"""),"UpdateGRStrategyValue")</f>
        <v>UpdateGRStrategyValue</v>
      </c>
      <c r="BP4" s="28" t="str">
        <f>IFERROR(__xludf.DUMMYFUNCTION("""COMPUTED_VALUE"""),"UpdateGRDefaultRule")</f>
        <v>UpdateGRDefaultRule</v>
      </c>
      <c r="BQ4" s="28" t="str">
        <f>IFERROR(__xludf.DUMMYFUNCTION("""COMPUTED_VALUE"""),"UpdateGeneralRulePref")</f>
        <v>UpdateGeneralRulePref</v>
      </c>
      <c r="BR4" s="28" t="str">
        <f>IFERROR(__xludf.DUMMYFUNCTION("""COMPUTED_VALUE"""),"ModifyGRPreferenceValues")</f>
        <v>ModifyGRPreferenceValues</v>
      </c>
      <c r="BS4" s="28" t="str">
        <f>IFERROR(__xludf.DUMMYFUNCTION("""COMPUTED_VALUE"""),"AddMFPreferences")</f>
        <v>AddMFPreferences</v>
      </c>
      <c r="BT4" s="28" t="str">
        <f>IFERROR(__xludf.DUMMYFUNCTION("""COMPUTED_VALUE"""),"AddMFPreferenceToolbar")</f>
        <v>AddMFPreferenceToolbar</v>
      </c>
      <c r="BU4" s="28" t="str">
        <f>IFERROR(__xludf.DUMMYFUNCTION("""COMPUTED_VALUE"""),"DeleteMFPreferences")</f>
        <v>DeleteMFPreferences</v>
      </c>
      <c r="BV4" s="28" t="str">
        <f>IFERROR(__xludf.DUMMYFUNCTION("""COMPUTED_VALUE"""),"DeleteMFPreferenceToolbar")</f>
        <v>DeleteMFPreferenceToolbar</v>
      </c>
      <c r="BW4" s="28" t="str">
        <f>IFERROR(__xludf.DUMMYFUNCTION("""COMPUTED_VALUE"""),"RenameMFPreferences")</f>
        <v>RenameMFPreferences</v>
      </c>
      <c r="BX4" s="28" t="str">
        <f>IFERROR(__xludf.DUMMYFUNCTION("""COMPUTED_VALUE"""),"SaveCloseMFPreference")</f>
        <v>SaveCloseMFPreference</v>
      </c>
      <c r="BY4" s="28" t="str">
        <f>IFERROR(__xludf.DUMMYFUNCTION("""COMPUTED_VALUE"""),"SetMFPrefAccountValues")</f>
        <v>SetMFPrefAccountValues</v>
      </c>
      <c r="BZ4" s="28" t="str">
        <f>IFERROR(__xludf.DUMMYFUNCTION("""COMPUTED_VALUE"""),"ModifyMFPrefGeneralRuleValues")</f>
        <v>ModifyMFPrefGeneralRuleValues</v>
      </c>
      <c r="CA4" s="28" t="str">
        <f>IFERROR(__xludf.DUMMYFUNCTION("""COMPUTED_VALUE"""),"SetMFPrefStrategyValues")</f>
        <v>SetMFPrefStrategyValues</v>
      </c>
      <c r="CB4" s="28" t="str">
        <f>IFERROR(__xludf.DUMMYFUNCTION("""COMPUTED_VALUE"""),"SetMFPrefGeneralRule")</f>
        <v>SetMFPrefGeneralRule</v>
      </c>
      <c r="CC4" s="28" t="str">
        <f>IFERROR(__xludf.DUMMYFUNCTION("""COMPUTED_VALUE"""),"SetMFPrefFundDistribution")</f>
        <v>SetMFPrefFundDistribution</v>
      </c>
      <c r="CD4" s="28" t="str">
        <f>IFERROR(__xludf.DUMMYFUNCTION("""COMPUTED_VALUE"""),"SetMFPreferencesDefaultRule")</f>
        <v>SetMFPreferencesDefaultRule</v>
      </c>
      <c r="CE4" s="28" t="str">
        <f>IFERROR(__xludf.DUMMYFUNCTION("""COMPUTED_VALUE"""),"SetMFPrefFundDefaultRule")</f>
        <v>SetMFPrefFundDefaultRule</v>
      </c>
      <c r="CF4" s="28" t="str">
        <f>IFERROR(__xludf.DUMMYFUNCTION("""COMPUTED_VALUE"""),"ClearPrefetchFilters")</f>
        <v>ClearPrefetchFilters</v>
      </c>
      <c r="CG4" s="28" t="str">
        <f>IFERROR(__xludf.DUMMYFUNCTION("""COMPUTED_VALUE"""),"ExpandCollapseAllUnallocated")</f>
        <v>ExpandCollapseAllUnallocated</v>
      </c>
      <c r="CH4" s="28" t="str">
        <f>IFERROR(__xludf.DUMMYFUNCTION("""COMPUTED_VALUE"""),"ExpandCollapseAllAllocated")</f>
        <v>ExpandCollapseAllAllocated</v>
      </c>
      <c r="CI4" s="28" t="str">
        <f>IFERROR(__xludf.DUMMYFUNCTION("""COMPUTED_VALUE"""),"GenerateCashTransaction")</f>
        <v>GenerateCashTransaction</v>
      </c>
      <c r="CJ4" s="28" t="str">
        <f>IFERROR(__xludf.DUMMYFUNCTION("""COMPUTED_VALUE"""),"SaveAllocation")</f>
        <v>SaveAllocation</v>
      </c>
      <c r="CK4" s="28" t="str">
        <f>IFERROR(__xludf.DUMMYFUNCTION("""COMPUTED_VALUE"""),"UnallocateWithOutSave")</f>
        <v>UnallocateWithOutSave</v>
      </c>
      <c r="CL4" s="28" t="str">
        <f>IFERROR(__xludf.DUMMYFUNCTION("""COMPUTED_VALUE"""),"EditUnallocatedGrid")</f>
        <v>EditUnallocatedGrid</v>
      </c>
      <c r="CM4" s="28" t="str">
        <f>IFERROR(__xludf.DUMMYFUNCTION("""COMPUTED_VALUE"""),"EditAllocatedGrid")</f>
        <v>EditAllocatedGrid</v>
      </c>
      <c r="CN4" s="28" t="str">
        <f>IFERROR(__xludf.DUMMYFUNCTION("""COMPUTED_VALUE"""),"SaveLayoutAllocatedGrid")</f>
        <v>SaveLayoutAllocatedGrid</v>
      </c>
      <c r="CO4" s="28" t="str">
        <f>IFERROR(__xludf.DUMMYFUNCTION("""COMPUTED_VALUE"""),"SaveLayoutUnallocatedGrid")</f>
        <v>SaveLayoutUnallocatedGrid</v>
      </c>
      <c r="CP4" s="28" t="str">
        <f>IFERROR(__xludf.DUMMYFUNCTION("""COMPUTED_VALUE"""),"SaveLayoutAllocationUI")</f>
        <v>SaveLayoutAllocationUI</v>
      </c>
      <c r="CQ4" s="28" t="str">
        <f>IFERROR(__xludf.DUMMYFUNCTION("""COMPUTED_VALUE"""),"ClearFiltersAllocatedGrid")</f>
        <v>ClearFiltersAllocatedGrid</v>
      </c>
      <c r="CR4" s="28" t="str">
        <f>IFERROR(__xludf.DUMMYFUNCTION("""COMPUTED_VALUE"""),"ClearFiltersUnallocatedGrid")</f>
        <v>ClearFiltersUnallocatedGrid</v>
      </c>
      <c r="CS4" s="28" t="str">
        <f>IFERROR(__xludf.DUMMYFUNCTION("""COMPUTED_VALUE"""),"VerifyLayoutAllocatedGrid")</f>
        <v>VerifyLayoutAllocatedGrid</v>
      </c>
      <c r="CT4" s="28" t="str">
        <f>IFERROR(__xludf.DUMMYFUNCTION("""COMPUTED_VALUE"""),"VerifyLayoutUnallocatedGrid")</f>
        <v>VerifyLayoutUnallocatedGrid</v>
      </c>
      <c r="CU4" s="28" t="str">
        <f>IFERROR(__xludf.DUMMYFUNCTION("""COMPUTED_VALUE"""),"CleanUp")</f>
        <v>CleanUp</v>
      </c>
      <c r="CV4" s="28" t="str">
        <f>IFERROR(__xludf.DUMMYFUNCTION("""COMPUTED_VALUE"""),"CheckAllocatedTaxlots")</f>
        <v>CheckAllocatedTaxlots</v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 Name")</f>
        <v>Account Name</v>
      </c>
      <c r="C5" s="30" t="str">
        <f>IFERROR(__xludf.DUMMYFUNCTION("""COMPUTED_VALUE"""),"Accrual Basis")</f>
        <v>Accrual Basis</v>
      </c>
      <c r="D5" s="30" t="str">
        <f>IFERROR(__xludf.DUMMYFUNCTION("""COMPUTED_VALUE"""),"Accrued Interest")</f>
        <v>Accrued Interest</v>
      </c>
      <c r="E5" s="30" t="str">
        <f>IFERROR(__xludf.DUMMYFUNCTION("""COMPUTED_VALUE"""),"Allocated Qty")</f>
        <v>Allocated Qty</v>
      </c>
      <c r="F5" s="31" t="str">
        <f>IFERROR(__xludf.DUMMYFUNCTION("""COMPUTED_VALUE"""),"Allocation Scheme Name")</f>
        <v>Allocation Scheme Name</v>
      </c>
      <c r="G5" s="30" t="str">
        <f>IFERROR(__xludf.DUMMYFUNCTION("""COMPUTED_VALUE"""),"Asset Category")</f>
        <v>Asset Category</v>
      </c>
      <c r="H5" s="30" t="str">
        <f>IFERROR(__xludf.DUMMYFUNCTION("""COMPUTED_VALUE"""),"AUEC Fee1")</f>
        <v>AUEC Fee1</v>
      </c>
      <c r="I5" s="30" t="str">
        <f>IFERROR(__xludf.DUMMYFUNCTION("""COMPUTED_VALUE"""),"AUEC Fee2")</f>
        <v>AUEC Fee2</v>
      </c>
      <c r="J5" s="30" t="str">
        <f>IFERROR(__xludf.DUMMYFUNCTION("""COMPUTED_VALUE"""),"AUECID")</f>
        <v>AUECID</v>
      </c>
      <c r="K5" s="30" t="str">
        <f>IFERROR(__xludf.DUMMYFUNCTION("""COMPUTED_VALUE"""),"Avg Price(Base)")</f>
        <v>Avg Price(Base)</v>
      </c>
      <c r="L5" s="30" t="str">
        <f>IFERROR(__xludf.DUMMYFUNCTION("""COMPUTED_VALUE"""),"Avg Price(Local)")</f>
        <v>Avg Price(Local)</v>
      </c>
      <c r="M5" s="30" t="str">
        <f>IFERROR(__xludf.DUMMYFUNCTION("""COMPUTED_VALUE"""),"Bloomberg")</f>
        <v>Bloomberg</v>
      </c>
      <c r="N5" s="30" t="str">
        <f>IFERROR(__xludf.DUMMYFUNCTION("""COMPUTED_VALUE"""),"Bond Type")</f>
        <v>Bond Type</v>
      </c>
      <c r="O5" s="30" t="str">
        <f>IFERROR(__xludf.DUMMYFUNCTION("""COMPUTED_VALUE"""),"Broker")</f>
        <v>Broker</v>
      </c>
      <c r="P5" s="30" t="str">
        <f>IFERROR(__xludf.DUMMYFUNCTION("""COMPUTED_VALUE"""),"Change Comment")</f>
        <v>Change Comment</v>
      </c>
      <c r="Q5" s="30" t="str">
        <f>IFERROR(__xludf.DUMMYFUNCTION("""COMPUTED_VALUE"""),"Change Type")</f>
        <v>Change Type</v>
      </c>
      <c r="R5" s="30" t="str">
        <f>IFERROR(__xludf.DUMMYFUNCTION("""COMPUTED_VALUE"""),"Clearing Broker Fee")</f>
        <v>Clearing Broker Fee</v>
      </c>
      <c r="S5" s="30" t="str">
        <f>IFERROR(__xludf.DUMMYFUNCTION("""COMPUTED_VALUE"""),"Closing Status")</f>
        <v>Closing Status</v>
      </c>
      <c r="T5" s="33" t="str">
        <f>IFERROR(__xludf.DUMMYFUNCTION("""COMPUTED_VALUE"""),"Commission")</f>
        <v>Commission</v>
      </c>
      <c r="U5" s="33" t="str">
        <f>IFERROR(__xludf.DUMMYFUNCTION("""COMPUTED_VALUE"""),"Commission Per Share")</f>
        <v>Commission Per Share</v>
      </c>
      <c r="V5" s="33" t="str">
        <f>IFERROR(__xludf.DUMMYFUNCTION("""COMPUTED_VALUE"""),"Company")</f>
        <v>Company</v>
      </c>
      <c r="W5" s="33" t="str">
        <f>IFERROR(__xludf.DUMMYFUNCTION("""COMPUTED_VALUE"""),"Contract Multiplier")</f>
        <v>Contract Multiplier</v>
      </c>
      <c r="X5" s="33" t="str">
        <f>IFERROR(__xludf.DUMMYFUNCTION("""COMPUTED_VALUE"""),"Coupon Rate")</f>
        <v>Coupon Rate</v>
      </c>
      <c r="Y5" s="33" t="str">
        <f>IFERROR(__xludf.DUMMYFUNCTION("""COMPUTED_VALUE"""),"Cum Qty For Sub Order")</f>
        <v>Cum Qty For Sub Order</v>
      </c>
      <c r="Z5" s="33" t="str">
        <f>IFERROR(__xludf.DUMMYFUNCTION("""COMPUTED_VALUE"""),"Currency")</f>
        <v>Currency</v>
      </c>
      <c r="AA5" s="33" t="str">
        <f>IFERROR(__xludf.DUMMYFUNCTION("""COMPUTED_VALUE"""),"Cusip Symbol")</f>
        <v>Cusip Symbol</v>
      </c>
      <c r="AB5" s="33" t="str">
        <f>IFERROR(__xludf.DUMMYFUNCTION("""COMPUTED_VALUE"""),"Delta")</f>
        <v>Delta</v>
      </c>
      <c r="AC5" s="33" t="str">
        <f>IFERROR(__xludf.DUMMYFUNCTION("""COMPUTED_VALUE"""),"Description")</f>
        <v>Description</v>
      </c>
      <c r="AD5" s="33" t="str">
        <f>IFERROR(__xludf.DUMMYFUNCTION("""COMPUTED_VALUE"""),"Exchange")</f>
        <v>Exchange</v>
      </c>
      <c r="AE5" s="33" t="str">
        <f>IFERROR(__xludf.DUMMYFUNCTION("""COMPUTED_VALUE"""),"Executed Qty")</f>
        <v>Executed Qty</v>
      </c>
      <c r="AF5" s="33" t="str">
        <f>IFERROR(__xludf.DUMMYFUNCTION("""COMPUTED_VALUE"""),"Exceution Time")</f>
        <v>Exceution Time</v>
      </c>
      <c r="AG5" s="33" t="str">
        <f>IFERROR(__xludf.DUMMYFUNCTION("""COMPUTED_VALUE"""),"Expiration Date")</f>
        <v>Expiration Date</v>
      </c>
      <c r="AH5" s="33" t="str">
        <f>IFERROR(__xludf.DUMMYFUNCTION("""COMPUTED_VALUE"""),"FX Conversion Operator")</f>
        <v>FX Conversion Operator</v>
      </c>
      <c r="AI5" s="33" t="str">
        <f>IFERROR(__xludf.DUMMYFUNCTION("""COMPUTED_VALUE"""),"FX Rate")</f>
        <v>FX Rate</v>
      </c>
      <c r="AJ5" s="33" t="str">
        <f>IFERROR(__xludf.DUMMYFUNCTION("""COMPUTED_VALUE"""),"Group Status")</f>
        <v>Group Status</v>
      </c>
      <c r="AK5" s="33" t="str">
        <f>IFERROR(__xludf.DUMMYFUNCTION("""COMPUTED_VALUE"""),"IDCOSymbol")</f>
        <v>IDCOSymbol</v>
      </c>
      <c r="AL5" s="33" t="str">
        <f>IFERROR(__xludf.DUMMYFUNCTION("""COMPUTED_VALUE"""),"Import File Name")</f>
        <v>Import File Name</v>
      </c>
      <c r="AM5" s="33" t="str">
        <f>IFERROR(__xludf.DUMMYFUNCTION("""COMPUTED_VALUE"""),"Internal Comments")</f>
        <v>Internal Comments</v>
      </c>
      <c r="AN5" s="33" t="str">
        <f>IFERROR(__xludf.DUMMYFUNCTION("""COMPUTED_VALUE"""),"IsAnotherTaxlotAttributesUpdated")</f>
        <v>IsAnotherTaxlotAttributesUpdated</v>
      </c>
      <c r="AO5" s="33" t="str">
        <f>IFERROR(__xludf.DUMMYFUNCTION("""COMPUTED_VALUE"""),"ISIN")</f>
        <v>ISIN</v>
      </c>
      <c r="AP5" s="33" t="str">
        <f>IFERROR(__xludf.DUMMYFUNCTION("""COMPUTED_VALUE"""),"IsManualGroup")</f>
        <v>IsManualGroup</v>
      </c>
      <c r="AQ5" s="33" t="str">
        <f>IFERROR(__xludf.DUMMYFUNCTION("""COMPUTED_VALUE"""),"ISNDF")</f>
        <v>ISNDF</v>
      </c>
      <c r="AR5" s="33" t="str">
        <f>IFERROR(__xludf.DUMMYFUNCTION("""COMPUTED_VALUE"""),"IsPreAllocated")</f>
        <v>IsPreAllocated</v>
      </c>
      <c r="AS5" s="33" t="str">
        <f>IFERROR(__xludf.DUMMYFUNCTION("""COMPUTED_VALUE"""),"M2MProfitLoss")</f>
        <v>M2MProfitLoss</v>
      </c>
      <c r="AT5" s="33" t="str">
        <f>IFERROR(__xludf.DUMMYFUNCTION("""COMPUTED_VALUE"""),"Net Amount( Base)")</f>
        <v>Net Amount( Base)</v>
      </c>
      <c r="AU5" s="33" t="str">
        <f>IFERROR(__xludf.DUMMYFUNCTION("""COMPUTED_VALUE"""),"Net Amount( Local)")</f>
        <v>Net Amount( Local)</v>
      </c>
      <c r="AV5" s="33" t="str">
        <f>IFERROR(__xludf.DUMMYFUNCTION("""COMPUTED_VALUE"""),"Nirvana Process Date")</f>
        <v>Nirvana Process Date</v>
      </c>
      <c r="AW5" s="33" t="str">
        <f>IFERROR(__xludf.DUMMYFUNCTION("""COMPUTED_VALUE"""),"OCC Fee")</f>
        <v>OCC Fee</v>
      </c>
      <c r="AX5" s="33" t="str">
        <f>IFERROR(__xludf.DUMMYFUNCTION("""COMPUTED_VALUE"""),"Option Premium Adjustment")</f>
        <v>Option Premium Adjustment</v>
      </c>
      <c r="AY5" s="33" t="str">
        <f>IFERROR(__xludf.DUMMYFUNCTION("""COMPUTED_VALUE"""),"Order Type")</f>
        <v>Order Type</v>
      </c>
      <c r="AZ5" s="33" t="str">
        <f>IFERROR(__xludf.DUMMYFUNCTION("""COMPUTED_VALUE"""),"ORF Fee")</f>
        <v>ORF Fee</v>
      </c>
      <c r="BA5" s="33" t="str">
        <f>IFERROR(__xludf.DUMMYFUNCTION("""COMPUTED_VALUE"""),"Original Purchase Date")</f>
        <v>Original Purchase Date</v>
      </c>
      <c r="BB5" s="33" t="str">
        <f>IFERROR(__xludf.DUMMYFUNCTION("""COMPUTED_VALUE"""),"OSISSymbol")</f>
        <v>OSISSymbol</v>
      </c>
      <c r="BC5" s="33" t="str">
        <f>IFERROR(__xludf.DUMMYFUNCTION("""COMPUTED_VALUE"""),"Other Broker Fees")</f>
        <v>Other Broker Fees</v>
      </c>
      <c r="BD5" s="33" t="str">
        <f>IFERROR(__xludf.DUMMYFUNCTION("""COMPUTED_VALUE"""),"Prana Msg Type")</f>
        <v>Prana Msg Type</v>
      </c>
      <c r="BE5" s="33" t="str">
        <f>IFERROR(__xludf.DUMMYFUNCTION("""COMPUTED_VALUE"""),"Principal Amount( Base)")</f>
        <v>Principal Amount( Base)</v>
      </c>
      <c r="BF5" s="33" t="str">
        <f>IFERROR(__xludf.DUMMYFUNCTION("""COMPUTED_VALUE"""),"Principal Amount( Local)")</f>
        <v>Principal Amount( Local)</v>
      </c>
      <c r="BG5" s="33" t="str">
        <f>IFERROR(__xludf.DUMMYFUNCTION("""COMPUTED_VALUE"""),"Process Date")</f>
        <v>Process Date</v>
      </c>
      <c r="BH5" s="33" t="str">
        <f>IFERROR(__xludf.DUMMYFUNCTION("""COMPUTED_VALUE"""),"Proxy Symbol")</f>
        <v>Proxy Symbol</v>
      </c>
      <c r="BI5" s="33" t="str">
        <f>IFERROR(__xludf.DUMMYFUNCTION("""COMPUTED_VALUE"""),"Put Or Call")</f>
        <v>Put Or Call</v>
      </c>
      <c r="BJ5" s="33" t="str">
        <f>IFERROR(__xludf.DUMMYFUNCTION("""COMPUTED_VALUE"""),"Quantity")</f>
        <v>Quantity</v>
      </c>
      <c r="BK5" s="33" t="str">
        <f>IFERROR(__xludf.DUMMYFUNCTION("""COMPUTED_VALUE"""),"SEC Fee")</f>
        <v>SEC Fee</v>
      </c>
      <c r="BL5" s="33" t="str">
        <f>IFERROR(__xludf.DUMMYFUNCTION("""COMPUTED_VALUE"""),"Sedol Symbol")</f>
        <v>Sedol Symbol</v>
      </c>
      <c r="BM5" s="33" t="str">
        <f>IFERROR(__xludf.DUMMYFUNCTION("""COMPUTED_VALUE"""),"Settlement Currency")</f>
        <v>Settlement Currency</v>
      </c>
      <c r="BN5" s="33" t="str">
        <f>IFERROR(__xludf.DUMMYFUNCTION("""COMPUTED_VALUE"""),"Settlement Date")</f>
        <v>Settlement Date</v>
      </c>
      <c r="BO5" s="33" t="str">
        <f>IFERROR(__xludf.DUMMYFUNCTION("""COMPUTED_VALUE"""),"Side")</f>
        <v>Side</v>
      </c>
      <c r="BP5" s="33" t="str">
        <f>IFERROR(__xludf.DUMMYFUNCTION("""COMPUTED_VALUE"""),"Soft Commission")</f>
        <v>Soft Commission</v>
      </c>
      <c r="BQ5" s="33" t="str">
        <f>IFERROR(__xludf.DUMMYFUNCTION("""COMPUTED_VALUE"""),"Soft Commission Per Share")</f>
        <v>Soft Commission Per Share</v>
      </c>
      <c r="BR5" s="33" t="str">
        <f>IFERROR(__xludf.DUMMYFUNCTION("""COMPUTED_VALUE"""),"Stamp Duty")</f>
        <v>Stamp Duty</v>
      </c>
      <c r="BS5" s="33" t="str">
        <f>IFERROR(__xludf.DUMMYFUNCTION("""COMPUTED_VALUE"""),"Strategy Name")</f>
        <v>Strategy Name</v>
      </c>
      <c r="BT5" s="33" t="str">
        <f>IFERROR(__xludf.DUMMYFUNCTION("""COMPUTED_VALUE"""),"Symbol")</f>
        <v>Symbol</v>
      </c>
      <c r="BU5" s="33" t="str">
        <f>IFERROR(__xludf.DUMMYFUNCTION("""COMPUTED_VALUE"""),"Tax On Commissions")</f>
        <v>Tax On Commissions</v>
      </c>
      <c r="BV5" s="33" t="str">
        <f>IFERROR(__xludf.DUMMYFUNCTION("""COMPUTED_VALUE"""),"Total Commission")</f>
        <v>Total Commission</v>
      </c>
      <c r="BW5" s="33" t="str">
        <f>IFERROR(__xludf.DUMMYFUNCTION("""COMPUTED_VALUE"""),"Total Commission And Fee")</f>
        <v>Total Commission And Fee</v>
      </c>
      <c r="BX5" s="33" t="str">
        <f>IFERROR(__xludf.DUMMYFUNCTION("""COMPUTED_VALUE"""),"Total Commission Per Share")</f>
        <v>Total Commission Per Share</v>
      </c>
      <c r="BY5" s="33" t="str">
        <f>IFERROR(__xludf.DUMMYFUNCTION("""COMPUTED_VALUE"""),"Trade Attribute 1")</f>
        <v>Trade Attribute 1</v>
      </c>
      <c r="BZ5" s="33" t="str">
        <f>IFERROR(__xludf.DUMMYFUNCTION("""COMPUTED_VALUE"""),"Trade Attribute 2")</f>
        <v>Trade Attribute 2</v>
      </c>
      <c r="CA5" s="33" t="str">
        <f>IFERROR(__xludf.DUMMYFUNCTION("""COMPUTED_VALUE"""),"Trade Attribute 3")</f>
        <v>Trade Attribute 3</v>
      </c>
      <c r="CB5" s="33" t="str">
        <f>IFERROR(__xludf.DUMMYFUNCTION("""COMPUTED_VALUE"""),"Trade Attribute 4")</f>
        <v>Trade Attribute 4</v>
      </c>
      <c r="CC5" s="33" t="str">
        <f>IFERROR(__xludf.DUMMYFUNCTION("""COMPUTED_VALUE"""),"Trade Attribute 5")</f>
        <v>Trade Attribute 5</v>
      </c>
      <c r="CD5" s="33" t="str">
        <f>IFERROR(__xludf.DUMMYFUNCTION("""COMPUTED_VALUE"""),"Trade Attribute 6")</f>
        <v>Trade Attribute 6</v>
      </c>
      <c r="CE5" s="33" t="str">
        <f>IFERROR(__xludf.DUMMYFUNCTION("""COMPUTED_VALUE"""),"Trade Date")</f>
        <v>Trade Date</v>
      </c>
      <c r="CF5" s="33" t="str">
        <f>IFERROR(__xludf.DUMMYFUNCTION("""COMPUTED_VALUE"""),"Trading Account")</f>
        <v>Trading Account</v>
      </c>
      <c r="CG5" s="33" t="str">
        <f>IFERROR(__xludf.DUMMYFUNCTION("""COMPUTED_VALUE"""),"Transaction Levy")</f>
        <v>Transaction Levy</v>
      </c>
      <c r="CH5" s="33" t="str">
        <f>IFERROR(__xludf.DUMMYFUNCTION("""COMPUTED_VALUE"""),"Transaction Source")</f>
        <v>Transaction Source</v>
      </c>
      <c r="CI5" s="51" t="str">
        <f>IFERROR(__xludf.DUMMYFUNCTION("""COMPUTED_VALUE"""),"Transaction Type")</f>
        <v>Transaction Type</v>
      </c>
      <c r="CJ5" s="33" t="str">
        <f>IFERROR(__xludf.DUMMYFUNCTION("""COMPUTED_VALUE"""),"UnAllocatedQty")</f>
        <v>UnAllocatedQty</v>
      </c>
      <c r="CK5" s="33" t="str">
        <f>IFERROR(__xludf.DUMMYFUNCTION("""COMPUTED_VALUE"""),"Underlying")</f>
        <v>Underlying</v>
      </c>
      <c r="CL5" s="33" t="str">
        <f>IFERROR(__xludf.DUMMYFUNCTION("""COMPUTED_VALUE"""),"Underlying Delta")</f>
        <v>Underlying Delta</v>
      </c>
      <c r="CM5" s="33" t="str">
        <f>IFERROR(__xludf.DUMMYFUNCTION("""COMPUTED_VALUE"""),"Underlying Symbol")</f>
        <v>Underlying Symbol</v>
      </c>
      <c r="CN5" s="33" t="str">
        <f>IFERROR(__xludf.DUMMYFUNCTION("""COMPUTED_VALUE"""),"User")</f>
        <v>User</v>
      </c>
      <c r="CO5" s="33" t="str">
        <f>IFERROR(__xludf.DUMMYFUNCTION("""COMPUTED_VALUE"""),"Venue")</f>
        <v>Venue</v>
      </c>
      <c r="CP5" s="33" t="str">
        <f>IFERROR(__xludf.DUMMYFUNCTION("""COMPUTED_VALUE"""),"Closing Method")</f>
        <v>Closing Method</v>
      </c>
      <c r="CQ5" s="33" t="str">
        <f>IFERROR(__xludf.DUMMYFUNCTION("""COMPUTED_VALUE"""),"Closing Date")</f>
        <v>Closing Date</v>
      </c>
      <c r="CR5" s="33" t="str">
        <f>IFERROR(__xludf.DUMMYFUNCTION("""COMPUTED_VALUE"""),"GroupID")</f>
        <v>GroupID</v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10"/>
      <c r="B6" s="46" t="s">
        <v>18</v>
      </c>
      <c r="C6" s="37"/>
      <c r="D6" s="52"/>
      <c r="E6" s="39">
        <v>120.0</v>
      </c>
      <c r="F6" s="37"/>
      <c r="G6" s="37"/>
      <c r="H6" s="37"/>
      <c r="I6" s="53"/>
      <c r="J6" s="37"/>
      <c r="K6" s="37"/>
      <c r="L6" s="39"/>
      <c r="M6" s="37"/>
      <c r="N6" s="37"/>
      <c r="O6" s="37"/>
      <c r="P6" s="37"/>
      <c r="Q6" s="37"/>
      <c r="R6" s="37"/>
      <c r="S6" s="38" t="s">
        <v>36</v>
      </c>
      <c r="T6" s="37"/>
      <c r="V6" s="37"/>
      <c r="W6" s="37"/>
      <c r="X6" s="37"/>
      <c r="Y6" s="37"/>
      <c r="Z6" s="37"/>
      <c r="AA6" s="37"/>
      <c r="AB6" s="37"/>
      <c r="AC6" s="37"/>
      <c r="AD6" s="37"/>
      <c r="AE6" s="54">
        <v>120.0</v>
      </c>
      <c r="AF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8" t="s">
        <v>19</v>
      </c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54">
        <v>120.0</v>
      </c>
      <c r="BK6" s="37"/>
      <c r="BL6" s="37"/>
      <c r="BN6" s="37"/>
      <c r="BO6" s="37" t="s">
        <v>37</v>
      </c>
      <c r="BP6" s="37"/>
      <c r="BQ6" s="37"/>
      <c r="BR6" s="37"/>
      <c r="BS6" s="37"/>
      <c r="BT6" s="34" t="s">
        <v>16</v>
      </c>
      <c r="BV6" s="37"/>
      <c r="BW6" s="37"/>
      <c r="BX6" s="37"/>
      <c r="BY6" s="37"/>
      <c r="CA6" s="37"/>
      <c r="CB6" s="37"/>
      <c r="CC6" s="37"/>
      <c r="CD6" s="37"/>
      <c r="CE6" s="37"/>
      <c r="CF6" s="37"/>
      <c r="CG6" s="37"/>
      <c r="CH6" s="37"/>
      <c r="CI6" s="55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</row>
    <row r="7" ht="15.75" customHeight="1">
      <c r="A7" s="7"/>
      <c r="B7" s="35" t="s">
        <v>18</v>
      </c>
      <c r="C7" s="37"/>
      <c r="D7" s="37"/>
      <c r="E7" s="41">
        <v>100.0</v>
      </c>
      <c r="F7" s="37"/>
      <c r="G7" s="37"/>
      <c r="H7" s="37"/>
      <c r="I7" s="53"/>
      <c r="J7" s="37"/>
      <c r="K7" s="37"/>
      <c r="L7" s="39"/>
      <c r="M7" s="37"/>
      <c r="N7" s="37"/>
      <c r="O7" s="37"/>
      <c r="P7" s="37"/>
      <c r="Q7" s="37"/>
      <c r="R7" s="37"/>
      <c r="S7" s="37" t="s">
        <v>38</v>
      </c>
      <c r="T7" s="37"/>
      <c r="V7" s="37"/>
      <c r="W7" s="37"/>
      <c r="X7" s="37"/>
      <c r="Y7" s="37"/>
      <c r="Z7" s="37"/>
      <c r="AA7" s="37"/>
      <c r="AB7" s="37"/>
      <c r="AC7" s="37"/>
      <c r="AD7" s="37"/>
      <c r="AE7" s="56">
        <v>100.0</v>
      </c>
      <c r="AF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8" t="s">
        <v>19</v>
      </c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56">
        <v>100.0</v>
      </c>
      <c r="BK7" s="37"/>
      <c r="BL7" s="37"/>
      <c r="BN7" s="37"/>
      <c r="BO7" s="37" t="s">
        <v>20</v>
      </c>
      <c r="BP7" s="37"/>
      <c r="BQ7" s="37"/>
      <c r="BR7" s="37"/>
      <c r="BS7" s="37"/>
      <c r="BT7" s="34" t="s">
        <v>16</v>
      </c>
      <c r="BV7" s="37"/>
      <c r="BW7" s="37"/>
      <c r="BX7" s="37"/>
      <c r="BY7" s="37"/>
      <c r="CA7" s="37"/>
      <c r="CB7" s="37"/>
      <c r="CC7" s="37"/>
      <c r="CD7" s="37"/>
      <c r="CE7" s="37"/>
      <c r="CF7" s="37"/>
      <c r="CG7" s="37"/>
      <c r="CH7" s="37"/>
      <c r="CI7" s="5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</row>
    <row r="8" ht="15.75" customHeight="1">
      <c r="A8" s="7"/>
      <c r="B8" s="46" t="s">
        <v>18</v>
      </c>
      <c r="C8" s="37"/>
      <c r="D8" s="52"/>
      <c r="E8" s="39">
        <v>120.0</v>
      </c>
      <c r="F8" s="37"/>
      <c r="G8" s="37"/>
      <c r="H8" s="37"/>
      <c r="I8" s="53"/>
      <c r="J8" s="37"/>
      <c r="K8" s="37"/>
      <c r="L8" s="39"/>
      <c r="M8" s="37"/>
      <c r="N8" s="37"/>
      <c r="O8" s="37"/>
      <c r="P8" s="37"/>
      <c r="Q8" s="37"/>
      <c r="R8" s="37"/>
      <c r="S8" s="38" t="s">
        <v>36</v>
      </c>
      <c r="T8" s="37"/>
      <c r="V8" s="37"/>
      <c r="W8" s="37"/>
      <c r="X8" s="37"/>
      <c r="Y8" s="37"/>
      <c r="Z8" s="37"/>
      <c r="AA8" s="37"/>
      <c r="AB8" s="37"/>
      <c r="AC8" s="37"/>
      <c r="AD8" s="37"/>
      <c r="AE8" s="54">
        <v>120.0</v>
      </c>
      <c r="AF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8" t="s">
        <v>19</v>
      </c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54">
        <v>120.0</v>
      </c>
      <c r="BK8" s="37"/>
      <c r="BL8" s="37"/>
      <c r="BN8" s="37"/>
      <c r="BO8" s="37" t="s">
        <v>37</v>
      </c>
      <c r="BP8" s="37"/>
      <c r="BQ8" s="37"/>
      <c r="BR8" s="37"/>
      <c r="BS8" s="37"/>
      <c r="BT8" s="34" t="s">
        <v>16</v>
      </c>
      <c r="BV8" s="37"/>
      <c r="BW8" s="37"/>
      <c r="BX8" s="37"/>
      <c r="BY8" s="37"/>
      <c r="CA8" s="37"/>
      <c r="CB8" s="37"/>
      <c r="CC8" s="37"/>
      <c r="CD8" s="37"/>
      <c r="CE8" s="37"/>
      <c r="CF8" s="37"/>
      <c r="CG8" s="37"/>
      <c r="CH8" s="37"/>
      <c r="CI8" s="55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</row>
    <row r="9" ht="15.75" customHeight="1">
      <c r="A9" s="7"/>
      <c r="B9" s="35" t="s">
        <v>18</v>
      </c>
      <c r="C9" s="37"/>
      <c r="D9" s="37"/>
      <c r="E9" s="41">
        <v>100.0</v>
      </c>
      <c r="F9" s="37"/>
      <c r="G9" s="37"/>
      <c r="H9" s="37"/>
      <c r="I9" s="53"/>
      <c r="J9" s="37"/>
      <c r="K9" s="37"/>
      <c r="L9" s="39"/>
      <c r="M9" s="37"/>
      <c r="N9" s="37"/>
      <c r="O9" s="37"/>
      <c r="P9" s="37"/>
      <c r="Q9" s="37"/>
      <c r="R9" s="37"/>
      <c r="S9" s="37" t="s">
        <v>38</v>
      </c>
      <c r="T9" s="37"/>
      <c r="V9" s="37"/>
      <c r="W9" s="37"/>
      <c r="X9" s="37"/>
      <c r="Y9" s="37"/>
      <c r="Z9" s="37"/>
      <c r="AA9" s="37"/>
      <c r="AB9" s="37"/>
      <c r="AC9" s="37"/>
      <c r="AD9" s="37"/>
      <c r="AE9" s="56">
        <v>100.0</v>
      </c>
      <c r="AF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8" t="s">
        <v>19</v>
      </c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56">
        <v>100.0</v>
      </c>
      <c r="BK9" s="37"/>
      <c r="BL9" s="37"/>
      <c r="BN9" s="37"/>
      <c r="BO9" s="37" t="s">
        <v>20</v>
      </c>
      <c r="BP9" s="37"/>
      <c r="BQ9" s="37"/>
      <c r="BR9" s="37"/>
      <c r="BS9" s="37"/>
      <c r="BT9" s="34" t="s">
        <v>16</v>
      </c>
      <c r="BV9" s="37"/>
      <c r="BW9" s="37"/>
      <c r="BX9" s="37"/>
      <c r="BY9" s="37"/>
      <c r="CA9" s="37"/>
      <c r="CB9" s="37"/>
      <c r="CC9" s="37"/>
      <c r="CD9" s="37"/>
      <c r="CE9" s="37"/>
      <c r="CF9" s="37"/>
      <c r="CG9" s="37"/>
      <c r="CH9" s="37"/>
      <c r="CI9" s="55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</row>
    <row r="10" ht="15.75" customHeight="1">
      <c r="A10" s="7"/>
      <c r="B10" s="10" t="s">
        <v>18</v>
      </c>
      <c r="C10" s="7"/>
      <c r="D10" s="7"/>
      <c r="E10" s="10">
        <v>120.0</v>
      </c>
      <c r="F10" s="7"/>
      <c r="G10" s="7"/>
      <c r="H10" s="7"/>
      <c r="I10" s="7"/>
      <c r="J10" s="7"/>
      <c r="K10" s="7"/>
      <c r="L10" s="7"/>
      <c r="M10" s="7"/>
      <c r="N10" s="7"/>
      <c r="O10" s="7"/>
      <c r="S10" s="44" t="s">
        <v>39</v>
      </c>
      <c r="AE10" s="44">
        <v>120.0</v>
      </c>
      <c r="AY10" s="44" t="s">
        <v>19</v>
      </c>
      <c r="BJ10" s="44">
        <v>120.0</v>
      </c>
      <c r="BO10" s="44" t="s">
        <v>37</v>
      </c>
      <c r="BT10" s="44" t="s">
        <v>16</v>
      </c>
      <c r="CI10" s="43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2"/>
      <c r="B3" s="8" t="s">
        <v>5</v>
      </c>
      <c r="C3" s="23" t="s">
        <v>40</v>
      </c>
      <c r="D3" s="8" t="s">
        <v>7</v>
      </c>
      <c r="E3" s="23" t="s">
        <v>41</v>
      </c>
      <c r="F3" s="8" t="s">
        <v>14</v>
      </c>
      <c r="G3" s="12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</row>
    <row r="4" ht="15.75" customHeight="1">
      <c r="A4" s="26"/>
      <c r="B4" s="26" t="str">
        <f>IFERROR(__xludf.DUMMYFUNCTION("IF(C3="""","""",Transpose(IMPORTRANGE('_Settings'!$B$3,C3&amp;""!A4:A1000"")))"),"CheckDashboardPM")</f>
        <v>CheckDashboardPM</v>
      </c>
      <c r="C4" s="26" t="str">
        <f>IFERROR(__xludf.DUMMYFUNCTION("""COMPUTED_VALUE"""),"CheckPortfolioManagement")</f>
        <v>CheckPortfolioManagement</v>
      </c>
      <c r="D4" s="26" t="str">
        <f>IFERROR(__xludf.DUMMYFUNCTION("""COMPUTED_VALUE"""),"OpenPSTFromPM")</f>
        <v>OpenPSTFromPM</v>
      </c>
      <c r="E4" s="26" t="str">
        <f>IFERROR(__xludf.DUMMYFUNCTION("""COMPUTED_VALUE"""),"ClosePM")</f>
        <v>ClosePM</v>
      </c>
      <c r="F4" s="26" t="str">
        <f>IFERROR(__xludf.DUMMYFUNCTION("""COMPUTED_VALUE"""),"FilterPM")</f>
        <v>FilterPM</v>
      </c>
      <c r="G4" s="26" t="str">
        <f>IFERROR(__xludf.DUMMYFUNCTION("""COMPUTED_VALUE"""),"GroupRowPM")</f>
        <v>GroupRowPM</v>
      </c>
      <c r="H4" s="26" t="str">
        <f>IFERROR(__xludf.DUMMYFUNCTION("""COMPUTED_VALUE"""),"CheckDashboardWithPM")</f>
        <v>CheckDashboardWithPM</v>
      </c>
      <c r="I4" s="26" t="str">
        <f>IFERROR(__xludf.DUMMYFUNCTION("""COMPUTED_VALUE"""),"RemoveFilterPM")</f>
        <v>RemoveFilterPM</v>
      </c>
      <c r="J4" s="26" t="str">
        <f>IFERROR(__xludf.DUMMYFUNCTION("""COMPUTED_VALUE"""),"CheckSummaryRowsPM")</f>
        <v>CheckSummaryRowsPM</v>
      </c>
      <c r="K4" s="26" t="str">
        <f>IFERROR(__xludf.DUMMYFUNCTION("""COMPUTED_VALUE"""),"OpenPTTFromPM")</f>
        <v>OpenPTTFromPM</v>
      </c>
      <c r="L4" s="26" t="str">
        <f>IFERROR(__xludf.DUMMYFUNCTION("""COMPUTED_VALUE"""),"OpenCreateTransactionFromPM")</f>
        <v>OpenCreateTransactionFromPM</v>
      </c>
      <c r="M4" s="26" t="str">
        <f>IFERROR(__xludf.DUMMYFUNCTION("""COMPUTED_VALUE"""),"OpenClosingFromPM")</f>
        <v>OpenClosingFromPM</v>
      </c>
      <c r="N4" s="26" t="str">
        <f>IFERROR(__xludf.DUMMYFUNCTION("""COMPUTED_VALUE"""),"OpenCorporateActionFromPM")</f>
        <v>OpenCorporateActionFromPM</v>
      </c>
      <c r="O4" s="26" t="str">
        <f>IFERROR(__xludf.DUMMYFUNCTION("""COMPUTED_VALUE"""),"OpenDailyValuationFromPM")</f>
        <v>OpenDailyValuationFromPM</v>
      </c>
      <c r="P4" s="28" t="str">
        <f>IFERROR(__xludf.DUMMYFUNCTION("""COMPUTED_VALUE"""),"ClosePositionFromPM")</f>
        <v>ClosePositionFromPM</v>
      </c>
      <c r="Q4" s="28" t="str">
        <f>IFERROR(__xludf.DUMMYFUNCTION("""COMPUTED_VALUE"""),"ShowSummaryToolFromPM")</f>
        <v>ShowSummaryToolFromPM</v>
      </c>
      <c r="R4" s="28" t="str">
        <f>IFERROR(__xludf.DUMMYFUNCTION("""COMPUTED_VALUE"""),"HideSummaryToolFromPM")</f>
        <v>HideSummaryToolFromPM</v>
      </c>
      <c r="S4" s="28" t="str">
        <f>IFERROR(__xludf.DUMMYFUNCTION("""COMPUTED_VALUE"""),"CloseAccountPositionFromPM")</f>
        <v>CloseAccountPositionFromPM</v>
      </c>
      <c r="T4" s="28" t="str">
        <f>IFERROR(__xludf.DUMMYFUNCTION("""COMPUTED_VALUE"""),"CloseSelectedTaxlotsFromPM")</f>
        <v>CloseSelectedTaxlotsFromPM</v>
      </c>
      <c r="U4" s="28" t="str">
        <f>IFERROR(__xludf.DUMMYFUNCTION("""COMPUTED_VALUE"""),"ExpandCollapsePM")</f>
        <v>ExpandCollapsePM</v>
      </c>
      <c r="V4" s="28" t="str">
        <f>IFERROR(__xludf.DUMMYFUNCTION("""COMPUTED_VALUE"""),"AddCustomViewPM")</f>
        <v>AddCustomViewPM</v>
      </c>
      <c r="W4" s="28" t="str">
        <f>IFERROR(__xludf.DUMMYFUNCTION("""COMPUTED_VALUE"""),"AddCustomViewRightClickPM")</f>
        <v>AddCustomViewRightClickPM</v>
      </c>
      <c r="X4" s="28" t="str">
        <f>IFERROR(__xludf.DUMMYFUNCTION("""COMPUTED_VALUE"""),"RenameCustomViewPM")</f>
        <v>RenameCustomViewPM</v>
      </c>
      <c r="Y4" s="28" t="str">
        <f>IFERROR(__xludf.DUMMYFUNCTION("""COMPUTED_VALUE"""),"DeleteCustomViewPM")</f>
        <v>DeleteCustomViewPM</v>
      </c>
      <c r="Z4" s="28" t="str">
        <f>IFERROR(__xludf.DUMMYFUNCTION("""COMPUTED_VALUE"""),"")</f>
        <v/>
      </c>
      <c r="AA4" s="28" t="str">
        <f>IFERROR(__xludf.DUMMYFUNCTION("""COMPUTED_VALUE"""),"")</f>
        <v/>
      </c>
      <c r="AB4" s="28" t="str">
        <f>IFERROR(__xludf.DUMMYFUNCTION("""COMPUTED_VALUE"""),"")</f>
        <v/>
      </c>
      <c r="AC4" s="28" t="str">
        <f>IFERROR(__xludf.DUMMYFUNCTION("""COMPUTED_VALUE"""),"")</f>
        <v/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  <c r="EY4" s="28" t="str">
        <f>IFERROR(__xludf.DUMMYFUNCTION("""COMPUTED_VALUE"""),"")</f>
        <v/>
      </c>
      <c r="EZ4" s="28" t="str">
        <f>IFERROR(__xludf.DUMMYFUNCTION("""COMPUTED_VALUE"""),"")</f>
        <v/>
      </c>
      <c r="FA4" s="28" t="str">
        <f>IFERROR(__xludf.DUMMYFUNCTION("""COMPUTED_VALUE"""),"")</f>
        <v/>
      </c>
      <c r="FB4" s="28" t="str">
        <f>IFERROR(__xludf.DUMMYFUNCTION("""COMPUTED_VALUE"""),"")</f>
        <v/>
      </c>
      <c r="FC4" s="28" t="str">
        <f>IFERROR(__xludf.DUMMYFUNCTION("""COMPUTED_VALUE"""),"")</f>
        <v/>
      </c>
      <c r="FD4" s="28" t="str">
        <f>IFERROR(__xludf.DUMMYFUNCTION("""COMPUTED_VALUE"""),"")</f>
        <v/>
      </c>
      <c r="FE4" s="28" t="str">
        <f>IFERROR(__xludf.DUMMYFUNCTION("""COMPUTED_VALUE"""),"")</f>
        <v/>
      </c>
      <c r="FF4" s="28" t="str">
        <f>IFERROR(__xludf.DUMMYFUNCTION("""COMPUTED_VALUE"""),"")</f>
        <v/>
      </c>
      <c r="FG4" s="28" t="str">
        <f>IFERROR(__xludf.DUMMYFUNCTION("""COMPUTED_VALUE"""),"")</f>
        <v/>
      </c>
      <c r="FH4" s="28" t="str">
        <f>IFERROR(__xludf.DUMMYFUNCTION("""COMPUTED_VALUE"""),"")</f>
        <v/>
      </c>
      <c r="FI4" s="28" t="str">
        <f>IFERROR(__xludf.DUMMYFUNCTION("""COMPUTED_VALUE"""),"")</f>
        <v/>
      </c>
      <c r="FJ4" s="28" t="str">
        <f>IFERROR(__xludf.DUMMYFUNCTION("""COMPUTED_VALUE"""),"")</f>
        <v/>
      </c>
      <c r="FK4" s="28" t="str">
        <f>IFERROR(__xludf.DUMMYFUNCTION("""COMPUTED_VALUE"""),"")</f>
        <v/>
      </c>
      <c r="FL4" s="28" t="str">
        <f>IFERROR(__xludf.DUMMYFUNCTION("""COMPUTED_VALUE"""),"")</f>
        <v/>
      </c>
      <c r="FM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IFERROR(__xludf.DUMMYFUNCTION("""COMPUTED_VALUE"""),"Trade Date")</f>
        <v>Trade Date</v>
      </c>
      <c r="C5" s="30" t="str">
        <f>IFERROR(__xludf.DUMMYFUNCTION("""COMPUTED_VALUE"""),"Symbol")</f>
        <v>Symbol</v>
      </c>
      <c r="D5" s="30" t="str">
        <f>IFERROR(__xludf.DUMMYFUNCTION("""COMPUTED_VALUE"""),"Position")</f>
        <v>Position</v>
      </c>
      <c r="E5" s="30" t="str">
        <f>IFERROR(__xludf.DUMMYFUNCTION("""COMPUTED_VALUE"""),"Account")</f>
        <v>Account</v>
      </c>
      <c r="F5" s="31" t="str">
        <f>IFERROR(__xludf.DUMMYFUNCTION("""COMPUTED_VALUE"""),"MasterFund")</f>
        <v>MasterFund</v>
      </c>
      <c r="G5" s="30" t="str">
        <f>IFERROR(__xludf.DUMMYFUNCTION("""COMPUTED_VALUE"""),"Cost Basis")</f>
        <v>Cost Basis</v>
      </c>
      <c r="H5" s="30" t="str">
        <f>IFERROR(__xludf.DUMMYFUNCTION("""COMPUTED_VALUE"""),"Position Side")</f>
        <v>Position Side</v>
      </c>
      <c r="I5" s="30" t="str">
        <f>IFERROR(__xludf.DUMMYFUNCTION("""COMPUTED_VALUE"""),"Market Value (Base)")</f>
        <v>Market Value (Base)</v>
      </c>
      <c r="J5" s="30" t="str">
        <f>IFERROR(__xludf.DUMMYFUNCTION("""COMPUTED_VALUE"""),"% Day P&amp;L (Gross MV)")</f>
        <v>% Day P&amp;L (Gross MV)</v>
      </c>
      <c r="K5" s="30" t="str">
        <f>IFERROR(__xludf.DUMMYFUNCTION("""COMPUTED_VALUE"""),"Net Exposure (Base)")</f>
        <v>Net Exposure (Base)</v>
      </c>
      <c r="L5" s="30" t="str">
        <f>IFERROR(__xludf.DUMMYFUNCTION("""COMPUTED_VALUE"""),"Beta Adj. Gross Exposure (Base)")</f>
        <v>Beta Adj. Gross Exposure (Base)</v>
      </c>
      <c r="M5" s="30" t="str">
        <f>IFERROR(__xludf.DUMMYFUNCTION("""COMPUTED_VALUE"""),"Beta Adj. Gross Exposure (Underlying) (Base)")</f>
        <v>Beta Adj. Gross Exposure (Underlying) (Base)</v>
      </c>
      <c r="N5" s="30" t="str">
        <f>IFERROR(__xludf.DUMMYFUNCTION("""COMPUTED_VALUE"""),"Day P&amp;L (Base)")</f>
        <v>Day P&amp;L (Base)</v>
      </c>
      <c r="O5" s="30" t="str">
        <f>IFERROR(__xludf.DUMMYFUNCTION("""COMPUTED_VALUE"""),"Security Name")</f>
        <v>Security Name</v>
      </c>
      <c r="P5" s="30" t="str">
        <f>IFERROR(__xludf.DUMMYFUNCTION("""COMPUTED_VALUE"""),"Closing Mark")</f>
        <v>Closing Mark</v>
      </c>
      <c r="Q5" s="30" t="str">
        <f>IFERROR(__xludf.DUMMYFUNCTION("""COMPUTED_VALUE"""),"Cost Basis P&amp;L (Base)")</f>
        <v>Cost Basis P&amp;L (Base)</v>
      </c>
      <c r="R5" s="30" t="str">
        <f>IFERROR(__xludf.DUMMYFUNCTION("""COMPUTED_VALUE"""),"Prime Broker")</f>
        <v>Prime Broker</v>
      </c>
      <c r="S5" s="30" t="str">
        <f>IFERROR(__xludf.DUMMYFUNCTION("""COMPUTED_VALUE"""),"Strategy")</f>
        <v>Strategy</v>
      </c>
      <c r="T5" s="33" t="str">
        <f>IFERROR(__xludf.DUMMYFUNCTION("""COMPUTED_VALUE"""),"Asset Class")</f>
        <v>Asset Class</v>
      </c>
      <c r="U5" s="33" t="str">
        <f>IFERROR(__xludf.DUMMYFUNCTION("""COMPUTED_VALUE"""),"Underlying")</f>
        <v>Underlying</v>
      </c>
      <c r="V5" s="33" t="str">
        <f>IFERROR(__xludf.DUMMYFUNCTION("""COMPUTED_VALUE"""),"Exchange")</f>
        <v>Exchange</v>
      </c>
      <c r="W5" s="33" t="str">
        <f>IFERROR(__xludf.DUMMYFUNCTION("""COMPUTED_VALUE"""),"Trade Currency")</f>
        <v>Trade Currency</v>
      </c>
      <c r="X5" s="33" t="str">
        <f>IFERROR(__xludf.DUMMYFUNCTION("""COMPUTED_VALUE"""),"Multiplier")</f>
        <v>Multiplier</v>
      </c>
      <c r="Y5" s="33" t="str">
        <f>IFERROR(__xludf.DUMMYFUNCTION("""COMPUTED_VALUE"""),"FX Rate")</f>
        <v>FX Rate</v>
      </c>
      <c r="Z5" s="33" t="str">
        <f>IFERROR(__xludf.DUMMYFUNCTION("""COMPUTED_VALUE"""),"Vs Currency")</f>
        <v>Vs Currency</v>
      </c>
      <c r="AA5" s="33" t="str">
        <f>IFERROR(__xludf.DUMMYFUNCTION("""COMPUTED_VALUE"""),"Lead Currency")</f>
        <v>Lead Currency</v>
      </c>
      <c r="AB5" s="33" t="str">
        <f>IFERROR(__xludf.DUMMYFUNCTION("""COMPUTED_VALUE"""),"Dividend Yield (%)")</f>
        <v>Dividend Yield (%)</v>
      </c>
      <c r="AC5" s="33" t="str">
        <f>IFERROR(__xludf.DUMMYFUNCTION("""COMPUTED_VALUE"""),"% Change")</f>
        <v>% Change</v>
      </c>
      <c r="AD5" s="33" t="str">
        <f>IFERROR(__xludf.DUMMYFUNCTION("""COMPUTED_VALUE"""),"Net Exposure (Local)")</f>
        <v>Net Exposure (Local)</v>
      </c>
      <c r="AE5" s="33" t="str">
        <f>IFERROR(__xludf.DUMMYFUNCTION("""COMPUTED_VALUE"""),"Exposure (Local)")</f>
        <v>Exposure (Local)</v>
      </c>
      <c r="AF5" s="33" t="str">
        <f>IFERROR(__xludf.DUMMYFUNCTION("""COMPUTED_VALUE"""),"Delta Adj. Position")</f>
        <v>Delta Adj. Position</v>
      </c>
      <c r="AG5" s="33" t="str">
        <f>IFERROR(__xludf.DUMMYFUNCTION("""COMPUTED_VALUE"""),"Exposure (Base)")</f>
        <v>Exposure (Base)</v>
      </c>
      <c r="AH5" s="33" t="str">
        <f>IFERROR(__xludf.DUMMYFUNCTION("""COMPUTED_VALUE"""),"Beta Adj. Exposure (Local)")</f>
        <v>Beta Adj. Exposure (Local)</v>
      </c>
      <c r="AI5" s="33" t="str">
        <f>IFERROR(__xludf.DUMMYFUNCTION("""COMPUTED_VALUE"""),"Beta Adj. Exposure (Base)")</f>
        <v>Beta Adj. Exposure (Base)</v>
      </c>
      <c r="AJ5" s="33" t="str">
        <f>IFERROR(__xludf.DUMMYFUNCTION("""COMPUTED_VALUE"""),"Exposure (BP)(Base)")</f>
        <v>Exposure (BP)(Base)</v>
      </c>
      <c r="AK5" s="33" t="str">
        <f>IFERROR(__xludf.DUMMYFUNCTION("""COMPUTED_VALUE"""),"Day P&amp;L (Local)")</f>
        <v>Day P&amp;L (Local)</v>
      </c>
      <c r="AL5" s="33" t="str">
        <f>IFERROR(__xludf.DUMMYFUNCTION("""COMPUTED_VALUE"""),"Delta")</f>
        <v>Delta</v>
      </c>
      <c r="AM5" s="33" t="str">
        <f>IFERROR(__xludf.DUMMYFUNCTION("""COMPUTED_VALUE"""),"Leveraged Factor")</f>
        <v>Leveraged Factor</v>
      </c>
      <c r="AN5" s="33" t="str">
        <f>IFERROR(__xludf.DUMMYFUNCTION("""COMPUTED_VALUE"""),"Order Side")</f>
        <v>Order Side</v>
      </c>
      <c r="AO5" s="33" t="str">
        <f>IFERROR(__xludf.DUMMYFUNCTION("""COMPUTED_VALUE"""),"Master Strategy")</f>
        <v>Master Strategy</v>
      </c>
      <c r="AP5" s="33" t="str">
        <f>IFERROR(__xludf.DUMMYFUNCTION("""COMPUTED_VALUE"""),"Transaction Side")</f>
        <v>Transaction Side</v>
      </c>
      <c r="AQ5" s="33" t="str">
        <f>IFERROR(__xludf.DUMMYFUNCTION("""COMPUTED_VALUE"""),"Underlying Symbol")</f>
        <v>Underlying Symbol</v>
      </c>
      <c r="AR5" s="33" t="str">
        <f>IFERROR(__xludf.DUMMYFUNCTION("""COMPUTED_VALUE"""),"Underlying Price")</f>
        <v>Underlying Price</v>
      </c>
      <c r="AS5" s="33" t="str">
        <f>IFERROR(__xludf.DUMMYFUNCTION("""COMPUTED_VALUE"""),"Side Multiplier")</f>
        <v>Side Multiplier</v>
      </c>
      <c r="AT5" s="33" t="str">
        <f>IFERROR(__xludf.DUMMYFUNCTION("""COMPUTED_VALUE"""),"Description")</f>
        <v>Description</v>
      </c>
      <c r="AU5" s="33" t="str">
        <f>IFERROR(__xludf.DUMMYFUNCTION("""COMPUTED_VALUE"""),"Internal Comments")</f>
        <v>Internal Comments</v>
      </c>
      <c r="AV5" s="33" t="str">
        <f>IFERROR(__xludf.DUMMYFUNCTION("""COMPUTED_VALUE"""),"FX Rate On Trade Date")</f>
        <v>FX Rate On Trade Date</v>
      </c>
      <c r="AW5" s="33" t="str">
        <f>IFERROR(__xludf.DUMMYFUNCTION("""COMPUTED_VALUE"""),"Cost Basis P&amp;L (Local)")</f>
        <v>Cost Basis P&amp;L (Local)</v>
      </c>
      <c r="AX5" s="33" t="str">
        <f>IFERROR(__xludf.DUMMYFUNCTION("""COMPUTED_VALUE"""),"Day Interest")</f>
        <v>Day Interest</v>
      </c>
      <c r="AY5" s="33" t="str">
        <f>IFERROR(__xludf.DUMMYFUNCTION("""COMPUTED_VALUE"""),"Total Interest")</f>
        <v>Total Interest</v>
      </c>
      <c r="AZ5" s="33" t="str">
        <f>IFERROR(__xludf.DUMMYFUNCTION("""COMPUTED_VALUE"""),"Market Value (Local)")</f>
        <v>Market Value (Local)</v>
      </c>
      <c r="BA5" s="33" t="str">
        <f>IFERROR(__xludf.DUMMYFUNCTION("""COMPUTED_VALUE"""),"% Gain/Loss Day")</f>
        <v>% Gain/Loss Day</v>
      </c>
      <c r="BB5" s="33" t="str">
        <f>IFERROR(__xludf.DUMMYFUNCTION("""COMPUTED_VALUE"""),"Update Time (Last Price)")</f>
        <v>Update Time (Last Price)</v>
      </c>
      <c r="BC5" s="33" t="str">
        <f>IFERROR(__xludf.DUMMYFUNCTION("""COMPUTED_VALUE"""),"Beta")</f>
        <v>Beta</v>
      </c>
      <c r="BD5" s="33" t="str">
        <f>IFERROR(__xludf.DUMMYFUNCTION("""COMPUTED_VALUE"""),"Cash Impact (Local)")</f>
        <v>Cash Impact (Local)</v>
      </c>
      <c r="BE5" s="33" t="str">
        <f>IFERROR(__xludf.DUMMYFUNCTION("""COMPUTED_VALUE"""),"User Asset")</f>
        <v>User Asset</v>
      </c>
      <c r="BF5" s="33" t="str">
        <f>IFERROR(__xludf.DUMMYFUNCTION("""COMPUTED_VALUE"""),"Security Type")</f>
        <v>Security Type</v>
      </c>
      <c r="BG5" s="33" t="str">
        <f>IFERROR(__xludf.DUMMYFUNCTION("""COMPUTED_VALUE"""),"Sector")</f>
        <v>Sector</v>
      </c>
      <c r="BH5" s="33" t="str">
        <f>IFERROR(__xludf.DUMMYFUNCTION("""COMPUTED_VALUE"""),"Sub Sector")</f>
        <v>Sub Sector</v>
      </c>
      <c r="BI5" s="33" t="str">
        <f>IFERROR(__xludf.DUMMYFUNCTION("""COMPUTED_VALUE"""),"Country")</f>
        <v>Country</v>
      </c>
      <c r="BJ5" s="33" t="str">
        <f>IFERROR(__xludf.DUMMYFUNCTION("""COMPUTED_VALUE"""),"Market Cap")</f>
        <v>Market Cap</v>
      </c>
      <c r="BK5" s="33" t="str">
        <f>IFERROR(__xludf.DUMMYFUNCTION("""COMPUTED_VALUE"""),"Shares Outstanding")</f>
        <v>Shares Outstanding</v>
      </c>
      <c r="BL5" s="33" t="str">
        <f>IFERROR(__xludf.DUMMYFUNCTION("""COMPUTED_VALUE"""),"Avg Volume 20 Day")</f>
        <v>Avg Volume 20 Day</v>
      </c>
      <c r="BM5" s="33" t="str">
        <f>IFERROR(__xludf.DUMMYFUNCTION("""COMPUTED_VALUE"""),"% Avg Volume (Delta Adj.)")</f>
        <v>% Avg Volume (Delta Adj.)</v>
      </c>
      <c r="BN5" s="33" t="str">
        <f>IFERROR(__xludf.DUMMYFUNCTION("""COMPUTED_VALUE"""),"Ex Dividend Date")</f>
        <v>Ex Dividend Date</v>
      </c>
      <c r="BO5" s="33" t="str">
        <f>IFERROR(__xludf.DUMMYFUNCTION("""COMPUTED_VALUE"""),"Cash Impact (Base)")</f>
        <v>Cash Impact (Base)</v>
      </c>
      <c r="BP5" s="33" t="str">
        <f>IFERROR(__xludf.DUMMYFUNCTION("""COMPUTED_VALUE"""),"Volatility (%)")</f>
        <v>Volatility (%)</v>
      </c>
      <c r="BQ5" s="33" t="str">
        <f>IFERROR(__xludf.DUMMYFUNCTION("""COMPUTED_VALUE"""),"User")</f>
        <v>User</v>
      </c>
      <c r="BR5" s="33" t="str">
        <f>IFERROR(__xludf.DUMMYFUNCTION("""COMPUTED_VALUE"""),"Broker")</f>
        <v>Broker</v>
      </c>
      <c r="BS5" s="33" t="str">
        <f>IFERROR(__xludf.DUMMYFUNCTION("""COMPUTED_VALUE"""),"Earned Dividend (Local)")</f>
        <v>Earned Dividend (Local)</v>
      </c>
      <c r="BT5" s="33" t="str">
        <f>IFERROR(__xludf.DUMMYFUNCTION("""COMPUTED_VALUE"""),"Earned Dividend (Base)")</f>
        <v>Earned Dividend (Base)</v>
      </c>
      <c r="BU5" s="33" t="str">
        <f>IFERROR(__xludf.DUMMYFUNCTION("""COMPUTED_VALUE"""),"Put/Call")</f>
        <v>Put/Call</v>
      </c>
      <c r="BV5" s="33" t="str">
        <f>IFERROR(__xludf.DUMMYFUNCTION("""COMPUTED_VALUE"""),"Expiration Date")</f>
        <v>Expiration Date</v>
      </c>
      <c r="BW5" s="33" t="str">
        <f>IFERROR(__xludf.DUMMYFUNCTION("""COMPUTED_VALUE"""),"Strike Price")</f>
        <v>Strike Price</v>
      </c>
      <c r="BX5" s="33" t="str">
        <f>IFERROR(__xludf.DUMMYFUNCTION("""COMPUTED_VALUE"""),"Gross Exposure (Base)")</f>
        <v>Gross Exposure (Base)</v>
      </c>
      <c r="BY5" s="33" t="str">
        <f>IFERROR(__xludf.DUMMYFUNCTION("""COMPUTED_VALUE"""),"Gross Market Value (Base)")</f>
        <v>Gross Market Value (Base)</v>
      </c>
      <c r="BZ5" s="33" t="str">
        <f>IFERROR(__xludf.DUMMYFUNCTION("""COMPUTED_VALUE"""),"Px Selected Feed (Local)")</f>
        <v>Px Selected Feed (Local)</v>
      </c>
      <c r="CA5" s="33" t="str">
        <f>IFERROR(__xludf.DUMMYFUNCTION("""COMPUTED_VALUE"""),"Px Selected Feed (Base)")</f>
        <v>Px Selected Feed (Base)</v>
      </c>
      <c r="CB5" s="33" t="str">
        <f>IFERROR(__xludf.DUMMYFUNCTION("""COMPUTED_VALUE"""),"Settlement Date")</f>
        <v>Settlement Date</v>
      </c>
      <c r="CC5" s="33" t="str">
        <f>IFERROR(__xludf.DUMMYFUNCTION("""COMPUTED_VALUE"""),"% Avg Volume")</f>
        <v>% Avg Volume</v>
      </c>
      <c r="CD5" s="33" t="str">
        <f>IFERROR(__xludf.DUMMYFUNCTION("""COMPUTED_VALUE"""),"Day P&amp;L (Base)(Price Gain)")</f>
        <v>Day P&amp;L (Base)(Price Gain)</v>
      </c>
      <c r="CE5" s="33" t="str">
        <f>IFERROR(__xludf.DUMMYFUNCTION("""COMPUTED_VALUE"""),"Day P&amp;L (Base)(FX Gain)")</f>
        <v>Day P&amp;L (Base)(FX Gain)</v>
      </c>
      <c r="CF5" s="33" t="str">
        <f>IFERROR(__xludf.DUMMYFUNCTION("""COMPUTED_VALUE"""),"Cost Basis P&amp;L (Base)(FX Gain)")</f>
        <v>Cost Basis P&amp;L (Base)(FX Gain)</v>
      </c>
      <c r="CG5" s="33" t="str">
        <f>IFERROR(__xludf.DUMMYFUNCTION("""COMPUTED_VALUE"""),"Cost Basis P&amp;L (Base)(Price Gain)")</f>
        <v>Cost Basis P&amp;L (Base)(Price Gain)</v>
      </c>
      <c r="CH5" s="33" t="str">
        <f>IFERROR(__xludf.DUMMYFUNCTION("""COMPUTED_VALUE"""),"% Gain/Loss Cost")</f>
        <v>% Gain/Loss Cost</v>
      </c>
      <c r="CI5" s="33" t="str">
        <f>IFERROR(__xludf.DUMMYFUNCTION("""COMPUTED_VALUE"""),"Underlying Value (Options)")</f>
        <v>Underlying Value (Options)</v>
      </c>
      <c r="CJ5" s="33" t="str">
        <f>IFERROR(__xludf.DUMMYFUNCTION("""COMPUTED_VALUE"""),"Avg Volume 20 Day (Underlying Symbol)")</f>
        <v>Avg Volume 20 Day (Underlying Symbol)</v>
      </c>
      <c r="CK5" s="33" t="str">
        <f>IFERROR(__xludf.DUMMYFUNCTION("""COMPUTED_VALUE"""),"IsStaleData")</f>
        <v>IsStaleData</v>
      </c>
      <c r="CL5" s="33" t="str">
        <f>IFERROR(__xludf.DUMMYFUNCTION("""COMPUTED_VALUE"""),"IDCO")</f>
        <v>IDCO</v>
      </c>
      <c r="CM5" s="33" t="str">
        <f>IFERROR(__xludf.DUMMYFUNCTION("""COMPUTED_VALUE"""),"OSI")</f>
        <v>OSI</v>
      </c>
      <c r="CN5" s="33" t="str">
        <f>IFERROR(__xludf.DUMMYFUNCTION("""COMPUTED_VALUE"""),"SEDOL")</f>
        <v>SEDOL</v>
      </c>
      <c r="CO5" s="33" t="str">
        <f>IFERROR(__xludf.DUMMYFUNCTION("""COMPUTED_VALUE"""),"CUSIP")</f>
        <v>CUSIP</v>
      </c>
      <c r="CP5" s="33" t="str">
        <f>IFERROR(__xludf.DUMMYFUNCTION("""COMPUTED_VALUE"""),"Bloomberg")</f>
        <v>Bloomberg</v>
      </c>
      <c r="CQ5" s="33" t="str">
        <f>IFERROR(__xludf.DUMMYFUNCTION("""COMPUTED_VALUE"""),"ISIN")</f>
        <v>ISIN</v>
      </c>
      <c r="CR5" s="33" t="str">
        <f>IFERROR(__xludf.DUMMYFUNCTION("""COMPUTED_VALUE"""),"Start Trade Date")</f>
        <v>Start Trade Date</v>
      </c>
      <c r="CS5" s="33" t="str">
        <f>IFERROR(__xludf.DUMMYFUNCTION("""COMPUTED_VALUE"""),"Cost Basis (Break Even)")</f>
        <v>Cost Basis (Break Even)</v>
      </c>
      <c r="CT5" s="33" t="str">
        <f>IFERROR(__xludf.DUMMYFUNCTION("""COMPUTED_VALUE"""),"Trade Attribute 3")</f>
        <v>Trade Attribute 3</v>
      </c>
      <c r="CU5" s="33" t="str">
        <f>IFERROR(__xludf.DUMMYFUNCTION("""COMPUTED_VALUE"""),"Trade Attribute 4")</f>
        <v>Trade Attribute 4</v>
      </c>
      <c r="CV5" s="33" t="str">
        <f>IFERROR(__xludf.DUMMYFUNCTION("""COMPUTED_VALUE"""),"Trade Attribute 5")</f>
        <v>Trade Attribute 5</v>
      </c>
      <c r="CW5" s="33" t="str">
        <f>IFERROR(__xludf.DUMMYFUNCTION("""COMPUTED_VALUE"""),"Trade Attribute 6")</f>
        <v>Trade Attribute 6</v>
      </c>
      <c r="CX5" s="33" t="str">
        <f>IFERROR(__xludf.DUMMYFUNCTION("""COMPUTED_VALUE"""),"Proxy Symbol")</f>
        <v>Proxy Symbol</v>
      </c>
      <c r="CY5" s="33" t="str">
        <f>IFERROR(__xludf.DUMMYFUNCTION("""COMPUTED_VALUE"""),"Pricing Source")</f>
        <v>Pricing Source</v>
      </c>
      <c r="CZ5" s="33" t="str">
        <f>IFERROR(__xludf.DUMMYFUNCTION("""COMPUTED_VALUE"""),"Delta Source")</f>
        <v>Delta Source</v>
      </c>
      <c r="DA5" s="33" t="str">
        <f>IFERROR(__xludf.DUMMYFUNCTION("""COMPUTED_VALUE"""),"Gross Exposure (Local)")</f>
        <v>Gross Exposure (Local)</v>
      </c>
      <c r="DB5" s="33" t="str">
        <f>IFERROR(__xludf.DUMMYFUNCTION("""COMPUTED_VALUE"""),"% Day P&amp;L (Net MV)")</f>
        <v>% Day P&amp;L (Net MV)</v>
      </c>
      <c r="DC5" s="33" t="str">
        <f>IFERROR(__xludf.DUMMYFUNCTION("""COMPUTED_VALUE"""),"Expiration Month")</f>
        <v>Expiration Month</v>
      </c>
      <c r="DD5" s="33" t="str">
        <f>IFERROR(__xludf.DUMMYFUNCTION("""COMPUTED_VALUE"""),"Delta Adj. Position (LME)")</f>
        <v>Delta Adj. Position (LME)</v>
      </c>
      <c r="DE5" s="33" t="str">
        <f>IFERROR(__xludf.DUMMYFUNCTION("""COMPUTED_VALUE"""),"Premium")</f>
        <v>Premium</v>
      </c>
      <c r="DF5" s="33" t="str">
        <f>IFERROR(__xludf.DUMMYFUNCTION("""COMPUTED_VALUE"""),"Premium $")</f>
        <v>Premium $</v>
      </c>
      <c r="DG5" s="33" t="str">
        <f>IFERROR(__xludf.DUMMYFUNCTION("""COMPUTED_VALUE"""),"Forward Points")</f>
        <v>Forward Points</v>
      </c>
      <c r="DH5" s="33" t="str">
        <f>IFERROR(__xludf.DUMMYFUNCTION("""COMPUTED_VALUE"""),"Closing Mark (Underlying)")</f>
        <v>Closing Mark (Underlying)</v>
      </c>
      <c r="DI5" s="33" t="str">
        <f>IFERROR(__xludf.DUMMYFUNCTION("""COMPUTED_VALUE"""),"% Change (Underlying Price)")</f>
        <v>% Change (Underlying Price)</v>
      </c>
      <c r="DJ5" s="33" t="str">
        <f>IFERROR(__xludf.DUMMYFUNCTION("""COMPUTED_VALUE"""),"Transaction Type")</f>
        <v>Transaction Type</v>
      </c>
      <c r="DK5" s="33" t="str">
        <f>IFERROR(__xludf.DUMMYFUNCTION("""COMPUTED_VALUE"""),"Closing Market Value (Local)")</f>
        <v>Closing Market Value (Local)</v>
      </c>
      <c r="DL5" s="33" t="str">
        <f>IFERROR(__xludf.DUMMYFUNCTION("""COMPUTED_VALUE"""),"Closing Market Value (Base)")</f>
        <v>Closing Market Value (Base)</v>
      </c>
      <c r="DM5" s="33" t="str">
        <f>IFERROR(__xludf.DUMMYFUNCTION("""COMPUTED_VALUE"""),"Closing FX Rate")</f>
        <v>Closing FX Rate</v>
      </c>
      <c r="DN5" s="33" t="str">
        <f>IFERROR(__xludf.DUMMYFUNCTION("""COMPUTED_VALUE"""),"Change In Underlying Price")</f>
        <v>Change In Underlying Price</v>
      </c>
      <c r="DO5" s="33" t="str">
        <f>IFERROR(__xludf.DUMMYFUNCTION("""COMPUTED_VALUE"""),"RIC")</f>
        <v>RIC</v>
      </c>
      <c r="DP5" s="33" t="str">
        <f>IFERROR(__xludf.DUMMYFUNCTION("""COMPUTED_VALUE"""),"Position Side Exposure (Boxed)")</f>
        <v>Position Side Exposure (Boxed)</v>
      </c>
      <c r="DQ5" s="33" t="str">
        <f>IFERROR(__xludf.DUMMYFUNCTION("""COMPUTED_VALUE"""),"Analyst")</f>
        <v>Analyst</v>
      </c>
      <c r="DR5" s="33" t="str">
        <f>IFERROR(__xludf.DUMMYFUNCTION("""COMPUTED_VALUE"""),"Country Of Risk")</f>
        <v>Country Of Risk</v>
      </c>
      <c r="DS5" s="33" t="str">
        <f>IFERROR(__xludf.DUMMYFUNCTION("""COMPUTED_VALUE"""),"Custom UDA1")</f>
        <v>Custom UDA1</v>
      </c>
      <c r="DT5" s="33" t="str">
        <f>IFERROR(__xludf.DUMMYFUNCTION("""COMPUTED_VALUE"""),"Custom UDA2")</f>
        <v>Custom UDA2</v>
      </c>
      <c r="DU5" s="33" t="str">
        <f>IFERROR(__xludf.DUMMYFUNCTION("""COMPUTED_VALUE"""),"Custom UDA3")</f>
        <v>Custom UDA3</v>
      </c>
      <c r="DV5" s="33" t="str">
        <f>IFERROR(__xludf.DUMMYFUNCTION("""COMPUTED_VALUE"""),"Custom UDA4")</f>
        <v>Custom UDA4</v>
      </c>
      <c r="DW5" s="33" t="str">
        <f>IFERROR(__xludf.DUMMYFUNCTION("""COMPUTED_VALUE"""),"Custom UDA5")</f>
        <v>Custom UDA5</v>
      </c>
      <c r="DX5" s="33" t="str">
        <f>IFERROR(__xludf.DUMMYFUNCTION("""COMPUTED_VALUE"""),"Custom UDA6")</f>
        <v>Custom UDA6</v>
      </c>
      <c r="DY5" s="33" t="str">
        <f>IFERROR(__xludf.DUMMYFUNCTION("""COMPUTED_VALUE"""),"Custom UDA7")</f>
        <v>Custom UDA7</v>
      </c>
      <c r="DZ5" s="33" t="str">
        <f>IFERROR(__xludf.DUMMYFUNCTION("""COMPUTED_VALUE"""),"Issuer")</f>
        <v>Issuer</v>
      </c>
      <c r="EA5" s="33" t="str">
        <f>IFERROR(__xludf.DUMMYFUNCTION("""COMPUTED_VALUE"""),"Liquid Tag")</f>
        <v>Liquid Tag</v>
      </c>
      <c r="EB5" s="33" t="str">
        <f>IFERROR(__xludf.DUMMYFUNCTION("""COMPUTED_VALUE"""),"Market Cap UDA")</f>
        <v>Market Cap UDA</v>
      </c>
      <c r="EC5" s="33" t="str">
        <f>IFERROR(__xludf.DUMMYFUNCTION("""COMPUTED_VALUE"""),"Region")</f>
        <v>Region</v>
      </c>
      <c r="ED5" s="33" t="str">
        <f>IFERROR(__xludf.DUMMYFUNCTION("""COMPUTED_VALUE"""),"Risk Currency")</f>
        <v>Risk Currency</v>
      </c>
      <c r="EE5" s="33" t="str">
        <f>IFERROR(__xludf.DUMMYFUNCTION("""COMPUTED_VALUE"""),"UCITS Eligible Tag")</f>
        <v>UCITS Eligible Tag</v>
      </c>
      <c r="EF5" s="33" t="str">
        <f>IFERROR(__xludf.DUMMYFUNCTION("""COMPUTED_VALUE"""),"FX Rate (Display)")</f>
        <v>FX Rate (Display)</v>
      </c>
      <c r="EG5" s="33" t="str">
        <f>IFERROR(__xludf.DUMMYFUNCTION("""COMPUTED_VALUE"""),"% Net Exposure (Base)")</f>
        <v>% Net Exposure (Base)</v>
      </c>
      <c r="EH5" s="33" t="str">
        <f>IFERROR(__xludf.DUMMYFUNCTION("""COMPUTED_VALUE"""),"% Gross Exposure (Base)")</f>
        <v>% Gross Exposure (Base)</v>
      </c>
      <c r="EI5" s="33" t="str">
        <f>IFERROR(__xludf.DUMMYFUNCTION("""COMPUTED_VALUE"""),"% Exposure (Base)")</f>
        <v>% Exposure (Base)</v>
      </c>
      <c r="EJ5" s="33" t="str">
        <f>IFERROR(__xludf.DUMMYFUNCTION("""COMPUTED_VALUE"""),"% Gross Exposure (Underlying) (Base)")</f>
        <v>% Gross Exposure (Underlying) (Base)</v>
      </c>
      <c r="EK5" s="33" t="str">
        <f>IFERROR(__xludf.DUMMYFUNCTION("""COMPUTED_VALUE"""),"% Beta Adj. Gross Exposure (Base)")</f>
        <v>% Beta Adj. Gross Exposure (Base)</v>
      </c>
      <c r="EL5" s="33" t="str">
        <f>IFERROR(__xludf.DUMMYFUNCTION("""COMPUTED_VALUE"""),"Position Side Exposure (Underlying)")</f>
        <v>Position Side Exposure (Underlying)</v>
      </c>
      <c r="EM5" s="33" t="str">
        <f>IFERROR(__xludf.DUMMYFUNCTION("""COMPUTED_VALUE"""),"Gross Exposure (Underlying) (Base)")</f>
        <v>Gross Exposure (Underlying) (Base)</v>
      </c>
      <c r="EN5" s="33" t="str">
        <f>IFERROR(__xludf.DUMMYFUNCTION("""COMPUTED_VALUE"""),"Gross Exposure (Underlying)")</f>
        <v>Gross Exposure (Underlying)</v>
      </c>
      <c r="EO5" s="33" t="str">
        <f>IFERROR(__xludf.DUMMYFUNCTION("""COMPUTED_VALUE"""),"Day Return")</f>
        <v>Day Return</v>
      </c>
      <c r="EP5" s="33" t="str">
        <f>IFERROR(__xludf.DUMMYFUNCTION("""COMPUTED_VALUE"""),"Start of Day NAV")</f>
        <v>Start of Day NAV</v>
      </c>
      <c r="EQ5" s="33" t="str">
        <f>IFERROR(__xludf.DUMMYFUNCTION("""COMPUTED_VALUE"""),"% Gross Market Value (Base)")</f>
        <v>% Gross Market Value (Base)</v>
      </c>
      <c r="ER5" s="33" t="str">
        <f>IFERROR(__xludf.DUMMYFUNCTION("""COMPUTED_VALUE"""),"Beta Adj. Gross Exposure (Underlying) (Local)")</f>
        <v>Beta Adj. Gross Exposure (Underlying) (Local)</v>
      </c>
      <c r="ES5" s="33" t="str">
        <f>IFERROR(__xludf.DUMMYFUNCTION("""COMPUTED_VALUE"""),"NAV")</f>
        <v>NAV</v>
      </c>
      <c r="ET5" s="33" t="str">
        <f>IFERROR(__xludf.DUMMYFUNCTION("""COMPUTED_VALUE"""),"% P&amp;L Contribution")</f>
        <v>% P&amp;L Contribution</v>
      </c>
      <c r="EU5" s="33" t="str">
        <f>IFERROR(__xludf.DUMMYFUNCTION("""COMPUTED_VALUE"""),"% Net Market Value (Base)")</f>
        <v>% Net Market Value (Base)</v>
      </c>
      <c r="EV5" s="33" t="str">
        <f>IFERROR(__xludf.DUMMYFUNCTION("""COMPUTED_VALUE"""),"Position Side Exposure")</f>
        <v>Position Side Exposure</v>
      </c>
      <c r="EW5" s="33" t="str">
        <f>IFERROR(__xludf.DUMMYFUNCTION("""COMPUTED_VALUE"""),"NAV (Touch)")</f>
        <v>NAV (Touch)</v>
      </c>
      <c r="EX5" s="33" t="str">
        <f>IFERROR(__xludf.DUMMYFUNCTION("""COMPUTED_VALUE"""),"IgnorePropertyChangeEvents")</f>
        <v>IgnorePropertyChangeEvents</v>
      </c>
      <c r="EY5" s="33" t="str">
        <f>IFERROR(__xludf.DUMMYFUNCTION("""COMPUTED_VALUE"""),"Trade Attribute 1")</f>
        <v>Trade Attribute 1</v>
      </c>
      <c r="EZ5" s="33" t="str">
        <f>IFERROR(__xludf.DUMMYFUNCTION("""COMPUTED_VALUE"""),"Trade Attribute 2")</f>
        <v>Trade Attribute 2</v>
      </c>
      <c r="FA5" s="33" t="str">
        <f>IFERROR(__xludf.DUMMYFUNCTION("""COMPUTED_VALUE"""),"")</f>
        <v/>
      </c>
      <c r="FB5" s="33" t="str">
        <f>IFERROR(__xludf.DUMMYFUNCTION("""COMPUTED_VALUE"""),"")</f>
        <v/>
      </c>
      <c r="FC5" s="33" t="str">
        <f>IFERROR(__xludf.DUMMYFUNCTION("""COMPUTED_VALUE"""),"")</f>
        <v/>
      </c>
      <c r="FD5" s="33" t="str">
        <f>IFERROR(__xludf.DUMMYFUNCTION("""COMPUTED_VALUE"""),"")</f>
        <v/>
      </c>
      <c r="FE5" s="33" t="str">
        <f>IFERROR(__xludf.DUMMYFUNCTION("""COMPUTED_VALUE"""),"")</f>
        <v/>
      </c>
      <c r="FF5" s="33" t="str">
        <f>IFERROR(__xludf.DUMMYFUNCTION("""COMPUTED_VALUE"""),"")</f>
        <v/>
      </c>
      <c r="FG5" s="33" t="str">
        <f>IFERROR(__xludf.DUMMYFUNCTION("""COMPUTED_VALUE"""),"")</f>
        <v/>
      </c>
      <c r="FH5" s="33" t="str">
        <f>IFERROR(__xludf.DUMMYFUNCTION("""COMPUTED_VALUE"""),"")</f>
        <v/>
      </c>
      <c r="FI5" s="33" t="str">
        <f>IFERROR(__xludf.DUMMYFUNCTION("""COMPUTED_VALUE"""),"")</f>
        <v/>
      </c>
      <c r="FJ5" s="33" t="str">
        <f>IFERROR(__xludf.DUMMYFUNCTION("""COMPUTED_VALUE"""),"")</f>
        <v/>
      </c>
      <c r="FK5" s="33" t="str">
        <f>IFERROR(__xludf.DUMMYFUNCTION("""COMPUTED_VALUE"""),"")</f>
        <v/>
      </c>
      <c r="FL5" s="33" t="str">
        <f>IFERROR(__xludf.DUMMYFUNCTION("""COMPUTED_VALUE"""),"")</f>
        <v/>
      </c>
      <c r="FM5" s="33" t="str">
        <f>IFERROR(__xludf.DUMMYFUNCTION("""COMPUTED_VALUE"""),"")</f>
        <v/>
      </c>
    </row>
    <row r="6" ht="15.75" customHeight="1">
      <c r="A6" s="10"/>
      <c r="B6" s="10"/>
      <c r="C6" s="34" t="s">
        <v>16</v>
      </c>
      <c r="D6" s="36">
        <v>20.0</v>
      </c>
      <c r="E6" s="35" t="s">
        <v>18</v>
      </c>
      <c r="F6" s="37"/>
      <c r="G6" s="41">
        <v>12.0</v>
      </c>
      <c r="H6" s="37"/>
      <c r="I6" s="53"/>
      <c r="J6" s="37"/>
      <c r="K6" s="37"/>
      <c r="L6" s="37"/>
      <c r="M6" s="37"/>
      <c r="N6" s="37"/>
      <c r="O6" s="37"/>
      <c r="P6" s="37"/>
      <c r="Q6" s="37"/>
      <c r="R6" s="37"/>
      <c r="S6" s="37" t="s">
        <v>29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 t="s">
        <v>17</v>
      </c>
      <c r="AO6" s="37"/>
      <c r="AP6" s="38" t="s">
        <v>27</v>
      </c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</row>
    <row r="7" ht="15.75" customHeight="1">
      <c r="A7" s="7"/>
      <c r="B7" s="7"/>
      <c r="C7" s="34" t="s">
        <v>16</v>
      </c>
      <c r="D7" s="39">
        <v>20.0</v>
      </c>
      <c r="E7" s="35" t="s">
        <v>18</v>
      </c>
      <c r="F7" s="37"/>
      <c r="G7" s="39">
        <v>15.0</v>
      </c>
      <c r="H7" s="37"/>
      <c r="I7" s="53"/>
      <c r="J7" s="37"/>
      <c r="K7" s="37"/>
      <c r="L7" s="37"/>
      <c r="M7" s="37"/>
      <c r="N7" s="37"/>
      <c r="O7" s="37"/>
      <c r="P7" s="37"/>
      <c r="Q7" s="37"/>
      <c r="R7" s="37"/>
      <c r="S7" s="37" t="s">
        <v>29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 t="s">
        <v>17</v>
      </c>
      <c r="AO7" s="37"/>
      <c r="AP7" s="38" t="s">
        <v>27</v>
      </c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2"/>
      <c r="B3" s="8" t="s">
        <v>5</v>
      </c>
      <c r="C3" s="23" t="s">
        <v>21</v>
      </c>
      <c r="D3" s="8" t="s">
        <v>7</v>
      </c>
      <c r="E3" s="23" t="s">
        <v>42</v>
      </c>
      <c r="F3" s="8" t="s">
        <v>14</v>
      </c>
      <c r="G3" s="12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1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3" t="str">
        <f>IFERROR(__xludf.DUMMYFUNCTION("""COMPUTED_VALUE"""),"Total Fees and Commission")</f>
        <v>Total Fees and Commission</v>
      </c>
      <c r="U5" s="33" t="str">
        <f>IFERROR(__xludf.DUMMYFUNCTION("""COMPUTED_VALUE"""),"Trade Date")</f>
        <v>Trade Date</v>
      </c>
      <c r="V5" s="33" t="str">
        <f>IFERROR(__xludf.DUMMYFUNCTION("""COMPUTED_VALUE"""),"Transaction Type")</f>
        <v>Transaction Type</v>
      </c>
      <c r="W5" s="33" t="str">
        <f>IFERROR(__xludf.DUMMYFUNCTION("""COMPUTED_VALUE"""),"UnderlyingName")</f>
        <v>UnderlyingName</v>
      </c>
      <c r="X5" s="33" t="str">
        <f>IFERROR(__xludf.DUMMYFUNCTION("""COMPUTED_VALUE"""),"UnitCost")</f>
        <v>UnitCost</v>
      </c>
      <c r="Y5" s="33" t="str">
        <f>IFERROR(__xludf.DUMMYFUNCTION("""COMPUTED_VALUE"""),"Unit Cost(Base)")</f>
        <v>Unit Cost(Base)</v>
      </c>
      <c r="Z5" s="33" t="str">
        <f>IFERROR(__xludf.DUMMYFUNCTION("""COMPUTED_VALUE"""),"AvgPriceBase")</f>
        <v>AvgPriceBase</v>
      </c>
      <c r="AA5" s="33" t="str">
        <f>IFERROR(__xludf.DUMMYFUNCTION("""COMPUTED_VALUE"""),"")</f>
        <v/>
      </c>
      <c r="AB5" s="33" t="str">
        <f>IFERROR(__xludf.DUMMYFUNCTION("""COMPUTED_VALUE"""),"")</f>
        <v/>
      </c>
      <c r="AC5" s="33" t="str">
        <f>IFERROR(__xludf.DUMMYFUNCTION("""COMPUTED_VALUE"""),"")</f>
        <v/>
      </c>
      <c r="AD5" s="33" t="str">
        <f>IFERROR(__xludf.DUMMYFUNCTION("""COMPUTED_VALUE"""),"")</f>
        <v/>
      </c>
      <c r="AE5" s="33" t="str">
        <f>IFERROR(__xludf.DUMMYFUNCTION("""COMPUTED_VALUE"""),"")</f>
        <v/>
      </c>
      <c r="AF5" s="33" t="str">
        <f>IFERROR(__xludf.DUMMYFUNCTION("""COMPUTED_VALUE"""),"")</f>
        <v/>
      </c>
      <c r="AG5" s="33" t="str">
        <f>IFERROR(__xludf.DUMMYFUNCTION("""COMPUTED_VALUE"""),"")</f>
        <v/>
      </c>
      <c r="AH5" s="33" t="str">
        <f>IFERROR(__xludf.DUMMYFUNCTION("""COMPUTED_VALUE"""),"")</f>
        <v/>
      </c>
      <c r="AI5" s="33" t="str">
        <f>IFERROR(__xludf.DUMMYFUNCTION("""COMPUTED_VALUE"""),"")</f>
        <v/>
      </c>
      <c r="AJ5" s="33" t="str">
        <f>IFERROR(__xludf.DUMMYFUNCTION("""COMPUTED_VALUE"""),"")</f>
        <v/>
      </c>
      <c r="AK5" s="33" t="str">
        <f>IFERROR(__xludf.DUMMYFUNCTION("""COMPUTED_VALUE"""),"")</f>
        <v/>
      </c>
      <c r="AL5" s="33" t="str">
        <f>IFERROR(__xludf.DUMMYFUNCTION("""COMPUTED_VALUE"""),"")</f>
        <v/>
      </c>
      <c r="AM5" s="33" t="str">
        <f>IFERROR(__xludf.DUMMYFUNCTION("""COMPUTED_VALUE"""),"")</f>
        <v/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10"/>
      <c r="B6" s="10" t="s">
        <v>18</v>
      </c>
      <c r="C6" s="7"/>
      <c r="D6" s="10"/>
      <c r="E6" s="50"/>
      <c r="F6" s="7"/>
      <c r="G6" s="7"/>
      <c r="H6" s="7"/>
      <c r="I6" s="10">
        <v>12.0</v>
      </c>
      <c r="J6" s="7"/>
      <c r="K6" s="7"/>
      <c r="L6" s="7"/>
      <c r="M6" s="10">
        <v>120.0</v>
      </c>
      <c r="N6" s="7"/>
      <c r="O6" s="7"/>
      <c r="P6" s="44" t="s">
        <v>17</v>
      </c>
      <c r="R6" s="44" t="s">
        <v>16</v>
      </c>
    </row>
    <row r="7" ht="15.75" customHeight="1">
      <c r="A7" s="7"/>
      <c r="B7" s="10" t="s">
        <v>18</v>
      </c>
      <c r="C7" s="7"/>
      <c r="D7" s="7"/>
      <c r="E7" s="7"/>
      <c r="F7" s="7"/>
      <c r="G7" s="7"/>
      <c r="H7" s="7"/>
      <c r="I7" s="10">
        <v>13.0</v>
      </c>
      <c r="J7" s="7"/>
      <c r="K7" s="7"/>
      <c r="L7" s="7"/>
      <c r="M7" s="10">
        <v>120.0</v>
      </c>
      <c r="N7" s="7"/>
      <c r="O7" s="7"/>
      <c r="P7" s="44" t="s">
        <v>17</v>
      </c>
      <c r="R7" s="44" t="s">
        <v>16</v>
      </c>
    </row>
    <row r="8" ht="15.75" customHeight="1">
      <c r="A8" s="7"/>
      <c r="B8" s="10" t="s">
        <v>18</v>
      </c>
      <c r="C8" s="7"/>
      <c r="D8" s="7"/>
      <c r="E8" s="7"/>
      <c r="F8" s="7"/>
      <c r="G8" s="7"/>
      <c r="H8" s="7"/>
      <c r="I8" s="10">
        <v>15.0</v>
      </c>
      <c r="J8" s="7"/>
      <c r="K8" s="7"/>
      <c r="L8" s="7"/>
      <c r="M8" s="10">
        <v>120.0</v>
      </c>
      <c r="N8" s="7"/>
      <c r="O8" s="7"/>
      <c r="P8" s="44" t="s">
        <v>17</v>
      </c>
      <c r="R8" s="44" t="s">
        <v>16</v>
      </c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2"/>
      <c r="B3" s="8" t="s">
        <v>5</v>
      </c>
      <c r="C3" s="23" t="s">
        <v>21</v>
      </c>
      <c r="D3" s="8" t="s">
        <v>7</v>
      </c>
      <c r="E3" s="23" t="s">
        <v>43</v>
      </c>
      <c r="F3" s="8" t="s">
        <v>14</v>
      </c>
      <c r="G3" s="12" t="s">
        <v>15</v>
      </c>
      <c r="H3" s="8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8" t="str">
        <f>IFERROR(__xludf.DUMMYFUNCTION("""COMPUTED_VALUE"""),"ExerciseAssignment")</f>
        <v>ExerciseAssignment</v>
      </c>
      <c r="Q4" s="28" t="str">
        <f>IFERROR(__xludf.DUMMYFUNCTION("""COMPUTED_VALUE"""),"ExerciseAssignmentAtZero")</f>
        <v>ExerciseAssignmentAtZero</v>
      </c>
      <c r="R4" s="28" t="str">
        <f>IFERROR(__xludf.DUMMYFUNCTION("""COMPUTED_VALUE"""),"SwapExpireAndRollover")</f>
        <v>SwapExpireAndRollover</v>
      </c>
      <c r="S4" s="28" t="str">
        <f>IFERROR(__xludf.DUMMYFUNCTION("""COMPUTED_VALUE"""),"SwapExpire")</f>
        <v>SwapExpire</v>
      </c>
      <c r="T4" s="28" t="str">
        <f>IFERROR(__xludf.DUMMYFUNCTION("""COMPUTED_VALUE"""),"VerifyExpiredSettledGrid")</f>
        <v>VerifyExpiredSettledGrid</v>
      </c>
      <c r="U4" s="28" t="str">
        <f>IFERROR(__xludf.DUMMYFUNCTION("""COMPUTED_VALUE"""),"VerifyUnExpiredUnSettledGrid")</f>
        <v>VerifyUnExpiredUnSettledGrid</v>
      </c>
      <c r="V4" s="28" t="str">
        <f>IFERROR(__xludf.DUMMYFUNCTION("""COMPUTED_VALUE"""),"UnWindTradeSettlement")</f>
        <v>UnWindTradeSettlement</v>
      </c>
      <c r="W4" s="28" t="str">
        <f>IFERROR(__xludf.DUMMYFUNCTION("""COMPUTED_VALUE"""),"CloseOrder")</f>
        <v>CloseOrder</v>
      </c>
      <c r="X4" s="28" t="str">
        <f>IFERROR(__xludf.DUMMYFUNCTION("""COMPUTED_VALUE"""),"VerifyCloseOrder")</f>
        <v>VerifyCloseOrder</v>
      </c>
      <c r="Y4" s="28" t="str">
        <f>IFERROR(__xludf.DUMMYFUNCTION("""COMPUTED_VALUE"""),"UnWindCloseOrder")</f>
        <v>UnWindCloseOrder</v>
      </c>
      <c r="Z4" s="28" t="str">
        <f>IFERROR(__xludf.DUMMYFUNCTION("""COMPUTED_VALUE"""),"ClosingCleanUp")</f>
        <v>ClosingCleanUp</v>
      </c>
      <c r="AA4" s="28" t="str">
        <f>IFERROR(__xludf.DUMMYFUNCTION("""COMPUTED_VALUE"""),"CloseClosingUI")</f>
        <v>CloseClosingUI</v>
      </c>
      <c r="AB4" s="28" t="str">
        <f>IFERROR(__xludf.DUMMYFUNCTION("""COMPUTED_VALUE"""),"SetClosingPreference")</f>
        <v>SetClosingPreference</v>
      </c>
      <c r="AC4" s="28" t="str">
        <f>IFERROR(__xludf.DUMMYFUNCTION("""COMPUTED_VALUE"""),"EditTradeUnexpiredUnsettled")</f>
        <v>EditTradeUnexpiredUnsettled</v>
      </c>
      <c r="AD4" s="28" t="str">
        <f>IFERROR(__xludf.DUMMYFUNCTION("""COMPUTED_VALUE"""),"")</f>
        <v/>
      </c>
      <c r="AE4" s="28" t="str">
        <f>IFERROR(__xludf.DUMMYFUNCTION("""COMPUTED_VALUE"""),"")</f>
        <v/>
      </c>
      <c r="AF4" s="28" t="str">
        <f>IFERROR(__xludf.DUMMYFUNCTION("""COMPUTED_VALUE"""),"")</f>
        <v/>
      </c>
      <c r="AG4" s="28" t="str">
        <f>IFERROR(__xludf.DUMMYFUNCTION("""COMPUTED_VALUE"""),"")</f>
        <v/>
      </c>
      <c r="AH4" s="28" t="str">
        <f>IFERROR(__xludf.DUMMYFUNCTION("""COMPUTED_VALUE"""),"")</f>
        <v/>
      </c>
      <c r="AI4" s="28" t="str">
        <f>IFERROR(__xludf.DUMMYFUNCTION("""COMPUTED_VALUE"""),"")</f>
        <v/>
      </c>
      <c r="AJ4" s="28" t="str">
        <f>IFERROR(__xludf.DUMMYFUNCTION("""COMPUTED_VALUE"""),"")</f>
        <v/>
      </c>
      <c r="AK4" s="28" t="str">
        <f>IFERROR(__xludf.DUMMYFUNCTION("""COMPUTED_VALUE"""),"")</f>
        <v/>
      </c>
      <c r="AL4" s="28" t="str">
        <f>IFERROR(__xludf.DUMMYFUNCTION("""COMPUTED_VALUE"""),"")</f>
        <v/>
      </c>
      <c r="AM4" s="28" t="str">
        <f>IFERROR(__xludf.DUMMYFUNCTION("""COMPUTED_VALUE"""),"")</f>
        <v/>
      </c>
      <c r="AN4" s="28" t="str">
        <f>IFERROR(__xludf.DUMMYFUNCTION("""COMPUTED_VALUE"""),"")</f>
        <v/>
      </c>
      <c r="AO4" s="28" t="str">
        <f>IFERROR(__xludf.DUMMYFUNCTION("""COMPUTED_VALUE"""),"")</f>
        <v/>
      </c>
      <c r="AP4" s="28" t="str">
        <f>IFERROR(__xludf.DUMMYFUNCTION("""COMPUTED_VALUE"""),"")</f>
        <v/>
      </c>
      <c r="AQ4" s="28" t="str">
        <f>IFERROR(__xludf.DUMMYFUNCTION("""COMPUTED_VALUE"""),"")</f>
        <v/>
      </c>
      <c r="AR4" s="28" t="str">
        <f>IFERROR(__xludf.DUMMYFUNCTION("""COMPUTED_VALUE"""),"")</f>
        <v/>
      </c>
      <c r="AS4" s="28" t="str">
        <f>IFERROR(__xludf.DUMMYFUNCTION("""COMPUTED_VALUE"""),"")</f>
        <v/>
      </c>
      <c r="AT4" s="28" t="str">
        <f>IFERROR(__xludf.DUMMYFUNCTION("""COMPUTED_VALUE"""),"")</f>
        <v/>
      </c>
      <c r="AU4" s="28" t="str">
        <f>IFERROR(__xludf.DUMMYFUNCTION("""COMPUTED_VALUE"""),"")</f>
        <v/>
      </c>
      <c r="AV4" s="28" t="str">
        <f>IFERROR(__xludf.DUMMYFUNCTION("""COMPUTED_VALUE"""),"")</f>
        <v/>
      </c>
      <c r="AW4" s="28" t="str">
        <f>IFERROR(__xludf.DUMMYFUNCTION("""COMPUTED_VALUE"""),"")</f>
        <v/>
      </c>
      <c r="AX4" s="28" t="str">
        <f>IFERROR(__xludf.DUMMYFUNCTION("""COMPUTED_VALUE"""),"")</f>
        <v/>
      </c>
      <c r="AY4" s="28" t="str">
        <f>IFERROR(__xludf.DUMMYFUNCTION("""COMPUTED_VALUE"""),"")</f>
        <v/>
      </c>
      <c r="AZ4" s="28" t="str">
        <f>IFERROR(__xludf.DUMMYFUNCTION("""COMPUTED_VALUE"""),"")</f>
        <v/>
      </c>
      <c r="BA4" s="28" t="str">
        <f>IFERROR(__xludf.DUMMYFUNCTION("""COMPUTED_VALUE"""),"")</f>
        <v/>
      </c>
      <c r="BB4" s="28" t="str">
        <f>IFERROR(__xludf.DUMMYFUNCTION("""COMPUTED_VALUE"""),"")</f>
        <v/>
      </c>
      <c r="BC4" s="28" t="str">
        <f>IFERROR(__xludf.DUMMYFUNCTION("""COMPUTED_VALUE"""),"")</f>
        <v/>
      </c>
      <c r="BD4" s="28" t="str">
        <f>IFERROR(__xludf.DUMMYFUNCTION("""COMPUTED_VALUE"""),"")</f>
        <v/>
      </c>
      <c r="BE4" s="28" t="str">
        <f>IFERROR(__xludf.DUMMYFUNCTION("""COMPUTED_VALUE"""),"")</f>
        <v/>
      </c>
      <c r="BF4" s="28" t="str">
        <f>IFERROR(__xludf.DUMMYFUNCTION("""COMPUTED_VALUE"""),"")</f>
        <v/>
      </c>
      <c r="BG4" s="28" t="str">
        <f>IFERROR(__xludf.DUMMYFUNCTION("""COMPUTED_VALUE"""),"")</f>
        <v/>
      </c>
      <c r="BH4" s="28" t="str">
        <f>IFERROR(__xludf.DUMMYFUNCTION("""COMPUTED_VALUE"""),"")</f>
        <v/>
      </c>
      <c r="BI4" s="28" t="str">
        <f>IFERROR(__xludf.DUMMYFUNCTION("""COMPUTED_VALUE"""),"")</f>
        <v/>
      </c>
      <c r="BJ4" s="28" t="str">
        <f>IFERROR(__xludf.DUMMYFUNCTION("""COMPUTED_VALUE"""),"")</f>
        <v/>
      </c>
      <c r="BK4" s="28" t="str">
        <f>IFERROR(__xludf.DUMMYFUNCTION("""COMPUTED_VALUE"""),"")</f>
        <v/>
      </c>
      <c r="BL4" s="28" t="str">
        <f>IFERROR(__xludf.DUMMYFUNCTION("""COMPUTED_VALUE"""),"")</f>
        <v/>
      </c>
      <c r="BM4" s="28" t="str">
        <f>IFERROR(__xludf.DUMMYFUNCTION("""COMPUTED_VALUE"""),"")</f>
        <v/>
      </c>
      <c r="BN4" s="28" t="str">
        <f>IFERROR(__xludf.DUMMYFUNCTION("""COMPUTED_VALUE"""),"")</f>
        <v/>
      </c>
      <c r="BO4" s="28" t="str">
        <f>IFERROR(__xludf.DUMMYFUNCTION("""COMPUTED_VALUE"""),"")</f>
        <v/>
      </c>
      <c r="BP4" s="28" t="str">
        <f>IFERROR(__xludf.DUMMYFUNCTION("""COMPUTED_VALUE"""),"")</f>
        <v/>
      </c>
      <c r="BQ4" s="28" t="str">
        <f>IFERROR(__xludf.DUMMYFUNCTION("""COMPUTED_VALUE"""),"")</f>
        <v/>
      </c>
      <c r="BR4" s="28" t="str">
        <f>IFERROR(__xludf.DUMMYFUNCTION("""COMPUTED_VALUE"""),"")</f>
        <v/>
      </c>
      <c r="BS4" s="28" t="str">
        <f>IFERROR(__xludf.DUMMYFUNCTION("""COMPUTED_VALUE"""),"")</f>
        <v/>
      </c>
      <c r="BT4" s="28" t="str">
        <f>IFERROR(__xludf.DUMMYFUNCTION("""COMPUTED_VALUE"""),"")</f>
        <v/>
      </c>
      <c r="BU4" s="28" t="str">
        <f>IFERROR(__xludf.DUMMYFUNCTION("""COMPUTED_VALUE"""),"")</f>
        <v/>
      </c>
      <c r="BV4" s="28" t="str">
        <f>IFERROR(__xludf.DUMMYFUNCTION("""COMPUTED_VALUE"""),"")</f>
        <v/>
      </c>
      <c r="BW4" s="28" t="str">
        <f>IFERROR(__xludf.DUMMYFUNCTION("""COMPUTED_VALUE"""),"")</f>
        <v/>
      </c>
      <c r="BX4" s="28" t="str">
        <f>IFERROR(__xludf.DUMMYFUNCTION("""COMPUTED_VALUE"""),"")</f>
        <v/>
      </c>
      <c r="BY4" s="28" t="str">
        <f>IFERROR(__xludf.DUMMYFUNCTION("""COMPUTED_VALUE"""),"")</f>
        <v/>
      </c>
      <c r="BZ4" s="28" t="str">
        <f>IFERROR(__xludf.DUMMYFUNCTION("""COMPUTED_VALUE"""),"")</f>
        <v/>
      </c>
      <c r="CA4" s="28" t="str">
        <f>IFERROR(__xludf.DUMMYFUNCTION("""COMPUTED_VALUE"""),"")</f>
        <v/>
      </c>
      <c r="CB4" s="28" t="str">
        <f>IFERROR(__xludf.DUMMYFUNCTION("""COMPUTED_VALUE"""),"")</f>
        <v/>
      </c>
      <c r="CC4" s="28" t="str">
        <f>IFERROR(__xludf.DUMMYFUNCTION("""COMPUTED_VALUE"""),"")</f>
        <v/>
      </c>
      <c r="CD4" s="28" t="str">
        <f>IFERROR(__xludf.DUMMYFUNCTION("""COMPUTED_VALUE"""),"")</f>
        <v/>
      </c>
      <c r="CE4" s="28" t="str">
        <f>IFERROR(__xludf.DUMMYFUNCTION("""COMPUTED_VALUE"""),"")</f>
        <v/>
      </c>
      <c r="CF4" s="28" t="str">
        <f>IFERROR(__xludf.DUMMYFUNCTION("""COMPUTED_VALUE"""),"")</f>
        <v/>
      </c>
      <c r="CG4" s="28" t="str">
        <f>IFERROR(__xludf.DUMMYFUNCTION("""COMPUTED_VALUE"""),"")</f>
        <v/>
      </c>
      <c r="CH4" s="28" t="str">
        <f>IFERROR(__xludf.DUMMYFUNCTION("""COMPUTED_VALUE"""),"")</f>
        <v/>
      </c>
      <c r="CI4" s="28" t="str">
        <f>IFERROR(__xludf.DUMMYFUNCTION("""COMPUTED_VALUE"""),"")</f>
        <v/>
      </c>
      <c r="CJ4" s="28" t="str">
        <f>IFERROR(__xludf.DUMMYFUNCTION("""COMPUTED_VALUE"""),"")</f>
        <v/>
      </c>
      <c r="CK4" s="28" t="str">
        <f>IFERROR(__xludf.DUMMYFUNCTION("""COMPUTED_VALUE"""),"")</f>
        <v/>
      </c>
      <c r="CL4" s="28" t="str">
        <f>IFERROR(__xludf.DUMMYFUNCTION("""COMPUTED_VALUE"""),"")</f>
        <v/>
      </c>
      <c r="CM4" s="28" t="str">
        <f>IFERROR(__xludf.DUMMYFUNCTION("""COMPUTED_VALUE"""),"")</f>
        <v/>
      </c>
      <c r="CN4" s="28" t="str">
        <f>IFERROR(__xludf.DUMMYFUNCTION("""COMPUTED_VALUE"""),"")</f>
        <v/>
      </c>
      <c r="CO4" s="28" t="str">
        <f>IFERROR(__xludf.DUMMYFUNCTION("""COMPUTED_VALUE"""),"")</f>
        <v/>
      </c>
      <c r="CP4" s="28" t="str">
        <f>IFERROR(__xludf.DUMMYFUNCTION("""COMPUTED_VALUE"""),"")</f>
        <v/>
      </c>
      <c r="CQ4" s="28" t="str">
        <f>IFERROR(__xludf.DUMMYFUNCTION("""COMPUTED_VALUE"""),"")</f>
        <v/>
      </c>
      <c r="CR4" s="28" t="str">
        <f>IFERROR(__xludf.DUMMYFUNCTION("""COMPUTED_VALUE"""),"")</f>
        <v/>
      </c>
      <c r="CS4" s="28" t="str">
        <f>IFERROR(__xludf.DUMMYFUNCTION("""COMPUTED_VALUE"""),"")</f>
        <v/>
      </c>
      <c r="CT4" s="28" t="str">
        <f>IFERROR(__xludf.DUMMYFUNCTION("""COMPUTED_VALUE"""),"")</f>
        <v/>
      </c>
      <c r="CU4" s="28" t="str">
        <f>IFERROR(__xludf.DUMMYFUNCTION("""COMPUTED_VALUE"""),"")</f>
        <v/>
      </c>
      <c r="CV4" s="28" t="str">
        <f>IFERROR(__xludf.DUMMYFUNCTION("""COMPUTED_VALUE"""),"")</f>
        <v/>
      </c>
      <c r="CW4" s="28" t="str">
        <f>IFERROR(__xludf.DUMMYFUNCTION("""COMPUTED_VALUE"""),"")</f>
        <v/>
      </c>
      <c r="CX4" s="28" t="str">
        <f>IFERROR(__xludf.DUMMYFUNCTION("""COMPUTED_VALUE"""),"")</f>
        <v/>
      </c>
      <c r="CY4" s="28" t="str">
        <f>IFERROR(__xludf.DUMMYFUNCTION("""COMPUTED_VALUE"""),"")</f>
        <v/>
      </c>
      <c r="CZ4" s="28" t="str">
        <f>IFERROR(__xludf.DUMMYFUNCTION("""COMPUTED_VALUE"""),"")</f>
        <v/>
      </c>
      <c r="DA4" s="28" t="str">
        <f>IFERROR(__xludf.DUMMYFUNCTION("""COMPUTED_VALUE"""),"")</f>
        <v/>
      </c>
      <c r="DB4" s="28" t="str">
        <f>IFERROR(__xludf.DUMMYFUNCTION("""COMPUTED_VALUE"""),"")</f>
        <v/>
      </c>
      <c r="DC4" s="28" t="str">
        <f>IFERROR(__xludf.DUMMYFUNCTION("""COMPUTED_VALUE"""),"")</f>
        <v/>
      </c>
      <c r="DD4" s="28" t="str">
        <f>IFERROR(__xludf.DUMMYFUNCTION("""COMPUTED_VALUE"""),"")</f>
        <v/>
      </c>
      <c r="DE4" s="28" t="str">
        <f>IFERROR(__xludf.DUMMYFUNCTION("""COMPUTED_VALUE"""),"")</f>
        <v/>
      </c>
      <c r="DF4" s="28" t="str">
        <f>IFERROR(__xludf.DUMMYFUNCTION("""COMPUTED_VALUE"""),"")</f>
        <v/>
      </c>
      <c r="DG4" s="28" t="str">
        <f>IFERROR(__xludf.DUMMYFUNCTION("""COMPUTED_VALUE"""),"")</f>
        <v/>
      </c>
      <c r="DH4" s="28" t="str">
        <f>IFERROR(__xludf.DUMMYFUNCTION("""COMPUTED_VALUE"""),"")</f>
        <v/>
      </c>
      <c r="DI4" s="28" t="str">
        <f>IFERROR(__xludf.DUMMYFUNCTION("""COMPUTED_VALUE"""),"")</f>
        <v/>
      </c>
      <c r="DJ4" s="28" t="str">
        <f>IFERROR(__xludf.DUMMYFUNCTION("""COMPUTED_VALUE"""),"")</f>
        <v/>
      </c>
      <c r="DK4" s="28" t="str">
        <f>IFERROR(__xludf.DUMMYFUNCTION("""COMPUTED_VALUE"""),"")</f>
        <v/>
      </c>
      <c r="DL4" s="28" t="str">
        <f>IFERROR(__xludf.DUMMYFUNCTION("""COMPUTED_VALUE"""),"")</f>
        <v/>
      </c>
      <c r="DM4" s="28" t="str">
        <f>IFERROR(__xludf.DUMMYFUNCTION("""COMPUTED_VALUE"""),"")</f>
        <v/>
      </c>
      <c r="DN4" s="28" t="str">
        <f>IFERROR(__xludf.DUMMYFUNCTION("""COMPUTED_VALUE"""),"")</f>
        <v/>
      </c>
      <c r="DO4" s="28" t="str">
        <f>IFERROR(__xludf.DUMMYFUNCTION("""COMPUTED_VALUE"""),"")</f>
        <v/>
      </c>
      <c r="DP4" s="28" t="str">
        <f>IFERROR(__xludf.DUMMYFUNCTION("""COMPUTED_VALUE"""),"")</f>
        <v/>
      </c>
      <c r="DQ4" s="28" t="str">
        <f>IFERROR(__xludf.DUMMYFUNCTION("""COMPUTED_VALUE"""),"")</f>
        <v/>
      </c>
      <c r="DR4" s="28" t="str">
        <f>IFERROR(__xludf.DUMMYFUNCTION("""COMPUTED_VALUE"""),"")</f>
        <v/>
      </c>
      <c r="DS4" s="28" t="str">
        <f>IFERROR(__xludf.DUMMYFUNCTION("""COMPUTED_VALUE"""),"")</f>
        <v/>
      </c>
      <c r="DT4" s="28" t="str">
        <f>IFERROR(__xludf.DUMMYFUNCTION("""COMPUTED_VALUE"""),"")</f>
        <v/>
      </c>
      <c r="DU4" s="28" t="str">
        <f>IFERROR(__xludf.DUMMYFUNCTION("""COMPUTED_VALUE"""),"")</f>
        <v/>
      </c>
      <c r="DV4" s="28" t="str">
        <f>IFERROR(__xludf.DUMMYFUNCTION("""COMPUTED_VALUE"""),"")</f>
        <v/>
      </c>
      <c r="DW4" s="28" t="str">
        <f>IFERROR(__xludf.DUMMYFUNCTION("""COMPUTED_VALUE"""),"")</f>
        <v/>
      </c>
      <c r="DX4" s="28" t="str">
        <f>IFERROR(__xludf.DUMMYFUNCTION("""COMPUTED_VALUE"""),"")</f>
        <v/>
      </c>
      <c r="DY4" s="28" t="str">
        <f>IFERROR(__xludf.DUMMYFUNCTION("""COMPUTED_VALUE"""),"")</f>
        <v/>
      </c>
      <c r="DZ4" s="28" t="str">
        <f>IFERROR(__xludf.DUMMYFUNCTION("""COMPUTED_VALUE"""),"")</f>
        <v/>
      </c>
      <c r="EA4" s="28" t="str">
        <f>IFERROR(__xludf.DUMMYFUNCTION("""COMPUTED_VALUE"""),"")</f>
        <v/>
      </c>
      <c r="EB4" s="28" t="str">
        <f>IFERROR(__xludf.DUMMYFUNCTION("""COMPUTED_VALUE"""),"")</f>
        <v/>
      </c>
      <c r="EC4" s="28" t="str">
        <f>IFERROR(__xludf.DUMMYFUNCTION("""COMPUTED_VALUE"""),"")</f>
        <v/>
      </c>
      <c r="ED4" s="28" t="str">
        <f>IFERROR(__xludf.DUMMYFUNCTION("""COMPUTED_VALUE"""),"")</f>
        <v/>
      </c>
      <c r="EE4" s="28" t="str">
        <f>IFERROR(__xludf.DUMMYFUNCTION("""COMPUTED_VALUE"""),"")</f>
        <v/>
      </c>
      <c r="EF4" s="28" t="str">
        <f>IFERROR(__xludf.DUMMYFUNCTION("""COMPUTED_VALUE"""),"")</f>
        <v/>
      </c>
      <c r="EG4" s="28" t="str">
        <f>IFERROR(__xludf.DUMMYFUNCTION("""COMPUTED_VALUE"""),"")</f>
        <v/>
      </c>
      <c r="EH4" s="28" t="str">
        <f>IFERROR(__xludf.DUMMYFUNCTION("""COMPUTED_VALUE"""),"")</f>
        <v/>
      </c>
      <c r="EI4" s="28" t="str">
        <f>IFERROR(__xludf.DUMMYFUNCTION("""COMPUTED_VALUE"""),"")</f>
        <v/>
      </c>
      <c r="EJ4" s="28" t="str">
        <f>IFERROR(__xludf.DUMMYFUNCTION("""COMPUTED_VALUE"""),"")</f>
        <v/>
      </c>
      <c r="EK4" s="28" t="str">
        <f>IFERROR(__xludf.DUMMYFUNCTION("""COMPUTED_VALUE"""),"")</f>
        <v/>
      </c>
      <c r="EL4" s="28" t="str">
        <f>IFERROR(__xludf.DUMMYFUNCTION("""COMPUTED_VALUE"""),"")</f>
        <v/>
      </c>
      <c r="EM4" s="28" t="str">
        <f>IFERROR(__xludf.DUMMYFUNCTION("""COMPUTED_VALUE"""),"")</f>
        <v/>
      </c>
      <c r="EN4" s="28" t="str">
        <f>IFERROR(__xludf.DUMMYFUNCTION("""COMPUTED_VALUE"""),"")</f>
        <v/>
      </c>
      <c r="EO4" s="28" t="str">
        <f>IFERROR(__xludf.DUMMYFUNCTION("""COMPUTED_VALUE"""),"")</f>
        <v/>
      </c>
      <c r="EP4" s="28" t="str">
        <f>IFERROR(__xludf.DUMMYFUNCTION("""COMPUTED_VALUE"""),"")</f>
        <v/>
      </c>
      <c r="EQ4" s="28" t="str">
        <f>IFERROR(__xludf.DUMMYFUNCTION("""COMPUTED_VALUE"""),"")</f>
        <v/>
      </c>
      <c r="ER4" s="28" t="str">
        <f>IFERROR(__xludf.DUMMYFUNCTION("""COMPUTED_VALUE"""),"")</f>
        <v/>
      </c>
      <c r="ES4" s="28" t="str">
        <f>IFERROR(__xludf.DUMMYFUNCTION("""COMPUTED_VALUE"""),"")</f>
        <v/>
      </c>
      <c r="ET4" s="28" t="str">
        <f>IFERROR(__xludf.DUMMYFUNCTION("""COMPUTED_VALUE"""),"")</f>
        <v/>
      </c>
      <c r="EU4" s="28" t="str">
        <f>IFERROR(__xludf.DUMMYFUNCTION("""COMPUTED_VALUE"""),"")</f>
        <v/>
      </c>
      <c r="EV4" s="28" t="str">
        <f>IFERROR(__xludf.DUMMYFUNCTION("""COMPUTED_VALUE"""),"")</f>
        <v/>
      </c>
      <c r="EW4" s="28" t="str">
        <f>IFERROR(__xludf.DUMMYFUNCTION("""COMPUTED_VALUE"""),"")</f>
        <v/>
      </c>
      <c r="EX4" s="28" t="str">
        <f>IFERROR(__xludf.DUMMYFUNCTION("""COMPUTED_VALUE"""),"")</f>
        <v/>
      </c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tr">
        <f>IFERROR(__xludf.DUMMYFUNCTION("""COMPUTED_VALUE"""),"Account")</f>
        <v>Account</v>
      </c>
      <c r="C5" s="30" t="str">
        <f>IFERROR(__xludf.DUMMYFUNCTION("""COMPUTED_VALUE"""),"Asset Class")</f>
        <v>Asset Class</v>
      </c>
      <c r="D5" s="30" t="str">
        <f>IFERROR(__xludf.DUMMYFUNCTION("""COMPUTED_VALUE"""),"AUECID")</f>
        <v>AUECID</v>
      </c>
      <c r="E5" s="30" t="str">
        <f>IFERROR(__xludf.DUMMYFUNCTION("""COMPUTED_VALUE"""),"ExternalTransId")</f>
        <v>ExternalTransId</v>
      </c>
      <c r="F5" s="31" t="str">
        <f>IFERROR(__xludf.DUMMYFUNCTION("""COMPUTED_VALUE"""),"IsSwapped")</f>
        <v>IsSwapped</v>
      </c>
      <c r="G5" s="30" t="str">
        <f>IFERROR(__xludf.DUMMYFUNCTION("""COMPUTED_VALUE"""),"LotId")</f>
        <v>LotId</v>
      </c>
      <c r="H5" s="30" t="str">
        <f>IFERROR(__xludf.DUMMYFUNCTION("""COMPUTED_VALUE"""),"Net Notional")</f>
        <v>Net Notional</v>
      </c>
      <c r="I5" s="30" t="str">
        <f>IFERROR(__xludf.DUMMYFUNCTION("""COMPUTED_VALUE"""),"Opening Price")</f>
        <v>Opening Price</v>
      </c>
      <c r="J5" s="30" t="str">
        <f>IFERROR(__xludf.DUMMYFUNCTION("""COMPUTED_VALUE"""),"Original Purchase Date")</f>
        <v>Original Purchase Date</v>
      </c>
      <c r="K5" s="30" t="str">
        <f>IFERROR(__xludf.DUMMYFUNCTION("""COMPUTED_VALUE"""),"PositionTag")</f>
        <v>PositionTag</v>
      </c>
      <c r="L5" s="30" t="str">
        <f>IFERROR(__xludf.DUMMYFUNCTION("""COMPUTED_VALUE"""),"Process Date")</f>
        <v>Process Date</v>
      </c>
      <c r="M5" s="30" t="str">
        <f>IFERROR(__xludf.DUMMYFUNCTION("""COMPUTED_VALUE"""),"Quantity")</f>
        <v>Quantity</v>
      </c>
      <c r="N5" s="30" t="str">
        <f>IFERROR(__xludf.DUMMYFUNCTION("""COMPUTED_VALUE"""),"Security Name")</f>
        <v>Security Name</v>
      </c>
      <c r="O5" s="30" t="str">
        <f>IFERROR(__xludf.DUMMYFUNCTION("""COMPUTED_VALUE"""),"Settlement Currency")</f>
        <v>Settlement Currency</v>
      </c>
      <c r="P5" s="30" t="str">
        <f>IFERROR(__xludf.DUMMYFUNCTION("""COMPUTED_VALUE"""),"Side")</f>
        <v>Side</v>
      </c>
      <c r="Q5" s="30" t="str">
        <f>IFERROR(__xludf.DUMMYFUNCTION("""COMPUTED_VALUE"""),"Strategy")</f>
        <v>Strategy</v>
      </c>
      <c r="R5" s="30" t="str">
        <f>IFERROR(__xludf.DUMMYFUNCTION("""COMPUTED_VALUE"""),"Symbol")</f>
        <v>Symbol</v>
      </c>
      <c r="S5" s="30" t="str">
        <f>IFERROR(__xludf.DUMMYFUNCTION("""COMPUTED_VALUE"""),"Taxlot ID")</f>
        <v>Taxlot ID</v>
      </c>
      <c r="T5" s="33" t="str">
        <f>IFERROR(__xludf.DUMMYFUNCTION("""COMPUTED_VALUE"""),"Total Fees and Commission")</f>
        <v>Total Fees and Commission</v>
      </c>
      <c r="U5" s="33" t="str">
        <f>IFERROR(__xludf.DUMMYFUNCTION("""COMPUTED_VALUE"""),"Trade Date")</f>
        <v>Trade Date</v>
      </c>
      <c r="V5" s="33" t="str">
        <f>IFERROR(__xludf.DUMMYFUNCTION("""COMPUTED_VALUE"""),"Transaction Type")</f>
        <v>Transaction Type</v>
      </c>
      <c r="W5" s="33" t="str">
        <f>IFERROR(__xludf.DUMMYFUNCTION("""COMPUTED_VALUE"""),"UnderlyingName")</f>
        <v>UnderlyingName</v>
      </c>
      <c r="X5" s="33" t="str">
        <f>IFERROR(__xludf.DUMMYFUNCTION("""COMPUTED_VALUE"""),"UnitCost")</f>
        <v>UnitCost</v>
      </c>
      <c r="Y5" s="33" t="str">
        <f>IFERROR(__xludf.DUMMYFUNCTION("""COMPUTED_VALUE"""),"Unit Cost(Base)")</f>
        <v>Unit Cost(Base)</v>
      </c>
      <c r="Z5" s="33" t="str">
        <f>IFERROR(__xludf.DUMMYFUNCTION("""COMPUTED_VALUE"""),"AvgPriceBase")</f>
        <v>AvgPriceBase</v>
      </c>
      <c r="AA5" s="33" t="str">
        <f>IFERROR(__xludf.DUMMYFUNCTION("""COMPUTED_VALUE"""),"")</f>
        <v/>
      </c>
      <c r="AB5" s="33" t="str">
        <f>IFERROR(__xludf.DUMMYFUNCTION("""COMPUTED_VALUE"""),"")</f>
        <v/>
      </c>
      <c r="AC5" s="33" t="str">
        <f>IFERROR(__xludf.DUMMYFUNCTION("""COMPUTED_VALUE"""),"")</f>
        <v/>
      </c>
      <c r="AD5" s="33" t="str">
        <f>IFERROR(__xludf.DUMMYFUNCTION("""COMPUTED_VALUE"""),"")</f>
        <v/>
      </c>
      <c r="AE5" s="33" t="str">
        <f>IFERROR(__xludf.DUMMYFUNCTION("""COMPUTED_VALUE"""),"")</f>
        <v/>
      </c>
      <c r="AF5" s="33" t="str">
        <f>IFERROR(__xludf.DUMMYFUNCTION("""COMPUTED_VALUE"""),"")</f>
        <v/>
      </c>
      <c r="AG5" s="33" t="str">
        <f>IFERROR(__xludf.DUMMYFUNCTION("""COMPUTED_VALUE"""),"")</f>
        <v/>
      </c>
      <c r="AH5" s="33" t="str">
        <f>IFERROR(__xludf.DUMMYFUNCTION("""COMPUTED_VALUE"""),"")</f>
        <v/>
      </c>
      <c r="AI5" s="33" t="str">
        <f>IFERROR(__xludf.DUMMYFUNCTION("""COMPUTED_VALUE"""),"")</f>
        <v/>
      </c>
      <c r="AJ5" s="33" t="str">
        <f>IFERROR(__xludf.DUMMYFUNCTION("""COMPUTED_VALUE"""),"")</f>
        <v/>
      </c>
      <c r="AK5" s="33" t="str">
        <f>IFERROR(__xludf.DUMMYFUNCTION("""COMPUTED_VALUE"""),"")</f>
        <v/>
      </c>
      <c r="AL5" s="33" t="str">
        <f>IFERROR(__xludf.DUMMYFUNCTION("""COMPUTED_VALUE"""),"")</f>
        <v/>
      </c>
      <c r="AM5" s="33" t="str">
        <f>IFERROR(__xludf.DUMMYFUNCTION("""COMPUTED_VALUE"""),"")</f>
        <v/>
      </c>
      <c r="AN5" s="33" t="str">
        <f>IFERROR(__xludf.DUMMYFUNCTION("""COMPUTED_VALUE"""),"")</f>
        <v/>
      </c>
      <c r="AO5" s="33" t="str">
        <f>IFERROR(__xludf.DUMMYFUNCTION("""COMPUTED_VALUE"""),"")</f>
        <v/>
      </c>
      <c r="AP5" s="33" t="str">
        <f>IFERROR(__xludf.DUMMYFUNCTION("""COMPUTED_VALUE"""),"")</f>
        <v/>
      </c>
      <c r="AQ5" s="33" t="str">
        <f>IFERROR(__xludf.DUMMYFUNCTION("""COMPUTED_VALUE"""),"")</f>
        <v/>
      </c>
      <c r="AR5" s="33" t="str">
        <f>IFERROR(__xludf.DUMMYFUNCTION("""COMPUTED_VALUE"""),"")</f>
        <v/>
      </c>
      <c r="AS5" s="33" t="str">
        <f>IFERROR(__xludf.DUMMYFUNCTION("""COMPUTED_VALUE"""),"")</f>
        <v/>
      </c>
      <c r="AT5" s="33" t="str">
        <f>IFERROR(__xludf.DUMMYFUNCTION("""COMPUTED_VALUE"""),"")</f>
        <v/>
      </c>
      <c r="AU5" s="33" t="str">
        <f>IFERROR(__xludf.DUMMYFUNCTION("""COMPUTED_VALUE"""),"")</f>
        <v/>
      </c>
      <c r="AV5" s="33" t="str">
        <f>IFERROR(__xludf.DUMMYFUNCTION("""COMPUTED_VALUE"""),"")</f>
        <v/>
      </c>
      <c r="AW5" s="33" t="str">
        <f>IFERROR(__xludf.DUMMYFUNCTION("""COMPUTED_VALUE"""),"")</f>
        <v/>
      </c>
      <c r="AX5" s="33" t="str">
        <f>IFERROR(__xludf.DUMMYFUNCTION("""COMPUTED_VALUE"""),"")</f>
        <v/>
      </c>
      <c r="AY5" s="33" t="str">
        <f>IFERROR(__xludf.DUMMYFUNCTION("""COMPUTED_VALUE"""),"")</f>
        <v/>
      </c>
      <c r="AZ5" s="33" t="str">
        <f>IFERROR(__xludf.DUMMYFUNCTION("""COMPUTED_VALUE"""),"")</f>
        <v/>
      </c>
      <c r="BA5" s="33" t="str">
        <f>IFERROR(__xludf.DUMMYFUNCTION("""COMPUTED_VALUE"""),"")</f>
        <v/>
      </c>
      <c r="BB5" s="33" t="str">
        <f>IFERROR(__xludf.DUMMYFUNCTION("""COMPUTED_VALUE"""),"")</f>
        <v/>
      </c>
      <c r="BC5" s="33" t="str">
        <f>IFERROR(__xludf.DUMMYFUNCTION("""COMPUTED_VALUE"""),"")</f>
        <v/>
      </c>
      <c r="BD5" s="33" t="str">
        <f>IFERROR(__xludf.DUMMYFUNCTION("""COMPUTED_VALUE"""),"")</f>
        <v/>
      </c>
      <c r="BE5" s="33" t="str">
        <f>IFERROR(__xludf.DUMMYFUNCTION("""COMPUTED_VALUE"""),"")</f>
        <v/>
      </c>
      <c r="BF5" s="33" t="str">
        <f>IFERROR(__xludf.DUMMYFUNCTION("""COMPUTED_VALUE"""),"")</f>
        <v/>
      </c>
      <c r="BG5" s="33" t="str">
        <f>IFERROR(__xludf.DUMMYFUNCTION("""COMPUTED_VALUE"""),"")</f>
        <v/>
      </c>
      <c r="BH5" s="33" t="str">
        <f>IFERROR(__xludf.DUMMYFUNCTION("""COMPUTED_VALUE"""),"")</f>
        <v/>
      </c>
      <c r="BI5" s="33" t="str">
        <f>IFERROR(__xludf.DUMMYFUNCTION("""COMPUTED_VALUE"""),"")</f>
        <v/>
      </c>
      <c r="BJ5" s="33" t="str">
        <f>IFERROR(__xludf.DUMMYFUNCTION("""COMPUTED_VALUE"""),"")</f>
        <v/>
      </c>
      <c r="BK5" s="33" t="str">
        <f>IFERROR(__xludf.DUMMYFUNCTION("""COMPUTED_VALUE"""),"")</f>
        <v/>
      </c>
      <c r="BL5" s="33" t="str">
        <f>IFERROR(__xludf.DUMMYFUNCTION("""COMPUTED_VALUE"""),"")</f>
        <v/>
      </c>
      <c r="BM5" s="33" t="str">
        <f>IFERROR(__xludf.DUMMYFUNCTION("""COMPUTED_VALUE"""),"")</f>
        <v/>
      </c>
      <c r="BN5" s="33" t="str">
        <f>IFERROR(__xludf.DUMMYFUNCTION("""COMPUTED_VALUE"""),"")</f>
        <v/>
      </c>
      <c r="BO5" s="33" t="str">
        <f>IFERROR(__xludf.DUMMYFUNCTION("""COMPUTED_VALUE"""),"")</f>
        <v/>
      </c>
      <c r="BP5" s="33" t="str">
        <f>IFERROR(__xludf.DUMMYFUNCTION("""COMPUTED_VALUE"""),"")</f>
        <v/>
      </c>
      <c r="BQ5" s="33" t="str">
        <f>IFERROR(__xludf.DUMMYFUNCTION("""COMPUTED_VALUE"""),"")</f>
        <v/>
      </c>
      <c r="BR5" s="33" t="str">
        <f>IFERROR(__xludf.DUMMYFUNCTION("""COMPUTED_VALUE"""),"")</f>
        <v/>
      </c>
      <c r="BS5" s="33" t="str">
        <f>IFERROR(__xludf.DUMMYFUNCTION("""COMPUTED_VALUE"""),"")</f>
        <v/>
      </c>
      <c r="BT5" s="33" t="str">
        <f>IFERROR(__xludf.DUMMYFUNCTION("""COMPUTED_VALUE"""),"")</f>
        <v/>
      </c>
      <c r="BU5" s="33" t="str">
        <f>IFERROR(__xludf.DUMMYFUNCTION("""COMPUTED_VALUE"""),"")</f>
        <v/>
      </c>
      <c r="BV5" s="33" t="str">
        <f>IFERROR(__xludf.DUMMYFUNCTION("""COMPUTED_VALUE"""),"")</f>
        <v/>
      </c>
      <c r="BW5" s="33" t="str">
        <f>IFERROR(__xludf.DUMMYFUNCTION("""COMPUTED_VALUE"""),"")</f>
        <v/>
      </c>
      <c r="BX5" s="33" t="str">
        <f>IFERROR(__xludf.DUMMYFUNCTION("""COMPUTED_VALUE"""),"")</f>
        <v/>
      </c>
      <c r="BY5" s="33" t="str">
        <f>IFERROR(__xludf.DUMMYFUNCTION("""COMPUTED_VALUE"""),"")</f>
        <v/>
      </c>
      <c r="BZ5" s="33" t="str">
        <f>IFERROR(__xludf.DUMMYFUNCTION("""COMPUTED_VALUE"""),"")</f>
        <v/>
      </c>
      <c r="CA5" s="33" t="str">
        <f>IFERROR(__xludf.DUMMYFUNCTION("""COMPUTED_VALUE"""),"")</f>
        <v/>
      </c>
      <c r="CB5" s="33" t="str">
        <f>IFERROR(__xludf.DUMMYFUNCTION("""COMPUTED_VALUE"""),"")</f>
        <v/>
      </c>
      <c r="CC5" s="33" t="str">
        <f>IFERROR(__xludf.DUMMYFUNCTION("""COMPUTED_VALUE"""),"")</f>
        <v/>
      </c>
      <c r="CD5" s="33" t="str">
        <f>IFERROR(__xludf.DUMMYFUNCTION("""COMPUTED_VALUE"""),"")</f>
        <v/>
      </c>
      <c r="CE5" s="33" t="str">
        <f>IFERROR(__xludf.DUMMYFUNCTION("""COMPUTED_VALUE"""),"")</f>
        <v/>
      </c>
      <c r="CF5" s="33" t="str">
        <f>IFERROR(__xludf.DUMMYFUNCTION("""COMPUTED_VALUE"""),"")</f>
        <v/>
      </c>
      <c r="CG5" s="33" t="str">
        <f>IFERROR(__xludf.DUMMYFUNCTION("""COMPUTED_VALUE"""),"")</f>
        <v/>
      </c>
      <c r="CH5" s="33" t="str">
        <f>IFERROR(__xludf.DUMMYFUNCTION("""COMPUTED_VALUE"""),"")</f>
        <v/>
      </c>
      <c r="CI5" s="33" t="str">
        <f>IFERROR(__xludf.DUMMYFUNCTION("""COMPUTED_VALUE"""),"")</f>
        <v/>
      </c>
      <c r="CJ5" s="33" t="str">
        <f>IFERROR(__xludf.DUMMYFUNCTION("""COMPUTED_VALUE"""),"")</f>
        <v/>
      </c>
      <c r="CK5" s="33" t="str">
        <f>IFERROR(__xludf.DUMMYFUNCTION("""COMPUTED_VALUE"""),"")</f>
        <v/>
      </c>
      <c r="CL5" s="33" t="str">
        <f>IFERROR(__xludf.DUMMYFUNCTION("""COMPUTED_VALUE"""),"")</f>
        <v/>
      </c>
      <c r="CM5" s="33" t="str">
        <f>IFERROR(__xludf.DUMMYFUNCTION("""COMPUTED_VALUE"""),"")</f>
        <v/>
      </c>
      <c r="CN5" s="33" t="str">
        <f>IFERROR(__xludf.DUMMYFUNCTION("""COMPUTED_VALUE"""),"")</f>
        <v/>
      </c>
      <c r="CO5" s="33" t="str">
        <f>IFERROR(__xludf.DUMMYFUNCTION("""COMPUTED_VALUE"""),"")</f>
        <v/>
      </c>
      <c r="CP5" s="33" t="str">
        <f>IFERROR(__xludf.DUMMYFUNCTION("""COMPUTED_VALUE"""),"")</f>
        <v/>
      </c>
      <c r="CQ5" s="33" t="str">
        <f>IFERROR(__xludf.DUMMYFUNCTION("""COMPUTED_VALUE"""),"")</f>
        <v/>
      </c>
      <c r="CR5" s="33" t="str">
        <f>IFERROR(__xludf.DUMMYFUNCTION("""COMPUTED_VALUE"""),"")</f>
        <v/>
      </c>
      <c r="CS5" s="33" t="str">
        <f>IFERROR(__xludf.DUMMYFUNCTION("""COMPUTED_VALUE"""),"")</f>
        <v/>
      </c>
      <c r="CT5" s="33" t="str">
        <f>IFERROR(__xludf.DUMMYFUNCTION("""COMPUTED_VALUE"""),"")</f>
        <v/>
      </c>
      <c r="CU5" s="33" t="str">
        <f>IFERROR(__xludf.DUMMYFUNCTION("""COMPUTED_VALUE"""),"")</f>
        <v/>
      </c>
      <c r="CV5" s="33" t="str">
        <f>IFERROR(__xludf.DUMMYFUNCTION("""COMPUTED_VALUE"""),"")</f>
        <v/>
      </c>
      <c r="CW5" s="33" t="str">
        <f>IFERROR(__xludf.DUMMYFUNCTION("""COMPUTED_VALUE"""),"")</f>
        <v/>
      </c>
      <c r="CX5" s="33" t="str">
        <f>IFERROR(__xludf.DUMMYFUNCTION("""COMPUTED_VALUE"""),"")</f>
        <v/>
      </c>
      <c r="CY5" s="33" t="str">
        <f>IFERROR(__xludf.DUMMYFUNCTION("""COMPUTED_VALUE"""),"")</f>
        <v/>
      </c>
      <c r="CZ5" s="33" t="str">
        <f>IFERROR(__xludf.DUMMYFUNCTION("""COMPUTED_VALUE"""),"")</f>
        <v/>
      </c>
      <c r="DA5" s="33" t="str">
        <f>IFERROR(__xludf.DUMMYFUNCTION("""COMPUTED_VALUE"""),"")</f>
        <v/>
      </c>
      <c r="DB5" s="33" t="str">
        <f>IFERROR(__xludf.DUMMYFUNCTION("""COMPUTED_VALUE"""),"")</f>
        <v/>
      </c>
      <c r="DC5" s="33" t="str">
        <f>IFERROR(__xludf.DUMMYFUNCTION("""COMPUTED_VALUE"""),"")</f>
        <v/>
      </c>
      <c r="DD5" s="33" t="str">
        <f>IFERROR(__xludf.DUMMYFUNCTION("""COMPUTED_VALUE"""),"")</f>
        <v/>
      </c>
      <c r="DE5" s="33" t="str">
        <f>IFERROR(__xludf.DUMMYFUNCTION("""COMPUTED_VALUE"""),"")</f>
        <v/>
      </c>
      <c r="DF5" s="33" t="str">
        <f>IFERROR(__xludf.DUMMYFUNCTION("""COMPUTED_VALUE"""),"")</f>
        <v/>
      </c>
      <c r="DG5" s="33" t="str">
        <f>IFERROR(__xludf.DUMMYFUNCTION("""COMPUTED_VALUE"""),"")</f>
        <v/>
      </c>
      <c r="DH5" s="33" t="str">
        <f>IFERROR(__xludf.DUMMYFUNCTION("""COMPUTED_VALUE"""),"")</f>
        <v/>
      </c>
      <c r="DI5" s="33" t="str">
        <f>IFERROR(__xludf.DUMMYFUNCTION("""COMPUTED_VALUE"""),"")</f>
        <v/>
      </c>
      <c r="DJ5" s="33" t="str">
        <f>IFERROR(__xludf.DUMMYFUNCTION("""COMPUTED_VALUE"""),"")</f>
        <v/>
      </c>
      <c r="DK5" s="33" t="str">
        <f>IFERROR(__xludf.DUMMYFUNCTION("""COMPUTED_VALUE"""),"")</f>
        <v/>
      </c>
      <c r="DL5" s="33" t="str">
        <f>IFERROR(__xludf.DUMMYFUNCTION("""COMPUTED_VALUE"""),"")</f>
        <v/>
      </c>
      <c r="DM5" s="33" t="str">
        <f>IFERROR(__xludf.DUMMYFUNCTION("""COMPUTED_VALUE"""),"")</f>
        <v/>
      </c>
      <c r="DN5" s="33" t="str">
        <f>IFERROR(__xludf.DUMMYFUNCTION("""COMPUTED_VALUE"""),"")</f>
        <v/>
      </c>
      <c r="DO5" s="33" t="str">
        <f>IFERROR(__xludf.DUMMYFUNCTION("""COMPUTED_VALUE"""),"")</f>
        <v/>
      </c>
      <c r="DP5" s="33" t="str">
        <f>IFERROR(__xludf.DUMMYFUNCTION("""COMPUTED_VALUE"""),"")</f>
        <v/>
      </c>
      <c r="DQ5" s="33" t="str">
        <f>IFERROR(__xludf.DUMMYFUNCTION("""COMPUTED_VALUE"""),"")</f>
        <v/>
      </c>
      <c r="DR5" s="33" t="str">
        <f>IFERROR(__xludf.DUMMYFUNCTION("""COMPUTED_VALUE"""),"")</f>
        <v/>
      </c>
      <c r="DS5" s="33" t="str">
        <f>IFERROR(__xludf.DUMMYFUNCTION("""COMPUTED_VALUE"""),"")</f>
        <v/>
      </c>
      <c r="DT5" s="33" t="str">
        <f>IFERROR(__xludf.DUMMYFUNCTION("""COMPUTED_VALUE"""),"")</f>
        <v/>
      </c>
      <c r="DU5" s="33" t="str">
        <f>IFERROR(__xludf.DUMMYFUNCTION("""COMPUTED_VALUE"""),"")</f>
        <v/>
      </c>
      <c r="DV5" s="33" t="str">
        <f>IFERROR(__xludf.DUMMYFUNCTION("""COMPUTED_VALUE"""),"")</f>
        <v/>
      </c>
      <c r="DW5" s="33" t="str">
        <f>IFERROR(__xludf.DUMMYFUNCTION("""COMPUTED_VALUE"""),"")</f>
        <v/>
      </c>
      <c r="DX5" s="33" t="str">
        <f>IFERROR(__xludf.DUMMYFUNCTION("""COMPUTED_VALUE"""),"")</f>
        <v/>
      </c>
      <c r="DY5" s="33" t="str">
        <f>IFERROR(__xludf.DUMMYFUNCTION("""COMPUTED_VALUE"""),"")</f>
        <v/>
      </c>
      <c r="DZ5" s="33" t="str">
        <f>IFERROR(__xludf.DUMMYFUNCTION("""COMPUTED_VALUE"""),"")</f>
        <v/>
      </c>
      <c r="EA5" s="33" t="str">
        <f>IFERROR(__xludf.DUMMYFUNCTION("""COMPUTED_VALUE"""),"")</f>
        <v/>
      </c>
      <c r="EB5" s="33" t="str">
        <f>IFERROR(__xludf.DUMMYFUNCTION("""COMPUTED_VALUE"""),"")</f>
        <v/>
      </c>
      <c r="EC5" s="33" t="str">
        <f>IFERROR(__xludf.DUMMYFUNCTION("""COMPUTED_VALUE"""),"")</f>
        <v/>
      </c>
      <c r="ED5" s="33" t="str">
        <f>IFERROR(__xludf.DUMMYFUNCTION("""COMPUTED_VALUE"""),"")</f>
        <v/>
      </c>
      <c r="EE5" s="33" t="str">
        <f>IFERROR(__xludf.DUMMYFUNCTION("""COMPUTED_VALUE"""),"")</f>
        <v/>
      </c>
      <c r="EF5" s="33" t="str">
        <f>IFERROR(__xludf.DUMMYFUNCTION("""COMPUTED_VALUE"""),"")</f>
        <v/>
      </c>
      <c r="EG5" s="33" t="str">
        <f>IFERROR(__xludf.DUMMYFUNCTION("""COMPUTED_VALUE"""),"")</f>
        <v/>
      </c>
      <c r="EH5" s="33" t="str">
        <f>IFERROR(__xludf.DUMMYFUNCTION("""COMPUTED_VALUE"""),"")</f>
        <v/>
      </c>
      <c r="EI5" s="33" t="str">
        <f>IFERROR(__xludf.DUMMYFUNCTION("""COMPUTED_VALUE"""),"")</f>
        <v/>
      </c>
      <c r="EJ5" s="33" t="str">
        <f>IFERROR(__xludf.DUMMYFUNCTION("""COMPUTED_VALUE"""),"")</f>
        <v/>
      </c>
      <c r="EK5" s="33" t="str">
        <f>IFERROR(__xludf.DUMMYFUNCTION("""COMPUTED_VALUE"""),"")</f>
        <v/>
      </c>
      <c r="EL5" s="33" t="str">
        <f>IFERROR(__xludf.DUMMYFUNCTION("""COMPUTED_VALUE"""),"")</f>
        <v/>
      </c>
      <c r="EM5" s="33" t="str">
        <f>IFERROR(__xludf.DUMMYFUNCTION("""COMPUTED_VALUE"""),"")</f>
        <v/>
      </c>
      <c r="EN5" s="33" t="str">
        <f>IFERROR(__xludf.DUMMYFUNCTION("""COMPUTED_VALUE"""),"")</f>
        <v/>
      </c>
      <c r="EO5" s="33" t="str">
        <f>IFERROR(__xludf.DUMMYFUNCTION("""COMPUTED_VALUE"""),"")</f>
        <v/>
      </c>
      <c r="EP5" s="33" t="str">
        <f>IFERROR(__xludf.DUMMYFUNCTION("""COMPUTED_VALUE"""),"")</f>
        <v/>
      </c>
      <c r="EQ5" s="33" t="str">
        <f>IFERROR(__xludf.DUMMYFUNCTION("""COMPUTED_VALUE"""),"")</f>
        <v/>
      </c>
      <c r="ER5" s="33" t="str">
        <f>IFERROR(__xludf.DUMMYFUNCTION("""COMPUTED_VALUE"""),"")</f>
        <v/>
      </c>
      <c r="ES5" s="33" t="str">
        <f>IFERROR(__xludf.DUMMYFUNCTION("""COMPUTED_VALUE"""),"")</f>
        <v/>
      </c>
      <c r="ET5" s="33" t="str">
        <f>IFERROR(__xludf.DUMMYFUNCTION("""COMPUTED_VALUE"""),"")</f>
        <v/>
      </c>
      <c r="EU5" s="33" t="str">
        <f>IFERROR(__xludf.DUMMYFUNCTION("""COMPUTED_VALUE"""),"")</f>
        <v/>
      </c>
      <c r="EV5" s="33" t="str">
        <f>IFERROR(__xludf.DUMMYFUNCTION("""COMPUTED_VALUE"""),"")</f>
        <v/>
      </c>
      <c r="EW5" s="33" t="str">
        <f>IFERROR(__xludf.DUMMYFUNCTION("""COMPUTED_VALUE"""),"")</f>
        <v/>
      </c>
      <c r="EX5" s="33" t="str">
        <f>IFERROR(__xludf.DUMMYFUNCTION("""COMPUTED_VALUE"""),"")</f>
        <v/>
      </c>
    </row>
    <row r="6" ht="15.75" customHeight="1">
      <c r="A6" s="10"/>
      <c r="B6" s="10" t="s">
        <v>18</v>
      </c>
      <c r="C6" s="7"/>
      <c r="D6" s="10"/>
      <c r="E6" s="50"/>
      <c r="F6" s="7"/>
      <c r="G6" s="7"/>
      <c r="H6" s="7"/>
      <c r="I6" s="10">
        <v>12.0</v>
      </c>
      <c r="J6" s="7"/>
      <c r="K6" s="7"/>
      <c r="L6" s="7"/>
      <c r="M6" s="10">
        <v>100.0</v>
      </c>
      <c r="N6" s="7"/>
      <c r="O6" s="7"/>
      <c r="P6" s="44" t="s">
        <v>20</v>
      </c>
      <c r="R6" s="44" t="s">
        <v>16</v>
      </c>
    </row>
    <row r="7" ht="15.75" customHeight="1">
      <c r="A7" s="7"/>
      <c r="B7" s="10" t="s">
        <v>18</v>
      </c>
      <c r="C7" s="7"/>
      <c r="D7" s="7"/>
      <c r="E7" s="7"/>
      <c r="F7" s="7"/>
      <c r="G7" s="7"/>
      <c r="H7" s="7"/>
      <c r="I7" s="10">
        <v>12.0</v>
      </c>
      <c r="J7" s="7"/>
      <c r="K7" s="7"/>
      <c r="L7" s="7"/>
      <c r="M7" s="10">
        <v>100.0</v>
      </c>
      <c r="N7" s="7"/>
      <c r="O7" s="7"/>
      <c r="P7" s="44" t="s">
        <v>20</v>
      </c>
      <c r="R7" s="44" t="s">
        <v>16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