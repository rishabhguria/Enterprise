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UpdateServerConfig" sheetId="5" r:id="rId7"/>
    <sheet state="visible" name="AcknowledgeTrade" sheetId="6" r:id="rId8"/>
    <sheet state="visible" name="ExecuteTrade" sheetId="7" r:id="rId9"/>
    <sheet state="visible" name="EnterAccountValuesToAllocate" sheetId="8" r:id="rId10"/>
    <sheet state="visible" name="SelectUnallocatedGroup" sheetId="9" r:id="rId11"/>
    <sheet state="visible" name="GetDataAllocation" sheetId="10" r:id="rId12"/>
    <sheet state="visible" name="CheckAllocatedGroups" sheetId="11" r:id="rId13"/>
    <sheet state="visible" name="AcknowledgeTrade1" sheetId="12" r:id="rId14"/>
    <sheet state="visible" name="ExecuteTrade1" sheetId="13" r:id="rId15"/>
    <sheet state="visible" name="ExecuteTrade2" sheetId="14" r:id="rId16"/>
    <sheet state="visible" name="AcknowledgeTrade2" sheetId="15" r:id="rId17"/>
    <sheet state="visible" name="GroupTrades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<sst xmlns="http://schemas.openxmlformats.org/spreadsheetml/2006/main" count="187" uniqueCount="57">
  <si>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</si>
  <si>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</si>
  <si>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</si>
  <si>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</si>
  <si>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</si>
  <si>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</si>
  <si>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</si>
  <si>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</si>
  <si>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</si>
  <si>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</si>
  <si>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</si>
  <si>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</si>
  <si>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</si>
  <si>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</si>
  <si>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</si>
  <si>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</si>
  <si>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</si>
  <si>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</si>
  <si>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</si>
  <si>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</si>
  <si>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Good Till Date</t>
  </si>
  <si>
    <t>Limit</t>
  </si>
  <si>
    <t>TradeServer</t>
  </si>
  <si>
    <t>UpdateServerConfig</t>
  </si>
  <si>
    <t>MultiDayTIF</t>
  </si>
  <si>
    <t>Simulator</t>
  </si>
  <si>
    <t>AcknowledgeTrade</t>
  </si>
  <si>
    <t>ExecuteTrade</t>
  </si>
  <si>
    <t>Allocation</t>
  </si>
  <si>
    <t>EnterAccountValuesToAllocate</t>
  </si>
  <si>
    <t>Allocation1</t>
  </si>
  <si>
    <t>SelectUnallocatedGroup</t>
  </si>
  <si>
    <t>GetDataAllocation</t>
  </si>
  <si>
    <t>Historical</t>
  </si>
  <si>
    <t>CheckAllocatedGroups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</si>
  <si>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</si>
  <si>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</si>
  <si>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</si>
  <si>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</si>
  <si>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</si>
  <si>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</si>
  <si>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</si>
  <si>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</si>
  <si>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</si>
  <si>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</si>
  <si>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</si>
  <si>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Strategy Unallocated</t>
  </si>
  <si>
    <t>US</t>
  </si>
  <si>
    <t>Samsara</t>
  </si>
  <si>
    <t>NONE</t>
  </si>
  <si>
    <t>NewMF</t>
  </si>
  <si>
    <t>GroupTrades</t>
  </si>
  <si>
    <t>MSFT</t>
  </si>
  <si>
    <t>GOOG</t>
  </si>
  <si>
    <t>Blotter</t>
  </si>
  <si>
    <t>VerifySubOrder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</si>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</sst>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 vertical="bottom"/>
    </xf>
    <xf borderId="0" fillId="0" fontId="3" numFmtId="4" xfId="0" applyAlignment="1" applyFont="1" applyNumberForma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5000.0</v>
      </c>
      <c r="D6" s="31"/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1" t="s">
        <v>20</v>
      </c>
      <c r="V6" s="36" t="s">
        <v>21</v>
      </c>
      <c r="W6" s="35"/>
      <c r="X6" s="37">
        <v>315.95</v>
      </c>
      <c r="Y6" s="38">
        <f t="shared" ref="Y6:Y8" si="1">TODAY()+4</f>
        <v>45962</v>
      </c>
      <c r="Z6" s="38">
        <f>TODAY()-1</f>
        <v>45957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16</v>
      </c>
      <c r="C7" s="39">
        <v>5001.0</v>
      </c>
      <c r="D7" s="31"/>
      <c r="E7" s="34" t="s">
        <v>17</v>
      </c>
      <c r="F7" s="35"/>
      <c r="G7" s="35"/>
      <c r="H7" s="35"/>
      <c r="I7" s="34" t="s">
        <v>18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20</v>
      </c>
      <c r="V7" s="36" t="s">
        <v>21</v>
      </c>
      <c r="W7" s="35"/>
      <c r="X7" s="37">
        <v>315.95</v>
      </c>
      <c r="Y7" s="38">
        <f t="shared" si="1"/>
        <v>45962</v>
      </c>
      <c r="Z7" s="38">
        <f t="shared" ref="Z7:Z8" si="2">TODAY()</f>
        <v>45958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 t="s">
        <v>16</v>
      </c>
      <c r="C8" s="39">
        <v>5002.0</v>
      </c>
      <c r="D8" s="31"/>
      <c r="E8" s="34" t="s">
        <v>17</v>
      </c>
      <c r="F8" s="35"/>
      <c r="G8" s="35"/>
      <c r="H8" s="35"/>
      <c r="I8" s="34" t="s">
        <v>18</v>
      </c>
      <c r="J8" s="34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 t="s">
        <v>20</v>
      </c>
      <c r="V8" s="36" t="s">
        <v>21</v>
      </c>
      <c r="W8" s="35"/>
      <c r="X8" s="37">
        <v>315.95</v>
      </c>
      <c r="Y8" s="38">
        <f t="shared" si="1"/>
        <v>45962</v>
      </c>
      <c r="Z8" s="38">
        <f t="shared" si="2"/>
        <v>45958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24</v>
      </c>
      <c r="C6" s="39">
        <v>6.0</v>
      </c>
      <c r="D6" s="31"/>
      <c r="E6" s="34"/>
      <c r="F6" s="35"/>
      <c r="G6" s="35"/>
      <c r="H6" s="35"/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1"/>
      <c r="V6" s="36"/>
      <c r="W6" s="35"/>
      <c r="X6" s="37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/>
      <c r="C7" s="39"/>
      <c r="D7" s="31"/>
      <c r="E7" s="34"/>
      <c r="F7" s="35"/>
      <c r="G7" s="35"/>
      <c r="H7" s="35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6"/>
      <c r="W7" s="35"/>
      <c r="X7" s="37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/>
      <c r="C8" s="39"/>
      <c r="D8" s="31"/>
      <c r="E8" s="34"/>
      <c r="F8" s="35"/>
      <c r="G8" s="35"/>
      <c r="H8" s="35"/>
      <c r="I8" s="34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6"/>
      <c r="W8" s="35"/>
      <c r="X8" s="37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19</v>
      </c>
      <c r="C6" s="34" t="s">
        <v>16</v>
      </c>
      <c r="D6" s="31"/>
      <c r="E6" s="35"/>
      <c r="F6" s="35"/>
      <c r="G6" s="33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315.95</v>
      </c>
      <c r="C6" s="33">
        <v>2500.0</v>
      </c>
      <c r="D6" s="36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30</v>
      </c>
      <c r="C6" s="33">
        <v>100.0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19</v>
      </c>
      <c r="D6" s="33">
        <v>5000.0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32" t="s">
        <v>16</v>
      </c>
      <c r="C7" s="34" t="s">
        <v>19</v>
      </c>
      <c r="D7" s="39">
        <v>5001.0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16</v>
      </c>
      <c r="C8" s="34" t="s">
        <v>19</v>
      </c>
      <c r="D8" s="39">
        <v>5002.0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43">
        <f>today()-20</f>
        <v>45938</v>
      </c>
      <c r="D6" s="43">
        <f>today()+100</f>
        <v>46058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36" t="s">
        <v>35</v>
      </c>
      <c r="D6" s="31"/>
      <c r="E6" s="44"/>
      <c r="F6" s="36" t="s">
        <v>36</v>
      </c>
      <c r="G6" s="36" t="s">
        <v>37</v>
      </c>
      <c r="H6" s="36">
        <v>4.0</v>
      </c>
      <c r="I6" s="36">
        <v>5.0</v>
      </c>
      <c r="J6" s="36">
        <v>1.0</v>
      </c>
      <c r="M6" s="36" t="s">
        <v>38</v>
      </c>
      <c r="N6" s="36" t="s">
        <v>39</v>
      </c>
      <c r="O6" s="36" t="s">
        <v>40</v>
      </c>
      <c r="P6" s="35"/>
      <c r="Q6" s="36">
        <v>3.0</v>
      </c>
      <c r="R6" s="36">
        <v>0.0</v>
      </c>
      <c r="S6" s="36" t="s">
        <v>41</v>
      </c>
      <c r="U6" s="35"/>
      <c r="V6" s="36" t="s">
        <v>42</v>
      </c>
      <c r="W6" s="35"/>
      <c r="X6" s="36"/>
      <c r="Y6" s="35"/>
      <c r="Z6" s="36" t="s">
        <v>43</v>
      </c>
      <c r="AA6" s="36" t="s">
        <v>16</v>
      </c>
      <c r="AC6" s="35"/>
      <c r="AD6" s="36" t="s">
        <v>44</v>
      </c>
      <c r="AE6" s="44"/>
      <c r="AG6" s="35"/>
      <c r="AH6" s="36" t="s">
        <v>45</v>
      </c>
      <c r="AI6" s="36">
        <v>1.0</v>
      </c>
      <c r="AK6" s="35"/>
      <c r="AL6" s="35"/>
      <c r="AM6" s="35"/>
      <c r="AN6" s="35"/>
      <c r="AO6" s="35"/>
      <c r="AP6" s="36" t="b">
        <v>0</v>
      </c>
      <c r="AQ6" s="36" t="b">
        <v>0</v>
      </c>
      <c r="AR6" s="36" t="b">
        <v>0</v>
      </c>
      <c r="AS6" s="35"/>
      <c r="AT6" s="35"/>
      <c r="AU6" s="35"/>
      <c r="AV6" s="35"/>
      <c r="AW6" s="35"/>
      <c r="AX6" s="35"/>
      <c r="AY6" s="36" t="s">
        <v>21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4">
        <v>15003.0</v>
      </c>
      <c r="BK6" s="36">
        <v>0.0</v>
      </c>
      <c r="BL6" s="36"/>
      <c r="BM6" s="36" t="s">
        <v>43</v>
      </c>
      <c r="BN6" s="35"/>
      <c r="BO6" s="35" t="s">
        <v>19</v>
      </c>
      <c r="BP6" s="35"/>
      <c r="BQ6" s="35"/>
      <c r="BR6" s="35"/>
      <c r="BS6" s="36" t="s">
        <v>46</v>
      </c>
      <c r="BT6" s="35" t="s">
        <v>16</v>
      </c>
      <c r="BU6" s="36">
        <v>3.0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6" t="s">
        <v>47</v>
      </c>
      <c r="CL6" s="36">
        <v>1.0</v>
      </c>
      <c r="CM6" s="36" t="s">
        <v>16</v>
      </c>
      <c r="CN6" s="36" t="s">
        <v>48</v>
      </c>
      <c r="CO6" s="36" t="s">
        <v>44</v>
      </c>
      <c r="CP6" s="36" t="s">
        <v>49</v>
      </c>
      <c r="CQ6" s="35"/>
      <c r="CR6" s="35"/>
      <c r="CS6" s="35"/>
      <c r="CT6" s="35"/>
      <c r="CU6" s="35"/>
      <c r="CV6" s="35"/>
      <c r="CW6" s="35"/>
      <c r="CX6" s="36" t="s">
        <v>50</v>
      </c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/>
      <c r="C7" s="35"/>
      <c r="D7" s="31"/>
      <c r="E7" s="33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6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2"/>
      <c r="C8" s="35"/>
      <c r="D8" s="31"/>
      <c r="E8" s="33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6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19</v>
      </c>
      <c r="C6" s="34" t="s">
        <v>16</v>
      </c>
      <c r="D6" s="31"/>
      <c r="E6" s="35"/>
      <c r="F6" s="35"/>
      <c r="G6" s="39">
        <v>5001.0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315.95</v>
      </c>
      <c r="C6" s="33">
        <v>2500.0</v>
      </c>
      <c r="D6" s="36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315.95</v>
      </c>
      <c r="C6" s="33">
        <v>2500.0</v>
      </c>
      <c r="D6" s="36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19</v>
      </c>
      <c r="C6" s="34" t="s">
        <v>16</v>
      </c>
      <c r="D6" s="31"/>
      <c r="E6" s="35"/>
      <c r="F6" s="35"/>
      <c r="G6" s="39">
        <v>5002.0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52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53</v>
      </c>
      <c r="C8" s="13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4" t="s">
        <v>19</v>
      </c>
      <c r="AK6" s="36" t="s">
        <v>56</v>
      </c>
      <c r="AL6" s="9">
        <v>5000.0</v>
      </c>
      <c r="AQ6" s="9" t="s">
        <v>40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34" t="s">
        <v>19</v>
      </c>
      <c r="AK7" s="36" t="s">
        <v>56</v>
      </c>
      <c r="AL7" s="9">
        <v>5001.0</v>
      </c>
      <c r="AQ7" s="9" t="s">
        <v>40</v>
      </c>
      <c r="A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16</v>
      </c>
      <c r="AJ8" s="34" t="s">
        <v>19</v>
      </c>
      <c r="AK8" s="36" t="s">
        <v>56</v>
      </c>
      <c r="AL8" s="9">
        <v>5002.0</v>
      </c>
      <c r="AQ8" s="9" t="s">
        <v>40</v>
      </c>
      <c r="AR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J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