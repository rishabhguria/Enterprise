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NewSubOrder" sheetId="6" r:id="rId8"/>
    <sheet state="visible" name="TradeNewSubOrder1" sheetId="7" r:id="rId9"/>
    <sheet state="visible" name="CreateNewSubOrder1" sheetId="8" r:id="rId10"/>
    <sheet state="visible" name="TradeNewSubOrder2" sheetId="9" r:id="rId11"/>
    <sheet state="visible" name="CreateNewSubOrder2" sheetId="10" r:id="rId12"/>
    <sheet state="visible" name="VerifyOrder" sheetId="11" r:id="rId13"/>
    <sheet state="visible" name="VerifySubOrder" sheetId="12" r:id="rId14"/>
    <sheet state="visible" name="GetDataAllocation" sheetId="13" r:id="rId15"/>
    <sheet state="visible" name="CheckAllocatedGroup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<sst xmlns="http://schemas.openxmlformats.org/spreadsheetml/2006/main" count="202" uniqueCount="43">
  <si>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</si>
  <si>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</si>
  <si>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</si>
  <si>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</si>
  <si>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</si>
  <si>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</si>
  <si>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</si>
  <si>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</si>
  <si>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</si>
  <si>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</si>
  <si>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</si>
  <si>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</si>
  <si>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</si>
  <si>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</si>
  <si>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</si>
  <si>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</si>
  <si>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</si>
  <si>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</si>
  <si>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</si>
  <si>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MS</t>
  </si>
  <si>
    <t>Blotter</t>
  </si>
  <si>
    <t>TradeNewSubOrder</t>
  </si>
  <si>
    <t>Equity</t>
  </si>
  <si>
    <t>New</t>
  </si>
  <si>
    <t>CreateNewSubOrder</t>
  </si>
  <si>
    <t>PartiallyFilled</t>
  </si>
  <si>
    <t>GS</t>
  </si>
  <si>
    <t>Bernstein</t>
  </si>
  <si>
    <t>VerifyOrder</t>
  </si>
  <si>
    <t>Multiple</t>
  </si>
  <si>
    <t>Market</t>
  </si>
  <si>
    <t>VerifySubOrder</t>
  </si>
  <si>
    <t>Filled</t>
  </si>
  <si>
    <t>Allocation</t>
  </si>
  <si>
    <t>GetDataAllocation</t>
  </si>
  <si>
    <t>Current</t>
  </si>
  <si>
    <t>CheckAllocatedGroups</t>
  </si>
  <si>
    <t>Open</t>
  </si>
  <si>
    <t>PortfolioManagement</t>
  </si>
  <si>
    <t>CheckPortfolioManagement</t>
  </si>
  <si>
    <t>Long</t>
  </si>
  <si>
    <t>US</t>
  </si>
  <si>
    <t>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</si>
</sst>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2" numFmtId="3" xfId="0" applyAlignment="1" applyFont="1" applyNumberFormat="1">
      <alignment readingOrder="0"/>
    </xf>
    <xf borderId="0" fillId="0" fontId="13" numFmtId="0" xfId="0" applyAlignment="1" applyFont="1">
      <alignment vertical="bottom"/>
    </xf>
    <xf borderId="0" fillId="0" fontId="13" numFmtId="164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0" fontId="3" numFmtId="0" xfId="0" applyAlignment="1" applyFont="1">
      <alignment readingOrder="0" shrinkToFit="0" wrapText="0"/>
    </xf>
    <xf borderId="0" fillId="0" fontId="5" numFmtId="3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IFERROR(__xludf.DUMMYFUNCTION("""COMPUTED_VALUE"""),"RebalanceAcrossSecuritiesViaBloomberg")</f>
        <v>RebalanceAcrossSecuritiesViaBloomberg</v>
      </c>
      <c r="C461" t="str">
        <f>IFERROR(__xludf.DUMMYFUNCTION("""COMPUTED_VALUE"""),"1z93mn3V8oo4z9cPizVEsKkgznY19l8cLUIZiwvfNHFs")</f>
        <v>1z93mn3V8oo4z9cPizVEsKkgznY19l8cLUIZiwvfNHFs</v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16</v>
      </c>
      <c r="C6" s="11" t="s">
        <v>17</v>
      </c>
      <c r="D6" s="11">
        <v>1000.0</v>
      </c>
      <c r="E6" s="11">
        <v>1000.0</v>
      </c>
      <c r="F6" s="11" t="s">
        <v>18</v>
      </c>
      <c r="G6" s="11" t="s">
        <v>19</v>
      </c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H6" s="9" t="s">
        <v>22</v>
      </c>
      <c r="AI6" s="9" t="s">
        <v>16</v>
      </c>
      <c r="AJ6" s="9" t="s">
        <v>17</v>
      </c>
      <c r="AK6" s="9" t="s">
        <v>23</v>
      </c>
      <c r="AL6" s="31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>
        <v>100.0</v>
      </c>
      <c r="E6" s="30"/>
      <c r="F6" s="8"/>
      <c r="G6" s="8"/>
      <c r="H6" s="8"/>
      <c r="I6" s="8"/>
      <c r="J6" s="11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H6" s="9" t="s">
        <v>22</v>
      </c>
      <c r="AI6" s="9" t="s">
        <v>16</v>
      </c>
      <c r="AJ6" s="9" t="s">
        <v>17</v>
      </c>
      <c r="AK6" s="9" t="s">
        <v>25</v>
      </c>
      <c r="AL6" s="31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>
        <v>100.0</v>
      </c>
      <c r="E6" s="30"/>
      <c r="F6" s="8"/>
      <c r="G6" s="11" t="s">
        <v>26</v>
      </c>
      <c r="H6" s="8"/>
      <c r="I6" s="8"/>
      <c r="J6" s="11">
        <v>30.0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H6" s="9" t="s">
        <v>22</v>
      </c>
      <c r="AI6" s="9" t="s">
        <v>16</v>
      </c>
      <c r="AJ6" s="9" t="s">
        <v>17</v>
      </c>
      <c r="AK6" s="9" t="s">
        <v>25</v>
      </c>
      <c r="AL6" s="31">
        <v>1000.0</v>
      </c>
      <c r="AM6" s="9">
        <v>200.0</v>
      </c>
      <c r="AN6" s="9">
        <v>20.0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TradeNewSubOrder2!$4:$4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>
        <v>150.0</v>
      </c>
      <c r="E6" s="30"/>
      <c r="F6" s="8"/>
      <c r="G6" s="11" t="s">
        <v>27</v>
      </c>
      <c r="H6" s="8"/>
      <c r="I6" s="8"/>
      <c r="J6" s="11">
        <v>40.0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32" width="14.43"/>
    <col customWidth="1" min="33" max="33" width="14.29"/>
    <col customWidth="1" min="34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>
        <v>31.4286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H6" s="9" t="s">
        <v>22</v>
      </c>
      <c r="AI6" s="9" t="s">
        <v>16</v>
      </c>
      <c r="AJ6" s="9" t="s">
        <v>17</v>
      </c>
      <c r="AK6" s="9" t="s">
        <v>25</v>
      </c>
      <c r="AL6" s="31">
        <v>1000.0</v>
      </c>
      <c r="AM6" s="9">
        <v>350.0</v>
      </c>
      <c r="AN6" s="9">
        <v>35.0</v>
      </c>
      <c r="AO6" s="9">
        <v>350.0</v>
      </c>
      <c r="AP6" s="9">
        <v>650.0</v>
      </c>
      <c r="AQ6" s="9">
        <v>40.0</v>
      </c>
      <c r="AR6" s="9">
        <v>31.4286</v>
      </c>
      <c r="AS6" s="9" t="s">
        <v>29</v>
      </c>
      <c r="AT6" s="9" t="s">
        <v>18</v>
      </c>
      <c r="AU6" s="9" t="s">
        <v>30</v>
      </c>
      <c r="AV6" s="31">
        <v>11000.0</v>
      </c>
      <c r="AW6" s="31">
        <v>11000.0</v>
      </c>
      <c r="AY6" s="31">
        <v>1000.0</v>
      </c>
      <c r="AZ6" s="9">
        <v>650.0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>
        <v>20.0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H6" s="9" t="s">
        <v>22</v>
      </c>
      <c r="AI6" s="9" t="s">
        <v>16</v>
      </c>
      <c r="AJ6" s="9" t="s">
        <v>17</v>
      </c>
      <c r="AK6" s="9" t="s">
        <v>32</v>
      </c>
      <c r="AL6" s="9">
        <v>100.0</v>
      </c>
      <c r="AM6" s="9">
        <v>100.0</v>
      </c>
      <c r="AO6" s="9">
        <v>20.0</v>
      </c>
      <c r="AP6" s="9">
        <v>20.0</v>
      </c>
      <c r="AQ6" s="9" t="s">
        <v>19</v>
      </c>
      <c r="AR6" s="9" t="s">
        <v>18</v>
      </c>
      <c r="AS6" s="9" t="s">
        <v>30</v>
      </c>
      <c r="AT6" s="31">
        <v>2000.0</v>
      </c>
      <c r="AU6" s="31">
        <v>2000.0</v>
      </c>
      <c r="AX6" s="9">
        <v>0.0</v>
      </c>
    </row>
    <row r="7" ht="15.75" customHeight="1">
      <c r="A7" s="8"/>
      <c r="B7" s="8"/>
      <c r="C7" s="8"/>
      <c r="D7" s="11">
        <v>30.0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D7" s="9">
        <v>1.0</v>
      </c>
      <c r="AH7" s="9" t="s">
        <v>22</v>
      </c>
      <c r="AI7" s="9" t="s">
        <v>16</v>
      </c>
      <c r="AJ7" s="9" t="s">
        <v>17</v>
      </c>
      <c r="AK7" s="9" t="s">
        <v>32</v>
      </c>
      <c r="AL7" s="9">
        <v>100.0</v>
      </c>
      <c r="AM7" s="9">
        <v>100.0</v>
      </c>
      <c r="AO7" s="9">
        <v>30.0</v>
      </c>
      <c r="AP7" s="9">
        <v>30.0</v>
      </c>
      <c r="AQ7" s="9" t="s">
        <v>26</v>
      </c>
      <c r="AR7" s="9" t="s">
        <v>18</v>
      </c>
      <c r="AS7" s="9" t="s">
        <v>30</v>
      </c>
      <c r="AT7" s="31">
        <v>3000.0</v>
      </c>
      <c r="AU7" s="31">
        <v>3000.0</v>
      </c>
      <c r="AX7" s="9">
        <v>0.0</v>
      </c>
    </row>
    <row r="8" ht="15.75" customHeight="1">
      <c r="A8" s="8"/>
      <c r="B8" s="8"/>
      <c r="C8" s="8"/>
      <c r="D8" s="11">
        <v>40.0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AD8" s="9">
        <v>1.0</v>
      </c>
      <c r="AH8" s="9" t="s">
        <v>22</v>
      </c>
      <c r="AI8" s="9" t="s">
        <v>16</v>
      </c>
      <c r="AJ8" s="9" t="s">
        <v>17</v>
      </c>
      <c r="AK8" s="9" t="s">
        <v>32</v>
      </c>
      <c r="AL8" s="9">
        <v>150.0</v>
      </c>
      <c r="AM8" s="9">
        <v>150.0</v>
      </c>
      <c r="AO8" s="9">
        <v>40.0</v>
      </c>
      <c r="AP8" s="9">
        <v>40.0</v>
      </c>
      <c r="AQ8" s="9" t="s">
        <v>27</v>
      </c>
      <c r="AR8" s="9" t="s">
        <v>18</v>
      </c>
      <c r="AS8" s="9" t="s">
        <v>30</v>
      </c>
      <c r="AT8" s="31">
        <v>6000.0</v>
      </c>
      <c r="AU8" s="31">
        <v>6000.0</v>
      </c>
      <c r="AX8" s="9">
        <v>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35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2" t="s">
        <v>18</v>
      </c>
      <c r="C6" s="8"/>
      <c r="D6" s="33">
        <v>0.0</v>
      </c>
      <c r="E6" s="33">
        <v>100.0</v>
      </c>
      <c r="F6" s="8"/>
      <c r="G6" s="11" t="s">
        <v>22</v>
      </c>
      <c r="H6" s="33">
        <v>4.0</v>
      </c>
      <c r="I6" s="33">
        <v>5.0</v>
      </c>
      <c r="J6" s="8"/>
      <c r="K6" s="33">
        <v>20.0</v>
      </c>
      <c r="L6" s="33">
        <v>20.0</v>
      </c>
      <c r="M6" s="8"/>
      <c r="N6" s="8"/>
      <c r="O6" s="34" t="s">
        <v>19</v>
      </c>
      <c r="Q6" s="33">
        <v>3.0</v>
      </c>
      <c r="R6" s="33">
        <v>0.0</v>
      </c>
      <c r="S6" s="9" t="s">
        <v>37</v>
      </c>
      <c r="T6" s="33">
        <v>0.0</v>
      </c>
      <c r="U6" s="33">
        <v>0.0</v>
      </c>
      <c r="AE6" s="33">
        <v>100.0</v>
      </c>
      <c r="AI6" s="9">
        <v>1.0</v>
      </c>
      <c r="AT6" s="33">
        <v>2014.0011</v>
      </c>
      <c r="AU6" s="33">
        <v>2014.0011</v>
      </c>
      <c r="AW6" s="33">
        <v>0.0</v>
      </c>
      <c r="AX6" s="33">
        <v>0.0</v>
      </c>
      <c r="AY6" s="9" t="s">
        <v>30</v>
      </c>
      <c r="AZ6" s="33">
        <v>0.0</v>
      </c>
      <c r="BC6" s="33">
        <v>0.0</v>
      </c>
      <c r="BE6" s="33">
        <v>2000.0</v>
      </c>
      <c r="BF6" s="33">
        <v>2000.0</v>
      </c>
      <c r="BJ6" s="33">
        <v>100.0</v>
      </c>
      <c r="BK6" s="33">
        <v>0.0</v>
      </c>
      <c r="BO6" s="9" t="s">
        <v>17</v>
      </c>
      <c r="BP6" s="33">
        <v>0.0</v>
      </c>
      <c r="BQ6" s="33">
        <v>0.0</v>
      </c>
      <c r="BT6" s="9" t="s">
        <v>16</v>
      </c>
      <c r="BU6" s="33">
        <v>3.0</v>
      </c>
      <c r="BV6" s="33">
        <v>0.0</v>
      </c>
      <c r="BW6" s="33">
        <v>14.0011</v>
      </c>
      <c r="BX6" s="33">
        <v>0.0</v>
      </c>
      <c r="CI6" s="9" t="s">
        <v>17</v>
      </c>
      <c r="CJ6" s="33">
        <v>0.0</v>
      </c>
    </row>
    <row r="7" ht="15.75" customHeight="1">
      <c r="A7" s="8"/>
      <c r="B7" s="34" t="s">
        <v>18</v>
      </c>
      <c r="C7" s="8"/>
      <c r="D7" s="33">
        <v>0.0</v>
      </c>
      <c r="E7" s="33">
        <v>100.0</v>
      </c>
      <c r="F7" s="8"/>
      <c r="G7" s="11" t="s">
        <v>22</v>
      </c>
      <c r="H7" s="33">
        <v>4.0</v>
      </c>
      <c r="I7" s="33">
        <v>5.0</v>
      </c>
      <c r="J7" s="8"/>
      <c r="K7" s="33">
        <v>30.0</v>
      </c>
      <c r="L7" s="33">
        <v>30.0</v>
      </c>
      <c r="M7" s="8"/>
      <c r="N7" s="8"/>
      <c r="O7" s="34" t="s">
        <v>26</v>
      </c>
      <c r="Q7" s="33">
        <v>3.0</v>
      </c>
      <c r="R7" s="33">
        <v>0.0</v>
      </c>
      <c r="S7" s="9" t="s">
        <v>37</v>
      </c>
      <c r="T7" s="33">
        <v>0.0</v>
      </c>
      <c r="U7" s="33">
        <v>0.0</v>
      </c>
      <c r="AE7" s="33">
        <v>100.0</v>
      </c>
      <c r="AI7" s="9">
        <v>1.0</v>
      </c>
      <c r="AT7" s="33">
        <v>3014.0017</v>
      </c>
      <c r="AU7" s="33">
        <v>3014.0017</v>
      </c>
      <c r="AW7" s="33">
        <v>0.0</v>
      </c>
      <c r="AX7" s="33">
        <v>0.0</v>
      </c>
      <c r="AY7" s="9" t="s">
        <v>30</v>
      </c>
      <c r="AZ7" s="33">
        <v>0.0</v>
      </c>
      <c r="BC7" s="33">
        <v>0.0</v>
      </c>
      <c r="BE7" s="33">
        <v>3000.0</v>
      </c>
      <c r="BF7" s="33">
        <v>3000.0</v>
      </c>
      <c r="BJ7" s="33">
        <v>100.0</v>
      </c>
      <c r="BK7" s="33">
        <v>0.0</v>
      </c>
      <c r="BO7" s="9" t="s">
        <v>17</v>
      </c>
      <c r="BP7" s="33">
        <v>0.0</v>
      </c>
      <c r="BQ7" s="33">
        <v>0.0</v>
      </c>
      <c r="BT7" s="9" t="s">
        <v>16</v>
      </c>
      <c r="BU7" s="33">
        <v>3.0</v>
      </c>
      <c r="BV7" s="33">
        <v>0.0</v>
      </c>
      <c r="BW7" s="33">
        <v>14.0017</v>
      </c>
      <c r="BX7" s="33">
        <v>0.0</v>
      </c>
      <c r="CI7" s="9" t="s">
        <v>17</v>
      </c>
      <c r="CJ7" s="33">
        <v>0.0</v>
      </c>
    </row>
    <row r="8" ht="15.75" customHeight="1">
      <c r="A8" s="8"/>
      <c r="B8" s="34" t="s">
        <v>18</v>
      </c>
      <c r="C8" s="8"/>
      <c r="D8" s="33">
        <v>0.0</v>
      </c>
      <c r="E8" s="33">
        <v>150.0</v>
      </c>
      <c r="F8" s="8"/>
      <c r="G8" s="11" t="s">
        <v>22</v>
      </c>
      <c r="H8" s="33">
        <v>4.0</v>
      </c>
      <c r="I8" s="33">
        <v>5.0</v>
      </c>
      <c r="J8" s="8"/>
      <c r="K8" s="33">
        <v>40.0</v>
      </c>
      <c r="L8" s="33">
        <v>40.0</v>
      </c>
      <c r="M8" s="8"/>
      <c r="N8" s="8"/>
      <c r="O8" s="34" t="s">
        <v>27</v>
      </c>
      <c r="Q8" s="33">
        <v>3.0</v>
      </c>
      <c r="R8" s="33">
        <v>0.0</v>
      </c>
      <c r="S8" s="9" t="s">
        <v>37</v>
      </c>
      <c r="T8" s="33">
        <v>0.0</v>
      </c>
      <c r="U8" s="33">
        <v>0.0</v>
      </c>
      <c r="AE8" s="33">
        <v>150.0</v>
      </c>
      <c r="AI8" s="9">
        <v>1.0</v>
      </c>
      <c r="AT8" s="33">
        <v>6014.0034</v>
      </c>
      <c r="AU8" s="33">
        <v>6014.0034</v>
      </c>
      <c r="AW8" s="33">
        <v>0.0</v>
      </c>
      <c r="AX8" s="33">
        <v>0.0</v>
      </c>
      <c r="AY8" s="9" t="s">
        <v>30</v>
      </c>
      <c r="AZ8" s="33">
        <v>0.0</v>
      </c>
      <c r="BC8" s="33">
        <v>0.0</v>
      </c>
      <c r="BE8" s="33">
        <v>6000.0</v>
      </c>
      <c r="BF8" s="33">
        <v>6000.0</v>
      </c>
      <c r="BJ8" s="33">
        <v>150.0</v>
      </c>
      <c r="BK8" s="33">
        <v>0.0</v>
      </c>
      <c r="BO8" s="9" t="s">
        <v>17</v>
      </c>
      <c r="BP8" s="33">
        <v>0.0</v>
      </c>
      <c r="BQ8" s="33">
        <v>0.0</v>
      </c>
      <c r="BT8" s="9" t="s">
        <v>16</v>
      </c>
      <c r="BU8" s="33">
        <v>3.0</v>
      </c>
      <c r="BV8" s="33">
        <v>0.0</v>
      </c>
      <c r="BW8" s="33">
        <v>14.0034</v>
      </c>
      <c r="BX8" s="33">
        <v>0.0</v>
      </c>
      <c r="CI8" s="9" t="s">
        <v>17</v>
      </c>
      <c r="CJ8" s="33">
        <v>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W9" s="34"/>
      <c r="AX9" s="34"/>
      <c r="AZ9" s="34"/>
      <c r="BC9" s="34"/>
      <c r="BJ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7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  <c r="EY4" s="25" t="str">
        <f>IFERROR(__xludf.DUMMYFUNCTION("""COMPUTED_VALUE"""),"")</f>
        <v/>
      </c>
      <c r="EZ4" s="25" t="str">
        <f>IFERROR(__xludf.DUMMYFUNCTION("""COMPUTED_VALUE"""),"")</f>
        <v/>
      </c>
      <c r="FA4" s="25" t="str">
        <f>IFERROR(__xludf.DUMMYFUNCTION("""COMPUTED_VALUE"""),"")</f>
        <v/>
      </c>
      <c r="FB4" s="25" t="str">
        <f>IFERROR(__xludf.DUMMYFUNCTION("""COMPUTED_VALUE"""),"")</f>
        <v/>
      </c>
      <c r="FC4" s="25" t="str">
        <f>IFERROR(__xludf.DUMMYFUNCTION("""COMPUTED_VALUE"""),"")</f>
        <v/>
      </c>
      <c r="FD4" s="25" t="str">
        <f>IFERROR(__xludf.DUMMYFUNCTION("""COMPUTED_VALUE"""),"")</f>
        <v/>
      </c>
      <c r="FE4" s="25" t="str">
        <f>IFERROR(__xludf.DUMMYFUNCTION("""COMPUTED_VALUE"""),"")</f>
        <v/>
      </c>
      <c r="FF4" s="25" t="str">
        <f>IFERROR(__xludf.DUMMYFUNCTION("""COMPUTED_VALUE"""),"")</f>
        <v/>
      </c>
      <c r="FG4" s="25" t="str">
        <f>IFERROR(__xludf.DUMMYFUNCTION("""COMPUTED_VALUE"""),"")</f>
        <v/>
      </c>
      <c r="FH4" s="25" t="str">
        <f>IFERROR(__xludf.DUMMYFUNCTION("""COMPUTED_VALUE"""),"")</f>
        <v/>
      </c>
      <c r="FI4" s="25" t="str">
        <f>IFERROR(__xludf.DUMMYFUNCTION("""COMPUTED_VALUE"""),"")</f>
        <v/>
      </c>
      <c r="FJ4" s="25" t="str">
        <f>IFERROR(__xludf.DUMMYFUNCTION("""COMPUTED_VALUE"""),"")</f>
        <v/>
      </c>
      <c r="FK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IFERROR(__xludf.DUMMYFUNCTION("""COMPUTED_VALUE"""),"")</f>
        <v/>
      </c>
      <c r="FC5" s="29" t="str">
        <f>IFERROR(__xludf.DUMMYFUNCTION("""COMPUTED_VALUE"""),"")</f>
        <v/>
      </c>
      <c r="FD5" s="29" t="str">
        <f>IFERROR(__xludf.DUMMYFUNCTION("""COMPUTED_VALUE"""),"")</f>
        <v/>
      </c>
      <c r="FE5" s="29" t="str">
        <f>IFERROR(__xludf.DUMMYFUNCTION("""COMPUTED_VALUE"""),"")</f>
        <v/>
      </c>
      <c r="FF5" s="29" t="str">
        <f>IFERROR(__xludf.DUMMYFUNCTION("""COMPUTED_VALUE"""),"")</f>
        <v/>
      </c>
      <c r="FG5" s="29" t="str">
        <f>IFERROR(__xludf.DUMMYFUNCTION("""COMPUTED_VALUE"""),"")</f>
        <v/>
      </c>
      <c r="FH5" s="29" t="str">
        <f>IFERROR(__xludf.DUMMYFUNCTION("""COMPUTED_VALUE"""),"")</f>
        <v/>
      </c>
      <c r="FI5" s="29" t="str">
        <f>IFERROR(__xludf.DUMMYFUNCTION("""COMPUTED_VALUE"""),"")</f>
        <v/>
      </c>
      <c r="FJ5" s="29" t="str">
        <f>IFERROR(__xludf.DUMMYFUNCTION("""COMPUTED_VALUE"""),"")</f>
        <v/>
      </c>
      <c r="FK5" s="29" t="str">
        <f>IFERROR(__xludf.DUMMYFUNCTION("""COMPUTED_VALUE"""),"")</f>
        <v/>
      </c>
    </row>
    <row r="6" ht="15.75" customHeight="1">
      <c r="A6" s="11"/>
      <c r="B6" s="11"/>
      <c r="C6" s="11" t="s">
        <v>16</v>
      </c>
      <c r="D6" s="11">
        <v>100.0</v>
      </c>
      <c r="E6" s="11" t="s">
        <v>18</v>
      </c>
      <c r="F6" s="8"/>
      <c r="G6" s="11">
        <v>20.0</v>
      </c>
      <c r="H6" s="35" t="s">
        <v>40</v>
      </c>
      <c r="I6" s="11">
        <v>0.0</v>
      </c>
      <c r="J6" s="8"/>
      <c r="K6" s="11">
        <v>0.0</v>
      </c>
      <c r="L6" s="8"/>
      <c r="M6" s="8"/>
      <c r="N6" s="36">
        <v>-2000.0</v>
      </c>
      <c r="O6" s="8"/>
      <c r="Q6" s="36">
        <v>-2000.0</v>
      </c>
      <c r="T6" s="9" t="s">
        <v>22</v>
      </c>
      <c r="U6" s="9" t="s">
        <v>41</v>
      </c>
      <c r="W6" s="9" t="s">
        <v>42</v>
      </c>
      <c r="Y6" s="9">
        <v>1.0</v>
      </c>
      <c r="AB6" s="9">
        <v>0.0</v>
      </c>
      <c r="AC6" s="9">
        <v>0.0</v>
      </c>
      <c r="AD6" s="9">
        <v>0.0</v>
      </c>
      <c r="AE6" s="9">
        <v>0.0</v>
      </c>
      <c r="AF6" s="9">
        <v>100.0</v>
      </c>
      <c r="AG6" s="9">
        <v>0.0</v>
      </c>
      <c r="AH6" s="9">
        <v>0.0</v>
      </c>
      <c r="AI6" s="9">
        <v>0.0</v>
      </c>
      <c r="AJ6" s="9">
        <v>0.0</v>
      </c>
      <c r="AK6" s="36">
        <v>-2000.0</v>
      </c>
      <c r="AL6" s="9">
        <v>1.0</v>
      </c>
      <c r="AM6" s="9">
        <v>1.0</v>
      </c>
      <c r="AN6" s="9" t="s">
        <v>17</v>
      </c>
      <c r="AP6" s="9" t="s">
        <v>40</v>
      </c>
      <c r="AQ6" s="9" t="s">
        <v>16</v>
      </c>
      <c r="AR6" s="9">
        <v>0.0</v>
      </c>
      <c r="AS6" s="9">
        <v>1.0</v>
      </c>
      <c r="AV6" s="9">
        <v>1.0</v>
      </c>
      <c r="AW6" s="36">
        <v>-2000.0</v>
      </c>
      <c r="AX6" s="9">
        <v>0.0</v>
      </c>
      <c r="AY6" s="9">
        <v>0.0</v>
      </c>
      <c r="AZ6" s="9">
        <v>0.0</v>
      </c>
      <c r="BA6" s="9">
        <v>-100.0</v>
      </c>
      <c r="BD6" s="36">
        <v>-2000.0</v>
      </c>
      <c r="BE6" s="9" t="s">
        <v>22</v>
      </c>
      <c r="BJ6" s="9">
        <v>0.0</v>
      </c>
      <c r="BK6" s="9">
        <v>0.0</v>
      </c>
      <c r="BL6" s="9">
        <v>0.0</v>
      </c>
      <c r="BM6" s="9">
        <v>0.0</v>
      </c>
      <c r="BO6" s="36">
        <v>-2000.0</v>
      </c>
      <c r="BP6" s="9">
        <v>0.0</v>
      </c>
      <c r="BR6" s="9" t="s">
        <v>19</v>
      </c>
      <c r="BS6" s="9">
        <v>0.0</v>
      </c>
      <c r="BT6" s="9">
        <v>0.0</v>
      </c>
      <c r="BW6" s="9">
        <v>0.0</v>
      </c>
      <c r="BX6" s="9">
        <v>0.0</v>
      </c>
      <c r="BY6" s="9">
        <v>0.0</v>
      </c>
      <c r="BZ6" s="9">
        <v>0.0</v>
      </c>
      <c r="CA6" s="9">
        <v>0.0</v>
      </c>
      <c r="CC6" s="9">
        <v>0.0</v>
      </c>
      <c r="CD6" s="36">
        <v>-2000.0</v>
      </c>
      <c r="CE6" s="9">
        <v>0.0</v>
      </c>
      <c r="CF6" s="9">
        <v>0.0</v>
      </c>
      <c r="CG6" s="36">
        <v>-2000.0</v>
      </c>
      <c r="CI6" s="9">
        <v>0.0</v>
      </c>
      <c r="CJ6" s="9">
        <v>0.0</v>
      </c>
      <c r="DA6" s="9">
        <v>0.0</v>
      </c>
      <c r="DE6" s="9">
        <v>0.0</v>
      </c>
      <c r="DF6" s="9">
        <v>0.0</v>
      </c>
      <c r="DG6" s="9">
        <v>0.0</v>
      </c>
      <c r="DI6" s="9">
        <v>0.0</v>
      </c>
      <c r="DJ6" s="9" t="s">
        <v>17</v>
      </c>
      <c r="DK6" s="9">
        <v>0.0</v>
      </c>
      <c r="DL6" s="9">
        <v>0.0</v>
      </c>
      <c r="DM6" s="9">
        <v>1.0</v>
      </c>
      <c r="EF6" s="9">
        <v>0.0</v>
      </c>
      <c r="EG6" s="9">
        <v>0.0</v>
      </c>
      <c r="EH6" s="9">
        <v>0.0</v>
      </c>
      <c r="EI6" s="9">
        <v>0.0</v>
      </c>
      <c r="EM6" s="9">
        <v>0.0</v>
      </c>
    </row>
    <row r="7" ht="15.75" customHeight="1">
      <c r="A7" s="8"/>
      <c r="B7" s="8"/>
      <c r="C7" s="11" t="s">
        <v>16</v>
      </c>
      <c r="D7" s="11">
        <v>100.0</v>
      </c>
      <c r="E7" s="11" t="s">
        <v>18</v>
      </c>
      <c r="F7" s="8"/>
      <c r="G7" s="11">
        <v>30.0</v>
      </c>
      <c r="H7" s="35" t="s">
        <v>40</v>
      </c>
      <c r="I7" s="11">
        <v>0.0</v>
      </c>
      <c r="J7" s="8"/>
      <c r="K7" s="11">
        <v>0.0</v>
      </c>
      <c r="L7" s="8"/>
      <c r="M7" s="8"/>
      <c r="N7" s="36">
        <v>-3000.0</v>
      </c>
      <c r="O7" s="8"/>
      <c r="Q7" s="36">
        <v>-3000.0</v>
      </c>
      <c r="T7" s="9" t="s">
        <v>22</v>
      </c>
      <c r="U7" s="9" t="s">
        <v>41</v>
      </c>
      <c r="W7" s="9" t="s">
        <v>42</v>
      </c>
      <c r="Y7" s="9">
        <v>1.0</v>
      </c>
      <c r="AB7" s="9">
        <v>0.0</v>
      </c>
      <c r="AC7" s="9">
        <v>0.0</v>
      </c>
      <c r="AD7" s="9">
        <v>0.0</v>
      </c>
      <c r="AE7" s="9">
        <v>0.0</v>
      </c>
      <c r="AF7" s="9">
        <v>100.0</v>
      </c>
      <c r="AG7" s="9">
        <v>0.0</v>
      </c>
      <c r="AH7" s="9">
        <v>0.0</v>
      </c>
      <c r="AI7" s="9">
        <v>0.0</v>
      </c>
      <c r="AJ7" s="9">
        <v>0.0</v>
      </c>
      <c r="AK7" s="36">
        <v>-3000.0</v>
      </c>
      <c r="AL7" s="9">
        <v>1.0</v>
      </c>
      <c r="AM7" s="9">
        <v>1.0</v>
      </c>
      <c r="AN7" s="9" t="s">
        <v>17</v>
      </c>
      <c r="AP7" s="9" t="s">
        <v>40</v>
      </c>
      <c r="AQ7" s="9" t="s">
        <v>16</v>
      </c>
      <c r="AR7" s="9">
        <v>0.0</v>
      </c>
      <c r="AS7" s="9">
        <v>1.0</v>
      </c>
      <c r="AV7" s="9">
        <v>1.0</v>
      </c>
      <c r="AW7" s="36">
        <v>-3000.0</v>
      </c>
      <c r="AX7" s="9">
        <v>0.0</v>
      </c>
      <c r="AY7" s="9">
        <v>0.0</v>
      </c>
      <c r="AZ7" s="9">
        <v>0.0</v>
      </c>
      <c r="BA7" s="9">
        <v>-100.0</v>
      </c>
      <c r="BD7" s="36">
        <v>-3000.0</v>
      </c>
      <c r="BE7" s="9" t="s">
        <v>22</v>
      </c>
      <c r="BJ7" s="9">
        <v>0.0</v>
      </c>
      <c r="BK7" s="9">
        <v>0.0</v>
      </c>
      <c r="BL7" s="9">
        <v>0.0</v>
      </c>
      <c r="BM7" s="9">
        <v>0.0</v>
      </c>
      <c r="BO7" s="36">
        <v>-3000.0</v>
      </c>
      <c r="BP7" s="9">
        <v>0.0</v>
      </c>
      <c r="BR7" s="9" t="s">
        <v>26</v>
      </c>
      <c r="BS7" s="9">
        <v>0.0</v>
      </c>
      <c r="BT7" s="9">
        <v>0.0</v>
      </c>
      <c r="BW7" s="9">
        <v>0.0</v>
      </c>
      <c r="BX7" s="9">
        <v>0.0</v>
      </c>
      <c r="BY7" s="9">
        <v>0.0</v>
      </c>
      <c r="BZ7" s="9">
        <v>0.0</v>
      </c>
      <c r="CA7" s="9">
        <v>0.0</v>
      </c>
      <c r="CC7" s="9">
        <v>0.0</v>
      </c>
      <c r="CD7" s="36">
        <v>-3000.0</v>
      </c>
      <c r="CE7" s="9">
        <v>0.0</v>
      </c>
      <c r="CF7" s="9">
        <v>0.0</v>
      </c>
      <c r="CG7" s="36">
        <v>-3000.0</v>
      </c>
      <c r="CI7" s="9">
        <v>0.0</v>
      </c>
      <c r="CJ7" s="9">
        <v>0.0</v>
      </c>
      <c r="DA7" s="9">
        <v>0.0</v>
      </c>
      <c r="DE7" s="9">
        <v>0.0</v>
      </c>
      <c r="DF7" s="9">
        <v>0.0</v>
      </c>
      <c r="DG7" s="9">
        <v>0.0</v>
      </c>
      <c r="DI7" s="9">
        <v>0.0</v>
      </c>
      <c r="DJ7" s="9" t="s">
        <v>17</v>
      </c>
      <c r="DK7" s="9">
        <v>0.0</v>
      </c>
      <c r="DL7" s="9">
        <v>0.0</v>
      </c>
      <c r="DM7" s="9">
        <v>1.0</v>
      </c>
      <c r="EF7" s="9">
        <v>0.0</v>
      </c>
      <c r="EG7" s="9">
        <v>0.0</v>
      </c>
      <c r="EH7" s="9">
        <v>0.0</v>
      </c>
      <c r="EI7" s="9">
        <v>0.0</v>
      </c>
      <c r="EM7" s="9">
        <v>0.0</v>
      </c>
    </row>
    <row r="8" ht="15.75" customHeight="1">
      <c r="A8" s="8"/>
      <c r="B8" s="8"/>
      <c r="C8" s="11" t="s">
        <v>16</v>
      </c>
      <c r="D8" s="11">
        <v>150.0</v>
      </c>
      <c r="E8" s="11" t="s">
        <v>18</v>
      </c>
      <c r="F8" s="8"/>
      <c r="G8" s="11">
        <v>40.0</v>
      </c>
      <c r="H8" s="35" t="s">
        <v>40</v>
      </c>
      <c r="I8" s="11">
        <v>0.0</v>
      </c>
      <c r="J8" s="8"/>
      <c r="K8" s="11">
        <v>0.0</v>
      </c>
      <c r="L8" s="8"/>
      <c r="M8" s="8"/>
      <c r="N8" s="36">
        <v>-6000.0</v>
      </c>
      <c r="O8" s="8"/>
      <c r="Q8" s="36">
        <v>-6000.0</v>
      </c>
      <c r="T8" s="9" t="s">
        <v>22</v>
      </c>
      <c r="U8" s="9" t="s">
        <v>41</v>
      </c>
      <c r="W8" s="9" t="s">
        <v>42</v>
      </c>
      <c r="Y8" s="9">
        <v>1.0</v>
      </c>
      <c r="AB8" s="9">
        <v>0.0</v>
      </c>
      <c r="AC8" s="9">
        <v>0.0</v>
      </c>
      <c r="AD8" s="9">
        <v>0.0</v>
      </c>
      <c r="AE8" s="9">
        <v>0.0</v>
      </c>
      <c r="AF8" s="9">
        <v>150.0</v>
      </c>
      <c r="AG8" s="9">
        <v>0.0</v>
      </c>
      <c r="AH8" s="9">
        <v>0.0</v>
      </c>
      <c r="AI8" s="9">
        <v>0.0</v>
      </c>
      <c r="AJ8" s="9">
        <v>0.0</v>
      </c>
      <c r="AK8" s="36">
        <v>-6000.0</v>
      </c>
      <c r="AL8" s="9">
        <v>1.0</v>
      </c>
      <c r="AM8" s="9">
        <v>1.0</v>
      </c>
      <c r="AN8" s="9" t="s">
        <v>17</v>
      </c>
      <c r="AP8" s="9" t="s">
        <v>40</v>
      </c>
      <c r="AQ8" s="9" t="s">
        <v>16</v>
      </c>
      <c r="AR8" s="9">
        <v>0.0</v>
      </c>
      <c r="AS8" s="9">
        <v>1.0</v>
      </c>
      <c r="AV8" s="9">
        <v>1.0</v>
      </c>
      <c r="AW8" s="36">
        <v>-6000.0</v>
      </c>
      <c r="AX8" s="9">
        <v>0.0</v>
      </c>
      <c r="AY8" s="9">
        <v>0.0</v>
      </c>
      <c r="AZ8" s="9">
        <v>0.0</v>
      </c>
      <c r="BA8" s="9">
        <v>-100.0</v>
      </c>
      <c r="BD8" s="36">
        <v>-6000.0</v>
      </c>
      <c r="BE8" s="9" t="s">
        <v>22</v>
      </c>
      <c r="BJ8" s="9">
        <v>0.0</v>
      </c>
      <c r="BK8" s="9">
        <v>0.0</v>
      </c>
      <c r="BL8" s="9">
        <v>0.0</v>
      </c>
      <c r="BM8" s="9">
        <v>0.0</v>
      </c>
      <c r="BO8" s="36">
        <v>-6000.0</v>
      </c>
      <c r="BP8" s="9">
        <v>0.0</v>
      </c>
      <c r="BR8" s="9" t="s">
        <v>27</v>
      </c>
      <c r="BS8" s="9">
        <v>0.0</v>
      </c>
      <c r="BT8" s="9">
        <v>0.0</v>
      </c>
      <c r="BW8" s="9">
        <v>0.0</v>
      </c>
      <c r="BX8" s="9">
        <v>0.0</v>
      </c>
      <c r="BY8" s="9">
        <v>0.0</v>
      </c>
      <c r="BZ8" s="9">
        <v>0.0</v>
      </c>
      <c r="CA8" s="9">
        <v>0.0</v>
      </c>
      <c r="CC8" s="9">
        <v>0.0</v>
      </c>
      <c r="CD8" s="36">
        <v>-6000.0</v>
      </c>
      <c r="CE8" s="9">
        <v>0.0</v>
      </c>
      <c r="CF8" s="9">
        <v>0.0</v>
      </c>
      <c r="CG8" s="36">
        <v>-6000.0</v>
      </c>
      <c r="CI8" s="9">
        <v>0.0</v>
      </c>
      <c r="CJ8" s="9">
        <v>0.0</v>
      </c>
      <c r="DA8" s="9">
        <v>0.0</v>
      </c>
      <c r="DE8" s="9">
        <v>0.0</v>
      </c>
      <c r="DF8" s="9">
        <v>0.0</v>
      </c>
      <c r="DG8" s="9">
        <v>0.0</v>
      </c>
      <c r="DI8" s="9">
        <v>0.0</v>
      </c>
      <c r="DJ8" s="9" t="s">
        <v>17</v>
      </c>
      <c r="DK8" s="9">
        <v>0.0</v>
      </c>
      <c r="DL8" s="9">
        <v>0.0</v>
      </c>
      <c r="DM8" s="9">
        <v>1.0</v>
      </c>
      <c r="EF8" s="9">
        <v>0.0</v>
      </c>
      <c r="EG8" s="9">
        <v>0.0</v>
      </c>
      <c r="EH8" s="9">
        <v>0.0</v>
      </c>
      <c r="EI8" s="9">
        <v>0.0</v>
      </c>
      <c r="EM8" s="9">
        <v>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Q9" s="8"/>
      <c r="AK9" s="8"/>
      <c r="AW9" s="8"/>
      <c r="BD9" s="8"/>
      <c r="BO9" s="8"/>
      <c r="CD9" s="8"/>
      <c r="CG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