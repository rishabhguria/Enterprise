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AddCalculatedPreferences" sheetId="5" r:id="rId7"/>
    <sheet state="visible" name="SetAccountValueCalculatedPref" sheetId="6" r:id="rId8"/>
    <sheet state="visible" name="SetDefaultRuleCalculatedPref" sheetId="7" r:id="rId9"/>
    <sheet state="visible" name="SetGeneralRuleCalculatedPref" sheetId="8" r:id="rId10"/>
    <sheet state="visible" name="UpdateGRDefaultRule" sheetId="9" r:id="rId11"/>
    <sheet state="visible" name="CreateDoneAwayOrder" sheetId="10" r:id="rId12"/>
    <sheet state="visible" name="GetDataAllocation" sheetId="11" r:id="rId13"/>
    <sheet state="visible" name="CheckAllocatedTaxlots" sheetId="12" r:id="rId14"/>
  </sheets>
  <definedNames/>
  <calcPr/>
</workbook>
</file>

<file path=xl/sharedStrings.xml><?xml version="1.0" encoding="utf-8"?>
<sst xmlns="http://schemas.openxmlformats.org/spreadsheetml/2006/main" count="99" uniqueCount="39">
  <si>
    <t>Modules Info</t>
  </si>
  <si>
    <t>Modules</t>
  </si>
  <si>
    <t>Settings</t>
  </si>
  <si>
    <t>Module Step Setting File</t>
  </si>
  <si>
    <t>1u6VmP5dKX2kI_ueCJIgCzs4uQx02ea0rMmwHyEmIAAM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</si>
  <si>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</si>
  <si>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</si>
  <si>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</si>
  <si>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</si>
  <si>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</si>
  <si>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</si>
  <si>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</si>
  <si>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</si>
  <si>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</si>
  <si>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</si>
  <si>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</si>
  <si>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AddCalculatedPreferences</t>
  </si>
  <si>
    <t>test</t>
  </si>
  <si>
    <t>SetAccountValueCalculatedPref</t>
  </si>
  <si>
    <t>Allocation2</t>
  </si>
  <si>
    <t>Allocation3</t>
  </si>
  <si>
    <t>SetDefaultRuleCalculatedPref</t>
  </si>
  <si>
    <t>Prorata</t>
  </si>
  <si>
    <t>Allocation2,Allocation3</t>
  </si>
  <si>
    <t>SetGeneralRuleCalculatedPref</t>
  </si>
  <si>
    <t>Exclude</t>
  </si>
  <si>
    <t>Buy</t>
  </si>
  <si>
    <t>UpdateGRDefaultRule</t>
  </si>
  <si>
    <t>Current Preference</t>
  </si>
  <si>
    <t>TradingTicket</t>
  </si>
  <si>
    <t>CreateDoneAwayOrder</t>
  </si>
  <si>
    <t>AAPL</t>
  </si>
  <si>
    <t>Sell</t>
  </si>
  <si>
    <t>GetDataAllocation</t>
  </si>
  <si>
    <t>Current</t>
  </si>
  <si>
    <t>CheckAllocatedTaxlots</t>
  </si>
  <si>
    <t>USD</t>
  </si>
  <si>
    <t>Strategy Unallocated</t>
  </si>
  <si>
    <t>Open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</si>
</sst>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IFERROR(__xludf.DUMMYFUNCTION("""COMPUTED_VALUE"""),"PTT")</f>
        <v>PTT</v>
      </c>
      <c r="B788" t="str">
        <f>IFERROR(__xludf.DUMMYFUNCTION("""COMPUTED_VALUE"""),"OperationsonPTT")</f>
        <v>OperationsonPTT</v>
      </c>
      <c r="C788" t="str">
        <f>IFERROR(__xludf.DUMMYFUNCTION("""COMPUTED_VALUE"""),"1J40rCXEDilLEF_x0Wkeeg1lwGfejucV1VSY9UcyeSlw")</f>
        <v>1J40rCXEDilLEF_x0Wkeeg1lwGfejucV1VSY9UcyeSlw</v>
      </c>
    </row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Q6" s="9" t="b">
        <v>0</v>
      </c>
      <c r="V6" s="9" t="b">
        <v>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19</v>
      </c>
      <c r="D6" s="13">
        <v>70.0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17</v>
      </c>
      <c r="C7" s="13" t="s">
        <v>20</v>
      </c>
      <c r="D7" s="13">
        <v>30.0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22</v>
      </c>
      <c r="E6" s="13" t="s">
        <v>23</v>
      </c>
      <c r="F6" s="8"/>
      <c r="G6" s="8"/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25</v>
      </c>
      <c r="I6" s="13" t="s">
        <v>26</v>
      </c>
      <c r="J6" s="13" t="s">
        <v>17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28</v>
      </c>
      <c r="E6" s="31"/>
      <c r="F6" s="8"/>
      <c r="G6" s="13" t="b">
        <v>1</v>
      </c>
      <c r="H6" s="13" t="s">
        <v>17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UpdateGRDefaultRule!$4:$4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32</v>
      </c>
      <c r="D6" s="13">
        <v>100.0</v>
      </c>
      <c r="E6" s="31"/>
      <c r="F6" s="13" t="s">
        <v>17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 t="str">
        <f>IFERROR(__xludf.DUMMYFUNCTION("""COMPUTED_VALUE"""),"MandatoryColumn")</f>
        <v>MandatoryColumn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13" t="s">
        <v>36</v>
      </c>
      <c r="I6" s="8"/>
      <c r="J6" s="8"/>
      <c r="K6" s="8"/>
      <c r="L6" s="8"/>
      <c r="M6" s="8"/>
      <c r="N6" s="8"/>
      <c r="O6" s="13" t="s">
        <v>19</v>
      </c>
      <c r="P6" s="9" t="s">
        <v>37</v>
      </c>
      <c r="Q6" s="9">
        <v>70.0</v>
      </c>
      <c r="R6" s="9">
        <v>70.0</v>
      </c>
      <c r="AF6" s="9" t="s">
        <v>38</v>
      </c>
    </row>
    <row r="7" ht="15.75" customHeight="1">
      <c r="A7" s="8"/>
      <c r="B7" s="8"/>
      <c r="C7" s="8"/>
      <c r="D7" s="8"/>
      <c r="E7" s="8"/>
      <c r="F7" s="8"/>
      <c r="G7" s="8"/>
      <c r="H7" s="13" t="s">
        <v>36</v>
      </c>
      <c r="I7" s="8"/>
      <c r="J7" s="8"/>
      <c r="K7" s="8"/>
      <c r="L7" s="8"/>
      <c r="M7" s="8"/>
      <c r="N7" s="8"/>
      <c r="O7" s="13" t="s">
        <v>20</v>
      </c>
      <c r="P7" s="9" t="s">
        <v>37</v>
      </c>
      <c r="Q7" s="9">
        <v>30.0</v>
      </c>
      <c r="R7" s="9">
        <v>30.0</v>
      </c>
      <c r="AF7" s="9" t="s">
        <v>38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