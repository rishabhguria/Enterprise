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FilterPM" sheetId="7" r:id="rId9"/>
    <sheet state="visible" name="CheckPortfolioManagement" sheetId="8" r:id="rId10"/>
    <sheet state="visible" name="FilterPM1" sheetId="9" r:id="rId11"/>
    <sheet state="visible" name="CheckPortfolioManagement1" sheetId="10" r:id="rId12"/>
    <sheet state="visible" name="CreateStageOrder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<sst xmlns="http://schemas.openxmlformats.org/spreadsheetml/2006/main" count="193" uniqueCount="43">
  <si>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</si>
  <si>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</si>
  <si>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</si>
  <si>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</si>
  <si>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</si>
  <si>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</si>
  <si>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</si>
  <si>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</si>
  <si>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</si>
  <si>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</si>
  <si>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</si>
  <si>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</si>
  <si>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</si>
  <si>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</si>
  <si>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</si>
  <si>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</si>
  <si>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</si>
  <si>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</si>
  <si>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</si>
  <si>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SAP</t>
  </si>
  <si>
    <t>Buy</t>
  </si>
  <si>
    <t>Allocation1</t>
  </si>
  <si>
    <t>MS</t>
  </si>
  <si>
    <t>TSLA</t>
  </si>
  <si>
    <t>Allocation2</t>
  </si>
  <si>
    <t>PricingInput</t>
  </si>
  <si>
    <t>PortfolioManagement</t>
  </si>
  <si>
    <t>FilterPM</t>
  </si>
  <si>
    <t>Symbol</t>
  </si>
  <si>
    <t>CheckPortfolioManagement</t>
  </si>
  <si>
    <t>NewMF</t>
  </si>
  <si>
    <t>Long</t>
  </si>
  <si>
    <t>NewMF1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</si>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</sst>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13">
        <v>1000.0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32">
        <f t="shared" ref="N6:N7" si="1">today()</f>
        <v>45351</v>
      </c>
      <c r="O6" s="8"/>
    </row>
    <row r="7" ht="15.75" customHeight="1">
      <c r="A7" s="13"/>
      <c r="B7" s="13" t="s">
        <v>23</v>
      </c>
      <c r="C7" s="13" t="s">
        <v>20</v>
      </c>
      <c r="D7" s="13">
        <v>1050.0</v>
      </c>
      <c r="E7" s="13">
        <v>1050.0</v>
      </c>
      <c r="F7" s="13" t="s">
        <v>24</v>
      </c>
      <c r="G7" s="13" t="s">
        <v>22</v>
      </c>
      <c r="H7" s="8"/>
      <c r="I7" s="8"/>
      <c r="J7" s="13">
        <v>1.0</v>
      </c>
      <c r="K7" s="8"/>
      <c r="L7" s="8"/>
      <c r="M7" s="8"/>
      <c r="N7" s="32">
        <f t="shared" si="1"/>
        <v>45351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19</v>
      </c>
      <c r="D6" s="13">
        <v>1000.0</v>
      </c>
      <c r="E6" s="13" t="s">
        <v>21</v>
      </c>
      <c r="F6" s="13" t="s">
        <v>30</v>
      </c>
      <c r="G6" s="8"/>
      <c r="H6" s="13" t="s">
        <v>31</v>
      </c>
      <c r="I6" s="8"/>
      <c r="J6" s="8"/>
      <c r="K6" s="8"/>
      <c r="L6" s="8"/>
      <c r="M6" s="8"/>
      <c r="N6" s="8"/>
      <c r="O6" s="8"/>
      <c r="AN6" s="9" t="s">
        <v>20</v>
      </c>
      <c r="BK6" s="9">
        <v>1.0</v>
      </c>
      <c r="B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23</v>
      </c>
      <c r="D6" s="13">
        <v>1050.0</v>
      </c>
      <c r="E6" s="13" t="s">
        <v>24</v>
      </c>
      <c r="F6" s="13" t="s">
        <v>32</v>
      </c>
      <c r="G6" s="8"/>
      <c r="H6" s="13" t="s">
        <v>31</v>
      </c>
      <c r="I6" s="8"/>
      <c r="J6" s="8"/>
      <c r="K6" s="8"/>
      <c r="L6" s="8"/>
      <c r="M6" s="8"/>
      <c r="N6" s="8"/>
      <c r="O6" s="8"/>
      <c r="AN6" s="9" t="s">
        <v>20</v>
      </c>
      <c r="BK6" s="9">
        <v>5.0</v>
      </c>
      <c r="B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13">
        <v>19001.0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32">
        <f t="shared" ref="N6:N7" si="1">today()</f>
        <v>45351</v>
      </c>
      <c r="O6" s="8"/>
    </row>
    <row r="7" ht="15.75" customHeight="1">
      <c r="A7" s="13"/>
      <c r="B7" s="13" t="s">
        <v>23</v>
      </c>
      <c r="C7" s="13" t="s">
        <v>20</v>
      </c>
      <c r="D7" s="13">
        <v>98951.0</v>
      </c>
      <c r="E7" s="13">
        <v>98951.0</v>
      </c>
      <c r="F7" s="13" t="s">
        <v>24</v>
      </c>
      <c r="G7" s="13" t="s">
        <v>22</v>
      </c>
      <c r="H7" s="8"/>
      <c r="I7" s="8"/>
      <c r="J7" s="13">
        <v>1.0</v>
      </c>
      <c r="K7" s="8"/>
      <c r="L7" s="8"/>
      <c r="M7" s="8"/>
      <c r="N7" s="32">
        <f t="shared" si="1"/>
        <v>45351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36</v>
      </c>
      <c r="AL6" s="9">
        <v>19001.0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20</v>
      </c>
      <c r="AK7" s="9" t="s">
        <v>36</v>
      </c>
      <c r="AL7" s="9">
        <v>98951.0</v>
      </c>
      <c r="AS7" s="9" t="s">
        <v>22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19</v>
      </c>
      <c r="C6" s="9" t="s">
        <v>20</v>
      </c>
      <c r="D6" s="9">
        <v>19001.0</v>
      </c>
      <c r="F6" s="9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23</v>
      </c>
      <c r="C6" s="9" t="s">
        <v>20</v>
      </c>
      <c r="D6" s="9">
        <v>98951.0</v>
      </c>
      <c r="F6" s="9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K6" s="9">
        <v>0.0</v>
      </c>
      <c r="AL6" s="9">
        <v>0.0</v>
      </c>
    </row>
    <row r="7" ht="15.75" customHeight="1">
      <c r="A7" s="8"/>
      <c r="B7" s="13" t="s">
        <v>23</v>
      </c>
      <c r="C7" s="13" t="s">
        <v>20</v>
      </c>
      <c r="D7" s="13">
        <v>98951.0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K7" s="9">
        <v>0.0</v>
      </c>
      <c r="AL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42</v>
      </c>
      <c r="AL6" s="9">
        <v>1000.0</v>
      </c>
      <c r="AM6" s="9">
        <v>1000.0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20</v>
      </c>
      <c r="AK7" s="9" t="s">
        <v>42</v>
      </c>
      <c r="AL7" s="9">
        <v>1050.0</v>
      </c>
      <c r="AM7" s="9">
        <v>1050.0</v>
      </c>
      <c r="AS7" s="9" t="s">
        <v>22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20</v>
      </c>
      <c r="AK8" s="9" t="s">
        <v>42</v>
      </c>
      <c r="AL8" s="9">
        <v>19001.0</v>
      </c>
      <c r="AM8" s="9">
        <v>19001.0</v>
      </c>
      <c r="AS8" s="9" t="s">
        <v>22</v>
      </c>
      <c r="AT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23</v>
      </c>
      <c r="AJ9" s="9" t="s">
        <v>20</v>
      </c>
      <c r="AK9" s="9" t="s">
        <v>42</v>
      </c>
      <c r="AL9" s="9">
        <v>98951.0</v>
      </c>
      <c r="AM9" s="9">
        <v>98951.0</v>
      </c>
      <c r="AS9" s="9" t="s">
        <v>22</v>
      </c>
      <c r="AT9" s="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