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MultipleDailyCash" sheetId="6" r:id="rId8"/>
    <sheet state="visible" name="SetGeneralPreferences" sheetId="7" r:id="rId9"/>
    <sheet state="visible" name="AddMFPreferences" sheetId="8" r:id="rId10"/>
    <sheet state="visible" name="SetMFPreferencesDefaultRule" sheetId="9" r:id="rId11"/>
    <sheet state="visible" name="SetMFPrefFundDistribution" sheetId="10" r:id="rId12"/>
    <sheet state="visible" name="SetMFPrefAccountValues" sheetId="11" r:id="rId13"/>
    <sheet state="visible" name="SetMFPrefFundDefaultRule" sheetId="12" r:id="rId14"/>
    <sheet state="visible" name="SetMFPrefAccountValues1" sheetId="13" r:id="rId15"/>
    <sheet state="visible" name="SetMFPrefFundDefaultRule1" sheetId="14" r:id="rId16"/>
    <sheet state="visible" name="CreateDoneAwayOrder1" sheetId="15" r:id="rId17"/>
    <sheet state="visible" name="PricingInput" sheetId="16" r:id="rId18"/>
    <sheet state="visible" name="CheckAllocatedTaxlots" sheetId="17" r:id="rId19"/>
  </sheets>
  <definedNames/>
  <calcPr/>
</workbook>
</file>

<file path=xl/sharedStrings.xml><?xml version="1.0" encoding="utf-8"?>
<sst xmlns="http://schemas.openxmlformats.org/spreadsheetml/2006/main" count="194" uniqueCount="45">
  <si>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</si>
  <si>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</si>
  <si>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</si>
  <si>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</si>
  <si>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</si>
  <si>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</si>
  <si>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</si>
  <si>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</si>
  <si>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</si>
  <si>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</si>
  <si>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</si>
  <si>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</si>
  <si>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</si>
  <si>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</si>
  <si>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</si>
  <si>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</si>
  <si>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</si>
  <si>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</si>
  <si>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</si>
  <si>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Allocation2</t>
  </si>
  <si>
    <t>Allocation3</t>
  </si>
  <si>
    <t>Allocation4</t>
  </si>
  <si>
    <t>DailyValuation</t>
  </si>
  <si>
    <t>GetDailyCash</t>
  </si>
  <si>
    <t>UpdateMultipleDailyCash</t>
  </si>
  <si>
    <t>USD</t>
  </si>
  <si>
    <t>Allocation</t>
  </si>
  <si>
    <t>SetGeneralPreferences</t>
  </si>
  <si>
    <t>AddMFPreferences</t>
  </si>
  <si>
    <t>Test</t>
  </si>
  <si>
    <t>SetMFPreferencesDefaultRule</t>
  </si>
  <si>
    <t>Current Preference</t>
  </si>
  <si>
    <t>SetMFPrefFundDistribution</t>
  </si>
  <si>
    <t>NewMF</t>
  </si>
  <si>
    <t>NewMF1</t>
  </si>
  <si>
    <t>SetMFPrefAccountValues</t>
  </si>
  <si>
    <t>SetMFPrefFundDefaultRule</t>
  </si>
  <si>
    <t>Fair Pricing</t>
  </si>
  <si>
    <t>Leveling</t>
  </si>
  <si>
    <t>Allocation1,Allocation3</t>
  </si>
  <si>
    <t>Allocation2,Allocation4</t>
  </si>
  <si>
    <t>PricingInput</t>
  </si>
  <si>
    <t>CheckAllocatedTaxlots</t>
  </si>
  <si>
    <t>M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</si>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</sst>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400.0</v>
      </c>
      <c r="E6" s="30"/>
      <c r="F6" s="12" t="s">
        <v>18</v>
      </c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17</v>
      </c>
      <c r="D7" s="12">
        <v>600.0</v>
      </c>
      <c r="E7" s="30"/>
      <c r="F7" s="12" t="s">
        <v>19</v>
      </c>
      <c r="G7" s="8"/>
      <c r="H7" s="8"/>
      <c r="I7" s="8"/>
      <c r="J7" s="12">
        <v>1.0</v>
      </c>
      <c r="K7" s="8"/>
      <c r="L7" s="8"/>
      <c r="M7" s="8"/>
      <c r="N7" s="8"/>
      <c r="O7" s="8"/>
    </row>
    <row r="8" ht="15.75" customHeight="1">
      <c r="A8" s="8"/>
      <c r="B8" s="12" t="s">
        <v>16</v>
      </c>
      <c r="C8" s="12" t="s">
        <v>17</v>
      </c>
      <c r="D8" s="12">
        <v>800.0</v>
      </c>
      <c r="E8" s="30"/>
      <c r="F8" s="12" t="s">
        <v>20</v>
      </c>
      <c r="G8" s="8"/>
      <c r="H8" s="8"/>
      <c r="I8" s="8"/>
      <c r="J8" s="12">
        <v>1.0</v>
      </c>
      <c r="K8" s="8"/>
      <c r="L8" s="8"/>
      <c r="M8" s="8"/>
      <c r="N8" s="8"/>
      <c r="O8" s="8"/>
    </row>
    <row r="9" ht="15.75" customHeight="1">
      <c r="A9" s="8"/>
      <c r="B9" s="12" t="s">
        <v>16</v>
      </c>
      <c r="C9" s="12" t="s">
        <v>17</v>
      </c>
      <c r="D9" s="12">
        <v>1400.0</v>
      </c>
      <c r="E9" s="30"/>
      <c r="F9" s="12" t="s">
        <v>21</v>
      </c>
      <c r="G9" s="8"/>
      <c r="H9" s="8"/>
      <c r="I9" s="8"/>
      <c r="J9" s="12">
        <v>1.0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>today()-1</f>
        <v>45726</v>
      </c>
      <c r="C6" s="32">
        <f>today()</f>
        <v>45727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25</v>
      </c>
      <c r="D6" s="12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 t="s">
        <v>25</v>
      </c>
      <c r="D7" s="12">
        <v>8000.0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20</v>
      </c>
      <c r="C8" s="12" t="s">
        <v>25</v>
      </c>
      <c r="D8" s="12">
        <v>15000.0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21</v>
      </c>
      <c r="C9" s="12" t="s">
        <v>25</v>
      </c>
      <c r="D9" s="12">
        <v>12000.0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IFERROR(__xludf.DUMMYFUNCTION("""COMPUTED_VALUE"""),"RemainderAllocationTo")</f>
        <v>RemainderAllocationTo</v>
      </c>
      <c r="C5" s="27" t="str">
        <f>IFERROR(__xludf.DUMMYFUNCTION("""COMPUTED_VALUE"""),"Target%AsOf")</f>
        <v>Target%AsOf</v>
      </c>
      <c r="D5" s="27" t="str">
        <f>IFERROR(__xludf.DUMMYFUNCTION("""COMPUTED_VALUE"""),"ProrataAccounts")</f>
        <v>ProrataAccounts</v>
      </c>
      <c r="E5" s="27" t="str">
        <f>IFERROR(__xludf.DUMMYFUNCTION("""COMPUTED_VALUE"""),"DateUptoDays")</f>
        <v>DateUptoDays</v>
      </c>
      <c r="F5" s="28" t="str">
        <f>IFERROR(__xludf.DUMMYFUNCTION("""COMPUTED_VALUE"""),"PreferenceName")</f>
        <v>PreferenceName</v>
      </c>
      <c r="G5" s="27" t="str">
        <f>IFERROR(__xludf.DUMMYFUNCTION("""COMPUTED_VALUE"""),"MatchClosingTransaction")</f>
        <v>MatchClosingTransaction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31</v>
      </c>
      <c r="D6" s="12"/>
      <c r="E6" s="30"/>
      <c r="F6" s="12" t="s">
        <v>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IFERROR(__xludf.DUMMYFUNCTION("""COMPUTED_VALUE"""),"MasterFundName")</f>
        <v>MasterFundName</v>
      </c>
      <c r="D5" s="27" t="str">
        <f>IFERROR(__xludf.DUMMYFUNCTION("""COMPUTED_VALUE"""),"TargetPercentage")</f>
        <v>TargetPercentage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33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29</v>
      </c>
      <c r="C7" s="12" t="s">
        <v>34</v>
      </c>
      <c r="D7" s="12">
        <v>50.0</v>
      </c>
      <c r="E7" s="3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33</v>
      </c>
      <c r="D6" s="12" t="s">
        <v>18</v>
      </c>
      <c r="E6" s="12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29</v>
      </c>
      <c r="C7" s="12" t="s">
        <v>33</v>
      </c>
      <c r="D7" s="12" t="s">
        <v>20</v>
      </c>
      <c r="E7" s="12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33</v>
      </c>
      <c r="D6" s="12" t="s">
        <v>37</v>
      </c>
      <c r="E6" s="30"/>
      <c r="F6" s="12" t="s">
        <v>38</v>
      </c>
      <c r="G6" s="12" t="s">
        <v>39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34</v>
      </c>
      <c r="D6" s="12" t="s">
        <v>19</v>
      </c>
      <c r="E6" s="12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29</v>
      </c>
      <c r="C7" s="12" t="s">
        <v>34</v>
      </c>
      <c r="D7" s="12" t="s">
        <v>21</v>
      </c>
      <c r="E7" s="12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34</v>
      </c>
      <c r="D6" s="12" t="s">
        <v>37</v>
      </c>
      <c r="E6" s="30"/>
      <c r="F6" s="12" t="s">
        <v>38</v>
      </c>
      <c r="G6" s="12" t="s">
        <v>40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1000.0</v>
      </c>
      <c r="E6" s="30"/>
      <c r="F6" s="12" t="s">
        <v>29</v>
      </c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3">
        <v>400.0</v>
      </c>
      <c r="E6" s="33">
        <v>400.0</v>
      </c>
      <c r="F6" s="34" t="s">
        <v>43</v>
      </c>
      <c r="G6" s="33"/>
      <c r="H6" s="34" t="s">
        <v>25</v>
      </c>
      <c r="I6" s="8"/>
      <c r="J6" s="8"/>
      <c r="K6" s="8"/>
      <c r="L6" s="8"/>
      <c r="M6" s="8"/>
      <c r="N6" s="8"/>
      <c r="O6" s="34" t="s">
        <v>18</v>
      </c>
      <c r="P6" s="34" t="s">
        <v>44</v>
      </c>
      <c r="Q6" s="33"/>
      <c r="R6" s="33">
        <v>400.0</v>
      </c>
      <c r="S6" s="33">
        <v>0.0</v>
      </c>
    </row>
    <row r="7" ht="15.75" customHeight="1">
      <c r="A7" s="8"/>
      <c r="B7" s="8"/>
      <c r="C7" s="8"/>
      <c r="D7" s="33">
        <v>800.0</v>
      </c>
      <c r="E7" s="33">
        <v>800.0</v>
      </c>
      <c r="F7" s="34" t="s">
        <v>43</v>
      </c>
      <c r="G7" s="33"/>
      <c r="H7" s="34" t="s">
        <v>25</v>
      </c>
      <c r="I7" s="8"/>
      <c r="J7" s="8"/>
      <c r="K7" s="8"/>
      <c r="L7" s="8"/>
      <c r="M7" s="8"/>
      <c r="N7" s="8"/>
      <c r="O7" s="34" t="s">
        <v>20</v>
      </c>
      <c r="P7" s="34" t="s">
        <v>44</v>
      </c>
      <c r="Q7" s="33"/>
      <c r="R7" s="33">
        <v>800.0</v>
      </c>
      <c r="S7" s="33">
        <v>0.0</v>
      </c>
    </row>
    <row r="8" ht="15.75" customHeight="1">
      <c r="A8" s="8"/>
      <c r="B8" s="8"/>
      <c r="C8" s="8"/>
      <c r="D8" s="33">
        <v>600.0</v>
      </c>
      <c r="E8" s="33">
        <v>600.0</v>
      </c>
      <c r="F8" s="34" t="s">
        <v>43</v>
      </c>
      <c r="G8" s="33"/>
      <c r="H8" s="34" t="s">
        <v>25</v>
      </c>
      <c r="I8" s="8"/>
      <c r="J8" s="8"/>
      <c r="K8" s="8"/>
      <c r="L8" s="8"/>
      <c r="M8" s="8"/>
      <c r="N8" s="8"/>
      <c r="O8" s="34" t="s">
        <v>19</v>
      </c>
      <c r="P8" s="34" t="s">
        <v>44</v>
      </c>
      <c r="Q8" s="33"/>
      <c r="R8" s="33">
        <v>600.0</v>
      </c>
      <c r="S8" s="33">
        <v>0.0</v>
      </c>
    </row>
    <row r="9" ht="15.75" customHeight="1">
      <c r="A9" s="8"/>
      <c r="B9" s="8"/>
      <c r="C9" s="8"/>
      <c r="D9" s="35"/>
      <c r="E9" s="35"/>
      <c r="F9" s="34" t="s">
        <v>43</v>
      </c>
      <c r="G9" s="33"/>
      <c r="H9" s="34" t="s">
        <v>25</v>
      </c>
      <c r="I9" s="8"/>
      <c r="J9" s="8"/>
      <c r="K9" s="8"/>
      <c r="L9" s="8"/>
      <c r="M9" s="8"/>
      <c r="N9" s="8"/>
      <c r="O9" s="34" t="s">
        <v>21</v>
      </c>
      <c r="P9" s="34" t="s">
        <v>44</v>
      </c>
      <c r="Q9" s="33"/>
      <c r="R9" s="35">
        <v>1400.0</v>
      </c>
      <c r="S9" s="33">
        <v>0.0</v>
      </c>
    </row>
    <row r="10" ht="15.75" customHeight="1">
      <c r="A10" s="8"/>
      <c r="B10" s="8"/>
      <c r="C10" s="8"/>
      <c r="D10" s="35"/>
      <c r="E10" s="35"/>
      <c r="F10" s="34" t="s">
        <v>43</v>
      </c>
      <c r="G10" s="33"/>
      <c r="H10" s="34" t="s">
        <v>25</v>
      </c>
      <c r="I10" s="8"/>
      <c r="J10" s="8"/>
      <c r="K10" s="8"/>
      <c r="L10" s="8"/>
      <c r="M10" s="8"/>
      <c r="N10" s="8"/>
      <c r="O10" s="34" t="s">
        <v>19</v>
      </c>
      <c r="P10" s="34" t="s">
        <v>44</v>
      </c>
      <c r="Q10" s="33"/>
      <c r="R10" s="33">
        <v>401.0</v>
      </c>
      <c r="S10" s="33">
        <v>0.0</v>
      </c>
    </row>
    <row r="11" ht="15.75" customHeight="1">
      <c r="A11" s="8"/>
      <c r="B11" s="8"/>
      <c r="C11" s="8"/>
      <c r="D11" s="35"/>
      <c r="E11" s="35"/>
      <c r="F11" s="34" t="s">
        <v>43</v>
      </c>
      <c r="G11" s="33"/>
      <c r="H11" s="34" t="s">
        <v>25</v>
      </c>
      <c r="I11" s="8"/>
      <c r="J11" s="8"/>
      <c r="K11" s="8"/>
      <c r="L11" s="8"/>
      <c r="M11" s="8"/>
      <c r="N11" s="8"/>
      <c r="O11" s="34" t="s">
        <v>18</v>
      </c>
      <c r="P11" s="34" t="s">
        <v>44</v>
      </c>
      <c r="Q11" s="33"/>
      <c r="R11" s="33">
        <v>280.0</v>
      </c>
      <c r="S11" s="33">
        <v>0.0</v>
      </c>
    </row>
    <row r="12" ht="15.75" customHeight="1">
      <c r="A12" s="8"/>
      <c r="B12" s="8"/>
      <c r="C12" s="8"/>
      <c r="D12" s="35"/>
      <c r="E12" s="35"/>
      <c r="F12" s="34" t="s">
        <v>43</v>
      </c>
      <c r="G12" s="33"/>
      <c r="H12" s="34" t="s">
        <v>25</v>
      </c>
      <c r="I12" s="8"/>
      <c r="J12" s="8"/>
      <c r="K12" s="8"/>
      <c r="L12" s="8"/>
      <c r="M12" s="8"/>
      <c r="N12" s="8"/>
      <c r="O12" s="34" t="s">
        <v>20</v>
      </c>
      <c r="P12" s="34" t="s">
        <v>44</v>
      </c>
      <c r="Q12" s="33"/>
      <c r="R12" s="33">
        <v>220.0</v>
      </c>
      <c r="S12" s="33">
        <v>0.0</v>
      </c>
    </row>
    <row r="13" ht="15.75" customHeight="1">
      <c r="A13" s="8"/>
      <c r="B13" s="8"/>
      <c r="C13" s="8"/>
      <c r="D13" s="35"/>
      <c r="E13" s="35"/>
      <c r="F13" s="34" t="s">
        <v>43</v>
      </c>
      <c r="G13" s="33"/>
      <c r="H13" s="34" t="s">
        <v>25</v>
      </c>
      <c r="I13" s="8"/>
      <c r="J13" s="8"/>
      <c r="K13" s="8"/>
      <c r="L13" s="8"/>
      <c r="M13" s="8"/>
      <c r="N13" s="8"/>
      <c r="O13" s="34" t="s">
        <v>21</v>
      </c>
      <c r="P13" s="34" t="s">
        <v>44</v>
      </c>
      <c r="Q13" s="33"/>
      <c r="R13" s="33">
        <v>99.0</v>
      </c>
      <c r="S13" s="33">
        <v>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