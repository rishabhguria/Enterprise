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PricingInput" sheetId="4" r:id="rId6"/>
    <sheet state="visible" name="GetDailyCash" sheetId="5" r:id="rId7"/>
    <sheet state="visible" name="UpdateMultipleDailyCash" sheetId="6" r:id="rId8"/>
    <sheet state="visible" name="FetchAccountPositions" sheetId="7" r:id="rId9"/>
    <sheet state="visible" name="AddCash" sheetId="8" r:id="rId10"/>
    <sheet state="visible" name="RunRebalance" sheetId="9" r:id="rId11"/>
    <sheet state="visible" name="VerifyGridData" sheetId="10" r:id="rId12"/>
    <sheet state="visible" name="VerifyGridData1" sheetId="11" r:id="rId13"/>
    <sheet state="visible" name="CreateDoneAwayOrder" sheetId="12" r:id="rId14"/>
    <sheet state="visible" name="EditSMGridUi" sheetId="13" r:id="rId15"/>
  </sheets>
  <definedNames/>
  <calcPr/>
</workbook>
</file>

<file path=xl/sharedStrings.xml><?xml version="1.0" encoding="utf-8"?>
<sst xmlns="http://schemas.openxmlformats.org/spreadsheetml/2006/main" count="116" uniqueCount="39">
  <si>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</si>
  <si>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</si>
  <si>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</si>
  <si>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</si>
  <si>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</si>
  <si>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</si>
  <si>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</si>
  <si>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</si>
  <si>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</si>
  <si>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</si>
  <si>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</si>
  <si>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</si>
  <si>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PricingInput</t>
  </si>
  <si>
    <t>Data Format</t>
  </si>
  <si>
    <t>Input Format</t>
  </si>
  <si>
    <t>AAPL</t>
  </si>
  <si>
    <t>IPLY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</si>
  <si>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</si>
  <si>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</si>
  <si>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</si>
  <si>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</si>
  <si>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</si>
  <si>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</si>
  <si>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</si>
  <si>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AddCash</t>
  </si>
  <si>
    <t>RunRebalance</t>
  </si>
  <si>
    <t>Nearest Round Off</t>
  </si>
  <si>
    <t>VerifyGridData</t>
  </si>
  <si>
    <t>Equity</t>
  </si>
  <si>
    <t>Long</t>
  </si>
  <si>
    <t>AAPL US EQUITY</t>
  </si>
  <si>
    <t>IPLY US EQUITY</t>
  </si>
  <si>
    <t>TradingTicket</t>
  </si>
  <si>
    <t>CreateDoneAwayOrder</t>
  </si>
  <si>
    <t>Buy</t>
  </si>
  <si>
    <t>SymbolLookup</t>
  </si>
  <si>
    <t>EditSMGridUi</t>
  </si>
  <si>
    <t>Yes</t>
  </si>
  <si>
    <t>IPLY 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</si>
</sst>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12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15</v>
      </c>
      <c r="C6" s="13">
        <v>2.0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>
        <v>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 t="shared" ref="B6:C6" si="1">today()-1</f>
        <v>45343</v>
      </c>
      <c r="C6" s="32">
        <f t="shared" si="1"/>
        <v>45343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20000.0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v>10000.0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4" t="s">
        <v>20</v>
      </c>
      <c r="D6" s="34" t="s">
        <v>15</v>
      </c>
      <c r="E6" s="34" t="s">
        <v>28</v>
      </c>
      <c r="F6" s="34" t="s">
        <v>29</v>
      </c>
      <c r="G6" s="35">
        <v>2.0</v>
      </c>
      <c r="H6" s="35">
        <v>2.0</v>
      </c>
      <c r="I6" s="35">
        <v>1.0</v>
      </c>
      <c r="J6" s="8"/>
      <c r="K6" s="35">
        <v>100.0</v>
      </c>
      <c r="L6" s="8"/>
      <c r="M6" s="8"/>
      <c r="N6" s="8"/>
      <c r="O6" s="35">
        <v>150.0</v>
      </c>
      <c r="R6" s="35">
        <v>50.0</v>
      </c>
      <c r="S6" s="35">
        <v>100.0</v>
      </c>
      <c r="X6" s="34" t="s">
        <v>30</v>
      </c>
    </row>
    <row r="7" ht="15.75" customHeight="1">
      <c r="A7" s="8"/>
      <c r="B7" s="8"/>
      <c r="C7" s="34" t="s">
        <v>20</v>
      </c>
      <c r="D7" s="34" t="s">
        <v>16</v>
      </c>
      <c r="E7" s="34" t="s">
        <v>28</v>
      </c>
      <c r="F7" s="34" t="s">
        <v>29</v>
      </c>
      <c r="G7" s="35">
        <v>2.0</v>
      </c>
      <c r="H7" s="35">
        <v>2.0</v>
      </c>
      <c r="I7" s="35">
        <v>1.0</v>
      </c>
      <c r="J7" s="8"/>
      <c r="K7" s="35">
        <v>100.0</v>
      </c>
      <c r="L7" s="8"/>
      <c r="M7" s="8"/>
      <c r="N7" s="8"/>
      <c r="O7" s="35">
        <v>150.0</v>
      </c>
      <c r="R7" s="35">
        <v>50.0</v>
      </c>
      <c r="S7" s="35">
        <v>100.0</v>
      </c>
      <c r="X7" s="34" t="s">
        <v>31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IFERROR(__xludf.DUMMYFUNCTION("""COMPUTED_VALUE"""),"EnableComplianceTab")</f>
        <v>EnableComplianceTab</v>
      </c>
      <c r="G4" s="25" t="str">
        <f>IFERROR(__xludf.DUMMYFUNCTION("""COMPUTED_VALUE"""),"RebalancePreference")</f>
        <v>RebalancePreference</v>
      </c>
      <c r="H4" s="25" t="str">
        <f>IFERROR(__xludf.DUMMYFUNCTION("""COMPUTED_VALUE"""),"ImportModelPortfolio")</f>
        <v>ImportModelPortfolio</v>
      </c>
      <c r="I4" s="25" t="str">
        <f>IFERROR(__xludf.DUMMYFUNCTION("""COMPUTED_VALUE"""),"RebalanceAcrossSecurities")</f>
        <v>RebalanceAcrossSecurities</v>
      </c>
      <c r="J4" s="25" t="str">
        <f>IFERROR(__xludf.DUMMYFUNCTION("""COMPUTED_VALUE"""),"CheckBasketCompliance")</f>
        <v>CheckBasketCompliance</v>
      </c>
      <c r="K4" s="25" t="str">
        <f>IFERROR(__xludf.DUMMYFUNCTION("""COMPUTED_VALUE"""),"ClearCalculations")</f>
        <v>ClearCalculations</v>
      </c>
      <c r="L4" s="25" t="str">
        <f>IFERROR(__xludf.DUMMYFUNCTION("""COMPUTED_VALUE"""),"ModifyRebalance")</f>
        <v>ModifyRebalance</v>
      </c>
      <c r="M4" s="25" t="str">
        <f>IFERROR(__xludf.DUMMYFUNCTION("""COMPUTED_VALUE"""),"ModelPortfolio")</f>
        <v>ModelPortfolio</v>
      </c>
      <c r="N4" s="25" t="str">
        <f>IFERROR(__xludf.DUMMYFUNCTION("""COMPUTED_VALUE"""),"LockandUnlockGridData")</f>
        <v>LockandUnlockGridData</v>
      </c>
      <c r="O4" s="25" t="str">
        <f>IFERROR(__xludf.DUMMYFUNCTION("""COMPUTED_VALUE"""),"RefreshGridData")</f>
        <v>RefreshGridData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IFERROR(__xludf.DUMMYFUNCTION("""COMPUTED_VALUE"""),"RebalanceViaBloomberg")</f>
        <v>RebalanceViaBloomberg</v>
      </c>
      <c r="S4" s="26" t="str">
        <f>IFERROR(__xludf.DUMMYFUNCTION("""COMPUTED_VALUE"""),"AddUserAdjustedNAV")</f>
        <v>AddUserAdjustedNAV</v>
      </c>
      <c r="T4" s="26" t="str">
        <f>IFERROR(__xludf.DUMMYFUNCTION("""COMPUTED_VALUE"""),"SymbologyChangeRB")</f>
        <v>SymbologyChangeRB</v>
      </c>
      <c r="U4" s="26" t="str">
        <f>IFERROR(__xludf.DUMMYFUNCTION("""COMPUTED_VALUE"""),"CloseRebalancer")</f>
        <v>CloseRebalancer</v>
      </c>
      <c r="V4" s="26" t="str">
        <f>IFERROR(__xludf.DUMMYFUNCTION("""COMPUTED_VALUE"""),"AddCustomCashUsingImport")</f>
        <v>AddCustomCashUsingImport</v>
      </c>
      <c r="W4" s="26" t="str">
        <f>IFERROR(__xludf.DUMMYFUNCTION("""COMPUTED_VALUE"""),"EditRebalanceGrid")</f>
        <v>EditRebalanceGrid</v>
      </c>
      <c r="X4" s="26" t="str">
        <f>IFERROR(__xludf.DUMMYFUNCTION("""COMPUTED_VALUE"""),"SaveTradeList")</f>
        <v>SaveTradeList</v>
      </c>
      <c r="Y4" s="26" t="str">
        <f>IFERROR(__xludf.DUMMYFUNCTION("""COMPUTED_VALUE"""),"NavImpactingComponent")</f>
        <v>NavImpactingComponent</v>
      </c>
      <c r="Z4" s="26" t="str">
        <f>IFERROR(__xludf.DUMMYFUNCTION("""COMPUTED_VALUE"""),"ImportUsingRebalAccrossSec")</f>
        <v>ImportUsingRebalAccrossSec</v>
      </c>
      <c r="AA4" s="26" t="str">
        <f>IFERROR(__xludf.DUMMYFUNCTION("""COMPUTED_VALUE"""),"EditImportStatus")</f>
        <v>EditImportStatus</v>
      </c>
      <c r="AB4" s="26" t="str">
        <f>IFERROR(__xludf.DUMMYFUNCTION("""COMPUTED_VALUE"""),"SelectActionsOnImportStatus")</f>
        <v>SelectActionsOnImportStatus</v>
      </c>
      <c r="AC4" s="26" t="str">
        <f>IFERROR(__xludf.DUMMYFUNCTION("""COMPUTED_VALUE"""),"VerifyImportStatus")</f>
        <v>VerifyImportStatus</v>
      </c>
      <c r="AD4" s="26" t="str">
        <f>IFERROR(__xludf.DUMMYFUNCTION("""COMPUTED_VALUE"""),"AddNewModelPortfolio")</f>
        <v>AddNewModelPortfolio</v>
      </c>
      <c r="AE4" s="26" t="str">
        <f>IFERROR(__xludf.DUMMYFUNCTION("""COMPUTED_VALUE"""),"VerifyBuySellList")</f>
        <v>VerifyBuySellList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 t="str">
        <f>IFERROR(__xludf.DUMMYFUNCTION("""COMPUTED_VALUE"""),"Bloomberg Symbol")</f>
        <v>Bloomberg Symbol</v>
      </c>
      <c r="Y5" s="30" t="str">
        <f>IFERROR(__xludf.DUMMYFUNCTION("""COMPUTED_VALUE"""),"Verify On SM")</f>
        <v>Verify On SM</v>
      </c>
      <c r="Z5" s="30" t="str">
        <f>IFERROR(__xludf.DUMMYFUNCTION("""COMPUTED_VALUE"""),"Columns To Verify On SM")</f>
        <v>Columns To Verify On SM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34" t="s">
        <v>20</v>
      </c>
      <c r="D6" s="34" t="s">
        <v>15</v>
      </c>
      <c r="E6" s="34" t="s">
        <v>28</v>
      </c>
      <c r="F6" s="34" t="s">
        <v>29</v>
      </c>
      <c r="G6" s="35">
        <v>2.0</v>
      </c>
      <c r="H6" s="35">
        <v>2.0</v>
      </c>
      <c r="I6" s="35">
        <v>1.0</v>
      </c>
      <c r="J6" s="8"/>
      <c r="K6" s="35">
        <v>100.0</v>
      </c>
      <c r="L6" s="8"/>
      <c r="M6" s="8"/>
      <c r="N6" s="8"/>
      <c r="O6" s="35">
        <v>150.0</v>
      </c>
      <c r="R6" s="35">
        <v>50.0</v>
      </c>
      <c r="S6" s="35">
        <v>100.0</v>
      </c>
      <c r="X6" s="34" t="s">
        <v>30</v>
      </c>
    </row>
    <row r="7" ht="15.75" customHeight="1">
      <c r="A7" s="8"/>
      <c r="B7" s="8"/>
      <c r="C7" s="34" t="s">
        <v>20</v>
      </c>
      <c r="D7" s="34" t="s">
        <v>16</v>
      </c>
      <c r="E7" s="34" t="s">
        <v>28</v>
      </c>
      <c r="F7" s="34" t="s">
        <v>29</v>
      </c>
      <c r="G7" s="35">
        <v>2.0</v>
      </c>
      <c r="H7" s="35">
        <v>2.0</v>
      </c>
      <c r="I7" s="35">
        <v>1.0</v>
      </c>
      <c r="J7" s="8"/>
      <c r="K7" s="35">
        <v>100.0</v>
      </c>
      <c r="L7" s="8"/>
      <c r="M7" s="8"/>
      <c r="N7" s="8"/>
      <c r="O7" s="35">
        <v>150.0</v>
      </c>
      <c r="R7" s="35">
        <v>50.0</v>
      </c>
      <c r="S7" s="35">
        <v>100.0</v>
      </c>
      <c r="X7" s="34" t="s">
        <v>31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15</v>
      </c>
      <c r="C6" s="37" t="s">
        <v>34</v>
      </c>
      <c r="D6" s="33">
        <v>100.0</v>
      </c>
      <c r="E6" s="37"/>
      <c r="F6" s="37" t="s">
        <v>20</v>
      </c>
      <c r="G6" s="37"/>
      <c r="H6" s="37"/>
      <c r="I6" s="37"/>
      <c r="J6" s="38">
        <v>2.0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13" t="s">
        <v>16</v>
      </c>
      <c r="C7" s="37" t="s">
        <v>34</v>
      </c>
      <c r="D7" s="33">
        <v>100.0</v>
      </c>
      <c r="E7" s="37"/>
      <c r="F7" s="37" t="s">
        <v>20</v>
      </c>
      <c r="G7" s="37"/>
      <c r="H7" s="37"/>
      <c r="I7" s="37"/>
      <c r="J7" s="38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IFERROR(__xludf.DUMMYFUNCTION("IF(C3="""","""",Transpose(IMPORTRANGE('_Settings'!$B$3,C3&amp;""!A4:A1000"")))"),"VerifySymbolLookUp")</f>
        <v>VerifySymbolLookUp</v>
      </c>
      <c r="C4" s="25" t="str">
        <f>IFERROR(__xludf.DUMMYFUNCTION("""COMPUTED_VALUE"""),"SymbolLookupFromTT")</f>
        <v>SymbolLookupFromTT</v>
      </c>
      <c r="D4" s="25" t="str">
        <f>IFERROR(__xludf.DUMMYFUNCTION("""COMPUTED_VALUE"""),"UpdateUDA")</f>
        <v>UpdateUDA</v>
      </c>
      <c r="E4" s="25" t="str">
        <f>IFERROR(__xludf.DUMMYFUNCTION("""COMPUTED_VALUE"""),"GetSymbol")</f>
        <v>GetSymbol</v>
      </c>
      <c r="F4" s="25" t="str">
        <f>IFERROR(__xludf.DUMMYFUNCTION("""COMPUTED_VALUE"""),"GetDataSymbolLookup")</f>
        <v>GetDataSymbolLookup</v>
      </c>
      <c r="G4" s="25" t="str">
        <f>IFERROR(__xludf.DUMMYFUNCTION("""COMPUTED_VALUE"""),"DeleteValidateSymbol")</f>
        <v>DeleteValidateSymbol</v>
      </c>
      <c r="H4" s="25" t="str">
        <f>IFERROR(__xludf.DUMMYFUNCTION("""COMPUTED_VALUE"""),"EnterEquity")</f>
        <v>EnterEquity</v>
      </c>
      <c r="I4" s="25" t="str">
        <f>IFERROR(__xludf.DUMMYFUNCTION("""COMPUTED_VALUE"""),"UpdateSecurityInfoOnSM")</f>
        <v>UpdateSecurityInfoOnSM</v>
      </c>
      <c r="J4" s="25" t="str">
        <f>IFERROR(__xludf.DUMMYFUNCTION("""COMPUTED_VALUE"""),"TradeSymbolFromSM")</f>
        <v>TradeSymbolFromSM</v>
      </c>
      <c r="K4" s="25" t="str">
        <f>IFERROR(__xludf.DUMMYFUNCTION("""COMPUTED_VALUE"""),"AddSymbol")</f>
        <v>AddSymbol</v>
      </c>
      <c r="L4" s="25" t="str">
        <f>IFERROR(__xludf.DUMMYFUNCTION("""COMPUTED_VALUE"""),"SelectFromSMGridUI")</f>
        <v>SelectFromSMGridUI</v>
      </c>
      <c r="M4" s="25" t="str">
        <f>IFERROR(__xludf.DUMMYFUNCTION("""COMPUTED_VALUE"""),"EditSMGridUi")</f>
        <v>EditSMGridUi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IFERROR(__xludf.DUMMYFUNCTION("""COMPUTED_VALUE"""),"UseUDAFromUnderlyingOrRoot")</f>
        <v>UseUDAFromUnderlyingOrRoot</v>
      </c>
      <c r="C5" s="28" t="str">
        <f>IFERROR(__xludf.DUMMYFUNCTION("""COMPUTED_VALUE"""),"Is NDF")</f>
        <v>Is NDF</v>
      </c>
      <c r="D5" s="28" t="str">
        <f>IFERROR(__xludf.DUMMYFUNCTION("""COMPUTED_VALUE"""),"IsZero")</f>
        <v>IsZero</v>
      </c>
      <c r="E5" s="28" t="str">
        <f>IFERROR(__xludf.DUMMYFUNCTION("""COMPUTED_VALUE"""),"IsSecApproved")</f>
        <v>IsSecApproved</v>
      </c>
      <c r="F5" s="29" t="str">
        <f>IFERROR(__xludf.DUMMYFUNCTION("""COMPUTED_VALUE"""),"Strike Price")</f>
        <v>Strike Price</v>
      </c>
      <c r="G5" s="28" t="str">
        <f>IFERROR(__xludf.DUMMYFUNCTION("""COMPUTED_VALUE"""),"Search Type")</f>
        <v>Search Type</v>
      </c>
      <c r="H5" s="28" t="str">
        <f>IFERROR(__xludf.DUMMYFUNCTION("""COMPUTED_VALUE"""),"Symbol")</f>
        <v>Symbol</v>
      </c>
      <c r="I5" s="28" t="str">
        <f>IFERROR(__xludf.DUMMYFUNCTION("""COMPUTED_VALUE"""),"SearchBeforeEdit")</f>
        <v>SearchBeforeEdit</v>
      </c>
      <c r="J5" s="28" t="str">
        <f>IFERROR(__xludf.DUMMYFUNCTION("""COMPUTED_VALUE"""),"BB Code")</f>
        <v>BB Code</v>
      </c>
      <c r="K5" s="28" t="str">
        <f>IFERROR(__xludf.DUMMYFUNCTION("""COMPUTED_VALUE"""),"Underlying Symbol")</f>
        <v>Underlying Symbol</v>
      </c>
      <c r="L5" s="28" t="str">
        <f>IFERROR(__xludf.DUMMYFUNCTION("""COMPUTED_VALUE"""),"Multiplier")</f>
        <v>Multiplier</v>
      </c>
      <c r="M5" s="28" t="str">
        <f>IFERROR(__xludf.DUMMYFUNCTION("""COMPUTED_VALUE"""),"CUSIP")</f>
        <v>CUSIP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7"/>
      <c r="D6" s="36"/>
      <c r="E6" s="37"/>
      <c r="F6" s="37"/>
      <c r="G6" s="37"/>
      <c r="H6" s="39" t="s">
        <v>16</v>
      </c>
      <c r="I6" s="37" t="s">
        <v>37</v>
      </c>
      <c r="J6" s="39" t="s">
        <v>38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