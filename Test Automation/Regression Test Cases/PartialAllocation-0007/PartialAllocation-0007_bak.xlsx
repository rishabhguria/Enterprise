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3" activeTab="16"/>
  </bookViews>
  <sheets>
    <sheet name="_Modules" sheetId="1" r:id="rId1"/>
    <sheet name="_Settings" sheetId="2" r:id="rId2"/>
    <sheet name="_MasterData" sheetId="3" r:id="rId3"/>
    <sheet name="CreateDoneAwayOrder" sheetId="4" r:id="rId4"/>
    <sheet name="GetDailyCash" sheetId="5" r:id="rId5"/>
    <sheet name="UpdateDailyCash" sheetId="6" r:id="rId6"/>
    <sheet name="CheckUnallocatedGroups" sheetId="7" r:id="rId7"/>
    <sheet name="SelectUnallocatedGroup" sheetId="8" r:id="rId8"/>
    <sheet name="EnterAllocatePreference" sheetId="9" r:id="rId9"/>
    <sheet name="CheckAllocatedGroups" sheetId="10" r:id="rId10"/>
    <sheet name="GetDataAllocation" sheetId="11" r:id="rId11"/>
    <sheet name="GetDataClosing" sheetId="12" r:id="rId12"/>
    <sheet name="VerifyLongPositionsGrid" sheetId="13" r:id="rId13"/>
    <sheet name="VerifyShortPositionsGrid" sheetId="14" r:id="rId14"/>
    <sheet name="GetActivityData" sheetId="15" r:id="rId15"/>
    <sheet name="VerifyActivity" sheetId="16" r:id="rId16"/>
    <sheet name="CheckPortfolioManagement" sheetId="17" r:id="rId17"/>
    <sheet name="Copy of Data" sheetId="18" r:id="rId18"/>
    <sheet name="Copy of Data 1" sheetId="19" r:id="rId19"/>
    <sheet name="Copy of Data 2" sheetId="20" r:id="rId20"/>
    <sheet name="SetGeneralPreferences" sheetId="21" r:id="rId21"/>
  </sheets>
  <calcPr calcId="145621"/>
</workbook>
</file>

<file path=xl/calcChain.xml><?xml version="1.0" encoding="utf-8"?>
<calcChain xmlns="http://schemas.openxmlformats.org/spreadsheetml/2006/main">
  <c r="E6" i="15" l="1"/>
  <c r="D6" i="15"/>
  <c r="J6" i="9"/>
  <c r="C6" i="5"/>
  <c r="B6" i="5"/>
  <c r="BK5" i="17"/>
  <c r="EX5" i="21"/>
  <c r="EP5" i="21"/>
  <c r="EH5" i="21"/>
  <c r="DZ5" i="21"/>
  <c r="DR5" i="21"/>
  <c r="DJ5" i="21"/>
  <c r="DB5" i="21"/>
  <c r="CT5" i="21"/>
  <c r="CL5" i="21"/>
  <c r="CD5" i="21"/>
  <c r="BV5" i="21"/>
  <c r="BN5" i="21"/>
  <c r="BF5" i="21"/>
  <c r="AX5" i="21"/>
  <c r="AP5" i="21"/>
  <c r="AH5" i="21"/>
  <c r="Z5" i="21"/>
  <c r="R5" i="21"/>
  <c r="J5" i="21"/>
  <c r="B5" i="21"/>
  <c r="ER4" i="21"/>
  <c r="EJ4" i="21"/>
  <c r="EB4" i="21"/>
  <c r="DT4" i="21"/>
  <c r="DL4" i="21"/>
  <c r="DD4" i="21"/>
  <c r="CV4" i="21"/>
  <c r="CN4" i="21"/>
  <c r="CF4" i="21"/>
  <c r="BX4" i="21"/>
  <c r="BP4" i="21"/>
  <c r="BH4" i="21"/>
  <c r="AZ4" i="21"/>
  <c r="AR4" i="21"/>
  <c r="AJ4" i="21"/>
  <c r="AB4" i="21"/>
  <c r="T4" i="21"/>
  <c r="L4" i="21"/>
  <c r="D4" i="21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EV4" i="20"/>
  <c r="EN4" i="20"/>
  <c r="EF4" i="20"/>
  <c r="DX4" i="20"/>
  <c r="DP4" i="20"/>
  <c r="DH4" i="20"/>
  <c r="CZ4" i="20"/>
  <c r="CR4" i="20"/>
  <c r="CJ4" i="20"/>
  <c r="CB4" i="20"/>
  <c r="BT4" i="20"/>
  <c r="BL4" i="20"/>
  <c r="BD4" i="20"/>
  <c r="AV4" i="20"/>
  <c r="AN4" i="20"/>
  <c r="AF4" i="20"/>
  <c r="X4" i="20"/>
  <c r="P4" i="20"/>
  <c r="H4" i="20"/>
  <c r="EX5" i="19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ER4" i="19"/>
  <c r="EJ4" i="19"/>
  <c r="EB4" i="19"/>
  <c r="DT4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ET5" i="18"/>
  <c r="EL5" i="18"/>
  <c r="ED5" i="18"/>
  <c r="DV5" i="18"/>
  <c r="DN5" i="18"/>
  <c r="DF5" i="18"/>
  <c r="CX5" i="18"/>
  <c r="CP5" i="18"/>
  <c r="CH5" i="18"/>
  <c r="BZ5" i="18"/>
  <c r="BR5" i="18"/>
  <c r="EW5" i="21"/>
  <c r="EO5" i="21"/>
  <c r="EG5" i="21"/>
  <c r="DY5" i="21"/>
  <c r="DQ5" i="21"/>
  <c r="DI5" i="21"/>
  <c r="DA5" i="21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EQ4" i="21"/>
  <c r="EI4" i="21"/>
  <c r="EA4" i="21"/>
  <c r="DS4" i="21"/>
  <c r="DK4" i="21"/>
  <c r="DC4" i="21"/>
  <c r="CU4" i="21"/>
  <c r="CM4" i="21"/>
  <c r="CE4" i="21"/>
  <c r="BW4" i="21"/>
  <c r="BO4" i="21"/>
  <c r="BG4" i="21"/>
  <c r="AY4" i="21"/>
  <c r="AQ4" i="21"/>
  <c r="AI4" i="21"/>
  <c r="AA4" i="21"/>
  <c r="S4" i="21"/>
  <c r="K4" i="21"/>
  <c r="C4" i="21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EU4" i="20"/>
  <c r="EM4" i="20"/>
  <c r="EE4" i="20"/>
  <c r="DW4" i="20"/>
  <c r="DO4" i="20"/>
  <c r="DG4" i="20"/>
  <c r="CY4" i="20"/>
  <c r="CQ4" i="20"/>
  <c r="CI4" i="20"/>
  <c r="CA4" i="20"/>
  <c r="BS4" i="20"/>
  <c r="BK4" i="20"/>
  <c r="BC4" i="20"/>
  <c r="AU4" i="20"/>
  <c r="AM4" i="20"/>
  <c r="AE4" i="20"/>
  <c r="W4" i="20"/>
  <c r="O4" i="20"/>
  <c r="G4" i="20"/>
  <c r="EW5" i="19"/>
  <c r="EO5" i="19"/>
  <c r="EG5" i="19"/>
  <c r="DY5" i="19"/>
  <c r="DQ5" i="19"/>
  <c r="DI5" i="19"/>
  <c r="DA5" i="19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EQ4" i="19"/>
  <c r="EI4" i="19"/>
  <c r="EA4" i="19"/>
  <c r="DS4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ES5" i="18"/>
  <c r="EK5" i="18"/>
  <c r="EC5" i="18"/>
  <c r="DU5" i="18"/>
  <c r="DM5" i="18"/>
  <c r="DE5" i="18"/>
  <c r="CW5" i="18"/>
  <c r="CO5" i="18"/>
  <c r="CG5" i="18"/>
  <c r="EV5" i="21"/>
  <c r="EN5" i="21"/>
  <c r="EF5" i="21"/>
  <c r="DX5" i="21"/>
  <c r="DP5" i="21"/>
  <c r="DH5" i="21"/>
  <c r="CZ5" i="21"/>
  <c r="CR5" i="21"/>
  <c r="CJ5" i="21"/>
  <c r="CB5" i="21"/>
  <c r="BT5" i="21"/>
  <c r="BL5" i="21"/>
  <c r="BD5" i="21"/>
  <c r="AV5" i="21"/>
  <c r="AN5" i="21"/>
  <c r="AF5" i="21"/>
  <c r="X5" i="21"/>
  <c r="P5" i="21"/>
  <c r="H5" i="21"/>
  <c r="EX4" i="21"/>
  <c r="EP4" i="21"/>
  <c r="EH4" i="21"/>
  <c r="DZ4" i="21"/>
  <c r="DR4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ET4" i="20"/>
  <c r="EL4" i="20"/>
  <c r="ED4" i="20"/>
  <c r="DV4" i="20"/>
  <c r="DN4" i="20"/>
  <c r="DF4" i="20"/>
  <c r="CX4" i="20"/>
  <c r="CP4" i="20"/>
  <c r="CH4" i="20"/>
  <c r="BZ4" i="20"/>
  <c r="BR4" i="20"/>
  <c r="BJ4" i="20"/>
  <c r="BB4" i="20"/>
  <c r="AT4" i="20"/>
  <c r="AL4" i="20"/>
  <c r="AD4" i="20"/>
  <c r="V4" i="20"/>
  <c r="N4" i="20"/>
  <c r="F4" i="20"/>
  <c r="EV5" i="19"/>
  <c r="EN5" i="19"/>
  <c r="EF5" i="19"/>
  <c r="DX5" i="19"/>
  <c r="DP5" i="19"/>
  <c r="DH5" i="19"/>
  <c r="CZ5" i="19"/>
  <c r="CR5" i="19"/>
  <c r="CJ5" i="19"/>
  <c r="CB5" i="19"/>
  <c r="BT5" i="19"/>
  <c r="BL5" i="19"/>
  <c r="BD5" i="19"/>
  <c r="AV5" i="19"/>
  <c r="AN5" i="19"/>
  <c r="AF5" i="19"/>
  <c r="X5" i="19"/>
  <c r="P5" i="19"/>
  <c r="H5" i="19"/>
  <c r="EX4" i="19"/>
  <c r="EP4" i="19"/>
  <c r="EU5" i="21"/>
  <c r="EM5" i="21"/>
  <c r="EE5" i="21"/>
  <c r="DW5" i="21"/>
  <c r="DO5" i="21"/>
  <c r="DG5" i="21"/>
  <c r="CY5" i="21"/>
  <c r="CQ5" i="21"/>
  <c r="CI5" i="21"/>
  <c r="CA5" i="21"/>
  <c r="BS5" i="21"/>
  <c r="BK5" i="21"/>
  <c r="BC5" i="21"/>
  <c r="AU5" i="21"/>
  <c r="AM5" i="21"/>
  <c r="AE5" i="21"/>
  <c r="W5" i="21"/>
  <c r="O5" i="21"/>
  <c r="G5" i="21"/>
  <c r="EW4" i="21"/>
  <c r="EO4" i="21"/>
  <c r="EG4" i="21"/>
  <c r="DY4" i="21"/>
  <c r="DQ4" i="21"/>
  <c r="DI4" i="21"/>
  <c r="DA4" i="21"/>
  <c r="CS4" i="21"/>
  <c r="CK4" i="21"/>
  <c r="CC4" i="21"/>
  <c r="BU4" i="21"/>
  <c r="BM4" i="21"/>
  <c r="BE4" i="21"/>
  <c r="AW4" i="21"/>
  <c r="AO4" i="21"/>
  <c r="AG4" i="21"/>
  <c r="Y4" i="21"/>
  <c r="Q4" i="21"/>
  <c r="I4" i="21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ES4" i="20"/>
  <c r="EK4" i="20"/>
  <c r="EC4" i="20"/>
  <c r="DU4" i="20"/>
  <c r="DM4" i="20"/>
  <c r="DE4" i="20"/>
  <c r="CW4" i="20"/>
  <c r="CO4" i="20"/>
  <c r="CG4" i="20"/>
  <c r="BY4" i="20"/>
  <c r="BQ4" i="20"/>
  <c r="BI4" i="20"/>
  <c r="BA4" i="20"/>
  <c r="AS4" i="20"/>
  <c r="AK4" i="20"/>
  <c r="AC4" i="20"/>
  <c r="U4" i="20"/>
  <c r="M4" i="20"/>
  <c r="E4" i="20"/>
  <c r="ET5" i="21"/>
  <c r="EL5" i="21"/>
  <c r="ED5" i="21"/>
  <c r="DV5" i="21"/>
  <c r="DN5" i="21"/>
  <c r="DF5" i="21"/>
  <c r="CX5" i="21"/>
  <c r="CP5" i="21"/>
  <c r="CH5" i="21"/>
  <c r="BZ5" i="21"/>
  <c r="BR5" i="21"/>
  <c r="BJ5" i="21"/>
  <c r="BB5" i="21"/>
  <c r="AT5" i="21"/>
  <c r="AL5" i="21"/>
  <c r="AD5" i="21"/>
  <c r="V5" i="21"/>
  <c r="N5" i="21"/>
  <c r="F5" i="21"/>
  <c r="EV4" i="21"/>
  <c r="EN4" i="21"/>
  <c r="EF4" i="21"/>
  <c r="DX4" i="21"/>
  <c r="DP4" i="21"/>
  <c r="DH4" i="21"/>
  <c r="CZ4" i="21"/>
  <c r="CR4" i="21"/>
  <c r="CJ4" i="21"/>
  <c r="CB4" i="21"/>
  <c r="BT4" i="21"/>
  <c r="BL4" i="21"/>
  <c r="BD4" i="21"/>
  <c r="AV4" i="21"/>
  <c r="AN4" i="21"/>
  <c r="AF4" i="21"/>
  <c r="X4" i="21"/>
  <c r="P4" i="21"/>
  <c r="H4" i="21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ER4" i="20"/>
  <c r="EJ4" i="20"/>
  <c r="EB4" i="20"/>
  <c r="DT4" i="20"/>
  <c r="DL4" i="20"/>
  <c r="DD4" i="20"/>
  <c r="CV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ET5" i="19"/>
  <c r="EL5" i="19"/>
  <c r="ED5" i="19"/>
  <c r="DV5" i="19"/>
  <c r="DN5" i="19"/>
  <c r="DF5" i="19"/>
  <c r="CX5" i="19"/>
  <c r="CP5" i="19"/>
  <c r="CH5" i="19"/>
  <c r="BZ5" i="19"/>
  <c r="BR5" i="19"/>
  <c r="BJ5" i="19"/>
  <c r="BB5" i="19"/>
  <c r="AT5" i="19"/>
  <c r="AL5" i="19"/>
  <c r="AD5" i="19"/>
  <c r="V5" i="19"/>
  <c r="N5" i="19"/>
  <c r="F5" i="19"/>
  <c r="ES5" i="21"/>
  <c r="EK5" i="21"/>
  <c r="EC5" i="21"/>
  <c r="DU5" i="21"/>
  <c r="DM5" i="21"/>
  <c r="DE5" i="21"/>
  <c r="CW5" i="21"/>
  <c r="CO5" i="21"/>
  <c r="CG5" i="21"/>
  <c r="BY5" i="21"/>
  <c r="BQ5" i="21"/>
  <c r="BI5" i="21"/>
  <c r="BA5" i="21"/>
  <c r="AS5" i="21"/>
  <c r="AK5" i="21"/>
  <c r="AC5" i="21"/>
  <c r="U5" i="21"/>
  <c r="M5" i="21"/>
  <c r="E5" i="21"/>
  <c r="EU4" i="21"/>
  <c r="EM4" i="21"/>
  <c r="EE4" i="21"/>
  <c r="DW4" i="21"/>
  <c r="DO4" i="21"/>
  <c r="DG4" i="21"/>
  <c r="CY4" i="21"/>
  <c r="CQ4" i="21"/>
  <c r="CI4" i="21"/>
  <c r="CA4" i="21"/>
  <c r="BS4" i="21"/>
  <c r="BK4" i="21"/>
  <c r="BC4" i="21"/>
  <c r="AU4" i="21"/>
  <c r="AM4" i="21"/>
  <c r="AE4" i="21"/>
  <c r="W4" i="21"/>
  <c r="O4" i="21"/>
  <c r="G4" i="21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EQ4" i="20"/>
  <c r="EI4" i="20"/>
  <c r="EA4" i="20"/>
  <c r="DS4" i="20"/>
  <c r="DK4" i="20"/>
  <c r="DC4" i="20"/>
  <c r="CU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ES5" i="19"/>
  <c r="EK5" i="19"/>
  <c r="EC5" i="19"/>
  <c r="DU5" i="19"/>
  <c r="DM5" i="19"/>
  <c r="DE5" i="19"/>
  <c r="CW5" i="19"/>
  <c r="CO5" i="19"/>
  <c r="CG5" i="19"/>
  <c r="BY5" i="19"/>
  <c r="BQ5" i="19"/>
  <c r="BI5" i="19"/>
  <c r="BA5" i="19"/>
  <c r="AS5" i="19"/>
  <c r="AK5" i="19"/>
  <c r="AC5" i="19"/>
  <c r="U5" i="19"/>
  <c r="M5" i="19"/>
  <c r="E5" i="19"/>
  <c r="EU4" i="19"/>
  <c r="ER5" i="21"/>
  <c r="EJ5" i="21"/>
  <c r="EB5" i="21"/>
  <c r="DT5" i="21"/>
  <c r="DL5" i="21"/>
  <c r="DD5" i="21"/>
  <c r="CV5" i="21"/>
  <c r="CN5" i="21"/>
  <c r="CF5" i="21"/>
  <c r="BX5" i="21"/>
  <c r="BP5" i="21"/>
  <c r="BH5" i="21"/>
  <c r="AZ5" i="21"/>
  <c r="AR5" i="21"/>
  <c r="AJ5" i="21"/>
  <c r="AB5" i="21"/>
  <c r="T5" i="21"/>
  <c r="L5" i="21"/>
  <c r="D5" i="21"/>
  <c r="ET4" i="21"/>
  <c r="EL4" i="21"/>
  <c r="ED4" i="21"/>
  <c r="DV4" i="21"/>
  <c r="DN4" i="21"/>
  <c r="DF4" i="21"/>
  <c r="CX4" i="21"/>
  <c r="CP4" i="21"/>
  <c r="CH4" i="21"/>
  <c r="BZ4" i="21"/>
  <c r="BR4" i="21"/>
  <c r="BJ4" i="21"/>
  <c r="BB4" i="21"/>
  <c r="AT4" i="21"/>
  <c r="AL4" i="21"/>
  <c r="AD4" i="21"/>
  <c r="V4" i="21"/>
  <c r="N4" i="21"/>
  <c r="F4" i="21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EX4" i="20"/>
  <c r="EP4" i="20"/>
  <c r="EH4" i="20"/>
  <c r="DZ4" i="20"/>
  <c r="DR4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ET4" i="19"/>
  <c r="EL4" i="19"/>
  <c r="ED4" i="19"/>
  <c r="DV4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EV5" i="18"/>
  <c r="EN5" i="18"/>
  <c r="EF5" i="18"/>
  <c r="DX5" i="18"/>
  <c r="EQ5" i="21"/>
  <c r="EI5" i="21"/>
  <c r="EA5" i="21"/>
  <c r="DS5" i="21"/>
  <c r="DK5" i="21"/>
  <c r="DC5" i="21"/>
  <c r="CU5" i="21"/>
  <c r="CM5" i="21"/>
  <c r="CE5" i="21"/>
  <c r="BW5" i="21"/>
  <c r="BO5" i="21"/>
  <c r="BG5" i="21"/>
  <c r="AY5" i="21"/>
  <c r="AQ5" i="21"/>
  <c r="AI5" i="21"/>
  <c r="AA5" i="21"/>
  <c r="S5" i="21"/>
  <c r="K5" i="21"/>
  <c r="C5" i="21"/>
  <c r="ES4" i="21"/>
  <c r="EK4" i="21"/>
  <c r="EC4" i="21"/>
  <c r="DU4" i="21"/>
  <c r="DM4" i="21"/>
  <c r="DE4" i="21"/>
  <c r="CW4" i="21"/>
  <c r="CO4" i="21"/>
  <c r="CG4" i="21"/>
  <c r="BY4" i="21"/>
  <c r="BQ4" i="21"/>
  <c r="BI4" i="21"/>
  <c r="BA4" i="21"/>
  <c r="AS4" i="21"/>
  <c r="AK4" i="21"/>
  <c r="AC4" i="21"/>
  <c r="U4" i="21"/>
  <c r="M4" i="21"/>
  <c r="E4" i="21"/>
  <c r="EU5" i="20"/>
  <c r="EM5" i="20"/>
  <c r="EE5" i="20"/>
  <c r="DW5" i="20"/>
  <c r="DO5" i="20"/>
  <c r="DG5" i="20"/>
  <c r="CY5" i="20"/>
  <c r="CQ5" i="20"/>
  <c r="CI5" i="20"/>
  <c r="CA5" i="20"/>
  <c r="BS5" i="20"/>
  <c r="BK5" i="20"/>
  <c r="BC5" i="20"/>
  <c r="AU5" i="20"/>
  <c r="AM5" i="20"/>
  <c r="AE5" i="20"/>
  <c r="W5" i="20"/>
  <c r="O5" i="20"/>
  <c r="G5" i="20"/>
  <c r="CS4" i="20"/>
  <c r="AG4" i="20"/>
  <c r="EI5" i="19"/>
  <c r="DC5" i="19"/>
  <c r="BW5" i="19"/>
  <c r="AQ5" i="19"/>
  <c r="K5" i="19"/>
  <c r="EM4" i="19"/>
  <c r="DY4" i="19"/>
  <c r="DM4" i="19"/>
  <c r="CZ4" i="19"/>
  <c r="CL4" i="19"/>
  <c r="CA4" i="19"/>
  <c r="BM4" i="19"/>
  <c r="BA4" i="19"/>
  <c r="AN4" i="19"/>
  <c r="Z4" i="19"/>
  <c r="O4" i="19"/>
  <c r="EM5" i="18"/>
  <c r="DZ5" i="18"/>
  <c r="DO5" i="18"/>
  <c r="DC5" i="18"/>
  <c r="CS5" i="18"/>
  <c r="CI5" i="18"/>
  <c r="BX5" i="18"/>
  <c r="BO5" i="18"/>
  <c r="BG5" i="18"/>
  <c r="AY5" i="18"/>
  <c r="AQ5" i="18"/>
  <c r="AI5" i="18"/>
  <c r="AA5" i="18"/>
  <c r="S5" i="18"/>
  <c r="K5" i="18"/>
  <c r="C5" i="18"/>
  <c r="ES4" i="18"/>
  <c r="EK4" i="18"/>
  <c r="EC4" i="18"/>
  <c r="DU4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FJ5" i="17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FK4" i="17"/>
  <c r="FC4" i="17"/>
  <c r="EU4" i="17"/>
  <c r="EM4" i="17"/>
  <c r="EE4" i="17"/>
  <c r="DW4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EQ4" i="16"/>
  <c r="EI4" i="16"/>
  <c r="EA4" i="16"/>
  <c r="DS4" i="16"/>
  <c r="DK4" i="16"/>
  <c r="DC4" i="16"/>
  <c r="CU4" i="16"/>
  <c r="CM4" i="16"/>
  <c r="CE4" i="16"/>
  <c r="BW4" i="16"/>
  <c r="EW4" i="20"/>
  <c r="CK4" i="20"/>
  <c r="Y4" i="20"/>
  <c r="EE5" i="19"/>
  <c r="CY5" i="19"/>
  <c r="BS5" i="19"/>
  <c r="AM5" i="19"/>
  <c r="G5" i="19"/>
  <c r="EK4" i="19"/>
  <c r="DX4" i="19"/>
  <c r="DJ4" i="19"/>
  <c r="CY4" i="19"/>
  <c r="CK4" i="19"/>
  <c r="BY4" i="19"/>
  <c r="BL4" i="19"/>
  <c r="AX4" i="19"/>
  <c r="AM4" i="19"/>
  <c r="Y4" i="19"/>
  <c r="M4" i="19"/>
  <c r="EX5" i="18"/>
  <c r="EJ5" i="18"/>
  <c r="DY5" i="18"/>
  <c r="DL5" i="18"/>
  <c r="DB5" i="18"/>
  <c r="CR5" i="18"/>
  <c r="CF5" i="18"/>
  <c r="BW5" i="18"/>
  <c r="BN5" i="18"/>
  <c r="BF5" i="18"/>
  <c r="AX5" i="18"/>
  <c r="AP5" i="18"/>
  <c r="AH5" i="18"/>
  <c r="Z5" i="18"/>
  <c r="R5" i="18"/>
  <c r="J5" i="18"/>
  <c r="B5" i="18"/>
  <c r="ER4" i="18"/>
  <c r="EJ4" i="18"/>
  <c r="EB4" i="18"/>
  <c r="DT4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FI5" i="17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FJ4" i="17"/>
  <c r="FB4" i="17"/>
  <c r="ET4" i="17"/>
  <c r="EL4" i="17"/>
  <c r="ED4" i="17"/>
  <c r="DV4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EX4" i="16"/>
  <c r="EP4" i="16"/>
  <c r="EH4" i="16"/>
  <c r="DZ4" i="16"/>
  <c r="DR4" i="16"/>
  <c r="DJ4" i="16"/>
  <c r="DB4" i="16"/>
  <c r="CT4" i="16"/>
  <c r="CL4" i="16"/>
  <c r="CD4" i="16"/>
  <c r="BV4" i="16"/>
  <c r="EO4" i="20"/>
  <c r="CC4" i="20"/>
  <c r="Q4" i="20"/>
  <c r="EA5" i="19"/>
  <c r="CU5" i="19"/>
  <c r="BO5" i="19"/>
  <c r="AI5" i="19"/>
  <c r="C5" i="19"/>
  <c r="EH4" i="19"/>
  <c r="DW4" i="19"/>
  <c r="DI4" i="19"/>
  <c r="CW4" i="19"/>
  <c r="CJ4" i="19"/>
  <c r="BV4" i="19"/>
  <c r="BK4" i="19"/>
  <c r="AW4" i="19"/>
  <c r="AK4" i="19"/>
  <c r="X4" i="19"/>
  <c r="J4" i="19"/>
  <c r="EW5" i="18"/>
  <c r="EI5" i="18"/>
  <c r="DW5" i="18"/>
  <c r="DK5" i="18"/>
  <c r="DA5" i="18"/>
  <c r="CQ5" i="18"/>
  <c r="CE5" i="18"/>
  <c r="BV5" i="18"/>
  <c r="BM5" i="18"/>
  <c r="BE5" i="18"/>
  <c r="AW5" i="18"/>
  <c r="AO5" i="18"/>
  <c r="AG5" i="18"/>
  <c r="Y5" i="18"/>
  <c r="Q5" i="18"/>
  <c r="I5" i="18"/>
  <c r="A5" i="18"/>
  <c r="EQ4" i="18"/>
  <c r="EI4" i="18"/>
  <c r="EA4" i="18"/>
  <c r="DS4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FH5" i="17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FI4" i="17"/>
  <c r="FA4" i="17"/>
  <c r="ES4" i="17"/>
  <c r="EK4" i="17"/>
  <c r="EC4" i="17"/>
  <c r="DU4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EU5" i="16"/>
  <c r="EM5" i="16"/>
  <c r="EE5" i="16"/>
  <c r="DW5" i="16"/>
  <c r="DO5" i="16"/>
  <c r="DG5" i="16"/>
  <c r="CY5" i="16"/>
  <c r="CQ5" i="16"/>
  <c r="CI5" i="16"/>
  <c r="CA5" i="16"/>
  <c r="BS5" i="16"/>
  <c r="BK5" i="16"/>
  <c r="BC5" i="16"/>
  <c r="AU5" i="16"/>
  <c r="AM5" i="16"/>
  <c r="AE5" i="16"/>
  <c r="W5" i="16"/>
  <c r="O5" i="16"/>
  <c r="G5" i="16"/>
  <c r="EW4" i="16"/>
  <c r="EO4" i="16"/>
  <c r="EG4" i="16"/>
  <c r="DY4" i="16"/>
  <c r="DQ4" i="16"/>
  <c r="DI4" i="16"/>
  <c r="DA4" i="16"/>
  <c r="CS4" i="16"/>
  <c r="CK4" i="16"/>
  <c r="CC4" i="16"/>
  <c r="BU4" i="16"/>
  <c r="EG4" i="20"/>
  <c r="BU4" i="20"/>
  <c r="I4" i="20"/>
  <c r="DW5" i="19"/>
  <c r="CQ5" i="19"/>
  <c r="BK5" i="19"/>
  <c r="AE5" i="19"/>
  <c r="EW4" i="19"/>
  <c r="EG4" i="19"/>
  <c r="DU4" i="19"/>
  <c r="DH4" i="19"/>
  <c r="CT4" i="19"/>
  <c r="CI4" i="19"/>
  <c r="BU4" i="19"/>
  <c r="BI4" i="19"/>
  <c r="AV4" i="19"/>
  <c r="AH4" i="19"/>
  <c r="W4" i="19"/>
  <c r="I4" i="19"/>
  <c r="EU5" i="18"/>
  <c r="EH5" i="18"/>
  <c r="DT5" i="18"/>
  <c r="DJ5" i="18"/>
  <c r="CZ5" i="18"/>
  <c r="CN5" i="18"/>
  <c r="CD5" i="18"/>
  <c r="BU5" i="18"/>
  <c r="BL5" i="18"/>
  <c r="BD5" i="18"/>
  <c r="AV5" i="18"/>
  <c r="AN5" i="18"/>
  <c r="AF5" i="18"/>
  <c r="X5" i="18"/>
  <c r="P5" i="18"/>
  <c r="H5" i="18"/>
  <c r="EX4" i="18"/>
  <c r="EP4" i="18"/>
  <c r="EH4" i="18"/>
  <c r="DZ4" i="18"/>
  <c r="DR4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FG5" i="17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FH4" i="17"/>
  <c r="EZ4" i="17"/>
  <c r="ER4" i="17"/>
  <c r="EJ4" i="17"/>
  <c r="EB4" i="17"/>
  <c r="DT4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EV4" i="16"/>
  <c r="EN4" i="16"/>
  <c r="EF4" i="16"/>
  <c r="DX4" i="16"/>
  <c r="DP4" i="16"/>
  <c r="DH4" i="16"/>
  <c r="CZ4" i="16"/>
  <c r="CR4" i="16"/>
  <c r="CJ4" i="16"/>
  <c r="CB4" i="16"/>
  <c r="DY4" i="20"/>
  <c r="BM4" i="20"/>
  <c r="DS5" i="19"/>
  <c r="CM5" i="19"/>
  <c r="BG5" i="19"/>
  <c r="AA5" i="19"/>
  <c r="EV4" i="19"/>
  <c r="EF4" i="19"/>
  <c r="DR4" i="19"/>
  <c r="DG4" i="19"/>
  <c r="CS4" i="19"/>
  <c r="CG4" i="19"/>
  <c r="BT4" i="19"/>
  <c r="BF4" i="19"/>
  <c r="AU4" i="19"/>
  <c r="AG4" i="19"/>
  <c r="U4" i="19"/>
  <c r="H4" i="19"/>
  <c r="ER5" i="18"/>
  <c r="EG5" i="18"/>
  <c r="DS5" i="18"/>
  <c r="DI5" i="18"/>
  <c r="CY5" i="18"/>
  <c r="CM5" i="18"/>
  <c r="CC5" i="18"/>
  <c r="BT5" i="18"/>
  <c r="BK5" i="18"/>
  <c r="BC5" i="18"/>
  <c r="AU5" i="18"/>
  <c r="AM5" i="18"/>
  <c r="AE5" i="18"/>
  <c r="W5" i="18"/>
  <c r="O5" i="18"/>
  <c r="G5" i="18"/>
  <c r="EW4" i="18"/>
  <c r="EO4" i="18"/>
  <c r="EG4" i="18"/>
  <c r="DY4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FF5" i="17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FG4" i="17"/>
  <c r="EY4" i="17"/>
  <c r="EQ4" i="17"/>
  <c r="EI4" i="17"/>
  <c r="EA4" i="17"/>
  <c r="DS4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EU4" i="16"/>
  <c r="EM4" i="16"/>
  <c r="EE4" i="16"/>
  <c r="DW4" i="16"/>
  <c r="DO4" i="16"/>
  <c r="DG4" i="16"/>
  <c r="CY4" i="16"/>
  <c r="CQ4" i="16"/>
  <c r="CI4" i="16"/>
  <c r="CA4" i="16"/>
  <c r="DQ4" i="20"/>
  <c r="BE4" i="20"/>
  <c r="EU5" i="19"/>
  <c r="DO5" i="19"/>
  <c r="CI5" i="19"/>
  <c r="BC5" i="19"/>
  <c r="W5" i="19"/>
  <c r="ES4" i="19"/>
  <c r="EE4" i="19"/>
  <c r="DQ4" i="19"/>
  <c r="DE4" i="19"/>
  <c r="CR4" i="19"/>
  <c r="CD4" i="19"/>
  <c r="BS4" i="19"/>
  <c r="BE4" i="19"/>
  <c r="AS4" i="19"/>
  <c r="AF4" i="19"/>
  <c r="R4" i="19"/>
  <c r="G4" i="19"/>
  <c r="EQ5" i="18"/>
  <c r="EE5" i="18"/>
  <c r="DR5" i="18"/>
  <c r="DH5" i="18"/>
  <c r="CV5" i="18"/>
  <c r="CL5" i="18"/>
  <c r="CB5" i="18"/>
  <c r="BS5" i="18"/>
  <c r="BJ5" i="18"/>
  <c r="BB5" i="18"/>
  <c r="AT5" i="18"/>
  <c r="AL5" i="18"/>
  <c r="AD5" i="18"/>
  <c r="V5" i="18"/>
  <c r="N5" i="18"/>
  <c r="F5" i="18"/>
  <c r="EV4" i="18"/>
  <c r="EN4" i="18"/>
  <c r="EF4" i="18"/>
  <c r="DX4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FM5" i="17"/>
  <c r="FE5" i="17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FF4" i="17"/>
  <c r="EX4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ET4" i="16"/>
  <c r="EL4" i="16"/>
  <c r="ED4" i="16"/>
  <c r="DV4" i="16"/>
  <c r="DN4" i="16"/>
  <c r="DF4" i="16"/>
  <c r="CX4" i="16"/>
  <c r="CP4" i="16"/>
  <c r="CH4" i="16"/>
  <c r="BZ4" i="16"/>
  <c r="DI4" i="20"/>
  <c r="AW4" i="20"/>
  <c r="EQ5" i="19"/>
  <c r="DK5" i="19"/>
  <c r="CE5" i="19"/>
  <c r="AY5" i="19"/>
  <c r="S5" i="19"/>
  <c r="EO4" i="19"/>
  <c r="EC4" i="19"/>
  <c r="DP4" i="19"/>
  <c r="DB4" i="19"/>
  <c r="CQ4" i="19"/>
  <c r="CC4" i="19"/>
  <c r="BQ4" i="19"/>
  <c r="BD4" i="19"/>
  <c r="AP4" i="19"/>
  <c r="AE4" i="19"/>
  <c r="Q4" i="19"/>
  <c r="E4" i="19"/>
  <c r="EP5" i="18"/>
  <c r="EB5" i="18"/>
  <c r="DQ5" i="18"/>
  <c r="DG5" i="18"/>
  <c r="CU5" i="18"/>
  <c r="CK5" i="18"/>
  <c r="CA5" i="18"/>
  <c r="BQ5" i="18"/>
  <c r="BI5" i="18"/>
  <c r="BA5" i="18"/>
  <c r="AS5" i="18"/>
  <c r="AK5" i="18"/>
  <c r="AC5" i="18"/>
  <c r="U5" i="18"/>
  <c r="M5" i="18"/>
  <c r="E5" i="18"/>
  <c r="EU4" i="18"/>
  <c r="EM4" i="18"/>
  <c r="EE4" i="18"/>
  <c r="DW4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FL5" i="17"/>
  <c r="FD5" i="17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FM4" i="17"/>
  <c r="FE4" i="17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DA4" i="20"/>
  <c r="AO4" i="20"/>
  <c r="EM5" i="19"/>
  <c r="DG5" i="19"/>
  <c r="CA5" i="19"/>
  <c r="AU5" i="19"/>
  <c r="O5" i="19"/>
  <c r="EN4" i="19"/>
  <c r="DZ4" i="19"/>
  <c r="DO4" i="19"/>
  <c r="DA4" i="19"/>
  <c r="CO4" i="19"/>
  <c r="CB4" i="19"/>
  <c r="BN4" i="19"/>
  <c r="BC4" i="19"/>
  <c r="AO4" i="19"/>
  <c r="AC4" i="19"/>
  <c r="P4" i="19"/>
  <c r="B4" i="19"/>
  <c r="EO5" i="18"/>
  <c r="EA5" i="18"/>
  <c r="DP5" i="18"/>
  <c r="DD5" i="18"/>
  <c r="CT5" i="18"/>
  <c r="CJ5" i="18"/>
  <c r="BY5" i="18"/>
  <c r="BP5" i="18"/>
  <c r="BH5" i="18"/>
  <c r="AZ5" i="18"/>
  <c r="AR5" i="18"/>
  <c r="AJ5" i="18"/>
  <c r="AB5" i="18"/>
  <c r="T5" i="18"/>
  <c r="L5" i="18"/>
  <c r="D5" i="18"/>
  <c r="ET4" i="18"/>
  <c r="EL4" i="18"/>
  <c r="ED4" i="18"/>
  <c r="DV4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FK5" i="17"/>
  <c r="FC5" i="17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FL4" i="17"/>
  <c r="FD4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ER4" i="16"/>
  <c r="EJ4" i="16"/>
  <c r="EB4" i="16"/>
  <c r="DT4" i="16"/>
  <c r="DL4" i="16"/>
  <c r="DD4" i="16"/>
  <c r="CV4" i="16"/>
  <c r="CN4" i="16"/>
  <c r="CF4" i="16"/>
  <c r="BX4" i="16"/>
  <c r="EQ5" i="16"/>
  <c r="CE5" i="16"/>
  <c r="S5" i="16"/>
  <c r="DE4" i="16"/>
  <c r="BQ4" i="16"/>
  <c r="BI4" i="16"/>
  <c r="BA4" i="16"/>
  <c r="AS4" i="16"/>
  <c r="AK4" i="16"/>
  <c r="AC4" i="16"/>
  <c r="U4" i="16"/>
  <c r="M4" i="16"/>
  <c r="E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EI5" i="16"/>
  <c r="BW5" i="16"/>
  <c r="K5" i="16"/>
  <c r="CW4" i="16"/>
  <c r="BP4" i="16"/>
  <c r="BH4" i="16"/>
  <c r="AZ4" i="16"/>
  <c r="AR4" i="16"/>
  <c r="AJ4" i="16"/>
  <c r="AB4" i="16"/>
  <c r="T4" i="16"/>
  <c r="L4" i="16"/>
  <c r="D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EA5" i="16"/>
  <c r="BO5" i="16"/>
  <c r="C5" i="16"/>
  <c r="CO4" i="16"/>
  <c r="BO4" i="16"/>
  <c r="BG4" i="16"/>
  <c r="AY4" i="16"/>
  <c r="AQ4" i="16"/>
  <c r="AI4" i="16"/>
  <c r="AA4" i="16"/>
  <c r="S4" i="16"/>
  <c r="K4" i="16"/>
  <c r="C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DS5" i="16"/>
  <c r="BG5" i="16"/>
  <c r="ES4" i="16"/>
  <c r="CG4" i="16"/>
  <c r="BN4" i="16"/>
  <c r="BF4" i="16"/>
  <c r="AX4" i="16"/>
  <c r="AP4" i="16"/>
  <c r="AH4" i="16"/>
  <c r="Z4" i="16"/>
  <c r="R4" i="16"/>
  <c r="J4" i="16"/>
  <c r="B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N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DK5" i="16"/>
  <c r="AY5" i="16"/>
  <c r="EK4" i="16"/>
  <c r="BY4" i="16"/>
  <c r="BM4" i="16"/>
  <c r="BE4" i="16"/>
  <c r="AW4" i="16"/>
  <c r="AO4" i="16"/>
  <c r="AG4" i="16"/>
  <c r="Y4" i="16"/>
  <c r="Q4" i="16"/>
  <c r="I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DC5" i="16"/>
  <c r="AQ5" i="16"/>
  <c r="EC4" i="16"/>
  <c r="BT4" i="16"/>
  <c r="BL4" i="16"/>
  <c r="BD4" i="16"/>
  <c r="AV4" i="16"/>
  <c r="AN4" i="16"/>
  <c r="AF4" i="16"/>
  <c r="X4" i="16"/>
  <c r="P4" i="16"/>
  <c r="H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CU5" i="16"/>
  <c r="AI5" i="16"/>
  <c r="DU4" i="16"/>
  <c r="BS4" i="16"/>
  <c r="BK4" i="16"/>
  <c r="BC4" i="16"/>
  <c r="AU4" i="16"/>
  <c r="AM4" i="16"/>
  <c r="AE4" i="16"/>
  <c r="W4" i="16"/>
  <c r="O4" i="16"/>
  <c r="G4" i="16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S4" i="15"/>
  <c r="EK4" i="15"/>
  <c r="EC4" i="15"/>
  <c r="DU4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CM5" i="16"/>
  <c r="AA5" i="16"/>
  <c r="DM4" i="16"/>
  <c r="BR4" i="16"/>
  <c r="BJ4" i="16"/>
  <c r="BB4" i="16"/>
  <c r="AT4" i="16"/>
  <c r="AL4" i="16"/>
  <c r="AD4" i="16"/>
  <c r="V4" i="16"/>
  <c r="N4" i="16"/>
  <c r="F4" i="1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R4" i="15"/>
  <c r="EJ4" i="15"/>
  <c r="EB4" i="15"/>
  <c r="DT4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I4" i="14"/>
  <c r="CC4" i="14"/>
  <c r="AW4" i="14"/>
  <c r="Q4" i="14"/>
  <c r="EI5" i="13"/>
  <c r="DC5" i="13"/>
  <c r="BW5" i="13"/>
  <c r="AQ5" i="13"/>
  <c r="K5" i="13"/>
  <c r="EC4" i="13"/>
  <c r="CW4" i="13"/>
  <c r="BQ4" i="13"/>
  <c r="AK4" i="13"/>
  <c r="N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DB4" i="14"/>
  <c r="BV4" i="14"/>
  <c r="AP4" i="14"/>
  <c r="J4" i="14"/>
  <c r="EB5" i="13"/>
  <c r="CV5" i="13"/>
  <c r="BP5" i="13"/>
  <c r="AJ5" i="13"/>
  <c r="D5" i="13"/>
  <c r="DV4" i="13"/>
  <c r="CP4" i="13"/>
  <c r="BJ4" i="13"/>
  <c r="AD4" i="13"/>
  <c r="M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EG4" i="14"/>
  <c r="DA4" i="14"/>
  <c r="BU4" i="14"/>
  <c r="AO4" i="14"/>
  <c r="I4" i="14"/>
  <c r="EA5" i="13"/>
  <c r="CU5" i="13"/>
  <c r="BO5" i="13"/>
  <c r="AI5" i="13"/>
  <c r="C5" i="13"/>
  <c r="DU4" i="13"/>
  <c r="CO4" i="13"/>
  <c r="BI4" i="13"/>
  <c r="AC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DZ4" i="14"/>
  <c r="CT4" i="14"/>
  <c r="BN4" i="14"/>
  <c r="AH4" i="14"/>
  <c r="B4" i="14"/>
  <c r="DT5" i="13"/>
  <c r="CN5" i="13"/>
  <c r="BH5" i="13"/>
  <c r="AB5" i="13"/>
  <c r="ET4" i="13"/>
  <c r="DN4" i="13"/>
  <c r="CH4" i="13"/>
  <c r="BB4" i="13"/>
  <c r="Y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DY4" i="14"/>
  <c r="CS4" i="14"/>
  <c r="BM4" i="14"/>
  <c r="AG4" i="14"/>
  <c r="DS5" i="13"/>
  <c r="CM5" i="13"/>
  <c r="BG5" i="13"/>
  <c r="AA5" i="13"/>
  <c r="ES4" i="13"/>
  <c r="DM4" i="13"/>
  <c r="CG4" i="13"/>
  <c r="BA4" i="13"/>
  <c r="V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DR4" i="14"/>
  <c r="CL4" i="14"/>
  <c r="BF4" i="14"/>
  <c r="Z4" i="14"/>
  <c r="ER5" i="13"/>
  <c r="DL5" i="13"/>
  <c r="CF5" i="13"/>
  <c r="AZ5" i="13"/>
  <c r="T5" i="13"/>
  <c r="EL4" i="13"/>
  <c r="DF4" i="13"/>
  <c r="BZ4" i="13"/>
  <c r="AT4" i="13"/>
  <c r="U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DQ4" i="14"/>
  <c r="CK4" i="14"/>
  <c r="BE4" i="14"/>
  <c r="Y4" i="14"/>
  <c r="EQ5" i="13"/>
  <c r="DK5" i="13"/>
  <c r="CE5" i="13"/>
  <c r="AY5" i="13"/>
  <c r="S5" i="13"/>
  <c r="EK4" i="13"/>
  <c r="DE4" i="13"/>
  <c r="BY4" i="13"/>
  <c r="AS4" i="13"/>
  <c r="Q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DJ4" i="14"/>
  <c r="CD4" i="14"/>
  <c r="AX4" i="14"/>
  <c r="R4" i="14"/>
  <c r="EJ5" i="13"/>
  <c r="DD5" i="13"/>
  <c r="BX5" i="13"/>
  <c r="AR5" i="13"/>
  <c r="L5" i="13"/>
  <c r="ED4" i="13"/>
  <c r="CX4" i="13"/>
  <c r="BR4" i="13"/>
  <c r="AL4" i="13"/>
  <c r="P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T5" i="6"/>
  <c r="EL5" i="6"/>
  <c r="ED5" i="6"/>
  <c r="DV5" i="6"/>
  <c r="DN5" i="6"/>
  <c r="DF5" i="6"/>
  <c r="CX5" i="6"/>
  <c r="CP5" i="6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S5" i="6"/>
  <c r="EK5" i="6"/>
  <c r="EC5" i="6"/>
  <c r="DU5" i="6"/>
  <c r="DM5" i="6"/>
  <c r="DE5" i="6"/>
  <c r="CW5" i="6"/>
  <c r="CO5" i="6"/>
  <c r="AL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R5" i="6"/>
  <c r="EJ5" i="6"/>
  <c r="EB5" i="6"/>
  <c r="DT5" i="6"/>
  <c r="DL5" i="6"/>
  <c r="DD5" i="6"/>
  <c r="CV5" i="6"/>
  <c r="CN5" i="6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Q5" i="6"/>
  <c r="EI5" i="6"/>
  <c r="EA5" i="6"/>
  <c r="DS5" i="6"/>
  <c r="DK5" i="6"/>
  <c r="DC5" i="6"/>
  <c r="CU5" i="6"/>
  <c r="CM5" i="6"/>
  <c r="CE5" i="6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P5" i="6"/>
  <c r="EH5" i="6"/>
  <c r="DZ5" i="6"/>
  <c r="DR5" i="6"/>
  <c r="DJ5" i="6"/>
  <c r="DB5" i="6"/>
  <c r="CT5" i="6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W5" i="6"/>
  <c r="EO5" i="6"/>
  <c r="EG5" i="6"/>
  <c r="DY5" i="6"/>
  <c r="DQ5" i="6"/>
  <c r="DI5" i="6"/>
  <c r="DA5" i="6"/>
  <c r="CS5" i="6"/>
  <c r="AF4" i="10"/>
  <c r="X4" i="10"/>
  <c r="P4" i="10"/>
  <c r="H4" i="10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V5" i="6"/>
  <c r="EN5" i="6"/>
  <c r="EF5" i="6"/>
  <c r="DX5" i="6"/>
  <c r="DP5" i="6"/>
  <c r="DH5" i="6"/>
  <c r="CZ5" i="6"/>
  <c r="CR5" i="6"/>
  <c r="CJ5" i="6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U5" i="6"/>
  <c r="EM5" i="6"/>
  <c r="EE5" i="6"/>
  <c r="DW5" i="6"/>
  <c r="DO5" i="6"/>
  <c r="DG5" i="6"/>
  <c r="CY5" i="6"/>
  <c r="CQ5" i="6"/>
  <c r="CI5" i="6"/>
  <c r="CA5" i="6"/>
  <c r="CD5" i="6"/>
  <c r="BU5" i="6"/>
  <c r="BM5" i="6"/>
  <c r="BE5" i="6"/>
  <c r="AW5" i="6"/>
  <c r="AO5" i="6"/>
  <c r="AG5" i="6"/>
  <c r="Y5" i="6"/>
  <c r="Q5" i="6"/>
  <c r="I5" i="6"/>
  <c r="A5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CC5" i="6"/>
  <c r="BT5" i="6"/>
  <c r="BL5" i="6"/>
  <c r="BD5" i="6"/>
  <c r="AV5" i="6"/>
  <c r="AN5" i="6"/>
  <c r="AF5" i="6"/>
  <c r="X5" i="6"/>
  <c r="P5" i="6"/>
  <c r="H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CB5" i="6"/>
  <c r="BS5" i="6"/>
  <c r="BK5" i="6"/>
  <c r="BC5" i="6"/>
  <c r="AU5" i="6"/>
  <c r="AM5" i="6"/>
  <c r="AE5" i="6"/>
  <c r="W5" i="6"/>
  <c r="O5" i="6"/>
  <c r="G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CL5" i="6"/>
  <c r="BZ5" i="6"/>
  <c r="BR5" i="6"/>
  <c r="BJ5" i="6"/>
  <c r="BB5" i="6"/>
  <c r="AT5" i="6"/>
  <c r="AL5" i="6"/>
  <c r="AD5" i="6"/>
  <c r="V5" i="6"/>
  <c r="N5" i="6"/>
  <c r="F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CK5" i="6"/>
  <c r="BY5" i="6"/>
  <c r="BQ5" i="6"/>
  <c r="BI5" i="6"/>
  <c r="BA5" i="6"/>
  <c r="AS5" i="6"/>
  <c r="AK5" i="6"/>
  <c r="AC5" i="6"/>
  <c r="U5" i="6"/>
  <c r="M5" i="6"/>
  <c r="E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CH5" i="6"/>
  <c r="BX5" i="6"/>
  <c r="BP5" i="6"/>
  <c r="BH5" i="6"/>
  <c r="AZ5" i="6"/>
  <c r="AR5" i="6"/>
  <c r="AJ5" i="6"/>
  <c r="AB5" i="6"/>
  <c r="T5" i="6"/>
  <c r="L5" i="6"/>
  <c r="D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G5" i="6"/>
  <c r="BW5" i="6"/>
  <c r="BO5" i="6"/>
  <c r="BG5" i="6"/>
  <c r="AY5" i="6"/>
  <c r="AQ5" i="6"/>
  <c r="AI5" i="6"/>
  <c r="AA5" i="6"/>
  <c r="S5" i="6"/>
  <c r="K5" i="6"/>
  <c r="C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CF5" i="6"/>
  <c r="BV5" i="6"/>
  <c r="BN5" i="6"/>
  <c r="BF5" i="6"/>
  <c r="AX5" i="6"/>
  <c r="AP5" i="6"/>
  <c r="AH5" i="6"/>
  <c r="Z5" i="6"/>
  <c r="R5" i="6"/>
  <c r="J5" i="6"/>
  <c r="B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2" i="3"/>
  <c r="I987" i="3"/>
  <c r="I986" i="3"/>
  <c r="L985" i="3"/>
  <c r="C985" i="3"/>
  <c r="F984" i="3"/>
  <c r="I983" i="3"/>
  <c r="K982" i="3"/>
  <c r="B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91" i="3"/>
  <c r="E987" i="3"/>
  <c r="H986" i="3"/>
  <c r="K985" i="3"/>
  <c r="B985" i="3"/>
  <c r="E984" i="3"/>
  <c r="G983" i="3"/>
  <c r="J982" i="3"/>
  <c r="A982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A991" i="3"/>
  <c r="D987" i="3"/>
  <c r="G986" i="3"/>
  <c r="J985" i="3"/>
  <c r="A985" i="3"/>
  <c r="C984" i="3"/>
  <c r="F983" i="3"/>
  <c r="I982" i="3"/>
  <c r="L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E990" i="3"/>
  <c r="C987" i="3"/>
  <c r="F986" i="3"/>
  <c r="I985" i="3"/>
  <c r="K984" i="3"/>
  <c r="B984" i="3"/>
  <c r="E983" i="3"/>
  <c r="H982" i="3"/>
  <c r="K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I989" i="3"/>
  <c r="B987" i="3"/>
  <c r="E986" i="3"/>
  <c r="G985" i="3"/>
  <c r="J984" i="3"/>
  <c r="A984" i="3"/>
  <c r="D983" i="3"/>
  <c r="G982" i="3"/>
  <c r="J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94" i="3"/>
  <c r="A989" i="3"/>
  <c r="A987" i="3"/>
  <c r="C986" i="3"/>
  <c r="F985" i="3"/>
  <c r="I984" i="3"/>
  <c r="L983" i="3"/>
  <c r="C983" i="3"/>
  <c r="F982" i="3"/>
  <c r="I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I993" i="3"/>
  <c r="E988" i="3"/>
  <c r="K986" i="3"/>
  <c r="B986" i="3"/>
  <c r="E985" i="3"/>
  <c r="H984" i="3"/>
  <c r="K983" i="3"/>
  <c r="B983" i="3"/>
  <c r="E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A993" i="3"/>
  <c r="L987" i="3"/>
  <c r="J986" i="3"/>
  <c r="A986" i="3"/>
  <c r="D985" i="3"/>
  <c r="G984" i="3"/>
  <c r="J983" i="3"/>
  <c r="A983" i="3"/>
  <c r="C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L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K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K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J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I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G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E309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B309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A309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K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J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I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E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E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D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C887" i="1"/>
  <c r="A886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K886" i="1"/>
  <c r="L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I886" i="1"/>
  <c r="K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H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G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G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F547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B547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L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K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J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B376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J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I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B36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6" i="1"/>
  <c r="K4" i="1"/>
  <c r="J4" i="1"/>
  <c r="A36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G5" i="1"/>
  <c r="C4" i="1"/>
  <c r="B4" i="1"/>
  <c r="J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A4" i="1"/>
  <c r="I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F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E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F4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J2" i="21" l="1"/>
  <c r="J2" i="19"/>
  <c r="J2" i="20"/>
  <c r="J2" i="18"/>
  <c r="J2" i="17"/>
  <c r="J2" i="15"/>
  <c r="J2" i="16"/>
  <c r="J2" i="12"/>
  <c r="J2" i="14"/>
  <c r="J2" i="13"/>
  <c r="J2" i="11"/>
  <c r="J2" i="9"/>
  <c r="J2" i="8"/>
  <c r="J2" i="7"/>
  <c r="J2" i="10"/>
  <c r="J2" i="6"/>
  <c r="J2" i="5"/>
  <c r="J2" i="4"/>
</calcChain>
</file>

<file path=xl/sharedStrings.xml><?xml version="1.0" encoding="utf-8"?>
<sst xmlns="http://schemas.openxmlformats.org/spreadsheetml/2006/main" count="258" uniqueCount="63">
  <si>
    <t>Settings</t>
  </si>
  <si>
    <t>Master Data Info</t>
  </si>
  <si>
    <t>Modules Info</t>
  </si>
  <si>
    <t>Module</t>
  </si>
  <si>
    <t>Modules</t>
  </si>
  <si>
    <t>Module Step Setting File</t>
  </si>
  <si>
    <t>1mQ5wEgXb-MhIU0Or9e66NOlU7WFsZsSgRXGfsykMW9I</t>
  </si>
  <si>
    <t>Step</t>
  </si>
  <si>
    <t>Master Data Settings File</t>
  </si>
  <si>
    <t>Master Data Sheet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</si>
  <si>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</si>
  <si>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</si>
  <si>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</si>
  <si>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</si>
  <si>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</si>
  <si>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</si>
  <si>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</si>
  <si>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</si>
  <si>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</si>
  <si>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</si>
  <si>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</si>
  <si>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</si>
  <si>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</si>
  <si>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</si>
  <si>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</si>
  <si>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</si>
  <si>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</si>
  <si>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</si>
  <si>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</si>
  <si>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DailyValuation</t>
  </si>
  <si>
    <t>GetDailyCash</t>
  </si>
  <si>
    <t>UpdateDailyCash</t>
  </si>
  <si>
    <t>Allocation1</t>
  </si>
  <si>
    <t>USD</t>
  </si>
  <si>
    <t>Allocation2</t>
  </si>
  <si>
    <t>Allocation3</t>
  </si>
  <si>
    <t>Allocation</t>
  </si>
  <si>
    <t>CheckUnallocatedGroups</t>
  </si>
  <si>
    <t>SelectUnallocatedGroup</t>
  </si>
  <si>
    <t>EnterAllocatePreference</t>
  </si>
  <si>
    <t>Calculated</t>
  </si>
  <si>
    <t>Pro-rata (NAV)</t>
  </si>
  <si>
    <t>CheckAllocatedGroups</t>
  </si>
  <si>
    <t>GetDataAllocation</t>
  </si>
  <si>
    <t>Current</t>
  </si>
  <si>
    <t>Closing</t>
  </si>
  <si>
    <t>GetDataClosing</t>
  </si>
  <si>
    <t>VerifyLongPositionsGrid</t>
  </si>
  <si>
    <t>VerifyShortPositionsGrid</t>
  </si>
  <si>
    <t>GeneralLedger</t>
  </si>
  <si>
    <t>GetActivityData</t>
  </si>
  <si>
    <t>SelectAll</t>
  </si>
  <si>
    <t>Allocation1,Allocation2,Allocation3,OFFSHORE</t>
  </si>
  <si>
    <t>No</t>
  </si>
  <si>
    <t>Yes</t>
  </si>
  <si>
    <t>VerifyActivity</t>
  </si>
  <si>
    <t>EquityL</t>
  </si>
  <si>
    <t>EquityS</t>
  </si>
  <si>
    <t>PortfolioManagement</t>
  </si>
  <si>
    <t>CheckPortfolioManagement</t>
  </si>
  <si>
    <t>msft</t>
  </si>
  <si>
    <t>buy</t>
  </si>
  <si>
    <t>SetGeneralPreferences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</si>
</sst>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4" fillId="0" borderId="0" xfId="0" applyFont="1" applyAlignment="1"/>
    <xf numFmtId="0" fontId="4" fillId="0" borderId="4" xfId="0" applyFont="1" applyBorder="1" applyAlignment="1"/>
    <xf numFmtId="0" fontId="5" fillId="0" borderId="0" xfId="0" applyFont="1" applyAlignment="1"/>
    <xf numFmtId="0" fontId="6" fillId="3" borderId="5" xfId="0" applyFont="1" applyFill="1" applyBorder="1" applyAlignment="1"/>
    <xf numFmtId="0" fontId="4" fillId="3" borderId="5" xfId="0" applyFont="1" applyFill="1" applyBorder="1" applyAlignment="1"/>
    <xf numFmtId="0" fontId="6" fillId="3" borderId="6" xfId="0" applyFont="1" applyFill="1" applyBorder="1" applyAlignment="1"/>
    <xf numFmtId="0" fontId="4" fillId="3" borderId="5" xfId="0" applyFont="1" applyFill="1" applyBorder="1" applyAlignment="1"/>
    <xf numFmtId="0" fontId="5" fillId="0" borderId="0" xfId="0" applyFont="1" applyAlignment="1"/>
    <xf numFmtId="0" fontId="7" fillId="3" borderId="7" xfId="0" applyFont="1" applyFill="1" applyBorder="1" applyAlignment="1"/>
    <xf numFmtId="0" fontId="6" fillId="3" borderId="5" xfId="0" applyFont="1" applyFill="1" applyBorder="1" applyAlignment="1"/>
    <xf numFmtId="0" fontId="4" fillId="3" borderId="7" xfId="0" applyFont="1" applyFill="1" applyBorder="1" applyAlignment="1"/>
    <xf numFmtId="0" fontId="5" fillId="3" borderId="5" xfId="0" applyFont="1" applyFill="1" applyBorder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8" fillId="4" borderId="0" xfId="0" applyFont="1" applyFill="1"/>
    <xf numFmtId="0" fontId="9" fillId="0" borderId="0" xfId="0" applyFont="1" applyAlignment="1"/>
    <xf numFmtId="0" fontId="6" fillId="3" borderId="0" xfId="0" applyFont="1" applyFill="1" applyAlignment="1"/>
    <xf numFmtId="0" fontId="9" fillId="3" borderId="5" xfId="0" applyFont="1" applyFill="1" applyBorder="1" applyAlignment="1"/>
    <xf numFmtId="0" fontId="9" fillId="3" borderId="5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6" fillId="6" borderId="0" xfId="0" applyFont="1" applyFill="1" applyAlignment="1"/>
    <xf numFmtId="0" fontId="6" fillId="6" borderId="5" xfId="0" applyFont="1" applyFill="1" applyBorder="1" applyAlignment="1"/>
    <xf numFmtId="0" fontId="10" fillId="6" borderId="0" xfId="0" applyFont="1" applyFill="1"/>
    <xf numFmtId="0" fontId="3" fillId="0" borderId="0" xfId="0" applyFont="1" applyAlignment="1"/>
    <xf numFmtId="3" fontId="3" fillId="0" borderId="0" xfId="0" applyNumberFormat="1" applyFont="1" applyAlignment="1"/>
    <xf numFmtId="14" fontId="3" fillId="0" borderId="0" xfId="0" applyNumberFormat="1" applyFont="1"/>
    <xf numFmtId="0" fontId="6" fillId="6" borderId="5" xfId="0" applyFont="1" applyFill="1" applyBorder="1" applyAlignment="1"/>
    <xf numFmtId="0" fontId="5" fillId="0" borderId="0" xfId="0" applyFont="1" applyAlignment="1"/>
    <xf numFmtId="0" fontId="4" fillId="0" borderId="0" xfId="0" applyFont="1" applyAlignment="1"/>
    <xf numFmtId="0" fontId="4" fillId="0" borderId="8" xfId="0" applyFont="1" applyBorder="1" applyAlignment="1"/>
    <xf numFmtId="0" fontId="4" fillId="0" borderId="8" xfId="0" applyFont="1" applyBorder="1" applyAlignment="1"/>
    <xf numFmtId="14" fontId="5" fillId="0" borderId="8" xfId="0" applyNumberFormat="1" applyFont="1" applyBorder="1" applyAlignment="1">
      <alignment horizontal="right"/>
    </xf>
    <xf numFmtId="0" fontId="4" fillId="0" borderId="8" xfId="0" applyFont="1" applyBorder="1" applyAlignment="1"/>
    <xf numFmtId="0" fontId="4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37" t="s">
        <v>2</v>
      </c>
      <c r="B1" s="38"/>
      <c r="C1" s="38"/>
      <c r="D1" s="38"/>
      <c r="E1" s="38"/>
      <c r="F1" s="39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4" t="s">
        <v>4</v>
      </c>
      <c r="B3" s="5"/>
      <c r="C3" s="7"/>
      <c r="D3" s="7"/>
      <c r="E3" s="7"/>
      <c r="F3" s="7"/>
    </row>
    <row r="4" spans="1:12" ht="15.75" customHeight="1">
      <c r="A4" s="3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3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2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IFERROR(__xludf.DUMMYFUNCTION("""COMPUTED_VALUE"""),"1y3edACvUtHcrCyn7bfzWXET_VAfASVChWeHuDnd6534")</f>
        <v>1y3edACvUtHcrCyn7bfzWXET_VAfASVChWeHuDnd6534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IFERROR(__xludf.DUMMYFUNCTION("""COMPUTED_VALUE"""),"ThirdPartyWork")</f>
        <v>ThirdPartyWork</v>
      </c>
      <c r="C351" t="str">
        <f ca="1">IFERROR(__xludf.DUMMYFUNCTION("""COMPUTED_VALUE"""),"undefined")</f>
        <v>undefined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IFERROR(__xludf.DUMMYFUNCTION("""COMPUTED_VALUE"""),"Automation")</f>
        <v>Automation</v>
      </c>
      <c r="C352" t="str">
        <f ca="1">IFERROR(__xludf.DUMMYFUNCTION("""COMPUTED_VALUE"""),"undefined")</f>
        <v>undefined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IFERROR(__xludf.DUMMYFUNCTION("""COMPUTED_VALUE"""),"ThirdPartyManagerFunction")</f>
        <v>ThirdPartyManagerFunction</v>
      </c>
      <c r="C353" t="str">
        <f ca="1">IFERROR(__xludf.DUMMYFUNCTION("""COMPUTED_VALUE"""),"undefined")</f>
        <v>undefined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IFERROR(__xludf.DUMMYFUNCTION("""COMPUTED_VALUE"""),"OpeningManager")</f>
        <v>OpeningManager</v>
      </c>
      <c r="C354" t="str">
        <f ca="1">IFERROR(__xludf.DUMMYFUNCTION("""COMPUTED_VALUE"""),"1F3VrDP9gZVgnN47cnexOSvCPCOWrB5TnPdoVFblX-Hs")</f>
        <v>1F3VrDP9gZVgnN47cnexOSvCPCOWrB5TnPdoVFblX-Hs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IFERROR(__xludf.DUMMYFUNCTION("""COMPUTED_VALUE"""),"SelectFromThirdPartyGrid")</f>
        <v>SelectFromThirdPartyGrid</v>
      </c>
      <c r="C355" t="str">
        <f ca="1">IFERROR(__xludf.DUMMYFUNCTION("""COMPUTED_VALUE"""),"1_LSKrymEkIuBeyHqfZI1upyAoiYQgw0S0J0RO7IgiBw")</f>
        <v>1_LSKrymEkIuBeyHqfZI1upyAoiYQgw0S0J0RO7IgiBw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IFERROR(__xludf.DUMMYFUNCTION("""COMPUTED_VALUE"""),"SelectThirdPartyJob")</f>
        <v>SelectThirdPartyJob</v>
      </c>
      <c r="C356" t="str">
        <f ca="1">IFERROR(__xludf.DUMMYFUNCTION("""COMPUTED_VALUE"""),"1Q9anI2VDWuslEj_JKPuWlj_ER5paw0uxtF2p1N3mqOA")</f>
        <v>1Q9anI2VDWuslEj_JKPuWlj_ER5paw0uxtF2p1N3mqOA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IFERROR(__xludf.DUMMYFUNCTION("""COMPUTED_VALUE"""),"GenerateAllThirdPartyData")</f>
        <v>GenerateAllThirdPartyData</v>
      </c>
      <c r="C357" t="str">
        <f ca="1">IFERROR(__xludf.DUMMYFUNCTION("""COMPUTED_VALUE"""),"1N_tr8KIMlLRSTf8xjI6E_DCsfagISlV95aJSkQKRavk")</f>
        <v>1N_tr8KIMlLRSTf8xjI6E_DCsfagISlV95aJSkQKRavk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IFERROR(__xludf.DUMMYFUNCTION("""COMPUTED_VALUE"""),"SendAllThirdPartyData")</f>
        <v>SendAllThirdPartyData</v>
      </c>
      <c r="C358" t="str">
        <f ca="1">IFERROR(__xludf.DUMMYFUNCTION("""COMPUTED_VALUE"""),"1JLfoMbfAcKX8sKuY5GBrk9VURM7QOEybGoh99ESKb-4")</f>
        <v>1JLfoMbfAcKX8sKuY5GBrk9VURM7QOEybGoh99ESKb-4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IFERROR(__xludf.DUMMYFUNCTION("""COMPUTED_VALUE"""),"ThirdParty")</f>
        <v>ThirdParty</v>
      </c>
      <c r="B359" t="str">
        <f ca="1">IFERROR(__xludf.DUMMYFUNCTION("""COMPUTED_VALUE"""),"VerifyThirdPartyView")</f>
        <v>VerifyThirdPartyView</v>
      </c>
      <c r="C359" t="str">
        <f ca="1">IFERROR(__xludf.DUMMYFUNCTION("""COMPUTED_VALUE"""),"1OPgUZqNYhV3KEPmPCahj5p6WvTvcu6yt-IilVEoYdck")</f>
        <v>1OPgUZqNYhV3KEPmPCahj5p6WvTvcu6yt-IilVEoYdck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IFERROR(__xludf.DUMMYFUNCTION("""COMPUTED_VALUE"""),"CheckCompliance")</f>
        <v>CheckCompliance</v>
      </c>
      <c r="C360" t="str">
        <f ca="1">IFERROR(__xludf.DUMMYFUNCTION("""COMPUTED_VALUE"""),"1rHjLXpZjBLQM6QWnpXPgAllc-YEEgN3ft01yzOc3Z_k")</f>
        <v>1rHjLXpZjBLQM6QWnpXPgAllc-YEEgN3ft01yzOc3Z_k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IFERROR(__xludf.DUMMYFUNCTION("""COMPUTED_VALUE"""),"1o2I6wY7Q2ZhQmtkXdRpqlxQVJ8IApk0IcIxM0anIe4E")</f>
        <v>1o2I6wY7Q2ZhQmtkXdRpqlxQVJ8IApk0IcIxM0anIe4E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IFERROR(__xludf.DUMMYFUNCTION("""COMPUTED_VALUE"""),"VerifyAccountSymbolDivisorWindow")</f>
        <v>VerifyAccountSymbolDivisorWindow</v>
      </c>
      <c r="C362" t="str">
        <f ca="1">IFERROR(__xludf.DUMMYFUNCTION("""COMPUTED_VALUE"""),"1ADKVvtlUcDE2a_GFsrcnF3qLRtLLDQ1rEJbzQws78i8")</f>
        <v>1ADKVvtlUcDE2a_GFsrcnF3qLRtLLDQ1rEJbzQws78i8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IFERROR(__xludf.DUMMYFUNCTION("""COMPUTED_VALUE"""),"VerifyAggregationAccountSymbolWithNav")</f>
        <v>VerifyAggregationAccountSymbolWithNav</v>
      </c>
      <c r="C363" t="str">
        <f ca="1">IFERROR(__xludf.DUMMYFUNCTION("""COMPUTED_VALUE"""),"1lnfZcSlUOa9o7gHKbVZNk25z7jkFzrWO3HCg1iRDEhg")</f>
        <v>1lnfZcSlUOa9o7gHKbVZNk25z7jkFzrWO3HCg1iRDEhg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IFERROR(__xludf.DUMMYFUNCTION("""COMPUTED_VALUE"""),"VerifyAggregationAccountWithNav")</f>
        <v>VerifyAggregationAccountWithNav</v>
      </c>
      <c r="C364" t="str">
        <f ca="1">IFERROR(__xludf.DUMMYFUNCTION("""COMPUTED_VALUE"""),"1bVQ8hXYcI8QA4dwbvx9VW307agnDiO6msA8_55Z9Ho4")</f>
        <v>1bVQ8hXYcI8QA4dwbvx9VW307agnDiO6msA8_55Z9Ho4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IFERROR(__xludf.DUMMYFUNCTION("""COMPUTED_VALUE"""),"VerifyAggregationMasterFundSymbolWithNav")</f>
        <v>VerifyAggregationMasterFundSymbolWithNav</v>
      </c>
      <c r="C365" t="str">
        <f ca="1">IFERROR(__xludf.DUMMYFUNCTION("""COMPUTED_VALUE"""),"149nnw4Cwl1HHouYCXdqP9R7Mx98I_xiisiVCYk7UJkk")</f>
        <v>149nnw4Cwl1HHouYCXdqP9R7Mx98I_xiisiVCYk7UJkk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IFERROR(__xludf.DUMMYFUNCTION("""COMPUTED_VALUE"""),"VerifyAggregationMasterFundUnderlyingSymbolWithNav")</f>
        <v>VerifyAggregationMasterFundUnderlyingSymbolWithNav</v>
      </c>
      <c r="C366" t="str">
        <f ca="1">IFERROR(__xludf.DUMMYFUNCTION("""COMPUTED_VALUE"""),"14DzH-ZDYwWbCfXuBzG8v04Qb1mQp1of2O6GLQXcWMsQ")</f>
        <v>14DzH-ZDYwWbCfXuBzG8v04Qb1mQp1of2O6GLQXcWMsQ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IFERROR(__xludf.DUMMYFUNCTION("""COMPUTED_VALUE"""),"VerifyAggregationMasterFundWithNav")</f>
        <v>VerifyAggregationMasterFundWithNav</v>
      </c>
      <c r="C367" t="str">
        <f ca="1">IFERROR(__xludf.DUMMYFUNCTION("""COMPUTED_VALUE"""),"1zsjoqOkIN3nYkIIxRHJMhmyX6J_C62DE3Oo2y7BGdVs")</f>
        <v>1zsjoqOkIN3nYkIIxRHJMhmyX6J_C62DE3Oo2y7BGdVs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IFERROR(__xludf.DUMMYFUNCTION("""COMPUTED_VALUE"""),"VerifyAggregationSectorWithNav")</f>
        <v>VerifyAggregationSectorWithNav</v>
      </c>
      <c r="C368" t="str">
        <f ca="1">IFERROR(__xludf.DUMMYFUNCTION("""COMPUTED_VALUE"""),"1PwtsUw7M1uKb7OUFflhtzsANVeSCTOQuOmvDpORnIho")</f>
        <v>1PwtsUw7M1uKb7OUFflhtzsANVeSCTOQuOmvDpORnIho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IFERROR(__xludf.DUMMYFUNCTION("""COMPUTED_VALUE"""),"VerifyAggregationUnderlyingSymbolWithNav")</f>
        <v>VerifyAggregationUnderlyingSymbolWithNav</v>
      </c>
      <c r="C369" t="str">
        <f ca="1">IFERROR(__xludf.DUMMYFUNCTION("""COMPUTED_VALUE"""),"176-KXks3ZB5ZHuKBMwUMw29_Cv2044sZyo8Km9DSXhY")</f>
        <v>176-KXks3ZB5ZHuKBMwUMw29_Cv2044sZyo8Km9DSXhY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IFERROR(__xludf.DUMMYFUNCTION("""COMPUTED_VALUE"""),"VerifyAuecWindow")</f>
        <v>VerifyAuecWindow</v>
      </c>
      <c r="C370" t="str">
        <f ca="1">IFERROR(__xludf.DUMMYFUNCTION("""COMPUTED_VALUE"""),"16b_2-FgoStwuBkNr_JjCAyklRXIuqbbe3yokDxprokc")</f>
        <v>16b_2-FgoStwuBkNr_JjCAyklRXIuqbbe3yokDxprokc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IFERROR(__xludf.DUMMYFUNCTION("""COMPUTED_VALUE"""),"VerifyBetaWindow")</f>
        <v>VerifyBetaWindow</v>
      </c>
      <c r="C371" t="str">
        <f ca="1">IFERROR(__xludf.DUMMYFUNCTION("""COMPUTED_VALUE"""),"1fbKcjC8gLwYcrNAXPL4_1obtoTCCX0MmPEKkR5s582U")</f>
        <v>1fbKcjC8gLwYcrNAXPL4_1obtoTCCX0MmPEKkR5s582U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IFERROR(__xludf.DUMMYFUNCTION("""COMPUTED_VALUE"""),"VerifyCustomSymbolDataWindow")</f>
        <v>VerifyCustomSymbolDataWindow</v>
      </c>
      <c r="C372" t="str">
        <f ca="1">IFERROR(__xludf.DUMMYFUNCTION("""COMPUTED_VALUE"""),"1-ro_FbZAIVOSxzuukFA-JqauiFzAp2zzPW1nR5HDbNQ")</f>
        <v>1-ro_FbZAIVOSxzuukFA-JqauiFzAp2zzPW1nR5HDbNQ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IFERROR(__xludf.DUMMYFUNCTION("""COMPUTED_VALUE"""),"VerifyDayEndCashAccountWindow")</f>
        <v>VerifyDayEndCashAccountWindow</v>
      </c>
      <c r="C373" t="str">
        <f ca="1">IFERROR(__xludf.DUMMYFUNCTION("""COMPUTED_VALUE"""),"14hibcKhSsVy9-wON6kpUuT3WpnX2wo9pBQzmPi8qLL0")</f>
        <v>14hibcKhSsVy9-wON6kpUuT3WpnX2wo9pBQzmPi8qLL0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IFERROR(__xludf.DUMMYFUNCTION("""COMPUTED_VALUE"""),"VerifyDbNavWindow")</f>
        <v>VerifyDbNavWindow</v>
      </c>
      <c r="C374" t="str">
        <f ca="1">IFERROR(__xludf.DUMMYFUNCTION("""COMPUTED_VALUE"""),"18-WlIts2DAJ-WJbsdY1Rpj5dOSmW5uYCwetKlx26fnQ")</f>
        <v>18-WlIts2DAJ-WJbsdY1Rpj5dOSmW5uYCwetKlx26fnQ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IFERROR(__xludf.DUMMYFUNCTION("""COMPUTED_VALUE"""),"VerifyGlobalDivisorWindow")</f>
        <v>VerifyGlobalDivisorWindow</v>
      </c>
      <c r="C375" t="str">
        <f ca="1">IFERROR(__xludf.DUMMYFUNCTION("""COMPUTED_VALUE"""),"1z5ONnrNdd3WVB7RZIGa-yHhn0U7mw19K0moh5ObmK-I")</f>
        <v>1z5ONnrNdd3WVB7RZIGa-yHhn0U7mw19K0moh5ObmK-I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IFERROR(__xludf.DUMMYFUNCTION("""COMPUTED_VALUE"""),"VerifyPmCalculationPreferenceWindow")</f>
        <v>VerifyPmCalculationPreferenceWindow</v>
      </c>
      <c r="C376" t="str">
        <f ca="1">IFERROR(__xludf.DUMMYFUNCTION("""COMPUTED_VALUE"""),"1yse7cNfakHdRjfRrq1SQW0Yxxopg67W_juGAkOyqHPk")</f>
        <v>1yse7cNfakHdRjfRrq1SQW0Yxxopg67W_juGAkOyqHPk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IFERROR(__xludf.DUMMYFUNCTION("""COMPUTED_VALUE"""),"VerifyRowCalculationBaseWindow")</f>
        <v>VerifyRowCalculationBaseWindow</v>
      </c>
      <c r="C377" t="str">
        <f ca="1">IFERROR(__xludf.DUMMYFUNCTION("""COMPUTED_VALUE"""),"16bZAwMHOfN8bD2TadtVor3HvDM0dtF51XYU1iRUEXpQ")</f>
        <v>16bZAwMHOfN8bD2TadtVor3HvDM0dtF51XYU1iRUEXpQ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IFERROR(__xludf.DUMMYFUNCTION("""COMPUTED_VALUE"""),"VerifySecurityWindow")</f>
        <v>VerifySecurityWindow</v>
      </c>
      <c r="C378" t="str">
        <f ca="1">IFERROR(__xludf.DUMMYFUNCTION("""COMPUTED_VALUE"""),"1xeK-JWq8oHwAbmnGt_N4qn9Nt8F9XHo5-Mtr0t_7pRw")</f>
        <v>1xeK-JWq8oHwAbmnGt_N4qn9Nt8F9XHo5-Mtr0t_7pRw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IFERROR(__xludf.DUMMYFUNCTION("""COMPUTED_VALUE"""),"VerifySymbolDataWindow")</f>
        <v>VerifySymbolDataWindow</v>
      </c>
      <c r="C379" t="str">
        <f ca="1">IFERROR(__xludf.DUMMYFUNCTION("""COMPUTED_VALUE"""),"13iKSNjdwzv3DKe_1fcHZJ8GUk5s-HKAGG5PE6MY-smA")</f>
        <v>13iKSNjdwzv3DKe_1fcHZJ8GUk5s-HKAGG5PE6MY-smA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IFERROR(__xludf.DUMMYFUNCTION("""COMPUTED_VALUE"""),"VerifySymbolDivisorWindow")</f>
        <v>VerifySymbolDivisorWindow</v>
      </c>
      <c r="C380" t="str">
        <f ca="1">IFERROR(__xludf.DUMMYFUNCTION("""COMPUTED_VALUE"""),"1uyHz1cQUHCK-GcBufMehtS9i6BspKa5HVCLnf4pfGuk")</f>
        <v>1uyHz1cQUHCK-GcBufMehtS9i6BspKa5HVCLnf4pfGuk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IFERROR(__xludf.DUMMYFUNCTION("""COMPUTED_VALUE"""),"VerifyTaxlotWindow")</f>
        <v>VerifyTaxlotWindow</v>
      </c>
      <c r="C381" t="str">
        <f ca="1">IFERROR(__xludf.DUMMYFUNCTION("""COMPUTED_VALUE"""),"1LmfcHeXwbnPa-An0b_OD4pDLm7pUlzSX41G5QZ2Uons")</f>
        <v>1LmfcHeXwbnPa-An0b_OD4pDLm7pUlzSX41G5QZ2Uons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IFERROR(__xludf.DUMMYFUNCTION("""COMPUTED_VALUE"""),"RestartEsper")</f>
        <v>RestartEsper</v>
      </c>
      <c r="C382" t="str">
        <f ca="1">IFERROR(__xludf.DUMMYFUNCTION("""COMPUTED_VALUE"""),"undefined")</f>
        <v>undefined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IFERROR(__xludf.DUMMYFUNCTION("""COMPUTED_VALUE"""),"VerifyAccountNavPreferenceWindow")</f>
        <v>VerifyAccountNavPreferenceWindow</v>
      </c>
      <c r="C383" t="str">
        <f ca="1">IFERROR(__xludf.DUMMYFUNCTION("""COMPUTED_VALUE"""),"1PbpS5QGNvwJE_YSvMrjHxbUPPQhcUDrQHC4N9KHYjWY")</f>
        <v>1PbpS5QGNvwJE_YSvMrjHxbUPPQhcUDrQHC4N9KHYjWY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 VerifyAggregationAccountUnderlyingSymbolWithNav")</f>
        <v xml:space="preserve"> VerifyAggregationAccountUnderlyingSymbolWithNav</v>
      </c>
      <c r="C384" t="str">
        <f ca="1">IFERROR(__xludf.DUMMYFUNCTION("""COMPUTED_VALUE"""),"1e43aiziZ9lVzR6j8eABeYJVnCkgU34OcPRcWujsT2Sk")</f>
        <v>1e43aiziZ9lVzR6j8eABeYJVnCkgU34OcPRcWujsT2Sk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IFERROR(__xludf.DUMMYFUNCTION("""COMPUTED_VALUE"""),"VerifyAggregationAssetWithNav")</f>
        <v>VerifyAggregationAssetWithNav</v>
      </c>
      <c r="C385" t="str">
        <f ca="1">IFERROR(__xludf.DUMMYFUNCTION("""COMPUTED_VALUE"""),"1etvN2Ze8TA6NI_8xSaOdqLwhWnk9NXKUUDhi-_NctcY")</f>
        <v>1etvN2Ze8TA6NI_8xSaOdqLwhWnk9NXKUUDhi-_NctcY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IFERROR(__xludf.DUMMYFUNCTION("""COMPUTED_VALUE"""),"VerifyAggregationSymbolWithNav")</f>
        <v>VerifyAggregationSymbolWithNav</v>
      </c>
      <c r="C386" t="str">
        <f ca="1">IFERROR(__xludf.DUMMYFUNCTION("""COMPUTED_VALUE"""),"13XyCHzB6LhftZ5UNht5K7e3dan_fGbii_TnOOGLwDg0")</f>
        <v>13XyCHzB6LhftZ5UNht5K7e3dan_fGbii_TnOOGLwDg0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IFERROR(__xludf.DUMMYFUNCTION("""COMPUTED_VALUE"""),"Compliance")</f>
        <v>Compliance</v>
      </c>
      <c r="B387" t="str">
        <f ca="1">IFERROR(__xludf.DUMMYFUNCTION("""COMPUTED_VALUE"""),"VerifyAggregationSubSectorWithNav")</f>
        <v>VerifyAggregationSubSectorWithNav</v>
      </c>
      <c r="C387" t="str">
        <f ca="1">IFERROR(__xludf.DUMMYFUNCTION("""COMPUTED_VALUE"""),"1DBHQwTuKH0lzdeBCel_4raYQn6PkkFTYydpCHbsB4Qk")</f>
        <v>1DBHQwTuKH0lzdeBCel_4raYQn6PkkFTYydpCHbsB4Qk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IFERROR(__xludf.DUMMYFUNCTION("""COMPUTED_VALUE"""),"Compliance")</f>
        <v>Compliance</v>
      </c>
      <c r="B388" t="str">
        <f ca="1">IFERROR(__xludf.DUMMYFUNCTION("""COMPUTED_VALUE"""),"VerifyAggregationGlobalWithNav")</f>
        <v>VerifyAggregationGlobalWithNav</v>
      </c>
      <c r="C388" t="str">
        <f ca="1">IFERROR(__xludf.DUMMYFUNCTION("""COMPUTED_VALUE"""),"1XVSAkmIoWI-AC0BHXwWO3TqCkz2uOlJFE5eM6W0_Cew")</f>
        <v>1XVSAkmIoWI-AC0BHXwWO3TqCkz2uOlJFE5eM6W0_Cew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IFERROR(__xludf.DUMMYFUNCTION("""COMPUTED_VALUE"""),"Compliance")</f>
        <v>Compliance</v>
      </c>
      <c r="B389" t="str">
        <f ca="1">IFERROR(__xludf.DUMMYFUNCTION("""COMPUTED_VALUE""")," VerifyAggregationGlobalWithNav")</f>
        <v xml:space="preserve"> VerifyAggregationGlobalWithNav</v>
      </c>
      <c r="C389" t="str">
        <f ca="1">IFERROR(__xludf.DUMMYFUNCTION("""COMPUTED_VALUE"""),"1XVSAkmIoWI-AC0BHXwWO3TqCkz2uOlJFE5eM6W0_Cew")</f>
        <v>1XVSAkmIoWI-AC0BHXwWO3TqCkz2uOlJFE5eM6W0_Cew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IFERROR(__xludf.DUMMYFUNCTION("""COMPUTED_VALUE"""),"Compliance")</f>
        <v>Compliance</v>
      </c>
      <c r="B390" t="str">
        <f ca="1">IFERROR(__xludf.DUMMYFUNCTION("""COMPUTED_VALUE"""),"VerifyGlobalDivisorWindow")</f>
        <v>VerifyGlobalDivisorWindow</v>
      </c>
      <c r="C390" t="str">
        <f ca="1">IFERROR(__xludf.DUMMYFUNCTION("""COMPUTED_VALUE"""),"1z5ONnrNdd3WVB7RZIGa-yHhn0U7mw19K0moh5ObmK-I")</f>
        <v>1z5ONnrNdd3WVB7RZIGa-yHhn0U7mw19K0moh5ObmK-I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IFERROR(__xludf.DUMMYFUNCTION("""COMPUTED_VALUE"""),"Compliance")</f>
        <v>Compliance</v>
      </c>
      <c r="B391" t="str">
        <f ca="1">IFERROR(__xludf.DUMMYFUNCTION("""COMPUTED_VALUE""")," VerifyAccrualForAccountWindow")</f>
        <v xml:space="preserve"> VerifyAccrualForAccountWindow</v>
      </c>
      <c r="C391" t="str">
        <f ca="1">IFERROR(__xludf.DUMMYFUNCTION("""COMPUTED_VALUE"""),"1zKkT3mW6MMJ2tPzzT2fHVQT6vyc0mePzllndBlUl5IM")</f>
        <v>1zKkT3mW6MMJ2tPzzT2fHVQT6vyc0mePzllndBlUl5IM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IFERROR(__xludf.DUMMYFUNCTION("""COMPUTED_VALUE"""),"Compliance")</f>
        <v>Compliance</v>
      </c>
      <c r="B392" t="str">
        <f ca="1">IFERROR(__xludf.DUMMYFUNCTION("""COMPUTED_VALUE"""),"VerifyGlobalDivisorWindow")</f>
        <v>VerifyGlobalDivisorWindow</v>
      </c>
      <c r="C392" t="str">
        <f ca="1">IFERROR(__xludf.DUMMYFUNCTION("""COMPUTED_VALUE"""),"1z5ONnrNdd3WVB7RZIGa-yHhn0U7mw19K0moh5ObmK-I")</f>
        <v>1z5ONnrNdd3WVB7RZIGa-yHhn0U7mw19K0moh5ObmK-I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IFERROR(__xludf.DUMMYFUNCTION("""COMPUTED_VALUE"""),"Compliance")</f>
        <v>Compliance</v>
      </c>
      <c r="B393" t="str">
        <f ca="1">IFERROR(__xludf.DUMMYFUNCTION("""COMPUTED_VALUE"""),"VerifyMasterFundDivisorWindow")</f>
        <v>VerifyMasterFundDivisorWindow</v>
      </c>
      <c r="C393" t="str">
        <f ca="1">IFERROR(__xludf.DUMMYFUNCTION("""COMPUTED_VALUE"""),"13rWeedH_MlhhxYACJeLeckVtBWejh246MGPN4QQpmMM")</f>
        <v>13rWeedH_MlhhxYACJeLeckVtBWejh246MGPN4QQpmMM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IFERROR(__xludf.DUMMYFUNCTION("""COMPUTED_VALUE"""),"Compliance")</f>
        <v>Compliance</v>
      </c>
      <c r="B394" t="str">
        <f ca="1">IFERROR(__xludf.DUMMYFUNCTION("""COMPUTED_VALUE"""),"VerifyMasterFundSymbolDivisorWindow")</f>
        <v>VerifyMasterFundSymbolDivisorWindow</v>
      </c>
      <c r="C394" t="str">
        <f ca="1">IFERROR(__xludf.DUMMYFUNCTION("""COMPUTED_VALUE"""),"1YPctyrs3yMgf0X1_jVz3LRORCo4B4cNqbyc_K0FujO0")</f>
        <v>1YPctyrs3yMgf0X1_jVz3LRORCo4B4cNqbyc_K0FujO0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IFERROR(__xludf.DUMMYFUNCTION("""COMPUTED_VALUE"""),"Rebalancer")</f>
        <v>Rebalancer</v>
      </c>
      <c r="B395" t="str">
        <f ca="1">IFERROR(__xludf.DUMMYFUNCTION("""COMPUTED_VALUE"""),"FetchAccountPositions")</f>
        <v>FetchAccountPositions</v>
      </c>
      <c r="C395" t="str">
        <f ca="1">IFERROR(__xludf.DUMMYFUNCTION("""COMPUTED_VALUE"""),"1BeNn_44h4ClIE46em_ho4qgzGnXy_GxtYTH3cBmtKPk")</f>
        <v>1BeNn_44h4ClIE46em_ho4qgzGnXy_GxtYTH3cBmtKPk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IFERROR(__xludf.DUMMYFUNCTION("""COMPUTED_VALUE"""),"Rebalancer")</f>
        <v>Rebalancer</v>
      </c>
      <c r="B396" t="str">
        <f ca="1">IFERROR(__xludf.DUMMYFUNCTION("""COMPUTED_VALUE"""),"AddCash")</f>
        <v>AddCash</v>
      </c>
      <c r="C396" t="str">
        <f ca="1">IFERROR(__xludf.DUMMYFUNCTION("""COMPUTED_VALUE"""),"1jkLpZFgLuRokIigwbjW9_Z47rlvj-YDlRcP_c4XkP_k")</f>
        <v>1jkLpZFgLuRokIigwbjW9_Z47rlvj-YDlRcP_c4XkP_k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IFERROR(__xludf.DUMMYFUNCTION("""COMPUTED_VALUE"""),"Rebalancer")</f>
        <v>Rebalancer</v>
      </c>
      <c r="B397" t="str">
        <f ca="1">IFERROR(__xludf.DUMMYFUNCTION("""COMPUTED_VALUE"""),"VerifyGridData")</f>
        <v>VerifyGridData</v>
      </c>
      <c r="C397" t="str">
        <f ca="1">IFERROR(__xludf.DUMMYFUNCTION("""COMPUTED_VALUE"""),"1mspGsgTjI-yT8NsZKZn8moOE-Vp0hoNdUziI1pFBq0I")</f>
        <v>1mspGsgTjI-yT8NsZKZn8moOE-Vp0hoNdUziI1pFBq0I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IFERROR(__xludf.DUMMYFUNCTION("""COMPUTED_VALUE"""),"RunRebalance")</f>
        <v>RunRebalance</v>
      </c>
      <c r="C398" t="str">
        <f ca="1">IFERROR(__xludf.DUMMYFUNCTION("""COMPUTED_VALUE"""),"1B2L3J6YUrDWz8rRtdvv0lYDQvnH8nYkmqQm12ZwK7jc")</f>
        <v>1B2L3J6YUrDWz8rRtdvv0lYDQvnH8nYkmqQm12ZwK7jc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IFERROR(__xludf.DUMMYFUNCTION("""COMPUTED_VALUE"""),"SelectTrade")</f>
        <v>SelectTrade</v>
      </c>
      <c r="C399" t="str">
        <f ca="1">IFERROR(__xludf.DUMMYFUNCTION("""COMPUTED_VALUE"""),"1FTTZIzpIKJz6P-IPbrA5EPTxiMe2ARbyGfgsnMXlct4")</f>
        <v>1FTTZIzpIKJz6P-IPbrA5EPTxiMe2ARbyGfgsnMXlct4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IFERROR(__xludf.DUMMYFUNCTION("""COMPUTED_VALUE"""),"Simulator")</f>
        <v>Simulator</v>
      </c>
      <c r="B400" t="str">
        <f ca="1">IFERROR(__xludf.DUMMYFUNCTION("""COMPUTED_VALUE"""),"AcknowledgeTrade")</f>
        <v>AcknowledgeTrade</v>
      </c>
      <c r="C400" t="str">
        <f ca="1">IFERROR(__xludf.DUMMYFUNCTION("""COMPUTED_VALUE"""),"1sQAsvIkAT3oSRlv0P4ERgM6O-p9EGHnCNRCfZZ6EKPM")</f>
        <v>1sQAsvIkAT3oSRlv0P4ERgM6O-p9EGHnCNRCfZZ6EKPM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IFERROR(__xludf.DUMMYFUNCTION("""COMPUTED_VALUE"""),"Simulator")</f>
        <v>Simulator</v>
      </c>
      <c r="B401" t="str">
        <f ca="1">IFERROR(__xludf.DUMMYFUNCTION("""COMPUTED_VALUE"""),"RejectTrade")</f>
        <v>RejectTrade</v>
      </c>
      <c r="C401" t="str">
        <f ca="1">IFERROR(__xludf.DUMMYFUNCTION("""COMPUTED_VALUE"""),"18DR7gQzurIoB_fivnSt8QoqUWcLVRpZQSDr37UqoXKU")</f>
        <v>18DR7gQzurIoB_fivnSt8QoqUWcLVRpZQSDr37UqoXKU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IFERROR(__xludf.DUMMYFUNCTION("""COMPUTED_VALUE"""),"Simulator")</f>
        <v>Simulator</v>
      </c>
      <c r="B402" t="str">
        <f ca="1">IFERROR(__xludf.DUMMYFUNCTION("""COMPUTED_VALUE"""),"ExecuteTrade")</f>
        <v>ExecuteTrade</v>
      </c>
      <c r="C402" t="str">
        <f ca="1">IFERROR(__xludf.DUMMYFUNCTION("""COMPUTED_VALUE"""),"1pp_DAI1bHvMNnrEvw8O7TeJWebgUjt3FSsdgjVWeJkE")</f>
        <v>1pp_DAI1bHvMNnrEvw8O7TeJWebgUjt3FSsdgjVWeJkE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IFERROR(__xludf.DUMMYFUNCTION("""COMPUTED_VALUE"""),"Simulator")</f>
        <v>Simulator</v>
      </c>
      <c r="B403" t="str">
        <f ca="1">IFERROR(__xludf.DUMMYFUNCTION("""COMPUTED_VALUE"""),"CancelTrade")</f>
        <v>CancelTrade</v>
      </c>
      <c r="C403" t="str">
        <f ca="1">IFERROR(__xludf.DUMMYFUNCTION("""COMPUTED_VALUE"""),"1hX7-3j5InwEYhwGhZXePVHcW-9vxINkOET671xdWGsc")</f>
        <v>1hX7-3j5InwEYhwGhZXePVHcW-9vxINkOET671xdWGsc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IFERROR(__xludf.DUMMYFUNCTION("""COMPUTED_VALUE"""),"Simulator")</f>
        <v>Simulator</v>
      </c>
      <c r="B404" t="str">
        <f ca="1">IFERROR(__xludf.DUMMYFUNCTION("""COMPUTED_VALUE"""),"OpenLiveTT")</f>
        <v>OpenLiveTT</v>
      </c>
      <c r="C404" t="str">
        <f ca="1">IFERROR(__xludf.DUMMYFUNCTION("""COMPUTED_VALUE"""),"1q3BIdA-Gau2cX2cBnlgy7eas26rbuZEdQMfROhYvOgI")</f>
        <v>1q3BIdA-Gau2cX2cBnlgy7eas26rbuZEdQMfROhYvOgI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IFERROR(__xludf.DUMMYFUNCTION("""COMPUTED_VALUE"""),"TradingTicket")</f>
        <v>TradingTicket</v>
      </c>
      <c r="B405" t="str">
        <f ca="1">IFERROR(__xludf.DUMMYFUNCTION("""COMPUTED_VALUE"""),"CreateLiveOrder")</f>
        <v>CreateLiveOrder</v>
      </c>
      <c r="C405" t="str">
        <f ca="1">IFERROR(__xludf.DUMMYFUNCTION("""COMPUTED_VALUE"""),"115Bw2-ohdF1ilHcVpmgJ2DX9SJjX1zI-6SvF3CpCjm8")</f>
        <v>115Bw2-ohdF1ilHcVpmgJ2DX9SJjX1zI-6SvF3CpCjm8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IFERROR(__xludf.DUMMYFUNCTION("""COMPUTED_VALUE"""),"Simulator")</f>
        <v>Simulator</v>
      </c>
      <c r="B406" t="str">
        <f ca="1">IFERROR(__xludf.DUMMYFUNCTION("""COMPUTED_VALUE"""),"SetManualResponse ")</f>
        <v xml:space="preserve">SetManualResponse </v>
      </c>
      <c r="C406" t="str">
        <f ca="1">IFERROR(__xludf.DUMMYFUNCTION("""COMPUTED_VALUE"""),"10qeNhV85AQPMToOqHZlhzdXyNnDNjiueFxVwGUI_MO4")</f>
        <v>10qeNhV85AQPMToOqHZlhzdXyNnDNjiueFxVwGUI_MO4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IFERROR(__xludf.DUMMYFUNCTION("""COMPUTED_VALUE"""),"Simulator")</f>
        <v>Simulator</v>
      </c>
      <c r="B407" t="str">
        <f ca="1">IFERROR(__xludf.DUMMYFUNCTION("""COMPUTED_VALUE"""),"ClearUI")</f>
        <v>ClearUI</v>
      </c>
      <c r="C407" t="str">
        <f ca="1">IFERROR(__xludf.DUMMYFUNCTION("""COMPUTED_VALUE"""),"1LO0lVmw42vb8rN4FBdD2nZspNUXqgQCerd4ip5U8His")</f>
        <v>1LO0lVmw42vb8rN4FBdD2nZspNUXqgQCerd4ip5U8His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IFERROR(__xludf.DUMMYFUNCTION("""COMPUTED_VALUE"""),"Rebalancer")</f>
        <v>Rebalancer</v>
      </c>
      <c r="B408" t="str">
        <f ca="1">IFERROR(__xludf.DUMMYFUNCTION("""COMPUTED_VALUE"""),"RebalanceAcrossSecurities")</f>
        <v>RebalanceAcrossSecurities</v>
      </c>
      <c r="C408" t="str">
        <f ca="1">IFERROR(__xludf.DUMMYFUNCTION("""COMPUTED_VALUE"""),"1C-pSRr2mYlstlgFOXGSaoMyr-7ZKnUyCiCZMgNR75C0")</f>
        <v>1C-pSRr2mYlstlgFOXGSaoMyr-7ZKnUyCiCZMgNR75C0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/>
    <row r="923" spans="1:12" ht="15.75" customHeight="1"/>
    <row r="924" spans="1:12" ht="15.75" customHeight="1"/>
    <row r="925" spans="1:12" ht="15.75" customHeight="1"/>
    <row r="926" spans="1:12" ht="15.75" customHeight="1"/>
    <row r="927" spans="1:12" ht="15.75" customHeight="1"/>
    <row r="928" spans="1:12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40" t="s">
        <v>0</v>
      </c>
      <c r="B1" s="38"/>
      <c r="C1" s="39"/>
    </row>
    <row r="2" spans="1:3" ht="15.75" customHeight="1">
      <c r="A2" s="3"/>
      <c r="B2" s="3"/>
      <c r="C2" s="3"/>
    </row>
    <row r="3" spans="1:3" ht="15.75" customHeight="1">
      <c r="A3" s="4" t="s">
        <v>5</v>
      </c>
      <c r="B3" s="8" t="s">
        <v>6</v>
      </c>
      <c r="C3" s="3"/>
    </row>
    <row r="4" spans="1:3" ht="15.75" customHeight="1">
      <c r="A4" s="10" t="s">
        <v>8</v>
      </c>
      <c r="B4" s="8" t="s">
        <v>10</v>
      </c>
      <c r="C4" s="3"/>
    </row>
    <row r="5" spans="1:3" ht="15.75" customHeight="1">
      <c r="A5" s="12"/>
      <c r="B5" s="3"/>
      <c r="C5" s="3"/>
    </row>
    <row r="6" spans="1:3" ht="15.75" customHeight="1">
      <c r="A6" s="12"/>
      <c r="B6" s="3"/>
      <c r="C6" s="3"/>
    </row>
    <row r="7" spans="1:3" ht="15.75" customHeight="1">
      <c r="A7" s="12"/>
      <c r="B7" s="3"/>
      <c r="C7" s="3"/>
    </row>
    <row r="8" spans="1:3" ht="15.75" customHeight="1">
      <c r="A8" s="12"/>
      <c r="B8" s="3"/>
      <c r="C8" s="3"/>
    </row>
    <row r="9" spans="1:3" ht="15.75" customHeight="1">
      <c r="A9" s="12"/>
      <c r="B9" s="3"/>
      <c r="C9" s="3"/>
    </row>
    <row r="10" spans="1:3" ht="15.75" customHeight="1">
      <c r="A10" s="12"/>
      <c r="B10" s="3"/>
      <c r="C10" s="3"/>
    </row>
    <row r="11" spans="1:3" ht="15.75" customHeight="1">
      <c r="A11" s="12"/>
      <c r="B11" s="3"/>
      <c r="C11" s="3"/>
    </row>
    <row r="12" spans="1:3" ht="15.75" customHeight="1">
      <c r="A12" s="12"/>
      <c r="B12" s="3"/>
      <c r="C12" s="3"/>
    </row>
    <row r="13" spans="1:3" ht="15.75" customHeight="1">
      <c r="A13" s="12"/>
      <c r="B13" s="3"/>
      <c r="C13" s="3"/>
    </row>
    <row r="14" spans="1:3" ht="15.75" customHeight="1">
      <c r="A14" s="12"/>
      <c r="B14" s="3"/>
      <c r="C14" s="3"/>
    </row>
    <row r="15" spans="1:3" ht="15.75" customHeight="1">
      <c r="A15" s="12"/>
      <c r="B15" s="3"/>
      <c r="C15" s="3"/>
    </row>
    <row r="16" spans="1:3" ht="15.75" customHeight="1">
      <c r="A16" s="12"/>
      <c r="B16" s="3"/>
      <c r="C16" s="3"/>
    </row>
    <row r="17" spans="1:3" ht="15.75" customHeight="1">
      <c r="A17" s="12"/>
      <c r="B17" s="3"/>
      <c r="C17" s="3"/>
    </row>
    <row r="18" spans="1:3" ht="15.75" customHeight="1">
      <c r="A18" s="12"/>
      <c r="B18" s="3"/>
      <c r="C18" s="3"/>
    </row>
    <row r="19" spans="1:3" ht="15.75" customHeight="1">
      <c r="A19" s="12"/>
      <c r="B19" s="3"/>
      <c r="C19" s="3"/>
    </row>
    <row r="20" spans="1:3" ht="15.75" customHeight="1">
      <c r="A20" s="12"/>
      <c r="B20" s="3"/>
      <c r="C20" s="3"/>
    </row>
    <row r="21" spans="1:3" ht="15.75" customHeight="1">
      <c r="A21" s="12"/>
      <c r="B21" s="3"/>
      <c r="C21" s="3"/>
    </row>
    <row r="22" spans="1:3" ht="15.75" customHeight="1">
      <c r="A22" s="12"/>
      <c r="B22" s="3"/>
      <c r="C22" s="3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/>
  </sheetViews>
  <sheetFormatPr defaultColWidth="17.28515625" defaultRowHeight="15" customHeight="1"/>
  <sheetData>
    <row r="1" spans="1:12" ht="15" customHeight="1">
      <c r="A1" s="37" t="s">
        <v>1</v>
      </c>
      <c r="B1" s="38"/>
      <c r="C1" s="38"/>
      <c r="D1" s="38"/>
      <c r="E1" s="38"/>
      <c r="F1" s="39"/>
    </row>
    <row r="2" spans="1:12" ht="15" customHeight="1">
      <c r="A2" s="2"/>
      <c r="B2" s="2"/>
      <c r="C2" s="2"/>
      <c r="D2" s="2"/>
      <c r="E2" s="2"/>
      <c r="F2" s="2"/>
    </row>
    <row r="3" spans="1:12" ht="15" customHeight="1">
      <c r="A3" s="6" t="s">
        <v>3</v>
      </c>
      <c r="B3" s="9" t="s">
        <v>7</v>
      </c>
      <c r="C3" s="9" t="s">
        <v>9</v>
      </c>
      <c r="D3" s="11"/>
      <c r="E3" s="11"/>
      <c r="F3" s="11"/>
    </row>
    <row r="4" spans="1:12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4" width="14.42578125" customWidth="1"/>
    <col min="5" max="5" width="16.7109375" customWidth="1"/>
    <col min="6" max="6" width="23" customWidth="1"/>
    <col min="7" max="8" width="14.42578125" customWidth="1"/>
    <col min="9" max="9" width="18.140625" customWidth="1"/>
    <col min="10" max="11" width="17.42578125" customWidth="1"/>
    <col min="12" max="36" width="14.42578125" customWidth="1"/>
    <col min="37" max="37" width="32" customWidth="1"/>
    <col min="38" max="153" width="14.42578125" customWidth="1"/>
  </cols>
  <sheetData>
    <row r="1" spans="1:153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3"/>
      <c r="B2" s="3"/>
      <c r="C2" s="3"/>
      <c r="D2" s="3"/>
      <c r="E2" s="3"/>
      <c r="F2" s="3"/>
      <c r="G2" s="3"/>
      <c r="H2" s="3"/>
      <c r="I2" s="3"/>
      <c r="J2" s="15" t="str">
        <f ca="1">VLOOKUP($E$3,_MasterData!B4:D1000,3,FALSE)</f>
        <v>1b5S4Xpp4fgZ1ez6cK92QFnVBylqz8jhwxdAyEvwDqUI</v>
      </c>
      <c r="K2" s="16"/>
      <c r="L2" s="3"/>
      <c r="M2" s="3"/>
      <c r="N2" s="3"/>
      <c r="O2" s="3"/>
    </row>
    <row r="3" spans="1:153" ht="15.75" customHeight="1">
      <c r="A3" s="17"/>
      <c r="B3" s="4" t="s">
        <v>3</v>
      </c>
      <c r="C3" s="18" t="s">
        <v>12</v>
      </c>
      <c r="D3" s="4" t="s">
        <v>7</v>
      </c>
      <c r="E3" s="18" t="s">
        <v>13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IFERROR(__xludf.DUMMYFUNCTION("IF(C3="""","""",Transpose(IMPORTRANGE('_Settings'!$B$3,C3&amp;""!A4:A1000"")))"),"OpenTTFromPST")</f>
        <v>OpenTTFromPST</v>
      </c>
      <c r="C4" s="21" t="str">
        <f ca="1">IFERROR(__xludf.DUMMYFUNCTION("""COMPUTED_VALUE"""),"EnterDetailsOnTT")</f>
        <v>EnterDetailsOnTT</v>
      </c>
      <c r="D4" s="21" t="str">
        <f ca="1">IFERROR(__xludf.DUMMYFUNCTION("""COMPUTED_VALUE"""),"ValidateSymbolTT")</f>
        <v>ValidateSymbolTT</v>
      </c>
      <c r="E4" s="21" t="str">
        <f ca="1">IFERROR(__xludf.DUMMYFUNCTION("""COMPUTED_VALUE"""),"VerifyDataTT")</f>
        <v>VerifyDataTT</v>
      </c>
      <c r="F4" s="21" t="str">
        <f ca="1">IFERROR(__xludf.DUMMYFUNCTION("""COMPUTED_VALUE"""),"SetUIPreferencesTT")</f>
        <v>SetUIPreferencesTT</v>
      </c>
      <c r="G4" s="21" t="str">
        <f ca="1">IFERROR(__xludf.DUMMYFUNCTION("""COMPUTED_VALUE"""),"SetBrokerWisePreferencesTT")</f>
        <v>SetBrokerWisePreferencesTT</v>
      </c>
      <c r="H4" s="21" t="str">
        <f ca="1">IFERROR(__xludf.DUMMYFUNCTION("""COMPUTED_VALUE"""),"TradeNewSub")</f>
        <v>TradeNewSub</v>
      </c>
      <c r="I4" s="21" t="str">
        <f ca="1">IFERROR(__xludf.DUMMYFUNCTION("""COMPUTED_VALUE"""),"CreateStageOrder")</f>
        <v>CreateStageOrder</v>
      </c>
      <c r="J4" s="21" t="str">
        <f ca="1">IFERROR(__xludf.DUMMYFUNCTION("""COMPUTED_VALUE"""),"CreateReplaceOrder")</f>
        <v>CreateReplaceOrder</v>
      </c>
      <c r="K4" s="21" t="str">
        <f ca="1">IFERROR(__xludf.DUMMYFUNCTION("""COMPUTED_VALUE"""),"SetGeneralPreference")</f>
        <v>SetGeneralPreference</v>
      </c>
      <c r="L4" s="21" t="str">
        <f ca="1">IFERROR(__xludf.DUMMYFUNCTION("""COMPUTED_VALUE"""),"CreateDoneAwayOrder")</f>
        <v>CreateDoneAwayOrder</v>
      </c>
      <c r="M4" s="21" t="str">
        <f ca="1">IFERROR(__xludf.DUMMYFUNCTION("""COMPUTED_VALUE"""),"CreateNewSubOrder")</f>
        <v>CreateNewSubOrder</v>
      </c>
      <c r="N4" s="21" t="str">
        <f ca="1">IFERROR(__xludf.DUMMYFUNCTION("""COMPUTED_VALUE"""),"TradeBloomberg")</f>
        <v>TradeBloomberg</v>
      </c>
      <c r="O4" s="21" t="str">
        <f ca="1">IFERROR(__xludf.DUMMYFUNCTION("""COMPUTED_VALUE"""),"ClickSymbolLookup")</f>
        <v>ClickSymbolLookup</v>
      </c>
      <c r="P4" s="22" t="str">
        <f ca="1">IFERROR(__xludf.DUMMYFUNCTION("""COMPUTED_VALUE"""),"VerifyTT")</f>
        <v>VerifyTT</v>
      </c>
      <c r="Q4" s="22" t="str">
        <f ca="1">IFERROR(__xludf.DUMMYFUNCTION("""COMPUTED_VALUE"""),"CreateLiveOrder")</f>
        <v>CreateLiveOrder</v>
      </c>
      <c r="R4" s="22" t="str">
        <f ca="1">IFERROR(__xludf.DUMMYFUNCTION("""COMPUTED_VALUE"""),"")</f>
        <v/>
      </c>
      <c r="S4" s="22" t="str">
        <f ca="1">IFERROR(__xludf.DUMMYFUNCTION("""COMPUTED_VALUE"""),"")</f>
        <v/>
      </c>
      <c r="T4" s="22" t="str">
        <f ca="1">IFERROR(__xludf.DUMMYFUNCTION("""COMPUTED_VALUE"""),"")</f>
        <v/>
      </c>
      <c r="U4" s="22" t="str">
        <f ca="1">IFERROR(__xludf.DUMMYFUNCTION("""COMPUTED_VALUE"""),"")</f>
        <v/>
      </c>
      <c r="V4" s="22" t="str">
        <f ca="1">IFERROR(__xludf.DUMMYFUNCTION("""COMPUTED_VALUE"""),"")</f>
        <v/>
      </c>
      <c r="W4" s="22" t="str">
        <f ca="1">IFERROR(__xludf.DUMMYFUNCTION("""COMPUTED_VALUE"""),"")</f>
        <v/>
      </c>
      <c r="X4" s="22" t="str">
        <f ca="1">IFERROR(__xludf.DUMMYFUNCTION("""COMPUTED_VALUE"""),"")</f>
        <v/>
      </c>
      <c r="Y4" s="22" t="str">
        <f ca="1">IFERROR(__xludf.DUMMYFUNCTION("""COMPUTED_VALUE"""),"")</f>
        <v/>
      </c>
      <c r="Z4" s="22" t="str">
        <f ca="1">IFERROR(__xludf.DUMMYFUNCTION("""COMPUTED_VALUE"""),"")</f>
        <v/>
      </c>
      <c r="AA4" s="22" t="str">
        <f ca="1">IFERROR(__xludf.DUMMYFUNCTION("""COMPUTED_VALUE"""),"")</f>
        <v/>
      </c>
      <c r="AB4" s="22" t="str">
        <f ca="1">IFERROR(__xludf.DUMMYFUNCTION("""COMPUTED_VALUE"""),"")</f>
        <v/>
      </c>
      <c r="AC4" s="22" t="str">
        <f ca="1">IFERROR(__xludf.DUMMYFUNCTION("""COMPUTED_VALUE"""),"")</f>
        <v/>
      </c>
      <c r="AD4" s="22" t="str">
        <f ca="1">IFERROR(__xludf.DUMMYFUNCTION("""COMPUTED_VALUE"""),"")</f>
        <v/>
      </c>
      <c r="AE4" s="22" t="str">
        <f ca="1">IFERROR(__xludf.DUMMYFUNCTION("""COMPUTED_VALUE"""),"")</f>
        <v/>
      </c>
      <c r="AF4" s="22" t="str">
        <f ca="1">IFERROR(__xludf.DUMMYFUNCTION("""COMPUTED_VALUE"""),"")</f>
        <v/>
      </c>
      <c r="AG4" s="22" t="str">
        <f ca="1">IFERROR(__xludf.DUMMYFUNCTION("""COMPUTED_VALUE"""),"")</f>
        <v/>
      </c>
      <c r="AH4" s="22" t="str">
        <f ca="1">IFERROR(__xludf.DUMMYFUNCTION("""COMPUTED_VALUE"""),"")</f>
        <v/>
      </c>
      <c r="AI4" s="22" t="str">
        <f ca="1">IFERROR(__xludf.DUMMYFUNCTION("""COMPUTED_VALUE"""),"")</f>
        <v/>
      </c>
      <c r="AJ4" s="22" t="str">
        <f ca="1">IFERROR(__xludf.DUMMYFUNCTION("""COMPUTED_VALUE"""),"")</f>
        <v/>
      </c>
      <c r="AK4" s="22" t="str">
        <f ca="1">IFERROR(__xludf.DUMMYFUNCTION("""COMPUTED_VALUE"""),"")</f>
        <v/>
      </c>
      <c r="AL4" s="22" t="str">
        <f ca="1">IFERROR(__xludf.DUMMYFUNCTION("""COMPUTED_VALUE"""),"")</f>
        <v/>
      </c>
      <c r="AM4" s="22" t="str">
        <f ca="1">IFERROR(__xludf.DUMMYFUNCTION("""COMPUTED_VALUE"""),"")</f>
        <v/>
      </c>
      <c r="AN4" s="22" t="str">
        <f ca="1">IFERROR(__xludf.DUMMYFUNCTION("""COMPUTED_VALUE"""),"")</f>
        <v/>
      </c>
      <c r="AO4" s="22" t="str">
        <f ca="1">IFERROR(__xludf.DUMMYFUNCTION("""COMPUTED_VALUE"""),"")</f>
        <v/>
      </c>
      <c r="AP4" s="22" t="str">
        <f ca="1">IFERROR(__xludf.DUMMYFUNCTION("""COMPUTED_VALUE"""),"")</f>
        <v/>
      </c>
      <c r="AQ4" s="22" t="str">
        <f ca="1">IFERROR(__xludf.DUMMYFUNCTION("""COMPUTED_VALUE"""),"")</f>
        <v/>
      </c>
      <c r="AR4" s="22" t="str">
        <f ca="1">IFERROR(__xludf.DUMMYFUNCTION("""COMPUTED_VALUE"""),"")</f>
        <v/>
      </c>
      <c r="AS4" s="22" t="str">
        <f ca="1">IFERROR(__xludf.DUMMYFUNCTION("""COMPUTED_VALUE"""),"")</f>
        <v/>
      </c>
      <c r="AT4" s="22" t="str">
        <f ca="1">IFERROR(__xludf.DUMMYFUNCTION("""COMPUTED_VALUE"""),"")</f>
        <v/>
      </c>
      <c r="AU4" s="22" t="str">
        <f ca="1">IFERROR(__xludf.DUMMYFUNCTION("""COMPUTED_VALUE"""),"")</f>
        <v/>
      </c>
      <c r="AV4" s="22" t="str">
        <f ca="1">IFERROR(__xludf.DUMMYFUNCTION("""COMPUTED_VALUE"""),"")</f>
        <v/>
      </c>
      <c r="AW4" s="22" t="str">
        <f ca="1">IFERROR(__xludf.DUMMYFUNCTION("""COMPUTED_VALUE"""),"")</f>
        <v/>
      </c>
      <c r="AX4" s="22" t="str">
        <f ca="1">IFERROR(__xludf.DUMMYFUNCTION("""COMPUTED_VALUE"""),"")</f>
        <v/>
      </c>
      <c r="AY4" s="22" t="str">
        <f ca="1">IFERROR(__xludf.DUMMYFUNCTION("""COMPUTED_VALUE"""),"")</f>
        <v/>
      </c>
      <c r="AZ4" s="22" t="str">
        <f ca="1">IFERROR(__xludf.DUMMYFUNCTION("""COMPUTED_VALUE"""),"")</f>
        <v/>
      </c>
      <c r="BA4" s="22" t="str">
        <f ca="1">IFERROR(__xludf.DUMMYFUNCTION("""COMPUTED_VALUE"""),"")</f>
        <v/>
      </c>
      <c r="BB4" s="22" t="str">
        <f ca="1">IFERROR(__xludf.DUMMYFUNCTION("""COMPUTED_VALUE"""),"")</f>
        <v/>
      </c>
      <c r="BC4" s="22" t="str">
        <f ca="1">IFERROR(__xludf.DUMMYFUNCTION("""COMPUTED_VALUE"""),"")</f>
        <v/>
      </c>
      <c r="BD4" s="22" t="str">
        <f ca="1">IFERROR(__xludf.DUMMYFUNCTION("""COMPUTED_VALUE"""),"")</f>
        <v/>
      </c>
      <c r="BE4" s="22" t="str">
        <f ca="1">IFERROR(__xludf.DUMMYFUNCTION("""COMPUTED_VALUE"""),"")</f>
        <v/>
      </c>
      <c r="BF4" s="22" t="str">
        <f ca="1">IFERROR(__xludf.DUMMYFUNCTION("""COMPUTED_VALUE"""),"")</f>
        <v/>
      </c>
      <c r="BG4" s="22" t="str">
        <f ca="1">IFERROR(__xludf.DUMMYFUNCTION("""COMPUTED_VALUE"""),"")</f>
        <v/>
      </c>
      <c r="BH4" s="22" t="str">
        <f ca="1">IFERROR(__xludf.DUMMYFUNCTION("""COMPUTED_VALUE"""),"")</f>
        <v/>
      </c>
      <c r="BI4" s="22" t="str">
        <f ca="1">IFERROR(__xludf.DUMMYFUNCTION("""COMPUTED_VALUE"""),"")</f>
        <v/>
      </c>
      <c r="BJ4" s="22" t="str">
        <f ca="1">IFERROR(__xludf.DUMMYFUNCTION("""COMPUTED_VALUE"""),"")</f>
        <v/>
      </c>
      <c r="BK4" s="22" t="str">
        <f ca="1">IFERROR(__xludf.DUMMYFUNCTION("""COMPUTED_VALUE"""),"")</f>
        <v/>
      </c>
      <c r="BL4" s="22" t="str">
        <f ca="1">IFERROR(__xludf.DUMMYFUNCTION("""COMPUTED_VALUE"""),"")</f>
        <v/>
      </c>
      <c r="BM4" s="22" t="str">
        <f ca="1">IFERROR(__xludf.DUMMYFUNCTION("""COMPUTED_VALUE"""),"")</f>
        <v/>
      </c>
      <c r="BN4" s="22" t="str">
        <f ca="1">IFERROR(__xludf.DUMMYFUNCTION("""COMPUTED_VALUE"""),"")</f>
        <v/>
      </c>
      <c r="BO4" s="22" t="str">
        <f ca="1">IFERROR(__xludf.DUMMYFUNCTION("""COMPUTED_VALUE"""),"")</f>
        <v/>
      </c>
      <c r="BP4" s="22" t="str">
        <f ca="1">IFERROR(__xludf.DUMMYFUNCTION("""COMPUTED_VALUE"""),"")</f>
        <v/>
      </c>
      <c r="BQ4" s="22" t="str">
        <f ca="1">IFERROR(__xludf.DUMMYFUNCTION("""COMPUTED_VALUE"""),"")</f>
        <v/>
      </c>
      <c r="BR4" s="22" t="str">
        <f ca="1">IFERROR(__xludf.DUMMYFUNCTION("""COMPUTED_VALUE"""),"")</f>
        <v/>
      </c>
      <c r="BS4" s="22" t="str">
        <f ca="1">IFERROR(__xludf.DUMMYFUNCTION("""COMPUTED_VALUE"""),"")</f>
        <v/>
      </c>
      <c r="BT4" s="22" t="str">
        <f ca="1">IFERROR(__xludf.DUMMYFUNCTION("""COMPUTED_VALUE"""),"")</f>
        <v/>
      </c>
      <c r="BU4" s="22" t="str">
        <f ca="1">IFERROR(__xludf.DUMMYFUNCTION("""COMPUTED_VALUE"""),"")</f>
        <v/>
      </c>
      <c r="BV4" s="22" t="str">
        <f ca="1">IFERROR(__xludf.DUMMYFUNCTION("""COMPUTED_VALUE"""),"")</f>
        <v/>
      </c>
      <c r="BW4" s="22" t="str">
        <f ca="1">IFERROR(__xludf.DUMMYFUNCTION("""COMPUTED_VALUE"""),"")</f>
        <v/>
      </c>
      <c r="BX4" s="22" t="str">
        <f ca="1">IFERROR(__xludf.DUMMYFUNCTION("""COMPUTED_VALUE"""),"")</f>
        <v/>
      </c>
      <c r="BY4" s="22" t="str">
        <f ca="1">IFERROR(__xludf.DUMMYFUNCTION("""COMPUTED_VALUE"""),"")</f>
        <v/>
      </c>
      <c r="BZ4" s="22" t="str">
        <f ca="1">IFERROR(__xludf.DUMMYFUNCTION("""COMPUTED_VALUE"""),"")</f>
        <v/>
      </c>
      <c r="CA4" s="22" t="str">
        <f ca="1">IFERROR(__xludf.DUMMYFUNCTION("""COMPUTED_VALUE"""),"")</f>
        <v/>
      </c>
      <c r="CB4" s="22" t="str">
        <f ca="1">IFERROR(__xludf.DUMMYFUNCTION("""COMPUTED_VALUE"""),"")</f>
        <v/>
      </c>
      <c r="CC4" s="22" t="str">
        <f ca="1">IFERROR(__xludf.DUMMYFUNCTION("""COMPUTED_VALUE"""),"")</f>
        <v/>
      </c>
      <c r="CD4" s="22" t="str">
        <f ca="1">IFERROR(__xludf.DUMMYFUNCTION("""COMPUTED_VALUE"""),"")</f>
        <v/>
      </c>
      <c r="CE4" s="22" t="str">
        <f ca="1">IFERROR(__xludf.DUMMYFUNCTION("""COMPUTED_VALUE"""),"")</f>
        <v/>
      </c>
      <c r="CF4" s="22" t="str">
        <f ca="1">IFERROR(__xludf.DUMMYFUNCTION("""COMPUTED_VALUE"""),"")</f>
        <v/>
      </c>
      <c r="CG4" s="22" t="str">
        <f ca="1">IFERROR(__xludf.DUMMYFUNCTION("""COMPUTED_VALUE"""),"")</f>
        <v/>
      </c>
      <c r="CH4" s="22" t="str">
        <f ca="1">IFERROR(__xludf.DUMMYFUNCTION("""COMPUTED_VALUE"""),"")</f>
        <v/>
      </c>
      <c r="CI4" s="22" t="str">
        <f ca="1">IFERROR(__xludf.DUMMYFUNCTION("""COMPUTED_VALUE"""),"")</f>
        <v/>
      </c>
      <c r="CJ4" s="22" t="str">
        <f ca="1">IFERROR(__xludf.DUMMYFUNCTION("""COMPUTED_VALUE"""),"")</f>
        <v/>
      </c>
      <c r="CK4" s="22" t="str">
        <f ca="1">IFERROR(__xludf.DUMMYFUNCTION("""COMPUTED_VALUE"""),"")</f>
        <v/>
      </c>
      <c r="CL4" s="22" t="str">
        <f ca="1">IFERROR(__xludf.DUMMYFUNCTION("""COMPUTED_VALUE"""),"")</f>
        <v/>
      </c>
      <c r="CM4" s="22" t="str">
        <f ca="1">IFERROR(__xludf.DUMMYFUNCTION("""COMPUTED_VALUE"""),"")</f>
        <v/>
      </c>
      <c r="CN4" s="22" t="str">
        <f ca="1">IFERROR(__xludf.DUMMYFUNCTION("""COMPUTED_VALUE"""),"")</f>
        <v/>
      </c>
      <c r="CO4" s="22" t="str">
        <f ca="1">IFERROR(__xludf.DUMMYFUNCTION("""COMPUTED_VALUE"""),"")</f>
        <v/>
      </c>
      <c r="CP4" s="22" t="str">
        <f ca="1">IFERROR(__xludf.DUMMYFUNCTION("""COMPUTED_VALUE"""),"")</f>
        <v/>
      </c>
      <c r="CQ4" s="22" t="str">
        <f ca="1">IFERROR(__xludf.DUMMYFUNCTION("""COMPUTED_VALUE"""),"")</f>
        <v/>
      </c>
      <c r="CR4" s="22" t="str">
        <f ca="1">IFERROR(__xludf.DUMMYFUNCTION("""COMPUTED_VALUE"""),"")</f>
        <v/>
      </c>
      <c r="CS4" s="22" t="str">
        <f ca="1">IFERROR(__xludf.DUMMYFUNCTION("""COMPUTED_VALUE"""),"")</f>
        <v/>
      </c>
      <c r="CT4" s="22" t="str">
        <f ca="1">IFERROR(__xludf.DUMMYFUNCTION("""COMPUTED_VALUE"""),"")</f>
        <v/>
      </c>
      <c r="CU4" s="22" t="str">
        <f ca="1">IFERROR(__xludf.DUMMYFUNCTION("""COMPUTED_VALUE"""),"")</f>
        <v/>
      </c>
      <c r="CV4" s="22" t="str">
        <f ca="1">IFERROR(__xludf.DUMMYFUNCTION("""COMPUTED_VALUE"""),"")</f>
        <v/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</row>
    <row r="5" spans="1:153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IFERROR(__xludf.DUMMYFUNCTION("""COMPUTED_VALUE"""),"Symbol")</f>
        <v>Symbol</v>
      </c>
      <c r="C5" s="24" t="str">
        <f ca="1">IFERROR(__xludf.DUMMYFUNCTION("""COMPUTED_VALUE"""),"Order Side")</f>
        <v>Order Side</v>
      </c>
      <c r="D5" s="24" t="str">
        <f ca="1">IFERROR(__xludf.DUMMYFUNCTION("""COMPUTED_VALUE"""),"Quantity")</f>
        <v>Quantity</v>
      </c>
      <c r="E5" s="24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4" t="str">
        <f ca="1">IFERROR(__xludf.DUMMYFUNCTION("""COMPUTED_VALUE"""),"Broker")</f>
        <v>Broker</v>
      </c>
      <c r="H5" s="24" t="str">
        <f ca="1">IFERROR(__xludf.DUMMYFUNCTION("""COMPUTED_VALUE"""),"TIF")</f>
        <v>TIF</v>
      </c>
      <c r="I5" s="24" t="str">
        <f ca="1">IFERROR(__xludf.DUMMYFUNCTION("""COMPUTED_VALUE"""),"Order Type")</f>
        <v>Order Type</v>
      </c>
      <c r="J5" s="24" t="str">
        <f ca="1">IFERROR(__xludf.DUMMYFUNCTION("""COMPUTED_VALUE"""),"Price")</f>
        <v>Price</v>
      </c>
      <c r="K5" s="24" t="str">
        <f ca="1">IFERROR(__xludf.DUMMYFUNCTION("""COMPUTED_VALUE"""),"Stop")</f>
        <v>Stop</v>
      </c>
      <c r="L5" s="24" t="str">
        <f ca="1">IFERROR(__xludf.DUMMYFUNCTION("""COMPUTED_VALUE"""),"Limit")</f>
        <v>Limit</v>
      </c>
      <c r="M5" s="24" t="str">
        <f ca="1">IFERROR(__xludf.DUMMYFUNCTION("""COMPUTED_VALUE"""),"Strategy")</f>
        <v>Strategy</v>
      </c>
      <c r="N5" s="24" t="str">
        <f ca="1">IFERROR(__xludf.DUMMYFUNCTION("""COMPUTED_VALUE"""),"Trade Date")</f>
        <v>Trade Date</v>
      </c>
      <c r="O5" s="24" t="str">
        <f ca="1">IFERROR(__xludf.DUMMYFUNCTION("""COMPUTED_VALUE"""),"FxRate")</f>
        <v>FxRate</v>
      </c>
      <c r="P5" s="24" t="str">
        <f ca="1">IFERROR(__xludf.DUMMYFUNCTION("""COMPUTED_VALUE"""),"Notes")</f>
        <v>Notes</v>
      </c>
      <c r="Q5" s="24" t="str">
        <f ca="1">IFERROR(__xludf.DUMMYFUNCTION("""COMPUTED_VALUE"""),"Broker Notes")</f>
        <v>Broker Notes</v>
      </c>
      <c r="R5" s="24" t="str">
        <f ca="1">IFERROR(__xludf.DUMMYFUNCTION("""COMPUTED_VALUE"""),"CommissionBasis")</f>
        <v>CommissionBasis</v>
      </c>
      <c r="S5" s="24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</row>
    <row r="6" spans="1:153" ht="15.75" customHeight="1">
      <c r="A6" s="3"/>
      <c r="B6" s="26" t="s">
        <v>16</v>
      </c>
      <c r="C6" s="26" t="s">
        <v>17</v>
      </c>
      <c r="D6" s="26">
        <v>400</v>
      </c>
      <c r="E6" s="26">
        <v>400</v>
      </c>
      <c r="F6" s="26"/>
      <c r="J6" s="26">
        <v>1</v>
      </c>
      <c r="AK6" s="26" t="s">
        <v>18</v>
      </c>
      <c r="AL6" s="27" t="s">
        <v>19</v>
      </c>
    </row>
    <row r="7" spans="1:153" ht="15.75" customHeight="1">
      <c r="A7" s="3"/>
      <c r="B7" s="8" t="s">
        <v>20</v>
      </c>
      <c r="C7" s="26" t="s">
        <v>17</v>
      </c>
      <c r="D7" s="26">
        <v>400</v>
      </c>
      <c r="E7" s="26">
        <v>400</v>
      </c>
      <c r="F7" s="26"/>
      <c r="J7" s="26">
        <v>1</v>
      </c>
      <c r="K7" s="3"/>
      <c r="L7" s="3"/>
      <c r="M7" s="3"/>
      <c r="N7" s="3"/>
      <c r="O7" s="3"/>
      <c r="AK7" s="26" t="s">
        <v>21</v>
      </c>
      <c r="AL7" s="27" t="s">
        <v>22</v>
      </c>
    </row>
    <row r="8" spans="1:153" ht="15.75" customHeight="1">
      <c r="A8" s="3"/>
      <c r="B8" s="8" t="s">
        <v>23</v>
      </c>
      <c r="C8" s="26" t="s">
        <v>17</v>
      </c>
      <c r="D8" s="26">
        <v>400</v>
      </c>
      <c r="E8" s="26">
        <v>400</v>
      </c>
      <c r="F8" s="26" t="s">
        <v>24</v>
      </c>
      <c r="J8" s="26">
        <v>1</v>
      </c>
      <c r="K8" s="3"/>
      <c r="L8" s="3"/>
      <c r="M8" s="3"/>
      <c r="N8" s="3"/>
      <c r="O8" s="3"/>
      <c r="AL8" s="26"/>
    </row>
    <row r="9" spans="1:153" ht="15.75" customHeight="1">
      <c r="A9" s="3"/>
      <c r="B9" s="8" t="s">
        <v>16</v>
      </c>
      <c r="C9" s="8" t="s">
        <v>17</v>
      </c>
      <c r="D9" s="8">
        <v>100</v>
      </c>
      <c r="E9" s="8">
        <v>100</v>
      </c>
      <c r="F9" s="8" t="s">
        <v>25</v>
      </c>
      <c r="G9" s="3"/>
      <c r="H9" s="3"/>
      <c r="I9" s="3"/>
      <c r="J9" s="8">
        <v>1</v>
      </c>
      <c r="K9" s="3"/>
      <c r="L9" s="3"/>
      <c r="M9" s="3"/>
      <c r="N9" s="3"/>
      <c r="O9" s="3"/>
    </row>
    <row r="10" spans="1:153" ht="15.75" customHeight="1">
      <c r="A10" s="3"/>
      <c r="B10" s="8" t="s">
        <v>20</v>
      </c>
      <c r="C10" s="8" t="s">
        <v>26</v>
      </c>
      <c r="D10" s="8">
        <v>600</v>
      </c>
      <c r="E10" s="8">
        <v>600</v>
      </c>
      <c r="F10" s="8" t="s">
        <v>25</v>
      </c>
      <c r="G10" s="3"/>
      <c r="H10" s="3"/>
      <c r="I10" s="3"/>
      <c r="J10" s="8">
        <v>1</v>
      </c>
      <c r="K10" s="3"/>
      <c r="L10" s="3"/>
      <c r="M10" s="3"/>
      <c r="N10" s="3"/>
      <c r="O10" s="3"/>
    </row>
    <row r="11" spans="1:153" ht="15.75" customHeight="1">
      <c r="A11" s="3"/>
      <c r="B11" s="8" t="s">
        <v>23</v>
      </c>
      <c r="C11" s="8" t="s">
        <v>26</v>
      </c>
      <c r="D11" s="8">
        <v>400</v>
      </c>
      <c r="E11" s="8">
        <v>400</v>
      </c>
      <c r="F11" s="8" t="s">
        <v>25</v>
      </c>
      <c r="G11" s="3"/>
      <c r="H11" s="3"/>
      <c r="I11" s="3"/>
      <c r="J11" s="8">
        <v>1</v>
      </c>
      <c r="K11" s="3"/>
      <c r="L11" s="3"/>
      <c r="M11" s="3"/>
      <c r="N11" s="3"/>
      <c r="O11" s="3"/>
    </row>
    <row r="12" spans="1:153" ht="15.75" customHeight="1">
      <c r="A12" s="3"/>
      <c r="B12" s="8" t="s">
        <v>27</v>
      </c>
      <c r="C12" s="8" t="s">
        <v>28</v>
      </c>
      <c r="D12" s="8">
        <v>100</v>
      </c>
      <c r="E12" s="8">
        <v>100</v>
      </c>
      <c r="F12" s="8" t="s">
        <v>25</v>
      </c>
      <c r="G12" s="3"/>
      <c r="H12" s="3"/>
      <c r="I12" s="3"/>
      <c r="J12" s="8">
        <v>1</v>
      </c>
      <c r="K12" s="3"/>
      <c r="L12" s="3"/>
      <c r="M12" s="3"/>
      <c r="N12" s="3"/>
      <c r="O12" s="3"/>
    </row>
    <row r="13" spans="1:15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3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3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3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3"/>
      <c r="B2" s="3"/>
      <c r="C2" s="3"/>
      <c r="D2" s="3"/>
      <c r="E2" s="3"/>
      <c r="F2" s="3"/>
      <c r="G2" s="3"/>
      <c r="H2" s="3"/>
      <c r="I2" s="3"/>
      <c r="J2" s="15" t="e">
        <f ca="1">VLOOKUP($E$3,_MasterData!B4:D1000,3,FALSE)</f>
        <v>#N/A</v>
      </c>
      <c r="K2" s="16"/>
      <c r="L2" s="3"/>
      <c r="M2" s="3"/>
      <c r="N2" s="3"/>
      <c r="O2" s="3"/>
    </row>
    <row r="3" spans="1:153" ht="15.75" customHeight="1">
      <c r="A3" s="17"/>
      <c r="B3" s="4" t="s">
        <v>3</v>
      </c>
      <c r="C3" s="18" t="s">
        <v>29</v>
      </c>
      <c r="D3" s="4" t="s">
        <v>7</v>
      </c>
      <c r="E3" s="18" t="s">
        <v>30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IFERROR(__xludf.DUMMYFUNCTION("IF(C3="""","""",Transpose(IMPORTRANGE('_Settings'!$B$3,C3&amp;""!A4:A1000"")))"),"UpdateBeta")</f>
        <v>UpdateBeta</v>
      </c>
      <c r="C4" s="21" t="str">
        <f ca="1">IFERROR(__xludf.DUMMYFUNCTION("""COMPUTED_VALUE"""),"UpdateDailyCash")</f>
        <v>UpdateDailyCash</v>
      </c>
      <c r="D4" s="21" t="str">
        <f ca="1">IFERROR(__xludf.DUMMYFUNCTION("""COMPUTED_VALUE"""),"UpdateForexConversion")</f>
        <v>UpdateForexConversion</v>
      </c>
      <c r="E4" s="21" t="str">
        <f ca="1">IFERROR(__xludf.DUMMYFUNCTION("""COMPUTED_VALUE"""),"UpdateMarkPrice")</f>
        <v>UpdateMarkPrice</v>
      </c>
      <c r="F4" s="21" t="str">
        <f ca="1">IFERROR(__xludf.DUMMYFUNCTION("""COMPUTED_VALUE"""),"CleanUp")</f>
        <v>CleanUp</v>
      </c>
      <c r="G4" s="21" t="str">
        <f ca="1">IFERROR(__xludf.DUMMYFUNCTION("""COMPUTED_VALUE"""),"GetMarkPriceData")</f>
        <v>GetMarkPriceData</v>
      </c>
      <c r="H4" s="21" t="str">
        <f ca="1">IFERROR(__xludf.DUMMYFUNCTION("""COMPUTED_VALUE"""),"GetForwardPoints")</f>
        <v>GetForwardPoints</v>
      </c>
      <c r="I4" s="21" t="str">
        <f ca="1">IFERROR(__xludf.DUMMYFUNCTION("""COMPUTED_VALUE"""),"UpdateForwardPoints")</f>
        <v>UpdateForwardPoints</v>
      </c>
      <c r="J4" s="21" t="str">
        <f ca="1">IFERROR(__xludf.DUMMYFUNCTION("""COMPUTED_VALUE"""),"GetForexConversion")</f>
        <v>GetForexConversion</v>
      </c>
      <c r="K4" s="21" t="str">
        <f ca="1">IFERROR(__xludf.DUMMYFUNCTION("""COMPUTED_VALUE"""),"DeleteNAV")</f>
        <v>DeleteNAV</v>
      </c>
      <c r="L4" s="21" t="str">
        <f ca="1">IFERROR(__xludf.DUMMYFUNCTION("""COMPUTED_VALUE"""),"GetDailyCash")</f>
        <v>GetDailyCash</v>
      </c>
      <c r="M4" s="21" t="str">
        <f ca="1">IFERROR(__xludf.DUMMYFUNCTION("""COMPUTED_VALUE"""),"GetDailyBeta")</f>
        <v>GetDailyBeta</v>
      </c>
      <c r="N4" s="21" t="str">
        <f ca="1">IFERROR(__xludf.DUMMYFUNCTION("""COMPUTED_VALUE"""),"GetDailyVolatility")</f>
        <v>GetDailyVolatility</v>
      </c>
      <c r="O4" s="21" t="str">
        <f ca="1">IFERROR(__xludf.DUMMYFUNCTION("""COMPUTED_VALUE"""),"GetDailyDividendYield")</f>
        <v>GetDailyDividendYield</v>
      </c>
      <c r="P4" s="22" t="str">
        <f ca="1">IFERROR(__xludf.DUMMYFUNCTION("""COMPUTED_VALUE"""),"GetDailyTradingVolume")</f>
        <v>GetDailyTradingVolume</v>
      </c>
      <c r="Q4" s="22" t="str">
        <f ca="1">IFERROR(__xludf.DUMMYFUNCTION("""COMPUTED_VALUE"""),"GetDailyOutstandings")</f>
        <v>GetDailyOutstandings</v>
      </c>
      <c r="R4" s="22" t="str">
        <f ca="1">IFERROR(__xludf.DUMMYFUNCTION("""COMPUTED_VALUE"""),"GetDailyDelta")</f>
        <v>GetDailyDelta</v>
      </c>
      <c r="S4" s="22" t="str">
        <f ca="1">IFERROR(__xludf.DUMMYFUNCTION("""COMPUTED_VALUE"""),"UpdateDailyVolatility")</f>
        <v>UpdateDailyVolatility</v>
      </c>
      <c r="T4" s="22" t="str">
        <f ca="1">IFERROR(__xludf.DUMMYFUNCTION("""COMPUTED_VALUE"""),"UpdateDividendYield")</f>
        <v>UpdateDividendYield</v>
      </c>
      <c r="U4" s="22" t="str">
        <f ca="1">IFERROR(__xludf.DUMMYFUNCTION("""COMPUTED_VALUE"""),"UpdateTradingVolume")</f>
        <v>UpdateTradingVolume</v>
      </c>
      <c r="V4" s="22" t="str">
        <f ca="1">IFERROR(__xludf.DUMMYFUNCTION("""COMPUTED_VALUE"""),"UpdateDailyDelta")</f>
        <v>UpdateDailyDelta</v>
      </c>
      <c r="W4" s="22" t="str">
        <f ca="1">IFERROR(__xludf.DUMMYFUNCTION("""COMPUTED_VALUE"""),"UpdateDailyOutstandings")</f>
        <v>UpdateDailyOutstandings</v>
      </c>
      <c r="X4" s="22" t="str">
        <f ca="1">IFERROR(__xludf.DUMMYFUNCTION("""COMPUTED_VALUE"""),"UpdateBeta")</f>
        <v>UpdateBeta</v>
      </c>
      <c r="Y4" s="22" t="str">
        <f ca="1">IFERROR(__xludf.DUMMYFUNCTION("""COMPUTED_VALUE"""),"UpdateNAV")</f>
        <v>UpdateNAV</v>
      </c>
      <c r="Z4" s="22" t="str">
        <f ca="1">IFERROR(__xludf.DUMMYFUNCTION("""COMPUTED_VALUE"""),"UpdateDailyCash")</f>
        <v>UpdateDailyCash</v>
      </c>
      <c r="AA4" s="22" t="str">
        <f ca="1">IFERROR(__xludf.DUMMYFUNCTION("""COMPUTED_VALUE"""),"UpdateDailyCreditLimt")</f>
        <v>UpdateDailyCreditLimt</v>
      </c>
      <c r="AB4" s="22" t="str">
        <f ca="1">IFERROR(__xludf.DUMMYFUNCTION("""COMPUTED_VALUE"""),"RemoveDailyCreditLimit")</f>
        <v>RemoveDailyCreditLimit</v>
      </c>
      <c r="AC4" s="22" t="str">
        <f ca="1">IFERROR(__xludf.DUMMYFUNCTION("""COMPUTED_VALUE"""),"RemoveDailyCash")</f>
        <v>RemoveDailyCash</v>
      </c>
      <c r="AD4" s="22" t="str">
        <f ca="1">IFERROR(__xludf.DUMMYFUNCTION("""COMPUTED_VALUE"""),"RemoveNAV")</f>
        <v>RemoveNAV</v>
      </c>
      <c r="AE4" s="22" t="str">
        <f ca="1">IFERROR(__xludf.DUMMYFUNCTION("""COMPUTED_VALUE"""),"UpdateForexConversionMonthly")</f>
        <v>UpdateForexConversionMonthly</v>
      </c>
      <c r="AF4" s="22" t="str">
        <f ca="1">IFERROR(__xludf.DUMMYFUNCTION("""COMPUTED_VALUE"""),"UpdateMarkPriceMonthly")</f>
        <v>UpdateMarkPriceMonthly</v>
      </c>
      <c r="AG4" s="22" t="str">
        <f ca="1">IFERROR(__xludf.DUMMYFUNCTION("""COMPUTED_VALUE"""),"")</f>
        <v/>
      </c>
      <c r="AH4" s="22" t="str">
        <f ca="1">IFERROR(__xludf.DUMMYFUNCTION("""COMPUTED_VALUE"""),"")</f>
        <v/>
      </c>
      <c r="AI4" s="22" t="str">
        <f ca="1">IFERROR(__xludf.DUMMYFUNCTION("""COMPUTED_VALUE"""),"")</f>
        <v/>
      </c>
      <c r="AJ4" s="22" t="str">
        <f ca="1">IFERROR(__xludf.DUMMYFUNCTION("""COMPUTED_VALUE"""),"")</f>
        <v/>
      </c>
      <c r="AK4" s="22" t="str">
        <f ca="1">IFERROR(__xludf.DUMMYFUNCTION("""COMPUTED_VALUE"""),"")</f>
        <v/>
      </c>
      <c r="AL4" s="22" t="str">
        <f ca="1">IFERROR(__xludf.DUMMYFUNCTION("""COMPUTED_VALUE"""),"")</f>
        <v/>
      </c>
      <c r="AM4" s="22" t="str">
        <f ca="1">IFERROR(__xludf.DUMMYFUNCTION("""COMPUTED_VALUE"""),"")</f>
        <v/>
      </c>
      <c r="AN4" s="22" t="str">
        <f ca="1">IFERROR(__xludf.DUMMYFUNCTION("""COMPUTED_VALUE"""),"")</f>
        <v/>
      </c>
      <c r="AO4" s="22" t="str">
        <f ca="1">IFERROR(__xludf.DUMMYFUNCTION("""COMPUTED_VALUE"""),"")</f>
        <v/>
      </c>
      <c r="AP4" s="22" t="str">
        <f ca="1">IFERROR(__xludf.DUMMYFUNCTION("""COMPUTED_VALUE"""),"")</f>
        <v/>
      </c>
      <c r="AQ4" s="22" t="str">
        <f ca="1">IFERROR(__xludf.DUMMYFUNCTION("""COMPUTED_VALUE"""),"")</f>
        <v/>
      </c>
      <c r="AR4" s="22" t="str">
        <f ca="1">IFERROR(__xludf.DUMMYFUNCTION("""COMPUTED_VALUE"""),"")</f>
        <v/>
      </c>
      <c r="AS4" s="22" t="str">
        <f ca="1">IFERROR(__xludf.DUMMYFUNCTION("""COMPUTED_VALUE"""),"")</f>
        <v/>
      </c>
      <c r="AT4" s="22" t="str">
        <f ca="1">IFERROR(__xludf.DUMMYFUNCTION("""COMPUTED_VALUE"""),"")</f>
        <v/>
      </c>
      <c r="AU4" s="22" t="str">
        <f ca="1">IFERROR(__xludf.DUMMYFUNCTION("""COMPUTED_VALUE"""),"")</f>
        <v/>
      </c>
      <c r="AV4" s="22" t="str">
        <f ca="1">IFERROR(__xludf.DUMMYFUNCTION("""COMPUTED_VALUE"""),"")</f>
        <v/>
      </c>
      <c r="AW4" s="22" t="str">
        <f ca="1">IFERROR(__xludf.DUMMYFUNCTION("""COMPUTED_VALUE"""),"")</f>
        <v/>
      </c>
      <c r="AX4" s="22" t="str">
        <f ca="1">IFERROR(__xludf.DUMMYFUNCTION("""COMPUTED_VALUE"""),"")</f>
        <v/>
      </c>
      <c r="AY4" s="22" t="str">
        <f ca="1">IFERROR(__xludf.DUMMYFUNCTION("""COMPUTED_VALUE"""),"")</f>
        <v/>
      </c>
      <c r="AZ4" s="22" t="str">
        <f ca="1">IFERROR(__xludf.DUMMYFUNCTION("""COMPUTED_VALUE"""),"")</f>
        <v/>
      </c>
      <c r="BA4" s="22" t="str">
        <f ca="1">IFERROR(__xludf.DUMMYFUNCTION("""COMPUTED_VALUE"""),"")</f>
        <v/>
      </c>
      <c r="BB4" s="22" t="str">
        <f ca="1">IFERROR(__xludf.DUMMYFUNCTION("""COMPUTED_VALUE"""),"")</f>
        <v/>
      </c>
      <c r="BC4" s="22" t="str">
        <f ca="1">IFERROR(__xludf.DUMMYFUNCTION("""COMPUTED_VALUE"""),"")</f>
        <v/>
      </c>
      <c r="BD4" s="22" t="str">
        <f ca="1">IFERROR(__xludf.DUMMYFUNCTION("""COMPUTED_VALUE"""),"")</f>
        <v/>
      </c>
      <c r="BE4" s="22" t="str">
        <f ca="1">IFERROR(__xludf.DUMMYFUNCTION("""COMPUTED_VALUE"""),"")</f>
        <v/>
      </c>
      <c r="BF4" s="22" t="str">
        <f ca="1">IFERROR(__xludf.DUMMYFUNCTION("""COMPUTED_VALUE"""),"")</f>
        <v/>
      </c>
      <c r="BG4" s="22" t="str">
        <f ca="1">IFERROR(__xludf.DUMMYFUNCTION("""COMPUTED_VALUE"""),"")</f>
        <v/>
      </c>
      <c r="BH4" s="22" t="str">
        <f ca="1">IFERROR(__xludf.DUMMYFUNCTION("""COMPUTED_VALUE"""),"")</f>
        <v/>
      </c>
      <c r="BI4" s="22" t="str">
        <f ca="1">IFERROR(__xludf.DUMMYFUNCTION("""COMPUTED_VALUE"""),"")</f>
        <v/>
      </c>
      <c r="BJ4" s="22" t="str">
        <f ca="1">IFERROR(__xludf.DUMMYFUNCTION("""COMPUTED_VALUE"""),"")</f>
        <v/>
      </c>
      <c r="BK4" s="22" t="str">
        <f ca="1">IFERROR(__xludf.DUMMYFUNCTION("""COMPUTED_VALUE"""),"")</f>
        <v/>
      </c>
      <c r="BL4" s="22" t="str">
        <f ca="1">IFERROR(__xludf.DUMMYFUNCTION("""COMPUTED_VALUE"""),"")</f>
        <v/>
      </c>
      <c r="BM4" s="22" t="str">
        <f ca="1">IFERROR(__xludf.DUMMYFUNCTION("""COMPUTED_VALUE"""),"")</f>
        <v/>
      </c>
      <c r="BN4" s="22" t="str">
        <f ca="1">IFERROR(__xludf.DUMMYFUNCTION("""COMPUTED_VALUE"""),"")</f>
        <v/>
      </c>
      <c r="BO4" s="22" t="str">
        <f ca="1">IFERROR(__xludf.DUMMYFUNCTION("""COMPUTED_VALUE"""),"")</f>
        <v/>
      </c>
      <c r="BP4" s="22" t="str">
        <f ca="1">IFERROR(__xludf.DUMMYFUNCTION("""COMPUTED_VALUE"""),"")</f>
        <v/>
      </c>
      <c r="BQ4" s="22" t="str">
        <f ca="1">IFERROR(__xludf.DUMMYFUNCTION("""COMPUTED_VALUE"""),"")</f>
        <v/>
      </c>
      <c r="BR4" s="22" t="str">
        <f ca="1">IFERROR(__xludf.DUMMYFUNCTION("""COMPUTED_VALUE"""),"")</f>
        <v/>
      </c>
      <c r="BS4" s="22" t="str">
        <f ca="1">IFERROR(__xludf.DUMMYFUNCTION("""COMPUTED_VALUE"""),"")</f>
        <v/>
      </c>
      <c r="BT4" s="22" t="str">
        <f ca="1">IFERROR(__xludf.DUMMYFUNCTION("""COMPUTED_VALUE"""),"")</f>
        <v/>
      </c>
      <c r="BU4" s="22" t="str">
        <f ca="1">IFERROR(__xludf.DUMMYFUNCTION("""COMPUTED_VALUE"""),"")</f>
        <v/>
      </c>
      <c r="BV4" s="22" t="str">
        <f ca="1">IFERROR(__xludf.DUMMYFUNCTION("""COMPUTED_VALUE"""),"")</f>
        <v/>
      </c>
      <c r="BW4" s="22" t="str">
        <f ca="1">IFERROR(__xludf.DUMMYFUNCTION("""COMPUTED_VALUE"""),"")</f>
        <v/>
      </c>
      <c r="BX4" s="22" t="str">
        <f ca="1">IFERROR(__xludf.DUMMYFUNCTION("""COMPUTED_VALUE"""),"")</f>
        <v/>
      </c>
      <c r="BY4" s="22" t="str">
        <f ca="1">IFERROR(__xludf.DUMMYFUNCTION("""COMPUTED_VALUE"""),"")</f>
        <v/>
      </c>
      <c r="BZ4" s="22" t="str">
        <f ca="1">IFERROR(__xludf.DUMMYFUNCTION("""COMPUTED_VALUE"""),"")</f>
        <v/>
      </c>
      <c r="CA4" s="22" t="str">
        <f ca="1">IFERROR(__xludf.DUMMYFUNCTION("""COMPUTED_VALUE"""),"")</f>
        <v/>
      </c>
      <c r="CB4" s="22" t="str">
        <f ca="1">IFERROR(__xludf.DUMMYFUNCTION("""COMPUTED_VALUE"""),"")</f>
        <v/>
      </c>
      <c r="CC4" s="22" t="str">
        <f ca="1">IFERROR(__xludf.DUMMYFUNCTION("""COMPUTED_VALUE"""),"")</f>
        <v/>
      </c>
      <c r="CD4" s="22" t="str">
        <f ca="1">IFERROR(__xludf.DUMMYFUNCTION("""COMPUTED_VALUE"""),"")</f>
        <v/>
      </c>
      <c r="CE4" s="22" t="str">
        <f ca="1">IFERROR(__xludf.DUMMYFUNCTION("""COMPUTED_VALUE"""),"")</f>
        <v/>
      </c>
      <c r="CF4" s="22" t="str">
        <f ca="1">IFERROR(__xludf.DUMMYFUNCTION("""COMPUTED_VALUE"""),"")</f>
        <v/>
      </c>
      <c r="CG4" s="22" t="str">
        <f ca="1">IFERROR(__xludf.DUMMYFUNCTION("""COMPUTED_VALUE"""),"")</f>
        <v/>
      </c>
      <c r="CH4" s="22" t="str">
        <f ca="1">IFERROR(__xludf.DUMMYFUNCTION("""COMPUTED_VALUE"""),"")</f>
        <v/>
      </c>
      <c r="CI4" s="22" t="str">
        <f ca="1">IFERROR(__xludf.DUMMYFUNCTION("""COMPUTED_VALUE"""),"")</f>
        <v/>
      </c>
      <c r="CJ4" s="22" t="str">
        <f ca="1">IFERROR(__xludf.DUMMYFUNCTION("""COMPUTED_VALUE"""),"")</f>
        <v/>
      </c>
      <c r="CK4" s="22" t="str">
        <f ca="1">IFERROR(__xludf.DUMMYFUNCTION("""COMPUTED_VALUE"""),"")</f>
        <v/>
      </c>
      <c r="CL4" s="22" t="str">
        <f ca="1">IFERROR(__xludf.DUMMYFUNCTION("""COMPUTED_VALUE"""),"")</f>
        <v/>
      </c>
      <c r="CM4" s="22" t="str">
        <f ca="1">IFERROR(__xludf.DUMMYFUNCTION("""COMPUTED_VALUE"""),"")</f>
        <v/>
      </c>
      <c r="CN4" s="22" t="str">
        <f ca="1">IFERROR(__xludf.DUMMYFUNCTION("""COMPUTED_VALUE"""),"")</f>
        <v/>
      </c>
      <c r="CO4" s="22" t="str">
        <f ca="1">IFERROR(__xludf.DUMMYFUNCTION("""COMPUTED_VALUE"""),"")</f>
        <v/>
      </c>
      <c r="CP4" s="22" t="str">
        <f ca="1">IFERROR(__xludf.DUMMYFUNCTION("""COMPUTED_VALUE"""),"")</f>
        <v/>
      </c>
      <c r="CQ4" s="22" t="str">
        <f ca="1">IFERROR(__xludf.DUMMYFUNCTION("""COMPUTED_VALUE"""),"")</f>
        <v/>
      </c>
      <c r="CR4" s="22" t="str">
        <f ca="1">IFERROR(__xludf.DUMMYFUNCTION("""COMPUTED_VALUE"""),"")</f>
        <v/>
      </c>
      <c r="CS4" s="22" t="str">
        <f ca="1">IFERROR(__xludf.DUMMYFUNCTION("""COMPUTED_VALUE"""),"")</f>
        <v/>
      </c>
      <c r="CT4" s="22" t="str">
        <f ca="1">IFERROR(__xludf.DUMMYFUNCTION("""COMPUTED_VALUE"""),"")</f>
        <v/>
      </c>
      <c r="CU4" s="22" t="str">
        <f ca="1">IFERROR(__xludf.DUMMYFUNCTION("""COMPUTED_VALUE"""),"")</f>
        <v/>
      </c>
      <c r="CV4" s="22" t="str">
        <f ca="1">IFERROR(__xludf.DUMMYFUNCTION("""COMPUTED_VALUE"""),"")</f>
        <v/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</row>
    <row r="5" spans="1:153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IFERROR(__xludf.DUMMYFUNCTION("""COMPUTED_VALUE"""),"Select Date")</f>
        <v>Select Date</v>
      </c>
      <c r="C5" s="24" t="str">
        <f ca="1">IFERROR(__xludf.DUMMYFUNCTION("""COMPUTED_VALUE"""),"Copy From")</f>
        <v>Copy From</v>
      </c>
      <c r="D5" s="24" t="str">
        <f ca="1">IFERROR(__xludf.DUMMYFUNCTION("""COMPUTED_VALUE"""),"")</f>
        <v/>
      </c>
      <c r="E5" s="24" t="str">
        <f ca="1">IFERROR(__xludf.DUMMYFUNCTION("""COMPUTED_VALUE"""),"")</f>
        <v/>
      </c>
      <c r="F5" s="24" t="str">
        <f ca="1">IFERROR(__xludf.DUMMYFUNCTION("""COMPUTED_VALUE"""),"")</f>
        <v/>
      </c>
      <c r="G5" s="24" t="str">
        <f ca="1">IFERROR(__xludf.DUMMYFUNCTION("""COMPUTED_VALUE"""),"")</f>
        <v/>
      </c>
      <c r="H5" s="24" t="str">
        <f ca="1">IFERROR(__xludf.DUMMYFUNCTION("""COMPUTED_VALUE"""),"")</f>
        <v/>
      </c>
      <c r="I5" s="24" t="str">
        <f ca="1">IFERROR(__xludf.DUMMYFUNCTION("""COMPUTED_VALUE"""),"")</f>
        <v/>
      </c>
      <c r="J5" s="24" t="str">
        <f ca="1">IFERROR(__xludf.DUMMYFUNCTION("""COMPUTED_VALUE"""),"")</f>
        <v/>
      </c>
      <c r="K5" s="24" t="str">
        <f ca="1">IFERROR(__xludf.DUMMYFUNCTION("""COMPUTED_VALUE"""),"")</f>
        <v/>
      </c>
      <c r="L5" s="24" t="str">
        <f ca="1">IFERROR(__xludf.DUMMYFUNCTION("""COMPUTED_VALUE"""),"")</f>
        <v/>
      </c>
      <c r="M5" s="24" t="str">
        <f ca="1">IFERROR(__xludf.DUMMYFUNCTION("""COMPUTED_VALUE"""),"")</f>
        <v/>
      </c>
      <c r="N5" s="24" t="str">
        <f ca="1">IFERROR(__xludf.DUMMYFUNCTION("""COMPUTED_VALUE"""),"")</f>
        <v/>
      </c>
      <c r="O5" s="24" t="str">
        <f ca="1">IFERROR(__xludf.DUMMYFUNCTION("""COMPUTED_VALUE"""),"")</f>
        <v/>
      </c>
      <c r="P5" s="24" t="str">
        <f ca="1">IFERROR(__xludf.DUMMYFUNCTION("""COMPUTED_VALUE"""),"")</f>
        <v/>
      </c>
      <c r="Q5" s="24" t="str">
        <f ca="1">IFERROR(__xludf.DUMMYFUNCTION("""COMPUTED_VALUE"""),"")</f>
        <v/>
      </c>
      <c r="R5" s="24" t="str">
        <f ca="1">IFERROR(__xludf.DUMMYFUNCTION("""COMPUTED_VALUE"""),"")</f>
        <v/>
      </c>
      <c r="S5" s="24" t="str">
        <f ca="1">IFERROR(__xludf.DUMMYFUNCTION("""COMPUTED_VALUE"""),"")</f>
        <v/>
      </c>
      <c r="T5" s="25" t="str">
        <f ca="1">IFERROR(__xludf.DUMMYFUNCTION("""COMPUTED_VALUE"""),"")</f>
        <v/>
      </c>
      <c r="U5" s="25" t="str">
        <f ca="1">IFERROR(__xludf.DUMMYFUNCTION("""COMPUTED_VALUE"""),"")</f>
        <v/>
      </c>
      <c r="V5" s="25" t="str">
        <f ca="1">IFERROR(__xludf.DUMMYFUNCTION("""COMPUTED_VALUE"""),"")</f>
        <v/>
      </c>
      <c r="W5" s="25" t="str">
        <f ca="1">IFERROR(__xludf.DUMMYFUNCTION("""COMPUTED_VALUE"""),"")</f>
        <v/>
      </c>
      <c r="X5" s="25" t="str">
        <f ca="1">IFERROR(__xludf.DUMMYFUNCTION("""COMPUTED_VALUE"""),"")</f>
        <v/>
      </c>
      <c r="Y5" s="25" t="str">
        <f ca="1">IFERROR(__xludf.DUMMYFUNCTION("""COMPUTED_VALUE"""),"")</f>
        <v/>
      </c>
      <c r="Z5" s="25" t="str">
        <f ca="1">IFERROR(__xludf.DUMMYFUNCTION("""COMPUTED_VALUE"""),"")</f>
        <v/>
      </c>
      <c r="AA5" s="25" t="str">
        <f ca="1">IFERROR(__xludf.DUMMYFUNCTION("""COMPUTED_VALUE"""),"")</f>
        <v/>
      </c>
      <c r="AB5" s="25" t="str">
        <f ca="1">IFERROR(__xludf.DUMMYFUNCTION("""COMPUTED_VALUE"""),"")</f>
        <v/>
      </c>
      <c r="AC5" s="25" t="str">
        <f ca="1">IFERROR(__xludf.DUMMYFUNCTION("""COMPUTED_VALUE"""),"")</f>
        <v/>
      </c>
      <c r="AD5" s="25" t="str">
        <f ca="1">IFERROR(__xludf.DUMMYFUNCTION("""COMPUTED_VALUE"""),"")</f>
        <v/>
      </c>
      <c r="AE5" s="25" t="str">
        <f ca="1">IFERROR(__xludf.DUMMYFUNCTION("""COMPUTED_VALUE"""),"")</f>
        <v/>
      </c>
      <c r="AF5" s="25" t="str">
        <f ca="1">IFERROR(__xludf.DUMMYFUNCTION("""COMPUTED_VALUE"""),"")</f>
        <v/>
      </c>
      <c r="AG5" s="25" t="str">
        <f ca="1">IFERROR(__xludf.DUMMYFUNCTION("""COMPUTED_VALUE"""),"")</f>
        <v/>
      </c>
      <c r="AH5" s="25" t="str">
        <f ca="1">IFERROR(__xludf.DUMMYFUNCTION("""COMPUTED_VALUE"""),"")</f>
        <v/>
      </c>
      <c r="AI5" s="25" t="str">
        <f ca="1">IFERROR(__xludf.DUMMYFUNCTION("""COMPUTED_VALUE"""),"")</f>
        <v/>
      </c>
      <c r="AJ5" s="25" t="str">
        <f ca="1">IFERROR(__xludf.DUMMYFUNCTION("""COMPUTED_VALUE"""),"")</f>
        <v/>
      </c>
      <c r="AK5" s="25" t="str">
        <f ca="1">IFERROR(__xludf.DUMMYFUNCTION("""COMPUTED_VALUE"""),"")</f>
        <v/>
      </c>
      <c r="AL5" s="25" t="str">
        <f ca="1">IFERROR(__xludf.DUMMYFUNCTION("""COMPUTED_VALUE"""),"")</f>
        <v/>
      </c>
      <c r="AM5" s="25" t="str">
        <f ca="1">IFERROR(__xludf.DUMMYFUNCTION("""COMPUTED_VALUE"""),"")</f>
        <v/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</row>
    <row r="6" spans="1:153" ht="15.75" customHeight="1">
      <c r="A6" s="3"/>
      <c r="B6" s="28">
        <f ca="1">TODAY()-1</f>
        <v>44411</v>
      </c>
      <c r="C6" s="28">
        <f ca="1">TODAY()</f>
        <v>44412</v>
      </c>
    </row>
    <row r="7" spans="1:153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3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3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3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3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3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3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3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3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3"/>
      <c r="B2" s="3"/>
      <c r="C2" s="3"/>
      <c r="D2" s="3"/>
      <c r="E2" s="3"/>
      <c r="F2" s="3"/>
      <c r="G2" s="3"/>
      <c r="H2" s="3"/>
      <c r="I2" s="3"/>
      <c r="J2" s="15" t="e">
        <f ca="1">VLOOKUP($E$3,_MasterData!B4:D1000,3,FALSE)</f>
        <v>#N/A</v>
      </c>
      <c r="K2" s="16"/>
      <c r="L2" s="3"/>
      <c r="M2" s="3"/>
      <c r="N2" s="3"/>
      <c r="O2" s="3"/>
    </row>
    <row r="3" spans="1:153" ht="15.75" customHeight="1">
      <c r="A3" s="17"/>
      <c r="B3" s="4" t="s">
        <v>3</v>
      </c>
      <c r="C3" s="18" t="s">
        <v>29</v>
      </c>
      <c r="D3" s="4" t="s">
        <v>7</v>
      </c>
      <c r="E3" s="18" t="s">
        <v>31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IFERROR(__xludf.DUMMYFUNCTION("IF(C3="""","""",Transpose(IMPORTRANGE('_Settings'!$B$3,C3&amp;""!A4:A1000"")))"),"UpdateBeta")</f>
        <v>UpdateBeta</v>
      </c>
      <c r="C4" s="21" t="str">
        <f ca="1">IFERROR(__xludf.DUMMYFUNCTION("""COMPUTED_VALUE"""),"UpdateDailyCash")</f>
        <v>UpdateDailyCash</v>
      </c>
      <c r="D4" s="21" t="str">
        <f ca="1">IFERROR(__xludf.DUMMYFUNCTION("""COMPUTED_VALUE"""),"UpdateForexConversion")</f>
        <v>UpdateForexConversion</v>
      </c>
      <c r="E4" s="21" t="str">
        <f ca="1">IFERROR(__xludf.DUMMYFUNCTION("""COMPUTED_VALUE"""),"UpdateMarkPrice")</f>
        <v>UpdateMarkPrice</v>
      </c>
      <c r="F4" s="21" t="str">
        <f ca="1">IFERROR(__xludf.DUMMYFUNCTION("""COMPUTED_VALUE"""),"CleanUp")</f>
        <v>CleanUp</v>
      </c>
      <c r="G4" s="21" t="str">
        <f ca="1">IFERROR(__xludf.DUMMYFUNCTION("""COMPUTED_VALUE"""),"GetMarkPriceData")</f>
        <v>GetMarkPriceData</v>
      </c>
      <c r="H4" s="21" t="str">
        <f ca="1">IFERROR(__xludf.DUMMYFUNCTION("""COMPUTED_VALUE"""),"GetForwardPoints")</f>
        <v>GetForwardPoints</v>
      </c>
      <c r="I4" s="21" t="str">
        <f ca="1">IFERROR(__xludf.DUMMYFUNCTION("""COMPUTED_VALUE"""),"UpdateForwardPoints")</f>
        <v>UpdateForwardPoints</v>
      </c>
      <c r="J4" s="21" t="str">
        <f ca="1">IFERROR(__xludf.DUMMYFUNCTION("""COMPUTED_VALUE"""),"GetForexConversion")</f>
        <v>GetForexConversion</v>
      </c>
      <c r="K4" s="21" t="str">
        <f ca="1">IFERROR(__xludf.DUMMYFUNCTION("""COMPUTED_VALUE"""),"DeleteNAV")</f>
        <v>DeleteNAV</v>
      </c>
      <c r="L4" s="21" t="str">
        <f ca="1">IFERROR(__xludf.DUMMYFUNCTION("""COMPUTED_VALUE"""),"GetDailyCash")</f>
        <v>GetDailyCash</v>
      </c>
      <c r="M4" s="21" t="str">
        <f ca="1">IFERROR(__xludf.DUMMYFUNCTION("""COMPUTED_VALUE"""),"GetDailyBeta")</f>
        <v>GetDailyBeta</v>
      </c>
      <c r="N4" s="21" t="str">
        <f ca="1">IFERROR(__xludf.DUMMYFUNCTION("""COMPUTED_VALUE"""),"GetDailyVolatility")</f>
        <v>GetDailyVolatility</v>
      </c>
      <c r="O4" s="21" t="str">
        <f ca="1">IFERROR(__xludf.DUMMYFUNCTION("""COMPUTED_VALUE"""),"GetDailyDividendYield")</f>
        <v>GetDailyDividendYield</v>
      </c>
      <c r="P4" s="22" t="str">
        <f ca="1">IFERROR(__xludf.DUMMYFUNCTION("""COMPUTED_VALUE"""),"GetDailyTradingVolume")</f>
        <v>GetDailyTradingVolume</v>
      </c>
      <c r="Q4" s="22" t="str">
        <f ca="1">IFERROR(__xludf.DUMMYFUNCTION("""COMPUTED_VALUE"""),"GetDailyOutstandings")</f>
        <v>GetDailyOutstandings</v>
      </c>
      <c r="R4" s="22" t="str">
        <f ca="1">IFERROR(__xludf.DUMMYFUNCTION("""COMPUTED_VALUE"""),"GetDailyDelta")</f>
        <v>GetDailyDelta</v>
      </c>
      <c r="S4" s="22" t="str">
        <f ca="1">IFERROR(__xludf.DUMMYFUNCTION("""COMPUTED_VALUE"""),"UpdateDailyVolatility")</f>
        <v>UpdateDailyVolatility</v>
      </c>
      <c r="T4" s="22" t="str">
        <f ca="1">IFERROR(__xludf.DUMMYFUNCTION("""COMPUTED_VALUE"""),"UpdateDividendYield")</f>
        <v>UpdateDividendYield</v>
      </c>
      <c r="U4" s="22" t="str">
        <f ca="1">IFERROR(__xludf.DUMMYFUNCTION("""COMPUTED_VALUE"""),"UpdateTradingVolume")</f>
        <v>UpdateTradingVolume</v>
      </c>
      <c r="V4" s="22" t="str">
        <f ca="1">IFERROR(__xludf.DUMMYFUNCTION("""COMPUTED_VALUE"""),"UpdateDailyDelta")</f>
        <v>UpdateDailyDelta</v>
      </c>
      <c r="W4" s="22" t="str">
        <f ca="1">IFERROR(__xludf.DUMMYFUNCTION("""COMPUTED_VALUE"""),"UpdateDailyOutstandings")</f>
        <v>UpdateDailyOutstandings</v>
      </c>
      <c r="X4" s="22" t="str">
        <f ca="1">IFERROR(__xludf.DUMMYFUNCTION("""COMPUTED_VALUE"""),"UpdateBeta")</f>
        <v>UpdateBeta</v>
      </c>
      <c r="Y4" s="22" t="str">
        <f ca="1">IFERROR(__xludf.DUMMYFUNCTION("""COMPUTED_VALUE"""),"UpdateNAV")</f>
        <v>UpdateNAV</v>
      </c>
      <c r="Z4" s="22" t="str">
        <f ca="1">IFERROR(__xludf.DUMMYFUNCTION("""COMPUTED_VALUE"""),"UpdateDailyCash")</f>
        <v>UpdateDailyCash</v>
      </c>
      <c r="AA4" s="22" t="str">
        <f ca="1">IFERROR(__xludf.DUMMYFUNCTION("""COMPUTED_VALUE"""),"UpdateDailyCreditLimt")</f>
        <v>UpdateDailyCreditLimt</v>
      </c>
      <c r="AB4" s="22" t="str">
        <f ca="1">IFERROR(__xludf.DUMMYFUNCTION("""COMPUTED_VALUE"""),"RemoveDailyCreditLimit")</f>
        <v>RemoveDailyCreditLimit</v>
      </c>
      <c r="AC4" s="22" t="str">
        <f ca="1">IFERROR(__xludf.DUMMYFUNCTION("""COMPUTED_VALUE"""),"RemoveDailyCash")</f>
        <v>RemoveDailyCash</v>
      </c>
      <c r="AD4" s="22" t="str">
        <f ca="1">IFERROR(__xludf.DUMMYFUNCTION("""COMPUTED_VALUE"""),"RemoveNAV")</f>
        <v>RemoveNAV</v>
      </c>
      <c r="AE4" s="22" t="str">
        <f ca="1">IFERROR(__xludf.DUMMYFUNCTION("""COMPUTED_VALUE"""),"UpdateForexConversionMonthly")</f>
        <v>UpdateForexConversionMonthly</v>
      </c>
      <c r="AF4" s="22" t="str">
        <f ca="1">IFERROR(__xludf.DUMMYFUNCTION("""COMPUTED_VALUE"""),"UpdateMarkPriceMonthly")</f>
        <v>UpdateMarkPriceMonthly</v>
      </c>
      <c r="AG4" s="22" t="str">
        <f ca="1">IFERROR(__xludf.DUMMYFUNCTION("""COMPUTED_VALUE"""),"")</f>
        <v/>
      </c>
      <c r="AH4" s="22" t="str">
        <f ca="1">IFERROR(__xludf.DUMMYFUNCTION("""COMPUTED_VALUE"""),"")</f>
        <v/>
      </c>
      <c r="AI4" s="22" t="str">
        <f ca="1">IFERROR(__xludf.DUMMYFUNCTION("""COMPUTED_VALUE"""),"")</f>
        <v/>
      </c>
      <c r="AJ4" s="22" t="str">
        <f ca="1">IFERROR(__xludf.DUMMYFUNCTION("""COMPUTED_VALUE"""),"")</f>
        <v/>
      </c>
      <c r="AK4" s="22" t="str">
        <f ca="1">IFERROR(__xludf.DUMMYFUNCTION("""COMPUTED_VALUE"""),"")</f>
        <v/>
      </c>
      <c r="AL4" s="22" t="str">
        <f ca="1">IFERROR(__xludf.DUMMYFUNCTION("""COMPUTED_VALUE"""),"")</f>
        <v/>
      </c>
      <c r="AM4" s="22" t="str">
        <f ca="1">IFERROR(__xludf.DUMMYFUNCTION("""COMPUTED_VALUE"""),"")</f>
        <v/>
      </c>
      <c r="AN4" s="22" t="str">
        <f ca="1">IFERROR(__xludf.DUMMYFUNCTION("""COMPUTED_VALUE"""),"")</f>
        <v/>
      </c>
      <c r="AO4" s="22" t="str">
        <f ca="1">IFERROR(__xludf.DUMMYFUNCTION("""COMPUTED_VALUE"""),"")</f>
        <v/>
      </c>
      <c r="AP4" s="22" t="str">
        <f ca="1">IFERROR(__xludf.DUMMYFUNCTION("""COMPUTED_VALUE"""),"")</f>
        <v/>
      </c>
      <c r="AQ4" s="22" t="str">
        <f ca="1">IFERROR(__xludf.DUMMYFUNCTION("""COMPUTED_VALUE"""),"")</f>
        <v/>
      </c>
      <c r="AR4" s="22" t="str">
        <f ca="1">IFERROR(__xludf.DUMMYFUNCTION("""COMPUTED_VALUE"""),"")</f>
        <v/>
      </c>
      <c r="AS4" s="22" t="str">
        <f ca="1">IFERROR(__xludf.DUMMYFUNCTION("""COMPUTED_VALUE"""),"")</f>
        <v/>
      </c>
      <c r="AT4" s="22" t="str">
        <f ca="1">IFERROR(__xludf.DUMMYFUNCTION("""COMPUTED_VALUE"""),"")</f>
        <v/>
      </c>
      <c r="AU4" s="22" t="str">
        <f ca="1">IFERROR(__xludf.DUMMYFUNCTION("""COMPUTED_VALUE"""),"")</f>
        <v/>
      </c>
      <c r="AV4" s="22" t="str">
        <f ca="1">IFERROR(__xludf.DUMMYFUNCTION("""COMPUTED_VALUE"""),"")</f>
        <v/>
      </c>
      <c r="AW4" s="22" t="str">
        <f ca="1">IFERROR(__xludf.DUMMYFUNCTION("""COMPUTED_VALUE"""),"")</f>
        <v/>
      </c>
      <c r="AX4" s="22" t="str">
        <f ca="1">IFERROR(__xludf.DUMMYFUNCTION("""COMPUTED_VALUE"""),"")</f>
        <v/>
      </c>
      <c r="AY4" s="22" t="str">
        <f ca="1">IFERROR(__xludf.DUMMYFUNCTION("""COMPUTED_VALUE"""),"")</f>
        <v/>
      </c>
      <c r="AZ4" s="22" t="str">
        <f ca="1">IFERROR(__xludf.DUMMYFUNCTION("""COMPUTED_VALUE"""),"")</f>
        <v/>
      </c>
      <c r="BA4" s="22" t="str">
        <f ca="1">IFERROR(__xludf.DUMMYFUNCTION("""COMPUTED_VALUE"""),"")</f>
        <v/>
      </c>
      <c r="BB4" s="22" t="str">
        <f ca="1">IFERROR(__xludf.DUMMYFUNCTION("""COMPUTED_VALUE"""),"")</f>
        <v/>
      </c>
      <c r="BC4" s="22" t="str">
        <f ca="1">IFERROR(__xludf.DUMMYFUNCTION("""COMPUTED_VALUE"""),"")</f>
        <v/>
      </c>
      <c r="BD4" s="22" t="str">
        <f ca="1">IFERROR(__xludf.DUMMYFUNCTION("""COMPUTED_VALUE"""),"")</f>
        <v/>
      </c>
      <c r="BE4" s="22" t="str">
        <f ca="1">IFERROR(__xludf.DUMMYFUNCTION("""COMPUTED_VALUE"""),"")</f>
        <v/>
      </c>
      <c r="BF4" s="22" t="str">
        <f ca="1">IFERROR(__xludf.DUMMYFUNCTION("""COMPUTED_VALUE"""),"")</f>
        <v/>
      </c>
      <c r="BG4" s="22" t="str">
        <f ca="1">IFERROR(__xludf.DUMMYFUNCTION("""COMPUTED_VALUE"""),"")</f>
        <v/>
      </c>
      <c r="BH4" s="22" t="str">
        <f ca="1">IFERROR(__xludf.DUMMYFUNCTION("""COMPUTED_VALUE"""),"")</f>
        <v/>
      </c>
      <c r="BI4" s="22" t="str">
        <f ca="1">IFERROR(__xludf.DUMMYFUNCTION("""COMPUTED_VALUE"""),"")</f>
        <v/>
      </c>
      <c r="BJ4" s="22" t="str">
        <f ca="1">IFERROR(__xludf.DUMMYFUNCTION("""COMPUTED_VALUE"""),"")</f>
        <v/>
      </c>
      <c r="BK4" s="22" t="str">
        <f ca="1">IFERROR(__xludf.DUMMYFUNCTION("""COMPUTED_VALUE"""),"")</f>
        <v/>
      </c>
      <c r="BL4" s="22" t="str">
        <f ca="1">IFERROR(__xludf.DUMMYFUNCTION("""COMPUTED_VALUE"""),"")</f>
        <v/>
      </c>
      <c r="BM4" s="22" t="str">
        <f ca="1">IFERROR(__xludf.DUMMYFUNCTION("""COMPUTED_VALUE"""),"")</f>
        <v/>
      </c>
      <c r="BN4" s="22" t="str">
        <f ca="1">IFERROR(__xludf.DUMMYFUNCTION("""COMPUTED_VALUE"""),"")</f>
        <v/>
      </c>
      <c r="BO4" s="22" t="str">
        <f ca="1">IFERROR(__xludf.DUMMYFUNCTION("""COMPUTED_VALUE"""),"")</f>
        <v/>
      </c>
      <c r="BP4" s="22" t="str">
        <f ca="1">IFERROR(__xludf.DUMMYFUNCTION("""COMPUTED_VALUE"""),"")</f>
        <v/>
      </c>
      <c r="BQ4" s="22" t="str">
        <f ca="1">IFERROR(__xludf.DUMMYFUNCTION("""COMPUTED_VALUE"""),"")</f>
        <v/>
      </c>
      <c r="BR4" s="22" t="str">
        <f ca="1">IFERROR(__xludf.DUMMYFUNCTION("""COMPUTED_VALUE"""),"")</f>
        <v/>
      </c>
      <c r="BS4" s="22" t="str">
        <f ca="1">IFERROR(__xludf.DUMMYFUNCTION("""COMPUTED_VALUE"""),"")</f>
        <v/>
      </c>
      <c r="BT4" s="22" t="str">
        <f ca="1">IFERROR(__xludf.DUMMYFUNCTION("""COMPUTED_VALUE"""),"")</f>
        <v/>
      </c>
      <c r="BU4" s="22" t="str">
        <f ca="1">IFERROR(__xludf.DUMMYFUNCTION("""COMPUTED_VALUE"""),"")</f>
        <v/>
      </c>
      <c r="BV4" s="22" t="str">
        <f ca="1">IFERROR(__xludf.DUMMYFUNCTION("""COMPUTED_VALUE"""),"")</f>
        <v/>
      </c>
      <c r="BW4" s="22" t="str">
        <f ca="1">IFERROR(__xludf.DUMMYFUNCTION("""COMPUTED_VALUE"""),"")</f>
        <v/>
      </c>
      <c r="BX4" s="22" t="str">
        <f ca="1">IFERROR(__xludf.DUMMYFUNCTION("""COMPUTED_VALUE"""),"")</f>
        <v/>
      </c>
      <c r="BY4" s="22" t="str">
        <f ca="1">IFERROR(__xludf.DUMMYFUNCTION("""COMPUTED_VALUE"""),"")</f>
        <v/>
      </c>
      <c r="BZ4" s="22" t="str">
        <f ca="1">IFERROR(__xludf.DUMMYFUNCTION("""COMPUTED_VALUE"""),"")</f>
        <v/>
      </c>
      <c r="CA4" s="22" t="str">
        <f ca="1">IFERROR(__xludf.DUMMYFUNCTION("""COMPUTED_VALUE"""),"")</f>
        <v/>
      </c>
      <c r="CB4" s="22" t="str">
        <f ca="1">IFERROR(__xludf.DUMMYFUNCTION("""COMPUTED_VALUE"""),"")</f>
        <v/>
      </c>
      <c r="CC4" s="22" t="str">
        <f ca="1">IFERROR(__xludf.DUMMYFUNCTION("""COMPUTED_VALUE"""),"")</f>
        <v/>
      </c>
      <c r="CD4" s="22" t="str">
        <f ca="1">IFERROR(__xludf.DUMMYFUNCTION("""COMPUTED_VALUE"""),"")</f>
        <v/>
      </c>
      <c r="CE4" s="22" t="str">
        <f ca="1">IFERROR(__xludf.DUMMYFUNCTION("""COMPUTED_VALUE"""),"")</f>
        <v/>
      </c>
      <c r="CF4" s="22" t="str">
        <f ca="1">IFERROR(__xludf.DUMMYFUNCTION("""COMPUTED_VALUE"""),"")</f>
        <v/>
      </c>
      <c r="CG4" s="22" t="str">
        <f ca="1">IFERROR(__xludf.DUMMYFUNCTION("""COMPUTED_VALUE"""),"")</f>
        <v/>
      </c>
      <c r="CH4" s="22" t="str">
        <f ca="1">IFERROR(__xludf.DUMMYFUNCTION("""COMPUTED_VALUE"""),"")</f>
        <v/>
      </c>
      <c r="CI4" s="22" t="str">
        <f ca="1">IFERROR(__xludf.DUMMYFUNCTION("""COMPUTED_VALUE"""),"")</f>
        <v/>
      </c>
      <c r="CJ4" s="22" t="str">
        <f ca="1">IFERROR(__xludf.DUMMYFUNCTION("""COMPUTED_VALUE"""),"")</f>
        <v/>
      </c>
      <c r="CK4" s="22" t="str">
        <f ca="1">IFERROR(__xludf.DUMMYFUNCTION("""COMPUTED_VALUE"""),"")</f>
        <v/>
      </c>
      <c r="CL4" s="22" t="str">
        <f ca="1">IFERROR(__xludf.DUMMYFUNCTION("""COMPUTED_VALUE"""),"")</f>
        <v/>
      </c>
      <c r="CM4" s="22" t="str">
        <f ca="1">IFERROR(__xludf.DUMMYFUNCTION("""COMPUTED_VALUE"""),"")</f>
        <v/>
      </c>
      <c r="CN4" s="22" t="str">
        <f ca="1">IFERROR(__xludf.DUMMYFUNCTION("""COMPUTED_VALUE"""),"")</f>
        <v/>
      </c>
      <c r="CO4" s="22" t="str">
        <f ca="1">IFERROR(__xludf.DUMMYFUNCTION("""COMPUTED_VALUE"""),"")</f>
        <v/>
      </c>
      <c r="CP4" s="22" t="str">
        <f ca="1">IFERROR(__xludf.DUMMYFUNCTION("""COMPUTED_VALUE"""),"")</f>
        <v/>
      </c>
      <c r="CQ4" s="22" t="str">
        <f ca="1">IFERROR(__xludf.DUMMYFUNCTION("""COMPUTED_VALUE"""),"")</f>
        <v/>
      </c>
      <c r="CR4" s="22" t="str">
        <f ca="1">IFERROR(__xludf.DUMMYFUNCTION("""COMPUTED_VALUE"""),"")</f>
        <v/>
      </c>
      <c r="CS4" s="22" t="str">
        <f ca="1">IFERROR(__xludf.DUMMYFUNCTION("""COMPUTED_VALUE"""),"")</f>
        <v/>
      </c>
      <c r="CT4" s="22" t="str">
        <f ca="1">IFERROR(__xludf.DUMMYFUNCTION("""COMPUTED_VALUE"""),"")</f>
        <v/>
      </c>
      <c r="CU4" s="22" t="str">
        <f ca="1">IFERROR(__xludf.DUMMYFUNCTION("""COMPUTED_VALUE"""),"")</f>
        <v/>
      </c>
      <c r="CV4" s="22" t="str">
        <f ca="1">IFERROR(__xludf.DUMMYFUNCTION("""COMPUTED_VALUE"""),"")</f>
        <v/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</row>
    <row r="5" spans="1:153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IFERROR(__xludf.DUMMYFUNCTION("""COMPUTED_VALUE"""),"Account")</f>
        <v>Account</v>
      </c>
      <c r="C5" s="24" t="str">
        <f ca="1">IFERROR(__xludf.DUMMYFUNCTION("""COMPUTED_VALUE"""),"Local Currency")</f>
        <v>Local Currency</v>
      </c>
      <c r="D5" s="24" t="str">
        <f ca="1">IFERROR(__xludf.DUMMYFUNCTION("""COMPUTED_VALUE"""),"Cash Value Local")</f>
        <v>Cash Value Local</v>
      </c>
      <c r="E5" s="24" t="str">
        <f ca="1">IFERROR(__xludf.DUMMYFUNCTION("""COMPUTED_VALUE"""),"")</f>
        <v/>
      </c>
      <c r="F5" s="24" t="str">
        <f ca="1">IFERROR(__xludf.DUMMYFUNCTION("""COMPUTED_VALUE"""),"")</f>
        <v/>
      </c>
      <c r="G5" s="24" t="str">
        <f ca="1">IFERROR(__xludf.DUMMYFUNCTION("""COMPUTED_VALUE"""),"")</f>
        <v/>
      </c>
      <c r="H5" s="24" t="str">
        <f ca="1">IFERROR(__xludf.DUMMYFUNCTION("""COMPUTED_VALUE"""),"")</f>
        <v/>
      </c>
      <c r="I5" s="24" t="str">
        <f ca="1">IFERROR(__xludf.DUMMYFUNCTION("""COMPUTED_VALUE"""),"")</f>
        <v/>
      </c>
      <c r="J5" s="24" t="str">
        <f ca="1">IFERROR(__xludf.DUMMYFUNCTION("""COMPUTED_VALUE"""),"")</f>
        <v/>
      </c>
      <c r="K5" s="24" t="str">
        <f ca="1">IFERROR(__xludf.DUMMYFUNCTION("""COMPUTED_VALUE"""),"")</f>
        <v/>
      </c>
      <c r="L5" s="24" t="str">
        <f ca="1">IFERROR(__xludf.DUMMYFUNCTION("""COMPUTED_VALUE"""),"")</f>
        <v/>
      </c>
      <c r="M5" s="24" t="str">
        <f ca="1">IFERROR(__xludf.DUMMYFUNCTION("""COMPUTED_VALUE"""),"")</f>
        <v/>
      </c>
      <c r="N5" s="24" t="str">
        <f ca="1">IFERROR(__xludf.DUMMYFUNCTION("""COMPUTED_VALUE"""),"")</f>
        <v/>
      </c>
      <c r="O5" s="24" t="str">
        <f ca="1">IFERROR(__xludf.DUMMYFUNCTION("""COMPUTED_VALUE"""),"")</f>
        <v/>
      </c>
      <c r="P5" s="24" t="str">
        <f ca="1">IFERROR(__xludf.DUMMYFUNCTION("""COMPUTED_VALUE"""),"")</f>
        <v/>
      </c>
      <c r="Q5" s="24" t="str">
        <f ca="1">IFERROR(__xludf.DUMMYFUNCTION("""COMPUTED_VALUE"""),"")</f>
        <v/>
      </c>
      <c r="R5" s="24" t="str">
        <f ca="1">IFERROR(__xludf.DUMMYFUNCTION("""COMPUTED_VALUE"""),"")</f>
        <v/>
      </c>
      <c r="S5" s="24" t="str">
        <f ca="1">IFERROR(__xludf.DUMMYFUNCTION("""COMPUTED_VALUE"""),"")</f>
        <v/>
      </c>
      <c r="T5" s="25" t="str">
        <f ca="1">IFERROR(__xludf.DUMMYFUNCTION("""COMPUTED_VALUE"""),"")</f>
        <v/>
      </c>
      <c r="U5" s="25" t="str">
        <f ca="1">IFERROR(__xludf.DUMMYFUNCTION("""COMPUTED_VALUE"""),"")</f>
        <v/>
      </c>
      <c r="V5" s="25" t="str">
        <f ca="1">IFERROR(__xludf.DUMMYFUNCTION("""COMPUTED_VALUE"""),"")</f>
        <v/>
      </c>
      <c r="W5" s="25" t="str">
        <f ca="1">IFERROR(__xludf.DUMMYFUNCTION("""COMPUTED_VALUE"""),"")</f>
        <v/>
      </c>
      <c r="X5" s="25" t="str">
        <f ca="1">IFERROR(__xludf.DUMMYFUNCTION("""COMPUTED_VALUE"""),"")</f>
        <v/>
      </c>
      <c r="Y5" s="25" t="str">
        <f ca="1">IFERROR(__xludf.DUMMYFUNCTION("""COMPUTED_VALUE"""),"")</f>
        <v/>
      </c>
      <c r="Z5" s="25" t="str">
        <f ca="1">IFERROR(__xludf.DUMMYFUNCTION("""COMPUTED_VALUE"""),"")</f>
        <v/>
      </c>
      <c r="AA5" s="25" t="str">
        <f ca="1">IFERROR(__xludf.DUMMYFUNCTION("""COMPUTED_VALUE"""),"")</f>
        <v/>
      </c>
      <c r="AB5" s="25" t="str">
        <f ca="1">IFERROR(__xludf.DUMMYFUNCTION("""COMPUTED_VALUE"""),"")</f>
        <v/>
      </c>
      <c r="AC5" s="25" t="str">
        <f ca="1">IFERROR(__xludf.DUMMYFUNCTION("""COMPUTED_VALUE"""),"")</f>
        <v/>
      </c>
      <c r="AD5" s="25" t="str">
        <f ca="1">IFERROR(__xludf.DUMMYFUNCTION("""COMPUTED_VALUE"""),"")</f>
        <v/>
      </c>
      <c r="AE5" s="25" t="str">
        <f ca="1">IFERROR(__xludf.DUMMYFUNCTION("""COMPUTED_VALUE"""),"")</f>
        <v/>
      </c>
      <c r="AF5" s="25" t="str">
        <f ca="1">IFERROR(__xludf.DUMMYFUNCTION("""COMPUTED_VALUE"""),"")</f>
        <v/>
      </c>
      <c r="AG5" s="25" t="str">
        <f ca="1">IFERROR(__xludf.DUMMYFUNCTION("""COMPUTED_VALUE"""),"")</f>
        <v/>
      </c>
      <c r="AH5" s="25" t="str">
        <f ca="1">IFERROR(__xludf.DUMMYFUNCTION("""COMPUTED_VALUE"""),"")</f>
        <v/>
      </c>
      <c r="AI5" s="25" t="str">
        <f ca="1">IFERROR(__xludf.DUMMYFUNCTION("""COMPUTED_VALUE"""),"")</f>
        <v/>
      </c>
      <c r="AJ5" s="25" t="str">
        <f ca="1">IFERROR(__xludf.DUMMYFUNCTION("""COMPUTED_VALUE"""),"")</f>
        <v/>
      </c>
      <c r="AK5" s="25" t="str">
        <f ca="1">IFERROR(__xludf.DUMMYFUNCTION("""COMPUTED_VALUE"""),"")</f>
        <v/>
      </c>
      <c r="AL5" s="25" t="str">
        <f ca="1">IFERROR(__xludf.DUMMYFUNCTION("""COMPUTED_VALUE"""),"")</f>
        <v/>
      </c>
      <c r="AM5" s="25" t="str">
        <f ca="1">IFERROR(__xludf.DUMMYFUNCTION("""COMPUTED_VALUE"""),"")</f>
        <v/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</row>
    <row r="6" spans="1:153" ht="15.75" customHeight="1">
      <c r="A6" s="3"/>
      <c r="B6" s="26" t="s">
        <v>32</v>
      </c>
      <c r="C6" s="26" t="s">
        <v>33</v>
      </c>
      <c r="D6" s="26">
        <v>71218</v>
      </c>
    </row>
    <row r="7" spans="1:153" ht="15.75" customHeight="1">
      <c r="A7" s="3"/>
      <c r="B7" s="8" t="s">
        <v>34</v>
      </c>
      <c r="C7" s="8" t="s">
        <v>33</v>
      </c>
      <c r="D7" s="8">
        <v>14894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3" ht="15.75" customHeight="1">
      <c r="A8" s="3"/>
      <c r="B8" s="8" t="s">
        <v>35</v>
      </c>
      <c r="C8" s="8" t="s">
        <v>33</v>
      </c>
      <c r="D8" s="8">
        <v>35679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3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3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3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3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3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3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3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19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3"/>
      <c r="B2" s="3"/>
      <c r="C2" s="3"/>
      <c r="D2" s="3"/>
      <c r="E2" s="3"/>
      <c r="F2" s="3"/>
      <c r="G2" s="3"/>
      <c r="H2" s="3"/>
      <c r="I2" s="3"/>
      <c r="J2" s="15" t="str">
        <f ca="1">VLOOKUP($E$3,_MasterData!B4:D1000,3,FALSE)</f>
        <v>1c7aP-E18Fb8lEVGiXac03BLoNVdUNRzodD2Xjn-9pzU</v>
      </c>
      <c r="K2" s="16"/>
      <c r="L2" s="3"/>
      <c r="M2" s="3"/>
      <c r="N2" s="3"/>
      <c r="O2" s="3"/>
    </row>
    <row r="3" spans="1:153" ht="15.75" customHeight="1">
      <c r="A3" s="17"/>
      <c r="B3" s="4" t="s">
        <v>3</v>
      </c>
      <c r="C3" s="18" t="s">
        <v>36</v>
      </c>
      <c r="D3" s="4" t="s">
        <v>7</v>
      </c>
      <c r="E3" s="18" t="s">
        <v>37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tr">
        <f ca="1">IFERROR(__xludf.DUMMYFUNCTION("""COMPUTED_VALUE"""),"CheckAllocatedGroups")</f>
        <v>CheckAllocatedGroups</v>
      </c>
      <c r="D4" s="21" t="str">
        <f ca="1">IFERROR(__xludf.DUMMYFUNCTION("""COMPUTED_VALUE"""),"Unallocate")</f>
        <v>Unallocate</v>
      </c>
      <c r="E4" s="21" t="str">
        <f ca="1">IFERROR(__xludf.DUMMYFUNCTION("""COMPUTED_VALUE"""),"GetDataAllocation")</f>
        <v>GetDataAllocation</v>
      </c>
      <c r="F4" s="21" t="str">
        <f ca="1">IFERROR(__xludf.DUMMYFUNCTION("""COMPUTED_VALUE"""),"SelectAllocatedGroup")</f>
        <v>SelectAllocatedGroup</v>
      </c>
      <c r="G4" s="21" t="str">
        <f ca="1">IFERROR(__xludf.DUMMYFUNCTION("""COMPUTED_VALUE"""),"EditTradesAllocated")</f>
        <v>EditTradesAllocated</v>
      </c>
      <c r="H4" s="21" t="str">
        <f ca="1">IFERROR(__xludf.DUMMYFUNCTION("""COMPUTED_VALUE"""),"EditTradesUnallocated")</f>
        <v>EditTradesUnallocated</v>
      </c>
      <c r="I4" s="21" t="str">
        <f ca="1">IFERROR(__xludf.DUMMYFUNCTION("""COMPUTED_VALUE"""),"Reallocate")</f>
        <v>Reallocate</v>
      </c>
      <c r="J4" s="21" t="str">
        <f ca="1">IFERROR(__xludf.DUMMYFUNCTION("""COMPUTED_VALUE"""),"EditUnallocatedGroupSidePanel")</f>
        <v>EditUnallocatedGroupSidePanel</v>
      </c>
      <c r="K4" s="21" t="str">
        <f ca="1">IFERROR(__xludf.DUMMYFUNCTION("""COMPUTED_VALUE"""),"TradeAttributeBulkChange")</f>
        <v>TradeAttributeBulkChange</v>
      </c>
      <c r="L4" s="21" t="str">
        <f ca="1">IFERROR(__xludf.DUMMYFUNCTION("""COMPUTED_VALUE"""),"ApplyBulkUpdateOnGroups")</f>
        <v>ApplyBulkUpdateOnGroups</v>
      </c>
      <c r="M4" s="21" t="str">
        <f ca="1">IFERROR(__xludf.DUMMYFUNCTION("""COMPUTED_VALUE"""),"ApplyPrefetchFilters")</f>
        <v>ApplyPrefetchFilters</v>
      </c>
      <c r="N4" s="21" t="str">
        <f ca="1">IFERROR(__xludf.DUMMYFUNCTION("""COMPUTED_VALUE"""),"GeneralPreferencesDefaultRule")</f>
        <v>GeneralPreferencesDefaultRule</v>
      </c>
      <c r="O4" s="21" t="str">
        <f ca="1">IFERROR(__xludf.DUMMYFUNCTION("""COMPUTED_VALUE"""),"GeneralPrefCompanyUserWise")</f>
        <v>GeneralPrefCompanyUserWise</v>
      </c>
      <c r="P4" s="22" t="str">
        <f ca="1">IFERROR(__xludf.DUMMYFUNCTION("""COMPUTED_VALUE"""),"RenameTradeAttributes")</f>
        <v>RenameTradeAttributes</v>
      </c>
      <c r="Q4" s="22" t="str">
        <f ca="1">IFERROR(__xludf.DUMMYFUNCTION("""COMPUTED_VALUE"""),"SetGroupingRules")</f>
        <v>SetGroupingRules</v>
      </c>
      <c r="R4" s="22" t="str">
        <f ca="1">IFERROR(__xludf.DUMMYFUNCTION("""COMPUTED_VALUE"""),"SetMasterFundRatio")</f>
        <v>SetMasterFundRatio</v>
      </c>
      <c r="S4" s="22" t="str">
        <f ca="1">IFERROR(__xludf.DUMMYFUNCTION("""COMPUTED_VALUE"""),"CheckFixedPreference")</f>
        <v>CheckFixedPreference</v>
      </c>
      <c r="T4" s="22" t="str">
        <f ca="1">IFERROR(__xludf.DUMMYFUNCTION("""COMPUTED_VALUE"""),"GetFixedPreference")</f>
        <v>GetFixedPreference</v>
      </c>
      <c r="U4" s="22" t="str">
        <f ca="1">IFERROR(__xludf.DUMMYFUNCTION("""COMPUTED_VALUE"""),"AddCalculatedPreferences")</f>
        <v>AddCalculatedPreferences</v>
      </c>
      <c r="V4" s="22" t="str">
        <f ca="1">IFERROR(__xludf.DUMMYFUNCTION("""COMPUTED_VALUE"""),"BulkChangeCalculatedPreferences")</f>
        <v>BulkChangeCalculatedPreferences</v>
      </c>
      <c r="W4" s="22" t="str">
        <f ca="1">IFERROR(__xludf.DUMMYFUNCTION("""COMPUTED_VALUE"""),"DeleteCalculatedPreferences")</f>
        <v>DeleteCalculatedPreferences</v>
      </c>
      <c r="X4" s="22" t="str">
        <f ca="1">IFERROR(__xludf.DUMMYFUNCTION("""COMPUTED_VALUE"""),"RenameCalculatedPreferences")</f>
        <v>RenameCalculatedPreferences</v>
      </c>
      <c r="Y4" s="22" t="str">
        <f ca="1">IFERROR(__xludf.DUMMYFUNCTION("""COMPUTED_VALUE"""),"CopyCalculatedPreferences")</f>
        <v>CopyCalculatedPreferences</v>
      </c>
      <c r="Z4" s="22" t="str">
        <f ca="1">IFERROR(__xludf.DUMMYFUNCTION("""COMPUTED_VALUE"""),"RunAutoGroup")</f>
        <v>RunAutoGroup</v>
      </c>
      <c r="AA4" s="22" t="str">
        <f ca="1">IFERROR(__xludf.DUMMYFUNCTION("""COMPUTED_VALUE"""),"BookOrUpdateSwap")</f>
        <v>BookOrUpdateSwap</v>
      </c>
      <c r="AB4" s="22" t="str">
        <f ca="1">IFERROR(__xludf.DUMMYFUNCTION("""COMPUTED_VALUE"""),"RunProrata")</f>
        <v>RunProrata</v>
      </c>
      <c r="AC4" s="22" t="str">
        <f ca="1">IFERROR(__xludf.DUMMYFUNCTION("""COMPUTED_VALUE"""),"SetDefaultRuleCalculatedPref")</f>
        <v>SetDefaultRuleCalculatedPref</v>
      </c>
      <c r="AD4" s="22" t="str">
        <f ca="1">IFERROR(__xludf.DUMMYFUNCTION("""COMPUTED_VALUE"""),"SetAccountValueCalculatedPref")</f>
        <v>SetAccountValueCalculatedPref</v>
      </c>
      <c r="AE4" s="22" t="str">
        <f ca="1">IFERROR(__xludf.DUMMYFUNCTION("""COMPUTED_VALUE"""),"TradeAttributeBulkChangeGroups")</f>
        <v>TradeAttributeBulkChangeGroups</v>
      </c>
      <c r="AF4" s="22" t="str">
        <f ca="1">IFERROR(__xludf.DUMMYFUNCTION("""COMPUTED_VALUE"""),"TradeAttributeBulkChangeTaxlots")</f>
        <v>TradeAttributeBulkChangeTaxlots</v>
      </c>
      <c r="AG4" s="22" t="str">
        <f ca="1">IFERROR(__xludf.DUMMYFUNCTION("""COMPUTED_VALUE"""),"AddCalculatedPreferenceToolbar")</f>
        <v>AddCalculatedPreferenceToolbar</v>
      </c>
      <c r="AH4" s="22" t="str">
        <f ca="1">IFERROR(__xludf.DUMMYFUNCTION("""COMPUTED_VALUE"""),"SetStrategyValueCalculatedPref")</f>
        <v>SetStrategyValueCalculatedPref</v>
      </c>
      <c r="AI4" s="22" t="str">
        <f ca="1">IFERROR(__xludf.DUMMYFUNCTION("""COMPUTED_VALUE"""),"ApplyBulkUpdateOnTaxlots")</f>
        <v>ApplyBulkUpdateOnTaxlots</v>
      </c>
      <c r="AJ4" s="22" t="str">
        <f ca="1">IFERROR(__xludf.DUMMYFUNCTION("""COMPUTED_VALUE"""),"CommissionBulkChangeOnGroups")</f>
        <v>CommissionBulkChangeOnGroups</v>
      </c>
      <c r="AK4" s="22" t="str">
        <f ca="1">IFERROR(__xludf.DUMMYFUNCTION("""COMPUTED_VALUE"""),"CommissionBulkChangeOnTaxlots")</f>
        <v>CommissionBulkChangeOnTaxlots</v>
      </c>
      <c r="AL4" s="22" t="str">
        <f ca="1">IFERROR(__xludf.DUMMYFUNCTION("""COMPUTED_VALUE"""),"SelectUnallocatedGroup")</f>
        <v>SelectUnallocatedGroup</v>
      </c>
      <c r="AM4" s="22" t="str">
        <f ca="1">IFERROR(__xludf.DUMMYFUNCTION("""COMPUTED_VALUE"""),"EnterAccountValuesToAllocate")</f>
        <v>EnterAccountValuesToAllocate</v>
      </c>
      <c r="AN4" s="22" t="str">
        <f ca="1">IFERROR(__xludf.DUMMYFUNCTION("""COMPUTED_VALUE"""),"EnterAllocatePreference")</f>
        <v>EnterAllocatePreference</v>
      </c>
      <c r="AO4" s="22" t="str">
        <f ca="1">IFERROR(__xludf.DUMMYFUNCTION("""COMPUTED_VALUE"""),"EnterStrategyValuesToAllocate")</f>
        <v>EnterStrategyValuesToAllocate</v>
      </c>
      <c r="AP4" s="22" t="str">
        <f ca="1">IFERROR(__xludf.DUMMYFUNCTION("""COMPUTED_VALUE"""),"CopyCalculatedPreferenceToolbar")</f>
        <v>CopyCalculatedPreferenceToolbar</v>
      </c>
      <c r="AQ4" s="22" t="str">
        <f ca="1">IFERROR(__xludf.DUMMYFUNCTION("""COMPUTED_VALUE"""),"SetGeneralRuleCalculatedPref")</f>
        <v>SetGeneralRuleCalculatedPref</v>
      </c>
      <c r="AR4" s="22" t="str">
        <f ca="1">IFERROR(__xludf.DUMMYFUNCTION("""COMPUTED_VALUE"""),"ExportAllCalculatedPreferences")</f>
        <v>ExportAllCalculatedPreferences</v>
      </c>
      <c r="AS4" s="22" t="str">
        <f ca="1">IFERROR(__xludf.DUMMYFUNCTION("""COMPUTED_VALUE"""),"SaveCalculatedPreferences")</f>
        <v>SaveCalculatedPreferences</v>
      </c>
      <c r="AT4" s="22" t="str">
        <f ca="1">IFERROR(__xludf.DUMMYFUNCTION("""COMPUTED_VALUE"""),"CloseCalculatedPreferences")</f>
        <v>CloseCalculatedPreferences</v>
      </c>
      <c r="AU4" s="22" t="str">
        <f ca="1">IFERROR(__xludf.DUMMYFUNCTION("""COMPUTED_VALUE"""),"ExportCalculatedPreference")</f>
        <v>ExportCalculatedPreference</v>
      </c>
      <c r="AV4" s="22" t="str">
        <f ca="1">IFERROR(__xludf.DUMMYFUNCTION("""COMPUTED_VALUE"""),"ImportCalculatedPreferences")</f>
        <v>ImportCalculatedPreferences</v>
      </c>
      <c r="AW4" s="22" t="str">
        <f ca="1">IFERROR(__xludf.DUMMYFUNCTION("""COMPUTED_VALUE"""),"OpenAuditTrailUnallocatedGroup")</f>
        <v>OpenAuditTrailUnallocatedGroup</v>
      </c>
      <c r="AX4" s="22" t="str">
        <f ca="1">IFERROR(__xludf.DUMMYFUNCTION("""COMPUTED_VALUE"""),"DeleteCalculatedPreferencesTool")</f>
        <v>DeleteCalculatedPreferencesTool</v>
      </c>
      <c r="AY4" s="22" t="str">
        <f ca="1">IFERROR(__xludf.DUMMYFUNCTION("""COMPUTED_VALUE"""),"ImportCalculatedPreferencesTool")</f>
        <v>ImportCalculatedPreferencesTool</v>
      </c>
      <c r="AZ4" s="22" t="str">
        <f ca="1">IFERROR(__xludf.DUMMYFUNCTION("""COMPUTED_VALUE"""),"ExportAllCalculatedPreferTool")</f>
        <v>ExportAllCalculatedPreferTool</v>
      </c>
      <c r="BA4" s="22" t="str">
        <f ca="1">IFERROR(__xludf.DUMMYFUNCTION("""COMPUTED_VALUE"""),"OpenAuditTrailAllocatedGroup")</f>
        <v>OpenAuditTrailAllocatedGroup</v>
      </c>
      <c r="BB4" s="22" t="str">
        <f ca="1">IFERROR(__xludf.DUMMYFUNCTION("""COMPUTED_VALUE"""),"OpenSymbolLookupUnallocateGroup")</f>
        <v>OpenSymbolLookupUnallocateGroup</v>
      </c>
      <c r="BC4" s="22" t="str">
        <f ca="1">IFERROR(__xludf.DUMMYFUNCTION("""COMPUTED_VALUE"""),"OpenSymbolLookupAllocatedGroup")</f>
        <v>OpenSymbolLookupAllocatedGroup</v>
      </c>
      <c r="BD4" s="22" t="str">
        <f ca="1">IFERROR(__xludf.DUMMYFUNCTION("""COMPUTED_VALUE"""),"DeleteFixedPreference")</f>
        <v>DeleteFixedPreference</v>
      </c>
      <c r="BE4" s="22" t="str">
        <f ca="1">IFERROR(__xludf.DUMMYFUNCTION("""COMPUTED_VALUE"""),"EditAllocatedGroupSidePanel")</f>
        <v>EditAllocatedGroupSidePanel</v>
      </c>
      <c r="BF4" s="22" t="str">
        <f ca="1">IFERROR(__xludf.DUMMYFUNCTION("""COMPUTED_VALUE"""),"CheckUnallocatedGroups")</f>
        <v>CheckUnallocatedGroups</v>
      </c>
      <c r="BG4" s="22" t="str">
        <f ca="1">IFERROR(__xludf.DUMMYFUNCTION("""COMPUTED_VALUE"""),"SetGeneralPreferences")</f>
        <v>SetGeneralPreferences</v>
      </c>
      <c r="BH4" s="22" t="str">
        <f ca="1">IFERROR(__xludf.DUMMYFUNCTION("""COMPUTED_VALUE"""),"GroupTrades")</f>
        <v>GroupTrades</v>
      </c>
      <c r="BI4" s="22" t="str">
        <f ca="1">IFERROR(__xludf.DUMMYFUNCTION("""COMPUTED_VALUE"""),"UngroupTrades")</f>
        <v>UngroupTrades</v>
      </c>
      <c r="BJ4" s="22" t="str">
        <f ca="1">IFERROR(__xludf.DUMMYFUNCTION("""COMPUTED_VALUE"""),"DeleteGroup")</f>
        <v>DeleteGroup</v>
      </c>
      <c r="BK4" s="22" t="str">
        <f ca="1">IFERROR(__xludf.DUMMYFUNCTION("""COMPUTED_VALUE"""),"CloseOrder")</f>
        <v>CloseOrder</v>
      </c>
      <c r="BL4" s="22" t="str">
        <f ca="1">IFERROR(__xludf.DUMMYFUNCTION("""COMPUTED_VALUE"""),"Unallocate")</f>
        <v>Unallocate</v>
      </c>
      <c r="BM4" s="22" t="str">
        <f ca="1">IFERROR(__xludf.DUMMYFUNCTION("""COMPUTED_VALUE"""),"CloseAllocation")</f>
        <v>CloseAllocation</v>
      </c>
      <c r="BN4" s="22" t="str">
        <f ca="1">IFERROR(__xludf.DUMMYFUNCTION("""COMPUTED_VALUE"""),"UpdateGRAccountValue")</f>
        <v>UpdateGRAccountValue</v>
      </c>
      <c r="BO4" s="22" t="str">
        <f ca="1">IFERROR(__xludf.DUMMYFUNCTION("""COMPUTED_VALUE"""),"UpdateGRStrategyValue")</f>
        <v>UpdateGRStrategyValue</v>
      </c>
      <c r="BP4" s="22" t="str">
        <f ca="1">IFERROR(__xludf.DUMMYFUNCTION("""COMPUTED_VALUE"""),"UpdateGRDefaultRule")</f>
        <v>UpdateGRDefaultRule</v>
      </c>
      <c r="BQ4" s="22" t="str">
        <f ca="1">IFERROR(__xludf.DUMMYFUNCTION("""COMPUTED_VALUE"""),"UpdateGeneralRulePref")</f>
        <v>UpdateGeneralRulePref</v>
      </c>
      <c r="BR4" s="22" t="str">
        <f ca="1">IFERROR(__xludf.DUMMYFUNCTION("""COMPUTED_VALUE"""),"ModifyGRPreferenceValues")</f>
        <v>ModifyGRPreferenceValues</v>
      </c>
      <c r="BS4" s="22" t="str">
        <f ca="1">IFERROR(__xludf.DUMMYFUNCTION("""COMPUTED_VALUE"""),"AddMFPreferences")</f>
        <v>AddMFPreferences</v>
      </c>
      <c r="BT4" s="22" t="str">
        <f ca="1">IFERROR(__xludf.DUMMYFUNCTION("""COMPUTED_VALUE"""),"AddMFPreferenceToolbar")</f>
        <v>AddMFPreferenceToolbar</v>
      </c>
      <c r="BU4" s="22" t="str">
        <f ca="1">IFERROR(__xludf.DUMMYFUNCTION("""COMPUTED_VALUE"""),"DeleteMFPreferences")</f>
        <v>DeleteMFPreferences</v>
      </c>
      <c r="BV4" s="22" t="str">
        <f ca="1">IFERROR(__xludf.DUMMYFUNCTION("""COMPUTED_VALUE"""),"DeleteMFPreferenceToolbar")</f>
        <v>DeleteMFPreferenceToolbar</v>
      </c>
      <c r="BW4" s="22" t="str">
        <f ca="1">IFERROR(__xludf.DUMMYFUNCTION("""COMPUTED_VALUE"""),"RenameMFPreferences")</f>
        <v>RenameMFPreferences</v>
      </c>
      <c r="BX4" s="22" t="str">
        <f ca="1">IFERROR(__xludf.DUMMYFUNCTION("""COMPUTED_VALUE"""),"SaveCloseMFPreference")</f>
        <v>SaveCloseMFPreference</v>
      </c>
      <c r="BY4" s="22" t="str">
        <f ca="1">IFERROR(__xludf.DUMMYFUNCTION("""COMPUTED_VALUE"""),"SetMFPrefAccountValues")</f>
        <v>SetMFPrefAccountValues</v>
      </c>
      <c r="BZ4" s="22" t="str">
        <f ca="1">IFERROR(__xludf.DUMMYFUNCTION("""COMPUTED_VALUE"""),"ModifyMFPrefGeneralRuleValues")</f>
        <v>ModifyMFPrefGeneralRuleValues</v>
      </c>
      <c r="CA4" s="22" t="str">
        <f ca="1">IFERROR(__xludf.DUMMYFUNCTION("""COMPUTED_VALUE"""),"SetMFPrefStrategyValues")</f>
        <v>SetMFPrefStrategyValues</v>
      </c>
      <c r="CB4" s="22" t="str">
        <f ca="1">IFERROR(__xludf.DUMMYFUNCTION("""COMPUTED_VALUE"""),"SetMFPrefGeneralRule")</f>
        <v>SetMFPrefGeneralRule</v>
      </c>
      <c r="CC4" s="22" t="str">
        <f ca="1">IFERROR(__xludf.DUMMYFUNCTION("""COMPUTED_VALUE"""),"SetMFPrefFundDistribution")</f>
        <v>SetMFPrefFundDistribution</v>
      </c>
      <c r="CD4" s="22" t="str">
        <f ca="1">IFERROR(__xludf.DUMMYFUNCTION("""COMPUTED_VALUE"""),"SetMFPreferencesDefaultRule")</f>
        <v>SetMFPreferencesDefaultRule</v>
      </c>
      <c r="CE4" s="22" t="str">
        <f ca="1">IFERROR(__xludf.DUMMYFUNCTION("""COMPUTED_VALUE"""),"SetMFPrefFundDefaultRule")</f>
        <v>SetMFPrefFundDefaultRule</v>
      </c>
      <c r="CF4" s="22" t="str">
        <f ca="1">IFERROR(__xludf.DUMMYFUNCTION("""COMPUTED_VALUE"""),"ClearPrefetchFilters")</f>
        <v>ClearPrefetchFilters</v>
      </c>
      <c r="CG4" s="22" t="str">
        <f ca="1">IFERROR(__xludf.DUMMYFUNCTION("""COMPUTED_VALUE"""),"ExpandCollapseAllUnallocated")</f>
        <v>ExpandCollapseAllUnallocated</v>
      </c>
      <c r="CH4" s="22" t="str">
        <f ca="1">IFERROR(__xludf.DUMMYFUNCTION("""COMPUTED_VALUE"""),"ExpandCollapseAllAllocated")</f>
        <v>ExpandCollapseAllAllocated</v>
      </c>
      <c r="CI4" s="22" t="str">
        <f ca="1">IFERROR(__xludf.DUMMYFUNCTION("""COMPUTED_VALUE"""),"GenerateCashTransaction")</f>
        <v>GenerateCashTransaction</v>
      </c>
      <c r="CJ4" s="22" t="str">
        <f ca="1">IFERROR(__xludf.DUMMYFUNCTION("""COMPUTED_VALUE"""),"SaveAllocation")</f>
        <v>SaveAllocation</v>
      </c>
      <c r="CK4" s="22" t="str">
        <f ca="1">IFERROR(__xludf.DUMMYFUNCTION("""COMPUTED_VALUE"""),"UnallocateWithOutSave")</f>
        <v>UnallocateWithOutSave</v>
      </c>
      <c r="CL4" s="22" t="str">
        <f ca="1">IFERROR(__xludf.DUMMYFUNCTION("""COMPUTED_VALUE"""),"EditUnallocatedGrid")</f>
        <v>EditUnallocatedGrid</v>
      </c>
      <c r="CM4" s="22" t="str">
        <f ca="1">IFERROR(__xludf.DUMMYFUNCTION("""COMPUTED_VALUE"""),"EditAllocatedGrid")</f>
        <v>EditAllocatedGrid</v>
      </c>
      <c r="CN4" s="22" t="str">
        <f ca="1">IFERROR(__xludf.DUMMYFUNCTION("""COMPUTED_VALUE"""),"SaveLayoutAllocatedGrid")</f>
        <v>SaveLayoutAllocatedGrid</v>
      </c>
      <c r="CO4" s="22" t="str">
        <f ca="1">IFERROR(__xludf.DUMMYFUNCTION("""COMPUTED_VALUE"""),"SaveLayoutUnallocatedGrid")</f>
        <v>SaveLayoutUnallocatedGrid</v>
      </c>
      <c r="CP4" s="22" t="str">
        <f ca="1">IFERROR(__xludf.DUMMYFUNCTION("""COMPUTED_VALUE"""),"SaveLayoutAllocationUI")</f>
        <v>SaveLayoutAllocationUI</v>
      </c>
      <c r="CQ4" s="22" t="str">
        <f ca="1">IFERROR(__xludf.DUMMYFUNCTION("""COMPUTED_VALUE"""),"ClearFiltersAllocatedGrid")</f>
        <v>ClearFiltersAllocatedGrid</v>
      </c>
      <c r="CR4" s="22" t="str">
        <f ca="1">IFERROR(__xludf.DUMMYFUNCTION("""COMPUTED_VALUE"""),"ClearFiltersUnallocatedGrid")</f>
        <v>ClearFiltersUnallocatedGrid</v>
      </c>
      <c r="CS4" s="22" t="str">
        <f ca="1">IFERROR(__xludf.DUMMYFUNCTION("""COMPUTED_VALUE"""),"VerifyLayoutAllocatedGrid")</f>
        <v>VerifyLayoutAllocatedGrid</v>
      </c>
      <c r="CT4" s="22" t="str">
        <f ca="1">IFERROR(__xludf.DUMMYFUNCTION("""COMPUTED_VALUE"""),"VerifyLayoutUnallocatedGrid")</f>
        <v>VerifyLayoutUnallocatedGrid</v>
      </c>
      <c r="CU4" s="22" t="str">
        <f ca="1">IFERROR(__xludf.DUMMYFUNCTION("""COMPUTED_VALUE"""),"CleanUp")</f>
        <v>CleanUp</v>
      </c>
      <c r="CV4" s="22" t="str">
        <f ca="1">IFERROR(__xludf.DUMMYFUNCTION("""COMPUTED_VALUE"""),"CheckAllocatedTaxlots")</f>
        <v>CheckAllocatedTaxlots</v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</row>
    <row r="5" spans="1:153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IFERROR(__xludf.DUMMYFUNCTION("""COMPUTED_VALUE"""),"Accrual Basis")</f>
        <v>Accrual Basis</v>
      </c>
      <c r="C5" s="24" t="str">
        <f ca="1">IFERROR(__xludf.DUMMYFUNCTION("""COMPUTED_VALUE"""),"Accrued Interest")</f>
        <v>Accrued Interest</v>
      </c>
      <c r="D5" s="24" t="str">
        <f ca="1">IFERROR(__xludf.DUMMYFUNCTION("""COMPUTED_VALUE"""),"Allocated Qty")</f>
        <v>Allocated Qty</v>
      </c>
      <c r="E5" s="24" t="str">
        <f ca="1">IFERROR(__xludf.DUMMYFUNCTION("""COMPUTED_VALUE"""),"Allocation Scheme Name")</f>
        <v>Allocation Scheme Name</v>
      </c>
      <c r="F5" s="24" t="str">
        <f ca="1">IFERROR(__xludf.DUMMYFUNCTION("""COMPUTED_VALUE"""),"Asset Category")</f>
        <v>Asset Category</v>
      </c>
      <c r="G5" s="24" t="str">
        <f ca="1">IFERROR(__xludf.DUMMYFUNCTION("""COMPUTED_VALUE"""),"AUEC Fee1")</f>
        <v>AUEC Fee1</v>
      </c>
      <c r="H5" s="24" t="str">
        <f ca="1">IFERROR(__xludf.DUMMYFUNCTION("""COMPUTED_VALUE"""),"AUEC Fee2")</f>
        <v>AUEC Fee2</v>
      </c>
      <c r="I5" s="24" t="str">
        <f ca="1">IFERROR(__xludf.DUMMYFUNCTION("""COMPUTED_VALUE"""),"AUECID")</f>
        <v>AUECID</v>
      </c>
      <c r="J5" s="24" t="str">
        <f ca="1">IFERROR(__xludf.DUMMYFUNCTION("""COMPUTED_VALUE"""),"Avg Price(Base)")</f>
        <v>Avg Price(Base)</v>
      </c>
      <c r="K5" s="24" t="str">
        <f ca="1">IFERROR(__xludf.DUMMYFUNCTION("""COMPUTED_VALUE"""),"Avg Price(Local)")</f>
        <v>Avg Price(Local)</v>
      </c>
      <c r="L5" s="24" t="str">
        <f ca="1">IFERROR(__xludf.DUMMYFUNCTION("""COMPUTED_VALUE"""),"Bloomberg")</f>
        <v>Bloomberg</v>
      </c>
      <c r="M5" s="24" t="str">
        <f ca="1">IFERROR(__xludf.DUMMYFUNCTION("""COMPUTED_VALUE"""),"Bond Type")</f>
        <v>Bond Type</v>
      </c>
      <c r="N5" s="24" t="str">
        <f ca="1">IFERROR(__xludf.DUMMYFUNCTION("""COMPUTED_VALUE"""),"Broker")</f>
        <v>Broker</v>
      </c>
      <c r="O5" s="24" t="str">
        <f ca="1">IFERROR(__xludf.DUMMYFUNCTION("""COMPUTED_VALUE"""),"Change Comment")</f>
        <v>Change Comment</v>
      </c>
      <c r="P5" s="24" t="str">
        <f ca="1">IFERROR(__xludf.DUMMYFUNCTION("""COMPUTED_VALUE"""),"Change Type")</f>
        <v>Change Type</v>
      </c>
      <c r="Q5" s="24" t="str">
        <f ca="1">IFERROR(__xludf.DUMMYFUNCTION("""COMPUTED_VALUE"""),"Clearing Broker Fee")</f>
        <v>Clearing Broker Fee</v>
      </c>
      <c r="R5" s="24" t="str">
        <f ca="1">IFERROR(__xludf.DUMMYFUNCTION("""COMPUTED_VALUE"""),"Closing Method")</f>
        <v>Closing Method</v>
      </c>
      <c r="S5" s="24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IFERROR(__xludf.DUMMYFUNCTION("""COMPUTED_VALUE"""),"Execution Time")</f>
        <v>Execution Time</v>
      </c>
      <c r="AG5" s="25" t="str">
        <f ca="1">IFERROR(__xludf.DUMMYFUNCTION("""COMPUTED_VALUE"""),"FX Conversion Operator")</f>
        <v>FX Conversion Operator</v>
      </c>
      <c r="AH5" s="25" t="str">
        <f ca="1">IFERROR(__xludf.DUMMYFUNCTION("""COMPUTED_VALUE"""),"FX Rate")</f>
        <v>FX Rate</v>
      </c>
      <c r="AI5" s="25" t="str">
        <f ca="1">IFERROR(__xludf.DUMMYFUNCTION("""COMPUTED_VALUE"""),"Group Status")</f>
        <v>Group Status</v>
      </c>
      <c r="AJ5" s="25" t="str">
        <f ca="1">IFERROR(__xludf.DUMMYFUNCTION("""COMPUTED_VALUE"""),"GroupID")</f>
        <v>GroupID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IFERROR(__xludf.DUMMYFUNCTION("""COMPUTED_VALUE"""),"Symbol")</f>
        <v>Symbol</v>
      </c>
      <c r="BT5" s="25" t="str">
        <f ca="1">IFERROR(__xludf.DUMMYFUNCTION("""COMPUTED_VALUE"""),"Tax On Commissions")</f>
        <v>Tax On Commissions</v>
      </c>
      <c r="BU5" s="25" t="str">
        <f ca="1">IFERROR(__xludf.DUMMYFUNCTION("""COMPUTED_VALUE"""),"Total Commission")</f>
        <v>Total Commission</v>
      </c>
      <c r="BV5" s="25" t="str">
        <f ca="1">IFERROR(__xludf.DUMMYFUNCTION("""COMPUTED_VALUE"""),"Total Commission And Fee")</f>
        <v>Total Commission And Fee</v>
      </c>
      <c r="BW5" s="25" t="str">
        <f ca="1">IFERROR(__xludf.DUMMYFUNCTION("""COMPUTED_VALUE"""),"Total Commission Per Share")</f>
        <v>Total Commission Per Share</v>
      </c>
      <c r="BX5" s="25" t="str">
        <f ca="1">IFERROR(__xludf.DUMMYFUNCTION("""COMPUTED_VALUE"""),"Trade Attribute 1")</f>
        <v>Trade Attribute 1</v>
      </c>
      <c r="BY5" s="25" t="str">
        <f ca="1">IFERROR(__xludf.DUMMYFUNCTION("""COMPUTED_VALUE"""),"Trade Attribute 2")</f>
        <v>Trade Attribute 2</v>
      </c>
      <c r="BZ5" s="25" t="str">
        <f ca="1">IFERROR(__xludf.DUMMYFUNCTION("""COMPUTED_VALUE"""),"Trade Attribute 3")</f>
        <v>Trade Attribute 3</v>
      </c>
      <c r="CA5" s="25" t="str">
        <f ca="1">IFERROR(__xludf.DUMMYFUNCTION("""COMPUTED_VALUE"""),"Trade Attribute 4")</f>
        <v>Trade Attribute 4</v>
      </c>
      <c r="CB5" s="25" t="str">
        <f ca="1">IFERROR(__xludf.DUMMYFUNCTION("""COMPUTED_VALUE"""),"Trade Attribute 5")</f>
        <v>Trade Attribute 5</v>
      </c>
      <c r="CC5" s="25" t="str">
        <f ca="1">IFERROR(__xludf.DUMMYFUNCTION("""COMPUTED_VALUE"""),"Trade Attribute 6")</f>
        <v>Trade Attribute 6</v>
      </c>
      <c r="CD5" s="25" t="str">
        <f ca="1">IFERROR(__xludf.DUMMYFUNCTION("""COMPUTED_VALUE"""),"Trade Date")</f>
        <v>Trade Date</v>
      </c>
      <c r="CE5" s="25" t="str">
        <f ca="1">IFERROR(__xludf.DUMMYFUNCTION("""COMPUTED_VALUE"""),"Trading Account")</f>
        <v>Trading Account</v>
      </c>
      <c r="CF5" s="25" t="str">
        <f ca="1">IFERROR(__xludf.DUMMYFUNCTION("""COMPUTED_VALUE"""),"Transaction Levy")</f>
        <v>Transaction Levy</v>
      </c>
      <c r="CG5" s="25" t="str">
        <f ca="1">IFERROR(__xludf.DUMMYFUNCTION("""COMPUTED_VALUE"""),"Transaction Source")</f>
        <v>Transaction Source</v>
      </c>
      <c r="CH5" s="25" t="str">
        <f ca="1">IFERROR(__xludf.DUMMYFUNCTION("""COMPUTED_VALUE"""),"Transaction Type")</f>
        <v>Transaction Type</v>
      </c>
      <c r="CI5" s="25" t="str">
        <f ca="1">IFERROR(__xludf.DUMMYFUNCTION("""COMPUTED_VALUE"""),"UnAllocatedQty")</f>
        <v>UnAllocatedQty</v>
      </c>
      <c r="CJ5" s="25" t="str">
        <f ca="1">IFERROR(__xludf.DUMMYFUNCTION("""COMPUTED_VALUE"""),"Underlying")</f>
        <v>Underlying</v>
      </c>
      <c r="CK5" s="25" t="str">
        <f ca="1">IFERROR(__xludf.DUMMYFUNCTION("""COMPUTED_VALUE"""),"Underlying Delta")</f>
        <v>Underlying Delta</v>
      </c>
      <c r="CL5" s="25" t="str">
        <f ca="1">IFERROR(__xludf.DUMMYFUNCTION("""COMPUTED_VALUE"""),"Underlying Symbol")</f>
        <v>Underlying Symbol</v>
      </c>
      <c r="CM5" s="25" t="str">
        <f ca="1">IFERROR(__xludf.DUMMYFUNCTION("""COMPUTED_VALUE"""),"User")</f>
        <v>User</v>
      </c>
      <c r="CN5" s="25" t="str">
        <f ca="1">IFERROR(__xludf.DUMMYFUNCTION("""COMPUTED_VALUE"""),"Venue")</f>
        <v>Venue</v>
      </c>
      <c r="CO5" s="25" t="str">
        <f ca="1">IFERROR(__xludf.DUMMYFUNCTION("""COMPUTED_VALUE"""),"Closing Date")</f>
        <v>Closing Date</v>
      </c>
      <c r="CP5" s="25" t="str">
        <f ca="1">IFERROR(__xludf.DUMMYFUNCTION("""COMPUTED_VALUE"""),"Expiration Date")</f>
        <v>Expiration Date</v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</row>
    <row r="6" spans="1:153" ht="15.75" customHeight="1">
      <c r="A6" s="3"/>
      <c r="J6" s="26">
        <v>1</v>
      </c>
      <c r="K6" s="26">
        <v>1</v>
      </c>
      <c r="AE6" s="26">
        <v>600</v>
      </c>
      <c r="BJ6" s="26">
        <v>600</v>
      </c>
      <c r="BO6" s="26" t="s">
        <v>26</v>
      </c>
      <c r="BS6" s="26" t="s">
        <v>20</v>
      </c>
    </row>
    <row r="7" spans="1:153" ht="15.75" customHeight="1">
      <c r="A7" s="3"/>
      <c r="B7" s="3"/>
      <c r="C7" s="3"/>
      <c r="D7" s="3"/>
      <c r="E7" s="3"/>
      <c r="F7" s="3"/>
      <c r="G7" s="3"/>
      <c r="H7" s="3"/>
      <c r="I7" s="3"/>
      <c r="J7" s="8">
        <v>1</v>
      </c>
      <c r="K7" s="8">
        <v>1</v>
      </c>
      <c r="L7" s="3"/>
      <c r="M7" s="3"/>
      <c r="N7" s="3"/>
      <c r="O7" s="3"/>
      <c r="AE7" s="26">
        <v>400</v>
      </c>
      <c r="BJ7" s="26">
        <v>400</v>
      </c>
      <c r="BO7" s="26" t="s">
        <v>26</v>
      </c>
      <c r="BS7" s="26" t="s">
        <v>23</v>
      </c>
    </row>
    <row r="8" spans="1:153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3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3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3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3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3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3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3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3"/>
      <c r="B2" s="3"/>
      <c r="C2" s="3"/>
      <c r="D2" s="3"/>
      <c r="E2" s="3"/>
      <c r="F2" s="3"/>
      <c r="G2" s="3"/>
      <c r="H2" s="3"/>
      <c r="I2" s="3"/>
      <c r="J2" s="15" t="str">
        <f ca="1">VLOOKUP($E$3,_MasterData!B4:D1000,3,FALSE)</f>
        <v>1-RJhOo2E5PhyqaiMEjsPi8RpfYBuiSqE9fj_-bRpkKw</v>
      </c>
      <c r="K2" s="16"/>
      <c r="L2" s="3"/>
      <c r="M2" s="3"/>
      <c r="N2" s="3"/>
      <c r="O2" s="3"/>
    </row>
    <row r="3" spans="1:153" ht="15.75" customHeight="1">
      <c r="A3" s="17"/>
      <c r="B3" s="4" t="s">
        <v>3</v>
      </c>
      <c r="C3" s="18" t="s">
        <v>36</v>
      </c>
      <c r="D3" s="4" t="s">
        <v>7</v>
      </c>
      <c r="E3" s="18" t="s">
        <v>38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tr">
        <f ca="1">IFERROR(__xludf.DUMMYFUNCTION("""COMPUTED_VALUE"""),"CheckAllocatedGroups")</f>
        <v>CheckAllocatedGroups</v>
      </c>
      <c r="D4" s="21" t="str">
        <f ca="1">IFERROR(__xludf.DUMMYFUNCTION("""COMPUTED_VALUE"""),"Unallocate")</f>
        <v>Unallocate</v>
      </c>
      <c r="E4" s="21" t="str">
        <f ca="1">IFERROR(__xludf.DUMMYFUNCTION("""COMPUTED_VALUE"""),"GetDataAllocation")</f>
        <v>GetDataAllocation</v>
      </c>
      <c r="F4" s="21" t="str">
        <f ca="1">IFERROR(__xludf.DUMMYFUNCTION("""COMPUTED_VALUE"""),"SelectAllocatedGroup")</f>
        <v>SelectAllocatedGroup</v>
      </c>
      <c r="G4" s="21" t="str">
        <f ca="1">IFERROR(__xludf.DUMMYFUNCTION("""COMPUTED_VALUE"""),"EditTradesAllocated")</f>
        <v>EditTradesAllocated</v>
      </c>
      <c r="H4" s="21" t="str">
        <f ca="1">IFERROR(__xludf.DUMMYFUNCTION("""COMPUTED_VALUE"""),"EditTradesUnallocated")</f>
        <v>EditTradesUnallocated</v>
      </c>
      <c r="I4" s="21" t="str">
        <f ca="1">IFERROR(__xludf.DUMMYFUNCTION("""COMPUTED_VALUE"""),"Reallocate")</f>
        <v>Reallocate</v>
      </c>
      <c r="J4" s="21" t="str">
        <f ca="1">IFERROR(__xludf.DUMMYFUNCTION("""COMPUTED_VALUE"""),"EditUnallocatedGroupSidePanel")</f>
        <v>EditUnallocatedGroupSidePanel</v>
      </c>
      <c r="K4" s="21" t="str">
        <f ca="1">IFERROR(__xludf.DUMMYFUNCTION("""COMPUTED_VALUE"""),"TradeAttributeBulkChange")</f>
        <v>TradeAttributeBulkChange</v>
      </c>
      <c r="L4" s="21" t="str">
        <f ca="1">IFERROR(__xludf.DUMMYFUNCTION("""COMPUTED_VALUE"""),"ApplyBulkUpdateOnGroups")</f>
        <v>ApplyBulkUpdateOnGroups</v>
      </c>
      <c r="M4" s="21" t="str">
        <f ca="1">IFERROR(__xludf.DUMMYFUNCTION("""COMPUTED_VALUE"""),"ApplyPrefetchFilters")</f>
        <v>ApplyPrefetchFilters</v>
      </c>
      <c r="N4" s="21" t="str">
        <f ca="1">IFERROR(__xludf.DUMMYFUNCTION("""COMPUTED_VALUE"""),"GeneralPreferencesDefaultRule")</f>
        <v>GeneralPreferencesDefaultRule</v>
      </c>
      <c r="O4" s="21" t="str">
        <f ca="1">IFERROR(__xludf.DUMMYFUNCTION("""COMPUTED_VALUE"""),"GeneralPrefCompanyUserWise")</f>
        <v>GeneralPrefCompanyUserWise</v>
      </c>
      <c r="P4" s="22" t="str">
        <f ca="1">IFERROR(__xludf.DUMMYFUNCTION("""COMPUTED_VALUE"""),"RenameTradeAttributes")</f>
        <v>RenameTradeAttributes</v>
      </c>
      <c r="Q4" s="22" t="str">
        <f ca="1">IFERROR(__xludf.DUMMYFUNCTION("""COMPUTED_VALUE"""),"SetGroupingRules")</f>
        <v>SetGroupingRules</v>
      </c>
      <c r="R4" s="22" t="str">
        <f ca="1">IFERROR(__xludf.DUMMYFUNCTION("""COMPUTED_VALUE"""),"SetMasterFundRatio")</f>
        <v>SetMasterFundRatio</v>
      </c>
      <c r="S4" s="22" t="str">
        <f ca="1">IFERROR(__xludf.DUMMYFUNCTION("""COMPUTED_VALUE"""),"CheckFixedPreference")</f>
        <v>CheckFixedPreference</v>
      </c>
      <c r="T4" s="22" t="str">
        <f ca="1">IFERROR(__xludf.DUMMYFUNCTION("""COMPUTED_VALUE"""),"GetFixedPreference")</f>
        <v>GetFixedPreference</v>
      </c>
      <c r="U4" s="22" t="str">
        <f ca="1">IFERROR(__xludf.DUMMYFUNCTION("""COMPUTED_VALUE"""),"AddCalculatedPreferences")</f>
        <v>AddCalculatedPreferences</v>
      </c>
      <c r="V4" s="22" t="str">
        <f ca="1">IFERROR(__xludf.DUMMYFUNCTION("""COMPUTED_VALUE"""),"BulkChangeCalculatedPreferences")</f>
        <v>BulkChangeCalculatedPreferences</v>
      </c>
      <c r="W4" s="22" t="str">
        <f ca="1">IFERROR(__xludf.DUMMYFUNCTION("""COMPUTED_VALUE"""),"DeleteCalculatedPreferences")</f>
        <v>DeleteCalculatedPreferences</v>
      </c>
      <c r="X4" s="22" t="str">
        <f ca="1">IFERROR(__xludf.DUMMYFUNCTION("""COMPUTED_VALUE"""),"RenameCalculatedPreferences")</f>
        <v>RenameCalculatedPreferences</v>
      </c>
      <c r="Y4" s="22" t="str">
        <f ca="1">IFERROR(__xludf.DUMMYFUNCTION("""COMPUTED_VALUE"""),"CopyCalculatedPreferences")</f>
        <v>CopyCalculatedPreferences</v>
      </c>
      <c r="Z4" s="22" t="str">
        <f ca="1">IFERROR(__xludf.DUMMYFUNCTION("""COMPUTED_VALUE"""),"RunAutoGroup")</f>
        <v>RunAutoGroup</v>
      </c>
      <c r="AA4" s="22" t="str">
        <f ca="1">IFERROR(__xludf.DUMMYFUNCTION("""COMPUTED_VALUE"""),"BookOrUpdateSwap")</f>
        <v>BookOrUpdateSwap</v>
      </c>
      <c r="AB4" s="22" t="str">
        <f ca="1">IFERROR(__xludf.DUMMYFUNCTION("""COMPUTED_VALUE"""),"RunProrata")</f>
        <v>RunProrata</v>
      </c>
      <c r="AC4" s="22" t="str">
        <f ca="1">IFERROR(__xludf.DUMMYFUNCTION("""COMPUTED_VALUE"""),"SetDefaultRuleCalculatedPref")</f>
        <v>SetDefaultRuleCalculatedPref</v>
      </c>
      <c r="AD4" s="22" t="str">
        <f ca="1">IFERROR(__xludf.DUMMYFUNCTION("""COMPUTED_VALUE"""),"SetAccountValueCalculatedPref")</f>
        <v>SetAccountValueCalculatedPref</v>
      </c>
      <c r="AE4" s="22" t="str">
        <f ca="1">IFERROR(__xludf.DUMMYFUNCTION("""COMPUTED_VALUE"""),"TradeAttributeBulkChangeGroups")</f>
        <v>TradeAttributeBulkChangeGroups</v>
      </c>
      <c r="AF4" s="22" t="str">
        <f ca="1">IFERROR(__xludf.DUMMYFUNCTION("""COMPUTED_VALUE"""),"TradeAttributeBulkChangeTaxlots")</f>
        <v>TradeAttributeBulkChangeTaxlots</v>
      </c>
      <c r="AG4" s="22" t="str">
        <f ca="1">IFERROR(__xludf.DUMMYFUNCTION("""COMPUTED_VALUE"""),"AddCalculatedPreferenceToolbar")</f>
        <v>AddCalculatedPreferenceToolbar</v>
      </c>
      <c r="AH4" s="22" t="str">
        <f ca="1">IFERROR(__xludf.DUMMYFUNCTION("""COMPUTED_VALUE"""),"SetStrategyValueCalculatedPref")</f>
        <v>SetStrategyValueCalculatedPref</v>
      </c>
      <c r="AI4" s="22" t="str">
        <f ca="1">IFERROR(__xludf.DUMMYFUNCTION("""COMPUTED_VALUE"""),"ApplyBulkUpdateOnTaxlots")</f>
        <v>ApplyBulkUpdateOnTaxlots</v>
      </c>
      <c r="AJ4" s="22" t="str">
        <f ca="1">IFERROR(__xludf.DUMMYFUNCTION("""COMPUTED_VALUE"""),"CommissionBulkChangeOnGroups")</f>
        <v>CommissionBulkChangeOnGroups</v>
      </c>
      <c r="AK4" s="22" t="str">
        <f ca="1">IFERROR(__xludf.DUMMYFUNCTION("""COMPUTED_VALUE"""),"CommissionBulkChangeOnTaxlots")</f>
        <v>CommissionBulkChangeOnTaxlots</v>
      </c>
      <c r="AL4" s="22" t="str">
        <f ca="1">IFERROR(__xludf.DUMMYFUNCTION("""COMPUTED_VALUE"""),"SelectUnallocatedGroup")</f>
        <v>SelectUnallocatedGroup</v>
      </c>
      <c r="AM4" s="22" t="str">
        <f ca="1">IFERROR(__xludf.DUMMYFUNCTION("""COMPUTED_VALUE"""),"EnterAccountValuesToAllocate")</f>
        <v>EnterAccountValuesToAllocate</v>
      </c>
      <c r="AN4" s="22" t="str">
        <f ca="1">IFERROR(__xludf.DUMMYFUNCTION("""COMPUTED_VALUE"""),"EnterAllocatePreference")</f>
        <v>EnterAllocatePreference</v>
      </c>
      <c r="AO4" s="22" t="str">
        <f ca="1">IFERROR(__xludf.DUMMYFUNCTION("""COMPUTED_VALUE"""),"EnterStrategyValuesToAllocate")</f>
        <v>EnterStrategyValuesToAllocate</v>
      </c>
      <c r="AP4" s="22" t="str">
        <f ca="1">IFERROR(__xludf.DUMMYFUNCTION("""COMPUTED_VALUE"""),"CopyCalculatedPreferenceToolbar")</f>
        <v>CopyCalculatedPreferenceToolbar</v>
      </c>
      <c r="AQ4" s="22" t="str">
        <f ca="1">IFERROR(__xludf.DUMMYFUNCTION("""COMPUTED_VALUE"""),"SetGeneralRuleCalculatedPref")</f>
        <v>SetGeneralRuleCalculatedPref</v>
      </c>
      <c r="AR4" s="22" t="str">
        <f ca="1">IFERROR(__xludf.DUMMYFUNCTION("""COMPUTED_VALUE"""),"ExportAllCalculatedPreferences")</f>
        <v>ExportAllCalculatedPreferences</v>
      </c>
      <c r="AS4" s="22" t="str">
        <f ca="1">IFERROR(__xludf.DUMMYFUNCTION("""COMPUTED_VALUE"""),"SaveCalculatedPreferences")</f>
        <v>SaveCalculatedPreferences</v>
      </c>
      <c r="AT4" s="22" t="str">
        <f ca="1">IFERROR(__xludf.DUMMYFUNCTION("""COMPUTED_VALUE"""),"CloseCalculatedPreferences")</f>
        <v>CloseCalculatedPreferences</v>
      </c>
      <c r="AU4" s="22" t="str">
        <f ca="1">IFERROR(__xludf.DUMMYFUNCTION("""COMPUTED_VALUE"""),"ExportCalculatedPreference")</f>
        <v>ExportCalculatedPreference</v>
      </c>
      <c r="AV4" s="22" t="str">
        <f ca="1">IFERROR(__xludf.DUMMYFUNCTION("""COMPUTED_VALUE"""),"ImportCalculatedPreferences")</f>
        <v>ImportCalculatedPreferences</v>
      </c>
      <c r="AW4" s="22" t="str">
        <f ca="1">IFERROR(__xludf.DUMMYFUNCTION("""COMPUTED_VALUE"""),"OpenAuditTrailUnallocatedGroup")</f>
        <v>OpenAuditTrailUnallocatedGroup</v>
      </c>
      <c r="AX4" s="22" t="str">
        <f ca="1">IFERROR(__xludf.DUMMYFUNCTION("""COMPUTED_VALUE"""),"DeleteCalculatedPreferencesTool")</f>
        <v>DeleteCalculatedPreferencesTool</v>
      </c>
      <c r="AY4" s="22" t="str">
        <f ca="1">IFERROR(__xludf.DUMMYFUNCTION("""COMPUTED_VALUE"""),"ImportCalculatedPreferencesTool")</f>
        <v>ImportCalculatedPreferencesTool</v>
      </c>
      <c r="AZ4" s="22" t="str">
        <f ca="1">IFERROR(__xludf.DUMMYFUNCTION("""COMPUTED_VALUE"""),"ExportAllCalculatedPreferTool")</f>
        <v>ExportAllCalculatedPreferTool</v>
      </c>
      <c r="BA4" s="22" t="str">
        <f ca="1">IFERROR(__xludf.DUMMYFUNCTION("""COMPUTED_VALUE"""),"OpenAuditTrailAllocatedGroup")</f>
        <v>OpenAuditTrailAllocatedGroup</v>
      </c>
      <c r="BB4" s="22" t="str">
        <f ca="1">IFERROR(__xludf.DUMMYFUNCTION("""COMPUTED_VALUE"""),"OpenSymbolLookupUnallocateGroup")</f>
        <v>OpenSymbolLookupUnallocateGroup</v>
      </c>
      <c r="BC4" s="22" t="str">
        <f ca="1">IFERROR(__xludf.DUMMYFUNCTION("""COMPUTED_VALUE"""),"OpenSymbolLookupAllocatedGroup")</f>
        <v>OpenSymbolLookupAllocatedGroup</v>
      </c>
      <c r="BD4" s="22" t="str">
        <f ca="1">IFERROR(__xludf.DUMMYFUNCTION("""COMPUTED_VALUE"""),"DeleteFixedPreference")</f>
        <v>DeleteFixedPreference</v>
      </c>
      <c r="BE4" s="22" t="str">
        <f ca="1">IFERROR(__xludf.DUMMYFUNCTION("""COMPUTED_VALUE"""),"EditAllocatedGroupSidePanel")</f>
        <v>EditAllocatedGroupSidePanel</v>
      </c>
      <c r="BF4" s="22" t="str">
        <f ca="1">IFERROR(__xludf.DUMMYFUNCTION("""COMPUTED_VALUE"""),"CheckUnallocatedGroups")</f>
        <v>CheckUnallocatedGroups</v>
      </c>
      <c r="BG4" s="22" t="str">
        <f ca="1">IFERROR(__xludf.DUMMYFUNCTION("""COMPUTED_VALUE"""),"SetGeneralPreferences")</f>
        <v>SetGeneralPreferences</v>
      </c>
      <c r="BH4" s="22" t="str">
        <f ca="1">IFERROR(__xludf.DUMMYFUNCTION("""COMPUTED_VALUE"""),"GroupTrades")</f>
        <v>GroupTrades</v>
      </c>
      <c r="BI4" s="22" t="str">
        <f ca="1">IFERROR(__xludf.DUMMYFUNCTION("""COMPUTED_VALUE"""),"UngroupTrades")</f>
        <v>UngroupTrades</v>
      </c>
      <c r="BJ4" s="22" t="str">
        <f ca="1">IFERROR(__xludf.DUMMYFUNCTION("""COMPUTED_VALUE"""),"DeleteGroup")</f>
        <v>DeleteGroup</v>
      </c>
      <c r="BK4" s="22" t="str">
        <f ca="1">IFERROR(__xludf.DUMMYFUNCTION("""COMPUTED_VALUE"""),"CloseOrder")</f>
        <v>CloseOrder</v>
      </c>
      <c r="BL4" s="22" t="str">
        <f ca="1">IFERROR(__xludf.DUMMYFUNCTION("""COMPUTED_VALUE"""),"Unallocate")</f>
        <v>Unallocate</v>
      </c>
      <c r="BM4" s="22" t="str">
        <f ca="1">IFERROR(__xludf.DUMMYFUNCTION("""COMPUTED_VALUE"""),"CloseAllocation")</f>
        <v>CloseAllocation</v>
      </c>
      <c r="BN4" s="22" t="str">
        <f ca="1">IFERROR(__xludf.DUMMYFUNCTION("""COMPUTED_VALUE"""),"UpdateGRAccountValue")</f>
        <v>UpdateGRAccountValue</v>
      </c>
      <c r="BO4" s="22" t="str">
        <f ca="1">IFERROR(__xludf.DUMMYFUNCTION("""COMPUTED_VALUE"""),"UpdateGRStrategyValue")</f>
        <v>UpdateGRStrategyValue</v>
      </c>
      <c r="BP4" s="22" t="str">
        <f ca="1">IFERROR(__xludf.DUMMYFUNCTION("""COMPUTED_VALUE"""),"UpdateGRDefaultRule")</f>
        <v>UpdateGRDefaultRule</v>
      </c>
      <c r="BQ4" s="22" t="str">
        <f ca="1">IFERROR(__xludf.DUMMYFUNCTION("""COMPUTED_VALUE"""),"UpdateGeneralRulePref")</f>
        <v>UpdateGeneralRulePref</v>
      </c>
      <c r="BR4" s="22" t="str">
        <f ca="1">IFERROR(__xludf.DUMMYFUNCTION("""COMPUTED_VALUE"""),"ModifyGRPreferenceValues")</f>
        <v>ModifyGRPreferenceValues</v>
      </c>
      <c r="BS4" s="22" t="str">
        <f ca="1">IFERROR(__xludf.DUMMYFUNCTION("""COMPUTED_VALUE"""),"AddMFPreferences")</f>
        <v>AddMFPreferences</v>
      </c>
      <c r="BT4" s="22" t="str">
        <f ca="1">IFERROR(__xludf.DUMMYFUNCTION("""COMPUTED_VALUE"""),"AddMFPreferenceToolbar")</f>
        <v>AddMFPreferenceToolbar</v>
      </c>
      <c r="BU4" s="22" t="str">
        <f ca="1">IFERROR(__xludf.DUMMYFUNCTION("""COMPUTED_VALUE"""),"DeleteMFPreferences")</f>
        <v>DeleteMFPreferences</v>
      </c>
      <c r="BV4" s="22" t="str">
        <f ca="1">IFERROR(__xludf.DUMMYFUNCTION("""COMPUTED_VALUE"""),"DeleteMFPreferenceToolbar")</f>
        <v>DeleteMFPreferenceToolbar</v>
      </c>
      <c r="BW4" s="22" t="str">
        <f ca="1">IFERROR(__xludf.DUMMYFUNCTION("""COMPUTED_VALUE"""),"RenameMFPreferences")</f>
        <v>RenameMFPreferences</v>
      </c>
      <c r="BX4" s="22" t="str">
        <f ca="1">IFERROR(__xludf.DUMMYFUNCTION("""COMPUTED_VALUE"""),"SaveCloseMFPreference")</f>
        <v>SaveCloseMFPreference</v>
      </c>
      <c r="BY4" s="22" t="str">
        <f ca="1">IFERROR(__xludf.DUMMYFUNCTION("""COMPUTED_VALUE"""),"SetMFPrefAccountValues")</f>
        <v>SetMFPrefAccountValues</v>
      </c>
      <c r="BZ4" s="22" t="str">
        <f ca="1">IFERROR(__xludf.DUMMYFUNCTION("""COMPUTED_VALUE"""),"ModifyMFPrefGeneralRuleValues")</f>
        <v>ModifyMFPrefGeneralRuleValues</v>
      </c>
      <c r="CA4" s="22" t="str">
        <f ca="1">IFERROR(__xludf.DUMMYFUNCTION("""COMPUTED_VALUE"""),"SetMFPrefStrategyValues")</f>
        <v>SetMFPrefStrategyValues</v>
      </c>
      <c r="CB4" s="22" t="str">
        <f ca="1">IFERROR(__xludf.DUMMYFUNCTION("""COMPUTED_VALUE"""),"SetMFPrefGeneralRule")</f>
        <v>SetMFPrefGeneralRule</v>
      </c>
      <c r="CC4" s="22" t="str">
        <f ca="1">IFERROR(__xludf.DUMMYFUNCTION("""COMPUTED_VALUE"""),"SetMFPrefFundDistribution")</f>
        <v>SetMFPrefFundDistribution</v>
      </c>
      <c r="CD4" s="22" t="str">
        <f ca="1">IFERROR(__xludf.DUMMYFUNCTION("""COMPUTED_VALUE"""),"SetMFPreferencesDefaultRule")</f>
        <v>SetMFPreferencesDefaultRule</v>
      </c>
      <c r="CE4" s="22" t="str">
        <f ca="1">IFERROR(__xludf.DUMMYFUNCTION("""COMPUTED_VALUE"""),"SetMFPrefFundDefaultRule")</f>
        <v>SetMFPrefFundDefaultRule</v>
      </c>
      <c r="CF4" s="22" t="str">
        <f ca="1">IFERROR(__xludf.DUMMYFUNCTION("""COMPUTED_VALUE"""),"ClearPrefetchFilters")</f>
        <v>ClearPrefetchFilters</v>
      </c>
      <c r="CG4" s="22" t="str">
        <f ca="1">IFERROR(__xludf.DUMMYFUNCTION("""COMPUTED_VALUE"""),"ExpandCollapseAllUnallocated")</f>
        <v>ExpandCollapseAllUnallocated</v>
      </c>
      <c r="CH4" s="22" t="str">
        <f ca="1">IFERROR(__xludf.DUMMYFUNCTION("""COMPUTED_VALUE"""),"ExpandCollapseAllAllocated")</f>
        <v>ExpandCollapseAllAllocated</v>
      </c>
      <c r="CI4" s="22" t="str">
        <f ca="1">IFERROR(__xludf.DUMMYFUNCTION("""COMPUTED_VALUE"""),"GenerateCashTransaction")</f>
        <v>GenerateCashTransaction</v>
      </c>
      <c r="CJ4" s="22" t="str">
        <f ca="1">IFERROR(__xludf.DUMMYFUNCTION("""COMPUTED_VALUE"""),"SaveAllocation")</f>
        <v>SaveAllocation</v>
      </c>
      <c r="CK4" s="22" t="str">
        <f ca="1">IFERROR(__xludf.DUMMYFUNCTION("""COMPUTED_VALUE"""),"UnallocateWithOutSave")</f>
        <v>UnallocateWithOutSave</v>
      </c>
      <c r="CL4" s="22" t="str">
        <f ca="1">IFERROR(__xludf.DUMMYFUNCTION("""COMPUTED_VALUE"""),"EditUnallocatedGrid")</f>
        <v>EditUnallocatedGrid</v>
      </c>
      <c r="CM4" s="22" t="str">
        <f ca="1">IFERROR(__xludf.DUMMYFUNCTION("""COMPUTED_VALUE"""),"EditAllocatedGrid")</f>
        <v>EditAllocatedGrid</v>
      </c>
      <c r="CN4" s="22" t="str">
        <f ca="1">IFERROR(__xludf.DUMMYFUNCTION("""COMPUTED_VALUE"""),"SaveLayoutAllocatedGrid")</f>
        <v>SaveLayoutAllocatedGrid</v>
      </c>
      <c r="CO4" s="22" t="str">
        <f ca="1">IFERROR(__xludf.DUMMYFUNCTION("""COMPUTED_VALUE"""),"SaveLayoutUnallocatedGrid")</f>
        <v>SaveLayoutUnallocatedGrid</v>
      </c>
      <c r="CP4" s="22" t="str">
        <f ca="1">IFERROR(__xludf.DUMMYFUNCTION("""COMPUTED_VALUE"""),"SaveLayoutAllocationUI")</f>
        <v>SaveLayoutAllocationUI</v>
      </c>
      <c r="CQ4" s="22" t="str">
        <f ca="1">IFERROR(__xludf.DUMMYFUNCTION("""COMPUTED_VALUE"""),"ClearFiltersAllocatedGrid")</f>
        <v>ClearFiltersAllocatedGrid</v>
      </c>
      <c r="CR4" s="22" t="str">
        <f ca="1">IFERROR(__xludf.DUMMYFUNCTION("""COMPUTED_VALUE"""),"ClearFiltersUnallocatedGrid")</f>
        <v>ClearFiltersUnallocatedGrid</v>
      </c>
      <c r="CS4" s="22" t="str">
        <f ca="1">IFERROR(__xludf.DUMMYFUNCTION("""COMPUTED_VALUE"""),"VerifyLayoutAllocatedGrid")</f>
        <v>VerifyLayoutAllocatedGrid</v>
      </c>
      <c r="CT4" s="22" t="str">
        <f ca="1">IFERROR(__xludf.DUMMYFUNCTION("""COMPUTED_VALUE"""),"VerifyLayoutUnallocatedGrid")</f>
        <v>VerifyLayoutUnallocatedGrid</v>
      </c>
      <c r="CU4" s="22" t="str">
        <f ca="1">IFERROR(__xludf.DUMMYFUNCTION("""COMPUTED_VALUE"""),"CleanUp")</f>
        <v>CleanUp</v>
      </c>
      <c r="CV4" s="22" t="str">
        <f ca="1">IFERROR(__xludf.DUMMYFUNCTION("""COMPUTED_VALUE"""),"CheckAllocatedTaxlots")</f>
        <v>CheckAllocatedTaxlots</v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</row>
    <row r="5" spans="1:153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IFERROR(__xludf.DUMMYFUNCTION("""COMPUTED_VALUE"""),"Symbol")</f>
        <v>Symbol</v>
      </c>
      <c r="C5" s="24" t="str">
        <f ca="1">IFERROR(__xludf.DUMMYFUNCTION("""COMPUTED_VALUE"""),"Side")</f>
        <v>Side</v>
      </c>
      <c r="D5" s="24" t="str">
        <f ca="1">IFERROR(__xludf.DUMMYFUNCTION("""COMPUTED_VALUE"""),"Quantity")</f>
        <v>Quantity</v>
      </c>
      <c r="E5" s="24" t="str">
        <f ca="1">IFERROR(__xludf.DUMMYFUNCTION("""COMPUTED_VALUE"""),"Executed Qty")</f>
        <v>Executed Qty</v>
      </c>
      <c r="F5" s="24" t="str">
        <f ca="1">IFERROR(__xludf.DUMMYFUNCTION("""COMPUTED_VALUE"""),"Trade Date")</f>
        <v>Trade Date</v>
      </c>
      <c r="G5" s="24" t="str">
        <f ca="1">IFERROR(__xludf.DUMMYFUNCTION("""COMPUTED_VALUE"""),"Net Amount( Local)")</f>
        <v>Net Amount( Local)</v>
      </c>
      <c r="H5" s="24" t="str">
        <f ca="1">IFERROR(__xludf.DUMMYFUNCTION("""COMPUTED_VALUE"""),"Net Amount( Base)")</f>
        <v>Net Amount( Base)</v>
      </c>
      <c r="I5" s="24" t="str">
        <f ca="1">IFERROR(__xludf.DUMMYFUNCTION("""COMPUTED_VALUE"""),"Principal Amount( Local)")</f>
        <v>Principal Amount( Local)</v>
      </c>
      <c r="J5" s="24" t="str">
        <f ca="1">IFERROR(__xludf.DUMMYFUNCTION("""COMPUTED_VALUE"""),"Transaction Type")</f>
        <v>Transaction Type</v>
      </c>
      <c r="K5" s="24" t="str">
        <f ca="1">IFERROR(__xludf.DUMMYFUNCTION("""COMPUTED_VALUE"""),"Principal Amount( Base)")</f>
        <v>Principal Amount( Base)</v>
      </c>
      <c r="L5" s="24" t="str">
        <f ca="1">IFERROR(__xludf.DUMMYFUNCTION("""COMPUTED_VALUE"""),"Execution Time")</f>
        <v>Execution Time</v>
      </c>
      <c r="M5" s="24" t="str">
        <f ca="1">IFERROR(__xludf.DUMMYFUNCTION("""COMPUTED_VALUE"""),"Trading Account")</f>
        <v>Trading Account</v>
      </c>
      <c r="N5" s="24" t="str">
        <f ca="1">IFERROR(__xludf.DUMMYFUNCTION("""COMPUTED_VALUE"""),"Avg Price(Local)")</f>
        <v>Avg Price(Local)</v>
      </c>
      <c r="O5" s="24" t="str">
        <f ca="1">IFERROR(__xludf.DUMMYFUNCTION("""COMPUTED_VALUE"""),"Avg Price(Base)")</f>
        <v>Avg Price(Base)</v>
      </c>
      <c r="P5" s="24" t="str">
        <f ca="1">IFERROR(__xludf.DUMMYFUNCTION("""COMPUTED_VALUE"""),"Broker")</f>
        <v>Broker</v>
      </c>
      <c r="Q5" s="24" t="str">
        <f ca="1">IFERROR(__xludf.DUMMYFUNCTION("""COMPUTED_VALUE"""),"FX Rate")</f>
        <v>FX Rate</v>
      </c>
      <c r="R5" s="24" t="str">
        <f ca="1">IFERROR(__xludf.DUMMYFUNCTION("""COMPUTED_VALUE"""),"Venue")</f>
        <v>Venue</v>
      </c>
      <c r="S5" s="24" t="str">
        <f ca="1">IFERROR(__xludf.DUMMYFUNCTION("""COMPUTED_VALUE"""),"FX Conversion Operator")</f>
        <v>FX Conversion Operator</v>
      </c>
      <c r="T5" s="25" t="str">
        <f ca="1">IFERROR(__xludf.DUMMYFUNCTION("""COMPUTED_VALUE"""),"User")</f>
        <v>User</v>
      </c>
      <c r="U5" s="25" t="str">
        <f ca="1">IFERROR(__xludf.DUMMYFUNCTION("""COMPUTED_VALUE"""),"Asset Category")</f>
        <v>Asset Category</v>
      </c>
      <c r="V5" s="25" t="str">
        <f ca="1">IFERROR(__xludf.DUMMYFUNCTION("""COMPUTED_VALUE"""),"Settlement Currency")</f>
        <v>Settlement Currency</v>
      </c>
      <c r="W5" s="25" t="str">
        <f ca="1">IFERROR(__xludf.DUMMYFUNCTION("""COMPUTED_VALUE"""),"Commission Per Share")</f>
        <v>Commission Per Share</v>
      </c>
      <c r="X5" s="25" t="str">
        <f ca="1">IFERROR(__xludf.DUMMYFUNCTION("""COMPUTED_VALUE"""),"Soft Commission Per Share")</f>
        <v>Soft Commission Per Share</v>
      </c>
      <c r="Y5" s="25" t="str">
        <f ca="1">IFERROR(__xludf.DUMMYFUNCTION("""COMPUTED_VALUE"""),"Total Commission Per Share")</f>
        <v>Total Commission Per Share</v>
      </c>
      <c r="Z5" s="25" t="str">
        <f ca="1">IFERROR(__xludf.DUMMYFUNCTION("""COMPUTED_VALUE"""),"Change Type")</f>
        <v>Change Type</v>
      </c>
      <c r="AA5" s="25" t="str">
        <f ca="1">IFERROR(__xludf.DUMMYFUNCTION("""COMPUTED_VALUE"""),"Trade Attribute 1")</f>
        <v>Trade Attribute 1</v>
      </c>
      <c r="AB5" s="25" t="str">
        <f ca="1">IFERROR(__xludf.DUMMYFUNCTION("""COMPUTED_VALUE"""),"Trade Attribute 2")</f>
        <v>Trade Attribute 2</v>
      </c>
      <c r="AC5" s="25" t="str">
        <f ca="1">IFERROR(__xludf.DUMMYFUNCTION("""COMPUTED_VALUE"""),"Trade Attribute 3")</f>
        <v>Trade Attribute 3</v>
      </c>
      <c r="AD5" s="25" t="str">
        <f ca="1">IFERROR(__xludf.DUMMYFUNCTION("""COMPUTED_VALUE"""),"Trade Attribute 4")</f>
        <v>Trade Attribute 4</v>
      </c>
      <c r="AE5" s="25" t="str">
        <f ca="1">IFERROR(__xludf.DUMMYFUNCTION("""COMPUTED_VALUE"""),"Trade Attribute 5")</f>
        <v>Trade Attribute 5</v>
      </c>
      <c r="AF5" s="25" t="str">
        <f ca="1">IFERROR(__xludf.DUMMYFUNCTION("""COMPUTED_VALUE"""),"Trade Attribute 6")</f>
        <v>Trade Attribute 6</v>
      </c>
      <c r="AG5" s="25" t="str">
        <f ca="1">IFERROR(__xludf.DUMMYFUNCTION("""COMPUTED_VALUE"""),"IsPreAllocated")</f>
        <v>IsPreAllocated</v>
      </c>
      <c r="AH5" s="25" t="str">
        <f ca="1">IFERROR(__xludf.DUMMYFUNCTION("""COMPUTED_VALUE"""),"IsManual Group")</f>
        <v>IsManual Group</v>
      </c>
      <c r="AI5" s="25" t="str">
        <f ca="1">IFERROR(__xludf.DUMMYFUNCTION("""COMPUTED_VALUE"""),"IsAnotherTaxlotAttributesUpdated")</f>
        <v>IsAnotherTaxlotAttributesUpdated</v>
      </c>
      <c r="AJ5" s="25" t="str">
        <f ca="1">IFERROR(__xludf.DUMMYFUNCTION("""COMPUTED_VALUE"""),"ISNDF")</f>
        <v>ISNDF</v>
      </c>
      <c r="AK5" s="25" t="str">
        <f ca="1">IFERROR(__xludf.DUMMYFUNCTION("""COMPUTED_VALUE"""),"M2MProfitLoss")</f>
        <v>M2MProfitLoss</v>
      </c>
      <c r="AL5" s="25" t="str">
        <f ca="1">IFERROR(__xludf.DUMMYFUNCTION("""COMPUTED_VALUE"""),"Put Or Call")</f>
        <v>Put Or Call</v>
      </c>
      <c r="AM5" s="25" t="str">
        <f ca="1">IFERROR(__xludf.DUMMYFUNCTION("""COMPUTED_VALUE"""),"GroupID")</f>
        <v>GroupID</v>
      </c>
      <c r="AN5" s="25" t="str">
        <f ca="1">IFERROR(__xludf.DUMMYFUNCTION("""COMPUTED_VALUE"""),"UnAllocatedQty")</f>
        <v>UnAllocatedQty</v>
      </c>
      <c r="AO5" s="25" t="str">
        <f ca="1">IFERROR(__xludf.DUMMYFUNCTION("""COMPUTED_VALUE"""),"Allocated Qty")</f>
        <v>Allocated Qty</v>
      </c>
      <c r="AP5" s="25" t="str">
        <f ca="1">IFERROR(__xludf.DUMMYFUNCTION("""COMPUTED_VALUE"""),"Commission")</f>
        <v>Commission</v>
      </c>
      <c r="AQ5" s="25" t="str">
        <f ca="1">IFERROR(__xludf.DUMMYFUNCTION("""COMPUTED_VALUE"""),"Soft Commission")</f>
        <v>Soft Commission</v>
      </c>
      <c r="AR5" s="25" t="str">
        <f ca="1">IFERROR(__xludf.DUMMYFUNCTION("""COMPUTED_VALUE"""),"Other Broker Fees")</f>
        <v>Other Broker Fees</v>
      </c>
      <c r="AS5" s="25" t="str">
        <f ca="1">IFERROR(__xludf.DUMMYFUNCTION("""COMPUTED_VALUE"""),"Clearing Broker Fee")</f>
        <v>Clearing Broker Fee</v>
      </c>
      <c r="AT5" s="25" t="str">
        <f ca="1">IFERROR(__xludf.DUMMYFUNCTION("""COMPUTED_VALUE"""),"Total Commission And Fee")</f>
        <v>Total Commission And Fee</v>
      </c>
      <c r="AU5" s="25" t="str">
        <f ca="1">IFERROR(__xludf.DUMMYFUNCTION("""COMPUTED_VALUE"""),"Transaction Levy")</f>
        <v>Transaction Levy</v>
      </c>
      <c r="AV5" s="25" t="str">
        <f ca="1">IFERROR(__xludf.DUMMYFUNCTION("""COMPUTED_VALUE"""),"Stamp Duty")</f>
        <v>Stamp Duty</v>
      </c>
      <c r="AW5" s="25" t="str">
        <f ca="1">IFERROR(__xludf.DUMMYFUNCTION("""COMPUTED_VALUE"""),"AUEC Fee1")</f>
        <v>AUEC Fee1</v>
      </c>
      <c r="AX5" s="25" t="str">
        <f ca="1">IFERROR(__xludf.DUMMYFUNCTION("""COMPUTED_VALUE"""),"Tax On Commissions")</f>
        <v>Tax On Commissions</v>
      </c>
      <c r="AY5" s="25" t="str">
        <f ca="1">IFERROR(__xludf.DUMMYFUNCTION("""COMPUTED_VALUE"""),"AUEC Fee2")</f>
        <v>AUEC Fee2</v>
      </c>
      <c r="AZ5" s="25" t="str">
        <f ca="1">IFERROR(__xludf.DUMMYFUNCTION("""COMPUTED_VALUE"""),"SEC Fee")</f>
        <v>SEC Fee</v>
      </c>
      <c r="BA5" s="25" t="str">
        <f ca="1">IFERROR(__xludf.DUMMYFUNCTION("""COMPUTED_VALUE"""),"OCC Fee")</f>
        <v>OCC Fee</v>
      </c>
      <c r="BB5" s="25" t="str">
        <f ca="1">IFERROR(__xludf.DUMMYFUNCTION("""COMPUTED_VALUE"""),"ORF Fee")</f>
        <v>ORF Fee</v>
      </c>
      <c r="BC5" s="25" t="str">
        <f ca="1">IFERROR(__xludf.DUMMYFUNCTION("""COMPUTED_VALUE"""),"Option Premium Adjustment")</f>
        <v>Option Premium Adjustment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IFERROR(__xludf.DUMMYFUNCTION("""COMPUTED_VALUE"""),"Total Commission")</f>
        <v>Total Commission</v>
      </c>
      <c r="BF5" s="25" t="str">
        <f ca="1">IFERROR(__xludf.DUMMYFUNCTION("""COMPUTED_VALUE"""),"Closing Status")</f>
        <v>Closing Status</v>
      </c>
      <c r="BG5" s="25" t="str">
        <f ca="1">IFERROR(__xludf.DUMMYFUNCTION("""COMPUTED_VALUE"""),"Closing Method")</f>
        <v>Closing Method</v>
      </c>
      <c r="BH5" s="25" t="str">
        <f ca="1">IFERROR(__xludf.DUMMYFUNCTION("""COMPUTED_VALUE"""),"Group Status")</f>
        <v>Group Status</v>
      </c>
      <c r="BI5" s="25" t="str">
        <f ca="1">IFERROR(__xludf.DUMMYFUNCTION("""COMPUTED_VALUE"""),"Allocation Scheme Name")</f>
        <v>Allocation Scheme Name</v>
      </c>
      <c r="BJ5" s="25" t="str">
        <f ca="1">IFERROR(__xludf.DUMMYFUNCTION("""COMPUTED_VALUE"""),"Change Comment")</f>
        <v>Change Comment</v>
      </c>
      <c r="BK5" s="25" t="str">
        <f ca="1">IFERROR(__xludf.DUMMYFUNCTION("""COMPUTED_VALUE"""),"Order Type")</f>
        <v>Order Type</v>
      </c>
      <c r="BL5" s="25" t="str">
        <f ca="1">IFERROR(__xludf.DUMMYFUNCTION("""COMPUTED_VALUE"""),"Underlying")</f>
        <v>Underlying</v>
      </c>
      <c r="BM5" s="25" t="str">
        <f ca="1">IFERROR(__xludf.DUMMYFUNCTION("""COMPUTED_VALUE"""),"Exchange")</f>
        <v>Exchange</v>
      </c>
      <c r="BN5" s="25" t="str">
        <f ca="1">IFERROR(__xludf.DUMMYFUNCTION("""COMPUTED_VALUE"""),"Currency")</f>
        <v>Currency</v>
      </c>
      <c r="BO5" s="25" t="str">
        <f ca="1">IFERROR(__xludf.DUMMYFUNCTION("""COMPUTED_VALUE"""),"AUECID")</f>
        <v>AUECID</v>
      </c>
      <c r="BP5" s="25" t="str">
        <f ca="1">IFERROR(__xludf.DUMMYFUNCTION("""COMPUTED_VALUE"""),"Cum Qty For Sub Order")</f>
        <v>Cum Qty For Sub Order</v>
      </c>
      <c r="BQ5" s="25" t="str">
        <f ca="1">IFERROR(__xludf.DUMMYFUNCTION("""COMPUTED_VALUE"""),"Contract Multiplier")</f>
        <v>Contract Multiplier</v>
      </c>
      <c r="BR5" s="25" t="str">
        <f ca="1">IFERROR(__xludf.DUMMYFUNCTION("""COMPUTED_VALUE"""),"Company")</f>
        <v>Company</v>
      </c>
      <c r="BS5" s="25" t="str">
        <f ca="1">IFERROR(__xludf.DUMMYFUNCTION("""COMPUTED_VALUE"""),"Nirvana Process Date")</f>
        <v>Nirvana Process Date</v>
      </c>
      <c r="BT5" s="25" t="str">
        <f ca="1">IFERROR(__xludf.DUMMYFUNCTION("""COMPUTED_VALUE"""),"Process Date")</f>
        <v>Process Date</v>
      </c>
      <c r="BU5" s="25" t="str">
        <f ca="1">IFERROR(__xludf.DUMMYFUNCTION("""COMPUTED_VALUE"""),"Original Purchase Date")</f>
        <v>Original Purchase Date</v>
      </c>
      <c r="BV5" s="25" t="str">
        <f ca="1">IFERROR(__xludf.DUMMYFUNCTION("""COMPUTED_VALUE"""),"Closing Date")</f>
        <v>Closing Date</v>
      </c>
      <c r="BW5" s="25" t="str">
        <f ca="1">IFERROR(__xludf.DUMMYFUNCTION("""COMPUTED_VALUE"""),"Settlement Date")</f>
        <v>Settlement Date</v>
      </c>
      <c r="BX5" s="25" t="str">
        <f ca="1">IFERROR(__xludf.DUMMYFUNCTION("""COMPUTED_VALUE"""),"Expiration Date")</f>
        <v>Expiration Date</v>
      </c>
      <c r="BY5" s="25" t="str">
        <f ca="1">IFERROR(__xludf.DUMMYFUNCTION("""COMPUTED_VALUE"""),"Description")</f>
        <v>Description</v>
      </c>
      <c r="BZ5" s="25" t="str">
        <f ca="1">IFERROR(__xludf.DUMMYFUNCTION("""COMPUTED_VALUE"""),"Underlying Symbol")</f>
        <v>Underlying Symbol</v>
      </c>
      <c r="CA5" s="25" t="str">
        <f ca="1">IFERROR(__xludf.DUMMYFUNCTION("""COMPUTED_VALUE"""),"Accrued Interest")</f>
        <v>Accrued Interest</v>
      </c>
      <c r="CB5" s="25" t="str">
        <f ca="1">IFERROR(__xludf.DUMMYFUNCTION("""COMPUTED_VALUE"""),"Accrual Basis")</f>
        <v>Accrual Basis</v>
      </c>
      <c r="CC5" s="25" t="str">
        <f ca="1">IFERROR(__xludf.DUMMYFUNCTION("""COMPUTED_VALUE"""),"Bond Type")</f>
        <v>Bond Type</v>
      </c>
      <c r="CD5" s="25" t="str">
        <f ca="1">IFERROR(__xludf.DUMMYFUNCTION("""COMPUTED_VALUE"""),"Coupon Rate")</f>
        <v>Coupon Rate</v>
      </c>
      <c r="CE5" s="25" t="str">
        <f ca="1">IFERROR(__xludf.DUMMYFUNCTION("""COMPUTED_VALUE"""),"Delta")</f>
        <v>Delta</v>
      </c>
      <c r="CF5" s="25" t="str">
        <f ca="1">IFERROR(__xludf.DUMMYFUNCTION("""COMPUTED_VALUE"""),"Bloomberg")</f>
        <v>Bloomberg</v>
      </c>
      <c r="CG5" s="25" t="str">
        <f ca="1">IFERROR(__xludf.DUMMYFUNCTION("""COMPUTED_VALUE"""),"Sedol Symbol")</f>
        <v>Sedol Symbol</v>
      </c>
      <c r="CH5" s="25" t="str">
        <f ca="1">IFERROR(__xludf.DUMMYFUNCTION("""COMPUTED_VALUE"""),"Cusip Symbol")</f>
        <v>Cusip Symbol</v>
      </c>
      <c r="CI5" s="25" t="str">
        <f ca="1">IFERROR(__xludf.DUMMYFUNCTION("""COMPUTED_VALUE"""),"ISIN")</f>
        <v>ISIN</v>
      </c>
      <c r="CJ5" s="25" t="str">
        <f ca="1">IFERROR(__xludf.DUMMYFUNCTION("""COMPUTED_VALUE"""),"OSISSymbol")</f>
        <v>OSISSymbol</v>
      </c>
      <c r="CK5" s="25" t="str">
        <f ca="1">IFERROR(__xludf.DUMMYFUNCTION("""COMPUTED_VALUE"""),"IDCOSymbol")</f>
        <v>IDCOSymbol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IFERROR(__xludf.DUMMYFUNCTION("""COMPUTED_VALUE"""),"Internal Comments")</f>
        <v>Internal Comments</v>
      </c>
      <c r="CN5" s="25" t="str">
        <f ca="1">IFERROR(__xludf.DUMMYFUNCTION("""COMPUTED_VALUE"""),"Proxy Symbol")</f>
        <v>Proxy Symbol</v>
      </c>
      <c r="CO5" s="25" t="str">
        <f ca="1">IFERROR(__xludf.DUMMYFUNCTION("""COMPUTED_VALUE"""),"Transaction Source")</f>
        <v>Transaction Source</v>
      </c>
      <c r="CP5" s="25" t="str">
        <f ca="1">IFERROR(__xludf.DUMMYFUNCTION("""COMPUTED_VALUE"""),"Import File Name")</f>
        <v>Import File Name</v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</row>
    <row r="6" spans="1:153" ht="15.75" customHeight="1">
      <c r="A6" s="3"/>
      <c r="B6" s="8" t="s">
        <v>16</v>
      </c>
      <c r="C6" s="8" t="s">
        <v>17</v>
      </c>
      <c r="D6" s="8">
        <v>100</v>
      </c>
      <c r="E6" s="8">
        <v>100</v>
      </c>
      <c r="O6" s="26">
        <v>1</v>
      </c>
    </row>
    <row r="7" spans="1:153" ht="15.75" customHeight="1">
      <c r="A7" s="3"/>
      <c r="B7" s="8" t="s">
        <v>20</v>
      </c>
      <c r="C7" s="8" t="s">
        <v>26</v>
      </c>
      <c r="D7" s="8">
        <v>600</v>
      </c>
      <c r="E7" s="8">
        <v>600</v>
      </c>
      <c r="F7" s="3"/>
      <c r="G7" s="3"/>
      <c r="H7" s="3"/>
      <c r="I7" s="3"/>
      <c r="J7" s="3"/>
      <c r="K7" s="3"/>
      <c r="L7" s="3"/>
      <c r="M7" s="3"/>
      <c r="N7" s="3"/>
      <c r="O7" s="8">
        <v>1</v>
      </c>
    </row>
    <row r="8" spans="1:153" ht="15.75" customHeight="1">
      <c r="A8" s="3"/>
      <c r="B8" s="8" t="s">
        <v>23</v>
      </c>
      <c r="C8" s="8" t="s">
        <v>26</v>
      </c>
      <c r="D8" s="8">
        <v>400</v>
      </c>
      <c r="E8" s="8">
        <v>400</v>
      </c>
      <c r="F8" s="3"/>
      <c r="G8" s="3"/>
      <c r="H8" s="3"/>
      <c r="I8" s="3"/>
      <c r="J8" s="3"/>
      <c r="K8" s="3"/>
      <c r="L8" s="3"/>
      <c r="M8" s="3"/>
      <c r="N8" s="3"/>
      <c r="O8" s="8">
        <v>1</v>
      </c>
    </row>
    <row r="9" spans="1:153" ht="15.75" customHeight="1">
      <c r="A9" s="3"/>
      <c r="B9" s="8" t="s">
        <v>27</v>
      </c>
      <c r="C9" s="8" t="s">
        <v>28</v>
      </c>
      <c r="D9" s="8">
        <v>100</v>
      </c>
      <c r="E9" s="8">
        <v>100</v>
      </c>
      <c r="F9" s="3"/>
      <c r="G9" s="3"/>
      <c r="H9" s="3"/>
      <c r="I9" s="3"/>
      <c r="J9" s="3"/>
      <c r="K9" s="3"/>
      <c r="L9" s="3"/>
      <c r="M9" s="3"/>
      <c r="N9" s="3"/>
      <c r="O9" s="8">
        <v>1</v>
      </c>
    </row>
    <row r="10" spans="1:153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3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3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3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3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3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3"/>
      <c r="B2" s="3"/>
      <c r="C2" s="3"/>
      <c r="D2" s="3"/>
      <c r="E2" s="3"/>
      <c r="F2" s="3"/>
      <c r="G2" s="3"/>
      <c r="H2" s="3"/>
      <c r="I2" s="3"/>
      <c r="J2" s="15" t="e">
        <f ca="1">VLOOKUP($E$3,_MasterData!B4:D1000,3,FALSE)</f>
        <v>#N/A</v>
      </c>
      <c r="K2" s="16"/>
      <c r="L2" s="3"/>
      <c r="M2" s="3"/>
      <c r="N2" s="3"/>
      <c r="O2" s="3"/>
    </row>
    <row r="3" spans="1:153" ht="15.75" customHeight="1">
      <c r="A3" s="17"/>
      <c r="B3" s="4" t="s">
        <v>3</v>
      </c>
      <c r="C3" s="18" t="s">
        <v>36</v>
      </c>
      <c r="D3" s="4" t="s">
        <v>7</v>
      </c>
      <c r="E3" s="18" t="s">
        <v>39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tr">
        <f ca="1">IFERROR(__xludf.DUMMYFUNCTION("""COMPUTED_VALUE"""),"CheckAllocatedGroups")</f>
        <v>CheckAllocatedGroups</v>
      </c>
      <c r="D4" s="21" t="str">
        <f ca="1">IFERROR(__xludf.DUMMYFUNCTION("""COMPUTED_VALUE"""),"Unallocate")</f>
        <v>Unallocate</v>
      </c>
      <c r="E4" s="21" t="str">
        <f ca="1">IFERROR(__xludf.DUMMYFUNCTION("""COMPUTED_VALUE"""),"GetDataAllocation")</f>
        <v>GetDataAllocation</v>
      </c>
      <c r="F4" s="21" t="str">
        <f ca="1">IFERROR(__xludf.DUMMYFUNCTION("""COMPUTED_VALUE"""),"SelectAllocatedGroup")</f>
        <v>SelectAllocatedGroup</v>
      </c>
      <c r="G4" s="21" t="str">
        <f ca="1">IFERROR(__xludf.DUMMYFUNCTION("""COMPUTED_VALUE"""),"EditTradesAllocated")</f>
        <v>EditTradesAllocated</v>
      </c>
      <c r="H4" s="21" t="str">
        <f ca="1">IFERROR(__xludf.DUMMYFUNCTION("""COMPUTED_VALUE"""),"EditTradesUnallocated")</f>
        <v>EditTradesUnallocated</v>
      </c>
      <c r="I4" s="21" t="str">
        <f ca="1">IFERROR(__xludf.DUMMYFUNCTION("""COMPUTED_VALUE"""),"Reallocate")</f>
        <v>Reallocate</v>
      </c>
      <c r="J4" s="21" t="str">
        <f ca="1">IFERROR(__xludf.DUMMYFUNCTION("""COMPUTED_VALUE"""),"EditUnallocatedGroupSidePanel")</f>
        <v>EditUnallocatedGroupSidePanel</v>
      </c>
      <c r="K4" s="21" t="str">
        <f ca="1">IFERROR(__xludf.DUMMYFUNCTION("""COMPUTED_VALUE"""),"TradeAttributeBulkChange")</f>
        <v>TradeAttributeBulkChange</v>
      </c>
      <c r="L4" s="21" t="str">
        <f ca="1">IFERROR(__xludf.DUMMYFUNCTION("""COMPUTED_VALUE"""),"ApplyBulkUpdateOnGroups")</f>
        <v>ApplyBulkUpdateOnGroups</v>
      </c>
      <c r="M4" s="21" t="str">
        <f ca="1">IFERROR(__xludf.DUMMYFUNCTION("""COMPUTED_VALUE"""),"ApplyPrefetchFilters")</f>
        <v>ApplyPrefetchFilters</v>
      </c>
      <c r="N4" s="21" t="str">
        <f ca="1">IFERROR(__xludf.DUMMYFUNCTION("""COMPUTED_VALUE"""),"GeneralPreferencesDefaultRule")</f>
        <v>GeneralPreferencesDefaultRule</v>
      </c>
      <c r="O4" s="21" t="str">
        <f ca="1">IFERROR(__xludf.DUMMYFUNCTION("""COMPUTED_VALUE"""),"GeneralPrefCompanyUserWise")</f>
        <v>GeneralPrefCompanyUserWise</v>
      </c>
      <c r="P4" s="22" t="str">
        <f ca="1">IFERROR(__xludf.DUMMYFUNCTION("""COMPUTED_VALUE"""),"RenameTradeAttributes")</f>
        <v>RenameTradeAttributes</v>
      </c>
      <c r="Q4" s="22" t="str">
        <f ca="1">IFERROR(__xludf.DUMMYFUNCTION("""COMPUTED_VALUE"""),"SetGroupingRules")</f>
        <v>SetGroupingRules</v>
      </c>
      <c r="R4" s="22" t="str">
        <f ca="1">IFERROR(__xludf.DUMMYFUNCTION("""COMPUTED_VALUE"""),"SetMasterFundRatio")</f>
        <v>SetMasterFundRatio</v>
      </c>
      <c r="S4" s="22" t="str">
        <f ca="1">IFERROR(__xludf.DUMMYFUNCTION("""COMPUTED_VALUE"""),"CheckFixedPreference")</f>
        <v>CheckFixedPreference</v>
      </c>
      <c r="T4" s="22" t="str">
        <f ca="1">IFERROR(__xludf.DUMMYFUNCTION("""COMPUTED_VALUE"""),"GetFixedPreference")</f>
        <v>GetFixedPreference</v>
      </c>
      <c r="U4" s="22" t="str">
        <f ca="1">IFERROR(__xludf.DUMMYFUNCTION("""COMPUTED_VALUE"""),"AddCalculatedPreferences")</f>
        <v>AddCalculatedPreferences</v>
      </c>
      <c r="V4" s="22" t="str">
        <f ca="1">IFERROR(__xludf.DUMMYFUNCTION("""COMPUTED_VALUE"""),"BulkChangeCalculatedPreferences")</f>
        <v>BulkChangeCalculatedPreferences</v>
      </c>
      <c r="W4" s="22" t="str">
        <f ca="1">IFERROR(__xludf.DUMMYFUNCTION("""COMPUTED_VALUE"""),"DeleteCalculatedPreferences")</f>
        <v>DeleteCalculatedPreferences</v>
      </c>
      <c r="X4" s="22" t="str">
        <f ca="1">IFERROR(__xludf.DUMMYFUNCTION("""COMPUTED_VALUE"""),"RenameCalculatedPreferences")</f>
        <v>RenameCalculatedPreferences</v>
      </c>
      <c r="Y4" s="22" t="str">
        <f ca="1">IFERROR(__xludf.DUMMYFUNCTION("""COMPUTED_VALUE"""),"CopyCalculatedPreferences")</f>
        <v>CopyCalculatedPreferences</v>
      </c>
      <c r="Z4" s="22" t="str">
        <f ca="1">IFERROR(__xludf.DUMMYFUNCTION("""COMPUTED_VALUE"""),"RunAutoGroup")</f>
        <v>RunAutoGroup</v>
      </c>
      <c r="AA4" s="22" t="str">
        <f ca="1">IFERROR(__xludf.DUMMYFUNCTION("""COMPUTED_VALUE"""),"BookOrUpdateSwap")</f>
        <v>BookOrUpdateSwap</v>
      </c>
      <c r="AB4" s="22" t="str">
        <f ca="1">IFERROR(__xludf.DUMMYFUNCTION("""COMPUTED_VALUE"""),"RunProrata")</f>
        <v>RunProrata</v>
      </c>
      <c r="AC4" s="22" t="str">
        <f ca="1">IFERROR(__xludf.DUMMYFUNCTION("""COMPUTED_VALUE"""),"SetDefaultRuleCalculatedPref")</f>
        <v>SetDefaultRuleCalculatedPref</v>
      </c>
      <c r="AD4" s="22" t="str">
        <f ca="1">IFERROR(__xludf.DUMMYFUNCTION("""COMPUTED_VALUE"""),"SetAccountValueCalculatedPref")</f>
        <v>SetAccountValueCalculatedPref</v>
      </c>
      <c r="AE4" s="22" t="str">
        <f ca="1">IFERROR(__xludf.DUMMYFUNCTION("""COMPUTED_VALUE"""),"TradeAttributeBulkChangeGroups")</f>
        <v>TradeAttributeBulkChangeGroups</v>
      </c>
      <c r="AF4" s="22" t="str">
        <f ca="1">IFERROR(__xludf.DUMMYFUNCTION("""COMPUTED_VALUE"""),"TradeAttributeBulkChangeTaxlots")</f>
        <v>TradeAttributeBulkChangeTaxlots</v>
      </c>
      <c r="AG4" s="22" t="str">
        <f ca="1">IFERROR(__xludf.DUMMYFUNCTION("""COMPUTED_VALUE"""),"AddCalculatedPreferenceToolbar")</f>
        <v>AddCalculatedPreferenceToolbar</v>
      </c>
      <c r="AH4" s="22" t="str">
        <f ca="1">IFERROR(__xludf.DUMMYFUNCTION("""COMPUTED_VALUE"""),"SetStrategyValueCalculatedPref")</f>
        <v>SetStrategyValueCalculatedPref</v>
      </c>
      <c r="AI4" s="22" t="str">
        <f ca="1">IFERROR(__xludf.DUMMYFUNCTION("""COMPUTED_VALUE"""),"ApplyBulkUpdateOnTaxlots")</f>
        <v>ApplyBulkUpdateOnTaxlots</v>
      </c>
      <c r="AJ4" s="22" t="str">
        <f ca="1">IFERROR(__xludf.DUMMYFUNCTION("""COMPUTED_VALUE"""),"CommissionBulkChangeOnGroups")</f>
        <v>CommissionBulkChangeOnGroups</v>
      </c>
      <c r="AK4" s="22" t="str">
        <f ca="1">IFERROR(__xludf.DUMMYFUNCTION("""COMPUTED_VALUE"""),"CommissionBulkChangeOnTaxlots")</f>
        <v>CommissionBulkChangeOnTaxlots</v>
      </c>
      <c r="AL4" s="22" t="str">
        <f ca="1">IFERROR(__xludf.DUMMYFUNCTION("""COMPUTED_VALUE"""),"SelectUnallocatedGroup")</f>
        <v>SelectUnallocatedGroup</v>
      </c>
      <c r="AM4" s="22" t="str">
        <f ca="1">IFERROR(__xludf.DUMMYFUNCTION("""COMPUTED_VALUE"""),"EnterAccountValuesToAllocate")</f>
        <v>EnterAccountValuesToAllocate</v>
      </c>
      <c r="AN4" s="22" t="str">
        <f ca="1">IFERROR(__xludf.DUMMYFUNCTION("""COMPUTED_VALUE"""),"EnterAllocatePreference")</f>
        <v>EnterAllocatePreference</v>
      </c>
      <c r="AO4" s="22" t="str">
        <f ca="1">IFERROR(__xludf.DUMMYFUNCTION("""COMPUTED_VALUE"""),"EnterStrategyValuesToAllocate")</f>
        <v>EnterStrategyValuesToAllocate</v>
      </c>
      <c r="AP4" s="22" t="str">
        <f ca="1">IFERROR(__xludf.DUMMYFUNCTION("""COMPUTED_VALUE"""),"CopyCalculatedPreferenceToolbar")</f>
        <v>CopyCalculatedPreferenceToolbar</v>
      </c>
      <c r="AQ4" s="22" t="str">
        <f ca="1">IFERROR(__xludf.DUMMYFUNCTION("""COMPUTED_VALUE"""),"SetGeneralRuleCalculatedPref")</f>
        <v>SetGeneralRuleCalculatedPref</v>
      </c>
      <c r="AR4" s="22" t="str">
        <f ca="1">IFERROR(__xludf.DUMMYFUNCTION("""COMPUTED_VALUE"""),"ExportAllCalculatedPreferences")</f>
        <v>ExportAllCalculatedPreferences</v>
      </c>
      <c r="AS4" s="22" t="str">
        <f ca="1">IFERROR(__xludf.DUMMYFUNCTION("""COMPUTED_VALUE"""),"SaveCalculatedPreferences")</f>
        <v>SaveCalculatedPreferences</v>
      </c>
      <c r="AT4" s="22" t="str">
        <f ca="1">IFERROR(__xludf.DUMMYFUNCTION("""COMPUTED_VALUE"""),"CloseCalculatedPreferences")</f>
        <v>CloseCalculatedPreferences</v>
      </c>
      <c r="AU4" s="22" t="str">
        <f ca="1">IFERROR(__xludf.DUMMYFUNCTION("""COMPUTED_VALUE"""),"ExportCalculatedPreference")</f>
        <v>ExportCalculatedPreference</v>
      </c>
      <c r="AV4" s="22" t="str">
        <f ca="1">IFERROR(__xludf.DUMMYFUNCTION("""COMPUTED_VALUE"""),"ImportCalculatedPreferences")</f>
        <v>ImportCalculatedPreferences</v>
      </c>
      <c r="AW4" s="22" t="str">
        <f ca="1">IFERROR(__xludf.DUMMYFUNCTION("""COMPUTED_VALUE"""),"OpenAuditTrailUnallocatedGroup")</f>
        <v>OpenAuditTrailUnallocatedGroup</v>
      </c>
      <c r="AX4" s="22" t="str">
        <f ca="1">IFERROR(__xludf.DUMMYFUNCTION("""COMPUTED_VALUE"""),"DeleteCalculatedPreferencesTool")</f>
        <v>DeleteCalculatedPreferencesTool</v>
      </c>
      <c r="AY4" s="22" t="str">
        <f ca="1">IFERROR(__xludf.DUMMYFUNCTION("""COMPUTED_VALUE"""),"ImportCalculatedPreferencesTool")</f>
        <v>ImportCalculatedPreferencesTool</v>
      </c>
      <c r="AZ4" s="22" t="str">
        <f ca="1">IFERROR(__xludf.DUMMYFUNCTION("""COMPUTED_VALUE"""),"ExportAllCalculatedPreferTool")</f>
        <v>ExportAllCalculatedPreferTool</v>
      </c>
      <c r="BA4" s="22" t="str">
        <f ca="1">IFERROR(__xludf.DUMMYFUNCTION("""COMPUTED_VALUE"""),"OpenAuditTrailAllocatedGroup")</f>
        <v>OpenAuditTrailAllocatedGroup</v>
      </c>
      <c r="BB4" s="22" t="str">
        <f ca="1">IFERROR(__xludf.DUMMYFUNCTION("""COMPUTED_VALUE"""),"OpenSymbolLookupUnallocateGroup")</f>
        <v>OpenSymbolLookupUnallocateGroup</v>
      </c>
      <c r="BC4" s="22" t="str">
        <f ca="1">IFERROR(__xludf.DUMMYFUNCTION("""COMPUTED_VALUE"""),"OpenSymbolLookupAllocatedGroup")</f>
        <v>OpenSymbolLookupAllocatedGroup</v>
      </c>
      <c r="BD4" s="22" t="str">
        <f ca="1">IFERROR(__xludf.DUMMYFUNCTION("""COMPUTED_VALUE"""),"DeleteFixedPreference")</f>
        <v>DeleteFixedPreference</v>
      </c>
      <c r="BE4" s="22" t="str">
        <f ca="1">IFERROR(__xludf.DUMMYFUNCTION("""COMPUTED_VALUE"""),"EditAllocatedGroupSidePanel")</f>
        <v>EditAllocatedGroupSidePanel</v>
      </c>
      <c r="BF4" s="22" t="str">
        <f ca="1">IFERROR(__xludf.DUMMYFUNCTION("""COMPUTED_VALUE"""),"CheckUnallocatedGroups")</f>
        <v>CheckUnallocatedGroups</v>
      </c>
      <c r="BG4" s="22" t="str">
        <f ca="1">IFERROR(__xludf.DUMMYFUNCTION("""COMPUTED_VALUE"""),"SetGeneralPreferences")</f>
        <v>SetGeneralPreferences</v>
      </c>
      <c r="BH4" s="22" t="str">
        <f ca="1">IFERROR(__xludf.DUMMYFUNCTION("""COMPUTED_VALUE"""),"GroupTrades")</f>
        <v>GroupTrades</v>
      </c>
      <c r="BI4" s="22" t="str">
        <f ca="1">IFERROR(__xludf.DUMMYFUNCTION("""COMPUTED_VALUE"""),"UngroupTrades")</f>
        <v>UngroupTrades</v>
      </c>
      <c r="BJ4" s="22" t="str">
        <f ca="1">IFERROR(__xludf.DUMMYFUNCTION("""COMPUTED_VALUE"""),"DeleteGroup")</f>
        <v>DeleteGroup</v>
      </c>
      <c r="BK4" s="22" t="str">
        <f ca="1">IFERROR(__xludf.DUMMYFUNCTION("""COMPUTED_VALUE"""),"CloseOrder")</f>
        <v>CloseOrder</v>
      </c>
      <c r="BL4" s="22" t="str">
        <f ca="1">IFERROR(__xludf.DUMMYFUNCTION("""COMPUTED_VALUE"""),"Unallocate")</f>
        <v>Unallocate</v>
      </c>
      <c r="BM4" s="22" t="str">
        <f ca="1">IFERROR(__xludf.DUMMYFUNCTION("""COMPUTED_VALUE"""),"CloseAllocation")</f>
        <v>CloseAllocation</v>
      </c>
      <c r="BN4" s="22" t="str">
        <f ca="1">IFERROR(__xludf.DUMMYFUNCTION("""COMPUTED_VALUE"""),"UpdateGRAccountValue")</f>
        <v>UpdateGRAccountValue</v>
      </c>
      <c r="BO4" s="22" t="str">
        <f ca="1">IFERROR(__xludf.DUMMYFUNCTION("""COMPUTED_VALUE"""),"UpdateGRStrategyValue")</f>
        <v>UpdateGRStrategyValue</v>
      </c>
      <c r="BP4" s="22" t="str">
        <f ca="1">IFERROR(__xludf.DUMMYFUNCTION("""COMPUTED_VALUE"""),"UpdateGRDefaultRule")</f>
        <v>UpdateGRDefaultRule</v>
      </c>
      <c r="BQ4" s="22" t="str">
        <f ca="1">IFERROR(__xludf.DUMMYFUNCTION("""COMPUTED_VALUE"""),"UpdateGeneralRulePref")</f>
        <v>UpdateGeneralRulePref</v>
      </c>
      <c r="BR4" s="22" t="str">
        <f ca="1">IFERROR(__xludf.DUMMYFUNCTION("""COMPUTED_VALUE"""),"ModifyGRPreferenceValues")</f>
        <v>ModifyGRPreferenceValues</v>
      </c>
      <c r="BS4" s="22" t="str">
        <f ca="1">IFERROR(__xludf.DUMMYFUNCTION("""COMPUTED_VALUE"""),"AddMFPreferences")</f>
        <v>AddMFPreferences</v>
      </c>
      <c r="BT4" s="22" t="str">
        <f ca="1">IFERROR(__xludf.DUMMYFUNCTION("""COMPUTED_VALUE"""),"AddMFPreferenceToolbar")</f>
        <v>AddMFPreferenceToolbar</v>
      </c>
      <c r="BU4" s="22" t="str">
        <f ca="1">IFERROR(__xludf.DUMMYFUNCTION("""COMPUTED_VALUE"""),"DeleteMFPreferences")</f>
        <v>DeleteMFPreferences</v>
      </c>
      <c r="BV4" s="22" t="str">
        <f ca="1">IFERROR(__xludf.DUMMYFUNCTION("""COMPUTED_VALUE"""),"DeleteMFPreferenceToolbar")</f>
        <v>DeleteMFPreferenceToolbar</v>
      </c>
      <c r="BW4" s="22" t="str">
        <f ca="1">IFERROR(__xludf.DUMMYFUNCTION("""COMPUTED_VALUE"""),"RenameMFPreferences")</f>
        <v>RenameMFPreferences</v>
      </c>
      <c r="BX4" s="22" t="str">
        <f ca="1">IFERROR(__xludf.DUMMYFUNCTION("""COMPUTED_VALUE"""),"SaveCloseMFPreference")</f>
        <v>SaveCloseMFPreference</v>
      </c>
      <c r="BY4" s="22" t="str">
        <f ca="1">IFERROR(__xludf.DUMMYFUNCTION("""COMPUTED_VALUE"""),"SetMFPrefAccountValues")</f>
        <v>SetMFPrefAccountValues</v>
      </c>
      <c r="BZ4" s="22" t="str">
        <f ca="1">IFERROR(__xludf.DUMMYFUNCTION("""COMPUTED_VALUE"""),"ModifyMFPrefGeneralRuleValues")</f>
        <v>ModifyMFPrefGeneralRuleValues</v>
      </c>
      <c r="CA4" s="22" t="str">
        <f ca="1">IFERROR(__xludf.DUMMYFUNCTION("""COMPUTED_VALUE"""),"SetMFPrefStrategyValues")</f>
        <v>SetMFPrefStrategyValues</v>
      </c>
      <c r="CB4" s="22" t="str">
        <f ca="1">IFERROR(__xludf.DUMMYFUNCTION("""COMPUTED_VALUE"""),"SetMFPrefGeneralRule")</f>
        <v>SetMFPrefGeneralRule</v>
      </c>
      <c r="CC4" s="22" t="str">
        <f ca="1">IFERROR(__xludf.DUMMYFUNCTION("""COMPUTED_VALUE"""),"SetMFPrefFundDistribution")</f>
        <v>SetMFPrefFundDistribution</v>
      </c>
      <c r="CD4" s="22" t="str">
        <f ca="1">IFERROR(__xludf.DUMMYFUNCTION("""COMPUTED_VALUE"""),"SetMFPreferencesDefaultRule")</f>
        <v>SetMFPreferencesDefaultRule</v>
      </c>
      <c r="CE4" s="22" t="str">
        <f ca="1">IFERROR(__xludf.DUMMYFUNCTION("""COMPUTED_VALUE"""),"SetMFPrefFundDefaultRule")</f>
        <v>SetMFPrefFundDefaultRule</v>
      </c>
      <c r="CF4" s="22" t="str">
        <f ca="1">IFERROR(__xludf.DUMMYFUNCTION("""COMPUTED_VALUE"""),"ClearPrefetchFilters")</f>
        <v>ClearPrefetchFilters</v>
      </c>
      <c r="CG4" s="22" t="str">
        <f ca="1">IFERROR(__xludf.DUMMYFUNCTION("""COMPUTED_VALUE"""),"ExpandCollapseAllUnallocated")</f>
        <v>ExpandCollapseAllUnallocated</v>
      </c>
      <c r="CH4" s="22" t="str">
        <f ca="1">IFERROR(__xludf.DUMMYFUNCTION("""COMPUTED_VALUE"""),"ExpandCollapseAllAllocated")</f>
        <v>ExpandCollapseAllAllocated</v>
      </c>
      <c r="CI4" s="22" t="str">
        <f ca="1">IFERROR(__xludf.DUMMYFUNCTION("""COMPUTED_VALUE"""),"GenerateCashTransaction")</f>
        <v>GenerateCashTransaction</v>
      </c>
      <c r="CJ4" s="22" t="str">
        <f ca="1">IFERROR(__xludf.DUMMYFUNCTION("""COMPUTED_VALUE"""),"SaveAllocation")</f>
        <v>SaveAllocation</v>
      </c>
      <c r="CK4" s="22" t="str">
        <f ca="1">IFERROR(__xludf.DUMMYFUNCTION("""COMPUTED_VALUE"""),"UnallocateWithOutSave")</f>
        <v>UnallocateWithOutSave</v>
      </c>
      <c r="CL4" s="22" t="str">
        <f ca="1">IFERROR(__xludf.DUMMYFUNCTION("""COMPUTED_VALUE"""),"EditUnallocatedGrid")</f>
        <v>EditUnallocatedGrid</v>
      </c>
      <c r="CM4" s="22" t="str">
        <f ca="1">IFERROR(__xludf.DUMMYFUNCTION("""COMPUTED_VALUE"""),"EditAllocatedGrid")</f>
        <v>EditAllocatedGrid</v>
      </c>
      <c r="CN4" s="22" t="str">
        <f ca="1">IFERROR(__xludf.DUMMYFUNCTION("""COMPUTED_VALUE"""),"SaveLayoutAllocatedGrid")</f>
        <v>SaveLayoutAllocatedGrid</v>
      </c>
      <c r="CO4" s="22" t="str">
        <f ca="1">IFERROR(__xludf.DUMMYFUNCTION("""COMPUTED_VALUE"""),"SaveLayoutUnallocatedGrid")</f>
        <v>SaveLayoutUnallocatedGrid</v>
      </c>
      <c r="CP4" s="22" t="str">
        <f ca="1">IFERROR(__xludf.DUMMYFUNCTION("""COMPUTED_VALUE"""),"SaveLayoutAllocationUI")</f>
        <v>SaveLayoutAllocationUI</v>
      </c>
      <c r="CQ4" s="22" t="str">
        <f ca="1">IFERROR(__xludf.DUMMYFUNCTION("""COMPUTED_VALUE"""),"ClearFiltersAllocatedGrid")</f>
        <v>ClearFiltersAllocatedGrid</v>
      </c>
      <c r="CR4" s="22" t="str">
        <f ca="1">IFERROR(__xludf.DUMMYFUNCTION("""COMPUTED_VALUE"""),"ClearFiltersUnallocatedGrid")</f>
        <v>ClearFiltersUnallocatedGrid</v>
      </c>
      <c r="CS4" s="22" t="str">
        <f ca="1">IFERROR(__xludf.DUMMYFUNCTION("""COMPUTED_VALUE"""),"VerifyLayoutAllocatedGrid")</f>
        <v>VerifyLayoutAllocatedGrid</v>
      </c>
      <c r="CT4" s="22" t="str">
        <f ca="1">IFERROR(__xludf.DUMMYFUNCTION("""COMPUTED_VALUE"""),"VerifyLayoutUnallocatedGrid")</f>
        <v>VerifyLayoutUnallocatedGrid</v>
      </c>
      <c r="CU4" s="22" t="str">
        <f ca="1">IFERROR(__xludf.DUMMYFUNCTION("""COMPUTED_VALUE"""),"CleanUp")</f>
        <v>CleanUp</v>
      </c>
      <c r="CV4" s="22" t="str">
        <f ca="1">IFERROR(__xludf.DUMMYFUNCTION("""COMPUTED_VALUE"""),"CheckAllocatedTaxlots")</f>
        <v>CheckAllocatedTaxlots</v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</row>
    <row r="5" spans="1:153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IFERROR(__xludf.DUMMYFUNCTION("""COMPUTED_VALUE"""),"PreferenceType")</f>
        <v>PreferenceType</v>
      </c>
      <c r="C5" s="24" t="str">
        <f ca="1">IFERROR(__xludf.DUMMYFUNCTION("""COMPUTED_VALUE"""),"PreferenceName")</f>
        <v>PreferenceName</v>
      </c>
      <c r="D5" s="24" t="str">
        <f ca="1">IFERROR(__xludf.DUMMYFUNCTION("""COMPUTED_VALUE"""),"PTTPrefNeeded")</f>
        <v>PTTPrefNeeded</v>
      </c>
      <c r="E5" s="24" t="str">
        <f ca="1">IFERROR(__xludf.DUMMYFUNCTION("""COMPUTED_VALUE"""),"IsForceAllocation")</f>
        <v>IsForceAllocation</v>
      </c>
      <c r="F5" s="24" t="str">
        <f ca="1">IFERROR(__xludf.DUMMYFUNCTION("""COMPUTED_VALUE"""),"AllocationMethod")</f>
        <v>AllocationMethod</v>
      </c>
      <c r="G5" s="24" t="str">
        <f ca="1">IFERROR(__xludf.DUMMYFUNCTION("""COMPUTED_VALUE"""),"RemainderAllocationTo")</f>
        <v>RemainderAllocationTo</v>
      </c>
      <c r="H5" s="24" t="str">
        <f ca="1">IFERROR(__xludf.DUMMYFUNCTION("""COMPUTED_VALUE"""),"Target%AsOf")</f>
        <v>Target%AsOf</v>
      </c>
      <c r="I5" s="24" t="str">
        <f ca="1">IFERROR(__xludf.DUMMYFUNCTION("""COMPUTED_VALUE"""),"AccountsForProrata")</f>
        <v>AccountsForProrata</v>
      </c>
      <c r="J5" s="24" t="str">
        <f ca="1">IFERROR(__xludf.DUMMYFUNCTION("""COMPUTED_VALUE"""),"DateUptoDays")</f>
        <v>DateUptoDays</v>
      </c>
      <c r="K5" s="24" t="str">
        <f ca="1">IFERROR(__xludf.DUMMYFUNCTION("""COMPUTED_VALUE"""),"MatchClosingTransactions")</f>
        <v>MatchClosingTransactions</v>
      </c>
      <c r="L5" s="24" t="str">
        <f ca="1">IFERROR(__xludf.DUMMYFUNCTION("""COMPUTED_VALUE"""),"")</f>
        <v/>
      </c>
      <c r="M5" s="24" t="str">
        <f ca="1">IFERROR(__xludf.DUMMYFUNCTION("""COMPUTED_VALUE"""),"")</f>
        <v/>
      </c>
      <c r="N5" s="24" t="str">
        <f ca="1">IFERROR(__xludf.DUMMYFUNCTION("""COMPUTED_VALUE"""),"")</f>
        <v/>
      </c>
      <c r="O5" s="24" t="str">
        <f ca="1">IFERROR(__xludf.DUMMYFUNCTION("""COMPUTED_VALUE"""),"")</f>
        <v/>
      </c>
      <c r="P5" s="24" t="str">
        <f ca="1">IFERROR(__xludf.DUMMYFUNCTION("""COMPUTED_VALUE"""),"")</f>
        <v/>
      </c>
      <c r="Q5" s="24" t="str">
        <f ca="1">IFERROR(__xludf.DUMMYFUNCTION("""COMPUTED_VALUE"""),"")</f>
        <v/>
      </c>
      <c r="R5" s="24" t="str">
        <f ca="1">IFERROR(__xludf.DUMMYFUNCTION("""COMPUTED_VALUE"""),"")</f>
        <v/>
      </c>
      <c r="S5" s="24" t="str">
        <f ca="1">IFERROR(__xludf.DUMMYFUNCTION("""COMPUTED_VALUE"""),"")</f>
        <v/>
      </c>
      <c r="T5" s="25" t="str">
        <f ca="1">IFERROR(__xludf.DUMMYFUNCTION("""COMPUTED_VALUE"""),"")</f>
        <v/>
      </c>
      <c r="U5" s="25" t="str">
        <f ca="1">IFERROR(__xludf.DUMMYFUNCTION("""COMPUTED_VALUE"""),"")</f>
        <v/>
      </c>
      <c r="V5" s="25" t="str">
        <f ca="1">IFERROR(__xludf.DUMMYFUNCTION("""COMPUTED_VALUE"""),"")</f>
        <v/>
      </c>
      <c r="W5" s="25" t="str">
        <f ca="1">IFERROR(__xludf.DUMMYFUNCTION("""COMPUTED_VALUE"""),"")</f>
        <v/>
      </c>
      <c r="X5" s="25" t="str">
        <f ca="1">IFERROR(__xludf.DUMMYFUNCTION("""COMPUTED_VALUE"""),"")</f>
        <v/>
      </c>
      <c r="Y5" s="25" t="str">
        <f ca="1">IFERROR(__xludf.DUMMYFUNCTION("""COMPUTED_VALUE"""),"")</f>
        <v/>
      </c>
      <c r="Z5" s="25" t="str">
        <f ca="1">IFERROR(__xludf.DUMMYFUNCTION("""COMPUTED_VALUE"""),"")</f>
        <v/>
      </c>
      <c r="AA5" s="25" t="str">
        <f ca="1">IFERROR(__xludf.DUMMYFUNCTION("""COMPUTED_VALUE"""),"")</f>
        <v/>
      </c>
      <c r="AB5" s="25" t="str">
        <f ca="1">IFERROR(__xludf.DUMMYFUNCTION("""COMPUTED_VALUE"""),"")</f>
        <v/>
      </c>
      <c r="AC5" s="25" t="str">
        <f ca="1">IFERROR(__xludf.DUMMYFUNCTION("""COMPUTED_VALUE"""),"")</f>
        <v/>
      </c>
      <c r="AD5" s="25" t="str">
        <f ca="1">IFERROR(__xludf.DUMMYFUNCTION("""COMPUTED_VALUE"""),"")</f>
        <v/>
      </c>
      <c r="AE5" s="25" t="str">
        <f ca="1">IFERROR(__xludf.DUMMYFUNCTION("""COMPUTED_VALUE"""),"")</f>
        <v/>
      </c>
      <c r="AF5" s="25" t="str">
        <f ca="1">IFERROR(__xludf.DUMMYFUNCTION("""COMPUTED_VALUE"""),"")</f>
        <v/>
      </c>
      <c r="AG5" s="25" t="str">
        <f ca="1">IFERROR(__xludf.DUMMYFUNCTION("""COMPUTED_VALUE"""),"")</f>
        <v/>
      </c>
      <c r="AH5" s="25" t="str">
        <f ca="1">IFERROR(__xludf.DUMMYFUNCTION("""COMPUTED_VALUE"""),"")</f>
        <v/>
      </c>
      <c r="AI5" s="25" t="str">
        <f ca="1">IFERROR(__xludf.DUMMYFUNCTION("""COMPUTED_VALUE"""),"")</f>
        <v/>
      </c>
      <c r="AJ5" s="25" t="str">
        <f ca="1">IFERROR(__xludf.DUMMYFUNCTION("""COMPUTED_VALUE"""),"")</f>
        <v/>
      </c>
      <c r="AK5" s="25" t="str">
        <f ca="1">IFERROR(__xludf.DUMMYFUNCTION("""COMPUTED_VALUE"""),"")</f>
        <v/>
      </c>
      <c r="AL5" s="25" t="str">
        <f ca="1">IFERROR(__xludf.DUMMYFUNCTION("""COMPUTED_VALUE"""),"")</f>
        <v/>
      </c>
      <c r="AM5" s="25" t="str">
        <f ca="1">IFERROR(__xludf.DUMMYFUNCTION("""COMPUTED_VALUE"""),"")</f>
        <v/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</row>
    <row r="6" spans="1:153" ht="15.75" customHeight="1">
      <c r="A6" s="3"/>
      <c r="B6" s="26" t="s">
        <v>40</v>
      </c>
      <c r="G6" s="26"/>
      <c r="H6" s="26" t="s">
        <v>41</v>
      </c>
      <c r="I6" s="26" t="s">
        <v>18</v>
      </c>
      <c r="J6" s="28">
        <f ca="1">TODAY()</f>
        <v>44412</v>
      </c>
      <c r="K6" s="26" t="b">
        <v>0</v>
      </c>
    </row>
    <row r="7" spans="1:153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3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3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3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3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3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3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3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3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3"/>
      <c r="B2" s="3"/>
      <c r="C2" s="3"/>
      <c r="D2" s="3"/>
      <c r="E2" s="3"/>
      <c r="F2" s="3"/>
      <c r="G2" s="3"/>
      <c r="H2" s="3"/>
      <c r="I2" s="3"/>
      <c r="J2" s="15" t="e">
        <f ca="1">VLOOKUP($E$3,_MasterData!B4:D1000,3,FALSE)</f>
        <v>#N/A</v>
      </c>
      <c r="K2" s="16"/>
      <c r="L2" s="3"/>
      <c r="M2" s="3"/>
      <c r="N2" s="3"/>
      <c r="O2" s="3"/>
    </row>
    <row r="3" spans="1:153" ht="15.75" customHeight="1">
      <c r="A3" s="17"/>
      <c r="B3" s="4" t="s">
        <v>3</v>
      </c>
      <c r="C3" s="18" t="s">
        <v>36</v>
      </c>
      <c r="D3" s="4" t="s">
        <v>7</v>
      </c>
      <c r="E3" s="18" t="s">
        <v>42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</row>
    <row r="4" spans="1:153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tr">
        <f ca="1">IFERROR(__xludf.DUMMYFUNCTION("""COMPUTED_VALUE"""),"CheckAllocatedGroups")</f>
        <v>CheckAllocatedGroups</v>
      </c>
      <c r="D4" s="21" t="str">
        <f ca="1">IFERROR(__xludf.DUMMYFUNCTION("""COMPUTED_VALUE"""),"Unallocate")</f>
        <v>Unallocate</v>
      </c>
      <c r="E4" s="21" t="str">
        <f ca="1">IFERROR(__xludf.DUMMYFUNCTION("""COMPUTED_VALUE"""),"GetDataAllocation")</f>
        <v>GetDataAllocation</v>
      </c>
      <c r="F4" s="21" t="str">
        <f ca="1">IFERROR(__xludf.DUMMYFUNCTION("""COMPUTED_VALUE"""),"SelectAllocatedGroup")</f>
        <v>SelectAllocatedGroup</v>
      </c>
      <c r="G4" s="21" t="str">
        <f ca="1">IFERROR(__xludf.DUMMYFUNCTION("""COMPUTED_VALUE"""),"EditTradesAllocated")</f>
        <v>EditTradesAllocated</v>
      </c>
      <c r="H4" s="21" t="str">
        <f ca="1">IFERROR(__xludf.DUMMYFUNCTION("""COMPUTED_VALUE"""),"EditTradesUnallocated")</f>
        <v>EditTradesUnallocated</v>
      </c>
      <c r="I4" s="21" t="str">
        <f ca="1">IFERROR(__xludf.DUMMYFUNCTION("""COMPUTED_VALUE"""),"Reallocate")</f>
        <v>Reallocate</v>
      </c>
      <c r="J4" s="21" t="str">
        <f ca="1">IFERROR(__xludf.DUMMYFUNCTION("""COMPUTED_VALUE"""),"EditUnallocatedGroupSidePanel")</f>
        <v>EditUnallocatedGroupSidePanel</v>
      </c>
      <c r="K4" s="21" t="str">
        <f ca="1">IFERROR(__xludf.DUMMYFUNCTION("""COMPUTED_VALUE"""),"TradeAttributeBulkChange")</f>
        <v>TradeAttributeBulkChange</v>
      </c>
      <c r="L4" s="21" t="str">
        <f ca="1">IFERROR(__xludf.DUMMYFUNCTION("""COMPUTED_VALUE"""),"ApplyBulkUpdateOnGroups")</f>
        <v>ApplyBulkUpdateOnGroups</v>
      </c>
      <c r="M4" s="21" t="str">
        <f ca="1">IFERROR(__xludf.DUMMYFUNCTION("""COMPUTED_VALUE"""),"ApplyPrefetchFilters")</f>
        <v>ApplyPrefetchFilters</v>
      </c>
      <c r="N4" s="21" t="str">
        <f ca="1">IFERROR(__xludf.DUMMYFUNCTION("""COMPUTED_VALUE"""),"GeneralPreferencesDefaultRule")</f>
        <v>GeneralPreferencesDefaultRule</v>
      </c>
      <c r="O4" s="21" t="str">
        <f ca="1">IFERROR(__xludf.DUMMYFUNCTION("""COMPUTED_VALUE"""),"GeneralPrefCompanyUserWise")</f>
        <v>GeneralPrefCompanyUserWise</v>
      </c>
      <c r="P4" s="22" t="str">
        <f ca="1">IFERROR(__xludf.DUMMYFUNCTION("""COMPUTED_VALUE"""),"RenameTradeAttributes")</f>
        <v>RenameTradeAttributes</v>
      </c>
      <c r="Q4" s="22" t="str">
        <f ca="1">IFERROR(__xludf.DUMMYFUNCTION("""COMPUTED_VALUE"""),"SetGroupingRules")</f>
        <v>SetGroupingRules</v>
      </c>
      <c r="R4" s="22" t="str">
        <f ca="1">IFERROR(__xludf.DUMMYFUNCTION("""COMPUTED_VALUE"""),"SetMasterFundRatio")</f>
        <v>SetMasterFundRatio</v>
      </c>
      <c r="S4" s="22" t="str">
        <f ca="1">IFERROR(__xludf.DUMMYFUNCTION("""COMPUTED_VALUE"""),"CheckFixedPreference")</f>
        <v>CheckFixedPreference</v>
      </c>
      <c r="T4" s="22" t="str">
        <f ca="1">IFERROR(__xludf.DUMMYFUNCTION("""COMPUTED_VALUE"""),"GetFixedPreference")</f>
        <v>GetFixedPreference</v>
      </c>
      <c r="U4" s="22" t="str">
        <f ca="1">IFERROR(__xludf.DUMMYFUNCTION("""COMPUTED_VALUE"""),"AddCalculatedPreferences")</f>
        <v>AddCalculatedPreferences</v>
      </c>
      <c r="V4" s="22" t="str">
        <f ca="1">IFERROR(__xludf.DUMMYFUNCTION("""COMPUTED_VALUE"""),"BulkChangeCalculatedPreferences")</f>
        <v>BulkChangeCalculatedPreferences</v>
      </c>
      <c r="W4" s="22" t="str">
        <f ca="1">IFERROR(__xludf.DUMMYFUNCTION("""COMPUTED_VALUE"""),"DeleteCalculatedPreferences")</f>
        <v>DeleteCalculatedPreferences</v>
      </c>
      <c r="X4" s="22" t="str">
        <f ca="1">IFERROR(__xludf.DUMMYFUNCTION("""COMPUTED_VALUE"""),"RenameCalculatedPreferences")</f>
        <v>RenameCalculatedPreferences</v>
      </c>
      <c r="Y4" s="22" t="str">
        <f ca="1">IFERROR(__xludf.DUMMYFUNCTION("""COMPUTED_VALUE"""),"CopyCalculatedPreferences")</f>
        <v>CopyCalculatedPreferences</v>
      </c>
      <c r="Z4" s="22" t="str">
        <f ca="1">IFERROR(__xludf.DUMMYFUNCTION("""COMPUTED_VALUE"""),"RunAutoGroup")</f>
        <v>RunAutoGroup</v>
      </c>
      <c r="AA4" s="22" t="str">
        <f ca="1">IFERROR(__xludf.DUMMYFUNCTION("""COMPUTED_VALUE"""),"BookOrUpdateSwap")</f>
        <v>BookOrUpdateSwap</v>
      </c>
      <c r="AB4" s="22" t="str">
        <f ca="1">IFERROR(__xludf.DUMMYFUNCTION("""COMPUTED_VALUE"""),"RunProrata")</f>
        <v>RunProrata</v>
      </c>
      <c r="AC4" s="22" t="str">
        <f ca="1">IFERROR(__xludf.DUMMYFUNCTION("""COMPUTED_VALUE"""),"SetDefaultRuleCalculatedPref")</f>
        <v>SetDefaultRuleCalculatedPref</v>
      </c>
      <c r="AD4" s="22" t="str">
        <f ca="1">IFERROR(__xludf.DUMMYFUNCTION("""COMPUTED_VALUE"""),"SetAccountValueCalculatedPref")</f>
        <v>SetAccountValueCalculatedPref</v>
      </c>
      <c r="AE4" s="22" t="str">
        <f ca="1">IFERROR(__xludf.DUMMYFUNCTION("""COMPUTED_VALUE"""),"TradeAttributeBulkChangeGroups")</f>
        <v>TradeAttributeBulkChangeGroups</v>
      </c>
      <c r="AF4" s="22" t="str">
        <f ca="1">IFERROR(__xludf.DUMMYFUNCTION("""COMPUTED_VALUE"""),"TradeAttributeBulkChangeTaxlots")</f>
        <v>TradeAttributeBulkChangeTaxlots</v>
      </c>
      <c r="AG4" s="22" t="str">
        <f ca="1">IFERROR(__xludf.DUMMYFUNCTION("""COMPUTED_VALUE"""),"AddCalculatedPreferenceToolbar")</f>
        <v>AddCalculatedPreferenceToolbar</v>
      </c>
      <c r="AH4" s="22" t="str">
        <f ca="1">IFERROR(__xludf.DUMMYFUNCTION("""COMPUTED_VALUE"""),"SetStrategyValueCalculatedPref")</f>
        <v>SetStrategyValueCalculatedPref</v>
      </c>
      <c r="AI4" s="22" t="str">
        <f ca="1">IFERROR(__xludf.DUMMYFUNCTION("""COMPUTED_VALUE"""),"ApplyBulkUpdateOnTaxlots")</f>
        <v>ApplyBulkUpdateOnTaxlots</v>
      </c>
      <c r="AJ4" s="22" t="str">
        <f ca="1">IFERROR(__xludf.DUMMYFUNCTION("""COMPUTED_VALUE"""),"CommissionBulkChangeOnGroups")</f>
        <v>CommissionBulkChangeOnGroups</v>
      </c>
      <c r="AK4" s="22" t="str">
        <f ca="1">IFERROR(__xludf.DUMMYFUNCTION("""COMPUTED_VALUE"""),"CommissionBulkChangeOnTaxlots")</f>
        <v>CommissionBulkChangeOnTaxlots</v>
      </c>
      <c r="AL4" s="22" t="str">
        <f ca="1">IFERROR(__xludf.DUMMYFUNCTION("""COMPUTED_VALUE"""),"SelectUnallocatedGroup")</f>
        <v>SelectUnallocatedGroup</v>
      </c>
      <c r="AM4" s="22" t="str">
        <f ca="1">IFERROR(__xludf.DUMMYFUNCTION("""COMPUTED_VALUE"""),"EnterAccountValuesToAllocate")</f>
        <v>EnterAccountValuesToAllocate</v>
      </c>
      <c r="AN4" s="22" t="str">
        <f ca="1">IFERROR(__xludf.DUMMYFUNCTION("""COMPUTED_VALUE"""),"EnterAllocatePreference")</f>
        <v>EnterAllocatePreference</v>
      </c>
      <c r="AO4" s="22" t="str">
        <f ca="1">IFERROR(__xludf.DUMMYFUNCTION("""COMPUTED_VALUE"""),"EnterStrategyValuesToAllocate")</f>
        <v>EnterStrategyValuesToAllocate</v>
      </c>
      <c r="AP4" s="22" t="str">
        <f ca="1">IFERROR(__xludf.DUMMYFUNCTION("""COMPUTED_VALUE"""),"CopyCalculatedPreferenceToolbar")</f>
        <v>CopyCalculatedPreferenceToolbar</v>
      </c>
      <c r="AQ4" s="22" t="str">
        <f ca="1">IFERROR(__xludf.DUMMYFUNCTION("""COMPUTED_VALUE"""),"SetGeneralRuleCalculatedPref")</f>
        <v>SetGeneralRuleCalculatedPref</v>
      </c>
      <c r="AR4" s="22" t="str">
        <f ca="1">IFERROR(__xludf.DUMMYFUNCTION("""COMPUTED_VALUE"""),"ExportAllCalculatedPreferences")</f>
        <v>ExportAllCalculatedPreferences</v>
      </c>
      <c r="AS4" s="22" t="str">
        <f ca="1">IFERROR(__xludf.DUMMYFUNCTION("""COMPUTED_VALUE"""),"SaveCalculatedPreferences")</f>
        <v>SaveCalculatedPreferences</v>
      </c>
      <c r="AT4" s="22" t="str">
        <f ca="1">IFERROR(__xludf.DUMMYFUNCTION("""COMPUTED_VALUE"""),"CloseCalculatedPreferences")</f>
        <v>CloseCalculatedPreferences</v>
      </c>
      <c r="AU4" s="22" t="str">
        <f ca="1">IFERROR(__xludf.DUMMYFUNCTION("""COMPUTED_VALUE"""),"ExportCalculatedPreference")</f>
        <v>ExportCalculatedPreference</v>
      </c>
      <c r="AV4" s="22" t="str">
        <f ca="1">IFERROR(__xludf.DUMMYFUNCTION("""COMPUTED_VALUE"""),"ImportCalculatedPreferences")</f>
        <v>ImportCalculatedPreferences</v>
      </c>
      <c r="AW4" s="22" t="str">
        <f ca="1">IFERROR(__xludf.DUMMYFUNCTION("""COMPUTED_VALUE"""),"OpenAuditTrailUnallocatedGroup")</f>
        <v>OpenAuditTrailUnallocatedGroup</v>
      </c>
      <c r="AX4" s="22" t="str">
        <f ca="1">IFERROR(__xludf.DUMMYFUNCTION("""COMPUTED_VALUE"""),"DeleteCalculatedPreferencesTool")</f>
        <v>DeleteCalculatedPreferencesTool</v>
      </c>
      <c r="AY4" s="22" t="str">
        <f ca="1">IFERROR(__xludf.DUMMYFUNCTION("""COMPUTED_VALUE"""),"ImportCalculatedPreferencesTool")</f>
        <v>ImportCalculatedPreferencesTool</v>
      </c>
      <c r="AZ4" s="22" t="str">
        <f ca="1">IFERROR(__xludf.DUMMYFUNCTION("""COMPUTED_VALUE"""),"ExportAllCalculatedPreferTool")</f>
        <v>ExportAllCalculatedPreferTool</v>
      </c>
      <c r="BA4" s="22" t="str">
        <f ca="1">IFERROR(__xludf.DUMMYFUNCTION("""COMPUTED_VALUE"""),"OpenAuditTrailAllocatedGroup")</f>
        <v>OpenAuditTrailAllocatedGroup</v>
      </c>
      <c r="BB4" s="22" t="str">
        <f ca="1">IFERROR(__xludf.DUMMYFUNCTION("""COMPUTED_VALUE"""),"OpenSymbolLookupUnallocateGroup")</f>
        <v>OpenSymbolLookupUnallocateGroup</v>
      </c>
      <c r="BC4" s="22" t="str">
        <f ca="1">IFERROR(__xludf.DUMMYFUNCTION("""COMPUTED_VALUE"""),"OpenSymbolLookupAllocatedGroup")</f>
        <v>OpenSymbolLookupAllocatedGroup</v>
      </c>
      <c r="BD4" s="22" t="str">
        <f ca="1">IFERROR(__xludf.DUMMYFUNCTION("""COMPUTED_VALUE"""),"DeleteFixedPreference")</f>
        <v>DeleteFixedPreference</v>
      </c>
      <c r="BE4" s="22" t="str">
        <f ca="1">IFERROR(__xludf.DUMMYFUNCTION("""COMPUTED_VALUE"""),"EditAllocatedGroupSidePanel")</f>
        <v>EditAllocatedGroupSidePanel</v>
      </c>
      <c r="BF4" s="22" t="str">
        <f ca="1">IFERROR(__xludf.DUMMYFUNCTION("""COMPUTED_VALUE"""),"CheckUnallocatedGroups")</f>
        <v>CheckUnallocatedGroups</v>
      </c>
      <c r="BG4" s="22" t="str">
        <f ca="1">IFERROR(__xludf.DUMMYFUNCTION("""COMPUTED_VALUE"""),"SetGeneralPreferences")</f>
        <v>SetGeneralPreferences</v>
      </c>
      <c r="BH4" s="22" t="str">
        <f ca="1">IFERROR(__xludf.DUMMYFUNCTION("""COMPUTED_VALUE"""),"GroupTrades")</f>
        <v>GroupTrades</v>
      </c>
      <c r="BI4" s="22" t="str">
        <f ca="1">IFERROR(__xludf.DUMMYFUNCTION("""COMPUTED_VALUE"""),"UngroupTrades")</f>
        <v>UngroupTrades</v>
      </c>
      <c r="BJ4" s="22" t="str">
        <f ca="1">IFERROR(__xludf.DUMMYFUNCTION("""COMPUTED_VALUE"""),"DeleteGroup")</f>
        <v>DeleteGroup</v>
      </c>
      <c r="BK4" s="22" t="str">
        <f ca="1">IFERROR(__xludf.DUMMYFUNCTION("""COMPUTED_VALUE"""),"CloseOrder")</f>
        <v>CloseOrder</v>
      </c>
      <c r="BL4" s="22" t="str">
        <f ca="1">IFERROR(__xludf.DUMMYFUNCTION("""COMPUTED_VALUE"""),"Unallocate")</f>
        <v>Unallocate</v>
      </c>
      <c r="BM4" s="22" t="str">
        <f ca="1">IFERROR(__xludf.DUMMYFUNCTION("""COMPUTED_VALUE"""),"CloseAllocation")</f>
        <v>CloseAllocation</v>
      </c>
      <c r="BN4" s="22" t="str">
        <f ca="1">IFERROR(__xludf.DUMMYFUNCTION("""COMPUTED_VALUE"""),"UpdateGRAccountValue")</f>
        <v>UpdateGRAccountValue</v>
      </c>
      <c r="BO4" s="22" t="str">
        <f ca="1">IFERROR(__xludf.DUMMYFUNCTION("""COMPUTED_VALUE"""),"UpdateGRStrategyValue")</f>
        <v>UpdateGRStrategyValue</v>
      </c>
      <c r="BP4" s="22" t="str">
        <f ca="1">IFERROR(__xludf.DUMMYFUNCTION("""COMPUTED_VALUE"""),"UpdateGRDefaultRule")</f>
        <v>UpdateGRDefaultRule</v>
      </c>
      <c r="BQ4" s="22" t="str">
        <f ca="1">IFERROR(__xludf.DUMMYFUNCTION("""COMPUTED_VALUE"""),"UpdateGeneralRulePref")</f>
        <v>UpdateGeneralRulePref</v>
      </c>
      <c r="BR4" s="22" t="str">
        <f ca="1">IFERROR(__xludf.DUMMYFUNCTION("""COMPUTED_VALUE"""),"ModifyGRPreferenceValues")</f>
        <v>ModifyGRPreferenceValues</v>
      </c>
      <c r="BS4" s="22" t="str">
        <f ca="1">IFERROR(__xludf.DUMMYFUNCTION("""COMPUTED_VALUE"""),"AddMFPreferences")</f>
        <v>AddMFPreferences</v>
      </c>
      <c r="BT4" s="22" t="str">
        <f ca="1">IFERROR(__xludf.DUMMYFUNCTION("""COMPUTED_VALUE"""),"AddMFPreferenceToolbar")</f>
        <v>AddMFPreferenceToolbar</v>
      </c>
      <c r="BU4" s="22" t="str">
        <f ca="1">IFERROR(__xludf.DUMMYFUNCTION("""COMPUTED_VALUE"""),"DeleteMFPreferences")</f>
        <v>DeleteMFPreferences</v>
      </c>
      <c r="BV4" s="22" t="str">
        <f ca="1">IFERROR(__xludf.DUMMYFUNCTION("""COMPUTED_VALUE"""),"DeleteMFPreferenceToolbar")</f>
        <v>DeleteMFPreferenceToolbar</v>
      </c>
      <c r="BW4" s="22" t="str">
        <f ca="1">IFERROR(__xludf.DUMMYFUNCTION("""COMPUTED_VALUE"""),"RenameMFPreferences")</f>
        <v>RenameMFPreferences</v>
      </c>
      <c r="BX4" s="22" t="str">
        <f ca="1">IFERROR(__xludf.DUMMYFUNCTION("""COMPUTED_VALUE"""),"SaveCloseMFPreference")</f>
        <v>SaveCloseMFPreference</v>
      </c>
      <c r="BY4" s="22" t="str">
        <f ca="1">IFERROR(__xludf.DUMMYFUNCTION("""COMPUTED_VALUE"""),"SetMFPrefAccountValues")</f>
        <v>SetMFPrefAccountValues</v>
      </c>
      <c r="BZ4" s="22" t="str">
        <f ca="1">IFERROR(__xludf.DUMMYFUNCTION("""COMPUTED_VALUE"""),"ModifyMFPrefGeneralRuleValues")</f>
        <v>ModifyMFPrefGeneralRuleValues</v>
      </c>
      <c r="CA4" s="22" t="str">
        <f ca="1">IFERROR(__xludf.DUMMYFUNCTION("""COMPUTED_VALUE"""),"SetMFPrefStrategyValues")</f>
        <v>SetMFPrefStrategyValues</v>
      </c>
      <c r="CB4" s="22" t="str">
        <f ca="1">IFERROR(__xludf.DUMMYFUNCTION("""COMPUTED_VALUE"""),"SetMFPrefGeneralRule")</f>
        <v>SetMFPrefGeneralRule</v>
      </c>
      <c r="CC4" s="22" t="str">
        <f ca="1">IFERROR(__xludf.DUMMYFUNCTION("""COMPUTED_VALUE"""),"SetMFPrefFundDistribution")</f>
        <v>SetMFPrefFundDistribution</v>
      </c>
      <c r="CD4" s="22" t="str">
        <f ca="1">IFERROR(__xludf.DUMMYFUNCTION("""COMPUTED_VALUE"""),"SetMFPreferencesDefaultRule")</f>
        <v>SetMFPreferencesDefaultRule</v>
      </c>
      <c r="CE4" s="22" t="str">
        <f ca="1">IFERROR(__xludf.DUMMYFUNCTION("""COMPUTED_VALUE"""),"SetMFPrefFundDefaultRule")</f>
        <v>SetMFPrefFundDefaultRule</v>
      </c>
      <c r="CF4" s="22" t="str">
        <f ca="1">IFERROR(__xludf.DUMMYFUNCTION("""COMPUTED_VALUE"""),"ClearPrefetchFilters")</f>
        <v>ClearPrefetchFilters</v>
      </c>
      <c r="CG4" s="22" t="str">
        <f ca="1">IFERROR(__xludf.DUMMYFUNCTION("""COMPUTED_VALUE"""),"ExpandCollapseAllUnallocated")</f>
        <v>ExpandCollapseAllUnallocated</v>
      </c>
      <c r="CH4" s="22" t="str">
        <f ca="1">IFERROR(__xludf.DUMMYFUNCTION("""COMPUTED_VALUE"""),"ExpandCollapseAllAllocated")</f>
        <v>ExpandCollapseAllAllocated</v>
      </c>
      <c r="CI4" s="22" t="str">
        <f ca="1">IFERROR(__xludf.DUMMYFUNCTION("""COMPUTED_VALUE"""),"GenerateCashTransaction")</f>
        <v>GenerateCashTransaction</v>
      </c>
      <c r="CJ4" s="22" t="str">
        <f ca="1">IFERROR(__xludf.DUMMYFUNCTION("""COMPUTED_VALUE"""),"SaveAllocation")</f>
        <v>SaveAllocation</v>
      </c>
      <c r="CK4" s="22" t="str">
        <f ca="1">IFERROR(__xludf.DUMMYFUNCTION("""COMPUTED_VALUE"""),"UnallocateWithOutSave")</f>
        <v>UnallocateWithOutSave</v>
      </c>
      <c r="CL4" s="22" t="str">
        <f ca="1">IFERROR(__xludf.DUMMYFUNCTION("""COMPUTED_VALUE"""),"EditUnallocatedGrid")</f>
        <v>EditUnallocatedGrid</v>
      </c>
      <c r="CM4" s="22" t="str">
        <f ca="1">IFERROR(__xludf.DUMMYFUNCTION("""COMPUTED_VALUE"""),"EditAllocatedGrid")</f>
        <v>EditAllocatedGrid</v>
      </c>
      <c r="CN4" s="22" t="str">
        <f ca="1">IFERROR(__xludf.DUMMYFUNCTION("""COMPUTED_VALUE"""),"SaveLayoutAllocatedGrid")</f>
        <v>SaveLayoutAllocatedGrid</v>
      </c>
      <c r="CO4" s="22" t="str">
        <f ca="1">IFERROR(__xludf.DUMMYFUNCTION("""COMPUTED_VALUE"""),"SaveLayoutUnallocatedGrid")</f>
        <v>SaveLayoutUnallocatedGrid</v>
      </c>
      <c r="CP4" s="22" t="str">
        <f ca="1">IFERROR(__xludf.DUMMYFUNCTION("""COMPUTED_VALUE"""),"SaveLayoutAllocationUI")</f>
        <v>SaveLayoutAllocationUI</v>
      </c>
      <c r="CQ4" s="22" t="str">
        <f ca="1">IFERROR(__xludf.DUMMYFUNCTION("""COMPUTED_VALUE"""),"ClearFiltersAllocatedGrid")</f>
        <v>ClearFiltersAllocatedGrid</v>
      </c>
      <c r="CR4" s="22" t="str">
        <f ca="1">IFERROR(__xludf.DUMMYFUNCTION("""COMPUTED_VALUE"""),"ClearFiltersUnallocatedGrid")</f>
        <v>ClearFiltersUnallocatedGrid</v>
      </c>
      <c r="CS4" s="22" t="str">
        <f ca="1">IFERROR(__xludf.DUMMYFUNCTION("""COMPUTED_VALUE"""),"VerifyLayoutAllocatedGrid")</f>
        <v>VerifyLayoutAllocatedGrid</v>
      </c>
      <c r="CT4" s="22" t="str">
        <f ca="1">IFERROR(__xludf.DUMMYFUNCTION("""COMPUTED_VALUE"""),"VerifyLayoutUnallocatedGrid")</f>
        <v>VerifyLayoutUnallocatedGrid</v>
      </c>
      <c r="CU4" s="22" t="str">
        <f ca="1">IFERROR(__xludf.DUMMYFUNCTION("""COMPUTED_VALUE"""),"CleanUp")</f>
        <v>CleanUp</v>
      </c>
      <c r="CV4" s="22" t="str">
        <f ca="1">IFERROR(__xludf.DUMMYFUNCTION("""COMPUTED_VALUE"""),"CheckAllocatedTaxlots")</f>
        <v>CheckAllocatedTaxlots</v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</row>
    <row r="5" spans="1:153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IFERROR(__xludf.DUMMYFUNCTION("""COMPUTED_VALUE"""),"Account Name")</f>
        <v>Account Name</v>
      </c>
      <c r="C5" s="24" t="str">
        <f ca="1">IFERROR(__xludf.DUMMYFUNCTION("""COMPUTED_VALUE"""),"Accrual Basis")</f>
        <v>Accrual Basis</v>
      </c>
      <c r="D5" s="24" t="str">
        <f ca="1">IFERROR(__xludf.DUMMYFUNCTION("""COMPUTED_VALUE"""),"Accrued Interest")</f>
        <v>Accrued Interest</v>
      </c>
      <c r="E5" s="24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4" t="str">
        <f ca="1">IFERROR(__xludf.DUMMYFUNCTION("""COMPUTED_VALUE"""),"Asset Category")</f>
        <v>Asset Category</v>
      </c>
      <c r="H5" s="24" t="str">
        <f ca="1">IFERROR(__xludf.DUMMYFUNCTION("""COMPUTED_VALUE"""),"AUEC Fee1")</f>
        <v>AUEC Fee1</v>
      </c>
      <c r="I5" s="24" t="str">
        <f ca="1">IFERROR(__xludf.DUMMYFUNCTION("""COMPUTED_VALUE"""),"AUEC Fee2")</f>
        <v>AUEC Fee2</v>
      </c>
      <c r="J5" s="24" t="str">
        <f ca="1">IFERROR(__xludf.DUMMYFUNCTION("""COMPUTED_VALUE"""),"AUECID")</f>
        <v>AUECID</v>
      </c>
      <c r="K5" s="24" t="str">
        <f ca="1">IFERROR(__xludf.DUMMYFUNCTION("""COMPUTED_VALUE"""),"Avg Price(Base)")</f>
        <v>Avg Price(Base)</v>
      </c>
      <c r="L5" s="24" t="str">
        <f ca="1">IFERROR(__xludf.DUMMYFUNCTION("""COMPUTED_VALUE"""),"Avg Price(Local)")</f>
        <v>Avg Price(Local)</v>
      </c>
      <c r="M5" s="24" t="str">
        <f ca="1">IFERROR(__xludf.DUMMYFUNCTION("""COMPUTED_VALUE"""),"Bloomberg")</f>
        <v>Bloomberg</v>
      </c>
      <c r="N5" s="24" t="str">
        <f ca="1">IFERROR(__xludf.DUMMYFUNCTION("""COMPUTED_VALUE"""),"Bond Type")</f>
        <v>Bond Type</v>
      </c>
      <c r="O5" s="24" t="str">
        <f ca="1">IFERROR(__xludf.DUMMYFUNCTION("""COMPUTED_VALUE"""),"Broker")</f>
        <v>Broker</v>
      </c>
      <c r="P5" s="24" t="str">
        <f ca="1">IFERROR(__xludf.DUMMYFUNCTION("""COMPUTED_VALUE"""),"Change Comment")</f>
        <v>Change Comment</v>
      </c>
      <c r="Q5" s="24" t="str">
        <f ca="1">IFERROR(__xludf.DUMMYFUNCTION("""COMPUTED_VALUE"""),"Change Type")</f>
        <v>Change Type</v>
      </c>
      <c r="R5" s="24" t="str">
        <f ca="1">IFERROR(__xludf.DUMMYFUNCTION("""COMPUTED_VALUE"""),"Clearing Broker Fee")</f>
        <v>Clearing Broker Fee</v>
      </c>
      <c r="S5" s="24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</row>
    <row r="6" spans="1:153" ht="15.75" customHeight="1">
      <c r="A6" s="3"/>
      <c r="K6" s="26">
        <v>1</v>
      </c>
      <c r="L6" s="26">
        <v>1</v>
      </c>
      <c r="BJ6" s="26">
        <v>100</v>
      </c>
      <c r="BO6" s="26" t="s">
        <v>17</v>
      </c>
      <c r="BT6" s="26" t="s">
        <v>16</v>
      </c>
    </row>
    <row r="7" spans="1:153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8">
        <v>1</v>
      </c>
      <c r="L7" s="8">
        <v>1</v>
      </c>
      <c r="M7" s="3"/>
      <c r="N7" s="3"/>
      <c r="O7" s="3"/>
      <c r="BJ7" s="26">
        <v>100</v>
      </c>
      <c r="BO7" s="26" t="s">
        <v>28</v>
      </c>
      <c r="BT7" s="26" t="s">
        <v>27</v>
      </c>
    </row>
    <row r="8" spans="1:153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3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3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3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3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3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3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3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3"/>
      <c r="B2" s="3"/>
      <c r="C2" s="3"/>
      <c r="D2" s="3"/>
      <c r="E2" s="3"/>
      <c r="F2" s="3"/>
      <c r="G2" s="3"/>
      <c r="H2" s="3"/>
      <c r="I2" s="3"/>
      <c r="J2" s="16" t="e">
        <f ca="1">VLOOKUP($E$3,_MasterData!B4:D1000,3,FALSE)</f>
        <v>#N/A</v>
      </c>
      <c r="K2" s="16"/>
      <c r="L2" s="3"/>
      <c r="M2" s="3"/>
      <c r="N2" s="3"/>
      <c r="O2" s="3"/>
    </row>
    <row r="3" spans="1:154" ht="15.75" customHeight="1">
      <c r="A3" s="17"/>
      <c r="B3" s="4" t="s">
        <v>3</v>
      </c>
      <c r="C3" s="18" t="s">
        <v>36</v>
      </c>
      <c r="D3" s="4" t="s">
        <v>7</v>
      </c>
      <c r="E3" s="18" t="s">
        <v>43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tr">
        <f ca="1">IFERROR(__xludf.DUMMYFUNCTION("""COMPUTED_VALUE"""),"CheckAllocatedGroups")</f>
        <v>CheckAllocatedGroups</v>
      </c>
      <c r="D4" s="21" t="str">
        <f ca="1">IFERROR(__xludf.DUMMYFUNCTION("""COMPUTED_VALUE"""),"Unallocate")</f>
        <v>Unallocate</v>
      </c>
      <c r="E4" s="21" t="str">
        <f ca="1">IFERROR(__xludf.DUMMYFUNCTION("""COMPUTED_VALUE"""),"GetDataAllocation")</f>
        <v>GetDataAllocation</v>
      </c>
      <c r="F4" s="21" t="str">
        <f ca="1">IFERROR(__xludf.DUMMYFUNCTION("""COMPUTED_VALUE"""),"SelectAllocatedGroup")</f>
        <v>SelectAllocatedGroup</v>
      </c>
      <c r="G4" s="21" t="str">
        <f ca="1">IFERROR(__xludf.DUMMYFUNCTION("""COMPUTED_VALUE"""),"EditTradesAllocated")</f>
        <v>EditTradesAllocated</v>
      </c>
      <c r="H4" s="21" t="str">
        <f ca="1">IFERROR(__xludf.DUMMYFUNCTION("""COMPUTED_VALUE"""),"EditTradesUnallocated")</f>
        <v>EditTradesUnallocated</v>
      </c>
      <c r="I4" s="21" t="str">
        <f ca="1">IFERROR(__xludf.DUMMYFUNCTION("""COMPUTED_VALUE"""),"Reallocate")</f>
        <v>Reallocate</v>
      </c>
      <c r="J4" s="21" t="str">
        <f ca="1">IFERROR(__xludf.DUMMYFUNCTION("""COMPUTED_VALUE"""),"EditUnallocatedGroupSidePanel")</f>
        <v>EditUnallocatedGroupSidePanel</v>
      </c>
      <c r="K4" s="21" t="str">
        <f ca="1">IFERROR(__xludf.DUMMYFUNCTION("""COMPUTED_VALUE"""),"TradeAttributeBulkChange")</f>
        <v>TradeAttributeBulkChange</v>
      </c>
      <c r="L4" s="21" t="str">
        <f ca="1">IFERROR(__xludf.DUMMYFUNCTION("""COMPUTED_VALUE"""),"ApplyBulkUpdateOnGroups")</f>
        <v>ApplyBulkUpdateOnGroups</v>
      </c>
      <c r="M4" s="21" t="str">
        <f ca="1">IFERROR(__xludf.DUMMYFUNCTION("""COMPUTED_VALUE"""),"ApplyPrefetchFilters")</f>
        <v>ApplyPrefetchFilters</v>
      </c>
      <c r="N4" s="21" t="str">
        <f ca="1">IFERROR(__xludf.DUMMYFUNCTION("""COMPUTED_VALUE"""),"GeneralPreferencesDefaultRule")</f>
        <v>GeneralPreferencesDefaultRule</v>
      </c>
      <c r="O4" s="21" t="str">
        <f ca="1">IFERROR(__xludf.DUMMYFUNCTION("""COMPUTED_VALUE"""),"GeneralPrefCompanyUserWise")</f>
        <v>GeneralPrefCompanyUserWise</v>
      </c>
      <c r="P4" s="22" t="str">
        <f ca="1">IFERROR(__xludf.DUMMYFUNCTION("""COMPUTED_VALUE"""),"RenameTradeAttributes")</f>
        <v>RenameTradeAttributes</v>
      </c>
      <c r="Q4" s="22" t="str">
        <f ca="1">IFERROR(__xludf.DUMMYFUNCTION("""COMPUTED_VALUE"""),"SetGroupingRules")</f>
        <v>SetGroupingRules</v>
      </c>
      <c r="R4" s="22" t="str">
        <f ca="1">IFERROR(__xludf.DUMMYFUNCTION("""COMPUTED_VALUE"""),"SetMasterFundRatio")</f>
        <v>SetMasterFundRatio</v>
      </c>
      <c r="S4" s="22" t="str">
        <f ca="1">IFERROR(__xludf.DUMMYFUNCTION("""COMPUTED_VALUE"""),"CheckFixedPreference")</f>
        <v>CheckFixedPreference</v>
      </c>
      <c r="T4" s="22" t="str">
        <f ca="1">IFERROR(__xludf.DUMMYFUNCTION("""COMPUTED_VALUE"""),"GetFixedPreference")</f>
        <v>GetFixedPreference</v>
      </c>
      <c r="U4" s="22" t="str">
        <f ca="1">IFERROR(__xludf.DUMMYFUNCTION("""COMPUTED_VALUE"""),"AddCalculatedPreferences")</f>
        <v>AddCalculatedPreferences</v>
      </c>
      <c r="V4" s="22" t="str">
        <f ca="1">IFERROR(__xludf.DUMMYFUNCTION("""COMPUTED_VALUE"""),"BulkChangeCalculatedPreferences")</f>
        <v>BulkChangeCalculatedPreferences</v>
      </c>
      <c r="W4" s="22" t="str">
        <f ca="1">IFERROR(__xludf.DUMMYFUNCTION("""COMPUTED_VALUE"""),"DeleteCalculatedPreferences")</f>
        <v>DeleteCalculatedPreferences</v>
      </c>
      <c r="X4" s="22" t="str">
        <f ca="1">IFERROR(__xludf.DUMMYFUNCTION("""COMPUTED_VALUE"""),"RenameCalculatedPreferences")</f>
        <v>RenameCalculatedPreferences</v>
      </c>
      <c r="Y4" s="22" t="str">
        <f ca="1">IFERROR(__xludf.DUMMYFUNCTION("""COMPUTED_VALUE"""),"CopyCalculatedPreferences")</f>
        <v>CopyCalculatedPreferences</v>
      </c>
      <c r="Z4" s="22" t="str">
        <f ca="1">IFERROR(__xludf.DUMMYFUNCTION("""COMPUTED_VALUE"""),"RunAutoGroup")</f>
        <v>RunAutoGroup</v>
      </c>
      <c r="AA4" s="22" t="str">
        <f ca="1">IFERROR(__xludf.DUMMYFUNCTION("""COMPUTED_VALUE"""),"BookOrUpdateSwap")</f>
        <v>BookOrUpdateSwap</v>
      </c>
      <c r="AB4" s="22" t="str">
        <f ca="1">IFERROR(__xludf.DUMMYFUNCTION("""COMPUTED_VALUE"""),"RunProrata")</f>
        <v>RunProrata</v>
      </c>
      <c r="AC4" s="22" t="str">
        <f ca="1">IFERROR(__xludf.DUMMYFUNCTION("""COMPUTED_VALUE"""),"SetDefaultRuleCalculatedPref")</f>
        <v>SetDefaultRuleCalculatedPref</v>
      </c>
      <c r="AD4" s="22" t="str">
        <f ca="1">IFERROR(__xludf.DUMMYFUNCTION("""COMPUTED_VALUE"""),"SetAccountValueCalculatedPref")</f>
        <v>SetAccountValueCalculatedPref</v>
      </c>
      <c r="AE4" s="22" t="str">
        <f ca="1">IFERROR(__xludf.DUMMYFUNCTION("""COMPUTED_VALUE"""),"TradeAttributeBulkChangeGroups")</f>
        <v>TradeAttributeBulkChangeGroups</v>
      </c>
      <c r="AF4" s="22" t="str">
        <f ca="1">IFERROR(__xludf.DUMMYFUNCTION("""COMPUTED_VALUE"""),"TradeAttributeBulkChangeTaxlots")</f>
        <v>TradeAttributeBulkChangeTaxlots</v>
      </c>
      <c r="AG4" s="22" t="str">
        <f ca="1">IFERROR(__xludf.DUMMYFUNCTION("""COMPUTED_VALUE"""),"AddCalculatedPreferenceToolbar")</f>
        <v>AddCalculatedPreferenceToolbar</v>
      </c>
      <c r="AH4" s="22" t="str">
        <f ca="1">IFERROR(__xludf.DUMMYFUNCTION("""COMPUTED_VALUE"""),"SetStrategyValueCalculatedPref")</f>
        <v>SetStrategyValueCalculatedPref</v>
      </c>
      <c r="AI4" s="22" t="str">
        <f ca="1">IFERROR(__xludf.DUMMYFUNCTION("""COMPUTED_VALUE"""),"ApplyBulkUpdateOnTaxlots")</f>
        <v>ApplyBulkUpdateOnTaxlots</v>
      </c>
      <c r="AJ4" s="22" t="str">
        <f ca="1">IFERROR(__xludf.DUMMYFUNCTION("""COMPUTED_VALUE"""),"CommissionBulkChangeOnGroups")</f>
        <v>CommissionBulkChangeOnGroups</v>
      </c>
      <c r="AK4" s="22" t="str">
        <f ca="1">IFERROR(__xludf.DUMMYFUNCTION("""COMPUTED_VALUE"""),"CommissionBulkChangeOnTaxlots")</f>
        <v>CommissionBulkChangeOnTaxlots</v>
      </c>
      <c r="AL4" s="22" t="str">
        <f ca="1">IFERROR(__xludf.DUMMYFUNCTION("""COMPUTED_VALUE"""),"SelectUnallocatedGroup")</f>
        <v>SelectUnallocatedGroup</v>
      </c>
      <c r="AM4" s="22" t="str">
        <f ca="1">IFERROR(__xludf.DUMMYFUNCTION("""COMPUTED_VALUE"""),"EnterAccountValuesToAllocate")</f>
        <v>EnterAccountValuesToAllocate</v>
      </c>
      <c r="AN4" s="22" t="str">
        <f ca="1">IFERROR(__xludf.DUMMYFUNCTION("""COMPUTED_VALUE"""),"EnterAllocatePreference")</f>
        <v>EnterAllocatePreference</v>
      </c>
      <c r="AO4" s="22" t="str">
        <f ca="1">IFERROR(__xludf.DUMMYFUNCTION("""COMPUTED_VALUE"""),"EnterStrategyValuesToAllocate")</f>
        <v>EnterStrategyValuesToAllocate</v>
      </c>
      <c r="AP4" s="22" t="str">
        <f ca="1">IFERROR(__xludf.DUMMYFUNCTION("""COMPUTED_VALUE"""),"CopyCalculatedPreferenceToolbar")</f>
        <v>CopyCalculatedPreferenceToolbar</v>
      </c>
      <c r="AQ4" s="22" t="str">
        <f ca="1">IFERROR(__xludf.DUMMYFUNCTION("""COMPUTED_VALUE"""),"SetGeneralRuleCalculatedPref")</f>
        <v>SetGeneralRuleCalculatedPref</v>
      </c>
      <c r="AR4" s="22" t="str">
        <f ca="1">IFERROR(__xludf.DUMMYFUNCTION("""COMPUTED_VALUE"""),"ExportAllCalculatedPreferences")</f>
        <v>ExportAllCalculatedPreferences</v>
      </c>
      <c r="AS4" s="22" t="str">
        <f ca="1">IFERROR(__xludf.DUMMYFUNCTION("""COMPUTED_VALUE"""),"SaveCalculatedPreferences")</f>
        <v>SaveCalculatedPreferences</v>
      </c>
      <c r="AT4" s="22" t="str">
        <f ca="1">IFERROR(__xludf.DUMMYFUNCTION("""COMPUTED_VALUE"""),"CloseCalculatedPreferences")</f>
        <v>CloseCalculatedPreferences</v>
      </c>
      <c r="AU4" s="22" t="str">
        <f ca="1">IFERROR(__xludf.DUMMYFUNCTION("""COMPUTED_VALUE"""),"ExportCalculatedPreference")</f>
        <v>ExportCalculatedPreference</v>
      </c>
      <c r="AV4" s="22" t="str">
        <f ca="1">IFERROR(__xludf.DUMMYFUNCTION("""COMPUTED_VALUE"""),"ImportCalculatedPreferences")</f>
        <v>ImportCalculatedPreferences</v>
      </c>
      <c r="AW4" s="22" t="str">
        <f ca="1">IFERROR(__xludf.DUMMYFUNCTION("""COMPUTED_VALUE"""),"OpenAuditTrailUnallocatedGroup")</f>
        <v>OpenAuditTrailUnallocatedGroup</v>
      </c>
      <c r="AX4" s="22" t="str">
        <f ca="1">IFERROR(__xludf.DUMMYFUNCTION("""COMPUTED_VALUE"""),"DeleteCalculatedPreferencesTool")</f>
        <v>DeleteCalculatedPreferencesTool</v>
      </c>
      <c r="AY4" s="22" t="str">
        <f ca="1">IFERROR(__xludf.DUMMYFUNCTION("""COMPUTED_VALUE"""),"ImportCalculatedPreferencesTool")</f>
        <v>ImportCalculatedPreferencesTool</v>
      </c>
      <c r="AZ4" s="22" t="str">
        <f ca="1">IFERROR(__xludf.DUMMYFUNCTION("""COMPUTED_VALUE"""),"ExportAllCalculatedPreferTool")</f>
        <v>ExportAllCalculatedPreferTool</v>
      </c>
      <c r="BA4" s="22" t="str">
        <f ca="1">IFERROR(__xludf.DUMMYFUNCTION("""COMPUTED_VALUE"""),"OpenAuditTrailAllocatedGroup")</f>
        <v>OpenAuditTrailAllocatedGroup</v>
      </c>
      <c r="BB4" s="22" t="str">
        <f ca="1">IFERROR(__xludf.DUMMYFUNCTION("""COMPUTED_VALUE"""),"OpenSymbolLookupUnallocateGroup")</f>
        <v>OpenSymbolLookupUnallocateGroup</v>
      </c>
      <c r="BC4" s="22" t="str">
        <f ca="1">IFERROR(__xludf.DUMMYFUNCTION("""COMPUTED_VALUE"""),"OpenSymbolLookupAllocatedGroup")</f>
        <v>OpenSymbolLookupAllocatedGroup</v>
      </c>
      <c r="BD4" s="22" t="str">
        <f ca="1">IFERROR(__xludf.DUMMYFUNCTION("""COMPUTED_VALUE"""),"DeleteFixedPreference")</f>
        <v>DeleteFixedPreference</v>
      </c>
      <c r="BE4" s="22" t="str">
        <f ca="1">IFERROR(__xludf.DUMMYFUNCTION("""COMPUTED_VALUE"""),"EditAllocatedGroupSidePanel")</f>
        <v>EditAllocatedGroupSidePanel</v>
      </c>
      <c r="BF4" s="22" t="str">
        <f ca="1">IFERROR(__xludf.DUMMYFUNCTION("""COMPUTED_VALUE"""),"CheckUnallocatedGroups")</f>
        <v>CheckUnallocatedGroups</v>
      </c>
      <c r="BG4" s="22" t="str">
        <f ca="1">IFERROR(__xludf.DUMMYFUNCTION("""COMPUTED_VALUE"""),"SetGeneralPreferences")</f>
        <v>SetGeneralPreferences</v>
      </c>
      <c r="BH4" s="22" t="str">
        <f ca="1">IFERROR(__xludf.DUMMYFUNCTION("""COMPUTED_VALUE"""),"GroupTrades")</f>
        <v>GroupTrades</v>
      </c>
      <c r="BI4" s="22" t="str">
        <f ca="1">IFERROR(__xludf.DUMMYFUNCTION("""COMPUTED_VALUE"""),"UngroupTrades")</f>
        <v>UngroupTrades</v>
      </c>
      <c r="BJ4" s="22" t="str">
        <f ca="1">IFERROR(__xludf.DUMMYFUNCTION("""COMPUTED_VALUE"""),"DeleteGroup")</f>
        <v>DeleteGroup</v>
      </c>
      <c r="BK4" s="22" t="str">
        <f ca="1">IFERROR(__xludf.DUMMYFUNCTION("""COMPUTED_VALUE"""),"CloseOrder")</f>
        <v>CloseOrder</v>
      </c>
      <c r="BL4" s="22" t="str">
        <f ca="1">IFERROR(__xludf.DUMMYFUNCTION("""COMPUTED_VALUE"""),"Unallocate")</f>
        <v>Unallocate</v>
      </c>
      <c r="BM4" s="22" t="str">
        <f ca="1">IFERROR(__xludf.DUMMYFUNCTION("""COMPUTED_VALUE"""),"CloseAllocation")</f>
        <v>CloseAllocation</v>
      </c>
      <c r="BN4" s="22" t="str">
        <f ca="1">IFERROR(__xludf.DUMMYFUNCTION("""COMPUTED_VALUE"""),"UpdateGRAccountValue")</f>
        <v>UpdateGRAccountValue</v>
      </c>
      <c r="BO4" s="22" t="str">
        <f ca="1">IFERROR(__xludf.DUMMYFUNCTION("""COMPUTED_VALUE"""),"UpdateGRStrategyValue")</f>
        <v>UpdateGRStrategyValue</v>
      </c>
      <c r="BP4" s="22" t="str">
        <f ca="1">IFERROR(__xludf.DUMMYFUNCTION("""COMPUTED_VALUE"""),"UpdateGRDefaultRule")</f>
        <v>UpdateGRDefaultRule</v>
      </c>
      <c r="BQ4" s="22" t="str">
        <f ca="1">IFERROR(__xludf.DUMMYFUNCTION("""COMPUTED_VALUE"""),"UpdateGeneralRulePref")</f>
        <v>UpdateGeneralRulePref</v>
      </c>
      <c r="BR4" s="22" t="str">
        <f ca="1">IFERROR(__xludf.DUMMYFUNCTION("""COMPUTED_VALUE"""),"ModifyGRPreferenceValues")</f>
        <v>ModifyGRPreferenceValues</v>
      </c>
      <c r="BS4" s="22" t="str">
        <f ca="1">IFERROR(__xludf.DUMMYFUNCTION("""COMPUTED_VALUE"""),"AddMFPreferences")</f>
        <v>AddMFPreferences</v>
      </c>
      <c r="BT4" s="22" t="str">
        <f ca="1">IFERROR(__xludf.DUMMYFUNCTION("""COMPUTED_VALUE"""),"AddMFPreferenceToolbar")</f>
        <v>AddMFPreferenceToolbar</v>
      </c>
      <c r="BU4" s="22" t="str">
        <f ca="1">IFERROR(__xludf.DUMMYFUNCTION("""COMPUTED_VALUE"""),"DeleteMFPreferences")</f>
        <v>DeleteMFPreferences</v>
      </c>
      <c r="BV4" s="22" t="str">
        <f ca="1">IFERROR(__xludf.DUMMYFUNCTION("""COMPUTED_VALUE"""),"DeleteMFPreferenceToolbar")</f>
        <v>DeleteMFPreferenceToolbar</v>
      </c>
      <c r="BW4" s="22" t="str">
        <f ca="1">IFERROR(__xludf.DUMMYFUNCTION("""COMPUTED_VALUE"""),"RenameMFPreferences")</f>
        <v>RenameMFPreferences</v>
      </c>
      <c r="BX4" s="22" t="str">
        <f ca="1">IFERROR(__xludf.DUMMYFUNCTION("""COMPUTED_VALUE"""),"SaveCloseMFPreference")</f>
        <v>SaveCloseMFPreference</v>
      </c>
      <c r="BY4" s="22" t="str">
        <f ca="1">IFERROR(__xludf.DUMMYFUNCTION("""COMPUTED_VALUE"""),"SetMFPrefAccountValues")</f>
        <v>SetMFPrefAccountValues</v>
      </c>
      <c r="BZ4" s="22" t="str">
        <f ca="1">IFERROR(__xludf.DUMMYFUNCTION("""COMPUTED_VALUE"""),"ModifyMFPrefGeneralRuleValues")</f>
        <v>ModifyMFPrefGeneralRuleValues</v>
      </c>
      <c r="CA4" s="22" t="str">
        <f ca="1">IFERROR(__xludf.DUMMYFUNCTION("""COMPUTED_VALUE"""),"SetMFPrefStrategyValues")</f>
        <v>SetMFPrefStrategyValues</v>
      </c>
      <c r="CB4" s="22" t="str">
        <f ca="1">IFERROR(__xludf.DUMMYFUNCTION("""COMPUTED_VALUE"""),"SetMFPrefGeneralRule")</f>
        <v>SetMFPrefGeneralRule</v>
      </c>
      <c r="CC4" s="22" t="str">
        <f ca="1">IFERROR(__xludf.DUMMYFUNCTION("""COMPUTED_VALUE"""),"SetMFPrefFundDistribution")</f>
        <v>SetMFPrefFundDistribution</v>
      </c>
      <c r="CD4" s="22" t="str">
        <f ca="1">IFERROR(__xludf.DUMMYFUNCTION("""COMPUTED_VALUE"""),"SetMFPreferencesDefaultRule")</f>
        <v>SetMFPreferencesDefaultRule</v>
      </c>
      <c r="CE4" s="22" t="str">
        <f ca="1">IFERROR(__xludf.DUMMYFUNCTION("""COMPUTED_VALUE"""),"SetMFPrefFundDefaultRule")</f>
        <v>SetMFPrefFundDefaultRule</v>
      </c>
      <c r="CF4" s="22" t="str">
        <f ca="1">IFERROR(__xludf.DUMMYFUNCTION("""COMPUTED_VALUE"""),"ClearPrefetchFilters")</f>
        <v>ClearPrefetchFilters</v>
      </c>
      <c r="CG4" s="22" t="str">
        <f ca="1">IFERROR(__xludf.DUMMYFUNCTION("""COMPUTED_VALUE"""),"ExpandCollapseAllUnallocated")</f>
        <v>ExpandCollapseAllUnallocated</v>
      </c>
      <c r="CH4" s="22" t="str">
        <f ca="1">IFERROR(__xludf.DUMMYFUNCTION("""COMPUTED_VALUE"""),"ExpandCollapseAllAllocated")</f>
        <v>ExpandCollapseAllAllocated</v>
      </c>
      <c r="CI4" s="22" t="str">
        <f ca="1">IFERROR(__xludf.DUMMYFUNCTION("""COMPUTED_VALUE"""),"GenerateCashTransaction")</f>
        <v>GenerateCashTransaction</v>
      </c>
      <c r="CJ4" s="22" t="str">
        <f ca="1">IFERROR(__xludf.DUMMYFUNCTION("""COMPUTED_VALUE"""),"SaveAllocation")</f>
        <v>SaveAllocation</v>
      </c>
      <c r="CK4" s="22" t="str">
        <f ca="1">IFERROR(__xludf.DUMMYFUNCTION("""COMPUTED_VALUE"""),"UnallocateWithOutSave")</f>
        <v>UnallocateWithOutSave</v>
      </c>
      <c r="CL4" s="22" t="str">
        <f ca="1">IFERROR(__xludf.DUMMYFUNCTION("""COMPUTED_VALUE"""),"EditUnallocatedGrid")</f>
        <v>EditUnallocatedGrid</v>
      </c>
      <c r="CM4" s="22" t="str">
        <f ca="1">IFERROR(__xludf.DUMMYFUNCTION("""COMPUTED_VALUE"""),"EditAllocatedGrid")</f>
        <v>EditAllocatedGrid</v>
      </c>
      <c r="CN4" s="22" t="str">
        <f ca="1">IFERROR(__xludf.DUMMYFUNCTION("""COMPUTED_VALUE"""),"SaveLayoutAllocatedGrid")</f>
        <v>SaveLayoutAllocatedGrid</v>
      </c>
      <c r="CO4" s="22" t="str">
        <f ca="1">IFERROR(__xludf.DUMMYFUNCTION("""COMPUTED_VALUE"""),"SaveLayoutUnallocatedGrid")</f>
        <v>SaveLayoutUnallocatedGrid</v>
      </c>
      <c r="CP4" s="22" t="str">
        <f ca="1">IFERROR(__xludf.DUMMYFUNCTION("""COMPUTED_VALUE"""),"SaveLayoutAllocationUI")</f>
        <v>SaveLayoutAllocationUI</v>
      </c>
      <c r="CQ4" s="22" t="str">
        <f ca="1">IFERROR(__xludf.DUMMYFUNCTION("""COMPUTED_VALUE"""),"ClearFiltersAllocatedGrid")</f>
        <v>ClearFiltersAllocatedGrid</v>
      </c>
      <c r="CR4" s="22" t="str">
        <f ca="1">IFERROR(__xludf.DUMMYFUNCTION("""COMPUTED_VALUE"""),"ClearFiltersUnallocatedGrid")</f>
        <v>ClearFiltersUnallocatedGrid</v>
      </c>
      <c r="CS4" s="22" t="str">
        <f ca="1">IFERROR(__xludf.DUMMYFUNCTION("""COMPUTED_VALUE"""),"VerifyLayoutAllocatedGrid")</f>
        <v>VerifyLayoutAllocatedGrid</v>
      </c>
      <c r="CT4" s="22" t="str">
        <f ca="1">IFERROR(__xludf.DUMMYFUNCTION("""COMPUTED_VALUE"""),"VerifyLayoutUnallocatedGrid")</f>
        <v>VerifyLayoutUnallocatedGrid</v>
      </c>
      <c r="CU4" s="22" t="str">
        <f ca="1">IFERROR(__xludf.DUMMYFUNCTION("""COMPUTED_VALUE"""),"CleanUp")</f>
        <v>CleanUp</v>
      </c>
      <c r="CV4" s="22" t="str">
        <f ca="1">IFERROR(__xludf.DUMMYFUNCTION("""COMPUTED_VALUE"""),"CheckAllocatedTaxlots")</f>
        <v>CheckAllocatedTaxlots</v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  <c r="EX4" s="22" t="str">
        <f ca="1">IFERROR(__xludf.DUMMYFUNCTION("""COMPUTED_VALUE"""),"")</f>
        <v/>
      </c>
    </row>
    <row r="5" spans="1:154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IFERROR(__xludf.DUMMYFUNCTION("""COMPUTED_VALUE"""),"RangeType")</f>
        <v>RangeType</v>
      </c>
      <c r="C5" s="24" t="str">
        <f ca="1">IFERROR(__xludf.DUMMYFUNCTION("""COMPUTED_VALUE"""),"From")</f>
        <v>From</v>
      </c>
      <c r="D5" s="24" t="str">
        <f ca="1">IFERROR(__xludf.DUMMYFUNCTION("""COMPUTED_VALUE"""),"To")</f>
        <v>To</v>
      </c>
      <c r="E5" s="24" t="str">
        <f ca="1">IFERROR(__xludf.DUMMYFUNCTION("""COMPUTED_VALUE"""),"FilterTabName")</f>
        <v>FilterTabName</v>
      </c>
      <c r="F5" s="29" t="str">
        <f ca="1">IFERROR(__xludf.DUMMYFUNCTION("""COMPUTED_VALUE"""),"Symbol")</f>
        <v>Symbol</v>
      </c>
      <c r="G5" s="24" t="str">
        <f ca="1">IFERROR(__xludf.DUMMYFUNCTION("""COMPUTED_VALUE"""),"Asset")</f>
        <v>Asset</v>
      </c>
      <c r="H5" s="24" t="str">
        <f ca="1">IFERROR(__xludf.DUMMYFUNCTION("""COMPUTED_VALUE"""),"Side")</f>
        <v>Side</v>
      </c>
      <c r="I5" s="24" t="str">
        <f ca="1">IFERROR(__xludf.DUMMYFUNCTION("""COMPUTED_VALUE"""),"Account")</f>
        <v>Account</v>
      </c>
      <c r="J5" s="24" t="str">
        <f ca="1">IFERROR(__xludf.DUMMYFUNCTION("""COMPUTED_VALUE"""),"Broker")</f>
        <v>Broker</v>
      </c>
      <c r="K5" s="24" t="str">
        <f ca="1">IFERROR(__xludf.DUMMYFUNCTION("""COMPUTED_VALUE"""),"Currency")</f>
        <v>Currency</v>
      </c>
      <c r="L5" s="24" t="str">
        <f ca="1">IFERROR(__xludf.DUMMYFUNCTION("""COMPUTED_VALUE"""),"Exchange")</f>
        <v>Exchange</v>
      </c>
      <c r="M5" s="24" t="str">
        <f ca="1">IFERROR(__xludf.DUMMYFUNCTION("""COMPUTED_VALUE"""),"StrategyName")</f>
        <v>StrategyName</v>
      </c>
      <c r="N5" s="24" t="str">
        <f ca="1">IFERROR(__xludf.DUMMYFUNCTION("""COMPUTED_VALUE"""),"Underlying")</f>
        <v>Underlying</v>
      </c>
      <c r="O5" s="24" t="str">
        <f ca="1">IFERROR(__xludf.DUMMYFUNCTION("""COMPUTED_VALUE"""),"Venue")</f>
        <v>Venue</v>
      </c>
      <c r="P5" s="24" t="str">
        <f ca="1">IFERROR(__xludf.DUMMYFUNCTION("""COMPUTED_VALUE"""),"TradingAccount")</f>
        <v>TradingAccount</v>
      </c>
      <c r="Q5" s="24" t="str">
        <f ca="1">IFERROR(__xludf.DUMMYFUNCTION("""COMPUTED_VALUE"""),"PreAllocated")</f>
        <v>PreAllocated</v>
      </c>
      <c r="R5" s="24" t="str">
        <f ca="1">IFERROR(__xludf.DUMMYFUNCTION("""COMPUTED_VALUE"""),"ManualGroup")</f>
        <v>ManualGroup</v>
      </c>
      <c r="S5" s="24" t="str">
        <f ca="1">IFERROR(__xludf.DUMMYFUNCTION("""COMPUTED_VALUE"""),"")</f>
        <v/>
      </c>
      <c r="T5" s="25" t="str">
        <f ca="1">IFERROR(__xludf.DUMMYFUNCTION("""COMPUTED_VALUE"""),"")</f>
        <v/>
      </c>
      <c r="U5" s="25" t="str">
        <f ca="1">IFERROR(__xludf.DUMMYFUNCTION("""COMPUTED_VALUE"""),"")</f>
        <v/>
      </c>
      <c r="V5" s="25" t="str">
        <f ca="1">IFERROR(__xludf.DUMMYFUNCTION("""COMPUTED_VALUE"""),"")</f>
        <v/>
      </c>
      <c r="W5" s="25" t="str">
        <f ca="1">IFERROR(__xludf.DUMMYFUNCTION("""COMPUTED_VALUE"""),"")</f>
        <v/>
      </c>
      <c r="X5" s="25" t="str">
        <f ca="1">IFERROR(__xludf.DUMMYFUNCTION("""COMPUTED_VALUE"""),"")</f>
        <v/>
      </c>
      <c r="Y5" s="25" t="str">
        <f ca="1">IFERROR(__xludf.DUMMYFUNCTION("""COMPUTED_VALUE"""),"")</f>
        <v/>
      </c>
      <c r="Z5" s="25" t="str">
        <f ca="1">IFERROR(__xludf.DUMMYFUNCTION("""COMPUTED_VALUE"""),"")</f>
        <v/>
      </c>
      <c r="AA5" s="25" t="str">
        <f ca="1">IFERROR(__xludf.DUMMYFUNCTION("""COMPUTED_VALUE"""),"")</f>
        <v/>
      </c>
      <c r="AB5" s="25" t="str">
        <f ca="1">IFERROR(__xludf.DUMMYFUNCTION("""COMPUTED_VALUE"""),"")</f>
        <v/>
      </c>
      <c r="AC5" s="25" t="str">
        <f ca="1">IFERROR(__xludf.DUMMYFUNCTION("""COMPUTED_VALUE"""),"")</f>
        <v/>
      </c>
      <c r="AD5" s="25" t="str">
        <f ca="1">IFERROR(__xludf.DUMMYFUNCTION("""COMPUTED_VALUE"""),"")</f>
        <v/>
      </c>
      <c r="AE5" s="25" t="str">
        <f ca="1">IFERROR(__xludf.DUMMYFUNCTION("""COMPUTED_VALUE"""),"")</f>
        <v/>
      </c>
      <c r="AF5" s="25" t="str">
        <f ca="1">IFERROR(__xludf.DUMMYFUNCTION("""COMPUTED_VALUE"""),"")</f>
        <v/>
      </c>
      <c r="AG5" s="25" t="str">
        <f ca="1">IFERROR(__xludf.DUMMYFUNCTION("""COMPUTED_VALUE"""),"")</f>
        <v/>
      </c>
      <c r="AH5" s="25" t="str">
        <f ca="1">IFERROR(__xludf.DUMMYFUNCTION("""COMPUTED_VALUE"""),"")</f>
        <v/>
      </c>
      <c r="AI5" s="25" t="str">
        <f ca="1">IFERROR(__xludf.DUMMYFUNCTION("""COMPUTED_VALUE"""),"")</f>
        <v/>
      </c>
      <c r="AJ5" s="25" t="str">
        <f ca="1">IFERROR(__xludf.DUMMYFUNCTION("""COMPUTED_VALUE"""),"")</f>
        <v/>
      </c>
      <c r="AK5" s="25" t="str">
        <f ca="1">IFERROR(__xludf.DUMMYFUNCTION("""COMPUTED_VALUE"""),"")</f>
        <v/>
      </c>
      <c r="AL5" s="25" t="str">
        <f ca="1">IFERROR(__xludf.DUMMYFUNCTION("""COMPUTED_VALUE"""),"")</f>
        <v/>
      </c>
      <c r="AM5" s="25" t="str">
        <f ca="1">IFERROR(__xludf.DUMMYFUNCTION("""COMPUTED_VALUE"""),"")</f>
        <v/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  <c r="EX5" s="25" t="str">
        <f ca="1">IFERROR(__xludf.DUMMYFUNCTION("""COMPUTED_VALUE"""),"")</f>
        <v/>
      </c>
    </row>
    <row r="6" spans="1:154" ht="15.75" customHeight="1">
      <c r="A6" s="8"/>
      <c r="B6" s="8" t="s">
        <v>44</v>
      </c>
      <c r="C6" s="3"/>
      <c r="D6" s="8"/>
      <c r="E6" s="30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4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4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4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3"/>
      <c r="B2" s="3"/>
      <c r="C2" s="3"/>
      <c r="D2" s="3"/>
      <c r="E2" s="3"/>
      <c r="F2" s="3"/>
      <c r="G2" s="3"/>
      <c r="H2" s="3"/>
      <c r="I2" s="3"/>
      <c r="J2" s="16" t="e">
        <f ca="1">VLOOKUP($E$3,_MasterData!B4:D1000,3,FALSE)</f>
        <v>#N/A</v>
      </c>
      <c r="K2" s="16"/>
      <c r="L2" s="3"/>
      <c r="M2" s="3"/>
      <c r="N2" s="3"/>
      <c r="O2" s="3"/>
    </row>
    <row r="3" spans="1:154" ht="15.75" customHeight="1">
      <c r="A3" s="17"/>
      <c r="B3" s="4" t="s">
        <v>3</v>
      </c>
      <c r="C3" s="18" t="s">
        <v>45</v>
      </c>
      <c r="D3" s="4" t="s">
        <v>7</v>
      </c>
      <c r="E3" s="18" t="s">
        <v>46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IFERROR(__xludf.DUMMYFUNCTION("IF(C3="""","""",Transpose(IMPORTRANGE('_Settings'!$B$3,C3&amp;""!A4:A1000"")))"),"SwapExpire")</f>
        <v>SwapExpire</v>
      </c>
      <c r="C4" s="21" t="str">
        <f ca="1">IFERROR(__xludf.DUMMYFUNCTION("""COMPUTED_VALUE"""),"GetDataClosing")</f>
        <v>GetDataClosing</v>
      </c>
      <c r="D4" s="21" t="str">
        <f ca="1">IFERROR(__xludf.DUMMYFUNCTION("""COMPUTED_VALUE"""),"ManualClosing")</f>
        <v>ManualClosing</v>
      </c>
      <c r="E4" s="21" t="str">
        <f ca="1">IFERROR(__xludf.DUMMYFUNCTION("""COMPUTED_VALUE"""),"AutomaticClosing")</f>
        <v>AutomaticClosing</v>
      </c>
      <c r="F4" s="21" t="str">
        <f ca="1">IFERROR(__xludf.DUMMYFUNCTION("""COMPUTED_VALUE"""),"UnwindClosing")</f>
        <v>UnwindClosing</v>
      </c>
      <c r="G4" s="21" t="str">
        <f ca="1">IFERROR(__xludf.DUMMYFUNCTION("""COMPUTED_VALUE"""),"VerifyClosedTrades")</f>
        <v>VerifyClosedTrades</v>
      </c>
      <c r="H4" s="21" t="str">
        <f ca="1">IFERROR(__xludf.DUMMYFUNCTION("""COMPUTED_VALUE"""),"VerifyLongPositionsGrid")</f>
        <v>VerifyLongPositionsGrid</v>
      </c>
      <c r="I4" s="21" t="str">
        <f ca="1">IFERROR(__xludf.DUMMYFUNCTION("""COMPUTED_VALUE"""),"VerifyShortPositionsGrid")</f>
        <v>VerifyShortPositionsGrid</v>
      </c>
      <c r="J4" s="21" t="str">
        <f ca="1">IFERROR(__xludf.DUMMYFUNCTION("""COMPUTED_VALUE"""),"SelectTradeUnexpiredUnsettled")</f>
        <v>SelectTradeUnexpiredUnsettled</v>
      </c>
      <c r="K4" s="21" t="str">
        <f ca="1">IFERROR(__xludf.DUMMYFUNCTION("""COMPUTED_VALUE"""),"CashSettlementAtCost")</f>
        <v>CashSettlementAtCost</v>
      </c>
      <c r="L4" s="21" t="str">
        <f ca="1">IFERROR(__xludf.DUMMYFUNCTION("""COMPUTED_VALUE"""),"CashSettlementAtZeroPrice")</f>
        <v>CashSettlementAtZeroPrice</v>
      </c>
      <c r="M4" s="21" t="str">
        <f ca="1">IFERROR(__xludf.DUMMYFUNCTION("""COMPUTED_VALUE"""),"CashSettlementAtClosingDtSpotPx")</f>
        <v>CashSettlementAtClosingDtSpotPx</v>
      </c>
      <c r="N4" s="21" t="str">
        <f ca="1">IFERROR(__xludf.DUMMYFUNCTION("""COMPUTED_VALUE"""),"PhysicalSettlement")</f>
        <v>PhysicalSettlement</v>
      </c>
      <c r="O4" s="21" t="str">
        <f ca="1">IFERROR(__xludf.DUMMYFUNCTION("""COMPUTED_VALUE"""),"Expire")</f>
        <v>Expire</v>
      </c>
      <c r="P4" s="22" t="str">
        <f ca="1">IFERROR(__xludf.DUMMYFUNCTION("""COMPUTED_VALUE"""),"ExerciseAssignment")</f>
        <v>ExerciseAssignment</v>
      </c>
      <c r="Q4" s="22" t="str">
        <f ca="1">IFERROR(__xludf.DUMMYFUNCTION("""COMPUTED_VALUE"""),"ExerciseAssignmentAtZero")</f>
        <v>ExerciseAssignmentAtZero</v>
      </c>
      <c r="R4" s="22" t="str">
        <f ca="1">IFERROR(__xludf.DUMMYFUNCTION("""COMPUTED_VALUE"""),"SwapExpireAndRollover")</f>
        <v>SwapExpireAndRollover</v>
      </c>
      <c r="S4" s="22" t="str">
        <f ca="1">IFERROR(__xludf.DUMMYFUNCTION("""COMPUTED_VALUE"""),"SwapExpire")</f>
        <v>SwapExpire</v>
      </c>
      <c r="T4" s="22" t="str">
        <f ca="1">IFERROR(__xludf.DUMMYFUNCTION("""COMPUTED_VALUE"""),"VerifyExpiredSettledGrid")</f>
        <v>VerifyExpiredSettledGrid</v>
      </c>
      <c r="U4" s="22" t="str">
        <f ca="1">IFERROR(__xludf.DUMMYFUNCTION("""COMPUTED_VALUE"""),"VerifyUnExpiredUnSettledGrid")</f>
        <v>VerifyUnExpiredUnSettledGrid</v>
      </c>
      <c r="V4" s="22" t="str">
        <f ca="1">IFERROR(__xludf.DUMMYFUNCTION("""COMPUTED_VALUE"""),"UnWindTradeSettlement")</f>
        <v>UnWindTradeSettlement</v>
      </c>
      <c r="W4" s="22" t="str">
        <f ca="1">IFERROR(__xludf.DUMMYFUNCTION("""COMPUTED_VALUE"""),"CloseOrder")</f>
        <v>CloseOrder</v>
      </c>
      <c r="X4" s="22" t="str">
        <f ca="1">IFERROR(__xludf.DUMMYFUNCTION("""COMPUTED_VALUE"""),"VerifyCloseOrder")</f>
        <v>VerifyCloseOrder</v>
      </c>
      <c r="Y4" s="22" t="str">
        <f ca="1">IFERROR(__xludf.DUMMYFUNCTION("""COMPUTED_VALUE"""),"UnWindCloseOrder")</f>
        <v>UnWindCloseOrder</v>
      </c>
      <c r="Z4" s="22" t="str">
        <f ca="1">IFERROR(__xludf.DUMMYFUNCTION("""COMPUTED_VALUE"""),"ClosingCleanUp")</f>
        <v>ClosingCleanUp</v>
      </c>
      <c r="AA4" s="22" t="str">
        <f ca="1">IFERROR(__xludf.DUMMYFUNCTION("""COMPUTED_VALUE"""),"CloseClosingUI")</f>
        <v>CloseClosingUI</v>
      </c>
      <c r="AB4" s="22" t="str">
        <f ca="1">IFERROR(__xludf.DUMMYFUNCTION("""COMPUTED_VALUE"""),"SetClosingPreference")</f>
        <v>SetClosingPreference</v>
      </c>
      <c r="AC4" s="22" t="str">
        <f ca="1">IFERROR(__xludf.DUMMYFUNCTION("""COMPUTED_VALUE"""),"EditTradeUnexpiredUnsettled")</f>
        <v>EditTradeUnexpiredUnsettled</v>
      </c>
      <c r="AD4" s="22" t="str">
        <f ca="1">IFERROR(__xludf.DUMMYFUNCTION("""COMPUTED_VALUE"""),"")</f>
        <v/>
      </c>
      <c r="AE4" s="22" t="str">
        <f ca="1">IFERROR(__xludf.DUMMYFUNCTION("""COMPUTED_VALUE"""),"")</f>
        <v/>
      </c>
      <c r="AF4" s="22" t="str">
        <f ca="1">IFERROR(__xludf.DUMMYFUNCTION("""COMPUTED_VALUE"""),"")</f>
        <v/>
      </c>
      <c r="AG4" s="22" t="str">
        <f ca="1">IFERROR(__xludf.DUMMYFUNCTION("""COMPUTED_VALUE"""),"")</f>
        <v/>
      </c>
      <c r="AH4" s="22" t="str">
        <f ca="1">IFERROR(__xludf.DUMMYFUNCTION("""COMPUTED_VALUE"""),"")</f>
        <v/>
      </c>
      <c r="AI4" s="22" t="str">
        <f ca="1">IFERROR(__xludf.DUMMYFUNCTION("""COMPUTED_VALUE"""),"")</f>
        <v/>
      </c>
      <c r="AJ4" s="22" t="str">
        <f ca="1">IFERROR(__xludf.DUMMYFUNCTION("""COMPUTED_VALUE"""),"")</f>
        <v/>
      </c>
      <c r="AK4" s="22" t="str">
        <f ca="1">IFERROR(__xludf.DUMMYFUNCTION("""COMPUTED_VALUE"""),"")</f>
        <v/>
      </c>
      <c r="AL4" s="22" t="str">
        <f ca="1">IFERROR(__xludf.DUMMYFUNCTION("""COMPUTED_VALUE"""),"")</f>
        <v/>
      </c>
      <c r="AM4" s="22" t="str">
        <f ca="1">IFERROR(__xludf.DUMMYFUNCTION("""COMPUTED_VALUE"""),"")</f>
        <v/>
      </c>
      <c r="AN4" s="22" t="str">
        <f ca="1">IFERROR(__xludf.DUMMYFUNCTION("""COMPUTED_VALUE"""),"")</f>
        <v/>
      </c>
      <c r="AO4" s="22" t="str">
        <f ca="1">IFERROR(__xludf.DUMMYFUNCTION("""COMPUTED_VALUE"""),"")</f>
        <v/>
      </c>
      <c r="AP4" s="22" t="str">
        <f ca="1">IFERROR(__xludf.DUMMYFUNCTION("""COMPUTED_VALUE"""),"")</f>
        <v/>
      </c>
      <c r="AQ4" s="22" t="str">
        <f ca="1">IFERROR(__xludf.DUMMYFUNCTION("""COMPUTED_VALUE"""),"")</f>
        <v/>
      </c>
      <c r="AR4" s="22" t="str">
        <f ca="1">IFERROR(__xludf.DUMMYFUNCTION("""COMPUTED_VALUE"""),"")</f>
        <v/>
      </c>
      <c r="AS4" s="22" t="str">
        <f ca="1">IFERROR(__xludf.DUMMYFUNCTION("""COMPUTED_VALUE"""),"")</f>
        <v/>
      </c>
      <c r="AT4" s="22" t="str">
        <f ca="1">IFERROR(__xludf.DUMMYFUNCTION("""COMPUTED_VALUE"""),"")</f>
        <v/>
      </c>
      <c r="AU4" s="22" t="str">
        <f ca="1">IFERROR(__xludf.DUMMYFUNCTION("""COMPUTED_VALUE"""),"")</f>
        <v/>
      </c>
      <c r="AV4" s="22" t="str">
        <f ca="1">IFERROR(__xludf.DUMMYFUNCTION("""COMPUTED_VALUE"""),"")</f>
        <v/>
      </c>
      <c r="AW4" s="22" t="str">
        <f ca="1">IFERROR(__xludf.DUMMYFUNCTION("""COMPUTED_VALUE"""),"")</f>
        <v/>
      </c>
      <c r="AX4" s="22" t="str">
        <f ca="1">IFERROR(__xludf.DUMMYFUNCTION("""COMPUTED_VALUE"""),"")</f>
        <v/>
      </c>
      <c r="AY4" s="22" t="str">
        <f ca="1">IFERROR(__xludf.DUMMYFUNCTION("""COMPUTED_VALUE"""),"")</f>
        <v/>
      </c>
      <c r="AZ4" s="22" t="str">
        <f ca="1">IFERROR(__xludf.DUMMYFUNCTION("""COMPUTED_VALUE"""),"")</f>
        <v/>
      </c>
      <c r="BA4" s="22" t="str">
        <f ca="1">IFERROR(__xludf.DUMMYFUNCTION("""COMPUTED_VALUE"""),"")</f>
        <v/>
      </c>
      <c r="BB4" s="22" t="str">
        <f ca="1">IFERROR(__xludf.DUMMYFUNCTION("""COMPUTED_VALUE"""),"")</f>
        <v/>
      </c>
      <c r="BC4" s="22" t="str">
        <f ca="1">IFERROR(__xludf.DUMMYFUNCTION("""COMPUTED_VALUE"""),"")</f>
        <v/>
      </c>
      <c r="BD4" s="22" t="str">
        <f ca="1">IFERROR(__xludf.DUMMYFUNCTION("""COMPUTED_VALUE"""),"")</f>
        <v/>
      </c>
      <c r="BE4" s="22" t="str">
        <f ca="1">IFERROR(__xludf.DUMMYFUNCTION("""COMPUTED_VALUE"""),"")</f>
        <v/>
      </c>
      <c r="BF4" s="22" t="str">
        <f ca="1">IFERROR(__xludf.DUMMYFUNCTION("""COMPUTED_VALUE"""),"")</f>
        <v/>
      </c>
      <c r="BG4" s="22" t="str">
        <f ca="1">IFERROR(__xludf.DUMMYFUNCTION("""COMPUTED_VALUE"""),"")</f>
        <v/>
      </c>
      <c r="BH4" s="22" t="str">
        <f ca="1">IFERROR(__xludf.DUMMYFUNCTION("""COMPUTED_VALUE"""),"")</f>
        <v/>
      </c>
      <c r="BI4" s="22" t="str">
        <f ca="1">IFERROR(__xludf.DUMMYFUNCTION("""COMPUTED_VALUE"""),"")</f>
        <v/>
      </c>
      <c r="BJ4" s="22" t="str">
        <f ca="1">IFERROR(__xludf.DUMMYFUNCTION("""COMPUTED_VALUE"""),"")</f>
        <v/>
      </c>
      <c r="BK4" s="22" t="str">
        <f ca="1">IFERROR(__xludf.DUMMYFUNCTION("""COMPUTED_VALUE"""),"")</f>
        <v/>
      </c>
      <c r="BL4" s="22" t="str">
        <f ca="1">IFERROR(__xludf.DUMMYFUNCTION("""COMPUTED_VALUE"""),"")</f>
        <v/>
      </c>
      <c r="BM4" s="22" t="str">
        <f ca="1">IFERROR(__xludf.DUMMYFUNCTION("""COMPUTED_VALUE"""),"")</f>
        <v/>
      </c>
      <c r="BN4" s="22" t="str">
        <f ca="1">IFERROR(__xludf.DUMMYFUNCTION("""COMPUTED_VALUE"""),"")</f>
        <v/>
      </c>
      <c r="BO4" s="22" t="str">
        <f ca="1">IFERROR(__xludf.DUMMYFUNCTION("""COMPUTED_VALUE"""),"")</f>
        <v/>
      </c>
      <c r="BP4" s="22" t="str">
        <f ca="1">IFERROR(__xludf.DUMMYFUNCTION("""COMPUTED_VALUE"""),"")</f>
        <v/>
      </c>
      <c r="BQ4" s="22" t="str">
        <f ca="1">IFERROR(__xludf.DUMMYFUNCTION("""COMPUTED_VALUE"""),"")</f>
        <v/>
      </c>
      <c r="BR4" s="22" t="str">
        <f ca="1">IFERROR(__xludf.DUMMYFUNCTION("""COMPUTED_VALUE"""),"")</f>
        <v/>
      </c>
      <c r="BS4" s="22" t="str">
        <f ca="1">IFERROR(__xludf.DUMMYFUNCTION("""COMPUTED_VALUE"""),"")</f>
        <v/>
      </c>
      <c r="BT4" s="22" t="str">
        <f ca="1">IFERROR(__xludf.DUMMYFUNCTION("""COMPUTED_VALUE"""),"")</f>
        <v/>
      </c>
      <c r="BU4" s="22" t="str">
        <f ca="1">IFERROR(__xludf.DUMMYFUNCTION("""COMPUTED_VALUE"""),"")</f>
        <v/>
      </c>
      <c r="BV4" s="22" t="str">
        <f ca="1">IFERROR(__xludf.DUMMYFUNCTION("""COMPUTED_VALUE"""),"")</f>
        <v/>
      </c>
      <c r="BW4" s="22" t="str">
        <f ca="1">IFERROR(__xludf.DUMMYFUNCTION("""COMPUTED_VALUE"""),"")</f>
        <v/>
      </c>
      <c r="BX4" s="22" t="str">
        <f ca="1">IFERROR(__xludf.DUMMYFUNCTION("""COMPUTED_VALUE"""),"")</f>
        <v/>
      </c>
      <c r="BY4" s="22" t="str">
        <f ca="1">IFERROR(__xludf.DUMMYFUNCTION("""COMPUTED_VALUE"""),"")</f>
        <v/>
      </c>
      <c r="BZ4" s="22" t="str">
        <f ca="1">IFERROR(__xludf.DUMMYFUNCTION("""COMPUTED_VALUE"""),"")</f>
        <v/>
      </c>
      <c r="CA4" s="22" t="str">
        <f ca="1">IFERROR(__xludf.DUMMYFUNCTION("""COMPUTED_VALUE"""),"")</f>
        <v/>
      </c>
      <c r="CB4" s="22" t="str">
        <f ca="1">IFERROR(__xludf.DUMMYFUNCTION("""COMPUTED_VALUE"""),"")</f>
        <v/>
      </c>
      <c r="CC4" s="22" t="str">
        <f ca="1">IFERROR(__xludf.DUMMYFUNCTION("""COMPUTED_VALUE"""),"")</f>
        <v/>
      </c>
      <c r="CD4" s="22" t="str">
        <f ca="1">IFERROR(__xludf.DUMMYFUNCTION("""COMPUTED_VALUE"""),"")</f>
        <v/>
      </c>
      <c r="CE4" s="22" t="str">
        <f ca="1">IFERROR(__xludf.DUMMYFUNCTION("""COMPUTED_VALUE"""),"")</f>
        <v/>
      </c>
      <c r="CF4" s="22" t="str">
        <f ca="1">IFERROR(__xludf.DUMMYFUNCTION("""COMPUTED_VALUE"""),"")</f>
        <v/>
      </c>
      <c r="CG4" s="22" t="str">
        <f ca="1">IFERROR(__xludf.DUMMYFUNCTION("""COMPUTED_VALUE"""),"")</f>
        <v/>
      </c>
      <c r="CH4" s="22" t="str">
        <f ca="1">IFERROR(__xludf.DUMMYFUNCTION("""COMPUTED_VALUE"""),"")</f>
        <v/>
      </c>
      <c r="CI4" s="22" t="str">
        <f ca="1">IFERROR(__xludf.DUMMYFUNCTION("""COMPUTED_VALUE"""),"")</f>
        <v/>
      </c>
      <c r="CJ4" s="22" t="str">
        <f ca="1">IFERROR(__xludf.DUMMYFUNCTION("""COMPUTED_VALUE"""),"")</f>
        <v/>
      </c>
      <c r="CK4" s="22" t="str">
        <f ca="1">IFERROR(__xludf.DUMMYFUNCTION("""COMPUTED_VALUE"""),"")</f>
        <v/>
      </c>
      <c r="CL4" s="22" t="str">
        <f ca="1">IFERROR(__xludf.DUMMYFUNCTION("""COMPUTED_VALUE"""),"")</f>
        <v/>
      </c>
      <c r="CM4" s="22" t="str">
        <f ca="1">IFERROR(__xludf.DUMMYFUNCTION("""COMPUTED_VALUE"""),"")</f>
        <v/>
      </c>
      <c r="CN4" s="22" t="str">
        <f ca="1">IFERROR(__xludf.DUMMYFUNCTION("""COMPUTED_VALUE"""),"")</f>
        <v/>
      </c>
      <c r="CO4" s="22" t="str">
        <f ca="1">IFERROR(__xludf.DUMMYFUNCTION("""COMPUTED_VALUE"""),"")</f>
        <v/>
      </c>
      <c r="CP4" s="22" t="str">
        <f ca="1">IFERROR(__xludf.DUMMYFUNCTION("""COMPUTED_VALUE"""),"")</f>
        <v/>
      </c>
      <c r="CQ4" s="22" t="str">
        <f ca="1">IFERROR(__xludf.DUMMYFUNCTION("""COMPUTED_VALUE"""),"")</f>
        <v/>
      </c>
      <c r="CR4" s="22" t="str">
        <f ca="1">IFERROR(__xludf.DUMMYFUNCTION("""COMPUTED_VALUE"""),"")</f>
        <v/>
      </c>
      <c r="CS4" s="22" t="str">
        <f ca="1">IFERROR(__xludf.DUMMYFUNCTION("""COMPUTED_VALUE"""),"")</f>
        <v/>
      </c>
      <c r="CT4" s="22" t="str">
        <f ca="1">IFERROR(__xludf.DUMMYFUNCTION("""COMPUTED_VALUE"""),"")</f>
        <v/>
      </c>
      <c r="CU4" s="22" t="str">
        <f ca="1">IFERROR(__xludf.DUMMYFUNCTION("""COMPUTED_VALUE"""),"")</f>
        <v/>
      </c>
      <c r="CV4" s="22" t="str">
        <f ca="1">IFERROR(__xludf.DUMMYFUNCTION("""COMPUTED_VALUE"""),"")</f>
        <v/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  <c r="EX4" s="22" t="str">
        <f ca="1">IFERROR(__xludf.DUMMYFUNCTION("""COMPUTED_VALUE"""),"")</f>
        <v/>
      </c>
    </row>
    <row r="5" spans="1:154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IFERROR(__xludf.DUMMYFUNCTION("""COMPUTED_VALUE"""),"RangeType")</f>
        <v>RangeType</v>
      </c>
      <c r="C5" s="24" t="str">
        <f ca="1">IFERROR(__xludf.DUMMYFUNCTION("""COMPUTED_VALUE"""),"From")</f>
        <v>From</v>
      </c>
      <c r="D5" s="24" t="str">
        <f ca="1">IFERROR(__xludf.DUMMYFUNCTION("""COMPUTED_VALUE"""),"To")</f>
        <v>To</v>
      </c>
      <c r="E5" s="24" t="str">
        <f ca="1">IFERROR(__xludf.DUMMYFUNCTION("""COMPUTED_VALUE"""),"Account Filter")</f>
        <v>Account Filter</v>
      </c>
      <c r="F5" s="29" t="str">
        <f ca="1">IFERROR(__xludf.DUMMYFUNCTION("""COMPUTED_VALUE"""),"")</f>
        <v/>
      </c>
      <c r="G5" s="24" t="str">
        <f ca="1">IFERROR(__xludf.DUMMYFUNCTION("""COMPUTED_VALUE"""),"")</f>
        <v/>
      </c>
      <c r="H5" s="24" t="str">
        <f ca="1">IFERROR(__xludf.DUMMYFUNCTION("""COMPUTED_VALUE"""),"")</f>
        <v/>
      </c>
      <c r="I5" s="24" t="str">
        <f ca="1">IFERROR(__xludf.DUMMYFUNCTION("""COMPUTED_VALUE"""),"")</f>
        <v/>
      </c>
      <c r="J5" s="24" t="str">
        <f ca="1">IFERROR(__xludf.DUMMYFUNCTION("""COMPUTED_VALUE"""),"")</f>
        <v/>
      </c>
      <c r="K5" s="24" t="str">
        <f ca="1">IFERROR(__xludf.DUMMYFUNCTION("""COMPUTED_VALUE"""),"")</f>
        <v/>
      </c>
      <c r="L5" s="24" t="str">
        <f ca="1">IFERROR(__xludf.DUMMYFUNCTION("""COMPUTED_VALUE"""),"")</f>
        <v/>
      </c>
      <c r="M5" s="24" t="str">
        <f ca="1">IFERROR(__xludf.DUMMYFUNCTION("""COMPUTED_VALUE"""),"")</f>
        <v/>
      </c>
      <c r="N5" s="24" t="str">
        <f ca="1">IFERROR(__xludf.DUMMYFUNCTION("""COMPUTED_VALUE"""),"")</f>
        <v/>
      </c>
      <c r="O5" s="24" t="str">
        <f ca="1">IFERROR(__xludf.DUMMYFUNCTION("""COMPUTED_VALUE"""),"")</f>
        <v/>
      </c>
      <c r="P5" s="24" t="str">
        <f ca="1">IFERROR(__xludf.DUMMYFUNCTION("""COMPUTED_VALUE"""),"")</f>
        <v/>
      </c>
      <c r="Q5" s="24" t="str">
        <f ca="1">IFERROR(__xludf.DUMMYFUNCTION("""COMPUTED_VALUE"""),"")</f>
        <v/>
      </c>
      <c r="R5" s="24" t="str">
        <f ca="1">IFERROR(__xludf.DUMMYFUNCTION("""COMPUTED_VALUE"""),"")</f>
        <v/>
      </c>
      <c r="S5" s="24" t="str">
        <f ca="1">IFERROR(__xludf.DUMMYFUNCTION("""COMPUTED_VALUE"""),"")</f>
        <v/>
      </c>
      <c r="T5" s="25" t="str">
        <f ca="1">IFERROR(__xludf.DUMMYFUNCTION("""COMPUTED_VALUE"""),"")</f>
        <v/>
      </c>
      <c r="U5" s="25" t="str">
        <f ca="1">IFERROR(__xludf.DUMMYFUNCTION("""COMPUTED_VALUE"""),"")</f>
        <v/>
      </c>
      <c r="V5" s="25" t="str">
        <f ca="1">IFERROR(__xludf.DUMMYFUNCTION("""COMPUTED_VALUE"""),"")</f>
        <v/>
      </c>
      <c r="W5" s="25" t="str">
        <f ca="1">IFERROR(__xludf.DUMMYFUNCTION("""COMPUTED_VALUE"""),"")</f>
        <v/>
      </c>
      <c r="X5" s="25" t="str">
        <f ca="1">IFERROR(__xludf.DUMMYFUNCTION("""COMPUTED_VALUE"""),"")</f>
        <v/>
      </c>
      <c r="Y5" s="25" t="str">
        <f ca="1">IFERROR(__xludf.DUMMYFUNCTION("""COMPUTED_VALUE"""),"")</f>
        <v/>
      </c>
      <c r="Z5" s="25" t="str">
        <f ca="1">IFERROR(__xludf.DUMMYFUNCTION("""COMPUTED_VALUE"""),"")</f>
        <v/>
      </c>
      <c r="AA5" s="25" t="str">
        <f ca="1">IFERROR(__xludf.DUMMYFUNCTION("""COMPUTED_VALUE"""),"")</f>
        <v/>
      </c>
      <c r="AB5" s="25" t="str">
        <f ca="1">IFERROR(__xludf.DUMMYFUNCTION("""COMPUTED_VALUE"""),"")</f>
        <v/>
      </c>
      <c r="AC5" s="25" t="str">
        <f ca="1">IFERROR(__xludf.DUMMYFUNCTION("""COMPUTED_VALUE"""),"")</f>
        <v/>
      </c>
      <c r="AD5" s="25" t="str">
        <f ca="1">IFERROR(__xludf.DUMMYFUNCTION("""COMPUTED_VALUE"""),"")</f>
        <v/>
      </c>
      <c r="AE5" s="25" t="str">
        <f ca="1">IFERROR(__xludf.DUMMYFUNCTION("""COMPUTED_VALUE"""),"")</f>
        <v/>
      </c>
      <c r="AF5" s="25" t="str">
        <f ca="1">IFERROR(__xludf.DUMMYFUNCTION("""COMPUTED_VALUE"""),"")</f>
        <v/>
      </c>
      <c r="AG5" s="25" t="str">
        <f ca="1">IFERROR(__xludf.DUMMYFUNCTION("""COMPUTED_VALUE"""),"")</f>
        <v/>
      </c>
      <c r="AH5" s="25" t="str">
        <f ca="1">IFERROR(__xludf.DUMMYFUNCTION("""COMPUTED_VALUE"""),"")</f>
        <v/>
      </c>
      <c r="AI5" s="25" t="str">
        <f ca="1">IFERROR(__xludf.DUMMYFUNCTION("""COMPUTED_VALUE"""),"")</f>
        <v/>
      </c>
      <c r="AJ5" s="25" t="str">
        <f ca="1">IFERROR(__xludf.DUMMYFUNCTION("""COMPUTED_VALUE"""),"")</f>
        <v/>
      </c>
      <c r="AK5" s="25" t="str">
        <f ca="1">IFERROR(__xludf.DUMMYFUNCTION("""COMPUTED_VALUE"""),"")</f>
        <v/>
      </c>
      <c r="AL5" s="25" t="str">
        <f ca="1">IFERROR(__xludf.DUMMYFUNCTION("""COMPUTED_VALUE"""),"")</f>
        <v/>
      </c>
      <c r="AM5" s="25" t="str">
        <f ca="1">IFERROR(__xludf.DUMMYFUNCTION("""COMPUTED_VALUE"""),"")</f>
        <v/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  <c r="EX5" s="25" t="str">
        <f ca="1">IFERROR(__xludf.DUMMYFUNCTION("""COMPUTED_VALUE"""),"")</f>
        <v/>
      </c>
    </row>
    <row r="6" spans="1:154" ht="15.75" customHeight="1">
      <c r="A6" s="8"/>
      <c r="B6" s="8" t="s">
        <v>44</v>
      </c>
      <c r="C6" s="3"/>
      <c r="D6" s="8"/>
      <c r="E6" s="30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4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4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4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3"/>
      <c r="B2" s="3"/>
      <c r="C2" s="3"/>
      <c r="D2" s="3"/>
      <c r="E2" s="3"/>
      <c r="F2" s="3"/>
      <c r="G2" s="3"/>
      <c r="H2" s="3"/>
      <c r="I2" s="3"/>
      <c r="J2" s="16" t="e">
        <f ca="1">VLOOKUP($E$3,_MasterData!B4:D1000,3,FALSE)</f>
        <v>#N/A</v>
      </c>
      <c r="K2" s="16"/>
      <c r="L2" s="3"/>
      <c r="M2" s="3"/>
      <c r="N2" s="3"/>
      <c r="O2" s="3"/>
    </row>
    <row r="3" spans="1:154" ht="15.75" customHeight="1">
      <c r="A3" s="17"/>
      <c r="B3" s="4" t="s">
        <v>3</v>
      </c>
      <c r="C3" s="18" t="s">
        <v>45</v>
      </c>
      <c r="D3" s="4" t="s">
        <v>7</v>
      </c>
      <c r="E3" s="18" t="s">
        <v>47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IFERROR(__xludf.DUMMYFUNCTION("IF(C3="""","""",Transpose(IMPORTRANGE('_Settings'!$B$3,C3&amp;""!A4:A1000"")))"),"SwapExpire")</f>
        <v>SwapExpire</v>
      </c>
      <c r="C4" s="21" t="str">
        <f ca="1">IFERROR(__xludf.DUMMYFUNCTION("""COMPUTED_VALUE"""),"GetDataClosing")</f>
        <v>GetDataClosing</v>
      </c>
      <c r="D4" s="21" t="str">
        <f ca="1">IFERROR(__xludf.DUMMYFUNCTION("""COMPUTED_VALUE"""),"ManualClosing")</f>
        <v>ManualClosing</v>
      </c>
      <c r="E4" s="21" t="str">
        <f ca="1">IFERROR(__xludf.DUMMYFUNCTION("""COMPUTED_VALUE"""),"AutomaticClosing")</f>
        <v>AutomaticClosing</v>
      </c>
      <c r="F4" s="21" t="str">
        <f ca="1">IFERROR(__xludf.DUMMYFUNCTION("""COMPUTED_VALUE"""),"UnwindClosing")</f>
        <v>UnwindClosing</v>
      </c>
      <c r="G4" s="21" t="str">
        <f ca="1">IFERROR(__xludf.DUMMYFUNCTION("""COMPUTED_VALUE"""),"VerifyClosedTrades")</f>
        <v>VerifyClosedTrades</v>
      </c>
      <c r="H4" s="21" t="str">
        <f ca="1">IFERROR(__xludf.DUMMYFUNCTION("""COMPUTED_VALUE"""),"VerifyLongPositionsGrid")</f>
        <v>VerifyLongPositionsGrid</v>
      </c>
      <c r="I4" s="21" t="str">
        <f ca="1">IFERROR(__xludf.DUMMYFUNCTION("""COMPUTED_VALUE"""),"VerifyShortPositionsGrid")</f>
        <v>VerifyShortPositionsGrid</v>
      </c>
      <c r="J4" s="21" t="str">
        <f ca="1">IFERROR(__xludf.DUMMYFUNCTION("""COMPUTED_VALUE"""),"SelectTradeUnexpiredUnsettled")</f>
        <v>SelectTradeUnexpiredUnsettled</v>
      </c>
      <c r="K4" s="21" t="str">
        <f ca="1">IFERROR(__xludf.DUMMYFUNCTION("""COMPUTED_VALUE"""),"CashSettlementAtCost")</f>
        <v>CashSettlementAtCost</v>
      </c>
      <c r="L4" s="21" t="str">
        <f ca="1">IFERROR(__xludf.DUMMYFUNCTION("""COMPUTED_VALUE"""),"CashSettlementAtZeroPrice")</f>
        <v>CashSettlementAtZeroPrice</v>
      </c>
      <c r="M4" s="21" t="str">
        <f ca="1">IFERROR(__xludf.DUMMYFUNCTION("""COMPUTED_VALUE"""),"CashSettlementAtClosingDtSpotPx")</f>
        <v>CashSettlementAtClosingDtSpotPx</v>
      </c>
      <c r="N4" s="21" t="str">
        <f ca="1">IFERROR(__xludf.DUMMYFUNCTION("""COMPUTED_VALUE"""),"PhysicalSettlement")</f>
        <v>PhysicalSettlement</v>
      </c>
      <c r="O4" s="21" t="str">
        <f ca="1">IFERROR(__xludf.DUMMYFUNCTION("""COMPUTED_VALUE"""),"Expire")</f>
        <v>Expire</v>
      </c>
      <c r="P4" s="22" t="str">
        <f ca="1">IFERROR(__xludf.DUMMYFUNCTION("""COMPUTED_VALUE"""),"ExerciseAssignment")</f>
        <v>ExerciseAssignment</v>
      </c>
      <c r="Q4" s="22" t="str">
        <f ca="1">IFERROR(__xludf.DUMMYFUNCTION("""COMPUTED_VALUE"""),"ExerciseAssignmentAtZero")</f>
        <v>ExerciseAssignmentAtZero</v>
      </c>
      <c r="R4" s="22" t="str">
        <f ca="1">IFERROR(__xludf.DUMMYFUNCTION("""COMPUTED_VALUE"""),"SwapExpireAndRollover")</f>
        <v>SwapExpireAndRollover</v>
      </c>
      <c r="S4" s="22" t="str">
        <f ca="1">IFERROR(__xludf.DUMMYFUNCTION("""COMPUTED_VALUE"""),"SwapExpire")</f>
        <v>SwapExpire</v>
      </c>
      <c r="T4" s="22" t="str">
        <f ca="1">IFERROR(__xludf.DUMMYFUNCTION("""COMPUTED_VALUE"""),"VerifyExpiredSettledGrid")</f>
        <v>VerifyExpiredSettledGrid</v>
      </c>
      <c r="U4" s="22" t="str">
        <f ca="1">IFERROR(__xludf.DUMMYFUNCTION("""COMPUTED_VALUE"""),"VerifyUnExpiredUnSettledGrid")</f>
        <v>VerifyUnExpiredUnSettledGrid</v>
      </c>
      <c r="V4" s="22" t="str">
        <f ca="1">IFERROR(__xludf.DUMMYFUNCTION("""COMPUTED_VALUE"""),"UnWindTradeSettlement")</f>
        <v>UnWindTradeSettlement</v>
      </c>
      <c r="W4" s="22" t="str">
        <f ca="1">IFERROR(__xludf.DUMMYFUNCTION("""COMPUTED_VALUE"""),"CloseOrder")</f>
        <v>CloseOrder</v>
      </c>
      <c r="X4" s="22" t="str">
        <f ca="1">IFERROR(__xludf.DUMMYFUNCTION("""COMPUTED_VALUE"""),"VerifyCloseOrder")</f>
        <v>VerifyCloseOrder</v>
      </c>
      <c r="Y4" s="22" t="str">
        <f ca="1">IFERROR(__xludf.DUMMYFUNCTION("""COMPUTED_VALUE"""),"UnWindCloseOrder")</f>
        <v>UnWindCloseOrder</v>
      </c>
      <c r="Z4" s="22" t="str">
        <f ca="1">IFERROR(__xludf.DUMMYFUNCTION("""COMPUTED_VALUE"""),"ClosingCleanUp")</f>
        <v>ClosingCleanUp</v>
      </c>
      <c r="AA4" s="22" t="str">
        <f ca="1">IFERROR(__xludf.DUMMYFUNCTION("""COMPUTED_VALUE"""),"CloseClosingUI")</f>
        <v>CloseClosingUI</v>
      </c>
      <c r="AB4" s="22" t="str">
        <f ca="1">IFERROR(__xludf.DUMMYFUNCTION("""COMPUTED_VALUE"""),"SetClosingPreference")</f>
        <v>SetClosingPreference</v>
      </c>
      <c r="AC4" s="22" t="str">
        <f ca="1">IFERROR(__xludf.DUMMYFUNCTION("""COMPUTED_VALUE"""),"EditTradeUnexpiredUnsettled")</f>
        <v>EditTradeUnexpiredUnsettled</v>
      </c>
      <c r="AD4" s="22" t="str">
        <f ca="1">IFERROR(__xludf.DUMMYFUNCTION("""COMPUTED_VALUE"""),"")</f>
        <v/>
      </c>
      <c r="AE4" s="22" t="str">
        <f ca="1">IFERROR(__xludf.DUMMYFUNCTION("""COMPUTED_VALUE"""),"")</f>
        <v/>
      </c>
      <c r="AF4" s="22" t="str">
        <f ca="1">IFERROR(__xludf.DUMMYFUNCTION("""COMPUTED_VALUE"""),"")</f>
        <v/>
      </c>
      <c r="AG4" s="22" t="str">
        <f ca="1">IFERROR(__xludf.DUMMYFUNCTION("""COMPUTED_VALUE"""),"")</f>
        <v/>
      </c>
      <c r="AH4" s="22" t="str">
        <f ca="1">IFERROR(__xludf.DUMMYFUNCTION("""COMPUTED_VALUE"""),"")</f>
        <v/>
      </c>
      <c r="AI4" s="22" t="str">
        <f ca="1">IFERROR(__xludf.DUMMYFUNCTION("""COMPUTED_VALUE"""),"")</f>
        <v/>
      </c>
      <c r="AJ4" s="22" t="str">
        <f ca="1">IFERROR(__xludf.DUMMYFUNCTION("""COMPUTED_VALUE"""),"")</f>
        <v/>
      </c>
      <c r="AK4" s="22" t="str">
        <f ca="1">IFERROR(__xludf.DUMMYFUNCTION("""COMPUTED_VALUE"""),"")</f>
        <v/>
      </c>
      <c r="AL4" s="22" t="str">
        <f ca="1">IFERROR(__xludf.DUMMYFUNCTION("""COMPUTED_VALUE"""),"")</f>
        <v/>
      </c>
      <c r="AM4" s="22" t="str">
        <f ca="1">IFERROR(__xludf.DUMMYFUNCTION("""COMPUTED_VALUE"""),"")</f>
        <v/>
      </c>
      <c r="AN4" s="22" t="str">
        <f ca="1">IFERROR(__xludf.DUMMYFUNCTION("""COMPUTED_VALUE"""),"")</f>
        <v/>
      </c>
      <c r="AO4" s="22" t="str">
        <f ca="1">IFERROR(__xludf.DUMMYFUNCTION("""COMPUTED_VALUE"""),"")</f>
        <v/>
      </c>
      <c r="AP4" s="22" t="str">
        <f ca="1">IFERROR(__xludf.DUMMYFUNCTION("""COMPUTED_VALUE"""),"")</f>
        <v/>
      </c>
      <c r="AQ4" s="22" t="str">
        <f ca="1">IFERROR(__xludf.DUMMYFUNCTION("""COMPUTED_VALUE"""),"")</f>
        <v/>
      </c>
      <c r="AR4" s="22" t="str">
        <f ca="1">IFERROR(__xludf.DUMMYFUNCTION("""COMPUTED_VALUE"""),"")</f>
        <v/>
      </c>
      <c r="AS4" s="22" t="str">
        <f ca="1">IFERROR(__xludf.DUMMYFUNCTION("""COMPUTED_VALUE"""),"")</f>
        <v/>
      </c>
      <c r="AT4" s="22" t="str">
        <f ca="1">IFERROR(__xludf.DUMMYFUNCTION("""COMPUTED_VALUE"""),"")</f>
        <v/>
      </c>
      <c r="AU4" s="22" t="str">
        <f ca="1">IFERROR(__xludf.DUMMYFUNCTION("""COMPUTED_VALUE"""),"")</f>
        <v/>
      </c>
      <c r="AV4" s="22" t="str">
        <f ca="1">IFERROR(__xludf.DUMMYFUNCTION("""COMPUTED_VALUE"""),"")</f>
        <v/>
      </c>
      <c r="AW4" s="22" t="str">
        <f ca="1">IFERROR(__xludf.DUMMYFUNCTION("""COMPUTED_VALUE"""),"")</f>
        <v/>
      </c>
      <c r="AX4" s="22" t="str">
        <f ca="1">IFERROR(__xludf.DUMMYFUNCTION("""COMPUTED_VALUE"""),"")</f>
        <v/>
      </c>
      <c r="AY4" s="22" t="str">
        <f ca="1">IFERROR(__xludf.DUMMYFUNCTION("""COMPUTED_VALUE"""),"")</f>
        <v/>
      </c>
      <c r="AZ4" s="22" t="str">
        <f ca="1">IFERROR(__xludf.DUMMYFUNCTION("""COMPUTED_VALUE"""),"")</f>
        <v/>
      </c>
      <c r="BA4" s="22" t="str">
        <f ca="1">IFERROR(__xludf.DUMMYFUNCTION("""COMPUTED_VALUE"""),"")</f>
        <v/>
      </c>
      <c r="BB4" s="22" t="str">
        <f ca="1">IFERROR(__xludf.DUMMYFUNCTION("""COMPUTED_VALUE"""),"")</f>
        <v/>
      </c>
      <c r="BC4" s="22" t="str">
        <f ca="1">IFERROR(__xludf.DUMMYFUNCTION("""COMPUTED_VALUE"""),"")</f>
        <v/>
      </c>
      <c r="BD4" s="22" t="str">
        <f ca="1">IFERROR(__xludf.DUMMYFUNCTION("""COMPUTED_VALUE"""),"")</f>
        <v/>
      </c>
      <c r="BE4" s="22" t="str">
        <f ca="1">IFERROR(__xludf.DUMMYFUNCTION("""COMPUTED_VALUE"""),"")</f>
        <v/>
      </c>
      <c r="BF4" s="22" t="str">
        <f ca="1">IFERROR(__xludf.DUMMYFUNCTION("""COMPUTED_VALUE"""),"")</f>
        <v/>
      </c>
      <c r="BG4" s="22" t="str">
        <f ca="1">IFERROR(__xludf.DUMMYFUNCTION("""COMPUTED_VALUE"""),"")</f>
        <v/>
      </c>
      <c r="BH4" s="22" t="str">
        <f ca="1">IFERROR(__xludf.DUMMYFUNCTION("""COMPUTED_VALUE"""),"")</f>
        <v/>
      </c>
      <c r="BI4" s="22" t="str">
        <f ca="1">IFERROR(__xludf.DUMMYFUNCTION("""COMPUTED_VALUE"""),"")</f>
        <v/>
      </c>
      <c r="BJ4" s="22" t="str">
        <f ca="1">IFERROR(__xludf.DUMMYFUNCTION("""COMPUTED_VALUE"""),"")</f>
        <v/>
      </c>
      <c r="BK4" s="22" t="str">
        <f ca="1">IFERROR(__xludf.DUMMYFUNCTION("""COMPUTED_VALUE"""),"")</f>
        <v/>
      </c>
      <c r="BL4" s="22" t="str">
        <f ca="1">IFERROR(__xludf.DUMMYFUNCTION("""COMPUTED_VALUE"""),"")</f>
        <v/>
      </c>
      <c r="BM4" s="22" t="str">
        <f ca="1">IFERROR(__xludf.DUMMYFUNCTION("""COMPUTED_VALUE"""),"")</f>
        <v/>
      </c>
      <c r="BN4" s="22" t="str">
        <f ca="1">IFERROR(__xludf.DUMMYFUNCTION("""COMPUTED_VALUE"""),"")</f>
        <v/>
      </c>
      <c r="BO4" s="22" t="str">
        <f ca="1">IFERROR(__xludf.DUMMYFUNCTION("""COMPUTED_VALUE"""),"")</f>
        <v/>
      </c>
      <c r="BP4" s="22" t="str">
        <f ca="1">IFERROR(__xludf.DUMMYFUNCTION("""COMPUTED_VALUE"""),"")</f>
        <v/>
      </c>
      <c r="BQ4" s="22" t="str">
        <f ca="1">IFERROR(__xludf.DUMMYFUNCTION("""COMPUTED_VALUE"""),"")</f>
        <v/>
      </c>
      <c r="BR4" s="22" t="str">
        <f ca="1">IFERROR(__xludf.DUMMYFUNCTION("""COMPUTED_VALUE"""),"")</f>
        <v/>
      </c>
      <c r="BS4" s="22" t="str">
        <f ca="1">IFERROR(__xludf.DUMMYFUNCTION("""COMPUTED_VALUE"""),"")</f>
        <v/>
      </c>
      <c r="BT4" s="22" t="str">
        <f ca="1">IFERROR(__xludf.DUMMYFUNCTION("""COMPUTED_VALUE"""),"")</f>
        <v/>
      </c>
      <c r="BU4" s="22" t="str">
        <f ca="1">IFERROR(__xludf.DUMMYFUNCTION("""COMPUTED_VALUE"""),"")</f>
        <v/>
      </c>
      <c r="BV4" s="22" t="str">
        <f ca="1">IFERROR(__xludf.DUMMYFUNCTION("""COMPUTED_VALUE"""),"")</f>
        <v/>
      </c>
      <c r="BW4" s="22" t="str">
        <f ca="1">IFERROR(__xludf.DUMMYFUNCTION("""COMPUTED_VALUE"""),"")</f>
        <v/>
      </c>
      <c r="BX4" s="22" t="str">
        <f ca="1">IFERROR(__xludf.DUMMYFUNCTION("""COMPUTED_VALUE"""),"")</f>
        <v/>
      </c>
      <c r="BY4" s="22" t="str">
        <f ca="1">IFERROR(__xludf.DUMMYFUNCTION("""COMPUTED_VALUE"""),"")</f>
        <v/>
      </c>
      <c r="BZ4" s="22" t="str">
        <f ca="1">IFERROR(__xludf.DUMMYFUNCTION("""COMPUTED_VALUE"""),"")</f>
        <v/>
      </c>
      <c r="CA4" s="22" t="str">
        <f ca="1">IFERROR(__xludf.DUMMYFUNCTION("""COMPUTED_VALUE"""),"")</f>
        <v/>
      </c>
      <c r="CB4" s="22" t="str">
        <f ca="1">IFERROR(__xludf.DUMMYFUNCTION("""COMPUTED_VALUE"""),"")</f>
        <v/>
      </c>
      <c r="CC4" s="22" t="str">
        <f ca="1">IFERROR(__xludf.DUMMYFUNCTION("""COMPUTED_VALUE"""),"")</f>
        <v/>
      </c>
      <c r="CD4" s="22" t="str">
        <f ca="1">IFERROR(__xludf.DUMMYFUNCTION("""COMPUTED_VALUE"""),"")</f>
        <v/>
      </c>
      <c r="CE4" s="22" t="str">
        <f ca="1">IFERROR(__xludf.DUMMYFUNCTION("""COMPUTED_VALUE"""),"")</f>
        <v/>
      </c>
      <c r="CF4" s="22" t="str">
        <f ca="1">IFERROR(__xludf.DUMMYFUNCTION("""COMPUTED_VALUE"""),"")</f>
        <v/>
      </c>
      <c r="CG4" s="22" t="str">
        <f ca="1">IFERROR(__xludf.DUMMYFUNCTION("""COMPUTED_VALUE"""),"")</f>
        <v/>
      </c>
      <c r="CH4" s="22" t="str">
        <f ca="1">IFERROR(__xludf.DUMMYFUNCTION("""COMPUTED_VALUE"""),"")</f>
        <v/>
      </c>
      <c r="CI4" s="22" t="str">
        <f ca="1">IFERROR(__xludf.DUMMYFUNCTION("""COMPUTED_VALUE"""),"")</f>
        <v/>
      </c>
      <c r="CJ4" s="22" t="str">
        <f ca="1">IFERROR(__xludf.DUMMYFUNCTION("""COMPUTED_VALUE"""),"")</f>
        <v/>
      </c>
      <c r="CK4" s="22" t="str">
        <f ca="1">IFERROR(__xludf.DUMMYFUNCTION("""COMPUTED_VALUE"""),"")</f>
        <v/>
      </c>
      <c r="CL4" s="22" t="str">
        <f ca="1">IFERROR(__xludf.DUMMYFUNCTION("""COMPUTED_VALUE"""),"")</f>
        <v/>
      </c>
      <c r="CM4" s="22" t="str">
        <f ca="1">IFERROR(__xludf.DUMMYFUNCTION("""COMPUTED_VALUE"""),"")</f>
        <v/>
      </c>
      <c r="CN4" s="22" t="str">
        <f ca="1">IFERROR(__xludf.DUMMYFUNCTION("""COMPUTED_VALUE"""),"")</f>
        <v/>
      </c>
      <c r="CO4" s="22" t="str">
        <f ca="1">IFERROR(__xludf.DUMMYFUNCTION("""COMPUTED_VALUE"""),"")</f>
        <v/>
      </c>
      <c r="CP4" s="22" t="str">
        <f ca="1">IFERROR(__xludf.DUMMYFUNCTION("""COMPUTED_VALUE"""),"")</f>
        <v/>
      </c>
      <c r="CQ4" s="22" t="str">
        <f ca="1">IFERROR(__xludf.DUMMYFUNCTION("""COMPUTED_VALUE"""),"")</f>
        <v/>
      </c>
      <c r="CR4" s="22" t="str">
        <f ca="1">IFERROR(__xludf.DUMMYFUNCTION("""COMPUTED_VALUE"""),"")</f>
        <v/>
      </c>
      <c r="CS4" s="22" t="str">
        <f ca="1">IFERROR(__xludf.DUMMYFUNCTION("""COMPUTED_VALUE"""),"")</f>
        <v/>
      </c>
      <c r="CT4" s="22" t="str">
        <f ca="1">IFERROR(__xludf.DUMMYFUNCTION("""COMPUTED_VALUE"""),"")</f>
        <v/>
      </c>
      <c r="CU4" s="22" t="str">
        <f ca="1">IFERROR(__xludf.DUMMYFUNCTION("""COMPUTED_VALUE"""),"")</f>
        <v/>
      </c>
      <c r="CV4" s="22" t="str">
        <f ca="1">IFERROR(__xludf.DUMMYFUNCTION("""COMPUTED_VALUE"""),"")</f>
        <v/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  <c r="EX4" s="22" t="str">
        <f ca="1">IFERROR(__xludf.DUMMYFUNCTION("""COMPUTED_VALUE"""),"")</f>
        <v/>
      </c>
    </row>
    <row r="5" spans="1:154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IFERROR(__xludf.DUMMYFUNCTION("""COMPUTED_VALUE"""),"Account")</f>
        <v>Account</v>
      </c>
      <c r="C5" s="24" t="str">
        <f ca="1">IFERROR(__xludf.DUMMYFUNCTION("""COMPUTED_VALUE"""),"Asset Class")</f>
        <v>Asset Class</v>
      </c>
      <c r="D5" s="24" t="str">
        <f ca="1">IFERROR(__xludf.DUMMYFUNCTION("""COMPUTED_VALUE"""),"AUECID")</f>
        <v>AUECID</v>
      </c>
      <c r="E5" s="24" t="str">
        <f ca="1">IFERROR(__xludf.DUMMYFUNCTION("""COMPUTED_VALUE"""),"ExternalTransId")</f>
        <v>ExternalTransId</v>
      </c>
      <c r="F5" s="29" t="str">
        <f ca="1">IFERROR(__xludf.DUMMYFUNCTION("""COMPUTED_VALUE"""),"IsSwapped")</f>
        <v>IsSwapped</v>
      </c>
      <c r="G5" s="24" t="str">
        <f ca="1">IFERROR(__xludf.DUMMYFUNCTION("""COMPUTED_VALUE"""),"LotId")</f>
        <v>LotId</v>
      </c>
      <c r="H5" s="24" t="str">
        <f ca="1">IFERROR(__xludf.DUMMYFUNCTION("""COMPUTED_VALUE"""),"Net Notional")</f>
        <v>Net Notional</v>
      </c>
      <c r="I5" s="24" t="str">
        <f ca="1">IFERROR(__xludf.DUMMYFUNCTION("""COMPUTED_VALUE"""),"Opening Price")</f>
        <v>Opening Price</v>
      </c>
      <c r="J5" s="24" t="str">
        <f ca="1">IFERROR(__xludf.DUMMYFUNCTION("""COMPUTED_VALUE"""),"Original Purchase Date")</f>
        <v>Original Purchase Date</v>
      </c>
      <c r="K5" s="24" t="str">
        <f ca="1">IFERROR(__xludf.DUMMYFUNCTION("""COMPUTED_VALUE"""),"PositionTag")</f>
        <v>PositionTag</v>
      </c>
      <c r="L5" s="24" t="str">
        <f ca="1">IFERROR(__xludf.DUMMYFUNCTION("""COMPUTED_VALUE"""),"Process Date")</f>
        <v>Process Date</v>
      </c>
      <c r="M5" s="24" t="str">
        <f ca="1">IFERROR(__xludf.DUMMYFUNCTION("""COMPUTED_VALUE"""),"Quantity")</f>
        <v>Quantity</v>
      </c>
      <c r="N5" s="24" t="str">
        <f ca="1">IFERROR(__xludf.DUMMYFUNCTION("""COMPUTED_VALUE"""),"Security Name")</f>
        <v>Security Name</v>
      </c>
      <c r="O5" s="24" t="str">
        <f ca="1">IFERROR(__xludf.DUMMYFUNCTION("""COMPUTED_VALUE"""),"Settlement Currency")</f>
        <v>Settlement Currency</v>
      </c>
      <c r="P5" s="24" t="str">
        <f ca="1">IFERROR(__xludf.DUMMYFUNCTION("""COMPUTED_VALUE"""),"Side")</f>
        <v>Side</v>
      </c>
      <c r="Q5" s="24" t="str">
        <f ca="1">IFERROR(__xludf.DUMMYFUNCTION("""COMPUTED_VALUE"""),"Strategy")</f>
        <v>Strategy</v>
      </c>
      <c r="R5" s="24" t="str">
        <f ca="1">IFERROR(__xludf.DUMMYFUNCTION("""COMPUTED_VALUE"""),"Symbol")</f>
        <v>Symbol</v>
      </c>
      <c r="S5" s="24" t="str">
        <f ca="1">IFERROR(__xludf.DUMMYFUNCTION("""COMPUTED_VALUE"""),"Taxlot ID")</f>
        <v>Taxlot ID</v>
      </c>
      <c r="T5" s="25" t="str">
        <f ca="1">IFERROR(__xludf.DUMMYFUNCTION("""COMPUTED_VALUE"""),"Total Fees and Commission")</f>
        <v>Total Fees and Commission</v>
      </c>
      <c r="U5" s="25" t="str">
        <f ca="1">IFERROR(__xludf.DUMMYFUNCTION("""COMPUTED_VALUE"""),"Trade Date")</f>
        <v>Trade Date</v>
      </c>
      <c r="V5" s="25" t="str">
        <f ca="1">IFERROR(__xludf.DUMMYFUNCTION("""COMPUTED_VALUE"""),"Transaction Type")</f>
        <v>Transaction Type</v>
      </c>
      <c r="W5" s="25" t="str">
        <f ca="1">IFERROR(__xludf.DUMMYFUNCTION("""COMPUTED_VALUE"""),"UnderlyingName")</f>
        <v>UnderlyingName</v>
      </c>
      <c r="X5" s="25" t="str">
        <f ca="1">IFERROR(__xludf.DUMMYFUNCTION("""COMPUTED_VALUE"""),"UnitCost")</f>
        <v>UnitCost</v>
      </c>
      <c r="Y5" s="25" t="str">
        <f ca="1">IFERROR(__xludf.DUMMYFUNCTION("""COMPUTED_VALUE"""),"Unit Cost(Base)")</f>
        <v>Unit Cost(Base)</v>
      </c>
      <c r="Z5" s="25" t="str">
        <f ca="1">IFERROR(__xludf.DUMMYFUNCTION("""COMPUTED_VALUE"""),"AvgPriceBase")</f>
        <v>AvgPriceBase</v>
      </c>
      <c r="AA5" s="25" t="str">
        <f ca="1">IFERROR(__xludf.DUMMYFUNCTION("""COMPUTED_VALUE"""),"")</f>
        <v/>
      </c>
      <c r="AB5" s="25" t="str">
        <f ca="1">IFERROR(__xludf.DUMMYFUNCTION("""COMPUTED_VALUE"""),"")</f>
        <v/>
      </c>
      <c r="AC5" s="25" t="str">
        <f ca="1">IFERROR(__xludf.DUMMYFUNCTION("""COMPUTED_VALUE"""),"")</f>
        <v/>
      </c>
      <c r="AD5" s="25" t="str">
        <f ca="1">IFERROR(__xludf.DUMMYFUNCTION("""COMPUTED_VALUE"""),"")</f>
        <v/>
      </c>
      <c r="AE5" s="25" t="str">
        <f ca="1">IFERROR(__xludf.DUMMYFUNCTION("""COMPUTED_VALUE"""),"")</f>
        <v/>
      </c>
      <c r="AF5" s="25" t="str">
        <f ca="1">IFERROR(__xludf.DUMMYFUNCTION("""COMPUTED_VALUE"""),"")</f>
        <v/>
      </c>
      <c r="AG5" s="25" t="str">
        <f ca="1">IFERROR(__xludf.DUMMYFUNCTION("""COMPUTED_VALUE"""),"")</f>
        <v/>
      </c>
      <c r="AH5" s="25" t="str">
        <f ca="1">IFERROR(__xludf.DUMMYFUNCTION("""COMPUTED_VALUE"""),"")</f>
        <v/>
      </c>
      <c r="AI5" s="25" t="str">
        <f ca="1">IFERROR(__xludf.DUMMYFUNCTION("""COMPUTED_VALUE"""),"")</f>
        <v/>
      </c>
      <c r="AJ5" s="25" t="str">
        <f ca="1">IFERROR(__xludf.DUMMYFUNCTION("""COMPUTED_VALUE"""),"")</f>
        <v/>
      </c>
      <c r="AK5" s="25" t="str">
        <f ca="1">IFERROR(__xludf.DUMMYFUNCTION("""COMPUTED_VALUE"""),"")</f>
        <v/>
      </c>
      <c r="AL5" s="25" t="str">
        <f ca="1">IFERROR(__xludf.DUMMYFUNCTION("""COMPUTED_VALUE"""),"")</f>
        <v/>
      </c>
      <c r="AM5" s="25" t="str">
        <f ca="1">IFERROR(__xludf.DUMMYFUNCTION("""COMPUTED_VALUE"""),"")</f>
        <v/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  <c r="EX5" s="25" t="str">
        <f ca="1">IFERROR(__xludf.DUMMYFUNCTION("""COMPUTED_VALUE"""),"")</f>
        <v/>
      </c>
    </row>
    <row r="6" spans="1:154" ht="15.75" customHeight="1">
      <c r="A6" s="8"/>
      <c r="B6" s="8" t="s">
        <v>32</v>
      </c>
      <c r="C6" s="3"/>
      <c r="D6" s="8"/>
      <c r="E6" s="30"/>
      <c r="F6" s="3"/>
      <c r="G6" s="3"/>
      <c r="H6" s="3"/>
      <c r="I6" s="8">
        <v>1</v>
      </c>
      <c r="J6" s="3"/>
      <c r="K6" s="3"/>
      <c r="L6" s="3"/>
      <c r="M6" s="8">
        <v>59</v>
      </c>
      <c r="N6" s="3"/>
      <c r="O6" s="3"/>
      <c r="P6" s="26" t="s">
        <v>17</v>
      </c>
      <c r="R6" s="26" t="s">
        <v>16</v>
      </c>
    </row>
    <row r="7" spans="1:154" ht="15.75" customHeight="1">
      <c r="A7" s="3"/>
      <c r="B7" s="8" t="s">
        <v>34</v>
      </c>
      <c r="C7" s="3"/>
      <c r="D7" s="3"/>
      <c r="E7" s="3"/>
      <c r="F7" s="3"/>
      <c r="G7" s="3"/>
      <c r="H7" s="3"/>
      <c r="I7" s="8">
        <v>1</v>
      </c>
      <c r="J7" s="8"/>
      <c r="K7" s="3"/>
      <c r="L7" s="3"/>
      <c r="M7" s="8">
        <v>12</v>
      </c>
      <c r="N7" s="3"/>
      <c r="O7" s="3"/>
      <c r="P7" s="26" t="s">
        <v>17</v>
      </c>
      <c r="R7" s="26" t="s">
        <v>16</v>
      </c>
    </row>
    <row r="8" spans="1:154" ht="15.75" customHeight="1">
      <c r="A8" s="3"/>
      <c r="B8" s="8" t="s">
        <v>35</v>
      </c>
      <c r="C8" s="3"/>
      <c r="D8" s="3"/>
      <c r="E8" s="3"/>
      <c r="F8" s="3"/>
      <c r="G8" s="3"/>
      <c r="H8" s="3"/>
      <c r="I8" s="8">
        <v>1</v>
      </c>
      <c r="J8" s="3"/>
      <c r="K8" s="3"/>
      <c r="L8" s="3"/>
      <c r="M8" s="8">
        <v>29</v>
      </c>
      <c r="N8" s="3"/>
      <c r="O8" s="3"/>
      <c r="P8" s="26" t="s">
        <v>17</v>
      </c>
      <c r="R8" s="26" t="s">
        <v>16</v>
      </c>
    </row>
    <row r="9" spans="1:154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8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3"/>
      <c r="B2" s="3"/>
      <c r="C2" s="3"/>
      <c r="D2" s="3"/>
      <c r="E2" s="3"/>
      <c r="F2" s="3"/>
      <c r="G2" s="3"/>
      <c r="H2" s="3"/>
      <c r="I2" s="3"/>
      <c r="J2" s="16" t="e">
        <f ca="1">VLOOKUP($E$3,_MasterData!B4:D1000,3,FALSE)</f>
        <v>#N/A</v>
      </c>
      <c r="K2" s="16"/>
      <c r="L2" s="3"/>
      <c r="M2" s="3"/>
      <c r="N2" s="3"/>
      <c r="O2" s="3"/>
    </row>
    <row r="3" spans="1:154" ht="15.75" customHeight="1">
      <c r="A3" s="17"/>
      <c r="B3" s="4" t="s">
        <v>3</v>
      </c>
      <c r="C3" s="18" t="s">
        <v>45</v>
      </c>
      <c r="D3" s="4" t="s">
        <v>7</v>
      </c>
      <c r="E3" s="18" t="s">
        <v>48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IFERROR(__xludf.DUMMYFUNCTION("IF(C3="""","""",Transpose(IMPORTRANGE('_Settings'!$B$3,C3&amp;""!A4:A1000"")))"),"SwapExpire")</f>
        <v>SwapExpire</v>
      </c>
      <c r="C4" s="21" t="str">
        <f ca="1">IFERROR(__xludf.DUMMYFUNCTION("""COMPUTED_VALUE"""),"GetDataClosing")</f>
        <v>GetDataClosing</v>
      </c>
      <c r="D4" s="21" t="str">
        <f ca="1">IFERROR(__xludf.DUMMYFUNCTION("""COMPUTED_VALUE"""),"ManualClosing")</f>
        <v>ManualClosing</v>
      </c>
      <c r="E4" s="21" t="str">
        <f ca="1">IFERROR(__xludf.DUMMYFUNCTION("""COMPUTED_VALUE"""),"AutomaticClosing")</f>
        <v>AutomaticClosing</v>
      </c>
      <c r="F4" s="21" t="str">
        <f ca="1">IFERROR(__xludf.DUMMYFUNCTION("""COMPUTED_VALUE"""),"UnwindClosing")</f>
        <v>UnwindClosing</v>
      </c>
      <c r="G4" s="21" t="str">
        <f ca="1">IFERROR(__xludf.DUMMYFUNCTION("""COMPUTED_VALUE"""),"VerifyClosedTrades")</f>
        <v>VerifyClosedTrades</v>
      </c>
      <c r="H4" s="21" t="str">
        <f ca="1">IFERROR(__xludf.DUMMYFUNCTION("""COMPUTED_VALUE"""),"VerifyLongPositionsGrid")</f>
        <v>VerifyLongPositionsGrid</v>
      </c>
      <c r="I4" s="21" t="str">
        <f ca="1">IFERROR(__xludf.DUMMYFUNCTION("""COMPUTED_VALUE"""),"VerifyShortPositionsGrid")</f>
        <v>VerifyShortPositionsGrid</v>
      </c>
      <c r="J4" s="21" t="str">
        <f ca="1">IFERROR(__xludf.DUMMYFUNCTION("""COMPUTED_VALUE"""),"SelectTradeUnexpiredUnsettled")</f>
        <v>SelectTradeUnexpiredUnsettled</v>
      </c>
      <c r="K4" s="21" t="str">
        <f ca="1">IFERROR(__xludf.DUMMYFUNCTION("""COMPUTED_VALUE"""),"CashSettlementAtCost")</f>
        <v>CashSettlementAtCost</v>
      </c>
      <c r="L4" s="21" t="str">
        <f ca="1">IFERROR(__xludf.DUMMYFUNCTION("""COMPUTED_VALUE"""),"CashSettlementAtZeroPrice")</f>
        <v>CashSettlementAtZeroPrice</v>
      </c>
      <c r="M4" s="21" t="str">
        <f ca="1">IFERROR(__xludf.DUMMYFUNCTION("""COMPUTED_VALUE"""),"CashSettlementAtClosingDtSpotPx")</f>
        <v>CashSettlementAtClosingDtSpotPx</v>
      </c>
      <c r="N4" s="21" t="str">
        <f ca="1">IFERROR(__xludf.DUMMYFUNCTION("""COMPUTED_VALUE"""),"PhysicalSettlement")</f>
        <v>PhysicalSettlement</v>
      </c>
      <c r="O4" s="21" t="str">
        <f ca="1">IFERROR(__xludf.DUMMYFUNCTION("""COMPUTED_VALUE"""),"Expire")</f>
        <v>Expire</v>
      </c>
      <c r="P4" s="22" t="str">
        <f ca="1">IFERROR(__xludf.DUMMYFUNCTION("""COMPUTED_VALUE"""),"ExerciseAssignment")</f>
        <v>ExerciseAssignment</v>
      </c>
      <c r="Q4" s="22" t="str">
        <f ca="1">IFERROR(__xludf.DUMMYFUNCTION("""COMPUTED_VALUE"""),"ExerciseAssignmentAtZero")</f>
        <v>ExerciseAssignmentAtZero</v>
      </c>
      <c r="R4" s="22" t="str">
        <f ca="1">IFERROR(__xludf.DUMMYFUNCTION("""COMPUTED_VALUE"""),"SwapExpireAndRollover")</f>
        <v>SwapExpireAndRollover</v>
      </c>
      <c r="S4" s="22" t="str">
        <f ca="1">IFERROR(__xludf.DUMMYFUNCTION("""COMPUTED_VALUE"""),"SwapExpire")</f>
        <v>SwapExpire</v>
      </c>
      <c r="T4" s="22" t="str">
        <f ca="1">IFERROR(__xludf.DUMMYFUNCTION("""COMPUTED_VALUE"""),"VerifyExpiredSettledGrid")</f>
        <v>VerifyExpiredSettledGrid</v>
      </c>
      <c r="U4" s="22" t="str">
        <f ca="1">IFERROR(__xludf.DUMMYFUNCTION("""COMPUTED_VALUE"""),"VerifyUnExpiredUnSettledGrid")</f>
        <v>VerifyUnExpiredUnSettledGrid</v>
      </c>
      <c r="V4" s="22" t="str">
        <f ca="1">IFERROR(__xludf.DUMMYFUNCTION("""COMPUTED_VALUE"""),"UnWindTradeSettlement")</f>
        <v>UnWindTradeSettlement</v>
      </c>
      <c r="W4" s="22" t="str">
        <f ca="1">IFERROR(__xludf.DUMMYFUNCTION("""COMPUTED_VALUE"""),"CloseOrder")</f>
        <v>CloseOrder</v>
      </c>
      <c r="X4" s="22" t="str">
        <f ca="1">IFERROR(__xludf.DUMMYFUNCTION("""COMPUTED_VALUE"""),"VerifyCloseOrder")</f>
        <v>VerifyCloseOrder</v>
      </c>
      <c r="Y4" s="22" t="str">
        <f ca="1">IFERROR(__xludf.DUMMYFUNCTION("""COMPUTED_VALUE"""),"UnWindCloseOrder")</f>
        <v>UnWindCloseOrder</v>
      </c>
      <c r="Z4" s="22" t="str">
        <f ca="1">IFERROR(__xludf.DUMMYFUNCTION("""COMPUTED_VALUE"""),"ClosingCleanUp")</f>
        <v>ClosingCleanUp</v>
      </c>
      <c r="AA4" s="22" t="str">
        <f ca="1">IFERROR(__xludf.DUMMYFUNCTION("""COMPUTED_VALUE"""),"CloseClosingUI")</f>
        <v>CloseClosingUI</v>
      </c>
      <c r="AB4" s="22" t="str">
        <f ca="1">IFERROR(__xludf.DUMMYFUNCTION("""COMPUTED_VALUE"""),"SetClosingPreference")</f>
        <v>SetClosingPreference</v>
      </c>
      <c r="AC4" s="22" t="str">
        <f ca="1">IFERROR(__xludf.DUMMYFUNCTION("""COMPUTED_VALUE"""),"EditTradeUnexpiredUnsettled")</f>
        <v>EditTradeUnexpiredUnsettled</v>
      </c>
      <c r="AD4" s="22" t="str">
        <f ca="1">IFERROR(__xludf.DUMMYFUNCTION("""COMPUTED_VALUE"""),"")</f>
        <v/>
      </c>
      <c r="AE4" s="22" t="str">
        <f ca="1">IFERROR(__xludf.DUMMYFUNCTION("""COMPUTED_VALUE"""),"")</f>
        <v/>
      </c>
      <c r="AF4" s="22" t="str">
        <f ca="1">IFERROR(__xludf.DUMMYFUNCTION("""COMPUTED_VALUE"""),"")</f>
        <v/>
      </c>
      <c r="AG4" s="22" t="str">
        <f ca="1">IFERROR(__xludf.DUMMYFUNCTION("""COMPUTED_VALUE"""),"")</f>
        <v/>
      </c>
      <c r="AH4" s="22" t="str">
        <f ca="1">IFERROR(__xludf.DUMMYFUNCTION("""COMPUTED_VALUE"""),"")</f>
        <v/>
      </c>
      <c r="AI4" s="22" t="str">
        <f ca="1">IFERROR(__xludf.DUMMYFUNCTION("""COMPUTED_VALUE"""),"")</f>
        <v/>
      </c>
      <c r="AJ4" s="22" t="str">
        <f ca="1">IFERROR(__xludf.DUMMYFUNCTION("""COMPUTED_VALUE"""),"")</f>
        <v/>
      </c>
      <c r="AK4" s="22" t="str">
        <f ca="1">IFERROR(__xludf.DUMMYFUNCTION("""COMPUTED_VALUE"""),"")</f>
        <v/>
      </c>
      <c r="AL4" s="22" t="str">
        <f ca="1">IFERROR(__xludf.DUMMYFUNCTION("""COMPUTED_VALUE"""),"")</f>
        <v/>
      </c>
      <c r="AM4" s="22" t="str">
        <f ca="1">IFERROR(__xludf.DUMMYFUNCTION("""COMPUTED_VALUE"""),"")</f>
        <v/>
      </c>
      <c r="AN4" s="22" t="str">
        <f ca="1">IFERROR(__xludf.DUMMYFUNCTION("""COMPUTED_VALUE"""),"")</f>
        <v/>
      </c>
      <c r="AO4" s="22" t="str">
        <f ca="1">IFERROR(__xludf.DUMMYFUNCTION("""COMPUTED_VALUE"""),"")</f>
        <v/>
      </c>
      <c r="AP4" s="22" t="str">
        <f ca="1">IFERROR(__xludf.DUMMYFUNCTION("""COMPUTED_VALUE"""),"")</f>
        <v/>
      </c>
      <c r="AQ4" s="22" t="str">
        <f ca="1">IFERROR(__xludf.DUMMYFUNCTION("""COMPUTED_VALUE"""),"")</f>
        <v/>
      </c>
      <c r="AR4" s="22" t="str">
        <f ca="1">IFERROR(__xludf.DUMMYFUNCTION("""COMPUTED_VALUE"""),"")</f>
        <v/>
      </c>
      <c r="AS4" s="22" t="str">
        <f ca="1">IFERROR(__xludf.DUMMYFUNCTION("""COMPUTED_VALUE"""),"")</f>
        <v/>
      </c>
      <c r="AT4" s="22" t="str">
        <f ca="1">IFERROR(__xludf.DUMMYFUNCTION("""COMPUTED_VALUE"""),"")</f>
        <v/>
      </c>
      <c r="AU4" s="22" t="str">
        <f ca="1">IFERROR(__xludf.DUMMYFUNCTION("""COMPUTED_VALUE"""),"")</f>
        <v/>
      </c>
      <c r="AV4" s="22" t="str">
        <f ca="1">IFERROR(__xludf.DUMMYFUNCTION("""COMPUTED_VALUE"""),"")</f>
        <v/>
      </c>
      <c r="AW4" s="22" t="str">
        <f ca="1">IFERROR(__xludf.DUMMYFUNCTION("""COMPUTED_VALUE"""),"")</f>
        <v/>
      </c>
      <c r="AX4" s="22" t="str">
        <f ca="1">IFERROR(__xludf.DUMMYFUNCTION("""COMPUTED_VALUE"""),"")</f>
        <v/>
      </c>
      <c r="AY4" s="22" t="str">
        <f ca="1">IFERROR(__xludf.DUMMYFUNCTION("""COMPUTED_VALUE"""),"")</f>
        <v/>
      </c>
      <c r="AZ4" s="22" t="str">
        <f ca="1">IFERROR(__xludf.DUMMYFUNCTION("""COMPUTED_VALUE"""),"")</f>
        <v/>
      </c>
      <c r="BA4" s="22" t="str">
        <f ca="1">IFERROR(__xludf.DUMMYFUNCTION("""COMPUTED_VALUE"""),"")</f>
        <v/>
      </c>
      <c r="BB4" s="22" t="str">
        <f ca="1">IFERROR(__xludf.DUMMYFUNCTION("""COMPUTED_VALUE"""),"")</f>
        <v/>
      </c>
      <c r="BC4" s="22" t="str">
        <f ca="1">IFERROR(__xludf.DUMMYFUNCTION("""COMPUTED_VALUE"""),"")</f>
        <v/>
      </c>
      <c r="BD4" s="22" t="str">
        <f ca="1">IFERROR(__xludf.DUMMYFUNCTION("""COMPUTED_VALUE"""),"")</f>
        <v/>
      </c>
      <c r="BE4" s="22" t="str">
        <f ca="1">IFERROR(__xludf.DUMMYFUNCTION("""COMPUTED_VALUE"""),"")</f>
        <v/>
      </c>
      <c r="BF4" s="22" t="str">
        <f ca="1">IFERROR(__xludf.DUMMYFUNCTION("""COMPUTED_VALUE"""),"")</f>
        <v/>
      </c>
      <c r="BG4" s="22" t="str">
        <f ca="1">IFERROR(__xludf.DUMMYFUNCTION("""COMPUTED_VALUE"""),"")</f>
        <v/>
      </c>
      <c r="BH4" s="22" t="str">
        <f ca="1">IFERROR(__xludf.DUMMYFUNCTION("""COMPUTED_VALUE"""),"")</f>
        <v/>
      </c>
      <c r="BI4" s="22" t="str">
        <f ca="1">IFERROR(__xludf.DUMMYFUNCTION("""COMPUTED_VALUE"""),"")</f>
        <v/>
      </c>
      <c r="BJ4" s="22" t="str">
        <f ca="1">IFERROR(__xludf.DUMMYFUNCTION("""COMPUTED_VALUE"""),"")</f>
        <v/>
      </c>
      <c r="BK4" s="22" t="str">
        <f ca="1">IFERROR(__xludf.DUMMYFUNCTION("""COMPUTED_VALUE"""),"")</f>
        <v/>
      </c>
      <c r="BL4" s="22" t="str">
        <f ca="1">IFERROR(__xludf.DUMMYFUNCTION("""COMPUTED_VALUE"""),"")</f>
        <v/>
      </c>
      <c r="BM4" s="22" t="str">
        <f ca="1">IFERROR(__xludf.DUMMYFUNCTION("""COMPUTED_VALUE"""),"")</f>
        <v/>
      </c>
      <c r="BN4" s="22" t="str">
        <f ca="1">IFERROR(__xludf.DUMMYFUNCTION("""COMPUTED_VALUE"""),"")</f>
        <v/>
      </c>
      <c r="BO4" s="22" t="str">
        <f ca="1">IFERROR(__xludf.DUMMYFUNCTION("""COMPUTED_VALUE"""),"")</f>
        <v/>
      </c>
      <c r="BP4" s="22" t="str">
        <f ca="1">IFERROR(__xludf.DUMMYFUNCTION("""COMPUTED_VALUE"""),"")</f>
        <v/>
      </c>
      <c r="BQ4" s="22" t="str">
        <f ca="1">IFERROR(__xludf.DUMMYFUNCTION("""COMPUTED_VALUE"""),"")</f>
        <v/>
      </c>
      <c r="BR4" s="22" t="str">
        <f ca="1">IFERROR(__xludf.DUMMYFUNCTION("""COMPUTED_VALUE"""),"")</f>
        <v/>
      </c>
      <c r="BS4" s="22" t="str">
        <f ca="1">IFERROR(__xludf.DUMMYFUNCTION("""COMPUTED_VALUE"""),"")</f>
        <v/>
      </c>
      <c r="BT4" s="22" t="str">
        <f ca="1">IFERROR(__xludf.DUMMYFUNCTION("""COMPUTED_VALUE"""),"")</f>
        <v/>
      </c>
      <c r="BU4" s="22" t="str">
        <f ca="1">IFERROR(__xludf.DUMMYFUNCTION("""COMPUTED_VALUE"""),"")</f>
        <v/>
      </c>
      <c r="BV4" s="22" t="str">
        <f ca="1">IFERROR(__xludf.DUMMYFUNCTION("""COMPUTED_VALUE"""),"")</f>
        <v/>
      </c>
      <c r="BW4" s="22" t="str">
        <f ca="1">IFERROR(__xludf.DUMMYFUNCTION("""COMPUTED_VALUE"""),"")</f>
        <v/>
      </c>
      <c r="BX4" s="22" t="str">
        <f ca="1">IFERROR(__xludf.DUMMYFUNCTION("""COMPUTED_VALUE"""),"")</f>
        <v/>
      </c>
      <c r="BY4" s="22" t="str">
        <f ca="1">IFERROR(__xludf.DUMMYFUNCTION("""COMPUTED_VALUE"""),"")</f>
        <v/>
      </c>
      <c r="BZ4" s="22" t="str">
        <f ca="1">IFERROR(__xludf.DUMMYFUNCTION("""COMPUTED_VALUE"""),"")</f>
        <v/>
      </c>
      <c r="CA4" s="22" t="str">
        <f ca="1">IFERROR(__xludf.DUMMYFUNCTION("""COMPUTED_VALUE"""),"")</f>
        <v/>
      </c>
      <c r="CB4" s="22" t="str">
        <f ca="1">IFERROR(__xludf.DUMMYFUNCTION("""COMPUTED_VALUE"""),"")</f>
        <v/>
      </c>
      <c r="CC4" s="22" t="str">
        <f ca="1">IFERROR(__xludf.DUMMYFUNCTION("""COMPUTED_VALUE"""),"")</f>
        <v/>
      </c>
      <c r="CD4" s="22" t="str">
        <f ca="1">IFERROR(__xludf.DUMMYFUNCTION("""COMPUTED_VALUE"""),"")</f>
        <v/>
      </c>
      <c r="CE4" s="22" t="str">
        <f ca="1">IFERROR(__xludf.DUMMYFUNCTION("""COMPUTED_VALUE"""),"")</f>
        <v/>
      </c>
      <c r="CF4" s="22" t="str">
        <f ca="1">IFERROR(__xludf.DUMMYFUNCTION("""COMPUTED_VALUE"""),"")</f>
        <v/>
      </c>
      <c r="CG4" s="22" t="str">
        <f ca="1">IFERROR(__xludf.DUMMYFUNCTION("""COMPUTED_VALUE"""),"")</f>
        <v/>
      </c>
      <c r="CH4" s="22" t="str">
        <f ca="1">IFERROR(__xludf.DUMMYFUNCTION("""COMPUTED_VALUE"""),"")</f>
        <v/>
      </c>
      <c r="CI4" s="22" t="str">
        <f ca="1">IFERROR(__xludf.DUMMYFUNCTION("""COMPUTED_VALUE"""),"")</f>
        <v/>
      </c>
      <c r="CJ4" s="22" t="str">
        <f ca="1">IFERROR(__xludf.DUMMYFUNCTION("""COMPUTED_VALUE"""),"")</f>
        <v/>
      </c>
      <c r="CK4" s="22" t="str">
        <f ca="1">IFERROR(__xludf.DUMMYFUNCTION("""COMPUTED_VALUE"""),"")</f>
        <v/>
      </c>
      <c r="CL4" s="22" t="str">
        <f ca="1">IFERROR(__xludf.DUMMYFUNCTION("""COMPUTED_VALUE"""),"")</f>
        <v/>
      </c>
      <c r="CM4" s="22" t="str">
        <f ca="1">IFERROR(__xludf.DUMMYFUNCTION("""COMPUTED_VALUE"""),"")</f>
        <v/>
      </c>
      <c r="CN4" s="22" t="str">
        <f ca="1">IFERROR(__xludf.DUMMYFUNCTION("""COMPUTED_VALUE"""),"")</f>
        <v/>
      </c>
      <c r="CO4" s="22" t="str">
        <f ca="1">IFERROR(__xludf.DUMMYFUNCTION("""COMPUTED_VALUE"""),"")</f>
        <v/>
      </c>
      <c r="CP4" s="22" t="str">
        <f ca="1">IFERROR(__xludf.DUMMYFUNCTION("""COMPUTED_VALUE"""),"")</f>
        <v/>
      </c>
      <c r="CQ4" s="22" t="str">
        <f ca="1">IFERROR(__xludf.DUMMYFUNCTION("""COMPUTED_VALUE"""),"")</f>
        <v/>
      </c>
      <c r="CR4" s="22" t="str">
        <f ca="1">IFERROR(__xludf.DUMMYFUNCTION("""COMPUTED_VALUE"""),"")</f>
        <v/>
      </c>
      <c r="CS4" s="22" t="str">
        <f ca="1">IFERROR(__xludf.DUMMYFUNCTION("""COMPUTED_VALUE"""),"")</f>
        <v/>
      </c>
      <c r="CT4" s="22" t="str">
        <f ca="1">IFERROR(__xludf.DUMMYFUNCTION("""COMPUTED_VALUE"""),"")</f>
        <v/>
      </c>
      <c r="CU4" s="22" t="str">
        <f ca="1">IFERROR(__xludf.DUMMYFUNCTION("""COMPUTED_VALUE"""),"")</f>
        <v/>
      </c>
      <c r="CV4" s="22" t="str">
        <f ca="1">IFERROR(__xludf.DUMMYFUNCTION("""COMPUTED_VALUE"""),"")</f>
        <v/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  <c r="EX4" s="22" t="str">
        <f ca="1">IFERROR(__xludf.DUMMYFUNCTION("""COMPUTED_VALUE"""),"")</f>
        <v/>
      </c>
    </row>
    <row r="5" spans="1:154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IFERROR(__xludf.DUMMYFUNCTION("""COMPUTED_VALUE"""),"Account")</f>
        <v>Account</v>
      </c>
      <c r="C5" s="24" t="str">
        <f ca="1">IFERROR(__xludf.DUMMYFUNCTION("""COMPUTED_VALUE"""),"Asset Class")</f>
        <v>Asset Class</v>
      </c>
      <c r="D5" s="24" t="str">
        <f ca="1">IFERROR(__xludf.DUMMYFUNCTION("""COMPUTED_VALUE"""),"AUECID")</f>
        <v>AUECID</v>
      </c>
      <c r="E5" s="24" t="str">
        <f ca="1">IFERROR(__xludf.DUMMYFUNCTION("""COMPUTED_VALUE"""),"ExternalTransId")</f>
        <v>ExternalTransId</v>
      </c>
      <c r="F5" s="29" t="str">
        <f ca="1">IFERROR(__xludf.DUMMYFUNCTION("""COMPUTED_VALUE"""),"IsSwapped")</f>
        <v>IsSwapped</v>
      </c>
      <c r="G5" s="24" t="str">
        <f ca="1">IFERROR(__xludf.DUMMYFUNCTION("""COMPUTED_VALUE"""),"LotId")</f>
        <v>LotId</v>
      </c>
      <c r="H5" s="24" t="str">
        <f ca="1">IFERROR(__xludf.DUMMYFUNCTION("""COMPUTED_VALUE"""),"Net Notional")</f>
        <v>Net Notional</v>
      </c>
      <c r="I5" s="24" t="str">
        <f ca="1">IFERROR(__xludf.DUMMYFUNCTION("""COMPUTED_VALUE"""),"Opening Price")</f>
        <v>Opening Price</v>
      </c>
      <c r="J5" s="24" t="str">
        <f ca="1">IFERROR(__xludf.DUMMYFUNCTION("""COMPUTED_VALUE"""),"Original Purchase Date")</f>
        <v>Original Purchase Date</v>
      </c>
      <c r="K5" s="24" t="str">
        <f ca="1">IFERROR(__xludf.DUMMYFUNCTION("""COMPUTED_VALUE"""),"PositionTag")</f>
        <v>PositionTag</v>
      </c>
      <c r="L5" s="24" t="str">
        <f ca="1">IFERROR(__xludf.DUMMYFUNCTION("""COMPUTED_VALUE"""),"Process Date")</f>
        <v>Process Date</v>
      </c>
      <c r="M5" s="24" t="str">
        <f ca="1">IFERROR(__xludf.DUMMYFUNCTION("""COMPUTED_VALUE"""),"Quantity")</f>
        <v>Quantity</v>
      </c>
      <c r="N5" s="24" t="str">
        <f ca="1">IFERROR(__xludf.DUMMYFUNCTION("""COMPUTED_VALUE"""),"Security Name")</f>
        <v>Security Name</v>
      </c>
      <c r="O5" s="24" t="str">
        <f ca="1">IFERROR(__xludf.DUMMYFUNCTION("""COMPUTED_VALUE"""),"Settlement Currency")</f>
        <v>Settlement Currency</v>
      </c>
      <c r="P5" s="24" t="str">
        <f ca="1">IFERROR(__xludf.DUMMYFUNCTION("""COMPUTED_VALUE"""),"Side")</f>
        <v>Side</v>
      </c>
      <c r="Q5" s="24" t="str">
        <f ca="1">IFERROR(__xludf.DUMMYFUNCTION("""COMPUTED_VALUE"""),"Strategy")</f>
        <v>Strategy</v>
      </c>
      <c r="R5" s="24" t="str">
        <f ca="1">IFERROR(__xludf.DUMMYFUNCTION("""COMPUTED_VALUE"""),"Symbol")</f>
        <v>Symbol</v>
      </c>
      <c r="S5" s="24" t="str">
        <f ca="1">IFERROR(__xludf.DUMMYFUNCTION("""COMPUTED_VALUE"""),"Taxlot ID")</f>
        <v>Taxlot ID</v>
      </c>
      <c r="T5" s="25" t="str">
        <f ca="1">IFERROR(__xludf.DUMMYFUNCTION("""COMPUTED_VALUE"""),"Total Fees and Commission")</f>
        <v>Total Fees and Commission</v>
      </c>
      <c r="U5" s="25" t="str">
        <f ca="1">IFERROR(__xludf.DUMMYFUNCTION("""COMPUTED_VALUE"""),"Trade Date")</f>
        <v>Trade Date</v>
      </c>
      <c r="V5" s="25" t="str">
        <f ca="1">IFERROR(__xludf.DUMMYFUNCTION("""COMPUTED_VALUE"""),"Transaction Type")</f>
        <v>Transaction Type</v>
      </c>
      <c r="W5" s="25" t="str">
        <f ca="1">IFERROR(__xludf.DUMMYFUNCTION("""COMPUTED_VALUE"""),"UnderlyingName")</f>
        <v>UnderlyingName</v>
      </c>
      <c r="X5" s="25" t="str">
        <f ca="1">IFERROR(__xludf.DUMMYFUNCTION("""COMPUTED_VALUE"""),"UnitCost")</f>
        <v>UnitCost</v>
      </c>
      <c r="Y5" s="25" t="str">
        <f ca="1">IFERROR(__xludf.DUMMYFUNCTION("""COMPUTED_VALUE"""),"Unit Cost(Base)")</f>
        <v>Unit Cost(Base)</v>
      </c>
      <c r="Z5" s="25" t="str">
        <f ca="1">IFERROR(__xludf.DUMMYFUNCTION("""COMPUTED_VALUE"""),"AvgPriceBase")</f>
        <v>AvgPriceBase</v>
      </c>
      <c r="AA5" s="25" t="str">
        <f ca="1">IFERROR(__xludf.DUMMYFUNCTION("""COMPUTED_VALUE"""),"")</f>
        <v/>
      </c>
      <c r="AB5" s="25" t="str">
        <f ca="1">IFERROR(__xludf.DUMMYFUNCTION("""COMPUTED_VALUE"""),"")</f>
        <v/>
      </c>
      <c r="AC5" s="25" t="str">
        <f ca="1">IFERROR(__xludf.DUMMYFUNCTION("""COMPUTED_VALUE"""),"")</f>
        <v/>
      </c>
      <c r="AD5" s="25" t="str">
        <f ca="1">IFERROR(__xludf.DUMMYFUNCTION("""COMPUTED_VALUE"""),"")</f>
        <v/>
      </c>
      <c r="AE5" s="25" t="str">
        <f ca="1">IFERROR(__xludf.DUMMYFUNCTION("""COMPUTED_VALUE"""),"")</f>
        <v/>
      </c>
      <c r="AF5" s="25" t="str">
        <f ca="1">IFERROR(__xludf.DUMMYFUNCTION("""COMPUTED_VALUE"""),"")</f>
        <v/>
      </c>
      <c r="AG5" s="25" t="str">
        <f ca="1">IFERROR(__xludf.DUMMYFUNCTION("""COMPUTED_VALUE"""),"")</f>
        <v/>
      </c>
      <c r="AH5" s="25" t="str">
        <f ca="1">IFERROR(__xludf.DUMMYFUNCTION("""COMPUTED_VALUE"""),"")</f>
        <v/>
      </c>
      <c r="AI5" s="25" t="str">
        <f ca="1">IFERROR(__xludf.DUMMYFUNCTION("""COMPUTED_VALUE"""),"")</f>
        <v/>
      </c>
      <c r="AJ5" s="25" t="str">
        <f ca="1">IFERROR(__xludf.DUMMYFUNCTION("""COMPUTED_VALUE"""),"")</f>
        <v/>
      </c>
      <c r="AK5" s="25" t="str">
        <f ca="1">IFERROR(__xludf.DUMMYFUNCTION("""COMPUTED_VALUE"""),"")</f>
        <v/>
      </c>
      <c r="AL5" s="25" t="str">
        <f ca="1">IFERROR(__xludf.DUMMYFUNCTION("""COMPUTED_VALUE"""),"")</f>
        <v/>
      </c>
      <c r="AM5" s="25" t="str">
        <f ca="1">IFERROR(__xludf.DUMMYFUNCTION("""COMPUTED_VALUE"""),"")</f>
        <v/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  <c r="EX5" s="25" t="str">
        <f ca="1">IFERROR(__xludf.DUMMYFUNCTION("""COMPUTED_VALUE"""),"")</f>
        <v/>
      </c>
    </row>
    <row r="6" spans="1:154" ht="15.75" customHeight="1">
      <c r="A6" s="8"/>
      <c r="B6" s="8" t="s">
        <v>32</v>
      </c>
      <c r="C6" s="3"/>
      <c r="D6" s="8"/>
      <c r="E6" s="30"/>
      <c r="F6" s="3"/>
      <c r="G6" s="3"/>
      <c r="H6" s="3"/>
      <c r="I6" s="8">
        <v>1</v>
      </c>
      <c r="J6" s="3"/>
      <c r="K6" s="3"/>
      <c r="L6" s="3"/>
      <c r="M6" s="8">
        <v>59</v>
      </c>
      <c r="N6" s="3"/>
      <c r="O6" s="3"/>
      <c r="P6" s="26" t="s">
        <v>28</v>
      </c>
      <c r="R6" s="26" t="s">
        <v>27</v>
      </c>
    </row>
    <row r="7" spans="1:154" ht="15.75" customHeight="1">
      <c r="A7" s="3"/>
      <c r="B7" s="8" t="s">
        <v>34</v>
      </c>
      <c r="C7" s="3"/>
      <c r="D7" s="3"/>
      <c r="E7" s="3"/>
      <c r="F7" s="3"/>
      <c r="G7" s="3"/>
      <c r="H7" s="3"/>
      <c r="I7" s="8">
        <v>1</v>
      </c>
      <c r="J7" s="3"/>
      <c r="K7" s="3"/>
      <c r="L7" s="3"/>
      <c r="M7" s="8">
        <v>12</v>
      </c>
      <c r="N7" s="3"/>
      <c r="O7" s="3"/>
      <c r="P7" s="26" t="s">
        <v>28</v>
      </c>
      <c r="R7" s="26" t="s">
        <v>27</v>
      </c>
    </row>
    <row r="8" spans="1:154" ht="15.75" customHeight="1">
      <c r="A8" s="3"/>
      <c r="B8" s="8" t="s">
        <v>35</v>
      </c>
      <c r="C8" s="3"/>
      <c r="D8" s="3"/>
      <c r="E8" s="3"/>
      <c r="F8" s="3"/>
      <c r="G8" s="3"/>
      <c r="H8" s="3"/>
      <c r="I8" s="8">
        <v>1</v>
      </c>
      <c r="J8" s="3"/>
      <c r="K8" s="3"/>
      <c r="L8" s="3"/>
      <c r="M8" s="8">
        <v>29</v>
      </c>
      <c r="N8" s="3"/>
      <c r="O8" s="3"/>
      <c r="P8" s="26" t="s">
        <v>28</v>
      </c>
      <c r="R8" s="26" t="s">
        <v>27</v>
      </c>
    </row>
    <row r="9" spans="1:154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3"/>
      <c r="B2" s="3"/>
      <c r="C2" s="3"/>
      <c r="D2" s="3"/>
      <c r="E2" s="3"/>
      <c r="F2" s="3"/>
      <c r="G2" s="3"/>
      <c r="H2" s="3"/>
      <c r="I2" s="3"/>
      <c r="J2" s="16" t="e">
        <f ca="1">VLOOKUP($E$3,_MasterData!B4:D1000,3,FALSE)</f>
        <v>#N/A</v>
      </c>
      <c r="K2" s="16"/>
      <c r="L2" s="3"/>
      <c r="M2" s="3"/>
      <c r="N2" s="3"/>
      <c r="O2" s="3"/>
    </row>
    <row r="3" spans="1:154" ht="15.75" customHeight="1">
      <c r="A3" s="17"/>
      <c r="B3" s="4" t="s">
        <v>3</v>
      </c>
      <c r="C3" s="18" t="s">
        <v>49</v>
      </c>
      <c r="D3" s="4" t="s">
        <v>7</v>
      </c>
      <c r="E3" s="18" t="s">
        <v>50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IFERROR(__xludf.DUMMYFUNCTION("IF(C3="""","""",Transpose(IMPORTRANGE('_Settings'!$B$3,C3&amp;""!A4:A1000"")))"),"GetDataCash")</f>
        <v>GetDataCash</v>
      </c>
      <c r="C4" s="21" t="str">
        <f ca="1">IFERROR(__xludf.DUMMYFUNCTION("""COMPUTED_VALUE"""),"EnterCashDividends")</f>
        <v>EnterCashDividends</v>
      </c>
      <c r="D4" s="21" t="str">
        <f ca="1">IFERROR(__xludf.DUMMYFUNCTION("""COMPUTED_VALUE"""),"EnterNonTradingTransaction")</f>
        <v>EnterNonTradingTransaction</v>
      </c>
      <c r="E4" s="21" t="str">
        <f ca="1">IFERROR(__xludf.DUMMYFUNCTION("""COMPUTED_VALUE"""),"VerifyCash")</f>
        <v>VerifyCash</v>
      </c>
      <c r="F4" s="21" t="str">
        <f ca="1">IFERROR(__xludf.DUMMYFUNCTION("""COMPUTED_VALUE"""),"VerifyActivity")</f>
        <v>VerifyActivity</v>
      </c>
      <c r="G4" s="21" t="str">
        <f ca="1">IFERROR(__xludf.DUMMYFUNCTION("""COMPUTED_VALUE"""),"VerifyTradingTransaction")</f>
        <v>VerifyTradingTransaction</v>
      </c>
      <c r="H4" s="21" t="str">
        <f ca="1">IFERROR(__xludf.DUMMYFUNCTION("""COMPUTED_VALUE"""),"VerifyRevaluationData")</f>
        <v>VerifyRevaluationData</v>
      </c>
      <c r="I4" s="21" t="str">
        <f ca="1">IFERROR(__xludf.DUMMYFUNCTION("""COMPUTED_VALUE"""),"GetTradingTransaction")</f>
        <v>GetTradingTransaction</v>
      </c>
      <c r="J4" s="21" t="str">
        <f ca="1">IFERROR(__xludf.DUMMYFUNCTION("""COMPUTED_VALUE"""),"GetActivityData")</f>
        <v>GetActivityData</v>
      </c>
      <c r="K4" s="21" t="str">
        <f ca="1">IFERROR(__xludf.DUMMYFUNCTION("""COMPUTED_VALUE"""),"GetRevaluationData")</f>
        <v>GetRevaluationData</v>
      </c>
      <c r="L4" s="21" t="str">
        <f ca="1">IFERROR(__xludf.DUMMYFUNCTION("""COMPUTED_VALUE"""),"GetAccountDetails")</f>
        <v>GetAccountDetails</v>
      </c>
      <c r="M4" s="21" t="str">
        <f ca="1">IFERROR(__xludf.DUMMYFUNCTION("""COMPUTED_VALUE"""),"GetNonTradingTransaction")</f>
        <v>GetNonTradingTransaction</v>
      </c>
      <c r="N4" s="21" t="str">
        <f ca="1">IFERROR(__xludf.DUMMYFUNCTION("""COMPUTED_VALUE"""),"GetDividendData")</f>
        <v>GetDividendData</v>
      </c>
      <c r="O4" s="21" t="str">
        <f ca="1">IFERROR(__xludf.DUMMYFUNCTION("""COMPUTED_VALUE"""),"VerifyNonTradingTransaction")</f>
        <v>VerifyNonTradingTransaction</v>
      </c>
      <c r="P4" s="22" t="str">
        <f ca="1">IFERROR(__xludf.DUMMYFUNCTION("""COMPUTED_VALUE"""),"VerifyDividend")</f>
        <v>VerifyDividend</v>
      </c>
      <c r="Q4" s="22" t="str">
        <f ca="1">IFERROR(__xludf.DUMMYFUNCTION("""COMPUTED_VALUE"""),"GetOpeningBalanceData")</f>
        <v>GetOpeningBalanceData</v>
      </c>
      <c r="R4" s="22" t="str">
        <f ca="1">IFERROR(__xludf.DUMMYFUNCTION("""COMPUTED_VALUE"""),"GetAccountBalance")</f>
        <v>GetAccountBalance</v>
      </c>
      <c r="S4" s="22" t="str">
        <f ca="1">IFERROR(__xludf.DUMMYFUNCTION("""COMPUTED_VALUE"""),"SelectNonTradingTransaction")</f>
        <v>SelectNonTradingTransaction</v>
      </c>
      <c r="T4" s="22" t="str">
        <f ca="1">IFERROR(__xludf.DUMMYFUNCTION("""COMPUTED_VALUE"""),"SelectNonTradingTranItem")</f>
        <v>SelectNonTradingTranItem</v>
      </c>
      <c r="U4" s="22" t="str">
        <f ca="1">IFERROR(__xludf.DUMMYFUNCTION("""COMPUTED_VALUE"""),"DeleteNonTradingTransaction")</f>
        <v>DeleteNonTradingTransaction</v>
      </c>
      <c r="V4" s="22" t="str">
        <f ca="1">IFERROR(__xludf.DUMMYFUNCTION("""COMPUTED_VALUE"""),"DeleteNonTradingTranItem")</f>
        <v>DeleteNonTradingTranItem</v>
      </c>
      <c r="W4" s="22" t="str">
        <f ca="1">IFERROR(__xludf.DUMMYFUNCTION("""COMPUTED_VALUE"""),"AddNonTradingTransaction")</f>
        <v>AddNonTradingTransaction</v>
      </c>
      <c r="X4" s="22" t="str">
        <f ca="1">IFERROR(__xludf.DUMMYFUNCTION("""COMPUTED_VALUE"""),"AddNonTradingTranItem")</f>
        <v>AddNonTradingTranItem</v>
      </c>
      <c r="Y4" s="22" t="str">
        <f ca="1">IFERROR(__xludf.DUMMYFUNCTION("""COMPUTED_VALUE"""),"VerifyOpeningBalanceData")</f>
        <v>VerifyOpeningBalanceData</v>
      </c>
      <c r="Z4" s="22" t="str">
        <f ca="1">IFERROR(__xludf.DUMMYFUNCTION("""COMPUTED_VALUE"""),"SelectOpeningBalanceTransaction")</f>
        <v>SelectOpeningBalanceTransaction</v>
      </c>
      <c r="AA4" s="22" t="str">
        <f ca="1">IFERROR(__xludf.DUMMYFUNCTION("""COMPUTED_VALUE"""),"SelectOpeningBalanceTranItem")</f>
        <v>SelectOpeningBalanceTranItem</v>
      </c>
      <c r="AB4" s="22" t="str">
        <f ca="1">IFERROR(__xludf.DUMMYFUNCTION("""COMPUTED_VALUE"""),"EditNonTradingTransaction")</f>
        <v>EditNonTradingTransaction</v>
      </c>
      <c r="AC4" s="22" t="str">
        <f ca="1">IFERROR(__xludf.DUMMYFUNCTION("""COMPUTED_VALUE"""),"EditNonTradingTranItem")</f>
        <v>EditNonTradingTranItem</v>
      </c>
      <c r="AD4" s="22" t="str">
        <f ca="1">IFERROR(__xludf.DUMMYFUNCTION("""COMPUTED_VALUE"""),"DeleteOpeningBalanceTransaction")</f>
        <v>DeleteOpeningBalanceTransaction</v>
      </c>
      <c r="AE4" s="22" t="str">
        <f ca="1">IFERROR(__xludf.DUMMYFUNCTION("""COMPUTED_VALUE"""),"DeleteOpeningBalanceTranItem")</f>
        <v>DeleteOpeningBalanceTranItem</v>
      </c>
      <c r="AF4" s="22" t="str">
        <f ca="1">IFERROR(__xludf.DUMMYFUNCTION("""COMPUTED_VALUE"""),"GetDayEndCash")</f>
        <v>GetDayEndCash</v>
      </c>
      <c r="AG4" s="22" t="str">
        <f ca="1">IFERROR(__xludf.DUMMYFUNCTION("""COMPUTED_VALUE"""),"VerifyDayEndCash")</f>
        <v>VerifyDayEndCash</v>
      </c>
      <c r="AH4" s="22" t="str">
        <f ca="1">IFERROR(__xludf.DUMMYFUNCTION("""COMPUTED_VALUE"""),"RunRevaluation")</f>
        <v>RunRevaluation</v>
      </c>
      <c r="AI4" s="22" t="str">
        <f ca="1">IFERROR(__xludf.DUMMYFUNCTION("""COMPUTED_VALUE"""),"CalculateDayEndCash")</f>
        <v>CalculateDayEndCash</v>
      </c>
      <c r="AJ4" s="22" t="str">
        <f ca="1">IFERROR(__xludf.DUMMYFUNCTION("""COMPUTED_VALUE"""),"GetCashTransaction")</f>
        <v>GetCashTransaction</v>
      </c>
      <c r="AK4" s="22" t="str">
        <f ca="1">IFERROR(__xludf.DUMMYFUNCTION("""COMPUTED_VALUE"""),"SelectCashTransaction")</f>
        <v>SelectCashTransaction</v>
      </c>
      <c r="AL4" s="22" t="str">
        <f ca="1">IFERROR(__xludf.DUMMYFUNCTION("""COMPUTED_VALUE"""),"DeleteCashTransaction")</f>
        <v>DeleteCashTransaction</v>
      </c>
      <c r="AM4" s="22" t="str">
        <f ca="1">IFERROR(__xludf.DUMMYFUNCTION("""COMPUTED_VALUE"""),"EditCashTransaction")</f>
        <v>EditCashTransaction</v>
      </c>
      <c r="AN4" s="22" t="str">
        <f ca="1">IFERROR(__xludf.DUMMYFUNCTION("""COMPUTED_VALUE"""),"AddCashTransaction")</f>
        <v>AddCashTransaction</v>
      </c>
      <c r="AO4" s="22" t="str">
        <f ca="1">IFERROR(__xludf.DUMMYFUNCTION("""COMPUTED_VALUE"""),"AddOpeningBalanceTransaction")</f>
        <v>AddOpeningBalanceTransaction</v>
      </c>
      <c r="AP4" s="22" t="str">
        <f ca="1">IFERROR(__xludf.DUMMYFUNCTION("""COMPUTED_VALUE"""),"AddOpeningBalanceTranItem")</f>
        <v>AddOpeningBalanceTranItem</v>
      </c>
      <c r="AQ4" s="22" t="str">
        <f ca="1">IFERROR(__xludf.DUMMYFUNCTION("""COMPUTED_VALUE"""),"GetDailyCalculationsData")</f>
        <v>GetDailyCalculationsData</v>
      </c>
      <c r="AR4" s="22" t="str">
        <f ca="1">IFERROR(__xludf.DUMMYFUNCTION("""COMPUTED_VALUE"""),"CalculateDailyCalculations")</f>
        <v>CalculateDailyCalculations</v>
      </c>
      <c r="AS4" s="22" t="str">
        <f ca="1">IFERROR(__xludf.DUMMYFUNCTION("""COMPUTED_VALUE"""),"EditOpeningBalanceTransaction")</f>
        <v>EditOpeningBalanceTransaction</v>
      </c>
      <c r="AT4" s="22" t="str">
        <f ca="1">IFERROR(__xludf.DUMMYFUNCTION("""COMPUTED_VALUE"""),"EditOpeningBalanceTranItem")</f>
        <v>EditOpeningBalanceTranItem</v>
      </c>
      <c r="AU4" s="22" t="str">
        <f ca="1">IFERROR(__xludf.DUMMYFUNCTION("""COMPUTED_VALUE"""),"VerifyDailyCalTransactions")</f>
        <v>VerifyDailyCalTransactions</v>
      </c>
      <c r="AV4" s="22" t="str">
        <f ca="1">IFERROR(__xludf.DUMMYFUNCTION("""COMPUTED_VALUE"""),"CloseGeneralLedger")</f>
        <v>CloseGeneralLedger</v>
      </c>
      <c r="AW4" s="22" t="str">
        <f ca="1">IFERROR(__xludf.DUMMYFUNCTION("""COMPUTED_VALUE"""),"VerifyAccountDetails")</f>
        <v>VerifyAccountDetails</v>
      </c>
      <c r="AX4" s="22" t="str">
        <f ca="1">IFERROR(__xludf.DUMMYFUNCTION("""COMPUTED_VALUE"""),"SaveTransaction")</f>
        <v>SaveTransaction</v>
      </c>
      <c r="AY4" s="22" t="str">
        <f ca="1">IFERROR(__xludf.DUMMYFUNCTION("""COMPUTED_VALUE"""),"")</f>
        <v/>
      </c>
      <c r="AZ4" s="22" t="str">
        <f ca="1">IFERROR(__xludf.DUMMYFUNCTION("""COMPUTED_VALUE"""),"")</f>
        <v/>
      </c>
      <c r="BA4" s="22" t="str">
        <f ca="1">IFERROR(__xludf.DUMMYFUNCTION("""COMPUTED_VALUE"""),"")</f>
        <v/>
      </c>
      <c r="BB4" s="22" t="str">
        <f ca="1">IFERROR(__xludf.DUMMYFUNCTION("""COMPUTED_VALUE"""),"")</f>
        <v/>
      </c>
      <c r="BC4" s="22" t="str">
        <f ca="1">IFERROR(__xludf.DUMMYFUNCTION("""COMPUTED_VALUE"""),"")</f>
        <v/>
      </c>
      <c r="BD4" s="22" t="str">
        <f ca="1">IFERROR(__xludf.DUMMYFUNCTION("""COMPUTED_VALUE"""),"")</f>
        <v/>
      </c>
      <c r="BE4" s="22" t="str">
        <f ca="1">IFERROR(__xludf.DUMMYFUNCTION("""COMPUTED_VALUE"""),"")</f>
        <v/>
      </c>
      <c r="BF4" s="22" t="str">
        <f ca="1">IFERROR(__xludf.DUMMYFUNCTION("""COMPUTED_VALUE"""),"")</f>
        <v/>
      </c>
      <c r="BG4" s="22" t="str">
        <f ca="1">IFERROR(__xludf.DUMMYFUNCTION("""COMPUTED_VALUE"""),"")</f>
        <v/>
      </c>
      <c r="BH4" s="22" t="str">
        <f ca="1">IFERROR(__xludf.DUMMYFUNCTION("""COMPUTED_VALUE"""),"")</f>
        <v/>
      </c>
      <c r="BI4" s="22" t="str">
        <f ca="1">IFERROR(__xludf.DUMMYFUNCTION("""COMPUTED_VALUE"""),"")</f>
        <v/>
      </c>
      <c r="BJ4" s="22" t="str">
        <f ca="1">IFERROR(__xludf.DUMMYFUNCTION("""COMPUTED_VALUE"""),"")</f>
        <v/>
      </c>
      <c r="BK4" s="22" t="str">
        <f ca="1">IFERROR(__xludf.DUMMYFUNCTION("""COMPUTED_VALUE"""),"")</f>
        <v/>
      </c>
      <c r="BL4" s="22" t="str">
        <f ca="1">IFERROR(__xludf.DUMMYFUNCTION("""COMPUTED_VALUE"""),"")</f>
        <v/>
      </c>
      <c r="BM4" s="22" t="str">
        <f ca="1">IFERROR(__xludf.DUMMYFUNCTION("""COMPUTED_VALUE"""),"")</f>
        <v/>
      </c>
      <c r="BN4" s="22" t="str">
        <f ca="1">IFERROR(__xludf.DUMMYFUNCTION("""COMPUTED_VALUE"""),"")</f>
        <v/>
      </c>
      <c r="BO4" s="22" t="str">
        <f ca="1">IFERROR(__xludf.DUMMYFUNCTION("""COMPUTED_VALUE"""),"")</f>
        <v/>
      </c>
      <c r="BP4" s="22" t="str">
        <f ca="1">IFERROR(__xludf.DUMMYFUNCTION("""COMPUTED_VALUE"""),"")</f>
        <v/>
      </c>
      <c r="BQ4" s="22" t="str">
        <f ca="1">IFERROR(__xludf.DUMMYFUNCTION("""COMPUTED_VALUE"""),"")</f>
        <v/>
      </c>
      <c r="BR4" s="22" t="str">
        <f ca="1">IFERROR(__xludf.DUMMYFUNCTION("""COMPUTED_VALUE"""),"")</f>
        <v/>
      </c>
      <c r="BS4" s="22" t="str">
        <f ca="1">IFERROR(__xludf.DUMMYFUNCTION("""COMPUTED_VALUE"""),"")</f>
        <v/>
      </c>
      <c r="BT4" s="22" t="str">
        <f ca="1">IFERROR(__xludf.DUMMYFUNCTION("""COMPUTED_VALUE"""),"")</f>
        <v/>
      </c>
      <c r="BU4" s="22" t="str">
        <f ca="1">IFERROR(__xludf.DUMMYFUNCTION("""COMPUTED_VALUE"""),"")</f>
        <v/>
      </c>
      <c r="BV4" s="22" t="str">
        <f ca="1">IFERROR(__xludf.DUMMYFUNCTION("""COMPUTED_VALUE"""),"")</f>
        <v/>
      </c>
      <c r="BW4" s="22" t="str">
        <f ca="1">IFERROR(__xludf.DUMMYFUNCTION("""COMPUTED_VALUE"""),"")</f>
        <v/>
      </c>
      <c r="BX4" s="22" t="str">
        <f ca="1">IFERROR(__xludf.DUMMYFUNCTION("""COMPUTED_VALUE"""),"")</f>
        <v/>
      </c>
      <c r="BY4" s="22" t="str">
        <f ca="1">IFERROR(__xludf.DUMMYFUNCTION("""COMPUTED_VALUE"""),"")</f>
        <v/>
      </c>
      <c r="BZ4" s="22" t="str">
        <f ca="1">IFERROR(__xludf.DUMMYFUNCTION("""COMPUTED_VALUE"""),"")</f>
        <v/>
      </c>
      <c r="CA4" s="22" t="str">
        <f ca="1">IFERROR(__xludf.DUMMYFUNCTION("""COMPUTED_VALUE"""),"")</f>
        <v/>
      </c>
      <c r="CB4" s="22" t="str">
        <f ca="1">IFERROR(__xludf.DUMMYFUNCTION("""COMPUTED_VALUE"""),"")</f>
        <v/>
      </c>
      <c r="CC4" s="22" t="str">
        <f ca="1">IFERROR(__xludf.DUMMYFUNCTION("""COMPUTED_VALUE"""),"")</f>
        <v/>
      </c>
      <c r="CD4" s="22" t="str">
        <f ca="1">IFERROR(__xludf.DUMMYFUNCTION("""COMPUTED_VALUE"""),"")</f>
        <v/>
      </c>
      <c r="CE4" s="22" t="str">
        <f ca="1">IFERROR(__xludf.DUMMYFUNCTION("""COMPUTED_VALUE"""),"")</f>
        <v/>
      </c>
      <c r="CF4" s="22" t="str">
        <f ca="1">IFERROR(__xludf.DUMMYFUNCTION("""COMPUTED_VALUE"""),"")</f>
        <v/>
      </c>
      <c r="CG4" s="22" t="str">
        <f ca="1">IFERROR(__xludf.DUMMYFUNCTION("""COMPUTED_VALUE"""),"")</f>
        <v/>
      </c>
      <c r="CH4" s="22" t="str">
        <f ca="1">IFERROR(__xludf.DUMMYFUNCTION("""COMPUTED_VALUE"""),"")</f>
        <v/>
      </c>
      <c r="CI4" s="22" t="str">
        <f ca="1">IFERROR(__xludf.DUMMYFUNCTION("""COMPUTED_VALUE"""),"")</f>
        <v/>
      </c>
      <c r="CJ4" s="22" t="str">
        <f ca="1">IFERROR(__xludf.DUMMYFUNCTION("""COMPUTED_VALUE"""),"")</f>
        <v/>
      </c>
      <c r="CK4" s="22" t="str">
        <f ca="1">IFERROR(__xludf.DUMMYFUNCTION("""COMPUTED_VALUE"""),"")</f>
        <v/>
      </c>
      <c r="CL4" s="22" t="str">
        <f ca="1">IFERROR(__xludf.DUMMYFUNCTION("""COMPUTED_VALUE"""),"")</f>
        <v/>
      </c>
      <c r="CM4" s="22" t="str">
        <f ca="1">IFERROR(__xludf.DUMMYFUNCTION("""COMPUTED_VALUE"""),"")</f>
        <v/>
      </c>
      <c r="CN4" s="22" t="str">
        <f ca="1">IFERROR(__xludf.DUMMYFUNCTION("""COMPUTED_VALUE"""),"")</f>
        <v/>
      </c>
      <c r="CO4" s="22" t="str">
        <f ca="1">IFERROR(__xludf.DUMMYFUNCTION("""COMPUTED_VALUE"""),"")</f>
        <v/>
      </c>
      <c r="CP4" s="22" t="str">
        <f ca="1">IFERROR(__xludf.DUMMYFUNCTION("""COMPUTED_VALUE"""),"")</f>
        <v/>
      </c>
      <c r="CQ4" s="22" t="str">
        <f ca="1">IFERROR(__xludf.DUMMYFUNCTION("""COMPUTED_VALUE"""),"")</f>
        <v/>
      </c>
      <c r="CR4" s="22" t="str">
        <f ca="1">IFERROR(__xludf.DUMMYFUNCTION("""COMPUTED_VALUE"""),"")</f>
        <v/>
      </c>
      <c r="CS4" s="22" t="str">
        <f ca="1">IFERROR(__xludf.DUMMYFUNCTION("""COMPUTED_VALUE"""),"")</f>
        <v/>
      </c>
      <c r="CT4" s="22" t="str">
        <f ca="1">IFERROR(__xludf.DUMMYFUNCTION("""COMPUTED_VALUE"""),"")</f>
        <v/>
      </c>
      <c r="CU4" s="22" t="str">
        <f ca="1">IFERROR(__xludf.DUMMYFUNCTION("""COMPUTED_VALUE"""),"")</f>
        <v/>
      </c>
      <c r="CV4" s="22" t="str">
        <f ca="1">IFERROR(__xludf.DUMMYFUNCTION("""COMPUTED_VALUE"""),"")</f>
        <v/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  <c r="EX4" s="22" t="str">
        <f ca="1">IFERROR(__xludf.DUMMYFUNCTION("""COMPUTED_VALUE"""),"")</f>
        <v/>
      </c>
    </row>
    <row r="5" spans="1:154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IFERROR(__xludf.DUMMYFUNCTION("""COMPUTED_VALUE"""),"MasterFund")</f>
        <v>MasterFund</v>
      </c>
      <c r="C5" s="24" t="str">
        <f ca="1">IFERROR(__xludf.DUMMYFUNCTION("""COMPUTED_VALUE"""),"Accounts")</f>
        <v>Accounts</v>
      </c>
      <c r="D5" s="24" t="str">
        <f ca="1">IFERROR(__xludf.DUMMYFUNCTION("""COMPUTED_VALUE"""),"From")</f>
        <v>From</v>
      </c>
      <c r="E5" s="24" t="str">
        <f ca="1">IFERROR(__xludf.DUMMYFUNCTION("""COMPUTED_VALUE"""),"To")</f>
        <v>To</v>
      </c>
      <c r="F5" s="29" t="str">
        <f ca="1">IFERROR(__xludf.DUMMYFUNCTION("""COMPUTED_VALUE"""),"SettlementDate")</f>
        <v>SettlementDate</v>
      </c>
      <c r="G5" s="24" t="str">
        <f ca="1">IFERROR(__xludf.DUMMYFUNCTION("""COMPUTED_VALUE"""),"TradeDate")</f>
        <v>TradeDate</v>
      </c>
      <c r="H5" s="24" t="str">
        <f ca="1">IFERROR(__xludf.DUMMYFUNCTION("""COMPUTED_VALUE"""),"All")</f>
        <v>All</v>
      </c>
      <c r="I5" s="24" t="str">
        <f ca="1">IFERROR(__xludf.DUMMYFUNCTION("""COMPUTED_VALUE"""),"")</f>
        <v/>
      </c>
      <c r="J5" s="24" t="str">
        <f ca="1">IFERROR(__xludf.DUMMYFUNCTION("""COMPUTED_VALUE"""),"")</f>
        <v/>
      </c>
      <c r="K5" s="24" t="str">
        <f ca="1">IFERROR(__xludf.DUMMYFUNCTION("""COMPUTED_VALUE"""),"")</f>
        <v/>
      </c>
      <c r="L5" s="24" t="str">
        <f ca="1">IFERROR(__xludf.DUMMYFUNCTION("""COMPUTED_VALUE"""),"")</f>
        <v/>
      </c>
      <c r="M5" s="24" t="str">
        <f ca="1">IFERROR(__xludf.DUMMYFUNCTION("""COMPUTED_VALUE"""),"")</f>
        <v/>
      </c>
      <c r="N5" s="24" t="str">
        <f ca="1">IFERROR(__xludf.DUMMYFUNCTION("""COMPUTED_VALUE"""),"")</f>
        <v/>
      </c>
      <c r="O5" s="24" t="str">
        <f ca="1">IFERROR(__xludf.DUMMYFUNCTION("""COMPUTED_VALUE"""),"")</f>
        <v/>
      </c>
      <c r="P5" s="24" t="str">
        <f ca="1">IFERROR(__xludf.DUMMYFUNCTION("""COMPUTED_VALUE"""),"")</f>
        <v/>
      </c>
      <c r="Q5" s="24" t="str">
        <f ca="1">IFERROR(__xludf.DUMMYFUNCTION("""COMPUTED_VALUE"""),"")</f>
        <v/>
      </c>
      <c r="R5" s="24" t="str">
        <f ca="1">IFERROR(__xludf.DUMMYFUNCTION("""COMPUTED_VALUE"""),"")</f>
        <v/>
      </c>
      <c r="S5" s="24" t="str">
        <f ca="1">IFERROR(__xludf.DUMMYFUNCTION("""COMPUTED_VALUE"""),"")</f>
        <v/>
      </c>
      <c r="T5" s="25" t="str">
        <f ca="1">IFERROR(__xludf.DUMMYFUNCTION("""COMPUTED_VALUE"""),"")</f>
        <v/>
      </c>
      <c r="U5" s="25" t="str">
        <f ca="1">IFERROR(__xludf.DUMMYFUNCTION("""COMPUTED_VALUE"""),"")</f>
        <v/>
      </c>
      <c r="V5" s="25" t="str">
        <f ca="1">IFERROR(__xludf.DUMMYFUNCTION("""COMPUTED_VALUE"""),"")</f>
        <v/>
      </c>
      <c r="W5" s="25" t="str">
        <f ca="1">IFERROR(__xludf.DUMMYFUNCTION("""COMPUTED_VALUE"""),"")</f>
        <v/>
      </c>
      <c r="X5" s="25" t="str">
        <f ca="1">IFERROR(__xludf.DUMMYFUNCTION("""COMPUTED_VALUE"""),"")</f>
        <v/>
      </c>
      <c r="Y5" s="25" t="str">
        <f ca="1">IFERROR(__xludf.DUMMYFUNCTION("""COMPUTED_VALUE"""),"")</f>
        <v/>
      </c>
      <c r="Z5" s="25" t="str">
        <f ca="1">IFERROR(__xludf.DUMMYFUNCTION("""COMPUTED_VALUE"""),"")</f>
        <v/>
      </c>
      <c r="AA5" s="25" t="str">
        <f ca="1">IFERROR(__xludf.DUMMYFUNCTION("""COMPUTED_VALUE"""),"")</f>
        <v/>
      </c>
      <c r="AB5" s="25" t="str">
        <f ca="1">IFERROR(__xludf.DUMMYFUNCTION("""COMPUTED_VALUE"""),"")</f>
        <v/>
      </c>
      <c r="AC5" s="25" t="str">
        <f ca="1">IFERROR(__xludf.DUMMYFUNCTION("""COMPUTED_VALUE"""),"")</f>
        <v/>
      </c>
      <c r="AD5" s="25" t="str">
        <f ca="1">IFERROR(__xludf.DUMMYFUNCTION("""COMPUTED_VALUE"""),"")</f>
        <v/>
      </c>
      <c r="AE5" s="25" t="str">
        <f ca="1">IFERROR(__xludf.DUMMYFUNCTION("""COMPUTED_VALUE"""),"")</f>
        <v/>
      </c>
      <c r="AF5" s="25" t="str">
        <f ca="1">IFERROR(__xludf.DUMMYFUNCTION("""COMPUTED_VALUE"""),"")</f>
        <v/>
      </c>
      <c r="AG5" s="25" t="str">
        <f ca="1">IFERROR(__xludf.DUMMYFUNCTION("""COMPUTED_VALUE"""),"")</f>
        <v/>
      </c>
      <c r="AH5" s="25" t="str">
        <f ca="1">IFERROR(__xludf.DUMMYFUNCTION("""COMPUTED_VALUE"""),"")</f>
        <v/>
      </c>
      <c r="AI5" s="25" t="str">
        <f ca="1">IFERROR(__xludf.DUMMYFUNCTION("""COMPUTED_VALUE"""),"")</f>
        <v/>
      </c>
      <c r="AJ5" s="25" t="str">
        <f ca="1">IFERROR(__xludf.DUMMYFUNCTION("""COMPUTED_VALUE"""),"")</f>
        <v/>
      </c>
      <c r="AK5" s="25" t="str">
        <f ca="1">IFERROR(__xludf.DUMMYFUNCTION("""COMPUTED_VALUE"""),"")</f>
        <v/>
      </c>
      <c r="AL5" s="25" t="str">
        <f ca="1">IFERROR(__xludf.DUMMYFUNCTION("""COMPUTED_VALUE"""),"")</f>
        <v/>
      </c>
      <c r="AM5" s="25" t="str">
        <f ca="1">IFERROR(__xludf.DUMMYFUNCTION("""COMPUTED_VALUE"""),"")</f>
        <v/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  <c r="EX5" s="25" t="str">
        <f ca="1">IFERROR(__xludf.DUMMYFUNCTION("""COMPUTED_VALUE"""),"")</f>
        <v/>
      </c>
    </row>
    <row r="6" spans="1:154" ht="15.75" customHeight="1">
      <c r="A6" s="31"/>
      <c r="B6" s="32" t="s">
        <v>51</v>
      </c>
      <c r="C6" s="33" t="s">
        <v>52</v>
      </c>
      <c r="D6" s="34">
        <f t="shared" ref="D6:E6" ca="1" si="0">TODAY()</f>
        <v>44412</v>
      </c>
      <c r="E6" s="34">
        <f t="shared" ca="1" si="0"/>
        <v>44412</v>
      </c>
      <c r="F6" s="35" t="s">
        <v>53</v>
      </c>
      <c r="G6" s="35" t="s">
        <v>54</v>
      </c>
      <c r="H6" s="35" t="s">
        <v>53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spans="1:154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4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4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3"/>
      <c r="B2" s="3"/>
      <c r="C2" s="3"/>
      <c r="D2" s="3"/>
      <c r="E2" s="3"/>
      <c r="F2" s="3"/>
      <c r="G2" s="3"/>
      <c r="H2" s="3"/>
      <c r="I2" s="3"/>
      <c r="J2" s="16" t="e">
        <f ca="1">VLOOKUP($E$3,_MasterData!B4:D1000,3,FALSE)</f>
        <v>#N/A</v>
      </c>
      <c r="K2" s="16"/>
      <c r="L2" s="3"/>
      <c r="M2" s="3"/>
      <c r="N2" s="3"/>
      <c r="O2" s="3"/>
    </row>
    <row r="3" spans="1:154" ht="15.75" customHeight="1">
      <c r="A3" s="17"/>
      <c r="B3" s="4" t="s">
        <v>3</v>
      </c>
      <c r="C3" s="18" t="s">
        <v>49</v>
      </c>
      <c r="D3" s="4" t="s">
        <v>7</v>
      </c>
      <c r="E3" s="18" t="s">
        <v>55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IFERROR(__xludf.DUMMYFUNCTION("IF(C3="""","""",Transpose(IMPORTRANGE('_Settings'!$B$3,C3&amp;""!A4:A1000"")))"),"GetDataCash")</f>
        <v>GetDataCash</v>
      </c>
      <c r="C4" s="21" t="str">
        <f ca="1">IFERROR(__xludf.DUMMYFUNCTION("""COMPUTED_VALUE"""),"EnterCashDividends")</f>
        <v>EnterCashDividends</v>
      </c>
      <c r="D4" s="21" t="str">
        <f ca="1">IFERROR(__xludf.DUMMYFUNCTION("""COMPUTED_VALUE"""),"EnterNonTradingTransaction")</f>
        <v>EnterNonTradingTransaction</v>
      </c>
      <c r="E4" s="21" t="str">
        <f ca="1">IFERROR(__xludf.DUMMYFUNCTION("""COMPUTED_VALUE"""),"VerifyCash")</f>
        <v>VerifyCash</v>
      </c>
      <c r="F4" s="21" t="str">
        <f ca="1">IFERROR(__xludf.DUMMYFUNCTION("""COMPUTED_VALUE"""),"VerifyActivity")</f>
        <v>VerifyActivity</v>
      </c>
      <c r="G4" s="21" t="str">
        <f ca="1">IFERROR(__xludf.DUMMYFUNCTION("""COMPUTED_VALUE"""),"VerifyTradingTransaction")</f>
        <v>VerifyTradingTransaction</v>
      </c>
      <c r="H4" s="21" t="str">
        <f ca="1">IFERROR(__xludf.DUMMYFUNCTION("""COMPUTED_VALUE"""),"VerifyRevaluationData")</f>
        <v>VerifyRevaluationData</v>
      </c>
      <c r="I4" s="21" t="str">
        <f ca="1">IFERROR(__xludf.DUMMYFUNCTION("""COMPUTED_VALUE"""),"GetTradingTransaction")</f>
        <v>GetTradingTransaction</v>
      </c>
      <c r="J4" s="21" t="str">
        <f ca="1">IFERROR(__xludf.DUMMYFUNCTION("""COMPUTED_VALUE"""),"GetActivityData")</f>
        <v>GetActivityData</v>
      </c>
      <c r="K4" s="21" t="str">
        <f ca="1">IFERROR(__xludf.DUMMYFUNCTION("""COMPUTED_VALUE"""),"GetRevaluationData")</f>
        <v>GetRevaluationData</v>
      </c>
      <c r="L4" s="21" t="str">
        <f ca="1">IFERROR(__xludf.DUMMYFUNCTION("""COMPUTED_VALUE"""),"GetAccountDetails")</f>
        <v>GetAccountDetails</v>
      </c>
      <c r="M4" s="21" t="str">
        <f ca="1">IFERROR(__xludf.DUMMYFUNCTION("""COMPUTED_VALUE"""),"GetNonTradingTransaction")</f>
        <v>GetNonTradingTransaction</v>
      </c>
      <c r="N4" s="21" t="str">
        <f ca="1">IFERROR(__xludf.DUMMYFUNCTION("""COMPUTED_VALUE"""),"GetDividendData")</f>
        <v>GetDividendData</v>
      </c>
      <c r="O4" s="21" t="str">
        <f ca="1">IFERROR(__xludf.DUMMYFUNCTION("""COMPUTED_VALUE"""),"VerifyNonTradingTransaction")</f>
        <v>VerifyNonTradingTransaction</v>
      </c>
      <c r="P4" s="22" t="str">
        <f ca="1">IFERROR(__xludf.DUMMYFUNCTION("""COMPUTED_VALUE"""),"VerifyDividend")</f>
        <v>VerifyDividend</v>
      </c>
      <c r="Q4" s="22" t="str">
        <f ca="1">IFERROR(__xludf.DUMMYFUNCTION("""COMPUTED_VALUE"""),"GetOpeningBalanceData")</f>
        <v>GetOpeningBalanceData</v>
      </c>
      <c r="R4" s="22" t="str">
        <f ca="1">IFERROR(__xludf.DUMMYFUNCTION("""COMPUTED_VALUE"""),"GetAccountBalance")</f>
        <v>GetAccountBalance</v>
      </c>
      <c r="S4" s="22" t="str">
        <f ca="1">IFERROR(__xludf.DUMMYFUNCTION("""COMPUTED_VALUE"""),"SelectNonTradingTransaction")</f>
        <v>SelectNonTradingTransaction</v>
      </c>
      <c r="T4" s="22" t="str">
        <f ca="1">IFERROR(__xludf.DUMMYFUNCTION("""COMPUTED_VALUE"""),"SelectNonTradingTranItem")</f>
        <v>SelectNonTradingTranItem</v>
      </c>
      <c r="U4" s="22" t="str">
        <f ca="1">IFERROR(__xludf.DUMMYFUNCTION("""COMPUTED_VALUE"""),"DeleteNonTradingTransaction")</f>
        <v>DeleteNonTradingTransaction</v>
      </c>
      <c r="V4" s="22" t="str">
        <f ca="1">IFERROR(__xludf.DUMMYFUNCTION("""COMPUTED_VALUE"""),"DeleteNonTradingTranItem")</f>
        <v>DeleteNonTradingTranItem</v>
      </c>
      <c r="W4" s="22" t="str">
        <f ca="1">IFERROR(__xludf.DUMMYFUNCTION("""COMPUTED_VALUE"""),"AddNonTradingTransaction")</f>
        <v>AddNonTradingTransaction</v>
      </c>
      <c r="X4" s="22" t="str">
        <f ca="1">IFERROR(__xludf.DUMMYFUNCTION("""COMPUTED_VALUE"""),"AddNonTradingTranItem")</f>
        <v>AddNonTradingTranItem</v>
      </c>
      <c r="Y4" s="22" t="str">
        <f ca="1">IFERROR(__xludf.DUMMYFUNCTION("""COMPUTED_VALUE"""),"VerifyOpeningBalanceData")</f>
        <v>VerifyOpeningBalanceData</v>
      </c>
      <c r="Z4" s="22" t="str">
        <f ca="1">IFERROR(__xludf.DUMMYFUNCTION("""COMPUTED_VALUE"""),"SelectOpeningBalanceTransaction")</f>
        <v>SelectOpeningBalanceTransaction</v>
      </c>
      <c r="AA4" s="22" t="str">
        <f ca="1">IFERROR(__xludf.DUMMYFUNCTION("""COMPUTED_VALUE"""),"SelectOpeningBalanceTranItem")</f>
        <v>SelectOpeningBalanceTranItem</v>
      </c>
      <c r="AB4" s="22" t="str">
        <f ca="1">IFERROR(__xludf.DUMMYFUNCTION("""COMPUTED_VALUE"""),"EditNonTradingTransaction")</f>
        <v>EditNonTradingTransaction</v>
      </c>
      <c r="AC4" s="22" t="str">
        <f ca="1">IFERROR(__xludf.DUMMYFUNCTION("""COMPUTED_VALUE"""),"EditNonTradingTranItem")</f>
        <v>EditNonTradingTranItem</v>
      </c>
      <c r="AD4" s="22" t="str">
        <f ca="1">IFERROR(__xludf.DUMMYFUNCTION("""COMPUTED_VALUE"""),"DeleteOpeningBalanceTransaction")</f>
        <v>DeleteOpeningBalanceTransaction</v>
      </c>
      <c r="AE4" s="22" t="str">
        <f ca="1">IFERROR(__xludf.DUMMYFUNCTION("""COMPUTED_VALUE"""),"DeleteOpeningBalanceTranItem")</f>
        <v>DeleteOpeningBalanceTranItem</v>
      </c>
      <c r="AF4" s="22" t="str">
        <f ca="1">IFERROR(__xludf.DUMMYFUNCTION("""COMPUTED_VALUE"""),"GetDayEndCash")</f>
        <v>GetDayEndCash</v>
      </c>
      <c r="AG4" s="22" t="str">
        <f ca="1">IFERROR(__xludf.DUMMYFUNCTION("""COMPUTED_VALUE"""),"VerifyDayEndCash")</f>
        <v>VerifyDayEndCash</v>
      </c>
      <c r="AH4" s="22" t="str">
        <f ca="1">IFERROR(__xludf.DUMMYFUNCTION("""COMPUTED_VALUE"""),"RunRevaluation")</f>
        <v>RunRevaluation</v>
      </c>
      <c r="AI4" s="22" t="str">
        <f ca="1">IFERROR(__xludf.DUMMYFUNCTION("""COMPUTED_VALUE"""),"CalculateDayEndCash")</f>
        <v>CalculateDayEndCash</v>
      </c>
      <c r="AJ4" s="22" t="str">
        <f ca="1">IFERROR(__xludf.DUMMYFUNCTION("""COMPUTED_VALUE"""),"GetCashTransaction")</f>
        <v>GetCashTransaction</v>
      </c>
      <c r="AK4" s="22" t="str">
        <f ca="1">IFERROR(__xludf.DUMMYFUNCTION("""COMPUTED_VALUE"""),"SelectCashTransaction")</f>
        <v>SelectCashTransaction</v>
      </c>
      <c r="AL4" s="22" t="str">
        <f ca="1">IFERROR(__xludf.DUMMYFUNCTION("""COMPUTED_VALUE"""),"DeleteCashTransaction")</f>
        <v>DeleteCashTransaction</v>
      </c>
      <c r="AM4" s="22" t="str">
        <f ca="1">IFERROR(__xludf.DUMMYFUNCTION("""COMPUTED_VALUE"""),"EditCashTransaction")</f>
        <v>EditCashTransaction</v>
      </c>
      <c r="AN4" s="22" t="str">
        <f ca="1">IFERROR(__xludf.DUMMYFUNCTION("""COMPUTED_VALUE"""),"AddCashTransaction")</f>
        <v>AddCashTransaction</v>
      </c>
      <c r="AO4" s="22" t="str">
        <f ca="1">IFERROR(__xludf.DUMMYFUNCTION("""COMPUTED_VALUE"""),"AddOpeningBalanceTransaction")</f>
        <v>AddOpeningBalanceTransaction</v>
      </c>
      <c r="AP4" s="22" t="str">
        <f ca="1">IFERROR(__xludf.DUMMYFUNCTION("""COMPUTED_VALUE"""),"AddOpeningBalanceTranItem")</f>
        <v>AddOpeningBalanceTranItem</v>
      </c>
      <c r="AQ4" s="22" t="str">
        <f ca="1">IFERROR(__xludf.DUMMYFUNCTION("""COMPUTED_VALUE"""),"GetDailyCalculationsData")</f>
        <v>GetDailyCalculationsData</v>
      </c>
      <c r="AR4" s="22" t="str">
        <f ca="1">IFERROR(__xludf.DUMMYFUNCTION("""COMPUTED_VALUE"""),"CalculateDailyCalculations")</f>
        <v>CalculateDailyCalculations</v>
      </c>
      <c r="AS4" s="22" t="str">
        <f ca="1">IFERROR(__xludf.DUMMYFUNCTION("""COMPUTED_VALUE"""),"EditOpeningBalanceTransaction")</f>
        <v>EditOpeningBalanceTransaction</v>
      </c>
      <c r="AT4" s="22" t="str">
        <f ca="1">IFERROR(__xludf.DUMMYFUNCTION("""COMPUTED_VALUE"""),"EditOpeningBalanceTranItem")</f>
        <v>EditOpeningBalanceTranItem</v>
      </c>
      <c r="AU4" s="22" t="str">
        <f ca="1">IFERROR(__xludf.DUMMYFUNCTION("""COMPUTED_VALUE"""),"VerifyDailyCalTransactions")</f>
        <v>VerifyDailyCalTransactions</v>
      </c>
      <c r="AV4" s="22" t="str">
        <f ca="1">IFERROR(__xludf.DUMMYFUNCTION("""COMPUTED_VALUE"""),"CloseGeneralLedger")</f>
        <v>CloseGeneralLedger</v>
      </c>
      <c r="AW4" s="22" t="str">
        <f ca="1">IFERROR(__xludf.DUMMYFUNCTION("""COMPUTED_VALUE"""),"VerifyAccountDetails")</f>
        <v>VerifyAccountDetails</v>
      </c>
      <c r="AX4" s="22" t="str">
        <f ca="1">IFERROR(__xludf.DUMMYFUNCTION("""COMPUTED_VALUE"""),"SaveTransaction")</f>
        <v>SaveTransaction</v>
      </c>
      <c r="AY4" s="22" t="str">
        <f ca="1">IFERROR(__xludf.DUMMYFUNCTION("""COMPUTED_VALUE"""),"")</f>
        <v/>
      </c>
      <c r="AZ4" s="22" t="str">
        <f ca="1">IFERROR(__xludf.DUMMYFUNCTION("""COMPUTED_VALUE"""),"")</f>
        <v/>
      </c>
      <c r="BA4" s="22" t="str">
        <f ca="1">IFERROR(__xludf.DUMMYFUNCTION("""COMPUTED_VALUE"""),"")</f>
        <v/>
      </c>
      <c r="BB4" s="22" t="str">
        <f ca="1">IFERROR(__xludf.DUMMYFUNCTION("""COMPUTED_VALUE"""),"")</f>
        <v/>
      </c>
      <c r="BC4" s="22" t="str">
        <f ca="1">IFERROR(__xludf.DUMMYFUNCTION("""COMPUTED_VALUE"""),"")</f>
        <v/>
      </c>
      <c r="BD4" s="22" t="str">
        <f ca="1">IFERROR(__xludf.DUMMYFUNCTION("""COMPUTED_VALUE"""),"")</f>
        <v/>
      </c>
      <c r="BE4" s="22" t="str">
        <f ca="1">IFERROR(__xludf.DUMMYFUNCTION("""COMPUTED_VALUE"""),"")</f>
        <v/>
      </c>
      <c r="BF4" s="22" t="str">
        <f ca="1">IFERROR(__xludf.DUMMYFUNCTION("""COMPUTED_VALUE"""),"")</f>
        <v/>
      </c>
      <c r="BG4" s="22" t="str">
        <f ca="1">IFERROR(__xludf.DUMMYFUNCTION("""COMPUTED_VALUE"""),"")</f>
        <v/>
      </c>
      <c r="BH4" s="22" t="str">
        <f ca="1">IFERROR(__xludf.DUMMYFUNCTION("""COMPUTED_VALUE"""),"")</f>
        <v/>
      </c>
      <c r="BI4" s="22" t="str">
        <f ca="1">IFERROR(__xludf.DUMMYFUNCTION("""COMPUTED_VALUE"""),"")</f>
        <v/>
      </c>
      <c r="BJ4" s="22" t="str">
        <f ca="1">IFERROR(__xludf.DUMMYFUNCTION("""COMPUTED_VALUE"""),"")</f>
        <v/>
      </c>
      <c r="BK4" s="22" t="str">
        <f ca="1">IFERROR(__xludf.DUMMYFUNCTION("""COMPUTED_VALUE"""),"")</f>
        <v/>
      </c>
      <c r="BL4" s="22" t="str">
        <f ca="1">IFERROR(__xludf.DUMMYFUNCTION("""COMPUTED_VALUE"""),"")</f>
        <v/>
      </c>
      <c r="BM4" s="22" t="str">
        <f ca="1">IFERROR(__xludf.DUMMYFUNCTION("""COMPUTED_VALUE"""),"")</f>
        <v/>
      </c>
      <c r="BN4" s="22" t="str">
        <f ca="1">IFERROR(__xludf.DUMMYFUNCTION("""COMPUTED_VALUE"""),"")</f>
        <v/>
      </c>
      <c r="BO4" s="22" t="str">
        <f ca="1">IFERROR(__xludf.DUMMYFUNCTION("""COMPUTED_VALUE"""),"")</f>
        <v/>
      </c>
      <c r="BP4" s="22" t="str">
        <f ca="1">IFERROR(__xludf.DUMMYFUNCTION("""COMPUTED_VALUE"""),"")</f>
        <v/>
      </c>
      <c r="BQ4" s="22" t="str">
        <f ca="1">IFERROR(__xludf.DUMMYFUNCTION("""COMPUTED_VALUE"""),"")</f>
        <v/>
      </c>
      <c r="BR4" s="22" t="str">
        <f ca="1">IFERROR(__xludf.DUMMYFUNCTION("""COMPUTED_VALUE"""),"")</f>
        <v/>
      </c>
      <c r="BS4" s="22" t="str">
        <f ca="1">IFERROR(__xludf.DUMMYFUNCTION("""COMPUTED_VALUE"""),"")</f>
        <v/>
      </c>
      <c r="BT4" s="22" t="str">
        <f ca="1">IFERROR(__xludf.DUMMYFUNCTION("""COMPUTED_VALUE"""),"")</f>
        <v/>
      </c>
      <c r="BU4" s="22" t="str">
        <f ca="1">IFERROR(__xludf.DUMMYFUNCTION("""COMPUTED_VALUE"""),"")</f>
        <v/>
      </c>
      <c r="BV4" s="22" t="str">
        <f ca="1">IFERROR(__xludf.DUMMYFUNCTION("""COMPUTED_VALUE"""),"")</f>
        <v/>
      </c>
      <c r="BW4" s="22" t="str">
        <f ca="1">IFERROR(__xludf.DUMMYFUNCTION("""COMPUTED_VALUE"""),"")</f>
        <v/>
      </c>
      <c r="BX4" s="22" t="str">
        <f ca="1">IFERROR(__xludf.DUMMYFUNCTION("""COMPUTED_VALUE"""),"")</f>
        <v/>
      </c>
      <c r="BY4" s="22" t="str">
        <f ca="1">IFERROR(__xludf.DUMMYFUNCTION("""COMPUTED_VALUE"""),"")</f>
        <v/>
      </c>
      <c r="BZ4" s="22" t="str">
        <f ca="1">IFERROR(__xludf.DUMMYFUNCTION("""COMPUTED_VALUE"""),"")</f>
        <v/>
      </c>
      <c r="CA4" s="22" t="str">
        <f ca="1">IFERROR(__xludf.DUMMYFUNCTION("""COMPUTED_VALUE"""),"")</f>
        <v/>
      </c>
      <c r="CB4" s="22" t="str">
        <f ca="1">IFERROR(__xludf.DUMMYFUNCTION("""COMPUTED_VALUE"""),"")</f>
        <v/>
      </c>
      <c r="CC4" s="22" t="str">
        <f ca="1">IFERROR(__xludf.DUMMYFUNCTION("""COMPUTED_VALUE"""),"")</f>
        <v/>
      </c>
      <c r="CD4" s="22" t="str">
        <f ca="1">IFERROR(__xludf.DUMMYFUNCTION("""COMPUTED_VALUE"""),"")</f>
        <v/>
      </c>
      <c r="CE4" s="22" t="str">
        <f ca="1">IFERROR(__xludf.DUMMYFUNCTION("""COMPUTED_VALUE"""),"")</f>
        <v/>
      </c>
      <c r="CF4" s="22" t="str">
        <f ca="1">IFERROR(__xludf.DUMMYFUNCTION("""COMPUTED_VALUE"""),"")</f>
        <v/>
      </c>
      <c r="CG4" s="22" t="str">
        <f ca="1">IFERROR(__xludf.DUMMYFUNCTION("""COMPUTED_VALUE"""),"")</f>
        <v/>
      </c>
      <c r="CH4" s="22" t="str">
        <f ca="1">IFERROR(__xludf.DUMMYFUNCTION("""COMPUTED_VALUE"""),"")</f>
        <v/>
      </c>
      <c r="CI4" s="22" t="str">
        <f ca="1">IFERROR(__xludf.DUMMYFUNCTION("""COMPUTED_VALUE"""),"")</f>
        <v/>
      </c>
      <c r="CJ4" s="22" t="str">
        <f ca="1">IFERROR(__xludf.DUMMYFUNCTION("""COMPUTED_VALUE"""),"")</f>
        <v/>
      </c>
      <c r="CK4" s="22" t="str">
        <f ca="1">IFERROR(__xludf.DUMMYFUNCTION("""COMPUTED_VALUE"""),"")</f>
        <v/>
      </c>
      <c r="CL4" s="22" t="str">
        <f ca="1">IFERROR(__xludf.DUMMYFUNCTION("""COMPUTED_VALUE"""),"")</f>
        <v/>
      </c>
      <c r="CM4" s="22" t="str">
        <f ca="1">IFERROR(__xludf.DUMMYFUNCTION("""COMPUTED_VALUE"""),"")</f>
        <v/>
      </c>
      <c r="CN4" s="22" t="str">
        <f ca="1">IFERROR(__xludf.DUMMYFUNCTION("""COMPUTED_VALUE"""),"")</f>
        <v/>
      </c>
      <c r="CO4" s="22" t="str">
        <f ca="1">IFERROR(__xludf.DUMMYFUNCTION("""COMPUTED_VALUE"""),"")</f>
        <v/>
      </c>
      <c r="CP4" s="22" t="str">
        <f ca="1">IFERROR(__xludf.DUMMYFUNCTION("""COMPUTED_VALUE"""),"")</f>
        <v/>
      </c>
      <c r="CQ4" s="22" t="str">
        <f ca="1">IFERROR(__xludf.DUMMYFUNCTION("""COMPUTED_VALUE"""),"")</f>
        <v/>
      </c>
      <c r="CR4" s="22" t="str">
        <f ca="1">IFERROR(__xludf.DUMMYFUNCTION("""COMPUTED_VALUE"""),"")</f>
        <v/>
      </c>
      <c r="CS4" s="22" t="str">
        <f ca="1">IFERROR(__xludf.DUMMYFUNCTION("""COMPUTED_VALUE"""),"")</f>
        <v/>
      </c>
      <c r="CT4" s="22" t="str">
        <f ca="1">IFERROR(__xludf.DUMMYFUNCTION("""COMPUTED_VALUE"""),"")</f>
        <v/>
      </c>
      <c r="CU4" s="22" t="str">
        <f ca="1">IFERROR(__xludf.DUMMYFUNCTION("""COMPUTED_VALUE"""),"")</f>
        <v/>
      </c>
      <c r="CV4" s="22" t="str">
        <f ca="1">IFERROR(__xludf.DUMMYFUNCTION("""COMPUTED_VALUE"""),"")</f>
        <v/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  <c r="EX4" s="22" t="str">
        <f ca="1">IFERROR(__xludf.DUMMYFUNCTION("""COMPUTED_VALUE"""),"")</f>
        <v/>
      </c>
    </row>
    <row r="5" spans="1:154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IFERROR(__xludf.DUMMYFUNCTION("""COMPUTED_VALUE"""),"Account")</f>
        <v>Account</v>
      </c>
      <c r="C5" s="24" t="str">
        <f ca="1">IFERROR(__xludf.DUMMYFUNCTION("""COMPUTED_VALUE"""),"Activity Source")</f>
        <v>Activity Source</v>
      </c>
      <c r="D5" s="24" t="str">
        <f ca="1">IFERROR(__xludf.DUMMYFUNCTION("""COMPUTED_VALUE"""),"ActivityType")</f>
        <v>ActivityType</v>
      </c>
      <c r="E5" s="24" t="str">
        <f ca="1">IFERROR(__xludf.DUMMYFUNCTION("""COMPUTED_VALUE"""),"Net Amount(Local)")</f>
        <v>Net Amount(Local)</v>
      </c>
      <c r="F5" s="29" t="str">
        <f ca="1">IFERROR(__xludf.DUMMYFUNCTION("""COMPUTED_VALUE"""),"AUEC Fee1")</f>
        <v>AUEC Fee1</v>
      </c>
      <c r="G5" s="24" t="str">
        <f ca="1">IFERROR(__xludf.DUMMYFUNCTION("""COMPUTED_VALUE"""),"AUEC Fee2")</f>
        <v>AUEC Fee2</v>
      </c>
      <c r="H5" s="24" t="str">
        <f ca="1">IFERROR(__xludf.DUMMYFUNCTION("""COMPUTED_VALUE"""),"Balance Type")</f>
        <v>Balance Type</v>
      </c>
      <c r="I5" s="24" t="str">
        <f ca="1">IFERROR(__xludf.DUMMYFUNCTION("""COMPUTED_VALUE"""),"Clearing Broker Fees")</f>
        <v>Clearing Broker Fees</v>
      </c>
      <c r="J5" s="24" t="str">
        <f ca="1">IFERROR(__xludf.DUMMYFUNCTION("""COMPUTED_VALUE"""),"Commission")</f>
        <v>Commission</v>
      </c>
      <c r="K5" s="24" t="str">
        <f ca="1">IFERROR(__xludf.DUMMYFUNCTION("""COMPUTED_VALUE"""),"Currency")</f>
        <v>Currency</v>
      </c>
      <c r="L5" s="24" t="str">
        <f ca="1">IFERROR(__xludf.DUMMYFUNCTION("""COMPUTED_VALUE"""),"Description")</f>
        <v>Description</v>
      </c>
      <c r="M5" s="24" t="str">
        <f ca="1">IFERROR(__xludf.DUMMYFUNCTION("""COMPUTED_VALUE"""),"Entry Date")</f>
        <v>Entry Date</v>
      </c>
      <c r="N5" s="24" t="str">
        <f ca="1">IFERROR(__xludf.DUMMYFUNCTION("""COMPUTED_VALUE"""),"FX Conversion Method Operator")</f>
        <v>FX Conversion Method Operator</v>
      </c>
      <c r="O5" s="24" t="str">
        <f ca="1">IFERROR(__xludf.DUMMYFUNCTION("""COMPUTED_VALUE"""),"Fx Rate")</f>
        <v>Fx Rate</v>
      </c>
      <c r="P5" s="24" t="str">
        <f ca="1">IFERROR(__xludf.DUMMYFUNCTION("""COMPUTED_VALUE"""),"Lead Currency")</f>
        <v>Lead Currency</v>
      </c>
      <c r="Q5" s="24" t="str">
        <f ca="1">IFERROR(__xludf.DUMMYFUNCTION("""COMPUTED_VALUE"""),"Modify date")</f>
        <v>Modify date</v>
      </c>
      <c r="R5" s="24" t="str">
        <f ca="1">IFERROR(__xludf.DUMMYFUNCTION("""COMPUTED_VALUE"""),"OCC Fee")</f>
        <v>OCC Fee</v>
      </c>
      <c r="S5" s="24" t="str">
        <f ca="1">IFERROR(__xludf.DUMMYFUNCTION("""COMPUTED_VALUE"""),"OptionPremiumAdjustment")</f>
        <v>OptionPremiumAdjustment</v>
      </c>
      <c r="T5" s="25" t="str">
        <f ca="1">IFERROR(__xludf.DUMMYFUNCTION("""COMPUTED_VALUE"""),"ORF Fee")</f>
        <v>ORF Fee</v>
      </c>
      <c r="U5" s="25" t="str">
        <f ca="1">IFERROR(__xludf.DUMMYFUNCTION("""COMPUTED_VALUE"""),"Other Broker Fees")</f>
        <v>Other Broker Fees</v>
      </c>
      <c r="V5" s="25" t="str">
        <f ca="1">IFERROR(__xludf.DUMMYFUNCTION("""COMPUTED_VALUE"""),"Quantity")</f>
        <v>Quantity</v>
      </c>
      <c r="W5" s="25" t="str">
        <f ca="1">IFERROR(__xludf.DUMMYFUNCTION("""COMPUTED_VALUE"""),"SEC Fee")</f>
        <v>SEC Fee</v>
      </c>
      <c r="X5" s="25" t="str">
        <f ca="1">IFERROR(__xludf.DUMMYFUNCTION("""COMPUTED_VALUE"""),"Settlement Currency")</f>
        <v>Settlement Currency</v>
      </c>
      <c r="Y5" s="25" t="str">
        <f ca="1">IFERROR(__xludf.DUMMYFUNCTION("""COMPUTED_VALUE"""),"Settlement Date")</f>
        <v>Settlement Date</v>
      </c>
      <c r="Z5" s="25" t="str">
        <f ca="1">IFERROR(__xludf.DUMMYFUNCTION("""COMPUTED_VALUE"""),"Soft Commission")</f>
        <v>Soft Commission</v>
      </c>
      <c r="AA5" s="25" t="str">
        <f ca="1">IFERROR(__xludf.DUMMYFUNCTION("""COMPUTED_VALUE"""),"Stamp Duty")</f>
        <v>Stamp Duty</v>
      </c>
      <c r="AB5" s="25" t="str">
        <f ca="1">IFERROR(__xludf.DUMMYFUNCTION("""COMPUTED_VALUE"""),"Symbol")</f>
        <v>Symbol</v>
      </c>
      <c r="AC5" s="25" t="str">
        <f ca="1">IFERROR(__xludf.DUMMYFUNCTION("""COMPUTED_VALUE"""),"Tax On Commissions")</f>
        <v>Tax On Commissions</v>
      </c>
      <c r="AD5" s="25" t="str">
        <f ca="1">IFERROR(__xludf.DUMMYFUNCTION("""COMPUTED_VALUE"""),"Total Commissions")</f>
        <v>Total Commissions</v>
      </c>
      <c r="AE5" s="25" t="str">
        <f ca="1">IFERROR(__xludf.DUMMYFUNCTION("""COMPUTED_VALUE"""),"Trade Date")</f>
        <v>Trade Date</v>
      </c>
      <c r="AF5" s="25" t="str">
        <f ca="1">IFERROR(__xludf.DUMMYFUNCTION("""COMPUTED_VALUE"""),"Transaction Levy")</f>
        <v>Transaction Levy</v>
      </c>
      <c r="AG5" s="25" t="str">
        <f ca="1">IFERROR(__xludf.DUMMYFUNCTION("""COMPUTED_VALUE"""),"Transaction Source")</f>
        <v>Transaction Source</v>
      </c>
      <c r="AH5" s="25" t="str">
        <f ca="1">IFERROR(__xludf.DUMMYFUNCTION("""COMPUTED_VALUE"""),"User")</f>
        <v>User</v>
      </c>
      <c r="AI5" s="25" t="str">
        <f ca="1">IFERROR(__xludf.DUMMYFUNCTION("""COMPUTED_VALUE"""),"Vs Currency")</f>
        <v>Vs Currency</v>
      </c>
      <c r="AJ5" s="25" t="str">
        <f ca="1">IFERROR(__xludf.DUMMYFUNCTION("""COMPUTED_VALUE"""),"SettlCurrencyID")</f>
        <v>SettlCurrencyID</v>
      </c>
      <c r="AK5" s="25" t="str">
        <f ca="1">IFERROR(__xludf.DUMMYFUNCTION("""COMPUTED_VALUE"""),"")</f>
        <v/>
      </c>
      <c r="AL5" s="25" t="str">
        <f ca="1">IFERROR(__xludf.DUMMYFUNCTION("""COMPUTED_VALUE"""),"")</f>
        <v/>
      </c>
      <c r="AM5" s="25" t="str">
        <f ca="1">IFERROR(__xludf.DUMMYFUNCTION("""COMPUTED_VALUE"""),"")</f>
        <v/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  <c r="EX5" s="25" t="str">
        <f ca="1">IFERROR(__xludf.DUMMYFUNCTION("""COMPUTED_VALUE"""),"")</f>
        <v/>
      </c>
    </row>
    <row r="6" spans="1:154" ht="15.75" customHeight="1">
      <c r="A6" s="8"/>
      <c r="B6" s="8" t="s">
        <v>32</v>
      </c>
      <c r="C6" s="3"/>
      <c r="D6" s="8" t="s">
        <v>56</v>
      </c>
      <c r="E6" s="30"/>
      <c r="F6" s="3"/>
      <c r="G6" s="3"/>
      <c r="H6" s="3"/>
      <c r="I6" s="3"/>
      <c r="J6" s="3"/>
      <c r="K6" s="8" t="s">
        <v>33</v>
      </c>
      <c r="L6" s="3"/>
      <c r="M6" s="3"/>
      <c r="N6" s="3"/>
      <c r="O6" s="3"/>
      <c r="AB6" s="26" t="s">
        <v>16</v>
      </c>
    </row>
    <row r="7" spans="1:154" ht="15.75" customHeight="1">
      <c r="A7" s="3"/>
      <c r="B7" s="8" t="s">
        <v>34</v>
      </c>
      <c r="C7" s="3"/>
      <c r="D7" s="8" t="s">
        <v>56</v>
      </c>
      <c r="E7" s="3"/>
      <c r="F7" s="3"/>
      <c r="G7" s="3"/>
      <c r="H7" s="3"/>
      <c r="I7" s="3"/>
      <c r="J7" s="3"/>
      <c r="K7" s="8" t="s">
        <v>33</v>
      </c>
      <c r="L7" s="3"/>
      <c r="M7" s="3"/>
      <c r="N7" s="3"/>
      <c r="O7" s="3"/>
      <c r="AB7" s="26" t="s">
        <v>16</v>
      </c>
    </row>
    <row r="8" spans="1:154" ht="15.75" customHeight="1">
      <c r="A8" s="3"/>
      <c r="B8" s="8" t="s">
        <v>35</v>
      </c>
      <c r="C8" s="3"/>
      <c r="D8" s="8" t="s">
        <v>56</v>
      </c>
      <c r="E8" s="3"/>
      <c r="F8" s="3"/>
      <c r="G8" s="3"/>
      <c r="H8" s="3"/>
      <c r="I8" s="3"/>
      <c r="J8" s="3"/>
      <c r="K8" s="35" t="s">
        <v>33</v>
      </c>
      <c r="L8" s="3"/>
      <c r="M8" s="3"/>
      <c r="N8" s="3"/>
      <c r="O8" s="3"/>
      <c r="AB8" s="26" t="s">
        <v>16</v>
      </c>
    </row>
    <row r="9" spans="1:154" ht="15.75" customHeight="1">
      <c r="A9" s="3"/>
      <c r="B9" s="8" t="s">
        <v>32</v>
      </c>
      <c r="C9" s="3"/>
      <c r="D9" s="8" t="s">
        <v>57</v>
      </c>
      <c r="E9" s="3"/>
      <c r="F9" s="3"/>
      <c r="G9" s="3"/>
      <c r="H9" s="3"/>
      <c r="I9" s="3"/>
      <c r="J9" s="3"/>
      <c r="K9" s="35" t="s">
        <v>33</v>
      </c>
      <c r="L9" s="3"/>
      <c r="M9" s="3"/>
      <c r="N9" s="3"/>
      <c r="O9" s="3"/>
      <c r="AB9" s="26" t="s">
        <v>27</v>
      </c>
    </row>
    <row r="10" spans="1:154" ht="15.75" customHeight="1">
      <c r="A10" s="3"/>
      <c r="B10" s="8" t="s">
        <v>34</v>
      </c>
      <c r="C10" s="3"/>
      <c r="D10" s="8" t="s">
        <v>57</v>
      </c>
      <c r="E10" s="3"/>
      <c r="F10" s="3"/>
      <c r="G10" s="3"/>
      <c r="H10" s="3"/>
      <c r="I10" s="3"/>
      <c r="J10" s="3"/>
      <c r="K10" s="35" t="s">
        <v>33</v>
      </c>
      <c r="L10" s="3"/>
      <c r="M10" s="3"/>
      <c r="N10" s="3"/>
      <c r="O10" s="3"/>
      <c r="AB10" s="26" t="s">
        <v>27</v>
      </c>
    </row>
    <row r="11" spans="1:154" ht="15.75" customHeight="1">
      <c r="A11" s="3"/>
      <c r="B11" s="8" t="s">
        <v>35</v>
      </c>
      <c r="C11" s="3"/>
      <c r="D11" s="8" t="s">
        <v>57</v>
      </c>
      <c r="E11" s="3"/>
      <c r="F11" s="3"/>
      <c r="G11" s="3"/>
      <c r="H11" s="3"/>
      <c r="I11" s="3"/>
      <c r="J11" s="3"/>
      <c r="K11" s="35" t="s">
        <v>33</v>
      </c>
      <c r="L11" s="3"/>
      <c r="M11" s="3"/>
      <c r="N11" s="3"/>
      <c r="O11" s="3"/>
      <c r="AB11" s="26" t="s">
        <v>27</v>
      </c>
    </row>
    <row r="12" spans="1:154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>
      <c r="A2" s="3"/>
      <c r="B2" s="3"/>
      <c r="C2" s="3"/>
      <c r="D2" s="3"/>
      <c r="E2" s="3"/>
      <c r="F2" s="3"/>
      <c r="G2" s="3"/>
      <c r="H2" s="3"/>
      <c r="I2" s="3"/>
      <c r="J2" s="16" t="e">
        <f ca="1">VLOOKUP($E$3,_MasterData!B4:D1000,3,FALSE)</f>
        <v>#N/A</v>
      </c>
      <c r="K2" s="16"/>
      <c r="L2" s="3"/>
      <c r="M2" s="3"/>
      <c r="N2" s="3"/>
      <c r="O2" s="3"/>
    </row>
    <row r="3" spans="1:169" ht="15.75" customHeight="1">
      <c r="A3" s="17"/>
      <c r="B3" s="4" t="s">
        <v>3</v>
      </c>
      <c r="C3" s="18" t="s">
        <v>58</v>
      </c>
      <c r="D3" s="4" t="s">
        <v>7</v>
      </c>
      <c r="E3" s="18" t="s">
        <v>59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</row>
    <row r="4" spans="1:169" ht="15.75" customHeight="1">
      <c r="A4" s="21"/>
      <c r="B4" s="21" t="str">
        <f ca="1">IFERROR(__xludf.DUMMYFUNCTION("IF(C3="""","""",Transpose(IMPORTRANGE('_Settings'!$B$3,C3&amp;""!A4:A1000"")))"),"CheckDashboardPM")</f>
        <v>CheckDashboardPM</v>
      </c>
      <c r="C4" s="21" t="str">
        <f ca="1">IFERROR(__xludf.DUMMYFUNCTION("""COMPUTED_VALUE"""),"CheckPortfolioManagement")</f>
        <v>CheckPortfolioManagement</v>
      </c>
      <c r="D4" s="21" t="str">
        <f ca="1">IFERROR(__xludf.DUMMYFUNCTION("""COMPUTED_VALUE"""),"OpenPSTFromPM")</f>
        <v>OpenPSTFromPM</v>
      </c>
      <c r="E4" s="21" t="str">
        <f ca="1">IFERROR(__xludf.DUMMYFUNCTION("""COMPUTED_VALUE"""),"ClosePM")</f>
        <v>ClosePM</v>
      </c>
      <c r="F4" s="21" t="str">
        <f ca="1">IFERROR(__xludf.DUMMYFUNCTION("""COMPUTED_VALUE"""),"FilterPM")</f>
        <v>FilterPM</v>
      </c>
      <c r="G4" s="21" t="str">
        <f ca="1">IFERROR(__xludf.DUMMYFUNCTION("""COMPUTED_VALUE"""),"GroupRowPM")</f>
        <v>GroupRowPM</v>
      </c>
      <c r="H4" s="21" t="str">
        <f ca="1">IFERROR(__xludf.DUMMYFUNCTION("""COMPUTED_VALUE"""),"CheckDashboardWithPM")</f>
        <v>CheckDashboardWithPM</v>
      </c>
      <c r="I4" s="21" t="str">
        <f ca="1">IFERROR(__xludf.DUMMYFUNCTION("""COMPUTED_VALUE"""),"RemoveFilterPM")</f>
        <v>RemoveFilterPM</v>
      </c>
      <c r="J4" s="21" t="str">
        <f ca="1">IFERROR(__xludf.DUMMYFUNCTION("""COMPUTED_VALUE"""),"CheckSummaryRowsPM")</f>
        <v>CheckSummaryRowsPM</v>
      </c>
      <c r="K4" s="21" t="str">
        <f ca="1">IFERROR(__xludf.DUMMYFUNCTION("""COMPUTED_VALUE"""),"OpenPTTFromPM")</f>
        <v>OpenPTTFromPM</v>
      </c>
      <c r="L4" s="21" t="str">
        <f ca="1">IFERROR(__xludf.DUMMYFUNCTION("""COMPUTED_VALUE"""),"OpenCreateTransactionFromPM")</f>
        <v>OpenCreateTransactionFromPM</v>
      </c>
      <c r="M4" s="21" t="str">
        <f ca="1">IFERROR(__xludf.DUMMYFUNCTION("""COMPUTED_VALUE"""),"OpenClosingFromPM")</f>
        <v>OpenClosingFromPM</v>
      </c>
      <c r="N4" s="21" t="str">
        <f ca="1">IFERROR(__xludf.DUMMYFUNCTION("""COMPUTED_VALUE"""),"OpenCorporateActionFromPM")</f>
        <v>OpenCorporateActionFromPM</v>
      </c>
      <c r="O4" s="21" t="str">
        <f ca="1">IFERROR(__xludf.DUMMYFUNCTION("""COMPUTED_VALUE"""),"OpenDailyValuationFromPM")</f>
        <v>OpenDailyValuationFromPM</v>
      </c>
      <c r="P4" s="22" t="str">
        <f ca="1">IFERROR(__xludf.DUMMYFUNCTION("""COMPUTED_VALUE"""),"ClosePositionFromPM")</f>
        <v>ClosePositionFromPM</v>
      </c>
      <c r="Q4" s="22" t="str">
        <f ca="1">IFERROR(__xludf.DUMMYFUNCTION("""COMPUTED_VALUE"""),"ShowSummaryToolFromPM")</f>
        <v>ShowSummaryToolFromPM</v>
      </c>
      <c r="R4" s="22" t="str">
        <f ca="1">IFERROR(__xludf.DUMMYFUNCTION("""COMPUTED_VALUE"""),"HideSummaryToolFromPM")</f>
        <v>HideSummaryToolFromPM</v>
      </c>
      <c r="S4" s="22" t="str">
        <f ca="1">IFERROR(__xludf.DUMMYFUNCTION("""COMPUTED_VALUE"""),"CloseAccountPositionFromPM")</f>
        <v>CloseAccountPositionFromPM</v>
      </c>
      <c r="T4" s="22" t="str">
        <f ca="1">IFERROR(__xludf.DUMMYFUNCTION("""COMPUTED_VALUE"""),"CloseSelectedTaxlotsFromPM")</f>
        <v>CloseSelectedTaxlotsFromPM</v>
      </c>
      <c r="U4" s="22" t="str">
        <f ca="1">IFERROR(__xludf.DUMMYFUNCTION("""COMPUTED_VALUE"""),"ExpandCollapsePM")</f>
        <v>ExpandCollapsePM</v>
      </c>
      <c r="V4" s="22" t="str">
        <f ca="1">IFERROR(__xludf.DUMMYFUNCTION("""COMPUTED_VALUE"""),"AddCustomViewPM")</f>
        <v>AddCustomViewPM</v>
      </c>
      <c r="W4" s="22" t="str">
        <f ca="1">IFERROR(__xludf.DUMMYFUNCTION("""COMPUTED_VALUE"""),"AddCustomViewRightClickPM")</f>
        <v>AddCustomViewRightClickPM</v>
      </c>
      <c r="X4" s="22" t="str">
        <f ca="1">IFERROR(__xludf.DUMMYFUNCTION("""COMPUTED_VALUE"""),"RenameCustomViewPM")</f>
        <v>RenameCustomViewPM</v>
      </c>
      <c r="Y4" s="22" t="str">
        <f ca="1">IFERROR(__xludf.DUMMYFUNCTION("""COMPUTED_VALUE"""),"DeleteCustomViewPM")</f>
        <v>DeleteCustomViewPM</v>
      </c>
      <c r="Z4" s="22" t="str">
        <f ca="1">IFERROR(__xludf.DUMMYFUNCTION("""COMPUTED_VALUE"""),"")</f>
        <v/>
      </c>
      <c r="AA4" s="22" t="str">
        <f ca="1">IFERROR(__xludf.DUMMYFUNCTION("""COMPUTED_VALUE"""),"")</f>
        <v/>
      </c>
      <c r="AB4" s="22" t="str">
        <f ca="1">IFERROR(__xludf.DUMMYFUNCTION("""COMPUTED_VALUE"""),"")</f>
        <v/>
      </c>
      <c r="AC4" s="22" t="str">
        <f ca="1">IFERROR(__xludf.DUMMYFUNCTION("""COMPUTED_VALUE"""),"")</f>
        <v/>
      </c>
      <c r="AD4" s="22" t="str">
        <f ca="1">IFERROR(__xludf.DUMMYFUNCTION("""COMPUTED_VALUE"""),"")</f>
        <v/>
      </c>
      <c r="AE4" s="22" t="str">
        <f ca="1">IFERROR(__xludf.DUMMYFUNCTION("""COMPUTED_VALUE"""),"")</f>
        <v/>
      </c>
      <c r="AF4" s="22" t="str">
        <f ca="1">IFERROR(__xludf.DUMMYFUNCTION("""COMPUTED_VALUE"""),"")</f>
        <v/>
      </c>
      <c r="AG4" s="22" t="str">
        <f ca="1">IFERROR(__xludf.DUMMYFUNCTION("""COMPUTED_VALUE"""),"")</f>
        <v/>
      </c>
      <c r="AH4" s="22" t="str">
        <f ca="1">IFERROR(__xludf.DUMMYFUNCTION("""COMPUTED_VALUE"""),"")</f>
        <v/>
      </c>
      <c r="AI4" s="22" t="str">
        <f ca="1">IFERROR(__xludf.DUMMYFUNCTION("""COMPUTED_VALUE"""),"")</f>
        <v/>
      </c>
      <c r="AJ4" s="22" t="str">
        <f ca="1">IFERROR(__xludf.DUMMYFUNCTION("""COMPUTED_VALUE"""),"")</f>
        <v/>
      </c>
      <c r="AK4" s="22" t="str">
        <f ca="1">IFERROR(__xludf.DUMMYFUNCTION("""COMPUTED_VALUE"""),"")</f>
        <v/>
      </c>
      <c r="AL4" s="22" t="str">
        <f ca="1">IFERROR(__xludf.DUMMYFUNCTION("""COMPUTED_VALUE"""),"")</f>
        <v/>
      </c>
      <c r="AM4" s="22" t="str">
        <f ca="1">IFERROR(__xludf.DUMMYFUNCTION("""COMPUTED_VALUE"""),"")</f>
        <v/>
      </c>
      <c r="AN4" s="22" t="str">
        <f ca="1">IFERROR(__xludf.DUMMYFUNCTION("""COMPUTED_VALUE"""),"")</f>
        <v/>
      </c>
      <c r="AO4" s="22" t="str">
        <f ca="1">IFERROR(__xludf.DUMMYFUNCTION("""COMPUTED_VALUE"""),"")</f>
        <v/>
      </c>
      <c r="AP4" s="22" t="str">
        <f ca="1">IFERROR(__xludf.DUMMYFUNCTION("""COMPUTED_VALUE"""),"")</f>
        <v/>
      </c>
      <c r="AQ4" s="22" t="str">
        <f ca="1">IFERROR(__xludf.DUMMYFUNCTION("""COMPUTED_VALUE"""),"")</f>
        <v/>
      </c>
      <c r="AR4" s="22" t="str">
        <f ca="1">IFERROR(__xludf.DUMMYFUNCTION("""COMPUTED_VALUE"""),"")</f>
        <v/>
      </c>
      <c r="AS4" s="22" t="str">
        <f ca="1">IFERROR(__xludf.DUMMYFUNCTION("""COMPUTED_VALUE"""),"")</f>
        <v/>
      </c>
      <c r="AT4" s="22" t="str">
        <f ca="1">IFERROR(__xludf.DUMMYFUNCTION("""COMPUTED_VALUE"""),"")</f>
        <v/>
      </c>
      <c r="AU4" s="22" t="str">
        <f ca="1">IFERROR(__xludf.DUMMYFUNCTION("""COMPUTED_VALUE"""),"")</f>
        <v/>
      </c>
      <c r="AV4" s="22" t="str">
        <f ca="1">IFERROR(__xludf.DUMMYFUNCTION("""COMPUTED_VALUE"""),"")</f>
        <v/>
      </c>
      <c r="AW4" s="22" t="str">
        <f ca="1">IFERROR(__xludf.DUMMYFUNCTION("""COMPUTED_VALUE"""),"")</f>
        <v/>
      </c>
      <c r="AX4" s="22" t="str">
        <f ca="1">IFERROR(__xludf.DUMMYFUNCTION("""COMPUTED_VALUE"""),"")</f>
        <v/>
      </c>
      <c r="AY4" s="22" t="str">
        <f ca="1">IFERROR(__xludf.DUMMYFUNCTION("""COMPUTED_VALUE"""),"")</f>
        <v/>
      </c>
      <c r="AZ4" s="22" t="str">
        <f ca="1">IFERROR(__xludf.DUMMYFUNCTION("""COMPUTED_VALUE"""),"")</f>
        <v/>
      </c>
      <c r="BA4" s="22" t="str">
        <f ca="1">IFERROR(__xludf.DUMMYFUNCTION("""COMPUTED_VALUE"""),"")</f>
        <v/>
      </c>
      <c r="BB4" s="22" t="str">
        <f ca="1">IFERROR(__xludf.DUMMYFUNCTION("""COMPUTED_VALUE"""),"")</f>
        <v/>
      </c>
      <c r="BC4" s="22" t="str">
        <f ca="1">IFERROR(__xludf.DUMMYFUNCTION("""COMPUTED_VALUE"""),"")</f>
        <v/>
      </c>
      <c r="BD4" s="22" t="str">
        <f ca="1">IFERROR(__xludf.DUMMYFUNCTION("""COMPUTED_VALUE"""),"")</f>
        <v/>
      </c>
      <c r="BE4" s="22" t="str">
        <f ca="1">IFERROR(__xludf.DUMMYFUNCTION("""COMPUTED_VALUE"""),"")</f>
        <v/>
      </c>
      <c r="BF4" s="22" t="str">
        <f ca="1">IFERROR(__xludf.DUMMYFUNCTION("""COMPUTED_VALUE"""),"")</f>
        <v/>
      </c>
      <c r="BG4" s="22" t="str">
        <f ca="1">IFERROR(__xludf.DUMMYFUNCTION("""COMPUTED_VALUE"""),"")</f>
        <v/>
      </c>
      <c r="BH4" s="22" t="str">
        <f ca="1">IFERROR(__xludf.DUMMYFUNCTION("""COMPUTED_VALUE"""),"")</f>
        <v/>
      </c>
      <c r="BI4" s="22" t="str">
        <f ca="1">IFERROR(__xludf.DUMMYFUNCTION("""COMPUTED_VALUE"""),"")</f>
        <v/>
      </c>
      <c r="BJ4" s="22" t="str">
        <f ca="1">IFERROR(__xludf.DUMMYFUNCTION("""COMPUTED_VALUE"""),"")</f>
        <v/>
      </c>
      <c r="BK4" s="22" t="str">
        <f ca="1">IFERROR(__xludf.DUMMYFUNCTION("""COMPUTED_VALUE"""),"")</f>
        <v/>
      </c>
      <c r="BL4" s="22" t="str">
        <f ca="1">IFERROR(__xludf.DUMMYFUNCTION("""COMPUTED_VALUE"""),"")</f>
        <v/>
      </c>
      <c r="BM4" s="22" t="str">
        <f ca="1">IFERROR(__xludf.DUMMYFUNCTION("""COMPUTED_VALUE"""),"")</f>
        <v/>
      </c>
      <c r="BN4" s="22" t="str">
        <f ca="1">IFERROR(__xludf.DUMMYFUNCTION("""COMPUTED_VALUE"""),"")</f>
        <v/>
      </c>
      <c r="BO4" s="22" t="str">
        <f ca="1">IFERROR(__xludf.DUMMYFUNCTION("""COMPUTED_VALUE"""),"")</f>
        <v/>
      </c>
      <c r="BP4" s="22" t="str">
        <f ca="1">IFERROR(__xludf.DUMMYFUNCTION("""COMPUTED_VALUE"""),"")</f>
        <v/>
      </c>
      <c r="BQ4" s="22" t="str">
        <f ca="1">IFERROR(__xludf.DUMMYFUNCTION("""COMPUTED_VALUE"""),"")</f>
        <v/>
      </c>
      <c r="BR4" s="22" t="str">
        <f ca="1">IFERROR(__xludf.DUMMYFUNCTION("""COMPUTED_VALUE"""),"")</f>
        <v/>
      </c>
      <c r="BS4" s="22" t="str">
        <f ca="1">IFERROR(__xludf.DUMMYFUNCTION("""COMPUTED_VALUE"""),"")</f>
        <v/>
      </c>
      <c r="BT4" s="22" t="str">
        <f ca="1">IFERROR(__xludf.DUMMYFUNCTION("""COMPUTED_VALUE"""),"")</f>
        <v/>
      </c>
      <c r="BU4" s="22" t="str">
        <f ca="1">IFERROR(__xludf.DUMMYFUNCTION("""COMPUTED_VALUE"""),"")</f>
        <v/>
      </c>
      <c r="BV4" s="22" t="str">
        <f ca="1">IFERROR(__xludf.DUMMYFUNCTION("""COMPUTED_VALUE"""),"")</f>
        <v/>
      </c>
      <c r="BW4" s="22" t="str">
        <f ca="1">IFERROR(__xludf.DUMMYFUNCTION("""COMPUTED_VALUE"""),"")</f>
        <v/>
      </c>
      <c r="BX4" s="22" t="str">
        <f ca="1">IFERROR(__xludf.DUMMYFUNCTION("""COMPUTED_VALUE"""),"")</f>
        <v/>
      </c>
      <c r="BY4" s="22" t="str">
        <f ca="1">IFERROR(__xludf.DUMMYFUNCTION("""COMPUTED_VALUE"""),"")</f>
        <v/>
      </c>
      <c r="BZ4" s="22" t="str">
        <f ca="1">IFERROR(__xludf.DUMMYFUNCTION("""COMPUTED_VALUE"""),"")</f>
        <v/>
      </c>
      <c r="CA4" s="22" t="str">
        <f ca="1">IFERROR(__xludf.DUMMYFUNCTION("""COMPUTED_VALUE"""),"")</f>
        <v/>
      </c>
      <c r="CB4" s="22" t="str">
        <f ca="1">IFERROR(__xludf.DUMMYFUNCTION("""COMPUTED_VALUE"""),"")</f>
        <v/>
      </c>
      <c r="CC4" s="22" t="str">
        <f ca="1">IFERROR(__xludf.DUMMYFUNCTION("""COMPUTED_VALUE"""),"")</f>
        <v/>
      </c>
      <c r="CD4" s="22" t="str">
        <f ca="1">IFERROR(__xludf.DUMMYFUNCTION("""COMPUTED_VALUE"""),"")</f>
        <v/>
      </c>
      <c r="CE4" s="22" t="str">
        <f ca="1">IFERROR(__xludf.DUMMYFUNCTION("""COMPUTED_VALUE"""),"")</f>
        <v/>
      </c>
      <c r="CF4" s="22" t="str">
        <f ca="1">IFERROR(__xludf.DUMMYFUNCTION("""COMPUTED_VALUE"""),"")</f>
        <v/>
      </c>
      <c r="CG4" s="22" t="str">
        <f ca="1">IFERROR(__xludf.DUMMYFUNCTION("""COMPUTED_VALUE"""),"")</f>
        <v/>
      </c>
      <c r="CH4" s="22" t="str">
        <f ca="1">IFERROR(__xludf.DUMMYFUNCTION("""COMPUTED_VALUE"""),"")</f>
        <v/>
      </c>
      <c r="CI4" s="22" t="str">
        <f ca="1">IFERROR(__xludf.DUMMYFUNCTION("""COMPUTED_VALUE"""),"")</f>
        <v/>
      </c>
      <c r="CJ4" s="22" t="str">
        <f ca="1">IFERROR(__xludf.DUMMYFUNCTION("""COMPUTED_VALUE"""),"")</f>
        <v/>
      </c>
      <c r="CK4" s="22" t="str">
        <f ca="1">IFERROR(__xludf.DUMMYFUNCTION("""COMPUTED_VALUE"""),"")</f>
        <v/>
      </c>
      <c r="CL4" s="22" t="str">
        <f ca="1">IFERROR(__xludf.DUMMYFUNCTION("""COMPUTED_VALUE"""),"")</f>
        <v/>
      </c>
      <c r="CM4" s="22" t="str">
        <f ca="1">IFERROR(__xludf.DUMMYFUNCTION("""COMPUTED_VALUE"""),"")</f>
        <v/>
      </c>
      <c r="CN4" s="22" t="str">
        <f ca="1">IFERROR(__xludf.DUMMYFUNCTION("""COMPUTED_VALUE"""),"")</f>
        <v/>
      </c>
      <c r="CO4" s="22" t="str">
        <f ca="1">IFERROR(__xludf.DUMMYFUNCTION("""COMPUTED_VALUE"""),"")</f>
        <v/>
      </c>
      <c r="CP4" s="22" t="str">
        <f ca="1">IFERROR(__xludf.DUMMYFUNCTION("""COMPUTED_VALUE"""),"")</f>
        <v/>
      </c>
      <c r="CQ4" s="22" t="str">
        <f ca="1">IFERROR(__xludf.DUMMYFUNCTION("""COMPUTED_VALUE"""),"")</f>
        <v/>
      </c>
      <c r="CR4" s="22" t="str">
        <f ca="1">IFERROR(__xludf.DUMMYFUNCTION("""COMPUTED_VALUE"""),"")</f>
        <v/>
      </c>
      <c r="CS4" s="22" t="str">
        <f ca="1">IFERROR(__xludf.DUMMYFUNCTION("""COMPUTED_VALUE"""),"")</f>
        <v/>
      </c>
      <c r="CT4" s="22" t="str">
        <f ca="1">IFERROR(__xludf.DUMMYFUNCTION("""COMPUTED_VALUE"""),"")</f>
        <v/>
      </c>
      <c r="CU4" s="22" t="str">
        <f ca="1">IFERROR(__xludf.DUMMYFUNCTION("""COMPUTED_VALUE"""),"")</f>
        <v/>
      </c>
      <c r="CV4" s="22" t="str">
        <f ca="1">IFERROR(__xludf.DUMMYFUNCTION("""COMPUTED_VALUE"""),"")</f>
        <v/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  <c r="EX4" s="22" t="str">
        <f ca="1">IFERROR(__xludf.DUMMYFUNCTION("""COMPUTED_VALUE"""),"")</f>
        <v/>
      </c>
      <c r="EY4" s="22" t="str">
        <f ca="1">IFERROR(__xludf.DUMMYFUNCTION("""COMPUTED_VALUE"""),"")</f>
        <v/>
      </c>
      <c r="EZ4" s="22" t="str">
        <f ca="1">IFERROR(__xludf.DUMMYFUNCTION("""COMPUTED_VALUE"""),"")</f>
        <v/>
      </c>
      <c r="FA4" s="22" t="str">
        <f ca="1">IFERROR(__xludf.DUMMYFUNCTION("""COMPUTED_VALUE"""),"")</f>
        <v/>
      </c>
      <c r="FB4" s="22" t="str">
        <f ca="1">IFERROR(__xludf.DUMMYFUNCTION("""COMPUTED_VALUE"""),"")</f>
        <v/>
      </c>
      <c r="FC4" s="22" t="str">
        <f ca="1">IFERROR(__xludf.DUMMYFUNCTION("""COMPUTED_VALUE"""),"")</f>
        <v/>
      </c>
      <c r="FD4" s="22" t="str">
        <f ca="1">IFERROR(__xludf.DUMMYFUNCTION("""COMPUTED_VALUE"""),"")</f>
        <v/>
      </c>
      <c r="FE4" s="22" t="str">
        <f ca="1">IFERROR(__xludf.DUMMYFUNCTION("""COMPUTED_VALUE"""),"")</f>
        <v/>
      </c>
      <c r="FF4" s="22" t="str">
        <f ca="1">IFERROR(__xludf.DUMMYFUNCTION("""COMPUTED_VALUE"""),"")</f>
        <v/>
      </c>
      <c r="FG4" s="22" t="str">
        <f ca="1">IFERROR(__xludf.DUMMYFUNCTION("""COMPUTED_VALUE"""),"")</f>
        <v/>
      </c>
      <c r="FH4" s="22" t="str">
        <f ca="1">IFERROR(__xludf.DUMMYFUNCTION("""COMPUTED_VALUE"""),"")</f>
        <v/>
      </c>
      <c r="FI4" s="22" t="str">
        <f ca="1">IFERROR(__xludf.DUMMYFUNCTION("""COMPUTED_VALUE"""),"")</f>
        <v/>
      </c>
      <c r="FJ4" s="22" t="str">
        <f ca="1">IFERROR(__xludf.DUMMYFUNCTION("""COMPUTED_VALUE"""),"")</f>
        <v/>
      </c>
      <c r="FK4" s="22" t="str">
        <f ca="1">IFERROR(__xludf.DUMMYFUNCTION("""COMPUTED_VALUE"""),"")</f>
        <v/>
      </c>
      <c r="FL4" s="22" t="str">
        <f ca="1">IFERROR(__xludf.DUMMYFUNCTION("""COMPUTED_VALUE"""),"")</f>
        <v/>
      </c>
      <c r="FM4" s="22" t="str">
        <f ca="1">IFERROR(__xludf.DUMMYFUNCTION("""COMPUTED_VALUE"""),"")</f>
        <v/>
      </c>
    </row>
    <row r="5" spans="1:169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IFERROR(__xludf.DUMMYFUNCTION("""COMPUTED_VALUE"""),"Trade Date")</f>
        <v>Trade Date</v>
      </c>
      <c r="C5" s="24" t="str">
        <f ca="1">IFERROR(__xludf.DUMMYFUNCTION("""COMPUTED_VALUE"""),"Symbol")</f>
        <v>Symbol</v>
      </c>
      <c r="D5" s="24" t="str">
        <f ca="1">IFERROR(__xludf.DUMMYFUNCTION("""COMPUTED_VALUE"""),"Position")</f>
        <v>Position</v>
      </c>
      <c r="E5" s="24" t="str">
        <f ca="1">IFERROR(__xludf.DUMMYFUNCTION("""COMPUTED_VALUE"""),"Account")</f>
        <v>Account</v>
      </c>
      <c r="F5" s="29" t="str">
        <f ca="1">IFERROR(__xludf.DUMMYFUNCTION("""COMPUTED_VALUE"""),"MasterFund")</f>
        <v>MasterFund</v>
      </c>
      <c r="G5" s="24" t="str">
        <f ca="1">IFERROR(__xludf.DUMMYFUNCTION("""COMPUTED_VALUE"""),"Cost Basis")</f>
        <v>Cost Basis</v>
      </c>
      <c r="H5" s="24" t="str">
        <f ca="1">IFERROR(__xludf.DUMMYFUNCTION("""COMPUTED_VALUE"""),"Position Side")</f>
        <v>Position Side</v>
      </c>
      <c r="I5" s="24" t="str">
        <f ca="1">IFERROR(__xludf.DUMMYFUNCTION("""COMPUTED_VALUE"""),"Market Value (Base)")</f>
        <v>Market Value (Base)</v>
      </c>
      <c r="J5" s="24" t="str">
        <f ca="1">IFERROR(__xludf.DUMMYFUNCTION("""COMPUTED_VALUE"""),"% Day P&amp;L (Gross MV)")</f>
        <v>% Day P&amp;L (Gross MV)</v>
      </c>
      <c r="K5" s="24" t="str">
        <f ca="1">IFERROR(__xludf.DUMMYFUNCTION("""COMPUTED_VALUE"""),"Net Exposure (Base)")</f>
        <v>Net Exposure (Base)</v>
      </c>
      <c r="L5" s="24" t="str">
        <f ca="1">IFERROR(__xludf.DUMMYFUNCTION("""COMPUTED_VALUE"""),"Beta Adj. Gross Exposure (Base)")</f>
        <v>Beta Adj. Gross Exposure (Base)</v>
      </c>
      <c r="M5" s="24" t="str">
        <f ca="1">IFERROR(__xludf.DUMMYFUNCTION("""COMPUTED_VALUE"""),"Beta Adj. Gross Exposure (Underlying) (Base)")</f>
        <v>Beta Adj. Gross Exposure (Underlying) (Base)</v>
      </c>
      <c r="N5" s="24" t="str">
        <f ca="1">IFERROR(__xludf.DUMMYFUNCTION("""COMPUTED_VALUE"""),"Day P&amp;L (Base)")</f>
        <v>Day P&amp;L (Base)</v>
      </c>
      <c r="O5" s="24" t="str">
        <f ca="1">IFERROR(__xludf.DUMMYFUNCTION("""COMPUTED_VALUE"""),"Security Name")</f>
        <v>Security Name</v>
      </c>
      <c r="P5" s="24" t="str">
        <f ca="1">IFERROR(__xludf.DUMMYFUNCTION("""COMPUTED_VALUE"""),"Closing Mark")</f>
        <v>Closing Mark</v>
      </c>
      <c r="Q5" s="24" t="str">
        <f ca="1">IFERROR(__xludf.DUMMYFUNCTION("""COMPUTED_VALUE"""),"Cost Basis P&amp;L (Base)")</f>
        <v>Cost Basis P&amp;L (Base)</v>
      </c>
      <c r="R5" s="24" t="str">
        <f ca="1">IFERROR(__xludf.DUMMYFUNCTION("""COMPUTED_VALUE"""),"Prime Broker")</f>
        <v>Prime Broker</v>
      </c>
      <c r="S5" s="24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IFERROR(__xludf.DUMMYFUNCTION("""COMPUTED_VALUE"""),"")</f>
        <v/>
      </c>
      <c r="FB5" s="25" t="str">
        <f ca="1">IFERROR(__xludf.DUMMYFUNCTION("""COMPUTED_VALUE"""),"")</f>
        <v/>
      </c>
      <c r="FC5" s="25" t="str">
        <f ca="1">IFERROR(__xludf.DUMMYFUNCTION("""COMPUTED_VALUE"""),"")</f>
        <v/>
      </c>
      <c r="FD5" s="25" t="str">
        <f ca="1">IFERROR(__xludf.DUMMYFUNCTION("""COMPUTED_VALUE"""),"")</f>
        <v/>
      </c>
      <c r="FE5" s="25" t="str">
        <f ca="1">IFERROR(__xludf.DUMMYFUNCTION("""COMPUTED_VALUE"""),"")</f>
        <v/>
      </c>
      <c r="FF5" s="25" t="str">
        <f ca="1">IFERROR(__xludf.DUMMYFUNCTION("""COMPUTED_VALUE"""),"")</f>
        <v/>
      </c>
      <c r="FG5" s="25" t="str">
        <f ca="1">IFERROR(__xludf.DUMMYFUNCTION("""COMPUTED_VALUE"""),"")</f>
        <v/>
      </c>
      <c r="FH5" s="25" t="str">
        <f ca="1">IFERROR(__xludf.DUMMYFUNCTION("""COMPUTED_VALUE"""),"")</f>
        <v/>
      </c>
      <c r="FI5" s="25" t="str">
        <f ca="1">IFERROR(__xludf.DUMMYFUNCTION("""COMPUTED_VALUE"""),"")</f>
        <v/>
      </c>
      <c r="FJ5" s="25" t="str">
        <f ca="1">IFERROR(__xludf.DUMMYFUNCTION("""COMPUTED_VALUE"""),"")</f>
        <v/>
      </c>
      <c r="FK5" s="25" t="str">
        <f ca="1">IFERROR(__xludf.DUMMYFUNCTION("""COMPUTED_VALUE"""),"")</f>
        <v/>
      </c>
      <c r="FL5" s="25" t="str">
        <f ca="1">IFERROR(__xludf.DUMMYFUNCTION("""COMPUTED_VALUE"""),"")</f>
        <v/>
      </c>
      <c r="FM5" s="25" t="str">
        <f ca="1">IFERROR(__xludf.DUMMYFUNCTION("""COMPUTED_VALUE"""),"")</f>
        <v/>
      </c>
    </row>
    <row r="6" spans="1:169" ht="15.75" customHeight="1">
      <c r="A6" s="8"/>
      <c r="B6" s="8"/>
      <c r="C6" s="8" t="s">
        <v>16</v>
      </c>
      <c r="D6" s="8">
        <v>59</v>
      </c>
      <c r="E6" s="8" t="s">
        <v>32</v>
      </c>
      <c r="F6" s="3"/>
      <c r="G6" s="3"/>
      <c r="H6" s="3"/>
      <c r="I6" s="3"/>
      <c r="J6" s="3"/>
      <c r="K6" s="3"/>
      <c r="L6" s="3"/>
      <c r="M6" s="3"/>
      <c r="N6" s="3"/>
      <c r="O6" s="3"/>
      <c r="AN6" s="26" t="s">
        <v>17</v>
      </c>
    </row>
    <row r="7" spans="1:169" ht="15.75" customHeight="1">
      <c r="A7" s="3"/>
      <c r="B7" s="3"/>
      <c r="C7" s="8" t="s">
        <v>16</v>
      </c>
      <c r="D7" s="8">
        <v>12</v>
      </c>
      <c r="E7" s="8" t="s">
        <v>34</v>
      </c>
      <c r="F7" s="3"/>
      <c r="G7" s="3"/>
      <c r="H7" s="3"/>
      <c r="I7" s="3"/>
      <c r="J7" s="3"/>
      <c r="K7" s="3"/>
      <c r="L7" s="3"/>
      <c r="M7" s="3"/>
      <c r="N7" s="3"/>
      <c r="O7" s="3"/>
      <c r="AN7" s="26" t="s">
        <v>17</v>
      </c>
    </row>
    <row r="8" spans="1:169" ht="15.75" customHeight="1">
      <c r="A8" s="3"/>
      <c r="B8" s="3"/>
      <c r="C8" s="8" t="s">
        <v>16</v>
      </c>
      <c r="D8" s="8">
        <v>29</v>
      </c>
      <c r="E8" s="8" t="s">
        <v>35</v>
      </c>
      <c r="F8" s="3"/>
      <c r="G8" s="3"/>
      <c r="H8" s="3"/>
      <c r="I8" s="3"/>
      <c r="J8" s="3"/>
      <c r="K8" s="3"/>
      <c r="L8" s="3"/>
      <c r="M8" s="3"/>
      <c r="N8" s="3"/>
      <c r="O8" s="3"/>
      <c r="AN8" s="26" t="s">
        <v>17</v>
      </c>
    </row>
    <row r="9" spans="1:169" ht="15.75" customHeight="1">
      <c r="A9" s="3"/>
      <c r="B9" s="3"/>
      <c r="C9" s="8" t="s">
        <v>27</v>
      </c>
      <c r="D9" s="3"/>
      <c r="E9" s="8" t="s">
        <v>32</v>
      </c>
      <c r="F9" s="3"/>
      <c r="G9" s="3"/>
      <c r="H9" s="3"/>
      <c r="I9" s="3"/>
      <c r="J9" s="3"/>
      <c r="K9" s="3"/>
      <c r="L9" s="3"/>
      <c r="M9" s="3"/>
      <c r="N9" s="3"/>
      <c r="O9" s="3"/>
      <c r="AN9" s="26" t="s">
        <v>28</v>
      </c>
    </row>
    <row r="10" spans="1:169" ht="15.75" customHeight="1">
      <c r="A10" s="3"/>
      <c r="B10" s="3"/>
      <c r="C10" s="8" t="s">
        <v>27</v>
      </c>
      <c r="D10" s="3"/>
      <c r="E10" s="8" t="s">
        <v>34</v>
      </c>
      <c r="F10" s="3"/>
      <c r="G10" s="3"/>
      <c r="H10" s="3"/>
      <c r="I10" s="3"/>
      <c r="J10" s="3"/>
      <c r="K10" s="3"/>
      <c r="L10" s="3"/>
      <c r="M10" s="3"/>
      <c r="N10" s="3"/>
      <c r="O10" s="3"/>
      <c r="AN10" s="26" t="s">
        <v>28</v>
      </c>
    </row>
    <row r="11" spans="1:169" ht="15.75" customHeight="1">
      <c r="A11" s="3"/>
      <c r="B11" s="3"/>
      <c r="C11" s="8" t="s">
        <v>27</v>
      </c>
      <c r="D11" s="3"/>
      <c r="E11" s="8" t="s">
        <v>35</v>
      </c>
      <c r="F11" s="3"/>
      <c r="G11" s="3"/>
      <c r="H11" s="3"/>
      <c r="I11" s="3"/>
      <c r="J11" s="3"/>
      <c r="K11" s="3"/>
      <c r="L11" s="3"/>
      <c r="M11" s="3"/>
      <c r="N11" s="3"/>
      <c r="O11" s="3"/>
      <c r="AN11" s="26" t="s">
        <v>28</v>
      </c>
    </row>
    <row r="12" spans="1:169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69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69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69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69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3"/>
      <c r="B2" s="3"/>
      <c r="C2" s="3"/>
      <c r="D2" s="3"/>
      <c r="E2" s="3"/>
      <c r="F2" s="3"/>
      <c r="G2" s="3"/>
      <c r="H2" s="3"/>
      <c r="I2" s="3"/>
      <c r="J2" s="16" t="str">
        <f ca="1">VLOOKUP($E$3,_MasterData!B4:D1000,3,FALSE)</f>
        <v>1b5S4Xpp4fgZ1ez6cK92QFnVBylqz8jhwxdAyEvwDqUI</v>
      </c>
      <c r="K2" s="16"/>
      <c r="L2" s="3"/>
      <c r="M2" s="3"/>
      <c r="N2" s="3"/>
      <c r="O2" s="3"/>
    </row>
    <row r="3" spans="1:154" ht="15.75" customHeight="1">
      <c r="A3" s="17"/>
      <c r="B3" s="4" t="s">
        <v>3</v>
      </c>
      <c r="C3" s="18" t="s">
        <v>12</v>
      </c>
      <c r="D3" s="4" t="s">
        <v>7</v>
      </c>
      <c r="E3" s="18" t="s">
        <v>13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IFERROR(__xludf.DUMMYFUNCTION("IF(C3="""","""",Transpose(IMPORTRANGE('_Settings'!$B$3,C3&amp;""!A4:A1000"")))"),"OpenTTFromPST")</f>
        <v>OpenTTFromPST</v>
      </c>
      <c r="C4" s="21" t="str">
        <f ca="1">IFERROR(__xludf.DUMMYFUNCTION("""COMPUTED_VALUE"""),"EnterDetailsOnTT")</f>
        <v>EnterDetailsOnTT</v>
      </c>
      <c r="D4" s="21" t="str">
        <f ca="1">IFERROR(__xludf.DUMMYFUNCTION("""COMPUTED_VALUE"""),"ValidateSymbolTT")</f>
        <v>ValidateSymbolTT</v>
      </c>
      <c r="E4" s="21" t="str">
        <f ca="1">IFERROR(__xludf.DUMMYFUNCTION("""COMPUTED_VALUE"""),"VerifyDataTT")</f>
        <v>VerifyDataTT</v>
      </c>
      <c r="F4" s="21" t="str">
        <f ca="1">IFERROR(__xludf.DUMMYFUNCTION("""COMPUTED_VALUE"""),"SetUIPreferencesTT")</f>
        <v>SetUIPreferencesTT</v>
      </c>
      <c r="G4" s="21" t="str">
        <f ca="1">IFERROR(__xludf.DUMMYFUNCTION("""COMPUTED_VALUE"""),"SetBrokerWisePreferencesTT")</f>
        <v>SetBrokerWisePreferencesTT</v>
      </c>
      <c r="H4" s="21" t="str">
        <f ca="1">IFERROR(__xludf.DUMMYFUNCTION("""COMPUTED_VALUE"""),"TradeNewSub")</f>
        <v>TradeNewSub</v>
      </c>
      <c r="I4" s="21" t="str">
        <f ca="1">IFERROR(__xludf.DUMMYFUNCTION("""COMPUTED_VALUE"""),"CreateStageOrder")</f>
        <v>CreateStageOrder</v>
      </c>
      <c r="J4" s="21" t="str">
        <f ca="1">IFERROR(__xludf.DUMMYFUNCTION("""COMPUTED_VALUE"""),"CreateReplaceOrder")</f>
        <v>CreateReplaceOrder</v>
      </c>
      <c r="K4" s="21" t="str">
        <f ca="1">IFERROR(__xludf.DUMMYFUNCTION("""COMPUTED_VALUE"""),"SetGeneralPreference")</f>
        <v>SetGeneralPreference</v>
      </c>
      <c r="L4" s="21" t="str">
        <f ca="1">IFERROR(__xludf.DUMMYFUNCTION("""COMPUTED_VALUE"""),"CreateDoneAwayOrder")</f>
        <v>CreateDoneAwayOrder</v>
      </c>
      <c r="M4" s="21" t="str">
        <f ca="1">IFERROR(__xludf.DUMMYFUNCTION("""COMPUTED_VALUE"""),"CreateNewSubOrder")</f>
        <v>CreateNewSubOrder</v>
      </c>
      <c r="N4" s="21" t="str">
        <f ca="1">IFERROR(__xludf.DUMMYFUNCTION("""COMPUTED_VALUE"""),"TradeBloomberg")</f>
        <v>TradeBloomberg</v>
      </c>
      <c r="O4" s="21" t="str">
        <f ca="1">IFERROR(__xludf.DUMMYFUNCTION("""COMPUTED_VALUE"""),"ClickSymbolLookup")</f>
        <v>ClickSymbolLookup</v>
      </c>
      <c r="P4" s="22" t="str">
        <f ca="1">IFERROR(__xludf.DUMMYFUNCTION("""COMPUTED_VALUE"""),"VerifyTT")</f>
        <v>VerifyTT</v>
      </c>
      <c r="Q4" s="22" t="str">
        <f ca="1">IFERROR(__xludf.DUMMYFUNCTION("""COMPUTED_VALUE"""),"CreateLiveOrder")</f>
        <v>CreateLiveOrder</v>
      </c>
      <c r="R4" s="22" t="str">
        <f ca="1">IFERROR(__xludf.DUMMYFUNCTION("""COMPUTED_VALUE"""),"")</f>
        <v/>
      </c>
      <c r="S4" s="22" t="str">
        <f ca="1">IFERROR(__xludf.DUMMYFUNCTION("""COMPUTED_VALUE"""),"")</f>
        <v/>
      </c>
      <c r="T4" s="22" t="str">
        <f ca="1">IFERROR(__xludf.DUMMYFUNCTION("""COMPUTED_VALUE"""),"")</f>
        <v/>
      </c>
      <c r="U4" s="22" t="str">
        <f ca="1">IFERROR(__xludf.DUMMYFUNCTION("""COMPUTED_VALUE"""),"")</f>
        <v/>
      </c>
      <c r="V4" s="22" t="str">
        <f ca="1">IFERROR(__xludf.DUMMYFUNCTION("""COMPUTED_VALUE"""),"")</f>
        <v/>
      </c>
      <c r="W4" s="22" t="str">
        <f ca="1">IFERROR(__xludf.DUMMYFUNCTION("""COMPUTED_VALUE"""),"")</f>
        <v/>
      </c>
      <c r="X4" s="22" t="str">
        <f ca="1">IFERROR(__xludf.DUMMYFUNCTION("""COMPUTED_VALUE"""),"")</f>
        <v/>
      </c>
      <c r="Y4" s="22" t="str">
        <f ca="1">IFERROR(__xludf.DUMMYFUNCTION("""COMPUTED_VALUE"""),"")</f>
        <v/>
      </c>
      <c r="Z4" s="22" t="str">
        <f ca="1">IFERROR(__xludf.DUMMYFUNCTION("""COMPUTED_VALUE"""),"")</f>
        <v/>
      </c>
      <c r="AA4" s="22" t="str">
        <f ca="1">IFERROR(__xludf.DUMMYFUNCTION("""COMPUTED_VALUE"""),"")</f>
        <v/>
      </c>
      <c r="AB4" s="22" t="str">
        <f ca="1">IFERROR(__xludf.DUMMYFUNCTION("""COMPUTED_VALUE"""),"")</f>
        <v/>
      </c>
      <c r="AC4" s="22" t="str">
        <f ca="1">IFERROR(__xludf.DUMMYFUNCTION("""COMPUTED_VALUE"""),"")</f>
        <v/>
      </c>
      <c r="AD4" s="22" t="str">
        <f ca="1">IFERROR(__xludf.DUMMYFUNCTION("""COMPUTED_VALUE"""),"")</f>
        <v/>
      </c>
      <c r="AE4" s="22" t="str">
        <f ca="1">IFERROR(__xludf.DUMMYFUNCTION("""COMPUTED_VALUE"""),"")</f>
        <v/>
      </c>
      <c r="AF4" s="22" t="str">
        <f ca="1">IFERROR(__xludf.DUMMYFUNCTION("""COMPUTED_VALUE"""),"")</f>
        <v/>
      </c>
      <c r="AG4" s="22" t="str">
        <f ca="1">IFERROR(__xludf.DUMMYFUNCTION("""COMPUTED_VALUE"""),"")</f>
        <v/>
      </c>
      <c r="AH4" s="22" t="str">
        <f ca="1">IFERROR(__xludf.DUMMYFUNCTION("""COMPUTED_VALUE"""),"")</f>
        <v/>
      </c>
      <c r="AI4" s="22" t="str">
        <f ca="1">IFERROR(__xludf.DUMMYFUNCTION("""COMPUTED_VALUE"""),"")</f>
        <v/>
      </c>
      <c r="AJ4" s="22" t="str">
        <f ca="1">IFERROR(__xludf.DUMMYFUNCTION("""COMPUTED_VALUE"""),"")</f>
        <v/>
      </c>
      <c r="AK4" s="22" t="str">
        <f ca="1">IFERROR(__xludf.DUMMYFUNCTION("""COMPUTED_VALUE"""),"")</f>
        <v/>
      </c>
      <c r="AL4" s="22" t="str">
        <f ca="1">IFERROR(__xludf.DUMMYFUNCTION("""COMPUTED_VALUE"""),"")</f>
        <v/>
      </c>
      <c r="AM4" s="22" t="str">
        <f ca="1">IFERROR(__xludf.DUMMYFUNCTION("""COMPUTED_VALUE"""),"")</f>
        <v/>
      </c>
      <c r="AN4" s="22" t="str">
        <f ca="1">IFERROR(__xludf.DUMMYFUNCTION("""COMPUTED_VALUE"""),"")</f>
        <v/>
      </c>
      <c r="AO4" s="22" t="str">
        <f ca="1">IFERROR(__xludf.DUMMYFUNCTION("""COMPUTED_VALUE"""),"")</f>
        <v/>
      </c>
      <c r="AP4" s="22" t="str">
        <f ca="1">IFERROR(__xludf.DUMMYFUNCTION("""COMPUTED_VALUE"""),"")</f>
        <v/>
      </c>
      <c r="AQ4" s="22" t="str">
        <f ca="1">IFERROR(__xludf.DUMMYFUNCTION("""COMPUTED_VALUE"""),"")</f>
        <v/>
      </c>
      <c r="AR4" s="22" t="str">
        <f ca="1">IFERROR(__xludf.DUMMYFUNCTION("""COMPUTED_VALUE"""),"")</f>
        <v/>
      </c>
      <c r="AS4" s="22" t="str">
        <f ca="1">IFERROR(__xludf.DUMMYFUNCTION("""COMPUTED_VALUE"""),"")</f>
        <v/>
      </c>
      <c r="AT4" s="22" t="str">
        <f ca="1">IFERROR(__xludf.DUMMYFUNCTION("""COMPUTED_VALUE"""),"")</f>
        <v/>
      </c>
      <c r="AU4" s="22" t="str">
        <f ca="1">IFERROR(__xludf.DUMMYFUNCTION("""COMPUTED_VALUE"""),"")</f>
        <v/>
      </c>
      <c r="AV4" s="22" t="str">
        <f ca="1">IFERROR(__xludf.DUMMYFUNCTION("""COMPUTED_VALUE"""),"")</f>
        <v/>
      </c>
      <c r="AW4" s="22" t="str">
        <f ca="1">IFERROR(__xludf.DUMMYFUNCTION("""COMPUTED_VALUE"""),"")</f>
        <v/>
      </c>
      <c r="AX4" s="22" t="str">
        <f ca="1">IFERROR(__xludf.DUMMYFUNCTION("""COMPUTED_VALUE"""),"")</f>
        <v/>
      </c>
      <c r="AY4" s="22" t="str">
        <f ca="1">IFERROR(__xludf.DUMMYFUNCTION("""COMPUTED_VALUE"""),"")</f>
        <v/>
      </c>
      <c r="AZ4" s="22" t="str">
        <f ca="1">IFERROR(__xludf.DUMMYFUNCTION("""COMPUTED_VALUE"""),"")</f>
        <v/>
      </c>
      <c r="BA4" s="22" t="str">
        <f ca="1">IFERROR(__xludf.DUMMYFUNCTION("""COMPUTED_VALUE"""),"")</f>
        <v/>
      </c>
      <c r="BB4" s="22" t="str">
        <f ca="1">IFERROR(__xludf.DUMMYFUNCTION("""COMPUTED_VALUE"""),"")</f>
        <v/>
      </c>
      <c r="BC4" s="22" t="str">
        <f ca="1">IFERROR(__xludf.DUMMYFUNCTION("""COMPUTED_VALUE"""),"")</f>
        <v/>
      </c>
      <c r="BD4" s="22" t="str">
        <f ca="1">IFERROR(__xludf.DUMMYFUNCTION("""COMPUTED_VALUE"""),"")</f>
        <v/>
      </c>
      <c r="BE4" s="22" t="str">
        <f ca="1">IFERROR(__xludf.DUMMYFUNCTION("""COMPUTED_VALUE"""),"")</f>
        <v/>
      </c>
      <c r="BF4" s="22" t="str">
        <f ca="1">IFERROR(__xludf.DUMMYFUNCTION("""COMPUTED_VALUE"""),"")</f>
        <v/>
      </c>
      <c r="BG4" s="22" t="str">
        <f ca="1">IFERROR(__xludf.DUMMYFUNCTION("""COMPUTED_VALUE"""),"")</f>
        <v/>
      </c>
      <c r="BH4" s="22" t="str">
        <f ca="1">IFERROR(__xludf.DUMMYFUNCTION("""COMPUTED_VALUE"""),"")</f>
        <v/>
      </c>
      <c r="BI4" s="22" t="str">
        <f ca="1">IFERROR(__xludf.DUMMYFUNCTION("""COMPUTED_VALUE"""),"")</f>
        <v/>
      </c>
      <c r="BJ4" s="22" t="str">
        <f ca="1">IFERROR(__xludf.DUMMYFUNCTION("""COMPUTED_VALUE"""),"")</f>
        <v/>
      </c>
      <c r="BK4" s="22" t="str">
        <f ca="1">IFERROR(__xludf.DUMMYFUNCTION("""COMPUTED_VALUE"""),"")</f>
        <v/>
      </c>
      <c r="BL4" s="22" t="str">
        <f ca="1">IFERROR(__xludf.DUMMYFUNCTION("""COMPUTED_VALUE"""),"")</f>
        <v/>
      </c>
      <c r="BM4" s="22" t="str">
        <f ca="1">IFERROR(__xludf.DUMMYFUNCTION("""COMPUTED_VALUE"""),"")</f>
        <v/>
      </c>
      <c r="BN4" s="22" t="str">
        <f ca="1">IFERROR(__xludf.DUMMYFUNCTION("""COMPUTED_VALUE"""),"")</f>
        <v/>
      </c>
      <c r="BO4" s="22" t="str">
        <f ca="1">IFERROR(__xludf.DUMMYFUNCTION("""COMPUTED_VALUE"""),"")</f>
        <v/>
      </c>
      <c r="BP4" s="22" t="str">
        <f ca="1">IFERROR(__xludf.DUMMYFUNCTION("""COMPUTED_VALUE"""),"")</f>
        <v/>
      </c>
      <c r="BQ4" s="22" t="str">
        <f ca="1">IFERROR(__xludf.DUMMYFUNCTION("""COMPUTED_VALUE"""),"")</f>
        <v/>
      </c>
      <c r="BR4" s="22" t="str">
        <f ca="1">IFERROR(__xludf.DUMMYFUNCTION("""COMPUTED_VALUE"""),"")</f>
        <v/>
      </c>
      <c r="BS4" s="22" t="str">
        <f ca="1">IFERROR(__xludf.DUMMYFUNCTION("""COMPUTED_VALUE"""),"")</f>
        <v/>
      </c>
      <c r="BT4" s="22" t="str">
        <f ca="1">IFERROR(__xludf.DUMMYFUNCTION("""COMPUTED_VALUE"""),"")</f>
        <v/>
      </c>
      <c r="BU4" s="22" t="str">
        <f ca="1">IFERROR(__xludf.DUMMYFUNCTION("""COMPUTED_VALUE"""),"")</f>
        <v/>
      </c>
      <c r="BV4" s="22" t="str">
        <f ca="1">IFERROR(__xludf.DUMMYFUNCTION("""COMPUTED_VALUE"""),"")</f>
        <v/>
      </c>
      <c r="BW4" s="22" t="str">
        <f ca="1">IFERROR(__xludf.DUMMYFUNCTION("""COMPUTED_VALUE"""),"")</f>
        <v/>
      </c>
      <c r="BX4" s="22" t="str">
        <f ca="1">IFERROR(__xludf.DUMMYFUNCTION("""COMPUTED_VALUE"""),"")</f>
        <v/>
      </c>
      <c r="BY4" s="22" t="str">
        <f ca="1">IFERROR(__xludf.DUMMYFUNCTION("""COMPUTED_VALUE"""),"")</f>
        <v/>
      </c>
      <c r="BZ4" s="22" t="str">
        <f ca="1">IFERROR(__xludf.DUMMYFUNCTION("""COMPUTED_VALUE"""),"")</f>
        <v/>
      </c>
      <c r="CA4" s="22" t="str">
        <f ca="1">IFERROR(__xludf.DUMMYFUNCTION("""COMPUTED_VALUE"""),"")</f>
        <v/>
      </c>
      <c r="CB4" s="22" t="str">
        <f ca="1">IFERROR(__xludf.DUMMYFUNCTION("""COMPUTED_VALUE"""),"")</f>
        <v/>
      </c>
      <c r="CC4" s="22" t="str">
        <f ca="1">IFERROR(__xludf.DUMMYFUNCTION("""COMPUTED_VALUE"""),"")</f>
        <v/>
      </c>
      <c r="CD4" s="22" t="str">
        <f ca="1">IFERROR(__xludf.DUMMYFUNCTION("""COMPUTED_VALUE"""),"")</f>
        <v/>
      </c>
      <c r="CE4" s="22" t="str">
        <f ca="1">IFERROR(__xludf.DUMMYFUNCTION("""COMPUTED_VALUE"""),"")</f>
        <v/>
      </c>
      <c r="CF4" s="22" t="str">
        <f ca="1">IFERROR(__xludf.DUMMYFUNCTION("""COMPUTED_VALUE"""),"")</f>
        <v/>
      </c>
      <c r="CG4" s="22" t="str">
        <f ca="1">IFERROR(__xludf.DUMMYFUNCTION("""COMPUTED_VALUE"""),"")</f>
        <v/>
      </c>
      <c r="CH4" s="22" t="str">
        <f ca="1">IFERROR(__xludf.DUMMYFUNCTION("""COMPUTED_VALUE"""),"")</f>
        <v/>
      </c>
      <c r="CI4" s="22" t="str">
        <f ca="1">IFERROR(__xludf.DUMMYFUNCTION("""COMPUTED_VALUE"""),"")</f>
        <v/>
      </c>
      <c r="CJ4" s="22" t="str">
        <f ca="1">IFERROR(__xludf.DUMMYFUNCTION("""COMPUTED_VALUE"""),"")</f>
        <v/>
      </c>
      <c r="CK4" s="22" t="str">
        <f ca="1">IFERROR(__xludf.DUMMYFUNCTION("""COMPUTED_VALUE"""),"")</f>
        <v/>
      </c>
      <c r="CL4" s="22" t="str">
        <f ca="1">IFERROR(__xludf.DUMMYFUNCTION("""COMPUTED_VALUE"""),"")</f>
        <v/>
      </c>
      <c r="CM4" s="22" t="str">
        <f ca="1">IFERROR(__xludf.DUMMYFUNCTION("""COMPUTED_VALUE"""),"")</f>
        <v/>
      </c>
      <c r="CN4" s="22" t="str">
        <f ca="1">IFERROR(__xludf.DUMMYFUNCTION("""COMPUTED_VALUE"""),"")</f>
        <v/>
      </c>
      <c r="CO4" s="22" t="str">
        <f ca="1">IFERROR(__xludf.DUMMYFUNCTION("""COMPUTED_VALUE"""),"")</f>
        <v/>
      </c>
      <c r="CP4" s="22" t="str">
        <f ca="1">IFERROR(__xludf.DUMMYFUNCTION("""COMPUTED_VALUE"""),"")</f>
        <v/>
      </c>
      <c r="CQ4" s="22" t="str">
        <f ca="1">IFERROR(__xludf.DUMMYFUNCTION("""COMPUTED_VALUE"""),"")</f>
        <v/>
      </c>
      <c r="CR4" s="22" t="str">
        <f ca="1">IFERROR(__xludf.DUMMYFUNCTION("""COMPUTED_VALUE"""),"")</f>
        <v/>
      </c>
      <c r="CS4" s="22" t="str">
        <f ca="1">IFERROR(__xludf.DUMMYFUNCTION("""COMPUTED_VALUE"""),"")</f>
        <v/>
      </c>
      <c r="CT4" s="22" t="str">
        <f ca="1">IFERROR(__xludf.DUMMYFUNCTION("""COMPUTED_VALUE"""),"")</f>
        <v/>
      </c>
      <c r="CU4" s="22" t="str">
        <f ca="1">IFERROR(__xludf.DUMMYFUNCTION("""COMPUTED_VALUE"""),"")</f>
        <v/>
      </c>
      <c r="CV4" s="22" t="str">
        <f ca="1">IFERROR(__xludf.DUMMYFUNCTION("""COMPUTED_VALUE"""),"")</f>
        <v/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  <c r="EX4" s="22" t="str">
        <f ca="1">IFERROR(__xludf.DUMMYFUNCTION("""COMPUTED_VALUE"""),"")</f>
        <v/>
      </c>
    </row>
    <row r="5" spans="1:154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IFERROR(__xludf.DUMMYFUNCTION("""COMPUTED_VALUE"""),"Symbol")</f>
        <v>Symbol</v>
      </c>
      <c r="C5" s="24" t="str">
        <f ca="1">IFERROR(__xludf.DUMMYFUNCTION("""COMPUTED_VALUE"""),"Order Side")</f>
        <v>Order Side</v>
      </c>
      <c r="D5" s="24" t="str">
        <f ca="1">IFERROR(__xludf.DUMMYFUNCTION("""COMPUTED_VALUE"""),"Quantity")</f>
        <v>Quantity</v>
      </c>
      <c r="E5" s="24" t="str">
        <f ca="1">IFERROR(__xludf.DUMMYFUNCTION("""COMPUTED_VALUE"""),"TargetQuantityIn")</f>
        <v>TargetQuantityIn</v>
      </c>
      <c r="F5" s="29" t="str">
        <f ca="1">IFERROR(__xludf.DUMMYFUNCTION("""COMPUTED_VALUE"""),"AllocationMethod")</f>
        <v>AllocationMethod</v>
      </c>
      <c r="G5" s="24" t="str">
        <f ca="1">IFERROR(__xludf.DUMMYFUNCTION("""COMPUTED_VALUE"""),"Broker")</f>
        <v>Broker</v>
      </c>
      <c r="H5" s="24" t="str">
        <f ca="1">IFERROR(__xludf.DUMMYFUNCTION("""COMPUTED_VALUE"""),"TIF")</f>
        <v>TIF</v>
      </c>
      <c r="I5" s="24" t="str">
        <f ca="1">IFERROR(__xludf.DUMMYFUNCTION("""COMPUTED_VALUE"""),"Order Type")</f>
        <v>Order Type</v>
      </c>
      <c r="J5" s="24" t="str">
        <f ca="1">IFERROR(__xludf.DUMMYFUNCTION("""COMPUTED_VALUE"""),"Price")</f>
        <v>Price</v>
      </c>
      <c r="K5" s="24" t="str">
        <f ca="1">IFERROR(__xludf.DUMMYFUNCTION("""COMPUTED_VALUE"""),"Stop")</f>
        <v>Stop</v>
      </c>
      <c r="L5" s="24" t="str">
        <f ca="1">IFERROR(__xludf.DUMMYFUNCTION("""COMPUTED_VALUE"""),"Limit")</f>
        <v>Limit</v>
      </c>
      <c r="M5" s="24" t="str">
        <f ca="1">IFERROR(__xludf.DUMMYFUNCTION("""COMPUTED_VALUE"""),"Strategy")</f>
        <v>Strategy</v>
      </c>
      <c r="N5" s="24" t="str">
        <f ca="1">IFERROR(__xludf.DUMMYFUNCTION("""COMPUTED_VALUE"""),"Trade Date")</f>
        <v>Trade Date</v>
      </c>
      <c r="O5" s="24" t="str">
        <f ca="1">IFERROR(__xludf.DUMMYFUNCTION("""COMPUTED_VALUE"""),"FxRate")</f>
        <v>FxRate</v>
      </c>
      <c r="P5" s="24" t="str">
        <f ca="1">IFERROR(__xludf.DUMMYFUNCTION("""COMPUTED_VALUE"""),"Notes")</f>
        <v>Notes</v>
      </c>
      <c r="Q5" s="24" t="str">
        <f ca="1">IFERROR(__xludf.DUMMYFUNCTION("""COMPUTED_VALUE"""),"Broker Notes")</f>
        <v>Broker Notes</v>
      </c>
      <c r="R5" s="24" t="str">
        <f ca="1">IFERROR(__xludf.DUMMYFUNCTION("""COMPUTED_VALUE"""),"CommissionBasis")</f>
        <v>CommissionBasis</v>
      </c>
      <c r="S5" s="24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  <c r="EX5" s="25" t="str">
        <f ca="1">IFERROR(__xludf.DUMMYFUNCTION("""COMPUTED_VALUE"""),"")</f>
        <v/>
      </c>
    </row>
    <row r="6" spans="1:154" ht="15.75" customHeight="1">
      <c r="A6" s="8"/>
      <c r="B6" s="8" t="s">
        <v>60</v>
      </c>
      <c r="C6" s="3"/>
      <c r="D6" s="8" t="s">
        <v>61</v>
      </c>
      <c r="E6" s="30">
        <v>1000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4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4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4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3"/>
      <c r="B2" s="3"/>
      <c r="C2" s="3"/>
      <c r="D2" s="3"/>
      <c r="E2" s="3"/>
      <c r="F2" s="3"/>
      <c r="G2" s="3"/>
      <c r="H2" s="3"/>
      <c r="I2" s="3"/>
      <c r="J2" s="16" t="str">
        <f ca="1">VLOOKUP($E$3,_MasterData!B4:D1000,3,FALSE)</f>
        <v>1b5S4Xpp4fgZ1ez6cK92QFnVBylqz8jhwxdAyEvwDqUI</v>
      </c>
      <c r="K2" s="16"/>
      <c r="L2" s="3"/>
      <c r="M2" s="3"/>
      <c r="N2" s="3"/>
      <c r="O2" s="3"/>
    </row>
    <row r="3" spans="1:154" ht="15.75" customHeight="1">
      <c r="A3" s="17"/>
      <c r="B3" s="4" t="s">
        <v>3</v>
      </c>
      <c r="C3" s="18" t="s">
        <v>12</v>
      </c>
      <c r="D3" s="4" t="s">
        <v>7</v>
      </c>
      <c r="E3" s="18" t="s">
        <v>13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IFERROR(__xludf.DUMMYFUNCTION("IF(C3="""","""",Transpose(IMPORTRANGE('_Settings'!$B$3,C3&amp;""!A4:A1000"")))"),"OpenTTFromPST")</f>
        <v>OpenTTFromPST</v>
      </c>
      <c r="C4" s="21" t="str">
        <f ca="1">IFERROR(__xludf.DUMMYFUNCTION("""COMPUTED_VALUE"""),"EnterDetailsOnTT")</f>
        <v>EnterDetailsOnTT</v>
      </c>
      <c r="D4" s="21" t="str">
        <f ca="1">IFERROR(__xludf.DUMMYFUNCTION("""COMPUTED_VALUE"""),"ValidateSymbolTT")</f>
        <v>ValidateSymbolTT</v>
      </c>
      <c r="E4" s="21" t="str">
        <f ca="1">IFERROR(__xludf.DUMMYFUNCTION("""COMPUTED_VALUE"""),"VerifyDataTT")</f>
        <v>VerifyDataTT</v>
      </c>
      <c r="F4" s="21" t="str">
        <f ca="1">IFERROR(__xludf.DUMMYFUNCTION("""COMPUTED_VALUE"""),"SetUIPreferencesTT")</f>
        <v>SetUIPreferencesTT</v>
      </c>
      <c r="G4" s="21" t="str">
        <f ca="1">IFERROR(__xludf.DUMMYFUNCTION("""COMPUTED_VALUE"""),"SetBrokerWisePreferencesTT")</f>
        <v>SetBrokerWisePreferencesTT</v>
      </c>
      <c r="H4" s="21" t="str">
        <f ca="1">IFERROR(__xludf.DUMMYFUNCTION("""COMPUTED_VALUE"""),"TradeNewSub")</f>
        <v>TradeNewSub</v>
      </c>
      <c r="I4" s="21" t="str">
        <f ca="1">IFERROR(__xludf.DUMMYFUNCTION("""COMPUTED_VALUE"""),"CreateStageOrder")</f>
        <v>CreateStageOrder</v>
      </c>
      <c r="J4" s="21" t="str">
        <f ca="1">IFERROR(__xludf.DUMMYFUNCTION("""COMPUTED_VALUE"""),"CreateReplaceOrder")</f>
        <v>CreateReplaceOrder</v>
      </c>
      <c r="K4" s="21" t="str">
        <f ca="1">IFERROR(__xludf.DUMMYFUNCTION("""COMPUTED_VALUE"""),"SetGeneralPreference")</f>
        <v>SetGeneralPreference</v>
      </c>
      <c r="L4" s="21" t="str">
        <f ca="1">IFERROR(__xludf.DUMMYFUNCTION("""COMPUTED_VALUE"""),"CreateDoneAwayOrder")</f>
        <v>CreateDoneAwayOrder</v>
      </c>
      <c r="M4" s="21" t="str">
        <f ca="1">IFERROR(__xludf.DUMMYFUNCTION("""COMPUTED_VALUE"""),"CreateNewSubOrder")</f>
        <v>CreateNewSubOrder</v>
      </c>
      <c r="N4" s="21" t="str">
        <f ca="1">IFERROR(__xludf.DUMMYFUNCTION("""COMPUTED_VALUE"""),"TradeBloomberg")</f>
        <v>TradeBloomberg</v>
      </c>
      <c r="O4" s="21" t="str">
        <f ca="1">IFERROR(__xludf.DUMMYFUNCTION("""COMPUTED_VALUE"""),"ClickSymbolLookup")</f>
        <v>ClickSymbolLookup</v>
      </c>
      <c r="P4" s="22" t="str">
        <f ca="1">IFERROR(__xludf.DUMMYFUNCTION("""COMPUTED_VALUE"""),"VerifyTT")</f>
        <v>VerifyTT</v>
      </c>
      <c r="Q4" s="22" t="str">
        <f ca="1">IFERROR(__xludf.DUMMYFUNCTION("""COMPUTED_VALUE"""),"CreateLiveOrder")</f>
        <v>CreateLiveOrder</v>
      </c>
      <c r="R4" s="22" t="str">
        <f ca="1">IFERROR(__xludf.DUMMYFUNCTION("""COMPUTED_VALUE"""),"")</f>
        <v/>
      </c>
      <c r="S4" s="22" t="str">
        <f ca="1">IFERROR(__xludf.DUMMYFUNCTION("""COMPUTED_VALUE"""),"")</f>
        <v/>
      </c>
      <c r="T4" s="22" t="str">
        <f ca="1">IFERROR(__xludf.DUMMYFUNCTION("""COMPUTED_VALUE"""),"")</f>
        <v/>
      </c>
      <c r="U4" s="22" t="str">
        <f ca="1">IFERROR(__xludf.DUMMYFUNCTION("""COMPUTED_VALUE"""),"")</f>
        <v/>
      </c>
      <c r="V4" s="22" t="str">
        <f ca="1">IFERROR(__xludf.DUMMYFUNCTION("""COMPUTED_VALUE"""),"")</f>
        <v/>
      </c>
      <c r="W4" s="22" t="str">
        <f ca="1">IFERROR(__xludf.DUMMYFUNCTION("""COMPUTED_VALUE"""),"")</f>
        <v/>
      </c>
      <c r="X4" s="22" t="str">
        <f ca="1">IFERROR(__xludf.DUMMYFUNCTION("""COMPUTED_VALUE"""),"")</f>
        <v/>
      </c>
      <c r="Y4" s="22" t="str">
        <f ca="1">IFERROR(__xludf.DUMMYFUNCTION("""COMPUTED_VALUE"""),"")</f>
        <v/>
      </c>
      <c r="Z4" s="22" t="str">
        <f ca="1">IFERROR(__xludf.DUMMYFUNCTION("""COMPUTED_VALUE"""),"")</f>
        <v/>
      </c>
      <c r="AA4" s="22" t="str">
        <f ca="1">IFERROR(__xludf.DUMMYFUNCTION("""COMPUTED_VALUE"""),"")</f>
        <v/>
      </c>
      <c r="AB4" s="22" t="str">
        <f ca="1">IFERROR(__xludf.DUMMYFUNCTION("""COMPUTED_VALUE"""),"")</f>
        <v/>
      </c>
      <c r="AC4" s="22" t="str">
        <f ca="1">IFERROR(__xludf.DUMMYFUNCTION("""COMPUTED_VALUE"""),"")</f>
        <v/>
      </c>
      <c r="AD4" s="22" t="str">
        <f ca="1">IFERROR(__xludf.DUMMYFUNCTION("""COMPUTED_VALUE"""),"")</f>
        <v/>
      </c>
      <c r="AE4" s="22" t="str">
        <f ca="1">IFERROR(__xludf.DUMMYFUNCTION("""COMPUTED_VALUE"""),"")</f>
        <v/>
      </c>
      <c r="AF4" s="22" t="str">
        <f ca="1">IFERROR(__xludf.DUMMYFUNCTION("""COMPUTED_VALUE"""),"")</f>
        <v/>
      </c>
      <c r="AG4" s="22" t="str">
        <f ca="1">IFERROR(__xludf.DUMMYFUNCTION("""COMPUTED_VALUE"""),"")</f>
        <v/>
      </c>
      <c r="AH4" s="22" t="str">
        <f ca="1">IFERROR(__xludf.DUMMYFUNCTION("""COMPUTED_VALUE"""),"")</f>
        <v/>
      </c>
      <c r="AI4" s="22" t="str">
        <f ca="1">IFERROR(__xludf.DUMMYFUNCTION("""COMPUTED_VALUE"""),"")</f>
        <v/>
      </c>
      <c r="AJ4" s="22" t="str">
        <f ca="1">IFERROR(__xludf.DUMMYFUNCTION("""COMPUTED_VALUE"""),"")</f>
        <v/>
      </c>
      <c r="AK4" s="22" t="str">
        <f ca="1">IFERROR(__xludf.DUMMYFUNCTION("""COMPUTED_VALUE"""),"")</f>
        <v/>
      </c>
      <c r="AL4" s="22" t="str">
        <f ca="1">IFERROR(__xludf.DUMMYFUNCTION("""COMPUTED_VALUE"""),"")</f>
        <v/>
      </c>
      <c r="AM4" s="22" t="str">
        <f ca="1">IFERROR(__xludf.DUMMYFUNCTION("""COMPUTED_VALUE"""),"")</f>
        <v/>
      </c>
      <c r="AN4" s="22" t="str">
        <f ca="1">IFERROR(__xludf.DUMMYFUNCTION("""COMPUTED_VALUE"""),"")</f>
        <v/>
      </c>
      <c r="AO4" s="22" t="str">
        <f ca="1">IFERROR(__xludf.DUMMYFUNCTION("""COMPUTED_VALUE"""),"")</f>
        <v/>
      </c>
      <c r="AP4" s="22" t="str">
        <f ca="1">IFERROR(__xludf.DUMMYFUNCTION("""COMPUTED_VALUE"""),"")</f>
        <v/>
      </c>
      <c r="AQ4" s="22" t="str">
        <f ca="1">IFERROR(__xludf.DUMMYFUNCTION("""COMPUTED_VALUE"""),"")</f>
        <v/>
      </c>
      <c r="AR4" s="22" t="str">
        <f ca="1">IFERROR(__xludf.DUMMYFUNCTION("""COMPUTED_VALUE"""),"")</f>
        <v/>
      </c>
      <c r="AS4" s="22" t="str">
        <f ca="1">IFERROR(__xludf.DUMMYFUNCTION("""COMPUTED_VALUE"""),"")</f>
        <v/>
      </c>
      <c r="AT4" s="22" t="str">
        <f ca="1">IFERROR(__xludf.DUMMYFUNCTION("""COMPUTED_VALUE"""),"")</f>
        <v/>
      </c>
      <c r="AU4" s="22" t="str">
        <f ca="1">IFERROR(__xludf.DUMMYFUNCTION("""COMPUTED_VALUE"""),"")</f>
        <v/>
      </c>
      <c r="AV4" s="22" t="str">
        <f ca="1">IFERROR(__xludf.DUMMYFUNCTION("""COMPUTED_VALUE"""),"")</f>
        <v/>
      </c>
      <c r="AW4" s="22" t="str">
        <f ca="1">IFERROR(__xludf.DUMMYFUNCTION("""COMPUTED_VALUE"""),"")</f>
        <v/>
      </c>
      <c r="AX4" s="22" t="str">
        <f ca="1">IFERROR(__xludf.DUMMYFUNCTION("""COMPUTED_VALUE"""),"")</f>
        <v/>
      </c>
      <c r="AY4" s="22" t="str">
        <f ca="1">IFERROR(__xludf.DUMMYFUNCTION("""COMPUTED_VALUE"""),"")</f>
        <v/>
      </c>
      <c r="AZ4" s="22" t="str">
        <f ca="1">IFERROR(__xludf.DUMMYFUNCTION("""COMPUTED_VALUE"""),"")</f>
        <v/>
      </c>
      <c r="BA4" s="22" t="str">
        <f ca="1">IFERROR(__xludf.DUMMYFUNCTION("""COMPUTED_VALUE"""),"")</f>
        <v/>
      </c>
      <c r="BB4" s="22" t="str">
        <f ca="1">IFERROR(__xludf.DUMMYFUNCTION("""COMPUTED_VALUE"""),"")</f>
        <v/>
      </c>
      <c r="BC4" s="22" t="str">
        <f ca="1">IFERROR(__xludf.DUMMYFUNCTION("""COMPUTED_VALUE"""),"")</f>
        <v/>
      </c>
      <c r="BD4" s="22" t="str">
        <f ca="1">IFERROR(__xludf.DUMMYFUNCTION("""COMPUTED_VALUE"""),"")</f>
        <v/>
      </c>
      <c r="BE4" s="22" t="str">
        <f ca="1">IFERROR(__xludf.DUMMYFUNCTION("""COMPUTED_VALUE"""),"")</f>
        <v/>
      </c>
      <c r="BF4" s="22" t="str">
        <f ca="1">IFERROR(__xludf.DUMMYFUNCTION("""COMPUTED_VALUE"""),"")</f>
        <v/>
      </c>
      <c r="BG4" s="22" t="str">
        <f ca="1">IFERROR(__xludf.DUMMYFUNCTION("""COMPUTED_VALUE"""),"")</f>
        <v/>
      </c>
      <c r="BH4" s="22" t="str">
        <f ca="1">IFERROR(__xludf.DUMMYFUNCTION("""COMPUTED_VALUE"""),"")</f>
        <v/>
      </c>
      <c r="BI4" s="22" t="str">
        <f ca="1">IFERROR(__xludf.DUMMYFUNCTION("""COMPUTED_VALUE"""),"")</f>
        <v/>
      </c>
      <c r="BJ4" s="22" t="str">
        <f ca="1">IFERROR(__xludf.DUMMYFUNCTION("""COMPUTED_VALUE"""),"")</f>
        <v/>
      </c>
      <c r="BK4" s="22" t="str">
        <f ca="1">IFERROR(__xludf.DUMMYFUNCTION("""COMPUTED_VALUE"""),"")</f>
        <v/>
      </c>
      <c r="BL4" s="22" t="str">
        <f ca="1">IFERROR(__xludf.DUMMYFUNCTION("""COMPUTED_VALUE"""),"")</f>
        <v/>
      </c>
      <c r="BM4" s="22" t="str">
        <f ca="1">IFERROR(__xludf.DUMMYFUNCTION("""COMPUTED_VALUE"""),"")</f>
        <v/>
      </c>
      <c r="BN4" s="22" t="str">
        <f ca="1">IFERROR(__xludf.DUMMYFUNCTION("""COMPUTED_VALUE"""),"")</f>
        <v/>
      </c>
      <c r="BO4" s="22" t="str">
        <f ca="1">IFERROR(__xludf.DUMMYFUNCTION("""COMPUTED_VALUE"""),"")</f>
        <v/>
      </c>
      <c r="BP4" s="22" t="str">
        <f ca="1">IFERROR(__xludf.DUMMYFUNCTION("""COMPUTED_VALUE"""),"")</f>
        <v/>
      </c>
      <c r="BQ4" s="22" t="str">
        <f ca="1">IFERROR(__xludf.DUMMYFUNCTION("""COMPUTED_VALUE"""),"")</f>
        <v/>
      </c>
      <c r="BR4" s="22" t="str">
        <f ca="1">IFERROR(__xludf.DUMMYFUNCTION("""COMPUTED_VALUE"""),"")</f>
        <v/>
      </c>
      <c r="BS4" s="22" t="str">
        <f ca="1">IFERROR(__xludf.DUMMYFUNCTION("""COMPUTED_VALUE"""),"")</f>
        <v/>
      </c>
      <c r="BT4" s="22" t="str">
        <f ca="1">IFERROR(__xludf.DUMMYFUNCTION("""COMPUTED_VALUE"""),"")</f>
        <v/>
      </c>
      <c r="BU4" s="22" t="str">
        <f ca="1">IFERROR(__xludf.DUMMYFUNCTION("""COMPUTED_VALUE"""),"")</f>
        <v/>
      </c>
      <c r="BV4" s="22" t="str">
        <f ca="1">IFERROR(__xludf.DUMMYFUNCTION("""COMPUTED_VALUE"""),"")</f>
        <v/>
      </c>
      <c r="BW4" s="22" t="str">
        <f ca="1">IFERROR(__xludf.DUMMYFUNCTION("""COMPUTED_VALUE"""),"")</f>
        <v/>
      </c>
      <c r="BX4" s="22" t="str">
        <f ca="1">IFERROR(__xludf.DUMMYFUNCTION("""COMPUTED_VALUE"""),"")</f>
        <v/>
      </c>
      <c r="BY4" s="22" t="str">
        <f ca="1">IFERROR(__xludf.DUMMYFUNCTION("""COMPUTED_VALUE"""),"")</f>
        <v/>
      </c>
      <c r="BZ4" s="22" t="str">
        <f ca="1">IFERROR(__xludf.DUMMYFUNCTION("""COMPUTED_VALUE"""),"")</f>
        <v/>
      </c>
      <c r="CA4" s="22" t="str">
        <f ca="1">IFERROR(__xludf.DUMMYFUNCTION("""COMPUTED_VALUE"""),"")</f>
        <v/>
      </c>
      <c r="CB4" s="22" t="str">
        <f ca="1">IFERROR(__xludf.DUMMYFUNCTION("""COMPUTED_VALUE"""),"")</f>
        <v/>
      </c>
      <c r="CC4" s="22" t="str">
        <f ca="1">IFERROR(__xludf.DUMMYFUNCTION("""COMPUTED_VALUE"""),"")</f>
        <v/>
      </c>
      <c r="CD4" s="22" t="str">
        <f ca="1">IFERROR(__xludf.DUMMYFUNCTION("""COMPUTED_VALUE"""),"")</f>
        <v/>
      </c>
      <c r="CE4" s="22" t="str">
        <f ca="1">IFERROR(__xludf.DUMMYFUNCTION("""COMPUTED_VALUE"""),"")</f>
        <v/>
      </c>
      <c r="CF4" s="22" t="str">
        <f ca="1">IFERROR(__xludf.DUMMYFUNCTION("""COMPUTED_VALUE"""),"")</f>
        <v/>
      </c>
      <c r="CG4" s="22" t="str">
        <f ca="1">IFERROR(__xludf.DUMMYFUNCTION("""COMPUTED_VALUE"""),"")</f>
        <v/>
      </c>
      <c r="CH4" s="22" t="str">
        <f ca="1">IFERROR(__xludf.DUMMYFUNCTION("""COMPUTED_VALUE"""),"")</f>
        <v/>
      </c>
      <c r="CI4" s="22" t="str">
        <f ca="1">IFERROR(__xludf.DUMMYFUNCTION("""COMPUTED_VALUE"""),"")</f>
        <v/>
      </c>
      <c r="CJ4" s="22" t="str">
        <f ca="1">IFERROR(__xludf.DUMMYFUNCTION("""COMPUTED_VALUE"""),"")</f>
        <v/>
      </c>
      <c r="CK4" s="22" t="str">
        <f ca="1">IFERROR(__xludf.DUMMYFUNCTION("""COMPUTED_VALUE"""),"")</f>
        <v/>
      </c>
      <c r="CL4" s="22" t="str">
        <f ca="1">IFERROR(__xludf.DUMMYFUNCTION("""COMPUTED_VALUE"""),"")</f>
        <v/>
      </c>
      <c r="CM4" s="22" t="str">
        <f ca="1">IFERROR(__xludf.DUMMYFUNCTION("""COMPUTED_VALUE"""),"")</f>
        <v/>
      </c>
      <c r="CN4" s="22" t="str">
        <f ca="1">IFERROR(__xludf.DUMMYFUNCTION("""COMPUTED_VALUE"""),"")</f>
        <v/>
      </c>
      <c r="CO4" s="22" t="str">
        <f ca="1">IFERROR(__xludf.DUMMYFUNCTION("""COMPUTED_VALUE"""),"")</f>
        <v/>
      </c>
      <c r="CP4" s="22" t="str">
        <f ca="1">IFERROR(__xludf.DUMMYFUNCTION("""COMPUTED_VALUE"""),"")</f>
        <v/>
      </c>
      <c r="CQ4" s="22" t="str">
        <f ca="1">IFERROR(__xludf.DUMMYFUNCTION("""COMPUTED_VALUE"""),"")</f>
        <v/>
      </c>
      <c r="CR4" s="22" t="str">
        <f ca="1">IFERROR(__xludf.DUMMYFUNCTION("""COMPUTED_VALUE"""),"")</f>
        <v/>
      </c>
      <c r="CS4" s="22" t="str">
        <f ca="1">IFERROR(__xludf.DUMMYFUNCTION("""COMPUTED_VALUE"""),"")</f>
        <v/>
      </c>
      <c r="CT4" s="22" t="str">
        <f ca="1">IFERROR(__xludf.DUMMYFUNCTION("""COMPUTED_VALUE"""),"")</f>
        <v/>
      </c>
      <c r="CU4" s="22" t="str">
        <f ca="1">IFERROR(__xludf.DUMMYFUNCTION("""COMPUTED_VALUE"""),"")</f>
        <v/>
      </c>
      <c r="CV4" s="22" t="str">
        <f ca="1">IFERROR(__xludf.DUMMYFUNCTION("""COMPUTED_VALUE"""),"")</f>
        <v/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  <c r="EX4" s="22" t="str">
        <f ca="1">IFERROR(__xludf.DUMMYFUNCTION("""COMPUTED_VALUE"""),"")</f>
        <v/>
      </c>
    </row>
    <row r="5" spans="1:154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IFERROR(__xludf.DUMMYFUNCTION("""COMPUTED_VALUE"""),"Symbol")</f>
        <v>Symbol</v>
      </c>
      <c r="C5" s="24" t="str">
        <f ca="1">IFERROR(__xludf.DUMMYFUNCTION("""COMPUTED_VALUE"""),"Order Side")</f>
        <v>Order Side</v>
      </c>
      <c r="D5" s="24" t="str">
        <f ca="1">IFERROR(__xludf.DUMMYFUNCTION("""COMPUTED_VALUE"""),"Quantity")</f>
        <v>Quantity</v>
      </c>
      <c r="E5" s="24" t="str">
        <f ca="1">IFERROR(__xludf.DUMMYFUNCTION("""COMPUTED_VALUE"""),"TargetQuantityIn")</f>
        <v>TargetQuantityIn</v>
      </c>
      <c r="F5" s="29" t="str">
        <f ca="1">IFERROR(__xludf.DUMMYFUNCTION("""COMPUTED_VALUE"""),"AllocationMethod")</f>
        <v>AllocationMethod</v>
      </c>
      <c r="G5" s="24" t="str">
        <f ca="1">IFERROR(__xludf.DUMMYFUNCTION("""COMPUTED_VALUE"""),"Broker")</f>
        <v>Broker</v>
      </c>
      <c r="H5" s="24" t="str">
        <f ca="1">IFERROR(__xludf.DUMMYFUNCTION("""COMPUTED_VALUE"""),"TIF")</f>
        <v>TIF</v>
      </c>
      <c r="I5" s="24" t="str">
        <f ca="1">IFERROR(__xludf.DUMMYFUNCTION("""COMPUTED_VALUE"""),"Order Type")</f>
        <v>Order Type</v>
      </c>
      <c r="J5" s="24" t="str">
        <f ca="1">IFERROR(__xludf.DUMMYFUNCTION("""COMPUTED_VALUE"""),"Price")</f>
        <v>Price</v>
      </c>
      <c r="K5" s="24" t="str">
        <f ca="1">IFERROR(__xludf.DUMMYFUNCTION("""COMPUTED_VALUE"""),"Stop")</f>
        <v>Stop</v>
      </c>
      <c r="L5" s="24" t="str">
        <f ca="1">IFERROR(__xludf.DUMMYFUNCTION("""COMPUTED_VALUE"""),"Limit")</f>
        <v>Limit</v>
      </c>
      <c r="M5" s="24" t="str">
        <f ca="1">IFERROR(__xludf.DUMMYFUNCTION("""COMPUTED_VALUE"""),"Strategy")</f>
        <v>Strategy</v>
      </c>
      <c r="N5" s="24" t="str">
        <f ca="1">IFERROR(__xludf.DUMMYFUNCTION("""COMPUTED_VALUE"""),"Trade Date")</f>
        <v>Trade Date</v>
      </c>
      <c r="O5" s="24" t="str">
        <f ca="1">IFERROR(__xludf.DUMMYFUNCTION("""COMPUTED_VALUE"""),"FxRate")</f>
        <v>FxRate</v>
      </c>
      <c r="P5" s="24" t="str">
        <f ca="1">IFERROR(__xludf.DUMMYFUNCTION("""COMPUTED_VALUE"""),"Notes")</f>
        <v>Notes</v>
      </c>
      <c r="Q5" s="24" t="str">
        <f ca="1">IFERROR(__xludf.DUMMYFUNCTION("""COMPUTED_VALUE"""),"Broker Notes")</f>
        <v>Broker Notes</v>
      </c>
      <c r="R5" s="24" t="str">
        <f ca="1">IFERROR(__xludf.DUMMYFUNCTION("""COMPUTED_VALUE"""),"CommissionBasis")</f>
        <v>CommissionBasis</v>
      </c>
      <c r="S5" s="24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  <c r="EX5" s="25" t="str">
        <f ca="1">IFERROR(__xludf.DUMMYFUNCTION("""COMPUTED_VALUE"""),"")</f>
        <v/>
      </c>
    </row>
    <row r="6" spans="1:154" ht="15.75" customHeight="1">
      <c r="A6" s="8"/>
      <c r="B6" s="8" t="s">
        <v>60</v>
      </c>
      <c r="C6" s="3"/>
      <c r="D6" s="8" t="s">
        <v>61</v>
      </c>
      <c r="E6" s="30">
        <v>1000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4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4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4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3"/>
      <c r="B2" s="3"/>
      <c r="C2" s="3"/>
      <c r="D2" s="3"/>
      <c r="E2" s="3"/>
      <c r="F2" s="3"/>
      <c r="G2" s="3"/>
      <c r="H2" s="3"/>
      <c r="I2" s="3"/>
      <c r="J2" s="16" t="str">
        <f ca="1">VLOOKUP($E$3,_MasterData!B4:D1000,3,FALSE)</f>
        <v>1b5S4Xpp4fgZ1ez6cK92QFnVBylqz8jhwxdAyEvwDqUI</v>
      </c>
      <c r="K2" s="16"/>
      <c r="L2" s="3"/>
      <c r="M2" s="3"/>
      <c r="N2" s="3"/>
      <c r="O2" s="3"/>
    </row>
    <row r="3" spans="1:154" ht="15.75" customHeight="1">
      <c r="A3" s="17"/>
      <c r="B3" s="4" t="s">
        <v>3</v>
      </c>
      <c r="C3" s="18" t="s">
        <v>12</v>
      </c>
      <c r="D3" s="4" t="s">
        <v>7</v>
      </c>
      <c r="E3" s="18" t="s">
        <v>13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IFERROR(__xludf.DUMMYFUNCTION("IF(C3="""","""",Transpose(IMPORTRANGE('_Settings'!$B$3,C3&amp;""!A4:A1000"")))"),"OpenTTFromPST")</f>
        <v>OpenTTFromPST</v>
      </c>
      <c r="C4" s="21" t="str">
        <f ca="1">IFERROR(__xludf.DUMMYFUNCTION("""COMPUTED_VALUE"""),"EnterDetailsOnTT")</f>
        <v>EnterDetailsOnTT</v>
      </c>
      <c r="D4" s="21" t="str">
        <f ca="1">IFERROR(__xludf.DUMMYFUNCTION("""COMPUTED_VALUE"""),"ValidateSymbolTT")</f>
        <v>ValidateSymbolTT</v>
      </c>
      <c r="E4" s="21" t="str">
        <f ca="1">IFERROR(__xludf.DUMMYFUNCTION("""COMPUTED_VALUE"""),"VerifyDataTT")</f>
        <v>VerifyDataTT</v>
      </c>
      <c r="F4" s="21" t="str">
        <f ca="1">IFERROR(__xludf.DUMMYFUNCTION("""COMPUTED_VALUE"""),"SetUIPreferencesTT")</f>
        <v>SetUIPreferencesTT</v>
      </c>
      <c r="G4" s="21" t="str">
        <f ca="1">IFERROR(__xludf.DUMMYFUNCTION("""COMPUTED_VALUE"""),"SetBrokerWisePreferencesTT")</f>
        <v>SetBrokerWisePreferencesTT</v>
      </c>
      <c r="H4" s="21" t="str">
        <f ca="1">IFERROR(__xludf.DUMMYFUNCTION("""COMPUTED_VALUE"""),"TradeNewSub")</f>
        <v>TradeNewSub</v>
      </c>
      <c r="I4" s="21" t="str">
        <f ca="1">IFERROR(__xludf.DUMMYFUNCTION("""COMPUTED_VALUE"""),"CreateStageOrder")</f>
        <v>CreateStageOrder</v>
      </c>
      <c r="J4" s="21" t="str">
        <f ca="1">IFERROR(__xludf.DUMMYFUNCTION("""COMPUTED_VALUE"""),"CreateReplaceOrder")</f>
        <v>CreateReplaceOrder</v>
      </c>
      <c r="K4" s="21" t="str">
        <f ca="1">IFERROR(__xludf.DUMMYFUNCTION("""COMPUTED_VALUE"""),"SetGeneralPreference")</f>
        <v>SetGeneralPreference</v>
      </c>
      <c r="L4" s="21" t="str">
        <f ca="1">IFERROR(__xludf.DUMMYFUNCTION("""COMPUTED_VALUE"""),"CreateDoneAwayOrder")</f>
        <v>CreateDoneAwayOrder</v>
      </c>
      <c r="M4" s="21" t="str">
        <f ca="1">IFERROR(__xludf.DUMMYFUNCTION("""COMPUTED_VALUE"""),"CreateNewSubOrder")</f>
        <v>CreateNewSubOrder</v>
      </c>
      <c r="N4" s="21" t="str">
        <f ca="1">IFERROR(__xludf.DUMMYFUNCTION("""COMPUTED_VALUE"""),"TradeBloomberg")</f>
        <v>TradeBloomberg</v>
      </c>
      <c r="O4" s="21" t="str">
        <f ca="1">IFERROR(__xludf.DUMMYFUNCTION("""COMPUTED_VALUE"""),"ClickSymbolLookup")</f>
        <v>ClickSymbolLookup</v>
      </c>
      <c r="P4" s="22" t="str">
        <f ca="1">IFERROR(__xludf.DUMMYFUNCTION("""COMPUTED_VALUE"""),"VerifyTT")</f>
        <v>VerifyTT</v>
      </c>
      <c r="Q4" s="22" t="str">
        <f ca="1">IFERROR(__xludf.DUMMYFUNCTION("""COMPUTED_VALUE"""),"CreateLiveOrder")</f>
        <v>CreateLiveOrder</v>
      </c>
      <c r="R4" s="22" t="str">
        <f ca="1">IFERROR(__xludf.DUMMYFUNCTION("""COMPUTED_VALUE"""),"")</f>
        <v/>
      </c>
      <c r="S4" s="22" t="str">
        <f ca="1">IFERROR(__xludf.DUMMYFUNCTION("""COMPUTED_VALUE"""),"")</f>
        <v/>
      </c>
      <c r="T4" s="22" t="str">
        <f ca="1">IFERROR(__xludf.DUMMYFUNCTION("""COMPUTED_VALUE"""),"")</f>
        <v/>
      </c>
      <c r="U4" s="22" t="str">
        <f ca="1">IFERROR(__xludf.DUMMYFUNCTION("""COMPUTED_VALUE"""),"")</f>
        <v/>
      </c>
      <c r="V4" s="22" t="str">
        <f ca="1">IFERROR(__xludf.DUMMYFUNCTION("""COMPUTED_VALUE"""),"")</f>
        <v/>
      </c>
      <c r="W4" s="22" t="str">
        <f ca="1">IFERROR(__xludf.DUMMYFUNCTION("""COMPUTED_VALUE"""),"")</f>
        <v/>
      </c>
      <c r="X4" s="22" t="str">
        <f ca="1">IFERROR(__xludf.DUMMYFUNCTION("""COMPUTED_VALUE"""),"")</f>
        <v/>
      </c>
      <c r="Y4" s="22" t="str">
        <f ca="1">IFERROR(__xludf.DUMMYFUNCTION("""COMPUTED_VALUE"""),"")</f>
        <v/>
      </c>
      <c r="Z4" s="22" t="str">
        <f ca="1">IFERROR(__xludf.DUMMYFUNCTION("""COMPUTED_VALUE"""),"")</f>
        <v/>
      </c>
      <c r="AA4" s="22" t="str">
        <f ca="1">IFERROR(__xludf.DUMMYFUNCTION("""COMPUTED_VALUE"""),"")</f>
        <v/>
      </c>
      <c r="AB4" s="22" t="str">
        <f ca="1">IFERROR(__xludf.DUMMYFUNCTION("""COMPUTED_VALUE"""),"")</f>
        <v/>
      </c>
      <c r="AC4" s="22" t="str">
        <f ca="1">IFERROR(__xludf.DUMMYFUNCTION("""COMPUTED_VALUE"""),"")</f>
        <v/>
      </c>
      <c r="AD4" s="22" t="str">
        <f ca="1">IFERROR(__xludf.DUMMYFUNCTION("""COMPUTED_VALUE"""),"")</f>
        <v/>
      </c>
      <c r="AE4" s="22" t="str">
        <f ca="1">IFERROR(__xludf.DUMMYFUNCTION("""COMPUTED_VALUE"""),"")</f>
        <v/>
      </c>
      <c r="AF4" s="22" t="str">
        <f ca="1">IFERROR(__xludf.DUMMYFUNCTION("""COMPUTED_VALUE"""),"")</f>
        <v/>
      </c>
      <c r="AG4" s="22" t="str">
        <f ca="1">IFERROR(__xludf.DUMMYFUNCTION("""COMPUTED_VALUE"""),"")</f>
        <v/>
      </c>
      <c r="AH4" s="22" t="str">
        <f ca="1">IFERROR(__xludf.DUMMYFUNCTION("""COMPUTED_VALUE"""),"")</f>
        <v/>
      </c>
      <c r="AI4" s="22" t="str">
        <f ca="1">IFERROR(__xludf.DUMMYFUNCTION("""COMPUTED_VALUE"""),"")</f>
        <v/>
      </c>
      <c r="AJ4" s="22" t="str">
        <f ca="1">IFERROR(__xludf.DUMMYFUNCTION("""COMPUTED_VALUE"""),"")</f>
        <v/>
      </c>
      <c r="AK4" s="22" t="str">
        <f ca="1">IFERROR(__xludf.DUMMYFUNCTION("""COMPUTED_VALUE"""),"")</f>
        <v/>
      </c>
      <c r="AL4" s="22" t="str">
        <f ca="1">IFERROR(__xludf.DUMMYFUNCTION("""COMPUTED_VALUE"""),"")</f>
        <v/>
      </c>
      <c r="AM4" s="22" t="str">
        <f ca="1">IFERROR(__xludf.DUMMYFUNCTION("""COMPUTED_VALUE"""),"")</f>
        <v/>
      </c>
      <c r="AN4" s="22" t="str">
        <f ca="1">IFERROR(__xludf.DUMMYFUNCTION("""COMPUTED_VALUE"""),"")</f>
        <v/>
      </c>
      <c r="AO4" s="22" t="str">
        <f ca="1">IFERROR(__xludf.DUMMYFUNCTION("""COMPUTED_VALUE"""),"")</f>
        <v/>
      </c>
      <c r="AP4" s="22" t="str">
        <f ca="1">IFERROR(__xludf.DUMMYFUNCTION("""COMPUTED_VALUE"""),"")</f>
        <v/>
      </c>
      <c r="AQ4" s="22" t="str">
        <f ca="1">IFERROR(__xludf.DUMMYFUNCTION("""COMPUTED_VALUE"""),"")</f>
        <v/>
      </c>
      <c r="AR4" s="22" t="str">
        <f ca="1">IFERROR(__xludf.DUMMYFUNCTION("""COMPUTED_VALUE"""),"")</f>
        <v/>
      </c>
      <c r="AS4" s="22" t="str">
        <f ca="1">IFERROR(__xludf.DUMMYFUNCTION("""COMPUTED_VALUE"""),"")</f>
        <v/>
      </c>
      <c r="AT4" s="22" t="str">
        <f ca="1">IFERROR(__xludf.DUMMYFUNCTION("""COMPUTED_VALUE"""),"")</f>
        <v/>
      </c>
      <c r="AU4" s="22" t="str">
        <f ca="1">IFERROR(__xludf.DUMMYFUNCTION("""COMPUTED_VALUE"""),"")</f>
        <v/>
      </c>
      <c r="AV4" s="22" t="str">
        <f ca="1">IFERROR(__xludf.DUMMYFUNCTION("""COMPUTED_VALUE"""),"")</f>
        <v/>
      </c>
      <c r="AW4" s="22" t="str">
        <f ca="1">IFERROR(__xludf.DUMMYFUNCTION("""COMPUTED_VALUE"""),"")</f>
        <v/>
      </c>
      <c r="AX4" s="22" t="str">
        <f ca="1">IFERROR(__xludf.DUMMYFUNCTION("""COMPUTED_VALUE"""),"")</f>
        <v/>
      </c>
      <c r="AY4" s="22" t="str">
        <f ca="1">IFERROR(__xludf.DUMMYFUNCTION("""COMPUTED_VALUE"""),"")</f>
        <v/>
      </c>
      <c r="AZ4" s="22" t="str">
        <f ca="1">IFERROR(__xludf.DUMMYFUNCTION("""COMPUTED_VALUE"""),"")</f>
        <v/>
      </c>
      <c r="BA4" s="22" t="str">
        <f ca="1">IFERROR(__xludf.DUMMYFUNCTION("""COMPUTED_VALUE"""),"")</f>
        <v/>
      </c>
      <c r="BB4" s="22" t="str">
        <f ca="1">IFERROR(__xludf.DUMMYFUNCTION("""COMPUTED_VALUE"""),"")</f>
        <v/>
      </c>
      <c r="BC4" s="22" t="str">
        <f ca="1">IFERROR(__xludf.DUMMYFUNCTION("""COMPUTED_VALUE"""),"")</f>
        <v/>
      </c>
      <c r="BD4" s="22" t="str">
        <f ca="1">IFERROR(__xludf.DUMMYFUNCTION("""COMPUTED_VALUE"""),"")</f>
        <v/>
      </c>
      <c r="BE4" s="22" t="str">
        <f ca="1">IFERROR(__xludf.DUMMYFUNCTION("""COMPUTED_VALUE"""),"")</f>
        <v/>
      </c>
      <c r="BF4" s="22" t="str">
        <f ca="1">IFERROR(__xludf.DUMMYFUNCTION("""COMPUTED_VALUE"""),"")</f>
        <v/>
      </c>
      <c r="BG4" s="22" t="str">
        <f ca="1">IFERROR(__xludf.DUMMYFUNCTION("""COMPUTED_VALUE"""),"")</f>
        <v/>
      </c>
      <c r="BH4" s="22" t="str">
        <f ca="1">IFERROR(__xludf.DUMMYFUNCTION("""COMPUTED_VALUE"""),"")</f>
        <v/>
      </c>
      <c r="BI4" s="22" t="str">
        <f ca="1">IFERROR(__xludf.DUMMYFUNCTION("""COMPUTED_VALUE"""),"")</f>
        <v/>
      </c>
      <c r="BJ4" s="22" t="str">
        <f ca="1">IFERROR(__xludf.DUMMYFUNCTION("""COMPUTED_VALUE"""),"")</f>
        <v/>
      </c>
      <c r="BK4" s="22" t="str">
        <f ca="1">IFERROR(__xludf.DUMMYFUNCTION("""COMPUTED_VALUE"""),"")</f>
        <v/>
      </c>
      <c r="BL4" s="22" t="str">
        <f ca="1">IFERROR(__xludf.DUMMYFUNCTION("""COMPUTED_VALUE"""),"")</f>
        <v/>
      </c>
      <c r="BM4" s="22" t="str">
        <f ca="1">IFERROR(__xludf.DUMMYFUNCTION("""COMPUTED_VALUE"""),"")</f>
        <v/>
      </c>
      <c r="BN4" s="22" t="str">
        <f ca="1">IFERROR(__xludf.DUMMYFUNCTION("""COMPUTED_VALUE"""),"")</f>
        <v/>
      </c>
      <c r="BO4" s="22" t="str">
        <f ca="1">IFERROR(__xludf.DUMMYFUNCTION("""COMPUTED_VALUE"""),"")</f>
        <v/>
      </c>
      <c r="BP4" s="22" t="str">
        <f ca="1">IFERROR(__xludf.DUMMYFUNCTION("""COMPUTED_VALUE"""),"")</f>
        <v/>
      </c>
      <c r="BQ4" s="22" t="str">
        <f ca="1">IFERROR(__xludf.DUMMYFUNCTION("""COMPUTED_VALUE"""),"")</f>
        <v/>
      </c>
      <c r="BR4" s="22" t="str">
        <f ca="1">IFERROR(__xludf.DUMMYFUNCTION("""COMPUTED_VALUE"""),"")</f>
        <v/>
      </c>
      <c r="BS4" s="22" t="str">
        <f ca="1">IFERROR(__xludf.DUMMYFUNCTION("""COMPUTED_VALUE"""),"")</f>
        <v/>
      </c>
      <c r="BT4" s="22" t="str">
        <f ca="1">IFERROR(__xludf.DUMMYFUNCTION("""COMPUTED_VALUE"""),"")</f>
        <v/>
      </c>
      <c r="BU4" s="22" t="str">
        <f ca="1">IFERROR(__xludf.DUMMYFUNCTION("""COMPUTED_VALUE"""),"")</f>
        <v/>
      </c>
      <c r="BV4" s="22" t="str">
        <f ca="1">IFERROR(__xludf.DUMMYFUNCTION("""COMPUTED_VALUE"""),"")</f>
        <v/>
      </c>
      <c r="BW4" s="22" t="str">
        <f ca="1">IFERROR(__xludf.DUMMYFUNCTION("""COMPUTED_VALUE"""),"")</f>
        <v/>
      </c>
      <c r="BX4" s="22" t="str">
        <f ca="1">IFERROR(__xludf.DUMMYFUNCTION("""COMPUTED_VALUE"""),"")</f>
        <v/>
      </c>
      <c r="BY4" s="22" t="str">
        <f ca="1">IFERROR(__xludf.DUMMYFUNCTION("""COMPUTED_VALUE"""),"")</f>
        <v/>
      </c>
      <c r="BZ4" s="22" t="str">
        <f ca="1">IFERROR(__xludf.DUMMYFUNCTION("""COMPUTED_VALUE"""),"")</f>
        <v/>
      </c>
      <c r="CA4" s="22" t="str">
        <f ca="1">IFERROR(__xludf.DUMMYFUNCTION("""COMPUTED_VALUE"""),"")</f>
        <v/>
      </c>
      <c r="CB4" s="22" t="str">
        <f ca="1">IFERROR(__xludf.DUMMYFUNCTION("""COMPUTED_VALUE"""),"")</f>
        <v/>
      </c>
      <c r="CC4" s="22" t="str">
        <f ca="1">IFERROR(__xludf.DUMMYFUNCTION("""COMPUTED_VALUE"""),"")</f>
        <v/>
      </c>
      <c r="CD4" s="22" t="str">
        <f ca="1">IFERROR(__xludf.DUMMYFUNCTION("""COMPUTED_VALUE"""),"")</f>
        <v/>
      </c>
      <c r="CE4" s="22" t="str">
        <f ca="1">IFERROR(__xludf.DUMMYFUNCTION("""COMPUTED_VALUE"""),"")</f>
        <v/>
      </c>
      <c r="CF4" s="22" t="str">
        <f ca="1">IFERROR(__xludf.DUMMYFUNCTION("""COMPUTED_VALUE"""),"")</f>
        <v/>
      </c>
      <c r="CG4" s="22" t="str">
        <f ca="1">IFERROR(__xludf.DUMMYFUNCTION("""COMPUTED_VALUE"""),"")</f>
        <v/>
      </c>
      <c r="CH4" s="22" t="str">
        <f ca="1">IFERROR(__xludf.DUMMYFUNCTION("""COMPUTED_VALUE"""),"")</f>
        <v/>
      </c>
      <c r="CI4" s="22" t="str">
        <f ca="1">IFERROR(__xludf.DUMMYFUNCTION("""COMPUTED_VALUE"""),"")</f>
        <v/>
      </c>
      <c r="CJ4" s="22" t="str">
        <f ca="1">IFERROR(__xludf.DUMMYFUNCTION("""COMPUTED_VALUE"""),"")</f>
        <v/>
      </c>
      <c r="CK4" s="22" t="str">
        <f ca="1">IFERROR(__xludf.DUMMYFUNCTION("""COMPUTED_VALUE"""),"")</f>
        <v/>
      </c>
      <c r="CL4" s="22" t="str">
        <f ca="1">IFERROR(__xludf.DUMMYFUNCTION("""COMPUTED_VALUE"""),"")</f>
        <v/>
      </c>
      <c r="CM4" s="22" t="str">
        <f ca="1">IFERROR(__xludf.DUMMYFUNCTION("""COMPUTED_VALUE"""),"")</f>
        <v/>
      </c>
      <c r="CN4" s="22" t="str">
        <f ca="1">IFERROR(__xludf.DUMMYFUNCTION("""COMPUTED_VALUE"""),"")</f>
        <v/>
      </c>
      <c r="CO4" s="22" t="str">
        <f ca="1">IFERROR(__xludf.DUMMYFUNCTION("""COMPUTED_VALUE"""),"")</f>
        <v/>
      </c>
      <c r="CP4" s="22" t="str">
        <f ca="1">IFERROR(__xludf.DUMMYFUNCTION("""COMPUTED_VALUE"""),"")</f>
        <v/>
      </c>
      <c r="CQ4" s="22" t="str">
        <f ca="1">IFERROR(__xludf.DUMMYFUNCTION("""COMPUTED_VALUE"""),"")</f>
        <v/>
      </c>
      <c r="CR4" s="22" t="str">
        <f ca="1">IFERROR(__xludf.DUMMYFUNCTION("""COMPUTED_VALUE"""),"")</f>
        <v/>
      </c>
      <c r="CS4" s="22" t="str">
        <f ca="1">IFERROR(__xludf.DUMMYFUNCTION("""COMPUTED_VALUE"""),"")</f>
        <v/>
      </c>
      <c r="CT4" s="22" t="str">
        <f ca="1">IFERROR(__xludf.DUMMYFUNCTION("""COMPUTED_VALUE"""),"")</f>
        <v/>
      </c>
      <c r="CU4" s="22" t="str">
        <f ca="1">IFERROR(__xludf.DUMMYFUNCTION("""COMPUTED_VALUE"""),"")</f>
        <v/>
      </c>
      <c r="CV4" s="22" t="str">
        <f ca="1">IFERROR(__xludf.DUMMYFUNCTION("""COMPUTED_VALUE"""),"")</f>
        <v/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  <c r="EX4" s="22" t="str">
        <f ca="1">IFERROR(__xludf.DUMMYFUNCTION("""COMPUTED_VALUE"""),"")</f>
        <v/>
      </c>
    </row>
    <row r="5" spans="1:154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IFERROR(__xludf.DUMMYFUNCTION("""COMPUTED_VALUE"""),"Symbol")</f>
        <v>Symbol</v>
      </c>
      <c r="C5" s="24" t="str">
        <f ca="1">IFERROR(__xludf.DUMMYFUNCTION("""COMPUTED_VALUE"""),"Order Side")</f>
        <v>Order Side</v>
      </c>
      <c r="D5" s="24" t="str">
        <f ca="1">IFERROR(__xludf.DUMMYFUNCTION("""COMPUTED_VALUE"""),"Quantity")</f>
        <v>Quantity</v>
      </c>
      <c r="E5" s="24" t="str">
        <f ca="1">IFERROR(__xludf.DUMMYFUNCTION("""COMPUTED_VALUE"""),"TargetQuantityIn")</f>
        <v>TargetQuantityIn</v>
      </c>
      <c r="F5" s="29" t="str">
        <f ca="1">IFERROR(__xludf.DUMMYFUNCTION("""COMPUTED_VALUE"""),"AllocationMethod")</f>
        <v>AllocationMethod</v>
      </c>
      <c r="G5" s="24" t="str">
        <f ca="1">IFERROR(__xludf.DUMMYFUNCTION("""COMPUTED_VALUE"""),"Broker")</f>
        <v>Broker</v>
      </c>
      <c r="H5" s="24" t="str">
        <f ca="1">IFERROR(__xludf.DUMMYFUNCTION("""COMPUTED_VALUE"""),"TIF")</f>
        <v>TIF</v>
      </c>
      <c r="I5" s="24" t="str">
        <f ca="1">IFERROR(__xludf.DUMMYFUNCTION("""COMPUTED_VALUE"""),"Order Type")</f>
        <v>Order Type</v>
      </c>
      <c r="J5" s="24" t="str">
        <f ca="1">IFERROR(__xludf.DUMMYFUNCTION("""COMPUTED_VALUE"""),"Price")</f>
        <v>Price</v>
      </c>
      <c r="K5" s="24" t="str">
        <f ca="1">IFERROR(__xludf.DUMMYFUNCTION("""COMPUTED_VALUE"""),"Stop")</f>
        <v>Stop</v>
      </c>
      <c r="L5" s="24" t="str">
        <f ca="1">IFERROR(__xludf.DUMMYFUNCTION("""COMPUTED_VALUE"""),"Limit")</f>
        <v>Limit</v>
      </c>
      <c r="M5" s="24" t="str">
        <f ca="1">IFERROR(__xludf.DUMMYFUNCTION("""COMPUTED_VALUE"""),"Strategy")</f>
        <v>Strategy</v>
      </c>
      <c r="N5" s="24" t="str">
        <f ca="1">IFERROR(__xludf.DUMMYFUNCTION("""COMPUTED_VALUE"""),"Trade Date")</f>
        <v>Trade Date</v>
      </c>
      <c r="O5" s="24" t="str">
        <f ca="1">IFERROR(__xludf.DUMMYFUNCTION("""COMPUTED_VALUE"""),"FxRate")</f>
        <v>FxRate</v>
      </c>
      <c r="P5" s="24" t="str">
        <f ca="1">IFERROR(__xludf.DUMMYFUNCTION("""COMPUTED_VALUE"""),"Notes")</f>
        <v>Notes</v>
      </c>
      <c r="Q5" s="24" t="str">
        <f ca="1">IFERROR(__xludf.DUMMYFUNCTION("""COMPUTED_VALUE"""),"Broker Notes")</f>
        <v>Broker Notes</v>
      </c>
      <c r="R5" s="24" t="str">
        <f ca="1">IFERROR(__xludf.DUMMYFUNCTION("""COMPUTED_VALUE"""),"CommissionBasis")</f>
        <v>CommissionBasis</v>
      </c>
      <c r="S5" s="24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  <c r="EX5" s="25" t="str">
        <f ca="1">IFERROR(__xludf.DUMMYFUNCTION("""COMPUTED_VALUE"""),"")</f>
        <v/>
      </c>
    </row>
    <row r="6" spans="1:154" ht="15.75" customHeight="1">
      <c r="A6" s="8"/>
      <c r="B6" s="8" t="s">
        <v>60</v>
      </c>
      <c r="C6" s="3"/>
      <c r="D6" s="8" t="s">
        <v>61</v>
      </c>
      <c r="E6" s="30">
        <v>1000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4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4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4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7" t="s">
        <v>11</v>
      </c>
      <c r="C1" s="38"/>
      <c r="D1" s="38"/>
      <c r="E1" s="38"/>
      <c r="F1" s="38"/>
      <c r="G1" s="38"/>
      <c r="H1" s="3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3"/>
      <c r="B2" s="3"/>
      <c r="C2" s="3"/>
      <c r="D2" s="3"/>
      <c r="E2" s="3"/>
      <c r="F2" s="3"/>
      <c r="G2" s="3"/>
      <c r="H2" s="3"/>
      <c r="I2" s="3"/>
      <c r="J2" s="16" t="str">
        <f ca="1">VLOOKUP($E$3,_MasterData!B4:D1000,3,FALSE)</f>
        <v>1lI4loUxqzsE3IjuxIjsVY3cB4J_eTKFPPDuXngut4FE</v>
      </c>
      <c r="K2" s="16"/>
      <c r="L2" s="3"/>
      <c r="M2" s="3"/>
      <c r="N2" s="3"/>
      <c r="O2" s="3"/>
    </row>
    <row r="3" spans="1:154" ht="15.75" customHeight="1">
      <c r="A3" s="17"/>
      <c r="B3" s="4" t="s">
        <v>3</v>
      </c>
      <c r="C3" s="18" t="s">
        <v>36</v>
      </c>
      <c r="D3" s="4" t="s">
        <v>7</v>
      </c>
      <c r="E3" s="18" t="s">
        <v>62</v>
      </c>
      <c r="F3" s="4" t="s">
        <v>14</v>
      </c>
      <c r="G3" s="19" t="s">
        <v>15</v>
      </c>
      <c r="H3" s="4"/>
      <c r="I3" s="17"/>
      <c r="J3" s="17"/>
      <c r="K3" s="17"/>
      <c r="L3" s="17"/>
      <c r="M3" s="17"/>
      <c r="N3" s="17"/>
      <c r="O3" s="17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spans="1:154" ht="15.75" customHeight="1">
      <c r="A4" s="21"/>
      <c r="B4" s="21" t="str">
        <f ca="1">IFERROR(__xludf.DUMMYFUNCTION("IF(C3="""","""",Transpose(IMPORTRANGE('_Settings'!$B$3,C3&amp;""!A4:A1000"")))"),"Allocate")</f>
        <v>Allocate</v>
      </c>
      <c r="C4" s="21" t="str">
        <f ca="1">IFERROR(__xludf.DUMMYFUNCTION("""COMPUTED_VALUE"""),"CheckAllocatedGroups")</f>
        <v>CheckAllocatedGroups</v>
      </c>
      <c r="D4" s="21" t="str">
        <f ca="1">IFERROR(__xludf.DUMMYFUNCTION("""COMPUTED_VALUE"""),"Unallocate")</f>
        <v>Unallocate</v>
      </c>
      <c r="E4" s="21" t="str">
        <f ca="1">IFERROR(__xludf.DUMMYFUNCTION("""COMPUTED_VALUE"""),"GetDataAllocation")</f>
        <v>GetDataAllocation</v>
      </c>
      <c r="F4" s="21" t="str">
        <f ca="1">IFERROR(__xludf.DUMMYFUNCTION("""COMPUTED_VALUE"""),"SelectAllocatedGroup")</f>
        <v>SelectAllocatedGroup</v>
      </c>
      <c r="G4" s="21" t="str">
        <f ca="1">IFERROR(__xludf.DUMMYFUNCTION("""COMPUTED_VALUE"""),"EditTradesAllocated")</f>
        <v>EditTradesAllocated</v>
      </c>
      <c r="H4" s="21" t="str">
        <f ca="1">IFERROR(__xludf.DUMMYFUNCTION("""COMPUTED_VALUE"""),"EditTradesUnallocated")</f>
        <v>EditTradesUnallocated</v>
      </c>
      <c r="I4" s="21" t="str">
        <f ca="1">IFERROR(__xludf.DUMMYFUNCTION("""COMPUTED_VALUE"""),"Reallocate")</f>
        <v>Reallocate</v>
      </c>
      <c r="J4" s="21" t="str">
        <f ca="1">IFERROR(__xludf.DUMMYFUNCTION("""COMPUTED_VALUE"""),"EditUnallocatedGroupSidePanel")</f>
        <v>EditUnallocatedGroupSidePanel</v>
      </c>
      <c r="K4" s="21" t="str">
        <f ca="1">IFERROR(__xludf.DUMMYFUNCTION("""COMPUTED_VALUE"""),"TradeAttributeBulkChange")</f>
        <v>TradeAttributeBulkChange</v>
      </c>
      <c r="L4" s="21" t="str">
        <f ca="1">IFERROR(__xludf.DUMMYFUNCTION("""COMPUTED_VALUE"""),"ApplyBulkUpdateOnGroups")</f>
        <v>ApplyBulkUpdateOnGroups</v>
      </c>
      <c r="M4" s="21" t="str">
        <f ca="1">IFERROR(__xludf.DUMMYFUNCTION("""COMPUTED_VALUE"""),"ApplyPrefetchFilters")</f>
        <v>ApplyPrefetchFilters</v>
      </c>
      <c r="N4" s="21" t="str">
        <f ca="1">IFERROR(__xludf.DUMMYFUNCTION("""COMPUTED_VALUE"""),"GeneralPreferencesDefaultRule")</f>
        <v>GeneralPreferencesDefaultRule</v>
      </c>
      <c r="O4" s="21" t="str">
        <f ca="1">IFERROR(__xludf.DUMMYFUNCTION("""COMPUTED_VALUE"""),"GeneralPrefCompanyUserWise")</f>
        <v>GeneralPrefCompanyUserWise</v>
      </c>
      <c r="P4" s="22" t="str">
        <f ca="1">IFERROR(__xludf.DUMMYFUNCTION("""COMPUTED_VALUE"""),"RenameTradeAttributes")</f>
        <v>RenameTradeAttributes</v>
      </c>
      <c r="Q4" s="22" t="str">
        <f ca="1">IFERROR(__xludf.DUMMYFUNCTION("""COMPUTED_VALUE"""),"SetGroupingRules")</f>
        <v>SetGroupingRules</v>
      </c>
      <c r="R4" s="22" t="str">
        <f ca="1">IFERROR(__xludf.DUMMYFUNCTION("""COMPUTED_VALUE"""),"SetMasterFundRatio")</f>
        <v>SetMasterFundRatio</v>
      </c>
      <c r="S4" s="22" t="str">
        <f ca="1">IFERROR(__xludf.DUMMYFUNCTION("""COMPUTED_VALUE"""),"CheckFixedPreference")</f>
        <v>CheckFixedPreference</v>
      </c>
      <c r="T4" s="22" t="str">
        <f ca="1">IFERROR(__xludf.DUMMYFUNCTION("""COMPUTED_VALUE"""),"GetFixedPreference")</f>
        <v>GetFixedPreference</v>
      </c>
      <c r="U4" s="22" t="str">
        <f ca="1">IFERROR(__xludf.DUMMYFUNCTION("""COMPUTED_VALUE"""),"AddCalculatedPreferences")</f>
        <v>AddCalculatedPreferences</v>
      </c>
      <c r="V4" s="22" t="str">
        <f ca="1">IFERROR(__xludf.DUMMYFUNCTION("""COMPUTED_VALUE"""),"BulkChangeCalculatedPreferences")</f>
        <v>BulkChangeCalculatedPreferences</v>
      </c>
      <c r="W4" s="22" t="str">
        <f ca="1">IFERROR(__xludf.DUMMYFUNCTION("""COMPUTED_VALUE"""),"DeleteCalculatedPreferences")</f>
        <v>DeleteCalculatedPreferences</v>
      </c>
      <c r="X4" s="22" t="str">
        <f ca="1">IFERROR(__xludf.DUMMYFUNCTION("""COMPUTED_VALUE"""),"RenameCalculatedPreferences")</f>
        <v>RenameCalculatedPreferences</v>
      </c>
      <c r="Y4" s="22" t="str">
        <f ca="1">IFERROR(__xludf.DUMMYFUNCTION("""COMPUTED_VALUE"""),"CopyCalculatedPreferences")</f>
        <v>CopyCalculatedPreferences</v>
      </c>
      <c r="Z4" s="22" t="str">
        <f ca="1">IFERROR(__xludf.DUMMYFUNCTION("""COMPUTED_VALUE"""),"RunAutoGroup")</f>
        <v>RunAutoGroup</v>
      </c>
      <c r="AA4" s="22" t="str">
        <f ca="1">IFERROR(__xludf.DUMMYFUNCTION("""COMPUTED_VALUE"""),"BookOrUpdateSwap")</f>
        <v>BookOrUpdateSwap</v>
      </c>
      <c r="AB4" s="22" t="str">
        <f ca="1">IFERROR(__xludf.DUMMYFUNCTION("""COMPUTED_VALUE"""),"RunProrata")</f>
        <v>RunProrata</v>
      </c>
      <c r="AC4" s="22" t="str">
        <f ca="1">IFERROR(__xludf.DUMMYFUNCTION("""COMPUTED_VALUE"""),"SetDefaultRuleCalculatedPref")</f>
        <v>SetDefaultRuleCalculatedPref</v>
      </c>
      <c r="AD4" s="22" t="str">
        <f ca="1">IFERROR(__xludf.DUMMYFUNCTION("""COMPUTED_VALUE"""),"SetAccountValueCalculatedPref")</f>
        <v>SetAccountValueCalculatedPref</v>
      </c>
      <c r="AE4" s="22" t="str">
        <f ca="1">IFERROR(__xludf.DUMMYFUNCTION("""COMPUTED_VALUE"""),"TradeAttributeBulkChangeGroups")</f>
        <v>TradeAttributeBulkChangeGroups</v>
      </c>
      <c r="AF4" s="22" t="str">
        <f ca="1">IFERROR(__xludf.DUMMYFUNCTION("""COMPUTED_VALUE"""),"TradeAttributeBulkChangeTaxlots")</f>
        <v>TradeAttributeBulkChangeTaxlots</v>
      </c>
      <c r="AG4" s="22" t="str">
        <f ca="1">IFERROR(__xludf.DUMMYFUNCTION("""COMPUTED_VALUE"""),"AddCalculatedPreferenceToolbar")</f>
        <v>AddCalculatedPreferenceToolbar</v>
      </c>
      <c r="AH4" s="22" t="str">
        <f ca="1">IFERROR(__xludf.DUMMYFUNCTION("""COMPUTED_VALUE"""),"SetStrategyValueCalculatedPref")</f>
        <v>SetStrategyValueCalculatedPref</v>
      </c>
      <c r="AI4" s="22" t="str">
        <f ca="1">IFERROR(__xludf.DUMMYFUNCTION("""COMPUTED_VALUE"""),"ApplyBulkUpdateOnTaxlots")</f>
        <v>ApplyBulkUpdateOnTaxlots</v>
      </c>
      <c r="AJ4" s="22" t="str">
        <f ca="1">IFERROR(__xludf.DUMMYFUNCTION("""COMPUTED_VALUE"""),"CommissionBulkChangeOnGroups")</f>
        <v>CommissionBulkChangeOnGroups</v>
      </c>
      <c r="AK4" s="22" t="str">
        <f ca="1">IFERROR(__xludf.DUMMYFUNCTION("""COMPUTED_VALUE"""),"CommissionBulkChangeOnTaxlots")</f>
        <v>CommissionBulkChangeOnTaxlots</v>
      </c>
      <c r="AL4" s="22" t="str">
        <f ca="1">IFERROR(__xludf.DUMMYFUNCTION("""COMPUTED_VALUE"""),"SelectUnallocatedGroup")</f>
        <v>SelectUnallocatedGroup</v>
      </c>
      <c r="AM4" s="22" t="str">
        <f ca="1">IFERROR(__xludf.DUMMYFUNCTION("""COMPUTED_VALUE"""),"EnterAccountValuesToAllocate")</f>
        <v>EnterAccountValuesToAllocate</v>
      </c>
      <c r="AN4" s="22" t="str">
        <f ca="1">IFERROR(__xludf.DUMMYFUNCTION("""COMPUTED_VALUE"""),"EnterAllocatePreference")</f>
        <v>EnterAllocatePreference</v>
      </c>
      <c r="AO4" s="22" t="str">
        <f ca="1">IFERROR(__xludf.DUMMYFUNCTION("""COMPUTED_VALUE"""),"EnterStrategyValuesToAllocate")</f>
        <v>EnterStrategyValuesToAllocate</v>
      </c>
      <c r="AP4" s="22" t="str">
        <f ca="1">IFERROR(__xludf.DUMMYFUNCTION("""COMPUTED_VALUE"""),"CopyCalculatedPreferenceToolbar")</f>
        <v>CopyCalculatedPreferenceToolbar</v>
      </c>
      <c r="AQ4" s="22" t="str">
        <f ca="1">IFERROR(__xludf.DUMMYFUNCTION("""COMPUTED_VALUE"""),"SetGeneralRuleCalculatedPref")</f>
        <v>SetGeneralRuleCalculatedPref</v>
      </c>
      <c r="AR4" s="22" t="str">
        <f ca="1">IFERROR(__xludf.DUMMYFUNCTION("""COMPUTED_VALUE"""),"ExportAllCalculatedPreferences")</f>
        <v>ExportAllCalculatedPreferences</v>
      </c>
      <c r="AS4" s="22" t="str">
        <f ca="1">IFERROR(__xludf.DUMMYFUNCTION("""COMPUTED_VALUE"""),"SaveCalculatedPreferences")</f>
        <v>SaveCalculatedPreferences</v>
      </c>
      <c r="AT4" s="22" t="str">
        <f ca="1">IFERROR(__xludf.DUMMYFUNCTION("""COMPUTED_VALUE"""),"CloseCalculatedPreferences")</f>
        <v>CloseCalculatedPreferences</v>
      </c>
      <c r="AU4" s="22" t="str">
        <f ca="1">IFERROR(__xludf.DUMMYFUNCTION("""COMPUTED_VALUE"""),"ExportCalculatedPreference")</f>
        <v>ExportCalculatedPreference</v>
      </c>
      <c r="AV4" s="22" t="str">
        <f ca="1">IFERROR(__xludf.DUMMYFUNCTION("""COMPUTED_VALUE"""),"ImportCalculatedPreferences")</f>
        <v>ImportCalculatedPreferences</v>
      </c>
      <c r="AW4" s="22" t="str">
        <f ca="1">IFERROR(__xludf.DUMMYFUNCTION("""COMPUTED_VALUE"""),"OpenAuditTrailUnallocatedGroup")</f>
        <v>OpenAuditTrailUnallocatedGroup</v>
      </c>
      <c r="AX4" s="22" t="str">
        <f ca="1">IFERROR(__xludf.DUMMYFUNCTION("""COMPUTED_VALUE"""),"DeleteCalculatedPreferencesTool")</f>
        <v>DeleteCalculatedPreferencesTool</v>
      </c>
      <c r="AY4" s="22" t="str">
        <f ca="1">IFERROR(__xludf.DUMMYFUNCTION("""COMPUTED_VALUE"""),"ImportCalculatedPreferencesTool")</f>
        <v>ImportCalculatedPreferencesTool</v>
      </c>
      <c r="AZ4" s="22" t="str">
        <f ca="1">IFERROR(__xludf.DUMMYFUNCTION("""COMPUTED_VALUE"""),"ExportAllCalculatedPreferTool")</f>
        <v>ExportAllCalculatedPreferTool</v>
      </c>
      <c r="BA4" s="22" t="str">
        <f ca="1">IFERROR(__xludf.DUMMYFUNCTION("""COMPUTED_VALUE"""),"OpenAuditTrailAllocatedGroup")</f>
        <v>OpenAuditTrailAllocatedGroup</v>
      </c>
      <c r="BB4" s="22" t="str">
        <f ca="1">IFERROR(__xludf.DUMMYFUNCTION("""COMPUTED_VALUE"""),"OpenSymbolLookupUnallocateGroup")</f>
        <v>OpenSymbolLookupUnallocateGroup</v>
      </c>
      <c r="BC4" s="22" t="str">
        <f ca="1">IFERROR(__xludf.DUMMYFUNCTION("""COMPUTED_VALUE"""),"OpenSymbolLookupAllocatedGroup")</f>
        <v>OpenSymbolLookupAllocatedGroup</v>
      </c>
      <c r="BD4" s="22" t="str">
        <f ca="1">IFERROR(__xludf.DUMMYFUNCTION("""COMPUTED_VALUE"""),"DeleteFixedPreference")</f>
        <v>DeleteFixedPreference</v>
      </c>
      <c r="BE4" s="22" t="str">
        <f ca="1">IFERROR(__xludf.DUMMYFUNCTION("""COMPUTED_VALUE"""),"EditAllocatedGroupSidePanel")</f>
        <v>EditAllocatedGroupSidePanel</v>
      </c>
      <c r="BF4" s="22" t="str">
        <f ca="1">IFERROR(__xludf.DUMMYFUNCTION("""COMPUTED_VALUE"""),"CheckUnallocatedGroups")</f>
        <v>CheckUnallocatedGroups</v>
      </c>
      <c r="BG4" s="22" t="str">
        <f ca="1">IFERROR(__xludf.DUMMYFUNCTION("""COMPUTED_VALUE"""),"SetGeneralPreferences")</f>
        <v>SetGeneralPreferences</v>
      </c>
      <c r="BH4" s="22" t="str">
        <f ca="1">IFERROR(__xludf.DUMMYFUNCTION("""COMPUTED_VALUE"""),"GroupTrades")</f>
        <v>GroupTrades</v>
      </c>
      <c r="BI4" s="22" t="str">
        <f ca="1">IFERROR(__xludf.DUMMYFUNCTION("""COMPUTED_VALUE"""),"UngroupTrades")</f>
        <v>UngroupTrades</v>
      </c>
      <c r="BJ4" s="22" t="str">
        <f ca="1">IFERROR(__xludf.DUMMYFUNCTION("""COMPUTED_VALUE"""),"DeleteGroup")</f>
        <v>DeleteGroup</v>
      </c>
      <c r="BK4" s="22" t="str">
        <f ca="1">IFERROR(__xludf.DUMMYFUNCTION("""COMPUTED_VALUE"""),"CloseOrder")</f>
        <v>CloseOrder</v>
      </c>
      <c r="BL4" s="22" t="str">
        <f ca="1">IFERROR(__xludf.DUMMYFUNCTION("""COMPUTED_VALUE"""),"Unallocate")</f>
        <v>Unallocate</v>
      </c>
      <c r="BM4" s="22" t="str">
        <f ca="1">IFERROR(__xludf.DUMMYFUNCTION("""COMPUTED_VALUE"""),"CloseAllocation")</f>
        <v>CloseAllocation</v>
      </c>
      <c r="BN4" s="22" t="str">
        <f ca="1">IFERROR(__xludf.DUMMYFUNCTION("""COMPUTED_VALUE"""),"UpdateGRAccountValue")</f>
        <v>UpdateGRAccountValue</v>
      </c>
      <c r="BO4" s="22" t="str">
        <f ca="1">IFERROR(__xludf.DUMMYFUNCTION("""COMPUTED_VALUE"""),"UpdateGRStrategyValue")</f>
        <v>UpdateGRStrategyValue</v>
      </c>
      <c r="BP4" s="22" t="str">
        <f ca="1">IFERROR(__xludf.DUMMYFUNCTION("""COMPUTED_VALUE"""),"UpdateGRDefaultRule")</f>
        <v>UpdateGRDefaultRule</v>
      </c>
      <c r="BQ4" s="22" t="str">
        <f ca="1">IFERROR(__xludf.DUMMYFUNCTION("""COMPUTED_VALUE"""),"UpdateGeneralRulePref")</f>
        <v>UpdateGeneralRulePref</v>
      </c>
      <c r="BR4" s="22" t="str">
        <f ca="1">IFERROR(__xludf.DUMMYFUNCTION("""COMPUTED_VALUE"""),"ModifyGRPreferenceValues")</f>
        <v>ModifyGRPreferenceValues</v>
      </c>
      <c r="BS4" s="22" t="str">
        <f ca="1">IFERROR(__xludf.DUMMYFUNCTION("""COMPUTED_VALUE"""),"AddMFPreferences")</f>
        <v>AddMFPreferences</v>
      </c>
      <c r="BT4" s="22" t="str">
        <f ca="1">IFERROR(__xludf.DUMMYFUNCTION("""COMPUTED_VALUE"""),"AddMFPreferenceToolbar")</f>
        <v>AddMFPreferenceToolbar</v>
      </c>
      <c r="BU4" s="22" t="str">
        <f ca="1">IFERROR(__xludf.DUMMYFUNCTION("""COMPUTED_VALUE"""),"DeleteMFPreferences")</f>
        <v>DeleteMFPreferences</v>
      </c>
      <c r="BV4" s="22" t="str">
        <f ca="1">IFERROR(__xludf.DUMMYFUNCTION("""COMPUTED_VALUE"""),"DeleteMFPreferenceToolbar")</f>
        <v>DeleteMFPreferenceToolbar</v>
      </c>
      <c r="BW4" s="22" t="str">
        <f ca="1">IFERROR(__xludf.DUMMYFUNCTION("""COMPUTED_VALUE"""),"RenameMFPreferences")</f>
        <v>RenameMFPreferences</v>
      </c>
      <c r="BX4" s="22" t="str">
        <f ca="1">IFERROR(__xludf.DUMMYFUNCTION("""COMPUTED_VALUE"""),"SaveCloseMFPreference")</f>
        <v>SaveCloseMFPreference</v>
      </c>
      <c r="BY4" s="22" t="str">
        <f ca="1">IFERROR(__xludf.DUMMYFUNCTION("""COMPUTED_VALUE"""),"SetMFPrefAccountValues")</f>
        <v>SetMFPrefAccountValues</v>
      </c>
      <c r="BZ4" s="22" t="str">
        <f ca="1">IFERROR(__xludf.DUMMYFUNCTION("""COMPUTED_VALUE"""),"ModifyMFPrefGeneralRuleValues")</f>
        <v>ModifyMFPrefGeneralRuleValues</v>
      </c>
      <c r="CA4" s="22" t="str">
        <f ca="1">IFERROR(__xludf.DUMMYFUNCTION("""COMPUTED_VALUE"""),"SetMFPrefStrategyValues")</f>
        <v>SetMFPrefStrategyValues</v>
      </c>
      <c r="CB4" s="22" t="str">
        <f ca="1">IFERROR(__xludf.DUMMYFUNCTION("""COMPUTED_VALUE"""),"SetMFPrefGeneralRule")</f>
        <v>SetMFPrefGeneralRule</v>
      </c>
      <c r="CC4" s="22" t="str">
        <f ca="1">IFERROR(__xludf.DUMMYFUNCTION("""COMPUTED_VALUE"""),"SetMFPrefFundDistribution")</f>
        <v>SetMFPrefFundDistribution</v>
      </c>
      <c r="CD4" s="22" t="str">
        <f ca="1">IFERROR(__xludf.DUMMYFUNCTION("""COMPUTED_VALUE"""),"SetMFPreferencesDefaultRule")</f>
        <v>SetMFPreferencesDefaultRule</v>
      </c>
      <c r="CE4" s="22" t="str">
        <f ca="1">IFERROR(__xludf.DUMMYFUNCTION("""COMPUTED_VALUE"""),"SetMFPrefFundDefaultRule")</f>
        <v>SetMFPrefFundDefaultRule</v>
      </c>
      <c r="CF4" s="22" t="str">
        <f ca="1">IFERROR(__xludf.DUMMYFUNCTION("""COMPUTED_VALUE"""),"ClearPrefetchFilters")</f>
        <v>ClearPrefetchFilters</v>
      </c>
      <c r="CG4" s="22" t="str">
        <f ca="1">IFERROR(__xludf.DUMMYFUNCTION("""COMPUTED_VALUE"""),"ExpandCollapseAllUnallocated")</f>
        <v>ExpandCollapseAllUnallocated</v>
      </c>
      <c r="CH4" s="22" t="str">
        <f ca="1">IFERROR(__xludf.DUMMYFUNCTION("""COMPUTED_VALUE"""),"ExpandCollapseAllAllocated")</f>
        <v>ExpandCollapseAllAllocated</v>
      </c>
      <c r="CI4" s="22" t="str">
        <f ca="1">IFERROR(__xludf.DUMMYFUNCTION("""COMPUTED_VALUE"""),"GenerateCashTransaction")</f>
        <v>GenerateCashTransaction</v>
      </c>
      <c r="CJ4" s="22" t="str">
        <f ca="1">IFERROR(__xludf.DUMMYFUNCTION("""COMPUTED_VALUE"""),"SaveAllocation")</f>
        <v>SaveAllocation</v>
      </c>
      <c r="CK4" s="22" t="str">
        <f ca="1">IFERROR(__xludf.DUMMYFUNCTION("""COMPUTED_VALUE"""),"UnallocateWithOutSave")</f>
        <v>UnallocateWithOutSave</v>
      </c>
      <c r="CL4" s="22" t="str">
        <f ca="1">IFERROR(__xludf.DUMMYFUNCTION("""COMPUTED_VALUE"""),"EditUnallocatedGrid")</f>
        <v>EditUnallocatedGrid</v>
      </c>
      <c r="CM4" s="22" t="str">
        <f ca="1">IFERROR(__xludf.DUMMYFUNCTION("""COMPUTED_VALUE"""),"EditAllocatedGrid")</f>
        <v>EditAllocatedGrid</v>
      </c>
      <c r="CN4" s="22" t="str">
        <f ca="1">IFERROR(__xludf.DUMMYFUNCTION("""COMPUTED_VALUE"""),"SaveLayoutAllocatedGrid")</f>
        <v>SaveLayoutAllocatedGrid</v>
      </c>
      <c r="CO4" s="22" t="str">
        <f ca="1">IFERROR(__xludf.DUMMYFUNCTION("""COMPUTED_VALUE"""),"SaveLayoutUnallocatedGrid")</f>
        <v>SaveLayoutUnallocatedGrid</v>
      </c>
      <c r="CP4" s="22" t="str">
        <f ca="1">IFERROR(__xludf.DUMMYFUNCTION("""COMPUTED_VALUE"""),"SaveLayoutAllocationUI")</f>
        <v>SaveLayoutAllocationUI</v>
      </c>
      <c r="CQ4" s="22" t="str">
        <f ca="1">IFERROR(__xludf.DUMMYFUNCTION("""COMPUTED_VALUE"""),"ClearFiltersAllocatedGrid")</f>
        <v>ClearFiltersAllocatedGrid</v>
      </c>
      <c r="CR4" s="22" t="str">
        <f ca="1">IFERROR(__xludf.DUMMYFUNCTION("""COMPUTED_VALUE"""),"ClearFiltersUnallocatedGrid")</f>
        <v>ClearFiltersUnallocatedGrid</v>
      </c>
      <c r="CS4" s="22" t="str">
        <f ca="1">IFERROR(__xludf.DUMMYFUNCTION("""COMPUTED_VALUE"""),"VerifyLayoutAllocatedGrid")</f>
        <v>VerifyLayoutAllocatedGrid</v>
      </c>
      <c r="CT4" s="22" t="str">
        <f ca="1">IFERROR(__xludf.DUMMYFUNCTION("""COMPUTED_VALUE"""),"VerifyLayoutUnallocatedGrid")</f>
        <v>VerifyLayoutUnallocatedGrid</v>
      </c>
      <c r="CU4" s="22" t="str">
        <f ca="1">IFERROR(__xludf.DUMMYFUNCTION("""COMPUTED_VALUE"""),"CleanUp")</f>
        <v>CleanUp</v>
      </c>
      <c r="CV4" s="22" t="str">
        <f ca="1">IFERROR(__xludf.DUMMYFUNCTION("""COMPUTED_VALUE"""),"CheckAllocatedTaxlots")</f>
        <v>CheckAllocatedTaxlots</v>
      </c>
      <c r="CW4" s="22" t="str">
        <f ca="1">IFERROR(__xludf.DUMMYFUNCTION("""COMPUTED_VALUE"""),"")</f>
        <v/>
      </c>
      <c r="CX4" s="22" t="str">
        <f ca="1">IFERROR(__xludf.DUMMYFUNCTION("""COMPUTED_VALUE"""),"")</f>
        <v/>
      </c>
      <c r="CY4" s="22" t="str">
        <f ca="1">IFERROR(__xludf.DUMMYFUNCTION("""COMPUTED_VALUE"""),"")</f>
        <v/>
      </c>
      <c r="CZ4" s="22" t="str">
        <f ca="1">IFERROR(__xludf.DUMMYFUNCTION("""COMPUTED_VALUE"""),"")</f>
        <v/>
      </c>
      <c r="DA4" s="22" t="str">
        <f ca="1">IFERROR(__xludf.DUMMYFUNCTION("""COMPUTED_VALUE"""),"")</f>
        <v/>
      </c>
      <c r="DB4" s="22" t="str">
        <f ca="1">IFERROR(__xludf.DUMMYFUNCTION("""COMPUTED_VALUE"""),"")</f>
        <v/>
      </c>
      <c r="DC4" s="22" t="str">
        <f ca="1">IFERROR(__xludf.DUMMYFUNCTION("""COMPUTED_VALUE"""),"")</f>
        <v/>
      </c>
      <c r="DD4" s="22" t="str">
        <f ca="1">IFERROR(__xludf.DUMMYFUNCTION("""COMPUTED_VALUE"""),"")</f>
        <v/>
      </c>
      <c r="DE4" s="22" t="str">
        <f ca="1">IFERROR(__xludf.DUMMYFUNCTION("""COMPUTED_VALUE"""),"")</f>
        <v/>
      </c>
      <c r="DF4" s="22" t="str">
        <f ca="1">IFERROR(__xludf.DUMMYFUNCTION("""COMPUTED_VALUE"""),"")</f>
        <v/>
      </c>
      <c r="DG4" s="22" t="str">
        <f ca="1">IFERROR(__xludf.DUMMYFUNCTION("""COMPUTED_VALUE"""),"")</f>
        <v/>
      </c>
      <c r="DH4" s="22" t="str">
        <f ca="1">IFERROR(__xludf.DUMMYFUNCTION("""COMPUTED_VALUE"""),"")</f>
        <v/>
      </c>
      <c r="DI4" s="22" t="str">
        <f ca="1">IFERROR(__xludf.DUMMYFUNCTION("""COMPUTED_VALUE"""),"")</f>
        <v/>
      </c>
      <c r="DJ4" s="22" t="str">
        <f ca="1">IFERROR(__xludf.DUMMYFUNCTION("""COMPUTED_VALUE"""),"")</f>
        <v/>
      </c>
      <c r="DK4" s="22" t="str">
        <f ca="1">IFERROR(__xludf.DUMMYFUNCTION("""COMPUTED_VALUE"""),"")</f>
        <v/>
      </c>
      <c r="DL4" s="22" t="str">
        <f ca="1">IFERROR(__xludf.DUMMYFUNCTION("""COMPUTED_VALUE"""),"")</f>
        <v/>
      </c>
      <c r="DM4" s="22" t="str">
        <f ca="1">IFERROR(__xludf.DUMMYFUNCTION("""COMPUTED_VALUE"""),"")</f>
        <v/>
      </c>
      <c r="DN4" s="22" t="str">
        <f ca="1">IFERROR(__xludf.DUMMYFUNCTION("""COMPUTED_VALUE"""),"")</f>
        <v/>
      </c>
      <c r="DO4" s="22" t="str">
        <f ca="1">IFERROR(__xludf.DUMMYFUNCTION("""COMPUTED_VALUE"""),"")</f>
        <v/>
      </c>
      <c r="DP4" s="22" t="str">
        <f ca="1">IFERROR(__xludf.DUMMYFUNCTION("""COMPUTED_VALUE"""),"")</f>
        <v/>
      </c>
      <c r="DQ4" s="22" t="str">
        <f ca="1">IFERROR(__xludf.DUMMYFUNCTION("""COMPUTED_VALUE"""),"")</f>
        <v/>
      </c>
      <c r="DR4" s="22" t="str">
        <f ca="1">IFERROR(__xludf.DUMMYFUNCTION("""COMPUTED_VALUE"""),"")</f>
        <v/>
      </c>
      <c r="DS4" s="22" t="str">
        <f ca="1">IFERROR(__xludf.DUMMYFUNCTION("""COMPUTED_VALUE"""),"")</f>
        <v/>
      </c>
      <c r="DT4" s="22" t="str">
        <f ca="1">IFERROR(__xludf.DUMMYFUNCTION("""COMPUTED_VALUE"""),"")</f>
        <v/>
      </c>
      <c r="DU4" s="22" t="str">
        <f ca="1">IFERROR(__xludf.DUMMYFUNCTION("""COMPUTED_VALUE"""),"")</f>
        <v/>
      </c>
      <c r="DV4" s="22" t="str">
        <f ca="1">IFERROR(__xludf.DUMMYFUNCTION("""COMPUTED_VALUE"""),"")</f>
        <v/>
      </c>
      <c r="DW4" s="22" t="str">
        <f ca="1">IFERROR(__xludf.DUMMYFUNCTION("""COMPUTED_VALUE"""),"")</f>
        <v/>
      </c>
      <c r="DX4" s="22" t="str">
        <f ca="1">IFERROR(__xludf.DUMMYFUNCTION("""COMPUTED_VALUE"""),"")</f>
        <v/>
      </c>
      <c r="DY4" s="22" t="str">
        <f ca="1">IFERROR(__xludf.DUMMYFUNCTION("""COMPUTED_VALUE"""),"")</f>
        <v/>
      </c>
      <c r="DZ4" s="22" t="str">
        <f ca="1">IFERROR(__xludf.DUMMYFUNCTION("""COMPUTED_VALUE"""),"")</f>
        <v/>
      </c>
      <c r="EA4" s="22" t="str">
        <f ca="1">IFERROR(__xludf.DUMMYFUNCTION("""COMPUTED_VALUE"""),"")</f>
        <v/>
      </c>
      <c r="EB4" s="22" t="str">
        <f ca="1">IFERROR(__xludf.DUMMYFUNCTION("""COMPUTED_VALUE"""),"")</f>
        <v/>
      </c>
      <c r="EC4" s="22" t="str">
        <f ca="1">IFERROR(__xludf.DUMMYFUNCTION("""COMPUTED_VALUE"""),"")</f>
        <v/>
      </c>
      <c r="ED4" s="22" t="str">
        <f ca="1">IFERROR(__xludf.DUMMYFUNCTION("""COMPUTED_VALUE"""),"")</f>
        <v/>
      </c>
      <c r="EE4" s="22" t="str">
        <f ca="1">IFERROR(__xludf.DUMMYFUNCTION("""COMPUTED_VALUE"""),"")</f>
        <v/>
      </c>
      <c r="EF4" s="22" t="str">
        <f ca="1">IFERROR(__xludf.DUMMYFUNCTION("""COMPUTED_VALUE"""),"")</f>
        <v/>
      </c>
      <c r="EG4" s="22" t="str">
        <f ca="1">IFERROR(__xludf.DUMMYFUNCTION("""COMPUTED_VALUE"""),"")</f>
        <v/>
      </c>
      <c r="EH4" s="22" t="str">
        <f ca="1">IFERROR(__xludf.DUMMYFUNCTION("""COMPUTED_VALUE"""),"")</f>
        <v/>
      </c>
      <c r="EI4" s="22" t="str">
        <f ca="1">IFERROR(__xludf.DUMMYFUNCTION("""COMPUTED_VALUE"""),"")</f>
        <v/>
      </c>
      <c r="EJ4" s="22" t="str">
        <f ca="1">IFERROR(__xludf.DUMMYFUNCTION("""COMPUTED_VALUE"""),"")</f>
        <v/>
      </c>
      <c r="EK4" s="22" t="str">
        <f ca="1">IFERROR(__xludf.DUMMYFUNCTION("""COMPUTED_VALUE"""),"")</f>
        <v/>
      </c>
      <c r="EL4" s="22" t="str">
        <f ca="1">IFERROR(__xludf.DUMMYFUNCTION("""COMPUTED_VALUE"""),"")</f>
        <v/>
      </c>
      <c r="EM4" s="22" t="str">
        <f ca="1">IFERROR(__xludf.DUMMYFUNCTION("""COMPUTED_VALUE"""),"")</f>
        <v/>
      </c>
      <c r="EN4" s="22" t="str">
        <f ca="1">IFERROR(__xludf.DUMMYFUNCTION("""COMPUTED_VALUE"""),"")</f>
        <v/>
      </c>
      <c r="EO4" s="22" t="str">
        <f ca="1">IFERROR(__xludf.DUMMYFUNCTION("""COMPUTED_VALUE"""),"")</f>
        <v/>
      </c>
      <c r="EP4" s="22" t="str">
        <f ca="1">IFERROR(__xludf.DUMMYFUNCTION("""COMPUTED_VALUE"""),"")</f>
        <v/>
      </c>
      <c r="EQ4" s="22" t="str">
        <f ca="1">IFERROR(__xludf.DUMMYFUNCTION("""COMPUTED_VALUE"""),"")</f>
        <v/>
      </c>
      <c r="ER4" s="22" t="str">
        <f ca="1">IFERROR(__xludf.DUMMYFUNCTION("""COMPUTED_VALUE"""),"")</f>
        <v/>
      </c>
      <c r="ES4" s="22" t="str">
        <f ca="1">IFERROR(__xludf.DUMMYFUNCTION("""COMPUTED_VALUE"""),"")</f>
        <v/>
      </c>
      <c r="ET4" s="22" t="str">
        <f ca="1">IFERROR(__xludf.DUMMYFUNCTION("""COMPUTED_VALUE"""),"")</f>
        <v/>
      </c>
      <c r="EU4" s="22" t="str">
        <f ca="1">IFERROR(__xludf.DUMMYFUNCTION("""COMPUTED_VALUE"""),"")</f>
        <v/>
      </c>
      <c r="EV4" s="22" t="str">
        <f ca="1">IFERROR(__xludf.DUMMYFUNCTION("""COMPUTED_VALUE"""),"")</f>
        <v/>
      </c>
      <c r="EW4" s="22" t="str">
        <f ca="1">IFERROR(__xludf.DUMMYFUNCTION("""COMPUTED_VALUE"""),"")</f>
        <v/>
      </c>
      <c r="EX4" s="22" t="str">
        <f ca="1">IFERROR(__xludf.DUMMYFUNCTION("""COMPUTED_VALUE"""),"")</f>
        <v/>
      </c>
    </row>
    <row r="5" spans="1:154" ht="15.75" customHeight="1">
      <c r="A5" s="23" t="str">
        <f ca="1">IFERROR(__xludf.DUMMYFUNCTION("TRANSPOSE(IMPORTRANGE(VLOOKUP($E$3,IMPORTRANGE('_Settings'!$B$3,$C$3&amp;""!A4:B1000""),2,FALSE),$G$3&amp;""!A4:A1000""))"),"")</f>
        <v/>
      </c>
      <c r="B5" s="24" t="str">
        <f ca="1">IFERROR(__xludf.DUMMYFUNCTION("""COMPUTED_VALUE"""),"ValidateCheckSide")</f>
        <v>ValidateCheckSide</v>
      </c>
      <c r="C5" s="24" t="str">
        <f ca="1">IFERROR(__xludf.DUMMYFUNCTION("""COMPUTED_VALUE"""),"DisabledChecksideAssets")</f>
        <v>DisabledChecksideAssets</v>
      </c>
      <c r="D5" s="24" t="str">
        <f ca="1">IFERROR(__xludf.DUMMYFUNCTION("""COMPUTED_VALUE"""),"PrecisionValue")</f>
        <v>PrecisionValue</v>
      </c>
      <c r="E5" s="24" t="str">
        <f ca="1">IFERROR(__xludf.DUMMYFUNCTION("""COMPUTED_VALUE"""),"UseCommissionInNetAmount")</f>
        <v>UseCommissionInNetAmount</v>
      </c>
      <c r="F5" s="29" t="str">
        <f ca="1">IFERROR(__xludf.DUMMYFUNCTION("""COMPUTED_VALUE"""),"SaveWithoutState")</f>
        <v>SaveWithoutState</v>
      </c>
      <c r="G5" s="24" t="str">
        <f ca="1">IFERROR(__xludf.DUMMYFUNCTION("""COMPUTED_VALUE"""),"SaveWithState")</f>
        <v>SaveWithState</v>
      </c>
      <c r="H5" s="24" t="str">
        <f ca="1">IFERROR(__xludf.DUMMYFUNCTION("""COMPUTED_VALUE"""),"ClearQuantities")</f>
        <v>ClearQuantities</v>
      </c>
      <c r="I5" s="24" t="str">
        <f ca="1">IFERROR(__xludf.DUMMYFUNCTION("""COMPUTED_VALUE"""),"ReapplyAllocation")</f>
        <v>ReapplyAllocation</v>
      </c>
      <c r="J5" s="24" t="str">
        <f ca="1">IFERROR(__xludf.DUMMYFUNCTION("""COMPUTED_VALUE"""),"DefaultAllocation")</f>
        <v>DefaultAllocation</v>
      </c>
      <c r="K5" s="24" t="str">
        <f ca="1">IFERROR(__xludf.DUMMYFUNCTION("""COMPUTED_VALUE"""),"IsCustomPreference")</f>
        <v>IsCustomPreference</v>
      </c>
      <c r="L5" s="24" t="str">
        <f ca="1">IFERROR(__xludf.DUMMYFUNCTION("""COMPUTED_VALUE"""),"AllocationMethod")</f>
        <v>AllocationMethod</v>
      </c>
      <c r="M5" s="24" t="str">
        <f ca="1">IFERROR(__xludf.DUMMYFUNCTION("""COMPUTED_VALUE"""),"RemainderAllocationTo")</f>
        <v>RemainderAllocationTo</v>
      </c>
      <c r="N5" s="24" t="str">
        <f ca="1">IFERROR(__xludf.DUMMYFUNCTION("""COMPUTED_VALUE"""),"Target%AsOf")</f>
        <v>Target%AsOf</v>
      </c>
      <c r="O5" s="24" t="str">
        <f ca="1">IFERROR(__xludf.DUMMYFUNCTION("""COMPUTED_VALUE"""),"ProrataAccounts")</f>
        <v>ProrataAccounts</v>
      </c>
      <c r="P5" s="24" t="str">
        <f ca="1">IFERROR(__xludf.DUMMYFUNCTION("""COMPUTED_VALUE"""),"DateUptoDays")</f>
        <v>DateUptoDays</v>
      </c>
      <c r="Q5" s="24" t="str">
        <f ca="1">IFERROR(__xludf.DUMMYFUNCTION("""COMPUTED_VALUE"""),"MatchClosing")</f>
        <v>MatchClosing</v>
      </c>
      <c r="R5" s="24" t="str">
        <f ca="1">IFERROR(__xludf.DUMMYFUNCTION("""COMPUTED_VALUE"""),"CommissionAlertOnBrokerChange")</f>
        <v>CommissionAlertOnBrokerChange</v>
      </c>
      <c r="S5" s="24" t="str">
        <f ca="1">IFERROR(__xludf.DUMMYFUNCTION("""COMPUTED_VALUE"""),"RecalculateCommissionOnBrokerChange")</f>
        <v>RecalculateCommissionOnBrokerChange</v>
      </c>
      <c r="T5" s="25" t="str">
        <f ca="1">IFERROR(__xludf.DUMMYFUNCTION("""COMPUTED_VALUE"""),"CommissionAlertOnAllocation")</f>
        <v>CommissionAlertOnAllocation</v>
      </c>
      <c r="U5" s="25" t="str">
        <f ca="1">IFERROR(__xludf.DUMMYFUNCTION("""COMPUTED_VALUE"""),"RecalculateCommissionOnAllocation")</f>
        <v>RecalculateCommissionOnAllocation</v>
      </c>
      <c r="V5" s="25" t="str">
        <f ca="1">IFERROR(__xludf.DUMMYFUNCTION("""COMPUTED_VALUE"""),"EnableMasterFund")</f>
        <v>EnableMasterFund</v>
      </c>
      <c r="W5" s="25" t="str">
        <f ca="1">IFERROR(__xludf.DUMMYFUNCTION("""COMPUTED_VALUE"""),"1MasterFund/1Symbol")</f>
        <v>1MasterFund/1Symbol</v>
      </c>
      <c r="X5" s="25" t="str">
        <f ca="1">IFERROR(__xludf.DUMMYFUNCTION("""COMPUTED_VALUE"""),"ProrataSchemeName")</f>
        <v>ProrataSchemeName</v>
      </c>
      <c r="Y5" s="25" t="str">
        <f ca="1">IFERROR(__xludf.DUMMYFUNCTION("""COMPUTED_VALUE"""),"ProrataAllocationSchemeBasis")</f>
        <v>ProrataAllocationSchemeBasis</v>
      </c>
      <c r="Z5" s="25" t="str">
        <f ca="1">IFERROR(__xludf.DUMMYFUNCTION("""COMPUTED_VALUE"""),"ShowAdvancedProrataUI")</f>
        <v>ShowAdvancedProrataUI</v>
      </c>
      <c r="AA5" s="25" t="str">
        <f ca="1">IFERROR(__xludf.DUMMYFUNCTION("""COMPUTED_VALUE"""),"")</f>
        <v/>
      </c>
      <c r="AB5" s="25" t="str">
        <f ca="1">IFERROR(__xludf.DUMMYFUNCTION("""COMPUTED_VALUE"""),"")</f>
        <v/>
      </c>
      <c r="AC5" s="25" t="str">
        <f ca="1">IFERROR(__xludf.DUMMYFUNCTION("""COMPUTED_VALUE"""),"")</f>
        <v/>
      </c>
      <c r="AD5" s="25" t="str">
        <f ca="1">IFERROR(__xludf.DUMMYFUNCTION("""COMPUTED_VALUE"""),"")</f>
        <v/>
      </c>
      <c r="AE5" s="25" t="str">
        <f ca="1">IFERROR(__xludf.DUMMYFUNCTION("""COMPUTED_VALUE"""),"")</f>
        <v/>
      </c>
      <c r="AF5" s="25" t="str">
        <f ca="1">IFERROR(__xludf.DUMMYFUNCTION("""COMPUTED_VALUE"""),"")</f>
        <v/>
      </c>
      <c r="AG5" s="25" t="str">
        <f ca="1">IFERROR(__xludf.DUMMYFUNCTION("""COMPUTED_VALUE"""),"")</f>
        <v/>
      </c>
      <c r="AH5" s="25" t="str">
        <f ca="1">IFERROR(__xludf.DUMMYFUNCTION("""COMPUTED_VALUE"""),"")</f>
        <v/>
      </c>
      <c r="AI5" s="25" t="str">
        <f ca="1">IFERROR(__xludf.DUMMYFUNCTION("""COMPUTED_VALUE"""),"")</f>
        <v/>
      </c>
      <c r="AJ5" s="25" t="str">
        <f ca="1">IFERROR(__xludf.DUMMYFUNCTION("""COMPUTED_VALUE"""),"")</f>
        <v/>
      </c>
      <c r="AK5" s="25" t="str">
        <f ca="1">IFERROR(__xludf.DUMMYFUNCTION("""COMPUTED_VALUE"""),"")</f>
        <v/>
      </c>
      <c r="AL5" s="25" t="str">
        <f ca="1">IFERROR(__xludf.DUMMYFUNCTION("""COMPUTED_VALUE"""),"")</f>
        <v/>
      </c>
      <c r="AM5" s="25" t="str">
        <f ca="1">IFERROR(__xludf.DUMMYFUNCTION("""COMPUTED_VALUE"""),"")</f>
        <v/>
      </c>
      <c r="AN5" s="25" t="str">
        <f ca="1">IFERROR(__xludf.DUMMYFUNCTION("""COMPUTED_VALUE"""),"")</f>
        <v/>
      </c>
      <c r="AO5" s="25" t="str">
        <f ca="1">IFERROR(__xludf.DUMMYFUNCTION("""COMPUTED_VALUE"""),"")</f>
        <v/>
      </c>
      <c r="AP5" s="25" t="str">
        <f ca="1">IFERROR(__xludf.DUMMYFUNCTION("""COMPUTED_VALUE"""),"")</f>
        <v/>
      </c>
      <c r="AQ5" s="25" t="str">
        <f ca="1">IFERROR(__xludf.DUMMYFUNCTION("""COMPUTED_VALUE"""),"")</f>
        <v/>
      </c>
      <c r="AR5" s="25" t="str">
        <f ca="1">IFERROR(__xludf.DUMMYFUNCTION("""COMPUTED_VALUE"""),"")</f>
        <v/>
      </c>
      <c r="AS5" s="25" t="str">
        <f ca="1">IFERROR(__xludf.DUMMYFUNCTION("""COMPUTED_VALUE"""),"")</f>
        <v/>
      </c>
      <c r="AT5" s="25" t="str">
        <f ca="1">IFERROR(__xludf.DUMMYFUNCTION("""COMPUTED_VALUE"""),"")</f>
        <v/>
      </c>
      <c r="AU5" s="25" t="str">
        <f ca="1">IFERROR(__xludf.DUMMYFUNCTION("""COMPUTED_VALUE"""),"")</f>
        <v/>
      </c>
      <c r="AV5" s="25" t="str">
        <f ca="1">IFERROR(__xludf.DUMMYFUNCTION("""COMPUTED_VALUE"""),"")</f>
        <v/>
      </c>
      <c r="AW5" s="25" t="str">
        <f ca="1">IFERROR(__xludf.DUMMYFUNCTION("""COMPUTED_VALUE"""),"")</f>
        <v/>
      </c>
      <c r="AX5" s="25" t="str">
        <f ca="1">IFERROR(__xludf.DUMMYFUNCTION("""COMPUTED_VALUE"""),"")</f>
        <v/>
      </c>
      <c r="AY5" s="25" t="str">
        <f ca="1">IFERROR(__xludf.DUMMYFUNCTION("""COMPUTED_VALUE"""),"")</f>
        <v/>
      </c>
      <c r="AZ5" s="25" t="str">
        <f ca="1">IFERROR(__xludf.DUMMYFUNCTION("""COMPUTED_VALUE"""),"")</f>
        <v/>
      </c>
      <c r="BA5" s="25" t="str">
        <f ca="1">IFERROR(__xludf.DUMMYFUNCTION("""COMPUTED_VALUE"""),"")</f>
        <v/>
      </c>
      <c r="BB5" s="25" t="str">
        <f ca="1">IFERROR(__xludf.DUMMYFUNCTION("""COMPUTED_VALUE"""),"")</f>
        <v/>
      </c>
      <c r="BC5" s="25" t="str">
        <f ca="1">IFERROR(__xludf.DUMMYFUNCTION("""COMPUTED_VALUE"""),"")</f>
        <v/>
      </c>
      <c r="BD5" s="25" t="str">
        <f ca="1">IFERROR(__xludf.DUMMYFUNCTION("""COMPUTED_VALUE"""),"")</f>
        <v/>
      </c>
      <c r="BE5" s="25" t="str">
        <f ca="1">IFERROR(__xludf.DUMMYFUNCTION("""COMPUTED_VALUE"""),"")</f>
        <v/>
      </c>
      <c r="BF5" s="25" t="str">
        <f ca="1">IFERROR(__xludf.DUMMYFUNCTION("""COMPUTED_VALUE"""),"")</f>
        <v/>
      </c>
      <c r="BG5" s="25" t="str">
        <f ca="1">IFERROR(__xludf.DUMMYFUNCTION("""COMPUTED_VALUE"""),"")</f>
        <v/>
      </c>
      <c r="BH5" s="25" t="str">
        <f ca="1">IFERROR(__xludf.DUMMYFUNCTION("""COMPUTED_VALUE"""),"")</f>
        <v/>
      </c>
      <c r="BI5" s="25" t="str">
        <f ca="1">IFERROR(__xludf.DUMMYFUNCTION("""COMPUTED_VALUE"""),"")</f>
        <v/>
      </c>
      <c r="BJ5" s="25" t="str">
        <f ca="1">IFERROR(__xludf.DUMMYFUNCTION("""COMPUTED_VALUE"""),"")</f>
        <v/>
      </c>
      <c r="BK5" s="25" t="str">
        <f ca="1">IFERROR(__xludf.DUMMYFUNCTION("""COMPUTED_VALUE"""),"")</f>
        <v/>
      </c>
      <c r="BL5" s="25" t="str">
        <f ca="1">IFERROR(__xludf.DUMMYFUNCTION("""COMPUTED_VALUE"""),"")</f>
        <v/>
      </c>
      <c r="BM5" s="25" t="str">
        <f ca="1">IFERROR(__xludf.DUMMYFUNCTION("""COMPUTED_VALUE"""),"")</f>
        <v/>
      </c>
      <c r="BN5" s="25" t="str">
        <f ca="1">IFERROR(__xludf.DUMMYFUNCTION("""COMPUTED_VALUE"""),"")</f>
        <v/>
      </c>
      <c r="BO5" s="25" t="str">
        <f ca="1">IFERROR(__xludf.DUMMYFUNCTION("""COMPUTED_VALUE"""),"")</f>
        <v/>
      </c>
      <c r="BP5" s="25" t="str">
        <f ca="1">IFERROR(__xludf.DUMMYFUNCTION("""COMPUTED_VALUE"""),"")</f>
        <v/>
      </c>
      <c r="BQ5" s="25" t="str">
        <f ca="1">IFERROR(__xludf.DUMMYFUNCTION("""COMPUTED_VALUE"""),"")</f>
        <v/>
      </c>
      <c r="BR5" s="25" t="str">
        <f ca="1">IFERROR(__xludf.DUMMYFUNCTION("""COMPUTED_VALUE"""),"")</f>
        <v/>
      </c>
      <c r="BS5" s="25" t="str">
        <f ca="1">IFERROR(__xludf.DUMMYFUNCTION("""COMPUTED_VALUE"""),"")</f>
        <v/>
      </c>
      <c r="BT5" s="25" t="str">
        <f ca="1">IFERROR(__xludf.DUMMYFUNCTION("""COMPUTED_VALUE"""),"")</f>
        <v/>
      </c>
      <c r="BU5" s="25" t="str">
        <f ca="1">IFERROR(__xludf.DUMMYFUNCTION("""COMPUTED_VALUE"""),"")</f>
        <v/>
      </c>
      <c r="BV5" s="25" t="str">
        <f ca="1">IFERROR(__xludf.DUMMYFUNCTION("""COMPUTED_VALUE"""),"")</f>
        <v/>
      </c>
      <c r="BW5" s="25" t="str">
        <f ca="1">IFERROR(__xludf.DUMMYFUNCTION("""COMPUTED_VALUE"""),"")</f>
        <v/>
      </c>
      <c r="BX5" s="25" t="str">
        <f ca="1">IFERROR(__xludf.DUMMYFUNCTION("""COMPUTED_VALUE"""),"")</f>
        <v/>
      </c>
      <c r="BY5" s="25" t="str">
        <f ca="1">IFERROR(__xludf.DUMMYFUNCTION("""COMPUTED_VALUE"""),"")</f>
        <v/>
      </c>
      <c r="BZ5" s="25" t="str">
        <f ca="1">IFERROR(__xludf.DUMMYFUNCTION("""COMPUTED_VALUE"""),"")</f>
        <v/>
      </c>
      <c r="CA5" s="25" t="str">
        <f ca="1">IFERROR(__xludf.DUMMYFUNCTION("""COMPUTED_VALUE"""),"")</f>
        <v/>
      </c>
      <c r="CB5" s="25" t="str">
        <f ca="1">IFERROR(__xludf.DUMMYFUNCTION("""COMPUTED_VALUE"""),"")</f>
        <v/>
      </c>
      <c r="CC5" s="25" t="str">
        <f ca="1">IFERROR(__xludf.DUMMYFUNCTION("""COMPUTED_VALUE"""),"")</f>
        <v/>
      </c>
      <c r="CD5" s="25" t="str">
        <f ca="1">IFERROR(__xludf.DUMMYFUNCTION("""COMPUTED_VALUE"""),"")</f>
        <v/>
      </c>
      <c r="CE5" s="25" t="str">
        <f ca="1">IFERROR(__xludf.DUMMYFUNCTION("""COMPUTED_VALUE"""),"")</f>
        <v/>
      </c>
      <c r="CF5" s="25" t="str">
        <f ca="1">IFERROR(__xludf.DUMMYFUNCTION("""COMPUTED_VALUE"""),"")</f>
        <v/>
      </c>
      <c r="CG5" s="25" t="str">
        <f ca="1">IFERROR(__xludf.DUMMYFUNCTION("""COMPUTED_VALUE"""),"")</f>
        <v/>
      </c>
      <c r="CH5" s="25" t="str">
        <f ca="1">IFERROR(__xludf.DUMMYFUNCTION("""COMPUTED_VALUE"""),"")</f>
        <v/>
      </c>
      <c r="CI5" s="25" t="str">
        <f ca="1">IFERROR(__xludf.DUMMYFUNCTION("""COMPUTED_VALUE"""),"")</f>
        <v/>
      </c>
      <c r="CJ5" s="25" t="str">
        <f ca="1">IFERROR(__xludf.DUMMYFUNCTION("""COMPUTED_VALUE"""),"")</f>
        <v/>
      </c>
      <c r="CK5" s="25" t="str">
        <f ca="1">IFERROR(__xludf.DUMMYFUNCTION("""COMPUTED_VALUE"""),"")</f>
        <v/>
      </c>
      <c r="CL5" s="25" t="str">
        <f ca="1">IFERROR(__xludf.DUMMYFUNCTION("""COMPUTED_VALUE"""),"")</f>
        <v/>
      </c>
      <c r="CM5" s="25" t="str">
        <f ca="1">IFERROR(__xludf.DUMMYFUNCTION("""COMPUTED_VALUE"""),"")</f>
        <v/>
      </c>
      <c r="CN5" s="25" t="str">
        <f ca="1">IFERROR(__xludf.DUMMYFUNCTION("""COMPUTED_VALUE"""),"")</f>
        <v/>
      </c>
      <c r="CO5" s="25" t="str">
        <f ca="1">IFERROR(__xludf.DUMMYFUNCTION("""COMPUTED_VALUE"""),"")</f>
        <v/>
      </c>
      <c r="CP5" s="25" t="str">
        <f ca="1">IFERROR(__xludf.DUMMYFUNCTION("""COMPUTED_VALUE"""),"")</f>
        <v/>
      </c>
      <c r="CQ5" s="25" t="str">
        <f ca="1">IFERROR(__xludf.DUMMYFUNCTION("""COMPUTED_VALUE"""),"")</f>
        <v/>
      </c>
      <c r="CR5" s="25" t="str">
        <f ca="1">IFERROR(__xludf.DUMMYFUNCTION("""COMPUTED_VALUE"""),"")</f>
        <v/>
      </c>
      <c r="CS5" s="25" t="str">
        <f ca="1">IFERROR(__xludf.DUMMYFUNCTION("""COMPUTED_VALUE"""),"")</f>
        <v/>
      </c>
      <c r="CT5" s="25" t="str">
        <f ca="1">IFERROR(__xludf.DUMMYFUNCTION("""COMPUTED_VALUE"""),"")</f>
        <v/>
      </c>
      <c r="CU5" s="25" t="str">
        <f ca="1">IFERROR(__xludf.DUMMYFUNCTION("""COMPUTED_VALUE"""),"")</f>
        <v/>
      </c>
      <c r="CV5" s="25" t="str">
        <f ca="1">IFERROR(__xludf.DUMMYFUNCTION("""COMPUTED_VALUE"""),"")</f>
        <v/>
      </c>
      <c r="CW5" s="25" t="str">
        <f ca="1">IFERROR(__xludf.DUMMYFUNCTION("""COMPUTED_VALUE"""),"")</f>
        <v/>
      </c>
      <c r="CX5" s="25" t="str">
        <f ca="1">IFERROR(__xludf.DUMMYFUNCTION("""COMPUTED_VALUE"""),"")</f>
        <v/>
      </c>
      <c r="CY5" s="25" t="str">
        <f ca="1">IFERROR(__xludf.DUMMYFUNCTION("""COMPUTED_VALUE"""),"")</f>
        <v/>
      </c>
      <c r="CZ5" s="25" t="str">
        <f ca="1">IFERROR(__xludf.DUMMYFUNCTION("""COMPUTED_VALUE"""),"")</f>
        <v/>
      </c>
      <c r="DA5" s="25" t="str">
        <f ca="1">IFERROR(__xludf.DUMMYFUNCTION("""COMPUTED_VALUE"""),"")</f>
        <v/>
      </c>
      <c r="DB5" s="25" t="str">
        <f ca="1">IFERROR(__xludf.DUMMYFUNCTION("""COMPUTED_VALUE"""),"")</f>
        <v/>
      </c>
      <c r="DC5" s="25" t="str">
        <f ca="1">IFERROR(__xludf.DUMMYFUNCTION("""COMPUTED_VALUE"""),"")</f>
        <v/>
      </c>
      <c r="DD5" s="25" t="str">
        <f ca="1">IFERROR(__xludf.DUMMYFUNCTION("""COMPUTED_VALUE"""),"")</f>
        <v/>
      </c>
      <c r="DE5" s="25" t="str">
        <f ca="1">IFERROR(__xludf.DUMMYFUNCTION("""COMPUTED_VALUE"""),"")</f>
        <v/>
      </c>
      <c r="DF5" s="25" t="str">
        <f ca="1">IFERROR(__xludf.DUMMYFUNCTION("""COMPUTED_VALUE"""),"")</f>
        <v/>
      </c>
      <c r="DG5" s="25" t="str">
        <f ca="1">IFERROR(__xludf.DUMMYFUNCTION("""COMPUTED_VALUE"""),"")</f>
        <v/>
      </c>
      <c r="DH5" s="25" t="str">
        <f ca="1">IFERROR(__xludf.DUMMYFUNCTION("""COMPUTED_VALUE"""),"")</f>
        <v/>
      </c>
      <c r="DI5" s="25" t="str">
        <f ca="1">IFERROR(__xludf.DUMMYFUNCTION("""COMPUTED_VALUE"""),"")</f>
        <v/>
      </c>
      <c r="DJ5" s="25" t="str">
        <f ca="1">IFERROR(__xludf.DUMMYFUNCTION("""COMPUTED_VALUE"""),"")</f>
        <v/>
      </c>
      <c r="DK5" s="25" t="str">
        <f ca="1">IFERROR(__xludf.DUMMYFUNCTION("""COMPUTED_VALUE"""),"")</f>
        <v/>
      </c>
      <c r="DL5" s="25" t="str">
        <f ca="1">IFERROR(__xludf.DUMMYFUNCTION("""COMPUTED_VALUE"""),"")</f>
        <v/>
      </c>
      <c r="DM5" s="25" t="str">
        <f ca="1">IFERROR(__xludf.DUMMYFUNCTION("""COMPUTED_VALUE"""),"")</f>
        <v/>
      </c>
      <c r="DN5" s="25" t="str">
        <f ca="1">IFERROR(__xludf.DUMMYFUNCTION("""COMPUTED_VALUE"""),"")</f>
        <v/>
      </c>
      <c r="DO5" s="25" t="str">
        <f ca="1">IFERROR(__xludf.DUMMYFUNCTION("""COMPUTED_VALUE"""),"")</f>
        <v/>
      </c>
      <c r="DP5" s="25" t="str">
        <f ca="1">IFERROR(__xludf.DUMMYFUNCTION("""COMPUTED_VALUE"""),"")</f>
        <v/>
      </c>
      <c r="DQ5" s="25" t="str">
        <f ca="1">IFERROR(__xludf.DUMMYFUNCTION("""COMPUTED_VALUE"""),"")</f>
        <v/>
      </c>
      <c r="DR5" s="25" t="str">
        <f ca="1">IFERROR(__xludf.DUMMYFUNCTION("""COMPUTED_VALUE"""),"")</f>
        <v/>
      </c>
      <c r="DS5" s="25" t="str">
        <f ca="1">IFERROR(__xludf.DUMMYFUNCTION("""COMPUTED_VALUE"""),"")</f>
        <v/>
      </c>
      <c r="DT5" s="25" t="str">
        <f ca="1">IFERROR(__xludf.DUMMYFUNCTION("""COMPUTED_VALUE"""),"")</f>
        <v/>
      </c>
      <c r="DU5" s="25" t="str">
        <f ca="1">IFERROR(__xludf.DUMMYFUNCTION("""COMPUTED_VALUE"""),"")</f>
        <v/>
      </c>
      <c r="DV5" s="25" t="str">
        <f ca="1">IFERROR(__xludf.DUMMYFUNCTION("""COMPUTED_VALUE"""),"")</f>
        <v/>
      </c>
      <c r="DW5" s="25" t="str">
        <f ca="1">IFERROR(__xludf.DUMMYFUNCTION("""COMPUTED_VALUE"""),"")</f>
        <v/>
      </c>
      <c r="DX5" s="25" t="str">
        <f ca="1">IFERROR(__xludf.DUMMYFUNCTION("""COMPUTED_VALUE"""),"")</f>
        <v/>
      </c>
      <c r="DY5" s="25" t="str">
        <f ca="1">IFERROR(__xludf.DUMMYFUNCTION("""COMPUTED_VALUE"""),"")</f>
        <v/>
      </c>
      <c r="DZ5" s="25" t="str">
        <f ca="1">IFERROR(__xludf.DUMMYFUNCTION("""COMPUTED_VALUE"""),"")</f>
        <v/>
      </c>
      <c r="EA5" s="25" t="str">
        <f ca="1">IFERROR(__xludf.DUMMYFUNCTION("""COMPUTED_VALUE"""),"")</f>
        <v/>
      </c>
      <c r="EB5" s="25" t="str">
        <f ca="1">IFERROR(__xludf.DUMMYFUNCTION("""COMPUTED_VALUE"""),"")</f>
        <v/>
      </c>
      <c r="EC5" s="25" t="str">
        <f ca="1">IFERROR(__xludf.DUMMYFUNCTION("""COMPUTED_VALUE"""),"")</f>
        <v/>
      </c>
      <c r="ED5" s="25" t="str">
        <f ca="1">IFERROR(__xludf.DUMMYFUNCTION("""COMPUTED_VALUE"""),"")</f>
        <v/>
      </c>
      <c r="EE5" s="25" t="str">
        <f ca="1">IFERROR(__xludf.DUMMYFUNCTION("""COMPUTED_VALUE"""),"")</f>
        <v/>
      </c>
      <c r="EF5" s="25" t="str">
        <f ca="1">IFERROR(__xludf.DUMMYFUNCTION("""COMPUTED_VALUE"""),"")</f>
        <v/>
      </c>
      <c r="EG5" s="25" t="str">
        <f ca="1">IFERROR(__xludf.DUMMYFUNCTION("""COMPUTED_VALUE"""),"")</f>
        <v/>
      </c>
      <c r="EH5" s="25" t="str">
        <f ca="1">IFERROR(__xludf.DUMMYFUNCTION("""COMPUTED_VALUE"""),"")</f>
        <v/>
      </c>
      <c r="EI5" s="25" t="str">
        <f ca="1">IFERROR(__xludf.DUMMYFUNCTION("""COMPUTED_VALUE"""),"")</f>
        <v/>
      </c>
      <c r="EJ5" s="25" t="str">
        <f ca="1">IFERROR(__xludf.DUMMYFUNCTION("""COMPUTED_VALUE"""),"")</f>
        <v/>
      </c>
      <c r="EK5" s="25" t="str">
        <f ca="1">IFERROR(__xludf.DUMMYFUNCTION("""COMPUTED_VALUE"""),"")</f>
        <v/>
      </c>
      <c r="EL5" s="25" t="str">
        <f ca="1">IFERROR(__xludf.DUMMYFUNCTION("""COMPUTED_VALUE"""),"")</f>
        <v/>
      </c>
      <c r="EM5" s="25" t="str">
        <f ca="1">IFERROR(__xludf.DUMMYFUNCTION("""COMPUTED_VALUE"""),"")</f>
        <v/>
      </c>
      <c r="EN5" s="25" t="str">
        <f ca="1">IFERROR(__xludf.DUMMYFUNCTION("""COMPUTED_VALUE"""),"")</f>
        <v/>
      </c>
      <c r="EO5" s="25" t="str">
        <f ca="1">IFERROR(__xludf.DUMMYFUNCTION("""COMPUTED_VALUE"""),"")</f>
        <v/>
      </c>
      <c r="EP5" s="25" t="str">
        <f ca="1">IFERROR(__xludf.DUMMYFUNCTION("""COMPUTED_VALUE"""),"")</f>
        <v/>
      </c>
      <c r="EQ5" s="25" t="str">
        <f ca="1">IFERROR(__xludf.DUMMYFUNCTION("""COMPUTED_VALUE"""),"")</f>
        <v/>
      </c>
      <c r="ER5" s="25" t="str">
        <f ca="1">IFERROR(__xludf.DUMMYFUNCTION("""COMPUTED_VALUE"""),"")</f>
        <v/>
      </c>
      <c r="ES5" s="25" t="str">
        <f ca="1">IFERROR(__xludf.DUMMYFUNCTION("""COMPUTED_VALUE"""),"")</f>
        <v/>
      </c>
      <c r="ET5" s="25" t="str">
        <f ca="1">IFERROR(__xludf.DUMMYFUNCTION("""COMPUTED_VALUE"""),"")</f>
        <v/>
      </c>
      <c r="EU5" s="25" t="str">
        <f ca="1">IFERROR(__xludf.DUMMYFUNCTION("""COMPUTED_VALUE"""),"")</f>
        <v/>
      </c>
      <c r="EV5" s="25" t="str">
        <f ca="1">IFERROR(__xludf.DUMMYFUNCTION("""COMPUTED_VALUE"""),"")</f>
        <v/>
      </c>
      <c r="EW5" s="25" t="str">
        <f ca="1">IFERROR(__xludf.DUMMYFUNCTION("""COMPUTED_VALUE"""),"")</f>
        <v/>
      </c>
      <c r="EX5" s="25" t="str">
        <f ca="1">IFERROR(__xludf.DUMMYFUNCTION("""COMPUTED_VALUE"""),"")</f>
        <v/>
      </c>
    </row>
    <row r="6" spans="1:154" ht="15.75" customHeight="1">
      <c r="A6" s="8"/>
      <c r="B6" s="8" t="b">
        <v>1</v>
      </c>
      <c r="C6" s="3"/>
      <c r="D6" s="8"/>
      <c r="E6" s="30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4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4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4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CreateDoneAwayOrder</vt:lpstr>
      <vt:lpstr>GetDailyCash</vt:lpstr>
      <vt:lpstr>UpdateDailyCash</vt:lpstr>
      <vt:lpstr>CheckUnallocatedGroups</vt:lpstr>
      <vt:lpstr>SelectUnallocatedGroup</vt:lpstr>
      <vt:lpstr>EnterAllocatePreference</vt:lpstr>
      <vt:lpstr>CheckAllocatedGroups</vt:lpstr>
      <vt:lpstr>GetDataAllocation</vt:lpstr>
      <vt:lpstr>GetDataClosing</vt:lpstr>
      <vt:lpstr>VerifyLongPositionsGrid</vt:lpstr>
      <vt:lpstr>VerifyShortPositionsGrid</vt:lpstr>
      <vt:lpstr>GetActivityData</vt:lpstr>
      <vt:lpstr>VerifyActivity</vt:lpstr>
      <vt:lpstr>CheckPortfolioManagement</vt:lpstr>
      <vt:lpstr>Copy of Data</vt:lpstr>
      <vt:lpstr>Copy of Data 1</vt:lpstr>
      <vt:lpstr>Copy of Data 2</vt:lpstr>
      <vt:lpstr>SetGeneralPreferences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2021-08-04T14:29:49Z</dcterms:modified>
</cp:coreProperties>
</file>