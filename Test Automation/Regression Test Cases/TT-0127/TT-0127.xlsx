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firstSheet="6" activeTab="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AddCalculatedPreferences" sheetId="5" r:id="rId5"/>
    <sheet name="SetAccountValueCalculatedPref" sheetId="6" r:id="rId6"/>
    <sheet name="SetStrategyValueCalculatedPref" sheetId="7" r:id="rId7"/>
    <sheet name="SetDefaultRuleCalculatedPref" sheetId="8" r:id="rId8"/>
    <sheet name="CreateDoneAwayOrder" sheetId="9" r:id="rId9"/>
    <sheet name="GetDataAllocation" sheetId="10" r:id="rId10"/>
    <sheet name="CheckAllocatedGroups" sheetId="11" r:id="rId11"/>
    <sheet name="CheckAllocatedTaxlots" sheetId="12" r:id="rId12"/>
    <sheet name="CheckPortfolioManagement" sheetId="13" r:id="rId13"/>
  </sheets>
  <calcPr calcId="144525"/>
</workbook>
</file>

<file path=xl/sharedStrings.xml><?xml version="1.0" encoding="utf-8"?>
<sst xmlns="http://schemas.openxmlformats.org/spreadsheetml/2006/main" count="523" uniqueCount="65">
  <si>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</si>
  <si>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</si>
  <si>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</si>
  <si>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</si>
  <si>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</si>
  <si>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</si>
  <si>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</si>
  <si>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</si>
  <si>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</si>
  <si>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</si>
  <si>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</si>
  <si>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</si>
  <si>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</si>
  <si>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</si>
  <si>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</si>
  <si>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</si>
  <si>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</si>
  <si>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</si>
  <si>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</si>
  <si>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</si>
  <si>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</si>
  <si>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</si>
  <si>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</si>
  <si>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</si>
  <si>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</si>
  <si>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</si>
  <si>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</si>
  <si>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</si>
  <si>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</si>
  <si>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</si>
  <si>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</si>
  <si>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</si>
  <si>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Allocation3,Allocation2</t>
  </si>
  <si>
    <t>60,40</t>
  </si>
  <si>
    <t>Sell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</si>
  <si>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</si>
  <si>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</si>
  <si>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</si>
  <si>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</si>
  <si>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</si>
  <si>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</si>
  <si>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</si>
  <si>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</si>
  <si>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</si>
  <si>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</si>
  <si>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</si>
  <si>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NASDAQ</t>
  </si>
  <si>
    <t>None</t>
  </si>
  <si>
    <t>Market</t>
  </si>
  <si>
    <t>Strategy Unallocated</t>
  </si>
  <si>
    <t>US</t>
  </si>
  <si>
    <t>jpearce</t>
  </si>
  <si>
    <t>CheckAllocatedTaxlots</t>
  </si>
  <si>
    <t>M</t>
  </si>
  <si>
    <t>PortfolioManagement</t>
  </si>
  <si>
    <t>CheckPortfolioManagement</t>
  </si>
  <si>
    <t>NewMF</t>
  </si>
  <si>
    <t>Short</t>
  </si>
  <si>
    <t>Long</t>
  </si>
  <si>
    <t>Undefined</t>
  </si>
  <si>
    <t>test1</t>
  </si>
  <si>
    <t>india</t>
  </si>
  <si>
    <t>test 1</t>
  </si>
  <si>
    <t>Yes</t>
  </si>
  <si>
    <t>NewMF1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</si>
</sst>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33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1"/>
      <color rgb="FF000000"/>
      <name val="Calibri"/>
      <charset val="134"/>
    </font>
    <font>
      <u/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7" borderId="0" applyNumberFormat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3" borderId="4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4" fillId="16" borderId="6" applyNumberFormat="0" applyFon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26" borderId="2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1" fillId="6" borderId="8" applyNumberForma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6" borderId="2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4" fontId="9" fillId="0" borderId="0" xfId="0" applyNumberFormat="1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right"/>
    </xf>
    <xf numFmtId="0" fontId="10" fillId="4" borderId="0" xfId="0" applyFont="1" applyFill="1"/>
    <xf numFmtId="0" fontId="2" fillId="0" borderId="1" xfId="0" applyFont="1" applyBorder="1" applyAlignme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11" fillId="3" borderId="0" xfId="0" applyFont="1" applyFill="1" applyBorder="1" applyAlignment="1"/>
    <xf numFmtId="0" fontId="11" fillId="0" borderId="0" xfId="0" applyFont="1"/>
    <xf numFmtId="0" fontId="12" fillId="2" borderId="0" xfId="0" applyFont="1" applyFill="1" applyBorder="1" applyAlignment="1">
      <alignment horizontal="center"/>
    </xf>
    <xf numFmtId="0" fontId="2" fillId="3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6.3809523809524" customWidth="1"/>
    <col min="2" max="2" width="23.5047619047619" customWidth="1"/>
    <col min="3" max="3" width="44.1333333333333" customWidth="1"/>
    <col min="4" max="26" width="12.6285714285714" customWidth="1"/>
  </cols>
  <sheetData>
    <row r="1" ht="15.75" customHeight="1" spans="1:6">
      <c r="A1" s="2" t="s">
        <v>0</v>
      </c>
      <c r="B1" s="3"/>
      <c r="C1" s="3"/>
      <c r="D1" s="3"/>
      <c r="E1" s="3"/>
      <c r="F1" s="3"/>
    </row>
    <row r="2" ht="15.75" customHeight="1" spans="1:6">
      <c r="A2" s="23"/>
      <c r="B2" s="23"/>
      <c r="C2" s="23"/>
      <c r="D2" s="23"/>
      <c r="E2" s="23"/>
      <c r="F2" s="23"/>
    </row>
    <row r="3" ht="15.75" customHeight="1" spans="1:6">
      <c r="A3" s="6" t="s">
        <v>1</v>
      </c>
      <c r="B3" s="30"/>
      <c r="C3" s="30"/>
      <c r="D3" s="30"/>
      <c r="E3" s="30"/>
      <c r="F3" s="30"/>
    </row>
    <row r="4" ht="15.75" customHeight="1" spans="1:6">
      <c r="A4" s="4" t="str">
        <f>IFERROR(__xludf.DUMMYFUNCTION("IMPORTRANGE('_Settings'!B3,""Modules!A4:L1000"")"),"Allocation")</f>
        <v>Allocation</v>
      </c>
      <c r="B4" s="23" t="str">
        <f>IFERROR(__xludf.DUMMYFUNCTION("""COMPUTED_VALUE"""),"Allocate")</f>
        <v>Allocate</v>
      </c>
      <c r="C4" s="23" t="str">
        <f>IFERROR(__xludf.DUMMYFUNCTION("""COMPUTED_VALUE"""),"undefined")</f>
        <v>undefined</v>
      </c>
      <c r="D4" s="23"/>
      <c r="E4" s="23"/>
      <c r="F4" s="23"/>
    </row>
    <row r="5" ht="15.75" customHeight="1" spans="1:6">
      <c r="A5" s="4" t="str">
        <f>IFERROR(__xludf.DUMMYFUNCTION("""COMPUTED_VALUE"""),"Allocation")</f>
        <v>Allocation</v>
      </c>
      <c r="B5" s="23" t="str">
        <f>IFERROR(__xludf.DUMMYFUNCTION("""COMPUTED_VALUE"""),"CheckAllocatedGroups")</f>
        <v>CheckAllocatedGroups</v>
      </c>
      <c r="C5" s="23" t="str">
        <f>IFERROR(__xludf.DUMMYFUNCTION("""COMPUTED_VALUE"""),"17_QBMicEOUihB2C-6dtz1DG3VfJj05Sk118TBLigcGQ")</f>
        <v>17_QBMicEOUihB2C-6dtz1DG3VfJj05Sk118TBLigcGQ</v>
      </c>
      <c r="D5" s="23"/>
      <c r="E5" s="23"/>
      <c r="F5" s="23"/>
    </row>
    <row r="6" ht="15.75" customHeight="1" spans="1:6">
      <c r="A6" s="23" t="str">
        <f>IFERROR(__xludf.DUMMYFUNCTION("""COMPUTED_VALUE"""),"Allocation")</f>
        <v>Allocation</v>
      </c>
      <c r="B6" s="23" t="str">
        <f>IFERROR(__xludf.DUMMYFUNCTION("""COMPUTED_VALUE"""),"GetDataAllocation")</f>
        <v>GetDataAllocation</v>
      </c>
      <c r="C6" s="23" t="str">
        <f>IFERROR(__xludf.DUMMYFUNCTION("""COMPUTED_VALUE"""),"1hVcm2AM6tpl7LAL1inbzLF7lPKrzoS8Hf_xEf0r0QvU")</f>
        <v>1hVcm2AM6tpl7LAL1inbzLF7lPKrzoS8Hf_xEf0r0QvU</v>
      </c>
      <c r="D6" s="23"/>
      <c r="E6" s="23"/>
      <c r="F6" s="23"/>
    </row>
    <row r="7" ht="15.75" customHeight="1" spans="1:6">
      <c r="A7" s="23" t="str">
        <f>IFERROR(__xludf.DUMMYFUNCTION("""COMPUTED_VALUE"""),"Allocation")</f>
        <v>Allocation</v>
      </c>
      <c r="B7" s="23" t="str">
        <f>IFERROR(__xludf.DUMMYFUNCTION("""COMPUTED_VALUE"""),"SelectAllocatedGroup")</f>
        <v>SelectAllocatedGroup</v>
      </c>
      <c r="C7" s="23" t="str">
        <f>IFERROR(__xludf.DUMMYFUNCTION("""COMPUTED_VALUE"""),"1xln1FAf_biSADXIchn7RxBiBbGXPZU2Qmiafzz63n_s")</f>
        <v>1xln1FAf_biSADXIchn7RxBiBbGXPZU2Qmiafzz63n_s</v>
      </c>
      <c r="D7" s="23"/>
      <c r="E7" s="23"/>
      <c r="F7" s="23"/>
    </row>
    <row r="8" ht="15.75" customHeight="1" spans="1:6">
      <c r="A8" s="23" t="str">
        <f>IFERROR(__xludf.DUMMYFUNCTION("""COMPUTED_VALUE"""),"Allocation")</f>
        <v>Allocation</v>
      </c>
      <c r="B8" s="23" t="str">
        <f>IFERROR(__xludf.DUMMYFUNCTION("""COMPUTED_VALUE"""),"EditTradesAllocated")</f>
        <v>EditTradesAllocated</v>
      </c>
      <c r="C8" s="23" t="str">
        <f>IFERROR(__xludf.DUMMYFUNCTION("""COMPUTED_VALUE"""),"1ZJZn5gs7a2MhaEr-ryFvr-6l8Lrpw49ZtdxRjUmj2lE")</f>
        <v>1ZJZn5gs7a2MhaEr-ryFvr-6l8Lrpw49ZtdxRjUmj2lE</v>
      </c>
      <c r="D8" s="23"/>
      <c r="E8" s="23"/>
      <c r="F8" s="23"/>
    </row>
    <row r="9" ht="15.75" customHeight="1" spans="1:6">
      <c r="A9" s="23" t="str">
        <f>IFERROR(__xludf.DUMMYFUNCTION("""COMPUTED_VALUE"""),"Allocation")</f>
        <v>Allocation</v>
      </c>
      <c r="B9" s="23" t="str">
        <f>IFERROR(__xludf.DUMMYFUNCTION("""COMPUTED_VALUE"""),"EditTradesUnallocated")</f>
        <v>EditTradesUnallocated</v>
      </c>
      <c r="C9" s="23" t="str">
        <f>IFERROR(__xludf.DUMMYFUNCTION("""COMPUTED_VALUE"""),"1OCGMVOHt03_eCmO7qiby_rf8bEME9TovKxz3Ntf7vgg")</f>
        <v>1OCGMVOHt03_eCmO7qiby_rf8bEME9TovKxz3Ntf7vgg</v>
      </c>
      <c r="D9" s="23"/>
      <c r="E9" s="23"/>
      <c r="F9" s="23"/>
    </row>
    <row r="10" ht="15.75" customHeight="1" spans="1:6">
      <c r="A10" s="23" t="str">
        <f>IFERROR(__xludf.DUMMYFUNCTION("""COMPUTED_VALUE"""),"Allocation")</f>
        <v>Allocation</v>
      </c>
      <c r="B10" s="23" t="str">
        <f>IFERROR(__xludf.DUMMYFUNCTION("""COMPUTED_VALUE"""),"Reallocate")</f>
        <v>Reallocate</v>
      </c>
      <c r="C10" s="23" t="str">
        <f>IFERROR(__xludf.DUMMYFUNCTION("""COMPUTED_VALUE"""),"undefined")</f>
        <v>undefined</v>
      </c>
      <c r="D10" s="23"/>
      <c r="E10" s="23"/>
      <c r="F10" s="23"/>
    </row>
    <row r="11" ht="15.75" customHeight="1" spans="1:6">
      <c r="A11" s="23" t="str">
        <f>IFERROR(__xludf.DUMMYFUNCTION("""COMPUTED_VALUE"""),"Blotter")</f>
        <v>Blotter</v>
      </c>
      <c r="B11" s="23" t="str">
        <f>IFERROR(__xludf.DUMMYFUNCTION("""COMPUTED_VALUE"""),"ReplaceFillsOnBlotter")</f>
        <v>ReplaceFillsOnBlotter</v>
      </c>
      <c r="C11" s="23" t="str">
        <f>IFERROR(__xludf.DUMMYFUNCTION("""COMPUTED_VALUE"""),"undefined")</f>
        <v>undefined</v>
      </c>
      <c r="D11" s="23"/>
      <c r="E11" s="23"/>
      <c r="F11" s="23"/>
    </row>
    <row r="12" ht="15.75" customHeight="1" spans="1:6">
      <c r="A12" s="23" t="str">
        <f>IFERROR(__xludf.DUMMYFUNCTION("""COMPUTED_VALUE"""),"Blotter")</f>
        <v>Blotter</v>
      </c>
      <c r="B12" s="23" t="str">
        <f>IFERROR(__xludf.DUMMYFUNCTION("""COMPUTED_VALUE"""),"CheckBlotter")</f>
        <v>CheckBlotter</v>
      </c>
      <c r="C12" s="23" t="str">
        <f>IFERROR(__xludf.DUMMYFUNCTION("""COMPUTED_VALUE"""),"11MUm_Wks-ynsuzwq0ucx9YCmN_Dlux4joQTI9V_vxSQ")</f>
        <v>11MUm_Wks-ynsuzwq0ucx9YCmN_Dlux4joQTI9V_vxSQ</v>
      </c>
      <c r="D12" s="23"/>
      <c r="E12" s="23"/>
      <c r="F12" s="23"/>
    </row>
    <row r="13" ht="15.75" customHeight="1" spans="1:6">
      <c r="A13" s="23" t="str">
        <f>IFERROR(__xludf.DUMMYFUNCTION("""COMPUTED_VALUE"""),"GeneralLedger")</f>
        <v>GeneralLedger</v>
      </c>
      <c r="B13" s="23" t="str">
        <f>IFERROR(__xludf.DUMMYFUNCTION("""COMPUTED_VALUE"""),"GetDataCash")</f>
        <v>GetDataCash</v>
      </c>
      <c r="C13" s="23" t="str">
        <f>IFERROR(__xludf.DUMMYFUNCTION("""COMPUTED_VALUE"""),"1HibVHHcuFf3loa0fNI6zJwXL0glRkLz9BQwFMwolEWs")</f>
        <v>1HibVHHcuFf3loa0fNI6zJwXL0glRkLz9BQwFMwolEWs</v>
      </c>
      <c r="D13" s="23"/>
      <c r="E13" s="23"/>
      <c r="F13" s="23"/>
    </row>
    <row r="14" ht="15.75" customHeight="1" spans="1:6">
      <c r="A14" s="23" t="str">
        <f>IFERROR(__xludf.DUMMYFUNCTION("""COMPUTED_VALUE"""),"GeneralLedger")</f>
        <v>GeneralLedger</v>
      </c>
      <c r="B14" s="23" t="str">
        <f>IFERROR(__xludf.DUMMYFUNCTION("""COMPUTED_VALUE"""),"EnterCashDividends")</f>
        <v>EnterCashDividends</v>
      </c>
      <c r="C14" s="23" t="str">
        <f>IFERROR(__xludf.DUMMYFUNCTION("""COMPUTED_VALUE"""),"1v_MUqtv78nxjsN8Cecn_LuQEABNjfo6irXnL4E327-E")</f>
        <v>1v_MUqtv78nxjsN8Cecn_LuQEABNjfo6irXnL4E327-E</v>
      </c>
      <c r="D14" s="23"/>
      <c r="E14" s="23"/>
      <c r="F14" s="23"/>
    </row>
    <row r="15" ht="15.75" customHeight="1" spans="1:6">
      <c r="A15" s="23" t="str">
        <f>IFERROR(__xludf.DUMMYFUNCTION("""COMPUTED_VALUE"""),"GeneralLedger")</f>
        <v>GeneralLedger</v>
      </c>
      <c r="B15" s="23" t="str">
        <f>IFERROR(__xludf.DUMMYFUNCTION("""COMPUTED_VALUE"""),"EnterNonTradingTransaction")</f>
        <v>EnterNonTradingTransaction</v>
      </c>
      <c r="C15" s="23" t="str">
        <f>IFERROR(__xludf.DUMMYFUNCTION("""COMPUTED_VALUE"""),"175-JCUqdn62shwwTBrtayS4sAfQdJI1es-MdB_afiEU")</f>
        <v>175-JCUqdn62shwwTBrtayS4sAfQdJI1es-MdB_afiEU</v>
      </c>
      <c r="D15" s="23"/>
      <c r="E15" s="23"/>
      <c r="F15" s="23"/>
    </row>
    <row r="16" ht="15.75" customHeight="1" spans="1:6">
      <c r="A16" s="23" t="str">
        <f>IFERROR(__xludf.DUMMYFUNCTION("""COMPUTED_VALUE"""),"GeneralLedger")</f>
        <v>GeneralLedger</v>
      </c>
      <c r="B16" s="23" t="str">
        <f>IFERROR(__xludf.DUMMYFUNCTION("""COMPUTED_VALUE"""),"VerifyCash")</f>
        <v>VerifyCash</v>
      </c>
      <c r="C16" s="23" t="str">
        <f>IFERROR(__xludf.DUMMYFUNCTION("""COMPUTED_VALUE"""),"17eDimySFNF45ncJKZNMN1WafcCPlObqPuWpiaELn4XI")</f>
        <v>17eDimySFNF45ncJKZNMN1WafcCPlObqPuWpiaELn4XI</v>
      </c>
      <c r="D16" s="23"/>
      <c r="E16" s="23"/>
      <c r="F16" s="23"/>
    </row>
    <row r="17" ht="15.75" customHeight="1" spans="1:6">
      <c r="A17" s="23" t="str">
        <f>IFERROR(__xludf.DUMMYFUNCTION("""COMPUTED_VALUE"""),"GeneralLedger")</f>
        <v>GeneralLedger</v>
      </c>
      <c r="B17" s="23" t="str">
        <f>IFERROR(__xludf.DUMMYFUNCTION("""COMPUTED_VALUE"""),"VerifyActivity")</f>
        <v>VerifyActivity</v>
      </c>
      <c r="C17" s="23" t="str">
        <f>IFERROR(__xludf.DUMMYFUNCTION("""COMPUTED_VALUE"""),"1Pfyi8724AHHPSpjL28hJwa2o4mQbLhWDX3ERQDqoMjM")</f>
        <v>1Pfyi8724AHHPSpjL28hJwa2o4mQbLhWDX3ERQDqoMjM</v>
      </c>
      <c r="D17" s="23"/>
      <c r="E17" s="23"/>
      <c r="F17" s="23"/>
    </row>
    <row r="18" ht="15.75" customHeight="1" spans="1:6">
      <c r="A18" s="23" t="str">
        <f>IFERROR(__xludf.DUMMYFUNCTION("""COMPUTED_VALUE"""),"GeneralLedger")</f>
        <v>GeneralLedger</v>
      </c>
      <c r="B18" s="23" t="str">
        <f>IFERROR(__xludf.DUMMYFUNCTION("""COMPUTED_VALUE"""),"VerifyTradingTransaction")</f>
        <v>VerifyTradingTransaction</v>
      </c>
      <c r="C18" s="23" t="str">
        <f>IFERROR(__xludf.DUMMYFUNCTION("""COMPUTED_VALUE"""),"1YVs2pxOwqxSOoRvY-L6RFBNX-V1Iq7YCTlJJjcZGOrk")</f>
        <v>1YVs2pxOwqxSOoRvY-L6RFBNX-V1Iq7YCTlJJjcZGOrk</v>
      </c>
      <c r="D18" s="23"/>
      <c r="E18" s="23"/>
      <c r="F18" s="23"/>
    </row>
    <row r="19" ht="15.75" customHeight="1" spans="1:6">
      <c r="A19" s="23" t="str">
        <f>IFERROR(__xludf.DUMMYFUNCTION("""COMPUTED_VALUE"""),"GeneralLedger")</f>
        <v>GeneralLedger</v>
      </c>
      <c r="B19" s="23" t="str">
        <f>IFERROR(__xludf.DUMMYFUNCTION("""COMPUTED_VALUE"""),"VerifyRevaluationData")</f>
        <v>VerifyRevaluationData</v>
      </c>
      <c r="C19" s="23" t="str">
        <f>IFERROR(__xludf.DUMMYFUNCTION("""COMPUTED_VALUE"""),"1B8hcujE70thHD0YsedA4IBNf7vn0AyfU4JVfJ_wJt20")</f>
        <v>1B8hcujE70thHD0YsedA4IBNf7vn0AyfU4JVfJ_wJt20</v>
      </c>
      <c r="D19" s="23"/>
      <c r="E19" s="23"/>
      <c r="F19" s="23"/>
    </row>
    <row r="20" ht="15.75" customHeight="1" spans="1:6">
      <c r="A20" s="23" t="str">
        <f>IFERROR(__xludf.DUMMYFUNCTION("""COMPUTED_VALUE"""),"CorporateAction")</f>
        <v>CorporateAction</v>
      </c>
      <c r="B20" s="23" t="str">
        <f>IFERROR(__xludf.DUMMYFUNCTION("""COMPUTED_VALUE"""),"CorporateAction")</f>
        <v>CorporateAction</v>
      </c>
      <c r="C20" s="23" t="str">
        <f>IFERROR(__xludf.DUMMYFUNCTION("""COMPUTED_VALUE"""),"1-W-RmffTnEi0hw7mazbNadwwiSRGoy1wrw8PHkuofYY")</f>
        <v>1-W-RmffTnEi0hw7mazbNadwwiSRGoy1wrw8PHkuofYY</v>
      </c>
      <c r="D20" s="23"/>
      <c r="E20" s="23"/>
      <c r="F20" s="23"/>
    </row>
    <row r="21" ht="15.75" customHeight="1" spans="1:6">
      <c r="A21" s="23" t="str">
        <f>IFERROR(__xludf.DUMMYFUNCTION("""COMPUTED_VALUE"""),"CreateTransaction")</f>
        <v>CreateTransaction</v>
      </c>
      <c r="B21" s="23" t="str">
        <f>IFERROR(__xludf.DUMMYFUNCTION("""COMPUTED_VALUE"""),"CreateTransaction")</f>
        <v>CreateTransaction</v>
      </c>
      <c r="C21" s="23" t="str">
        <f>IFERROR(__xludf.DUMMYFUNCTION("""COMPUTED_VALUE"""),"1esoF-RnVyz6ko5JWW7n-M62RtAdH_oBEGryr3tVxBD0")</f>
        <v>1esoF-RnVyz6ko5JWW7n-M62RtAdH_oBEGryr3tVxBD0</v>
      </c>
      <c r="D21" s="23"/>
      <c r="E21" s="23"/>
      <c r="F21" s="23"/>
    </row>
    <row r="22" ht="15.75" customHeight="1" spans="1:6">
      <c r="A22" s="23" t="str">
        <f>IFERROR(__xludf.DUMMYFUNCTION("""COMPUTED_VALUE"""),"DailyValuation")</f>
        <v>DailyValuation</v>
      </c>
      <c r="B22" s="23" t="str">
        <f>IFERROR(__xludf.DUMMYFUNCTION("""COMPUTED_VALUE"""),"UpdateBeta")</f>
        <v>UpdateBeta</v>
      </c>
      <c r="C22" s="23" t="str">
        <f>IFERROR(__xludf.DUMMYFUNCTION("""COMPUTED_VALUE"""),"1e5P2Fpj6vybIn_paB2b7Fy1UWvvzM_QLBcFFEnG_Sog")</f>
        <v>1e5P2Fpj6vybIn_paB2b7Fy1UWvvzM_QLBcFFEnG_Sog</v>
      </c>
      <c r="D22" s="23"/>
      <c r="E22" s="23"/>
      <c r="F22" s="23"/>
    </row>
    <row r="23" ht="15.75" customHeight="1" spans="1:6">
      <c r="A23" s="23" t="str">
        <f>IFERROR(__xludf.DUMMYFUNCTION("""COMPUTED_VALUE"""),"DailyValuation")</f>
        <v>DailyValuation</v>
      </c>
      <c r="B23" s="23" t="str">
        <f>IFERROR(__xludf.DUMMYFUNCTION("""COMPUTED_VALUE"""),"UpdateDailyCash")</f>
        <v>UpdateDailyCash</v>
      </c>
      <c r="C23" s="23" t="str">
        <f>IFERROR(__xludf.DUMMYFUNCTION("""COMPUTED_VALUE"""),"17wP7K35BVS-mcToVvypH9kFnKwLPjhX5cgZessf5L3U")</f>
        <v>17wP7K35BVS-mcToVvypH9kFnKwLPjhX5cgZessf5L3U</v>
      </c>
      <c r="D23" s="23"/>
      <c r="E23" s="23"/>
      <c r="F23" s="23"/>
    </row>
    <row r="24" ht="15.75" customHeight="1" spans="1:6">
      <c r="A24" s="23" t="str">
        <f>IFERROR(__xludf.DUMMYFUNCTION("""COMPUTED_VALUE"""),"DailyValuation")</f>
        <v>DailyValuation</v>
      </c>
      <c r="B24" s="23" t="str">
        <f>IFERROR(__xludf.DUMMYFUNCTION("""COMPUTED_VALUE"""),"UpdateForexConversion")</f>
        <v>UpdateForexConversion</v>
      </c>
      <c r="C24" s="23" t="str">
        <f>IFERROR(__xludf.DUMMYFUNCTION("""COMPUTED_VALUE"""),"1MhtifEhyzplKiAJ2B7ZBGDQykTLhDMrJnLNmWidmDfo")</f>
        <v>1MhtifEhyzplKiAJ2B7ZBGDQykTLhDMrJnLNmWidmDfo</v>
      </c>
      <c r="D24" s="23"/>
      <c r="E24" s="23"/>
      <c r="F24" s="23"/>
    </row>
    <row r="25" ht="15.75" customHeight="1" spans="1:6">
      <c r="A25" s="23" t="str">
        <f>IFERROR(__xludf.DUMMYFUNCTION("""COMPUTED_VALUE"""),"DailyValuation")</f>
        <v>DailyValuation</v>
      </c>
      <c r="B25" s="23" t="str">
        <f>IFERROR(__xludf.DUMMYFUNCTION("""COMPUTED_VALUE"""),"UpdateMarkPrice")</f>
        <v>UpdateMarkPrice</v>
      </c>
      <c r="C25" s="23" t="str">
        <f>IFERROR(__xludf.DUMMYFUNCTION("""COMPUTED_VALUE"""),"14ykotElrdKk_65x7FoOo3uy_l0cCpWTItQ6NjoPCFto")</f>
        <v>14ykotElrdKk_65x7FoOo3uy_l0cCpWTItQ6NjoPCFto</v>
      </c>
      <c r="D25" s="23"/>
      <c r="E25" s="23"/>
      <c r="F25" s="23"/>
    </row>
    <row r="26" ht="15.75" customHeight="1" spans="1:6">
      <c r="A26" s="23" t="str">
        <f>IFERROR(__xludf.DUMMYFUNCTION("""COMPUTED_VALUE"""),"Import")</f>
        <v>Import</v>
      </c>
      <c r="B26" s="23" t="str">
        <f>IFERROR(__xludf.DUMMYFUNCTION("""COMPUTED_VALUE"""),"Import")</f>
        <v>Import</v>
      </c>
      <c r="C26" s="23" t="str">
        <f>IFERROR(__xludf.DUMMYFUNCTION("""COMPUTED_VALUE"""),"16g9Kf7Sel1N9rpDdDYebIoVnUvEmGkdOIDvOEX1x5rs")</f>
        <v>16g9Kf7Sel1N9rpDdDYebIoVnUvEmGkdOIDvOEX1x5rs</v>
      </c>
      <c r="D26" s="23"/>
      <c r="E26" s="23"/>
      <c r="F26" s="23"/>
    </row>
    <row r="27" ht="15.75" customHeight="1" spans="1:6">
      <c r="A27" s="23" t="str">
        <f>IFERROR(__xludf.DUMMYFUNCTION("""COMPUTED_VALUE"""),"PortfolioManagement")</f>
        <v>PortfolioManagement</v>
      </c>
      <c r="B27" s="23" t="str">
        <f>IFERROR(__xludf.DUMMYFUNCTION("""COMPUTED_VALUE"""),"CheckDashboardPM")</f>
        <v>CheckDashboardPM</v>
      </c>
      <c r="C27" s="23" t="str">
        <f>IFERROR(__xludf.DUMMYFUNCTION("""COMPUTED_VALUE"""),"1dCUqkFToxbHWLcuEsup6xul17t7dk0JWXjsF_NqJWLs")</f>
        <v>1dCUqkFToxbHWLcuEsup6xul17t7dk0JWXjsF_NqJWLs</v>
      </c>
      <c r="D27" s="23"/>
      <c r="E27" s="23"/>
      <c r="F27" s="23"/>
    </row>
    <row r="28" ht="15.75" customHeight="1" spans="1:6">
      <c r="A28" s="23" t="str">
        <f>IFERROR(__xludf.DUMMYFUNCTION("""COMPUTED_VALUE"""),"PortfolioManagement")</f>
        <v>PortfolioManagement</v>
      </c>
      <c r="B28" s="23" t="str">
        <f>IFERROR(__xludf.DUMMYFUNCTION("""COMPUTED_VALUE"""),"CheckPortfolioManagement")</f>
        <v>CheckPortfolioManagement</v>
      </c>
      <c r="C28" s="23" t="str">
        <f>IFERROR(__xludf.DUMMYFUNCTION("""COMPUTED_VALUE"""),"1WrLR2m07rC0_5QRVRBEKQH-92mAfrcXJUuuIwELno2g")</f>
        <v>1WrLR2m07rC0_5QRVRBEKQH-92mAfrcXJUuuIwELno2g</v>
      </c>
      <c r="D28" s="23"/>
      <c r="E28" s="23"/>
      <c r="F28" s="23"/>
    </row>
    <row r="29" ht="15.75" customHeight="1" spans="1:6">
      <c r="A29" s="23" t="str">
        <f>IFERROR(__xludf.DUMMYFUNCTION("""COMPUTED_VALUE"""),"PortfolioManagement")</f>
        <v>PortfolioManagement</v>
      </c>
      <c r="B29" s="23" t="str">
        <f>IFERROR(__xludf.DUMMYFUNCTION("""COMPUTED_VALUE"""),"CheckPMLiveFeed")</f>
        <v>CheckPMLiveFeed</v>
      </c>
      <c r="C29" s="23" t="str">
        <f>IFERROR(__xludf.DUMMYFUNCTION("""COMPUTED_VALUE"""),"1QWSkwx0bAWzpqMe84BsrfOocoNHimoDayzIkgCxRsqc")</f>
        <v>1QWSkwx0bAWzpqMe84BsrfOocoNHimoDayzIkgCxRsqc</v>
      </c>
      <c r="D29" s="23"/>
      <c r="E29" s="23"/>
      <c r="F29" s="23"/>
    </row>
    <row r="30" ht="15.75" customHeight="1" spans="1:6">
      <c r="A30" s="23" t="str">
        <f>IFERROR(__xludf.DUMMYFUNCTION("""COMPUTED_VALUE"""),"PricingInput")</f>
        <v>PricingInput</v>
      </c>
      <c r="B30" s="23" t="str">
        <f>IFERROR(__xludf.DUMMYFUNCTION("""COMPUTED_VALUE"""),"PricingInput")</f>
        <v>PricingInput</v>
      </c>
      <c r="C30" s="23" t="str">
        <f>IFERROR(__xludf.DUMMYFUNCTION("""COMPUTED_VALUE"""),"16EMowOhNWCoGHg3C_AEEGTB-3SXFMg5x63-S3irnai0")</f>
        <v>16EMowOhNWCoGHg3C_AEEGTB-3SXFMg5x63-S3irnai0</v>
      </c>
      <c r="D30" s="23"/>
      <c r="E30" s="23"/>
      <c r="F30" s="23"/>
    </row>
    <row r="31" ht="15.75" customHeight="1" spans="1:6">
      <c r="A31" s="23" t="str">
        <f>IFERROR(__xludf.DUMMYFUNCTION("""COMPUTED_VALUE"""),"PricingInput")</f>
        <v>PricingInput</v>
      </c>
      <c r="B31" s="23" t="str">
        <f>IFERROR(__xludf.DUMMYFUNCTION("""COMPUTED_VALUE"""),"UpdateSharesOutstanding")</f>
        <v>UpdateSharesOutstanding</v>
      </c>
      <c r="C31" s="23" t="str">
        <f>IFERROR(__xludf.DUMMYFUNCTION("""COMPUTED_VALUE"""),"1q9dRSKiXfUcfgc5w_m-vMSRuUWcHC5mxzB_SFqqFzJk")</f>
        <v>1q9dRSKiXfUcfgc5w_m-vMSRuUWcHC5mxzB_SFqqFzJk</v>
      </c>
      <c r="D31" s="23"/>
      <c r="E31" s="23"/>
      <c r="F31" s="23"/>
    </row>
    <row r="32" ht="15.75" customHeight="1" spans="1:6">
      <c r="A32" s="23" t="str">
        <f>IFERROR(__xludf.DUMMYFUNCTION("""COMPUTED_VALUE"""),"SymbolLookup")</f>
        <v>SymbolLookup</v>
      </c>
      <c r="B32" s="23" t="str">
        <f>IFERROR(__xludf.DUMMYFUNCTION("""COMPUTED_VALUE"""),"VerifySymbolLookUp")</f>
        <v>VerifySymbolLookUp</v>
      </c>
      <c r="C32" s="23" t="str">
        <f>IFERROR(__xludf.DUMMYFUNCTION("""COMPUTED_VALUE"""),"1lP1jJVwyLgSReroORPW2qHMX-c1ylMBmX8jxb7m4wfI")</f>
        <v>1lP1jJVwyLgSReroORPW2qHMX-c1ylMBmX8jxb7m4wfI</v>
      </c>
      <c r="D32" s="23"/>
      <c r="E32" s="23"/>
      <c r="F32" s="23"/>
    </row>
    <row r="33" ht="15.75" customHeight="1" spans="1:6">
      <c r="A33" s="23" t="str">
        <f>IFERROR(__xludf.DUMMYFUNCTION("""COMPUTED_VALUE"""),"SymbolLookup")</f>
        <v>SymbolLookup</v>
      </c>
      <c r="B33" s="23" t="str">
        <f>IFERROR(__xludf.DUMMYFUNCTION("""COMPUTED_VALUE"""),"SymbolLookupFromTT")</f>
        <v>SymbolLookupFromTT</v>
      </c>
      <c r="C33" s="23" t="str">
        <f>IFERROR(__xludf.DUMMYFUNCTION("""COMPUTED_VALUE"""),"1Ws0Hw39H3ULaKM5Cl_p6p-caLwRm8T0L43ngVqjHMnM")</f>
        <v>1Ws0Hw39H3ULaKM5Cl_p6p-caLwRm8T0L43ngVqjHMnM</v>
      </c>
      <c r="D33" s="23"/>
      <c r="E33" s="23"/>
      <c r="F33" s="23"/>
    </row>
    <row r="34" ht="15.75" customHeight="1" spans="1:3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 spans="1:3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 spans="1:3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 spans="1:3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 spans="1:3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 spans="1:3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 spans="1:3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 spans="1:3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 spans="1:3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 spans="1:3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 spans="1:3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 spans="1:3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 spans="1:3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 spans="1:3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 spans="1:3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 spans="1:3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 spans="1:3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 spans="1:3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 spans="1:3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 spans="1:3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 spans="1:3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 spans="1:3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 spans="1:3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 spans="1:3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 spans="1:3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 spans="1:3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 spans="1:3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 spans="1:3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 spans="1:3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 spans="1:3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 spans="1:3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 spans="1:3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 spans="1:3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 spans="1:3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 spans="1:3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 spans="1:3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 spans="1:3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 spans="1:3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 spans="1:3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 spans="1:3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 spans="1:3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 spans="1:3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 spans="1:3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 spans="1:3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 spans="1:3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 spans="1:3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 spans="1:3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 spans="1:3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 spans="1:3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 spans="1:3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 spans="1:3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 spans="1:3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 spans="1:3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 spans="1:3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 spans="1:3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 spans="1:3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 spans="1:3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 spans="1:3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 spans="1:3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 spans="1:3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 spans="1:3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 spans="1:3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 spans="1:3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 spans="1:3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 spans="1:3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 spans="1:3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 spans="1:3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 spans="1:3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 spans="1:3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 spans="1:3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 spans="1:3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 spans="1:3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 spans="1:3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 spans="1:3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 spans="1:3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 spans="1:3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 spans="1:3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 spans="1:3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 spans="1:3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 spans="1:3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 spans="1:3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 spans="1:3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 spans="1:3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 spans="1:3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 spans="1:3">
      <c r="A118" s="23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 spans="1:3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 spans="1:3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 spans="1:3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 spans="1:3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 spans="1:3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 spans="1:3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 spans="1:3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 spans="1:3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 spans="1:3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 spans="1:3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 spans="1:3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 spans="1:3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 spans="1:3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 spans="1:3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 spans="1:3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 spans="1:3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 spans="1:3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 spans="1:3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 spans="1:3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 spans="1:3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 spans="1:3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 spans="1:3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 spans="1:3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 spans="1:3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 spans="1:3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 spans="1:3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 spans="1:3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 spans="1:3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 spans="1:3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 spans="1:3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 spans="1:3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 spans="1:3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 spans="1:3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 spans="1:3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 spans="1:3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 spans="1:3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 spans="1:3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 spans="1:3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 spans="1:3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 spans="1:3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 spans="1:3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 spans="1:3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 spans="1:3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 spans="1:3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 spans="1:3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 spans="1:3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 spans="1:3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 spans="1:3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 spans="1:3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 spans="1:3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 spans="1:3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 spans="1:3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 spans="1:3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 spans="1:3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 spans="1:3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 spans="1:3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 spans="1:3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 spans="1:3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 spans="1:3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 spans="1:3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 spans="1:3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 spans="1:3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 spans="1:3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 spans="1:3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 spans="1:3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 spans="1:3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 spans="1:3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 spans="1:3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 spans="1:3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 spans="1:3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 spans="1:3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 spans="1:3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 spans="1:3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 spans="1:3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 spans="1:3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 spans="1:3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 spans="1:3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 spans="1:3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 spans="1:3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 spans="1:3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 spans="1:3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 spans="1:3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 spans="1:3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 spans="1:3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 spans="1:3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 spans="1:3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 spans="1:3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 spans="1:3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 spans="1:3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 spans="1:3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 spans="1:3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 spans="1:3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 spans="1:3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 spans="1:3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 spans="1:3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 spans="1:3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 spans="1:3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 spans="1:3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 spans="1:3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 spans="1:3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 spans="1:3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 spans="1:3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 spans="1:3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 spans="1:3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 spans="1:3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 spans="1:3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 spans="1:3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 spans="1:3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 spans="1:3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 spans="1:3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 spans="1:3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 spans="1:3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 spans="1:3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 spans="1:3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 spans="1:3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 spans="1:3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 spans="1:3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 spans="1:3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 spans="1:3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 spans="1:3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 spans="1:3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 spans="1:3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 spans="1:3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 spans="1:3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 spans="1:3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 spans="1:3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 spans="1:3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 spans="1:3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 spans="1:3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 spans="1:3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 spans="1:3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 spans="1:3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 spans="1:3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 spans="1:3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 spans="1:3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 spans="1:3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 spans="1:3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 spans="1:3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 spans="1:3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 spans="1:3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 spans="1:3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 spans="1:3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 spans="1:3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 spans="1:3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 spans="1:3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 spans="1:3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 spans="1:3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 spans="1:3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 spans="1:3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 spans="1:3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 spans="1:3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 spans="1:3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 spans="1:3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 spans="1:3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 spans="1:3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 spans="1:3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 spans="1:3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 spans="1:3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 spans="1:3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 spans="1:3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 spans="1:3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 spans="1:3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 spans="1:3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 spans="1:3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 spans="1:3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 spans="1:3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 spans="1:3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 spans="1:3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 spans="1:3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 spans="1:3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 spans="1:3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 spans="1:3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 spans="1:3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 spans="1:3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 spans="1:3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 spans="1:3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 spans="1:3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 spans="1:3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 spans="1:3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 spans="1:3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 spans="1:3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 spans="1:3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 spans="1:3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 spans="1:3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 spans="1:3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 spans="1:3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 spans="1:3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 spans="1:3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 spans="1:3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 spans="1:3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 spans="1:3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 spans="1:3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 spans="1:3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 spans="1:3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 spans="1:3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 spans="1:3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 spans="1:3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 spans="1:3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 spans="1:3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 spans="1:3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 spans="1:3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 spans="1:3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 spans="1:3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 spans="1:3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 spans="1:3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 spans="1:3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 spans="1:3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 spans="1:3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 spans="1:3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 spans="1:3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 spans="1:3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 spans="1:3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 spans="1:3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 spans="1:3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 spans="1:3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 spans="1:3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 spans="1:3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 spans="1:3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 spans="1:3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 spans="1:3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 spans="1:3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 spans="1:3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 spans="1:3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 spans="1:3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 spans="1:3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 spans="1:3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 spans="1:3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 spans="1:3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 spans="1:3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 spans="1:3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 spans="1:3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 spans="1:3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 spans="1:3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 spans="1:3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 spans="1:3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 spans="1:3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 spans="1:3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 spans="1:3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 spans="1:3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 spans="1:3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 spans="1:3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 spans="1:3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 spans="1:3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 spans="1:3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 spans="1:3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 spans="1:3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 spans="1:3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 spans="1:3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 spans="1:3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 spans="1:3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 spans="1:3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 spans="1:3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 spans="1:3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 spans="1:3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 spans="1:3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 spans="1:3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 spans="1:3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 spans="1:3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 spans="1:3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 spans="1:3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 spans="1:3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 spans="1:3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 spans="1:3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 spans="1:3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 spans="1:3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 spans="1:3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 spans="1:3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 spans="1:3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 spans="1:3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 spans="1:3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 spans="1:3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 spans="1:3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 spans="1:3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 spans="1:3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 spans="1:3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 spans="1:3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 spans="1:3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 spans="1:3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 spans="1:3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 spans="1:3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 spans="1:3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 spans="1:3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 spans="1:3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 spans="1:3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 spans="1:3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 spans="1:3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 spans="1:3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 spans="1:3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 spans="1:3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 spans="1:3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 spans="1:3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 spans="1:3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 spans="1:3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 spans="1:3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 spans="1:3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 spans="1:3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 spans="1:3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 spans="1:3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 spans="1:3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 spans="1:3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 spans="1:3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 spans="1:3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 spans="1:3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 spans="1:3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 spans="1:3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 spans="1:3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 spans="1:3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 spans="1:3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 spans="1:3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 spans="1:3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 spans="1:3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 spans="1:3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 spans="1:3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 spans="1:3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 spans="1:3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 spans="1:3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 spans="1:3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 spans="1:3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 spans="1:3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 spans="1:3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 spans="1:3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 spans="1:3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 spans="1:3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 spans="1:3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 spans="1:3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 spans="1:3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 spans="1:3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 spans="1:3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 spans="1:3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 spans="1:3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 spans="1:3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 spans="1:3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 spans="1:3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 spans="1:3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 spans="1:3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 spans="1:3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 spans="1:3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 spans="1:3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 spans="1:3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 spans="1:3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 spans="1:3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 spans="1:3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 spans="1:3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 spans="1:3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 spans="1:3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 spans="1:3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 spans="1:3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 spans="1:3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 spans="1:3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 spans="1:3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 spans="1:3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 spans="1:3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 spans="1:3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 spans="1:3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 spans="1:3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 spans="1:3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 spans="1:3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 spans="1:3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 spans="1:3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 spans="1:3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 spans="1:3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 spans="1:3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 spans="1:3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 spans="1:3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 spans="1:3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 spans="1:3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 spans="1:3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 spans="1:3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 spans="1:3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 spans="1:3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 spans="1:3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 spans="1:3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 spans="1:3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 spans="1:3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 spans="1:3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 spans="1:3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 spans="1:3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 spans="1:3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 spans="1:3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 spans="1:3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 spans="1:3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 spans="1:3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 spans="1:3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 spans="1:3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 spans="1:3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 spans="1:3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 spans="1:3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 spans="1:3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 spans="1:3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 spans="1:3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 spans="1:3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 spans="1:3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 spans="1:3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 spans="1:3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 spans="1:3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 spans="1:3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 spans="1:3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 spans="1:3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 spans="1:3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 spans="1:3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 spans="1:3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 spans="1:3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 spans="1:3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 spans="1:3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 spans="1:3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 spans="1:3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 spans="1:3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 spans="1:3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 spans="1:3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 spans="1:3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 spans="1:3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 spans="1:3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 spans="1:3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 spans="1:3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 spans="1:3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 spans="1:3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 spans="1:3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 spans="1:3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 spans="1:3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 spans="1:3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 spans="1:3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 spans="1:3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 spans="1:3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 spans="1:3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 spans="1:3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 spans="1:3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 spans="1:3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 spans="1:3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 spans="1:3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 spans="1:3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 spans="1:3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 spans="1:3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 spans="1:3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 spans="1:3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 spans="1:3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 spans="1:3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 spans="1:3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 spans="1:3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 spans="1:3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 spans="1:3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 spans="1:3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 spans="1:3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 spans="1:3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 spans="1:3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 spans="1:3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 spans="1:3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 spans="1:3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 spans="1:3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 spans="1:3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 spans="1:3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 spans="1:3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 spans="1:3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 spans="1:3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 spans="1:3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 spans="1:3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 spans="1:3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 spans="1:3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 spans="1:3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 spans="1:3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 spans="1:3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 spans="1:3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 spans="1:3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 spans="1:3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 spans="1:3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 spans="1:3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 spans="1:3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 spans="1:3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 spans="1:3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 spans="1:3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 spans="1:3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 spans="1:3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 spans="1:3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 spans="1:3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 spans="1:3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 spans="1:3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:C1"/>
    </sheetView>
  </sheetViews>
  <sheetFormatPr defaultColWidth="15.1333333333333" defaultRowHeight="15" customHeight="1" outlineLevelCol="2"/>
  <cols>
    <col min="1" max="1" width="21.247619047619" customWidth="1"/>
    <col min="2" max="2" width="42.6285714285714" customWidth="1"/>
    <col min="3" max="23" width="12.6285714285714" customWidth="1"/>
  </cols>
  <sheetData>
    <row r="1" ht="15.75" customHeight="1" spans="1:3">
      <c r="A1" s="29" t="s">
        <v>2</v>
      </c>
      <c r="B1" s="3"/>
      <c r="C1" s="3"/>
    </row>
    <row r="2" ht="15.75" customHeight="1" spans="1:3">
      <c r="A2" s="4"/>
      <c r="B2" s="4"/>
      <c r="C2" s="4"/>
    </row>
    <row r="3" ht="15.75" customHeight="1" spans="1:3">
      <c r="A3" s="6" t="s">
        <v>3</v>
      </c>
      <c r="B3" s="4" t="s">
        <v>4</v>
      </c>
      <c r="C3" s="4"/>
    </row>
    <row r="4" ht="15.75" customHeight="1" spans="1:3">
      <c r="A4" s="6" t="s">
        <v>5</v>
      </c>
      <c r="B4" s="4" t="s">
        <v>6</v>
      </c>
      <c r="C4" s="4"/>
    </row>
    <row r="5" ht="15.75" customHeight="1" spans="1:3">
      <c r="A5" s="7"/>
      <c r="B5" s="4"/>
      <c r="C5" s="4"/>
    </row>
    <row r="6" ht="15.75" customHeight="1" spans="1:3">
      <c r="A6" s="7"/>
      <c r="B6" s="4"/>
      <c r="C6" s="4"/>
    </row>
    <row r="7" ht="15.75" customHeight="1" spans="1:3">
      <c r="A7" s="7"/>
      <c r="B7" s="4"/>
      <c r="C7" s="4"/>
    </row>
    <row r="8" ht="15.75" customHeight="1" spans="1:3">
      <c r="A8" s="7"/>
      <c r="B8" s="4"/>
      <c r="C8" s="4"/>
    </row>
    <row r="9" ht="15.75" customHeight="1" spans="1:3">
      <c r="A9" s="7"/>
      <c r="B9" s="4"/>
      <c r="C9" s="4"/>
    </row>
    <row r="10" ht="15.75" customHeight="1" spans="1:3">
      <c r="A10" s="7"/>
      <c r="B10" s="4"/>
      <c r="C10" s="4"/>
    </row>
    <row r="11" ht="15.75" customHeight="1" spans="1:3">
      <c r="A11" s="7"/>
      <c r="B11" s="4"/>
      <c r="C11" s="4"/>
    </row>
    <row r="12" ht="15.75" customHeight="1" spans="1:3">
      <c r="A12" s="7"/>
      <c r="B12" s="4"/>
      <c r="C12" s="4"/>
    </row>
    <row r="13" ht="15.75" customHeight="1" spans="1:3">
      <c r="A13" s="7"/>
      <c r="B13" s="4"/>
      <c r="C13" s="4"/>
    </row>
    <row r="14" ht="15.75" customHeight="1" spans="1:3">
      <c r="A14" s="7"/>
      <c r="B14" s="4"/>
      <c r="C14" s="4"/>
    </row>
    <row r="15" ht="15.75" customHeight="1" spans="1:3">
      <c r="A15" s="7"/>
      <c r="B15" s="4"/>
      <c r="C15" s="4"/>
    </row>
    <row r="16" ht="15.75" customHeight="1" spans="1:3">
      <c r="A16" s="7"/>
      <c r="B16" s="4"/>
      <c r="C16" s="4"/>
    </row>
    <row r="17" ht="15.75" customHeight="1" spans="1:3">
      <c r="A17" s="7"/>
      <c r="B17" s="4"/>
      <c r="C17" s="4"/>
    </row>
    <row r="18" ht="15.75" customHeight="1" spans="1:3">
      <c r="A18" s="7"/>
      <c r="B18" s="4"/>
      <c r="C18" s="4"/>
    </row>
    <row r="19" ht="15.75" customHeight="1" spans="1:3">
      <c r="A19" s="7"/>
      <c r="B19" s="4"/>
      <c r="C19" s="4"/>
    </row>
    <row r="20" ht="15.75" customHeight="1" spans="1:3">
      <c r="A20" s="7"/>
      <c r="B20" s="4"/>
      <c r="C20" s="4"/>
    </row>
    <row r="21" ht="15.75" customHeight="1" spans="1:3">
      <c r="A21" s="7"/>
      <c r="B21" s="4"/>
      <c r="C21" s="4"/>
    </row>
    <row r="22" ht="15.75" customHeight="1" spans="1:3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0"/>
  <sheetViews>
    <sheetView workbookViewId="0">
      <selection activeCell="A1" sqref="A1:F1"/>
    </sheetView>
  </sheetViews>
  <sheetFormatPr defaultColWidth="15.1333333333333" defaultRowHeight="15" customHeight="1"/>
  <cols>
    <col min="4" max="4" width="33.6285714285714" customWidth="1"/>
  </cols>
  <sheetData>
    <row r="1" customHeight="1" spans="1:6">
      <c r="A1" s="2" t="s">
        <v>7</v>
      </c>
      <c r="B1" s="3"/>
      <c r="C1" s="3"/>
      <c r="D1" s="3"/>
      <c r="E1" s="3"/>
      <c r="F1" s="3"/>
    </row>
    <row r="2" customHeight="1" spans="1:6">
      <c r="A2" s="23"/>
      <c r="B2" s="23"/>
      <c r="C2" s="23"/>
      <c r="D2" s="23"/>
      <c r="E2" s="23"/>
      <c r="F2" s="23"/>
    </row>
    <row r="3" customHeight="1" spans="1:26">
      <c r="A3" s="6" t="s">
        <v>8</v>
      </c>
      <c r="B3" s="27" t="s">
        <v>9</v>
      </c>
      <c r="C3" s="27" t="s">
        <v>10</v>
      </c>
      <c r="D3" s="27"/>
      <c r="E3" s="27"/>
      <c r="F3" s="27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Height="1" spans="1: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 customHeight="1" spans="1:4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 customHeight="1" spans="1:4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 customHeight="1" spans="1:4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 customHeight="1" spans="1:4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 customHeight="1" spans="1:4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 customHeight="1" spans="1:4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 customHeight="1" spans="1:4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 customHeight="1" spans="1:4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 customHeight="1" spans="1:4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 customHeight="1" spans="1: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 customHeight="1" spans="1:4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 customHeight="1" spans="1:4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 customHeight="1" spans="1:4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 customHeight="1" spans="1:4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 customHeight="1" spans="1:4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 customHeight="1" spans="1:4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IFERROR(__xludf.DUMMYFUNCTION("IF(C3="""","""",Transpose(IMPORTRANGE('_Settings'!$B$3,C3&amp;""!A4:A1000"")))"),"SetTTUIPreferences")</f>
        <v>SetTTUIPreferences</v>
      </c>
      <c r="C4" s="8" t="str">
        <f>IFERROR(__xludf.DUMMYFUNCTION("""COMPUTED_VALUE"""),"TTPermissionLevel")</f>
        <v>TTPermissionLevel</v>
      </c>
      <c r="D4" s="8" t="str">
        <f>IFERROR(__xludf.DUMMYFUNCTION("""COMPUTED_VALUE"""),"SetCheckSide")</f>
        <v>SetCheckSide</v>
      </c>
      <c r="E4" s="8" t="str">
        <f>IFERROR(__xludf.DUMMYFUNCTION("""COMPUTED_VALUE"""),"SetRollover")</f>
        <v>SetRollover</v>
      </c>
      <c r="F4" s="8" t="str">
        <f>IFERROR(__xludf.DUMMYFUNCTION("""COMPUTED_VALUE"""),"SetActive")</f>
        <v>SetActive</v>
      </c>
      <c r="G4" s="8" t="str">
        <f>IFERROR(__xludf.DUMMYFUNCTION("""COMPUTED_VALUE"""),"SetThirdPartyFormat")</f>
        <v>SetThirdPartyFormat</v>
      </c>
      <c r="H4" s="8" t="str">
        <f>IFERROR(__xludf.DUMMYFUNCTION("""COMPUTED_VALUE"""),"SetTradingComplianceRules")</f>
        <v>SetTradingComplianceRules</v>
      </c>
      <c r="I4" s="8" t="str">
        <f>IFERROR(__xludf.DUMMYFUNCTION("""COMPUTED_VALUE"""),"EnableBreakdownRealizedPNL")</f>
        <v>EnableBreakdownRealizedPNL</v>
      </c>
      <c r="J4" s="8" t="str">
        <f>IFERROR(__xludf.DUMMYFUNCTION("""COMPUTED_VALUE"""),"SetTTGeneralPreferences")</f>
        <v>SetTTGeneralPreferences</v>
      </c>
      <c r="K4" s="8" t="str">
        <f>IFERROR(__xludf.DUMMYFUNCTION("""COMPUTED_VALUE"""),"SetDollarAmountPermission")</f>
        <v>SetDollarAmountPermission</v>
      </c>
      <c r="L4" s="8" t="str">
        <f>IFERROR(__xludf.DUMMYFUNCTION("""COMPUTED_VALUE"""),"EnableDisableModule")</f>
        <v>EnableDisableModule</v>
      </c>
      <c r="M4" s="8" t="str">
        <f>IFERROR(__xludf.DUMMYFUNCTION("""COMPUTED_VALUE"""),"IsImportOverrideOnShortLocate")</f>
        <v>IsImportOverrideOnShortLocate</v>
      </c>
      <c r="N4" s="8" t="str">
        <f>IFERROR(__xludf.DUMMYFUNCTION("""COMPUTED_VALUE"""),"SetShortLocateStructures")</f>
        <v>SetShortLocateStructures</v>
      </c>
      <c r="O4" s="8" t="str">
        <f>IFERROR(__xludf.DUMMYFUNCTION("""COMPUTED_VALUE"""),"SetComplianceAlert")</f>
        <v>SetComplianceAlert</v>
      </c>
      <c r="P4" s="14" t="str">
        <f>IFERROR(__xludf.DUMMYFUNCTION("""COMPUTED_VALUE"""),"UpdateExpirationDate")</f>
        <v>UpdateExpirationDate</v>
      </c>
      <c r="Q4" s="14" t="str">
        <f>IFERROR(__xludf.DUMMYFUNCTION("""COMPUTED_VALUE"""),"RenameMasterStrategy")</f>
        <v>RenameMasterStrategy</v>
      </c>
      <c r="R4" s="14" t="str">
        <f>IFERROR(__xludf.DUMMYFUNCTION("""COMPUTED_VALUE"""),"SetTTUIAdminPreferences")</f>
        <v>SetTTUIAdminPreferences</v>
      </c>
      <c r="S4" s="14" t="str">
        <f>IFERROR(__xludf.DUMMYFUNCTION("""COMPUTED_VALUE"""),"UpdateSecFee")</f>
        <v>UpdateSecFee</v>
      </c>
      <c r="T4" s="14" t="str">
        <f>IFERROR(__xludf.DUMMYFUNCTION("""COMPUTED_VALUE"""),"UpdateFee")</f>
        <v>UpdateFee</v>
      </c>
      <c r="U4" s="14" t="str">
        <f>IFERROR(__xludf.DUMMYFUNCTION("""COMPUTED_VALUE"""),"RevertingSMSharesOutValue")</f>
        <v>RevertingSMSharesOutValue</v>
      </c>
      <c r="V4" s="14" t="str">
        <f>IFERROR(__xludf.DUMMYFUNCTION("""COMPUTED_VALUE"""),"SetTTUIAdminPreferences")</f>
        <v>SetTTUIAdminPreferences</v>
      </c>
      <c r="W4" s="14" t="str">
        <f>IFERROR(__xludf.DUMMYFUNCTION("""COMPUTED_VALUE"""),"RestartSQL")</f>
        <v>RestartSQL</v>
      </c>
      <c r="X4" s="14" t="str">
        <f>IFERROR(__xludf.DUMMYFUNCTION("""COMPUTED_VALUE"""),"TradeAuditCleanUp")</f>
        <v>TradeAuditCleanUp</v>
      </c>
      <c r="Y4" s="14" t="str">
        <f>IFERROR(__xludf.DUMMYFUNCTION("""COMPUTED_VALUE"""),"DeleteSymbolFromSM")</f>
        <v>DeleteSymbolFromSM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IFERROR(__xludf.DUMMYFUNCTION("""COMPUTED_VALUE"""),"OverSellTradingRule")</f>
        <v>OverSellTradingRule</v>
      </c>
      <c r="C5" s="10" t="str">
        <f>IFERROR(__xludf.DUMMYFUNCTION("""COMPUTED_VALUE"""),"OverBuyTradingRule")</f>
        <v>OverBuyTradingRule</v>
      </c>
      <c r="D5" s="10" t="str">
        <f>IFERROR(__xludf.DUMMYFUNCTION("""COMPUTED_VALUE"""),"FatFingerTradingRule")</f>
        <v>FatFingerTradingRule</v>
      </c>
      <c r="E5" s="10" t="str">
        <f>IFERROR(__xludf.DUMMYFUNCTION("""COMPUTED_VALUE"""),"UnallocatedTradeAlert")</f>
        <v>UnallocatedTradeAlert</v>
      </c>
      <c r="F5" s="10" t="str">
        <f>IFERROR(__xludf.DUMMYFUNCTION("""COMPUTED_VALUE"""),"DuplicateTradeAlert")</f>
        <v>DuplicateTradeAlert</v>
      </c>
      <c r="G5" s="10" t="str">
        <f>IFERROR(__xludf.DUMMYFUNCTION("""COMPUTED_VALUE"""),"PendingNewOrderAlert")</f>
        <v>PendingNewOrderAlert</v>
      </c>
      <c r="H5" s="10" t="str">
        <f>IFERROR(__xludf.DUMMYFUNCTION("""COMPUTED_VALUE"""),"FatFingerPercent")</f>
        <v>FatFingerPercent</v>
      </c>
      <c r="I5" s="10" t="str">
        <f>IFERROR(__xludf.DUMMYFUNCTION("""COMPUTED_VALUE"""),"DuplicateTradeAlertTime")</f>
        <v>DuplicateTradeAlertTime</v>
      </c>
      <c r="J5" s="10" t="str">
        <f>IFERROR(__xludf.DUMMYFUNCTION("""COMPUTED_VALUE"""),"PendingNewOrderAlertTime")</f>
        <v>PendingNewOrderAlertTime</v>
      </c>
      <c r="K5" s="10" t="str">
        <f>IFERROR(__xludf.DUMMYFUNCTION("""COMPUTED_VALUE"""),"FatFingerAccountOrMasterFund")</f>
        <v>FatFingerAccountOrMasterFund</v>
      </c>
      <c r="L5" s="10" t="str">
        <f>IFERROR(__xludf.DUMMYFUNCTION("""COMPUTED_VALUE"""),"IsAbsoluteAmountOrDefinePercent")</f>
        <v>IsAbsoluteAmountOrDefinePercent</v>
      </c>
      <c r="M5" s="10" t="str">
        <f>IFERROR(__xludf.DUMMYFUNCTION("""COMPUTED_VALUE"""),"IsInMarketIncluded")</f>
        <v>IsInMarketIncluded</v>
      </c>
      <c r="N5" s="10" t="str">
        <f>IFERROR(__xludf.DUMMYFUNCTION("""COMPUTED_VALUE"""),"IsSharesOutstandingRule")</f>
        <v>IsSharesOutstandingRule</v>
      </c>
      <c r="O5" s="10" t="str">
        <f>IFERROR(__xludf.DUMMYFUNCTION("""COMPUTED_VALUE"""),"SharesOutstandingPercent")</f>
        <v>SharesOutstandingPercent</v>
      </c>
      <c r="P5" s="10" t="str">
        <f>IFERROR(__xludf.DUMMYFUNCTION("""COMPUTED_VALUE"""),"SharesOutstandingAccountOrMF")</f>
        <v>SharesOutstandingAccountOrMF</v>
      </c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20"/>
      <c r="B6" s="26" t="b">
        <v>1</v>
      </c>
      <c r="C6" s="26" t="b">
        <v>1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IFERROR(__xludf.DUMMYFUNCTION("""COMPUTED_VALUE"""),"PreferenceName")</f>
        <v>PreferenceName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23"/>
      <c r="B6" s="20" t="s">
        <v>18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str">
        <f>VLOOKUP($E$3,_MasterData!B4:D1000,3,FALSE)</f>
        <v>1svq-61dzaRHeNDz1TSSUPXQbbN3Mi4bhNQabvGVoz2c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IFERROR(__xludf.DUMMYFUNCTION("""COMPUTED_VALUE"""),"PreferenceName")</f>
        <v>PreferenceName</v>
      </c>
      <c r="C5" s="10" t="str">
        <f>IFERROR(__xludf.DUMMYFUNCTION("""COMPUTED_VALUE"""),"AccountName")</f>
        <v>AccountName</v>
      </c>
      <c r="D5" s="10" t="str">
        <f>IFERROR(__xludf.DUMMYFUNCTION("""COMPUTED_VALUE"""),"Percentage")</f>
        <v>Percentage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20" t="s">
        <v>18</v>
      </c>
      <c r="C6" s="23" t="s">
        <v>20</v>
      </c>
      <c r="D6" s="21">
        <v>80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20" t="s">
        <v>18</v>
      </c>
      <c r="C7" s="23" t="s">
        <v>21</v>
      </c>
      <c r="D7" s="25">
        <v>20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str">
        <f>VLOOKUP($E$3,_MasterData!B4:D1000,3,FALSE)</f>
        <v>1rt8inh4u7qHUhCAFSaa2kmPKLkqeh3uljucYajdto60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22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IFERROR(__xludf.DUMMYFUNCTION("""COMPUTED_VALUE"""),"PreferenceName")</f>
        <v>PreferenceName</v>
      </c>
      <c r="C5" s="10" t="str">
        <f>IFERROR(__xludf.DUMMYFUNCTION("""COMPUTED_VALUE"""),"AccountName")</f>
        <v>AccountName</v>
      </c>
      <c r="D5" s="10" t="str">
        <f>IFERROR(__xludf.DUMMYFUNCTION("""COMPUTED_VALUE"""),"StrategyName")</f>
        <v>StrategyName</v>
      </c>
      <c r="E5" s="10" t="str">
        <f>IFERROR(__xludf.DUMMYFUNCTION("""COMPUTED_VALUE"""),"Percentage")</f>
        <v>Percentage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20" t="s">
        <v>18</v>
      </c>
      <c r="C6" s="23" t="s">
        <v>20</v>
      </c>
      <c r="D6" s="22" t="s">
        <v>23</v>
      </c>
      <c r="E6" s="21">
        <v>50</v>
      </c>
      <c r="F6" s="20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20" t="s">
        <v>18</v>
      </c>
      <c r="C7" s="20" t="s">
        <v>20</v>
      </c>
      <c r="D7" s="4" t="s">
        <v>24</v>
      </c>
      <c r="E7" s="25">
        <v>50</v>
      </c>
      <c r="F7" s="23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20" t="s">
        <v>18</v>
      </c>
      <c r="C8" s="23" t="s">
        <v>21</v>
      </c>
      <c r="D8" s="4" t="s">
        <v>23</v>
      </c>
      <c r="E8" s="25">
        <v>75</v>
      </c>
      <c r="F8" s="23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20" t="s">
        <v>18</v>
      </c>
      <c r="C9" s="23" t="s">
        <v>21</v>
      </c>
      <c r="D9" s="4" t="s">
        <v>24</v>
      </c>
      <c r="E9" s="25">
        <v>25</v>
      </c>
      <c r="F9" s="23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_x0003_" sqref="C3">
      <formula1>_Modules!$A$4:$A$1000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str">
        <f>VLOOKUP($E$3,_MasterData!B4:D1000,3,FALSE)</f>
        <v>1j6MD8nFEuJNo52Mp8uXbXRmrJs802rnEIiTOEuZFdWA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25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IFERROR(__xludf.DUMMYFUNCTION("""COMPUTED_VALUE"""),"AllocationMethod")</f>
        <v>AllocationMethod</v>
      </c>
      <c r="C5" s="10" t="str">
        <f>IFERROR(__xludf.DUMMYFUNCTION("""COMPUTED_VALUE"""),"RemainderAllocationTo")</f>
        <v>RemainderAllocationTo</v>
      </c>
      <c r="D5" s="10" t="str">
        <f>IFERROR(__xludf.DUMMYFUNCTION("""COMPUTED_VALUE"""),"Target%AsOf")</f>
        <v>Target%AsOf</v>
      </c>
      <c r="E5" s="10" t="str">
        <f>IFERROR(__xludf.DUMMYFUNCTION("""COMPUTED_VALUE"""),"ProrataAccounts")</f>
        <v>ProrataAccounts</v>
      </c>
      <c r="F5" s="10" t="str">
        <f>IFERROR(__xludf.DUMMYFUNCTION("""COMPUTED_VALUE"""),"DateUptoDays")</f>
        <v>DateUptoDays</v>
      </c>
      <c r="G5" s="10" t="str">
        <f>IFERROR(__xludf.DUMMYFUNCTION("""COMPUTED_VALUE"""),"MatchClosingTransactions")</f>
        <v>MatchClosingTransactions</v>
      </c>
      <c r="H5" s="10" t="str">
        <f>IFERROR(__xludf.DUMMYFUNCTION("""COMPUTED_VALUE"""),"PreferenceName")</f>
        <v>PreferenceName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23"/>
      <c r="B6" s="20" t="s">
        <v>26</v>
      </c>
      <c r="C6" s="20"/>
      <c r="D6" s="20" t="s">
        <v>27</v>
      </c>
      <c r="E6" s="20"/>
      <c r="F6" s="20"/>
      <c r="G6" s="24" t="b">
        <v>0</v>
      </c>
      <c r="H6" s="20" t="s">
        <v>18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tabSelected="1" topLeftCell="J1" workbookViewId="0">
      <selection activeCell="W7" sqref="W7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36" width="12.6285714285714" customWidth="1"/>
    <col min="37" max="37" width="20.752380952381" customWidth="1"/>
    <col min="38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str">
        <f>VLOOKUP($E$3,_MasterData!B4:D1000,3,FALSE)</f>
        <v>1b5S4Xpp4fgZ1ez6cK92QFnVBylqz8jhwxdAyEvwDqUI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28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4" t="str">
        <f>IFERROR(__xludf.DUMMYFUNCTION("""COMPUTED_VALUE"""),"CreateLiveOrder")</f>
        <v>CreateLiveOrder</v>
      </c>
      <c r="Q4" s="14" t="str">
        <f>IFERROR(__xludf.DUMMYFUNCTION("""COMPUTED_VALUE"""),"UpdateMasterFundOnTT")</f>
        <v>UpdateMasterFundOnTT</v>
      </c>
      <c r="R4" s="14" t="str">
        <f>IFERROR(__xludf.DUMMYFUNCTION("""COMPUTED_VALUE"""),"SetTTCompliancePreference")</f>
        <v>SetTTCompliancePreference</v>
      </c>
      <c r="S4" s="14" t="str">
        <f>IFERROR(__xludf.DUMMYFUNCTION("""COMPUTED_VALUE"""),"ImportSymbol")</f>
        <v>ImportSymbol</v>
      </c>
      <c r="T4" s="14" t="str">
        <f>IFERROR(__xludf.DUMMYFUNCTION("""COMPUTED_VALUE"""),"ExportSymbolFromRAList")</f>
        <v>ExportSymbolFromRAList</v>
      </c>
      <c r="U4" s="14" t="str">
        <f>IFERROR(__xludf.DUMMYFUNCTION("""COMPUTED_VALUE"""),"CheckPendingNewOrderAlert")</f>
        <v>CheckPendingNewOrderAlert</v>
      </c>
      <c r="V4" s="14" t="str">
        <f>IFERROR(__xludf.DUMMYFUNCTION("""COMPUTED_VALUE"""),"AddSymbolOnRAList")</f>
        <v>AddSymbolOnRAList</v>
      </c>
      <c r="W4" s="14" t="str">
        <f>IFERROR(__xludf.DUMMYFUNCTION("""COMPUTED_VALUE"""),"DeleteSymbolListFromRA")</f>
        <v>DeleteSymbolListFromRA</v>
      </c>
      <c r="X4" s="14" t="str">
        <f>IFERROR(__xludf.DUMMYFUNCTION("""COMPUTED_VALUE"""),"RemoveSymbolFromRAList")</f>
        <v>RemoveSymbolFromRAList</v>
      </c>
      <c r="Y4" s="14" t="str">
        <f>IFERROR(__xludf.DUMMYFUNCTION("""COMPUTED_VALUE"""),"ToggleBlombergOnRA")</f>
        <v>ToggleBlombergOnRA</v>
      </c>
      <c r="Z4" s="14" t="str">
        <f>IFERROR(__xludf.DUMMYFUNCTION("""COMPUTED_VALUE"""),"CreateDoneAwayOrder")</f>
        <v>CreateDoneAwayOrder</v>
      </c>
      <c r="AA4" s="14" t="str">
        <f>IFERROR(__xludf.DUMMYFUNCTION("""COMPUTED_VALUE"""),"AddOptionTrade")</f>
        <v>AddOptionTrade</v>
      </c>
      <c r="AB4" s="14" t="str">
        <f>IFERROR(__xludf.DUMMYFUNCTION("""COMPUTED_VALUE"""),"SendLiveBloomberg")</f>
        <v>SendLiveBloomberg</v>
      </c>
      <c r="AC4" s="14" t="str">
        <f>IFERROR(__xludf.DUMMYFUNCTION("""COMPUTED_VALUE"""),"ViewAllocation")</f>
        <v>ViewAllocation</v>
      </c>
      <c r="AD4" s="14" t="str">
        <f>IFERROR(__xludf.DUMMYFUNCTION("""COMPUTED_VALUE"""),"CreateReplaceLiveOrder")</f>
        <v>CreateReplaceLiveOrder</v>
      </c>
      <c r="AE4" s="14" t="str">
        <f>IFERROR(__xludf.DUMMYFUNCTION("""COMPUTED_VALUE"""),"CreateNewSubLiveOrder")</f>
        <v>CreateNewSubLiveOrder</v>
      </c>
      <c r="AF4" s="14" t="str">
        <f>IFERROR(__xludf.DUMMYFUNCTION("""COMPUTED_VALUE"""),"VerifyBasketExport")</f>
        <v>VerifyBasketExport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 t="str">
        <f>IFERROR(__xludf.DUMMYFUNCTION("""COMPUTED_VALUE"""),"ChkBoxBookAsSwap")</f>
        <v>ChkBoxBookAsSwap</v>
      </c>
      <c r="AO5" s="15" t="str">
        <f>IFERROR(__xludf.DUMMYFUNCTION("""COMPUTED_VALUE"""),"PopUpQuantity")</f>
        <v>PopUpQuantity</v>
      </c>
      <c r="AP5" s="15" t="str">
        <f>IFERROR(__xludf.DUMMYFUNCTION("""COMPUTED_VALUE"""),"ShortLocate")</f>
        <v>ShortLocate</v>
      </c>
      <c r="AQ5" s="15" t="str">
        <f>IFERROR(__xludf.DUMMYFUNCTION("""COMPUTED_VALUE"""),"AllowTrade")</f>
        <v>AllowTrade</v>
      </c>
      <c r="AR5" s="15" t="str">
        <f>IFERROR(__xludf.DUMMYFUNCTION("""COMPUTED_VALUE"""),"SharesOutstandingPopUpQty")</f>
        <v>SharesOutstandingPopUpQty</v>
      </c>
      <c r="AS5" s="15" t="str">
        <f>IFERROR(__xludf.DUMMYFUNCTION("""COMPUTED_VALUE"""),"SharesOutstandingPopUp")</f>
        <v>SharesOutstandingPopUp</v>
      </c>
      <c r="AT5" s="15" t="str">
        <f>IFERROR(__xludf.DUMMYFUNCTION("""COMPUTED_VALUE"""),"ResAllowedListPopUp")</f>
        <v>ResAllowedListPopUp</v>
      </c>
      <c r="AU5" s="15" t="str">
        <f>IFERROR(__xludf.DUMMYFUNCTION("""COMPUTED_VALUE"""),"Rate(%)")</f>
        <v>Rate(%)</v>
      </c>
      <c r="AV5" s="15" t="str">
        <f>IFERROR(__xludf.DUMMYFUNCTION("""COMPUTED_VALUE"""),"Interest Rate")</f>
        <v>Interest Rate</v>
      </c>
      <c r="AW5" s="15" t="str">
        <f>IFERROR(__xludf.DUMMYFUNCTION("""COMPUTED_VALUE"""),"SelectAlgoStrategy")</f>
        <v>SelectAlgoStrategy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20"/>
      <c r="B6" s="20" t="s">
        <v>30</v>
      </c>
      <c r="C6" s="20" t="s">
        <v>31</v>
      </c>
      <c r="D6" s="21">
        <v>1000</v>
      </c>
      <c r="E6" s="21">
        <v>1000</v>
      </c>
      <c r="F6" s="22"/>
      <c r="G6" s="20"/>
      <c r="H6" s="20"/>
      <c r="I6" s="20"/>
      <c r="J6" s="21">
        <v>10</v>
      </c>
      <c r="K6" s="20"/>
      <c r="L6" s="20"/>
      <c r="M6" s="20"/>
      <c r="N6" s="20"/>
      <c r="O6" s="20"/>
      <c r="P6" s="20"/>
      <c r="Q6" s="20"/>
      <c r="R6" s="20"/>
      <c r="S6" s="20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 t="s">
        <v>32</v>
      </c>
      <c r="AL6" s="23" t="s">
        <v>33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 spans="1:154">
      <c r="A7" s="20"/>
      <c r="B7" s="20" t="s">
        <v>30</v>
      </c>
      <c r="C7" s="20" t="s">
        <v>34</v>
      </c>
      <c r="D7" s="21">
        <v>5000</v>
      </c>
      <c r="E7" s="21">
        <v>5000</v>
      </c>
      <c r="F7" s="22" t="s">
        <v>18</v>
      </c>
      <c r="G7" s="20"/>
      <c r="H7" s="20"/>
      <c r="I7" s="20"/>
      <c r="J7" s="21">
        <v>10</v>
      </c>
      <c r="K7" s="20"/>
      <c r="L7" s="20"/>
      <c r="M7" s="20"/>
      <c r="N7" s="20"/>
      <c r="O7" s="20"/>
      <c r="P7" s="20"/>
      <c r="Q7" s="20"/>
      <c r="R7" s="20"/>
      <c r="S7" s="20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35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IFERROR(__xludf.DUMMYFUNCTION("""COMPUTED_VALUE"""),"RangeType")</f>
        <v>RangeType</v>
      </c>
      <c r="C5" s="10" t="str">
        <f>IFERROR(__xludf.DUMMYFUNCTION("""COMPUTED_VALUE"""),"From")</f>
        <v>From</v>
      </c>
      <c r="D5" s="10" t="str">
        <f>IFERROR(__xludf.DUMMYFUNCTION("""COMPUTED_VALUE"""),"To")</f>
        <v>To</v>
      </c>
      <c r="E5" s="10" t="str">
        <f>IFERROR(__xludf.DUMMYFUNCTION("""COMPUTED_VALUE"""),"FilterTabName")</f>
        <v>FilterTabName</v>
      </c>
      <c r="F5" s="10" t="str">
        <f>IFERROR(__xludf.DUMMYFUNCTION("""COMPUTED_VALUE"""),"Symbol")</f>
        <v>Symbol</v>
      </c>
      <c r="G5" s="10" t="str">
        <f>IFERROR(__xludf.DUMMYFUNCTION("""COMPUTED_VALUE"""),"Asset")</f>
        <v>Asset</v>
      </c>
      <c r="H5" s="10" t="str">
        <f>IFERROR(__xludf.DUMMYFUNCTION("""COMPUTED_VALUE"""),"Side")</f>
        <v>Side</v>
      </c>
      <c r="I5" s="10" t="str">
        <f>IFERROR(__xludf.DUMMYFUNCTION("""COMPUTED_VALUE"""),"Account")</f>
        <v>Account</v>
      </c>
      <c r="J5" s="10" t="str">
        <f>IFERROR(__xludf.DUMMYFUNCTION("""COMPUTED_VALUE"""),"Broker")</f>
        <v>Broker</v>
      </c>
      <c r="K5" s="10" t="str">
        <f>IFERROR(__xludf.DUMMYFUNCTION("""COMPUTED_VALUE"""),"Currency")</f>
        <v>Currency</v>
      </c>
      <c r="L5" s="10" t="str">
        <f>IFERROR(__xludf.DUMMYFUNCTION("""COMPUTED_VALUE"""),"Exchange")</f>
        <v>Exchange</v>
      </c>
      <c r="M5" s="10" t="str">
        <f>IFERROR(__xludf.DUMMYFUNCTION("""COMPUTED_VALUE"""),"StrategyName")</f>
        <v>StrategyName</v>
      </c>
      <c r="N5" s="10" t="str">
        <f>IFERROR(__xludf.DUMMYFUNCTION("""COMPUTED_VALUE"""),"Underlying")</f>
        <v>Underlying</v>
      </c>
      <c r="O5" s="10" t="str">
        <f>IFERROR(__xludf.DUMMYFUNCTION("""COMPUTED_VALUE"""),"Venue")</f>
        <v>Venue</v>
      </c>
      <c r="P5" s="10" t="str">
        <f>IFERROR(__xludf.DUMMYFUNCTION("""COMPUTED_VALUE"""),"TradingAccount")</f>
        <v>TradingAccount</v>
      </c>
      <c r="Q5" s="10" t="str">
        <f>IFERROR(__xludf.DUMMYFUNCTION("""COMPUTED_VALUE"""),"PreAllocated")</f>
        <v>PreAllocated</v>
      </c>
      <c r="R5" s="10" t="str">
        <f>IFERROR(__xludf.DUMMYFUNCTION("""COMPUTED_VALUE"""),"ManualGroup")</f>
        <v>ManualGroup</v>
      </c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I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73" width="12.6285714285714" customWidth="1"/>
    <col min="74" max="74" width="14.6285714285714" customWidth="1"/>
    <col min="75" max="75" width="20.247619047619" customWidth="1"/>
    <col min="76" max="76" width="18.752380952381" customWidth="1"/>
    <col min="77" max="165" width="12.6285714285714" customWidth="1"/>
  </cols>
  <sheetData>
    <row r="1" ht="15.75" customHeight="1" spans="1:165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65">
      <c r="A3" s="5"/>
      <c r="B3" s="6" t="s">
        <v>8</v>
      </c>
      <c r="C3" s="7" t="s">
        <v>16</v>
      </c>
      <c r="D3" s="6" t="s">
        <v>9</v>
      </c>
      <c r="E3" s="7" t="s">
        <v>37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</row>
    <row r="4" ht="15.75" customHeight="1" spans="1:165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</row>
    <row r="5" ht="15.75" customHeight="1" spans="1:165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IFERROR(__xludf.DUMMYFUNCTION("""COMPUTED_VALUE"""),"Account Name")</f>
        <v>Account Name</v>
      </c>
      <c r="C5" s="10" t="str">
        <f>IFERROR(__xludf.DUMMYFUNCTION("""COMPUTED_VALUE"""),"Accrual Basis")</f>
        <v>Accrual Basis</v>
      </c>
      <c r="D5" s="10" t="str">
        <f>IFERROR(__xludf.DUMMYFUNCTION("""COMPUTED_VALUE"""),"Accrued Interest")</f>
        <v>Accrued Interest</v>
      </c>
      <c r="E5" s="10" t="str">
        <f>IFERROR(__xludf.DUMMYFUNCTION("""COMPUTED_VALUE"""),"Allocated Qty")</f>
        <v>Allocated Qty</v>
      </c>
      <c r="F5" s="10" t="str">
        <f>IFERROR(__xludf.DUMMYFUNCTION("""COMPUTED_VALUE"""),"Allocation Scheme Name")</f>
        <v>Allocation Scheme Name</v>
      </c>
      <c r="G5" s="10" t="str">
        <f>IFERROR(__xludf.DUMMYFUNCTION("""COMPUTED_VALUE"""),"Asset Category")</f>
        <v>Asset Category</v>
      </c>
      <c r="H5" s="10" t="str">
        <f>IFERROR(__xludf.DUMMYFUNCTION("""COMPUTED_VALUE"""),"AUEC Fee1")</f>
        <v>AUEC Fee1</v>
      </c>
      <c r="I5" s="10" t="str">
        <f>IFERROR(__xludf.DUMMYFUNCTION("""COMPUTED_VALUE"""),"AUEC Fee2")</f>
        <v>AUEC Fee2</v>
      </c>
      <c r="J5" s="10" t="str">
        <f>IFERROR(__xludf.DUMMYFUNCTION("""COMPUTED_VALUE"""),"AUECID")</f>
        <v>AUECID</v>
      </c>
      <c r="K5" s="10" t="str">
        <f>IFERROR(__xludf.DUMMYFUNCTION("""COMPUTED_VALUE"""),"Avg Price(Base)")</f>
        <v>Avg Price(Base)</v>
      </c>
      <c r="L5" s="10" t="str">
        <f>IFERROR(__xludf.DUMMYFUNCTION("""COMPUTED_VALUE"""),"Avg Price(Local)")</f>
        <v>Avg Price(Local)</v>
      </c>
      <c r="M5" s="10" t="str">
        <f>IFERROR(__xludf.DUMMYFUNCTION("""COMPUTED_VALUE"""),"Bloomberg")</f>
        <v>Bloomberg</v>
      </c>
      <c r="N5" s="10" t="str">
        <f>IFERROR(__xludf.DUMMYFUNCTION("""COMPUTED_VALUE"""),"Bond Type")</f>
        <v>Bond Type</v>
      </c>
      <c r="O5" s="10" t="str">
        <f>IFERROR(__xludf.DUMMYFUNCTION("""COMPUTED_VALUE"""),"Broker")</f>
        <v>Broker</v>
      </c>
      <c r="P5" s="10" t="str">
        <f>IFERROR(__xludf.DUMMYFUNCTION("""COMPUTED_VALUE"""),"Change Comment")</f>
        <v>Change Comment</v>
      </c>
      <c r="Q5" s="10" t="str">
        <f>IFERROR(__xludf.DUMMYFUNCTION("""COMPUTED_VALUE"""),"Change Type")</f>
        <v>Change Type</v>
      </c>
      <c r="R5" s="10" t="str">
        <f>IFERROR(__xludf.DUMMYFUNCTION("""COMPUTED_VALUE"""),"Clearing Broker Fee")</f>
        <v>Clearing Broker Fee</v>
      </c>
      <c r="S5" s="10" t="str">
        <f>IFERROR(__xludf.DUMMYFUNCTION("""COMPUTED_VALUE"""),"Closing Status")</f>
        <v>Closing Status</v>
      </c>
      <c r="T5" s="15" t="str">
        <f>IFERROR(__xludf.DUMMYFUNCTION("""COMPUTED_VALUE"""),"Commission")</f>
        <v>Commission</v>
      </c>
      <c r="U5" s="15" t="str">
        <f>IFERROR(__xludf.DUMMYFUNCTION("""COMPUTED_VALUE"""),"Commission Per Share")</f>
        <v>Commission Per Share</v>
      </c>
      <c r="V5" s="15" t="str">
        <f>IFERROR(__xludf.DUMMYFUNCTION("""COMPUTED_VALUE"""),"Company")</f>
        <v>Company</v>
      </c>
      <c r="W5" s="15" t="str">
        <f>IFERROR(__xludf.DUMMYFUNCTION("""COMPUTED_VALUE"""),"Contract Multiplier")</f>
        <v>Contract Multiplier</v>
      </c>
      <c r="X5" s="15" t="str">
        <f>IFERROR(__xludf.DUMMYFUNCTION("""COMPUTED_VALUE"""),"Coupon Rate")</f>
        <v>Coupon Rate</v>
      </c>
      <c r="Y5" s="15" t="str">
        <f>IFERROR(__xludf.DUMMYFUNCTION("""COMPUTED_VALUE"""),"Cum Qty For Sub Order")</f>
        <v>Cum Qty For Sub Order</v>
      </c>
      <c r="Z5" s="15" t="str">
        <f>IFERROR(__xludf.DUMMYFUNCTION("""COMPUTED_VALUE"""),"Currency")</f>
        <v>Currency</v>
      </c>
      <c r="AA5" s="15" t="str">
        <f>IFERROR(__xludf.DUMMYFUNCTION("""COMPUTED_VALUE"""),"Cusip Symbol")</f>
        <v>Cusip Symbol</v>
      </c>
      <c r="AB5" s="15" t="str">
        <f>IFERROR(__xludf.DUMMYFUNCTION("""COMPUTED_VALUE"""),"Delta")</f>
        <v>Delta</v>
      </c>
      <c r="AC5" s="15" t="str">
        <f>IFERROR(__xludf.DUMMYFUNCTION("""COMPUTED_VALUE"""),"Description")</f>
        <v>Description</v>
      </c>
      <c r="AD5" s="15" t="str">
        <f>IFERROR(__xludf.DUMMYFUNCTION("""COMPUTED_VALUE"""),"Exchange")</f>
        <v>Exchange</v>
      </c>
      <c r="AE5" s="15" t="str">
        <f>IFERROR(__xludf.DUMMYFUNCTION("""COMPUTED_VALUE"""),"Executed Qty")</f>
        <v>Executed Qty</v>
      </c>
      <c r="AF5" s="15" t="str">
        <f>IFERROR(__xludf.DUMMYFUNCTION("""COMPUTED_VALUE"""),"Exceution Time")</f>
        <v>Exceution Time</v>
      </c>
      <c r="AG5" s="15" t="str">
        <f>IFERROR(__xludf.DUMMYFUNCTION("""COMPUTED_VALUE"""),"Expiration Date")</f>
        <v>Expiration Date</v>
      </c>
      <c r="AH5" s="15" t="str">
        <f>IFERROR(__xludf.DUMMYFUNCTION("""COMPUTED_VALUE"""),"FX Conversion Operator")</f>
        <v>FX Conversion Operator</v>
      </c>
      <c r="AI5" s="15" t="str">
        <f>IFERROR(__xludf.DUMMYFUNCTION("""COMPUTED_VALUE"""),"FX Rate")</f>
        <v>FX Rate</v>
      </c>
      <c r="AJ5" s="15" t="str">
        <f>IFERROR(__xludf.DUMMYFUNCTION("""COMPUTED_VALUE"""),"Group Status")</f>
        <v>Group Status</v>
      </c>
      <c r="AK5" s="15" t="str">
        <f>IFERROR(__xludf.DUMMYFUNCTION("""COMPUTED_VALUE"""),"IDCOSymbol")</f>
        <v>IDCOSymbol</v>
      </c>
      <c r="AL5" s="15" t="str">
        <f>IFERROR(__xludf.DUMMYFUNCTION("""COMPUTED_VALUE"""),"Import File Name")</f>
        <v>Import File Name</v>
      </c>
      <c r="AM5" s="15" t="str">
        <f>IFERROR(__xludf.DUMMYFUNCTION("""COMPUTED_VALUE"""),"Internal Comments")</f>
        <v>Internal Comments</v>
      </c>
      <c r="AN5" s="15" t="str">
        <f>IFERROR(__xludf.DUMMYFUNCTION("""COMPUTED_VALUE"""),"IsAnotherTaxlotAttributesUpdated")</f>
        <v>IsAnotherTaxlotAttributesUpdated</v>
      </c>
      <c r="AO5" s="15" t="str">
        <f>IFERROR(__xludf.DUMMYFUNCTION("""COMPUTED_VALUE"""),"ISIN")</f>
        <v>ISIN</v>
      </c>
      <c r="AP5" s="15" t="str">
        <f>IFERROR(__xludf.DUMMYFUNCTION("""COMPUTED_VALUE"""),"IsManual Group")</f>
        <v>IsManual Group</v>
      </c>
      <c r="AQ5" s="15" t="str">
        <f>IFERROR(__xludf.DUMMYFUNCTION("""COMPUTED_VALUE"""),"ISNDF")</f>
        <v>ISNDF</v>
      </c>
      <c r="AR5" s="15" t="str">
        <f>IFERROR(__xludf.DUMMYFUNCTION("""COMPUTED_VALUE"""),"IsPreAllocated")</f>
        <v>IsPreAllocated</v>
      </c>
      <c r="AS5" s="15" t="str">
        <f>IFERROR(__xludf.DUMMYFUNCTION("""COMPUTED_VALUE"""),"M2MProfitLoss")</f>
        <v>M2MProfitLoss</v>
      </c>
      <c r="AT5" s="15" t="str">
        <f>IFERROR(__xludf.DUMMYFUNCTION("""COMPUTED_VALUE"""),"Net Amount( Base)")</f>
        <v>Net Amount( Base)</v>
      </c>
      <c r="AU5" s="15" t="str">
        <f>IFERROR(__xludf.DUMMYFUNCTION("""COMPUTED_VALUE"""),"Net Amount( Local)")</f>
        <v>Net Amount( Local)</v>
      </c>
      <c r="AV5" s="15" t="str">
        <f>IFERROR(__xludf.DUMMYFUNCTION("""COMPUTED_VALUE"""),"Nirvana Process Date")</f>
        <v>Nirvana Process Date</v>
      </c>
      <c r="AW5" s="15" t="str">
        <f>IFERROR(__xludf.DUMMYFUNCTION("""COMPUTED_VALUE"""),"OCC Fee")</f>
        <v>OCC Fee</v>
      </c>
      <c r="AX5" s="15" t="str">
        <f>IFERROR(__xludf.DUMMYFUNCTION("""COMPUTED_VALUE"""),"Option Premium Adjustment")</f>
        <v>Option Premium Adjustment</v>
      </c>
      <c r="AY5" s="15" t="str">
        <f>IFERROR(__xludf.DUMMYFUNCTION("""COMPUTED_VALUE"""),"Order Type")</f>
        <v>Order Type</v>
      </c>
      <c r="AZ5" s="15" t="str">
        <f>IFERROR(__xludf.DUMMYFUNCTION("""COMPUTED_VALUE"""),"ORF Fee")</f>
        <v>ORF Fee</v>
      </c>
      <c r="BA5" s="15" t="str">
        <f>IFERROR(__xludf.DUMMYFUNCTION("""COMPUTED_VALUE"""),"Original Purchase Date")</f>
        <v>Original Purchase Date</v>
      </c>
      <c r="BB5" s="15" t="str">
        <f>IFERROR(__xludf.DUMMYFUNCTION("""COMPUTED_VALUE"""),"OSISSymbol")</f>
        <v>OSISSymbol</v>
      </c>
      <c r="BC5" s="15" t="str">
        <f>IFERROR(__xludf.DUMMYFUNCTION("""COMPUTED_VALUE"""),"Other Broker Fees")</f>
        <v>Other Broker Fees</v>
      </c>
      <c r="BD5" s="15" t="str">
        <f>IFERROR(__xludf.DUMMYFUNCTION("""COMPUTED_VALUE"""),"Prana Msg Type")</f>
        <v>Prana Msg Type</v>
      </c>
      <c r="BE5" s="15" t="str">
        <f>IFERROR(__xludf.DUMMYFUNCTION("""COMPUTED_VALUE"""),"Principal Amount( Base)")</f>
        <v>Principal Amount( Base)</v>
      </c>
      <c r="BF5" s="15" t="str">
        <f>IFERROR(__xludf.DUMMYFUNCTION("""COMPUTED_VALUE"""),"Principal Amount( Local)")</f>
        <v>Principal Amount( Local)</v>
      </c>
      <c r="BG5" s="15" t="str">
        <f>IFERROR(__xludf.DUMMYFUNCTION("""COMPUTED_VALUE"""),"Process Date")</f>
        <v>Process Date</v>
      </c>
      <c r="BH5" s="15" t="str">
        <f>IFERROR(__xludf.DUMMYFUNCTION("""COMPUTED_VALUE"""),"Proxy Symbol")</f>
        <v>Proxy Symbol</v>
      </c>
      <c r="BI5" s="15" t="str">
        <f>IFERROR(__xludf.DUMMYFUNCTION("""COMPUTED_VALUE"""),"Put Or Call")</f>
        <v>Put Or Call</v>
      </c>
      <c r="BJ5" s="15" t="str">
        <f>IFERROR(__xludf.DUMMYFUNCTION("""COMPUTED_VALUE"""),"Quantity")</f>
        <v>Quantity</v>
      </c>
      <c r="BK5" s="15" t="str">
        <f>IFERROR(__xludf.DUMMYFUNCTION("""COMPUTED_VALUE"""),"SEC Fee")</f>
        <v>SEC Fee</v>
      </c>
      <c r="BL5" s="15" t="str">
        <f>IFERROR(__xludf.DUMMYFUNCTION("""COMPUTED_VALUE"""),"Sedol Symbol")</f>
        <v>Sedol Symbol</v>
      </c>
      <c r="BM5" s="15" t="str">
        <f>IFERROR(__xludf.DUMMYFUNCTION("""COMPUTED_VALUE"""),"Settlement Currency")</f>
        <v>Settlement Currency</v>
      </c>
      <c r="BN5" s="15" t="str">
        <f>IFERROR(__xludf.DUMMYFUNCTION("""COMPUTED_VALUE"""),"Settlement Date")</f>
        <v>Settlement Date</v>
      </c>
      <c r="BO5" s="15" t="str">
        <f>IFERROR(__xludf.DUMMYFUNCTION("""COMPUTED_VALUE"""),"Side")</f>
        <v>Side</v>
      </c>
      <c r="BP5" s="15" t="str">
        <f>IFERROR(__xludf.DUMMYFUNCTION("""COMPUTED_VALUE"""),"Soft Commission")</f>
        <v>Soft Commission</v>
      </c>
      <c r="BQ5" s="15" t="str">
        <f>IFERROR(__xludf.DUMMYFUNCTION("""COMPUTED_VALUE"""),"Soft Commission Per Share")</f>
        <v>Soft Commission Per Share</v>
      </c>
      <c r="BR5" s="15" t="str">
        <f>IFERROR(__xludf.DUMMYFUNCTION("""COMPUTED_VALUE"""),"Stamp Duty")</f>
        <v>Stamp Duty</v>
      </c>
      <c r="BS5" s="15" t="str">
        <f>IFERROR(__xludf.DUMMYFUNCTION("""COMPUTED_VALUE"""),"Strategy Name")</f>
        <v>Strategy Name</v>
      </c>
      <c r="BT5" s="15" t="str">
        <f>IFERROR(__xludf.DUMMYFUNCTION("""COMPUTED_VALUE"""),"Symbol")</f>
        <v>Symbol</v>
      </c>
      <c r="BU5" s="15" t="str">
        <f>IFERROR(__xludf.DUMMYFUNCTION("""COMPUTED_VALUE"""),"Tax On Commissions")</f>
        <v>Tax On Commissions</v>
      </c>
      <c r="BV5" s="15" t="str">
        <f>IFERROR(__xludf.DUMMYFUNCTION("""COMPUTED_VALUE"""),"Total Commission")</f>
        <v>Total Commission</v>
      </c>
      <c r="BW5" s="15" t="str">
        <f>IFERROR(__xludf.DUMMYFUNCTION("""COMPUTED_VALUE"""),"Total Commission And Fee")</f>
        <v>Total Commission And Fee</v>
      </c>
      <c r="BX5" s="15" t="str">
        <f>IFERROR(__xludf.DUMMYFUNCTION("""COMPUTED_VALUE"""),"Total Commission Per Share")</f>
        <v>Total Commission Per Share</v>
      </c>
      <c r="BY5" s="15" t="str">
        <f>IFERROR(__xludf.DUMMYFUNCTION("""COMPUTED_VALUE"""),"Trade Attribute 1")</f>
        <v>Trade Attribute 1</v>
      </c>
      <c r="BZ5" s="15" t="str">
        <f>IFERROR(__xludf.DUMMYFUNCTION("""COMPUTED_VALUE"""),"Trade Attribute 2")</f>
        <v>Trade Attribute 2</v>
      </c>
      <c r="CA5" s="15" t="str">
        <f>IFERROR(__xludf.DUMMYFUNCTION("""COMPUTED_VALUE"""),"Trade Attribute 3")</f>
        <v>Trade Attribute 3</v>
      </c>
      <c r="CB5" s="15" t="str">
        <f>IFERROR(__xludf.DUMMYFUNCTION("""COMPUTED_VALUE"""),"Trade Attribute 4")</f>
        <v>Trade Attribute 4</v>
      </c>
      <c r="CC5" s="15" t="str">
        <f>IFERROR(__xludf.DUMMYFUNCTION("""COMPUTED_VALUE"""),"Trade Attribute 5")</f>
        <v>Trade Attribute 5</v>
      </c>
      <c r="CD5" s="15" t="str">
        <f>IFERROR(__xludf.DUMMYFUNCTION("""COMPUTED_VALUE"""),"Trade Attribute 6")</f>
        <v>Trade Attribute 6</v>
      </c>
      <c r="CE5" s="15" t="str">
        <f>IFERROR(__xludf.DUMMYFUNCTION("""COMPUTED_VALUE"""),"Trade Date")</f>
        <v>Trade Date</v>
      </c>
      <c r="CF5" s="15" t="str">
        <f>IFERROR(__xludf.DUMMYFUNCTION("""COMPUTED_VALUE"""),"Trading Account")</f>
        <v>Trading Account</v>
      </c>
      <c r="CG5" s="15" t="str">
        <f>IFERROR(__xludf.DUMMYFUNCTION("""COMPUTED_VALUE"""),"Transaction Levy")</f>
        <v>Transaction Levy</v>
      </c>
      <c r="CH5" s="15" t="str">
        <f>IFERROR(__xludf.DUMMYFUNCTION("""COMPUTED_VALUE"""),"Transaction Source")</f>
        <v>Transaction Source</v>
      </c>
      <c r="CI5" s="15" t="str">
        <f>IFERROR(__xludf.DUMMYFUNCTION("""COMPUTED_VALUE"""),"Transaction Type")</f>
        <v>Transaction Type</v>
      </c>
      <c r="CJ5" s="15" t="str">
        <f>IFERROR(__xludf.DUMMYFUNCTION("""COMPUTED_VALUE"""),"UnAllocatedQty")</f>
        <v>UnAllocatedQty</v>
      </c>
      <c r="CK5" s="15" t="str">
        <f>IFERROR(__xludf.DUMMYFUNCTION("""COMPUTED_VALUE"""),"Underlying")</f>
        <v>Underlying</v>
      </c>
      <c r="CL5" s="15" t="str">
        <f>IFERROR(__xludf.DUMMYFUNCTION("""COMPUTED_VALUE"""),"Underlying Delta")</f>
        <v>Underlying Delta</v>
      </c>
      <c r="CM5" s="15" t="str">
        <f>IFERROR(__xludf.DUMMYFUNCTION("""COMPUTED_VALUE"""),"Underlying Symbol")</f>
        <v>Underlying Symbol</v>
      </c>
      <c r="CN5" s="15" t="str">
        <f>IFERROR(__xludf.DUMMYFUNCTION("""COMPUTED_VALUE"""),"User")</f>
        <v>User</v>
      </c>
      <c r="CO5" s="15" t="str">
        <f>IFERROR(__xludf.DUMMYFUNCTION("""COMPUTED_VALUE"""),"Venue")</f>
        <v>Venue</v>
      </c>
      <c r="CP5" s="15" t="str">
        <f>IFERROR(__xludf.DUMMYFUNCTION("""COMPUTED_VALUE"""),"Closing Method")</f>
        <v>Closing Method</v>
      </c>
      <c r="CQ5" s="15" t="str">
        <f>IFERROR(__xludf.DUMMYFUNCTION("""COMPUTED_VALUE"""),"Closing Date")</f>
        <v>Closing Date</v>
      </c>
      <c r="CR5" s="15" t="str">
        <f>IFERROR(__xludf.DUMMYFUNCTION("""COMPUTED_VALUE"""),"GroupID")</f>
        <v>GroupID</v>
      </c>
      <c r="CS5" s="15" t="str">
        <f>IFERROR(__xludf.DUMMYFUNCTION("""COMPUTED_VALUE"""),"Client")</f>
        <v>Client</v>
      </c>
      <c r="CT5" s="15" t="str">
        <f>IFERROR(__xludf.DUMMYFUNCTION("""COMPUTED_VALUE"""),"Borrow Broker")</f>
        <v>Borrow Broker</v>
      </c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</row>
    <row r="6" ht="15.75" customHeight="1" spans="1:164">
      <c r="A6" s="4"/>
      <c r="B6" s="4" t="s">
        <v>38</v>
      </c>
      <c r="C6" s="4" t="s">
        <v>39</v>
      </c>
      <c r="D6" s="4">
        <v>0</v>
      </c>
      <c r="E6" s="4">
        <v>1000</v>
      </c>
      <c r="F6" s="4"/>
      <c r="G6" s="4" t="s">
        <v>40</v>
      </c>
      <c r="H6" s="4">
        <v>4</v>
      </c>
      <c r="I6" s="4">
        <v>5</v>
      </c>
      <c r="J6" s="4">
        <v>1</v>
      </c>
      <c r="K6" s="4">
        <v>10</v>
      </c>
      <c r="L6" s="4">
        <v>10</v>
      </c>
      <c r="M6" s="4" t="s">
        <v>41</v>
      </c>
      <c r="N6" s="4" t="s">
        <v>39</v>
      </c>
      <c r="O6" s="4" t="s">
        <v>42</v>
      </c>
      <c r="Q6">
        <v>3</v>
      </c>
      <c r="R6">
        <v>0</v>
      </c>
      <c r="S6" t="s">
        <v>43</v>
      </c>
      <c r="T6">
        <v>0</v>
      </c>
      <c r="U6">
        <v>0</v>
      </c>
      <c r="V6" t="s">
        <v>44</v>
      </c>
      <c r="W6">
        <v>1</v>
      </c>
      <c r="X6" t="s">
        <v>39</v>
      </c>
      <c r="Y6" t="s">
        <v>39</v>
      </c>
      <c r="Z6" t="s">
        <v>45</v>
      </c>
      <c r="AA6" t="s">
        <v>30</v>
      </c>
      <c r="AB6">
        <v>1</v>
      </c>
      <c r="AD6" t="s">
        <v>46</v>
      </c>
      <c r="AE6">
        <v>1000</v>
      </c>
      <c r="AF6" t="s">
        <v>39</v>
      </c>
      <c r="AI6">
        <v>1</v>
      </c>
      <c r="AJ6" t="s">
        <v>47</v>
      </c>
      <c r="AN6" t="b">
        <v>0</v>
      </c>
      <c r="AP6" t="b">
        <v>1</v>
      </c>
      <c r="AQ6" t="b">
        <v>0</v>
      </c>
      <c r="AR6" t="b">
        <v>1</v>
      </c>
      <c r="AS6">
        <v>0</v>
      </c>
      <c r="AT6">
        <v>10014.0056</v>
      </c>
      <c r="AU6">
        <v>10014.0056</v>
      </c>
      <c r="AX6">
        <v>0</v>
      </c>
      <c r="AY6" t="s">
        <v>48</v>
      </c>
      <c r="BC6">
        <v>0</v>
      </c>
      <c r="BE6">
        <v>10000</v>
      </c>
      <c r="BF6">
        <v>10000</v>
      </c>
      <c r="BJ6">
        <v>1000</v>
      </c>
      <c r="BK6">
        <v>0</v>
      </c>
      <c r="BL6" t="s">
        <v>39</v>
      </c>
      <c r="BO6" t="s">
        <v>31</v>
      </c>
      <c r="BP6">
        <v>0</v>
      </c>
      <c r="BQ6">
        <v>0</v>
      </c>
      <c r="BS6" t="s">
        <v>49</v>
      </c>
      <c r="BT6" t="s">
        <v>30</v>
      </c>
      <c r="BU6">
        <v>3</v>
      </c>
      <c r="BV6">
        <v>0</v>
      </c>
      <c r="BX6">
        <v>0</v>
      </c>
      <c r="CG6">
        <v>2</v>
      </c>
      <c r="CH6" t="s">
        <v>28</v>
      </c>
      <c r="CI6" t="s">
        <v>31</v>
      </c>
      <c r="CJ6">
        <v>0</v>
      </c>
      <c r="CK6" t="s">
        <v>50</v>
      </c>
      <c r="CL6">
        <v>1</v>
      </c>
      <c r="CM6" t="s">
        <v>30</v>
      </c>
      <c r="CN6" t="s">
        <v>51</v>
      </c>
      <c r="CO6" t="s">
        <v>46</v>
      </c>
      <c r="CS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</row>
    <row r="7" ht="15.75" customHeight="1" spans="1:164">
      <c r="A7" s="4"/>
      <c r="B7" s="4" t="s">
        <v>38</v>
      </c>
      <c r="C7" s="4" t="s">
        <v>39</v>
      </c>
      <c r="D7" s="4">
        <v>0</v>
      </c>
      <c r="E7" s="4">
        <v>5000</v>
      </c>
      <c r="F7" s="4"/>
      <c r="G7" s="4" t="s">
        <v>40</v>
      </c>
      <c r="H7" s="4">
        <v>4</v>
      </c>
      <c r="I7" s="4">
        <v>5</v>
      </c>
      <c r="J7" s="4">
        <v>1</v>
      </c>
      <c r="K7" s="4">
        <v>10</v>
      </c>
      <c r="L7" s="4">
        <v>10</v>
      </c>
      <c r="M7" s="4" t="s">
        <v>41</v>
      </c>
      <c r="N7" s="4" t="s">
        <v>39</v>
      </c>
      <c r="O7" s="4" t="s">
        <v>42</v>
      </c>
      <c r="Q7">
        <v>3</v>
      </c>
      <c r="R7">
        <v>0</v>
      </c>
      <c r="S7" t="s">
        <v>43</v>
      </c>
      <c r="T7">
        <v>0</v>
      </c>
      <c r="U7">
        <v>0</v>
      </c>
      <c r="V7" t="s">
        <v>44</v>
      </c>
      <c r="W7">
        <v>1</v>
      </c>
      <c r="X7" t="s">
        <v>39</v>
      </c>
      <c r="Y7" t="s">
        <v>39</v>
      </c>
      <c r="Z7" t="s">
        <v>45</v>
      </c>
      <c r="AA7" t="s">
        <v>30</v>
      </c>
      <c r="AB7">
        <v>1</v>
      </c>
      <c r="AD7" t="s">
        <v>46</v>
      </c>
      <c r="AE7">
        <v>5000</v>
      </c>
      <c r="AF7" t="s">
        <v>39</v>
      </c>
      <c r="AI7">
        <v>1</v>
      </c>
      <c r="AJ7" t="s">
        <v>47</v>
      </c>
      <c r="AN7" t="b">
        <v>0</v>
      </c>
      <c r="AP7" t="b">
        <v>1</v>
      </c>
      <c r="AQ7" t="b">
        <v>0</v>
      </c>
      <c r="AR7" t="b">
        <v>1</v>
      </c>
      <c r="AS7">
        <v>0</v>
      </c>
      <c r="AT7">
        <v>49985.972</v>
      </c>
      <c r="AU7">
        <v>49985.972</v>
      </c>
      <c r="AX7">
        <v>0</v>
      </c>
      <c r="AY7" t="s">
        <v>48</v>
      </c>
      <c r="BC7">
        <v>0</v>
      </c>
      <c r="BE7">
        <v>50000</v>
      </c>
      <c r="BF7">
        <v>50000</v>
      </c>
      <c r="BJ7">
        <v>5000</v>
      </c>
      <c r="BK7">
        <v>0</v>
      </c>
      <c r="BL7" t="s">
        <v>39</v>
      </c>
      <c r="BO7" t="s">
        <v>34</v>
      </c>
      <c r="BP7">
        <v>0</v>
      </c>
      <c r="BQ7">
        <v>0</v>
      </c>
      <c r="BS7" t="s">
        <v>38</v>
      </c>
      <c r="BT7" t="s">
        <v>30</v>
      </c>
      <c r="BU7">
        <v>3</v>
      </c>
      <c r="BV7">
        <v>0</v>
      </c>
      <c r="BX7">
        <v>0</v>
      </c>
      <c r="CG7">
        <v>2</v>
      </c>
      <c r="CH7" t="s">
        <v>28</v>
      </c>
      <c r="CI7" t="s">
        <v>34</v>
      </c>
      <c r="CJ7">
        <v>0</v>
      </c>
      <c r="CK7" t="s">
        <v>50</v>
      </c>
      <c r="CL7">
        <v>1</v>
      </c>
      <c r="CM7" t="s">
        <v>30</v>
      </c>
      <c r="CN7" t="s">
        <v>51</v>
      </c>
      <c r="CO7" t="s">
        <v>46</v>
      </c>
      <c r="CS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52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IFERROR(__xludf.DUMMYFUNCTION("""COMPUTED_VALUE"""),"Net Amount(Local)")</f>
        <v>Net Amount(Local)</v>
      </c>
      <c r="C5" s="10" t="str">
        <f>IFERROR(__xludf.DUMMYFUNCTION("""COMPUTED_VALUE"""),"Net Amount(Base)")</f>
        <v>Net Amount(Base)</v>
      </c>
      <c r="D5" s="10" t="str">
        <f>IFERROR(__xludf.DUMMYFUNCTION("""COMPUTED_VALUE"""),"Principal Amount(Local)")</f>
        <v>Principal Amount(Local)</v>
      </c>
      <c r="E5" s="10" t="str">
        <f>IFERROR(__xludf.DUMMYFUNCTION("""COMPUTED_VALUE"""),"Principal Amount(Base)")</f>
        <v>Principal Amount(Base)</v>
      </c>
      <c r="F5" s="10" t="str">
        <f>IFERROR(__xludf.DUMMYFUNCTION("""COMPUTED_VALUE"""),"FX Conversion Operator")</f>
        <v>FX Conversion Operator</v>
      </c>
      <c r="G5" s="10" t="str">
        <f>IFERROR(__xludf.DUMMYFUNCTION("""COMPUTED_VALUE"""),"TaxLotID")</f>
        <v>TaxLotID</v>
      </c>
      <c r="H5" s="10" t="str">
        <f>IFERROR(__xludf.DUMMYFUNCTION("""COMPUTED_VALUE"""),"Settlement Currency")</f>
        <v>Settlement Currency</v>
      </c>
      <c r="I5" s="10" t="str">
        <f>IFERROR(__xludf.DUMMYFUNCTION("""COMPUTED_VALUE"""),"Trade Attribute 1")</f>
        <v>Trade Attribute 1</v>
      </c>
      <c r="J5" s="10" t="str">
        <f>IFERROR(__xludf.DUMMYFUNCTION("""COMPUTED_VALUE"""),"Trade Attribute 2")</f>
        <v>Trade Attribute 2</v>
      </c>
      <c r="K5" s="10" t="str">
        <f>IFERROR(__xludf.DUMMYFUNCTION("""COMPUTED_VALUE"""),"Trade Attribute 3")</f>
        <v>Trade Attribute 3</v>
      </c>
      <c r="L5" s="10" t="str">
        <f>IFERROR(__xludf.DUMMYFUNCTION("""COMPUTED_VALUE"""),"Trade Attribute 4")</f>
        <v>Trade Attribute 4</v>
      </c>
      <c r="M5" s="10" t="str">
        <f>IFERROR(__xludf.DUMMYFUNCTION("""COMPUTED_VALUE"""),"Trade Attribute 5")</f>
        <v>Trade Attribute 5</v>
      </c>
      <c r="N5" s="10" t="str">
        <f>IFERROR(__xludf.DUMMYFUNCTION("""COMPUTED_VALUE"""),"Trade Attribute 6")</f>
        <v>Trade Attribute 6</v>
      </c>
      <c r="O5" s="10" t="str">
        <f>IFERROR(__xludf.DUMMYFUNCTION("""COMPUTED_VALUE"""),"Account Name")</f>
        <v>Account Name</v>
      </c>
      <c r="P5" s="10" t="str">
        <f>IFERROR(__xludf.DUMMYFUNCTION("""COMPUTED_VALUE"""),"Strategy Name")</f>
        <v>Strategy Name</v>
      </c>
      <c r="Q5" s="10" t="str">
        <f>IFERROR(__xludf.DUMMYFUNCTION("""COMPUTED_VALUE"""),"Percentage")</f>
        <v>Percentage</v>
      </c>
      <c r="R5" s="10" t="str">
        <f>IFERROR(__xludf.DUMMYFUNCTION("""COMPUTED_VALUE"""),"Taxlot Qty")</f>
        <v>Taxlot Qty</v>
      </c>
      <c r="S5" s="10" t="str">
        <f>IFERROR(__xludf.DUMMYFUNCTION("""COMPUTED_VALUE"""),"Commission")</f>
        <v>Commission</v>
      </c>
      <c r="T5" s="15" t="str">
        <f>IFERROR(__xludf.DUMMYFUNCTION("""COMPUTED_VALUE"""),"Soft Commission")</f>
        <v>Soft Commission</v>
      </c>
      <c r="U5" s="15" t="str">
        <f>IFERROR(__xludf.DUMMYFUNCTION("""COMPUTED_VALUE"""),"Other Broker Fees")</f>
        <v>Other Broker Fees</v>
      </c>
      <c r="V5" s="15" t="str">
        <f>IFERROR(__xludf.DUMMYFUNCTION("""COMPUTED_VALUE"""),"Clearing Broker Fees")</f>
        <v>Clearing Broker Fees</v>
      </c>
      <c r="W5" s="15" t="str">
        <f>IFERROR(__xludf.DUMMYFUNCTION("""COMPUTED_VALUE"""),"Stamp Duty")</f>
        <v>Stamp Duty</v>
      </c>
      <c r="X5" s="15" t="str">
        <f>IFERROR(__xludf.DUMMYFUNCTION("""COMPUTED_VALUE"""),"Transaction Levy")</f>
        <v>Transaction Levy</v>
      </c>
      <c r="Y5" s="15" t="str">
        <f>IFERROR(__xludf.DUMMYFUNCTION("""COMPUTED_VALUE"""),"AUEC Fee1")</f>
        <v>AUEC Fee1</v>
      </c>
      <c r="Z5" s="15" t="str">
        <f>IFERROR(__xludf.DUMMYFUNCTION("""COMPUTED_VALUE"""),"Tax On Commissions")</f>
        <v>Tax On Commissions</v>
      </c>
      <c r="AA5" s="15" t="str">
        <f>IFERROR(__xludf.DUMMYFUNCTION("""COMPUTED_VALUE"""),"AUEC Fee2")</f>
        <v>AUEC Fee2</v>
      </c>
      <c r="AB5" s="15" t="str">
        <f>IFERROR(__xludf.DUMMYFUNCTION("""COMPUTED_VALUE"""),"SEC Fee")</f>
        <v>SEC Fee</v>
      </c>
      <c r="AC5" s="15" t="str">
        <f>IFERROR(__xludf.DUMMYFUNCTION("""COMPUTED_VALUE"""),"OCC Fee")</f>
        <v>OCC Fee</v>
      </c>
      <c r="AD5" s="15" t="str">
        <f>IFERROR(__xludf.DUMMYFUNCTION("""COMPUTED_VALUE"""),"ORF Fee")</f>
        <v>ORF Fee</v>
      </c>
      <c r="AE5" s="15" t="str">
        <f>IFERROR(__xludf.DUMMYFUNCTION("""COMPUTED_VALUE"""),"Option Premium Adjustment")</f>
        <v>Option Premium Adjustment</v>
      </c>
      <c r="AF5" s="15" t="str">
        <f>IFERROR(__xludf.DUMMYFUNCTION("""COMPUTED_VALUE"""),"Closing Status")</f>
        <v>Closing Status</v>
      </c>
      <c r="AG5" s="15" t="str">
        <f>IFERROR(__xludf.DUMMYFUNCTION("""COMPUTED_VALUE"""),"External Transaction ID")</f>
        <v>External Transaction ID</v>
      </c>
      <c r="AH5" s="15" t="str">
        <f>IFERROR(__xludf.DUMMYFUNCTION("""COMPUTED_VALUE"""),"Lot ID")</f>
        <v>Lot ID</v>
      </c>
      <c r="AI5" s="15" t="str">
        <f>IFERROR(__xludf.DUMMYFUNCTION("""COMPUTED_VALUE"""),"AvgPriceBase")</f>
        <v>AvgPriceBase</v>
      </c>
      <c r="AJ5" s="15" t="str">
        <f>IFERROR(__xludf.DUMMYFUNCTION("""COMPUTED_VALUE"""),"Accrued Interest")</f>
        <v>Accrued Interest</v>
      </c>
      <c r="AK5" s="15" t="str">
        <f>IFERROR(__xludf.DUMMYFUNCTION("""COMPUTED_VALUE"""),"FXRate")</f>
        <v>FXRate</v>
      </c>
      <c r="AL5" s="15" t="str">
        <f>IFERROR(__xludf.DUMMYFUNCTION("""COMPUTED_VALUE"""),"Change Type")</f>
        <v>Change Type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38">
      <c r="A6" s="4"/>
      <c r="B6" s="16">
        <v>6008.40336</v>
      </c>
      <c r="C6" s="16">
        <v>6008.40336</v>
      </c>
      <c r="D6" s="16">
        <v>6000</v>
      </c>
      <c r="E6" s="16">
        <v>6000</v>
      </c>
      <c r="F6" s="17" t="s">
        <v>53</v>
      </c>
      <c r="G6" s="18"/>
      <c r="H6" s="17"/>
      <c r="I6" s="17"/>
      <c r="J6" s="17"/>
      <c r="K6" s="17"/>
      <c r="L6" s="17"/>
      <c r="M6" s="17"/>
      <c r="N6" s="17"/>
      <c r="O6" s="17" t="s">
        <v>20</v>
      </c>
      <c r="P6" s="17" t="s">
        <v>49</v>
      </c>
      <c r="Q6" s="18">
        <v>60</v>
      </c>
      <c r="R6" s="18">
        <v>600</v>
      </c>
      <c r="S6" s="18">
        <v>0</v>
      </c>
      <c r="T6" s="18">
        <v>0</v>
      </c>
      <c r="U6" s="18">
        <v>0</v>
      </c>
      <c r="V6" s="18">
        <v>0</v>
      </c>
      <c r="W6" s="18"/>
      <c r="X6" s="18"/>
      <c r="Y6" s="18"/>
      <c r="Z6" s="18"/>
      <c r="AA6" s="18"/>
      <c r="AB6" s="18">
        <v>0</v>
      </c>
      <c r="AC6" s="18">
        <v>0</v>
      </c>
      <c r="AD6" s="18">
        <v>0</v>
      </c>
      <c r="AE6" s="18">
        <v>0</v>
      </c>
      <c r="AF6" s="17" t="s">
        <v>43</v>
      </c>
      <c r="AG6" s="17"/>
      <c r="AH6" s="17"/>
      <c r="AI6" s="18">
        <v>10</v>
      </c>
      <c r="AJ6" s="18">
        <v>0</v>
      </c>
      <c r="AK6" s="18">
        <v>1</v>
      </c>
      <c r="AL6" s="18">
        <v>3</v>
      </c>
    </row>
    <row r="7" ht="15.75" customHeight="1" spans="1:38">
      <c r="A7" s="4"/>
      <c r="B7" s="16">
        <v>4005.60224</v>
      </c>
      <c r="C7" s="16">
        <v>4005.60224</v>
      </c>
      <c r="D7" s="16">
        <v>4000</v>
      </c>
      <c r="E7" s="16">
        <v>4000</v>
      </c>
      <c r="F7" s="17" t="s">
        <v>53</v>
      </c>
      <c r="G7" s="18"/>
      <c r="H7" s="17"/>
      <c r="I7" s="17"/>
      <c r="J7" s="17"/>
      <c r="K7" s="17"/>
      <c r="L7" s="17"/>
      <c r="M7" s="17"/>
      <c r="N7" s="17"/>
      <c r="O7" s="17" t="s">
        <v>21</v>
      </c>
      <c r="P7" s="17" t="s">
        <v>49</v>
      </c>
      <c r="Q7" s="18">
        <v>40</v>
      </c>
      <c r="R7" s="18">
        <v>400</v>
      </c>
      <c r="S7" s="18">
        <v>0</v>
      </c>
      <c r="T7" s="18">
        <v>0</v>
      </c>
      <c r="U7" s="18">
        <v>0</v>
      </c>
      <c r="V7" s="18">
        <v>0</v>
      </c>
      <c r="W7" s="18"/>
      <c r="X7" s="18"/>
      <c r="Y7" s="18"/>
      <c r="Z7" s="18"/>
      <c r="AA7" s="18"/>
      <c r="AB7" s="18">
        <v>0</v>
      </c>
      <c r="AC7" s="18">
        <v>0</v>
      </c>
      <c r="AD7" s="18">
        <v>0</v>
      </c>
      <c r="AE7" s="18">
        <v>0</v>
      </c>
      <c r="AF7" s="17" t="s">
        <v>43</v>
      </c>
      <c r="AG7" s="17"/>
      <c r="AH7" s="17"/>
      <c r="AI7" s="18">
        <v>10</v>
      </c>
      <c r="AJ7" s="18">
        <v>0</v>
      </c>
      <c r="AK7" s="18">
        <v>1</v>
      </c>
      <c r="AL7" s="18">
        <v>3</v>
      </c>
    </row>
    <row r="8" ht="15.75" customHeight="1" spans="1:38">
      <c r="A8" s="4"/>
      <c r="B8" s="16">
        <v>18994.66936</v>
      </c>
      <c r="C8" s="16">
        <v>18994.66936</v>
      </c>
      <c r="D8" s="16">
        <v>19000</v>
      </c>
      <c r="E8" s="16">
        <v>19000</v>
      </c>
      <c r="F8" s="17" t="s">
        <v>53</v>
      </c>
      <c r="G8" s="18"/>
      <c r="H8" s="17"/>
      <c r="I8" s="17"/>
      <c r="J8" s="17"/>
      <c r="K8" s="17"/>
      <c r="L8" s="17"/>
      <c r="M8" s="17"/>
      <c r="N8" s="17"/>
      <c r="O8" s="17" t="s">
        <v>20</v>
      </c>
      <c r="P8" s="17" t="s">
        <v>23</v>
      </c>
      <c r="Q8" s="18">
        <v>38</v>
      </c>
      <c r="R8" s="16">
        <v>1900</v>
      </c>
      <c r="S8" s="18">
        <v>0</v>
      </c>
      <c r="T8" s="18">
        <v>0</v>
      </c>
      <c r="U8" s="18">
        <v>0</v>
      </c>
      <c r="V8" s="18">
        <v>0</v>
      </c>
      <c r="W8" s="18"/>
      <c r="X8" s="18"/>
      <c r="Y8" s="18"/>
      <c r="Z8" s="18"/>
      <c r="AA8" s="18"/>
      <c r="AB8" s="18">
        <v>0</v>
      </c>
      <c r="AC8" s="18">
        <v>0</v>
      </c>
      <c r="AD8" s="18">
        <v>0</v>
      </c>
      <c r="AE8" s="18">
        <v>0</v>
      </c>
      <c r="AF8" s="17" t="s">
        <v>43</v>
      </c>
      <c r="AG8" s="17"/>
      <c r="AH8" s="17"/>
      <c r="AI8" s="18">
        <v>10</v>
      </c>
      <c r="AJ8" s="18">
        <v>0</v>
      </c>
      <c r="AK8" s="18">
        <v>1</v>
      </c>
      <c r="AL8" s="18">
        <v>3</v>
      </c>
    </row>
    <row r="9" ht="15.75" customHeight="1" spans="1:38">
      <c r="A9" s="4"/>
      <c r="B9" s="16">
        <v>18994.66936</v>
      </c>
      <c r="C9" s="16">
        <v>18994.66936</v>
      </c>
      <c r="D9" s="16">
        <v>19000</v>
      </c>
      <c r="E9" s="16">
        <v>19000</v>
      </c>
      <c r="F9" s="17" t="s">
        <v>53</v>
      </c>
      <c r="G9" s="18"/>
      <c r="H9" s="17"/>
      <c r="I9" s="17"/>
      <c r="J9" s="17"/>
      <c r="K9" s="17"/>
      <c r="L9" s="17"/>
      <c r="M9" s="17"/>
      <c r="N9" s="17"/>
      <c r="O9" s="17" t="s">
        <v>20</v>
      </c>
      <c r="P9" s="17" t="s">
        <v>24</v>
      </c>
      <c r="Q9" s="18">
        <v>38</v>
      </c>
      <c r="R9" s="16">
        <v>1900</v>
      </c>
      <c r="S9" s="18">
        <v>0</v>
      </c>
      <c r="T9" s="18">
        <v>0</v>
      </c>
      <c r="U9" s="18">
        <v>0</v>
      </c>
      <c r="V9" s="18">
        <v>0</v>
      </c>
      <c r="W9" s="18"/>
      <c r="X9" s="18"/>
      <c r="Y9" s="18"/>
      <c r="Z9" s="18"/>
      <c r="AA9" s="18"/>
      <c r="AB9" s="18">
        <v>0</v>
      </c>
      <c r="AC9" s="18">
        <v>0</v>
      </c>
      <c r="AD9" s="18">
        <v>0</v>
      </c>
      <c r="AE9" s="18">
        <v>0</v>
      </c>
      <c r="AF9" s="17" t="s">
        <v>43</v>
      </c>
      <c r="AG9" s="17"/>
      <c r="AH9" s="17"/>
      <c r="AI9" s="18">
        <v>10</v>
      </c>
      <c r="AJ9" s="18">
        <v>0</v>
      </c>
      <c r="AK9" s="18">
        <v>1</v>
      </c>
      <c r="AL9" s="18">
        <v>3</v>
      </c>
    </row>
    <row r="10" ht="15.75" customHeight="1" spans="1:38">
      <c r="A10" s="4"/>
      <c r="B10" s="16">
        <v>8997.47496</v>
      </c>
      <c r="C10" s="16">
        <v>8997.47496</v>
      </c>
      <c r="D10" s="16">
        <v>9000</v>
      </c>
      <c r="E10" s="16">
        <v>9000</v>
      </c>
      <c r="F10" s="17" t="s">
        <v>53</v>
      </c>
      <c r="G10" s="18"/>
      <c r="H10" s="17"/>
      <c r="I10" s="17"/>
      <c r="J10" s="17"/>
      <c r="K10" s="17"/>
      <c r="L10" s="17"/>
      <c r="M10" s="17"/>
      <c r="N10" s="17"/>
      <c r="O10" s="17" t="s">
        <v>21</v>
      </c>
      <c r="P10" s="17" t="s">
        <v>23</v>
      </c>
      <c r="Q10" s="18">
        <v>18</v>
      </c>
      <c r="R10" s="18">
        <v>900</v>
      </c>
      <c r="S10" s="18">
        <v>0</v>
      </c>
      <c r="T10" s="18">
        <v>0</v>
      </c>
      <c r="U10" s="18">
        <v>0</v>
      </c>
      <c r="V10" s="18">
        <v>0</v>
      </c>
      <c r="W10" s="18"/>
      <c r="X10" s="18"/>
      <c r="Y10" s="18"/>
      <c r="Z10" s="18"/>
      <c r="AA10" s="18"/>
      <c r="AB10" s="18">
        <v>0</v>
      </c>
      <c r="AC10" s="18">
        <v>0</v>
      </c>
      <c r="AD10" s="18">
        <v>0</v>
      </c>
      <c r="AE10" s="18">
        <v>0</v>
      </c>
      <c r="AF10" s="17" t="s">
        <v>43</v>
      </c>
      <c r="AG10" s="17"/>
      <c r="AH10" s="17"/>
      <c r="AI10" s="18">
        <v>10</v>
      </c>
      <c r="AJ10" s="18">
        <v>0</v>
      </c>
      <c r="AK10" s="18">
        <v>1</v>
      </c>
      <c r="AL10" s="18">
        <v>3</v>
      </c>
    </row>
    <row r="11" ht="15.75" customHeight="1" spans="1:38">
      <c r="A11" s="4"/>
      <c r="B11" s="16">
        <v>2999.15832</v>
      </c>
      <c r="C11" s="16">
        <v>2999.15832</v>
      </c>
      <c r="D11" s="16">
        <v>3000</v>
      </c>
      <c r="E11" s="16">
        <v>3000</v>
      </c>
      <c r="F11" s="17" t="s">
        <v>53</v>
      </c>
      <c r="G11" s="18"/>
      <c r="H11" s="17"/>
      <c r="I11" s="17"/>
      <c r="J11" s="17"/>
      <c r="K11" s="17"/>
      <c r="L11" s="17"/>
      <c r="M11" s="17"/>
      <c r="N11" s="17"/>
      <c r="O11" s="17" t="s">
        <v>21</v>
      </c>
      <c r="P11" s="17" t="s">
        <v>24</v>
      </c>
      <c r="Q11" s="18">
        <v>6</v>
      </c>
      <c r="R11" s="18">
        <v>300</v>
      </c>
      <c r="S11" s="18">
        <v>0</v>
      </c>
      <c r="T11" s="18">
        <v>0</v>
      </c>
      <c r="U11" s="18">
        <v>0</v>
      </c>
      <c r="V11" s="18">
        <v>0</v>
      </c>
      <c r="W11" s="18"/>
      <c r="X11" s="18"/>
      <c r="Y11" s="18"/>
      <c r="Z11" s="18"/>
      <c r="AA11" s="18"/>
      <c r="AB11" s="18">
        <v>0</v>
      </c>
      <c r="AC11" s="18">
        <v>0</v>
      </c>
      <c r="AD11" s="18">
        <v>0</v>
      </c>
      <c r="AE11" s="18">
        <v>0</v>
      </c>
      <c r="AF11" s="17" t="s">
        <v>43</v>
      </c>
      <c r="AG11" s="17"/>
      <c r="AH11" s="17"/>
      <c r="AI11" s="18">
        <v>10</v>
      </c>
      <c r="AJ11" s="18">
        <v>0</v>
      </c>
      <c r="AK11" s="18">
        <v>1</v>
      </c>
      <c r="AL11" s="18">
        <v>3</v>
      </c>
    </row>
    <row r="12" ht="15.75" customHeight="1" spans="1:38">
      <c r="A12" s="4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R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74" width="12.6285714285714" customWidth="1"/>
  </cols>
  <sheetData>
    <row r="1" ht="15.75" customHeight="1" spans="1:17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74">
      <c r="A3" s="5"/>
      <c r="B3" s="6" t="s">
        <v>8</v>
      </c>
      <c r="C3" s="7" t="s">
        <v>54</v>
      </c>
      <c r="D3" s="6" t="s">
        <v>9</v>
      </c>
      <c r="E3" s="7" t="s">
        <v>55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</row>
    <row r="4" ht="15.75" customHeight="1" spans="1:174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IFERROR(__xludf.DUMMYFUNCTION("""COMPUTED_VALUE"""),"OpenPSTFromPM")</f>
        <v>OpenPSTFromPM</v>
      </c>
      <c r="E4" s="8" t="str">
        <f>IFERROR(__xludf.DUMMYFUNCTION("""COMPUTED_VALUE"""),"ClosePM")</f>
        <v>ClosePM</v>
      </c>
      <c r="F4" s="8" t="str">
        <f>IFERROR(__xludf.DUMMYFUNCTION("""COMPUTED_VALUE"""),"FilterPM")</f>
        <v>FilterPM</v>
      </c>
      <c r="G4" s="8" t="str">
        <f>IFERROR(__xludf.DUMMYFUNCTION("""COMPUTED_VALUE"""),"GroupRowPM")</f>
        <v>GroupRowPM</v>
      </c>
      <c r="H4" s="8" t="str">
        <f>IFERROR(__xludf.DUMMYFUNCTION("""COMPUTED_VALUE"""),"CheckDashboardWithPM")</f>
        <v>CheckDashboardWithPM</v>
      </c>
      <c r="I4" s="8" t="str">
        <f>IFERROR(__xludf.DUMMYFUNCTION("""COMPUTED_VALUE"""),"RemoveFilterPM")</f>
        <v>RemoveFilterPM</v>
      </c>
      <c r="J4" s="8" t="str">
        <f>IFERROR(__xludf.DUMMYFUNCTION("""COMPUTED_VALUE"""),"CheckSummaryRowsPM")</f>
        <v>CheckSummaryRowsPM</v>
      </c>
      <c r="K4" s="8" t="str">
        <f>IFERROR(__xludf.DUMMYFUNCTION("""COMPUTED_VALUE"""),"OpenPTTFromPM")</f>
        <v>OpenPTTFromPM</v>
      </c>
      <c r="L4" s="8" t="str">
        <f>IFERROR(__xludf.DUMMYFUNCTION("""COMPUTED_VALUE"""),"OpenClosingFromPM")</f>
        <v>OpenClosingFromPM</v>
      </c>
      <c r="M4" s="8" t="str">
        <f>IFERROR(__xludf.DUMMYFUNCTION("""COMPUTED_VALUE"""),"OpenCorporateActionFromPM")</f>
        <v>OpenCorporateActionFromPM</v>
      </c>
      <c r="N4" s="8" t="str">
        <f>IFERROR(__xludf.DUMMYFUNCTION("""COMPUTED_VALUE"""),"OpenDailyValuationFromPM")</f>
        <v>OpenDailyValuationFromPM</v>
      </c>
      <c r="O4" s="8" t="str">
        <f>IFERROR(__xludf.DUMMYFUNCTION("""COMPUTED_VALUE"""),"ClosePositionFromPM")</f>
        <v>ClosePositionFromPM</v>
      </c>
      <c r="P4" s="14" t="str">
        <f>IFERROR(__xludf.DUMMYFUNCTION("""COMPUTED_VALUE"""),"ShowSummaryToolFromPM")</f>
        <v>ShowSummaryToolFromPM</v>
      </c>
      <c r="Q4" s="14" t="str">
        <f>IFERROR(__xludf.DUMMYFUNCTION("""COMPUTED_VALUE"""),"HideSummaryToolFromPM")</f>
        <v>HideSummaryToolFromPM</v>
      </c>
      <c r="R4" s="14" t="str">
        <f>IFERROR(__xludf.DUMMYFUNCTION("""COMPUTED_VALUE"""),"CloseAccountPositionFromPM")</f>
        <v>CloseAccountPositionFromPM</v>
      </c>
      <c r="S4" s="14" t="str">
        <f>IFERROR(__xludf.DUMMYFUNCTION("""COMPUTED_VALUE"""),"CloseSelectedTaxlotsFromPM")</f>
        <v>CloseSelectedTaxlotsFromPM</v>
      </c>
      <c r="T4" s="14" t="str">
        <f>IFERROR(__xludf.DUMMYFUNCTION("""COMPUTED_VALUE"""),"ExpandCollapsePM")</f>
        <v>ExpandCollapsePM</v>
      </c>
      <c r="U4" s="14" t="str">
        <f>IFERROR(__xludf.DUMMYFUNCTION("""COMPUTED_VALUE"""),"AddCustomViewPM")</f>
        <v>AddCustomViewPM</v>
      </c>
      <c r="V4" s="14" t="str">
        <f>IFERROR(__xludf.DUMMYFUNCTION("""COMPUTED_VALUE"""),"AddCustomViewRightClickPM")</f>
        <v>AddCustomViewRightClickPM</v>
      </c>
      <c r="W4" s="14" t="str">
        <f>IFERROR(__xludf.DUMMYFUNCTION("""COMPUTED_VALUE"""),"RenameCustomViewPM")</f>
        <v>RenameCustomViewPM</v>
      </c>
      <c r="X4" s="14" t="str">
        <f>IFERROR(__xludf.DUMMYFUNCTION("""COMPUTED_VALUE"""),"DeleteCustomViewPM")</f>
        <v>DeleteCustomViewPM</v>
      </c>
      <c r="Y4" s="14" t="str">
        <f>IFERROR(__xludf.DUMMYFUNCTION("""COMPUTED_VALUE"""),"OpenCreateTransactionFromPM")</f>
        <v>OpenCreateTransactionFromPM</v>
      </c>
      <c r="Z4" s="14" t="str">
        <f>IFERROR(__xludf.DUMMYFUNCTION("""COMPUTED_VALUE"""),"RemoveGroupingFromPM")</f>
        <v>RemoveGroupingFromPM</v>
      </c>
      <c r="AA4" s="14" t="str">
        <f>IFERROR(__xludf.DUMMYFUNCTION("""COMPUTED_VALUE"""),"IncreasePositionFromPM")</f>
        <v>IncreasePositionFromPM</v>
      </c>
      <c r="AB4" s="14" t="str">
        <f>IFERROR(__xludf.DUMMYFUNCTION("""COMPUTED_VALUE"""),"CheckPMLiveFeed")</f>
        <v>CheckPMLiveFeed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</row>
    <row r="5" ht="15.75" customHeight="1" spans="1:17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IFERROR(__xludf.DUMMYFUNCTION("""COMPUTED_VALUE"""),"Trade Date")</f>
        <v>Trade Date</v>
      </c>
      <c r="C5" s="10" t="str">
        <f>IFERROR(__xludf.DUMMYFUNCTION("""COMPUTED_VALUE"""),"Symbol")</f>
        <v>Symbol</v>
      </c>
      <c r="D5" s="10" t="str">
        <f>IFERROR(__xludf.DUMMYFUNCTION("""COMPUTED_VALUE"""),"Position")</f>
        <v>Position</v>
      </c>
      <c r="E5" s="10" t="str">
        <f>IFERROR(__xludf.DUMMYFUNCTION("""COMPUTED_VALUE"""),"Account")</f>
        <v>Account</v>
      </c>
      <c r="F5" s="10" t="str">
        <f>IFERROR(__xludf.DUMMYFUNCTION("""COMPUTED_VALUE"""),"MasterFund")</f>
        <v>MasterFund</v>
      </c>
      <c r="G5" s="10" t="str">
        <f>IFERROR(__xludf.DUMMYFUNCTION("""COMPUTED_VALUE"""),"Cost Basis")</f>
        <v>Cost Basis</v>
      </c>
      <c r="H5" s="10" t="str">
        <f>IFERROR(__xludf.DUMMYFUNCTION("""COMPUTED_VALUE"""),"Position Side")</f>
        <v>Position Side</v>
      </c>
      <c r="I5" s="10" t="str">
        <f>IFERROR(__xludf.DUMMYFUNCTION("""COMPUTED_VALUE"""),"Market Value (Base)")</f>
        <v>Market Value (Base)</v>
      </c>
      <c r="J5" s="10" t="str">
        <f>IFERROR(__xludf.DUMMYFUNCTION("""COMPUTED_VALUE"""),"% Day P&amp;L (Gross MV)")</f>
        <v>% Day P&amp;L (Gross MV)</v>
      </c>
      <c r="K5" s="10" t="str">
        <f>IFERROR(__xludf.DUMMYFUNCTION("""COMPUTED_VALUE"""),"Net Exposure (Base)")</f>
        <v>Net Exposure (Base)</v>
      </c>
      <c r="L5" s="10" t="str">
        <f>IFERROR(__xludf.DUMMYFUNCTION("""COMPUTED_VALUE"""),"Beta Adj. Gross Exposure (Base)")</f>
        <v>Beta Adj. Gross Exposure (Base)</v>
      </c>
      <c r="M5" s="10" t="str">
        <f>IFERROR(__xludf.DUMMYFUNCTION("""COMPUTED_VALUE"""),"Beta Adj. Gross Exposure (Underlying) (Base)")</f>
        <v>Beta Adj. Gross Exposure (Underlying) (Base)</v>
      </c>
      <c r="N5" s="10" t="str">
        <f>IFERROR(__xludf.DUMMYFUNCTION("""COMPUTED_VALUE"""),"Day P&amp;L (Base)")</f>
        <v>Day P&amp;L (Base)</v>
      </c>
      <c r="O5" s="10" t="str">
        <f>IFERROR(__xludf.DUMMYFUNCTION("""COMPUTED_VALUE"""),"Security Name")</f>
        <v>Security Name</v>
      </c>
      <c r="P5" s="10" t="str">
        <f>IFERROR(__xludf.DUMMYFUNCTION("""COMPUTED_VALUE"""),"Closing Mark")</f>
        <v>Closing Mark</v>
      </c>
      <c r="Q5" s="10" t="str">
        <f>IFERROR(__xludf.DUMMYFUNCTION("""COMPUTED_VALUE"""),"Cost Basis P&amp;L (Base)")</f>
        <v>Cost Basis P&amp;L (Base)</v>
      </c>
      <c r="R5" s="10" t="str">
        <f>IFERROR(__xludf.DUMMYFUNCTION("""COMPUTED_VALUE"""),"Prime Broker")</f>
        <v>Prime Broker</v>
      </c>
      <c r="S5" s="10" t="str">
        <f>IFERROR(__xludf.DUMMYFUNCTION("""COMPUTED_VALUE"""),"Strategy")</f>
        <v>Strategy</v>
      </c>
      <c r="T5" s="15" t="str">
        <f>IFERROR(__xludf.DUMMYFUNCTION("""COMPUTED_VALUE"""),"Asset Class")</f>
        <v>Asset Class</v>
      </c>
      <c r="U5" s="15" t="str">
        <f>IFERROR(__xludf.DUMMYFUNCTION("""COMPUTED_VALUE"""),"Underlying")</f>
        <v>Underlying</v>
      </c>
      <c r="V5" s="15" t="str">
        <f>IFERROR(__xludf.DUMMYFUNCTION("""COMPUTED_VALUE"""),"Exchange")</f>
        <v>Exchange</v>
      </c>
      <c r="W5" s="15" t="str">
        <f>IFERROR(__xludf.DUMMYFUNCTION("""COMPUTED_VALUE"""),"Trade Currency")</f>
        <v>Trade Currency</v>
      </c>
      <c r="X5" s="15" t="str">
        <f>IFERROR(__xludf.DUMMYFUNCTION("""COMPUTED_VALUE"""),"Multiplier")</f>
        <v>Multiplier</v>
      </c>
      <c r="Y5" s="15" t="str">
        <f>IFERROR(__xludf.DUMMYFUNCTION("""COMPUTED_VALUE"""),"FX Rate")</f>
        <v>FX Rate</v>
      </c>
      <c r="Z5" s="15" t="str">
        <f>IFERROR(__xludf.DUMMYFUNCTION("""COMPUTED_VALUE"""),"Vs Currency")</f>
        <v>Vs Currency</v>
      </c>
      <c r="AA5" s="15" t="str">
        <f>IFERROR(__xludf.DUMMYFUNCTION("""COMPUTED_VALUE"""),"Lead Currency")</f>
        <v>Lead Currency</v>
      </c>
      <c r="AB5" s="15" t="str">
        <f>IFERROR(__xludf.DUMMYFUNCTION("""COMPUTED_VALUE"""),"Dividend Yield (%)")</f>
        <v>Dividend Yield (%)</v>
      </c>
      <c r="AC5" s="15" t="str">
        <f>IFERROR(__xludf.DUMMYFUNCTION("""COMPUTED_VALUE"""),"% Change")</f>
        <v>% Change</v>
      </c>
      <c r="AD5" s="15" t="str">
        <f>IFERROR(__xludf.DUMMYFUNCTION("""COMPUTED_VALUE"""),"Net Exposure (Local)")</f>
        <v>Net Exposure (Local)</v>
      </c>
      <c r="AE5" s="15" t="str">
        <f>IFERROR(__xludf.DUMMYFUNCTION("""COMPUTED_VALUE"""),"Exposure (Local)")</f>
        <v>Exposure (Local)</v>
      </c>
      <c r="AF5" s="15" t="str">
        <f>IFERROR(__xludf.DUMMYFUNCTION("""COMPUTED_VALUE"""),"Delta Adj. Position")</f>
        <v>Delta Adj. Position</v>
      </c>
      <c r="AG5" s="15" t="str">
        <f>IFERROR(__xludf.DUMMYFUNCTION("""COMPUTED_VALUE"""),"Exposure (Base)")</f>
        <v>Exposure (Base)</v>
      </c>
      <c r="AH5" s="15" t="str">
        <f>IFERROR(__xludf.DUMMYFUNCTION("""COMPUTED_VALUE"""),"Beta Adj. Exposure (Local)")</f>
        <v>Beta Adj. Exposure (Local)</v>
      </c>
      <c r="AI5" s="15" t="str">
        <f>IFERROR(__xludf.DUMMYFUNCTION("""COMPUTED_VALUE"""),"Beta Adj. Exposure (Base)")</f>
        <v>Beta Adj. Exposure (Base)</v>
      </c>
      <c r="AJ5" s="15" t="str">
        <f>IFERROR(__xludf.DUMMYFUNCTION("""COMPUTED_VALUE"""),"Exposure (BP)(Base)")</f>
        <v>Exposure (BP)(Base)</v>
      </c>
      <c r="AK5" s="15" t="str">
        <f>IFERROR(__xludf.DUMMYFUNCTION("""COMPUTED_VALUE"""),"Day P&amp;L (Local)")</f>
        <v>Day P&amp;L (Local)</v>
      </c>
      <c r="AL5" s="15" t="str">
        <f>IFERROR(__xludf.DUMMYFUNCTION("""COMPUTED_VALUE"""),"Delta")</f>
        <v>Delta</v>
      </c>
      <c r="AM5" s="15" t="str">
        <f>IFERROR(__xludf.DUMMYFUNCTION("""COMPUTED_VALUE"""),"Leveraged Factor")</f>
        <v>Leveraged Factor</v>
      </c>
      <c r="AN5" s="15" t="str">
        <f>IFERROR(__xludf.DUMMYFUNCTION("""COMPUTED_VALUE"""),"Order Side")</f>
        <v>Order Side</v>
      </c>
      <c r="AO5" s="15" t="str">
        <f>IFERROR(__xludf.DUMMYFUNCTION("""COMPUTED_VALUE"""),"Master Strategy")</f>
        <v>Master Strategy</v>
      </c>
      <c r="AP5" s="15" t="str">
        <f>IFERROR(__xludf.DUMMYFUNCTION("""COMPUTED_VALUE"""),"Transaction Side")</f>
        <v>Transaction Side</v>
      </c>
      <c r="AQ5" s="15" t="str">
        <f>IFERROR(__xludf.DUMMYFUNCTION("""COMPUTED_VALUE"""),"Underlying Symbol")</f>
        <v>Underlying Symbol</v>
      </c>
      <c r="AR5" s="15" t="str">
        <f>IFERROR(__xludf.DUMMYFUNCTION("""COMPUTED_VALUE"""),"Underlying Price")</f>
        <v>Underlying Price</v>
      </c>
      <c r="AS5" s="15" t="str">
        <f>IFERROR(__xludf.DUMMYFUNCTION("""COMPUTED_VALUE"""),"Side Multiplier")</f>
        <v>Side Multiplier</v>
      </c>
      <c r="AT5" s="15" t="str">
        <f>IFERROR(__xludf.DUMMYFUNCTION("""COMPUTED_VALUE"""),"Description")</f>
        <v>Description</v>
      </c>
      <c r="AU5" s="15" t="str">
        <f>IFERROR(__xludf.DUMMYFUNCTION("""COMPUTED_VALUE"""),"Internal Comments")</f>
        <v>Internal Comments</v>
      </c>
      <c r="AV5" s="15" t="str">
        <f>IFERROR(__xludf.DUMMYFUNCTION("""COMPUTED_VALUE"""),"FX Rate On Trade Date")</f>
        <v>FX Rate On Trade Date</v>
      </c>
      <c r="AW5" s="15" t="str">
        <f>IFERROR(__xludf.DUMMYFUNCTION("""COMPUTED_VALUE"""),"Cost Basis P&amp;L (Local)")</f>
        <v>Cost Basis P&amp;L (Local)</v>
      </c>
      <c r="AX5" s="15" t="str">
        <f>IFERROR(__xludf.DUMMYFUNCTION("""COMPUTED_VALUE"""),"Day Interest")</f>
        <v>Day Interest</v>
      </c>
      <c r="AY5" s="15" t="str">
        <f>IFERROR(__xludf.DUMMYFUNCTION("""COMPUTED_VALUE"""),"Total Interest")</f>
        <v>Total Interest</v>
      </c>
      <c r="AZ5" s="15" t="str">
        <f>IFERROR(__xludf.DUMMYFUNCTION("""COMPUTED_VALUE"""),"Market Value (Local)")</f>
        <v>Market Value (Local)</v>
      </c>
      <c r="BA5" s="15" t="str">
        <f>IFERROR(__xludf.DUMMYFUNCTION("""COMPUTED_VALUE"""),"% Gain/Loss Day")</f>
        <v>% Gain/Loss Day</v>
      </c>
      <c r="BB5" s="15" t="str">
        <f>IFERROR(__xludf.DUMMYFUNCTION("""COMPUTED_VALUE"""),"Update Time (Last Price)")</f>
        <v>Update Time (Last Price)</v>
      </c>
      <c r="BC5" s="15" t="str">
        <f>IFERROR(__xludf.DUMMYFUNCTION("""COMPUTED_VALUE"""),"Beta")</f>
        <v>Beta</v>
      </c>
      <c r="BD5" s="15" t="str">
        <f>IFERROR(__xludf.DUMMYFUNCTION("""COMPUTED_VALUE"""),"Cash Impact (Local)")</f>
        <v>Cash Impact (Local)</v>
      </c>
      <c r="BE5" s="15" t="str">
        <f>IFERROR(__xludf.DUMMYFUNCTION("""COMPUTED_VALUE"""),"User Asset")</f>
        <v>User Asset</v>
      </c>
      <c r="BF5" s="15" t="str">
        <f>IFERROR(__xludf.DUMMYFUNCTION("""COMPUTED_VALUE"""),"Security Type")</f>
        <v>Security Type</v>
      </c>
      <c r="BG5" s="15" t="str">
        <f>IFERROR(__xludf.DUMMYFUNCTION("""COMPUTED_VALUE"""),"Sector")</f>
        <v>Sector</v>
      </c>
      <c r="BH5" s="15" t="str">
        <f>IFERROR(__xludf.DUMMYFUNCTION("""COMPUTED_VALUE"""),"Sub Sector")</f>
        <v>Sub Sector</v>
      </c>
      <c r="BI5" s="15" t="str">
        <f>IFERROR(__xludf.DUMMYFUNCTION("""COMPUTED_VALUE"""),"Country")</f>
        <v>Country</v>
      </c>
      <c r="BJ5" s="15" t="str">
        <f>IFERROR(__xludf.DUMMYFUNCTION("""COMPUTED_VALUE"""),"Market Cap")</f>
        <v>Market Cap</v>
      </c>
      <c r="BK5" s="15" t="str">
        <f>IFERROR(__xludf.DUMMYFUNCTION("""COMPUTED_VALUE"""),"Shares Outstanding (MM)")</f>
        <v>Shares Outstanding (MM)</v>
      </c>
      <c r="BL5" s="15" t="str">
        <f>IFERROR(__xludf.DUMMYFUNCTION("""COMPUTED_VALUE"""),"Avg Volume 20 Day")</f>
        <v>Avg Volume 20 Day</v>
      </c>
      <c r="BM5" s="15" t="str">
        <f>IFERROR(__xludf.DUMMYFUNCTION("""COMPUTED_VALUE"""),"% Avg Volume (Delta Adj.)")</f>
        <v>% Avg Volume (Delta Adj.)</v>
      </c>
      <c r="BN5" s="15" t="str">
        <f>IFERROR(__xludf.DUMMYFUNCTION("""COMPUTED_VALUE"""),"Ex Dividend Date")</f>
        <v>Ex Dividend Date</v>
      </c>
      <c r="BO5" s="15" t="str">
        <f>IFERROR(__xludf.DUMMYFUNCTION("""COMPUTED_VALUE"""),"Cash Impact (Base)")</f>
        <v>Cash Impact (Base)</v>
      </c>
      <c r="BP5" s="15" t="str">
        <f>IFERROR(__xludf.DUMMYFUNCTION("""COMPUTED_VALUE"""),"Volatility (%)")</f>
        <v>Volatility (%)</v>
      </c>
      <c r="BQ5" s="15" t="str">
        <f>IFERROR(__xludf.DUMMYFUNCTION("""COMPUTED_VALUE"""),"User")</f>
        <v>User</v>
      </c>
      <c r="BR5" s="15" t="str">
        <f>IFERROR(__xludf.DUMMYFUNCTION("""COMPUTED_VALUE"""),"Broker")</f>
        <v>Broker</v>
      </c>
      <c r="BS5" s="15" t="str">
        <f>IFERROR(__xludf.DUMMYFUNCTION("""COMPUTED_VALUE"""),"Earned Dividend (Local)")</f>
        <v>Earned Dividend (Local)</v>
      </c>
      <c r="BT5" s="15" t="str">
        <f>IFERROR(__xludf.DUMMYFUNCTION("""COMPUTED_VALUE"""),"Earned Dividend (Base)")</f>
        <v>Earned Dividend (Base)</v>
      </c>
      <c r="BU5" s="15" t="str">
        <f>IFERROR(__xludf.DUMMYFUNCTION("""COMPUTED_VALUE"""),"Put/Call")</f>
        <v>Put/Call</v>
      </c>
      <c r="BV5" s="15" t="str">
        <f>IFERROR(__xludf.DUMMYFUNCTION("""COMPUTED_VALUE"""),"Expiration Date")</f>
        <v>Expiration Date</v>
      </c>
      <c r="BW5" s="15" t="str">
        <f>IFERROR(__xludf.DUMMYFUNCTION("""COMPUTED_VALUE"""),"Strike Price")</f>
        <v>Strike Price</v>
      </c>
      <c r="BX5" s="15" t="str">
        <f>IFERROR(__xludf.DUMMYFUNCTION("""COMPUTED_VALUE"""),"Gross Exposure (Base)")</f>
        <v>Gross Exposure (Base)</v>
      </c>
      <c r="BY5" s="15" t="str">
        <f>IFERROR(__xludf.DUMMYFUNCTION("""COMPUTED_VALUE"""),"Gross Market Value (Base)")</f>
        <v>Gross Market Value (Base)</v>
      </c>
      <c r="BZ5" s="15" t="str">
        <f>IFERROR(__xludf.DUMMYFUNCTION("""COMPUTED_VALUE"""),"Px Selected Feed (Local)")</f>
        <v>Px Selected Feed (Local)</v>
      </c>
      <c r="CA5" s="15" t="str">
        <f>IFERROR(__xludf.DUMMYFUNCTION("""COMPUTED_VALUE"""),"Px Selected Feed (Base)")</f>
        <v>Px Selected Feed (Base)</v>
      </c>
      <c r="CB5" s="15" t="str">
        <f>IFERROR(__xludf.DUMMYFUNCTION("""COMPUTED_VALUE"""),"Settlement Date")</f>
        <v>Settlement Date</v>
      </c>
      <c r="CC5" s="15" t="str">
        <f>IFERROR(__xludf.DUMMYFUNCTION("""COMPUTED_VALUE"""),"% Avg Volume")</f>
        <v>% Avg Volume</v>
      </c>
      <c r="CD5" s="15" t="str">
        <f>IFERROR(__xludf.DUMMYFUNCTION("""COMPUTED_VALUE"""),"Day P&amp;L (Base)(Price Gain)")</f>
        <v>Day P&amp;L (Base)(Price Gain)</v>
      </c>
      <c r="CE5" s="15" t="str">
        <f>IFERROR(__xludf.DUMMYFUNCTION("""COMPUTED_VALUE"""),"Day P&amp;L (Base)(FX Gain)")</f>
        <v>Day P&amp;L (Base)(FX Gain)</v>
      </c>
      <c r="CF5" s="15" t="str">
        <f>IFERROR(__xludf.DUMMYFUNCTION("""COMPUTED_VALUE"""),"Cost Basis P&amp;L (Base)(FX Gain)")</f>
        <v>Cost Basis P&amp;L (Base)(FX Gain)</v>
      </c>
      <c r="CG5" s="15" t="str">
        <f>IFERROR(__xludf.DUMMYFUNCTION("""COMPUTED_VALUE"""),"Cost Basis P&amp;L (Base)(Price Gain)")</f>
        <v>Cost Basis P&amp;L (Base)(Price Gain)</v>
      </c>
      <c r="CH5" s="15" t="str">
        <f>IFERROR(__xludf.DUMMYFUNCTION("""COMPUTED_VALUE"""),"% Gain/Loss Cost")</f>
        <v>% Gain/Loss Cost</v>
      </c>
      <c r="CI5" s="15" t="str">
        <f>IFERROR(__xludf.DUMMYFUNCTION("""COMPUTED_VALUE"""),"Underlying Value (Options)")</f>
        <v>Underlying Value (Options)</v>
      </c>
      <c r="CJ5" s="15" t="str">
        <f>IFERROR(__xludf.DUMMYFUNCTION("""COMPUTED_VALUE"""),"Avg Volume 20 Day (Underlying Symbol)")</f>
        <v>Avg Volume 20 Day (Underlying Symbol)</v>
      </c>
      <c r="CK5" s="15" t="str">
        <f>IFERROR(__xludf.DUMMYFUNCTION("""COMPUTED_VALUE"""),"IsStaleData")</f>
        <v>IsStaleData</v>
      </c>
      <c r="CL5" s="15" t="str">
        <f>IFERROR(__xludf.DUMMYFUNCTION("""COMPUTED_VALUE"""),"IDCO")</f>
        <v>IDCO</v>
      </c>
      <c r="CM5" s="15" t="str">
        <f>IFERROR(__xludf.DUMMYFUNCTION("""COMPUTED_VALUE"""),"OSI")</f>
        <v>OSI</v>
      </c>
      <c r="CN5" s="15" t="str">
        <f>IFERROR(__xludf.DUMMYFUNCTION("""COMPUTED_VALUE"""),"SEDOL")</f>
        <v>SEDOL</v>
      </c>
      <c r="CO5" s="15" t="str">
        <f>IFERROR(__xludf.DUMMYFUNCTION("""COMPUTED_VALUE"""),"CUSIP")</f>
        <v>CUSIP</v>
      </c>
      <c r="CP5" s="15" t="str">
        <f>IFERROR(__xludf.DUMMYFUNCTION("""COMPUTED_VALUE"""),"Bloomberg")</f>
        <v>Bloomberg</v>
      </c>
      <c r="CQ5" s="15" t="str">
        <f>IFERROR(__xludf.DUMMYFUNCTION("""COMPUTED_VALUE"""),"ISIN")</f>
        <v>ISIN</v>
      </c>
      <c r="CR5" s="15" t="str">
        <f>IFERROR(__xludf.DUMMYFUNCTION("""COMPUTED_VALUE"""),"Start Trade Date")</f>
        <v>Start Trade Date</v>
      </c>
      <c r="CS5" s="15" t="str">
        <f>IFERROR(__xludf.DUMMYFUNCTION("""COMPUTED_VALUE"""),"Cost Basis (Break Even)")</f>
        <v>Cost Basis (Break Even)</v>
      </c>
      <c r="CT5" s="15" t="str">
        <f>IFERROR(__xludf.DUMMYFUNCTION("""COMPUTED_VALUE"""),"Trade Attribute 3")</f>
        <v>Trade Attribute 3</v>
      </c>
      <c r="CU5" s="15" t="str">
        <f>IFERROR(__xludf.DUMMYFUNCTION("""COMPUTED_VALUE"""),"Trade Attribute 4")</f>
        <v>Trade Attribute 4</v>
      </c>
      <c r="CV5" s="15" t="str">
        <f>IFERROR(__xludf.DUMMYFUNCTION("""COMPUTED_VALUE"""),"Trade Attribute 5")</f>
        <v>Trade Attribute 5</v>
      </c>
      <c r="CW5" s="15" t="str">
        <f>IFERROR(__xludf.DUMMYFUNCTION("""COMPUTED_VALUE"""),"Trade Attribute 6")</f>
        <v>Trade Attribute 6</v>
      </c>
      <c r="CX5" s="15" t="str">
        <f>IFERROR(__xludf.DUMMYFUNCTION("""COMPUTED_VALUE"""),"Proxy Symbol")</f>
        <v>Proxy Symbol</v>
      </c>
      <c r="CY5" s="15" t="str">
        <f>IFERROR(__xludf.DUMMYFUNCTION("""COMPUTED_VALUE"""),"Pricing Source")</f>
        <v>Pricing Source</v>
      </c>
      <c r="CZ5" s="15" t="str">
        <f>IFERROR(__xludf.DUMMYFUNCTION("""COMPUTED_VALUE"""),"Delta Source")</f>
        <v>Delta Source</v>
      </c>
      <c r="DA5" s="15" t="str">
        <f>IFERROR(__xludf.DUMMYFUNCTION("""COMPUTED_VALUE"""),"Gross Exposure (Local)")</f>
        <v>Gross Exposure (Local)</v>
      </c>
      <c r="DB5" s="15" t="str">
        <f>IFERROR(__xludf.DUMMYFUNCTION("""COMPUTED_VALUE"""),"% Day P&amp;L (Net MV)")</f>
        <v>% Day P&amp;L (Net MV)</v>
      </c>
      <c r="DC5" s="15" t="str">
        <f>IFERROR(__xludf.DUMMYFUNCTION("""COMPUTED_VALUE"""),"Expiration Month")</f>
        <v>Expiration Month</v>
      </c>
      <c r="DD5" s="15" t="str">
        <f>IFERROR(__xludf.DUMMYFUNCTION("""COMPUTED_VALUE"""),"Delta Adj. Position (LME)")</f>
        <v>Delta Adj. Position (LME)</v>
      </c>
      <c r="DE5" s="15" t="str">
        <f>IFERROR(__xludf.DUMMYFUNCTION("""COMPUTED_VALUE"""),"Premium")</f>
        <v>Premium</v>
      </c>
      <c r="DF5" s="15" t="str">
        <f>IFERROR(__xludf.DUMMYFUNCTION("""COMPUTED_VALUE"""),"Premium $")</f>
        <v>Premium $</v>
      </c>
      <c r="DG5" s="15" t="str">
        <f>IFERROR(__xludf.DUMMYFUNCTION("""COMPUTED_VALUE"""),"Forward Points")</f>
        <v>Forward Points</v>
      </c>
      <c r="DH5" s="15" t="str">
        <f>IFERROR(__xludf.DUMMYFUNCTION("""COMPUTED_VALUE"""),"Closing Mark (Underlying)")</f>
        <v>Closing Mark (Underlying)</v>
      </c>
      <c r="DI5" s="15" t="str">
        <f>IFERROR(__xludf.DUMMYFUNCTION("""COMPUTED_VALUE"""),"% Change (Underlying Price)")</f>
        <v>% Change (Underlying Price)</v>
      </c>
      <c r="DJ5" s="15" t="str">
        <f>IFERROR(__xludf.DUMMYFUNCTION("""COMPUTED_VALUE"""),"Transaction Type")</f>
        <v>Transaction Type</v>
      </c>
      <c r="DK5" s="15" t="str">
        <f>IFERROR(__xludf.DUMMYFUNCTION("""COMPUTED_VALUE"""),"Closing Market Value (Local)")</f>
        <v>Closing Market Value (Local)</v>
      </c>
      <c r="DL5" s="15" t="str">
        <f>IFERROR(__xludf.DUMMYFUNCTION("""COMPUTED_VALUE"""),"Closing Market Value (Base)")</f>
        <v>Closing Market Value (Base)</v>
      </c>
      <c r="DM5" s="15" t="str">
        <f>IFERROR(__xludf.DUMMYFUNCTION("""COMPUTED_VALUE"""),"Closing FX Rate")</f>
        <v>Closing FX Rate</v>
      </c>
      <c r="DN5" s="15" t="str">
        <f>IFERROR(__xludf.DUMMYFUNCTION("""COMPUTED_VALUE"""),"Change In Underlying Price")</f>
        <v>Change In Underlying Price</v>
      </c>
      <c r="DO5" s="15" t="str">
        <f>IFERROR(__xludf.DUMMYFUNCTION("""COMPUTED_VALUE"""),"RIC")</f>
        <v>RIC</v>
      </c>
      <c r="DP5" s="15" t="str">
        <f>IFERROR(__xludf.DUMMYFUNCTION("""COMPUTED_VALUE"""),"Position Side Exposure (Boxed)")</f>
        <v>Position Side Exposure (Boxed)</v>
      </c>
      <c r="DQ5" s="15" t="str">
        <f>IFERROR(__xludf.DUMMYFUNCTION("""COMPUTED_VALUE"""),"Analyst")</f>
        <v>Analyst</v>
      </c>
      <c r="DR5" s="15" t="str">
        <f>IFERROR(__xludf.DUMMYFUNCTION("""COMPUTED_VALUE"""),"Country Of Risk")</f>
        <v>Country Of Risk</v>
      </c>
      <c r="DS5" s="15" t="str">
        <f>IFERROR(__xludf.DUMMYFUNCTION("""COMPUTED_VALUE"""),"Custom UDA1")</f>
        <v>Custom UDA1</v>
      </c>
      <c r="DT5" s="15" t="str">
        <f>IFERROR(__xludf.DUMMYFUNCTION("""COMPUTED_VALUE"""),"Custom UDA2")</f>
        <v>Custom UDA2</v>
      </c>
      <c r="DU5" s="15" t="str">
        <f>IFERROR(__xludf.DUMMYFUNCTION("""COMPUTED_VALUE"""),"Custom UDA3")</f>
        <v>Custom UDA3</v>
      </c>
      <c r="DV5" s="15" t="str">
        <f>IFERROR(__xludf.DUMMYFUNCTION("""COMPUTED_VALUE"""),"Custom UDA4")</f>
        <v>Custom UDA4</v>
      </c>
      <c r="DW5" s="15" t="str">
        <f>IFERROR(__xludf.DUMMYFUNCTION("""COMPUTED_VALUE"""),"Custom UDA5")</f>
        <v>Custom UDA5</v>
      </c>
      <c r="DX5" s="15" t="str">
        <f>IFERROR(__xludf.DUMMYFUNCTION("""COMPUTED_VALUE"""),"Custom UDA6")</f>
        <v>Custom UDA6</v>
      </c>
      <c r="DY5" s="15" t="str">
        <f>IFERROR(__xludf.DUMMYFUNCTION("""COMPUTED_VALUE"""),"Custom UDA7")</f>
        <v>Custom UDA7</v>
      </c>
      <c r="DZ5" s="15" t="str">
        <f>IFERROR(__xludf.DUMMYFUNCTION("""COMPUTED_VALUE"""),"Issuer")</f>
        <v>Issuer</v>
      </c>
      <c r="EA5" s="15" t="str">
        <f>IFERROR(__xludf.DUMMYFUNCTION("""COMPUTED_VALUE"""),"Liquid Tag")</f>
        <v>Liquid Tag</v>
      </c>
      <c r="EB5" s="15" t="str">
        <f>IFERROR(__xludf.DUMMYFUNCTION("""COMPUTED_VALUE"""),"Market Cap UDA")</f>
        <v>Market Cap UDA</v>
      </c>
      <c r="EC5" s="15" t="str">
        <f>IFERROR(__xludf.DUMMYFUNCTION("""COMPUTED_VALUE"""),"Region")</f>
        <v>Region</v>
      </c>
      <c r="ED5" s="15" t="str">
        <f>IFERROR(__xludf.DUMMYFUNCTION("""COMPUTED_VALUE"""),"Risk Currency")</f>
        <v>Risk Currency</v>
      </c>
      <c r="EE5" s="15" t="str">
        <f>IFERROR(__xludf.DUMMYFUNCTION("""COMPUTED_VALUE"""),"UCITS Eligible Tag")</f>
        <v>UCITS Eligible Tag</v>
      </c>
      <c r="EF5" s="15" t="str">
        <f>IFERROR(__xludf.DUMMYFUNCTION("""COMPUTED_VALUE"""),"FX Rate (Display)")</f>
        <v>FX Rate (Display)</v>
      </c>
      <c r="EG5" s="15" t="str">
        <f>IFERROR(__xludf.DUMMYFUNCTION("""COMPUTED_VALUE"""),"% Net Exposure (Base)")</f>
        <v>% Net Exposure (Base)</v>
      </c>
      <c r="EH5" s="15" t="str">
        <f>IFERROR(__xludf.DUMMYFUNCTION("""COMPUTED_VALUE"""),"% Gross Exposure (Base)")</f>
        <v>% Gross Exposure (Base)</v>
      </c>
      <c r="EI5" s="15" t="str">
        <f>IFERROR(__xludf.DUMMYFUNCTION("""COMPUTED_VALUE"""),"% Exposure (Base)")</f>
        <v>% Exposure (Base)</v>
      </c>
      <c r="EJ5" s="15" t="str">
        <f>IFERROR(__xludf.DUMMYFUNCTION("""COMPUTED_VALUE"""),"% Gross Exposure (Underlying) (Base)")</f>
        <v>% Gross Exposure (Underlying) (Base)</v>
      </c>
      <c r="EK5" s="15" t="str">
        <f>IFERROR(__xludf.DUMMYFUNCTION("""COMPUTED_VALUE"""),"% Beta Adj. Gross Exposure (Base)")</f>
        <v>% Beta Adj. Gross Exposure (Base)</v>
      </c>
      <c r="EL5" s="15" t="str">
        <f>IFERROR(__xludf.DUMMYFUNCTION("""COMPUTED_VALUE"""),"Position Side Exposure (Underlying)")</f>
        <v>Position Side Exposure (Underlying)</v>
      </c>
      <c r="EM5" s="15" t="str">
        <f>IFERROR(__xludf.DUMMYFUNCTION("""COMPUTED_VALUE"""),"Gross Exposure (Underlying) (Base)")</f>
        <v>Gross Exposure (Underlying) (Base)</v>
      </c>
      <c r="EN5" s="15" t="str">
        <f>IFERROR(__xludf.DUMMYFUNCTION("""COMPUTED_VALUE"""),"Gross Exposure (Underlying)")</f>
        <v>Gross Exposure (Underlying)</v>
      </c>
      <c r="EO5" s="15" t="str">
        <f>IFERROR(__xludf.DUMMYFUNCTION("""COMPUTED_VALUE"""),"Day Return")</f>
        <v>Day Return</v>
      </c>
      <c r="EP5" s="15" t="str">
        <f>IFERROR(__xludf.DUMMYFUNCTION("""COMPUTED_VALUE"""),"Start of Day NAV")</f>
        <v>Start of Day NAV</v>
      </c>
      <c r="EQ5" s="15" t="str">
        <f>IFERROR(__xludf.DUMMYFUNCTION("""COMPUTED_VALUE"""),"% Gross Market Value (Base)")</f>
        <v>% Gross Market Value (Base)</v>
      </c>
      <c r="ER5" s="15" t="str">
        <f>IFERROR(__xludf.DUMMYFUNCTION("""COMPUTED_VALUE"""),"Beta Adj. Gross Exposure (Underlying) (Local)")</f>
        <v>Beta Adj. Gross Exposure (Underlying) (Local)</v>
      </c>
      <c r="ES5" s="15" t="str">
        <f>IFERROR(__xludf.DUMMYFUNCTION("""COMPUTED_VALUE"""),"NAV")</f>
        <v>NAV</v>
      </c>
      <c r="ET5" s="15" t="str">
        <f>IFERROR(__xludf.DUMMYFUNCTION("""COMPUTED_VALUE"""),"% P&amp;L Contribution")</f>
        <v>% P&amp;L Contribution</v>
      </c>
      <c r="EU5" s="15" t="str">
        <f>IFERROR(__xludf.DUMMYFUNCTION("""COMPUTED_VALUE"""),"% Net Market Value (Base)")</f>
        <v>% Net Market Value (Base)</v>
      </c>
      <c r="EV5" s="15" t="str">
        <f>IFERROR(__xludf.DUMMYFUNCTION("""COMPUTED_VALUE"""),"Position Side Exposure")</f>
        <v>Position Side Exposure</v>
      </c>
      <c r="EW5" s="15" t="str">
        <f>IFERROR(__xludf.DUMMYFUNCTION("""COMPUTED_VALUE"""),"NAV (Touch)")</f>
        <v>NAV (Touch)</v>
      </c>
      <c r="EX5" s="15" t="str">
        <f>IFERROR(__xludf.DUMMYFUNCTION("""COMPUTED_VALUE"""),"IgnorePropertyChangeEvents")</f>
        <v>IgnorePropertyChangeEvents</v>
      </c>
      <c r="EY5" s="15" t="str">
        <f>IFERROR(__xludf.DUMMYFUNCTION("""COMPUTED_VALUE"""),"Trade Attribute 1")</f>
        <v>Trade Attribute 1</v>
      </c>
      <c r="EZ5" s="15" t="str">
        <f>IFERROR(__xludf.DUMMYFUNCTION("""COMPUTED_VALUE"""),"Trade Attribute 2")</f>
        <v>Trade Attribute 2</v>
      </c>
      <c r="FA5" s="15" t="str">
        <f>IFERROR(__xludf.DUMMYFUNCTION("""COMPUTED_VALUE"""),"Client")</f>
        <v>Client</v>
      </c>
      <c r="FB5" s="15" t="str">
        <f>IFERROR(__xludf.DUMMYFUNCTION("""COMPUTED_VALUE"""),"IsCustomViewTab")</f>
        <v>IsCustomViewTab</v>
      </c>
      <c r="FC5" s="15" t="str">
        <f>IFERROR(__xludf.DUMMYFUNCTION("""COMPUTED_VALUE"""),"ITM/OTM")</f>
        <v>ITM/OTM</v>
      </c>
      <c r="FD5" s="15" t="str">
        <f>IFERROR(__xludf.DUMMYFUNCTION("""COMPUTED_VALUE"""),"Days to Expiry")</f>
        <v>Days to Expiry</v>
      </c>
      <c r="FE5" s="15" t="str">
        <f>IFERROR(__xludf.DUMMYFUNCTION("""COMPUTED_VALUE"""),"% of Underlying Price")</f>
        <v>% of Underlying Price</v>
      </c>
      <c r="FF5" s="15" t="str">
        <f>IFERROR(__xludf.DUMMYFUNCTION("""COMPUTED_VALUE"""),"Intrinsic value")</f>
        <v>Intrinsic value</v>
      </c>
      <c r="FG5" s="15" t="str">
        <f>IFERROR(__xludf.DUMMYFUNCTION("""COMPUTED_VALUE"""),"Gain/Loss if Ex./Assign")</f>
        <v>Gain/Loss if Ex./Assign</v>
      </c>
      <c r="FH5" s="15" t="str">
        <f>IFERROR(__xludf.DUMMYFUNCTION("""COMPUTED_VALUE"""),"Day Traded Position")</f>
        <v>Day Traded Position</v>
      </c>
      <c r="FI5" s="15" t="str">
        <f>IFERROR(__xludf.DUMMYFUNCTION("""COMPUTED_VALUE"""),"isRowCountCheck")</f>
        <v>isRowCountCheck</v>
      </c>
      <c r="FJ5" s="15"/>
      <c r="FK5" s="15"/>
      <c r="FL5" s="15"/>
      <c r="FM5" s="15"/>
      <c r="FN5" s="15"/>
      <c r="FO5" s="15"/>
      <c r="FP5" s="15"/>
      <c r="FQ5" s="15"/>
      <c r="FR5" s="15"/>
    </row>
    <row r="6" ht="15.75" customHeight="1" spans="1:144">
      <c r="A6" s="4"/>
      <c r="B6" s="4"/>
      <c r="C6" s="4" t="s">
        <v>30</v>
      </c>
      <c r="D6" s="4">
        <v>600</v>
      </c>
      <c r="E6" s="4" t="s">
        <v>20</v>
      </c>
      <c r="F6" s="4" t="s">
        <v>56</v>
      </c>
      <c r="G6" s="4">
        <v>10</v>
      </c>
      <c r="H6" s="4" t="s">
        <v>57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-6000</v>
      </c>
      <c r="O6" s="4" t="s">
        <v>44</v>
      </c>
      <c r="Q6">
        <v>-6000</v>
      </c>
      <c r="S6" t="s">
        <v>49</v>
      </c>
      <c r="T6" t="s">
        <v>40</v>
      </c>
      <c r="U6" t="s">
        <v>50</v>
      </c>
      <c r="V6" t="s">
        <v>46</v>
      </c>
      <c r="W6" t="s">
        <v>45</v>
      </c>
      <c r="X6">
        <v>1</v>
      </c>
      <c r="Y6">
        <v>1</v>
      </c>
      <c r="AB6">
        <v>0</v>
      </c>
      <c r="AC6">
        <v>0</v>
      </c>
      <c r="AD6">
        <v>0</v>
      </c>
      <c r="AE6">
        <v>0</v>
      </c>
      <c r="AF6">
        <v>600</v>
      </c>
      <c r="AG6">
        <v>0</v>
      </c>
      <c r="AH6">
        <v>0</v>
      </c>
      <c r="AI6">
        <v>0</v>
      </c>
      <c r="AJ6">
        <v>0</v>
      </c>
      <c r="AK6">
        <v>-6000</v>
      </c>
      <c r="AL6">
        <v>1</v>
      </c>
      <c r="AM6">
        <v>1</v>
      </c>
      <c r="AN6" t="s">
        <v>31</v>
      </c>
      <c r="AP6" t="s">
        <v>58</v>
      </c>
      <c r="AQ6" t="s">
        <v>30</v>
      </c>
      <c r="AR6">
        <v>0</v>
      </c>
      <c r="AW6">
        <v>-6000</v>
      </c>
      <c r="AX6">
        <v>0</v>
      </c>
      <c r="AY6">
        <v>0</v>
      </c>
      <c r="AZ6">
        <v>0</v>
      </c>
      <c r="BA6">
        <v>-100</v>
      </c>
      <c r="BD6">
        <v>-6000</v>
      </c>
      <c r="BJ6">
        <v>0</v>
      </c>
      <c r="BK6">
        <v>0</v>
      </c>
      <c r="BL6">
        <v>0</v>
      </c>
      <c r="BO6">
        <v>-6000</v>
      </c>
      <c r="BP6">
        <v>0</v>
      </c>
      <c r="BQ6" t="s">
        <v>51</v>
      </c>
      <c r="BR6" t="s">
        <v>42</v>
      </c>
      <c r="BS6">
        <v>0</v>
      </c>
      <c r="BT6">
        <v>0</v>
      </c>
      <c r="BX6">
        <v>0</v>
      </c>
      <c r="BY6">
        <v>0</v>
      </c>
      <c r="BZ6">
        <v>0</v>
      </c>
      <c r="CD6">
        <v>-6000</v>
      </c>
      <c r="CE6">
        <v>0</v>
      </c>
      <c r="CF6">
        <v>0</v>
      </c>
      <c r="CG6">
        <v>-6000</v>
      </c>
      <c r="CH6">
        <v>-100</v>
      </c>
      <c r="CI6">
        <v>0</v>
      </c>
      <c r="CJ6">
        <v>0</v>
      </c>
      <c r="CK6" t="b">
        <v>0</v>
      </c>
      <c r="CS6">
        <v>10</v>
      </c>
      <c r="DA6">
        <v>0</v>
      </c>
      <c r="DB6">
        <v>0</v>
      </c>
      <c r="DD6">
        <v>600</v>
      </c>
      <c r="DE6">
        <v>0</v>
      </c>
      <c r="DF6">
        <v>0</v>
      </c>
      <c r="DG6">
        <v>0</v>
      </c>
      <c r="DH6" t="s">
        <v>59</v>
      </c>
      <c r="DI6">
        <v>0</v>
      </c>
      <c r="DJ6" t="s">
        <v>31</v>
      </c>
      <c r="DK6">
        <v>0</v>
      </c>
      <c r="DL6">
        <v>0</v>
      </c>
      <c r="DM6">
        <v>1</v>
      </c>
      <c r="DN6">
        <v>0</v>
      </c>
      <c r="DP6" t="s">
        <v>58</v>
      </c>
      <c r="DQ6" t="s">
        <v>60</v>
      </c>
      <c r="DR6" t="s">
        <v>61</v>
      </c>
      <c r="DS6" t="s">
        <v>60</v>
      </c>
      <c r="DT6" t="s">
        <v>60</v>
      </c>
      <c r="DU6" t="s">
        <v>62</v>
      </c>
      <c r="DV6" t="s">
        <v>60</v>
      </c>
      <c r="DW6" t="s">
        <v>60</v>
      </c>
      <c r="DX6" t="s">
        <v>60</v>
      </c>
      <c r="DY6" t="s">
        <v>60</v>
      </c>
      <c r="DZ6" t="s">
        <v>44</v>
      </c>
      <c r="EA6" t="s">
        <v>62</v>
      </c>
      <c r="EB6" t="s">
        <v>60</v>
      </c>
      <c r="EC6" t="s">
        <v>60</v>
      </c>
      <c r="ED6" t="s">
        <v>45</v>
      </c>
      <c r="EE6" t="s">
        <v>63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 t="s">
        <v>58</v>
      </c>
      <c r="EM6">
        <v>0</v>
      </c>
      <c r="EN6">
        <v>0</v>
      </c>
    </row>
    <row r="7" ht="15.75" customHeight="1" spans="1:144">
      <c r="A7" s="4"/>
      <c r="B7" s="4"/>
      <c r="C7" s="4" t="s">
        <v>30</v>
      </c>
      <c r="D7" s="4">
        <v>-1900</v>
      </c>
      <c r="E7" s="4" t="s">
        <v>20</v>
      </c>
      <c r="F7" s="4" t="s">
        <v>56</v>
      </c>
      <c r="G7" s="4">
        <v>10</v>
      </c>
      <c r="H7" s="4" t="s">
        <v>57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19000</v>
      </c>
      <c r="O7" s="4" t="s">
        <v>44</v>
      </c>
      <c r="Q7">
        <v>19000</v>
      </c>
      <c r="S7" t="s">
        <v>23</v>
      </c>
      <c r="T7" t="s">
        <v>40</v>
      </c>
      <c r="U7" t="s">
        <v>50</v>
      </c>
      <c r="V7" t="s">
        <v>46</v>
      </c>
      <c r="W7" t="s">
        <v>45</v>
      </c>
      <c r="X7">
        <v>1</v>
      </c>
      <c r="Y7">
        <v>1</v>
      </c>
      <c r="AB7">
        <v>0</v>
      </c>
      <c r="AC7">
        <v>0</v>
      </c>
      <c r="AD7">
        <v>0</v>
      </c>
      <c r="AE7">
        <v>0</v>
      </c>
      <c r="AF7">
        <v>-1900</v>
      </c>
      <c r="AG7">
        <v>0</v>
      </c>
      <c r="AH7">
        <v>0</v>
      </c>
      <c r="AI7">
        <v>0</v>
      </c>
      <c r="AJ7">
        <v>0</v>
      </c>
      <c r="AK7">
        <v>19000</v>
      </c>
      <c r="AL7">
        <v>1</v>
      </c>
      <c r="AM7">
        <v>1</v>
      </c>
      <c r="AN7" t="s">
        <v>34</v>
      </c>
      <c r="AP7" t="s">
        <v>58</v>
      </c>
      <c r="AQ7" t="s">
        <v>30</v>
      </c>
      <c r="AR7">
        <v>0</v>
      </c>
      <c r="AW7">
        <v>19000</v>
      </c>
      <c r="AX7">
        <v>0</v>
      </c>
      <c r="AY7">
        <v>0</v>
      </c>
      <c r="AZ7">
        <v>0</v>
      </c>
      <c r="BA7">
        <v>100</v>
      </c>
      <c r="BD7">
        <v>19000</v>
      </c>
      <c r="BJ7">
        <v>0</v>
      </c>
      <c r="BK7">
        <v>0</v>
      </c>
      <c r="BL7">
        <v>0</v>
      </c>
      <c r="BO7">
        <v>19000</v>
      </c>
      <c r="BP7">
        <v>0</v>
      </c>
      <c r="BQ7" t="s">
        <v>51</v>
      </c>
      <c r="BR7" t="s">
        <v>42</v>
      </c>
      <c r="BS7">
        <v>0</v>
      </c>
      <c r="BT7">
        <v>0</v>
      </c>
      <c r="BX7">
        <v>0</v>
      </c>
      <c r="BY7">
        <v>0</v>
      </c>
      <c r="BZ7">
        <v>0</v>
      </c>
      <c r="CD7">
        <v>19000</v>
      </c>
      <c r="CE7">
        <v>0</v>
      </c>
      <c r="CF7">
        <v>0</v>
      </c>
      <c r="CG7">
        <v>19000</v>
      </c>
      <c r="CH7">
        <v>100</v>
      </c>
      <c r="CI7">
        <v>0</v>
      </c>
      <c r="CJ7">
        <v>0</v>
      </c>
      <c r="CK7" t="b">
        <v>0</v>
      </c>
      <c r="CS7">
        <v>10</v>
      </c>
      <c r="DA7">
        <v>0</v>
      </c>
      <c r="DB7">
        <v>0</v>
      </c>
      <c r="DD7">
        <v>-1900</v>
      </c>
      <c r="DE7">
        <v>0</v>
      </c>
      <c r="DF7">
        <v>0</v>
      </c>
      <c r="DG7">
        <v>0</v>
      </c>
      <c r="DH7" t="s">
        <v>59</v>
      </c>
      <c r="DI7">
        <v>0</v>
      </c>
      <c r="DJ7" t="s">
        <v>34</v>
      </c>
      <c r="DK7">
        <v>0</v>
      </c>
      <c r="DL7">
        <v>0</v>
      </c>
      <c r="DM7">
        <v>1</v>
      </c>
      <c r="DN7">
        <v>0</v>
      </c>
      <c r="DP7" t="s">
        <v>58</v>
      </c>
      <c r="DQ7" t="s">
        <v>60</v>
      </c>
      <c r="DR7" t="s">
        <v>61</v>
      </c>
      <c r="DS7" t="s">
        <v>60</v>
      </c>
      <c r="DT7" t="s">
        <v>60</v>
      </c>
      <c r="DU7" t="s">
        <v>62</v>
      </c>
      <c r="DV7" t="s">
        <v>60</v>
      </c>
      <c r="DW7" t="s">
        <v>60</v>
      </c>
      <c r="DX7" t="s">
        <v>60</v>
      </c>
      <c r="DY7" t="s">
        <v>60</v>
      </c>
      <c r="DZ7" t="s">
        <v>44</v>
      </c>
      <c r="EA7" t="s">
        <v>62</v>
      </c>
      <c r="EB7" t="s">
        <v>60</v>
      </c>
      <c r="EC7" t="s">
        <v>60</v>
      </c>
      <c r="ED7" t="s">
        <v>45</v>
      </c>
      <c r="EE7" t="s">
        <v>63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 t="s">
        <v>58</v>
      </c>
      <c r="EM7">
        <v>0</v>
      </c>
      <c r="EN7">
        <v>0</v>
      </c>
    </row>
    <row r="8" ht="15.75" customHeight="1" spans="1:144">
      <c r="A8" s="4"/>
      <c r="B8" s="4"/>
      <c r="C8" s="4" t="s">
        <v>30</v>
      </c>
      <c r="D8" s="4">
        <v>-1900</v>
      </c>
      <c r="E8" s="4" t="s">
        <v>20</v>
      </c>
      <c r="F8" s="4" t="s">
        <v>56</v>
      </c>
      <c r="G8" s="4">
        <v>10</v>
      </c>
      <c r="H8" s="4" t="s">
        <v>57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19000</v>
      </c>
      <c r="O8" s="4" t="s">
        <v>44</v>
      </c>
      <c r="Q8">
        <v>19000</v>
      </c>
      <c r="S8" t="s">
        <v>24</v>
      </c>
      <c r="T8" t="s">
        <v>40</v>
      </c>
      <c r="U8" t="s">
        <v>50</v>
      </c>
      <c r="V8" t="s">
        <v>46</v>
      </c>
      <c r="W8" t="s">
        <v>45</v>
      </c>
      <c r="X8">
        <v>1</v>
      </c>
      <c r="Y8">
        <v>1</v>
      </c>
      <c r="AB8">
        <v>0</v>
      </c>
      <c r="AC8">
        <v>0</v>
      </c>
      <c r="AD8">
        <v>0</v>
      </c>
      <c r="AE8">
        <v>0</v>
      </c>
      <c r="AF8">
        <v>-1900</v>
      </c>
      <c r="AG8">
        <v>0</v>
      </c>
      <c r="AH8">
        <v>0</v>
      </c>
      <c r="AI8">
        <v>0</v>
      </c>
      <c r="AJ8">
        <v>0</v>
      </c>
      <c r="AK8">
        <v>19000</v>
      </c>
      <c r="AL8">
        <v>1</v>
      </c>
      <c r="AM8">
        <v>1</v>
      </c>
      <c r="AN8" t="s">
        <v>34</v>
      </c>
      <c r="AP8" t="s">
        <v>58</v>
      </c>
      <c r="AQ8" t="s">
        <v>30</v>
      </c>
      <c r="AR8">
        <v>0</v>
      </c>
      <c r="AW8">
        <v>19000</v>
      </c>
      <c r="AX8">
        <v>0</v>
      </c>
      <c r="AY8">
        <v>0</v>
      </c>
      <c r="AZ8">
        <v>0</v>
      </c>
      <c r="BA8">
        <v>100</v>
      </c>
      <c r="BD8">
        <v>19000</v>
      </c>
      <c r="BJ8">
        <v>0</v>
      </c>
      <c r="BK8">
        <v>0</v>
      </c>
      <c r="BL8">
        <v>0</v>
      </c>
      <c r="BO8">
        <v>19000</v>
      </c>
      <c r="BP8">
        <v>0</v>
      </c>
      <c r="BQ8" t="s">
        <v>51</v>
      </c>
      <c r="BR8" t="s">
        <v>42</v>
      </c>
      <c r="BS8">
        <v>0</v>
      </c>
      <c r="BT8">
        <v>0</v>
      </c>
      <c r="BX8">
        <v>0</v>
      </c>
      <c r="BY8">
        <v>0</v>
      </c>
      <c r="BZ8">
        <v>0</v>
      </c>
      <c r="CD8">
        <v>19000</v>
      </c>
      <c r="CE8">
        <v>0</v>
      </c>
      <c r="CF8">
        <v>0</v>
      </c>
      <c r="CG8">
        <v>19000</v>
      </c>
      <c r="CH8">
        <v>100</v>
      </c>
      <c r="CI8">
        <v>0</v>
      </c>
      <c r="CJ8">
        <v>0</v>
      </c>
      <c r="CK8" t="b">
        <v>0</v>
      </c>
      <c r="CS8">
        <v>10</v>
      </c>
      <c r="DA8">
        <v>0</v>
      </c>
      <c r="DB8">
        <v>0</v>
      </c>
      <c r="DD8">
        <v>-1900</v>
      </c>
      <c r="DE8">
        <v>0</v>
      </c>
      <c r="DF8">
        <v>0</v>
      </c>
      <c r="DG8">
        <v>0</v>
      </c>
      <c r="DH8" t="s">
        <v>59</v>
      </c>
      <c r="DI8">
        <v>0</v>
      </c>
      <c r="DJ8" t="s">
        <v>34</v>
      </c>
      <c r="DK8">
        <v>0</v>
      </c>
      <c r="DL8">
        <v>0</v>
      </c>
      <c r="DM8">
        <v>1</v>
      </c>
      <c r="DN8">
        <v>0</v>
      </c>
      <c r="DP8" t="s">
        <v>58</v>
      </c>
      <c r="DQ8" t="s">
        <v>60</v>
      </c>
      <c r="DR8" t="s">
        <v>61</v>
      </c>
      <c r="DS8" t="s">
        <v>60</v>
      </c>
      <c r="DT8" t="s">
        <v>60</v>
      </c>
      <c r="DU8" t="s">
        <v>62</v>
      </c>
      <c r="DV8" t="s">
        <v>60</v>
      </c>
      <c r="DW8" t="s">
        <v>60</v>
      </c>
      <c r="DX8" t="s">
        <v>60</v>
      </c>
      <c r="DY8" t="s">
        <v>60</v>
      </c>
      <c r="DZ8" t="s">
        <v>44</v>
      </c>
      <c r="EA8" t="s">
        <v>62</v>
      </c>
      <c r="EB8" t="s">
        <v>60</v>
      </c>
      <c r="EC8" t="s">
        <v>60</v>
      </c>
      <c r="ED8" t="s">
        <v>45</v>
      </c>
      <c r="EE8" t="s">
        <v>63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 t="s">
        <v>58</v>
      </c>
      <c r="EM8">
        <v>0</v>
      </c>
      <c r="EN8">
        <v>0</v>
      </c>
    </row>
    <row r="9" ht="15.75" customHeight="1" spans="1:144">
      <c r="A9" s="4"/>
      <c r="B9" s="4"/>
      <c r="C9" s="4" t="s">
        <v>30</v>
      </c>
      <c r="D9" s="4">
        <v>400</v>
      </c>
      <c r="E9" s="4" t="s">
        <v>21</v>
      </c>
      <c r="F9" s="4" t="s">
        <v>64</v>
      </c>
      <c r="G9" s="4">
        <v>10</v>
      </c>
      <c r="H9" s="4" t="s">
        <v>57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-4000</v>
      </c>
      <c r="O9" s="4" t="s">
        <v>44</v>
      </c>
      <c r="Q9">
        <v>-4000</v>
      </c>
      <c r="S9" t="s">
        <v>49</v>
      </c>
      <c r="T9" t="s">
        <v>40</v>
      </c>
      <c r="U9" t="s">
        <v>50</v>
      </c>
      <c r="V9" t="s">
        <v>46</v>
      </c>
      <c r="W9" t="s">
        <v>45</v>
      </c>
      <c r="X9">
        <v>1</v>
      </c>
      <c r="Y9">
        <v>1</v>
      </c>
      <c r="AB9">
        <v>0</v>
      </c>
      <c r="AC9">
        <v>0</v>
      </c>
      <c r="AD9">
        <v>0</v>
      </c>
      <c r="AE9">
        <v>0</v>
      </c>
      <c r="AF9">
        <v>400</v>
      </c>
      <c r="AG9">
        <v>0</v>
      </c>
      <c r="AH9">
        <v>0</v>
      </c>
      <c r="AI9">
        <v>0</v>
      </c>
      <c r="AJ9">
        <v>0</v>
      </c>
      <c r="AK9">
        <v>-4000</v>
      </c>
      <c r="AL9">
        <v>1</v>
      </c>
      <c r="AM9">
        <v>1</v>
      </c>
      <c r="AN9" t="s">
        <v>31</v>
      </c>
      <c r="AP9" t="s">
        <v>58</v>
      </c>
      <c r="AQ9" t="s">
        <v>30</v>
      </c>
      <c r="AR9">
        <v>0</v>
      </c>
      <c r="AW9">
        <v>-4000</v>
      </c>
      <c r="AX9">
        <v>0</v>
      </c>
      <c r="AY9">
        <v>0</v>
      </c>
      <c r="AZ9">
        <v>0</v>
      </c>
      <c r="BA9">
        <v>-100</v>
      </c>
      <c r="BD9">
        <v>-4000</v>
      </c>
      <c r="BJ9">
        <v>0</v>
      </c>
      <c r="BK9">
        <v>0</v>
      </c>
      <c r="BL9">
        <v>0</v>
      </c>
      <c r="BO9">
        <v>-4000</v>
      </c>
      <c r="BP9">
        <v>0</v>
      </c>
      <c r="BQ9" t="s">
        <v>51</v>
      </c>
      <c r="BR9" t="s">
        <v>42</v>
      </c>
      <c r="BS9">
        <v>0</v>
      </c>
      <c r="BT9">
        <v>0</v>
      </c>
      <c r="BX9">
        <v>0</v>
      </c>
      <c r="BY9">
        <v>0</v>
      </c>
      <c r="BZ9">
        <v>0</v>
      </c>
      <c r="CD9">
        <v>-4000</v>
      </c>
      <c r="CE9">
        <v>0</v>
      </c>
      <c r="CF9">
        <v>0</v>
      </c>
      <c r="CG9">
        <v>-4000</v>
      </c>
      <c r="CH9">
        <v>-100</v>
      </c>
      <c r="CI9">
        <v>0</v>
      </c>
      <c r="CJ9">
        <v>0</v>
      </c>
      <c r="CK9" t="b">
        <v>0</v>
      </c>
      <c r="CS9">
        <v>10</v>
      </c>
      <c r="DA9">
        <v>0</v>
      </c>
      <c r="DB9">
        <v>0</v>
      </c>
      <c r="DD9">
        <v>400</v>
      </c>
      <c r="DE9">
        <v>0</v>
      </c>
      <c r="DF9">
        <v>0</v>
      </c>
      <c r="DG9">
        <v>0</v>
      </c>
      <c r="DH9" t="s">
        <v>59</v>
      </c>
      <c r="DI9">
        <v>0</v>
      </c>
      <c r="DJ9" t="s">
        <v>31</v>
      </c>
      <c r="DK9">
        <v>0</v>
      </c>
      <c r="DL9">
        <v>0</v>
      </c>
      <c r="DM9">
        <v>1</v>
      </c>
      <c r="DN9">
        <v>0</v>
      </c>
      <c r="DP9" t="s">
        <v>58</v>
      </c>
      <c r="DQ9" t="s">
        <v>60</v>
      </c>
      <c r="DR9" t="s">
        <v>61</v>
      </c>
      <c r="DS9" t="s">
        <v>60</v>
      </c>
      <c r="DT9" t="s">
        <v>60</v>
      </c>
      <c r="DU9" t="s">
        <v>62</v>
      </c>
      <c r="DV9" t="s">
        <v>60</v>
      </c>
      <c r="DW9" t="s">
        <v>60</v>
      </c>
      <c r="DX9" t="s">
        <v>60</v>
      </c>
      <c r="DY9" t="s">
        <v>60</v>
      </c>
      <c r="DZ9" t="s">
        <v>44</v>
      </c>
      <c r="EA9" t="s">
        <v>62</v>
      </c>
      <c r="EB9" t="s">
        <v>60</v>
      </c>
      <c r="EC9" t="s">
        <v>60</v>
      </c>
      <c r="ED9" t="s">
        <v>45</v>
      </c>
      <c r="EE9" t="s">
        <v>63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 t="s">
        <v>58</v>
      </c>
      <c r="EM9">
        <v>0</v>
      </c>
      <c r="EN9">
        <v>0</v>
      </c>
    </row>
    <row r="10" ht="15.75" customHeight="1" spans="1:144">
      <c r="A10" s="4"/>
      <c r="B10" s="4"/>
      <c r="C10" s="4" t="s">
        <v>30</v>
      </c>
      <c r="D10" s="4">
        <v>-900</v>
      </c>
      <c r="E10" s="4" t="s">
        <v>21</v>
      </c>
      <c r="F10" s="4" t="s">
        <v>64</v>
      </c>
      <c r="G10" s="4">
        <v>10</v>
      </c>
      <c r="H10" s="4" t="s">
        <v>57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9000</v>
      </c>
      <c r="O10" s="4" t="s">
        <v>44</v>
      </c>
      <c r="Q10">
        <v>9000</v>
      </c>
      <c r="S10" t="s">
        <v>23</v>
      </c>
      <c r="T10" t="s">
        <v>40</v>
      </c>
      <c r="U10" t="s">
        <v>50</v>
      </c>
      <c r="V10" t="s">
        <v>46</v>
      </c>
      <c r="W10" t="s">
        <v>45</v>
      </c>
      <c r="X10">
        <v>1</v>
      </c>
      <c r="Y10">
        <v>1</v>
      </c>
      <c r="AB10">
        <v>0</v>
      </c>
      <c r="AC10">
        <v>0</v>
      </c>
      <c r="AD10">
        <v>0</v>
      </c>
      <c r="AE10">
        <v>0</v>
      </c>
      <c r="AF10">
        <v>-900</v>
      </c>
      <c r="AG10">
        <v>0</v>
      </c>
      <c r="AH10">
        <v>0</v>
      </c>
      <c r="AI10">
        <v>0</v>
      </c>
      <c r="AJ10">
        <v>0</v>
      </c>
      <c r="AK10">
        <v>9000</v>
      </c>
      <c r="AL10">
        <v>1</v>
      </c>
      <c r="AM10">
        <v>1</v>
      </c>
      <c r="AN10" t="s">
        <v>34</v>
      </c>
      <c r="AP10" t="s">
        <v>58</v>
      </c>
      <c r="AQ10" t="s">
        <v>30</v>
      </c>
      <c r="AR10">
        <v>0</v>
      </c>
      <c r="AW10">
        <v>9000</v>
      </c>
      <c r="AX10">
        <v>0</v>
      </c>
      <c r="AY10">
        <v>0</v>
      </c>
      <c r="AZ10">
        <v>0</v>
      </c>
      <c r="BA10">
        <v>100</v>
      </c>
      <c r="BD10">
        <v>9000</v>
      </c>
      <c r="BJ10">
        <v>0</v>
      </c>
      <c r="BK10">
        <v>0</v>
      </c>
      <c r="BL10">
        <v>0</v>
      </c>
      <c r="BO10">
        <v>9000</v>
      </c>
      <c r="BP10">
        <v>0</v>
      </c>
      <c r="BQ10" t="s">
        <v>51</v>
      </c>
      <c r="BR10" t="s">
        <v>42</v>
      </c>
      <c r="BS10">
        <v>0</v>
      </c>
      <c r="BT10">
        <v>0</v>
      </c>
      <c r="BX10">
        <v>0</v>
      </c>
      <c r="BY10">
        <v>0</v>
      </c>
      <c r="BZ10">
        <v>0</v>
      </c>
      <c r="CD10">
        <v>9000</v>
      </c>
      <c r="CE10">
        <v>0</v>
      </c>
      <c r="CF10">
        <v>0</v>
      </c>
      <c r="CG10">
        <v>9000</v>
      </c>
      <c r="CH10">
        <v>100</v>
      </c>
      <c r="CI10">
        <v>0</v>
      </c>
      <c r="CJ10">
        <v>0</v>
      </c>
      <c r="CK10" t="b">
        <v>0</v>
      </c>
      <c r="CS10">
        <v>10</v>
      </c>
      <c r="DA10">
        <v>0</v>
      </c>
      <c r="DB10">
        <v>0</v>
      </c>
      <c r="DD10">
        <v>-900</v>
      </c>
      <c r="DE10">
        <v>0</v>
      </c>
      <c r="DF10">
        <v>0</v>
      </c>
      <c r="DG10">
        <v>0</v>
      </c>
      <c r="DH10" t="s">
        <v>59</v>
      </c>
      <c r="DI10">
        <v>0</v>
      </c>
      <c r="DJ10" t="s">
        <v>34</v>
      </c>
      <c r="DK10">
        <v>0</v>
      </c>
      <c r="DL10">
        <v>0</v>
      </c>
      <c r="DM10">
        <v>1</v>
      </c>
      <c r="DN10">
        <v>0</v>
      </c>
      <c r="DP10" t="s">
        <v>58</v>
      </c>
      <c r="DQ10" t="s">
        <v>60</v>
      </c>
      <c r="DR10" t="s">
        <v>61</v>
      </c>
      <c r="DS10" t="s">
        <v>60</v>
      </c>
      <c r="DT10" t="s">
        <v>60</v>
      </c>
      <c r="DU10" t="s">
        <v>62</v>
      </c>
      <c r="DV10" t="s">
        <v>60</v>
      </c>
      <c r="DW10" t="s">
        <v>60</v>
      </c>
      <c r="DX10" t="s">
        <v>60</v>
      </c>
      <c r="DY10" t="s">
        <v>60</v>
      </c>
      <c r="DZ10" t="s">
        <v>44</v>
      </c>
      <c r="EA10" t="s">
        <v>62</v>
      </c>
      <c r="EB10" t="s">
        <v>60</v>
      </c>
      <c r="EC10" t="s">
        <v>60</v>
      </c>
      <c r="ED10" t="s">
        <v>45</v>
      </c>
      <c r="EE10" t="s">
        <v>63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 t="s">
        <v>58</v>
      </c>
      <c r="EM10">
        <v>0</v>
      </c>
      <c r="EN10">
        <v>0</v>
      </c>
    </row>
    <row r="11" ht="15.75" customHeight="1" spans="1:144">
      <c r="A11" s="4"/>
      <c r="B11" s="4"/>
      <c r="C11" s="4" t="s">
        <v>30</v>
      </c>
      <c r="D11" s="4">
        <v>-300</v>
      </c>
      <c r="E11" s="4" t="s">
        <v>21</v>
      </c>
      <c r="F11" s="4" t="s">
        <v>64</v>
      </c>
      <c r="G11" s="4">
        <v>10</v>
      </c>
      <c r="H11" s="4" t="s">
        <v>57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3000</v>
      </c>
      <c r="O11" s="4" t="s">
        <v>44</v>
      </c>
      <c r="Q11">
        <v>3000</v>
      </c>
      <c r="S11" t="s">
        <v>24</v>
      </c>
      <c r="T11" t="s">
        <v>40</v>
      </c>
      <c r="U11" t="s">
        <v>50</v>
      </c>
      <c r="V11" t="s">
        <v>46</v>
      </c>
      <c r="W11" t="s">
        <v>45</v>
      </c>
      <c r="X11">
        <v>1</v>
      </c>
      <c r="Y11">
        <v>1</v>
      </c>
      <c r="AB11">
        <v>0</v>
      </c>
      <c r="AC11">
        <v>0</v>
      </c>
      <c r="AD11">
        <v>0</v>
      </c>
      <c r="AE11">
        <v>0</v>
      </c>
      <c r="AF11">
        <v>-300</v>
      </c>
      <c r="AG11">
        <v>0</v>
      </c>
      <c r="AH11">
        <v>0</v>
      </c>
      <c r="AI11">
        <v>0</v>
      </c>
      <c r="AJ11">
        <v>0</v>
      </c>
      <c r="AK11">
        <v>3000</v>
      </c>
      <c r="AL11">
        <v>1</v>
      </c>
      <c r="AM11">
        <v>1</v>
      </c>
      <c r="AN11" t="s">
        <v>34</v>
      </c>
      <c r="AP11" t="s">
        <v>58</v>
      </c>
      <c r="AQ11" t="s">
        <v>30</v>
      </c>
      <c r="AR11">
        <v>0</v>
      </c>
      <c r="AW11">
        <v>3000</v>
      </c>
      <c r="AX11">
        <v>0</v>
      </c>
      <c r="AY11">
        <v>0</v>
      </c>
      <c r="AZ11">
        <v>0</v>
      </c>
      <c r="BA11">
        <v>100</v>
      </c>
      <c r="BD11">
        <v>3000</v>
      </c>
      <c r="BJ11">
        <v>0</v>
      </c>
      <c r="BK11">
        <v>0</v>
      </c>
      <c r="BL11">
        <v>0</v>
      </c>
      <c r="BO11">
        <v>3000</v>
      </c>
      <c r="BP11">
        <v>0</v>
      </c>
      <c r="BQ11" t="s">
        <v>51</v>
      </c>
      <c r="BR11" t="s">
        <v>42</v>
      </c>
      <c r="BS11">
        <v>0</v>
      </c>
      <c r="BT11">
        <v>0</v>
      </c>
      <c r="BX11">
        <v>0</v>
      </c>
      <c r="BY11">
        <v>0</v>
      </c>
      <c r="BZ11">
        <v>0</v>
      </c>
      <c r="CD11">
        <v>3000</v>
      </c>
      <c r="CE11">
        <v>0</v>
      </c>
      <c r="CF11">
        <v>0</v>
      </c>
      <c r="CG11">
        <v>3000</v>
      </c>
      <c r="CH11">
        <v>100</v>
      </c>
      <c r="CI11">
        <v>0</v>
      </c>
      <c r="CJ11">
        <v>0</v>
      </c>
      <c r="CK11" t="b">
        <v>0</v>
      </c>
      <c r="CS11">
        <v>10</v>
      </c>
      <c r="DA11">
        <v>0</v>
      </c>
      <c r="DB11">
        <v>0</v>
      </c>
      <c r="DD11">
        <v>-300</v>
      </c>
      <c r="DE11">
        <v>0</v>
      </c>
      <c r="DF11">
        <v>0</v>
      </c>
      <c r="DG11">
        <v>0</v>
      </c>
      <c r="DH11" t="s">
        <v>59</v>
      </c>
      <c r="DI11">
        <v>0</v>
      </c>
      <c r="DJ11" t="s">
        <v>34</v>
      </c>
      <c r="DK11">
        <v>0</v>
      </c>
      <c r="DL11">
        <v>0</v>
      </c>
      <c r="DM11">
        <v>1</v>
      </c>
      <c r="DN11">
        <v>0</v>
      </c>
      <c r="DP11" t="s">
        <v>58</v>
      </c>
      <c r="DQ11" t="s">
        <v>60</v>
      </c>
      <c r="DR11" t="s">
        <v>61</v>
      </c>
      <c r="DS11" t="s">
        <v>60</v>
      </c>
      <c r="DT11" t="s">
        <v>60</v>
      </c>
      <c r="DU11" t="s">
        <v>62</v>
      </c>
      <c r="DV11" t="s">
        <v>60</v>
      </c>
      <c r="DW11" t="s">
        <v>60</v>
      </c>
      <c r="DX11" t="s">
        <v>60</v>
      </c>
      <c r="DY11" t="s">
        <v>60</v>
      </c>
      <c r="DZ11" t="s">
        <v>44</v>
      </c>
      <c r="EA11" t="s">
        <v>62</v>
      </c>
      <c r="EB11" t="s">
        <v>60</v>
      </c>
      <c r="EC11" t="s">
        <v>60</v>
      </c>
      <c r="ED11" t="s">
        <v>45</v>
      </c>
      <c r="EE11" t="s">
        <v>63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t="s">
        <v>58</v>
      </c>
      <c r="EM11">
        <v>0</v>
      </c>
      <c r="EN11">
        <v>0</v>
      </c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SetTradingComplianceRules</vt:lpstr>
      <vt:lpstr>AddCalculatedPreferences</vt:lpstr>
      <vt:lpstr>SetAccountValueCalculatedPref</vt:lpstr>
      <vt:lpstr>SetStrategyValueCalculatedPref</vt:lpstr>
      <vt:lpstr>SetDefaultRuleCalculatedPref</vt:lpstr>
      <vt:lpstr>CreateDoneAwayOrder</vt:lpstr>
      <vt:lpstr>GetDataAllocation</vt:lpstr>
      <vt:lpstr>CheckAllocatedGroups</vt:lpstr>
      <vt:lpstr>CheckAllocatedTaxlots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Karan.Singh</cp:lastModifiedBy>
  <dcterms:created xsi:type="dcterms:W3CDTF">2022-06-12T22:51:22Z</dcterms:created>
  <dcterms:modified xsi:type="dcterms:W3CDTF">2022-06-12T22:51:38Z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E0302A56607541D2AE96697A65D6640B</vt:lpwstr>
  </property>
  <property fmtid="{D5CDD505-2E9C-101B-9397-08002B2CF9AE}" pid="3" name="KSOProductBuildVer">
    <vt:lpwstr>1033-11.2.0.11156</vt:lpwstr>
  </property>
</Properties>
</file>