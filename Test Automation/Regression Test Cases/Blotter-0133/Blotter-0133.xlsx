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howMasterFundOnTT" sheetId="4" r:id="rId6"/>
    <sheet state="visible" name="UpdateMasterFundOnTT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OnOrderGrid" sheetId="10" r:id="rId12"/>
    <sheet state="visible" name="GoToAllocation" sheetId="11" r:id="rId13"/>
    <sheet state="visible" name="SelectAllocatedGroup" sheetId="12" r:id="rId14"/>
    <sheet state="visible" name="EnterAccountValuesToAllocate" sheetId="13" r:id="rId15"/>
    <sheet state="visible" name="SelectTradeOnOrderGrid1" sheetId="14" r:id="rId16"/>
    <sheet state="visible" name="ReplaceSubOrder" sheetId="15" r:id="rId17"/>
    <sheet state="visible" name="CreateReplaceLiveOrder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VerifyOrder" sheetId="20" r:id="rId22"/>
    <sheet state="visible" name="VerifyWorkingSubs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<sst xmlns="http://schemas.openxmlformats.org/spreadsheetml/2006/main" count="245" uniqueCount="53">
  <si>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</si>
  <si>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</si>
  <si>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</si>
  <si>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</si>
  <si>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</si>
  <si>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</si>
  <si>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</si>
  <si>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</si>
  <si>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</si>
  <si>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</si>
  <si>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</si>
  <si>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</si>
  <si>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</si>
  <si>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</si>
  <si>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</si>
  <si>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</si>
  <si>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</si>
  <si>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</si>
  <si>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</t>
  </si>
  <si>
    <t>CreateLiveOrder</t>
  </si>
  <si>
    <t>AAPL</t>
  </si>
  <si>
    <t>Buy</t>
  </si>
  <si>
    <t>Allocation1</t>
  </si>
  <si>
    <t>MS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</si>
  <si>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</si>
  <si>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</si>
  <si>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</si>
  <si>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</si>
  <si>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</si>
  <si>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</si>
  <si>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</si>
  <si>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Market</t>
  </si>
  <si>
    <t>GoToAllocation</t>
  </si>
  <si>
    <t>M</t>
  </si>
  <si>
    <t>Equity</t>
  </si>
  <si>
    <t>SelectAllocatedGroup</t>
  </si>
  <si>
    <t>EnterAccountValuesToAllocate</t>
  </si>
  <si>
    <t>Allocation2</t>
  </si>
  <si>
    <t>LP C/O</t>
  </si>
  <si>
    <t>ReplaceSubOrder</t>
  </si>
  <si>
    <t>Multiple</t>
  </si>
  <si>
    <t>CreateReplaceLiveOrder</t>
  </si>
  <si>
    <t>VerifyOrder</t>
  </si>
  <si>
    <t>Filled</t>
  </si>
  <si>
    <t>VerifyWorkingSubs</t>
  </si>
  <si>
    <t>GetDataAllocation</t>
  </si>
  <si>
    <t>Current</t>
  </si>
  <si>
    <t>CheckAllocatedGroups</t>
  </si>
  <si>
    <t>PortfolioManagement</t>
  </si>
  <si>
    <t>CheckPortfolioManagement</t>
  </si>
  <si>
    <t>NewMF1</t>
  </si>
  <si>
    <t>Long</t>
  </si>
  <si>
    <t>NewMF2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</si>
</sst>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IFERROR(__xludf.DUMMYFUNCTION("""COMPUTED_VALUE"""),"ShowMasterFundOnTT")</f>
        <v>ShowMasterFundOnTT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IFERROR(__xludf.DUMMYFUNCTION("""COMPUTED_VALUE"""),"MasterFund")</f>
        <v>MasterFund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18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IFERROR(__xludf.DUMMYFUNCTION("""COMPUTED_VALUE"""),"SharesOutstandingPopUpQty")</f>
        <v>SharesOutstandingPopUpQty</v>
      </c>
      <c r="AQ5" s="31" t="str">
        <f>IFERROR(__xludf.DUMMYFUNCTION("""COMPUTED_VALUE"""),"SharesOutstandingPopUp")</f>
        <v>SharesOutstandingPopUp</v>
      </c>
      <c r="AR5" s="31" t="str">
        <f>IFERROR(__xludf.DUMMYFUNCTION("""COMPUTED_VALUE"""),"ResAllowedListPopUp")</f>
        <v>ResAllowedListPopUp</v>
      </c>
      <c r="AS5" s="31" t="str">
        <f>IFERROR(__xludf.DUMMYFUNCTION("""COMPUTED_VALUE"""),"ChkBoxBookAsSwap")</f>
        <v>ChkBoxBookAsSwap</v>
      </c>
      <c r="AT5" s="31" t="str">
        <f>IFERROR(__xludf.DUMMYFUNCTION("""COMPUTED_VALUE"""),"Interest Rate")</f>
        <v>Interest Rate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20</v>
      </c>
      <c r="C6" s="35" t="s">
        <v>21</v>
      </c>
      <c r="D6" s="36">
        <v>100.0</v>
      </c>
      <c r="E6" s="37">
        <v>100.0</v>
      </c>
      <c r="F6" s="35" t="s">
        <v>22</v>
      </c>
      <c r="G6" s="35" t="s">
        <v>23</v>
      </c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21</v>
      </c>
      <c r="C6" s="13" t="s">
        <v>20</v>
      </c>
      <c r="D6" s="13"/>
      <c r="E6" s="32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21</v>
      </c>
      <c r="C6" s="13" t="s">
        <v>20</v>
      </c>
      <c r="D6" s="13"/>
      <c r="E6" s="32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90.0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6">
        <v>10.0</v>
      </c>
      <c r="C6" s="35"/>
      <c r="D6" s="34" t="s">
        <v>20</v>
      </c>
      <c r="E6" s="35"/>
      <c r="F6" s="35" t="s">
        <v>21</v>
      </c>
      <c r="G6" s="39" t="s">
        <v>30</v>
      </c>
      <c r="H6" s="37">
        <v>100.0</v>
      </c>
      <c r="I6" s="40">
        <v>90.0</v>
      </c>
      <c r="J6" s="40">
        <v>90.0</v>
      </c>
      <c r="K6" s="35"/>
      <c r="L6" s="35"/>
      <c r="M6" s="35"/>
      <c r="N6" s="35"/>
      <c r="O6" s="35"/>
      <c r="P6" s="41">
        <v>10.0</v>
      </c>
      <c r="Q6" s="35" t="s">
        <v>23</v>
      </c>
      <c r="R6" s="35" t="s">
        <v>22</v>
      </c>
      <c r="S6" s="35"/>
      <c r="T6" s="38" t="s">
        <v>31</v>
      </c>
      <c r="U6" s="42">
        <v>900.0</v>
      </c>
      <c r="V6" s="42">
        <v>900.0</v>
      </c>
      <c r="W6" s="38"/>
      <c r="X6" s="38"/>
      <c r="Y6" s="38"/>
      <c r="Z6" s="38"/>
      <c r="AA6" s="38"/>
      <c r="AB6" s="38"/>
      <c r="AC6" s="38"/>
      <c r="AD6" s="38" t="s">
        <v>18</v>
      </c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1")</f>
        <v>Trade Attribute 1</v>
      </c>
      <c r="N5" s="29" t="str">
        <f>IFERROR(__xludf.DUMMYFUNCTION("""COMPUTED_VALUE"""),"Trade Attribute 2")</f>
        <v>Trade Attribute 2</v>
      </c>
      <c r="O5" s="29" t="str">
        <f>IFERROR(__xludf.DUMMYFUNCTION("""COMPUTED_VALUE"""),"Trade Attribute 3")</f>
        <v>Trade Attribute 3</v>
      </c>
      <c r="P5" s="29" t="str">
        <f>IFERROR(__xludf.DUMMYFUNCTION("""COMPUTED_VALUE"""),"Trade Attribute 4")</f>
        <v>Trade Attribute 4</v>
      </c>
      <c r="Q5" s="29" t="str">
        <f>IFERROR(__xludf.DUMMYFUNCTION("""COMPUTED_VALUE"""),"Trade Attribute 5")</f>
        <v>Trade Attribute 5</v>
      </c>
      <c r="R5" s="29" t="str">
        <f>IFERROR(__xludf.DUMMYFUNCTION("""COMPUTED_VALUE"""),"Trade Attribute 6")</f>
        <v>Trade Attribute 6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FxRate Operator")</f>
        <v>Settlement FxRate Operator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IFERROR(__xludf.DUMMYFUNCTION("""COMPUTED_VALUE"""),"Put/Call")</f>
        <v>Put/Call</v>
      </c>
      <c r="X5" s="31" t="str">
        <f>IFERROR(__xludf.DUMMYFUNCTION("""COMPUTED_VALUE"""),"Process Date")</f>
        <v>Process Date</v>
      </c>
      <c r="Y5" s="31" t="str">
        <f>IFERROR(__xludf.DUMMYFUNCTION("""COMPUTED_VALUE"""),"Peg")</f>
        <v>Peg</v>
      </c>
      <c r="Z5" s="31" t="str">
        <f>IFERROR(__xludf.DUMMYFUNCTION("""COMPUTED_VALUE"""),"ParentClOrderID")</f>
        <v>ParentClOrderID</v>
      </c>
      <c r="AA5" s="31" t="str">
        <f>IFERROR(__xludf.DUMMYFUNCTION("""COMPUTED_VALUE"""),"OrderID")</f>
        <v>OrderID</v>
      </c>
      <c r="AB5" s="31" t="str">
        <f>IFERROR(__xludf.DUMMYFUNCTION("""COMPUTED_VALUE"""),"Master Fund")</f>
        <v>Master Fund</v>
      </c>
      <c r="AC5" s="31" t="str">
        <f>IFERROR(__xludf.DUMMYFUNCTION("""COMPUTED_VALUE"""),"Last Shares")</f>
        <v>Last Shares</v>
      </c>
      <c r="AD5" s="31" t="str">
        <f>IFERROR(__xludf.DUMMYFUNCTION("""COMPUTED_VALUE"""),"Internal Comments")</f>
        <v>Internal Comments</v>
      </c>
      <c r="AE5" s="31" t="str">
        <f>IFERROR(__xludf.DUMMYFUNCTION("""COMPUTED_VALUE"""),"FX Rate")</f>
        <v>FX Rate</v>
      </c>
      <c r="AF5" s="31" t="str">
        <f>IFERROR(__xludf.DUMMYFUNCTION("""COMPUTED_VALUE"""),"Imported File Name")</f>
        <v>Imported File Name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IFERROR(__xludf.DUMMYFUNCTION("""COMPUTED_VALUE"""),"Day Average Price")</f>
        <v>Day Average Price</v>
      </c>
      <c r="AI5" s="31" t="str">
        <f>IFERROR(__xludf.DUMMYFUNCTION("""COMPUTED_VALUE"""),"Asset Class")</f>
        <v>Asset Class</v>
      </c>
      <c r="AJ5" s="31" t="str">
        <f>IFERROR(__xludf.DUMMYFUNCTION("""COMPUTED_VALUE"""),"Symbol")</f>
        <v>Symbol</v>
      </c>
      <c r="AK5" s="31" t="str">
        <f>IFERROR(__xludf.DUMMYFUNCTION("""COMPUTED_VALUE"""),"Side")</f>
        <v>Side</v>
      </c>
      <c r="AL5" s="31" t="str">
        <f>IFERROR(__xludf.DUMMYFUNCTION("""COMPUTED_VALUE"""),"Status")</f>
        <v>Status</v>
      </c>
      <c r="AM5" s="31" t="str">
        <f>IFERROR(__xludf.DUMMYFUNCTION("""COMPUTED_VALUE"""),"Quantity")</f>
        <v>Quantity</v>
      </c>
      <c r="AN5" s="31" t="str">
        <f>IFERROR(__xludf.DUMMYFUNCTION("""COMPUTED_VALUE"""),"Executed Qty")</f>
        <v>Executed Qty</v>
      </c>
      <c r="AO5" s="31" t="str">
        <f>IFERROR(__xludf.DUMMYFUNCTION("""COMPUTED_VALUE"""),"% Executed")</f>
        <v>% Executed</v>
      </c>
      <c r="AP5" s="31" t="str">
        <f>IFERROR(__xludf.DUMMYFUNCTION("""COMPUTED_VALUE"""),"Day Executed Qty")</f>
        <v>Day Executed Qty</v>
      </c>
      <c r="AQ5" s="31" t="str">
        <f>IFERROR(__xludf.DUMMYFUNCTION("""COMPUTED_VALUE"""),"Remaining Qty")</f>
        <v>Remaining Qty</v>
      </c>
      <c r="AR5" s="31" t="str">
        <f>IFERROR(__xludf.DUMMYFUNCTION("""COMPUTED_VALUE"""),"Last Fill Price (Local)")</f>
        <v>Last Fill Price (Local)</v>
      </c>
      <c r="AS5" s="31" t="str">
        <f>IFERROR(__xludf.DUMMYFUNCTION("""COMPUTED_VALUE"""),"Avg Fill Price (Local)")</f>
        <v>Avg Fill Price (Local)</v>
      </c>
      <c r="AT5" s="31" t="str">
        <f>IFERROR(__xludf.DUMMYFUNCTION("""COMPUTED_VALUE"""),"Broker")</f>
        <v>Broker</v>
      </c>
      <c r="AU5" s="31" t="str">
        <f>IFERROR(__xludf.DUMMYFUNCTION("""COMPUTED_VALUE"""),"Account")</f>
        <v>Account</v>
      </c>
      <c r="AV5" s="31" t="str">
        <f>IFERROR(__xludf.DUMMYFUNCTION("""COMPUTED_VALUE"""),"Order Type")</f>
        <v>Order Type</v>
      </c>
      <c r="AW5" s="31" t="str">
        <f>IFERROR(__xludf.DUMMYFUNCTION("""COMPUTED_VALUE"""),"Principal Amount (Local)")</f>
        <v>Principal Amount (Local)</v>
      </c>
      <c r="AX5" s="31" t="str">
        <f>IFERROR(__xludf.DUMMYFUNCTION("""COMPUTED_VALUE"""),"Principal Amount (Base)")</f>
        <v>Principal Amount (Base)</v>
      </c>
      <c r="AY5" s="31" t="str">
        <f>IFERROR(__xludf.DUMMYFUNCTION("""COMPUTED_VALUE"""),"Settlement FxRate")</f>
        <v>Settlement FxRate</v>
      </c>
      <c r="AZ5" s="31" t="str">
        <f>IFERROR(__xludf.DUMMYFUNCTION("""COMPUTED_VALUE"""),"Settlement Price")</f>
        <v>Settlement Price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/>
      <c r="C6" s="35"/>
      <c r="D6" s="36">
        <v>10.0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 t="s">
        <v>18</v>
      </c>
      <c r="AC6" s="38"/>
      <c r="AD6" s="38"/>
      <c r="AE6" s="43">
        <v>1.0</v>
      </c>
      <c r="AF6" s="38"/>
      <c r="AG6" s="38" t="s">
        <v>33</v>
      </c>
      <c r="AH6" s="38"/>
      <c r="AI6" s="38" t="s">
        <v>34</v>
      </c>
      <c r="AJ6" s="38" t="s">
        <v>20</v>
      </c>
      <c r="AK6" s="38" t="s">
        <v>21</v>
      </c>
      <c r="AL6" s="39" t="s">
        <v>30</v>
      </c>
      <c r="AM6" s="43">
        <v>100.0</v>
      </c>
      <c r="AN6" s="42">
        <v>90.0</v>
      </c>
      <c r="AO6" s="42">
        <v>90.0</v>
      </c>
      <c r="AP6" s="38"/>
      <c r="AQ6" s="38"/>
      <c r="AR6" s="38"/>
      <c r="AS6" s="38"/>
      <c r="AT6" s="38" t="s">
        <v>23</v>
      </c>
      <c r="AU6" s="38" t="s">
        <v>22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GoToAllocation!$4:$4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IFERROR(__xludf.DUMMYFUNCTION("""COMPUTED_VALUE"""),"Quantity")</f>
        <v>Quantity</v>
      </c>
      <c r="D5" s="29" t="str">
        <f>IFERROR(__xludf.DUMMYFUNCTION("""COMPUTED_VALUE"""),"Trade Date")</f>
        <v>Trade Date</v>
      </c>
      <c r="E5" s="29" t="str">
        <f>IFERROR(__xludf.DUMMYFUNCTION("""COMPUTED_VALUE"""),"Account Name")</f>
        <v>Account Name</v>
      </c>
      <c r="F5" s="30" t="str">
        <f>IFERROR(__xludf.DUMMYFUNCTION("""COMPUTED_VALUE"""),"Side")</f>
        <v>Side</v>
      </c>
      <c r="G5" s="29" t="str">
        <f>IFERROR(__xludf.DUMMYFUNCTION("""COMPUTED_VALUE"""),"Group Status")</f>
        <v>Group Status</v>
      </c>
      <c r="H5" s="29" t="str">
        <f>IFERROR(__xludf.DUMMYFUNCTION("""COMPUTED_VALUE"""),"Avg Price(Base)")</f>
        <v>Avg Price(Base)</v>
      </c>
      <c r="I5" s="29" t="str">
        <f>IFERROR(__xludf.DUMMYFUNCTION("""COMPUTED_VALUE"""),"Execution Time")</f>
        <v>Execution Time</v>
      </c>
      <c r="J5" s="29" t="str">
        <f>IFERROR(__xludf.DUMMYFUNCTION("""COMPUTED_VALUE"""),"Trade Attribute 1")</f>
        <v>Trade Attribute 1</v>
      </c>
      <c r="K5" s="29" t="str">
        <f>IFERROR(__xludf.DUMMYFUNCTION("""COMPUTED_VALUE"""),"Avg Price(Local)")</f>
        <v>Avg Price(Local)</v>
      </c>
      <c r="L5" s="29" t="str">
        <f>IFERROR(__xludf.DUMMYFUNCTION("""COMPUTED_VALUE"""),"Trade Attribute 2")</f>
        <v>Trade Attribute 2</v>
      </c>
      <c r="M5" s="29" t="str">
        <f>IFERROR(__xludf.DUMMYFUNCTION("""COMPUTED_VALUE"""),"Accrued Interest")</f>
        <v>Accrued Interest</v>
      </c>
      <c r="N5" s="29" t="str">
        <f>IFERROR(__xludf.DUMMYFUNCTION("""COMPUTED_VALUE"""),"Commission")</f>
        <v>Commission</v>
      </c>
      <c r="O5" s="29" t="str">
        <f>IFERROR(__xludf.DUMMYFUNCTION("""COMPUTED_VALUE"""),"Soft Commission")</f>
        <v>Soft Commission</v>
      </c>
      <c r="P5" s="29" t="str">
        <f>IFERROR(__xludf.DUMMYFUNCTION("""COMPUTED_VALUE"""),"Broker")</f>
        <v>Broker</v>
      </c>
      <c r="Q5" s="29" t="str">
        <f>IFERROR(__xludf.DUMMYFUNCTION("""COMPUTED_VALUE"""),"Transaction Type")</f>
        <v>Transaction Type</v>
      </c>
      <c r="R5" s="29" t="str">
        <f>IFERROR(__xludf.DUMMYFUNCTION("""COMPUTED_VALUE"""),"AUEC Fee1")</f>
        <v>AUEC Fee1</v>
      </c>
      <c r="S5" s="29" t="str">
        <f>IFERROR(__xludf.DUMMYFUNCTION("""COMPUTED_VALUE"""),"AUEC Fee2")</f>
        <v>AUEC Fee2</v>
      </c>
      <c r="T5" s="31" t="str">
        <f>IFERROR(__xludf.DUMMYFUNCTION("""COMPUTED_VALUE"""),"Clearing Broker Fee")</f>
        <v>Clearing Broker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IFERROR(__xludf.DUMMYFUNCTION("""COMPUTED_VALUE"""),"OCC Fee")</f>
        <v>OCC Fee</v>
      </c>
      <c r="W5" s="31" t="str">
        <f>IFERROR(__xludf.DUMMYFUNCTION("""COMPUTED_VALUE"""),"SEC Fee")</f>
        <v>SEC Fee</v>
      </c>
      <c r="X5" s="31" t="str">
        <f>IFERROR(__xludf.DUMMYFUNCTION("""COMPUTED_VALUE"""),"ORF Fee")</f>
        <v>ORF Fee</v>
      </c>
      <c r="Y5" s="31" t="str">
        <f>IFERROR(__xludf.DUMMYFUNCTION("""COMPUTED_VALUE"""),"IsPreAllocated")</f>
        <v>IsPreAllocated</v>
      </c>
      <c r="Z5" s="31" t="str">
        <f>IFERROR(__xludf.DUMMYFUNCTION("""COMPUTED_VALUE"""),"Stamp Duty")</f>
        <v>Stamp Duty</v>
      </c>
      <c r="AA5" s="31" t="str">
        <f>IFERROR(__xludf.DUMMYFUNCTION("""COMPUTED_VALUE"""),"IsManual Group")</f>
        <v>IsManual Group</v>
      </c>
      <c r="AB5" s="31" t="str">
        <f>IFERROR(__xludf.DUMMYFUNCTION("""COMPUTED_VALUE"""),"Tax On Commissions")</f>
        <v>Tax On Commissions</v>
      </c>
      <c r="AC5" s="31" t="str">
        <f>IFERROR(__xludf.DUMMYFUNCTION("""COMPUTED_VALUE"""),"IsAnotherTaxlotAttributesUpdated")</f>
        <v>IsAnotherTaxlotAttributesUpdated</v>
      </c>
      <c r="AD5" s="31" t="str">
        <f>IFERROR(__xludf.DUMMYFUNCTION("""COMPUTED_VALUE"""),"ISNDF")</f>
        <v>ISNDF</v>
      </c>
      <c r="AE5" s="31" t="str">
        <f>IFERROR(__xludf.DUMMYFUNCTION("""COMPUTED_VALUE"""),"Transaction Levy")</f>
        <v>Transaction Levy</v>
      </c>
      <c r="AF5" s="31" t="str">
        <f>IFERROR(__xludf.DUMMYFUNCTION("""COMPUTED_VALUE"""),"Description")</f>
        <v>Description</v>
      </c>
      <c r="AG5" s="31" t="str">
        <f>IFERROR(__xludf.DUMMYFUNCTION("""COMPUTED_VALUE"""),"GroupID")</f>
        <v>GroupID</v>
      </c>
      <c r="AH5" s="31" t="str">
        <f>IFERROR(__xludf.DUMMYFUNCTION("""COMPUTED_VALUE"""),"Internal Comments")</f>
        <v>Internal Comments</v>
      </c>
      <c r="AI5" s="31" t="str">
        <f>IFERROR(__xludf.DUMMYFUNCTION("""COMPUTED_VALUE"""),"M2MProfitLoss")</f>
        <v>M2MProfitLoss</v>
      </c>
      <c r="AJ5" s="31" t="str">
        <f>IFERROR(__xludf.DUMMYFUNCTION("""COMPUTED_VALUE"""),"FX Rate")</f>
        <v>FX Rate</v>
      </c>
      <c r="AK5" s="31" t="str">
        <f>IFERROR(__xludf.DUMMYFUNCTION("""COMPUTED_VALUE"""),"FX Conversion Operator")</f>
        <v>FX Conversion Operator</v>
      </c>
      <c r="AL5" s="31" t="str">
        <f>IFERROR(__xludf.DUMMYFUNCTION("""COMPUTED_VALUE"""),"Trade Attribute 3")</f>
        <v>Trade Attribute 3</v>
      </c>
      <c r="AM5" s="31" t="str">
        <f>IFERROR(__xludf.DUMMYFUNCTION("""COMPUTED_VALUE"""),"Trade Attribute 4")</f>
        <v>Trade Attribute 4</v>
      </c>
      <c r="AN5" s="31" t="str">
        <f>IFERROR(__xludf.DUMMYFUNCTION("""COMPUTED_VALUE"""),"Trade Attribute 5")</f>
        <v>Trade Attribute 5</v>
      </c>
      <c r="AO5" s="31" t="str">
        <f>IFERROR(__xludf.DUMMYFUNCTION("""COMPUTED_VALUE"""),"Trade Attribute 6")</f>
        <v>Trade Attribute 6</v>
      </c>
      <c r="AP5" s="31" t="str">
        <f>IFERROR(__xludf.DUMMYFUNCTION("""COMPUTED_VALUE"""),"Put Or Call")</f>
        <v>Put Or Call</v>
      </c>
      <c r="AQ5" s="31" t="str">
        <f>IFERROR(__xludf.DUMMYFUNCTION("""COMPUTED_VALUE"""),"Allocated Qty")</f>
        <v>Allocated Qty</v>
      </c>
      <c r="AR5" s="31" t="str">
        <f>IFERROR(__xludf.DUMMYFUNCTION("""COMPUTED_VALUE"""),"Total Commission And Fee")</f>
        <v>Total Commission And Fee</v>
      </c>
      <c r="AS5" s="31" t="str">
        <f>IFERROR(__xludf.DUMMYFUNCTION("""COMPUTED_VALUE"""),"Executed Qty")</f>
        <v>Executed Qty</v>
      </c>
      <c r="AT5" s="31" t="str">
        <f>IFERROR(__xludf.DUMMYFUNCTION("""COMPUTED_VALUE"""),"Net Amount( Local)")</f>
        <v>Net Amount( Local)</v>
      </c>
      <c r="AU5" s="31" t="str">
        <f>IFERROR(__xludf.DUMMYFUNCTION("""COMPUTED_VALUE"""),"Net Amount( Base)")</f>
        <v>Net Amount( Base)</v>
      </c>
      <c r="AV5" s="31" t="str">
        <f>IFERROR(__xludf.DUMMYFUNCTION("""COMPUTED_VALUE"""),"UnAllocatedQty")</f>
        <v>UnAllocatedQty</v>
      </c>
      <c r="AW5" s="31" t="str">
        <f>IFERROR(__xludf.DUMMYFUNCTION("""COMPUTED_VALUE"""),"Option Premium Adjustment")</f>
        <v>Option Premium Adjustment</v>
      </c>
      <c r="AX5" s="31" t="str">
        <f>IFERROR(__xludf.DUMMYFUNCTION("""COMPUTED_VALUE"""),"Principal Amount( Local)")</f>
        <v>Principal Amount( Local)</v>
      </c>
      <c r="AY5" s="31" t="str">
        <f>IFERROR(__xludf.DUMMYFUNCTION("""COMPUTED_VALUE"""),"Principal Amount( Base)")</f>
        <v>Principal Amount( Base)</v>
      </c>
      <c r="AZ5" s="31" t="str">
        <f>IFERROR(__xludf.DUMMYFUNCTION("""COMPUTED_VALUE"""),"Settlement Currency")</f>
        <v>Settlement Currency</v>
      </c>
      <c r="BA5" s="31" t="str">
        <f>IFERROR(__xludf.DUMMYFUNCTION("""COMPUTED_VALUE"""),"User")</f>
        <v>User</v>
      </c>
      <c r="BB5" s="31" t="str">
        <f>IFERROR(__xludf.DUMMYFUNCTION("""COMPUTED_VALUE"""),"Asset Category")</f>
        <v>Asset Category</v>
      </c>
      <c r="BC5" s="31" t="str">
        <f>IFERROR(__xludf.DUMMYFUNCTION("""COMPUTED_VALUE"""),"Change Type")</f>
        <v>Change Type</v>
      </c>
      <c r="BD5" s="31" t="str">
        <f>IFERROR(__xludf.DUMMYFUNCTION("""COMPUTED_VALUE"""),"Strategy Name")</f>
        <v>Strategy Name</v>
      </c>
      <c r="BE5" s="31" t="str">
        <f>IFERROR(__xludf.DUMMYFUNCTION("""COMPUTED_VALUE"""),"Prana Msg Type")</f>
        <v>Prana Msg Type</v>
      </c>
      <c r="BF5" s="31" t="str">
        <f>IFERROR(__xludf.DUMMYFUNCTION("""COMPUTED_VALUE"""),"Total Commission")</f>
        <v>Total Commission</v>
      </c>
      <c r="BG5" s="31" t="str">
        <f>IFERROR(__xludf.DUMMYFUNCTION("""COMPUTED_VALUE"""),"Commission Per Share")</f>
        <v>Commission Per Share</v>
      </c>
      <c r="BH5" s="31" t="str">
        <f>IFERROR(__xludf.DUMMYFUNCTION("""COMPUTED_VALUE"""),"Soft Commission Per Share")</f>
        <v>Soft Commission Per Share</v>
      </c>
      <c r="BI5" s="31" t="str">
        <f>IFERROR(__xludf.DUMMYFUNCTION("""COMPUTED_VALUE"""),"Total Commission Per Share")</f>
        <v>Total Commission Per Share</v>
      </c>
      <c r="BJ5" s="31" t="str">
        <f>IFERROR(__xludf.DUMMYFUNCTION("""COMPUTED_VALUE"""),"Closing Status")</f>
        <v>Closing Status</v>
      </c>
      <c r="BK5" s="31" t="str">
        <f>IFERROR(__xludf.DUMMYFUNCTION("""COMPUTED_VALUE"""),"Closing Method")</f>
        <v>Closing Method</v>
      </c>
      <c r="BL5" s="31" t="str">
        <f>IFERROR(__xludf.DUMMYFUNCTION("""COMPUTED_VALUE"""),"Allocation Scheme Name")</f>
        <v>Allocation Scheme Name</v>
      </c>
      <c r="BM5" s="31" t="str">
        <f>IFERROR(__xludf.DUMMYFUNCTION("""COMPUTED_VALUE"""),"Change Comment")</f>
        <v>Change Comment</v>
      </c>
      <c r="BN5" s="31" t="str">
        <f>IFERROR(__xludf.DUMMYFUNCTION("""COMPUTED_VALUE"""),"Order Type")</f>
        <v>Order Type</v>
      </c>
      <c r="BO5" s="31" t="str">
        <f>IFERROR(__xludf.DUMMYFUNCTION("""COMPUTED_VALUE"""),"Underlying")</f>
        <v>Underlying</v>
      </c>
      <c r="BP5" s="31" t="str">
        <f>IFERROR(__xludf.DUMMYFUNCTION("""COMPUTED_VALUE"""),"Exchange")</f>
        <v>Exchange</v>
      </c>
      <c r="BQ5" s="31" t="str">
        <f>IFERROR(__xludf.DUMMYFUNCTION("""COMPUTED_VALUE"""),"Currency")</f>
        <v>Currency</v>
      </c>
      <c r="BR5" s="31" t="str">
        <f>IFERROR(__xludf.DUMMYFUNCTION("""COMPUTED_VALUE"""),"AUECID")</f>
        <v>AUECID</v>
      </c>
      <c r="BS5" s="31" t="str">
        <f>IFERROR(__xludf.DUMMYFUNCTION("""COMPUTED_VALUE"""),"Trading Account")</f>
        <v>Trading Account</v>
      </c>
      <c r="BT5" s="31" t="str">
        <f>IFERROR(__xludf.DUMMYFUNCTION("""COMPUTED_VALUE"""),"Venue")</f>
        <v>Venue</v>
      </c>
      <c r="BU5" s="31" t="str">
        <f>IFERROR(__xludf.DUMMYFUNCTION("""COMPUTED_VALUE"""),"Cum Qty For Sub Order")</f>
        <v>Cum Qty For Sub Order</v>
      </c>
      <c r="BV5" s="31" t="str">
        <f>IFERROR(__xludf.DUMMYFUNCTION("""COMPUTED_VALUE"""),"Contract Multiplier")</f>
        <v>Contract Multiplier</v>
      </c>
      <c r="BW5" s="31" t="str">
        <f>IFERROR(__xludf.DUMMYFUNCTION("""COMPUTED_VALUE"""),"Company")</f>
        <v>Company</v>
      </c>
      <c r="BX5" s="31" t="str">
        <f>IFERROR(__xludf.DUMMYFUNCTION("""COMPUTED_VALUE"""),"Nirvana Process Date")</f>
        <v>Nirvana Process Date</v>
      </c>
      <c r="BY5" s="31" t="str">
        <f>IFERROR(__xludf.DUMMYFUNCTION("""COMPUTED_VALUE"""),"Process Date")</f>
        <v>Process Date</v>
      </c>
      <c r="BZ5" s="31" t="str">
        <f>IFERROR(__xludf.DUMMYFUNCTION("""COMPUTED_VALUE"""),"Original Purchase Date")</f>
        <v>Original Purchase Date</v>
      </c>
      <c r="CA5" s="31" t="str">
        <f>IFERROR(__xludf.DUMMYFUNCTION("""COMPUTED_VALUE"""),"Closing Date")</f>
        <v>Closing Date</v>
      </c>
      <c r="CB5" s="31" t="str">
        <f>IFERROR(__xludf.DUMMYFUNCTION("""COMPUTED_VALUE"""),"Settlement Date")</f>
        <v>Settlement Date</v>
      </c>
      <c r="CC5" s="31" t="str">
        <f>IFERROR(__xludf.DUMMYFUNCTION("""COMPUTED_VALUE"""),"Expiration Date")</f>
        <v>Expiration Date</v>
      </c>
      <c r="CD5" s="31" t="str">
        <f>IFERROR(__xludf.DUMMYFUNCTION("""COMPUTED_VALUE"""),"Underlying Symbol")</f>
        <v>Underlying Symbol</v>
      </c>
      <c r="CE5" s="31" t="str">
        <f>IFERROR(__xludf.DUMMYFUNCTION("""COMPUTED_VALUE"""),"Accrual Basis")</f>
        <v>Accrual Basis</v>
      </c>
      <c r="CF5" s="31" t="str">
        <f>IFERROR(__xludf.DUMMYFUNCTION("""COMPUTED_VALUE"""),"Bond Type")</f>
        <v>Bond Type</v>
      </c>
      <c r="CG5" s="31" t="str">
        <f>IFERROR(__xludf.DUMMYFUNCTION("""COMPUTED_VALUE"""),"Coupon Rate")</f>
        <v>Coupon Rate</v>
      </c>
      <c r="CH5" s="31" t="str">
        <f>IFERROR(__xludf.DUMMYFUNCTION("""COMPUTED_VALUE"""),"Delta")</f>
        <v>Delta</v>
      </c>
      <c r="CI5" s="31" t="str">
        <f>IFERROR(__xludf.DUMMYFUNCTION("""COMPUTED_VALUE"""),"Bloomberg")</f>
        <v>Bloomberg</v>
      </c>
      <c r="CJ5" s="31" t="str">
        <f>IFERROR(__xludf.DUMMYFUNCTION("""COMPUTED_VALUE"""),"Sedol Symbol")</f>
        <v>Sedol Symbol</v>
      </c>
      <c r="CK5" s="31" t="str">
        <f>IFERROR(__xludf.DUMMYFUNCTION("""COMPUTED_VALUE"""),"Cusip Symbol")</f>
        <v>Cusip Symbol</v>
      </c>
      <c r="CL5" s="31" t="str">
        <f>IFERROR(__xludf.DUMMYFUNCTION("""COMPUTED_VALUE"""),"ISIN")</f>
        <v>ISIN</v>
      </c>
      <c r="CM5" s="31" t="str">
        <f>IFERROR(__xludf.DUMMYFUNCTION("""COMPUTED_VALUE"""),"OSISSymbol")</f>
        <v>OSISSymbol</v>
      </c>
      <c r="CN5" s="31" t="str">
        <f>IFERROR(__xludf.DUMMYFUNCTION("""COMPUTED_VALUE"""),"IDCOSymbol")</f>
        <v>IDCOSymbol</v>
      </c>
      <c r="CO5" s="31" t="str">
        <f>IFERROR(__xludf.DUMMYFUNCTION("""COMPUTED_VALUE"""),"Underlying Delta")</f>
        <v>Underlying Delta</v>
      </c>
      <c r="CP5" s="31" t="str">
        <f>IFERROR(__xludf.DUMMYFUNCTION("""COMPUTED_VALUE"""),"Proxy Symbol")</f>
        <v>Proxy Symbol</v>
      </c>
      <c r="CQ5" s="31" t="str">
        <f>IFERROR(__xludf.DUMMYFUNCTION("""COMPUTED_VALUE"""),"Transaction Source")</f>
        <v>Transaction Source</v>
      </c>
      <c r="CR5" s="31" t="str">
        <f>IFERROR(__xludf.DUMMYFUNCTION("""COMPUTED_VALUE"""),"Import File Name")</f>
        <v>Import File Name</v>
      </c>
      <c r="CS5" s="31" t="str">
        <f>IFERROR(__xludf.DUMMYFUNCTION("""COMPUTED_VALUE"""),"MasterFund")</f>
        <v>MasterFund</v>
      </c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20</v>
      </c>
      <c r="C6" s="37">
        <v>100.0</v>
      </c>
      <c r="D6" s="34"/>
      <c r="E6" s="35" t="s">
        <v>22</v>
      </c>
      <c r="F6" s="35" t="s">
        <v>21</v>
      </c>
      <c r="G6" s="35"/>
      <c r="H6" s="37">
        <v>10.0</v>
      </c>
      <c r="I6" s="35"/>
      <c r="J6" s="35"/>
      <c r="K6" s="35"/>
      <c r="L6" s="35"/>
      <c r="M6" s="35"/>
      <c r="N6" s="35"/>
      <c r="O6" s="35"/>
      <c r="P6" s="35" t="s">
        <v>23</v>
      </c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43">
        <v>1.0</v>
      </c>
      <c r="AK6" s="38" t="s">
        <v>33</v>
      </c>
      <c r="AL6" s="38"/>
      <c r="AM6" s="38"/>
      <c r="AN6" s="38"/>
      <c r="AO6" s="38"/>
      <c r="AP6" s="38"/>
      <c r="AQ6" s="42">
        <v>90.0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IFERROR(__xludf.DUMMYFUNCTION("""COMPUTED_VALUE"""),"Account Percentage")</f>
        <v>Account Percentage</v>
      </c>
      <c r="D5" s="29" t="str">
        <f>IFERROR(__xludf.DUMMYFUNCTION("""COMPUTED_VALUE"""),"Account Quantity")</f>
        <v>Account Quantity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37</v>
      </c>
      <c r="C6" s="37">
        <v>50.0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38</v>
      </c>
      <c r="C7" s="44">
        <v>50.0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6">
        <v>10.0</v>
      </c>
      <c r="C6" s="35"/>
      <c r="D6" s="34" t="s">
        <v>20</v>
      </c>
      <c r="E6" s="35"/>
      <c r="F6" s="35" t="s">
        <v>21</v>
      </c>
      <c r="G6" s="39" t="s">
        <v>30</v>
      </c>
      <c r="H6" s="37">
        <v>100.0</v>
      </c>
      <c r="I6" s="40">
        <v>90.0</v>
      </c>
      <c r="J6" s="40">
        <v>90.0</v>
      </c>
      <c r="K6" s="35"/>
      <c r="L6" s="35"/>
      <c r="M6" s="35"/>
      <c r="N6" s="35"/>
      <c r="O6" s="35"/>
      <c r="P6" s="41">
        <v>10.0</v>
      </c>
      <c r="Q6" s="35" t="s">
        <v>23</v>
      </c>
      <c r="R6" s="35" t="s">
        <v>22</v>
      </c>
      <c r="S6" s="35"/>
      <c r="T6" s="38" t="s">
        <v>31</v>
      </c>
      <c r="U6" s="42">
        <v>900.0</v>
      </c>
      <c r="V6" s="42">
        <v>900.0</v>
      </c>
      <c r="W6" s="38"/>
      <c r="X6" s="38"/>
      <c r="Y6" s="38"/>
      <c r="Z6" s="38"/>
      <c r="AA6" s="38"/>
      <c r="AB6" s="38"/>
      <c r="AC6" s="38"/>
      <c r="AD6" s="38" t="s">
        <v>18</v>
      </c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1")</f>
        <v>Trade Attribute 1</v>
      </c>
      <c r="N5" s="29" t="str">
        <f>IFERROR(__xludf.DUMMYFUNCTION("""COMPUTED_VALUE"""),"Trade Attribute 2")</f>
        <v>Trade Attribute 2</v>
      </c>
      <c r="O5" s="29" t="str">
        <f>IFERROR(__xludf.DUMMYFUNCTION("""COMPUTED_VALUE"""),"Trade Attribute 3")</f>
        <v>Trade Attribute 3</v>
      </c>
      <c r="P5" s="29" t="str">
        <f>IFERROR(__xludf.DUMMYFUNCTION("""COMPUTED_VALUE"""),"Trade Attribute 4")</f>
        <v>Trade Attribute 4</v>
      </c>
      <c r="Q5" s="29" t="str">
        <f>IFERROR(__xludf.DUMMYFUNCTION("""COMPUTED_VALUE"""),"Trade Attribute 5")</f>
        <v>Trade Attribute 5</v>
      </c>
      <c r="R5" s="29" t="str">
        <f>IFERROR(__xludf.DUMMYFUNCTION("""COMPUTED_VALUE"""),"Trade Attribute 6")</f>
        <v>Trade Attribute 6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FxRate Operator")</f>
        <v>Settlement FxRate Operator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IFERROR(__xludf.DUMMYFUNCTION("""COMPUTED_VALUE"""),"Put/Call")</f>
        <v>Put/Call</v>
      </c>
      <c r="X5" s="31" t="str">
        <f>IFERROR(__xludf.DUMMYFUNCTION("""COMPUTED_VALUE"""),"Process Date")</f>
        <v>Process Date</v>
      </c>
      <c r="Y5" s="31" t="str">
        <f>IFERROR(__xludf.DUMMYFUNCTION("""COMPUTED_VALUE"""),"Peg")</f>
        <v>Peg</v>
      </c>
      <c r="Z5" s="31" t="str">
        <f>IFERROR(__xludf.DUMMYFUNCTION("""COMPUTED_VALUE"""),"ParentClOrderID")</f>
        <v>ParentClOrderID</v>
      </c>
      <c r="AA5" s="31" t="str">
        <f>IFERROR(__xludf.DUMMYFUNCTION("""COMPUTED_VALUE"""),"OrderID")</f>
        <v>OrderID</v>
      </c>
      <c r="AB5" s="31" t="str">
        <f>IFERROR(__xludf.DUMMYFUNCTION("""COMPUTED_VALUE"""),"Master Fund")</f>
        <v>Master Fund</v>
      </c>
      <c r="AC5" s="31" t="str">
        <f>IFERROR(__xludf.DUMMYFUNCTION("""COMPUTED_VALUE"""),"Last Shares")</f>
        <v>Last Shares</v>
      </c>
      <c r="AD5" s="31" t="str">
        <f>IFERROR(__xludf.DUMMYFUNCTION("""COMPUTED_VALUE"""),"Internal Comments")</f>
        <v>Internal Comments</v>
      </c>
      <c r="AE5" s="31" t="str">
        <f>IFERROR(__xludf.DUMMYFUNCTION("""COMPUTED_VALUE"""),"FX Rate")</f>
        <v>FX Rate</v>
      </c>
      <c r="AF5" s="31" t="str">
        <f>IFERROR(__xludf.DUMMYFUNCTION("""COMPUTED_VALUE"""),"Imported File Name")</f>
        <v>Imported File Name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IFERROR(__xludf.DUMMYFUNCTION("""COMPUTED_VALUE"""),"Day Average Price")</f>
        <v>Day Average Price</v>
      </c>
      <c r="AI5" s="31" t="str">
        <f>IFERROR(__xludf.DUMMYFUNCTION("""COMPUTED_VALUE"""),"Asset Class")</f>
        <v>Asset Class</v>
      </c>
      <c r="AJ5" s="31" t="str">
        <f>IFERROR(__xludf.DUMMYFUNCTION("""COMPUTED_VALUE"""),"Symbol")</f>
        <v>Symbol</v>
      </c>
      <c r="AK5" s="31" t="str">
        <f>IFERROR(__xludf.DUMMYFUNCTION("""COMPUTED_VALUE"""),"Side")</f>
        <v>Side</v>
      </c>
      <c r="AL5" s="31" t="str">
        <f>IFERROR(__xludf.DUMMYFUNCTION("""COMPUTED_VALUE"""),"Status")</f>
        <v>Status</v>
      </c>
      <c r="AM5" s="31" t="str">
        <f>IFERROR(__xludf.DUMMYFUNCTION("""COMPUTED_VALUE"""),"Quantity")</f>
        <v>Quantity</v>
      </c>
      <c r="AN5" s="31" t="str">
        <f>IFERROR(__xludf.DUMMYFUNCTION("""COMPUTED_VALUE"""),"Executed Qty")</f>
        <v>Executed Qty</v>
      </c>
      <c r="AO5" s="31" t="str">
        <f>IFERROR(__xludf.DUMMYFUNCTION("""COMPUTED_VALUE"""),"% Executed")</f>
        <v>% Executed</v>
      </c>
      <c r="AP5" s="31" t="str">
        <f>IFERROR(__xludf.DUMMYFUNCTION("""COMPUTED_VALUE"""),"Day Executed Qty")</f>
        <v>Day Executed Qty</v>
      </c>
      <c r="AQ5" s="31" t="str">
        <f>IFERROR(__xludf.DUMMYFUNCTION("""COMPUTED_VALUE"""),"Remaining Qty")</f>
        <v>Remaining Qty</v>
      </c>
      <c r="AR5" s="31" t="str">
        <f>IFERROR(__xludf.DUMMYFUNCTION("""COMPUTED_VALUE"""),"Last Fill Price (Local)")</f>
        <v>Last Fill Price (Local)</v>
      </c>
      <c r="AS5" s="31" t="str">
        <f>IFERROR(__xludf.DUMMYFUNCTION("""COMPUTED_VALUE"""),"Avg Fill Price (Local)")</f>
        <v>Avg Fill Price (Local)</v>
      </c>
      <c r="AT5" s="31" t="str">
        <f>IFERROR(__xludf.DUMMYFUNCTION("""COMPUTED_VALUE"""),"Broker")</f>
        <v>Broker</v>
      </c>
      <c r="AU5" s="31" t="str">
        <f>IFERROR(__xludf.DUMMYFUNCTION("""COMPUTED_VALUE"""),"Account")</f>
        <v>Account</v>
      </c>
      <c r="AV5" s="31" t="str">
        <f>IFERROR(__xludf.DUMMYFUNCTION("""COMPUTED_VALUE"""),"Order Type")</f>
        <v>Order Type</v>
      </c>
      <c r="AW5" s="31" t="str">
        <f>IFERROR(__xludf.DUMMYFUNCTION("""COMPUTED_VALUE"""),"Principal Amount (Local)")</f>
        <v>Principal Amount (Local)</v>
      </c>
      <c r="AX5" s="31" t="str">
        <f>IFERROR(__xludf.DUMMYFUNCTION("""COMPUTED_VALUE"""),"Principal Amount (Base)")</f>
        <v>Principal Amount (Base)</v>
      </c>
      <c r="AY5" s="31" t="str">
        <f>IFERROR(__xludf.DUMMYFUNCTION("""COMPUTED_VALUE"""),"Settlement FxRate")</f>
        <v>Settlement FxRate</v>
      </c>
      <c r="AZ5" s="31" t="str">
        <f>IFERROR(__xludf.DUMMYFUNCTION("""COMPUTED_VALUE"""),"Settlement Price")</f>
        <v>Settlement Price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/>
      <c r="C6" s="35"/>
      <c r="D6" s="36">
        <v>10.0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 t="s">
        <v>40</v>
      </c>
      <c r="AC6" s="38"/>
      <c r="AD6" s="38"/>
      <c r="AE6" s="43">
        <v>1.0</v>
      </c>
      <c r="AF6" s="38"/>
      <c r="AG6" s="38" t="s">
        <v>33</v>
      </c>
      <c r="AH6" s="38"/>
      <c r="AI6" s="38" t="s">
        <v>34</v>
      </c>
      <c r="AJ6" s="38" t="s">
        <v>20</v>
      </c>
      <c r="AK6" s="38" t="s">
        <v>21</v>
      </c>
      <c r="AL6" s="45" t="s">
        <v>30</v>
      </c>
      <c r="AM6" s="43">
        <v>100.0</v>
      </c>
      <c r="AN6" s="42">
        <v>90.0</v>
      </c>
      <c r="AO6" s="42">
        <v>90.0</v>
      </c>
      <c r="AP6" s="38"/>
      <c r="AQ6" s="38"/>
      <c r="AR6" s="38"/>
      <c r="AS6" s="38"/>
      <c r="AT6" s="38"/>
      <c r="AU6" s="38" t="s">
        <v>40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IFERROR(__xludf.DUMMYFUNCTION("""COMPUTED_VALUE"""),"MasterFund")</f>
        <v>MasterFund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IFERROR(__xludf.DUMMYFUNCTION("""COMPUTED_VALUE"""),"SharesOutstandingPopUp")</f>
        <v>SharesOutstandingPopUp</v>
      </c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20</v>
      </c>
      <c r="C6" s="35" t="s">
        <v>21</v>
      </c>
      <c r="D6" s="36">
        <v>200.0</v>
      </c>
      <c r="E6" s="37">
        <v>200.0</v>
      </c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21</v>
      </c>
      <c r="C6" s="13" t="s">
        <v>20</v>
      </c>
      <c r="D6" s="13"/>
      <c r="E6" s="32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21</v>
      </c>
      <c r="C6" s="13" t="s">
        <v>20</v>
      </c>
      <c r="D6" s="13"/>
      <c r="E6" s="32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110.0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/>
      <c r="C6" s="35"/>
      <c r="D6" s="36">
        <v>10.0</v>
      </c>
      <c r="E6" s="35"/>
      <c r="F6" s="35"/>
      <c r="G6" s="37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 t="s">
        <v>18</v>
      </c>
      <c r="AB6" s="38"/>
      <c r="AC6" s="38"/>
      <c r="AD6" s="43">
        <v>1.0</v>
      </c>
      <c r="AE6" s="38"/>
      <c r="AF6" s="38" t="s">
        <v>33</v>
      </c>
      <c r="AG6" s="38"/>
      <c r="AH6" s="38" t="s">
        <v>34</v>
      </c>
      <c r="AI6" s="38" t="s">
        <v>20</v>
      </c>
      <c r="AJ6" s="38" t="s">
        <v>21</v>
      </c>
      <c r="AK6" s="45" t="s">
        <v>43</v>
      </c>
      <c r="AL6" s="43">
        <v>200.0</v>
      </c>
      <c r="AM6" s="42">
        <v>200.0</v>
      </c>
      <c r="AN6" s="45">
        <v>100.0</v>
      </c>
      <c r="AO6" s="38"/>
      <c r="AP6" s="38"/>
      <c r="AQ6" s="38"/>
      <c r="AR6" s="43">
        <v>10.0</v>
      </c>
      <c r="AS6" s="38" t="s">
        <v>23</v>
      </c>
      <c r="AT6" s="38" t="s">
        <v>22</v>
      </c>
      <c r="AU6" s="38" t="s">
        <v>31</v>
      </c>
      <c r="AV6" s="42">
        <v>2000.0</v>
      </c>
      <c r="AW6" s="42">
        <v>2000.0</v>
      </c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IFERROR(__xludf.DUMMYFUNCTION("""COMPUTED_VALUE"""),"Side")</f>
        <v>Side</v>
      </c>
      <c r="D5" s="29" t="str">
        <f>IFERROR(__xludf.DUMMYFUNCTION("""COMPUTED_VALUE"""),"Quantity")</f>
        <v>Quantity</v>
      </c>
      <c r="E5" s="29" t="str">
        <f>IFERROR(__xludf.DUMMYFUNCTION("""COMPUTED_VALUE"""),"Executed Qty")</f>
        <v>Executed Qty</v>
      </c>
      <c r="F5" s="30" t="str">
        <f>IFERROR(__xludf.DUMMYFUNCTION("""COMPUTED_VALUE"""),"Unexecuted Qty")</f>
        <v>Unexecuted Qty</v>
      </c>
      <c r="G5" s="29" t="str">
        <f>IFERROR(__xludf.DUMMYFUNCTION("""COMPUTED_VALUE"""),"Status")</f>
        <v>Status</v>
      </c>
      <c r="H5" s="29" t="str">
        <f>IFERROR(__xludf.DUMMYFUNCTION("""COMPUTED_VALUE"""),"Last Shares")</f>
        <v>Last Shares</v>
      </c>
      <c r="I5" s="29" t="str">
        <f>IFERROR(__xludf.DUMMYFUNCTION("""COMPUTED_VALUE"""),"Last Fill Price (Local)")</f>
        <v>Last Fill Price (Local)</v>
      </c>
      <c r="J5" s="29" t="str">
        <f>IFERROR(__xludf.DUMMYFUNCTION("""COMPUTED_VALUE"""),"Avg Fill Price (Local)")</f>
        <v>Avg Fill Price (Local)</v>
      </c>
      <c r="K5" s="29" t="str">
        <f>IFERROR(__xludf.DUMMYFUNCTION("""COMPUTED_VALUE"""),"Broker")</f>
        <v>Broker</v>
      </c>
      <c r="L5" s="29" t="str">
        <f>IFERROR(__xludf.DUMMYFUNCTION("""COMPUTED_VALUE"""),"Account")</f>
        <v>Account</v>
      </c>
      <c r="M5" s="29" t="str">
        <f>IFERROR(__xludf.DUMMYFUNCTION("""COMPUTED_VALUE"""),"Order Type")</f>
        <v>Order Type</v>
      </c>
      <c r="N5" s="29" t="str">
        <f>IFERROR(__xludf.DUMMYFUNCTION("""COMPUTED_VALUE"""),"OrderStatus")</f>
        <v>OrderStatus</v>
      </c>
      <c r="O5" s="29" t="str">
        <f>IFERROR(__xludf.DUMMYFUNCTION("""COMPUTED_VALUE"""),"Avg Fill Price (Base)")</f>
        <v>Avg Fill Price (Base)</v>
      </c>
      <c r="P5" s="29" t="str">
        <f>IFERROR(__xludf.DUMMYFUNCTION("""COMPUTED_VALUE"""),"Limit Price")</f>
        <v>Limit Price</v>
      </c>
      <c r="Q5" s="29" t="str">
        <f>IFERROR(__xludf.DUMMYFUNCTION("""COMPUTED_VALUE"""),"Stop Price")</f>
        <v>Stop Price</v>
      </c>
      <c r="R5" s="29" t="str">
        <f>IFERROR(__xludf.DUMMYFUNCTION("""COMPUTED_VALUE"""),"Actual User")</f>
        <v>Actual User</v>
      </c>
      <c r="S5" s="29" t="str">
        <f>IFERROR(__xludf.DUMMYFUNCTION("""COMPUTED_VALUE"""),"Bloomberg Symbol")</f>
        <v>Bloomberg Symbol</v>
      </c>
      <c r="T5" s="31" t="str">
        <f>IFERROR(__xludf.DUMMYFUNCTION("""COMPUTED_VALUE"""),"Algo")</f>
        <v>Algo</v>
      </c>
      <c r="U5" s="31" t="str">
        <f>IFERROR(__xludf.DUMMYFUNCTION("""COMPUTED_VALUE"""),"Allocation Scheme Name")</f>
        <v>Allocation Scheme Name</v>
      </c>
      <c r="V5" s="31" t="str">
        <f>IFERROR(__xludf.DUMMYFUNCTION("""COMPUTED_VALUE"""),"Allocation Status")</f>
        <v>Allocation Status</v>
      </c>
      <c r="W5" s="31" t="str">
        <f>IFERROR(__xludf.DUMMYFUNCTION("""COMPUTED_VALUE"""),"Asset Class")</f>
        <v>Asset Class</v>
      </c>
      <c r="X5" s="31" t="str">
        <f>IFERROR(__xludf.DUMMYFUNCTION("""COMPUTED_VALUE"""),"FX Conversion Operator")</f>
        <v>FX Conversion Operator</v>
      </c>
      <c r="Y5" s="31" t="str">
        <f>IFERROR(__xludf.DUMMYFUNCTION("""COMPUTED_VALUE"""),"FX Rate")</f>
        <v>FX Rate</v>
      </c>
      <c r="Z5" s="31" t="str">
        <f>IFERROR(__xludf.DUMMYFUNCTION("""COMPUTED_VALUE"""),"Imported File Name")</f>
        <v>Imported File Name</v>
      </c>
      <c r="AA5" s="31" t="str">
        <f>IFERROR(__xludf.DUMMYFUNCTION("""COMPUTED_VALUE"""),"Internal Comments")</f>
        <v>Internal Comments</v>
      </c>
      <c r="AB5" s="31" t="str">
        <f>IFERROR(__xludf.DUMMYFUNCTION("""COMPUTED_VALUE"""),"Peg")</f>
        <v>Peg</v>
      </c>
      <c r="AC5" s="31" t="str">
        <f>IFERROR(__xludf.DUMMYFUNCTION("""COMPUTED_VALUE"""),"Principal Amount (Base)")</f>
        <v>Principal Amount (Base)</v>
      </c>
      <c r="AD5" s="31" t="str">
        <f>IFERROR(__xludf.DUMMYFUNCTION("""COMPUTED_VALUE"""),"Principal Amount (Local)")</f>
        <v>Principal Amount (Local)</v>
      </c>
      <c r="AE5" s="31" t="str">
        <f>IFERROR(__xludf.DUMMYFUNCTION("""COMPUTED_VALUE"""),"Process Date")</f>
        <v>Process Date</v>
      </c>
      <c r="AF5" s="31" t="str">
        <f>IFERROR(__xludf.DUMMYFUNCTION("""COMPUTED_VALUE"""),"Put/Call")</f>
        <v>Put/Call</v>
      </c>
      <c r="AG5" s="31" t="str">
        <f>IFERROR(__xludf.DUMMYFUNCTION("""COMPUTED_VALUE"""),"Settlement Currency")</f>
        <v>Settlement Currency</v>
      </c>
      <c r="AH5" s="31" t="str">
        <f>IFERROR(__xludf.DUMMYFUNCTION("""COMPUTED_VALUE"""),"Source")</f>
        <v>Source</v>
      </c>
      <c r="AI5" s="31" t="str">
        <f>IFERROR(__xludf.DUMMYFUNCTION("""COMPUTED_VALUE"""),"Status (With Rollover)")</f>
        <v>Status (With Rollover)</v>
      </c>
      <c r="AJ5" s="31" t="str">
        <f>IFERROR(__xludf.DUMMYFUNCTION("""COMPUTED_VALUE"""),"Strategy")</f>
        <v>Strategy</v>
      </c>
      <c r="AK5" s="31" t="str">
        <f>IFERROR(__xludf.DUMMYFUNCTION("""COMPUTED_VALUE"""),"Strike Price")</f>
        <v>Strike Price</v>
      </c>
      <c r="AL5" s="31" t="str">
        <f>IFERROR(__xludf.DUMMYFUNCTION("""COMPUTED_VALUE"""),"Trade Attribute 1")</f>
        <v>Trade Attribute 1</v>
      </c>
      <c r="AM5" s="31" t="str">
        <f>IFERROR(__xludf.DUMMYFUNCTION("""COMPUTED_VALUE"""),"Trade Attribute 2")</f>
        <v>Trade Attribute 2</v>
      </c>
      <c r="AN5" s="31" t="str">
        <f>IFERROR(__xludf.DUMMYFUNCTION("""COMPUTED_VALUE"""),"Trade Attribute 3")</f>
        <v>Trade Attribute 3</v>
      </c>
      <c r="AO5" s="31" t="str">
        <f>IFERROR(__xludf.DUMMYFUNCTION("""COMPUTED_VALUE"""),"Trade Attribute 4")</f>
        <v>Trade Attribute 4</v>
      </c>
      <c r="AP5" s="31" t="str">
        <f>IFERROR(__xludf.DUMMYFUNCTION("""COMPUTED_VALUE"""),"Trade Attribute 5")</f>
        <v>Trade Attribute 5</v>
      </c>
      <c r="AQ5" s="31" t="str">
        <f>IFERROR(__xludf.DUMMYFUNCTION("""COMPUTED_VALUE"""),"Trade Attribute 6")</f>
        <v>Trade Attribute 6</v>
      </c>
      <c r="AR5" s="31" t="str">
        <f>IFERROR(__xludf.DUMMYFUNCTION("""COMPUTED_VALUE"""),"Trader")</f>
        <v>Trader</v>
      </c>
      <c r="AS5" s="31" t="str">
        <f>IFERROR(__xludf.DUMMYFUNCTION("""COMPUTED_VALUE"""),"Transaction Time")</f>
        <v>Transaction Time</v>
      </c>
      <c r="AT5" s="31" t="str">
        <f>IFERROR(__xludf.DUMMYFUNCTION("""COMPUTED_VALUE"""),"Underlying Country")</f>
        <v>Underlying Country</v>
      </c>
      <c r="AU5" s="31" t="str">
        <f>IFERROR(__xludf.DUMMYFUNCTION("""COMPUTED_VALUE"""),"Underlying Symbol")</f>
        <v>Underlying Symbol</v>
      </c>
      <c r="AV5" s="31" t="str">
        <f>IFERROR(__xludf.DUMMYFUNCTION("""COMPUTED_VALUE"""),"Venue")</f>
        <v>Venue</v>
      </c>
      <c r="AW5" s="31" t="str">
        <f>IFERROR(__xludf.DUMMYFUNCTION("""COMPUTED_VALUE"""),"Working Qty")</f>
        <v>Working Qty</v>
      </c>
      <c r="AX5" s="31" t="str">
        <f>IFERROR(__xludf.DUMMYFUNCTION("""COMPUTED_VALUE"""),"Client")</f>
        <v>Client</v>
      </c>
      <c r="AY5" s="31" t="str">
        <f>IFERROR(__xludf.DUMMYFUNCTION("""COMPUTED_VALUE"""),"OrderID")</f>
        <v>OrderID</v>
      </c>
      <c r="AZ5" s="31" t="str">
        <f>IFERROR(__xludf.DUMMYFUNCTION("""COMPUTED_VALUE"""),"ParentClOrderID")</f>
        <v>ParentClOrderID</v>
      </c>
      <c r="BA5" s="31" t="str">
        <f>IFERROR(__xludf.DUMMYFUNCTION("""COMPUTED_VALUE"""),"Master Fund")</f>
        <v>Master Fund</v>
      </c>
      <c r="BB5" s="31" t="str">
        <f>IFERROR(__xludf.DUMMYFUNCTION("""COMPUTED_VALUE"""),"Current User")</f>
        <v>Current User</v>
      </c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20</v>
      </c>
      <c r="C6" s="35" t="s">
        <v>21</v>
      </c>
      <c r="D6" s="36">
        <v>200.0</v>
      </c>
      <c r="E6" s="40">
        <v>200.0</v>
      </c>
      <c r="F6" s="35"/>
      <c r="G6" s="39" t="s">
        <v>43</v>
      </c>
      <c r="H6" s="35"/>
      <c r="I6" s="35"/>
      <c r="J6" s="37">
        <v>10.0</v>
      </c>
      <c r="K6" s="35" t="s">
        <v>23</v>
      </c>
      <c r="L6" s="35" t="s">
        <v>40</v>
      </c>
      <c r="M6" s="35" t="s">
        <v>31</v>
      </c>
      <c r="N6" s="35"/>
      <c r="O6" s="37">
        <v>10.0</v>
      </c>
      <c r="P6" s="35"/>
      <c r="Q6" s="35"/>
      <c r="R6" s="35"/>
      <c r="S6" s="35"/>
      <c r="T6" s="38"/>
      <c r="U6" s="38"/>
      <c r="V6" s="38"/>
      <c r="W6" s="38" t="s">
        <v>34</v>
      </c>
      <c r="X6" s="38" t="s">
        <v>33</v>
      </c>
      <c r="Y6" s="43">
        <v>1.0</v>
      </c>
      <c r="Z6" s="38"/>
      <c r="AA6" s="38"/>
      <c r="AB6" s="38"/>
      <c r="AC6" s="42">
        <v>2000.0</v>
      </c>
      <c r="AD6" s="42">
        <v>2000.0</v>
      </c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43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46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40</v>
      </c>
      <c r="C6" s="35"/>
      <c r="D6" s="34"/>
      <c r="E6" s="40">
        <v>200.0</v>
      </c>
      <c r="F6" s="35"/>
      <c r="G6" s="35"/>
      <c r="H6" s="35"/>
      <c r="I6" s="35"/>
      <c r="J6" s="35"/>
      <c r="K6" s="37">
        <v>10.0</v>
      </c>
      <c r="L6" s="37">
        <v>10.0</v>
      </c>
      <c r="M6" s="35"/>
      <c r="N6" s="35"/>
      <c r="O6" s="35" t="s">
        <v>23</v>
      </c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42">
        <v>200.0</v>
      </c>
      <c r="AF6" s="38"/>
      <c r="AG6" s="38"/>
      <c r="AH6" s="38" t="s">
        <v>33</v>
      </c>
      <c r="AI6" s="43">
        <v>1.0</v>
      </c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42">
        <v>2014.001</v>
      </c>
      <c r="AU6" s="42">
        <v>2014.001</v>
      </c>
      <c r="AV6" s="38"/>
      <c r="AW6" s="38"/>
      <c r="AX6" s="38"/>
      <c r="AY6" s="38" t="s">
        <v>31</v>
      </c>
      <c r="AZ6" s="38"/>
      <c r="BA6" s="38"/>
      <c r="BB6" s="38"/>
      <c r="BC6" s="38"/>
      <c r="BD6" s="38"/>
      <c r="BE6" s="42">
        <v>2000.0</v>
      </c>
      <c r="BF6" s="42">
        <v>2000.0</v>
      </c>
      <c r="BG6" s="38"/>
      <c r="BH6" s="38"/>
      <c r="BI6" s="38"/>
      <c r="BJ6" s="43">
        <v>200.0</v>
      </c>
      <c r="BK6" s="38"/>
      <c r="BL6" s="38"/>
      <c r="BM6" s="38"/>
      <c r="BN6" s="38"/>
      <c r="BO6" s="38" t="s">
        <v>21</v>
      </c>
      <c r="BP6" s="38"/>
      <c r="BQ6" s="38"/>
      <c r="BR6" s="38"/>
      <c r="BS6" s="38"/>
      <c r="BT6" s="38" t="s">
        <v>20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0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/>
      <c r="FJ5" s="31"/>
      <c r="FK5" s="31"/>
      <c r="FL5" s="31"/>
      <c r="FM5" s="31"/>
      <c r="FN5" s="31"/>
      <c r="FO5" s="31"/>
      <c r="FP5" s="31"/>
      <c r="FQ5" s="31"/>
      <c r="FR5" s="31"/>
    </row>
    <row r="6" ht="15.75" customHeight="1">
      <c r="A6" s="33"/>
      <c r="B6" s="34"/>
      <c r="C6" s="35" t="s">
        <v>20</v>
      </c>
      <c r="D6" s="40">
        <v>100.0</v>
      </c>
      <c r="E6" s="35" t="s">
        <v>37</v>
      </c>
      <c r="F6" s="35" t="s">
        <v>50</v>
      </c>
      <c r="G6" s="37">
        <v>10.0</v>
      </c>
      <c r="H6" s="35" t="s">
        <v>51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 t="s">
        <v>34</v>
      </c>
      <c r="U6" s="38"/>
      <c r="V6" s="38"/>
      <c r="W6" s="38"/>
      <c r="X6" s="38"/>
      <c r="Y6" s="43">
        <v>1.0</v>
      </c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 t="s">
        <v>21</v>
      </c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</row>
    <row r="7" ht="15.75" customHeight="1">
      <c r="A7" s="38"/>
      <c r="B7" s="38"/>
      <c r="C7" s="38" t="s">
        <v>20</v>
      </c>
      <c r="D7" s="46">
        <v>100.0</v>
      </c>
      <c r="E7" s="38" t="s">
        <v>38</v>
      </c>
      <c r="F7" s="38" t="s">
        <v>52</v>
      </c>
      <c r="G7" s="44">
        <v>10.0</v>
      </c>
      <c r="H7" s="38" t="s">
        <v>51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 t="s">
        <v>34</v>
      </c>
      <c r="U7" s="38"/>
      <c r="V7" s="38"/>
      <c r="W7" s="38"/>
      <c r="X7" s="38"/>
      <c r="Y7" s="43">
        <v>1.0</v>
      </c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 t="s">
        <v>21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