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CheckPortfolioManagement" sheetId="5" r:id="rId7"/>
    <sheet name="ClosePositionFromPM" sheetId="6" r:id="rId8"/>
    <sheet name="CreateDoneAwayOrder1" sheetId="7" r:id="rId9"/>
    <sheet name="GetDataClosing" sheetId="8" r:id="rId10"/>
    <sheet name="VerifyShortPositionsGrid" sheetId="9" r:id="rId11"/>
    <sheet name="VerifyLongPositionsGrid" sheetId="10" r:id="rId12"/>
    <sheet name="AutomaticClosing" sheetId="11" r:id="rId13"/>
    <sheet name="VerifyClosedTrades" sheetId="12" r:id="rId14"/>
    <sheet name="VerifyWorkingSubs" sheetId="13" r:id="rId15"/>
    <sheet name="GetDataAllocation" sheetId="14" r:id="rId16"/>
    <sheet name="CheckAllocatedGroups" sheetId="15" r:id="rId17"/>
    <sheet name="CheckPortfolioManagement1" sheetId="16" r:id="rId18"/>
  </sheets>
  <calcPr fullCalcOnLoad="1"/>
</workbook>
</file>

<file path=xl/sharedStrings.xml><?xml version="1.0" encoding="utf-8"?>
<sst xmlns="http://schemas.openxmlformats.org/spreadsheetml/2006/main" count="46" uniqueCount="46">
  <si>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</si>
  <si>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</si>
  <si>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</si>
  <si>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</si>
  <si>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</si>
  <si>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</si>
  <si>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</si>
  <si>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</si>
  <si>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</si>
  <si>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</si>
  <si>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</si>
  <si>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</si>
  <si>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</si>
  <si>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</si>
  <si>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</si>
  <si>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</si>
  <si>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</si>
  <si>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Buy</t>
  </si>
  <si>
    <t>Allocation1</t>
  </si>
  <si>
    <t>MS</t>
  </si>
  <si>
    <t>PortfolioManagement</t>
  </si>
  <si>
    <t>CheckPortfolioManagement</t>
  </si>
  <si>
    <t>Equity</t>
  </si>
  <si>
    <t>US</t>
  </si>
  <si>
    <t>Long</t>
  </si>
  <si>
    <t>ClosePositionFromPM</t>
  </si>
  <si>
    <t>Sell</t>
  </si>
  <si>
    <t>Closing</t>
  </si>
  <si>
    <t>GetDataClosing</t>
  </si>
  <si>
    <t>Current</t>
  </si>
  <si>
    <t>VerifyShortPositionsGrid</t>
  </si>
  <si>
    <t>VerifyLongPositionsGrid</t>
  </si>
  <si>
    <t>AutomaticClosing</t>
  </si>
  <si>
    <t>FIFO</t>
  </si>
  <si>
    <t>None</t>
  </si>
  <si>
    <t>Default</t>
  </si>
  <si>
    <t>VerifyClosedTrades</t>
  </si>
  <si>
    <t>Short</t>
  </si>
  <si>
    <t>Blotter</t>
  </si>
  <si>
    <t>VerifyWorkingSubs</t>
  </si>
  <si>
    <t>Filled</t>
  </si>
  <si>
    <t>Allocation</t>
  </si>
  <si>
    <t>GetDataAllocation</t>
  </si>
  <si>
    <t>CheckAllocatedGroups</t>
  </si>
  <si>
    <t>Closed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</si>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</sst>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3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48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5" applyFont="1" fillId="0" applyFill="1" borderId="0" applyBorder="1" xfId="0"/>
    <xf fontId="4" applyFont="1" fillId="3" applyFill="1" borderId="4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3" applyFont="1" fillId="0" applyFill="1" borderId="0" applyBorder="1" xfId="0"/>
    <xf fontId="3" applyFont="1" fillId="0" applyFill="1" borderId="5" applyBorder="1" xfId="0"/>
    <xf fontId="3" applyFont="1" fillId="0" applyFill="1" borderId="5" applyBorder="1" xfId="0"/>
    <xf fontId="5" applyFont="1" fillId="0" applyFill="1" borderId="5" applyBorder="1" xfId="0">
      <alignment horizontal="right"/>
    </xf>
    <xf fontId="5" applyFont="1" fillId="0" applyFill="1" borderId="5" applyBorder="1" xfId="0">
      <alignment horizontal="right"/>
    </xf>
    <xf fontId="3" applyFont="1" fillId="0" applyFill="1" borderId="5" applyBorder="1" xfId="0"/>
    <xf fontId="3" applyFont="1" fillId="0" applyFill="1" borderId="0" applyBorder="1" xfId="0"/>
    <xf numFmtId="3" applyNumberFormat="1" fontId="5" applyFont="1" fillId="0" applyFill="1" borderId="5" applyBorder="1" xfId="0">
      <alignment horizontal="right"/>
    </xf>
    <xf fontId="3" applyFont="1" fillId="0" applyFill="1" borderId="5" applyBorder="1" xfId="0">
      <alignment horizontal="right"/>
    </xf>
    <xf fontId="3" applyFont="1" fillId="0" applyFill="1" borderId="0" applyBorder="1" xfId="0">
      <alignment horizontal="right"/>
    </xf>
    <xf numFmtId="3" applyNumberFormat="1" fontId="3" applyFont="1" fillId="0" applyFill="1" borderId="0" applyBorder="1" xfId="0">
      <alignment horizontal="right"/>
    </xf>
    <xf fontId="3" applyFont="1" fillId="0" applyFill="1" borderId="0" applyBorder="1" xfId="0"/>
    <xf numFmtId="4" applyNumberFormat="1" fontId="5" applyFont="1" fillId="0" applyFill="1" borderId="5" applyBorder="1" xfId="0">
      <alignment horizontal="right"/>
    </xf>
    <xf fontId="5" applyFont="1" fillId="0" applyFill="1" borderId="5" applyBorder="1" xfId="0">
      <alignment horizontal="center"/>
    </xf>
    <xf fontId="5" applyFont="1" fillId="0" applyFill="1" borderId="5" applyBorder="1" xfId="0">
      <alignment horizontal="center"/>
    </xf>
    <xf numFmtId="3" applyNumberFormat="1"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9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93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IFERROR(__xludf.DUMMYFUNCTION("""COMPUTED_VALUE"""),"1RWrzEP7tKvSTkC1z87RsjU_EZslvD2btXJuTWRIwRLU")</f>
        <v>1RWrzEP7tKvSTkC1z87RsjU_EZslvD2btXJuTWRIwRLU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IFERROR(__xludf.DUMMYFUNCTION("""COMPUTED_VALUE"""),"1XzjmPmpB7IMcyzPSsbgmFfzjE_zIKdjrk0mUoMFhNZc")</f>
        <v>1XzjmPmpB7IMcyzPSsbgmFfzjE_zIKdjrk0mUoMFhNZc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>
      <c r="A874" s="0" t="str">
        <f>IFERROR(__xludf.DUMMYFUNCTION("""COMPUTED_VALUE"""),"Blotter")</f>
        <v>Blotter</v>
      </c>
      <c r="B874" s="0" t="str">
        <f>IFERROR(__xludf.DUMMYFUNCTION("""COMPUTED_VALUE"""),"ActionOnFloatingWindow")</f>
        <v>ActionOnFloatingWindow</v>
      </c>
      <c r="C874" s="0" t="str">
        <f>IFERROR(__xludf.DUMMYFUNCTION("""COMPUTED_VALUE"""),"1tFNUPT3PXgCKRnnehGwo6OF7EhLu13UJ8Elfq83HArE")</f>
        <v>1tFNUPT3PXgCKRnnehGwo6OF7EhLu13UJ8Elfq83HArE</v>
      </c>
    </row>
    <row r="875" ht="15.75" customHeight="1">
      <c r="A875" s="0" t="str">
        <f>IFERROR(__xludf.DUMMYFUNCTION("""COMPUTED_VALUE"""),"PTT")</f>
        <v>PTT</v>
      </c>
      <c r="B875" s="0" t="str">
        <f>IFERROR(__xludf.DUMMYFUNCTION("""COMPUTED_VALUE"""),"PTTDashBoard")</f>
        <v>PTTDashBoard</v>
      </c>
      <c r="C875" s="0" t="str">
        <f>IFERROR(__xludf.DUMMYFUNCTION("""COMPUTED_VALUE"""),"1DUwxSUq_47EK60XmK3LOdCXa1fkWqWJE9bLuGS3ccv412")</f>
        <v>1DUwxSUq_47EK60XmK3LOdCXa1fkWqWJE9bLuGS3ccv412</v>
      </c>
    </row>
    <row r="876" ht="15.75" customHeight="1">
      <c r="A876" s="0" t="str">
        <f>IFERROR(__xludf.DUMMYFUNCTION("""COMPUTED_VALUE"""),"OpenFin")</f>
        <v>OpenFin</v>
      </c>
      <c r="B876" s="0" t="str">
        <f>IFERROR(__xludf.DUMMYFUNCTION("""COMPUTED_VALUE"""),"LockUnlockModule")</f>
        <v>LockUnlockModule</v>
      </c>
      <c r="C876" s="0" t="str">
        <f>IFERROR(__xludf.DUMMYFUNCTION("""COMPUTED_VALUE"""),"179D0kPRO8f_KLxd7hs6seM9XGxpL-u1rhIhNgFVePsQ")</f>
        <v>179D0kPRO8f_KLxd7hs6seM9XGxpL-u1rhIhNgFVePsQ</v>
      </c>
    </row>
    <row r="877" ht="15.75" customHeight="1">
      <c r="A877" s="0" t="str">
        <f>IFERROR(__xludf.DUMMYFUNCTION("""COMPUTED_VALUE"""),"OpenFin")</f>
        <v>OpenFin</v>
      </c>
      <c r="B877" s="0" t="str">
        <f>IFERROR(__xludf.DUMMYFUNCTION("""COMPUTED_VALUE"""),"OpenModuleFromDock")</f>
        <v>OpenModuleFromDock</v>
      </c>
      <c r="C877" s="0" t="str">
        <f>IFERROR(__xludf.DUMMYFUNCTION("""COMPUTED_VALUE"""),"1IdmD7l42pWNjFNVt_7UwbOO7y5tDxaXr7tE60c9ETLw")</f>
        <v>1IdmD7l42pWNjFNVt_7UwbOO7y5tDxaXr7tE60c9ETLw</v>
      </c>
    </row>
    <row r="878" ht="15.75" customHeight="1">
      <c r="A878" s="0" t="str">
        <f>IFERROR(__xludf.DUMMYFUNCTION("""COMPUTED_VALUE"""),"Rebalancer")</f>
        <v>Rebalancer</v>
      </c>
      <c r="B878" s="0" t="str">
        <f>IFERROR(__xludf.DUMMYFUNCTION("""COMPUTED_VALUE"""),"VerifyCFI")</f>
        <v>VerifyCFI</v>
      </c>
      <c r="C878" s="0" t="str">
        <f>IFERROR(__xludf.DUMMYFUNCTION("""COMPUTED_VALUE"""),"1DUwxSUq_47EK60XmK3LOdCXa1fkWqWJE9bLuGS3ccv412")</f>
        <v>1DUwxSUq_47EK60XmK3LOdCXa1fkWqWJE9bLuGS3ccv412</v>
      </c>
    </row>
    <row r="879" ht="15.75" customHeight="1">
      <c r="A879" s="0" t="str">
        <f>IFERROR(__xludf.DUMMYFUNCTION("""COMPUTED_VALUE"""),"Blotter")</f>
        <v>Blotter</v>
      </c>
      <c r="B879" s="0" t="str">
        <f>IFERROR(__xludf.DUMMYFUNCTION("""COMPUTED_VALUE"""),"EnableOrVerifyHotButton")</f>
        <v>EnableOrVerifyHotButton</v>
      </c>
      <c r="C879" s="0" t="str">
        <f>IFERROR(__xludf.DUMMYFUNCTION("""COMPUTED_VALUE"""),"1wa8x9d9kPOHEp49mT2DEW0cyjjOClvAgixk1H2w-Tos")</f>
        <v>1wa8x9d9kPOHEp49mT2DEW0cyjjOClvAgixk1H2w-Tos</v>
      </c>
    </row>
    <row r="880" ht="15.75" customHeight="1">
      <c r="A880" s="0" t="str">
        <f>IFERROR(__xludf.DUMMYFUNCTION("""COMPUTED_VALUE"""),"TradeServer")</f>
        <v>TradeServer</v>
      </c>
      <c r="B880" s="0" t="str">
        <f>IFERROR(__xludf.DUMMYFUNCTION("""COMPUTED_VALUE"""),"RestartServerOnly")</f>
        <v>RestartServerOnly</v>
      </c>
      <c r="C880" s="0" t="str">
        <f>IFERROR(__xludf.DUMMYFUNCTION("""COMPUTED_VALUE"""),"Undefined")</f>
        <v>Undefined</v>
      </c>
    </row>
    <row r="881" ht="15.75" customHeight="1">
      <c r="A881" s="0" t="str">
        <f>IFERROR(__xludf.DUMMYFUNCTION("""COMPUTED_VALUE"""),"Rebalancer")</f>
        <v>Rebalancer</v>
      </c>
      <c r="B881" s="0" t="str">
        <f>IFERROR(__xludf.DUMMYFUNCTION("""COMPUTED_VALUE"""),"ActionOnCFI")</f>
        <v>ActionOnCFI</v>
      </c>
      <c r="C881" s="0" t="str">
        <f>IFERROR(__xludf.DUMMYFUNCTION("""COMPUTED_VALUE"""),"1DUwxSUq_47EK60XmK3LOdCXa1fkWqWJE9bLuGS3ccv412")</f>
        <v>1DUwxSUq_47EK60XmK3LOdCXa1fkWqWJE9bLuGS3ccv412</v>
      </c>
    </row>
    <row r="882" ht="15.75" customHeight="1">
      <c r="A882" s="0" t="str">
        <f>IFERROR(__xludf.DUMMYFUNCTION("""COMPUTED_VALUE"""),"Rebalancer")</f>
        <v>Rebalancer</v>
      </c>
      <c r="B882" s="0" t="str">
        <f>IFERROR(__xludf.DUMMYFUNCTION("""COMPUTED_VALUE"""),"VerifyCFI")</f>
        <v>VerifyCFI</v>
      </c>
      <c r="C882" s="0" t="str">
        <f>IFERROR(__xludf.DUMMYFUNCTION("""COMPUTED_VALUE"""),"1DUwxSUq_47EK60XmK3LOdCXa1fkWqWJE9bLuGS3ccv412")</f>
        <v>1DUwxSUq_47EK60XmK3LOdCXa1fkWqWJE9bLuGS3ccv412</v>
      </c>
    </row>
    <row r="883" ht="15.75" customHeight="1">
      <c r="A883" s="0" t="str">
        <f>IFERROR(__xludf.DUMMYFUNCTION("""COMPUTED_VALUE"""),"Rebalancer")</f>
        <v>Rebalancer</v>
      </c>
      <c r="B883" s="0" t="str">
        <f>IFERROR(__xludf.DUMMYFUNCTION("""COMPUTED_VALUE"""),"VerifyDelRASGrid")</f>
        <v>VerifyDelRASGrid</v>
      </c>
      <c r="C883" s="0" t="str">
        <f>IFERROR(__xludf.DUMMYFUNCTION("""COMPUTED_VALUE"""),"1DUwxSUq_47EK60XmK3LOdCXa1fkWqWJE9bLuGS3ccv412")</f>
        <v>1DUwxSUq_47EK60XmK3LOdCXa1fkWqWJE9bLuGS3ccv412</v>
      </c>
    </row>
    <row r="884" ht="15.75" customHeight="1">
      <c r="A884" s="0" t="str">
        <f>IFERROR(__xludf.DUMMYFUNCTION("""COMPUTED_VALUE"""),"Allocation")</f>
        <v>Allocation</v>
      </c>
      <c r="B884" s="0" t="str">
        <f>IFERROR(__xludf.DUMMYFUNCTION("""COMPUTED_VALUE"""),"ActionOnUPW")</f>
        <v>ActionOnUPW</v>
      </c>
      <c r="C884" s="0" t="str">
        <f>IFERROR(__xludf.DUMMYFUNCTION("""COMPUTED_VALUE"""),"1DUwxSUq_47EK60XmK3LOdCXa1fkWqWJE9bLuGS3ccv413")</f>
        <v>1DUwxSUq_47EK60XmK3LOdCXa1fkWqWJE9bLuGS3ccv413</v>
      </c>
    </row>
    <row r="885" ht="15.75" customHeight="1">
      <c r="A885" s="0" t="str">
        <f>IFERROR(__xludf.DUMMYFUNCTION("""COMPUTED_VALUE"""),"Allocation")</f>
        <v>Allocation</v>
      </c>
      <c r="B885" s="0" t="str">
        <f>IFERROR(__xludf.DUMMYFUNCTION("""COMPUTED_VALUE"""),"DefaultRuleUPW")</f>
        <v>DefaultRuleUPW</v>
      </c>
      <c r="C885" s="0" t="str">
        <f>IFERROR(__xludf.DUMMYFUNCTION("""COMPUTED_VALUE"""),"1DUwxSUq_47EK60XmK3LOdCXa1fkWqWJE9bLuGS3ccv414")</f>
        <v>1DUwxSUq_47EK60XmK3LOdCXa1fkWqWJE9bLuGS3ccv414</v>
      </c>
    </row>
    <row r="886" ht="15.75" customHeight="1">
      <c r="A886" s="0" t="str">
        <f>IFERROR(__xludf.DUMMYFUNCTION("""COMPUTED_VALUE"""),"Allocation")</f>
        <v>Allocation</v>
      </c>
      <c r="B886" s="0" t="str">
        <f>IFERROR(__xludf.DUMMYFUNCTION("""COMPUTED_VALUE"""),"AccountStrategyUPW")</f>
        <v>AccountStrategyUPW</v>
      </c>
      <c r="C886" s="0" t="str">
        <f>IFERROR(__xludf.DUMMYFUNCTION("""COMPUTED_VALUE"""),"1DUwxSUq_47EK60XmK3LOdCXa1fkWqWJE9bLuGS3ccv415")</f>
        <v>1DUwxSUq_47EK60XmK3LOdCXa1fkWqWJE9bLuGS3ccv415</v>
      </c>
    </row>
    <row r="887" ht="15.75" customHeight="1">
      <c r="A887" s="0" t="str">
        <f>IFERROR(__xludf.DUMMYFUNCTION("""COMPUTED_VALUE"""),"Allocation")</f>
        <v>Allocation</v>
      </c>
      <c r="B887" s="0" t="str">
        <f>IFERROR(__xludf.DUMMYFUNCTION("""COMPUTED_VALUE"""),"ActionOnCalPref")</f>
        <v>ActionOnCalPref</v>
      </c>
      <c r="C887" s="0" t="str">
        <f>IFERROR(__xludf.DUMMYFUNCTION("""COMPUTED_VALUE"""),"1DUwxSUq_47EK60XmK3LOdCXa1fkWqWJE9bLuGS3ccv416")</f>
        <v>1DUwxSUq_47EK60XmK3LOdCXa1fkWqWJE9bLuGS3ccv416</v>
      </c>
    </row>
    <row r="888" ht="15.75" customHeight="1">
      <c r="A888" s="0" t="str">
        <f>IFERROR(__xludf.DUMMYFUNCTION("""COMPUTED_VALUE"""),"Allocation")</f>
        <v>Allocation</v>
      </c>
      <c r="B888" s="0" t="str">
        <f>IFERROR(__xludf.DUMMYFUNCTION("""COMPUTED_VALUE"""),"SetMFDefaultRule")</f>
        <v>SetMFDefaultRule</v>
      </c>
      <c r="C888" s="0" t="str">
        <f>IFERROR(__xludf.DUMMYFUNCTION("""COMPUTED_VALUE"""),"1DUwxSUq_47EK60XmK3LOdCXa1fkWqWJE9bLuGS3ccv417")</f>
        <v>1DUwxSUq_47EK60XmK3LOdCXa1fkWqWJE9bLuGS3ccv417</v>
      </c>
    </row>
    <row r="889" ht="15.75" customHeight="1">
      <c r="A889" s="0" t="str">
        <f>IFERROR(__xludf.DUMMYFUNCTION("""COMPUTED_VALUE"""),"Allocation")</f>
        <v>Allocation</v>
      </c>
      <c r="B889" s="0" t="str">
        <f>IFERROR(__xludf.DUMMYFUNCTION("""COMPUTED_VALUE"""),"ActionOnPrefWindow")</f>
        <v>ActionOnPrefWindow</v>
      </c>
      <c r="C889" s="0" t="str">
        <f>IFERROR(__xludf.DUMMYFUNCTION("""COMPUTED_VALUE"""),"1DUwxSUq_47EK60XmK3LOdCXa1fkWqWJE9bLuGS3ccv418")</f>
        <v>1DUwxSUq_47EK60XmK3LOdCXa1fkWqWJE9bLuGS3ccv418</v>
      </c>
    </row>
    <row r="890" ht="15.75" customHeight="1">
      <c r="A890" s="0" t="str">
        <f>IFERROR(__xludf.DUMMYFUNCTION("""COMPUTED_VALUE"""),"Allocation")</f>
        <v>Allocation</v>
      </c>
      <c r="B890" s="0" t="str">
        <f>IFERROR(__xludf.DUMMYFUNCTION("""COMPUTED_VALUE"""),"GetFixedPrefScheme")</f>
        <v>GetFixedPrefScheme</v>
      </c>
      <c r="C890" s="0" t="str">
        <f>IFERROR(__xludf.DUMMYFUNCTION("""COMPUTED_VALUE"""),"1DUwxSUq_47EK60XmK3LOdCXa1fkWqWJE9bLuGS3ccv419")</f>
        <v>1DUwxSUq_47EK60XmK3LOdCXa1fkWqWJE9bLuGS3ccv419</v>
      </c>
    </row>
    <row r="891" ht="15.75" customHeight="1">
      <c r="A891" s="0" t="str">
        <f>IFERROR(__xludf.DUMMYFUNCTION("""COMPUTED_VALUE"""),"Allocation")</f>
        <v>Allocation</v>
      </c>
      <c r="B891" s="0" t="str">
        <f>IFERROR(__xludf.DUMMYFUNCTION("""COMPUTED_VALUE"""),"VerifyFixedPref")</f>
        <v>VerifyFixedPref</v>
      </c>
      <c r="C891" s="0" t="str">
        <f>IFERROR(__xludf.DUMMYFUNCTION("""COMPUTED_VALUE"""),"1DUwxSUq_47EK60XmK3LOdCXa1fkWqWJE9bLuGS3ccv420")</f>
        <v>1DUwxSUq_47EK60XmK3LOdCXa1fkWqWJE9bLuGS3ccv420</v>
      </c>
    </row>
    <row r="892" ht="15.75" customHeight="1">
      <c r="A892" s="0" t="str">
        <f>IFERROR(__xludf.DUMMYFUNCTION("""COMPUTED_VALUE"""),"Allocation")</f>
        <v>Allocation</v>
      </c>
      <c r="B892" s="0" t="str">
        <f>IFERROR(__xludf.DUMMYFUNCTION("""COMPUTED_VALUE"""),"ActionOnToolBar")</f>
        <v>ActionOnToolBar</v>
      </c>
      <c r="C892" s="0" t="str">
        <f>IFERROR(__xludf.DUMMYFUNCTION("""COMPUTED_VALUE"""),"1DUwxSUq_47EK60XmK3LOdCXa1fkWqWJE9bLuGS3ccv421")</f>
        <v>1DUwxSUq_47EK60XmK3LOdCXa1fkWqWJE9bLuGS3ccv421</v>
      </c>
    </row>
    <row r="893" ht="15.75" customHeight="1">
      <c r="A893" s="0" t="str">
        <f>IFERROR(__xludf.DUMMYFUNCTION("""COMPUTED_VALUE"""),"Rebalancer")</f>
        <v>Rebalancer</v>
      </c>
      <c r="B893" s="0" t="str">
        <f>IFERROR(__xludf.DUMMYFUNCTION("""COMPUTED_VALUE"""),"VerifyCustomGroupModel")</f>
        <v>VerifyCustomGroupModel</v>
      </c>
      <c r="C893" s="0" t="str">
        <f>IFERROR(__xludf.DUMMYFUNCTION("""COMPUTED_VALUE"""),"1DUwxSUq_47EK60XmK3LOdCXa1fkWqWJE9bLuGS3ccv422")</f>
        <v>1DUwxSUq_47EK60XmK3LOdCXa1fkWqWJE9bLuGS3ccv422</v>
      </c>
    </row>
    <row r="894" ht="15.75" customHeight="1">
      <c r="A894" s="0" t="str">
        <f>IFERROR(__xludf.DUMMYFUNCTION("""COMPUTED_VALUE"""),"Blotter")</f>
        <v>Blotter</v>
      </c>
      <c r="B894" s="0" t="str">
        <f>IFERROR(__xludf.DUMMYFUNCTION("""COMPUTED_VALUE"""),"VerifyFilterUiRC")</f>
        <v>VerifyFilterUiRC</v>
      </c>
      <c r="C894" s="0" t="str">
        <f>IFERROR(__xludf.DUMMYFUNCTION("""COMPUTED_VALUE"""),"1QQZEZqPXfPnxfNID2a3__xw8RnEAn77igg5Q32S3Sm0")</f>
        <v>1QQZEZqPXfPnxfNID2a3__xw8RnEAn77igg5Q32S3Sm0</v>
      </c>
    </row>
    <row r="895" ht="15.75" customHeight="1">
      <c r="A895" s="0" t="str">
        <f>IFERROR(__xludf.DUMMYFUNCTION("""COMPUTED_VALUE"""),"TradingTicket")</f>
        <v>TradingTicket</v>
      </c>
      <c r="B895" s="0" t="str">
        <f>IFERROR(__xludf.DUMMYFUNCTION("""COMPUTED_VALUE"""),"SymbolSuggestionVerify")</f>
        <v>SymbolSuggestionVerify</v>
      </c>
      <c r="C895" s="0" t="str">
        <f>IFERROR(__xludf.DUMMYFUNCTION("""COMPUTED_VALUE"""),"14aTeLjmUbS-nhaQwjtZAMGxdQ5DS6UsBjE5OTWN-LQU")</f>
        <v>14aTeLjmUbS-nhaQwjtZAMGxdQ5DS6UsBjE5OTWN-LQU</v>
      </c>
    </row>
    <row r="896" ht="15.75" customHeight="1">
      <c r="A896" s="0" t="str">
        <f>IFERROR(__xludf.DUMMYFUNCTION("""COMPUTED_VALUE"""),"PreferencesMain")</f>
        <v>PreferencesMain</v>
      </c>
      <c r="B896" s="0" t="str">
        <f>IFERROR(__xludf.DUMMYFUNCTION("""COMPUTED_VALUE"""),"UpdatePTTPref")</f>
        <v>UpdatePTTPref</v>
      </c>
      <c r="C896" s="0" t="str">
        <f>IFERROR(__xludf.DUMMYFUNCTION("""COMPUTED_VALUE"""),"14aTeLjmUbS-nhaQwjtZAMGxdQ5DS6UsBjE5OTWN-LQU")</f>
        <v>14aTeLjmUbS-nhaQwjtZAMGxdQ5DS6UsBjE5OTWN-LQU</v>
      </c>
    </row>
    <row r="897" ht="15.75" customHeight="1">
      <c r="A897" s="0" t="str">
        <f>IFERROR(__xludf.DUMMYFUNCTION("""COMPUTED_VALUE"""),"PreferencesMain")</f>
        <v>PreferencesMain</v>
      </c>
      <c r="B897" s="0" t="str">
        <f>IFERROR(__xludf.DUMMYFUNCTION("""COMPUTED_VALUE"""),"ActionOnPreferencesMain")</f>
        <v>ActionOnPreferencesMain</v>
      </c>
      <c r="C897" s="0" t="str">
        <f>IFERROR(__xludf.DUMMYFUNCTION("""COMPUTED_VALUE"""),"14aTeLjmUbS-nhaQwjtZAMGxdQ5DS6UsBjE5OTWN-LQU")</f>
        <v>14aTeLjmUbS-nhaQwjtZAMGxdQ5DS6UsBjE5OTWN-LQU</v>
      </c>
    </row>
    <row r="898" ht="15.75" customHeight="1">
      <c r="A898" s="0" t="str">
        <f>IFERROR(__xludf.DUMMYFUNCTION("""COMPUTED_VALUE"""),"PreferencesMain")</f>
        <v>PreferencesMain</v>
      </c>
      <c r="B898" s="0" t="str">
        <f>IFERROR(__xludf.DUMMYFUNCTION("""COMPUTED_VALUE"""),"VerifyUpdategrdAccountFactor")</f>
        <v>VerifyUpdategrdAccountFactor</v>
      </c>
      <c r="C898" s="0" t="str">
        <f>IFERROR(__xludf.DUMMYFUNCTION("""COMPUTED_VALUE"""),"14aTeLjmUbS-nhaQwjtZAMGxdQ5DS6UsBjE5OTWN-LQU")</f>
        <v>14aTeLjmUbS-nhaQwjtZAMGxdQ5DS6UsBjE5OTWN-LQU</v>
      </c>
    </row>
    <row r="899" ht="15.75" customHeight="1">
      <c r="A899" s="0" t="str">
        <f>IFERROR(__xludf.DUMMYFUNCTION("""COMPUTED_VALUE"""),"PreferencesMain")</f>
        <v>PreferencesMain</v>
      </c>
      <c r="B899" s="0" t="str">
        <f>IFERROR(__xludf.DUMMYFUNCTION("""COMPUTED_VALUE"""),"VerifyUpdategrdMFA")</f>
        <v>VerifyUpdategrdMFA</v>
      </c>
      <c r="C899" s="0" t="str">
        <f>IFERROR(__xludf.DUMMYFUNCTION("""COMPUTED_VALUE"""),"14aTeLjmUbS-nhaQwjtZAMGxdQ5DS6UsBjE5OTWN-LQU")</f>
        <v>14aTeLjmUbS-nhaQwjtZAMGxdQ5DS6UsBjE5OTWN-LQU</v>
      </c>
    </row>
    <row r="900" ht="15.75" customHeight="1">
      <c r="A900" s="0" t="str">
        <f>IFERROR(__xludf.DUMMYFUNCTION("""COMPUTED_VALUE"""),"PreferencesMain")</f>
        <v>PreferencesMain</v>
      </c>
      <c r="B900" s="0" t="str">
        <f>IFERROR(__xludf.DUMMYFUNCTION("""COMPUTED_VALUE"""),"SwitchTabMFA")</f>
        <v>SwitchTabMFA</v>
      </c>
      <c r="C900" s="0" t="str">
        <f>IFERROR(__xludf.DUMMYFUNCTION("""COMPUTED_VALUE"""),"14aTeLjmUbS-nhaQwjtZAMGxdQ5DS6UsBjE5OTWN-LQU")</f>
        <v>14aTeLjmUbS-nhaQwjtZAMGxdQ5DS6UsBjE5OTWN-LQU</v>
      </c>
    </row>
    <row r="901" ht="15.75" customHeight="1">
      <c r="A901" s="0" t="str">
        <f>IFERROR(__xludf.DUMMYFUNCTION("""COMPUTED_VALUE"""),"PreferencesMain")</f>
        <v>PreferencesMain</v>
      </c>
      <c r="B901" s="0" t="str">
        <f>IFERROR(__xludf.DUMMYFUNCTION("""COMPUTED_VALUE"""),"UpdateBlotterPref")</f>
        <v>UpdateBlotterPref</v>
      </c>
      <c r="C901" s="0" t="str">
        <f>IFERROR(__xludf.DUMMYFUNCTION("""COMPUTED_VALUE"""),"14aTeLjmUbS-nhaQwjtZAMGxdQ5DS6UsBjE5OTWN-LQU")</f>
        <v>14aTeLjmUbS-nhaQwjtZAMGxdQ5DS6UsBjE5OTWN-LQU</v>
      </c>
    </row>
    <row r="902" ht="15.75" customHeight="1">
      <c r="A902" s="0" t="str">
        <f>IFERROR(__xludf.DUMMYFUNCTION("""COMPUTED_VALUE"""),"PreferencesMain")</f>
        <v>PreferencesMain</v>
      </c>
      <c r="B902" s="0" t="str">
        <f>IFERROR(__xludf.DUMMYFUNCTION("""COMPUTED_VALUE"""),"UpdatePMPref")</f>
        <v>UpdatePMPref</v>
      </c>
      <c r="C902" s="0" t="str">
        <f>IFERROR(__xludf.DUMMYFUNCTION("""COMPUTED_VALUE"""),"14aTeLjmUbS-nhaQwjtZAMGxdQ5DS6UsBjE5OTWN-LQU")</f>
        <v>14aTeLjmUbS-nhaQwjtZAMGxdQ5DS6UsBjE5OTWN-LQU</v>
      </c>
    </row>
    <row r="903" ht="15.75" customHeight="1">
      <c r="A903" s="0" t="str">
        <f>IFERROR(__xludf.DUMMYFUNCTION("""COMPUTED_VALUE"""),"PreferencesMain")</f>
        <v>PreferencesMain</v>
      </c>
      <c r="B903" s="0" t="str">
        <f>IFERROR(__xludf.DUMMYFUNCTION("""COMPUTED_VALUE"""),"UpdateGenPref")</f>
        <v>UpdateGenPref</v>
      </c>
      <c r="C903" s="0" t="str">
        <f>IFERROR(__xludf.DUMMYFUNCTION("""COMPUTED_VALUE"""),"14aTeLjmUbS-nhaQwjtZAMGxdQ5DS6UsBjE5OTWN-LQU")</f>
        <v>14aTeLjmUbS-nhaQwjtZAMGxdQ5DS6UsBjE5OTWN-LQU</v>
      </c>
    </row>
    <row r="904" ht="15.75" customHeight="1">
      <c r="A904" s="0" t="str">
        <f>IFERROR(__xludf.DUMMYFUNCTION("""COMPUTED_VALUE"""),"PreferencesMain")</f>
        <v>PreferencesMain</v>
      </c>
      <c r="B904" s="0" t="str">
        <f>IFERROR(__xludf.DUMMYFUNCTION("""COMPUTED_VALUE"""),"VerifyUpdateAssetSide")</f>
        <v>VerifyUpdateAssetSide</v>
      </c>
      <c r="C904" s="0" t="str">
        <f>IFERROR(__xludf.DUMMYFUNCTION("""COMPUTED_VALUE"""),"14aTeLjmUbS-nhaQwjtZAMGxdQ5DS6UsBjE5OTWN-LQU")</f>
        <v>14aTeLjmUbS-nhaQwjtZAMGxdQ5DS6UsBjE5OTWN-LQU</v>
      </c>
    </row>
    <row r="905" ht="15.75" customHeight="1">
      <c r="A905" s="0" t="str">
        <f>IFERROR(__xludf.DUMMYFUNCTION("""COMPUTED_VALUE"""),"PreferencesMain")</f>
        <v>PreferencesMain</v>
      </c>
      <c r="B905" s="0" t="str">
        <f>IFERROR(__xludf.DUMMYFUNCTION("""COMPUTED_VALUE"""),"SwicthTabPref")</f>
        <v>SwicthTabPref</v>
      </c>
      <c r="C905" s="0" t="str">
        <f>IFERROR(__xludf.DUMMYFUNCTION("""COMPUTED_VALUE"""),"14aTeLjmUbS-nhaQwjtZAMGxdQ5DS6UsBjE5OTWN-LQU")</f>
        <v>14aTeLjmUbS-nhaQwjtZAMGxdQ5DS6UsBjE5OTWN-LQU</v>
      </c>
    </row>
    <row r="906" ht="15.75" customHeight="1">
      <c r="A906" s="0" t="str">
        <f>IFERROR(__xludf.DUMMYFUNCTION("""COMPUTED_VALUE"""),"PreferencesMain")</f>
        <v>PreferencesMain</v>
      </c>
      <c r="B906" s="0" t="str">
        <f>IFERROR(__xludf.DUMMYFUNCTION("""COMPUTED_VALUE"""),"TTDefaultSelection")</f>
        <v>TTDefaultSelection</v>
      </c>
      <c r="C906" s="0" t="str">
        <f>IFERROR(__xludf.DUMMYFUNCTION("""COMPUTED_VALUE"""),"14aTeLjmUbS-nhaQwjtZAMGxdQ5DS6UsBjE5OTWN-LQU")</f>
        <v>14aTeLjmUbS-nhaQwjtZAMGxdQ5DS6UsBjE5OTWN-LQU</v>
      </c>
    </row>
    <row r="907" ht="15.75" customHeight="1">
      <c r="A907" s="0" t="str">
        <f>IFERROR(__xludf.DUMMYFUNCTION("""COMPUTED_VALUE"""),"PreferencesMain")</f>
        <v>PreferencesMain</v>
      </c>
      <c r="B907" s="0" t="str">
        <f>IFERROR(__xludf.DUMMYFUNCTION("""COMPUTED_VALUE"""),"TTNumSelection")</f>
        <v>TTNumSelection</v>
      </c>
      <c r="C907" s="0" t="str">
        <f>IFERROR(__xludf.DUMMYFUNCTION("""COMPUTED_VALUE"""),"14aTeLjmUbS-nhaQwjtZAMGxdQ5DS6UsBjE5OTWN-LQU")</f>
        <v>14aTeLjmUbS-nhaQwjtZAMGxdQ5DS6UsBjE5OTWN-LQU</v>
      </c>
    </row>
    <row r="908" ht="15.75" customHeight="1">
      <c r="A908" s="0" t="str">
        <f>IFERROR(__xludf.DUMMYFUNCTION("""COMPUTED_VALUE"""),"PreferencesMain")</f>
        <v>PreferencesMain</v>
      </c>
      <c r="B908" s="0" t="str">
        <f>IFERROR(__xludf.DUMMYFUNCTION("""COMPUTED_VALUE"""),"TTConfirmationPopUps")</f>
        <v>TTConfirmationPopUps</v>
      </c>
      <c r="C908" s="0" t="str">
        <f>IFERROR(__xludf.DUMMYFUNCTION("""COMPUTED_VALUE"""),"14aTeLjmUbS-nhaQwjtZAMGxdQ5DS6UsBjE5OTWN-LQU")</f>
        <v>14aTeLjmUbS-nhaQwjtZAMGxdQ5DS6UsBjE5OTWN-LQU</v>
      </c>
    </row>
    <row r="909" ht="15.75" customHeight="1">
      <c r="A909" s="0" t="str">
        <f>IFERROR(__xludf.DUMMYFUNCTION("""COMPUTED_VALUE"""),"PreferencesMain")</f>
        <v>PreferencesMain</v>
      </c>
      <c r="B909" s="0" t="str">
        <f>IFERROR(__xludf.DUMMYFUNCTION("""COMPUTED_VALUE"""),"VerifyUpdateBrokerPref")</f>
        <v>VerifyUpdateBrokerPref</v>
      </c>
      <c r="C909" s="0" t="str">
        <f>IFERROR(__xludf.DUMMYFUNCTION("""COMPUTED_VALUE"""),"14aTeLjmUbS-nhaQwjtZAMGxdQ5DS6UsBjE5OTWN-LQU")</f>
        <v>14aTeLjmUbS-nhaQwjtZAMGxdQ5DS6UsBjE5OTWN-LQU</v>
      </c>
    </row>
    <row r="910" ht="15.75" customHeight="1">
      <c r="A910" s="0" t="str">
        <f>IFERROR(__xludf.DUMMYFUNCTION("""COMPUTED_VALUE"""),"PreferencesMain")</f>
        <v>PreferencesMain</v>
      </c>
      <c r="B910" s="0" t="str">
        <f>IFERROR(__xludf.DUMMYFUNCTION("""COMPUTED_VALUE"""),"TTGeneralPref")</f>
        <v>TTGeneralPref</v>
      </c>
      <c r="C910" s="0" t="str">
        <f>IFERROR(__xludf.DUMMYFUNCTION("""COMPUTED_VALUE"""),"14aTeLjmUbS-nhaQwjtZAMGxdQ5DS6UsBjE5OTWN-LQU")</f>
        <v>14aTeLjmUbS-nhaQwjtZAMGxdQ5DS6UsBjE5OTWN-LQU</v>
      </c>
    </row>
    <row r="911" ht="15.75" customHeight="1">
      <c r="A911" s="0" t="str">
        <f>IFERROR(__xludf.DUMMYFUNCTION("""COMPUTED_VALUE"""),"PreferencesMain")</f>
        <v>PreferencesMain</v>
      </c>
      <c r="B911" s="0" t="str">
        <f>IFERROR(__xludf.DUMMYFUNCTION("""COMPUTED_VALUE"""),"UpdateClosingPref")</f>
        <v>UpdateClosingPref</v>
      </c>
      <c r="C911" s="0" t="str">
        <f>IFERROR(__xludf.DUMMYFUNCTION("""COMPUTED_VALUE"""),"14aTeLjmUbS-nhaQwjtZAMGxdQ5DS6UsBjE5OTWN-LQU")</f>
        <v>14aTeLjmUbS-nhaQwjtZAMGxdQ5DS6UsBjE5OTWN-LQU</v>
      </c>
    </row>
    <row r="912" ht="15.75" customHeight="1">
      <c r="A912" s="0" t="str">
        <f>IFERROR(__xludf.DUMMYFUNCTION("""COMPUTED_VALUE"""),"Allocation")</f>
        <v>Allocation</v>
      </c>
      <c r="B912" s="0" t="str">
        <f>IFERROR(__xludf.DUMMYFUNCTION("""COMPUTED_VALUE"""),"VerifyEditAttRenaming")</f>
        <v>VerifyEditAttRenaming</v>
      </c>
      <c r="C912" s="0" t="str">
        <f>IFERROR(__xludf.DUMMYFUNCTION("""COMPUTED_VALUE"""),"14aTeLjmUbS-nhaQwjtZAMGxdQ5DS6UsBjE5OTWN-LQU")</f>
        <v>14aTeLjmUbS-nhaQwjtZAMGxdQ5DS6UsBjE5OTWN-LQU</v>
      </c>
    </row>
    <row r="913" ht="15.75" customHeight="1">
      <c r="A913" s="0" t="str">
        <f>IFERROR(__xludf.DUMMYFUNCTION("""COMPUTED_VALUE"""),"Rebalancer")</f>
        <v>Rebalancer</v>
      </c>
      <c r="B913" s="0" t="str">
        <f>IFERROR(__xludf.DUMMYFUNCTION("""COMPUTED_VALUE"""),"VerifyTradeList")</f>
        <v>VerifyTradeList</v>
      </c>
      <c r="C913" s="0" t="str">
        <f>IFERROR(__xludf.DUMMYFUNCTION("""COMPUTED_VALUE"""),"14aTeLjmUbS-nhaQwjtZAMGxdQ5DS6UsBjE5OTWN-LQU")</f>
        <v>14aTeLjmUbS-nhaQwjtZAMGxdQ5DS6UsBjE5OTWN-LQU</v>
      </c>
    </row>
    <row r="914" ht="15.75" customHeight="1">
      <c r="A914" s="0" t="str">
        <f>IFERROR(__xludf.DUMMYFUNCTION("""COMPUTED_VALUE"""),"TradingTicket")</f>
        <v>TradingTicket</v>
      </c>
      <c r="B914" s="0" t="str">
        <f>IFERROR(__xludf.DUMMYFUNCTION("""COMPUTED_VALUE"""),"TTMainControls")</f>
        <v>TTMainControls</v>
      </c>
      <c r="C914" s="0" t="str">
        <f>IFERROR(__xludf.DUMMYFUNCTION("""COMPUTED_VALUE"""),"1DUwxSUq_47EK60XmK3LOdCXa1fkWqWJE9bLuGS3ccv412")</f>
        <v>1DUwxSUq_47EK60XmK3LOdCXa1fkWqWJE9bLuGS3ccv412</v>
      </c>
    </row>
    <row r="915" ht="15.75" customHeight="1">
      <c r="A915" s="0" t="str">
        <f>IFERROR(__xludf.DUMMYFUNCTION("""COMPUTED_VALUE"""),"TradingTicket")</f>
        <v>TradingTicket</v>
      </c>
      <c r="B915" s="0" t="str">
        <f>IFERROR(__xludf.DUMMYFUNCTION("""COMPUTED_VALUE"""),"VerifySymStrip")</f>
        <v>VerifySymStrip</v>
      </c>
      <c r="C915" s="0" t="str">
        <f>IFERROR(__xludf.DUMMYFUNCTION("""COMPUTED_VALUE"""),"1DUwxSUq_47EK60XmK3LOdCXa1fkWqWJE9bLuGS3ccv412")</f>
        <v>1DUwxSUq_47EK60XmK3LOdCXa1fkWqWJE9bLuGS3ccv412</v>
      </c>
    </row>
    <row r="916" ht="15.75" customHeight="1">
      <c r="A916" s="0" t="str">
        <f>IFERROR(__xludf.DUMMYFUNCTION("""COMPUTED_VALUE"""),"TradingTicket")</f>
        <v>TradingTicket</v>
      </c>
      <c r="B916" s="0" t="str">
        <f>IFERROR(__xludf.DUMMYFUNCTION("""COMPUTED_VALUE"""),"TTBottomTab")</f>
        <v>TTBottomTab</v>
      </c>
      <c r="C916" s="0" t="str">
        <f>IFERROR(__xludf.DUMMYFUNCTION("""COMPUTED_VALUE"""),"1DUwxSUq_47EK60XmK3LOdCXa1fkWqWJE9bLuGS3ccv412")</f>
        <v>1DUwxSUq_47EK60XmK3LOdCXa1fkWqWJE9bLuGS3ccv412</v>
      </c>
    </row>
    <row r="917" ht="15.75" customHeight="1">
      <c r="A917" s="0" t="str">
        <f>IFERROR(__xludf.DUMMYFUNCTION("""COMPUTED_VALUE"""),"TradingTicket")</f>
        <v>TradingTicket</v>
      </c>
      <c r="B917" s="0" t="str">
        <f>IFERROR(__xludf.DUMMYFUNCTION("""COMPUTED_VALUE"""),"TTBottomSwap")</f>
        <v>TTBottomSwap</v>
      </c>
      <c r="C917" s="0" t="str">
        <f>IFERROR(__xludf.DUMMYFUNCTION("""COMPUTED_VALUE"""),"1DUwxSUq_47EK60XmK3LOdCXa1fkWqWJE9bLuGS3ccv412")</f>
        <v>1DUwxSUq_47EK60XmK3LOdCXa1fkWqWJE9bLuGS3ccv412</v>
      </c>
    </row>
    <row r="918" ht="15.75" customHeight="1">
      <c r="A918" s="0" t="str">
        <f>IFERROR(__xludf.DUMMYFUNCTION("""COMPUTED_VALUE"""),"Blotter")</f>
        <v>Blotter</v>
      </c>
      <c r="B918" s="0" t="str">
        <f>IFERROR(__xludf.DUMMYFUNCTION("""COMPUTED_VALUE"""),"CreateHotButtonOnBlotter")</f>
        <v>CreateHotButtonOnBlotter</v>
      </c>
      <c r="C918" s="0" t="str">
        <f>IFERROR(__xludf.DUMMYFUNCTION("""COMPUTED_VALUE"""),"1Yu7Fb6AjhUP8b-KuRJvgAwq8TykNK6BDh9F0Xpf12Ek")</f>
        <v>1Yu7Fb6AjhUP8b-KuRJvgAwq8TykNK6BDh9F0Xpf12Ek</v>
      </c>
    </row>
    <row r="919" ht="15.75" customHeight="1">
      <c r="A919" s="0" t="str">
        <f>IFERROR(__xludf.DUMMYFUNCTION("""COMPUTED_VALUE"""),"Blotter")</f>
        <v>Blotter</v>
      </c>
      <c r="B919" s="0" t="str">
        <f>IFERROR(__xludf.DUMMYFUNCTION("""COMPUTED_VALUE"""),"FillHBdetailsOnBlotter")</f>
        <v>FillHBdetailsOnBlotter</v>
      </c>
      <c r="C919" s="0" t="str">
        <f>IFERROR(__xludf.DUMMYFUNCTION("""COMPUTED_VALUE"""),"13Isj5c5k8kObxI-GBT6Ir9VBOz_46lzhwVxXXVP8jQU")</f>
        <v>13Isj5c5k8kObxI-GBT6Ir9VBOz_46lzhwVxXXVP8jQU</v>
      </c>
    </row>
    <row r="920" ht="15.75" customHeight="1">
      <c r="A920" s="0" t="str">
        <f>IFERROR(__xludf.DUMMYFUNCTION("""COMPUTED_VALUE"""),"TradingTicket")</f>
        <v>TradingTicket</v>
      </c>
      <c r="B920" s="0" t="str">
        <f>IFERROR(__xludf.DUMMYFUNCTION("""COMPUTED_VALUE"""),"EditAuecWindow")</f>
        <v>EditAuecWindow</v>
      </c>
      <c r="C920" s="0" t="str">
        <f>IFERROR(__xludf.DUMMYFUNCTION("""COMPUTED_VALUE"""),"1ottlNphVbp0AC-UFd-HlDpCLwOA2yWO1pN6eR3ML7vA")</f>
        <v>1ottlNphVbp0AC-UFd-HlDpCLwOA2yWO1pN6eR3ML7vA</v>
      </c>
    </row>
    <row r="921" ht="15.75" customHeight="1">
      <c r="A921" s="0" t="str">
        <f>IFERROR(__xludf.DUMMYFUNCTION("""COMPUTED_VALUE"""),"TradingTicket")</f>
        <v>TradingTicket</v>
      </c>
      <c r="B921" s="0" t="str">
        <f>IFERROR(__xludf.DUMMYFUNCTION("""COMPUTED_VALUE"""),"VerifyBrokerSummary")</f>
        <v>VerifyBrokerSummary</v>
      </c>
      <c r="C921" s="0" t="str">
        <f>IFERROR(__xludf.DUMMYFUNCTION("""COMPUTED_VALUE"""),"11hMxlfIQYwM8vPN2h--IGp7O02EDFbvJ4CSvjSfGsMY")</f>
        <v>11hMxlfIQYwM8vPN2h--IGp7O02EDFbvJ4CSvjSfGsMY</v>
      </c>
    </row>
    <row r="922" ht="15.75" customHeight="1">
      <c r="A922" s="0" t="str">
        <f>IFERROR(__xludf.DUMMYFUNCTION("""COMPUTED_VALUE"""),"QTT")</f>
        <v>QTT</v>
      </c>
      <c r="B922" s="0" t="str">
        <f>IFERROR(__xludf.DUMMYFUNCTION("""COMPUTED_VALUE"""),"EditAuecWindowQTT")</f>
        <v>EditAuecWindowQTT</v>
      </c>
      <c r="C922" s="0" t="str">
        <f>IFERROR(__xludf.DUMMYFUNCTION("""COMPUTED_VALUE"""),"1oI_WY3xKQgSjp5JN67BMHtm3zazX5ZiMATISa2ssGB0")</f>
        <v>1oI_WY3xKQgSjp5JN67BMHtm3zazX5ZiMATISa2ssGB0</v>
      </c>
    </row>
    <row r="923" ht="15.75" customHeight="1">
      <c r="A923" s="0" t="str">
        <f>IFERROR(__xludf.DUMMYFUNCTION("""COMPUTED_VALUE"""),"QTT")</f>
        <v>QTT</v>
      </c>
      <c r="B923" s="0" t="str">
        <f>IFERROR(__xludf.DUMMYFUNCTION("""COMPUTED_VALUE"""),"VerifyBrokerSummaryQTT")</f>
        <v>VerifyBrokerSummaryQTT</v>
      </c>
      <c r="C923" s="0" t="str">
        <f>IFERROR(__xludf.DUMMYFUNCTION("""COMPUTED_VALUE"""),"1O6-eqYsZqtvYR6DOH7UM2_Jwpq9pB9uyZvgh5vEhVAI")</f>
        <v>1O6-eqYsZqtvYR6DOH7UM2_Jwpq9pB9uyZvgh5vEhVAI</v>
      </c>
    </row>
    <row r="924" ht="15.75" customHeight="1">
      <c r="A924" s="0" t="str">
        <f>IFERROR(__xludf.DUMMYFUNCTION("""COMPUTED_VALUE"""),"QTT")</f>
        <v>QTT</v>
      </c>
      <c r="B924" s="0" t="str">
        <f>IFERROR(__xludf.DUMMYFUNCTION("""COMPUTED_VALUE"""),"SaveQTThotKey")</f>
        <v>SaveQTThotKey</v>
      </c>
      <c r="C924" s="0" t="str">
        <f>IFERROR(__xludf.DUMMYFUNCTION("""COMPUTED_VALUE"""),"Undefined")</f>
        <v>Undefined</v>
      </c>
    </row>
    <row r="925" ht="15.75" customHeight="1">
      <c r="A925" s="0" t="str">
        <f>IFERROR(__xludf.DUMMYFUNCTION("""COMPUTED_VALUE"""),"Blotter")</f>
        <v>Blotter</v>
      </c>
      <c r="B925" s="0" t="str">
        <f>IFERROR(__xludf.DUMMYFUNCTION("""COMPUTED_VALUE"""),"BlotterColumnChooser")</f>
        <v>BlotterColumnChooser</v>
      </c>
      <c r="C925" s="0" t="str">
        <f>IFERROR(__xludf.DUMMYFUNCTION("""COMPUTED_VALUE"""),"12428TbyucuJDD3KuN7QG-GyRYI3gcoyDNKTQ2UpgGMQ")</f>
        <v>12428TbyucuJDD3KuN7QG-GyRYI3gcoyDNKTQ2UpgGMQ</v>
      </c>
    </row>
    <row r="926" ht="15.75" customHeight="1">
      <c r="A926" s="0" t="str">
        <f>IFERROR(__xludf.DUMMYFUNCTION("""COMPUTED_VALUE"""),"RTPNL")</f>
        <v>RTPNL</v>
      </c>
      <c r="B926" s="0" t="str">
        <f>IFERROR(__xludf.DUMMYFUNCTION("""COMPUTED_VALUE"""),"CreateGroupingWidget")</f>
        <v>CreateGroupingWidget</v>
      </c>
      <c r="C926" s="0" t="str">
        <f>IFERROR(__xludf.DUMMYFUNCTION("""COMPUTED_VALUE"""),"1ctXhgvJgrqqe8ees0907Up0TKq9pCEhinMlZnRGqKdY")</f>
        <v>1ctXhgvJgrqqe8ees0907Up0TKq9pCEhinMlZnRGqKdY</v>
      </c>
    </row>
    <row r="927" ht="15.75" customHeight="1">
      <c r="A927" s="0" t="str">
        <f>IFERROR(__xludf.DUMMYFUNCTION("""COMPUTED_VALUE"""),"RTPNL")</f>
        <v>RTPNL</v>
      </c>
      <c r="B927" s="0" t="str">
        <f>IFERROR(__xludf.DUMMYFUNCTION("""COMPUTED_VALUE"""),"CheckGroupingWidget")</f>
        <v>CheckGroupingWidget</v>
      </c>
      <c r="C927" s="0" t="str">
        <f>IFERROR(__xludf.DUMMYFUNCTION("""COMPUTED_VALUE"""),"16mimyUFzQ0Ojogh0t4Evjy-tjzAJ67xgIrWeTNmBdw0")</f>
        <v>16mimyUFzQ0Ojogh0t4Evjy-tjzAJ67xgIrWeTNmBdw0</v>
      </c>
    </row>
    <row r="928" ht="15.75" customHeight="1">
      <c r="A928" s="0" t="str">
        <f>IFERROR(__xludf.DUMMYFUNCTION("""COMPUTED_VALUE"""),"TradingTicket")</f>
        <v>TradingTicket</v>
      </c>
      <c r="B928" s="0" t="str">
        <f>IFERROR(__xludf.DUMMYFUNCTION("""COMPUTED_VALUE"""),"QTTHamburg")</f>
        <v>QTTHamburg</v>
      </c>
      <c r="C928" s="0" t="str">
        <f>IFERROR(__xludf.DUMMYFUNCTION("""COMPUTED_VALUE"""),"1pdXDcLRWAl2b2L88lHCntj01OLBjVHaNAdGG8OHa4hA")</f>
        <v>1pdXDcLRWAl2b2L88lHCntj01OLBjVHaNAdGG8OHa4hA</v>
      </c>
    </row>
    <row r="929" ht="15.75" customHeight="1">
      <c r="A929" s="0" t="str">
        <f>IFERROR(__xludf.DUMMYFUNCTION("""COMPUTED_VALUE"""),"RTPNL")</f>
        <v>RTPNL</v>
      </c>
      <c r="B929" s="0" t="str">
        <f>IFERROR(__xludf.DUMMYFUNCTION("""COMPUTED_VALUE"""),"VerifyL1L2PanelRTPNL")</f>
        <v>VerifyL1L2PanelRTPNL</v>
      </c>
      <c r="C929" s="0" t="str">
        <f>IFERROR(__xludf.DUMMYFUNCTION("""COMPUTED_VALUE"""),"1cQo_rX9O9XHFILj0ICV1GAU_RdtTKYlclT20jg9G7hg")</f>
        <v>1cQo_rX9O9XHFILj0ICV1GAU_RdtTKYlclT20jg9G7hg</v>
      </c>
    </row>
    <row r="930" ht="15.75" customHeight="1">
      <c r="A930" s="0" t="str">
        <f>IFERROR(__xludf.DUMMYFUNCTION("""COMPUTED_VALUE"""),"Blotter")</f>
        <v>Blotter</v>
      </c>
      <c r="B930" s="0" t="str">
        <f>IFERROR(__xludf.DUMMYFUNCTION("""COMPUTED_VALUE"""),"CaptureHotButtonDetails")</f>
        <v>CaptureHotButtonDetails</v>
      </c>
      <c r="C930" s="0" t="str">
        <f>IFERROR(__xludf.DUMMYFUNCTION("""COMPUTED_VALUE"""),"16Dail-EoPWyIhwRzxyvr-EY1IE8jJTUQDarvGnXioxI")</f>
        <v>16Dail-EoPWyIhwRzxyvr-EY1IE8jJTUQDarvGnXioxI</v>
      </c>
    </row>
    <row r="931" ht="15.75" customHeight="1">
      <c r="A931" s="0" t="str">
        <f>IFERROR(__xludf.DUMMYFUNCTION("""COMPUTED_VALUE"""),"SymbolLookup")</f>
        <v>SymbolLookup</v>
      </c>
      <c r="B931" s="0" t="str">
        <f>IFERROR(__xludf.DUMMYFUNCTION("""COMPUTED_VALUE"""),"EditSMGrid")</f>
        <v>EditSMGrid</v>
      </c>
      <c r="C931" s="0" t="str">
        <f>IFERROR(__xludf.DUMMYFUNCTION("""COMPUTED_VALUE"""),"14aTeLjmUbS-nhaQwjtZAMGxdQ5DS6UsBjE5OTWN-LQU")</f>
        <v>14aTeLjmUbS-nhaQwjtZAMGxdQ5DS6UsBjE5OTWN-LQU</v>
      </c>
    </row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50000</v>
      </c>
      <c r="E6" s="34">
        <v>50000</v>
      </c>
      <c r="F6" s="35" t="s">
        <v>18</v>
      </c>
      <c r="G6" s="35" t="s">
        <v>19</v>
      </c>
      <c r="H6" s="35"/>
      <c r="I6" s="35"/>
      <c r="J6" s="34">
        <v>10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GG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89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0"/>
      <c r="B6" s="31"/>
      <c r="C6" s="35" t="s">
        <v>16</v>
      </c>
      <c r="D6" s="37">
        <v>50000</v>
      </c>
      <c r="E6" s="35" t="s">
        <v>18</v>
      </c>
      <c r="F6" s="35"/>
      <c r="G6" s="34">
        <v>10</v>
      </c>
      <c r="H6" s="35"/>
      <c r="I6" s="35"/>
      <c r="J6" s="35"/>
      <c r="K6" s="35"/>
      <c r="L6" s="35"/>
      <c r="M6" s="35"/>
      <c r="N6" s="34">
        <v>0</v>
      </c>
      <c r="O6" s="35"/>
      <c r="P6" s="35"/>
      <c r="Q6" s="38">
        <v>0</v>
      </c>
      <c r="R6" s="35"/>
      <c r="S6" s="35"/>
      <c r="T6" s="36" t="s">
        <v>22</v>
      </c>
      <c r="U6" s="36" t="s">
        <v>23</v>
      </c>
      <c r="V6" s="36"/>
      <c r="W6" s="36"/>
      <c r="X6" s="36"/>
      <c r="Y6" s="36"/>
      <c r="Z6" s="36"/>
      <c r="AA6" s="36"/>
      <c r="AB6" s="39">
        <v>0</v>
      </c>
      <c r="AC6" s="36"/>
      <c r="AD6" s="39">
        <v>0</v>
      </c>
      <c r="AE6" s="39">
        <v>0</v>
      </c>
      <c r="AF6" s="40">
        <v>50000</v>
      </c>
      <c r="AG6" s="39">
        <v>0</v>
      </c>
      <c r="AH6" s="39">
        <v>0</v>
      </c>
      <c r="AI6" s="39">
        <v>0</v>
      </c>
      <c r="AJ6" s="39">
        <v>0</v>
      </c>
      <c r="AK6" s="40">
        <v>-500000</v>
      </c>
      <c r="AL6" s="39">
        <v>1</v>
      </c>
      <c r="AM6" s="36"/>
      <c r="AN6" s="41" t="s">
        <v>17</v>
      </c>
      <c r="AO6" s="36"/>
      <c r="AP6" s="36" t="s">
        <v>24</v>
      </c>
      <c r="AQ6" s="36" t="s">
        <v>16</v>
      </c>
      <c r="AR6" s="36"/>
      <c r="AS6" s="36"/>
      <c r="AT6" s="36"/>
      <c r="AU6" s="36"/>
      <c r="AV6" s="36"/>
      <c r="AW6" s="36"/>
      <c r="AX6" s="39">
        <v>0</v>
      </c>
      <c r="AY6" s="39">
        <v>0</v>
      </c>
      <c r="AZ6" s="39">
        <v>0</v>
      </c>
      <c r="BA6" s="36"/>
      <c r="BB6" s="36"/>
      <c r="BC6" s="36"/>
      <c r="BD6" s="40">
        <v>-500000</v>
      </c>
      <c r="BE6" s="36"/>
      <c r="BF6" s="36"/>
      <c r="BG6" s="36"/>
      <c r="BH6" s="36"/>
      <c r="BI6" s="36"/>
      <c r="BJ6" s="39">
        <v>0</v>
      </c>
      <c r="BK6" s="39">
        <v>0</v>
      </c>
      <c r="BL6" s="39">
        <v>0</v>
      </c>
      <c r="BM6" s="39">
        <v>0</v>
      </c>
      <c r="BN6" s="36"/>
      <c r="BO6" s="39">
        <v>0</v>
      </c>
      <c r="BP6" s="39">
        <v>0</v>
      </c>
      <c r="BQ6" s="36"/>
      <c r="BR6" s="36" t="s">
        <v>19</v>
      </c>
      <c r="BS6" s="39">
        <v>0</v>
      </c>
      <c r="BT6" s="39">
        <v>0</v>
      </c>
      <c r="BU6" s="36"/>
      <c r="BV6" s="36"/>
      <c r="BW6" s="39">
        <v>0</v>
      </c>
      <c r="BX6" s="39">
        <v>0</v>
      </c>
      <c r="BY6" s="39">
        <v>0</v>
      </c>
      <c r="BZ6" s="39">
        <v>0</v>
      </c>
      <c r="CA6" s="39">
        <v>0</v>
      </c>
      <c r="CB6" s="36"/>
      <c r="CC6" s="39">
        <v>0</v>
      </c>
      <c r="CD6" s="39">
        <v>0</v>
      </c>
      <c r="CE6" s="39">
        <v>0</v>
      </c>
      <c r="CF6" s="39">
        <v>0</v>
      </c>
      <c r="CG6" s="39">
        <v>0</v>
      </c>
      <c r="CH6" s="39">
        <v>0</v>
      </c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9">
        <v>0</v>
      </c>
      <c r="DF6" s="39">
        <v>0</v>
      </c>
      <c r="DG6" s="39">
        <v>0</v>
      </c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9">
        <v>0</v>
      </c>
      <c r="EH6" s="39">
        <v>0</v>
      </c>
      <c r="EI6" s="39">
        <v>0</v>
      </c>
      <c r="EJ6" s="39">
        <v>0</v>
      </c>
      <c r="EK6" s="39">
        <v>0</v>
      </c>
      <c r="EL6" s="36"/>
      <c r="EM6" s="39">
        <v>0</v>
      </c>
      <c r="EN6" s="39">
        <v>0</v>
      </c>
      <c r="EO6" s="39">
        <v>0</v>
      </c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IFERROR(__xludf.DUMMYFUNCTION("""COMPUTED_VALUE"""),"Order Side")</f>
        <v>Order Side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5" t="s">
        <v>16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ClosePositionFromPM!$4:$4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26</v>
      </c>
      <c r="D6" s="33">
        <v>50000</v>
      </c>
      <c r="E6" s="35"/>
      <c r="F6" s="35" t="s">
        <v>18</v>
      </c>
      <c r="G6" s="35" t="s">
        <v>19</v>
      </c>
      <c r="H6" s="35"/>
      <c r="I6" s="35"/>
      <c r="J6" s="34">
        <v>20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 t="str">
        <f>IFERROR(__xludf.DUMMYFUNCTION("""COMPUTED_VALUE"""),"MandatoryColumn")</f>
        <v>MandatoryColumn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5" t="s">
        <v>22</v>
      </c>
      <c r="D6" s="31"/>
      <c r="E6" s="35"/>
      <c r="F6" s="35"/>
      <c r="G6" s="35"/>
      <c r="H6" s="37">
        <v>1000000</v>
      </c>
      <c r="I6" s="34">
        <v>20</v>
      </c>
      <c r="J6" s="35"/>
      <c r="K6" s="35"/>
      <c r="L6" s="35"/>
      <c r="M6" s="37">
        <v>50000</v>
      </c>
      <c r="N6" s="35"/>
      <c r="O6" s="35"/>
      <c r="P6" s="32" t="s">
        <v>26</v>
      </c>
      <c r="Q6" s="35"/>
      <c r="R6" s="35" t="s">
        <v>16</v>
      </c>
      <c r="S6" s="35"/>
      <c r="T6" s="36"/>
      <c r="U6" s="36"/>
      <c r="V6" s="36"/>
      <c r="W6" s="36"/>
      <c r="X6" s="41">
        <v>20</v>
      </c>
      <c r="Y6" s="41">
        <v>0</v>
      </c>
      <c r="Z6" s="41">
        <v>0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 t="str">
        <f>IFERROR(__xludf.DUMMYFUNCTION("""COMPUTED_VALUE"""),"CustomUDA1")</f>
        <v>CustomUDA1</v>
      </c>
      <c r="AC5" s="29" t="str">
        <f>IFERROR(__xludf.DUMMYFUNCTION("""COMPUTED_VALUE"""),"CustomUDA2")</f>
        <v>CustomUDA2</v>
      </c>
      <c r="AD5" s="29" t="str">
        <f>IFERROR(__xludf.DUMMYFUNCTION("""COMPUTED_VALUE"""),"CustomUDA3")</f>
        <v>CustomUDA3</v>
      </c>
      <c r="AE5" s="29" t="str">
        <f>IFERROR(__xludf.DUMMYFUNCTION("""COMPUTED_VALUE"""),"CustomUDA4")</f>
        <v>CustomUDA4</v>
      </c>
      <c r="AF5" s="29" t="str">
        <f>IFERROR(__xludf.DUMMYFUNCTION("""COMPUTED_VALUE"""),"CustomUDA5")</f>
        <v>CustomUDA5</v>
      </c>
      <c r="AG5" s="29" t="str">
        <f>IFERROR(__xludf.DUMMYFUNCTION("""COMPUTED_VALUE"""),"CustomUDA6")</f>
        <v>CustomUDA6</v>
      </c>
      <c r="AH5" s="29" t="str">
        <f>IFERROR(__xludf.DUMMYFUNCTION("""COMPUTED_VALUE"""),"CustomUDA7")</f>
        <v>CustomUDA7</v>
      </c>
      <c r="AI5" s="29" t="str">
        <f>IFERROR(__xludf.DUMMYFUNCTION("""COMPUTED_VALUE"""),"CustomUDA8")</f>
        <v>CustomUDA8</v>
      </c>
      <c r="AJ5" s="29" t="str">
        <f>IFERROR(__xludf.DUMMYFUNCTION("""COMPUTED_VALUE"""),"CustomUDA9")</f>
        <v>CustomUDA9</v>
      </c>
      <c r="AK5" s="29" t="str">
        <f>IFERROR(__xludf.DUMMYFUNCTION("""COMPUTED_VALUE"""),"CustomUDA10")</f>
        <v>CustomUDA10</v>
      </c>
      <c r="AL5" s="29" t="str">
        <f>IFERROR(__xludf.DUMMYFUNCTION("""COMPUTED_VALUE"""),"CustomUDA11")</f>
        <v>CustomUDA11</v>
      </c>
      <c r="AM5" s="29" t="str">
        <f>IFERROR(__xludf.DUMMYFUNCTION("""COMPUTED_VALUE"""),"CustomUDA12")</f>
        <v>CustomUDA12</v>
      </c>
      <c r="AN5" s="29" t="str">
        <f>IFERROR(__xludf.DUMMYFUNCTION("""COMPUTED_VALUE"""),"MandatoryColumn")</f>
        <v>MandatoryColumn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5" t="s">
        <v>22</v>
      </c>
      <c r="D6" s="31"/>
      <c r="E6" s="35"/>
      <c r="F6" s="35"/>
      <c r="G6" s="35"/>
      <c r="H6" s="42">
        <v>500000</v>
      </c>
      <c r="I6" s="34">
        <v>10</v>
      </c>
      <c r="J6" s="35"/>
      <c r="K6" s="35"/>
      <c r="L6" s="35"/>
      <c r="M6" s="42">
        <v>50000</v>
      </c>
      <c r="N6" s="35"/>
      <c r="O6" s="35"/>
      <c r="P6" s="32" t="s">
        <v>17</v>
      </c>
      <c r="Q6" s="35"/>
      <c r="R6" s="35" t="s">
        <v>16</v>
      </c>
      <c r="S6" s="35"/>
      <c r="T6" s="36"/>
      <c r="U6" s="36"/>
      <c r="V6" s="36"/>
      <c r="W6" s="36"/>
      <c r="X6" s="39">
        <v>10</v>
      </c>
      <c r="Y6" s="41">
        <v>0</v>
      </c>
      <c r="Z6" s="41">
        <v>0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b">
        <v>0</v>
      </c>
      <c r="C6" s="44" t="b">
        <v>1</v>
      </c>
      <c r="D6" s="31" t="s">
        <v>33</v>
      </c>
      <c r="E6" s="35" t="s">
        <v>34</v>
      </c>
      <c r="F6" s="35" t="s">
        <v>35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IFERROR(__xludf.DUMMYFUNCTION("""COMPUTED_VALUE"""),"isRowCountCheck")</f>
        <v>isRowCountCheck</v>
      </c>
      <c r="AI5" s="29" t="str">
        <f>IFERROR(__xludf.DUMMYFUNCTION("""COMPUTED_VALUE"""),"MandatoryColumn")</f>
        <v>MandatoryColumn</v>
      </c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5"/>
      <c r="D6" s="31" t="s">
        <v>18</v>
      </c>
      <c r="E6" s="35"/>
      <c r="F6" s="32" t="s">
        <v>24</v>
      </c>
      <c r="G6" s="32" t="s">
        <v>22</v>
      </c>
      <c r="H6" s="35" t="s">
        <v>16</v>
      </c>
      <c r="I6" s="37">
        <v>50000</v>
      </c>
      <c r="J6" s="34">
        <v>10</v>
      </c>
      <c r="K6" s="34">
        <v>20</v>
      </c>
      <c r="L6" s="34">
        <v>0</v>
      </c>
      <c r="M6" s="35"/>
      <c r="N6" s="35"/>
      <c r="O6" s="35"/>
      <c r="P6" s="38">
        <v>0</v>
      </c>
      <c r="Q6" s="35"/>
      <c r="R6" s="35"/>
      <c r="S6" s="35"/>
      <c r="T6" s="36"/>
      <c r="U6" s="36"/>
      <c r="V6" s="36"/>
      <c r="W6" s="36"/>
      <c r="X6" s="41" t="s">
        <v>23</v>
      </c>
      <c r="Y6" s="36"/>
      <c r="Z6" s="36"/>
      <c r="AA6" s="36"/>
      <c r="AB6" s="41">
        <v>0</v>
      </c>
      <c r="AC6" s="36"/>
      <c r="AD6" s="36"/>
      <c r="AE6" s="32" t="s">
        <v>37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7">
        <v>50000</v>
      </c>
      <c r="E6" s="37">
        <v>50000</v>
      </c>
      <c r="F6" s="35"/>
      <c r="G6" s="35" t="s">
        <v>40</v>
      </c>
      <c r="H6" s="37">
        <v>50000</v>
      </c>
      <c r="I6" s="34">
        <v>10</v>
      </c>
      <c r="J6" s="34">
        <v>10</v>
      </c>
      <c r="K6" s="35" t="s">
        <v>19</v>
      </c>
      <c r="L6" s="35" t="s">
        <v>18</v>
      </c>
      <c r="M6" s="35"/>
      <c r="N6" s="35"/>
      <c r="O6" s="34">
        <v>0</v>
      </c>
      <c r="P6" s="35"/>
      <c r="Q6" s="35"/>
      <c r="R6" s="35"/>
      <c r="S6" s="35"/>
      <c r="T6" s="36"/>
      <c r="U6" s="36"/>
      <c r="V6" s="36"/>
      <c r="W6" s="41" t="s">
        <v>22</v>
      </c>
      <c r="X6" s="36"/>
      <c r="Y6" s="36"/>
      <c r="Z6" s="36"/>
      <c r="AA6" s="36"/>
      <c r="AB6" s="36"/>
      <c r="AC6" s="39">
        <v>0</v>
      </c>
      <c r="AD6" s="40">
        <v>500000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41" t="s">
        <v>26</v>
      </c>
      <c r="D7" s="45">
        <v>50000</v>
      </c>
      <c r="E7" s="45">
        <v>50000</v>
      </c>
      <c r="F7" s="36"/>
      <c r="G7" s="36" t="s">
        <v>40</v>
      </c>
      <c r="H7" s="45">
        <v>50000</v>
      </c>
      <c r="I7" s="46">
        <v>20</v>
      </c>
      <c r="J7" s="46">
        <v>20</v>
      </c>
      <c r="K7" s="36" t="s">
        <v>19</v>
      </c>
      <c r="L7" s="36" t="s">
        <v>18</v>
      </c>
      <c r="M7" s="36"/>
      <c r="N7" s="36"/>
      <c r="O7" s="46">
        <v>0</v>
      </c>
      <c r="P7" s="36"/>
      <c r="Q7" s="36"/>
      <c r="R7" s="36"/>
      <c r="S7" s="36"/>
      <c r="T7" s="36"/>
      <c r="U7" s="36"/>
      <c r="V7" s="36"/>
      <c r="W7" s="41" t="s">
        <v>22</v>
      </c>
      <c r="X7" s="36"/>
      <c r="Y7" s="36"/>
      <c r="Z7" s="36"/>
      <c r="AA7" s="36"/>
      <c r="AB7" s="36"/>
      <c r="AC7" s="39">
        <v>0</v>
      </c>
      <c r="AD7" s="40">
        <v>-1000000</v>
      </c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5"/>
      <c r="D6" s="31"/>
      <c r="E6" s="37">
        <v>50000</v>
      </c>
      <c r="F6" s="35"/>
      <c r="G6" s="35" t="s">
        <v>22</v>
      </c>
      <c r="H6" s="34">
        <v>0</v>
      </c>
      <c r="I6" s="34">
        <v>0</v>
      </c>
      <c r="J6" s="35"/>
      <c r="K6" s="34">
        <v>0</v>
      </c>
      <c r="L6" s="34">
        <v>10</v>
      </c>
      <c r="M6" s="35"/>
      <c r="N6" s="35"/>
      <c r="O6" s="35" t="s">
        <v>19</v>
      </c>
      <c r="P6" s="35"/>
      <c r="Q6" s="35"/>
      <c r="R6" s="38">
        <v>0</v>
      </c>
      <c r="S6" s="35" t="s">
        <v>44</v>
      </c>
      <c r="T6" s="39">
        <v>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40">
        <v>50000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9">
        <v>0</v>
      </c>
      <c r="AU6" s="40">
        <v>500000</v>
      </c>
      <c r="AV6" s="36"/>
      <c r="AW6" s="39">
        <v>0</v>
      </c>
      <c r="AX6" s="36"/>
      <c r="AY6" s="36" t="s">
        <v>45</v>
      </c>
      <c r="AZ6" s="39">
        <v>0</v>
      </c>
      <c r="BA6" s="36"/>
      <c r="BB6" s="36"/>
      <c r="BC6" s="39">
        <v>0</v>
      </c>
      <c r="BD6" s="36"/>
      <c r="BE6" s="39">
        <v>0</v>
      </c>
      <c r="BF6" s="40">
        <v>500000</v>
      </c>
      <c r="BG6" s="36"/>
      <c r="BH6" s="36"/>
      <c r="BI6" s="36"/>
      <c r="BJ6" s="40">
        <v>50000</v>
      </c>
      <c r="BK6" s="39">
        <v>0</v>
      </c>
      <c r="BL6" s="36"/>
      <c r="BM6" s="36"/>
      <c r="BN6" s="36"/>
      <c r="BO6" s="41" t="s">
        <v>17</v>
      </c>
      <c r="BP6" s="36"/>
      <c r="BQ6" s="36"/>
      <c r="BR6" s="36"/>
      <c r="BS6" s="36"/>
      <c r="BT6" s="36" t="s">
        <v>16</v>
      </c>
      <c r="BU6" s="36"/>
      <c r="BV6" s="36"/>
      <c r="BW6" s="39">
        <v>0</v>
      </c>
      <c r="BX6" s="36"/>
      <c r="BY6" s="36"/>
      <c r="BZ6" s="36"/>
      <c r="CA6" s="36"/>
      <c r="CB6" s="36"/>
      <c r="CC6" s="36"/>
      <c r="CD6" s="36"/>
      <c r="CE6" s="36"/>
      <c r="CF6" s="36"/>
      <c r="CG6" s="39">
        <v>0</v>
      </c>
      <c r="CH6" s="36"/>
      <c r="CI6" s="36"/>
      <c r="CJ6" s="39">
        <v>0</v>
      </c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18</v>
      </c>
      <c r="C7" s="36"/>
      <c r="D7" s="36"/>
      <c r="E7" s="45">
        <v>50000</v>
      </c>
      <c r="F7" s="36"/>
      <c r="G7" s="36" t="s">
        <v>22</v>
      </c>
      <c r="H7" s="46">
        <v>0</v>
      </c>
      <c r="I7" s="46">
        <v>0</v>
      </c>
      <c r="J7" s="36"/>
      <c r="K7" s="46">
        <v>0</v>
      </c>
      <c r="L7" s="46">
        <v>20</v>
      </c>
      <c r="M7" s="36"/>
      <c r="N7" s="36"/>
      <c r="O7" s="36" t="s">
        <v>19</v>
      </c>
      <c r="P7" s="36"/>
      <c r="Q7" s="36"/>
      <c r="R7" s="39">
        <v>0</v>
      </c>
      <c r="S7" s="36" t="s">
        <v>44</v>
      </c>
      <c r="T7" s="39">
        <v>0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40">
        <v>50000</v>
      </c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9">
        <v>0</v>
      </c>
      <c r="AU7" s="40">
        <v>1000000</v>
      </c>
      <c r="AV7" s="36"/>
      <c r="AW7" s="39">
        <v>0</v>
      </c>
      <c r="AX7" s="36"/>
      <c r="AY7" s="36" t="s">
        <v>45</v>
      </c>
      <c r="AZ7" s="39">
        <v>0</v>
      </c>
      <c r="BA7" s="36"/>
      <c r="BB7" s="36"/>
      <c r="BC7" s="39">
        <v>0</v>
      </c>
      <c r="BD7" s="36"/>
      <c r="BE7" s="39">
        <v>0</v>
      </c>
      <c r="BF7" s="40">
        <v>1000000</v>
      </c>
      <c r="BG7" s="36"/>
      <c r="BH7" s="36"/>
      <c r="BI7" s="36"/>
      <c r="BJ7" s="40">
        <v>50000</v>
      </c>
      <c r="BK7" s="39">
        <v>0</v>
      </c>
      <c r="BL7" s="36"/>
      <c r="BM7" s="36"/>
      <c r="BN7" s="36"/>
      <c r="BO7" s="41" t="s">
        <v>26</v>
      </c>
      <c r="BP7" s="36"/>
      <c r="BQ7" s="36"/>
      <c r="BR7" s="36"/>
      <c r="BS7" s="36"/>
      <c r="BT7" s="36" t="s">
        <v>16</v>
      </c>
      <c r="BU7" s="36"/>
      <c r="BV7" s="36"/>
      <c r="BW7" s="39">
        <v>0</v>
      </c>
      <c r="BX7" s="36"/>
      <c r="BY7" s="36"/>
      <c r="BZ7" s="36"/>
      <c r="CA7" s="36"/>
      <c r="CB7" s="36"/>
      <c r="CC7" s="36"/>
      <c r="CD7" s="36"/>
      <c r="CE7" s="36"/>
      <c r="CF7" s="36"/>
      <c r="CG7" s="39">
        <v>0</v>
      </c>
      <c r="CH7" s="36"/>
      <c r="CI7" s="36"/>
      <c r="CJ7" s="39">
        <v>0</v>
      </c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GG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89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0"/>
      <c r="B6" s="31"/>
      <c r="C6" s="35" t="s">
        <v>16</v>
      </c>
      <c r="D6" s="37">
        <v>50000</v>
      </c>
      <c r="E6" s="35" t="s">
        <v>18</v>
      </c>
      <c r="F6" s="35"/>
      <c r="G6" s="34">
        <v>10</v>
      </c>
      <c r="H6" s="35"/>
      <c r="I6" s="35"/>
      <c r="J6" s="35"/>
      <c r="K6" s="32">
        <v>0</v>
      </c>
      <c r="L6" s="35"/>
      <c r="M6" s="35"/>
      <c r="N6" s="34">
        <v>0</v>
      </c>
      <c r="O6" s="35"/>
      <c r="P6" s="35"/>
      <c r="Q6" s="38">
        <v>0</v>
      </c>
      <c r="R6" s="35"/>
      <c r="S6" s="35"/>
      <c r="T6" s="36" t="s">
        <v>22</v>
      </c>
      <c r="U6" s="36" t="s">
        <v>23</v>
      </c>
      <c r="V6" s="36"/>
      <c r="W6" s="36"/>
      <c r="X6" s="36"/>
      <c r="Y6" s="36"/>
      <c r="Z6" s="36"/>
      <c r="AA6" s="36"/>
      <c r="AB6" s="39">
        <v>0</v>
      </c>
      <c r="AC6" s="36"/>
      <c r="AD6" s="39">
        <v>0</v>
      </c>
      <c r="AE6" s="39">
        <v>0</v>
      </c>
      <c r="AF6" s="40">
        <v>50000</v>
      </c>
      <c r="AG6" s="39">
        <v>0</v>
      </c>
      <c r="AH6" s="39">
        <v>0</v>
      </c>
      <c r="AI6" s="39">
        <v>0</v>
      </c>
      <c r="AJ6" s="39">
        <v>0</v>
      </c>
      <c r="AK6" s="40">
        <v>-500000</v>
      </c>
      <c r="AL6" s="39">
        <v>1</v>
      </c>
      <c r="AM6" s="36"/>
      <c r="AN6" s="41" t="s">
        <v>17</v>
      </c>
      <c r="AO6" s="36"/>
      <c r="AP6" s="36" t="s">
        <v>24</v>
      </c>
      <c r="AQ6" s="36" t="s">
        <v>16</v>
      </c>
      <c r="AR6" s="36"/>
      <c r="AS6" s="36"/>
      <c r="AT6" s="36"/>
      <c r="AU6" s="36"/>
      <c r="AV6" s="36"/>
      <c r="AW6" s="36"/>
      <c r="AX6" s="39">
        <v>0</v>
      </c>
      <c r="AY6" s="39">
        <v>0</v>
      </c>
      <c r="AZ6" s="39">
        <v>0</v>
      </c>
      <c r="BA6" s="36"/>
      <c r="BB6" s="36"/>
      <c r="BC6" s="36"/>
      <c r="BD6" s="40">
        <v>-500000</v>
      </c>
      <c r="BE6" s="36"/>
      <c r="BF6" s="36"/>
      <c r="BG6" s="36"/>
      <c r="BH6" s="36"/>
      <c r="BI6" s="36"/>
      <c r="BJ6" s="39">
        <v>0</v>
      </c>
      <c r="BK6" s="39">
        <v>0</v>
      </c>
      <c r="BL6" s="39">
        <v>0</v>
      </c>
      <c r="BM6" s="39">
        <v>0</v>
      </c>
      <c r="BN6" s="36"/>
      <c r="BO6" s="39">
        <v>0</v>
      </c>
      <c r="BP6" s="39">
        <v>0</v>
      </c>
      <c r="BQ6" s="36"/>
      <c r="BR6" s="36" t="s">
        <v>19</v>
      </c>
      <c r="BS6" s="39">
        <v>0</v>
      </c>
      <c r="BT6" s="39">
        <v>0</v>
      </c>
      <c r="BU6" s="36"/>
      <c r="BV6" s="36"/>
      <c r="BW6" s="39">
        <v>0</v>
      </c>
      <c r="BX6" s="39">
        <v>0</v>
      </c>
      <c r="BY6" s="39">
        <v>0</v>
      </c>
      <c r="BZ6" s="39">
        <v>0</v>
      </c>
      <c r="CA6" s="39">
        <v>0</v>
      </c>
      <c r="CB6" s="36"/>
      <c r="CC6" s="39">
        <v>0</v>
      </c>
      <c r="CD6" s="39">
        <v>0</v>
      </c>
      <c r="CE6" s="39">
        <v>0</v>
      </c>
      <c r="CF6" s="39">
        <v>0</v>
      </c>
      <c r="CG6" s="39">
        <v>0</v>
      </c>
      <c r="CH6" s="39">
        <v>0</v>
      </c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9">
        <v>0</v>
      </c>
      <c r="DF6" s="39">
        <v>0</v>
      </c>
      <c r="DG6" s="39">
        <v>0</v>
      </c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9">
        <v>0</v>
      </c>
      <c r="EH6" s="39">
        <v>0</v>
      </c>
      <c r="EI6" s="39">
        <v>0</v>
      </c>
      <c r="EJ6" s="39">
        <v>0</v>
      </c>
      <c r="EK6" s="39">
        <v>0</v>
      </c>
      <c r="EL6" s="36"/>
      <c r="EM6" s="39">
        <v>0</v>
      </c>
      <c r="EN6" s="39">
        <v>0</v>
      </c>
      <c r="EO6" s="39">
        <v>0</v>
      </c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</row>
    <row r="7" ht="15.75" customHeight="1">
      <c r="A7" s="36"/>
      <c r="B7" s="36"/>
      <c r="C7" s="36" t="s">
        <v>16</v>
      </c>
      <c r="D7" s="45">
        <v>-50000</v>
      </c>
      <c r="E7" s="36" t="s">
        <v>18</v>
      </c>
      <c r="F7" s="36"/>
      <c r="G7" s="46">
        <v>20</v>
      </c>
      <c r="H7" s="36"/>
      <c r="I7" s="36"/>
      <c r="J7" s="36"/>
      <c r="K7" s="46">
        <v>0</v>
      </c>
      <c r="L7" s="36"/>
      <c r="M7" s="36"/>
      <c r="N7" s="46">
        <v>0</v>
      </c>
      <c r="O7" s="36"/>
      <c r="P7" s="36"/>
      <c r="Q7" s="39">
        <v>0</v>
      </c>
      <c r="R7" s="36"/>
      <c r="S7" s="36"/>
      <c r="T7" s="36" t="s">
        <v>22</v>
      </c>
      <c r="U7" s="36" t="s">
        <v>23</v>
      </c>
      <c r="V7" s="36"/>
      <c r="W7" s="36"/>
      <c r="X7" s="36"/>
      <c r="Y7" s="36"/>
      <c r="Z7" s="36"/>
      <c r="AA7" s="36"/>
      <c r="AB7" s="39">
        <v>0</v>
      </c>
      <c r="AC7" s="36"/>
      <c r="AD7" s="39">
        <v>0</v>
      </c>
      <c r="AE7" s="39">
        <v>0</v>
      </c>
      <c r="AF7" s="40">
        <v>-50000</v>
      </c>
      <c r="AG7" s="39">
        <v>0</v>
      </c>
      <c r="AH7" s="39">
        <v>0</v>
      </c>
      <c r="AI7" s="39">
        <v>0</v>
      </c>
      <c r="AJ7" s="39">
        <v>0</v>
      </c>
      <c r="AK7" s="40">
        <v>1000000</v>
      </c>
      <c r="AL7" s="39">
        <v>1</v>
      </c>
      <c r="AM7" s="36"/>
      <c r="AN7" s="41" t="s">
        <v>26</v>
      </c>
      <c r="AO7" s="36"/>
      <c r="AP7" s="36" t="s">
        <v>24</v>
      </c>
      <c r="AQ7" s="36" t="s">
        <v>16</v>
      </c>
      <c r="AR7" s="36"/>
      <c r="AS7" s="36"/>
      <c r="AT7" s="36"/>
      <c r="AU7" s="36"/>
      <c r="AV7" s="36"/>
      <c r="AW7" s="36"/>
      <c r="AX7" s="39">
        <v>0</v>
      </c>
      <c r="AY7" s="39">
        <v>0</v>
      </c>
      <c r="AZ7" s="39">
        <v>0</v>
      </c>
      <c r="BA7" s="36"/>
      <c r="BB7" s="36"/>
      <c r="BC7" s="36"/>
      <c r="BD7" s="40">
        <v>1000000</v>
      </c>
      <c r="BE7" s="36"/>
      <c r="BF7" s="36"/>
      <c r="BG7" s="36"/>
      <c r="BH7" s="36"/>
      <c r="BI7" s="36"/>
      <c r="BJ7" s="39">
        <v>0</v>
      </c>
      <c r="BK7" s="39">
        <v>0</v>
      </c>
      <c r="BL7" s="39">
        <v>0</v>
      </c>
      <c r="BM7" s="39">
        <v>0</v>
      </c>
      <c r="BN7" s="36"/>
      <c r="BO7" s="39">
        <v>0</v>
      </c>
      <c r="BP7" s="39">
        <v>0</v>
      </c>
      <c r="BQ7" s="36"/>
      <c r="BR7" s="36" t="s">
        <v>19</v>
      </c>
      <c r="BS7" s="39">
        <v>0</v>
      </c>
      <c r="BT7" s="39">
        <v>0</v>
      </c>
      <c r="BU7" s="36"/>
      <c r="BV7" s="36"/>
      <c r="BW7" s="39">
        <v>0</v>
      </c>
      <c r="BX7" s="39">
        <v>0</v>
      </c>
      <c r="BY7" s="39">
        <v>0</v>
      </c>
      <c r="BZ7" s="39">
        <v>0</v>
      </c>
      <c r="CA7" s="39">
        <v>0</v>
      </c>
      <c r="CB7" s="36"/>
      <c r="CC7" s="39">
        <v>0</v>
      </c>
      <c r="CD7" s="39">
        <v>0</v>
      </c>
      <c r="CE7" s="39">
        <v>0</v>
      </c>
      <c r="CF7" s="39">
        <v>0</v>
      </c>
      <c r="CG7" s="39">
        <v>0</v>
      </c>
      <c r="CH7" s="39">
        <v>0</v>
      </c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9">
        <v>0</v>
      </c>
      <c r="DF7" s="39">
        <v>0</v>
      </c>
      <c r="DG7" s="39">
        <v>0</v>
      </c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9">
        <v>0</v>
      </c>
      <c r="EH7" s="39">
        <v>0</v>
      </c>
      <c r="EI7" s="39">
        <v>0</v>
      </c>
      <c r="EJ7" s="39">
        <v>0</v>
      </c>
      <c r="EK7" s="39">
        <v>0</v>
      </c>
      <c r="EL7" s="36"/>
      <c r="EM7" s="39">
        <v>0</v>
      </c>
      <c r="EN7" s="39">
        <v>0</v>
      </c>
      <c r="EO7" s="39">
        <v>0</v>
      </c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