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AddTabBlott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ReplaceSubOrder" sheetId="10" r:id="rId12"/>
    <sheet state="visible" name="CreateReplaceLiveOrder" sheetId="11" r:id="rId13"/>
    <sheet state="visible" name="SelectCheckBoxOnCustomTab" sheetId="12" r:id="rId14"/>
    <sheet state="visible" name="CancelAllSubs" sheetId="13" r:id="rId15"/>
    <sheet state="visible" name="SelectTradeOnOrderGrid" sheetId="14" r:id="rId16"/>
    <sheet state="visible" name="CancelAllSubs1" sheetId="15" r:id="rId17"/>
    <sheet state="visible" name="VerifyOrder" sheetId="16" r:id="rId18"/>
    <sheet state="visible" name="VerifySubOrder" sheetId="17" r:id="rId19"/>
    <sheet state="visible" name="RejectTrade" sheetId="18" r:id="rId20"/>
    <sheet state="visible" name="RefreshBlotter" sheetId="19" r:id="rId21"/>
  </sheets>
  <definedNames/>
  <calcPr/>
</workbook>
</file>

<file path=xl/sharedStrings.xml><?xml version="1.0" encoding="utf-8"?>
<sst xmlns="http://schemas.openxmlformats.org/spreadsheetml/2006/main" count="180" uniqueCount="47">
  <si>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</si>
  <si>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</si>
  <si>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</si>
  <si>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</si>
  <si>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</si>
  <si>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</si>
  <si>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</si>
  <si>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</si>
  <si>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</si>
  <si>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</si>
  <si>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</si>
  <si>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</si>
  <si>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</si>
  <si>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</si>
  <si>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</si>
  <si>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</si>
  <si>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Quantity_Check_100</t>
  </si>
  <si>
    <t>REQUIRES APPROVAL</t>
  </si>
  <si>
    <t>Blotter</t>
  </si>
  <si>
    <t>AddTabBlotter</t>
  </si>
  <si>
    <t>ABC</t>
  </si>
  <si>
    <t>Add Tab(Order)</t>
  </si>
  <si>
    <t>TradingTicket</t>
  </si>
  <si>
    <t>CreateLiveOrder</t>
  </si>
  <si>
    <t>IBM</t>
  </si>
  <si>
    <t>Buy</t>
  </si>
  <si>
    <t>Allocation1</t>
  </si>
  <si>
    <t>MS</t>
  </si>
  <si>
    <t>Yes</t>
  </si>
  <si>
    <t>Simulator</t>
  </si>
  <si>
    <t>SelectTrade</t>
  </si>
  <si>
    <t>AcknowledgeTrade</t>
  </si>
  <si>
    <t>ExecuteTrade</t>
  </si>
  <si>
    <t>ReplaceSubOrder</t>
  </si>
  <si>
    <t>PartiallyFilled</t>
  </si>
  <si>
    <t>CreateReplaceLiveOrder</t>
  </si>
  <si>
    <t>No</t>
  </si>
  <si>
    <t>SelectCheckBoxOnCustomTab</t>
  </si>
  <si>
    <t>CancelAllSubs</t>
  </si>
  <si>
    <t>SelectTradeOnOrderGrid</t>
  </si>
  <si>
    <t>VerifyOrder</t>
  </si>
  <si>
    <t>VerifySubOrder</t>
  </si>
  <si>
    <t>Cancelled</t>
  </si>
  <si>
    <t>RejectTrade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</si>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</sst>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20</v>
      </c>
      <c r="C6" s="30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24</v>
      </c>
      <c r="C6" s="34" t="s">
        <v>25</v>
      </c>
      <c r="D6" s="32">
        <v>100.0</v>
      </c>
      <c r="E6" s="36">
        <v>100.0</v>
      </c>
      <c r="F6" s="34" t="s">
        <v>26</v>
      </c>
      <c r="G6" s="34" t="s">
        <v>27</v>
      </c>
      <c r="H6" s="37"/>
      <c r="I6" s="37"/>
      <c r="J6" s="36">
        <v>2.0</v>
      </c>
      <c r="K6" s="37"/>
      <c r="L6" s="37"/>
      <c r="M6" s="37"/>
      <c r="N6" s="38">
        <f>today()</f>
        <v>45285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28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25</v>
      </c>
      <c r="C6" s="34" t="s">
        <v>24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25</v>
      </c>
      <c r="C6" s="34" t="s">
        <v>24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7"/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24</v>
      </c>
      <c r="AK6" s="37" t="s">
        <v>25</v>
      </c>
      <c r="AL6" s="37" t="s">
        <v>34</v>
      </c>
      <c r="AM6" s="37"/>
      <c r="AN6" s="37"/>
      <c r="AO6" s="37"/>
      <c r="AP6" s="37"/>
      <c r="AQ6" s="37"/>
      <c r="AR6" s="37"/>
      <c r="AS6" s="37"/>
      <c r="AT6" s="37" t="s">
        <v>27</v>
      </c>
      <c r="AU6" s="37" t="s">
        <v>26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7"/>
      <c r="D6" s="32">
        <v>1000.0</v>
      </c>
      <c r="E6" s="37"/>
      <c r="F6" s="37"/>
      <c r="G6" s="37"/>
      <c r="H6" s="37"/>
      <c r="I6" s="37"/>
      <c r="J6" s="36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28</v>
      </c>
      <c r="AP6" s="37"/>
      <c r="AQ6" s="37"/>
      <c r="AR6" s="37"/>
      <c r="AS6" s="37"/>
      <c r="AT6" s="37"/>
      <c r="AU6" s="39" t="s">
        <v>36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IFERROR(__xludf.DUMMYFUNCTION("""COMPUTED_VALUE"""),"Transaction Time")</f>
        <v>Transaction Time</v>
      </c>
      <c r="D5" s="27" t="str">
        <f>IFERROR(__xludf.DUMMYFUNCTION("""COMPUTED_VALUE"""),"Algo")</f>
        <v>Algo</v>
      </c>
      <c r="E5" s="27" t="str">
        <f>IFERROR(__xludf.DUMMYFUNCTION("""COMPUTED_VALUE"""),"Avg Fill Price (Base)")</f>
        <v>Avg Fill Price (Base)</v>
      </c>
      <c r="F5" s="28" t="str">
        <f>IFERROR(__xludf.DUMMYFUNCTION("""COMPUTED_VALUE"""),"Bloomberg Symbol")</f>
        <v>Bloomberg Symbol</v>
      </c>
      <c r="G5" s="27" t="str">
        <f>IFERROR(__xludf.DUMMYFUNCTION("""COMPUTED_VALUE"""),"Limit Price")</f>
        <v>Limit Price</v>
      </c>
      <c r="H5" s="27" t="str">
        <f>IFERROR(__xludf.DUMMYFUNCTION("""COMPUTED_VALUE"""),"Working Qty")</f>
        <v>Working Qty</v>
      </c>
      <c r="I5" s="27" t="str">
        <f>IFERROR(__xludf.DUMMYFUNCTION("""COMPUTED_VALUE"""),"Venue")</f>
        <v>Venue</v>
      </c>
      <c r="J5" s="27" t="str">
        <f>IFERROR(__xludf.DUMMYFUNCTION("""COMPUTED_VALUE"""),"User")</f>
        <v>User</v>
      </c>
      <c r="K5" s="27" t="str">
        <f>IFERROR(__xludf.DUMMYFUNCTION("""COMPUTED_VALUE"""),"Underlying Symbol")</f>
        <v>Underlying Symbol</v>
      </c>
      <c r="L5" s="27" t="str">
        <f>IFERROR(__xludf.DUMMYFUNCTION("""COMPUTED_VALUE"""),"Underlying Country")</f>
        <v>Underlying Country</v>
      </c>
      <c r="M5" s="27" t="str">
        <f>IFERROR(__xludf.DUMMYFUNCTION("""COMPUTED_VALUE"""),"Trader")</f>
        <v>Trader</v>
      </c>
      <c r="N5" s="27" t="str">
        <f>IFERROR(__xludf.DUMMYFUNCTION("""COMPUTED_VALUE"""),"Trade Attribute 1")</f>
        <v>Trade Attribute 1</v>
      </c>
      <c r="O5" s="27" t="str">
        <f>IFERROR(__xludf.DUMMYFUNCTION("""COMPUTED_VALUE"""),"Trade Attribute 2")</f>
        <v>Trade Attribute 2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4")</f>
        <v>Trade Attribute 4</v>
      </c>
      <c r="R5" s="27" t="str">
        <f>IFERROR(__xludf.DUMMYFUNCTION("""COMPUTED_VALUE"""),"Trade Attribute 5")</f>
        <v>Trade Attribute 5</v>
      </c>
      <c r="S5" s="27" t="str">
        <f>IFERROR(__xludf.DUMMYFUNCTION("""COMPUTED_VALUE"""),"Trade Attribute 6")</f>
        <v>Trade Attribute 6</v>
      </c>
      <c r="T5" s="29" t="str">
        <f>IFERROR(__xludf.DUMMYFUNCTION("""COMPUTED_VALUE"""),"Strike Price")</f>
        <v>Strike Price</v>
      </c>
      <c r="U5" s="29" t="str">
        <f>IFERROR(__xludf.DUMMYFUNCTION("""COMPUTED_VALUE"""),"Stop Price")</f>
        <v>Stop Price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IFERROR(__xludf.DUMMYFUNCTION("""COMPUTED_VALUE"""),"Target Qty")</f>
        <v>Target Qty</v>
      </c>
      <c r="AN5" s="29" t="str">
        <f>IFERROR(__xludf.DUMMYFUNCTION("""COMPUTED_VALUE"""),"Total Executed Qty")</f>
        <v>Total 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IFERROR(__xludf.DUMMYFUNCTION("""COMPUTED_VALUE"""),"Allocation Scheme Name")</f>
        <v>Allocation Scheme Name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9" t="s">
        <v>20</v>
      </c>
      <c r="C6" s="37"/>
      <c r="D6" s="30"/>
      <c r="E6" s="37"/>
      <c r="F6" s="34"/>
      <c r="G6" s="34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9" t="s">
        <v>24</v>
      </c>
      <c r="AK6" s="39" t="s">
        <v>25</v>
      </c>
      <c r="AL6" s="39" t="s">
        <v>34</v>
      </c>
      <c r="AM6" s="37"/>
      <c r="AN6" s="37"/>
      <c r="AO6" s="37"/>
      <c r="AP6" s="37"/>
      <c r="AQ6" s="37"/>
      <c r="AR6" s="37"/>
      <c r="AS6" s="37"/>
      <c r="AT6" s="39" t="s">
        <v>27</v>
      </c>
      <c r="AU6" s="39" t="s">
        <v>26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SelectCheckBoxOnCustomTab!$4:$4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34</v>
      </c>
      <c r="AS6" s="9" t="s">
        <v>27</v>
      </c>
      <c r="AT6" s="9" t="s">
        <v>26</v>
      </c>
      <c r="AZ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3"/>
      <c r="F6" s="12" t="s">
        <v>25</v>
      </c>
      <c r="G6" s="12" t="s">
        <v>34</v>
      </c>
      <c r="H6" s="8"/>
      <c r="I6" s="8"/>
      <c r="J6" s="8"/>
      <c r="K6" s="8"/>
      <c r="L6" s="8"/>
      <c r="M6" s="8"/>
      <c r="N6" s="8"/>
      <c r="O6" s="8"/>
      <c r="Q6" s="9" t="s">
        <v>27</v>
      </c>
      <c r="R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34</v>
      </c>
      <c r="AS6" s="9" t="s">
        <v>27</v>
      </c>
      <c r="AT6" s="9" t="s">
        <v>26</v>
      </c>
      <c r="AZ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34</v>
      </c>
      <c r="AL6" s="9">
        <v>100.0</v>
      </c>
      <c r="AS6" s="9" t="s">
        <v>27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42</v>
      </c>
      <c r="AL6" s="9">
        <v>100.0</v>
      </c>
      <c r="AQ6" s="9" t="s">
        <v>27</v>
      </c>
      <c r="AR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 t="s">
        <v>46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RefreshBlotter!$4:$4</formula1>
    </dataValidation>
  </dataValidations>
  <drawing r:id="rId1"/>
</worksheet>
</file>