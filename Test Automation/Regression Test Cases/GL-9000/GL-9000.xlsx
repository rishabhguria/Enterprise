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CashTransaction" sheetId="4" r:id="rId6"/>
    <sheet state="visible" name="AddCashTransaction" sheetId="5" r:id="rId7"/>
    <sheet state="visible" name="AddCashTransaction1" sheetId="6" r:id="rId8"/>
    <sheet state="visible" name="AddCashTransaction2" sheetId="7" r:id="rId9"/>
    <sheet state="visible" name="VerifyCashTransaction" sheetId="8" r:id="rId10"/>
    <sheet state="visible" name="GetForexConversion" sheetId="9" r:id="rId11"/>
    <sheet state="visible" name="UpdateForexConversionMonthly" sheetId="10" r:id="rId12"/>
    <sheet state="visible" name="GetActivityData" sheetId="11" r:id="rId13"/>
    <sheet state="visible" name="VerifyActivity" sheetId="12" r:id="rId14"/>
    <sheet state="visible" name="GetDividendData" sheetId="13" r:id="rId15"/>
    <sheet state="visible" name="VerifyDividend" sheetId="14" r:id="rId16"/>
    <sheet state="visible" name="VerifyDayEndCash" sheetId="15" r:id="rId17"/>
    <sheet state="visible" name="GetAccountBalance" sheetId="16" r:id="rId18"/>
    <sheet state="visible" name="GetDayEndCash" sheetId="17" r:id="rId19"/>
    <sheet state="visible" name="VerifyActivity1" sheetId="18" r:id="rId20"/>
    <sheet state="visible" name="GetRevaluationData" sheetId="19" r:id="rId21"/>
    <sheet state="visible" name="VerifyRevaluationData" sheetId="20" r:id="rId22"/>
    <sheet state="visible" name="SelectCashTransaction" sheetId="21" r:id="rId23"/>
    <sheet state="visible" name="EditCashTransaction" sheetId="22" r:id="rId24"/>
    <sheet state="visible" name="VerifyDividend1" sheetId="23" r:id="rId25"/>
    <sheet state="visible" name="GetDayEndCash1" sheetId="24" r:id="rId26"/>
    <sheet state="visible" name="GetAccountBalance1" sheetId="25" r:id="rId27"/>
    <sheet state="visible" name="VerifyActivity2" sheetId="26" r:id="rId28"/>
    <sheet state="visible" name="GetRevaluationData1" sheetId="27" r:id="rId29"/>
    <sheet state="visible" name="VerifyRevaluationData1" sheetId="28" r:id="rId30"/>
    <sheet state="visible" name="SelectCashTransaction1" sheetId="29" r:id="rId31"/>
    <sheet state="visible" name="DeleteCashTransaction" sheetId="30" r:id="rId32"/>
    <sheet state="visible" name="SelectCashTransaction2" sheetId="31" r:id="rId33"/>
    <sheet state="visible" name="DeleteCashTransaction1" sheetId="32" r:id="rId34"/>
    <sheet state="visible" name="SelectCashTransaction3" sheetId="33" r:id="rId35"/>
    <sheet state="visible" name="DeleteCashTransaction2" sheetId="34" r:id="rId36"/>
    <sheet state="visible" name="VerifyActivity3" sheetId="35" r:id="rId37"/>
    <sheet state="visible" name="VerifyRevaluationData2" sheetId="36" r:id="rId38"/>
  </sheets>
  <definedNames/>
  <calcPr/>
</workbook>
</file>

<file path=xl/sharedStrings.xml><?xml version="1.0" encoding="utf-8"?>
<sst xmlns="http://schemas.openxmlformats.org/spreadsheetml/2006/main" count="3951" uniqueCount="70">
  <si>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</si>
  <si>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</si>
  <si>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</si>
  <si>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</si>
  <si>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</si>
  <si>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</si>
  <si>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</si>
  <si>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</si>
  <si>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</si>
  <si>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</si>
  <si>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</si>
  <si>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</si>
  <si>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</si>
  <si>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GetCashTransaction</t>
  </si>
  <si>
    <t>Data Format</t>
  </si>
  <si>
    <t>Input Format</t>
  </si>
  <si>
    <t>Allocation1,Allocation2</t>
  </si>
  <si>
    <t>AddCashTransaction</t>
  </si>
  <si>
    <t>DividendIncome</t>
  </si>
  <si>
    <t>FRU-TC</t>
  </si>
  <si>
    <t>Allocation2</t>
  </si>
  <si>
    <t>CAD</t>
  </si>
  <si>
    <t>DividendExpense</t>
  </si>
  <si>
    <t>Allocation1</t>
  </si>
  <si>
    <t xml:space="preserve"> </t>
  </si>
  <si>
    <t>VerifyCashTransaction</t>
  </si>
  <si>
    <t>DailyValuation</t>
  </si>
  <si>
    <t>GetForexConversion</t>
  </si>
  <si>
    <t>UpdateForexConversionMonthly</t>
  </si>
  <si>
    <t>USD</t>
  </si>
  <si>
    <t>CAD A0-FX</t>
  </si>
  <si>
    <t>GetActivityData</t>
  </si>
  <si>
    <t>NewMF1</t>
  </si>
  <si>
    <t>Yes</t>
  </si>
  <si>
    <t>VerifyActivity</t>
  </si>
  <si>
    <t>Dividend</t>
  </si>
  <si>
    <t>Cash</t>
  </si>
  <si>
    <t>M</t>
  </si>
  <si>
    <t>Cash Transaction</t>
  </si>
  <si>
    <t>GetDividendData</t>
  </si>
  <si>
    <t>VerifyDividend</t>
  </si>
  <si>
    <t>Cash [Cash]</t>
  </si>
  <si>
    <t>DR</t>
  </si>
  <si>
    <t>Dividend - Receivable [Asset]</t>
  </si>
  <si>
    <t>CR</t>
  </si>
  <si>
    <t>Dividend - Income [Income]</t>
  </si>
  <si>
    <t>Dividend - Payable [Liability]</t>
  </si>
  <si>
    <t>Dividend - Expense [Expenses]</t>
  </si>
  <si>
    <t>VerifyDayEndCash</t>
  </si>
  <si>
    <t>GetAccountBalance</t>
  </si>
  <si>
    <t>GetDayEndCash</t>
  </si>
  <si>
    <t>Revaluation</t>
  </si>
  <si>
    <t>AccrualsRevaluation</t>
  </si>
  <si>
    <t>Accruals PNL Entry</t>
  </si>
  <si>
    <t>Contra Accruals PNL Entry</t>
  </si>
  <si>
    <t>Contra Accrual DayEnd FXRate PNL Entry</t>
  </si>
  <si>
    <t>Accrual to Unrealized DayEnd FXRate PNL Entry</t>
  </si>
  <si>
    <t>CashUnRealizedPNL</t>
  </si>
  <si>
    <t>Contra FXRate PNL Entry</t>
  </si>
  <si>
    <t>Cash to Unrealized FXRate PNL Entry</t>
  </si>
  <si>
    <t>Unrealized To Accrual DayEnd FXRate PNL Entry</t>
  </si>
  <si>
    <t>Cash PNL Entry</t>
  </si>
  <si>
    <t>Contra Cash PNL Entry</t>
  </si>
  <si>
    <t>GetRevaluationData</t>
  </si>
  <si>
    <t>VerifyRevaluationData</t>
  </si>
  <si>
    <t>Accruals UnRealized Profit And Loss [Income]</t>
  </si>
  <si>
    <t>Cash UnRealized Profit And Loss [Income]</t>
  </si>
  <si>
    <t>SelectCashTransaction</t>
  </si>
  <si>
    <t>EditCashTransaction</t>
  </si>
  <si>
    <t>DeleteCashTransaction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</si>
</sst>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"/>
    <numFmt numFmtId="166" formatCode="m/d/yyyy h:mm"/>
    <numFmt numFmtId="167" formatCode="mm/dd/yyyy"/>
    <numFmt numFmtId="168" formatCode="m/d/yyyy h:mm:ss am/pm"/>
  </numFmts>
  <fonts count="2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sz val="11.0"/>
      <color rgb="FF000000"/>
      <name val="Inconsolata"/>
    </font>
    <font>
      <color rgb="FFFFFFFF"/>
    </font>
    <font>
      <color rgb="FFD9D9D9"/>
      <name val="Calibri"/>
    </font>
    <font>
      <color rgb="FFD9D9D9"/>
    </font>
    <font>
      <sz val="10.0"/>
      <name val="Arial"/>
    </font>
    <font>
      <sz val="10.0"/>
      <color rgb="FFE7E8E9"/>
      <name val="Arial"/>
    </font>
    <font>
      <sz val="10.0"/>
      <color rgb="FF868686"/>
      <name val="Arial"/>
    </font>
    <font>
      <sz val="9.0"/>
      <color rgb="FF000000"/>
      <name val="Segoe UI"/>
    </font>
    <font>
      <sz val="9.0"/>
      <color rgb="FF000000"/>
      <name val="Verdana"/>
    </font>
    <font>
      <sz val="9.0"/>
      <color rgb="FF000000"/>
      <name val="Arial"/>
    </font>
    <font>
      <sz val="9.0"/>
      <color rgb="FFE7E8E9"/>
      <name val="Segoe UI"/>
    </font>
    <font>
      <sz val="9.0"/>
      <color rgb="FF868686"/>
      <name val="Segoe UI"/>
    </font>
    <font>
      <color rgb="FF000000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868686"/>
        <bgColor rgb="FF868686"/>
      </patternFill>
    </fill>
  </fills>
  <borders count="10">
    <border/>
    <border>
      <left/>
      <top/>
      <bottom/>
    </border>
    <border>
      <top/>
      <bottom/>
    </border>
    <border>
      <left/>
      <right/>
      <top/>
      <bottom/>
    </border>
    <border>
      <right/>
      <top/>
      <bottom/>
    </border>
    <border>
      <top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  <border>
      <right/>
      <top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0" fillId="0" fontId="5" numFmtId="0" xfId="0" applyAlignment="1" applyFont="1">
      <alignment readingOrder="0" shrinkToFit="0" wrapText="0"/>
    </xf>
    <xf borderId="3" fillId="3" fontId="8" numFmtId="0" xfId="0" applyAlignment="1" applyBorder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0" fontId="10" numFmtId="0" xfId="0" applyFont="1"/>
    <xf borderId="0" fillId="4" fontId="11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3" fillId="3" fontId="8" numFmtId="0" xfId="0" applyAlignment="1" applyBorder="1" applyFont="1">
      <alignment readingOrder="0" shrinkToFit="0" wrapText="0"/>
    </xf>
    <xf borderId="0" fillId="3" fontId="12" numFmtId="0" xfId="0" applyFont="1"/>
    <xf borderId="0" fillId="5" fontId="13" numFmtId="0" xfId="0" applyAlignment="1" applyFill="1" applyFont="1">
      <alignment shrinkToFit="0" wrapText="0"/>
    </xf>
    <xf borderId="0" fillId="5" fontId="14" numFmtId="0" xfId="0" applyFont="1"/>
    <xf borderId="0" fillId="6" fontId="4" numFmtId="0" xfId="0" applyAlignment="1" applyFill="1" applyFont="1">
      <alignment shrinkToFit="0" wrapText="0"/>
    </xf>
    <xf borderId="3" fillId="6" fontId="4" numFmtId="0" xfId="0" applyAlignment="1" applyBorder="1" applyFont="1">
      <alignment shrinkToFit="0" wrapText="0"/>
    </xf>
    <xf borderId="0" fillId="6" fontId="12" numFmtId="0" xfId="0" applyFont="1"/>
    <xf borderId="0" fillId="0" fontId="3" numFmtId="0" xfId="0" applyAlignment="1" applyFont="1">
      <alignment readingOrder="0" shrinkToFit="0" wrapText="0"/>
    </xf>
    <xf borderId="0" fillId="0" fontId="3" numFmtId="164" xfId="0" applyAlignment="1" applyFont="1" applyNumberFormat="1">
      <alignment shrinkToFit="0" wrapText="0"/>
    </xf>
    <xf borderId="0" fillId="0" fontId="3" numFmtId="164" xfId="0" applyAlignment="1" applyFont="1" applyNumberFormat="1">
      <alignment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0" fontId="3" numFmtId="0" xfId="0" applyFont="1"/>
    <xf borderId="4" fillId="0" fontId="2" numFmtId="0" xfId="0" applyBorder="1" applyFont="1"/>
    <xf borderId="3" fillId="6" fontId="4" numFmtId="0" xfId="0" applyAlignment="1" applyBorder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164" xfId="0" applyAlignment="1" applyBorder="1" applyFont="1" applyNumberFormat="1">
      <alignment horizontal="right" readingOrder="0" vertical="bottom"/>
    </xf>
    <xf borderId="5" fillId="0" fontId="3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5" numFmtId="165" xfId="0" applyAlignment="1" applyFont="1" applyNumberFormat="1">
      <alignment readingOrder="0" shrinkToFit="0" wrapText="0"/>
    </xf>
    <xf borderId="0" fillId="0" fontId="15" numFmtId="0" xfId="0" applyAlignment="1" applyFont="1">
      <alignment shrinkToFit="0" wrapText="0"/>
    </xf>
    <xf borderId="0" fillId="0" fontId="15" numFmtId="164" xfId="0" applyAlignment="1" applyFont="1" applyNumberFormat="1">
      <alignment shrinkToFit="0" wrapText="0"/>
    </xf>
    <xf borderId="0" fillId="0" fontId="15" numFmtId="0" xfId="0" applyFont="1"/>
    <xf borderId="6" fillId="6" fontId="4" numFmtId="0" xfId="0" applyAlignment="1" applyBorder="1" applyFont="1">
      <alignment shrinkToFit="0" wrapText="0"/>
    </xf>
    <xf borderId="6" fillId="6" fontId="4" numFmtId="0" xfId="0" applyAlignment="1" applyBorder="1" applyFont="1">
      <alignment readingOrder="0" shrinkToFit="0" wrapText="0"/>
    </xf>
    <xf borderId="0" fillId="4" fontId="15" numFmtId="0" xfId="0" applyAlignment="1" applyFont="1">
      <alignment shrinkToFit="0" wrapText="0"/>
    </xf>
    <xf borderId="0" fillId="4" fontId="0" numFmtId="0" xfId="0" applyAlignment="1" applyFont="1">
      <alignment horizontal="left"/>
    </xf>
    <xf borderId="0" fillId="4" fontId="0" numFmtId="166" xfId="0" applyAlignment="1" applyFont="1" applyNumberFormat="1">
      <alignment horizontal="left"/>
    </xf>
    <xf borderId="0" fillId="4" fontId="0" numFmtId="165" xfId="0" applyAlignment="1" applyFont="1" applyNumberFormat="1">
      <alignment horizontal="left"/>
    </xf>
    <xf borderId="0" fillId="4" fontId="0" numFmtId="164" xfId="0" applyAlignment="1" applyFont="1" applyNumberFormat="1">
      <alignment horizontal="left"/>
    </xf>
    <xf borderId="0" fillId="4" fontId="15" numFmtId="0" xfId="0" applyFont="1"/>
    <xf borderId="0" fillId="4" fontId="0" numFmtId="4" xfId="0" applyAlignment="1" applyFont="1" applyNumberFormat="1">
      <alignment horizontal="left"/>
    </xf>
    <xf borderId="0" fillId="4" fontId="0" numFmtId="167" xfId="0" applyAlignment="1" applyFont="1" applyNumberFormat="1">
      <alignment horizontal="left"/>
    </xf>
    <xf borderId="0" fillId="4" fontId="0" numFmtId="0" xfId="0" applyAlignment="1" applyFont="1">
      <alignment horizontal="left" readingOrder="0"/>
    </xf>
    <xf borderId="0" fillId="0" fontId="3" numFmtId="164" xfId="0" applyFont="1" applyNumberFormat="1"/>
    <xf borderId="0" fillId="0" fontId="5" numFmtId="164" xfId="0" applyAlignment="1" applyFont="1" applyNumberFormat="1">
      <alignment shrinkToFit="0" wrapText="0"/>
    </xf>
    <xf borderId="0" fillId="4" fontId="0" numFmtId="0" xfId="0" applyAlignment="1" applyFont="1">
      <alignment horizontal="right"/>
    </xf>
    <xf borderId="0" fillId="4" fontId="16" numFmtId="0" xfId="0" applyAlignment="1" applyFont="1">
      <alignment horizontal="right"/>
    </xf>
    <xf borderId="0" fillId="4" fontId="0" numFmtId="166" xfId="0" applyAlignment="1" applyFont="1" applyNumberFormat="1">
      <alignment horizontal="right"/>
    </xf>
    <xf borderId="0" fillId="4" fontId="17" numFmtId="0" xfId="0" applyAlignment="1" applyFont="1">
      <alignment horizontal="right"/>
    </xf>
    <xf borderId="0" fillId="4" fontId="0" numFmtId="164" xfId="0" applyAlignment="1" applyFont="1" applyNumberFormat="1">
      <alignment horizontal="left" readingOrder="0"/>
    </xf>
    <xf borderId="0" fillId="0" fontId="0" numFmtId="0" xfId="0" applyAlignment="1" applyFont="1">
      <alignment horizontal="left" readingOrder="0" shrinkToFit="0" wrapText="0"/>
    </xf>
    <xf borderId="0" fillId="4" fontId="0" numFmtId="0" xfId="0" applyAlignment="1" applyFont="1">
      <alignment horizontal="right" readingOrder="0"/>
    </xf>
    <xf borderId="0" fillId="4" fontId="0" numFmtId="168" xfId="0" applyAlignment="1" applyFont="1" applyNumberFormat="1">
      <alignment horizontal="left"/>
    </xf>
    <xf borderId="7" fillId="7" fontId="18" numFmtId="0" xfId="0" applyAlignment="1" applyBorder="1" applyFill="1" applyFont="1">
      <alignment horizontal="left" readingOrder="0" shrinkToFit="0" wrapText="0"/>
    </xf>
    <xf borderId="7" fillId="7" fontId="18" numFmtId="0" xfId="0" applyAlignment="1" applyBorder="1" applyFont="1">
      <alignment horizontal="right" readingOrder="0" shrinkToFit="0" wrapText="0"/>
    </xf>
    <xf borderId="7" fillId="7" fontId="18" numFmtId="0" xfId="0" applyAlignment="1" applyBorder="1" applyFont="1">
      <alignment horizontal="left" shrinkToFit="0" wrapText="0"/>
    </xf>
    <xf borderId="7" fillId="7" fontId="18" numFmtId="164" xfId="0" applyAlignment="1" applyBorder="1" applyFont="1" applyNumberFormat="1">
      <alignment horizontal="left" readingOrder="0" shrinkToFit="0" wrapText="0"/>
    </xf>
    <xf borderId="7" fillId="7" fontId="19" numFmtId="0" xfId="0" applyAlignment="1" applyBorder="1" applyFont="1">
      <alignment horizontal="left" readingOrder="0" shrinkToFit="0" wrapText="0"/>
    </xf>
    <xf borderId="7" fillId="8" fontId="18" numFmtId="0" xfId="0" applyAlignment="1" applyBorder="1" applyFill="1" applyFont="1">
      <alignment horizontal="left" readingOrder="0" shrinkToFit="0" wrapText="0"/>
    </xf>
    <xf borderId="7" fillId="8" fontId="18" numFmtId="0" xfId="0" applyAlignment="1" applyBorder="1" applyFont="1">
      <alignment horizontal="right" readingOrder="0" shrinkToFit="0" wrapText="0"/>
    </xf>
    <xf borderId="7" fillId="8" fontId="18" numFmtId="0" xfId="0" applyAlignment="1" applyBorder="1" applyFont="1">
      <alignment horizontal="left" shrinkToFit="0" wrapText="0"/>
    </xf>
    <xf borderId="7" fillId="8" fontId="18" numFmtId="164" xfId="0" applyAlignment="1" applyBorder="1" applyFont="1" applyNumberFormat="1">
      <alignment horizontal="left" readingOrder="0" shrinkToFit="0" wrapText="0"/>
    </xf>
    <xf borderId="7" fillId="8" fontId="19" numFmtId="0" xfId="0" applyAlignment="1" applyBorder="1" applyFont="1">
      <alignment horizontal="left" readingOrder="0" shrinkToFit="0" wrapText="0"/>
    </xf>
    <xf borderId="7" fillId="7" fontId="20" numFmtId="0" xfId="0" applyAlignment="1" applyBorder="1" applyFont="1">
      <alignment horizontal="right" readingOrder="0" shrinkToFit="0" wrapText="0"/>
    </xf>
    <xf borderId="7" fillId="7" fontId="18" numFmtId="165" xfId="0" applyAlignment="1" applyBorder="1" applyFont="1" applyNumberFormat="1">
      <alignment horizontal="left" readingOrder="0" shrinkToFit="0" wrapText="0"/>
    </xf>
    <xf borderId="7" fillId="8" fontId="18" numFmtId="165" xfId="0" applyAlignment="1" applyBorder="1" applyFont="1" applyNumberFormat="1">
      <alignment horizontal="left" readingOrder="0" shrinkToFit="0" wrapText="0"/>
    </xf>
    <xf borderId="8" fillId="7" fontId="18" numFmtId="165" xfId="0" applyAlignment="1" applyBorder="1" applyFont="1" applyNumberFormat="1">
      <alignment horizontal="left" readingOrder="0" shrinkToFit="0" wrapText="0"/>
    </xf>
    <xf borderId="8" fillId="7" fontId="18" numFmtId="0" xfId="0" applyAlignment="1" applyBorder="1" applyFont="1">
      <alignment horizontal="left" readingOrder="0" shrinkToFit="0" wrapText="0"/>
    </xf>
    <xf borderId="8" fillId="7" fontId="18" numFmtId="0" xfId="0" applyAlignment="1" applyBorder="1" applyFont="1">
      <alignment horizontal="left" shrinkToFit="0" wrapText="0"/>
    </xf>
    <xf borderId="8" fillId="7" fontId="18" numFmtId="0" xfId="0" applyAlignment="1" applyBorder="1" applyFont="1">
      <alignment horizontal="right" readingOrder="0" shrinkToFit="0" wrapText="0"/>
    </xf>
    <xf borderId="8" fillId="7" fontId="21" numFmtId="0" xfId="0" applyAlignment="1" applyBorder="1" applyFont="1">
      <alignment horizontal="right" readingOrder="0" shrinkToFit="0" wrapText="0"/>
    </xf>
    <xf borderId="8" fillId="9" fontId="18" numFmtId="0" xfId="0" applyAlignment="1" applyBorder="1" applyFill="1" applyFont="1">
      <alignment horizontal="left" readingOrder="0" shrinkToFit="0" wrapText="0"/>
    </xf>
    <xf borderId="8" fillId="9" fontId="22" numFmtId="0" xfId="0" applyAlignment="1" applyBorder="1" applyFont="1">
      <alignment horizontal="right" readingOrder="0" shrinkToFit="0" wrapText="0"/>
    </xf>
    <xf borderId="8" fillId="9" fontId="18" numFmtId="0" xfId="0" applyAlignment="1" applyBorder="1" applyFont="1">
      <alignment horizontal="right" readingOrder="0" shrinkToFit="0" wrapText="0"/>
    </xf>
    <xf borderId="8" fillId="7" fontId="20" numFmtId="0" xfId="0" applyAlignment="1" applyBorder="1" applyFont="1">
      <alignment horizontal="right" readingOrder="0" shrinkToFit="0" wrapText="0"/>
    </xf>
    <xf borderId="8" fillId="9" fontId="20" numFmtId="0" xfId="0" applyAlignment="1" applyBorder="1" applyFont="1">
      <alignment horizontal="right" readingOrder="0" shrinkToFit="0" wrapText="0"/>
    </xf>
    <xf borderId="7" fillId="8" fontId="20" numFmtId="0" xfId="0" applyAlignment="1" applyBorder="1" applyFont="1">
      <alignment horizontal="right" readingOrder="0" shrinkToFit="0" wrapText="0"/>
    </xf>
    <xf borderId="8" fillId="7" fontId="18" numFmtId="164" xfId="0" applyAlignment="1" applyBorder="1" applyFont="1" applyNumberFormat="1">
      <alignment horizontal="left" readingOrder="0" shrinkToFit="0" wrapText="0"/>
    </xf>
    <xf borderId="0" fillId="4" fontId="23" numFmtId="0" xfId="0" applyAlignment="1" applyFont="1">
      <alignment readingOrder="0"/>
    </xf>
    <xf borderId="9" fillId="0" fontId="3" numFmtId="0" xfId="0" applyAlignment="1" applyBorder="1" applyFont="1">
      <alignment shrinkToFit="0" vertical="bottom" wrapText="0"/>
    </xf>
    <xf borderId="5" fillId="0" fontId="3" numFmtId="164" xfId="0" applyAlignment="1" applyBorder="1" applyFont="1" applyNumberForma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IFERROR(__xludf.DUMMYFUNCTION("""COMPUTED_VALUE"""),"17_QBMicEOUihB2C-6dtz1DG3VfJj05Sk118TBLigcGQ")</f>
        <v>17_QBMicEOUihB2C-6dtz1DG3VfJj05Sk118TBLigcGQ</v>
      </c>
      <c r="D5" s="3"/>
      <c r="E5" s="3"/>
      <c r="F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IFERROR(__xludf.DUMMYFUNCTION("""COMPUTED_VALUE"""),"1hVcm2AM6tpl7LAL1inbzLF7lPKrzoS8Hf_xEf0r0QvU")</f>
        <v>1hVcm2AM6tpl7LAL1inbzLF7lPKrzoS8Hf_xEf0r0QvU</v>
      </c>
      <c r="D6" s="3"/>
      <c r="E6" s="3"/>
      <c r="F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IFERROR(__xludf.DUMMYFUNCTION("""COMPUTED_VALUE"""),"1xln1FAf_biSADXIchn7RxBiBbGXPZU2Qmiafzz63n_s")</f>
        <v>1xln1FAf_biSADXIchn7RxBiBbGXPZU2Qmiafzz63n_s</v>
      </c>
      <c r="D7" s="3"/>
      <c r="E7" s="3"/>
      <c r="F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IFERROR(__xludf.DUMMYFUNCTION("""COMPUTED_VALUE"""),"1ZJZn5gs7a2MhaEr-ryFvr-6l8Lrpw49ZtdxRjUmj2lE")</f>
        <v>1ZJZn5gs7a2MhaEr-ryFvr-6l8Lrpw49ZtdxRjUmj2lE</v>
      </c>
      <c r="D8" s="3"/>
      <c r="E8" s="3"/>
      <c r="F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IFERROR(__xludf.DUMMYFUNCTION("""COMPUTED_VALUE"""),"1OCGMVOHt03_eCmO7qiby_rf8bEME9TovKxz3Ntf7vgg")</f>
        <v>1OCGMVOHt03_eCmO7qiby_rf8bEME9TovKxz3Ntf7vgg</v>
      </c>
      <c r="D9" s="3"/>
      <c r="E9" s="3"/>
      <c r="F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IFERROR(__xludf.DUMMYFUNCTION("""COMPUTED_VALUE"""),"undefined")</f>
        <v>undefined</v>
      </c>
      <c r="D11" s="3"/>
      <c r="E11" s="3"/>
      <c r="F11" s="3"/>
    </row>
    <row r="12" ht="15.75" customHeight="1">
      <c r="A12" s="3" t="str">
        <f>IFERROR(__xludf.DUMMYFUNCTION("""COMPUTED_VALUE"""),"Blotter")</f>
        <v>Blotter</v>
      </c>
      <c r="B12" s="3" t="str">
        <f>IFERROR(__xludf.DUMMYFUNCTION("""COMPUTED_VALUE"""),"CheckBlotter")</f>
        <v>CheckBlotter</v>
      </c>
      <c r="C12" s="3" t="str">
        <f>IFERROR(__xludf.DUMMYFUNCTION("""COMPUTED_VALUE"""),"11MUm_Wks-ynsuzwq0ucx9YCmN_Dlux4joQTI9V_vxSQ")</f>
        <v>11MUm_Wks-ynsuzwq0ucx9YCmN_Dlux4joQTI9V_vxSQ</v>
      </c>
      <c r="D12" s="3"/>
      <c r="E12" s="3"/>
      <c r="F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IFERROR(__xludf.DUMMYFUNCTION("""COMPUTED_VALUE"""),"1HibVHHcuFf3loa0fNI6zJwXL0glRkLz9BQwFMwolEWs")</f>
        <v>1HibVHHcuFf3loa0fNI6zJwXL0glRkLz9BQwFMwolEWs</v>
      </c>
      <c r="D13" s="3"/>
      <c r="E13" s="3"/>
      <c r="F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IFERROR(__xludf.DUMMYFUNCTION("""COMPUTED_VALUE"""),"1v_MUqtv78nxjsN8Cecn_LuQEABNjfo6irXnL4E327-E")</f>
        <v>1v_MUqtv78nxjsN8Cecn_LuQEABNjfo6irXnL4E327-E</v>
      </c>
      <c r="D14" s="3"/>
      <c r="E14" s="3"/>
      <c r="F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IFERROR(__xludf.DUMMYFUNCTION("""COMPUTED_VALUE"""),"175-JCUqdn62shwwTBrtayS4sAfQdJI1es-MdB_afiEU")</f>
        <v>175-JCUqdn62shwwTBrtayS4sAfQdJI1es-MdB_afiEU</v>
      </c>
      <c r="D15" s="3"/>
      <c r="E15" s="3"/>
      <c r="F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IFERROR(__xludf.DUMMYFUNCTION("""COMPUTED_VALUE"""),"17eDimySFNF45ncJKZNMN1WafcCPlObqPuWpiaELn4XI")</f>
        <v>17eDimySFNF45ncJKZNMN1WafcCPlObqPuWpiaELn4XI</v>
      </c>
      <c r="D16" s="3"/>
      <c r="E16" s="3"/>
      <c r="F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IFERROR(__xludf.DUMMYFUNCTION("""COMPUTED_VALUE"""),"1Pfyi8724AHHPSpjL28hJwa2o4mQbLhWDX3ERQDqoMjM")</f>
        <v>1Pfyi8724AHHPSpjL28hJwa2o4mQbLhWDX3ERQDqoMjM</v>
      </c>
      <c r="D17" s="3"/>
      <c r="E17" s="3"/>
      <c r="F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IFERROR(__xludf.DUMMYFUNCTION("""COMPUTED_VALUE"""),"1YVs2pxOwqxSOoRvY-L6RFBNX-V1Iq7YCTlJJjcZGOrk")</f>
        <v>1YVs2pxOwqxSOoRvY-L6RFBNX-V1Iq7YCTlJJjcZGOrk</v>
      </c>
      <c r="D18" s="3"/>
      <c r="E18" s="3"/>
      <c r="F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IFERROR(__xludf.DUMMYFUNCTION("""COMPUTED_VALUE"""),"1B8hcujE70thHD0YsedA4IBNf7vn0AyfU4JVfJ_wJt20")</f>
        <v>1B8hcujE70thHD0YsedA4IBNf7vn0AyfU4JVfJ_wJt20</v>
      </c>
      <c r="D19" s="3"/>
      <c r="E19" s="3"/>
      <c r="F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IFERROR(__xludf.DUMMYFUNCTION("""COMPUTED_VALUE"""),"1-W-RmffTnEi0hw7mazbNadwwiSRGoy1wrw8PHkuofYY")</f>
        <v>1-W-RmffTnEi0hw7mazbNadwwiSRGoy1wrw8PHkuofYY</v>
      </c>
      <c r="D20" s="3"/>
      <c r="E20" s="3"/>
      <c r="F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IFERROR(__xludf.DUMMYFUNCTION("""COMPUTED_VALUE"""),"1esoF-RnVyz6ko5JWW7n-M62RtAdH_oBEGryr3tVxBD0")</f>
        <v>1esoF-RnVyz6ko5JWW7n-M62RtAdH_oBEGryr3tVxBD0</v>
      </c>
      <c r="D21" s="3"/>
      <c r="E21" s="3"/>
      <c r="F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IFERROR(__xludf.DUMMYFUNCTION("""COMPUTED_VALUE"""),"1e5P2Fpj6vybIn_paB2b7Fy1UWvvzM_QLBcFFEnG_Sog")</f>
        <v>1e5P2Fpj6vybIn_paB2b7Fy1UWvvzM_QLBcFFEnG_Sog</v>
      </c>
      <c r="D22" s="3"/>
      <c r="E22" s="3"/>
      <c r="F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IFERROR(__xludf.DUMMYFUNCTION("""COMPUTED_VALUE"""),"17wP7K35BVS-mcToVvypH9kFnKwLPjhX5cgZessf5L3U")</f>
        <v>17wP7K35BVS-mcToVvypH9kFnKwLPjhX5cgZessf5L3U</v>
      </c>
      <c r="D23" s="3"/>
      <c r="E23" s="3"/>
      <c r="F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IFERROR(__xludf.DUMMYFUNCTION("""COMPUTED_VALUE"""),"14fBzMwZFv3kXajtvfsFDb74bfuT5M1NdlH7jjFGFJtc")</f>
        <v>14fBzMwZFv3kXajtvfsFDb74bfuT5M1NdlH7jjFGFJtc</v>
      </c>
      <c r="D24" s="3"/>
      <c r="E24" s="3"/>
      <c r="F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IFERROR(__xludf.DUMMYFUNCTION("""COMPUTED_VALUE"""),"1MhtifEhyzplKiAJ2B7ZBGDQykTLhDMrJnLNmWidmDfo")</f>
        <v>1MhtifEhyzplKiAJ2B7ZBGDQykTLhDMrJnLNmWidmDfo</v>
      </c>
      <c r="D25" s="3"/>
      <c r="E25" s="3"/>
      <c r="F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IFERROR(__xludf.DUMMYFUNCTION("""COMPUTED_VALUE"""),"14ykotElrdKk_65x7FoOo3uy_l0cCpWTItQ6NjoPCFto")</f>
        <v>14ykotElrdKk_65x7FoOo3uy_l0cCpWTItQ6NjoPCFto</v>
      </c>
      <c r="D26" s="3"/>
      <c r="E26" s="3"/>
      <c r="F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IFERROR(__xludf.DUMMYFUNCTION("""COMPUTED_VALUE"""),"16g9Kf7Sel1N9rpDdDYebIoVnUvEmGkdOIDvOEX1x5rs")</f>
        <v>16g9Kf7Sel1N9rpDdDYebIoVnUvEmGkdOIDvOEX1x5rs</v>
      </c>
      <c r="D27" s="3"/>
      <c r="E27" s="3"/>
      <c r="F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IFERROR(__xludf.DUMMYFUNCTION("""COMPUTED_VALUE"""),"1dCUqkFToxbHWLcuEsup6xul17t7dk0JWXjsF_NqJWLs")</f>
        <v>1dCUqkFToxbHWLcuEsup6xul17t7dk0JWXjsF_NqJWLs</v>
      </c>
      <c r="D28" s="3"/>
      <c r="E28" s="3"/>
      <c r="F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IFERROR(__xludf.DUMMYFUNCTION("""COMPUTED_VALUE"""),"1WrLR2m07rC0_5QRVRBEKQH-92mAfrcXJUuuIwELno2g")</f>
        <v>1WrLR2m07rC0_5QRVRBEKQH-92mAfrcXJUuuIwELno2g</v>
      </c>
      <c r="D29" s="3"/>
      <c r="E29" s="3"/>
      <c r="F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IFERROR(__xludf.DUMMYFUNCTION("""COMPUTED_VALUE"""),"1QWSkwx0bAWzpqMe84BsrfOocoNHimoDayzIkgCxRsqc")</f>
        <v>1QWSkwx0bAWzpqMe84BsrfOocoNHimoDayzIkgCxRsqc</v>
      </c>
      <c r="D30" s="3"/>
      <c r="E30" s="3"/>
      <c r="F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IFERROR(__xludf.DUMMYFUNCTION("""COMPUTED_VALUE"""),"16EMowOhNWCoGHg3C_AEEGTB-3SXFMg5x63-S3irnai0")</f>
        <v>16EMowOhNWCoGHg3C_AEEGTB-3SXFMg5x63-S3irnai0</v>
      </c>
      <c r="D31" s="3"/>
      <c r="E31" s="3"/>
      <c r="F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IFERROR(__xludf.DUMMYFUNCTION("""COMPUTED_VALUE"""),"1q9dRSKiXfUcfgc5w_m-vMSRuUWcHC5mxzB_SFqqFzJk")</f>
        <v>1q9dRSKiXfUcfgc5w_m-vMSRuUWcHC5mxzB_SFqqFzJk</v>
      </c>
      <c r="D32" s="3"/>
      <c r="E32" s="3"/>
      <c r="F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IFERROR(__xludf.DUMMYFUNCTION("""COMPUTED_VALUE"""),"1lP1jJVwyLgSReroORPW2qHMX-c1ylMBmX8jxb7m4wfI")</f>
        <v>1lP1jJVwyLgSReroORPW2qHMX-c1ylMBmX8jxb7m4wfI</v>
      </c>
      <c r="D33" s="3"/>
      <c r="E33" s="3"/>
      <c r="F33" s="3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IFERROR(__xludf.DUMMYFUNCTION("""COMPUTED_VALUE"""),"13jpmtsLw0cMFY2gvbyTT4whUEC9UUplz1kQtQNYoTwg")</f>
        <v>13jpmtsLw0cMFY2gvbyTT4whUEC9UUplz1kQtQNYoTwg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IFERROR(__xludf.DUMMYFUNCTION("""COMPUTED_VALUE"""),"1TM2P3aTBWuPWC_RWFvmyhxAM8lsSnZE1G3FbtUG4wOE")</f>
        <v>1TM2P3aTBWuPWC_RWFvmyhxAM8lsSnZE1G3FbtUG4wOE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IFERROR(__xludf.DUMMYFUNCTION("""COMPUTED_VALUE"""),"1zS4ALOAI4Qv9-imwrJ3P0juiFH5-Vvf_4yLE3c_77ww")</f>
        <v>1zS4ALOAI4Qv9-imwrJ3P0juiFH5-Vvf_4yLE3c_77ww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IFERROR(__xludf.DUMMYFUNCTION("""COMPUTED_VALUE"""),"1nPQWfCZwGTRb7-oSZlMb9zzhc4hqFNSiurRokpyYrUE")</f>
        <v>1nPQWfCZwGTRb7-oSZlMb9zzhc4hqFNSiurRokpyYrUE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IFERROR(__xludf.DUMMYFUNCTION("""COMPUTED_VALUE"""),"RunPortfolio")</f>
        <v>RunPortfolio</v>
      </c>
      <c r="C629" t="str">
        <f>IFERROR(__xludf.DUMMYFUNCTION("""COMPUTED_VALUE"""),"1zDfER5xLj_X17wyRdaAzzNf3aYbaPGLRGVpc2rFBtc0")</f>
        <v>1zDfER5xLj_X17wyRdaAzzNf3aYbaPGLRGVpc2rFBtc0</v>
      </c>
    </row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37.25"/>
    <col customWidth="1" min="3" max="6" width="12.63"/>
    <col customWidth="1" min="7" max="26" width="15.13"/>
  </cols>
  <sheetData>
    <row r="1" ht="15.75" customHeight="1">
      <c r="A1" s="7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8" t="s">
        <v>4</v>
      </c>
      <c r="C3" s="6"/>
    </row>
    <row r="4" ht="15.75" customHeight="1">
      <c r="A4" s="4" t="s">
        <v>5</v>
      </c>
      <c r="B4" s="9" t="s">
        <v>6</v>
      </c>
      <c r="C4" s="6"/>
    </row>
    <row r="5" ht="15.75" customHeight="1">
      <c r="A5" s="10"/>
      <c r="B5" s="6"/>
      <c r="C5" s="6"/>
    </row>
    <row r="6" ht="15.75" customHeight="1">
      <c r="A6" s="10"/>
      <c r="B6" s="6"/>
      <c r="C6" s="6"/>
    </row>
    <row r="7" ht="15.75" customHeight="1">
      <c r="A7" s="10"/>
      <c r="B7" s="6"/>
      <c r="C7" s="6"/>
    </row>
    <row r="8" ht="15.75" customHeight="1">
      <c r="A8" s="10"/>
      <c r="B8" s="6"/>
      <c r="C8" s="6"/>
    </row>
    <row r="9" ht="15.75" customHeight="1">
      <c r="A9" s="10"/>
      <c r="B9" s="6"/>
      <c r="C9" s="6"/>
    </row>
    <row r="10" ht="15.75" customHeight="1">
      <c r="A10" s="10"/>
      <c r="B10" s="6"/>
      <c r="C10" s="6"/>
    </row>
    <row r="11" ht="15.75" customHeight="1">
      <c r="A11" s="10"/>
      <c r="B11" s="6"/>
      <c r="C11" s="6"/>
    </row>
    <row r="12" ht="15.75" customHeight="1">
      <c r="A12" s="10"/>
      <c r="B12" s="6"/>
      <c r="C12" s="6"/>
    </row>
    <row r="13" ht="15.75" customHeight="1">
      <c r="A13" s="10"/>
      <c r="B13" s="6"/>
      <c r="C13" s="6"/>
    </row>
    <row r="14" ht="15.75" customHeight="1">
      <c r="A14" s="10"/>
      <c r="B14" s="6"/>
      <c r="C14" s="6"/>
    </row>
    <row r="15" ht="15.75" customHeight="1">
      <c r="A15" s="10"/>
      <c r="B15" s="6"/>
      <c r="C15" s="6"/>
    </row>
    <row r="16" ht="15.75" customHeight="1">
      <c r="A16" s="10"/>
      <c r="B16" s="6"/>
      <c r="C16" s="6"/>
    </row>
    <row r="17" ht="15.75" customHeight="1">
      <c r="A17" s="10"/>
      <c r="B17" s="6"/>
      <c r="C17" s="6"/>
    </row>
    <row r="18" ht="15.75" customHeight="1">
      <c r="A18" s="10"/>
      <c r="B18" s="6"/>
      <c r="C18" s="6"/>
    </row>
    <row r="19" ht="15.75" customHeight="1">
      <c r="A19" s="10"/>
      <c r="B19" s="6"/>
      <c r="C19" s="6"/>
    </row>
    <row r="20" ht="15.75" customHeight="1">
      <c r="A20" s="10"/>
      <c r="B20" s="6"/>
      <c r="C20" s="6"/>
    </row>
    <row r="21" ht="15.75" customHeight="1">
      <c r="A21" s="10"/>
      <c r="B21" s="6"/>
      <c r="C21" s="6"/>
    </row>
    <row r="22" ht="15.75" customHeight="1">
      <c r="A22" s="10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2" max="3" width="15.13"/>
    <col customWidth="1" min="4" max="4" width="4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1" t="s">
        <v>9</v>
      </c>
      <c r="C3" s="11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>
      <c r="A4" s="13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8" t="s">
        <v>12</v>
      </c>
      <c r="D3" s="4" t="s">
        <v>9</v>
      </c>
      <c r="E3" s="18" t="s">
        <v>13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IFERROR(__xludf.DUMMYFUNCTION("""COMPUTED_VALUE"""),"Account")</f>
        <v>Account</v>
      </c>
      <c r="C5" s="23" t="str">
        <f>IFERROR(__xludf.DUMMYFUNCTION("""COMPUTED_VALUE"""),"Date Type")</f>
        <v>Date Type</v>
      </c>
      <c r="D5" s="23" t="str">
        <f>IFERROR(__xludf.DUMMYFUNCTION("""COMPUTED_VALUE"""),"From Date")</f>
        <v>From Date</v>
      </c>
      <c r="E5" s="23" t="str">
        <f>IFERROR(__xludf.DUMMYFUNCTION("""COMPUTED_VALUE"""),"To Date")</f>
        <v>To Date</v>
      </c>
      <c r="F5" s="23" t="str">
        <f>IFERROR(__xludf.DUMMYFUNCTION("""COMPUTED_VALUE"""),"Symbol")</f>
        <v>Symbol</v>
      </c>
      <c r="G5" s="23" t="str">
        <f>IFERROR(__xludf.DUMMYFUNCTION("""COMPUTED_VALUE"""),"Contains")</f>
        <v>Contains</v>
      </c>
      <c r="H5" s="23" t="str">
        <f>IFERROR(__xludf.DUMMYFUNCTION("""COMPUTED_VALUE"""),"Exact")</f>
        <v>Exact</v>
      </c>
      <c r="I5" s="23" t="str">
        <f>IFERROR(__xludf.DUMMYFUNCTION("""COMPUTED_VALUE"""),"Starts With")</f>
        <v>Starts With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6"/>
      <c r="B6" s="25" t="s">
        <v>16</v>
      </c>
      <c r="C6" s="6"/>
      <c r="D6" s="26">
        <v>43191.0</v>
      </c>
      <c r="E6" s="27">
        <v>43228.0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8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8" t="s">
        <v>12</v>
      </c>
      <c r="D3" s="4" t="s">
        <v>9</v>
      </c>
      <c r="E3" s="18" t="s">
        <v>17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IFERROR(__xludf.DUMMYFUNCTION("""COMPUTED_VALUE"""),"CashTransactionId")</f>
        <v>CashTransactionId</v>
      </c>
      <c r="C5" s="23" t="str">
        <f>IFERROR(__xludf.DUMMYFUNCTION("""COMPUTED_VALUE"""),"Activity Type")</f>
        <v>Activity Type</v>
      </c>
      <c r="D5" s="23" t="str">
        <f>IFERROR(__xludf.DUMMYFUNCTION("""COMPUTED_VALUE"""),"Symbol")</f>
        <v>Symbol</v>
      </c>
      <c r="E5" s="23" t="str">
        <f>IFERROR(__xludf.DUMMYFUNCTION("""COMPUTED_VALUE"""),"Strategy")</f>
        <v>Strategy</v>
      </c>
      <c r="F5" s="23" t="str">
        <f>IFERROR(__xludf.DUMMYFUNCTION("""COMPUTED_VALUE"""),"Account")</f>
        <v>Account</v>
      </c>
      <c r="G5" s="23" t="str">
        <f>IFERROR(__xludf.DUMMYFUNCTION("""COMPUTED_VALUE"""),"Currency")</f>
        <v>Currency</v>
      </c>
      <c r="H5" s="23" t="str">
        <f>IFERROR(__xludf.DUMMYFUNCTION("""COMPUTED_VALUE"""),"Amount")</f>
        <v>Amount</v>
      </c>
      <c r="I5" s="23" t="str">
        <f>IFERROR(__xludf.DUMMYFUNCTION("""COMPUTED_VALUE"""),"Ex Date")</f>
        <v>Ex Date</v>
      </c>
      <c r="J5" s="23" t="str">
        <f>IFERROR(__xludf.DUMMYFUNCTION("""COMPUTED_VALUE"""),"Payout Date")</f>
        <v>Payout Date</v>
      </c>
      <c r="K5" s="23" t="str">
        <f>IFERROR(__xludf.DUMMYFUNCTION("""COMPUTED_VALUE"""),"Record Date")</f>
        <v>Record Date</v>
      </c>
      <c r="L5" s="23" t="str">
        <f>IFERROR(__xludf.DUMMYFUNCTION("""COMPUTED_VALUE"""),"Declaration Date")</f>
        <v>Declaration Date</v>
      </c>
      <c r="M5" s="23" t="str">
        <f>IFERROR(__xludf.DUMMYFUNCTION("""COMPUTED_VALUE"""),"Description")</f>
        <v>Description</v>
      </c>
      <c r="N5" s="23" t="str">
        <f>IFERROR(__xludf.DUMMYFUNCTION("""COMPUTED_VALUE"""),"Other Currency")</f>
        <v>Other Currency</v>
      </c>
      <c r="O5" s="23" t="str">
        <f>IFERROR(__xludf.DUMMYFUNCTION("""COMPUTED_VALUE"""),"FXRate")</f>
        <v>FXRate</v>
      </c>
      <c r="P5" s="23" t="str">
        <f>IFERROR(__xludf.DUMMYFUNCTION("""COMPUTED_VALUE"""),"FXConversionMethodOperator")</f>
        <v>FXConversionMethodOperator</v>
      </c>
      <c r="Q5" s="23" t="str">
        <f>IFERROR(__xludf.DUMMYFUNCTION("""COMPUTED_VALUE"""),"Transaction Source")</f>
        <v>Transaction Source</v>
      </c>
      <c r="R5" s="23" t="str">
        <f>IFERROR(__xludf.DUMMYFUNCTION("""COMPUTED_VALUE"""),"Entry Date")</f>
        <v>Entry Date</v>
      </c>
      <c r="S5" s="23" t="str">
        <f>IFERROR(__xludf.DUMMYFUNCTION("""COMPUTED_VALUE"""),"Modify Date")</f>
        <v>Modify Date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3"/>
      <c r="B6" s="3"/>
      <c r="C6" s="3" t="s">
        <v>18</v>
      </c>
      <c r="D6" s="3" t="s">
        <v>19</v>
      </c>
      <c r="E6" s="3"/>
      <c r="F6" s="3" t="s">
        <v>20</v>
      </c>
      <c r="G6" s="3" t="s">
        <v>21</v>
      </c>
      <c r="H6" s="3">
        <v>40000.0</v>
      </c>
      <c r="I6" s="26">
        <v>43221.0</v>
      </c>
      <c r="J6" s="26">
        <v>43224.0</v>
      </c>
      <c r="K6" s="26">
        <v>43216.0</v>
      </c>
      <c r="L6" s="26">
        <v>43210.0</v>
      </c>
      <c r="M6" s="3"/>
      <c r="N6" s="3"/>
      <c r="O6" s="3">
        <v>2.1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17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IFERROR(__xludf.DUMMYFUNCTION("""COMPUTED_VALUE"""),"CashTransactionId")</f>
        <v>CashTransactionId</v>
      </c>
      <c r="C5" s="23" t="str">
        <f>IFERROR(__xludf.DUMMYFUNCTION("""COMPUTED_VALUE"""),"Activity Type")</f>
        <v>Activity Type</v>
      </c>
      <c r="D5" s="23" t="str">
        <f>IFERROR(__xludf.DUMMYFUNCTION("""COMPUTED_VALUE"""),"Symbol")</f>
        <v>Symbol</v>
      </c>
      <c r="E5" s="23" t="str">
        <f>IFERROR(__xludf.DUMMYFUNCTION("""COMPUTED_VALUE"""),"Strategy")</f>
        <v>Strategy</v>
      </c>
      <c r="F5" s="23" t="str">
        <f>IFERROR(__xludf.DUMMYFUNCTION("""COMPUTED_VALUE"""),"Account")</f>
        <v>Account</v>
      </c>
      <c r="G5" s="23" t="str">
        <f>IFERROR(__xludf.DUMMYFUNCTION("""COMPUTED_VALUE"""),"Currency")</f>
        <v>Currency</v>
      </c>
      <c r="H5" s="23" t="str">
        <f>IFERROR(__xludf.DUMMYFUNCTION("""COMPUTED_VALUE"""),"Amount")</f>
        <v>Amount</v>
      </c>
      <c r="I5" s="23" t="str">
        <f>IFERROR(__xludf.DUMMYFUNCTION("""COMPUTED_VALUE"""),"Ex Date")</f>
        <v>Ex Date</v>
      </c>
      <c r="J5" s="23" t="str">
        <f>IFERROR(__xludf.DUMMYFUNCTION("""COMPUTED_VALUE"""),"Payout Date")</f>
        <v>Payout Date</v>
      </c>
      <c r="K5" s="23" t="str">
        <f>IFERROR(__xludf.DUMMYFUNCTION("""COMPUTED_VALUE"""),"Record Date")</f>
        <v>Record Date</v>
      </c>
      <c r="L5" s="23" t="str">
        <f>IFERROR(__xludf.DUMMYFUNCTION("""COMPUTED_VALUE"""),"Declaration Date")</f>
        <v>Declaration Date</v>
      </c>
      <c r="M5" s="23" t="str">
        <f>IFERROR(__xludf.DUMMYFUNCTION("""COMPUTED_VALUE"""),"Description")</f>
        <v>Description</v>
      </c>
      <c r="N5" s="23" t="str">
        <f>IFERROR(__xludf.DUMMYFUNCTION("""COMPUTED_VALUE"""),"Other Currency")</f>
        <v>Other Currency</v>
      </c>
      <c r="O5" s="23" t="str">
        <f>IFERROR(__xludf.DUMMYFUNCTION("""COMPUTED_VALUE"""),"FXRate")</f>
        <v>FXRate</v>
      </c>
      <c r="P5" s="23" t="str">
        <f>IFERROR(__xludf.DUMMYFUNCTION("""COMPUTED_VALUE"""),"FXConversionMethodOperator")</f>
        <v>FXConversionMethodOperator</v>
      </c>
      <c r="Q5" s="23" t="str">
        <f>IFERROR(__xludf.DUMMYFUNCTION("""COMPUTED_VALUE"""),"Transaction Source")</f>
        <v>Transaction Source</v>
      </c>
      <c r="R5" s="23" t="str">
        <f>IFERROR(__xludf.DUMMYFUNCTION("""COMPUTED_VALUE"""),"Entry Date")</f>
        <v>Entry Date</v>
      </c>
      <c r="S5" s="23" t="str">
        <f>IFERROR(__xludf.DUMMYFUNCTION("""COMPUTED_VALUE"""),"Modify Date")</f>
        <v>Modify Date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3"/>
      <c r="B6" s="3"/>
      <c r="C6" s="3" t="s">
        <v>18</v>
      </c>
      <c r="D6" s="3" t="s">
        <v>19</v>
      </c>
      <c r="E6" s="3"/>
      <c r="F6" s="3" t="s">
        <v>20</v>
      </c>
      <c r="G6" s="3" t="s">
        <v>21</v>
      </c>
      <c r="H6" s="29">
        <v>50000.0</v>
      </c>
      <c r="I6" s="26">
        <v>43220.0</v>
      </c>
      <c r="J6" s="26">
        <v>43223.0</v>
      </c>
      <c r="K6" s="26">
        <v>43217.0</v>
      </c>
      <c r="L6" s="26">
        <v>43213.0</v>
      </c>
      <c r="M6" s="3"/>
      <c r="N6" s="3"/>
      <c r="O6" s="3">
        <v>1.3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AddCashTransaction1!$4:$4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8" t="s">
        <v>12</v>
      </c>
      <c r="D3" s="4" t="s">
        <v>9</v>
      </c>
      <c r="E3" s="18" t="s">
        <v>17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IFERROR(__xludf.DUMMYFUNCTION("""COMPUTED_VALUE"""),"CashTransactionId")</f>
        <v>CashTransactionId</v>
      </c>
      <c r="C5" s="23" t="str">
        <f>IFERROR(__xludf.DUMMYFUNCTION("""COMPUTED_VALUE"""),"Activity Type")</f>
        <v>Activity Type</v>
      </c>
      <c r="D5" s="23" t="str">
        <f>IFERROR(__xludf.DUMMYFUNCTION("""COMPUTED_VALUE"""),"Symbol")</f>
        <v>Symbol</v>
      </c>
      <c r="E5" s="23" t="str">
        <f>IFERROR(__xludf.DUMMYFUNCTION("""COMPUTED_VALUE"""),"Strategy")</f>
        <v>Strategy</v>
      </c>
      <c r="F5" s="31" t="str">
        <f>IFERROR(__xludf.DUMMYFUNCTION("""COMPUTED_VALUE"""),"Account")</f>
        <v>Account</v>
      </c>
      <c r="G5" s="23" t="str">
        <f>IFERROR(__xludf.DUMMYFUNCTION("""COMPUTED_VALUE"""),"Currency")</f>
        <v>Currency</v>
      </c>
      <c r="H5" s="23" t="str">
        <f>IFERROR(__xludf.DUMMYFUNCTION("""COMPUTED_VALUE"""),"Amount")</f>
        <v>Amount</v>
      </c>
      <c r="I5" s="23" t="str">
        <f>IFERROR(__xludf.DUMMYFUNCTION("""COMPUTED_VALUE"""),"Ex Date")</f>
        <v>Ex Date</v>
      </c>
      <c r="J5" s="23" t="str">
        <f>IFERROR(__xludf.DUMMYFUNCTION("""COMPUTED_VALUE"""),"Payout Date")</f>
        <v>Payout Date</v>
      </c>
      <c r="K5" s="23" t="str">
        <f>IFERROR(__xludf.DUMMYFUNCTION("""COMPUTED_VALUE"""),"Record Date")</f>
        <v>Record Date</v>
      </c>
      <c r="L5" s="23" t="str">
        <f>IFERROR(__xludf.DUMMYFUNCTION("""COMPUTED_VALUE"""),"Declaration Date")</f>
        <v>Declaration Date</v>
      </c>
      <c r="M5" s="23" t="str">
        <f>IFERROR(__xludf.DUMMYFUNCTION("""COMPUTED_VALUE"""),"Description")</f>
        <v>Description</v>
      </c>
      <c r="N5" s="23" t="str">
        <f>IFERROR(__xludf.DUMMYFUNCTION("""COMPUTED_VALUE"""),"Other Currency")</f>
        <v>Other Currency</v>
      </c>
      <c r="O5" s="23" t="str">
        <f>IFERROR(__xludf.DUMMYFUNCTION("""COMPUTED_VALUE"""),"FXRate")</f>
        <v>FXRate</v>
      </c>
      <c r="P5" s="23" t="str">
        <f>IFERROR(__xludf.DUMMYFUNCTION("""COMPUTED_VALUE"""),"FXConversionMethodOperator")</f>
        <v>FXConversionMethodOperator</v>
      </c>
      <c r="Q5" s="23" t="str">
        <f>IFERROR(__xludf.DUMMYFUNCTION("""COMPUTED_VALUE"""),"Transaction Source")</f>
        <v>Transaction Source</v>
      </c>
      <c r="R5" s="23" t="str">
        <f>IFERROR(__xludf.DUMMYFUNCTION("""COMPUTED_VALUE"""),"Entry Date")</f>
        <v>Entry Date</v>
      </c>
      <c r="S5" s="23" t="str">
        <f>IFERROR(__xludf.DUMMYFUNCTION("""COMPUTED_VALUE"""),"Modify Date")</f>
        <v>Modify Date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32"/>
      <c r="B6" s="33"/>
      <c r="C6" s="34" t="s">
        <v>22</v>
      </c>
      <c r="D6" s="33"/>
      <c r="E6" s="35"/>
      <c r="F6" s="34" t="s">
        <v>23</v>
      </c>
      <c r="G6" s="35" t="s">
        <v>21</v>
      </c>
      <c r="H6" s="36">
        <v>20000.0</v>
      </c>
      <c r="I6" s="37">
        <v>43222.0</v>
      </c>
      <c r="J6" s="37">
        <v>43223.0</v>
      </c>
      <c r="K6" s="38"/>
      <c r="L6" s="38"/>
      <c r="M6" s="35"/>
      <c r="N6" s="35"/>
      <c r="O6" s="36">
        <v>3.6</v>
      </c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AddCashTransaction2!$4:$4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8" t="s">
        <v>24</v>
      </c>
      <c r="B1" s="1" t="s">
        <v>11</v>
      </c>
      <c r="C1" s="2"/>
      <c r="D1" s="2"/>
      <c r="E1" s="2"/>
      <c r="F1" s="2"/>
      <c r="G1" s="2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8" t="s">
        <v>12</v>
      </c>
      <c r="D3" s="4" t="s">
        <v>9</v>
      </c>
      <c r="E3" s="18" t="s">
        <v>25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IFERROR(__xludf.DUMMYFUNCTION("""COMPUTED_VALUE"""),"TaxlotId")</f>
        <v>TaxlotId</v>
      </c>
      <c r="C5" s="23" t="str">
        <f>IFERROR(__xludf.DUMMYFUNCTION("""COMPUTED_VALUE"""),"Activity Type")</f>
        <v>Activity Type</v>
      </c>
      <c r="D5" s="23" t="str">
        <f>IFERROR(__xludf.DUMMYFUNCTION("""COMPUTED_VALUE"""),"Symbol")</f>
        <v>Symbol</v>
      </c>
      <c r="E5" s="23" t="str">
        <f>IFERROR(__xludf.DUMMYFUNCTION("""COMPUTED_VALUE"""),"Strategy")</f>
        <v>Strategy</v>
      </c>
      <c r="F5" s="31" t="str">
        <f>IFERROR(__xludf.DUMMYFUNCTION("""COMPUTED_VALUE"""),"Account")</f>
        <v>Account</v>
      </c>
      <c r="G5" s="23" t="str">
        <f>IFERROR(__xludf.DUMMYFUNCTION("""COMPUTED_VALUE"""),"Currency")</f>
        <v>Currency</v>
      </c>
      <c r="H5" s="23" t="str">
        <f>IFERROR(__xludf.DUMMYFUNCTION("""COMPUTED_VALUE"""),"Amount")</f>
        <v>Amount</v>
      </c>
      <c r="I5" s="23" t="str">
        <f>IFERROR(__xludf.DUMMYFUNCTION("""COMPUTED_VALUE"""),"Ex Date")</f>
        <v>Ex Date</v>
      </c>
      <c r="J5" s="23" t="str">
        <f>IFERROR(__xludf.DUMMYFUNCTION("""COMPUTED_VALUE"""),"Payout Date")</f>
        <v>Payout Date</v>
      </c>
      <c r="K5" s="23" t="str">
        <f>IFERROR(__xludf.DUMMYFUNCTION("""COMPUTED_VALUE"""),"Record Date")</f>
        <v>Record Date</v>
      </c>
      <c r="L5" s="23" t="str">
        <f>IFERROR(__xludf.DUMMYFUNCTION("""COMPUTED_VALUE"""),"Declaration Date")</f>
        <v>Declaration Date</v>
      </c>
      <c r="M5" s="23" t="str">
        <f>IFERROR(__xludf.DUMMYFUNCTION("""COMPUTED_VALUE"""),"Description")</f>
        <v>Description</v>
      </c>
      <c r="N5" s="23" t="str">
        <f>IFERROR(__xludf.DUMMYFUNCTION("""COMPUTED_VALUE"""),"Other Currency")</f>
        <v>Other Currency</v>
      </c>
      <c r="O5" s="23" t="str">
        <f>IFERROR(__xludf.DUMMYFUNCTION("""COMPUTED_VALUE"""),"FXRate")</f>
        <v>FXRate</v>
      </c>
      <c r="P5" s="23" t="str">
        <f>IFERROR(__xludf.DUMMYFUNCTION("""COMPUTED_VALUE"""),"FXConversionMethodOperator")</f>
        <v>FXConversionMethodOperator</v>
      </c>
      <c r="Q5" s="23" t="str">
        <f>IFERROR(__xludf.DUMMYFUNCTION("""COMPUTED_VALUE"""),"Transaction Source")</f>
        <v>Transaction Source</v>
      </c>
      <c r="R5" s="23" t="str">
        <f>IFERROR(__xludf.DUMMYFUNCTION("""COMPUTED_VALUE"""),"Entry Date")</f>
        <v>Entry Date</v>
      </c>
      <c r="S5" s="23" t="str">
        <f>IFERROR(__xludf.DUMMYFUNCTION("""COMPUTED_VALUE"""),"Modify Date")</f>
        <v>Modify Date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32"/>
      <c r="B6" s="33"/>
      <c r="C6" s="35" t="s">
        <v>18</v>
      </c>
      <c r="D6" s="33" t="s">
        <v>19</v>
      </c>
      <c r="E6" s="35"/>
      <c r="F6" s="35" t="s">
        <v>20</v>
      </c>
      <c r="G6" s="35" t="s">
        <v>21</v>
      </c>
      <c r="H6" s="40">
        <v>40000.0</v>
      </c>
      <c r="I6" s="38">
        <v>43221.0</v>
      </c>
      <c r="J6" s="38">
        <v>43224.0</v>
      </c>
      <c r="K6" s="38">
        <v>43216.0</v>
      </c>
      <c r="L6" s="38">
        <v>43210.0</v>
      </c>
      <c r="M6" s="35"/>
      <c r="N6" s="35"/>
      <c r="O6" s="40">
        <v>2.1</v>
      </c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</row>
    <row r="7" ht="15.75" customHeight="1">
      <c r="A7" s="6"/>
      <c r="B7" s="6"/>
      <c r="C7" s="9" t="s">
        <v>18</v>
      </c>
      <c r="D7" s="9" t="s">
        <v>19</v>
      </c>
      <c r="E7" s="6"/>
      <c r="F7" s="9" t="s">
        <v>20</v>
      </c>
      <c r="G7" s="9" t="s">
        <v>21</v>
      </c>
      <c r="H7" s="9">
        <v>50000.0</v>
      </c>
      <c r="I7" s="41">
        <v>43220.0</v>
      </c>
      <c r="J7" s="41">
        <v>43223.0</v>
      </c>
      <c r="K7" s="41">
        <v>43217.0</v>
      </c>
      <c r="L7" s="41">
        <v>43213.0</v>
      </c>
      <c r="M7" s="6"/>
      <c r="N7" s="6"/>
      <c r="O7" s="9">
        <v>1.3</v>
      </c>
    </row>
    <row r="8" ht="15.75" customHeight="1">
      <c r="A8" s="6"/>
      <c r="B8" s="6"/>
      <c r="C8" s="9" t="s">
        <v>22</v>
      </c>
      <c r="D8" s="6"/>
      <c r="E8" s="6"/>
      <c r="F8" s="9" t="s">
        <v>23</v>
      </c>
      <c r="G8" s="9" t="s">
        <v>21</v>
      </c>
      <c r="H8" s="9">
        <v>20000.0</v>
      </c>
      <c r="I8" s="41">
        <v>43222.0</v>
      </c>
      <c r="J8" s="41">
        <v>43223.0</v>
      </c>
      <c r="K8" s="6"/>
      <c r="L8" s="6"/>
      <c r="M8" s="6"/>
      <c r="N8" s="6"/>
      <c r="O8" s="9">
        <v>3.6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VerifyCashTransaction!$4:$4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26</v>
      </c>
      <c r="D3" s="4" t="s">
        <v>9</v>
      </c>
      <c r="E3" s="10" t="s">
        <v>27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</row>
    <row r="4" ht="15.75" customHeight="1">
      <c r="A4" s="20"/>
      <c r="B4" s="20" t="str">
        <f>IFERROR(__xludf.DUMMYFUNCTION("IF(C3="""","""",Transpose(IMPORTRANGE('_Settings'!$B$3,C3&amp;""!A4:A1000"")))"),"UpdateBeta")</f>
        <v>UpdateBeta</v>
      </c>
      <c r="C4" s="20" t="str">
        <f>IFERROR(__xludf.DUMMYFUNCTION("""COMPUTED_VALUE"""),"UpdateDailyCash")</f>
        <v>UpdateDailyCash</v>
      </c>
      <c r="D4" s="20" t="str">
        <f>IFERROR(__xludf.DUMMYFUNCTION("""COMPUTED_VALUE"""),"UpdateForexConversion")</f>
        <v>UpdateForexConversion</v>
      </c>
      <c r="E4" s="20" t="str">
        <f>IFERROR(__xludf.DUMMYFUNCTION("""COMPUTED_VALUE"""),"UpdateMarkPrice")</f>
        <v>UpdateMarkPrice</v>
      </c>
      <c r="F4" s="20" t="str">
        <f>IFERROR(__xludf.DUMMYFUNCTION("""COMPUTED_VALUE"""),"CleanUp")</f>
        <v>CleanUp</v>
      </c>
      <c r="G4" s="20" t="str">
        <f>IFERROR(__xludf.DUMMYFUNCTION("""COMPUTED_VALUE"""),"GetMarkPriceData")</f>
        <v>GetMarkPriceData</v>
      </c>
      <c r="H4" s="20" t="str">
        <f>IFERROR(__xludf.DUMMYFUNCTION("""COMPUTED_VALUE"""),"GetForwardPoints")</f>
        <v>GetForwardPoints</v>
      </c>
      <c r="I4" s="20" t="str">
        <f>IFERROR(__xludf.DUMMYFUNCTION("""COMPUTED_VALUE"""),"UpdateForwardPoints")</f>
        <v>UpdateForwardPoints</v>
      </c>
      <c r="J4" s="20" t="str">
        <f>IFERROR(__xludf.DUMMYFUNCTION("""COMPUTED_VALUE"""),"GetForexConversion")</f>
        <v>GetForexConversion</v>
      </c>
      <c r="K4" s="20" t="str">
        <f>IFERROR(__xludf.DUMMYFUNCTION("""COMPUTED_VALUE"""),"DeleteNAV")</f>
        <v>DeleteNAV</v>
      </c>
      <c r="L4" s="20" t="str">
        <f>IFERROR(__xludf.DUMMYFUNCTION("""COMPUTED_VALUE"""),"GetDailyCash")</f>
        <v>GetDailyCash</v>
      </c>
      <c r="M4" s="20" t="str">
        <f>IFERROR(__xludf.DUMMYFUNCTION("""COMPUTED_VALUE"""),"GetDailyBeta")</f>
        <v>GetDailyBeta</v>
      </c>
      <c r="N4" s="20" t="str">
        <f>IFERROR(__xludf.DUMMYFUNCTION("""COMPUTED_VALUE"""),"GetDailyVolatility")</f>
        <v>GetDailyVolatility</v>
      </c>
      <c r="O4" s="20" t="str">
        <f>IFERROR(__xludf.DUMMYFUNCTION("""COMPUTED_VALUE"""),"GetDailyDividendYield")</f>
        <v>GetDailyDividendYield</v>
      </c>
      <c r="P4" s="21" t="str">
        <f>IFERROR(__xludf.DUMMYFUNCTION("""COMPUTED_VALUE"""),"GetDailyTradingVolume")</f>
        <v>GetDailyTradingVolume</v>
      </c>
      <c r="Q4" s="21" t="str">
        <f>IFERROR(__xludf.DUMMYFUNCTION("""COMPUTED_VALUE"""),"GetDailyOutstandings")</f>
        <v>GetDailyOutstandings</v>
      </c>
      <c r="R4" s="21" t="str">
        <f>IFERROR(__xludf.DUMMYFUNCTION("""COMPUTED_VALUE"""),"GetDailyDelta")</f>
        <v>GetDailyDelta</v>
      </c>
      <c r="S4" s="21" t="str">
        <f>IFERROR(__xludf.DUMMYFUNCTION("""COMPUTED_VALUE"""),"UpdateDailyVolatility")</f>
        <v>UpdateDailyVolatility</v>
      </c>
      <c r="T4" s="21" t="str">
        <f>IFERROR(__xludf.DUMMYFUNCTION("""COMPUTED_VALUE"""),"UpdateDividendYield")</f>
        <v>UpdateDividendYield</v>
      </c>
      <c r="U4" s="21" t="str">
        <f>IFERROR(__xludf.DUMMYFUNCTION("""COMPUTED_VALUE"""),"UpdateTradingVolume")</f>
        <v>UpdateTradingVolume</v>
      </c>
      <c r="V4" s="21" t="str">
        <f>IFERROR(__xludf.DUMMYFUNCTION("""COMPUTED_VALUE"""),"UpdateDailyDelta")</f>
        <v>UpdateDailyDelta</v>
      </c>
      <c r="W4" s="21" t="str">
        <f>IFERROR(__xludf.DUMMYFUNCTION("""COMPUTED_VALUE"""),"UpdateDailyOutstandings")</f>
        <v>UpdateDailyOutstandings</v>
      </c>
      <c r="X4" s="21" t="str">
        <f>IFERROR(__xludf.DUMMYFUNCTION("""COMPUTED_VALUE"""),"UpdateBeta")</f>
        <v>UpdateBeta</v>
      </c>
      <c r="Y4" s="21" t="str">
        <f>IFERROR(__xludf.DUMMYFUNCTION("""COMPUTED_VALUE"""),"UpdateNAV")</f>
        <v>UpdateNAV</v>
      </c>
      <c r="Z4" s="21" t="str">
        <f>IFERROR(__xludf.DUMMYFUNCTION("""COMPUTED_VALUE"""),"UpdateDailyCash")</f>
        <v>UpdateDailyCash</v>
      </c>
      <c r="AA4" s="21" t="str">
        <f>IFERROR(__xludf.DUMMYFUNCTION("""COMPUTED_VALUE"""),"UpdateDailyCreditLimt")</f>
        <v>UpdateDailyCreditLimt</v>
      </c>
      <c r="AB4" s="21" t="str">
        <f>IFERROR(__xludf.DUMMYFUNCTION("""COMPUTED_VALUE"""),"RemoveDailyCreditLimit")</f>
        <v>RemoveDailyCreditLimit</v>
      </c>
      <c r="AC4" s="21" t="str">
        <f>IFERROR(__xludf.DUMMYFUNCTION("""COMPUTED_VALUE"""),"RemoveDailyCash")</f>
        <v>RemoveDailyCash</v>
      </c>
      <c r="AD4" s="21" t="str">
        <f>IFERROR(__xludf.DUMMYFUNCTION("""COMPUTED_VALUE"""),"RemoveNAV")</f>
        <v>RemoveNAV</v>
      </c>
      <c r="AE4" s="21" t="str">
        <f>IFERROR(__xludf.DUMMYFUNCTION("""COMPUTED_VALUE"""),"UpdateForexConversionMonthly")</f>
        <v>UpdateForexConversionMonthly</v>
      </c>
      <c r="AF4" s="21" t="str">
        <f>IFERROR(__xludf.DUMMYFUNCTION("""COMPUTED_VALUE"""),"UpdateMarkPriceMonthly")</f>
        <v>UpdateMarkPriceMonthly</v>
      </c>
      <c r="AG4" s="21" t="str">
        <f>IFERROR(__xludf.DUMMYFUNCTION("""COMPUTED_VALUE"""),"VerifyDailyCash")</f>
        <v>VerifyDailyCash</v>
      </c>
      <c r="AH4" s="21" t="str">
        <f>IFERROR(__xludf.DUMMYFUNCTION("""COMPUTED_VALUE"""),"UpdateMultipleDailyCash")</f>
        <v>UpdateMultipleDailyCash</v>
      </c>
      <c r="AI4" s="21" t="str">
        <f>IFERROR(__xludf.DUMMYFUNCTION("""COMPUTED_VALUE"""),"IsDefaultFilterToShowAccountWiseDataOnDailyValuation")</f>
        <v>IsDefaultFilterToShowAccountWiseDataOnDailyValuation</v>
      </c>
      <c r="AJ4" s="21" t="str">
        <f>IFERROR(__xludf.DUMMYFUNCTION("""COMPUTED_VALUE"""),"EnableBlankMarkPrices")</f>
        <v>EnableBlankMarkPrices</v>
      </c>
      <c r="AK4" s="21" t="str">
        <f>IFERROR(__xludf.DUMMYFUNCTION("""COMPUTED_VALUE"""),"EnableBlankMarkPrices")</f>
        <v>EnableBlankMarkPrices</v>
      </c>
      <c r="AL4" s="21" t="str">
        <f>IFERROR(__xludf.DUMMYFUNCTION("""COMPUTED_VALUE"""),"UpateSymbolAndMarkPrice")</f>
        <v>UpateSymbolAndMarkPrice</v>
      </c>
      <c r="AM4" s="21" t="str">
        <f>IFERROR(__xludf.DUMMYFUNCTION("""COMPUTED_VALUE"""),"UpateSymbolBlankMP")</f>
        <v>UpateSymbolBlankMP</v>
      </c>
      <c r="AN4" s="21" t="str">
        <f>IFERROR(__xludf.DUMMYFUNCTION("""COMPUTED_VALUE"""),"UpdateBlankMP")</f>
        <v>UpdateBlankMP</v>
      </c>
      <c r="AO4" s="21" t="str">
        <f>IFERROR(__xludf.DUMMYFUNCTION("""COMPUTED_VALUE"""),"FilterBlankMP")</f>
        <v>FilterBlankMP</v>
      </c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IFERROR(__xludf.DUMMYFUNCTION("""COMPUTED_VALUE"""),"Select Date")</f>
        <v>Select Date</v>
      </c>
      <c r="C5" s="23" t="str">
        <f>IFERROR(__xludf.DUMMYFUNCTION("""COMPUTED_VALUE"""),"Copy Date")</f>
        <v>Copy Date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</row>
    <row r="6" ht="15.75" customHeight="1">
      <c r="A6" s="6"/>
      <c r="B6" s="26">
        <v>43221.0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26</v>
      </c>
      <c r="D3" s="4" t="s">
        <v>9</v>
      </c>
      <c r="E3" s="10" t="s">
        <v>28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</row>
    <row r="4" ht="15.75" customHeight="1">
      <c r="A4" s="20"/>
      <c r="B4" s="20" t="str">
        <f>IFERROR(__xludf.DUMMYFUNCTION("IF(C3="""","""",Transpose(IMPORTRANGE('_Settings'!$B$3,C3&amp;""!A4:A1000"")))"),"UpdateBeta")</f>
        <v>UpdateBeta</v>
      </c>
      <c r="C4" s="20" t="str">
        <f>IFERROR(__xludf.DUMMYFUNCTION("""COMPUTED_VALUE"""),"UpdateDailyCash")</f>
        <v>UpdateDailyCash</v>
      </c>
      <c r="D4" s="20" t="str">
        <f>IFERROR(__xludf.DUMMYFUNCTION("""COMPUTED_VALUE"""),"UpdateForexConversion")</f>
        <v>UpdateForexConversion</v>
      </c>
      <c r="E4" s="20" t="str">
        <f>IFERROR(__xludf.DUMMYFUNCTION("""COMPUTED_VALUE"""),"UpdateMarkPrice")</f>
        <v>UpdateMarkPrice</v>
      </c>
      <c r="F4" s="20" t="str">
        <f>IFERROR(__xludf.DUMMYFUNCTION("""COMPUTED_VALUE"""),"CleanUp")</f>
        <v>CleanUp</v>
      </c>
      <c r="G4" s="20" t="str">
        <f>IFERROR(__xludf.DUMMYFUNCTION("""COMPUTED_VALUE"""),"GetMarkPriceData")</f>
        <v>GetMarkPriceData</v>
      </c>
      <c r="H4" s="20" t="str">
        <f>IFERROR(__xludf.DUMMYFUNCTION("""COMPUTED_VALUE"""),"GetForwardPoints")</f>
        <v>GetForwardPoints</v>
      </c>
      <c r="I4" s="20" t="str">
        <f>IFERROR(__xludf.DUMMYFUNCTION("""COMPUTED_VALUE"""),"UpdateForwardPoints")</f>
        <v>UpdateForwardPoints</v>
      </c>
      <c r="J4" s="20" t="str">
        <f>IFERROR(__xludf.DUMMYFUNCTION("""COMPUTED_VALUE"""),"GetForexConversion")</f>
        <v>GetForexConversion</v>
      </c>
      <c r="K4" s="20" t="str">
        <f>IFERROR(__xludf.DUMMYFUNCTION("""COMPUTED_VALUE"""),"DeleteNAV")</f>
        <v>DeleteNAV</v>
      </c>
      <c r="L4" s="20" t="str">
        <f>IFERROR(__xludf.DUMMYFUNCTION("""COMPUTED_VALUE"""),"GetDailyCash")</f>
        <v>GetDailyCash</v>
      </c>
      <c r="M4" s="20" t="str">
        <f>IFERROR(__xludf.DUMMYFUNCTION("""COMPUTED_VALUE"""),"GetDailyBeta")</f>
        <v>GetDailyBeta</v>
      </c>
      <c r="N4" s="20" t="str">
        <f>IFERROR(__xludf.DUMMYFUNCTION("""COMPUTED_VALUE"""),"GetDailyVolatility")</f>
        <v>GetDailyVolatility</v>
      </c>
      <c r="O4" s="20" t="str">
        <f>IFERROR(__xludf.DUMMYFUNCTION("""COMPUTED_VALUE"""),"GetDailyDividendYield")</f>
        <v>GetDailyDividendYield</v>
      </c>
      <c r="P4" s="21" t="str">
        <f>IFERROR(__xludf.DUMMYFUNCTION("""COMPUTED_VALUE"""),"GetDailyTradingVolume")</f>
        <v>GetDailyTradingVolume</v>
      </c>
      <c r="Q4" s="21" t="str">
        <f>IFERROR(__xludf.DUMMYFUNCTION("""COMPUTED_VALUE"""),"GetDailyOutstandings")</f>
        <v>GetDailyOutstandings</v>
      </c>
      <c r="R4" s="21" t="str">
        <f>IFERROR(__xludf.DUMMYFUNCTION("""COMPUTED_VALUE"""),"GetDailyDelta")</f>
        <v>GetDailyDelta</v>
      </c>
      <c r="S4" s="21" t="str">
        <f>IFERROR(__xludf.DUMMYFUNCTION("""COMPUTED_VALUE"""),"UpdateDailyVolatility")</f>
        <v>UpdateDailyVolatility</v>
      </c>
      <c r="T4" s="21" t="str">
        <f>IFERROR(__xludf.DUMMYFUNCTION("""COMPUTED_VALUE"""),"UpdateDividendYield")</f>
        <v>UpdateDividendYield</v>
      </c>
      <c r="U4" s="21" t="str">
        <f>IFERROR(__xludf.DUMMYFUNCTION("""COMPUTED_VALUE"""),"UpdateTradingVolume")</f>
        <v>UpdateTradingVolume</v>
      </c>
      <c r="V4" s="21" t="str">
        <f>IFERROR(__xludf.DUMMYFUNCTION("""COMPUTED_VALUE"""),"UpdateDailyDelta")</f>
        <v>UpdateDailyDelta</v>
      </c>
      <c r="W4" s="21" t="str">
        <f>IFERROR(__xludf.DUMMYFUNCTION("""COMPUTED_VALUE"""),"UpdateDailyOutstandings")</f>
        <v>UpdateDailyOutstandings</v>
      </c>
      <c r="X4" s="21" t="str">
        <f>IFERROR(__xludf.DUMMYFUNCTION("""COMPUTED_VALUE"""),"UpdateBeta")</f>
        <v>UpdateBeta</v>
      </c>
      <c r="Y4" s="21" t="str">
        <f>IFERROR(__xludf.DUMMYFUNCTION("""COMPUTED_VALUE"""),"UpdateNAV")</f>
        <v>UpdateNAV</v>
      </c>
      <c r="Z4" s="21" t="str">
        <f>IFERROR(__xludf.DUMMYFUNCTION("""COMPUTED_VALUE"""),"UpdateDailyCash")</f>
        <v>UpdateDailyCash</v>
      </c>
      <c r="AA4" s="21" t="str">
        <f>IFERROR(__xludf.DUMMYFUNCTION("""COMPUTED_VALUE"""),"UpdateDailyCreditLimt")</f>
        <v>UpdateDailyCreditLimt</v>
      </c>
      <c r="AB4" s="21" t="str">
        <f>IFERROR(__xludf.DUMMYFUNCTION("""COMPUTED_VALUE"""),"RemoveDailyCreditLimit")</f>
        <v>RemoveDailyCreditLimit</v>
      </c>
      <c r="AC4" s="21" t="str">
        <f>IFERROR(__xludf.DUMMYFUNCTION("""COMPUTED_VALUE"""),"RemoveDailyCash")</f>
        <v>RemoveDailyCash</v>
      </c>
      <c r="AD4" s="21" t="str">
        <f>IFERROR(__xludf.DUMMYFUNCTION("""COMPUTED_VALUE"""),"RemoveNAV")</f>
        <v>RemoveNAV</v>
      </c>
      <c r="AE4" s="21" t="str">
        <f>IFERROR(__xludf.DUMMYFUNCTION("""COMPUTED_VALUE"""),"UpdateForexConversionMonthly")</f>
        <v>UpdateForexConversionMonthly</v>
      </c>
      <c r="AF4" s="21" t="str">
        <f>IFERROR(__xludf.DUMMYFUNCTION("""COMPUTED_VALUE"""),"UpdateMarkPriceMonthly")</f>
        <v>UpdateMarkPriceMonthly</v>
      </c>
      <c r="AG4" s="21" t="str">
        <f>IFERROR(__xludf.DUMMYFUNCTION("""COMPUTED_VALUE"""),"VerifyDailyCash")</f>
        <v>VerifyDailyCash</v>
      </c>
      <c r="AH4" s="21" t="str">
        <f>IFERROR(__xludf.DUMMYFUNCTION("""COMPUTED_VALUE"""),"UpdateMultipleDailyCash")</f>
        <v>UpdateMultipleDailyCash</v>
      </c>
      <c r="AI4" s="21" t="str">
        <f>IFERROR(__xludf.DUMMYFUNCTION("""COMPUTED_VALUE"""),"IsDefaultFilterToShowAccountWiseDataOnDailyValuation")</f>
        <v>IsDefaultFilterToShowAccountWiseDataOnDailyValuation</v>
      </c>
      <c r="AJ4" s="21" t="str">
        <f>IFERROR(__xludf.DUMMYFUNCTION("""COMPUTED_VALUE"""),"EnableBlankMarkPrices")</f>
        <v>EnableBlankMarkPrices</v>
      </c>
      <c r="AK4" s="21" t="str">
        <f>IFERROR(__xludf.DUMMYFUNCTION("""COMPUTED_VALUE"""),"EnableBlankMarkPrices")</f>
        <v>EnableBlankMarkPrices</v>
      </c>
      <c r="AL4" s="21" t="str">
        <f>IFERROR(__xludf.DUMMYFUNCTION("""COMPUTED_VALUE"""),"UpateSymbolAndMarkPrice")</f>
        <v>UpateSymbolAndMarkPrice</v>
      </c>
      <c r="AM4" s="21" t="str">
        <f>IFERROR(__xludf.DUMMYFUNCTION("""COMPUTED_VALUE"""),"UpateSymbolBlankMP")</f>
        <v>UpateSymbolBlankMP</v>
      </c>
      <c r="AN4" s="21" t="str">
        <f>IFERROR(__xludf.DUMMYFUNCTION("""COMPUTED_VALUE"""),"UpdateBlankMP")</f>
        <v>UpdateBlankMP</v>
      </c>
      <c r="AO4" s="21" t="str">
        <f>IFERROR(__xludf.DUMMYFUNCTION("""COMPUTED_VALUE"""),"FilterBlankMP")</f>
        <v>FilterBlankMP</v>
      </c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IFERROR(__xludf.DUMMYFUNCTION("""COMPUTED_VALUE"""),"From Currency")</f>
        <v>From Currency</v>
      </c>
      <c r="C5" s="23" t="str">
        <f>IFERROR(__xludf.DUMMYFUNCTION("""COMPUTED_VALUE"""),"To Currency")</f>
        <v>To Currency</v>
      </c>
      <c r="D5" s="23" t="str">
        <f>IFERROR(__xludf.DUMMYFUNCTION("""COMPUTED_VALUE"""),"Symbol")</f>
        <v>Symbol</v>
      </c>
      <c r="E5" s="23" t="str">
        <f>IFERROR(__xludf.DUMMYFUNCTION("""COMPUTED_VALUE"""),"Date")</f>
        <v>Date</v>
      </c>
      <c r="F5" s="23" t="str">
        <f>IFERROR(__xludf.DUMMYFUNCTION("""COMPUTED_VALUE"""),"Price")</f>
        <v>Price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</row>
    <row r="6" ht="15.75" customHeight="1">
      <c r="A6" s="42"/>
      <c r="B6" s="42" t="s">
        <v>29</v>
      </c>
      <c r="C6" s="42" t="s">
        <v>21</v>
      </c>
      <c r="D6" s="42" t="s">
        <v>30</v>
      </c>
      <c r="E6" s="43">
        <v>43221.0</v>
      </c>
      <c r="F6" s="42">
        <v>1.291</v>
      </c>
      <c r="G6" s="42"/>
      <c r="H6" s="42"/>
      <c r="I6" s="42"/>
      <c r="J6" s="42"/>
      <c r="K6" s="42"/>
      <c r="L6" s="42"/>
      <c r="M6" s="42"/>
      <c r="N6" s="42"/>
      <c r="O6" s="42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</row>
    <row r="7" ht="15.75" customHeight="1">
      <c r="A7" s="42"/>
      <c r="B7" s="42" t="s">
        <v>29</v>
      </c>
      <c r="C7" s="42" t="s">
        <v>21</v>
      </c>
      <c r="D7" s="42" t="s">
        <v>30</v>
      </c>
      <c r="E7" s="43">
        <v>43222.0</v>
      </c>
      <c r="F7" s="42">
        <v>1.292</v>
      </c>
      <c r="G7" s="42"/>
      <c r="H7" s="42"/>
      <c r="I7" s="42"/>
      <c r="J7" s="42"/>
      <c r="K7" s="42"/>
      <c r="L7" s="42"/>
      <c r="M7" s="42"/>
      <c r="N7" s="42"/>
      <c r="O7" s="42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</row>
    <row r="8" ht="15.75" customHeight="1">
      <c r="A8" s="42"/>
      <c r="B8" s="42" t="s">
        <v>29</v>
      </c>
      <c r="C8" s="42" t="s">
        <v>21</v>
      </c>
      <c r="D8" s="42" t="s">
        <v>30</v>
      </c>
      <c r="E8" s="43">
        <v>43223.0</v>
      </c>
      <c r="F8" s="42">
        <v>1.293</v>
      </c>
      <c r="G8" s="42"/>
      <c r="H8" s="42"/>
      <c r="I8" s="42"/>
      <c r="J8" s="42"/>
      <c r="K8" s="42"/>
      <c r="L8" s="42"/>
      <c r="M8" s="42"/>
      <c r="N8" s="42"/>
      <c r="O8" s="42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</row>
    <row r="9" ht="15.75" customHeight="1">
      <c r="A9" s="42"/>
      <c r="B9" s="42" t="s">
        <v>29</v>
      </c>
      <c r="C9" s="42" t="s">
        <v>21</v>
      </c>
      <c r="D9" s="42" t="s">
        <v>30</v>
      </c>
      <c r="E9" s="43">
        <v>43224.0</v>
      </c>
      <c r="F9" s="42">
        <v>1.294</v>
      </c>
      <c r="G9" s="42"/>
      <c r="H9" s="42"/>
      <c r="I9" s="42"/>
      <c r="J9" s="42"/>
      <c r="K9" s="42"/>
      <c r="L9" s="42"/>
      <c r="M9" s="42"/>
      <c r="N9" s="42"/>
      <c r="O9" s="42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</row>
    <row r="10" ht="15.75" customHeight="1">
      <c r="A10" s="42"/>
      <c r="B10" s="42" t="s">
        <v>29</v>
      </c>
      <c r="C10" s="42" t="s">
        <v>21</v>
      </c>
      <c r="D10" s="42" t="s">
        <v>30</v>
      </c>
      <c r="E10" s="43">
        <v>43225.0</v>
      </c>
      <c r="F10" s="42">
        <v>1.295</v>
      </c>
      <c r="G10" s="42"/>
      <c r="H10" s="42"/>
      <c r="I10" s="42"/>
      <c r="J10" s="42"/>
      <c r="K10" s="42"/>
      <c r="L10" s="42"/>
      <c r="M10" s="42"/>
      <c r="N10" s="42"/>
      <c r="O10" s="42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</row>
    <row r="11" ht="15.75" customHeight="1">
      <c r="A11" s="42"/>
      <c r="B11" s="42" t="s">
        <v>29</v>
      </c>
      <c r="C11" s="42" t="s">
        <v>21</v>
      </c>
      <c r="D11" s="42" t="s">
        <v>30</v>
      </c>
      <c r="E11" s="43">
        <v>43226.0</v>
      </c>
      <c r="F11" s="42">
        <v>1.296</v>
      </c>
      <c r="G11" s="42"/>
      <c r="H11" s="42"/>
      <c r="I11" s="42"/>
      <c r="J11" s="42"/>
      <c r="K11" s="42"/>
      <c r="L11" s="42"/>
      <c r="M11" s="42"/>
      <c r="N11" s="42"/>
      <c r="O11" s="42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</row>
    <row r="12" ht="15.75" customHeight="1">
      <c r="A12" s="42"/>
      <c r="B12" s="42" t="s">
        <v>29</v>
      </c>
      <c r="C12" s="42" t="s">
        <v>21</v>
      </c>
      <c r="D12" s="42" t="s">
        <v>30</v>
      </c>
      <c r="E12" s="43">
        <v>43227.0</v>
      </c>
      <c r="F12" s="42">
        <v>1.297</v>
      </c>
      <c r="G12" s="42"/>
      <c r="H12" s="42"/>
      <c r="I12" s="42"/>
      <c r="J12" s="42"/>
      <c r="K12" s="42"/>
      <c r="L12" s="42"/>
      <c r="M12" s="42"/>
      <c r="N12" s="42"/>
      <c r="O12" s="42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</row>
    <row r="13" ht="15.75" customHeight="1">
      <c r="A13" s="3"/>
      <c r="B13" s="42" t="s">
        <v>29</v>
      </c>
      <c r="C13" s="42" t="s">
        <v>21</v>
      </c>
      <c r="D13" s="42" t="s">
        <v>30</v>
      </c>
      <c r="E13" s="43">
        <v>43228.0</v>
      </c>
      <c r="F13" s="3">
        <v>1.298</v>
      </c>
      <c r="G13" s="3"/>
      <c r="H13" s="3"/>
      <c r="I13" s="3"/>
      <c r="J13" s="3"/>
      <c r="K13" s="3"/>
      <c r="L13" s="3"/>
      <c r="M13" s="3"/>
      <c r="N13" s="3"/>
      <c r="O13" s="3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</row>
    <row r="14" ht="15.75" customHeight="1">
      <c r="A14" s="3"/>
      <c r="B14" s="42" t="s">
        <v>29</v>
      </c>
      <c r="C14" s="42" t="s">
        <v>21</v>
      </c>
      <c r="D14" s="42" t="s">
        <v>30</v>
      </c>
      <c r="E14" s="43">
        <v>43229.0</v>
      </c>
      <c r="F14" s="3">
        <v>1.299</v>
      </c>
      <c r="G14" s="3"/>
      <c r="H14" s="3"/>
      <c r="I14" s="3"/>
      <c r="J14" s="3"/>
      <c r="K14" s="3"/>
      <c r="L14" s="3"/>
      <c r="M14" s="3"/>
      <c r="N14" s="3"/>
      <c r="O14" s="3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</row>
    <row r="15" ht="15.75" customHeight="1">
      <c r="A15" s="3"/>
      <c r="B15" s="42" t="s">
        <v>29</v>
      </c>
      <c r="C15" s="42" t="s">
        <v>21</v>
      </c>
      <c r="D15" s="42" t="s">
        <v>30</v>
      </c>
      <c r="E15" s="43">
        <v>43230.0</v>
      </c>
      <c r="F15" s="3">
        <v>1.29</v>
      </c>
      <c r="G15" s="3"/>
      <c r="H15" s="3"/>
      <c r="I15" s="3"/>
      <c r="J15" s="3"/>
      <c r="K15" s="3"/>
      <c r="L15" s="3"/>
      <c r="M15" s="3"/>
      <c r="N15" s="3"/>
      <c r="O15" s="3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</row>
    <row r="16" ht="15.75" customHeight="1">
      <c r="A16" s="6"/>
      <c r="B16" s="3"/>
      <c r="C16" s="3"/>
      <c r="D16" s="3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3"/>
      <c r="C17" s="3"/>
      <c r="D17" s="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3"/>
      <c r="C18" s="3"/>
      <c r="D18" s="3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31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IFERROR(__xludf.DUMMYFUNCTION("""COMPUTED_VALUE"""),"MasterFund")</f>
        <v>MasterFund</v>
      </c>
      <c r="C5" s="23" t="str">
        <f>IFERROR(__xludf.DUMMYFUNCTION("""COMPUTED_VALUE"""),"Accounts")</f>
        <v>Accounts</v>
      </c>
      <c r="D5" s="23" t="str">
        <f>IFERROR(__xludf.DUMMYFUNCTION("""COMPUTED_VALUE"""),"From")</f>
        <v>From</v>
      </c>
      <c r="E5" s="23" t="str">
        <f>IFERROR(__xludf.DUMMYFUNCTION("""COMPUTED_VALUE"""),"To")</f>
        <v>To</v>
      </c>
      <c r="F5" s="23" t="str">
        <f>IFERROR(__xludf.DUMMYFUNCTION("""COMPUTED_VALUE"""),"SettlementDate")</f>
        <v>SettlementDate</v>
      </c>
      <c r="G5" s="23" t="str">
        <f>IFERROR(__xludf.DUMMYFUNCTION("""COMPUTED_VALUE"""),"TradeDate")</f>
        <v>TradeDate</v>
      </c>
      <c r="H5" s="23" t="str">
        <f>IFERROR(__xludf.DUMMYFUNCTION("""COMPUTED_VALUE"""),"All")</f>
        <v>All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6"/>
      <c r="B6" s="26" t="s">
        <v>32</v>
      </c>
      <c r="C6" s="25" t="s">
        <v>16</v>
      </c>
      <c r="D6" s="26">
        <v>43210.0</v>
      </c>
      <c r="E6" s="27">
        <v>43228.0</v>
      </c>
      <c r="F6" s="6"/>
      <c r="G6" s="3" t="s">
        <v>33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34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45" t="str">
        <f>IFERROR(__xludf.DUMMYFUNCTION("""COMPUTED_VALUE"""),"Account")</f>
        <v>Account</v>
      </c>
      <c r="C5" s="45" t="str">
        <f>IFERROR(__xludf.DUMMYFUNCTION("""COMPUTED_VALUE"""),"Activity Source")</f>
        <v>Activity Source</v>
      </c>
      <c r="D5" s="46" t="str">
        <f>IFERROR(__xludf.DUMMYFUNCTION("""COMPUTED_VALUE"""),"ActivityType")</f>
        <v>ActivityType</v>
      </c>
      <c r="E5" s="45" t="str">
        <f>IFERROR(__xludf.DUMMYFUNCTION("""COMPUTED_VALUE"""),"Net Amount(Local)")</f>
        <v>Net Amount(Local)</v>
      </c>
      <c r="F5" s="45" t="str">
        <f>IFERROR(__xludf.DUMMYFUNCTION("""COMPUTED_VALUE"""),"AUEC Fee1")</f>
        <v>AUEC Fee1</v>
      </c>
      <c r="G5" s="45" t="str">
        <f>IFERROR(__xludf.DUMMYFUNCTION("""COMPUTED_VALUE"""),"AUEC Fee2")</f>
        <v>AUEC Fee2</v>
      </c>
      <c r="H5" s="45" t="str">
        <f>IFERROR(__xludf.DUMMYFUNCTION("""COMPUTED_VALUE"""),"Balance Type")</f>
        <v>Balance Type</v>
      </c>
      <c r="I5" s="45" t="str">
        <f>IFERROR(__xludf.DUMMYFUNCTION("""COMPUTED_VALUE"""),"Clearing Broker Fees")</f>
        <v>Clearing Broker Fees</v>
      </c>
      <c r="J5" s="45" t="str">
        <f>IFERROR(__xludf.DUMMYFUNCTION("""COMPUTED_VALUE"""),"Commission")</f>
        <v>Commission</v>
      </c>
      <c r="K5" s="45" t="str">
        <f>IFERROR(__xludf.DUMMYFUNCTION("""COMPUTED_VALUE"""),"Currency")</f>
        <v>Currency</v>
      </c>
      <c r="L5" s="45" t="str">
        <f>IFERROR(__xludf.DUMMYFUNCTION("""COMPUTED_VALUE"""),"Description")</f>
        <v>Description</v>
      </c>
      <c r="M5" s="45" t="str">
        <f>IFERROR(__xludf.DUMMYFUNCTION("""COMPUTED_VALUE"""),"Entry Date")</f>
        <v>Entry Date</v>
      </c>
      <c r="N5" s="45" t="str">
        <f>IFERROR(__xludf.DUMMYFUNCTION("""COMPUTED_VALUE"""),"FX Conversion Method Operator")</f>
        <v>FX Conversion Method Operator</v>
      </c>
      <c r="O5" s="45" t="str">
        <f>IFERROR(__xludf.DUMMYFUNCTION("""COMPUTED_VALUE"""),"Fx Rate")</f>
        <v>Fx Rate</v>
      </c>
      <c r="P5" s="45" t="str">
        <f>IFERROR(__xludf.DUMMYFUNCTION("""COMPUTED_VALUE"""),"Lead Currency")</f>
        <v>Lead Currency</v>
      </c>
      <c r="Q5" s="45" t="str">
        <f>IFERROR(__xludf.DUMMYFUNCTION("""COMPUTED_VALUE"""),"Modify date")</f>
        <v>Modify date</v>
      </c>
      <c r="R5" s="45" t="str">
        <f>IFERROR(__xludf.DUMMYFUNCTION("""COMPUTED_VALUE"""),"OCC Fee")</f>
        <v>OCC Fee</v>
      </c>
      <c r="S5" s="45" t="str">
        <f>IFERROR(__xludf.DUMMYFUNCTION("""COMPUTED_VALUE"""),"OptionPremiumAdjustment")</f>
        <v>OptionPremiumAdjustment</v>
      </c>
      <c r="T5" s="24" t="str">
        <f>IFERROR(__xludf.DUMMYFUNCTION("""COMPUTED_VALUE"""),"ORF Fee")</f>
        <v>ORF Fee</v>
      </c>
      <c r="U5" s="24" t="str">
        <f>IFERROR(__xludf.DUMMYFUNCTION("""COMPUTED_VALUE"""),"Other Broker Fees")</f>
        <v>Other Broker Fees</v>
      </c>
      <c r="V5" s="24" t="str">
        <f>IFERROR(__xludf.DUMMYFUNCTION("""COMPUTED_VALUE"""),"Quantity")</f>
        <v>Quantity</v>
      </c>
      <c r="W5" s="24" t="str">
        <f>IFERROR(__xludf.DUMMYFUNCTION("""COMPUTED_VALUE"""),"SEC Fee")</f>
        <v>SEC Fee</v>
      </c>
      <c r="X5" s="24" t="str">
        <f>IFERROR(__xludf.DUMMYFUNCTION("""COMPUTED_VALUE"""),"Settlement Currency")</f>
        <v>Settlement Currency</v>
      </c>
      <c r="Y5" s="24" t="str">
        <f>IFERROR(__xludf.DUMMYFUNCTION("""COMPUTED_VALUE"""),"Settlement Date")</f>
        <v>Settlement Date</v>
      </c>
      <c r="Z5" s="24" t="str">
        <f>IFERROR(__xludf.DUMMYFUNCTION("""COMPUTED_VALUE"""),"Soft Commission")</f>
        <v>Soft Commission</v>
      </c>
      <c r="AA5" s="24" t="str">
        <f>IFERROR(__xludf.DUMMYFUNCTION("""COMPUTED_VALUE"""),"Stamp Duty")</f>
        <v>Stamp Duty</v>
      </c>
      <c r="AB5" s="24" t="str">
        <f>IFERROR(__xludf.DUMMYFUNCTION("""COMPUTED_VALUE"""),"Symbol")</f>
        <v>Symbol</v>
      </c>
      <c r="AC5" s="24" t="str">
        <f>IFERROR(__xludf.DUMMYFUNCTION("""COMPUTED_VALUE"""),"Tax On Commissions")</f>
        <v>Tax On Commissions</v>
      </c>
      <c r="AD5" s="24" t="str">
        <f>IFERROR(__xludf.DUMMYFUNCTION("""COMPUTED_VALUE"""),"Total Commissions")</f>
        <v>Total Commissions</v>
      </c>
      <c r="AE5" s="24" t="str">
        <f>IFERROR(__xludf.DUMMYFUNCTION("""COMPUTED_VALUE"""),"Trade Date")</f>
        <v>Trade Date</v>
      </c>
      <c r="AF5" s="24" t="str">
        <f>IFERROR(__xludf.DUMMYFUNCTION("""COMPUTED_VALUE"""),"Transaction Levy")</f>
        <v>Transaction Levy</v>
      </c>
      <c r="AG5" s="24" t="str">
        <f>IFERROR(__xludf.DUMMYFUNCTION("""COMPUTED_VALUE"""),"Transaction Source")</f>
        <v>Transaction Source</v>
      </c>
      <c r="AH5" s="24" t="str">
        <f>IFERROR(__xludf.DUMMYFUNCTION("""COMPUTED_VALUE"""),"User")</f>
        <v>User</v>
      </c>
      <c r="AI5" s="24" t="str">
        <f>IFERROR(__xludf.DUMMYFUNCTION("""COMPUTED_VALUE"""),"Vs Currency")</f>
        <v>Vs Currency</v>
      </c>
      <c r="AJ5" s="24" t="str">
        <f>IFERROR(__xludf.DUMMYFUNCTION("""COMPUTED_VALUE"""),"SettlCurrencyID")</f>
        <v>SettlCurrencyID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47"/>
      <c r="B6" s="48" t="s">
        <v>20</v>
      </c>
      <c r="C6" s="48" t="s">
        <v>35</v>
      </c>
      <c r="D6" s="48" t="s">
        <v>18</v>
      </c>
      <c r="E6" s="48">
        <v>50000.0</v>
      </c>
      <c r="F6" s="48">
        <v>0.0</v>
      </c>
      <c r="G6" s="48">
        <v>0.0</v>
      </c>
      <c r="H6" s="48" t="s">
        <v>36</v>
      </c>
      <c r="I6" s="48">
        <v>0.0</v>
      </c>
      <c r="J6" s="48">
        <v>0.0</v>
      </c>
      <c r="K6" s="48" t="s">
        <v>21</v>
      </c>
      <c r="L6" s="48"/>
      <c r="M6" s="49"/>
      <c r="N6" s="48" t="s">
        <v>37</v>
      </c>
      <c r="O6" s="48">
        <v>1.3</v>
      </c>
      <c r="P6" s="48"/>
      <c r="Q6" s="49"/>
      <c r="R6" s="48">
        <v>0.0</v>
      </c>
      <c r="S6" s="48">
        <v>0.0</v>
      </c>
      <c r="T6" s="48">
        <v>0.0</v>
      </c>
      <c r="U6" s="48">
        <v>0.0</v>
      </c>
      <c r="V6" s="48">
        <v>0.0</v>
      </c>
      <c r="W6" s="48">
        <v>0.0</v>
      </c>
      <c r="X6" s="48"/>
      <c r="Y6" s="50"/>
      <c r="Z6" s="48">
        <v>0.0</v>
      </c>
      <c r="AA6" s="48">
        <v>0.0</v>
      </c>
      <c r="AB6" s="48" t="s">
        <v>19</v>
      </c>
      <c r="AC6" s="48">
        <v>0.0</v>
      </c>
      <c r="AD6" s="48">
        <v>0.0</v>
      </c>
      <c r="AE6" s="51">
        <v>43220.0</v>
      </c>
      <c r="AF6" s="48">
        <v>0.0</v>
      </c>
      <c r="AG6" s="48" t="s">
        <v>38</v>
      </c>
      <c r="AH6" s="48"/>
      <c r="AI6" s="48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</row>
    <row r="7" ht="15.75" customHeight="1">
      <c r="A7" s="47"/>
      <c r="B7" s="48" t="s">
        <v>20</v>
      </c>
      <c r="C7" s="48" t="s">
        <v>35</v>
      </c>
      <c r="D7" s="48" t="s">
        <v>18</v>
      </c>
      <c r="E7" s="53">
        <v>40000.0</v>
      </c>
      <c r="F7" s="48">
        <v>0.0</v>
      </c>
      <c r="G7" s="48">
        <v>0.0</v>
      </c>
      <c r="H7" s="48" t="s">
        <v>36</v>
      </c>
      <c r="I7" s="48">
        <v>0.0</v>
      </c>
      <c r="J7" s="48">
        <v>0.0</v>
      </c>
      <c r="K7" s="48" t="s">
        <v>21</v>
      </c>
      <c r="L7" s="48"/>
      <c r="M7" s="49"/>
      <c r="N7" s="48" t="s">
        <v>37</v>
      </c>
      <c r="O7" s="48">
        <v>2.1</v>
      </c>
      <c r="P7" s="48"/>
      <c r="Q7" s="49"/>
      <c r="R7" s="48">
        <v>0.0</v>
      </c>
      <c r="S7" s="48">
        <v>0.0</v>
      </c>
      <c r="T7" s="48">
        <v>0.0</v>
      </c>
      <c r="U7" s="48">
        <v>0.0</v>
      </c>
      <c r="V7" s="48">
        <v>0.0</v>
      </c>
      <c r="W7" s="48">
        <v>0.0</v>
      </c>
      <c r="X7" s="48"/>
      <c r="Y7" s="54"/>
      <c r="Z7" s="48">
        <v>0.0</v>
      </c>
      <c r="AA7" s="48">
        <v>0.0</v>
      </c>
      <c r="AB7" s="48" t="s">
        <v>19</v>
      </c>
      <c r="AC7" s="48">
        <v>0.0</v>
      </c>
      <c r="AD7" s="48">
        <v>0.0</v>
      </c>
      <c r="AE7" s="51">
        <v>43221.0</v>
      </c>
      <c r="AF7" s="48">
        <v>0.0</v>
      </c>
      <c r="AG7" s="48" t="s">
        <v>38</v>
      </c>
      <c r="AH7" s="48"/>
      <c r="AI7" s="48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</row>
    <row r="8" ht="15.75" customHeight="1">
      <c r="A8" s="6"/>
      <c r="B8" s="55" t="s">
        <v>23</v>
      </c>
      <c r="C8" s="48" t="s">
        <v>35</v>
      </c>
      <c r="D8" s="34" t="s">
        <v>22</v>
      </c>
      <c r="E8" s="9">
        <v>20000.0</v>
      </c>
      <c r="F8" s="9">
        <v>0.0</v>
      </c>
      <c r="G8" s="9">
        <v>0.0</v>
      </c>
      <c r="H8" s="48" t="s">
        <v>36</v>
      </c>
      <c r="I8" s="48">
        <v>0.0</v>
      </c>
      <c r="J8" s="48">
        <v>0.0</v>
      </c>
      <c r="K8" s="48" t="s">
        <v>21</v>
      </c>
      <c r="L8" s="6"/>
      <c r="M8" s="6"/>
      <c r="N8" s="48" t="s">
        <v>37</v>
      </c>
      <c r="O8" s="55">
        <v>3.6</v>
      </c>
      <c r="R8" s="48">
        <v>0.0</v>
      </c>
      <c r="S8" s="48">
        <v>0.0</v>
      </c>
      <c r="T8" s="48">
        <v>0.0</v>
      </c>
      <c r="U8" s="48">
        <v>0.0</v>
      </c>
      <c r="V8" s="48">
        <v>0.0</v>
      </c>
      <c r="W8" s="48">
        <v>0.0</v>
      </c>
      <c r="Z8" s="48">
        <v>0.0</v>
      </c>
      <c r="AA8" s="48">
        <v>0.0</v>
      </c>
      <c r="AC8" s="48">
        <v>0.0</v>
      </c>
      <c r="AD8" s="48">
        <v>0.0</v>
      </c>
      <c r="AE8" s="37">
        <v>43222.0</v>
      </c>
      <c r="AF8" s="48">
        <v>0.0</v>
      </c>
      <c r="AG8" s="48" t="s">
        <v>38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39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IFERROR(__xludf.DUMMYFUNCTION("""COMPUTED_VALUE"""),"MasterFund")</f>
        <v>MasterFund</v>
      </c>
      <c r="C5" s="23" t="str">
        <f>IFERROR(__xludf.DUMMYFUNCTION("""COMPUTED_VALUE"""),"Accounts")</f>
        <v>Accounts</v>
      </c>
      <c r="D5" s="23" t="str">
        <f>IFERROR(__xludf.DUMMYFUNCTION("""COMPUTED_VALUE"""),"From")</f>
        <v>From</v>
      </c>
      <c r="E5" s="23" t="str">
        <f>IFERROR(__xludf.DUMMYFUNCTION("""COMPUTED_VALUE"""),"To")</f>
        <v>To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26"/>
      <c r="B6" s="26" t="s">
        <v>32</v>
      </c>
      <c r="C6" s="25" t="s">
        <v>16</v>
      </c>
      <c r="D6" s="26">
        <v>43210.0</v>
      </c>
      <c r="E6" s="27">
        <v>43228.0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</row>
    <row r="7" ht="15.75" customHeight="1">
      <c r="A7" s="6"/>
      <c r="B7" s="6"/>
      <c r="C7" s="6"/>
      <c r="D7" s="6"/>
      <c r="E7" s="6"/>
      <c r="F7" s="57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GetDividendData!$4:$4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29.5"/>
    <col customWidth="1" min="7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40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45" t="str">
        <f>IFERROR(__xludf.DUMMYFUNCTION("""COMPUTED_VALUE"""),"Date")</f>
        <v>Date</v>
      </c>
      <c r="C5" s="45" t="str">
        <f>IFERROR(__xludf.DUMMYFUNCTION("""COMPUTED_VALUE"""),"Account")</f>
        <v>Account</v>
      </c>
      <c r="D5" s="45" t="str">
        <f>IFERROR(__xludf.DUMMYFUNCTION("""COMPUTED_VALUE"""),"Symbol")</f>
        <v>Symbol</v>
      </c>
      <c r="E5" s="45" t="str">
        <f>IFERROR(__xludf.DUMMYFUNCTION("""COMPUTED_VALUE"""),"Currency")</f>
        <v>Currency</v>
      </c>
      <c r="F5" s="45" t="str">
        <f>IFERROR(__xludf.DUMMYFUNCTION("""COMPUTED_VALUE"""),"Cash Sub-Account")</f>
        <v>Cash Sub-Account</v>
      </c>
      <c r="G5" s="45" t="str">
        <f>IFERROR(__xludf.DUMMYFUNCTION("""COMPUTED_VALUE"""),"DR")</f>
        <v>DR</v>
      </c>
      <c r="H5" s="45" t="str">
        <f>IFERROR(__xludf.DUMMYFUNCTION("""COMPUTED_VALUE"""),"CR")</f>
        <v>CR</v>
      </c>
      <c r="I5" s="45" t="str">
        <f>IFERROR(__xludf.DUMMYFUNCTION("""COMPUTED_VALUE"""),"Modify Date")</f>
        <v>Modify Date</v>
      </c>
      <c r="J5" s="45" t="str">
        <f>IFERROR(__xludf.DUMMYFUNCTION("""COMPUTED_VALUE"""),"Entry Date")</f>
        <v>Entry Date</v>
      </c>
      <c r="K5" s="45" t="str">
        <f>IFERROR(__xludf.DUMMYFUNCTION("""COMPUTED_VALUE"""),"Fx Rate")</f>
        <v>Fx Rate</v>
      </c>
      <c r="L5" s="45" t="str">
        <f>IFERROR(__xludf.DUMMYFUNCTION("""COMPUTED_VALUE"""),"FX Conversion Method Operator")</f>
        <v>FX Conversion Method Operator</v>
      </c>
      <c r="M5" s="45" t="str">
        <f>IFERROR(__xludf.DUMMYFUNCTION("""COMPUTED_VALUE"""),"Account Side")</f>
        <v>Account Side</v>
      </c>
      <c r="N5" s="45" t="str">
        <f>IFERROR(__xludf.DUMMYFUNCTION("""COMPUTED_VALUE"""),"TransactionSource")</f>
        <v>TransactionSource</v>
      </c>
      <c r="O5" s="45" t="str">
        <f>IFERROR(__xludf.DUMMYFUNCTION("""COMPUTED_VALUE"""),"Base Currency")</f>
        <v>Base Currency</v>
      </c>
      <c r="P5" s="45" t="str">
        <f>IFERROR(__xludf.DUMMYFUNCTION("""COMPUTED_VALUE"""),"Description")</f>
        <v>Description</v>
      </c>
      <c r="Q5" s="45" t="str">
        <f>IFERROR(__xludf.DUMMYFUNCTION("""COMPUTED_VALUE"""),"DR (Base)")</f>
        <v>DR (Base)</v>
      </c>
      <c r="R5" s="45" t="str">
        <f>IFERROR(__xludf.DUMMYFUNCTION("""COMPUTED_VALUE"""),"CR (Base)")</f>
        <v>CR (Base)</v>
      </c>
      <c r="S5" s="45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47"/>
      <c r="B6" s="51">
        <v>43224.0</v>
      </c>
      <c r="C6" s="48" t="s">
        <v>20</v>
      </c>
      <c r="D6" s="48" t="s">
        <v>19</v>
      </c>
      <c r="E6" s="48" t="s">
        <v>21</v>
      </c>
      <c r="F6" s="48" t="s">
        <v>41</v>
      </c>
      <c r="G6" s="58">
        <v>40000.0</v>
      </c>
      <c r="H6" s="59">
        <v>0.0</v>
      </c>
      <c r="I6" s="60"/>
      <c r="J6" s="60"/>
      <c r="K6" s="48">
        <v>2.1</v>
      </c>
      <c r="L6" s="48" t="s">
        <v>37</v>
      </c>
      <c r="M6" s="48" t="s">
        <v>42</v>
      </c>
      <c r="N6" s="58" t="s">
        <v>38</v>
      </c>
      <c r="O6" s="48" t="s">
        <v>29</v>
      </c>
      <c r="P6" s="48"/>
      <c r="Q6" s="58">
        <v>84000.0</v>
      </c>
      <c r="R6" s="58">
        <v>0.0</v>
      </c>
      <c r="S6" s="58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</row>
    <row r="7" ht="15.75" customHeight="1">
      <c r="A7" s="47"/>
      <c r="B7" s="51">
        <v>43224.0</v>
      </c>
      <c r="C7" s="48" t="s">
        <v>20</v>
      </c>
      <c r="D7" s="48" t="s">
        <v>19</v>
      </c>
      <c r="E7" s="48" t="s">
        <v>21</v>
      </c>
      <c r="F7" s="48" t="s">
        <v>43</v>
      </c>
      <c r="G7" s="61">
        <v>0.0</v>
      </c>
      <c r="H7" s="58">
        <v>40000.0</v>
      </c>
      <c r="I7" s="60"/>
      <c r="J7" s="60"/>
      <c r="K7" s="48">
        <v>2.1</v>
      </c>
      <c r="L7" s="48" t="s">
        <v>37</v>
      </c>
      <c r="M7" s="48" t="s">
        <v>44</v>
      </c>
      <c r="N7" s="58" t="s">
        <v>38</v>
      </c>
      <c r="O7" s="48" t="s">
        <v>29</v>
      </c>
      <c r="P7" s="48"/>
      <c r="Q7" s="58">
        <v>0.0</v>
      </c>
      <c r="R7" s="58">
        <v>84000.0</v>
      </c>
      <c r="S7" s="58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</row>
    <row r="8" ht="15.75" customHeight="1">
      <c r="A8" s="47"/>
      <c r="B8" s="51">
        <v>43221.0</v>
      </c>
      <c r="C8" s="48" t="s">
        <v>20</v>
      </c>
      <c r="D8" s="48" t="s">
        <v>19</v>
      </c>
      <c r="E8" s="48" t="s">
        <v>21</v>
      </c>
      <c r="F8" s="48" t="s">
        <v>43</v>
      </c>
      <c r="G8" s="58">
        <v>40000.0</v>
      </c>
      <c r="H8" s="59">
        <v>0.0</v>
      </c>
      <c r="I8" s="60"/>
      <c r="J8" s="60"/>
      <c r="K8" s="48">
        <v>2.1</v>
      </c>
      <c r="L8" s="48" t="s">
        <v>37</v>
      </c>
      <c r="M8" s="48" t="s">
        <v>42</v>
      </c>
      <c r="N8" s="58" t="s">
        <v>38</v>
      </c>
      <c r="O8" s="48" t="s">
        <v>29</v>
      </c>
      <c r="P8" s="48"/>
      <c r="Q8" s="58">
        <v>84000.0</v>
      </c>
      <c r="R8" s="58">
        <v>0.0</v>
      </c>
      <c r="S8" s="58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</row>
    <row r="9" ht="15.75" customHeight="1">
      <c r="A9" s="47"/>
      <c r="B9" s="51">
        <v>43221.0</v>
      </c>
      <c r="C9" s="48" t="s">
        <v>20</v>
      </c>
      <c r="D9" s="48" t="s">
        <v>19</v>
      </c>
      <c r="E9" s="48" t="s">
        <v>21</v>
      </c>
      <c r="F9" s="48" t="s">
        <v>45</v>
      </c>
      <c r="G9" s="61">
        <v>0.0</v>
      </c>
      <c r="H9" s="58">
        <v>40000.0</v>
      </c>
      <c r="I9" s="60"/>
      <c r="J9" s="60"/>
      <c r="K9" s="48">
        <v>2.1</v>
      </c>
      <c r="L9" s="48" t="s">
        <v>37</v>
      </c>
      <c r="M9" s="48" t="s">
        <v>44</v>
      </c>
      <c r="N9" s="58" t="s">
        <v>38</v>
      </c>
      <c r="O9" s="48" t="s">
        <v>29</v>
      </c>
      <c r="P9" s="48"/>
      <c r="Q9" s="58">
        <v>0.0</v>
      </c>
      <c r="R9" s="58">
        <v>84000.0</v>
      </c>
      <c r="S9" s="58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</row>
    <row r="10" ht="15.75" customHeight="1">
      <c r="A10" s="47"/>
      <c r="B10" s="51">
        <v>43223.0</v>
      </c>
      <c r="C10" s="48" t="s">
        <v>20</v>
      </c>
      <c r="D10" s="48" t="s">
        <v>19</v>
      </c>
      <c r="E10" s="48" t="s">
        <v>21</v>
      </c>
      <c r="F10" s="48" t="s">
        <v>41</v>
      </c>
      <c r="G10" s="58">
        <v>50000.0</v>
      </c>
      <c r="H10" s="59">
        <v>0.0</v>
      </c>
      <c r="I10" s="60"/>
      <c r="J10" s="60"/>
      <c r="K10" s="48">
        <v>1.3</v>
      </c>
      <c r="L10" s="48" t="s">
        <v>37</v>
      </c>
      <c r="M10" s="48" t="s">
        <v>42</v>
      </c>
      <c r="N10" s="58" t="s">
        <v>38</v>
      </c>
      <c r="O10" s="48" t="s">
        <v>29</v>
      </c>
      <c r="P10" s="48"/>
      <c r="Q10" s="58">
        <v>65000.0</v>
      </c>
      <c r="R10" s="58">
        <v>0.0</v>
      </c>
      <c r="S10" s="58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</row>
    <row r="11" ht="15.75" customHeight="1">
      <c r="A11" s="47"/>
      <c r="B11" s="51">
        <v>43223.0</v>
      </c>
      <c r="C11" s="48" t="s">
        <v>20</v>
      </c>
      <c r="D11" s="48" t="s">
        <v>19</v>
      </c>
      <c r="E11" s="48" t="s">
        <v>21</v>
      </c>
      <c r="F11" s="48" t="s">
        <v>43</v>
      </c>
      <c r="G11" s="61">
        <v>0.0</v>
      </c>
      <c r="H11" s="58">
        <v>50000.0</v>
      </c>
      <c r="I11" s="60"/>
      <c r="J11" s="60"/>
      <c r="K11" s="48">
        <v>1.3</v>
      </c>
      <c r="L11" s="48" t="s">
        <v>37</v>
      </c>
      <c r="M11" s="48" t="s">
        <v>44</v>
      </c>
      <c r="N11" s="58" t="s">
        <v>38</v>
      </c>
      <c r="O11" s="48" t="s">
        <v>29</v>
      </c>
      <c r="P11" s="48"/>
      <c r="Q11" s="58">
        <v>0.0</v>
      </c>
      <c r="R11" s="58">
        <v>65000.0</v>
      </c>
      <c r="S11" s="58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</row>
    <row r="12" ht="15.75" customHeight="1">
      <c r="A12" s="47"/>
      <c r="B12" s="51">
        <v>43220.0</v>
      </c>
      <c r="C12" s="48" t="s">
        <v>20</v>
      </c>
      <c r="D12" s="48" t="s">
        <v>19</v>
      </c>
      <c r="E12" s="48" t="s">
        <v>21</v>
      </c>
      <c r="F12" s="48" t="s">
        <v>43</v>
      </c>
      <c r="G12" s="58">
        <v>50000.0</v>
      </c>
      <c r="H12" s="59">
        <v>0.0</v>
      </c>
      <c r="I12" s="60"/>
      <c r="J12" s="60"/>
      <c r="K12" s="48">
        <v>1.3</v>
      </c>
      <c r="L12" s="48" t="s">
        <v>37</v>
      </c>
      <c r="M12" s="48" t="s">
        <v>42</v>
      </c>
      <c r="N12" s="58" t="s">
        <v>38</v>
      </c>
      <c r="O12" s="48" t="s">
        <v>29</v>
      </c>
      <c r="P12" s="48"/>
      <c r="Q12" s="58">
        <v>65000.0</v>
      </c>
      <c r="R12" s="58">
        <v>0.0</v>
      </c>
      <c r="S12" s="58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</row>
    <row r="13" ht="15.75" customHeight="1">
      <c r="A13" s="47"/>
      <c r="B13" s="51">
        <v>43220.0</v>
      </c>
      <c r="C13" s="48" t="s">
        <v>20</v>
      </c>
      <c r="D13" s="48" t="s">
        <v>19</v>
      </c>
      <c r="E13" s="48" t="s">
        <v>21</v>
      </c>
      <c r="F13" s="48" t="s">
        <v>45</v>
      </c>
      <c r="G13" s="61">
        <v>0.0</v>
      </c>
      <c r="H13" s="58">
        <v>50000.0</v>
      </c>
      <c r="I13" s="60"/>
      <c r="J13" s="60"/>
      <c r="K13" s="48">
        <v>1.3</v>
      </c>
      <c r="L13" s="48" t="s">
        <v>37</v>
      </c>
      <c r="M13" s="48" t="s">
        <v>44</v>
      </c>
      <c r="N13" s="58" t="s">
        <v>38</v>
      </c>
      <c r="O13" s="48" t="s">
        <v>29</v>
      </c>
      <c r="P13" s="48"/>
      <c r="Q13" s="58">
        <v>0.0</v>
      </c>
      <c r="R13" s="58">
        <v>65000.0</v>
      </c>
      <c r="S13" s="58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</row>
    <row r="14" ht="15.75" customHeight="1">
      <c r="A14" s="47"/>
      <c r="B14" s="62">
        <v>43222.0</v>
      </c>
      <c r="C14" s="55" t="s">
        <v>23</v>
      </c>
      <c r="D14" s="48"/>
      <c r="E14" s="48" t="s">
        <v>21</v>
      </c>
      <c r="F14" s="63" t="s">
        <v>46</v>
      </c>
      <c r="G14" s="64">
        <v>20000.0</v>
      </c>
      <c r="H14" s="59">
        <v>0.0</v>
      </c>
      <c r="I14" s="60"/>
      <c r="J14" s="60"/>
      <c r="K14" s="55">
        <v>3.6</v>
      </c>
      <c r="L14" s="48" t="s">
        <v>37</v>
      </c>
      <c r="M14" s="48" t="s">
        <v>42</v>
      </c>
      <c r="N14" s="58" t="s">
        <v>38</v>
      </c>
      <c r="O14" s="48" t="s">
        <v>29</v>
      </c>
      <c r="P14" s="48"/>
      <c r="Q14" s="64">
        <v>72000.0</v>
      </c>
      <c r="R14" s="58">
        <v>0.0</v>
      </c>
      <c r="S14" s="58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</row>
    <row r="15" ht="15.75" customHeight="1">
      <c r="A15" s="47"/>
      <c r="B15" s="62">
        <v>43222.0</v>
      </c>
      <c r="C15" s="55" t="s">
        <v>23</v>
      </c>
      <c r="D15" s="48"/>
      <c r="E15" s="48" t="s">
        <v>21</v>
      </c>
      <c r="F15" s="63" t="s">
        <v>47</v>
      </c>
      <c r="G15" s="61">
        <v>0.0</v>
      </c>
      <c r="H15" s="64">
        <v>20000.0</v>
      </c>
      <c r="I15" s="60"/>
      <c r="J15" s="60"/>
      <c r="K15" s="55">
        <v>3.6</v>
      </c>
      <c r="L15" s="48" t="s">
        <v>37</v>
      </c>
      <c r="M15" s="48" t="s">
        <v>44</v>
      </c>
      <c r="N15" s="58" t="s">
        <v>38</v>
      </c>
      <c r="O15" s="48" t="s">
        <v>29</v>
      </c>
      <c r="P15" s="48"/>
      <c r="Q15" s="58">
        <v>0.0</v>
      </c>
      <c r="R15" s="64">
        <v>72000.0</v>
      </c>
      <c r="S15" s="58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</row>
    <row r="16" ht="15.75" customHeight="1">
      <c r="A16" s="47"/>
      <c r="B16" s="51">
        <v>43223.0</v>
      </c>
      <c r="C16" s="55" t="s">
        <v>23</v>
      </c>
      <c r="D16" s="48"/>
      <c r="E16" s="48" t="s">
        <v>21</v>
      </c>
      <c r="F16" s="63" t="s">
        <v>41</v>
      </c>
      <c r="G16" s="64">
        <v>20000.0</v>
      </c>
      <c r="H16" s="59">
        <v>0.0</v>
      </c>
      <c r="I16" s="60"/>
      <c r="J16" s="60"/>
      <c r="K16" s="55">
        <v>3.6</v>
      </c>
      <c r="L16" s="48" t="s">
        <v>37</v>
      </c>
      <c r="M16" s="48" t="s">
        <v>42</v>
      </c>
      <c r="N16" s="58" t="s">
        <v>38</v>
      </c>
      <c r="O16" s="48" t="s">
        <v>29</v>
      </c>
      <c r="P16" s="48"/>
      <c r="Q16" s="64">
        <v>72000.0</v>
      </c>
      <c r="R16" s="58">
        <v>0.0</v>
      </c>
      <c r="S16" s="58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</row>
    <row r="17" ht="15.75" customHeight="1">
      <c r="A17" s="47"/>
      <c r="B17" s="51">
        <v>43223.0</v>
      </c>
      <c r="C17" s="55" t="s">
        <v>23</v>
      </c>
      <c r="D17" s="48"/>
      <c r="E17" s="48" t="s">
        <v>21</v>
      </c>
      <c r="F17" s="63" t="s">
        <v>46</v>
      </c>
      <c r="G17" s="61">
        <v>0.0</v>
      </c>
      <c r="H17" s="64">
        <v>20000.0</v>
      </c>
      <c r="I17" s="60"/>
      <c r="J17" s="60"/>
      <c r="K17" s="55">
        <v>3.6</v>
      </c>
      <c r="L17" s="48" t="s">
        <v>37</v>
      </c>
      <c r="M17" s="48" t="s">
        <v>44</v>
      </c>
      <c r="N17" s="58" t="s">
        <v>38</v>
      </c>
      <c r="O17" s="48" t="s">
        <v>29</v>
      </c>
      <c r="P17" s="48"/>
      <c r="Q17" s="58">
        <v>0.0</v>
      </c>
      <c r="R17" s="64">
        <v>72000.0</v>
      </c>
      <c r="S17" s="58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</row>
    <row r="18">
      <c r="F18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VerifyDividend!$4:$4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48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IFERROR(__xludf.DUMMYFUNCTION("""COMPUTED_VALUE"""),"Account")</f>
        <v>Account</v>
      </c>
      <c r="C5" s="23" t="str">
        <f>IFERROR(__xludf.DUMMYFUNCTION("""COMPUTED_VALUE"""),"Date")</f>
        <v>Date</v>
      </c>
      <c r="D5" s="23" t="str">
        <f>IFERROR(__xludf.DUMMYFUNCTION("""COMPUTED_VALUE"""),"Currency (Local)")</f>
        <v>Currency (Local)</v>
      </c>
      <c r="E5" s="23" t="str">
        <f>IFERROR(__xludf.DUMMYFUNCTION("""COMPUTED_VALUE"""),"Cash (Local)")</f>
        <v>Cash (Local)</v>
      </c>
      <c r="F5" s="23" t="str">
        <f>IFERROR(__xludf.DUMMYFUNCTION("""COMPUTED_VALUE"""),"Currency (Base)")</f>
        <v>Currency (Base)</v>
      </c>
      <c r="G5" s="23" t="str">
        <f>IFERROR(__xludf.DUMMYFUNCTION("""COMPUTED_VALUE"""),"Cash (Base)")</f>
        <v>Cash (Base)</v>
      </c>
      <c r="H5" s="23" t="str">
        <f>IFERROR(__xludf.DUMMYFUNCTION("""COMPUTED_VALUE"""),"BalanceType")</f>
        <v>BalanceType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3"/>
      <c r="B6" s="3" t="s">
        <v>20</v>
      </c>
      <c r="C6" s="26">
        <v>43223.0</v>
      </c>
      <c r="D6" s="3" t="s">
        <v>21</v>
      </c>
      <c r="E6" s="3">
        <v>50000.0</v>
      </c>
      <c r="F6" s="3" t="s">
        <v>29</v>
      </c>
      <c r="G6" s="3">
        <v>38669.76</v>
      </c>
      <c r="H6" s="3" t="s">
        <v>36</v>
      </c>
      <c r="I6" s="3"/>
      <c r="J6" s="3"/>
      <c r="K6" s="3"/>
      <c r="L6" s="3"/>
      <c r="M6" s="3"/>
      <c r="N6" s="3"/>
      <c r="O6" s="3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</row>
    <row r="7" ht="15.75" customHeight="1">
      <c r="A7" s="6"/>
      <c r="B7" s="9" t="s">
        <v>23</v>
      </c>
      <c r="C7" s="41">
        <v>43223.0</v>
      </c>
      <c r="D7" s="9" t="s">
        <v>21</v>
      </c>
      <c r="E7" s="9">
        <v>20000.0</v>
      </c>
      <c r="F7" s="9" t="s">
        <v>29</v>
      </c>
      <c r="G7" s="9">
        <v>15467.9</v>
      </c>
      <c r="H7" s="3" t="s">
        <v>36</v>
      </c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VerifyDayEndCash!$4:$4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49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IFERROR(__xludf.DUMMYFUNCTION("""COMPUTED_VALUE"""),"MasterFund")</f>
        <v>MasterFund</v>
      </c>
      <c r="C5" s="23" t="str">
        <f>IFERROR(__xludf.DUMMYFUNCTION("""COMPUTED_VALUE"""),"Accounts")</f>
        <v>Accounts</v>
      </c>
      <c r="D5" s="23" t="str">
        <f>IFERROR(__xludf.DUMMYFUNCTION("""COMPUTED_VALUE"""),"Balances as on date")</f>
        <v>Balances as on date</v>
      </c>
      <c r="E5" s="23" t="str">
        <f>IFERROR(__xludf.DUMMYFUNCTION("""COMPUTED_VALUE"""),"IsRunRevalOnGetAccountBalances")</f>
        <v>IsRunRevalOnGetAccountBalances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3"/>
      <c r="B6" s="26" t="s">
        <v>32</v>
      </c>
      <c r="C6" s="25" t="s">
        <v>16</v>
      </c>
      <c r="D6" s="26">
        <v>43228.0</v>
      </c>
      <c r="E6" s="3" t="b">
        <v>1</v>
      </c>
      <c r="F6" s="3"/>
      <c r="G6" s="3"/>
      <c r="H6" s="3"/>
      <c r="I6" s="3"/>
      <c r="J6" s="3"/>
      <c r="K6" s="3"/>
      <c r="L6" s="3"/>
      <c r="M6" s="3"/>
      <c r="N6" s="3"/>
      <c r="O6" s="3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50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IFERROR(__xludf.DUMMYFUNCTION("""COMPUTED_VALUE"""),"MasterFund")</f>
        <v>MasterFund</v>
      </c>
      <c r="C5" s="23" t="str">
        <f>IFERROR(__xludf.DUMMYFUNCTION("""COMPUTED_VALUE"""),"Accounts")</f>
        <v>Accounts</v>
      </c>
      <c r="D5" s="23" t="str">
        <f>IFERROR(__xludf.DUMMYFUNCTION("""COMPUTED_VALUE"""),"From Date")</f>
        <v>From Date</v>
      </c>
      <c r="E5" s="23" t="str">
        <f>IFERROR(__xludf.DUMMYFUNCTION("""COMPUTED_VALUE"""),"To Date")</f>
        <v>To Date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6"/>
      <c r="B6" s="26" t="s">
        <v>32</v>
      </c>
      <c r="C6" s="25" t="s">
        <v>16</v>
      </c>
      <c r="D6" s="26">
        <v>43210.0</v>
      </c>
      <c r="E6" s="26">
        <v>43228.0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3" width="12.63"/>
    <col customWidth="1" min="4" max="4" width="24.38"/>
    <col customWidth="1" min="5" max="5" width="16.25"/>
    <col customWidth="1" min="6" max="8" width="12.63"/>
    <col customWidth="1" min="9" max="9" width="15.88"/>
    <col customWidth="1" min="10" max="11" width="15.25"/>
    <col customWidth="1" min="12" max="12" width="37.25"/>
    <col customWidth="1" min="13" max="14" width="12.63"/>
    <col customWidth="1" min="15" max="15" width="17.88"/>
    <col customWidth="1" min="16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34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45" t="str">
        <f>IFERROR(__xludf.DUMMYFUNCTION("""COMPUTED_VALUE"""),"Account")</f>
        <v>Account</v>
      </c>
      <c r="C5" s="45" t="str">
        <f>IFERROR(__xludf.DUMMYFUNCTION("""COMPUTED_VALUE"""),"Activity Source")</f>
        <v>Activity Source</v>
      </c>
      <c r="D5" s="46" t="str">
        <f>IFERROR(__xludf.DUMMYFUNCTION("""COMPUTED_VALUE"""),"ActivityType")</f>
        <v>ActivityType</v>
      </c>
      <c r="E5" s="45" t="str">
        <f>IFERROR(__xludf.DUMMYFUNCTION("""COMPUTED_VALUE"""),"Net Amount(Local)")</f>
        <v>Net Amount(Local)</v>
      </c>
      <c r="F5" s="45" t="str">
        <f>IFERROR(__xludf.DUMMYFUNCTION("""COMPUTED_VALUE"""),"AUEC Fee1")</f>
        <v>AUEC Fee1</v>
      </c>
      <c r="G5" s="45" t="str">
        <f>IFERROR(__xludf.DUMMYFUNCTION("""COMPUTED_VALUE"""),"AUEC Fee2")</f>
        <v>AUEC Fee2</v>
      </c>
      <c r="H5" s="45" t="str">
        <f>IFERROR(__xludf.DUMMYFUNCTION("""COMPUTED_VALUE"""),"Balance Type")</f>
        <v>Balance Type</v>
      </c>
      <c r="I5" s="45" t="str">
        <f>IFERROR(__xludf.DUMMYFUNCTION("""COMPUTED_VALUE"""),"Clearing Broker Fees")</f>
        <v>Clearing Broker Fees</v>
      </c>
      <c r="J5" s="45" t="str">
        <f>IFERROR(__xludf.DUMMYFUNCTION("""COMPUTED_VALUE"""),"Commission")</f>
        <v>Commission</v>
      </c>
      <c r="K5" s="45" t="str">
        <f>IFERROR(__xludf.DUMMYFUNCTION("""COMPUTED_VALUE"""),"Currency")</f>
        <v>Currency</v>
      </c>
      <c r="L5" s="45" t="str">
        <f>IFERROR(__xludf.DUMMYFUNCTION("""COMPUTED_VALUE"""),"Description")</f>
        <v>Description</v>
      </c>
      <c r="M5" s="45" t="str">
        <f>IFERROR(__xludf.DUMMYFUNCTION("""COMPUTED_VALUE"""),"Entry Date")</f>
        <v>Entry Date</v>
      </c>
      <c r="N5" s="45" t="str">
        <f>IFERROR(__xludf.DUMMYFUNCTION("""COMPUTED_VALUE"""),"FX Conversion Method Operator")</f>
        <v>FX Conversion Method Operator</v>
      </c>
      <c r="O5" s="45" t="str">
        <f>IFERROR(__xludf.DUMMYFUNCTION("""COMPUTED_VALUE"""),"Fx Rate")</f>
        <v>Fx Rate</v>
      </c>
      <c r="P5" s="45" t="str">
        <f>IFERROR(__xludf.DUMMYFUNCTION("""COMPUTED_VALUE"""),"Lead Currency")</f>
        <v>Lead Currency</v>
      </c>
      <c r="Q5" s="45" t="str">
        <f>IFERROR(__xludf.DUMMYFUNCTION("""COMPUTED_VALUE"""),"Modify date")</f>
        <v>Modify date</v>
      </c>
      <c r="R5" s="45" t="str">
        <f>IFERROR(__xludf.DUMMYFUNCTION("""COMPUTED_VALUE"""),"OCC Fee")</f>
        <v>OCC Fee</v>
      </c>
      <c r="S5" s="45" t="str">
        <f>IFERROR(__xludf.DUMMYFUNCTION("""COMPUTED_VALUE"""),"OptionPremiumAdjustment")</f>
        <v>OptionPremiumAdjustment</v>
      </c>
      <c r="T5" s="24" t="str">
        <f>IFERROR(__xludf.DUMMYFUNCTION("""COMPUTED_VALUE"""),"ORF Fee")</f>
        <v>ORF Fee</v>
      </c>
      <c r="U5" s="24" t="str">
        <f>IFERROR(__xludf.DUMMYFUNCTION("""COMPUTED_VALUE"""),"Other Broker Fees")</f>
        <v>Other Broker Fees</v>
      </c>
      <c r="V5" s="24" t="str">
        <f>IFERROR(__xludf.DUMMYFUNCTION("""COMPUTED_VALUE"""),"Quantity")</f>
        <v>Quantity</v>
      </c>
      <c r="W5" s="24" t="str">
        <f>IFERROR(__xludf.DUMMYFUNCTION("""COMPUTED_VALUE"""),"SEC Fee")</f>
        <v>SEC Fee</v>
      </c>
      <c r="X5" s="24" t="str">
        <f>IFERROR(__xludf.DUMMYFUNCTION("""COMPUTED_VALUE"""),"Settlement Currency")</f>
        <v>Settlement Currency</v>
      </c>
      <c r="Y5" s="24" t="str">
        <f>IFERROR(__xludf.DUMMYFUNCTION("""COMPUTED_VALUE"""),"Settlement Date")</f>
        <v>Settlement Date</v>
      </c>
      <c r="Z5" s="24" t="str">
        <f>IFERROR(__xludf.DUMMYFUNCTION("""COMPUTED_VALUE"""),"Soft Commission")</f>
        <v>Soft Commission</v>
      </c>
      <c r="AA5" s="24" t="str">
        <f>IFERROR(__xludf.DUMMYFUNCTION("""COMPUTED_VALUE"""),"Stamp Duty")</f>
        <v>Stamp Duty</v>
      </c>
      <c r="AB5" s="24" t="str">
        <f>IFERROR(__xludf.DUMMYFUNCTION("""COMPUTED_VALUE"""),"Symbol")</f>
        <v>Symbol</v>
      </c>
      <c r="AC5" s="24" t="str">
        <f>IFERROR(__xludf.DUMMYFUNCTION("""COMPUTED_VALUE"""),"Tax On Commissions")</f>
        <v>Tax On Commissions</v>
      </c>
      <c r="AD5" s="24" t="str">
        <f>IFERROR(__xludf.DUMMYFUNCTION("""COMPUTED_VALUE"""),"Total Commissions")</f>
        <v>Total Commissions</v>
      </c>
      <c r="AE5" s="24" t="str">
        <f>IFERROR(__xludf.DUMMYFUNCTION("""COMPUTED_VALUE"""),"Trade Date")</f>
        <v>Trade Date</v>
      </c>
      <c r="AF5" s="24" t="str">
        <f>IFERROR(__xludf.DUMMYFUNCTION("""COMPUTED_VALUE"""),"Transaction Levy")</f>
        <v>Transaction Levy</v>
      </c>
      <c r="AG5" s="24" t="str">
        <f>IFERROR(__xludf.DUMMYFUNCTION("""COMPUTED_VALUE"""),"Transaction Source")</f>
        <v>Transaction Source</v>
      </c>
      <c r="AH5" s="24" t="str">
        <f>IFERROR(__xludf.DUMMYFUNCTION("""COMPUTED_VALUE"""),"User")</f>
        <v>User</v>
      </c>
      <c r="AI5" s="24" t="str">
        <f>IFERROR(__xludf.DUMMYFUNCTION("""COMPUTED_VALUE"""),"Vs Currency")</f>
        <v>Vs Currency</v>
      </c>
      <c r="AJ5" s="24" t="str">
        <f>IFERROR(__xludf.DUMMYFUNCTION("""COMPUTED_VALUE"""),"SettlCurrencyID")</f>
        <v>SettlCurrencyID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47"/>
      <c r="B6" s="48" t="s">
        <v>20</v>
      </c>
      <c r="C6" s="48" t="s">
        <v>35</v>
      </c>
      <c r="D6" s="48" t="s">
        <v>18</v>
      </c>
      <c r="E6" s="48">
        <v>50000.0</v>
      </c>
      <c r="F6" s="48">
        <v>0.0</v>
      </c>
      <c r="G6" s="48">
        <v>0.0</v>
      </c>
      <c r="H6" s="48" t="s">
        <v>36</v>
      </c>
      <c r="I6" s="48">
        <v>0.0</v>
      </c>
      <c r="J6" s="48">
        <v>0.0</v>
      </c>
      <c r="K6" s="48" t="s">
        <v>21</v>
      </c>
      <c r="L6" s="48"/>
      <c r="M6" s="49"/>
      <c r="N6" s="48" t="s">
        <v>37</v>
      </c>
      <c r="O6" s="48">
        <v>1.3</v>
      </c>
      <c r="P6" s="48"/>
      <c r="Q6" s="49"/>
      <c r="R6" s="48">
        <v>0.0</v>
      </c>
      <c r="S6" s="48">
        <v>0.0</v>
      </c>
      <c r="T6" s="48">
        <v>0.0</v>
      </c>
      <c r="U6" s="48">
        <v>0.0</v>
      </c>
      <c r="V6" s="48">
        <v>0.0</v>
      </c>
      <c r="W6" s="48">
        <v>0.0</v>
      </c>
      <c r="X6" s="48"/>
      <c r="Y6" s="50"/>
      <c r="Z6" s="48">
        <v>0.0</v>
      </c>
      <c r="AA6" s="48">
        <v>0.0</v>
      </c>
      <c r="AB6" s="48" t="s">
        <v>19</v>
      </c>
      <c r="AC6" s="48">
        <v>0.0</v>
      </c>
      <c r="AD6" s="48">
        <v>0.0</v>
      </c>
      <c r="AE6" s="51">
        <v>43220.0</v>
      </c>
      <c r="AF6" s="48">
        <v>0.0</v>
      </c>
      <c r="AG6" s="48" t="s">
        <v>38</v>
      </c>
      <c r="AH6" s="48"/>
      <c r="AI6" s="48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</row>
    <row r="7" ht="15.75" customHeight="1">
      <c r="A7" s="47"/>
      <c r="B7" s="48" t="s">
        <v>20</v>
      </c>
      <c r="C7" s="48" t="s">
        <v>51</v>
      </c>
      <c r="D7" s="48" t="s">
        <v>52</v>
      </c>
      <c r="E7" s="48">
        <v>50000.0</v>
      </c>
      <c r="F7" s="48">
        <v>0.0</v>
      </c>
      <c r="G7" s="48">
        <v>0.0</v>
      </c>
      <c r="H7" s="48" t="s">
        <v>36</v>
      </c>
      <c r="I7" s="48">
        <v>0.0</v>
      </c>
      <c r="J7" s="48">
        <v>0.0</v>
      </c>
      <c r="K7" s="48" t="s">
        <v>21</v>
      </c>
      <c r="L7" s="48" t="s">
        <v>53</v>
      </c>
      <c r="M7" s="49"/>
      <c r="N7" s="48" t="s">
        <v>37</v>
      </c>
      <c r="O7" s="48">
        <v>0.77</v>
      </c>
      <c r="P7" s="48"/>
      <c r="Q7" s="49"/>
      <c r="R7" s="48">
        <v>0.0</v>
      </c>
      <c r="S7" s="48">
        <v>0.0</v>
      </c>
      <c r="T7" s="48">
        <v>0.0</v>
      </c>
      <c r="U7" s="48">
        <v>0.0</v>
      </c>
      <c r="V7" s="48">
        <v>0.0</v>
      </c>
      <c r="W7" s="48">
        <v>0.0</v>
      </c>
      <c r="X7" s="48"/>
      <c r="Y7" s="65"/>
      <c r="Z7" s="48">
        <v>0.0</v>
      </c>
      <c r="AA7" s="48">
        <v>0.0</v>
      </c>
      <c r="AB7" s="48" t="s">
        <v>21</v>
      </c>
      <c r="AC7" s="48">
        <v>0.0</v>
      </c>
      <c r="AD7" s="48">
        <v>0.0</v>
      </c>
      <c r="AE7" s="51">
        <v>43221.0</v>
      </c>
      <c r="AF7" s="48">
        <v>0.0</v>
      </c>
      <c r="AG7" s="48" t="s">
        <v>51</v>
      </c>
      <c r="AH7" s="48"/>
      <c r="AI7" s="48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</row>
    <row r="8" ht="15.75" customHeight="1">
      <c r="A8" s="47"/>
      <c r="B8" s="48" t="s">
        <v>20</v>
      </c>
      <c r="C8" s="48" t="s">
        <v>51</v>
      </c>
      <c r="D8" s="48" t="s">
        <v>52</v>
      </c>
      <c r="E8" s="48">
        <v>-50000.0</v>
      </c>
      <c r="F8" s="48">
        <v>0.0</v>
      </c>
      <c r="G8" s="48">
        <v>0.0</v>
      </c>
      <c r="H8" s="48" t="s">
        <v>36</v>
      </c>
      <c r="I8" s="48">
        <v>0.0</v>
      </c>
      <c r="J8" s="48">
        <v>0.0</v>
      </c>
      <c r="K8" s="48" t="s">
        <v>21</v>
      </c>
      <c r="L8" s="48" t="s">
        <v>54</v>
      </c>
      <c r="M8" s="49"/>
      <c r="N8" s="48" t="s">
        <v>37</v>
      </c>
      <c r="O8" s="48">
        <v>0.0</v>
      </c>
      <c r="P8" s="48"/>
      <c r="Q8" s="49"/>
      <c r="R8" s="48">
        <v>0.0</v>
      </c>
      <c r="S8" s="48">
        <v>0.0</v>
      </c>
      <c r="T8" s="48">
        <v>0.0</v>
      </c>
      <c r="U8" s="48">
        <v>0.0</v>
      </c>
      <c r="V8" s="48">
        <v>0.0</v>
      </c>
      <c r="W8" s="48">
        <v>0.0</v>
      </c>
      <c r="X8" s="48"/>
      <c r="Y8" s="65"/>
      <c r="Z8" s="48">
        <v>0.0</v>
      </c>
      <c r="AA8" s="48">
        <v>0.0</v>
      </c>
      <c r="AB8" s="48" t="s">
        <v>21</v>
      </c>
      <c r="AC8" s="48">
        <v>0.0</v>
      </c>
      <c r="AD8" s="48">
        <v>0.0</v>
      </c>
      <c r="AE8" s="51">
        <v>43221.0</v>
      </c>
      <c r="AF8" s="48">
        <v>0.0</v>
      </c>
      <c r="AG8" s="48" t="s">
        <v>51</v>
      </c>
      <c r="AH8" s="48"/>
      <c r="AI8" s="48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</row>
    <row r="9" ht="15.75" customHeight="1">
      <c r="A9" s="47"/>
      <c r="B9" s="48" t="s">
        <v>20</v>
      </c>
      <c r="C9" s="48" t="s">
        <v>51</v>
      </c>
      <c r="D9" s="48" t="s">
        <v>52</v>
      </c>
      <c r="E9" s="48">
        <v>-40000.0</v>
      </c>
      <c r="F9" s="48">
        <v>0.0</v>
      </c>
      <c r="G9" s="48">
        <v>0.0</v>
      </c>
      <c r="H9" s="48" t="s">
        <v>36</v>
      </c>
      <c r="I9" s="48">
        <v>0.0</v>
      </c>
      <c r="J9" s="48">
        <v>0.0</v>
      </c>
      <c r="K9" s="48" t="s">
        <v>21</v>
      </c>
      <c r="L9" s="48" t="s">
        <v>55</v>
      </c>
      <c r="M9" s="49"/>
      <c r="N9" s="48" t="s">
        <v>37</v>
      </c>
      <c r="O9" s="48">
        <v>2.1</v>
      </c>
      <c r="P9" s="48"/>
      <c r="Q9" s="49"/>
      <c r="R9" s="48">
        <v>0.0</v>
      </c>
      <c r="S9" s="48">
        <v>0.0</v>
      </c>
      <c r="T9" s="48">
        <v>0.0</v>
      </c>
      <c r="U9" s="48">
        <v>0.0</v>
      </c>
      <c r="V9" s="48">
        <v>0.0</v>
      </c>
      <c r="W9" s="48">
        <v>0.0</v>
      </c>
      <c r="X9" s="48"/>
      <c r="Y9" s="65"/>
      <c r="Z9" s="48">
        <v>0.0</v>
      </c>
      <c r="AA9" s="48">
        <v>0.0</v>
      </c>
      <c r="AB9" s="48" t="s">
        <v>19</v>
      </c>
      <c r="AC9" s="48">
        <v>0.0</v>
      </c>
      <c r="AD9" s="48">
        <v>0.0</v>
      </c>
      <c r="AE9" s="51">
        <v>43221.0</v>
      </c>
      <c r="AF9" s="48">
        <v>0.0</v>
      </c>
      <c r="AG9" s="48" t="s">
        <v>51</v>
      </c>
      <c r="AH9" s="48"/>
      <c r="AI9" s="48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</row>
    <row r="10" ht="15.75" customHeight="1">
      <c r="A10" s="47"/>
      <c r="B10" s="48" t="s">
        <v>20</v>
      </c>
      <c r="C10" s="48" t="s">
        <v>51</v>
      </c>
      <c r="D10" s="48" t="s">
        <v>52</v>
      </c>
      <c r="E10" s="48">
        <v>40000.0</v>
      </c>
      <c r="F10" s="48">
        <v>0.0</v>
      </c>
      <c r="G10" s="48">
        <v>0.0</v>
      </c>
      <c r="H10" s="48" t="s">
        <v>36</v>
      </c>
      <c r="I10" s="48">
        <v>0.0</v>
      </c>
      <c r="J10" s="48">
        <v>0.0</v>
      </c>
      <c r="K10" s="48" t="s">
        <v>21</v>
      </c>
      <c r="L10" s="48" t="s">
        <v>56</v>
      </c>
      <c r="M10" s="49"/>
      <c r="N10" s="48" t="s">
        <v>37</v>
      </c>
      <c r="O10" s="48">
        <v>0.77</v>
      </c>
      <c r="P10" s="48"/>
      <c r="Q10" s="49"/>
      <c r="R10" s="48">
        <v>0.0</v>
      </c>
      <c r="S10" s="48">
        <v>0.0</v>
      </c>
      <c r="T10" s="48">
        <v>0.0</v>
      </c>
      <c r="U10" s="48">
        <v>0.0</v>
      </c>
      <c r="V10" s="48">
        <v>0.0</v>
      </c>
      <c r="W10" s="48">
        <v>0.0</v>
      </c>
      <c r="X10" s="48"/>
      <c r="Y10" s="65"/>
      <c r="Z10" s="48">
        <v>0.0</v>
      </c>
      <c r="AA10" s="48">
        <v>0.0</v>
      </c>
      <c r="AB10" s="48" t="s">
        <v>19</v>
      </c>
      <c r="AC10" s="48">
        <v>0.0</v>
      </c>
      <c r="AD10" s="48">
        <v>0.0</v>
      </c>
      <c r="AE10" s="51">
        <v>43221.0</v>
      </c>
      <c r="AF10" s="48">
        <v>0.0</v>
      </c>
      <c r="AG10" s="48" t="s">
        <v>51</v>
      </c>
      <c r="AH10" s="48"/>
      <c r="AI10" s="48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</row>
    <row r="11" ht="15.75" customHeight="1">
      <c r="A11" s="47"/>
      <c r="B11" s="48" t="s">
        <v>20</v>
      </c>
      <c r="C11" s="48" t="s">
        <v>35</v>
      </c>
      <c r="D11" s="48" t="s">
        <v>18</v>
      </c>
      <c r="E11" s="48">
        <v>40000.0</v>
      </c>
      <c r="F11" s="48">
        <v>0.0</v>
      </c>
      <c r="G11" s="48">
        <v>0.0</v>
      </c>
      <c r="H11" s="48" t="s">
        <v>36</v>
      </c>
      <c r="I11" s="48">
        <v>0.0</v>
      </c>
      <c r="J11" s="48">
        <v>0.0</v>
      </c>
      <c r="K11" s="48" t="s">
        <v>21</v>
      </c>
      <c r="L11" s="48"/>
      <c r="M11" s="49"/>
      <c r="N11" s="48" t="s">
        <v>37</v>
      </c>
      <c r="O11" s="48">
        <v>2.1</v>
      </c>
      <c r="P11" s="48"/>
      <c r="Q11" s="49"/>
      <c r="R11" s="48">
        <v>0.0</v>
      </c>
      <c r="S11" s="48">
        <v>0.0</v>
      </c>
      <c r="T11" s="48">
        <v>0.0</v>
      </c>
      <c r="U11" s="48">
        <v>0.0</v>
      </c>
      <c r="V11" s="48">
        <v>0.0</v>
      </c>
      <c r="W11" s="48">
        <v>0.0</v>
      </c>
      <c r="X11" s="48"/>
      <c r="Y11" s="50"/>
      <c r="Z11" s="48">
        <v>0.0</v>
      </c>
      <c r="AA11" s="48">
        <v>0.0</v>
      </c>
      <c r="AB11" s="48" t="s">
        <v>19</v>
      </c>
      <c r="AC11" s="48">
        <v>0.0</v>
      </c>
      <c r="AD11" s="48">
        <v>0.0</v>
      </c>
      <c r="AE11" s="51">
        <v>43221.0</v>
      </c>
      <c r="AF11" s="48">
        <v>0.0</v>
      </c>
      <c r="AG11" s="48" t="s">
        <v>38</v>
      </c>
      <c r="AH11" s="48"/>
      <c r="AI11" s="48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</row>
    <row r="12" ht="15.75" customHeight="1">
      <c r="A12" s="47"/>
      <c r="B12" s="48" t="s">
        <v>20</v>
      </c>
      <c r="C12" s="48" t="s">
        <v>51</v>
      </c>
      <c r="D12" s="48" t="s">
        <v>52</v>
      </c>
      <c r="E12" s="48">
        <v>90000.0</v>
      </c>
      <c r="F12" s="48">
        <v>0.0</v>
      </c>
      <c r="G12" s="48">
        <v>0.0</v>
      </c>
      <c r="H12" s="48" t="s">
        <v>36</v>
      </c>
      <c r="I12" s="48">
        <v>0.0</v>
      </c>
      <c r="J12" s="48">
        <v>0.0</v>
      </c>
      <c r="K12" s="48" t="s">
        <v>21</v>
      </c>
      <c r="L12" s="48" t="s">
        <v>53</v>
      </c>
      <c r="M12" s="49"/>
      <c r="N12" s="48" t="s">
        <v>37</v>
      </c>
      <c r="O12" s="48">
        <v>0.77</v>
      </c>
      <c r="P12" s="48"/>
      <c r="Q12" s="49"/>
      <c r="R12" s="48">
        <v>0.0</v>
      </c>
      <c r="S12" s="48">
        <v>0.0</v>
      </c>
      <c r="T12" s="48">
        <v>0.0</v>
      </c>
      <c r="U12" s="48">
        <v>0.0</v>
      </c>
      <c r="V12" s="48">
        <v>0.0</v>
      </c>
      <c r="W12" s="48">
        <v>0.0</v>
      </c>
      <c r="X12" s="48"/>
      <c r="Y12" s="65"/>
      <c r="Z12" s="48">
        <v>0.0</v>
      </c>
      <c r="AA12" s="48">
        <v>0.0</v>
      </c>
      <c r="AB12" s="48" t="s">
        <v>21</v>
      </c>
      <c r="AC12" s="48">
        <v>0.0</v>
      </c>
      <c r="AD12" s="48">
        <v>0.0</v>
      </c>
      <c r="AE12" s="51">
        <v>43222.0</v>
      </c>
      <c r="AF12" s="48">
        <v>0.0</v>
      </c>
      <c r="AG12" s="48" t="s">
        <v>51</v>
      </c>
      <c r="AH12" s="48"/>
      <c r="AI12" s="48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</row>
    <row r="13" ht="15.75" customHeight="1">
      <c r="A13" s="47"/>
      <c r="B13" s="48" t="s">
        <v>20</v>
      </c>
      <c r="C13" s="48" t="s">
        <v>51</v>
      </c>
      <c r="D13" s="48" t="s">
        <v>52</v>
      </c>
      <c r="E13" s="48">
        <v>-90000.0</v>
      </c>
      <c r="F13" s="48">
        <v>0.0</v>
      </c>
      <c r="G13" s="48">
        <v>0.0</v>
      </c>
      <c r="H13" s="48" t="s">
        <v>36</v>
      </c>
      <c r="I13" s="48">
        <v>0.0</v>
      </c>
      <c r="J13" s="48">
        <v>0.0</v>
      </c>
      <c r="K13" s="48" t="s">
        <v>21</v>
      </c>
      <c r="L13" s="48" t="s">
        <v>54</v>
      </c>
      <c r="M13" s="49"/>
      <c r="N13" s="48" t="s">
        <v>37</v>
      </c>
      <c r="O13" s="48">
        <v>0.77</v>
      </c>
      <c r="P13" s="48"/>
      <c r="Q13" s="49"/>
      <c r="R13" s="48">
        <v>0.0</v>
      </c>
      <c r="S13" s="48">
        <v>0.0</v>
      </c>
      <c r="T13" s="48">
        <v>0.0</v>
      </c>
      <c r="U13" s="48">
        <v>0.0</v>
      </c>
      <c r="V13" s="48">
        <v>0.0</v>
      </c>
      <c r="W13" s="48">
        <v>0.0</v>
      </c>
      <c r="X13" s="48"/>
      <c r="Y13" s="65"/>
      <c r="Z13" s="48">
        <v>0.0</v>
      </c>
      <c r="AA13" s="48">
        <v>0.0</v>
      </c>
      <c r="AB13" s="48" t="s">
        <v>21</v>
      </c>
      <c r="AC13" s="48">
        <v>0.0</v>
      </c>
      <c r="AD13" s="48">
        <v>0.0</v>
      </c>
      <c r="AE13" s="51">
        <v>43222.0</v>
      </c>
      <c r="AF13" s="48">
        <v>0.0</v>
      </c>
      <c r="AG13" s="48" t="s">
        <v>51</v>
      </c>
      <c r="AH13" s="48"/>
      <c r="AI13" s="48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</row>
    <row r="14" ht="15.75" customHeight="1">
      <c r="A14" s="47"/>
      <c r="B14" s="48" t="s">
        <v>20</v>
      </c>
      <c r="C14" s="48" t="s">
        <v>51</v>
      </c>
      <c r="D14" s="48" t="s">
        <v>52</v>
      </c>
      <c r="E14" s="48">
        <v>90000.0</v>
      </c>
      <c r="F14" s="48">
        <v>0.0</v>
      </c>
      <c r="G14" s="48">
        <v>0.0</v>
      </c>
      <c r="H14" s="48" t="s">
        <v>36</v>
      </c>
      <c r="I14" s="48">
        <v>0.0</v>
      </c>
      <c r="J14" s="48">
        <v>0.0</v>
      </c>
      <c r="K14" s="48" t="s">
        <v>21</v>
      </c>
      <c r="L14" s="48" t="s">
        <v>53</v>
      </c>
      <c r="M14" s="49"/>
      <c r="N14" s="48" t="s">
        <v>37</v>
      </c>
      <c r="O14" s="48">
        <v>0.77</v>
      </c>
      <c r="P14" s="48"/>
      <c r="Q14" s="49"/>
      <c r="R14" s="48">
        <v>0.0</v>
      </c>
      <c r="S14" s="48">
        <v>0.0</v>
      </c>
      <c r="T14" s="48">
        <v>0.0</v>
      </c>
      <c r="U14" s="48">
        <v>0.0</v>
      </c>
      <c r="V14" s="48">
        <v>0.0</v>
      </c>
      <c r="W14" s="48">
        <v>0.0</v>
      </c>
      <c r="X14" s="48"/>
      <c r="Y14" s="65"/>
      <c r="Z14" s="48">
        <v>0.0</v>
      </c>
      <c r="AA14" s="48">
        <v>0.0</v>
      </c>
      <c r="AB14" s="48" t="s">
        <v>21</v>
      </c>
      <c r="AC14" s="48">
        <v>0.0</v>
      </c>
      <c r="AD14" s="48">
        <v>0.0</v>
      </c>
      <c r="AE14" s="51">
        <v>43223.0</v>
      </c>
      <c r="AF14" s="48">
        <v>0.0</v>
      </c>
      <c r="AG14" s="48" t="s">
        <v>51</v>
      </c>
      <c r="AH14" s="48"/>
      <c r="AI14" s="48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</row>
    <row r="15" ht="15.75" customHeight="1">
      <c r="A15" s="47"/>
      <c r="B15" s="48" t="s">
        <v>20</v>
      </c>
      <c r="C15" s="48" t="s">
        <v>51</v>
      </c>
      <c r="D15" s="48" t="s">
        <v>52</v>
      </c>
      <c r="E15" s="48">
        <v>-90000.0</v>
      </c>
      <c r="F15" s="48">
        <v>0.0</v>
      </c>
      <c r="G15" s="48">
        <v>0.0</v>
      </c>
      <c r="H15" s="48" t="s">
        <v>36</v>
      </c>
      <c r="I15" s="48">
        <v>0.0</v>
      </c>
      <c r="J15" s="48">
        <v>0.0</v>
      </c>
      <c r="K15" s="48" t="s">
        <v>21</v>
      </c>
      <c r="L15" s="48" t="s">
        <v>54</v>
      </c>
      <c r="M15" s="49"/>
      <c r="N15" s="48" t="s">
        <v>37</v>
      </c>
      <c r="O15" s="48">
        <v>0.77</v>
      </c>
      <c r="P15" s="48"/>
      <c r="Q15" s="49"/>
      <c r="R15" s="48">
        <v>0.0</v>
      </c>
      <c r="S15" s="48">
        <v>0.0</v>
      </c>
      <c r="T15" s="48">
        <v>0.0</v>
      </c>
      <c r="U15" s="48">
        <v>0.0</v>
      </c>
      <c r="V15" s="48">
        <v>0.0</v>
      </c>
      <c r="W15" s="48">
        <v>0.0</v>
      </c>
      <c r="X15" s="48"/>
      <c r="Y15" s="65"/>
      <c r="Z15" s="48">
        <v>0.0</v>
      </c>
      <c r="AA15" s="48">
        <v>0.0</v>
      </c>
      <c r="AB15" s="48" t="s">
        <v>21</v>
      </c>
      <c r="AC15" s="48">
        <v>0.0</v>
      </c>
      <c r="AD15" s="48">
        <v>0.0</v>
      </c>
      <c r="AE15" s="51">
        <v>43223.0</v>
      </c>
      <c r="AF15" s="48">
        <v>0.0</v>
      </c>
      <c r="AG15" s="48" t="s">
        <v>51</v>
      </c>
      <c r="AH15" s="48"/>
      <c r="AI15" s="48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</row>
    <row r="16" ht="15.75" customHeight="1">
      <c r="A16" s="47"/>
      <c r="B16" s="48" t="s">
        <v>20</v>
      </c>
      <c r="C16" s="48" t="s">
        <v>51</v>
      </c>
      <c r="D16" s="48" t="s">
        <v>57</v>
      </c>
      <c r="E16" s="48">
        <v>-50000.0</v>
      </c>
      <c r="F16" s="48">
        <v>0.0</v>
      </c>
      <c r="G16" s="48">
        <v>0.0</v>
      </c>
      <c r="H16" s="48" t="s">
        <v>36</v>
      </c>
      <c r="I16" s="48">
        <v>0.0</v>
      </c>
      <c r="J16" s="48">
        <v>0.0</v>
      </c>
      <c r="K16" s="48" t="s">
        <v>21</v>
      </c>
      <c r="L16" s="48" t="s">
        <v>58</v>
      </c>
      <c r="M16" s="49"/>
      <c r="N16" s="48" t="s">
        <v>37</v>
      </c>
      <c r="O16" s="48">
        <v>1.3</v>
      </c>
      <c r="P16" s="48"/>
      <c r="Q16" s="49"/>
      <c r="R16" s="48">
        <v>0.0</v>
      </c>
      <c r="S16" s="48">
        <v>0.0</v>
      </c>
      <c r="T16" s="48">
        <v>0.0</v>
      </c>
      <c r="U16" s="48">
        <v>0.0</v>
      </c>
      <c r="V16" s="48">
        <v>0.0</v>
      </c>
      <c r="W16" s="48">
        <v>0.0</v>
      </c>
      <c r="X16" s="48"/>
      <c r="Y16" s="65"/>
      <c r="Z16" s="48">
        <v>0.0</v>
      </c>
      <c r="AA16" s="48">
        <v>0.0</v>
      </c>
      <c r="AB16" s="48" t="s">
        <v>19</v>
      </c>
      <c r="AC16" s="48">
        <v>0.0</v>
      </c>
      <c r="AD16" s="48">
        <v>0.0</v>
      </c>
      <c r="AE16" s="51">
        <v>43223.0</v>
      </c>
      <c r="AF16" s="48">
        <v>0.0</v>
      </c>
      <c r="AG16" s="48" t="s">
        <v>51</v>
      </c>
      <c r="AH16" s="48"/>
      <c r="AI16" s="48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</row>
    <row r="17" ht="15.75" customHeight="1">
      <c r="A17" s="47"/>
      <c r="B17" s="48" t="s">
        <v>20</v>
      </c>
      <c r="C17" s="48" t="s">
        <v>51</v>
      </c>
      <c r="D17" s="48" t="s">
        <v>57</v>
      </c>
      <c r="E17" s="48">
        <v>50000.0</v>
      </c>
      <c r="F17" s="48">
        <v>0.0</v>
      </c>
      <c r="G17" s="48">
        <v>0.0</v>
      </c>
      <c r="H17" s="48" t="s">
        <v>36</v>
      </c>
      <c r="I17" s="48">
        <v>0.0</v>
      </c>
      <c r="J17" s="48">
        <v>0.0</v>
      </c>
      <c r="K17" s="48" t="s">
        <v>21</v>
      </c>
      <c r="L17" s="48" t="s">
        <v>59</v>
      </c>
      <c r="M17" s="49"/>
      <c r="N17" s="48" t="s">
        <v>37</v>
      </c>
      <c r="O17" s="48">
        <v>0.77</v>
      </c>
      <c r="P17" s="48"/>
      <c r="Q17" s="49"/>
      <c r="R17" s="48">
        <v>0.0</v>
      </c>
      <c r="S17" s="48">
        <v>0.0</v>
      </c>
      <c r="T17" s="48">
        <v>0.0</v>
      </c>
      <c r="U17" s="48">
        <v>0.0</v>
      </c>
      <c r="V17" s="48">
        <v>0.0</v>
      </c>
      <c r="W17" s="48">
        <v>0.0</v>
      </c>
      <c r="X17" s="48"/>
      <c r="Y17" s="65"/>
      <c r="Z17" s="48">
        <v>0.0</v>
      </c>
      <c r="AA17" s="48">
        <v>0.0</v>
      </c>
      <c r="AB17" s="48" t="s">
        <v>19</v>
      </c>
      <c r="AC17" s="48">
        <v>0.0</v>
      </c>
      <c r="AD17" s="48">
        <v>0.0</v>
      </c>
      <c r="AE17" s="51">
        <v>43223.0</v>
      </c>
      <c r="AF17" s="48">
        <v>0.0</v>
      </c>
      <c r="AG17" s="48" t="s">
        <v>51</v>
      </c>
      <c r="AH17" s="48"/>
      <c r="AI17" s="48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</row>
    <row r="18" ht="15.75" customHeight="1">
      <c r="A18" s="47"/>
      <c r="B18" s="48" t="s">
        <v>20</v>
      </c>
      <c r="C18" s="48" t="s">
        <v>51</v>
      </c>
      <c r="D18" s="48" t="s">
        <v>52</v>
      </c>
      <c r="E18" s="48">
        <v>50000.0</v>
      </c>
      <c r="F18" s="48">
        <v>0.0</v>
      </c>
      <c r="G18" s="48">
        <v>0.0</v>
      </c>
      <c r="H18" s="48" t="s">
        <v>36</v>
      </c>
      <c r="I18" s="48">
        <v>0.0</v>
      </c>
      <c r="J18" s="48">
        <v>0.0</v>
      </c>
      <c r="K18" s="48" t="s">
        <v>21</v>
      </c>
      <c r="L18" s="48" t="s">
        <v>55</v>
      </c>
      <c r="M18" s="49"/>
      <c r="N18" s="48" t="s">
        <v>37</v>
      </c>
      <c r="O18" s="48">
        <v>1.3</v>
      </c>
      <c r="P18" s="48"/>
      <c r="Q18" s="49"/>
      <c r="R18" s="48">
        <v>0.0</v>
      </c>
      <c r="S18" s="48">
        <v>0.0</v>
      </c>
      <c r="T18" s="48">
        <v>0.0</v>
      </c>
      <c r="U18" s="48">
        <v>0.0</v>
      </c>
      <c r="V18" s="48">
        <v>0.0</v>
      </c>
      <c r="W18" s="48">
        <v>0.0</v>
      </c>
      <c r="X18" s="48"/>
      <c r="Y18" s="65"/>
      <c r="Z18" s="48">
        <v>0.0</v>
      </c>
      <c r="AA18" s="48">
        <v>0.0</v>
      </c>
      <c r="AB18" s="48" t="s">
        <v>19</v>
      </c>
      <c r="AC18" s="48">
        <v>0.0</v>
      </c>
      <c r="AD18" s="48">
        <v>0.0</v>
      </c>
      <c r="AE18" s="51">
        <v>43223.0</v>
      </c>
      <c r="AF18" s="48">
        <v>0.0</v>
      </c>
      <c r="AG18" s="48" t="s">
        <v>51</v>
      </c>
      <c r="AH18" s="48"/>
      <c r="AI18" s="48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</row>
    <row r="19" ht="15.75" customHeight="1">
      <c r="A19" s="47"/>
      <c r="B19" s="48" t="s">
        <v>20</v>
      </c>
      <c r="C19" s="48" t="s">
        <v>51</v>
      </c>
      <c r="D19" s="48" t="s">
        <v>52</v>
      </c>
      <c r="E19" s="48">
        <v>-50000.0</v>
      </c>
      <c r="F19" s="48">
        <v>0.0</v>
      </c>
      <c r="G19" s="48">
        <v>0.0</v>
      </c>
      <c r="H19" s="48" t="s">
        <v>36</v>
      </c>
      <c r="I19" s="48">
        <v>0.0</v>
      </c>
      <c r="J19" s="48">
        <v>0.0</v>
      </c>
      <c r="K19" s="48" t="s">
        <v>21</v>
      </c>
      <c r="L19" s="48" t="s">
        <v>60</v>
      </c>
      <c r="M19" s="49"/>
      <c r="N19" s="48" t="s">
        <v>37</v>
      </c>
      <c r="O19" s="48">
        <v>0.77</v>
      </c>
      <c r="P19" s="48"/>
      <c r="Q19" s="49"/>
      <c r="R19" s="48">
        <v>0.0</v>
      </c>
      <c r="S19" s="48">
        <v>0.0</v>
      </c>
      <c r="T19" s="48">
        <v>0.0</v>
      </c>
      <c r="U19" s="48">
        <v>0.0</v>
      </c>
      <c r="V19" s="48">
        <v>0.0</v>
      </c>
      <c r="W19" s="48">
        <v>0.0</v>
      </c>
      <c r="X19" s="48"/>
      <c r="Y19" s="65"/>
      <c r="Z19" s="48">
        <v>0.0</v>
      </c>
      <c r="AA19" s="48">
        <v>0.0</v>
      </c>
      <c r="AB19" s="48" t="s">
        <v>19</v>
      </c>
      <c r="AC19" s="48">
        <v>0.0</v>
      </c>
      <c r="AD19" s="48">
        <v>0.0</v>
      </c>
      <c r="AE19" s="51">
        <v>43223.0</v>
      </c>
      <c r="AF19" s="48">
        <v>0.0</v>
      </c>
      <c r="AG19" s="48" t="s">
        <v>51</v>
      </c>
      <c r="AH19" s="48"/>
      <c r="AI19" s="48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</row>
    <row r="20" ht="15.75" customHeight="1">
      <c r="A20" s="47"/>
      <c r="B20" s="48" t="s">
        <v>20</v>
      </c>
      <c r="C20" s="48" t="s">
        <v>51</v>
      </c>
      <c r="D20" s="48" t="s">
        <v>57</v>
      </c>
      <c r="E20" s="48">
        <v>50000.0</v>
      </c>
      <c r="F20" s="48">
        <v>0.0</v>
      </c>
      <c r="G20" s="48">
        <v>0.0</v>
      </c>
      <c r="H20" s="48" t="s">
        <v>36</v>
      </c>
      <c r="I20" s="48">
        <v>0.0</v>
      </c>
      <c r="J20" s="48">
        <v>0.0</v>
      </c>
      <c r="K20" s="48" t="s">
        <v>21</v>
      </c>
      <c r="L20" s="48" t="s">
        <v>61</v>
      </c>
      <c r="M20" s="49"/>
      <c r="N20" s="48" t="s">
        <v>37</v>
      </c>
      <c r="O20" s="48">
        <v>0.77</v>
      </c>
      <c r="P20" s="48"/>
      <c r="Q20" s="49"/>
      <c r="R20" s="48">
        <v>0.0</v>
      </c>
      <c r="S20" s="48">
        <v>0.0</v>
      </c>
      <c r="T20" s="48">
        <v>0.0</v>
      </c>
      <c r="U20" s="48">
        <v>0.0</v>
      </c>
      <c r="V20" s="48">
        <v>0.0</v>
      </c>
      <c r="W20" s="48">
        <v>0.0</v>
      </c>
      <c r="X20" s="48"/>
      <c r="Y20" s="65"/>
      <c r="Z20" s="48">
        <v>0.0</v>
      </c>
      <c r="AA20" s="48">
        <v>0.0</v>
      </c>
      <c r="AB20" s="48" t="s">
        <v>21</v>
      </c>
      <c r="AC20" s="48">
        <v>0.0</v>
      </c>
      <c r="AD20" s="48">
        <v>0.0</v>
      </c>
      <c r="AE20" s="51">
        <v>43224.0</v>
      </c>
      <c r="AF20" s="48">
        <v>0.0</v>
      </c>
      <c r="AG20" s="48" t="s">
        <v>51</v>
      </c>
      <c r="AH20" s="48"/>
      <c r="AI20" s="48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</row>
    <row r="21" ht="15.75" customHeight="1">
      <c r="A21" s="47"/>
      <c r="B21" s="48" t="s">
        <v>20</v>
      </c>
      <c r="C21" s="48" t="s">
        <v>51</v>
      </c>
      <c r="D21" s="48" t="s">
        <v>57</v>
      </c>
      <c r="E21" s="48">
        <v>-50000.0</v>
      </c>
      <c r="F21" s="48">
        <v>0.0</v>
      </c>
      <c r="G21" s="48">
        <v>0.0</v>
      </c>
      <c r="H21" s="48" t="s">
        <v>36</v>
      </c>
      <c r="I21" s="48">
        <v>0.0</v>
      </c>
      <c r="J21" s="48">
        <v>0.0</v>
      </c>
      <c r="K21" s="48" t="s">
        <v>21</v>
      </c>
      <c r="L21" s="48" t="s">
        <v>62</v>
      </c>
      <c r="M21" s="49"/>
      <c r="N21" s="48" t="s">
        <v>37</v>
      </c>
      <c r="O21" s="48">
        <v>0.77</v>
      </c>
      <c r="P21" s="48"/>
      <c r="Q21" s="49"/>
      <c r="R21" s="48">
        <v>0.0</v>
      </c>
      <c r="S21" s="48">
        <v>0.0</v>
      </c>
      <c r="T21" s="48">
        <v>0.0</v>
      </c>
      <c r="U21" s="48">
        <v>0.0</v>
      </c>
      <c r="V21" s="48">
        <v>0.0</v>
      </c>
      <c r="W21" s="48">
        <v>0.0</v>
      </c>
      <c r="X21" s="48"/>
      <c r="Y21" s="65"/>
      <c r="Z21" s="48">
        <v>0.0</v>
      </c>
      <c r="AA21" s="48">
        <v>0.0</v>
      </c>
      <c r="AB21" s="48" t="s">
        <v>21</v>
      </c>
      <c r="AC21" s="48">
        <v>0.0</v>
      </c>
      <c r="AD21" s="48">
        <v>0.0</v>
      </c>
      <c r="AE21" s="51">
        <v>43224.0</v>
      </c>
      <c r="AF21" s="48">
        <v>0.0</v>
      </c>
      <c r="AG21" s="48" t="s">
        <v>51</v>
      </c>
      <c r="AH21" s="48"/>
      <c r="AI21" s="48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</row>
    <row r="22" ht="15.75" customHeight="1">
      <c r="A22" s="47"/>
      <c r="B22" s="48" t="s">
        <v>20</v>
      </c>
      <c r="C22" s="48" t="s">
        <v>51</v>
      </c>
      <c r="D22" s="48" t="s">
        <v>52</v>
      </c>
      <c r="E22" s="48">
        <v>40000.0</v>
      </c>
      <c r="F22" s="48">
        <v>0.0</v>
      </c>
      <c r="G22" s="48">
        <v>0.0</v>
      </c>
      <c r="H22" s="48" t="s">
        <v>36</v>
      </c>
      <c r="I22" s="48">
        <v>0.0</v>
      </c>
      <c r="J22" s="48">
        <v>0.0</v>
      </c>
      <c r="K22" s="48" t="s">
        <v>21</v>
      </c>
      <c r="L22" s="48" t="s">
        <v>53</v>
      </c>
      <c r="M22" s="49"/>
      <c r="N22" s="48" t="s">
        <v>37</v>
      </c>
      <c r="O22" s="48">
        <v>0.77</v>
      </c>
      <c r="P22" s="48"/>
      <c r="Q22" s="49"/>
      <c r="R22" s="48">
        <v>0.0</v>
      </c>
      <c r="S22" s="48">
        <v>0.0</v>
      </c>
      <c r="T22" s="48">
        <v>0.0</v>
      </c>
      <c r="U22" s="48">
        <v>0.0</v>
      </c>
      <c r="V22" s="48">
        <v>0.0</v>
      </c>
      <c r="W22" s="48">
        <v>0.0</v>
      </c>
      <c r="X22" s="48"/>
      <c r="Y22" s="65"/>
      <c r="Z22" s="48">
        <v>0.0</v>
      </c>
      <c r="AA22" s="48">
        <v>0.0</v>
      </c>
      <c r="AB22" s="48" t="s">
        <v>21</v>
      </c>
      <c r="AC22" s="48">
        <v>0.0</v>
      </c>
      <c r="AD22" s="48">
        <v>0.0</v>
      </c>
      <c r="AE22" s="51">
        <v>43224.0</v>
      </c>
      <c r="AF22" s="48">
        <v>0.0</v>
      </c>
      <c r="AG22" s="48" t="s">
        <v>51</v>
      </c>
      <c r="AH22" s="48"/>
      <c r="AI22" s="48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</row>
    <row r="23" ht="15.75" customHeight="1">
      <c r="A23" s="47"/>
      <c r="B23" s="48" t="s">
        <v>20</v>
      </c>
      <c r="C23" s="48" t="s">
        <v>51</v>
      </c>
      <c r="D23" s="48" t="s">
        <v>52</v>
      </c>
      <c r="E23" s="48">
        <v>-40000.0</v>
      </c>
      <c r="F23" s="48">
        <v>0.0</v>
      </c>
      <c r="G23" s="48">
        <v>0.0</v>
      </c>
      <c r="H23" s="48" t="s">
        <v>36</v>
      </c>
      <c r="I23" s="48">
        <v>0.0</v>
      </c>
      <c r="J23" s="48">
        <v>0.0</v>
      </c>
      <c r="K23" s="48" t="s">
        <v>21</v>
      </c>
      <c r="L23" s="48" t="s">
        <v>54</v>
      </c>
      <c r="M23" s="49"/>
      <c r="N23" s="48" t="s">
        <v>37</v>
      </c>
      <c r="O23" s="48">
        <v>0.77</v>
      </c>
      <c r="P23" s="48"/>
      <c r="Q23" s="49"/>
      <c r="R23" s="48">
        <v>0.0</v>
      </c>
      <c r="S23" s="48">
        <v>0.0</v>
      </c>
      <c r="T23" s="48">
        <v>0.0</v>
      </c>
      <c r="U23" s="48">
        <v>0.0</v>
      </c>
      <c r="V23" s="48">
        <v>0.0</v>
      </c>
      <c r="W23" s="48">
        <v>0.0</v>
      </c>
      <c r="X23" s="48"/>
      <c r="Y23" s="65"/>
      <c r="Z23" s="48">
        <v>0.0</v>
      </c>
      <c r="AA23" s="48">
        <v>0.0</v>
      </c>
      <c r="AB23" s="48" t="s">
        <v>21</v>
      </c>
      <c r="AC23" s="48">
        <v>0.0</v>
      </c>
      <c r="AD23" s="48">
        <v>0.0</v>
      </c>
      <c r="AE23" s="51">
        <v>43224.0</v>
      </c>
      <c r="AF23" s="48">
        <v>0.0</v>
      </c>
      <c r="AG23" s="48" t="s">
        <v>51</v>
      </c>
      <c r="AH23" s="48"/>
      <c r="AI23" s="48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</row>
    <row r="24" ht="15.75" customHeight="1">
      <c r="A24" s="47"/>
      <c r="B24" s="48" t="s">
        <v>20</v>
      </c>
      <c r="C24" s="48" t="s">
        <v>51</v>
      </c>
      <c r="D24" s="48" t="s">
        <v>57</v>
      </c>
      <c r="E24" s="48">
        <v>-40000.0</v>
      </c>
      <c r="F24" s="48">
        <v>0.0</v>
      </c>
      <c r="G24" s="48">
        <v>0.0</v>
      </c>
      <c r="H24" s="48" t="s">
        <v>36</v>
      </c>
      <c r="I24" s="48">
        <v>0.0</v>
      </c>
      <c r="J24" s="48">
        <v>0.0</v>
      </c>
      <c r="K24" s="48" t="s">
        <v>21</v>
      </c>
      <c r="L24" s="48" t="s">
        <v>58</v>
      </c>
      <c r="M24" s="49"/>
      <c r="N24" s="48" t="s">
        <v>37</v>
      </c>
      <c r="O24" s="48">
        <v>2.1</v>
      </c>
      <c r="P24" s="48"/>
      <c r="Q24" s="49"/>
      <c r="R24" s="48">
        <v>0.0</v>
      </c>
      <c r="S24" s="48">
        <v>0.0</v>
      </c>
      <c r="T24" s="48">
        <v>0.0</v>
      </c>
      <c r="U24" s="48">
        <v>0.0</v>
      </c>
      <c r="V24" s="48">
        <v>0.0</v>
      </c>
      <c r="W24" s="48">
        <v>0.0</v>
      </c>
      <c r="X24" s="48"/>
      <c r="Y24" s="65"/>
      <c r="Z24" s="48">
        <v>0.0</v>
      </c>
      <c r="AA24" s="48">
        <v>0.0</v>
      </c>
      <c r="AB24" s="48" t="s">
        <v>19</v>
      </c>
      <c r="AC24" s="48">
        <v>0.0</v>
      </c>
      <c r="AD24" s="48">
        <v>0.0</v>
      </c>
      <c r="AE24" s="51">
        <v>43224.0</v>
      </c>
      <c r="AF24" s="48">
        <v>0.0</v>
      </c>
      <c r="AG24" s="48" t="s">
        <v>51</v>
      </c>
      <c r="AH24" s="48"/>
      <c r="AI24" s="48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</row>
    <row r="25" ht="15.75" customHeight="1">
      <c r="A25" s="47"/>
      <c r="B25" s="48" t="s">
        <v>20</v>
      </c>
      <c r="C25" s="48" t="s">
        <v>51</v>
      </c>
      <c r="D25" s="48" t="s">
        <v>57</v>
      </c>
      <c r="E25" s="48">
        <v>40000.0</v>
      </c>
      <c r="F25" s="48">
        <v>0.0</v>
      </c>
      <c r="G25" s="48">
        <v>0.0</v>
      </c>
      <c r="H25" s="48" t="s">
        <v>36</v>
      </c>
      <c r="I25" s="48">
        <v>0.0</v>
      </c>
      <c r="J25" s="48">
        <v>0.0</v>
      </c>
      <c r="K25" s="48" t="s">
        <v>21</v>
      </c>
      <c r="L25" s="48" t="s">
        <v>59</v>
      </c>
      <c r="M25" s="49"/>
      <c r="N25" s="48" t="s">
        <v>37</v>
      </c>
      <c r="O25" s="48">
        <v>0.77</v>
      </c>
      <c r="P25" s="48"/>
      <c r="Q25" s="49"/>
      <c r="R25" s="48">
        <v>0.0</v>
      </c>
      <c r="S25" s="48">
        <v>0.0</v>
      </c>
      <c r="T25" s="48">
        <v>0.0</v>
      </c>
      <c r="U25" s="48">
        <v>0.0</v>
      </c>
      <c r="V25" s="48">
        <v>0.0</v>
      </c>
      <c r="W25" s="48">
        <v>0.0</v>
      </c>
      <c r="X25" s="48"/>
      <c r="Y25" s="65"/>
      <c r="Z25" s="48">
        <v>0.0</v>
      </c>
      <c r="AA25" s="48">
        <v>0.0</v>
      </c>
      <c r="AB25" s="48" t="s">
        <v>19</v>
      </c>
      <c r="AC25" s="48">
        <v>0.0</v>
      </c>
      <c r="AD25" s="48">
        <v>0.0</v>
      </c>
      <c r="AE25" s="51">
        <v>43224.0</v>
      </c>
      <c r="AF25" s="48">
        <v>0.0</v>
      </c>
      <c r="AG25" s="48" t="s">
        <v>51</v>
      </c>
      <c r="AH25" s="48"/>
      <c r="AI25" s="48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</row>
    <row r="26" ht="15.75" customHeight="1">
      <c r="A26" s="47"/>
      <c r="B26" s="48" t="s">
        <v>20</v>
      </c>
      <c r="C26" s="48" t="s">
        <v>51</v>
      </c>
      <c r="D26" s="48" t="s">
        <v>52</v>
      </c>
      <c r="E26" s="48">
        <v>40000.0</v>
      </c>
      <c r="F26" s="48">
        <v>0.0</v>
      </c>
      <c r="G26" s="48">
        <v>0.0</v>
      </c>
      <c r="H26" s="48" t="s">
        <v>36</v>
      </c>
      <c r="I26" s="48">
        <v>0.0</v>
      </c>
      <c r="J26" s="48">
        <v>0.0</v>
      </c>
      <c r="K26" s="48" t="s">
        <v>21</v>
      </c>
      <c r="L26" s="48" t="s">
        <v>55</v>
      </c>
      <c r="M26" s="49"/>
      <c r="N26" s="48" t="s">
        <v>37</v>
      </c>
      <c r="O26" s="48">
        <v>2.1</v>
      </c>
      <c r="P26" s="48"/>
      <c r="Q26" s="49"/>
      <c r="R26" s="48">
        <v>0.0</v>
      </c>
      <c r="S26" s="48">
        <v>0.0</v>
      </c>
      <c r="T26" s="48">
        <v>0.0</v>
      </c>
      <c r="U26" s="48">
        <v>0.0</v>
      </c>
      <c r="V26" s="48">
        <v>0.0</v>
      </c>
      <c r="W26" s="48">
        <v>0.0</v>
      </c>
      <c r="X26" s="48"/>
      <c r="Y26" s="65"/>
      <c r="Z26" s="48">
        <v>0.0</v>
      </c>
      <c r="AA26" s="48">
        <v>0.0</v>
      </c>
      <c r="AB26" s="48" t="s">
        <v>19</v>
      </c>
      <c r="AC26" s="48">
        <v>0.0</v>
      </c>
      <c r="AD26" s="48">
        <v>0.0</v>
      </c>
      <c r="AE26" s="51">
        <v>43224.0</v>
      </c>
      <c r="AF26" s="48">
        <v>0.0</v>
      </c>
      <c r="AG26" s="48" t="s">
        <v>51</v>
      </c>
      <c r="AH26" s="48"/>
      <c r="AI26" s="48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</row>
    <row r="27" ht="15.75" customHeight="1">
      <c r="A27" s="47"/>
      <c r="B27" s="48" t="s">
        <v>20</v>
      </c>
      <c r="C27" s="48" t="s">
        <v>51</v>
      </c>
      <c r="D27" s="48" t="s">
        <v>52</v>
      </c>
      <c r="E27" s="48">
        <v>-40000.0</v>
      </c>
      <c r="F27" s="48">
        <v>0.0</v>
      </c>
      <c r="G27" s="48">
        <v>0.0</v>
      </c>
      <c r="H27" s="48" t="s">
        <v>36</v>
      </c>
      <c r="I27" s="48">
        <v>0.0</v>
      </c>
      <c r="J27" s="48">
        <v>0.0</v>
      </c>
      <c r="K27" s="48" t="s">
        <v>21</v>
      </c>
      <c r="L27" s="48" t="s">
        <v>60</v>
      </c>
      <c r="M27" s="49"/>
      <c r="N27" s="48" t="s">
        <v>37</v>
      </c>
      <c r="O27" s="48">
        <v>0.77</v>
      </c>
      <c r="P27" s="48"/>
      <c r="Q27" s="49"/>
      <c r="R27" s="48">
        <v>0.0</v>
      </c>
      <c r="S27" s="48">
        <v>0.0</v>
      </c>
      <c r="T27" s="48">
        <v>0.0</v>
      </c>
      <c r="U27" s="48">
        <v>0.0</v>
      </c>
      <c r="V27" s="48">
        <v>0.0</v>
      </c>
      <c r="W27" s="48">
        <v>0.0</v>
      </c>
      <c r="X27" s="48"/>
      <c r="Y27" s="65"/>
      <c r="Z27" s="48">
        <v>0.0</v>
      </c>
      <c r="AA27" s="48">
        <v>0.0</v>
      </c>
      <c r="AB27" s="48" t="s">
        <v>19</v>
      </c>
      <c r="AC27" s="48">
        <v>0.0</v>
      </c>
      <c r="AD27" s="48">
        <v>0.0</v>
      </c>
      <c r="AE27" s="51">
        <v>43224.0</v>
      </c>
      <c r="AF27" s="48">
        <v>0.0</v>
      </c>
      <c r="AG27" s="48" t="s">
        <v>51</v>
      </c>
      <c r="AH27" s="48"/>
      <c r="AI27" s="48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</row>
    <row r="28" ht="15.75" customHeight="1">
      <c r="A28" s="47"/>
      <c r="B28" s="48" t="s">
        <v>20</v>
      </c>
      <c r="C28" s="48" t="s">
        <v>51</v>
      </c>
      <c r="D28" s="48" t="s">
        <v>57</v>
      </c>
      <c r="E28" s="48">
        <v>90000.0</v>
      </c>
      <c r="F28" s="48">
        <v>0.0</v>
      </c>
      <c r="G28" s="48">
        <v>0.0</v>
      </c>
      <c r="H28" s="48" t="s">
        <v>36</v>
      </c>
      <c r="I28" s="48">
        <v>0.0</v>
      </c>
      <c r="J28" s="48">
        <v>0.0</v>
      </c>
      <c r="K28" s="48" t="s">
        <v>21</v>
      </c>
      <c r="L28" s="48" t="s">
        <v>61</v>
      </c>
      <c r="M28" s="49"/>
      <c r="N28" s="48" t="s">
        <v>37</v>
      </c>
      <c r="O28" s="48">
        <v>0.77</v>
      </c>
      <c r="P28" s="48"/>
      <c r="Q28" s="49"/>
      <c r="R28" s="48">
        <v>0.0</v>
      </c>
      <c r="S28" s="48">
        <v>0.0</v>
      </c>
      <c r="T28" s="48">
        <v>0.0</v>
      </c>
      <c r="U28" s="48">
        <v>0.0</v>
      </c>
      <c r="V28" s="48">
        <v>0.0</v>
      </c>
      <c r="W28" s="48">
        <v>0.0</v>
      </c>
      <c r="X28" s="48"/>
      <c r="Y28" s="65"/>
      <c r="Z28" s="48">
        <v>0.0</v>
      </c>
      <c r="AA28" s="48">
        <v>0.0</v>
      </c>
      <c r="AB28" s="48" t="s">
        <v>21</v>
      </c>
      <c r="AC28" s="48">
        <v>0.0</v>
      </c>
      <c r="AD28" s="48">
        <v>0.0</v>
      </c>
      <c r="AE28" s="51">
        <v>43225.0</v>
      </c>
      <c r="AF28" s="48">
        <v>0.0</v>
      </c>
      <c r="AG28" s="48" t="s">
        <v>51</v>
      </c>
      <c r="AH28" s="48"/>
      <c r="AI28" s="48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</row>
    <row r="29" ht="15.75" customHeight="1">
      <c r="A29" s="47"/>
      <c r="B29" s="48" t="s">
        <v>20</v>
      </c>
      <c r="C29" s="48" t="s">
        <v>51</v>
      </c>
      <c r="D29" s="48" t="s">
        <v>57</v>
      </c>
      <c r="E29" s="48">
        <v>-90000.0</v>
      </c>
      <c r="F29" s="48">
        <v>0.0</v>
      </c>
      <c r="G29" s="48">
        <v>0.0</v>
      </c>
      <c r="H29" s="48" t="s">
        <v>36</v>
      </c>
      <c r="I29" s="48">
        <v>0.0</v>
      </c>
      <c r="J29" s="48">
        <v>0.0</v>
      </c>
      <c r="K29" s="48" t="s">
        <v>21</v>
      </c>
      <c r="L29" s="48" t="s">
        <v>62</v>
      </c>
      <c r="M29" s="49"/>
      <c r="N29" s="48" t="s">
        <v>37</v>
      </c>
      <c r="O29" s="48">
        <v>0.77</v>
      </c>
      <c r="P29" s="48"/>
      <c r="Q29" s="49"/>
      <c r="R29" s="48">
        <v>0.0</v>
      </c>
      <c r="S29" s="48">
        <v>0.0</v>
      </c>
      <c r="T29" s="48">
        <v>0.0</v>
      </c>
      <c r="U29" s="48">
        <v>0.0</v>
      </c>
      <c r="V29" s="48">
        <v>0.0</v>
      </c>
      <c r="W29" s="48">
        <v>0.0</v>
      </c>
      <c r="X29" s="48"/>
      <c r="Y29" s="65"/>
      <c r="Z29" s="48">
        <v>0.0</v>
      </c>
      <c r="AA29" s="48">
        <v>0.0</v>
      </c>
      <c r="AB29" s="48" t="s">
        <v>21</v>
      </c>
      <c r="AC29" s="48">
        <v>0.0</v>
      </c>
      <c r="AD29" s="48">
        <v>0.0</v>
      </c>
      <c r="AE29" s="51">
        <v>43225.0</v>
      </c>
      <c r="AF29" s="48">
        <v>0.0</v>
      </c>
      <c r="AG29" s="48" t="s">
        <v>51</v>
      </c>
      <c r="AH29" s="48"/>
      <c r="AI29" s="48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</row>
    <row r="30" ht="15.75" customHeight="1">
      <c r="A30" s="47"/>
      <c r="B30" s="48" t="s">
        <v>20</v>
      </c>
      <c r="C30" s="48" t="s">
        <v>51</v>
      </c>
      <c r="D30" s="48" t="s">
        <v>57</v>
      </c>
      <c r="E30" s="48">
        <v>90000.0</v>
      </c>
      <c r="F30" s="48">
        <v>0.0</v>
      </c>
      <c r="G30" s="48">
        <v>0.0</v>
      </c>
      <c r="H30" s="48" t="s">
        <v>36</v>
      </c>
      <c r="I30" s="48">
        <v>0.0</v>
      </c>
      <c r="J30" s="48">
        <v>0.0</v>
      </c>
      <c r="K30" s="48" t="s">
        <v>21</v>
      </c>
      <c r="L30" s="48" t="s">
        <v>61</v>
      </c>
      <c r="M30" s="49"/>
      <c r="N30" s="48" t="s">
        <v>37</v>
      </c>
      <c r="O30" s="48">
        <v>0.77</v>
      </c>
      <c r="P30" s="48"/>
      <c r="Q30" s="49"/>
      <c r="R30" s="48">
        <v>0.0</v>
      </c>
      <c r="S30" s="48">
        <v>0.0</v>
      </c>
      <c r="T30" s="48">
        <v>0.0</v>
      </c>
      <c r="U30" s="48">
        <v>0.0</v>
      </c>
      <c r="V30" s="48">
        <v>0.0</v>
      </c>
      <c r="W30" s="48">
        <v>0.0</v>
      </c>
      <c r="X30" s="48"/>
      <c r="Y30" s="65"/>
      <c r="Z30" s="48">
        <v>0.0</v>
      </c>
      <c r="AA30" s="48">
        <v>0.0</v>
      </c>
      <c r="AB30" s="48" t="s">
        <v>21</v>
      </c>
      <c r="AC30" s="48">
        <v>0.0</v>
      </c>
      <c r="AD30" s="48">
        <v>0.0</v>
      </c>
      <c r="AE30" s="51">
        <v>43226.0</v>
      </c>
      <c r="AF30" s="48">
        <v>0.0</v>
      </c>
      <c r="AG30" s="48" t="s">
        <v>51</v>
      </c>
      <c r="AH30" s="48"/>
      <c r="AI30" s="48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</row>
    <row r="31" ht="15.75" customHeight="1">
      <c r="A31" s="47"/>
      <c r="B31" s="48" t="s">
        <v>20</v>
      </c>
      <c r="C31" s="48" t="s">
        <v>51</v>
      </c>
      <c r="D31" s="48" t="s">
        <v>57</v>
      </c>
      <c r="E31" s="48">
        <v>-90000.0</v>
      </c>
      <c r="F31" s="48">
        <v>0.0</v>
      </c>
      <c r="G31" s="48">
        <v>0.0</v>
      </c>
      <c r="H31" s="48" t="s">
        <v>36</v>
      </c>
      <c r="I31" s="48">
        <v>0.0</v>
      </c>
      <c r="J31" s="48">
        <v>0.0</v>
      </c>
      <c r="K31" s="48" t="s">
        <v>21</v>
      </c>
      <c r="L31" s="48" t="s">
        <v>62</v>
      </c>
      <c r="M31" s="49"/>
      <c r="N31" s="48" t="s">
        <v>37</v>
      </c>
      <c r="O31" s="48">
        <v>0.77</v>
      </c>
      <c r="P31" s="48"/>
      <c r="Q31" s="49"/>
      <c r="R31" s="48">
        <v>0.0</v>
      </c>
      <c r="S31" s="48">
        <v>0.0</v>
      </c>
      <c r="T31" s="48">
        <v>0.0</v>
      </c>
      <c r="U31" s="48">
        <v>0.0</v>
      </c>
      <c r="V31" s="48">
        <v>0.0</v>
      </c>
      <c r="W31" s="48">
        <v>0.0</v>
      </c>
      <c r="X31" s="48"/>
      <c r="Y31" s="65"/>
      <c r="Z31" s="48">
        <v>0.0</v>
      </c>
      <c r="AA31" s="48">
        <v>0.0</v>
      </c>
      <c r="AB31" s="48" t="s">
        <v>21</v>
      </c>
      <c r="AC31" s="48">
        <v>0.0</v>
      </c>
      <c r="AD31" s="48">
        <v>0.0</v>
      </c>
      <c r="AE31" s="51">
        <v>43226.0</v>
      </c>
      <c r="AF31" s="48">
        <v>0.0</v>
      </c>
      <c r="AG31" s="48" t="s">
        <v>51</v>
      </c>
      <c r="AH31" s="48"/>
      <c r="AI31" s="48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</row>
    <row r="32" ht="15.75" customHeight="1">
      <c r="A32" s="47"/>
      <c r="B32" s="48" t="s">
        <v>20</v>
      </c>
      <c r="C32" s="48" t="s">
        <v>51</v>
      </c>
      <c r="D32" s="48" t="s">
        <v>57</v>
      </c>
      <c r="E32" s="48">
        <v>90000.0</v>
      </c>
      <c r="F32" s="48">
        <v>0.0</v>
      </c>
      <c r="G32" s="48">
        <v>0.0</v>
      </c>
      <c r="H32" s="48" t="s">
        <v>36</v>
      </c>
      <c r="I32" s="48">
        <v>0.0</v>
      </c>
      <c r="J32" s="48">
        <v>0.0</v>
      </c>
      <c r="K32" s="48" t="s">
        <v>21</v>
      </c>
      <c r="L32" s="48" t="s">
        <v>61</v>
      </c>
      <c r="M32" s="49"/>
      <c r="N32" s="48" t="s">
        <v>37</v>
      </c>
      <c r="O32" s="48">
        <v>0.77</v>
      </c>
      <c r="P32" s="48"/>
      <c r="Q32" s="49"/>
      <c r="R32" s="48">
        <v>0.0</v>
      </c>
      <c r="S32" s="48">
        <v>0.0</v>
      </c>
      <c r="T32" s="48">
        <v>0.0</v>
      </c>
      <c r="U32" s="48">
        <v>0.0</v>
      </c>
      <c r="V32" s="48">
        <v>0.0</v>
      </c>
      <c r="W32" s="48">
        <v>0.0</v>
      </c>
      <c r="X32" s="48"/>
      <c r="Y32" s="65"/>
      <c r="Z32" s="48">
        <v>0.0</v>
      </c>
      <c r="AA32" s="48">
        <v>0.0</v>
      </c>
      <c r="AB32" s="48" t="s">
        <v>21</v>
      </c>
      <c r="AC32" s="48">
        <v>0.0</v>
      </c>
      <c r="AD32" s="48">
        <v>0.0</v>
      </c>
      <c r="AE32" s="51">
        <v>43227.0</v>
      </c>
      <c r="AF32" s="48">
        <v>0.0</v>
      </c>
      <c r="AG32" s="48" t="s">
        <v>51</v>
      </c>
      <c r="AH32" s="48"/>
      <c r="AI32" s="48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</row>
    <row r="33" ht="15.75" customHeight="1">
      <c r="A33" s="47"/>
      <c r="B33" s="48" t="s">
        <v>20</v>
      </c>
      <c r="C33" s="48" t="s">
        <v>51</v>
      </c>
      <c r="D33" s="48" t="s">
        <v>57</v>
      </c>
      <c r="E33" s="48">
        <v>-90000.0</v>
      </c>
      <c r="F33" s="48">
        <v>0.0</v>
      </c>
      <c r="G33" s="48">
        <v>0.0</v>
      </c>
      <c r="H33" s="48" t="s">
        <v>36</v>
      </c>
      <c r="I33" s="48">
        <v>0.0</v>
      </c>
      <c r="J33" s="48">
        <v>0.0</v>
      </c>
      <c r="K33" s="48" t="s">
        <v>21</v>
      </c>
      <c r="L33" s="48" t="s">
        <v>62</v>
      </c>
      <c r="M33" s="49"/>
      <c r="N33" s="48" t="s">
        <v>37</v>
      </c>
      <c r="O33" s="48">
        <v>0.77</v>
      </c>
      <c r="P33" s="48"/>
      <c r="Q33" s="49"/>
      <c r="R33" s="48">
        <v>0.0</v>
      </c>
      <c r="S33" s="48">
        <v>0.0</v>
      </c>
      <c r="T33" s="48">
        <v>0.0</v>
      </c>
      <c r="U33" s="48">
        <v>0.0</v>
      </c>
      <c r="V33" s="48">
        <v>0.0</v>
      </c>
      <c r="W33" s="48">
        <v>0.0</v>
      </c>
      <c r="X33" s="48"/>
      <c r="Y33" s="65"/>
      <c r="Z33" s="48">
        <v>0.0</v>
      </c>
      <c r="AA33" s="48">
        <v>0.0</v>
      </c>
      <c r="AB33" s="48" t="s">
        <v>21</v>
      </c>
      <c r="AC33" s="48">
        <v>0.0</v>
      </c>
      <c r="AD33" s="48">
        <v>0.0</v>
      </c>
      <c r="AE33" s="51">
        <v>43227.0</v>
      </c>
      <c r="AF33" s="48">
        <v>0.0</v>
      </c>
      <c r="AG33" s="48" t="s">
        <v>51</v>
      </c>
      <c r="AH33" s="48"/>
      <c r="AI33" s="48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</row>
    <row r="34" ht="15.75" customHeight="1">
      <c r="A34" s="47"/>
      <c r="B34" s="48" t="s">
        <v>20</v>
      </c>
      <c r="C34" s="48" t="s">
        <v>51</v>
      </c>
      <c r="D34" s="48" t="s">
        <v>57</v>
      </c>
      <c r="E34" s="48">
        <v>90000.0</v>
      </c>
      <c r="F34" s="48">
        <v>0.0</v>
      </c>
      <c r="G34" s="48">
        <v>0.0</v>
      </c>
      <c r="H34" s="48" t="s">
        <v>36</v>
      </c>
      <c r="I34" s="48">
        <v>0.0</v>
      </c>
      <c r="J34" s="48">
        <v>0.0</v>
      </c>
      <c r="K34" s="48" t="s">
        <v>21</v>
      </c>
      <c r="L34" s="48" t="s">
        <v>61</v>
      </c>
      <c r="M34" s="49"/>
      <c r="N34" s="48" t="s">
        <v>37</v>
      </c>
      <c r="O34" s="48">
        <v>0.77</v>
      </c>
      <c r="P34" s="48"/>
      <c r="Q34" s="49"/>
      <c r="R34" s="48">
        <v>0.0</v>
      </c>
      <c r="S34" s="48">
        <v>0.0</v>
      </c>
      <c r="T34" s="48">
        <v>0.0</v>
      </c>
      <c r="U34" s="48">
        <v>0.0</v>
      </c>
      <c r="V34" s="48">
        <v>0.0</v>
      </c>
      <c r="W34" s="48">
        <v>0.0</v>
      </c>
      <c r="X34" s="48"/>
      <c r="Y34" s="65"/>
      <c r="Z34" s="48">
        <v>0.0</v>
      </c>
      <c r="AA34" s="48">
        <v>0.0</v>
      </c>
      <c r="AB34" s="48" t="s">
        <v>21</v>
      </c>
      <c r="AC34" s="48">
        <v>0.0</v>
      </c>
      <c r="AD34" s="48">
        <v>0.0</v>
      </c>
      <c r="AE34" s="51">
        <v>43228.0</v>
      </c>
      <c r="AF34" s="48">
        <v>0.0</v>
      </c>
      <c r="AG34" s="48" t="s">
        <v>51</v>
      </c>
      <c r="AH34" s="48"/>
      <c r="AI34" s="48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</row>
    <row r="35" ht="15.75" customHeight="1">
      <c r="A35" s="47"/>
      <c r="B35" s="48" t="s">
        <v>20</v>
      </c>
      <c r="C35" s="48" t="s">
        <v>51</v>
      </c>
      <c r="D35" s="48" t="s">
        <v>57</v>
      </c>
      <c r="E35" s="48">
        <v>-90000.0</v>
      </c>
      <c r="F35" s="48">
        <v>0.0</v>
      </c>
      <c r="G35" s="48">
        <v>0.0</v>
      </c>
      <c r="H35" s="48" t="s">
        <v>36</v>
      </c>
      <c r="I35" s="48">
        <v>0.0</v>
      </c>
      <c r="J35" s="48">
        <v>0.0</v>
      </c>
      <c r="K35" s="48" t="s">
        <v>21</v>
      </c>
      <c r="L35" s="48" t="s">
        <v>62</v>
      </c>
      <c r="M35" s="49"/>
      <c r="N35" s="48" t="s">
        <v>37</v>
      </c>
      <c r="O35" s="48">
        <v>0.77</v>
      </c>
      <c r="P35" s="48"/>
      <c r="Q35" s="49"/>
      <c r="R35" s="48">
        <v>0.0</v>
      </c>
      <c r="S35" s="48">
        <v>0.0</v>
      </c>
      <c r="T35" s="48">
        <v>0.0</v>
      </c>
      <c r="U35" s="48">
        <v>0.0</v>
      </c>
      <c r="V35" s="48">
        <v>0.0</v>
      </c>
      <c r="W35" s="48">
        <v>0.0</v>
      </c>
      <c r="X35" s="48"/>
      <c r="Y35" s="65"/>
      <c r="Z35" s="48">
        <v>0.0</v>
      </c>
      <c r="AA35" s="48">
        <v>0.0</v>
      </c>
      <c r="AB35" s="48" t="s">
        <v>21</v>
      </c>
      <c r="AC35" s="48">
        <v>0.0</v>
      </c>
      <c r="AD35" s="48">
        <v>0.0</v>
      </c>
      <c r="AE35" s="51">
        <v>43228.0</v>
      </c>
      <c r="AF35" s="48">
        <v>0.0</v>
      </c>
      <c r="AG35" s="48" t="s">
        <v>51</v>
      </c>
      <c r="AH35" s="48"/>
      <c r="AI35" s="48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</row>
    <row r="36" ht="15.75" customHeight="1">
      <c r="A36" s="47"/>
      <c r="B36" s="66" t="s">
        <v>23</v>
      </c>
      <c r="C36" s="66" t="s">
        <v>51</v>
      </c>
      <c r="D36" s="66" t="s">
        <v>52</v>
      </c>
      <c r="E36" s="67">
        <v>-20000.0</v>
      </c>
      <c r="F36" s="48">
        <v>0.0</v>
      </c>
      <c r="G36" s="48">
        <v>0.0</v>
      </c>
      <c r="H36" s="48" t="s">
        <v>36</v>
      </c>
      <c r="I36" s="48">
        <v>0.0</v>
      </c>
      <c r="J36" s="48">
        <v>0.0</v>
      </c>
      <c r="K36" s="48" t="s">
        <v>21</v>
      </c>
      <c r="L36" s="66" t="s">
        <v>55</v>
      </c>
      <c r="M36" s="49"/>
      <c r="N36" s="48" t="s">
        <v>37</v>
      </c>
      <c r="O36" s="67">
        <v>3.6</v>
      </c>
      <c r="P36" s="48"/>
      <c r="Q36" s="49"/>
      <c r="R36" s="48">
        <v>0.0</v>
      </c>
      <c r="S36" s="48">
        <v>0.0</v>
      </c>
      <c r="T36" s="48">
        <v>0.0</v>
      </c>
      <c r="U36" s="48">
        <v>0.0</v>
      </c>
      <c r="V36" s="48">
        <v>0.0</v>
      </c>
      <c r="W36" s="48">
        <v>0.0</v>
      </c>
      <c r="X36" s="48"/>
      <c r="Y36" s="65"/>
      <c r="Z36" s="48">
        <v>0.0</v>
      </c>
      <c r="AA36" s="48">
        <v>0.0</v>
      </c>
      <c r="AB36" s="68"/>
      <c r="AC36" s="48">
        <v>0.0</v>
      </c>
      <c r="AD36" s="48">
        <v>0.0</v>
      </c>
      <c r="AE36" s="69">
        <v>43222.0</v>
      </c>
      <c r="AG36" s="70" t="s">
        <v>51</v>
      </c>
      <c r="AH36" s="48"/>
      <c r="AI36" s="48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</row>
    <row r="37" ht="15.75" customHeight="1">
      <c r="A37" s="47"/>
      <c r="B37" s="71" t="s">
        <v>23</v>
      </c>
      <c r="C37" s="71" t="s">
        <v>51</v>
      </c>
      <c r="D37" s="71" t="s">
        <v>52</v>
      </c>
      <c r="E37" s="72">
        <v>20000.0</v>
      </c>
      <c r="F37" s="48">
        <v>0.0</v>
      </c>
      <c r="G37" s="48">
        <v>0.0</v>
      </c>
      <c r="H37" s="48" t="s">
        <v>36</v>
      </c>
      <c r="I37" s="48">
        <v>0.0</v>
      </c>
      <c r="J37" s="48">
        <v>0.0</v>
      </c>
      <c r="K37" s="48" t="s">
        <v>21</v>
      </c>
      <c r="L37" s="71" t="s">
        <v>55</v>
      </c>
      <c r="M37" s="49"/>
      <c r="N37" s="48" t="s">
        <v>37</v>
      </c>
      <c r="O37" s="72">
        <v>3.6</v>
      </c>
      <c r="P37" s="48"/>
      <c r="Q37" s="49"/>
      <c r="R37" s="48">
        <v>0.0</v>
      </c>
      <c r="S37" s="48">
        <v>0.0</v>
      </c>
      <c r="T37" s="48">
        <v>0.0</v>
      </c>
      <c r="U37" s="48">
        <v>0.0</v>
      </c>
      <c r="V37" s="48">
        <v>0.0</v>
      </c>
      <c r="W37" s="48">
        <v>0.0</v>
      </c>
      <c r="X37" s="48"/>
      <c r="Y37" s="65"/>
      <c r="Z37" s="48">
        <v>0.0</v>
      </c>
      <c r="AA37" s="48">
        <v>0.0</v>
      </c>
      <c r="AB37" s="73"/>
      <c r="AC37" s="48">
        <v>0.0</v>
      </c>
      <c r="AD37" s="48">
        <v>0.0</v>
      </c>
      <c r="AE37" s="74">
        <v>43222.0</v>
      </c>
      <c r="AG37" s="75" t="s">
        <v>51</v>
      </c>
      <c r="AH37" s="48"/>
      <c r="AI37" s="48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</row>
    <row r="38" ht="15.75" customHeight="1">
      <c r="A38" s="47"/>
      <c r="B38" s="66" t="s">
        <v>23</v>
      </c>
      <c r="C38" s="66" t="s">
        <v>51</v>
      </c>
      <c r="D38" s="66" t="s">
        <v>52</v>
      </c>
      <c r="E38" s="67">
        <v>20000.0</v>
      </c>
      <c r="F38" s="48">
        <v>0.0</v>
      </c>
      <c r="G38" s="48">
        <v>0.0</v>
      </c>
      <c r="H38" s="48" t="s">
        <v>36</v>
      </c>
      <c r="I38" s="48">
        <v>0.0</v>
      </c>
      <c r="J38" s="48">
        <v>0.0</v>
      </c>
      <c r="K38" s="48" t="s">
        <v>21</v>
      </c>
      <c r="L38" s="66" t="s">
        <v>56</v>
      </c>
      <c r="M38" s="49"/>
      <c r="N38" s="48" t="s">
        <v>37</v>
      </c>
      <c r="O38" s="76">
        <v>0.77</v>
      </c>
      <c r="P38" s="48"/>
      <c r="Q38" s="49"/>
      <c r="R38" s="48">
        <v>0.0</v>
      </c>
      <c r="S38" s="48">
        <v>0.0</v>
      </c>
      <c r="T38" s="48">
        <v>0.0</v>
      </c>
      <c r="U38" s="48">
        <v>0.0</v>
      </c>
      <c r="V38" s="48">
        <v>0.0</v>
      </c>
      <c r="W38" s="48">
        <v>0.0</v>
      </c>
      <c r="X38" s="48"/>
      <c r="Y38" s="65"/>
      <c r="Z38" s="48">
        <v>0.0</v>
      </c>
      <c r="AA38" s="48">
        <v>0.0</v>
      </c>
      <c r="AB38" s="68"/>
      <c r="AC38" s="48">
        <v>0.0</v>
      </c>
      <c r="AD38" s="48">
        <v>0.0</v>
      </c>
      <c r="AE38" s="77">
        <v>43222.0</v>
      </c>
      <c r="AG38" s="70" t="s">
        <v>51</v>
      </c>
      <c r="AH38" s="48"/>
      <c r="AI38" s="48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</row>
    <row r="39" ht="15.75" customHeight="1">
      <c r="A39" s="47"/>
      <c r="B39" s="71" t="s">
        <v>23</v>
      </c>
      <c r="C39" s="71" t="s">
        <v>51</v>
      </c>
      <c r="D39" s="71" t="s">
        <v>52</v>
      </c>
      <c r="E39" s="72">
        <v>-20000.0</v>
      </c>
      <c r="F39" s="48">
        <v>0.0</v>
      </c>
      <c r="G39" s="48">
        <v>0.0</v>
      </c>
      <c r="H39" s="48" t="s">
        <v>36</v>
      </c>
      <c r="I39" s="48">
        <v>0.0</v>
      </c>
      <c r="J39" s="48">
        <v>0.0</v>
      </c>
      <c r="K39" s="48" t="s">
        <v>21</v>
      </c>
      <c r="L39" s="71" t="s">
        <v>60</v>
      </c>
      <c r="M39" s="49"/>
      <c r="N39" s="48" t="s">
        <v>37</v>
      </c>
      <c r="O39" s="76">
        <v>0.77</v>
      </c>
      <c r="P39" s="48"/>
      <c r="Q39" s="49"/>
      <c r="R39" s="48">
        <v>0.0</v>
      </c>
      <c r="S39" s="48">
        <v>0.0</v>
      </c>
      <c r="T39" s="48">
        <v>0.0</v>
      </c>
      <c r="U39" s="48">
        <v>0.0</v>
      </c>
      <c r="V39" s="48">
        <v>0.0</v>
      </c>
      <c r="W39" s="48">
        <v>0.0</v>
      </c>
      <c r="X39" s="48"/>
      <c r="Y39" s="65"/>
      <c r="Z39" s="48">
        <v>0.0</v>
      </c>
      <c r="AA39" s="48">
        <v>0.0</v>
      </c>
      <c r="AB39" s="73"/>
      <c r="AC39" s="48">
        <v>0.0</v>
      </c>
      <c r="AD39" s="48">
        <v>0.0</v>
      </c>
      <c r="AE39" s="78">
        <v>43222.0</v>
      </c>
      <c r="AG39" s="75" t="s">
        <v>51</v>
      </c>
      <c r="AH39" s="48"/>
      <c r="AI39" s="48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</row>
    <row r="40" ht="15.75" customHeight="1">
      <c r="B40" s="66" t="s">
        <v>23</v>
      </c>
      <c r="C40" s="66" t="s">
        <v>35</v>
      </c>
      <c r="D40" s="66" t="s">
        <v>22</v>
      </c>
      <c r="E40" s="67">
        <v>20000.0</v>
      </c>
      <c r="F40" s="48">
        <v>0.0</v>
      </c>
      <c r="G40" s="48">
        <v>0.0</v>
      </c>
      <c r="H40" s="48" t="s">
        <v>36</v>
      </c>
      <c r="I40" s="48">
        <v>0.0</v>
      </c>
      <c r="J40" s="48">
        <v>0.0</v>
      </c>
      <c r="K40" s="48" t="s">
        <v>21</v>
      </c>
      <c r="L40" s="68"/>
      <c r="N40" s="48" t="s">
        <v>37</v>
      </c>
      <c r="O40" s="67">
        <v>3.6</v>
      </c>
      <c r="R40" s="48">
        <v>0.0</v>
      </c>
      <c r="S40" s="48">
        <v>0.0</v>
      </c>
      <c r="T40" s="48">
        <v>0.0</v>
      </c>
      <c r="U40" s="48">
        <v>0.0</v>
      </c>
      <c r="V40" s="48">
        <v>0.0</v>
      </c>
      <c r="W40" s="48">
        <v>0.0</v>
      </c>
      <c r="X40" s="48"/>
      <c r="Y40" s="65"/>
      <c r="Z40" s="48">
        <v>0.0</v>
      </c>
      <c r="AA40" s="48">
        <v>0.0</v>
      </c>
      <c r="AB40" s="68"/>
      <c r="AC40" s="48">
        <v>0.0</v>
      </c>
      <c r="AD40" s="48">
        <v>0.0</v>
      </c>
      <c r="AE40" s="77">
        <v>43222.0</v>
      </c>
      <c r="AG40" s="70" t="s">
        <v>38</v>
      </c>
    </row>
    <row r="41" ht="15.75" customHeight="1">
      <c r="B41" s="71" t="s">
        <v>23</v>
      </c>
      <c r="C41" s="71" t="s">
        <v>51</v>
      </c>
      <c r="D41" s="71" t="s">
        <v>52</v>
      </c>
      <c r="E41" s="72">
        <v>20000.0</v>
      </c>
      <c r="F41" s="48">
        <v>0.0</v>
      </c>
      <c r="G41" s="48">
        <v>0.0</v>
      </c>
      <c r="H41" s="48" t="s">
        <v>36</v>
      </c>
      <c r="I41" s="48">
        <v>0.0</v>
      </c>
      <c r="J41" s="48">
        <v>0.0</v>
      </c>
      <c r="K41" s="48" t="s">
        <v>21</v>
      </c>
      <c r="L41" s="71" t="s">
        <v>53</v>
      </c>
      <c r="N41" s="48" t="s">
        <v>37</v>
      </c>
      <c r="O41" s="76">
        <v>0.77</v>
      </c>
      <c r="R41" s="48">
        <v>0.0</v>
      </c>
      <c r="S41" s="48">
        <v>0.0</v>
      </c>
      <c r="T41" s="48">
        <v>0.0</v>
      </c>
      <c r="U41" s="48">
        <v>0.0</v>
      </c>
      <c r="V41" s="48">
        <v>0.0</v>
      </c>
      <c r="W41" s="48">
        <v>0.0</v>
      </c>
      <c r="X41" s="48"/>
      <c r="Y41" s="65"/>
      <c r="Z41" s="48">
        <v>0.0</v>
      </c>
      <c r="AA41" s="48">
        <v>0.0</v>
      </c>
      <c r="AB41" s="71" t="s">
        <v>21</v>
      </c>
      <c r="AC41" s="48">
        <v>0.0</v>
      </c>
      <c r="AD41" s="48">
        <v>0.0</v>
      </c>
      <c r="AE41" s="78">
        <v>43223.0</v>
      </c>
      <c r="AG41" s="75" t="s">
        <v>51</v>
      </c>
    </row>
    <row r="42" ht="15.75" customHeight="1">
      <c r="B42" s="66" t="s">
        <v>23</v>
      </c>
      <c r="C42" s="66" t="s">
        <v>51</v>
      </c>
      <c r="D42" s="66" t="s">
        <v>52</v>
      </c>
      <c r="E42" s="67">
        <v>-20000.0</v>
      </c>
      <c r="F42" s="48">
        <v>0.0</v>
      </c>
      <c r="G42" s="48">
        <v>0.0</v>
      </c>
      <c r="H42" s="48" t="s">
        <v>36</v>
      </c>
      <c r="I42" s="48">
        <v>0.0</v>
      </c>
      <c r="J42" s="48">
        <v>0.0</v>
      </c>
      <c r="K42" s="48" t="s">
        <v>21</v>
      </c>
      <c r="L42" s="66" t="s">
        <v>53</v>
      </c>
      <c r="N42" s="48" t="s">
        <v>37</v>
      </c>
      <c r="O42" s="76">
        <v>0.77</v>
      </c>
      <c r="R42" s="48">
        <v>0.0</v>
      </c>
      <c r="S42" s="48">
        <v>0.0</v>
      </c>
      <c r="T42" s="48">
        <v>0.0</v>
      </c>
      <c r="U42" s="48">
        <v>0.0</v>
      </c>
      <c r="V42" s="48">
        <v>0.0</v>
      </c>
      <c r="W42" s="48">
        <v>0.0</v>
      </c>
      <c r="X42" s="48"/>
      <c r="Y42" s="65"/>
      <c r="Z42" s="48">
        <v>0.0</v>
      </c>
      <c r="AA42" s="48">
        <v>0.0</v>
      </c>
      <c r="AB42" s="66" t="s">
        <v>21</v>
      </c>
      <c r="AC42" s="48">
        <v>0.0</v>
      </c>
      <c r="AD42" s="48">
        <v>0.0</v>
      </c>
      <c r="AE42" s="77">
        <v>43223.0</v>
      </c>
      <c r="AG42" s="70" t="s">
        <v>51</v>
      </c>
    </row>
    <row r="43" ht="15.75" customHeight="1">
      <c r="B43" s="71" t="s">
        <v>23</v>
      </c>
      <c r="C43" s="71" t="s">
        <v>51</v>
      </c>
      <c r="D43" s="71" t="s">
        <v>52</v>
      </c>
      <c r="E43" s="72">
        <v>-20000.0</v>
      </c>
      <c r="F43" s="48">
        <v>0.0</v>
      </c>
      <c r="G43" s="48">
        <v>0.0</v>
      </c>
      <c r="H43" s="48" t="s">
        <v>36</v>
      </c>
      <c r="I43" s="48">
        <v>0.0</v>
      </c>
      <c r="J43" s="48">
        <v>0.0</v>
      </c>
      <c r="K43" s="48" t="s">
        <v>21</v>
      </c>
      <c r="L43" s="71" t="s">
        <v>54</v>
      </c>
      <c r="N43" s="48" t="s">
        <v>37</v>
      </c>
      <c r="O43" s="76">
        <v>0.77</v>
      </c>
      <c r="R43" s="48">
        <v>0.0</v>
      </c>
      <c r="S43" s="48">
        <v>0.0</v>
      </c>
      <c r="T43" s="48">
        <v>0.0</v>
      </c>
      <c r="U43" s="48">
        <v>0.0</v>
      </c>
      <c r="V43" s="48">
        <v>0.0</v>
      </c>
      <c r="W43" s="48">
        <v>0.0</v>
      </c>
      <c r="X43" s="48"/>
      <c r="Y43" s="65"/>
      <c r="Z43" s="48">
        <v>0.0</v>
      </c>
      <c r="AA43" s="48">
        <v>0.0</v>
      </c>
      <c r="AB43" s="71" t="s">
        <v>21</v>
      </c>
      <c r="AC43" s="48">
        <v>0.0</v>
      </c>
      <c r="AD43" s="48">
        <v>0.0</v>
      </c>
      <c r="AE43" s="78">
        <v>43223.0</v>
      </c>
      <c r="AG43" s="75" t="s">
        <v>51</v>
      </c>
    </row>
    <row r="44" ht="15.75" customHeight="1">
      <c r="B44" s="66" t="s">
        <v>23</v>
      </c>
      <c r="C44" s="66" t="s">
        <v>51</v>
      </c>
      <c r="D44" s="66" t="s">
        <v>52</v>
      </c>
      <c r="E44" s="67">
        <v>20000.0</v>
      </c>
      <c r="F44" s="48">
        <v>0.0</v>
      </c>
      <c r="G44" s="48">
        <v>0.0</v>
      </c>
      <c r="H44" s="48" t="s">
        <v>36</v>
      </c>
      <c r="I44" s="48">
        <v>0.0</v>
      </c>
      <c r="J44" s="48">
        <v>0.0</v>
      </c>
      <c r="K44" s="48" t="s">
        <v>21</v>
      </c>
      <c r="L44" s="66" t="s">
        <v>54</v>
      </c>
      <c r="N44" s="48" t="s">
        <v>37</v>
      </c>
      <c r="O44" s="76">
        <v>0.77</v>
      </c>
      <c r="R44" s="48">
        <v>0.0</v>
      </c>
      <c r="S44" s="48">
        <v>0.0</v>
      </c>
      <c r="T44" s="48">
        <v>0.0</v>
      </c>
      <c r="U44" s="48">
        <v>0.0</v>
      </c>
      <c r="V44" s="48">
        <v>0.0</v>
      </c>
      <c r="W44" s="48">
        <v>0.0</v>
      </c>
      <c r="X44" s="48"/>
      <c r="Y44" s="65"/>
      <c r="Z44" s="48">
        <v>0.0</v>
      </c>
      <c r="AA44" s="48">
        <v>0.0</v>
      </c>
      <c r="AB44" s="66" t="s">
        <v>21</v>
      </c>
      <c r="AC44" s="48">
        <v>0.0</v>
      </c>
      <c r="AD44" s="48">
        <v>0.0</v>
      </c>
      <c r="AE44" s="77">
        <v>43223.0</v>
      </c>
      <c r="AG44" s="70" t="s">
        <v>51</v>
      </c>
    </row>
    <row r="45" ht="15.75" customHeight="1">
      <c r="B45" s="71" t="s">
        <v>23</v>
      </c>
      <c r="C45" s="71" t="s">
        <v>51</v>
      </c>
      <c r="D45" s="71" t="s">
        <v>57</v>
      </c>
      <c r="E45" s="72">
        <v>-20000.0</v>
      </c>
      <c r="F45" s="48">
        <v>0.0</v>
      </c>
      <c r="G45" s="48">
        <v>0.0</v>
      </c>
      <c r="H45" s="48" t="s">
        <v>36</v>
      </c>
      <c r="I45" s="48">
        <v>0.0</v>
      </c>
      <c r="J45" s="48">
        <v>0.0</v>
      </c>
      <c r="K45" s="48" t="s">
        <v>21</v>
      </c>
      <c r="L45" s="71" t="s">
        <v>58</v>
      </c>
      <c r="N45" s="48" t="s">
        <v>37</v>
      </c>
      <c r="O45" s="72">
        <v>3.6</v>
      </c>
      <c r="R45" s="48">
        <v>0.0</v>
      </c>
      <c r="S45" s="48">
        <v>0.0</v>
      </c>
      <c r="T45" s="48">
        <v>0.0</v>
      </c>
      <c r="U45" s="48">
        <v>0.0</v>
      </c>
      <c r="V45" s="48">
        <v>0.0</v>
      </c>
      <c r="W45" s="48">
        <v>0.0</v>
      </c>
      <c r="X45" s="48"/>
      <c r="Y45" s="65"/>
      <c r="Z45" s="48">
        <v>0.0</v>
      </c>
      <c r="AA45" s="48">
        <v>0.0</v>
      </c>
      <c r="AB45" s="73"/>
      <c r="AC45" s="48">
        <v>0.0</v>
      </c>
      <c r="AD45" s="48">
        <v>0.0</v>
      </c>
      <c r="AE45" s="78">
        <v>43223.0</v>
      </c>
      <c r="AG45" s="75" t="s">
        <v>51</v>
      </c>
    </row>
    <row r="46" ht="15.75" customHeight="1">
      <c r="B46" s="66" t="s">
        <v>23</v>
      </c>
      <c r="C46" s="66" t="s">
        <v>51</v>
      </c>
      <c r="D46" s="66" t="s">
        <v>57</v>
      </c>
      <c r="E46" s="67">
        <v>20000.0</v>
      </c>
      <c r="F46" s="48">
        <v>0.0</v>
      </c>
      <c r="G46" s="48">
        <v>0.0</v>
      </c>
      <c r="H46" s="48" t="s">
        <v>36</v>
      </c>
      <c r="I46" s="48">
        <v>0.0</v>
      </c>
      <c r="J46" s="48">
        <v>0.0</v>
      </c>
      <c r="K46" s="48" t="s">
        <v>21</v>
      </c>
      <c r="L46" s="66" t="s">
        <v>59</v>
      </c>
      <c r="N46" s="48" t="s">
        <v>37</v>
      </c>
      <c r="O46" s="76">
        <v>0.77</v>
      </c>
      <c r="R46" s="48">
        <v>0.0</v>
      </c>
      <c r="S46" s="48">
        <v>0.0</v>
      </c>
      <c r="T46" s="48">
        <v>0.0</v>
      </c>
      <c r="U46" s="48">
        <v>0.0</v>
      </c>
      <c r="V46" s="48">
        <v>0.0</v>
      </c>
      <c r="W46" s="48">
        <v>0.0</v>
      </c>
      <c r="X46" s="48"/>
      <c r="Y46" s="65"/>
      <c r="Z46" s="48">
        <v>0.0</v>
      </c>
      <c r="AA46" s="48">
        <v>0.0</v>
      </c>
      <c r="AB46" s="68"/>
      <c r="AC46" s="48">
        <v>0.0</v>
      </c>
      <c r="AD46" s="48">
        <v>0.0</v>
      </c>
      <c r="AE46" s="77">
        <v>43223.0</v>
      </c>
      <c r="AG46" s="70" t="s">
        <v>51</v>
      </c>
    </row>
    <row r="47" ht="15.75" customHeight="1">
      <c r="B47" s="71" t="s">
        <v>23</v>
      </c>
      <c r="C47" s="71" t="s">
        <v>51</v>
      </c>
      <c r="D47" s="71" t="s">
        <v>52</v>
      </c>
      <c r="E47" s="72">
        <v>20000.0</v>
      </c>
      <c r="F47" s="48">
        <v>0.0</v>
      </c>
      <c r="G47" s="48">
        <v>0.0</v>
      </c>
      <c r="H47" s="48" t="s">
        <v>36</v>
      </c>
      <c r="I47" s="48">
        <v>0.0</v>
      </c>
      <c r="J47" s="48">
        <v>0.0</v>
      </c>
      <c r="K47" s="48" t="s">
        <v>21</v>
      </c>
      <c r="L47" s="71" t="s">
        <v>55</v>
      </c>
      <c r="N47" s="48" t="s">
        <v>37</v>
      </c>
      <c r="O47" s="72">
        <v>3.6</v>
      </c>
      <c r="R47" s="48">
        <v>0.0</v>
      </c>
      <c r="S47" s="48">
        <v>0.0</v>
      </c>
      <c r="T47" s="48">
        <v>0.0</v>
      </c>
      <c r="U47" s="48">
        <v>0.0</v>
      </c>
      <c r="V47" s="48">
        <v>0.0</v>
      </c>
      <c r="W47" s="48">
        <v>0.0</v>
      </c>
      <c r="X47" s="48"/>
      <c r="Y47" s="65"/>
      <c r="Z47" s="48">
        <v>0.0</v>
      </c>
      <c r="AA47" s="48">
        <v>0.0</v>
      </c>
      <c r="AB47" s="73"/>
      <c r="AC47" s="48">
        <v>0.0</v>
      </c>
      <c r="AD47" s="48">
        <v>0.0</v>
      </c>
      <c r="AE47" s="78">
        <v>43223.0</v>
      </c>
      <c r="AG47" s="75" t="s">
        <v>51</v>
      </c>
    </row>
    <row r="48" ht="15.75" customHeight="1">
      <c r="B48" s="66" t="s">
        <v>23</v>
      </c>
      <c r="C48" s="66" t="s">
        <v>51</v>
      </c>
      <c r="D48" s="66" t="s">
        <v>52</v>
      </c>
      <c r="E48" s="67">
        <v>-20000.0</v>
      </c>
      <c r="F48" s="48">
        <v>0.0</v>
      </c>
      <c r="G48" s="48">
        <v>0.0</v>
      </c>
      <c r="H48" s="48" t="s">
        <v>36</v>
      </c>
      <c r="I48" s="48">
        <v>0.0</v>
      </c>
      <c r="J48" s="48">
        <v>0.0</v>
      </c>
      <c r="K48" s="48" t="s">
        <v>21</v>
      </c>
      <c r="L48" s="66" t="s">
        <v>60</v>
      </c>
      <c r="N48" s="48" t="s">
        <v>37</v>
      </c>
      <c r="O48" s="76">
        <v>0.77</v>
      </c>
      <c r="R48" s="48">
        <v>0.0</v>
      </c>
      <c r="S48" s="48">
        <v>0.0</v>
      </c>
      <c r="T48" s="48">
        <v>0.0</v>
      </c>
      <c r="U48" s="48">
        <v>0.0</v>
      </c>
      <c r="V48" s="48">
        <v>0.0</v>
      </c>
      <c r="W48" s="48">
        <v>0.0</v>
      </c>
      <c r="X48" s="48"/>
      <c r="Y48" s="65"/>
      <c r="Z48" s="48">
        <v>0.0</v>
      </c>
      <c r="AA48" s="48">
        <v>0.0</v>
      </c>
      <c r="AB48" s="68"/>
      <c r="AC48" s="48">
        <v>0.0</v>
      </c>
      <c r="AD48" s="48">
        <v>0.0</v>
      </c>
      <c r="AE48" s="77">
        <v>43223.0</v>
      </c>
      <c r="AG48" s="70" t="s">
        <v>51</v>
      </c>
    </row>
    <row r="49" ht="15.75" customHeight="1">
      <c r="B49" s="71" t="s">
        <v>23</v>
      </c>
      <c r="C49" s="71" t="s">
        <v>51</v>
      </c>
      <c r="D49" s="71" t="s">
        <v>57</v>
      </c>
      <c r="E49" s="72">
        <v>20000.0</v>
      </c>
      <c r="F49" s="48">
        <v>0.0</v>
      </c>
      <c r="G49" s="48">
        <v>0.0</v>
      </c>
      <c r="H49" s="48" t="s">
        <v>36</v>
      </c>
      <c r="I49" s="48">
        <v>0.0</v>
      </c>
      <c r="J49" s="48">
        <v>0.0</v>
      </c>
      <c r="K49" s="48" t="s">
        <v>21</v>
      </c>
      <c r="L49" s="71" t="s">
        <v>61</v>
      </c>
      <c r="N49" s="48" t="s">
        <v>37</v>
      </c>
      <c r="O49" s="76">
        <v>0.77</v>
      </c>
      <c r="R49" s="48">
        <v>0.0</v>
      </c>
      <c r="S49" s="48">
        <v>0.0</v>
      </c>
      <c r="T49" s="48">
        <v>0.0</v>
      </c>
      <c r="U49" s="48">
        <v>0.0</v>
      </c>
      <c r="V49" s="48">
        <v>0.0</v>
      </c>
      <c r="W49" s="48">
        <v>0.0</v>
      </c>
      <c r="X49" s="48"/>
      <c r="Y49" s="65"/>
      <c r="Z49" s="48">
        <v>0.0</v>
      </c>
      <c r="AA49" s="48">
        <v>0.0</v>
      </c>
      <c r="AB49" s="71" t="s">
        <v>21</v>
      </c>
      <c r="AC49" s="48">
        <v>0.0</v>
      </c>
      <c r="AD49" s="48">
        <v>0.0</v>
      </c>
      <c r="AE49" s="78">
        <v>43224.0</v>
      </c>
      <c r="AG49" s="75" t="s">
        <v>51</v>
      </c>
    </row>
    <row r="50" ht="15.75" customHeight="1">
      <c r="B50" s="66" t="s">
        <v>23</v>
      </c>
      <c r="C50" s="66" t="s">
        <v>51</v>
      </c>
      <c r="D50" s="66" t="s">
        <v>57</v>
      </c>
      <c r="E50" s="67">
        <v>-20000.0</v>
      </c>
      <c r="F50" s="48">
        <v>0.0</v>
      </c>
      <c r="G50" s="48">
        <v>0.0</v>
      </c>
      <c r="H50" s="48" t="s">
        <v>36</v>
      </c>
      <c r="I50" s="48">
        <v>0.0</v>
      </c>
      <c r="J50" s="48">
        <v>0.0</v>
      </c>
      <c r="K50" s="48" t="s">
        <v>21</v>
      </c>
      <c r="L50" s="66" t="s">
        <v>62</v>
      </c>
      <c r="N50" s="48" t="s">
        <v>37</v>
      </c>
      <c r="O50" s="76">
        <v>0.77</v>
      </c>
      <c r="R50" s="48">
        <v>0.0</v>
      </c>
      <c r="S50" s="48">
        <v>0.0</v>
      </c>
      <c r="T50" s="48">
        <v>0.0</v>
      </c>
      <c r="U50" s="48">
        <v>0.0</v>
      </c>
      <c r="V50" s="48">
        <v>0.0</v>
      </c>
      <c r="W50" s="48">
        <v>0.0</v>
      </c>
      <c r="X50" s="48"/>
      <c r="Y50" s="65"/>
      <c r="Z50" s="48">
        <v>0.0</v>
      </c>
      <c r="AA50" s="48">
        <v>0.0</v>
      </c>
      <c r="AB50" s="66" t="s">
        <v>21</v>
      </c>
      <c r="AC50" s="48">
        <v>0.0</v>
      </c>
      <c r="AD50" s="48">
        <v>0.0</v>
      </c>
      <c r="AE50" s="77">
        <v>43224.0</v>
      </c>
      <c r="AG50" s="70" t="s">
        <v>51</v>
      </c>
    </row>
    <row r="51" ht="15.75" customHeight="1">
      <c r="B51" s="71" t="s">
        <v>23</v>
      </c>
      <c r="C51" s="71" t="s">
        <v>51</v>
      </c>
      <c r="D51" s="71" t="s">
        <v>52</v>
      </c>
      <c r="E51" s="72">
        <v>-20000.0</v>
      </c>
      <c r="F51" s="48">
        <v>0.0</v>
      </c>
      <c r="G51" s="48">
        <v>0.0</v>
      </c>
      <c r="H51" s="48" t="s">
        <v>36</v>
      </c>
      <c r="I51" s="48">
        <v>0.0</v>
      </c>
      <c r="J51" s="48">
        <v>0.0</v>
      </c>
      <c r="K51" s="48" t="s">
        <v>21</v>
      </c>
      <c r="L51" s="71" t="s">
        <v>53</v>
      </c>
      <c r="N51" s="48" t="s">
        <v>37</v>
      </c>
      <c r="O51" s="76">
        <v>0.77</v>
      </c>
      <c r="R51" s="48">
        <v>0.0</v>
      </c>
      <c r="S51" s="48">
        <v>0.0</v>
      </c>
      <c r="T51" s="48">
        <v>0.0</v>
      </c>
      <c r="U51" s="48">
        <v>0.0</v>
      </c>
      <c r="V51" s="48">
        <v>0.0</v>
      </c>
      <c r="W51" s="48">
        <v>0.0</v>
      </c>
      <c r="X51" s="48"/>
      <c r="Y51" s="65"/>
      <c r="Z51" s="48">
        <v>0.0</v>
      </c>
      <c r="AA51" s="48">
        <v>0.0</v>
      </c>
      <c r="AB51" s="71" t="s">
        <v>21</v>
      </c>
      <c r="AC51" s="48">
        <v>0.0</v>
      </c>
      <c r="AD51" s="48">
        <v>0.0</v>
      </c>
      <c r="AE51" s="78">
        <v>43224.0</v>
      </c>
      <c r="AG51" s="75" t="s">
        <v>51</v>
      </c>
    </row>
    <row r="52" ht="15.75" customHeight="1">
      <c r="B52" s="66" t="s">
        <v>23</v>
      </c>
      <c r="C52" s="66" t="s">
        <v>51</v>
      </c>
      <c r="D52" s="66" t="s">
        <v>52</v>
      </c>
      <c r="E52" s="67">
        <v>20000.0</v>
      </c>
      <c r="F52" s="48">
        <v>0.0</v>
      </c>
      <c r="G52" s="48">
        <v>0.0</v>
      </c>
      <c r="H52" s="48" t="s">
        <v>36</v>
      </c>
      <c r="I52" s="48">
        <v>0.0</v>
      </c>
      <c r="J52" s="48">
        <v>0.0</v>
      </c>
      <c r="K52" s="48" t="s">
        <v>21</v>
      </c>
      <c r="L52" s="66" t="s">
        <v>54</v>
      </c>
      <c r="N52" s="48" t="s">
        <v>37</v>
      </c>
      <c r="O52" s="76">
        <v>0.77</v>
      </c>
      <c r="R52" s="48">
        <v>0.0</v>
      </c>
      <c r="S52" s="48">
        <v>0.0</v>
      </c>
      <c r="T52" s="48">
        <v>0.0</v>
      </c>
      <c r="U52" s="48">
        <v>0.0</v>
      </c>
      <c r="V52" s="48">
        <v>0.0</v>
      </c>
      <c r="W52" s="48">
        <v>0.0</v>
      </c>
      <c r="X52" s="48"/>
      <c r="Y52" s="65"/>
      <c r="Z52" s="48">
        <v>0.0</v>
      </c>
      <c r="AA52" s="48">
        <v>0.0</v>
      </c>
      <c r="AB52" s="66" t="s">
        <v>21</v>
      </c>
      <c r="AC52" s="48">
        <v>0.0</v>
      </c>
      <c r="AD52" s="48">
        <v>0.0</v>
      </c>
      <c r="AE52" s="77">
        <v>43224.0</v>
      </c>
      <c r="AG52" s="70" t="s">
        <v>51</v>
      </c>
    </row>
    <row r="53" ht="15.75" customHeight="1">
      <c r="B53" s="71" t="s">
        <v>23</v>
      </c>
      <c r="C53" s="71" t="s">
        <v>51</v>
      </c>
      <c r="D53" s="71" t="s">
        <v>57</v>
      </c>
      <c r="E53" s="72">
        <v>20000.0</v>
      </c>
      <c r="F53" s="48">
        <v>0.0</v>
      </c>
      <c r="G53" s="48">
        <v>0.0</v>
      </c>
      <c r="H53" s="48" t="s">
        <v>36</v>
      </c>
      <c r="I53" s="48">
        <v>0.0</v>
      </c>
      <c r="J53" s="48">
        <v>0.0</v>
      </c>
      <c r="K53" s="48" t="s">
        <v>21</v>
      </c>
      <c r="L53" s="71" t="s">
        <v>61</v>
      </c>
      <c r="N53" s="48" t="s">
        <v>37</v>
      </c>
      <c r="O53" s="76">
        <v>0.77</v>
      </c>
      <c r="R53" s="48">
        <v>0.0</v>
      </c>
      <c r="S53" s="48">
        <v>0.0</v>
      </c>
      <c r="T53" s="48">
        <v>0.0</v>
      </c>
      <c r="U53" s="48">
        <v>0.0</v>
      </c>
      <c r="V53" s="48">
        <v>0.0</v>
      </c>
      <c r="W53" s="48">
        <v>0.0</v>
      </c>
      <c r="X53" s="48"/>
      <c r="Y53" s="65"/>
      <c r="Z53" s="48">
        <v>0.0</v>
      </c>
      <c r="AA53" s="48">
        <v>0.0</v>
      </c>
      <c r="AB53" s="71" t="s">
        <v>21</v>
      </c>
      <c r="AC53" s="48">
        <v>0.0</v>
      </c>
      <c r="AD53" s="48">
        <v>0.0</v>
      </c>
      <c r="AE53" s="78">
        <v>43225.0</v>
      </c>
      <c r="AG53" s="75" t="s">
        <v>51</v>
      </c>
    </row>
    <row r="54" ht="15.75" customHeight="1">
      <c r="B54" s="66" t="s">
        <v>23</v>
      </c>
      <c r="C54" s="66" t="s">
        <v>51</v>
      </c>
      <c r="D54" s="66" t="s">
        <v>57</v>
      </c>
      <c r="E54" s="67">
        <v>-20000.0</v>
      </c>
      <c r="F54" s="48">
        <v>0.0</v>
      </c>
      <c r="G54" s="48">
        <v>0.0</v>
      </c>
      <c r="H54" s="48" t="s">
        <v>36</v>
      </c>
      <c r="I54" s="48">
        <v>0.0</v>
      </c>
      <c r="J54" s="48">
        <v>0.0</v>
      </c>
      <c r="K54" s="48" t="s">
        <v>21</v>
      </c>
      <c r="L54" s="66" t="s">
        <v>62</v>
      </c>
      <c r="N54" s="48" t="s">
        <v>37</v>
      </c>
      <c r="O54" s="76">
        <v>0.77</v>
      </c>
      <c r="R54" s="48">
        <v>0.0</v>
      </c>
      <c r="S54" s="48">
        <v>0.0</v>
      </c>
      <c r="T54" s="48">
        <v>0.0</v>
      </c>
      <c r="U54" s="48">
        <v>0.0</v>
      </c>
      <c r="V54" s="48">
        <v>0.0</v>
      </c>
      <c r="W54" s="48">
        <v>0.0</v>
      </c>
      <c r="X54" s="48"/>
      <c r="Y54" s="65"/>
      <c r="Z54" s="48">
        <v>0.0</v>
      </c>
      <c r="AA54" s="48">
        <v>0.0</v>
      </c>
      <c r="AB54" s="66" t="s">
        <v>21</v>
      </c>
      <c r="AC54" s="48">
        <v>0.0</v>
      </c>
      <c r="AD54" s="48">
        <v>0.0</v>
      </c>
      <c r="AE54" s="77">
        <v>43225.0</v>
      </c>
      <c r="AG54" s="70" t="s">
        <v>51</v>
      </c>
    </row>
    <row r="55" ht="15.75" customHeight="1">
      <c r="B55" s="71" t="s">
        <v>23</v>
      </c>
      <c r="C55" s="71" t="s">
        <v>51</v>
      </c>
      <c r="D55" s="71" t="s">
        <v>52</v>
      </c>
      <c r="E55" s="72">
        <v>-20000.0</v>
      </c>
      <c r="F55" s="48">
        <v>0.0</v>
      </c>
      <c r="G55" s="48">
        <v>0.0</v>
      </c>
      <c r="H55" s="48" t="s">
        <v>36</v>
      </c>
      <c r="I55" s="48">
        <v>0.0</v>
      </c>
      <c r="J55" s="48">
        <v>0.0</v>
      </c>
      <c r="K55" s="48" t="s">
        <v>21</v>
      </c>
      <c r="L55" s="71" t="s">
        <v>53</v>
      </c>
      <c r="N55" s="48" t="s">
        <v>37</v>
      </c>
      <c r="O55" s="76">
        <v>0.77</v>
      </c>
      <c r="R55" s="48">
        <v>0.0</v>
      </c>
      <c r="S55" s="48">
        <v>0.0</v>
      </c>
      <c r="T55" s="48">
        <v>0.0</v>
      </c>
      <c r="U55" s="48">
        <v>0.0</v>
      </c>
      <c r="V55" s="48">
        <v>0.0</v>
      </c>
      <c r="W55" s="48">
        <v>0.0</v>
      </c>
      <c r="X55" s="48"/>
      <c r="Y55" s="65"/>
      <c r="Z55" s="48">
        <v>0.0</v>
      </c>
      <c r="AA55" s="48">
        <v>0.0</v>
      </c>
      <c r="AB55" s="71" t="s">
        <v>21</v>
      </c>
      <c r="AC55" s="48">
        <v>0.0</v>
      </c>
      <c r="AD55" s="48">
        <v>0.0</v>
      </c>
      <c r="AE55" s="78">
        <v>43225.0</v>
      </c>
      <c r="AG55" s="75" t="s">
        <v>51</v>
      </c>
    </row>
    <row r="56" ht="15.75" customHeight="1">
      <c r="B56" s="66" t="s">
        <v>23</v>
      </c>
      <c r="C56" s="66" t="s">
        <v>51</v>
      </c>
      <c r="D56" s="66" t="s">
        <v>52</v>
      </c>
      <c r="E56" s="67">
        <v>20000.0</v>
      </c>
      <c r="F56" s="48">
        <v>0.0</v>
      </c>
      <c r="G56" s="48">
        <v>0.0</v>
      </c>
      <c r="H56" s="48" t="s">
        <v>36</v>
      </c>
      <c r="I56" s="48">
        <v>0.0</v>
      </c>
      <c r="J56" s="48">
        <v>0.0</v>
      </c>
      <c r="K56" s="48" t="s">
        <v>21</v>
      </c>
      <c r="L56" s="66" t="s">
        <v>54</v>
      </c>
      <c r="N56" s="48" t="s">
        <v>37</v>
      </c>
      <c r="O56" s="76">
        <v>0.77</v>
      </c>
      <c r="R56" s="48">
        <v>0.0</v>
      </c>
      <c r="S56" s="48">
        <v>0.0</v>
      </c>
      <c r="T56" s="48">
        <v>0.0</v>
      </c>
      <c r="U56" s="48">
        <v>0.0</v>
      </c>
      <c r="V56" s="48">
        <v>0.0</v>
      </c>
      <c r="W56" s="48">
        <v>0.0</v>
      </c>
      <c r="X56" s="48"/>
      <c r="Y56" s="65"/>
      <c r="Z56" s="48">
        <v>0.0</v>
      </c>
      <c r="AA56" s="48">
        <v>0.0</v>
      </c>
      <c r="AB56" s="66" t="s">
        <v>21</v>
      </c>
      <c r="AC56" s="48">
        <v>0.0</v>
      </c>
      <c r="AD56" s="48">
        <v>0.0</v>
      </c>
      <c r="AE56" s="77">
        <v>43225.0</v>
      </c>
      <c r="AG56" s="70" t="s">
        <v>51</v>
      </c>
    </row>
    <row r="57" ht="15.75" customHeight="1">
      <c r="B57" s="71" t="s">
        <v>23</v>
      </c>
      <c r="C57" s="71" t="s">
        <v>51</v>
      </c>
      <c r="D57" s="71" t="s">
        <v>57</v>
      </c>
      <c r="E57" s="72">
        <v>20000.0</v>
      </c>
      <c r="F57" s="48">
        <v>0.0</v>
      </c>
      <c r="G57" s="48">
        <v>0.0</v>
      </c>
      <c r="H57" s="48" t="s">
        <v>36</v>
      </c>
      <c r="I57" s="48">
        <v>0.0</v>
      </c>
      <c r="J57" s="48">
        <v>0.0</v>
      </c>
      <c r="K57" s="48" t="s">
        <v>21</v>
      </c>
      <c r="L57" s="71" t="s">
        <v>61</v>
      </c>
      <c r="N57" s="48" t="s">
        <v>37</v>
      </c>
      <c r="O57" s="76">
        <v>0.77</v>
      </c>
      <c r="R57" s="48">
        <v>0.0</v>
      </c>
      <c r="S57" s="48">
        <v>0.0</v>
      </c>
      <c r="T57" s="48">
        <v>0.0</v>
      </c>
      <c r="U57" s="48">
        <v>0.0</v>
      </c>
      <c r="V57" s="48">
        <v>0.0</v>
      </c>
      <c r="W57" s="48">
        <v>0.0</v>
      </c>
      <c r="X57" s="48"/>
      <c r="Y57" s="65"/>
      <c r="Z57" s="48">
        <v>0.0</v>
      </c>
      <c r="AA57" s="48">
        <v>0.0</v>
      </c>
      <c r="AB57" s="71" t="s">
        <v>21</v>
      </c>
      <c r="AC57" s="48">
        <v>0.0</v>
      </c>
      <c r="AD57" s="48">
        <v>0.0</v>
      </c>
      <c r="AE57" s="78">
        <v>43226.0</v>
      </c>
      <c r="AG57" s="75" t="s">
        <v>51</v>
      </c>
    </row>
    <row r="58" ht="15.75" customHeight="1">
      <c r="B58" s="66" t="s">
        <v>23</v>
      </c>
      <c r="C58" s="66" t="s">
        <v>51</v>
      </c>
      <c r="D58" s="66" t="s">
        <v>57</v>
      </c>
      <c r="E58" s="67">
        <v>-20000.0</v>
      </c>
      <c r="F58" s="48">
        <v>0.0</v>
      </c>
      <c r="G58" s="48">
        <v>0.0</v>
      </c>
      <c r="H58" s="48" t="s">
        <v>36</v>
      </c>
      <c r="I58" s="48">
        <v>0.0</v>
      </c>
      <c r="J58" s="48">
        <v>0.0</v>
      </c>
      <c r="K58" s="48" t="s">
        <v>21</v>
      </c>
      <c r="L58" s="66" t="s">
        <v>62</v>
      </c>
      <c r="N58" s="48" t="s">
        <v>37</v>
      </c>
      <c r="O58" s="76">
        <v>0.77</v>
      </c>
      <c r="R58" s="48">
        <v>0.0</v>
      </c>
      <c r="S58" s="48">
        <v>0.0</v>
      </c>
      <c r="T58" s="48">
        <v>0.0</v>
      </c>
      <c r="U58" s="48">
        <v>0.0</v>
      </c>
      <c r="V58" s="48">
        <v>0.0</v>
      </c>
      <c r="W58" s="48">
        <v>0.0</v>
      </c>
      <c r="X58" s="48"/>
      <c r="Y58" s="65"/>
      <c r="Z58" s="48">
        <v>0.0</v>
      </c>
      <c r="AA58" s="48">
        <v>0.0</v>
      </c>
      <c r="AB58" s="66" t="s">
        <v>21</v>
      </c>
      <c r="AC58" s="48">
        <v>0.0</v>
      </c>
      <c r="AD58" s="48">
        <v>0.0</v>
      </c>
      <c r="AE58" s="77">
        <v>43226.0</v>
      </c>
      <c r="AG58" s="70" t="s">
        <v>51</v>
      </c>
    </row>
    <row r="59" ht="15.75" customHeight="1">
      <c r="B59" s="71" t="s">
        <v>23</v>
      </c>
      <c r="C59" s="71" t="s">
        <v>51</v>
      </c>
      <c r="D59" s="71" t="s">
        <v>52</v>
      </c>
      <c r="E59" s="72">
        <v>-20000.0</v>
      </c>
      <c r="F59" s="48">
        <v>0.0</v>
      </c>
      <c r="G59" s="48">
        <v>0.0</v>
      </c>
      <c r="H59" s="48" t="s">
        <v>36</v>
      </c>
      <c r="I59" s="48">
        <v>0.0</v>
      </c>
      <c r="J59" s="48">
        <v>0.0</v>
      </c>
      <c r="K59" s="48" t="s">
        <v>21</v>
      </c>
      <c r="L59" s="71" t="s">
        <v>53</v>
      </c>
      <c r="N59" s="48" t="s">
        <v>37</v>
      </c>
      <c r="O59" s="76">
        <v>0.77</v>
      </c>
      <c r="R59" s="48">
        <v>0.0</v>
      </c>
      <c r="S59" s="48">
        <v>0.0</v>
      </c>
      <c r="T59" s="48">
        <v>0.0</v>
      </c>
      <c r="U59" s="48">
        <v>0.0</v>
      </c>
      <c r="V59" s="48">
        <v>0.0</v>
      </c>
      <c r="W59" s="48">
        <v>0.0</v>
      </c>
      <c r="X59" s="48"/>
      <c r="Y59" s="65"/>
      <c r="Z59" s="48">
        <v>0.0</v>
      </c>
      <c r="AA59" s="48">
        <v>0.0</v>
      </c>
      <c r="AB59" s="71" t="s">
        <v>21</v>
      </c>
      <c r="AC59" s="48">
        <v>0.0</v>
      </c>
      <c r="AD59" s="48">
        <v>0.0</v>
      </c>
      <c r="AE59" s="78">
        <v>43226.0</v>
      </c>
      <c r="AG59" s="75" t="s">
        <v>51</v>
      </c>
    </row>
    <row r="60" ht="15.75" customHeight="1">
      <c r="B60" s="66" t="s">
        <v>23</v>
      </c>
      <c r="C60" s="66" t="s">
        <v>51</v>
      </c>
      <c r="D60" s="66" t="s">
        <v>52</v>
      </c>
      <c r="E60" s="67">
        <v>20000.0</v>
      </c>
      <c r="F60" s="48">
        <v>0.0</v>
      </c>
      <c r="G60" s="48">
        <v>0.0</v>
      </c>
      <c r="H60" s="48" t="s">
        <v>36</v>
      </c>
      <c r="I60" s="48">
        <v>0.0</v>
      </c>
      <c r="J60" s="48">
        <v>0.0</v>
      </c>
      <c r="K60" s="48" t="s">
        <v>21</v>
      </c>
      <c r="L60" s="66" t="s">
        <v>54</v>
      </c>
      <c r="N60" s="48" t="s">
        <v>37</v>
      </c>
      <c r="O60" s="76">
        <v>0.77</v>
      </c>
      <c r="R60" s="48">
        <v>0.0</v>
      </c>
      <c r="S60" s="48">
        <v>0.0</v>
      </c>
      <c r="T60" s="48">
        <v>0.0</v>
      </c>
      <c r="U60" s="48">
        <v>0.0</v>
      </c>
      <c r="V60" s="48">
        <v>0.0</v>
      </c>
      <c r="W60" s="48">
        <v>0.0</v>
      </c>
      <c r="X60" s="48"/>
      <c r="Y60" s="65"/>
      <c r="Z60" s="48">
        <v>0.0</v>
      </c>
      <c r="AA60" s="48">
        <v>0.0</v>
      </c>
      <c r="AB60" s="66" t="s">
        <v>21</v>
      </c>
      <c r="AC60" s="48">
        <v>0.0</v>
      </c>
      <c r="AD60" s="48">
        <v>0.0</v>
      </c>
      <c r="AE60" s="77">
        <v>43226.0</v>
      </c>
      <c r="AG60" s="70" t="s">
        <v>51</v>
      </c>
    </row>
    <row r="61" ht="15.75" customHeight="1">
      <c r="B61" s="71" t="s">
        <v>23</v>
      </c>
      <c r="C61" s="71" t="s">
        <v>51</v>
      </c>
      <c r="D61" s="71" t="s">
        <v>57</v>
      </c>
      <c r="E61" s="72">
        <v>20000.0</v>
      </c>
      <c r="F61" s="48">
        <v>0.0</v>
      </c>
      <c r="G61" s="48">
        <v>0.0</v>
      </c>
      <c r="H61" s="48" t="s">
        <v>36</v>
      </c>
      <c r="I61" s="48">
        <v>0.0</v>
      </c>
      <c r="J61" s="48">
        <v>0.0</v>
      </c>
      <c r="K61" s="48" t="s">
        <v>21</v>
      </c>
      <c r="L61" s="71" t="s">
        <v>61</v>
      </c>
      <c r="N61" s="48" t="s">
        <v>37</v>
      </c>
      <c r="O61" s="76">
        <v>0.77</v>
      </c>
      <c r="R61" s="48">
        <v>0.0</v>
      </c>
      <c r="S61" s="48">
        <v>0.0</v>
      </c>
      <c r="T61" s="48">
        <v>0.0</v>
      </c>
      <c r="U61" s="48">
        <v>0.0</v>
      </c>
      <c r="V61" s="48">
        <v>0.0</v>
      </c>
      <c r="W61" s="48">
        <v>0.0</v>
      </c>
      <c r="X61" s="48"/>
      <c r="Y61" s="65"/>
      <c r="Z61" s="48">
        <v>0.0</v>
      </c>
      <c r="AA61" s="48">
        <v>0.0</v>
      </c>
      <c r="AB61" s="71" t="s">
        <v>21</v>
      </c>
      <c r="AC61" s="48">
        <v>0.0</v>
      </c>
      <c r="AD61" s="48">
        <v>0.0</v>
      </c>
      <c r="AE61" s="78">
        <v>43227.0</v>
      </c>
      <c r="AG61" s="75" t="s">
        <v>51</v>
      </c>
    </row>
    <row r="62" ht="15.75" customHeight="1">
      <c r="B62" s="66" t="s">
        <v>23</v>
      </c>
      <c r="C62" s="66" t="s">
        <v>51</v>
      </c>
      <c r="D62" s="66" t="s">
        <v>57</v>
      </c>
      <c r="E62" s="67">
        <v>-20000.0</v>
      </c>
      <c r="F62" s="48">
        <v>0.0</v>
      </c>
      <c r="G62" s="48">
        <v>0.0</v>
      </c>
      <c r="H62" s="48" t="s">
        <v>36</v>
      </c>
      <c r="I62" s="48">
        <v>0.0</v>
      </c>
      <c r="J62" s="48">
        <v>0.0</v>
      </c>
      <c r="K62" s="48" t="s">
        <v>21</v>
      </c>
      <c r="L62" s="66" t="s">
        <v>62</v>
      </c>
      <c r="N62" s="48" t="s">
        <v>37</v>
      </c>
      <c r="O62" s="76">
        <v>0.77</v>
      </c>
      <c r="R62" s="48">
        <v>0.0</v>
      </c>
      <c r="S62" s="48">
        <v>0.0</v>
      </c>
      <c r="T62" s="48">
        <v>0.0</v>
      </c>
      <c r="U62" s="48">
        <v>0.0</v>
      </c>
      <c r="V62" s="48">
        <v>0.0</v>
      </c>
      <c r="W62" s="48">
        <v>0.0</v>
      </c>
      <c r="X62" s="48"/>
      <c r="Y62" s="65"/>
      <c r="Z62" s="48">
        <v>0.0</v>
      </c>
      <c r="AA62" s="48">
        <v>0.0</v>
      </c>
      <c r="AB62" s="66" t="s">
        <v>21</v>
      </c>
      <c r="AC62" s="48">
        <v>0.0</v>
      </c>
      <c r="AD62" s="48">
        <v>0.0</v>
      </c>
      <c r="AE62" s="77">
        <v>43227.0</v>
      </c>
      <c r="AG62" s="70" t="s">
        <v>51</v>
      </c>
    </row>
    <row r="63" ht="15.75" customHeight="1">
      <c r="B63" s="71" t="s">
        <v>23</v>
      </c>
      <c r="C63" s="71" t="s">
        <v>51</v>
      </c>
      <c r="D63" s="71" t="s">
        <v>52</v>
      </c>
      <c r="E63" s="72">
        <v>-20000.0</v>
      </c>
      <c r="F63" s="48">
        <v>0.0</v>
      </c>
      <c r="G63" s="48">
        <v>0.0</v>
      </c>
      <c r="H63" s="48" t="s">
        <v>36</v>
      </c>
      <c r="I63" s="48">
        <v>0.0</v>
      </c>
      <c r="J63" s="48">
        <v>0.0</v>
      </c>
      <c r="K63" s="48" t="s">
        <v>21</v>
      </c>
      <c r="L63" s="71" t="s">
        <v>53</v>
      </c>
      <c r="N63" s="48" t="s">
        <v>37</v>
      </c>
      <c r="O63" s="76">
        <v>0.77</v>
      </c>
      <c r="R63" s="48">
        <v>0.0</v>
      </c>
      <c r="S63" s="48">
        <v>0.0</v>
      </c>
      <c r="T63" s="48">
        <v>0.0</v>
      </c>
      <c r="U63" s="48">
        <v>0.0</v>
      </c>
      <c r="V63" s="48">
        <v>0.0</v>
      </c>
      <c r="W63" s="48">
        <v>0.0</v>
      </c>
      <c r="X63" s="48"/>
      <c r="Y63" s="65"/>
      <c r="Z63" s="48">
        <v>0.0</v>
      </c>
      <c r="AA63" s="48">
        <v>0.0</v>
      </c>
      <c r="AB63" s="71" t="s">
        <v>21</v>
      </c>
      <c r="AC63" s="48">
        <v>0.0</v>
      </c>
      <c r="AD63" s="48">
        <v>0.0</v>
      </c>
      <c r="AE63" s="78">
        <v>43227.0</v>
      </c>
      <c r="AG63" s="75" t="s">
        <v>51</v>
      </c>
    </row>
    <row r="64" ht="15.75" customHeight="1">
      <c r="B64" s="66" t="s">
        <v>23</v>
      </c>
      <c r="C64" s="66" t="s">
        <v>51</v>
      </c>
      <c r="D64" s="66" t="s">
        <v>52</v>
      </c>
      <c r="E64" s="67">
        <v>20000.0</v>
      </c>
      <c r="F64" s="48">
        <v>0.0</v>
      </c>
      <c r="G64" s="48">
        <v>0.0</v>
      </c>
      <c r="H64" s="48" t="s">
        <v>36</v>
      </c>
      <c r="I64" s="48">
        <v>0.0</v>
      </c>
      <c r="J64" s="48">
        <v>0.0</v>
      </c>
      <c r="K64" s="48" t="s">
        <v>21</v>
      </c>
      <c r="L64" s="66" t="s">
        <v>54</v>
      </c>
      <c r="N64" s="48" t="s">
        <v>37</v>
      </c>
      <c r="O64" s="76">
        <v>0.77</v>
      </c>
      <c r="R64" s="48">
        <v>0.0</v>
      </c>
      <c r="S64" s="48">
        <v>0.0</v>
      </c>
      <c r="T64" s="48">
        <v>0.0</v>
      </c>
      <c r="U64" s="48">
        <v>0.0</v>
      </c>
      <c r="V64" s="48">
        <v>0.0</v>
      </c>
      <c r="W64" s="48">
        <v>0.0</v>
      </c>
      <c r="X64" s="48"/>
      <c r="Y64" s="65"/>
      <c r="Z64" s="48">
        <v>0.0</v>
      </c>
      <c r="AA64" s="48">
        <v>0.0</v>
      </c>
      <c r="AB64" s="66" t="s">
        <v>21</v>
      </c>
      <c r="AC64" s="48">
        <v>0.0</v>
      </c>
      <c r="AD64" s="48">
        <v>0.0</v>
      </c>
      <c r="AE64" s="77">
        <v>43227.0</v>
      </c>
      <c r="AG64" s="70" t="s">
        <v>51</v>
      </c>
    </row>
    <row r="65" ht="15.75" customHeight="1">
      <c r="B65" s="71" t="s">
        <v>23</v>
      </c>
      <c r="C65" s="71" t="s">
        <v>51</v>
      </c>
      <c r="D65" s="71" t="s">
        <v>57</v>
      </c>
      <c r="E65" s="72">
        <v>20000.0</v>
      </c>
      <c r="F65" s="48">
        <v>0.0</v>
      </c>
      <c r="G65" s="48">
        <v>0.0</v>
      </c>
      <c r="H65" s="48" t="s">
        <v>36</v>
      </c>
      <c r="I65" s="48">
        <v>0.0</v>
      </c>
      <c r="J65" s="48">
        <v>0.0</v>
      </c>
      <c r="K65" s="48" t="s">
        <v>21</v>
      </c>
      <c r="L65" s="71" t="s">
        <v>61</v>
      </c>
      <c r="N65" s="48" t="s">
        <v>37</v>
      </c>
      <c r="O65" s="76">
        <v>0.77</v>
      </c>
      <c r="R65" s="48">
        <v>0.0</v>
      </c>
      <c r="S65" s="48">
        <v>0.0</v>
      </c>
      <c r="T65" s="48">
        <v>0.0</v>
      </c>
      <c r="U65" s="48">
        <v>0.0</v>
      </c>
      <c r="V65" s="48">
        <v>0.0</v>
      </c>
      <c r="W65" s="48">
        <v>0.0</v>
      </c>
      <c r="X65" s="48"/>
      <c r="Y65" s="65"/>
      <c r="Z65" s="48">
        <v>0.0</v>
      </c>
      <c r="AA65" s="48">
        <v>0.0</v>
      </c>
      <c r="AB65" s="71" t="s">
        <v>21</v>
      </c>
      <c r="AC65" s="48">
        <v>0.0</v>
      </c>
      <c r="AD65" s="48">
        <v>0.0</v>
      </c>
      <c r="AE65" s="78">
        <v>43228.0</v>
      </c>
      <c r="AG65" s="75" t="s">
        <v>51</v>
      </c>
    </row>
    <row r="66" ht="15.75" customHeight="1">
      <c r="B66" s="66" t="s">
        <v>23</v>
      </c>
      <c r="C66" s="66" t="s">
        <v>51</v>
      </c>
      <c r="D66" s="66" t="s">
        <v>57</v>
      </c>
      <c r="E66" s="67">
        <v>-20000.0</v>
      </c>
      <c r="F66" s="48">
        <v>0.0</v>
      </c>
      <c r="G66" s="48">
        <v>0.0</v>
      </c>
      <c r="H66" s="48" t="s">
        <v>36</v>
      </c>
      <c r="I66" s="48">
        <v>0.0</v>
      </c>
      <c r="J66" s="48">
        <v>0.0</v>
      </c>
      <c r="K66" s="48" t="s">
        <v>21</v>
      </c>
      <c r="L66" s="66" t="s">
        <v>62</v>
      </c>
      <c r="N66" s="48" t="s">
        <v>37</v>
      </c>
      <c r="O66" s="76">
        <v>0.77</v>
      </c>
      <c r="R66" s="48">
        <v>0.0</v>
      </c>
      <c r="S66" s="48">
        <v>0.0</v>
      </c>
      <c r="T66" s="48">
        <v>0.0</v>
      </c>
      <c r="U66" s="48">
        <v>0.0</v>
      </c>
      <c r="V66" s="48">
        <v>0.0</v>
      </c>
      <c r="W66" s="48">
        <v>0.0</v>
      </c>
      <c r="X66" s="48"/>
      <c r="Y66" s="65"/>
      <c r="Z66" s="48">
        <v>0.0</v>
      </c>
      <c r="AA66" s="48">
        <v>0.0</v>
      </c>
      <c r="AB66" s="66" t="s">
        <v>21</v>
      </c>
      <c r="AC66" s="48">
        <v>0.0</v>
      </c>
      <c r="AD66" s="48">
        <v>0.0</v>
      </c>
      <c r="AE66" s="77">
        <v>43228.0</v>
      </c>
      <c r="AG66" s="70" t="s">
        <v>51</v>
      </c>
    </row>
    <row r="67" ht="15.75" customHeight="1">
      <c r="B67" s="71" t="s">
        <v>23</v>
      </c>
      <c r="C67" s="71" t="s">
        <v>51</v>
      </c>
      <c r="D67" s="71" t="s">
        <v>52</v>
      </c>
      <c r="E67" s="72">
        <v>-20000.0</v>
      </c>
      <c r="F67" s="48">
        <v>0.0</v>
      </c>
      <c r="G67" s="48">
        <v>0.0</v>
      </c>
      <c r="H67" s="48" t="s">
        <v>36</v>
      </c>
      <c r="I67" s="48">
        <v>0.0</v>
      </c>
      <c r="J67" s="48">
        <v>0.0</v>
      </c>
      <c r="K67" s="48" t="s">
        <v>21</v>
      </c>
      <c r="L67" s="71" t="s">
        <v>53</v>
      </c>
      <c r="N67" s="48" t="s">
        <v>37</v>
      </c>
      <c r="O67" s="76">
        <v>0.77</v>
      </c>
      <c r="R67" s="48">
        <v>0.0</v>
      </c>
      <c r="S67" s="48">
        <v>0.0</v>
      </c>
      <c r="T67" s="48">
        <v>0.0</v>
      </c>
      <c r="U67" s="48">
        <v>0.0</v>
      </c>
      <c r="V67" s="48">
        <v>0.0</v>
      </c>
      <c r="W67" s="48">
        <v>0.0</v>
      </c>
      <c r="X67" s="48"/>
      <c r="Y67" s="65"/>
      <c r="Z67" s="48">
        <v>0.0</v>
      </c>
      <c r="AA67" s="48">
        <v>0.0</v>
      </c>
      <c r="AB67" s="71" t="s">
        <v>21</v>
      </c>
      <c r="AC67" s="48">
        <v>0.0</v>
      </c>
      <c r="AD67" s="48">
        <v>0.0</v>
      </c>
      <c r="AE67" s="78">
        <v>43228.0</v>
      </c>
      <c r="AG67" s="75" t="s">
        <v>51</v>
      </c>
    </row>
    <row r="68" ht="15.75" customHeight="1">
      <c r="B68" s="66" t="s">
        <v>23</v>
      </c>
      <c r="C68" s="66" t="s">
        <v>51</v>
      </c>
      <c r="D68" s="66" t="s">
        <v>52</v>
      </c>
      <c r="E68" s="67">
        <v>20000.0</v>
      </c>
      <c r="F68" s="48">
        <v>0.0</v>
      </c>
      <c r="G68" s="48">
        <v>0.0</v>
      </c>
      <c r="H68" s="48" t="s">
        <v>36</v>
      </c>
      <c r="I68" s="48">
        <v>0.0</v>
      </c>
      <c r="J68" s="48">
        <v>0.0</v>
      </c>
      <c r="K68" s="48" t="s">
        <v>21</v>
      </c>
      <c r="L68" s="66" t="s">
        <v>54</v>
      </c>
      <c r="N68" s="48" t="s">
        <v>37</v>
      </c>
      <c r="O68" s="76">
        <v>0.77</v>
      </c>
      <c r="R68" s="48">
        <v>0.0</v>
      </c>
      <c r="S68" s="48">
        <v>0.0</v>
      </c>
      <c r="T68" s="48">
        <v>0.0</v>
      </c>
      <c r="U68" s="48">
        <v>0.0</v>
      </c>
      <c r="V68" s="48">
        <v>0.0</v>
      </c>
      <c r="W68" s="48">
        <v>0.0</v>
      </c>
      <c r="X68" s="48"/>
      <c r="Y68" s="65"/>
      <c r="Z68" s="48">
        <v>0.0</v>
      </c>
      <c r="AA68" s="48">
        <v>0.0</v>
      </c>
      <c r="AB68" s="66" t="s">
        <v>21</v>
      </c>
      <c r="AC68" s="48">
        <v>0.0</v>
      </c>
      <c r="AD68" s="48">
        <v>0.0</v>
      </c>
      <c r="AE68" s="77">
        <v>43228.0</v>
      </c>
      <c r="AG68" s="70" t="s">
        <v>51</v>
      </c>
    </row>
    <row r="69" ht="15.75" customHeight="1">
      <c r="R69" s="48"/>
      <c r="S69" s="48"/>
      <c r="T69" s="48"/>
      <c r="U69" s="48"/>
      <c r="V69" s="48"/>
      <c r="W69" s="48"/>
      <c r="X69" s="48"/>
      <c r="Y69" s="65"/>
      <c r="Z69" s="48"/>
      <c r="AA69" s="48"/>
      <c r="AB69" s="48"/>
      <c r="AC69" s="48"/>
      <c r="AD69" s="48"/>
    </row>
    <row r="70" ht="15.75" customHeight="1">
      <c r="R70" s="48"/>
      <c r="S70" s="48"/>
      <c r="T70" s="48"/>
      <c r="U70" s="48"/>
      <c r="V70" s="48"/>
      <c r="W70" s="48"/>
      <c r="X70" s="48"/>
      <c r="Y70" s="65"/>
      <c r="Z70" s="48"/>
      <c r="AA70" s="48"/>
      <c r="AB70" s="48"/>
      <c r="AC70" s="48"/>
      <c r="AD70" s="48"/>
    </row>
    <row r="71" ht="15.75" customHeight="1">
      <c r="R71" s="48"/>
      <c r="S71" s="48"/>
      <c r="T71" s="48"/>
      <c r="U71" s="48"/>
      <c r="V71" s="48"/>
      <c r="W71" s="48"/>
      <c r="X71" s="48"/>
      <c r="Y71" s="65"/>
      <c r="Z71" s="48"/>
      <c r="AA71" s="48"/>
      <c r="AB71" s="48"/>
      <c r="AC71" s="48"/>
      <c r="AD71" s="48"/>
    </row>
    <row r="72" ht="15.75" customHeight="1">
      <c r="R72" s="48"/>
      <c r="S72" s="48"/>
      <c r="T72" s="48"/>
      <c r="U72" s="48"/>
      <c r="V72" s="48"/>
      <c r="W72" s="48"/>
      <c r="X72" s="48"/>
      <c r="Y72" s="65"/>
      <c r="Z72" s="48"/>
      <c r="AA72" s="48"/>
      <c r="AB72" s="48"/>
      <c r="AC72" s="48"/>
      <c r="AD72" s="48"/>
    </row>
    <row r="73" ht="15.75" customHeight="1">
      <c r="R73" s="48"/>
      <c r="S73" s="48"/>
      <c r="T73" s="48"/>
      <c r="U73" s="48"/>
      <c r="V73" s="48"/>
      <c r="W73" s="48"/>
      <c r="X73" s="48"/>
      <c r="Y73" s="65"/>
      <c r="Z73" s="48"/>
      <c r="AA73" s="48"/>
      <c r="AB73" s="48"/>
      <c r="AC73" s="48"/>
      <c r="AD73" s="48"/>
    </row>
    <row r="74" ht="15.75" customHeight="1">
      <c r="R74" s="48"/>
      <c r="S74" s="48"/>
      <c r="T74" s="48"/>
      <c r="U74" s="48"/>
      <c r="V74" s="48"/>
      <c r="W74" s="48"/>
      <c r="X74" s="48"/>
      <c r="Y74" s="65"/>
      <c r="Z74" s="48"/>
      <c r="AA74" s="48"/>
      <c r="AB74" s="48"/>
      <c r="AC74" s="48"/>
      <c r="AD74" s="48"/>
    </row>
    <row r="75" ht="15.75" customHeight="1">
      <c r="R75" s="48"/>
      <c r="S75" s="48"/>
      <c r="T75" s="48"/>
      <c r="U75" s="48"/>
      <c r="V75" s="48"/>
      <c r="W75" s="48"/>
      <c r="X75" s="48"/>
      <c r="Y75" s="65"/>
      <c r="Z75" s="48"/>
      <c r="AA75" s="48"/>
      <c r="AB75" s="48"/>
      <c r="AC75" s="48"/>
      <c r="AD75" s="48"/>
    </row>
    <row r="76" ht="15.75" customHeight="1">
      <c r="R76" s="48"/>
      <c r="S76" s="48"/>
      <c r="T76" s="48"/>
      <c r="U76" s="48"/>
      <c r="V76" s="48"/>
      <c r="W76" s="48"/>
      <c r="X76" s="48"/>
      <c r="Y76" s="65"/>
      <c r="Z76" s="48"/>
      <c r="AA76" s="48"/>
      <c r="AB76" s="48"/>
      <c r="AC76" s="48"/>
      <c r="AD76" s="48"/>
    </row>
    <row r="77" ht="15.75" customHeight="1">
      <c r="R77" s="48"/>
      <c r="S77" s="48"/>
      <c r="T77" s="48"/>
      <c r="U77" s="48"/>
      <c r="V77" s="48"/>
      <c r="W77" s="48"/>
      <c r="X77" s="48"/>
      <c r="Y77" s="65"/>
      <c r="Z77" s="48"/>
      <c r="AA77" s="48"/>
      <c r="AB77" s="48"/>
      <c r="AC77" s="48"/>
      <c r="AD77" s="48"/>
    </row>
    <row r="78" ht="15.75" customHeight="1">
      <c r="R78" s="48"/>
      <c r="S78" s="48"/>
      <c r="T78" s="48"/>
      <c r="U78" s="48"/>
      <c r="V78" s="48"/>
      <c r="W78" s="48"/>
      <c r="X78" s="48"/>
      <c r="Y78" s="65"/>
      <c r="Z78" s="48"/>
      <c r="AA78" s="48"/>
      <c r="AB78" s="48"/>
      <c r="AC78" s="48"/>
      <c r="AD78" s="48"/>
    </row>
    <row r="79" ht="15.75" customHeight="1">
      <c r="R79" s="48"/>
      <c r="S79" s="48"/>
      <c r="T79" s="48"/>
      <c r="U79" s="48"/>
      <c r="V79" s="48"/>
      <c r="W79" s="48"/>
      <c r="X79" s="48"/>
      <c r="Y79" s="65"/>
      <c r="Z79" s="48"/>
      <c r="AA79" s="48"/>
      <c r="AB79" s="48"/>
      <c r="AC79" s="48"/>
      <c r="AD79" s="48"/>
    </row>
    <row r="80" ht="15.75" customHeight="1">
      <c r="R80" s="48"/>
      <c r="S80" s="48"/>
      <c r="T80" s="48"/>
      <c r="U80" s="48"/>
      <c r="V80" s="48"/>
      <c r="W80" s="48"/>
      <c r="X80" s="48"/>
      <c r="Y80" s="65"/>
      <c r="Z80" s="48"/>
      <c r="AA80" s="48"/>
      <c r="AB80" s="48"/>
      <c r="AC80" s="48"/>
      <c r="AD80" s="48"/>
    </row>
    <row r="81" ht="15.75" customHeight="1">
      <c r="R81" s="48"/>
      <c r="S81" s="48"/>
      <c r="T81" s="48"/>
      <c r="U81" s="48"/>
      <c r="V81" s="48"/>
      <c r="W81" s="48"/>
      <c r="X81" s="48"/>
      <c r="Y81" s="65"/>
      <c r="Z81" s="48"/>
      <c r="AA81" s="48"/>
      <c r="AB81" s="48"/>
      <c r="AC81" s="48"/>
      <c r="AD81" s="48"/>
    </row>
    <row r="82" ht="15.75" customHeight="1">
      <c r="R82" s="48"/>
      <c r="S82" s="48"/>
      <c r="T82" s="48"/>
      <c r="U82" s="48"/>
      <c r="V82" s="48"/>
      <c r="W82" s="48"/>
      <c r="X82" s="48"/>
      <c r="Y82" s="65"/>
      <c r="Z82" s="48"/>
      <c r="AA82" s="48"/>
      <c r="AB82" s="48"/>
      <c r="AC82" s="48"/>
      <c r="AD82" s="48"/>
    </row>
    <row r="83" ht="15.75" customHeight="1">
      <c r="R83" s="48"/>
      <c r="S83" s="48"/>
      <c r="T83" s="48"/>
      <c r="U83" s="48"/>
      <c r="V83" s="48"/>
      <c r="W83" s="48"/>
      <c r="X83" s="48"/>
      <c r="Y83" s="65"/>
      <c r="Z83" s="48"/>
      <c r="AA83" s="48"/>
      <c r="AB83" s="48"/>
      <c r="AC83" s="48"/>
      <c r="AD83" s="48"/>
    </row>
    <row r="84" ht="15.75" customHeight="1">
      <c r="R84" s="48"/>
      <c r="S84" s="48"/>
      <c r="T84" s="48"/>
      <c r="U84" s="48"/>
      <c r="V84" s="48"/>
      <c r="W84" s="48"/>
      <c r="X84" s="48"/>
      <c r="Y84" s="65"/>
      <c r="Z84" s="48"/>
      <c r="AA84" s="48"/>
      <c r="AB84" s="48"/>
      <c r="AC84" s="48"/>
      <c r="AD84" s="48"/>
    </row>
    <row r="85" ht="15.75" customHeight="1">
      <c r="R85" s="48"/>
      <c r="S85" s="48"/>
      <c r="T85" s="48"/>
      <c r="U85" s="48"/>
      <c r="V85" s="48"/>
      <c r="W85" s="48"/>
      <c r="X85" s="48"/>
      <c r="Y85" s="65"/>
      <c r="Z85" s="48"/>
      <c r="AA85" s="48"/>
      <c r="AB85" s="48"/>
      <c r="AC85" s="48"/>
      <c r="AD85" s="48"/>
    </row>
    <row r="86" ht="15.75" customHeight="1">
      <c r="R86" s="48"/>
      <c r="S86" s="48"/>
      <c r="T86" s="48"/>
      <c r="U86" s="48"/>
      <c r="V86" s="48"/>
      <c r="W86" s="48"/>
      <c r="X86" s="48"/>
      <c r="Y86" s="65"/>
      <c r="Z86" s="48"/>
      <c r="AA86" s="48"/>
      <c r="AB86" s="48"/>
      <c r="AC86" s="48"/>
      <c r="AD86" s="48"/>
    </row>
    <row r="87" ht="15.75" customHeight="1">
      <c r="R87" s="48"/>
      <c r="S87" s="48"/>
      <c r="T87" s="48"/>
      <c r="U87" s="48"/>
      <c r="V87" s="48"/>
      <c r="W87" s="48"/>
      <c r="X87" s="48"/>
      <c r="Y87" s="65"/>
      <c r="Z87" s="48"/>
      <c r="AA87" s="48"/>
      <c r="AB87" s="48"/>
      <c r="AC87" s="48"/>
      <c r="AD87" s="48"/>
    </row>
    <row r="88" ht="15.75" customHeight="1">
      <c r="R88" s="48"/>
      <c r="S88" s="48"/>
      <c r="T88" s="48"/>
      <c r="U88" s="48"/>
      <c r="V88" s="48"/>
      <c r="W88" s="48"/>
      <c r="X88" s="48"/>
      <c r="Y88" s="65"/>
      <c r="Z88" s="48"/>
      <c r="AA88" s="48"/>
      <c r="AB88" s="48"/>
      <c r="AC88" s="48"/>
      <c r="AD88" s="48"/>
    </row>
    <row r="89" ht="15.75" customHeight="1">
      <c r="R89" s="48"/>
      <c r="S89" s="48"/>
      <c r="T89" s="48"/>
      <c r="U89" s="48"/>
      <c r="V89" s="48"/>
      <c r="W89" s="48"/>
      <c r="X89" s="48"/>
      <c r="Y89" s="65"/>
      <c r="Z89" s="48"/>
      <c r="AA89" s="48"/>
      <c r="AB89" s="48"/>
      <c r="AC89" s="48"/>
      <c r="AD89" s="48"/>
    </row>
    <row r="90" ht="15.75" customHeight="1">
      <c r="R90" s="48"/>
      <c r="S90" s="48"/>
      <c r="T90" s="48"/>
      <c r="U90" s="48"/>
      <c r="V90" s="48"/>
      <c r="W90" s="48"/>
      <c r="X90" s="48"/>
      <c r="Y90" s="65"/>
      <c r="Z90" s="48"/>
      <c r="AA90" s="48"/>
      <c r="AB90" s="48"/>
      <c r="AC90" s="48"/>
      <c r="AD90" s="48"/>
    </row>
    <row r="91" ht="15.75" customHeight="1">
      <c r="R91" s="48"/>
      <c r="S91" s="48"/>
      <c r="T91" s="48"/>
      <c r="U91" s="48"/>
      <c r="V91" s="48"/>
      <c r="W91" s="48"/>
      <c r="X91" s="48"/>
      <c r="Y91" s="65"/>
      <c r="Z91" s="48"/>
      <c r="AA91" s="48"/>
      <c r="AB91" s="48"/>
      <c r="AC91" s="48"/>
      <c r="AD91" s="48"/>
    </row>
    <row r="92" ht="15.75" customHeight="1">
      <c r="R92" s="48"/>
      <c r="S92" s="48"/>
      <c r="T92" s="48"/>
      <c r="U92" s="48"/>
      <c r="V92" s="48"/>
      <c r="W92" s="48"/>
      <c r="X92" s="48"/>
      <c r="Y92" s="65"/>
      <c r="Z92" s="48"/>
      <c r="AA92" s="48"/>
      <c r="AB92" s="48"/>
      <c r="AC92" s="48"/>
      <c r="AD92" s="48"/>
    </row>
    <row r="93" ht="15.75" customHeight="1">
      <c r="R93" s="48"/>
      <c r="S93" s="48"/>
      <c r="T93" s="48"/>
      <c r="U93" s="48"/>
      <c r="V93" s="48"/>
      <c r="W93" s="48"/>
      <c r="X93" s="48"/>
      <c r="Y93" s="65"/>
      <c r="Z93" s="48"/>
      <c r="AA93" s="48"/>
      <c r="AB93" s="48"/>
      <c r="AC93" s="48"/>
      <c r="AD93" s="48"/>
    </row>
    <row r="94" ht="15.75" customHeight="1">
      <c r="R94" s="48"/>
      <c r="S94" s="48"/>
      <c r="T94" s="48"/>
      <c r="U94" s="48"/>
      <c r="V94" s="48"/>
      <c r="W94" s="48"/>
      <c r="X94" s="48"/>
      <c r="Y94" s="65"/>
      <c r="Z94" s="48"/>
      <c r="AA94" s="48"/>
      <c r="AB94" s="48"/>
      <c r="AC94" s="48"/>
      <c r="AD94" s="48"/>
    </row>
    <row r="95" ht="15.75" customHeight="1">
      <c r="R95" s="48"/>
      <c r="S95" s="48"/>
      <c r="T95" s="48"/>
      <c r="U95" s="48"/>
      <c r="V95" s="48"/>
      <c r="W95" s="48"/>
      <c r="X95" s="48"/>
      <c r="Y95" s="65"/>
      <c r="Z95" s="48"/>
      <c r="AA95" s="48"/>
      <c r="AB95" s="48"/>
      <c r="AC95" s="48"/>
      <c r="AD95" s="48"/>
    </row>
    <row r="96" ht="15.75" customHeight="1">
      <c r="R96" s="48"/>
      <c r="S96" s="48"/>
      <c r="T96" s="48"/>
      <c r="U96" s="48"/>
      <c r="V96" s="48"/>
      <c r="W96" s="48"/>
      <c r="X96" s="48"/>
      <c r="Y96" s="65"/>
      <c r="Z96" s="48"/>
      <c r="AA96" s="48"/>
      <c r="AB96" s="48"/>
      <c r="AC96" s="48"/>
      <c r="AD96" s="48"/>
    </row>
    <row r="97" ht="15.75" customHeight="1">
      <c r="R97" s="48"/>
      <c r="S97" s="48"/>
      <c r="T97" s="48"/>
      <c r="U97" s="48"/>
      <c r="V97" s="48"/>
      <c r="W97" s="48"/>
      <c r="X97" s="48"/>
      <c r="Y97" s="65"/>
      <c r="Z97" s="48"/>
      <c r="AA97" s="48"/>
      <c r="AB97" s="48"/>
      <c r="AC97" s="48"/>
      <c r="AD97" s="48"/>
    </row>
    <row r="98" ht="15.75" customHeight="1">
      <c r="R98" s="48"/>
      <c r="S98" s="48"/>
      <c r="T98" s="48"/>
      <c r="U98" s="48"/>
      <c r="V98" s="48"/>
      <c r="W98" s="48"/>
      <c r="X98" s="48"/>
      <c r="Y98" s="65"/>
      <c r="Z98" s="48"/>
      <c r="AA98" s="48"/>
      <c r="AB98" s="48"/>
      <c r="AC98" s="48"/>
      <c r="AD98" s="48"/>
    </row>
    <row r="99" ht="15.75" customHeight="1">
      <c r="R99" s="48"/>
      <c r="S99" s="48"/>
      <c r="T99" s="48"/>
      <c r="U99" s="48"/>
      <c r="V99" s="48"/>
      <c r="W99" s="48"/>
      <c r="X99" s="48"/>
      <c r="Y99" s="65"/>
      <c r="Z99" s="48"/>
      <c r="AA99" s="48"/>
      <c r="AB99" s="48"/>
      <c r="AC99" s="48"/>
      <c r="AD99" s="48"/>
    </row>
    <row r="100" ht="15.75" customHeight="1">
      <c r="R100" s="48"/>
      <c r="S100" s="48"/>
      <c r="T100" s="48"/>
      <c r="U100" s="48"/>
      <c r="V100" s="48"/>
      <c r="W100" s="48"/>
      <c r="X100" s="48"/>
      <c r="Y100" s="65"/>
      <c r="Z100" s="48"/>
      <c r="AA100" s="48"/>
      <c r="AB100" s="48"/>
      <c r="AC100" s="48"/>
      <c r="AD100" s="48"/>
    </row>
    <row r="101" ht="15.75" customHeight="1">
      <c r="R101" s="48"/>
      <c r="S101" s="48"/>
      <c r="T101" s="48"/>
      <c r="U101" s="48"/>
      <c r="V101" s="48"/>
      <c r="W101" s="48"/>
      <c r="X101" s="48"/>
      <c r="Y101" s="65"/>
      <c r="Z101" s="48"/>
      <c r="AA101" s="48"/>
      <c r="AB101" s="48"/>
      <c r="AC101" s="48"/>
      <c r="AD101" s="48"/>
    </row>
    <row r="102" ht="15.75" customHeight="1">
      <c r="R102" s="48"/>
      <c r="S102" s="48"/>
      <c r="T102" s="48"/>
      <c r="U102" s="48"/>
      <c r="V102" s="48"/>
      <c r="W102" s="48"/>
      <c r="X102" s="48"/>
      <c r="Y102" s="65"/>
      <c r="Z102" s="48"/>
      <c r="AA102" s="48"/>
      <c r="AB102" s="48"/>
      <c r="AC102" s="48"/>
      <c r="AD102" s="48"/>
    </row>
    <row r="103" ht="15.75" customHeight="1">
      <c r="R103" s="48"/>
      <c r="S103" s="48"/>
      <c r="T103" s="48"/>
      <c r="U103" s="48"/>
      <c r="V103" s="48"/>
      <c r="W103" s="48"/>
      <c r="X103" s="48"/>
      <c r="Y103" s="65"/>
      <c r="Z103" s="48"/>
      <c r="AA103" s="48"/>
      <c r="AB103" s="48"/>
      <c r="AC103" s="48"/>
      <c r="AD103" s="48"/>
    </row>
    <row r="104" ht="15.75" customHeight="1">
      <c r="R104" s="48"/>
      <c r="S104" s="48"/>
      <c r="T104" s="48"/>
      <c r="U104" s="48"/>
      <c r="V104" s="48"/>
      <c r="W104" s="48"/>
      <c r="X104" s="48"/>
      <c r="Y104" s="65"/>
      <c r="Z104" s="48"/>
      <c r="AA104" s="48"/>
      <c r="AB104" s="48"/>
      <c r="AC104" s="48"/>
      <c r="AD104" s="48"/>
    </row>
    <row r="105" ht="15.75" customHeight="1">
      <c r="R105" s="48"/>
      <c r="S105" s="48"/>
      <c r="T105" s="48"/>
      <c r="U105" s="48"/>
      <c r="V105" s="48"/>
      <c r="W105" s="48"/>
      <c r="X105" s="48"/>
      <c r="Y105" s="65"/>
      <c r="Z105" s="48"/>
      <c r="AA105" s="48"/>
      <c r="AB105" s="48"/>
      <c r="AC105" s="48"/>
      <c r="AD105" s="48"/>
    </row>
    <row r="106" ht="15.75" customHeight="1">
      <c r="R106" s="48"/>
      <c r="S106" s="48"/>
      <c r="T106" s="48"/>
      <c r="U106" s="48"/>
      <c r="V106" s="48"/>
      <c r="W106" s="48"/>
      <c r="X106" s="48"/>
      <c r="Y106" s="65"/>
      <c r="Z106" s="48"/>
      <c r="AA106" s="48"/>
      <c r="AB106" s="48"/>
      <c r="AC106" s="48"/>
      <c r="AD106" s="48"/>
    </row>
    <row r="107" ht="15.75" customHeight="1">
      <c r="R107" s="48"/>
      <c r="S107" s="48"/>
      <c r="T107" s="48"/>
      <c r="U107" s="48"/>
      <c r="V107" s="48"/>
      <c r="W107" s="48"/>
      <c r="X107" s="48"/>
      <c r="Y107" s="65"/>
      <c r="Z107" s="48"/>
      <c r="AA107" s="48"/>
      <c r="AB107" s="48"/>
      <c r="AC107" s="48"/>
      <c r="AD107" s="48"/>
    </row>
    <row r="108" ht="15.75" customHeight="1">
      <c r="R108" s="48"/>
      <c r="S108" s="48"/>
      <c r="T108" s="48"/>
      <c r="U108" s="48"/>
      <c r="V108" s="48"/>
      <c r="W108" s="48"/>
      <c r="X108" s="48"/>
      <c r="Y108" s="65"/>
      <c r="Z108" s="48"/>
      <c r="AA108" s="48"/>
      <c r="AB108" s="48"/>
      <c r="AC108" s="48"/>
      <c r="AD108" s="48"/>
    </row>
    <row r="109" ht="15.75" customHeight="1">
      <c r="R109" s="48"/>
      <c r="S109" s="48"/>
      <c r="T109" s="48"/>
      <c r="U109" s="48"/>
      <c r="V109" s="48"/>
      <c r="W109" s="48"/>
      <c r="X109" s="48"/>
      <c r="Y109" s="65"/>
      <c r="Z109" s="48"/>
      <c r="AA109" s="48"/>
      <c r="AB109" s="48"/>
      <c r="AC109" s="48"/>
      <c r="AD109" s="48"/>
    </row>
    <row r="110" ht="15.75" customHeight="1">
      <c r="R110" s="48"/>
      <c r="S110" s="48"/>
      <c r="T110" s="48"/>
      <c r="U110" s="48"/>
      <c r="V110" s="48"/>
      <c r="W110" s="48"/>
      <c r="X110" s="48"/>
      <c r="Y110" s="65"/>
      <c r="Z110" s="48"/>
      <c r="AA110" s="48"/>
      <c r="AB110" s="48"/>
      <c r="AC110" s="48"/>
      <c r="AD110" s="48"/>
    </row>
    <row r="111" ht="15.75" customHeight="1">
      <c r="R111" s="48"/>
      <c r="S111" s="48"/>
      <c r="T111" s="48"/>
      <c r="U111" s="48"/>
      <c r="V111" s="48"/>
      <c r="W111" s="48"/>
      <c r="X111" s="48"/>
      <c r="Y111" s="65"/>
      <c r="Z111" s="48"/>
      <c r="AA111" s="48"/>
      <c r="AB111" s="48"/>
      <c r="AC111" s="48"/>
      <c r="AD111" s="48"/>
    </row>
    <row r="112" ht="15.75" customHeight="1">
      <c r="R112" s="48"/>
      <c r="S112" s="48"/>
      <c r="T112" s="48"/>
      <c r="U112" s="48"/>
      <c r="V112" s="48"/>
      <c r="W112" s="48"/>
      <c r="X112" s="48"/>
      <c r="Y112" s="65"/>
      <c r="Z112" s="48"/>
      <c r="AA112" s="48"/>
      <c r="AB112" s="48"/>
      <c r="AC112" s="48"/>
      <c r="AD112" s="48"/>
    </row>
    <row r="113" ht="15.75" customHeight="1">
      <c r="R113" s="48"/>
      <c r="S113" s="48"/>
      <c r="T113" s="48"/>
      <c r="U113" s="48"/>
      <c r="V113" s="48"/>
      <c r="W113" s="48"/>
      <c r="X113" s="48"/>
      <c r="Y113" s="65"/>
      <c r="Z113" s="48"/>
      <c r="AA113" s="48"/>
      <c r="AB113" s="48"/>
      <c r="AC113" s="48"/>
      <c r="AD113" s="48"/>
    </row>
    <row r="114" ht="15.75" customHeight="1">
      <c r="R114" s="48"/>
      <c r="S114" s="48"/>
      <c r="T114" s="48"/>
      <c r="U114" s="48"/>
      <c r="V114" s="48"/>
      <c r="W114" s="48"/>
      <c r="X114" s="48"/>
      <c r="Y114" s="65"/>
      <c r="Z114" s="48"/>
      <c r="AA114" s="48"/>
      <c r="AB114" s="48"/>
      <c r="AC114" s="48"/>
      <c r="AD114" s="48"/>
    </row>
    <row r="115" ht="15.75" customHeight="1">
      <c r="R115" s="48"/>
      <c r="S115" s="48"/>
      <c r="T115" s="48"/>
      <c r="U115" s="48"/>
      <c r="V115" s="48"/>
      <c r="W115" s="48"/>
      <c r="X115" s="48"/>
      <c r="Y115" s="65"/>
      <c r="Z115" s="48"/>
      <c r="AA115" s="48"/>
      <c r="AB115" s="48"/>
      <c r="AC115" s="48"/>
      <c r="AD115" s="48"/>
    </row>
    <row r="116" ht="15.75" customHeight="1">
      <c r="R116" s="48"/>
      <c r="S116" s="48"/>
      <c r="T116" s="48"/>
      <c r="U116" s="48"/>
      <c r="V116" s="48"/>
      <c r="W116" s="48"/>
      <c r="X116" s="48"/>
      <c r="Y116" s="65"/>
      <c r="Z116" s="48"/>
      <c r="AA116" s="48"/>
      <c r="AB116" s="48"/>
      <c r="AC116" s="48"/>
      <c r="AD116" s="48"/>
    </row>
    <row r="117" ht="15.75" customHeight="1">
      <c r="R117" s="48"/>
      <c r="S117" s="48"/>
      <c r="T117" s="48"/>
      <c r="U117" s="48"/>
      <c r="V117" s="48"/>
      <c r="W117" s="48"/>
      <c r="X117" s="48"/>
      <c r="Y117" s="65"/>
      <c r="Z117" s="48"/>
      <c r="AA117" s="48"/>
      <c r="AB117" s="48"/>
      <c r="AC117" s="48"/>
      <c r="AD117" s="48"/>
    </row>
    <row r="118" ht="15.75" customHeight="1">
      <c r="R118" s="48"/>
      <c r="S118" s="48"/>
      <c r="T118" s="48"/>
      <c r="U118" s="48"/>
      <c r="V118" s="48"/>
      <c r="W118" s="48"/>
      <c r="X118" s="48"/>
      <c r="Y118" s="65"/>
      <c r="Z118" s="48"/>
      <c r="AA118" s="48"/>
      <c r="AB118" s="48"/>
      <c r="AC118" s="48"/>
      <c r="AD118" s="48"/>
    </row>
    <row r="119" ht="15.75" customHeight="1">
      <c r="R119" s="48"/>
      <c r="S119" s="48"/>
      <c r="T119" s="48"/>
      <c r="U119" s="48"/>
      <c r="V119" s="48"/>
      <c r="W119" s="48"/>
      <c r="X119" s="48"/>
      <c r="Y119" s="65"/>
      <c r="Z119" s="48"/>
      <c r="AA119" s="48"/>
      <c r="AB119" s="48"/>
      <c r="AC119" s="48"/>
      <c r="AD119" s="48"/>
    </row>
    <row r="120" ht="15.75" customHeight="1">
      <c r="R120" s="48"/>
      <c r="S120" s="48"/>
      <c r="T120" s="48"/>
      <c r="U120" s="48"/>
      <c r="V120" s="48"/>
      <c r="W120" s="48"/>
      <c r="X120" s="48"/>
      <c r="Y120" s="65"/>
      <c r="Z120" s="48"/>
      <c r="AA120" s="48"/>
      <c r="AB120" s="48"/>
      <c r="AC120" s="48"/>
      <c r="AD120" s="48"/>
    </row>
    <row r="121" ht="15.75" customHeight="1">
      <c r="R121" s="48"/>
      <c r="S121" s="48"/>
      <c r="T121" s="48"/>
      <c r="U121" s="48"/>
      <c r="V121" s="48"/>
      <c r="W121" s="48"/>
      <c r="X121" s="48"/>
      <c r="Y121" s="65"/>
      <c r="Z121" s="48"/>
      <c r="AA121" s="48"/>
      <c r="AB121" s="48"/>
      <c r="AC121" s="48"/>
      <c r="AD121" s="48"/>
    </row>
    <row r="122" ht="15.75" customHeight="1">
      <c r="R122" s="48"/>
      <c r="S122" s="48"/>
      <c r="T122" s="48"/>
      <c r="U122" s="48"/>
      <c r="V122" s="48"/>
      <c r="W122" s="48"/>
      <c r="X122" s="48"/>
      <c r="Y122" s="65"/>
      <c r="Z122" s="48"/>
      <c r="AA122" s="48"/>
      <c r="AB122" s="48"/>
      <c r="AC122" s="48"/>
      <c r="AD122" s="48"/>
    </row>
    <row r="123" ht="15.75" customHeight="1">
      <c r="R123" s="48"/>
      <c r="S123" s="48"/>
      <c r="T123" s="48"/>
      <c r="U123" s="48"/>
      <c r="V123" s="48"/>
      <c r="W123" s="48"/>
      <c r="X123" s="48"/>
      <c r="Y123" s="65"/>
      <c r="Z123" s="48"/>
      <c r="AA123" s="48"/>
      <c r="AB123" s="48"/>
      <c r="AC123" s="48"/>
      <c r="AD123" s="48"/>
    </row>
    <row r="124" ht="15.75" customHeight="1">
      <c r="R124" s="48"/>
      <c r="S124" s="48"/>
      <c r="T124" s="48"/>
      <c r="U124" s="48"/>
      <c r="V124" s="48"/>
      <c r="W124" s="48"/>
      <c r="X124" s="48"/>
      <c r="Y124" s="65"/>
      <c r="Z124" s="48"/>
      <c r="AA124" s="48"/>
      <c r="AB124" s="48"/>
      <c r="AC124" s="48"/>
      <c r="AD124" s="48"/>
    </row>
    <row r="125" ht="15.75" customHeight="1">
      <c r="R125" s="48"/>
      <c r="S125" s="48"/>
      <c r="T125" s="48"/>
      <c r="U125" s="48"/>
      <c r="V125" s="48"/>
      <c r="W125" s="48"/>
      <c r="X125" s="48"/>
      <c r="Y125" s="65"/>
      <c r="Z125" s="48"/>
      <c r="AA125" s="48"/>
      <c r="AB125" s="48"/>
      <c r="AC125" s="48"/>
      <c r="AD125" s="48"/>
    </row>
    <row r="126" ht="15.75" customHeight="1">
      <c r="R126" s="48"/>
      <c r="S126" s="48"/>
      <c r="T126" s="48"/>
      <c r="U126" s="48"/>
      <c r="V126" s="48"/>
      <c r="W126" s="48"/>
      <c r="X126" s="48"/>
      <c r="Y126" s="65"/>
      <c r="Z126" s="48"/>
      <c r="AA126" s="48"/>
      <c r="AB126" s="48"/>
      <c r="AC126" s="48"/>
      <c r="AD126" s="48"/>
    </row>
    <row r="127" ht="15.75" customHeight="1">
      <c r="R127" s="48"/>
      <c r="S127" s="48"/>
      <c r="T127" s="48"/>
      <c r="U127" s="48"/>
      <c r="V127" s="48"/>
      <c r="W127" s="48"/>
      <c r="X127" s="48"/>
      <c r="Y127" s="65"/>
      <c r="Z127" s="48"/>
      <c r="AA127" s="48"/>
      <c r="AB127" s="48"/>
      <c r="AC127" s="48"/>
      <c r="AD127" s="48"/>
    </row>
    <row r="128" ht="15.75" customHeight="1">
      <c r="R128" s="48"/>
      <c r="S128" s="48"/>
      <c r="T128" s="48"/>
      <c r="U128" s="48"/>
      <c r="V128" s="48"/>
      <c r="W128" s="48"/>
      <c r="X128" s="48"/>
      <c r="Y128" s="65"/>
      <c r="Z128" s="48"/>
      <c r="AA128" s="48"/>
      <c r="AB128" s="48"/>
      <c r="AC128" s="48"/>
      <c r="AD128" s="48"/>
    </row>
    <row r="129" ht="15.75" customHeight="1">
      <c r="R129" s="48"/>
      <c r="S129" s="48"/>
      <c r="T129" s="48"/>
      <c r="U129" s="48"/>
      <c r="V129" s="48"/>
      <c r="W129" s="48"/>
      <c r="X129" s="48"/>
      <c r="Y129" s="65"/>
      <c r="Z129" s="48"/>
      <c r="AA129" s="48"/>
      <c r="AB129" s="48"/>
      <c r="AC129" s="48"/>
      <c r="AD129" s="48"/>
    </row>
    <row r="130" ht="15.75" customHeight="1">
      <c r="R130" s="48"/>
      <c r="S130" s="48"/>
      <c r="T130" s="48"/>
      <c r="U130" s="48"/>
      <c r="V130" s="48"/>
      <c r="W130" s="48"/>
      <c r="X130" s="48"/>
      <c r="Y130" s="65"/>
      <c r="Z130" s="48"/>
      <c r="AA130" s="48"/>
      <c r="AB130" s="48"/>
      <c r="AC130" s="48"/>
      <c r="AD130" s="48"/>
    </row>
    <row r="131" ht="15.75" customHeight="1">
      <c r="R131" s="48"/>
      <c r="S131" s="48"/>
      <c r="T131" s="48"/>
      <c r="U131" s="48"/>
      <c r="V131" s="48"/>
      <c r="W131" s="48"/>
      <c r="X131" s="48"/>
      <c r="Y131" s="65"/>
      <c r="Z131" s="48"/>
      <c r="AA131" s="48"/>
      <c r="AB131" s="48"/>
      <c r="AC131" s="48"/>
      <c r="AD131" s="48"/>
    </row>
    <row r="132" ht="15.75" customHeight="1">
      <c r="R132" s="48"/>
      <c r="S132" s="48"/>
      <c r="T132" s="48"/>
      <c r="U132" s="48"/>
      <c r="V132" s="48"/>
      <c r="W132" s="48"/>
      <c r="X132" s="48"/>
      <c r="Y132" s="65"/>
      <c r="Z132" s="48"/>
      <c r="AA132" s="48"/>
      <c r="AB132" s="48"/>
      <c r="AC132" s="48"/>
      <c r="AD132" s="48"/>
    </row>
    <row r="133" ht="15.75" customHeight="1">
      <c r="R133" s="48"/>
      <c r="S133" s="48"/>
      <c r="T133" s="48"/>
      <c r="U133" s="48"/>
      <c r="V133" s="48"/>
      <c r="W133" s="48"/>
      <c r="X133" s="48"/>
      <c r="Y133" s="65"/>
      <c r="Z133" s="48"/>
      <c r="AA133" s="48"/>
      <c r="AB133" s="48"/>
      <c r="AC133" s="48"/>
      <c r="AD133" s="48"/>
    </row>
    <row r="134" ht="15.75" customHeight="1">
      <c r="R134" s="48"/>
      <c r="S134" s="48"/>
      <c r="T134" s="48"/>
      <c r="U134" s="48"/>
      <c r="V134" s="48"/>
      <c r="W134" s="48"/>
      <c r="X134" s="48"/>
      <c r="Y134" s="65"/>
      <c r="Z134" s="48"/>
      <c r="AA134" s="48"/>
      <c r="AB134" s="48"/>
      <c r="AC134" s="48"/>
      <c r="AD134" s="48"/>
    </row>
    <row r="135" ht="15.75" customHeight="1">
      <c r="R135" s="48"/>
      <c r="S135" s="48"/>
      <c r="T135" s="48"/>
      <c r="U135" s="48"/>
      <c r="V135" s="48"/>
      <c r="W135" s="48"/>
      <c r="X135" s="48"/>
      <c r="Y135" s="65"/>
      <c r="Z135" s="48"/>
      <c r="AA135" s="48"/>
      <c r="AB135" s="48"/>
      <c r="AC135" s="48"/>
      <c r="AD135" s="48"/>
    </row>
    <row r="136" ht="15.75" customHeight="1">
      <c r="R136" s="48"/>
      <c r="S136" s="48"/>
      <c r="T136" s="48"/>
      <c r="U136" s="48"/>
      <c r="V136" s="48"/>
      <c r="W136" s="48"/>
      <c r="X136" s="48"/>
      <c r="Y136" s="65"/>
      <c r="Z136" s="48"/>
      <c r="AA136" s="48"/>
      <c r="AB136" s="48"/>
      <c r="AC136" s="48"/>
      <c r="AD136" s="48"/>
    </row>
    <row r="137" ht="15.75" customHeight="1">
      <c r="R137" s="48"/>
      <c r="S137" s="48"/>
      <c r="T137" s="48"/>
      <c r="U137" s="48"/>
      <c r="V137" s="48"/>
      <c r="W137" s="48"/>
      <c r="X137" s="48"/>
      <c r="Y137" s="65"/>
      <c r="Z137" s="48"/>
      <c r="AA137" s="48"/>
      <c r="AB137" s="48"/>
      <c r="AC137" s="48"/>
      <c r="AD137" s="48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63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IFERROR(__xludf.DUMMYFUNCTION("""COMPUTED_VALUE"""),"MasterFund")</f>
        <v>MasterFund</v>
      </c>
      <c r="C5" s="23" t="str">
        <f>IFERROR(__xludf.DUMMYFUNCTION("""COMPUTED_VALUE"""),"Accounts")</f>
        <v>Accounts</v>
      </c>
      <c r="D5" s="23" t="str">
        <f>IFERROR(__xludf.DUMMYFUNCTION("""COMPUTED_VALUE"""),"From Date")</f>
        <v>From Date</v>
      </c>
      <c r="E5" s="23" t="str">
        <f>IFERROR(__xludf.DUMMYFUNCTION("""COMPUTED_VALUE"""),"To Date")</f>
        <v>To Date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6"/>
      <c r="B6" s="26" t="s">
        <v>32</v>
      </c>
      <c r="C6" s="25" t="s">
        <v>16</v>
      </c>
      <c r="D6" s="26">
        <v>43210.0</v>
      </c>
      <c r="E6" s="26">
        <v>43228.0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" width="17.25"/>
    <col customWidth="1" min="13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64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45" t="str">
        <f>IFERROR(__xludf.DUMMYFUNCTION("""COMPUTED_VALUE"""),"Date")</f>
        <v>Date</v>
      </c>
      <c r="C5" s="45" t="str">
        <f>IFERROR(__xludf.DUMMYFUNCTION("""COMPUTED_VALUE"""),"Account")</f>
        <v>Account</v>
      </c>
      <c r="D5" s="45" t="str">
        <f>IFERROR(__xludf.DUMMYFUNCTION("""COMPUTED_VALUE"""),"Symbol")</f>
        <v>Symbol</v>
      </c>
      <c r="E5" s="45" t="str">
        <f>IFERROR(__xludf.DUMMYFUNCTION("""COMPUTED_VALUE"""),"Currency")</f>
        <v>Currency</v>
      </c>
      <c r="F5" s="45" t="str">
        <f>IFERROR(__xludf.DUMMYFUNCTION("""COMPUTED_VALUE"""),"Cash Sub-Account")</f>
        <v>Cash Sub-Account</v>
      </c>
      <c r="G5" s="45" t="str">
        <f>IFERROR(__xludf.DUMMYFUNCTION("""COMPUTED_VALUE"""),"DR")</f>
        <v>DR</v>
      </c>
      <c r="H5" s="45" t="str">
        <f>IFERROR(__xludf.DUMMYFUNCTION("""COMPUTED_VALUE"""),"CR")</f>
        <v>CR</v>
      </c>
      <c r="I5" s="45" t="str">
        <f>IFERROR(__xludf.DUMMYFUNCTION("""COMPUTED_VALUE"""),"Modify Date")</f>
        <v>Modify Date</v>
      </c>
      <c r="J5" s="45" t="str">
        <f>IFERROR(__xludf.DUMMYFUNCTION("""COMPUTED_VALUE"""),"Entry Date")</f>
        <v>Entry Date</v>
      </c>
      <c r="K5" s="45" t="str">
        <f>IFERROR(__xludf.DUMMYFUNCTION("""COMPUTED_VALUE"""),"User")</f>
        <v>User</v>
      </c>
      <c r="L5" s="45" t="str">
        <f>IFERROR(__xludf.DUMMYFUNCTION("""COMPUTED_VALUE"""),"Fx Rate")</f>
        <v>Fx Rate</v>
      </c>
      <c r="M5" s="45" t="str">
        <f>IFERROR(__xludf.DUMMYFUNCTION("""COMPUTED_VALUE"""),"FX Conversion Method Operator")</f>
        <v>FX Conversion Method Operator</v>
      </c>
      <c r="N5" s="45" t="str">
        <f>IFERROR(__xludf.DUMMYFUNCTION("""COMPUTED_VALUE"""),"Account Side")</f>
        <v>Account Side</v>
      </c>
      <c r="O5" s="45" t="str">
        <f>IFERROR(__xludf.DUMMYFUNCTION("""COMPUTED_VALUE"""),"TransactionSource")</f>
        <v>TransactionSource</v>
      </c>
      <c r="P5" s="45" t="str">
        <f>IFERROR(__xludf.DUMMYFUNCTION("""COMPUTED_VALUE"""),"Base Currency")</f>
        <v>Base Currency</v>
      </c>
      <c r="Q5" s="45" t="str">
        <f>IFERROR(__xludf.DUMMYFUNCTION("""COMPUTED_VALUE"""),"Description")</f>
        <v>Description</v>
      </c>
      <c r="R5" s="45" t="str">
        <f>IFERROR(__xludf.DUMMYFUNCTION("""COMPUTED_VALUE"""),"DR (Base)")</f>
        <v>DR (Base)</v>
      </c>
      <c r="S5" s="45" t="str">
        <f>IFERROR(__xludf.DUMMYFUNCTION("""COMPUTED_VALUE"""),"CR (Base)")</f>
        <v>CR (Base)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47"/>
      <c r="B6" s="51">
        <v>43221.0</v>
      </c>
      <c r="C6" s="48" t="s">
        <v>20</v>
      </c>
      <c r="D6" s="48" t="s">
        <v>21</v>
      </c>
      <c r="E6" s="48" t="s">
        <v>21</v>
      </c>
      <c r="F6" s="48" t="s">
        <v>43</v>
      </c>
      <c r="G6" s="58">
        <v>50000.0</v>
      </c>
      <c r="H6" s="59">
        <v>0.0</v>
      </c>
      <c r="I6" s="49"/>
      <c r="J6" s="49"/>
      <c r="K6" s="48"/>
      <c r="L6" s="48">
        <v>0.7745933384973</v>
      </c>
      <c r="M6" s="48" t="s">
        <v>37</v>
      </c>
      <c r="N6" s="48" t="s">
        <v>42</v>
      </c>
      <c r="O6" s="48" t="s">
        <v>51</v>
      </c>
      <c r="P6" s="48" t="s">
        <v>29</v>
      </c>
      <c r="Q6" s="48" t="s">
        <v>53</v>
      </c>
      <c r="R6" s="58">
        <v>38729.67</v>
      </c>
      <c r="S6" s="58">
        <v>0.0</v>
      </c>
      <c r="T6" s="48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</row>
    <row r="7" ht="15.75" customHeight="1">
      <c r="A7" s="47"/>
      <c r="B7" s="51">
        <v>43221.0</v>
      </c>
      <c r="C7" s="48" t="s">
        <v>20</v>
      </c>
      <c r="D7" s="48" t="s">
        <v>21</v>
      </c>
      <c r="E7" s="48" t="s">
        <v>21</v>
      </c>
      <c r="F7" s="48" t="s">
        <v>65</v>
      </c>
      <c r="G7" s="61">
        <v>0.0</v>
      </c>
      <c r="H7" s="58">
        <v>50000.0</v>
      </c>
      <c r="I7" s="49"/>
      <c r="J7" s="49"/>
      <c r="K7" s="48"/>
      <c r="L7" s="48">
        <v>0.7745933384973</v>
      </c>
      <c r="M7" s="48" t="s">
        <v>37</v>
      </c>
      <c r="N7" s="48" t="s">
        <v>44</v>
      </c>
      <c r="O7" s="48" t="s">
        <v>51</v>
      </c>
      <c r="P7" s="48" t="s">
        <v>29</v>
      </c>
      <c r="Q7" s="48" t="s">
        <v>53</v>
      </c>
      <c r="R7" s="58">
        <v>0.0</v>
      </c>
      <c r="S7" s="58">
        <v>38729.67</v>
      </c>
      <c r="T7" s="48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</row>
    <row r="8" ht="15.75" customHeight="1">
      <c r="A8" s="47"/>
      <c r="B8" s="51">
        <v>43221.0</v>
      </c>
      <c r="C8" s="48" t="s">
        <v>20</v>
      </c>
      <c r="D8" s="48" t="s">
        <v>21</v>
      </c>
      <c r="E8" s="48" t="s">
        <v>21</v>
      </c>
      <c r="F8" s="48" t="s">
        <v>65</v>
      </c>
      <c r="G8" s="58">
        <v>50000.0</v>
      </c>
      <c r="H8" s="59">
        <v>0.0</v>
      </c>
      <c r="I8" s="49"/>
      <c r="J8" s="49"/>
      <c r="K8" s="48"/>
      <c r="L8" s="48">
        <v>0.0</v>
      </c>
      <c r="M8" s="48" t="s">
        <v>37</v>
      </c>
      <c r="N8" s="48" t="s">
        <v>42</v>
      </c>
      <c r="O8" s="48" t="s">
        <v>51</v>
      </c>
      <c r="P8" s="48" t="s">
        <v>29</v>
      </c>
      <c r="Q8" s="48" t="s">
        <v>54</v>
      </c>
      <c r="R8" s="58">
        <v>0.0</v>
      </c>
      <c r="S8" s="58">
        <v>0.0</v>
      </c>
      <c r="T8" s="48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</row>
    <row r="9" ht="15.75" customHeight="1">
      <c r="A9" s="47"/>
      <c r="B9" s="51">
        <v>43221.0</v>
      </c>
      <c r="C9" s="48" t="s">
        <v>20</v>
      </c>
      <c r="D9" s="48" t="s">
        <v>21</v>
      </c>
      <c r="E9" s="48" t="s">
        <v>21</v>
      </c>
      <c r="F9" s="48" t="s">
        <v>43</v>
      </c>
      <c r="G9" s="61">
        <v>0.0</v>
      </c>
      <c r="H9" s="58">
        <v>50000.0</v>
      </c>
      <c r="I9" s="49"/>
      <c r="J9" s="49"/>
      <c r="K9" s="48"/>
      <c r="L9" s="48">
        <v>0.0</v>
      </c>
      <c r="M9" s="48" t="s">
        <v>37</v>
      </c>
      <c r="N9" s="48" t="s">
        <v>44</v>
      </c>
      <c r="O9" s="48" t="s">
        <v>51</v>
      </c>
      <c r="P9" s="48" t="s">
        <v>29</v>
      </c>
      <c r="Q9" s="48" t="s">
        <v>54</v>
      </c>
      <c r="R9" s="58">
        <v>0.0</v>
      </c>
      <c r="S9" s="58">
        <v>0.0</v>
      </c>
      <c r="T9" s="48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</row>
    <row r="10" ht="15.75" customHeight="1">
      <c r="A10" s="47"/>
      <c r="B10" s="51">
        <v>43221.0</v>
      </c>
      <c r="C10" s="48" t="s">
        <v>20</v>
      </c>
      <c r="D10" s="48" t="s">
        <v>19</v>
      </c>
      <c r="E10" s="48" t="s">
        <v>21</v>
      </c>
      <c r="F10" s="48" t="s">
        <v>65</v>
      </c>
      <c r="G10" s="58">
        <v>40000.0</v>
      </c>
      <c r="H10" s="59">
        <v>0.0</v>
      </c>
      <c r="I10" s="49"/>
      <c r="J10" s="49"/>
      <c r="K10" s="48"/>
      <c r="L10" s="48">
        <v>2.1</v>
      </c>
      <c r="M10" s="48" t="s">
        <v>37</v>
      </c>
      <c r="N10" s="48" t="s">
        <v>42</v>
      </c>
      <c r="O10" s="48" t="s">
        <v>51</v>
      </c>
      <c r="P10" s="48" t="s">
        <v>29</v>
      </c>
      <c r="Q10" s="48" t="s">
        <v>55</v>
      </c>
      <c r="R10" s="58">
        <v>84000.0</v>
      </c>
      <c r="S10" s="58">
        <v>0.0</v>
      </c>
      <c r="T10" s="48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</row>
    <row r="11" ht="15.75" customHeight="1">
      <c r="A11" s="47"/>
      <c r="B11" s="51">
        <v>43221.0</v>
      </c>
      <c r="C11" s="48" t="s">
        <v>20</v>
      </c>
      <c r="D11" s="48" t="s">
        <v>19</v>
      </c>
      <c r="E11" s="48" t="s">
        <v>21</v>
      </c>
      <c r="F11" s="48" t="s">
        <v>43</v>
      </c>
      <c r="G11" s="61">
        <v>0.0</v>
      </c>
      <c r="H11" s="58">
        <v>40000.0</v>
      </c>
      <c r="I11" s="49"/>
      <c r="J11" s="49"/>
      <c r="K11" s="48"/>
      <c r="L11" s="48">
        <v>2.1</v>
      </c>
      <c r="M11" s="48" t="s">
        <v>37</v>
      </c>
      <c r="N11" s="48" t="s">
        <v>44</v>
      </c>
      <c r="O11" s="48" t="s">
        <v>51</v>
      </c>
      <c r="P11" s="48" t="s">
        <v>29</v>
      </c>
      <c r="Q11" s="48" t="s">
        <v>55</v>
      </c>
      <c r="R11" s="58">
        <v>0.0</v>
      </c>
      <c r="S11" s="58">
        <v>84000.0</v>
      </c>
      <c r="T11" s="48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</row>
    <row r="12" ht="15.75" customHeight="1">
      <c r="A12" s="47"/>
      <c r="B12" s="51">
        <v>43221.0</v>
      </c>
      <c r="C12" s="48" t="s">
        <v>20</v>
      </c>
      <c r="D12" s="48" t="s">
        <v>19</v>
      </c>
      <c r="E12" s="48" t="s">
        <v>21</v>
      </c>
      <c r="F12" s="48" t="s">
        <v>43</v>
      </c>
      <c r="G12" s="58">
        <v>40000.0</v>
      </c>
      <c r="H12" s="59">
        <v>0.0</v>
      </c>
      <c r="I12" s="49"/>
      <c r="J12" s="49"/>
      <c r="K12" s="48"/>
      <c r="L12" s="48">
        <v>0.7745933384973</v>
      </c>
      <c r="M12" s="48" t="s">
        <v>37</v>
      </c>
      <c r="N12" s="48" t="s">
        <v>42</v>
      </c>
      <c r="O12" s="48" t="s">
        <v>51</v>
      </c>
      <c r="P12" s="48" t="s">
        <v>29</v>
      </c>
      <c r="Q12" s="48" t="s">
        <v>56</v>
      </c>
      <c r="R12" s="58">
        <v>30983.73</v>
      </c>
      <c r="S12" s="58">
        <v>0.0</v>
      </c>
      <c r="T12" s="48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</row>
    <row r="13" ht="15.75" customHeight="1">
      <c r="A13" s="47"/>
      <c r="B13" s="51">
        <v>43221.0</v>
      </c>
      <c r="C13" s="48" t="s">
        <v>20</v>
      </c>
      <c r="D13" s="48" t="s">
        <v>19</v>
      </c>
      <c r="E13" s="48" t="s">
        <v>21</v>
      </c>
      <c r="F13" s="48" t="s">
        <v>65</v>
      </c>
      <c r="G13" s="61">
        <v>0.0</v>
      </c>
      <c r="H13" s="58">
        <v>40000.0</v>
      </c>
      <c r="I13" s="49"/>
      <c r="J13" s="49"/>
      <c r="K13" s="48"/>
      <c r="L13" s="48">
        <v>0.7745933384973</v>
      </c>
      <c r="M13" s="48" t="s">
        <v>37</v>
      </c>
      <c r="N13" s="48" t="s">
        <v>44</v>
      </c>
      <c r="O13" s="48" t="s">
        <v>51</v>
      </c>
      <c r="P13" s="48" t="s">
        <v>29</v>
      </c>
      <c r="Q13" s="48" t="s">
        <v>56</v>
      </c>
      <c r="R13" s="58">
        <v>0.0</v>
      </c>
      <c r="S13" s="58">
        <v>30983.73</v>
      </c>
      <c r="T13" s="48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</row>
    <row r="14" ht="15.75" customHeight="1">
      <c r="A14" s="47"/>
      <c r="B14" s="51">
        <v>43222.0</v>
      </c>
      <c r="C14" s="48" t="s">
        <v>20</v>
      </c>
      <c r="D14" s="48" t="s">
        <v>21</v>
      </c>
      <c r="E14" s="48" t="s">
        <v>21</v>
      </c>
      <c r="F14" s="48" t="s">
        <v>43</v>
      </c>
      <c r="G14" s="58">
        <v>90000.0</v>
      </c>
      <c r="H14" s="59">
        <v>0.0</v>
      </c>
      <c r="I14" s="49"/>
      <c r="J14" s="49"/>
      <c r="K14" s="48"/>
      <c r="L14" s="48">
        <v>0.7739938080495</v>
      </c>
      <c r="M14" s="48" t="s">
        <v>37</v>
      </c>
      <c r="N14" s="48" t="s">
        <v>42</v>
      </c>
      <c r="O14" s="48" t="s">
        <v>51</v>
      </c>
      <c r="P14" s="48" t="s">
        <v>29</v>
      </c>
      <c r="Q14" s="48" t="s">
        <v>53</v>
      </c>
      <c r="R14" s="58">
        <v>69659.44</v>
      </c>
      <c r="S14" s="58">
        <v>0.0</v>
      </c>
      <c r="T14" s="48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</row>
    <row r="15" ht="15.75" customHeight="1">
      <c r="A15" s="47"/>
      <c r="B15" s="51">
        <v>43222.0</v>
      </c>
      <c r="C15" s="48" t="s">
        <v>20</v>
      </c>
      <c r="D15" s="48" t="s">
        <v>21</v>
      </c>
      <c r="E15" s="48" t="s">
        <v>21</v>
      </c>
      <c r="F15" s="48" t="s">
        <v>65</v>
      </c>
      <c r="G15" s="61">
        <v>0.0</v>
      </c>
      <c r="H15" s="58">
        <v>90000.0</v>
      </c>
      <c r="I15" s="49"/>
      <c r="J15" s="49"/>
      <c r="K15" s="48"/>
      <c r="L15" s="48">
        <v>0.7739938080495</v>
      </c>
      <c r="M15" s="48" t="s">
        <v>37</v>
      </c>
      <c r="N15" s="48" t="s">
        <v>44</v>
      </c>
      <c r="O15" s="48" t="s">
        <v>51</v>
      </c>
      <c r="P15" s="48" t="s">
        <v>29</v>
      </c>
      <c r="Q15" s="48" t="s">
        <v>53</v>
      </c>
      <c r="R15" s="58">
        <v>0.0</v>
      </c>
      <c r="S15" s="58">
        <v>69659.44</v>
      </c>
      <c r="T15" s="48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</row>
    <row r="16" ht="15.75" customHeight="1">
      <c r="A16" s="47"/>
      <c r="B16" s="51">
        <v>43222.0</v>
      </c>
      <c r="C16" s="48" t="s">
        <v>20</v>
      </c>
      <c r="D16" s="48" t="s">
        <v>21</v>
      </c>
      <c r="E16" s="48" t="s">
        <v>21</v>
      </c>
      <c r="F16" s="48" t="s">
        <v>65</v>
      </c>
      <c r="G16" s="58">
        <v>90000.0</v>
      </c>
      <c r="H16" s="59">
        <v>0.0</v>
      </c>
      <c r="I16" s="49"/>
      <c r="J16" s="49"/>
      <c r="K16" s="48"/>
      <c r="L16" s="48">
        <v>0.7745933384973</v>
      </c>
      <c r="M16" s="48" t="s">
        <v>37</v>
      </c>
      <c r="N16" s="48" t="s">
        <v>42</v>
      </c>
      <c r="O16" s="48" t="s">
        <v>51</v>
      </c>
      <c r="P16" s="48" t="s">
        <v>29</v>
      </c>
      <c r="Q16" s="48" t="s">
        <v>54</v>
      </c>
      <c r="R16" s="58">
        <v>69713.4</v>
      </c>
      <c r="S16" s="58">
        <v>0.0</v>
      </c>
      <c r="T16" s="48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</row>
    <row r="17" ht="15.75" customHeight="1">
      <c r="A17" s="47"/>
      <c r="B17" s="51">
        <v>43222.0</v>
      </c>
      <c r="C17" s="48" t="s">
        <v>20</v>
      </c>
      <c r="D17" s="48" t="s">
        <v>21</v>
      </c>
      <c r="E17" s="48" t="s">
        <v>21</v>
      </c>
      <c r="F17" s="48" t="s">
        <v>43</v>
      </c>
      <c r="G17" s="61">
        <v>0.0</v>
      </c>
      <c r="H17" s="58">
        <v>90000.0</v>
      </c>
      <c r="I17" s="49"/>
      <c r="J17" s="49"/>
      <c r="K17" s="48"/>
      <c r="L17" s="48">
        <v>0.7745933384973</v>
      </c>
      <c r="M17" s="48" t="s">
        <v>37</v>
      </c>
      <c r="N17" s="48" t="s">
        <v>44</v>
      </c>
      <c r="O17" s="48" t="s">
        <v>51</v>
      </c>
      <c r="P17" s="48" t="s">
        <v>29</v>
      </c>
      <c r="Q17" s="48" t="s">
        <v>54</v>
      </c>
      <c r="R17" s="58">
        <v>0.0</v>
      </c>
      <c r="S17" s="58">
        <v>69713.4</v>
      </c>
      <c r="T17" s="48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</row>
    <row r="18" ht="15.75" customHeight="1">
      <c r="A18" s="47"/>
      <c r="B18" s="51">
        <v>43223.0</v>
      </c>
      <c r="C18" s="48" t="s">
        <v>20</v>
      </c>
      <c r="D18" s="48" t="s">
        <v>21</v>
      </c>
      <c r="E18" s="48" t="s">
        <v>21</v>
      </c>
      <c r="F18" s="48" t="s">
        <v>43</v>
      </c>
      <c r="G18" s="58">
        <v>90000.0</v>
      </c>
      <c r="H18" s="59">
        <v>0.0</v>
      </c>
      <c r="I18" s="49"/>
      <c r="J18" s="49"/>
      <c r="K18" s="48"/>
      <c r="L18" s="48">
        <v>0.7733952049497</v>
      </c>
      <c r="M18" s="48" t="s">
        <v>37</v>
      </c>
      <c r="N18" s="48" t="s">
        <v>42</v>
      </c>
      <c r="O18" s="48" t="s">
        <v>51</v>
      </c>
      <c r="P18" s="48" t="s">
        <v>29</v>
      </c>
      <c r="Q18" s="48" t="s">
        <v>53</v>
      </c>
      <c r="R18" s="58">
        <v>69605.57</v>
      </c>
      <c r="S18" s="58">
        <v>0.0</v>
      </c>
      <c r="T18" s="48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</row>
    <row r="19" ht="15.75" customHeight="1">
      <c r="A19" s="47"/>
      <c r="B19" s="51">
        <v>43223.0</v>
      </c>
      <c r="C19" s="48" t="s">
        <v>20</v>
      </c>
      <c r="D19" s="48" t="s">
        <v>21</v>
      </c>
      <c r="E19" s="48" t="s">
        <v>21</v>
      </c>
      <c r="F19" s="48" t="s">
        <v>65</v>
      </c>
      <c r="G19" s="61">
        <v>0.0</v>
      </c>
      <c r="H19" s="58">
        <v>90000.0</v>
      </c>
      <c r="I19" s="49"/>
      <c r="J19" s="49"/>
      <c r="K19" s="48"/>
      <c r="L19" s="48">
        <v>0.7733952049497</v>
      </c>
      <c r="M19" s="48" t="s">
        <v>37</v>
      </c>
      <c r="N19" s="48" t="s">
        <v>44</v>
      </c>
      <c r="O19" s="48" t="s">
        <v>51</v>
      </c>
      <c r="P19" s="48" t="s">
        <v>29</v>
      </c>
      <c r="Q19" s="48" t="s">
        <v>53</v>
      </c>
      <c r="R19" s="58">
        <v>0.0</v>
      </c>
      <c r="S19" s="58">
        <v>69605.57</v>
      </c>
      <c r="T19" s="48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</row>
    <row r="20" ht="15.75" customHeight="1">
      <c r="A20" s="47"/>
      <c r="B20" s="51">
        <v>43223.0</v>
      </c>
      <c r="C20" s="48" t="s">
        <v>20</v>
      </c>
      <c r="D20" s="48" t="s">
        <v>21</v>
      </c>
      <c r="E20" s="48" t="s">
        <v>21</v>
      </c>
      <c r="F20" s="48" t="s">
        <v>65</v>
      </c>
      <c r="G20" s="58">
        <v>90000.0</v>
      </c>
      <c r="H20" s="59">
        <v>0.0</v>
      </c>
      <c r="I20" s="49"/>
      <c r="J20" s="49"/>
      <c r="K20" s="48"/>
      <c r="L20" s="48">
        <v>0.7739938080495</v>
      </c>
      <c r="M20" s="48" t="s">
        <v>37</v>
      </c>
      <c r="N20" s="48" t="s">
        <v>42</v>
      </c>
      <c r="O20" s="48" t="s">
        <v>51</v>
      </c>
      <c r="P20" s="48" t="s">
        <v>29</v>
      </c>
      <c r="Q20" s="48" t="s">
        <v>54</v>
      </c>
      <c r="R20" s="58">
        <v>69659.44</v>
      </c>
      <c r="S20" s="58">
        <v>0.0</v>
      </c>
      <c r="T20" s="48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</row>
    <row r="21" ht="15.75" customHeight="1">
      <c r="A21" s="47"/>
      <c r="B21" s="51">
        <v>43223.0</v>
      </c>
      <c r="C21" s="48" t="s">
        <v>20</v>
      </c>
      <c r="D21" s="48" t="s">
        <v>21</v>
      </c>
      <c r="E21" s="48" t="s">
        <v>21</v>
      </c>
      <c r="F21" s="48" t="s">
        <v>43</v>
      </c>
      <c r="G21" s="61">
        <v>0.0</v>
      </c>
      <c r="H21" s="58">
        <v>90000.0</v>
      </c>
      <c r="I21" s="49"/>
      <c r="J21" s="49"/>
      <c r="K21" s="48"/>
      <c r="L21" s="48">
        <v>0.7739938080495</v>
      </c>
      <c r="M21" s="48" t="s">
        <v>37</v>
      </c>
      <c r="N21" s="48" t="s">
        <v>44</v>
      </c>
      <c r="O21" s="48" t="s">
        <v>51</v>
      </c>
      <c r="P21" s="48" t="s">
        <v>29</v>
      </c>
      <c r="Q21" s="48" t="s">
        <v>54</v>
      </c>
      <c r="R21" s="58">
        <v>0.0</v>
      </c>
      <c r="S21" s="58">
        <v>69659.44</v>
      </c>
      <c r="T21" s="48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</row>
    <row r="22" ht="15.75" customHeight="1">
      <c r="A22" s="47"/>
      <c r="B22" s="51">
        <v>43223.0</v>
      </c>
      <c r="C22" s="48" t="s">
        <v>20</v>
      </c>
      <c r="D22" s="48" t="s">
        <v>19</v>
      </c>
      <c r="E22" s="48" t="s">
        <v>21</v>
      </c>
      <c r="F22" s="48" t="s">
        <v>66</v>
      </c>
      <c r="G22" s="58">
        <v>50000.0</v>
      </c>
      <c r="H22" s="59">
        <v>0.0</v>
      </c>
      <c r="I22" s="49"/>
      <c r="J22" s="49"/>
      <c r="K22" s="48"/>
      <c r="L22" s="48">
        <v>1.3</v>
      </c>
      <c r="M22" s="48" t="s">
        <v>37</v>
      </c>
      <c r="N22" s="48" t="s">
        <v>42</v>
      </c>
      <c r="O22" s="48" t="s">
        <v>51</v>
      </c>
      <c r="P22" s="48" t="s">
        <v>29</v>
      </c>
      <c r="Q22" s="48" t="s">
        <v>58</v>
      </c>
      <c r="R22" s="58">
        <v>65000.0</v>
      </c>
      <c r="S22" s="58">
        <v>0.0</v>
      </c>
      <c r="T22" s="48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</row>
    <row r="23" ht="15.75" customHeight="1">
      <c r="A23" s="47"/>
      <c r="B23" s="51">
        <v>43223.0</v>
      </c>
      <c r="C23" s="48" t="s">
        <v>20</v>
      </c>
      <c r="D23" s="48" t="s">
        <v>19</v>
      </c>
      <c r="E23" s="48" t="s">
        <v>21</v>
      </c>
      <c r="F23" s="48" t="s">
        <v>41</v>
      </c>
      <c r="G23" s="61">
        <v>0.0</v>
      </c>
      <c r="H23" s="58">
        <v>50000.0</v>
      </c>
      <c r="I23" s="49"/>
      <c r="J23" s="49"/>
      <c r="K23" s="48"/>
      <c r="L23" s="48">
        <v>1.3</v>
      </c>
      <c r="M23" s="48" t="s">
        <v>37</v>
      </c>
      <c r="N23" s="48" t="s">
        <v>44</v>
      </c>
      <c r="O23" s="48" t="s">
        <v>51</v>
      </c>
      <c r="P23" s="48" t="s">
        <v>29</v>
      </c>
      <c r="Q23" s="48" t="s">
        <v>58</v>
      </c>
      <c r="R23" s="58">
        <v>0.0</v>
      </c>
      <c r="S23" s="58">
        <v>65000.0</v>
      </c>
      <c r="T23" s="48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</row>
    <row r="24" ht="15.75" customHeight="1">
      <c r="A24" s="47"/>
      <c r="B24" s="51">
        <v>43223.0</v>
      </c>
      <c r="C24" s="48" t="s">
        <v>20</v>
      </c>
      <c r="D24" s="48" t="s">
        <v>19</v>
      </c>
      <c r="E24" s="48" t="s">
        <v>21</v>
      </c>
      <c r="F24" s="48" t="s">
        <v>41</v>
      </c>
      <c r="G24" s="58">
        <v>50000.0</v>
      </c>
      <c r="H24" s="59">
        <v>0.0</v>
      </c>
      <c r="I24" s="49"/>
      <c r="J24" s="49"/>
      <c r="K24" s="48"/>
      <c r="L24" s="48">
        <v>0.7733952049497</v>
      </c>
      <c r="M24" s="48" t="s">
        <v>37</v>
      </c>
      <c r="N24" s="48" t="s">
        <v>42</v>
      </c>
      <c r="O24" s="48" t="s">
        <v>51</v>
      </c>
      <c r="P24" s="48" t="s">
        <v>29</v>
      </c>
      <c r="Q24" s="48" t="s">
        <v>59</v>
      </c>
      <c r="R24" s="58">
        <v>38669.76</v>
      </c>
      <c r="S24" s="58">
        <v>0.0</v>
      </c>
      <c r="T24" s="48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</row>
    <row r="25" ht="15.75" customHeight="1">
      <c r="A25" s="47"/>
      <c r="B25" s="51">
        <v>43223.0</v>
      </c>
      <c r="C25" s="48" t="s">
        <v>20</v>
      </c>
      <c r="D25" s="48" t="s">
        <v>19</v>
      </c>
      <c r="E25" s="48" t="s">
        <v>21</v>
      </c>
      <c r="F25" s="48" t="s">
        <v>66</v>
      </c>
      <c r="G25" s="61">
        <v>0.0</v>
      </c>
      <c r="H25" s="58">
        <v>50000.0</v>
      </c>
      <c r="I25" s="49"/>
      <c r="J25" s="49"/>
      <c r="K25" s="48"/>
      <c r="L25" s="48">
        <v>0.7733952049497</v>
      </c>
      <c r="M25" s="48" t="s">
        <v>37</v>
      </c>
      <c r="N25" s="48" t="s">
        <v>44</v>
      </c>
      <c r="O25" s="48" t="s">
        <v>51</v>
      </c>
      <c r="P25" s="48" t="s">
        <v>29</v>
      </c>
      <c r="Q25" s="48" t="s">
        <v>59</v>
      </c>
      <c r="R25" s="58">
        <v>0.0</v>
      </c>
      <c r="S25" s="58">
        <v>38669.76</v>
      </c>
      <c r="T25" s="48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</row>
    <row r="26" ht="15.75" customHeight="1">
      <c r="A26" s="47"/>
      <c r="B26" s="51">
        <v>43223.0</v>
      </c>
      <c r="C26" s="48" t="s">
        <v>20</v>
      </c>
      <c r="D26" s="48" t="s">
        <v>19</v>
      </c>
      <c r="E26" s="48" t="s">
        <v>21</v>
      </c>
      <c r="F26" s="48" t="s">
        <v>43</v>
      </c>
      <c r="G26" s="58">
        <v>50000.0</v>
      </c>
      <c r="H26" s="59">
        <v>0.0</v>
      </c>
      <c r="I26" s="49"/>
      <c r="J26" s="49"/>
      <c r="K26" s="48"/>
      <c r="L26" s="48">
        <v>1.3</v>
      </c>
      <c r="M26" s="48" t="s">
        <v>37</v>
      </c>
      <c r="N26" s="48" t="s">
        <v>42</v>
      </c>
      <c r="O26" s="48" t="s">
        <v>51</v>
      </c>
      <c r="P26" s="48" t="s">
        <v>29</v>
      </c>
      <c r="Q26" s="48" t="s">
        <v>55</v>
      </c>
      <c r="R26" s="58">
        <v>65000.0</v>
      </c>
      <c r="S26" s="58">
        <v>0.0</v>
      </c>
      <c r="T26" s="48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</row>
    <row r="27" ht="15.75" customHeight="1">
      <c r="A27" s="47"/>
      <c r="B27" s="51">
        <v>43223.0</v>
      </c>
      <c r="C27" s="48" t="s">
        <v>20</v>
      </c>
      <c r="D27" s="48" t="s">
        <v>19</v>
      </c>
      <c r="E27" s="48" t="s">
        <v>21</v>
      </c>
      <c r="F27" s="48" t="s">
        <v>65</v>
      </c>
      <c r="G27" s="61">
        <v>0.0</v>
      </c>
      <c r="H27" s="58">
        <v>50000.0</v>
      </c>
      <c r="I27" s="49"/>
      <c r="J27" s="49"/>
      <c r="K27" s="48"/>
      <c r="L27" s="48">
        <v>1.3</v>
      </c>
      <c r="M27" s="48" t="s">
        <v>37</v>
      </c>
      <c r="N27" s="48" t="s">
        <v>44</v>
      </c>
      <c r="O27" s="48" t="s">
        <v>51</v>
      </c>
      <c r="P27" s="48" t="s">
        <v>29</v>
      </c>
      <c r="Q27" s="48" t="s">
        <v>55</v>
      </c>
      <c r="R27" s="58">
        <v>0.0</v>
      </c>
      <c r="S27" s="58">
        <v>65000.0</v>
      </c>
      <c r="T27" s="48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</row>
    <row r="28" ht="15.75" customHeight="1">
      <c r="A28" s="47"/>
      <c r="B28" s="51">
        <v>43223.0</v>
      </c>
      <c r="C28" s="48" t="s">
        <v>20</v>
      </c>
      <c r="D28" s="48" t="s">
        <v>19</v>
      </c>
      <c r="E28" s="48" t="s">
        <v>21</v>
      </c>
      <c r="F28" s="48" t="s">
        <v>65</v>
      </c>
      <c r="G28" s="58">
        <v>50000.0</v>
      </c>
      <c r="H28" s="59">
        <v>0.0</v>
      </c>
      <c r="I28" s="49"/>
      <c r="J28" s="49"/>
      <c r="K28" s="48"/>
      <c r="L28" s="48">
        <v>0.7733952049497</v>
      </c>
      <c r="M28" s="48" t="s">
        <v>37</v>
      </c>
      <c r="N28" s="48" t="s">
        <v>42</v>
      </c>
      <c r="O28" s="48" t="s">
        <v>51</v>
      </c>
      <c r="P28" s="48" t="s">
        <v>29</v>
      </c>
      <c r="Q28" s="48" t="s">
        <v>60</v>
      </c>
      <c r="R28" s="58">
        <v>38669.76</v>
      </c>
      <c r="S28" s="58">
        <v>0.0</v>
      </c>
      <c r="T28" s="48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</row>
    <row r="29" ht="15.75" customHeight="1">
      <c r="A29" s="47"/>
      <c r="B29" s="51">
        <v>43223.0</v>
      </c>
      <c r="C29" s="48" t="s">
        <v>20</v>
      </c>
      <c r="D29" s="48" t="s">
        <v>19</v>
      </c>
      <c r="E29" s="48" t="s">
        <v>21</v>
      </c>
      <c r="F29" s="48" t="s">
        <v>43</v>
      </c>
      <c r="G29" s="61">
        <v>0.0</v>
      </c>
      <c r="H29" s="58">
        <v>50000.0</v>
      </c>
      <c r="I29" s="49"/>
      <c r="J29" s="49"/>
      <c r="K29" s="48"/>
      <c r="L29" s="48">
        <v>0.7733952049497</v>
      </c>
      <c r="M29" s="48" t="s">
        <v>37</v>
      </c>
      <c r="N29" s="48" t="s">
        <v>44</v>
      </c>
      <c r="O29" s="48" t="s">
        <v>51</v>
      </c>
      <c r="P29" s="48" t="s">
        <v>29</v>
      </c>
      <c r="Q29" s="48" t="s">
        <v>60</v>
      </c>
      <c r="R29" s="58">
        <v>0.0</v>
      </c>
      <c r="S29" s="58">
        <v>38669.76</v>
      </c>
      <c r="T29" s="48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</row>
    <row r="30" ht="15.75" customHeight="1">
      <c r="A30" s="47"/>
      <c r="B30" s="51">
        <v>43224.0</v>
      </c>
      <c r="C30" s="48" t="s">
        <v>20</v>
      </c>
      <c r="D30" s="48" t="s">
        <v>21</v>
      </c>
      <c r="E30" s="48" t="s">
        <v>21</v>
      </c>
      <c r="F30" s="48" t="s">
        <v>41</v>
      </c>
      <c r="G30" s="58">
        <v>50000.0</v>
      </c>
      <c r="H30" s="59">
        <v>0.0</v>
      </c>
      <c r="I30" s="49"/>
      <c r="J30" s="49"/>
      <c r="K30" s="48"/>
      <c r="L30" s="48">
        <v>0.7727975270479</v>
      </c>
      <c r="M30" s="48" t="s">
        <v>37</v>
      </c>
      <c r="N30" s="48" t="s">
        <v>42</v>
      </c>
      <c r="O30" s="48" t="s">
        <v>51</v>
      </c>
      <c r="P30" s="48" t="s">
        <v>29</v>
      </c>
      <c r="Q30" s="48" t="s">
        <v>61</v>
      </c>
      <c r="R30" s="58">
        <v>38639.88</v>
      </c>
      <c r="S30" s="58">
        <v>0.0</v>
      </c>
      <c r="T30" s="48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</row>
    <row r="31" ht="15.75" customHeight="1">
      <c r="A31" s="47"/>
      <c r="B31" s="51">
        <v>43224.0</v>
      </c>
      <c r="C31" s="48" t="s">
        <v>20</v>
      </c>
      <c r="D31" s="48" t="s">
        <v>21</v>
      </c>
      <c r="E31" s="48" t="s">
        <v>21</v>
      </c>
      <c r="F31" s="48" t="s">
        <v>66</v>
      </c>
      <c r="G31" s="61">
        <v>0.0</v>
      </c>
      <c r="H31" s="58">
        <v>50000.0</v>
      </c>
      <c r="I31" s="49"/>
      <c r="J31" s="49"/>
      <c r="K31" s="48"/>
      <c r="L31" s="48">
        <v>0.7727975270479</v>
      </c>
      <c r="M31" s="48" t="s">
        <v>37</v>
      </c>
      <c r="N31" s="48" t="s">
        <v>44</v>
      </c>
      <c r="O31" s="48" t="s">
        <v>51</v>
      </c>
      <c r="P31" s="48" t="s">
        <v>29</v>
      </c>
      <c r="Q31" s="48" t="s">
        <v>61</v>
      </c>
      <c r="R31" s="58">
        <v>0.0</v>
      </c>
      <c r="S31" s="58">
        <v>38639.88</v>
      </c>
      <c r="T31" s="48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</row>
    <row r="32" ht="15.75" customHeight="1">
      <c r="A32" s="47"/>
      <c r="B32" s="51">
        <v>43224.0</v>
      </c>
      <c r="C32" s="48" t="s">
        <v>20</v>
      </c>
      <c r="D32" s="48" t="s">
        <v>21</v>
      </c>
      <c r="E32" s="48" t="s">
        <v>21</v>
      </c>
      <c r="F32" s="48" t="s">
        <v>66</v>
      </c>
      <c r="G32" s="58">
        <v>50000.0</v>
      </c>
      <c r="H32" s="59">
        <v>0.0</v>
      </c>
      <c r="I32" s="49"/>
      <c r="J32" s="49"/>
      <c r="K32" s="48"/>
      <c r="L32" s="48">
        <v>0.7733952049497</v>
      </c>
      <c r="M32" s="48" t="s">
        <v>37</v>
      </c>
      <c r="N32" s="48" t="s">
        <v>42</v>
      </c>
      <c r="O32" s="48" t="s">
        <v>51</v>
      </c>
      <c r="P32" s="48" t="s">
        <v>29</v>
      </c>
      <c r="Q32" s="48" t="s">
        <v>62</v>
      </c>
      <c r="R32" s="58">
        <v>38669.76</v>
      </c>
      <c r="S32" s="58">
        <v>0.0</v>
      </c>
      <c r="T32" s="48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</row>
    <row r="33" ht="15.75" customHeight="1">
      <c r="A33" s="47"/>
      <c r="B33" s="51">
        <v>43224.0</v>
      </c>
      <c r="C33" s="48" t="s">
        <v>20</v>
      </c>
      <c r="D33" s="48" t="s">
        <v>21</v>
      </c>
      <c r="E33" s="48" t="s">
        <v>21</v>
      </c>
      <c r="F33" s="48" t="s">
        <v>41</v>
      </c>
      <c r="G33" s="61">
        <v>0.0</v>
      </c>
      <c r="H33" s="58">
        <v>50000.0</v>
      </c>
      <c r="I33" s="49"/>
      <c r="J33" s="49"/>
      <c r="K33" s="48"/>
      <c r="L33" s="48">
        <v>0.7733952049497</v>
      </c>
      <c r="M33" s="48" t="s">
        <v>37</v>
      </c>
      <c r="N33" s="48" t="s">
        <v>44</v>
      </c>
      <c r="O33" s="48" t="s">
        <v>51</v>
      </c>
      <c r="P33" s="48" t="s">
        <v>29</v>
      </c>
      <c r="Q33" s="48" t="s">
        <v>62</v>
      </c>
      <c r="R33" s="58">
        <v>0.0</v>
      </c>
      <c r="S33" s="58">
        <v>38669.76</v>
      </c>
      <c r="T33" s="48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</row>
    <row r="34" ht="15.75" customHeight="1">
      <c r="A34" s="47"/>
      <c r="B34" s="51">
        <v>43224.0</v>
      </c>
      <c r="C34" s="48" t="s">
        <v>20</v>
      </c>
      <c r="D34" s="48" t="s">
        <v>21</v>
      </c>
      <c r="E34" s="48" t="s">
        <v>21</v>
      </c>
      <c r="F34" s="48" t="s">
        <v>43</v>
      </c>
      <c r="G34" s="58">
        <v>40000.0</v>
      </c>
      <c r="H34" s="59">
        <v>0.0</v>
      </c>
      <c r="I34" s="49"/>
      <c r="J34" s="49"/>
      <c r="K34" s="48"/>
      <c r="L34" s="48">
        <v>0.7727975270479</v>
      </c>
      <c r="M34" s="48" t="s">
        <v>37</v>
      </c>
      <c r="N34" s="48" t="s">
        <v>42</v>
      </c>
      <c r="O34" s="48" t="s">
        <v>51</v>
      </c>
      <c r="P34" s="48" t="s">
        <v>29</v>
      </c>
      <c r="Q34" s="48" t="s">
        <v>53</v>
      </c>
      <c r="R34" s="58">
        <v>30911.9</v>
      </c>
      <c r="S34" s="58">
        <v>0.0</v>
      </c>
      <c r="T34" s="48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</row>
    <row r="35" ht="15.75" customHeight="1">
      <c r="A35" s="47"/>
      <c r="B35" s="51">
        <v>43224.0</v>
      </c>
      <c r="C35" s="48" t="s">
        <v>20</v>
      </c>
      <c r="D35" s="48" t="s">
        <v>21</v>
      </c>
      <c r="E35" s="48" t="s">
        <v>21</v>
      </c>
      <c r="F35" s="48" t="s">
        <v>65</v>
      </c>
      <c r="G35" s="61">
        <v>0.0</v>
      </c>
      <c r="H35" s="58">
        <v>40000.0</v>
      </c>
      <c r="I35" s="49"/>
      <c r="J35" s="49"/>
      <c r="K35" s="48"/>
      <c r="L35" s="48">
        <v>0.7727975270479</v>
      </c>
      <c r="M35" s="48" t="s">
        <v>37</v>
      </c>
      <c r="N35" s="48" t="s">
        <v>44</v>
      </c>
      <c r="O35" s="48" t="s">
        <v>51</v>
      </c>
      <c r="P35" s="48" t="s">
        <v>29</v>
      </c>
      <c r="Q35" s="48" t="s">
        <v>53</v>
      </c>
      <c r="R35" s="58">
        <v>0.0</v>
      </c>
      <c r="S35" s="58">
        <v>30911.9</v>
      </c>
      <c r="T35" s="48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</row>
    <row r="36" ht="15.75" customHeight="1">
      <c r="A36" s="47"/>
      <c r="B36" s="51">
        <v>43224.0</v>
      </c>
      <c r="C36" s="48" t="s">
        <v>20</v>
      </c>
      <c r="D36" s="48" t="s">
        <v>21</v>
      </c>
      <c r="E36" s="48" t="s">
        <v>21</v>
      </c>
      <c r="F36" s="48" t="s">
        <v>65</v>
      </c>
      <c r="G36" s="58">
        <v>40000.0</v>
      </c>
      <c r="H36" s="59">
        <v>0.0</v>
      </c>
      <c r="I36" s="49"/>
      <c r="J36" s="49"/>
      <c r="K36" s="48"/>
      <c r="L36" s="48">
        <v>0.7733952049497</v>
      </c>
      <c r="M36" s="48" t="s">
        <v>37</v>
      </c>
      <c r="N36" s="48" t="s">
        <v>42</v>
      </c>
      <c r="O36" s="48" t="s">
        <v>51</v>
      </c>
      <c r="P36" s="48" t="s">
        <v>29</v>
      </c>
      <c r="Q36" s="48" t="s">
        <v>54</v>
      </c>
      <c r="R36" s="58">
        <v>30935.81</v>
      </c>
      <c r="S36" s="58">
        <v>0.0</v>
      </c>
      <c r="T36" s="48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</row>
    <row r="37" ht="15.75" customHeight="1">
      <c r="A37" s="47"/>
      <c r="B37" s="51">
        <v>43224.0</v>
      </c>
      <c r="C37" s="48" t="s">
        <v>20</v>
      </c>
      <c r="D37" s="48" t="s">
        <v>21</v>
      </c>
      <c r="E37" s="48" t="s">
        <v>21</v>
      </c>
      <c r="F37" s="48" t="s">
        <v>43</v>
      </c>
      <c r="G37" s="61">
        <v>0.0</v>
      </c>
      <c r="H37" s="58">
        <v>40000.0</v>
      </c>
      <c r="I37" s="49"/>
      <c r="J37" s="49"/>
      <c r="K37" s="48"/>
      <c r="L37" s="48">
        <v>0.7733952049497</v>
      </c>
      <c r="M37" s="48" t="s">
        <v>37</v>
      </c>
      <c r="N37" s="48" t="s">
        <v>44</v>
      </c>
      <c r="O37" s="48" t="s">
        <v>51</v>
      </c>
      <c r="P37" s="48" t="s">
        <v>29</v>
      </c>
      <c r="Q37" s="48" t="s">
        <v>54</v>
      </c>
      <c r="R37" s="58">
        <v>0.0</v>
      </c>
      <c r="S37" s="58">
        <v>30935.81</v>
      </c>
      <c r="T37" s="48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</row>
    <row r="38" ht="15.75" customHeight="1">
      <c r="A38" s="47"/>
      <c r="B38" s="51">
        <v>43224.0</v>
      </c>
      <c r="C38" s="48" t="s">
        <v>20</v>
      </c>
      <c r="D38" s="48" t="s">
        <v>19</v>
      </c>
      <c r="E38" s="48" t="s">
        <v>21</v>
      </c>
      <c r="F38" s="48" t="s">
        <v>66</v>
      </c>
      <c r="G38" s="58">
        <v>40000.0</v>
      </c>
      <c r="H38" s="59">
        <v>0.0</v>
      </c>
      <c r="I38" s="49"/>
      <c r="J38" s="49"/>
      <c r="K38" s="48"/>
      <c r="L38" s="48">
        <v>2.1</v>
      </c>
      <c r="M38" s="48" t="s">
        <v>37</v>
      </c>
      <c r="N38" s="48" t="s">
        <v>42</v>
      </c>
      <c r="O38" s="48" t="s">
        <v>51</v>
      </c>
      <c r="P38" s="48" t="s">
        <v>29</v>
      </c>
      <c r="Q38" s="48" t="s">
        <v>58</v>
      </c>
      <c r="R38" s="58">
        <v>84000.0</v>
      </c>
      <c r="S38" s="58">
        <v>0.0</v>
      </c>
      <c r="T38" s="48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</row>
    <row r="39" ht="15.75" customHeight="1">
      <c r="A39" s="47"/>
      <c r="B39" s="51">
        <v>43224.0</v>
      </c>
      <c r="C39" s="48" t="s">
        <v>20</v>
      </c>
      <c r="D39" s="48" t="s">
        <v>19</v>
      </c>
      <c r="E39" s="48" t="s">
        <v>21</v>
      </c>
      <c r="F39" s="48" t="s">
        <v>41</v>
      </c>
      <c r="G39" s="61">
        <v>0.0</v>
      </c>
      <c r="H39" s="58">
        <v>40000.0</v>
      </c>
      <c r="I39" s="49"/>
      <c r="J39" s="49"/>
      <c r="K39" s="48"/>
      <c r="L39" s="48">
        <v>2.1</v>
      </c>
      <c r="M39" s="48" t="s">
        <v>37</v>
      </c>
      <c r="N39" s="48" t="s">
        <v>44</v>
      </c>
      <c r="O39" s="48" t="s">
        <v>51</v>
      </c>
      <c r="P39" s="48" t="s">
        <v>29</v>
      </c>
      <c r="Q39" s="48" t="s">
        <v>58</v>
      </c>
      <c r="R39" s="58">
        <v>0.0</v>
      </c>
      <c r="S39" s="58">
        <v>84000.0</v>
      </c>
      <c r="T39" s="48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</row>
    <row r="40" ht="15.75" customHeight="1">
      <c r="A40" s="47"/>
      <c r="B40" s="51">
        <v>43224.0</v>
      </c>
      <c r="C40" s="48" t="s">
        <v>20</v>
      </c>
      <c r="D40" s="48" t="s">
        <v>19</v>
      </c>
      <c r="E40" s="48" t="s">
        <v>21</v>
      </c>
      <c r="F40" s="48" t="s">
        <v>41</v>
      </c>
      <c r="G40" s="58">
        <v>40000.0</v>
      </c>
      <c r="H40" s="59">
        <v>0.0</v>
      </c>
      <c r="I40" s="49"/>
      <c r="J40" s="49"/>
      <c r="K40" s="48"/>
      <c r="L40" s="48">
        <v>0.7727975270479</v>
      </c>
      <c r="M40" s="48" t="s">
        <v>37</v>
      </c>
      <c r="N40" s="48" t="s">
        <v>42</v>
      </c>
      <c r="O40" s="48" t="s">
        <v>51</v>
      </c>
      <c r="P40" s="48" t="s">
        <v>29</v>
      </c>
      <c r="Q40" s="48" t="s">
        <v>59</v>
      </c>
      <c r="R40" s="58">
        <v>30911.9</v>
      </c>
      <c r="S40" s="58">
        <v>0.0</v>
      </c>
      <c r="T40" s="48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</row>
    <row r="41" ht="15.75" customHeight="1">
      <c r="A41" s="47"/>
      <c r="B41" s="51">
        <v>43224.0</v>
      </c>
      <c r="C41" s="48" t="s">
        <v>20</v>
      </c>
      <c r="D41" s="48" t="s">
        <v>19</v>
      </c>
      <c r="E41" s="48" t="s">
        <v>21</v>
      </c>
      <c r="F41" s="48" t="s">
        <v>66</v>
      </c>
      <c r="G41" s="61">
        <v>0.0</v>
      </c>
      <c r="H41" s="58">
        <v>40000.0</v>
      </c>
      <c r="I41" s="49"/>
      <c r="J41" s="49"/>
      <c r="K41" s="48"/>
      <c r="L41" s="48">
        <v>0.7727975270479</v>
      </c>
      <c r="M41" s="48" t="s">
        <v>37</v>
      </c>
      <c r="N41" s="48" t="s">
        <v>44</v>
      </c>
      <c r="O41" s="48" t="s">
        <v>51</v>
      </c>
      <c r="P41" s="48" t="s">
        <v>29</v>
      </c>
      <c r="Q41" s="48" t="s">
        <v>59</v>
      </c>
      <c r="R41" s="58">
        <v>0.0</v>
      </c>
      <c r="S41" s="58">
        <v>30911.9</v>
      </c>
      <c r="T41" s="48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</row>
    <row r="42" ht="15.75" customHeight="1">
      <c r="A42" s="47"/>
      <c r="B42" s="51">
        <v>43224.0</v>
      </c>
      <c r="C42" s="48" t="s">
        <v>20</v>
      </c>
      <c r="D42" s="48" t="s">
        <v>19</v>
      </c>
      <c r="E42" s="48" t="s">
        <v>21</v>
      </c>
      <c r="F42" s="48" t="s">
        <v>43</v>
      </c>
      <c r="G42" s="58">
        <v>40000.0</v>
      </c>
      <c r="H42" s="59">
        <v>0.0</v>
      </c>
      <c r="I42" s="49"/>
      <c r="J42" s="49"/>
      <c r="K42" s="48"/>
      <c r="L42" s="48">
        <v>2.1</v>
      </c>
      <c r="M42" s="48" t="s">
        <v>37</v>
      </c>
      <c r="N42" s="48" t="s">
        <v>42</v>
      </c>
      <c r="O42" s="48" t="s">
        <v>51</v>
      </c>
      <c r="P42" s="48" t="s">
        <v>29</v>
      </c>
      <c r="Q42" s="48" t="s">
        <v>55</v>
      </c>
      <c r="R42" s="58">
        <v>84000.0</v>
      </c>
      <c r="S42" s="58">
        <v>0.0</v>
      </c>
      <c r="T42" s="48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</row>
    <row r="43" ht="15.75" customHeight="1">
      <c r="A43" s="47"/>
      <c r="B43" s="51">
        <v>43224.0</v>
      </c>
      <c r="C43" s="48" t="s">
        <v>20</v>
      </c>
      <c r="D43" s="48" t="s">
        <v>19</v>
      </c>
      <c r="E43" s="48" t="s">
        <v>21</v>
      </c>
      <c r="F43" s="48" t="s">
        <v>65</v>
      </c>
      <c r="G43" s="61">
        <v>0.0</v>
      </c>
      <c r="H43" s="58">
        <v>40000.0</v>
      </c>
      <c r="I43" s="49"/>
      <c r="J43" s="49"/>
      <c r="K43" s="48"/>
      <c r="L43" s="48">
        <v>2.1</v>
      </c>
      <c r="M43" s="48" t="s">
        <v>37</v>
      </c>
      <c r="N43" s="48" t="s">
        <v>44</v>
      </c>
      <c r="O43" s="48" t="s">
        <v>51</v>
      </c>
      <c r="P43" s="48" t="s">
        <v>29</v>
      </c>
      <c r="Q43" s="48" t="s">
        <v>55</v>
      </c>
      <c r="R43" s="58">
        <v>0.0</v>
      </c>
      <c r="S43" s="58">
        <v>84000.0</v>
      </c>
      <c r="T43" s="48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</row>
    <row r="44" ht="15.75" customHeight="1">
      <c r="A44" s="47"/>
      <c r="B44" s="51">
        <v>43224.0</v>
      </c>
      <c r="C44" s="48" t="s">
        <v>20</v>
      </c>
      <c r="D44" s="48" t="s">
        <v>19</v>
      </c>
      <c r="E44" s="48" t="s">
        <v>21</v>
      </c>
      <c r="F44" s="48" t="s">
        <v>65</v>
      </c>
      <c r="G44" s="58">
        <v>40000.0</v>
      </c>
      <c r="H44" s="59">
        <v>0.0</v>
      </c>
      <c r="I44" s="49"/>
      <c r="J44" s="49"/>
      <c r="K44" s="48"/>
      <c r="L44" s="48">
        <v>0.7727975270479</v>
      </c>
      <c r="M44" s="48" t="s">
        <v>37</v>
      </c>
      <c r="N44" s="48" t="s">
        <v>42</v>
      </c>
      <c r="O44" s="48" t="s">
        <v>51</v>
      </c>
      <c r="P44" s="48" t="s">
        <v>29</v>
      </c>
      <c r="Q44" s="48" t="s">
        <v>60</v>
      </c>
      <c r="R44" s="58">
        <v>30911.9</v>
      </c>
      <c r="S44" s="58">
        <v>0.0</v>
      </c>
      <c r="T44" s="48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</row>
    <row r="45" ht="15.75" customHeight="1">
      <c r="A45" s="47"/>
      <c r="B45" s="51">
        <v>43224.0</v>
      </c>
      <c r="C45" s="48" t="s">
        <v>20</v>
      </c>
      <c r="D45" s="48" t="s">
        <v>19</v>
      </c>
      <c r="E45" s="48" t="s">
        <v>21</v>
      </c>
      <c r="F45" s="48" t="s">
        <v>43</v>
      </c>
      <c r="G45" s="61">
        <v>0.0</v>
      </c>
      <c r="H45" s="58">
        <v>40000.0</v>
      </c>
      <c r="I45" s="49"/>
      <c r="J45" s="49"/>
      <c r="K45" s="48"/>
      <c r="L45" s="48">
        <v>0.7727975270479</v>
      </c>
      <c r="M45" s="48" t="s">
        <v>37</v>
      </c>
      <c r="N45" s="48" t="s">
        <v>44</v>
      </c>
      <c r="O45" s="48" t="s">
        <v>51</v>
      </c>
      <c r="P45" s="48" t="s">
        <v>29</v>
      </c>
      <c r="Q45" s="48" t="s">
        <v>60</v>
      </c>
      <c r="R45" s="58">
        <v>0.0</v>
      </c>
      <c r="S45" s="58">
        <v>30911.9</v>
      </c>
      <c r="T45" s="48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</row>
    <row r="46" ht="15.75" customHeight="1">
      <c r="A46" s="47"/>
      <c r="B46" s="51">
        <v>43225.0</v>
      </c>
      <c r="C46" s="48" t="s">
        <v>20</v>
      </c>
      <c r="D46" s="48" t="s">
        <v>21</v>
      </c>
      <c r="E46" s="48" t="s">
        <v>21</v>
      </c>
      <c r="F46" s="48" t="s">
        <v>41</v>
      </c>
      <c r="G46" s="58">
        <v>90000.0</v>
      </c>
      <c r="H46" s="59">
        <v>0.0</v>
      </c>
      <c r="I46" s="49"/>
      <c r="J46" s="49"/>
      <c r="K46" s="48"/>
      <c r="L46" s="48">
        <v>0.7722007722008</v>
      </c>
      <c r="M46" s="48" t="s">
        <v>37</v>
      </c>
      <c r="N46" s="48" t="s">
        <v>42</v>
      </c>
      <c r="O46" s="48" t="s">
        <v>51</v>
      </c>
      <c r="P46" s="48" t="s">
        <v>29</v>
      </c>
      <c r="Q46" s="48" t="s">
        <v>61</v>
      </c>
      <c r="R46" s="58">
        <v>69498.07</v>
      </c>
      <c r="S46" s="58">
        <v>0.0</v>
      </c>
      <c r="T46" s="48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</row>
    <row r="47" ht="15.75" customHeight="1">
      <c r="A47" s="47"/>
      <c r="B47" s="51">
        <v>43225.0</v>
      </c>
      <c r="C47" s="48" t="s">
        <v>20</v>
      </c>
      <c r="D47" s="48" t="s">
        <v>21</v>
      </c>
      <c r="E47" s="48" t="s">
        <v>21</v>
      </c>
      <c r="F47" s="48" t="s">
        <v>66</v>
      </c>
      <c r="G47" s="61">
        <v>0.0</v>
      </c>
      <c r="H47" s="58">
        <v>90000.0</v>
      </c>
      <c r="I47" s="49"/>
      <c r="J47" s="49"/>
      <c r="K47" s="48"/>
      <c r="L47" s="48">
        <v>0.7722007722008</v>
      </c>
      <c r="M47" s="48" t="s">
        <v>37</v>
      </c>
      <c r="N47" s="48" t="s">
        <v>44</v>
      </c>
      <c r="O47" s="48" t="s">
        <v>51</v>
      </c>
      <c r="P47" s="48" t="s">
        <v>29</v>
      </c>
      <c r="Q47" s="48" t="s">
        <v>61</v>
      </c>
      <c r="R47" s="58">
        <v>0.0</v>
      </c>
      <c r="S47" s="58">
        <v>69498.07</v>
      </c>
      <c r="T47" s="48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</row>
    <row r="48" ht="15.75" customHeight="1">
      <c r="A48" s="47"/>
      <c r="B48" s="51">
        <v>43225.0</v>
      </c>
      <c r="C48" s="48" t="s">
        <v>20</v>
      </c>
      <c r="D48" s="48" t="s">
        <v>21</v>
      </c>
      <c r="E48" s="48" t="s">
        <v>21</v>
      </c>
      <c r="F48" s="48" t="s">
        <v>66</v>
      </c>
      <c r="G48" s="58">
        <v>90000.0</v>
      </c>
      <c r="H48" s="59">
        <v>0.0</v>
      </c>
      <c r="I48" s="49"/>
      <c r="J48" s="49"/>
      <c r="K48" s="48"/>
      <c r="L48" s="48">
        <v>0.7727975270479</v>
      </c>
      <c r="M48" s="48" t="s">
        <v>37</v>
      </c>
      <c r="N48" s="48" t="s">
        <v>42</v>
      </c>
      <c r="O48" s="48" t="s">
        <v>51</v>
      </c>
      <c r="P48" s="48" t="s">
        <v>29</v>
      </c>
      <c r="Q48" s="48" t="s">
        <v>62</v>
      </c>
      <c r="R48" s="58">
        <v>69551.78</v>
      </c>
      <c r="S48" s="58">
        <v>0.0</v>
      </c>
      <c r="T48" s="48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</row>
    <row r="49" ht="15.75" customHeight="1">
      <c r="A49" s="47"/>
      <c r="B49" s="51">
        <v>43225.0</v>
      </c>
      <c r="C49" s="48" t="s">
        <v>20</v>
      </c>
      <c r="D49" s="48" t="s">
        <v>21</v>
      </c>
      <c r="E49" s="48" t="s">
        <v>21</v>
      </c>
      <c r="F49" s="48" t="s">
        <v>41</v>
      </c>
      <c r="G49" s="61">
        <v>0.0</v>
      </c>
      <c r="H49" s="58">
        <v>90000.0</v>
      </c>
      <c r="I49" s="49"/>
      <c r="J49" s="49"/>
      <c r="K49" s="48"/>
      <c r="L49" s="48">
        <v>0.7727975270479</v>
      </c>
      <c r="M49" s="48" t="s">
        <v>37</v>
      </c>
      <c r="N49" s="48" t="s">
        <v>44</v>
      </c>
      <c r="O49" s="48" t="s">
        <v>51</v>
      </c>
      <c r="P49" s="48" t="s">
        <v>29</v>
      </c>
      <c r="Q49" s="48" t="s">
        <v>62</v>
      </c>
      <c r="R49" s="58">
        <v>0.0</v>
      </c>
      <c r="S49" s="58">
        <v>69551.78</v>
      </c>
      <c r="T49" s="48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</row>
    <row r="50" ht="15.75" customHeight="1">
      <c r="A50" s="47"/>
      <c r="B50" s="51">
        <v>43226.0</v>
      </c>
      <c r="C50" s="48" t="s">
        <v>20</v>
      </c>
      <c r="D50" s="48" t="s">
        <v>21</v>
      </c>
      <c r="E50" s="48" t="s">
        <v>21</v>
      </c>
      <c r="F50" s="48" t="s">
        <v>41</v>
      </c>
      <c r="G50" s="58">
        <v>90000.0</v>
      </c>
      <c r="H50" s="59">
        <v>0.0</v>
      </c>
      <c r="I50" s="49"/>
      <c r="J50" s="49"/>
      <c r="K50" s="48"/>
      <c r="L50" s="48">
        <v>0.7716049382716</v>
      </c>
      <c r="M50" s="48" t="s">
        <v>37</v>
      </c>
      <c r="N50" s="48" t="s">
        <v>42</v>
      </c>
      <c r="O50" s="48" t="s">
        <v>51</v>
      </c>
      <c r="P50" s="48" t="s">
        <v>29</v>
      </c>
      <c r="Q50" s="48" t="s">
        <v>61</v>
      </c>
      <c r="R50" s="58">
        <v>69444.44</v>
      </c>
      <c r="S50" s="58">
        <v>0.0</v>
      </c>
      <c r="T50" s="48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</row>
    <row r="51" ht="15.75" customHeight="1">
      <c r="A51" s="47"/>
      <c r="B51" s="51">
        <v>43226.0</v>
      </c>
      <c r="C51" s="48" t="s">
        <v>20</v>
      </c>
      <c r="D51" s="48" t="s">
        <v>21</v>
      </c>
      <c r="E51" s="48" t="s">
        <v>21</v>
      </c>
      <c r="F51" s="48" t="s">
        <v>66</v>
      </c>
      <c r="G51" s="61">
        <v>0.0</v>
      </c>
      <c r="H51" s="58">
        <v>90000.0</v>
      </c>
      <c r="I51" s="49"/>
      <c r="J51" s="49"/>
      <c r="K51" s="48"/>
      <c r="L51" s="48">
        <v>0.7716049382716</v>
      </c>
      <c r="M51" s="48" t="s">
        <v>37</v>
      </c>
      <c r="N51" s="48" t="s">
        <v>44</v>
      </c>
      <c r="O51" s="48" t="s">
        <v>51</v>
      </c>
      <c r="P51" s="48" t="s">
        <v>29</v>
      </c>
      <c r="Q51" s="48" t="s">
        <v>61</v>
      </c>
      <c r="R51" s="58">
        <v>0.0</v>
      </c>
      <c r="S51" s="58">
        <v>69444.44</v>
      </c>
      <c r="T51" s="48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</row>
    <row r="52" ht="15.75" customHeight="1">
      <c r="A52" s="47"/>
      <c r="B52" s="51">
        <v>43226.0</v>
      </c>
      <c r="C52" s="48" t="s">
        <v>20</v>
      </c>
      <c r="D52" s="48" t="s">
        <v>21</v>
      </c>
      <c r="E52" s="48" t="s">
        <v>21</v>
      </c>
      <c r="F52" s="48" t="s">
        <v>66</v>
      </c>
      <c r="G52" s="58">
        <v>90000.0</v>
      </c>
      <c r="H52" s="59">
        <v>0.0</v>
      </c>
      <c r="I52" s="49"/>
      <c r="J52" s="49"/>
      <c r="K52" s="48"/>
      <c r="L52" s="48">
        <v>0.7722007722008</v>
      </c>
      <c r="M52" s="48" t="s">
        <v>37</v>
      </c>
      <c r="N52" s="48" t="s">
        <v>42</v>
      </c>
      <c r="O52" s="48" t="s">
        <v>51</v>
      </c>
      <c r="P52" s="48" t="s">
        <v>29</v>
      </c>
      <c r="Q52" s="48" t="s">
        <v>62</v>
      </c>
      <c r="R52" s="58">
        <v>69498.07</v>
      </c>
      <c r="S52" s="58">
        <v>0.0</v>
      </c>
      <c r="T52" s="48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</row>
    <row r="53" ht="15.75" customHeight="1">
      <c r="A53" s="47"/>
      <c r="B53" s="51">
        <v>43226.0</v>
      </c>
      <c r="C53" s="48" t="s">
        <v>20</v>
      </c>
      <c r="D53" s="48" t="s">
        <v>21</v>
      </c>
      <c r="E53" s="48" t="s">
        <v>21</v>
      </c>
      <c r="F53" s="48" t="s">
        <v>41</v>
      </c>
      <c r="G53" s="61">
        <v>0.0</v>
      </c>
      <c r="H53" s="58">
        <v>90000.0</v>
      </c>
      <c r="I53" s="49"/>
      <c r="J53" s="49"/>
      <c r="K53" s="48"/>
      <c r="L53" s="48">
        <v>0.7722007722008</v>
      </c>
      <c r="M53" s="48" t="s">
        <v>37</v>
      </c>
      <c r="N53" s="48" t="s">
        <v>44</v>
      </c>
      <c r="O53" s="48" t="s">
        <v>51</v>
      </c>
      <c r="P53" s="48" t="s">
        <v>29</v>
      </c>
      <c r="Q53" s="48" t="s">
        <v>62</v>
      </c>
      <c r="R53" s="58">
        <v>0.0</v>
      </c>
      <c r="S53" s="58">
        <v>69498.07</v>
      </c>
      <c r="T53" s="48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</row>
    <row r="54" ht="15.75" customHeight="1">
      <c r="A54" s="47"/>
      <c r="B54" s="51">
        <v>43227.0</v>
      </c>
      <c r="C54" s="48" t="s">
        <v>20</v>
      </c>
      <c r="D54" s="48" t="s">
        <v>21</v>
      </c>
      <c r="E54" s="48" t="s">
        <v>21</v>
      </c>
      <c r="F54" s="48" t="s">
        <v>41</v>
      </c>
      <c r="G54" s="58">
        <v>90000.0</v>
      </c>
      <c r="H54" s="59">
        <v>0.0</v>
      </c>
      <c r="I54" s="49"/>
      <c r="J54" s="49"/>
      <c r="K54" s="48"/>
      <c r="L54" s="48">
        <v>0.7710100231303</v>
      </c>
      <c r="M54" s="48" t="s">
        <v>37</v>
      </c>
      <c r="N54" s="48" t="s">
        <v>42</v>
      </c>
      <c r="O54" s="48" t="s">
        <v>51</v>
      </c>
      <c r="P54" s="48" t="s">
        <v>29</v>
      </c>
      <c r="Q54" s="48" t="s">
        <v>61</v>
      </c>
      <c r="R54" s="58">
        <v>69390.9</v>
      </c>
      <c r="S54" s="58">
        <v>0.0</v>
      </c>
      <c r="T54" s="48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</row>
    <row r="55" ht="15.75" customHeight="1">
      <c r="A55" s="47"/>
      <c r="B55" s="51">
        <v>43227.0</v>
      </c>
      <c r="C55" s="48" t="s">
        <v>20</v>
      </c>
      <c r="D55" s="48" t="s">
        <v>21</v>
      </c>
      <c r="E55" s="48" t="s">
        <v>21</v>
      </c>
      <c r="F55" s="48" t="s">
        <v>66</v>
      </c>
      <c r="G55" s="61">
        <v>0.0</v>
      </c>
      <c r="H55" s="58">
        <v>90000.0</v>
      </c>
      <c r="I55" s="49"/>
      <c r="J55" s="49"/>
      <c r="K55" s="48"/>
      <c r="L55" s="48">
        <v>0.7710100231303</v>
      </c>
      <c r="M55" s="48" t="s">
        <v>37</v>
      </c>
      <c r="N55" s="48" t="s">
        <v>44</v>
      </c>
      <c r="O55" s="48" t="s">
        <v>51</v>
      </c>
      <c r="P55" s="48" t="s">
        <v>29</v>
      </c>
      <c r="Q55" s="48" t="s">
        <v>61</v>
      </c>
      <c r="R55" s="58">
        <v>0.0</v>
      </c>
      <c r="S55" s="58">
        <v>69390.9</v>
      </c>
      <c r="T55" s="48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</row>
    <row r="56" ht="15.75" customHeight="1">
      <c r="A56" s="47"/>
      <c r="B56" s="51">
        <v>43227.0</v>
      </c>
      <c r="C56" s="48" t="s">
        <v>20</v>
      </c>
      <c r="D56" s="48" t="s">
        <v>21</v>
      </c>
      <c r="E56" s="48" t="s">
        <v>21</v>
      </c>
      <c r="F56" s="48" t="s">
        <v>66</v>
      </c>
      <c r="G56" s="58">
        <v>90000.0</v>
      </c>
      <c r="H56" s="59">
        <v>0.0</v>
      </c>
      <c r="I56" s="49"/>
      <c r="J56" s="49"/>
      <c r="K56" s="48"/>
      <c r="L56" s="48">
        <v>0.7716049382716</v>
      </c>
      <c r="M56" s="48" t="s">
        <v>37</v>
      </c>
      <c r="N56" s="48" t="s">
        <v>42</v>
      </c>
      <c r="O56" s="48" t="s">
        <v>51</v>
      </c>
      <c r="P56" s="48" t="s">
        <v>29</v>
      </c>
      <c r="Q56" s="48" t="s">
        <v>62</v>
      </c>
      <c r="R56" s="58">
        <v>69444.44</v>
      </c>
      <c r="S56" s="58">
        <v>0.0</v>
      </c>
      <c r="T56" s="48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</row>
    <row r="57" ht="15.75" customHeight="1">
      <c r="A57" s="47"/>
      <c r="B57" s="51">
        <v>43227.0</v>
      </c>
      <c r="C57" s="48" t="s">
        <v>20</v>
      </c>
      <c r="D57" s="48" t="s">
        <v>21</v>
      </c>
      <c r="E57" s="48" t="s">
        <v>21</v>
      </c>
      <c r="F57" s="48" t="s">
        <v>41</v>
      </c>
      <c r="G57" s="61">
        <v>0.0</v>
      </c>
      <c r="H57" s="58">
        <v>90000.0</v>
      </c>
      <c r="I57" s="49"/>
      <c r="J57" s="49"/>
      <c r="K57" s="48"/>
      <c r="L57" s="48">
        <v>0.7716049382716</v>
      </c>
      <c r="M57" s="48" t="s">
        <v>37</v>
      </c>
      <c r="N57" s="48" t="s">
        <v>44</v>
      </c>
      <c r="O57" s="48" t="s">
        <v>51</v>
      </c>
      <c r="P57" s="48" t="s">
        <v>29</v>
      </c>
      <c r="Q57" s="48" t="s">
        <v>62</v>
      </c>
      <c r="R57" s="58">
        <v>0.0</v>
      </c>
      <c r="S57" s="58">
        <v>69444.44</v>
      </c>
      <c r="T57" s="48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</row>
    <row r="58" ht="15.75" customHeight="1">
      <c r="A58" s="47"/>
      <c r="B58" s="51">
        <v>43228.0</v>
      </c>
      <c r="C58" s="48" t="s">
        <v>20</v>
      </c>
      <c r="D58" s="48" t="s">
        <v>21</v>
      </c>
      <c r="E58" s="48" t="s">
        <v>21</v>
      </c>
      <c r="F58" s="48" t="s">
        <v>41</v>
      </c>
      <c r="G58" s="58">
        <v>90000.0</v>
      </c>
      <c r="H58" s="59">
        <v>0.0</v>
      </c>
      <c r="I58" s="49"/>
      <c r="J58" s="49"/>
      <c r="K58" s="48"/>
      <c r="L58" s="48">
        <v>0.7704160246533</v>
      </c>
      <c r="M58" s="48" t="s">
        <v>37</v>
      </c>
      <c r="N58" s="48" t="s">
        <v>42</v>
      </c>
      <c r="O58" s="48" t="s">
        <v>51</v>
      </c>
      <c r="P58" s="48" t="s">
        <v>29</v>
      </c>
      <c r="Q58" s="48" t="s">
        <v>61</v>
      </c>
      <c r="R58" s="58">
        <v>69337.44</v>
      </c>
      <c r="S58" s="58">
        <v>0.0</v>
      </c>
      <c r="T58" s="48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</row>
    <row r="59" ht="15.75" customHeight="1">
      <c r="A59" s="47"/>
      <c r="B59" s="51">
        <v>43228.0</v>
      </c>
      <c r="C59" s="48" t="s">
        <v>20</v>
      </c>
      <c r="D59" s="48" t="s">
        <v>21</v>
      </c>
      <c r="E59" s="48" t="s">
        <v>21</v>
      </c>
      <c r="F59" s="48" t="s">
        <v>66</v>
      </c>
      <c r="G59" s="61">
        <v>0.0</v>
      </c>
      <c r="H59" s="58">
        <v>90000.0</v>
      </c>
      <c r="I59" s="49"/>
      <c r="J59" s="49"/>
      <c r="K59" s="48"/>
      <c r="L59" s="48">
        <v>0.7704160246533</v>
      </c>
      <c r="M59" s="48" t="s">
        <v>37</v>
      </c>
      <c r="N59" s="48" t="s">
        <v>44</v>
      </c>
      <c r="O59" s="48" t="s">
        <v>51</v>
      </c>
      <c r="P59" s="48" t="s">
        <v>29</v>
      </c>
      <c r="Q59" s="48" t="s">
        <v>61</v>
      </c>
      <c r="R59" s="58">
        <v>0.0</v>
      </c>
      <c r="S59" s="58">
        <v>69337.44</v>
      </c>
      <c r="T59" s="48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</row>
    <row r="60" ht="15.75" customHeight="1">
      <c r="A60" s="47"/>
      <c r="B60" s="51">
        <v>43228.0</v>
      </c>
      <c r="C60" s="48" t="s">
        <v>20</v>
      </c>
      <c r="D60" s="48" t="s">
        <v>21</v>
      </c>
      <c r="E60" s="48" t="s">
        <v>21</v>
      </c>
      <c r="F60" s="48" t="s">
        <v>66</v>
      </c>
      <c r="G60" s="58">
        <v>90000.0</v>
      </c>
      <c r="H60" s="59">
        <v>0.0</v>
      </c>
      <c r="I60" s="49"/>
      <c r="J60" s="49"/>
      <c r="K60" s="48"/>
      <c r="L60" s="48">
        <v>0.7710100231303</v>
      </c>
      <c r="M60" s="48" t="s">
        <v>37</v>
      </c>
      <c r="N60" s="48" t="s">
        <v>42</v>
      </c>
      <c r="O60" s="48" t="s">
        <v>51</v>
      </c>
      <c r="P60" s="48" t="s">
        <v>29</v>
      </c>
      <c r="Q60" s="48" t="s">
        <v>62</v>
      </c>
      <c r="R60" s="58">
        <v>69390.9</v>
      </c>
      <c r="S60" s="58">
        <v>0.0</v>
      </c>
      <c r="T60" s="48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</row>
    <row r="61" ht="15.75" customHeight="1">
      <c r="A61" s="47"/>
      <c r="B61" s="51">
        <v>43228.0</v>
      </c>
      <c r="C61" s="48" t="s">
        <v>20</v>
      </c>
      <c r="D61" s="48" t="s">
        <v>21</v>
      </c>
      <c r="E61" s="48" t="s">
        <v>21</v>
      </c>
      <c r="F61" s="48" t="s">
        <v>41</v>
      </c>
      <c r="G61" s="61">
        <v>0.0</v>
      </c>
      <c r="H61" s="58">
        <v>90000.0</v>
      </c>
      <c r="I61" s="49"/>
      <c r="J61" s="49"/>
      <c r="K61" s="48"/>
      <c r="L61" s="48">
        <v>0.7710100231303</v>
      </c>
      <c r="M61" s="48" t="s">
        <v>37</v>
      </c>
      <c r="N61" s="48" t="s">
        <v>44</v>
      </c>
      <c r="O61" s="48" t="s">
        <v>51</v>
      </c>
      <c r="P61" s="48" t="s">
        <v>29</v>
      </c>
      <c r="Q61" s="48" t="s">
        <v>62</v>
      </c>
      <c r="R61" s="58">
        <v>0.0</v>
      </c>
      <c r="S61" s="58">
        <v>69390.9</v>
      </c>
      <c r="T61" s="48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</row>
    <row r="62" ht="15.75" customHeight="1">
      <c r="A62" s="47"/>
      <c r="B62" s="79">
        <v>43222.0</v>
      </c>
      <c r="C62" s="80" t="s">
        <v>23</v>
      </c>
      <c r="D62" s="81"/>
      <c r="E62" s="80" t="s">
        <v>21</v>
      </c>
      <c r="F62" s="80" t="s">
        <v>65</v>
      </c>
      <c r="G62" s="82">
        <v>20000.0</v>
      </c>
      <c r="H62" s="83">
        <v>0.0</v>
      </c>
      <c r="I62" s="49"/>
      <c r="J62" s="49"/>
      <c r="K62" s="48"/>
      <c r="L62" s="48"/>
      <c r="M62" s="48" t="s">
        <v>37</v>
      </c>
      <c r="N62" s="48" t="s">
        <v>42</v>
      </c>
      <c r="O62" s="48" t="s">
        <v>51</v>
      </c>
      <c r="P62" s="48" t="s">
        <v>29</v>
      </c>
      <c r="Q62" s="80" t="s">
        <v>55</v>
      </c>
      <c r="R62" s="82">
        <v>72000.0</v>
      </c>
      <c r="S62" s="82">
        <v>0.0</v>
      </c>
      <c r="T62" s="48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</row>
    <row r="63" ht="15.75" customHeight="1">
      <c r="A63" s="47"/>
      <c r="B63" s="79">
        <v>43222.0</v>
      </c>
      <c r="C63" s="80" t="s">
        <v>23</v>
      </c>
      <c r="D63" s="81"/>
      <c r="E63" s="80" t="s">
        <v>21</v>
      </c>
      <c r="F63" s="84" t="s">
        <v>46</v>
      </c>
      <c r="G63" s="85">
        <v>0.0</v>
      </c>
      <c r="H63" s="86">
        <v>20000.0</v>
      </c>
      <c r="I63" s="49"/>
      <c r="J63" s="49"/>
      <c r="K63" s="48"/>
      <c r="L63" s="48"/>
      <c r="M63" s="48" t="s">
        <v>37</v>
      </c>
      <c r="N63" s="48" t="s">
        <v>44</v>
      </c>
      <c r="O63" s="48" t="s">
        <v>51</v>
      </c>
      <c r="P63" s="48" t="s">
        <v>29</v>
      </c>
      <c r="Q63" s="80" t="s">
        <v>55</v>
      </c>
      <c r="R63" s="86">
        <v>0.0</v>
      </c>
      <c r="S63" s="86">
        <v>72000.0</v>
      </c>
      <c r="T63" s="48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</row>
    <row r="64" ht="15.75" customHeight="1">
      <c r="B64" s="79">
        <v>43222.0</v>
      </c>
      <c r="C64" s="80" t="s">
        <v>23</v>
      </c>
      <c r="D64" s="81"/>
      <c r="E64" s="80" t="s">
        <v>21</v>
      </c>
      <c r="F64" s="80" t="s">
        <v>47</v>
      </c>
      <c r="G64" s="82">
        <v>20000.0</v>
      </c>
      <c r="H64" s="83">
        <v>0.0</v>
      </c>
      <c r="M64" s="48" t="s">
        <v>37</v>
      </c>
      <c r="N64" s="48" t="s">
        <v>42</v>
      </c>
      <c r="O64" s="48" t="s">
        <v>51</v>
      </c>
      <c r="P64" s="48" t="s">
        <v>29</v>
      </c>
      <c r="Q64" s="80" t="s">
        <v>55</v>
      </c>
      <c r="R64" s="82">
        <v>72000.0</v>
      </c>
      <c r="S64" s="82">
        <v>0.0</v>
      </c>
    </row>
    <row r="65" ht="15.75" customHeight="1">
      <c r="B65" s="79">
        <v>43222.0</v>
      </c>
      <c r="C65" s="80" t="s">
        <v>23</v>
      </c>
      <c r="D65" s="81"/>
      <c r="E65" s="80" t="s">
        <v>21</v>
      </c>
      <c r="F65" s="84" t="s">
        <v>65</v>
      </c>
      <c r="G65" s="85">
        <v>0.0</v>
      </c>
      <c r="H65" s="86">
        <v>20000.0</v>
      </c>
      <c r="M65" s="48" t="s">
        <v>37</v>
      </c>
      <c r="N65" s="48" t="s">
        <v>44</v>
      </c>
      <c r="O65" s="48" t="s">
        <v>51</v>
      </c>
      <c r="P65" s="48" t="s">
        <v>29</v>
      </c>
      <c r="Q65" s="80" t="s">
        <v>55</v>
      </c>
      <c r="R65" s="86">
        <v>0.0</v>
      </c>
      <c r="S65" s="86">
        <v>72000.0</v>
      </c>
    </row>
    <row r="66" ht="15.75" customHeight="1">
      <c r="B66" s="79">
        <v>43222.0</v>
      </c>
      <c r="C66" s="80" t="s">
        <v>23</v>
      </c>
      <c r="D66" s="81"/>
      <c r="E66" s="80" t="s">
        <v>21</v>
      </c>
      <c r="F66" s="80" t="s">
        <v>46</v>
      </c>
      <c r="G66" s="82">
        <v>20000.0</v>
      </c>
      <c r="H66" s="83">
        <v>0.0</v>
      </c>
      <c r="M66" s="48" t="s">
        <v>37</v>
      </c>
      <c r="N66" s="48" t="s">
        <v>42</v>
      </c>
      <c r="O66" s="48" t="s">
        <v>51</v>
      </c>
      <c r="P66" s="48" t="s">
        <v>29</v>
      </c>
      <c r="Q66" s="80" t="s">
        <v>56</v>
      </c>
      <c r="R66" s="87">
        <v>15479.88</v>
      </c>
      <c r="S66" s="82">
        <v>0.0</v>
      </c>
    </row>
    <row r="67" ht="15.75" customHeight="1">
      <c r="B67" s="79">
        <v>43222.0</v>
      </c>
      <c r="C67" s="80" t="s">
        <v>23</v>
      </c>
      <c r="D67" s="81"/>
      <c r="E67" s="80" t="s">
        <v>21</v>
      </c>
      <c r="F67" s="84" t="s">
        <v>65</v>
      </c>
      <c r="G67" s="85">
        <v>0.0</v>
      </c>
      <c r="H67" s="86">
        <v>20000.0</v>
      </c>
      <c r="M67" s="48" t="s">
        <v>37</v>
      </c>
      <c r="N67" s="48" t="s">
        <v>44</v>
      </c>
      <c r="O67" s="48" t="s">
        <v>51</v>
      </c>
      <c r="P67" s="48" t="s">
        <v>29</v>
      </c>
      <c r="Q67" s="80" t="s">
        <v>56</v>
      </c>
      <c r="R67" s="86">
        <v>0.0</v>
      </c>
      <c r="S67" s="87">
        <v>15479.88</v>
      </c>
    </row>
    <row r="68" ht="15.75" customHeight="1">
      <c r="B68" s="79">
        <v>43222.0</v>
      </c>
      <c r="C68" s="80" t="s">
        <v>23</v>
      </c>
      <c r="D68" s="81"/>
      <c r="E68" s="80" t="s">
        <v>21</v>
      </c>
      <c r="F68" s="80" t="s">
        <v>65</v>
      </c>
      <c r="G68" s="82">
        <v>20000.0</v>
      </c>
      <c r="H68" s="83">
        <v>0.0</v>
      </c>
      <c r="M68" s="48" t="s">
        <v>37</v>
      </c>
      <c r="N68" s="48" t="s">
        <v>42</v>
      </c>
      <c r="O68" s="48" t="s">
        <v>51</v>
      </c>
      <c r="P68" s="48" t="s">
        <v>29</v>
      </c>
      <c r="Q68" s="80" t="s">
        <v>60</v>
      </c>
      <c r="R68" s="87">
        <v>15479.88</v>
      </c>
      <c r="S68" s="82">
        <v>0.0</v>
      </c>
    </row>
    <row r="69" ht="15.75" customHeight="1">
      <c r="B69" s="79">
        <v>43222.0</v>
      </c>
      <c r="C69" s="80" t="s">
        <v>23</v>
      </c>
      <c r="D69" s="81"/>
      <c r="E69" s="80" t="s">
        <v>21</v>
      </c>
      <c r="F69" s="84" t="s">
        <v>47</v>
      </c>
      <c r="G69" s="85">
        <v>0.0</v>
      </c>
      <c r="H69" s="86">
        <v>20000.0</v>
      </c>
      <c r="M69" s="48" t="s">
        <v>37</v>
      </c>
      <c r="N69" s="48" t="s">
        <v>44</v>
      </c>
      <c r="O69" s="48" t="s">
        <v>51</v>
      </c>
      <c r="P69" s="48" t="s">
        <v>29</v>
      </c>
      <c r="Q69" s="80" t="s">
        <v>60</v>
      </c>
      <c r="R69" s="86">
        <v>0.0</v>
      </c>
      <c r="S69" s="87">
        <v>15479.88</v>
      </c>
    </row>
    <row r="70" ht="15.75" customHeight="1">
      <c r="B70" s="79">
        <v>43223.0</v>
      </c>
      <c r="C70" s="80" t="s">
        <v>23</v>
      </c>
      <c r="D70" s="80" t="s">
        <v>21</v>
      </c>
      <c r="E70" s="80" t="s">
        <v>21</v>
      </c>
      <c r="F70" s="80" t="s">
        <v>46</v>
      </c>
      <c r="G70" s="82">
        <v>20000.0</v>
      </c>
      <c r="H70" s="83">
        <v>0.0</v>
      </c>
      <c r="M70" s="48" t="s">
        <v>37</v>
      </c>
      <c r="N70" s="48" t="s">
        <v>42</v>
      </c>
      <c r="O70" s="48" t="s">
        <v>51</v>
      </c>
      <c r="P70" s="48" t="s">
        <v>29</v>
      </c>
      <c r="Q70" s="80" t="s">
        <v>53</v>
      </c>
      <c r="R70" s="87">
        <v>15467.9</v>
      </c>
      <c r="S70" s="82">
        <v>0.0</v>
      </c>
    </row>
    <row r="71" ht="15.75" customHeight="1">
      <c r="B71" s="79">
        <v>43223.0</v>
      </c>
      <c r="C71" s="80" t="s">
        <v>23</v>
      </c>
      <c r="D71" s="80" t="s">
        <v>21</v>
      </c>
      <c r="E71" s="80" t="s">
        <v>21</v>
      </c>
      <c r="F71" s="84" t="s">
        <v>65</v>
      </c>
      <c r="G71" s="85">
        <v>0.0</v>
      </c>
      <c r="H71" s="86">
        <v>20000.0</v>
      </c>
      <c r="M71" s="48" t="s">
        <v>37</v>
      </c>
      <c r="N71" s="48" t="s">
        <v>44</v>
      </c>
      <c r="O71" s="48" t="s">
        <v>51</v>
      </c>
      <c r="P71" s="48" t="s">
        <v>29</v>
      </c>
      <c r="Q71" s="80" t="s">
        <v>53</v>
      </c>
      <c r="R71" s="86">
        <v>0.0</v>
      </c>
      <c r="S71" s="88">
        <v>15467.9</v>
      </c>
    </row>
    <row r="72" ht="15.75" customHeight="1">
      <c r="B72" s="79">
        <v>43223.0</v>
      </c>
      <c r="C72" s="80" t="s">
        <v>23</v>
      </c>
      <c r="D72" s="80" t="s">
        <v>21</v>
      </c>
      <c r="E72" s="80" t="s">
        <v>21</v>
      </c>
      <c r="F72" s="80" t="s">
        <v>65</v>
      </c>
      <c r="G72" s="82">
        <v>20000.0</v>
      </c>
      <c r="H72" s="83">
        <v>0.0</v>
      </c>
      <c r="M72" s="48" t="s">
        <v>37</v>
      </c>
      <c r="N72" s="48" t="s">
        <v>42</v>
      </c>
      <c r="O72" s="48" t="s">
        <v>51</v>
      </c>
      <c r="P72" s="48" t="s">
        <v>29</v>
      </c>
      <c r="Q72" s="80" t="s">
        <v>53</v>
      </c>
      <c r="R72" s="87">
        <v>15467.9</v>
      </c>
      <c r="S72" s="82">
        <v>0.0</v>
      </c>
    </row>
    <row r="73" ht="15.75" customHeight="1">
      <c r="B73" s="79">
        <v>43223.0</v>
      </c>
      <c r="C73" s="80" t="s">
        <v>23</v>
      </c>
      <c r="D73" s="80" t="s">
        <v>21</v>
      </c>
      <c r="E73" s="80" t="s">
        <v>21</v>
      </c>
      <c r="F73" s="84" t="s">
        <v>47</v>
      </c>
      <c r="G73" s="85">
        <v>0.0</v>
      </c>
      <c r="H73" s="86">
        <v>20000.0</v>
      </c>
      <c r="M73" s="48" t="s">
        <v>37</v>
      </c>
      <c r="N73" s="48" t="s">
        <v>44</v>
      </c>
      <c r="O73" s="48" t="s">
        <v>51</v>
      </c>
      <c r="P73" s="48" t="s">
        <v>29</v>
      </c>
      <c r="Q73" s="80" t="s">
        <v>53</v>
      </c>
      <c r="R73" s="86">
        <v>0.0</v>
      </c>
      <c r="S73" s="88">
        <v>15467.9</v>
      </c>
    </row>
    <row r="74" ht="15.75" customHeight="1">
      <c r="B74" s="79">
        <v>43223.0</v>
      </c>
      <c r="C74" s="80" t="s">
        <v>23</v>
      </c>
      <c r="D74" s="80" t="s">
        <v>21</v>
      </c>
      <c r="E74" s="80" t="s">
        <v>21</v>
      </c>
      <c r="F74" s="80" t="s">
        <v>65</v>
      </c>
      <c r="G74" s="82">
        <v>20000.0</v>
      </c>
      <c r="H74" s="83">
        <v>0.0</v>
      </c>
      <c r="M74" s="48" t="s">
        <v>37</v>
      </c>
      <c r="N74" s="48" t="s">
        <v>42</v>
      </c>
      <c r="O74" s="48" t="s">
        <v>51</v>
      </c>
      <c r="P74" s="48" t="s">
        <v>29</v>
      </c>
      <c r="Q74" s="80" t="s">
        <v>54</v>
      </c>
      <c r="R74" s="87">
        <v>15479.88</v>
      </c>
      <c r="S74" s="82">
        <v>0.0</v>
      </c>
    </row>
    <row r="75" ht="15.75" customHeight="1">
      <c r="B75" s="79">
        <v>43223.0</v>
      </c>
      <c r="C75" s="80" t="s">
        <v>23</v>
      </c>
      <c r="D75" s="80" t="s">
        <v>21</v>
      </c>
      <c r="E75" s="80" t="s">
        <v>21</v>
      </c>
      <c r="F75" s="84" t="s">
        <v>46</v>
      </c>
      <c r="G75" s="85">
        <v>0.0</v>
      </c>
      <c r="H75" s="86">
        <v>20000.0</v>
      </c>
      <c r="M75" s="48" t="s">
        <v>37</v>
      </c>
      <c r="N75" s="48" t="s">
        <v>44</v>
      </c>
      <c r="O75" s="48" t="s">
        <v>51</v>
      </c>
      <c r="P75" s="48" t="s">
        <v>29</v>
      </c>
      <c r="Q75" s="80" t="s">
        <v>54</v>
      </c>
      <c r="R75" s="86">
        <v>0.0</v>
      </c>
      <c r="S75" s="87">
        <v>15479.88</v>
      </c>
    </row>
    <row r="76" ht="15.75" customHeight="1">
      <c r="B76" s="79">
        <v>43223.0</v>
      </c>
      <c r="C76" s="80" t="s">
        <v>23</v>
      </c>
      <c r="D76" s="80" t="s">
        <v>21</v>
      </c>
      <c r="E76" s="80" t="s">
        <v>21</v>
      </c>
      <c r="F76" s="80" t="s">
        <v>47</v>
      </c>
      <c r="G76" s="82">
        <v>20000.0</v>
      </c>
      <c r="H76" s="83">
        <v>0.0</v>
      </c>
      <c r="M76" s="48" t="s">
        <v>37</v>
      </c>
      <c r="N76" s="48" t="s">
        <v>42</v>
      </c>
      <c r="O76" s="48" t="s">
        <v>51</v>
      </c>
      <c r="P76" s="48" t="s">
        <v>29</v>
      </c>
      <c r="Q76" s="80" t="s">
        <v>54</v>
      </c>
      <c r="R76" s="87">
        <v>15479.88</v>
      </c>
      <c r="S76" s="82">
        <v>0.0</v>
      </c>
    </row>
    <row r="77" ht="15.75" customHeight="1">
      <c r="B77" s="79">
        <v>43223.0</v>
      </c>
      <c r="C77" s="80" t="s">
        <v>23</v>
      </c>
      <c r="D77" s="80" t="s">
        <v>21</v>
      </c>
      <c r="E77" s="80" t="s">
        <v>21</v>
      </c>
      <c r="F77" s="84" t="s">
        <v>65</v>
      </c>
      <c r="G77" s="85">
        <v>0.0</v>
      </c>
      <c r="H77" s="86">
        <v>20000.0</v>
      </c>
      <c r="M77" s="48" t="s">
        <v>37</v>
      </c>
      <c r="N77" s="48" t="s">
        <v>44</v>
      </c>
      <c r="O77" s="48" t="s">
        <v>51</v>
      </c>
      <c r="P77" s="48" t="s">
        <v>29</v>
      </c>
      <c r="Q77" s="80" t="s">
        <v>54</v>
      </c>
      <c r="R77" s="86">
        <v>0.0</v>
      </c>
      <c r="S77" s="87">
        <v>15479.88</v>
      </c>
    </row>
    <row r="78" ht="15.75" customHeight="1">
      <c r="B78" s="79">
        <v>43223.0</v>
      </c>
      <c r="C78" s="80" t="s">
        <v>23</v>
      </c>
      <c r="D78" s="81"/>
      <c r="E78" s="80" t="s">
        <v>21</v>
      </c>
      <c r="F78" s="80" t="s">
        <v>66</v>
      </c>
      <c r="G78" s="82">
        <v>20000.0</v>
      </c>
      <c r="H78" s="83">
        <v>0.0</v>
      </c>
      <c r="M78" s="48" t="s">
        <v>37</v>
      </c>
      <c r="N78" s="48" t="s">
        <v>42</v>
      </c>
      <c r="O78" s="48" t="s">
        <v>51</v>
      </c>
      <c r="P78" s="48" t="s">
        <v>29</v>
      </c>
      <c r="Q78" s="80" t="s">
        <v>58</v>
      </c>
      <c r="R78" s="82">
        <v>72000.0</v>
      </c>
      <c r="S78" s="82">
        <v>0.0</v>
      </c>
    </row>
    <row r="79" ht="15.75" customHeight="1">
      <c r="B79" s="79">
        <v>43223.0</v>
      </c>
      <c r="C79" s="80" t="s">
        <v>23</v>
      </c>
      <c r="D79" s="81"/>
      <c r="E79" s="80" t="s">
        <v>21</v>
      </c>
      <c r="F79" s="84" t="s">
        <v>41</v>
      </c>
      <c r="G79" s="85">
        <v>0.0</v>
      </c>
      <c r="H79" s="86">
        <v>20000.0</v>
      </c>
      <c r="M79" s="48" t="s">
        <v>37</v>
      </c>
      <c r="N79" s="48" t="s">
        <v>44</v>
      </c>
      <c r="O79" s="48" t="s">
        <v>51</v>
      </c>
      <c r="P79" s="48" t="s">
        <v>29</v>
      </c>
      <c r="Q79" s="80" t="s">
        <v>58</v>
      </c>
      <c r="R79" s="86">
        <v>0.0</v>
      </c>
      <c r="S79" s="86">
        <v>72000.0</v>
      </c>
    </row>
    <row r="80" ht="15.75" customHeight="1">
      <c r="B80" s="79">
        <v>43223.0</v>
      </c>
      <c r="C80" s="80" t="s">
        <v>23</v>
      </c>
      <c r="D80" s="81"/>
      <c r="E80" s="80" t="s">
        <v>21</v>
      </c>
      <c r="F80" s="80" t="s">
        <v>41</v>
      </c>
      <c r="G80" s="82">
        <v>20000.0</v>
      </c>
      <c r="H80" s="83">
        <v>0.0</v>
      </c>
      <c r="M80" s="48" t="s">
        <v>37</v>
      </c>
      <c r="N80" s="48" t="s">
        <v>42</v>
      </c>
      <c r="O80" s="48" t="s">
        <v>51</v>
      </c>
      <c r="P80" s="48" t="s">
        <v>29</v>
      </c>
      <c r="Q80" s="80" t="s">
        <v>59</v>
      </c>
      <c r="R80" s="87">
        <v>15467.9</v>
      </c>
      <c r="S80" s="82">
        <v>0.0</v>
      </c>
    </row>
    <row r="81" ht="15.75" customHeight="1">
      <c r="B81" s="79">
        <v>43223.0</v>
      </c>
      <c r="C81" s="80" t="s">
        <v>23</v>
      </c>
      <c r="D81" s="81"/>
      <c r="E81" s="80" t="s">
        <v>21</v>
      </c>
      <c r="F81" s="84" t="s">
        <v>66</v>
      </c>
      <c r="G81" s="85">
        <v>0.0</v>
      </c>
      <c r="H81" s="86">
        <v>20000.0</v>
      </c>
      <c r="M81" s="48" t="s">
        <v>37</v>
      </c>
      <c r="N81" s="48" t="s">
        <v>44</v>
      </c>
      <c r="O81" s="48" t="s">
        <v>51</v>
      </c>
      <c r="P81" s="48" t="s">
        <v>29</v>
      </c>
      <c r="Q81" s="80" t="s">
        <v>59</v>
      </c>
      <c r="R81" s="86">
        <v>0.0</v>
      </c>
      <c r="S81" s="88">
        <v>15467.9</v>
      </c>
    </row>
    <row r="82" ht="15.75" customHeight="1">
      <c r="B82" s="79">
        <v>43223.0</v>
      </c>
      <c r="C82" s="80" t="s">
        <v>23</v>
      </c>
      <c r="D82" s="81"/>
      <c r="E82" s="80" t="s">
        <v>21</v>
      </c>
      <c r="F82" s="80" t="s">
        <v>46</v>
      </c>
      <c r="G82" s="82">
        <v>20000.0</v>
      </c>
      <c r="H82" s="83">
        <v>0.0</v>
      </c>
      <c r="M82" s="48" t="s">
        <v>37</v>
      </c>
      <c r="N82" s="48" t="s">
        <v>42</v>
      </c>
      <c r="O82" s="48" t="s">
        <v>51</v>
      </c>
      <c r="P82" s="48" t="s">
        <v>29</v>
      </c>
      <c r="Q82" s="80" t="s">
        <v>55</v>
      </c>
      <c r="R82" s="82">
        <v>72000.0</v>
      </c>
      <c r="S82" s="82">
        <v>0.0</v>
      </c>
    </row>
    <row r="83" ht="15.75" customHeight="1">
      <c r="B83" s="79">
        <v>43223.0</v>
      </c>
      <c r="C83" s="80" t="s">
        <v>23</v>
      </c>
      <c r="D83" s="81"/>
      <c r="E83" s="80" t="s">
        <v>21</v>
      </c>
      <c r="F83" s="84" t="s">
        <v>65</v>
      </c>
      <c r="G83" s="85">
        <v>0.0</v>
      </c>
      <c r="H83" s="86">
        <v>20000.0</v>
      </c>
      <c r="M83" s="48" t="s">
        <v>37</v>
      </c>
      <c r="N83" s="48" t="s">
        <v>44</v>
      </c>
      <c r="O83" s="48" t="s">
        <v>51</v>
      </c>
      <c r="P83" s="48" t="s">
        <v>29</v>
      </c>
      <c r="Q83" s="80" t="s">
        <v>55</v>
      </c>
      <c r="R83" s="86">
        <v>0.0</v>
      </c>
      <c r="S83" s="86">
        <v>72000.0</v>
      </c>
    </row>
    <row r="84" ht="15.75" customHeight="1">
      <c r="B84" s="79">
        <v>43223.0</v>
      </c>
      <c r="C84" s="80" t="s">
        <v>23</v>
      </c>
      <c r="D84" s="81"/>
      <c r="E84" s="80" t="s">
        <v>21</v>
      </c>
      <c r="F84" s="80" t="s">
        <v>65</v>
      </c>
      <c r="G84" s="82">
        <v>20000.0</v>
      </c>
      <c r="H84" s="83">
        <v>0.0</v>
      </c>
      <c r="M84" s="48" t="s">
        <v>37</v>
      </c>
      <c r="N84" s="48" t="s">
        <v>42</v>
      </c>
      <c r="O84" s="48" t="s">
        <v>51</v>
      </c>
      <c r="P84" s="48" t="s">
        <v>29</v>
      </c>
      <c r="Q84" s="80" t="s">
        <v>60</v>
      </c>
      <c r="R84" s="87">
        <v>15467.9</v>
      </c>
      <c r="S84" s="82">
        <v>0.0</v>
      </c>
    </row>
    <row r="85" ht="15.75" customHeight="1">
      <c r="B85" s="79">
        <v>43223.0</v>
      </c>
      <c r="C85" s="80" t="s">
        <v>23</v>
      </c>
      <c r="D85" s="81"/>
      <c r="E85" s="80" t="s">
        <v>21</v>
      </c>
      <c r="F85" s="84" t="s">
        <v>46</v>
      </c>
      <c r="G85" s="85">
        <v>0.0</v>
      </c>
      <c r="H85" s="86">
        <v>20000.0</v>
      </c>
      <c r="M85" s="48" t="s">
        <v>37</v>
      </c>
      <c r="N85" s="48" t="s">
        <v>44</v>
      </c>
      <c r="O85" s="48" t="s">
        <v>51</v>
      </c>
      <c r="P85" s="48" t="s">
        <v>29</v>
      </c>
      <c r="Q85" s="80" t="s">
        <v>60</v>
      </c>
      <c r="R85" s="86">
        <v>0.0</v>
      </c>
      <c r="S85" s="88">
        <v>15467.9</v>
      </c>
    </row>
    <row r="86" ht="15.75" customHeight="1">
      <c r="B86" s="79">
        <v>43224.0</v>
      </c>
      <c r="C86" s="80" t="s">
        <v>23</v>
      </c>
      <c r="D86" s="80" t="s">
        <v>21</v>
      </c>
      <c r="E86" s="80" t="s">
        <v>21</v>
      </c>
      <c r="F86" s="80" t="s">
        <v>41</v>
      </c>
      <c r="G86" s="82">
        <v>20000.0</v>
      </c>
      <c r="H86" s="83">
        <v>0.0</v>
      </c>
      <c r="M86" s="48" t="s">
        <v>37</v>
      </c>
      <c r="N86" s="48" t="s">
        <v>42</v>
      </c>
      <c r="O86" s="48" t="s">
        <v>51</v>
      </c>
      <c r="P86" s="48" t="s">
        <v>29</v>
      </c>
      <c r="Q86" s="80" t="s">
        <v>61</v>
      </c>
      <c r="R86" s="87">
        <v>15455.95</v>
      </c>
      <c r="S86" s="82">
        <v>0.0</v>
      </c>
    </row>
    <row r="87" ht="15.75" customHeight="1">
      <c r="B87" s="79">
        <v>43224.0</v>
      </c>
      <c r="C87" s="80" t="s">
        <v>23</v>
      </c>
      <c r="D87" s="80" t="s">
        <v>21</v>
      </c>
      <c r="E87" s="80" t="s">
        <v>21</v>
      </c>
      <c r="F87" s="84" t="s">
        <v>66</v>
      </c>
      <c r="G87" s="85">
        <v>0.0</v>
      </c>
      <c r="H87" s="86">
        <v>20000.0</v>
      </c>
      <c r="M87" s="48" t="s">
        <v>37</v>
      </c>
      <c r="N87" s="48" t="s">
        <v>44</v>
      </c>
      <c r="O87" s="48" t="s">
        <v>51</v>
      </c>
      <c r="P87" s="48" t="s">
        <v>29</v>
      </c>
      <c r="Q87" s="80" t="s">
        <v>61</v>
      </c>
      <c r="R87" s="86">
        <v>0.0</v>
      </c>
      <c r="S87" s="87">
        <v>15455.95</v>
      </c>
    </row>
    <row r="88" ht="15.75" customHeight="1">
      <c r="B88" s="79">
        <v>43224.0</v>
      </c>
      <c r="C88" s="80" t="s">
        <v>23</v>
      </c>
      <c r="D88" s="80" t="s">
        <v>21</v>
      </c>
      <c r="E88" s="80" t="s">
        <v>21</v>
      </c>
      <c r="F88" s="80" t="s">
        <v>66</v>
      </c>
      <c r="G88" s="82">
        <v>20000.0</v>
      </c>
      <c r="H88" s="83">
        <v>0.0</v>
      </c>
      <c r="M88" s="48" t="s">
        <v>37</v>
      </c>
      <c r="N88" s="48" t="s">
        <v>42</v>
      </c>
      <c r="O88" s="48" t="s">
        <v>51</v>
      </c>
      <c r="P88" s="48" t="s">
        <v>29</v>
      </c>
      <c r="Q88" s="80" t="s">
        <v>62</v>
      </c>
      <c r="R88" s="87">
        <v>15467.9</v>
      </c>
      <c r="S88" s="82">
        <v>0.0</v>
      </c>
    </row>
    <row r="89" ht="15.75" customHeight="1">
      <c r="B89" s="79">
        <v>43224.0</v>
      </c>
      <c r="C89" s="80" t="s">
        <v>23</v>
      </c>
      <c r="D89" s="80" t="s">
        <v>21</v>
      </c>
      <c r="E89" s="80" t="s">
        <v>21</v>
      </c>
      <c r="F89" s="84" t="s">
        <v>41</v>
      </c>
      <c r="G89" s="85">
        <v>0.0</v>
      </c>
      <c r="H89" s="86">
        <v>20000.0</v>
      </c>
      <c r="M89" s="48" t="s">
        <v>37</v>
      </c>
      <c r="N89" s="48" t="s">
        <v>44</v>
      </c>
      <c r="O89" s="48" t="s">
        <v>51</v>
      </c>
      <c r="P89" s="48" t="s">
        <v>29</v>
      </c>
      <c r="Q89" s="80" t="s">
        <v>62</v>
      </c>
      <c r="R89" s="86">
        <v>0.0</v>
      </c>
      <c r="S89" s="87">
        <v>15467.9</v>
      </c>
    </row>
    <row r="90" ht="15.75" customHeight="1">
      <c r="B90" s="79">
        <v>43224.0</v>
      </c>
      <c r="C90" s="80" t="s">
        <v>23</v>
      </c>
      <c r="D90" s="80" t="s">
        <v>21</v>
      </c>
      <c r="E90" s="80" t="s">
        <v>21</v>
      </c>
      <c r="F90" s="80" t="s">
        <v>65</v>
      </c>
      <c r="G90" s="82">
        <v>20000.0</v>
      </c>
      <c r="H90" s="83">
        <v>0.0</v>
      </c>
      <c r="M90" s="48" t="s">
        <v>37</v>
      </c>
      <c r="N90" s="48" t="s">
        <v>42</v>
      </c>
      <c r="O90" s="48" t="s">
        <v>51</v>
      </c>
      <c r="P90" s="48" t="s">
        <v>29</v>
      </c>
      <c r="Q90" s="80" t="s">
        <v>53</v>
      </c>
      <c r="R90" s="87">
        <v>15455.95</v>
      </c>
      <c r="S90" s="82">
        <v>0.0</v>
      </c>
    </row>
    <row r="91" ht="15.75" customHeight="1">
      <c r="B91" s="79">
        <v>43224.0</v>
      </c>
      <c r="C91" s="80" t="s">
        <v>23</v>
      </c>
      <c r="D91" s="80" t="s">
        <v>21</v>
      </c>
      <c r="E91" s="80" t="s">
        <v>21</v>
      </c>
      <c r="F91" s="84" t="s">
        <v>47</v>
      </c>
      <c r="G91" s="85">
        <v>0.0</v>
      </c>
      <c r="H91" s="86">
        <v>20000.0</v>
      </c>
      <c r="M91" s="48" t="s">
        <v>37</v>
      </c>
      <c r="N91" s="48" t="s">
        <v>44</v>
      </c>
      <c r="O91" s="48" t="s">
        <v>51</v>
      </c>
      <c r="P91" s="48" t="s">
        <v>29</v>
      </c>
      <c r="Q91" s="80" t="s">
        <v>53</v>
      </c>
      <c r="R91" s="86">
        <v>0.0</v>
      </c>
      <c r="S91" s="87">
        <v>15455.95</v>
      </c>
    </row>
    <row r="92" ht="15.75" customHeight="1">
      <c r="B92" s="79">
        <v>43224.0</v>
      </c>
      <c r="C92" s="80" t="s">
        <v>23</v>
      </c>
      <c r="D92" s="80" t="s">
        <v>21</v>
      </c>
      <c r="E92" s="80" t="s">
        <v>21</v>
      </c>
      <c r="F92" s="80" t="s">
        <v>47</v>
      </c>
      <c r="G92" s="82">
        <v>20000.0</v>
      </c>
      <c r="H92" s="83">
        <v>0.0</v>
      </c>
      <c r="M92" s="48" t="s">
        <v>37</v>
      </c>
      <c r="N92" s="48" t="s">
        <v>42</v>
      </c>
      <c r="O92" s="48" t="s">
        <v>51</v>
      </c>
      <c r="P92" s="48" t="s">
        <v>29</v>
      </c>
      <c r="Q92" s="80" t="s">
        <v>54</v>
      </c>
      <c r="R92" s="87">
        <v>15467.9</v>
      </c>
      <c r="S92" s="82">
        <v>0.0</v>
      </c>
    </row>
    <row r="93" ht="15.75" customHeight="1">
      <c r="B93" s="79">
        <v>43224.0</v>
      </c>
      <c r="C93" s="80" t="s">
        <v>23</v>
      </c>
      <c r="D93" s="80" t="s">
        <v>21</v>
      </c>
      <c r="E93" s="80" t="s">
        <v>21</v>
      </c>
      <c r="F93" s="84" t="s">
        <v>65</v>
      </c>
      <c r="G93" s="85">
        <v>0.0</v>
      </c>
      <c r="H93" s="86">
        <v>20000.0</v>
      </c>
      <c r="M93" s="48" t="s">
        <v>37</v>
      </c>
      <c r="N93" s="48" t="s">
        <v>44</v>
      </c>
      <c r="O93" s="48" t="s">
        <v>51</v>
      </c>
      <c r="P93" s="48" t="s">
        <v>29</v>
      </c>
      <c r="Q93" s="80" t="s">
        <v>54</v>
      </c>
      <c r="R93" s="86">
        <v>0.0</v>
      </c>
      <c r="S93" s="87">
        <v>15467.9</v>
      </c>
    </row>
    <row r="94" ht="15.75" customHeight="1">
      <c r="B94" s="79">
        <v>43225.0</v>
      </c>
      <c r="C94" s="80" t="s">
        <v>23</v>
      </c>
      <c r="D94" s="80" t="s">
        <v>21</v>
      </c>
      <c r="E94" s="80" t="s">
        <v>21</v>
      </c>
      <c r="F94" s="80" t="s">
        <v>41</v>
      </c>
      <c r="G94" s="82">
        <v>20000.0</v>
      </c>
      <c r="H94" s="83">
        <v>0.0</v>
      </c>
      <c r="M94" s="48" t="s">
        <v>37</v>
      </c>
      <c r="N94" s="48" t="s">
        <v>42</v>
      </c>
      <c r="O94" s="48" t="s">
        <v>51</v>
      </c>
      <c r="P94" s="48" t="s">
        <v>29</v>
      </c>
      <c r="Q94" s="80" t="s">
        <v>61</v>
      </c>
      <c r="R94" s="87">
        <v>15444.02</v>
      </c>
      <c r="S94" s="82">
        <v>0.0</v>
      </c>
    </row>
    <row r="95" ht="15.75" customHeight="1">
      <c r="B95" s="79">
        <v>43225.0</v>
      </c>
      <c r="C95" s="80" t="s">
        <v>23</v>
      </c>
      <c r="D95" s="80" t="s">
        <v>21</v>
      </c>
      <c r="E95" s="80" t="s">
        <v>21</v>
      </c>
      <c r="F95" s="84" t="s">
        <v>66</v>
      </c>
      <c r="G95" s="85">
        <v>0.0</v>
      </c>
      <c r="H95" s="86">
        <v>20000.0</v>
      </c>
      <c r="M95" s="48" t="s">
        <v>37</v>
      </c>
      <c r="N95" s="48" t="s">
        <v>44</v>
      </c>
      <c r="O95" s="48" t="s">
        <v>51</v>
      </c>
      <c r="P95" s="48" t="s">
        <v>29</v>
      </c>
      <c r="Q95" s="80" t="s">
        <v>61</v>
      </c>
      <c r="R95" s="86">
        <v>0.0</v>
      </c>
      <c r="S95" s="87">
        <v>15444.02</v>
      </c>
    </row>
    <row r="96" ht="15.75" customHeight="1">
      <c r="B96" s="79">
        <v>43225.0</v>
      </c>
      <c r="C96" s="80" t="s">
        <v>23</v>
      </c>
      <c r="D96" s="80" t="s">
        <v>21</v>
      </c>
      <c r="E96" s="80" t="s">
        <v>21</v>
      </c>
      <c r="F96" s="80" t="s">
        <v>66</v>
      </c>
      <c r="G96" s="82">
        <v>20000.0</v>
      </c>
      <c r="H96" s="83">
        <v>0.0</v>
      </c>
      <c r="M96" s="48" t="s">
        <v>37</v>
      </c>
      <c r="N96" s="48" t="s">
        <v>42</v>
      </c>
      <c r="O96" s="48" t="s">
        <v>51</v>
      </c>
      <c r="P96" s="48" t="s">
        <v>29</v>
      </c>
      <c r="Q96" s="80" t="s">
        <v>62</v>
      </c>
      <c r="R96" s="87">
        <v>15455.95</v>
      </c>
      <c r="S96" s="82">
        <v>0.0</v>
      </c>
    </row>
    <row r="97" ht="15.75" customHeight="1">
      <c r="B97" s="79">
        <v>43225.0</v>
      </c>
      <c r="C97" s="80" t="s">
        <v>23</v>
      </c>
      <c r="D97" s="80" t="s">
        <v>21</v>
      </c>
      <c r="E97" s="80" t="s">
        <v>21</v>
      </c>
      <c r="F97" s="84" t="s">
        <v>41</v>
      </c>
      <c r="G97" s="85">
        <v>0.0</v>
      </c>
      <c r="H97" s="86">
        <v>20000.0</v>
      </c>
      <c r="M97" s="48" t="s">
        <v>37</v>
      </c>
      <c r="N97" s="48" t="s">
        <v>44</v>
      </c>
      <c r="O97" s="48" t="s">
        <v>51</v>
      </c>
      <c r="P97" s="48" t="s">
        <v>29</v>
      </c>
      <c r="Q97" s="80" t="s">
        <v>62</v>
      </c>
      <c r="R97" s="86">
        <v>0.0</v>
      </c>
      <c r="S97" s="87">
        <v>15455.95</v>
      </c>
    </row>
    <row r="98" ht="15.75" customHeight="1">
      <c r="B98" s="79">
        <v>43225.0</v>
      </c>
      <c r="C98" s="80" t="s">
        <v>23</v>
      </c>
      <c r="D98" s="80" t="s">
        <v>21</v>
      </c>
      <c r="E98" s="80" t="s">
        <v>21</v>
      </c>
      <c r="F98" s="80" t="s">
        <v>65</v>
      </c>
      <c r="G98" s="82">
        <v>20000.0</v>
      </c>
      <c r="H98" s="83">
        <v>0.0</v>
      </c>
      <c r="M98" s="48" t="s">
        <v>37</v>
      </c>
      <c r="N98" s="48" t="s">
        <v>42</v>
      </c>
      <c r="O98" s="48" t="s">
        <v>51</v>
      </c>
      <c r="P98" s="48" t="s">
        <v>29</v>
      </c>
      <c r="Q98" s="80" t="s">
        <v>53</v>
      </c>
      <c r="R98" s="87">
        <v>15444.02</v>
      </c>
      <c r="S98" s="82">
        <v>0.0</v>
      </c>
    </row>
    <row r="99" ht="15.75" customHeight="1">
      <c r="B99" s="79">
        <v>43225.0</v>
      </c>
      <c r="C99" s="80" t="s">
        <v>23</v>
      </c>
      <c r="D99" s="80" t="s">
        <v>21</v>
      </c>
      <c r="E99" s="80" t="s">
        <v>21</v>
      </c>
      <c r="F99" s="84" t="s">
        <v>47</v>
      </c>
      <c r="G99" s="85">
        <v>0.0</v>
      </c>
      <c r="H99" s="86">
        <v>20000.0</v>
      </c>
      <c r="M99" s="48" t="s">
        <v>37</v>
      </c>
      <c r="N99" s="48" t="s">
        <v>44</v>
      </c>
      <c r="O99" s="48" t="s">
        <v>51</v>
      </c>
      <c r="P99" s="48" t="s">
        <v>29</v>
      </c>
      <c r="Q99" s="80" t="s">
        <v>53</v>
      </c>
      <c r="R99" s="86">
        <v>0.0</v>
      </c>
      <c r="S99" s="87">
        <v>15444.02</v>
      </c>
    </row>
    <row r="100" ht="15.75" customHeight="1">
      <c r="B100" s="79">
        <v>43225.0</v>
      </c>
      <c r="C100" s="80" t="s">
        <v>23</v>
      </c>
      <c r="D100" s="80" t="s">
        <v>21</v>
      </c>
      <c r="E100" s="80" t="s">
        <v>21</v>
      </c>
      <c r="F100" s="80" t="s">
        <v>47</v>
      </c>
      <c r="G100" s="82">
        <v>20000.0</v>
      </c>
      <c r="H100" s="83">
        <v>0.0</v>
      </c>
      <c r="M100" s="48" t="s">
        <v>37</v>
      </c>
      <c r="N100" s="48" t="s">
        <v>42</v>
      </c>
      <c r="O100" s="48" t="s">
        <v>51</v>
      </c>
      <c r="P100" s="48" t="s">
        <v>29</v>
      </c>
      <c r="Q100" s="80" t="s">
        <v>54</v>
      </c>
      <c r="R100" s="87">
        <v>15455.95</v>
      </c>
      <c r="S100" s="82">
        <v>0.0</v>
      </c>
    </row>
    <row r="101" ht="15.75" customHeight="1">
      <c r="B101" s="79">
        <v>43225.0</v>
      </c>
      <c r="C101" s="80" t="s">
        <v>23</v>
      </c>
      <c r="D101" s="80" t="s">
        <v>21</v>
      </c>
      <c r="E101" s="80" t="s">
        <v>21</v>
      </c>
      <c r="F101" s="84" t="s">
        <v>65</v>
      </c>
      <c r="G101" s="85">
        <v>0.0</v>
      </c>
      <c r="H101" s="86">
        <v>20000.0</v>
      </c>
      <c r="M101" s="48" t="s">
        <v>37</v>
      </c>
      <c r="N101" s="48" t="s">
        <v>44</v>
      </c>
      <c r="O101" s="48" t="s">
        <v>51</v>
      </c>
      <c r="P101" s="48" t="s">
        <v>29</v>
      </c>
      <c r="Q101" s="80" t="s">
        <v>54</v>
      </c>
      <c r="R101" s="86">
        <v>0.0</v>
      </c>
      <c r="S101" s="87">
        <v>15455.95</v>
      </c>
    </row>
    <row r="102" ht="15.75" customHeight="1">
      <c r="B102" s="79">
        <v>43226.0</v>
      </c>
      <c r="C102" s="80" t="s">
        <v>23</v>
      </c>
      <c r="D102" s="80" t="s">
        <v>21</v>
      </c>
      <c r="E102" s="80" t="s">
        <v>21</v>
      </c>
      <c r="F102" s="80" t="s">
        <v>41</v>
      </c>
      <c r="G102" s="82">
        <v>20000.0</v>
      </c>
      <c r="H102" s="83">
        <v>0.0</v>
      </c>
      <c r="M102" s="48" t="s">
        <v>37</v>
      </c>
      <c r="N102" s="48" t="s">
        <v>42</v>
      </c>
      <c r="O102" s="48" t="s">
        <v>51</v>
      </c>
      <c r="P102" s="48" t="s">
        <v>29</v>
      </c>
      <c r="Q102" s="80" t="s">
        <v>61</v>
      </c>
      <c r="R102" s="87">
        <v>15432.1</v>
      </c>
      <c r="S102" s="82">
        <v>0.0</v>
      </c>
    </row>
    <row r="103" ht="15.75" customHeight="1">
      <c r="B103" s="79">
        <v>43226.0</v>
      </c>
      <c r="C103" s="80" t="s">
        <v>23</v>
      </c>
      <c r="D103" s="80" t="s">
        <v>21</v>
      </c>
      <c r="E103" s="80" t="s">
        <v>21</v>
      </c>
      <c r="F103" s="84" t="s">
        <v>66</v>
      </c>
      <c r="G103" s="85">
        <v>0.0</v>
      </c>
      <c r="H103" s="86">
        <v>20000.0</v>
      </c>
      <c r="M103" s="48" t="s">
        <v>37</v>
      </c>
      <c r="N103" s="48" t="s">
        <v>44</v>
      </c>
      <c r="O103" s="48" t="s">
        <v>51</v>
      </c>
      <c r="P103" s="48" t="s">
        <v>29</v>
      </c>
      <c r="Q103" s="80" t="s">
        <v>61</v>
      </c>
      <c r="R103" s="86">
        <v>0.0</v>
      </c>
      <c r="S103" s="87">
        <v>15432.1</v>
      </c>
    </row>
    <row r="104" ht="15.75" customHeight="1">
      <c r="B104" s="79">
        <v>43226.0</v>
      </c>
      <c r="C104" s="80" t="s">
        <v>23</v>
      </c>
      <c r="D104" s="80" t="s">
        <v>21</v>
      </c>
      <c r="E104" s="80" t="s">
        <v>21</v>
      </c>
      <c r="F104" s="80" t="s">
        <v>66</v>
      </c>
      <c r="G104" s="82">
        <v>20000.0</v>
      </c>
      <c r="H104" s="83">
        <v>0.0</v>
      </c>
      <c r="M104" s="48" t="s">
        <v>37</v>
      </c>
      <c r="N104" s="48" t="s">
        <v>42</v>
      </c>
      <c r="O104" s="48" t="s">
        <v>51</v>
      </c>
      <c r="P104" s="48" t="s">
        <v>29</v>
      </c>
      <c r="Q104" s="80" t="s">
        <v>62</v>
      </c>
      <c r="R104" s="87">
        <v>15444.02</v>
      </c>
      <c r="S104" s="82">
        <v>0.0</v>
      </c>
    </row>
    <row r="105" ht="15.75" customHeight="1">
      <c r="B105" s="79">
        <v>43226.0</v>
      </c>
      <c r="C105" s="80" t="s">
        <v>23</v>
      </c>
      <c r="D105" s="80" t="s">
        <v>21</v>
      </c>
      <c r="E105" s="80" t="s">
        <v>21</v>
      </c>
      <c r="F105" s="84" t="s">
        <v>41</v>
      </c>
      <c r="G105" s="85">
        <v>0.0</v>
      </c>
      <c r="H105" s="86">
        <v>20000.0</v>
      </c>
      <c r="M105" s="48" t="s">
        <v>37</v>
      </c>
      <c r="N105" s="48" t="s">
        <v>44</v>
      </c>
      <c r="O105" s="48" t="s">
        <v>51</v>
      </c>
      <c r="P105" s="48" t="s">
        <v>29</v>
      </c>
      <c r="Q105" s="80" t="s">
        <v>62</v>
      </c>
      <c r="R105" s="86">
        <v>0.0</v>
      </c>
      <c r="S105" s="87">
        <v>15444.02</v>
      </c>
    </row>
    <row r="106" ht="15.75" customHeight="1">
      <c r="B106" s="79">
        <v>43226.0</v>
      </c>
      <c r="C106" s="80" t="s">
        <v>23</v>
      </c>
      <c r="D106" s="80" t="s">
        <v>21</v>
      </c>
      <c r="E106" s="80" t="s">
        <v>21</v>
      </c>
      <c r="F106" s="80" t="s">
        <v>65</v>
      </c>
      <c r="G106" s="82">
        <v>20000.0</v>
      </c>
      <c r="H106" s="83">
        <v>0.0</v>
      </c>
      <c r="M106" s="48" t="s">
        <v>37</v>
      </c>
      <c r="N106" s="48" t="s">
        <v>42</v>
      </c>
      <c r="O106" s="48" t="s">
        <v>51</v>
      </c>
      <c r="P106" s="48" t="s">
        <v>29</v>
      </c>
      <c r="Q106" s="80" t="s">
        <v>53</v>
      </c>
      <c r="R106" s="87">
        <v>15432.1</v>
      </c>
      <c r="S106" s="82">
        <v>0.0</v>
      </c>
    </row>
    <row r="107" ht="15.75" customHeight="1">
      <c r="B107" s="79">
        <v>43226.0</v>
      </c>
      <c r="C107" s="80" t="s">
        <v>23</v>
      </c>
      <c r="D107" s="80" t="s">
        <v>21</v>
      </c>
      <c r="E107" s="80" t="s">
        <v>21</v>
      </c>
      <c r="F107" s="84" t="s">
        <v>47</v>
      </c>
      <c r="G107" s="85">
        <v>0.0</v>
      </c>
      <c r="H107" s="86">
        <v>20000.0</v>
      </c>
      <c r="M107" s="48" t="s">
        <v>37</v>
      </c>
      <c r="N107" s="48" t="s">
        <v>44</v>
      </c>
      <c r="O107" s="48" t="s">
        <v>51</v>
      </c>
      <c r="P107" s="48" t="s">
        <v>29</v>
      </c>
      <c r="Q107" s="80" t="s">
        <v>53</v>
      </c>
      <c r="R107" s="86">
        <v>0.0</v>
      </c>
      <c r="S107" s="87">
        <v>15432.1</v>
      </c>
    </row>
    <row r="108" ht="15.75" customHeight="1">
      <c r="B108" s="79">
        <v>43226.0</v>
      </c>
      <c r="C108" s="80" t="s">
        <v>23</v>
      </c>
      <c r="D108" s="80" t="s">
        <v>21</v>
      </c>
      <c r="E108" s="80" t="s">
        <v>21</v>
      </c>
      <c r="F108" s="80" t="s">
        <v>47</v>
      </c>
      <c r="G108" s="82">
        <v>20000.0</v>
      </c>
      <c r="H108" s="83">
        <v>0.0</v>
      </c>
      <c r="M108" s="48" t="s">
        <v>37</v>
      </c>
      <c r="N108" s="48" t="s">
        <v>42</v>
      </c>
      <c r="O108" s="48" t="s">
        <v>51</v>
      </c>
      <c r="P108" s="48" t="s">
        <v>29</v>
      </c>
      <c r="Q108" s="80" t="s">
        <v>54</v>
      </c>
      <c r="R108" s="87">
        <v>15444.02</v>
      </c>
      <c r="S108" s="82">
        <v>0.0</v>
      </c>
    </row>
    <row r="109" ht="15.75" customHeight="1">
      <c r="B109" s="79">
        <v>43226.0</v>
      </c>
      <c r="C109" s="80" t="s">
        <v>23</v>
      </c>
      <c r="D109" s="80" t="s">
        <v>21</v>
      </c>
      <c r="E109" s="80" t="s">
        <v>21</v>
      </c>
      <c r="F109" s="84" t="s">
        <v>65</v>
      </c>
      <c r="G109" s="85">
        <v>0.0</v>
      </c>
      <c r="H109" s="86">
        <v>20000.0</v>
      </c>
      <c r="M109" s="48" t="s">
        <v>37</v>
      </c>
      <c r="N109" s="48" t="s">
        <v>44</v>
      </c>
      <c r="O109" s="48" t="s">
        <v>51</v>
      </c>
      <c r="P109" s="48" t="s">
        <v>29</v>
      </c>
      <c r="Q109" s="80" t="s">
        <v>54</v>
      </c>
      <c r="R109" s="86">
        <v>0.0</v>
      </c>
      <c r="S109" s="87">
        <v>15444.02</v>
      </c>
    </row>
    <row r="110" ht="15.75" customHeight="1">
      <c r="B110" s="79">
        <v>43227.0</v>
      </c>
      <c r="C110" s="80" t="s">
        <v>23</v>
      </c>
      <c r="D110" s="80" t="s">
        <v>21</v>
      </c>
      <c r="E110" s="80" t="s">
        <v>21</v>
      </c>
      <c r="F110" s="80" t="s">
        <v>41</v>
      </c>
      <c r="G110" s="82">
        <v>20000.0</v>
      </c>
      <c r="H110" s="83">
        <v>0.0</v>
      </c>
      <c r="M110" s="48" t="s">
        <v>37</v>
      </c>
      <c r="N110" s="48" t="s">
        <v>42</v>
      </c>
      <c r="O110" s="48" t="s">
        <v>51</v>
      </c>
      <c r="P110" s="48" t="s">
        <v>29</v>
      </c>
      <c r="Q110" s="80" t="s">
        <v>61</v>
      </c>
      <c r="R110" s="87">
        <v>15420.2</v>
      </c>
      <c r="S110" s="82">
        <v>0.0</v>
      </c>
    </row>
    <row r="111" ht="15.75" customHeight="1">
      <c r="B111" s="79">
        <v>43227.0</v>
      </c>
      <c r="C111" s="80" t="s">
        <v>23</v>
      </c>
      <c r="D111" s="80" t="s">
        <v>21</v>
      </c>
      <c r="E111" s="80" t="s">
        <v>21</v>
      </c>
      <c r="F111" s="84" t="s">
        <v>66</v>
      </c>
      <c r="G111" s="85">
        <v>0.0</v>
      </c>
      <c r="H111" s="86">
        <v>20000.0</v>
      </c>
      <c r="M111" s="48" t="s">
        <v>37</v>
      </c>
      <c r="N111" s="48" t="s">
        <v>44</v>
      </c>
      <c r="O111" s="48" t="s">
        <v>51</v>
      </c>
      <c r="P111" s="48" t="s">
        <v>29</v>
      </c>
      <c r="Q111" s="80" t="s">
        <v>61</v>
      </c>
      <c r="R111" s="86">
        <v>0.0</v>
      </c>
      <c r="S111" s="87">
        <v>15420.2</v>
      </c>
    </row>
    <row r="112" ht="15.75" customHeight="1">
      <c r="B112" s="79">
        <v>43227.0</v>
      </c>
      <c r="C112" s="80" t="s">
        <v>23</v>
      </c>
      <c r="D112" s="80" t="s">
        <v>21</v>
      </c>
      <c r="E112" s="80" t="s">
        <v>21</v>
      </c>
      <c r="F112" s="80" t="s">
        <v>66</v>
      </c>
      <c r="G112" s="82">
        <v>20000.0</v>
      </c>
      <c r="H112" s="83">
        <v>0.0</v>
      </c>
      <c r="M112" s="48" t="s">
        <v>37</v>
      </c>
      <c r="N112" s="48" t="s">
        <v>42</v>
      </c>
      <c r="O112" s="48" t="s">
        <v>51</v>
      </c>
      <c r="P112" s="48" t="s">
        <v>29</v>
      </c>
      <c r="Q112" s="80" t="s">
        <v>62</v>
      </c>
      <c r="R112" s="87">
        <v>15432.1</v>
      </c>
      <c r="S112" s="82">
        <v>0.0</v>
      </c>
    </row>
    <row r="113" ht="15.75" customHeight="1">
      <c r="B113" s="79">
        <v>43227.0</v>
      </c>
      <c r="C113" s="80" t="s">
        <v>23</v>
      </c>
      <c r="D113" s="80" t="s">
        <v>21</v>
      </c>
      <c r="E113" s="80" t="s">
        <v>21</v>
      </c>
      <c r="F113" s="84" t="s">
        <v>41</v>
      </c>
      <c r="G113" s="85">
        <v>0.0</v>
      </c>
      <c r="H113" s="86">
        <v>20000.0</v>
      </c>
      <c r="M113" s="48" t="s">
        <v>37</v>
      </c>
      <c r="N113" s="48" t="s">
        <v>44</v>
      </c>
      <c r="O113" s="48" t="s">
        <v>51</v>
      </c>
      <c r="P113" s="48" t="s">
        <v>29</v>
      </c>
      <c r="Q113" s="80" t="s">
        <v>62</v>
      </c>
      <c r="R113" s="86">
        <v>0.0</v>
      </c>
      <c r="S113" s="87">
        <v>15432.1</v>
      </c>
    </row>
    <row r="114" ht="15.75" customHeight="1">
      <c r="B114" s="79">
        <v>43227.0</v>
      </c>
      <c r="C114" s="80" t="s">
        <v>23</v>
      </c>
      <c r="D114" s="80" t="s">
        <v>21</v>
      </c>
      <c r="E114" s="80" t="s">
        <v>21</v>
      </c>
      <c r="F114" s="80" t="s">
        <v>65</v>
      </c>
      <c r="G114" s="82">
        <v>20000.0</v>
      </c>
      <c r="H114" s="83">
        <v>0.0</v>
      </c>
      <c r="M114" s="48" t="s">
        <v>37</v>
      </c>
      <c r="N114" s="48" t="s">
        <v>42</v>
      </c>
      <c r="O114" s="48" t="s">
        <v>51</v>
      </c>
      <c r="P114" s="48" t="s">
        <v>29</v>
      </c>
      <c r="Q114" s="80" t="s">
        <v>53</v>
      </c>
      <c r="R114" s="87">
        <v>15420.2</v>
      </c>
      <c r="S114" s="82">
        <v>0.0</v>
      </c>
    </row>
    <row r="115" ht="15.75" customHeight="1">
      <c r="B115" s="79">
        <v>43227.0</v>
      </c>
      <c r="C115" s="80" t="s">
        <v>23</v>
      </c>
      <c r="D115" s="80" t="s">
        <v>21</v>
      </c>
      <c r="E115" s="80" t="s">
        <v>21</v>
      </c>
      <c r="F115" s="84" t="s">
        <v>47</v>
      </c>
      <c r="G115" s="85">
        <v>0.0</v>
      </c>
      <c r="H115" s="86">
        <v>20000.0</v>
      </c>
      <c r="M115" s="48" t="s">
        <v>37</v>
      </c>
      <c r="N115" s="48" t="s">
        <v>44</v>
      </c>
      <c r="O115" s="48" t="s">
        <v>51</v>
      </c>
      <c r="P115" s="48" t="s">
        <v>29</v>
      </c>
      <c r="Q115" s="80" t="s">
        <v>53</v>
      </c>
      <c r="R115" s="86">
        <v>0.0</v>
      </c>
      <c r="S115" s="87">
        <v>15420.2</v>
      </c>
    </row>
    <row r="116" ht="15.75" customHeight="1">
      <c r="B116" s="79">
        <v>43227.0</v>
      </c>
      <c r="C116" s="80" t="s">
        <v>23</v>
      </c>
      <c r="D116" s="80" t="s">
        <v>21</v>
      </c>
      <c r="E116" s="80" t="s">
        <v>21</v>
      </c>
      <c r="F116" s="80" t="s">
        <v>47</v>
      </c>
      <c r="G116" s="82">
        <v>20000.0</v>
      </c>
      <c r="H116" s="83">
        <v>0.0</v>
      </c>
      <c r="M116" s="48" t="s">
        <v>37</v>
      </c>
      <c r="N116" s="48" t="s">
        <v>42</v>
      </c>
      <c r="O116" s="48" t="s">
        <v>51</v>
      </c>
      <c r="P116" s="48" t="s">
        <v>29</v>
      </c>
      <c r="Q116" s="80" t="s">
        <v>54</v>
      </c>
      <c r="R116" s="87">
        <v>15432.1</v>
      </c>
      <c r="S116" s="82">
        <v>0.0</v>
      </c>
    </row>
    <row r="117" ht="15.75" customHeight="1">
      <c r="B117" s="79">
        <v>43227.0</v>
      </c>
      <c r="C117" s="80" t="s">
        <v>23</v>
      </c>
      <c r="D117" s="80" t="s">
        <v>21</v>
      </c>
      <c r="E117" s="80" t="s">
        <v>21</v>
      </c>
      <c r="F117" s="84" t="s">
        <v>65</v>
      </c>
      <c r="G117" s="85">
        <v>0.0</v>
      </c>
      <c r="H117" s="86">
        <v>20000.0</v>
      </c>
      <c r="M117" s="48" t="s">
        <v>37</v>
      </c>
      <c r="N117" s="48" t="s">
        <v>44</v>
      </c>
      <c r="O117" s="48" t="s">
        <v>51</v>
      </c>
      <c r="P117" s="48" t="s">
        <v>29</v>
      </c>
      <c r="Q117" s="80" t="s">
        <v>54</v>
      </c>
      <c r="R117" s="86">
        <v>0.0</v>
      </c>
      <c r="S117" s="87">
        <v>15432.1</v>
      </c>
    </row>
    <row r="118" ht="15.75" customHeight="1">
      <c r="B118" s="79">
        <v>43228.0</v>
      </c>
      <c r="C118" s="80" t="s">
        <v>23</v>
      </c>
      <c r="D118" s="80" t="s">
        <v>21</v>
      </c>
      <c r="E118" s="80" t="s">
        <v>21</v>
      </c>
      <c r="F118" s="80" t="s">
        <v>41</v>
      </c>
      <c r="G118" s="82">
        <v>20000.0</v>
      </c>
      <c r="H118" s="83">
        <v>0.0</v>
      </c>
      <c r="M118" s="48" t="s">
        <v>37</v>
      </c>
      <c r="N118" s="48" t="s">
        <v>42</v>
      </c>
      <c r="O118" s="48" t="s">
        <v>51</v>
      </c>
      <c r="P118" s="48" t="s">
        <v>29</v>
      </c>
      <c r="Q118" s="80" t="s">
        <v>61</v>
      </c>
      <c r="R118" s="87">
        <v>15408.32</v>
      </c>
      <c r="S118" s="82">
        <v>0.0</v>
      </c>
    </row>
    <row r="119" ht="15.75" customHeight="1">
      <c r="B119" s="79">
        <v>43228.0</v>
      </c>
      <c r="C119" s="80" t="s">
        <v>23</v>
      </c>
      <c r="D119" s="80" t="s">
        <v>21</v>
      </c>
      <c r="E119" s="80" t="s">
        <v>21</v>
      </c>
      <c r="F119" s="84" t="s">
        <v>66</v>
      </c>
      <c r="G119" s="85">
        <v>0.0</v>
      </c>
      <c r="H119" s="86">
        <v>20000.0</v>
      </c>
      <c r="M119" s="48" t="s">
        <v>37</v>
      </c>
      <c r="N119" s="48" t="s">
        <v>44</v>
      </c>
      <c r="O119" s="48" t="s">
        <v>51</v>
      </c>
      <c r="P119" s="48" t="s">
        <v>29</v>
      </c>
      <c r="Q119" s="80" t="s">
        <v>61</v>
      </c>
      <c r="R119" s="86">
        <v>0.0</v>
      </c>
      <c r="S119" s="88">
        <v>15408.32</v>
      </c>
    </row>
    <row r="120" ht="15.75" customHeight="1">
      <c r="B120" s="79">
        <v>43228.0</v>
      </c>
      <c r="C120" s="80" t="s">
        <v>23</v>
      </c>
      <c r="D120" s="80" t="s">
        <v>21</v>
      </c>
      <c r="E120" s="80" t="s">
        <v>21</v>
      </c>
      <c r="F120" s="80" t="s">
        <v>66</v>
      </c>
      <c r="G120" s="82">
        <v>20000.0</v>
      </c>
      <c r="H120" s="83">
        <v>0.0</v>
      </c>
      <c r="M120" s="48" t="s">
        <v>37</v>
      </c>
      <c r="N120" s="48" t="s">
        <v>42</v>
      </c>
      <c r="O120" s="48" t="s">
        <v>51</v>
      </c>
      <c r="P120" s="48" t="s">
        <v>29</v>
      </c>
      <c r="Q120" s="80" t="s">
        <v>62</v>
      </c>
      <c r="R120" s="87">
        <v>15420.2</v>
      </c>
      <c r="S120" s="82">
        <v>0.0</v>
      </c>
    </row>
    <row r="121" ht="15.75" customHeight="1">
      <c r="B121" s="79">
        <v>43228.0</v>
      </c>
      <c r="C121" s="80" t="s">
        <v>23</v>
      </c>
      <c r="D121" s="80" t="s">
        <v>21</v>
      </c>
      <c r="E121" s="80" t="s">
        <v>21</v>
      </c>
      <c r="F121" s="84" t="s">
        <v>41</v>
      </c>
      <c r="G121" s="85">
        <v>0.0</v>
      </c>
      <c r="H121" s="86">
        <v>20000.0</v>
      </c>
      <c r="M121" s="48" t="s">
        <v>37</v>
      </c>
      <c r="N121" s="48" t="s">
        <v>44</v>
      </c>
      <c r="O121" s="48" t="s">
        <v>51</v>
      </c>
      <c r="P121" s="48" t="s">
        <v>29</v>
      </c>
      <c r="Q121" s="80" t="s">
        <v>62</v>
      </c>
      <c r="R121" s="86">
        <v>0.0</v>
      </c>
      <c r="S121" s="87">
        <v>15420.2</v>
      </c>
    </row>
    <row r="122" ht="15.75" customHeight="1">
      <c r="B122" s="79">
        <v>43228.0</v>
      </c>
      <c r="C122" s="80" t="s">
        <v>23</v>
      </c>
      <c r="D122" s="80" t="s">
        <v>21</v>
      </c>
      <c r="E122" s="80" t="s">
        <v>21</v>
      </c>
      <c r="F122" s="80" t="s">
        <v>65</v>
      </c>
      <c r="G122" s="82">
        <v>20000.0</v>
      </c>
      <c r="H122" s="83">
        <v>0.0</v>
      </c>
      <c r="M122" s="48" t="s">
        <v>37</v>
      </c>
      <c r="N122" s="48" t="s">
        <v>42</v>
      </c>
      <c r="O122" s="48" t="s">
        <v>51</v>
      </c>
      <c r="P122" s="48" t="s">
        <v>29</v>
      </c>
      <c r="Q122" s="80" t="s">
        <v>53</v>
      </c>
      <c r="R122" s="87">
        <v>15408.32</v>
      </c>
      <c r="S122" s="82">
        <v>0.0</v>
      </c>
    </row>
    <row r="123" ht="15.75" customHeight="1">
      <c r="B123" s="79">
        <v>43228.0</v>
      </c>
      <c r="C123" s="80" t="s">
        <v>23</v>
      </c>
      <c r="D123" s="80" t="s">
        <v>21</v>
      </c>
      <c r="E123" s="80" t="s">
        <v>21</v>
      </c>
      <c r="F123" s="84" t="s">
        <v>47</v>
      </c>
      <c r="G123" s="85">
        <v>0.0</v>
      </c>
      <c r="H123" s="86">
        <v>20000.0</v>
      </c>
      <c r="M123" s="48" t="s">
        <v>37</v>
      </c>
      <c r="N123" s="48" t="s">
        <v>44</v>
      </c>
      <c r="O123" s="48" t="s">
        <v>51</v>
      </c>
      <c r="P123" s="48" t="s">
        <v>29</v>
      </c>
      <c r="Q123" s="80" t="s">
        <v>53</v>
      </c>
      <c r="R123" s="86">
        <v>0.0</v>
      </c>
      <c r="S123" s="88">
        <v>15408.32</v>
      </c>
    </row>
    <row r="124" ht="15.75" customHeight="1">
      <c r="B124" s="79">
        <v>43228.0</v>
      </c>
      <c r="C124" s="80" t="s">
        <v>23</v>
      </c>
      <c r="D124" s="80" t="s">
        <v>21</v>
      </c>
      <c r="E124" s="80" t="s">
        <v>21</v>
      </c>
      <c r="F124" s="80" t="s">
        <v>47</v>
      </c>
      <c r="G124" s="82">
        <v>20000.0</v>
      </c>
      <c r="H124" s="83">
        <v>0.0</v>
      </c>
      <c r="M124" s="48" t="s">
        <v>37</v>
      </c>
      <c r="N124" s="48" t="s">
        <v>42</v>
      </c>
      <c r="O124" s="48" t="s">
        <v>51</v>
      </c>
      <c r="P124" s="48" t="s">
        <v>29</v>
      </c>
      <c r="Q124" s="80" t="s">
        <v>54</v>
      </c>
      <c r="R124" s="87">
        <v>15420.2</v>
      </c>
      <c r="S124" s="82">
        <v>0.0</v>
      </c>
    </row>
    <row r="125" ht="15.75" customHeight="1">
      <c r="B125" s="79">
        <v>43228.0</v>
      </c>
      <c r="C125" s="80" t="s">
        <v>23</v>
      </c>
      <c r="D125" s="80" t="s">
        <v>21</v>
      </c>
      <c r="E125" s="80" t="s">
        <v>21</v>
      </c>
      <c r="F125" s="84" t="s">
        <v>65</v>
      </c>
      <c r="G125" s="85">
        <v>0.0</v>
      </c>
      <c r="H125" s="86">
        <v>20000.0</v>
      </c>
      <c r="M125" s="48" t="s">
        <v>37</v>
      </c>
      <c r="N125" s="48" t="s">
        <v>44</v>
      </c>
      <c r="O125" s="48" t="s">
        <v>51</v>
      </c>
      <c r="P125" s="48" t="s">
        <v>29</v>
      </c>
      <c r="Q125" s="80" t="s">
        <v>54</v>
      </c>
      <c r="R125" s="86">
        <v>0.0</v>
      </c>
      <c r="S125" s="87">
        <v>15420.2</v>
      </c>
    </row>
    <row r="126" ht="15.75" customHeight="1">
      <c r="M126" s="48"/>
      <c r="N126" s="48"/>
      <c r="O126" s="48"/>
      <c r="P126" s="48"/>
    </row>
    <row r="127" ht="15.75" customHeight="1">
      <c r="M127" s="48"/>
      <c r="N127" s="48"/>
      <c r="O127" s="48"/>
      <c r="P127" s="48"/>
    </row>
    <row r="128" ht="15.75" customHeight="1">
      <c r="M128" s="48"/>
      <c r="N128" s="48"/>
      <c r="O128" s="48"/>
      <c r="P128" s="48"/>
    </row>
    <row r="129" ht="15.75" customHeight="1">
      <c r="M129" s="48"/>
      <c r="N129" s="48"/>
      <c r="O129" s="48"/>
      <c r="P129" s="48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8" t="s">
        <v>12</v>
      </c>
      <c r="D3" s="4" t="s">
        <v>9</v>
      </c>
      <c r="E3" s="18" t="s">
        <v>67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IFERROR(__xludf.DUMMYFUNCTION("""COMPUTED_VALUE"""),"CashTransactionId")</f>
        <v>CashTransactionId</v>
      </c>
      <c r="C5" s="23" t="str">
        <f>IFERROR(__xludf.DUMMYFUNCTION("""COMPUTED_VALUE"""),"Activity Type")</f>
        <v>Activity Type</v>
      </c>
      <c r="D5" s="23" t="str">
        <f>IFERROR(__xludf.DUMMYFUNCTION("""COMPUTED_VALUE"""),"Symbol")</f>
        <v>Symbol</v>
      </c>
      <c r="E5" s="23" t="str">
        <f>IFERROR(__xludf.DUMMYFUNCTION("""COMPUTED_VALUE"""),"Strategy")</f>
        <v>Strategy</v>
      </c>
      <c r="F5" s="23" t="str">
        <f>IFERROR(__xludf.DUMMYFUNCTION("""COMPUTED_VALUE"""),"Account")</f>
        <v>Account</v>
      </c>
      <c r="G5" s="23" t="str">
        <f>IFERROR(__xludf.DUMMYFUNCTION("""COMPUTED_VALUE"""),"Currency")</f>
        <v>Currency</v>
      </c>
      <c r="H5" s="23" t="str">
        <f>IFERROR(__xludf.DUMMYFUNCTION("""COMPUTED_VALUE"""),"Amount")</f>
        <v>Amount</v>
      </c>
      <c r="I5" s="23" t="str">
        <f>IFERROR(__xludf.DUMMYFUNCTION("""COMPUTED_VALUE"""),"Ex Date")</f>
        <v>Ex Date</v>
      </c>
      <c r="J5" s="23" t="str">
        <f>IFERROR(__xludf.DUMMYFUNCTION("""COMPUTED_VALUE"""),"Payout Date")</f>
        <v>Payout Date</v>
      </c>
      <c r="K5" s="23" t="str">
        <f>IFERROR(__xludf.DUMMYFUNCTION("""COMPUTED_VALUE"""),"Record Date")</f>
        <v>Record Date</v>
      </c>
      <c r="L5" s="23" t="str">
        <f>IFERROR(__xludf.DUMMYFUNCTION("""COMPUTED_VALUE"""),"Declaration Date")</f>
        <v>Declaration Date</v>
      </c>
      <c r="M5" s="23" t="str">
        <f>IFERROR(__xludf.DUMMYFUNCTION("""COMPUTED_VALUE"""),"Description")</f>
        <v>Description</v>
      </c>
      <c r="N5" s="23" t="str">
        <f>IFERROR(__xludf.DUMMYFUNCTION("""COMPUTED_VALUE"""),"Other Currency")</f>
        <v>Other Currency</v>
      </c>
      <c r="O5" s="23" t="str">
        <f>IFERROR(__xludf.DUMMYFUNCTION("""COMPUTED_VALUE"""),"FXRate")</f>
        <v>FXRate</v>
      </c>
      <c r="P5" s="23" t="str">
        <f>IFERROR(__xludf.DUMMYFUNCTION("""COMPUTED_VALUE"""),"FXConversionMethodOperator")</f>
        <v>FXConversionMethodOperator</v>
      </c>
      <c r="Q5" s="23" t="str">
        <f>IFERROR(__xludf.DUMMYFUNCTION("""COMPUTED_VALUE"""),"Transaction Source")</f>
        <v>Transaction Source</v>
      </c>
      <c r="R5" s="23" t="str">
        <f>IFERROR(__xludf.DUMMYFUNCTION("""COMPUTED_VALUE"""),"Entry Date")</f>
        <v>Entry Date</v>
      </c>
      <c r="S5" s="23" t="str">
        <f>IFERROR(__xludf.DUMMYFUNCTION("""COMPUTED_VALUE"""),"Modify Date")</f>
        <v>Modify Date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3"/>
      <c r="B6" s="3"/>
      <c r="C6" s="3" t="s">
        <v>18</v>
      </c>
      <c r="D6" s="3"/>
      <c r="E6" s="3"/>
      <c r="F6" s="3" t="s">
        <v>20</v>
      </c>
      <c r="G6" s="3" t="s">
        <v>21</v>
      </c>
      <c r="H6" s="3">
        <v>40000.0</v>
      </c>
      <c r="I6" s="26"/>
      <c r="J6" s="26"/>
      <c r="K6" s="26"/>
      <c r="L6" s="26"/>
      <c r="M6" s="3"/>
      <c r="N6" s="3"/>
      <c r="O6" s="3">
        <v>2.1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SelectCashTransaction!$4:$4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68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IFERROR(__xludf.DUMMYFUNCTION("""COMPUTED_VALUE"""),"CashTransactionId")</f>
        <v>CashTransactionId</v>
      </c>
      <c r="C5" s="23" t="str">
        <f>IFERROR(__xludf.DUMMYFUNCTION("""COMPUTED_VALUE"""),"Activity Type")</f>
        <v>Activity Type</v>
      </c>
      <c r="D5" s="23" t="str">
        <f>IFERROR(__xludf.DUMMYFUNCTION("""COMPUTED_VALUE"""),"Symbol")</f>
        <v>Symbol</v>
      </c>
      <c r="E5" s="23" t="str">
        <f>IFERROR(__xludf.DUMMYFUNCTION("""COMPUTED_VALUE"""),"Strategy")</f>
        <v>Strategy</v>
      </c>
      <c r="F5" s="23" t="str">
        <f>IFERROR(__xludf.DUMMYFUNCTION("""COMPUTED_VALUE"""),"Account")</f>
        <v>Account</v>
      </c>
      <c r="G5" s="23" t="str">
        <f>IFERROR(__xludf.DUMMYFUNCTION("""COMPUTED_VALUE"""),"Currency")</f>
        <v>Currency</v>
      </c>
      <c r="H5" s="23" t="str">
        <f>IFERROR(__xludf.DUMMYFUNCTION("""COMPUTED_VALUE"""),"Amount")</f>
        <v>Amount</v>
      </c>
      <c r="I5" s="23" t="str">
        <f>IFERROR(__xludf.DUMMYFUNCTION("""COMPUTED_VALUE"""),"Ex Date")</f>
        <v>Ex Date</v>
      </c>
      <c r="J5" s="23" t="str">
        <f>IFERROR(__xludf.DUMMYFUNCTION("""COMPUTED_VALUE"""),"Payout Date")</f>
        <v>Payout Date</v>
      </c>
      <c r="K5" s="23" t="str">
        <f>IFERROR(__xludf.DUMMYFUNCTION("""COMPUTED_VALUE"""),"Record Date")</f>
        <v>Record Date</v>
      </c>
      <c r="L5" s="23" t="str">
        <f>IFERROR(__xludf.DUMMYFUNCTION("""COMPUTED_VALUE"""),"Declaration Date")</f>
        <v>Declaration Date</v>
      </c>
      <c r="M5" s="23" t="str">
        <f>IFERROR(__xludf.DUMMYFUNCTION("""COMPUTED_VALUE"""),"Description")</f>
        <v>Description</v>
      </c>
      <c r="N5" s="23" t="str">
        <f>IFERROR(__xludf.DUMMYFUNCTION("""COMPUTED_VALUE"""),"Other Currency")</f>
        <v>Other Currency</v>
      </c>
      <c r="O5" s="23" t="str">
        <f>IFERROR(__xludf.DUMMYFUNCTION("""COMPUTED_VALUE"""),"FXRate")</f>
        <v>FXRate</v>
      </c>
      <c r="P5" s="23" t="str">
        <f>IFERROR(__xludf.DUMMYFUNCTION("""COMPUTED_VALUE"""),"FXConversionMethodOperator")</f>
        <v>FXConversionMethodOperator</v>
      </c>
      <c r="Q5" s="23" t="str">
        <f>IFERROR(__xludf.DUMMYFUNCTION("""COMPUTED_VALUE"""),"Transaction Source")</f>
        <v>Transaction Source</v>
      </c>
      <c r="R5" s="23" t="str">
        <f>IFERROR(__xludf.DUMMYFUNCTION("""COMPUTED_VALUE"""),"Entry Date")</f>
        <v>Entry Date</v>
      </c>
      <c r="S5" s="23" t="str">
        <f>IFERROR(__xludf.DUMMYFUNCTION("""COMPUTED_VALUE"""),"Modify Date")</f>
        <v>Modify Date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3"/>
      <c r="B6" s="3"/>
      <c r="C6" s="3" t="s">
        <v>18</v>
      </c>
      <c r="D6" s="3"/>
      <c r="E6" s="3"/>
      <c r="F6" s="3" t="s">
        <v>20</v>
      </c>
      <c r="G6" s="3"/>
      <c r="H6" s="3">
        <v>60000.0</v>
      </c>
      <c r="I6" s="26">
        <v>43221.0</v>
      </c>
      <c r="J6" s="26">
        <v>43227.0</v>
      </c>
      <c r="K6" s="26">
        <v>43216.0</v>
      </c>
      <c r="L6" s="26">
        <v>43210.0</v>
      </c>
      <c r="M6" s="3"/>
      <c r="N6" s="3"/>
      <c r="O6" s="25">
        <v>2.2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40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45" t="str">
        <f>IFERROR(__xludf.DUMMYFUNCTION("""COMPUTED_VALUE"""),"Date")</f>
        <v>Date</v>
      </c>
      <c r="C5" s="45" t="str">
        <f>IFERROR(__xludf.DUMMYFUNCTION("""COMPUTED_VALUE"""),"Account")</f>
        <v>Account</v>
      </c>
      <c r="D5" s="45" t="str">
        <f>IFERROR(__xludf.DUMMYFUNCTION("""COMPUTED_VALUE"""),"Symbol")</f>
        <v>Symbol</v>
      </c>
      <c r="E5" s="45" t="str">
        <f>IFERROR(__xludf.DUMMYFUNCTION("""COMPUTED_VALUE"""),"Currency")</f>
        <v>Currency</v>
      </c>
      <c r="F5" s="45" t="str">
        <f>IFERROR(__xludf.DUMMYFUNCTION("""COMPUTED_VALUE"""),"Cash Sub-Account")</f>
        <v>Cash Sub-Account</v>
      </c>
      <c r="G5" s="45" t="str">
        <f>IFERROR(__xludf.DUMMYFUNCTION("""COMPUTED_VALUE"""),"DR")</f>
        <v>DR</v>
      </c>
      <c r="H5" s="45" t="str">
        <f>IFERROR(__xludf.DUMMYFUNCTION("""COMPUTED_VALUE"""),"CR")</f>
        <v>CR</v>
      </c>
      <c r="I5" s="45" t="str">
        <f>IFERROR(__xludf.DUMMYFUNCTION("""COMPUTED_VALUE"""),"Modify Date")</f>
        <v>Modify Date</v>
      </c>
      <c r="J5" s="45" t="str">
        <f>IFERROR(__xludf.DUMMYFUNCTION("""COMPUTED_VALUE"""),"Entry Date")</f>
        <v>Entry Date</v>
      </c>
      <c r="K5" s="45" t="str">
        <f>IFERROR(__xludf.DUMMYFUNCTION("""COMPUTED_VALUE"""),"Fx Rate")</f>
        <v>Fx Rate</v>
      </c>
      <c r="L5" s="45" t="str">
        <f>IFERROR(__xludf.DUMMYFUNCTION("""COMPUTED_VALUE"""),"FX Conversion Method Operator")</f>
        <v>FX Conversion Method Operator</v>
      </c>
      <c r="M5" s="45" t="str">
        <f>IFERROR(__xludf.DUMMYFUNCTION("""COMPUTED_VALUE"""),"Account Side")</f>
        <v>Account Side</v>
      </c>
      <c r="N5" s="45" t="str">
        <f>IFERROR(__xludf.DUMMYFUNCTION("""COMPUTED_VALUE"""),"TransactionSource")</f>
        <v>TransactionSource</v>
      </c>
      <c r="O5" s="45" t="str">
        <f>IFERROR(__xludf.DUMMYFUNCTION("""COMPUTED_VALUE"""),"Base Currency")</f>
        <v>Base Currency</v>
      </c>
      <c r="P5" s="45" t="str">
        <f>IFERROR(__xludf.DUMMYFUNCTION("""COMPUTED_VALUE"""),"Description")</f>
        <v>Description</v>
      </c>
      <c r="Q5" s="45" t="str">
        <f>IFERROR(__xludf.DUMMYFUNCTION("""COMPUTED_VALUE"""),"DR (Base)")</f>
        <v>DR (Base)</v>
      </c>
      <c r="R5" s="45" t="str">
        <f>IFERROR(__xludf.DUMMYFUNCTION("""COMPUTED_VALUE"""),"CR (Base)")</f>
        <v>CR (Base)</v>
      </c>
      <c r="S5" s="45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47"/>
      <c r="B6" s="51">
        <v>43223.0</v>
      </c>
      <c r="C6" s="48" t="s">
        <v>20</v>
      </c>
      <c r="D6" s="48" t="s">
        <v>19</v>
      </c>
      <c r="E6" s="48" t="s">
        <v>21</v>
      </c>
      <c r="F6" s="48" t="s">
        <v>41</v>
      </c>
      <c r="G6" s="58">
        <v>50000.0</v>
      </c>
      <c r="H6" s="59">
        <v>0.0</v>
      </c>
      <c r="I6" s="60"/>
      <c r="J6" s="60"/>
      <c r="K6" s="48">
        <v>1.3</v>
      </c>
      <c r="L6" s="48" t="s">
        <v>37</v>
      </c>
      <c r="M6" s="48" t="s">
        <v>42</v>
      </c>
      <c r="N6" s="58" t="s">
        <v>38</v>
      </c>
      <c r="O6" s="48" t="s">
        <v>29</v>
      </c>
      <c r="P6" s="48"/>
      <c r="Q6" s="58">
        <v>65000.0</v>
      </c>
      <c r="R6" s="58">
        <v>0.0</v>
      </c>
      <c r="S6" s="58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</row>
    <row r="7" ht="15.75" customHeight="1">
      <c r="A7" s="47"/>
      <c r="B7" s="51">
        <v>43223.0</v>
      </c>
      <c r="C7" s="48" t="s">
        <v>20</v>
      </c>
      <c r="D7" s="48" t="s">
        <v>19</v>
      </c>
      <c r="E7" s="48" t="s">
        <v>21</v>
      </c>
      <c r="F7" s="48" t="s">
        <v>43</v>
      </c>
      <c r="G7" s="61">
        <v>0.0</v>
      </c>
      <c r="H7" s="58">
        <v>50000.0</v>
      </c>
      <c r="I7" s="60"/>
      <c r="J7" s="60"/>
      <c r="K7" s="48">
        <v>1.3</v>
      </c>
      <c r="L7" s="48" t="s">
        <v>37</v>
      </c>
      <c r="M7" s="48" t="s">
        <v>44</v>
      </c>
      <c r="N7" s="58" t="s">
        <v>38</v>
      </c>
      <c r="O7" s="48" t="s">
        <v>29</v>
      </c>
      <c r="P7" s="48"/>
      <c r="Q7" s="58">
        <v>0.0</v>
      </c>
      <c r="R7" s="58">
        <v>65000.0</v>
      </c>
      <c r="S7" s="58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</row>
    <row r="8" ht="15.75" customHeight="1">
      <c r="A8" s="47"/>
      <c r="B8" s="51">
        <v>43220.0</v>
      </c>
      <c r="C8" s="48" t="s">
        <v>20</v>
      </c>
      <c r="D8" s="48" t="s">
        <v>19</v>
      </c>
      <c r="E8" s="48" t="s">
        <v>21</v>
      </c>
      <c r="F8" s="48" t="s">
        <v>43</v>
      </c>
      <c r="G8" s="58">
        <v>50000.0</v>
      </c>
      <c r="H8" s="59">
        <v>0.0</v>
      </c>
      <c r="I8" s="60"/>
      <c r="J8" s="60"/>
      <c r="K8" s="48">
        <v>1.3</v>
      </c>
      <c r="L8" s="48" t="s">
        <v>37</v>
      </c>
      <c r="M8" s="48" t="s">
        <v>42</v>
      </c>
      <c r="N8" s="58" t="s">
        <v>38</v>
      </c>
      <c r="O8" s="48" t="s">
        <v>29</v>
      </c>
      <c r="P8" s="48"/>
      <c r="Q8" s="58">
        <v>65000.0</v>
      </c>
      <c r="R8" s="58">
        <v>0.0</v>
      </c>
      <c r="S8" s="58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</row>
    <row r="9" ht="15.75" customHeight="1">
      <c r="A9" s="47"/>
      <c r="B9" s="51">
        <v>43220.0</v>
      </c>
      <c r="C9" s="48" t="s">
        <v>20</v>
      </c>
      <c r="D9" s="48" t="s">
        <v>19</v>
      </c>
      <c r="E9" s="48" t="s">
        <v>21</v>
      </c>
      <c r="F9" s="48" t="s">
        <v>45</v>
      </c>
      <c r="G9" s="61">
        <v>0.0</v>
      </c>
      <c r="H9" s="58">
        <v>50000.0</v>
      </c>
      <c r="I9" s="60"/>
      <c r="J9" s="60"/>
      <c r="K9" s="48">
        <v>1.3</v>
      </c>
      <c r="L9" s="48" t="s">
        <v>37</v>
      </c>
      <c r="M9" s="48" t="s">
        <v>44</v>
      </c>
      <c r="N9" s="58" t="s">
        <v>38</v>
      </c>
      <c r="O9" s="48" t="s">
        <v>29</v>
      </c>
      <c r="P9" s="48"/>
      <c r="Q9" s="58">
        <v>0.0</v>
      </c>
      <c r="R9" s="58">
        <v>65000.0</v>
      </c>
      <c r="S9" s="58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</row>
    <row r="10" ht="15.75" customHeight="1">
      <c r="A10" s="47"/>
      <c r="B10" s="51">
        <v>43227.0</v>
      </c>
      <c r="C10" s="48" t="s">
        <v>20</v>
      </c>
      <c r="D10" s="48" t="s">
        <v>19</v>
      </c>
      <c r="E10" s="48" t="s">
        <v>21</v>
      </c>
      <c r="F10" s="48" t="s">
        <v>41</v>
      </c>
      <c r="G10" s="58">
        <v>60000.0</v>
      </c>
      <c r="H10" s="59">
        <v>0.0</v>
      </c>
      <c r="I10" s="60"/>
      <c r="J10" s="60"/>
      <c r="K10" s="55">
        <v>2.2</v>
      </c>
      <c r="L10" s="48" t="s">
        <v>37</v>
      </c>
      <c r="M10" s="48" t="s">
        <v>42</v>
      </c>
      <c r="N10" s="58" t="s">
        <v>38</v>
      </c>
      <c r="O10" s="48" t="s">
        <v>29</v>
      </c>
      <c r="P10" s="48"/>
      <c r="Q10" s="64">
        <v>132000.0</v>
      </c>
      <c r="R10" s="58">
        <v>0.0</v>
      </c>
      <c r="S10" s="58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</row>
    <row r="11" ht="15.75" customHeight="1">
      <c r="A11" s="47"/>
      <c r="B11" s="51">
        <v>43227.0</v>
      </c>
      <c r="C11" s="48" t="s">
        <v>20</v>
      </c>
      <c r="D11" s="48" t="s">
        <v>19</v>
      </c>
      <c r="E11" s="48" t="s">
        <v>21</v>
      </c>
      <c r="F11" s="48" t="s">
        <v>43</v>
      </c>
      <c r="G11" s="61">
        <v>0.0</v>
      </c>
      <c r="H11" s="58">
        <v>60000.0</v>
      </c>
      <c r="I11" s="60"/>
      <c r="J11" s="60"/>
      <c r="K11" s="55">
        <v>2.2</v>
      </c>
      <c r="L11" s="48" t="s">
        <v>37</v>
      </c>
      <c r="M11" s="48" t="s">
        <v>44</v>
      </c>
      <c r="N11" s="58" t="s">
        <v>38</v>
      </c>
      <c r="O11" s="48" t="s">
        <v>29</v>
      </c>
      <c r="P11" s="48"/>
      <c r="Q11" s="58">
        <v>0.0</v>
      </c>
      <c r="R11" s="64">
        <v>132000.0</v>
      </c>
      <c r="S11" s="58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</row>
    <row r="12" ht="15.75" customHeight="1">
      <c r="A12" s="47"/>
      <c r="B12" s="51">
        <v>43221.0</v>
      </c>
      <c r="C12" s="48" t="s">
        <v>20</v>
      </c>
      <c r="D12" s="48" t="s">
        <v>19</v>
      </c>
      <c r="E12" s="48" t="s">
        <v>21</v>
      </c>
      <c r="F12" s="48" t="s">
        <v>43</v>
      </c>
      <c r="G12" s="58">
        <v>60000.0</v>
      </c>
      <c r="H12" s="59">
        <v>0.0</v>
      </c>
      <c r="I12" s="60"/>
      <c r="J12" s="60"/>
      <c r="K12" s="55">
        <v>2.2</v>
      </c>
      <c r="L12" s="48" t="s">
        <v>37</v>
      </c>
      <c r="M12" s="48" t="s">
        <v>42</v>
      </c>
      <c r="N12" s="58" t="s">
        <v>38</v>
      </c>
      <c r="O12" s="48" t="s">
        <v>29</v>
      </c>
      <c r="P12" s="48"/>
      <c r="Q12" s="64">
        <v>132000.0</v>
      </c>
      <c r="R12" s="58">
        <v>0.0</v>
      </c>
      <c r="S12" s="58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</row>
    <row r="13" ht="15.75" customHeight="1">
      <c r="A13" s="47"/>
      <c r="B13" s="51">
        <v>43221.0</v>
      </c>
      <c r="C13" s="48" t="s">
        <v>20</v>
      </c>
      <c r="D13" s="48" t="s">
        <v>19</v>
      </c>
      <c r="E13" s="48" t="s">
        <v>21</v>
      </c>
      <c r="F13" s="48" t="s">
        <v>45</v>
      </c>
      <c r="G13" s="61">
        <v>0.0</v>
      </c>
      <c r="H13" s="58">
        <v>60000.0</v>
      </c>
      <c r="I13" s="60"/>
      <c r="J13" s="60"/>
      <c r="K13" s="55">
        <v>2.2</v>
      </c>
      <c r="L13" s="48" t="s">
        <v>37</v>
      </c>
      <c r="M13" s="48" t="s">
        <v>44</v>
      </c>
      <c r="N13" s="58" t="s">
        <v>38</v>
      </c>
      <c r="O13" s="48" t="s">
        <v>29</v>
      </c>
      <c r="P13" s="48"/>
      <c r="Q13" s="58">
        <v>0.0</v>
      </c>
      <c r="R13" s="64">
        <v>132000.0</v>
      </c>
      <c r="S13" s="58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</row>
    <row r="14" ht="15.75" customHeight="1">
      <c r="A14" s="47"/>
      <c r="B14" s="62">
        <v>43222.0</v>
      </c>
      <c r="C14" s="55" t="s">
        <v>23</v>
      </c>
      <c r="D14" s="48"/>
      <c r="E14" s="48" t="s">
        <v>21</v>
      </c>
      <c r="F14" s="63" t="s">
        <v>46</v>
      </c>
      <c r="G14" s="64">
        <v>20000.0</v>
      </c>
      <c r="H14" s="59">
        <v>0.0</v>
      </c>
      <c r="I14" s="60"/>
      <c r="J14" s="60"/>
      <c r="K14" s="55">
        <v>3.6</v>
      </c>
      <c r="L14" s="48" t="s">
        <v>37</v>
      </c>
      <c r="M14" s="48" t="s">
        <v>42</v>
      </c>
      <c r="N14" s="58" t="s">
        <v>38</v>
      </c>
      <c r="O14" s="48" t="s">
        <v>29</v>
      </c>
      <c r="P14" s="48"/>
      <c r="Q14" s="64">
        <v>72000.0</v>
      </c>
      <c r="R14" s="58">
        <v>0.0</v>
      </c>
      <c r="S14" s="58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</row>
    <row r="15" ht="15.75" customHeight="1">
      <c r="A15" s="47"/>
      <c r="B15" s="62">
        <v>43222.0</v>
      </c>
      <c r="C15" s="55" t="s">
        <v>23</v>
      </c>
      <c r="D15" s="48"/>
      <c r="E15" s="48" t="s">
        <v>21</v>
      </c>
      <c r="F15" s="63" t="s">
        <v>47</v>
      </c>
      <c r="G15" s="61">
        <v>0.0</v>
      </c>
      <c r="H15" s="64">
        <v>20000.0</v>
      </c>
      <c r="I15" s="60"/>
      <c r="J15" s="60"/>
      <c r="K15" s="55">
        <v>3.6</v>
      </c>
      <c r="L15" s="48" t="s">
        <v>37</v>
      </c>
      <c r="M15" s="48" t="s">
        <v>44</v>
      </c>
      <c r="N15" s="58" t="s">
        <v>38</v>
      </c>
      <c r="O15" s="48" t="s">
        <v>29</v>
      </c>
      <c r="P15" s="48"/>
      <c r="Q15" s="58">
        <v>0.0</v>
      </c>
      <c r="R15" s="64">
        <v>72000.0</v>
      </c>
      <c r="S15" s="58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</row>
    <row r="16" ht="15.75" customHeight="1">
      <c r="A16" s="47"/>
      <c r="B16" s="51">
        <v>43223.0</v>
      </c>
      <c r="C16" s="55" t="s">
        <v>23</v>
      </c>
      <c r="D16" s="48"/>
      <c r="E16" s="48" t="s">
        <v>21</v>
      </c>
      <c r="F16" s="63" t="s">
        <v>41</v>
      </c>
      <c r="G16" s="64">
        <v>20000.0</v>
      </c>
      <c r="H16" s="59">
        <v>0.0</v>
      </c>
      <c r="I16" s="60"/>
      <c r="J16" s="60"/>
      <c r="K16" s="55">
        <v>3.6</v>
      </c>
      <c r="L16" s="48" t="s">
        <v>37</v>
      </c>
      <c r="M16" s="48" t="s">
        <v>42</v>
      </c>
      <c r="N16" s="58" t="s">
        <v>38</v>
      </c>
      <c r="O16" s="48" t="s">
        <v>29</v>
      </c>
      <c r="P16" s="48"/>
      <c r="Q16" s="64">
        <v>72000.0</v>
      </c>
      <c r="R16" s="58">
        <v>0.0</v>
      </c>
      <c r="S16" s="58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</row>
    <row r="17" ht="15.75" customHeight="1">
      <c r="A17" s="47"/>
      <c r="B17" s="51">
        <v>43223.0</v>
      </c>
      <c r="C17" s="55" t="s">
        <v>23</v>
      </c>
      <c r="D17" s="48"/>
      <c r="E17" s="48" t="s">
        <v>21</v>
      </c>
      <c r="F17" s="63" t="s">
        <v>46</v>
      </c>
      <c r="G17" s="61">
        <v>0.0</v>
      </c>
      <c r="H17" s="64">
        <v>20000.0</v>
      </c>
      <c r="I17" s="60"/>
      <c r="J17" s="60"/>
      <c r="K17" s="55">
        <v>3.6</v>
      </c>
      <c r="L17" s="48" t="s">
        <v>37</v>
      </c>
      <c r="M17" s="48" t="s">
        <v>44</v>
      </c>
      <c r="N17" s="58" t="s">
        <v>38</v>
      </c>
      <c r="O17" s="48" t="s">
        <v>29</v>
      </c>
      <c r="P17" s="48"/>
      <c r="Q17" s="58">
        <v>0.0</v>
      </c>
      <c r="R17" s="64">
        <v>72000.0</v>
      </c>
      <c r="S17" s="58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VerifyDividend1!$4:$4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50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IFERROR(__xludf.DUMMYFUNCTION("""COMPUTED_VALUE"""),"MasterFund")</f>
        <v>MasterFund</v>
      </c>
      <c r="C5" s="23" t="str">
        <f>IFERROR(__xludf.DUMMYFUNCTION("""COMPUTED_VALUE"""),"Accounts")</f>
        <v>Accounts</v>
      </c>
      <c r="D5" s="23" t="str">
        <f>IFERROR(__xludf.DUMMYFUNCTION("""COMPUTED_VALUE"""),"From Date")</f>
        <v>From Date</v>
      </c>
      <c r="E5" s="23" t="str">
        <f>IFERROR(__xludf.DUMMYFUNCTION("""COMPUTED_VALUE"""),"To Date")</f>
        <v>To Date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6"/>
      <c r="B6" s="26" t="s">
        <v>32</v>
      </c>
      <c r="C6" s="25" t="s">
        <v>16</v>
      </c>
      <c r="D6" s="26">
        <v>43210.0</v>
      </c>
      <c r="E6" s="27">
        <v>43228.0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49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IFERROR(__xludf.DUMMYFUNCTION("""COMPUTED_VALUE"""),"MasterFund")</f>
        <v>MasterFund</v>
      </c>
      <c r="C5" s="23" t="str">
        <f>IFERROR(__xludf.DUMMYFUNCTION("""COMPUTED_VALUE"""),"Accounts")</f>
        <v>Accounts</v>
      </c>
      <c r="D5" s="23" t="str">
        <f>IFERROR(__xludf.DUMMYFUNCTION("""COMPUTED_VALUE"""),"Balances as on date")</f>
        <v>Balances as on date</v>
      </c>
      <c r="E5" s="23" t="str">
        <f>IFERROR(__xludf.DUMMYFUNCTION("""COMPUTED_VALUE"""),"IsRunRevalOnGetAccountBalances")</f>
        <v>IsRunRevalOnGetAccountBalances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6"/>
      <c r="B6" s="26" t="s">
        <v>32</v>
      </c>
      <c r="C6" s="25" t="s">
        <v>16</v>
      </c>
      <c r="D6" s="27">
        <v>43228.0</v>
      </c>
      <c r="E6" s="3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" width="44.63"/>
    <col customWidth="1" min="13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34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45" t="str">
        <f>IFERROR(__xludf.DUMMYFUNCTION("""COMPUTED_VALUE"""),"Account")</f>
        <v>Account</v>
      </c>
      <c r="C5" s="45" t="str">
        <f>IFERROR(__xludf.DUMMYFUNCTION("""COMPUTED_VALUE"""),"Activity Source")</f>
        <v>Activity Source</v>
      </c>
      <c r="D5" s="46" t="str">
        <f>IFERROR(__xludf.DUMMYFUNCTION("""COMPUTED_VALUE"""),"ActivityType")</f>
        <v>ActivityType</v>
      </c>
      <c r="E5" s="45" t="str">
        <f>IFERROR(__xludf.DUMMYFUNCTION("""COMPUTED_VALUE"""),"Net Amount(Local)")</f>
        <v>Net Amount(Local)</v>
      </c>
      <c r="F5" s="45" t="str">
        <f>IFERROR(__xludf.DUMMYFUNCTION("""COMPUTED_VALUE"""),"AUEC Fee1")</f>
        <v>AUEC Fee1</v>
      </c>
      <c r="G5" s="45" t="str">
        <f>IFERROR(__xludf.DUMMYFUNCTION("""COMPUTED_VALUE"""),"AUEC Fee2")</f>
        <v>AUEC Fee2</v>
      </c>
      <c r="H5" s="45" t="str">
        <f>IFERROR(__xludf.DUMMYFUNCTION("""COMPUTED_VALUE"""),"Balance Type")</f>
        <v>Balance Type</v>
      </c>
      <c r="I5" s="45" t="str">
        <f>IFERROR(__xludf.DUMMYFUNCTION("""COMPUTED_VALUE"""),"Clearing Broker Fees")</f>
        <v>Clearing Broker Fees</v>
      </c>
      <c r="J5" s="45" t="str">
        <f>IFERROR(__xludf.DUMMYFUNCTION("""COMPUTED_VALUE"""),"Commission")</f>
        <v>Commission</v>
      </c>
      <c r="K5" s="45" t="str">
        <f>IFERROR(__xludf.DUMMYFUNCTION("""COMPUTED_VALUE"""),"Currency")</f>
        <v>Currency</v>
      </c>
      <c r="L5" s="45" t="str">
        <f>IFERROR(__xludf.DUMMYFUNCTION("""COMPUTED_VALUE"""),"Description")</f>
        <v>Description</v>
      </c>
      <c r="M5" s="45" t="str">
        <f>IFERROR(__xludf.DUMMYFUNCTION("""COMPUTED_VALUE"""),"Entry Date")</f>
        <v>Entry Date</v>
      </c>
      <c r="N5" s="45" t="str">
        <f>IFERROR(__xludf.DUMMYFUNCTION("""COMPUTED_VALUE"""),"FX Conversion Method Operator")</f>
        <v>FX Conversion Method Operator</v>
      </c>
      <c r="O5" s="45" t="str">
        <f>IFERROR(__xludf.DUMMYFUNCTION("""COMPUTED_VALUE"""),"Fx Rate")</f>
        <v>Fx Rate</v>
      </c>
      <c r="P5" s="45" t="str">
        <f>IFERROR(__xludf.DUMMYFUNCTION("""COMPUTED_VALUE"""),"Lead Currency")</f>
        <v>Lead Currency</v>
      </c>
      <c r="Q5" s="45" t="str">
        <f>IFERROR(__xludf.DUMMYFUNCTION("""COMPUTED_VALUE"""),"Modify date")</f>
        <v>Modify date</v>
      </c>
      <c r="R5" s="45" t="str">
        <f>IFERROR(__xludf.DUMMYFUNCTION("""COMPUTED_VALUE"""),"OCC Fee")</f>
        <v>OCC Fee</v>
      </c>
      <c r="S5" s="45" t="str">
        <f>IFERROR(__xludf.DUMMYFUNCTION("""COMPUTED_VALUE"""),"OptionPremiumAdjustment")</f>
        <v>OptionPremiumAdjustment</v>
      </c>
      <c r="T5" s="24" t="str">
        <f>IFERROR(__xludf.DUMMYFUNCTION("""COMPUTED_VALUE"""),"ORF Fee")</f>
        <v>ORF Fee</v>
      </c>
      <c r="U5" s="24" t="str">
        <f>IFERROR(__xludf.DUMMYFUNCTION("""COMPUTED_VALUE"""),"Other Broker Fees")</f>
        <v>Other Broker Fees</v>
      </c>
      <c r="V5" s="24" t="str">
        <f>IFERROR(__xludf.DUMMYFUNCTION("""COMPUTED_VALUE"""),"Quantity")</f>
        <v>Quantity</v>
      </c>
      <c r="W5" s="24" t="str">
        <f>IFERROR(__xludf.DUMMYFUNCTION("""COMPUTED_VALUE"""),"SEC Fee")</f>
        <v>SEC Fee</v>
      </c>
      <c r="X5" s="24" t="str">
        <f>IFERROR(__xludf.DUMMYFUNCTION("""COMPUTED_VALUE"""),"Settlement Currency")</f>
        <v>Settlement Currency</v>
      </c>
      <c r="Y5" s="24" t="str">
        <f>IFERROR(__xludf.DUMMYFUNCTION("""COMPUTED_VALUE"""),"Settlement Date")</f>
        <v>Settlement Date</v>
      </c>
      <c r="Z5" s="24" t="str">
        <f>IFERROR(__xludf.DUMMYFUNCTION("""COMPUTED_VALUE"""),"Soft Commission")</f>
        <v>Soft Commission</v>
      </c>
      <c r="AA5" s="24" t="str">
        <f>IFERROR(__xludf.DUMMYFUNCTION("""COMPUTED_VALUE"""),"Stamp Duty")</f>
        <v>Stamp Duty</v>
      </c>
      <c r="AB5" s="24" t="str">
        <f>IFERROR(__xludf.DUMMYFUNCTION("""COMPUTED_VALUE"""),"Symbol")</f>
        <v>Symbol</v>
      </c>
      <c r="AC5" s="24" t="str">
        <f>IFERROR(__xludf.DUMMYFUNCTION("""COMPUTED_VALUE"""),"Tax On Commissions")</f>
        <v>Tax On Commissions</v>
      </c>
      <c r="AD5" s="24" t="str">
        <f>IFERROR(__xludf.DUMMYFUNCTION("""COMPUTED_VALUE"""),"Total Commissions")</f>
        <v>Total Commissions</v>
      </c>
      <c r="AE5" s="24" t="str">
        <f>IFERROR(__xludf.DUMMYFUNCTION("""COMPUTED_VALUE"""),"Trade Date")</f>
        <v>Trade Date</v>
      </c>
      <c r="AF5" s="24" t="str">
        <f>IFERROR(__xludf.DUMMYFUNCTION("""COMPUTED_VALUE"""),"Transaction Levy")</f>
        <v>Transaction Levy</v>
      </c>
      <c r="AG5" s="24" t="str">
        <f>IFERROR(__xludf.DUMMYFUNCTION("""COMPUTED_VALUE"""),"Transaction Source")</f>
        <v>Transaction Source</v>
      </c>
      <c r="AH5" s="24" t="str">
        <f>IFERROR(__xludf.DUMMYFUNCTION("""COMPUTED_VALUE"""),"User")</f>
        <v>User</v>
      </c>
      <c r="AI5" s="24" t="str">
        <f>IFERROR(__xludf.DUMMYFUNCTION("""COMPUTED_VALUE"""),"Vs Currency")</f>
        <v>Vs Currency</v>
      </c>
      <c r="AJ5" s="24" t="str">
        <f>IFERROR(__xludf.DUMMYFUNCTION("""COMPUTED_VALUE"""),"SettlCurrencyID")</f>
        <v>SettlCurrencyID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47"/>
      <c r="B6" s="48" t="s">
        <v>20</v>
      </c>
      <c r="C6" s="48" t="s">
        <v>35</v>
      </c>
      <c r="D6" s="48" t="s">
        <v>18</v>
      </c>
      <c r="E6" s="48">
        <v>50000.0</v>
      </c>
      <c r="F6" s="48">
        <v>0.0</v>
      </c>
      <c r="G6" s="48">
        <v>0.0</v>
      </c>
      <c r="H6" s="48" t="s">
        <v>36</v>
      </c>
      <c r="I6" s="48">
        <v>0.0</v>
      </c>
      <c r="J6" s="48">
        <v>0.0</v>
      </c>
      <c r="K6" s="48" t="s">
        <v>21</v>
      </c>
      <c r="L6" s="48"/>
      <c r="M6" s="49"/>
      <c r="N6" s="48" t="s">
        <v>37</v>
      </c>
      <c r="O6" s="48">
        <v>1.3</v>
      </c>
      <c r="P6" s="48"/>
      <c r="Q6" s="49"/>
      <c r="R6" s="48">
        <v>0.0</v>
      </c>
      <c r="S6" s="48">
        <v>0.0</v>
      </c>
      <c r="T6" s="48">
        <v>0.0</v>
      </c>
      <c r="U6" s="48">
        <v>0.0</v>
      </c>
      <c r="V6" s="48">
        <v>0.0</v>
      </c>
      <c r="W6" s="48">
        <v>0.0</v>
      </c>
      <c r="X6" s="48"/>
      <c r="Y6" s="50"/>
      <c r="Z6" s="48">
        <v>0.0</v>
      </c>
      <c r="AA6" s="48">
        <v>0.0</v>
      </c>
      <c r="AB6" s="48" t="s">
        <v>19</v>
      </c>
      <c r="AC6" s="48">
        <v>0.0</v>
      </c>
      <c r="AD6" s="48">
        <v>0.0</v>
      </c>
      <c r="AE6" s="51">
        <v>43220.0</v>
      </c>
      <c r="AF6" s="48">
        <v>0.0</v>
      </c>
      <c r="AG6" s="48" t="s">
        <v>38</v>
      </c>
      <c r="AH6" s="48"/>
      <c r="AI6" s="48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</row>
    <row r="7" ht="15.75" customHeight="1">
      <c r="A7" s="47"/>
      <c r="B7" s="48" t="s">
        <v>20</v>
      </c>
      <c r="C7" s="48" t="s">
        <v>51</v>
      </c>
      <c r="D7" s="48" t="s">
        <v>52</v>
      </c>
      <c r="E7" s="48">
        <v>50000.0</v>
      </c>
      <c r="F7" s="48">
        <v>0.0</v>
      </c>
      <c r="G7" s="48">
        <v>0.0</v>
      </c>
      <c r="H7" s="48" t="s">
        <v>36</v>
      </c>
      <c r="I7" s="48">
        <v>0.0</v>
      </c>
      <c r="J7" s="48">
        <v>0.0</v>
      </c>
      <c r="K7" s="48" t="s">
        <v>21</v>
      </c>
      <c r="L7" s="48" t="s">
        <v>53</v>
      </c>
      <c r="M7" s="49"/>
      <c r="N7" s="48" t="s">
        <v>37</v>
      </c>
      <c r="O7" s="48">
        <v>0.77</v>
      </c>
      <c r="P7" s="48"/>
      <c r="Q7" s="49"/>
      <c r="R7" s="48">
        <v>0.0</v>
      </c>
      <c r="S7" s="48">
        <v>0.0</v>
      </c>
      <c r="T7" s="48">
        <v>0.0</v>
      </c>
      <c r="U7" s="48">
        <v>0.0</v>
      </c>
      <c r="V7" s="48">
        <v>0.0</v>
      </c>
      <c r="W7" s="48">
        <v>0.0</v>
      </c>
      <c r="X7" s="48"/>
      <c r="Y7" s="65"/>
      <c r="Z7" s="48">
        <v>0.0</v>
      </c>
      <c r="AA7" s="48">
        <v>0.0</v>
      </c>
      <c r="AB7" s="48" t="s">
        <v>21</v>
      </c>
      <c r="AC7" s="48">
        <v>0.0</v>
      </c>
      <c r="AD7" s="48">
        <v>0.0</v>
      </c>
      <c r="AE7" s="51">
        <v>43221.0</v>
      </c>
      <c r="AF7" s="48">
        <v>0.0</v>
      </c>
      <c r="AG7" s="48" t="s">
        <v>51</v>
      </c>
      <c r="AH7" s="48"/>
      <c r="AI7" s="48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</row>
    <row r="8" ht="15.75" customHeight="1">
      <c r="A8" s="47"/>
      <c r="B8" s="48" t="s">
        <v>20</v>
      </c>
      <c r="C8" s="48" t="s">
        <v>51</v>
      </c>
      <c r="D8" s="48" t="s">
        <v>52</v>
      </c>
      <c r="E8" s="48">
        <v>-50000.0</v>
      </c>
      <c r="F8" s="48">
        <v>0.0</v>
      </c>
      <c r="G8" s="48">
        <v>0.0</v>
      </c>
      <c r="H8" s="48" t="s">
        <v>36</v>
      </c>
      <c r="I8" s="48">
        <v>0.0</v>
      </c>
      <c r="J8" s="48">
        <v>0.0</v>
      </c>
      <c r="K8" s="48" t="s">
        <v>21</v>
      </c>
      <c r="L8" s="48" t="s">
        <v>54</v>
      </c>
      <c r="M8" s="49"/>
      <c r="N8" s="48" t="s">
        <v>37</v>
      </c>
      <c r="O8" s="48">
        <v>0.0</v>
      </c>
      <c r="P8" s="48"/>
      <c r="Q8" s="49"/>
      <c r="R8" s="48">
        <v>0.0</v>
      </c>
      <c r="S8" s="48">
        <v>0.0</v>
      </c>
      <c r="T8" s="48">
        <v>0.0</v>
      </c>
      <c r="U8" s="48">
        <v>0.0</v>
      </c>
      <c r="V8" s="48">
        <v>0.0</v>
      </c>
      <c r="W8" s="48">
        <v>0.0</v>
      </c>
      <c r="X8" s="48"/>
      <c r="Y8" s="65"/>
      <c r="Z8" s="48">
        <v>0.0</v>
      </c>
      <c r="AA8" s="48">
        <v>0.0</v>
      </c>
      <c r="AB8" s="48" t="s">
        <v>21</v>
      </c>
      <c r="AC8" s="48">
        <v>0.0</v>
      </c>
      <c r="AD8" s="48">
        <v>0.0</v>
      </c>
      <c r="AE8" s="51">
        <v>43221.0</v>
      </c>
      <c r="AF8" s="48">
        <v>0.0</v>
      </c>
      <c r="AG8" s="48" t="s">
        <v>51</v>
      </c>
      <c r="AH8" s="48"/>
      <c r="AI8" s="48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</row>
    <row r="9" ht="15.75" customHeight="1">
      <c r="A9" s="47"/>
      <c r="B9" s="48" t="s">
        <v>20</v>
      </c>
      <c r="C9" s="48" t="s">
        <v>51</v>
      </c>
      <c r="D9" s="48" t="s">
        <v>52</v>
      </c>
      <c r="E9" s="48">
        <v>-60000.0</v>
      </c>
      <c r="F9" s="48">
        <v>0.0</v>
      </c>
      <c r="G9" s="48">
        <v>0.0</v>
      </c>
      <c r="H9" s="48" t="s">
        <v>36</v>
      </c>
      <c r="I9" s="48">
        <v>0.0</v>
      </c>
      <c r="J9" s="48">
        <v>0.0</v>
      </c>
      <c r="K9" s="48" t="s">
        <v>21</v>
      </c>
      <c r="L9" s="48" t="s">
        <v>55</v>
      </c>
      <c r="M9" s="49"/>
      <c r="N9" s="48" t="s">
        <v>37</v>
      </c>
      <c r="O9" s="55">
        <v>2.2</v>
      </c>
      <c r="P9" s="48"/>
      <c r="Q9" s="49"/>
      <c r="R9" s="48">
        <v>0.0</v>
      </c>
      <c r="S9" s="48">
        <v>0.0</v>
      </c>
      <c r="T9" s="48">
        <v>0.0</v>
      </c>
      <c r="U9" s="48">
        <v>0.0</v>
      </c>
      <c r="V9" s="48">
        <v>0.0</v>
      </c>
      <c r="W9" s="48">
        <v>0.0</v>
      </c>
      <c r="X9" s="48"/>
      <c r="Y9" s="65"/>
      <c r="Z9" s="48">
        <v>0.0</v>
      </c>
      <c r="AA9" s="48">
        <v>0.0</v>
      </c>
      <c r="AB9" s="48" t="s">
        <v>19</v>
      </c>
      <c r="AC9" s="48">
        <v>0.0</v>
      </c>
      <c r="AD9" s="48">
        <v>0.0</v>
      </c>
      <c r="AE9" s="51">
        <v>43221.0</v>
      </c>
      <c r="AF9" s="48">
        <v>0.0</v>
      </c>
      <c r="AG9" s="48" t="s">
        <v>51</v>
      </c>
      <c r="AH9" s="48"/>
      <c r="AI9" s="48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</row>
    <row r="10" ht="15.75" customHeight="1">
      <c r="A10" s="47"/>
      <c r="B10" s="48" t="s">
        <v>20</v>
      </c>
      <c r="C10" s="48" t="s">
        <v>51</v>
      </c>
      <c r="D10" s="48" t="s">
        <v>52</v>
      </c>
      <c r="E10" s="48">
        <v>60000.0</v>
      </c>
      <c r="F10" s="48">
        <v>0.0</v>
      </c>
      <c r="G10" s="48">
        <v>0.0</v>
      </c>
      <c r="H10" s="48" t="s">
        <v>36</v>
      </c>
      <c r="I10" s="48">
        <v>0.0</v>
      </c>
      <c r="J10" s="48">
        <v>0.0</v>
      </c>
      <c r="K10" s="48" t="s">
        <v>21</v>
      </c>
      <c r="L10" s="48" t="s">
        <v>56</v>
      </c>
      <c r="M10" s="49"/>
      <c r="N10" s="48" t="s">
        <v>37</v>
      </c>
      <c r="O10" s="48">
        <v>0.77</v>
      </c>
      <c r="P10" s="48"/>
      <c r="Q10" s="49"/>
      <c r="R10" s="48">
        <v>0.0</v>
      </c>
      <c r="S10" s="48">
        <v>0.0</v>
      </c>
      <c r="T10" s="48">
        <v>0.0</v>
      </c>
      <c r="U10" s="48">
        <v>0.0</v>
      </c>
      <c r="V10" s="48">
        <v>0.0</v>
      </c>
      <c r="W10" s="48">
        <v>0.0</v>
      </c>
      <c r="X10" s="48"/>
      <c r="Y10" s="65"/>
      <c r="Z10" s="48">
        <v>0.0</v>
      </c>
      <c r="AA10" s="48">
        <v>0.0</v>
      </c>
      <c r="AB10" s="48" t="s">
        <v>19</v>
      </c>
      <c r="AC10" s="48">
        <v>0.0</v>
      </c>
      <c r="AD10" s="48">
        <v>0.0</v>
      </c>
      <c r="AE10" s="51">
        <v>43221.0</v>
      </c>
      <c r="AF10" s="48">
        <v>0.0</v>
      </c>
      <c r="AG10" s="48" t="s">
        <v>51</v>
      </c>
      <c r="AH10" s="48"/>
      <c r="AI10" s="48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</row>
    <row r="11" ht="15.75" customHeight="1">
      <c r="A11" s="47"/>
      <c r="B11" s="48" t="s">
        <v>20</v>
      </c>
      <c r="C11" s="48" t="s">
        <v>35</v>
      </c>
      <c r="D11" s="48" t="s">
        <v>18</v>
      </c>
      <c r="E11" s="48">
        <v>60000.0</v>
      </c>
      <c r="F11" s="48">
        <v>0.0</v>
      </c>
      <c r="G11" s="48">
        <v>0.0</v>
      </c>
      <c r="H11" s="48" t="s">
        <v>36</v>
      </c>
      <c r="I11" s="48">
        <v>0.0</v>
      </c>
      <c r="J11" s="48">
        <v>0.0</v>
      </c>
      <c r="K11" s="48" t="s">
        <v>21</v>
      </c>
      <c r="L11" s="48"/>
      <c r="M11" s="49"/>
      <c r="N11" s="48" t="s">
        <v>37</v>
      </c>
      <c r="O11" s="55">
        <v>2.2</v>
      </c>
      <c r="P11" s="48"/>
      <c r="Q11" s="49"/>
      <c r="R11" s="48">
        <v>0.0</v>
      </c>
      <c r="S11" s="48">
        <v>0.0</v>
      </c>
      <c r="T11" s="48">
        <v>0.0</v>
      </c>
      <c r="U11" s="48">
        <v>0.0</v>
      </c>
      <c r="V11" s="48">
        <v>0.0</v>
      </c>
      <c r="W11" s="48">
        <v>0.0</v>
      </c>
      <c r="X11" s="48"/>
      <c r="Y11" s="50"/>
      <c r="Z11" s="48">
        <v>0.0</v>
      </c>
      <c r="AA11" s="48">
        <v>0.0</v>
      </c>
      <c r="AB11" s="48" t="s">
        <v>19</v>
      </c>
      <c r="AC11" s="48">
        <v>0.0</v>
      </c>
      <c r="AD11" s="48">
        <v>0.0</v>
      </c>
      <c r="AE11" s="51">
        <v>43221.0</v>
      </c>
      <c r="AF11" s="48">
        <v>0.0</v>
      </c>
      <c r="AG11" s="48" t="s">
        <v>38</v>
      </c>
      <c r="AH11" s="48"/>
      <c r="AI11" s="48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</row>
    <row r="12" ht="15.75" customHeight="1">
      <c r="A12" s="47"/>
      <c r="B12" s="48" t="s">
        <v>20</v>
      </c>
      <c r="C12" s="48" t="s">
        <v>51</v>
      </c>
      <c r="D12" s="48" t="s">
        <v>52</v>
      </c>
      <c r="E12" s="48">
        <v>110000.0</v>
      </c>
      <c r="F12" s="48">
        <v>0.0</v>
      </c>
      <c r="G12" s="48">
        <v>0.0</v>
      </c>
      <c r="H12" s="48" t="s">
        <v>36</v>
      </c>
      <c r="I12" s="48">
        <v>0.0</v>
      </c>
      <c r="J12" s="48">
        <v>0.0</v>
      </c>
      <c r="K12" s="48" t="s">
        <v>21</v>
      </c>
      <c r="L12" s="48" t="s">
        <v>53</v>
      </c>
      <c r="M12" s="49"/>
      <c r="N12" s="48" t="s">
        <v>37</v>
      </c>
      <c r="O12" s="48">
        <v>0.77</v>
      </c>
      <c r="P12" s="48"/>
      <c r="Q12" s="49"/>
      <c r="R12" s="48">
        <v>0.0</v>
      </c>
      <c r="S12" s="48">
        <v>0.0</v>
      </c>
      <c r="T12" s="48">
        <v>0.0</v>
      </c>
      <c r="U12" s="48">
        <v>0.0</v>
      </c>
      <c r="V12" s="48">
        <v>0.0</v>
      </c>
      <c r="W12" s="48">
        <v>0.0</v>
      </c>
      <c r="X12" s="48"/>
      <c r="Y12" s="65"/>
      <c r="Z12" s="48">
        <v>0.0</v>
      </c>
      <c r="AA12" s="48">
        <v>0.0</v>
      </c>
      <c r="AB12" s="48" t="s">
        <v>21</v>
      </c>
      <c r="AC12" s="48">
        <v>0.0</v>
      </c>
      <c r="AD12" s="48">
        <v>0.0</v>
      </c>
      <c r="AE12" s="51">
        <v>43222.0</v>
      </c>
      <c r="AF12" s="48">
        <v>0.0</v>
      </c>
      <c r="AG12" s="48" t="s">
        <v>51</v>
      </c>
      <c r="AH12" s="48"/>
      <c r="AI12" s="48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</row>
    <row r="13" ht="15.75" customHeight="1">
      <c r="A13" s="47"/>
      <c r="B13" s="48" t="s">
        <v>20</v>
      </c>
      <c r="C13" s="48" t="s">
        <v>51</v>
      </c>
      <c r="D13" s="48" t="s">
        <v>52</v>
      </c>
      <c r="E13" s="48">
        <v>-110000.0</v>
      </c>
      <c r="F13" s="48">
        <v>0.0</v>
      </c>
      <c r="G13" s="48">
        <v>0.0</v>
      </c>
      <c r="H13" s="48" t="s">
        <v>36</v>
      </c>
      <c r="I13" s="48">
        <v>0.0</v>
      </c>
      <c r="J13" s="48">
        <v>0.0</v>
      </c>
      <c r="K13" s="48" t="s">
        <v>21</v>
      </c>
      <c r="L13" s="48" t="s">
        <v>54</v>
      </c>
      <c r="M13" s="49"/>
      <c r="N13" s="48" t="s">
        <v>37</v>
      </c>
      <c r="O13" s="48">
        <v>0.77</v>
      </c>
      <c r="P13" s="48"/>
      <c r="Q13" s="49"/>
      <c r="R13" s="48">
        <v>0.0</v>
      </c>
      <c r="S13" s="48">
        <v>0.0</v>
      </c>
      <c r="T13" s="48">
        <v>0.0</v>
      </c>
      <c r="U13" s="48">
        <v>0.0</v>
      </c>
      <c r="V13" s="48">
        <v>0.0</v>
      </c>
      <c r="W13" s="48">
        <v>0.0</v>
      </c>
      <c r="X13" s="48"/>
      <c r="Y13" s="65"/>
      <c r="Z13" s="48">
        <v>0.0</v>
      </c>
      <c r="AA13" s="48">
        <v>0.0</v>
      </c>
      <c r="AB13" s="48" t="s">
        <v>21</v>
      </c>
      <c r="AC13" s="48">
        <v>0.0</v>
      </c>
      <c r="AD13" s="48">
        <v>0.0</v>
      </c>
      <c r="AE13" s="51">
        <v>43222.0</v>
      </c>
      <c r="AF13" s="48">
        <v>0.0</v>
      </c>
      <c r="AG13" s="48" t="s">
        <v>51</v>
      </c>
      <c r="AH13" s="48"/>
      <c r="AI13" s="48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</row>
    <row r="14" ht="15.75" customHeight="1">
      <c r="A14" s="47"/>
      <c r="B14" s="48" t="s">
        <v>20</v>
      </c>
      <c r="C14" s="48" t="s">
        <v>51</v>
      </c>
      <c r="D14" s="48" t="s">
        <v>52</v>
      </c>
      <c r="E14" s="48">
        <v>110000.0</v>
      </c>
      <c r="F14" s="48">
        <v>0.0</v>
      </c>
      <c r="G14" s="48">
        <v>0.0</v>
      </c>
      <c r="H14" s="48" t="s">
        <v>36</v>
      </c>
      <c r="I14" s="48">
        <v>0.0</v>
      </c>
      <c r="J14" s="48">
        <v>0.0</v>
      </c>
      <c r="K14" s="48" t="s">
        <v>21</v>
      </c>
      <c r="L14" s="48" t="s">
        <v>53</v>
      </c>
      <c r="M14" s="49"/>
      <c r="N14" s="48" t="s">
        <v>37</v>
      </c>
      <c r="O14" s="48">
        <v>0.77</v>
      </c>
      <c r="P14" s="48"/>
      <c r="Q14" s="49"/>
      <c r="R14" s="48">
        <v>0.0</v>
      </c>
      <c r="S14" s="48">
        <v>0.0</v>
      </c>
      <c r="T14" s="48">
        <v>0.0</v>
      </c>
      <c r="U14" s="48">
        <v>0.0</v>
      </c>
      <c r="V14" s="48">
        <v>0.0</v>
      </c>
      <c r="W14" s="48">
        <v>0.0</v>
      </c>
      <c r="X14" s="48"/>
      <c r="Y14" s="65"/>
      <c r="Z14" s="48">
        <v>0.0</v>
      </c>
      <c r="AA14" s="48">
        <v>0.0</v>
      </c>
      <c r="AB14" s="48" t="s">
        <v>21</v>
      </c>
      <c r="AC14" s="48">
        <v>0.0</v>
      </c>
      <c r="AD14" s="48">
        <v>0.0</v>
      </c>
      <c r="AE14" s="51">
        <v>43223.0</v>
      </c>
      <c r="AF14" s="48">
        <v>0.0</v>
      </c>
      <c r="AG14" s="48" t="s">
        <v>51</v>
      </c>
      <c r="AH14" s="48"/>
      <c r="AI14" s="48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</row>
    <row r="15" ht="15.75" customHeight="1">
      <c r="A15" s="47"/>
      <c r="B15" s="48" t="s">
        <v>20</v>
      </c>
      <c r="C15" s="48" t="s">
        <v>51</v>
      </c>
      <c r="D15" s="48" t="s">
        <v>52</v>
      </c>
      <c r="E15" s="48">
        <v>-110000.0</v>
      </c>
      <c r="F15" s="48">
        <v>0.0</v>
      </c>
      <c r="G15" s="48">
        <v>0.0</v>
      </c>
      <c r="H15" s="48" t="s">
        <v>36</v>
      </c>
      <c r="I15" s="48">
        <v>0.0</v>
      </c>
      <c r="J15" s="48">
        <v>0.0</v>
      </c>
      <c r="K15" s="48" t="s">
        <v>21</v>
      </c>
      <c r="L15" s="48" t="s">
        <v>54</v>
      </c>
      <c r="M15" s="49"/>
      <c r="N15" s="48" t="s">
        <v>37</v>
      </c>
      <c r="O15" s="48">
        <v>0.77</v>
      </c>
      <c r="P15" s="48"/>
      <c r="Q15" s="49"/>
      <c r="R15" s="48">
        <v>0.0</v>
      </c>
      <c r="S15" s="48">
        <v>0.0</v>
      </c>
      <c r="T15" s="48">
        <v>0.0</v>
      </c>
      <c r="U15" s="48">
        <v>0.0</v>
      </c>
      <c r="V15" s="48">
        <v>0.0</v>
      </c>
      <c r="W15" s="48">
        <v>0.0</v>
      </c>
      <c r="X15" s="48"/>
      <c r="Y15" s="65"/>
      <c r="Z15" s="48">
        <v>0.0</v>
      </c>
      <c r="AA15" s="48">
        <v>0.0</v>
      </c>
      <c r="AB15" s="48" t="s">
        <v>21</v>
      </c>
      <c r="AC15" s="48">
        <v>0.0</v>
      </c>
      <c r="AD15" s="48">
        <v>0.0</v>
      </c>
      <c r="AE15" s="51">
        <v>43223.0</v>
      </c>
      <c r="AF15" s="48">
        <v>0.0</v>
      </c>
      <c r="AG15" s="48" t="s">
        <v>51</v>
      </c>
      <c r="AH15" s="48"/>
      <c r="AI15" s="48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</row>
    <row r="16" ht="15.75" customHeight="1">
      <c r="A16" s="47"/>
      <c r="B16" s="48" t="s">
        <v>20</v>
      </c>
      <c r="C16" s="48" t="s">
        <v>51</v>
      </c>
      <c r="D16" s="48" t="s">
        <v>57</v>
      </c>
      <c r="E16" s="48">
        <v>-50000.0</v>
      </c>
      <c r="F16" s="48">
        <v>0.0</v>
      </c>
      <c r="G16" s="48">
        <v>0.0</v>
      </c>
      <c r="H16" s="48" t="s">
        <v>36</v>
      </c>
      <c r="I16" s="48">
        <v>0.0</v>
      </c>
      <c r="J16" s="48">
        <v>0.0</v>
      </c>
      <c r="K16" s="48" t="s">
        <v>21</v>
      </c>
      <c r="L16" s="48" t="s">
        <v>58</v>
      </c>
      <c r="M16" s="49"/>
      <c r="N16" s="48" t="s">
        <v>37</v>
      </c>
      <c r="O16" s="48">
        <v>1.3</v>
      </c>
      <c r="P16" s="48"/>
      <c r="Q16" s="49"/>
      <c r="R16" s="48">
        <v>0.0</v>
      </c>
      <c r="S16" s="48">
        <v>0.0</v>
      </c>
      <c r="T16" s="48">
        <v>0.0</v>
      </c>
      <c r="U16" s="48">
        <v>0.0</v>
      </c>
      <c r="V16" s="48">
        <v>0.0</v>
      </c>
      <c r="W16" s="48">
        <v>0.0</v>
      </c>
      <c r="X16" s="48"/>
      <c r="Y16" s="65"/>
      <c r="Z16" s="48">
        <v>0.0</v>
      </c>
      <c r="AA16" s="48">
        <v>0.0</v>
      </c>
      <c r="AB16" s="48" t="s">
        <v>19</v>
      </c>
      <c r="AC16" s="48">
        <v>0.0</v>
      </c>
      <c r="AD16" s="48">
        <v>0.0</v>
      </c>
      <c r="AE16" s="51">
        <v>43223.0</v>
      </c>
      <c r="AF16" s="48">
        <v>0.0</v>
      </c>
      <c r="AG16" s="48" t="s">
        <v>51</v>
      </c>
      <c r="AH16" s="48"/>
      <c r="AI16" s="48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</row>
    <row r="17" ht="15.75" customHeight="1">
      <c r="A17" s="47"/>
      <c r="B17" s="48" t="s">
        <v>20</v>
      </c>
      <c r="C17" s="48" t="s">
        <v>51</v>
      </c>
      <c r="D17" s="48" t="s">
        <v>57</v>
      </c>
      <c r="E17" s="48">
        <v>50000.0</v>
      </c>
      <c r="F17" s="48">
        <v>0.0</v>
      </c>
      <c r="G17" s="48">
        <v>0.0</v>
      </c>
      <c r="H17" s="48" t="s">
        <v>36</v>
      </c>
      <c r="I17" s="48">
        <v>0.0</v>
      </c>
      <c r="J17" s="48">
        <v>0.0</v>
      </c>
      <c r="K17" s="48" t="s">
        <v>21</v>
      </c>
      <c r="L17" s="48" t="s">
        <v>59</v>
      </c>
      <c r="M17" s="49"/>
      <c r="N17" s="48" t="s">
        <v>37</v>
      </c>
      <c r="O17" s="48">
        <v>0.77</v>
      </c>
      <c r="P17" s="48"/>
      <c r="Q17" s="49"/>
      <c r="R17" s="48">
        <v>0.0</v>
      </c>
      <c r="S17" s="48">
        <v>0.0</v>
      </c>
      <c r="T17" s="48">
        <v>0.0</v>
      </c>
      <c r="U17" s="48">
        <v>0.0</v>
      </c>
      <c r="V17" s="48">
        <v>0.0</v>
      </c>
      <c r="W17" s="48">
        <v>0.0</v>
      </c>
      <c r="X17" s="48"/>
      <c r="Y17" s="65"/>
      <c r="Z17" s="48">
        <v>0.0</v>
      </c>
      <c r="AA17" s="48">
        <v>0.0</v>
      </c>
      <c r="AB17" s="48" t="s">
        <v>19</v>
      </c>
      <c r="AC17" s="48">
        <v>0.0</v>
      </c>
      <c r="AD17" s="48">
        <v>0.0</v>
      </c>
      <c r="AE17" s="51">
        <v>43223.0</v>
      </c>
      <c r="AF17" s="48">
        <v>0.0</v>
      </c>
      <c r="AG17" s="48" t="s">
        <v>51</v>
      </c>
      <c r="AH17" s="48"/>
      <c r="AI17" s="48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</row>
    <row r="18" ht="15.75" customHeight="1">
      <c r="A18" s="47"/>
      <c r="B18" s="48" t="s">
        <v>20</v>
      </c>
      <c r="C18" s="48" t="s">
        <v>51</v>
      </c>
      <c r="D18" s="48" t="s">
        <v>52</v>
      </c>
      <c r="E18" s="48">
        <v>50000.0</v>
      </c>
      <c r="F18" s="48">
        <v>0.0</v>
      </c>
      <c r="G18" s="48">
        <v>0.0</v>
      </c>
      <c r="H18" s="48" t="s">
        <v>36</v>
      </c>
      <c r="I18" s="48">
        <v>0.0</v>
      </c>
      <c r="J18" s="48">
        <v>0.0</v>
      </c>
      <c r="K18" s="48" t="s">
        <v>21</v>
      </c>
      <c r="L18" s="48" t="s">
        <v>55</v>
      </c>
      <c r="M18" s="49"/>
      <c r="N18" s="48" t="s">
        <v>37</v>
      </c>
      <c r="O18" s="48">
        <v>1.3</v>
      </c>
      <c r="P18" s="48"/>
      <c r="Q18" s="49"/>
      <c r="R18" s="48">
        <v>0.0</v>
      </c>
      <c r="S18" s="48">
        <v>0.0</v>
      </c>
      <c r="T18" s="48">
        <v>0.0</v>
      </c>
      <c r="U18" s="48">
        <v>0.0</v>
      </c>
      <c r="V18" s="48">
        <v>0.0</v>
      </c>
      <c r="W18" s="48">
        <v>0.0</v>
      </c>
      <c r="X18" s="48"/>
      <c r="Y18" s="65"/>
      <c r="Z18" s="48">
        <v>0.0</v>
      </c>
      <c r="AA18" s="48">
        <v>0.0</v>
      </c>
      <c r="AB18" s="48" t="s">
        <v>19</v>
      </c>
      <c r="AC18" s="48">
        <v>0.0</v>
      </c>
      <c r="AD18" s="48">
        <v>0.0</v>
      </c>
      <c r="AE18" s="51">
        <v>43223.0</v>
      </c>
      <c r="AF18" s="48">
        <v>0.0</v>
      </c>
      <c r="AG18" s="48" t="s">
        <v>51</v>
      </c>
      <c r="AH18" s="48"/>
      <c r="AI18" s="48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</row>
    <row r="19" ht="15.75" customHeight="1">
      <c r="A19" s="47"/>
      <c r="B19" s="48" t="s">
        <v>20</v>
      </c>
      <c r="C19" s="48" t="s">
        <v>51</v>
      </c>
      <c r="D19" s="48" t="s">
        <v>52</v>
      </c>
      <c r="E19" s="48">
        <v>-50000.0</v>
      </c>
      <c r="F19" s="48">
        <v>0.0</v>
      </c>
      <c r="G19" s="48">
        <v>0.0</v>
      </c>
      <c r="H19" s="48" t="s">
        <v>36</v>
      </c>
      <c r="I19" s="48">
        <v>0.0</v>
      </c>
      <c r="J19" s="48">
        <v>0.0</v>
      </c>
      <c r="K19" s="48" t="s">
        <v>21</v>
      </c>
      <c r="L19" s="48" t="s">
        <v>60</v>
      </c>
      <c r="M19" s="49"/>
      <c r="N19" s="48" t="s">
        <v>37</v>
      </c>
      <c r="O19" s="48">
        <v>0.77</v>
      </c>
      <c r="P19" s="48"/>
      <c r="Q19" s="49"/>
      <c r="R19" s="48">
        <v>0.0</v>
      </c>
      <c r="S19" s="48">
        <v>0.0</v>
      </c>
      <c r="T19" s="48">
        <v>0.0</v>
      </c>
      <c r="U19" s="48">
        <v>0.0</v>
      </c>
      <c r="V19" s="48">
        <v>0.0</v>
      </c>
      <c r="W19" s="48">
        <v>0.0</v>
      </c>
      <c r="X19" s="48"/>
      <c r="Y19" s="65"/>
      <c r="Z19" s="48">
        <v>0.0</v>
      </c>
      <c r="AA19" s="48">
        <v>0.0</v>
      </c>
      <c r="AB19" s="48" t="s">
        <v>19</v>
      </c>
      <c r="AC19" s="48">
        <v>0.0</v>
      </c>
      <c r="AD19" s="48">
        <v>0.0</v>
      </c>
      <c r="AE19" s="51">
        <v>43223.0</v>
      </c>
      <c r="AF19" s="48">
        <v>0.0</v>
      </c>
      <c r="AG19" s="48" t="s">
        <v>51</v>
      </c>
      <c r="AH19" s="48"/>
      <c r="AI19" s="48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</row>
    <row r="20" ht="15.75" customHeight="1">
      <c r="A20" s="47"/>
      <c r="B20" s="48" t="s">
        <v>20</v>
      </c>
      <c r="C20" s="48" t="s">
        <v>51</v>
      </c>
      <c r="D20" s="48" t="s">
        <v>57</v>
      </c>
      <c r="E20" s="48">
        <v>50000.0</v>
      </c>
      <c r="F20" s="48">
        <v>0.0</v>
      </c>
      <c r="G20" s="48">
        <v>0.0</v>
      </c>
      <c r="H20" s="48" t="s">
        <v>36</v>
      </c>
      <c r="I20" s="48">
        <v>0.0</v>
      </c>
      <c r="J20" s="48">
        <v>0.0</v>
      </c>
      <c r="K20" s="48" t="s">
        <v>21</v>
      </c>
      <c r="L20" s="48" t="s">
        <v>61</v>
      </c>
      <c r="M20" s="49"/>
      <c r="N20" s="48" t="s">
        <v>37</v>
      </c>
      <c r="O20" s="48">
        <v>0.77</v>
      </c>
      <c r="P20" s="48"/>
      <c r="Q20" s="49"/>
      <c r="R20" s="48">
        <v>0.0</v>
      </c>
      <c r="S20" s="48">
        <v>0.0</v>
      </c>
      <c r="T20" s="48">
        <v>0.0</v>
      </c>
      <c r="U20" s="48">
        <v>0.0</v>
      </c>
      <c r="V20" s="48">
        <v>0.0</v>
      </c>
      <c r="W20" s="48">
        <v>0.0</v>
      </c>
      <c r="X20" s="48"/>
      <c r="Y20" s="65"/>
      <c r="Z20" s="48">
        <v>0.0</v>
      </c>
      <c r="AA20" s="48">
        <v>0.0</v>
      </c>
      <c r="AB20" s="48" t="s">
        <v>21</v>
      </c>
      <c r="AC20" s="48">
        <v>0.0</v>
      </c>
      <c r="AD20" s="48">
        <v>0.0</v>
      </c>
      <c r="AE20" s="51">
        <v>43224.0</v>
      </c>
      <c r="AF20" s="48">
        <v>0.0</v>
      </c>
      <c r="AG20" s="48" t="s">
        <v>51</v>
      </c>
      <c r="AH20" s="48"/>
      <c r="AI20" s="48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</row>
    <row r="21" ht="15.75" customHeight="1">
      <c r="A21" s="47"/>
      <c r="B21" s="48" t="s">
        <v>20</v>
      </c>
      <c r="C21" s="48" t="s">
        <v>51</v>
      </c>
      <c r="D21" s="48" t="s">
        <v>57</v>
      </c>
      <c r="E21" s="48">
        <v>-50000.0</v>
      </c>
      <c r="F21" s="48">
        <v>0.0</v>
      </c>
      <c r="G21" s="48">
        <v>0.0</v>
      </c>
      <c r="H21" s="48" t="s">
        <v>36</v>
      </c>
      <c r="I21" s="48">
        <v>0.0</v>
      </c>
      <c r="J21" s="48">
        <v>0.0</v>
      </c>
      <c r="K21" s="48" t="s">
        <v>21</v>
      </c>
      <c r="L21" s="48" t="s">
        <v>62</v>
      </c>
      <c r="M21" s="49"/>
      <c r="N21" s="48" t="s">
        <v>37</v>
      </c>
      <c r="O21" s="48">
        <v>0.77</v>
      </c>
      <c r="P21" s="48"/>
      <c r="Q21" s="49"/>
      <c r="R21" s="48">
        <v>0.0</v>
      </c>
      <c r="S21" s="48">
        <v>0.0</v>
      </c>
      <c r="T21" s="48">
        <v>0.0</v>
      </c>
      <c r="U21" s="48">
        <v>0.0</v>
      </c>
      <c r="V21" s="48">
        <v>0.0</v>
      </c>
      <c r="W21" s="48">
        <v>0.0</v>
      </c>
      <c r="X21" s="48"/>
      <c r="Y21" s="65"/>
      <c r="Z21" s="48">
        <v>0.0</v>
      </c>
      <c r="AA21" s="48">
        <v>0.0</v>
      </c>
      <c r="AB21" s="48" t="s">
        <v>21</v>
      </c>
      <c r="AC21" s="48">
        <v>0.0</v>
      </c>
      <c r="AD21" s="48">
        <v>0.0</v>
      </c>
      <c r="AE21" s="51">
        <v>43224.0</v>
      </c>
      <c r="AF21" s="48">
        <v>0.0</v>
      </c>
      <c r="AG21" s="48" t="s">
        <v>51</v>
      </c>
      <c r="AH21" s="48"/>
      <c r="AI21" s="48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</row>
    <row r="22" ht="15.75" customHeight="1">
      <c r="A22" s="47"/>
      <c r="B22" s="48" t="s">
        <v>20</v>
      </c>
      <c r="C22" s="48" t="s">
        <v>51</v>
      </c>
      <c r="D22" s="48" t="s">
        <v>52</v>
      </c>
      <c r="E22" s="48">
        <v>60000.0</v>
      </c>
      <c r="F22" s="48">
        <v>0.0</v>
      </c>
      <c r="G22" s="48">
        <v>0.0</v>
      </c>
      <c r="H22" s="48" t="s">
        <v>36</v>
      </c>
      <c r="I22" s="48">
        <v>0.0</v>
      </c>
      <c r="J22" s="48">
        <v>0.0</v>
      </c>
      <c r="K22" s="48" t="s">
        <v>21</v>
      </c>
      <c r="L22" s="48" t="s">
        <v>53</v>
      </c>
      <c r="M22" s="49"/>
      <c r="N22" s="48" t="s">
        <v>37</v>
      </c>
      <c r="O22" s="48">
        <v>0.77</v>
      </c>
      <c r="P22" s="48"/>
      <c r="Q22" s="49"/>
      <c r="R22" s="48">
        <v>0.0</v>
      </c>
      <c r="S22" s="48">
        <v>0.0</v>
      </c>
      <c r="T22" s="48">
        <v>0.0</v>
      </c>
      <c r="U22" s="48">
        <v>0.0</v>
      </c>
      <c r="V22" s="48">
        <v>0.0</v>
      </c>
      <c r="W22" s="48">
        <v>0.0</v>
      </c>
      <c r="X22" s="48"/>
      <c r="Y22" s="65"/>
      <c r="Z22" s="48">
        <v>0.0</v>
      </c>
      <c r="AA22" s="48">
        <v>0.0</v>
      </c>
      <c r="AB22" s="48" t="s">
        <v>21</v>
      </c>
      <c r="AC22" s="48">
        <v>0.0</v>
      </c>
      <c r="AD22" s="48">
        <v>0.0</v>
      </c>
      <c r="AE22" s="51">
        <v>43224.0</v>
      </c>
      <c r="AF22" s="48">
        <v>0.0</v>
      </c>
      <c r="AG22" s="48" t="s">
        <v>51</v>
      </c>
      <c r="AH22" s="48"/>
      <c r="AI22" s="48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</row>
    <row r="23" ht="15.75" customHeight="1">
      <c r="A23" s="47"/>
      <c r="B23" s="48" t="s">
        <v>20</v>
      </c>
      <c r="C23" s="48" t="s">
        <v>51</v>
      </c>
      <c r="D23" s="48" t="s">
        <v>52</v>
      </c>
      <c r="E23" s="48">
        <v>-60000.0</v>
      </c>
      <c r="F23" s="48">
        <v>0.0</v>
      </c>
      <c r="G23" s="48">
        <v>0.0</v>
      </c>
      <c r="H23" s="48" t="s">
        <v>36</v>
      </c>
      <c r="I23" s="48">
        <v>0.0</v>
      </c>
      <c r="J23" s="48">
        <v>0.0</v>
      </c>
      <c r="K23" s="48" t="s">
        <v>21</v>
      </c>
      <c r="L23" s="48" t="s">
        <v>54</v>
      </c>
      <c r="M23" s="49"/>
      <c r="N23" s="48" t="s">
        <v>37</v>
      </c>
      <c r="O23" s="48">
        <v>0.77</v>
      </c>
      <c r="P23" s="48"/>
      <c r="Q23" s="49"/>
      <c r="R23" s="48">
        <v>0.0</v>
      </c>
      <c r="S23" s="48">
        <v>0.0</v>
      </c>
      <c r="T23" s="48">
        <v>0.0</v>
      </c>
      <c r="U23" s="48">
        <v>0.0</v>
      </c>
      <c r="V23" s="48">
        <v>0.0</v>
      </c>
      <c r="W23" s="48">
        <v>0.0</v>
      </c>
      <c r="X23" s="48"/>
      <c r="Y23" s="65"/>
      <c r="Z23" s="48">
        <v>0.0</v>
      </c>
      <c r="AA23" s="48">
        <v>0.0</v>
      </c>
      <c r="AB23" s="48" t="s">
        <v>21</v>
      </c>
      <c r="AC23" s="48">
        <v>0.0</v>
      </c>
      <c r="AD23" s="48">
        <v>0.0</v>
      </c>
      <c r="AE23" s="51">
        <v>43224.0</v>
      </c>
      <c r="AF23" s="48">
        <v>0.0</v>
      </c>
      <c r="AG23" s="48" t="s">
        <v>51</v>
      </c>
      <c r="AH23" s="48"/>
      <c r="AI23" s="48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</row>
    <row r="24" ht="15.75" customHeight="1">
      <c r="A24" s="47"/>
      <c r="B24" s="48" t="s">
        <v>20</v>
      </c>
      <c r="C24" s="48" t="s">
        <v>51</v>
      </c>
      <c r="D24" s="48" t="s">
        <v>57</v>
      </c>
      <c r="E24" s="48">
        <v>50000.0</v>
      </c>
      <c r="F24" s="48">
        <v>0.0</v>
      </c>
      <c r="G24" s="48">
        <v>0.0</v>
      </c>
      <c r="H24" s="48" t="s">
        <v>36</v>
      </c>
      <c r="I24" s="48">
        <v>0.0</v>
      </c>
      <c r="J24" s="48">
        <v>0.0</v>
      </c>
      <c r="K24" s="48" t="s">
        <v>21</v>
      </c>
      <c r="L24" s="48" t="s">
        <v>61</v>
      </c>
      <c r="M24" s="49"/>
      <c r="N24" s="48" t="s">
        <v>37</v>
      </c>
      <c r="O24" s="48">
        <v>0.77</v>
      </c>
      <c r="P24" s="48"/>
      <c r="Q24" s="49"/>
      <c r="R24" s="48">
        <v>0.0</v>
      </c>
      <c r="S24" s="48">
        <v>0.0</v>
      </c>
      <c r="T24" s="48">
        <v>0.0</v>
      </c>
      <c r="U24" s="48">
        <v>0.0</v>
      </c>
      <c r="V24" s="48">
        <v>0.0</v>
      </c>
      <c r="W24" s="48">
        <v>0.0</v>
      </c>
      <c r="X24" s="48"/>
      <c r="Y24" s="65"/>
      <c r="Z24" s="48">
        <v>0.0</v>
      </c>
      <c r="AA24" s="48">
        <v>0.0</v>
      </c>
      <c r="AB24" s="48" t="s">
        <v>21</v>
      </c>
      <c r="AC24" s="48">
        <v>0.0</v>
      </c>
      <c r="AD24" s="48">
        <v>0.0</v>
      </c>
      <c r="AE24" s="51">
        <v>43225.0</v>
      </c>
      <c r="AF24" s="48">
        <v>0.0</v>
      </c>
      <c r="AG24" s="48" t="s">
        <v>51</v>
      </c>
      <c r="AH24" s="48"/>
      <c r="AI24" s="48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</row>
    <row r="25" ht="15.75" customHeight="1">
      <c r="A25" s="47"/>
      <c r="B25" s="48" t="s">
        <v>20</v>
      </c>
      <c r="C25" s="48" t="s">
        <v>51</v>
      </c>
      <c r="D25" s="48" t="s">
        <v>57</v>
      </c>
      <c r="E25" s="48">
        <v>-50000.0</v>
      </c>
      <c r="F25" s="48">
        <v>0.0</v>
      </c>
      <c r="G25" s="48">
        <v>0.0</v>
      </c>
      <c r="H25" s="48" t="s">
        <v>36</v>
      </c>
      <c r="I25" s="48">
        <v>0.0</v>
      </c>
      <c r="J25" s="48">
        <v>0.0</v>
      </c>
      <c r="K25" s="48" t="s">
        <v>21</v>
      </c>
      <c r="L25" s="48" t="s">
        <v>62</v>
      </c>
      <c r="M25" s="49"/>
      <c r="N25" s="48" t="s">
        <v>37</v>
      </c>
      <c r="O25" s="48">
        <v>0.77</v>
      </c>
      <c r="P25" s="48"/>
      <c r="Q25" s="49"/>
      <c r="R25" s="48">
        <v>0.0</v>
      </c>
      <c r="S25" s="48">
        <v>0.0</v>
      </c>
      <c r="T25" s="48">
        <v>0.0</v>
      </c>
      <c r="U25" s="48">
        <v>0.0</v>
      </c>
      <c r="V25" s="48">
        <v>0.0</v>
      </c>
      <c r="W25" s="48">
        <v>0.0</v>
      </c>
      <c r="X25" s="48"/>
      <c r="Y25" s="65"/>
      <c r="Z25" s="48">
        <v>0.0</v>
      </c>
      <c r="AA25" s="48">
        <v>0.0</v>
      </c>
      <c r="AB25" s="48" t="s">
        <v>21</v>
      </c>
      <c r="AC25" s="48">
        <v>0.0</v>
      </c>
      <c r="AD25" s="48">
        <v>0.0</v>
      </c>
      <c r="AE25" s="51">
        <v>43225.0</v>
      </c>
      <c r="AF25" s="48">
        <v>0.0</v>
      </c>
      <c r="AG25" s="48" t="s">
        <v>51</v>
      </c>
      <c r="AH25" s="48"/>
      <c r="AI25" s="48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</row>
    <row r="26" ht="15.75" customHeight="1">
      <c r="A26" s="47"/>
      <c r="B26" s="48" t="s">
        <v>20</v>
      </c>
      <c r="C26" s="48" t="s">
        <v>51</v>
      </c>
      <c r="D26" s="48" t="s">
        <v>52</v>
      </c>
      <c r="E26" s="48">
        <v>60000.0</v>
      </c>
      <c r="F26" s="48">
        <v>0.0</v>
      </c>
      <c r="G26" s="48">
        <v>0.0</v>
      </c>
      <c r="H26" s="48" t="s">
        <v>36</v>
      </c>
      <c r="I26" s="48">
        <v>0.0</v>
      </c>
      <c r="J26" s="48">
        <v>0.0</v>
      </c>
      <c r="K26" s="48" t="s">
        <v>21</v>
      </c>
      <c r="L26" s="48" t="s">
        <v>53</v>
      </c>
      <c r="M26" s="49"/>
      <c r="N26" s="48" t="s">
        <v>37</v>
      </c>
      <c r="O26" s="48">
        <v>0.77</v>
      </c>
      <c r="P26" s="48"/>
      <c r="Q26" s="49"/>
      <c r="R26" s="48">
        <v>0.0</v>
      </c>
      <c r="S26" s="48">
        <v>0.0</v>
      </c>
      <c r="T26" s="48">
        <v>0.0</v>
      </c>
      <c r="U26" s="48">
        <v>0.0</v>
      </c>
      <c r="V26" s="48">
        <v>0.0</v>
      </c>
      <c r="W26" s="48">
        <v>0.0</v>
      </c>
      <c r="X26" s="48"/>
      <c r="Y26" s="65"/>
      <c r="Z26" s="48">
        <v>0.0</v>
      </c>
      <c r="AA26" s="48">
        <v>0.0</v>
      </c>
      <c r="AB26" s="48" t="s">
        <v>21</v>
      </c>
      <c r="AC26" s="48">
        <v>0.0</v>
      </c>
      <c r="AD26" s="48">
        <v>0.0</v>
      </c>
      <c r="AE26" s="51">
        <v>43225.0</v>
      </c>
      <c r="AF26" s="48">
        <v>0.0</v>
      </c>
      <c r="AG26" s="48" t="s">
        <v>51</v>
      </c>
      <c r="AH26" s="48"/>
      <c r="AI26" s="48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</row>
    <row r="27" ht="15.75" customHeight="1">
      <c r="A27" s="52"/>
      <c r="B27" s="48" t="s">
        <v>20</v>
      </c>
      <c r="C27" s="48" t="s">
        <v>51</v>
      </c>
      <c r="D27" s="48" t="s">
        <v>52</v>
      </c>
      <c r="E27" s="48">
        <v>-60000.0</v>
      </c>
      <c r="F27" s="48">
        <v>0.0</v>
      </c>
      <c r="G27" s="48">
        <v>0.0</v>
      </c>
      <c r="H27" s="48" t="s">
        <v>36</v>
      </c>
      <c r="I27" s="48">
        <v>0.0</v>
      </c>
      <c r="J27" s="48">
        <v>0.0</v>
      </c>
      <c r="K27" s="48" t="s">
        <v>21</v>
      </c>
      <c r="L27" s="48" t="s">
        <v>54</v>
      </c>
      <c r="M27" s="49"/>
      <c r="N27" s="48" t="s">
        <v>37</v>
      </c>
      <c r="O27" s="48">
        <v>0.77</v>
      </c>
      <c r="P27" s="48"/>
      <c r="Q27" s="49"/>
      <c r="R27" s="48">
        <v>0.0</v>
      </c>
      <c r="S27" s="48">
        <v>0.0</v>
      </c>
      <c r="T27" s="48">
        <v>0.0</v>
      </c>
      <c r="U27" s="48">
        <v>0.0</v>
      </c>
      <c r="V27" s="48">
        <v>0.0</v>
      </c>
      <c r="W27" s="48">
        <v>0.0</v>
      </c>
      <c r="X27" s="48"/>
      <c r="Y27" s="65"/>
      <c r="Z27" s="48">
        <v>0.0</v>
      </c>
      <c r="AA27" s="48">
        <v>0.0</v>
      </c>
      <c r="AB27" s="48" t="s">
        <v>21</v>
      </c>
      <c r="AC27" s="48">
        <v>0.0</v>
      </c>
      <c r="AD27" s="48">
        <v>0.0</v>
      </c>
      <c r="AE27" s="51">
        <v>43225.0</v>
      </c>
      <c r="AF27" s="48">
        <v>0.0</v>
      </c>
      <c r="AG27" s="48" t="s">
        <v>51</v>
      </c>
      <c r="AH27" s="48"/>
      <c r="AI27" s="48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</row>
    <row r="28" ht="15.75" customHeight="1">
      <c r="A28" s="52"/>
      <c r="B28" s="48" t="s">
        <v>20</v>
      </c>
      <c r="C28" s="48" t="s">
        <v>51</v>
      </c>
      <c r="D28" s="48" t="s">
        <v>57</v>
      </c>
      <c r="E28" s="48">
        <v>50000.0</v>
      </c>
      <c r="F28" s="48">
        <v>0.0</v>
      </c>
      <c r="G28" s="48">
        <v>0.0</v>
      </c>
      <c r="H28" s="48" t="s">
        <v>36</v>
      </c>
      <c r="I28" s="48">
        <v>0.0</v>
      </c>
      <c r="J28" s="48">
        <v>0.0</v>
      </c>
      <c r="K28" s="48" t="s">
        <v>21</v>
      </c>
      <c r="L28" s="48" t="s">
        <v>61</v>
      </c>
      <c r="M28" s="49"/>
      <c r="N28" s="48" t="s">
        <v>37</v>
      </c>
      <c r="O28" s="48">
        <v>0.77</v>
      </c>
      <c r="P28" s="48"/>
      <c r="Q28" s="49"/>
      <c r="R28" s="48">
        <v>0.0</v>
      </c>
      <c r="S28" s="48">
        <v>0.0</v>
      </c>
      <c r="T28" s="48">
        <v>0.0</v>
      </c>
      <c r="U28" s="48">
        <v>0.0</v>
      </c>
      <c r="V28" s="48">
        <v>0.0</v>
      </c>
      <c r="W28" s="48">
        <v>0.0</v>
      </c>
      <c r="X28" s="48"/>
      <c r="Y28" s="65"/>
      <c r="Z28" s="48">
        <v>0.0</v>
      </c>
      <c r="AA28" s="48">
        <v>0.0</v>
      </c>
      <c r="AB28" s="48" t="s">
        <v>21</v>
      </c>
      <c r="AC28" s="48">
        <v>0.0</v>
      </c>
      <c r="AD28" s="48">
        <v>0.0</v>
      </c>
      <c r="AE28" s="51">
        <v>43226.0</v>
      </c>
      <c r="AF28" s="48">
        <v>0.0</v>
      </c>
      <c r="AG28" s="48" t="s">
        <v>51</v>
      </c>
      <c r="AH28" s="48"/>
      <c r="AI28" s="48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</row>
    <row r="29" ht="15.75" customHeight="1">
      <c r="A29" s="52"/>
      <c r="B29" s="48" t="s">
        <v>20</v>
      </c>
      <c r="C29" s="48" t="s">
        <v>51</v>
      </c>
      <c r="D29" s="48" t="s">
        <v>57</v>
      </c>
      <c r="E29" s="48">
        <v>-50000.0</v>
      </c>
      <c r="F29" s="48">
        <v>0.0</v>
      </c>
      <c r="G29" s="48">
        <v>0.0</v>
      </c>
      <c r="H29" s="48" t="s">
        <v>36</v>
      </c>
      <c r="I29" s="48">
        <v>0.0</v>
      </c>
      <c r="J29" s="48">
        <v>0.0</v>
      </c>
      <c r="K29" s="48" t="s">
        <v>21</v>
      </c>
      <c r="L29" s="48" t="s">
        <v>62</v>
      </c>
      <c r="M29" s="49"/>
      <c r="N29" s="48" t="s">
        <v>37</v>
      </c>
      <c r="O29" s="48">
        <v>0.77</v>
      </c>
      <c r="P29" s="48"/>
      <c r="Q29" s="49"/>
      <c r="R29" s="48">
        <v>0.0</v>
      </c>
      <c r="S29" s="48">
        <v>0.0</v>
      </c>
      <c r="T29" s="48">
        <v>0.0</v>
      </c>
      <c r="U29" s="48">
        <v>0.0</v>
      </c>
      <c r="V29" s="48">
        <v>0.0</v>
      </c>
      <c r="W29" s="48">
        <v>0.0</v>
      </c>
      <c r="X29" s="48"/>
      <c r="Y29" s="65"/>
      <c r="Z29" s="48">
        <v>0.0</v>
      </c>
      <c r="AA29" s="48">
        <v>0.0</v>
      </c>
      <c r="AB29" s="48" t="s">
        <v>21</v>
      </c>
      <c r="AC29" s="48">
        <v>0.0</v>
      </c>
      <c r="AD29" s="48">
        <v>0.0</v>
      </c>
      <c r="AE29" s="51">
        <v>43226.0</v>
      </c>
      <c r="AF29" s="48">
        <v>0.0</v>
      </c>
      <c r="AG29" s="48" t="s">
        <v>51</v>
      </c>
      <c r="AH29" s="48"/>
      <c r="AI29" s="48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</row>
    <row r="30" ht="15.75" customHeight="1">
      <c r="A30" s="52"/>
      <c r="B30" s="48" t="s">
        <v>20</v>
      </c>
      <c r="C30" s="48" t="s">
        <v>51</v>
      </c>
      <c r="D30" s="48" t="s">
        <v>52</v>
      </c>
      <c r="E30" s="48">
        <v>60000.0</v>
      </c>
      <c r="F30" s="48">
        <v>0.0</v>
      </c>
      <c r="G30" s="48">
        <v>0.0</v>
      </c>
      <c r="H30" s="48" t="s">
        <v>36</v>
      </c>
      <c r="I30" s="48">
        <v>0.0</v>
      </c>
      <c r="J30" s="48">
        <v>0.0</v>
      </c>
      <c r="K30" s="48" t="s">
        <v>21</v>
      </c>
      <c r="L30" s="48" t="s">
        <v>53</v>
      </c>
      <c r="M30" s="49"/>
      <c r="N30" s="48" t="s">
        <v>37</v>
      </c>
      <c r="O30" s="48">
        <v>0.77</v>
      </c>
      <c r="P30" s="48"/>
      <c r="Q30" s="49"/>
      <c r="R30" s="48">
        <v>0.0</v>
      </c>
      <c r="S30" s="48">
        <v>0.0</v>
      </c>
      <c r="T30" s="48">
        <v>0.0</v>
      </c>
      <c r="U30" s="48">
        <v>0.0</v>
      </c>
      <c r="V30" s="48">
        <v>0.0</v>
      </c>
      <c r="W30" s="48">
        <v>0.0</v>
      </c>
      <c r="X30" s="48"/>
      <c r="Y30" s="65"/>
      <c r="Z30" s="48">
        <v>0.0</v>
      </c>
      <c r="AA30" s="48">
        <v>0.0</v>
      </c>
      <c r="AB30" s="48" t="s">
        <v>21</v>
      </c>
      <c r="AC30" s="48">
        <v>0.0</v>
      </c>
      <c r="AD30" s="48">
        <v>0.0</v>
      </c>
      <c r="AE30" s="51">
        <v>43226.0</v>
      </c>
      <c r="AF30" s="48">
        <v>0.0</v>
      </c>
      <c r="AG30" s="48" t="s">
        <v>51</v>
      </c>
      <c r="AH30" s="48"/>
      <c r="AI30" s="48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</row>
    <row r="31" ht="15.75" customHeight="1">
      <c r="A31" s="52"/>
      <c r="B31" s="48" t="s">
        <v>20</v>
      </c>
      <c r="C31" s="48" t="s">
        <v>51</v>
      </c>
      <c r="D31" s="48" t="s">
        <v>52</v>
      </c>
      <c r="E31" s="48">
        <v>-60000.0</v>
      </c>
      <c r="F31" s="48">
        <v>0.0</v>
      </c>
      <c r="G31" s="48">
        <v>0.0</v>
      </c>
      <c r="H31" s="48" t="s">
        <v>36</v>
      </c>
      <c r="I31" s="48">
        <v>0.0</v>
      </c>
      <c r="J31" s="48">
        <v>0.0</v>
      </c>
      <c r="K31" s="48" t="s">
        <v>21</v>
      </c>
      <c r="L31" s="48" t="s">
        <v>54</v>
      </c>
      <c r="M31" s="49"/>
      <c r="N31" s="48" t="s">
        <v>37</v>
      </c>
      <c r="O31" s="48">
        <v>0.77</v>
      </c>
      <c r="P31" s="48"/>
      <c r="Q31" s="49"/>
      <c r="R31" s="48">
        <v>0.0</v>
      </c>
      <c r="S31" s="48">
        <v>0.0</v>
      </c>
      <c r="T31" s="48">
        <v>0.0</v>
      </c>
      <c r="U31" s="48">
        <v>0.0</v>
      </c>
      <c r="V31" s="48">
        <v>0.0</v>
      </c>
      <c r="W31" s="48">
        <v>0.0</v>
      </c>
      <c r="X31" s="48"/>
      <c r="Y31" s="65"/>
      <c r="Z31" s="48">
        <v>0.0</v>
      </c>
      <c r="AA31" s="48">
        <v>0.0</v>
      </c>
      <c r="AB31" s="48" t="s">
        <v>21</v>
      </c>
      <c r="AC31" s="48">
        <v>0.0</v>
      </c>
      <c r="AD31" s="48">
        <v>0.0</v>
      </c>
      <c r="AE31" s="51">
        <v>43226.0</v>
      </c>
      <c r="AF31" s="48">
        <v>0.0</v>
      </c>
      <c r="AG31" s="48" t="s">
        <v>51</v>
      </c>
      <c r="AH31" s="48"/>
      <c r="AI31" s="48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</row>
    <row r="32" ht="15.75" customHeight="1">
      <c r="A32" s="52"/>
      <c r="B32" s="48" t="s">
        <v>20</v>
      </c>
      <c r="C32" s="48" t="s">
        <v>51</v>
      </c>
      <c r="D32" s="48" t="s">
        <v>57</v>
      </c>
      <c r="E32" s="48">
        <v>50000.0</v>
      </c>
      <c r="F32" s="48">
        <v>0.0</v>
      </c>
      <c r="G32" s="48">
        <v>0.0</v>
      </c>
      <c r="H32" s="48" t="s">
        <v>36</v>
      </c>
      <c r="I32" s="48">
        <v>0.0</v>
      </c>
      <c r="J32" s="48">
        <v>0.0</v>
      </c>
      <c r="K32" s="48" t="s">
        <v>21</v>
      </c>
      <c r="L32" s="48" t="s">
        <v>61</v>
      </c>
      <c r="M32" s="49"/>
      <c r="N32" s="48" t="s">
        <v>37</v>
      </c>
      <c r="O32" s="48">
        <v>0.77</v>
      </c>
      <c r="P32" s="48"/>
      <c r="Q32" s="49"/>
      <c r="R32" s="48">
        <v>0.0</v>
      </c>
      <c r="S32" s="48">
        <v>0.0</v>
      </c>
      <c r="T32" s="48">
        <v>0.0</v>
      </c>
      <c r="U32" s="48">
        <v>0.0</v>
      </c>
      <c r="V32" s="48">
        <v>0.0</v>
      </c>
      <c r="W32" s="48">
        <v>0.0</v>
      </c>
      <c r="X32" s="48"/>
      <c r="Y32" s="65"/>
      <c r="Z32" s="48">
        <v>0.0</v>
      </c>
      <c r="AA32" s="48">
        <v>0.0</v>
      </c>
      <c r="AB32" s="48" t="s">
        <v>21</v>
      </c>
      <c r="AC32" s="48">
        <v>0.0</v>
      </c>
      <c r="AD32" s="48">
        <v>0.0</v>
      </c>
      <c r="AE32" s="51">
        <v>43227.0</v>
      </c>
      <c r="AF32" s="48">
        <v>0.0</v>
      </c>
      <c r="AG32" s="48" t="s">
        <v>51</v>
      </c>
      <c r="AH32" s="48"/>
      <c r="AI32" s="48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</row>
    <row r="33" ht="15.75" customHeight="1">
      <c r="A33" s="52"/>
      <c r="B33" s="48" t="s">
        <v>20</v>
      </c>
      <c r="C33" s="48" t="s">
        <v>51</v>
      </c>
      <c r="D33" s="48" t="s">
        <v>57</v>
      </c>
      <c r="E33" s="48">
        <v>-50000.0</v>
      </c>
      <c r="F33" s="48">
        <v>0.0</v>
      </c>
      <c r="G33" s="48">
        <v>0.0</v>
      </c>
      <c r="H33" s="48" t="s">
        <v>36</v>
      </c>
      <c r="I33" s="48">
        <v>0.0</v>
      </c>
      <c r="J33" s="48">
        <v>0.0</v>
      </c>
      <c r="K33" s="48" t="s">
        <v>21</v>
      </c>
      <c r="L33" s="48" t="s">
        <v>62</v>
      </c>
      <c r="M33" s="49"/>
      <c r="N33" s="48" t="s">
        <v>37</v>
      </c>
      <c r="O33" s="48">
        <v>0.77</v>
      </c>
      <c r="P33" s="48"/>
      <c r="Q33" s="49"/>
      <c r="R33" s="48">
        <v>0.0</v>
      </c>
      <c r="S33" s="48">
        <v>0.0</v>
      </c>
      <c r="T33" s="48">
        <v>0.0</v>
      </c>
      <c r="U33" s="48">
        <v>0.0</v>
      </c>
      <c r="V33" s="48">
        <v>0.0</v>
      </c>
      <c r="W33" s="48">
        <v>0.0</v>
      </c>
      <c r="X33" s="48"/>
      <c r="Y33" s="65"/>
      <c r="Z33" s="48">
        <v>0.0</v>
      </c>
      <c r="AA33" s="48">
        <v>0.0</v>
      </c>
      <c r="AB33" s="48" t="s">
        <v>21</v>
      </c>
      <c r="AC33" s="48">
        <v>0.0</v>
      </c>
      <c r="AD33" s="48">
        <v>0.0</v>
      </c>
      <c r="AE33" s="51">
        <v>43227.0</v>
      </c>
      <c r="AF33" s="48">
        <v>0.0</v>
      </c>
      <c r="AG33" s="48" t="s">
        <v>51</v>
      </c>
      <c r="AH33" s="48"/>
      <c r="AI33" s="48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</row>
    <row r="34" ht="15.75" customHeight="1">
      <c r="A34" s="52"/>
      <c r="B34" s="48" t="s">
        <v>20</v>
      </c>
      <c r="C34" s="48" t="s">
        <v>51</v>
      </c>
      <c r="D34" s="48" t="s">
        <v>52</v>
      </c>
      <c r="E34" s="48">
        <v>60000.0</v>
      </c>
      <c r="F34" s="48">
        <v>0.0</v>
      </c>
      <c r="G34" s="48">
        <v>0.0</v>
      </c>
      <c r="H34" s="48" t="s">
        <v>36</v>
      </c>
      <c r="I34" s="48">
        <v>0.0</v>
      </c>
      <c r="J34" s="48">
        <v>0.0</v>
      </c>
      <c r="K34" s="48" t="s">
        <v>21</v>
      </c>
      <c r="L34" s="48" t="s">
        <v>53</v>
      </c>
      <c r="M34" s="49"/>
      <c r="N34" s="48" t="s">
        <v>37</v>
      </c>
      <c r="O34" s="48">
        <v>0.77</v>
      </c>
      <c r="P34" s="48"/>
      <c r="Q34" s="49"/>
      <c r="R34" s="48">
        <v>0.0</v>
      </c>
      <c r="S34" s="48">
        <v>0.0</v>
      </c>
      <c r="T34" s="48">
        <v>0.0</v>
      </c>
      <c r="U34" s="48">
        <v>0.0</v>
      </c>
      <c r="V34" s="48">
        <v>0.0</v>
      </c>
      <c r="W34" s="48">
        <v>0.0</v>
      </c>
      <c r="X34" s="48"/>
      <c r="Y34" s="65"/>
      <c r="Z34" s="48">
        <v>0.0</v>
      </c>
      <c r="AA34" s="48">
        <v>0.0</v>
      </c>
      <c r="AB34" s="48" t="s">
        <v>21</v>
      </c>
      <c r="AC34" s="48">
        <v>0.0</v>
      </c>
      <c r="AD34" s="48">
        <v>0.0</v>
      </c>
      <c r="AE34" s="51">
        <v>43227.0</v>
      </c>
      <c r="AF34" s="48">
        <v>0.0</v>
      </c>
      <c r="AG34" s="48" t="s">
        <v>51</v>
      </c>
      <c r="AH34" s="48"/>
      <c r="AI34" s="48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</row>
    <row r="35" ht="15.75" customHeight="1">
      <c r="A35" s="52"/>
      <c r="B35" s="48" t="s">
        <v>20</v>
      </c>
      <c r="C35" s="48" t="s">
        <v>51</v>
      </c>
      <c r="D35" s="48" t="s">
        <v>52</v>
      </c>
      <c r="E35" s="48">
        <v>-60000.0</v>
      </c>
      <c r="F35" s="48">
        <v>0.0</v>
      </c>
      <c r="G35" s="48">
        <v>0.0</v>
      </c>
      <c r="H35" s="48" t="s">
        <v>36</v>
      </c>
      <c r="I35" s="48">
        <v>0.0</v>
      </c>
      <c r="J35" s="48">
        <v>0.0</v>
      </c>
      <c r="K35" s="48" t="s">
        <v>21</v>
      </c>
      <c r="L35" s="48" t="s">
        <v>54</v>
      </c>
      <c r="M35" s="49"/>
      <c r="N35" s="48" t="s">
        <v>37</v>
      </c>
      <c r="O35" s="48">
        <v>0.77</v>
      </c>
      <c r="P35" s="48"/>
      <c r="Q35" s="49"/>
      <c r="R35" s="48">
        <v>0.0</v>
      </c>
      <c r="S35" s="48">
        <v>0.0</v>
      </c>
      <c r="T35" s="48">
        <v>0.0</v>
      </c>
      <c r="U35" s="48">
        <v>0.0</v>
      </c>
      <c r="V35" s="48">
        <v>0.0</v>
      </c>
      <c r="W35" s="48">
        <v>0.0</v>
      </c>
      <c r="X35" s="48"/>
      <c r="Y35" s="65"/>
      <c r="Z35" s="48">
        <v>0.0</v>
      </c>
      <c r="AA35" s="48">
        <v>0.0</v>
      </c>
      <c r="AB35" s="48" t="s">
        <v>21</v>
      </c>
      <c r="AC35" s="48">
        <v>0.0</v>
      </c>
      <c r="AD35" s="48">
        <v>0.0</v>
      </c>
      <c r="AE35" s="51">
        <v>43227.0</v>
      </c>
      <c r="AF35" s="48">
        <v>0.0</v>
      </c>
      <c r="AG35" s="48" t="s">
        <v>51</v>
      </c>
      <c r="AH35" s="48"/>
      <c r="AI35" s="48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</row>
    <row r="36" ht="15.75" customHeight="1">
      <c r="A36" s="52"/>
      <c r="B36" s="48" t="s">
        <v>20</v>
      </c>
      <c r="C36" s="48" t="s">
        <v>51</v>
      </c>
      <c r="D36" s="48" t="s">
        <v>57</v>
      </c>
      <c r="E36" s="48">
        <v>-60000.0</v>
      </c>
      <c r="F36" s="48">
        <v>0.0</v>
      </c>
      <c r="G36" s="48">
        <v>0.0</v>
      </c>
      <c r="H36" s="48" t="s">
        <v>36</v>
      </c>
      <c r="I36" s="48">
        <v>0.0</v>
      </c>
      <c r="J36" s="48">
        <v>0.0</v>
      </c>
      <c r="K36" s="48" t="s">
        <v>21</v>
      </c>
      <c r="L36" s="48" t="s">
        <v>58</v>
      </c>
      <c r="M36" s="49"/>
      <c r="N36" s="48" t="s">
        <v>37</v>
      </c>
      <c r="O36" s="55">
        <v>2.2</v>
      </c>
      <c r="P36" s="48"/>
      <c r="Q36" s="49"/>
      <c r="R36" s="48">
        <v>0.0</v>
      </c>
      <c r="S36" s="48">
        <v>0.0</v>
      </c>
      <c r="T36" s="48">
        <v>0.0</v>
      </c>
      <c r="U36" s="48">
        <v>0.0</v>
      </c>
      <c r="V36" s="48">
        <v>0.0</v>
      </c>
      <c r="W36" s="48">
        <v>0.0</v>
      </c>
      <c r="X36" s="48"/>
      <c r="Y36" s="65"/>
      <c r="Z36" s="48">
        <v>0.0</v>
      </c>
      <c r="AA36" s="48">
        <v>0.0</v>
      </c>
      <c r="AB36" s="48" t="s">
        <v>19</v>
      </c>
      <c r="AC36" s="48">
        <v>0.0</v>
      </c>
      <c r="AD36" s="48">
        <v>0.0</v>
      </c>
      <c r="AE36" s="51">
        <v>43227.0</v>
      </c>
      <c r="AF36" s="48">
        <v>0.0</v>
      </c>
      <c r="AG36" s="48" t="s">
        <v>51</v>
      </c>
      <c r="AH36" s="48"/>
      <c r="AI36" s="48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</row>
    <row r="37" ht="15.75" customHeight="1">
      <c r="A37" s="52"/>
      <c r="B37" s="48" t="s">
        <v>20</v>
      </c>
      <c r="C37" s="48" t="s">
        <v>51</v>
      </c>
      <c r="D37" s="48" t="s">
        <v>57</v>
      </c>
      <c r="E37" s="48">
        <v>60000.0</v>
      </c>
      <c r="F37" s="48">
        <v>0.0</v>
      </c>
      <c r="G37" s="48">
        <v>0.0</v>
      </c>
      <c r="H37" s="48" t="s">
        <v>36</v>
      </c>
      <c r="I37" s="48">
        <v>0.0</v>
      </c>
      <c r="J37" s="48">
        <v>0.0</v>
      </c>
      <c r="K37" s="48" t="s">
        <v>21</v>
      </c>
      <c r="L37" s="48" t="s">
        <v>59</v>
      </c>
      <c r="M37" s="49"/>
      <c r="N37" s="48" t="s">
        <v>37</v>
      </c>
      <c r="O37" s="48">
        <v>0.77</v>
      </c>
      <c r="P37" s="48"/>
      <c r="Q37" s="49"/>
      <c r="R37" s="48">
        <v>0.0</v>
      </c>
      <c r="S37" s="48">
        <v>0.0</v>
      </c>
      <c r="T37" s="48">
        <v>0.0</v>
      </c>
      <c r="U37" s="48">
        <v>0.0</v>
      </c>
      <c r="V37" s="48">
        <v>0.0</v>
      </c>
      <c r="W37" s="48">
        <v>0.0</v>
      </c>
      <c r="X37" s="48"/>
      <c r="Y37" s="65"/>
      <c r="Z37" s="48">
        <v>0.0</v>
      </c>
      <c r="AA37" s="48">
        <v>0.0</v>
      </c>
      <c r="AB37" s="48" t="s">
        <v>19</v>
      </c>
      <c r="AC37" s="48">
        <v>0.0</v>
      </c>
      <c r="AD37" s="48">
        <v>0.0</v>
      </c>
      <c r="AE37" s="51">
        <v>43227.0</v>
      </c>
      <c r="AF37" s="48">
        <v>0.0</v>
      </c>
      <c r="AG37" s="48" t="s">
        <v>51</v>
      </c>
      <c r="AH37" s="48"/>
      <c r="AI37" s="48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</row>
    <row r="38" ht="15.75" customHeight="1">
      <c r="A38" s="52"/>
      <c r="B38" s="48" t="s">
        <v>20</v>
      </c>
      <c r="C38" s="48" t="s">
        <v>51</v>
      </c>
      <c r="D38" s="48" t="s">
        <v>52</v>
      </c>
      <c r="E38" s="48">
        <v>60000.0</v>
      </c>
      <c r="F38" s="48">
        <v>0.0</v>
      </c>
      <c r="G38" s="48">
        <v>0.0</v>
      </c>
      <c r="H38" s="48" t="s">
        <v>36</v>
      </c>
      <c r="I38" s="48">
        <v>0.0</v>
      </c>
      <c r="J38" s="48">
        <v>0.0</v>
      </c>
      <c r="K38" s="48" t="s">
        <v>21</v>
      </c>
      <c r="L38" s="48" t="s">
        <v>55</v>
      </c>
      <c r="M38" s="49"/>
      <c r="N38" s="48" t="s">
        <v>37</v>
      </c>
      <c r="O38" s="55">
        <v>2.2</v>
      </c>
      <c r="P38" s="48"/>
      <c r="Q38" s="49"/>
      <c r="R38" s="48">
        <v>0.0</v>
      </c>
      <c r="S38" s="48">
        <v>0.0</v>
      </c>
      <c r="T38" s="48">
        <v>0.0</v>
      </c>
      <c r="U38" s="48">
        <v>0.0</v>
      </c>
      <c r="V38" s="48">
        <v>0.0</v>
      </c>
      <c r="W38" s="48">
        <v>0.0</v>
      </c>
      <c r="X38" s="48"/>
      <c r="Y38" s="65"/>
      <c r="Z38" s="48">
        <v>0.0</v>
      </c>
      <c r="AA38" s="48">
        <v>0.0</v>
      </c>
      <c r="AB38" s="48" t="s">
        <v>19</v>
      </c>
      <c r="AC38" s="48">
        <v>0.0</v>
      </c>
      <c r="AD38" s="48">
        <v>0.0</v>
      </c>
      <c r="AE38" s="51">
        <v>43227.0</v>
      </c>
      <c r="AF38" s="48">
        <v>0.0</v>
      </c>
      <c r="AG38" s="48" t="s">
        <v>51</v>
      </c>
      <c r="AH38" s="48"/>
      <c r="AI38" s="48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</row>
    <row r="39" ht="15.75" customHeight="1">
      <c r="A39" s="52"/>
      <c r="B39" s="48" t="s">
        <v>20</v>
      </c>
      <c r="C39" s="48" t="s">
        <v>51</v>
      </c>
      <c r="D39" s="48" t="s">
        <v>52</v>
      </c>
      <c r="E39" s="48">
        <v>-60000.0</v>
      </c>
      <c r="F39" s="48">
        <v>0.0</v>
      </c>
      <c r="G39" s="48">
        <v>0.0</v>
      </c>
      <c r="H39" s="48" t="s">
        <v>36</v>
      </c>
      <c r="I39" s="48">
        <v>0.0</v>
      </c>
      <c r="J39" s="48">
        <v>0.0</v>
      </c>
      <c r="K39" s="48" t="s">
        <v>21</v>
      </c>
      <c r="L39" s="48" t="s">
        <v>60</v>
      </c>
      <c r="M39" s="49"/>
      <c r="N39" s="48" t="s">
        <v>37</v>
      </c>
      <c r="O39" s="48">
        <v>0.77</v>
      </c>
      <c r="P39" s="48"/>
      <c r="Q39" s="49"/>
      <c r="R39" s="48">
        <v>0.0</v>
      </c>
      <c r="S39" s="48">
        <v>0.0</v>
      </c>
      <c r="T39" s="48">
        <v>0.0</v>
      </c>
      <c r="U39" s="48">
        <v>0.0</v>
      </c>
      <c r="V39" s="48">
        <v>0.0</v>
      </c>
      <c r="W39" s="48">
        <v>0.0</v>
      </c>
      <c r="X39" s="48"/>
      <c r="Y39" s="65"/>
      <c r="Z39" s="48">
        <v>0.0</v>
      </c>
      <c r="AA39" s="48">
        <v>0.0</v>
      </c>
      <c r="AB39" s="48" t="s">
        <v>19</v>
      </c>
      <c r="AC39" s="48">
        <v>0.0</v>
      </c>
      <c r="AD39" s="48">
        <v>0.0</v>
      </c>
      <c r="AE39" s="51">
        <v>43227.0</v>
      </c>
      <c r="AF39" s="48">
        <v>0.0</v>
      </c>
      <c r="AG39" s="48" t="s">
        <v>51</v>
      </c>
      <c r="AH39" s="48"/>
      <c r="AI39" s="48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</row>
    <row r="40" ht="15.75" customHeight="1">
      <c r="A40" s="52"/>
      <c r="B40" s="48" t="s">
        <v>20</v>
      </c>
      <c r="C40" s="48" t="s">
        <v>51</v>
      </c>
      <c r="D40" s="48" t="s">
        <v>57</v>
      </c>
      <c r="E40" s="48">
        <v>110000.0</v>
      </c>
      <c r="F40" s="48">
        <v>0.0</v>
      </c>
      <c r="G40" s="48">
        <v>0.0</v>
      </c>
      <c r="H40" s="48" t="s">
        <v>36</v>
      </c>
      <c r="I40" s="48">
        <v>0.0</v>
      </c>
      <c r="J40" s="48">
        <v>0.0</v>
      </c>
      <c r="K40" s="48" t="s">
        <v>21</v>
      </c>
      <c r="L40" s="48" t="s">
        <v>61</v>
      </c>
      <c r="M40" s="49"/>
      <c r="N40" s="48" t="s">
        <v>37</v>
      </c>
      <c r="O40" s="48">
        <v>0.77</v>
      </c>
      <c r="P40" s="48"/>
      <c r="Q40" s="49"/>
      <c r="R40" s="48">
        <v>0.0</v>
      </c>
      <c r="S40" s="48">
        <v>0.0</v>
      </c>
      <c r="T40" s="48">
        <v>0.0</v>
      </c>
      <c r="U40" s="48">
        <v>0.0</v>
      </c>
      <c r="V40" s="48">
        <v>0.0</v>
      </c>
      <c r="W40" s="48">
        <v>0.0</v>
      </c>
      <c r="X40" s="48"/>
      <c r="Y40" s="65"/>
      <c r="Z40" s="48">
        <v>0.0</v>
      </c>
      <c r="AA40" s="48">
        <v>0.0</v>
      </c>
      <c r="AB40" s="48" t="s">
        <v>21</v>
      </c>
      <c r="AC40" s="48">
        <v>0.0</v>
      </c>
      <c r="AD40" s="48">
        <v>0.0</v>
      </c>
      <c r="AE40" s="51">
        <v>43228.0</v>
      </c>
      <c r="AF40" s="48">
        <v>0.0</v>
      </c>
      <c r="AG40" s="48" t="s">
        <v>51</v>
      </c>
      <c r="AH40" s="48"/>
      <c r="AI40" s="48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</row>
    <row r="41" ht="15.75" customHeight="1">
      <c r="A41" s="52"/>
      <c r="B41" s="48" t="s">
        <v>20</v>
      </c>
      <c r="C41" s="48" t="s">
        <v>51</v>
      </c>
      <c r="D41" s="48" t="s">
        <v>57</v>
      </c>
      <c r="E41" s="48">
        <v>-110000.0</v>
      </c>
      <c r="F41" s="48">
        <v>0.0</v>
      </c>
      <c r="G41" s="48">
        <v>0.0</v>
      </c>
      <c r="H41" s="48" t="s">
        <v>36</v>
      </c>
      <c r="I41" s="48">
        <v>0.0</v>
      </c>
      <c r="J41" s="48">
        <v>0.0</v>
      </c>
      <c r="K41" s="48" t="s">
        <v>21</v>
      </c>
      <c r="L41" s="48" t="s">
        <v>62</v>
      </c>
      <c r="M41" s="49"/>
      <c r="N41" s="48" t="s">
        <v>37</v>
      </c>
      <c r="O41" s="48">
        <v>0.77</v>
      </c>
      <c r="P41" s="48"/>
      <c r="Q41" s="49"/>
      <c r="R41" s="48">
        <v>0.0</v>
      </c>
      <c r="S41" s="48">
        <v>0.0</v>
      </c>
      <c r="T41" s="48">
        <v>0.0</v>
      </c>
      <c r="U41" s="48">
        <v>0.0</v>
      </c>
      <c r="V41" s="48">
        <v>0.0</v>
      </c>
      <c r="W41" s="48">
        <v>0.0</v>
      </c>
      <c r="X41" s="48"/>
      <c r="Y41" s="65"/>
      <c r="Z41" s="48">
        <v>0.0</v>
      </c>
      <c r="AA41" s="48">
        <v>0.0</v>
      </c>
      <c r="AB41" s="48" t="s">
        <v>21</v>
      </c>
      <c r="AC41" s="48">
        <v>0.0</v>
      </c>
      <c r="AD41" s="48">
        <v>0.0</v>
      </c>
      <c r="AE41" s="51">
        <v>43228.0</v>
      </c>
      <c r="AF41" s="48">
        <v>0.0</v>
      </c>
      <c r="AG41" s="48" t="s">
        <v>51</v>
      </c>
      <c r="AH41" s="48"/>
      <c r="AI41" s="48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</row>
    <row r="42" ht="15.75" customHeight="1">
      <c r="A42" s="52"/>
      <c r="B42" s="66" t="s">
        <v>23</v>
      </c>
      <c r="C42" s="66" t="s">
        <v>51</v>
      </c>
      <c r="D42" s="66" t="s">
        <v>52</v>
      </c>
      <c r="E42" s="67">
        <v>-20000.0</v>
      </c>
      <c r="F42" s="48">
        <v>0.0</v>
      </c>
      <c r="G42" s="48">
        <v>0.0</v>
      </c>
      <c r="H42" s="48" t="s">
        <v>36</v>
      </c>
      <c r="I42" s="48">
        <v>0.0</v>
      </c>
      <c r="J42" s="48">
        <v>0.0</v>
      </c>
      <c r="K42" s="48" t="s">
        <v>21</v>
      </c>
      <c r="L42" s="66" t="s">
        <v>55</v>
      </c>
      <c r="M42" s="49"/>
      <c r="N42" s="48" t="s">
        <v>37</v>
      </c>
      <c r="O42" s="67">
        <v>3.6</v>
      </c>
      <c r="P42" s="48"/>
      <c r="Q42" s="49"/>
      <c r="R42" s="48">
        <v>0.0</v>
      </c>
      <c r="S42" s="48">
        <v>0.0</v>
      </c>
      <c r="T42" s="48">
        <v>0.0</v>
      </c>
      <c r="U42" s="48">
        <v>0.0</v>
      </c>
      <c r="V42" s="48">
        <v>0.0</v>
      </c>
      <c r="W42" s="48">
        <v>0.0</v>
      </c>
      <c r="X42" s="48"/>
      <c r="Y42" s="65"/>
      <c r="Z42" s="48">
        <v>0.0</v>
      </c>
      <c r="AA42" s="48">
        <v>0.0</v>
      </c>
      <c r="AB42" s="68"/>
      <c r="AC42" s="48">
        <v>0.0</v>
      </c>
      <c r="AD42" s="48">
        <v>0.0</v>
      </c>
      <c r="AE42" s="69">
        <v>43222.0</v>
      </c>
      <c r="AF42" s="48">
        <v>0.0</v>
      </c>
      <c r="AG42" s="70" t="s">
        <v>51</v>
      </c>
      <c r="AH42" s="48"/>
      <c r="AI42" s="48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</row>
    <row r="43" ht="15.75" customHeight="1">
      <c r="A43" s="52"/>
      <c r="B43" s="71" t="s">
        <v>23</v>
      </c>
      <c r="C43" s="71" t="s">
        <v>51</v>
      </c>
      <c r="D43" s="71" t="s">
        <v>52</v>
      </c>
      <c r="E43" s="72">
        <v>20000.0</v>
      </c>
      <c r="F43" s="48">
        <v>0.0</v>
      </c>
      <c r="G43" s="48">
        <v>0.0</v>
      </c>
      <c r="H43" s="48" t="s">
        <v>36</v>
      </c>
      <c r="I43" s="48">
        <v>0.0</v>
      </c>
      <c r="J43" s="48">
        <v>0.0</v>
      </c>
      <c r="K43" s="48" t="s">
        <v>21</v>
      </c>
      <c r="L43" s="71" t="s">
        <v>55</v>
      </c>
      <c r="M43" s="49"/>
      <c r="N43" s="48" t="s">
        <v>37</v>
      </c>
      <c r="O43" s="72">
        <v>3.6</v>
      </c>
      <c r="P43" s="48"/>
      <c r="Q43" s="49"/>
      <c r="R43" s="48">
        <v>0.0</v>
      </c>
      <c r="S43" s="48">
        <v>0.0</v>
      </c>
      <c r="T43" s="48">
        <v>0.0</v>
      </c>
      <c r="U43" s="48">
        <v>0.0</v>
      </c>
      <c r="V43" s="48">
        <v>0.0</v>
      </c>
      <c r="W43" s="48">
        <v>0.0</v>
      </c>
      <c r="X43" s="48"/>
      <c r="Y43" s="65"/>
      <c r="Z43" s="48">
        <v>0.0</v>
      </c>
      <c r="AA43" s="48">
        <v>0.0</v>
      </c>
      <c r="AB43" s="73"/>
      <c r="AC43" s="48">
        <v>0.0</v>
      </c>
      <c r="AD43" s="48">
        <v>0.0</v>
      </c>
      <c r="AE43" s="74">
        <v>43222.0</v>
      </c>
      <c r="AF43" s="48">
        <v>0.0</v>
      </c>
      <c r="AG43" s="75" t="s">
        <v>51</v>
      </c>
      <c r="AH43" s="48"/>
      <c r="AI43" s="48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</row>
    <row r="44" ht="15.75" customHeight="1">
      <c r="A44" s="52"/>
      <c r="B44" s="66" t="s">
        <v>23</v>
      </c>
      <c r="C44" s="66" t="s">
        <v>51</v>
      </c>
      <c r="D44" s="66" t="s">
        <v>52</v>
      </c>
      <c r="E44" s="67">
        <v>20000.0</v>
      </c>
      <c r="F44" s="48">
        <v>0.0</v>
      </c>
      <c r="G44" s="48">
        <v>0.0</v>
      </c>
      <c r="H44" s="48" t="s">
        <v>36</v>
      </c>
      <c r="I44" s="48">
        <v>0.0</v>
      </c>
      <c r="J44" s="48">
        <v>0.0</v>
      </c>
      <c r="K44" s="48" t="s">
        <v>21</v>
      </c>
      <c r="L44" s="66" t="s">
        <v>56</v>
      </c>
      <c r="M44" s="49"/>
      <c r="N44" s="48" t="s">
        <v>37</v>
      </c>
      <c r="O44" s="76">
        <v>0.77</v>
      </c>
      <c r="P44" s="48"/>
      <c r="Q44" s="49"/>
      <c r="R44" s="48">
        <v>0.0</v>
      </c>
      <c r="S44" s="48">
        <v>0.0</v>
      </c>
      <c r="T44" s="48">
        <v>0.0</v>
      </c>
      <c r="U44" s="48">
        <v>0.0</v>
      </c>
      <c r="V44" s="48">
        <v>0.0</v>
      </c>
      <c r="W44" s="48">
        <v>0.0</v>
      </c>
      <c r="X44" s="48"/>
      <c r="Y44" s="65"/>
      <c r="Z44" s="48">
        <v>0.0</v>
      </c>
      <c r="AA44" s="48">
        <v>0.0</v>
      </c>
      <c r="AB44" s="68"/>
      <c r="AC44" s="48">
        <v>0.0</v>
      </c>
      <c r="AD44" s="48">
        <v>0.0</v>
      </c>
      <c r="AE44" s="69">
        <v>43222.0</v>
      </c>
      <c r="AF44" s="48">
        <v>0.0</v>
      </c>
      <c r="AG44" s="70" t="s">
        <v>51</v>
      </c>
      <c r="AH44" s="48"/>
      <c r="AI44" s="48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</row>
    <row r="45" ht="15.75" customHeight="1">
      <c r="A45" s="52"/>
      <c r="B45" s="71" t="s">
        <v>23</v>
      </c>
      <c r="C45" s="71" t="s">
        <v>51</v>
      </c>
      <c r="D45" s="71" t="s">
        <v>52</v>
      </c>
      <c r="E45" s="72">
        <v>-20000.0</v>
      </c>
      <c r="F45" s="48">
        <v>0.0</v>
      </c>
      <c r="G45" s="48">
        <v>0.0</v>
      </c>
      <c r="H45" s="48" t="s">
        <v>36</v>
      </c>
      <c r="I45" s="48">
        <v>0.0</v>
      </c>
      <c r="J45" s="48">
        <v>0.0</v>
      </c>
      <c r="K45" s="48" t="s">
        <v>21</v>
      </c>
      <c r="L45" s="71" t="s">
        <v>60</v>
      </c>
      <c r="M45" s="49"/>
      <c r="N45" s="48" t="s">
        <v>37</v>
      </c>
      <c r="O45" s="89">
        <v>0.77</v>
      </c>
      <c r="P45" s="48"/>
      <c r="Q45" s="49"/>
      <c r="R45" s="48">
        <v>0.0</v>
      </c>
      <c r="S45" s="48">
        <v>0.0</v>
      </c>
      <c r="T45" s="48">
        <v>0.0</v>
      </c>
      <c r="U45" s="48">
        <v>0.0</v>
      </c>
      <c r="V45" s="48">
        <v>0.0</v>
      </c>
      <c r="W45" s="48">
        <v>0.0</v>
      </c>
      <c r="X45" s="48"/>
      <c r="Y45" s="65"/>
      <c r="Z45" s="48">
        <v>0.0</v>
      </c>
      <c r="AA45" s="48">
        <v>0.0</v>
      </c>
      <c r="AB45" s="73"/>
      <c r="AC45" s="48">
        <v>0.0</v>
      </c>
      <c r="AD45" s="48">
        <v>0.0</v>
      </c>
      <c r="AE45" s="74">
        <v>43222.0</v>
      </c>
      <c r="AF45" s="48">
        <v>0.0</v>
      </c>
      <c r="AG45" s="75" t="s">
        <v>51</v>
      </c>
      <c r="AH45" s="48"/>
      <c r="AI45" s="48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</row>
    <row r="46" ht="15.75" customHeight="1">
      <c r="B46" s="66" t="s">
        <v>23</v>
      </c>
      <c r="C46" s="66" t="s">
        <v>35</v>
      </c>
      <c r="D46" s="66" t="s">
        <v>22</v>
      </c>
      <c r="E46" s="67">
        <v>20000.0</v>
      </c>
      <c r="F46" s="48">
        <v>0.0</v>
      </c>
      <c r="G46" s="48">
        <v>0.0</v>
      </c>
      <c r="H46" s="48" t="s">
        <v>36</v>
      </c>
      <c r="I46" s="48">
        <v>0.0</v>
      </c>
      <c r="J46" s="48">
        <v>0.0</v>
      </c>
      <c r="K46" s="48" t="s">
        <v>21</v>
      </c>
      <c r="L46" s="68"/>
      <c r="N46" s="48" t="s">
        <v>37</v>
      </c>
      <c r="O46" s="67">
        <v>3.6</v>
      </c>
      <c r="R46" s="48">
        <v>0.0</v>
      </c>
      <c r="S46" s="48">
        <v>0.0</v>
      </c>
      <c r="T46" s="48">
        <v>0.0</v>
      </c>
      <c r="U46" s="48">
        <v>0.0</v>
      </c>
      <c r="V46" s="48">
        <v>0.0</v>
      </c>
      <c r="W46" s="48">
        <v>0.0</v>
      </c>
      <c r="Z46" s="48">
        <v>0.0</v>
      </c>
      <c r="AA46" s="48">
        <v>0.0</v>
      </c>
      <c r="AB46" s="68"/>
      <c r="AC46" s="48">
        <v>0.0</v>
      </c>
      <c r="AD46" s="48">
        <v>0.0</v>
      </c>
      <c r="AE46" s="77">
        <v>43222.0</v>
      </c>
      <c r="AF46" s="48">
        <v>0.0</v>
      </c>
      <c r="AG46" s="70" t="s">
        <v>38</v>
      </c>
    </row>
    <row r="47" ht="15.75" customHeight="1">
      <c r="B47" s="71" t="s">
        <v>23</v>
      </c>
      <c r="C47" s="71" t="s">
        <v>51</v>
      </c>
      <c r="D47" s="71" t="s">
        <v>52</v>
      </c>
      <c r="E47" s="72">
        <v>20000.0</v>
      </c>
      <c r="F47" s="48">
        <v>0.0</v>
      </c>
      <c r="G47" s="48">
        <v>0.0</v>
      </c>
      <c r="H47" s="48" t="s">
        <v>36</v>
      </c>
      <c r="I47" s="48">
        <v>0.0</v>
      </c>
      <c r="J47" s="48">
        <v>0.0</v>
      </c>
      <c r="K47" s="48" t="s">
        <v>21</v>
      </c>
      <c r="L47" s="71" t="s">
        <v>53</v>
      </c>
      <c r="N47" s="48" t="s">
        <v>37</v>
      </c>
      <c r="O47" s="76">
        <v>0.77</v>
      </c>
      <c r="R47" s="48">
        <v>0.0</v>
      </c>
      <c r="S47" s="48">
        <v>0.0</v>
      </c>
      <c r="T47" s="48">
        <v>0.0</v>
      </c>
      <c r="U47" s="48">
        <v>0.0</v>
      </c>
      <c r="V47" s="48">
        <v>0.0</v>
      </c>
      <c r="W47" s="48">
        <v>0.0</v>
      </c>
      <c r="Z47" s="48">
        <v>0.0</v>
      </c>
      <c r="AA47" s="48">
        <v>0.0</v>
      </c>
      <c r="AB47" s="71" t="s">
        <v>21</v>
      </c>
      <c r="AC47" s="48">
        <v>0.0</v>
      </c>
      <c r="AD47" s="48">
        <v>0.0</v>
      </c>
      <c r="AE47" s="78">
        <v>43223.0</v>
      </c>
      <c r="AF47" s="48">
        <v>0.0</v>
      </c>
      <c r="AG47" s="75" t="s">
        <v>51</v>
      </c>
    </row>
    <row r="48" ht="15.75" customHeight="1">
      <c r="B48" s="66" t="s">
        <v>23</v>
      </c>
      <c r="C48" s="66" t="s">
        <v>51</v>
      </c>
      <c r="D48" s="66" t="s">
        <v>52</v>
      </c>
      <c r="E48" s="67">
        <v>-20000.0</v>
      </c>
      <c r="F48" s="48">
        <v>0.0</v>
      </c>
      <c r="G48" s="48">
        <v>0.0</v>
      </c>
      <c r="H48" s="48" t="s">
        <v>36</v>
      </c>
      <c r="I48" s="48">
        <v>0.0</v>
      </c>
      <c r="J48" s="48">
        <v>0.0</v>
      </c>
      <c r="K48" s="48" t="s">
        <v>21</v>
      </c>
      <c r="L48" s="66" t="s">
        <v>53</v>
      </c>
      <c r="N48" s="48" t="s">
        <v>37</v>
      </c>
      <c r="O48" s="76">
        <v>0.77</v>
      </c>
      <c r="R48" s="48">
        <v>0.0</v>
      </c>
      <c r="S48" s="48">
        <v>0.0</v>
      </c>
      <c r="T48" s="48">
        <v>0.0</v>
      </c>
      <c r="U48" s="48">
        <v>0.0</v>
      </c>
      <c r="V48" s="48">
        <v>0.0</v>
      </c>
      <c r="W48" s="48">
        <v>0.0</v>
      </c>
      <c r="Z48" s="48">
        <v>0.0</v>
      </c>
      <c r="AA48" s="48">
        <v>0.0</v>
      </c>
      <c r="AB48" s="66" t="s">
        <v>21</v>
      </c>
      <c r="AC48" s="48">
        <v>0.0</v>
      </c>
      <c r="AD48" s="48">
        <v>0.0</v>
      </c>
      <c r="AE48" s="77">
        <v>43223.0</v>
      </c>
      <c r="AF48" s="48">
        <v>0.0</v>
      </c>
      <c r="AG48" s="70" t="s">
        <v>51</v>
      </c>
    </row>
    <row r="49" ht="15.75" customHeight="1">
      <c r="B49" s="71" t="s">
        <v>23</v>
      </c>
      <c r="C49" s="71" t="s">
        <v>51</v>
      </c>
      <c r="D49" s="71" t="s">
        <v>52</v>
      </c>
      <c r="E49" s="72">
        <v>-20000.0</v>
      </c>
      <c r="F49" s="48">
        <v>0.0</v>
      </c>
      <c r="G49" s="48">
        <v>0.0</v>
      </c>
      <c r="H49" s="48" t="s">
        <v>36</v>
      </c>
      <c r="I49" s="48">
        <v>0.0</v>
      </c>
      <c r="J49" s="48">
        <v>0.0</v>
      </c>
      <c r="K49" s="48" t="s">
        <v>21</v>
      </c>
      <c r="L49" s="71" t="s">
        <v>54</v>
      </c>
      <c r="N49" s="48" t="s">
        <v>37</v>
      </c>
      <c r="O49" s="76">
        <v>0.77</v>
      </c>
      <c r="R49" s="48">
        <v>0.0</v>
      </c>
      <c r="S49" s="48">
        <v>0.0</v>
      </c>
      <c r="T49" s="48">
        <v>0.0</v>
      </c>
      <c r="U49" s="48">
        <v>0.0</v>
      </c>
      <c r="V49" s="48">
        <v>0.0</v>
      </c>
      <c r="W49" s="48">
        <v>0.0</v>
      </c>
      <c r="Z49" s="48">
        <v>0.0</v>
      </c>
      <c r="AA49" s="48">
        <v>0.0</v>
      </c>
      <c r="AB49" s="71" t="s">
        <v>21</v>
      </c>
      <c r="AC49" s="48">
        <v>0.0</v>
      </c>
      <c r="AD49" s="48">
        <v>0.0</v>
      </c>
      <c r="AE49" s="78">
        <v>43223.0</v>
      </c>
      <c r="AF49" s="48">
        <v>0.0</v>
      </c>
      <c r="AG49" s="75" t="s">
        <v>51</v>
      </c>
    </row>
    <row r="50" ht="15.75" customHeight="1">
      <c r="B50" s="66" t="s">
        <v>23</v>
      </c>
      <c r="C50" s="66" t="s">
        <v>51</v>
      </c>
      <c r="D50" s="66" t="s">
        <v>52</v>
      </c>
      <c r="E50" s="67">
        <v>20000.0</v>
      </c>
      <c r="F50" s="48">
        <v>0.0</v>
      </c>
      <c r="G50" s="48">
        <v>0.0</v>
      </c>
      <c r="H50" s="48" t="s">
        <v>36</v>
      </c>
      <c r="I50" s="48">
        <v>0.0</v>
      </c>
      <c r="J50" s="48">
        <v>0.0</v>
      </c>
      <c r="K50" s="48" t="s">
        <v>21</v>
      </c>
      <c r="L50" s="66" t="s">
        <v>54</v>
      </c>
      <c r="N50" s="48" t="s">
        <v>37</v>
      </c>
      <c r="O50" s="76">
        <v>0.77</v>
      </c>
      <c r="R50" s="48">
        <v>0.0</v>
      </c>
      <c r="S50" s="48">
        <v>0.0</v>
      </c>
      <c r="T50" s="48">
        <v>0.0</v>
      </c>
      <c r="U50" s="48">
        <v>0.0</v>
      </c>
      <c r="V50" s="48">
        <v>0.0</v>
      </c>
      <c r="W50" s="48">
        <v>0.0</v>
      </c>
      <c r="Z50" s="48">
        <v>0.0</v>
      </c>
      <c r="AA50" s="48">
        <v>0.0</v>
      </c>
      <c r="AB50" s="66" t="s">
        <v>21</v>
      </c>
      <c r="AC50" s="48">
        <v>0.0</v>
      </c>
      <c r="AD50" s="48">
        <v>0.0</v>
      </c>
      <c r="AE50" s="77">
        <v>43223.0</v>
      </c>
      <c r="AF50" s="48">
        <v>0.0</v>
      </c>
      <c r="AG50" s="70" t="s">
        <v>51</v>
      </c>
    </row>
    <row r="51" ht="15.75" customHeight="1">
      <c r="B51" s="71" t="s">
        <v>23</v>
      </c>
      <c r="C51" s="71" t="s">
        <v>51</v>
      </c>
      <c r="D51" s="71" t="s">
        <v>57</v>
      </c>
      <c r="E51" s="72">
        <v>-20000.0</v>
      </c>
      <c r="F51" s="48">
        <v>0.0</v>
      </c>
      <c r="G51" s="48">
        <v>0.0</v>
      </c>
      <c r="H51" s="48" t="s">
        <v>36</v>
      </c>
      <c r="I51" s="48">
        <v>0.0</v>
      </c>
      <c r="J51" s="48">
        <v>0.0</v>
      </c>
      <c r="K51" s="48" t="s">
        <v>21</v>
      </c>
      <c r="L51" s="71" t="s">
        <v>58</v>
      </c>
      <c r="N51" s="48" t="s">
        <v>37</v>
      </c>
      <c r="O51" s="72">
        <v>3.6</v>
      </c>
      <c r="R51" s="48">
        <v>0.0</v>
      </c>
      <c r="S51" s="48">
        <v>0.0</v>
      </c>
      <c r="T51" s="48">
        <v>0.0</v>
      </c>
      <c r="U51" s="48">
        <v>0.0</v>
      </c>
      <c r="V51" s="48">
        <v>0.0</v>
      </c>
      <c r="W51" s="48">
        <v>0.0</v>
      </c>
      <c r="Z51" s="48">
        <v>0.0</v>
      </c>
      <c r="AA51" s="48">
        <v>0.0</v>
      </c>
      <c r="AB51" s="73"/>
      <c r="AC51" s="48">
        <v>0.0</v>
      </c>
      <c r="AD51" s="48">
        <v>0.0</v>
      </c>
      <c r="AE51" s="78">
        <v>43223.0</v>
      </c>
      <c r="AF51" s="48">
        <v>0.0</v>
      </c>
      <c r="AG51" s="75" t="s">
        <v>51</v>
      </c>
    </row>
    <row r="52" ht="15.75" customHeight="1">
      <c r="B52" s="66" t="s">
        <v>23</v>
      </c>
      <c r="C52" s="66" t="s">
        <v>51</v>
      </c>
      <c r="D52" s="66" t="s">
        <v>57</v>
      </c>
      <c r="E52" s="67">
        <v>20000.0</v>
      </c>
      <c r="F52" s="48">
        <v>0.0</v>
      </c>
      <c r="G52" s="48">
        <v>0.0</v>
      </c>
      <c r="H52" s="48" t="s">
        <v>36</v>
      </c>
      <c r="I52" s="48">
        <v>0.0</v>
      </c>
      <c r="J52" s="48">
        <v>0.0</v>
      </c>
      <c r="K52" s="48" t="s">
        <v>21</v>
      </c>
      <c r="L52" s="66" t="s">
        <v>59</v>
      </c>
      <c r="N52" s="48" t="s">
        <v>37</v>
      </c>
      <c r="O52" s="76">
        <v>0.77</v>
      </c>
      <c r="R52" s="48">
        <v>0.0</v>
      </c>
      <c r="S52" s="48">
        <v>0.0</v>
      </c>
      <c r="T52" s="48">
        <v>0.0</v>
      </c>
      <c r="U52" s="48">
        <v>0.0</v>
      </c>
      <c r="V52" s="48">
        <v>0.0</v>
      </c>
      <c r="W52" s="48">
        <v>0.0</v>
      </c>
      <c r="Z52" s="48">
        <v>0.0</v>
      </c>
      <c r="AA52" s="48">
        <v>0.0</v>
      </c>
      <c r="AB52" s="68"/>
      <c r="AC52" s="48">
        <v>0.0</v>
      </c>
      <c r="AD52" s="48">
        <v>0.0</v>
      </c>
      <c r="AE52" s="77">
        <v>43223.0</v>
      </c>
      <c r="AF52" s="48">
        <v>0.0</v>
      </c>
      <c r="AG52" s="70" t="s">
        <v>51</v>
      </c>
    </row>
    <row r="53" ht="15.75" customHeight="1">
      <c r="B53" s="71" t="s">
        <v>23</v>
      </c>
      <c r="C53" s="71" t="s">
        <v>51</v>
      </c>
      <c r="D53" s="71" t="s">
        <v>52</v>
      </c>
      <c r="E53" s="72">
        <v>20000.0</v>
      </c>
      <c r="F53" s="48">
        <v>0.0</v>
      </c>
      <c r="G53" s="48">
        <v>0.0</v>
      </c>
      <c r="H53" s="48" t="s">
        <v>36</v>
      </c>
      <c r="I53" s="48">
        <v>0.0</v>
      </c>
      <c r="J53" s="48">
        <v>0.0</v>
      </c>
      <c r="K53" s="48" t="s">
        <v>21</v>
      </c>
      <c r="L53" s="71" t="s">
        <v>55</v>
      </c>
      <c r="N53" s="48" t="s">
        <v>37</v>
      </c>
      <c r="O53" s="72">
        <v>3.6</v>
      </c>
      <c r="R53" s="48">
        <v>0.0</v>
      </c>
      <c r="S53" s="48">
        <v>0.0</v>
      </c>
      <c r="T53" s="48">
        <v>0.0</v>
      </c>
      <c r="U53" s="48">
        <v>0.0</v>
      </c>
      <c r="V53" s="48">
        <v>0.0</v>
      </c>
      <c r="W53" s="48">
        <v>0.0</v>
      </c>
      <c r="Z53" s="48">
        <v>0.0</v>
      </c>
      <c r="AA53" s="48">
        <v>0.0</v>
      </c>
      <c r="AB53" s="73"/>
      <c r="AC53" s="48">
        <v>0.0</v>
      </c>
      <c r="AD53" s="48">
        <v>0.0</v>
      </c>
      <c r="AE53" s="78">
        <v>43223.0</v>
      </c>
      <c r="AF53" s="48">
        <v>0.0</v>
      </c>
      <c r="AG53" s="75" t="s">
        <v>51</v>
      </c>
    </row>
    <row r="54" ht="15.75" customHeight="1">
      <c r="B54" s="66" t="s">
        <v>23</v>
      </c>
      <c r="C54" s="66" t="s">
        <v>51</v>
      </c>
      <c r="D54" s="66" t="s">
        <v>52</v>
      </c>
      <c r="E54" s="67">
        <v>-20000.0</v>
      </c>
      <c r="F54" s="48">
        <v>0.0</v>
      </c>
      <c r="G54" s="48">
        <v>0.0</v>
      </c>
      <c r="H54" s="48" t="s">
        <v>36</v>
      </c>
      <c r="I54" s="48">
        <v>0.0</v>
      </c>
      <c r="J54" s="48">
        <v>0.0</v>
      </c>
      <c r="K54" s="48" t="s">
        <v>21</v>
      </c>
      <c r="L54" s="66" t="s">
        <v>60</v>
      </c>
      <c r="N54" s="48" t="s">
        <v>37</v>
      </c>
      <c r="O54" s="76">
        <v>0.77</v>
      </c>
      <c r="R54" s="48">
        <v>0.0</v>
      </c>
      <c r="S54" s="48">
        <v>0.0</v>
      </c>
      <c r="T54" s="48">
        <v>0.0</v>
      </c>
      <c r="U54" s="48">
        <v>0.0</v>
      </c>
      <c r="V54" s="48">
        <v>0.0</v>
      </c>
      <c r="W54" s="48">
        <v>0.0</v>
      </c>
      <c r="Z54" s="48">
        <v>0.0</v>
      </c>
      <c r="AA54" s="48">
        <v>0.0</v>
      </c>
      <c r="AB54" s="68"/>
      <c r="AC54" s="48">
        <v>0.0</v>
      </c>
      <c r="AD54" s="48">
        <v>0.0</v>
      </c>
      <c r="AE54" s="77">
        <v>43223.0</v>
      </c>
      <c r="AF54" s="48">
        <v>0.0</v>
      </c>
      <c r="AG54" s="70" t="s">
        <v>51</v>
      </c>
    </row>
    <row r="55" ht="15.75" customHeight="1">
      <c r="B55" s="71" t="s">
        <v>23</v>
      </c>
      <c r="C55" s="71" t="s">
        <v>51</v>
      </c>
      <c r="D55" s="71" t="s">
        <v>57</v>
      </c>
      <c r="E55" s="72">
        <v>20000.0</v>
      </c>
      <c r="F55" s="48">
        <v>0.0</v>
      </c>
      <c r="G55" s="48">
        <v>0.0</v>
      </c>
      <c r="H55" s="48" t="s">
        <v>36</v>
      </c>
      <c r="I55" s="48">
        <v>0.0</v>
      </c>
      <c r="J55" s="48">
        <v>0.0</v>
      </c>
      <c r="K55" s="48" t="s">
        <v>21</v>
      </c>
      <c r="L55" s="71" t="s">
        <v>61</v>
      </c>
      <c r="N55" s="48" t="s">
        <v>37</v>
      </c>
      <c r="O55" s="76">
        <v>0.77</v>
      </c>
      <c r="R55" s="48">
        <v>0.0</v>
      </c>
      <c r="S55" s="48">
        <v>0.0</v>
      </c>
      <c r="T55" s="48">
        <v>0.0</v>
      </c>
      <c r="U55" s="48">
        <v>0.0</v>
      </c>
      <c r="V55" s="48">
        <v>0.0</v>
      </c>
      <c r="W55" s="48">
        <v>0.0</v>
      </c>
      <c r="Z55" s="48">
        <v>0.0</v>
      </c>
      <c r="AA55" s="48">
        <v>0.0</v>
      </c>
      <c r="AB55" s="71" t="s">
        <v>21</v>
      </c>
      <c r="AC55" s="48">
        <v>0.0</v>
      </c>
      <c r="AD55" s="48">
        <v>0.0</v>
      </c>
      <c r="AE55" s="78">
        <v>43224.0</v>
      </c>
      <c r="AF55" s="48">
        <v>0.0</v>
      </c>
      <c r="AG55" s="75" t="s">
        <v>51</v>
      </c>
    </row>
    <row r="56" ht="15.75" customHeight="1">
      <c r="B56" s="66" t="s">
        <v>23</v>
      </c>
      <c r="C56" s="66" t="s">
        <v>51</v>
      </c>
      <c r="D56" s="66" t="s">
        <v>57</v>
      </c>
      <c r="E56" s="67">
        <v>-20000.0</v>
      </c>
      <c r="F56" s="48">
        <v>0.0</v>
      </c>
      <c r="G56" s="48">
        <v>0.0</v>
      </c>
      <c r="H56" s="48" t="s">
        <v>36</v>
      </c>
      <c r="I56" s="48">
        <v>0.0</v>
      </c>
      <c r="J56" s="48">
        <v>0.0</v>
      </c>
      <c r="K56" s="48" t="s">
        <v>21</v>
      </c>
      <c r="L56" s="66" t="s">
        <v>62</v>
      </c>
      <c r="N56" s="48" t="s">
        <v>37</v>
      </c>
      <c r="O56" s="76">
        <v>0.77</v>
      </c>
      <c r="R56" s="48">
        <v>0.0</v>
      </c>
      <c r="S56" s="48">
        <v>0.0</v>
      </c>
      <c r="T56" s="48">
        <v>0.0</v>
      </c>
      <c r="U56" s="48">
        <v>0.0</v>
      </c>
      <c r="V56" s="48">
        <v>0.0</v>
      </c>
      <c r="W56" s="48">
        <v>0.0</v>
      </c>
      <c r="Z56" s="48">
        <v>0.0</v>
      </c>
      <c r="AA56" s="48">
        <v>0.0</v>
      </c>
      <c r="AB56" s="66" t="s">
        <v>21</v>
      </c>
      <c r="AC56" s="48">
        <v>0.0</v>
      </c>
      <c r="AD56" s="48">
        <v>0.0</v>
      </c>
      <c r="AE56" s="77">
        <v>43224.0</v>
      </c>
      <c r="AF56" s="48">
        <v>0.0</v>
      </c>
      <c r="AG56" s="70" t="s">
        <v>51</v>
      </c>
    </row>
    <row r="57" ht="15.75" customHeight="1">
      <c r="B57" s="71" t="s">
        <v>23</v>
      </c>
      <c r="C57" s="71" t="s">
        <v>51</v>
      </c>
      <c r="D57" s="71" t="s">
        <v>52</v>
      </c>
      <c r="E57" s="72">
        <v>-20000.0</v>
      </c>
      <c r="F57" s="48">
        <v>0.0</v>
      </c>
      <c r="G57" s="48">
        <v>0.0</v>
      </c>
      <c r="H57" s="48" t="s">
        <v>36</v>
      </c>
      <c r="I57" s="48">
        <v>0.0</v>
      </c>
      <c r="J57" s="48">
        <v>0.0</v>
      </c>
      <c r="K57" s="48" t="s">
        <v>21</v>
      </c>
      <c r="L57" s="71" t="s">
        <v>53</v>
      </c>
      <c r="N57" s="48" t="s">
        <v>37</v>
      </c>
      <c r="O57" s="76">
        <v>0.77</v>
      </c>
      <c r="R57" s="48">
        <v>0.0</v>
      </c>
      <c r="S57" s="48">
        <v>0.0</v>
      </c>
      <c r="T57" s="48">
        <v>0.0</v>
      </c>
      <c r="U57" s="48">
        <v>0.0</v>
      </c>
      <c r="V57" s="48">
        <v>0.0</v>
      </c>
      <c r="W57" s="48">
        <v>0.0</v>
      </c>
      <c r="Z57" s="48">
        <v>0.0</v>
      </c>
      <c r="AA57" s="48">
        <v>0.0</v>
      </c>
      <c r="AB57" s="71" t="s">
        <v>21</v>
      </c>
      <c r="AC57" s="48">
        <v>0.0</v>
      </c>
      <c r="AD57" s="48">
        <v>0.0</v>
      </c>
      <c r="AE57" s="78">
        <v>43224.0</v>
      </c>
      <c r="AF57" s="48">
        <v>0.0</v>
      </c>
      <c r="AG57" s="75" t="s">
        <v>51</v>
      </c>
    </row>
    <row r="58" ht="15.75" customHeight="1">
      <c r="B58" s="66" t="s">
        <v>23</v>
      </c>
      <c r="C58" s="66" t="s">
        <v>51</v>
      </c>
      <c r="D58" s="66" t="s">
        <v>52</v>
      </c>
      <c r="E58" s="67">
        <v>20000.0</v>
      </c>
      <c r="F58" s="48">
        <v>0.0</v>
      </c>
      <c r="G58" s="48">
        <v>0.0</v>
      </c>
      <c r="H58" s="48" t="s">
        <v>36</v>
      </c>
      <c r="I58" s="48">
        <v>0.0</v>
      </c>
      <c r="J58" s="48">
        <v>0.0</v>
      </c>
      <c r="K58" s="48" t="s">
        <v>21</v>
      </c>
      <c r="L58" s="66" t="s">
        <v>54</v>
      </c>
      <c r="N58" s="48" t="s">
        <v>37</v>
      </c>
      <c r="O58" s="76">
        <v>0.77</v>
      </c>
      <c r="R58" s="48">
        <v>0.0</v>
      </c>
      <c r="S58" s="48">
        <v>0.0</v>
      </c>
      <c r="T58" s="48">
        <v>0.0</v>
      </c>
      <c r="U58" s="48">
        <v>0.0</v>
      </c>
      <c r="V58" s="48">
        <v>0.0</v>
      </c>
      <c r="W58" s="48">
        <v>0.0</v>
      </c>
      <c r="Z58" s="48">
        <v>0.0</v>
      </c>
      <c r="AA58" s="48">
        <v>0.0</v>
      </c>
      <c r="AB58" s="66" t="s">
        <v>21</v>
      </c>
      <c r="AC58" s="48">
        <v>0.0</v>
      </c>
      <c r="AD58" s="48">
        <v>0.0</v>
      </c>
      <c r="AE58" s="77">
        <v>43224.0</v>
      </c>
      <c r="AF58" s="48">
        <v>0.0</v>
      </c>
      <c r="AG58" s="70" t="s">
        <v>51</v>
      </c>
    </row>
    <row r="59" ht="15.75" customHeight="1">
      <c r="B59" s="71" t="s">
        <v>23</v>
      </c>
      <c r="C59" s="71" t="s">
        <v>51</v>
      </c>
      <c r="D59" s="71" t="s">
        <v>57</v>
      </c>
      <c r="E59" s="72">
        <v>20000.0</v>
      </c>
      <c r="F59" s="48">
        <v>0.0</v>
      </c>
      <c r="G59" s="48">
        <v>0.0</v>
      </c>
      <c r="H59" s="48" t="s">
        <v>36</v>
      </c>
      <c r="I59" s="48">
        <v>0.0</v>
      </c>
      <c r="J59" s="48">
        <v>0.0</v>
      </c>
      <c r="K59" s="48" t="s">
        <v>21</v>
      </c>
      <c r="L59" s="71" t="s">
        <v>61</v>
      </c>
      <c r="N59" s="48" t="s">
        <v>37</v>
      </c>
      <c r="O59" s="76">
        <v>0.77</v>
      </c>
      <c r="R59" s="48">
        <v>0.0</v>
      </c>
      <c r="S59" s="48">
        <v>0.0</v>
      </c>
      <c r="T59" s="48">
        <v>0.0</v>
      </c>
      <c r="U59" s="48">
        <v>0.0</v>
      </c>
      <c r="V59" s="48">
        <v>0.0</v>
      </c>
      <c r="W59" s="48">
        <v>0.0</v>
      </c>
      <c r="Z59" s="48">
        <v>0.0</v>
      </c>
      <c r="AA59" s="48">
        <v>0.0</v>
      </c>
      <c r="AB59" s="71" t="s">
        <v>21</v>
      </c>
      <c r="AC59" s="48">
        <v>0.0</v>
      </c>
      <c r="AD59" s="48">
        <v>0.0</v>
      </c>
      <c r="AE59" s="78">
        <v>43225.0</v>
      </c>
      <c r="AF59" s="48">
        <v>0.0</v>
      </c>
      <c r="AG59" s="75" t="s">
        <v>51</v>
      </c>
    </row>
    <row r="60" ht="15.75" customHeight="1">
      <c r="B60" s="66" t="s">
        <v>23</v>
      </c>
      <c r="C60" s="66" t="s">
        <v>51</v>
      </c>
      <c r="D60" s="66" t="s">
        <v>57</v>
      </c>
      <c r="E60" s="67">
        <v>-20000.0</v>
      </c>
      <c r="F60" s="48">
        <v>0.0</v>
      </c>
      <c r="G60" s="48">
        <v>0.0</v>
      </c>
      <c r="H60" s="48" t="s">
        <v>36</v>
      </c>
      <c r="I60" s="48">
        <v>0.0</v>
      </c>
      <c r="J60" s="48">
        <v>0.0</v>
      </c>
      <c r="K60" s="48" t="s">
        <v>21</v>
      </c>
      <c r="L60" s="66" t="s">
        <v>62</v>
      </c>
      <c r="N60" s="48" t="s">
        <v>37</v>
      </c>
      <c r="O60" s="76">
        <v>0.77</v>
      </c>
      <c r="R60" s="48">
        <v>0.0</v>
      </c>
      <c r="S60" s="48">
        <v>0.0</v>
      </c>
      <c r="T60" s="48">
        <v>0.0</v>
      </c>
      <c r="U60" s="48">
        <v>0.0</v>
      </c>
      <c r="V60" s="48">
        <v>0.0</v>
      </c>
      <c r="W60" s="48">
        <v>0.0</v>
      </c>
      <c r="Z60" s="48">
        <v>0.0</v>
      </c>
      <c r="AA60" s="48">
        <v>0.0</v>
      </c>
      <c r="AB60" s="66" t="s">
        <v>21</v>
      </c>
      <c r="AC60" s="48">
        <v>0.0</v>
      </c>
      <c r="AD60" s="48">
        <v>0.0</v>
      </c>
      <c r="AE60" s="77">
        <v>43225.0</v>
      </c>
      <c r="AF60" s="48">
        <v>0.0</v>
      </c>
      <c r="AG60" s="70" t="s">
        <v>51</v>
      </c>
    </row>
    <row r="61" ht="15.75" customHeight="1">
      <c r="B61" s="71" t="s">
        <v>23</v>
      </c>
      <c r="C61" s="71" t="s">
        <v>51</v>
      </c>
      <c r="D61" s="71" t="s">
        <v>52</v>
      </c>
      <c r="E61" s="72">
        <v>-20000.0</v>
      </c>
      <c r="F61" s="48">
        <v>0.0</v>
      </c>
      <c r="G61" s="48">
        <v>0.0</v>
      </c>
      <c r="H61" s="48" t="s">
        <v>36</v>
      </c>
      <c r="I61" s="48">
        <v>0.0</v>
      </c>
      <c r="J61" s="48">
        <v>0.0</v>
      </c>
      <c r="K61" s="48" t="s">
        <v>21</v>
      </c>
      <c r="L61" s="71" t="s">
        <v>53</v>
      </c>
      <c r="N61" s="48" t="s">
        <v>37</v>
      </c>
      <c r="O61" s="76">
        <v>0.77</v>
      </c>
      <c r="R61" s="48">
        <v>0.0</v>
      </c>
      <c r="S61" s="48">
        <v>0.0</v>
      </c>
      <c r="T61" s="48">
        <v>0.0</v>
      </c>
      <c r="U61" s="48">
        <v>0.0</v>
      </c>
      <c r="V61" s="48">
        <v>0.0</v>
      </c>
      <c r="W61" s="48">
        <v>0.0</v>
      </c>
      <c r="Z61" s="48">
        <v>0.0</v>
      </c>
      <c r="AA61" s="48">
        <v>0.0</v>
      </c>
      <c r="AB61" s="71" t="s">
        <v>21</v>
      </c>
      <c r="AC61" s="48">
        <v>0.0</v>
      </c>
      <c r="AD61" s="48">
        <v>0.0</v>
      </c>
      <c r="AE61" s="78">
        <v>43225.0</v>
      </c>
      <c r="AF61" s="48">
        <v>0.0</v>
      </c>
      <c r="AG61" s="75" t="s">
        <v>51</v>
      </c>
    </row>
    <row r="62" ht="15.75" customHeight="1">
      <c r="B62" s="66" t="s">
        <v>23</v>
      </c>
      <c r="C62" s="66" t="s">
        <v>51</v>
      </c>
      <c r="D62" s="66" t="s">
        <v>52</v>
      </c>
      <c r="E62" s="67">
        <v>20000.0</v>
      </c>
      <c r="F62" s="48">
        <v>0.0</v>
      </c>
      <c r="G62" s="48">
        <v>0.0</v>
      </c>
      <c r="H62" s="48" t="s">
        <v>36</v>
      </c>
      <c r="I62" s="48">
        <v>0.0</v>
      </c>
      <c r="J62" s="48">
        <v>0.0</v>
      </c>
      <c r="K62" s="48" t="s">
        <v>21</v>
      </c>
      <c r="L62" s="66" t="s">
        <v>54</v>
      </c>
      <c r="N62" s="48" t="s">
        <v>37</v>
      </c>
      <c r="O62" s="76">
        <v>0.77</v>
      </c>
      <c r="R62" s="48">
        <v>0.0</v>
      </c>
      <c r="S62" s="48">
        <v>0.0</v>
      </c>
      <c r="T62" s="48">
        <v>0.0</v>
      </c>
      <c r="U62" s="48">
        <v>0.0</v>
      </c>
      <c r="V62" s="48">
        <v>0.0</v>
      </c>
      <c r="W62" s="48">
        <v>0.0</v>
      </c>
      <c r="Z62" s="48">
        <v>0.0</v>
      </c>
      <c r="AA62" s="48">
        <v>0.0</v>
      </c>
      <c r="AB62" s="66" t="s">
        <v>21</v>
      </c>
      <c r="AC62" s="48">
        <v>0.0</v>
      </c>
      <c r="AD62" s="48">
        <v>0.0</v>
      </c>
      <c r="AE62" s="77">
        <v>43225.0</v>
      </c>
      <c r="AF62" s="48">
        <v>0.0</v>
      </c>
      <c r="AG62" s="70" t="s">
        <v>51</v>
      </c>
    </row>
    <row r="63" ht="15.75" customHeight="1">
      <c r="B63" s="71" t="s">
        <v>23</v>
      </c>
      <c r="C63" s="71" t="s">
        <v>51</v>
      </c>
      <c r="D63" s="71" t="s">
        <v>57</v>
      </c>
      <c r="E63" s="72">
        <v>20000.0</v>
      </c>
      <c r="F63" s="48">
        <v>0.0</v>
      </c>
      <c r="G63" s="48">
        <v>0.0</v>
      </c>
      <c r="H63" s="48" t="s">
        <v>36</v>
      </c>
      <c r="I63" s="48">
        <v>0.0</v>
      </c>
      <c r="J63" s="48">
        <v>0.0</v>
      </c>
      <c r="K63" s="48" t="s">
        <v>21</v>
      </c>
      <c r="L63" s="71" t="s">
        <v>61</v>
      </c>
      <c r="N63" s="48" t="s">
        <v>37</v>
      </c>
      <c r="O63" s="76">
        <v>0.77</v>
      </c>
      <c r="R63" s="48">
        <v>0.0</v>
      </c>
      <c r="S63" s="48">
        <v>0.0</v>
      </c>
      <c r="T63" s="48">
        <v>0.0</v>
      </c>
      <c r="U63" s="48">
        <v>0.0</v>
      </c>
      <c r="V63" s="48">
        <v>0.0</v>
      </c>
      <c r="W63" s="48">
        <v>0.0</v>
      </c>
      <c r="Z63" s="48">
        <v>0.0</v>
      </c>
      <c r="AA63" s="48">
        <v>0.0</v>
      </c>
      <c r="AB63" s="71" t="s">
        <v>21</v>
      </c>
      <c r="AC63" s="48">
        <v>0.0</v>
      </c>
      <c r="AD63" s="48">
        <v>0.0</v>
      </c>
      <c r="AE63" s="78">
        <v>43226.0</v>
      </c>
      <c r="AF63" s="48">
        <v>0.0</v>
      </c>
      <c r="AG63" s="75" t="s">
        <v>51</v>
      </c>
    </row>
    <row r="64" ht="15.75" customHeight="1">
      <c r="B64" s="66" t="s">
        <v>23</v>
      </c>
      <c r="C64" s="66" t="s">
        <v>51</v>
      </c>
      <c r="D64" s="66" t="s">
        <v>57</v>
      </c>
      <c r="E64" s="67">
        <v>-20000.0</v>
      </c>
      <c r="F64" s="48">
        <v>0.0</v>
      </c>
      <c r="G64" s="48">
        <v>0.0</v>
      </c>
      <c r="H64" s="48" t="s">
        <v>36</v>
      </c>
      <c r="I64" s="48">
        <v>0.0</v>
      </c>
      <c r="J64" s="48">
        <v>0.0</v>
      </c>
      <c r="K64" s="48" t="s">
        <v>21</v>
      </c>
      <c r="L64" s="66" t="s">
        <v>62</v>
      </c>
      <c r="N64" s="48" t="s">
        <v>37</v>
      </c>
      <c r="O64" s="76">
        <v>0.77</v>
      </c>
      <c r="R64" s="48">
        <v>0.0</v>
      </c>
      <c r="S64" s="48">
        <v>0.0</v>
      </c>
      <c r="T64" s="48">
        <v>0.0</v>
      </c>
      <c r="U64" s="48">
        <v>0.0</v>
      </c>
      <c r="V64" s="48">
        <v>0.0</v>
      </c>
      <c r="W64" s="48">
        <v>0.0</v>
      </c>
      <c r="Z64" s="48">
        <v>0.0</v>
      </c>
      <c r="AA64" s="48">
        <v>0.0</v>
      </c>
      <c r="AB64" s="66" t="s">
        <v>21</v>
      </c>
      <c r="AC64" s="48">
        <v>0.0</v>
      </c>
      <c r="AD64" s="48">
        <v>0.0</v>
      </c>
      <c r="AE64" s="77">
        <v>43226.0</v>
      </c>
      <c r="AF64" s="48">
        <v>0.0</v>
      </c>
      <c r="AG64" s="70" t="s">
        <v>51</v>
      </c>
    </row>
    <row r="65" ht="15.75" customHeight="1">
      <c r="B65" s="71" t="s">
        <v>23</v>
      </c>
      <c r="C65" s="71" t="s">
        <v>51</v>
      </c>
      <c r="D65" s="71" t="s">
        <v>52</v>
      </c>
      <c r="E65" s="72">
        <v>-20000.0</v>
      </c>
      <c r="F65" s="48">
        <v>0.0</v>
      </c>
      <c r="G65" s="48">
        <v>0.0</v>
      </c>
      <c r="H65" s="48" t="s">
        <v>36</v>
      </c>
      <c r="I65" s="48">
        <v>0.0</v>
      </c>
      <c r="J65" s="48">
        <v>0.0</v>
      </c>
      <c r="K65" s="48" t="s">
        <v>21</v>
      </c>
      <c r="L65" s="71" t="s">
        <v>53</v>
      </c>
      <c r="N65" s="48" t="s">
        <v>37</v>
      </c>
      <c r="O65" s="76">
        <v>0.77</v>
      </c>
      <c r="R65" s="48">
        <v>0.0</v>
      </c>
      <c r="S65" s="48">
        <v>0.0</v>
      </c>
      <c r="T65" s="48">
        <v>0.0</v>
      </c>
      <c r="U65" s="48">
        <v>0.0</v>
      </c>
      <c r="V65" s="48">
        <v>0.0</v>
      </c>
      <c r="W65" s="48">
        <v>0.0</v>
      </c>
      <c r="Z65" s="48">
        <v>0.0</v>
      </c>
      <c r="AA65" s="48">
        <v>0.0</v>
      </c>
      <c r="AB65" s="71" t="s">
        <v>21</v>
      </c>
      <c r="AC65" s="48">
        <v>0.0</v>
      </c>
      <c r="AD65" s="48">
        <v>0.0</v>
      </c>
      <c r="AE65" s="78">
        <v>43226.0</v>
      </c>
      <c r="AF65" s="48">
        <v>0.0</v>
      </c>
      <c r="AG65" s="75" t="s">
        <v>51</v>
      </c>
    </row>
    <row r="66" ht="15.75" customHeight="1">
      <c r="B66" s="66" t="s">
        <v>23</v>
      </c>
      <c r="C66" s="66" t="s">
        <v>51</v>
      </c>
      <c r="D66" s="66" t="s">
        <v>52</v>
      </c>
      <c r="E66" s="67">
        <v>20000.0</v>
      </c>
      <c r="F66" s="48">
        <v>0.0</v>
      </c>
      <c r="G66" s="48">
        <v>0.0</v>
      </c>
      <c r="H66" s="48" t="s">
        <v>36</v>
      </c>
      <c r="I66" s="48">
        <v>0.0</v>
      </c>
      <c r="J66" s="48">
        <v>0.0</v>
      </c>
      <c r="K66" s="48" t="s">
        <v>21</v>
      </c>
      <c r="L66" s="66" t="s">
        <v>54</v>
      </c>
      <c r="N66" s="48" t="s">
        <v>37</v>
      </c>
      <c r="O66" s="76">
        <v>0.77</v>
      </c>
      <c r="R66" s="48">
        <v>0.0</v>
      </c>
      <c r="S66" s="48">
        <v>0.0</v>
      </c>
      <c r="T66" s="48">
        <v>0.0</v>
      </c>
      <c r="U66" s="48">
        <v>0.0</v>
      </c>
      <c r="V66" s="48">
        <v>0.0</v>
      </c>
      <c r="W66" s="48">
        <v>0.0</v>
      </c>
      <c r="Z66" s="48">
        <v>0.0</v>
      </c>
      <c r="AA66" s="48">
        <v>0.0</v>
      </c>
      <c r="AB66" s="66" t="s">
        <v>21</v>
      </c>
      <c r="AC66" s="48">
        <v>0.0</v>
      </c>
      <c r="AD66" s="48">
        <v>0.0</v>
      </c>
      <c r="AE66" s="77">
        <v>43226.0</v>
      </c>
      <c r="AF66" s="48">
        <v>0.0</v>
      </c>
      <c r="AG66" s="70" t="s">
        <v>51</v>
      </c>
    </row>
    <row r="67" ht="15.75" customHeight="1">
      <c r="B67" s="71" t="s">
        <v>23</v>
      </c>
      <c r="C67" s="71" t="s">
        <v>51</v>
      </c>
      <c r="D67" s="71" t="s">
        <v>57</v>
      </c>
      <c r="E67" s="72">
        <v>20000.0</v>
      </c>
      <c r="F67" s="48">
        <v>0.0</v>
      </c>
      <c r="G67" s="48">
        <v>0.0</v>
      </c>
      <c r="H67" s="48" t="s">
        <v>36</v>
      </c>
      <c r="I67" s="48">
        <v>0.0</v>
      </c>
      <c r="J67" s="48">
        <v>0.0</v>
      </c>
      <c r="K67" s="48" t="s">
        <v>21</v>
      </c>
      <c r="L67" s="71" t="s">
        <v>61</v>
      </c>
      <c r="N67" s="48" t="s">
        <v>37</v>
      </c>
      <c r="O67" s="76">
        <v>0.77</v>
      </c>
      <c r="R67" s="48">
        <v>0.0</v>
      </c>
      <c r="S67" s="48">
        <v>0.0</v>
      </c>
      <c r="T67" s="48">
        <v>0.0</v>
      </c>
      <c r="U67" s="48">
        <v>0.0</v>
      </c>
      <c r="V67" s="48">
        <v>0.0</v>
      </c>
      <c r="W67" s="48">
        <v>0.0</v>
      </c>
      <c r="Z67" s="48">
        <v>0.0</v>
      </c>
      <c r="AA67" s="48">
        <v>0.0</v>
      </c>
      <c r="AB67" s="71" t="s">
        <v>21</v>
      </c>
      <c r="AC67" s="48">
        <v>0.0</v>
      </c>
      <c r="AD67" s="48">
        <v>0.0</v>
      </c>
      <c r="AE67" s="78">
        <v>43227.0</v>
      </c>
      <c r="AF67" s="48">
        <v>0.0</v>
      </c>
      <c r="AG67" s="75" t="s">
        <v>51</v>
      </c>
    </row>
    <row r="68" ht="15.75" customHeight="1">
      <c r="B68" s="66" t="s">
        <v>23</v>
      </c>
      <c r="C68" s="66" t="s">
        <v>51</v>
      </c>
      <c r="D68" s="66" t="s">
        <v>57</v>
      </c>
      <c r="E68" s="67">
        <v>-20000.0</v>
      </c>
      <c r="F68" s="48">
        <v>0.0</v>
      </c>
      <c r="G68" s="48">
        <v>0.0</v>
      </c>
      <c r="H68" s="48" t="s">
        <v>36</v>
      </c>
      <c r="I68" s="48">
        <v>0.0</v>
      </c>
      <c r="J68" s="48">
        <v>0.0</v>
      </c>
      <c r="K68" s="48" t="s">
        <v>21</v>
      </c>
      <c r="L68" s="66" t="s">
        <v>62</v>
      </c>
      <c r="N68" s="48" t="s">
        <v>37</v>
      </c>
      <c r="O68" s="76">
        <v>0.77</v>
      </c>
      <c r="R68" s="48">
        <v>0.0</v>
      </c>
      <c r="S68" s="48">
        <v>0.0</v>
      </c>
      <c r="T68" s="48">
        <v>0.0</v>
      </c>
      <c r="U68" s="48">
        <v>0.0</v>
      </c>
      <c r="V68" s="48">
        <v>0.0</v>
      </c>
      <c r="W68" s="48">
        <v>0.0</v>
      </c>
      <c r="Z68" s="48">
        <v>0.0</v>
      </c>
      <c r="AA68" s="48">
        <v>0.0</v>
      </c>
      <c r="AB68" s="66" t="s">
        <v>21</v>
      </c>
      <c r="AC68" s="48">
        <v>0.0</v>
      </c>
      <c r="AD68" s="48">
        <v>0.0</v>
      </c>
      <c r="AE68" s="77">
        <v>43227.0</v>
      </c>
      <c r="AF68" s="48">
        <v>0.0</v>
      </c>
      <c r="AG68" s="70" t="s">
        <v>51</v>
      </c>
    </row>
    <row r="69" ht="15.75" customHeight="1">
      <c r="B69" s="71" t="s">
        <v>23</v>
      </c>
      <c r="C69" s="71" t="s">
        <v>51</v>
      </c>
      <c r="D69" s="71" t="s">
        <v>52</v>
      </c>
      <c r="E69" s="72">
        <v>-20000.0</v>
      </c>
      <c r="F69" s="48">
        <v>0.0</v>
      </c>
      <c r="G69" s="48">
        <v>0.0</v>
      </c>
      <c r="H69" s="48" t="s">
        <v>36</v>
      </c>
      <c r="I69" s="48">
        <v>0.0</v>
      </c>
      <c r="J69" s="48">
        <v>0.0</v>
      </c>
      <c r="K69" s="48" t="s">
        <v>21</v>
      </c>
      <c r="L69" s="71" t="s">
        <v>53</v>
      </c>
      <c r="N69" s="48" t="s">
        <v>37</v>
      </c>
      <c r="O69" s="76">
        <v>0.77</v>
      </c>
      <c r="R69" s="48">
        <v>0.0</v>
      </c>
      <c r="S69" s="48">
        <v>0.0</v>
      </c>
      <c r="T69" s="48">
        <v>0.0</v>
      </c>
      <c r="U69" s="48">
        <v>0.0</v>
      </c>
      <c r="V69" s="48">
        <v>0.0</v>
      </c>
      <c r="W69" s="48">
        <v>0.0</v>
      </c>
      <c r="Z69" s="48">
        <v>0.0</v>
      </c>
      <c r="AA69" s="48">
        <v>0.0</v>
      </c>
      <c r="AB69" s="71" t="s">
        <v>21</v>
      </c>
      <c r="AC69" s="48">
        <v>0.0</v>
      </c>
      <c r="AD69" s="48">
        <v>0.0</v>
      </c>
      <c r="AE69" s="78">
        <v>43227.0</v>
      </c>
      <c r="AF69" s="48">
        <v>0.0</v>
      </c>
      <c r="AG69" s="75" t="s">
        <v>51</v>
      </c>
    </row>
    <row r="70" ht="15.75" customHeight="1">
      <c r="B70" s="66" t="s">
        <v>23</v>
      </c>
      <c r="C70" s="66" t="s">
        <v>51</v>
      </c>
      <c r="D70" s="66" t="s">
        <v>52</v>
      </c>
      <c r="E70" s="67">
        <v>20000.0</v>
      </c>
      <c r="F70" s="48">
        <v>0.0</v>
      </c>
      <c r="G70" s="48">
        <v>0.0</v>
      </c>
      <c r="H70" s="48" t="s">
        <v>36</v>
      </c>
      <c r="I70" s="48">
        <v>0.0</v>
      </c>
      <c r="J70" s="48">
        <v>0.0</v>
      </c>
      <c r="K70" s="48" t="s">
        <v>21</v>
      </c>
      <c r="L70" s="66" t="s">
        <v>54</v>
      </c>
      <c r="N70" s="48" t="s">
        <v>37</v>
      </c>
      <c r="O70" s="76">
        <v>0.77</v>
      </c>
      <c r="R70" s="48">
        <v>0.0</v>
      </c>
      <c r="S70" s="48">
        <v>0.0</v>
      </c>
      <c r="T70" s="48">
        <v>0.0</v>
      </c>
      <c r="U70" s="48">
        <v>0.0</v>
      </c>
      <c r="V70" s="48">
        <v>0.0</v>
      </c>
      <c r="W70" s="48">
        <v>0.0</v>
      </c>
      <c r="Z70" s="48">
        <v>0.0</v>
      </c>
      <c r="AA70" s="48">
        <v>0.0</v>
      </c>
      <c r="AB70" s="66" t="s">
        <v>21</v>
      </c>
      <c r="AC70" s="48">
        <v>0.0</v>
      </c>
      <c r="AD70" s="48">
        <v>0.0</v>
      </c>
      <c r="AE70" s="77">
        <v>43227.0</v>
      </c>
      <c r="AF70" s="48">
        <v>0.0</v>
      </c>
      <c r="AG70" s="70" t="s">
        <v>51</v>
      </c>
    </row>
    <row r="71" ht="15.75" customHeight="1">
      <c r="B71" s="71" t="s">
        <v>23</v>
      </c>
      <c r="C71" s="71" t="s">
        <v>51</v>
      </c>
      <c r="D71" s="71" t="s">
        <v>57</v>
      </c>
      <c r="E71" s="72">
        <v>20000.0</v>
      </c>
      <c r="F71" s="48">
        <v>0.0</v>
      </c>
      <c r="G71" s="48">
        <v>0.0</v>
      </c>
      <c r="H71" s="48" t="s">
        <v>36</v>
      </c>
      <c r="I71" s="48">
        <v>0.0</v>
      </c>
      <c r="J71" s="48">
        <v>0.0</v>
      </c>
      <c r="K71" s="48" t="s">
        <v>21</v>
      </c>
      <c r="L71" s="71" t="s">
        <v>61</v>
      </c>
      <c r="N71" s="48" t="s">
        <v>37</v>
      </c>
      <c r="O71" s="76">
        <v>0.77</v>
      </c>
      <c r="R71" s="48">
        <v>0.0</v>
      </c>
      <c r="S71" s="48">
        <v>0.0</v>
      </c>
      <c r="T71" s="48">
        <v>0.0</v>
      </c>
      <c r="U71" s="48">
        <v>0.0</v>
      </c>
      <c r="V71" s="48">
        <v>0.0</v>
      </c>
      <c r="W71" s="48">
        <v>0.0</v>
      </c>
      <c r="Z71" s="48">
        <v>0.0</v>
      </c>
      <c r="AA71" s="48">
        <v>0.0</v>
      </c>
      <c r="AB71" s="71" t="s">
        <v>21</v>
      </c>
      <c r="AC71" s="48">
        <v>0.0</v>
      </c>
      <c r="AD71" s="48">
        <v>0.0</v>
      </c>
      <c r="AE71" s="78">
        <v>43228.0</v>
      </c>
      <c r="AF71" s="48">
        <v>0.0</v>
      </c>
      <c r="AG71" s="75" t="s">
        <v>51</v>
      </c>
    </row>
    <row r="72" ht="15.75" customHeight="1">
      <c r="B72" s="66" t="s">
        <v>23</v>
      </c>
      <c r="C72" s="66" t="s">
        <v>51</v>
      </c>
      <c r="D72" s="66" t="s">
        <v>57</v>
      </c>
      <c r="E72" s="67">
        <v>-20000.0</v>
      </c>
      <c r="F72" s="48">
        <v>0.0</v>
      </c>
      <c r="G72" s="48">
        <v>0.0</v>
      </c>
      <c r="H72" s="48" t="s">
        <v>36</v>
      </c>
      <c r="I72" s="48">
        <v>0.0</v>
      </c>
      <c r="J72" s="48">
        <v>0.0</v>
      </c>
      <c r="K72" s="48" t="s">
        <v>21</v>
      </c>
      <c r="L72" s="66" t="s">
        <v>62</v>
      </c>
      <c r="N72" s="48" t="s">
        <v>37</v>
      </c>
      <c r="O72" s="76">
        <v>0.77</v>
      </c>
      <c r="R72" s="48">
        <v>0.0</v>
      </c>
      <c r="S72" s="48">
        <v>0.0</v>
      </c>
      <c r="T72" s="48">
        <v>0.0</v>
      </c>
      <c r="U72" s="48">
        <v>0.0</v>
      </c>
      <c r="V72" s="48">
        <v>0.0</v>
      </c>
      <c r="W72" s="48">
        <v>0.0</v>
      </c>
      <c r="Z72" s="48">
        <v>0.0</v>
      </c>
      <c r="AA72" s="48">
        <v>0.0</v>
      </c>
      <c r="AB72" s="66" t="s">
        <v>21</v>
      </c>
      <c r="AC72" s="48">
        <v>0.0</v>
      </c>
      <c r="AD72" s="48">
        <v>0.0</v>
      </c>
      <c r="AE72" s="77">
        <v>43228.0</v>
      </c>
      <c r="AF72" s="48">
        <v>0.0</v>
      </c>
      <c r="AG72" s="70" t="s">
        <v>51</v>
      </c>
    </row>
    <row r="73" ht="15.75" customHeight="1">
      <c r="B73" s="71" t="s">
        <v>23</v>
      </c>
      <c r="C73" s="71" t="s">
        <v>51</v>
      </c>
      <c r="D73" s="71" t="s">
        <v>52</v>
      </c>
      <c r="E73" s="72">
        <v>-20000.0</v>
      </c>
      <c r="F73" s="48">
        <v>0.0</v>
      </c>
      <c r="G73" s="48">
        <v>0.0</v>
      </c>
      <c r="H73" s="48" t="s">
        <v>36</v>
      </c>
      <c r="I73" s="48">
        <v>0.0</v>
      </c>
      <c r="J73" s="48">
        <v>0.0</v>
      </c>
      <c r="K73" s="48" t="s">
        <v>21</v>
      </c>
      <c r="L73" s="71" t="s">
        <v>53</v>
      </c>
      <c r="N73" s="48" t="s">
        <v>37</v>
      </c>
      <c r="O73" s="76">
        <v>0.77</v>
      </c>
      <c r="R73" s="48">
        <v>0.0</v>
      </c>
      <c r="S73" s="48">
        <v>0.0</v>
      </c>
      <c r="T73" s="48">
        <v>0.0</v>
      </c>
      <c r="U73" s="48">
        <v>0.0</v>
      </c>
      <c r="V73" s="48">
        <v>0.0</v>
      </c>
      <c r="W73" s="48">
        <v>0.0</v>
      </c>
      <c r="Z73" s="48">
        <v>0.0</v>
      </c>
      <c r="AA73" s="48">
        <v>0.0</v>
      </c>
      <c r="AB73" s="71" t="s">
        <v>21</v>
      </c>
      <c r="AC73" s="48">
        <v>0.0</v>
      </c>
      <c r="AD73" s="48">
        <v>0.0</v>
      </c>
      <c r="AE73" s="78">
        <v>43228.0</v>
      </c>
      <c r="AF73" s="48">
        <v>0.0</v>
      </c>
      <c r="AG73" s="75" t="s">
        <v>51</v>
      </c>
    </row>
    <row r="74" ht="15.75" customHeight="1">
      <c r="B74" s="66" t="s">
        <v>23</v>
      </c>
      <c r="C74" s="66" t="s">
        <v>51</v>
      </c>
      <c r="D74" s="66" t="s">
        <v>52</v>
      </c>
      <c r="E74" s="67">
        <v>20000.0</v>
      </c>
      <c r="F74" s="48">
        <v>0.0</v>
      </c>
      <c r="G74" s="48">
        <v>0.0</v>
      </c>
      <c r="H74" s="48" t="s">
        <v>36</v>
      </c>
      <c r="I74" s="48">
        <v>0.0</v>
      </c>
      <c r="J74" s="48">
        <v>0.0</v>
      </c>
      <c r="K74" s="48" t="s">
        <v>21</v>
      </c>
      <c r="L74" s="66" t="s">
        <v>54</v>
      </c>
      <c r="N74" s="48" t="s">
        <v>37</v>
      </c>
      <c r="O74" s="76">
        <v>0.77</v>
      </c>
      <c r="R74" s="48">
        <v>0.0</v>
      </c>
      <c r="S74" s="48">
        <v>0.0</v>
      </c>
      <c r="T74" s="48">
        <v>0.0</v>
      </c>
      <c r="U74" s="48">
        <v>0.0</v>
      </c>
      <c r="V74" s="48">
        <v>0.0</v>
      </c>
      <c r="W74" s="48">
        <v>0.0</v>
      </c>
      <c r="Z74" s="48">
        <v>0.0</v>
      </c>
      <c r="AA74" s="48">
        <v>0.0</v>
      </c>
      <c r="AB74" s="66" t="s">
        <v>21</v>
      </c>
      <c r="AC74" s="48">
        <v>0.0</v>
      </c>
      <c r="AD74" s="48">
        <v>0.0</v>
      </c>
      <c r="AE74" s="77">
        <v>43228.0</v>
      </c>
      <c r="AF74" s="48">
        <v>0.0</v>
      </c>
      <c r="AG74" s="70" t="s">
        <v>51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63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IFERROR(__xludf.DUMMYFUNCTION("""COMPUTED_VALUE"""),"MasterFund")</f>
        <v>MasterFund</v>
      </c>
      <c r="C5" s="23" t="str">
        <f>IFERROR(__xludf.DUMMYFUNCTION("""COMPUTED_VALUE"""),"Accounts")</f>
        <v>Accounts</v>
      </c>
      <c r="D5" s="23" t="str">
        <f>IFERROR(__xludf.DUMMYFUNCTION("""COMPUTED_VALUE"""),"From Date")</f>
        <v>From Date</v>
      </c>
      <c r="E5" s="23" t="str">
        <f>IFERROR(__xludf.DUMMYFUNCTION("""COMPUTED_VALUE"""),"To Date")</f>
        <v>To Date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6"/>
      <c r="B6" s="26" t="s">
        <v>32</v>
      </c>
      <c r="C6" s="25" t="s">
        <v>16</v>
      </c>
      <c r="D6" s="26">
        <v>43210.0</v>
      </c>
      <c r="E6" s="27">
        <v>43228.0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37.38"/>
    <col customWidth="1" min="7" max="8" width="12.63"/>
    <col customWidth="1" min="9" max="9" width="15.88"/>
    <col customWidth="1" min="10" max="11" width="15.25"/>
    <col customWidth="1" min="12" max="12" width="14.88"/>
    <col customWidth="1" min="13" max="16" width="12.63"/>
    <col customWidth="1" min="17" max="17" width="36.88"/>
    <col customWidth="1" min="18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64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45" t="str">
        <f>IFERROR(__xludf.DUMMYFUNCTION("""COMPUTED_VALUE"""),"Date")</f>
        <v>Date</v>
      </c>
      <c r="C5" s="45" t="str">
        <f>IFERROR(__xludf.DUMMYFUNCTION("""COMPUTED_VALUE"""),"Account")</f>
        <v>Account</v>
      </c>
      <c r="D5" s="45" t="str">
        <f>IFERROR(__xludf.DUMMYFUNCTION("""COMPUTED_VALUE"""),"Symbol")</f>
        <v>Symbol</v>
      </c>
      <c r="E5" s="45" t="str">
        <f>IFERROR(__xludf.DUMMYFUNCTION("""COMPUTED_VALUE"""),"Currency")</f>
        <v>Currency</v>
      </c>
      <c r="F5" s="45" t="str">
        <f>IFERROR(__xludf.DUMMYFUNCTION("""COMPUTED_VALUE"""),"Cash Sub-Account")</f>
        <v>Cash Sub-Account</v>
      </c>
      <c r="G5" s="45" t="str">
        <f>IFERROR(__xludf.DUMMYFUNCTION("""COMPUTED_VALUE"""),"DR")</f>
        <v>DR</v>
      </c>
      <c r="H5" s="45" t="str">
        <f>IFERROR(__xludf.DUMMYFUNCTION("""COMPUTED_VALUE"""),"CR")</f>
        <v>CR</v>
      </c>
      <c r="I5" s="45" t="str">
        <f>IFERROR(__xludf.DUMMYFUNCTION("""COMPUTED_VALUE"""),"Modify Date")</f>
        <v>Modify Date</v>
      </c>
      <c r="J5" s="45" t="str">
        <f>IFERROR(__xludf.DUMMYFUNCTION("""COMPUTED_VALUE"""),"Entry Date")</f>
        <v>Entry Date</v>
      </c>
      <c r="K5" s="45" t="str">
        <f>IFERROR(__xludf.DUMMYFUNCTION("""COMPUTED_VALUE"""),"User")</f>
        <v>User</v>
      </c>
      <c r="L5" s="45" t="str">
        <f>IFERROR(__xludf.DUMMYFUNCTION("""COMPUTED_VALUE"""),"Fx Rate")</f>
        <v>Fx Rate</v>
      </c>
      <c r="M5" s="45" t="str">
        <f>IFERROR(__xludf.DUMMYFUNCTION("""COMPUTED_VALUE"""),"FX Conversion Method Operator")</f>
        <v>FX Conversion Method Operator</v>
      </c>
      <c r="N5" s="45" t="str">
        <f>IFERROR(__xludf.DUMMYFUNCTION("""COMPUTED_VALUE"""),"Account Side")</f>
        <v>Account Side</v>
      </c>
      <c r="O5" s="45" t="str">
        <f>IFERROR(__xludf.DUMMYFUNCTION("""COMPUTED_VALUE"""),"TransactionSource")</f>
        <v>TransactionSource</v>
      </c>
      <c r="P5" s="45" t="str">
        <f>IFERROR(__xludf.DUMMYFUNCTION("""COMPUTED_VALUE"""),"Base Currency")</f>
        <v>Base Currency</v>
      </c>
      <c r="Q5" s="45" t="str">
        <f>IFERROR(__xludf.DUMMYFUNCTION("""COMPUTED_VALUE"""),"Description")</f>
        <v>Description</v>
      </c>
      <c r="R5" s="45" t="str">
        <f>IFERROR(__xludf.DUMMYFUNCTION("""COMPUTED_VALUE"""),"DR (Base)")</f>
        <v>DR (Base)</v>
      </c>
      <c r="S5" s="45" t="str">
        <f>IFERROR(__xludf.DUMMYFUNCTION("""COMPUTED_VALUE"""),"CR (Base)")</f>
        <v>CR (Base)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47"/>
      <c r="B6" s="51">
        <v>43221.0</v>
      </c>
      <c r="C6" s="48" t="s">
        <v>20</v>
      </c>
      <c r="D6" s="48" t="s">
        <v>21</v>
      </c>
      <c r="E6" s="48" t="s">
        <v>21</v>
      </c>
      <c r="F6" s="48" t="s">
        <v>43</v>
      </c>
      <c r="G6" s="58">
        <v>50000.0</v>
      </c>
      <c r="H6" s="59">
        <v>0.0</v>
      </c>
      <c r="I6" s="49"/>
      <c r="J6" s="49"/>
      <c r="K6" s="48"/>
      <c r="L6" s="48">
        <v>0.7745933384973</v>
      </c>
      <c r="M6" s="48" t="s">
        <v>37</v>
      </c>
      <c r="N6" s="48" t="s">
        <v>42</v>
      </c>
      <c r="O6" s="48" t="s">
        <v>51</v>
      </c>
      <c r="P6" s="48" t="s">
        <v>29</v>
      </c>
      <c r="Q6" s="48" t="s">
        <v>53</v>
      </c>
      <c r="R6" s="58">
        <v>38729.67</v>
      </c>
      <c r="S6" s="58">
        <v>0.0</v>
      </c>
      <c r="T6" s="48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</row>
    <row r="7" ht="15.75" customHeight="1">
      <c r="A7" s="47"/>
      <c r="B7" s="51">
        <v>43221.0</v>
      </c>
      <c r="C7" s="48" t="s">
        <v>20</v>
      </c>
      <c r="D7" s="48" t="s">
        <v>21</v>
      </c>
      <c r="E7" s="48" t="s">
        <v>21</v>
      </c>
      <c r="F7" s="48" t="s">
        <v>65</v>
      </c>
      <c r="G7" s="61">
        <v>0.0</v>
      </c>
      <c r="H7" s="58">
        <v>50000.0</v>
      </c>
      <c r="I7" s="49"/>
      <c r="J7" s="49"/>
      <c r="K7" s="48"/>
      <c r="L7" s="48">
        <v>0.7745933384973</v>
      </c>
      <c r="M7" s="48" t="s">
        <v>37</v>
      </c>
      <c r="N7" s="48" t="s">
        <v>44</v>
      </c>
      <c r="O7" s="48" t="s">
        <v>51</v>
      </c>
      <c r="P7" s="48" t="s">
        <v>29</v>
      </c>
      <c r="Q7" s="48" t="s">
        <v>53</v>
      </c>
      <c r="R7" s="58">
        <v>0.0</v>
      </c>
      <c r="S7" s="58">
        <v>38729.67</v>
      </c>
      <c r="T7" s="48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</row>
    <row r="8" ht="15.75" customHeight="1">
      <c r="A8" s="47"/>
      <c r="B8" s="51">
        <v>43221.0</v>
      </c>
      <c r="C8" s="48" t="s">
        <v>20</v>
      </c>
      <c r="D8" s="48" t="s">
        <v>21</v>
      </c>
      <c r="E8" s="48" t="s">
        <v>21</v>
      </c>
      <c r="F8" s="48" t="s">
        <v>65</v>
      </c>
      <c r="G8" s="58">
        <v>50000.0</v>
      </c>
      <c r="H8" s="59">
        <v>0.0</v>
      </c>
      <c r="I8" s="49"/>
      <c r="J8" s="49"/>
      <c r="K8" s="48"/>
      <c r="L8" s="48">
        <v>0.0</v>
      </c>
      <c r="M8" s="48" t="s">
        <v>37</v>
      </c>
      <c r="N8" s="48" t="s">
        <v>42</v>
      </c>
      <c r="O8" s="48" t="s">
        <v>51</v>
      </c>
      <c r="P8" s="48" t="s">
        <v>29</v>
      </c>
      <c r="Q8" s="48" t="s">
        <v>54</v>
      </c>
      <c r="R8" s="58">
        <v>0.0</v>
      </c>
      <c r="S8" s="58">
        <v>0.0</v>
      </c>
      <c r="T8" s="48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</row>
    <row r="9" ht="15.75" customHeight="1">
      <c r="A9" s="47"/>
      <c r="B9" s="51">
        <v>43221.0</v>
      </c>
      <c r="C9" s="48" t="s">
        <v>20</v>
      </c>
      <c r="D9" s="48" t="s">
        <v>21</v>
      </c>
      <c r="E9" s="48" t="s">
        <v>21</v>
      </c>
      <c r="F9" s="48" t="s">
        <v>43</v>
      </c>
      <c r="G9" s="61">
        <v>0.0</v>
      </c>
      <c r="H9" s="58">
        <v>50000.0</v>
      </c>
      <c r="I9" s="49"/>
      <c r="J9" s="49"/>
      <c r="K9" s="48"/>
      <c r="L9" s="48">
        <v>0.0</v>
      </c>
      <c r="M9" s="48" t="s">
        <v>37</v>
      </c>
      <c r="N9" s="48" t="s">
        <v>44</v>
      </c>
      <c r="O9" s="48" t="s">
        <v>51</v>
      </c>
      <c r="P9" s="48" t="s">
        <v>29</v>
      </c>
      <c r="Q9" s="48" t="s">
        <v>54</v>
      </c>
      <c r="R9" s="58">
        <v>0.0</v>
      </c>
      <c r="S9" s="58">
        <v>0.0</v>
      </c>
      <c r="T9" s="48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</row>
    <row r="10" ht="15.75" customHeight="1">
      <c r="A10" s="47"/>
      <c r="B10" s="51">
        <v>43221.0</v>
      </c>
      <c r="C10" s="48" t="s">
        <v>20</v>
      </c>
      <c r="D10" s="48" t="s">
        <v>19</v>
      </c>
      <c r="E10" s="48" t="s">
        <v>21</v>
      </c>
      <c r="F10" s="48" t="s">
        <v>65</v>
      </c>
      <c r="G10" s="58">
        <v>60000.0</v>
      </c>
      <c r="H10" s="59">
        <v>0.0</v>
      </c>
      <c r="I10" s="49"/>
      <c r="J10" s="49"/>
      <c r="K10" s="48"/>
      <c r="L10" s="55">
        <v>2.2</v>
      </c>
      <c r="M10" s="48" t="s">
        <v>37</v>
      </c>
      <c r="N10" s="48" t="s">
        <v>42</v>
      </c>
      <c r="O10" s="48" t="s">
        <v>51</v>
      </c>
      <c r="P10" s="48" t="s">
        <v>29</v>
      </c>
      <c r="Q10" s="48" t="s">
        <v>55</v>
      </c>
      <c r="R10" s="64">
        <v>132000.0</v>
      </c>
      <c r="S10" s="58">
        <v>0.0</v>
      </c>
      <c r="T10" s="48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</row>
    <row r="11" ht="15.75" customHeight="1">
      <c r="A11" s="47"/>
      <c r="B11" s="51">
        <v>43221.0</v>
      </c>
      <c r="C11" s="48" t="s">
        <v>20</v>
      </c>
      <c r="D11" s="48" t="s">
        <v>19</v>
      </c>
      <c r="E11" s="48" t="s">
        <v>21</v>
      </c>
      <c r="F11" s="48" t="s">
        <v>43</v>
      </c>
      <c r="G11" s="61">
        <v>0.0</v>
      </c>
      <c r="H11" s="58">
        <v>60000.0</v>
      </c>
      <c r="I11" s="49"/>
      <c r="J11" s="49"/>
      <c r="K11" s="48"/>
      <c r="L11" s="55">
        <v>2.2</v>
      </c>
      <c r="M11" s="48" t="s">
        <v>37</v>
      </c>
      <c r="N11" s="48" t="s">
        <v>44</v>
      </c>
      <c r="O11" s="48" t="s">
        <v>51</v>
      </c>
      <c r="P11" s="48" t="s">
        <v>29</v>
      </c>
      <c r="Q11" s="48" t="s">
        <v>55</v>
      </c>
      <c r="R11" s="58">
        <v>0.0</v>
      </c>
      <c r="S11" s="64">
        <v>132000.0</v>
      </c>
      <c r="T11" s="48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</row>
    <row r="12" ht="15.75" customHeight="1">
      <c r="A12" s="47"/>
      <c r="B12" s="51">
        <v>43221.0</v>
      </c>
      <c r="C12" s="48" t="s">
        <v>20</v>
      </c>
      <c r="D12" s="48" t="s">
        <v>19</v>
      </c>
      <c r="E12" s="48" t="s">
        <v>21</v>
      </c>
      <c r="F12" s="48" t="s">
        <v>43</v>
      </c>
      <c r="G12" s="58">
        <v>60000.0</v>
      </c>
      <c r="H12" s="59">
        <v>0.0</v>
      </c>
      <c r="I12" s="49"/>
      <c r="J12" s="49"/>
      <c r="K12" s="48"/>
      <c r="L12" s="48">
        <v>0.7745933384973</v>
      </c>
      <c r="M12" s="48" t="s">
        <v>37</v>
      </c>
      <c r="N12" s="48" t="s">
        <v>42</v>
      </c>
      <c r="O12" s="48" t="s">
        <v>51</v>
      </c>
      <c r="P12" s="48" t="s">
        <v>29</v>
      </c>
      <c r="Q12" s="48" t="s">
        <v>56</v>
      </c>
      <c r="R12" s="58">
        <v>46475.6</v>
      </c>
      <c r="S12" s="58">
        <v>0.0</v>
      </c>
      <c r="T12" s="48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</row>
    <row r="13" ht="15.75" customHeight="1">
      <c r="A13" s="47"/>
      <c r="B13" s="51">
        <v>43221.0</v>
      </c>
      <c r="C13" s="48" t="s">
        <v>20</v>
      </c>
      <c r="D13" s="48" t="s">
        <v>19</v>
      </c>
      <c r="E13" s="48" t="s">
        <v>21</v>
      </c>
      <c r="F13" s="48" t="s">
        <v>65</v>
      </c>
      <c r="G13" s="61">
        <v>0.0</v>
      </c>
      <c r="H13" s="58">
        <v>60000.0</v>
      </c>
      <c r="I13" s="49"/>
      <c r="J13" s="49"/>
      <c r="K13" s="48"/>
      <c r="L13" s="48">
        <v>0.7745933384973</v>
      </c>
      <c r="M13" s="48" t="s">
        <v>37</v>
      </c>
      <c r="N13" s="48" t="s">
        <v>44</v>
      </c>
      <c r="O13" s="48" t="s">
        <v>51</v>
      </c>
      <c r="P13" s="48" t="s">
        <v>29</v>
      </c>
      <c r="Q13" s="48" t="s">
        <v>56</v>
      </c>
      <c r="R13" s="58">
        <v>0.0</v>
      </c>
      <c r="S13" s="58">
        <v>46475.6</v>
      </c>
      <c r="T13" s="48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</row>
    <row r="14" ht="15.75" customHeight="1">
      <c r="A14" s="47"/>
      <c r="B14" s="51">
        <v>43222.0</v>
      </c>
      <c r="C14" s="48" t="s">
        <v>20</v>
      </c>
      <c r="D14" s="48" t="s">
        <v>21</v>
      </c>
      <c r="E14" s="48" t="s">
        <v>21</v>
      </c>
      <c r="F14" s="48" t="s">
        <v>43</v>
      </c>
      <c r="G14" s="58">
        <v>110000.0</v>
      </c>
      <c r="H14" s="59">
        <v>0.0</v>
      </c>
      <c r="I14" s="49"/>
      <c r="J14" s="49"/>
      <c r="K14" s="48"/>
      <c r="L14" s="48">
        <v>0.7739938080495</v>
      </c>
      <c r="M14" s="48" t="s">
        <v>37</v>
      </c>
      <c r="N14" s="48" t="s">
        <v>42</v>
      </c>
      <c r="O14" s="48" t="s">
        <v>51</v>
      </c>
      <c r="P14" s="48" t="s">
        <v>29</v>
      </c>
      <c r="Q14" s="48" t="s">
        <v>53</v>
      </c>
      <c r="R14" s="58">
        <v>85139.32</v>
      </c>
      <c r="S14" s="58">
        <v>0.0</v>
      </c>
      <c r="T14" s="48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</row>
    <row r="15" ht="15.75" customHeight="1">
      <c r="A15" s="47"/>
      <c r="B15" s="51">
        <v>43222.0</v>
      </c>
      <c r="C15" s="48" t="s">
        <v>20</v>
      </c>
      <c r="D15" s="48" t="s">
        <v>21</v>
      </c>
      <c r="E15" s="48" t="s">
        <v>21</v>
      </c>
      <c r="F15" s="48" t="s">
        <v>65</v>
      </c>
      <c r="G15" s="61">
        <v>0.0</v>
      </c>
      <c r="H15" s="58">
        <v>110000.0</v>
      </c>
      <c r="I15" s="49"/>
      <c r="J15" s="49"/>
      <c r="K15" s="48"/>
      <c r="L15" s="48">
        <v>0.7739938080495</v>
      </c>
      <c r="M15" s="48" t="s">
        <v>37</v>
      </c>
      <c r="N15" s="48" t="s">
        <v>44</v>
      </c>
      <c r="O15" s="48" t="s">
        <v>51</v>
      </c>
      <c r="P15" s="48" t="s">
        <v>29</v>
      </c>
      <c r="Q15" s="48" t="s">
        <v>53</v>
      </c>
      <c r="R15" s="58">
        <v>0.0</v>
      </c>
      <c r="S15" s="58">
        <v>85139.32</v>
      </c>
      <c r="T15" s="48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</row>
    <row r="16" ht="15.75" customHeight="1">
      <c r="A16" s="47"/>
      <c r="B16" s="51">
        <v>43222.0</v>
      </c>
      <c r="C16" s="48" t="s">
        <v>20</v>
      </c>
      <c r="D16" s="48" t="s">
        <v>21</v>
      </c>
      <c r="E16" s="48" t="s">
        <v>21</v>
      </c>
      <c r="F16" s="48" t="s">
        <v>65</v>
      </c>
      <c r="G16" s="58">
        <v>110000.0</v>
      </c>
      <c r="H16" s="59">
        <v>0.0</v>
      </c>
      <c r="I16" s="49"/>
      <c r="J16" s="49"/>
      <c r="K16" s="48"/>
      <c r="L16" s="48">
        <v>0.7745933384973</v>
      </c>
      <c r="M16" s="48" t="s">
        <v>37</v>
      </c>
      <c r="N16" s="48" t="s">
        <v>42</v>
      </c>
      <c r="O16" s="48" t="s">
        <v>51</v>
      </c>
      <c r="P16" s="48" t="s">
        <v>29</v>
      </c>
      <c r="Q16" s="48" t="s">
        <v>54</v>
      </c>
      <c r="R16" s="58">
        <v>85205.27</v>
      </c>
      <c r="S16" s="58">
        <v>0.0</v>
      </c>
      <c r="T16" s="48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</row>
    <row r="17" ht="15.75" customHeight="1">
      <c r="A17" s="47"/>
      <c r="B17" s="51">
        <v>43222.0</v>
      </c>
      <c r="C17" s="48" t="s">
        <v>20</v>
      </c>
      <c r="D17" s="48" t="s">
        <v>21</v>
      </c>
      <c r="E17" s="48" t="s">
        <v>21</v>
      </c>
      <c r="F17" s="48" t="s">
        <v>43</v>
      </c>
      <c r="G17" s="61">
        <v>0.0</v>
      </c>
      <c r="H17" s="58">
        <v>110000.0</v>
      </c>
      <c r="I17" s="49"/>
      <c r="J17" s="49"/>
      <c r="K17" s="48"/>
      <c r="L17" s="48">
        <v>0.7745933384973</v>
      </c>
      <c r="M17" s="48" t="s">
        <v>37</v>
      </c>
      <c r="N17" s="48" t="s">
        <v>44</v>
      </c>
      <c r="O17" s="48" t="s">
        <v>51</v>
      </c>
      <c r="P17" s="48" t="s">
        <v>29</v>
      </c>
      <c r="Q17" s="48" t="s">
        <v>54</v>
      </c>
      <c r="R17" s="58">
        <v>0.0</v>
      </c>
      <c r="S17" s="58">
        <v>85205.27</v>
      </c>
      <c r="T17" s="48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</row>
    <row r="18" ht="15.75" customHeight="1">
      <c r="A18" s="47"/>
      <c r="B18" s="51">
        <v>43223.0</v>
      </c>
      <c r="C18" s="48" t="s">
        <v>20</v>
      </c>
      <c r="D18" s="48" t="s">
        <v>21</v>
      </c>
      <c r="E18" s="48" t="s">
        <v>21</v>
      </c>
      <c r="F18" s="48" t="s">
        <v>43</v>
      </c>
      <c r="G18" s="58">
        <v>110000.0</v>
      </c>
      <c r="H18" s="59">
        <v>0.0</v>
      </c>
      <c r="I18" s="49"/>
      <c r="J18" s="49"/>
      <c r="K18" s="48"/>
      <c r="L18" s="48">
        <v>0.7733952049497</v>
      </c>
      <c r="M18" s="48" t="s">
        <v>37</v>
      </c>
      <c r="N18" s="48" t="s">
        <v>42</v>
      </c>
      <c r="O18" s="48" t="s">
        <v>51</v>
      </c>
      <c r="P18" s="48" t="s">
        <v>29</v>
      </c>
      <c r="Q18" s="48" t="s">
        <v>53</v>
      </c>
      <c r="R18" s="58">
        <v>85073.47</v>
      </c>
      <c r="S18" s="58">
        <v>0.0</v>
      </c>
      <c r="T18" s="48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</row>
    <row r="19" ht="15.75" customHeight="1">
      <c r="A19" s="47"/>
      <c r="B19" s="51">
        <v>43223.0</v>
      </c>
      <c r="C19" s="48" t="s">
        <v>20</v>
      </c>
      <c r="D19" s="48" t="s">
        <v>21</v>
      </c>
      <c r="E19" s="48" t="s">
        <v>21</v>
      </c>
      <c r="F19" s="48" t="s">
        <v>65</v>
      </c>
      <c r="G19" s="61">
        <v>0.0</v>
      </c>
      <c r="H19" s="58">
        <v>110000.0</v>
      </c>
      <c r="I19" s="49"/>
      <c r="J19" s="49"/>
      <c r="K19" s="48"/>
      <c r="L19" s="48">
        <v>0.7733952049497</v>
      </c>
      <c r="M19" s="48" t="s">
        <v>37</v>
      </c>
      <c r="N19" s="48" t="s">
        <v>44</v>
      </c>
      <c r="O19" s="48" t="s">
        <v>51</v>
      </c>
      <c r="P19" s="48" t="s">
        <v>29</v>
      </c>
      <c r="Q19" s="48" t="s">
        <v>53</v>
      </c>
      <c r="R19" s="58">
        <v>0.0</v>
      </c>
      <c r="S19" s="58">
        <v>85073.47</v>
      </c>
      <c r="T19" s="48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</row>
    <row r="20" ht="15.75" customHeight="1">
      <c r="A20" s="47"/>
      <c r="B20" s="51">
        <v>43223.0</v>
      </c>
      <c r="C20" s="48" t="s">
        <v>20</v>
      </c>
      <c r="D20" s="48" t="s">
        <v>21</v>
      </c>
      <c r="E20" s="48" t="s">
        <v>21</v>
      </c>
      <c r="F20" s="48" t="s">
        <v>65</v>
      </c>
      <c r="G20" s="58">
        <v>110000.0</v>
      </c>
      <c r="H20" s="59">
        <v>0.0</v>
      </c>
      <c r="I20" s="49"/>
      <c r="J20" s="49"/>
      <c r="K20" s="48"/>
      <c r="L20" s="48">
        <v>0.7739938080495</v>
      </c>
      <c r="M20" s="48" t="s">
        <v>37</v>
      </c>
      <c r="N20" s="48" t="s">
        <v>42</v>
      </c>
      <c r="O20" s="48" t="s">
        <v>51</v>
      </c>
      <c r="P20" s="48" t="s">
        <v>29</v>
      </c>
      <c r="Q20" s="48" t="s">
        <v>54</v>
      </c>
      <c r="R20" s="58">
        <v>85139.32</v>
      </c>
      <c r="S20" s="58">
        <v>0.0</v>
      </c>
      <c r="T20" s="48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</row>
    <row r="21" ht="15.75" customHeight="1">
      <c r="A21" s="47"/>
      <c r="B21" s="51">
        <v>43223.0</v>
      </c>
      <c r="C21" s="48" t="s">
        <v>20</v>
      </c>
      <c r="D21" s="48" t="s">
        <v>21</v>
      </c>
      <c r="E21" s="48" t="s">
        <v>21</v>
      </c>
      <c r="F21" s="48" t="s">
        <v>43</v>
      </c>
      <c r="G21" s="61">
        <v>0.0</v>
      </c>
      <c r="H21" s="58">
        <v>110000.0</v>
      </c>
      <c r="I21" s="49"/>
      <c r="J21" s="49"/>
      <c r="K21" s="48"/>
      <c r="L21" s="48">
        <v>0.7739938080495</v>
      </c>
      <c r="M21" s="48" t="s">
        <v>37</v>
      </c>
      <c r="N21" s="48" t="s">
        <v>44</v>
      </c>
      <c r="O21" s="48" t="s">
        <v>51</v>
      </c>
      <c r="P21" s="48" t="s">
        <v>29</v>
      </c>
      <c r="Q21" s="48" t="s">
        <v>54</v>
      </c>
      <c r="R21" s="58">
        <v>0.0</v>
      </c>
      <c r="S21" s="58">
        <v>85139.32</v>
      </c>
      <c r="T21" s="48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</row>
    <row r="22" ht="15.75" customHeight="1">
      <c r="A22" s="47"/>
      <c r="B22" s="51">
        <v>43223.0</v>
      </c>
      <c r="C22" s="48" t="s">
        <v>20</v>
      </c>
      <c r="D22" s="48" t="s">
        <v>19</v>
      </c>
      <c r="E22" s="48" t="s">
        <v>21</v>
      </c>
      <c r="F22" s="48" t="s">
        <v>66</v>
      </c>
      <c r="G22" s="58">
        <v>50000.0</v>
      </c>
      <c r="H22" s="59">
        <v>0.0</v>
      </c>
      <c r="I22" s="49"/>
      <c r="J22" s="49"/>
      <c r="K22" s="48"/>
      <c r="L22" s="48">
        <v>1.3</v>
      </c>
      <c r="M22" s="48" t="s">
        <v>37</v>
      </c>
      <c r="N22" s="48" t="s">
        <v>42</v>
      </c>
      <c r="O22" s="48" t="s">
        <v>51</v>
      </c>
      <c r="P22" s="48" t="s">
        <v>29</v>
      </c>
      <c r="Q22" s="48" t="s">
        <v>58</v>
      </c>
      <c r="R22" s="58">
        <v>65000.0</v>
      </c>
      <c r="S22" s="58">
        <v>0.0</v>
      </c>
      <c r="T22" s="48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</row>
    <row r="23" ht="15.75" customHeight="1">
      <c r="A23" s="47"/>
      <c r="B23" s="51">
        <v>43223.0</v>
      </c>
      <c r="C23" s="48" t="s">
        <v>20</v>
      </c>
      <c r="D23" s="48" t="s">
        <v>19</v>
      </c>
      <c r="E23" s="48" t="s">
        <v>21</v>
      </c>
      <c r="F23" s="48" t="s">
        <v>41</v>
      </c>
      <c r="G23" s="61">
        <v>0.0</v>
      </c>
      <c r="H23" s="58">
        <v>50000.0</v>
      </c>
      <c r="I23" s="49"/>
      <c r="J23" s="49"/>
      <c r="K23" s="48"/>
      <c r="L23" s="48">
        <v>1.3</v>
      </c>
      <c r="M23" s="48" t="s">
        <v>37</v>
      </c>
      <c r="N23" s="48" t="s">
        <v>44</v>
      </c>
      <c r="O23" s="48" t="s">
        <v>51</v>
      </c>
      <c r="P23" s="48" t="s">
        <v>29</v>
      </c>
      <c r="Q23" s="48" t="s">
        <v>58</v>
      </c>
      <c r="R23" s="58">
        <v>0.0</v>
      </c>
      <c r="S23" s="58">
        <v>65000.0</v>
      </c>
      <c r="T23" s="48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</row>
    <row r="24" ht="15.75" customHeight="1">
      <c r="A24" s="47"/>
      <c r="B24" s="51">
        <v>43223.0</v>
      </c>
      <c r="C24" s="48" t="s">
        <v>20</v>
      </c>
      <c r="D24" s="48" t="s">
        <v>19</v>
      </c>
      <c r="E24" s="48" t="s">
        <v>21</v>
      </c>
      <c r="F24" s="48" t="s">
        <v>41</v>
      </c>
      <c r="G24" s="58">
        <v>50000.0</v>
      </c>
      <c r="H24" s="59">
        <v>0.0</v>
      </c>
      <c r="I24" s="49"/>
      <c r="J24" s="49"/>
      <c r="K24" s="48"/>
      <c r="L24" s="48">
        <v>0.7733952049497</v>
      </c>
      <c r="M24" s="48" t="s">
        <v>37</v>
      </c>
      <c r="N24" s="48" t="s">
        <v>42</v>
      </c>
      <c r="O24" s="48" t="s">
        <v>51</v>
      </c>
      <c r="P24" s="48" t="s">
        <v>29</v>
      </c>
      <c r="Q24" s="48" t="s">
        <v>59</v>
      </c>
      <c r="R24" s="58">
        <v>38669.76</v>
      </c>
      <c r="S24" s="58">
        <v>0.0</v>
      </c>
      <c r="T24" s="48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</row>
    <row r="25" ht="15.75" customHeight="1">
      <c r="A25" s="47"/>
      <c r="B25" s="51">
        <v>43223.0</v>
      </c>
      <c r="C25" s="48" t="s">
        <v>20</v>
      </c>
      <c r="D25" s="48" t="s">
        <v>19</v>
      </c>
      <c r="E25" s="48" t="s">
        <v>21</v>
      </c>
      <c r="F25" s="48" t="s">
        <v>66</v>
      </c>
      <c r="G25" s="61">
        <v>0.0</v>
      </c>
      <c r="H25" s="58">
        <v>50000.0</v>
      </c>
      <c r="I25" s="49"/>
      <c r="J25" s="49"/>
      <c r="K25" s="48"/>
      <c r="L25" s="48">
        <v>0.7733952049497</v>
      </c>
      <c r="M25" s="48" t="s">
        <v>37</v>
      </c>
      <c r="N25" s="48" t="s">
        <v>44</v>
      </c>
      <c r="O25" s="48" t="s">
        <v>51</v>
      </c>
      <c r="P25" s="48" t="s">
        <v>29</v>
      </c>
      <c r="Q25" s="48" t="s">
        <v>59</v>
      </c>
      <c r="R25" s="58">
        <v>0.0</v>
      </c>
      <c r="S25" s="58">
        <v>38669.76</v>
      </c>
      <c r="T25" s="48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</row>
    <row r="26" ht="15.75" customHeight="1">
      <c r="A26" s="47"/>
      <c r="B26" s="51">
        <v>43223.0</v>
      </c>
      <c r="C26" s="48" t="s">
        <v>20</v>
      </c>
      <c r="D26" s="48" t="s">
        <v>19</v>
      </c>
      <c r="E26" s="48" t="s">
        <v>21</v>
      </c>
      <c r="F26" s="48" t="s">
        <v>43</v>
      </c>
      <c r="G26" s="58">
        <v>50000.0</v>
      </c>
      <c r="H26" s="59">
        <v>0.0</v>
      </c>
      <c r="I26" s="49"/>
      <c r="J26" s="49"/>
      <c r="K26" s="48"/>
      <c r="L26" s="48">
        <v>1.3</v>
      </c>
      <c r="M26" s="48" t="s">
        <v>37</v>
      </c>
      <c r="N26" s="48" t="s">
        <v>42</v>
      </c>
      <c r="O26" s="48" t="s">
        <v>51</v>
      </c>
      <c r="P26" s="48" t="s">
        <v>29</v>
      </c>
      <c r="Q26" s="48" t="s">
        <v>55</v>
      </c>
      <c r="R26" s="58">
        <v>65000.0</v>
      </c>
      <c r="S26" s="58">
        <v>0.0</v>
      </c>
      <c r="T26" s="48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</row>
    <row r="27" ht="15.75" customHeight="1">
      <c r="A27" s="52"/>
      <c r="B27" s="51">
        <v>43223.0</v>
      </c>
      <c r="C27" s="48" t="s">
        <v>20</v>
      </c>
      <c r="D27" s="48" t="s">
        <v>19</v>
      </c>
      <c r="E27" s="48" t="s">
        <v>21</v>
      </c>
      <c r="F27" s="48" t="s">
        <v>65</v>
      </c>
      <c r="G27" s="61">
        <v>0.0</v>
      </c>
      <c r="H27" s="58">
        <v>50000.0</v>
      </c>
      <c r="I27" s="49"/>
      <c r="J27" s="49"/>
      <c r="K27" s="48"/>
      <c r="L27" s="48">
        <v>1.3</v>
      </c>
      <c r="M27" s="48" t="s">
        <v>37</v>
      </c>
      <c r="N27" s="48" t="s">
        <v>44</v>
      </c>
      <c r="O27" s="48" t="s">
        <v>51</v>
      </c>
      <c r="P27" s="48" t="s">
        <v>29</v>
      </c>
      <c r="Q27" s="48" t="s">
        <v>55</v>
      </c>
      <c r="R27" s="58">
        <v>0.0</v>
      </c>
      <c r="S27" s="58">
        <v>65000.0</v>
      </c>
      <c r="T27" s="48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</row>
    <row r="28" ht="15.75" customHeight="1">
      <c r="A28" s="52"/>
      <c r="B28" s="51">
        <v>43223.0</v>
      </c>
      <c r="C28" s="48" t="s">
        <v>20</v>
      </c>
      <c r="D28" s="48" t="s">
        <v>19</v>
      </c>
      <c r="E28" s="48" t="s">
        <v>21</v>
      </c>
      <c r="F28" s="48" t="s">
        <v>65</v>
      </c>
      <c r="G28" s="58">
        <v>50000.0</v>
      </c>
      <c r="H28" s="59">
        <v>0.0</v>
      </c>
      <c r="I28" s="49"/>
      <c r="J28" s="49"/>
      <c r="K28" s="48"/>
      <c r="L28" s="48">
        <v>0.7733952049497</v>
      </c>
      <c r="M28" s="48" t="s">
        <v>37</v>
      </c>
      <c r="N28" s="48" t="s">
        <v>42</v>
      </c>
      <c r="O28" s="48" t="s">
        <v>51</v>
      </c>
      <c r="P28" s="48" t="s">
        <v>29</v>
      </c>
      <c r="Q28" s="48" t="s">
        <v>60</v>
      </c>
      <c r="R28" s="58">
        <v>38669.76</v>
      </c>
      <c r="S28" s="58">
        <v>0.0</v>
      </c>
      <c r="T28" s="48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</row>
    <row r="29" ht="15.75" customHeight="1">
      <c r="A29" s="52"/>
      <c r="B29" s="51">
        <v>43223.0</v>
      </c>
      <c r="C29" s="48" t="s">
        <v>20</v>
      </c>
      <c r="D29" s="48" t="s">
        <v>19</v>
      </c>
      <c r="E29" s="48" t="s">
        <v>21</v>
      </c>
      <c r="F29" s="48" t="s">
        <v>43</v>
      </c>
      <c r="G29" s="61">
        <v>0.0</v>
      </c>
      <c r="H29" s="58">
        <v>50000.0</v>
      </c>
      <c r="I29" s="49"/>
      <c r="J29" s="49"/>
      <c r="K29" s="48"/>
      <c r="L29" s="48">
        <v>0.7733952049497</v>
      </c>
      <c r="M29" s="48" t="s">
        <v>37</v>
      </c>
      <c r="N29" s="48" t="s">
        <v>44</v>
      </c>
      <c r="O29" s="48" t="s">
        <v>51</v>
      </c>
      <c r="P29" s="48" t="s">
        <v>29</v>
      </c>
      <c r="Q29" s="48" t="s">
        <v>60</v>
      </c>
      <c r="R29" s="58">
        <v>0.0</v>
      </c>
      <c r="S29" s="58">
        <v>38669.76</v>
      </c>
      <c r="T29" s="48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</row>
    <row r="30" ht="15.75" customHeight="1">
      <c r="A30" s="52"/>
      <c r="B30" s="51">
        <v>43224.0</v>
      </c>
      <c r="C30" s="48" t="s">
        <v>20</v>
      </c>
      <c r="D30" s="48" t="s">
        <v>21</v>
      </c>
      <c r="E30" s="48" t="s">
        <v>21</v>
      </c>
      <c r="F30" s="48" t="s">
        <v>41</v>
      </c>
      <c r="G30" s="58">
        <v>50000.0</v>
      </c>
      <c r="H30" s="59">
        <v>0.0</v>
      </c>
      <c r="I30" s="49"/>
      <c r="J30" s="49"/>
      <c r="K30" s="48"/>
      <c r="L30" s="48">
        <v>0.7727975270479</v>
      </c>
      <c r="M30" s="48" t="s">
        <v>37</v>
      </c>
      <c r="N30" s="48" t="s">
        <v>42</v>
      </c>
      <c r="O30" s="48" t="s">
        <v>51</v>
      </c>
      <c r="P30" s="48" t="s">
        <v>29</v>
      </c>
      <c r="Q30" s="48" t="s">
        <v>61</v>
      </c>
      <c r="R30" s="58">
        <v>38639.88</v>
      </c>
      <c r="S30" s="58">
        <v>0.0</v>
      </c>
      <c r="T30" s="48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</row>
    <row r="31" ht="15.75" customHeight="1">
      <c r="A31" s="52"/>
      <c r="B31" s="51">
        <v>43224.0</v>
      </c>
      <c r="C31" s="48" t="s">
        <v>20</v>
      </c>
      <c r="D31" s="48" t="s">
        <v>21</v>
      </c>
      <c r="E31" s="48" t="s">
        <v>21</v>
      </c>
      <c r="F31" s="48" t="s">
        <v>66</v>
      </c>
      <c r="G31" s="61">
        <v>0.0</v>
      </c>
      <c r="H31" s="58">
        <v>50000.0</v>
      </c>
      <c r="I31" s="49"/>
      <c r="J31" s="49"/>
      <c r="K31" s="48"/>
      <c r="L31" s="48">
        <v>0.7727975270479</v>
      </c>
      <c r="M31" s="48" t="s">
        <v>37</v>
      </c>
      <c r="N31" s="48" t="s">
        <v>44</v>
      </c>
      <c r="O31" s="48" t="s">
        <v>51</v>
      </c>
      <c r="P31" s="48" t="s">
        <v>29</v>
      </c>
      <c r="Q31" s="48" t="s">
        <v>61</v>
      </c>
      <c r="R31" s="58">
        <v>0.0</v>
      </c>
      <c r="S31" s="58">
        <v>38639.88</v>
      </c>
      <c r="T31" s="48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</row>
    <row r="32" ht="15.75" customHeight="1">
      <c r="A32" s="52"/>
      <c r="B32" s="51">
        <v>43224.0</v>
      </c>
      <c r="C32" s="48" t="s">
        <v>20</v>
      </c>
      <c r="D32" s="48" t="s">
        <v>21</v>
      </c>
      <c r="E32" s="48" t="s">
        <v>21</v>
      </c>
      <c r="F32" s="48" t="s">
        <v>66</v>
      </c>
      <c r="G32" s="58">
        <v>50000.0</v>
      </c>
      <c r="H32" s="59">
        <v>0.0</v>
      </c>
      <c r="I32" s="49"/>
      <c r="J32" s="49"/>
      <c r="K32" s="48"/>
      <c r="L32" s="48">
        <v>0.7733952049497</v>
      </c>
      <c r="M32" s="48" t="s">
        <v>37</v>
      </c>
      <c r="N32" s="48" t="s">
        <v>42</v>
      </c>
      <c r="O32" s="48" t="s">
        <v>51</v>
      </c>
      <c r="P32" s="48" t="s">
        <v>29</v>
      </c>
      <c r="Q32" s="48" t="s">
        <v>62</v>
      </c>
      <c r="R32" s="58">
        <v>38669.76</v>
      </c>
      <c r="S32" s="58">
        <v>0.0</v>
      </c>
      <c r="T32" s="48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</row>
    <row r="33" ht="15.75" customHeight="1">
      <c r="A33" s="52"/>
      <c r="B33" s="51">
        <v>43224.0</v>
      </c>
      <c r="C33" s="48" t="s">
        <v>20</v>
      </c>
      <c r="D33" s="48" t="s">
        <v>21</v>
      </c>
      <c r="E33" s="48" t="s">
        <v>21</v>
      </c>
      <c r="F33" s="48" t="s">
        <v>41</v>
      </c>
      <c r="G33" s="61">
        <v>0.0</v>
      </c>
      <c r="H33" s="58">
        <v>50000.0</v>
      </c>
      <c r="I33" s="49"/>
      <c r="J33" s="49"/>
      <c r="K33" s="48"/>
      <c r="L33" s="48">
        <v>0.7733952049497</v>
      </c>
      <c r="M33" s="48" t="s">
        <v>37</v>
      </c>
      <c r="N33" s="48" t="s">
        <v>44</v>
      </c>
      <c r="O33" s="48" t="s">
        <v>51</v>
      </c>
      <c r="P33" s="48" t="s">
        <v>29</v>
      </c>
      <c r="Q33" s="48" t="s">
        <v>62</v>
      </c>
      <c r="R33" s="58">
        <v>0.0</v>
      </c>
      <c r="S33" s="58">
        <v>38669.76</v>
      </c>
      <c r="T33" s="48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</row>
    <row r="34" ht="15.75" customHeight="1">
      <c r="A34" s="52"/>
      <c r="B34" s="51">
        <v>43224.0</v>
      </c>
      <c r="C34" s="48" t="s">
        <v>20</v>
      </c>
      <c r="D34" s="48" t="s">
        <v>21</v>
      </c>
      <c r="E34" s="48" t="s">
        <v>21</v>
      </c>
      <c r="F34" s="48" t="s">
        <v>43</v>
      </c>
      <c r="G34" s="58">
        <v>60000.0</v>
      </c>
      <c r="H34" s="59">
        <v>0.0</v>
      </c>
      <c r="I34" s="49"/>
      <c r="J34" s="49"/>
      <c r="K34" s="48"/>
      <c r="L34" s="48">
        <v>0.7727975270479</v>
      </c>
      <c r="M34" s="48" t="s">
        <v>37</v>
      </c>
      <c r="N34" s="48" t="s">
        <v>42</v>
      </c>
      <c r="O34" s="48" t="s">
        <v>51</v>
      </c>
      <c r="P34" s="48" t="s">
        <v>29</v>
      </c>
      <c r="Q34" s="48" t="s">
        <v>53</v>
      </c>
      <c r="R34" s="58">
        <v>46367.85</v>
      </c>
      <c r="S34" s="58">
        <v>0.0</v>
      </c>
      <c r="T34" s="48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</row>
    <row r="35" ht="15.75" customHeight="1">
      <c r="A35" s="52"/>
      <c r="B35" s="51">
        <v>43224.0</v>
      </c>
      <c r="C35" s="48" t="s">
        <v>20</v>
      </c>
      <c r="D35" s="48" t="s">
        <v>21</v>
      </c>
      <c r="E35" s="48" t="s">
        <v>21</v>
      </c>
      <c r="F35" s="48" t="s">
        <v>65</v>
      </c>
      <c r="G35" s="61">
        <v>0.0</v>
      </c>
      <c r="H35" s="58">
        <v>60000.0</v>
      </c>
      <c r="I35" s="49"/>
      <c r="J35" s="49"/>
      <c r="K35" s="48"/>
      <c r="L35" s="48">
        <v>0.7727975270479</v>
      </c>
      <c r="M35" s="48" t="s">
        <v>37</v>
      </c>
      <c r="N35" s="48" t="s">
        <v>44</v>
      </c>
      <c r="O35" s="48" t="s">
        <v>51</v>
      </c>
      <c r="P35" s="48" t="s">
        <v>29</v>
      </c>
      <c r="Q35" s="48" t="s">
        <v>53</v>
      </c>
      <c r="R35" s="58">
        <v>0.0</v>
      </c>
      <c r="S35" s="58">
        <v>46367.85</v>
      </c>
      <c r="T35" s="48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</row>
    <row r="36" ht="15.75" customHeight="1">
      <c r="A36" s="52"/>
      <c r="B36" s="51">
        <v>43224.0</v>
      </c>
      <c r="C36" s="48" t="s">
        <v>20</v>
      </c>
      <c r="D36" s="48" t="s">
        <v>21</v>
      </c>
      <c r="E36" s="48" t="s">
        <v>21</v>
      </c>
      <c r="F36" s="48" t="s">
        <v>65</v>
      </c>
      <c r="G36" s="58">
        <v>60000.0</v>
      </c>
      <c r="H36" s="59">
        <v>0.0</v>
      </c>
      <c r="I36" s="49"/>
      <c r="J36" s="49"/>
      <c r="K36" s="48"/>
      <c r="L36" s="48">
        <v>0.7733952049497</v>
      </c>
      <c r="M36" s="48" t="s">
        <v>37</v>
      </c>
      <c r="N36" s="48" t="s">
        <v>42</v>
      </c>
      <c r="O36" s="48" t="s">
        <v>51</v>
      </c>
      <c r="P36" s="48" t="s">
        <v>29</v>
      </c>
      <c r="Q36" s="48" t="s">
        <v>54</v>
      </c>
      <c r="R36" s="58">
        <v>46403.71</v>
      </c>
      <c r="S36" s="58">
        <v>0.0</v>
      </c>
      <c r="T36" s="48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</row>
    <row r="37" ht="15.75" customHeight="1">
      <c r="A37" s="52"/>
      <c r="B37" s="51">
        <v>43224.0</v>
      </c>
      <c r="C37" s="48" t="s">
        <v>20</v>
      </c>
      <c r="D37" s="48" t="s">
        <v>21</v>
      </c>
      <c r="E37" s="48" t="s">
        <v>21</v>
      </c>
      <c r="F37" s="48" t="s">
        <v>43</v>
      </c>
      <c r="G37" s="61">
        <v>0.0</v>
      </c>
      <c r="H37" s="58">
        <v>60000.0</v>
      </c>
      <c r="I37" s="49"/>
      <c r="J37" s="49"/>
      <c r="K37" s="48"/>
      <c r="L37" s="48">
        <v>0.7733952049497</v>
      </c>
      <c r="M37" s="48" t="s">
        <v>37</v>
      </c>
      <c r="N37" s="48" t="s">
        <v>44</v>
      </c>
      <c r="O37" s="48" t="s">
        <v>51</v>
      </c>
      <c r="P37" s="48" t="s">
        <v>29</v>
      </c>
      <c r="Q37" s="48" t="s">
        <v>54</v>
      </c>
      <c r="R37" s="58">
        <v>0.0</v>
      </c>
      <c r="S37" s="58">
        <v>46403.71</v>
      </c>
      <c r="T37" s="48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</row>
    <row r="38" ht="15.75" customHeight="1">
      <c r="A38" s="52"/>
      <c r="B38" s="51">
        <v>43225.0</v>
      </c>
      <c r="C38" s="48" t="s">
        <v>20</v>
      </c>
      <c r="D38" s="48" t="s">
        <v>21</v>
      </c>
      <c r="E38" s="48" t="s">
        <v>21</v>
      </c>
      <c r="F38" s="48" t="s">
        <v>41</v>
      </c>
      <c r="G38" s="58">
        <v>50000.0</v>
      </c>
      <c r="H38" s="59">
        <v>0.0</v>
      </c>
      <c r="I38" s="49"/>
      <c r="J38" s="49"/>
      <c r="K38" s="48"/>
      <c r="L38" s="48">
        <v>0.7722007722008</v>
      </c>
      <c r="M38" s="48" t="s">
        <v>37</v>
      </c>
      <c r="N38" s="48" t="s">
        <v>42</v>
      </c>
      <c r="O38" s="48" t="s">
        <v>51</v>
      </c>
      <c r="P38" s="48" t="s">
        <v>29</v>
      </c>
      <c r="Q38" s="48" t="s">
        <v>61</v>
      </c>
      <c r="R38" s="58">
        <v>38610.04</v>
      </c>
      <c r="S38" s="58">
        <v>0.0</v>
      </c>
      <c r="T38" s="48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</row>
    <row r="39" ht="15.75" customHeight="1">
      <c r="A39" s="52"/>
      <c r="B39" s="51">
        <v>43225.0</v>
      </c>
      <c r="C39" s="48" t="s">
        <v>20</v>
      </c>
      <c r="D39" s="48" t="s">
        <v>21</v>
      </c>
      <c r="E39" s="48" t="s">
        <v>21</v>
      </c>
      <c r="F39" s="48" t="s">
        <v>66</v>
      </c>
      <c r="G39" s="61">
        <v>0.0</v>
      </c>
      <c r="H39" s="58">
        <v>50000.0</v>
      </c>
      <c r="I39" s="49"/>
      <c r="J39" s="49"/>
      <c r="K39" s="48"/>
      <c r="L39" s="48">
        <v>0.7722007722008</v>
      </c>
      <c r="M39" s="48" t="s">
        <v>37</v>
      </c>
      <c r="N39" s="48" t="s">
        <v>44</v>
      </c>
      <c r="O39" s="48" t="s">
        <v>51</v>
      </c>
      <c r="P39" s="48" t="s">
        <v>29</v>
      </c>
      <c r="Q39" s="48" t="s">
        <v>61</v>
      </c>
      <c r="R39" s="58">
        <v>0.0</v>
      </c>
      <c r="S39" s="58">
        <v>38610.04</v>
      </c>
      <c r="T39" s="48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</row>
    <row r="40" ht="15.75" customHeight="1">
      <c r="A40" s="52"/>
      <c r="B40" s="51">
        <v>43225.0</v>
      </c>
      <c r="C40" s="48" t="s">
        <v>20</v>
      </c>
      <c r="D40" s="48" t="s">
        <v>21</v>
      </c>
      <c r="E40" s="48" t="s">
        <v>21</v>
      </c>
      <c r="F40" s="48" t="s">
        <v>66</v>
      </c>
      <c r="G40" s="58">
        <v>50000.0</v>
      </c>
      <c r="H40" s="59">
        <v>0.0</v>
      </c>
      <c r="I40" s="49"/>
      <c r="J40" s="49"/>
      <c r="K40" s="48"/>
      <c r="L40" s="48">
        <v>0.7727975270479</v>
      </c>
      <c r="M40" s="48" t="s">
        <v>37</v>
      </c>
      <c r="N40" s="48" t="s">
        <v>42</v>
      </c>
      <c r="O40" s="48" t="s">
        <v>51</v>
      </c>
      <c r="P40" s="48" t="s">
        <v>29</v>
      </c>
      <c r="Q40" s="48" t="s">
        <v>62</v>
      </c>
      <c r="R40" s="58">
        <v>38639.88</v>
      </c>
      <c r="S40" s="58">
        <v>0.0</v>
      </c>
      <c r="T40" s="48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</row>
    <row r="41" ht="15.75" customHeight="1">
      <c r="A41" s="52"/>
      <c r="B41" s="51">
        <v>43225.0</v>
      </c>
      <c r="C41" s="48" t="s">
        <v>20</v>
      </c>
      <c r="D41" s="48" t="s">
        <v>21</v>
      </c>
      <c r="E41" s="48" t="s">
        <v>21</v>
      </c>
      <c r="F41" s="48" t="s">
        <v>41</v>
      </c>
      <c r="G41" s="61">
        <v>0.0</v>
      </c>
      <c r="H41" s="58">
        <v>50000.0</v>
      </c>
      <c r="I41" s="49"/>
      <c r="J41" s="49"/>
      <c r="K41" s="48"/>
      <c r="L41" s="48">
        <v>0.7727975270479</v>
      </c>
      <c r="M41" s="48" t="s">
        <v>37</v>
      </c>
      <c r="N41" s="48" t="s">
        <v>44</v>
      </c>
      <c r="O41" s="48" t="s">
        <v>51</v>
      </c>
      <c r="P41" s="48" t="s">
        <v>29</v>
      </c>
      <c r="Q41" s="48" t="s">
        <v>62</v>
      </c>
      <c r="R41" s="58">
        <v>0.0</v>
      </c>
      <c r="S41" s="58">
        <v>38639.88</v>
      </c>
      <c r="T41" s="48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</row>
    <row r="42" ht="15.75" customHeight="1">
      <c r="A42" s="52"/>
      <c r="B42" s="51">
        <v>43225.0</v>
      </c>
      <c r="C42" s="48" t="s">
        <v>20</v>
      </c>
      <c r="D42" s="48" t="s">
        <v>21</v>
      </c>
      <c r="E42" s="48" t="s">
        <v>21</v>
      </c>
      <c r="F42" s="48" t="s">
        <v>43</v>
      </c>
      <c r="G42" s="58">
        <v>60000.0</v>
      </c>
      <c r="H42" s="59">
        <v>0.0</v>
      </c>
      <c r="I42" s="49"/>
      <c r="J42" s="49"/>
      <c r="K42" s="48"/>
      <c r="L42" s="48">
        <v>0.7722007722008</v>
      </c>
      <c r="M42" s="48" t="s">
        <v>37</v>
      </c>
      <c r="N42" s="48" t="s">
        <v>42</v>
      </c>
      <c r="O42" s="48" t="s">
        <v>51</v>
      </c>
      <c r="P42" s="48" t="s">
        <v>29</v>
      </c>
      <c r="Q42" s="48" t="s">
        <v>53</v>
      </c>
      <c r="R42" s="58">
        <v>46332.05</v>
      </c>
      <c r="S42" s="58">
        <v>0.0</v>
      </c>
      <c r="T42" s="48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</row>
    <row r="43" ht="15.75" customHeight="1">
      <c r="A43" s="52"/>
      <c r="B43" s="51">
        <v>43225.0</v>
      </c>
      <c r="C43" s="48" t="s">
        <v>20</v>
      </c>
      <c r="D43" s="48" t="s">
        <v>21</v>
      </c>
      <c r="E43" s="48" t="s">
        <v>21</v>
      </c>
      <c r="F43" s="48" t="s">
        <v>65</v>
      </c>
      <c r="G43" s="61">
        <v>0.0</v>
      </c>
      <c r="H43" s="58">
        <v>60000.0</v>
      </c>
      <c r="I43" s="49"/>
      <c r="J43" s="49"/>
      <c r="K43" s="48"/>
      <c r="L43" s="48">
        <v>0.7722007722008</v>
      </c>
      <c r="M43" s="48" t="s">
        <v>37</v>
      </c>
      <c r="N43" s="48" t="s">
        <v>44</v>
      </c>
      <c r="O43" s="48" t="s">
        <v>51</v>
      </c>
      <c r="P43" s="48" t="s">
        <v>29</v>
      </c>
      <c r="Q43" s="48" t="s">
        <v>53</v>
      </c>
      <c r="R43" s="58">
        <v>0.0</v>
      </c>
      <c r="S43" s="58">
        <v>46332.05</v>
      </c>
      <c r="T43" s="48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</row>
    <row r="44" ht="15.75" customHeight="1">
      <c r="A44" s="52"/>
      <c r="B44" s="51">
        <v>43225.0</v>
      </c>
      <c r="C44" s="48" t="s">
        <v>20</v>
      </c>
      <c r="D44" s="48" t="s">
        <v>21</v>
      </c>
      <c r="E44" s="48" t="s">
        <v>21</v>
      </c>
      <c r="F44" s="48" t="s">
        <v>65</v>
      </c>
      <c r="G44" s="58">
        <v>60000.0</v>
      </c>
      <c r="H44" s="59">
        <v>0.0</v>
      </c>
      <c r="I44" s="49"/>
      <c r="J44" s="49"/>
      <c r="K44" s="48"/>
      <c r="L44" s="48">
        <v>0.7727975270479</v>
      </c>
      <c r="M44" s="48" t="s">
        <v>37</v>
      </c>
      <c r="N44" s="48" t="s">
        <v>42</v>
      </c>
      <c r="O44" s="48" t="s">
        <v>51</v>
      </c>
      <c r="P44" s="48" t="s">
        <v>29</v>
      </c>
      <c r="Q44" s="48" t="s">
        <v>54</v>
      </c>
      <c r="R44" s="58">
        <v>46367.85</v>
      </c>
      <c r="S44" s="58">
        <v>0.0</v>
      </c>
      <c r="T44" s="48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</row>
    <row r="45" ht="15.75" customHeight="1">
      <c r="A45" s="52"/>
      <c r="B45" s="51">
        <v>43225.0</v>
      </c>
      <c r="C45" s="48" t="s">
        <v>20</v>
      </c>
      <c r="D45" s="48" t="s">
        <v>21</v>
      </c>
      <c r="E45" s="48" t="s">
        <v>21</v>
      </c>
      <c r="F45" s="48" t="s">
        <v>43</v>
      </c>
      <c r="G45" s="61">
        <v>0.0</v>
      </c>
      <c r="H45" s="58">
        <v>60000.0</v>
      </c>
      <c r="I45" s="49"/>
      <c r="J45" s="49"/>
      <c r="K45" s="48"/>
      <c r="L45" s="48">
        <v>0.7727975270479</v>
      </c>
      <c r="M45" s="48" t="s">
        <v>37</v>
      </c>
      <c r="N45" s="48" t="s">
        <v>44</v>
      </c>
      <c r="O45" s="48" t="s">
        <v>51</v>
      </c>
      <c r="P45" s="48" t="s">
        <v>29</v>
      </c>
      <c r="Q45" s="48" t="s">
        <v>54</v>
      </c>
      <c r="R45" s="58">
        <v>0.0</v>
      </c>
      <c r="S45" s="58">
        <v>46367.85</v>
      </c>
      <c r="T45" s="48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</row>
    <row r="46" ht="15.75" customHeight="1">
      <c r="A46" s="52"/>
      <c r="B46" s="51">
        <v>43226.0</v>
      </c>
      <c r="C46" s="48" t="s">
        <v>20</v>
      </c>
      <c r="D46" s="48" t="s">
        <v>21</v>
      </c>
      <c r="E46" s="48" t="s">
        <v>21</v>
      </c>
      <c r="F46" s="48" t="s">
        <v>41</v>
      </c>
      <c r="G46" s="58">
        <v>50000.0</v>
      </c>
      <c r="H46" s="59">
        <v>0.0</v>
      </c>
      <c r="I46" s="49"/>
      <c r="J46" s="49"/>
      <c r="K46" s="48"/>
      <c r="L46" s="48">
        <v>0.7716049382716</v>
      </c>
      <c r="M46" s="48" t="s">
        <v>37</v>
      </c>
      <c r="N46" s="48" t="s">
        <v>42</v>
      </c>
      <c r="O46" s="48" t="s">
        <v>51</v>
      </c>
      <c r="P46" s="48" t="s">
        <v>29</v>
      </c>
      <c r="Q46" s="48" t="s">
        <v>61</v>
      </c>
      <c r="R46" s="58">
        <v>38580.25</v>
      </c>
      <c r="S46" s="58">
        <v>0.0</v>
      </c>
      <c r="T46" s="48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</row>
    <row r="47" ht="15.75" customHeight="1">
      <c r="A47" s="52"/>
      <c r="B47" s="51">
        <v>43226.0</v>
      </c>
      <c r="C47" s="48" t="s">
        <v>20</v>
      </c>
      <c r="D47" s="48" t="s">
        <v>21</v>
      </c>
      <c r="E47" s="48" t="s">
        <v>21</v>
      </c>
      <c r="F47" s="48" t="s">
        <v>66</v>
      </c>
      <c r="G47" s="61">
        <v>0.0</v>
      </c>
      <c r="H47" s="58">
        <v>50000.0</v>
      </c>
      <c r="I47" s="49"/>
      <c r="J47" s="49"/>
      <c r="K47" s="48"/>
      <c r="L47" s="48">
        <v>0.7716049382716</v>
      </c>
      <c r="M47" s="48" t="s">
        <v>37</v>
      </c>
      <c r="N47" s="48" t="s">
        <v>44</v>
      </c>
      <c r="O47" s="48" t="s">
        <v>51</v>
      </c>
      <c r="P47" s="48" t="s">
        <v>29</v>
      </c>
      <c r="Q47" s="48" t="s">
        <v>61</v>
      </c>
      <c r="R47" s="58">
        <v>0.0</v>
      </c>
      <c r="S47" s="58">
        <v>38580.25</v>
      </c>
      <c r="T47" s="48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</row>
    <row r="48" ht="15.75" customHeight="1">
      <c r="A48" s="52"/>
      <c r="B48" s="51">
        <v>43226.0</v>
      </c>
      <c r="C48" s="48" t="s">
        <v>20</v>
      </c>
      <c r="D48" s="48" t="s">
        <v>21</v>
      </c>
      <c r="E48" s="48" t="s">
        <v>21</v>
      </c>
      <c r="F48" s="48" t="s">
        <v>66</v>
      </c>
      <c r="G48" s="58">
        <v>50000.0</v>
      </c>
      <c r="H48" s="59">
        <v>0.0</v>
      </c>
      <c r="I48" s="49"/>
      <c r="J48" s="49"/>
      <c r="K48" s="48"/>
      <c r="L48" s="48">
        <v>0.7722007722008</v>
      </c>
      <c r="M48" s="48" t="s">
        <v>37</v>
      </c>
      <c r="N48" s="48" t="s">
        <v>42</v>
      </c>
      <c r="O48" s="48" t="s">
        <v>51</v>
      </c>
      <c r="P48" s="48" t="s">
        <v>29</v>
      </c>
      <c r="Q48" s="48" t="s">
        <v>62</v>
      </c>
      <c r="R48" s="58">
        <v>38610.04</v>
      </c>
      <c r="S48" s="58">
        <v>0.0</v>
      </c>
      <c r="T48" s="48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</row>
    <row r="49" ht="15.75" customHeight="1">
      <c r="A49" s="52"/>
      <c r="B49" s="51">
        <v>43226.0</v>
      </c>
      <c r="C49" s="48" t="s">
        <v>20</v>
      </c>
      <c r="D49" s="48" t="s">
        <v>21</v>
      </c>
      <c r="E49" s="48" t="s">
        <v>21</v>
      </c>
      <c r="F49" s="48" t="s">
        <v>41</v>
      </c>
      <c r="G49" s="61">
        <v>0.0</v>
      </c>
      <c r="H49" s="58">
        <v>50000.0</v>
      </c>
      <c r="I49" s="49"/>
      <c r="J49" s="49"/>
      <c r="K49" s="48"/>
      <c r="L49" s="48">
        <v>0.7722007722008</v>
      </c>
      <c r="M49" s="48" t="s">
        <v>37</v>
      </c>
      <c r="N49" s="48" t="s">
        <v>44</v>
      </c>
      <c r="O49" s="48" t="s">
        <v>51</v>
      </c>
      <c r="P49" s="48" t="s">
        <v>29</v>
      </c>
      <c r="Q49" s="48" t="s">
        <v>62</v>
      </c>
      <c r="R49" s="58">
        <v>0.0</v>
      </c>
      <c r="S49" s="58">
        <v>38610.04</v>
      </c>
      <c r="T49" s="48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</row>
    <row r="50" ht="15.75" customHeight="1">
      <c r="A50" s="52"/>
      <c r="B50" s="51">
        <v>43226.0</v>
      </c>
      <c r="C50" s="48" t="s">
        <v>20</v>
      </c>
      <c r="D50" s="48" t="s">
        <v>21</v>
      </c>
      <c r="E50" s="48" t="s">
        <v>21</v>
      </c>
      <c r="F50" s="48" t="s">
        <v>43</v>
      </c>
      <c r="G50" s="58">
        <v>60000.0</v>
      </c>
      <c r="H50" s="59">
        <v>0.0</v>
      </c>
      <c r="I50" s="49"/>
      <c r="J50" s="49"/>
      <c r="K50" s="48"/>
      <c r="L50" s="48">
        <v>0.7716049382716</v>
      </c>
      <c r="M50" s="48" t="s">
        <v>37</v>
      </c>
      <c r="N50" s="48" t="s">
        <v>42</v>
      </c>
      <c r="O50" s="48" t="s">
        <v>51</v>
      </c>
      <c r="P50" s="48" t="s">
        <v>29</v>
      </c>
      <c r="Q50" s="48" t="s">
        <v>53</v>
      </c>
      <c r="R50" s="58">
        <v>46296.3</v>
      </c>
      <c r="S50" s="58">
        <v>0.0</v>
      </c>
      <c r="T50" s="48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</row>
    <row r="51" ht="15.75" customHeight="1">
      <c r="A51" s="52"/>
      <c r="B51" s="51">
        <v>43226.0</v>
      </c>
      <c r="C51" s="48" t="s">
        <v>20</v>
      </c>
      <c r="D51" s="48" t="s">
        <v>21</v>
      </c>
      <c r="E51" s="48" t="s">
        <v>21</v>
      </c>
      <c r="F51" s="48" t="s">
        <v>65</v>
      </c>
      <c r="G51" s="61">
        <v>0.0</v>
      </c>
      <c r="H51" s="58">
        <v>60000.0</v>
      </c>
      <c r="I51" s="49"/>
      <c r="J51" s="49"/>
      <c r="K51" s="48"/>
      <c r="L51" s="48">
        <v>0.7716049382716</v>
      </c>
      <c r="M51" s="48" t="s">
        <v>37</v>
      </c>
      <c r="N51" s="48" t="s">
        <v>44</v>
      </c>
      <c r="O51" s="48" t="s">
        <v>51</v>
      </c>
      <c r="P51" s="48" t="s">
        <v>29</v>
      </c>
      <c r="Q51" s="48" t="s">
        <v>53</v>
      </c>
      <c r="R51" s="58">
        <v>0.0</v>
      </c>
      <c r="S51" s="58">
        <v>46296.3</v>
      </c>
      <c r="T51" s="48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</row>
    <row r="52" ht="15.75" customHeight="1">
      <c r="A52" s="52"/>
      <c r="B52" s="51">
        <v>43226.0</v>
      </c>
      <c r="C52" s="48" t="s">
        <v>20</v>
      </c>
      <c r="D52" s="48" t="s">
        <v>21</v>
      </c>
      <c r="E52" s="48" t="s">
        <v>21</v>
      </c>
      <c r="F52" s="48" t="s">
        <v>65</v>
      </c>
      <c r="G52" s="58">
        <v>60000.0</v>
      </c>
      <c r="H52" s="59">
        <v>0.0</v>
      </c>
      <c r="I52" s="49"/>
      <c r="J52" s="49"/>
      <c r="K52" s="48"/>
      <c r="L52" s="48">
        <v>0.7722007722008</v>
      </c>
      <c r="M52" s="48" t="s">
        <v>37</v>
      </c>
      <c r="N52" s="48" t="s">
        <v>42</v>
      </c>
      <c r="O52" s="48" t="s">
        <v>51</v>
      </c>
      <c r="P52" s="48" t="s">
        <v>29</v>
      </c>
      <c r="Q52" s="48" t="s">
        <v>54</v>
      </c>
      <c r="R52" s="58">
        <v>46332.05</v>
      </c>
      <c r="S52" s="58">
        <v>0.0</v>
      </c>
      <c r="T52" s="48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</row>
    <row r="53" ht="15.75" customHeight="1">
      <c r="A53" s="52"/>
      <c r="B53" s="51">
        <v>43226.0</v>
      </c>
      <c r="C53" s="48" t="s">
        <v>20</v>
      </c>
      <c r="D53" s="48" t="s">
        <v>21</v>
      </c>
      <c r="E53" s="48" t="s">
        <v>21</v>
      </c>
      <c r="F53" s="48" t="s">
        <v>43</v>
      </c>
      <c r="G53" s="61">
        <v>0.0</v>
      </c>
      <c r="H53" s="58">
        <v>60000.0</v>
      </c>
      <c r="I53" s="49"/>
      <c r="J53" s="49"/>
      <c r="K53" s="48"/>
      <c r="L53" s="48">
        <v>0.7722007722008</v>
      </c>
      <c r="M53" s="48" t="s">
        <v>37</v>
      </c>
      <c r="N53" s="48" t="s">
        <v>44</v>
      </c>
      <c r="O53" s="48" t="s">
        <v>51</v>
      </c>
      <c r="P53" s="48" t="s">
        <v>29</v>
      </c>
      <c r="Q53" s="48" t="s">
        <v>54</v>
      </c>
      <c r="R53" s="58">
        <v>0.0</v>
      </c>
      <c r="S53" s="58">
        <v>46332.05</v>
      </c>
      <c r="T53" s="48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</row>
    <row r="54" ht="15.75" customHeight="1">
      <c r="A54" s="52"/>
      <c r="B54" s="51">
        <v>43227.0</v>
      </c>
      <c r="C54" s="48" t="s">
        <v>20</v>
      </c>
      <c r="D54" s="48" t="s">
        <v>21</v>
      </c>
      <c r="E54" s="48" t="s">
        <v>21</v>
      </c>
      <c r="F54" s="48" t="s">
        <v>41</v>
      </c>
      <c r="G54" s="58">
        <v>50000.0</v>
      </c>
      <c r="H54" s="59">
        <v>0.0</v>
      </c>
      <c r="I54" s="49"/>
      <c r="J54" s="49"/>
      <c r="K54" s="48"/>
      <c r="L54" s="48">
        <v>0.7710100231303</v>
      </c>
      <c r="M54" s="48" t="s">
        <v>37</v>
      </c>
      <c r="N54" s="48" t="s">
        <v>42</v>
      </c>
      <c r="O54" s="48" t="s">
        <v>51</v>
      </c>
      <c r="P54" s="48" t="s">
        <v>29</v>
      </c>
      <c r="Q54" s="48" t="s">
        <v>61</v>
      </c>
      <c r="R54" s="58">
        <v>38550.5</v>
      </c>
      <c r="S54" s="58">
        <v>0.0</v>
      </c>
      <c r="T54" s="48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</row>
    <row r="55" ht="15.75" customHeight="1">
      <c r="A55" s="52"/>
      <c r="B55" s="51">
        <v>43227.0</v>
      </c>
      <c r="C55" s="48" t="s">
        <v>20</v>
      </c>
      <c r="D55" s="48" t="s">
        <v>21</v>
      </c>
      <c r="E55" s="48" t="s">
        <v>21</v>
      </c>
      <c r="F55" s="48" t="s">
        <v>66</v>
      </c>
      <c r="G55" s="61">
        <v>0.0</v>
      </c>
      <c r="H55" s="58">
        <v>50000.0</v>
      </c>
      <c r="I55" s="49"/>
      <c r="J55" s="49"/>
      <c r="K55" s="48"/>
      <c r="L55" s="48">
        <v>0.7710100231303</v>
      </c>
      <c r="M55" s="48" t="s">
        <v>37</v>
      </c>
      <c r="N55" s="48" t="s">
        <v>44</v>
      </c>
      <c r="O55" s="48" t="s">
        <v>51</v>
      </c>
      <c r="P55" s="48" t="s">
        <v>29</v>
      </c>
      <c r="Q55" s="48" t="s">
        <v>61</v>
      </c>
      <c r="R55" s="58">
        <v>0.0</v>
      </c>
      <c r="S55" s="58">
        <v>38550.5</v>
      </c>
      <c r="T55" s="48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</row>
    <row r="56" ht="15.75" customHeight="1">
      <c r="A56" s="52"/>
      <c r="B56" s="51">
        <v>43227.0</v>
      </c>
      <c r="C56" s="48" t="s">
        <v>20</v>
      </c>
      <c r="D56" s="48" t="s">
        <v>21</v>
      </c>
      <c r="E56" s="48" t="s">
        <v>21</v>
      </c>
      <c r="F56" s="48" t="s">
        <v>66</v>
      </c>
      <c r="G56" s="58">
        <v>50000.0</v>
      </c>
      <c r="H56" s="59">
        <v>0.0</v>
      </c>
      <c r="I56" s="49"/>
      <c r="J56" s="49"/>
      <c r="K56" s="48"/>
      <c r="L56" s="48">
        <v>0.7716049382716</v>
      </c>
      <c r="M56" s="48" t="s">
        <v>37</v>
      </c>
      <c r="N56" s="48" t="s">
        <v>42</v>
      </c>
      <c r="O56" s="48" t="s">
        <v>51</v>
      </c>
      <c r="P56" s="48" t="s">
        <v>29</v>
      </c>
      <c r="Q56" s="48" t="s">
        <v>62</v>
      </c>
      <c r="R56" s="58">
        <v>38580.25</v>
      </c>
      <c r="S56" s="58">
        <v>0.0</v>
      </c>
      <c r="T56" s="48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</row>
    <row r="57" ht="15.75" customHeight="1">
      <c r="A57" s="52"/>
      <c r="B57" s="51">
        <v>43227.0</v>
      </c>
      <c r="C57" s="48" t="s">
        <v>20</v>
      </c>
      <c r="D57" s="48" t="s">
        <v>21</v>
      </c>
      <c r="E57" s="48" t="s">
        <v>21</v>
      </c>
      <c r="F57" s="48" t="s">
        <v>41</v>
      </c>
      <c r="G57" s="61">
        <v>0.0</v>
      </c>
      <c r="H57" s="58">
        <v>50000.0</v>
      </c>
      <c r="I57" s="49"/>
      <c r="J57" s="49"/>
      <c r="K57" s="48"/>
      <c r="L57" s="48">
        <v>0.7716049382716</v>
      </c>
      <c r="M57" s="48" t="s">
        <v>37</v>
      </c>
      <c r="N57" s="48" t="s">
        <v>44</v>
      </c>
      <c r="O57" s="48" t="s">
        <v>51</v>
      </c>
      <c r="P57" s="48" t="s">
        <v>29</v>
      </c>
      <c r="Q57" s="48" t="s">
        <v>62</v>
      </c>
      <c r="R57" s="58">
        <v>0.0</v>
      </c>
      <c r="S57" s="58">
        <v>38580.25</v>
      </c>
      <c r="T57" s="48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</row>
    <row r="58" ht="15.75" customHeight="1">
      <c r="A58" s="52"/>
      <c r="B58" s="51">
        <v>43227.0</v>
      </c>
      <c r="C58" s="48" t="s">
        <v>20</v>
      </c>
      <c r="D58" s="48" t="s">
        <v>21</v>
      </c>
      <c r="E58" s="48" t="s">
        <v>21</v>
      </c>
      <c r="F58" s="48" t="s">
        <v>43</v>
      </c>
      <c r="G58" s="58">
        <v>60000.0</v>
      </c>
      <c r="H58" s="59">
        <v>0.0</v>
      </c>
      <c r="I58" s="49"/>
      <c r="J58" s="49"/>
      <c r="K58" s="48"/>
      <c r="L58" s="48">
        <v>0.7710100231303</v>
      </c>
      <c r="M58" s="48" t="s">
        <v>37</v>
      </c>
      <c r="N58" s="48" t="s">
        <v>42</v>
      </c>
      <c r="O58" s="48" t="s">
        <v>51</v>
      </c>
      <c r="P58" s="48" t="s">
        <v>29</v>
      </c>
      <c r="Q58" s="48" t="s">
        <v>53</v>
      </c>
      <c r="R58" s="58">
        <v>46260.6</v>
      </c>
      <c r="S58" s="58">
        <v>0.0</v>
      </c>
      <c r="T58" s="48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</row>
    <row r="59" ht="15.75" customHeight="1">
      <c r="A59" s="52"/>
      <c r="B59" s="51">
        <v>43227.0</v>
      </c>
      <c r="C59" s="48" t="s">
        <v>20</v>
      </c>
      <c r="D59" s="48" t="s">
        <v>21</v>
      </c>
      <c r="E59" s="48" t="s">
        <v>21</v>
      </c>
      <c r="F59" s="48" t="s">
        <v>65</v>
      </c>
      <c r="G59" s="61">
        <v>0.0</v>
      </c>
      <c r="H59" s="58">
        <v>60000.0</v>
      </c>
      <c r="I59" s="49"/>
      <c r="J59" s="49"/>
      <c r="K59" s="48"/>
      <c r="L59" s="48">
        <v>0.7710100231303</v>
      </c>
      <c r="M59" s="48" t="s">
        <v>37</v>
      </c>
      <c r="N59" s="48" t="s">
        <v>44</v>
      </c>
      <c r="O59" s="48" t="s">
        <v>51</v>
      </c>
      <c r="P59" s="48" t="s">
        <v>29</v>
      </c>
      <c r="Q59" s="48" t="s">
        <v>53</v>
      </c>
      <c r="R59" s="58">
        <v>0.0</v>
      </c>
      <c r="S59" s="58">
        <v>46260.6</v>
      </c>
      <c r="T59" s="48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</row>
    <row r="60" ht="15.75" customHeight="1">
      <c r="A60" s="52"/>
      <c r="B60" s="51">
        <v>43227.0</v>
      </c>
      <c r="C60" s="48" t="s">
        <v>20</v>
      </c>
      <c r="D60" s="48" t="s">
        <v>21</v>
      </c>
      <c r="E60" s="48" t="s">
        <v>21</v>
      </c>
      <c r="F60" s="48" t="s">
        <v>65</v>
      </c>
      <c r="G60" s="58">
        <v>60000.0</v>
      </c>
      <c r="H60" s="59">
        <v>0.0</v>
      </c>
      <c r="I60" s="49"/>
      <c r="J60" s="49"/>
      <c r="K60" s="48"/>
      <c r="L60" s="48">
        <v>0.7716049382716</v>
      </c>
      <c r="M60" s="48" t="s">
        <v>37</v>
      </c>
      <c r="N60" s="48" t="s">
        <v>42</v>
      </c>
      <c r="O60" s="48" t="s">
        <v>51</v>
      </c>
      <c r="P60" s="48" t="s">
        <v>29</v>
      </c>
      <c r="Q60" s="48" t="s">
        <v>54</v>
      </c>
      <c r="R60" s="58">
        <v>46296.3</v>
      </c>
      <c r="S60" s="58">
        <v>0.0</v>
      </c>
      <c r="T60" s="48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</row>
    <row r="61" ht="15.75" customHeight="1">
      <c r="A61" s="52"/>
      <c r="B61" s="51">
        <v>43227.0</v>
      </c>
      <c r="C61" s="48" t="s">
        <v>20</v>
      </c>
      <c r="D61" s="48" t="s">
        <v>21</v>
      </c>
      <c r="E61" s="48" t="s">
        <v>21</v>
      </c>
      <c r="F61" s="48" t="s">
        <v>43</v>
      </c>
      <c r="G61" s="61">
        <v>0.0</v>
      </c>
      <c r="H61" s="58">
        <v>60000.0</v>
      </c>
      <c r="I61" s="49"/>
      <c r="J61" s="49"/>
      <c r="K61" s="48"/>
      <c r="L61" s="48">
        <v>0.7716049382716</v>
      </c>
      <c r="M61" s="48" t="s">
        <v>37</v>
      </c>
      <c r="N61" s="48" t="s">
        <v>44</v>
      </c>
      <c r="O61" s="48" t="s">
        <v>51</v>
      </c>
      <c r="P61" s="48" t="s">
        <v>29</v>
      </c>
      <c r="Q61" s="48" t="s">
        <v>54</v>
      </c>
      <c r="R61" s="58">
        <v>0.0</v>
      </c>
      <c r="S61" s="58">
        <v>46296.3</v>
      </c>
      <c r="T61" s="48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</row>
    <row r="62" ht="15.75" customHeight="1">
      <c r="A62" s="52"/>
      <c r="B62" s="51">
        <v>43227.0</v>
      </c>
      <c r="C62" s="48" t="s">
        <v>20</v>
      </c>
      <c r="D62" s="48" t="s">
        <v>19</v>
      </c>
      <c r="E62" s="48" t="s">
        <v>21</v>
      </c>
      <c r="F62" s="48" t="s">
        <v>66</v>
      </c>
      <c r="G62" s="58">
        <v>60000.0</v>
      </c>
      <c r="H62" s="59">
        <v>0.0</v>
      </c>
      <c r="I62" s="49"/>
      <c r="J62" s="49"/>
      <c r="K62" s="48"/>
      <c r="L62" s="55">
        <v>2.2</v>
      </c>
      <c r="M62" s="48" t="s">
        <v>37</v>
      </c>
      <c r="N62" s="48" t="s">
        <v>42</v>
      </c>
      <c r="O62" s="48" t="s">
        <v>51</v>
      </c>
      <c r="P62" s="48" t="s">
        <v>29</v>
      </c>
      <c r="Q62" s="48" t="s">
        <v>58</v>
      </c>
      <c r="R62" s="64">
        <v>132000.0</v>
      </c>
      <c r="S62" s="58">
        <v>0.0</v>
      </c>
      <c r="T62" s="48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</row>
    <row r="63" ht="15.75" customHeight="1">
      <c r="A63" s="52"/>
      <c r="B63" s="51">
        <v>43227.0</v>
      </c>
      <c r="C63" s="48" t="s">
        <v>20</v>
      </c>
      <c r="D63" s="48" t="s">
        <v>19</v>
      </c>
      <c r="E63" s="48" t="s">
        <v>21</v>
      </c>
      <c r="F63" s="48" t="s">
        <v>41</v>
      </c>
      <c r="G63" s="61">
        <v>0.0</v>
      </c>
      <c r="H63" s="58">
        <v>60000.0</v>
      </c>
      <c r="I63" s="49"/>
      <c r="J63" s="49"/>
      <c r="K63" s="48"/>
      <c r="L63" s="55">
        <v>2.2</v>
      </c>
      <c r="M63" s="48" t="s">
        <v>37</v>
      </c>
      <c r="N63" s="48" t="s">
        <v>44</v>
      </c>
      <c r="O63" s="48" t="s">
        <v>51</v>
      </c>
      <c r="P63" s="48" t="s">
        <v>29</v>
      </c>
      <c r="Q63" s="48" t="s">
        <v>58</v>
      </c>
      <c r="R63" s="58">
        <v>0.0</v>
      </c>
      <c r="S63" s="64">
        <v>132000.0</v>
      </c>
      <c r="T63" s="48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</row>
    <row r="64" ht="15.75" customHeight="1">
      <c r="A64" s="52"/>
      <c r="B64" s="51">
        <v>43227.0</v>
      </c>
      <c r="C64" s="48" t="s">
        <v>20</v>
      </c>
      <c r="D64" s="48" t="s">
        <v>19</v>
      </c>
      <c r="E64" s="48" t="s">
        <v>21</v>
      </c>
      <c r="F64" s="48" t="s">
        <v>41</v>
      </c>
      <c r="G64" s="58">
        <v>60000.0</v>
      </c>
      <c r="H64" s="59">
        <v>0.0</v>
      </c>
      <c r="I64" s="49"/>
      <c r="J64" s="49"/>
      <c r="K64" s="48"/>
      <c r="L64" s="48">
        <v>0.7710100231303</v>
      </c>
      <c r="M64" s="48" t="s">
        <v>37</v>
      </c>
      <c r="N64" s="48" t="s">
        <v>42</v>
      </c>
      <c r="O64" s="48" t="s">
        <v>51</v>
      </c>
      <c r="P64" s="48" t="s">
        <v>29</v>
      </c>
      <c r="Q64" s="48" t="s">
        <v>59</v>
      </c>
      <c r="R64" s="58">
        <v>46260.6</v>
      </c>
      <c r="S64" s="58">
        <v>0.0</v>
      </c>
      <c r="T64" s="48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</row>
    <row r="65" ht="15.75" customHeight="1">
      <c r="A65" s="52"/>
      <c r="B65" s="51">
        <v>43227.0</v>
      </c>
      <c r="C65" s="48" t="s">
        <v>20</v>
      </c>
      <c r="D65" s="48" t="s">
        <v>19</v>
      </c>
      <c r="E65" s="48" t="s">
        <v>21</v>
      </c>
      <c r="F65" s="48" t="s">
        <v>66</v>
      </c>
      <c r="G65" s="61">
        <v>0.0</v>
      </c>
      <c r="H65" s="58">
        <v>60000.0</v>
      </c>
      <c r="I65" s="49"/>
      <c r="J65" s="49"/>
      <c r="K65" s="48"/>
      <c r="L65" s="48">
        <v>0.7710100231303</v>
      </c>
      <c r="M65" s="48" t="s">
        <v>37</v>
      </c>
      <c r="N65" s="48" t="s">
        <v>44</v>
      </c>
      <c r="O65" s="48" t="s">
        <v>51</v>
      </c>
      <c r="P65" s="48" t="s">
        <v>29</v>
      </c>
      <c r="Q65" s="48" t="s">
        <v>59</v>
      </c>
      <c r="R65" s="58">
        <v>0.0</v>
      </c>
      <c r="S65" s="58">
        <v>46260.6</v>
      </c>
      <c r="T65" s="48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</row>
    <row r="66" ht="15.75" customHeight="1">
      <c r="A66" s="52"/>
      <c r="B66" s="51">
        <v>43227.0</v>
      </c>
      <c r="C66" s="48" t="s">
        <v>20</v>
      </c>
      <c r="D66" s="48" t="s">
        <v>19</v>
      </c>
      <c r="E66" s="48" t="s">
        <v>21</v>
      </c>
      <c r="F66" s="48" t="s">
        <v>43</v>
      </c>
      <c r="G66" s="58">
        <v>60000.0</v>
      </c>
      <c r="H66" s="59">
        <v>0.0</v>
      </c>
      <c r="I66" s="49"/>
      <c r="J66" s="49"/>
      <c r="K66" s="48"/>
      <c r="L66" s="55">
        <v>2.2</v>
      </c>
      <c r="M66" s="48" t="s">
        <v>37</v>
      </c>
      <c r="N66" s="48" t="s">
        <v>42</v>
      </c>
      <c r="O66" s="48" t="s">
        <v>51</v>
      </c>
      <c r="P66" s="48" t="s">
        <v>29</v>
      </c>
      <c r="Q66" s="48" t="s">
        <v>55</v>
      </c>
      <c r="R66" s="64">
        <v>132000.0</v>
      </c>
      <c r="S66" s="58">
        <v>0.0</v>
      </c>
      <c r="T66" s="48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</row>
    <row r="67" ht="15.75" customHeight="1">
      <c r="A67" s="52"/>
      <c r="B67" s="51">
        <v>43227.0</v>
      </c>
      <c r="C67" s="48" t="s">
        <v>20</v>
      </c>
      <c r="D67" s="48" t="s">
        <v>19</v>
      </c>
      <c r="E67" s="48" t="s">
        <v>21</v>
      </c>
      <c r="F67" s="48" t="s">
        <v>65</v>
      </c>
      <c r="G67" s="61">
        <v>0.0</v>
      </c>
      <c r="H67" s="58">
        <v>60000.0</v>
      </c>
      <c r="I67" s="49"/>
      <c r="J67" s="49"/>
      <c r="K67" s="48"/>
      <c r="L67" s="55">
        <v>2.2</v>
      </c>
      <c r="M67" s="48" t="s">
        <v>37</v>
      </c>
      <c r="N67" s="48" t="s">
        <v>44</v>
      </c>
      <c r="O67" s="48" t="s">
        <v>51</v>
      </c>
      <c r="P67" s="48" t="s">
        <v>29</v>
      </c>
      <c r="Q67" s="48" t="s">
        <v>55</v>
      </c>
      <c r="R67" s="58">
        <v>0.0</v>
      </c>
      <c r="S67" s="64">
        <v>132000.0</v>
      </c>
      <c r="T67" s="48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</row>
    <row r="68" ht="15.75" customHeight="1">
      <c r="A68" s="52"/>
      <c r="B68" s="51">
        <v>43227.0</v>
      </c>
      <c r="C68" s="48" t="s">
        <v>20</v>
      </c>
      <c r="D68" s="48" t="s">
        <v>19</v>
      </c>
      <c r="E68" s="48" t="s">
        <v>21</v>
      </c>
      <c r="F68" s="48" t="s">
        <v>65</v>
      </c>
      <c r="G68" s="58">
        <v>60000.0</v>
      </c>
      <c r="H68" s="59">
        <v>0.0</v>
      </c>
      <c r="I68" s="49"/>
      <c r="J68" s="49"/>
      <c r="K68" s="48"/>
      <c r="L68" s="48">
        <v>0.7710100231303</v>
      </c>
      <c r="M68" s="48" t="s">
        <v>37</v>
      </c>
      <c r="N68" s="48" t="s">
        <v>42</v>
      </c>
      <c r="O68" s="48" t="s">
        <v>51</v>
      </c>
      <c r="P68" s="48" t="s">
        <v>29</v>
      </c>
      <c r="Q68" s="48" t="s">
        <v>60</v>
      </c>
      <c r="R68" s="58">
        <v>46260.6</v>
      </c>
      <c r="S68" s="58">
        <v>0.0</v>
      </c>
      <c r="T68" s="48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</row>
    <row r="69" ht="15.75" customHeight="1">
      <c r="A69" s="52"/>
      <c r="B69" s="51">
        <v>43227.0</v>
      </c>
      <c r="C69" s="48" t="s">
        <v>20</v>
      </c>
      <c r="D69" s="48" t="s">
        <v>19</v>
      </c>
      <c r="E69" s="48" t="s">
        <v>21</v>
      </c>
      <c r="F69" s="48" t="s">
        <v>43</v>
      </c>
      <c r="G69" s="61">
        <v>0.0</v>
      </c>
      <c r="H69" s="58">
        <v>60000.0</v>
      </c>
      <c r="I69" s="49"/>
      <c r="J69" s="49"/>
      <c r="K69" s="48"/>
      <c r="L69" s="48">
        <v>0.7710100231303</v>
      </c>
      <c r="M69" s="48" t="s">
        <v>37</v>
      </c>
      <c r="N69" s="48" t="s">
        <v>44</v>
      </c>
      <c r="O69" s="48" t="s">
        <v>51</v>
      </c>
      <c r="P69" s="48" t="s">
        <v>29</v>
      </c>
      <c r="Q69" s="48" t="s">
        <v>60</v>
      </c>
      <c r="R69" s="58">
        <v>0.0</v>
      </c>
      <c r="S69" s="58">
        <v>46260.6</v>
      </c>
      <c r="T69" s="48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</row>
    <row r="70" ht="15.75" customHeight="1">
      <c r="A70" s="52"/>
      <c r="B70" s="51">
        <v>43228.0</v>
      </c>
      <c r="C70" s="48" t="s">
        <v>20</v>
      </c>
      <c r="D70" s="48" t="s">
        <v>21</v>
      </c>
      <c r="E70" s="48" t="s">
        <v>21</v>
      </c>
      <c r="F70" s="48" t="s">
        <v>41</v>
      </c>
      <c r="G70" s="58">
        <v>110000.0</v>
      </c>
      <c r="H70" s="59">
        <v>0.0</v>
      </c>
      <c r="I70" s="49"/>
      <c r="J70" s="49"/>
      <c r="K70" s="48"/>
      <c r="L70" s="48">
        <v>0.7704160246533</v>
      </c>
      <c r="M70" s="48" t="s">
        <v>37</v>
      </c>
      <c r="N70" s="48" t="s">
        <v>42</v>
      </c>
      <c r="O70" s="48" t="s">
        <v>51</v>
      </c>
      <c r="P70" s="48" t="s">
        <v>29</v>
      </c>
      <c r="Q70" s="48" t="s">
        <v>61</v>
      </c>
      <c r="R70" s="58">
        <v>84745.76</v>
      </c>
      <c r="S70" s="58">
        <v>0.0</v>
      </c>
      <c r="T70" s="48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</row>
    <row r="71" ht="15.75" customHeight="1">
      <c r="A71" s="52"/>
      <c r="B71" s="51">
        <v>43228.0</v>
      </c>
      <c r="C71" s="48" t="s">
        <v>20</v>
      </c>
      <c r="D71" s="48" t="s">
        <v>21</v>
      </c>
      <c r="E71" s="48" t="s">
        <v>21</v>
      </c>
      <c r="F71" s="48" t="s">
        <v>66</v>
      </c>
      <c r="G71" s="61">
        <v>0.0</v>
      </c>
      <c r="H71" s="58">
        <v>110000.0</v>
      </c>
      <c r="I71" s="49"/>
      <c r="J71" s="49"/>
      <c r="K71" s="48"/>
      <c r="L71" s="48">
        <v>0.7704160246533</v>
      </c>
      <c r="M71" s="48" t="s">
        <v>37</v>
      </c>
      <c r="N71" s="48" t="s">
        <v>44</v>
      </c>
      <c r="O71" s="48" t="s">
        <v>51</v>
      </c>
      <c r="P71" s="48" t="s">
        <v>29</v>
      </c>
      <c r="Q71" s="48" t="s">
        <v>61</v>
      </c>
      <c r="R71" s="58">
        <v>0.0</v>
      </c>
      <c r="S71" s="58">
        <v>84745.76</v>
      </c>
      <c r="T71" s="48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</row>
    <row r="72" ht="15.75" customHeight="1">
      <c r="A72" s="52"/>
      <c r="B72" s="51">
        <v>43228.0</v>
      </c>
      <c r="C72" s="48" t="s">
        <v>20</v>
      </c>
      <c r="D72" s="48" t="s">
        <v>21</v>
      </c>
      <c r="E72" s="48" t="s">
        <v>21</v>
      </c>
      <c r="F72" s="48" t="s">
        <v>66</v>
      </c>
      <c r="G72" s="58">
        <v>110000.0</v>
      </c>
      <c r="H72" s="59">
        <v>0.0</v>
      </c>
      <c r="I72" s="49"/>
      <c r="J72" s="49"/>
      <c r="K72" s="48"/>
      <c r="L72" s="48">
        <v>0.7710100231303</v>
      </c>
      <c r="M72" s="48" t="s">
        <v>37</v>
      </c>
      <c r="N72" s="48" t="s">
        <v>42</v>
      </c>
      <c r="O72" s="48" t="s">
        <v>51</v>
      </c>
      <c r="P72" s="48" t="s">
        <v>29</v>
      </c>
      <c r="Q72" s="48" t="s">
        <v>62</v>
      </c>
      <c r="R72" s="58">
        <v>84811.1</v>
      </c>
      <c r="S72" s="58">
        <v>0.0</v>
      </c>
      <c r="T72" s="48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</row>
    <row r="73" ht="15.75" customHeight="1">
      <c r="A73" s="52"/>
      <c r="B73" s="51">
        <v>43228.0</v>
      </c>
      <c r="C73" s="48" t="s">
        <v>20</v>
      </c>
      <c r="D73" s="48" t="s">
        <v>21</v>
      </c>
      <c r="E73" s="48" t="s">
        <v>21</v>
      </c>
      <c r="F73" s="48" t="s">
        <v>41</v>
      </c>
      <c r="G73" s="61">
        <v>0.0</v>
      </c>
      <c r="H73" s="58">
        <v>110000.0</v>
      </c>
      <c r="I73" s="49"/>
      <c r="J73" s="49"/>
      <c r="K73" s="48"/>
      <c r="L73" s="48">
        <v>0.7710100231303</v>
      </c>
      <c r="M73" s="48" t="s">
        <v>37</v>
      </c>
      <c r="N73" s="48" t="s">
        <v>44</v>
      </c>
      <c r="O73" s="48" t="s">
        <v>51</v>
      </c>
      <c r="P73" s="48" t="s">
        <v>29</v>
      </c>
      <c r="Q73" s="48" t="s">
        <v>62</v>
      </c>
      <c r="R73" s="58">
        <v>0.0</v>
      </c>
      <c r="S73" s="58">
        <v>84811.1</v>
      </c>
      <c r="T73" s="48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</row>
    <row r="74" ht="15.75" customHeight="1">
      <c r="A74" s="52"/>
      <c r="B74" s="90">
        <v>43222.0</v>
      </c>
      <c r="C74" s="80" t="s">
        <v>23</v>
      </c>
      <c r="D74" s="81"/>
      <c r="E74" s="80" t="s">
        <v>21</v>
      </c>
      <c r="F74" s="80" t="s">
        <v>65</v>
      </c>
      <c r="G74" s="82">
        <v>20000.0</v>
      </c>
      <c r="H74" s="83">
        <v>0.0</v>
      </c>
      <c r="I74" s="49"/>
      <c r="J74" s="49"/>
      <c r="K74" s="48"/>
      <c r="L74" s="82">
        <v>3.6</v>
      </c>
      <c r="M74" s="48" t="s">
        <v>37</v>
      </c>
      <c r="N74" s="48" t="s">
        <v>42</v>
      </c>
      <c r="O74" s="48" t="s">
        <v>51</v>
      </c>
      <c r="P74" s="48" t="s">
        <v>29</v>
      </c>
      <c r="Q74" s="80" t="s">
        <v>55</v>
      </c>
      <c r="R74" s="82">
        <v>72000.0</v>
      </c>
      <c r="S74" s="82">
        <v>0.0</v>
      </c>
      <c r="T74" s="48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</row>
    <row r="75" ht="15.75" customHeight="1">
      <c r="A75" s="52"/>
      <c r="B75" s="90">
        <v>43222.0</v>
      </c>
      <c r="C75" s="80" t="s">
        <v>23</v>
      </c>
      <c r="D75" s="81"/>
      <c r="E75" s="80" t="s">
        <v>21</v>
      </c>
      <c r="F75" s="84" t="s">
        <v>46</v>
      </c>
      <c r="G75" s="85">
        <v>0.0</v>
      </c>
      <c r="H75" s="86">
        <v>20000.0</v>
      </c>
      <c r="I75" s="49"/>
      <c r="J75" s="49"/>
      <c r="K75" s="48"/>
      <c r="L75" s="86">
        <v>3.6</v>
      </c>
      <c r="M75" s="48" t="s">
        <v>37</v>
      </c>
      <c r="N75" s="48" t="s">
        <v>44</v>
      </c>
      <c r="O75" s="48" t="s">
        <v>51</v>
      </c>
      <c r="P75" s="48" t="s">
        <v>29</v>
      </c>
      <c r="Q75" s="80" t="s">
        <v>55</v>
      </c>
      <c r="R75" s="86">
        <v>0.0</v>
      </c>
      <c r="S75" s="86">
        <v>72000.0</v>
      </c>
      <c r="T75" s="48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</row>
    <row r="76" ht="15.75" customHeight="1">
      <c r="A76" s="52"/>
      <c r="B76" s="90">
        <v>43222.0</v>
      </c>
      <c r="C76" s="80" t="s">
        <v>23</v>
      </c>
      <c r="D76" s="81"/>
      <c r="E76" s="80" t="s">
        <v>21</v>
      </c>
      <c r="F76" s="80" t="s">
        <v>47</v>
      </c>
      <c r="G76" s="82">
        <v>20000.0</v>
      </c>
      <c r="H76" s="83">
        <v>0.0</v>
      </c>
      <c r="I76" s="49"/>
      <c r="J76" s="49"/>
      <c r="K76" s="48"/>
      <c r="L76" s="82">
        <v>3.6</v>
      </c>
      <c r="M76" s="48" t="s">
        <v>37</v>
      </c>
      <c r="N76" s="48" t="s">
        <v>42</v>
      </c>
      <c r="O76" s="48" t="s">
        <v>51</v>
      </c>
      <c r="P76" s="48" t="s">
        <v>29</v>
      </c>
      <c r="Q76" s="80" t="s">
        <v>55</v>
      </c>
      <c r="R76" s="82">
        <v>72000.0</v>
      </c>
      <c r="S76" s="82">
        <v>0.0</v>
      </c>
      <c r="T76" s="48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</row>
    <row r="77" ht="15.75" customHeight="1">
      <c r="A77" s="52"/>
      <c r="B77" s="90">
        <v>43222.0</v>
      </c>
      <c r="C77" s="80" t="s">
        <v>23</v>
      </c>
      <c r="D77" s="81"/>
      <c r="E77" s="80" t="s">
        <v>21</v>
      </c>
      <c r="F77" s="84" t="s">
        <v>65</v>
      </c>
      <c r="G77" s="85">
        <v>0.0</v>
      </c>
      <c r="H77" s="86">
        <v>20000.0</v>
      </c>
      <c r="I77" s="49"/>
      <c r="J77" s="49"/>
      <c r="K77" s="48"/>
      <c r="L77" s="86">
        <v>3.6</v>
      </c>
      <c r="M77" s="48" t="s">
        <v>37</v>
      </c>
      <c r="N77" s="48" t="s">
        <v>44</v>
      </c>
      <c r="O77" s="48" t="s">
        <v>51</v>
      </c>
      <c r="P77" s="48" t="s">
        <v>29</v>
      </c>
      <c r="Q77" s="80" t="s">
        <v>55</v>
      </c>
      <c r="R77" s="86">
        <v>0.0</v>
      </c>
      <c r="S77" s="86">
        <v>72000.0</v>
      </c>
      <c r="T77" s="48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</row>
    <row r="78" ht="15.75" customHeight="1">
      <c r="A78" s="52"/>
      <c r="B78" s="90">
        <v>43222.0</v>
      </c>
      <c r="C78" s="80" t="s">
        <v>23</v>
      </c>
      <c r="D78" s="81"/>
      <c r="E78" s="80" t="s">
        <v>21</v>
      </c>
      <c r="F78" s="80" t="s">
        <v>46</v>
      </c>
      <c r="G78" s="82">
        <v>20000.0</v>
      </c>
      <c r="H78" s="83">
        <v>0.0</v>
      </c>
      <c r="I78" s="49"/>
      <c r="J78" s="49"/>
      <c r="K78" s="48"/>
      <c r="L78" s="87">
        <v>0.7739938080495</v>
      </c>
      <c r="M78" s="48" t="s">
        <v>37</v>
      </c>
      <c r="N78" s="48" t="s">
        <v>42</v>
      </c>
      <c r="O78" s="48" t="s">
        <v>51</v>
      </c>
      <c r="P78" s="48" t="s">
        <v>29</v>
      </c>
      <c r="Q78" s="80" t="s">
        <v>56</v>
      </c>
      <c r="R78" s="87">
        <v>15479.88</v>
      </c>
      <c r="S78" s="82">
        <v>0.0</v>
      </c>
      <c r="T78" s="48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</row>
    <row r="79" ht="15.75" customHeight="1">
      <c r="A79" s="52"/>
      <c r="B79" s="90">
        <v>43222.0</v>
      </c>
      <c r="C79" s="80" t="s">
        <v>23</v>
      </c>
      <c r="D79" s="81"/>
      <c r="E79" s="80" t="s">
        <v>21</v>
      </c>
      <c r="F79" s="84" t="s">
        <v>65</v>
      </c>
      <c r="G79" s="85">
        <v>0.0</v>
      </c>
      <c r="H79" s="86">
        <v>20000.0</v>
      </c>
      <c r="I79" s="49"/>
      <c r="J79" s="49"/>
      <c r="K79" s="48"/>
      <c r="L79" s="91">
        <v>0.7739938080495</v>
      </c>
      <c r="M79" s="48" t="s">
        <v>37</v>
      </c>
      <c r="N79" s="48" t="s">
        <v>44</v>
      </c>
      <c r="O79" s="48" t="s">
        <v>51</v>
      </c>
      <c r="P79" s="48" t="s">
        <v>29</v>
      </c>
      <c r="Q79" s="80" t="s">
        <v>56</v>
      </c>
      <c r="R79" s="86">
        <v>0.0</v>
      </c>
      <c r="S79" s="87">
        <v>15479.88</v>
      </c>
      <c r="T79" s="48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</row>
    <row r="80" ht="15.75" customHeight="1">
      <c r="A80" s="52"/>
      <c r="B80" s="90">
        <v>43222.0</v>
      </c>
      <c r="C80" s="80" t="s">
        <v>23</v>
      </c>
      <c r="D80" s="81"/>
      <c r="E80" s="80" t="s">
        <v>21</v>
      </c>
      <c r="F80" s="80" t="s">
        <v>65</v>
      </c>
      <c r="G80" s="82">
        <v>20000.0</v>
      </c>
      <c r="H80" s="83">
        <v>0.0</v>
      </c>
      <c r="I80" s="49"/>
      <c r="J80" s="49"/>
      <c r="K80" s="48"/>
      <c r="L80" s="91">
        <v>0.7739938080495</v>
      </c>
      <c r="M80" s="48" t="s">
        <v>37</v>
      </c>
      <c r="N80" s="48" t="s">
        <v>42</v>
      </c>
      <c r="O80" s="48" t="s">
        <v>51</v>
      </c>
      <c r="P80" s="48" t="s">
        <v>29</v>
      </c>
      <c r="Q80" s="80" t="s">
        <v>60</v>
      </c>
      <c r="R80" s="87">
        <v>15479.88</v>
      </c>
      <c r="S80" s="82">
        <v>0.0</v>
      </c>
      <c r="T80" s="48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</row>
    <row r="81" ht="15.75" customHeight="1">
      <c r="A81" s="52"/>
      <c r="B81" s="90">
        <v>43222.0</v>
      </c>
      <c r="C81" s="80" t="s">
        <v>23</v>
      </c>
      <c r="D81" s="81"/>
      <c r="E81" s="80" t="s">
        <v>21</v>
      </c>
      <c r="F81" s="84" t="s">
        <v>47</v>
      </c>
      <c r="G81" s="85">
        <v>0.0</v>
      </c>
      <c r="H81" s="86">
        <v>20000.0</v>
      </c>
      <c r="I81" s="49"/>
      <c r="J81" s="49"/>
      <c r="K81" s="48"/>
      <c r="L81" s="91">
        <v>0.7739938080495</v>
      </c>
      <c r="M81" s="48" t="s">
        <v>37</v>
      </c>
      <c r="N81" s="48" t="s">
        <v>44</v>
      </c>
      <c r="O81" s="48" t="s">
        <v>51</v>
      </c>
      <c r="P81" s="48" t="s">
        <v>29</v>
      </c>
      <c r="Q81" s="80" t="s">
        <v>60</v>
      </c>
      <c r="R81" s="86">
        <v>0.0</v>
      </c>
      <c r="S81" s="87">
        <v>15479.88</v>
      </c>
      <c r="T81" s="48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</row>
    <row r="82" ht="15.75" customHeight="1">
      <c r="B82" s="79">
        <v>43223.0</v>
      </c>
      <c r="C82" s="80" t="s">
        <v>23</v>
      </c>
      <c r="D82" s="80" t="s">
        <v>21</v>
      </c>
      <c r="E82" s="80" t="s">
        <v>21</v>
      </c>
      <c r="F82" s="80" t="s">
        <v>46</v>
      </c>
      <c r="G82" s="82">
        <v>20000.0</v>
      </c>
      <c r="H82" s="83">
        <v>0.0</v>
      </c>
      <c r="L82" s="82">
        <v>0.7733952049497</v>
      </c>
      <c r="M82" s="48" t="s">
        <v>37</v>
      </c>
      <c r="N82" s="48" t="s">
        <v>42</v>
      </c>
      <c r="O82" s="48" t="s">
        <v>51</v>
      </c>
      <c r="P82" s="48" t="s">
        <v>29</v>
      </c>
      <c r="Q82" s="80" t="s">
        <v>53</v>
      </c>
      <c r="R82" s="87">
        <v>15467.9</v>
      </c>
      <c r="S82" s="82">
        <v>0.0</v>
      </c>
    </row>
    <row r="83" ht="15.75" customHeight="1">
      <c r="B83" s="79">
        <v>43223.0</v>
      </c>
      <c r="C83" s="80" t="s">
        <v>23</v>
      </c>
      <c r="D83" s="80" t="s">
        <v>21</v>
      </c>
      <c r="E83" s="80" t="s">
        <v>21</v>
      </c>
      <c r="F83" s="84" t="s">
        <v>65</v>
      </c>
      <c r="G83" s="85">
        <v>0.0</v>
      </c>
      <c r="H83" s="86">
        <v>20000.0</v>
      </c>
      <c r="L83" s="86">
        <v>0.7733952049497</v>
      </c>
      <c r="M83" s="48" t="s">
        <v>37</v>
      </c>
      <c r="N83" s="48" t="s">
        <v>44</v>
      </c>
      <c r="O83" s="48" t="s">
        <v>51</v>
      </c>
      <c r="P83" s="48" t="s">
        <v>29</v>
      </c>
      <c r="Q83" s="80" t="s">
        <v>53</v>
      </c>
      <c r="R83" s="86">
        <v>0.0</v>
      </c>
      <c r="S83" s="87">
        <v>15467.9</v>
      </c>
    </row>
    <row r="84" ht="15.75" customHeight="1">
      <c r="B84" s="79">
        <v>43223.0</v>
      </c>
      <c r="C84" s="80" t="s">
        <v>23</v>
      </c>
      <c r="D84" s="80" t="s">
        <v>21</v>
      </c>
      <c r="E84" s="80" t="s">
        <v>21</v>
      </c>
      <c r="F84" s="80" t="s">
        <v>65</v>
      </c>
      <c r="G84" s="82">
        <v>20000.0</v>
      </c>
      <c r="H84" s="83">
        <v>0.0</v>
      </c>
      <c r="L84" s="82">
        <v>0.7733952049497</v>
      </c>
      <c r="M84" s="48" t="s">
        <v>37</v>
      </c>
      <c r="N84" s="48" t="s">
        <v>42</v>
      </c>
      <c r="O84" s="48" t="s">
        <v>51</v>
      </c>
      <c r="P84" s="48" t="s">
        <v>29</v>
      </c>
      <c r="Q84" s="80" t="s">
        <v>53</v>
      </c>
      <c r="R84" s="87">
        <v>15467.9</v>
      </c>
      <c r="S84" s="82">
        <v>0.0</v>
      </c>
    </row>
    <row r="85" ht="15.75" customHeight="1">
      <c r="B85" s="79">
        <v>43223.0</v>
      </c>
      <c r="C85" s="80" t="s">
        <v>23</v>
      </c>
      <c r="D85" s="80" t="s">
        <v>21</v>
      </c>
      <c r="E85" s="80" t="s">
        <v>21</v>
      </c>
      <c r="F85" s="84" t="s">
        <v>47</v>
      </c>
      <c r="G85" s="85">
        <v>0.0</v>
      </c>
      <c r="H85" s="86">
        <v>20000.0</v>
      </c>
      <c r="L85" s="88">
        <v>0.7733952049497</v>
      </c>
      <c r="M85" s="48" t="s">
        <v>37</v>
      </c>
      <c r="N85" s="48" t="s">
        <v>44</v>
      </c>
      <c r="O85" s="48" t="s">
        <v>51</v>
      </c>
      <c r="P85" s="48" t="s">
        <v>29</v>
      </c>
      <c r="Q85" s="80" t="s">
        <v>53</v>
      </c>
      <c r="R85" s="86">
        <v>0.0</v>
      </c>
      <c r="S85" s="87">
        <v>15467.9</v>
      </c>
    </row>
    <row r="86" ht="15.75" customHeight="1">
      <c r="B86" s="79">
        <v>43223.0</v>
      </c>
      <c r="C86" s="80" t="s">
        <v>23</v>
      </c>
      <c r="D86" s="80" t="s">
        <v>21</v>
      </c>
      <c r="E86" s="80" t="s">
        <v>21</v>
      </c>
      <c r="F86" s="80" t="s">
        <v>65</v>
      </c>
      <c r="G86" s="82">
        <v>20000.0</v>
      </c>
      <c r="H86" s="83">
        <v>0.0</v>
      </c>
      <c r="L86" s="91">
        <v>0.7739938080495</v>
      </c>
      <c r="M86" s="48" t="s">
        <v>37</v>
      </c>
      <c r="N86" s="48" t="s">
        <v>42</v>
      </c>
      <c r="O86" s="48" t="s">
        <v>51</v>
      </c>
      <c r="P86" s="48" t="s">
        <v>29</v>
      </c>
      <c r="Q86" s="80" t="s">
        <v>54</v>
      </c>
      <c r="R86" s="87">
        <v>15479.88</v>
      </c>
      <c r="S86" s="82">
        <v>0.0</v>
      </c>
    </row>
    <row r="87" ht="15.75" customHeight="1">
      <c r="B87" s="79">
        <v>43223.0</v>
      </c>
      <c r="C87" s="80" t="s">
        <v>23</v>
      </c>
      <c r="D87" s="80" t="s">
        <v>21</v>
      </c>
      <c r="E87" s="80" t="s">
        <v>21</v>
      </c>
      <c r="F87" s="84" t="s">
        <v>46</v>
      </c>
      <c r="G87" s="85">
        <v>0.0</v>
      </c>
      <c r="H87" s="86">
        <v>20000.0</v>
      </c>
      <c r="L87" s="91">
        <v>0.7739938080495</v>
      </c>
      <c r="M87" s="48" t="s">
        <v>37</v>
      </c>
      <c r="N87" s="48" t="s">
        <v>44</v>
      </c>
      <c r="O87" s="48" t="s">
        <v>51</v>
      </c>
      <c r="P87" s="48" t="s">
        <v>29</v>
      </c>
      <c r="Q87" s="80" t="s">
        <v>54</v>
      </c>
      <c r="R87" s="86">
        <v>0.0</v>
      </c>
      <c r="S87" s="87">
        <v>15479.88</v>
      </c>
    </row>
    <row r="88" ht="15.75" customHeight="1">
      <c r="B88" s="79">
        <v>43223.0</v>
      </c>
      <c r="C88" s="80" t="s">
        <v>23</v>
      </c>
      <c r="D88" s="80" t="s">
        <v>21</v>
      </c>
      <c r="E88" s="80" t="s">
        <v>21</v>
      </c>
      <c r="F88" s="80" t="s">
        <v>47</v>
      </c>
      <c r="G88" s="82">
        <v>20000.0</v>
      </c>
      <c r="H88" s="83">
        <v>0.0</v>
      </c>
      <c r="L88" s="91">
        <v>0.7739938080495</v>
      </c>
      <c r="M88" s="48" t="s">
        <v>37</v>
      </c>
      <c r="N88" s="48" t="s">
        <v>42</v>
      </c>
      <c r="O88" s="48" t="s">
        <v>51</v>
      </c>
      <c r="P88" s="48" t="s">
        <v>29</v>
      </c>
      <c r="Q88" s="80" t="s">
        <v>54</v>
      </c>
      <c r="R88" s="87">
        <v>15479.88</v>
      </c>
      <c r="S88" s="82">
        <v>0.0</v>
      </c>
    </row>
    <row r="89" ht="15.75" customHeight="1">
      <c r="B89" s="79">
        <v>43223.0</v>
      </c>
      <c r="C89" s="80" t="s">
        <v>23</v>
      </c>
      <c r="D89" s="80" t="s">
        <v>21</v>
      </c>
      <c r="E89" s="80" t="s">
        <v>21</v>
      </c>
      <c r="F89" s="84" t="s">
        <v>65</v>
      </c>
      <c r="G89" s="85">
        <v>0.0</v>
      </c>
      <c r="H89" s="86">
        <v>20000.0</v>
      </c>
      <c r="L89" s="91">
        <v>0.7739938080495</v>
      </c>
      <c r="M89" s="48" t="s">
        <v>37</v>
      </c>
      <c r="N89" s="48" t="s">
        <v>44</v>
      </c>
      <c r="O89" s="48" t="s">
        <v>51</v>
      </c>
      <c r="P89" s="48" t="s">
        <v>29</v>
      </c>
      <c r="Q89" s="80" t="s">
        <v>54</v>
      </c>
      <c r="R89" s="86">
        <v>0.0</v>
      </c>
      <c r="S89" s="87">
        <v>15479.88</v>
      </c>
    </row>
    <row r="90" ht="15.75" customHeight="1">
      <c r="B90" s="79">
        <v>43223.0</v>
      </c>
      <c r="C90" s="80" t="s">
        <v>23</v>
      </c>
      <c r="D90" s="81"/>
      <c r="E90" s="80" t="s">
        <v>21</v>
      </c>
      <c r="F90" s="80" t="s">
        <v>66</v>
      </c>
      <c r="G90" s="82">
        <v>20000.0</v>
      </c>
      <c r="H90" s="83">
        <v>0.0</v>
      </c>
      <c r="L90" s="82">
        <v>3.6</v>
      </c>
      <c r="M90" s="48" t="s">
        <v>37</v>
      </c>
      <c r="N90" s="48" t="s">
        <v>42</v>
      </c>
      <c r="O90" s="48" t="s">
        <v>51</v>
      </c>
      <c r="P90" s="48" t="s">
        <v>29</v>
      </c>
      <c r="Q90" s="80" t="s">
        <v>58</v>
      </c>
      <c r="R90" s="82">
        <v>72000.0</v>
      </c>
      <c r="S90" s="82">
        <v>0.0</v>
      </c>
    </row>
    <row r="91" ht="15.75" customHeight="1">
      <c r="B91" s="79">
        <v>43223.0</v>
      </c>
      <c r="C91" s="80" t="s">
        <v>23</v>
      </c>
      <c r="D91" s="81"/>
      <c r="E91" s="80" t="s">
        <v>21</v>
      </c>
      <c r="F91" s="84" t="s">
        <v>41</v>
      </c>
      <c r="G91" s="85">
        <v>0.0</v>
      </c>
      <c r="H91" s="86">
        <v>20000.0</v>
      </c>
      <c r="L91" s="86">
        <v>3.6</v>
      </c>
      <c r="M91" s="48" t="s">
        <v>37</v>
      </c>
      <c r="N91" s="48" t="s">
        <v>44</v>
      </c>
      <c r="O91" s="48" t="s">
        <v>51</v>
      </c>
      <c r="P91" s="48" t="s">
        <v>29</v>
      </c>
      <c r="Q91" s="80" t="s">
        <v>58</v>
      </c>
      <c r="R91" s="86">
        <v>0.0</v>
      </c>
      <c r="S91" s="86">
        <v>72000.0</v>
      </c>
    </row>
    <row r="92" ht="15.75" customHeight="1">
      <c r="B92" s="79">
        <v>43223.0</v>
      </c>
      <c r="C92" s="80" t="s">
        <v>23</v>
      </c>
      <c r="D92" s="81"/>
      <c r="E92" s="80" t="s">
        <v>21</v>
      </c>
      <c r="F92" s="80" t="s">
        <v>41</v>
      </c>
      <c r="G92" s="82">
        <v>20000.0</v>
      </c>
      <c r="H92" s="83">
        <v>0.0</v>
      </c>
      <c r="L92" s="91">
        <v>0.7733952049497</v>
      </c>
      <c r="M92" s="48" t="s">
        <v>37</v>
      </c>
      <c r="N92" s="48" t="s">
        <v>42</v>
      </c>
      <c r="O92" s="48" t="s">
        <v>51</v>
      </c>
      <c r="P92" s="48" t="s">
        <v>29</v>
      </c>
      <c r="Q92" s="80" t="s">
        <v>59</v>
      </c>
      <c r="R92" s="87">
        <v>15467.9</v>
      </c>
      <c r="S92" s="82">
        <v>0.0</v>
      </c>
    </row>
    <row r="93" ht="15.75" customHeight="1">
      <c r="B93" s="79">
        <v>43223.0</v>
      </c>
      <c r="C93" s="80" t="s">
        <v>23</v>
      </c>
      <c r="D93" s="81"/>
      <c r="E93" s="80" t="s">
        <v>21</v>
      </c>
      <c r="F93" s="84" t="s">
        <v>66</v>
      </c>
      <c r="G93" s="85">
        <v>0.0</v>
      </c>
      <c r="H93" s="86">
        <v>20000.0</v>
      </c>
      <c r="L93" s="91">
        <v>0.7733952049497</v>
      </c>
      <c r="M93" s="48" t="s">
        <v>37</v>
      </c>
      <c r="N93" s="48" t="s">
        <v>44</v>
      </c>
      <c r="O93" s="48" t="s">
        <v>51</v>
      </c>
      <c r="P93" s="48" t="s">
        <v>29</v>
      </c>
      <c r="Q93" s="80" t="s">
        <v>59</v>
      </c>
      <c r="R93" s="86">
        <v>0.0</v>
      </c>
      <c r="S93" s="87">
        <v>15467.9</v>
      </c>
    </row>
    <row r="94" ht="15.75" customHeight="1">
      <c r="B94" s="79">
        <v>43223.0</v>
      </c>
      <c r="C94" s="80" t="s">
        <v>23</v>
      </c>
      <c r="D94" s="81"/>
      <c r="E94" s="80" t="s">
        <v>21</v>
      </c>
      <c r="F94" s="80" t="s">
        <v>46</v>
      </c>
      <c r="G94" s="82">
        <v>20000.0</v>
      </c>
      <c r="H94" s="83">
        <v>0.0</v>
      </c>
      <c r="L94" s="82">
        <v>3.6</v>
      </c>
      <c r="M94" s="48" t="s">
        <v>37</v>
      </c>
      <c r="N94" s="48" t="s">
        <v>42</v>
      </c>
      <c r="O94" s="48" t="s">
        <v>51</v>
      </c>
      <c r="P94" s="48" t="s">
        <v>29</v>
      </c>
      <c r="Q94" s="80" t="s">
        <v>55</v>
      </c>
      <c r="R94" s="82">
        <v>72000.0</v>
      </c>
      <c r="S94" s="82">
        <v>0.0</v>
      </c>
    </row>
    <row r="95" ht="15.75" customHeight="1">
      <c r="B95" s="79">
        <v>43223.0</v>
      </c>
      <c r="C95" s="80" t="s">
        <v>23</v>
      </c>
      <c r="D95" s="81"/>
      <c r="E95" s="80" t="s">
        <v>21</v>
      </c>
      <c r="F95" s="84" t="s">
        <v>65</v>
      </c>
      <c r="G95" s="85">
        <v>0.0</v>
      </c>
      <c r="H95" s="86">
        <v>20000.0</v>
      </c>
      <c r="L95" s="86">
        <v>3.6</v>
      </c>
      <c r="M95" s="48" t="s">
        <v>37</v>
      </c>
      <c r="N95" s="48" t="s">
        <v>44</v>
      </c>
      <c r="O95" s="48" t="s">
        <v>51</v>
      </c>
      <c r="P95" s="48" t="s">
        <v>29</v>
      </c>
      <c r="Q95" s="80" t="s">
        <v>55</v>
      </c>
      <c r="R95" s="86">
        <v>0.0</v>
      </c>
      <c r="S95" s="86">
        <v>72000.0</v>
      </c>
    </row>
    <row r="96" ht="15.75" customHeight="1">
      <c r="B96" s="79">
        <v>43223.0</v>
      </c>
      <c r="C96" s="80" t="s">
        <v>23</v>
      </c>
      <c r="D96" s="81"/>
      <c r="E96" s="80" t="s">
        <v>21</v>
      </c>
      <c r="F96" s="80" t="s">
        <v>65</v>
      </c>
      <c r="G96" s="82">
        <v>20000.0</v>
      </c>
      <c r="H96" s="83">
        <v>0.0</v>
      </c>
      <c r="L96" s="91">
        <v>0.7733952049497</v>
      </c>
      <c r="M96" s="48" t="s">
        <v>37</v>
      </c>
      <c r="N96" s="48" t="s">
        <v>42</v>
      </c>
      <c r="O96" s="48" t="s">
        <v>51</v>
      </c>
      <c r="P96" s="48" t="s">
        <v>29</v>
      </c>
      <c r="Q96" s="80" t="s">
        <v>60</v>
      </c>
      <c r="R96" s="87">
        <v>15467.9</v>
      </c>
      <c r="S96" s="82">
        <v>0.0</v>
      </c>
    </row>
    <row r="97" ht="15.75" customHeight="1">
      <c r="B97" s="79">
        <v>43223.0</v>
      </c>
      <c r="C97" s="80" t="s">
        <v>23</v>
      </c>
      <c r="D97" s="81"/>
      <c r="E97" s="80" t="s">
        <v>21</v>
      </c>
      <c r="F97" s="84" t="s">
        <v>46</v>
      </c>
      <c r="G97" s="85">
        <v>0.0</v>
      </c>
      <c r="H97" s="86">
        <v>20000.0</v>
      </c>
      <c r="L97" s="91">
        <v>0.7733952049497</v>
      </c>
      <c r="M97" s="48" t="s">
        <v>37</v>
      </c>
      <c r="N97" s="48" t="s">
        <v>44</v>
      </c>
      <c r="O97" s="48" t="s">
        <v>51</v>
      </c>
      <c r="P97" s="48" t="s">
        <v>29</v>
      </c>
      <c r="Q97" s="80" t="s">
        <v>60</v>
      </c>
      <c r="R97" s="86">
        <v>0.0</v>
      </c>
      <c r="S97" s="87">
        <v>15467.9</v>
      </c>
    </row>
    <row r="98" ht="15.75" customHeight="1">
      <c r="B98" s="79">
        <v>43224.0</v>
      </c>
      <c r="C98" s="80" t="s">
        <v>23</v>
      </c>
      <c r="D98" s="80" t="s">
        <v>21</v>
      </c>
      <c r="E98" s="80" t="s">
        <v>21</v>
      </c>
      <c r="F98" s="80" t="s">
        <v>41</v>
      </c>
      <c r="G98" s="82">
        <v>20000.0</v>
      </c>
      <c r="H98" s="83">
        <v>0.0</v>
      </c>
      <c r="L98" s="82"/>
      <c r="M98" s="48" t="s">
        <v>37</v>
      </c>
      <c r="N98" s="48" t="s">
        <v>42</v>
      </c>
      <c r="O98" s="48" t="s">
        <v>51</v>
      </c>
      <c r="P98" s="48" t="s">
        <v>29</v>
      </c>
      <c r="Q98" s="80" t="s">
        <v>61</v>
      </c>
      <c r="R98" s="87">
        <v>15455.95</v>
      </c>
      <c r="S98" s="82">
        <v>0.0</v>
      </c>
    </row>
    <row r="99" ht="15.75" customHeight="1">
      <c r="B99" s="79">
        <v>43224.0</v>
      </c>
      <c r="C99" s="80" t="s">
        <v>23</v>
      </c>
      <c r="D99" s="80" t="s">
        <v>21</v>
      </c>
      <c r="E99" s="80" t="s">
        <v>21</v>
      </c>
      <c r="F99" s="84" t="s">
        <v>66</v>
      </c>
      <c r="G99" s="85">
        <v>0.0</v>
      </c>
      <c r="H99" s="86">
        <v>20000.0</v>
      </c>
      <c r="L99" s="86"/>
      <c r="M99" s="48" t="s">
        <v>37</v>
      </c>
      <c r="N99" s="48" t="s">
        <v>44</v>
      </c>
      <c r="O99" s="48" t="s">
        <v>51</v>
      </c>
      <c r="P99" s="48" t="s">
        <v>29</v>
      </c>
      <c r="Q99" s="80" t="s">
        <v>61</v>
      </c>
      <c r="R99" s="86">
        <v>0.0</v>
      </c>
      <c r="S99" s="87">
        <v>15455.95</v>
      </c>
    </row>
    <row r="100" ht="15.75" customHeight="1">
      <c r="B100" s="79">
        <v>43224.0</v>
      </c>
      <c r="C100" s="80" t="s">
        <v>23</v>
      </c>
      <c r="D100" s="80" t="s">
        <v>21</v>
      </c>
      <c r="E100" s="80" t="s">
        <v>21</v>
      </c>
      <c r="F100" s="80" t="s">
        <v>66</v>
      </c>
      <c r="G100" s="82">
        <v>20000.0</v>
      </c>
      <c r="H100" s="83">
        <v>0.0</v>
      </c>
      <c r="L100" s="91">
        <v>0.7733952049497</v>
      </c>
      <c r="M100" s="48" t="s">
        <v>37</v>
      </c>
      <c r="N100" s="48" t="s">
        <v>42</v>
      </c>
      <c r="O100" s="48" t="s">
        <v>51</v>
      </c>
      <c r="P100" s="48" t="s">
        <v>29</v>
      </c>
      <c r="Q100" s="80" t="s">
        <v>62</v>
      </c>
      <c r="R100" s="87">
        <v>15467.9</v>
      </c>
      <c r="S100" s="82">
        <v>0.0</v>
      </c>
    </row>
    <row r="101" ht="15.75" customHeight="1">
      <c r="B101" s="79">
        <v>43224.0</v>
      </c>
      <c r="C101" s="80" t="s">
        <v>23</v>
      </c>
      <c r="D101" s="80" t="s">
        <v>21</v>
      </c>
      <c r="E101" s="80" t="s">
        <v>21</v>
      </c>
      <c r="F101" s="84" t="s">
        <v>41</v>
      </c>
      <c r="G101" s="85">
        <v>0.0</v>
      </c>
      <c r="H101" s="86">
        <v>20000.0</v>
      </c>
      <c r="L101" s="91">
        <v>0.7733952049497</v>
      </c>
      <c r="M101" s="48" t="s">
        <v>37</v>
      </c>
      <c r="N101" s="48" t="s">
        <v>44</v>
      </c>
      <c r="O101" s="48" t="s">
        <v>51</v>
      </c>
      <c r="P101" s="48" t="s">
        <v>29</v>
      </c>
      <c r="Q101" s="80" t="s">
        <v>62</v>
      </c>
      <c r="R101" s="86">
        <v>0.0</v>
      </c>
      <c r="S101" s="87">
        <v>15467.9</v>
      </c>
    </row>
    <row r="102" ht="15.75" customHeight="1">
      <c r="B102" s="79">
        <v>43224.0</v>
      </c>
      <c r="C102" s="80" t="s">
        <v>23</v>
      </c>
      <c r="D102" s="80" t="s">
        <v>21</v>
      </c>
      <c r="E102" s="80" t="s">
        <v>21</v>
      </c>
      <c r="F102" s="80" t="s">
        <v>65</v>
      </c>
      <c r="G102" s="82">
        <v>20000.0</v>
      </c>
      <c r="H102" s="83">
        <v>0.0</v>
      </c>
      <c r="L102" s="82"/>
      <c r="M102" s="48" t="s">
        <v>37</v>
      </c>
      <c r="N102" s="48" t="s">
        <v>42</v>
      </c>
      <c r="O102" s="48" t="s">
        <v>51</v>
      </c>
      <c r="P102" s="48" t="s">
        <v>29</v>
      </c>
      <c r="Q102" s="80" t="s">
        <v>53</v>
      </c>
      <c r="R102" s="87">
        <v>15455.95</v>
      </c>
      <c r="S102" s="82">
        <v>0.0</v>
      </c>
    </row>
    <row r="103" ht="15.75" customHeight="1">
      <c r="B103" s="79">
        <v>43224.0</v>
      </c>
      <c r="C103" s="80" t="s">
        <v>23</v>
      </c>
      <c r="D103" s="80" t="s">
        <v>21</v>
      </c>
      <c r="E103" s="80" t="s">
        <v>21</v>
      </c>
      <c r="F103" s="84" t="s">
        <v>47</v>
      </c>
      <c r="G103" s="85">
        <v>0.0</v>
      </c>
      <c r="H103" s="86">
        <v>20000.0</v>
      </c>
      <c r="L103" s="86"/>
      <c r="M103" s="48" t="s">
        <v>37</v>
      </c>
      <c r="N103" s="48" t="s">
        <v>44</v>
      </c>
      <c r="O103" s="48" t="s">
        <v>51</v>
      </c>
      <c r="P103" s="48" t="s">
        <v>29</v>
      </c>
      <c r="Q103" s="80" t="s">
        <v>53</v>
      </c>
      <c r="R103" s="86">
        <v>0.0</v>
      </c>
      <c r="S103" s="88">
        <v>15455.95</v>
      </c>
    </row>
    <row r="104" ht="15.75" customHeight="1">
      <c r="B104" s="79">
        <v>43224.0</v>
      </c>
      <c r="C104" s="80" t="s">
        <v>23</v>
      </c>
      <c r="D104" s="80" t="s">
        <v>21</v>
      </c>
      <c r="E104" s="80" t="s">
        <v>21</v>
      </c>
      <c r="F104" s="80" t="s">
        <v>47</v>
      </c>
      <c r="G104" s="82">
        <v>20000.0</v>
      </c>
      <c r="H104" s="83">
        <v>0.0</v>
      </c>
      <c r="L104" s="91">
        <v>0.7733952049497</v>
      </c>
      <c r="M104" s="48" t="s">
        <v>37</v>
      </c>
      <c r="N104" s="48" t="s">
        <v>42</v>
      </c>
      <c r="O104" s="48" t="s">
        <v>51</v>
      </c>
      <c r="P104" s="48" t="s">
        <v>29</v>
      </c>
      <c r="Q104" s="80" t="s">
        <v>54</v>
      </c>
      <c r="R104" s="87">
        <v>15467.9</v>
      </c>
      <c r="S104" s="82">
        <v>0.0</v>
      </c>
    </row>
    <row r="105" ht="15.75" customHeight="1">
      <c r="B105" s="79">
        <v>43224.0</v>
      </c>
      <c r="C105" s="80" t="s">
        <v>23</v>
      </c>
      <c r="D105" s="80" t="s">
        <v>21</v>
      </c>
      <c r="E105" s="80" t="s">
        <v>21</v>
      </c>
      <c r="F105" s="84" t="s">
        <v>65</v>
      </c>
      <c r="G105" s="85">
        <v>0.0</v>
      </c>
      <c r="H105" s="86">
        <v>20000.0</v>
      </c>
      <c r="L105" s="91">
        <v>0.7733952049497</v>
      </c>
      <c r="M105" s="48" t="s">
        <v>37</v>
      </c>
      <c r="N105" s="48" t="s">
        <v>44</v>
      </c>
      <c r="O105" s="48" t="s">
        <v>51</v>
      </c>
      <c r="P105" s="48" t="s">
        <v>29</v>
      </c>
      <c r="Q105" s="80" t="s">
        <v>54</v>
      </c>
      <c r="R105" s="86">
        <v>0.0</v>
      </c>
      <c r="S105" s="87">
        <v>15467.9</v>
      </c>
    </row>
    <row r="106" ht="15.75" customHeight="1">
      <c r="B106" s="79">
        <v>43225.0</v>
      </c>
      <c r="C106" s="80" t="s">
        <v>23</v>
      </c>
      <c r="D106" s="80" t="s">
        <v>21</v>
      </c>
      <c r="E106" s="80" t="s">
        <v>21</v>
      </c>
      <c r="F106" s="80" t="s">
        <v>41</v>
      </c>
      <c r="G106" s="82">
        <v>20000.0</v>
      </c>
      <c r="H106" s="83">
        <v>0.0</v>
      </c>
      <c r="L106" s="87"/>
      <c r="M106" s="48" t="s">
        <v>37</v>
      </c>
      <c r="N106" s="48" t="s">
        <v>42</v>
      </c>
      <c r="O106" s="48" t="s">
        <v>51</v>
      </c>
      <c r="P106" s="48" t="s">
        <v>29</v>
      </c>
      <c r="Q106" s="80" t="s">
        <v>61</v>
      </c>
      <c r="R106" s="87">
        <v>15444.02</v>
      </c>
      <c r="S106" s="82">
        <v>0.0</v>
      </c>
    </row>
    <row r="107" ht="15.75" customHeight="1">
      <c r="B107" s="79">
        <v>43225.0</v>
      </c>
      <c r="C107" s="80" t="s">
        <v>23</v>
      </c>
      <c r="D107" s="80" t="s">
        <v>21</v>
      </c>
      <c r="E107" s="80" t="s">
        <v>21</v>
      </c>
      <c r="F107" s="84" t="s">
        <v>66</v>
      </c>
      <c r="G107" s="85">
        <v>0.0</v>
      </c>
      <c r="H107" s="86">
        <v>20000.0</v>
      </c>
      <c r="L107" s="86"/>
      <c r="M107" s="48" t="s">
        <v>37</v>
      </c>
      <c r="N107" s="48" t="s">
        <v>44</v>
      </c>
      <c r="O107" s="48" t="s">
        <v>51</v>
      </c>
      <c r="P107" s="48" t="s">
        <v>29</v>
      </c>
      <c r="Q107" s="80" t="s">
        <v>61</v>
      </c>
      <c r="R107" s="86">
        <v>0.0</v>
      </c>
      <c r="S107" s="88">
        <v>15444.02</v>
      </c>
    </row>
    <row r="108" ht="15.75" customHeight="1">
      <c r="B108" s="79">
        <v>43225.0</v>
      </c>
      <c r="C108" s="80" t="s">
        <v>23</v>
      </c>
      <c r="D108" s="80" t="s">
        <v>21</v>
      </c>
      <c r="E108" s="80" t="s">
        <v>21</v>
      </c>
      <c r="F108" s="80" t="s">
        <v>66</v>
      </c>
      <c r="G108" s="82">
        <v>20000.0</v>
      </c>
      <c r="H108" s="83">
        <v>0.0</v>
      </c>
      <c r="L108" s="82"/>
      <c r="M108" s="48" t="s">
        <v>37</v>
      </c>
      <c r="N108" s="48" t="s">
        <v>42</v>
      </c>
      <c r="O108" s="48" t="s">
        <v>51</v>
      </c>
      <c r="P108" s="48" t="s">
        <v>29</v>
      </c>
      <c r="Q108" s="80" t="s">
        <v>62</v>
      </c>
      <c r="R108" s="87">
        <v>15455.95</v>
      </c>
      <c r="S108" s="82">
        <v>0.0</v>
      </c>
    </row>
    <row r="109" ht="15.75" customHeight="1">
      <c r="B109" s="79">
        <v>43225.0</v>
      </c>
      <c r="C109" s="80" t="s">
        <v>23</v>
      </c>
      <c r="D109" s="80" t="s">
        <v>21</v>
      </c>
      <c r="E109" s="80" t="s">
        <v>21</v>
      </c>
      <c r="F109" s="84" t="s">
        <v>41</v>
      </c>
      <c r="G109" s="85">
        <v>0.0</v>
      </c>
      <c r="H109" s="86">
        <v>20000.0</v>
      </c>
      <c r="L109" s="86"/>
      <c r="M109" s="48" t="s">
        <v>37</v>
      </c>
      <c r="N109" s="48" t="s">
        <v>44</v>
      </c>
      <c r="O109" s="48" t="s">
        <v>51</v>
      </c>
      <c r="P109" s="48" t="s">
        <v>29</v>
      </c>
      <c r="Q109" s="80" t="s">
        <v>62</v>
      </c>
      <c r="R109" s="86">
        <v>0.0</v>
      </c>
      <c r="S109" s="88">
        <v>15455.95</v>
      </c>
    </row>
    <row r="110" ht="15.75" customHeight="1">
      <c r="B110" s="79">
        <v>43225.0</v>
      </c>
      <c r="C110" s="80" t="s">
        <v>23</v>
      </c>
      <c r="D110" s="80" t="s">
        <v>21</v>
      </c>
      <c r="E110" s="80" t="s">
        <v>21</v>
      </c>
      <c r="F110" s="80" t="s">
        <v>65</v>
      </c>
      <c r="G110" s="82">
        <v>20000.0</v>
      </c>
      <c r="H110" s="83">
        <v>0.0</v>
      </c>
      <c r="L110" s="82"/>
      <c r="M110" s="48" t="s">
        <v>37</v>
      </c>
      <c r="N110" s="48" t="s">
        <v>42</v>
      </c>
      <c r="O110" s="48" t="s">
        <v>51</v>
      </c>
      <c r="P110" s="48" t="s">
        <v>29</v>
      </c>
      <c r="Q110" s="80" t="s">
        <v>53</v>
      </c>
      <c r="R110" s="87">
        <v>15444.02</v>
      </c>
      <c r="S110" s="82">
        <v>0.0</v>
      </c>
    </row>
    <row r="111" ht="15.75" customHeight="1">
      <c r="B111" s="79">
        <v>43225.0</v>
      </c>
      <c r="C111" s="80" t="s">
        <v>23</v>
      </c>
      <c r="D111" s="80" t="s">
        <v>21</v>
      </c>
      <c r="E111" s="80" t="s">
        <v>21</v>
      </c>
      <c r="F111" s="84" t="s">
        <v>47</v>
      </c>
      <c r="G111" s="85">
        <v>0.0</v>
      </c>
      <c r="H111" s="86">
        <v>20000.0</v>
      </c>
      <c r="L111" s="86"/>
      <c r="M111" s="48" t="s">
        <v>37</v>
      </c>
      <c r="N111" s="48" t="s">
        <v>44</v>
      </c>
      <c r="O111" s="48" t="s">
        <v>51</v>
      </c>
      <c r="P111" s="48" t="s">
        <v>29</v>
      </c>
      <c r="Q111" s="80" t="s">
        <v>53</v>
      </c>
      <c r="R111" s="86">
        <v>0.0</v>
      </c>
      <c r="S111" s="88">
        <v>15444.02</v>
      </c>
    </row>
    <row r="112" ht="15.75" customHeight="1">
      <c r="B112" s="79">
        <v>43225.0</v>
      </c>
      <c r="C112" s="80" t="s">
        <v>23</v>
      </c>
      <c r="D112" s="80" t="s">
        <v>21</v>
      </c>
      <c r="E112" s="80" t="s">
        <v>21</v>
      </c>
      <c r="F112" s="80" t="s">
        <v>47</v>
      </c>
      <c r="G112" s="82">
        <v>20000.0</v>
      </c>
      <c r="H112" s="83">
        <v>0.0</v>
      </c>
      <c r="L112" s="82"/>
      <c r="M112" s="48" t="s">
        <v>37</v>
      </c>
      <c r="N112" s="48" t="s">
        <v>42</v>
      </c>
      <c r="O112" s="48" t="s">
        <v>51</v>
      </c>
      <c r="P112" s="48" t="s">
        <v>29</v>
      </c>
      <c r="Q112" s="80" t="s">
        <v>54</v>
      </c>
      <c r="R112" s="87">
        <v>15455.95</v>
      </c>
      <c r="S112" s="82">
        <v>0.0</v>
      </c>
    </row>
    <row r="113" ht="15.75" customHeight="1">
      <c r="B113" s="79">
        <v>43225.0</v>
      </c>
      <c r="C113" s="80" t="s">
        <v>23</v>
      </c>
      <c r="D113" s="80" t="s">
        <v>21</v>
      </c>
      <c r="E113" s="80" t="s">
        <v>21</v>
      </c>
      <c r="F113" s="84" t="s">
        <v>65</v>
      </c>
      <c r="G113" s="85">
        <v>0.0</v>
      </c>
      <c r="H113" s="86">
        <v>20000.0</v>
      </c>
      <c r="L113" s="86"/>
      <c r="M113" s="48" t="s">
        <v>37</v>
      </c>
      <c r="N113" s="48" t="s">
        <v>44</v>
      </c>
      <c r="O113" s="48" t="s">
        <v>51</v>
      </c>
      <c r="P113" s="48" t="s">
        <v>29</v>
      </c>
      <c r="Q113" s="80" t="s">
        <v>54</v>
      </c>
      <c r="R113" s="86">
        <v>0.0</v>
      </c>
      <c r="S113" s="87">
        <v>15455.95</v>
      </c>
    </row>
    <row r="114" ht="15.75" customHeight="1">
      <c r="B114" s="79">
        <v>43226.0</v>
      </c>
      <c r="C114" s="80" t="s">
        <v>23</v>
      </c>
      <c r="D114" s="80" t="s">
        <v>21</v>
      </c>
      <c r="E114" s="80" t="s">
        <v>21</v>
      </c>
      <c r="F114" s="80" t="s">
        <v>41</v>
      </c>
      <c r="G114" s="82">
        <v>20000.0</v>
      </c>
      <c r="H114" s="83">
        <v>0.0</v>
      </c>
      <c r="L114" s="82"/>
      <c r="M114" s="48" t="s">
        <v>37</v>
      </c>
      <c r="N114" s="48" t="s">
        <v>42</v>
      </c>
      <c r="O114" s="48" t="s">
        <v>51</v>
      </c>
      <c r="P114" s="48" t="s">
        <v>29</v>
      </c>
      <c r="Q114" s="80" t="s">
        <v>61</v>
      </c>
      <c r="R114" s="87">
        <v>15432.1</v>
      </c>
      <c r="S114" s="82">
        <v>0.0</v>
      </c>
    </row>
    <row r="115" ht="15.75" customHeight="1">
      <c r="B115" s="79">
        <v>43226.0</v>
      </c>
      <c r="C115" s="80" t="s">
        <v>23</v>
      </c>
      <c r="D115" s="80" t="s">
        <v>21</v>
      </c>
      <c r="E115" s="80" t="s">
        <v>21</v>
      </c>
      <c r="F115" s="84" t="s">
        <v>66</v>
      </c>
      <c r="G115" s="85">
        <v>0.0</v>
      </c>
      <c r="H115" s="86">
        <v>20000.0</v>
      </c>
      <c r="L115" s="86"/>
      <c r="M115" s="48" t="s">
        <v>37</v>
      </c>
      <c r="N115" s="48" t="s">
        <v>44</v>
      </c>
      <c r="O115" s="48" t="s">
        <v>51</v>
      </c>
      <c r="P115" s="48" t="s">
        <v>29</v>
      </c>
      <c r="Q115" s="80" t="s">
        <v>61</v>
      </c>
      <c r="R115" s="86">
        <v>0.0</v>
      </c>
      <c r="S115" s="87">
        <v>15432.1</v>
      </c>
    </row>
    <row r="116" ht="15.75" customHeight="1">
      <c r="B116" s="79">
        <v>43226.0</v>
      </c>
      <c r="C116" s="80" t="s">
        <v>23</v>
      </c>
      <c r="D116" s="80" t="s">
        <v>21</v>
      </c>
      <c r="E116" s="80" t="s">
        <v>21</v>
      </c>
      <c r="F116" s="80" t="s">
        <v>66</v>
      </c>
      <c r="G116" s="82">
        <v>20000.0</v>
      </c>
      <c r="H116" s="83">
        <v>0.0</v>
      </c>
      <c r="L116" s="82"/>
      <c r="M116" s="48" t="s">
        <v>37</v>
      </c>
      <c r="N116" s="48" t="s">
        <v>42</v>
      </c>
      <c r="O116" s="48" t="s">
        <v>51</v>
      </c>
      <c r="P116" s="48" t="s">
        <v>29</v>
      </c>
      <c r="Q116" s="80" t="s">
        <v>62</v>
      </c>
      <c r="R116" s="87">
        <v>15444.02</v>
      </c>
      <c r="S116" s="82">
        <v>0.0</v>
      </c>
    </row>
    <row r="117" ht="15.75" customHeight="1">
      <c r="B117" s="79">
        <v>43226.0</v>
      </c>
      <c r="C117" s="80" t="s">
        <v>23</v>
      </c>
      <c r="D117" s="80" t="s">
        <v>21</v>
      </c>
      <c r="E117" s="80" t="s">
        <v>21</v>
      </c>
      <c r="F117" s="84" t="s">
        <v>41</v>
      </c>
      <c r="G117" s="85">
        <v>0.0</v>
      </c>
      <c r="H117" s="86">
        <v>20000.0</v>
      </c>
      <c r="L117" s="86"/>
      <c r="M117" s="48" t="s">
        <v>37</v>
      </c>
      <c r="N117" s="48" t="s">
        <v>44</v>
      </c>
      <c r="O117" s="48" t="s">
        <v>51</v>
      </c>
      <c r="P117" s="48" t="s">
        <v>29</v>
      </c>
      <c r="Q117" s="80" t="s">
        <v>62</v>
      </c>
      <c r="R117" s="86">
        <v>0.0</v>
      </c>
      <c r="S117" s="87">
        <v>15444.02</v>
      </c>
    </row>
    <row r="118" ht="15.75" customHeight="1">
      <c r="B118" s="79">
        <v>43226.0</v>
      </c>
      <c r="C118" s="80" t="s">
        <v>23</v>
      </c>
      <c r="D118" s="80" t="s">
        <v>21</v>
      </c>
      <c r="E118" s="80" t="s">
        <v>21</v>
      </c>
      <c r="F118" s="80" t="s">
        <v>65</v>
      </c>
      <c r="G118" s="82">
        <v>20000.0</v>
      </c>
      <c r="H118" s="83">
        <v>0.0</v>
      </c>
      <c r="L118" s="82"/>
      <c r="M118" s="48" t="s">
        <v>37</v>
      </c>
      <c r="N118" s="48" t="s">
        <v>42</v>
      </c>
      <c r="O118" s="48" t="s">
        <v>51</v>
      </c>
      <c r="P118" s="48" t="s">
        <v>29</v>
      </c>
      <c r="Q118" s="80" t="s">
        <v>53</v>
      </c>
      <c r="R118" s="87">
        <v>15432.1</v>
      </c>
      <c r="S118" s="82">
        <v>0.0</v>
      </c>
    </row>
    <row r="119" ht="15.75" customHeight="1">
      <c r="B119" s="79">
        <v>43226.0</v>
      </c>
      <c r="C119" s="80" t="s">
        <v>23</v>
      </c>
      <c r="D119" s="80" t="s">
        <v>21</v>
      </c>
      <c r="E119" s="80" t="s">
        <v>21</v>
      </c>
      <c r="F119" s="84" t="s">
        <v>47</v>
      </c>
      <c r="G119" s="85">
        <v>0.0</v>
      </c>
      <c r="H119" s="86">
        <v>20000.0</v>
      </c>
      <c r="L119" s="86"/>
      <c r="M119" s="48" t="s">
        <v>37</v>
      </c>
      <c r="N119" s="48" t="s">
        <v>44</v>
      </c>
      <c r="O119" s="48" t="s">
        <v>51</v>
      </c>
      <c r="P119" s="48" t="s">
        <v>29</v>
      </c>
      <c r="Q119" s="80" t="s">
        <v>53</v>
      </c>
      <c r="R119" s="86">
        <v>0.0</v>
      </c>
      <c r="S119" s="87">
        <v>15432.1</v>
      </c>
    </row>
    <row r="120" ht="15.75" customHeight="1">
      <c r="B120" s="79">
        <v>43226.0</v>
      </c>
      <c r="C120" s="80" t="s">
        <v>23</v>
      </c>
      <c r="D120" s="80" t="s">
        <v>21</v>
      </c>
      <c r="E120" s="80" t="s">
        <v>21</v>
      </c>
      <c r="F120" s="80" t="s">
        <v>47</v>
      </c>
      <c r="G120" s="82">
        <v>20000.0</v>
      </c>
      <c r="H120" s="83">
        <v>0.0</v>
      </c>
      <c r="L120" s="82"/>
      <c r="M120" s="48" t="s">
        <v>37</v>
      </c>
      <c r="N120" s="48" t="s">
        <v>42</v>
      </c>
      <c r="O120" s="48" t="s">
        <v>51</v>
      </c>
      <c r="P120" s="48" t="s">
        <v>29</v>
      </c>
      <c r="Q120" s="80" t="s">
        <v>54</v>
      </c>
      <c r="R120" s="87">
        <v>15444.02</v>
      </c>
      <c r="S120" s="82">
        <v>0.0</v>
      </c>
    </row>
    <row r="121" ht="15.75" customHeight="1">
      <c r="B121" s="79">
        <v>43226.0</v>
      </c>
      <c r="C121" s="80" t="s">
        <v>23</v>
      </c>
      <c r="D121" s="80" t="s">
        <v>21</v>
      </c>
      <c r="E121" s="80" t="s">
        <v>21</v>
      </c>
      <c r="F121" s="84" t="s">
        <v>65</v>
      </c>
      <c r="G121" s="85">
        <v>0.0</v>
      </c>
      <c r="H121" s="86">
        <v>20000.0</v>
      </c>
      <c r="L121" s="86"/>
      <c r="M121" s="48" t="s">
        <v>37</v>
      </c>
      <c r="N121" s="48" t="s">
        <v>44</v>
      </c>
      <c r="O121" s="48" t="s">
        <v>51</v>
      </c>
      <c r="P121" s="48" t="s">
        <v>29</v>
      </c>
      <c r="Q121" s="80" t="s">
        <v>54</v>
      </c>
      <c r="R121" s="86">
        <v>0.0</v>
      </c>
      <c r="S121" s="87">
        <v>15444.02</v>
      </c>
    </row>
    <row r="122" ht="15.75" customHeight="1">
      <c r="B122" s="79">
        <v>43227.0</v>
      </c>
      <c r="C122" s="80" t="s">
        <v>23</v>
      </c>
      <c r="D122" s="80" t="s">
        <v>21</v>
      </c>
      <c r="E122" s="80" t="s">
        <v>21</v>
      </c>
      <c r="F122" s="80" t="s">
        <v>41</v>
      </c>
      <c r="G122" s="82">
        <v>20000.0</v>
      </c>
      <c r="H122" s="83">
        <v>0.0</v>
      </c>
      <c r="L122" s="82"/>
      <c r="M122" s="48" t="s">
        <v>37</v>
      </c>
      <c r="N122" s="48" t="s">
        <v>42</v>
      </c>
      <c r="O122" s="48" t="s">
        <v>51</v>
      </c>
      <c r="P122" s="48" t="s">
        <v>29</v>
      </c>
      <c r="Q122" s="80" t="s">
        <v>61</v>
      </c>
      <c r="R122" s="87">
        <v>15420.2</v>
      </c>
      <c r="S122" s="82">
        <v>0.0</v>
      </c>
    </row>
    <row r="123" ht="15.75" customHeight="1">
      <c r="B123" s="79">
        <v>43227.0</v>
      </c>
      <c r="C123" s="80" t="s">
        <v>23</v>
      </c>
      <c r="D123" s="80" t="s">
        <v>21</v>
      </c>
      <c r="E123" s="80" t="s">
        <v>21</v>
      </c>
      <c r="F123" s="84" t="s">
        <v>66</v>
      </c>
      <c r="G123" s="85">
        <v>0.0</v>
      </c>
      <c r="H123" s="86">
        <v>20000.0</v>
      </c>
      <c r="L123" s="86"/>
      <c r="M123" s="48" t="s">
        <v>37</v>
      </c>
      <c r="N123" s="48" t="s">
        <v>44</v>
      </c>
      <c r="O123" s="48" t="s">
        <v>51</v>
      </c>
      <c r="P123" s="48" t="s">
        <v>29</v>
      </c>
      <c r="Q123" s="80" t="s">
        <v>61</v>
      </c>
      <c r="R123" s="86">
        <v>0.0</v>
      </c>
      <c r="S123" s="87">
        <v>15420.2</v>
      </c>
    </row>
    <row r="124" ht="15.75" customHeight="1">
      <c r="B124" s="79">
        <v>43227.0</v>
      </c>
      <c r="C124" s="80" t="s">
        <v>23</v>
      </c>
      <c r="D124" s="80" t="s">
        <v>21</v>
      </c>
      <c r="E124" s="80" t="s">
        <v>21</v>
      </c>
      <c r="F124" s="80" t="s">
        <v>66</v>
      </c>
      <c r="G124" s="82">
        <v>20000.0</v>
      </c>
      <c r="H124" s="83">
        <v>0.0</v>
      </c>
      <c r="L124" s="82"/>
      <c r="M124" s="48" t="s">
        <v>37</v>
      </c>
      <c r="N124" s="48" t="s">
        <v>42</v>
      </c>
      <c r="O124" s="48" t="s">
        <v>51</v>
      </c>
      <c r="P124" s="48" t="s">
        <v>29</v>
      </c>
      <c r="Q124" s="80" t="s">
        <v>62</v>
      </c>
      <c r="R124" s="87">
        <v>15432.1</v>
      </c>
      <c r="S124" s="82">
        <v>0.0</v>
      </c>
    </row>
    <row r="125" ht="15.75" customHeight="1">
      <c r="B125" s="79">
        <v>43227.0</v>
      </c>
      <c r="C125" s="80" t="s">
        <v>23</v>
      </c>
      <c r="D125" s="80" t="s">
        <v>21</v>
      </c>
      <c r="E125" s="80" t="s">
        <v>21</v>
      </c>
      <c r="F125" s="84" t="s">
        <v>41</v>
      </c>
      <c r="G125" s="85">
        <v>0.0</v>
      </c>
      <c r="H125" s="86">
        <v>20000.0</v>
      </c>
      <c r="L125" s="86"/>
      <c r="M125" s="48" t="s">
        <v>37</v>
      </c>
      <c r="N125" s="48" t="s">
        <v>44</v>
      </c>
      <c r="O125" s="48" t="s">
        <v>51</v>
      </c>
      <c r="P125" s="48" t="s">
        <v>29</v>
      </c>
      <c r="Q125" s="80" t="s">
        <v>62</v>
      </c>
      <c r="R125" s="86">
        <v>0.0</v>
      </c>
      <c r="S125" s="87">
        <v>15432.1</v>
      </c>
    </row>
    <row r="126" ht="15.75" customHeight="1">
      <c r="B126" s="79">
        <v>43227.0</v>
      </c>
      <c r="C126" s="80" t="s">
        <v>23</v>
      </c>
      <c r="D126" s="80" t="s">
        <v>21</v>
      </c>
      <c r="E126" s="80" t="s">
        <v>21</v>
      </c>
      <c r="F126" s="80" t="s">
        <v>65</v>
      </c>
      <c r="G126" s="82">
        <v>20000.0</v>
      </c>
      <c r="H126" s="83">
        <v>0.0</v>
      </c>
      <c r="L126" s="82"/>
      <c r="M126" s="48" t="s">
        <v>37</v>
      </c>
      <c r="N126" s="48" t="s">
        <v>42</v>
      </c>
      <c r="O126" s="48" t="s">
        <v>51</v>
      </c>
      <c r="P126" s="48" t="s">
        <v>29</v>
      </c>
      <c r="Q126" s="80" t="s">
        <v>53</v>
      </c>
      <c r="R126" s="87">
        <v>15420.2</v>
      </c>
      <c r="S126" s="82">
        <v>0.0</v>
      </c>
    </row>
    <row r="127" ht="15.75" customHeight="1">
      <c r="B127" s="79">
        <v>43227.0</v>
      </c>
      <c r="C127" s="80" t="s">
        <v>23</v>
      </c>
      <c r="D127" s="80" t="s">
        <v>21</v>
      </c>
      <c r="E127" s="80" t="s">
        <v>21</v>
      </c>
      <c r="F127" s="84" t="s">
        <v>47</v>
      </c>
      <c r="G127" s="85">
        <v>0.0</v>
      </c>
      <c r="H127" s="86">
        <v>20000.0</v>
      </c>
      <c r="L127" s="86"/>
      <c r="M127" s="48" t="s">
        <v>37</v>
      </c>
      <c r="N127" s="48" t="s">
        <v>44</v>
      </c>
      <c r="O127" s="48" t="s">
        <v>51</v>
      </c>
      <c r="P127" s="48" t="s">
        <v>29</v>
      </c>
      <c r="Q127" s="80" t="s">
        <v>53</v>
      </c>
      <c r="R127" s="86">
        <v>0.0</v>
      </c>
      <c r="S127" s="87">
        <v>15420.2</v>
      </c>
    </row>
    <row r="128" ht="15.75" customHeight="1">
      <c r="B128" s="79">
        <v>43227.0</v>
      </c>
      <c r="C128" s="80" t="s">
        <v>23</v>
      </c>
      <c r="D128" s="80" t="s">
        <v>21</v>
      </c>
      <c r="E128" s="80" t="s">
        <v>21</v>
      </c>
      <c r="F128" s="80" t="s">
        <v>47</v>
      </c>
      <c r="G128" s="82">
        <v>20000.0</v>
      </c>
      <c r="H128" s="83">
        <v>0.0</v>
      </c>
      <c r="L128" s="82"/>
      <c r="M128" s="48" t="s">
        <v>37</v>
      </c>
      <c r="N128" s="48" t="s">
        <v>42</v>
      </c>
      <c r="O128" s="48" t="s">
        <v>51</v>
      </c>
      <c r="P128" s="48" t="s">
        <v>29</v>
      </c>
      <c r="Q128" s="80" t="s">
        <v>54</v>
      </c>
      <c r="R128" s="87">
        <v>15432.1</v>
      </c>
      <c r="S128" s="82">
        <v>0.0</v>
      </c>
    </row>
    <row r="129" ht="15.75" customHeight="1">
      <c r="B129" s="79">
        <v>43227.0</v>
      </c>
      <c r="C129" s="80" t="s">
        <v>23</v>
      </c>
      <c r="D129" s="80" t="s">
        <v>21</v>
      </c>
      <c r="E129" s="80" t="s">
        <v>21</v>
      </c>
      <c r="F129" s="84" t="s">
        <v>65</v>
      </c>
      <c r="G129" s="85">
        <v>0.0</v>
      </c>
      <c r="H129" s="86">
        <v>20000.0</v>
      </c>
      <c r="L129" s="86"/>
      <c r="M129" s="48" t="s">
        <v>37</v>
      </c>
      <c r="N129" s="48" t="s">
        <v>44</v>
      </c>
      <c r="O129" s="48" t="s">
        <v>51</v>
      </c>
      <c r="P129" s="48" t="s">
        <v>29</v>
      </c>
      <c r="Q129" s="80" t="s">
        <v>54</v>
      </c>
      <c r="R129" s="86">
        <v>0.0</v>
      </c>
      <c r="S129" s="87">
        <v>15432.1</v>
      </c>
    </row>
    <row r="130" ht="15.75" customHeight="1">
      <c r="B130" s="79">
        <v>43228.0</v>
      </c>
      <c r="C130" s="80" t="s">
        <v>23</v>
      </c>
      <c r="D130" s="80" t="s">
        <v>21</v>
      </c>
      <c r="E130" s="80" t="s">
        <v>21</v>
      </c>
      <c r="F130" s="80" t="s">
        <v>41</v>
      </c>
      <c r="G130" s="82">
        <v>20000.0</v>
      </c>
      <c r="H130" s="83">
        <v>0.0</v>
      </c>
      <c r="L130" s="82"/>
      <c r="M130" s="48" t="s">
        <v>37</v>
      </c>
      <c r="N130" s="48" t="s">
        <v>42</v>
      </c>
      <c r="O130" s="48" t="s">
        <v>51</v>
      </c>
      <c r="P130" s="48" t="s">
        <v>29</v>
      </c>
      <c r="Q130" s="80" t="s">
        <v>61</v>
      </c>
      <c r="R130" s="87">
        <v>15408.32</v>
      </c>
      <c r="S130" s="82">
        <v>0.0</v>
      </c>
    </row>
    <row r="131" ht="15.75" customHeight="1">
      <c r="B131" s="79">
        <v>43228.0</v>
      </c>
      <c r="C131" s="80" t="s">
        <v>23</v>
      </c>
      <c r="D131" s="80" t="s">
        <v>21</v>
      </c>
      <c r="E131" s="80" t="s">
        <v>21</v>
      </c>
      <c r="F131" s="84" t="s">
        <v>66</v>
      </c>
      <c r="G131" s="85">
        <v>0.0</v>
      </c>
      <c r="H131" s="86">
        <v>20000.0</v>
      </c>
      <c r="L131" s="86"/>
      <c r="M131" s="48" t="s">
        <v>37</v>
      </c>
      <c r="N131" s="48" t="s">
        <v>44</v>
      </c>
      <c r="O131" s="48" t="s">
        <v>51</v>
      </c>
      <c r="P131" s="48" t="s">
        <v>29</v>
      </c>
      <c r="Q131" s="80" t="s">
        <v>61</v>
      </c>
      <c r="R131" s="86">
        <v>0.0</v>
      </c>
      <c r="S131" s="87">
        <v>15408.32</v>
      </c>
    </row>
    <row r="132" ht="15.75" customHeight="1">
      <c r="B132" s="79">
        <v>43228.0</v>
      </c>
      <c r="C132" s="80" t="s">
        <v>23</v>
      </c>
      <c r="D132" s="80" t="s">
        <v>21</v>
      </c>
      <c r="E132" s="80" t="s">
        <v>21</v>
      </c>
      <c r="F132" s="80" t="s">
        <v>66</v>
      </c>
      <c r="G132" s="82">
        <v>20000.0</v>
      </c>
      <c r="H132" s="83">
        <v>0.0</v>
      </c>
      <c r="L132" s="82"/>
      <c r="M132" s="48" t="s">
        <v>37</v>
      </c>
      <c r="N132" s="48" t="s">
        <v>42</v>
      </c>
      <c r="O132" s="48" t="s">
        <v>51</v>
      </c>
      <c r="P132" s="48" t="s">
        <v>29</v>
      </c>
      <c r="Q132" s="80" t="s">
        <v>62</v>
      </c>
      <c r="R132" s="87">
        <v>15420.2</v>
      </c>
      <c r="S132" s="82">
        <v>0.0</v>
      </c>
    </row>
    <row r="133" ht="15.75" customHeight="1">
      <c r="B133" s="79">
        <v>43228.0</v>
      </c>
      <c r="C133" s="80" t="s">
        <v>23</v>
      </c>
      <c r="D133" s="80" t="s">
        <v>21</v>
      </c>
      <c r="E133" s="80" t="s">
        <v>21</v>
      </c>
      <c r="F133" s="84" t="s">
        <v>41</v>
      </c>
      <c r="G133" s="85">
        <v>0.0</v>
      </c>
      <c r="H133" s="86">
        <v>20000.0</v>
      </c>
      <c r="L133" s="86"/>
      <c r="M133" s="48" t="s">
        <v>37</v>
      </c>
      <c r="N133" s="48" t="s">
        <v>44</v>
      </c>
      <c r="O133" s="48" t="s">
        <v>51</v>
      </c>
      <c r="P133" s="48" t="s">
        <v>29</v>
      </c>
      <c r="Q133" s="80" t="s">
        <v>62</v>
      </c>
      <c r="R133" s="86">
        <v>0.0</v>
      </c>
      <c r="S133" s="87">
        <v>15420.2</v>
      </c>
    </row>
    <row r="134" ht="15.75" customHeight="1">
      <c r="B134" s="79">
        <v>43228.0</v>
      </c>
      <c r="C134" s="80" t="s">
        <v>23</v>
      </c>
      <c r="D134" s="80" t="s">
        <v>21</v>
      </c>
      <c r="E134" s="80" t="s">
        <v>21</v>
      </c>
      <c r="F134" s="80" t="s">
        <v>65</v>
      </c>
      <c r="G134" s="82">
        <v>20000.0</v>
      </c>
      <c r="H134" s="83">
        <v>0.0</v>
      </c>
      <c r="L134" s="82"/>
      <c r="M134" s="48" t="s">
        <v>37</v>
      </c>
      <c r="N134" s="48" t="s">
        <v>42</v>
      </c>
      <c r="O134" s="48" t="s">
        <v>51</v>
      </c>
      <c r="P134" s="48" t="s">
        <v>29</v>
      </c>
      <c r="Q134" s="80" t="s">
        <v>53</v>
      </c>
      <c r="R134" s="87">
        <v>15408.32</v>
      </c>
      <c r="S134" s="82">
        <v>0.0</v>
      </c>
    </row>
    <row r="135" ht="15.75" customHeight="1">
      <c r="B135" s="79">
        <v>43228.0</v>
      </c>
      <c r="C135" s="80" t="s">
        <v>23</v>
      </c>
      <c r="D135" s="80" t="s">
        <v>21</v>
      </c>
      <c r="E135" s="80" t="s">
        <v>21</v>
      </c>
      <c r="F135" s="84" t="s">
        <v>47</v>
      </c>
      <c r="G135" s="85">
        <v>0.0</v>
      </c>
      <c r="H135" s="86">
        <v>20000.0</v>
      </c>
      <c r="L135" s="86"/>
      <c r="M135" s="48" t="s">
        <v>37</v>
      </c>
      <c r="N135" s="48" t="s">
        <v>44</v>
      </c>
      <c r="O135" s="48" t="s">
        <v>51</v>
      </c>
      <c r="P135" s="48" t="s">
        <v>29</v>
      </c>
      <c r="Q135" s="80" t="s">
        <v>53</v>
      </c>
      <c r="R135" s="86">
        <v>0.0</v>
      </c>
      <c r="S135" s="87">
        <v>15408.32</v>
      </c>
    </row>
    <row r="136" ht="15.75" customHeight="1">
      <c r="B136" s="79">
        <v>43228.0</v>
      </c>
      <c r="C136" s="80" t="s">
        <v>23</v>
      </c>
      <c r="D136" s="80" t="s">
        <v>21</v>
      </c>
      <c r="E136" s="80" t="s">
        <v>21</v>
      </c>
      <c r="F136" s="80" t="s">
        <v>47</v>
      </c>
      <c r="G136" s="82">
        <v>20000.0</v>
      </c>
      <c r="H136" s="83">
        <v>0.0</v>
      </c>
      <c r="L136" s="82"/>
      <c r="M136" s="48" t="s">
        <v>37</v>
      </c>
      <c r="N136" s="48" t="s">
        <v>42</v>
      </c>
      <c r="O136" s="48" t="s">
        <v>51</v>
      </c>
      <c r="P136" s="48" t="s">
        <v>29</v>
      </c>
      <c r="Q136" s="80" t="s">
        <v>54</v>
      </c>
      <c r="R136" s="87">
        <v>15420.2</v>
      </c>
      <c r="S136" s="82">
        <v>0.0</v>
      </c>
    </row>
    <row r="137" ht="15.75" customHeight="1">
      <c r="B137" s="79">
        <v>43228.0</v>
      </c>
      <c r="C137" s="80" t="s">
        <v>23</v>
      </c>
      <c r="D137" s="80" t="s">
        <v>21</v>
      </c>
      <c r="E137" s="80" t="s">
        <v>21</v>
      </c>
      <c r="F137" s="84" t="s">
        <v>65</v>
      </c>
      <c r="G137" s="85">
        <v>0.0</v>
      </c>
      <c r="H137" s="86">
        <v>20000.0</v>
      </c>
      <c r="L137" s="86"/>
      <c r="M137" s="48" t="s">
        <v>37</v>
      </c>
      <c r="N137" s="48" t="s">
        <v>44</v>
      </c>
      <c r="O137" s="48" t="s">
        <v>51</v>
      </c>
      <c r="P137" s="48" t="s">
        <v>29</v>
      </c>
      <c r="Q137" s="80" t="s">
        <v>54</v>
      </c>
      <c r="R137" s="86">
        <v>0.0</v>
      </c>
      <c r="S137" s="87">
        <v>15420.2</v>
      </c>
    </row>
    <row r="138" ht="15.75" customHeight="1">
      <c r="N138" s="48"/>
    </row>
    <row r="139" ht="15.75" customHeight="1">
      <c r="N139" s="48"/>
    </row>
    <row r="140" ht="15.75" customHeight="1">
      <c r="N140" s="48"/>
    </row>
    <row r="141" ht="15.75" customHeight="1">
      <c r="N141" s="48"/>
    </row>
    <row r="142" ht="15.75" customHeight="1">
      <c r="N142" s="48"/>
    </row>
    <row r="143" ht="15.75" customHeight="1">
      <c r="N143" s="48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67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IFERROR(__xludf.DUMMYFUNCTION("""COMPUTED_VALUE"""),"CashTransactionId")</f>
        <v>CashTransactionId</v>
      </c>
      <c r="C5" s="23" t="str">
        <f>IFERROR(__xludf.DUMMYFUNCTION("""COMPUTED_VALUE"""),"Activity Type")</f>
        <v>Activity Type</v>
      </c>
      <c r="D5" s="23" t="str">
        <f>IFERROR(__xludf.DUMMYFUNCTION("""COMPUTED_VALUE"""),"Symbol")</f>
        <v>Symbol</v>
      </c>
      <c r="E5" s="23" t="str">
        <f>IFERROR(__xludf.DUMMYFUNCTION("""COMPUTED_VALUE"""),"Strategy")</f>
        <v>Strategy</v>
      </c>
      <c r="F5" s="23" t="str">
        <f>IFERROR(__xludf.DUMMYFUNCTION("""COMPUTED_VALUE"""),"Account")</f>
        <v>Account</v>
      </c>
      <c r="G5" s="23" t="str">
        <f>IFERROR(__xludf.DUMMYFUNCTION("""COMPUTED_VALUE"""),"Currency")</f>
        <v>Currency</v>
      </c>
      <c r="H5" s="23" t="str">
        <f>IFERROR(__xludf.DUMMYFUNCTION("""COMPUTED_VALUE"""),"Amount")</f>
        <v>Amount</v>
      </c>
      <c r="I5" s="23" t="str">
        <f>IFERROR(__xludf.DUMMYFUNCTION("""COMPUTED_VALUE"""),"Ex Date")</f>
        <v>Ex Date</v>
      </c>
      <c r="J5" s="23" t="str">
        <f>IFERROR(__xludf.DUMMYFUNCTION("""COMPUTED_VALUE"""),"Payout Date")</f>
        <v>Payout Date</v>
      </c>
      <c r="K5" s="23" t="str">
        <f>IFERROR(__xludf.DUMMYFUNCTION("""COMPUTED_VALUE"""),"Record Date")</f>
        <v>Record Date</v>
      </c>
      <c r="L5" s="23" t="str">
        <f>IFERROR(__xludf.DUMMYFUNCTION("""COMPUTED_VALUE"""),"Declaration Date")</f>
        <v>Declaration Date</v>
      </c>
      <c r="M5" s="23" t="str">
        <f>IFERROR(__xludf.DUMMYFUNCTION("""COMPUTED_VALUE"""),"Description")</f>
        <v>Description</v>
      </c>
      <c r="N5" s="23" t="str">
        <f>IFERROR(__xludf.DUMMYFUNCTION("""COMPUTED_VALUE"""),"Other Currency")</f>
        <v>Other Currency</v>
      </c>
      <c r="O5" s="23" t="str">
        <f>IFERROR(__xludf.DUMMYFUNCTION("""COMPUTED_VALUE"""),"FXRate")</f>
        <v>FXRate</v>
      </c>
      <c r="P5" s="23" t="str">
        <f>IFERROR(__xludf.DUMMYFUNCTION("""COMPUTED_VALUE"""),"FXConversionMethodOperator")</f>
        <v>FXConversionMethodOperator</v>
      </c>
      <c r="Q5" s="23" t="str">
        <f>IFERROR(__xludf.DUMMYFUNCTION("""COMPUTED_VALUE"""),"Transaction Source")</f>
        <v>Transaction Source</v>
      </c>
      <c r="R5" s="23" t="str">
        <f>IFERROR(__xludf.DUMMYFUNCTION("""COMPUTED_VALUE"""),"Entry Date")</f>
        <v>Entry Date</v>
      </c>
      <c r="S5" s="23" t="str">
        <f>IFERROR(__xludf.DUMMYFUNCTION("""COMPUTED_VALUE"""),"Modify Date")</f>
        <v>Modify Date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6"/>
      <c r="B6" s="6"/>
      <c r="C6" s="3" t="s">
        <v>18</v>
      </c>
      <c r="D6" s="3"/>
      <c r="E6" s="3"/>
      <c r="F6" s="3" t="s">
        <v>20</v>
      </c>
      <c r="G6" s="3"/>
      <c r="H6" s="3">
        <v>60000.0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SelectCashTransaction1!$4:$4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8" t="s">
        <v>12</v>
      </c>
      <c r="D3" s="4" t="s">
        <v>9</v>
      </c>
      <c r="E3" s="18" t="s">
        <v>69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IFERROR(__xludf.DUMMYFUNCTION("""COMPUTED_VALUE"""),"CashTransactionId")</f>
        <v>CashTransactionId</v>
      </c>
      <c r="C5" s="23" t="str">
        <f>IFERROR(__xludf.DUMMYFUNCTION("""COMPUTED_VALUE"""),"Activity Type")</f>
        <v>Activity Type</v>
      </c>
      <c r="D5" s="23" t="str">
        <f>IFERROR(__xludf.DUMMYFUNCTION("""COMPUTED_VALUE"""),"Symbol")</f>
        <v>Symbol</v>
      </c>
      <c r="E5" s="23" t="str">
        <f>IFERROR(__xludf.DUMMYFUNCTION("""COMPUTED_VALUE"""),"Strategy")</f>
        <v>Strategy</v>
      </c>
      <c r="F5" s="23" t="str">
        <f>IFERROR(__xludf.DUMMYFUNCTION("""COMPUTED_VALUE"""),"Account")</f>
        <v>Account</v>
      </c>
      <c r="G5" s="23" t="str">
        <f>IFERROR(__xludf.DUMMYFUNCTION("""COMPUTED_VALUE"""),"Currency")</f>
        <v>Currency</v>
      </c>
      <c r="H5" s="23" t="str">
        <f>IFERROR(__xludf.DUMMYFUNCTION("""COMPUTED_VALUE"""),"Amount")</f>
        <v>Amount</v>
      </c>
      <c r="I5" s="23" t="str">
        <f>IFERROR(__xludf.DUMMYFUNCTION("""COMPUTED_VALUE"""),"Ex Date")</f>
        <v>Ex Date</v>
      </c>
      <c r="J5" s="23" t="str">
        <f>IFERROR(__xludf.DUMMYFUNCTION("""COMPUTED_VALUE"""),"Payout Date")</f>
        <v>Payout Date</v>
      </c>
      <c r="K5" s="23" t="str">
        <f>IFERROR(__xludf.DUMMYFUNCTION("""COMPUTED_VALUE"""),"Record Date")</f>
        <v>Record Date</v>
      </c>
      <c r="L5" s="23" t="str">
        <f>IFERROR(__xludf.DUMMYFUNCTION("""COMPUTED_VALUE"""),"Declaration Date")</f>
        <v>Declaration Date</v>
      </c>
      <c r="M5" s="23" t="str">
        <f>IFERROR(__xludf.DUMMYFUNCTION("""COMPUTED_VALUE"""),"Description")</f>
        <v>Description</v>
      </c>
      <c r="N5" s="23" t="str">
        <f>IFERROR(__xludf.DUMMYFUNCTION("""COMPUTED_VALUE"""),"Other Currency")</f>
        <v>Other Currency</v>
      </c>
      <c r="O5" s="23" t="str">
        <f>IFERROR(__xludf.DUMMYFUNCTION("""COMPUTED_VALUE"""),"FXRate")</f>
        <v>FXRate</v>
      </c>
      <c r="P5" s="23" t="str">
        <f>IFERROR(__xludf.DUMMYFUNCTION("""COMPUTED_VALUE"""),"FXConversionMethodOperator")</f>
        <v>FXConversionMethodOperator</v>
      </c>
      <c r="Q5" s="23" t="str">
        <f>IFERROR(__xludf.DUMMYFUNCTION("""COMPUTED_VALUE"""),"Transaction Source")</f>
        <v>Transaction Source</v>
      </c>
      <c r="R5" s="23" t="str">
        <f>IFERROR(__xludf.DUMMYFUNCTION("""COMPUTED_VALUE"""),"Entry Date")</f>
        <v>Entry Date</v>
      </c>
      <c r="S5" s="23" t="str">
        <f>IFERROR(__xludf.DUMMYFUNCTION("""COMPUTED_VALUE"""),"Modify Date")</f>
        <v>Modify Date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3"/>
      <c r="B6" s="3"/>
      <c r="C6" s="3" t="s">
        <v>18</v>
      </c>
      <c r="D6" s="3" t="s">
        <v>19</v>
      </c>
      <c r="E6" s="3"/>
      <c r="F6" s="3" t="s">
        <v>20</v>
      </c>
      <c r="G6" s="3" t="s">
        <v>21</v>
      </c>
      <c r="H6" s="3">
        <v>60000.0</v>
      </c>
      <c r="I6" s="26">
        <v>43221.0</v>
      </c>
      <c r="J6" s="26">
        <v>43227.0</v>
      </c>
      <c r="K6" s="26">
        <v>43216.0</v>
      </c>
      <c r="L6" s="26">
        <v>43210.0</v>
      </c>
      <c r="M6" s="3"/>
      <c r="N6" s="3"/>
      <c r="O6" s="3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</row>
    <row r="7" ht="15.75" customHeight="1">
      <c r="A7" s="3"/>
      <c r="B7" s="3"/>
      <c r="C7" s="3"/>
      <c r="D7" s="3"/>
      <c r="E7" s="3"/>
      <c r="F7" s="3"/>
      <c r="G7" s="3"/>
      <c r="H7" s="29"/>
      <c r="I7" s="26"/>
      <c r="J7" s="26"/>
      <c r="K7" s="26"/>
      <c r="L7" s="26"/>
      <c r="M7" s="3"/>
      <c r="N7" s="3"/>
      <c r="O7" s="3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DeleteCashTransaction!$4:$4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67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IFERROR(__xludf.DUMMYFUNCTION("""COMPUTED_VALUE"""),"CashTransactionId")</f>
        <v>CashTransactionId</v>
      </c>
      <c r="C5" s="23" t="str">
        <f>IFERROR(__xludf.DUMMYFUNCTION("""COMPUTED_VALUE"""),"Activity Type")</f>
        <v>Activity Type</v>
      </c>
      <c r="D5" s="23" t="str">
        <f>IFERROR(__xludf.DUMMYFUNCTION("""COMPUTED_VALUE"""),"Symbol")</f>
        <v>Symbol</v>
      </c>
      <c r="E5" s="23" t="str">
        <f>IFERROR(__xludf.DUMMYFUNCTION("""COMPUTED_VALUE"""),"Strategy")</f>
        <v>Strategy</v>
      </c>
      <c r="F5" s="23" t="str">
        <f>IFERROR(__xludf.DUMMYFUNCTION("""COMPUTED_VALUE"""),"Account")</f>
        <v>Account</v>
      </c>
      <c r="G5" s="23" t="str">
        <f>IFERROR(__xludf.DUMMYFUNCTION("""COMPUTED_VALUE"""),"Currency")</f>
        <v>Currency</v>
      </c>
      <c r="H5" s="23" t="str">
        <f>IFERROR(__xludf.DUMMYFUNCTION("""COMPUTED_VALUE"""),"Amount")</f>
        <v>Amount</v>
      </c>
      <c r="I5" s="23" t="str">
        <f>IFERROR(__xludf.DUMMYFUNCTION("""COMPUTED_VALUE"""),"Ex Date")</f>
        <v>Ex Date</v>
      </c>
      <c r="J5" s="23" t="str">
        <f>IFERROR(__xludf.DUMMYFUNCTION("""COMPUTED_VALUE"""),"Payout Date")</f>
        <v>Payout Date</v>
      </c>
      <c r="K5" s="23" t="str">
        <f>IFERROR(__xludf.DUMMYFUNCTION("""COMPUTED_VALUE"""),"Record Date")</f>
        <v>Record Date</v>
      </c>
      <c r="L5" s="23" t="str">
        <f>IFERROR(__xludf.DUMMYFUNCTION("""COMPUTED_VALUE"""),"Declaration Date")</f>
        <v>Declaration Date</v>
      </c>
      <c r="M5" s="23" t="str">
        <f>IFERROR(__xludf.DUMMYFUNCTION("""COMPUTED_VALUE"""),"Description")</f>
        <v>Description</v>
      </c>
      <c r="N5" s="23" t="str">
        <f>IFERROR(__xludf.DUMMYFUNCTION("""COMPUTED_VALUE"""),"Other Currency")</f>
        <v>Other Currency</v>
      </c>
      <c r="O5" s="23" t="str">
        <f>IFERROR(__xludf.DUMMYFUNCTION("""COMPUTED_VALUE"""),"FXRate")</f>
        <v>FXRate</v>
      </c>
      <c r="P5" s="23" t="str">
        <f>IFERROR(__xludf.DUMMYFUNCTION("""COMPUTED_VALUE"""),"FXConversionMethodOperator")</f>
        <v>FXConversionMethodOperator</v>
      </c>
      <c r="Q5" s="23" t="str">
        <f>IFERROR(__xludf.DUMMYFUNCTION("""COMPUTED_VALUE"""),"Transaction Source")</f>
        <v>Transaction Source</v>
      </c>
      <c r="R5" s="23" t="str">
        <f>IFERROR(__xludf.DUMMYFUNCTION("""COMPUTED_VALUE"""),"Entry Date")</f>
        <v>Entry Date</v>
      </c>
      <c r="S5" s="23" t="str">
        <f>IFERROR(__xludf.DUMMYFUNCTION("""COMPUTED_VALUE"""),"Modify Date")</f>
        <v>Modify Date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6"/>
      <c r="B6" s="6"/>
      <c r="C6" s="3" t="s">
        <v>18</v>
      </c>
      <c r="D6" s="3"/>
      <c r="E6" s="3"/>
      <c r="F6" s="3" t="s">
        <v>20</v>
      </c>
      <c r="G6" s="3"/>
      <c r="H6" s="3">
        <v>50000.0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SelectCashTransaction2!$4:$4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69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IFERROR(__xludf.DUMMYFUNCTION("""COMPUTED_VALUE"""),"CashTransactionId")</f>
        <v>CashTransactionId</v>
      </c>
      <c r="C5" s="23" t="str">
        <f>IFERROR(__xludf.DUMMYFUNCTION("""COMPUTED_VALUE"""),"Activity Type")</f>
        <v>Activity Type</v>
      </c>
      <c r="D5" s="23" t="str">
        <f>IFERROR(__xludf.DUMMYFUNCTION("""COMPUTED_VALUE"""),"Symbol")</f>
        <v>Symbol</v>
      </c>
      <c r="E5" s="23" t="str">
        <f>IFERROR(__xludf.DUMMYFUNCTION("""COMPUTED_VALUE"""),"Strategy")</f>
        <v>Strategy</v>
      </c>
      <c r="F5" s="23" t="str">
        <f>IFERROR(__xludf.DUMMYFUNCTION("""COMPUTED_VALUE"""),"Account")</f>
        <v>Account</v>
      </c>
      <c r="G5" s="23" t="str">
        <f>IFERROR(__xludf.DUMMYFUNCTION("""COMPUTED_VALUE"""),"Currency")</f>
        <v>Currency</v>
      </c>
      <c r="H5" s="23" t="str">
        <f>IFERROR(__xludf.DUMMYFUNCTION("""COMPUTED_VALUE"""),"Amount")</f>
        <v>Amount</v>
      </c>
      <c r="I5" s="23" t="str">
        <f>IFERROR(__xludf.DUMMYFUNCTION("""COMPUTED_VALUE"""),"Ex Date")</f>
        <v>Ex Date</v>
      </c>
      <c r="J5" s="23" t="str">
        <f>IFERROR(__xludf.DUMMYFUNCTION("""COMPUTED_VALUE"""),"Payout Date")</f>
        <v>Payout Date</v>
      </c>
      <c r="K5" s="23" t="str">
        <f>IFERROR(__xludf.DUMMYFUNCTION("""COMPUTED_VALUE"""),"Record Date")</f>
        <v>Record Date</v>
      </c>
      <c r="L5" s="23" t="str">
        <f>IFERROR(__xludf.DUMMYFUNCTION("""COMPUTED_VALUE"""),"Declaration Date")</f>
        <v>Declaration Date</v>
      </c>
      <c r="M5" s="23" t="str">
        <f>IFERROR(__xludf.DUMMYFUNCTION("""COMPUTED_VALUE"""),"Description")</f>
        <v>Description</v>
      </c>
      <c r="N5" s="23" t="str">
        <f>IFERROR(__xludf.DUMMYFUNCTION("""COMPUTED_VALUE"""),"Other Currency")</f>
        <v>Other Currency</v>
      </c>
      <c r="O5" s="23" t="str">
        <f>IFERROR(__xludf.DUMMYFUNCTION("""COMPUTED_VALUE"""),"FXRate")</f>
        <v>FXRate</v>
      </c>
      <c r="P5" s="23" t="str">
        <f>IFERROR(__xludf.DUMMYFUNCTION("""COMPUTED_VALUE"""),"FXConversionMethodOperator")</f>
        <v>FXConversionMethodOperator</v>
      </c>
      <c r="Q5" s="23" t="str">
        <f>IFERROR(__xludf.DUMMYFUNCTION("""COMPUTED_VALUE"""),"Transaction Source")</f>
        <v>Transaction Source</v>
      </c>
      <c r="R5" s="23" t="str">
        <f>IFERROR(__xludf.DUMMYFUNCTION("""COMPUTED_VALUE"""),"Entry Date")</f>
        <v>Entry Date</v>
      </c>
      <c r="S5" s="23" t="str">
        <f>IFERROR(__xludf.DUMMYFUNCTION("""COMPUTED_VALUE"""),"Modify Date")</f>
        <v>Modify Date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6"/>
      <c r="B6" s="6"/>
      <c r="C6" s="3" t="s">
        <v>18</v>
      </c>
      <c r="D6" s="3" t="s">
        <v>19</v>
      </c>
      <c r="E6" s="3"/>
      <c r="F6" s="3" t="s">
        <v>20</v>
      </c>
      <c r="G6" s="3" t="s">
        <v>21</v>
      </c>
      <c r="H6" s="29">
        <v>50000.0</v>
      </c>
      <c r="I6" s="26">
        <v>43220.0</v>
      </c>
      <c r="J6" s="26">
        <v>43223.0</v>
      </c>
      <c r="K6" s="26">
        <v>43217.0</v>
      </c>
      <c r="L6" s="26">
        <v>43213.0</v>
      </c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DeleteCashTransaction1!$4:$4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8" t="s">
        <v>12</v>
      </c>
      <c r="D3" s="4" t="s">
        <v>9</v>
      </c>
      <c r="E3" s="18" t="s">
        <v>67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IFERROR(__xludf.DUMMYFUNCTION("""COMPUTED_VALUE"""),"CashTransactionId")</f>
        <v>CashTransactionId</v>
      </c>
      <c r="C5" s="23" t="str">
        <f>IFERROR(__xludf.DUMMYFUNCTION("""COMPUTED_VALUE"""),"Activity Type")</f>
        <v>Activity Type</v>
      </c>
      <c r="D5" s="23" t="str">
        <f>IFERROR(__xludf.DUMMYFUNCTION("""COMPUTED_VALUE"""),"Symbol")</f>
        <v>Symbol</v>
      </c>
      <c r="E5" s="23" t="str">
        <f>IFERROR(__xludf.DUMMYFUNCTION("""COMPUTED_VALUE"""),"Strategy")</f>
        <v>Strategy</v>
      </c>
      <c r="F5" s="31" t="str">
        <f>IFERROR(__xludf.DUMMYFUNCTION("""COMPUTED_VALUE"""),"Account")</f>
        <v>Account</v>
      </c>
      <c r="G5" s="23" t="str">
        <f>IFERROR(__xludf.DUMMYFUNCTION("""COMPUTED_VALUE"""),"Currency")</f>
        <v>Currency</v>
      </c>
      <c r="H5" s="23" t="str">
        <f>IFERROR(__xludf.DUMMYFUNCTION("""COMPUTED_VALUE"""),"Amount")</f>
        <v>Amount</v>
      </c>
      <c r="I5" s="23" t="str">
        <f>IFERROR(__xludf.DUMMYFUNCTION("""COMPUTED_VALUE"""),"Ex Date")</f>
        <v>Ex Date</v>
      </c>
      <c r="J5" s="23" t="str">
        <f>IFERROR(__xludf.DUMMYFUNCTION("""COMPUTED_VALUE"""),"Payout Date")</f>
        <v>Payout Date</v>
      </c>
      <c r="K5" s="23" t="str">
        <f>IFERROR(__xludf.DUMMYFUNCTION("""COMPUTED_VALUE"""),"Record Date")</f>
        <v>Record Date</v>
      </c>
      <c r="L5" s="23" t="str">
        <f>IFERROR(__xludf.DUMMYFUNCTION("""COMPUTED_VALUE"""),"Declaration Date")</f>
        <v>Declaration Date</v>
      </c>
      <c r="M5" s="23" t="str">
        <f>IFERROR(__xludf.DUMMYFUNCTION("""COMPUTED_VALUE"""),"Description")</f>
        <v>Description</v>
      </c>
      <c r="N5" s="23" t="str">
        <f>IFERROR(__xludf.DUMMYFUNCTION("""COMPUTED_VALUE"""),"Other Currency")</f>
        <v>Other Currency</v>
      </c>
      <c r="O5" s="23" t="str">
        <f>IFERROR(__xludf.DUMMYFUNCTION("""COMPUTED_VALUE"""),"FXRate")</f>
        <v>FXRate</v>
      </c>
      <c r="P5" s="23" t="str">
        <f>IFERROR(__xludf.DUMMYFUNCTION("""COMPUTED_VALUE"""),"FXConversionMethodOperator")</f>
        <v>FXConversionMethodOperator</v>
      </c>
      <c r="Q5" s="23" t="str">
        <f>IFERROR(__xludf.DUMMYFUNCTION("""COMPUTED_VALUE"""),"Transaction Source")</f>
        <v>Transaction Source</v>
      </c>
      <c r="R5" s="23" t="str">
        <f>IFERROR(__xludf.DUMMYFUNCTION("""COMPUTED_VALUE"""),"Entry Date")</f>
        <v>Entry Date</v>
      </c>
      <c r="S5" s="23" t="str">
        <f>IFERROR(__xludf.DUMMYFUNCTION("""COMPUTED_VALUE"""),"Modify Date")</f>
        <v>Modify Date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32"/>
      <c r="B6" s="33"/>
      <c r="C6" s="92" t="s">
        <v>22</v>
      </c>
      <c r="D6" s="33"/>
      <c r="E6" s="35"/>
      <c r="F6" s="35" t="s">
        <v>23</v>
      </c>
      <c r="G6" s="35" t="s">
        <v>21</v>
      </c>
      <c r="H6" s="40">
        <v>20000.0</v>
      </c>
      <c r="I6" s="38">
        <v>43222.0</v>
      </c>
      <c r="J6" s="38">
        <v>43223.0</v>
      </c>
      <c r="K6" s="93"/>
      <c r="L6" s="93"/>
      <c r="M6" s="35"/>
      <c r="N6" s="35"/>
      <c r="O6" s="40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SelectCashTransaction3!$4:$4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8" t="s">
        <v>12</v>
      </c>
      <c r="D3" s="4" t="s">
        <v>9</v>
      </c>
      <c r="E3" s="18" t="s">
        <v>69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IFERROR(__xludf.DUMMYFUNCTION("""COMPUTED_VALUE"""),"CashTransactionId")</f>
        <v>CashTransactionId</v>
      </c>
      <c r="C5" s="23" t="str">
        <f>IFERROR(__xludf.DUMMYFUNCTION("""COMPUTED_VALUE"""),"Activity Type")</f>
        <v>Activity Type</v>
      </c>
      <c r="D5" s="23" t="str">
        <f>IFERROR(__xludf.DUMMYFUNCTION("""COMPUTED_VALUE"""),"Symbol")</f>
        <v>Symbol</v>
      </c>
      <c r="E5" s="23" t="str">
        <f>IFERROR(__xludf.DUMMYFUNCTION("""COMPUTED_VALUE"""),"Strategy")</f>
        <v>Strategy</v>
      </c>
      <c r="F5" s="31" t="str">
        <f>IFERROR(__xludf.DUMMYFUNCTION("""COMPUTED_VALUE"""),"Account")</f>
        <v>Account</v>
      </c>
      <c r="G5" s="23" t="str">
        <f>IFERROR(__xludf.DUMMYFUNCTION("""COMPUTED_VALUE"""),"Currency")</f>
        <v>Currency</v>
      </c>
      <c r="H5" s="23" t="str">
        <f>IFERROR(__xludf.DUMMYFUNCTION("""COMPUTED_VALUE"""),"Amount")</f>
        <v>Amount</v>
      </c>
      <c r="I5" s="23" t="str">
        <f>IFERROR(__xludf.DUMMYFUNCTION("""COMPUTED_VALUE"""),"Ex Date")</f>
        <v>Ex Date</v>
      </c>
      <c r="J5" s="23" t="str">
        <f>IFERROR(__xludf.DUMMYFUNCTION("""COMPUTED_VALUE"""),"Payout Date")</f>
        <v>Payout Date</v>
      </c>
      <c r="K5" s="23" t="str">
        <f>IFERROR(__xludf.DUMMYFUNCTION("""COMPUTED_VALUE"""),"Record Date")</f>
        <v>Record Date</v>
      </c>
      <c r="L5" s="23" t="str">
        <f>IFERROR(__xludf.DUMMYFUNCTION("""COMPUTED_VALUE"""),"Declaration Date")</f>
        <v>Declaration Date</v>
      </c>
      <c r="M5" s="23" t="str">
        <f>IFERROR(__xludf.DUMMYFUNCTION("""COMPUTED_VALUE"""),"Description")</f>
        <v>Description</v>
      </c>
      <c r="N5" s="23" t="str">
        <f>IFERROR(__xludf.DUMMYFUNCTION("""COMPUTED_VALUE"""),"Other Currency")</f>
        <v>Other Currency</v>
      </c>
      <c r="O5" s="23" t="str">
        <f>IFERROR(__xludf.DUMMYFUNCTION("""COMPUTED_VALUE"""),"FXRate")</f>
        <v>FXRate</v>
      </c>
      <c r="P5" s="23" t="str">
        <f>IFERROR(__xludf.DUMMYFUNCTION("""COMPUTED_VALUE"""),"FXConversionMethodOperator")</f>
        <v>FXConversionMethodOperator</v>
      </c>
      <c r="Q5" s="23" t="str">
        <f>IFERROR(__xludf.DUMMYFUNCTION("""COMPUTED_VALUE"""),"Transaction Source")</f>
        <v>Transaction Source</v>
      </c>
      <c r="R5" s="23" t="str">
        <f>IFERROR(__xludf.DUMMYFUNCTION("""COMPUTED_VALUE"""),"Entry Date")</f>
        <v>Entry Date</v>
      </c>
      <c r="S5" s="23" t="str">
        <f>IFERROR(__xludf.DUMMYFUNCTION("""COMPUTED_VALUE"""),"Modify Date")</f>
        <v>Modify Date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32"/>
      <c r="B6" s="33"/>
      <c r="C6" s="92" t="s">
        <v>22</v>
      </c>
      <c r="D6" s="33"/>
      <c r="E6" s="35"/>
      <c r="F6" s="35" t="s">
        <v>23</v>
      </c>
      <c r="G6" s="35" t="s">
        <v>21</v>
      </c>
      <c r="H6" s="40">
        <v>20000.0</v>
      </c>
      <c r="I6" s="38">
        <v>43222.0</v>
      </c>
      <c r="J6" s="38">
        <v>43223.0</v>
      </c>
      <c r="K6" s="93"/>
      <c r="L6" s="93"/>
      <c r="M6" s="35"/>
      <c r="N6" s="35"/>
      <c r="O6" s="40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DeleteCashTransaction2!$4:$4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34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IFERROR(__xludf.DUMMYFUNCTION("""COMPUTED_VALUE"""),"Account")</f>
        <v>Account</v>
      </c>
      <c r="C5" s="23" t="str">
        <f>IFERROR(__xludf.DUMMYFUNCTION("""COMPUTED_VALUE"""),"Activity Source")</f>
        <v>Activity Source</v>
      </c>
      <c r="D5" s="31" t="str">
        <f>IFERROR(__xludf.DUMMYFUNCTION("""COMPUTED_VALUE"""),"ActivityType")</f>
        <v>ActivityType</v>
      </c>
      <c r="E5" s="23" t="str">
        <f>IFERROR(__xludf.DUMMYFUNCTION("""COMPUTED_VALUE"""),"Net Amount(Local)")</f>
        <v>Net Amount(Local)</v>
      </c>
      <c r="F5" s="23" t="str">
        <f>IFERROR(__xludf.DUMMYFUNCTION("""COMPUTED_VALUE"""),"AUEC Fee1")</f>
        <v>AUEC Fee1</v>
      </c>
      <c r="G5" s="23" t="str">
        <f>IFERROR(__xludf.DUMMYFUNCTION("""COMPUTED_VALUE"""),"AUEC Fee2")</f>
        <v>AUEC Fee2</v>
      </c>
      <c r="H5" s="23" t="str">
        <f>IFERROR(__xludf.DUMMYFUNCTION("""COMPUTED_VALUE"""),"Balance Type")</f>
        <v>Balance Type</v>
      </c>
      <c r="I5" s="23" t="str">
        <f>IFERROR(__xludf.DUMMYFUNCTION("""COMPUTED_VALUE"""),"Clearing Broker Fees")</f>
        <v>Clearing Broker Fees</v>
      </c>
      <c r="J5" s="23" t="str">
        <f>IFERROR(__xludf.DUMMYFUNCTION("""COMPUTED_VALUE"""),"Commission")</f>
        <v>Commission</v>
      </c>
      <c r="K5" s="23" t="str">
        <f>IFERROR(__xludf.DUMMYFUNCTION("""COMPUTED_VALUE"""),"Currency")</f>
        <v>Currency</v>
      </c>
      <c r="L5" s="23" t="str">
        <f>IFERROR(__xludf.DUMMYFUNCTION("""COMPUTED_VALUE"""),"Description")</f>
        <v>Description</v>
      </c>
      <c r="M5" s="23" t="str">
        <f>IFERROR(__xludf.DUMMYFUNCTION("""COMPUTED_VALUE"""),"Entry Date")</f>
        <v>Entry Date</v>
      </c>
      <c r="N5" s="23" t="str">
        <f>IFERROR(__xludf.DUMMYFUNCTION("""COMPUTED_VALUE"""),"FX Conversion Method Operator")</f>
        <v>FX Conversion Method Operator</v>
      </c>
      <c r="O5" s="23" t="str">
        <f>IFERROR(__xludf.DUMMYFUNCTION("""COMPUTED_VALUE"""),"Fx Rate")</f>
        <v>Fx Rate</v>
      </c>
      <c r="P5" s="23" t="str">
        <f>IFERROR(__xludf.DUMMYFUNCTION("""COMPUTED_VALUE"""),"Lead Currency")</f>
        <v>Lead Currency</v>
      </c>
      <c r="Q5" s="23" t="str">
        <f>IFERROR(__xludf.DUMMYFUNCTION("""COMPUTED_VALUE"""),"Modify date")</f>
        <v>Modify date</v>
      </c>
      <c r="R5" s="23" t="str">
        <f>IFERROR(__xludf.DUMMYFUNCTION("""COMPUTED_VALUE"""),"OCC Fee")</f>
        <v>OCC Fee</v>
      </c>
      <c r="S5" s="23" t="str">
        <f>IFERROR(__xludf.DUMMYFUNCTION("""COMPUTED_VALUE"""),"OptionPremiumAdjustment")</f>
        <v>OptionPremiumAdjustment</v>
      </c>
      <c r="T5" s="24" t="str">
        <f>IFERROR(__xludf.DUMMYFUNCTION("""COMPUTED_VALUE"""),"ORF Fee")</f>
        <v>ORF Fee</v>
      </c>
      <c r="U5" s="24" t="str">
        <f>IFERROR(__xludf.DUMMYFUNCTION("""COMPUTED_VALUE"""),"Other Broker Fees")</f>
        <v>Other Broker Fees</v>
      </c>
      <c r="V5" s="24" t="str">
        <f>IFERROR(__xludf.DUMMYFUNCTION("""COMPUTED_VALUE"""),"Quantity")</f>
        <v>Quantity</v>
      </c>
      <c r="W5" s="24" t="str">
        <f>IFERROR(__xludf.DUMMYFUNCTION("""COMPUTED_VALUE"""),"SEC Fee")</f>
        <v>SEC Fee</v>
      </c>
      <c r="X5" s="24" t="str">
        <f>IFERROR(__xludf.DUMMYFUNCTION("""COMPUTED_VALUE"""),"Settlement Currency")</f>
        <v>Settlement Currency</v>
      </c>
      <c r="Y5" s="24" t="str">
        <f>IFERROR(__xludf.DUMMYFUNCTION("""COMPUTED_VALUE"""),"Settlement Date")</f>
        <v>Settlement Date</v>
      </c>
      <c r="Z5" s="24" t="str">
        <f>IFERROR(__xludf.DUMMYFUNCTION("""COMPUTED_VALUE"""),"Soft Commission")</f>
        <v>Soft Commission</v>
      </c>
      <c r="AA5" s="24" t="str">
        <f>IFERROR(__xludf.DUMMYFUNCTION("""COMPUTED_VALUE"""),"Stamp Duty")</f>
        <v>Stamp Duty</v>
      </c>
      <c r="AB5" s="24" t="str">
        <f>IFERROR(__xludf.DUMMYFUNCTION("""COMPUTED_VALUE"""),"Symbol")</f>
        <v>Symbol</v>
      </c>
      <c r="AC5" s="24" t="str">
        <f>IFERROR(__xludf.DUMMYFUNCTION("""COMPUTED_VALUE"""),"Tax On Commissions")</f>
        <v>Tax On Commissions</v>
      </c>
      <c r="AD5" s="24" t="str">
        <f>IFERROR(__xludf.DUMMYFUNCTION("""COMPUTED_VALUE"""),"Total Commissions")</f>
        <v>Total Commissions</v>
      </c>
      <c r="AE5" s="24" t="str">
        <f>IFERROR(__xludf.DUMMYFUNCTION("""COMPUTED_VALUE"""),"Trade Date")</f>
        <v>Trade Date</v>
      </c>
      <c r="AF5" s="24" t="str">
        <f>IFERROR(__xludf.DUMMYFUNCTION("""COMPUTED_VALUE"""),"Transaction Levy")</f>
        <v>Transaction Levy</v>
      </c>
      <c r="AG5" s="24" t="str">
        <f>IFERROR(__xludf.DUMMYFUNCTION("""COMPUTED_VALUE"""),"Transaction Source")</f>
        <v>Transaction Source</v>
      </c>
      <c r="AH5" s="24" t="str">
        <f>IFERROR(__xludf.DUMMYFUNCTION("""COMPUTED_VALUE"""),"User")</f>
        <v>User</v>
      </c>
      <c r="AI5" s="24" t="str">
        <f>IFERROR(__xludf.DUMMYFUNCTION("""COMPUTED_VALUE"""),"Vs Currency")</f>
        <v>Vs Currency</v>
      </c>
      <c r="AJ5" s="24" t="str">
        <f>IFERROR(__xludf.DUMMYFUNCTION("""COMPUTED_VALUE"""),"SettlCurrencyID")</f>
        <v>SettlCurrencyID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K6" s="94" t="b">
        <v>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VerifyActivity3!$4:$4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12</v>
      </c>
      <c r="D3" s="4" t="s">
        <v>9</v>
      </c>
      <c r="E3" s="10" t="s">
        <v>64</v>
      </c>
      <c r="F3" s="4" t="s">
        <v>14</v>
      </c>
      <c r="G3" s="10" t="s">
        <v>15</v>
      </c>
      <c r="H3" s="4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5.75" customHeight="1">
      <c r="A4" s="20"/>
      <c r="B4" s="20" t="str">
        <f>IFERROR(__xludf.DUMMYFUNCTION("IF(C3="""","""",Transpose(IMPORTRANGE('_Settings'!$B$3,C3&amp;""!A4:A1000"")))"),"GetDataCash")</f>
        <v>GetDataCash</v>
      </c>
      <c r="C4" s="20" t="str">
        <f>IFERROR(__xludf.DUMMYFUNCTION("""COMPUTED_VALUE"""),"EnterCashDividends")</f>
        <v>EnterCashDividends</v>
      </c>
      <c r="D4" s="20" t="str">
        <f>IFERROR(__xludf.DUMMYFUNCTION("""COMPUTED_VALUE"""),"EnterNonTradingTransaction")</f>
        <v>EnterNonTradingTransaction</v>
      </c>
      <c r="E4" s="20" t="str">
        <f>IFERROR(__xludf.DUMMYFUNCTION("""COMPUTED_VALUE"""),"VerifyCash")</f>
        <v>VerifyCash</v>
      </c>
      <c r="F4" s="20" t="str">
        <f>IFERROR(__xludf.DUMMYFUNCTION("""COMPUTED_VALUE"""),"VerifyActivity")</f>
        <v>VerifyActivity</v>
      </c>
      <c r="G4" s="20" t="str">
        <f>IFERROR(__xludf.DUMMYFUNCTION("""COMPUTED_VALUE"""),"VerifyTradingTransaction")</f>
        <v>VerifyTradingTransaction</v>
      </c>
      <c r="H4" s="20" t="str">
        <f>IFERROR(__xludf.DUMMYFUNCTION("""COMPUTED_VALUE"""),"VerifyRevaluationData")</f>
        <v>VerifyRevaluationData</v>
      </c>
      <c r="I4" s="20" t="str">
        <f>IFERROR(__xludf.DUMMYFUNCTION("""COMPUTED_VALUE"""),"GetTradingTransaction")</f>
        <v>GetTradingTransaction</v>
      </c>
      <c r="J4" s="20" t="str">
        <f>IFERROR(__xludf.DUMMYFUNCTION("""COMPUTED_VALUE"""),"GetActivityData")</f>
        <v>GetActivityData</v>
      </c>
      <c r="K4" s="20" t="str">
        <f>IFERROR(__xludf.DUMMYFUNCTION("""COMPUTED_VALUE"""),"GetRevaluationData")</f>
        <v>GetRevaluationData</v>
      </c>
      <c r="L4" s="20" t="str">
        <f>IFERROR(__xludf.DUMMYFUNCTION("""COMPUTED_VALUE"""),"GetAccountDetails")</f>
        <v>GetAccountDetails</v>
      </c>
      <c r="M4" s="20" t="str">
        <f>IFERROR(__xludf.DUMMYFUNCTION("""COMPUTED_VALUE"""),"GetNonTradingTransaction")</f>
        <v>GetNonTradingTransaction</v>
      </c>
      <c r="N4" s="20" t="str">
        <f>IFERROR(__xludf.DUMMYFUNCTION("""COMPUTED_VALUE"""),"GetDividendData")</f>
        <v>GetDividendData</v>
      </c>
      <c r="O4" s="20" t="str">
        <f>IFERROR(__xludf.DUMMYFUNCTION("""COMPUTED_VALUE"""),"VerifyNonTradingTransaction")</f>
        <v>VerifyNonTradingTransaction</v>
      </c>
      <c r="P4" s="21" t="str">
        <f>IFERROR(__xludf.DUMMYFUNCTION("""COMPUTED_VALUE"""),"VerifyDividend")</f>
        <v>VerifyDividend</v>
      </c>
      <c r="Q4" s="21" t="str">
        <f>IFERROR(__xludf.DUMMYFUNCTION("""COMPUTED_VALUE"""),"GetOpeningBalanceData")</f>
        <v>GetOpeningBalanceData</v>
      </c>
      <c r="R4" s="21" t="str">
        <f>IFERROR(__xludf.DUMMYFUNCTION("""COMPUTED_VALUE"""),"GetAccountBalance")</f>
        <v>GetAccountBalance</v>
      </c>
      <c r="S4" s="21" t="str">
        <f>IFERROR(__xludf.DUMMYFUNCTION("""COMPUTED_VALUE"""),"SelectNonTradingTransaction")</f>
        <v>SelectNonTradingTransaction</v>
      </c>
      <c r="T4" s="21" t="str">
        <f>IFERROR(__xludf.DUMMYFUNCTION("""COMPUTED_VALUE"""),"SelectNonTradingTranItem")</f>
        <v>SelectNonTradingTranItem</v>
      </c>
      <c r="U4" s="21" t="str">
        <f>IFERROR(__xludf.DUMMYFUNCTION("""COMPUTED_VALUE"""),"DeleteNonTradingTransaction")</f>
        <v>DeleteNonTradingTransaction</v>
      </c>
      <c r="V4" s="21" t="str">
        <f>IFERROR(__xludf.DUMMYFUNCTION("""COMPUTED_VALUE"""),"DeleteNonTradingTranItem")</f>
        <v>DeleteNonTradingTranItem</v>
      </c>
      <c r="W4" s="21" t="str">
        <f>IFERROR(__xludf.DUMMYFUNCTION("""COMPUTED_VALUE"""),"AddNonTradingTransaction")</f>
        <v>AddNonTradingTransaction</v>
      </c>
      <c r="X4" s="21" t="str">
        <f>IFERROR(__xludf.DUMMYFUNCTION("""COMPUTED_VALUE"""),"AddNonTradingTranItem")</f>
        <v>AddNonTradingTranItem</v>
      </c>
      <c r="Y4" s="21" t="str">
        <f>IFERROR(__xludf.DUMMYFUNCTION("""COMPUTED_VALUE"""),"VerifyOpeningBalanceData")</f>
        <v>VerifyOpeningBalanceData</v>
      </c>
      <c r="Z4" s="21" t="str">
        <f>IFERROR(__xludf.DUMMYFUNCTION("""COMPUTED_VALUE"""),"SelectOpeningBalanceTransaction")</f>
        <v>SelectOpeningBalanceTransaction</v>
      </c>
      <c r="AA4" s="21" t="str">
        <f>IFERROR(__xludf.DUMMYFUNCTION("""COMPUTED_VALUE"""),"SelectOpeningBalanceTranItem")</f>
        <v>SelectOpeningBalanceTranItem</v>
      </c>
      <c r="AB4" s="21" t="str">
        <f>IFERROR(__xludf.DUMMYFUNCTION("""COMPUTED_VALUE"""),"EditNonTradingTransaction")</f>
        <v>EditNonTradingTransaction</v>
      </c>
      <c r="AC4" s="21" t="str">
        <f>IFERROR(__xludf.DUMMYFUNCTION("""COMPUTED_VALUE"""),"EditNonTradingTranItem")</f>
        <v>EditNonTradingTranItem</v>
      </c>
      <c r="AD4" s="21" t="str">
        <f>IFERROR(__xludf.DUMMYFUNCTION("""COMPUTED_VALUE"""),"DeleteOpeningBalanceTransaction")</f>
        <v>DeleteOpeningBalanceTransaction</v>
      </c>
      <c r="AE4" s="21" t="str">
        <f>IFERROR(__xludf.DUMMYFUNCTION("""COMPUTED_VALUE"""),"DeleteOpeningBalanceTranItem")</f>
        <v>DeleteOpeningBalanceTranItem</v>
      </c>
      <c r="AF4" s="21" t="str">
        <f>IFERROR(__xludf.DUMMYFUNCTION("""COMPUTED_VALUE"""),"GetDayEndCash")</f>
        <v>GetDayEndCash</v>
      </c>
      <c r="AG4" s="21" t="str">
        <f>IFERROR(__xludf.DUMMYFUNCTION("""COMPUTED_VALUE"""),"VerifyDayEndCash")</f>
        <v>VerifyDayEndCash</v>
      </c>
      <c r="AH4" s="21" t="str">
        <f>IFERROR(__xludf.DUMMYFUNCTION("""COMPUTED_VALUE"""),"RunRevaluation")</f>
        <v>RunRevaluation</v>
      </c>
      <c r="AI4" s="21" t="str">
        <f>IFERROR(__xludf.DUMMYFUNCTION("""COMPUTED_VALUE"""),"CalculateDayEndCash")</f>
        <v>CalculateDayEndCash</v>
      </c>
      <c r="AJ4" s="21" t="str">
        <f>IFERROR(__xludf.DUMMYFUNCTION("""COMPUTED_VALUE"""),"GetCashTransaction")</f>
        <v>GetCashTransaction</v>
      </c>
      <c r="AK4" s="21" t="str">
        <f>IFERROR(__xludf.DUMMYFUNCTION("""COMPUTED_VALUE"""),"SelectCashTransaction")</f>
        <v>SelectCashTransaction</v>
      </c>
      <c r="AL4" s="21" t="str">
        <f>IFERROR(__xludf.DUMMYFUNCTION("""COMPUTED_VALUE"""),"DeleteCashTransaction")</f>
        <v>DeleteCashTransaction</v>
      </c>
      <c r="AM4" s="21" t="str">
        <f>IFERROR(__xludf.DUMMYFUNCTION("""COMPUTED_VALUE"""),"EditCashTransaction")</f>
        <v>EditCashTransaction</v>
      </c>
      <c r="AN4" s="21" t="str">
        <f>IFERROR(__xludf.DUMMYFUNCTION("""COMPUTED_VALUE"""),"AddCashTransaction")</f>
        <v>AddCashTransaction</v>
      </c>
      <c r="AO4" s="21" t="str">
        <f>IFERROR(__xludf.DUMMYFUNCTION("""COMPUTED_VALUE"""),"AddOpeningBalanceTransaction")</f>
        <v>AddOpeningBalanceTransaction</v>
      </c>
      <c r="AP4" s="21" t="str">
        <f>IFERROR(__xludf.DUMMYFUNCTION("""COMPUTED_VALUE"""),"AddOpeningBalanceTranItem")</f>
        <v>AddOpeningBalanceTranItem</v>
      </c>
      <c r="AQ4" s="21" t="str">
        <f>IFERROR(__xludf.DUMMYFUNCTION("""COMPUTED_VALUE"""),"GetDailyCalculationsData")</f>
        <v>GetDailyCalculationsData</v>
      </c>
      <c r="AR4" s="21" t="str">
        <f>IFERROR(__xludf.DUMMYFUNCTION("""COMPUTED_VALUE"""),"CalculateDailyCalculations")</f>
        <v>CalculateDailyCalculations</v>
      </c>
      <c r="AS4" s="21" t="str">
        <f>IFERROR(__xludf.DUMMYFUNCTION("""COMPUTED_VALUE"""),"EditOpeningBalanceTransaction")</f>
        <v>EditOpeningBalanceTransaction</v>
      </c>
      <c r="AT4" s="21" t="str">
        <f>IFERROR(__xludf.DUMMYFUNCTION("""COMPUTED_VALUE"""),"EditOpeningBalanceTranItem")</f>
        <v>EditOpeningBalanceTranItem</v>
      </c>
      <c r="AU4" s="21" t="str">
        <f>IFERROR(__xludf.DUMMYFUNCTION("""COMPUTED_VALUE"""),"VerifyDailyCalTransactions")</f>
        <v>VerifyDailyCalTransactions</v>
      </c>
      <c r="AV4" s="21" t="str">
        <f>IFERROR(__xludf.DUMMYFUNCTION("""COMPUTED_VALUE"""),"CloseGeneralLedger")</f>
        <v>CloseGeneralLedger</v>
      </c>
      <c r="AW4" s="21" t="str">
        <f>IFERROR(__xludf.DUMMYFUNCTION("""COMPUTED_VALUE"""),"VerifyAccountDetails")</f>
        <v>VerifyAccountDetails</v>
      </c>
      <c r="AX4" s="21" t="str">
        <f>IFERROR(__xludf.DUMMYFUNCTION("""COMPUTED_VALUE"""),"SaveTransaction")</f>
        <v>SaveTransaction</v>
      </c>
      <c r="AY4" s="21" t="str">
        <f>IFERROR(__xludf.DUMMYFUNCTION("""COMPUTED_VALUE"""),"VerifyCashTransaction")</f>
        <v>VerifyCashTransaction</v>
      </c>
      <c r="AZ4" s="21" t="str">
        <f>IFERROR(__xludf.DUMMYFUNCTION("""COMPUTED_VALUE"""),"VerifyAccountBalances")</f>
        <v>VerifyAccountBalances</v>
      </c>
      <c r="BA4" s="21" t="str">
        <f>IFERROR(__xludf.DUMMYFUNCTION("""COMPUTED_VALUE"""),"AddMultipleOpeningBalTranItem")</f>
        <v>AddMultipleOpeningBalTranItem</v>
      </c>
      <c r="BB4" s="21" t="str">
        <f>IFERROR(__xludf.DUMMYFUNCTION("""COMPUTED_VALUE"""),"FilterCashTransactionGrid")</f>
        <v>FilterCashTransactionGrid</v>
      </c>
      <c r="BC4" s="21" t="str">
        <f>IFERROR(__xludf.DUMMYFUNCTION("""COMPUTED_VALUE"""),"EditGridCashTransactions")</f>
        <v>EditGridCashTransactions</v>
      </c>
      <c r="BD4" s="21" t="str">
        <f>IFERROR(__xludf.DUMMYFUNCTION("""COMPUTED_VALUE"""),"SaveCashTransaction")</f>
        <v>SaveCashTransaction</v>
      </c>
      <c r="BE4" s="21" t="str">
        <f>IFERROR(__xludf.DUMMYFUNCTION("""COMPUTED_VALUE"""),"RunManualRevaluation")</f>
        <v>RunManualRevaluation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3" t="str">
        <f>IFERROR(__xludf.DUMMYFUNCTION("""COMPUTED_VALUE"""),"Date")</f>
        <v>Date</v>
      </c>
      <c r="C5" s="23" t="str">
        <f>IFERROR(__xludf.DUMMYFUNCTION("""COMPUTED_VALUE"""),"Account")</f>
        <v>Account</v>
      </c>
      <c r="D5" s="23" t="str">
        <f>IFERROR(__xludf.DUMMYFUNCTION("""COMPUTED_VALUE"""),"Symbol")</f>
        <v>Symbol</v>
      </c>
      <c r="E5" s="23" t="str">
        <f>IFERROR(__xludf.DUMMYFUNCTION("""COMPUTED_VALUE"""),"Currency")</f>
        <v>Currency</v>
      </c>
      <c r="F5" s="23" t="str">
        <f>IFERROR(__xludf.DUMMYFUNCTION("""COMPUTED_VALUE"""),"Cash Sub-Account")</f>
        <v>Cash Sub-Account</v>
      </c>
      <c r="G5" s="23" t="str">
        <f>IFERROR(__xludf.DUMMYFUNCTION("""COMPUTED_VALUE"""),"DR")</f>
        <v>DR</v>
      </c>
      <c r="H5" s="23" t="str">
        <f>IFERROR(__xludf.DUMMYFUNCTION("""COMPUTED_VALUE"""),"CR")</f>
        <v>CR</v>
      </c>
      <c r="I5" s="23" t="str">
        <f>IFERROR(__xludf.DUMMYFUNCTION("""COMPUTED_VALUE"""),"Modify Date")</f>
        <v>Modify Date</v>
      </c>
      <c r="J5" s="23" t="str">
        <f>IFERROR(__xludf.DUMMYFUNCTION("""COMPUTED_VALUE"""),"Entry Date")</f>
        <v>Entry Date</v>
      </c>
      <c r="K5" s="23" t="str">
        <f>IFERROR(__xludf.DUMMYFUNCTION("""COMPUTED_VALUE"""),"User")</f>
        <v>User</v>
      </c>
      <c r="L5" s="23" t="str">
        <f>IFERROR(__xludf.DUMMYFUNCTION("""COMPUTED_VALUE"""),"Fx Rate")</f>
        <v>Fx Rate</v>
      </c>
      <c r="M5" s="23" t="str">
        <f>IFERROR(__xludf.DUMMYFUNCTION("""COMPUTED_VALUE"""),"FX Conversion Method Operator")</f>
        <v>FX Conversion Method Operator</v>
      </c>
      <c r="N5" s="23" t="str">
        <f>IFERROR(__xludf.DUMMYFUNCTION("""COMPUTED_VALUE"""),"Account Side")</f>
        <v>Account Side</v>
      </c>
      <c r="O5" s="23" t="str">
        <f>IFERROR(__xludf.DUMMYFUNCTION("""COMPUTED_VALUE"""),"TransactionSource")</f>
        <v>TransactionSource</v>
      </c>
      <c r="P5" s="23" t="str">
        <f>IFERROR(__xludf.DUMMYFUNCTION("""COMPUTED_VALUE"""),"Base Currency")</f>
        <v>Base Currency</v>
      </c>
      <c r="Q5" s="23" t="str">
        <f>IFERROR(__xludf.DUMMYFUNCTION("""COMPUTED_VALUE"""),"Description")</f>
        <v>Description</v>
      </c>
      <c r="R5" s="23" t="str">
        <f>IFERROR(__xludf.DUMMYFUNCTION("""COMPUTED_VALUE"""),"DR (Base)")</f>
        <v>DR (Base)</v>
      </c>
      <c r="S5" s="23" t="str">
        <f>IFERROR(__xludf.DUMMYFUNCTION("""COMPUTED_VALUE"""),"CR (Base)")</f>
        <v>CR (Base)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T6" s="94" t="b">
        <v>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VerifyRevaluationData2!$4:$4</formula1>
    </dataValidation>
  </dataValidations>
  <drawing r:id="rId1"/>
</worksheet>
</file>