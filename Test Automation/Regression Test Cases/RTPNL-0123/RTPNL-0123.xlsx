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CreateGroupingWidget" sheetId="6" r:id="rId8"/>
    <sheet state="visible" name="AddWidget1" sheetId="7" r:id="rId9"/>
    <sheet state="visible" name="CustomOrderTT1" sheetId="8" r:id="rId10"/>
    <sheet state="visible" name="CustomOrderTT" sheetId="9" r:id="rId11"/>
    <sheet state="visible" name="CheckAccountLevelAggregation" sheetId="10" r:id="rId12"/>
    <sheet state="visible" name="SortALA" sheetId="11" r:id="rId13"/>
    <sheet state="visible" name="CloseRTPNL" sheetId="12" r:id="rId14"/>
    <sheet state="visible" name="OpenRTPNL1" sheetId="13" r:id="rId15"/>
  </sheets>
  <definedNames/>
  <calcPr/>
</workbook>
</file>

<file path=xl/sharedStrings.xml><?xml version="1.0" encoding="utf-8"?>
<sst xmlns="http://schemas.openxmlformats.org/spreadsheetml/2006/main" count="112" uniqueCount="44">
  <si>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</si>
  <si>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</si>
  <si>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</si>
  <si>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</si>
  <si>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</si>
  <si>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</si>
  <si>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</si>
  <si>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</si>
  <si>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</si>
  <si>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</si>
  <si>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</si>
  <si>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</si>
  <si>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</si>
  <si>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</si>
  <si>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</si>
  <si>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</si>
  <si>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</si>
  <si>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yash</t>
  </si>
  <si>
    <t>AddWidget</t>
  </si>
  <si>
    <t>ABC</t>
  </si>
  <si>
    <t>Grouping</t>
  </si>
  <si>
    <t>Account</t>
  </si>
  <si>
    <t>CreateGroupingWidget</t>
  </si>
  <si>
    <t>Fund</t>
  </si>
  <si>
    <t>Create</t>
  </si>
  <si>
    <t>ABC1</t>
  </si>
  <si>
    <t>Aggregation</t>
  </si>
  <si>
    <t>TradingTicket</t>
  </si>
  <si>
    <t>CustomOrderTT</t>
  </si>
  <si>
    <t>AAPL</t>
  </si>
  <si>
    <t>DoneAway</t>
  </si>
  <si>
    <t>Allocation2</t>
  </si>
  <si>
    <t>Sell short</t>
  </si>
  <si>
    <t>Allocation1</t>
  </si>
  <si>
    <t>Buy</t>
  </si>
  <si>
    <t>CheckAccountLevelAggregation</t>
  </si>
  <si>
    <t>NewMF</t>
  </si>
  <si>
    <t>NewMF1</t>
  </si>
  <si>
    <t>SortALA</t>
  </si>
  <si>
    <t>Asc</t>
  </si>
  <si>
    <t>SORTBYCLICK</t>
  </si>
  <si>
    <t>CloseRTPNL</t>
  </si>
  <si>
    <t>Discard All</t>
  </si>
  <si>
    <t>Nirvana,PM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</si>
</sst>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2"/>
      <c r="E6" s="3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17</v>
      </c>
      <c r="C6" s="31" t="s">
        <v>19</v>
      </c>
      <c r="D6" s="32"/>
      <c r="E6" s="31" t="s">
        <v>20</v>
      </c>
      <c r="F6" s="34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23</v>
      </c>
      <c r="C6" s="30" t="s">
        <v>21</v>
      </c>
      <c r="D6" s="32"/>
      <c r="E6" s="35"/>
      <c r="F6" s="35"/>
      <c r="G6" s="35"/>
      <c r="I6" s="31" t="s">
        <v>24</v>
      </c>
      <c r="J6" s="8"/>
      <c r="K6" s="8"/>
      <c r="L6" s="8"/>
      <c r="M6" s="8"/>
      <c r="N6" s="8"/>
      <c r="O6" s="8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CreateGroupingWidget!$4:$4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17</v>
      </c>
      <c r="C6" s="34" t="s">
        <v>25</v>
      </c>
      <c r="D6" s="32"/>
      <c r="E6" s="34" t="s">
        <v>26</v>
      </c>
      <c r="F6" s="34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0" t="s">
        <v>29</v>
      </c>
      <c r="C6" s="36">
        <v>100.0</v>
      </c>
      <c r="D6" s="37">
        <v>10.0</v>
      </c>
      <c r="E6" s="31" t="s">
        <v>30</v>
      </c>
      <c r="F6" s="35"/>
      <c r="G6" s="35"/>
      <c r="H6" s="35"/>
      <c r="I6" s="38" t="s">
        <v>31</v>
      </c>
      <c r="J6" s="31" t="s">
        <v>32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0" t="s">
        <v>29</v>
      </c>
      <c r="C6" s="36">
        <v>100.0</v>
      </c>
      <c r="D6" s="37">
        <v>10.0</v>
      </c>
      <c r="E6" s="31" t="s">
        <v>30</v>
      </c>
      <c r="F6" s="35"/>
      <c r="G6" s="35"/>
      <c r="H6" s="35"/>
      <c r="I6" s="38" t="s">
        <v>33</v>
      </c>
      <c r="J6" s="34" t="s">
        <v>34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IFERROR(__xludf.DUMMYFUNCTION("""COMPUTED_VALUE"""),"Fund")</f>
        <v>Fund</v>
      </c>
      <c r="D5" s="27" t="str">
        <f>IFERROR(__xludf.DUMMYFUNCTION("""COMPUTED_VALUE"""),"Market Value")</f>
        <v>Market Value</v>
      </c>
      <c r="E5" s="27" t="str">
        <f>IFERROR(__xludf.DUMMYFUNCTION("""COMPUTED_VALUE"""),"P&amp;L")</f>
        <v>P&amp;L</v>
      </c>
      <c r="F5" s="28" t="str">
        <f>IFERROR(__xludf.DUMMYFUNCTION("""COMPUTED_VALUE"""),"Day P&amp;L")</f>
        <v>Day P&amp;L</v>
      </c>
      <c r="G5" s="27" t="str">
        <f>IFERROR(__xludf.DUMMYFUNCTION("""COMPUTED_VALUE"""),"Exposure")</f>
        <v>Exposure</v>
      </c>
      <c r="H5" s="27" t="str">
        <f>IFERROR(__xludf.DUMMYFUNCTION("""COMPUTED_VALUE"""),"% Gain/Loss Day")</f>
        <v>% Gain/Loss Day</v>
      </c>
      <c r="I5" s="27" t="str">
        <f>IFERROR(__xludf.DUMMYFUNCTION("""COMPUTED_VALUE"""),"% Gain/Loss Cost")</f>
        <v>% Gain/Loss Cost</v>
      </c>
      <c r="J5" s="27" t="str">
        <f>IFERROR(__xludf.DUMMYFUNCTION("""COMPUTED_VALUE"""),"% Market Value")</f>
        <v>% Market Value</v>
      </c>
      <c r="K5" s="27" t="str">
        <f>IFERROR(__xludf.DUMMYFUNCTION("""COMPUTED_VALUE"""),"% Exposure")</f>
        <v>% Exposure</v>
      </c>
      <c r="L5" s="27" t="str">
        <f>IFERROR(__xludf.DUMMYFUNCTION("""COMPUTED_VALUE"""),"Short Exposure")</f>
        <v>Short Exposure</v>
      </c>
      <c r="M5" s="27" t="str">
        <f>IFERROR(__xludf.DUMMYFUNCTION("""COMPUTED_VALUE"""),"% Short Exposure")</f>
        <v>% Short Exposure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IFERROR(__xludf.DUMMYFUNCTION("""COMPUTED_VALUE"""),"Accruals")</f>
        <v>Accruals</v>
      </c>
      <c r="Q5" s="27" t="str">
        <f>IFERROR(__xludf.DUMMYFUNCTION("""COMPUTED_VALUE"""),"Cash")</f>
        <v>Cash</v>
      </c>
      <c r="R5" s="27" t="str">
        <f>IFERROR(__xludf.DUMMYFUNCTION("""COMPUTED_VALUE"""),"NAV")</f>
        <v>NAV</v>
      </c>
      <c r="S5" s="27" t="str">
        <f>IFERROR(__xludf.DUMMYFUNCTION("""COMPUTED_VALUE"""),"Testing Type")</f>
        <v>Testing Type</v>
      </c>
      <c r="T5" s="29" t="str">
        <f>IFERROR(__xludf.DUMMYFUNCTION("""COMPUTED_VALUE"""),"Testing Column")</f>
        <v>Testing Column</v>
      </c>
      <c r="U5" s="29" t="str">
        <f>IFERROR(__xludf.DUMMYFUNCTION("""COMPUTED_VALUE"""),"Testing Col Value")</f>
        <v>Testing Col Value</v>
      </c>
      <c r="V5" s="29" t="str">
        <f>IFERROR(__xludf.DUMMYFUNCTION("""COMPUTED_VALUE"""),"DuplicateCountOnUI")</f>
        <v>DuplicateCountOnUI</v>
      </c>
      <c r="W5" s="29" t="str">
        <f>IFERROR(__xludf.DUMMYFUNCTION("""COMPUTED_VALUE"""),"DuplicateRow")</f>
        <v>DuplicateRow</v>
      </c>
      <c r="X5" s="29" t="str">
        <f>IFERROR(__xludf.DUMMYFUNCTION("""COMPUTED_VALUE"""),"TabName")</f>
        <v>TabName</v>
      </c>
      <c r="Y5" s="29" t="str">
        <f>IFERROR(__xludf.DUMMYFUNCTION("""COMPUTED_VALUE"""),"GridDataWidgetName")</f>
        <v>GridDataWidgetName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33</v>
      </c>
      <c r="C6" s="31" t="s">
        <v>36</v>
      </c>
      <c r="D6" s="12"/>
      <c r="E6" s="39"/>
      <c r="F6" s="8"/>
      <c r="G6" s="12">
        <v>1000.0</v>
      </c>
      <c r="H6" s="8"/>
      <c r="I6" s="8"/>
      <c r="J6" s="8"/>
      <c r="K6" s="12">
        <v>0.0</v>
      </c>
      <c r="L6" s="8"/>
      <c r="M6" s="8"/>
      <c r="N6" s="8"/>
      <c r="O6" s="8"/>
      <c r="R6" s="9">
        <v>0.0</v>
      </c>
    </row>
    <row r="7" ht="15.75" customHeight="1">
      <c r="A7" s="8"/>
      <c r="B7" s="34" t="s">
        <v>31</v>
      </c>
      <c r="C7" s="34" t="s">
        <v>37</v>
      </c>
      <c r="D7" s="8"/>
      <c r="E7" s="8"/>
      <c r="F7" s="8"/>
      <c r="G7" s="12">
        <v>-1000.0</v>
      </c>
      <c r="H7" s="8"/>
      <c r="I7" s="8"/>
      <c r="J7" s="8"/>
      <c r="K7" s="12">
        <v>0.0</v>
      </c>
      <c r="L7" s="8"/>
      <c r="M7" s="8"/>
      <c r="N7" s="8"/>
      <c r="O7" s="8"/>
      <c r="R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CheckAccountLevelAggregation!$4:$4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IFERROR(__xludf.DUMMYFUNCTION("""COMPUTED_VALUE"""),"Value")</f>
        <v>Value</v>
      </c>
      <c r="D5" s="27" t="str">
        <f>IFERROR(__xludf.DUMMYFUNCTION("""COMPUTED_VALUE"""),"Action")</f>
        <v>Action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23</v>
      </c>
      <c r="C6" s="31" t="s">
        <v>39</v>
      </c>
      <c r="D6" s="32" t="s">
        <v>40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SortALA!$4:$4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17</v>
      </c>
      <c r="C6" s="8"/>
      <c r="D6" s="12" t="s">
        <v>42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43</v>
      </c>
      <c r="C6" s="31"/>
      <c r="D6" s="3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OpenRTPNL1!$4:$4</formula1>
    </dataValidation>
  </dataValidations>
  <drawing r:id="rId1"/>
</worksheet>
</file>