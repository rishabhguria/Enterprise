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SelectAllocatedGroup" sheetId="12" r:id="rId15"/>
    <sheet state="visible" name="EnterAccountValuesToAllocate" sheetId="13" r:id="rId16"/>
    <sheet state="visible" name="CheckAllocatedGroups" sheetId="14" r:id="rId17"/>
    <sheet state="visible" name="SelectTradeOnOrderGrid" sheetId="15" r:id="rId18"/>
    <sheet state="visible" name="VerifySubOrder" sheetId="16" r:id="rId19"/>
    <sheet state="visible" name="ExecuteTrade1" sheetId="17" r:id="rId20"/>
    <sheet state="visible" name="CheckAllocatedGroups1" sheetId="18" r:id="rId21"/>
    <sheet state="visible" name="ChangeDate1" sheetId="19" r:id="rId22"/>
  </sheets>
  <definedNames/>
  <calcPr/>
  <extLst>
    <ext uri="GoogleSheetsCustomDataVersion2">
      <go:sheetsCustomData xmlns:go="http://customooxmlschemas.google.com/" r:id="rId23" roundtripDataChecksum="uNQEbSMVpCt0dRgs/fsZNeYx1tHGmPno/pLu3bYZIX0="/>
    </ext>
  </extLst>
</workbook>
</file>

<file path=xl/sharedStrings.xml><?xml version="1.0" encoding="utf-8"?>
<sst xmlns="http://schemas.openxmlformats.org/spreadsheetml/2006/main" count="480" uniqueCount="66">
  <si>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</si>
  <si>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</si>
  <si>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</si>
  <si>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</si>
  <si>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</si>
  <si>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</si>
  <si>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</si>
  <si>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</si>
  <si>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</si>
  <si>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</si>
  <si>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</si>
  <si>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</si>
  <si>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</si>
  <si>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</si>
  <si>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</si>
  <si>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</si>
  <si>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</si>
  <si>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</si>
  <si>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</si>
  <si>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</si>
  <si>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</si>
  <si>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</si>
  <si>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</si>
  <si>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</si>
  <si>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</si>
  <si>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</si>
  <si>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</si>
  <si>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</si>
  <si>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</si>
  <si>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</si>
  <si>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</si>
  <si>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</si>
  <si>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</si>
  <si>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</si>
  <si>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</si>
  <si>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</si>
  <si>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</si>
  <si>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</si>
  <si>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</si>
  <si>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</si>
  <si>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</si>
  <si>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</si>
  <si>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</si>
  <si>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</si>
  <si>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</si>
  <si>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</si>
  <si>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</si>
  <si>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</si>
  <si>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</si>
  <si>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</si>
  <si>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</si>
  <si>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</si>
  <si>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Today()-1</t>
  </si>
  <si>
    <t>GCCAP1</t>
  </si>
  <si>
    <t>US</t>
  </si>
  <si>
    <t>jpearce</t>
  </si>
  <si>
    <t>NONE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</si>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</sst>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Arial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3" numFmtId="0" xfId="0" applyAlignment="1" applyFont="1">
      <alignment vertical="bottom"/>
    </xf>
    <xf borderId="3" fillId="6" fontId="15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5.75" customHeight="1">
      <c r="A4" s="19"/>
      <c r="B4" s="19" t="str">
        <f>IFERROR(__xludf.DUMMYFUNCTION("IF(C3="""","""",Transpose(IMPORTRANGE('_Settings'!$B$3,C3&amp;""!A4:A1000"")))"),"RestartServer")</f>
        <v>RestartServer</v>
      </c>
      <c r="C4" s="19" t="str">
        <f>IFERROR(__xludf.DUMMYFUNCTION("""COMPUTED_VALUE"""),"UpdateServerConfig")</f>
        <v>UpdateServerConfig</v>
      </c>
      <c r="D4" s="19" t="str">
        <f>IFERROR(__xludf.DUMMYFUNCTION("""COMPUTED_VALUE"""),"StartTradeServer")</f>
        <v>StartTradeServer</v>
      </c>
      <c r="E4" s="19" t="str">
        <f>IFERROR(__xludf.DUMMYFUNCTION("""COMPUTED_VALUE"""),"CloseTradeServer")</f>
        <v>CloseTradeServer</v>
      </c>
      <c r="F4" s="19" t="str">
        <f>IFERROR(__xludf.DUMMYFUNCTION("""COMPUTED_VALUE"""),"ConnectToSimAutoMan")</f>
        <v>ConnectToSimAutoMan</v>
      </c>
      <c r="G4" s="19" t="str">
        <f>IFERROR(__xludf.DUMMYFUNCTION("""COMPUTED_VALUE"""),"BrokerConnectionThroughTUI")</f>
        <v>BrokerConnectionThroughTUI</v>
      </c>
      <c r="H4" s="19" t="str">
        <f>IFERROR(__xludf.DUMMYFUNCTION("""COMPUTED_VALUE"""),"RestartServerOnly")</f>
        <v>RestartServerOnly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IFERROR(__xludf.DUMMYFUNCTION("""COMPUTED_VALUE"""),"AppSetting_Key")</f>
        <v>AppSetting_Key</v>
      </c>
      <c r="C5" s="22" t="str">
        <f>IFERROR(__xludf.DUMMYFUNCTION("""COMPUTED_VALUE"""),"AppSetting_Value")</f>
        <v>AppSetting_Value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15.75" customHeight="1">
      <c r="A6" s="24"/>
      <c r="B6" s="25" t="s">
        <v>16</v>
      </c>
      <c r="C6" s="26">
        <v>6.0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17</v>
      </c>
      <c r="D3" s="4" t="s">
        <v>9</v>
      </c>
      <c r="E3" s="11" t="s">
        <v>18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4"/>
      <c r="B6" s="27" t="s">
        <v>19</v>
      </c>
      <c r="C6" s="26">
        <v>10000.0</v>
      </c>
      <c r="D6" s="28">
        <v>100.0</v>
      </c>
      <c r="E6" s="27" t="s">
        <v>20</v>
      </c>
      <c r="F6" s="24"/>
      <c r="G6" s="24"/>
      <c r="H6" s="24"/>
      <c r="I6" s="27" t="s">
        <v>21</v>
      </c>
      <c r="J6" s="27" t="s">
        <v>22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 t="s">
        <v>23</v>
      </c>
      <c r="V6" s="24" t="s">
        <v>24</v>
      </c>
      <c r="W6" s="24"/>
      <c r="X6" s="26">
        <v>100.0</v>
      </c>
      <c r="Y6" s="29">
        <f>TODAY()+3</f>
        <v>45822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 t="str">
        <f>IFERROR(__xludf.DUMMYFUNCTION("""COMPUTED_VALUE"""),"ClearAllPrice")</f>
        <v>ClearAllPrice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29</v>
      </c>
      <c r="D3" s="4" t="s">
        <v>9</v>
      </c>
      <c r="E3" s="11" t="s">
        <v>30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IFERROR(__xludf.DUMMYFUNCTION("""COMPUTED_VALUE"""),"DateOrReset")</f>
        <v>DateOrReset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32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ht="15.75" customHeight="1">
      <c r="A4" s="19"/>
      <c r="B4" s="19" t="str">
        <f>IFERROR(__xludf.DUMMYFUNCTION("IF(C3="""","""",Transpose(IMPORTRANGE('_Settings'!$B$3,C3&amp;""!A4:A1000"")))"),"CheckCompliance")</f>
        <v>CheckCompliance</v>
      </c>
      <c r="C4" s="19" t="str">
        <f>IFERROR(__xludf.DUMMYFUNCTION("""COMPUTED_VALUE"""),"VerifyAccountDivisorWindow")</f>
        <v>VerifyAccountDivisorWindow</v>
      </c>
      <c r="D4" s="19" t="str">
        <f>IFERROR(__xludf.DUMMYFUNCTION("""COMPUTED_VALUE"""),"VerifyAccountSymbolDivisorWindow")</f>
        <v>VerifyAccountSymbolDivisorWindow</v>
      </c>
      <c r="E4" s="19" t="str">
        <f>IFERROR(__xludf.DUMMYFUNCTION("""COMPUTED_VALUE"""),"VerifyAggregationAccountSymbolWithNav")</f>
        <v>VerifyAggregationAccountSymbolWithNav</v>
      </c>
      <c r="F4" s="19" t="str">
        <f>IFERROR(__xludf.DUMMYFUNCTION("""COMPUTED_VALUE"""),"VerifyAggregationAccountWithNav")</f>
        <v>VerifyAggregationAccountWithNav</v>
      </c>
      <c r="G4" s="19" t="str">
        <f>IFERROR(__xludf.DUMMYFUNCTION("""COMPUTED_VALUE"""),"VerifyAggregationMasterFundSymbolWithNav")</f>
        <v>VerifyAggregationMasterFundSymbolWithNav</v>
      </c>
      <c r="H4" s="19" t="str">
        <f>IFERROR(__xludf.DUMMYFUNCTION("""COMPUTED_VALUE"""),"VerifyAggregationMasterFundUnderlyingSymbolWithNav")</f>
        <v>VerifyAggregationMasterFundUnderlyingSymbolWithNav</v>
      </c>
      <c r="I4" s="19" t="str">
        <f>IFERROR(__xludf.DUMMYFUNCTION("""COMPUTED_VALUE"""),"VerifyAggregationMasterFundWithNav")</f>
        <v>VerifyAggregationMasterFundWithNav</v>
      </c>
      <c r="J4" s="19" t="str">
        <f>IFERROR(__xludf.DUMMYFUNCTION("""COMPUTED_VALUE"""),"VerifyAggregationSectorWithNav")</f>
        <v>VerifyAggregationSectorWithNav</v>
      </c>
      <c r="K4" s="19" t="str">
        <f>IFERROR(__xludf.DUMMYFUNCTION("""COMPUTED_VALUE"""),"VerifyAggregationUnderlyingSymbolWithNav")</f>
        <v>VerifyAggregationUnderlyingSymbolWithNav</v>
      </c>
      <c r="L4" s="19" t="str">
        <f>IFERROR(__xludf.DUMMYFUNCTION("""COMPUTED_VALUE"""),"VerifyAuecWindow")</f>
        <v>VerifyAuecWindow</v>
      </c>
      <c r="M4" s="19" t="str">
        <f>IFERROR(__xludf.DUMMYFUNCTION("""COMPUTED_VALUE"""),"VerifyBetaWindow")</f>
        <v>VerifyBetaWindow</v>
      </c>
      <c r="N4" s="19" t="str">
        <f>IFERROR(__xludf.DUMMYFUNCTION("""COMPUTED_VALUE"""),"VerifyCustomSymbolDataWindow")</f>
        <v>VerifyCustomSymbolDataWindow</v>
      </c>
      <c r="O4" s="19" t="str">
        <f>IFERROR(__xludf.DUMMYFUNCTION("""COMPUTED_VALUE"""),"VerifyDayEndCashAccountWindow")</f>
        <v>VerifyDayEndCashAccountWindow</v>
      </c>
      <c r="P4" s="20" t="str">
        <f>IFERROR(__xludf.DUMMYFUNCTION("""COMPUTED_VALUE"""),"VerifyDbNavWindow")</f>
        <v>VerifyDbNavWindow</v>
      </c>
      <c r="Q4" s="20" t="str">
        <f>IFERROR(__xludf.DUMMYFUNCTION("""COMPUTED_VALUE"""),"VerifyGlobalDivisorWindow")</f>
        <v>VerifyGlobalDivisorWindow</v>
      </c>
      <c r="R4" s="20" t="str">
        <f>IFERROR(__xludf.DUMMYFUNCTION("""COMPUTED_VALUE"""),"VerifyPmCalculationPreferenceWindow")</f>
        <v>VerifyPmCalculationPreferenceWindow</v>
      </c>
      <c r="S4" s="20" t="str">
        <f>IFERROR(__xludf.DUMMYFUNCTION("""COMPUTED_VALUE"""),"VerifyRowCalculationBaseWindow")</f>
        <v>VerifyRowCalculationBaseWindow</v>
      </c>
      <c r="T4" s="20" t="str">
        <f>IFERROR(__xludf.DUMMYFUNCTION("""COMPUTED_VALUE"""),"VerifySecurityWindow")</f>
        <v>VerifySecurityWindow</v>
      </c>
      <c r="U4" s="20" t="str">
        <f>IFERROR(__xludf.DUMMYFUNCTION("""COMPUTED_VALUE"""),"VerifySymbolDataWindow")</f>
        <v>VerifySymbolDataWindow</v>
      </c>
      <c r="V4" s="20" t="str">
        <f>IFERROR(__xludf.DUMMYFUNCTION("""COMPUTED_VALUE"""),"VerifySymbolDivisorWindow")</f>
        <v>VerifySymbolDivisorWindow</v>
      </c>
      <c r="W4" s="20" t="str">
        <f>IFERROR(__xludf.DUMMYFUNCTION("""COMPUTED_VALUE"""),"VerifyTaxlotWindow")</f>
        <v>VerifyTaxlotWindow</v>
      </c>
      <c r="X4" s="20" t="str">
        <f>IFERROR(__xludf.DUMMYFUNCTION("""COMPUTED_VALUE"""),"RestartEsper")</f>
        <v>RestartEsper</v>
      </c>
      <c r="Y4" s="20" t="str">
        <f>IFERROR(__xludf.DUMMYFUNCTION("""COMPUTED_VALUE"""),"VerifyAccountNavPreferenceWindow")</f>
        <v>VerifyAccountNavPreferenceWindow</v>
      </c>
      <c r="Z4" s="20" t="str">
        <f>IFERROR(__xludf.DUMMYFUNCTION("""COMPUTED_VALUE"""),"VerifyAggregationAccountUnderlyingSymbolWithNav")</f>
        <v>VerifyAggregationAccountUnderlyingSymbolWithNav</v>
      </c>
      <c r="AA4" s="20" t="str">
        <f>IFERROR(__xludf.DUMMYFUNCTION("""COMPUTED_VALUE"""),"VerifyAggregationAssetWithNav")</f>
        <v>VerifyAggregationAssetWithNav</v>
      </c>
      <c r="AB4" s="20" t="str">
        <f>IFERROR(__xludf.DUMMYFUNCTION("""COMPUTED_VALUE"""),"VerifyAggregationSymbolWithNav")</f>
        <v>VerifyAggregationSymbolWithNav</v>
      </c>
      <c r="AC4" s="20" t="str">
        <f>IFERROR(__xludf.DUMMYFUNCTION("""COMPUTED_VALUE"""),"VerifyAggregationSubSectorWithNav")</f>
        <v>VerifyAggregationSubSectorWithNav</v>
      </c>
      <c r="AD4" s="20" t="str">
        <f>IFERROR(__xludf.DUMMYFUNCTION("""COMPUTED_VALUE"""),"VerifyAggregationGlobalWithNav")</f>
        <v>VerifyAggregationGlobalWithNav</v>
      </c>
      <c r="AE4" s="20" t="str">
        <f>IFERROR(__xludf.DUMMYFUNCTION("""COMPUTED_VALUE"""),"VerifyAggregationGlobalWithNav")</f>
        <v>VerifyAggregationGlobalWithNav</v>
      </c>
      <c r="AF4" s="20" t="str">
        <f>IFERROR(__xludf.DUMMYFUNCTION("""COMPUTED_VALUE"""),"VerifyGlobalDivisorWindow")</f>
        <v>VerifyGlobalDivisorWindow</v>
      </c>
      <c r="AG4" s="20" t="str">
        <f>IFERROR(__xludf.DUMMYFUNCTION("""COMPUTED_VALUE"""),"VerifyAccrualForAccountWindow")</f>
        <v>VerifyAccrualForAccountWindow</v>
      </c>
      <c r="AH4" s="20" t="str">
        <f>IFERROR(__xludf.DUMMYFUNCTION("""COMPUTED_VALUE"""),"VerifyGlobalDivisorWindow")</f>
        <v>VerifyGlobalDivisorWindow</v>
      </c>
      <c r="AI4" s="20" t="str">
        <f>IFERROR(__xludf.DUMMYFUNCTION("""COMPUTED_VALUE"""),"VerifyMasterFundDivisorWindow")</f>
        <v>VerifyMasterFundDivisorWindow</v>
      </c>
      <c r="AJ4" s="20" t="str">
        <f>IFERROR(__xludf.DUMMYFUNCTION("""COMPUTED_VALUE"""),"VerifyMasterFundSymbolDivisorWindow")</f>
        <v>VerifyMasterFundSymbolDivisorWindow</v>
      </c>
      <c r="AK4" s="20" t="str">
        <f>IFERROR(__xludf.DUMMYFUNCTION("""COMPUTED_VALUE"""),"RestartRuleMediator")</f>
        <v>RestartRuleMediator</v>
      </c>
      <c r="AL4" s="20" t="str">
        <f>IFERROR(__xludf.DUMMYFUNCTION("""COMPUTED_VALUE"""),"VerifyAggAccountSymbolWithNav")</f>
        <v>VerifyAggAccountSymbolWithNav</v>
      </c>
      <c r="AM4" s="20" t="str">
        <f>IFERROR(__xludf.DUMMYFUNCTION("""COMPUTED_VALUE"""),"ApproveorRejectpendingapproval")</f>
        <v>ApproveorRejectpendingapproval</v>
      </c>
      <c r="AN4" s="20" t="str">
        <f>IFERROR(__xludf.DUMMYFUNCTION("""COMPUTED_VALUE"""),"VerifyAlertHistory")</f>
        <v>VerifyAlertHistory</v>
      </c>
      <c r="AO4" s="20" t="str">
        <f>IFERROR(__xludf.DUMMYFUNCTION("""COMPUTED_VALUE"""),"EditInterceptorFile")</f>
        <v>EditInterceptorFile</v>
      </c>
      <c r="AP4" s="20" t="str">
        <f>IFERROR(__xludf.DUMMYFUNCTION("""COMPUTED_VALUE"""),"ReplaceInterceptorFile")</f>
        <v>ReplaceInterceptorFile</v>
      </c>
      <c r="AQ4" s="20" t="str">
        <f>IFERROR(__xludf.DUMMYFUNCTION("""COMPUTED_VALUE"""),"RestartReleasesAndServices")</f>
        <v>RestartReleasesAndServices</v>
      </c>
      <c r="AR4" s="20" t="str">
        <f>IFERROR(__xludf.DUMMYFUNCTION("""COMPUTED_VALUE"""),"GetEmail")</f>
        <v>GetEmail</v>
      </c>
      <c r="AS4" s="20" t="str">
        <f>IFERROR(__xludf.DUMMYFUNCTION("""COMPUTED_VALUE"""),"EnableDisableRule")</f>
        <v>EnableDisableRule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IFERROR(__xludf.DUMMYFUNCTION("""COMPUTED_VALUE"""),"Restart Basket")</f>
        <v>Restart Basket</v>
      </c>
      <c r="C5" s="22" t="str">
        <f>IFERROR(__xludf.DUMMYFUNCTION("""COMPUTED_VALUE"""),"DontShutSimulator")</f>
        <v>DontShutSimulator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 ht="15.75" customHeight="1">
      <c r="A6" s="24"/>
      <c r="B6" s="24"/>
      <c r="C6" s="30" t="b">
        <v>1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34</v>
      </c>
      <c r="D3" s="4" t="s">
        <v>9</v>
      </c>
      <c r="E3" s="11" t="s">
        <v>35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IFERROR(__xludf.DUMMYFUNCTION("""COMPUTED_VALUE"""),"RangeType")</f>
        <v>RangeType</v>
      </c>
      <c r="C5" s="22" t="str">
        <f>IFERROR(__xludf.DUMMYFUNCTION("""COMPUTED_VALUE"""),"From")</f>
        <v>From</v>
      </c>
      <c r="D5" s="22" t="str">
        <f>IFERROR(__xludf.DUMMYFUNCTION("""COMPUTED_VALUE"""),"To")</f>
        <v>To</v>
      </c>
      <c r="E5" s="22" t="str">
        <f>IFERROR(__xludf.DUMMYFUNCTION("""COMPUTED_VALUE"""),"FilterTabName")</f>
        <v>FilterTabName</v>
      </c>
      <c r="F5" s="22" t="str">
        <f>IFERROR(__xludf.DUMMYFUNCTION("""COMPUTED_VALUE"""),"Symbol")</f>
        <v>Symbol</v>
      </c>
      <c r="G5" s="22" t="str">
        <f>IFERROR(__xludf.DUMMYFUNCTION("""COMPUTED_VALUE"""),"Asset")</f>
        <v>Asset</v>
      </c>
      <c r="H5" s="22" t="str">
        <f>IFERROR(__xludf.DUMMYFUNCTION("""COMPUTED_VALUE"""),"Side")</f>
        <v>Side</v>
      </c>
      <c r="I5" s="22" t="str">
        <f>IFERROR(__xludf.DUMMYFUNCTION("""COMPUTED_VALUE"""),"Account")</f>
        <v>Account</v>
      </c>
      <c r="J5" s="22" t="str">
        <f>IFERROR(__xludf.DUMMYFUNCTION("""COMPUTED_VALUE"""),"Broker")</f>
        <v>Broker</v>
      </c>
      <c r="K5" s="22" t="str">
        <f>IFERROR(__xludf.DUMMYFUNCTION("""COMPUTED_VALUE"""),"Currency")</f>
        <v>Currency</v>
      </c>
      <c r="L5" s="22" t="str">
        <f>IFERROR(__xludf.DUMMYFUNCTION("""COMPUTED_VALUE"""),"Exchange")</f>
        <v>Exchange</v>
      </c>
      <c r="M5" s="22" t="str">
        <f>IFERROR(__xludf.DUMMYFUNCTION("""COMPUTED_VALUE"""),"StrategyName")</f>
        <v>StrategyName</v>
      </c>
      <c r="N5" s="22" t="str">
        <f>IFERROR(__xludf.DUMMYFUNCTION("""COMPUTED_VALUE"""),"Underlying")</f>
        <v>Underlying</v>
      </c>
      <c r="O5" s="22" t="str">
        <f>IFERROR(__xludf.DUMMYFUNCTION("""COMPUTED_VALUE"""),"Venue")</f>
        <v>Venue</v>
      </c>
      <c r="P5" s="22" t="str">
        <f>IFERROR(__xludf.DUMMYFUNCTION("""COMPUTED_VALUE"""),"TradingAccount")</f>
        <v>TradingAccount</v>
      </c>
      <c r="Q5" s="22" t="str">
        <f>IFERROR(__xludf.DUMMYFUNCTION("""COMPUTED_VALUE"""),"PreAllocated")</f>
        <v>PreAllocated</v>
      </c>
      <c r="R5" s="22" t="str">
        <f>IFERROR(__xludf.DUMMYFUNCTION("""COMPUTED_VALUE"""),"ManualGroup")</f>
        <v>ManualGroup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27" t="s">
        <v>36</v>
      </c>
      <c r="C6" s="31">
        <f>TODAY()-10</f>
        <v>45809</v>
      </c>
      <c r="D6" s="31">
        <f>TODAY()+5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34</v>
      </c>
      <c r="D3" s="4" t="s">
        <v>9</v>
      </c>
      <c r="E3" s="11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IFERROR(__xludf.DUMMYFUNCTION("""COMPUTED_VALUE"""),"Trade Date")</f>
        <v>Trade Date</v>
      </c>
      <c r="E5" s="22" t="str">
        <f>IFERROR(__xludf.DUMMYFUNCTION("""COMPUTED_VALUE"""),"Account Name")</f>
        <v>Account Name</v>
      </c>
      <c r="F5" s="22" t="str">
        <f>IFERROR(__xludf.DUMMYFUNCTION("""COMPUTED_VALUE"""),"Side")</f>
        <v>Side</v>
      </c>
      <c r="G5" s="22" t="str">
        <f>IFERROR(__xludf.DUMMYFUNCTION("""COMPUTED_VALUE"""),"Group Status")</f>
        <v>Group Status</v>
      </c>
      <c r="H5" s="22" t="str">
        <f>IFERROR(__xludf.DUMMYFUNCTION("""COMPUTED_VALUE"""),"Avg Price(Base)")</f>
        <v>Avg Price(Base)</v>
      </c>
      <c r="I5" s="22" t="str">
        <f>IFERROR(__xludf.DUMMYFUNCTION("""COMPUTED_VALUE"""),"Execution Time")</f>
        <v>Execution Time</v>
      </c>
      <c r="J5" s="22" t="str">
        <f>IFERROR(__xludf.DUMMYFUNCTION("""COMPUTED_VALUE"""),"Trade Attribute 1")</f>
        <v>Trade Attribute 1</v>
      </c>
      <c r="K5" s="22" t="str">
        <f>IFERROR(__xludf.DUMMYFUNCTION("""COMPUTED_VALUE"""),"Avg Price(Local)")</f>
        <v>Avg Price(Local)</v>
      </c>
      <c r="L5" s="22" t="str">
        <f>IFERROR(__xludf.DUMMYFUNCTION("""COMPUTED_VALUE"""),"Trade Attribute 2")</f>
        <v>Trade Attribute 2</v>
      </c>
      <c r="M5" s="22" t="str">
        <f>IFERROR(__xludf.DUMMYFUNCTION("""COMPUTED_VALUE"""),"Accrued Interest")</f>
        <v>Accrued Interest</v>
      </c>
      <c r="N5" s="22" t="str">
        <f>IFERROR(__xludf.DUMMYFUNCTION("""COMPUTED_VALUE"""),"Commission")</f>
        <v>Commission</v>
      </c>
      <c r="O5" s="22" t="str">
        <f>IFERROR(__xludf.DUMMYFUNCTION("""COMPUTED_VALUE"""),"Soft Commission")</f>
        <v>Soft Commission</v>
      </c>
      <c r="P5" s="22" t="str">
        <f>IFERROR(__xludf.DUMMYFUNCTION("""COMPUTED_VALUE"""),"Broker")</f>
        <v>Broker</v>
      </c>
      <c r="Q5" s="22" t="str">
        <f>IFERROR(__xludf.DUMMYFUNCTION("""COMPUTED_VALUE"""),"Transaction Type")</f>
        <v>Transaction Type</v>
      </c>
      <c r="R5" s="22" t="str">
        <f>IFERROR(__xludf.DUMMYFUNCTION("""COMPUTED_VALUE"""),"AUEC Fee1")</f>
        <v>AUEC Fee1</v>
      </c>
      <c r="S5" s="22" t="str">
        <f>IFERROR(__xludf.DUMMYFUNCTION("""COMPUTED_VALUE"""),"AUEC Fee2")</f>
        <v>AUEC Fee2</v>
      </c>
      <c r="T5" s="23" t="str">
        <f>IFERROR(__xludf.DUMMYFUNCTION("""COMPUTED_VALUE"""),"Clearing Broker Fee")</f>
        <v>Clearing Broker Fee</v>
      </c>
      <c r="U5" s="23" t="str">
        <f>IFERROR(__xludf.DUMMYFUNCTION("""COMPUTED_VALUE"""),"Other Broker Fees")</f>
        <v>Other Broker Fees</v>
      </c>
      <c r="V5" s="23" t="str">
        <f>IFERROR(__xludf.DUMMYFUNCTION("""COMPUTED_VALUE"""),"OCC Fee")</f>
        <v>OCC Fee</v>
      </c>
      <c r="W5" s="23" t="str">
        <f>IFERROR(__xludf.DUMMYFUNCTION("""COMPUTED_VALUE"""),"SEC Fee")</f>
        <v>SEC Fee</v>
      </c>
      <c r="X5" s="23" t="str">
        <f>IFERROR(__xludf.DUMMYFUNCTION("""COMPUTED_VALUE"""),"ORF Fee")</f>
        <v>ORF Fee</v>
      </c>
      <c r="Y5" s="23" t="str">
        <f>IFERROR(__xludf.DUMMYFUNCTION("""COMPUTED_VALUE"""),"IsPreAllocated")</f>
        <v>IsPreAllocated</v>
      </c>
      <c r="Z5" s="23" t="str">
        <f>IFERROR(__xludf.DUMMYFUNCTION("""COMPUTED_VALUE"""),"Stamp Duty")</f>
        <v>Stamp Duty</v>
      </c>
      <c r="AA5" s="23" t="str">
        <f>IFERROR(__xludf.DUMMYFUNCTION("""COMPUTED_VALUE"""),"IsManual Group")</f>
        <v>IsManual Group</v>
      </c>
      <c r="AB5" s="23" t="str">
        <f>IFERROR(__xludf.DUMMYFUNCTION("""COMPUTED_VALUE"""),"Tax On Commissions")</f>
        <v>Tax On Commissions</v>
      </c>
      <c r="AC5" s="23" t="str">
        <f>IFERROR(__xludf.DUMMYFUNCTION("""COMPUTED_VALUE"""),"IsAnotherTaxlotAttributesUpdated")</f>
        <v>IsAnotherTaxlotAttributesUpdated</v>
      </c>
      <c r="AD5" s="23" t="str">
        <f>IFERROR(__xludf.DUMMYFUNCTION("""COMPUTED_VALUE"""),"ISNDF")</f>
        <v>ISNDF</v>
      </c>
      <c r="AE5" s="23" t="str">
        <f>IFERROR(__xludf.DUMMYFUNCTION("""COMPUTED_VALUE"""),"Transaction Levy")</f>
        <v>Transaction Levy</v>
      </c>
      <c r="AF5" s="23" t="str">
        <f>IFERROR(__xludf.DUMMYFUNCTION("""COMPUTED_VALUE"""),"Description")</f>
        <v>Description</v>
      </c>
      <c r="AG5" s="23" t="str">
        <f>IFERROR(__xludf.DUMMYFUNCTION("""COMPUTED_VALUE"""),"GroupID")</f>
        <v>GroupID</v>
      </c>
      <c r="AH5" s="23" t="str">
        <f>IFERROR(__xludf.DUMMYFUNCTION("""COMPUTED_VALUE"""),"Internal Comments")</f>
        <v>Internal Comments</v>
      </c>
      <c r="AI5" s="23" t="str">
        <f>IFERROR(__xludf.DUMMYFUNCTION("""COMPUTED_VALUE"""),"M2MProfitLoss")</f>
        <v>M2MProfitLoss</v>
      </c>
      <c r="AJ5" s="23" t="str">
        <f>IFERROR(__xludf.DUMMYFUNCTION("""COMPUTED_VALUE"""),"FX Rate")</f>
        <v>FX Rate</v>
      </c>
      <c r="AK5" s="23" t="str">
        <f>IFERROR(__xludf.DUMMYFUNCTION("""COMPUTED_VALUE"""),"FX Conversion Operator")</f>
        <v>FX Conversion Operator</v>
      </c>
      <c r="AL5" s="23" t="str">
        <f>IFERROR(__xludf.DUMMYFUNCTION("""COMPUTED_VALUE"""),"Trade Attribute 3")</f>
        <v>Trade Attribute 3</v>
      </c>
      <c r="AM5" s="23" t="str">
        <f>IFERROR(__xludf.DUMMYFUNCTION("""COMPUTED_VALUE"""),"Trade Attribute 4")</f>
        <v>Trade Attribute 4</v>
      </c>
      <c r="AN5" s="23" t="str">
        <f>IFERROR(__xludf.DUMMYFUNCTION("""COMPUTED_VALUE"""),"Trade Attribute 5")</f>
        <v>Trade Attribute 5</v>
      </c>
      <c r="AO5" s="23" t="str">
        <f>IFERROR(__xludf.DUMMYFUNCTION("""COMPUTED_VALUE"""),"Trade Attribute 6")</f>
        <v>Trade Attribute 6</v>
      </c>
      <c r="AP5" s="23" t="str">
        <f>IFERROR(__xludf.DUMMYFUNCTION("""COMPUTED_VALUE"""),"Put Or Call")</f>
        <v>Put Or Call</v>
      </c>
      <c r="AQ5" s="23" t="str">
        <f>IFERROR(__xludf.DUMMYFUNCTION("""COMPUTED_VALUE"""),"Allocated Qty")</f>
        <v>Allocated Qty</v>
      </c>
      <c r="AR5" s="23" t="str">
        <f>IFERROR(__xludf.DUMMYFUNCTION("""COMPUTED_VALUE"""),"Total Commission And Fee")</f>
        <v>Total Commission And Fee</v>
      </c>
      <c r="AS5" s="23" t="str">
        <f>IFERROR(__xludf.DUMMYFUNCTION("""COMPUTED_VALUE"""),"Executed Qty")</f>
        <v>Executed Qty</v>
      </c>
      <c r="AT5" s="23" t="str">
        <f>IFERROR(__xludf.DUMMYFUNCTION("""COMPUTED_VALUE"""),"Net Amount( Local)")</f>
        <v>Net Amount( Local)</v>
      </c>
      <c r="AU5" s="23" t="str">
        <f>IFERROR(__xludf.DUMMYFUNCTION("""COMPUTED_VALUE"""),"Net Amount( Base)")</f>
        <v>Net Amount( Base)</v>
      </c>
      <c r="AV5" s="23" t="str">
        <f>IFERROR(__xludf.DUMMYFUNCTION("""COMPUTED_VALUE"""),"UnAllocatedQty")</f>
        <v>UnAllocatedQty</v>
      </c>
      <c r="AW5" s="23" t="str">
        <f>IFERROR(__xludf.DUMMYFUNCTION("""COMPUTED_VALUE"""),"Option Premium Adjustment")</f>
        <v>Option Premium Adjustment</v>
      </c>
      <c r="AX5" s="23" t="str">
        <f>IFERROR(__xludf.DUMMYFUNCTION("""COMPUTED_VALUE"""),"Principal Amount( Local)")</f>
        <v>Principal Amount( Local)</v>
      </c>
      <c r="AY5" s="23" t="str">
        <f>IFERROR(__xludf.DUMMYFUNCTION("""COMPUTED_VALUE"""),"Principal Amount( Base)")</f>
        <v>Principal Amount( Base)</v>
      </c>
      <c r="AZ5" s="23" t="str">
        <f>IFERROR(__xludf.DUMMYFUNCTION("""COMPUTED_VALUE"""),"Settlement Currency")</f>
        <v>Settlement Currency</v>
      </c>
      <c r="BA5" s="23" t="str">
        <f>IFERROR(__xludf.DUMMYFUNCTION("""COMPUTED_VALUE"""),"User")</f>
        <v>User</v>
      </c>
      <c r="BB5" s="23" t="str">
        <f>IFERROR(__xludf.DUMMYFUNCTION("""COMPUTED_VALUE"""),"Asset Category")</f>
        <v>Asset Category</v>
      </c>
      <c r="BC5" s="23" t="str">
        <f>IFERROR(__xludf.DUMMYFUNCTION("""COMPUTED_VALUE"""),"Change Type")</f>
        <v>Change Type</v>
      </c>
      <c r="BD5" s="23" t="str">
        <f>IFERROR(__xludf.DUMMYFUNCTION("""COMPUTED_VALUE"""),"Strategy Name")</f>
        <v>Strategy Name</v>
      </c>
      <c r="BE5" s="23" t="str">
        <f>IFERROR(__xludf.DUMMYFUNCTION("""COMPUTED_VALUE"""),"Prana Msg Type")</f>
        <v>Prana Msg Type</v>
      </c>
      <c r="BF5" s="23" t="str">
        <f>IFERROR(__xludf.DUMMYFUNCTION("""COMPUTED_VALUE"""),"Total Commission")</f>
        <v>Total Commission</v>
      </c>
      <c r="BG5" s="23" t="str">
        <f>IFERROR(__xludf.DUMMYFUNCTION("""COMPUTED_VALUE"""),"Commission Per Share")</f>
        <v>Commission Per Share</v>
      </c>
      <c r="BH5" s="23" t="str">
        <f>IFERROR(__xludf.DUMMYFUNCTION("""COMPUTED_VALUE"""),"Soft Commission Per Share")</f>
        <v>Soft Commission Per Share</v>
      </c>
      <c r="BI5" s="23" t="str">
        <f>IFERROR(__xludf.DUMMYFUNCTION("""COMPUTED_VALUE"""),"Total Commission Per Share")</f>
        <v>Total Commission Per Share</v>
      </c>
      <c r="BJ5" s="23" t="str">
        <f>IFERROR(__xludf.DUMMYFUNCTION("""COMPUTED_VALUE"""),"Closing Status")</f>
        <v>Closing Status</v>
      </c>
      <c r="BK5" s="23" t="str">
        <f>IFERROR(__xludf.DUMMYFUNCTION("""COMPUTED_VALUE"""),"Closing Method")</f>
        <v>Closing Method</v>
      </c>
      <c r="BL5" s="23" t="str">
        <f>IFERROR(__xludf.DUMMYFUNCTION("""COMPUTED_VALUE"""),"Allocation Scheme Name")</f>
        <v>Allocation Scheme Name</v>
      </c>
      <c r="BM5" s="23" t="str">
        <f>IFERROR(__xludf.DUMMYFUNCTION("""COMPUTED_VALUE"""),"Change Comment")</f>
        <v>Change Comment</v>
      </c>
      <c r="BN5" s="23" t="str">
        <f>IFERROR(__xludf.DUMMYFUNCTION("""COMPUTED_VALUE"""),"Order Type")</f>
        <v>Order Type</v>
      </c>
      <c r="BO5" s="23" t="str">
        <f>IFERROR(__xludf.DUMMYFUNCTION("""COMPUTED_VALUE"""),"Underlying")</f>
        <v>Underlying</v>
      </c>
      <c r="BP5" s="23" t="str">
        <f>IFERROR(__xludf.DUMMYFUNCTION("""COMPUTED_VALUE"""),"Exchange")</f>
        <v>Exchange</v>
      </c>
      <c r="BQ5" s="23" t="str">
        <f>IFERROR(__xludf.DUMMYFUNCTION("""COMPUTED_VALUE"""),"Currency")</f>
        <v>Currency</v>
      </c>
      <c r="BR5" s="23" t="str">
        <f>IFERROR(__xludf.DUMMYFUNCTION("""COMPUTED_VALUE"""),"AUECID")</f>
        <v>AUECID</v>
      </c>
      <c r="BS5" s="23" t="str">
        <f>IFERROR(__xludf.DUMMYFUNCTION("""COMPUTED_VALUE"""),"Trading Account")</f>
        <v>Trading Account</v>
      </c>
      <c r="BT5" s="23" t="str">
        <f>IFERROR(__xludf.DUMMYFUNCTION("""COMPUTED_VALUE"""),"Venue")</f>
        <v>Venue</v>
      </c>
      <c r="BU5" s="23" t="str">
        <f>IFERROR(__xludf.DUMMYFUNCTION("""COMPUTED_VALUE"""),"Cum Qty For Sub Order")</f>
        <v>Cum Qty For Sub Order</v>
      </c>
      <c r="BV5" s="23" t="str">
        <f>IFERROR(__xludf.DUMMYFUNCTION("""COMPUTED_VALUE"""),"Contract Multiplier")</f>
        <v>Contract Multiplier</v>
      </c>
      <c r="BW5" s="23" t="str">
        <f>IFERROR(__xludf.DUMMYFUNCTION("""COMPUTED_VALUE"""),"Company")</f>
        <v>Company</v>
      </c>
      <c r="BX5" s="23" t="str">
        <f>IFERROR(__xludf.DUMMYFUNCTION("""COMPUTED_VALUE"""),"Nirvana Process Date")</f>
        <v>Nirvana Process Date</v>
      </c>
      <c r="BY5" s="23" t="str">
        <f>IFERROR(__xludf.DUMMYFUNCTION("""COMPUTED_VALUE"""),"Process Date")</f>
        <v>Process Date</v>
      </c>
      <c r="BZ5" s="23" t="str">
        <f>IFERROR(__xludf.DUMMYFUNCTION("""COMPUTED_VALUE"""),"Original Purchase Date")</f>
        <v>Original Purchase Date</v>
      </c>
      <c r="CA5" s="23" t="str">
        <f>IFERROR(__xludf.DUMMYFUNCTION("""COMPUTED_VALUE"""),"Closing Date")</f>
        <v>Closing Date</v>
      </c>
      <c r="CB5" s="23" t="str">
        <f>IFERROR(__xludf.DUMMYFUNCTION("""COMPUTED_VALUE"""),"Settlement Date")</f>
        <v>Settlement Date</v>
      </c>
      <c r="CC5" s="23" t="str">
        <f>IFERROR(__xludf.DUMMYFUNCTION("""COMPUTED_VALUE"""),"Expiration Date")</f>
        <v>Expiration Date</v>
      </c>
      <c r="CD5" s="23" t="str">
        <f>IFERROR(__xludf.DUMMYFUNCTION("""COMPUTED_VALUE"""),"Underlying Symbol")</f>
        <v>Underlying Symbol</v>
      </c>
      <c r="CE5" s="23" t="str">
        <f>IFERROR(__xludf.DUMMYFUNCTION("""COMPUTED_VALUE"""),"Accrual Basis")</f>
        <v>Accrual Basis</v>
      </c>
      <c r="CF5" s="23" t="str">
        <f>IFERROR(__xludf.DUMMYFUNCTION("""COMPUTED_VALUE"""),"Bond Type")</f>
        <v>Bond Type</v>
      </c>
      <c r="CG5" s="23" t="str">
        <f>IFERROR(__xludf.DUMMYFUNCTION("""COMPUTED_VALUE"""),"Coupon Rate")</f>
        <v>Coupon Rate</v>
      </c>
      <c r="CH5" s="23" t="str">
        <f>IFERROR(__xludf.DUMMYFUNCTION("""COMPUTED_VALUE"""),"Delta")</f>
        <v>Delta</v>
      </c>
      <c r="CI5" s="23" t="str">
        <f>IFERROR(__xludf.DUMMYFUNCTION("""COMPUTED_VALUE"""),"Bloomberg")</f>
        <v>Bloomberg</v>
      </c>
      <c r="CJ5" s="23" t="str">
        <f>IFERROR(__xludf.DUMMYFUNCTION("""COMPUTED_VALUE"""),"Sedol Symbol")</f>
        <v>Sedol Symbol</v>
      </c>
      <c r="CK5" s="23" t="str">
        <f>IFERROR(__xludf.DUMMYFUNCTION("""COMPUTED_VALUE"""),"Cusip Symbol")</f>
        <v>Cusip Symbol</v>
      </c>
      <c r="CL5" s="23" t="str">
        <f>IFERROR(__xludf.DUMMYFUNCTION("""COMPUTED_VALUE"""),"ISIN")</f>
        <v>ISIN</v>
      </c>
      <c r="CM5" s="23" t="str">
        <f>IFERROR(__xludf.DUMMYFUNCTION("""COMPUTED_VALUE"""),"OSISSymbol")</f>
        <v>OSISSymbol</v>
      </c>
      <c r="CN5" s="23" t="str">
        <f>IFERROR(__xludf.DUMMYFUNCTION("""COMPUTED_VALUE"""),"IDCOSymbol")</f>
        <v>IDCOSymbol</v>
      </c>
      <c r="CO5" s="23" t="str">
        <f>IFERROR(__xludf.DUMMYFUNCTION("""COMPUTED_VALUE"""),"Underlying Delta")</f>
        <v>Underlying Delta</v>
      </c>
      <c r="CP5" s="23" t="str">
        <f>IFERROR(__xludf.DUMMYFUNCTION("""COMPUTED_VALUE"""),"Proxy Symbol")</f>
        <v>Proxy Symbol</v>
      </c>
      <c r="CQ5" s="23" t="str">
        <f>IFERROR(__xludf.DUMMYFUNCTION("""COMPUTED_VALUE"""),"Transaction Source")</f>
        <v>Transaction Source</v>
      </c>
      <c r="CR5" s="23" t="str">
        <f>IFERROR(__xludf.DUMMYFUNCTION("""COMPUTED_VALUE"""),"Import File Name")</f>
        <v>Import File Name</v>
      </c>
      <c r="CS5" s="23" t="str">
        <f>IFERROR(__xludf.DUMMYFUNCTION("""COMPUTED_VALUE"""),"MasterFund")</f>
        <v>MasterFund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34</v>
      </c>
      <c r="D3" s="4" t="s">
        <v>9</v>
      </c>
      <c r="E3" s="11" t="s">
        <v>38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IFERROR(__xludf.DUMMYFUNCTION("""COMPUTED_VALUE"""),"Account Percentage")</f>
        <v>Account Percentage</v>
      </c>
      <c r="D5" s="22" t="str">
        <f>IFERROR(__xludf.DUMMYFUNCTION("""COMPUTED_VALUE"""),"Account Quantity")</f>
        <v>Account Quantity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27" t="s">
        <v>39</v>
      </c>
      <c r="C6" s="32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4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34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IFERROR(__xludf.DUMMYFUNCTION("""COMPUTED_VALUE"""),"Accrual Basis")</f>
        <v>Accrual Basis</v>
      </c>
      <c r="D5" s="22" t="str">
        <f>IFERROR(__xludf.DUMMYFUNCTION("""COMPUTED_VALUE"""),"Accrued Interest")</f>
        <v>Accrued Interest</v>
      </c>
      <c r="E5" s="22" t="str">
        <f>IFERROR(__xludf.DUMMYFUNCTION("""COMPUTED_VALUE"""),"Allocated Qty")</f>
        <v>Allocated Qty</v>
      </c>
      <c r="F5" s="22" t="str">
        <f>IFERROR(__xludf.DUMMYFUNCTION("""COMPUTED_VALUE"""),"Allocation Scheme Name")</f>
        <v>Allocation Scheme Name</v>
      </c>
      <c r="G5" s="22" t="str">
        <f>IFERROR(__xludf.DUMMYFUNCTION("""COMPUTED_VALUE"""),"Asset Category")</f>
        <v>Asset Category</v>
      </c>
      <c r="H5" s="22" t="str">
        <f>IFERROR(__xludf.DUMMYFUNCTION("""COMPUTED_VALUE"""),"AUEC Fee1")</f>
        <v>AUEC Fee1</v>
      </c>
      <c r="I5" s="22" t="str">
        <f>IFERROR(__xludf.DUMMYFUNCTION("""COMPUTED_VALUE"""),"AUEC Fee2")</f>
        <v>AUEC Fee2</v>
      </c>
      <c r="J5" s="22" t="str">
        <f>IFERROR(__xludf.DUMMYFUNCTION("""COMPUTED_VALUE"""),"AUECID")</f>
        <v>AUECID</v>
      </c>
      <c r="K5" s="22" t="str">
        <f>IFERROR(__xludf.DUMMYFUNCTION("""COMPUTED_VALUE"""),"Avg Price(Base)")</f>
        <v>Avg Price(Base)</v>
      </c>
      <c r="L5" s="22" t="str">
        <f>IFERROR(__xludf.DUMMYFUNCTION("""COMPUTED_VALUE"""),"Avg Price(Local)")</f>
        <v>Avg Price(Local)</v>
      </c>
      <c r="M5" s="22" t="str">
        <f>IFERROR(__xludf.DUMMYFUNCTION("""COMPUTED_VALUE"""),"Bloomberg")</f>
        <v>Bloomberg</v>
      </c>
      <c r="N5" s="22" t="str">
        <f>IFERROR(__xludf.DUMMYFUNCTION("""COMPUTED_VALUE"""),"Bond Type")</f>
        <v>Bond Type</v>
      </c>
      <c r="O5" s="22" t="str">
        <f>IFERROR(__xludf.DUMMYFUNCTION("""COMPUTED_VALUE"""),"Broker")</f>
        <v>Broker</v>
      </c>
      <c r="P5" s="22" t="str">
        <f>IFERROR(__xludf.DUMMYFUNCTION("""COMPUTED_VALUE"""),"Change Comment")</f>
        <v>Change Comment</v>
      </c>
      <c r="Q5" s="22" t="str">
        <f>IFERROR(__xludf.DUMMYFUNCTION("""COMPUTED_VALUE"""),"Change Type")</f>
        <v>Change Type</v>
      </c>
      <c r="R5" s="22" t="str">
        <f>IFERROR(__xludf.DUMMYFUNCTION("""COMPUTED_VALUE"""),"Clearing Broker Fee")</f>
        <v>Clearing Broker Fee</v>
      </c>
      <c r="S5" s="22" t="str">
        <f>IFERROR(__xludf.DUMMYFUNCTION("""COMPUTED_VALUE"""),"Closing Status")</f>
        <v>Closing Status</v>
      </c>
      <c r="T5" s="23" t="str">
        <f>IFERROR(__xludf.DUMMYFUNCTION("""COMPUTED_VALUE"""),"Commission")</f>
        <v>Commission</v>
      </c>
      <c r="U5" s="23" t="str">
        <f>IFERROR(__xludf.DUMMYFUNCTION("""COMPUTED_VALUE"""),"Commission Per Share")</f>
        <v>Commission Per Share</v>
      </c>
      <c r="V5" s="23" t="str">
        <f>IFERROR(__xludf.DUMMYFUNCTION("""COMPUTED_VALUE"""),"Company")</f>
        <v>Company</v>
      </c>
      <c r="W5" s="23" t="str">
        <f>IFERROR(__xludf.DUMMYFUNCTION("""COMPUTED_VALUE"""),"Contract Multiplier")</f>
        <v>Contract Multiplier</v>
      </c>
      <c r="X5" s="23" t="str">
        <f>IFERROR(__xludf.DUMMYFUNCTION("""COMPUTED_VALUE"""),"Coupon Rate")</f>
        <v>Coupon Rate</v>
      </c>
      <c r="Y5" s="23" t="str">
        <f>IFERROR(__xludf.DUMMYFUNCTION("""COMPUTED_VALUE"""),"Cum Qty For Sub Order")</f>
        <v>Cum Qty For Sub Order</v>
      </c>
      <c r="Z5" s="23" t="str">
        <f>IFERROR(__xludf.DUMMYFUNCTION("""COMPUTED_VALUE"""),"Currency")</f>
        <v>Currency</v>
      </c>
      <c r="AA5" s="23" t="str">
        <f>IFERROR(__xludf.DUMMYFUNCTION("""COMPUTED_VALUE"""),"Cusip Symbol")</f>
        <v>Cusip Symbol</v>
      </c>
      <c r="AB5" s="23" t="str">
        <f>IFERROR(__xludf.DUMMYFUNCTION("""COMPUTED_VALUE"""),"Delta")</f>
        <v>Delta</v>
      </c>
      <c r="AC5" s="23" t="str">
        <f>IFERROR(__xludf.DUMMYFUNCTION("""COMPUTED_VALUE"""),"Description")</f>
        <v>Description</v>
      </c>
      <c r="AD5" s="23" t="str">
        <f>IFERROR(__xludf.DUMMYFUNCTION("""COMPUTED_VALUE"""),"Exchange")</f>
        <v>Exchange</v>
      </c>
      <c r="AE5" s="23" t="str">
        <f>IFERROR(__xludf.DUMMYFUNCTION("""COMPUTED_VALUE"""),"Executed Qty")</f>
        <v>Executed Qty</v>
      </c>
      <c r="AF5" s="23" t="str">
        <f>IFERROR(__xludf.DUMMYFUNCTION("""COMPUTED_VALUE"""),"Exceution Time")</f>
        <v>Exceution Time</v>
      </c>
      <c r="AG5" s="23" t="str">
        <f>IFERROR(__xludf.DUMMYFUNCTION("""COMPUTED_VALUE"""),"Expiration Date")</f>
        <v>Expiration Date</v>
      </c>
      <c r="AH5" s="23" t="str">
        <f>IFERROR(__xludf.DUMMYFUNCTION("""COMPUTED_VALUE"""),"FX Conversion Operator")</f>
        <v>FX Conversion Operator</v>
      </c>
      <c r="AI5" s="23" t="str">
        <f>IFERROR(__xludf.DUMMYFUNCTION("""COMPUTED_VALUE"""),"FX Rate")</f>
        <v>FX Rate</v>
      </c>
      <c r="AJ5" s="23" t="str">
        <f>IFERROR(__xludf.DUMMYFUNCTION("""COMPUTED_VALUE"""),"Group Status")</f>
        <v>Group Status</v>
      </c>
      <c r="AK5" s="23" t="str">
        <f>IFERROR(__xludf.DUMMYFUNCTION("""COMPUTED_VALUE"""),"IDCOSymbol")</f>
        <v>IDCOSymbol</v>
      </c>
      <c r="AL5" s="23" t="str">
        <f>IFERROR(__xludf.DUMMYFUNCTION("""COMPUTED_VALUE"""),"Import File Name")</f>
        <v>Import File Name</v>
      </c>
      <c r="AM5" s="23" t="str">
        <f>IFERROR(__xludf.DUMMYFUNCTION("""COMPUTED_VALUE"""),"Internal Comments")</f>
        <v>Internal Comments</v>
      </c>
      <c r="AN5" s="23" t="str">
        <f>IFERROR(__xludf.DUMMYFUNCTION("""COMPUTED_VALUE"""),"IsAnotherTaxlotAttributesUpdated")</f>
        <v>IsAnotherTaxlotAttributesUpdated</v>
      </c>
      <c r="AO5" s="23" t="str">
        <f>IFERROR(__xludf.DUMMYFUNCTION("""COMPUTED_VALUE"""),"ISIN")</f>
        <v>ISIN</v>
      </c>
      <c r="AP5" s="23" t="str">
        <f>IFERROR(__xludf.DUMMYFUNCTION("""COMPUTED_VALUE"""),"IsManual Group")</f>
        <v>IsManual Group</v>
      </c>
      <c r="AQ5" s="23" t="str">
        <f>IFERROR(__xludf.DUMMYFUNCTION("""COMPUTED_VALUE"""),"ISNDF")</f>
        <v>ISNDF</v>
      </c>
      <c r="AR5" s="23" t="str">
        <f>IFERROR(__xludf.DUMMYFUNCTION("""COMPUTED_VALUE"""),"IsPreAllocated")</f>
        <v>IsPreAllocated</v>
      </c>
      <c r="AS5" s="23" t="str">
        <f>IFERROR(__xludf.DUMMYFUNCTION("""COMPUTED_VALUE"""),"M2MProfitLoss")</f>
        <v>M2MProfitLoss</v>
      </c>
      <c r="AT5" s="23" t="str">
        <f>IFERROR(__xludf.DUMMYFUNCTION("""COMPUTED_VALUE"""),"Net Amount( Base)")</f>
        <v>Net Amount( Base)</v>
      </c>
      <c r="AU5" s="23" t="str">
        <f>IFERROR(__xludf.DUMMYFUNCTION("""COMPUTED_VALUE"""),"Net Amount( Local)")</f>
        <v>Net Amount( Local)</v>
      </c>
      <c r="AV5" s="23" t="str">
        <f>IFERROR(__xludf.DUMMYFUNCTION("""COMPUTED_VALUE"""),"Nirvana Process Date")</f>
        <v>Nirvana Process Date</v>
      </c>
      <c r="AW5" s="23" t="str">
        <f>IFERROR(__xludf.DUMMYFUNCTION("""COMPUTED_VALUE"""),"OCC Fee")</f>
        <v>OCC Fee</v>
      </c>
      <c r="AX5" s="23" t="str">
        <f>IFERROR(__xludf.DUMMYFUNCTION("""COMPUTED_VALUE"""),"Option Premium Adjustment")</f>
        <v>Option Premium Adjustment</v>
      </c>
      <c r="AY5" s="23" t="str">
        <f>IFERROR(__xludf.DUMMYFUNCTION("""COMPUTED_VALUE"""),"Order Type")</f>
        <v>Order Type</v>
      </c>
      <c r="AZ5" s="23" t="str">
        <f>IFERROR(__xludf.DUMMYFUNCTION("""COMPUTED_VALUE"""),"ORF Fee")</f>
        <v>ORF Fee</v>
      </c>
      <c r="BA5" s="23" t="str">
        <f>IFERROR(__xludf.DUMMYFUNCTION("""COMPUTED_VALUE"""),"Original Purchase Date")</f>
        <v>Original Purchase Date</v>
      </c>
      <c r="BB5" s="23" t="str">
        <f>IFERROR(__xludf.DUMMYFUNCTION("""COMPUTED_VALUE"""),"OSISSymbol")</f>
        <v>OSISSymbol</v>
      </c>
      <c r="BC5" s="23" t="str">
        <f>IFERROR(__xludf.DUMMYFUNCTION("""COMPUTED_VALUE"""),"Other Broker Fees")</f>
        <v>Other Broker Fees</v>
      </c>
      <c r="BD5" s="23" t="str">
        <f>IFERROR(__xludf.DUMMYFUNCTION("""COMPUTED_VALUE"""),"Prana Msg Type")</f>
        <v>Prana Msg Type</v>
      </c>
      <c r="BE5" s="23" t="str">
        <f>IFERROR(__xludf.DUMMYFUNCTION("""COMPUTED_VALUE"""),"Principal Amount( Base)")</f>
        <v>Principal Amount( Base)</v>
      </c>
      <c r="BF5" s="23" t="str">
        <f>IFERROR(__xludf.DUMMYFUNCTION("""COMPUTED_VALUE"""),"Principal Amount( Local)")</f>
        <v>Principal Amount( Local)</v>
      </c>
      <c r="BG5" s="23" t="str">
        <f>IFERROR(__xludf.DUMMYFUNCTION("""COMPUTED_VALUE"""),"Process Date")</f>
        <v>Process Date</v>
      </c>
      <c r="BH5" s="23" t="str">
        <f>IFERROR(__xludf.DUMMYFUNCTION("""COMPUTED_VALUE"""),"Proxy Symbol")</f>
        <v>Proxy Symbol</v>
      </c>
      <c r="BI5" s="23" t="str">
        <f>IFERROR(__xludf.DUMMYFUNCTION("""COMPUTED_VALUE"""),"Put Or Call")</f>
        <v>Put Or Call</v>
      </c>
      <c r="BJ5" s="23" t="str">
        <f>IFERROR(__xludf.DUMMYFUNCTION("""COMPUTED_VALUE"""),"Quantity")</f>
        <v>Quantity</v>
      </c>
      <c r="BK5" s="23" t="str">
        <f>IFERROR(__xludf.DUMMYFUNCTION("""COMPUTED_VALUE"""),"SEC Fee")</f>
        <v>SEC Fee</v>
      </c>
      <c r="BL5" s="23" t="str">
        <f>IFERROR(__xludf.DUMMYFUNCTION("""COMPUTED_VALUE"""),"Sedol Symbol")</f>
        <v>Sedol Symbol</v>
      </c>
      <c r="BM5" s="23" t="str">
        <f>IFERROR(__xludf.DUMMYFUNCTION("""COMPUTED_VALUE"""),"Settlement Currency")</f>
        <v>Settlement Currency</v>
      </c>
      <c r="BN5" s="23" t="str">
        <f>IFERROR(__xludf.DUMMYFUNCTION("""COMPUTED_VALUE"""),"Settlement Date")</f>
        <v>Settlement Date</v>
      </c>
      <c r="BO5" s="23" t="str">
        <f>IFERROR(__xludf.DUMMYFUNCTION("""COMPUTED_VALUE"""),"Side")</f>
        <v>Side</v>
      </c>
      <c r="BP5" s="23" t="str">
        <f>IFERROR(__xludf.DUMMYFUNCTION("""COMPUTED_VALUE"""),"Soft Commission")</f>
        <v>Soft Commission</v>
      </c>
      <c r="BQ5" s="23" t="str">
        <f>IFERROR(__xludf.DUMMYFUNCTION("""COMPUTED_VALUE"""),"Soft Commission Per Share")</f>
        <v>Soft Commission Per Share</v>
      </c>
      <c r="BR5" s="23" t="str">
        <f>IFERROR(__xludf.DUMMYFUNCTION("""COMPUTED_VALUE"""),"Stamp Duty")</f>
        <v>Stamp Duty</v>
      </c>
      <c r="BS5" s="23" t="str">
        <f>IFERROR(__xludf.DUMMYFUNCTION("""COMPUTED_VALUE"""),"Strategy Name")</f>
        <v>Strategy Name</v>
      </c>
      <c r="BT5" s="23" t="str">
        <f>IFERROR(__xludf.DUMMYFUNCTION("""COMPUTED_VALUE"""),"Symbol")</f>
        <v>Symbol</v>
      </c>
      <c r="BU5" s="23" t="str">
        <f>IFERROR(__xludf.DUMMYFUNCTION("""COMPUTED_VALUE"""),"Tax On Commissions")</f>
        <v>Tax On Commissions</v>
      </c>
      <c r="BV5" s="23" t="str">
        <f>IFERROR(__xludf.DUMMYFUNCTION("""COMPUTED_VALUE"""),"Total Commission")</f>
        <v>Total Commission</v>
      </c>
      <c r="BW5" s="23" t="str">
        <f>IFERROR(__xludf.DUMMYFUNCTION("""COMPUTED_VALUE"""),"Total Commission And Fee")</f>
        <v>Total Commission And Fee</v>
      </c>
      <c r="BX5" s="23" t="str">
        <f>IFERROR(__xludf.DUMMYFUNCTION("""COMPUTED_VALUE"""),"Total Commission Per Share")</f>
        <v>Total Commission Per Share</v>
      </c>
      <c r="BY5" s="23" t="str">
        <f>IFERROR(__xludf.DUMMYFUNCTION("""COMPUTED_VALUE"""),"Trade Attribute 1")</f>
        <v>Trade Attribute 1</v>
      </c>
      <c r="BZ5" s="23" t="str">
        <f>IFERROR(__xludf.DUMMYFUNCTION("""COMPUTED_VALUE"""),"Trade Attribute 2")</f>
        <v>Trade Attribute 2</v>
      </c>
      <c r="CA5" s="23" t="str">
        <f>IFERROR(__xludf.DUMMYFUNCTION("""COMPUTED_VALUE"""),"Trade Attribute 3")</f>
        <v>Trade Attribute 3</v>
      </c>
      <c r="CB5" s="23" t="str">
        <f>IFERROR(__xludf.DUMMYFUNCTION("""COMPUTED_VALUE"""),"Trade Attribute 4")</f>
        <v>Trade Attribute 4</v>
      </c>
      <c r="CC5" s="23" t="str">
        <f>IFERROR(__xludf.DUMMYFUNCTION("""COMPUTED_VALUE"""),"Trade Attribute 5")</f>
        <v>Trade Attribute 5</v>
      </c>
      <c r="CD5" s="23" t="str">
        <f>IFERROR(__xludf.DUMMYFUNCTION("""COMPUTED_VALUE"""),"Trade Attribute 6")</f>
        <v>Trade Attribute 6</v>
      </c>
      <c r="CE5" s="23" t="str">
        <f>IFERROR(__xludf.DUMMYFUNCTION("""COMPUTED_VALUE"""),"Trade Date")</f>
        <v>Trade Date</v>
      </c>
      <c r="CF5" s="23" t="str">
        <f>IFERROR(__xludf.DUMMYFUNCTION("""COMPUTED_VALUE"""),"Trading Account")</f>
        <v>Trading Account</v>
      </c>
      <c r="CG5" s="23" t="str">
        <f>IFERROR(__xludf.DUMMYFUNCTION("""COMPUTED_VALUE"""),"Transaction Levy")</f>
        <v>Transaction Levy</v>
      </c>
      <c r="CH5" s="23" t="str">
        <f>IFERROR(__xludf.DUMMYFUNCTION("""COMPUTED_VALUE"""),"Transaction Source")</f>
        <v>Transaction Source</v>
      </c>
      <c r="CI5" s="23" t="str">
        <f>IFERROR(__xludf.DUMMYFUNCTION("""COMPUTED_VALUE"""),"Transaction Type")</f>
        <v>Transaction Type</v>
      </c>
      <c r="CJ5" s="23" t="str">
        <f>IFERROR(__xludf.DUMMYFUNCTION("""COMPUTED_VALUE"""),"UnAllocatedQty")</f>
        <v>UnAllocatedQty</v>
      </c>
      <c r="CK5" s="23" t="str">
        <f>IFERROR(__xludf.DUMMYFUNCTION("""COMPUTED_VALUE"""),"Underlying")</f>
        <v>Underlying</v>
      </c>
      <c r="CL5" s="23" t="str">
        <f>IFERROR(__xludf.DUMMYFUNCTION("""COMPUTED_VALUE"""),"Underlying Delta")</f>
        <v>Underlying Delta</v>
      </c>
      <c r="CM5" s="23" t="str">
        <f>IFERROR(__xludf.DUMMYFUNCTION("""COMPUTED_VALUE"""),"Underlying Symbol")</f>
        <v>Underlying Symbol</v>
      </c>
      <c r="CN5" s="23" t="str">
        <f>IFERROR(__xludf.DUMMYFUNCTION("""COMPUTED_VALUE"""),"User")</f>
        <v>User</v>
      </c>
      <c r="CO5" s="23" t="str">
        <f>IFERROR(__xludf.DUMMYFUNCTION("""COMPUTED_VALUE"""),"Venue")</f>
        <v>Venue</v>
      </c>
      <c r="CP5" s="23" t="str">
        <f>IFERROR(__xludf.DUMMYFUNCTION("""COMPUTED_VALUE"""),"Closing Method")</f>
        <v>Closing Method</v>
      </c>
      <c r="CQ5" s="23" t="str">
        <f>IFERROR(__xludf.DUMMYFUNCTION("""COMPUTED_VALUE"""),"Closing Date")</f>
        <v>Closing Date</v>
      </c>
      <c r="CR5" s="23" t="str">
        <f>IFERROR(__xludf.DUMMYFUNCTION("""COMPUTED_VALUE"""),"GroupID")</f>
        <v>GroupID</v>
      </c>
      <c r="CS5" s="23" t="str">
        <f>IFERROR(__xludf.DUMMYFUNCTION("""COMPUTED_VALUE"""),"Client")</f>
        <v>Client</v>
      </c>
      <c r="CT5" s="23" t="str">
        <f>IFERROR(__xludf.DUMMYFUNCTION("""COMPUTED_VALUE"""),"Borrow Broker")</f>
        <v>Borrow Broker</v>
      </c>
      <c r="CU5" s="23" t="str">
        <f>IFERROR(__xludf.DUMMYFUNCTION("""COMPUTED_VALUE"""),"ACTIV Symbol")</f>
        <v>ACTIV Symbol</v>
      </c>
      <c r="CV5" s="23" t="str">
        <f>IFERROR(__xludf.DUMMYFUNCTION("""COMPUTED_VALUE"""),"Borrower Id")</f>
        <v>Borrower Id</v>
      </c>
      <c r="CW5" s="23" t="str">
        <f>IFERROR(__xludf.DUMMYFUNCTION("""COMPUTED_VALUE"""),"Borrow Rate(%)")</f>
        <v>Borrow Rate(%)</v>
      </c>
      <c r="CX5" s="23" t="str">
        <f>IFERROR(__xludf.DUMMYFUNCTION("""COMPUTED_VALUE"""),"Master Fund")</f>
        <v>Master Fund</v>
      </c>
      <c r="CY5" s="23" t="str">
        <f>IFERROR(__xludf.DUMMYFUNCTION("""COMPUTED_VALUE"""),"MandatoryColumn")</f>
        <v>MandatoryColumn</v>
      </c>
      <c r="CZ5" s="23" t="str">
        <f>IFERROR(__xludf.DUMMYFUNCTION("""COMPUTED_VALUE"""),"Testing Type")</f>
        <v>Testing Type</v>
      </c>
      <c r="DA5" s="23" t="str">
        <f>IFERROR(__xludf.DUMMYFUNCTION("""COMPUTED_VALUE"""),"Testing Column")</f>
        <v>Testing Column</v>
      </c>
      <c r="DB5" s="23" t="str">
        <f>IFERROR(__xludf.DUMMYFUNCTION("""COMPUTED_VALUE"""),"Testing Col Value")</f>
        <v>Testing Col Value</v>
      </c>
      <c r="DC5" s="23" t="str">
        <f>IFERROR(__xludf.DUMMYFUNCTION("""COMPUTED_VALUE"""),"DuplicateRow")</f>
        <v>DuplicateRow</v>
      </c>
      <c r="DD5" s="23" t="str">
        <f>IFERROR(__xludf.DUMMYFUNCTION("""COMPUTED_VALUE"""),"DuplicateCountOnUI")</f>
        <v>DuplicateCountOnUI</v>
      </c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</row>
    <row r="6" ht="15.75" customHeight="1">
      <c r="A6" s="24" t="s">
        <v>41</v>
      </c>
      <c r="B6" s="33" t="s">
        <v>39</v>
      </c>
      <c r="C6" s="27" t="s">
        <v>42</v>
      </c>
      <c r="D6" s="24"/>
      <c r="E6" s="26">
        <v>5000.0</v>
      </c>
      <c r="F6" s="27"/>
      <c r="G6" s="27" t="s">
        <v>43</v>
      </c>
      <c r="H6" s="26">
        <v>4.0</v>
      </c>
      <c r="I6" s="26">
        <v>5.0</v>
      </c>
      <c r="J6" s="26">
        <v>1.0</v>
      </c>
      <c r="K6" s="26">
        <v>10.0</v>
      </c>
      <c r="L6" s="26">
        <v>10.0</v>
      </c>
      <c r="M6" s="27" t="s">
        <v>44</v>
      </c>
      <c r="N6" s="27" t="s">
        <v>45</v>
      </c>
      <c r="O6" s="27" t="s">
        <v>46</v>
      </c>
      <c r="P6" s="24"/>
      <c r="Q6" s="24"/>
      <c r="R6" s="24"/>
      <c r="S6" s="24"/>
      <c r="T6" s="24"/>
      <c r="U6" s="24"/>
      <c r="V6" s="24" t="s">
        <v>47</v>
      </c>
      <c r="W6" s="24"/>
      <c r="X6" s="24"/>
      <c r="Y6" s="24"/>
      <c r="Z6" s="24" t="s">
        <v>48</v>
      </c>
      <c r="AA6" s="24" t="s">
        <v>19</v>
      </c>
      <c r="AB6" s="28">
        <v>1.0</v>
      </c>
      <c r="AC6" s="24"/>
      <c r="AD6" s="24" t="s">
        <v>49</v>
      </c>
      <c r="AE6" s="28">
        <v>5000.0</v>
      </c>
      <c r="AF6" s="24" t="s">
        <v>41</v>
      </c>
      <c r="AG6" s="24"/>
      <c r="AH6" s="24" t="s">
        <v>50</v>
      </c>
      <c r="AI6" s="28">
        <v>1.0</v>
      </c>
      <c r="AJ6" s="24"/>
      <c r="AK6" s="24"/>
      <c r="AL6" s="24"/>
      <c r="AM6" s="24"/>
      <c r="AN6" s="24"/>
      <c r="AO6" s="24"/>
      <c r="AP6" s="24"/>
      <c r="AQ6" s="24"/>
      <c r="AR6" s="24"/>
      <c r="AS6" s="28">
        <v>0.0</v>
      </c>
      <c r="AT6" s="24"/>
      <c r="AU6" s="24"/>
      <c r="AV6" s="24"/>
      <c r="AW6" s="24"/>
      <c r="AX6" s="24"/>
      <c r="AY6" s="24" t="s">
        <v>24</v>
      </c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8">
        <v>10000.0</v>
      </c>
      <c r="BK6" s="24"/>
      <c r="BL6" s="24" t="s">
        <v>41</v>
      </c>
      <c r="BM6" s="24" t="s">
        <v>48</v>
      </c>
      <c r="BN6" s="24"/>
      <c r="BO6" s="24" t="s">
        <v>22</v>
      </c>
      <c r="BP6" s="28">
        <v>0.0</v>
      </c>
      <c r="BQ6" s="28">
        <v>0.0</v>
      </c>
      <c r="BR6" s="28"/>
      <c r="BS6" s="24" t="s">
        <v>51</v>
      </c>
      <c r="BT6" s="24" t="s">
        <v>19</v>
      </c>
      <c r="BU6" s="24"/>
      <c r="BV6" s="24"/>
      <c r="BW6" s="24"/>
      <c r="BX6" s="24"/>
      <c r="BY6" s="24" t="s">
        <v>41</v>
      </c>
      <c r="BZ6" s="24" t="s">
        <v>41</v>
      </c>
      <c r="CA6" s="24" t="s">
        <v>41</v>
      </c>
      <c r="CB6" s="24" t="s">
        <v>41</v>
      </c>
      <c r="CC6" s="24" t="s">
        <v>41</v>
      </c>
      <c r="CD6" s="24" t="s">
        <v>41</v>
      </c>
      <c r="CE6" s="24" t="s">
        <v>52</v>
      </c>
      <c r="CF6" s="24" t="s">
        <v>53</v>
      </c>
      <c r="CG6" s="28">
        <v>2.0</v>
      </c>
      <c r="CH6" s="24" t="s">
        <v>17</v>
      </c>
      <c r="CI6" s="24" t="s">
        <v>22</v>
      </c>
      <c r="CJ6" s="24"/>
      <c r="CK6" s="24" t="s">
        <v>54</v>
      </c>
      <c r="CL6" s="28">
        <v>1.0</v>
      </c>
      <c r="CM6" s="24" t="s">
        <v>19</v>
      </c>
      <c r="CN6" s="24" t="s">
        <v>55</v>
      </c>
      <c r="CO6" s="24" t="s">
        <v>49</v>
      </c>
      <c r="CP6" s="24" t="s">
        <v>56</v>
      </c>
      <c r="CQ6" s="24"/>
      <c r="CR6" s="24"/>
      <c r="CS6" s="24" t="s">
        <v>41</v>
      </c>
      <c r="CT6" s="24"/>
      <c r="CU6" s="24"/>
      <c r="CV6" s="24"/>
      <c r="CW6" s="24"/>
      <c r="CX6" s="34" t="s">
        <v>57</v>
      </c>
      <c r="CY6" s="24" t="s">
        <v>41</v>
      </c>
      <c r="CZ6" s="24" t="s">
        <v>41</v>
      </c>
      <c r="DA6" s="24" t="s">
        <v>41</v>
      </c>
      <c r="DB6" s="24" t="s">
        <v>41</v>
      </c>
      <c r="DC6" s="24" t="s">
        <v>41</v>
      </c>
      <c r="DD6" s="24" t="s">
        <v>41</v>
      </c>
      <c r="DE6" s="24" t="s">
        <v>41</v>
      </c>
      <c r="DF6" s="24" t="s">
        <v>41</v>
      </c>
      <c r="DG6" s="24" t="s">
        <v>41</v>
      </c>
      <c r="DH6" s="24" t="s">
        <v>41</v>
      </c>
      <c r="DI6" s="24" t="s">
        <v>41</v>
      </c>
      <c r="DJ6" s="24" t="s">
        <v>41</v>
      </c>
      <c r="DK6" s="24" t="s">
        <v>41</v>
      </c>
      <c r="DL6" s="24" t="s">
        <v>41</v>
      </c>
      <c r="DM6" s="24" t="s">
        <v>41</v>
      </c>
      <c r="DN6" s="24" t="s">
        <v>41</v>
      </c>
      <c r="DO6" s="24" t="s">
        <v>41</v>
      </c>
      <c r="DP6" s="24" t="s">
        <v>41</v>
      </c>
      <c r="DQ6" s="24" t="s">
        <v>41</v>
      </c>
      <c r="DR6" s="24" t="s">
        <v>41</v>
      </c>
      <c r="DS6" s="24" t="s">
        <v>41</v>
      </c>
      <c r="DT6" s="24" t="s">
        <v>41</v>
      </c>
      <c r="DU6" s="24" t="s">
        <v>41</v>
      </c>
      <c r="DV6" s="24" t="s">
        <v>41</v>
      </c>
      <c r="DW6" s="24" t="s">
        <v>41</v>
      </c>
      <c r="DX6" s="24" t="s">
        <v>41</v>
      </c>
      <c r="DY6" s="24" t="s">
        <v>41</v>
      </c>
      <c r="DZ6" s="24" t="s">
        <v>41</v>
      </c>
      <c r="EA6" s="24" t="s">
        <v>41</v>
      </c>
      <c r="EB6" s="24" t="s">
        <v>41</v>
      </c>
      <c r="EC6" s="24" t="s">
        <v>41</v>
      </c>
      <c r="ED6" s="24" t="s">
        <v>41</v>
      </c>
      <c r="EE6" s="24" t="s">
        <v>41</v>
      </c>
      <c r="EF6" s="24" t="s">
        <v>41</v>
      </c>
      <c r="EG6" s="24" t="s">
        <v>41</v>
      </c>
      <c r="EH6" s="24" t="s">
        <v>41</v>
      </c>
      <c r="EI6" s="24" t="s">
        <v>41</v>
      </c>
      <c r="EJ6" s="24" t="s">
        <v>41</v>
      </c>
      <c r="EK6" s="24" t="s">
        <v>41</v>
      </c>
      <c r="EL6" s="24" t="s">
        <v>41</v>
      </c>
      <c r="EM6" s="24" t="s">
        <v>41</v>
      </c>
      <c r="EN6" s="24" t="s">
        <v>41</v>
      </c>
      <c r="EO6" s="24" t="s">
        <v>41</v>
      </c>
      <c r="EP6" s="24" t="s">
        <v>41</v>
      </c>
      <c r="EQ6" s="24" t="s">
        <v>41</v>
      </c>
      <c r="ER6" s="24" t="s">
        <v>41</v>
      </c>
      <c r="ES6" s="24" t="s">
        <v>41</v>
      </c>
      <c r="ET6" s="24" t="s">
        <v>41</v>
      </c>
      <c r="EU6" s="24" t="s">
        <v>41</v>
      </c>
      <c r="EV6" s="24" t="s">
        <v>41</v>
      </c>
      <c r="EW6" s="24" t="s">
        <v>41</v>
      </c>
      <c r="EX6" s="24" t="s">
        <v>41</v>
      </c>
      <c r="EY6" s="24" t="s">
        <v>41</v>
      </c>
      <c r="EZ6" s="24" t="s">
        <v>41</v>
      </c>
      <c r="FA6" s="24" t="s">
        <v>41</v>
      </c>
      <c r="FB6" s="24" t="s">
        <v>41</v>
      </c>
      <c r="FC6" s="24" t="s">
        <v>41</v>
      </c>
      <c r="FD6" s="24" t="s">
        <v>41</v>
      </c>
      <c r="FE6" s="24" t="s">
        <v>41</v>
      </c>
      <c r="FF6" s="24" t="s">
        <v>41</v>
      </c>
      <c r="FG6" s="24" t="s">
        <v>41</v>
      </c>
      <c r="FH6" s="24" t="s">
        <v>41</v>
      </c>
      <c r="FI6" s="24" t="s">
        <v>41</v>
      </c>
      <c r="FJ6" s="24" t="s">
        <v>41</v>
      </c>
      <c r="FK6" s="24" t="s">
        <v>41</v>
      </c>
      <c r="FL6" s="24" t="s">
        <v>41</v>
      </c>
      <c r="FM6" s="24" t="s">
        <v>41</v>
      </c>
      <c r="FN6" s="24" t="s">
        <v>41</v>
      </c>
      <c r="FO6" s="24" t="s">
        <v>41</v>
      </c>
      <c r="FP6" s="24" t="s">
        <v>41</v>
      </c>
      <c r="FQ6" s="24" t="s">
        <v>41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58</v>
      </c>
      <c r="D3" s="4" t="s">
        <v>9</v>
      </c>
      <c r="E3" s="11" t="s">
        <v>59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58</v>
      </c>
      <c r="D3" s="4" t="s">
        <v>9</v>
      </c>
      <c r="E3" s="11" t="s">
        <v>60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 t="str">
        <f>IFERROR(__xludf.DUMMYFUNCTION("""COMPUTED_VALUE"""),"Expiry Date")</f>
        <v>Expiry Date</v>
      </c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5000.0</v>
      </c>
      <c r="H6" s="6" t="s">
        <v>49</v>
      </c>
      <c r="I6" s="6" t="s">
        <v>55</v>
      </c>
      <c r="J6" s="6" t="s">
        <v>19</v>
      </c>
      <c r="K6" s="6" t="s">
        <v>54</v>
      </c>
      <c r="L6" s="6"/>
      <c r="M6" s="6"/>
      <c r="N6" s="6"/>
      <c r="O6" s="6"/>
      <c r="U6" s="8" t="s">
        <v>48</v>
      </c>
      <c r="V6" s="8" t="s">
        <v>56</v>
      </c>
      <c r="AA6" s="36" t="s">
        <v>57</v>
      </c>
      <c r="AB6" s="8">
        <v>5000.0</v>
      </c>
      <c r="AD6" s="8">
        <v>1.0</v>
      </c>
      <c r="AF6" s="8" t="s">
        <v>50</v>
      </c>
      <c r="AG6" s="8"/>
      <c r="AH6" s="8" t="s">
        <v>43</v>
      </c>
      <c r="AI6" s="8" t="s">
        <v>19</v>
      </c>
      <c r="AJ6" s="8" t="s">
        <v>22</v>
      </c>
      <c r="AK6" s="8" t="s">
        <v>61</v>
      </c>
      <c r="AL6" s="8">
        <v>10000.0</v>
      </c>
      <c r="AM6" s="8">
        <v>5000.0</v>
      </c>
      <c r="AN6" s="8"/>
      <c r="AO6" s="8">
        <v>10.0</v>
      </c>
      <c r="AP6" s="8">
        <v>10.0</v>
      </c>
      <c r="AQ6" s="8" t="s">
        <v>46</v>
      </c>
      <c r="AR6" s="36" t="s">
        <v>39</v>
      </c>
      <c r="AS6" s="8" t="s">
        <v>24</v>
      </c>
      <c r="AT6" s="8">
        <v>50000.0</v>
      </c>
      <c r="AU6" s="8">
        <v>50000.0</v>
      </c>
      <c r="AV6" s="8" t="s">
        <v>62</v>
      </c>
      <c r="AW6" s="8" t="s">
        <v>61</v>
      </c>
      <c r="AX6" s="8">
        <v>5000.0</v>
      </c>
      <c r="AZ6" s="8" t="s">
        <v>55</v>
      </c>
      <c r="BA6" s="8">
        <v>50.0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 t="str">
        <f>IFERROR(__xludf.DUMMYFUNCTION("""COMPUTED_VALUE"""),"ClearAllPrice")</f>
        <v>ClearAllPrice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34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IFERROR(__xludf.DUMMYFUNCTION("""COMPUTED_VALUE"""),"Accrual Basis")</f>
        <v>Accrual Basis</v>
      </c>
      <c r="D5" s="22" t="str">
        <f>IFERROR(__xludf.DUMMYFUNCTION("""COMPUTED_VALUE"""),"Accrued Interest")</f>
        <v>Accrued Interest</v>
      </c>
      <c r="E5" s="22" t="str">
        <f>IFERROR(__xludf.DUMMYFUNCTION("""COMPUTED_VALUE"""),"Allocated Qty")</f>
        <v>Allocated Qty</v>
      </c>
      <c r="F5" s="22" t="str">
        <f>IFERROR(__xludf.DUMMYFUNCTION("""COMPUTED_VALUE"""),"Allocation Scheme Name")</f>
        <v>Allocation Scheme Name</v>
      </c>
      <c r="G5" s="22" t="str">
        <f>IFERROR(__xludf.DUMMYFUNCTION("""COMPUTED_VALUE"""),"Asset Category")</f>
        <v>Asset Category</v>
      </c>
      <c r="H5" s="22" t="str">
        <f>IFERROR(__xludf.DUMMYFUNCTION("""COMPUTED_VALUE"""),"AUEC Fee1")</f>
        <v>AUEC Fee1</v>
      </c>
      <c r="I5" s="22" t="str">
        <f>IFERROR(__xludf.DUMMYFUNCTION("""COMPUTED_VALUE"""),"AUEC Fee2")</f>
        <v>AUEC Fee2</v>
      </c>
      <c r="J5" s="22" t="str">
        <f>IFERROR(__xludf.DUMMYFUNCTION("""COMPUTED_VALUE"""),"AUECID")</f>
        <v>AUECID</v>
      </c>
      <c r="K5" s="22" t="str">
        <f>IFERROR(__xludf.DUMMYFUNCTION("""COMPUTED_VALUE"""),"Avg Price(Base)")</f>
        <v>Avg Price(Base)</v>
      </c>
      <c r="L5" s="22" t="str">
        <f>IFERROR(__xludf.DUMMYFUNCTION("""COMPUTED_VALUE"""),"Avg Price(Local)")</f>
        <v>Avg Price(Local)</v>
      </c>
      <c r="M5" s="22" t="str">
        <f>IFERROR(__xludf.DUMMYFUNCTION("""COMPUTED_VALUE"""),"Bloomberg")</f>
        <v>Bloomberg</v>
      </c>
      <c r="N5" s="22" t="str">
        <f>IFERROR(__xludf.DUMMYFUNCTION("""COMPUTED_VALUE"""),"Bond Type")</f>
        <v>Bond Type</v>
      </c>
      <c r="O5" s="22" t="str">
        <f>IFERROR(__xludf.DUMMYFUNCTION("""COMPUTED_VALUE"""),"Broker")</f>
        <v>Broker</v>
      </c>
      <c r="P5" s="22" t="str">
        <f>IFERROR(__xludf.DUMMYFUNCTION("""COMPUTED_VALUE"""),"Change Comment")</f>
        <v>Change Comment</v>
      </c>
      <c r="Q5" s="22" t="str">
        <f>IFERROR(__xludf.DUMMYFUNCTION("""COMPUTED_VALUE"""),"Change Type")</f>
        <v>Change Type</v>
      </c>
      <c r="R5" s="22" t="str">
        <f>IFERROR(__xludf.DUMMYFUNCTION("""COMPUTED_VALUE"""),"Clearing Broker Fee")</f>
        <v>Clearing Broker Fee</v>
      </c>
      <c r="S5" s="22" t="str">
        <f>IFERROR(__xludf.DUMMYFUNCTION("""COMPUTED_VALUE"""),"Closing Status")</f>
        <v>Closing Status</v>
      </c>
      <c r="T5" s="23" t="str">
        <f>IFERROR(__xludf.DUMMYFUNCTION("""COMPUTED_VALUE"""),"Commission")</f>
        <v>Commission</v>
      </c>
      <c r="U5" s="23" t="str">
        <f>IFERROR(__xludf.DUMMYFUNCTION("""COMPUTED_VALUE"""),"Commission Per Share")</f>
        <v>Commission Per Share</v>
      </c>
      <c r="V5" s="23" t="str">
        <f>IFERROR(__xludf.DUMMYFUNCTION("""COMPUTED_VALUE"""),"Company")</f>
        <v>Company</v>
      </c>
      <c r="W5" s="23" t="str">
        <f>IFERROR(__xludf.DUMMYFUNCTION("""COMPUTED_VALUE"""),"Contract Multiplier")</f>
        <v>Contract Multiplier</v>
      </c>
      <c r="X5" s="23" t="str">
        <f>IFERROR(__xludf.DUMMYFUNCTION("""COMPUTED_VALUE"""),"Coupon Rate")</f>
        <v>Coupon Rate</v>
      </c>
      <c r="Y5" s="23" t="str">
        <f>IFERROR(__xludf.DUMMYFUNCTION("""COMPUTED_VALUE"""),"Cum Qty For Sub Order")</f>
        <v>Cum Qty For Sub Order</v>
      </c>
      <c r="Z5" s="23" t="str">
        <f>IFERROR(__xludf.DUMMYFUNCTION("""COMPUTED_VALUE"""),"Currency")</f>
        <v>Currency</v>
      </c>
      <c r="AA5" s="23" t="str">
        <f>IFERROR(__xludf.DUMMYFUNCTION("""COMPUTED_VALUE"""),"Cusip Symbol")</f>
        <v>Cusip Symbol</v>
      </c>
      <c r="AB5" s="23" t="str">
        <f>IFERROR(__xludf.DUMMYFUNCTION("""COMPUTED_VALUE"""),"Delta")</f>
        <v>Delta</v>
      </c>
      <c r="AC5" s="23" t="str">
        <f>IFERROR(__xludf.DUMMYFUNCTION("""COMPUTED_VALUE"""),"Description")</f>
        <v>Description</v>
      </c>
      <c r="AD5" s="23" t="str">
        <f>IFERROR(__xludf.DUMMYFUNCTION("""COMPUTED_VALUE"""),"Exchange")</f>
        <v>Exchange</v>
      </c>
      <c r="AE5" s="23" t="str">
        <f>IFERROR(__xludf.DUMMYFUNCTION("""COMPUTED_VALUE"""),"Executed Qty")</f>
        <v>Executed Qty</v>
      </c>
      <c r="AF5" s="23" t="str">
        <f>IFERROR(__xludf.DUMMYFUNCTION("""COMPUTED_VALUE"""),"Exceution Time")</f>
        <v>Exceution Time</v>
      </c>
      <c r="AG5" s="23" t="str">
        <f>IFERROR(__xludf.DUMMYFUNCTION("""COMPUTED_VALUE"""),"Expiration Date")</f>
        <v>Expiration Date</v>
      </c>
      <c r="AH5" s="23" t="str">
        <f>IFERROR(__xludf.DUMMYFUNCTION("""COMPUTED_VALUE"""),"FX Conversion Operator")</f>
        <v>FX Conversion Operator</v>
      </c>
      <c r="AI5" s="23" t="str">
        <f>IFERROR(__xludf.DUMMYFUNCTION("""COMPUTED_VALUE"""),"FX Rate")</f>
        <v>FX Rate</v>
      </c>
      <c r="AJ5" s="23" t="str">
        <f>IFERROR(__xludf.DUMMYFUNCTION("""COMPUTED_VALUE"""),"Group Status")</f>
        <v>Group Status</v>
      </c>
      <c r="AK5" s="23" t="str">
        <f>IFERROR(__xludf.DUMMYFUNCTION("""COMPUTED_VALUE"""),"IDCOSymbol")</f>
        <v>IDCOSymbol</v>
      </c>
      <c r="AL5" s="23" t="str">
        <f>IFERROR(__xludf.DUMMYFUNCTION("""COMPUTED_VALUE"""),"Import File Name")</f>
        <v>Import File Name</v>
      </c>
      <c r="AM5" s="23" t="str">
        <f>IFERROR(__xludf.DUMMYFUNCTION("""COMPUTED_VALUE"""),"Internal Comments")</f>
        <v>Internal Comments</v>
      </c>
      <c r="AN5" s="23" t="str">
        <f>IFERROR(__xludf.DUMMYFUNCTION("""COMPUTED_VALUE"""),"IsAnotherTaxlotAttributesUpdated")</f>
        <v>IsAnotherTaxlotAttributesUpdated</v>
      </c>
      <c r="AO5" s="23" t="str">
        <f>IFERROR(__xludf.DUMMYFUNCTION("""COMPUTED_VALUE"""),"ISIN")</f>
        <v>ISIN</v>
      </c>
      <c r="AP5" s="23" t="str">
        <f>IFERROR(__xludf.DUMMYFUNCTION("""COMPUTED_VALUE"""),"IsManual Group")</f>
        <v>IsManual Group</v>
      </c>
      <c r="AQ5" s="23" t="str">
        <f>IFERROR(__xludf.DUMMYFUNCTION("""COMPUTED_VALUE"""),"ISNDF")</f>
        <v>ISNDF</v>
      </c>
      <c r="AR5" s="23" t="str">
        <f>IFERROR(__xludf.DUMMYFUNCTION("""COMPUTED_VALUE"""),"IsPreAllocated")</f>
        <v>IsPreAllocated</v>
      </c>
      <c r="AS5" s="23" t="str">
        <f>IFERROR(__xludf.DUMMYFUNCTION("""COMPUTED_VALUE"""),"M2MProfitLoss")</f>
        <v>M2MProfitLoss</v>
      </c>
      <c r="AT5" s="23" t="str">
        <f>IFERROR(__xludf.DUMMYFUNCTION("""COMPUTED_VALUE"""),"Net Amount( Base)")</f>
        <v>Net Amount( Base)</v>
      </c>
      <c r="AU5" s="23" t="str">
        <f>IFERROR(__xludf.DUMMYFUNCTION("""COMPUTED_VALUE"""),"Net Amount( Local)")</f>
        <v>Net Amount( Local)</v>
      </c>
      <c r="AV5" s="23" t="str">
        <f>IFERROR(__xludf.DUMMYFUNCTION("""COMPUTED_VALUE"""),"Nirvana Process Date")</f>
        <v>Nirvana Process Date</v>
      </c>
      <c r="AW5" s="23" t="str">
        <f>IFERROR(__xludf.DUMMYFUNCTION("""COMPUTED_VALUE"""),"OCC Fee")</f>
        <v>OCC Fee</v>
      </c>
      <c r="AX5" s="23" t="str">
        <f>IFERROR(__xludf.DUMMYFUNCTION("""COMPUTED_VALUE"""),"Option Premium Adjustment")</f>
        <v>Option Premium Adjustment</v>
      </c>
      <c r="AY5" s="23" t="str">
        <f>IFERROR(__xludf.DUMMYFUNCTION("""COMPUTED_VALUE"""),"Order Type")</f>
        <v>Order Type</v>
      </c>
      <c r="AZ5" s="23" t="str">
        <f>IFERROR(__xludf.DUMMYFUNCTION("""COMPUTED_VALUE"""),"ORF Fee")</f>
        <v>ORF Fee</v>
      </c>
      <c r="BA5" s="23" t="str">
        <f>IFERROR(__xludf.DUMMYFUNCTION("""COMPUTED_VALUE"""),"Original Purchase Date")</f>
        <v>Original Purchase Date</v>
      </c>
      <c r="BB5" s="23" t="str">
        <f>IFERROR(__xludf.DUMMYFUNCTION("""COMPUTED_VALUE"""),"OSISSymbol")</f>
        <v>OSISSymbol</v>
      </c>
      <c r="BC5" s="23" t="str">
        <f>IFERROR(__xludf.DUMMYFUNCTION("""COMPUTED_VALUE"""),"Other Broker Fees")</f>
        <v>Other Broker Fees</v>
      </c>
      <c r="BD5" s="23" t="str">
        <f>IFERROR(__xludf.DUMMYFUNCTION("""COMPUTED_VALUE"""),"Prana Msg Type")</f>
        <v>Prana Msg Type</v>
      </c>
      <c r="BE5" s="23" t="str">
        <f>IFERROR(__xludf.DUMMYFUNCTION("""COMPUTED_VALUE"""),"Principal Amount( Base)")</f>
        <v>Principal Amount( Base)</v>
      </c>
      <c r="BF5" s="23" t="str">
        <f>IFERROR(__xludf.DUMMYFUNCTION("""COMPUTED_VALUE"""),"Principal Amount( Local)")</f>
        <v>Principal Amount( Local)</v>
      </c>
      <c r="BG5" s="23" t="str">
        <f>IFERROR(__xludf.DUMMYFUNCTION("""COMPUTED_VALUE"""),"Process Date")</f>
        <v>Process Date</v>
      </c>
      <c r="BH5" s="23" t="str">
        <f>IFERROR(__xludf.DUMMYFUNCTION("""COMPUTED_VALUE"""),"Proxy Symbol")</f>
        <v>Proxy Symbol</v>
      </c>
      <c r="BI5" s="23" t="str">
        <f>IFERROR(__xludf.DUMMYFUNCTION("""COMPUTED_VALUE"""),"Put Or Call")</f>
        <v>Put Or Call</v>
      </c>
      <c r="BJ5" s="23" t="str">
        <f>IFERROR(__xludf.DUMMYFUNCTION("""COMPUTED_VALUE"""),"Quantity")</f>
        <v>Quantity</v>
      </c>
      <c r="BK5" s="23" t="str">
        <f>IFERROR(__xludf.DUMMYFUNCTION("""COMPUTED_VALUE"""),"SEC Fee")</f>
        <v>SEC Fee</v>
      </c>
      <c r="BL5" s="23" t="str">
        <f>IFERROR(__xludf.DUMMYFUNCTION("""COMPUTED_VALUE"""),"Sedol Symbol")</f>
        <v>Sedol Symbol</v>
      </c>
      <c r="BM5" s="23" t="str">
        <f>IFERROR(__xludf.DUMMYFUNCTION("""COMPUTED_VALUE"""),"Settlement Currency")</f>
        <v>Settlement Currency</v>
      </c>
      <c r="BN5" s="23" t="str">
        <f>IFERROR(__xludf.DUMMYFUNCTION("""COMPUTED_VALUE"""),"Settlement Date")</f>
        <v>Settlement Date</v>
      </c>
      <c r="BO5" s="23" t="str">
        <f>IFERROR(__xludf.DUMMYFUNCTION("""COMPUTED_VALUE"""),"Side")</f>
        <v>Side</v>
      </c>
      <c r="BP5" s="23" t="str">
        <f>IFERROR(__xludf.DUMMYFUNCTION("""COMPUTED_VALUE"""),"Soft Commission")</f>
        <v>Soft Commission</v>
      </c>
      <c r="BQ5" s="23" t="str">
        <f>IFERROR(__xludf.DUMMYFUNCTION("""COMPUTED_VALUE"""),"Soft Commission Per Share")</f>
        <v>Soft Commission Per Share</v>
      </c>
      <c r="BR5" s="23" t="str">
        <f>IFERROR(__xludf.DUMMYFUNCTION("""COMPUTED_VALUE"""),"Stamp Duty")</f>
        <v>Stamp Duty</v>
      </c>
      <c r="BS5" s="23" t="str">
        <f>IFERROR(__xludf.DUMMYFUNCTION("""COMPUTED_VALUE"""),"Strategy Name")</f>
        <v>Strategy Name</v>
      </c>
      <c r="BT5" s="23" t="str">
        <f>IFERROR(__xludf.DUMMYFUNCTION("""COMPUTED_VALUE"""),"Symbol")</f>
        <v>Symbol</v>
      </c>
      <c r="BU5" s="23" t="str">
        <f>IFERROR(__xludf.DUMMYFUNCTION("""COMPUTED_VALUE"""),"Tax On Commissions")</f>
        <v>Tax On Commissions</v>
      </c>
      <c r="BV5" s="23" t="str">
        <f>IFERROR(__xludf.DUMMYFUNCTION("""COMPUTED_VALUE"""),"Total Commission")</f>
        <v>Total Commission</v>
      </c>
      <c r="BW5" s="23" t="str">
        <f>IFERROR(__xludf.DUMMYFUNCTION("""COMPUTED_VALUE"""),"Total Commission And Fee")</f>
        <v>Total Commission And Fee</v>
      </c>
      <c r="BX5" s="23" t="str">
        <f>IFERROR(__xludf.DUMMYFUNCTION("""COMPUTED_VALUE"""),"Total Commission Per Share")</f>
        <v>Total Commission Per Share</v>
      </c>
      <c r="BY5" s="23" t="str">
        <f>IFERROR(__xludf.DUMMYFUNCTION("""COMPUTED_VALUE"""),"Trade Attribute 1")</f>
        <v>Trade Attribute 1</v>
      </c>
      <c r="BZ5" s="23" t="str">
        <f>IFERROR(__xludf.DUMMYFUNCTION("""COMPUTED_VALUE"""),"Trade Attribute 2")</f>
        <v>Trade Attribute 2</v>
      </c>
      <c r="CA5" s="23" t="str">
        <f>IFERROR(__xludf.DUMMYFUNCTION("""COMPUTED_VALUE"""),"Trade Attribute 3")</f>
        <v>Trade Attribute 3</v>
      </c>
      <c r="CB5" s="23" t="str">
        <f>IFERROR(__xludf.DUMMYFUNCTION("""COMPUTED_VALUE"""),"Trade Attribute 4")</f>
        <v>Trade Attribute 4</v>
      </c>
      <c r="CC5" s="23" t="str">
        <f>IFERROR(__xludf.DUMMYFUNCTION("""COMPUTED_VALUE"""),"Trade Attribute 5")</f>
        <v>Trade Attribute 5</v>
      </c>
      <c r="CD5" s="23" t="str">
        <f>IFERROR(__xludf.DUMMYFUNCTION("""COMPUTED_VALUE"""),"Trade Attribute 6")</f>
        <v>Trade Attribute 6</v>
      </c>
      <c r="CE5" s="23" t="str">
        <f>IFERROR(__xludf.DUMMYFUNCTION("""COMPUTED_VALUE"""),"Trade Date")</f>
        <v>Trade Date</v>
      </c>
      <c r="CF5" s="23" t="str">
        <f>IFERROR(__xludf.DUMMYFUNCTION("""COMPUTED_VALUE"""),"Trading Account")</f>
        <v>Trading Account</v>
      </c>
      <c r="CG5" s="23" t="str">
        <f>IFERROR(__xludf.DUMMYFUNCTION("""COMPUTED_VALUE"""),"Transaction Levy")</f>
        <v>Transaction Levy</v>
      </c>
      <c r="CH5" s="23" t="str">
        <f>IFERROR(__xludf.DUMMYFUNCTION("""COMPUTED_VALUE"""),"Transaction Source")</f>
        <v>Transaction Source</v>
      </c>
      <c r="CI5" s="23" t="str">
        <f>IFERROR(__xludf.DUMMYFUNCTION("""COMPUTED_VALUE"""),"Transaction Type")</f>
        <v>Transaction Type</v>
      </c>
      <c r="CJ5" s="23" t="str">
        <f>IFERROR(__xludf.DUMMYFUNCTION("""COMPUTED_VALUE"""),"UnAllocatedQty")</f>
        <v>UnAllocatedQty</v>
      </c>
      <c r="CK5" s="23" t="str">
        <f>IFERROR(__xludf.DUMMYFUNCTION("""COMPUTED_VALUE"""),"Underlying")</f>
        <v>Underlying</v>
      </c>
      <c r="CL5" s="23" t="str">
        <f>IFERROR(__xludf.DUMMYFUNCTION("""COMPUTED_VALUE"""),"Underlying Delta")</f>
        <v>Underlying Delta</v>
      </c>
      <c r="CM5" s="23" t="str">
        <f>IFERROR(__xludf.DUMMYFUNCTION("""COMPUTED_VALUE"""),"Underlying Symbol")</f>
        <v>Underlying Symbol</v>
      </c>
      <c r="CN5" s="23" t="str">
        <f>IFERROR(__xludf.DUMMYFUNCTION("""COMPUTED_VALUE"""),"User")</f>
        <v>User</v>
      </c>
      <c r="CO5" s="23" t="str">
        <f>IFERROR(__xludf.DUMMYFUNCTION("""COMPUTED_VALUE"""),"Venue")</f>
        <v>Venue</v>
      </c>
      <c r="CP5" s="23" t="str">
        <f>IFERROR(__xludf.DUMMYFUNCTION("""COMPUTED_VALUE"""),"Closing Method")</f>
        <v>Closing Method</v>
      </c>
      <c r="CQ5" s="23" t="str">
        <f>IFERROR(__xludf.DUMMYFUNCTION("""COMPUTED_VALUE"""),"Closing Date")</f>
        <v>Closing Date</v>
      </c>
      <c r="CR5" s="23" t="str">
        <f>IFERROR(__xludf.DUMMYFUNCTION("""COMPUTED_VALUE"""),"GroupID")</f>
        <v>GroupID</v>
      </c>
      <c r="CS5" s="23" t="str">
        <f>IFERROR(__xludf.DUMMYFUNCTION("""COMPUTED_VALUE"""),"Client")</f>
        <v>Client</v>
      </c>
      <c r="CT5" s="23" t="str">
        <f>IFERROR(__xludf.DUMMYFUNCTION("""COMPUTED_VALUE"""),"Borrow Broker")</f>
        <v>Borrow Broker</v>
      </c>
      <c r="CU5" s="23" t="str">
        <f>IFERROR(__xludf.DUMMYFUNCTION("""COMPUTED_VALUE"""),"ACTIV Symbol")</f>
        <v>ACTIV Symbol</v>
      </c>
      <c r="CV5" s="23" t="str">
        <f>IFERROR(__xludf.DUMMYFUNCTION("""COMPUTED_VALUE"""),"Borrower Id")</f>
        <v>Borrower Id</v>
      </c>
      <c r="CW5" s="23" t="str">
        <f>IFERROR(__xludf.DUMMYFUNCTION("""COMPUTED_VALUE"""),"Borrow Rate(%)")</f>
        <v>Borrow Rate(%)</v>
      </c>
      <c r="CX5" s="23" t="str">
        <f>IFERROR(__xludf.DUMMYFUNCTION("""COMPUTED_VALUE"""),"Master Fund")</f>
        <v>Master Fund</v>
      </c>
      <c r="CY5" s="23" t="str">
        <f>IFERROR(__xludf.DUMMYFUNCTION("""COMPUTED_VALUE"""),"MandatoryColumn")</f>
        <v>MandatoryColumn</v>
      </c>
      <c r="CZ5" s="23" t="str">
        <f>IFERROR(__xludf.DUMMYFUNCTION("""COMPUTED_VALUE"""),"Testing Type")</f>
        <v>Testing Type</v>
      </c>
      <c r="DA5" s="23" t="str">
        <f>IFERROR(__xludf.DUMMYFUNCTION("""COMPUTED_VALUE"""),"Testing Column")</f>
        <v>Testing Column</v>
      </c>
      <c r="DB5" s="23" t="str">
        <f>IFERROR(__xludf.DUMMYFUNCTION("""COMPUTED_VALUE"""),"Testing Col Value")</f>
        <v>Testing Col Value</v>
      </c>
      <c r="DC5" s="23" t="str">
        <f>IFERROR(__xludf.DUMMYFUNCTION("""COMPUTED_VALUE"""),"DuplicateRow")</f>
        <v>DuplicateRow</v>
      </c>
      <c r="DD5" s="23" t="str">
        <f>IFERROR(__xludf.DUMMYFUNCTION("""COMPUTED_VALUE"""),"DuplicateCountOnUI")</f>
        <v>DuplicateCountOnUI</v>
      </c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</row>
    <row r="6" ht="15.75" customHeight="1">
      <c r="A6" s="24" t="s">
        <v>41</v>
      </c>
      <c r="B6" s="33" t="s">
        <v>39</v>
      </c>
      <c r="C6" s="27" t="s">
        <v>42</v>
      </c>
      <c r="D6" s="24"/>
      <c r="E6" s="26">
        <v>5000.0</v>
      </c>
      <c r="F6" s="27" t="s">
        <v>62</v>
      </c>
      <c r="G6" s="27" t="s">
        <v>43</v>
      </c>
      <c r="H6" s="26">
        <v>4.0</v>
      </c>
      <c r="I6" s="26">
        <v>5.0</v>
      </c>
      <c r="J6" s="26">
        <v>1.0</v>
      </c>
      <c r="K6" s="26">
        <v>10.0</v>
      </c>
      <c r="L6" s="26">
        <v>10.0</v>
      </c>
      <c r="M6" s="27" t="s">
        <v>44</v>
      </c>
      <c r="N6" s="27" t="s">
        <v>45</v>
      </c>
      <c r="O6" s="27" t="s">
        <v>46</v>
      </c>
      <c r="P6" s="24"/>
      <c r="Q6" s="24">
        <v>3.0</v>
      </c>
      <c r="R6" s="24"/>
      <c r="S6" s="24"/>
      <c r="T6" s="24"/>
      <c r="U6" s="24"/>
      <c r="V6" s="24" t="s">
        <v>47</v>
      </c>
      <c r="W6" s="24"/>
      <c r="X6" s="24"/>
      <c r="Y6" s="24"/>
      <c r="Z6" s="24" t="s">
        <v>48</v>
      </c>
      <c r="AA6" s="24" t="s">
        <v>19</v>
      </c>
      <c r="AB6" s="28">
        <v>1.0</v>
      </c>
      <c r="AC6" s="24"/>
      <c r="AD6" s="24" t="s">
        <v>49</v>
      </c>
      <c r="AE6" s="28">
        <v>5000.0</v>
      </c>
      <c r="AF6" s="24" t="s">
        <v>41</v>
      </c>
      <c r="AG6" s="24"/>
      <c r="AH6" s="24" t="s">
        <v>50</v>
      </c>
      <c r="AI6" s="28">
        <v>1.0</v>
      </c>
      <c r="AJ6" s="24"/>
      <c r="AK6" s="24"/>
      <c r="AL6" s="24"/>
      <c r="AM6" s="24"/>
      <c r="AN6" s="24"/>
      <c r="AO6" s="24"/>
      <c r="AP6" s="24"/>
      <c r="AQ6" s="24"/>
      <c r="AR6" s="24"/>
      <c r="AS6" s="28">
        <v>0.0</v>
      </c>
      <c r="AT6" s="24">
        <v>50014.03</v>
      </c>
      <c r="AU6" s="24">
        <v>50014.03</v>
      </c>
      <c r="AV6" s="24"/>
      <c r="AW6" s="24"/>
      <c r="AX6" s="24"/>
      <c r="AY6" s="24" t="s">
        <v>24</v>
      </c>
      <c r="AZ6" s="24"/>
      <c r="BA6" s="24"/>
      <c r="BB6" s="24"/>
      <c r="BC6" s="24"/>
      <c r="BD6" s="24"/>
      <c r="BE6" s="24">
        <v>50000.0</v>
      </c>
      <c r="BF6" s="24">
        <v>50000.0</v>
      </c>
      <c r="BG6" s="24"/>
      <c r="BH6" s="24"/>
      <c r="BI6" s="24"/>
      <c r="BJ6" s="28">
        <v>10000.0</v>
      </c>
      <c r="BK6" s="24"/>
      <c r="BL6" s="24" t="s">
        <v>41</v>
      </c>
      <c r="BM6" s="24" t="s">
        <v>48</v>
      </c>
      <c r="BN6" s="24"/>
      <c r="BO6" s="24" t="s">
        <v>22</v>
      </c>
      <c r="BP6" s="28">
        <v>0.0</v>
      </c>
      <c r="BQ6" s="28">
        <v>0.0</v>
      </c>
      <c r="BR6" s="28"/>
      <c r="BS6" s="24" t="s">
        <v>51</v>
      </c>
      <c r="BT6" s="24" t="s">
        <v>19</v>
      </c>
      <c r="BU6" s="24"/>
      <c r="BV6" s="24"/>
      <c r="BW6" s="24">
        <v>14.03</v>
      </c>
      <c r="BX6" s="24"/>
      <c r="BY6" s="24" t="s">
        <v>41</v>
      </c>
      <c r="BZ6" s="24" t="s">
        <v>41</v>
      </c>
      <c r="CA6" s="24" t="s">
        <v>41</v>
      </c>
      <c r="CB6" s="24" t="s">
        <v>41</v>
      </c>
      <c r="CC6" s="24" t="s">
        <v>41</v>
      </c>
      <c r="CD6" s="24" t="s">
        <v>41</v>
      </c>
      <c r="CE6" s="24" t="s">
        <v>52</v>
      </c>
      <c r="CF6" s="24" t="s">
        <v>53</v>
      </c>
      <c r="CG6" s="28">
        <v>2.0</v>
      </c>
      <c r="CH6" s="24" t="s">
        <v>17</v>
      </c>
      <c r="CI6" s="24" t="s">
        <v>22</v>
      </c>
      <c r="CJ6" s="24"/>
      <c r="CK6" s="24" t="s">
        <v>54</v>
      </c>
      <c r="CL6" s="28">
        <v>1.0</v>
      </c>
      <c r="CM6" s="24" t="s">
        <v>19</v>
      </c>
      <c r="CN6" s="24" t="s">
        <v>55</v>
      </c>
      <c r="CO6" s="24" t="s">
        <v>49</v>
      </c>
      <c r="CP6" s="24" t="s">
        <v>56</v>
      </c>
      <c r="CQ6" s="24"/>
      <c r="CR6" s="24"/>
      <c r="CS6" s="24" t="s">
        <v>41</v>
      </c>
      <c r="CT6" s="24"/>
      <c r="CU6" s="24"/>
      <c r="CV6" s="24"/>
      <c r="CW6" s="24"/>
      <c r="CX6" s="33" t="s">
        <v>57</v>
      </c>
      <c r="CY6" s="24" t="s">
        <v>41</v>
      </c>
      <c r="CZ6" s="24" t="s">
        <v>41</v>
      </c>
      <c r="DA6" s="24" t="s">
        <v>41</v>
      </c>
      <c r="DB6" s="24" t="s">
        <v>41</v>
      </c>
      <c r="DC6" s="24" t="s">
        <v>41</v>
      </c>
      <c r="DD6" s="24" t="s">
        <v>41</v>
      </c>
      <c r="DE6" s="24" t="s">
        <v>41</v>
      </c>
      <c r="DF6" s="24" t="s">
        <v>41</v>
      </c>
      <c r="DG6" s="24" t="s">
        <v>41</v>
      </c>
      <c r="DH6" s="24" t="s">
        <v>41</v>
      </c>
      <c r="DI6" s="24" t="s">
        <v>41</v>
      </c>
      <c r="DJ6" s="24" t="s">
        <v>41</v>
      </c>
      <c r="DK6" s="24" t="s">
        <v>41</v>
      </c>
      <c r="DL6" s="24" t="s">
        <v>41</v>
      </c>
      <c r="DM6" s="24" t="s">
        <v>41</v>
      </c>
      <c r="DN6" s="24" t="s">
        <v>41</v>
      </c>
      <c r="DO6" s="24" t="s">
        <v>41</v>
      </c>
      <c r="DP6" s="24" t="s">
        <v>41</v>
      </c>
      <c r="DQ6" s="24" t="s">
        <v>41</v>
      </c>
      <c r="DR6" s="24" t="s">
        <v>41</v>
      </c>
      <c r="DS6" s="24" t="s">
        <v>41</v>
      </c>
      <c r="DT6" s="24" t="s">
        <v>41</v>
      </c>
      <c r="DU6" s="24" t="s">
        <v>41</v>
      </c>
      <c r="DV6" s="24" t="s">
        <v>41</v>
      </c>
      <c r="DW6" s="24" t="s">
        <v>41</v>
      </c>
      <c r="DX6" s="24" t="s">
        <v>41</v>
      </c>
      <c r="DY6" s="24" t="s">
        <v>41</v>
      </c>
      <c r="DZ6" s="24" t="s">
        <v>41</v>
      </c>
      <c r="EA6" s="24" t="s">
        <v>41</v>
      </c>
      <c r="EB6" s="24" t="s">
        <v>41</v>
      </c>
      <c r="EC6" s="24" t="s">
        <v>41</v>
      </c>
      <c r="ED6" s="24" t="s">
        <v>41</v>
      </c>
      <c r="EE6" s="24" t="s">
        <v>41</v>
      </c>
      <c r="EF6" s="24" t="s">
        <v>41</v>
      </c>
      <c r="EG6" s="24" t="s">
        <v>41</v>
      </c>
      <c r="EH6" s="24" t="s">
        <v>41</v>
      </c>
      <c r="EI6" s="24" t="s">
        <v>41</v>
      </c>
      <c r="EJ6" s="24" t="s">
        <v>41</v>
      </c>
      <c r="EK6" s="24" t="s">
        <v>41</v>
      </c>
      <c r="EL6" s="24" t="s">
        <v>41</v>
      </c>
      <c r="EM6" s="24" t="s">
        <v>41</v>
      </c>
      <c r="EN6" s="24" t="s">
        <v>41</v>
      </c>
      <c r="EO6" s="24" t="s">
        <v>41</v>
      </c>
      <c r="EP6" s="24" t="s">
        <v>41</v>
      </c>
      <c r="EQ6" s="24" t="s">
        <v>41</v>
      </c>
      <c r="ER6" s="24" t="s">
        <v>41</v>
      </c>
      <c r="ES6" s="24" t="s">
        <v>41</v>
      </c>
      <c r="ET6" s="24" t="s">
        <v>41</v>
      </c>
      <c r="EU6" s="24" t="s">
        <v>41</v>
      </c>
      <c r="EV6" s="24" t="s">
        <v>41</v>
      </c>
      <c r="EW6" s="24" t="s">
        <v>41</v>
      </c>
      <c r="EX6" s="24" t="s">
        <v>41</v>
      </c>
      <c r="EY6" s="24" t="s">
        <v>41</v>
      </c>
      <c r="EZ6" s="24" t="s">
        <v>41</v>
      </c>
      <c r="FA6" s="24" t="s">
        <v>41</v>
      </c>
      <c r="FB6" s="24" t="s">
        <v>41</v>
      </c>
      <c r="FC6" s="24" t="s">
        <v>41</v>
      </c>
      <c r="FD6" s="24" t="s">
        <v>41</v>
      </c>
      <c r="FE6" s="24" t="s">
        <v>41</v>
      </c>
      <c r="FF6" s="24" t="s">
        <v>41</v>
      </c>
      <c r="FG6" s="24" t="s">
        <v>41</v>
      </c>
      <c r="FH6" s="24" t="s">
        <v>41</v>
      </c>
      <c r="FI6" s="24" t="s">
        <v>41</v>
      </c>
      <c r="FJ6" s="24" t="s">
        <v>41</v>
      </c>
      <c r="FK6" s="24" t="s">
        <v>41</v>
      </c>
      <c r="FL6" s="24" t="s">
        <v>41</v>
      </c>
      <c r="FM6" s="24" t="s">
        <v>41</v>
      </c>
      <c r="FN6" s="24" t="s">
        <v>41</v>
      </c>
      <c r="FO6" s="24" t="s">
        <v>41</v>
      </c>
      <c r="FP6" s="24" t="s">
        <v>41</v>
      </c>
      <c r="FQ6" s="24" t="s">
        <v>41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24" t="s">
        <v>41</v>
      </c>
      <c r="B7" s="33" t="s">
        <v>39</v>
      </c>
      <c r="C7" s="27" t="s">
        <v>42</v>
      </c>
      <c r="D7" s="24"/>
      <c r="E7" s="26">
        <v>100.0</v>
      </c>
      <c r="F7" s="27" t="s">
        <v>62</v>
      </c>
      <c r="G7" s="27" t="s">
        <v>43</v>
      </c>
      <c r="H7" s="26">
        <v>4.0</v>
      </c>
      <c r="I7" s="26">
        <v>5.0</v>
      </c>
      <c r="J7" s="26">
        <v>1.0</v>
      </c>
      <c r="K7" s="26">
        <v>10.0</v>
      </c>
      <c r="L7" s="26">
        <v>10.0</v>
      </c>
      <c r="M7" s="27" t="s">
        <v>44</v>
      </c>
      <c r="N7" s="27" t="s">
        <v>45</v>
      </c>
      <c r="O7" s="27" t="s">
        <v>46</v>
      </c>
      <c r="P7" s="24"/>
      <c r="Q7" s="24">
        <v>3.0</v>
      </c>
      <c r="R7" s="24"/>
      <c r="S7" s="24"/>
      <c r="T7" s="24"/>
      <c r="U7" s="24"/>
      <c r="V7" s="24" t="s">
        <v>47</v>
      </c>
      <c r="W7" s="24"/>
      <c r="X7" s="24"/>
      <c r="Y7" s="24"/>
      <c r="Z7" s="24" t="s">
        <v>48</v>
      </c>
      <c r="AA7" s="24" t="s">
        <v>19</v>
      </c>
      <c r="AB7" s="28">
        <v>1.0</v>
      </c>
      <c r="AC7" s="24"/>
      <c r="AD7" s="24" t="s">
        <v>49</v>
      </c>
      <c r="AE7" s="28">
        <v>100.0</v>
      </c>
      <c r="AF7" s="24" t="s">
        <v>41</v>
      </c>
      <c r="AG7" s="24"/>
      <c r="AH7" s="24" t="s">
        <v>50</v>
      </c>
      <c r="AI7" s="28">
        <v>1.0</v>
      </c>
      <c r="AJ7" s="24"/>
      <c r="AK7" s="24"/>
      <c r="AL7" s="24"/>
      <c r="AM7" s="24"/>
      <c r="AN7" s="24"/>
      <c r="AO7" s="24"/>
      <c r="AP7" s="24"/>
      <c r="AQ7" s="24"/>
      <c r="AR7" s="24"/>
      <c r="AS7" s="28">
        <v>0.0</v>
      </c>
      <c r="AT7" s="24">
        <v>1014.0</v>
      </c>
      <c r="AU7" s="24">
        <v>1014.0</v>
      </c>
      <c r="AV7" s="24"/>
      <c r="AW7" s="24"/>
      <c r="AX7" s="24"/>
      <c r="AY7" s="24" t="s">
        <v>24</v>
      </c>
      <c r="AZ7" s="24"/>
      <c r="BA7" s="24"/>
      <c r="BB7" s="24"/>
      <c r="BC7" s="24"/>
      <c r="BD7" s="24"/>
      <c r="BE7" s="24">
        <v>1000.0</v>
      </c>
      <c r="BF7" s="24">
        <v>1000.0</v>
      </c>
      <c r="BG7" s="24"/>
      <c r="BH7" s="24"/>
      <c r="BI7" s="24"/>
      <c r="BJ7" s="28">
        <v>10000.0</v>
      </c>
      <c r="BK7" s="24"/>
      <c r="BL7" s="24" t="s">
        <v>41</v>
      </c>
      <c r="BM7" s="24" t="s">
        <v>48</v>
      </c>
      <c r="BN7" s="24"/>
      <c r="BO7" s="24" t="s">
        <v>22</v>
      </c>
      <c r="BP7" s="28">
        <v>0.0</v>
      </c>
      <c r="BQ7" s="28">
        <v>0.0</v>
      </c>
      <c r="BR7" s="28"/>
      <c r="BS7" s="24" t="s">
        <v>51</v>
      </c>
      <c r="BT7" s="24" t="s">
        <v>19</v>
      </c>
      <c r="BU7" s="24"/>
      <c r="BV7" s="24"/>
      <c r="BW7" s="24">
        <v>14.0</v>
      </c>
      <c r="BX7" s="24"/>
      <c r="BY7" s="24" t="s">
        <v>41</v>
      </c>
      <c r="BZ7" s="24" t="s">
        <v>41</v>
      </c>
      <c r="CA7" s="24" t="s">
        <v>41</v>
      </c>
      <c r="CB7" s="24" t="s">
        <v>41</v>
      </c>
      <c r="CC7" s="24" t="s">
        <v>41</v>
      </c>
      <c r="CD7" s="24" t="s">
        <v>41</v>
      </c>
      <c r="CE7" s="24" t="s">
        <v>63</v>
      </c>
      <c r="CF7" s="24" t="s">
        <v>53</v>
      </c>
      <c r="CG7" s="28">
        <v>2.0</v>
      </c>
      <c r="CH7" s="24" t="s">
        <v>64</v>
      </c>
      <c r="CI7" s="24" t="s">
        <v>22</v>
      </c>
      <c r="CJ7" s="24"/>
      <c r="CK7" s="24" t="s">
        <v>54</v>
      </c>
      <c r="CL7" s="28">
        <v>1.0</v>
      </c>
      <c r="CM7" s="24" t="s">
        <v>19</v>
      </c>
      <c r="CN7" s="24" t="s">
        <v>55</v>
      </c>
      <c r="CO7" s="24" t="s">
        <v>49</v>
      </c>
      <c r="CP7" s="24" t="s">
        <v>56</v>
      </c>
      <c r="CQ7" s="24"/>
      <c r="CR7" s="24"/>
      <c r="CS7" s="24" t="s">
        <v>41</v>
      </c>
      <c r="CT7" s="24"/>
      <c r="CU7" s="24"/>
      <c r="CV7" s="24"/>
      <c r="CW7" s="24"/>
      <c r="CX7" s="33" t="s">
        <v>57</v>
      </c>
      <c r="CY7" s="24" t="s">
        <v>41</v>
      </c>
      <c r="CZ7" s="24" t="s">
        <v>41</v>
      </c>
      <c r="DA7" s="24" t="s">
        <v>41</v>
      </c>
      <c r="DB7" s="24" t="s">
        <v>41</v>
      </c>
      <c r="DC7" s="24" t="s">
        <v>41</v>
      </c>
      <c r="DD7" s="24" t="s">
        <v>41</v>
      </c>
      <c r="DE7" s="24" t="s">
        <v>41</v>
      </c>
      <c r="DF7" s="24" t="s">
        <v>41</v>
      </c>
      <c r="DG7" s="24" t="s">
        <v>41</v>
      </c>
      <c r="DH7" s="24" t="s">
        <v>41</v>
      </c>
      <c r="DI7" s="24" t="s">
        <v>41</v>
      </c>
      <c r="DJ7" s="24" t="s">
        <v>41</v>
      </c>
      <c r="DK7" s="24" t="s">
        <v>41</v>
      </c>
      <c r="DL7" s="24" t="s">
        <v>41</v>
      </c>
      <c r="DM7" s="24" t="s">
        <v>41</v>
      </c>
      <c r="DN7" s="24" t="s">
        <v>41</v>
      </c>
      <c r="DO7" s="24" t="s">
        <v>41</v>
      </c>
      <c r="DP7" s="24" t="s">
        <v>41</v>
      </c>
      <c r="DQ7" s="24" t="s">
        <v>41</v>
      </c>
      <c r="DR7" s="24" t="s">
        <v>41</v>
      </c>
      <c r="DS7" s="24" t="s">
        <v>41</v>
      </c>
      <c r="DT7" s="24" t="s">
        <v>41</v>
      </c>
      <c r="DU7" s="24" t="s">
        <v>41</v>
      </c>
      <c r="DV7" s="24" t="s">
        <v>41</v>
      </c>
      <c r="DW7" s="24" t="s">
        <v>41</v>
      </c>
      <c r="DX7" s="24" t="s">
        <v>41</v>
      </c>
      <c r="DY7" s="24" t="s">
        <v>41</v>
      </c>
      <c r="DZ7" s="24" t="s">
        <v>41</v>
      </c>
      <c r="EA7" s="24" t="s">
        <v>41</v>
      </c>
      <c r="EB7" s="24" t="s">
        <v>41</v>
      </c>
      <c r="EC7" s="24" t="s">
        <v>41</v>
      </c>
      <c r="ED7" s="24" t="s">
        <v>41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41</v>
      </c>
      <c r="EL7" s="24" t="s">
        <v>41</v>
      </c>
      <c r="EM7" s="24" t="s">
        <v>41</v>
      </c>
      <c r="EN7" s="24" t="s">
        <v>41</v>
      </c>
      <c r="EO7" s="24" t="s">
        <v>41</v>
      </c>
      <c r="EP7" s="24" t="s">
        <v>41</v>
      </c>
      <c r="EQ7" s="24" t="s">
        <v>41</v>
      </c>
      <c r="ER7" s="24" t="s">
        <v>41</v>
      </c>
      <c r="ES7" s="24" t="s">
        <v>41</v>
      </c>
      <c r="ET7" s="24" t="s">
        <v>41</v>
      </c>
      <c r="EU7" s="24" t="s">
        <v>41</v>
      </c>
      <c r="EV7" s="24" t="s">
        <v>41</v>
      </c>
      <c r="EW7" s="24" t="s">
        <v>41</v>
      </c>
      <c r="EX7" s="24" t="s">
        <v>41</v>
      </c>
      <c r="EY7" s="24" t="s">
        <v>41</v>
      </c>
      <c r="EZ7" s="24" t="s">
        <v>41</v>
      </c>
      <c r="FA7" s="24" t="s">
        <v>41</v>
      </c>
      <c r="FB7" s="24" t="s">
        <v>41</v>
      </c>
      <c r="FC7" s="24" t="s">
        <v>41</v>
      </c>
      <c r="FD7" s="24" t="s">
        <v>41</v>
      </c>
      <c r="FE7" s="24" t="s">
        <v>41</v>
      </c>
      <c r="FF7" s="24" t="s">
        <v>41</v>
      </c>
      <c r="FG7" s="24" t="s">
        <v>41</v>
      </c>
      <c r="FH7" s="24" t="s">
        <v>41</v>
      </c>
      <c r="FI7" s="24" t="s">
        <v>41</v>
      </c>
      <c r="FJ7" s="24" t="s">
        <v>41</v>
      </c>
      <c r="FK7" s="24" t="s">
        <v>41</v>
      </c>
      <c r="FL7" s="24" t="s">
        <v>41</v>
      </c>
      <c r="FM7" s="24" t="s">
        <v>41</v>
      </c>
      <c r="FN7" s="24" t="s">
        <v>41</v>
      </c>
      <c r="FO7" s="24" t="s">
        <v>41</v>
      </c>
      <c r="FP7" s="24" t="s">
        <v>41</v>
      </c>
      <c r="FQ7" s="24" t="s">
        <v>41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29</v>
      </c>
      <c r="D3" s="4" t="s">
        <v>9</v>
      </c>
      <c r="E3" s="11" t="s">
        <v>30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IFERROR(__xludf.DUMMYFUNCTION("""COMPUTED_VALUE"""),"DateOrReset")</f>
        <v>DateOrReset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