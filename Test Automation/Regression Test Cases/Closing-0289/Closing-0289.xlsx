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<sst xmlns="http://schemas.openxmlformats.org/spreadsheetml/2006/main" count="906" uniqueCount="76">
  <si>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</si>
  <si>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</si>
  <si>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</si>
  <si>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</si>
  <si>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</si>
  <si>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</si>
  <si>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</si>
  <si>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</si>
  <si>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</si>
  <si>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</si>
  <si>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</si>
  <si>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</si>
  <si>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</si>
  <si>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</si>
  <si>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</si>
  <si>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</si>
  <si>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12K30.00</t>
  </si>
  <si>
    <t>Yes</t>
  </si>
  <si>
    <t>O:MSFT 12K31.00</t>
  </si>
  <si>
    <t>O:MSFT 14A35.00</t>
  </si>
  <si>
    <t>O:MSFT 14H29.00</t>
  </si>
  <si>
    <t>O:FB 12K18.00</t>
  </si>
  <si>
    <t>O:FB 12L17.00</t>
  </si>
  <si>
    <t>O:FB 13F25.00</t>
  </si>
  <si>
    <t>O:FB 13I26.00</t>
  </si>
  <si>
    <t>O:GOOG 12K770.00</t>
  </si>
  <si>
    <t>O:GOOG 13A700.00</t>
  </si>
  <si>
    <t>O:GOOG 13C755.00</t>
  </si>
  <si>
    <t>O:GOOG 13I715.00</t>
  </si>
  <si>
    <t>Admin</t>
  </si>
  <si>
    <t>UpdateExpirationDate</t>
  </si>
  <si>
    <t>O:AAPL 23D60.00D21</t>
  </si>
  <si>
    <t>O:AAPL 23D70.00D21</t>
  </si>
  <si>
    <t>O:AAPL 23D80.00D21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</si>
  <si>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</si>
  <si>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</si>
  <si>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</si>
  <si>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</si>
  <si>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</si>
  <si>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</si>
  <si>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</si>
  <si>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Allocation1</t>
  </si>
  <si>
    <t>Buy to Open</t>
  </si>
  <si>
    <t>GS</t>
  </si>
  <si>
    <t>MSFT</t>
  </si>
  <si>
    <t>Sell short</t>
  </si>
  <si>
    <t>Allocation2</t>
  </si>
  <si>
    <t>FB</t>
  </si>
  <si>
    <t>rt</t>
  </si>
  <si>
    <t>Sell to Open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</si>
  <si>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</si>
  <si>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</si>
  <si>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</si>
  <si>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</si>
  <si>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</si>
  <si>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</si>
  <si>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</si>
  <si>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</si>
  <si>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</si>
  <si>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</si>
  <si>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</si>
  <si>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</si>
  <si>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</si>
  <si>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</si>
  <si>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MS</t>
  </si>
  <si>
    <t>Strategy Unallocated</t>
  </si>
  <si>
    <t>Equity</t>
  </si>
  <si>
    <t>Sell to Close</t>
  </si>
  <si>
    <t>Buy to Close</t>
  </si>
  <si>
    <t>Sell</t>
  </si>
  <si>
    <t>PortfolioManagement</t>
  </si>
  <si>
    <t>CheckPortfolioManagement</t>
  </si>
  <si>
    <t>NewMF3</t>
  </si>
  <si>
    <t>NewMF</t>
  </si>
  <si>
    <t>NewMF1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</si>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</sst>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&quot;Google Sans Mono&quot;"/>
    </font>
    <font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5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7.0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70.0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80.0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80.0</v>
      </c>
      <c r="G9" s="8"/>
      <c r="H9" s="32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32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70.0</v>
      </c>
      <c r="G11" s="8"/>
      <c r="H11" s="32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80.0</v>
      </c>
      <c r="G12" s="8"/>
      <c r="H12" s="32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80.0</v>
      </c>
      <c r="G13" s="8"/>
      <c r="H13" s="32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32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70.0</v>
      </c>
      <c r="G15" s="8"/>
      <c r="H15" s="32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80.0</v>
      </c>
      <c r="G16" s="8"/>
      <c r="H16" s="32" t="s">
        <v>27</v>
      </c>
      <c r="I16" s="13" t="s">
        <v>17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80.0</v>
      </c>
      <c r="G17" s="8"/>
      <c r="H17" s="32" t="s">
        <v>28</v>
      </c>
      <c r="I17" s="13" t="s">
        <v>17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31</v>
      </c>
      <c r="C6" s="34">
        <f>TODAY()+20</f>
        <v>45159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33" t="s">
        <v>32</v>
      </c>
      <c r="C7" s="34">
        <f>TODAY()+21</f>
        <v>45160</v>
      </c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33</v>
      </c>
      <c r="C8" s="34">
        <f>TODAY()+22</f>
        <v>45161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33</v>
      </c>
      <c r="C9" s="34">
        <f>TODAY()+23</f>
        <v>45162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16</v>
      </c>
      <c r="C10" s="36">
        <f>TODAY()+20</f>
        <v>45159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18</v>
      </c>
      <c r="C11" s="36">
        <f>TODAY()+21</f>
        <v>45160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19</v>
      </c>
      <c r="C12" s="36">
        <f>TODAY()+22</f>
        <v>45161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20</v>
      </c>
      <c r="C13" s="36">
        <f>TODAY()+23</f>
        <v>45162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 t="s">
        <v>21</v>
      </c>
      <c r="C14" s="36">
        <f>TODAY()+20</f>
        <v>45159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22</v>
      </c>
      <c r="C15" s="36">
        <f>TODAY()+21</f>
        <v>45160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 t="s">
        <v>23</v>
      </c>
      <c r="C16" s="36">
        <f>TODAY()+22</f>
        <v>45161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2" t="s">
        <v>24</v>
      </c>
      <c r="C17" s="36">
        <f>TODAY()+23</f>
        <v>45162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2" t="s">
        <v>25</v>
      </c>
      <c r="C18" s="36">
        <f t="shared" ref="C18:C20" si="1">today()</f>
        <v>45139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2" t="s">
        <v>26</v>
      </c>
      <c r="C19" s="36">
        <f t="shared" si="1"/>
        <v>45139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2" t="s">
        <v>27</v>
      </c>
      <c r="C20" s="36">
        <f t="shared" si="1"/>
        <v>45139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2" t="s">
        <v>28</v>
      </c>
      <c r="C21" s="37">
        <f>today()-1</f>
        <v>45138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 t="s">
        <v>36</v>
      </c>
      <c r="D6" s="35"/>
      <c r="E6" s="39" t="b">
        <v>1</v>
      </c>
      <c r="F6" s="33"/>
      <c r="G6" s="33"/>
      <c r="H6" s="33"/>
      <c r="I6" s="33"/>
      <c r="J6" s="39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>
        <v>1100.0</v>
      </c>
      <c r="E6" s="31"/>
      <c r="F6" s="13" t="s">
        <v>41</v>
      </c>
      <c r="G6" s="8"/>
      <c r="H6" s="8"/>
      <c r="I6" s="8"/>
      <c r="J6" s="13">
        <v>1.0</v>
      </c>
      <c r="K6" s="8"/>
      <c r="L6" s="8"/>
      <c r="M6" s="8"/>
      <c r="N6" s="34">
        <f t="shared" ref="N6:N7" si="1">TODAY()-8</f>
        <v>45131</v>
      </c>
      <c r="O6" s="8"/>
    </row>
    <row r="7" ht="15.75" customHeight="1">
      <c r="A7" s="8"/>
      <c r="B7" s="33" t="s">
        <v>31</v>
      </c>
      <c r="C7" s="13" t="s">
        <v>42</v>
      </c>
      <c r="D7" s="13">
        <v>10.0</v>
      </c>
      <c r="E7" s="8"/>
      <c r="F7" s="13" t="s">
        <v>41</v>
      </c>
      <c r="G7" s="8"/>
      <c r="H7" s="8"/>
      <c r="I7" s="8"/>
      <c r="J7" s="13">
        <v>10.0</v>
      </c>
      <c r="K7" s="8"/>
      <c r="L7" s="8"/>
      <c r="M7" s="8"/>
      <c r="N7" s="34">
        <f t="shared" si="1"/>
        <v>45131</v>
      </c>
      <c r="O7" s="8"/>
    </row>
    <row r="8" ht="15.75" customHeight="1">
      <c r="A8" s="8"/>
      <c r="B8" s="33" t="s">
        <v>32</v>
      </c>
      <c r="C8" s="13" t="s">
        <v>42</v>
      </c>
      <c r="D8" s="13">
        <v>10.0</v>
      </c>
      <c r="E8" s="8"/>
      <c r="F8" s="13" t="s">
        <v>41</v>
      </c>
      <c r="G8" s="8"/>
      <c r="H8" s="8"/>
      <c r="I8" s="8"/>
      <c r="J8" s="13">
        <v>10.0</v>
      </c>
      <c r="K8" s="8"/>
      <c r="L8" s="8"/>
      <c r="M8" s="8"/>
      <c r="N8" s="34">
        <f>TODAY()-7</f>
        <v>45132</v>
      </c>
      <c r="O8" s="8"/>
    </row>
    <row r="9" ht="15.75" customHeight="1">
      <c r="A9" s="8"/>
      <c r="B9" s="35" t="s">
        <v>33</v>
      </c>
      <c r="C9" s="13" t="s">
        <v>42</v>
      </c>
      <c r="D9" s="13">
        <v>10.0</v>
      </c>
      <c r="E9" s="8"/>
      <c r="F9" s="13" t="s">
        <v>41</v>
      </c>
      <c r="G9" s="8"/>
      <c r="H9" s="8"/>
      <c r="I9" s="8"/>
      <c r="J9" s="13">
        <v>10.0</v>
      </c>
      <c r="K9" s="8"/>
      <c r="L9" s="8"/>
      <c r="M9" s="8"/>
      <c r="N9" s="34">
        <f>TODAY()-6</f>
        <v>45133</v>
      </c>
      <c r="O9" s="8"/>
    </row>
    <row r="10" ht="15.75" customHeight="1">
      <c r="A10" s="8"/>
      <c r="B10" s="35" t="s">
        <v>33</v>
      </c>
      <c r="C10" s="13" t="s">
        <v>42</v>
      </c>
      <c r="D10" s="13">
        <v>10.0</v>
      </c>
      <c r="E10" s="8"/>
      <c r="F10" s="13" t="s">
        <v>41</v>
      </c>
      <c r="G10" s="13" t="s">
        <v>43</v>
      </c>
      <c r="H10" s="8"/>
      <c r="I10" s="8"/>
      <c r="J10" s="13">
        <v>10.0</v>
      </c>
      <c r="K10" s="8"/>
      <c r="L10" s="8"/>
      <c r="M10" s="8"/>
      <c r="N10" s="34">
        <f>TODAY()-5</f>
        <v>45134</v>
      </c>
      <c r="O10" s="8"/>
    </row>
    <row r="11" ht="15.75" customHeight="1">
      <c r="A11" s="33"/>
      <c r="B11" s="40" t="s">
        <v>44</v>
      </c>
      <c r="C11" s="33" t="s">
        <v>45</v>
      </c>
      <c r="D11" s="41">
        <v>1100.0</v>
      </c>
      <c r="E11" s="33"/>
      <c r="F11" s="13" t="s">
        <v>46</v>
      </c>
      <c r="G11" s="33"/>
      <c r="H11" s="33"/>
      <c r="I11" s="33"/>
      <c r="J11" s="41">
        <v>1.0</v>
      </c>
      <c r="K11" s="33"/>
      <c r="L11" s="33"/>
      <c r="M11" s="33"/>
      <c r="N11" s="36">
        <f t="shared" ref="N11:N12" si="2">TODAY()-8</f>
        <v>45131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2" t="s">
        <v>16</v>
      </c>
      <c r="C12" s="33" t="s">
        <v>42</v>
      </c>
      <c r="D12" s="41">
        <v>10.0</v>
      </c>
      <c r="E12" s="33"/>
      <c r="F12" s="13" t="s">
        <v>46</v>
      </c>
      <c r="G12" s="33"/>
      <c r="H12" s="33"/>
      <c r="I12" s="33"/>
      <c r="J12" s="41">
        <v>10.0</v>
      </c>
      <c r="K12" s="33"/>
      <c r="L12" s="33"/>
      <c r="M12" s="33"/>
      <c r="N12" s="36">
        <f t="shared" si="2"/>
        <v>45131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2" t="s">
        <v>18</v>
      </c>
      <c r="C13" s="33" t="s">
        <v>42</v>
      </c>
      <c r="D13" s="41">
        <v>10.0</v>
      </c>
      <c r="E13" s="33"/>
      <c r="F13" s="13" t="s">
        <v>46</v>
      </c>
      <c r="G13" s="33"/>
      <c r="H13" s="33"/>
      <c r="I13" s="33"/>
      <c r="J13" s="41">
        <v>10.0</v>
      </c>
      <c r="K13" s="33"/>
      <c r="L13" s="33"/>
      <c r="M13" s="33"/>
      <c r="N13" s="36">
        <f>TODAY()-7</f>
        <v>45132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2" t="s">
        <v>19</v>
      </c>
      <c r="C14" s="33" t="s">
        <v>42</v>
      </c>
      <c r="D14" s="41">
        <v>10.0</v>
      </c>
      <c r="E14" s="33"/>
      <c r="F14" s="13" t="s">
        <v>46</v>
      </c>
      <c r="G14" s="33"/>
      <c r="H14" s="33"/>
      <c r="I14" s="33"/>
      <c r="J14" s="41">
        <v>10.0</v>
      </c>
      <c r="K14" s="33"/>
      <c r="L14" s="33"/>
      <c r="M14" s="33"/>
      <c r="N14" s="36">
        <f>TODAY()-6</f>
        <v>45133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2" t="s">
        <v>20</v>
      </c>
      <c r="C15" s="33" t="s">
        <v>42</v>
      </c>
      <c r="D15" s="41">
        <v>10.0</v>
      </c>
      <c r="E15" s="33"/>
      <c r="F15" s="13" t="s">
        <v>46</v>
      </c>
      <c r="G15" s="33"/>
      <c r="H15" s="33"/>
      <c r="I15" s="33"/>
      <c r="J15" s="41">
        <v>10.0</v>
      </c>
      <c r="K15" s="33"/>
      <c r="L15" s="33"/>
      <c r="M15" s="33"/>
      <c r="N15" s="36">
        <f>TODAY()-5</f>
        <v>45134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0" t="s">
        <v>47</v>
      </c>
      <c r="C16" s="33" t="s">
        <v>40</v>
      </c>
      <c r="D16" s="41">
        <v>1100.0</v>
      </c>
      <c r="E16" s="33"/>
      <c r="F16" s="40" t="s">
        <v>48</v>
      </c>
      <c r="G16" s="33"/>
      <c r="H16" s="33"/>
      <c r="I16" s="33"/>
      <c r="J16" s="41">
        <v>1.0</v>
      </c>
      <c r="K16" s="33"/>
      <c r="L16" s="33"/>
      <c r="M16" s="33"/>
      <c r="N16" s="36">
        <f t="shared" ref="N16:N17" si="3">TODAY()-8</f>
        <v>45131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2" t="s">
        <v>21</v>
      </c>
      <c r="C17" s="42" t="s">
        <v>49</v>
      </c>
      <c r="D17" s="41">
        <v>10.0</v>
      </c>
      <c r="E17" s="33"/>
      <c r="F17" s="40" t="s">
        <v>48</v>
      </c>
      <c r="G17" s="33"/>
      <c r="H17" s="33"/>
      <c r="I17" s="33"/>
      <c r="J17" s="41">
        <v>10.0</v>
      </c>
      <c r="K17" s="33"/>
      <c r="L17" s="33"/>
      <c r="M17" s="33"/>
      <c r="N17" s="36">
        <f t="shared" si="3"/>
        <v>45131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2" t="s">
        <v>22</v>
      </c>
      <c r="C18" s="42" t="s">
        <v>49</v>
      </c>
      <c r="D18" s="41">
        <v>10.0</v>
      </c>
      <c r="E18" s="33"/>
      <c r="F18" s="40" t="s">
        <v>48</v>
      </c>
      <c r="G18" s="33"/>
      <c r="H18" s="33"/>
      <c r="I18" s="33"/>
      <c r="J18" s="41">
        <v>10.0</v>
      </c>
      <c r="K18" s="33"/>
      <c r="L18" s="33"/>
      <c r="M18" s="33"/>
      <c r="N18" s="36">
        <f>TODAY()-7</f>
        <v>45132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2" t="s">
        <v>23</v>
      </c>
      <c r="C19" s="42" t="s">
        <v>49</v>
      </c>
      <c r="D19" s="41">
        <v>10.0</v>
      </c>
      <c r="E19" s="33"/>
      <c r="F19" s="40" t="s">
        <v>48</v>
      </c>
      <c r="G19" s="33"/>
      <c r="H19" s="33"/>
      <c r="I19" s="33"/>
      <c r="J19" s="41">
        <v>10.0</v>
      </c>
      <c r="K19" s="33"/>
      <c r="L19" s="33"/>
      <c r="M19" s="33"/>
      <c r="N19" s="36">
        <f>TODAY()-6</f>
        <v>45133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32" t="s">
        <v>24</v>
      </c>
      <c r="C20" s="42" t="s">
        <v>49</v>
      </c>
      <c r="D20" s="41">
        <v>10.0</v>
      </c>
      <c r="E20" s="33"/>
      <c r="F20" s="40" t="s">
        <v>48</v>
      </c>
      <c r="G20" s="42"/>
      <c r="H20" s="33"/>
      <c r="I20" s="33"/>
      <c r="J20" s="41">
        <v>10.0</v>
      </c>
      <c r="K20" s="33"/>
      <c r="L20" s="33"/>
      <c r="M20" s="33"/>
      <c r="N20" s="36">
        <f>TODAY()-5</f>
        <v>45134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43" t="s">
        <v>50</v>
      </c>
      <c r="C21" s="42" t="s">
        <v>40</v>
      </c>
      <c r="D21" s="41">
        <v>1100.0</v>
      </c>
      <c r="E21" s="33"/>
      <c r="F21" s="13" t="s">
        <v>51</v>
      </c>
      <c r="G21" s="33"/>
      <c r="H21" s="33"/>
      <c r="I21" s="33"/>
      <c r="J21" s="41">
        <v>1.0</v>
      </c>
      <c r="K21" s="33"/>
      <c r="L21" s="33"/>
      <c r="M21" s="33"/>
      <c r="N21" s="44">
        <f>TODAY()-10</f>
        <v>45129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33"/>
      <c r="B22" s="32" t="s">
        <v>25</v>
      </c>
      <c r="C22" s="42" t="s">
        <v>49</v>
      </c>
      <c r="D22" s="41">
        <v>10.0</v>
      </c>
      <c r="E22" s="33"/>
      <c r="F22" s="13" t="s">
        <v>51</v>
      </c>
      <c r="G22" s="33"/>
      <c r="H22" s="33"/>
      <c r="I22" s="33"/>
      <c r="J22" s="41">
        <v>10.0</v>
      </c>
      <c r="K22" s="33"/>
      <c r="L22" s="33"/>
      <c r="M22" s="33"/>
      <c r="N22" s="44">
        <f t="shared" ref="N22:N23" si="4">TODAY()-8</f>
        <v>45131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33"/>
      <c r="B23" s="32" t="s">
        <v>26</v>
      </c>
      <c r="C23" s="42" t="s">
        <v>49</v>
      </c>
      <c r="D23" s="41">
        <v>10.0</v>
      </c>
      <c r="E23" s="33"/>
      <c r="F23" s="13" t="s">
        <v>51</v>
      </c>
      <c r="G23" s="33"/>
      <c r="H23" s="33"/>
      <c r="I23" s="33"/>
      <c r="J23" s="41">
        <v>10.0</v>
      </c>
      <c r="K23" s="33"/>
      <c r="L23" s="33"/>
      <c r="M23" s="33"/>
      <c r="N23" s="44">
        <f t="shared" si="4"/>
        <v>45131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33"/>
      <c r="B24" s="32" t="s">
        <v>27</v>
      </c>
      <c r="C24" s="42" t="s">
        <v>49</v>
      </c>
      <c r="D24" s="41">
        <v>10.0</v>
      </c>
      <c r="E24" s="33"/>
      <c r="F24" s="13" t="s">
        <v>51</v>
      </c>
      <c r="G24" s="33"/>
      <c r="H24" s="33"/>
      <c r="I24" s="33"/>
      <c r="J24" s="41">
        <v>10.0</v>
      </c>
      <c r="K24" s="33"/>
      <c r="L24" s="33"/>
      <c r="M24" s="33"/>
      <c r="N24" s="44">
        <f>TODAY()-7</f>
        <v>45132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33"/>
      <c r="B25" s="32" t="s">
        <v>28</v>
      </c>
      <c r="C25" s="42" t="s">
        <v>49</v>
      </c>
      <c r="D25" s="41">
        <v>10.0</v>
      </c>
      <c r="E25" s="33"/>
      <c r="F25" s="13" t="s">
        <v>51</v>
      </c>
      <c r="G25" s="33"/>
      <c r="H25" s="33"/>
      <c r="I25" s="33"/>
      <c r="J25" s="41">
        <v>10.0</v>
      </c>
      <c r="K25" s="33"/>
      <c r="L25" s="33"/>
      <c r="M25" s="33"/>
      <c r="N25" s="44">
        <f>TODAY()-8</f>
        <v>45131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>TODAY()-1</f>
        <v>45138</v>
      </c>
      <c r="C6" s="34">
        <f>TODAY()</f>
        <v>45139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44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47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50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56</v>
      </c>
      <c r="C6" s="44" t="s">
        <v>57</v>
      </c>
      <c r="D6" s="44">
        <f>TODAY()</f>
        <v>45139</v>
      </c>
      <c r="E6" s="40" t="s">
        <v>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6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3" t="s">
        <v>31</v>
      </c>
    </row>
    <row r="7" ht="15.75" customHeight="1">
      <c r="A7" s="8"/>
      <c r="B7" s="42" t="s">
        <v>41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3" t="s">
        <v>32</v>
      </c>
    </row>
    <row r="8" ht="15.75" customHeight="1">
      <c r="A8" s="8"/>
      <c r="B8" s="42" t="s">
        <v>41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33</v>
      </c>
    </row>
    <row r="9" ht="15.75" customHeight="1">
      <c r="A9" s="8"/>
      <c r="B9" s="42" t="s">
        <v>41</v>
      </c>
      <c r="C9" s="8"/>
      <c r="D9" s="8"/>
      <c r="E9" s="8"/>
      <c r="F9" s="8"/>
      <c r="G9" s="8"/>
      <c r="H9" s="8"/>
      <c r="I9" s="8"/>
      <c r="J9" s="8"/>
      <c r="K9" s="13" t="s">
        <v>43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56</v>
      </c>
      <c r="C6" s="44" t="s">
        <v>57</v>
      </c>
      <c r="D6" s="44">
        <f>TODAY()</f>
        <v>45139</v>
      </c>
      <c r="E6" s="40" t="s">
        <v>46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16</v>
      </c>
    </row>
    <row r="7" ht="15.75" customHeight="1">
      <c r="A7" s="8"/>
      <c r="B7" s="38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18</v>
      </c>
    </row>
    <row r="8" ht="15.75" customHeight="1">
      <c r="A8" s="8"/>
      <c r="B8" s="38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19</v>
      </c>
    </row>
    <row r="9" ht="15.75" customHeight="1">
      <c r="A9" s="8"/>
      <c r="B9" s="38" t="s">
        <v>46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32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56</v>
      </c>
      <c r="C6" s="44" t="s">
        <v>57</v>
      </c>
      <c r="D6" s="44">
        <f>TODAY()</f>
        <v>45139</v>
      </c>
      <c r="E6" s="40" t="s">
        <v>48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21</v>
      </c>
    </row>
    <row r="7" ht="15.75" customHeight="1">
      <c r="A7" s="8"/>
      <c r="B7" s="40" t="s">
        <v>48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22</v>
      </c>
    </row>
    <row r="8" ht="15.75" customHeight="1">
      <c r="A8" s="8"/>
      <c r="B8" s="40" t="s">
        <v>48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23</v>
      </c>
    </row>
    <row r="9" ht="15.75" customHeight="1">
      <c r="A9" s="8"/>
      <c r="B9" s="40" t="s">
        <v>48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32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56</v>
      </c>
      <c r="C6" s="44" t="s">
        <v>57</v>
      </c>
      <c r="D6" s="44">
        <f>TODAY()</f>
        <v>45139</v>
      </c>
      <c r="E6" s="40" t="s">
        <v>51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25</v>
      </c>
    </row>
    <row r="7" ht="15.75" customHeight="1">
      <c r="A7" s="8"/>
      <c r="B7" s="40" t="s">
        <v>51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26</v>
      </c>
    </row>
    <row r="8" ht="15.75" customHeight="1">
      <c r="A8" s="8"/>
      <c r="B8" s="40" t="s">
        <v>51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27</v>
      </c>
    </row>
    <row r="9" ht="15.75" customHeight="1">
      <c r="A9" s="8"/>
      <c r="B9" s="40" t="s">
        <v>51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32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56</v>
      </c>
      <c r="C6" s="44" t="s">
        <v>57</v>
      </c>
      <c r="D6" s="44">
        <f>TODAY()</f>
        <v>45139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7"/>
      <c r="B6" s="48" t="s">
        <v>41</v>
      </c>
      <c r="C6" s="33"/>
      <c r="D6" s="35"/>
      <c r="E6" s="49">
        <v>10.0</v>
      </c>
      <c r="F6" s="50"/>
      <c r="G6" s="48" t="s">
        <v>63</v>
      </c>
      <c r="H6" s="33"/>
      <c r="I6" s="50"/>
      <c r="J6" s="50"/>
      <c r="K6" s="49">
        <v>10.0</v>
      </c>
      <c r="L6" s="49">
        <v>10.0</v>
      </c>
      <c r="M6" s="50"/>
      <c r="N6" s="33"/>
      <c r="O6" s="48" t="s">
        <v>64</v>
      </c>
      <c r="P6" s="33"/>
      <c r="Q6" s="33"/>
      <c r="R6" s="50"/>
      <c r="S6" s="50"/>
      <c r="T6" s="33"/>
      <c r="U6" s="50"/>
      <c r="V6" s="50"/>
      <c r="W6" s="33"/>
      <c r="X6" s="50"/>
      <c r="Y6" s="33"/>
      <c r="Z6" s="33"/>
      <c r="AA6" s="33"/>
      <c r="AB6" s="33"/>
      <c r="AC6" s="50"/>
      <c r="AD6" s="33"/>
      <c r="AE6" s="49">
        <v>10.0</v>
      </c>
      <c r="AF6" s="50"/>
      <c r="AG6" s="33"/>
      <c r="AH6" s="50"/>
      <c r="AI6" s="33"/>
      <c r="AJ6" s="50"/>
      <c r="AK6" s="33"/>
      <c r="AL6" s="33"/>
      <c r="AM6" s="33"/>
      <c r="AN6" s="33"/>
      <c r="AO6" s="51"/>
      <c r="AP6" s="33"/>
      <c r="AQ6" s="51"/>
      <c r="AR6" s="51"/>
      <c r="AS6" s="51"/>
      <c r="AT6" s="50"/>
      <c r="AU6" s="50"/>
      <c r="AV6" s="50"/>
      <c r="AW6" s="50"/>
      <c r="AX6" s="50"/>
      <c r="AY6" s="50"/>
      <c r="AZ6" s="33"/>
      <c r="BA6" s="50"/>
      <c r="BB6" s="50"/>
      <c r="BC6" s="33"/>
      <c r="BD6" s="50"/>
      <c r="BE6" s="33"/>
      <c r="BF6" s="50"/>
      <c r="BG6" s="50"/>
      <c r="BH6" s="50"/>
      <c r="BI6" s="33"/>
      <c r="BJ6" s="49">
        <v>10.0</v>
      </c>
      <c r="BK6" s="50"/>
      <c r="BL6" s="50"/>
      <c r="BM6" s="33"/>
      <c r="BN6" s="33"/>
      <c r="BO6" s="48" t="s">
        <v>42</v>
      </c>
      <c r="BP6" s="33"/>
      <c r="BQ6" s="50"/>
      <c r="BR6" s="50"/>
      <c r="BS6" s="48" t="s">
        <v>65</v>
      </c>
      <c r="BT6" s="48" t="s">
        <v>31</v>
      </c>
      <c r="BU6" s="33"/>
      <c r="BV6" s="50"/>
      <c r="BW6" s="50"/>
      <c r="BX6" s="50"/>
      <c r="BY6" s="50"/>
      <c r="BZ6" s="33"/>
      <c r="CA6" s="33"/>
      <c r="CB6" s="33"/>
      <c r="CC6" s="33"/>
      <c r="CD6" s="33"/>
      <c r="CE6" s="33"/>
      <c r="CF6" s="50"/>
      <c r="CG6" s="33"/>
      <c r="CH6" s="50"/>
      <c r="CI6" s="33"/>
      <c r="CJ6" s="33"/>
      <c r="CK6" s="50"/>
      <c r="CL6" s="33"/>
      <c r="CM6" s="50"/>
      <c r="CN6" s="33"/>
      <c r="CO6" s="33"/>
      <c r="CP6" s="33"/>
      <c r="CQ6" s="33"/>
      <c r="CR6" s="50"/>
      <c r="CS6" s="50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50"/>
      <c r="FF6" s="33"/>
      <c r="FG6" s="33"/>
      <c r="FH6" s="50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3"/>
      <c r="LQ6" s="52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3"/>
      <c r="RY6" s="52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3"/>
      <c r="YG6" s="52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3"/>
      <c r="AEO6" s="52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3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/>
      <c r="B7" s="48" t="s">
        <v>41</v>
      </c>
      <c r="C7" s="33"/>
      <c r="D7" s="33"/>
      <c r="E7" s="54">
        <v>1100.0</v>
      </c>
      <c r="F7" s="50"/>
      <c r="G7" s="48" t="s">
        <v>66</v>
      </c>
      <c r="H7" s="33"/>
      <c r="I7" s="50"/>
      <c r="J7" s="50"/>
      <c r="K7" s="49">
        <v>1.0</v>
      </c>
      <c r="L7" s="49">
        <v>1.0</v>
      </c>
      <c r="M7" s="50"/>
      <c r="N7" s="33"/>
      <c r="O7" s="48" t="s">
        <v>64</v>
      </c>
      <c r="P7" s="33"/>
      <c r="Q7" s="33"/>
      <c r="R7" s="50"/>
      <c r="S7" s="50"/>
      <c r="T7" s="33"/>
      <c r="U7" s="50"/>
      <c r="V7" s="50"/>
      <c r="W7" s="33"/>
      <c r="X7" s="50"/>
      <c r="Y7" s="33"/>
      <c r="Z7" s="33"/>
      <c r="AA7" s="33"/>
      <c r="AB7" s="33"/>
      <c r="AC7" s="50"/>
      <c r="AD7" s="33"/>
      <c r="AE7" s="54">
        <v>1100.0</v>
      </c>
      <c r="AF7" s="50"/>
      <c r="AG7" s="33"/>
      <c r="AH7" s="50"/>
      <c r="AI7" s="33"/>
      <c r="AJ7" s="50"/>
      <c r="AK7" s="33"/>
      <c r="AL7" s="33"/>
      <c r="AM7" s="33"/>
      <c r="AN7" s="33"/>
      <c r="AO7" s="51"/>
      <c r="AP7" s="33"/>
      <c r="AQ7" s="51"/>
      <c r="AR7" s="51"/>
      <c r="AS7" s="51"/>
      <c r="AT7" s="50"/>
      <c r="AU7" s="50"/>
      <c r="AV7" s="50"/>
      <c r="AW7" s="50"/>
      <c r="AX7" s="50"/>
      <c r="AY7" s="50"/>
      <c r="AZ7" s="33"/>
      <c r="BA7" s="50"/>
      <c r="BB7" s="50"/>
      <c r="BC7" s="33"/>
      <c r="BD7" s="50"/>
      <c r="BE7" s="33"/>
      <c r="BF7" s="50"/>
      <c r="BG7" s="50"/>
      <c r="BH7" s="50"/>
      <c r="BI7" s="33"/>
      <c r="BJ7" s="54">
        <v>1100.0</v>
      </c>
      <c r="BK7" s="50"/>
      <c r="BL7" s="50"/>
      <c r="BM7" s="33"/>
      <c r="BN7" s="33"/>
      <c r="BO7" s="48" t="s">
        <v>40</v>
      </c>
      <c r="BP7" s="33"/>
      <c r="BQ7" s="50"/>
      <c r="BR7" s="50"/>
      <c r="BS7" s="48" t="s">
        <v>65</v>
      </c>
      <c r="BT7" s="48" t="s">
        <v>39</v>
      </c>
      <c r="BU7" s="33"/>
      <c r="BV7" s="50"/>
      <c r="BW7" s="50"/>
      <c r="BX7" s="50"/>
      <c r="BY7" s="50"/>
      <c r="BZ7" s="33"/>
      <c r="CA7" s="33"/>
      <c r="CB7" s="33"/>
      <c r="CC7" s="33"/>
      <c r="CD7" s="33"/>
      <c r="CE7" s="33"/>
      <c r="CF7" s="50"/>
      <c r="CG7" s="33"/>
      <c r="CH7" s="50"/>
      <c r="CI7" s="33"/>
      <c r="CJ7" s="33"/>
      <c r="CK7" s="50"/>
      <c r="CL7" s="33"/>
      <c r="CM7" s="50"/>
      <c r="CN7" s="33"/>
      <c r="CO7" s="33"/>
      <c r="CP7" s="33"/>
      <c r="CQ7" s="33"/>
      <c r="CR7" s="50"/>
      <c r="CS7" s="50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50"/>
      <c r="FF7" s="33"/>
      <c r="FG7" s="33"/>
      <c r="FH7" s="50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48" t="s">
        <v>41</v>
      </c>
      <c r="C8" s="33"/>
      <c r="D8" s="33"/>
      <c r="E8" s="49">
        <v>10.0</v>
      </c>
      <c r="F8" s="50"/>
      <c r="G8" s="48" t="s">
        <v>63</v>
      </c>
      <c r="H8" s="33"/>
      <c r="I8" s="50"/>
      <c r="J8" s="50"/>
      <c r="K8" s="49">
        <v>10.0</v>
      </c>
      <c r="L8" s="49">
        <v>10.0</v>
      </c>
      <c r="M8" s="50"/>
      <c r="N8" s="33"/>
      <c r="O8" s="48" t="s">
        <v>64</v>
      </c>
      <c r="P8" s="33"/>
      <c r="Q8" s="33"/>
      <c r="R8" s="50"/>
      <c r="S8" s="50"/>
      <c r="T8" s="33"/>
      <c r="U8" s="50"/>
      <c r="V8" s="50"/>
      <c r="W8" s="33"/>
      <c r="X8" s="50"/>
      <c r="Y8" s="33"/>
      <c r="Z8" s="33"/>
      <c r="AA8" s="33"/>
      <c r="AB8" s="33"/>
      <c r="AC8" s="50"/>
      <c r="AD8" s="33"/>
      <c r="AE8" s="49">
        <v>10.0</v>
      </c>
      <c r="AF8" s="50"/>
      <c r="AG8" s="33"/>
      <c r="AH8" s="50"/>
      <c r="AI8" s="33"/>
      <c r="AJ8" s="50"/>
      <c r="AK8" s="33"/>
      <c r="AL8" s="33"/>
      <c r="AM8" s="33"/>
      <c r="AN8" s="33"/>
      <c r="AO8" s="51"/>
      <c r="AP8" s="33"/>
      <c r="AQ8" s="51"/>
      <c r="AR8" s="51"/>
      <c r="AS8" s="51"/>
      <c r="AT8" s="50"/>
      <c r="AU8" s="50"/>
      <c r="AV8" s="50"/>
      <c r="AW8" s="50"/>
      <c r="AX8" s="50"/>
      <c r="AY8" s="50"/>
      <c r="AZ8" s="33"/>
      <c r="BA8" s="50"/>
      <c r="BB8" s="50"/>
      <c r="BC8" s="33"/>
      <c r="BD8" s="50"/>
      <c r="BE8" s="33"/>
      <c r="BF8" s="50"/>
      <c r="BG8" s="50"/>
      <c r="BH8" s="50"/>
      <c r="BI8" s="33"/>
      <c r="BJ8" s="49">
        <v>10.0</v>
      </c>
      <c r="BK8" s="50"/>
      <c r="BL8" s="50"/>
      <c r="BM8" s="33"/>
      <c r="BN8" s="33"/>
      <c r="BO8" s="48" t="s">
        <v>42</v>
      </c>
      <c r="BP8" s="33"/>
      <c r="BQ8" s="50"/>
      <c r="BR8" s="50"/>
      <c r="BS8" s="48" t="s">
        <v>65</v>
      </c>
      <c r="BT8" s="48" t="s">
        <v>32</v>
      </c>
      <c r="BU8" s="33"/>
      <c r="BV8" s="50"/>
      <c r="BW8" s="50"/>
      <c r="BX8" s="50"/>
      <c r="BY8" s="50"/>
      <c r="BZ8" s="33"/>
      <c r="CA8" s="33"/>
      <c r="CB8" s="33"/>
      <c r="CC8" s="33"/>
      <c r="CD8" s="33"/>
      <c r="CE8" s="33"/>
      <c r="CF8" s="50"/>
      <c r="CG8" s="33"/>
      <c r="CH8" s="50"/>
      <c r="CI8" s="33"/>
      <c r="CJ8" s="33"/>
      <c r="CK8" s="50"/>
      <c r="CL8" s="33"/>
      <c r="CM8" s="50"/>
      <c r="CN8" s="33"/>
      <c r="CO8" s="33"/>
      <c r="CP8" s="33"/>
      <c r="CQ8" s="33"/>
      <c r="CR8" s="50"/>
      <c r="CS8" s="50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50"/>
      <c r="FF8" s="33"/>
      <c r="FG8" s="33"/>
      <c r="FH8" s="50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</row>
    <row r="9" ht="15.75" customHeight="1">
      <c r="A9" s="8"/>
      <c r="B9" s="48" t="s">
        <v>41</v>
      </c>
      <c r="C9" s="33"/>
      <c r="D9" s="33"/>
      <c r="E9" s="49">
        <v>10.0</v>
      </c>
      <c r="F9" s="50"/>
      <c r="G9" s="48" t="s">
        <v>63</v>
      </c>
      <c r="H9" s="33"/>
      <c r="I9" s="50"/>
      <c r="J9" s="50"/>
      <c r="K9" s="49">
        <v>10.0</v>
      </c>
      <c r="L9" s="49">
        <v>10.0</v>
      </c>
      <c r="M9" s="50"/>
      <c r="N9" s="33"/>
      <c r="O9" s="48" t="s">
        <v>64</v>
      </c>
      <c r="P9" s="33"/>
      <c r="Q9" s="33"/>
      <c r="R9" s="50"/>
      <c r="S9" s="50"/>
      <c r="T9" s="33"/>
      <c r="U9" s="50"/>
      <c r="V9" s="50"/>
      <c r="W9" s="33"/>
      <c r="X9" s="50"/>
      <c r="Y9" s="33"/>
      <c r="Z9" s="33"/>
      <c r="AA9" s="33"/>
      <c r="AB9" s="33"/>
      <c r="AC9" s="50"/>
      <c r="AD9" s="33"/>
      <c r="AE9" s="49">
        <v>10.0</v>
      </c>
      <c r="AF9" s="50"/>
      <c r="AG9" s="33"/>
      <c r="AH9" s="50"/>
      <c r="AI9" s="33"/>
      <c r="AJ9" s="50"/>
      <c r="AK9" s="33"/>
      <c r="AL9" s="33"/>
      <c r="AM9" s="33"/>
      <c r="AN9" s="33"/>
      <c r="AO9" s="51"/>
      <c r="AP9" s="33"/>
      <c r="AQ9" s="51"/>
      <c r="AR9" s="51"/>
      <c r="AS9" s="51"/>
      <c r="AT9" s="50"/>
      <c r="AU9" s="50"/>
      <c r="AV9" s="50"/>
      <c r="AW9" s="50"/>
      <c r="AX9" s="50"/>
      <c r="AY9" s="50"/>
      <c r="AZ9" s="33"/>
      <c r="BA9" s="50"/>
      <c r="BB9" s="50"/>
      <c r="BC9" s="33"/>
      <c r="BD9" s="50"/>
      <c r="BE9" s="33"/>
      <c r="BF9" s="50"/>
      <c r="BG9" s="50"/>
      <c r="BH9" s="50"/>
      <c r="BI9" s="33"/>
      <c r="BJ9" s="49">
        <v>10.0</v>
      </c>
      <c r="BK9" s="50"/>
      <c r="BL9" s="50"/>
      <c r="BM9" s="33"/>
      <c r="BN9" s="33"/>
      <c r="BO9" s="48" t="s">
        <v>42</v>
      </c>
      <c r="BP9" s="33"/>
      <c r="BQ9" s="50"/>
      <c r="BR9" s="50"/>
      <c r="BS9" s="48" t="s">
        <v>65</v>
      </c>
      <c r="BT9" s="48" t="s">
        <v>33</v>
      </c>
      <c r="BU9" s="33"/>
      <c r="BV9" s="50"/>
      <c r="BW9" s="50"/>
      <c r="BX9" s="50"/>
      <c r="BY9" s="50"/>
      <c r="BZ9" s="33"/>
      <c r="CA9" s="33"/>
      <c r="CB9" s="33"/>
      <c r="CC9" s="33"/>
      <c r="CD9" s="33"/>
      <c r="CE9" s="33"/>
      <c r="CF9" s="50"/>
      <c r="CG9" s="33"/>
      <c r="CH9" s="50"/>
      <c r="CI9" s="33"/>
      <c r="CJ9" s="33"/>
      <c r="CK9" s="50"/>
      <c r="CL9" s="33"/>
      <c r="CM9" s="50"/>
      <c r="CN9" s="33"/>
      <c r="CO9" s="33"/>
      <c r="CP9" s="33"/>
      <c r="CQ9" s="33"/>
      <c r="CR9" s="50"/>
      <c r="CS9" s="50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50"/>
      <c r="FF9" s="33"/>
      <c r="FG9" s="33"/>
      <c r="FH9" s="50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</row>
    <row r="10" ht="15.75" customHeight="1">
      <c r="A10" s="8"/>
      <c r="B10" s="48" t="s">
        <v>41</v>
      </c>
      <c r="C10" s="33"/>
      <c r="D10" s="33"/>
      <c r="E10" s="49">
        <v>10.0</v>
      </c>
      <c r="F10" s="50"/>
      <c r="G10" s="48" t="s">
        <v>63</v>
      </c>
      <c r="H10" s="33"/>
      <c r="I10" s="50"/>
      <c r="J10" s="50"/>
      <c r="K10" s="49">
        <v>10.0</v>
      </c>
      <c r="L10" s="49">
        <v>10.0</v>
      </c>
      <c r="M10" s="50"/>
      <c r="N10" s="33"/>
      <c r="O10" s="48" t="s">
        <v>43</v>
      </c>
      <c r="P10" s="33"/>
      <c r="Q10" s="33"/>
      <c r="R10" s="50"/>
      <c r="S10" s="50"/>
      <c r="T10" s="33"/>
      <c r="U10" s="50"/>
      <c r="V10" s="50"/>
      <c r="W10" s="33"/>
      <c r="X10" s="50"/>
      <c r="Y10" s="33"/>
      <c r="Z10" s="33"/>
      <c r="AA10" s="33"/>
      <c r="AB10" s="33"/>
      <c r="AC10" s="50"/>
      <c r="AD10" s="33"/>
      <c r="AE10" s="49">
        <v>10.0</v>
      </c>
      <c r="AF10" s="50"/>
      <c r="AG10" s="33"/>
      <c r="AH10" s="50"/>
      <c r="AI10" s="33"/>
      <c r="AJ10" s="50"/>
      <c r="AK10" s="33"/>
      <c r="AL10" s="33"/>
      <c r="AM10" s="33"/>
      <c r="AN10" s="33"/>
      <c r="AO10" s="51"/>
      <c r="AP10" s="33"/>
      <c r="AQ10" s="51"/>
      <c r="AR10" s="51"/>
      <c r="AS10" s="51"/>
      <c r="AT10" s="50"/>
      <c r="AU10" s="50"/>
      <c r="AV10" s="50"/>
      <c r="AW10" s="50"/>
      <c r="AX10" s="50"/>
      <c r="AY10" s="50"/>
      <c r="AZ10" s="33"/>
      <c r="BA10" s="50"/>
      <c r="BB10" s="50"/>
      <c r="BC10" s="33"/>
      <c r="BD10" s="50"/>
      <c r="BE10" s="33"/>
      <c r="BF10" s="50"/>
      <c r="BG10" s="50"/>
      <c r="BH10" s="50"/>
      <c r="BI10" s="33"/>
      <c r="BJ10" s="49">
        <v>10.0</v>
      </c>
      <c r="BK10" s="50"/>
      <c r="BL10" s="50"/>
      <c r="BM10" s="33"/>
      <c r="BN10" s="33"/>
      <c r="BO10" s="48" t="s">
        <v>42</v>
      </c>
      <c r="BP10" s="33"/>
      <c r="BQ10" s="50"/>
      <c r="BR10" s="50"/>
      <c r="BS10" s="48" t="s">
        <v>65</v>
      </c>
      <c r="BT10" s="48" t="s">
        <v>33</v>
      </c>
      <c r="BU10" s="33"/>
      <c r="BV10" s="50"/>
      <c r="BW10" s="50"/>
      <c r="BX10" s="50"/>
      <c r="BY10" s="50"/>
      <c r="BZ10" s="33"/>
      <c r="CA10" s="33"/>
      <c r="CB10" s="33"/>
      <c r="CC10" s="33"/>
      <c r="CD10" s="33"/>
      <c r="CE10" s="33"/>
      <c r="CF10" s="50"/>
      <c r="CG10" s="33"/>
      <c r="CH10" s="50"/>
      <c r="CI10" s="33"/>
      <c r="CJ10" s="33"/>
      <c r="CK10" s="50"/>
      <c r="CL10" s="33"/>
      <c r="CM10" s="50"/>
      <c r="CN10" s="33"/>
      <c r="CO10" s="33"/>
      <c r="CP10" s="33"/>
      <c r="CQ10" s="33"/>
      <c r="CR10" s="50"/>
      <c r="CS10" s="50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50"/>
      <c r="FF10" s="33"/>
      <c r="FG10" s="33"/>
      <c r="FH10" s="50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  <c r="SG10" s="52"/>
      <c r="SH10" s="52"/>
      <c r="SI10" s="52"/>
      <c r="SJ10" s="52"/>
      <c r="SK10" s="52"/>
      <c r="SL10" s="52"/>
      <c r="SM10" s="52"/>
      <c r="SN10" s="52"/>
      <c r="SO10" s="52"/>
      <c r="SP10" s="52"/>
      <c r="SQ10" s="52"/>
      <c r="SR10" s="52"/>
      <c r="SS10" s="52"/>
      <c r="ST10" s="52"/>
      <c r="SU10" s="52"/>
      <c r="SV10" s="52"/>
      <c r="SW10" s="52"/>
      <c r="SX10" s="52"/>
      <c r="SY10" s="52"/>
      <c r="SZ10" s="52"/>
      <c r="TA10" s="52"/>
      <c r="TB10" s="52"/>
      <c r="TC10" s="52"/>
      <c r="TD10" s="52"/>
      <c r="TE10" s="52"/>
      <c r="TF10" s="52"/>
      <c r="TG10" s="52"/>
      <c r="TH10" s="52"/>
      <c r="TI10" s="52"/>
      <c r="TJ10" s="52"/>
      <c r="TK10" s="52"/>
      <c r="TL10" s="52"/>
      <c r="TM10" s="52"/>
      <c r="TN10" s="52"/>
      <c r="TO10" s="52"/>
      <c r="TP10" s="52"/>
      <c r="TQ10" s="52"/>
      <c r="TR10" s="52"/>
      <c r="TS10" s="52"/>
      <c r="TT10" s="52"/>
      <c r="TU10" s="52"/>
      <c r="TV10" s="52"/>
      <c r="TW10" s="52"/>
      <c r="TX10" s="52"/>
      <c r="TY10" s="52"/>
      <c r="TZ10" s="52"/>
      <c r="UA10" s="52"/>
      <c r="UB10" s="52"/>
      <c r="UC10" s="52"/>
      <c r="UD10" s="52"/>
      <c r="UE10" s="52"/>
      <c r="UF10" s="52"/>
      <c r="UG10" s="52"/>
      <c r="UH10" s="52"/>
      <c r="UI10" s="52"/>
      <c r="UJ10" s="52"/>
      <c r="UK10" s="52"/>
      <c r="UL10" s="52"/>
      <c r="UM10" s="52"/>
      <c r="UN10" s="52"/>
      <c r="UO10" s="52"/>
      <c r="UP10" s="52"/>
      <c r="UQ10" s="52"/>
      <c r="UR10" s="52"/>
      <c r="US10" s="52"/>
      <c r="UT10" s="52"/>
      <c r="UU10" s="52"/>
      <c r="UV10" s="52"/>
      <c r="UW10" s="52"/>
      <c r="UX10" s="52"/>
      <c r="UY10" s="52"/>
      <c r="UZ10" s="52"/>
      <c r="VA10" s="52"/>
      <c r="VB10" s="52"/>
      <c r="VC10" s="52"/>
      <c r="VD10" s="52"/>
      <c r="VE10" s="52"/>
      <c r="VF10" s="52"/>
      <c r="VG10" s="52"/>
      <c r="VH10" s="52"/>
      <c r="VI10" s="52"/>
      <c r="VJ10" s="52"/>
      <c r="VK10" s="52"/>
      <c r="VL10" s="52"/>
      <c r="VM10" s="52"/>
      <c r="VN10" s="52"/>
      <c r="VO10" s="52"/>
      <c r="VP10" s="52"/>
      <c r="VQ10" s="52"/>
      <c r="VR10" s="52"/>
      <c r="VS10" s="52"/>
      <c r="VT10" s="52"/>
      <c r="VU10" s="52"/>
      <c r="VV10" s="52"/>
      <c r="VW10" s="52"/>
      <c r="VX10" s="52"/>
      <c r="VY10" s="52"/>
      <c r="VZ10" s="52"/>
      <c r="WA10" s="52"/>
      <c r="WB10" s="52"/>
      <c r="WC10" s="52"/>
      <c r="WD10" s="52"/>
      <c r="WE10" s="52"/>
      <c r="WF10" s="52"/>
      <c r="WG10" s="52"/>
      <c r="WH10" s="52"/>
      <c r="WI10" s="52"/>
      <c r="WJ10" s="52"/>
      <c r="WK10" s="52"/>
      <c r="WL10" s="52"/>
      <c r="WM10" s="52"/>
      <c r="WN10" s="52"/>
      <c r="WO10" s="52"/>
      <c r="WP10" s="52"/>
      <c r="WQ10" s="52"/>
      <c r="WR10" s="52"/>
      <c r="WS10" s="52"/>
      <c r="WT10" s="52"/>
      <c r="WU10" s="52"/>
      <c r="WV10" s="52"/>
      <c r="WW10" s="52"/>
      <c r="WX10" s="52"/>
      <c r="WY10" s="52"/>
      <c r="WZ10" s="52"/>
      <c r="XA10" s="52"/>
      <c r="XB10" s="52"/>
      <c r="XC10" s="52"/>
      <c r="XD10" s="52"/>
      <c r="XE10" s="52"/>
      <c r="XF10" s="52"/>
      <c r="XG10" s="52"/>
      <c r="XH10" s="52"/>
      <c r="XI10" s="52"/>
      <c r="XJ10" s="52"/>
      <c r="XK10" s="52"/>
      <c r="XL10" s="52"/>
      <c r="XM10" s="52"/>
      <c r="XN10" s="52"/>
      <c r="XO10" s="52"/>
      <c r="XP10" s="52"/>
      <c r="XQ10" s="52"/>
      <c r="XR10" s="52"/>
      <c r="XS10" s="52"/>
      <c r="XT10" s="52"/>
      <c r="XU10" s="52"/>
      <c r="XV10" s="52"/>
      <c r="XW10" s="52"/>
      <c r="XX10" s="52"/>
      <c r="XY10" s="52"/>
      <c r="XZ10" s="52"/>
      <c r="YA10" s="52"/>
      <c r="YB10" s="52"/>
      <c r="YC10" s="52"/>
      <c r="YD10" s="52"/>
      <c r="YE10" s="52"/>
      <c r="YF10" s="52"/>
      <c r="YG10" s="52"/>
      <c r="YH10" s="52"/>
      <c r="YI10" s="52"/>
      <c r="YJ10" s="52"/>
      <c r="YK10" s="52"/>
      <c r="YL10" s="52"/>
      <c r="YM10" s="52"/>
      <c r="YN10" s="52"/>
      <c r="YO10" s="52"/>
      <c r="YP10" s="52"/>
      <c r="YQ10" s="52"/>
      <c r="YR10" s="52"/>
      <c r="YS10" s="52"/>
      <c r="YT10" s="52"/>
      <c r="YU10" s="52"/>
      <c r="YV10" s="52"/>
      <c r="YW10" s="52"/>
      <c r="YX10" s="52"/>
      <c r="YY10" s="52"/>
      <c r="YZ10" s="52"/>
      <c r="ZA10" s="52"/>
      <c r="ZB10" s="52"/>
      <c r="ZC10" s="52"/>
      <c r="ZD10" s="52"/>
      <c r="ZE10" s="52"/>
      <c r="ZF10" s="52"/>
      <c r="ZG10" s="52"/>
      <c r="ZH10" s="52"/>
      <c r="ZI10" s="52"/>
      <c r="ZJ10" s="52"/>
      <c r="ZK10" s="52"/>
      <c r="ZL10" s="52"/>
      <c r="ZM10" s="52"/>
      <c r="ZN10" s="52"/>
      <c r="ZO10" s="52"/>
      <c r="ZP10" s="52"/>
      <c r="ZQ10" s="52"/>
      <c r="ZR10" s="52"/>
      <c r="ZS10" s="52"/>
      <c r="ZT10" s="52"/>
      <c r="ZU10" s="52"/>
      <c r="ZV10" s="52"/>
      <c r="ZW10" s="52"/>
      <c r="ZX10" s="52"/>
      <c r="ZY10" s="52"/>
      <c r="ZZ10" s="52"/>
      <c r="AAA10" s="52"/>
      <c r="AAB10" s="52"/>
      <c r="AAC10" s="52"/>
      <c r="AAD10" s="52"/>
      <c r="AAE10" s="52"/>
      <c r="AAF10" s="52"/>
      <c r="AAG10" s="52"/>
      <c r="AAH10" s="52"/>
      <c r="AAI10" s="52"/>
      <c r="AAJ10" s="52"/>
      <c r="AAK10" s="52"/>
      <c r="AAL10" s="52"/>
      <c r="AAM10" s="52"/>
      <c r="AAN10" s="52"/>
      <c r="AAO10" s="52"/>
      <c r="AAP10" s="52"/>
      <c r="AAQ10" s="52"/>
      <c r="AAR10" s="52"/>
      <c r="AAS10" s="52"/>
      <c r="AAT10" s="52"/>
      <c r="AAU10" s="52"/>
      <c r="AAV10" s="52"/>
      <c r="AAW10" s="52"/>
      <c r="AAX10" s="52"/>
      <c r="AAY10" s="52"/>
      <c r="AAZ10" s="52"/>
      <c r="ABA10" s="52"/>
      <c r="ABB10" s="52"/>
      <c r="ABC10" s="52"/>
      <c r="ABD10" s="52"/>
      <c r="ABE10" s="52"/>
      <c r="ABF10" s="52"/>
      <c r="ABG10" s="52"/>
      <c r="ABH10" s="52"/>
      <c r="ABI10" s="52"/>
      <c r="ABJ10" s="52"/>
      <c r="ABK10" s="52"/>
      <c r="ABL10" s="52"/>
      <c r="ABM10" s="52"/>
      <c r="ABN10" s="52"/>
      <c r="ABO10" s="52"/>
      <c r="ABP10" s="52"/>
      <c r="ABQ10" s="52"/>
      <c r="ABR10" s="52"/>
      <c r="ABS10" s="52"/>
      <c r="ABT10" s="52"/>
      <c r="ABU10" s="52"/>
      <c r="ABV10" s="52"/>
      <c r="ABW10" s="52"/>
      <c r="ABX10" s="52"/>
      <c r="ABY10" s="52"/>
      <c r="ABZ10" s="52"/>
      <c r="ACA10" s="52"/>
      <c r="ACB10" s="52"/>
      <c r="ACC10" s="52"/>
      <c r="ACD10" s="52"/>
      <c r="ACE10" s="52"/>
      <c r="ACF10" s="52"/>
      <c r="ACG10" s="52"/>
      <c r="ACH10" s="52"/>
      <c r="ACI10" s="52"/>
      <c r="ACJ10" s="52"/>
      <c r="ACK10" s="52"/>
      <c r="ACL10" s="52"/>
      <c r="ACM10" s="52"/>
      <c r="ACN10" s="52"/>
      <c r="ACO10" s="52"/>
      <c r="ACP10" s="52"/>
      <c r="ACQ10" s="52"/>
      <c r="ACR10" s="52"/>
      <c r="ACS10" s="52"/>
      <c r="ACT10" s="52"/>
      <c r="ACU10" s="52"/>
      <c r="ACV10" s="52"/>
      <c r="ACW10" s="52"/>
      <c r="ACX10" s="52"/>
      <c r="ACY10" s="52"/>
      <c r="ACZ10" s="52"/>
      <c r="ADA10" s="52"/>
      <c r="ADB10" s="52"/>
      <c r="ADC10" s="52"/>
      <c r="ADD10" s="52"/>
      <c r="ADE10" s="52"/>
      <c r="ADF10" s="52"/>
      <c r="ADG10" s="52"/>
      <c r="ADH10" s="52"/>
      <c r="ADI10" s="52"/>
      <c r="ADJ10" s="52"/>
      <c r="ADK10" s="52"/>
      <c r="ADL10" s="52"/>
      <c r="ADM10" s="52"/>
      <c r="ADN10" s="52"/>
      <c r="ADO10" s="52"/>
      <c r="ADP10" s="52"/>
      <c r="ADQ10" s="52"/>
      <c r="ADR10" s="52"/>
      <c r="ADS10" s="52"/>
      <c r="ADT10" s="52"/>
      <c r="ADU10" s="52"/>
      <c r="ADV10" s="52"/>
      <c r="ADW10" s="52"/>
      <c r="ADX10" s="52"/>
      <c r="ADY10" s="52"/>
      <c r="ADZ10" s="52"/>
      <c r="AEA10" s="52"/>
      <c r="AEB10" s="52"/>
      <c r="AEC10" s="52"/>
      <c r="AED10" s="52"/>
      <c r="AEE10" s="52"/>
      <c r="AEF10" s="52"/>
      <c r="AEG10" s="52"/>
      <c r="AEH10" s="52"/>
      <c r="AEI10" s="52"/>
      <c r="AEJ10" s="52"/>
      <c r="AEK10" s="52"/>
      <c r="AEL10" s="52"/>
      <c r="AEM10" s="52"/>
      <c r="AEN10" s="52"/>
      <c r="AEO10" s="52"/>
      <c r="AEP10" s="52"/>
      <c r="AEQ10" s="52"/>
      <c r="AER10" s="52"/>
      <c r="AES10" s="52"/>
      <c r="AET10" s="52"/>
      <c r="AEU10" s="52"/>
      <c r="AEV10" s="52"/>
      <c r="AEW10" s="52"/>
      <c r="AEX10" s="52"/>
      <c r="AEY10" s="52"/>
      <c r="AEZ10" s="52"/>
      <c r="AFA10" s="52"/>
      <c r="AFB10" s="52"/>
      <c r="AFC10" s="52"/>
      <c r="AFD10" s="52"/>
      <c r="AFE10" s="52"/>
      <c r="AFF10" s="52"/>
      <c r="AFG10" s="52"/>
      <c r="AFH10" s="52"/>
      <c r="AFI10" s="52"/>
      <c r="AFJ10" s="52"/>
      <c r="AFK10" s="52"/>
      <c r="AFL10" s="52"/>
      <c r="AFM10" s="52"/>
      <c r="AFN10" s="52"/>
      <c r="AFO10" s="52"/>
      <c r="AFP10" s="52"/>
      <c r="AFQ10" s="52"/>
      <c r="AFR10" s="52"/>
      <c r="AFS10" s="52"/>
      <c r="AFT10" s="52"/>
      <c r="AFU10" s="52"/>
      <c r="AFV10" s="52"/>
      <c r="AFW10" s="52"/>
      <c r="AFX10" s="52"/>
      <c r="AFY10" s="52"/>
      <c r="AFZ10" s="52"/>
      <c r="AGA10" s="52"/>
      <c r="AGB10" s="52"/>
      <c r="AGC10" s="52"/>
      <c r="AGD10" s="52"/>
      <c r="AGE10" s="52"/>
      <c r="AGF10" s="52"/>
      <c r="AGG10" s="52"/>
      <c r="AGH10" s="52"/>
      <c r="AGI10" s="52"/>
      <c r="AGJ10" s="52"/>
      <c r="AGK10" s="52"/>
      <c r="AGL10" s="52"/>
      <c r="AGM10" s="52"/>
      <c r="AGN10" s="52"/>
      <c r="AGO10" s="52"/>
      <c r="AGP10" s="52"/>
      <c r="AGQ10" s="52"/>
      <c r="AGR10" s="52"/>
      <c r="AGS10" s="52"/>
      <c r="AGT10" s="52"/>
      <c r="AGU10" s="52"/>
      <c r="AGV10" s="52"/>
      <c r="AGW10" s="52"/>
      <c r="AGX10" s="52"/>
      <c r="AGY10" s="52"/>
      <c r="AGZ10" s="52"/>
      <c r="AHA10" s="52"/>
      <c r="AHB10" s="52"/>
      <c r="AHC10" s="52"/>
      <c r="AHD10" s="52"/>
      <c r="AHE10" s="52"/>
      <c r="AHF10" s="52"/>
      <c r="AHG10" s="52"/>
      <c r="AHH10" s="52"/>
      <c r="AHI10" s="52"/>
      <c r="AHJ10" s="52"/>
      <c r="AHK10" s="52"/>
      <c r="AHL10" s="52"/>
      <c r="AHM10" s="52"/>
      <c r="AHN10" s="52"/>
      <c r="AHO10" s="52"/>
      <c r="AHP10" s="52"/>
      <c r="AHQ10" s="52"/>
      <c r="AHR10" s="52"/>
      <c r="AHS10" s="52"/>
      <c r="AHT10" s="52"/>
      <c r="AHU10" s="52"/>
      <c r="AHV10" s="52"/>
      <c r="AHW10" s="52"/>
      <c r="AHX10" s="52"/>
      <c r="AHY10" s="52"/>
      <c r="AHZ10" s="52"/>
      <c r="AIA10" s="52"/>
      <c r="AIB10" s="52"/>
      <c r="AIC10" s="52"/>
      <c r="AID10" s="52"/>
      <c r="AIE10" s="52"/>
      <c r="AIF10" s="52"/>
      <c r="AIG10" s="52"/>
      <c r="AIH10" s="52"/>
      <c r="AII10" s="52"/>
      <c r="AIJ10" s="52"/>
      <c r="AIK10" s="52"/>
      <c r="AIL10" s="52"/>
      <c r="AIM10" s="52"/>
      <c r="AIN10" s="52"/>
      <c r="AIO10" s="52"/>
      <c r="AIP10" s="52"/>
      <c r="AIQ10" s="52"/>
      <c r="AIR10" s="52"/>
      <c r="AIS10" s="52"/>
      <c r="AIT10" s="52"/>
      <c r="AIU10" s="52"/>
      <c r="AIV10" s="52"/>
      <c r="AIW10" s="52"/>
      <c r="AIX10" s="52"/>
      <c r="AIY10" s="52"/>
      <c r="AIZ10" s="52"/>
      <c r="AJA10" s="52"/>
      <c r="AJB10" s="52"/>
      <c r="AJC10" s="52"/>
      <c r="AJD10" s="52"/>
      <c r="AJE10" s="52"/>
      <c r="AJF10" s="52"/>
      <c r="AJG10" s="52"/>
      <c r="AJH10" s="52"/>
      <c r="AJI10" s="52"/>
      <c r="AJJ10" s="52"/>
      <c r="AJK10" s="52"/>
      <c r="AJL10" s="52"/>
      <c r="AJM10" s="52"/>
      <c r="AJN10" s="52"/>
      <c r="AJO10" s="52"/>
      <c r="AJP10" s="52"/>
      <c r="AJQ10" s="52"/>
      <c r="AJR10" s="52"/>
      <c r="AJS10" s="52"/>
      <c r="AJT10" s="52"/>
      <c r="AJU10" s="52"/>
      <c r="AJV10" s="52"/>
      <c r="AJW10" s="52"/>
      <c r="AJX10" s="52"/>
      <c r="AJY10" s="52"/>
      <c r="AJZ10" s="52"/>
      <c r="AKA10" s="52"/>
      <c r="AKB10" s="52"/>
      <c r="AKC10" s="52"/>
      <c r="AKD10" s="52"/>
      <c r="AKE10" s="52"/>
      <c r="AKF10" s="52"/>
      <c r="AKG10" s="52"/>
      <c r="AKH10" s="52"/>
      <c r="AKI10" s="52"/>
      <c r="AKJ10" s="52"/>
      <c r="AKK10" s="52"/>
      <c r="AKL10" s="52"/>
      <c r="AKM10" s="52"/>
      <c r="AKN10" s="52"/>
      <c r="AKO10" s="52"/>
      <c r="AKP10" s="52"/>
      <c r="AKQ10" s="52"/>
      <c r="AKR10" s="52"/>
      <c r="AKS10" s="52"/>
      <c r="AKT10" s="52"/>
      <c r="AKU10" s="52"/>
      <c r="AKV10" s="52"/>
      <c r="AKW10" s="52"/>
      <c r="AKX10" s="52"/>
      <c r="AKY10" s="52"/>
      <c r="AKZ10" s="52"/>
      <c r="ALA10" s="52"/>
      <c r="ALB10" s="52"/>
      <c r="ALC10" s="52"/>
      <c r="ALD10" s="52"/>
      <c r="ALE10" s="52"/>
      <c r="ALF10" s="52"/>
      <c r="ALG10" s="52"/>
      <c r="ALH10" s="52"/>
      <c r="ALI10" s="52"/>
      <c r="ALJ10" s="52"/>
      <c r="ALK10" s="52"/>
      <c r="ALL10" s="52"/>
      <c r="ALM10" s="52"/>
      <c r="ALN10" s="52"/>
      <c r="ALO10" s="52"/>
      <c r="ALP10" s="52"/>
      <c r="ALQ10" s="52"/>
      <c r="ALR10" s="52"/>
      <c r="ALS10" s="52"/>
      <c r="ALT10" s="52"/>
      <c r="ALU10" s="52"/>
      <c r="ALV10" s="52"/>
      <c r="ALW10" s="52"/>
      <c r="ALX10" s="52"/>
      <c r="ALY10" s="52"/>
      <c r="ALZ10" s="52"/>
      <c r="AMA10" s="52"/>
      <c r="AMB10" s="52"/>
      <c r="AMC10" s="52"/>
      <c r="AMD10" s="52"/>
      <c r="AME10" s="52"/>
      <c r="AMF10" s="52"/>
      <c r="AMG10" s="52"/>
      <c r="AMH10" s="52"/>
      <c r="AMI10" s="52"/>
      <c r="AMJ10" s="52"/>
      <c r="AMK10" s="52"/>
      <c r="AML10" s="52"/>
    </row>
    <row r="11" ht="15.75" customHeight="1">
      <c r="A11" s="8"/>
      <c r="B11" s="48" t="s">
        <v>46</v>
      </c>
      <c r="C11" s="33"/>
      <c r="D11" s="33"/>
      <c r="E11" s="54">
        <v>1100.0</v>
      </c>
      <c r="F11" s="50"/>
      <c r="G11" s="48" t="s">
        <v>66</v>
      </c>
      <c r="H11" s="33"/>
      <c r="I11" s="50"/>
      <c r="J11" s="50"/>
      <c r="K11" s="49">
        <v>1.0</v>
      </c>
      <c r="L11" s="49">
        <v>1.0</v>
      </c>
      <c r="M11" s="50"/>
      <c r="N11" s="33"/>
      <c r="O11" s="48" t="s">
        <v>64</v>
      </c>
      <c r="P11" s="33"/>
      <c r="Q11" s="33"/>
      <c r="R11" s="50"/>
      <c r="S11" s="50"/>
      <c r="T11" s="33"/>
      <c r="U11" s="50"/>
      <c r="V11" s="50"/>
      <c r="W11" s="33"/>
      <c r="X11" s="50"/>
      <c r="Y11" s="33"/>
      <c r="Z11" s="33"/>
      <c r="AA11" s="33"/>
      <c r="AB11" s="33"/>
      <c r="AC11" s="50"/>
      <c r="AD11" s="33"/>
      <c r="AE11" s="54">
        <v>1100.0</v>
      </c>
      <c r="AF11" s="50"/>
      <c r="AG11" s="33"/>
      <c r="AH11" s="50"/>
      <c r="AI11" s="33"/>
      <c r="AJ11" s="50"/>
      <c r="AK11" s="33"/>
      <c r="AL11" s="33"/>
      <c r="AM11" s="33"/>
      <c r="AN11" s="33"/>
      <c r="AO11" s="51"/>
      <c r="AP11" s="33"/>
      <c r="AQ11" s="51"/>
      <c r="AR11" s="51"/>
      <c r="AS11" s="51"/>
      <c r="AT11" s="50"/>
      <c r="AU11" s="50"/>
      <c r="AV11" s="50"/>
      <c r="AW11" s="50"/>
      <c r="AX11" s="50"/>
      <c r="AY11" s="50"/>
      <c r="AZ11" s="33"/>
      <c r="BA11" s="50"/>
      <c r="BB11" s="50"/>
      <c r="BC11" s="33"/>
      <c r="BD11" s="50"/>
      <c r="BE11" s="33"/>
      <c r="BF11" s="50"/>
      <c r="BG11" s="50"/>
      <c r="BH11" s="50"/>
      <c r="BI11" s="33"/>
      <c r="BJ11" s="54">
        <v>1100.0</v>
      </c>
      <c r="BK11" s="50"/>
      <c r="BL11" s="50"/>
      <c r="BM11" s="33"/>
      <c r="BN11" s="33"/>
      <c r="BO11" s="48" t="s">
        <v>45</v>
      </c>
      <c r="BP11" s="33"/>
      <c r="BQ11" s="50"/>
      <c r="BR11" s="50"/>
      <c r="BS11" s="48" t="s">
        <v>65</v>
      </c>
      <c r="BT11" s="48" t="s">
        <v>44</v>
      </c>
      <c r="BU11" s="33"/>
      <c r="BV11" s="50"/>
      <c r="BW11" s="50"/>
      <c r="BX11" s="50"/>
      <c r="BY11" s="50"/>
      <c r="BZ11" s="33"/>
      <c r="CA11" s="33"/>
      <c r="CB11" s="33"/>
      <c r="CC11" s="33"/>
      <c r="CD11" s="33"/>
      <c r="CE11" s="33"/>
      <c r="CF11" s="50"/>
      <c r="CG11" s="33"/>
      <c r="CH11" s="50"/>
      <c r="CI11" s="33"/>
      <c r="CJ11" s="33"/>
      <c r="CK11" s="50"/>
      <c r="CL11" s="33"/>
      <c r="CM11" s="50"/>
      <c r="CN11" s="33"/>
      <c r="CO11" s="33"/>
      <c r="CP11" s="33"/>
      <c r="CQ11" s="33"/>
      <c r="CR11" s="50"/>
      <c r="CS11" s="50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50"/>
      <c r="FF11" s="33"/>
      <c r="FG11" s="33"/>
      <c r="FH11" s="50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</row>
    <row r="12" ht="15.75" customHeight="1">
      <c r="A12" s="8"/>
      <c r="B12" s="48" t="s">
        <v>46</v>
      </c>
      <c r="C12" s="33"/>
      <c r="D12" s="33"/>
      <c r="E12" s="49">
        <v>10.0</v>
      </c>
      <c r="F12" s="50"/>
      <c r="G12" s="48" t="s">
        <v>63</v>
      </c>
      <c r="H12" s="33"/>
      <c r="I12" s="50"/>
      <c r="J12" s="50"/>
      <c r="K12" s="49">
        <v>10.0</v>
      </c>
      <c r="L12" s="49">
        <v>10.0</v>
      </c>
      <c r="M12" s="50"/>
      <c r="N12" s="33"/>
      <c r="O12" s="48" t="s">
        <v>64</v>
      </c>
      <c r="P12" s="33"/>
      <c r="Q12" s="33"/>
      <c r="R12" s="50"/>
      <c r="S12" s="50"/>
      <c r="T12" s="33"/>
      <c r="U12" s="50"/>
      <c r="V12" s="50"/>
      <c r="W12" s="33"/>
      <c r="X12" s="50"/>
      <c r="Y12" s="33"/>
      <c r="Z12" s="33"/>
      <c r="AA12" s="33"/>
      <c r="AB12" s="33"/>
      <c r="AC12" s="50"/>
      <c r="AD12" s="33"/>
      <c r="AE12" s="49">
        <v>10.0</v>
      </c>
      <c r="AF12" s="50"/>
      <c r="AG12" s="33"/>
      <c r="AH12" s="50"/>
      <c r="AI12" s="33"/>
      <c r="AJ12" s="50"/>
      <c r="AK12" s="33"/>
      <c r="AL12" s="33"/>
      <c r="AM12" s="33"/>
      <c r="AN12" s="33"/>
      <c r="AO12" s="51"/>
      <c r="AP12" s="33"/>
      <c r="AQ12" s="51"/>
      <c r="AR12" s="51"/>
      <c r="AS12" s="51"/>
      <c r="AT12" s="50"/>
      <c r="AU12" s="50"/>
      <c r="AV12" s="50"/>
      <c r="AW12" s="50"/>
      <c r="AX12" s="50"/>
      <c r="AY12" s="50"/>
      <c r="AZ12" s="33"/>
      <c r="BA12" s="50"/>
      <c r="BB12" s="50"/>
      <c r="BC12" s="33"/>
      <c r="BD12" s="50"/>
      <c r="BE12" s="33"/>
      <c r="BF12" s="50"/>
      <c r="BG12" s="50"/>
      <c r="BH12" s="50"/>
      <c r="BI12" s="33"/>
      <c r="BJ12" s="49">
        <v>10.0</v>
      </c>
      <c r="BK12" s="50"/>
      <c r="BL12" s="50"/>
      <c r="BM12" s="33"/>
      <c r="BN12" s="33"/>
      <c r="BO12" s="48" t="s">
        <v>42</v>
      </c>
      <c r="BP12" s="33"/>
      <c r="BQ12" s="50"/>
      <c r="BR12" s="50"/>
      <c r="BS12" s="48" t="s">
        <v>65</v>
      </c>
      <c r="BT12" s="48" t="s">
        <v>16</v>
      </c>
      <c r="BU12" s="33"/>
      <c r="BV12" s="50"/>
      <c r="BW12" s="50"/>
      <c r="BX12" s="50"/>
      <c r="BY12" s="50"/>
      <c r="BZ12" s="33"/>
      <c r="CA12" s="33"/>
      <c r="CB12" s="33"/>
      <c r="CC12" s="33"/>
      <c r="CD12" s="33"/>
      <c r="CE12" s="33"/>
      <c r="CF12" s="50"/>
      <c r="CG12" s="33"/>
      <c r="CH12" s="50"/>
      <c r="CI12" s="33"/>
      <c r="CJ12" s="33"/>
      <c r="CK12" s="50"/>
      <c r="CL12" s="33"/>
      <c r="CM12" s="50"/>
      <c r="CN12" s="33"/>
      <c r="CO12" s="33"/>
      <c r="CP12" s="33"/>
      <c r="CQ12" s="33"/>
      <c r="CR12" s="50"/>
      <c r="CS12" s="50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50"/>
      <c r="FF12" s="33"/>
      <c r="FG12" s="33"/>
      <c r="FH12" s="50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J12" s="52"/>
      <c r="JK12" s="52"/>
      <c r="JL12" s="52"/>
      <c r="JM12" s="52"/>
      <c r="JN12" s="52"/>
      <c r="JO12" s="52"/>
      <c r="JP12" s="52"/>
      <c r="JQ12" s="52"/>
      <c r="JR12" s="52"/>
      <c r="JS12" s="52"/>
      <c r="JT12" s="52"/>
      <c r="JU12" s="52"/>
      <c r="JV12" s="52"/>
      <c r="JW12" s="52"/>
      <c r="JX12" s="52"/>
      <c r="JY12" s="52"/>
      <c r="JZ12" s="52"/>
      <c r="KA12" s="52"/>
      <c r="KB12" s="52"/>
      <c r="KC12" s="52"/>
      <c r="KD12" s="52"/>
      <c r="KE12" s="52"/>
      <c r="KF12" s="52"/>
      <c r="KG12" s="52"/>
      <c r="KH12" s="52"/>
      <c r="KI12" s="52"/>
      <c r="KJ12" s="52"/>
      <c r="KK12" s="52"/>
      <c r="KL12" s="52"/>
      <c r="KM12" s="52"/>
      <c r="KN12" s="52"/>
      <c r="KO12" s="52"/>
      <c r="KP12" s="52"/>
      <c r="KQ12" s="52"/>
      <c r="KR12" s="52"/>
      <c r="KS12" s="52"/>
      <c r="KT12" s="52"/>
      <c r="KU12" s="52"/>
      <c r="KV12" s="52"/>
      <c r="KW12" s="52"/>
      <c r="KX12" s="52"/>
      <c r="KY12" s="52"/>
      <c r="KZ12" s="52"/>
      <c r="LA12" s="52"/>
      <c r="LB12" s="52"/>
      <c r="LC12" s="52"/>
      <c r="LD12" s="52"/>
      <c r="LE12" s="52"/>
      <c r="LF12" s="52"/>
      <c r="LG12" s="52"/>
      <c r="LH12" s="52"/>
      <c r="LI12" s="52"/>
      <c r="LJ12" s="52"/>
      <c r="LK12" s="52"/>
      <c r="LL12" s="52"/>
      <c r="LM12" s="52"/>
      <c r="LN12" s="52"/>
      <c r="LO12" s="52"/>
      <c r="LP12" s="52"/>
      <c r="LQ12" s="52"/>
      <c r="LR12" s="52"/>
      <c r="LS12" s="52"/>
      <c r="LT12" s="52"/>
      <c r="LU12" s="52"/>
      <c r="LV12" s="52"/>
      <c r="LW12" s="52"/>
      <c r="LX12" s="52"/>
      <c r="LY12" s="52"/>
      <c r="LZ12" s="52"/>
      <c r="MA12" s="52"/>
      <c r="MB12" s="52"/>
      <c r="MC12" s="52"/>
      <c r="MD12" s="52"/>
      <c r="ME12" s="52"/>
      <c r="MF12" s="52"/>
      <c r="MG12" s="52"/>
      <c r="MH12" s="52"/>
      <c r="MI12" s="52"/>
      <c r="MJ12" s="52"/>
      <c r="MK12" s="52"/>
      <c r="ML12" s="52"/>
      <c r="MM12" s="52"/>
      <c r="MN12" s="52"/>
      <c r="MO12" s="52"/>
      <c r="MP12" s="52"/>
      <c r="MQ12" s="52"/>
      <c r="MR12" s="52"/>
      <c r="MS12" s="52"/>
      <c r="MT12" s="52"/>
      <c r="MU12" s="52"/>
      <c r="MV12" s="52"/>
      <c r="MW12" s="52"/>
      <c r="MX12" s="52"/>
      <c r="MY12" s="52"/>
      <c r="MZ12" s="52"/>
      <c r="NA12" s="52"/>
      <c r="NB12" s="52"/>
      <c r="NC12" s="52"/>
      <c r="ND12" s="52"/>
      <c r="NE12" s="52"/>
      <c r="NF12" s="52"/>
      <c r="NG12" s="52"/>
      <c r="NH12" s="52"/>
      <c r="NI12" s="52"/>
      <c r="NJ12" s="52"/>
      <c r="NK12" s="52"/>
      <c r="NL12" s="52"/>
      <c r="NM12" s="52"/>
      <c r="NN12" s="52"/>
      <c r="NO12" s="52"/>
      <c r="NP12" s="52"/>
      <c r="NQ12" s="52"/>
      <c r="NR12" s="52"/>
      <c r="NS12" s="52"/>
      <c r="NT12" s="52"/>
      <c r="NU12" s="52"/>
      <c r="NV12" s="52"/>
      <c r="NW12" s="52"/>
      <c r="NX12" s="52"/>
      <c r="NY12" s="52"/>
      <c r="NZ12" s="52"/>
      <c r="OA12" s="52"/>
      <c r="OB12" s="52"/>
      <c r="OC12" s="52"/>
      <c r="OD12" s="52"/>
      <c r="OE12" s="52"/>
      <c r="OF12" s="52"/>
      <c r="OG12" s="52"/>
      <c r="OH12" s="52"/>
      <c r="OI12" s="52"/>
      <c r="OJ12" s="52"/>
      <c r="OK12" s="52"/>
      <c r="OL12" s="52"/>
      <c r="OM12" s="52"/>
      <c r="ON12" s="52"/>
      <c r="OO12" s="52"/>
      <c r="OP12" s="52"/>
      <c r="OQ12" s="52"/>
      <c r="OR12" s="52"/>
      <c r="OS12" s="52"/>
      <c r="OT12" s="52"/>
      <c r="OU12" s="52"/>
      <c r="OV12" s="52"/>
      <c r="OW12" s="52"/>
      <c r="OX12" s="52"/>
      <c r="OY12" s="52"/>
      <c r="OZ12" s="52"/>
      <c r="PA12" s="52"/>
      <c r="PB12" s="52"/>
      <c r="PC12" s="52"/>
      <c r="PD12" s="52"/>
      <c r="PE12" s="52"/>
      <c r="PF12" s="52"/>
      <c r="PG12" s="52"/>
      <c r="PH12" s="52"/>
      <c r="PI12" s="52"/>
      <c r="PJ12" s="52"/>
      <c r="PK12" s="52"/>
      <c r="PL12" s="52"/>
      <c r="PM12" s="52"/>
      <c r="PN12" s="52"/>
      <c r="PO12" s="52"/>
      <c r="PP12" s="52"/>
      <c r="PQ12" s="52"/>
      <c r="PR12" s="52"/>
      <c r="PS12" s="52"/>
      <c r="PT12" s="52"/>
      <c r="PU12" s="52"/>
      <c r="PV12" s="52"/>
      <c r="PW12" s="52"/>
      <c r="PX12" s="52"/>
      <c r="PY12" s="52"/>
      <c r="PZ12" s="52"/>
      <c r="QA12" s="52"/>
      <c r="QB12" s="52"/>
      <c r="QC12" s="52"/>
      <c r="QD12" s="52"/>
      <c r="QE12" s="52"/>
      <c r="QF12" s="52"/>
      <c r="QG12" s="52"/>
      <c r="QH12" s="52"/>
      <c r="QI12" s="52"/>
      <c r="QJ12" s="52"/>
      <c r="QK12" s="52"/>
      <c r="QL12" s="52"/>
      <c r="QM12" s="52"/>
      <c r="QN12" s="52"/>
      <c r="QO12" s="52"/>
      <c r="QP12" s="52"/>
      <c r="QQ12" s="52"/>
      <c r="QR12" s="52"/>
      <c r="QS12" s="52"/>
      <c r="QT12" s="52"/>
      <c r="QU12" s="52"/>
      <c r="QV12" s="52"/>
      <c r="QW12" s="52"/>
      <c r="QX12" s="52"/>
      <c r="QY12" s="52"/>
      <c r="QZ12" s="52"/>
      <c r="RA12" s="52"/>
      <c r="RB12" s="52"/>
      <c r="RC12" s="52"/>
      <c r="RD12" s="52"/>
      <c r="RE12" s="52"/>
      <c r="RF12" s="52"/>
      <c r="RG12" s="52"/>
      <c r="RH12" s="52"/>
      <c r="RI12" s="52"/>
      <c r="RJ12" s="52"/>
      <c r="RK12" s="52"/>
      <c r="RL12" s="52"/>
      <c r="RM12" s="52"/>
      <c r="RN12" s="52"/>
      <c r="RO12" s="52"/>
      <c r="RP12" s="52"/>
      <c r="RQ12" s="52"/>
      <c r="RR12" s="52"/>
      <c r="RS12" s="52"/>
      <c r="RT12" s="52"/>
      <c r="RU12" s="52"/>
      <c r="RV12" s="52"/>
      <c r="RW12" s="52"/>
      <c r="RX12" s="52"/>
      <c r="RY12" s="52"/>
      <c r="RZ12" s="52"/>
      <c r="SA12" s="52"/>
      <c r="SB12" s="52"/>
      <c r="SC12" s="52"/>
      <c r="SD12" s="52"/>
      <c r="SE12" s="52"/>
      <c r="SF12" s="52"/>
      <c r="SG12" s="52"/>
      <c r="SH12" s="52"/>
      <c r="SI12" s="52"/>
      <c r="SJ12" s="52"/>
      <c r="SK12" s="52"/>
      <c r="SL12" s="52"/>
      <c r="SM12" s="52"/>
      <c r="SN12" s="52"/>
      <c r="SO12" s="52"/>
      <c r="SP12" s="52"/>
      <c r="SQ12" s="52"/>
      <c r="SR12" s="52"/>
      <c r="SS12" s="52"/>
      <c r="ST12" s="52"/>
      <c r="SU12" s="52"/>
      <c r="SV12" s="52"/>
      <c r="SW12" s="52"/>
      <c r="SX12" s="52"/>
      <c r="SY12" s="52"/>
      <c r="SZ12" s="52"/>
      <c r="TA12" s="52"/>
      <c r="TB12" s="52"/>
      <c r="TC12" s="52"/>
      <c r="TD12" s="52"/>
      <c r="TE12" s="52"/>
      <c r="TF12" s="52"/>
      <c r="TG12" s="52"/>
      <c r="TH12" s="52"/>
      <c r="TI12" s="52"/>
      <c r="TJ12" s="52"/>
      <c r="TK12" s="52"/>
      <c r="TL12" s="52"/>
      <c r="TM12" s="52"/>
      <c r="TN12" s="52"/>
      <c r="TO12" s="52"/>
      <c r="TP12" s="52"/>
      <c r="TQ12" s="52"/>
      <c r="TR12" s="52"/>
      <c r="TS12" s="52"/>
      <c r="TT12" s="52"/>
      <c r="TU12" s="52"/>
      <c r="TV12" s="52"/>
      <c r="TW12" s="52"/>
      <c r="TX12" s="52"/>
      <c r="TY12" s="52"/>
      <c r="TZ12" s="52"/>
      <c r="UA12" s="52"/>
      <c r="UB12" s="52"/>
      <c r="UC12" s="52"/>
      <c r="UD12" s="52"/>
      <c r="UE12" s="52"/>
      <c r="UF12" s="52"/>
      <c r="UG12" s="52"/>
      <c r="UH12" s="52"/>
      <c r="UI12" s="52"/>
      <c r="UJ12" s="52"/>
      <c r="UK12" s="52"/>
      <c r="UL12" s="52"/>
      <c r="UM12" s="52"/>
      <c r="UN12" s="52"/>
      <c r="UO12" s="52"/>
      <c r="UP12" s="52"/>
      <c r="UQ12" s="52"/>
      <c r="UR12" s="52"/>
      <c r="US12" s="52"/>
      <c r="UT12" s="52"/>
      <c r="UU12" s="52"/>
      <c r="UV12" s="52"/>
      <c r="UW12" s="52"/>
      <c r="UX12" s="52"/>
      <c r="UY12" s="52"/>
      <c r="UZ12" s="52"/>
      <c r="VA12" s="52"/>
      <c r="VB12" s="52"/>
      <c r="VC12" s="52"/>
      <c r="VD12" s="52"/>
      <c r="VE12" s="52"/>
      <c r="VF12" s="52"/>
      <c r="VG12" s="52"/>
      <c r="VH12" s="52"/>
      <c r="VI12" s="52"/>
      <c r="VJ12" s="52"/>
      <c r="VK12" s="52"/>
      <c r="VL12" s="52"/>
      <c r="VM12" s="52"/>
      <c r="VN12" s="52"/>
      <c r="VO12" s="52"/>
      <c r="VP12" s="52"/>
      <c r="VQ12" s="52"/>
      <c r="VR12" s="52"/>
      <c r="VS12" s="52"/>
      <c r="VT12" s="52"/>
      <c r="VU12" s="52"/>
      <c r="VV12" s="52"/>
      <c r="VW12" s="52"/>
      <c r="VX12" s="52"/>
      <c r="VY12" s="52"/>
      <c r="VZ12" s="52"/>
      <c r="WA12" s="52"/>
      <c r="WB12" s="52"/>
      <c r="WC12" s="52"/>
      <c r="WD12" s="52"/>
      <c r="WE12" s="52"/>
      <c r="WF12" s="52"/>
      <c r="WG12" s="52"/>
      <c r="WH12" s="52"/>
      <c r="WI12" s="52"/>
      <c r="WJ12" s="52"/>
      <c r="WK12" s="52"/>
      <c r="WL12" s="52"/>
      <c r="WM12" s="52"/>
      <c r="WN12" s="52"/>
      <c r="WO12" s="52"/>
      <c r="WP12" s="52"/>
      <c r="WQ12" s="52"/>
      <c r="WR12" s="52"/>
      <c r="WS12" s="52"/>
      <c r="WT12" s="52"/>
      <c r="WU12" s="52"/>
      <c r="WV12" s="52"/>
      <c r="WW12" s="52"/>
      <c r="WX12" s="52"/>
      <c r="WY12" s="52"/>
      <c r="WZ12" s="52"/>
      <c r="XA12" s="52"/>
      <c r="XB12" s="52"/>
      <c r="XC12" s="52"/>
      <c r="XD12" s="52"/>
      <c r="XE12" s="52"/>
      <c r="XF12" s="52"/>
      <c r="XG12" s="52"/>
      <c r="XH12" s="52"/>
      <c r="XI12" s="52"/>
      <c r="XJ12" s="52"/>
      <c r="XK12" s="52"/>
      <c r="XL12" s="52"/>
      <c r="XM12" s="52"/>
      <c r="XN12" s="52"/>
      <c r="XO12" s="52"/>
      <c r="XP12" s="52"/>
      <c r="XQ12" s="52"/>
      <c r="XR12" s="52"/>
      <c r="XS12" s="52"/>
      <c r="XT12" s="52"/>
      <c r="XU12" s="52"/>
      <c r="XV12" s="52"/>
      <c r="XW12" s="52"/>
      <c r="XX12" s="52"/>
      <c r="XY12" s="52"/>
      <c r="XZ12" s="52"/>
      <c r="YA12" s="52"/>
      <c r="YB12" s="52"/>
      <c r="YC12" s="52"/>
      <c r="YD12" s="52"/>
      <c r="YE12" s="52"/>
      <c r="YF12" s="52"/>
      <c r="YG12" s="52"/>
      <c r="YH12" s="52"/>
      <c r="YI12" s="52"/>
      <c r="YJ12" s="52"/>
      <c r="YK12" s="52"/>
      <c r="YL12" s="52"/>
      <c r="YM12" s="52"/>
      <c r="YN12" s="52"/>
      <c r="YO12" s="52"/>
      <c r="YP12" s="52"/>
      <c r="YQ12" s="52"/>
      <c r="YR12" s="52"/>
      <c r="YS12" s="52"/>
      <c r="YT12" s="52"/>
      <c r="YU12" s="52"/>
      <c r="YV12" s="52"/>
      <c r="YW12" s="52"/>
      <c r="YX12" s="52"/>
      <c r="YY12" s="52"/>
      <c r="YZ12" s="52"/>
      <c r="ZA12" s="52"/>
      <c r="ZB12" s="52"/>
      <c r="ZC12" s="52"/>
      <c r="ZD12" s="52"/>
      <c r="ZE12" s="52"/>
      <c r="ZF12" s="52"/>
      <c r="ZG12" s="52"/>
      <c r="ZH12" s="52"/>
      <c r="ZI12" s="52"/>
      <c r="ZJ12" s="52"/>
      <c r="ZK12" s="52"/>
      <c r="ZL12" s="52"/>
      <c r="ZM12" s="52"/>
      <c r="ZN12" s="52"/>
      <c r="ZO12" s="52"/>
      <c r="ZP12" s="52"/>
      <c r="ZQ12" s="52"/>
      <c r="ZR12" s="52"/>
      <c r="ZS12" s="52"/>
      <c r="ZT12" s="52"/>
      <c r="ZU12" s="52"/>
      <c r="ZV12" s="52"/>
      <c r="ZW12" s="52"/>
      <c r="ZX12" s="52"/>
      <c r="ZY12" s="52"/>
      <c r="ZZ12" s="52"/>
      <c r="AAA12" s="52"/>
      <c r="AAB12" s="52"/>
      <c r="AAC12" s="52"/>
      <c r="AAD12" s="52"/>
      <c r="AAE12" s="52"/>
      <c r="AAF12" s="52"/>
      <c r="AAG12" s="52"/>
      <c r="AAH12" s="52"/>
      <c r="AAI12" s="52"/>
      <c r="AAJ12" s="52"/>
      <c r="AAK12" s="52"/>
      <c r="AAL12" s="52"/>
      <c r="AAM12" s="52"/>
      <c r="AAN12" s="52"/>
      <c r="AAO12" s="52"/>
      <c r="AAP12" s="52"/>
      <c r="AAQ12" s="52"/>
      <c r="AAR12" s="52"/>
      <c r="AAS12" s="52"/>
      <c r="AAT12" s="52"/>
      <c r="AAU12" s="52"/>
      <c r="AAV12" s="52"/>
      <c r="AAW12" s="52"/>
      <c r="AAX12" s="52"/>
      <c r="AAY12" s="52"/>
      <c r="AAZ12" s="52"/>
      <c r="ABA12" s="52"/>
      <c r="ABB12" s="52"/>
      <c r="ABC12" s="52"/>
      <c r="ABD12" s="52"/>
      <c r="ABE12" s="52"/>
      <c r="ABF12" s="52"/>
      <c r="ABG12" s="52"/>
      <c r="ABH12" s="52"/>
      <c r="ABI12" s="52"/>
      <c r="ABJ12" s="52"/>
      <c r="ABK12" s="52"/>
      <c r="ABL12" s="52"/>
      <c r="ABM12" s="52"/>
      <c r="ABN12" s="52"/>
      <c r="ABO12" s="52"/>
      <c r="ABP12" s="52"/>
      <c r="ABQ12" s="52"/>
      <c r="ABR12" s="52"/>
      <c r="ABS12" s="52"/>
      <c r="ABT12" s="52"/>
      <c r="ABU12" s="52"/>
      <c r="ABV12" s="52"/>
      <c r="ABW12" s="52"/>
      <c r="ABX12" s="52"/>
      <c r="ABY12" s="52"/>
      <c r="ABZ12" s="52"/>
      <c r="ACA12" s="52"/>
      <c r="ACB12" s="52"/>
      <c r="ACC12" s="52"/>
      <c r="ACD12" s="52"/>
      <c r="ACE12" s="52"/>
      <c r="ACF12" s="52"/>
      <c r="ACG12" s="52"/>
      <c r="ACH12" s="52"/>
      <c r="ACI12" s="52"/>
      <c r="ACJ12" s="52"/>
      <c r="ACK12" s="52"/>
      <c r="ACL12" s="52"/>
      <c r="ACM12" s="52"/>
      <c r="ACN12" s="52"/>
      <c r="ACO12" s="52"/>
      <c r="ACP12" s="52"/>
      <c r="ACQ12" s="52"/>
      <c r="ACR12" s="52"/>
      <c r="ACS12" s="52"/>
      <c r="ACT12" s="52"/>
      <c r="ACU12" s="52"/>
      <c r="ACV12" s="52"/>
      <c r="ACW12" s="52"/>
      <c r="ACX12" s="52"/>
      <c r="ACY12" s="52"/>
      <c r="ACZ12" s="52"/>
      <c r="ADA12" s="52"/>
      <c r="ADB12" s="52"/>
      <c r="ADC12" s="52"/>
      <c r="ADD12" s="52"/>
      <c r="ADE12" s="52"/>
      <c r="ADF12" s="52"/>
      <c r="ADG12" s="52"/>
      <c r="ADH12" s="52"/>
      <c r="ADI12" s="52"/>
      <c r="ADJ12" s="52"/>
      <c r="ADK12" s="52"/>
      <c r="ADL12" s="52"/>
      <c r="ADM12" s="52"/>
      <c r="ADN12" s="52"/>
      <c r="ADO12" s="52"/>
      <c r="ADP12" s="52"/>
      <c r="ADQ12" s="52"/>
      <c r="ADR12" s="52"/>
      <c r="ADS12" s="52"/>
      <c r="ADT12" s="52"/>
      <c r="ADU12" s="52"/>
      <c r="ADV12" s="52"/>
      <c r="ADW12" s="52"/>
      <c r="ADX12" s="52"/>
      <c r="ADY12" s="52"/>
      <c r="ADZ12" s="52"/>
      <c r="AEA12" s="52"/>
      <c r="AEB12" s="52"/>
      <c r="AEC12" s="52"/>
      <c r="AED12" s="52"/>
      <c r="AEE12" s="52"/>
      <c r="AEF12" s="52"/>
      <c r="AEG12" s="52"/>
      <c r="AEH12" s="52"/>
      <c r="AEI12" s="52"/>
      <c r="AEJ12" s="52"/>
      <c r="AEK12" s="52"/>
      <c r="AEL12" s="52"/>
      <c r="AEM12" s="52"/>
      <c r="AEN12" s="52"/>
      <c r="AEO12" s="52"/>
      <c r="AEP12" s="52"/>
      <c r="AEQ12" s="52"/>
      <c r="AER12" s="52"/>
      <c r="AES12" s="52"/>
      <c r="AET12" s="52"/>
      <c r="AEU12" s="52"/>
      <c r="AEV12" s="52"/>
      <c r="AEW12" s="52"/>
      <c r="AEX12" s="52"/>
      <c r="AEY12" s="52"/>
      <c r="AEZ12" s="52"/>
      <c r="AFA12" s="52"/>
      <c r="AFB12" s="52"/>
      <c r="AFC12" s="52"/>
      <c r="AFD12" s="52"/>
      <c r="AFE12" s="52"/>
      <c r="AFF12" s="52"/>
      <c r="AFG12" s="52"/>
      <c r="AFH12" s="52"/>
      <c r="AFI12" s="52"/>
      <c r="AFJ12" s="52"/>
      <c r="AFK12" s="52"/>
      <c r="AFL12" s="52"/>
      <c r="AFM12" s="52"/>
      <c r="AFN12" s="52"/>
      <c r="AFO12" s="52"/>
      <c r="AFP12" s="52"/>
      <c r="AFQ12" s="52"/>
      <c r="AFR12" s="52"/>
      <c r="AFS12" s="52"/>
      <c r="AFT12" s="52"/>
      <c r="AFU12" s="52"/>
      <c r="AFV12" s="52"/>
      <c r="AFW12" s="52"/>
      <c r="AFX12" s="52"/>
      <c r="AFY12" s="52"/>
      <c r="AFZ12" s="52"/>
      <c r="AGA12" s="52"/>
      <c r="AGB12" s="52"/>
      <c r="AGC12" s="52"/>
      <c r="AGD12" s="52"/>
      <c r="AGE12" s="52"/>
      <c r="AGF12" s="52"/>
      <c r="AGG12" s="52"/>
      <c r="AGH12" s="52"/>
      <c r="AGI12" s="52"/>
      <c r="AGJ12" s="52"/>
      <c r="AGK12" s="52"/>
      <c r="AGL12" s="52"/>
      <c r="AGM12" s="52"/>
      <c r="AGN12" s="52"/>
      <c r="AGO12" s="52"/>
      <c r="AGP12" s="52"/>
      <c r="AGQ12" s="52"/>
      <c r="AGR12" s="52"/>
      <c r="AGS12" s="52"/>
      <c r="AGT12" s="52"/>
      <c r="AGU12" s="52"/>
      <c r="AGV12" s="52"/>
      <c r="AGW12" s="52"/>
      <c r="AGX12" s="52"/>
      <c r="AGY12" s="52"/>
      <c r="AGZ12" s="52"/>
      <c r="AHA12" s="52"/>
      <c r="AHB12" s="52"/>
      <c r="AHC12" s="52"/>
      <c r="AHD12" s="52"/>
      <c r="AHE12" s="52"/>
      <c r="AHF12" s="52"/>
      <c r="AHG12" s="52"/>
      <c r="AHH12" s="52"/>
      <c r="AHI12" s="52"/>
      <c r="AHJ12" s="52"/>
      <c r="AHK12" s="52"/>
      <c r="AHL12" s="52"/>
      <c r="AHM12" s="52"/>
      <c r="AHN12" s="52"/>
      <c r="AHO12" s="52"/>
      <c r="AHP12" s="52"/>
      <c r="AHQ12" s="52"/>
      <c r="AHR12" s="52"/>
      <c r="AHS12" s="52"/>
      <c r="AHT12" s="52"/>
      <c r="AHU12" s="52"/>
      <c r="AHV12" s="52"/>
      <c r="AHW12" s="52"/>
      <c r="AHX12" s="52"/>
      <c r="AHY12" s="52"/>
      <c r="AHZ12" s="52"/>
      <c r="AIA12" s="52"/>
      <c r="AIB12" s="52"/>
      <c r="AIC12" s="52"/>
      <c r="AID12" s="52"/>
      <c r="AIE12" s="52"/>
      <c r="AIF12" s="52"/>
      <c r="AIG12" s="52"/>
      <c r="AIH12" s="52"/>
      <c r="AII12" s="52"/>
      <c r="AIJ12" s="52"/>
      <c r="AIK12" s="52"/>
      <c r="AIL12" s="52"/>
      <c r="AIM12" s="52"/>
      <c r="AIN12" s="52"/>
      <c r="AIO12" s="52"/>
      <c r="AIP12" s="52"/>
      <c r="AIQ12" s="52"/>
      <c r="AIR12" s="52"/>
      <c r="AIS12" s="52"/>
      <c r="AIT12" s="52"/>
      <c r="AIU12" s="52"/>
      <c r="AIV12" s="52"/>
      <c r="AIW12" s="52"/>
      <c r="AIX12" s="52"/>
      <c r="AIY12" s="52"/>
      <c r="AIZ12" s="52"/>
      <c r="AJA12" s="52"/>
      <c r="AJB12" s="52"/>
      <c r="AJC12" s="52"/>
      <c r="AJD12" s="52"/>
      <c r="AJE12" s="52"/>
      <c r="AJF12" s="52"/>
      <c r="AJG12" s="52"/>
      <c r="AJH12" s="52"/>
      <c r="AJI12" s="52"/>
      <c r="AJJ12" s="52"/>
      <c r="AJK12" s="52"/>
      <c r="AJL12" s="52"/>
      <c r="AJM12" s="52"/>
      <c r="AJN12" s="52"/>
      <c r="AJO12" s="52"/>
      <c r="AJP12" s="52"/>
      <c r="AJQ12" s="52"/>
      <c r="AJR12" s="52"/>
      <c r="AJS12" s="52"/>
      <c r="AJT12" s="52"/>
      <c r="AJU12" s="52"/>
      <c r="AJV12" s="52"/>
      <c r="AJW12" s="52"/>
      <c r="AJX12" s="52"/>
      <c r="AJY12" s="52"/>
      <c r="AJZ12" s="52"/>
      <c r="AKA12" s="52"/>
      <c r="AKB12" s="52"/>
      <c r="AKC12" s="52"/>
      <c r="AKD12" s="52"/>
      <c r="AKE12" s="52"/>
      <c r="AKF12" s="52"/>
      <c r="AKG12" s="52"/>
      <c r="AKH12" s="52"/>
      <c r="AKI12" s="52"/>
      <c r="AKJ12" s="52"/>
      <c r="AKK12" s="52"/>
      <c r="AKL12" s="52"/>
      <c r="AKM12" s="52"/>
      <c r="AKN12" s="52"/>
      <c r="AKO12" s="52"/>
      <c r="AKP12" s="52"/>
      <c r="AKQ12" s="52"/>
      <c r="AKR12" s="52"/>
      <c r="AKS12" s="52"/>
      <c r="AKT12" s="52"/>
      <c r="AKU12" s="52"/>
      <c r="AKV12" s="52"/>
      <c r="AKW12" s="52"/>
      <c r="AKX12" s="52"/>
      <c r="AKY12" s="52"/>
      <c r="AKZ12" s="52"/>
      <c r="ALA12" s="52"/>
      <c r="ALB12" s="52"/>
      <c r="ALC12" s="52"/>
      <c r="ALD12" s="52"/>
      <c r="ALE12" s="52"/>
      <c r="ALF12" s="52"/>
      <c r="ALG12" s="52"/>
      <c r="ALH12" s="52"/>
      <c r="ALI12" s="52"/>
      <c r="ALJ12" s="52"/>
      <c r="ALK12" s="52"/>
      <c r="ALL12" s="52"/>
      <c r="ALM12" s="52"/>
      <c r="ALN12" s="52"/>
      <c r="ALO12" s="52"/>
      <c r="ALP12" s="52"/>
      <c r="ALQ12" s="52"/>
      <c r="ALR12" s="52"/>
      <c r="ALS12" s="52"/>
      <c r="ALT12" s="52"/>
      <c r="ALU12" s="52"/>
      <c r="ALV12" s="52"/>
      <c r="ALW12" s="52"/>
      <c r="ALX12" s="52"/>
      <c r="ALY12" s="52"/>
      <c r="ALZ12" s="52"/>
      <c r="AMA12" s="52"/>
      <c r="AMB12" s="52"/>
      <c r="AMC12" s="52"/>
      <c r="AMD12" s="52"/>
      <c r="AME12" s="52"/>
      <c r="AMF12" s="52"/>
      <c r="AMG12" s="52"/>
      <c r="AMH12" s="52"/>
      <c r="AMI12" s="52"/>
      <c r="AMJ12" s="52"/>
      <c r="AMK12" s="52"/>
      <c r="AML12" s="52"/>
    </row>
    <row r="13" ht="15.75" customHeight="1">
      <c r="A13" s="8"/>
      <c r="B13" s="48" t="s">
        <v>46</v>
      </c>
      <c r="C13" s="33"/>
      <c r="D13" s="33"/>
      <c r="E13" s="49">
        <v>10.0</v>
      </c>
      <c r="F13" s="50"/>
      <c r="G13" s="48" t="s">
        <v>63</v>
      </c>
      <c r="H13" s="33"/>
      <c r="I13" s="50"/>
      <c r="J13" s="50"/>
      <c r="K13" s="49">
        <v>10.0</v>
      </c>
      <c r="L13" s="49">
        <v>10.0</v>
      </c>
      <c r="M13" s="50"/>
      <c r="N13" s="33"/>
      <c r="O13" s="48" t="s">
        <v>64</v>
      </c>
      <c r="P13" s="33"/>
      <c r="Q13" s="33"/>
      <c r="R13" s="50"/>
      <c r="S13" s="50"/>
      <c r="T13" s="33"/>
      <c r="U13" s="50"/>
      <c r="V13" s="50"/>
      <c r="W13" s="33"/>
      <c r="X13" s="50"/>
      <c r="Y13" s="33"/>
      <c r="Z13" s="33"/>
      <c r="AA13" s="33"/>
      <c r="AB13" s="33"/>
      <c r="AC13" s="50"/>
      <c r="AD13" s="33"/>
      <c r="AE13" s="49">
        <v>10.0</v>
      </c>
      <c r="AF13" s="50"/>
      <c r="AG13" s="33"/>
      <c r="AH13" s="50"/>
      <c r="AI13" s="33"/>
      <c r="AJ13" s="50"/>
      <c r="AK13" s="33"/>
      <c r="AL13" s="33"/>
      <c r="AM13" s="33"/>
      <c r="AN13" s="33"/>
      <c r="AO13" s="51"/>
      <c r="AP13" s="33"/>
      <c r="AQ13" s="51"/>
      <c r="AR13" s="51"/>
      <c r="AS13" s="51"/>
      <c r="AT13" s="50"/>
      <c r="AU13" s="50"/>
      <c r="AV13" s="50"/>
      <c r="AW13" s="50"/>
      <c r="AX13" s="50"/>
      <c r="AY13" s="50"/>
      <c r="AZ13" s="33"/>
      <c r="BA13" s="50"/>
      <c r="BB13" s="50"/>
      <c r="BC13" s="33"/>
      <c r="BD13" s="50"/>
      <c r="BE13" s="33"/>
      <c r="BF13" s="50"/>
      <c r="BG13" s="50"/>
      <c r="BH13" s="50"/>
      <c r="BI13" s="33"/>
      <c r="BJ13" s="49">
        <v>10.0</v>
      </c>
      <c r="BK13" s="50"/>
      <c r="BL13" s="50"/>
      <c r="BM13" s="33"/>
      <c r="BN13" s="33"/>
      <c r="BO13" s="48" t="s">
        <v>42</v>
      </c>
      <c r="BP13" s="33"/>
      <c r="BQ13" s="50"/>
      <c r="BR13" s="50"/>
      <c r="BS13" s="48" t="s">
        <v>65</v>
      </c>
      <c r="BT13" s="48" t="s">
        <v>18</v>
      </c>
      <c r="BU13" s="33"/>
      <c r="BV13" s="50"/>
      <c r="BW13" s="50"/>
      <c r="BX13" s="50"/>
      <c r="BY13" s="50"/>
      <c r="BZ13" s="33"/>
      <c r="CA13" s="33"/>
      <c r="CB13" s="33"/>
      <c r="CC13" s="33"/>
      <c r="CD13" s="33"/>
      <c r="CE13" s="33"/>
      <c r="CF13" s="50"/>
      <c r="CG13" s="33"/>
      <c r="CH13" s="50"/>
      <c r="CI13" s="33"/>
      <c r="CJ13" s="33"/>
      <c r="CK13" s="50"/>
      <c r="CL13" s="33"/>
      <c r="CM13" s="50"/>
      <c r="CN13" s="33"/>
      <c r="CO13" s="33"/>
      <c r="CP13" s="33"/>
      <c r="CQ13" s="33"/>
      <c r="CR13" s="50"/>
      <c r="CS13" s="50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50"/>
      <c r="FF13" s="33"/>
      <c r="FG13" s="33"/>
      <c r="FH13" s="50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J13" s="52"/>
      <c r="JK13" s="52"/>
      <c r="JL13" s="52"/>
      <c r="JM13" s="52"/>
      <c r="JN13" s="52"/>
      <c r="JO13" s="52"/>
      <c r="JP13" s="52"/>
      <c r="JQ13" s="52"/>
      <c r="JR13" s="52"/>
      <c r="JS13" s="52"/>
      <c r="JT13" s="52"/>
      <c r="JU13" s="52"/>
      <c r="JV13" s="52"/>
      <c r="JW13" s="52"/>
      <c r="JX13" s="52"/>
      <c r="JY13" s="52"/>
      <c r="JZ13" s="52"/>
      <c r="KA13" s="52"/>
      <c r="KB13" s="52"/>
      <c r="KC13" s="52"/>
      <c r="KD13" s="52"/>
      <c r="KE13" s="52"/>
      <c r="KF13" s="52"/>
      <c r="KG13" s="52"/>
      <c r="KH13" s="52"/>
      <c r="KI13" s="52"/>
      <c r="KJ13" s="52"/>
      <c r="KK13" s="52"/>
      <c r="KL13" s="52"/>
      <c r="KM13" s="52"/>
      <c r="KN13" s="52"/>
      <c r="KO13" s="52"/>
      <c r="KP13" s="52"/>
      <c r="KQ13" s="52"/>
      <c r="KR13" s="52"/>
      <c r="KS13" s="52"/>
      <c r="KT13" s="52"/>
      <c r="KU13" s="52"/>
      <c r="KV13" s="52"/>
      <c r="KW13" s="52"/>
      <c r="KX13" s="52"/>
      <c r="KY13" s="52"/>
      <c r="KZ13" s="52"/>
      <c r="LA13" s="52"/>
      <c r="LB13" s="52"/>
      <c r="LC13" s="52"/>
      <c r="LD13" s="52"/>
      <c r="LE13" s="52"/>
      <c r="LF13" s="52"/>
      <c r="LG13" s="52"/>
      <c r="LH13" s="52"/>
      <c r="LI13" s="52"/>
      <c r="LJ13" s="52"/>
      <c r="LK13" s="52"/>
      <c r="LL13" s="52"/>
      <c r="LM13" s="52"/>
      <c r="LN13" s="52"/>
      <c r="LO13" s="52"/>
      <c r="LP13" s="52"/>
      <c r="LQ13" s="52"/>
      <c r="LR13" s="52"/>
      <c r="LS13" s="52"/>
      <c r="LT13" s="52"/>
      <c r="LU13" s="52"/>
      <c r="LV13" s="52"/>
      <c r="LW13" s="52"/>
      <c r="LX13" s="52"/>
      <c r="LY13" s="52"/>
      <c r="LZ13" s="52"/>
      <c r="MA13" s="52"/>
      <c r="MB13" s="52"/>
      <c r="MC13" s="52"/>
      <c r="MD13" s="52"/>
      <c r="ME13" s="52"/>
      <c r="MF13" s="52"/>
      <c r="MG13" s="52"/>
      <c r="MH13" s="52"/>
      <c r="MI13" s="52"/>
      <c r="MJ13" s="52"/>
      <c r="MK13" s="52"/>
      <c r="ML13" s="52"/>
      <c r="MM13" s="52"/>
      <c r="MN13" s="52"/>
      <c r="MO13" s="52"/>
      <c r="MP13" s="52"/>
      <c r="MQ13" s="52"/>
      <c r="MR13" s="52"/>
      <c r="MS13" s="52"/>
      <c r="MT13" s="52"/>
      <c r="MU13" s="52"/>
      <c r="MV13" s="52"/>
      <c r="MW13" s="52"/>
      <c r="MX13" s="52"/>
      <c r="MY13" s="52"/>
      <c r="MZ13" s="52"/>
      <c r="NA13" s="52"/>
      <c r="NB13" s="52"/>
      <c r="NC13" s="52"/>
      <c r="ND13" s="52"/>
      <c r="NE13" s="52"/>
      <c r="NF13" s="52"/>
      <c r="NG13" s="52"/>
      <c r="NH13" s="52"/>
      <c r="NI13" s="52"/>
      <c r="NJ13" s="52"/>
      <c r="NK13" s="52"/>
      <c r="NL13" s="52"/>
      <c r="NM13" s="52"/>
      <c r="NN13" s="52"/>
      <c r="NO13" s="52"/>
      <c r="NP13" s="52"/>
      <c r="NQ13" s="52"/>
      <c r="NR13" s="52"/>
      <c r="NS13" s="52"/>
      <c r="NT13" s="52"/>
      <c r="NU13" s="52"/>
      <c r="NV13" s="52"/>
      <c r="NW13" s="52"/>
      <c r="NX13" s="52"/>
      <c r="NY13" s="52"/>
      <c r="NZ13" s="52"/>
      <c r="OA13" s="52"/>
      <c r="OB13" s="52"/>
      <c r="OC13" s="52"/>
      <c r="OD13" s="52"/>
      <c r="OE13" s="52"/>
      <c r="OF13" s="52"/>
      <c r="OG13" s="52"/>
      <c r="OH13" s="52"/>
      <c r="OI13" s="52"/>
      <c r="OJ13" s="52"/>
      <c r="OK13" s="52"/>
      <c r="OL13" s="52"/>
      <c r="OM13" s="52"/>
      <c r="ON13" s="52"/>
      <c r="OO13" s="52"/>
      <c r="OP13" s="52"/>
      <c r="OQ13" s="52"/>
      <c r="OR13" s="52"/>
      <c r="OS13" s="52"/>
      <c r="OT13" s="52"/>
      <c r="OU13" s="52"/>
      <c r="OV13" s="52"/>
      <c r="OW13" s="52"/>
      <c r="OX13" s="52"/>
      <c r="OY13" s="52"/>
      <c r="OZ13" s="52"/>
      <c r="PA13" s="52"/>
      <c r="PB13" s="52"/>
      <c r="PC13" s="52"/>
      <c r="PD13" s="52"/>
      <c r="PE13" s="52"/>
      <c r="PF13" s="52"/>
      <c r="PG13" s="52"/>
      <c r="PH13" s="52"/>
      <c r="PI13" s="52"/>
      <c r="PJ13" s="52"/>
      <c r="PK13" s="52"/>
      <c r="PL13" s="52"/>
      <c r="PM13" s="52"/>
      <c r="PN13" s="52"/>
      <c r="PO13" s="52"/>
      <c r="PP13" s="52"/>
      <c r="PQ13" s="52"/>
      <c r="PR13" s="52"/>
      <c r="PS13" s="52"/>
      <c r="PT13" s="52"/>
      <c r="PU13" s="52"/>
      <c r="PV13" s="52"/>
      <c r="PW13" s="52"/>
      <c r="PX13" s="52"/>
      <c r="PY13" s="52"/>
      <c r="PZ13" s="52"/>
      <c r="QA13" s="52"/>
      <c r="QB13" s="52"/>
      <c r="QC13" s="52"/>
      <c r="QD13" s="52"/>
      <c r="QE13" s="52"/>
      <c r="QF13" s="52"/>
      <c r="QG13" s="52"/>
      <c r="QH13" s="52"/>
      <c r="QI13" s="52"/>
      <c r="QJ13" s="52"/>
      <c r="QK13" s="52"/>
      <c r="QL13" s="52"/>
      <c r="QM13" s="52"/>
      <c r="QN13" s="52"/>
      <c r="QO13" s="52"/>
      <c r="QP13" s="52"/>
      <c r="QQ13" s="52"/>
      <c r="QR13" s="52"/>
      <c r="QS13" s="52"/>
      <c r="QT13" s="52"/>
      <c r="QU13" s="52"/>
      <c r="QV13" s="52"/>
      <c r="QW13" s="52"/>
      <c r="QX13" s="52"/>
      <c r="QY13" s="52"/>
      <c r="QZ13" s="52"/>
      <c r="RA13" s="52"/>
      <c r="RB13" s="52"/>
      <c r="RC13" s="52"/>
      <c r="RD13" s="52"/>
      <c r="RE13" s="52"/>
      <c r="RF13" s="52"/>
      <c r="RG13" s="52"/>
      <c r="RH13" s="52"/>
      <c r="RI13" s="52"/>
      <c r="RJ13" s="52"/>
      <c r="RK13" s="52"/>
      <c r="RL13" s="52"/>
      <c r="RM13" s="52"/>
      <c r="RN13" s="52"/>
      <c r="RO13" s="52"/>
      <c r="RP13" s="52"/>
      <c r="RQ13" s="52"/>
      <c r="RR13" s="52"/>
      <c r="RS13" s="52"/>
      <c r="RT13" s="52"/>
      <c r="RU13" s="52"/>
      <c r="RV13" s="52"/>
      <c r="RW13" s="52"/>
      <c r="RX13" s="52"/>
      <c r="RY13" s="52"/>
      <c r="RZ13" s="52"/>
      <c r="SA13" s="52"/>
      <c r="SB13" s="52"/>
      <c r="SC13" s="52"/>
      <c r="SD13" s="52"/>
      <c r="SE13" s="52"/>
      <c r="SF13" s="52"/>
      <c r="SG13" s="52"/>
      <c r="SH13" s="52"/>
      <c r="SI13" s="52"/>
      <c r="SJ13" s="52"/>
      <c r="SK13" s="52"/>
      <c r="SL13" s="52"/>
      <c r="SM13" s="52"/>
      <c r="SN13" s="52"/>
      <c r="SO13" s="52"/>
      <c r="SP13" s="52"/>
      <c r="SQ13" s="52"/>
      <c r="SR13" s="52"/>
      <c r="SS13" s="52"/>
      <c r="ST13" s="52"/>
      <c r="SU13" s="52"/>
      <c r="SV13" s="52"/>
      <c r="SW13" s="52"/>
      <c r="SX13" s="52"/>
      <c r="SY13" s="52"/>
      <c r="SZ13" s="52"/>
      <c r="TA13" s="52"/>
      <c r="TB13" s="52"/>
      <c r="TC13" s="52"/>
      <c r="TD13" s="52"/>
      <c r="TE13" s="52"/>
      <c r="TF13" s="52"/>
      <c r="TG13" s="52"/>
      <c r="TH13" s="52"/>
      <c r="TI13" s="52"/>
      <c r="TJ13" s="52"/>
      <c r="TK13" s="52"/>
      <c r="TL13" s="52"/>
      <c r="TM13" s="52"/>
      <c r="TN13" s="52"/>
      <c r="TO13" s="52"/>
      <c r="TP13" s="52"/>
      <c r="TQ13" s="52"/>
      <c r="TR13" s="52"/>
      <c r="TS13" s="52"/>
      <c r="TT13" s="52"/>
      <c r="TU13" s="52"/>
      <c r="TV13" s="52"/>
      <c r="TW13" s="52"/>
      <c r="TX13" s="52"/>
      <c r="TY13" s="52"/>
      <c r="TZ13" s="52"/>
      <c r="UA13" s="52"/>
      <c r="UB13" s="52"/>
      <c r="UC13" s="52"/>
      <c r="UD13" s="52"/>
      <c r="UE13" s="52"/>
      <c r="UF13" s="52"/>
      <c r="UG13" s="52"/>
      <c r="UH13" s="52"/>
      <c r="UI13" s="52"/>
      <c r="UJ13" s="52"/>
      <c r="UK13" s="52"/>
      <c r="UL13" s="52"/>
      <c r="UM13" s="52"/>
      <c r="UN13" s="52"/>
      <c r="UO13" s="52"/>
      <c r="UP13" s="52"/>
      <c r="UQ13" s="52"/>
      <c r="UR13" s="52"/>
      <c r="US13" s="52"/>
      <c r="UT13" s="52"/>
      <c r="UU13" s="52"/>
      <c r="UV13" s="52"/>
      <c r="UW13" s="52"/>
      <c r="UX13" s="52"/>
      <c r="UY13" s="52"/>
      <c r="UZ13" s="52"/>
      <c r="VA13" s="52"/>
      <c r="VB13" s="52"/>
      <c r="VC13" s="52"/>
      <c r="VD13" s="52"/>
      <c r="VE13" s="52"/>
      <c r="VF13" s="52"/>
      <c r="VG13" s="52"/>
      <c r="VH13" s="52"/>
      <c r="VI13" s="52"/>
      <c r="VJ13" s="52"/>
      <c r="VK13" s="52"/>
      <c r="VL13" s="52"/>
      <c r="VM13" s="52"/>
      <c r="VN13" s="52"/>
      <c r="VO13" s="52"/>
      <c r="VP13" s="52"/>
      <c r="VQ13" s="52"/>
      <c r="VR13" s="52"/>
      <c r="VS13" s="52"/>
      <c r="VT13" s="52"/>
      <c r="VU13" s="52"/>
      <c r="VV13" s="52"/>
      <c r="VW13" s="52"/>
      <c r="VX13" s="52"/>
      <c r="VY13" s="52"/>
      <c r="VZ13" s="52"/>
      <c r="WA13" s="52"/>
      <c r="WB13" s="52"/>
      <c r="WC13" s="52"/>
      <c r="WD13" s="52"/>
      <c r="WE13" s="52"/>
      <c r="WF13" s="52"/>
      <c r="WG13" s="52"/>
      <c r="WH13" s="52"/>
      <c r="WI13" s="52"/>
      <c r="WJ13" s="52"/>
      <c r="WK13" s="52"/>
      <c r="WL13" s="52"/>
      <c r="WM13" s="52"/>
      <c r="WN13" s="52"/>
      <c r="WO13" s="52"/>
      <c r="WP13" s="52"/>
      <c r="WQ13" s="52"/>
      <c r="WR13" s="52"/>
      <c r="WS13" s="52"/>
      <c r="WT13" s="52"/>
      <c r="WU13" s="52"/>
      <c r="WV13" s="52"/>
      <c r="WW13" s="52"/>
      <c r="WX13" s="52"/>
      <c r="WY13" s="52"/>
      <c r="WZ13" s="52"/>
      <c r="XA13" s="52"/>
      <c r="XB13" s="52"/>
      <c r="XC13" s="52"/>
      <c r="XD13" s="52"/>
      <c r="XE13" s="52"/>
      <c r="XF13" s="52"/>
      <c r="XG13" s="52"/>
      <c r="XH13" s="52"/>
      <c r="XI13" s="52"/>
      <c r="XJ13" s="52"/>
      <c r="XK13" s="52"/>
      <c r="XL13" s="52"/>
      <c r="XM13" s="52"/>
      <c r="XN13" s="52"/>
      <c r="XO13" s="52"/>
      <c r="XP13" s="52"/>
      <c r="XQ13" s="52"/>
      <c r="XR13" s="52"/>
      <c r="XS13" s="52"/>
      <c r="XT13" s="52"/>
      <c r="XU13" s="52"/>
      <c r="XV13" s="52"/>
      <c r="XW13" s="52"/>
      <c r="XX13" s="52"/>
      <c r="XY13" s="52"/>
      <c r="XZ13" s="52"/>
      <c r="YA13" s="52"/>
      <c r="YB13" s="52"/>
      <c r="YC13" s="52"/>
      <c r="YD13" s="52"/>
      <c r="YE13" s="52"/>
      <c r="YF13" s="52"/>
      <c r="YG13" s="52"/>
      <c r="YH13" s="52"/>
      <c r="YI13" s="52"/>
      <c r="YJ13" s="52"/>
      <c r="YK13" s="52"/>
      <c r="YL13" s="52"/>
      <c r="YM13" s="52"/>
      <c r="YN13" s="52"/>
      <c r="YO13" s="52"/>
      <c r="YP13" s="52"/>
      <c r="YQ13" s="52"/>
      <c r="YR13" s="52"/>
      <c r="YS13" s="52"/>
      <c r="YT13" s="52"/>
      <c r="YU13" s="52"/>
      <c r="YV13" s="52"/>
      <c r="YW13" s="52"/>
      <c r="YX13" s="52"/>
      <c r="YY13" s="52"/>
      <c r="YZ13" s="52"/>
      <c r="ZA13" s="52"/>
      <c r="ZB13" s="52"/>
      <c r="ZC13" s="52"/>
      <c r="ZD13" s="52"/>
      <c r="ZE13" s="52"/>
      <c r="ZF13" s="52"/>
      <c r="ZG13" s="52"/>
      <c r="ZH13" s="52"/>
      <c r="ZI13" s="52"/>
      <c r="ZJ13" s="52"/>
      <c r="ZK13" s="52"/>
      <c r="ZL13" s="52"/>
      <c r="ZM13" s="52"/>
      <c r="ZN13" s="52"/>
      <c r="ZO13" s="52"/>
      <c r="ZP13" s="52"/>
      <c r="ZQ13" s="52"/>
      <c r="ZR13" s="52"/>
      <c r="ZS13" s="52"/>
      <c r="ZT13" s="52"/>
      <c r="ZU13" s="52"/>
      <c r="ZV13" s="52"/>
      <c r="ZW13" s="52"/>
      <c r="ZX13" s="52"/>
      <c r="ZY13" s="52"/>
      <c r="ZZ13" s="52"/>
      <c r="AAA13" s="52"/>
      <c r="AAB13" s="52"/>
      <c r="AAC13" s="52"/>
      <c r="AAD13" s="52"/>
      <c r="AAE13" s="52"/>
      <c r="AAF13" s="52"/>
      <c r="AAG13" s="52"/>
      <c r="AAH13" s="52"/>
      <c r="AAI13" s="52"/>
      <c r="AAJ13" s="52"/>
      <c r="AAK13" s="52"/>
      <c r="AAL13" s="52"/>
      <c r="AAM13" s="52"/>
      <c r="AAN13" s="52"/>
      <c r="AAO13" s="52"/>
      <c r="AAP13" s="52"/>
      <c r="AAQ13" s="52"/>
      <c r="AAR13" s="52"/>
      <c r="AAS13" s="52"/>
      <c r="AAT13" s="52"/>
      <c r="AAU13" s="52"/>
      <c r="AAV13" s="52"/>
      <c r="AAW13" s="52"/>
      <c r="AAX13" s="52"/>
      <c r="AAY13" s="52"/>
      <c r="AAZ13" s="52"/>
      <c r="ABA13" s="52"/>
      <c r="ABB13" s="52"/>
      <c r="ABC13" s="52"/>
      <c r="ABD13" s="52"/>
      <c r="ABE13" s="52"/>
      <c r="ABF13" s="52"/>
      <c r="ABG13" s="52"/>
      <c r="ABH13" s="52"/>
      <c r="ABI13" s="52"/>
      <c r="ABJ13" s="52"/>
      <c r="ABK13" s="52"/>
      <c r="ABL13" s="52"/>
      <c r="ABM13" s="52"/>
      <c r="ABN13" s="52"/>
      <c r="ABO13" s="52"/>
      <c r="ABP13" s="52"/>
      <c r="ABQ13" s="52"/>
      <c r="ABR13" s="52"/>
      <c r="ABS13" s="52"/>
      <c r="ABT13" s="52"/>
      <c r="ABU13" s="52"/>
      <c r="ABV13" s="52"/>
      <c r="ABW13" s="52"/>
      <c r="ABX13" s="52"/>
      <c r="ABY13" s="52"/>
      <c r="ABZ13" s="52"/>
      <c r="ACA13" s="52"/>
      <c r="ACB13" s="52"/>
      <c r="ACC13" s="52"/>
      <c r="ACD13" s="52"/>
      <c r="ACE13" s="52"/>
      <c r="ACF13" s="52"/>
      <c r="ACG13" s="52"/>
      <c r="ACH13" s="52"/>
      <c r="ACI13" s="52"/>
      <c r="ACJ13" s="52"/>
      <c r="ACK13" s="52"/>
      <c r="ACL13" s="52"/>
      <c r="ACM13" s="52"/>
      <c r="ACN13" s="52"/>
      <c r="ACO13" s="52"/>
      <c r="ACP13" s="52"/>
      <c r="ACQ13" s="52"/>
      <c r="ACR13" s="52"/>
      <c r="ACS13" s="52"/>
      <c r="ACT13" s="52"/>
      <c r="ACU13" s="52"/>
      <c r="ACV13" s="52"/>
      <c r="ACW13" s="52"/>
      <c r="ACX13" s="52"/>
      <c r="ACY13" s="52"/>
      <c r="ACZ13" s="52"/>
      <c r="ADA13" s="52"/>
      <c r="ADB13" s="52"/>
      <c r="ADC13" s="52"/>
      <c r="ADD13" s="52"/>
      <c r="ADE13" s="52"/>
      <c r="ADF13" s="52"/>
      <c r="ADG13" s="52"/>
      <c r="ADH13" s="52"/>
      <c r="ADI13" s="52"/>
      <c r="ADJ13" s="52"/>
      <c r="ADK13" s="52"/>
      <c r="ADL13" s="52"/>
      <c r="ADM13" s="52"/>
      <c r="ADN13" s="52"/>
      <c r="ADO13" s="52"/>
      <c r="ADP13" s="52"/>
      <c r="ADQ13" s="52"/>
      <c r="ADR13" s="52"/>
      <c r="ADS13" s="52"/>
      <c r="ADT13" s="52"/>
      <c r="ADU13" s="52"/>
      <c r="ADV13" s="52"/>
      <c r="ADW13" s="52"/>
      <c r="ADX13" s="52"/>
      <c r="ADY13" s="52"/>
      <c r="ADZ13" s="52"/>
      <c r="AEA13" s="52"/>
      <c r="AEB13" s="52"/>
      <c r="AEC13" s="52"/>
      <c r="AED13" s="52"/>
      <c r="AEE13" s="52"/>
      <c r="AEF13" s="52"/>
      <c r="AEG13" s="52"/>
      <c r="AEH13" s="52"/>
      <c r="AEI13" s="52"/>
      <c r="AEJ13" s="52"/>
      <c r="AEK13" s="52"/>
      <c r="AEL13" s="52"/>
      <c r="AEM13" s="52"/>
      <c r="AEN13" s="52"/>
      <c r="AEO13" s="52"/>
      <c r="AEP13" s="52"/>
      <c r="AEQ13" s="52"/>
      <c r="AER13" s="52"/>
      <c r="AES13" s="52"/>
      <c r="AET13" s="52"/>
      <c r="AEU13" s="52"/>
      <c r="AEV13" s="52"/>
      <c r="AEW13" s="52"/>
      <c r="AEX13" s="52"/>
      <c r="AEY13" s="52"/>
      <c r="AEZ13" s="52"/>
      <c r="AFA13" s="52"/>
      <c r="AFB13" s="52"/>
      <c r="AFC13" s="52"/>
      <c r="AFD13" s="52"/>
      <c r="AFE13" s="52"/>
      <c r="AFF13" s="52"/>
      <c r="AFG13" s="52"/>
      <c r="AFH13" s="52"/>
      <c r="AFI13" s="52"/>
      <c r="AFJ13" s="52"/>
      <c r="AFK13" s="52"/>
      <c r="AFL13" s="52"/>
      <c r="AFM13" s="52"/>
      <c r="AFN13" s="52"/>
      <c r="AFO13" s="52"/>
      <c r="AFP13" s="52"/>
      <c r="AFQ13" s="52"/>
      <c r="AFR13" s="52"/>
      <c r="AFS13" s="52"/>
      <c r="AFT13" s="52"/>
      <c r="AFU13" s="52"/>
      <c r="AFV13" s="52"/>
      <c r="AFW13" s="52"/>
      <c r="AFX13" s="52"/>
      <c r="AFY13" s="52"/>
      <c r="AFZ13" s="52"/>
      <c r="AGA13" s="52"/>
      <c r="AGB13" s="52"/>
      <c r="AGC13" s="52"/>
      <c r="AGD13" s="52"/>
      <c r="AGE13" s="52"/>
      <c r="AGF13" s="52"/>
      <c r="AGG13" s="52"/>
      <c r="AGH13" s="52"/>
      <c r="AGI13" s="52"/>
      <c r="AGJ13" s="52"/>
      <c r="AGK13" s="52"/>
      <c r="AGL13" s="52"/>
      <c r="AGM13" s="52"/>
      <c r="AGN13" s="52"/>
      <c r="AGO13" s="52"/>
      <c r="AGP13" s="52"/>
      <c r="AGQ13" s="52"/>
      <c r="AGR13" s="52"/>
      <c r="AGS13" s="52"/>
      <c r="AGT13" s="52"/>
      <c r="AGU13" s="52"/>
      <c r="AGV13" s="52"/>
      <c r="AGW13" s="52"/>
      <c r="AGX13" s="52"/>
      <c r="AGY13" s="52"/>
      <c r="AGZ13" s="52"/>
      <c r="AHA13" s="52"/>
      <c r="AHB13" s="52"/>
      <c r="AHC13" s="52"/>
      <c r="AHD13" s="52"/>
      <c r="AHE13" s="52"/>
      <c r="AHF13" s="52"/>
      <c r="AHG13" s="52"/>
      <c r="AHH13" s="52"/>
      <c r="AHI13" s="52"/>
      <c r="AHJ13" s="52"/>
      <c r="AHK13" s="52"/>
      <c r="AHL13" s="52"/>
      <c r="AHM13" s="52"/>
      <c r="AHN13" s="52"/>
      <c r="AHO13" s="52"/>
      <c r="AHP13" s="52"/>
      <c r="AHQ13" s="52"/>
      <c r="AHR13" s="52"/>
      <c r="AHS13" s="52"/>
      <c r="AHT13" s="52"/>
      <c r="AHU13" s="52"/>
      <c r="AHV13" s="52"/>
      <c r="AHW13" s="52"/>
      <c r="AHX13" s="52"/>
      <c r="AHY13" s="52"/>
      <c r="AHZ13" s="52"/>
      <c r="AIA13" s="52"/>
      <c r="AIB13" s="52"/>
      <c r="AIC13" s="52"/>
      <c r="AID13" s="52"/>
      <c r="AIE13" s="52"/>
      <c r="AIF13" s="52"/>
      <c r="AIG13" s="52"/>
      <c r="AIH13" s="52"/>
      <c r="AII13" s="52"/>
      <c r="AIJ13" s="52"/>
      <c r="AIK13" s="52"/>
      <c r="AIL13" s="52"/>
      <c r="AIM13" s="52"/>
      <c r="AIN13" s="52"/>
      <c r="AIO13" s="52"/>
      <c r="AIP13" s="52"/>
      <c r="AIQ13" s="52"/>
      <c r="AIR13" s="52"/>
      <c r="AIS13" s="52"/>
      <c r="AIT13" s="52"/>
      <c r="AIU13" s="52"/>
      <c r="AIV13" s="52"/>
      <c r="AIW13" s="52"/>
      <c r="AIX13" s="52"/>
      <c r="AIY13" s="52"/>
      <c r="AIZ13" s="52"/>
      <c r="AJA13" s="52"/>
      <c r="AJB13" s="52"/>
      <c r="AJC13" s="52"/>
      <c r="AJD13" s="52"/>
      <c r="AJE13" s="52"/>
      <c r="AJF13" s="52"/>
      <c r="AJG13" s="52"/>
      <c r="AJH13" s="52"/>
      <c r="AJI13" s="52"/>
      <c r="AJJ13" s="52"/>
      <c r="AJK13" s="52"/>
      <c r="AJL13" s="52"/>
      <c r="AJM13" s="52"/>
      <c r="AJN13" s="52"/>
      <c r="AJO13" s="52"/>
      <c r="AJP13" s="52"/>
      <c r="AJQ13" s="52"/>
      <c r="AJR13" s="52"/>
      <c r="AJS13" s="52"/>
      <c r="AJT13" s="52"/>
      <c r="AJU13" s="52"/>
      <c r="AJV13" s="52"/>
      <c r="AJW13" s="52"/>
      <c r="AJX13" s="52"/>
      <c r="AJY13" s="52"/>
      <c r="AJZ13" s="52"/>
      <c r="AKA13" s="52"/>
      <c r="AKB13" s="52"/>
      <c r="AKC13" s="52"/>
      <c r="AKD13" s="52"/>
      <c r="AKE13" s="52"/>
      <c r="AKF13" s="52"/>
      <c r="AKG13" s="52"/>
      <c r="AKH13" s="52"/>
      <c r="AKI13" s="52"/>
      <c r="AKJ13" s="52"/>
      <c r="AKK13" s="52"/>
      <c r="AKL13" s="52"/>
      <c r="AKM13" s="52"/>
      <c r="AKN13" s="52"/>
      <c r="AKO13" s="52"/>
      <c r="AKP13" s="52"/>
      <c r="AKQ13" s="52"/>
      <c r="AKR13" s="52"/>
      <c r="AKS13" s="52"/>
      <c r="AKT13" s="52"/>
      <c r="AKU13" s="52"/>
      <c r="AKV13" s="52"/>
      <c r="AKW13" s="52"/>
      <c r="AKX13" s="52"/>
      <c r="AKY13" s="52"/>
      <c r="AKZ13" s="52"/>
      <c r="ALA13" s="52"/>
      <c r="ALB13" s="52"/>
      <c r="ALC13" s="52"/>
      <c r="ALD13" s="52"/>
      <c r="ALE13" s="52"/>
      <c r="ALF13" s="52"/>
      <c r="ALG13" s="52"/>
      <c r="ALH13" s="52"/>
      <c r="ALI13" s="52"/>
      <c r="ALJ13" s="52"/>
      <c r="ALK13" s="52"/>
      <c r="ALL13" s="52"/>
      <c r="ALM13" s="52"/>
      <c r="ALN13" s="52"/>
      <c r="ALO13" s="52"/>
      <c r="ALP13" s="52"/>
      <c r="ALQ13" s="52"/>
      <c r="ALR13" s="52"/>
      <c r="ALS13" s="52"/>
      <c r="ALT13" s="52"/>
      <c r="ALU13" s="52"/>
      <c r="ALV13" s="52"/>
      <c r="ALW13" s="52"/>
      <c r="ALX13" s="52"/>
      <c r="ALY13" s="52"/>
      <c r="ALZ13" s="52"/>
      <c r="AMA13" s="52"/>
      <c r="AMB13" s="52"/>
      <c r="AMC13" s="52"/>
      <c r="AMD13" s="52"/>
      <c r="AME13" s="52"/>
      <c r="AMF13" s="52"/>
      <c r="AMG13" s="52"/>
      <c r="AMH13" s="52"/>
      <c r="AMI13" s="52"/>
      <c r="AMJ13" s="52"/>
      <c r="AMK13" s="52"/>
      <c r="AML13" s="52"/>
    </row>
    <row r="14" ht="15.75" customHeight="1">
      <c r="A14" s="8"/>
      <c r="B14" s="48" t="s">
        <v>46</v>
      </c>
      <c r="C14" s="33"/>
      <c r="D14" s="33"/>
      <c r="E14" s="49">
        <v>10.0</v>
      </c>
      <c r="F14" s="50"/>
      <c r="G14" s="48" t="s">
        <v>63</v>
      </c>
      <c r="H14" s="33"/>
      <c r="I14" s="50"/>
      <c r="J14" s="50"/>
      <c r="K14" s="49">
        <v>10.0</v>
      </c>
      <c r="L14" s="49">
        <v>10.0</v>
      </c>
      <c r="M14" s="50"/>
      <c r="N14" s="33"/>
      <c r="O14" s="48" t="s">
        <v>64</v>
      </c>
      <c r="P14" s="33"/>
      <c r="Q14" s="33"/>
      <c r="R14" s="50"/>
      <c r="S14" s="50"/>
      <c r="T14" s="33"/>
      <c r="U14" s="50"/>
      <c r="V14" s="50"/>
      <c r="W14" s="33"/>
      <c r="X14" s="50"/>
      <c r="Y14" s="33"/>
      <c r="Z14" s="33"/>
      <c r="AA14" s="33"/>
      <c r="AB14" s="33"/>
      <c r="AC14" s="50"/>
      <c r="AD14" s="33"/>
      <c r="AE14" s="49">
        <v>10.0</v>
      </c>
      <c r="AF14" s="50"/>
      <c r="AG14" s="33"/>
      <c r="AH14" s="50"/>
      <c r="AI14" s="33"/>
      <c r="AJ14" s="50"/>
      <c r="AK14" s="33"/>
      <c r="AL14" s="33"/>
      <c r="AM14" s="33"/>
      <c r="AN14" s="33"/>
      <c r="AO14" s="51"/>
      <c r="AP14" s="33"/>
      <c r="AQ14" s="51"/>
      <c r="AR14" s="51"/>
      <c r="AS14" s="51"/>
      <c r="AT14" s="50"/>
      <c r="AU14" s="50"/>
      <c r="AV14" s="50"/>
      <c r="AW14" s="50"/>
      <c r="AX14" s="50"/>
      <c r="AY14" s="50"/>
      <c r="AZ14" s="33"/>
      <c r="BA14" s="50"/>
      <c r="BB14" s="50"/>
      <c r="BC14" s="33"/>
      <c r="BD14" s="50"/>
      <c r="BE14" s="33"/>
      <c r="BF14" s="50"/>
      <c r="BG14" s="50"/>
      <c r="BH14" s="50"/>
      <c r="BI14" s="33"/>
      <c r="BJ14" s="49">
        <v>10.0</v>
      </c>
      <c r="BK14" s="50"/>
      <c r="BL14" s="50"/>
      <c r="BM14" s="33"/>
      <c r="BN14" s="33"/>
      <c r="BO14" s="48" t="s">
        <v>42</v>
      </c>
      <c r="BP14" s="33"/>
      <c r="BQ14" s="50"/>
      <c r="BR14" s="50"/>
      <c r="BS14" s="48" t="s">
        <v>65</v>
      </c>
      <c r="BT14" s="48" t="s">
        <v>19</v>
      </c>
      <c r="BU14" s="33"/>
      <c r="BV14" s="50"/>
      <c r="BW14" s="50"/>
      <c r="BX14" s="50"/>
      <c r="BY14" s="50"/>
      <c r="BZ14" s="33"/>
      <c r="CA14" s="33"/>
      <c r="CB14" s="33"/>
      <c r="CC14" s="33"/>
      <c r="CD14" s="33"/>
      <c r="CE14" s="33"/>
      <c r="CF14" s="50"/>
      <c r="CG14" s="33"/>
      <c r="CH14" s="50"/>
      <c r="CI14" s="33"/>
      <c r="CJ14" s="33"/>
      <c r="CK14" s="50"/>
      <c r="CL14" s="33"/>
      <c r="CM14" s="50"/>
      <c r="CN14" s="33"/>
      <c r="CO14" s="33"/>
      <c r="CP14" s="33"/>
      <c r="CQ14" s="33"/>
      <c r="CR14" s="50"/>
      <c r="CS14" s="50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50"/>
      <c r="FF14" s="33"/>
      <c r="FG14" s="33"/>
      <c r="FH14" s="50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2"/>
      <c r="LP14" s="52"/>
      <c r="LQ14" s="52"/>
      <c r="LR14" s="52"/>
      <c r="LS14" s="52"/>
      <c r="LT14" s="52"/>
      <c r="LU14" s="52"/>
      <c r="LV14" s="52"/>
      <c r="LW14" s="52"/>
      <c r="LX14" s="52"/>
      <c r="LY14" s="52"/>
      <c r="LZ14" s="52"/>
      <c r="MA14" s="52"/>
      <c r="MB14" s="52"/>
      <c r="MC14" s="52"/>
      <c r="MD14" s="52"/>
      <c r="ME14" s="52"/>
      <c r="MF14" s="52"/>
      <c r="MG14" s="52"/>
      <c r="MH14" s="52"/>
      <c r="MI14" s="52"/>
      <c r="MJ14" s="52"/>
      <c r="MK14" s="52"/>
      <c r="ML14" s="52"/>
      <c r="MM14" s="52"/>
      <c r="MN14" s="52"/>
      <c r="MO14" s="52"/>
      <c r="MP14" s="52"/>
      <c r="MQ14" s="52"/>
      <c r="MR14" s="52"/>
      <c r="MS14" s="52"/>
      <c r="MT14" s="52"/>
      <c r="MU14" s="52"/>
      <c r="MV14" s="52"/>
      <c r="MW14" s="52"/>
      <c r="MX14" s="52"/>
      <c r="MY14" s="52"/>
      <c r="MZ14" s="52"/>
      <c r="NA14" s="52"/>
      <c r="NB14" s="52"/>
      <c r="NC14" s="52"/>
      <c r="ND14" s="52"/>
      <c r="NE14" s="52"/>
      <c r="NF14" s="52"/>
      <c r="NG14" s="52"/>
      <c r="NH14" s="52"/>
      <c r="NI14" s="52"/>
      <c r="NJ14" s="52"/>
      <c r="NK14" s="52"/>
      <c r="NL14" s="52"/>
      <c r="NM14" s="52"/>
      <c r="NN14" s="52"/>
      <c r="NO14" s="52"/>
      <c r="NP14" s="52"/>
      <c r="NQ14" s="52"/>
      <c r="NR14" s="52"/>
      <c r="NS14" s="52"/>
      <c r="NT14" s="52"/>
      <c r="NU14" s="52"/>
      <c r="NV14" s="52"/>
      <c r="NW14" s="52"/>
      <c r="NX14" s="52"/>
      <c r="NY14" s="52"/>
      <c r="NZ14" s="52"/>
      <c r="OA14" s="52"/>
      <c r="OB14" s="52"/>
      <c r="OC14" s="52"/>
      <c r="OD14" s="52"/>
      <c r="OE14" s="52"/>
      <c r="OF14" s="52"/>
      <c r="OG14" s="52"/>
      <c r="OH14" s="52"/>
      <c r="OI14" s="52"/>
      <c r="OJ14" s="52"/>
      <c r="OK14" s="52"/>
      <c r="OL14" s="52"/>
      <c r="OM14" s="52"/>
      <c r="ON14" s="52"/>
      <c r="OO14" s="52"/>
      <c r="OP14" s="52"/>
      <c r="OQ14" s="52"/>
      <c r="OR14" s="52"/>
      <c r="OS14" s="52"/>
      <c r="OT14" s="52"/>
      <c r="OU14" s="52"/>
      <c r="OV14" s="52"/>
      <c r="OW14" s="52"/>
      <c r="OX14" s="52"/>
      <c r="OY14" s="52"/>
      <c r="OZ14" s="52"/>
      <c r="PA14" s="52"/>
      <c r="PB14" s="52"/>
      <c r="PC14" s="52"/>
      <c r="PD14" s="52"/>
      <c r="PE14" s="52"/>
      <c r="PF14" s="52"/>
      <c r="PG14" s="52"/>
      <c r="PH14" s="52"/>
      <c r="PI14" s="52"/>
      <c r="PJ14" s="52"/>
      <c r="PK14" s="52"/>
      <c r="PL14" s="52"/>
      <c r="PM14" s="52"/>
      <c r="PN14" s="52"/>
      <c r="PO14" s="52"/>
      <c r="PP14" s="52"/>
      <c r="PQ14" s="52"/>
      <c r="PR14" s="52"/>
      <c r="PS14" s="52"/>
      <c r="PT14" s="52"/>
      <c r="PU14" s="52"/>
      <c r="PV14" s="52"/>
      <c r="PW14" s="52"/>
      <c r="PX14" s="52"/>
      <c r="PY14" s="52"/>
      <c r="PZ14" s="52"/>
      <c r="QA14" s="52"/>
      <c r="QB14" s="52"/>
      <c r="QC14" s="52"/>
      <c r="QD14" s="52"/>
      <c r="QE14" s="52"/>
      <c r="QF14" s="52"/>
      <c r="QG14" s="52"/>
      <c r="QH14" s="52"/>
      <c r="QI14" s="52"/>
      <c r="QJ14" s="52"/>
      <c r="QK14" s="52"/>
      <c r="QL14" s="52"/>
      <c r="QM14" s="52"/>
      <c r="QN14" s="52"/>
      <c r="QO14" s="52"/>
      <c r="QP14" s="52"/>
      <c r="QQ14" s="52"/>
      <c r="QR14" s="52"/>
      <c r="QS14" s="52"/>
      <c r="QT14" s="52"/>
      <c r="QU14" s="52"/>
      <c r="QV14" s="52"/>
      <c r="QW14" s="52"/>
      <c r="QX14" s="52"/>
      <c r="QY14" s="52"/>
      <c r="QZ14" s="52"/>
      <c r="RA14" s="52"/>
      <c r="RB14" s="52"/>
      <c r="RC14" s="52"/>
      <c r="RD14" s="52"/>
      <c r="RE14" s="52"/>
      <c r="RF14" s="52"/>
      <c r="RG14" s="52"/>
      <c r="RH14" s="52"/>
      <c r="RI14" s="52"/>
      <c r="RJ14" s="52"/>
      <c r="RK14" s="52"/>
      <c r="RL14" s="52"/>
      <c r="RM14" s="52"/>
      <c r="RN14" s="52"/>
      <c r="RO14" s="52"/>
      <c r="RP14" s="52"/>
      <c r="RQ14" s="52"/>
      <c r="RR14" s="52"/>
      <c r="RS14" s="52"/>
      <c r="RT14" s="52"/>
      <c r="RU14" s="52"/>
      <c r="RV14" s="52"/>
      <c r="RW14" s="52"/>
      <c r="RX14" s="52"/>
      <c r="RY14" s="52"/>
      <c r="RZ14" s="52"/>
      <c r="SA14" s="52"/>
      <c r="SB14" s="52"/>
      <c r="SC14" s="52"/>
      <c r="SD14" s="52"/>
      <c r="SE14" s="52"/>
      <c r="SF14" s="52"/>
      <c r="SG14" s="52"/>
      <c r="SH14" s="52"/>
      <c r="SI14" s="52"/>
      <c r="SJ14" s="52"/>
      <c r="SK14" s="52"/>
      <c r="SL14" s="52"/>
      <c r="SM14" s="52"/>
      <c r="SN14" s="52"/>
      <c r="SO14" s="52"/>
      <c r="SP14" s="52"/>
      <c r="SQ14" s="52"/>
      <c r="SR14" s="52"/>
      <c r="SS14" s="52"/>
      <c r="ST14" s="52"/>
      <c r="SU14" s="52"/>
      <c r="SV14" s="52"/>
      <c r="SW14" s="52"/>
      <c r="SX14" s="52"/>
      <c r="SY14" s="52"/>
      <c r="SZ14" s="52"/>
      <c r="TA14" s="52"/>
      <c r="TB14" s="52"/>
      <c r="TC14" s="52"/>
      <c r="TD14" s="52"/>
      <c r="TE14" s="52"/>
      <c r="TF14" s="52"/>
      <c r="TG14" s="52"/>
      <c r="TH14" s="52"/>
      <c r="TI14" s="52"/>
      <c r="TJ14" s="52"/>
      <c r="TK14" s="52"/>
      <c r="TL14" s="52"/>
      <c r="TM14" s="52"/>
      <c r="TN14" s="52"/>
      <c r="TO14" s="52"/>
      <c r="TP14" s="52"/>
      <c r="TQ14" s="52"/>
      <c r="TR14" s="52"/>
      <c r="TS14" s="52"/>
      <c r="TT14" s="52"/>
      <c r="TU14" s="52"/>
      <c r="TV14" s="52"/>
      <c r="TW14" s="52"/>
      <c r="TX14" s="52"/>
      <c r="TY14" s="52"/>
      <c r="TZ14" s="52"/>
      <c r="UA14" s="52"/>
      <c r="UB14" s="52"/>
      <c r="UC14" s="52"/>
      <c r="UD14" s="52"/>
      <c r="UE14" s="52"/>
      <c r="UF14" s="52"/>
      <c r="UG14" s="52"/>
      <c r="UH14" s="52"/>
      <c r="UI14" s="52"/>
      <c r="UJ14" s="52"/>
      <c r="UK14" s="52"/>
      <c r="UL14" s="52"/>
      <c r="UM14" s="52"/>
      <c r="UN14" s="52"/>
      <c r="UO14" s="52"/>
      <c r="UP14" s="52"/>
      <c r="UQ14" s="52"/>
      <c r="UR14" s="52"/>
      <c r="US14" s="52"/>
      <c r="UT14" s="52"/>
      <c r="UU14" s="52"/>
      <c r="UV14" s="52"/>
      <c r="UW14" s="52"/>
      <c r="UX14" s="52"/>
      <c r="UY14" s="52"/>
      <c r="UZ14" s="52"/>
      <c r="VA14" s="52"/>
      <c r="VB14" s="52"/>
      <c r="VC14" s="52"/>
      <c r="VD14" s="52"/>
      <c r="VE14" s="52"/>
      <c r="VF14" s="52"/>
      <c r="VG14" s="52"/>
      <c r="VH14" s="52"/>
      <c r="VI14" s="52"/>
      <c r="VJ14" s="52"/>
      <c r="VK14" s="52"/>
      <c r="VL14" s="52"/>
      <c r="VM14" s="52"/>
      <c r="VN14" s="52"/>
      <c r="VO14" s="52"/>
      <c r="VP14" s="52"/>
      <c r="VQ14" s="52"/>
      <c r="VR14" s="52"/>
      <c r="VS14" s="52"/>
      <c r="VT14" s="52"/>
      <c r="VU14" s="52"/>
      <c r="VV14" s="52"/>
      <c r="VW14" s="52"/>
      <c r="VX14" s="52"/>
      <c r="VY14" s="52"/>
      <c r="VZ14" s="52"/>
      <c r="WA14" s="52"/>
      <c r="WB14" s="52"/>
      <c r="WC14" s="52"/>
      <c r="WD14" s="52"/>
      <c r="WE14" s="52"/>
      <c r="WF14" s="52"/>
      <c r="WG14" s="52"/>
      <c r="WH14" s="52"/>
      <c r="WI14" s="52"/>
      <c r="WJ14" s="52"/>
      <c r="WK14" s="52"/>
      <c r="WL14" s="52"/>
      <c r="WM14" s="52"/>
      <c r="WN14" s="52"/>
      <c r="WO14" s="52"/>
      <c r="WP14" s="52"/>
      <c r="WQ14" s="52"/>
      <c r="WR14" s="52"/>
      <c r="WS14" s="52"/>
      <c r="WT14" s="52"/>
      <c r="WU14" s="52"/>
      <c r="WV14" s="52"/>
      <c r="WW14" s="52"/>
      <c r="WX14" s="52"/>
      <c r="WY14" s="52"/>
      <c r="WZ14" s="52"/>
      <c r="XA14" s="52"/>
      <c r="XB14" s="52"/>
      <c r="XC14" s="52"/>
      <c r="XD14" s="52"/>
      <c r="XE14" s="52"/>
      <c r="XF14" s="52"/>
      <c r="XG14" s="52"/>
      <c r="XH14" s="52"/>
      <c r="XI14" s="52"/>
      <c r="XJ14" s="52"/>
      <c r="XK14" s="52"/>
      <c r="XL14" s="52"/>
      <c r="XM14" s="52"/>
      <c r="XN14" s="52"/>
      <c r="XO14" s="52"/>
      <c r="XP14" s="52"/>
      <c r="XQ14" s="52"/>
      <c r="XR14" s="52"/>
      <c r="XS14" s="52"/>
      <c r="XT14" s="52"/>
      <c r="XU14" s="52"/>
      <c r="XV14" s="52"/>
      <c r="XW14" s="52"/>
      <c r="XX14" s="52"/>
      <c r="XY14" s="52"/>
      <c r="XZ14" s="52"/>
      <c r="YA14" s="52"/>
      <c r="YB14" s="52"/>
      <c r="YC14" s="52"/>
      <c r="YD14" s="52"/>
      <c r="YE14" s="52"/>
      <c r="YF14" s="52"/>
      <c r="YG14" s="52"/>
      <c r="YH14" s="52"/>
      <c r="YI14" s="52"/>
      <c r="YJ14" s="52"/>
      <c r="YK14" s="52"/>
      <c r="YL14" s="52"/>
      <c r="YM14" s="52"/>
      <c r="YN14" s="52"/>
      <c r="YO14" s="52"/>
      <c r="YP14" s="52"/>
      <c r="YQ14" s="52"/>
      <c r="YR14" s="52"/>
      <c r="YS14" s="52"/>
      <c r="YT14" s="52"/>
      <c r="YU14" s="52"/>
      <c r="YV14" s="52"/>
      <c r="YW14" s="52"/>
      <c r="YX14" s="52"/>
      <c r="YY14" s="52"/>
      <c r="YZ14" s="52"/>
      <c r="ZA14" s="52"/>
      <c r="ZB14" s="52"/>
      <c r="ZC14" s="52"/>
      <c r="ZD14" s="52"/>
      <c r="ZE14" s="52"/>
      <c r="ZF14" s="52"/>
      <c r="ZG14" s="52"/>
      <c r="ZH14" s="52"/>
      <c r="ZI14" s="52"/>
      <c r="ZJ14" s="52"/>
      <c r="ZK14" s="52"/>
      <c r="ZL14" s="52"/>
      <c r="ZM14" s="52"/>
      <c r="ZN14" s="52"/>
      <c r="ZO14" s="52"/>
      <c r="ZP14" s="52"/>
      <c r="ZQ14" s="52"/>
      <c r="ZR14" s="52"/>
      <c r="ZS14" s="52"/>
      <c r="ZT14" s="52"/>
      <c r="ZU14" s="52"/>
      <c r="ZV14" s="52"/>
      <c r="ZW14" s="52"/>
      <c r="ZX14" s="52"/>
      <c r="ZY14" s="52"/>
      <c r="ZZ14" s="52"/>
      <c r="AAA14" s="52"/>
      <c r="AAB14" s="52"/>
      <c r="AAC14" s="52"/>
      <c r="AAD14" s="52"/>
      <c r="AAE14" s="52"/>
      <c r="AAF14" s="52"/>
      <c r="AAG14" s="52"/>
      <c r="AAH14" s="52"/>
      <c r="AAI14" s="52"/>
      <c r="AAJ14" s="52"/>
      <c r="AAK14" s="52"/>
      <c r="AAL14" s="52"/>
      <c r="AAM14" s="52"/>
      <c r="AAN14" s="52"/>
      <c r="AAO14" s="52"/>
      <c r="AAP14" s="52"/>
      <c r="AAQ14" s="52"/>
      <c r="AAR14" s="52"/>
      <c r="AAS14" s="52"/>
      <c r="AAT14" s="52"/>
      <c r="AAU14" s="52"/>
      <c r="AAV14" s="52"/>
      <c r="AAW14" s="52"/>
      <c r="AAX14" s="52"/>
      <c r="AAY14" s="52"/>
      <c r="AAZ14" s="52"/>
      <c r="ABA14" s="52"/>
      <c r="ABB14" s="52"/>
      <c r="ABC14" s="52"/>
      <c r="ABD14" s="52"/>
      <c r="ABE14" s="52"/>
      <c r="ABF14" s="52"/>
      <c r="ABG14" s="52"/>
      <c r="ABH14" s="52"/>
      <c r="ABI14" s="52"/>
      <c r="ABJ14" s="52"/>
      <c r="ABK14" s="52"/>
      <c r="ABL14" s="52"/>
      <c r="ABM14" s="52"/>
      <c r="ABN14" s="52"/>
      <c r="ABO14" s="52"/>
      <c r="ABP14" s="52"/>
      <c r="ABQ14" s="52"/>
      <c r="ABR14" s="52"/>
      <c r="ABS14" s="52"/>
      <c r="ABT14" s="52"/>
      <c r="ABU14" s="52"/>
      <c r="ABV14" s="52"/>
      <c r="ABW14" s="52"/>
      <c r="ABX14" s="52"/>
      <c r="ABY14" s="52"/>
      <c r="ABZ14" s="52"/>
      <c r="ACA14" s="52"/>
      <c r="ACB14" s="52"/>
      <c r="ACC14" s="52"/>
      <c r="ACD14" s="52"/>
      <c r="ACE14" s="52"/>
      <c r="ACF14" s="52"/>
      <c r="ACG14" s="52"/>
      <c r="ACH14" s="52"/>
      <c r="ACI14" s="52"/>
      <c r="ACJ14" s="52"/>
      <c r="ACK14" s="52"/>
      <c r="ACL14" s="52"/>
      <c r="ACM14" s="52"/>
      <c r="ACN14" s="52"/>
      <c r="ACO14" s="52"/>
      <c r="ACP14" s="52"/>
      <c r="ACQ14" s="52"/>
      <c r="ACR14" s="52"/>
      <c r="ACS14" s="52"/>
      <c r="ACT14" s="52"/>
      <c r="ACU14" s="52"/>
      <c r="ACV14" s="52"/>
      <c r="ACW14" s="52"/>
      <c r="ACX14" s="52"/>
      <c r="ACY14" s="52"/>
      <c r="ACZ14" s="52"/>
      <c r="ADA14" s="52"/>
      <c r="ADB14" s="52"/>
      <c r="ADC14" s="52"/>
      <c r="ADD14" s="52"/>
      <c r="ADE14" s="52"/>
      <c r="ADF14" s="52"/>
      <c r="ADG14" s="52"/>
      <c r="ADH14" s="52"/>
      <c r="ADI14" s="52"/>
      <c r="ADJ14" s="52"/>
      <c r="ADK14" s="52"/>
      <c r="ADL14" s="52"/>
      <c r="ADM14" s="52"/>
      <c r="ADN14" s="52"/>
      <c r="ADO14" s="52"/>
      <c r="ADP14" s="52"/>
      <c r="ADQ14" s="52"/>
      <c r="ADR14" s="52"/>
      <c r="ADS14" s="52"/>
      <c r="ADT14" s="52"/>
      <c r="ADU14" s="52"/>
      <c r="ADV14" s="52"/>
      <c r="ADW14" s="52"/>
      <c r="ADX14" s="52"/>
      <c r="ADY14" s="52"/>
      <c r="ADZ14" s="52"/>
      <c r="AEA14" s="52"/>
      <c r="AEB14" s="52"/>
      <c r="AEC14" s="52"/>
      <c r="AED14" s="52"/>
      <c r="AEE14" s="52"/>
      <c r="AEF14" s="52"/>
      <c r="AEG14" s="52"/>
      <c r="AEH14" s="52"/>
      <c r="AEI14" s="52"/>
      <c r="AEJ14" s="52"/>
      <c r="AEK14" s="52"/>
      <c r="AEL14" s="52"/>
      <c r="AEM14" s="52"/>
      <c r="AEN14" s="52"/>
      <c r="AEO14" s="52"/>
      <c r="AEP14" s="52"/>
      <c r="AEQ14" s="52"/>
      <c r="AER14" s="52"/>
      <c r="AES14" s="52"/>
      <c r="AET14" s="52"/>
      <c r="AEU14" s="52"/>
      <c r="AEV14" s="52"/>
      <c r="AEW14" s="52"/>
      <c r="AEX14" s="52"/>
      <c r="AEY14" s="52"/>
      <c r="AEZ14" s="52"/>
      <c r="AFA14" s="52"/>
      <c r="AFB14" s="52"/>
      <c r="AFC14" s="52"/>
      <c r="AFD14" s="52"/>
      <c r="AFE14" s="52"/>
      <c r="AFF14" s="52"/>
      <c r="AFG14" s="52"/>
      <c r="AFH14" s="52"/>
      <c r="AFI14" s="52"/>
      <c r="AFJ14" s="52"/>
      <c r="AFK14" s="52"/>
      <c r="AFL14" s="52"/>
      <c r="AFM14" s="52"/>
      <c r="AFN14" s="52"/>
      <c r="AFO14" s="52"/>
      <c r="AFP14" s="52"/>
      <c r="AFQ14" s="52"/>
      <c r="AFR14" s="52"/>
      <c r="AFS14" s="52"/>
      <c r="AFT14" s="52"/>
      <c r="AFU14" s="52"/>
      <c r="AFV14" s="52"/>
      <c r="AFW14" s="52"/>
      <c r="AFX14" s="52"/>
      <c r="AFY14" s="52"/>
      <c r="AFZ14" s="52"/>
      <c r="AGA14" s="52"/>
      <c r="AGB14" s="52"/>
      <c r="AGC14" s="52"/>
      <c r="AGD14" s="52"/>
      <c r="AGE14" s="52"/>
      <c r="AGF14" s="52"/>
      <c r="AGG14" s="52"/>
      <c r="AGH14" s="52"/>
      <c r="AGI14" s="52"/>
      <c r="AGJ14" s="52"/>
      <c r="AGK14" s="52"/>
      <c r="AGL14" s="52"/>
      <c r="AGM14" s="52"/>
      <c r="AGN14" s="52"/>
      <c r="AGO14" s="52"/>
      <c r="AGP14" s="52"/>
      <c r="AGQ14" s="52"/>
      <c r="AGR14" s="52"/>
      <c r="AGS14" s="52"/>
      <c r="AGT14" s="52"/>
      <c r="AGU14" s="52"/>
      <c r="AGV14" s="52"/>
      <c r="AGW14" s="52"/>
      <c r="AGX14" s="52"/>
      <c r="AGY14" s="52"/>
      <c r="AGZ14" s="52"/>
      <c r="AHA14" s="52"/>
      <c r="AHB14" s="52"/>
      <c r="AHC14" s="52"/>
      <c r="AHD14" s="52"/>
      <c r="AHE14" s="52"/>
      <c r="AHF14" s="52"/>
      <c r="AHG14" s="52"/>
      <c r="AHH14" s="52"/>
      <c r="AHI14" s="52"/>
      <c r="AHJ14" s="52"/>
      <c r="AHK14" s="52"/>
      <c r="AHL14" s="52"/>
      <c r="AHM14" s="52"/>
      <c r="AHN14" s="52"/>
      <c r="AHO14" s="52"/>
      <c r="AHP14" s="52"/>
      <c r="AHQ14" s="52"/>
      <c r="AHR14" s="52"/>
      <c r="AHS14" s="52"/>
      <c r="AHT14" s="52"/>
      <c r="AHU14" s="52"/>
      <c r="AHV14" s="52"/>
      <c r="AHW14" s="52"/>
      <c r="AHX14" s="52"/>
      <c r="AHY14" s="52"/>
      <c r="AHZ14" s="52"/>
      <c r="AIA14" s="52"/>
      <c r="AIB14" s="52"/>
      <c r="AIC14" s="52"/>
      <c r="AID14" s="52"/>
      <c r="AIE14" s="52"/>
      <c r="AIF14" s="52"/>
      <c r="AIG14" s="52"/>
      <c r="AIH14" s="52"/>
      <c r="AII14" s="52"/>
      <c r="AIJ14" s="52"/>
      <c r="AIK14" s="52"/>
      <c r="AIL14" s="52"/>
      <c r="AIM14" s="52"/>
      <c r="AIN14" s="52"/>
      <c r="AIO14" s="52"/>
      <c r="AIP14" s="52"/>
      <c r="AIQ14" s="52"/>
      <c r="AIR14" s="52"/>
      <c r="AIS14" s="52"/>
      <c r="AIT14" s="52"/>
      <c r="AIU14" s="52"/>
      <c r="AIV14" s="52"/>
      <c r="AIW14" s="52"/>
      <c r="AIX14" s="52"/>
      <c r="AIY14" s="52"/>
      <c r="AIZ14" s="52"/>
      <c r="AJA14" s="52"/>
      <c r="AJB14" s="52"/>
      <c r="AJC14" s="52"/>
      <c r="AJD14" s="52"/>
      <c r="AJE14" s="52"/>
      <c r="AJF14" s="52"/>
      <c r="AJG14" s="52"/>
      <c r="AJH14" s="52"/>
      <c r="AJI14" s="52"/>
      <c r="AJJ14" s="52"/>
      <c r="AJK14" s="52"/>
      <c r="AJL14" s="52"/>
      <c r="AJM14" s="52"/>
      <c r="AJN14" s="52"/>
      <c r="AJO14" s="52"/>
      <c r="AJP14" s="52"/>
      <c r="AJQ14" s="52"/>
      <c r="AJR14" s="52"/>
      <c r="AJS14" s="52"/>
      <c r="AJT14" s="52"/>
      <c r="AJU14" s="52"/>
      <c r="AJV14" s="52"/>
      <c r="AJW14" s="52"/>
      <c r="AJX14" s="52"/>
      <c r="AJY14" s="52"/>
      <c r="AJZ14" s="52"/>
      <c r="AKA14" s="52"/>
      <c r="AKB14" s="52"/>
      <c r="AKC14" s="52"/>
      <c r="AKD14" s="52"/>
      <c r="AKE14" s="52"/>
      <c r="AKF14" s="52"/>
      <c r="AKG14" s="52"/>
      <c r="AKH14" s="52"/>
      <c r="AKI14" s="52"/>
      <c r="AKJ14" s="52"/>
      <c r="AKK14" s="52"/>
      <c r="AKL14" s="52"/>
      <c r="AKM14" s="52"/>
      <c r="AKN14" s="52"/>
      <c r="AKO14" s="52"/>
      <c r="AKP14" s="52"/>
      <c r="AKQ14" s="52"/>
      <c r="AKR14" s="52"/>
      <c r="AKS14" s="52"/>
      <c r="AKT14" s="52"/>
      <c r="AKU14" s="52"/>
      <c r="AKV14" s="52"/>
      <c r="AKW14" s="52"/>
      <c r="AKX14" s="52"/>
      <c r="AKY14" s="52"/>
      <c r="AKZ14" s="52"/>
      <c r="ALA14" s="52"/>
      <c r="ALB14" s="52"/>
      <c r="ALC14" s="52"/>
      <c r="ALD14" s="52"/>
      <c r="ALE14" s="52"/>
      <c r="ALF14" s="52"/>
      <c r="ALG14" s="52"/>
      <c r="ALH14" s="52"/>
      <c r="ALI14" s="52"/>
      <c r="ALJ14" s="52"/>
      <c r="ALK14" s="52"/>
      <c r="ALL14" s="52"/>
      <c r="ALM14" s="52"/>
      <c r="ALN14" s="52"/>
      <c r="ALO14" s="52"/>
      <c r="ALP14" s="52"/>
      <c r="ALQ14" s="52"/>
      <c r="ALR14" s="52"/>
      <c r="ALS14" s="52"/>
      <c r="ALT14" s="52"/>
      <c r="ALU14" s="52"/>
      <c r="ALV14" s="52"/>
      <c r="ALW14" s="52"/>
      <c r="ALX14" s="52"/>
      <c r="ALY14" s="52"/>
      <c r="ALZ14" s="52"/>
      <c r="AMA14" s="52"/>
      <c r="AMB14" s="52"/>
      <c r="AMC14" s="52"/>
      <c r="AMD14" s="52"/>
      <c r="AME14" s="52"/>
      <c r="AMF14" s="52"/>
      <c r="AMG14" s="52"/>
      <c r="AMH14" s="52"/>
      <c r="AMI14" s="52"/>
      <c r="AMJ14" s="52"/>
      <c r="AMK14" s="52"/>
      <c r="AML14" s="52"/>
    </row>
    <row r="15" ht="15.75" customHeight="1">
      <c r="A15" s="8"/>
      <c r="B15" s="48" t="s">
        <v>46</v>
      </c>
      <c r="C15" s="33"/>
      <c r="D15" s="33"/>
      <c r="E15" s="49">
        <v>10.0</v>
      </c>
      <c r="F15" s="50"/>
      <c r="G15" s="48" t="s">
        <v>63</v>
      </c>
      <c r="H15" s="33"/>
      <c r="I15" s="50"/>
      <c r="J15" s="50"/>
      <c r="K15" s="49">
        <v>10.0</v>
      </c>
      <c r="L15" s="49">
        <v>10.0</v>
      </c>
      <c r="M15" s="50"/>
      <c r="N15" s="33"/>
      <c r="O15" s="48" t="s">
        <v>64</v>
      </c>
      <c r="P15" s="33"/>
      <c r="Q15" s="33"/>
      <c r="R15" s="50"/>
      <c r="S15" s="50"/>
      <c r="T15" s="33"/>
      <c r="U15" s="50"/>
      <c r="V15" s="50"/>
      <c r="W15" s="33"/>
      <c r="X15" s="50"/>
      <c r="Y15" s="33"/>
      <c r="Z15" s="33"/>
      <c r="AA15" s="33"/>
      <c r="AB15" s="33"/>
      <c r="AC15" s="50"/>
      <c r="AD15" s="33"/>
      <c r="AE15" s="49">
        <v>10.0</v>
      </c>
      <c r="AF15" s="50"/>
      <c r="AG15" s="33"/>
      <c r="AH15" s="50"/>
      <c r="AI15" s="33"/>
      <c r="AJ15" s="50"/>
      <c r="AK15" s="33"/>
      <c r="AL15" s="33"/>
      <c r="AM15" s="33"/>
      <c r="AN15" s="33"/>
      <c r="AO15" s="51"/>
      <c r="AP15" s="33"/>
      <c r="AQ15" s="51"/>
      <c r="AR15" s="51"/>
      <c r="AS15" s="51"/>
      <c r="AT15" s="50"/>
      <c r="AU15" s="50"/>
      <c r="AV15" s="50"/>
      <c r="AW15" s="50"/>
      <c r="AX15" s="50"/>
      <c r="AY15" s="50"/>
      <c r="AZ15" s="33"/>
      <c r="BA15" s="50"/>
      <c r="BB15" s="50"/>
      <c r="BC15" s="33"/>
      <c r="BD15" s="50"/>
      <c r="BE15" s="33"/>
      <c r="BF15" s="50"/>
      <c r="BG15" s="50"/>
      <c r="BH15" s="50"/>
      <c r="BI15" s="33"/>
      <c r="BJ15" s="49">
        <v>10.0</v>
      </c>
      <c r="BK15" s="50"/>
      <c r="BL15" s="50"/>
      <c r="BM15" s="33"/>
      <c r="BN15" s="33"/>
      <c r="BO15" s="48" t="s">
        <v>42</v>
      </c>
      <c r="BP15" s="33"/>
      <c r="BQ15" s="50"/>
      <c r="BR15" s="50"/>
      <c r="BS15" s="48" t="s">
        <v>65</v>
      </c>
      <c r="BT15" s="48" t="s">
        <v>20</v>
      </c>
      <c r="BU15" s="33"/>
      <c r="BV15" s="50"/>
      <c r="BW15" s="50"/>
      <c r="BX15" s="50"/>
      <c r="BY15" s="50"/>
      <c r="BZ15" s="33"/>
      <c r="CA15" s="33"/>
      <c r="CB15" s="33"/>
      <c r="CC15" s="33"/>
      <c r="CD15" s="33"/>
      <c r="CE15" s="33"/>
      <c r="CF15" s="50"/>
      <c r="CG15" s="33"/>
      <c r="CH15" s="50"/>
      <c r="CI15" s="33"/>
      <c r="CJ15" s="33"/>
      <c r="CK15" s="50"/>
      <c r="CL15" s="33"/>
      <c r="CM15" s="50"/>
      <c r="CN15" s="33"/>
      <c r="CO15" s="33"/>
      <c r="CP15" s="33"/>
      <c r="CQ15" s="33"/>
      <c r="CR15" s="50"/>
      <c r="CS15" s="50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50"/>
      <c r="FF15" s="33"/>
      <c r="FG15" s="33"/>
      <c r="FH15" s="50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2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2"/>
      <c r="NB15" s="52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2"/>
      <c r="PJ15" s="52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2"/>
      <c r="RR15" s="5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2"/>
      <c r="TZ15" s="52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2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  <c r="YF15" s="52"/>
      <c r="YG15" s="52"/>
      <c r="YH15" s="52"/>
      <c r="YI15" s="52"/>
      <c r="YJ15" s="52"/>
      <c r="YK15" s="52"/>
      <c r="YL15" s="52"/>
      <c r="YM15" s="52"/>
      <c r="YN15" s="52"/>
      <c r="YO15" s="52"/>
      <c r="YP15" s="52"/>
      <c r="YQ15" s="52"/>
      <c r="YR15" s="52"/>
      <c r="YS15" s="52"/>
      <c r="YT15" s="52"/>
      <c r="YU15" s="52"/>
      <c r="YV15" s="52"/>
      <c r="YW15" s="52"/>
      <c r="YX15" s="52"/>
      <c r="YY15" s="52"/>
      <c r="YZ15" s="52"/>
      <c r="ZA15" s="52"/>
      <c r="ZB15" s="52"/>
      <c r="ZC15" s="52"/>
      <c r="ZD15" s="52"/>
      <c r="ZE15" s="52"/>
      <c r="ZF15" s="52"/>
      <c r="ZG15" s="52"/>
      <c r="ZH15" s="52"/>
      <c r="ZI15" s="52"/>
      <c r="ZJ15" s="52"/>
      <c r="ZK15" s="52"/>
      <c r="ZL15" s="52"/>
      <c r="ZM15" s="52"/>
      <c r="ZN15" s="52"/>
      <c r="ZO15" s="52"/>
      <c r="ZP15" s="52"/>
      <c r="ZQ15" s="52"/>
      <c r="ZR15" s="52"/>
      <c r="ZS15" s="52"/>
      <c r="ZT15" s="52"/>
      <c r="ZU15" s="52"/>
      <c r="ZV15" s="52"/>
      <c r="ZW15" s="52"/>
      <c r="ZX15" s="52"/>
      <c r="ZY15" s="52"/>
      <c r="ZZ15" s="52"/>
      <c r="AAA15" s="52"/>
      <c r="AAB15" s="52"/>
      <c r="AAC15" s="52"/>
      <c r="AAD15" s="52"/>
      <c r="AAE15" s="52"/>
      <c r="AAF15" s="52"/>
      <c r="AAG15" s="52"/>
      <c r="AAH15" s="52"/>
      <c r="AAI15" s="52"/>
      <c r="AAJ15" s="52"/>
      <c r="AAK15" s="52"/>
      <c r="AAL15" s="52"/>
      <c r="AAM15" s="52"/>
      <c r="AAN15" s="52"/>
      <c r="AAO15" s="52"/>
      <c r="AAP15" s="52"/>
      <c r="AAQ15" s="52"/>
      <c r="AAR15" s="52"/>
      <c r="AAS15" s="52"/>
      <c r="AAT15" s="52"/>
      <c r="AAU15" s="52"/>
      <c r="AAV15" s="52"/>
      <c r="AAW15" s="52"/>
      <c r="AAX15" s="52"/>
      <c r="AAY15" s="52"/>
      <c r="AAZ15" s="52"/>
      <c r="ABA15" s="52"/>
      <c r="ABB15" s="52"/>
      <c r="ABC15" s="52"/>
      <c r="ABD15" s="52"/>
      <c r="ABE15" s="52"/>
      <c r="ABF15" s="52"/>
      <c r="ABG15" s="52"/>
      <c r="ABH15" s="52"/>
      <c r="ABI15" s="52"/>
      <c r="ABJ15" s="52"/>
      <c r="ABK15" s="52"/>
      <c r="ABL15" s="52"/>
      <c r="ABM15" s="52"/>
      <c r="ABN15" s="52"/>
      <c r="ABO15" s="52"/>
      <c r="ABP15" s="52"/>
      <c r="ABQ15" s="52"/>
      <c r="ABR15" s="52"/>
      <c r="ABS15" s="52"/>
      <c r="ABT15" s="52"/>
      <c r="ABU15" s="52"/>
      <c r="ABV15" s="52"/>
      <c r="ABW15" s="52"/>
      <c r="ABX15" s="52"/>
      <c r="ABY15" s="52"/>
      <c r="ABZ15" s="52"/>
      <c r="ACA15" s="52"/>
      <c r="ACB15" s="52"/>
      <c r="ACC15" s="52"/>
      <c r="ACD15" s="52"/>
      <c r="ACE15" s="52"/>
      <c r="ACF15" s="52"/>
      <c r="ACG15" s="52"/>
      <c r="ACH15" s="52"/>
      <c r="ACI15" s="52"/>
      <c r="ACJ15" s="52"/>
      <c r="ACK15" s="52"/>
      <c r="ACL15" s="52"/>
      <c r="ACM15" s="52"/>
      <c r="ACN15" s="52"/>
      <c r="ACO15" s="52"/>
      <c r="ACP15" s="52"/>
      <c r="ACQ15" s="52"/>
      <c r="ACR15" s="52"/>
      <c r="ACS15" s="52"/>
      <c r="ACT15" s="52"/>
      <c r="ACU15" s="52"/>
      <c r="ACV15" s="52"/>
      <c r="ACW15" s="52"/>
      <c r="ACX15" s="52"/>
      <c r="ACY15" s="52"/>
      <c r="ACZ15" s="52"/>
      <c r="ADA15" s="52"/>
      <c r="ADB15" s="52"/>
      <c r="ADC15" s="52"/>
      <c r="ADD15" s="52"/>
      <c r="ADE15" s="52"/>
      <c r="ADF15" s="52"/>
      <c r="ADG15" s="52"/>
      <c r="ADH15" s="52"/>
      <c r="ADI15" s="52"/>
      <c r="ADJ15" s="52"/>
      <c r="ADK15" s="52"/>
      <c r="ADL15" s="52"/>
      <c r="ADM15" s="52"/>
      <c r="ADN15" s="52"/>
      <c r="ADO15" s="52"/>
      <c r="ADP15" s="52"/>
      <c r="ADQ15" s="52"/>
      <c r="ADR15" s="52"/>
      <c r="ADS15" s="52"/>
      <c r="ADT15" s="52"/>
      <c r="ADU15" s="52"/>
      <c r="ADV15" s="52"/>
      <c r="ADW15" s="52"/>
      <c r="ADX15" s="52"/>
      <c r="ADY15" s="52"/>
      <c r="ADZ15" s="52"/>
      <c r="AEA15" s="52"/>
      <c r="AEB15" s="52"/>
      <c r="AEC15" s="52"/>
      <c r="AED15" s="52"/>
      <c r="AEE15" s="52"/>
      <c r="AEF15" s="52"/>
      <c r="AEG15" s="52"/>
      <c r="AEH15" s="52"/>
      <c r="AEI15" s="52"/>
      <c r="AEJ15" s="52"/>
      <c r="AEK15" s="52"/>
      <c r="AEL15" s="52"/>
      <c r="AEM15" s="52"/>
      <c r="AEN15" s="52"/>
      <c r="AEO15" s="52"/>
      <c r="AEP15" s="52"/>
      <c r="AEQ15" s="52"/>
      <c r="AER15" s="52"/>
      <c r="AES15" s="52"/>
      <c r="AET15" s="52"/>
      <c r="AEU15" s="52"/>
      <c r="AEV15" s="52"/>
      <c r="AEW15" s="52"/>
      <c r="AEX15" s="52"/>
      <c r="AEY15" s="52"/>
      <c r="AEZ15" s="52"/>
      <c r="AFA15" s="52"/>
      <c r="AFB15" s="52"/>
      <c r="AFC15" s="52"/>
      <c r="AFD15" s="52"/>
      <c r="AFE15" s="52"/>
      <c r="AFF15" s="52"/>
      <c r="AFG15" s="52"/>
      <c r="AFH15" s="52"/>
      <c r="AFI15" s="52"/>
      <c r="AFJ15" s="52"/>
      <c r="AFK15" s="52"/>
      <c r="AFL15" s="52"/>
      <c r="AFM15" s="52"/>
      <c r="AFN15" s="52"/>
      <c r="AFO15" s="52"/>
      <c r="AFP15" s="52"/>
      <c r="AFQ15" s="52"/>
      <c r="AFR15" s="52"/>
      <c r="AFS15" s="52"/>
      <c r="AFT15" s="52"/>
      <c r="AFU15" s="52"/>
      <c r="AFV15" s="52"/>
      <c r="AFW15" s="52"/>
      <c r="AFX15" s="52"/>
      <c r="AFY15" s="52"/>
      <c r="AFZ15" s="52"/>
      <c r="AGA15" s="52"/>
      <c r="AGB15" s="52"/>
      <c r="AGC15" s="52"/>
      <c r="AGD15" s="52"/>
      <c r="AGE15" s="52"/>
      <c r="AGF15" s="52"/>
      <c r="AGG15" s="52"/>
      <c r="AGH15" s="52"/>
      <c r="AGI15" s="52"/>
      <c r="AGJ15" s="52"/>
      <c r="AGK15" s="52"/>
      <c r="AGL15" s="52"/>
      <c r="AGM15" s="52"/>
      <c r="AGN15" s="52"/>
      <c r="AGO15" s="52"/>
      <c r="AGP15" s="52"/>
      <c r="AGQ15" s="52"/>
      <c r="AGR15" s="52"/>
      <c r="AGS15" s="52"/>
      <c r="AGT15" s="52"/>
      <c r="AGU15" s="52"/>
      <c r="AGV15" s="52"/>
      <c r="AGW15" s="52"/>
      <c r="AGX15" s="52"/>
      <c r="AGY15" s="52"/>
      <c r="AGZ15" s="52"/>
      <c r="AHA15" s="52"/>
      <c r="AHB15" s="52"/>
      <c r="AHC15" s="52"/>
      <c r="AHD15" s="52"/>
      <c r="AHE15" s="52"/>
      <c r="AHF15" s="52"/>
      <c r="AHG15" s="52"/>
      <c r="AHH15" s="52"/>
      <c r="AHI15" s="52"/>
      <c r="AHJ15" s="52"/>
      <c r="AHK15" s="52"/>
      <c r="AHL15" s="52"/>
      <c r="AHM15" s="52"/>
      <c r="AHN15" s="52"/>
      <c r="AHO15" s="52"/>
      <c r="AHP15" s="52"/>
      <c r="AHQ15" s="52"/>
      <c r="AHR15" s="52"/>
      <c r="AHS15" s="52"/>
      <c r="AHT15" s="52"/>
      <c r="AHU15" s="52"/>
      <c r="AHV15" s="52"/>
      <c r="AHW15" s="52"/>
      <c r="AHX15" s="52"/>
      <c r="AHY15" s="52"/>
      <c r="AHZ15" s="52"/>
      <c r="AIA15" s="52"/>
      <c r="AIB15" s="52"/>
      <c r="AIC15" s="52"/>
      <c r="AID15" s="52"/>
      <c r="AIE15" s="52"/>
      <c r="AIF15" s="52"/>
      <c r="AIG15" s="52"/>
      <c r="AIH15" s="52"/>
      <c r="AII15" s="52"/>
      <c r="AIJ15" s="52"/>
      <c r="AIK15" s="52"/>
      <c r="AIL15" s="52"/>
      <c r="AIM15" s="52"/>
      <c r="AIN15" s="52"/>
      <c r="AIO15" s="52"/>
      <c r="AIP15" s="52"/>
      <c r="AIQ15" s="52"/>
      <c r="AIR15" s="52"/>
      <c r="AIS15" s="52"/>
      <c r="AIT15" s="52"/>
      <c r="AIU15" s="52"/>
      <c r="AIV15" s="52"/>
      <c r="AIW15" s="52"/>
      <c r="AIX15" s="52"/>
      <c r="AIY15" s="52"/>
      <c r="AIZ15" s="52"/>
      <c r="AJA15" s="52"/>
      <c r="AJB15" s="52"/>
      <c r="AJC15" s="52"/>
      <c r="AJD15" s="52"/>
      <c r="AJE15" s="52"/>
      <c r="AJF15" s="52"/>
      <c r="AJG15" s="52"/>
      <c r="AJH15" s="52"/>
      <c r="AJI15" s="52"/>
      <c r="AJJ15" s="52"/>
      <c r="AJK15" s="52"/>
      <c r="AJL15" s="52"/>
      <c r="AJM15" s="52"/>
      <c r="AJN15" s="52"/>
      <c r="AJO15" s="52"/>
      <c r="AJP15" s="52"/>
      <c r="AJQ15" s="52"/>
      <c r="AJR15" s="52"/>
      <c r="AJS15" s="52"/>
      <c r="AJT15" s="52"/>
      <c r="AJU15" s="52"/>
      <c r="AJV15" s="52"/>
      <c r="AJW15" s="52"/>
      <c r="AJX15" s="52"/>
      <c r="AJY15" s="52"/>
      <c r="AJZ15" s="52"/>
      <c r="AKA15" s="52"/>
      <c r="AKB15" s="52"/>
      <c r="AKC15" s="52"/>
      <c r="AKD15" s="52"/>
      <c r="AKE15" s="52"/>
      <c r="AKF15" s="52"/>
      <c r="AKG15" s="52"/>
      <c r="AKH15" s="52"/>
      <c r="AKI15" s="52"/>
      <c r="AKJ15" s="52"/>
      <c r="AKK15" s="52"/>
      <c r="AKL15" s="52"/>
      <c r="AKM15" s="52"/>
      <c r="AKN15" s="52"/>
      <c r="AKO15" s="52"/>
      <c r="AKP15" s="52"/>
      <c r="AKQ15" s="52"/>
      <c r="AKR15" s="52"/>
      <c r="AKS15" s="52"/>
      <c r="AKT15" s="52"/>
      <c r="AKU15" s="52"/>
      <c r="AKV15" s="52"/>
      <c r="AKW15" s="52"/>
      <c r="AKX15" s="52"/>
      <c r="AKY15" s="52"/>
      <c r="AKZ15" s="52"/>
      <c r="ALA15" s="52"/>
      <c r="ALB15" s="52"/>
      <c r="ALC15" s="52"/>
      <c r="ALD15" s="52"/>
      <c r="ALE15" s="52"/>
      <c r="ALF15" s="52"/>
      <c r="ALG15" s="52"/>
      <c r="ALH15" s="52"/>
      <c r="ALI15" s="52"/>
      <c r="ALJ15" s="52"/>
      <c r="ALK15" s="52"/>
      <c r="ALL15" s="52"/>
      <c r="ALM15" s="52"/>
      <c r="ALN15" s="52"/>
      <c r="ALO15" s="52"/>
      <c r="ALP15" s="52"/>
      <c r="ALQ15" s="52"/>
      <c r="ALR15" s="52"/>
      <c r="ALS15" s="52"/>
      <c r="ALT15" s="52"/>
      <c r="ALU15" s="52"/>
      <c r="ALV15" s="52"/>
      <c r="ALW15" s="52"/>
      <c r="ALX15" s="52"/>
      <c r="ALY15" s="52"/>
      <c r="ALZ15" s="52"/>
      <c r="AMA15" s="52"/>
      <c r="AMB15" s="52"/>
      <c r="AMC15" s="52"/>
      <c r="AMD15" s="52"/>
      <c r="AME15" s="52"/>
      <c r="AMF15" s="52"/>
      <c r="AMG15" s="52"/>
      <c r="AMH15" s="52"/>
      <c r="AMI15" s="52"/>
      <c r="AMJ15" s="52"/>
      <c r="AMK15" s="52"/>
      <c r="AML15" s="52"/>
    </row>
    <row r="16" ht="15.75" customHeight="1">
      <c r="A16" s="8"/>
      <c r="B16" s="48" t="s">
        <v>48</v>
      </c>
      <c r="C16" s="33"/>
      <c r="D16" s="33"/>
      <c r="E16" s="49">
        <v>10.0</v>
      </c>
      <c r="F16" s="50"/>
      <c r="G16" s="48" t="s">
        <v>63</v>
      </c>
      <c r="H16" s="33"/>
      <c r="I16" s="50"/>
      <c r="J16" s="50"/>
      <c r="K16" s="49">
        <v>10.0</v>
      </c>
      <c r="L16" s="49">
        <v>10.0</v>
      </c>
      <c r="M16" s="50"/>
      <c r="N16" s="33"/>
      <c r="O16" s="48" t="s">
        <v>64</v>
      </c>
      <c r="P16" s="33"/>
      <c r="Q16" s="33"/>
      <c r="R16" s="50"/>
      <c r="S16" s="50"/>
      <c r="T16" s="33"/>
      <c r="U16" s="50"/>
      <c r="V16" s="50"/>
      <c r="W16" s="33"/>
      <c r="X16" s="50"/>
      <c r="Y16" s="33"/>
      <c r="Z16" s="33"/>
      <c r="AA16" s="33"/>
      <c r="AB16" s="33"/>
      <c r="AC16" s="50"/>
      <c r="AD16" s="33"/>
      <c r="AE16" s="49">
        <v>10.0</v>
      </c>
      <c r="AF16" s="50"/>
      <c r="AG16" s="33"/>
      <c r="AH16" s="50"/>
      <c r="AI16" s="33"/>
      <c r="AJ16" s="50"/>
      <c r="AK16" s="33"/>
      <c r="AL16" s="33"/>
      <c r="AM16" s="33"/>
      <c r="AN16" s="33"/>
      <c r="AO16" s="51"/>
      <c r="AP16" s="33"/>
      <c r="AQ16" s="51"/>
      <c r="AR16" s="51"/>
      <c r="AS16" s="51"/>
      <c r="AT16" s="50"/>
      <c r="AU16" s="50"/>
      <c r="AV16" s="50"/>
      <c r="AW16" s="50"/>
      <c r="AX16" s="50"/>
      <c r="AY16" s="50"/>
      <c r="AZ16" s="33"/>
      <c r="BA16" s="50"/>
      <c r="BB16" s="50"/>
      <c r="BC16" s="33"/>
      <c r="BD16" s="50"/>
      <c r="BE16" s="33"/>
      <c r="BF16" s="50"/>
      <c r="BG16" s="50"/>
      <c r="BH16" s="50"/>
      <c r="BI16" s="33"/>
      <c r="BJ16" s="49">
        <v>10.0</v>
      </c>
      <c r="BK16" s="50"/>
      <c r="BL16" s="50"/>
      <c r="BM16" s="33"/>
      <c r="BN16" s="33"/>
      <c r="BO16" s="48" t="s">
        <v>49</v>
      </c>
      <c r="BP16" s="33"/>
      <c r="BQ16" s="50"/>
      <c r="BR16" s="50"/>
      <c r="BS16" s="48" t="s">
        <v>65</v>
      </c>
      <c r="BT16" s="48" t="s">
        <v>21</v>
      </c>
      <c r="BU16" s="33"/>
      <c r="BV16" s="50"/>
      <c r="BW16" s="50"/>
      <c r="BX16" s="50"/>
      <c r="BY16" s="50"/>
      <c r="BZ16" s="33"/>
      <c r="CA16" s="33"/>
      <c r="CB16" s="33"/>
      <c r="CC16" s="33"/>
      <c r="CD16" s="33"/>
      <c r="CE16" s="33"/>
      <c r="CF16" s="50"/>
      <c r="CG16" s="33"/>
      <c r="CH16" s="50"/>
      <c r="CI16" s="33"/>
      <c r="CJ16" s="33"/>
      <c r="CK16" s="50"/>
      <c r="CL16" s="33"/>
      <c r="CM16" s="50"/>
      <c r="CN16" s="33"/>
      <c r="CO16" s="33"/>
      <c r="CP16" s="33"/>
      <c r="CQ16" s="33"/>
      <c r="CR16" s="50"/>
      <c r="CS16" s="50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50"/>
      <c r="FF16" s="33"/>
      <c r="FG16" s="33"/>
      <c r="FH16" s="50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2"/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2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2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2"/>
      <c r="AAX16" s="52"/>
      <c r="AAY16" s="52"/>
      <c r="AAZ16" s="52"/>
      <c r="ABA16" s="52"/>
      <c r="ABB16" s="52"/>
      <c r="ABC16" s="52"/>
      <c r="ABD16" s="52"/>
      <c r="ABE16" s="52"/>
      <c r="ABF16" s="52"/>
      <c r="ABG16" s="52"/>
      <c r="ABH16" s="52"/>
      <c r="ABI16" s="52"/>
      <c r="ABJ16" s="52"/>
      <c r="ABK16" s="52"/>
      <c r="ABL16" s="52"/>
      <c r="ABM16" s="52"/>
      <c r="ABN16" s="52"/>
      <c r="ABO16" s="52"/>
      <c r="ABP16" s="52"/>
      <c r="ABQ16" s="52"/>
      <c r="ABR16" s="52"/>
      <c r="ABS16" s="52"/>
      <c r="ABT16" s="52"/>
      <c r="ABU16" s="52"/>
      <c r="ABV16" s="52"/>
      <c r="ABW16" s="52"/>
      <c r="ABX16" s="52"/>
      <c r="ABY16" s="52"/>
      <c r="ABZ16" s="52"/>
      <c r="ACA16" s="52"/>
      <c r="ACB16" s="52"/>
      <c r="ACC16" s="52"/>
      <c r="ACD16" s="52"/>
      <c r="ACE16" s="52"/>
      <c r="ACF16" s="52"/>
      <c r="ACG16" s="52"/>
      <c r="ACH16" s="52"/>
      <c r="ACI16" s="52"/>
      <c r="ACJ16" s="52"/>
      <c r="ACK16" s="52"/>
      <c r="ACL16" s="52"/>
      <c r="ACM16" s="52"/>
      <c r="ACN16" s="52"/>
      <c r="ACO16" s="52"/>
      <c r="ACP16" s="52"/>
      <c r="ACQ16" s="52"/>
      <c r="ACR16" s="52"/>
      <c r="ACS16" s="52"/>
      <c r="ACT16" s="52"/>
      <c r="ACU16" s="52"/>
      <c r="ACV16" s="52"/>
      <c r="ACW16" s="52"/>
      <c r="ACX16" s="52"/>
      <c r="ACY16" s="52"/>
      <c r="ACZ16" s="52"/>
      <c r="ADA16" s="52"/>
      <c r="ADB16" s="52"/>
      <c r="ADC16" s="52"/>
      <c r="ADD16" s="52"/>
      <c r="ADE16" s="52"/>
      <c r="ADF16" s="52"/>
      <c r="ADG16" s="52"/>
      <c r="ADH16" s="52"/>
      <c r="ADI16" s="52"/>
      <c r="ADJ16" s="52"/>
      <c r="ADK16" s="52"/>
      <c r="ADL16" s="52"/>
      <c r="ADM16" s="52"/>
      <c r="ADN16" s="52"/>
      <c r="ADO16" s="52"/>
      <c r="ADP16" s="52"/>
      <c r="ADQ16" s="52"/>
      <c r="ADR16" s="52"/>
      <c r="ADS16" s="52"/>
      <c r="ADT16" s="52"/>
      <c r="ADU16" s="52"/>
      <c r="ADV16" s="52"/>
      <c r="ADW16" s="52"/>
      <c r="ADX16" s="52"/>
      <c r="ADY16" s="52"/>
      <c r="ADZ16" s="52"/>
      <c r="AEA16" s="52"/>
      <c r="AEB16" s="52"/>
      <c r="AEC16" s="52"/>
      <c r="AED16" s="52"/>
      <c r="AEE16" s="52"/>
      <c r="AEF16" s="52"/>
      <c r="AEG16" s="52"/>
      <c r="AEH16" s="52"/>
      <c r="AEI16" s="52"/>
      <c r="AEJ16" s="52"/>
      <c r="AEK16" s="52"/>
      <c r="AEL16" s="52"/>
      <c r="AEM16" s="52"/>
      <c r="AEN16" s="52"/>
      <c r="AEO16" s="52"/>
      <c r="AEP16" s="52"/>
      <c r="AEQ16" s="52"/>
      <c r="AER16" s="52"/>
      <c r="AES16" s="52"/>
      <c r="AET16" s="52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2"/>
      <c r="AGH16" s="52"/>
      <c r="AGI16" s="52"/>
      <c r="AGJ16" s="52"/>
      <c r="AGK16" s="52"/>
      <c r="AGL16" s="52"/>
      <c r="AGM16" s="52"/>
      <c r="AGN16" s="52"/>
      <c r="AGO16" s="52"/>
      <c r="AGP16" s="52"/>
      <c r="AGQ16" s="52"/>
      <c r="AGR16" s="52"/>
      <c r="AGS16" s="52"/>
      <c r="AGT16" s="52"/>
      <c r="AGU16" s="52"/>
      <c r="AGV16" s="52"/>
      <c r="AGW16" s="52"/>
      <c r="AGX16" s="52"/>
      <c r="AGY16" s="52"/>
      <c r="AGZ16" s="52"/>
      <c r="AHA16" s="52"/>
      <c r="AHB16" s="52"/>
      <c r="AHC16" s="52"/>
      <c r="AHD16" s="52"/>
      <c r="AHE16" s="52"/>
      <c r="AHF16" s="52"/>
      <c r="AHG16" s="52"/>
      <c r="AHH16" s="52"/>
      <c r="AHI16" s="52"/>
      <c r="AHJ16" s="52"/>
      <c r="AHK16" s="52"/>
      <c r="AHL16" s="52"/>
      <c r="AHM16" s="52"/>
      <c r="AHN16" s="52"/>
      <c r="AHO16" s="52"/>
      <c r="AHP16" s="52"/>
      <c r="AHQ16" s="52"/>
      <c r="AHR16" s="52"/>
      <c r="AHS16" s="52"/>
      <c r="AHT16" s="52"/>
      <c r="AHU16" s="52"/>
      <c r="AHV16" s="52"/>
      <c r="AHW16" s="52"/>
      <c r="AHX16" s="52"/>
      <c r="AHY16" s="52"/>
      <c r="AHZ16" s="52"/>
      <c r="AIA16" s="52"/>
      <c r="AIB16" s="52"/>
      <c r="AIC16" s="52"/>
      <c r="AID16" s="52"/>
      <c r="AIE16" s="52"/>
      <c r="AIF16" s="52"/>
      <c r="AIG16" s="52"/>
      <c r="AIH16" s="52"/>
      <c r="AII16" s="52"/>
      <c r="AIJ16" s="52"/>
      <c r="AIK16" s="52"/>
      <c r="AIL16" s="52"/>
      <c r="AIM16" s="52"/>
      <c r="AIN16" s="52"/>
      <c r="AIO16" s="52"/>
      <c r="AIP16" s="52"/>
      <c r="AIQ16" s="52"/>
      <c r="AIR16" s="52"/>
      <c r="AIS16" s="52"/>
      <c r="AIT16" s="52"/>
      <c r="AIU16" s="52"/>
      <c r="AIV16" s="52"/>
      <c r="AIW16" s="52"/>
      <c r="AIX16" s="52"/>
      <c r="AIY16" s="52"/>
      <c r="AIZ16" s="52"/>
      <c r="AJA16" s="52"/>
      <c r="AJB16" s="52"/>
      <c r="AJC16" s="52"/>
      <c r="AJD16" s="52"/>
      <c r="AJE16" s="52"/>
      <c r="AJF16" s="52"/>
      <c r="AJG16" s="52"/>
      <c r="AJH16" s="52"/>
      <c r="AJI16" s="52"/>
      <c r="AJJ16" s="52"/>
      <c r="AJK16" s="52"/>
      <c r="AJL16" s="52"/>
      <c r="AJM16" s="52"/>
      <c r="AJN16" s="52"/>
      <c r="AJO16" s="52"/>
      <c r="AJP16" s="52"/>
      <c r="AJQ16" s="52"/>
      <c r="AJR16" s="52"/>
      <c r="AJS16" s="52"/>
      <c r="AJT16" s="52"/>
      <c r="AJU16" s="52"/>
      <c r="AJV16" s="52"/>
      <c r="AJW16" s="52"/>
      <c r="AJX16" s="52"/>
      <c r="AJY16" s="52"/>
      <c r="AJZ16" s="52"/>
      <c r="AKA16" s="52"/>
      <c r="AKB16" s="52"/>
      <c r="AKC16" s="52"/>
      <c r="AKD16" s="52"/>
      <c r="AKE16" s="52"/>
      <c r="AKF16" s="52"/>
      <c r="AKG16" s="52"/>
      <c r="AKH16" s="52"/>
      <c r="AKI16" s="52"/>
      <c r="AKJ16" s="52"/>
      <c r="AKK16" s="52"/>
      <c r="AKL16" s="52"/>
      <c r="AKM16" s="52"/>
      <c r="AKN16" s="52"/>
      <c r="AKO16" s="52"/>
      <c r="AKP16" s="52"/>
      <c r="AKQ16" s="52"/>
      <c r="AKR16" s="52"/>
      <c r="AKS16" s="52"/>
      <c r="AKT16" s="52"/>
      <c r="AKU16" s="52"/>
      <c r="AKV16" s="52"/>
      <c r="AKW16" s="52"/>
      <c r="AKX16" s="52"/>
      <c r="AKY16" s="52"/>
      <c r="AKZ16" s="52"/>
      <c r="ALA16" s="52"/>
      <c r="ALB16" s="52"/>
      <c r="ALC16" s="52"/>
      <c r="ALD16" s="52"/>
      <c r="ALE16" s="52"/>
      <c r="ALF16" s="52"/>
      <c r="ALG16" s="52"/>
      <c r="ALH16" s="52"/>
      <c r="ALI16" s="52"/>
      <c r="ALJ16" s="52"/>
      <c r="ALK16" s="52"/>
      <c r="ALL16" s="52"/>
      <c r="ALM16" s="52"/>
      <c r="ALN16" s="52"/>
      <c r="ALO16" s="52"/>
      <c r="ALP16" s="52"/>
      <c r="ALQ16" s="52"/>
      <c r="ALR16" s="52"/>
      <c r="ALS16" s="52"/>
      <c r="ALT16" s="52"/>
      <c r="ALU16" s="52"/>
      <c r="ALV16" s="52"/>
      <c r="ALW16" s="52"/>
      <c r="ALX16" s="52"/>
      <c r="ALY16" s="52"/>
      <c r="ALZ16" s="52"/>
      <c r="AMA16" s="52"/>
      <c r="AMB16" s="52"/>
      <c r="AMC16" s="52"/>
      <c r="AMD16" s="52"/>
      <c r="AME16" s="52"/>
      <c r="AMF16" s="52"/>
      <c r="AMG16" s="52"/>
      <c r="AMH16" s="52"/>
      <c r="AMI16" s="52"/>
      <c r="AMJ16" s="52"/>
      <c r="AMK16" s="52"/>
      <c r="AML16" s="52"/>
    </row>
    <row r="17" ht="15.75" customHeight="1">
      <c r="A17" s="8"/>
      <c r="B17" s="48" t="s">
        <v>48</v>
      </c>
      <c r="C17" s="33"/>
      <c r="D17" s="33"/>
      <c r="E17" s="49">
        <v>10.0</v>
      </c>
      <c r="F17" s="50"/>
      <c r="G17" s="48" t="s">
        <v>63</v>
      </c>
      <c r="H17" s="33"/>
      <c r="I17" s="50"/>
      <c r="J17" s="50"/>
      <c r="K17" s="49">
        <v>10.0</v>
      </c>
      <c r="L17" s="49">
        <v>10.0</v>
      </c>
      <c r="M17" s="50"/>
      <c r="N17" s="33"/>
      <c r="O17" s="48" t="s">
        <v>64</v>
      </c>
      <c r="P17" s="33"/>
      <c r="Q17" s="33"/>
      <c r="R17" s="50"/>
      <c r="S17" s="50"/>
      <c r="T17" s="33"/>
      <c r="U17" s="50"/>
      <c r="V17" s="50"/>
      <c r="W17" s="33"/>
      <c r="X17" s="50"/>
      <c r="Y17" s="33"/>
      <c r="Z17" s="33"/>
      <c r="AA17" s="33"/>
      <c r="AB17" s="33"/>
      <c r="AC17" s="50"/>
      <c r="AD17" s="33"/>
      <c r="AE17" s="49">
        <v>10.0</v>
      </c>
      <c r="AF17" s="50"/>
      <c r="AG17" s="33"/>
      <c r="AH17" s="50"/>
      <c r="AI17" s="33"/>
      <c r="AJ17" s="50"/>
      <c r="AK17" s="33"/>
      <c r="AL17" s="33"/>
      <c r="AM17" s="33"/>
      <c r="AN17" s="33"/>
      <c r="AO17" s="51"/>
      <c r="AP17" s="33"/>
      <c r="AQ17" s="51"/>
      <c r="AR17" s="51"/>
      <c r="AS17" s="51"/>
      <c r="AT17" s="50"/>
      <c r="AU17" s="50"/>
      <c r="AV17" s="50"/>
      <c r="AW17" s="50"/>
      <c r="AX17" s="50"/>
      <c r="AY17" s="50"/>
      <c r="AZ17" s="33"/>
      <c r="BA17" s="50"/>
      <c r="BB17" s="50"/>
      <c r="BC17" s="33"/>
      <c r="BD17" s="50"/>
      <c r="BE17" s="33"/>
      <c r="BF17" s="50"/>
      <c r="BG17" s="50"/>
      <c r="BH17" s="50"/>
      <c r="BI17" s="33"/>
      <c r="BJ17" s="49">
        <v>10.0</v>
      </c>
      <c r="BK17" s="50"/>
      <c r="BL17" s="50"/>
      <c r="BM17" s="33"/>
      <c r="BN17" s="33"/>
      <c r="BO17" s="48" t="s">
        <v>49</v>
      </c>
      <c r="BP17" s="33"/>
      <c r="BQ17" s="50"/>
      <c r="BR17" s="50"/>
      <c r="BS17" s="48" t="s">
        <v>65</v>
      </c>
      <c r="BT17" s="48" t="s">
        <v>23</v>
      </c>
      <c r="BU17" s="33"/>
      <c r="BV17" s="50"/>
      <c r="BW17" s="50"/>
      <c r="BX17" s="50"/>
      <c r="BY17" s="50"/>
      <c r="BZ17" s="33"/>
      <c r="CA17" s="33"/>
      <c r="CB17" s="33"/>
      <c r="CC17" s="33"/>
      <c r="CD17" s="33"/>
      <c r="CE17" s="33"/>
      <c r="CF17" s="50"/>
      <c r="CG17" s="33"/>
      <c r="CH17" s="50"/>
      <c r="CI17" s="33"/>
      <c r="CJ17" s="33"/>
      <c r="CK17" s="50"/>
      <c r="CL17" s="33"/>
      <c r="CM17" s="50"/>
      <c r="CN17" s="33"/>
      <c r="CO17" s="33"/>
      <c r="CP17" s="33"/>
      <c r="CQ17" s="33"/>
      <c r="CR17" s="50"/>
      <c r="CS17" s="50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50"/>
      <c r="FF17" s="33"/>
      <c r="FG17" s="33"/>
      <c r="FH17" s="50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2"/>
      <c r="JN17" s="52"/>
      <c r="JO17" s="52"/>
      <c r="JP17" s="52"/>
      <c r="JQ17" s="52"/>
      <c r="JR17" s="52"/>
      <c r="JS17" s="52"/>
      <c r="JT17" s="52"/>
      <c r="JU17" s="52"/>
      <c r="JV17" s="52"/>
      <c r="JW17" s="52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2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52"/>
      <c r="OB17" s="52"/>
      <c r="OC17" s="52"/>
      <c r="OD17" s="52"/>
      <c r="OE17" s="52"/>
      <c r="OF17" s="52"/>
      <c r="OG17" s="52"/>
      <c r="OH17" s="52"/>
      <c r="OI17" s="52"/>
      <c r="OJ17" s="52"/>
      <c r="OK17" s="52"/>
      <c r="OL17" s="52"/>
      <c r="OM17" s="52"/>
      <c r="ON17" s="52"/>
      <c r="OO17" s="52"/>
      <c r="OP17" s="52"/>
      <c r="OQ17" s="52"/>
      <c r="OR17" s="52"/>
      <c r="OS17" s="52"/>
      <c r="OT17" s="52"/>
      <c r="OU17" s="52"/>
      <c r="OV17" s="52"/>
      <c r="OW17" s="52"/>
      <c r="OX17" s="52"/>
      <c r="OY17" s="52"/>
      <c r="OZ17" s="52"/>
      <c r="PA17" s="52"/>
      <c r="PB17" s="52"/>
      <c r="PC17" s="52"/>
      <c r="PD17" s="52"/>
      <c r="PE17" s="52"/>
      <c r="PF17" s="52"/>
      <c r="PG17" s="52"/>
      <c r="PH17" s="52"/>
      <c r="PI17" s="52"/>
      <c r="PJ17" s="52"/>
      <c r="PK17" s="52"/>
      <c r="PL17" s="52"/>
      <c r="PM17" s="52"/>
      <c r="PN17" s="52"/>
      <c r="PO17" s="52"/>
      <c r="PP17" s="52"/>
      <c r="PQ17" s="52"/>
      <c r="PR17" s="52"/>
      <c r="PS17" s="52"/>
      <c r="PT17" s="52"/>
      <c r="PU17" s="52"/>
      <c r="PV17" s="52"/>
      <c r="PW17" s="52"/>
      <c r="PX17" s="52"/>
      <c r="PY17" s="52"/>
      <c r="PZ17" s="52"/>
      <c r="QA17" s="52"/>
      <c r="QB17" s="52"/>
      <c r="QC17" s="52"/>
      <c r="QD17" s="52"/>
      <c r="QE17" s="52"/>
      <c r="QF17" s="52"/>
      <c r="QG17" s="52"/>
      <c r="QH17" s="52"/>
      <c r="QI17" s="52"/>
      <c r="QJ17" s="52"/>
      <c r="QK17" s="52"/>
      <c r="QL17" s="52"/>
      <c r="QM17" s="52"/>
      <c r="QN17" s="52"/>
      <c r="QO17" s="52"/>
      <c r="QP17" s="52"/>
      <c r="QQ17" s="52"/>
      <c r="QR17" s="52"/>
      <c r="QS17" s="52"/>
      <c r="QT17" s="52"/>
      <c r="QU17" s="52"/>
      <c r="QV17" s="52"/>
      <c r="QW17" s="52"/>
      <c r="QX17" s="52"/>
      <c r="QY17" s="52"/>
      <c r="QZ17" s="52"/>
      <c r="RA17" s="52"/>
      <c r="RB17" s="52"/>
      <c r="RC17" s="52"/>
      <c r="RD17" s="52"/>
      <c r="RE17" s="52"/>
      <c r="RF17" s="52"/>
      <c r="RG17" s="52"/>
      <c r="RH17" s="52"/>
      <c r="RI17" s="52"/>
      <c r="RJ17" s="52"/>
      <c r="RK17" s="52"/>
      <c r="RL17" s="52"/>
      <c r="RM17" s="52"/>
      <c r="RN17" s="52"/>
      <c r="RO17" s="52"/>
      <c r="RP17" s="52"/>
      <c r="RQ17" s="52"/>
      <c r="RR17" s="52"/>
      <c r="RS17" s="52"/>
      <c r="RT17" s="52"/>
      <c r="RU17" s="52"/>
      <c r="RV17" s="52"/>
      <c r="RW17" s="52"/>
      <c r="RX17" s="52"/>
      <c r="RY17" s="52"/>
      <c r="RZ17" s="52"/>
      <c r="SA17" s="52"/>
      <c r="SB17" s="52"/>
      <c r="SC17" s="52"/>
      <c r="SD17" s="52"/>
      <c r="SE17" s="52"/>
      <c r="SF17" s="52"/>
      <c r="SG17" s="52"/>
      <c r="SH17" s="52"/>
      <c r="SI17" s="52"/>
      <c r="SJ17" s="52"/>
      <c r="SK17" s="52"/>
      <c r="SL17" s="52"/>
      <c r="SM17" s="52"/>
      <c r="SN17" s="52"/>
      <c r="SO17" s="52"/>
      <c r="SP17" s="52"/>
      <c r="SQ17" s="52"/>
      <c r="SR17" s="52"/>
      <c r="SS17" s="52"/>
      <c r="ST17" s="52"/>
      <c r="SU17" s="52"/>
      <c r="SV17" s="52"/>
      <c r="SW17" s="52"/>
      <c r="SX17" s="52"/>
      <c r="SY17" s="52"/>
      <c r="SZ17" s="52"/>
      <c r="TA17" s="52"/>
      <c r="TB17" s="52"/>
      <c r="TC17" s="52"/>
      <c r="TD17" s="52"/>
      <c r="TE17" s="52"/>
      <c r="TF17" s="52"/>
      <c r="TG17" s="52"/>
      <c r="TH17" s="52"/>
      <c r="TI17" s="52"/>
      <c r="TJ17" s="52"/>
      <c r="TK17" s="52"/>
      <c r="TL17" s="52"/>
      <c r="TM17" s="52"/>
      <c r="TN17" s="52"/>
      <c r="TO17" s="52"/>
      <c r="TP17" s="52"/>
      <c r="TQ17" s="52"/>
      <c r="TR17" s="52"/>
      <c r="TS17" s="52"/>
      <c r="TT17" s="52"/>
      <c r="TU17" s="52"/>
      <c r="TV17" s="52"/>
      <c r="TW17" s="52"/>
      <c r="TX17" s="52"/>
      <c r="TY17" s="52"/>
      <c r="TZ17" s="52"/>
      <c r="UA17" s="52"/>
      <c r="UB17" s="52"/>
      <c r="UC17" s="52"/>
      <c r="UD17" s="52"/>
      <c r="UE17" s="52"/>
      <c r="UF17" s="52"/>
      <c r="UG17" s="52"/>
      <c r="UH17" s="52"/>
      <c r="UI17" s="52"/>
      <c r="UJ17" s="52"/>
      <c r="UK17" s="52"/>
      <c r="UL17" s="52"/>
      <c r="UM17" s="52"/>
      <c r="UN17" s="52"/>
      <c r="UO17" s="52"/>
      <c r="UP17" s="52"/>
      <c r="UQ17" s="52"/>
      <c r="UR17" s="52"/>
      <c r="US17" s="52"/>
      <c r="UT17" s="52"/>
      <c r="UU17" s="52"/>
      <c r="UV17" s="52"/>
      <c r="UW17" s="52"/>
      <c r="UX17" s="52"/>
      <c r="UY17" s="52"/>
      <c r="UZ17" s="52"/>
      <c r="VA17" s="52"/>
      <c r="VB17" s="52"/>
      <c r="VC17" s="52"/>
      <c r="VD17" s="52"/>
      <c r="VE17" s="52"/>
      <c r="VF17" s="52"/>
      <c r="VG17" s="52"/>
      <c r="VH17" s="52"/>
      <c r="VI17" s="52"/>
      <c r="VJ17" s="52"/>
      <c r="VK17" s="52"/>
      <c r="VL17" s="52"/>
      <c r="VM17" s="52"/>
      <c r="VN17" s="52"/>
      <c r="VO17" s="52"/>
      <c r="VP17" s="52"/>
      <c r="VQ17" s="52"/>
      <c r="VR17" s="52"/>
      <c r="VS17" s="52"/>
      <c r="VT17" s="52"/>
      <c r="VU17" s="52"/>
      <c r="VV17" s="52"/>
      <c r="VW17" s="52"/>
      <c r="VX17" s="52"/>
      <c r="VY17" s="52"/>
      <c r="VZ17" s="52"/>
      <c r="WA17" s="52"/>
      <c r="WB17" s="52"/>
      <c r="WC17" s="52"/>
      <c r="WD17" s="52"/>
      <c r="WE17" s="52"/>
      <c r="WF17" s="52"/>
      <c r="WG17" s="52"/>
      <c r="WH17" s="52"/>
      <c r="WI17" s="52"/>
      <c r="WJ17" s="52"/>
      <c r="WK17" s="52"/>
      <c r="WL17" s="52"/>
      <c r="WM17" s="52"/>
      <c r="WN17" s="52"/>
      <c r="WO17" s="52"/>
      <c r="WP17" s="52"/>
      <c r="WQ17" s="52"/>
      <c r="WR17" s="52"/>
      <c r="WS17" s="52"/>
      <c r="WT17" s="52"/>
      <c r="WU17" s="52"/>
      <c r="WV17" s="52"/>
      <c r="WW17" s="52"/>
      <c r="WX17" s="52"/>
      <c r="WY17" s="52"/>
      <c r="WZ17" s="52"/>
      <c r="XA17" s="52"/>
      <c r="XB17" s="52"/>
      <c r="XC17" s="52"/>
      <c r="XD17" s="52"/>
      <c r="XE17" s="52"/>
      <c r="XF17" s="52"/>
      <c r="XG17" s="52"/>
      <c r="XH17" s="52"/>
      <c r="XI17" s="52"/>
      <c r="XJ17" s="52"/>
      <c r="XK17" s="52"/>
      <c r="XL17" s="52"/>
      <c r="XM17" s="52"/>
      <c r="XN17" s="52"/>
      <c r="XO17" s="52"/>
      <c r="XP17" s="52"/>
      <c r="XQ17" s="52"/>
      <c r="XR17" s="52"/>
      <c r="XS17" s="52"/>
      <c r="XT17" s="52"/>
      <c r="XU17" s="52"/>
      <c r="XV17" s="52"/>
      <c r="XW17" s="52"/>
      <c r="XX17" s="52"/>
      <c r="XY17" s="52"/>
      <c r="XZ17" s="52"/>
      <c r="YA17" s="52"/>
      <c r="YB17" s="52"/>
      <c r="YC17" s="52"/>
      <c r="YD17" s="52"/>
      <c r="YE17" s="52"/>
      <c r="YF17" s="52"/>
      <c r="YG17" s="52"/>
      <c r="YH17" s="52"/>
      <c r="YI17" s="52"/>
      <c r="YJ17" s="52"/>
      <c r="YK17" s="52"/>
      <c r="YL17" s="52"/>
      <c r="YM17" s="52"/>
      <c r="YN17" s="52"/>
      <c r="YO17" s="52"/>
      <c r="YP17" s="52"/>
      <c r="YQ17" s="52"/>
      <c r="YR17" s="52"/>
      <c r="YS17" s="52"/>
      <c r="YT17" s="52"/>
      <c r="YU17" s="52"/>
      <c r="YV17" s="52"/>
      <c r="YW17" s="52"/>
      <c r="YX17" s="52"/>
      <c r="YY17" s="52"/>
      <c r="YZ17" s="52"/>
      <c r="ZA17" s="52"/>
      <c r="ZB17" s="52"/>
      <c r="ZC17" s="52"/>
      <c r="ZD17" s="52"/>
      <c r="ZE17" s="52"/>
      <c r="ZF17" s="52"/>
      <c r="ZG17" s="52"/>
      <c r="ZH17" s="52"/>
      <c r="ZI17" s="52"/>
      <c r="ZJ17" s="52"/>
      <c r="ZK17" s="52"/>
      <c r="ZL17" s="52"/>
      <c r="ZM17" s="52"/>
      <c r="ZN17" s="52"/>
      <c r="ZO17" s="52"/>
      <c r="ZP17" s="52"/>
      <c r="ZQ17" s="52"/>
      <c r="ZR17" s="52"/>
      <c r="ZS17" s="52"/>
      <c r="ZT17" s="52"/>
      <c r="ZU17" s="52"/>
      <c r="ZV17" s="52"/>
      <c r="ZW17" s="52"/>
      <c r="ZX17" s="52"/>
      <c r="ZY17" s="52"/>
      <c r="ZZ17" s="52"/>
      <c r="AAA17" s="52"/>
      <c r="AAB17" s="52"/>
      <c r="AAC17" s="52"/>
      <c r="AAD17" s="52"/>
      <c r="AAE17" s="52"/>
      <c r="AAF17" s="52"/>
      <c r="AAG17" s="52"/>
      <c r="AAH17" s="52"/>
      <c r="AAI17" s="52"/>
      <c r="AAJ17" s="52"/>
      <c r="AAK17" s="52"/>
      <c r="AAL17" s="52"/>
      <c r="AAM17" s="52"/>
      <c r="AAN17" s="52"/>
      <c r="AAO17" s="52"/>
      <c r="AAP17" s="52"/>
      <c r="AAQ17" s="52"/>
      <c r="AAR17" s="52"/>
      <c r="AAS17" s="52"/>
      <c r="AAT17" s="52"/>
      <c r="AAU17" s="52"/>
      <c r="AAV17" s="52"/>
      <c r="AAW17" s="52"/>
      <c r="AAX17" s="52"/>
      <c r="AAY17" s="52"/>
      <c r="AAZ17" s="52"/>
      <c r="ABA17" s="52"/>
      <c r="ABB17" s="52"/>
      <c r="ABC17" s="52"/>
      <c r="ABD17" s="52"/>
      <c r="ABE17" s="52"/>
      <c r="ABF17" s="52"/>
      <c r="ABG17" s="52"/>
      <c r="ABH17" s="52"/>
      <c r="ABI17" s="52"/>
      <c r="ABJ17" s="52"/>
      <c r="ABK17" s="52"/>
      <c r="ABL17" s="52"/>
      <c r="ABM17" s="52"/>
      <c r="ABN17" s="52"/>
      <c r="ABO17" s="52"/>
      <c r="ABP17" s="52"/>
      <c r="ABQ17" s="52"/>
      <c r="ABR17" s="52"/>
      <c r="ABS17" s="52"/>
      <c r="ABT17" s="52"/>
      <c r="ABU17" s="52"/>
      <c r="ABV17" s="52"/>
      <c r="ABW17" s="52"/>
      <c r="ABX17" s="52"/>
      <c r="ABY17" s="52"/>
      <c r="ABZ17" s="52"/>
      <c r="ACA17" s="52"/>
      <c r="ACB17" s="52"/>
      <c r="ACC17" s="52"/>
      <c r="ACD17" s="52"/>
      <c r="ACE17" s="52"/>
      <c r="ACF17" s="52"/>
      <c r="ACG17" s="52"/>
      <c r="ACH17" s="52"/>
      <c r="ACI17" s="52"/>
      <c r="ACJ17" s="52"/>
      <c r="ACK17" s="52"/>
      <c r="ACL17" s="52"/>
      <c r="ACM17" s="52"/>
      <c r="ACN17" s="52"/>
      <c r="ACO17" s="52"/>
      <c r="ACP17" s="52"/>
      <c r="ACQ17" s="52"/>
      <c r="ACR17" s="52"/>
      <c r="ACS17" s="52"/>
      <c r="ACT17" s="52"/>
      <c r="ACU17" s="52"/>
      <c r="ACV17" s="52"/>
      <c r="ACW17" s="52"/>
      <c r="ACX17" s="52"/>
      <c r="ACY17" s="52"/>
      <c r="ACZ17" s="52"/>
      <c r="ADA17" s="52"/>
      <c r="ADB17" s="52"/>
      <c r="ADC17" s="52"/>
      <c r="ADD17" s="52"/>
      <c r="ADE17" s="52"/>
      <c r="ADF17" s="52"/>
      <c r="ADG17" s="52"/>
      <c r="ADH17" s="52"/>
      <c r="ADI17" s="52"/>
      <c r="ADJ17" s="52"/>
      <c r="ADK17" s="52"/>
      <c r="ADL17" s="52"/>
      <c r="ADM17" s="52"/>
      <c r="ADN17" s="52"/>
      <c r="ADO17" s="52"/>
      <c r="ADP17" s="52"/>
      <c r="ADQ17" s="52"/>
      <c r="ADR17" s="52"/>
      <c r="ADS17" s="52"/>
      <c r="ADT17" s="52"/>
      <c r="ADU17" s="52"/>
      <c r="ADV17" s="52"/>
      <c r="ADW17" s="52"/>
      <c r="ADX17" s="52"/>
      <c r="ADY17" s="52"/>
      <c r="ADZ17" s="52"/>
      <c r="AEA17" s="52"/>
      <c r="AEB17" s="52"/>
      <c r="AEC17" s="52"/>
      <c r="AED17" s="52"/>
      <c r="AEE17" s="52"/>
      <c r="AEF17" s="52"/>
      <c r="AEG17" s="52"/>
      <c r="AEH17" s="52"/>
      <c r="AEI17" s="52"/>
      <c r="AEJ17" s="52"/>
      <c r="AEK17" s="52"/>
      <c r="AEL17" s="52"/>
      <c r="AEM17" s="52"/>
      <c r="AEN17" s="52"/>
      <c r="AEO17" s="52"/>
      <c r="AEP17" s="52"/>
      <c r="AEQ17" s="52"/>
      <c r="AER17" s="52"/>
      <c r="AES17" s="52"/>
      <c r="AET17" s="52"/>
      <c r="AEU17" s="52"/>
      <c r="AEV17" s="52"/>
      <c r="AEW17" s="52"/>
      <c r="AEX17" s="52"/>
      <c r="AEY17" s="52"/>
      <c r="AEZ17" s="52"/>
      <c r="AFA17" s="52"/>
      <c r="AFB17" s="52"/>
      <c r="AFC17" s="52"/>
      <c r="AFD17" s="52"/>
      <c r="AFE17" s="52"/>
      <c r="AFF17" s="52"/>
      <c r="AFG17" s="52"/>
      <c r="AFH17" s="52"/>
      <c r="AFI17" s="52"/>
      <c r="AFJ17" s="52"/>
      <c r="AFK17" s="52"/>
      <c r="AFL17" s="52"/>
      <c r="AFM17" s="52"/>
      <c r="AFN17" s="52"/>
      <c r="AFO17" s="52"/>
      <c r="AFP17" s="52"/>
      <c r="AFQ17" s="52"/>
      <c r="AFR17" s="52"/>
      <c r="AFS17" s="52"/>
      <c r="AFT17" s="52"/>
      <c r="AFU17" s="52"/>
      <c r="AFV17" s="52"/>
      <c r="AFW17" s="52"/>
      <c r="AFX17" s="52"/>
      <c r="AFY17" s="52"/>
      <c r="AFZ17" s="52"/>
      <c r="AGA17" s="52"/>
      <c r="AGB17" s="52"/>
      <c r="AGC17" s="52"/>
      <c r="AGD17" s="52"/>
      <c r="AGE17" s="52"/>
      <c r="AGF17" s="52"/>
      <c r="AGG17" s="52"/>
      <c r="AGH17" s="52"/>
      <c r="AGI17" s="52"/>
      <c r="AGJ17" s="52"/>
      <c r="AGK17" s="52"/>
      <c r="AGL17" s="52"/>
      <c r="AGM17" s="52"/>
      <c r="AGN17" s="52"/>
      <c r="AGO17" s="52"/>
      <c r="AGP17" s="52"/>
      <c r="AGQ17" s="52"/>
      <c r="AGR17" s="52"/>
      <c r="AGS17" s="52"/>
      <c r="AGT17" s="52"/>
      <c r="AGU17" s="52"/>
      <c r="AGV17" s="52"/>
      <c r="AGW17" s="52"/>
      <c r="AGX17" s="52"/>
      <c r="AGY17" s="52"/>
      <c r="AGZ17" s="52"/>
      <c r="AHA17" s="52"/>
      <c r="AHB17" s="52"/>
      <c r="AHC17" s="52"/>
      <c r="AHD17" s="52"/>
      <c r="AHE17" s="52"/>
      <c r="AHF17" s="52"/>
      <c r="AHG17" s="52"/>
      <c r="AHH17" s="52"/>
      <c r="AHI17" s="52"/>
      <c r="AHJ17" s="52"/>
      <c r="AHK17" s="52"/>
      <c r="AHL17" s="52"/>
      <c r="AHM17" s="52"/>
      <c r="AHN17" s="52"/>
      <c r="AHO17" s="52"/>
      <c r="AHP17" s="52"/>
      <c r="AHQ17" s="52"/>
      <c r="AHR17" s="52"/>
      <c r="AHS17" s="52"/>
      <c r="AHT17" s="52"/>
      <c r="AHU17" s="52"/>
      <c r="AHV17" s="52"/>
      <c r="AHW17" s="52"/>
      <c r="AHX17" s="52"/>
      <c r="AHY17" s="52"/>
      <c r="AHZ17" s="52"/>
      <c r="AIA17" s="52"/>
      <c r="AIB17" s="52"/>
      <c r="AIC17" s="52"/>
      <c r="AID17" s="52"/>
      <c r="AIE17" s="52"/>
      <c r="AIF17" s="52"/>
      <c r="AIG17" s="52"/>
      <c r="AIH17" s="52"/>
      <c r="AII17" s="52"/>
      <c r="AIJ17" s="52"/>
      <c r="AIK17" s="52"/>
      <c r="AIL17" s="52"/>
      <c r="AIM17" s="52"/>
      <c r="AIN17" s="52"/>
      <c r="AIO17" s="52"/>
      <c r="AIP17" s="52"/>
      <c r="AIQ17" s="52"/>
      <c r="AIR17" s="52"/>
      <c r="AIS17" s="52"/>
      <c r="AIT17" s="52"/>
      <c r="AIU17" s="52"/>
      <c r="AIV17" s="52"/>
      <c r="AIW17" s="52"/>
      <c r="AIX17" s="52"/>
      <c r="AIY17" s="52"/>
      <c r="AIZ17" s="52"/>
      <c r="AJA17" s="52"/>
      <c r="AJB17" s="52"/>
      <c r="AJC17" s="52"/>
      <c r="AJD17" s="52"/>
      <c r="AJE17" s="52"/>
      <c r="AJF17" s="52"/>
      <c r="AJG17" s="52"/>
      <c r="AJH17" s="52"/>
      <c r="AJI17" s="52"/>
      <c r="AJJ17" s="52"/>
      <c r="AJK17" s="52"/>
      <c r="AJL17" s="52"/>
      <c r="AJM17" s="52"/>
      <c r="AJN17" s="52"/>
      <c r="AJO17" s="52"/>
      <c r="AJP17" s="52"/>
      <c r="AJQ17" s="52"/>
      <c r="AJR17" s="52"/>
      <c r="AJS17" s="52"/>
      <c r="AJT17" s="52"/>
      <c r="AJU17" s="52"/>
      <c r="AJV17" s="52"/>
      <c r="AJW17" s="52"/>
      <c r="AJX17" s="52"/>
      <c r="AJY17" s="52"/>
      <c r="AJZ17" s="52"/>
      <c r="AKA17" s="52"/>
      <c r="AKB17" s="52"/>
      <c r="AKC17" s="52"/>
      <c r="AKD17" s="52"/>
      <c r="AKE17" s="52"/>
      <c r="AKF17" s="52"/>
      <c r="AKG17" s="52"/>
      <c r="AKH17" s="52"/>
      <c r="AKI17" s="52"/>
      <c r="AKJ17" s="52"/>
      <c r="AKK17" s="52"/>
      <c r="AKL17" s="52"/>
      <c r="AKM17" s="52"/>
      <c r="AKN17" s="52"/>
      <c r="AKO17" s="52"/>
      <c r="AKP17" s="52"/>
      <c r="AKQ17" s="52"/>
      <c r="AKR17" s="52"/>
      <c r="AKS17" s="52"/>
      <c r="AKT17" s="52"/>
      <c r="AKU17" s="52"/>
      <c r="AKV17" s="52"/>
      <c r="AKW17" s="52"/>
      <c r="AKX17" s="52"/>
      <c r="AKY17" s="52"/>
      <c r="AKZ17" s="52"/>
      <c r="ALA17" s="52"/>
      <c r="ALB17" s="52"/>
      <c r="ALC17" s="52"/>
      <c r="ALD17" s="52"/>
      <c r="ALE17" s="52"/>
      <c r="ALF17" s="52"/>
      <c r="ALG17" s="52"/>
      <c r="ALH17" s="52"/>
      <c r="ALI17" s="52"/>
      <c r="ALJ17" s="52"/>
      <c r="ALK17" s="52"/>
      <c r="ALL17" s="52"/>
      <c r="ALM17" s="52"/>
      <c r="ALN17" s="52"/>
      <c r="ALO17" s="52"/>
      <c r="ALP17" s="52"/>
      <c r="ALQ17" s="52"/>
      <c r="ALR17" s="52"/>
      <c r="ALS17" s="52"/>
      <c r="ALT17" s="52"/>
      <c r="ALU17" s="52"/>
      <c r="ALV17" s="52"/>
      <c r="ALW17" s="52"/>
      <c r="ALX17" s="52"/>
      <c r="ALY17" s="52"/>
      <c r="ALZ17" s="52"/>
      <c r="AMA17" s="52"/>
      <c r="AMB17" s="52"/>
      <c r="AMC17" s="52"/>
      <c r="AMD17" s="52"/>
      <c r="AME17" s="52"/>
      <c r="AMF17" s="52"/>
      <c r="AMG17" s="52"/>
      <c r="AMH17" s="52"/>
      <c r="AMI17" s="52"/>
      <c r="AMJ17" s="52"/>
      <c r="AMK17" s="52"/>
      <c r="AML17" s="52"/>
    </row>
    <row r="18" ht="15.75" customHeight="1">
      <c r="A18" s="8"/>
      <c r="B18" s="48" t="s">
        <v>48</v>
      </c>
      <c r="C18" s="33"/>
      <c r="D18" s="33"/>
      <c r="E18" s="54">
        <v>1100.0</v>
      </c>
      <c r="F18" s="50"/>
      <c r="G18" s="48" t="s">
        <v>66</v>
      </c>
      <c r="H18" s="33"/>
      <c r="I18" s="50"/>
      <c r="J18" s="50"/>
      <c r="K18" s="49">
        <v>1.0</v>
      </c>
      <c r="L18" s="49">
        <v>1.0</v>
      </c>
      <c r="M18" s="50"/>
      <c r="N18" s="33"/>
      <c r="O18" s="48" t="s">
        <v>64</v>
      </c>
      <c r="P18" s="33"/>
      <c r="Q18" s="33"/>
      <c r="R18" s="50"/>
      <c r="S18" s="50"/>
      <c r="T18" s="33"/>
      <c r="U18" s="50"/>
      <c r="V18" s="50"/>
      <c r="W18" s="33"/>
      <c r="X18" s="50"/>
      <c r="Y18" s="33"/>
      <c r="Z18" s="33"/>
      <c r="AA18" s="33"/>
      <c r="AB18" s="33"/>
      <c r="AC18" s="50"/>
      <c r="AD18" s="33"/>
      <c r="AE18" s="54">
        <v>1100.0</v>
      </c>
      <c r="AF18" s="50"/>
      <c r="AG18" s="33"/>
      <c r="AH18" s="50"/>
      <c r="AI18" s="33"/>
      <c r="AJ18" s="50"/>
      <c r="AK18" s="33"/>
      <c r="AL18" s="33"/>
      <c r="AM18" s="33"/>
      <c r="AN18" s="33"/>
      <c r="AO18" s="51"/>
      <c r="AP18" s="33"/>
      <c r="AQ18" s="51"/>
      <c r="AR18" s="51"/>
      <c r="AS18" s="51"/>
      <c r="AT18" s="50"/>
      <c r="AU18" s="50"/>
      <c r="AV18" s="50"/>
      <c r="AW18" s="50"/>
      <c r="AX18" s="50"/>
      <c r="AY18" s="50"/>
      <c r="AZ18" s="33"/>
      <c r="BA18" s="50"/>
      <c r="BB18" s="50"/>
      <c r="BC18" s="33"/>
      <c r="BD18" s="50"/>
      <c r="BE18" s="33"/>
      <c r="BF18" s="50"/>
      <c r="BG18" s="50"/>
      <c r="BH18" s="50"/>
      <c r="BI18" s="33"/>
      <c r="BJ18" s="54">
        <v>1100.0</v>
      </c>
      <c r="BK18" s="50"/>
      <c r="BL18" s="50"/>
      <c r="BM18" s="33"/>
      <c r="BN18" s="33"/>
      <c r="BO18" s="48" t="s">
        <v>40</v>
      </c>
      <c r="BP18" s="33"/>
      <c r="BQ18" s="50"/>
      <c r="BR18" s="50"/>
      <c r="BS18" s="48" t="s">
        <v>65</v>
      </c>
      <c r="BT18" s="48" t="s">
        <v>47</v>
      </c>
      <c r="BU18" s="33"/>
      <c r="BV18" s="50"/>
      <c r="BW18" s="50"/>
      <c r="BX18" s="50"/>
      <c r="BY18" s="50"/>
      <c r="BZ18" s="33"/>
      <c r="CA18" s="33"/>
      <c r="CB18" s="33"/>
      <c r="CC18" s="33"/>
      <c r="CD18" s="33"/>
      <c r="CE18" s="33"/>
      <c r="CF18" s="50"/>
      <c r="CG18" s="33"/>
      <c r="CH18" s="50"/>
      <c r="CI18" s="33"/>
      <c r="CJ18" s="33"/>
      <c r="CK18" s="50"/>
      <c r="CL18" s="33"/>
      <c r="CM18" s="50"/>
      <c r="CN18" s="33"/>
      <c r="CO18" s="33"/>
      <c r="CP18" s="33"/>
      <c r="CQ18" s="33"/>
      <c r="CR18" s="50"/>
      <c r="CS18" s="50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50"/>
      <c r="FF18" s="33"/>
      <c r="FG18" s="33"/>
      <c r="FH18" s="50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2"/>
      <c r="JL18" s="52"/>
      <c r="JM18" s="52"/>
      <c r="JN18" s="52"/>
      <c r="JO18" s="52"/>
      <c r="JP18" s="52"/>
      <c r="JQ18" s="52"/>
      <c r="JR18" s="52"/>
      <c r="JS18" s="52"/>
      <c r="JT18" s="52"/>
      <c r="JU18" s="52"/>
      <c r="JV18" s="52"/>
      <c r="JW18" s="52"/>
      <c r="JX18" s="52"/>
      <c r="JY18" s="52"/>
      <c r="JZ18" s="52"/>
      <c r="KA18" s="52"/>
      <c r="KB18" s="52"/>
      <c r="KC18" s="52"/>
      <c r="KD18" s="52"/>
      <c r="KE18" s="52"/>
      <c r="KF18" s="52"/>
      <c r="KG18" s="52"/>
      <c r="KH18" s="52"/>
      <c r="KI18" s="52"/>
      <c r="KJ18" s="52"/>
      <c r="KK18" s="52"/>
      <c r="KL18" s="52"/>
      <c r="KM18" s="52"/>
      <c r="KN18" s="52"/>
      <c r="KO18" s="52"/>
      <c r="KP18" s="52"/>
      <c r="KQ18" s="52"/>
      <c r="KR18" s="52"/>
      <c r="KS18" s="52"/>
      <c r="KT18" s="52"/>
      <c r="KU18" s="52"/>
      <c r="KV18" s="52"/>
      <c r="KW18" s="52"/>
      <c r="KX18" s="52"/>
      <c r="KY18" s="52"/>
      <c r="KZ18" s="52"/>
      <c r="LA18" s="52"/>
      <c r="LB18" s="52"/>
      <c r="LC18" s="52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2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2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2"/>
      <c r="NO18" s="52"/>
      <c r="NP18" s="52"/>
      <c r="NQ18" s="52"/>
      <c r="NR18" s="52"/>
      <c r="NS18" s="52"/>
      <c r="NT18" s="52"/>
      <c r="NU18" s="52"/>
      <c r="NV18" s="52"/>
      <c r="NW18" s="52"/>
      <c r="NX18" s="52"/>
      <c r="NY18" s="52"/>
      <c r="NZ18" s="52"/>
      <c r="OA18" s="52"/>
      <c r="OB18" s="52"/>
      <c r="OC18" s="52"/>
      <c r="OD18" s="52"/>
      <c r="OE18" s="52"/>
      <c r="OF18" s="52"/>
      <c r="OG18" s="52"/>
      <c r="OH18" s="52"/>
      <c r="OI18" s="52"/>
      <c r="OJ18" s="52"/>
      <c r="OK18" s="52"/>
      <c r="OL18" s="52"/>
      <c r="OM18" s="52"/>
      <c r="ON18" s="52"/>
      <c r="OO18" s="52"/>
      <c r="OP18" s="52"/>
      <c r="OQ18" s="52"/>
      <c r="OR18" s="52"/>
      <c r="OS18" s="52"/>
      <c r="OT18" s="52"/>
      <c r="OU18" s="52"/>
      <c r="OV18" s="52"/>
      <c r="OW18" s="52"/>
      <c r="OX18" s="52"/>
      <c r="OY18" s="52"/>
      <c r="OZ18" s="52"/>
      <c r="PA18" s="52"/>
      <c r="PB18" s="52"/>
      <c r="PC18" s="52"/>
      <c r="PD18" s="52"/>
      <c r="PE18" s="52"/>
      <c r="PF18" s="52"/>
      <c r="PG18" s="52"/>
      <c r="PH18" s="52"/>
      <c r="PI18" s="52"/>
      <c r="PJ18" s="52"/>
      <c r="PK18" s="52"/>
      <c r="PL18" s="52"/>
      <c r="PM18" s="52"/>
      <c r="PN18" s="52"/>
      <c r="PO18" s="52"/>
      <c r="PP18" s="52"/>
      <c r="PQ18" s="52"/>
      <c r="PR18" s="52"/>
      <c r="PS18" s="52"/>
      <c r="PT18" s="52"/>
      <c r="PU18" s="52"/>
      <c r="PV18" s="52"/>
      <c r="PW18" s="52"/>
      <c r="PX18" s="52"/>
      <c r="PY18" s="52"/>
      <c r="PZ18" s="52"/>
      <c r="QA18" s="52"/>
      <c r="QB18" s="52"/>
      <c r="QC18" s="52"/>
      <c r="QD18" s="52"/>
      <c r="QE18" s="52"/>
      <c r="QF18" s="52"/>
      <c r="QG18" s="52"/>
      <c r="QH18" s="52"/>
      <c r="QI18" s="52"/>
      <c r="QJ18" s="52"/>
      <c r="QK18" s="52"/>
      <c r="QL18" s="52"/>
      <c r="QM18" s="52"/>
      <c r="QN18" s="52"/>
      <c r="QO18" s="52"/>
      <c r="QP18" s="52"/>
      <c r="QQ18" s="52"/>
      <c r="QR18" s="52"/>
      <c r="QS18" s="52"/>
      <c r="QT18" s="52"/>
      <c r="QU18" s="52"/>
      <c r="QV18" s="52"/>
      <c r="QW18" s="52"/>
      <c r="QX18" s="52"/>
      <c r="QY18" s="52"/>
      <c r="QZ18" s="52"/>
      <c r="RA18" s="52"/>
      <c r="RB18" s="52"/>
      <c r="RC18" s="52"/>
      <c r="RD18" s="52"/>
      <c r="RE18" s="52"/>
      <c r="RF18" s="52"/>
      <c r="RG18" s="52"/>
      <c r="RH18" s="52"/>
      <c r="RI18" s="52"/>
      <c r="RJ18" s="52"/>
      <c r="RK18" s="52"/>
      <c r="RL18" s="52"/>
      <c r="RM18" s="52"/>
      <c r="RN18" s="52"/>
      <c r="RO18" s="52"/>
      <c r="RP18" s="52"/>
      <c r="RQ18" s="52"/>
      <c r="RR18" s="52"/>
      <c r="RS18" s="52"/>
      <c r="RT18" s="52"/>
      <c r="RU18" s="52"/>
      <c r="RV18" s="52"/>
      <c r="RW18" s="52"/>
      <c r="RX18" s="52"/>
      <c r="RY18" s="52"/>
      <c r="RZ18" s="52"/>
      <c r="SA18" s="52"/>
      <c r="SB18" s="52"/>
      <c r="SC18" s="52"/>
      <c r="SD18" s="52"/>
      <c r="SE18" s="52"/>
      <c r="SF18" s="52"/>
      <c r="SG18" s="52"/>
      <c r="SH18" s="52"/>
      <c r="SI18" s="52"/>
      <c r="SJ18" s="52"/>
      <c r="SK18" s="52"/>
      <c r="SL18" s="52"/>
      <c r="SM18" s="52"/>
      <c r="SN18" s="52"/>
      <c r="SO18" s="52"/>
      <c r="SP18" s="52"/>
      <c r="SQ18" s="52"/>
      <c r="SR18" s="52"/>
      <c r="SS18" s="52"/>
      <c r="ST18" s="52"/>
      <c r="SU18" s="52"/>
      <c r="SV18" s="52"/>
      <c r="SW18" s="52"/>
      <c r="SX18" s="52"/>
      <c r="SY18" s="52"/>
      <c r="SZ18" s="52"/>
      <c r="TA18" s="52"/>
      <c r="TB18" s="52"/>
      <c r="TC18" s="52"/>
      <c r="TD18" s="52"/>
      <c r="TE18" s="52"/>
      <c r="TF18" s="52"/>
      <c r="TG18" s="52"/>
      <c r="TH18" s="52"/>
      <c r="TI18" s="52"/>
      <c r="TJ18" s="52"/>
      <c r="TK18" s="52"/>
      <c r="TL18" s="52"/>
      <c r="TM18" s="52"/>
      <c r="TN18" s="52"/>
      <c r="TO18" s="52"/>
      <c r="TP18" s="52"/>
      <c r="TQ18" s="52"/>
      <c r="TR18" s="52"/>
      <c r="TS18" s="52"/>
      <c r="TT18" s="52"/>
      <c r="TU18" s="52"/>
      <c r="TV18" s="52"/>
      <c r="TW18" s="52"/>
      <c r="TX18" s="52"/>
      <c r="TY18" s="52"/>
      <c r="TZ18" s="52"/>
      <c r="UA18" s="52"/>
      <c r="UB18" s="52"/>
      <c r="UC18" s="52"/>
      <c r="UD18" s="52"/>
      <c r="UE18" s="52"/>
      <c r="UF18" s="52"/>
      <c r="UG18" s="52"/>
      <c r="UH18" s="52"/>
      <c r="UI18" s="52"/>
      <c r="UJ18" s="52"/>
      <c r="UK18" s="52"/>
      <c r="UL18" s="52"/>
      <c r="UM18" s="52"/>
      <c r="UN18" s="52"/>
      <c r="UO18" s="52"/>
      <c r="UP18" s="52"/>
      <c r="UQ18" s="52"/>
      <c r="UR18" s="52"/>
      <c r="US18" s="52"/>
      <c r="UT18" s="52"/>
      <c r="UU18" s="52"/>
      <c r="UV18" s="52"/>
      <c r="UW18" s="52"/>
      <c r="UX18" s="52"/>
      <c r="UY18" s="52"/>
      <c r="UZ18" s="52"/>
      <c r="VA18" s="52"/>
      <c r="VB18" s="52"/>
      <c r="VC18" s="52"/>
      <c r="VD18" s="52"/>
      <c r="VE18" s="52"/>
      <c r="VF18" s="52"/>
      <c r="VG18" s="52"/>
      <c r="VH18" s="52"/>
      <c r="VI18" s="52"/>
      <c r="VJ18" s="52"/>
      <c r="VK18" s="52"/>
      <c r="VL18" s="52"/>
      <c r="VM18" s="52"/>
      <c r="VN18" s="52"/>
      <c r="VO18" s="52"/>
      <c r="VP18" s="52"/>
      <c r="VQ18" s="52"/>
      <c r="VR18" s="52"/>
      <c r="VS18" s="52"/>
      <c r="VT18" s="52"/>
      <c r="VU18" s="52"/>
      <c r="VV18" s="52"/>
      <c r="VW18" s="52"/>
      <c r="VX18" s="52"/>
      <c r="VY18" s="52"/>
      <c r="VZ18" s="52"/>
      <c r="WA18" s="52"/>
      <c r="WB18" s="52"/>
      <c r="WC18" s="52"/>
      <c r="WD18" s="52"/>
      <c r="WE18" s="52"/>
      <c r="WF18" s="52"/>
      <c r="WG18" s="52"/>
      <c r="WH18" s="52"/>
      <c r="WI18" s="52"/>
      <c r="WJ18" s="52"/>
      <c r="WK18" s="52"/>
      <c r="WL18" s="52"/>
      <c r="WM18" s="52"/>
      <c r="WN18" s="52"/>
      <c r="WO18" s="52"/>
      <c r="WP18" s="52"/>
      <c r="WQ18" s="52"/>
      <c r="WR18" s="52"/>
      <c r="WS18" s="52"/>
      <c r="WT18" s="52"/>
      <c r="WU18" s="52"/>
      <c r="WV18" s="52"/>
      <c r="WW18" s="52"/>
      <c r="WX18" s="52"/>
      <c r="WY18" s="52"/>
      <c r="WZ18" s="52"/>
      <c r="XA18" s="52"/>
      <c r="XB18" s="52"/>
      <c r="XC18" s="52"/>
      <c r="XD18" s="52"/>
      <c r="XE18" s="52"/>
      <c r="XF18" s="52"/>
      <c r="XG18" s="52"/>
      <c r="XH18" s="52"/>
      <c r="XI18" s="52"/>
      <c r="XJ18" s="52"/>
      <c r="XK18" s="52"/>
      <c r="XL18" s="52"/>
      <c r="XM18" s="52"/>
      <c r="XN18" s="52"/>
      <c r="XO18" s="52"/>
      <c r="XP18" s="52"/>
      <c r="XQ18" s="52"/>
      <c r="XR18" s="52"/>
      <c r="XS18" s="52"/>
      <c r="XT18" s="52"/>
      <c r="XU18" s="52"/>
      <c r="XV18" s="52"/>
      <c r="XW18" s="52"/>
      <c r="XX18" s="52"/>
      <c r="XY18" s="52"/>
      <c r="XZ18" s="52"/>
      <c r="YA18" s="52"/>
      <c r="YB18" s="52"/>
      <c r="YC18" s="52"/>
      <c r="YD18" s="52"/>
      <c r="YE18" s="52"/>
      <c r="YF18" s="52"/>
      <c r="YG18" s="52"/>
      <c r="YH18" s="52"/>
      <c r="YI18" s="52"/>
      <c r="YJ18" s="52"/>
      <c r="YK18" s="52"/>
      <c r="YL18" s="52"/>
      <c r="YM18" s="52"/>
      <c r="YN18" s="52"/>
      <c r="YO18" s="52"/>
      <c r="YP18" s="52"/>
      <c r="YQ18" s="52"/>
      <c r="YR18" s="52"/>
      <c r="YS18" s="52"/>
      <c r="YT18" s="52"/>
      <c r="YU18" s="52"/>
      <c r="YV18" s="52"/>
      <c r="YW18" s="52"/>
      <c r="YX18" s="52"/>
      <c r="YY18" s="52"/>
      <c r="YZ18" s="52"/>
      <c r="ZA18" s="52"/>
      <c r="ZB18" s="52"/>
      <c r="ZC18" s="52"/>
      <c r="ZD18" s="52"/>
      <c r="ZE18" s="52"/>
      <c r="ZF18" s="52"/>
      <c r="ZG18" s="52"/>
      <c r="ZH18" s="52"/>
      <c r="ZI18" s="52"/>
      <c r="ZJ18" s="52"/>
      <c r="ZK18" s="52"/>
      <c r="ZL18" s="52"/>
      <c r="ZM18" s="52"/>
      <c r="ZN18" s="52"/>
      <c r="ZO18" s="52"/>
      <c r="ZP18" s="52"/>
      <c r="ZQ18" s="52"/>
      <c r="ZR18" s="52"/>
      <c r="ZS18" s="52"/>
      <c r="ZT18" s="52"/>
      <c r="ZU18" s="52"/>
      <c r="ZV18" s="52"/>
      <c r="ZW18" s="52"/>
      <c r="ZX18" s="52"/>
      <c r="ZY18" s="52"/>
      <c r="ZZ18" s="52"/>
      <c r="AAA18" s="52"/>
      <c r="AAB18" s="52"/>
      <c r="AAC18" s="52"/>
      <c r="AAD18" s="52"/>
      <c r="AAE18" s="52"/>
      <c r="AAF18" s="52"/>
      <c r="AAG18" s="52"/>
      <c r="AAH18" s="52"/>
      <c r="AAI18" s="52"/>
      <c r="AAJ18" s="52"/>
      <c r="AAK18" s="52"/>
      <c r="AAL18" s="52"/>
      <c r="AAM18" s="52"/>
      <c r="AAN18" s="52"/>
      <c r="AAO18" s="52"/>
      <c r="AAP18" s="52"/>
      <c r="AAQ18" s="52"/>
      <c r="AAR18" s="52"/>
      <c r="AAS18" s="52"/>
      <c r="AAT18" s="52"/>
      <c r="AAU18" s="52"/>
      <c r="AAV18" s="52"/>
      <c r="AAW18" s="52"/>
      <c r="AAX18" s="52"/>
      <c r="AAY18" s="52"/>
      <c r="AAZ18" s="52"/>
      <c r="ABA18" s="52"/>
      <c r="ABB18" s="52"/>
      <c r="ABC18" s="52"/>
      <c r="ABD18" s="52"/>
      <c r="ABE18" s="52"/>
      <c r="ABF18" s="52"/>
      <c r="ABG18" s="52"/>
      <c r="ABH18" s="52"/>
      <c r="ABI18" s="52"/>
      <c r="ABJ18" s="52"/>
      <c r="ABK18" s="52"/>
      <c r="ABL18" s="52"/>
      <c r="ABM18" s="52"/>
      <c r="ABN18" s="52"/>
      <c r="ABO18" s="52"/>
      <c r="ABP18" s="52"/>
      <c r="ABQ18" s="52"/>
      <c r="ABR18" s="52"/>
      <c r="ABS18" s="52"/>
      <c r="ABT18" s="52"/>
      <c r="ABU18" s="52"/>
      <c r="ABV18" s="52"/>
      <c r="ABW18" s="52"/>
      <c r="ABX18" s="52"/>
      <c r="ABY18" s="52"/>
      <c r="ABZ18" s="52"/>
      <c r="ACA18" s="52"/>
      <c r="ACB18" s="52"/>
      <c r="ACC18" s="52"/>
      <c r="ACD18" s="52"/>
      <c r="ACE18" s="52"/>
      <c r="ACF18" s="52"/>
      <c r="ACG18" s="52"/>
      <c r="ACH18" s="52"/>
      <c r="ACI18" s="52"/>
      <c r="ACJ18" s="52"/>
      <c r="ACK18" s="52"/>
      <c r="ACL18" s="52"/>
      <c r="ACM18" s="52"/>
      <c r="ACN18" s="52"/>
      <c r="ACO18" s="52"/>
      <c r="ACP18" s="52"/>
      <c r="ACQ18" s="52"/>
      <c r="ACR18" s="52"/>
      <c r="ACS18" s="52"/>
      <c r="ACT18" s="52"/>
      <c r="ACU18" s="52"/>
      <c r="ACV18" s="52"/>
      <c r="ACW18" s="52"/>
      <c r="ACX18" s="52"/>
      <c r="ACY18" s="52"/>
      <c r="ACZ18" s="52"/>
      <c r="ADA18" s="52"/>
      <c r="ADB18" s="52"/>
      <c r="ADC18" s="52"/>
      <c r="ADD18" s="52"/>
      <c r="ADE18" s="52"/>
      <c r="ADF18" s="52"/>
      <c r="ADG18" s="52"/>
      <c r="ADH18" s="52"/>
      <c r="ADI18" s="52"/>
      <c r="ADJ18" s="52"/>
      <c r="ADK18" s="52"/>
      <c r="ADL18" s="52"/>
      <c r="ADM18" s="52"/>
      <c r="ADN18" s="52"/>
      <c r="ADO18" s="52"/>
      <c r="ADP18" s="52"/>
      <c r="ADQ18" s="52"/>
      <c r="ADR18" s="52"/>
      <c r="ADS18" s="52"/>
      <c r="ADT18" s="52"/>
      <c r="ADU18" s="52"/>
      <c r="ADV18" s="52"/>
      <c r="ADW18" s="52"/>
      <c r="ADX18" s="52"/>
      <c r="ADY18" s="52"/>
      <c r="ADZ18" s="52"/>
      <c r="AEA18" s="52"/>
      <c r="AEB18" s="52"/>
      <c r="AEC18" s="52"/>
      <c r="AED18" s="52"/>
      <c r="AEE18" s="52"/>
      <c r="AEF18" s="52"/>
      <c r="AEG18" s="52"/>
      <c r="AEH18" s="52"/>
      <c r="AEI18" s="52"/>
      <c r="AEJ18" s="52"/>
      <c r="AEK18" s="52"/>
      <c r="AEL18" s="52"/>
      <c r="AEM18" s="52"/>
      <c r="AEN18" s="52"/>
      <c r="AEO18" s="52"/>
      <c r="AEP18" s="52"/>
      <c r="AEQ18" s="52"/>
      <c r="AER18" s="52"/>
      <c r="AES18" s="52"/>
      <c r="AET18" s="52"/>
      <c r="AEU18" s="52"/>
      <c r="AEV18" s="52"/>
      <c r="AEW18" s="52"/>
      <c r="AEX18" s="52"/>
      <c r="AEY18" s="52"/>
      <c r="AEZ18" s="52"/>
      <c r="AFA18" s="52"/>
      <c r="AFB18" s="52"/>
      <c r="AFC18" s="52"/>
      <c r="AFD18" s="52"/>
      <c r="AFE18" s="52"/>
      <c r="AFF18" s="52"/>
      <c r="AFG18" s="52"/>
      <c r="AFH18" s="52"/>
      <c r="AFI18" s="52"/>
      <c r="AFJ18" s="52"/>
      <c r="AFK18" s="52"/>
      <c r="AFL18" s="52"/>
      <c r="AFM18" s="52"/>
      <c r="AFN18" s="52"/>
      <c r="AFO18" s="52"/>
      <c r="AFP18" s="52"/>
      <c r="AFQ18" s="52"/>
      <c r="AFR18" s="52"/>
      <c r="AFS18" s="52"/>
      <c r="AFT18" s="52"/>
      <c r="AFU18" s="52"/>
      <c r="AFV18" s="52"/>
      <c r="AFW18" s="52"/>
      <c r="AFX18" s="52"/>
      <c r="AFY18" s="52"/>
      <c r="AFZ18" s="52"/>
      <c r="AGA18" s="52"/>
      <c r="AGB18" s="52"/>
      <c r="AGC18" s="52"/>
      <c r="AGD18" s="52"/>
      <c r="AGE18" s="52"/>
      <c r="AGF18" s="52"/>
      <c r="AGG18" s="52"/>
      <c r="AGH18" s="52"/>
      <c r="AGI18" s="52"/>
      <c r="AGJ18" s="52"/>
      <c r="AGK18" s="52"/>
      <c r="AGL18" s="52"/>
      <c r="AGM18" s="52"/>
      <c r="AGN18" s="52"/>
      <c r="AGO18" s="52"/>
      <c r="AGP18" s="52"/>
      <c r="AGQ18" s="52"/>
      <c r="AGR18" s="52"/>
      <c r="AGS18" s="52"/>
      <c r="AGT18" s="52"/>
      <c r="AGU18" s="52"/>
      <c r="AGV18" s="52"/>
      <c r="AGW18" s="52"/>
      <c r="AGX18" s="52"/>
      <c r="AGY18" s="52"/>
      <c r="AGZ18" s="52"/>
      <c r="AHA18" s="52"/>
      <c r="AHB18" s="52"/>
      <c r="AHC18" s="52"/>
      <c r="AHD18" s="52"/>
      <c r="AHE18" s="52"/>
      <c r="AHF18" s="52"/>
      <c r="AHG18" s="52"/>
      <c r="AHH18" s="52"/>
      <c r="AHI18" s="52"/>
      <c r="AHJ18" s="52"/>
      <c r="AHK18" s="52"/>
      <c r="AHL18" s="52"/>
      <c r="AHM18" s="52"/>
      <c r="AHN18" s="52"/>
      <c r="AHO18" s="52"/>
      <c r="AHP18" s="52"/>
      <c r="AHQ18" s="52"/>
      <c r="AHR18" s="52"/>
      <c r="AHS18" s="52"/>
      <c r="AHT18" s="52"/>
      <c r="AHU18" s="52"/>
      <c r="AHV18" s="52"/>
      <c r="AHW18" s="52"/>
      <c r="AHX18" s="52"/>
      <c r="AHY18" s="52"/>
      <c r="AHZ18" s="52"/>
      <c r="AIA18" s="52"/>
      <c r="AIB18" s="52"/>
      <c r="AIC18" s="52"/>
      <c r="AID18" s="52"/>
      <c r="AIE18" s="52"/>
      <c r="AIF18" s="52"/>
      <c r="AIG18" s="52"/>
      <c r="AIH18" s="52"/>
      <c r="AII18" s="52"/>
      <c r="AIJ18" s="52"/>
      <c r="AIK18" s="52"/>
      <c r="AIL18" s="52"/>
      <c r="AIM18" s="52"/>
      <c r="AIN18" s="52"/>
      <c r="AIO18" s="52"/>
      <c r="AIP18" s="52"/>
      <c r="AIQ18" s="52"/>
      <c r="AIR18" s="52"/>
      <c r="AIS18" s="52"/>
      <c r="AIT18" s="52"/>
      <c r="AIU18" s="52"/>
      <c r="AIV18" s="52"/>
      <c r="AIW18" s="52"/>
      <c r="AIX18" s="52"/>
      <c r="AIY18" s="52"/>
      <c r="AIZ18" s="52"/>
      <c r="AJA18" s="52"/>
      <c r="AJB18" s="52"/>
      <c r="AJC18" s="52"/>
      <c r="AJD18" s="52"/>
      <c r="AJE18" s="52"/>
      <c r="AJF18" s="52"/>
      <c r="AJG18" s="52"/>
      <c r="AJH18" s="52"/>
      <c r="AJI18" s="52"/>
      <c r="AJJ18" s="52"/>
      <c r="AJK18" s="52"/>
      <c r="AJL18" s="52"/>
      <c r="AJM18" s="52"/>
      <c r="AJN18" s="52"/>
      <c r="AJO18" s="52"/>
      <c r="AJP18" s="52"/>
      <c r="AJQ18" s="52"/>
      <c r="AJR18" s="52"/>
      <c r="AJS18" s="52"/>
      <c r="AJT18" s="52"/>
      <c r="AJU18" s="52"/>
      <c r="AJV18" s="52"/>
      <c r="AJW18" s="52"/>
      <c r="AJX18" s="52"/>
      <c r="AJY18" s="52"/>
      <c r="AJZ18" s="52"/>
      <c r="AKA18" s="52"/>
      <c r="AKB18" s="52"/>
      <c r="AKC18" s="52"/>
      <c r="AKD18" s="52"/>
      <c r="AKE18" s="52"/>
      <c r="AKF18" s="52"/>
      <c r="AKG18" s="52"/>
      <c r="AKH18" s="52"/>
      <c r="AKI18" s="52"/>
      <c r="AKJ18" s="52"/>
      <c r="AKK18" s="52"/>
      <c r="AKL18" s="52"/>
      <c r="AKM18" s="52"/>
      <c r="AKN18" s="52"/>
      <c r="AKO18" s="52"/>
      <c r="AKP18" s="52"/>
      <c r="AKQ18" s="52"/>
      <c r="AKR18" s="52"/>
      <c r="AKS18" s="52"/>
      <c r="AKT18" s="52"/>
      <c r="AKU18" s="52"/>
      <c r="AKV18" s="52"/>
      <c r="AKW18" s="52"/>
      <c r="AKX18" s="52"/>
      <c r="AKY18" s="52"/>
      <c r="AKZ18" s="52"/>
      <c r="ALA18" s="52"/>
      <c r="ALB18" s="52"/>
      <c r="ALC18" s="52"/>
      <c r="ALD18" s="52"/>
      <c r="ALE18" s="52"/>
      <c r="ALF18" s="52"/>
      <c r="ALG18" s="52"/>
      <c r="ALH18" s="52"/>
      <c r="ALI18" s="52"/>
      <c r="ALJ18" s="52"/>
      <c r="ALK18" s="52"/>
      <c r="ALL18" s="52"/>
      <c r="ALM18" s="52"/>
      <c r="ALN18" s="52"/>
      <c r="ALO18" s="52"/>
      <c r="ALP18" s="52"/>
      <c r="ALQ18" s="52"/>
      <c r="ALR18" s="52"/>
      <c r="ALS18" s="52"/>
      <c r="ALT18" s="52"/>
      <c r="ALU18" s="52"/>
      <c r="ALV18" s="52"/>
      <c r="ALW18" s="52"/>
      <c r="ALX18" s="52"/>
      <c r="ALY18" s="52"/>
      <c r="ALZ18" s="52"/>
      <c r="AMA18" s="52"/>
      <c r="AMB18" s="52"/>
      <c r="AMC18" s="52"/>
      <c r="AMD18" s="52"/>
      <c r="AME18" s="52"/>
      <c r="AMF18" s="52"/>
      <c r="AMG18" s="52"/>
      <c r="AMH18" s="52"/>
      <c r="AMI18" s="52"/>
      <c r="AMJ18" s="52"/>
      <c r="AMK18" s="52"/>
      <c r="AML18" s="52"/>
    </row>
    <row r="19" ht="15.75" customHeight="1">
      <c r="A19" s="8"/>
      <c r="B19" s="48" t="s">
        <v>48</v>
      </c>
      <c r="C19" s="8"/>
      <c r="D19" s="8"/>
      <c r="E19" s="49">
        <v>10.0</v>
      </c>
      <c r="F19" s="8"/>
      <c r="G19" s="48" t="s">
        <v>63</v>
      </c>
      <c r="H19" s="8"/>
      <c r="I19" s="8"/>
      <c r="J19" s="8"/>
      <c r="K19" s="49">
        <v>10.0</v>
      </c>
      <c r="L19" s="49">
        <v>10.0</v>
      </c>
      <c r="M19" s="8"/>
      <c r="N19" s="8"/>
      <c r="O19" s="48" t="s">
        <v>64</v>
      </c>
      <c r="AE19" s="49">
        <v>10.0</v>
      </c>
      <c r="BJ19" s="49">
        <v>10.0</v>
      </c>
      <c r="BO19" s="48" t="s">
        <v>49</v>
      </c>
      <c r="BS19" s="48" t="s">
        <v>65</v>
      </c>
      <c r="BT19" s="48" t="s">
        <v>22</v>
      </c>
    </row>
    <row r="20" ht="15.75" customHeight="1">
      <c r="A20" s="8"/>
      <c r="B20" s="48" t="s">
        <v>48</v>
      </c>
      <c r="C20" s="8"/>
      <c r="D20" s="8"/>
      <c r="E20" s="49">
        <v>10.0</v>
      </c>
      <c r="F20" s="8"/>
      <c r="G20" s="48" t="s">
        <v>63</v>
      </c>
      <c r="H20" s="8"/>
      <c r="I20" s="8"/>
      <c r="J20" s="8"/>
      <c r="K20" s="49">
        <v>10.0</v>
      </c>
      <c r="L20" s="49">
        <v>10.0</v>
      </c>
      <c r="M20" s="8"/>
      <c r="N20" s="8"/>
      <c r="O20" s="48" t="s">
        <v>64</v>
      </c>
      <c r="AE20" s="49">
        <v>10.0</v>
      </c>
      <c r="BJ20" s="49">
        <v>10.0</v>
      </c>
      <c r="BO20" s="48" t="s">
        <v>49</v>
      </c>
      <c r="BS20" s="48" t="s">
        <v>65</v>
      </c>
      <c r="BT20" s="48" t="s">
        <v>24</v>
      </c>
    </row>
    <row r="21" ht="15.75" customHeight="1">
      <c r="A21" s="8"/>
      <c r="B21" s="48" t="s">
        <v>51</v>
      </c>
      <c r="C21" s="8"/>
      <c r="D21" s="8"/>
      <c r="E21" s="54">
        <v>1100.0</v>
      </c>
      <c r="F21" s="8"/>
      <c r="G21" s="48" t="s">
        <v>66</v>
      </c>
      <c r="H21" s="8"/>
      <c r="I21" s="8"/>
      <c r="J21" s="8"/>
      <c r="K21" s="49">
        <v>1.0</v>
      </c>
      <c r="L21" s="49">
        <v>1.0</v>
      </c>
      <c r="M21" s="8"/>
      <c r="N21" s="8"/>
      <c r="O21" s="48" t="s">
        <v>64</v>
      </c>
      <c r="AE21" s="54">
        <v>1100.0</v>
      </c>
      <c r="BJ21" s="54">
        <v>1100.0</v>
      </c>
      <c r="BO21" s="48" t="s">
        <v>40</v>
      </c>
      <c r="BS21" s="48" t="s">
        <v>65</v>
      </c>
      <c r="BT21" s="48" t="s">
        <v>50</v>
      </c>
    </row>
    <row r="22" ht="15.75" customHeight="1">
      <c r="A22" s="8"/>
      <c r="B22" s="48" t="s">
        <v>51</v>
      </c>
      <c r="C22" s="8"/>
      <c r="D22" s="8"/>
      <c r="E22" s="49">
        <v>10.0</v>
      </c>
      <c r="F22" s="8"/>
      <c r="G22" s="48" t="s">
        <v>63</v>
      </c>
      <c r="H22" s="8"/>
      <c r="I22" s="8"/>
      <c r="J22" s="8"/>
      <c r="K22" s="49">
        <v>10.0</v>
      </c>
      <c r="L22" s="49">
        <v>10.0</v>
      </c>
      <c r="M22" s="8"/>
      <c r="N22" s="8"/>
      <c r="O22" s="48" t="s">
        <v>64</v>
      </c>
      <c r="AE22" s="49">
        <v>10.0</v>
      </c>
      <c r="BJ22" s="49">
        <v>10.0</v>
      </c>
      <c r="BO22" s="48" t="s">
        <v>49</v>
      </c>
      <c r="BS22" s="48" t="s">
        <v>65</v>
      </c>
      <c r="BT22" s="48" t="s">
        <v>26</v>
      </c>
    </row>
    <row r="23" ht="15.75" customHeight="1">
      <c r="A23" s="8"/>
      <c r="B23" s="48" t="s">
        <v>51</v>
      </c>
      <c r="C23" s="8"/>
      <c r="D23" s="8"/>
      <c r="E23" s="49">
        <v>10.0</v>
      </c>
      <c r="F23" s="8"/>
      <c r="G23" s="48" t="s">
        <v>63</v>
      </c>
      <c r="H23" s="8"/>
      <c r="I23" s="8"/>
      <c r="J23" s="8"/>
      <c r="K23" s="49">
        <v>10.0</v>
      </c>
      <c r="L23" s="49">
        <v>10.0</v>
      </c>
      <c r="M23" s="8"/>
      <c r="N23" s="8"/>
      <c r="O23" s="48" t="s">
        <v>64</v>
      </c>
      <c r="AE23" s="49">
        <v>10.0</v>
      </c>
      <c r="BJ23" s="49">
        <v>10.0</v>
      </c>
      <c r="BO23" s="48" t="s">
        <v>49</v>
      </c>
      <c r="BS23" s="48" t="s">
        <v>65</v>
      </c>
      <c r="BT23" s="48" t="s">
        <v>28</v>
      </c>
    </row>
    <row r="24" ht="15.75" customHeight="1">
      <c r="A24" s="8"/>
      <c r="B24" s="48" t="s">
        <v>51</v>
      </c>
      <c r="C24" s="8"/>
      <c r="D24" s="8"/>
      <c r="E24" s="49">
        <v>10.0</v>
      </c>
      <c r="F24" s="8"/>
      <c r="G24" s="48" t="s">
        <v>63</v>
      </c>
      <c r="H24" s="8"/>
      <c r="I24" s="8"/>
      <c r="J24" s="8"/>
      <c r="K24" s="49">
        <v>10.0</v>
      </c>
      <c r="L24" s="49">
        <v>10.0</v>
      </c>
      <c r="M24" s="8"/>
      <c r="N24" s="8"/>
      <c r="O24" s="48" t="s">
        <v>64</v>
      </c>
      <c r="AE24" s="49">
        <v>10.0</v>
      </c>
      <c r="BJ24" s="49">
        <v>10.0</v>
      </c>
      <c r="BO24" s="48" t="s">
        <v>49</v>
      </c>
      <c r="BS24" s="48" t="s">
        <v>65</v>
      </c>
      <c r="BT24" s="48" t="s">
        <v>25</v>
      </c>
    </row>
    <row r="25" ht="15.75" customHeight="1">
      <c r="A25" s="8"/>
      <c r="B25" s="48" t="s">
        <v>51</v>
      </c>
      <c r="C25" s="8"/>
      <c r="D25" s="8"/>
      <c r="E25" s="49">
        <v>10.0</v>
      </c>
      <c r="F25" s="8"/>
      <c r="G25" s="48" t="s">
        <v>63</v>
      </c>
      <c r="H25" s="8"/>
      <c r="I25" s="8"/>
      <c r="J25" s="8"/>
      <c r="K25" s="49">
        <v>10.0</v>
      </c>
      <c r="L25" s="49">
        <v>10.0</v>
      </c>
      <c r="M25" s="8"/>
      <c r="N25" s="8"/>
      <c r="O25" s="48" t="s">
        <v>64</v>
      </c>
      <c r="AE25" s="49">
        <v>10.0</v>
      </c>
      <c r="BJ25" s="49">
        <v>10.0</v>
      </c>
      <c r="BO25" s="48" t="s">
        <v>49</v>
      </c>
      <c r="BS25" s="48" t="s">
        <v>65</v>
      </c>
      <c r="BT25" s="48" t="s">
        <v>27</v>
      </c>
    </row>
    <row r="26" ht="15.75" customHeight="1">
      <c r="A26" s="8"/>
      <c r="B26" s="48" t="s">
        <v>41</v>
      </c>
      <c r="C26" s="8"/>
      <c r="D26" s="8"/>
      <c r="E26" s="49">
        <v>10.0</v>
      </c>
      <c r="F26" s="8"/>
      <c r="G26" s="48" t="s">
        <v>63</v>
      </c>
      <c r="H26" s="8"/>
      <c r="I26" s="8"/>
      <c r="J26" s="8"/>
      <c r="K26" s="49">
        <v>0.0</v>
      </c>
      <c r="L26" s="49">
        <v>0.0</v>
      </c>
      <c r="M26" s="8"/>
      <c r="N26" s="8"/>
      <c r="O26" s="48" t="s">
        <v>64</v>
      </c>
      <c r="AE26" s="49">
        <v>10.0</v>
      </c>
      <c r="BJ26" s="49">
        <v>10.0</v>
      </c>
      <c r="BO26" s="48" t="s">
        <v>67</v>
      </c>
      <c r="BS26" s="48" t="s">
        <v>65</v>
      </c>
      <c r="BT26" s="48" t="s">
        <v>31</v>
      </c>
    </row>
    <row r="27" ht="15.75" customHeight="1">
      <c r="B27" s="48" t="s">
        <v>41</v>
      </c>
      <c r="E27" s="49">
        <v>10.0</v>
      </c>
      <c r="G27" s="48" t="s">
        <v>63</v>
      </c>
      <c r="K27" s="49">
        <v>0.0</v>
      </c>
      <c r="L27" s="49">
        <v>0.0</v>
      </c>
      <c r="O27" s="48" t="s">
        <v>64</v>
      </c>
      <c r="AE27" s="49">
        <v>10.0</v>
      </c>
      <c r="BJ27" s="49">
        <v>10.0</v>
      </c>
      <c r="BO27" s="48" t="s">
        <v>67</v>
      </c>
      <c r="BS27" s="48" t="s">
        <v>65</v>
      </c>
      <c r="BT27" s="48" t="s">
        <v>32</v>
      </c>
    </row>
    <row r="28" ht="15.75" customHeight="1">
      <c r="B28" s="48" t="s">
        <v>41</v>
      </c>
      <c r="E28" s="49">
        <v>10.0</v>
      </c>
      <c r="G28" s="48" t="s">
        <v>63</v>
      </c>
      <c r="K28" s="49">
        <v>0.0</v>
      </c>
      <c r="L28" s="49">
        <v>0.0</v>
      </c>
      <c r="O28" s="48" t="s">
        <v>43</v>
      </c>
      <c r="AE28" s="49">
        <v>10.0</v>
      </c>
      <c r="BJ28" s="49">
        <v>10.0</v>
      </c>
      <c r="BO28" s="48" t="s">
        <v>67</v>
      </c>
      <c r="BS28" s="48" t="s">
        <v>65</v>
      </c>
      <c r="BT28" s="48" t="s">
        <v>33</v>
      </c>
    </row>
    <row r="29" ht="15.75" customHeight="1">
      <c r="B29" s="48" t="s">
        <v>41</v>
      </c>
      <c r="E29" s="54">
        <v>1000.0</v>
      </c>
      <c r="G29" s="48" t="s">
        <v>66</v>
      </c>
      <c r="K29" s="49">
        <v>80.0</v>
      </c>
      <c r="L29" s="49">
        <v>80.0</v>
      </c>
      <c r="O29" s="48" t="s">
        <v>64</v>
      </c>
      <c r="AE29" s="54">
        <v>1000.0</v>
      </c>
      <c r="BJ29" s="54">
        <v>1000.0</v>
      </c>
      <c r="BO29" s="48" t="s">
        <v>40</v>
      </c>
      <c r="BS29" s="48" t="s">
        <v>65</v>
      </c>
      <c r="BT29" s="48" t="s">
        <v>39</v>
      </c>
    </row>
    <row r="30" ht="15.75" customHeight="1">
      <c r="B30" s="48" t="s">
        <v>41</v>
      </c>
      <c r="E30" s="49">
        <v>10.0</v>
      </c>
      <c r="G30" s="48" t="s">
        <v>63</v>
      </c>
      <c r="K30" s="49">
        <v>0.0</v>
      </c>
      <c r="L30" s="49">
        <v>0.0</v>
      </c>
      <c r="O30" s="48" t="s">
        <v>64</v>
      </c>
      <c r="AE30" s="49">
        <v>10.0</v>
      </c>
      <c r="BJ30" s="49">
        <v>10.0</v>
      </c>
      <c r="BO30" s="48" t="s">
        <v>67</v>
      </c>
      <c r="BS30" s="48" t="s">
        <v>65</v>
      </c>
      <c r="BT30" s="48" t="s">
        <v>33</v>
      </c>
    </row>
    <row r="31" ht="15.75" customHeight="1">
      <c r="B31" s="48" t="s">
        <v>41</v>
      </c>
      <c r="E31" s="54">
        <v>1000.0</v>
      </c>
      <c r="G31" s="48" t="s">
        <v>66</v>
      </c>
      <c r="K31" s="49">
        <v>80.0</v>
      </c>
      <c r="L31" s="49">
        <v>80.0</v>
      </c>
      <c r="O31" s="48" t="s">
        <v>43</v>
      </c>
      <c r="AE31" s="54">
        <v>1000.0</v>
      </c>
      <c r="BJ31" s="54">
        <v>1000.0</v>
      </c>
      <c r="BO31" s="48" t="s">
        <v>40</v>
      </c>
      <c r="BS31" s="48" t="s">
        <v>65</v>
      </c>
      <c r="BT31" s="48" t="s">
        <v>39</v>
      </c>
    </row>
    <row r="32" ht="15.75" customHeight="1">
      <c r="B32" s="48" t="s">
        <v>41</v>
      </c>
      <c r="E32" s="54">
        <v>1000.0</v>
      </c>
      <c r="G32" s="48" t="s">
        <v>66</v>
      </c>
      <c r="K32" s="49">
        <v>70.0</v>
      </c>
      <c r="L32" s="49">
        <v>70.0</v>
      </c>
      <c r="O32" s="48" t="s">
        <v>64</v>
      </c>
      <c r="AE32" s="54">
        <v>1000.0</v>
      </c>
      <c r="BJ32" s="54">
        <v>1000.0</v>
      </c>
      <c r="BO32" s="48" t="s">
        <v>40</v>
      </c>
      <c r="BS32" s="48" t="s">
        <v>65</v>
      </c>
      <c r="BT32" s="48" t="s">
        <v>39</v>
      </c>
    </row>
    <row r="33" ht="15.75" customHeight="1">
      <c r="B33" s="48" t="s">
        <v>41</v>
      </c>
      <c r="E33" s="54">
        <v>1000.0</v>
      </c>
      <c r="G33" s="48" t="s">
        <v>66</v>
      </c>
      <c r="K33" s="49">
        <v>60.0</v>
      </c>
      <c r="L33" s="49">
        <v>60.0</v>
      </c>
      <c r="O33" s="48" t="s">
        <v>64</v>
      </c>
      <c r="AE33" s="54">
        <v>1000.0</v>
      </c>
      <c r="BJ33" s="54">
        <v>1000.0</v>
      </c>
      <c r="BO33" s="48" t="s">
        <v>40</v>
      </c>
      <c r="BS33" s="48" t="s">
        <v>65</v>
      </c>
      <c r="BT33" s="48" t="s">
        <v>39</v>
      </c>
    </row>
    <row r="34" ht="15.75" customHeight="1">
      <c r="B34" s="48" t="s">
        <v>46</v>
      </c>
      <c r="E34" s="49">
        <v>10.0</v>
      </c>
      <c r="G34" s="48" t="s">
        <v>63</v>
      </c>
      <c r="K34" s="49">
        <v>0.0</v>
      </c>
      <c r="L34" s="49">
        <v>0.0</v>
      </c>
      <c r="O34" s="48" t="s">
        <v>64</v>
      </c>
      <c r="AE34" s="49">
        <v>10.0</v>
      </c>
      <c r="BJ34" s="49">
        <v>10.0</v>
      </c>
      <c r="BO34" s="48" t="s">
        <v>67</v>
      </c>
      <c r="BS34" s="48" t="s">
        <v>65</v>
      </c>
      <c r="BT34" s="48" t="s">
        <v>20</v>
      </c>
    </row>
    <row r="35" ht="15.75" customHeight="1">
      <c r="B35" s="48" t="s">
        <v>46</v>
      </c>
      <c r="E35" s="49">
        <v>900.0</v>
      </c>
      <c r="G35" s="48" t="s">
        <v>66</v>
      </c>
      <c r="K35" s="49">
        <v>70.0</v>
      </c>
      <c r="L35" s="49">
        <v>70.0</v>
      </c>
      <c r="O35" s="48" t="s">
        <v>64</v>
      </c>
      <c r="AE35" s="49">
        <v>900.0</v>
      </c>
      <c r="BJ35" s="49">
        <v>900.0</v>
      </c>
      <c r="BO35" s="48" t="s">
        <v>40</v>
      </c>
      <c r="BS35" s="48" t="s">
        <v>65</v>
      </c>
      <c r="BT35" s="48" t="s">
        <v>44</v>
      </c>
    </row>
    <row r="36" ht="15.75" customHeight="1">
      <c r="B36" s="48" t="s">
        <v>46</v>
      </c>
      <c r="E36" s="49">
        <v>10.0</v>
      </c>
      <c r="G36" s="48" t="s">
        <v>63</v>
      </c>
      <c r="K36" s="49">
        <v>0.0</v>
      </c>
      <c r="L36" s="49">
        <v>0.0</v>
      </c>
      <c r="O36" s="48" t="s">
        <v>64</v>
      </c>
      <c r="AE36" s="49">
        <v>10.0</v>
      </c>
      <c r="BJ36" s="49">
        <v>10.0</v>
      </c>
      <c r="BO36" s="48" t="s">
        <v>67</v>
      </c>
      <c r="BS36" s="48" t="s">
        <v>65</v>
      </c>
      <c r="BT36" s="48" t="s">
        <v>16</v>
      </c>
    </row>
    <row r="37" ht="15.75" customHeight="1">
      <c r="B37" s="48" t="s">
        <v>46</v>
      </c>
      <c r="E37" s="54">
        <v>1000.0</v>
      </c>
      <c r="G37" s="48" t="s">
        <v>66</v>
      </c>
      <c r="K37" s="49">
        <v>80.0</v>
      </c>
      <c r="L37" s="49">
        <v>80.0</v>
      </c>
      <c r="O37" s="48" t="s">
        <v>64</v>
      </c>
      <c r="AE37" s="54">
        <v>1000.0</v>
      </c>
      <c r="BJ37" s="54">
        <v>1000.0</v>
      </c>
      <c r="BO37" s="48" t="s">
        <v>40</v>
      </c>
      <c r="BS37" s="48" t="s">
        <v>65</v>
      </c>
      <c r="BT37" s="48" t="s">
        <v>44</v>
      </c>
    </row>
    <row r="38" ht="15.75" customHeight="1">
      <c r="B38" s="48" t="s">
        <v>46</v>
      </c>
      <c r="E38" s="54">
        <v>1000.0</v>
      </c>
      <c r="G38" s="48" t="s">
        <v>66</v>
      </c>
      <c r="K38" s="49">
        <v>60.0</v>
      </c>
      <c r="L38" s="49">
        <v>60.0</v>
      </c>
      <c r="O38" s="48" t="s">
        <v>64</v>
      </c>
      <c r="AE38" s="54">
        <v>1000.0</v>
      </c>
      <c r="BJ38" s="54">
        <v>1000.0</v>
      </c>
      <c r="BO38" s="48" t="s">
        <v>68</v>
      </c>
      <c r="BS38" s="48" t="s">
        <v>65</v>
      </c>
      <c r="BT38" s="48" t="s">
        <v>44</v>
      </c>
    </row>
    <row r="39" ht="15.75" customHeight="1">
      <c r="B39" s="48" t="s">
        <v>46</v>
      </c>
      <c r="E39" s="49">
        <v>10.0</v>
      </c>
      <c r="G39" s="48" t="s">
        <v>63</v>
      </c>
      <c r="K39" s="49">
        <v>0.0</v>
      </c>
      <c r="L39" s="49">
        <v>0.0</v>
      </c>
      <c r="O39" s="48" t="s">
        <v>64</v>
      </c>
      <c r="AE39" s="49">
        <v>10.0</v>
      </c>
      <c r="BJ39" s="49">
        <v>10.0</v>
      </c>
      <c r="BO39" s="48" t="s">
        <v>67</v>
      </c>
      <c r="BS39" s="48" t="s">
        <v>65</v>
      </c>
      <c r="BT39" s="48" t="s">
        <v>18</v>
      </c>
    </row>
    <row r="40" ht="15.75" customHeight="1">
      <c r="B40" s="48" t="s">
        <v>46</v>
      </c>
      <c r="E40" s="54">
        <v>1000.0</v>
      </c>
      <c r="G40" s="48" t="s">
        <v>66</v>
      </c>
      <c r="K40" s="49">
        <v>80.0</v>
      </c>
      <c r="L40" s="49">
        <v>80.0</v>
      </c>
      <c r="O40" s="48" t="s">
        <v>64</v>
      </c>
      <c r="AE40" s="54">
        <v>1000.0</v>
      </c>
      <c r="BJ40" s="54">
        <v>1000.0</v>
      </c>
      <c r="BO40" s="48" t="s">
        <v>40</v>
      </c>
      <c r="BS40" s="48" t="s">
        <v>65</v>
      </c>
      <c r="BT40" s="48" t="s">
        <v>44</v>
      </c>
    </row>
    <row r="41" ht="15.75" customHeight="1">
      <c r="B41" s="48" t="s">
        <v>48</v>
      </c>
      <c r="E41" s="49">
        <v>10.0</v>
      </c>
      <c r="G41" s="48" t="s">
        <v>63</v>
      </c>
      <c r="K41" s="49">
        <v>0.0</v>
      </c>
      <c r="L41" s="49">
        <v>0.0</v>
      </c>
      <c r="O41" s="48" t="s">
        <v>64</v>
      </c>
      <c r="AE41" s="49">
        <v>10.0</v>
      </c>
      <c r="BJ41" s="49">
        <v>10.0</v>
      </c>
      <c r="BO41" s="48" t="s">
        <v>68</v>
      </c>
      <c r="BS41" s="48" t="s">
        <v>65</v>
      </c>
      <c r="BT41" s="48" t="s">
        <v>21</v>
      </c>
    </row>
    <row r="42" ht="15.75" customHeight="1">
      <c r="B42" s="48" t="s">
        <v>46</v>
      </c>
      <c r="E42" s="49">
        <v>10.0</v>
      </c>
      <c r="G42" s="48" t="s">
        <v>63</v>
      </c>
      <c r="K42" s="49">
        <v>0.0</v>
      </c>
      <c r="L42" s="49">
        <v>0.0</v>
      </c>
      <c r="O42" s="48" t="s">
        <v>64</v>
      </c>
      <c r="AE42" s="49">
        <v>10.0</v>
      </c>
      <c r="BJ42" s="49">
        <v>10.0</v>
      </c>
      <c r="BO42" s="48" t="s">
        <v>67</v>
      </c>
      <c r="BS42" s="48" t="s">
        <v>65</v>
      </c>
      <c r="BT42" s="48" t="s">
        <v>19</v>
      </c>
    </row>
    <row r="43" ht="15.75" customHeight="1">
      <c r="B43" s="48" t="s">
        <v>46</v>
      </c>
      <c r="E43" s="49">
        <v>100.0</v>
      </c>
      <c r="G43" s="48" t="s">
        <v>66</v>
      </c>
      <c r="K43" s="49">
        <v>70.0</v>
      </c>
      <c r="L43" s="49">
        <v>70.0</v>
      </c>
      <c r="O43" s="48" t="s">
        <v>64</v>
      </c>
      <c r="AE43" s="49">
        <v>100.0</v>
      </c>
      <c r="BJ43" s="49">
        <v>100.0</v>
      </c>
      <c r="BO43" s="48" t="s">
        <v>68</v>
      </c>
      <c r="BS43" s="48" t="s">
        <v>65</v>
      </c>
      <c r="BT43" s="48" t="s">
        <v>44</v>
      </c>
    </row>
    <row r="44" ht="15.75" customHeight="1">
      <c r="B44" s="48" t="s">
        <v>48</v>
      </c>
      <c r="E44" s="49">
        <v>10.0</v>
      </c>
      <c r="G44" s="48" t="s">
        <v>63</v>
      </c>
      <c r="K44" s="49">
        <v>0.0</v>
      </c>
      <c r="L44" s="49">
        <v>0.0</v>
      </c>
      <c r="O44" s="48" t="s">
        <v>64</v>
      </c>
      <c r="AE44" s="49">
        <v>10.0</v>
      </c>
      <c r="BJ44" s="49">
        <v>10.0</v>
      </c>
      <c r="BO44" s="48" t="s">
        <v>68</v>
      </c>
      <c r="BS44" s="48" t="s">
        <v>65</v>
      </c>
      <c r="BT44" s="48" t="s">
        <v>22</v>
      </c>
    </row>
    <row r="45" ht="15.75" customHeight="1">
      <c r="B45" s="48" t="s">
        <v>48</v>
      </c>
      <c r="E45" s="49">
        <v>10.0</v>
      </c>
      <c r="G45" s="48" t="s">
        <v>63</v>
      </c>
      <c r="K45" s="49">
        <v>0.0</v>
      </c>
      <c r="L45" s="49">
        <v>0.0</v>
      </c>
      <c r="O45" s="48" t="s">
        <v>64</v>
      </c>
      <c r="AE45" s="49">
        <v>10.0</v>
      </c>
      <c r="BJ45" s="49">
        <v>10.0</v>
      </c>
      <c r="BO45" s="48" t="s">
        <v>68</v>
      </c>
      <c r="BS45" s="48" t="s">
        <v>65</v>
      </c>
      <c r="BT45" s="48" t="s">
        <v>23</v>
      </c>
    </row>
    <row r="46" ht="15.75" customHeight="1">
      <c r="B46" s="48" t="s">
        <v>48</v>
      </c>
      <c r="E46" s="49">
        <v>100.0</v>
      </c>
      <c r="G46" s="48" t="s">
        <v>66</v>
      </c>
      <c r="K46" s="49">
        <v>70.0</v>
      </c>
      <c r="L46" s="49">
        <v>70.0</v>
      </c>
      <c r="O46" s="48" t="s">
        <v>64</v>
      </c>
      <c r="AE46" s="49">
        <v>100.0</v>
      </c>
      <c r="BJ46" s="49">
        <v>100.0</v>
      </c>
      <c r="BO46" s="48" t="s">
        <v>69</v>
      </c>
      <c r="BS46" s="48" t="s">
        <v>65</v>
      </c>
      <c r="BT46" s="48" t="s">
        <v>47</v>
      </c>
    </row>
    <row r="47" ht="15.75" customHeight="1">
      <c r="B47" s="48" t="s">
        <v>51</v>
      </c>
      <c r="E47" s="49">
        <v>10.0</v>
      </c>
      <c r="G47" s="48" t="s">
        <v>63</v>
      </c>
      <c r="K47" s="49">
        <v>0.0</v>
      </c>
      <c r="L47" s="49">
        <v>0.0</v>
      </c>
      <c r="O47" s="48" t="s">
        <v>64</v>
      </c>
      <c r="AE47" s="49">
        <v>10.0</v>
      </c>
      <c r="BJ47" s="49">
        <v>10.0</v>
      </c>
      <c r="BO47" s="48" t="s">
        <v>68</v>
      </c>
      <c r="BS47" s="48" t="s">
        <v>65</v>
      </c>
      <c r="BT47" s="48" t="s">
        <v>26</v>
      </c>
    </row>
    <row r="48" ht="15.75" customHeight="1">
      <c r="B48" s="48" t="s">
        <v>48</v>
      </c>
      <c r="E48" s="49">
        <v>900.0</v>
      </c>
      <c r="G48" s="48" t="s">
        <v>66</v>
      </c>
      <c r="K48" s="49">
        <v>70.0</v>
      </c>
      <c r="L48" s="49">
        <v>70.0</v>
      </c>
      <c r="O48" s="48" t="s">
        <v>64</v>
      </c>
      <c r="AE48" s="49">
        <v>900.0</v>
      </c>
      <c r="BJ48" s="49">
        <v>900.0</v>
      </c>
      <c r="BO48" s="48" t="s">
        <v>45</v>
      </c>
      <c r="BS48" s="48" t="s">
        <v>65</v>
      </c>
      <c r="BT48" s="48" t="s">
        <v>47</v>
      </c>
    </row>
    <row r="49" ht="15.75" customHeight="1">
      <c r="B49" s="48" t="s">
        <v>48</v>
      </c>
      <c r="E49" s="49">
        <v>10.0</v>
      </c>
      <c r="G49" s="48" t="s">
        <v>63</v>
      </c>
      <c r="K49" s="49">
        <v>0.0</v>
      </c>
      <c r="L49" s="49">
        <v>0.0</v>
      </c>
      <c r="O49" s="48" t="s">
        <v>64</v>
      </c>
      <c r="AE49" s="49">
        <v>10.0</v>
      </c>
      <c r="BJ49" s="49">
        <v>10.0</v>
      </c>
      <c r="BO49" s="48" t="s">
        <v>68</v>
      </c>
      <c r="BS49" s="48" t="s">
        <v>65</v>
      </c>
      <c r="BT49" s="48" t="s">
        <v>24</v>
      </c>
    </row>
    <row r="50" ht="15.75" customHeight="1">
      <c r="B50" s="48" t="s">
        <v>48</v>
      </c>
      <c r="E50" s="54">
        <v>1000.0</v>
      </c>
      <c r="G50" s="48" t="s">
        <v>66</v>
      </c>
      <c r="K50" s="49">
        <v>60.0</v>
      </c>
      <c r="L50" s="49">
        <v>60.0</v>
      </c>
      <c r="O50" s="48" t="s">
        <v>64</v>
      </c>
      <c r="AE50" s="54">
        <v>1000.0</v>
      </c>
      <c r="BJ50" s="54">
        <v>1000.0</v>
      </c>
      <c r="BO50" s="48" t="s">
        <v>69</v>
      </c>
      <c r="BS50" s="48" t="s">
        <v>65</v>
      </c>
      <c r="BT50" s="48" t="s">
        <v>47</v>
      </c>
    </row>
    <row r="51" ht="15.75" customHeight="1">
      <c r="B51" s="48" t="s">
        <v>51</v>
      </c>
      <c r="E51" s="49">
        <v>10.0</v>
      </c>
      <c r="G51" s="48" t="s">
        <v>63</v>
      </c>
      <c r="K51" s="49">
        <v>0.0</v>
      </c>
      <c r="L51" s="49">
        <v>0.0</v>
      </c>
      <c r="O51" s="48" t="s">
        <v>64</v>
      </c>
      <c r="AE51" s="49">
        <v>10.0</v>
      </c>
      <c r="BJ51" s="49">
        <v>10.0</v>
      </c>
      <c r="BO51" s="48" t="s">
        <v>68</v>
      </c>
      <c r="BS51" s="48" t="s">
        <v>65</v>
      </c>
      <c r="BT51" s="48" t="s">
        <v>27</v>
      </c>
    </row>
    <row r="52" ht="15.75" customHeight="1">
      <c r="B52" s="48" t="s">
        <v>48</v>
      </c>
      <c r="E52" s="54">
        <v>1000.0</v>
      </c>
      <c r="G52" s="48" t="s">
        <v>66</v>
      </c>
      <c r="K52" s="49">
        <v>80.0</v>
      </c>
      <c r="L52" s="49">
        <v>80.0</v>
      </c>
      <c r="O52" s="48" t="s">
        <v>64</v>
      </c>
      <c r="AE52" s="54">
        <v>1000.0</v>
      </c>
      <c r="BJ52" s="54">
        <v>1000.0</v>
      </c>
      <c r="BO52" s="48" t="s">
        <v>45</v>
      </c>
      <c r="BS52" s="48" t="s">
        <v>65</v>
      </c>
      <c r="BT52" s="48" t="s">
        <v>47</v>
      </c>
    </row>
    <row r="53" ht="15.75" customHeight="1">
      <c r="B53" s="48" t="s">
        <v>51</v>
      </c>
      <c r="E53" s="49">
        <v>10.0</v>
      </c>
      <c r="G53" s="48" t="s">
        <v>63</v>
      </c>
      <c r="K53" s="49">
        <v>0.0</v>
      </c>
      <c r="L53" s="49">
        <v>0.0</v>
      </c>
      <c r="O53" s="48" t="s">
        <v>64</v>
      </c>
      <c r="AE53" s="49">
        <v>10.0</v>
      </c>
      <c r="BJ53" s="49">
        <v>10.0</v>
      </c>
      <c r="BO53" s="48" t="s">
        <v>68</v>
      </c>
      <c r="BS53" s="48" t="s">
        <v>65</v>
      </c>
      <c r="BT53" s="48" t="s">
        <v>25</v>
      </c>
    </row>
    <row r="54" ht="15.75" customHeight="1">
      <c r="B54" s="48" t="s">
        <v>51</v>
      </c>
      <c r="E54" s="49">
        <v>10.0</v>
      </c>
      <c r="G54" s="48" t="s">
        <v>63</v>
      </c>
      <c r="K54" s="49">
        <v>0.0</v>
      </c>
      <c r="L54" s="49">
        <v>0.0</v>
      </c>
      <c r="O54" s="48" t="s">
        <v>64</v>
      </c>
      <c r="AE54" s="49">
        <v>10.0</v>
      </c>
      <c r="BJ54" s="49">
        <v>10.0</v>
      </c>
      <c r="BO54" s="48" t="s">
        <v>68</v>
      </c>
      <c r="BS54" s="48" t="s">
        <v>65</v>
      </c>
      <c r="BT54" s="48" t="s">
        <v>28</v>
      </c>
    </row>
    <row r="55" ht="15.75" customHeight="1">
      <c r="B55" s="48" t="s">
        <v>48</v>
      </c>
      <c r="E55" s="54">
        <v>1000.0</v>
      </c>
      <c r="G55" s="48" t="s">
        <v>66</v>
      </c>
      <c r="K55" s="49">
        <v>80.0</v>
      </c>
      <c r="L55" s="49">
        <v>80.0</v>
      </c>
      <c r="O55" s="48" t="s">
        <v>64</v>
      </c>
      <c r="AE55" s="54">
        <v>1000.0</v>
      </c>
      <c r="BJ55" s="54">
        <v>1000.0</v>
      </c>
      <c r="BO55" s="48" t="s">
        <v>45</v>
      </c>
      <c r="BS55" s="48" t="s">
        <v>65</v>
      </c>
      <c r="BT55" s="48" t="s">
        <v>47</v>
      </c>
    </row>
    <row r="56" ht="15.75" customHeight="1">
      <c r="B56" s="48" t="s">
        <v>51</v>
      </c>
      <c r="E56" s="54">
        <v>1000.0</v>
      </c>
      <c r="G56" s="48" t="s">
        <v>66</v>
      </c>
      <c r="K56" s="49">
        <v>80.0</v>
      </c>
      <c r="L56" s="49">
        <v>80.0</v>
      </c>
      <c r="O56" s="48" t="s">
        <v>64</v>
      </c>
      <c r="AE56" s="54">
        <v>1000.0</v>
      </c>
      <c r="BJ56" s="54">
        <v>1000.0</v>
      </c>
      <c r="BO56" s="48" t="s">
        <v>45</v>
      </c>
      <c r="BS56" s="48" t="s">
        <v>65</v>
      </c>
      <c r="BT56" s="48" t="s">
        <v>50</v>
      </c>
    </row>
    <row r="57" ht="15.75" customHeight="1">
      <c r="B57" s="48" t="s">
        <v>51</v>
      </c>
      <c r="E57" s="54">
        <v>1000.0</v>
      </c>
      <c r="G57" s="48" t="s">
        <v>66</v>
      </c>
      <c r="K57" s="49">
        <v>80.0</v>
      </c>
      <c r="L57" s="49">
        <v>80.0</v>
      </c>
      <c r="O57" s="48" t="s">
        <v>64</v>
      </c>
      <c r="AE57" s="54">
        <v>1000.0</v>
      </c>
      <c r="BJ57" s="54">
        <v>1000.0</v>
      </c>
      <c r="BO57" s="48" t="s">
        <v>69</v>
      </c>
      <c r="BS57" s="48" t="s">
        <v>65</v>
      </c>
      <c r="BT57" s="48" t="s">
        <v>50</v>
      </c>
    </row>
    <row r="58" ht="15.75" customHeight="1">
      <c r="B58" s="48" t="s">
        <v>51</v>
      </c>
      <c r="E58" s="54">
        <v>1000.0</v>
      </c>
      <c r="G58" s="48" t="s">
        <v>66</v>
      </c>
      <c r="K58" s="49">
        <v>70.0</v>
      </c>
      <c r="L58" s="49">
        <v>70.0</v>
      </c>
      <c r="O58" s="48" t="s">
        <v>64</v>
      </c>
      <c r="AE58" s="54">
        <v>1000.0</v>
      </c>
      <c r="BJ58" s="54">
        <v>1000.0</v>
      </c>
      <c r="BO58" s="48" t="s">
        <v>45</v>
      </c>
      <c r="BS58" s="48" t="s">
        <v>65</v>
      </c>
      <c r="BT58" s="48" t="s">
        <v>50</v>
      </c>
    </row>
    <row r="59" ht="15.75" customHeight="1">
      <c r="B59" s="48" t="s">
        <v>51</v>
      </c>
      <c r="E59" s="49">
        <v>100.0</v>
      </c>
      <c r="G59" s="48" t="s">
        <v>66</v>
      </c>
      <c r="K59" s="49">
        <v>60.0</v>
      </c>
      <c r="L59" s="49">
        <v>60.0</v>
      </c>
      <c r="O59" s="48" t="s">
        <v>64</v>
      </c>
      <c r="AE59" s="49">
        <v>100.0</v>
      </c>
      <c r="BJ59" s="49">
        <v>100.0</v>
      </c>
      <c r="BO59" s="48" t="s">
        <v>69</v>
      </c>
      <c r="BS59" s="48" t="s">
        <v>65</v>
      </c>
      <c r="BT59" s="48" t="s">
        <v>50</v>
      </c>
    </row>
    <row r="60" ht="15.75" customHeight="1">
      <c r="B60" s="48" t="s">
        <v>51</v>
      </c>
      <c r="E60" s="49">
        <v>900.0</v>
      </c>
      <c r="G60" s="48" t="s">
        <v>66</v>
      </c>
      <c r="K60" s="49">
        <v>60.0</v>
      </c>
      <c r="L60" s="49">
        <v>60.0</v>
      </c>
      <c r="O60" s="48" t="s">
        <v>64</v>
      </c>
      <c r="AE60" s="49">
        <v>900.0</v>
      </c>
      <c r="BJ60" s="49">
        <v>900.0</v>
      </c>
      <c r="BO60" s="48" t="s">
        <v>45</v>
      </c>
      <c r="BS60" s="48" t="s">
        <v>65</v>
      </c>
      <c r="BT60" s="48" t="s">
        <v>50</v>
      </c>
    </row>
    <row r="61" ht="15.75" customHeight="1">
      <c r="G61" s="55"/>
      <c r="BS61" s="55"/>
      <c r="BT61" s="55"/>
    </row>
    <row r="62" ht="15.75" customHeight="1">
      <c r="G62" s="55"/>
    </row>
    <row r="63" ht="15.75" customHeight="1">
      <c r="G63" s="55"/>
    </row>
    <row r="64" ht="15.75" customHeight="1">
      <c r="G64" s="5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/>
      <c r="B6" s="47"/>
      <c r="C6" s="48" t="s">
        <v>50</v>
      </c>
      <c r="D6" s="56">
        <v>1100.0</v>
      </c>
      <c r="E6" s="48" t="s">
        <v>51</v>
      </c>
      <c r="F6" s="48" t="s">
        <v>72</v>
      </c>
      <c r="G6" s="49">
        <v>1.0</v>
      </c>
      <c r="H6" s="8"/>
      <c r="I6" s="8"/>
      <c r="J6" s="8"/>
      <c r="K6" s="8"/>
      <c r="L6" s="8"/>
      <c r="M6" s="8"/>
      <c r="N6" s="8"/>
      <c r="O6" s="8"/>
      <c r="S6" s="48" t="s">
        <v>65</v>
      </c>
      <c r="T6" s="48" t="s">
        <v>66</v>
      </c>
      <c r="AN6" s="48" t="s">
        <v>40</v>
      </c>
      <c r="BR6" s="48" t="s">
        <v>64</v>
      </c>
    </row>
    <row r="7" ht="15.75" customHeight="1">
      <c r="A7" s="8"/>
      <c r="B7" s="8"/>
      <c r="C7" s="48" t="s">
        <v>50</v>
      </c>
      <c r="D7" s="56">
        <v>-1000.0</v>
      </c>
      <c r="E7" s="48" t="s">
        <v>51</v>
      </c>
      <c r="F7" s="48" t="s">
        <v>72</v>
      </c>
      <c r="G7" s="49">
        <v>80.0</v>
      </c>
      <c r="H7" s="8"/>
      <c r="I7" s="8"/>
      <c r="J7" s="8"/>
      <c r="K7" s="8"/>
      <c r="L7" s="8"/>
      <c r="M7" s="8"/>
      <c r="N7" s="8"/>
      <c r="O7" s="8"/>
      <c r="S7" s="48" t="s">
        <v>65</v>
      </c>
      <c r="T7" s="48" t="s">
        <v>66</v>
      </c>
      <c r="AN7" s="48" t="s">
        <v>69</v>
      </c>
      <c r="BR7" s="48" t="s">
        <v>64</v>
      </c>
    </row>
    <row r="8" ht="15.75" customHeight="1">
      <c r="A8" s="8"/>
      <c r="B8" s="8"/>
      <c r="C8" s="48" t="s">
        <v>25</v>
      </c>
      <c r="D8" s="49">
        <v>10.0</v>
      </c>
      <c r="E8" s="48" t="s">
        <v>51</v>
      </c>
      <c r="F8" s="48" t="s">
        <v>72</v>
      </c>
      <c r="G8" s="49">
        <v>0.0</v>
      </c>
      <c r="H8" s="8"/>
      <c r="I8" s="8"/>
      <c r="J8" s="8"/>
      <c r="K8" s="8"/>
      <c r="L8" s="8"/>
      <c r="M8" s="8"/>
      <c r="N8" s="8"/>
      <c r="O8" s="8"/>
      <c r="S8" s="48" t="s">
        <v>65</v>
      </c>
      <c r="T8" s="48" t="s">
        <v>63</v>
      </c>
      <c r="AN8" s="48" t="s">
        <v>68</v>
      </c>
      <c r="BR8" s="48" t="s">
        <v>64</v>
      </c>
    </row>
    <row r="9" ht="15.75" customHeight="1">
      <c r="A9" s="8"/>
      <c r="B9" s="8"/>
      <c r="C9" s="48" t="s">
        <v>26</v>
      </c>
      <c r="D9" s="49">
        <v>10.0</v>
      </c>
      <c r="E9" s="48" t="s">
        <v>51</v>
      </c>
      <c r="F9" s="48" t="s">
        <v>72</v>
      </c>
      <c r="G9" s="49">
        <v>0.0</v>
      </c>
      <c r="H9" s="8"/>
      <c r="I9" s="8"/>
      <c r="J9" s="8"/>
      <c r="K9" s="8"/>
      <c r="L9" s="8"/>
      <c r="M9" s="8"/>
      <c r="N9" s="8"/>
      <c r="O9" s="8"/>
      <c r="S9" s="48" t="s">
        <v>65</v>
      </c>
      <c r="T9" s="48" t="s">
        <v>63</v>
      </c>
      <c r="AN9" s="48" t="s">
        <v>68</v>
      </c>
      <c r="BR9" s="48" t="s">
        <v>64</v>
      </c>
    </row>
    <row r="10" ht="15.75" customHeight="1">
      <c r="A10" s="8"/>
      <c r="B10" s="8"/>
      <c r="C10" s="48" t="s">
        <v>27</v>
      </c>
      <c r="D10" s="49">
        <v>10.0</v>
      </c>
      <c r="E10" s="48" t="s">
        <v>51</v>
      </c>
      <c r="F10" s="48" t="s">
        <v>72</v>
      </c>
      <c r="G10" s="49">
        <v>0.0</v>
      </c>
      <c r="H10" s="8"/>
      <c r="I10" s="8"/>
      <c r="J10" s="8"/>
      <c r="K10" s="8"/>
      <c r="L10" s="8"/>
      <c r="M10" s="8"/>
      <c r="N10" s="8"/>
      <c r="O10" s="8"/>
      <c r="S10" s="48" t="s">
        <v>65</v>
      </c>
      <c r="T10" s="48" t="s">
        <v>63</v>
      </c>
      <c r="AN10" s="48" t="s">
        <v>68</v>
      </c>
      <c r="BR10" s="48" t="s">
        <v>64</v>
      </c>
    </row>
    <row r="11" ht="15.75" customHeight="1">
      <c r="A11" s="8"/>
      <c r="B11" s="8"/>
      <c r="C11" s="48" t="s">
        <v>50</v>
      </c>
      <c r="D11" s="56">
        <v>-1000.0</v>
      </c>
      <c r="E11" s="48" t="s">
        <v>51</v>
      </c>
      <c r="F11" s="48" t="s">
        <v>72</v>
      </c>
      <c r="G11" s="49">
        <v>80.0</v>
      </c>
      <c r="H11" s="8"/>
      <c r="I11" s="8"/>
      <c r="J11" s="8"/>
      <c r="K11" s="8"/>
      <c r="L11" s="8"/>
      <c r="M11" s="8"/>
      <c r="N11" s="8"/>
      <c r="O11" s="8"/>
      <c r="S11" s="48" t="s">
        <v>65</v>
      </c>
      <c r="T11" s="48" t="s">
        <v>66</v>
      </c>
      <c r="AN11" s="48" t="s">
        <v>45</v>
      </c>
      <c r="BR11" s="48" t="s">
        <v>64</v>
      </c>
    </row>
    <row r="12" ht="15.75" customHeight="1">
      <c r="A12" s="8"/>
      <c r="B12" s="8"/>
      <c r="C12" s="48" t="s">
        <v>50</v>
      </c>
      <c r="D12" s="56">
        <v>-1000.0</v>
      </c>
      <c r="E12" s="48" t="s">
        <v>51</v>
      </c>
      <c r="F12" s="48" t="s">
        <v>72</v>
      </c>
      <c r="G12" s="49">
        <v>70.0</v>
      </c>
      <c r="H12" s="8"/>
      <c r="I12" s="8"/>
      <c r="J12" s="8"/>
      <c r="K12" s="8"/>
      <c r="L12" s="8"/>
      <c r="M12" s="8"/>
      <c r="N12" s="8"/>
      <c r="O12" s="8"/>
      <c r="S12" s="48" t="s">
        <v>65</v>
      </c>
      <c r="T12" s="48" t="s">
        <v>66</v>
      </c>
      <c r="AN12" s="48" t="s">
        <v>45</v>
      </c>
      <c r="BR12" s="48" t="s">
        <v>64</v>
      </c>
    </row>
    <row r="13" ht="15.75" customHeight="1">
      <c r="A13" s="8"/>
      <c r="B13" s="8"/>
      <c r="C13" s="48" t="s">
        <v>50</v>
      </c>
      <c r="D13" s="49">
        <v>-100.0</v>
      </c>
      <c r="E13" s="48" t="s">
        <v>51</v>
      </c>
      <c r="F13" s="48" t="s">
        <v>72</v>
      </c>
      <c r="G13" s="49">
        <v>60.0</v>
      </c>
      <c r="H13" s="8"/>
      <c r="I13" s="8"/>
      <c r="J13" s="8"/>
      <c r="K13" s="8"/>
      <c r="L13" s="8"/>
      <c r="M13" s="8"/>
      <c r="N13" s="8"/>
      <c r="O13" s="8"/>
      <c r="S13" s="48" t="s">
        <v>65</v>
      </c>
      <c r="T13" s="48" t="s">
        <v>66</v>
      </c>
      <c r="AN13" s="48" t="s">
        <v>69</v>
      </c>
      <c r="BR13" s="48" t="s">
        <v>64</v>
      </c>
    </row>
    <row r="14" ht="15.75" customHeight="1">
      <c r="A14" s="8"/>
      <c r="B14" s="8"/>
      <c r="C14" s="48" t="s">
        <v>50</v>
      </c>
      <c r="D14" s="49">
        <v>-900.0</v>
      </c>
      <c r="E14" s="48" t="s">
        <v>51</v>
      </c>
      <c r="F14" s="48" t="s">
        <v>72</v>
      </c>
      <c r="G14" s="49">
        <v>60.0</v>
      </c>
      <c r="H14" s="8"/>
      <c r="I14" s="8"/>
      <c r="J14" s="8"/>
      <c r="K14" s="8"/>
      <c r="L14" s="8"/>
      <c r="M14" s="8"/>
      <c r="N14" s="8"/>
      <c r="O14" s="8"/>
      <c r="S14" s="48" t="s">
        <v>65</v>
      </c>
      <c r="T14" s="48" t="s">
        <v>66</v>
      </c>
      <c r="AN14" s="48" t="s">
        <v>45</v>
      </c>
      <c r="BR14" s="48" t="s">
        <v>64</v>
      </c>
    </row>
    <row r="15" ht="15.75" customHeight="1">
      <c r="A15" s="8"/>
      <c r="B15" s="8"/>
      <c r="C15" s="48" t="s">
        <v>39</v>
      </c>
      <c r="D15" s="56">
        <v>1100.0</v>
      </c>
      <c r="E15" s="48" t="s">
        <v>41</v>
      </c>
      <c r="F15" s="48" t="s">
        <v>73</v>
      </c>
      <c r="G15" s="49">
        <v>1.0</v>
      </c>
      <c r="H15" s="8"/>
      <c r="I15" s="8"/>
      <c r="J15" s="8"/>
      <c r="K15" s="8"/>
      <c r="L15" s="8"/>
      <c r="M15" s="8"/>
      <c r="N15" s="8"/>
      <c r="O15" s="8"/>
      <c r="S15" s="48" t="s">
        <v>65</v>
      </c>
      <c r="T15" s="48" t="s">
        <v>66</v>
      </c>
      <c r="AN15" s="48" t="s">
        <v>40</v>
      </c>
      <c r="BR15" s="48" t="s">
        <v>64</v>
      </c>
    </row>
    <row r="16" ht="15.75" customHeight="1">
      <c r="A16" s="8"/>
      <c r="B16" s="8"/>
      <c r="C16" s="48" t="s">
        <v>31</v>
      </c>
      <c r="D16" s="49">
        <v>-10.0</v>
      </c>
      <c r="E16" s="48" t="s">
        <v>41</v>
      </c>
      <c r="F16" s="48" t="s">
        <v>73</v>
      </c>
      <c r="G16" s="49">
        <v>0.0</v>
      </c>
      <c r="H16" s="8"/>
      <c r="I16" s="8"/>
      <c r="J16" s="8"/>
      <c r="K16" s="8"/>
      <c r="L16" s="8"/>
      <c r="M16" s="8"/>
      <c r="N16" s="8"/>
      <c r="O16" s="8"/>
      <c r="S16" s="48" t="s">
        <v>65</v>
      </c>
      <c r="T16" s="48" t="s">
        <v>63</v>
      </c>
      <c r="AN16" s="48" t="s">
        <v>67</v>
      </c>
      <c r="BR16" s="48" t="s">
        <v>64</v>
      </c>
    </row>
    <row r="17" ht="15.75" customHeight="1">
      <c r="A17" s="8"/>
      <c r="B17" s="8"/>
      <c r="C17" s="48" t="s">
        <v>32</v>
      </c>
      <c r="D17" s="49">
        <v>-10.0</v>
      </c>
      <c r="E17" s="48" t="s">
        <v>41</v>
      </c>
      <c r="F17" s="48" t="s">
        <v>73</v>
      </c>
      <c r="G17" s="49">
        <v>0.0</v>
      </c>
      <c r="H17" s="8"/>
      <c r="I17" s="8"/>
      <c r="J17" s="8"/>
      <c r="K17" s="8"/>
      <c r="L17" s="8"/>
      <c r="M17" s="8"/>
      <c r="N17" s="8"/>
      <c r="O17" s="8"/>
      <c r="S17" s="48" t="s">
        <v>65</v>
      </c>
      <c r="T17" s="48" t="s">
        <v>63</v>
      </c>
      <c r="AN17" s="48" t="s">
        <v>67</v>
      </c>
      <c r="BR17" s="48" t="s">
        <v>64</v>
      </c>
    </row>
    <row r="18" ht="15.75" customHeight="1">
      <c r="A18" s="8"/>
      <c r="B18" s="8"/>
      <c r="C18" s="48" t="s">
        <v>33</v>
      </c>
      <c r="D18" s="49">
        <v>-10.0</v>
      </c>
      <c r="E18" s="48" t="s">
        <v>41</v>
      </c>
      <c r="F18" s="48" t="s">
        <v>73</v>
      </c>
      <c r="G18" s="49">
        <v>0.0</v>
      </c>
      <c r="H18" s="8"/>
      <c r="I18" s="8"/>
      <c r="J18" s="8"/>
      <c r="K18" s="8"/>
      <c r="L18" s="8"/>
      <c r="M18" s="8"/>
      <c r="N18" s="8"/>
      <c r="O18" s="8"/>
      <c r="S18" s="48" t="s">
        <v>65</v>
      </c>
      <c r="T18" s="48" t="s">
        <v>63</v>
      </c>
      <c r="AN18" s="48" t="s">
        <v>67</v>
      </c>
      <c r="BR18" s="48" t="s">
        <v>64</v>
      </c>
    </row>
    <row r="19" ht="15.75" customHeight="1">
      <c r="A19" s="8"/>
      <c r="B19" s="8"/>
      <c r="C19" s="48" t="s">
        <v>33</v>
      </c>
      <c r="D19" s="49">
        <v>-10.0</v>
      </c>
      <c r="E19" s="48" t="s">
        <v>41</v>
      </c>
      <c r="F19" s="48" t="s">
        <v>73</v>
      </c>
      <c r="G19" s="49">
        <v>0.0</v>
      </c>
      <c r="H19" s="8"/>
      <c r="I19" s="8"/>
      <c r="J19" s="8"/>
      <c r="K19" s="8"/>
      <c r="L19" s="8"/>
      <c r="M19" s="8"/>
      <c r="N19" s="8"/>
      <c r="O19" s="8"/>
      <c r="S19" s="48" t="s">
        <v>65</v>
      </c>
      <c r="T19" s="48" t="s">
        <v>63</v>
      </c>
      <c r="AN19" s="48" t="s">
        <v>67</v>
      </c>
      <c r="BR19" s="48" t="s">
        <v>43</v>
      </c>
    </row>
    <row r="20" ht="15.75" customHeight="1">
      <c r="A20" s="8"/>
      <c r="B20" s="8"/>
      <c r="C20" s="48" t="s">
        <v>39</v>
      </c>
      <c r="D20" s="56">
        <v>1000.0</v>
      </c>
      <c r="E20" s="48" t="s">
        <v>41</v>
      </c>
      <c r="F20" s="48" t="s">
        <v>73</v>
      </c>
      <c r="G20" s="49">
        <v>80.0</v>
      </c>
      <c r="H20" s="8"/>
      <c r="I20" s="8"/>
      <c r="J20" s="8"/>
      <c r="K20" s="8"/>
      <c r="L20" s="8"/>
      <c r="M20" s="8"/>
      <c r="N20" s="8"/>
      <c r="O20" s="8"/>
      <c r="S20" s="48" t="s">
        <v>65</v>
      </c>
      <c r="T20" s="48" t="s">
        <v>66</v>
      </c>
      <c r="AN20" s="48" t="s">
        <v>40</v>
      </c>
      <c r="BR20" s="48" t="s">
        <v>43</v>
      </c>
    </row>
    <row r="21" ht="15.75" customHeight="1">
      <c r="A21" s="8"/>
      <c r="B21" s="8"/>
      <c r="C21" s="48" t="s">
        <v>39</v>
      </c>
      <c r="D21" s="56">
        <v>1000.0</v>
      </c>
      <c r="E21" s="48" t="s">
        <v>41</v>
      </c>
      <c r="F21" s="48" t="s">
        <v>73</v>
      </c>
      <c r="G21" s="49">
        <v>80.0</v>
      </c>
      <c r="H21" s="8"/>
      <c r="I21" s="8"/>
      <c r="J21" s="8"/>
      <c r="K21" s="8"/>
      <c r="L21" s="8"/>
      <c r="M21" s="8"/>
      <c r="N21" s="8"/>
      <c r="O21" s="8"/>
      <c r="S21" s="48" t="s">
        <v>65</v>
      </c>
      <c r="T21" s="48" t="s">
        <v>66</v>
      </c>
      <c r="AN21" s="48" t="s">
        <v>40</v>
      </c>
      <c r="BR21" s="48" t="s">
        <v>64</v>
      </c>
    </row>
    <row r="22" ht="15.75" customHeight="1">
      <c r="A22" s="8"/>
      <c r="B22" s="8"/>
      <c r="C22" s="48" t="s">
        <v>39</v>
      </c>
      <c r="D22" s="56">
        <v>1000.0</v>
      </c>
      <c r="E22" s="48" t="s">
        <v>41</v>
      </c>
      <c r="F22" s="48" t="s">
        <v>73</v>
      </c>
      <c r="G22" s="49">
        <v>70.0</v>
      </c>
      <c r="H22" s="8"/>
      <c r="I22" s="8"/>
      <c r="J22" s="8"/>
      <c r="K22" s="8"/>
      <c r="L22" s="8"/>
      <c r="M22" s="8"/>
      <c r="N22" s="8"/>
      <c r="O22" s="8"/>
      <c r="S22" s="48" t="s">
        <v>65</v>
      </c>
      <c r="T22" s="48" t="s">
        <v>66</v>
      </c>
      <c r="AN22" s="48" t="s">
        <v>40</v>
      </c>
      <c r="BR22" s="48" t="s">
        <v>64</v>
      </c>
    </row>
    <row r="23" ht="15.75" customHeight="1">
      <c r="A23" s="8"/>
      <c r="B23" s="8"/>
      <c r="C23" s="48" t="s">
        <v>39</v>
      </c>
      <c r="D23" s="56">
        <v>1000.0</v>
      </c>
      <c r="E23" s="48" t="s">
        <v>41</v>
      </c>
      <c r="F23" s="48" t="s">
        <v>73</v>
      </c>
      <c r="G23" s="49">
        <v>60.0</v>
      </c>
      <c r="H23" s="8"/>
      <c r="I23" s="8"/>
      <c r="J23" s="8"/>
      <c r="K23" s="8"/>
      <c r="L23" s="8"/>
      <c r="M23" s="8"/>
      <c r="N23" s="8"/>
      <c r="O23" s="8"/>
      <c r="S23" s="48" t="s">
        <v>65</v>
      </c>
      <c r="T23" s="48" t="s">
        <v>66</v>
      </c>
      <c r="AN23" s="48" t="s">
        <v>40</v>
      </c>
      <c r="BR23" s="48" t="s">
        <v>64</v>
      </c>
    </row>
    <row r="24" ht="15.75" customHeight="1">
      <c r="A24" s="8"/>
      <c r="B24" s="8"/>
      <c r="C24" s="48" t="s">
        <v>44</v>
      </c>
      <c r="D24" s="56">
        <v>-1100.0</v>
      </c>
      <c r="E24" s="48" t="s">
        <v>46</v>
      </c>
      <c r="F24" s="48" t="s">
        <v>74</v>
      </c>
      <c r="G24" s="49">
        <v>1.0</v>
      </c>
      <c r="H24" s="8"/>
      <c r="I24" s="8"/>
      <c r="J24" s="8"/>
      <c r="K24" s="8"/>
      <c r="L24" s="8"/>
      <c r="M24" s="8"/>
      <c r="N24" s="8"/>
      <c r="O24" s="8"/>
      <c r="S24" s="48" t="s">
        <v>65</v>
      </c>
      <c r="T24" s="48" t="s">
        <v>66</v>
      </c>
      <c r="AN24" s="48" t="s">
        <v>45</v>
      </c>
      <c r="BR24" s="48" t="s">
        <v>64</v>
      </c>
    </row>
    <row r="25" ht="15.75" customHeight="1">
      <c r="A25" s="8"/>
      <c r="B25" s="8"/>
      <c r="C25" s="48" t="s">
        <v>16</v>
      </c>
      <c r="D25" s="49">
        <v>-10.0</v>
      </c>
      <c r="E25" s="48" t="s">
        <v>46</v>
      </c>
      <c r="F25" s="48" t="s">
        <v>74</v>
      </c>
      <c r="G25" s="49">
        <v>0.0</v>
      </c>
      <c r="H25" s="8"/>
      <c r="I25" s="8"/>
      <c r="J25" s="8"/>
      <c r="K25" s="8"/>
      <c r="L25" s="8"/>
      <c r="M25" s="8"/>
      <c r="N25" s="8"/>
      <c r="O25" s="8"/>
      <c r="S25" s="48" t="s">
        <v>65</v>
      </c>
      <c r="T25" s="48" t="s">
        <v>63</v>
      </c>
      <c r="AN25" s="48" t="s">
        <v>67</v>
      </c>
      <c r="BR25" s="48" t="s">
        <v>64</v>
      </c>
    </row>
    <row r="26" ht="15.75" customHeight="1">
      <c r="A26" s="8"/>
      <c r="B26" s="8"/>
      <c r="C26" s="48" t="s">
        <v>18</v>
      </c>
      <c r="D26" s="49">
        <v>-10.0</v>
      </c>
      <c r="E26" s="48" t="s">
        <v>46</v>
      </c>
      <c r="F26" s="48" t="s">
        <v>74</v>
      </c>
      <c r="G26" s="49">
        <v>0.0</v>
      </c>
      <c r="H26" s="8"/>
      <c r="I26" s="8"/>
      <c r="J26" s="8"/>
      <c r="K26" s="8"/>
      <c r="L26" s="8"/>
      <c r="M26" s="8"/>
      <c r="N26" s="8"/>
      <c r="O26" s="8"/>
      <c r="S26" s="48" t="s">
        <v>65</v>
      </c>
      <c r="T26" s="48" t="s">
        <v>63</v>
      </c>
      <c r="AN26" s="48" t="s">
        <v>67</v>
      </c>
      <c r="BR26" s="48" t="s">
        <v>64</v>
      </c>
    </row>
    <row r="27" ht="15.75" customHeight="1">
      <c r="C27" s="48" t="s">
        <v>19</v>
      </c>
      <c r="D27" s="49">
        <v>-10.0</v>
      </c>
      <c r="E27" s="48" t="s">
        <v>46</v>
      </c>
      <c r="F27" s="48" t="s">
        <v>74</v>
      </c>
      <c r="G27" s="49">
        <v>0.0</v>
      </c>
      <c r="S27" s="48" t="s">
        <v>65</v>
      </c>
      <c r="T27" s="48" t="s">
        <v>63</v>
      </c>
      <c r="AN27" s="48" t="s">
        <v>67</v>
      </c>
      <c r="BR27" s="48" t="s">
        <v>64</v>
      </c>
    </row>
    <row r="28" ht="15.75" customHeight="1">
      <c r="C28" s="48" t="s">
        <v>20</v>
      </c>
      <c r="D28" s="49">
        <v>-10.0</v>
      </c>
      <c r="E28" s="48" t="s">
        <v>46</v>
      </c>
      <c r="F28" s="48" t="s">
        <v>74</v>
      </c>
      <c r="G28" s="49">
        <v>0.0</v>
      </c>
      <c r="S28" s="48" t="s">
        <v>65</v>
      </c>
      <c r="T28" s="48" t="s">
        <v>63</v>
      </c>
      <c r="AN28" s="48" t="s">
        <v>67</v>
      </c>
      <c r="BR28" s="48" t="s">
        <v>64</v>
      </c>
    </row>
    <row r="29" ht="15.75" customHeight="1">
      <c r="C29" s="48" t="s">
        <v>44</v>
      </c>
      <c r="D29" s="56">
        <v>1000.0</v>
      </c>
      <c r="E29" s="48" t="s">
        <v>46</v>
      </c>
      <c r="F29" s="48" t="s">
        <v>74</v>
      </c>
      <c r="G29" s="49">
        <v>80.0</v>
      </c>
      <c r="S29" s="48" t="s">
        <v>65</v>
      </c>
      <c r="T29" s="48" t="s">
        <v>66</v>
      </c>
      <c r="AN29" s="48" t="s">
        <v>40</v>
      </c>
      <c r="BR29" s="48" t="s">
        <v>64</v>
      </c>
    </row>
    <row r="30" ht="15.75" customHeight="1">
      <c r="C30" s="48" t="s">
        <v>44</v>
      </c>
      <c r="D30" s="56">
        <v>1000.0</v>
      </c>
      <c r="E30" s="48" t="s">
        <v>46</v>
      </c>
      <c r="F30" s="48" t="s">
        <v>74</v>
      </c>
      <c r="G30" s="49">
        <v>80.0</v>
      </c>
      <c r="S30" s="48" t="s">
        <v>65</v>
      </c>
      <c r="T30" s="48" t="s">
        <v>66</v>
      </c>
      <c r="AN30" s="48" t="s">
        <v>40</v>
      </c>
      <c r="BR30" s="48" t="s">
        <v>64</v>
      </c>
    </row>
    <row r="31" ht="15.75" customHeight="1">
      <c r="C31" s="48" t="s">
        <v>44</v>
      </c>
      <c r="D31" s="49">
        <v>100.0</v>
      </c>
      <c r="E31" s="48" t="s">
        <v>46</v>
      </c>
      <c r="F31" s="48" t="s">
        <v>74</v>
      </c>
      <c r="G31" s="49">
        <v>70.0</v>
      </c>
      <c r="S31" s="48" t="s">
        <v>65</v>
      </c>
      <c r="T31" s="48" t="s">
        <v>66</v>
      </c>
      <c r="AN31" s="48" t="s">
        <v>68</v>
      </c>
      <c r="BR31" s="48" t="s">
        <v>64</v>
      </c>
    </row>
    <row r="32" ht="15.75" customHeight="1">
      <c r="C32" s="48" t="s">
        <v>44</v>
      </c>
      <c r="D32" s="49">
        <v>900.0</v>
      </c>
      <c r="E32" s="48" t="s">
        <v>46</v>
      </c>
      <c r="F32" s="48" t="s">
        <v>74</v>
      </c>
      <c r="G32" s="49">
        <v>70.0</v>
      </c>
      <c r="S32" s="48" t="s">
        <v>65</v>
      </c>
      <c r="T32" s="48" t="s">
        <v>66</v>
      </c>
      <c r="AN32" s="48" t="s">
        <v>40</v>
      </c>
      <c r="BR32" s="48" t="s">
        <v>64</v>
      </c>
    </row>
    <row r="33" ht="15.75" customHeight="1">
      <c r="C33" s="48" t="s">
        <v>44</v>
      </c>
      <c r="D33" s="56">
        <v>1000.0</v>
      </c>
      <c r="E33" s="48" t="s">
        <v>46</v>
      </c>
      <c r="F33" s="48" t="s">
        <v>74</v>
      </c>
      <c r="G33" s="49">
        <v>60.0</v>
      </c>
      <c r="S33" s="48" t="s">
        <v>65</v>
      </c>
      <c r="T33" s="48" t="s">
        <v>66</v>
      </c>
      <c r="AN33" s="48" t="s">
        <v>68</v>
      </c>
      <c r="BR33" s="48" t="s">
        <v>64</v>
      </c>
    </row>
    <row r="34" ht="15.75" customHeight="1">
      <c r="C34" s="48" t="s">
        <v>47</v>
      </c>
      <c r="D34" s="56">
        <v>1100.0</v>
      </c>
      <c r="E34" s="48" t="s">
        <v>48</v>
      </c>
      <c r="F34" s="48" t="s">
        <v>75</v>
      </c>
      <c r="G34" s="49">
        <v>1.0</v>
      </c>
      <c r="S34" s="48" t="s">
        <v>65</v>
      </c>
      <c r="T34" s="48" t="s">
        <v>66</v>
      </c>
      <c r="AN34" s="48" t="s">
        <v>40</v>
      </c>
      <c r="BR34" s="48" t="s">
        <v>64</v>
      </c>
    </row>
    <row r="35" ht="15.75" customHeight="1">
      <c r="C35" s="48" t="s">
        <v>21</v>
      </c>
      <c r="D35" s="49">
        <v>10.0</v>
      </c>
      <c r="E35" s="48" t="s">
        <v>48</v>
      </c>
      <c r="F35" s="48" t="s">
        <v>75</v>
      </c>
      <c r="G35" s="49">
        <v>0.0</v>
      </c>
      <c r="S35" s="48" t="s">
        <v>65</v>
      </c>
      <c r="T35" s="48" t="s">
        <v>63</v>
      </c>
      <c r="AN35" s="48" t="s">
        <v>68</v>
      </c>
      <c r="BR35" s="48" t="s">
        <v>64</v>
      </c>
    </row>
    <row r="36" ht="15.75" customHeight="1">
      <c r="C36" s="48" t="s">
        <v>22</v>
      </c>
      <c r="D36" s="49">
        <v>10.0</v>
      </c>
      <c r="E36" s="48" t="s">
        <v>48</v>
      </c>
      <c r="F36" s="48" t="s">
        <v>75</v>
      </c>
      <c r="G36" s="49">
        <v>0.0</v>
      </c>
      <c r="S36" s="48" t="s">
        <v>65</v>
      </c>
      <c r="T36" s="48" t="s">
        <v>63</v>
      </c>
      <c r="AN36" s="48" t="s">
        <v>68</v>
      </c>
      <c r="BR36" s="48" t="s">
        <v>64</v>
      </c>
    </row>
    <row r="37" ht="15.75" customHeight="1">
      <c r="C37" s="48" t="s">
        <v>23</v>
      </c>
      <c r="D37" s="49">
        <v>10.0</v>
      </c>
      <c r="E37" s="48" t="s">
        <v>48</v>
      </c>
      <c r="F37" s="48" t="s">
        <v>75</v>
      </c>
      <c r="G37" s="49">
        <v>0.0</v>
      </c>
      <c r="S37" s="48" t="s">
        <v>65</v>
      </c>
      <c r="T37" s="48" t="s">
        <v>63</v>
      </c>
      <c r="AN37" s="48" t="s">
        <v>68</v>
      </c>
      <c r="BR37" s="48" t="s">
        <v>64</v>
      </c>
    </row>
    <row r="38" ht="15.75" customHeight="1">
      <c r="C38" s="48" t="s">
        <v>24</v>
      </c>
      <c r="D38" s="49">
        <v>10.0</v>
      </c>
      <c r="E38" s="48" t="s">
        <v>48</v>
      </c>
      <c r="F38" s="48" t="s">
        <v>75</v>
      </c>
      <c r="G38" s="49">
        <v>0.0</v>
      </c>
      <c r="S38" s="48" t="s">
        <v>65</v>
      </c>
      <c r="T38" s="48" t="s">
        <v>63</v>
      </c>
      <c r="AN38" s="48" t="s">
        <v>68</v>
      </c>
      <c r="BR38" s="48" t="s">
        <v>64</v>
      </c>
    </row>
    <row r="39" ht="15.75" customHeight="1">
      <c r="C39" s="48" t="s">
        <v>47</v>
      </c>
      <c r="D39" s="56">
        <v>-1000.0</v>
      </c>
      <c r="E39" s="48" t="s">
        <v>48</v>
      </c>
      <c r="F39" s="48" t="s">
        <v>75</v>
      </c>
      <c r="G39" s="49">
        <v>80.0</v>
      </c>
      <c r="S39" s="48" t="s">
        <v>65</v>
      </c>
      <c r="T39" s="48" t="s">
        <v>66</v>
      </c>
      <c r="AN39" s="48" t="s">
        <v>45</v>
      </c>
      <c r="BR39" s="48" t="s">
        <v>64</v>
      </c>
    </row>
    <row r="40" ht="15.75" customHeight="1">
      <c r="C40" s="48" t="s">
        <v>47</v>
      </c>
      <c r="D40" s="56">
        <v>-1000.0</v>
      </c>
      <c r="E40" s="48" t="s">
        <v>48</v>
      </c>
      <c r="F40" s="48" t="s">
        <v>75</v>
      </c>
      <c r="G40" s="49">
        <v>80.0</v>
      </c>
      <c r="S40" s="48" t="s">
        <v>65</v>
      </c>
      <c r="T40" s="48" t="s">
        <v>66</v>
      </c>
      <c r="AN40" s="48" t="s">
        <v>45</v>
      </c>
      <c r="BR40" s="48" t="s">
        <v>64</v>
      </c>
    </row>
    <row r="41" ht="15.75" customHeight="1">
      <c r="C41" s="48" t="s">
        <v>47</v>
      </c>
      <c r="D41" s="49">
        <v>-100.0</v>
      </c>
      <c r="E41" s="48" t="s">
        <v>48</v>
      </c>
      <c r="F41" s="48" t="s">
        <v>75</v>
      </c>
      <c r="G41" s="49">
        <v>70.0</v>
      </c>
      <c r="S41" s="48" t="s">
        <v>65</v>
      </c>
      <c r="T41" s="48" t="s">
        <v>66</v>
      </c>
      <c r="AN41" s="48" t="s">
        <v>69</v>
      </c>
      <c r="BR41" s="48" t="s">
        <v>64</v>
      </c>
    </row>
    <row r="42" ht="15.75" customHeight="1">
      <c r="C42" s="48" t="s">
        <v>47</v>
      </c>
      <c r="D42" s="49">
        <v>-900.0</v>
      </c>
      <c r="E42" s="48" t="s">
        <v>48</v>
      </c>
      <c r="F42" s="48" t="s">
        <v>75</v>
      </c>
      <c r="G42" s="49">
        <v>70.0</v>
      </c>
      <c r="S42" s="48" t="s">
        <v>65</v>
      </c>
      <c r="T42" s="48" t="s">
        <v>66</v>
      </c>
      <c r="AN42" s="48" t="s">
        <v>45</v>
      </c>
      <c r="BR42" s="48" t="s">
        <v>64</v>
      </c>
    </row>
    <row r="43" ht="15.75" customHeight="1">
      <c r="C43" s="48" t="s">
        <v>47</v>
      </c>
      <c r="D43" s="56">
        <v>-1000.0</v>
      </c>
      <c r="E43" s="48" t="s">
        <v>48</v>
      </c>
      <c r="F43" s="48" t="s">
        <v>75</v>
      </c>
      <c r="G43" s="49">
        <v>60.0</v>
      </c>
      <c r="S43" s="48" t="s">
        <v>65</v>
      </c>
      <c r="T43" s="48" t="s">
        <v>66</v>
      </c>
      <c r="AN43" s="48" t="s">
        <v>69</v>
      </c>
      <c r="BR43" s="48" t="s">
        <v>64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