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ditTradeUnexpiredUnsettled" sheetId="11" r:id="rId13"/>
    <sheet state="visible" name="ExerciseAssignment" sheetId="12" r:id="rId14"/>
    <sheet state="visible" name="GetDataAllocation" sheetId="13" r:id="rId15"/>
    <sheet state="visible" name="CheckAllocatedGroup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<sst xmlns="http://schemas.openxmlformats.org/spreadsheetml/2006/main" count="170" uniqueCount="54">
  <si>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</si>
  <si>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</si>
  <si>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</si>
  <si>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</si>
  <si>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</si>
  <si>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</si>
  <si>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</si>
  <si>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</si>
  <si>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</si>
  <si>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</si>
  <si>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</si>
  <si>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</si>
  <si>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</si>
  <si>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</si>
  <si>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</si>
  <si>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</si>
  <si>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 xml:space="preserve"> O:AAPL 13N715.00</t>
  </si>
  <si>
    <t>Closing</t>
  </si>
  <si>
    <t>SetClosingPreference</t>
  </si>
  <si>
    <t>TradingTicket</t>
  </si>
  <si>
    <t>CreateDoneAwayOrder</t>
  </si>
  <si>
    <t>AAPL</t>
  </si>
  <si>
    <t>Sell</t>
  </si>
  <si>
    <t>Allocation1</t>
  </si>
  <si>
    <t>MS</t>
  </si>
  <si>
    <t>Sell short</t>
  </si>
  <si>
    <t>O:AAPL 13N715.00</t>
  </si>
  <si>
    <t>Buy to Open</t>
  </si>
  <si>
    <t>DailyValuation</t>
  </si>
  <si>
    <t>GetMarkPriceData</t>
  </si>
  <si>
    <t>UpdateMarkPrice</t>
  </si>
  <si>
    <t>GetDataClosing</t>
  </si>
  <si>
    <t>Historical</t>
  </si>
  <si>
    <t>SelectTradeUnexpiredUnsettled</t>
  </si>
  <si>
    <t>Open</t>
  </si>
  <si>
    <t>EditTradeUnexpiredUnsettled</t>
  </si>
  <si>
    <t>ExerciseAssignment</t>
  </si>
  <si>
    <t>Allocation</t>
  </si>
  <si>
    <t>GetDataAllocation</t>
  </si>
  <si>
    <t>1/1/1800</t>
  </si>
  <si>
    <t>CheckAllocatedGroups</t>
  </si>
  <si>
    <t>Sell to Close</t>
  </si>
  <si>
    <t>PortfolioManagement</t>
  </si>
  <si>
    <t>CheckPortfolioManagement</t>
  </si>
  <si>
    <t>NewMF</t>
  </si>
  <si>
    <t>Short</t>
  </si>
  <si>
    <t>Strategy Unallocated</t>
  </si>
  <si>
    <t>Equity</t>
  </si>
  <si>
    <t>US</t>
  </si>
  <si>
    <t>NASDAQ</t>
  </si>
  <si>
    <t>USD</t>
  </si>
  <si>
    <t>Long</t>
  </si>
  <si>
    <t>EquityOption</t>
  </si>
  <si>
    <t>OPTS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</si>
</sst>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horizontal="right" readingOrder="0" vertical="bottom"/>
    </xf>
    <xf borderId="7" fillId="0" fontId="3" numFmtId="0" xfId="0" applyAlignment="1" applyBorder="1" applyFont="1">
      <alignment vertical="bottom"/>
    </xf>
    <xf borderId="6" fillId="0" fontId="5" numFmtId="164" xfId="0" applyAlignment="1" applyBorder="1" applyFont="1" applyNumberForma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>
      <c r="A636" t="str">
        <f>IFERROR(__xludf.DUMMYFUNCTION("""COMPUTED_VALUE"""),"Simulator")</f>
        <v>Simulator</v>
      </c>
      <c r="B636" t="str">
        <f>IFERROR(__xludf.DUMMYFUNCTION("""COMPUTED_VALUE"""),"VerifyTagInAllFixLogs")</f>
        <v>VerifyTagInAllFixLogs</v>
      </c>
      <c r="C636" t="str">
        <f>IFERROR(__xludf.DUMMYFUNCTION("""COMPUTED_VALUE"""),"1jKDiJYpLWAfkSGRoeJ_liPC1ZaTdCTC5AqjDzj9I61Q")</f>
        <v>1jKDiJYpLWAfkSGRoeJ_liPC1ZaTdCTC5AqjDzj9I61Q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v>44682.0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/>
      <c r="C6" s="36"/>
      <c r="D6" s="35"/>
      <c r="E6" s="37" t="b">
        <v>1</v>
      </c>
      <c r="F6" s="36"/>
      <c r="G6" s="36"/>
      <c r="H6" s="36"/>
      <c r="I6" s="36"/>
      <c r="J6" s="37" t="b">
        <v>1</v>
      </c>
      <c r="K6" s="36"/>
      <c r="L6" s="36"/>
      <c r="M6" s="36"/>
      <c r="N6" s="36"/>
      <c r="O6" s="36"/>
      <c r="P6" s="36"/>
      <c r="Q6" s="36"/>
      <c r="R6" s="36"/>
      <c r="S6" s="36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8" t="s">
        <v>22</v>
      </c>
      <c r="D6" s="39">
        <v>100.0</v>
      </c>
      <c r="E6" s="40">
        <v>100.0</v>
      </c>
      <c r="F6" s="33" t="s">
        <v>23</v>
      </c>
      <c r="G6" s="33" t="s">
        <v>24</v>
      </c>
      <c r="H6" s="33"/>
      <c r="I6" s="33"/>
      <c r="J6" s="40">
        <v>10.0</v>
      </c>
      <c r="K6" s="33"/>
      <c r="L6" s="33"/>
      <c r="M6" s="33"/>
      <c r="N6" s="32">
        <v>44682.0</v>
      </c>
      <c r="O6" s="40">
        <v>1.0</v>
      </c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21</v>
      </c>
      <c r="C7" s="33" t="s">
        <v>25</v>
      </c>
      <c r="D7" s="40">
        <v>50.0</v>
      </c>
      <c r="E7" s="40"/>
      <c r="F7" s="33" t="s">
        <v>23</v>
      </c>
      <c r="G7" s="33" t="s">
        <v>24</v>
      </c>
      <c r="H7" s="33"/>
      <c r="I7" s="33"/>
      <c r="J7" s="40">
        <v>10.0</v>
      </c>
      <c r="K7" s="33"/>
      <c r="L7" s="33"/>
      <c r="M7" s="33"/>
      <c r="N7" s="32">
        <v>44682.0</v>
      </c>
      <c r="O7" s="40">
        <v>1.0</v>
      </c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26</v>
      </c>
      <c r="C8" s="33" t="s">
        <v>27</v>
      </c>
      <c r="D8" s="40">
        <v>10.0</v>
      </c>
      <c r="E8" s="33"/>
      <c r="F8" s="33" t="s">
        <v>23</v>
      </c>
      <c r="G8" s="33"/>
      <c r="H8" s="33"/>
      <c r="I8" s="33"/>
      <c r="J8" s="40">
        <v>10.0</v>
      </c>
      <c r="K8" s="33"/>
      <c r="L8" s="33"/>
      <c r="M8" s="33"/>
      <c r="N8" s="32">
        <v>44682.0</v>
      </c>
      <c r="O8" s="40">
        <v>1.0</v>
      </c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v>44984.0</v>
      </c>
      <c r="C6" s="32">
        <v>44985.0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40">
        <v>120.0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32</v>
      </c>
      <c r="C6" s="32">
        <f>today()-1</f>
        <v>45008</v>
      </c>
      <c r="D6" s="32">
        <f>today()</f>
        <v>45009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 t="s">
        <v>34</v>
      </c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 t="s">
        <v>27</v>
      </c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41">
        <v>10.0</v>
      </c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42" t="s">
        <v>26</v>
      </c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IFERROR(__xludf.DUMMYFUNCTION("""COMPUTED_VALUE"""),"Original Side")</f>
        <v>Original Side</v>
      </c>
      <c r="D5" s="28" t="str">
        <f>IFERROR(__xludf.DUMMYFUNCTION("""COMPUTED_VALUE"""),"Symbol")</f>
        <v>Symbol</v>
      </c>
      <c r="E5" s="28" t="str">
        <f>IFERROR(__xludf.DUMMYFUNCTION("""COMPUTED_VALUE"""),"Settlement Qty")</f>
        <v>Settlement Qty</v>
      </c>
      <c r="F5" s="29" t="str">
        <f>IFERROR(__xludf.DUMMYFUNCTION("""COMPUTED_VALUE"""),"Quantity")</f>
        <v>Quantity</v>
      </c>
      <c r="G5" s="28" t="str">
        <f>IFERROR(__xludf.DUMMYFUNCTION("""COMPUTED_VALUE"""),"TotalCommission&amp;Fees")</f>
        <v>TotalCommission&amp;Fees</v>
      </c>
      <c r="H5" s="28" t="str">
        <f>IFERROR(__xludf.DUMMYFUNCTION("""COMPUTED_VALUE"""),"Net Notional")</f>
        <v>Net Notional</v>
      </c>
      <c r="I5" s="28" t="str">
        <f>IFERROR(__xludf.DUMMYFUNCTION("""COMPUTED_VALUE"""),"Average Price")</f>
        <v>Average Price</v>
      </c>
      <c r="J5" s="28" t="str">
        <f>IFERROR(__xludf.DUMMYFUNCTION("""COMPUTED_VALUE"""),"UnderlyingName")</f>
        <v>UnderlyingName</v>
      </c>
      <c r="K5" s="28" t="str">
        <f>IFERROR(__xludf.DUMMYFUNCTION("""COMPUTED_VALUE"""),"UnitCost")</f>
        <v>UnitCost</v>
      </c>
      <c r="L5" s="28" t="str">
        <f>IFERROR(__xludf.DUMMYFUNCTION("""COMPUTED_VALUE"""),"PositionTag")</f>
        <v>PositionTag</v>
      </c>
      <c r="M5" s="28" t="str">
        <f>IFERROR(__xludf.DUMMYFUNCTION("""COMPUTED_VALUE"""),"Strategy")</f>
        <v>Strategy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43">
        <v>4.0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33"/>
      <c r="F6" s="33"/>
      <c r="G6" s="33"/>
      <c r="H6" s="33"/>
      <c r="I6" s="33"/>
      <c r="J6" s="41">
        <v>100.0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4"/>
      <c r="B6" s="35" t="s">
        <v>32</v>
      </c>
      <c r="C6" s="45" t="s">
        <v>39</v>
      </c>
      <c r="D6" s="46">
        <f>today()</f>
        <v>45009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7">
        <v>400.0</v>
      </c>
      <c r="F6" s="8"/>
      <c r="G6" s="8"/>
      <c r="H6" s="47">
        <v>0.0</v>
      </c>
      <c r="I6" s="47">
        <v>0.0</v>
      </c>
      <c r="J6" s="8"/>
      <c r="K6" s="47">
        <v>100.0</v>
      </c>
      <c r="L6" s="47">
        <v>100.0</v>
      </c>
      <c r="M6" s="8"/>
      <c r="N6" s="8"/>
      <c r="O6" s="48" t="s">
        <v>24</v>
      </c>
      <c r="AT6" s="49">
        <v>36000.0</v>
      </c>
      <c r="AU6" s="49">
        <v>36000.0</v>
      </c>
      <c r="BE6" s="49">
        <v>40000.0</v>
      </c>
      <c r="BF6" s="49">
        <v>40000.0</v>
      </c>
      <c r="BJ6" s="47">
        <v>400.0</v>
      </c>
      <c r="BO6" s="48" t="s">
        <v>25</v>
      </c>
      <c r="BT6" s="48" t="s">
        <v>21</v>
      </c>
    </row>
    <row r="7" ht="15.75" customHeight="1">
      <c r="A7" s="8"/>
      <c r="B7" s="8"/>
      <c r="C7" s="8"/>
      <c r="D7" s="8"/>
      <c r="E7" s="47">
        <v>100.0</v>
      </c>
      <c r="F7" s="8"/>
      <c r="G7" s="8"/>
      <c r="H7" s="47">
        <v>4.0</v>
      </c>
      <c r="I7" s="47">
        <v>5.0</v>
      </c>
      <c r="J7" s="8"/>
      <c r="K7" s="47">
        <v>10.0</v>
      </c>
      <c r="L7" s="47">
        <v>10.0</v>
      </c>
      <c r="M7" s="8"/>
      <c r="N7" s="8"/>
      <c r="O7" s="48" t="s">
        <v>24</v>
      </c>
      <c r="AT7" s="47">
        <v>985.9994</v>
      </c>
      <c r="AU7" s="47">
        <v>985.9994</v>
      </c>
      <c r="BE7" s="49">
        <v>1000.0</v>
      </c>
      <c r="BF7" s="49">
        <v>1000.0</v>
      </c>
      <c r="BJ7" s="47">
        <v>100.0</v>
      </c>
      <c r="BO7" s="48" t="s">
        <v>22</v>
      </c>
      <c r="BT7" s="48" t="s">
        <v>21</v>
      </c>
    </row>
    <row r="8" ht="15.75" customHeight="1">
      <c r="A8" s="8"/>
      <c r="B8" s="8"/>
      <c r="C8" s="8"/>
      <c r="D8" s="8"/>
      <c r="E8" s="47">
        <v>4.0</v>
      </c>
      <c r="F8" s="8"/>
      <c r="G8" s="8"/>
      <c r="H8" s="47">
        <v>0.0</v>
      </c>
      <c r="I8" s="47">
        <v>0.0</v>
      </c>
      <c r="J8" s="8"/>
      <c r="K8" s="47">
        <v>0.0</v>
      </c>
      <c r="L8" s="47">
        <v>0.0</v>
      </c>
      <c r="M8" s="8"/>
      <c r="N8" s="8"/>
      <c r="O8" s="48" t="s">
        <v>24</v>
      </c>
      <c r="AT8" s="49">
        <v>4000.0</v>
      </c>
      <c r="AU8" s="49">
        <v>4000.0</v>
      </c>
      <c r="BE8" s="47">
        <v>0.0</v>
      </c>
      <c r="BF8" s="47">
        <v>0.0</v>
      </c>
      <c r="BJ8" s="47">
        <v>4.0</v>
      </c>
      <c r="BO8" s="48" t="s">
        <v>41</v>
      </c>
      <c r="BT8" s="48" t="s">
        <v>26</v>
      </c>
    </row>
    <row r="9" ht="15.75" customHeight="1">
      <c r="A9" s="8"/>
      <c r="B9" s="8"/>
      <c r="C9" s="8"/>
      <c r="D9" s="8"/>
      <c r="E9" s="47">
        <v>10.0</v>
      </c>
      <c r="F9" s="8"/>
      <c r="G9" s="8"/>
      <c r="H9" s="47">
        <v>0.0</v>
      </c>
      <c r="I9" s="47">
        <v>0.0</v>
      </c>
      <c r="J9" s="8"/>
      <c r="K9" s="47">
        <v>10.0</v>
      </c>
      <c r="L9" s="47">
        <v>10.0</v>
      </c>
      <c r="M9" s="8"/>
      <c r="N9" s="8"/>
      <c r="O9" s="48" t="s">
        <v>24</v>
      </c>
      <c r="AT9" s="49">
        <v>10000.0</v>
      </c>
      <c r="AU9" s="49">
        <v>10000.0</v>
      </c>
      <c r="BE9" s="49">
        <v>10000.0</v>
      </c>
      <c r="BF9" s="49">
        <v>10000.0</v>
      </c>
      <c r="BJ9" s="47">
        <v>10.0</v>
      </c>
      <c r="BO9" s="48" t="s">
        <v>27</v>
      </c>
      <c r="BT9" s="48" t="s">
        <v>26</v>
      </c>
    </row>
    <row r="10" ht="15.75" customHeight="1">
      <c r="A10" s="8"/>
      <c r="B10" s="8"/>
      <c r="C10" s="8"/>
      <c r="D10" s="8"/>
      <c r="E10" s="47">
        <v>50.0</v>
      </c>
      <c r="F10" s="8"/>
      <c r="G10" s="8"/>
      <c r="H10" s="47">
        <v>4.0</v>
      </c>
      <c r="I10" s="47">
        <v>5.0</v>
      </c>
      <c r="J10" s="8"/>
      <c r="K10" s="47">
        <v>10.0</v>
      </c>
      <c r="L10" s="47">
        <v>10.0</v>
      </c>
      <c r="M10" s="8"/>
      <c r="N10" s="8"/>
      <c r="O10" s="48" t="s">
        <v>24</v>
      </c>
      <c r="AT10" s="47">
        <v>485.9997</v>
      </c>
      <c r="AU10" s="47">
        <v>485.9997</v>
      </c>
      <c r="BE10" s="47">
        <v>500.0</v>
      </c>
      <c r="BF10" s="47">
        <v>500.0</v>
      </c>
      <c r="BJ10" s="47">
        <v>50.0</v>
      </c>
      <c r="BO10" s="48" t="s">
        <v>25</v>
      </c>
      <c r="BT10" s="48" t="s">
        <v>21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AT11" s="50"/>
      <c r="AU11" s="50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48" t="s">
        <v>21</v>
      </c>
      <c r="D6" s="47">
        <v>-100.0</v>
      </c>
      <c r="E6" s="48" t="s">
        <v>23</v>
      </c>
      <c r="F6" s="48" t="s">
        <v>44</v>
      </c>
      <c r="G6" s="8"/>
      <c r="H6" s="48" t="s">
        <v>45</v>
      </c>
      <c r="I6" s="8"/>
      <c r="J6" s="8"/>
      <c r="K6" s="8"/>
      <c r="L6" s="8"/>
      <c r="M6" s="8"/>
      <c r="N6" s="8"/>
      <c r="O6" s="8"/>
      <c r="S6" s="48" t="s">
        <v>46</v>
      </c>
      <c r="T6" s="48" t="s">
        <v>47</v>
      </c>
      <c r="U6" s="48" t="s">
        <v>48</v>
      </c>
      <c r="V6" s="48" t="s">
        <v>49</v>
      </c>
      <c r="W6" s="48" t="s">
        <v>50</v>
      </c>
      <c r="AN6" s="48" t="s">
        <v>22</v>
      </c>
    </row>
    <row r="7" ht="15.75" customHeight="1">
      <c r="A7" s="8"/>
      <c r="B7" s="8"/>
      <c r="C7" s="48" t="s">
        <v>21</v>
      </c>
      <c r="D7" s="47">
        <v>-50.0</v>
      </c>
      <c r="E7" s="48" t="s">
        <v>23</v>
      </c>
      <c r="F7" s="48" t="s">
        <v>44</v>
      </c>
      <c r="G7" s="8"/>
      <c r="H7" s="48" t="s">
        <v>45</v>
      </c>
      <c r="I7" s="8"/>
      <c r="J7" s="8"/>
      <c r="K7" s="8"/>
      <c r="L7" s="8"/>
      <c r="M7" s="8"/>
      <c r="N7" s="8"/>
      <c r="O7" s="8"/>
      <c r="S7" s="48" t="s">
        <v>46</v>
      </c>
      <c r="T7" s="48" t="s">
        <v>47</v>
      </c>
      <c r="U7" s="48" t="s">
        <v>48</v>
      </c>
      <c r="V7" s="48" t="s">
        <v>49</v>
      </c>
      <c r="W7" s="48" t="s">
        <v>50</v>
      </c>
      <c r="AN7" s="48" t="s">
        <v>25</v>
      </c>
    </row>
    <row r="8" ht="15.75" customHeight="1">
      <c r="A8" s="8"/>
      <c r="B8" s="8"/>
      <c r="C8" s="48" t="s">
        <v>26</v>
      </c>
      <c r="D8" s="47">
        <v>6.0</v>
      </c>
      <c r="E8" s="48" t="s">
        <v>23</v>
      </c>
      <c r="F8" s="48" t="s">
        <v>44</v>
      </c>
      <c r="G8" s="8"/>
      <c r="H8" s="48" t="s">
        <v>51</v>
      </c>
      <c r="I8" s="8"/>
      <c r="J8" s="8"/>
      <c r="K8" s="8"/>
      <c r="L8" s="8"/>
      <c r="M8" s="8"/>
      <c r="N8" s="8"/>
      <c r="O8" s="8"/>
      <c r="S8" s="48" t="s">
        <v>46</v>
      </c>
      <c r="T8" s="48" t="s">
        <v>52</v>
      </c>
      <c r="U8" s="48" t="s">
        <v>48</v>
      </c>
      <c r="V8" s="48" t="s">
        <v>53</v>
      </c>
      <c r="W8" s="48" t="s">
        <v>50</v>
      </c>
      <c r="AN8" s="48" t="s">
        <v>27</v>
      </c>
    </row>
    <row r="9" ht="15.75" customHeight="1">
      <c r="A9" s="8"/>
      <c r="B9" s="8"/>
      <c r="C9" s="48" t="s">
        <v>21</v>
      </c>
      <c r="D9" s="47">
        <v>-400.0</v>
      </c>
      <c r="E9" s="48" t="s">
        <v>23</v>
      </c>
      <c r="F9" s="48" t="s">
        <v>44</v>
      </c>
      <c r="G9" s="8"/>
      <c r="H9" s="48" t="s">
        <v>45</v>
      </c>
      <c r="I9" s="8"/>
      <c r="J9" s="8"/>
      <c r="K9" s="8"/>
      <c r="L9" s="8"/>
      <c r="M9" s="8"/>
      <c r="N9" s="8"/>
      <c r="O9" s="8"/>
      <c r="S9" s="48" t="s">
        <v>46</v>
      </c>
      <c r="T9" s="48" t="s">
        <v>47</v>
      </c>
      <c r="U9" s="48" t="s">
        <v>48</v>
      </c>
      <c r="V9" s="48" t="s">
        <v>49</v>
      </c>
      <c r="W9" s="48" t="s">
        <v>50</v>
      </c>
      <c r="AN9" s="48" t="s">
        <v>25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