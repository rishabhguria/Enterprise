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AddWidget" sheetId="6" r:id="rId8"/>
    <sheet state="visible" name="CreateGroupingWidget2" sheetId="7" r:id="rId9"/>
    <sheet state="visible" name="CreateGroupingWidget" sheetId="8" r:id="rId10"/>
    <sheet state="visible" name="VerifyColumns" sheetId="9" r:id="rId11"/>
    <sheet state="visible" name="VerifyL1L2PanelRTPNL" sheetId="10" r:id="rId12"/>
    <sheet state="visible" name="OpenRTPNL1" sheetId="11" r:id="rId13"/>
    <sheet state="visible" name="AddWidget1" sheetId="12" r:id="rId14"/>
    <sheet state="visible" name="CreateGroupingWidget1" sheetId="13" r:id="rId15"/>
    <sheet state="visible" name="VerifyColumns1" sheetId="14" r:id="rId16"/>
    <sheet state="visible" name="VerifyL1L2PanelRTPNL1" sheetId="15" r:id="rId17"/>
    <sheet state="visible" name="SavePage" sheetId="16" r:id="rId18"/>
  </sheets>
  <definedNames/>
  <calcPr/>
</workbook>
</file>

<file path=xl/sharedStrings.xml><?xml version="1.0" encoding="utf-8"?>
<sst xmlns="http://schemas.openxmlformats.org/spreadsheetml/2006/main" count="135" uniqueCount="43">
  <si>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</si>
  <si>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</si>
  <si>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</si>
  <si>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</si>
  <si>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</si>
  <si>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</si>
  <si>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</si>
  <si>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</si>
  <si>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</si>
  <si>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</si>
  <si>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</si>
  <si>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</si>
  <si>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</si>
  <si>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</si>
  <si>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</si>
  <si>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</si>
  <si>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</si>
  <si>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</si>
  <si>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</si>
  <si>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RTPNL</t>
  </si>
  <si>
    <t>OpenRTPNL</t>
  </si>
  <si>
    <t>Nirvana</t>
  </si>
  <si>
    <t>yash</t>
  </si>
  <si>
    <t>AddWidget</t>
  </si>
  <si>
    <t>GroupingWid</t>
  </si>
  <si>
    <t>Grouping</t>
  </si>
  <si>
    <t>Symbol</t>
  </si>
  <si>
    <t>CreateGroupingWidget</t>
  </si>
  <si>
    <t>Trade Attribute 01</t>
  </si>
  <si>
    <t>Strategy</t>
  </si>
  <si>
    <t>Symbol Account</t>
  </si>
  <si>
    <t>SelectAll</t>
  </si>
  <si>
    <t>Create</t>
  </si>
  <si>
    <t>VerifyColumns</t>
  </si>
  <si>
    <t>P&amp;L,Exposure,% Exposure,Day P&amp;L,Gross Exposure,% Gross Exposure,Beta Adj. Exposure,% Beta Adj. Exposure,Long Exposure,Short Exposure,% Long Exposure,% Short Exposure</t>
  </si>
  <si>
    <t>VerifyL1L2PanelRTPNL</t>
  </si>
  <si>
    <t>Nirvana,yash</t>
  </si>
  <si>
    <t>GroupingWid1</t>
  </si>
  <si>
    <t>Account</t>
  </si>
  <si>
    <t>Symbol Fund</t>
  </si>
  <si>
    <t>Security Name,Bloomberg Symbol,Fund,Account,Asset Class,Position,Position Side,Market Value (Base),Exposure (Base),% Gain/Loss Day,% Gain/Loss Cost</t>
  </si>
  <si>
    <t>SavePage</t>
  </si>
  <si>
    <t>Save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</si>
</sst>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49" xfId="0" applyAlignment="1" applyFont="1" applyNumberForma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3">
        <v>10.0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21</v>
      </c>
      <c r="C6" s="34" t="s">
        <v>22</v>
      </c>
      <c r="D6" s="30"/>
      <c r="E6" s="36" t="b">
        <v>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7" t="s">
        <v>24</v>
      </c>
      <c r="D6" s="30"/>
      <c r="E6" s="34" t="s">
        <v>25</v>
      </c>
      <c r="F6" s="34" t="s">
        <v>26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 t="str">
        <f>IFERROR(__xludf.DUMMYFUNCTION("""COMPUTED_VALUE"""),"FlashButton")</f>
        <v>FlashButton</v>
      </c>
      <c r="L5" s="27" t="str">
        <f>IFERROR(__xludf.DUMMYFUNCTION("""COMPUTED_VALUE"""),"ColumnsToCheckForFlash")</f>
        <v>ColumnsToCheckForFlash</v>
      </c>
      <c r="M5" s="27" t="str">
        <f>IFERROR(__xludf.DUMMYFUNCTION("""COMPUTED_VALUE"""),"LinkWidgetColor")</f>
        <v>LinkWidgetColor</v>
      </c>
      <c r="N5" s="27" t="str">
        <f>IFERROR(__xludf.DUMMYFUNCTION("""COMPUTED_VALUE"""),"ColumnsToAdd2")</f>
        <v>ColumnsToAdd2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/>
      <c r="D6" s="38"/>
      <c r="E6" s="30" t="s">
        <v>28</v>
      </c>
      <c r="F6" s="8"/>
      <c r="G6" s="34"/>
      <c r="H6" s="35"/>
      <c r="I6" s="34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CreateGroupingWidget2!$4:$4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 t="str">
        <f>IFERROR(__xludf.DUMMYFUNCTION("""COMPUTED_VALUE"""),"FlashButton")</f>
        <v>FlashButton</v>
      </c>
      <c r="L5" s="27" t="str">
        <f>IFERROR(__xludf.DUMMYFUNCTION("""COMPUTED_VALUE"""),"ColumnsToCheckForFlash")</f>
        <v>ColumnsToCheckForFlash</v>
      </c>
      <c r="M5" s="27" t="str">
        <f>IFERROR(__xludf.DUMMYFUNCTION("""COMPUTED_VALUE"""),"LinkWidgetColor")</f>
        <v>LinkWidgetColor</v>
      </c>
      <c r="N5" s="27" t="str">
        <f>IFERROR(__xludf.DUMMYFUNCTION("""COMPUTED_VALUE"""),"ColumnsToAdd2")</f>
        <v>ColumnsToAdd2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29</v>
      </c>
      <c r="C6" s="30" t="s">
        <v>28</v>
      </c>
      <c r="D6" s="38" t="s">
        <v>30</v>
      </c>
      <c r="E6" s="39"/>
      <c r="F6" s="8"/>
      <c r="G6" s="34" t="s">
        <v>31</v>
      </c>
      <c r="H6" s="35"/>
      <c r="I6" s="34" t="s">
        <v>32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12" t="s">
        <v>34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VerifyColumns!$4:$4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IFERROR(__xludf.DUMMYFUNCTION("""COMPUTED_VALUE"""),"IsL1isVisible")</f>
        <v>IsL1isVisible</v>
      </c>
      <c r="D5" s="27" t="str">
        <f>IFERROR(__xludf.DUMMYFUNCTION("""COMPUTED_VALUE"""),"IsL2isVisible")</f>
        <v>IsL2isVisible</v>
      </c>
      <c r="E5" s="27" t="str">
        <f>IFERROR(__xludf.DUMMYFUNCTION("""COMPUTED_VALUE"""),"ClickOnL1")</f>
        <v>ClickOnL1</v>
      </c>
      <c r="F5" s="28" t="str">
        <f>IFERROR(__xludf.DUMMYFUNCTION("""COMPUTED_VALUE"""),"ClickOnL2")</f>
        <v>ClickOnL2</v>
      </c>
      <c r="G5" s="27" t="str">
        <f>IFERROR(__xludf.DUMMYFUNCTION("""COMPUTED_VALUE"""),"L1State")</f>
        <v>L1State</v>
      </c>
      <c r="H5" s="27" t="str">
        <f>IFERROR(__xludf.DUMMYFUNCTION("""COMPUTED_VALUE"""),"L2State")</f>
        <v>L2State</v>
      </c>
      <c r="I5" s="27" t="str">
        <f>IFERROR(__xludf.DUMMYFUNCTION("""COMPUTED_VALUE"""),"L1Label")</f>
        <v>L1Label</v>
      </c>
      <c r="J5" s="27" t="str">
        <f>IFERROR(__xludf.DUMMYFUNCTION("""COMPUTED_VALUE"""),"L2Label")</f>
        <v>L2Label</v>
      </c>
      <c r="K5" s="27" t="str">
        <f>IFERROR(__xludf.DUMMYFUNCTION("""COMPUTED_VALUE"""),"WidgetName")</f>
        <v>WidgetName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40"/>
      <c r="D6" s="35"/>
      <c r="E6" s="36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VerifyL1L2PanelRTPNL!$4:$4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36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37" t="s">
        <v>37</v>
      </c>
      <c r="D6" s="30"/>
      <c r="E6" s="34" t="s">
        <v>25</v>
      </c>
      <c r="F6" s="34" t="s">
        <v>38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 t="str">
        <f>IFERROR(__xludf.DUMMYFUNCTION("""COMPUTED_VALUE"""),"FlashButton")</f>
        <v>FlashButton</v>
      </c>
      <c r="L5" s="27" t="str">
        <f>IFERROR(__xludf.DUMMYFUNCTION("""COMPUTED_VALUE"""),"ColumnsToCheckForFlash")</f>
        <v>ColumnsToCheckForFlash</v>
      </c>
      <c r="M5" s="27" t="str">
        <f>IFERROR(__xludf.DUMMYFUNCTION("""COMPUTED_VALUE"""),"LinkWidgetColor")</f>
        <v>LinkWidgetColor</v>
      </c>
      <c r="N5" s="27" t="str">
        <f>IFERROR(__xludf.DUMMYFUNCTION("""COMPUTED_VALUE"""),"ColumnsToAdd2")</f>
        <v>ColumnsToAdd2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39</v>
      </c>
      <c r="C6" s="38" t="s">
        <v>30</v>
      </c>
      <c r="D6" s="30" t="s">
        <v>28</v>
      </c>
      <c r="E6" s="39"/>
      <c r="F6" s="8"/>
      <c r="G6" s="34" t="s">
        <v>31</v>
      </c>
      <c r="H6" s="35"/>
      <c r="I6" s="34" t="s">
        <v>32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40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VerifyColumns1!$4:$4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IFERROR(__xludf.DUMMYFUNCTION("""COMPUTED_VALUE"""),"IsL1isVisible")</f>
        <v>IsL1isVisible</v>
      </c>
      <c r="D5" s="27" t="str">
        <f>IFERROR(__xludf.DUMMYFUNCTION("""COMPUTED_VALUE"""),"IsL2isVisible")</f>
        <v>IsL2isVisible</v>
      </c>
      <c r="E5" s="27" t="str">
        <f>IFERROR(__xludf.DUMMYFUNCTION("""COMPUTED_VALUE"""),"ClickOnL1")</f>
        <v>ClickOnL1</v>
      </c>
      <c r="F5" s="28" t="str">
        <f>IFERROR(__xludf.DUMMYFUNCTION("""COMPUTED_VALUE"""),"ClickOnL2")</f>
        <v>ClickOnL2</v>
      </c>
      <c r="G5" s="27" t="str">
        <f>IFERROR(__xludf.DUMMYFUNCTION("""COMPUTED_VALUE"""),"L1State")</f>
        <v>L1State</v>
      </c>
      <c r="H5" s="27" t="str">
        <f>IFERROR(__xludf.DUMMYFUNCTION("""COMPUTED_VALUE"""),"L2State")</f>
        <v>L2State</v>
      </c>
      <c r="I5" s="27" t="str">
        <f>IFERROR(__xludf.DUMMYFUNCTION("""COMPUTED_VALUE"""),"L1Label")</f>
        <v>L1Label</v>
      </c>
      <c r="J5" s="27" t="str">
        <f>IFERROR(__xludf.DUMMYFUNCTION("""COMPUTED_VALUE"""),"L2Label")</f>
        <v>L2Label</v>
      </c>
      <c r="K5" s="27" t="str">
        <f>IFERROR(__xludf.DUMMYFUNCTION("""COMPUTED_VALUE"""),"WidgetName")</f>
        <v>WidgetName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35"/>
      <c r="D6" s="40"/>
      <c r="E6" s="35"/>
      <c r="F6" s="36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VerifyL1L2PanelRTPNL1!$4:$4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34" t="s">
        <v>42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