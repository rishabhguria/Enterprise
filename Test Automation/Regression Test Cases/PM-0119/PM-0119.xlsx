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PricingInput" sheetId="6" r:id="rId8"/>
    <sheet state="visible" name="GetMarkPriceData" sheetId="7" r:id="rId9"/>
    <sheet state="visible" name="UpdateMarkPrice" sheetId="8" r:id="rId10"/>
    <sheet state="visible" name="CheckPortfolioManagement" sheetId="9" r:id="rId11"/>
    <sheet state="visible" name="GroupRowPM" sheetId="10" r:id="rId12"/>
    <sheet state="visible" name="CheckPortfolioManagement1" sheetId="11" r:id="rId13"/>
    <sheet state="visible" name="CheckSummaryRowsPM" sheetId="12" r:id="rId14"/>
  </sheets>
  <definedNames/>
  <calcPr/>
</workbook>
</file>

<file path=xl/sharedStrings.xml><?xml version="1.0" encoding="utf-8"?>
<sst xmlns="http://schemas.openxmlformats.org/spreadsheetml/2006/main" count="384" uniqueCount="73">
  <si>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</si>
  <si>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</si>
  <si>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</si>
  <si>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</si>
  <si>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</si>
  <si>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</si>
  <si>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</si>
  <si>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</si>
  <si>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</si>
  <si>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</si>
  <si>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</si>
  <si>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</si>
  <si>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</si>
  <si>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</si>
  <si>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</si>
  <si>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</si>
  <si>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O:XLE 10R52.00</t>
  </si>
  <si>
    <t>TradingTicket</t>
  </si>
  <si>
    <t>CreateDoneAwayOrder</t>
  </si>
  <si>
    <t>XLE</t>
  </si>
  <si>
    <t>Buy</t>
  </si>
  <si>
    <t>Allocation2</t>
  </si>
  <si>
    <t>Buy to Open</t>
  </si>
  <si>
    <t>Allocation1</t>
  </si>
  <si>
    <t>PricingInput</t>
  </si>
  <si>
    <t>DailyValuation</t>
  </si>
  <si>
    <t>GetMarkPriceData</t>
  </si>
  <si>
    <t>UpdateMarkPrice</t>
  </si>
  <si>
    <t>PortfolioManagement</t>
  </si>
  <si>
    <t>CheckPortfolioManagement</t>
  </si>
  <si>
    <t>NewMF</t>
  </si>
  <si>
    <t>Long</t>
  </si>
  <si>
    <t>FIMAT</t>
  </si>
  <si>
    <t>Strategy Unallocated</t>
  </si>
  <si>
    <t>EquityOption</t>
  </si>
  <si>
    <t>US</t>
  </si>
  <si>
    <t>OPTS</t>
  </si>
  <si>
    <t>USD</t>
  </si>
  <si>
    <t>BrokerNotes</t>
  </si>
  <si>
    <t>DefaultNotes</t>
  </si>
  <si>
    <t>Equity Put</t>
  </si>
  <si>
    <t>Undefined</t>
  </si>
  <si>
    <t>jpearce</t>
  </si>
  <si>
    <t>PUT</t>
  </si>
  <si>
    <t>XLE US 06/19/10 P52 Equity</t>
  </si>
  <si>
    <t>None</t>
  </si>
  <si>
    <t>Default</t>
  </si>
  <si>
    <t>Short</t>
  </si>
  <si>
    <t>UK</t>
  </si>
  <si>
    <t>Yes</t>
  </si>
  <si>
    <t>ITM</t>
  </si>
  <si>
    <t>NewMF1</t>
  </si>
  <si>
    <t>MS</t>
  </si>
  <si>
    <t>Equity</t>
  </si>
  <si>
    <t>AMEX</t>
  </si>
  <si>
    <t>XLE US EQUITY</t>
  </si>
  <si>
    <t>US81369Y5069</t>
  </si>
  <si>
    <t>User Defined</t>
  </si>
  <si>
    <t>NA</t>
  </si>
  <si>
    <t>GroupRowPM</t>
  </si>
  <si>
    <t>Underlying Symbol,Symbol</t>
  </si>
  <si>
    <t>XLE JUN 2010 52 PUT</t>
  </si>
  <si>
    <t>1/1/1800 5:30:00 PM</t>
  </si>
  <si>
    <t>E &amp; P</t>
  </si>
  <si>
    <t>1/1/1800 12:00:00 PM</t>
  </si>
  <si>
    <t>Multiple</t>
  </si>
  <si>
    <t>XLE 100619P00052000U</t>
  </si>
  <si>
    <t>XLE 100619P00052000</t>
  </si>
  <si>
    <t>SEC ENERGY SPDR FD</t>
  </si>
  <si>
    <t>81369Y506</t>
  </si>
  <si>
    <t>Non-Expiring Positions</t>
  </si>
  <si>
    <t>XLE.A</t>
  </si>
  <si>
    <t>CheckSummaryRowsPM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</si>
</sst>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 h:mm"/>
    <numFmt numFmtId="165" formatCode="m/d/yyyy h:mm:ss am/pm"/>
    <numFmt numFmtId="166" formatCode="m/d/yyyy"/>
    <numFmt numFmtId="167" formatCode="mmmm 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right" readingOrder="0" vertical="bottom"/>
    </xf>
    <xf borderId="0" fillId="0" fontId="14" numFmtId="16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5" xfId="0" applyAlignment="1" applyFont="1" applyNumberFormat="1">
      <alignment readingOrder="0" shrinkToFit="0" vertical="bottom" wrapText="0"/>
    </xf>
    <xf borderId="0" fillId="0" fontId="14" numFmtId="166" xfId="0" applyAlignment="1" applyFont="1" applyNumberFormat="1">
      <alignment horizontal="right" readingOrder="0" shrinkToFit="0" vertical="bottom" wrapText="0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3" numFmtId="166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5" fillId="0" fontId="14" numFmtId="0" xfId="0" applyAlignment="1" applyBorder="1" applyFont="1">
      <alignment shrinkToFit="0" vertical="bottom" wrapText="0"/>
    </xf>
    <xf borderId="0" fillId="6" fontId="15" numFmtId="0" xfId="0" applyAlignment="1" applyFill="1" applyFont="1">
      <alignment readingOrder="0"/>
    </xf>
    <xf borderId="0" fillId="0" fontId="14" numFmtId="0" xfId="0" applyAlignment="1" applyFont="1">
      <alignment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166" xfId="0" applyAlignment="1" applyFont="1" applyNumberFormat="1">
      <alignment readingOrder="0" shrinkToFit="0" vertical="bottom" wrapText="0"/>
    </xf>
    <xf borderId="0" fillId="0" fontId="14" numFmtId="167" xfId="0" applyAlignment="1" applyFont="1" applyNumberFormat="1">
      <alignment readingOrder="0" shrinkToFit="0" vertical="bottom" wrapText="0"/>
    </xf>
    <xf borderId="5" fillId="0" fontId="14" numFmtId="4" xfId="0" applyAlignment="1" applyBorder="1" applyFont="1" applyNumberFormat="1">
      <alignment horizontal="right" vertical="bottom"/>
    </xf>
    <xf borderId="5" fillId="0" fontId="14" numFmtId="0" xfId="0" applyAlignment="1" applyBorder="1" applyFont="1">
      <alignment horizontal="right" vertical="bottom"/>
    </xf>
    <xf borderId="0" fillId="0" fontId="14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IFERROR(__xludf.DUMMYFUNCTION("""COMPUTED_VALUE"""),"Option")</f>
        <v>Option</v>
      </c>
      <c r="C5" s="27" t="str">
        <f>IFERROR(__xludf.DUMMYFUNCTION("""COMPUTED_VALUE"""),"Expiration Date")</f>
        <v>Expiration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f>today()</f>
        <v>44593</v>
      </c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19</v>
      </c>
      <c r="C6" s="36" t="s">
        <v>20</v>
      </c>
      <c r="D6" s="37">
        <v>100.0</v>
      </c>
      <c r="E6" s="38">
        <v>100.0</v>
      </c>
      <c r="F6" s="36" t="s">
        <v>21</v>
      </c>
      <c r="G6" s="34"/>
      <c r="H6" s="34"/>
      <c r="I6" s="34"/>
      <c r="J6" s="38">
        <v>1.0</v>
      </c>
      <c r="K6" s="34"/>
      <c r="L6" s="34"/>
      <c r="M6" s="34"/>
      <c r="N6" s="32">
        <f>today()-1</f>
        <v>44592</v>
      </c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9" t="s">
        <v>16</v>
      </c>
      <c r="C7" s="40" t="s">
        <v>22</v>
      </c>
      <c r="D7" s="41">
        <v>100.0</v>
      </c>
      <c r="E7" s="41">
        <v>100.0</v>
      </c>
      <c r="F7" s="39" t="s">
        <v>23</v>
      </c>
      <c r="G7" s="35"/>
      <c r="H7" s="35"/>
      <c r="I7" s="35"/>
      <c r="J7" s="41">
        <v>10.0</v>
      </c>
      <c r="K7" s="35"/>
      <c r="L7" s="35"/>
      <c r="M7" s="35"/>
      <c r="N7" s="42">
        <f t="shared" ref="N7:N8" si="1">today()</f>
        <v>44593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9" t="s">
        <v>16</v>
      </c>
      <c r="C8" s="40" t="s">
        <v>22</v>
      </c>
      <c r="D8" s="41">
        <v>100.0</v>
      </c>
      <c r="E8" s="41">
        <v>100.0</v>
      </c>
      <c r="F8" s="39" t="s">
        <v>23</v>
      </c>
      <c r="G8" s="35"/>
      <c r="H8" s="35"/>
      <c r="I8" s="35"/>
      <c r="J8" s="41">
        <v>10.0</v>
      </c>
      <c r="K8" s="35"/>
      <c r="L8" s="35"/>
      <c r="M8" s="35"/>
      <c r="N8" s="42">
        <f t="shared" si="1"/>
        <v>44593</v>
      </c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19</v>
      </c>
      <c r="C6" s="11">
        <v>60.0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>
        <f>today()-1</f>
        <v>44592</v>
      </c>
      <c r="C6" s="32">
        <f>today()</f>
        <v>44593</v>
      </c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19</v>
      </c>
      <c r="C6" s="44">
        <v>60.0</v>
      </c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45"/>
      <c r="C6" s="46" t="s">
        <v>16</v>
      </c>
      <c r="D6" s="47">
        <v>100.0</v>
      </c>
      <c r="E6" s="46" t="s">
        <v>23</v>
      </c>
      <c r="F6" s="46" t="s">
        <v>30</v>
      </c>
      <c r="G6" s="47">
        <v>10.0</v>
      </c>
      <c r="H6" s="46" t="s">
        <v>31</v>
      </c>
      <c r="I6" s="47">
        <v>0.0</v>
      </c>
      <c r="J6" s="47">
        <v>0.0</v>
      </c>
      <c r="K6" s="48">
        <v>-600000.0</v>
      </c>
      <c r="L6" s="48">
        <v>600000.0</v>
      </c>
      <c r="M6" s="48">
        <v>1194000.0</v>
      </c>
      <c r="N6" s="48">
        <v>-100000.0</v>
      </c>
      <c r="O6" s="46"/>
      <c r="P6" s="46"/>
      <c r="Q6" s="48">
        <v>-100000.0</v>
      </c>
      <c r="R6" s="46" t="s">
        <v>32</v>
      </c>
      <c r="S6" s="46" t="s">
        <v>33</v>
      </c>
      <c r="T6" s="46" t="s">
        <v>34</v>
      </c>
      <c r="U6" s="46" t="s">
        <v>35</v>
      </c>
      <c r="V6" s="46" t="s">
        <v>36</v>
      </c>
      <c r="W6" s="46" t="s">
        <v>37</v>
      </c>
      <c r="X6" s="47">
        <v>100.0</v>
      </c>
      <c r="Y6" s="47">
        <v>1.0</v>
      </c>
      <c r="Z6" s="49"/>
      <c r="AA6" s="49"/>
      <c r="AB6" s="47">
        <v>0.0</v>
      </c>
      <c r="AC6" s="47">
        <v>0.0</v>
      </c>
      <c r="AD6" s="48">
        <v>-600000.0</v>
      </c>
      <c r="AE6" s="48">
        <v>-600000.0</v>
      </c>
      <c r="AF6" s="48">
        <v>-10000.0</v>
      </c>
      <c r="AG6" s="48">
        <v>-600000.0</v>
      </c>
      <c r="AH6" s="48">
        <v>-600000.0</v>
      </c>
      <c r="AI6" s="48">
        <v>-600000.0</v>
      </c>
      <c r="AJ6" s="48"/>
      <c r="AK6" s="48">
        <v>-100000.0</v>
      </c>
      <c r="AL6" s="47">
        <v>-1.0</v>
      </c>
      <c r="AM6" s="47">
        <v>1.0</v>
      </c>
      <c r="AN6" s="46" t="s">
        <v>22</v>
      </c>
      <c r="AO6" s="49"/>
      <c r="AP6" s="46" t="s">
        <v>31</v>
      </c>
      <c r="AQ6" s="46" t="s">
        <v>19</v>
      </c>
      <c r="AR6" s="47">
        <v>60.0</v>
      </c>
      <c r="AS6" s="47">
        <v>1.0</v>
      </c>
      <c r="AT6" s="46" t="s">
        <v>38</v>
      </c>
      <c r="AU6" s="46" t="s">
        <v>39</v>
      </c>
      <c r="AV6" s="47">
        <v>1.0</v>
      </c>
      <c r="AW6" s="48">
        <v>-100000.0</v>
      </c>
      <c r="AX6" s="47">
        <v>0.0</v>
      </c>
      <c r="AY6" s="47">
        <v>0.0</v>
      </c>
      <c r="AZ6" s="47">
        <v>0.0</v>
      </c>
      <c r="BA6" s="47">
        <v>-100.0</v>
      </c>
      <c r="BB6" s="50"/>
      <c r="BC6" s="47">
        <v>1.0</v>
      </c>
      <c r="BD6" s="48">
        <v>-100000.0</v>
      </c>
      <c r="BE6" s="46" t="s">
        <v>40</v>
      </c>
      <c r="BF6" s="46" t="s">
        <v>41</v>
      </c>
      <c r="BG6" s="46"/>
      <c r="BH6" s="46" t="s">
        <v>41</v>
      </c>
      <c r="BI6" s="46" t="s">
        <v>41</v>
      </c>
      <c r="BJ6" s="47">
        <v>0.0</v>
      </c>
      <c r="BK6" s="47">
        <v>0.0</v>
      </c>
      <c r="BL6" s="47">
        <v>0.0</v>
      </c>
      <c r="BM6" s="47">
        <v>0.0</v>
      </c>
      <c r="BN6" s="50"/>
      <c r="BO6" s="48">
        <v>-100000.0</v>
      </c>
      <c r="BP6" s="47">
        <v>0.0</v>
      </c>
      <c r="BQ6" s="46" t="s">
        <v>42</v>
      </c>
      <c r="BR6" s="46"/>
      <c r="BS6" s="47">
        <v>0.0</v>
      </c>
      <c r="BT6" s="47">
        <v>0.0</v>
      </c>
      <c r="BU6" s="46" t="s">
        <v>43</v>
      </c>
      <c r="BV6" s="51"/>
      <c r="BW6" s="47">
        <v>100.0</v>
      </c>
      <c r="BX6" s="48">
        <v>600000.0</v>
      </c>
      <c r="BY6" s="47">
        <v>0.0</v>
      </c>
      <c r="BZ6" s="47">
        <v>0.0</v>
      </c>
      <c r="CA6" s="47">
        <v>0.0</v>
      </c>
      <c r="CB6" s="45"/>
      <c r="CC6" s="47">
        <v>0.0</v>
      </c>
      <c r="CD6" s="48">
        <v>-100000.0</v>
      </c>
      <c r="CE6" s="47">
        <v>0.0</v>
      </c>
      <c r="CF6" s="47">
        <v>0.0</v>
      </c>
      <c r="CG6" s="48">
        <v>-100000.0</v>
      </c>
      <c r="CH6" s="47">
        <v>-100.0</v>
      </c>
      <c r="CI6" s="48">
        <v>600000.0</v>
      </c>
      <c r="CJ6" s="47">
        <v>0.0</v>
      </c>
      <c r="CK6" s="46" t="b">
        <v>0</v>
      </c>
      <c r="CL6" s="46"/>
      <c r="CM6" s="46"/>
      <c r="CN6" s="49"/>
      <c r="CO6" s="49"/>
      <c r="CP6" s="46" t="s">
        <v>44</v>
      </c>
      <c r="CQ6" s="49"/>
      <c r="CR6" s="45"/>
      <c r="CS6" s="47">
        <v>10.0</v>
      </c>
      <c r="CT6" s="49"/>
      <c r="CU6" s="49"/>
      <c r="CV6" s="49"/>
      <c r="CW6" s="49"/>
      <c r="CX6" s="49"/>
      <c r="CY6" s="46" t="s">
        <v>45</v>
      </c>
      <c r="CZ6" s="46" t="s">
        <v>46</v>
      </c>
      <c r="DA6" s="48">
        <v>600000.0</v>
      </c>
      <c r="DB6" s="47">
        <v>0.0</v>
      </c>
      <c r="DC6" s="51"/>
      <c r="DD6" s="48">
        <v>-10000.0</v>
      </c>
      <c r="DE6" s="47">
        <v>-40.0</v>
      </c>
      <c r="DF6" s="48">
        <v>-400000.0</v>
      </c>
      <c r="DG6" s="47">
        <v>0.0</v>
      </c>
      <c r="DH6" s="47"/>
      <c r="DI6" s="47">
        <v>0.0</v>
      </c>
      <c r="DJ6" s="46" t="s">
        <v>22</v>
      </c>
      <c r="DK6" s="47">
        <v>0.0</v>
      </c>
      <c r="DL6" s="47">
        <v>0.0</v>
      </c>
      <c r="DM6" s="47">
        <v>1.0</v>
      </c>
      <c r="DN6" s="47">
        <v>0.0</v>
      </c>
      <c r="DO6" s="49"/>
      <c r="DP6" s="46" t="s">
        <v>47</v>
      </c>
      <c r="DQ6" s="46" t="s">
        <v>41</v>
      </c>
      <c r="DR6" s="46" t="s">
        <v>48</v>
      </c>
      <c r="DS6" s="46" t="s">
        <v>41</v>
      </c>
      <c r="DT6" s="46" t="s">
        <v>41</v>
      </c>
      <c r="DU6" s="46" t="s">
        <v>41</v>
      </c>
      <c r="DV6" s="46" t="s">
        <v>41</v>
      </c>
      <c r="DW6" s="46" t="s">
        <v>41</v>
      </c>
      <c r="DX6" s="46" t="s">
        <v>41</v>
      </c>
      <c r="DY6" s="46" t="s">
        <v>41</v>
      </c>
      <c r="DZ6" s="46"/>
      <c r="EA6" s="46" t="s">
        <v>49</v>
      </c>
      <c r="EB6" s="46" t="s">
        <v>41</v>
      </c>
      <c r="EC6" s="46" t="s">
        <v>41</v>
      </c>
      <c r="ED6" s="46" t="s">
        <v>37</v>
      </c>
      <c r="EE6" s="46" t="s">
        <v>49</v>
      </c>
      <c r="EF6" s="47">
        <v>0.0</v>
      </c>
      <c r="EG6" s="47">
        <v>0.0</v>
      </c>
      <c r="EH6" s="47">
        <v>0.0</v>
      </c>
      <c r="EI6" s="47">
        <v>0.0</v>
      </c>
      <c r="EJ6" s="47">
        <v>0.0</v>
      </c>
      <c r="EK6" s="47">
        <v>0.0</v>
      </c>
      <c r="EL6" s="46" t="s">
        <v>47</v>
      </c>
      <c r="EM6" s="48">
        <v>1194000.0</v>
      </c>
      <c r="EN6" s="48">
        <v>1194000.0</v>
      </c>
      <c r="EO6" s="48"/>
      <c r="EP6" s="48"/>
      <c r="EQ6" s="47">
        <v>0.0</v>
      </c>
      <c r="ER6" s="48">
        <v>1194000.0</v>
      </c>
      <c r="ES6" s="48">
        <v>-194000.0</v>
      </c>
      <c r="ET6" s="47"/>
      <c r="EU6" s="47">
        <v>0.0</v>
      </c>
      <c r="EV6" s="46" t="s">
        <v>47</v>
      </c>
      <c r="EW6" s="48">
        <v>-200000.0</v>
      </c>
      <c r="EX6" s="46" t="b">
        <v>0</v>
      </c>
      <c r="FC6" s="46" t="s">
        <v>50</v>
      </c>
      <c r="FD6" s="47">
        <v>0.0</v>
      </c>
      <c r="FE6" s="47">
        <v>40.0</v>
      </c>
      <c r="FF6" s="47">
        <v>40.0</v>
      </c>
      <c r="FG6" s="48">
        <v>300000.0</v>
      </c>
    </row>
    <row r="7" ht="15.75" customHeight="1">
      <c r="A7" s="8"/>
      <c r="B7" s="45"/>
      <c r="C7" s="46" t="s">
        <v>16</v>
      </c>
      <c r="D7" s="47">
        <v>100.0</v>
      </c>
      <c r="E7" s="46" t="s">
        <v>23</v>
      </c>
      <c r="F7" s="46" t="s">
        <v>30</v>
      </c>
      <c r="G7" s="47">
        <v>10.0</v>
      </c>
      <c r="H7" s="46" t="s">
        <v>31</v>
      </c>
      <c r="I7" s="47">
        <v>0.0</v>
      </c>
      <c r="J7" s="47">
        <v>0.0</v>
      </c>
      <c r="K7" s="48">
        <v>-600000.0</v>
      </c>
      <c r="L7" s="48">
        <v>600000.0</v>
      </c>
      <c r="M7" s="48">
        <v>1194000.0</v>
      </c>
      <c r="N7" s="48">
        <v>-100000.0</v>
      </c>
      <c r="O7" s="46"/>
      <c r="P7" s="46"/>
      <c r="Q7" s="48">
        <v>-100000.0</v>
      </c>
      <c r="R7" s="46" t="s">
        <v>32</v>
      </c>
      <c r="S7" s="46" t="s">
        <v>33</v>
      </c>
      <c r="T7" s="46" t="s">
        <v>34</v>
      </c>
      <c r="U7" s="46" t="s">
        <v>35</v>
      </c>
      <c r="V7" s="46" t="s">
        <v>36</v>
      </c>
      <c r="W7" s="46" t="s">
        <v>37</v>
      </c>
      <c r="X7" s="47">
        <v>100.0</v>
      </c>
      <c r="Y7" s="47">
        <v>1.0</v>
      </c>
      <c r="Z7" s="49"/>
      <c r="AA7" s="49"/>
      <c r="AB7" s="47">
        <v>0.0</v>
      </c>
      <c r="AC7" s="47">
        <v>0.0</v>
      </c>
      <c r="AD7" s="48">
        <v>-600000.0</v>
      </c>
      <c r="AE7" s="48">
        <v>-600000.0</v>
      </c>
      <c r="AF7" s="48">
        <v>-10000.0</v>
      </c>
      <c r="AG7" s="48">
        <v>-600000.0</v>
      </c>
      <c r="AH7" s="48">
        <v>-600000.0</v>
      </c>
      <c r="AI7" s="48">
        <v>-600000.0</v>
      </c>
      <c r="AJ7" s="48"/>
      <c r="AK7" s="48">
        <v>-100000.0</v>
      </c>
      <c r="AL7" s="47">
        <v>-1.0</v>
      </c>
      <c r="AM7" s="47">
        <v>1.0</v>
      </c>
      <c r="AN7" s="46" t="s">
        <v>22</v>
      </c>
      <c r="AO7" s="49"/>
      <c r="AP7" s="46" t="s">
        <v>31</v>
      </c>
      <c r="AQ7" s="46" t="s">
        <v>19</v>
      </c>
      <c r="AR7" s="47">
        <v>60.0</v>
      </c>
      <c r="AS7" s="47">
        <v>1.0</v>
      </c>
      <c r="AT7" s="46" t="s">
        <v>38</v>
      </c>
      <c r="AU7" s="46" t="s">
        <v>39</v>
      </c>
      <c r="AV7" s="47">
        <v>1.0</v>
      </c>
      <c r="AW7" s="48">
        <v>-100000.0</v>
      </c>
      <c r="AX7" s="47">
        <v>0.0</v>
      </c>
      <c r="AY7" s="47">
        <v>0.0</v>
      </c>
      <c r="AZ7" s="47">
        <v>0.0</v>
      </c>
      <c r="BA7" s="47">
        <v>-100.0</v>
      </c>
      <c r="BB7" s="50"/>
      <c r="BC7" s="47">
        <v>1.0</v>
      </c>
      <c r="BD7" s="48">
        <v>-100000.0</v>
      </c>
      <c r="BE7" s="46" t="s">
        <v>40</v>
      </c>
      <c r="BF7" s="46" t="s">
        <v>41</v>
      </c>
      <c r="BG7" s="46"/>
      <c r="BH7" s="46" t="s">
        <v>41</v>
      </c>
      <c r="BI7" s="46" t="s">
        <v>41</v>
      </c>
      <c r="BJ7" s="47">
        <v>0.0</v>
      </c>
      <c r="BK7" s="47">
        <v>0.0</v>
      </c>
      <c r="BL7" s="47">
        <v>0.0</v>
      </c>
      <c r="BM7" s="47">
        <v>0.0</v>
      </c>
      <c r="BN7" s="50"/>
      <c r="BO7" s="48">
        <v>-100000.0</v>
      </c>
      <c r="BP7" s="47">
        <v>0.0</v>
      </c>
      <c r="BQ7" s="46" t="s">
        <v>42</v>
      </c>
      <c r="BR7" s="46"/>
      <c r="BS7" s="47">
        <v>0.0</v>
      </c>
      <c r="BT7" s="47">
        <v>0.0</v>
      </c>
      <c r="BU7" s="46" t="s">
        <v>43</v>
      </c>
      <c r="BV7" s="51"/>
      <c r="BW7" s="47">
        <v>100.0</v>
      </c>
      <c r="BX7" s="48">
        <v>600000.0</v>
      </c>
      <c r="BY7" s="47">
        <v>0.0</v>
      </c>
      <c r="BZ7" s="47">
        <v>0.0</v>
      </c>
      <c r="CA7" s="47">
        <v>0.0</v>
      </c>
      <c r="CB7" s="45"/>
      <c r="CC7" s="47">
        <v>0.0</v>
      </c>
      <c r="CD7" s="48">
        <v>-100000.0</v>
      </c>
      <c r="CE7" s="47">
        <v>0.0</v>
      </c>
      <c r="CF7" s="47">
        <v>0.0</v>
      </c>
      <c r="CG7" s="48">
        <v>-100000.0</v>
      </c>
      <c r="CH7" s="47">
        <v>-100.0</v>
      </c>
      <c r="CI7" s="48">
        <v>600000.0</v>
      </c>
      <c r="CJ7" s="47">
        <v>0.0</v>
      </c>
      <c r="CK7" s="46" t="b">
        <v>0</v>
      </c>
      <c r="CL7" s="46"/>
      <c r="CM7" s="46"/>
      <c r="CN7" s="49"/>
      <c r="CO7" s="49"/>
      <c r="CP7" s="46" t="s">
        <v>44</v>
      </c>
      <c r="CQ7" s="49"/>
      <c r="CR7" s="45"/>
      <c r="CS7" s="47">
        <v>10.0</v>
      </c>
      <c r="CT7" s="49"/>
      <c r="CU7" s="49"/>
      <c r="CV7" s="49"/>
      <c r="CW7" s="49"/>
      <c r="CX7" s="49"/>
      <c r="CY7" s="46" t="s">
        <v>45</v>
      </c>
      <c r="CZ7" s="46" t="s">
        <v>46</v>
      </c>
      <c r="DA7" s="48">
        <v>600000.0</v>
      </c>
      <c r="DB7" s="47">
        <v>0.0</v>
      </c>
      <c r="DC7" s="51"/>
      <c r="DD7" s="48">
        <v>-10000.0</v>
      </c>
      <c r="DE7" s="47">
        <v>-40.0</v>
      </c>
      <c r="DF7" s="48">
        <v>-400000.0</v>
      </c>
      <c r="DG7" s="47">
        <v>0.0</v>
      </c>
      <c r="DH7" s="47"/>
      <c r="DI7" s="47">
        <v>0.0</v>
      </c>
      <c r="DJ7" s="46" t="s">
        <v>22</v>
      </c>
      <c r="DK7" s="47">
        <v>0.0</v>
      </c>
      <c r="DL7" s="47">
        <v>0.0</v>
      </c>
      <c r="DM7" s="47">
        <v>1.0</v>
      </c>
      <c r="DN7" s="47">
        <v>0.0</v>
      </c>
      <c r="DO7" s="49"/>
      <c r="DP7" s="46" t="s">
        <v>47</v>
      </c>
      <c r="DQ7" s="46" t="s">
        <v>41</v>
      </c>
      <c r="DR7" s="46" t="s">
        <v>48</v>
      </c>
      <c r="DS7" s="46" t="s">
        <v>41</v>
      </c>
      <c r="DT7" s="46" t="s">
        <v>41</v>
      </c>
      <c r="DU7" s="46" t="s">
        <v>41</v>
      </c>
      <c r="DV7" s="46" t="s">
        <v>41</v>
      </c>
      <c r="DW7" s="46" t="s">
        <v>41</v>
      </c>
      <c r="DX7" s="46" t="s">
        <v>41</v>
      </c>
      <c r="DY7" s="46" t="s">
        <v>41</v>
      </c>
      <c r="DZ7" s="46"/>
      <c r="EA7" s="46" t="s">
        <v>49</v>
      </c>
      <c r="EB7" s="46" t="s">
        <v>41</v>
      </c>
      <c r="EC7" s="46" t="s">
        <v>41</v>
      </c>
      <c r="ED7" s="46" t="s">
        <v>37</v>
      </c>
      <c r="EE7" s="46" t="s">
        <v>49</v>
      </c>
      <c r="EF7" s="47">
        <v>0.0</v>
      </c>
      <c r="EG7" s="47">
        <v>0.0</v>
      </c>
      <c r="EH7" s="47">
        <v>0.0</v>
      </c>
      <c r="EI7" s="47">
        <v>0.0</v>
      </c>
      <c r="EJ7" s="47">
        <v>0.0</v>
      </c>
      <c r="EK7" s="47">
        <v>0.0</v>
      </c>
      <c r="EL7" s="46" t="s">
        <v>47</v>
      </c>
      <c r="EM7" s="48">
        <v>1194000.0</v>
      </c>
      <c r="EN7" s="48">
        <v>1194000.0</v>
      </c>
      <c r="EO7" s="48"/>
      <c r="EP7" s="48"/>
      <c r="EQ7" s="47">
        <v>0.0</v>
      </c>
      <c r="ER7" s="48">
        <v>1194000.0</v>
      </c>
      <c r="ES7" s="48">
        <v>-194000.0</v>
      </c>
      <c r="ET7" s="47"/>
      <c r="EU7" s="47">
        <v>0.0</v>
      </c>
      <c r="EV7" s="46" t="s">
        <v>47</v>
      </c>
      <c r="EW7" s="48">
        <v>-200000.0</v>
      </c>
      <c r="EX7" s="46" t="b">
        <v>0</v>
      </c>
      <c r="FC7" s="46" t="s">
        <v>50</v>
      </c>
      <c r="FD7" s="47">
        <v>0.0</v>
      </c>
      <c r="FE7" s="47">
        <v>40.0</v>
      </c>
      <c r="FF7" s="47">
        <v>40.0</v>
      </c>
      <c r="FG7" s="48">
        <v>300000.0</v>
      </c>
    </row>
    <row r="8" ht="15.75" customHeight="1">
      <c r="A8" s="8"/>
      <c r="B8" s="45"/>
      <c r="C8" s="46" t="s">
        <v>19</v>
      </c>
      <c r="D8" s="47">
        <v>100.0</v>
      </c>
      <c r="E8" s="46" t="s">
        <v>21</v>
      </c>
      <c r="F8" s="46" t="s">
        <v>51</v>
      </c>
      <c r="G8" s="47">
        <v>1.0</v>
      </c>
      <c r="H8" s="46" t="s">
        <v>31</v>
      </c>
      <c r="I8" s="48">
        <v>6000.0</v>
      </c>
      <c r="J8" s="47">
        <v>0.0</v>
      </c>
      <c r="K8" s="48">
        <v>6000.0</v>
      </c>
      <c r="L8" s="48">
        <v>6000.0</v>
      </c>
      <c r="M8" s="48">
        <v>1194000.0</v>
      </c>
      <c r="N8" s="47">
        <v>0.0</v>
      </c>
      <c r="O8" s="46"/>
      <c r="P8" s="47"/>
      <c r="Q8" s="48">
        <v>5900.0</v>
      </c>
      <c r="R8" s="46" t="s">
        <v>52</v>
      </c>
      <c r="S8" s="46" t="s">
        <v>33</v>
      </c>
      <c r="T8" s="46" t="s">
        <v>53</v>
      </c>
      <c r="U8" s="46" t="s">
        <v>35</v>
      </c>
      <c r="V8" s="46" t="s">
        <v>54</v>
      </c>
      <c r="W8" s="46" t="s">
        <v>37</v>
      </c>
      <c r="X8" s="47">
        <v>1.0</v>
      </c>
      <c r="Y8" s="47">
        <v>1.0</v>
      </c>
      <c r="Z8" s="49"/>
      <c r="AA8" s="49"/>
      <c r="AB8" s="47">
        <v>0.0</v>
      </c>
      <c r="AC8" s="47">
        <v>0.0</v>
      </c>
      <c r="AD8" s="48">
        <v>6000.0</v>
      </c>
      <c r="AE8" s="48">
        <v>6000.0</v>
      </c>
      <c r="AF8" s="47">
        <v>100.0</v>
      </c>
      <c r="AG8" s="48">
        <v>6000.0</v>
      </c>
      <c r="AH8" s="48">
        <v>6000.0</v>
      </c>
      <c r="AI8" s="48">
        <v>6000.0</v>
      </c>
      <c r="AJ8" s="47"/>
      <c r="AK8" s="47">
        <v>0.0</v>
      </c>
      <c r="AL8" s="47">
        <v>1.0</v>
      </c>
      <c r="AM8" s="47">
        <v>1.0</v>
      </c>
      <c r="AN8" s="46" t="s">
        <v>20</v>
      </c>
      <c r="AO8" s="49"/>
      <c r="AP8" s="46" t="s">
        <v>31</v>
      </c>
      <c r="AQ8" s="46" t="s">
        <v>19</v>
      </c>
      <c r="AR8" s="47">
        <v>60.0</v>
      </c>
      <c r="AS8" s="47">
        <v>1.0</v>
      </c>
      <c r="AT8" s="46" t="s">
        <v>38</v>
      </c>
      <c r="AU8" s="46" t="s">
        <v>39</v>
      </c>
      <c r="AV8" s="47">
        <v>1.0</v>
      </c>
      <c r="AW8" s="48">
        <v>5900.0</v>
      </c>
      <c r="AX8" s="47">
        <v>0.0</v>
      </c>
      <c r="AY8" s="47">
        <v>0.0</v>
      </c>
      <c r="AZ8" s="48">
        <v>6000.0</v>
      </c>
      <c r="BA8" s="47">
        <v>0.0</v>
      </c>
      <c r="BB8" s="50"/>
      <c r="BC8" s="47">
        <v>1.0</v>
      </c>
      <c r="BD8" s="47">
        <v>0.0</v>
      </c>
      <c r="BE8" s="46" t="s">
        <v>53</v>
      </c>
      <c r="BF8" s="46" t="s">
        <v>41</v>
      </c>
      <c r="BG8" s="46"/>
      <c r="BH8" s="46" t="s">
        <v>41</v>
      </c>
      <c r="BI8" s="46" t="s">
        <v>41</v>
      </c>
      <c r="BJ8" s="47">
        <v>0.0</v>
      </c>
      <c r="BK8" s="47">
        <v>0.0</v>
      </c>
      <c r="BL8" s="47">
        <v>0.0</v>
      </c>
      <c r="BM8" s="47">
        <v>0.0</v>
      </c>
      <c r="BN8" s="50"/>
      <c r="BO8" s="47">
        <v>0.0</v>
      </c>
      <c r="BP8" s="47">
        <v>0.0</v>
      </c>
      <c r="BQ8" s="46" t="s">
        <v>42</v>
      </c>
      <c r="BR8" s="46"/>
      <c r="BS8" s="47">
        <v>0.0</v>
      </c>
      <c r="BT8" s="47">
        <v>0.0</v>
      </c>
      <c r="BU8" s="46" t="s">
        <v>53</v>
      </c>
      <c r="BV8" s="47"/>
      <c r="BW8" s="47">
        <v>0.0</v>
      </c>
      <c r="BX8" s="48">
        <v>6000.0</v>
      </c>
      <c r="BY8" s="48">
        <v>6000.0</v>
      </c>
      <c r="BZ8" s="47">
        <v>60.0</v>
      </c>
      <c r="CA8" s="47">
        <v>60.0</v>
      </c>
      <c r="CB8" s="45"/>
      <c r="CC8" s="47">
        <v>0.0</v>
      </c>
      <c r="CD8" s="47">
        <v>0.0</v>
      </c>
      <c r="CE8" s="47">
        <v>0.0</v>
      </c>
      <c r="CF8" s="47">
        <v>0.0</v>
      </c>
      <c r="CG8" s="48">
        <v>5900.0</v>
      </c>
      <c r="CH8" s="48">
        <v>5900.0</v>
      </c>
      <c r="CI8" s="47">
        <v>0.0</v>
      </c>
      <c r="CJ8" s="47">
        <v>0.0</v>
      </c>
      <c r="CK8" s="46" t="b">
        <v>0</v>
      </c>
      <c r="CL8" s="49"/>
      <c r="CM8" s="49"/>
      <c r="CN8" s="47"/>
      <c r="CO8" s="46"/>
      <c r="CP8" s="46" t="s">
        <v>55</v>
      </c>
      <c r="CQ8" s="46" t="s">
        <v>56</v>
      </c>
      <c r="CR8" s="45"/>
      <c r="CS8" s="47">
        <v>1.0</v>
      </c>
      <c r="CT8" s="49"/>
      <c r="CU8" s="49"/>
      <c r="CV8" s="49"/>
      <c r="CW8" s="49"/>
      <c r="CX8" s="49"/>
      <c r="CY8" s="46" t="s">
        <v>57</v>
      </c>
      <c r="CZ8" s="46" t="s">
        <v>46</v>
      </c>
      <c r="DA8" s="48">
        <v>6000.0</v>
      </c>
      <c r="DB8" s="47">
        <v>0.0</v>
      </c>
      <c r="DC8" s="50"/>
      <c r="DD8" s="47">
        <v>100.0</v>
      </c>
      <c r="DE8" s="47">
        <v>0.0</v>
      </c>
      <c r="DF8" s="47">
        <v>0.0</v>
      </c>
      <c r="DG8" s="47">
        <v>0.0</v>
      </c>
      <c r="DH8" s="47"/>
      <c r="DI8" s="47">
        <v>0.0</v>
      </c>
      <c r="DJ8" s="46" t="s">
        <v>20</v>
      </c>
      <c r="DK8" s="48">
        <v>6000.0</v>
      </c>
      <c r="DL8" s="48">
        <v>6000.0</v>
      </c>
      <c r="DM8" s="47">
        <v>1.0</v>
      </c>
      <c r="DN8" s="47">
        <v>0.0</v>
      </c>
      <c r="DO8" s="46"/>
      <c r="DP8" s="46" t="s">
        <v>31</v>
      </c>
      <c r="DQ8" s="46" t="s">
        <v>41</v>
      </c>
      <c r="DR8" s="46" t="s">
        <v>48</v>
      </c>
      <c r="DS8" s="46" t="s">
        <v>41</v>
      </c>
      <c r="DT8" s="46" t="s">
        <v>41</v>
      </c>
      <c r="DU8" s="46" t="s">
        <v>41</v>
      </c>
      <c r="DV8" s="46" t="s">
        <v>41</v>
      </c>
      <c r="DW8" s="46" t="s">
        <v>41</v>
      </c>
      <c r="DX8" s="46" t="s">
        <v>41</v>
      </c>
      <c r="DY8" s="46" t="s">
        <v>41</v>
      </c>
      <c r="DZ8" s="46"/>
      <c r="EA8" s="46" t="s">
        <v>49</v>
      </c>
      <c r="EB8" s="46" t="s">
        <v>41</v>
      </c>
      <c r="EC8" s="46" t="s">
        <v>41</v>
      </c>
      <c r="ED8" s="46" t="s">
        <v>37</v>
      </c>
      <c r="EE8" s="46" t="s">
        <v>49</v>
      </c>
      <c r="EF8" s="47">
        <v>0.0</v>
      </c>
      <c r="EG8" s="47">
        <v>0.0</v>
      </c>
      <c r="EH8" s="47">
        <v>0.0</v>
      </c>
      <c r="EI8" s="47">
        <v>0.0</v>
      </c>
      <c r="EJ8" s="47">
        <v>0.0</v>
      </c>
      <c r="EK8" s="47">
        <v>0.0</v>
      </c>
      <c r="EL8" s="46" t="s">
        <v>47</v>
      </c>
      <c r="EM8" s="48">
        <v>1194000.0</v>
      </c>
      <c r="EN8" s="48">
        <v>1194000.0</v>
      </c>
      <c r="EO8" s="47"/>
      <c r="EP8" s="48"/>
      <c r="EQ8" s="47">
        <v>0.0</v>
      </c>
      <c r="ER8" s="48">
        <v>1194000.0</v>
      </c>
      <c r="ES8" s="48">
        <v>-194000.0</v>
      </c>
      <c r="ET8" s="47"/>
      <c r="EU8" s="47">
        <v>0.0</v>
      </c>
      <c r="EV8" s="46" t="s">
        <v>31</v>
      </c>
      <c r="EW8" s="48">
        <v>6000.0</v>
      </c>
      <c r="EX8" s="46" t="b">
        <v>0</v>
      </c>
      <c r="FC8" s="46" t="s">
        <v>58</v>
      </c>
      <c r="FD8" s="47">
        <v>0.0</v>
      </c>
      <c r="FE8" s="47">
        <v>0.0</v>
      </c>
      <c r="FF8" s="47">
        <v>0.0</v>
      </c>
      <c r="FG8" s="47">
        <v>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35"/>
      <c r="B10" s="52"/>
      <c r="C10" s="53"/>
      <c r="D10" s="54"/>
      <c r="E10" s="53"/>
      <c r="F10" s="53"/>
      <c r="G10" s="54"/>
      <c r="H10" s="53"/>
      <c r="I10" s="54"/>
      <c r="J10" s="54"/>
      <c r="K10" s="54"/>
      <c r="L10" s="54"/>
      <c r="M10" s="55"/>
      <c r="N10" s="55"/>
      <c r="O10" s="53"/>
      <c r="P10" s="53"/>
      <c r="Q10" s="55"/>
      <c r="R10" s="53"/>
      <c r="S10" s="53"/>
      <c r="T10" s="53"/>
      <c r="U10" s="53"/>
      <c r="V10" s="53"/>
      <c r="W10" s="53"/>
      <c r="X10" s="54"/>
      <c r="Y10" s="54"/>
      <c r="Z10" s="35"/>
      <c r="AA10" s="35"/>
      <c r="AB10" s="54"/>
      <c r="AC10" s="54"/>
      <c r="AD10" s="54"/>
      <c r="AE10" s="54"/>
      <c r="AF10" s="54"/>
      <c r="AG10" s="54"/>
      <c r="AH10" s="54"/>
      <c r="AI10" s="54"/>
      <c r="AJ10" s="54"/>
      <c r="AK10" s="55"/>
      <c r="AL10" s="54"/>
      <c r="AM10" s="54"/>
      <c r="AN10" s="53"/>
      <c r="AO10" s="35"/>
      <c r="AP10" s="53"/>
      <c r="AQ10" s="53"/>
      <c r="AR10" s="54"/>
      <c r="AS10" s="54"/>
      <c r="AT10" s="53"/>
      <c r="AU10" s="53"/>
      <c r="AV10" s="54"/>
      <c r="AW10" s="55"/>
      <c r="AX10" s="54"/>
      <c r="AY10" s="54"/>
      <c r="AZ10" s="54"/>
      <c r="BA10" s="54"/>
      <c r="BB10" s="56"/>
      <c r="BC10" s="54"/>
      <c r="BD10" s="55"/>
      <c r="BE10" s="53"/>
      <c r="BF10" s="53"/>
      <c r="BG10" s="53"/>
      <c r="BH10" s="53"/>
      <c r="BI10" s="53"/>
      <c r="BJ10" s="54"/>
      <c r="BK10" s="54"/>
      <c r="BL10" s="54"/>
      <c r="BM10" s="54"/>
      <c r="BN10" s="56"/>
      <c r="BO10" s="55"/>
      <c r="BP10" s="54"/>
      <c r="BQ10" s="53"/>
      <c r="BR10" s="53"/>
      <c r="BS10" s="54"/>
      <c r="BT10" s="54"/>
      <c r="BU10" s="53"/>
      <c r="BV10" s="57"/>
      <c r="BW10" s="54"/>
      <c r="BX10" s="54"/>
      <c r="BY10" s="54"/>
      <c r="BZ10" s="54"/>
      <c r="CA10" s="54"/>
      <c r="CB10" s="52"/>
      <c r="CC10" s="54"/>
      <c r="CD10" s="55"/>
      <c r="CE10" s="54"/>
      <c r="CF10" s="54"/>
      <c r="CG10" s="55"/>
      <c r="CH10" s="54"/>
      <c r="CI10" s="55"/>
      <c r="CJ10" s="54"/>
      <c r="CK10" s="58"/>
      <c r="CL10" s="53"/>
      <c r="CM10" s="53"/>
      <c r="CN10" s="35"/>
      <c r="CO10" s="35"/>
      <c r="CP10" s="59"/>
      <c r="CQ10" s="35"/>
      <c r="CR10" s="52"/>
      <c r="CS10" s="54"/>
      <c r="CT10" s="35"/>
      <c r="CU10" s="35"/>
      <c r="CV10" s="35"/>
      <c r="CW10" s="35"/>
      <c r="CX10" s="35"/>
      <c r="CY10" s="53"/>
      <c r="CZ10" s="53"/>
      <c r="DA10" s="54"/>
      <c r="DB10" s="54"/>
      <c r="DC10" s="57"/>
      <c r="DD10" s="54"/>
      <c r="DE10" s="54"/>
      <c r="DF10" s="54"/>
      <c r="DG10" s="54"/>
      <c r="DH10" s="54"/>
      <c r="DI10" s="54"/>
      <c r="DJ10" s="53"/>
      <c r="DK10" s="54"/>
      <c r="DL10" s="54"/>
      <c r="DM10" s="54"/>
      <c r="DN10" s="54"/>
      <c r="DO10" s="35"/>
      <c r="DP10" s="53"/>
      <c r="DQ10" s="53"/>
      <c r="DR10" s="53"/>
      <c r="DS10" s="53"/>
      <c r="DT10" s="53"/>
      <c r="DU10" s="53"/>
      <c r="DV10" s="53"/>
      <c r="DW10" s="53"/>
      <c r="DX10" s="53"/>
      <c r="DY10" s="53"/>
      <c r="DZ10" s="53"/>
      <c r="EA10" s="53"/>
      <c r="EB10" s="53"/>
      <c r="EC10" s="53"/>
      <c r="ED10" s="53"/>
      <c r="EE10" s="53"/>
      <c r="EF10" s="54"/>
      <c r="EG10" s="54"/>
      <c r="EH10" s="54"/>
      <c r="EI10" s="54"/>
      <c r="EJ10" s="54"/>
      <c r="EK10" s="54"/>
      <c r="EL10" s="53"/>
      <c r="EM10" s="55"/>
      <c r="EN10" s="55"/>
      <c r="EO10" s="55"/>
      <c r="EP10" s="55"/>
      <c r="EQ10" s="54"/>
      <c r="ER10" s="55"/>
      <c r="ES10" s="55"/>
      <c r="ET10" s="55"/>
      <c r="EU10" s="54"/>
      <c r="EV10" s="53"/>
      <c r="EW10" s="54"/>
      <c r="EX10" s="58"/>
      <c r="EY10" s="35"/>
      <c r="EZ10" s="35"/>
      <c r="FA10" s="35"/>
      <c r="FB10" s="35"/>
      <c r="FC10" s="53"/>
      <c r="FD10" s="54"/>
      <c r="FE10" s="54"/>
      <c r="FF10" s="54"/>
      <c r="FG10" s="55"/>
      <c r="FH10" s="35"/>
      <c r="FI10" s="35"/>
      <c r="FJ10" s="35"/>
      <c r="FK10" s="35"/>
      <c r="FL10" s="35"/>
      <c r="FM10" s="35"/>
      <c r="FN10" s="35"/>
      <c r="FO10" s="35"/>
      <c r="FP10" s="35"/>
      <c r="FQ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IFERROR(__xludf.DUMMYFUNCTION("""COMPUTED_VALUE"""),"ColumnName")</f>
        <v>ColumnName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0" t="s">
        <v>60</v>
      </c>
      <c r="C6" s="8"/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GroupRowPM!$4:$4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46"/>
      <c r="B6" s="61"/>
      <c r="C6" s="46" t="s">
        <v>16</v>
      </c>
      <c r="D6" s="47">
        <v>200.0</v>
      </c>
      <c r="E6" s="46" t="s">
        <v>23</v>
      </c>
      <c r="F6" s="46" t="s">
        <v>30</v>
      </c>
      <c r="G6" s="47">
        <v>10.0</v>
      </c>
      <c r="H6" s="46" t="s">
        <v>31</v>
      </c>
      <c r="I6" s="47">
        <v>0.0</v>
      </c>
      <c r="J6" s="47">
        <v>0.0</v>
      </c>
      <c r="K6" s="62">
        <v>-1200000.0</v>
      </c>
      <c r="L6" s="62">
        <v>1200000.0</v>
      </c>
      <c r="M6" s="62">
        <v>1194000.0</v>
      </c>
      <c r="N6" s="62">
        <v>-200000.0</v>
      </c>
      <c r="O6" s="46" t="s">
        <v>61</v>
      </c>
      <c r="P6" s="46" t="s">
        <v>41</v>
      </c>
      <c r="Q6" s="62">
        <v>-200000.0</v>
      </c>
      <c r="R6" s="46" t="s">
        <v>32</v>
      </c>
      <c r="S6" s="46" t="s">
        <v>33</v>
      </c>
      <c r="T6" s="46" t="s">
        <v>34</v>
      </c>
      <c r="U6" s="46" t="s">
        <v>35</v>
      </c>
      <c r="V6" s="46" t="s">
        <v>36</v>
      </c>
      <c r="W6" s="46" t="s">
        <v>37</v>
      </c>
      <c r="X6" s="47">
        <v>100.0</v>
      </c>
      <c r="Y6" s="47">
        <v>1.0</v>
      </c>
      <c r="Z6" s="46" t="s">
        <v>41</v>
      </c>
      <c r="AA6" s="46" t="s">
        <v>41</v>
      </c>
      <c r="AB6" s="47">
        <v>0.0</v>
      </c>
      <c r="AC6" s="47">
        <v>0.0</v>
      </c>
      <c r="AD6" s="62">
        <v>-1200000.0</v>
      </c>
      <c r="AE6" s="62">
        <v>-1200000.0</v>
      </c>
      <c r="AF6" s="62">
        <v>-20000.0</v>
      </c>
      <c r="AG6" s="62">
        <v>-1200000.0</v>
      </c>
      <c r="AH6" s="62">
        <v>-1200000.0</v>
      </c>
      <c r="AI6" s="62">
        <v>-1200000.0</v>
      </c>
      <c r="AJ6" s="62">
        <v>61855.67</v>
      </c>
      <c r="AK6" s="62">
        <v>-200000.0</v>
      </c>
      <c r="AL6" s="47">
        <v>-1.0</v>
      </c>
      <c r="AM6" s="47">
        <v>1.0</v>
      </c>
      <c r="AN6" s="46" t="s">
        <v>22</v>
      </c>
      <c r="AO6" s="46" t="s">
        <v>41</v>
      </c>
      <c r="AP6" s="46" t="s">
        <v>31</v>
      </c>
      <c r="AQ6" s="46" t="s">
        <v>19</v>
      </c>
      <c r="AR6" s="47">
        <v>60.0</v>
      </c>
      <c r="AS6" s="47">
        <v>1.0</v>
      </c>
      <c r="AT6" s="46" t="s">
        <v>38</v>
      </c>
      <c r="AU6" s="46" t="s">
        <v>39</v>
      </c>
      <c r="AV6" s="47">
        <v>1.0</v>
      </c>
      <c r="AW6" s="62">
        <v>-200000.0</v>
      </c>
      <c r="AX6" s="47">
        <v>0.0</v>
      </c>
      <c r="AY6" s="47">
        <v>0.0</v>
      </c>
      <c r="AZ6" s="47">
        <v>0.0</v>
      </c>
      <c r="BA6" s="47">
        <v>-100.0</v>
      </c>
      <c r="BB6" s="50" t="s">
        <v>62</v>
      </c>
      <c r="BC6" s="47">
        <v>1.0</v>
      </c>
      <c r="BD6" s="62">
        <v>-200000.0</v>
      </c>
      <c r="BE6" s="46" t="s">
        <v>40</v>
      </c>
      <c r="BF6" s="46" t="s">
        <v>41</v>
      </c>
      <c r="BG6" s="46" t="s">
        <v>63</v>
      </c>
      <c r="BH6" s="46" t="s">
        <v>41</v>
      </c>
      <c r="BI6" s="46" t="s">
        <v>41</v>
      </c>
      <c r="BJ6" s="47">
        <v>0.0</v>
      </c>
      <c r="BK6" s="47">
        <v>0.0</v>
      </c>
      <c r="BL6" s="47">
        <v>0.0</v>
      </c>
      <c r="BM6" s="47">
        <v>0.0</v>
      </c>
      <c r="BN6" s="50" t="s">
        <v>64</v>
      </c>
      <c r="BO6" s="62">
        <v>-200000.0</v>
      </c>
      <c r="BP6" s="47">
        <v>0.0</v>
      </c>
      <c r="BQ6" s="46" t="s">
        <v>42</v>
      </c>
      <c r="BR6" s="46" t="s">
        <v>52</v>
      </c>
      <c r="BS6" s="47">
        <v>0.0</v>
      </c>
      <c r="BT6" s="47">
        <v>0.0</v>
      </c>
      <c r="BU6" s="46" t="s">
        <v>43</v>
      </c>
      <c r="BV6" s="50">
        <v>44592.0</v>
      </c>
      <c r="BW6" s="47">
        <v>100.0</v>
      </c>
      <c r="BX6" s="62">
        <v>1200000.0</v>
      </c>
      <c r="BY6" s="47">
        <v>0.0</v>
      </c>
      <c r="BZ6" s="47">
        <v>0.0</v>
      </c>
      <c r="CA6" s="47">
        <v>0.0</v>
      </c>
      <c r="CB6" s="46" t="s">
        <v>65</v>
      </c>
      <c r="CC6" s="47">
        <v>0.0</v>
      </c>
      <c r="CD6" s="62">
        <v>-200000.0</v>
      </c>
      <c r="CE6" s="47">
        <v>0.0</v>
      </c>
      <c r="CF6" s="47">
        <v>0.0</v>
      </c>
      <c r="CG6" s="62">
        <v>-200000.0</v>
      </c>
      <c r="CH6" s="47">
        <v>-100.0</v>
      </c>
      <c r="CI6" s="62">
        <v>1200000.0</v>
      </c>
      <c r="CJ6" s="47">
        <v>0.0</v>
      </c>
      <c r="CK6" s="46" t="b">
        <v>0</v>
      </c>
      <c r="CL6" s="46" t="s">
        <v>66</v>
      </c>
      <c r="CM6" s="46" t="s">
        <v>67</v>
      </c>
      <c r="CN6" s="46" t="s">
        <v>41</v>
      </c>
      <c r="CO6" s="46" t="s">
        <v>41</v>
      </c>
      <c r="CP6" s="46" t="s">
        <v>44</v>
      </c>
      <c r="CQ6" s="46" t="s">
        <v>41</v>
      </c>
      <c r="CR6" s="63">
        <v>44592.0</v>
      </c>
      <c r="CS6" s="47">
        <v>10.0</v>
      </c>
      <c r="CT6" s="46" t="s">
        <v>41</v>
      </c>
      <c r="CU6" s="46" t="s">
        <v>41</v>
      </c>
      <c r="CV6" s="46" t="s">
        <v>41</v>
      </c>
      <c r="CW6" s="46" t="s">
        <v>41</v>
      </c>
      <c r="CX6" s="46" t="s">
        <v>41</v>
      </c>
      <c r="CY6" s="46" t="s">
        <v>45</v>
      </c>
      <c r="CZ6" s="46" t="s">
        <v>46</v>
      </c>
      <c r="DA6" s="62">
        <v>1200000.0</v>
      </c>
      <c r="DB6" s="47">
        <v>0.0</v>
      </c>
      <c r="DC6" s="64">
        <v>44562.0</v>
      </c>
      <c r="DD6" s="62">
        <v>-20000.0</v>
      </c>
      <c r="DE6" s="47">
        <v>-40.0</v>
      </c>
      <c r="DF6" s="62">
        <v>-800000.0</v>
      </c>
      <c r="DG6" s="47">
        <v>0.0</v>
      </c>
      <c r="DH6" s="47">
        <v>60.0</v>
      </c>
      <c r="DI6" s="47">
        <v>0.0</v>
      </c>
      <c r="DJ6" s="46" t="s">
        <v>22</v>
      </c>
      <c r="DK6" s="47">
        <v>0.0</v>
      </c>
      <c r="DL6" s="47">
        <v>0.0</v>
      </c>
      <c r="DM6" s="47">
        <v>1.0</v>
      </c>
      <c r="DN6" s="47">
        <v>0.0</v>
      </c>
      <c r="DO6" s="46" t="s">
        <v>41</v>
      </c>
      <c r="DP6" s="46" t="s">
        <v>47</v>
      </c>
      <c r="DQ6" s="46" t="s">
        <v>41</v>
      </c>
      <c r="DR6" s="46" t="s">
        <v>48</v>
      </c>
      <c r="DS6" s="46" t="s">
        <v>41</v>
      </c>
      <c r="DT6" s="46" t="s">
        <v>41</v>
      </c>
      <c r="DU6" s="46" t="s">
        <v>41</v>
      </c>
      <c r="DV6" s="46" t="s">
        <v>41</v>
      </c>
      <c r="DW6" s="46" t="s">
        <v>41</v>
      </c>
      <c r="DX6" s="46" t="s">
        <v>41</v>
      </c>
      <c r="DY6" s="46" t="s">
        <v>41</v>
      </c>
      <c r="DZ6" s="46" t="s">
        <v>68</v>
      </c>
      <c r="EA6" s="46" t="s">
        <v>49</v>
      </c>
      <c r="EB6" s="46" t="s">
        <v>41</v>
      </c>
      <c r="EC6" s="46" t="s">
        <v>41</v>
      </c>
      <c r="ED6" s="46" t="s">
        <v>37</v>
      </c>
      <c r="EE6" s="46" t="s">
        <v>49</v>
      </c>
      <c r="EF6" s="47">
        <v>0.0</v>
      </c>
      <c r="EG6" s="47">
        <v>0.0</v>
      </c>
      <c r="EH6" s="47">
        <v>0.0</v>
      </c>
      <c r="EI6" s="47">
        <v>0.0</v>
      </c>
      <c r="EJ6" s="47">
        <v>0.0</v>
      </c>
      <c r="EK6" s="47">
        <v>0.0</v>
      </c>
      <c r="EL6" s="46" t="s">
        <v>47</v>
      </c>
      <c r="EM6" s="62">
        <v>1194000.0</v>
      </c>
      <c r="EN6" s="62">
        <v>1194000.0</v>
      </c>
      <c r="EO6" s="62">
        <v>-3333.33</v>
      </c>
      <c r="EP6" s="62">
        <v>6000.0</v>
      </c>
      <c r="EQ6" s="47">
        <v>0.0</v>
      </c>
      <c r="ER6" s="62">
        <v>1194000.0</v>
      </c>
      <c r="ES6" s="62">
        <v>-194000.0</v>
      </c>
      <c r="ET6" s="47">
        <v>0.0</v>
      </c>
      <c r="EU6" s="47">
        <v>0.0</v>
      </c>
      <c r="EV6" s="46" t="s">
        <v>47</v>
      </c>
      <c r="EW6" s="62">
        <v>-200000.0</v>
      </c>
      <c r="EX6" s="46" t="b">
        <v>0</v>
      </c>
      <c r="EZ6" s="46" t="s">
        <v>50</v>
      </c>
      <c r="FA6" s="47">
        <v>0.0</v>
      </c>
      <c r="FB6" s="47">
        <v>40.0</v>
      </c>
      <c r="FC6" s="62">
        <v>600000.0</v>
      </c>
      <c r="FD6" s="47">
        <v>40.0</v>
      </c>
    </row>
    <row r="7" ht="15.75" customHeight="1">
      <c r="A7" s="46"/>
      <c r="B7" s="49"/>
      <c r="C7" s="46" t="s">
        <v>19</v>
      </c>
      <c r="D7" s="47">
        <v>100.0</v>
      </c>
      <c r="E7" s="46" t="s">
        <v>21</v>
      </c>
      <c r="F7" s="46" t="s">
        <v>51</v>
      </c>
      <c r="G7" s="47">
        <v>1.0</v>
      </c>
      <c r="H7" s="46" t="s">
        <v>31</v>
      </c>
      <c r="I7" s="62">
        <v>6000.0</v>
      </c>
      <c r="J7" s="47">
        <v>0.0</v>
      </c>
      <c r="K7" s="62">
        <v>6000.0</v>
      </c>
      <c r="L7" s="62">
        <v>6000.0</v>
      </c>
      <c r="M7" s="62">
        <v>1194000.0</v>
      </c>
      <c r="N7" s="47">
        <v>0.0</v>
      </c>
      <c r="O7" s="46" t="s">
        <v>68</v>
      </c>
      <c r="P7" s="47">
        <v>60.0</v>
      </c>
      <c r="Q7" s="62">
        <v>5900.0</v>
      </c>
      <c r="R7" s="46" t="s">
        <v>52</v>
      </c>
      <c r="S7" s="46" t="s">
        <v>33</v>
      </c>
      <c r="T7" s="46" t="s">
        <v>53</v>
      </c>
      <c r="U7" s="46" t="s">
        <v>35</v>
      </c>
      <c r="V7" s="46" t="s">
        <v>54</v>
      </c>
      <c r="W7" s="46" t="s">
        <v>37</v>
      </c>
      <c r="X7" s="47">
        <v>1.0</v>
      </c>
      <c r="Y7" s="47">
        <v>1.0</v>
      </c>
      <c r="Z7" s="46" t="s">
        <v>41</v>
      </c>
      <c r="AA7" s="46" t="s">
        <v>41</v>
      </c>
      <c r="AB7" s="47">
        <v>0.0</v>
      </c>
      <c r="AC7" s="47">
        <v>0.0</v>
      </c>
      <c r="AD7" s="62">
        <v>6000.0</v>
      </c>
      <c r="AE7" s="62">
        <v>6000.0</v>
      </c>
      <c r="AF7" s="47">
        <v>100.0</v>
      </c>
      <c r="AG7" s="62">
        <v>6000.0</v>
      </c>
      <c r="AH7" s="62">
        <v>6000.0</v>
      </c>
      <c r="AI7" s="62">
        <v>6000.0</v>
      </c>
      <c r="AJ7" s="47">
        <v>-309.28</v>
      </c>
      <c r="AK7" s="47">
        <v>0.0</v>
      </c>
      <c r="AL7" s="47">
        <v>1.0</v>
      </c>
      <c r="AM7" s="47">
        <v>1.0</v>
      </c>
      <c r="AN7" s="46" t="s">
        <v>20</v>
      </c>
      <c r="AO7" s="46" t="s">
        <v>41</v>
      </c>
      <c r="AP7" s="46" t="s">
        <v>31</v>
      </c>
      <c r="AQ7" s="46" t="s">
        <v>19</v>
      </c>
      <c r="AR7" s="47">
        <v>60.0</v>
      </c>
      <c r="AS7" s="47">
        <v>1.0</v>
      </c>
      <c r="AT7" s="46" t="s">
        <v>38</v>
      </c>
      <c r="AU7" s="46" t="s">
        <v>39</v>
      </c>
      <c r="AV7" s="47">
        <v>1.0</v>
      </c>
      <c r="AW7" s="62">
        <v>5900.0</v>
      </c>
      <c r="AX7" s="47">
        <v>0.0</v>
      </c>
      <c r="AY7" s="47">
        <v>0.0</v>
      </c>
      <c r="AZ7" s="62">
        <v>6000.0</v>
      </c>
      <c r="BA7" s="47">
        <v>0.0</v>
      </c>
      <c r="BB7" s="50" t="s">
        <v>62</v>
      </c>
      <c r="BC7" s="47">
        <v>1.0</v>
      </c>
      <c r="BD7" s="47">
        <v>0.0</v>
      </c>
      <c r="BE7" s="46" t="s">
        <v>53</v>
      </c>
      <c r="BF7" s="46" t="s">
        <v>41</v>
      </c>
      <c r="BG7" s="46" t="s">
        <v>63</v>
      </c>
      <c r="BH7" s="46" t="s">
        <v>41</v>
      </c>
      <c r="BI7" s="46" t="s">
        <v>41</v>
      </c>
      <c r="BJ7" s="47">
        <v>0.0</v>
      </c>
      <c r="BK7" s="47">
        <v>0.0</v>
      </c>
      <c r="BL7" s="47">
        <v>0.0</v>
      </c>
      <c r="BM7" s="47">
        <v>0.0</v>
      </c>
      <c r="BN7" s="50" t="s">
        <v>64</v>
      </c>
      <c r="BO7" s="47">
        <v>0.0</v>
      </c>
      <c r="BP7" s="47">
        <v>0.0</v>
      </c>
      <c r="BQ7" s="46" t="s">
        <v>42</v>
      </c>
      <c r="BR7" s="46" t="s">
        <v>52</v>
      </c>
      <c r="BS7" s="47">
        <v>0.0</v>
      </c>
      <c r="BT7" s="47">
        <v>0.0</v>
      </c>
      <c r="BU7" s="46" t="s">
        <v>53</v>
      </c>
      <c r="BV7" s="49"/>
      <c r="BW7" s="47">
        <v>0.0</v>
      </c>
      <c r="BX7" s="62">
        <v>6000.0</v>
      </c>
      <c r="BY7" s="62">
        <v>6000.0</v>
      </c>
      <c r="BZ7" s="47">
        <v>60.0</v>
      </c>
      <c r="CA7" s="47">
        <v>60.0</v>
      </c>
      <c r="CB7" s="50">
        <v>44594.333333333336</v>
      </c>
      <c r="CC7" s="47">
        <v>0.0</v>
      </c>
      <c r="CD7" s="47">
        <v>0.0</v>
      </c>
      <c r="CE7" s="47">
        <v>0.0</v>
      </c>
      <c r="CF7" s="47">
        <v>0.0</v>
      </c>
      <c r="CG7" s="62">
        <v>5900.0</v>
      </c>
      <c r="CH7" s="62">
        <v>5900.0</v>
      </c>
      <c r="CI7" s="47">
        <v>0.0</v>
      </c>
      <c r="CJ7" s="47">
        <v>0.0</v>
      </c>
      <c r="CK7" s="46" t="b">
        <v>0</v>
      </c>
      <c r="CL7" s="46" t="s">
        <v>41</v>
      </c>
      <c r="CM7" s="46" t="s">
        <v>41</v>
      </c>
      <c r="CN7" s="48">
        <v>2402466.0</v>
      </c>
      <c r="CO7" s="46" t="s">
        <v>69</v>
      </c>
      <c r="CP7" s="46" t="s">
        <v>55</v>
      </c>
      <c r="CQ7" s="46" t="s">
        <v>56</v>
      </c>
      <c r="CR7" s="63">
        <v>44591.0</v>
      </c>
      <c r="CS7" s="47">
        <v>1.0</v>
      </c>
      <c r="CT7" s="46" t="s">
        <v>41</v>
      </c>
      <c r="CU7" s="46" t="s">
        <v>41</v>
      </c>
      <c r="CV7" s="46" t="s">
        <v>41</v>
      </c>
      <c r="CW7" s="46" t="s">
        <v>41</v>
      </c>
      <c r="CX7" s="46" t="s">
        <v>41</v>
      </c>
      <c r="CY7" s="46" t="s">
        <v>57</v>
      </c>
      <c r="CZ7" s="46" t="s">
        <v>46</v>
      </c>
      <c r="DA7" s="62">
        <v>6000.0</v>
      </c>
      <c r="DB7" s="47">
        <v>0.0</v>
      </c>
      <c r="DC7" s="46" t="s">
        <v>70</v>
      </c>
      <c r="DD7" s="47">
        <v>100.0</v>
      </c>
      <c r="DE7" s="47">
        <v>0.0</v>
      </c>
      <c r="DF7" s="47">
        <v>0.0</v>
      </c>
      <c r="DG7" s="47">
        <v>0.0</v>
      </c>
      <c r="DH7" s="47">
        <v>60.0</v>
      </c>
      <c r="DI7" s="47">
        <v>0.0</v>
      </c>
      <c r="DJ7" s="46" t="s">
        <v>20</v>
      </c>
      <c r="DK7" s="62">
        <v>6000.0</v>
      </c>
      <c r="DL7" s="62">
        <v>6000.0</v>
      </c>
      <c r="DM7" s="47">
        <v>1.0</v>
      </c>
      <c r="DN7" s="47">
        <v>0.0</v>
      </c>
      <c r="DO7" s="46" t="s">
        <v>71</v>
      </c>
      <c r="DP7" s="46" t="s">
        <v>31</v>
      </c>
      <c r="DQ7" s="46" t="s">
        <v>41</v>
      </c>
      <c r="DR7" s="46" t="s">
        <v>48</v>
      </c>
      <c r="DS7" s="46" t="s">
        <v>41</v>
      </c>
      <c r="DT7" s="46" t="s">
        <v>41</v>
      </c>
      <c r="DU7" s="46" t="s">
        <v>41</v>
      </c>
      <c r="DV7" s="46" t="s">
        <v>41</v>
      </c>
      <c r="DW7" s="46" t="s">
        <v>41</v>
      </c>
      <c r="DX7" s="46" t="s">
        <v>41</v>
      </c>
      <c r="DY7" s="46" t="s">
        <v>41</v>
      </c>
      <c r="DZ7" s="46" t="s">
        <v>68</v>
      </c>
      <c r="EA7" s="46" t="s">
        <v>49</v>
      </c>
      <c r="EB7" s="46" t="s">
        <v>41</v>
      </c>
      <c r="EC7" s="46" t="s">
        <v>41</v>
      </c>
      <c r="ED7" s="46" t="s">
        <v>37</v>
      </c>
      <c r="EE7" s="46" t="s">
        <v>49</v>
      </c>
      <c r="EF7" s="47">
        <v>0.0</v>
      </c>
      <c r="EG7" s="47">
        <v>0.0</v>
      </c>
      <c r="EH7" s="47">
        <v>0.0</v>
      </c>
      <c r="EI7" s="47">
        <v>0.0</v>
      </c>
      <c r="EJ7" s="47">
        <v>0.0</v>
      </c>
      <c r="EK7" s="47">
        <v>0.0</v>
      </c>
      <c r="EL7" s="46" t="s">
        <v>47</v>
      </c>
      <c r="EM7" s="62">
        <v>1194000.0</v>
      </c>
      <c r="EN7" s="62">
        <v>1194000.0</v>
      </c>
      <c r="EO7" s="47">
        <v>0.0</v>
      </c>
      <c r="EP7" s="62">
        <v>6000.0</v>
      </c>
      <c r="EQ7" s="47">
        <v>0.0</v>
      </c>
      <c r="ER7" s="62">
        <v>1194000.0</v>
      </c>
      <c r="ES7" s="62">
        <v>-194000.0</v>
      </c>
      <c r="ET7" s="47">
        <v>0.0</v>
      </c>
      <c r="EU7" s="47">
        <v>0.0</v>
      </c>
      <c r="EV7" s="46" t="s">
        <v>31</v>
      </c>
      <c r="EW7" s="62">
        <v>6000.0</v>
      </c>
      <c r="EX7" s="46" t="b">
        <v>0</v>
      </c>
      <c r="EZ7" s="46" t="s">
        <v>58</v>
      </c>
      <c r="FA7" s="47">
        <v>0.0</v>
      </c>
      <c r="FB7" s="47">
        <v>0.0</v>
      </c>
      <c r="FC7" s="47">
        <v>0.0</v>
      </c>
      <c r="FD7" s="47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72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IFERROR(__xludf.DUMMYFUNCTION("""COMPUTED_VALUE"""),"Trader")</f>
        <v>Trader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IFERROR(__xludf.DUMMYFUNCTION("""COMPUTED_VALUE"""),"% Day Return (Gross MV)")</f>
        <v>% Day Return (Gross MV)</v>
      </c>
      <c r="CU5" s="29" t="str">
        <f>IFERROR(__xludf.DUMMYFUNCTION("""COMPUTED_VALUE"""),"Carry")</f>
        <v>Carry</v>
      </c>
      <c r="CV5" s="29" t="str">
        <f>IFERROR(__xludf.DUMMYFUNCTION("""COMPUTED_VALUE"""),"Trade TEST")</f>
        <v>Trade TEST</v>
      </c>
      <c r="CW5" s="29" t="str">
        <f>IFERROR(__xludf.DUMMYFUNCTION("""COMPUTED_VALUE"""),"Trade Attribute 3")</f>
        <v>Trade Attribute 3</v>
      </c>
      <c r="CX5" s="29" t="str">
        <f>IFERROR(__xludf.DUMMYFUNCTION("""COMPUTED_VALUE"""),"Trade Attribute 4")</f>
        <v>Trade Attribute 4</v>
      </c>
      <c r="CY5" s="29" t="str">
        <f>IFERROR(__xludf.DUMMYFUNCTION("""COMPUTED_VALUE"""),"Trade Attribute 5")</f>
        <v>Trade Attribute 5</v>
      </c>
      <c r="CZ5" s="29" t="str">
        <f>IFERROR(__xludf.DUMMYFUNCTION("""COMPUTED_VALUE"""),"Trade Attribute 6")</f>
        <v>Trade Attribute 6</v>
      </c>
      <c r="DA5" s="29" t="str">
        <f>IFERROR(__xludf.DUMMYFUNCTION("""COMPUTED_VALUE"""),"Proxy Symbol")</f>
        <v>Proxy Symbol</v>
      </c>
      <c r="DB5" s="29" t="str">
        <f>IFERROR(__xludf.DUMMYFUNCTION("""COMPUTED_VALUE"""),"Pricing Source")</f>
        <v>Pricing Source</v>
      </c>
      <c r="DC5" s="29" t="str">
        <f>IFERROR(__xludf.DUMMYFUNCTION("""COMPUTED_VALUE"""),"Delta Source")</f>
        <v>Delta Source</v>
      </c>
      <c r="DD5" s="29" t="str">
        <f>IFERROR(__xludf.DUMMYFUNCTION("""COMPUTED_VALUE"""),"Gross Exposure (Local)")</f>
        <v>Gross Exposure (Local)</v>
      </c>
      <c r="DE5" s="29" t="str">
        <f>IFERROR(__xludf.DUMMYFUNCTION("""COMPUTED_VALUE"""),"% Day P&amp;L (Net MV)")</f>
        <v>% Day P&amp;L (Net MV)</v>
      </c>
      <c r="DF5" s="29" t="str">
        <f>IFERROR(__xludf.DUMMYFUNCTION("""COMPUTED_VALUE"""),"Expiration Month")</f>
        <v>Expiration Month</v>
      </c>
      <c r="DG5" s="29" t="str">
        <f>IFERROR(__xludf.DUMMYFUNCTION("""COMPUTED_VALUE"""),"Delta Adj. Position (LME)")</f>
        <v>Delta Adj. Position (LME)</v>
      </c>
      <c r="DH5" s="29" t="str">
        <f>IFERROR(__xludf.DUMMYFUNCTION("""COMPUTED_VALUE"""),"Premium")</f>
        <v>Premium</v>
      </c>
      <c r="DI5" s="29" t="str">
        <f>IFERROR(__xludf.DUMMYFUNCTION("""COMPUTED_VALUE"""),"Premium $")</f>
        <v>Premium $</v>
      </c>
      <c r="DJ5" s="29" t="str">
        <f>IFERROR(__xludf.DUMMYFUNCTION("""COMPUTED_VALUE"""),"Forward Points")</f>
        <v>Forward Points</v>
      </c>
      <c r="DK5" s="29" t="str">
        <f>IFERROR(__xludf.DUMMYFUNCTION("""COMPUTED_VALUE"""),"Strike Gap Risk")</f>
        <v>Strike Gap Risk</v>
      </c>
      <c r="DL5" s="29" t="str">
        <f>IFERROR(__xludf.DUMMYFUNCTION("""COMPUTED_VALUE"""),"Strike Gap Exposure")</f>
        <v>Strike Gap Exposure</v>
      </c>
      <c r="DM5" s="29" t="str">
        <f>IFERROR(__xludf.DUMMYFUNCTION("""COMPUTED_VALUE"""),"Closing Mark (Underlying)")</f>
        <v>Closing Mark (Underlying)</v>
      </c>
      <c r="DN5" s="29" t="str">
        <f>IFERROR(__xludf.DUMMYFUNCTION("""COMPUTED_VALUE"""),"% Change (Underlying Price)")</f>
        <v>% Change (Underlying Price)</v>
      </c>
      <c r="DO5" s="29" t="str">
        <f>IFERROR(__xludf.DUMMYFUNCTION("""COMPUTED_VALUE"""),"Transaction Type")</f>
        <v>Transaction Type</v>
      </c>
      <c r="DP5" s="29" t="str">
        <f>IFERROR(__xludf.DUMMYFUNCTION("""COMPUTED_VALUE"""),"Closing Market Value (Local)")</f>
        <v>Closing Market Value (Local)</v>
      </c>
      <c r="DQ5" s="29" t="str">
        <f>IFERROR(__xludf.DUMMYFUNCTION("""COMPUTED_VALUE"""),"Closing Market Value (Base)")</f>
        <v>Closing Market Value (Base)</v>
      </c>
      <c r="DR5" s="29" t="str">
        <f>IFERROR(__xludf.DUMMYFUNCTION("""COMPUTED_VALUE"""),"Closing FX Rate")</f>
        <v>Closing FX Rate</v>
      </c>
      <c r="DS5" s="29" t="str">
        <f>IFERROR(__xludf.DUMMYFUNCTION("""COMPUTED_VALUE"""),"Change In Underlying Price")</f>
        <v>Change In Underlying Price</v>
      </c>
      <c r="DT5" s="29" t="str">
        <f>IFERROR(__xludf.DUMMYFUNCTION("""COMPUTED_VALUE"""),"RIC")</f>
        <v>RIC</v>
      </c>
      <c r="DU5" s="29" t="str">
        <f>IFERROR(__xludf.DUMMYFUNCTION("""COMPUTED_VALUE"""),"Position Side Exposure (Boxed)")</f>
        <v>Position Side Exposure (Boxed)</v>
      </c>
      <c r="DV5" s="29" t="str">
        <f>IFERROR(__xludf.DUMMYFUNCTION("""COMPUTED_VALUE"""),"Analyst")</f>
        <v>Analyst</v>
      </c>
      <c r="DW5" s="29" t="str">
        <f>IFERROR(__xludf.DUMMYFUNCTION("""COMPUTED_VALUE"""),"Country Of Risk")</f>
        <v>Country Of Risk</v>
      </c>
      <c r="DX5" s="29" t="str">
        <f>IFERROR(__xludf.DUMMYFUNCTION("""COMPUTED_VALUE"""),"Custom UDA1")</f>
        <v>Custom UDA1</v>
      </c>
      <c r="DY5" s="29" t="str">
        <f>IFERROR(__xludf.DUMMYFUNCTION("""COMPUTED_VALUE"""),"Custom UDA2")</f>
        <v>Custom UDA2</v>
      </c>
      <c r="DZ5" s="29" t="str">
        <f>IFERROR(__xludf.DUMMYFUNCTION("""COMPUTED_VALUE"""),"Custom UDA3")</f>
        <v>Custom UDA3</v>
      </c>
      <c r="EA5" s="29" t="str">
        <f>IFERROR(__xludf.DUMMYFUNCTION("""COMPUTED_VALUE"""),"Custom UDA4")</f>
        <v>Custom UDA4</v>
      </c>
      <c r="EB5" s="29" t="str">
        <f>IFERROR(__xludf.DUMMYFUNCTION("""COMPUTED_VALUE"""),"Custom UDA5")</f>
        <v>Custom UDA5</v>
      </c>
      <c r="EC5" s="29" t="str">
        <f>IFERROR(__xludf.DUMMYFUNCTION("""COMPUTED_VALUE"""),"Custom UDA6")</f>
        <v>Custom UDA6</v>
      </c>
      <c r="ED5" s="29" t="str">
        <f>IFERROR(__xludf.DUMMYFUNCTION("""COMPUTED_VALUE"""),"Custom UDA7")</f>
        <v>Custom UDA7</v>
      </c>
      <c r="EE5" s="29" t="str">
        <f>IFERROR(__xludf.DUMMYFUNCTION("""COMPUTED_VALUE"""),"Issuer")</f>
        <v>Issuer</v>
      </c>
      <c r="EF5" s="29" t="str">
        <f>IFERROR(__xludf.DUMMYFUNCTION("""COMPUTED_VALUE"""),"Liquid Tag")</f>
        <v>Liquid Tag</v>
      </c>
      <c r="EG5" s="29" t="str">
        <f>IFERROR(__xludf.DUMMYFUNCTION("""COMPUTED_VALUE"""),"Market Cap UDA")</f>
        <v>Market Cap UDA</v>
      </c>
      <c r="EH5" s="29" t="str">
        <f>IFERROR(__xludf.DUMMYFUNCTION("""COMPUTED_VALUE"""),"Region")</f>
        <v>Region</v>
      </c>
      <c r="EI5" s="29" t="str">
        <f>IFERROR(__xludf.DUMMYFUNCTION("""COMPUTED_VALUE"""),"Risk Currency")</f>
        <v>Risk Currency</v>
      </c>
      <c r="EJ5" s="29" t="str">
        <f>IFERROR(__xludf.DUMMYFUNCTION("""COMPUTED_VALUE"""),"UCITS Eligible Tag")</f>
        <v>UCITS Eligible Tag</v>
      </c>
      <c r="EK5" s="29" t="str">
        <f>IFERROR(__xludf.DUMMYFUNCTION("""COMPUTED_VALUE"""),"FX Rate (Display)")</f>
        <v>FX Rate (Display)</v>
      </c>
      <c r="EL5" s="29" t="str">
        <f>IFERROR(__xludf.DUMMYFUNCTION("""COMPUTED_VALUE"""),"% Net Exposure (Base)")</f>
        <v>% Net Exposure (Base)</v>
      </c>
      <c r="EM5" s="29" t="str">
        <f>IFERROR(__xludf.DUMMYFUNCTION("""COMPUTED_VALUE"""),"% Gross Exposure (Base)")</f>
        <v>% Gross Exposure (Base)</v>
      </c>
      <c r="EN5" s="29" t="str">
        <f>IFERROR(__xludf.DUMMYFUNCTION("""COMPUTED_VALUE"""),"% Exposure (Base)")</f>
        <v>% Exposure (Base)</v>
      </c>
      <c r="EO5" s="29" t="str">
        <f>IFERROR(__xludf.DUMMYFUNCTION("""COMPUTED_VALUE"""),"% Gross Exposure (Underlying) (Base)")</f>
        <v>% Gross Exposure (Underlying) (Base)</v>
      </c>
      <c r="EP5" s="29" t="str">
        <f>IFERROR(__xludf.DUMMYFUNCTION("""COMPUTED_VALUE"""),"% Beta Adj. Gross Exposure (Base)")</f>
        <v>% Beta Adj. Gross Exposure (Base)</v>
      </c>
      <c r="EQ5" s="29" t="str">
        <f>IFERROR(__xludf.DUMMYFUNCTION("""COMPUTED_VALUE"""),"Position Side Exposure (Underlying)")</f>
        <v>Position Side Exposure (Underlying)</v>
      </c>
      <c r="ER5" s="29" t="str">
        <f>IFERROR(__xludf.DUMMYFUNCTION("""COMPUTED_VALUE"""),"Gross Exposure (Underlying) (Base)")</f>
        <v>Gross Exposure (Underlying) (Base)</v>
      </c>
      <c r="ES5" s="29" t="str">
        <f>IFERROR(__xludf.DUMMYFUNCTION("""COMPUTED_VALUE"""),"Gross Exposure (Underlying)")</f>
        <v>Gross Exposure (Underlying)</v>
      </c>
      <c r="ET5" s="29" t="str">
        <f>IFERROR(__xludf.DUMMYFUNCTION("""COMPUTED_VALUE"""),"Day Return")</f>
        <v>Day Return</v>
      </c>
      <c r="EU5" s="29" t="str">
        <f>IFERROR(__xludf.DUMMYFUNCTION("""COMPUTED_VALUE"""),"Start of Day NAV")</f>
        <v>Start of Day NAV</v>
      </c>
      <c r="EV5" s="29" t="str">
        <f>IFERROR(__xludf.DUMMYFUNCTION("""COMPUTED_VALUE"""),"% Gross Market Value (Base)")</f>
        <v>% Gross Market Value (Base)</v>
      </c>
      <c r="EW5" s="29" t="str">
        <f>IFERROR(__xludf.DUMMYFUNCTION("""COMPUTED_VALUE"""),"Beta Adj. Gross Exposure (Underlying) (Local)")</f>
        <v>Beta Adj. Gross Exposure (Underlying) (Local)</v>
      </c>
      <c r="EX5" s="29" t="str">
        <f>IFERROR(__xludf.DUMMYFUNCTION("""COMPUTED_VALUE"""),"NAV")</f>
        <v>NAV</v>
      </c>
      <c r="EY5" s="29" t="str">
        <f>IFERROR(__xludf.DUMMYFUNCTION("""COMPUTED_VALUE"""),"% P&amp;L Contribution")</f>
        <v>% P&amp;L Contribution</v>
      </c>
      <c r="EZ5" s="29" t="str">
        <f>IFERROR(__xludf.DUMMYFUNCTION("""COMPUTED_VALUE"""),"% Net Market Value (Base)")</f>
        <v>% Net Market Value (Base)</v>
      </c>
      <c r="FA5" s="29" t="str">
        <f>IFERROR(__xludf.DUMMYFUNCTION("""COMPUTED_VALUE"""),"Position Side Exposure")</f>
        <v>Position Side Exposure</v>
      </c>
      <c r="FB5" s="29" t="str">
        <f>IFERROR(__xludf.DUMMYFUNCTION("""COMPUTED_VALUE"""),"NAV (Touch)")</f>
        <v>NAV (Touch)</v>
      </c>
      <c r="FC5" s="29" t="str">
        <f>IFERROR(__xludf.DUMMYFUNCTION("""COMPUTED_VALUE"""),"IgnorePropertyChangeEvents")</f>
        <v>IgnorePropertyChangeEvents</v>
      </c>
      <c r="FD5" s="29" t="str">
        <f>IFERROR(__xludf.DUMMYFUNCTION("""COMPUTED_VALUE"""),"ITM/OTM")</f>
        <v>ITM/OTM</v>
      </c>
      <c r="FE5" s="29" t="str">
        <f>IFERROR(__xludf.DUMMYFUNCTION("""COMPUTED_VALUE"""),"Days to Expiry")</f>
        <v>Days to Expiry</v>
      </c>
      <c r="FF5" s="29" t="str">
        <f>IFERROR(__xludf.DUMMYFUNCTION("""COMPUTED_VALUE"""),"% of ITM/OTM")</f>
        <v>% of ITM/OTM</v>
      </c>
      <c r="FG5" s="29" t="str">
        <f>IFERROR(__xludf.DUMMYFUNCTION("""COMPUTED_VALUE"""),"Intrinsic value")</f>
        <v>Intrinsic value</v>
      </c>
      <c r="FH5" s="29" t="str">
        <f>IFERROR(__xludf.DUMMYFUNCTION("""COMPUTED_VALUE"""),"Gain/Loss if Ex./Assign")</f>
        <v>Gain/Loss if Ex./Assign</v>
      </c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</row>
    <row r="6" ht="15.75" customHeight="1">
      <c r="A6" s="35"/>
      <c r="B6" s="49"/>
      <c r="C6" s="46" t="s">
        <v>65</v>
      </c>
      <c r="D6" s="46"/>
      <c r="E6" s="46" t="s">
        <v>65</v>
      </c>
      <c r="F6" s="46" t="s">
        <v>65</v>
      </c>
      <c r="G6" s="46"/>
      <c r="H6" s="46" t="s">
        <v>65</v>
      </c>
      <c r="I6" s="62">
        <v>6000.0</v>
      </c>
      <c r="J6" s="62">
        <v>-3333.33</v>
      </c>
      <c r="K6" s="62">
        <v>-1194000.0</v>
      </c>
      <c r="L6" s="62">
        <v>1206000.0</v>
      </c>
      <c r="M6" s="62">
        <v>1194000.0</v>
      </c>
      <c r="N6" s="62">
        <v>-200000.0</v>
      </c>
      <c r="O6" s="46"/>
      <c r="P6" s="46"/>
      <c r="Q6" s="62">
        <v>-194100.0</v>
      </c>
      <c r="R6" s="46" t="s">
        <v>65</v>
      </c>
      <c r="S6" s="46" t="s">
        <v>33</v>
      </c>
      <c r="T6" s="46" t="s">
        <v>65</v>
      </c>
      <c r="U6" s="46" t="s">
        <v>35</v>
      </c>
      <c r="V6" s="46" t="s">
        <v>65</v>
      </c>
      <c r="W6" s="46" t="s">
        <v>37</v>
      </c>
      <c r="X6" s="46"/>
      <c r="Y6" s="47">
        <v>1.0</v>
      </c>
      <c r="Z6" s="46"/>
      <c r="AA6" s="46"/>
      <c r="AB6" s="47">
        <v>0.0</v>
      </c>
      <c r="AC6" s="47">
        <v>0.0</v>
      </c>
      <c r="AD6" s="62">
        <v>-1194000.0</v>
      </c>
      <c r="AE6" s="62">
        <v>-1194000.0</v>
      </c>
      <c r="AF6" s="62">
        <v>-19900.0</v>
      </c>
      <c r="AG6" s="62">
        <v>-1194000.0</v>
      </c>
      <c r="AH6" s="62">
        <v>-1194000.0</v>
      </c>
      <c r="AI6" s="62">
        <v>-1194000.0</v>
      </c>
      <c r="AJ6" s="62">
        <v>61546.39</v>
      </c>
      <c r="AK6" s="62">
        <v>-200000.0</v>
      </c>
      <c r="AL6" s="46"/>
      <c r="AM6" s="47">
        <v>1.0</v>
      </c>
      <c r="AN6" s="46" t="s">
        <v>65</v>
      </c>
      <c r="AO6" s="46"/>
      <c r="AP6" s="46" t="s">
        <v>31</v>
      </c>
      <c r="AQ6" s="46" t="s">
        <v>19</v>
      </c>
      <c r="AR6" s="47">
        <v>60.0</v>
      </c>
      <c r="AS6" s="47"/>
      <c r="AT6" s="46" t="s">
        <v>38</v>
      </c>
      <c r="AU6" s="46" t="s">
        <v>39</v>
      </c>
      <c r="AV6" s="47">
        <v>1.0</v>
      </c>
      <c r="AW6" s="62">
        <v>-194100.0</v>
      </c>
      <c r="AX6" s="47">
        <v>0.0</v>
      </c>
      <c r="AY6" s="47">
        <v>0.0</v>
      </c>
      <c r="AZ6" s="62">
        <v>6000.0</v>
      </c>
      <c r="BA6" s="62">
        <v>-99.95</v>
      </c>
      <c r="BB6" s="50"/>
      <c r="BC6" s="47">
        <v>1.0</v>
      </c>
      <c r="BD6" s="62">
        <v>-200000.0</v>
      </c>
      <c r="BE6" s="46" t="s">
        <v>65</v>
      </c>
      <c r="BF6" s="46" t="s">
        <v>41</v>
      </c>
      <c r="BG6" s="46"/>
      <c r="BH6" s="46" t="s">
        <v>41</v>
      </c>
      <c r="BI6" s="46" t="s">
        <v>41</v>
      </c>
      <c r="BJ6" s="47">
        <v>0.0</v>
      </c>
      <c r="BK6" s="47"/>
      <c r="BL6" s="47">
        <v>0.0</v>
      </c>
      <c r="BM6" s="46"/>
      <c r="BN6" s="50"/>
      <c r="BO6" s="62">
        <v>-200000.0</v>
      </c>
      <c r="BP6" s="47">
        <v>0.0</v>
      </c>
      <c r="BQ6" s="46"/>
      <c r="BR6" s="46"/>
      <c r="BS6" s="47">
        <v>0.0</v>
      </c>
      <c r="BT6" s="47">
        <v>0.0</v>
      </c>
      <c r="BU6" s="46" t="s">
        <v>65</v>
      </c>
      <c r="BV6" s="50"/>
      <c r="BW6" s="46"/>
      <c r="BX6" s="62">
        <v>1206000.0</v>
      </c>
      <c r="BY6" s="62">
        <v>6000.0</v>
      </c>
      <c r="BZ6" s="46"/>
      <c r="CA6" s="46"/>
      <c r="CB6" s="46"/>
      <c r="CC6" s="46"/>
      <c r="CD6" s="62">
        <v>-200000.0</v>
      </c>
      <c r="CE6" s="47">
        <v>0.0</v>
      </c>
      <c r="CF6" s="47">
        <v>0.0</v>
      </c>
      <c r="CG6" s="62">
        <v>-194100.0</v>
      </c>
      <c r="CH6" s="62">
        <v>-97.0</v>
      </c>
      <c r="CI6" s="62">
        <v>1200000.0</v>
      </c>
      <c r="CJ6" s="47">
        <v>0.0</v>
      </c>
      <c r="CK6" s="46" t="b">
        <v>0</v>
      </c>
      <c r="CL6" s="46"/>
      <c r="CM6" s="46"/>
      <c r="CN6" s="46"/>
      <c r="CO6" s="46"/>
      <c r="CP6" s="46" t="s">
        <v>65</v>
      </c>
      <c r="CQ6" s="46"/>
      <c r="CR6" s="63"/>
      <c r="CS6" s="46"/>
      <c r="CT6" s="46"/>
      <c r="CU6" s="46"/>
      <c r="CV6" s="46"/>
      <c r="CW6" s="46"/>
      <c r="CX6" s="46"/>
      <c r="CY6" s="46"/>
      <c r="CZ6" s="46"/>
      <c r="DA6" s="62"/>
      <c r="DB6" s="62"/>
      <c r="DC6" s="46"/>
      <c r="DD6" s="62"/>
      <c r="DE6" s="46"/>
      <c r="DF6" s="62"/>
      <c r="DG6" s="47"/>
      <c r="DH6" s="47"/>
      <c r="DI6" s="47"/>
      <c r="DJ6" s="46"/>
      <c r="DK6" s="62"/>
      <c r="DL6" s="62"/>
      <c r="DM6" s="47"/>
      <c r="DN6" s="47"/>
      <c r="DO6" s="46"/>
      <c r="DU6" s="46" t="s">
        <v>65</v>
      </c>
      <c r="DV6" s="46" t="s">
        <v>41</v>
      </c>
      <c r="DW6" s="46" t="s">
        <v>48</v>
      </c>
      <c r="DX6" s="46" t="s">
        <v>41</v>
      </c>
      <c r="DY6" s="46" t="s">
        <v>41</v>
      </c>
      <c r="DZ6" s="46" t="s">
        <v>41</v>
      </c>
      <c r="EA6" s="46" t="s">
        <v>41</v>
      </c>
      <c r="EB6" s="46" t="s">
        <v>41</v>
      </c>
      <c r="EC6" s="46" t="s">
        <v>41</v>
      </c>
      <c r="ED6" s="46" t="s">
        <v>41</v>
      </c>
      <c r="EE6" s="46"/>
      <c r="EF6" s="46" t="s">
        <v>49</v>
      </c>
      <c r="EG6" s="46" t="s">
        <v>41</v>
      </c>
      <c r="EH6" s="46" t="s">
        <v>41</v>
      </c>
      <c r="EI6" s="46" t="s">
        <v>37</v>
      </c>
      <c r="EJ6" s="46" t="s">
        <v>49</v>
      </c>
      <c r="EK6" s="47">
        <v>0.0</v>
      </c>
      <c r="EL6" s="47">
        <v>0.0</v>
      </c>
      <c r="EM6" s="47">
        <v>0.0</v>
      </c>
      <c r="EN6" s="47">
        <v>0.0</v>
      </c>
      <c r="EO6" s="47">
        <v>0.0</v>
      </c>
      <c r="EP6" s="47">
        <v>0.0</v>
      </c>
      <c r="EQ6" s="46" t="s">
        <v>47</v>
      </c>
      <c r="ER6" s="62">
        <v>1194000.0</v>
      </c>
      <c r="ES6" s="62">
        <v>1194000.0</v>
      </c>
      <c r="ET6" s="62"/>
      <c r="EU6" s="62"/>
      <c r="EV6" s="47">
        <v>0.0</v>
      </c>
      <c r="EW6" s="62">
        <v>1194000.0</v>
      </c>
      <c r="EX6" s="62">
        <v>-194000.0</v>
      </c>
      <c r="EY6" s="47"/>
      <c r="EZ6" s="47">
        <v>0.0</v>
      </c>
      <c r="FA6" s="46" t="s">
        <v>65</v>
      </c>
      <c r="FB6" s="62">
        <v>-194000.0</v>
      </c>
      <c r="FC6" s="46" t="b">
        <v>0</v>
      </c>
      <c r="FD6" s="46" t="s">
        <v>65</v>
      </c>
      <c r="FE6" s="47">
        <v>0.0</v>
      </c>
      <c r="FF6" s="46"/>
      <c r="FH6" s="62">
        <v>600000.0</v>
      </c>
      <c r="FI6" s="54"/>
      <c r="FO6" s="35"/>
      <c r="FP6" s="35"/>
      <c r="FQ6" s="35"/>
      <c r="FR6" s="35"/>
      <c r="FS6" s="35"/>
      <c r="FT6" s="35"/>
      <c r="FU6" s="35"/>
      <c r="FV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5"/>
      <c r="B8" s="34"/>
      <c r="C8" s="34"/>
      <c r="D8" s="34"/>
      <c r="E8" s="34"/>
      <c r="F8" s="34"/>
      <c r="G8" s="34"/>
      <c r="H8" s="34"/>
      <c r="I8" s="65"/>
      <c r="J8" s="66"/>
      <c r="K8" s="65"/>
      <c r="L8" s="65"/>
      <c r="M8" s="65"/>
      <c r="N8" s="66"/>
      <c r="O8" s="34"/>
      <c r="P8" s="34"/>
      <c r="Q8" s="65"/>
      <c r="R8" s="34"/>
      <c r="S8" s="34"/>
      <c r="T8" s="35"/>
      <c r="U8" s="35"/>
      <c r="V8" s="35"/>
      <c r="W8" s="35"/>
      <c r="X8" s="35"/>
      <c r="Y8" s="54"/>
      <c r="Z8" s="35"/>
      <c r="AA8" s="35"/>
      <c r="AB8" s="54"/>
      <c r="AC8" s="54"/>
      <c r="AD8" s="67"/>
      <c r="AE8" s="67"/>
      <c r="AF8" s="54"/>
      <c r="AG8" s="67"/>
      <c r="AH8" s="67"/>
      <c r="AI8" s="67"/>
      <c r="AJ8" s="67"/>
      <c r="AK8" s="54"/>
      <c r="AL8" s="35"/>
      <c r="AM8" s="54"/>
      <c r="AN8" s="35"/>
      <c r="AO8" s="35"/>
      <c r="AP8" s="35"/>
      <c r="AQ8" s="35"/>
      <c r="AR8" s="54"/>
      <c r="AS8" s="35"/>
      <c r="AT8" s="35"/>
      <c r="AU8" s="35"/>
      <c r="AV8" s="54"/>
      <c r="AW8" s="67"/>
      <c r="AX8" s="54"/>
      <c r="AY8" s="54"/>
      <c r="AZ8" s="67"/>
      <c r="BA8" s="67"/>
      <c r="BB8" s="56"/>
      <c r="BC8" s="54"/>
      <c r="BD8" s="54"/>
      <c r="BE8" s="35"/>
      <c r="BF8" s="35"/>
      <c r="BG8" s="35"/>
      <c r="BH8" s="35"/>
      <c r="BI8" s="35"/>
      <c r="BJ8" s="54"/>
      <c r="BK8" s="54"/>
      <c r="BL8" s="54"/>
      <c r="BM8" s="35"/>
      <c r="BN8" s="56"/>
      <c r="BO8" s="54"/>
      <c r="BP8" s="54"/>
      <c r="BQ8" s="35"/>
      <c r="BR8" s="35"/>
      <c r="BS8" s="54"/>
      <c r="BT8" s="54"/>
      <c r="BU8" s="35"/>
      <c r="BV8" s="56"/>
      <c r="BW8" s="35"/>
      <c r="BX8" s="67"/>
      <c r="BY8" s="67"/>
      <c r="BZ8" s="35"/>
      <c r="CA8" s="35"/>
      <c r="CB8" s="35"/>
      <c r="CC8" s="35"/>
      <c r="CD8" s="54"/>
      <c r="CE8" s="54"/>
      <c r="CF8" s="54"/>
      <c r="CG8" s="67"/>
      <c r="CH8" s="67"/>
      <c r="CI8" s="67"/>
      <c r="CJ8" s="54"/>
      <c r="CK8" s="58"/>
      <c r="CL8" s="35"/>
      <c r="CM8" s="35"/>
      <c r="CN8" s="35"/>
      <c r="CO8" s="35"/>
      <c r="CP8" s="35"/>
      <c r="CQ8" s="35"/>
      <c r="CR8" s="57"/>
      <c r="CS8" s="35"/>
      <c r="CT8" s="35"/>
      <c r="CU8" s="35"/>
      <c r="CV8" s="35"/>
      <c r="CW8" s="35"/>
      <c r="CX8" s="35"/>
      <c r="CY8" s="35"/>
      <c r="CZ8" s="35"/>
      <c r="DA8" s="67"/>
      <c r="DB8" s="54"/>
      <c r="DC8" s="35"/>
      <c r="DD8" s="54"/>
      <c r="DE8" s="54"/>
      <c r="DF8" s="54"/>
      <c r="DG8" s="54"/>
      <c r="DH8" s="54"/>
      <c r="DI8" s="54"/>
      <c r="DJ8" s="35"/>
      <c r="DK8" s="67"/>
      <c r="DL8" s="67"/>
      <c r="DM8" s="54"/>
      <c r="DN8" s="54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54"/>
      <c r="EL8" s="54"/>
      <c r="EM8" s="54"/>
      <c r="EN8" s="54"/>
      <c r="EO8" s="54"/>
      <c r="EP8" s="54"/>
      <c r="EQ8" s="35"/>
      <c r="ER8" s="67"/>
      <c r="ES8" s="67"/>
      <c r="ET8" s="54"/>
      <c r="EU8" s="67"/>
      <c r="EV8" s="54"/>
      <c r="EW8" s="67"/>
      <c r="EX8" s="67"/>
      <c r="EY8" s="54"/>
      <c r="EZ8" s="54"/>
      <c r="FA8" s="35"/>
      <c r="FB8" s="67"/>
      <c r="FC8" s="58"/>
      <c r="FD8" s="35"/>
      <c r="FE8" s="54"/>
      <c r="FF8" s="54"/>
      <c r="FG8" s="54"/>
      <c r="FH8" s="54"/>
      <c r="FI8" s="54"/>
      <c r="FJ8" s="54"/>
      <c r="FK8" s="54"/>
      <c r="FL8" s="54"/>
      <c r="FM8" s="35"/>
      <c r="FN8" s="35"/>
      <c r="FO8" s="35"/>
      <c r="FP8" s="35"/>
      <c r="FQ8" s="35"/>
      <c r="FR8" s="35"/>
      <c r="FS8" s="35"/>
      <c r="FT8" s="35"/>
      <c r="FU8" s="35"/>
      <c r="FV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CheckSummaryRowsPM!$4:$4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