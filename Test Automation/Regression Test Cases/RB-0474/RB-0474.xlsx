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CheckPortfolioManagement" sheetId="12" r:id="rId14"/>
    <sheet state="visible" name="ClosePositionFromPM" sheetId="13" r:id="rId15"/>
    <sheet state="visible" name="CustomOrderTT1" sheetId="14" r:id="rId16"/>
    <sheet state="visible" name="VerifyGridData1" sheetId="15" r:id="rId17"/>
    <sheet state="visible" name="CheckPortfolioManagement1" sheetId="16" r:id="rId18"/>
  </sheets>
  <definedNames/>
  <calcPr/>
</workbook>
</file>

<file path=xl/sharedStrings.xml><?xml version="1.0" encoding="utf-8"?>
<sst xmlns="http://schemas.openxmlformats.org/spreadsheetml/2006/main" count="190" uniqueCount="48">
  <si>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</si>
  <si>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</si>
  <si>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</si>
  <si>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</si>
  <si>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</si>
  <si>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</si>
  <si>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</si>
  <si>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</si>
  <si>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</si>
  <si>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</si>
  <si>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</si>
  <si>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</si>
  <si>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</si>
  <si>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</si>
  <si>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</si>
  <si>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</si>
  <si>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SAP</t>
  </si>
  <si>
    <t>DoneAway</t>
  </si>
  <si>
    <t>Buy</t>
  </si>
  <si>
    <t>AAPL</t>
  </si>
  <si>
    <t>KO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</si>
  <si>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</si>
  <si>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</si>
  <si>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</si>
  <si>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</si>
  <si>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</si>
  <si>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</si>
  <si>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</si>
  <si>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</si>
  <si>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Previous Day's Positions</t>
  </si>
  <si>
    <t>AddCash</t>
  </si>
  <si>
    <t>Impact NAV</t>
  </si>
  <si>
    <t>None</t>
  </si>
  <si>
    <t>RunRebalance</t>
  </si>
  <si>
    <t>Nearest Round Off</t>
  </si>
  <si>
    <t>VerifyGridData</t>
  </si>
  <si>
    <t>Equity</t>
  </si>
  <si>
    <t>Long</t>
  </si>
  <si>
    <t>Small Cap</t>
  </si>
  <si>
    <t>Consumer</t>
  </si>
  <si>
    <t>Undefined</t>
  </si>
  <si>
    <t>Accruals</t>
  </si>
  <si>
    <t>Cash</t>
  </si>
  <si>
    <t>PortfolioManagement</t>
  </si>
  <si>
    <t>CheckPortfolioManagement</t>
  </si>
  <si>
    <t>NewMF</t>
  </si>
  <si>
    <t>ClosePositionFromPM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</si>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</sst>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3">
        <v>5.0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6">
        <f t="shared" ref="Z6:Z8" si="1">today()-1</f>
        <v>45868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19</v>
      </c>
      <c r="C7" s="32">
        <v>100.0</v>
      </c>
      <c r="D7" s="32">
        <v>10.0</v>
      </c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6">
        <f t="shared" si="1"/>
        <v>45868</v>
      </c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4" t="s">
        <v>20</v>
      </c>
      <c r="C8" s="32">
        <v>100.0</v>
      </c>
      <c r="D8" s="32">
        <v>20.0</v>
      </c>
      <c r="E8" s="34" t="s">
        <v>17</v>
      </c>
      <c r="F8" s="35"/>
      <c r="G8" s="35"/>
      <c r="H8" s="35"/>
      <c r="I8" s="35"/>
      <c r="J8" s="34" t="s">
        <v>18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6">
        <f t="shared" si="1"/>
        <v>45868</v>
      </c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32">
        <v>5.0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19</v>
      </c>
      <c r="C7" s="3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20</v>
      </c>
      <c r="C8" s="32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f t="shared" ref="B6:C6" si="1">today()-1</f>
        <v>45868</v>
      </c>
      <c r="C6" s="38">
        <f t="shared" si="1"/>
        <v>45868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/>
      <c r="C7" s="35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34" t="s">
        <v>26</v>
      </c>
      <c r="D6" s="33">
        <v>5000.0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39" t="s">
        <v>29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>
        <v>5000.0</v>
      </c>
      <c r="C6" s="35" t="s">
        <v>31</v>
      </c>
      <c r="D6" s="31" t="s">
        <v>32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 t="str">
        <f>IFERROR(__xludf.DUMMYFUNCTION("""COMPUTED_VALUE"""),"Tolerance %")</f>
        <v>Tolerance %</v>
      </c>
      <c r="AC5" s="29" t="str">
        <f>IFERROR(__xludf.DUMMYFUNCTION("""COMPUTED_VALUE"""),"Model %")</f>
        <v>Model %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25</v>
      </c>
      <c r="D6" s="31" t="s">
        <v>19</v>
      </c>
      <c r="E6" s="34" t="s">
        <v>36</v>
      </c>
      <c r="F6" s="34" t="s">
        <v>37</v>
      </c>
      <c r="G6" s="32">
        <v>0.0</v>
      </c>
      <c r="H6" s="32">
        <v>0.0</v>
      </c>
      <c r="I6" s="32">
        <v>1.0</v>
      </c>
      <c r="J6" s="32">
        <v>0.0</v>
      </c>
      <c r="K6" s="32">
        <v>100.0</v>
      </c>
      <c r="L6" s="32">
        <v>0.0</v>
      </c>
      <c r="M6" s="32">
        <v>0.0</v>
      </c>
      <c r="N6" s="32">
        <v>0.0</v>
      </c>
      <c r="O6" s="32">
        <v>200.0</v>
      </c>
      <c r="P6" s="40">
        <v>0.0</v>
      </c>
      <c r="Q6" s="40">
        <v>0.0</v>
      </c>
      <c r="R6" s="40">
        <v>100.0</v>
      </c>
      <c r="S6" s="40">
        <v>0.0</v>
      </c>
      <c r="T6" s="35" t="s">
        <v>38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4" t="s">
        <v>25</v>
      </c>
      <c r="D7" s="34" t="s">
        <v>20</v>
      </c>
      <c r="E7" s="34" t="s">
        <v>36</v>
      </c>
      <c r="F7" s="34" t="s">
        <v>37</v>
      </c>
      <c r="G7" s="32">
        <v>0.0</v>
      </c>
      <c r="H7" s="32">
        <v>0.0</v>
      </c>
      <c r="I7" s="32">
        <v>1.0</v>
      </c>
      <c r="J7" s="32">
        <v>0.0</v>
      </c>
      <c r="K7" s="32">
        <v>100.0</v>
      </c>
      <c r="L7" s="32">
        <v>0.0</v>
      </c>
      <c r="M7" s="32">
        <v>0.0</v>
      </c>
      <c r="N7" s="32">
        <v>0.0</v>
      </c>
      <c r="O7" s="32">
        <v>200.0</v>
      </c>
      <c r="P7" s="40">
        <v>0.0</v>
      </c>
      <c r="Q7" s="40">
        <v>0.0</v>
      </c>
      <c r="R7" s="40">
        <v>100.0</v>
      </c>
      <c r="S7" s="40">
        <v>0.0</v>
      </c>
      <c r="T7" s="35" t="s">
        <v>39</v>
      </c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4" t="s">
        <v>25</v>
      </c>
      <c r="D8" s="34" t="s">
        <v>16</v>
      </c>
      <c r="E8" s="34" t="s">
        <v>36</v>
      </c>
      <c r="F8" s="34" t="s">
        <v>37</v>
      </c>
      <c r="G8" s="32">
        <v>0.0</v>
      </c>
      <c r="H8" s="32">
        <v>0.0</v>
      </c>
      <c r="I8" s="32">
        <v>1.0</v>
      </c>
      <c r="J8" s="32">
        <v>0.0</v>
      </c>
      <c r="K8" s="32">
        <v>100.0</v>
      </c>
      <c r="L8" s="32">
        <v>0.0</v>
      </c>
      <c r="M8" s="32">
        <v>0.0</v>
      </c>
      <c r="N8" s="32">
        <v>0.0</v>
      </c>
      <c r="O8" s="32">
        <v>200.0</v>
      </c>
      <c r="P8" s="40">
        <v>0.0</v>
      </c>
      <c r="Q8" s="40">
        <v>0.0</v>
      </c>
      <c r="R8" s="40">
        <v>100.0</v>
      </c>
      <c r="S8" s="40">
        <v>0.0</v>
      </c>
      <c r="T8" s="35" t="s">
        <v>40</v>
      </c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4" t="s">
        <v>25</v>
      </c>
      <c r="D9" s="34" t="s">
        <v>41</v>
      </c>
      <c r="E9" s="34" t="s">
        <v>41</v>
      </c>
      <c r="F9" s="34" t="s">
        <v>37</v>
      </c>
      <c r="G9" s="32">
        <v>1.0</v>
      </c>
      <c r="H9" s="32">
        <v>1.0</v>
      </c>
      <c r="I9" s="32">
        <v>1.0</v>
      </c>
      <c r="J9" s="32">
        <v>0.0</v>
      </c>
      <c r="K9" s="32">
        <v>0.0</v>
      </c>
      <c r="L9" s="32">
        <v>0.0</v>
      </c>
      <c r="M9" s="32">
        <v>0.0</v>
      </c>
      <c r="N9" s="32">
        <v>0.0</v>
      </c>
      <c r="O9" s="32">
        <v>0.0</v>
      </c>
      <c r="P9" s="40">
        <v>0.0</v>
      </c>
      <c r="Q9" s="40">
        <v>0.0</v>
      </c>
      <c r="R9" s="40">
        <v>0.0</v>
      </c>
      <c r="S9" s="40">
        <v>0.0</v>
      </c>
      <c r="T9" s="35" t="s">
        <v>41</v>
      </c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4" t="s">
        <v>25</v>
      </c>
      <c r="D10" s="34" t="s">
        <v>42</v>
      </c>
      <c r="E10" s="34" t="s">
        <v>42</v>
      </c>
      <c r="F10" s="34" t="s">
        <v>37</v>
      </c>
      <c r="G10" s="32">
        <v>1.0</v>
      </c>
      <c r="H10" s="32">
        <v>1.0</v>
      </c>
      <c r="I10" s="32">
        <v>1.0</v>
      </c>
      <c r="J10" s="32">
        <v>100.0</v>
      </c>
      <c r="K10" s="32">
        <v>5000.0</v>
      </c>
      <c r="L10" s="32">
        <v>5000.0</v>
      </c>
      <c r="M10" s="32">
        <v>5000.0</v>
      </c>
      <c r="N10" s="32">
        <v>100.0</v>
      </c>
      <c r="O10" s="32">
        <v>10000.0</v>
      </c>
      <c r="P10" s="40">
        <v>10000.0</v>
      </c>
      <c r="Q10" s="40">
        <v>10000.0</v>
      </c>
      <c r="R10" s="40">
        <v>5000.0</v>
      </c>
      <c r="S10" s="40">
        <v>5000.0</v>
      </c>
      <c r="T10" s="35" t="s">
        <v>42</v>
      </c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31" t="s">
        <v>19</v>
      </c>
      <c r="D6" s="32">
        <v>100.0</v>
      </c>
      <c r="E6" s="12" t="s">
        <v>25</v>
      </c>
      <c r="F6" s="12" t="s">
        <v>45</v>
      </c>
      <c r="G6" s="8"/>
      <c r="H6" s="8"/>
      <c r="I6" s="8"/>
      <c r="J6" s="8"/>
      <c r="K6" s="8"/>
      <c r="L6" s="8"/>
      <c r="M6" s="8"/>
      <c r="N6" s="8"/>
      <c r="O6" s="8"/>
      <c r="AN6" s="9" t="s">
        <v>18</v>
      </c>
    </row>
    <row r="7" ht="15.75" customHeight="1">
      <c r="A7" s="8"/>
      <c r="B7" s="8"/>
      <c r="C7" s="34" t="s">
        <v>20</v>
      </c>
      <c r="D7" s="32">
        <v>100.0</v>
      </c>
      <c r="E7" s="12" t="s">
        <v>25</v>
      </c>
      <c r="F7" s="12" t="s">
        <v>45</v>
      </c>
      <c r="G7" s="8"/>
      <c r="H7" s="8"/>
      <c r="I7" s="8"/>
      <c r="J7" s="8"/>
      <c r="K7" s="8"/>
      <c r="L7" s="8"/>
      <c r="M7" s="8"/>
      <c r="N7" s="8"/>
      <c r="O7" s="8"/>
      <c r="AN7" s="9" t="s">
        <v>18</v>
      </c>
    </row>
    <row r="8" ht="15.75" customHeight="1">
      <c r="A8" s="8"/>
      <c r="B8" s="8"/>
      <c r="C8" s="34" t="s">
        <v>16</v>
      </c>
      <c r="D8" s="32">
        <v>100.0</v>
      </c>
      <c r="E8" s="12" t="s">
        <v>25</v>
      </c>
      <c r="F8" s="12" t="s">
        <v>45</v>
      </c>
      <c r="G8" s="8"/>
      <c r="H8" s="8"/>
      <c r="I8" s="8"/>
      <c r="J8" s="8"/>
      <c r="K8" s="8"/>
      <c r="L8" s="8"/>
      <c r="M8" s="8"/>
      <c r="N8" s="8"/>
      <c r="O8" s="8"/>
      <c r="AN8" s="9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IFERROR(__xludf.DUMMYFUNCTION("""COMPUTED_VALUE"""),"Order Side")</f>
        <v>Order Side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16</v>
      </c>
      <c r="D6" s="12">
        <v>100.0</v>
      </c>
      <c r="E6" s="12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ClosePositionFromPM!$4:$4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3">
        <v>5.0</v>
      </c>
      <c r="E6" s="34" t="s">
        <v>17</v>
      </c>
      <c r="F6" s="35"/>
      <c r="G6" s="35"/>
      <c r="H6" s="35"/>
      <c r="I6" s="35"/>
      <c r="J6" s="41" t="s">
        <v>47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6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 t="str">
        <f>IFERROR(__xludf.DUMMYFUNCTION("""COMPUTED_VALUE"""),"Tolerance %")</f>
        <v>Tolerance %</v>
      </c>
      <c r="AC5" s="29" t="str">
        <f>IFERROR(__xludf.DUMMYFUNCTION("""COMPUTED_VALUE"""),"Model %")</f>
        <v>Model %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25</v>
      </c>
      <c r="D6" s="31" t="s">
        <v>19</v>
      </c>
      <c r="E6" s="34" t="s">
        <v>36</v>
      </c>
      <c r="F6" s="34" t="s">
        <v>37</v>
      </c>
      <c r="G6" s="32">
        <v>0.0</v>
      </c>
      <c r="H6" s="32">
        <v>0.0</v>
      </c>
      <c r="I6" s="32">
        <v>1.0</v>
      </c>
      <c r="J6" s="32">
        <v>0.0</v>
      </c>
      <c r="K6" s="32">
        <v>100.0</v>
      </c>
      <c r="L6" s="32">
        <v>0.0</v>
      </c>
      <c r="M6" s="32">
        <v>0.0</v>
      </c>
      <c r="N6" s="32">
        <v>0.0</v>
      </c>
      <c r="O6" s="32">
        <v>200.0</v>
      </c>
      <c r="P6" s="40">
        <v>0.0</v>
      </c>
      <c r="Q6" s="40">
        <v>0.0</v>
      </c>
      <c r="R6" s="40">
        <v>100.0</v>
      </c>
      <c r="S6" s="40">
        <v>0.0</v>
      </c>
      <c r="T6" s="35" t="s">
        <v>38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4" t="s">
        <v>25</v>
      </c>
      <c r="D7" s="34" t="s">
        <v>20</v>
      </c>
      <c r="E7" s="34" t="s">
        <v>36</v>
      </c>
      <c r="F7" s="34" t="s">
        <v>37</v>
      </c>
      <c r="G7" s="32">
        <v>0.0</v>
      </c>
      <c r="H7" s="32">
        <v>0.0</v>
      </c>
      <c r="I7" s="32">
        <v>1.0</v>
      </c>
      <c r="J7" s="32">
        <v>0.0</v>
      </c>
      <c r="K7" s="32">
        <v>100.0</v>
      </c>
      <c r="L7" s="32">
        <v>0.0</v>
      </c>
      <c r="M7" s="32">
        <v>0.0</v>
      </c>
      <c r="N7" s="32">
        <v>0.0</v>
      </c>
      <c r="O7" s="32">
        <v>200.0</v>
      </c>
      <c r="P7" s="40">
        <v>0.0</v>
      </c>
      <c r="Q7" s="40">
        <v>0.0</v>
      </c>
      <c r="R7" s="40">
        <v>100.0</v>
      </c>
      <c r="S7" s="40">
        <v>0.0</v>
      </c>
      <c r="T7" s="35" t="s">
        <v>39</v>
      </c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12" t="s">
        <v>16</v>
      </c>
      <c r="D6" s="12">
        <v>100.0</v>
      </c>
      <c r="E6" s="12" t="s">
        <v>25</v>
      </c>
      <c r="F6" s="12" t="s">
        <v>45</v>
      </c>
      <c r="G6" s="8"/>
      <c r="H6" s="8"/>
      <c r="I6" s="8"/>
      <c r="J6" s="8"/>
      <c r="K6" s="8"/>
      <c r="L6" s="8"/>
      <c r="M6" s="8"/>
      <c r="N6" s="8"/>
      <c r="O6" s="8"/>
      <c r="AN6" s="9" t="s">
        <v>18</v>
      </c>
    </row>
    <row r="7" ht="15.75" customHeight="1">
      <c r="A7" s="8"/>
      <c r="B7" s="8"/>
      <c r="C7" s="12" t="s">
        <v>16</v>
      </c>
      <c r="D7" s="12">
        <v>-100.0</v>
      </c>
      <c r="E7" s="12" t="s">
        <v>25</v>
      </c>
      <c r="F7" s="12" t="s">
        <v>45</v>
      </c>
      <c r="G7" s="8"/>
      <c r="H7" s="8"/>
      <c r="I7" s="8"/>
      <c r="J7" s="8"/>
      <c r="K7" s="8"/>
      <c r="L7" s="8"/>
      <c r="M7" s="8"/>
      <c r="N7" s="8"/>
      <c r="O7" s="8"/>
      <c r="AN7" s="9" t="s">
        <v>47</v>
      </c>
    </row>
    <row r="8" ht="15.75" customHeight="1">
      <c r="A8" s="8"/>
      <c r="B8" s="8"/>
      <c r="C8" s="31" t="s">
        <v>19</v>
      </c>
      <c r="D8" s="32">
        <v>100.0</v>
      </c>
      <c r="E8" s="12" t="s">
        <v>25</v>
      </c>
      <c r="F8" s="12" t="s">
        <v>45</v>
      </c>
      <c r="G8" s="8"/>
      <c r="H8" s="8"/>
      <c r="I8" s="8"/>
      <c r="J8" s="8"/>
      <c r="K8" s="8"/>
      <c r="L8" s="8"/>
      <c r="M8" s="8"/>
      <c r="N8" s="8"/>
      <c r="O8" s="8"/>
      <c r="AN8" s="9" t="s">
        <v>18</v>
      </c>
    </row>
    <row r="9" ht="15.75" customHeight="1">
      <c r="A9" s="8"/>
      <c r="B9" s="8"/>
      <c r="C9" s="34" t="s">
        <v>20</v>
      </c>
      <c r="D9" s="32">
        <v>100.0</v>
      </c>
      <c r="E9" s="12" t="s">
        <v>25</v>
      </c>
      <c r="F9" s="12" t="s">
        <v>45</v>
      </c>
      <c r="G9" s="8"/>
      <c r="H9" s="8"/>
      <c r="I9" s="8"/>
      <c r="J9" s="8"/>
      <c r="K9" s="8"/>
      <c r="L9" s="8"/>
      <c r="M9" s="8"/>
      <c r="N9" s="8"/>
      <c r="O9" s="8"/>
      <c r="AN9" s="9" t="s">
        <v>18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