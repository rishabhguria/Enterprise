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60" windowHeight="10680" firstSheet="4" activeTab="8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PricingInput" sheetId="7" r:id="rId7"/>
    <sheet name="GetDayEndCash" sheetId="8" r:id="rId8"/>
    <sheet name="CheckPortfolioManagement" sheetId="9" r:id="rId9"/>
    <sheet name=" " sheetId="10" r:id="rId10"/>
  </sheets>
  <calcPr calcId="145621"/>
</workbook>
</file>

<file path=xl/calcChain.xml><?xml version="1.0" encoding="utf-8"?>
<calcChain xmlns="http://schemas.openxmlformats.org/spreadsheetml/2006/main">
  <c r="J2" i="10" l="1"/>
  <c r="J2" i="9"/>
  <c r="E6" i="8"/>
  <c r="D6" i="8"/>
  <c r="J2" i="8"/>
  <c r="J2" i="7"/>
  <c r="J2" i="6"/>
  <c r="C6" i="5"/>
  <c r="B6" i="5"/>
  <c r="J2" i="5"/>
  <c r="N7" i="4"/>
  <c r="N6" i="4"/>
  <c r="J2" i="4"/>
  <c r="DZ5" i="10"/>
  <c r="BN5" i="10"/>
  <c r="B5" i="10"/>
  <c r="CN4" i="10"/>
  <c r="AB4" i="10"/>
  <c r="DZ5" i="9"/>
  <c r="BN5" i="9"/>
  <c r="B5" i="9"/>
  <c r="CZ4" i="9"/>
  <c r="AN4" i="9"/>
  <c r="DY5" i="10"/>
  <c r="BM5" i="10"/>
  <c r="A5" i="10"/>
  <c r="CM4" i="10"/>
  <c r="AA4" i="10"/>
  <c r="DY5" i="9"/>
  <c r="BM5" i="9"/>
  <c r="A5" i="9"/>
  <c r="CY4" i="9"/>
  <c r="AM4" i="9"/>
  <c r="EV5" i="10"/>
  <c r="CQ5" i="10"/>
  <c r="AE5" i="10"/>
  <c r="DQ4" i="10"/>
  <c r="BE4" i="10"/>
  <c r="ES5" i="10"/>
  <c r="CG5" i="10"/>
  <c r="U5" i="10"/>
  <c r="DG4" i="10"/>
  <c r="AU4" i="10"/>
  <c r="ES5" i="9"/>
  <c r="CG5" i="9"/>
  <c r="U5" i="9"/>
  <c r="DS4" i="9"/>
  <c r="BG4" i="9"/>
  <c r="EU5" i="8"/>
  <c r="CI5" i="8"/>
  <c r="W5" i="8"/>
  <c r="DI4" i="8"/>
  <c r="AW4" i="8"/>
  <c r="EB5" i="10"/>
  <c r="BP5" i="10"/>
  <c r="D5" i="10"/>
  <c r="CP4" i="10"/>
  <c r="AD4" i="10"/>
  <c r="EB5" i="9"/>
  <c r="BP5" i="9"/>
  <c r="D5" i="9"/>
  <c r="DB4" i="9"/>
  <c r="AP4" i="9"/>
  <c r="ED5" i="8"/>
  <c r="BR5" i="8"/>
  <c r="F5" i="8"/>
  <c r="CR4" i="8"/>
  <c r="AF4" i="8"/>
  <c r="DR5" i="7"/>
  <c r="DS5" i="10"/>
  <c r="BG5" i="10"/>
  <c r="ES4" i="10"/>
  <c r="CG4" i="10"/>
  <c r="U4" i="10"/>
  <c r="DS5" i="9"/>
  <c r="BG5" i="9"/>
  <c r="FE4" i="9"/>
  <c r="CS4" i="9"/>
  <c r="AG4" i="9"/>
  <c r="P5" i="10"/>
  <c r="DG5" i="9"/>
  <c r="DD4" i="9"/>
  <c r="DH5" i="8"/>
  <c r="Z5" i="8"/>
  <c r="CP4" i="8"/>
  <c r="J4" i="8"/>
  <c r="CK5" i="7"/>
  <c r="Y5" i="7"/>
  <c r="DK4" i="7"/>
  <c r="AY4" i="7"/>
  <c r="EK5" i="6"/>
  <c r="BY5" i="6"/>
  <c r="M5" i="6"/>
  <c r="CY4" i="6"/>
  <c r="AM4" i="6"/>
  <c r="EF4" i="10"/>
  <c r="CI5" i="9"/>
  <c r="CF4" i="9"/>
  <c r="CU5" i="8"/>
  <c r="M5" i="8"/>
  <c r="CE4" i="8"/>
  <c r="EV5" i="7"/>
  <c r="CB5" i="7"/>
  <c r="P5" i="7"/>
  <c r="DB4" i="7"/>
  <c r="AP4" i="7"/>
  <c r="EB5" i="6"/>
  <c r="BP5" i="6"/>
  <c r="D5" i="6"/>
  <c r="CP4" i="6"/>
  <c r="AD4" i="6"/>
  <c r="BN4" i="10"/>
  <c r="V5" i="9"/>
  <c r="N4" i="9"/>
  <c r="BN5" i="8"/>
  <c r="ED4" i="8"/>
  <c r="AX4" i="8"/>
  <c r="DT5" i="7"/>
  <c r="BC5" i="7"/>
  <c r="EO4" i="7"/>
  <c r="CC4" i="7"/>
  <c r="Q4" i="7"/>
  <c r="CU5" i="6"/>
  <c r="DX4" i="10"/>
  <c r="BJ5" i="9"/>
  <c r="BB4" i="9"/>
  <c r="CS5" i="8"/>
  <c r="K5" i="8"/>
  <c r="CA4" i="8"/>
  <c r="ET5" i="7"/>
  <c r="BZ5" i="7"/>
  <c r="N5" i="7"/>
  <c r="CZ4" i="7"/>
  <c r="AN4" i="7"/>
  <c r="DZ5" i="6"/>
  <c r="BN5" i="6"/>
  <c r="B5" i="6"/>
  <c r="CN4" i="6"/>
  <c r="DB5" i="10"/>
  <c r="AP5" i="10"/>
  <c r="EB4" i="10"/>
  <c r="BP4" i="10"/>
  <c r="D4" i="10"/>
  <c r="DB5" i="9"/>
  <c r="AP5" i="9"/>
  <c r="EN4" i="9"/>
  <c r="CB4" i="9"/>
  <c r="P4" i="9"/>
  <c r="DA5" i="10"/>
  <c r="AO5" i="10"/>
  <c r="EA4" i="10"/>
  <c r="BO4" i="10"/>
  <c r="C4" i="10"/>
  <c r="DA5" i="9"/>
  <c r="AO5" i="9"/>
  <c r="EM4" i="9"/>
  <c r="CA4" i="9"/>
  <c r="O4" i="9"/>
  <c r="EE5" i="10"/>
  <c r="BS5" i="10"/>
  <c r="G5" i="10"/>
  <c r="CS4" i="10"/>
  <c r="AG4" i="10"/>
  <c r="DU5" i="10"/>
  <c r="BI5" i="10"/>
  <c r="EU4" i="10"/>
  <c r="CI4" i="10"/>
  <c r="W4" i="10"/>
  <c r="DU5" i="9"/>
  <c r="BI5" i="9"/>
  <c r="FG4" i="9"/>
  <c r="CU4" i="9"/>
  <c r="AI4" i="9"/>
  <c r="DW5" i="8"/>
  <c r="BK5" i="8"/>
  <c r="EW4" i="8"/>
  <c r="CK4" i="8"/>
  <c r="Y4" i="8"/>
  <c r="DD5" i="10"/>
  <c r="AR5" i="10"/>
  <c r="ED4" i="10"/>
  <c r="BR4" i="10"/>
  <c r="F4" i="10"/>
  <c r="DD5" i="9"/>
  <c r="AR5" i="9"/>
  <c r="EP4" i="9"/>
  <c r="CD4" i="9"/>
  <c r="R4" i="9"/>
  <c r="DF5" i="8"/>
  <c r="AT5" i="8"/>
  <c r="EF4" i="8"/>
  <c r="BT4" i="8"/>
  <c r="H4" i="8"/>
  <c r="BK5" i="9"/>
  <c r="CT5" i="10"/>
  <c r="AH5" i="10"/>
  <c r="DT4" i="10"/>
  <c r="BH4" i="10"/>
  <c r="FF5" i="9"/>
  <c r="CT5" i="9"/>
  <c r="AH5" i="9"/>
  <c r="EF4" i="9"/>
  <c r="BT4" i="9"/>
  <c r="H4" i="9"/>
  <c r="CS5" i="10"/>
  <c r="AG5" i="10"/>
  <c r="DS4" i="10"/>
  <c r="BG4" i="10"/>
  <c r="FE5" i="9"/>
  <c r="CS5" i="9"/>
  <c r="AG5" i="9"/>
  <c r="EE4" i="9"/>
  <c r="BS4" i="9"/>
  <c r="G4" i="9"/>
  <c r="DW5" i="10"/>
  <c r="BK5" i="10"/>
  <c r="EW4" i="10"/>
  <c r="CK4" i="10"/>
  <c r="Y4" i="10"/>
  <c r="DM5" i="10"/>
  <c r="BA5" i="10"/>
  <c r="EM4" i="10"/>
  <c r="CA4" i="10"/>
  <c r="O4" i="10"/>
  <c r="DM5" i="9"/>
  <c r="BA5" i="9"/>
  <c r="EY4" i="9"/>
  <c r="CM4" i="9"/>
  <c r="AA4" i="9"/>
  <c r="DO5" i="8"/>
  <c r="BC5" i="8"/>
  <c r="EO4" i="8"/>
  <c r="CC4" i="8"/>
  <c r="Q4" i="8"/>
  <c r="CV5" i="10"/>
  <c r="AJ5" i="10"/>
  <c r="DV4" i="10"/>
  <c r="BJ4" i="10"/>
  <c r="FH5" i="9"/>
  <c r="CV5" i="9"/>
  <c r="AJ5" i="9"/>
  <c r="EH4" i="9"/>
  <c r="BV4" i="9"/>
  <c r="J4" i="9"/>
  <c r="CX5" i="8"/>
  <c r="AL5" i="8"/>
  <c r="DX4" i="8"/>
  <c r="BL4" i="8"/>
  <c r="EX5" i="7"/>
  <c r="CL5" i="7"/>
  <c r="CM5" i="10"/>
  <c r="AA5" i="10"/>
  <c r="DM4" i="10"/>
  <c r="BA4" i="10"/>
  <c r="EY5" i="9"/>
  <c r="CM5" i="9"/>
  <c r="AA5" i="9"/>
  <c r="DY4" i="9"/>
  <c r="BM4" i="9"/>
  <c r="EN5" i="10"/>
  <c r="AP4" i="10"/>
  <c r="X5" i="9"/>
  <c r="U4" i="9"/>
  <c r="BP5" i="8"/>
  <c r="EH4" i="8"/>
  <c r="AZ4" i="8"/>
  <c r="DV5" i="7"/>
  <c r="BE5" i="7"/>
  <c r="EQ4" i="7"/>
  <c r="CE4" i="7"/>
  <c r="S4" i="7"/>
  <c r="DE5" i="6"/>
  <c r="AS5" i="6"/>
  <c r="EE4" i="6"/>
  <c r="BS4" i="6"/>
  <c r="DF5" i="10"/>
  <c r="H4" i="10"/>
  <c r="FJ4" i="9"/>
  <c r="EO5" i="8"/>
  <c r="BE5" i="8"/>
  <c r="DU4" i="8"/>
  <c r="AM4" i="8"/>
  <c r="DL5" i="7"/>
  <c r="AV5" i="7"/>
  <c r="EH4" i="7"/>
  <c r="BV4" i="7"/>
  <c r="J4" i="7"/>
  <c r="CV5" i="6"/>
  <c r="AJ5" i="6"/>
  <c r="DV4" i="6"/>
  <c r="BJ4" i="6"/>
  <c r="AN5" i="10"/>
  <c r="DW5" i="9"/>
  <c r="CW4" i="9"/>
  <c r="DD5" i="8"/>
  <c r="X5" i="8"/>
  <c r="CN4" i="8"/>
  <c r="F4" i="8"/>
  <c r="CI5" i="7"/>
  <c r="W5" i="7"/>
  <c r="DI4" i="7"/>
  <c r="AW4" i="7"/>
  <c r="EA5" i="6"/>
  <c r="CX5" i="10"/>
  <c r="EN5" i="9"/>
  <c r="EK4" i="9"/>
  <c r="EK5" i="8"/>
  <c r="BA5" i="8"/>
  <c r="DS4" i="8"/>
  <c r="AK4" i="8"/>
  <c r="DI5" i="7"/>
  <c r="AT5" i="7"/>
  <c r="EF4" i="7"/>
  <c r="BT4" i="7"/>
  <c r="H4" i="7"/>
  <c r="CT5" i="6"/>
  <c r="AH5" i="6"/>
  <c r="DT4" i="6"/>
  <c r="BH4" i="6"/>
  <c r="BL5" i="10"/>
  <c r="EX5" i="10"/>
  <c r="CL5" i="10"/>
  <c r="Z5" i="10"/>
  <c r="DL4" i="10"/>
  <c r="AZ4" i="10"/>
  <c r="EX5" i="9"/>
  <c r="CL5" i="9"/>
  <c r="Z5" i="9"/>
  <c r="DX4" i="9"/>
  <c r="BL4" i="9"/>
  <c r="EW5" i="10"/>
  <c r="CK5" i="10"/>
  <c r="Y5" i="10"/>
  <c r="DK4" i="10"/>
  <c r="AY4" i="10"/>
  <c r="EW5" i="9"/>
  <c r="CK5" i="9"/>
  <c r="Y5" i="9"/>
  <c r="DW4" i="9"/>
  <c r="BV5" i="10"/>
  <c r="CV4" i="10"/>
  <c r="EH5" i="9"/>
  <c r="J5" i="9"/>
  <c r="AV4" i="9"/>
  <c r="BU5" i="10"/>
  <c r="CU4" i="10"/>
  <c r="EG5" i="9"/>
  <c r="I5" i="9"/>
  <c r="BC4" i="9"/>
  <c r="EM5" i="10"/>
  <c r="AM5" i="10"/>
  <c r="CC4" i="10"/>
  <c r="EK5" i="10"/>
  <c r="AK5" i="10"/>
  <c r="CQ4" i="10"/>
  <c r="FA5" i="9"/>
  <c r="AS5" i="9"/>
  <c r="DK4" i="9"/>
  <c r="K4" i="9"/>
  <c r="BS5" i="8"/>
  <c r="DQ4" i="8"/>
  <c r="I4" i="8"/>
  <c r="BH5" i="10"/>
  <c r="DF4" i="10"/>
  <c r="N4" i="10"/>
  <c r="BX5" i="9"/>
  <c r="DZ4" i="9"/>
  <c r="AH4" i="9"/>
  <c r="CH5" i="8"/>
  <c r="EN4" i="8"/>
  <c r="AN4" i="8"/>
  <c r="CT5" i="7"/>
  <c r="BW5" i="10"/>
  <c r="EK4" i="10"/>
  <c r="BI4" i="10"/>
  <c r="EI5" i="9"/>
  <c r="AY5" i="9"/>
  <c r="EG4" i="9"/>
  <c r="AW4" i="9"/>
  <c r="EH4" i="10"/>
  <c r="AU5" i="9"/>
  <c r="EC5" i="8"/>
  <c r="P5" i="8"/>
  <c r="BJ4" i="8"/>
  <c r="DD5" i="7"/>
  <c r="Q5" i="7"/>
  <c r="CM4" i="7"/>
  <c r="C4" i="7"/>
  <c r="BQ5" i="6"/>
  <c r="EM4" i="6"/>
  <c r="BC4" i="6"/>
  <c r="CZ4" i="10"/>
  <c r="W5" i="9"/>
  <c r="DQ5" i="8"/>
  <c r="C5" i="8"/>
  <c r="AY4" i="8"/>
  <c r="CS5" i="7"/>
  <c r="H5" i="7"/>
  <c r="CD4" i="7"/>
  <c r="ER5" i="6"/>
  <c r="BH5" i="6"/>
  <c r="ED4" i="6"/>
  <c r="AT4" i="6"/>
  <c r="AH4" i="10"/>
  <c r="DT4" i="9"/>
  <c r="CJ5" i="8"/>
  <c r="DT4" i="8"/>
  <c r="R4" i="8"/>
  <c r="BS5" i="7"/>
  <c r="EG4" i="7"/>
  <c r="BE4" i="7"/>
  <c r="DK5" i="6"/>
  <c r="CR4" i="10"/>
  <c r="FH4" i="9"/>
  <c r="DM5" i="8"/>
  <c r="A5" i="8"/>
  <c r="AU4" i="8"/>
  <c r="CQ5" i="7"/>
  <c r="F5" i="7"/>
  <c r="CB4" i="7"/>
  <c r="EP5" i="6"/>
  <c r="BF5" i="6"/>
  <c r="EB4" i="6"/>
  <c r="AR4" i="6"/>
  <c r="DR4" i="10"/>
  <c r="CA5" i="9"/>
  <c r="BX4" i="9"/>
  <c r="DB5" i="8"/>
  <c r="T5" i="8"/>
  <c r="CL4" i="8"/>
  <c r="D4" i="8"/>
  <c r="CG5" i="7"/>
  <c r="U5" i="7"/>
  <c r="DG4" i="7"/>
  <c r="AU4" i="7"/>
  <c r="EG5" i="6"/>
  <c r="BU5" i="6"/>
  <c r="I5" i="6"/>
  <c r="CU4" i="6"/>
  <c r="AI4" i="6"/>
  <c r="CJ4" i="10"/>
  <c r="BC5" i="9"/>
  <c r="AZ4" i="9"/>
  <c r="CO5" i="8"/>
  <c r="I5" i="8"/>
  <c r="BY4" i="8"/>
  <c r="ER5" i="7"/>
  <c r="BX5" i="7"/>
  <c r="L5" i="7"/>
  <c r="CX4" i="7"/>
  <c r="AL4" i="7"/>
  <c r="DX5" i="6"/>
  <c r="BL5" i="6"/>
  <c r="EX4" i="6"/>
  <c r="CL4" i="6"/>
  <c r="Z4" i="6"/>
  <c r="AX4" i="10"/>
  <c r="AE5" i="9"/>
  <c r="AB4" i="9"/>
  <c r="CD5" i="8"/>
  <c r="ET4" i="8"/>
  <c r="BN4" i="8"/>
  <c r="EG5" i="7"/>
  <c r="BO5" i="7"/>
  <c r="C5" i="7"/>
  <c r="CO4" i="7"/>
  <c r="BF5" i="10"/>
  <c r="CF4" i="10"/>
  <c r="DR5" i="9"/>
  <c r="FD4" i="9"/>
  <c r="AF4" i="9"/>
  <c r="BE5" i="10"/>
  <c r="CE4" i="10"/>
  <c r="DQ5" i="9"/>
  <c r="FC4" i="9"/>
  <c r="AU4" i="9"/>
  <c r="DO5" i="10"/>
  <c r="W5" i="10"/>
  <c r="BU4" i="10"/>
  <c r="EC5" i="10"/>
  <c r="AC5" i="10"/>
  <c r="BS4" i="10"/>
  <c r="EK5" i="9"/>
  <c r="AK5" i="9"/>
  <c r="DC4" i="9"/>
  <c r="C4" i="9"/>
  <c r="AU5" i="8"/>
  <c r="DA4" i="8"/>
  <c r="ER5" i="10"/>
  <c r="AZ5" i="10"/>
  <c r="CX4" i="10"/>
  <c r="EZ5" i="9"/>
  <c r="BH5" i="9"/>
  <c r="DR4" i="9"/>
  <c r="Z4" i="9"/>
  <c r="BZ5" i="8"/>
  <c r="DP4" i="8"/>
  <c r="X4" i="8"/>
  <c r="EQ5" i="10"/>
  <c r="BO5" i="10"/>
  <c r="EC4" i="10"/>
  <c r="AS4" i="10"/>
  <c r="EA5" i="9"/>
  <c r="AQ5" i="9"/>
  <c r="DQ4" i="9"/>
  <c r="AO4" i="9"/>
  <c r="DB4" i="10"/>
  <c r="F5" i="9"/>
  <c r="DR5" i="8"/>
  <c r="D5" i="8"/>
  <c r="AP4" i="8"/>
  <c r="CU5" i="7"/>
  <c r="I5" i="7"/>
  <c r="BW4" i="7"/>
  <c r="ES5" i="6"/>
  <c r="BI5" i="6"/>
  <c r="DW4" i="6"/>
  <c r="AU4" i="6"/>
  <c r="BT4" i="10"/>
  <c r="ER4" i="9"/>
  <c r="DE5" i="8"/>
  <c r="EQ4" i="8"/>
  <c r="AC4" i="8"/>
  <c r="CJ5" i="7"/>
  <c r="EX4" i="7"/>
  <c r="BN4" i="7"/>
  <c r="EJ5" i="6"/>
  <c r="AZ5" i="6"/>
  <c r="DN4" i="6"/>
  <c r="AL4" i="6"/>
  <c r="B4" i="10"/>
  <c r="BZ4" i="9"/>
  <c r="BX5" i="8"/>
  <c r="DJ4" i="8"/>
  <c r="EU5" i="7"/>
  <c r="BK5" i="7"/>
  <c r="DY4" i="7"/>
  <c r="AO4" i="7"/>
  <c r="DC5" i="6"/>
  <c r="BL4" i="10"/>
  <c r="DN4" i="9"/>
  <c r="DC5" i="8"/>
  <c r="EM4" i="8"/>
  <c r="AA4" i="8"/>
  <c r="CH5" i="7"/>
  <c r="EV4" i="7"/>
  <c r="BL4" i="7"/>
  <c r="EH5" i="6"/>
  <c r="AX5" i="6"/>
  <c r="DL4" i="6"/>
  <c r="AJ4" i="6"/>
  <c r="CL4" i="10"/>
  <c r="BD5" i="9"/>
  <c r="BA4" i="9"/>
  <c r="CR5" i="8"/>
  <c r="J5" i="8"/>
  <c r="BZ4" i="8"/>
  <c r="ES5" i="7"/>
  <c r="BY5" i="7"/>
  <c r="M5" i="7"/>
  <c r="CY4" i="7"/>
  <c r="AM4" i="7"/>
  <c r="DY5" i="6"/>
  <c r="BM5" i="6"/>
  <c r="A5" i="6"/>
  <c r="CM4" i="6"/>
  <c r="AA4" i="6"/>
  <c r="BD4" i="10"/>
  <c r="AF5" i="9"/>
  <c r="AC4" i="9"/>
  <c r="CE5" i="8"/>
  <c r="EU4" i="8"/>
  <c r="BO4" i="8"/>
  <c r="EI5" i="7"/>
  <c r="BP5" i="7"/>
  <c r="D5" i="7"/>
  <c r="CP4" i="7"/>
  <c r="AD4" i="7"/>
  <c r="DP5" i="6"/>
  <c r="BD5" i="6"/>
  <c r="EP4" i="6"/>
  <c r="CD4" i="6"/>
  <c r="DP5" i="10"/>
  <c r="R4" i="10"/>
  <c r="H5" i="9"/>
  <c r="E4" i="9"/>
  <c r="BT5" i="8"/>
  <c r="EJ4" i="8"/>
  <c r="BB4" i="8"/>
  <c r="DX5" i="7"/>
  <c r="BG5" i="7"/>
  <c r="ES4" i="7"/>
  <c r="CG4" i="7"/>
  <c r="AX5" i="10"/>
  <c r="BX4" i="10"/>
  <c r="DJ5" i="9"/>
  <c r="EV4" i="9"/>
  <c r="X4" i="9"/>
  <c r="AW5" i="10"/>
  <c r="BW4" i="10"/>
  <c r="DI5" i="9"/>
  <c r="EU4" i="9"/>
  <c r="AE4" i="9"/>
  <c r="DG5" i="10"/>
  <c r="O5" i="10"/>
  <c r="BM4" i="10"/>
  <c r="DE5" i="10"/>
  <c r="M5" i="10"/>
  <c r="BK4" i="10"/>
  <c r="EC5" i="9"/>
  <c r="AC5" i="9"/>
  <c r="CE4" i="9"/>
  <c r="EM5" i="8"/>
  <c r="AM5" i="8"/>
  <c r="CS4" i="8"/>
  <c r="EJ5" i="10"/>
  <c r="AB5" i="10"/>
  <c r="CH4" i="10"/>
  <c r="ER5" i="9"/>
  <c r="AZ5" i="9"/>
  <c r="DJ4" i="9"/>
  <c r="B4" i="9"/>
  <c r="BJ5" i="8"/>
  <c r="DH4" i="8"/>
  <c r="P4" i="8"/>
  <c r="EI5" i="10"/>
  <c r="AY5" i="10"/>
  <c r="DU4" i="10"/>
  <c r="AK4" i="10"/>
  <c r="DK5" i="9"/>
  <c r="AI5" i="9"/>
  <c r="DI4" i="9"/>
  <c r="Y4" i="9"/>
  <c r="BV4" i="10"/>
  <c r="ES4" i="9"/>
  <c r="CV5" i="8"/>
  <c r="ER4" i="8"/>
  <c r="AD4" i="8"/>
  <c r="CC5" i="7"/>
  <c r="A5" i="7"/>
  <c r="BO4" i="7"/>
  <c r="EC5" i="6"/>
  <c r="BA5" i="6"/>
  <c r="DO4" i="6"/>
  <c r="AE4" i="6"/>
  <c r="AN4" i="10"/>
  <c r="DU4" i="9"/>
  <c r="CK5" i="8"/>
  <c r="EE4" i="8"/>
  <c r="S4" i="8"/>
  <c r="BT5" i="7"/>
  <c r="EP4" i="7"/>
  <c r="BF4" i="7"/>
  <c r="DT5" i="6"/>
  <c r="AR5" i="6"/>
  <c r="DF4" i="6"/>
  <c r="EF5" i="10"/>
  <c r="ET5" i="9"/>
  <c r="BH4" i="9"/>
  <c r="BD5" i="8"/>
  <c r="CX4" i="8"/>
  <c r="EL5" i="7"/>
  <c r="AU5" i="7"/>
  <c r="DQ4" i="7"/>
  <c r="AG4" i="7"/>
  <c r="CM5" i="6"/>
  <c r="AF4" i="10"/>
  <c r="CV4" i="9"/>
  <c r="CG5" i="8"/>
  <c r="EC4" i="8"/>
  <c r="O4" i="8"/>
  <c r="BR5" i="7"/>
  <c r="EN4" i="7"/>
  <c r="BD4" i="7"/>
  <c r="DR5" i="6"/>
  <c r="AP5" i="6"/>
  <c r="DD4" i="6"/>
  <c r="AB4" i="6"/>
  <c r="BF4" i="10"/>
  <c r="AL5" i="9"/>
  <c r="AD4" i="9"/>
  <c r="CF5" i="8"/>
  <c r="EX4" i="8"/>
  <c r="BP4" i="8"/>
  <c r="EJ5" i="7"/>
  <c r="BQ5" i="7"/>
  <c r="E5" i="7"/>
  <c r="CQ4" i="7"/>
  <c r="AE4" i="7"/>
  <c r="DQ5" i="6"/>
  <c r="BE5" i="6"/>
  <c r="EQ4" i="6"/>
  <c r="CE4" i="6"/>
  <c r="DV5" i="10"/>
  <c r="X4" i="10"/>
  <c r="N5" i="9"/>
  <c r="F4" i="9"/>
  <c r="BU5" i="8"/>
  <c r="EK4" i="8"/>
  <c r="BC4" i="8"/>
  <c r="DY5" i="7"/>
  <c r="BH5" i="7"/>
  <c r="ET4" i="7"/>
  <c r="CH4" i="7"/>
  <c r="V4" i="7"/>
  <c r="DH5" i="6"/>
  <c r="AV5" i="6"/>
  <c r="EH4" i="6"/>
  <c r="BV4" i="6"/>
  <c r="CJ5" i="10"/>
  <c r="FC5" i="9"/>
  <c r="EZ4" i="9"/>
  <c r="ES5" i="8"/>
  <c r="BH5" i="8"/>
  <c r="DZ4" i="8"/>
  <c r="AR4" i="8"/>
  <c r="DO5" i="7"/>
  <c r="AY5" i="7"/>
  <c r="EK4" i="7"/>
  <c r="BY4" i="7"/>
  <c r="EP5" i="10"/>
  <c r="R5" i="10"/>
  <c r="AR4" i="10"/>
  <c r="CD5" i="9"/>
  <c r="DP4" i="9"/>
  <c r="EO5" i="10"/>
  <c r="Q5" i="10"/>
  <c r="AQ4" i="10"/>
  <c r="CC5" i="9"/>
  <c r="DO4" i="9"/>
  <c r="W4" i="9"/>
  <c r="CY5" i="10"/>
  <c r="EO4" i="10"/>
  <c r="AW4" i="10"/>
  <c r="CW5" i="10"/>
  <c r="E5" i="10"/>
  <c r="BC4" i="10"/>
  <c r="DE5" i="9"/>
  <c r="M5" i="9"/>
  <c r="BW4" i="9"/>
  <c r="EE5" i="8"/>
  <c r="AE5" i="8"/>
  <c r="BU4" i="8"/>
  <c r="DT5" i="10"/>
  <c r="T5" i="10"/>
  <c r="BZ4" i="10"/>
  <c r="EJ5" i="9"/>
  <c r="AB5" i="9"/>
  <c r="CT4" i="9"/>
  <c r="ET5" i="8"/>
  <c r="BB5" i="8"/>
  <c r="CZ4" i="8"/>
  <c r="EP5" i="7"/>
  <c r="EA5" i="10"/>
  <c r="AQ5" i="10"/>
  <c r="DE4" i="10"/>
  <c r="AC4" i="10"/>
  <c r="DC5" i="9"/>
  <c r="S5" i="9"/>
  <c r="DA4" i="9"/>
  <c r="Q4" i="9"/>
  <c r="J4" i="10"/>
  <c r="DV4" i="9"/>
  <c r="CL5" i="8"/>
  <c r="DV4" i="8"/>
  <c r="T4" i="8"/>
  <c r="BU5" i="7"/>
  <c r="EI4" i="7"/>
  <c r="BG4" i="7"/>
  <c r="DU5" i="6"/>
  <c r="AK5" i="6"/>
  <c r="DG4" i="6"/>
  <c r="W4" i="6"/>
  <c r="EU5" i="9"/>
  <c r="CX4" i="9"/>
  <c r="BY5" i="8"/>
  <c r="DK4" i="8"/>
  <c r="G4" i="8"/>
  <c r="BL5" i="7"/>
  <c r="DZ4" i="7"/>
  <c r="AX4" i="7"/>
  <c r="DL5" i="6"/>
  <c r="AB5" i="6"/>
  <c r="CX4" i="6"/>
  <c r="CZ5" i="10"/>
  <c r="CZ5" i="9"/>
  <c r="AK4" i="9"/>
  <c r="AR5" i="8"/>
  <c r="CD4" i="8"/>
  <c r="EC5" i="7"/>
  <c r="AM5" i="7"/>
  <c r="DA4" i="7"/>
  <c r="Y4" i="7"/>
  <c r="CE5" i="6"/>
  <c r="DV5" i="9"/>
  <c r="BY4" i="9"/>
  <c r="BW5" i="8"/>
  <c r="DG4" i="8"/>
  <c r="E4" i="8"/>
  <c r="BJ5" i="7"/>
  <c r="DX4" i="7"/>
  <c r="AV4" i="7"/>
  <c r="DJ5" i="6"/>
  <c r="Z5" i="6"/>
  <c r="CV4" i="6"/>
  <c r="T4" i="6"/>
  <c r="Z4" i="10"/>
  <c r="O5" i="9"/>
  <c r="L4" i="9"/>
  <c r="BV5" i="8"/>
  <c r="EL4" i="8"/>
  <c r="BF4" i="8"/>
  <c r="EA5" i="7"/>
  <c r="BI5" i="7"/>
  <c r="EU4" i="7"/>
  <c r="CI4" i="7"/>
  <c r="W4" i="7"/>
  <c r="DI5" i="6"/>
  <c r="AW5" i="6"/>
  <c r="EI4" i="6"/>
  <c r="BW4" i="6"/>
  <c r="CP5" i="10"/>
  <c r="FD5" i="9"/>
  <c r="FA4" i="9"/>
  <c r="EV5" i="8"/>
  <c r="BI5" i="8"/>
  <c r="EA4" i="8"/>
  <c r="AS4" i="8"/>
  <c r="DP5" i="7"/>
  <c r="AZ5" i="7"/>
  <c r="EL4" i="7"/>
  <c r="BZ4" i="7"/>
  <c r="N4" i="7"/>
  <c r="CZ5" i="6"/>
  <c r="AN5" i="6"/>
  <c r="DZ4" i="6"/>
  <c r="BN4" i="6"/>
  <c r="BD5" i="10"/>
  <c r="EF5" i="9"/>
  <c r="EC4" i="9"/>
  <c r="EG5" i="8"/>
  <c r="AX5" i="8"/>
  <c r="DN4" i="8"/>
  <c r="AH4" i="8"/>
  <c r="DF5" i="7"/>
  <c r="AQ5" i="7"/>
  <c r="EC4" i="7"/>
  <c r="EH5" i="10"/>
  <c r="J5" i="10"/>
  <c r="AJ4" i="10"/>
  <c r="BV5" i="9"/>
  <c r="DH4" i="9"/>
  <c r="EG5" i="10"/>
  <c r="I5" i="10"/>
  <c r="AI4" i="10"/>
  <c r="BU5" i="9"/>
  <c r="DG4" i="9"/>
  <c r="EQ5" i="8"/>
  <c r="CI5" i="10"/>
  <c r="EG4" i="10"/>
  <c r="AO4" i="10"/>
  <c r="CO5" i="10"/>
  <c r="EE4" i="10"/>
  <c r="AM4" i="10"/>
  <c r="CW5" i="9"/>
  <c r="E5" i="9"/>
  <c r="BO4" i="9"/>
  <c r="DG5" i="8"/>
  <c r="O5" i="8"/>
  <c r="BM4" i="8"/>
  <c r="DL5" i="10"/>
  <c r="L5" i="10"/>
  <c r="BB4" i="10"/>
  <c r="DT5" i="9"/>
  <c r="T5" i="9"/>
  <c r="CL4" i="9"/>
  <c r="EL5" i="8"/>
  <c r="AD5" i="8"/>
  <c r="CJ4" i="8"/>
  <c r="EH5" i="7"/>
  <c r="DK5" i="10"/>
  <c r="AI5" i="10"/>
  <c r="CW4" i="10"/>
  <c r="M4" i="10"/>
  <c r="CU5" i="9"/>
  <c r="K5" i="9"/>
  <c r="CK4" i="9"/>
  <c r="I4" i="9"/>
  <c r="EV5" i="9"/>
  <c r="CG4" i="9"/>
  <c r="CB5" i="8"/>
  <c r="DL4" i="8"/>
  <c r="EW5" i="7"/>
  <c r="BM5" i="7"/>
  <c r="EA4" i="7"/>
  <c r="AQ4" i="7"/>
  <c r="DM5" i="6"/>
  <c r="AC5" i="6"/>
  <c r="CQ4" i="6"/>
  <c r="EL5" i="10"/>
  <c r="DX5" i="9"/>
  <c r="BI4" i="9"/>
  <c r="BO5" i="8"/>
  <c r="CY4" i="8"/>
  <c r="EM5" i="7"/>
  <c r="BD5" i="7"/>
  <c r="DR4" i="7"/>
  <c r="AH4" i="7"/>
  <c r="DD5" i="6"/>
  <c r="T5" i="6"/>
  <c r="CH4" i="6"/>
  <c r="BT5" i="10"/>
  <c r="CH5" i="9"/>
  <c r="EN5" i="8"/>
  <c r="AH5" i="8"/>
  <c r="BR4" i="8"/>
  <c r="DK5" i="7"/>
  <c r="AE5" i="7"/>
  <c r="CS4" i="7"/>
  <c r="I4" i="7"/>
  <c r="ED5" i="10"/>
  <c r="CY5" i="9"/>
  <c r="AJ4" i="9"/>
  <c r="BM5" i="8"/>
  <c r="CW4" i="8"/>
  <c r="EK5" i="7"/>
  <c r="BB5" i="7"/>
  <c r="DP4" i="7"/>
  <c r="AF4" i="7"/>
  <c r="DB5" i="6"/>
  <c r="R5" i="6"/>
  <c r="CF4" i="6"/>
  <c r="DX5" i="10"/>
  <c r="FJ5" i="9"/>
  <c r="FB4" i="9"/>
  <c r="EW5" i="8"/>
  <c r="BL5" i="8"/>
  <c r="EB4" i="8"/>
  <c r="AT4" i="8"/>
  <c r="DQ5" i="7"/>
  <c r="BA5" i="7"/>
  <c r="EM4" i="7"/>
  <c r="CA4" i="7"/>
  <c r="O4" i="7"/>
  <c r="DA5" i="6"/>
  <c r="AO5" i="6"/>
  <c r="EA4" i="6"/>
  <c r="BO4" i="6"/>
  <c r="BJ5" i="10"/>
  <c r="EL5" i="9"/>
  <c r="ED4" i="9"/>
  <c r="EH5" i="8"/>
  <c r="AY5" i="8"/>
  <c r="DO4" i="8"/>
  <c r="AI4" i="8"/>
  <c r="DG5" i="7"/>
  <c r="AR5" i="7"/>
  <c r="ED4" i="7"/>
  <c r="BR4" i="7"/>
  <c r="F4" i="7"/>
  <c r="CR5" i="6"/>
  <c r="AF5" i="6"/>
  <c r="DR4" i="6"/>
  <c r="BF4" i="6"/>
  <c r="X5" i="10"/>
  <c r="DN5" i="9"/>
  <c r="DF4" i="9"/>
  <c r="DT5" i="8"/>
  <c r="AN5" i="8"/>
  <c r="DD4" i="8"/>
  <c r="V4" i="8"/>
  <c r="CW5" i="7"/>
  <c r="AI5" i="7"/>
  <c r="DU4" i="7"/>
  <c r="DR5" i="10"/>
  <c r="ER4" i="10"/>
  <c r="T4" i="10"/>
  <c r="BF5" i="9"/>
  <c r="CR4" i="9"/>
  <c r="DQ5" i="10"/>
  <c r="EQ4" i="10"/>
  <c r="S4" i="10"/>
  <c r="BE5" i="9"/>
  <c r="CQ4" i="9"/>
  <c r="EI5" i="8"/>
  <c r="CA5" i="10"/>
  <c r="DY4" i="10"/>
  <c r="Q4" i="10"/>
  <c r="BY5" i="10"/>
  <c r="DW4" i="10"/>
  <c r="AE4" i="10"/>
  <c r="CO5" i="9"/>
  <c r="EQ4" i="9"/>
  <c r="AY4" i="9"/>
  <c r="CY5" i="8"/>
  <c r="G5" i="8"/>
  <c r="BE4" i="8"/>
  <c r="CN5" i="10"/>
  <c r="ET4" i="10"/>
  <c r="AT4" i="10"/>
  <c r="DL5" i="9"/>
  <c r="L5" i="9"/>
  <c r="BN4" i="9"/>
  <c r="DV5" i="8"/>
  <c r="V5" i="8"/>
  <c r="CB4" i="8"/>
  <c r="DZ5" i="7"/>
  <c r="DC5" i="10"/>
  <c r="S5" i="10"/>
  <c r="CO4" i="10"/>
  <c r="E4" i="10"/>
  <c r="CE5" i="9"/>
  <c r="C5" i="9"/>
  <c r="CC4" i="9"/>
  <c r="DH5" i="10"/>
  <c r="ED5" i="9"/>
  <c r="BJ4" i="9"/>
  <c r="BF5" i="8"/>
  <c r="DB4" i="8"/>
  <c r="EN5" i="7"/>
  <c r="AW5" i="7"/>
  <c r="DS4" i="7"/>
  <c r="AI4" i="7"/>
  <c r="CW5" i="6"/>
  <c r="U5" i="6"/>
  <c r="CI4" i="6"/>
  <c r="BZ5" i="10"/>
  <c r="DF5" i="9"/>
  <c r="AL4" i="9"/>
  <c r="AS5" i="8"/>
  <c r="CO4" i="8"/>
  <c r="ED5" i="7"/>
  <c r="AN5" i="7"/>
  <c r="DJ4" i="7"/>
  <c r="Z4" i="7"/>
  <c r="CN5" i="6"/>
  <c r="L5" i="6"/>
  <c r="BZ4" i="6"/>
  <c r="H5" i="10"/>
  <c r="AN5" i="9"/>
  <c r="DZ5" i="8"/>
  <c r="L5" i="8"/>
  <c r="BH4" i="8"/>
  <c r="DA5" i="7"/>
  <c r="O5" i="7"/>
  <c r="CK4" i="7"/>
  <c r="EQ5" i="6"/>
  <c r="BR5" i="10"/>
  <c r="CB5" i="9"/>
  <c r="M4" i="9"/>
  <c r="AQ5" i="8"/>
  <c r="CM4" i="8"/>
  <c r="EB5" i="7"/>
  <c r="AL5" i="7"/>
  <c r="DH4" i="7"/>
  <c r="X4" i="7"/>
  <c r="CL5" i="6"/>
  <c r="J5" i="6"/>
  <c r="BX4" i="6"/>
  <c r="CR5" i="10"/>
  <c r="EM5" i="9"/>
  <c r="EJ4" i="9"/>
  <c r="EJ5" i="8"/>
  <c r="AZ5" i="8"/>
  <c r="DR4" i="8"/>
  <c r="AJ4" i="8"/>
  <c r="DH5" i="7"/>
  <c r="AS5" i="7"/>
  <c r="EE4" i="7"/>
  <c r="BS4" i="7"/>
  <c r="G4" i="7"/>
  <c r="CS5" i="6"/>
  <c r="AG5" i="6"/>
  <c r="DS4" i="6"/>
  <c r="BG4" i="6"/>
  <c r="AD5" i="10"/>
  <c r="DO5" i="9"/>
  <c r="DL4" i="9"/>
  <c r="DU5" i="8"/>
  <c r="AO5" i="8"/>
  <c r="DE4" i="8"/>
  <c r="W4" i="8"/>
  <c r="CX5" i="7"/>
  <c r="AJ5" i="7"/>
  <c r="DV4" i="7"/>
  <c r="BJ4" i="7"/>
  <c r="EV5" i="6"/>
  <c r="CJ5" i="6"/>
  <c r="X5" i="6"/>
  <c r="DJ4" i="6"/>
  <c r="AX4" i="6"/>
  <c r="EP4" i="10"/>
  <c r="CQ5" i="9"/>
  <c r="CN4" i="9"/>
  <c r="DJ5" i="8"/>
  <c r="AB5" i="8"/>
  <c r="CT4" i="8"/>
  <c r="L4" i="8"/>
  <c r="CN5" i="7"/>
  <c r="AA5" i="7"/>
  <c r="DM4" i="7"/>
  <c r="BA4" i="7"/>
  <c r="DJ5" i="10"/>
  <c r="EJ4" i="10"/>
  <c r="L4" i="10"/>
  <c r="AX5" i="9"/>
  <c r="CJ4" i="9"/>
  <c r="DI5" i="10"/>
  <c r="EI4" i="10"/>
  <c r="K4" i="10"/>
  <c r="AW5" i="9"/>
  <c r="CI4" i="9"/>
  <c r="EA5" i="8"/>
  <c r="BC5" i="10"/>
  <c r="DI4" i="10"/>
  <c r="I4" i="10"/>
  <c r="BQ5" i="10"/>
  <c r="DO4" i="10"/>
  <c r="G4" i="10"/>
  <c r="BY5" i="9"/>
  <c r="EI4" i="9"/>
  <c r="AQ4" i="9"/>
  <c r="CQ5" i="8"/>
  <c r="EG4" i="8"/>
  <c r="AO4" i="8"/>
  <c r="CF5" i="10"/>
  <c r="EL4" i="10"/>
  <c r="AL4" i="10"/>
  <c r="CN5" i="9"/>
  <c r="FF4" i="9"/>
  <c r="BF4" i="9"/>
  <c r="DN5" i="8"/>
  <c r="N5" i="8"/>
  <c r="BD4" i="8"/>
  <c r="DJ5" i="7"/>
  <c r="CU5" i="10"/>
  <c r="K5" i="10"/>
  <c r="BY4" i="10"/>
  <c r="FG5" i="9"/>
  <c r="BW5" i="9"/>
  <c r="EW4" i="9"/>
  <c r="BU4" i="9"/>
  <c r="CB5" i="10"/>
  <c r="CJ5" i="9"/>
  <c r="AR4" i="9"/>
  <c r="AV5" i="8"/>
  <c r="CF4" i="8"/>
  <c r="EE5" i="7"/>
  <c r="AO5" i="7"/>
  <c r="DC4" i="7"/>
  <c r="AA4" i="7"/>
  <c r="CO5" i="6"/>
  <c r="E5" i="6"/>
  <c r="CA4" i="6"/>
  <c r="AT5" i="10"/>
  <c r="BL5" i="9"/>
  <c r="T4" i="9"/>
  <c r="AI5" i="8"/>
  <c r="BS4" i="8"/>
  <c r="DU5" i="7"/>
  <c r="AF5" i="7"/>
  <c r="CT4" i="7"/>
  <c r="R4" i="7"/>
  <c r="CF5" i="6"/>
  <c r="ET4" i="6"/>
  <c r="BR4" i="6"/>
  <c r="DZ4" i="10"/>
  <c r="FI4" i="9"/>
  <c r="DP5" i="8"/>
  <c r="B5" i="8"/>
  <c r="AL4" i="8"/>
  <c r="CR5" i="7"/>
  <c r="G5" i="7"/>
  <c r="BU4" i="7"/>
  <c r="EI5" i="6"/>
  <c r="AL5" i="10"/>
  <c r="AM5" i="9"/>
  <c r="EX5" i="8"/>
  <c r="AG5" i="8"/>
  <c r="BQ4" i="8"/>
  <c r="DS5" i="7"/>
  <c r="AD5" i="7"/>
  <c r="CR4" i="7"/>
  <c r="P4" i="7"/>
  <c r="CD5" i="6"/>
  <c r="ER4" i="6"/>
  <c r="BP4" i="6"/>
  <c r="AF5" i="10"/>
  <c r="DP5" i="9"/>
  <c r="DM4" i="9"/>
  <c r="DX5" i="8"/>
  <c r="AP5" i="8"/>
  <c r="DF4" i="8"/>
  <c r="Z4" i="8"/>
  <c r="CY5" i="7"/>
  <c r="AK5" i="7"/>
  <c r="DW4" i="7"/>
  <c r="BK4" i="7"/>
  <c r="EW5" i="6"/>
  <c r="CK5" i="6"/>
  <c r="Y5" i="6"/>
  <c r="DK4" i="6"/>
  <c r="AY4" i="6"/>
  <c r="EV4" i="10"/>
  <c r="CR5" i="9"/>
  <c r="CO4" i="9"/>
  <c r="DK5" i="8"/>
  <c r="AC5" i="8"/>
  <c r="CU4" i="8"/>
  <c r="M4" i="8"/>
  <c r="CO5" i="7"/>
  <c r="AB5" i="7"/>
  <c r="DN4" i="7"/>
  <c r="BB4" i="7"/>
  <c r="EN5" i="6"/>
  <c r="CB5" i="6"/>
  <c r="P5" i="6"/>
  <c r="DB4" i="6"/>
  <c r="AP4" i="6"/>
  <c r="DJ4" i="10"/>
  <c r="BT5" i="9"/>
  <c r="BQ4" i="9"/>
  <c r="CZ5" i="8"/>
  <c r="R5" i="8"/>
  <c r="CH4" i="8"/>
  <c r="B4" i="8"/>
  <c r="CE5" i="7"/>
  <c r="S5" i="7"/>
  <c r="DE4" i="7"/>
  <c r="CD5" i="10"/>
  <c r="DD4" i="10"/>
  <c r="EP5" i="9"/>
  <c r="R5" i="9"/>
  <c r="BD4" i="9"/>
  <c r="CC5" i="10"/>
  <c r="DC4" i="10"/>
  <c r="EO5" i="9"/>
  <c r="Q5" i="9"/>
  <c r="BK4" i="9"/>
  <c r="EU5" i="10"/>
  <c r="AU5" i="10"/>
  <c r="DA4" i="10"/>
  <c r="ET5" i="10"/>
  <c r="AS5" i="10"/>
  <c r="CY4" i="10"/>
  <c r="FI5" i="9"/>
  <c r="BQ5" i="9"/>
  <c r="EA4" i="9"/>
  <c r="S4" i="9"/>
  <c r="CA5" i="8"/>
  <c r="DY4" i="8"/>
  <c r="AG4" i="8"/>
  <c r="BX5" i="10"/>
  <c r="DN4" i="10"/>
  <c r="V4" i="10"/>
  <c r="CF5" i="9"/>
  <c r="EX4" i="9"/>
  <c r="AX4" i="9"/>
  <c r="CP5" i="8"/>
  <c r="EV4" i="8"/>
  <c r="AV4" i="8"/>
  <c r="DB5" i="7"/>
  <c r="CE5" i="10"/>
  <c r="C5" i="10"/>
  <c r="BQ4" i="10"/>
  <c r="EQ5" i="9"/>
  <c r="BO5" i="9"/>
  <c r="EO4" i="9"/>
  <c r="BE4" i="9"/>
  <c r="AV5" i="10"/>
  <c r="BR5" i="9"/>
  <c r="EP5" i="8"/>
  <c r="AJ5" i="8"/>
  <c r="BV4" i="8"/>
  <c r="DM5" i="7"/>
  <c r="AG5" i="7"/>
  <c r="CU4" i="7"/>
  <c r="K4" i="7"/>
  <c r="CG5" i="6"/>
  <c r="EU4" i="6"/>
  <c r="BK4" i="6"/>
  <c r="N5" i="10"/>
  <c r="AT5" i="9"/>
  <c r="EB5" i="8"/>
  <c r="Y5" i="8"/>
  <c r="BI4" i="8"/>
  <c r="DC5" i="7"/>
  <c r="X5" i="7"/>
  <c r="CL4" i="7"/>
  <c r="B4" i="7"/>
  <c r="BX5" i="6"/>
  <c r="EL4" i="6"/>
  <c r="BB4" i="6"/>
  <c r="CT4" i="10"/>
  <c r="EL4" i="9"/>
  <c r="CT5" i="8"/>
  <c r="EP4" i="8"/>
  <c r="AB4" i="8"/>
  <c r="CA5" i="7"/>
  <c r="EW4" i="7"/>
  <c r="BM4" i="7"/>
  <c r="DS5" i="6"/>
  <c r="F5" i="10"/>
  <c r="P5" i="9"/>
  <c r="DY5" i="8"/>
  <c r="U5" i="8"/>
  <c r="BG4" i="8"/>
  <c r="CZ5" i="7"/>
  <c r="V5" i="7"/>
  <c r="CJ4" i="7"/>
  <c r="EX5" i="6"/>
  <c r="BV5" i="6"/>
  <c r="EJ4" i="6"/>
  <c r="AZ4" i="6"/>
  <c r="EX4" i="10"/>
  <c r="CX5" i="9"/>
  <c r="CP4" i="9"/>
  <c r="DL5" i="8"/>
  <c r="AF5" i="8"/>
  <c r="CV4" i="8"/>
  <c r="N4" i="8"/>
  <c r="CP5" i="7"/>
  <c r="AC5" i="7"/>
  <c r="DO4" i="7"/>
  <c r="BC4" i="7"/>
  <c r="EO5" i="6"/>
  <c r="CC5" i="6"/>
  <c r="Q5" i="6"/>
  <c r="DC4" i="6"/>
  <c r="AQ4" i="6"/>
  <c r="DP4" i="10"/>
  <c r="BZ5" i="9"/>
  <c r="BR4" i="9"/>
  <c r="DA5" i="8"/>
  <c r="S5" i="8"/>
  <c r="CI4" i="8"/>
  <c r="C4" i="8"/>
  <c r="CF5" i="7"/>
  <c r="T5" i="7"/>
  <c r="DF4" i="7"/>
  <c r="AT4" i="7"/>
  <c r="EF5" i="6"/>
  <c r="BT5" i="6"/>
  <c r="H5" i="6"/>
  <c r="CT4" i="6"/>
  <c r="AH4" i="6"/>
  <c r="CD4" i="10"/>
  <c r="BB5" i="9"/>
  <c r="AT4" i="9"/>
  <c r="CN5" i="8"/>
  <c r="H5" i="8"/>
  <c r="BX4" i="8"/>
  <c r="EQ5" i="7"/>
  <c r="BW5" i="7"/>
  <c r="K5" i="7"/>
  <c r="CW4" i="7"/>
  <c r="BQ4" i="7"/>
  <c r="EU5" i="6"/>
  <c r="CI5" i="6"/>
  <c r="W5" i="6"/>
  <c r="DI4" i="6"/>
  <c r="AW4" i="6"/>
  <c r="EN4" i="10"/>
  <c r="CP5" i="9"/>
  <c r="CH4" i="9"/>
  <c r="DI5" i="8"/>
  <c r="AA5" i="8"/>
  <c r="CQ4" i="8"/>
  <c r="K4" i="8"/>
  <c r="CD5" i="7"/>
  <c r="R5" i="7"/>
  <c r="DD4" i="7"/>
  <c r="AR4" i="7"/>
  <c r="ED5" i="6"/>
  <c r="BR5" i="6"/>
  <c r="F5" i="6"/>
  <c r="CR4" i="6"/>
  <c r="AF4" i="6"/>
  <c r="EJ5" i="5"/>
  <c r="BX5" i="5"/>
  <c r="L5" i="5"/>
  <c r="CX4" i="5"/>
  <c r="AL4" i="5"/>
  <c r="DZ5" i="4"/>
  <c r="BN5" i="4"/>
  <c r="B5" i="4"/>
  <c r="CN4" i="4"/>
  <c r="AB4" i="4"/>
  <c r="A867" i="1"/>
  <c r="I861" i="1"/>
  <c r="E856" i="1"/>
  <c r="A851" i="1"/>
  <c r="I845" i="1"/>
  <c r="O4" i="6"/>
  <c r="CU5" i="5"/>
  <c r="AI5" i="5"/>
  <c r="DU4" i="5"/>
  <c r="BI4" i="5"/>
  <c r="EW5" i="4"/>
  <c r="CK5" i="4"/>
  <c r="Y5" i="4"/>
  <c r="DK4" i="4"/>
  <c r="AY4" i="4"/>
  <c r="L868" i="1"/>
  <c r="H863" i="1"/>
  <c r="D858" i="1"/>
  <c r="L852" i="1"/>
  <c r="H847" i="1"/>
  <c r="ES4" i="6"/>
  <c r="DZ5" i="5"/>
  <c r="BN5" i="5"/>
  <c r="B5" i="5"/>
  <c r="CN4" i="5"/>
  <c r="AB4" i="5"/>
  <c r="DP5" i="4"/>
  <c r="BD5" i="4"/>
  <c r="EP4" i="4"/>
  <c r="CD4" i="4"/>
  <c r="R4" i="4"/>
  <c r="C866" i="1"/>
  <c r="K860" i="1"/>
  <c r="G855" i="1"/>
  <c r="C850" i="1"/>
  <c r="K844" i="1"/>
  <c r="BY4" i="6"/>
  <c r="DQ5" i="5"/>
  <c r="BE5" i="5"/>
  <c r="EQ4" i="5"/>
  <c r="CE4" i="5"/>
  <c r="S4" i="5"/>
  <c r="DG5" i="4"/>
  <c r="AU5" i="4"/>
  <c r="EG4" i="4"/>
  <c r="BU4" i="4"/>
  <c r="I4" i="4"/>
  <c r="J864" i="1"/>
  <c r="F859" i="1"/>
  <c r="B854" i="1"/>
  <c r="J848" i="1"/>
  <c r="AQ5" i="6"/>
  <c r="EF5" i="5"/>
  <c r="BT5" i="5"/>
  <c r="H5" i="5"/>
  <c r="CT4" i="5"/>
  <c r="AH4" i="5"/>
  <c r="DV5" i="4"/>
  <c r="BJ5" i="4"/>
  <c r="EV4" i="4"/>
  <c r="CJ4" i="4"/>
  <c r="X4" i="4"/>
  <c r="I866" i="1"/>
  <c r="E861" i="1"/>
  <c r="A856" i="1"/>
  <c r="I850" i="1"/>
  <c r="E845" i="1"/>
  <c r="K4" i="6"/>
  <c r="CY5" i="5"/>
  <c r="AM5" i="5"/>
  <c r="DY4" i="5"/>
  <c r="BM4" i="5"/>
  <c r="ES5" i="4"/>
  <c r="CG5" i="4"/>
  <c r="U5" i="4"/>
  <c r="DG4" i="4"/>
  <c r="AU4" i="4"/>
  <c r="H868" i="1"/>
  <c r="D863" i="1"/>
  <c r="L857" i="1"/>
  <c r="H852" i="1"/>
  <c r="D847" i="1"/>
  <c r="DM4" i="6"/>
  <c r="DV5" i="5"/>
  <c r="BJ5" i="5"/>
  <c r="EV4" i="5"/>
  <c r="CJ4" i="5"/>
  <c r="X4" i="5"/>
  <c r="DD5" i="4"/>
  <c r="AR5" i="4"/>
  <c r="ED4" i="4"/>
  <c r="BR4" i="4"/>
  <c r="F4" i="4"/>
  <c r="C865" i="1"/>
  <c r="K859" i="1"/>
  <c r="BI4" i="7"/>
  <c r="EM5" i="6"/>
  <c r="CA5" i="6"/>
  <c r="O5" i="6"/>
  <c r="DA4" i="6"/>
  <c r="AO4" i="6"/>
  <c r="DH4" i="10"/>
  <c r="BS5" i="9"/>
  <c r="BP4" i="9"/>
  <c r="CW5" i="8"/>
  <c r="Q5" i="8"/>
  <c r="CG4" i="8"/>
  <c r="EO5" i="7"/>
  <c r="BV5" i="7"/>
  <c r="J5" i="7"/>
  <c r="CV4" i="7"/>
  <c r="AJ4" i="7"/>
  <c r="DV5" i="6"/>
  <c r="BJ5" i="6"/>
  <c r="EV4" i="6"/>
  <c r="CJ4" i="6"/>
  <c r="BW5" i="6"/>
  <c r="EB5" i="5"/>
  <c r="BP5" i="5"/>
  <c r="D5" i="5"/>
  <c r="CP4" i="5"/>
  <c r="AD4" i="5"/>
  <c r="DR5" i="4"/>
  <c r="BF5" i="4"/>
  <c r="ER4" i="4"/>
  <c r="CF4" i="4"/>
  <c r="T4" i="4"/>
  <c r="E866" i="1"/>
  <c r="A861" i="1"/>
  <c r="I855" i="1"/>
  <c r="E850" i="1"/>
  <c r="A845" i="1"/>
  <c r="G4" i="6"/>
  <c r="CM5" i="5"/>
  <c r="AA5" i="5"/>
  <c r="DM4" i="5"/>
  <c r="BA4" i="5"/>
  <c r="EO5" i="4"/>
  <c r="CC5" i="4"/>
  <c r="Q5" i="4"/>
  <c r="DC4" i="4"/>
  <c r="AQ4" i="4"/>
  <c r="D868" i="1"/>
  <c r="L862" i="1"/>
  <c r="H857" i="1"/>
  <c r="D852" i="1"/>
  <c r="L846" i="1"/>
  <c r="CG4" i="6"/>
  <c r="DR5" i="5"/>
  <c r="BF5" i="5"/>
  <c r="ER4" i="5"/>
  <c r="CF4" i="5"/>
  <c r="T4" i="5"/>
  <c r="DH5" i="4"/>
  <c r="AV5" i="4"/>
  <c r="EH4" i="4"/>
  <c r="BV4" i="4"/>
  <c r="J4" i="4"/>
  <c r="G865" i="1"/>
  <c r="C860" i="1"/>
  <c r="K854" i="1"/>
  <c r="G849" i="1"/>
  <c r="C844" i="1"/>
  <c r="V4" i="6"/>
  <c r="DI5" i="5"/>
  <c r="AW5" i="5"/>
  <c r="EI4" i="5"/>
  <c r="BW4" i="5"/>
  <c r="K4" i="5"/>
  <c r="CY5" i="4"/>
  <c r="AM5" i="4"/>
  <c r="DY4" i="4"/>
  <c r="BM4" i="4"/>
  <c r="F869" i="1"/>
  <c r="B864" i="1"/>
  <c r="J858" i="1"/>
  <c r="F853" i="1"/>
  <c r="B848" i="1"/>
  <c r="EC4" i="6"/>
  <c r="DX5" i="5"/>
  <c r="BL5" i="5"/>
  <c r="EX4" i="5"/>
  <c r="CL4" i="5"/>
  <c r="Z4" i="5"/>
  <c r="DN5" i="4"/>
  <c r="BB5" i="4"/>
  <c r="EN4" i="4"/>
  <c r="CB4" i="4"/>
  <c r="P4" i="4"/>
  <c r="A866" i="1"/>
  <c r="I860" i="1"/>
  <c r="E855" i="1"/>
  <c r="A850" i="1"/>
  <c r="I844" i="1"/>
  <c r="C4" i="6"/>
  <c r="CQ5" i="5"/>
  <c r="AE5" i="5"/>
  <c r="DQ4" i="5"/>
  <c r="BE4" i="5"/>
  <c r="EK5" i="4"/>
  <c r="BY5" i="4"/>
  <c r="M5" i="4"/>
  <c r="CY4" i="4"/>
  <c r="AM4" i="4"/>
  <c r="L867" i="1"/>
  <c r="H862" i="1"/>
  <c r="D857" i="1"/>
  <c r="L851" i="1"/>
  <c r="H846" i="1"/>
  <c r="BA4" i="6"/>
  <c r="DN5" i="5"/>
  <c r="BB5" i="5"/>
  <c r="EN4" i="5"/>
  <c r="CB4" i="5"/>
  <c r="P4" i="5"/>
  <c r="CV5" i="4"/>
  <c r="AJ5" i="4"/>
  <c r="DV4" i="4"/>
  <c r="BJ4" i="4"/>
  <c r="K869" i="1"/>
  <c r="G864" i="1"/>
  <c r="C859" i="1"/>
  <c r="AS4" i="7"/>
  <c r="EE5" i="6"/>
  <c r="BS5" i="6"/>
  <c r="G5" i="6"/>
  <c r="CS4" i="6"/>
  <c r="AG4" i="6"/>
  <c r="CB4" i="10"/>
  <c r="AV5" i="9"/>
  <c r="AS4" i="9"/>
  <c r="CM5" i="8"/>
  <c r="E5" i="8"/>
  <c r="BW4" i="8"/>
  <c r="EF5" i="7"/>
  <c r="BN5" i="7"/>
  <c r="B5" i="7"/>
  <c r="CN4" i="7"/>
  <c r="AB4" i="7"/>
  <c r="DN5" i="6"/>
  <c r="BB5" i="6"/>
  <c r="EN4" i="6"/>
  <c r="CB4" i="6"/>
  <c r="K5" i="6"/>
  <c r="DT5" i="5"/>
  <c r="BH5" i="5"/>
  <c r="ET4" i="5"/>
  <c r="CH4" i="5"/>
  <c r="V4" i="5"/>
  <c r="DJ5" i="4"/>
  <c r="AX5" i="4"/>
  <c r="EJ4" i="4"/>
  <c r="BX4" i="4"/>
  <c r="L4" i="4"/>
  <c r="I865" i="1"/>
  <c r="E860" i="1"/>
  <c r="A855" i="1"/>
  <c r="I849" i="1"/>
  <c r="E844" i="1"/>
  <c r="EQ5" i="5"/>
  <c r="CE5" i="5"/>
  <c r="S5" i="5"/>
  <c r="DE4" i="5"/>
  <c r="AS4" i="5"/>
  <c r="EG5" i="4"/>
  <c r="BU5" i="4"/>
  <c r="I5" i="4"/>
  <c r="CU4" i="4"/>
  <c r="AI4" i="4"/>
  <c r="H867" i="1"/>
  <c r="D862" i="1"/>
  <c r="L856" i="1"/>
  <c r="H851" i="1"/>
  <c r="D846" i="1"/>
  <c r="X4" i="6"/>
  <c r="DJ5" i="5"/>
  <c r="AX5" i="5"/>
  <c r="EJ4" i="5"/>
  <c r="BX4" i="5"/>
  <c r="L4" i="5"/>
  <c r="CZ5" i="4"/>
  <c r="AN5" i="4"/>
  <c r="DZ4" i="4"/>
  <c r="BN4" i="4"/>
  <c r="B4" i="4"/>
  <c r="K864" i="1"/>
  <c r="G859" i="1"/>
  <c r="C854" i="1"/>
  <c r="K848" i="1"/>
  <c r="G843" i="1"/>
  <c r="M4" i="6"/>
  <c r="DA5" i="5"/>
  <c r="AO5" i="5"/>
  <c r="EA4" i="5"/>
  <c r="BO4" i="5"/>
  <c r="C4" i="5"/>
  <c r="CQ5" i="4"/>
  <c r="AE5" i="4"/>
  <c r="DQ4" i="4"/>
  <c r="BE4" i="4"/>
  <c r="J868" i="1"/>
  <c r="F863" i="1"/>
  <c r="B858" i="1"/>
  <c r="J852" i="1"/>
  <c r="F847" i="1"/>
  <c r="BQ4" i="6"/>
  <c r="DP5" i="5"/>
  <c r="BD5" i="5"/>
  <c r="EP4" i="5"/>
  <c r="CD4" i="5"/>
  <c r="R4" i="5"/>
  <c r="DF5" i="4"/>
  <c r="AT5" i="4"/>
  <c r="EF4" i="4"/>
  <c r="BT4" i="4"/>
  <c r="H4" i="4"/>
  <c r="E865" i="1"/>
  <c r="A860" i="1"/>
  <c r="I854" i="1"/>
  <c r="E849" i="1"/>
  <c r="A844" i="1"/>
  <c r="EU5" i="5"/>
  <c r="CI5" i="5"/>
  <c r="W5" i="5"/>
  <c r="DI4" i="5"/>
  <c r="AW4" i="5"/>
  <c r="EC5" i="4"/>
  <c r="BQ5" i="4"/>
  <c r="E5" i="4"/>
  <c r="CQ4" i="4"/>
  <c r="AE4" i="4"/>
  <c r="D867" i="1"/>
  <c r="L861" i="1"/>
  <c r="H856" i="1"/>
  <c r="D851" i="1"/>
  <c r="L845" i="1"/>
  <c r="R4" i="6"/>
  <c r="DF5" i="5"/>
  <c r="AT5" i="5"/>
  <c r="EF4" i="5"/>
  <c r="BT4" i="5"/>
  <c r="H4" i="5"/>
  <c r="CN5" i="4"/>
  <c r="AB5" i="4"/>
  <c r="DN4" i="4"/>
  <c r="BB4" i="4"/>
  <c r="C869" i="1"/>
  <c r="K863" i="1"/>
  <c r="G858" i="1"/>
  <c r="AK4" i="7"/>
  <c r="DW5" i="6"/>
  <c r="BK5" i="6"/>
  <c r="EW4" i="6"/>
  <c r="CK4" i="6"/>
  <c r="Y4" i="6"/>
  <c r="AV4" i="10"/>
  <c r="AD5" i="9"/>
  <c r="V4" i="9"/>
  <c r="CC5" i="8"/>
  <c r="ES4" i="8"/>
  <c r="BK4" i="8"/>
  <c r="DW5" i="7"/>
  <c r="BF5" i="7"/>
  <c r="ER4" i="7"/>
  <c r="CF4" i="7"/>
  <c r="T4" i="7"/>
  <c r="DF5" i="6"/>
  <c r="AT5" i="6"/>
  <c r="EF4" i="6"/>
  <c r="BT4" i="6"/>
  <c r="CW4" i="6"/>
  <c r="DL5" i="5"/>
  <c r="AZ5" i="5"/>
  <c r="EL4" i="5"/>
  <c r="BZ4" i="5"/>
  <c r="N4" i="5"/>
  <c r="DB5" i="4"/>
  <c r="AP5" i="4"/>
  <c r="EB4" i="4"/>
  <c r="BP4" i="4"/>
  <c r="D4" i="4"/>
  <c r="A865" i="1"/>
  <c r="I859" i="1"/>
  <c r="E854" i="1"/>
  <c r="A849" i="1"/>
  <c r="I843" i="1"/>
  <c r="EI5" i="5"/>
  <c r="BW5" i="5"/>
  <c r="K5" i="5"/>
  <c r="CW4" i="5"/>
  <c r="AK4" i="5"/>
  <c r="DY5" i="4"/>
  <c r="BM5" i="4"/>
  <c r="A5" i="4"/>
  <c r="CM4" i="4"/>
  <c r="AA4" i="4"/>
  <c r="L866" i="1"/>
  <c r="H861" i="1"/>
  <c r="D856" i="1"/>
  <c r="L850" i="1"/>
  <c r="H845" i="1"/>
  <c r="N4" i="6"/>
  <c r="DB5" i="5"/>
  <c r="AP5" i="5"/>
  <c r="EB4" i="5"/>
  <c r="BP4" i="5"/>
  <c r="D4" i="5"/>
  <c r="CR5" i="4"/>
  <c r="AF5" i="4"/>
  <c r="DR4" i="4"/>
  <c r="BF4" i="4"/>
  <c r="G869" i="1"/>
  <c r="C864" i="1"/>
  <c r="K858" i="1"/>
  <c r="G853" i="1"/>
  <c r="C848" i="1"/>
  <c r="K842" i="1"/>
  <c r="E4" i="6"/>
  <c r="CS5" i="5"/>
  <c r="AG5" i="5"/>
  <c r="DS4" i="5"/>
  <c r="BG4" i="5"/>
  <c r="EU5" i="4"/>
  <c r="CI5" i="4"/>
  <c r="W5" i="4"/>
  <c r="DI4" i="4"/>
  <c r="AW4" i="4"/>
  <c r="B868" i="1"/>
  <c r="J862" i="1"/>
  <c r="F857" i="1"/>
  <c r="B852" i="1"/>
  <c r="J846" i="1"/>
  <c r="U4" i="6"/>
  <c r="DH5" i="5"/>
  <c r="AV5" i="5"/>
  <c r="EH4" i="5"/>
  <c r="BV4" i="5"/>
  <c r="J4" i="5"/>
  <c r="CX5" i="4"/>
  <c r="AL5" i="4"/>
  <c r="DX4" i="4"/>
  <c r="BL4" i="4"/>
  <c r="A4" i="3"/>
  <c r="I864" i="1"/>
  <c r="E859" i="1"/>
  <c r="A854" i="1"/>
  <c r="I848" i="1"/>
  <c r="E843" i="1"/>
  <c r="EM5" i="5"/>
  <c r="CA5" i="5"/>
  <c r="O5" i="5"/>
  <c r="DA4" i="5"/>
  <c r="AO4" i="5"/>
  <c r="DU5" i="4"/>
  <c r="BI5" i="4"/>
  <c r="EU4" i="4"/>
  <c r="CI4" i="4"/>
  <c r="W4" i="4"/>
  <c r="H866" i="1"/>
  <c r="D861" i="1"/>
  <c r="L855" i="1"/>
  <c r="H850" i="1"/>
  <c r="D845" i="1"/>
  <c r="J4" i="6"/>
  <c r="CX5" i="5"/>
  <c r="AL5" i="5"/>
  <c r="DX4" i="5"/>
  <c r="BL4" i="5"/>
  <c r="ER5" i="4"/>
  <c r="CF5" i="4"/>
  <c r="T5" i="4"/>
  <c r="DF4" i="4"/>
  <c r="AT4" i="4"/>
  <c r="G868" i="1"/>
  <c r="C863" i="1"/>
  <c r="K857" i="1"/>
  <c r="AC4" i="7"/>
  <c r="DO5" i="6"/>
  <c r="BC5" i="6"/>
  <c r="EO4" i="6"/>
  <c r="CC4" i="6"/>
  <c r="DN5" i="10"/>
  <c r="P4" i="10"/>
  <c r="G5" i="9"/>
  <c r="D4" i="9"/>
  <c r="BQ5" i="8"/>
  <c r="EI4" i="8"/>
  <c r="BA4" i="8"/>
  <c r="DN5" i="7"/>
  <c r="AX5" i="7"/>
  <c r="EJ4" i="7"/>
  <c r="BX4" i="7"/>
  <c r="L4" i="7"/>
  <c r="CX5" i="6"/>
  <c r="AL5" i="6"/>
  <c r="DX4" i="6"/>
  <c r="BL4" i="6"/>
  <c r="AK4" i="6"/>
  <c r="DD5" i="5"/>
  <c r="AR5" i="5"/>
  <c r="ED4" i="5"/>
  <c r="BR4" i="5"/>
  <c r="F4" i="5"/>
  <c r="CT5" i="4"/>
  <c r="AH5" i="4"/>
  <c r="DT4" i="4"/>
  <c r="BH4" i="4"/>
  <c r="I869" i="1"/>
  <c r="E864" i="1"/>
  <c r="A859" i="1"/>
  <c r="I853" i="1"/>
  <c r="E848" i="1"/>
  <c r="BO5" i="6"/>
  <c r="EA5" i="5"/>
  <c r="BO5" i="5"/>
  <c r="C5" i="5"/>
  <c r="CO4" i="5"/>
  <c r="AC4" i="5"/>
  <c r="DQ5" i="4"/>
  <c r="BE5" i="4"/>
  <c r="EQ4" i="4"/>
  <c r="CE4" i="4"/>
  <c r="S4" i="4"/>
  <c r="D866" i="1"/>
  <c r="L860" i="1"/>
  <c r="H855" i="1"/>
  <c r="D850" i="1"/>
  <c r="L844" i="1"/>
  <c r="F4" i="6"/>
  <c r="CT5" i="5"/>
  <c r="AH5" i="5"/>
  <c r="DT4" i="5"/>
  <c r="BH4" i="5"/>
  <c r="EV5" i="4"/>
  <c r="CJ5" i="4"/>
  <c r="X5" i="4"/>
  <c r="DJ4" i="4"/>
  <c r="AX4" i="4"/>
  <c r="K868" i="1"/>
  <c r="G863" i="1"/>
  <c r="C858" i="1"/>
  <c r="K852" i="1"/>
  <c r="G847" i="1"/>
  <c r="C842" i="1"/>
  <c r="EW5" i="5"/>
  <c r="CK5" i="5"/>
  <c r="Y5" i="5"/>
  <c r="DK4" i="5"/>
  <c r="AY4" i="5"/>
  <c r="EM5" i="4"/>
  <c r="CA5" i="4"/>
  <c r="O5" i="4"/>
  <c r="DA4" i="4"/>
  <c r="AO4" i="4"/>
  <c r="F867" i="1"/>
  <c r="B862" i="1"/>
  <c r="J856" i="1"/>
  <c r="F851" i="1"/>
  <c r="B846" i="1"/>
  <c r="L4" i="6"/>
  <c r="CZ5" i="5"/>
  <c r="AN5" i="5"/>
  <c r="DZ4" i="5"/>
  <c r="BN4" i="5"/>
  <c r="B4" i="5"/>
  <c r="CP5" i="4"/>
  <c r="AD5" i="4"/>
  <c r="DP4" i="4"/>
  <c r="BD4" i="4"/>
  <c r="E869" i="1"/>
  <c r="A864" i="1"/>
  <c r="I858" i="1"/>
  <c r="E853" i="1"/>
  <c r="A848" i="1"/>
  <c r="AI5" i="6"/>
  <c r="EE5" i="5"/>
  <c r="BS5" i="5"/>
  <c r="G5" i="5"/>
  <c r="CS4" i="5"/>
  <c r="AG4" i="5"/>
  <c r="DM5" i="4"/>
  <c r="BA5" i="4"/>
  <c r="EM4" i="4"/>
  <c r="CA4" i="4"/>
  <c r="O4" i="4"/>
  <c r="L865" i="1"/>
  <c r="H860" i="1"/>
  <c r="D855" i="1"/>
  <c r="L849" i="1"/>
  <c r="H844" i="1"/>
  <c r="B4" i="6"/>
  <c r="CP5" i="5"/>
  <c r="AD5" i="5"/>
  <c r="DP4" i="5"/>
  <c r="BD4" i="5"/>
  <c r="EJ5" i="4"/>
  <c r="BX5" i="4"/>
  <c r="L5" i="4"/>
  <c r="CX4" i="4"/>
  <c r="AL4" i="4"/>
  <c r="K867" i="1"/>
  <c r="G862" i="1"/>
  <c r="C857" i="1"/>
  <c r="U4" i="7"/>
  <c r="DG5" i="6"/>
  <c r="AU5" i="6"/>
  <c r="EG4" i="6"/>
  <c r="BU4" i="6"/>
  <c r="CH5" i="10"/>
  <c r="FB5" i="9"/>
  <c r="ET4" i="9"/>
  <c r="ER5" i="8"/>
  <c r="BG5" i="8"/>
  <c r="DW4" i="8"/>
  <c r="AQ4" i="8"/>
  <c r="DE5" i="7"/>
  <c r="AP5" i="7"/>
  <c r="EB4" i="7"/>
  <c r="BP4" i="7"/>
  <c r="D4" i="7"/>
  <c r="CP5" i="6"/>
  <c r="AD5" i="6"/>
  <c r="DP4" i="6"/>
  <c r="BD4" i="6"/>
  <c r="P4" i="6"/>
  <c r="CV5" i="5"/>
  <c r="AJ5" i="5"/>
  <c r="DV4" i="5"/>
  <c r="BJ4" i="5"/>
  <c r="EX5" i="4"/>
  <c r="CL5" i="4"/>
  <c r="Z5" i="4"/>
  <c r="DL4" i="4"/>
  <c r="AZ4" i="4"/>
  <c r="A869" i="1"/>
  <c r="I863" i="1"/>
  <c r="E858" i="1"/>
  <c r="A853" i="1"/>
  <c r="I847" i="1"/>
  <c r="C5" i="6"/>
  <c r="DS5" i="5"/>
  <c r="BG5" i="5"/>
  <c r="ES4" i="5"/>
  <c r="CG4" i="5"/>
  <c r="U4" i="5"/>
  <c r="DI5" i="4"/>
  <c r="AW5" i="4"/>
  <c r="EI4" i="4"/>
  <c r="BW4" i="4"/>
  <c r="K4" i="4"/>
  <c r="H865" i="1"/>
  <c r="D860" i="1"/>
  <c r="L854" i="1"/>
  <c r="H849" i="1"/>
  <c r="D844" i="1"/>
  <c r="EX5" i="5"/>
  <c r="CL5" i="5"/>
  <c r="Z5" i="5"/>
  <c r="DL4" i="5"/>
  <c r="AZ4" i="5"/>
  <c r="EN5" i="4"/>
  <c r="CB5" i="4"/>
  <c r="P5" i="4"/>
  <c r="DB4" i="4"/>
  <c r="AP4" i="4"/>
  <c r="C868" i="1"/>
  <c r="K862" i="1"/>
  <c r="G857" i="1"/>
  <c r="C852" i="1"/>
  <c r="K846" i="1"/>
  <c r="G841" i="1"/>
  <c r="EO5" i="5"/>
  <c r="CC5" i="5"/>
  <c r="Q5" i="5"/>
  <c r="DC4" i="5"/>
  <c r="AQ4" i="5"/>
  <c r="EE5" i="4"/>
  <c r="BS5" i="4"/>
  <c r="G5" i="4"/>
  <c r="CS4" i="4"/>
  <c r="AG4" i="4"/>
  <c r="J866" i="1"/>
  <c r="F861" i="1"/>
  <c r="B856" i="1"/>
  <c r="J850" i="1"/>
  <c r="F845" i="1"/>
  <c r="D4" i="6"/>
  <c r="CR5" i="5"/>
  <c r="AF5" i="5"/>
  <c r="DR4" i="5"/>
  <c r="BF4" i="5"/>
  <c r="ET5" i="4"/>
  <c r="CH5" i="4"/>
  <c r="V5" i="4"/>
  <c r="DH4" i="4"/>
  <c r="AV4" i="4"/>
  <c r="I868" i="1"/>
  <c r="E863" i="1"/>
  <c r="A858" i="1"/>
  <c r="I852" i="1"/>
  <c r="E847" i="1"/>
  <c r="DU4" i="6"/>
  <c r="DW5" i="5"/>
  <c r="BK5" i="5"/>
  <c r="EW4" i="5"/>
  <c r="CK4" i="5"/>
  <c r="Y4" i="5"/>
  <c r="DE5" i="4"/>
  <c r="AS5" i="4"/>
  <c r="EE4" i="4"/>
  <c r="BS4" i="4"/>
  <c r="G4" i="4"/>
  <c r="D865" i="1"/>
  <c r="L859" i="1"/>
  <c r="H854" i="1"/>
  <c r="D849" i="1"/>
  <c r="L843" i="1"/>
  <c r="ET5" i="5"/>
  <c r="CH5" i="5"/>
  <c r="V5" i="5"/>
  <c r="DH4" i="5"/>
  <c r="AV4" i="5"/>
  <c r="EB5" i="4"/>
  <c r="BP5" i="4"/>
  <c r="D5" i="4"/>
  <c r="CP4" i="4"/>
  <c r="AD4" i="4"/>
  <c r="C867" i="1"/>
  <c r="K861" i="1"/>
  <c r="G856" i="1"/>
  <c r="M4" i="7"/>
  <c r="CY5" i="6"/>
  <c r="AM5" i="6"/>
  <c r="DY4" i="6"/>
  <c r="BM4" i="6"/>
  <c r="BB5" i="10"/>
  <c r="EE5" i="9"/>
  <c r="EB4" i="9"/>
  <c r="EF5" i="8"/>
  <c r="AW5" i="8"/>
  <c r="DM4" i="8"/>
  <c r="AE4" i="8"/>
  <c r="CV5" i="7"/>
  <c r="AH5" i="7"/>
  <c r="DT4" i="7"/>
  <c r="BH4" i="7"/>
  <c r="ET5" i="6"/>
  <c r="CH5" i="6"/>
  <c r="V5" i="6"/>
  <c r="DH4" i="6"/>
  <c r="AV4" i="6"/>
  <c r="H4" i="6"/>
  <c r="CN5" i="5"/>
  <c r="AB5" i="5"/>
  <c r="DN4" i="5"/>
  <c r="BB4" i="5"/>
  <c r="EP5" i="4"/>
  <c r="CD5" i="4"/>
  <c r="R5" i="4"/>
  <c r="DD4" i="4"/>
  <c r="AR4" i="4"/>
  <c r="E868" i="1"/>
  <c r="A863" i="1"/>
  <c r="I857" i="1"/>
  <c r="E852" i="1"/>
  <c r="A847" i="1"/>
  <c r="CO4" i="6"/>
  <c r="DK5" i="5"/>
  <c r="AY5" i="5"/>
  <c r="EK4" i="5"/>
  <c r="BY4" i="5"/>
  <c r="M4" i="5"/>
  <c r="DA5" i="4"/>
  <c r="AO5" i="4"/>
  <c r="EA4" i="4"/>
  <c r="BO4" i="4"/>
  <c r="C4" i="4"/>
  <c r="L864" i="1"/>
  <c r="H859" i="1"/>
  <c r="D854" i="1"/>
  <c r="L848" i="1"/>
  <c r="H843" i="1"/>
  <c r="EP5" i="5"/>
  <c r="CD5" i="5"/>
  <c r="R5" i="5"/>
  <c r="DD4" i="5"/>
  <c r="AR4" i="5"/>
  <c r="EF5" i="4"/>
  <c r="BT5" i="4"/>
  <c r="H5" i="4"/>
  <c r="CT4" i="4"/>
  <c r="AH4" i="4"/>
  <c r="G867" i="1"/>
  <c r="C862" i="1"/>
  <c r="K856" i="1"/>
  <c r="G851" i="1"/>
  <c r="C846" i="1"/>
  <c r="AY5" i="6"/>
  <c r="EG5" i="5"/>
  <c r="BU5" i="5"/>
  <c r="I5" i="5"/>
  <c r="CU4" i="5"/>
  <c r="AI4" i="5"/>
  <c r="DW5" i="4"/>
  <c r="BK5" i="4"/>
  <c r="EW4" i="4"/>
  <c r="CK4" i="4"/>
  <c r="Y4" i="4"/>
  <c r="B866" i="1"/>
  <c r="J860" i="1"/>
  <c r="F855" i="1"/>
  <c r="B850" i="1"/>
  <c r="J844" i="1"/>
  <c r="EV5" i="5"/>
  <c r="CJ5" i="5"/>
  <c r="X5" i="5"/>
  <c r="DJ4" i="5"/>
  <c r="AX4" i="5"/>
  <c r="EL5" i="4"/>
  <c r="BZ5" i="4"/>
  <c r="N5" i="4"/>
  <c r="CZ4" i="4"/>
  <c r="AN4" i="4"/>
  <c r="A868" i="1"/>
  <c r="I862" i="1"/>
  <c r="E857" i="1"/>
  <c r="A852" i="1"/>
  <c r="I846" i="1"/>
  <c r="BI4" i="6"/>
  <c r="DO5" i="5"/>
  <c r="BC5" i="5"/>
  <c r="EO4" i="5"/>
  <c r="CC4" i="5"/>
  <c r="Q4" i="5"/>
  <c r="CW5" i="4"/>
  <c r="AK5" i="4"/>
  <c r="DW4" i="4"/>
  <c r="BK4" i="4"/>
  <c r="L869" i="1"/>
  <c r="H864" i="1"/>
  <c r="D859" i="1"/>
  <c r="L853" i="1"/>
  <c r="H848" i="1"/>
  <c r="D843" i="1"/>
  <c r="EL5" i="5"/>
  <c r="BZ5" i="5"/>
  <c r="N5" i="5"/>
  <c r="CZ4" i="5"/>
  <c r="AN4" i="5"/>
  <c r="DT5" i="4"/>
  <c r="BH5" i="4"/>
  <c r="ET4" i="4"/>
  <c r="CH4" i="4"/>
  <c r="V4" i="4"/>
  <c r="G866" i="1"/>
  <c r="C861" i="1"/>
  <c r="K855" i="1"/>
  <c r="E4" i="7"/>
  <c r="CQ5" i="6"/>
  <c r="AE5" i="6"/>
  <c r="DQ4" i="6"/>
  <c r="BE4" i="6"/>
  <c r="V5" i="10"/>
  <c r="DH5" i="9"/>
  <c r="DE4" i="9"/>
  <c r="DS5" i="8"/>
  <c r="AK5" i="8"/>
  <c r="DC4" i="8"/>
  <c r="U4" i="8"/>
  <c r="CM5" i="7"/>
  <c r="Z5" i="7"/>
  <c r="DL4" i="7"/>
  <c r="AZ4" i="7"/>
  <c r="EL5" i="6"/>
  <c r="BZ5" i="6"/>
  <c r="N5" i="6"/>
  <c r="CZ4" i="6"/>
  <c r="AN4" i="6"/>
  <c r="ER5" i="5"/>
  <c r="CF5" i="5"/>
  <c r="T5" i="5"/>
  <c r="DF4" i="5"/>
  <c r="AT4" i="5"/>
  <c r="EH5" i="4"/>
  <c r="BV5" i="4"/>
  <c r="J5" i="4"/>
  <c r="CV4" i="4"/>
  <c r="AJ4" i="4"/>
  <c r="I867" i="1"/>
  <c r="E862" i="1"/>
  <c r="A857" i="1"/>
  <c r="I851" i="1"/>
  <c r="E846" i="1"/>
  <c r="AC4" i="6"/>
  <c r="DC5" i="5"/>
  <c r="AQ5" i="5"/>
  <c r="EC4" i="5"/>
  <c r="BQ4" i="5"/>
  <c r="E4" i="5"/>
  <c r="CS5" i="4"/>
  <c r="AG5" i="4"/>
  <c r="DS4" i="4"/>
  <c r="BG4" i="4"/>
  <c r="H869" i="1"/>
  <c r="D864" i="1"/>
  <c r="L858" i="1"/>
  <c r="H853" i="1"/>
  <c r="D848" i="1"/>
  <c r="BG5" i="6"/>
  <c r="EH5" i="5"/>
  <c r="BV5" i="5"/>
  <c r="J5" i="5"/>
  <c r="CV4" i="5"/>
  <c r="AJ4" i="5"/>
  <c r="DX5" i="4"/>
  <c r="BL5" i="4"/>
  <c r="EX4" i="4"/>
  <c r="CL4" i="4"/>
  <c r="Z4" i="4"/>
  <c r="K866" i="1"/>
  <c r="G861" i="1"/>
  <c r="C856" i="1"/>
  <c r="K850" i="1"/>
  <c r="G845" i="1"/>
  <c r="EK4" i="6"/>
  <c r="DY5" i="5"/>
  <c r="BM5" i="5"/>
  <c r="A5" i="5"/>
  <c r="CM4" i="5"/>
  <c r="AA4" i="5"/>
  <c r="DO5" i="4"/>
  <c r="BC5" i="4"/>
  <c r="EO4" i="4"/>
  <c r="CC4" i="4"/>
  <c r="Q4" i="4"/>
  <c r="F865" i="1"/>
  <c r="B860" i="1"/>
  <c r="J854" i="1"/>
  <c r="F849" i="1"/>
  <c r="B844" i="1"/>
  <c r="EN5" i="5"/>
  <c r="CB5" i="5"/>
  <c r="P5" i="5"/>
  <c r="DB4" i="5"/>
  <c r="AP4" i="5"/>
  <c r="ED5" i="4"/>
  <c r="BR5" i="4"/>
  <c r="F5" i="4"/>
  <c r="CR4" i="4"/>
  <c r="AF4" i="4"/>
  <c r="E867" i="1"/>
  <c r="A862" i="1"/>
  <c r="I856" i="1"/>
  <c r="E851" i="1"/>
  <c r="A846" i="1"/>
  <c r="S4" i="6"/>
  <c r="DG5" i="5"/>
  <c r="AU5" i="5"/>
  <c r="EG4" i="5"/>
  <c r="BU4" i="5"/>
  <c r="I4" i="5"/>
  <c r="CO5" i="4"/>
  <c r="AC5" i="4"/>
  <c r="DO4" i="4"/>
  <c r="BC4" i="4"/>
  <c r="D869" i="1"/>
  <c r="L863" i="1"/>
  <c r="H858" i="1"/>
  <c r="D853" i="1"/>
  <c r="L847" i="1"/>
  <c r="AA5" i="6"/>
  <c r="ED5" i="5"/>
  <c r="BR5" i="5"/>
  <c r="F5" i="5"/>
  <c r="CR4" i="5"/>
  <c r="AF4" i="5"/>
  <c r="DL5" i="4"/>
  <c r="AZ5" i="4"/>
  <c r="EL4" i="4"/>
  <c r="BZ4" i="4"/>
  <c r="N4" i="4"/>
  <c r="K865" i="1"/>
  <c r="G860" i="1"/>
  <c r="C855" i="1"/>
  <c r="G854" i="1"/>
  <c r="C849" i="1"/>
  <c r="K843" i="1"/>
  <c r="EK5" i="5"/>
  <c r="BY5" i="5"/>
  <c r="M5" i="5"/>
  <c r="CY4" i="5"/>
  <c r="AM4" i="5"/>
  <c r="DS5" i="4"/>
  <c r="BG5" i="4"/>
  <c r="ES4" i="4"/>
  <c r="CG4" i="4"/>
  <c r="U4" i="4"/>
  <c r="F866" i="1"/>
  <c r="B861" i="1"/>
  <c r="J855" i="1"/>
  <c r="F850" i="1"/>
  <c r="B845" i="1"/>
  <c r="A839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F843" i="1"/>
  <c r="H837" i="1"/>
  <c r="D832" i="1"/>
  <c r="L826" i="1"/>
  <c r="H821" i="1"/>
  <c r="D816" i="1"/>
  <c r="L810" i="1"/>
  <c r="H805" i="1"/>
  <c r="D800" i="1"/>
  <c r="L794" i="1"/>
  <c r="H789" i="1"/>
  <c r="D784" i="1"/>
  <c r="L778" i="1"/>
  <c r="H773" i="1"/>
  <c r="D768" i="1"/>
  <c r="L762" i="1"/>
  <c r="H841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K766" i="1"/>
  <c r="G761" i="1"/>
  <c r="J840" i="1"/>
  <c r="F835" i="1"/>
  <c r="B830" i="1"/>
  <c r="J824" i="1"/>
  <c r="F819" i="1"/>
  <c r="B814" i="1"/>
  <c r="J808" i="1"/>
  <c r="F803" i="1"/>
  <c r="B798" i="1"/>
  <c r="J792" i="1"/>
  <c r="F787" i="1"/>
  <c r="B782" i="1"/>
  <c r="J776" i="1"/>
  <c r="F771" i="1"/>
  <c r="B766" i="1"/>
  <c r="J760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A776" i="1"/>
  <c r="I770" i="1"/>
  <c r="E765" i="1"/>
  <c r="D839" i="1"/>
  <c r="L833" i="1"/>
  <c r="H828" i="1"/>
  <c r="D823" i="1"/>
  <c r="L817" i="1"/>
  <c r="H812" i="1"/>
  <c r="D807" i="1"/>
  <c r="L801" i="1"/>
  <c r="H796" i="1"/>
  <c r="D791" i="1"/>
  <c r="L785" i="1"/>
  <c r="H780" i="1"/>
  <c r="D775" i="1"/>
  <c r="L769" i="1"/>
  <c r="H764" i="1"/>
  <c r="C839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G764" i="1"/>
  <c r="F838" i="1"/>
  <c r="K853" i="1"/>
  <c r="G848" i="1"/>
  <c r="C843" i="1"/>
  <c r="EC5" i="5"/>
  <c r="BQ5" i="5"/>
  <c r="E5" i="5"/>
  <c r="CQ4" i="5"/>
  <c r="AE4" i="5"/>
  <c r="DK5" i="4"/>
  <c r="AY5" i="4"/>
  <c r="EK4" i="4"/>
  <c r="BY4" i="4"/>
  <c r="M4" i="4"/>
  <c r="J865" i="1"/>
  <c r="F860" i="1"/>
  <c r="B855" i="1"/>
  <c r="J849" i="1"/>
  <c r="F844" i="1"/>
  <c r="E838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F842" i="1"/>
  <c r="L836" i="1"/>
  <c r="H831" i="1"/>
  <c r="D826" i="1"/>
  <c r="L820" i="1"/>
  <c r="H815" i="1"/>
  <c r="D810" i="1"/>
  <c r="L804" i="1"/>
  <c r="H799" i="1"/>
  <c r="D794" i="1"/>
  <c r="L788" i="1"/>
  <c r="H783" i="1"/>
  <c r="D778" i="1"/>
  <c r="L772" i="1"/>
  <c r="H767" i="1"/>
  <c r="D762" i="1"/>
  <c r="K84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C766" i="1"/>
  <c r="K760" i="1"/>
  <c r="B840" i="1"/>
  <c r="J834" i="1"/>
  <c r="F829" i="1"/>
  <c r="B824" i="1"/>
  <c r="J818" i="1"/>
  <c r="F813" i="1"/>
  <c r="B808" i="1"/>
  <c r="J802" i="1"/>
  <c r="F797" i="1"/>
  <c r="B792" i="1"/>
  <c r="J786" i="1"/>
  <c r="F781" i="1"/>
  <c r="B776" i="1"/>
  <c r="J770" i="1"/>
  <c r="F765" i="1"/>
  <c r="B760" i="1"/>
  <c r="E839" i="1"/>
  <c r="A834" i="1"/>
  <c r="I828" i="1"/>
  <c r="E823" i="1"/>
  <c r="A818" i="1"/>
  <c r="I812" i="1"/>
  <c r="E807" i="1"/>
  <c r="A802" i="1"/>
  <c r="I796" i="1"/>
  <c r="E791" i="1"/>
  <c r="A786" i="1"/>
  <c r="I780" i="1"/>
  <c r="E775" i="1"/>
  <c r="A770" i="1"/>
  <c r="I764" i="1"/>
  <c r="H838" i="1"/>
  <c r="D833" i="1"/>
  <c r="L827" i="1"/>
  <c r="H822" i="1"/>
  <c r="D817" i="1"/>
  <c r="L811" i="1"/>
  <c r="H806" i="1"/>
  <c r="D801" i="1"/>
  <c r="L795" i="1"/>
  <c r="H790" i="1"/>
  <c r="D785" i="1"/>
  <c r="L779" i="1"/>
  <c r="H774" i="1"/>
  <c r="D769" i="1"/>
  <c r="L763" i="1"/>
  <c r="G838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K763" i="1"/>
  <c r="J837" i="1"/>
  <c r="C853" i="1"/>
  <c r="K847" i="1"/>
  <c r="S5" i="6"/>
  <c r="DU5" i="5"/>
  <c r="BI5" i="5"/>
  <c r="EU4" i="5"/>
  <c r="CI4" i="5"/>
  <c r="W4" i="5"/>
  <c r="DC5" i="4"/>
  <c r="AQ5" i="4"/>
  <c r="EC4" i="4"/>
  <c r="BQ4" i="4"/>
  <c r="E4" i="4"/>
  <c r="B865" i="1"/>
  <c r="J859" i="1"/>
  <c r="F854" i="1"/>
  <c r="B849" i="1"/>
  <c r="J843" i="1"/>
  <c r="I837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I841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D772" i="1"/>
  <c r="L766" i="1"/>
  <c r="H761" i="1"/>
  <c r="C840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G765" i="1"/>
  <c r="C760" i="1"/>
  <c r="F839" i="1"/>
  <c r="B834" i="1"/>
  <c r="J828" i="1"/>
  <c r="F823" i="1"/>
  <c r="B818" i="1"/>
  <c r="J812" i="1"/>
  <c r="F807" i="1"/>
  <c r="B802" i="1"/>
  <c r="J796" i="1"/>
  <c r="F791" i="1"/>
  <c r="B786" i="1"/>
  <c r="J780" i="1"/>
  <c r="F775" i="1"/>
  <c r="B770" i="1"/>
  <c r="J764" i="1"/>
  <c r="F759" i="1"/>
  <c r="I838" i="1"/>
  <c r="E833" i="1"/>
  <c r="A828" i="1"/>
  <c r="I822" i="1"/>
  <c r="E817" i="1"/>
  <c r="A812" i="1"/>
  <c r="I806" i="1"/>
  <c r="E801" i="1"/>
  <c r="A796" i="1"/>
  <c r="I790" i="1"/>
  <c r="E785" i="1"/>
  <c r="A780" i="1"/>
  <c r="I774" i="1"/>
  <c r="E769" i="1"/>
  <c r="A764" i="1"/>
  <c r="L837" i="1"/>
  <c r="H832" i="1"/>
  <c r="D827" i="1"/>
  <c r="L821" i="1"/>
  <c r="H816" i="1"/>
  <c r="D811" i="1"/>
  <c r="L805" i="1"/>
  <c r="H800" i="1"/>
  <c r="D795" i="1"/>
  <c r="L789" i="1"/>
  <c r="H784" i="1"/>
  <c r="D779" i="1"/>
  <c r="L773" i="1"/>
  <c r="H768" i="1"/>
  <c r="D763" i="1"/>
  <c r="K837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H842" i="1"/>
  <c r="B837" i="1"/>
  <c r="G852" i="1"/>
  <c r="C847" i="1"/>
  <c r="DE4" i="6"/>
  <c r="DM5" i="5"/>
  <c r="BA5" i="5"/>
  <c r="EM4" i="5"/>
  <c r="CA4" i="5"/>
  <c r="O4" i="5"/>
  <c r="CU5" i="4"/>
  <c r="AI5" i="4"/>
  <c r="DU4" i="4"/>
  <c r="BI4" i="4"/>
  <c r="J869" i="1"/>
  <c r="F864" i="1"/>
  <c r="B859" i="1"/>
  <c r="J853" i="1"/>
  <c r="F848" i="1"/>
  <c r="G842" i="1"/>
  <c r="A837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L840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H771" i="1"/>
  <c r="D766" i="1"/>
  <c r="L760" i="1"/>
  <c r="G83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K764" i="1"/>
  <c r="G759" i="1"/>
  <c r="J838" i="1"/>
  <c r="F833" i="1"/>
  <c r="B828" i="1"/>
  <c r="J822" i="1"/>
  <c r="F817" i="1"/>
  <c r="B812" i="1"/>
  <c r="J806" i="1"/>
  <c r="F801" i="1"/>
  <c r="B796" i="1"/>
  <c r="J790" i="1"/>
  <c r="F785" i="1"/>
  <c r="B780" i="1"/>
  <c r="J774" i="1"/>
  <c r="F769" i="1"/>
  <c r="B764" i="1"/>
  <c r="J758" i="1"/>
  <c r="A838" i="1"/>
  <c r="I832" i="1"/>
  <c r="E827" i="1"/>
  <c r="A822" i="1"/>
  <c r="I816" i="1"/>
  <c r="E811" i="1"/>
  <c r="A806" i="1"/>
  <c r="I800" i="1"/>
  <c r="E795" i="1"/>
  <c r="A790" i="1"/>
  <c r="I784" i="1"/>
  <c r="E779" i="1"/>
  <c r="A774" i="1"/>
  <c r="I768" i="1"/>
  <c r="J842" i="1"/>
  <c r="D837" i="1"/>
  <c r="L831" i="1"/>
  <c r="H826" i="1"/>
  <c r="D821" i="1"/>
  <c r="L815" i="1"/>
  <c r="H810" i="1"/>
  <c r="D805" i="1"/>
  <c r="L799" i="1"/>
  <c r="H794" i="1"/>
  <c r="D789" i="1"/>
  <c r="L783" i="1"/>
  <c r="H778" i="1"/>
  <c r="D773" i="1"/>
  <c r="L767" i="1"/>
  <c r="I842" i="1"/>
  <c r="C837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K841" i="1"/>
  <c r="F836" i="1"/>
  <c r="K851" i="1"/>
  <c r="G846" i="1"/>
  <c r="AS4" i="6"/>
  <c r="DE5" i="5"/>
  <c r="AS5" i="5"/>
  <c r="EE4" i="5"/>
  <c r="BS4" i="5"/>
  <c r="G4" i="5"/>
  <c r="CM5" i="4"/>
  <c r="AA5" i="4"/>
  <c r="DM4" i="4"/>
  <c r="BA4" i="4"/>
  <c r="B869" i="1"/>
  <c r="J863" i="1"/>
  <c r="F858" i="1"/>
  <c r="B853" i="1"/>
  <c r="J847" i="1"/>
  <c r="J841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L770" i="1"/>
  <c r="H765" i="1"/>
  <c r="D760" i="1"/>
  <c r="K838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C764" i="1"/>
  <c r="K758" i="1"/>
  <c r="B838" i="1"/>
  <c r="J832" i="1"/>
  <c r="F827" i="1"/>
  <c r="B822" i="1"/>
  <c r="J816" i="1"/>
  <c r="F811" i="1"/>
  <c r="B806" i="1"/>
  <c r="J800" i="1"/>
  <c r="F795" i="1"/>
  <c r="B790" i="1"/>
  <c r="J784" i="1"/>
  <c r="F779" i="1"/>
  <c r="B774" i="1"/>
  <c r="J768" i="1"/>
  <c r="F763" i="1"/>
  <c r="L842" i="1"/>
  <c r="E837" i="1"/>
  <c r="A832" i="1"/>
  <c r="I826" i="1"/>
  <c r="E821" i="1"/>
  <c r="A816" i="1"/>
  <c r="I810" i="1"/>
  <c r="E805" i="1"/>
  <c r="A800" i="1"/>
  <c r="I794" i="1"/>
  <c r="E789" i="1"/>
  <c r="A784" i="1"/>
  <c r="I778" i="1"/>
  <c r="E773" i="1"/>
  <c r="A768" i="1"/>
  <c r="A842" i="1"/>
  <c r="H836" i="1"/>
  <c r="D831" i="1"/>
  <c r="L825" i="1"/>
  <c r="H820" i="1"/>
  <c r="D815" i="1"/>
  <c r="L809" i="1"/>
  <c r="H804" i="1"/>
  <c r="D799" i="1"/>
  <c r="L793" i="1"/>
  <c r="H788" i="1"/>
  <c r="D783" i="1"/>
  <c r="L777" i="1"/>
  <c r="H772" i="1"/>
  <c r="D767" i="1"/>
  <c r="L841" i="1"/>
  <c r="G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B841" i="1"/>
  <c r="J835" i="1"/>
  <c r="C851" i="1"/>
  <c r="K845" i="1"/>
  <c r="Q4" i="6"/>
  <c r="CW5" i="5"/>
  <c r="AK5" i="5"/>
  <c r="DW4" i="5"/>
  <c r="BK4" i="5"/>
  <c r="EQ5" i="4"/>
  <c r="CE5" i="4"/>
  <c r="S5" i="4"/>
  <c r="DE4" i="4"/>
  <c r="AS4" i="4"/>
  <c r="F868" i="1"/>
  <c r="B863" i="1"/>
  <c r="J857" i="1"/>
  <c r="F852" i="1"/>
  <c r="B847" i="1"/>
  <c r="A84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H839" i="1"/>
  <c r="D834" i="1"/>
  <c r="L828" i="1"/>
  <c r="H823" i="1"/>
  <c r="D818" i="1"/>
  <c r="L812" i="1"/>
  <c r="H807" i="1"/>
  <c r="D802" i="1"/>
  <c r="L796" i="1"/>
  <c r="H791" i="1"/>
  <c r="D786" i="1"/>
  <c r="L780" i="1"/>
  <c r="H775" i="1"/>
  <c r="D770" i="1"/>
  <c r="L764" i="1"/>
  <c r="H759" i="1"/>
  <c r="C838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G763" i="1"/>
  <c r="A843" i="1"/>
  <c r="F837" i="1"/>
  <c r="B832" i="1"/>
  <c r="J826" i="1"/>
  <c r="F821" i="1"/>
  <c r="B816" i="1"/>
  <c r="J810" i="1"/>
  <c r="F805" i="1"/>
  <c r="B800" i="1"/>
  <c r="J794" i="1"/>
  <c r="F789" i="1"/>
  <c r="B784" i="1"/>
  <c r="J778" i="1"/>
  <c r="F773" i="1"/>
  <c r="B768" i="1"/>
  <c r="J762" i="1"/>
  <c r="B842" i="1"/>
  <c r="I836" i="1"/>
  <c r="E831" i="1"/>
  <c r="A826" i="1"/>
  <c r="I820" i="1"/>
  <c r="E815" i="1"/>
  <c r="A810" i="1"/>
  <c r="I804" i="1"/>
  <c r="E799" i="1"/>
  <c r="A794" i="1"/>
  <c r="I788" i="1"/>
  <c r="E783" i="1"/>
  <c r="A778" i="1"/>
  <c r="I772" i="1"/>
  <c r="E767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1" i="1"/>
  <c r="H766" i="1"/>
  <c r="C841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F840" i="1"/>
  <c r="B835" i="1"/>
  <c r="G850" i="1"/>
  <c r="C845" i="1"/>
  <c r="I4" i="6"/>
  <c r="CO5" i="5"/>
  <c r="AC5" i="5"/>
  <c r="DO4" i="5"/>
  <c r="BC4" i="5"/>
  <c r="EI5" i="4"/>
  <c r="BW5" i="4"/>
  <c r="K5" i="4"/>
  <c r="CW4" i="4"/>
  <c r="AK4" i="4"/>
  <c r="J867" i="1"/>
  <c r="F862" i="1"/>
  <c r="B857" i="1"/>
  <c r="J851" i="1"/>
  <c r="F846" i="1"/>
  <c r="E840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L838" i="1"/>
  <c r="H833" i="1"/>
  <c r="D828" i="1"/>
  <c r="L822" i="1"/>
  <c r="H817" i="1"/>
  <c r="D812" i="1"/>
  <c r="L806" i="1"/>
  <c r="H801" i="1"/>
  <c r="D796" i="1"/>
  <c r="L790" i="1"/>
  <c r="H785" i="1"/>
  <c r="D780" i="1"/>
  <c r="L774" i="1"/>
  <c r="H769" i="1"/>
  <c r="D764" i="1"/>
  <c r="B843" i="1"/>
  <c r="G837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C768" i="1"/>
  <c r="K762" i="1"/>
  <c r="D842" i="1"/>
  <c r="J836" i="1"/>
  <c r="F831" i="1"/>
  <c r="B826" i="1"/>
  <c r="J820" i="1"/>
  <c r="F815" i="1"/>
  <c r="B810" i="1"/>
  <c r="J804" i="1"/>
  <c r="F799" i="1"/>
  <c r="B794" i="1"/>
  <c r="J788" i="1"/>
  <c r="F783" i="1"/>
  <c r="B778" i="1"/>
  <c r="J772" i="1"/>
  <c r="F767" i="1"/>
  <c r="B762" i="1"/>
  <c r="E841" i="1"/>
  <c r="A836" i="1"/>
  <c r="I830" i="1"/>
  <c r="E825" i="1"/>
  <c r="A820" i="1"/>
  <c r="I814" i="1"/>
  <c r="E809" i="1"/>
  <c r="A804" i="1"/>
  <c r="I798" i="1"/>
  <c r="E793" i="1"/>
  <c r="A788" i="1"/>
  <c r="I782" i="1"/>
  <c r="E777" i="1"/>
  <c r="A772" i="1"/>
  <c r="I766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D771" i="1"/>
  <c r="L765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J839" i="1"/>
  <c r="F834" i="1"/>
  <c r="K849" i="1"/>
  <c r="G844" i="1"/>
  <c r="ES5" i="5"/>
  <c r="CG5" i="5"/>
  <c r="U5" i="5"/>
  <c r="DG4" i="5"/>
  <c r="AU4" i="5"/>
  <c r="EA5" i="4"/>
  <c r="BO5" i="4"/>
  <c r="C5" i="4"/>
  <c r="CO4" i="4"/>
  <c r="AC4" i="4"/>
  <c r="B867" i="1"/>
  <c r="J861" i="1"/>
  <c r="F856" i="1"/>
  <c r="B851" i="1"/>
  <c r="J845" i="1"/>
  <c r="I839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D838" i="1"/>
  <c r="L832" i="1"/>
  <c r="H827" i="1"/>
  <c r="D822" i="1"/>
  <c r="L816" i="1"/>
  <c r="H811" i="1"/>
  <c r="D806" i="1"/>
  <c r="L800" i="1"/>
  <c r="H795" i="1"/>
  <c r="D790" i="1"/>
  <c r="L784" i="1"/>
  <c r="H779" i="1"/>
  <c r="D774" i="1"/>
  <c r="L768" i="1"/>
  <c r="H763" i="1"/>
  <c r="E842" i="1"/>
  <c r="K836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G767" i="1"/>
  <c r="C762" i="1"/>
  <c r="F841" i="1"/>
  <c r="B836" i="1"/>
  <c r="J830" i="1"/>
  <c r="F825" i="1"/>
  <c r="B820" i="1"/>
  <c r="J814" i="1"/>
  <c r="F809" i="1"/>
  <c r="B804" i="1"/>
  <c r="J798" i="1"/>
  <c r="F793" i="1"/>
  <c r="B788" i="1"/>
  <c r="J782" i="1"/>
  <c r="F777" i="1"/>
  <c r="B772" i="1"/>
  <c r="J766" i="1"/>
  <c r="F761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I776" i="1"/>
  <c r="E771" i="1"/>
  <c r="A766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L775" i="1"/>
  <c r="H770" i="1"/>
  <c r="D765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B839" i="1"/>
  <c r="J833" i="1"/>
  <c r="B833" i="1"/>
  <c r="J827" i="1"/>
  <c r="F822" i="1"/>
  <c r="B817" i="1"/>
  <c r="J811" i="1"/>
  <c r="F806" i="1"/>
  <c r="B801" i="1"/>
  <c r="J795" i="1"/>
  <c r="F790" i="1"/>
  <c r="B785" i="1"/>
  <c r="J779" i="1"/>
  <c r="F774" i="1"/>
  <c r="B769" i="1"/>
  <c r="J763" i="1"/>
  <c r="F758" i="1"/>
  <c r="J755" i="1"/>
  <c r="F750" i="1"/>
  <c r="B745" i="1"/>
  <c r="J739" i="1"/>
  <c r="F734" i="1"/>
  <c r="B729" i="1"/>
  <c r="J723" i="1"/>
  <c r="F718" i="1"/>
  <c r="B713" i="1"/>
  <c r="J707" i="1"/>
  <c r="F702" i="1"/>
  <c r="B697" i="1"/>
  <c r="J691" i="1"/>
  <c r="F686" i="1"/>
  <c r="B681" i="1"/>
  <c r="C763" i="1"/>
  <c r="A755" i="1"/>
  <c r="I749" i="1"/>
  <c r="E744" i="1"/>
  <c r="A739" i="1"/>
  <c r="I733" i="1"/>
  <c r="E728" i="1"/>
  <c r="A723" i="1"/>
  <c r="I717" i="1"/>
  <c r="E712" i="1"/>
  <c r="A707" i="1"/>
  <c r="I701" i="1"/>
  <c r="E696" i="1"/>
  <c r="A691" i="1"/>
  <c r="I685" i="1"/>
  <c r="E680" i="1"/>
  <c r="C761" i="1"/>
  <c r="D754" i="1"/>
  <c r="L748" i="1"/>
  <c r="H743" i="1"/>
  <c r="D738" i="1"/>
  <c r="L732" i="1"/>
  <c r="H727" i="1"/>
  <c r="D722" i="1"/>
  <c r="L716" i="1"/>
  <c r="H711" i="1"/>
  <c r="D706" i="1"/>
  <c r="L700" i="1"/>
  <c r="H695" i="1"/>
  <c r="D690" i="1"/>
  <c r="L684" i="1"/>
  <c r="H679" i="1"/>
  <c r="C759" i="1"/>
  <c r="G753" i="1"/>
  <c r="C748" i="1"/>
  <c r="K742" i="1"/>
  <c r="G737" i="1"/>
  <c r="C732" i="1"/>
  <c r="K726" i="1"/>
  <c r="G721" i="1"/>
  <c r="C716" i="1"/>
  <c r="K710" i="1"/>
  <c r="G705" i="1"/>
  <c r="C700" i="1"/>
  <c r="K694" i="1"/>
  <c r="G689" i="1"/>
  <c r="C684" i="1"/>
  <c r="K678" i="1"/>
  <c r="G762" i="1"/>
  <c r="J754" i="1"/>
  <c r="F749" i="1"/>
  <c r="B744" i="1"/>
  <c r="J738" i="1"/>
  <c r="F733" i="1"/>
  <c r="B728" i="1"/>
  <c r="J722" i="1"/>
  <c r="F717" i="1"/>
  <c r="B712" i="1"/>
  <c r="J706" i="1"/>
  <c r="F701" i="1"/>
  <c r="B696" i="1"/>
  <c r="J690" i="1"/>
  <c r="F685" i="1"/>
  <c r="B680" i="1"/>
  <c r="E755" i="1"/>
  <c r="A750" i="1"/>
  <c r="I744" i="1"/>
  <c r="E739" i="1"/>
  <c r="A734" i="1"/>
  <c r="I728" i="1"/>
  <c r="E723" i="1"/>
  <c r="A718" i="1"/>
  <c r="I712" i="1"/>
  <c r="E707" i="1"/>
  <c r="A702" i="1"/>
  <c r="I696" i="1"/>
  <c r="E691" i="1"/>
  <c r="A686" i="1"/>
  <c r="I680" i="1"/>
  <c r="L755" i="1"/>
  <c r="H750" i="1"/>
  <c r="D745" i="1"/>
  <c r="L739" i="1"/>
  <c r="H734" i="1"/>
  <c r="D729" i="1"/>
  <c r="L723" i="1"/>
  <c r="H718" i="1"/>
  <c r="D713" i="1"/>
  <c r="L707" i="1"/>
  <c r="H702" i="1"/>
  <c r="D697" i="1"/>
  <c r="L691" i="1"/>
  <c r="H686" i="1"/>
  <c r="D681" i="1"/>
  <c r="C757" i="1"/>
  <c r="K751" i="1"/>
  <c r="G746" i="1"/>
  <c r="C741" i="1"/>
  <c r="K735" i="1"/>
  <c r="F832" i="1"/>
  <c r="B827" i="1"/>
  <c r="J821" i="1"/>
  <c r="F816" i="1"/>
  <c r="B811" i="1"/>
  <c r="J805" i="1"/>
  <c r="F800" i="1"/>
  <c r="B795" i="1"/>
  <c r="J789" i="1"/>
  <c r="F784" i="1"/>
  <c r="B779" i="1"/>
  <c r="J773" i="1"/>
  <c r="F768" i="1"/>
  <c r="B763" i="1"/>
  <c r="E763" i="1"/>
  <c r="B755" i="1"/>
  <c r="J749" i="1"/>
  <c r="F744" i="1"/>
  <c r="B739" i="1"/>
  <c r="J733" i="1"/>
  <c r="F728" i="1"/>
  <c r="B723" i="1"/>
  <c r="J717" i="1"/>
  <c r="F712" i="1"/>
  <c r="B707" i="1"/>
  <c r="J701" i="1"/>
  <c r="F696" i="1"/>
  <c r="B691" i="1"/>
  <c r="J685" i="1"/>
  <c r="F680" i="1"/>
  <c r="D761" i="1"/>
  <c r="E754" i="1"/>
  <c r="A749" i="1"/>
  <c r="I743" i="1"/>
  <c r="E738" i="1"/>
  <c r="A733" i="1"/>
  <c r="I727" i="1"/>
  <c r="E722" i="1"/>
  <c r="A717" i="1"/>
  <c r="I711" i="1"/>
  <c r="E706" i="1"/>
  <c r="A701" i="1"/>
  <c r="I695" i="1"/>
  <c r="E690" i="1"/>
  <c r="A685" i="1"/>
  <c r="I679" i="1"/>
  <c r="D759" i="1"/>
  <c r="H753" i="1"/>
  <c r="D748" i="1"/>
  <c r="L742" i="1"/>
  <c r="H737" i="1"/>
  <c r="D732" i="1"/>
  <c r="L726" i="1"/>
  <c r="H721" i="1"/>
  <c r="D716" i="1"/>
  <c r="L710" i="1"/>
  <c r="H705" i="1"/>
  <c r="D700" i="1"/>
  <c r="L694" i="1"/>
  <c r="H689" i="1"/>
  <c r="D684" i="1"/>
  <c r="L678" i="1"/>
  <c r="C758" i="1"/>
  <c r="K752" i="1"/>
  <c r="G747" i="1"/>
  <c r="C742" i="1"/>
  <c r="K736" i="1"/>
  <c r="G731" i="1"/>
  <c r="C726" i="1"/>
  <c r="K720" i="1"/>
  <c r="G715" i="1"/>
  <c r="C710" i="1"/>
  <c r="K704" i="1"/>
  <c r="G699" i="1"/>
  <c r="C694" i="1"/>
  <c r="K688" i="1"/>
  <c r="G683" i="1"/>
  <c r="C678" i="1"/>
  <c r="H760" i="1"/>
  <c r="B754" i="1"/>
  <c r="J748" i="1"/>
  <c r="F743" i="1"/>
  <c r="B738" i="1"/>
  <c r="J732" i="1"/>
  <c r="F727" i="1"/>
  <c r="B722" i="1"/>
  <c r="J716" i="1"/>
  <c r="F711" i="1"/>
  <c r="B706" i="1"/>
  <c r="J700" i="1"/>
  <c r="F695" i="1"/>
  <c r="B690" i="1"/>
  <c r="J684" i="1"/>
  <c r="A762" i="1"/>
  <c r="I754" i="1"/>
  <c r="E749" i="1"/>
  <c r="A744" i="1"/>
  <c r="I738" i="1"/>
  <c r="E733" i="1"/>
  <c r="A728" i="1"/>
  <c r="I722" i="1"/>
  <c r="E717" i="1"/>
  <c r="A712" i="1"/>
  <c r="I706" i="1"/>
  <c r="E701" i="1"/>
  <c r="A696" i="1"/>
  <c r="I690" i="1"/>
  <c r="E685" i="1"/>
  <c r="A680" i="1"/>
  <c r="D755" i="1"/>
  <c r="L749" i="1"/>
  <c r="H744" i="1"/>
  <c r="D739" i="1"/>
  <c r="L733" i="1"/>
  <c r="H728" i="1"/>
  <c r="D723" i="1"/>
  <c r="L717" i="1"/>
  <c r="H712" i="1"/>
  <c r="D707" i="1"/>
  <c r="L701" i="1"/>
  <c r="H696" i="1"/>
  <c r="D691" i="1"/>
  <c r="L685" i="1"/>
  <c r="H680" i="1"/>
  <c r="G756" i="1"/>
  <c r="C751" i="1"/>
  <c r="K745" i="1"/>
  <c r="G740" i="1"/>
  <c r="J831" i="1"/>
  <c r="F826" i="1"/>
  <c r="B821" i="1"/>
  <c r="J815" i="1"/>
  <c r="F810" i="1"/>
  <c r="B805" i="1"/>
  <c r="J799" i="1"/>
  <c r="F794" i="1"/>
  <c r="B789" i="1"/>
  <c r="J783" i="1"/>
  <c r="F778" i="1"/>
  <c r="B773" i="1"/>
  <c r="J767" i="1"/>
  <c r="F762" i="1"/>
  <c r="E761" i="1"/>
  <c r="F754" i="1"/>
  <c r="B749" i="1"/>
  <c r="J743" i="1"/>
  <c r="F738" i="1"/>
  <c r="B733" i="1"/>
  <c r="J727" i="1"/>
  <c r="F722" i="1"/>
  <c r="B717" i="1"/>
  <c r="J711" i="1"/>
  <c r="F706" i="1"/>
  <c r="B701" i="1"/>
  <c r="J695" i="1"/>
  <c r="F690" i="1"/>
  <c r="B685" i="1"/>
  <c r="J679" i="1"/>
  <c r="E759" i="1"/>
  <c r="I753" i="1"/>
  <c r="E748" i="1"/>
  <c r="A743" i="1"/>
  <c r="I737" i="1"/>
  <c r="E732" i="1"/>
  <c r="A727" i="1"/>
  <c r="I721" i="1"/>
  <c r="E716" i="1"/>
  <c r="A711" i="1"/>
  <c r="I705" i="1"/>
  <c r="E700" i="1"/>
  <c r="A695" i="1"/>
  <c r="I689" i="1"/>
  <c r="E684" i="1"/>
  <c r="A679" i="1"/>
  <c r="D758" i="1"/>
  <c r="L752" i="1"/>
  <c r="H747" i="1"/>
  <c r="D742" i="1"/>
  <c r="L736" i="1"/>
  <c r="H731" i="1"/>
  <c r="D726" i="1"/>
  <c r="L720" i="1"/>
  <c r="H715" i="1"/>
  <c r="D710" i="1"/>
  <c r="L704" i="1"/>
  <c r="H699" i="1"/>
  <c r="D694" i="1"/>
  <c r="L688" i="1"/>
  <c r="H683" i="1"/>
  <c r="D678" i="1"/>
  <c r="G757" i="1"/>
  <c r="C752" i="1"/>
  <c r="K746" i="1"/>
  <c r="G741" i="1"/>
  <c r="C736" i="1"/>
  <c r="K730" i="1"/>
  <c r="G725" i="1"/>
  <c r="C720" i="1"/>
  <c r="K714" i="1"/>
  <c r="G709" i="1"/>
  <c r="C704" i="1"/>
  <c r="K698" i="1"/>
  <c r="G693" i="1"/>
  <c r="C688" i="1"/>
  <c r="K682" i="1"/>
  <c r="G677" i="1"/>
  <c r="A759" i="1"/>
  <c r="F753" i="1"/>
  <c r="B748" i="1"/>
  <c r="J742" i="1"/>
  <c r="F737" i="1"/>
  <c r="B732" i="1"/>
  <c r="J726" i="1"/>
  <c r="F721" i="1"/>
  <c r="B716" i="1"/>
  <c r="J710" i="1"/>
  <c r="F705" i="1"/>
  <c r="B700" i="1"/>
  <c r="J694" i="1"/>
  <c r="F689" i="1"/>
  <c r="B684" i="1"/>
  <c r="G760" i="1"/>
  <c r="A754" i="1"/>
  <c r="I748" i="1"/>
  <c r="E743" i="1"/>
  <c r="A738" i="1"/>
  <c r="I732" i="1"/>
  <c r="E727" i="1"/>
  <c r="A722" i="1"/>
  <c r="I716" i="1"/>
  <c r="E711" i="1"/>
  <c r="A706" i="1"/>
  <c r="I700" i="1"/>
  <c r="E695" i="1"/>
  <c r="A690" i="1"/>
  <c r="I684" i="1"/>
  <c r="L761" i="1"/>
  <c r="H754" i="1"/>
  <c r="D749" i="1"/>
  <c r="L743" i="1"/>
  <c r="H738" i="1"/>
  <c r="D733" i="1"/>
  <c r="L727" i="1"/>
  <c r="H722" i="1"/>
  <c r="D717" i="1"/>
  <c r="L711" i="1"/>
  <c r="H706" i="1"/>
  <c r="D701" i="1"/>
  <c r="L695" i="1"/>
  <c r="H690" i="1"/>
  <c r="D685" i="1"/>
  <c r="L679" i="1"/>
  <c r="K755" i="1"/>
  <c r="G750" i="1"/>
  <c r="C745" i="1"/>
  <c r="B831" i="1"/>
  <c r="J825" i="1"/>
  <c r="F820" i="1"/>
  <c r="B815" i="1"/>
  <c r="J809" i="1"/>
  <c r="F804" i="1"/>
  <c r="B799" i="1"/>
  <c r="J793" i="1"/>
  <c r="F788" i="1"/>
  <c r="B783" i="1"/>
  <c r="J777" i="1"/>
  <c r="F772" i="1"/>
  <c r="B767" i="1"/>
  <c r="J761" i="1"/>
  <c r="K759" i="1"/>
  <c r="J753" i="1"/>
  <c r="F748" i="1"/>
  <c r="B743" i="1"/>
  <c r="J737" i="1"/>
  <c r="F732" i="1"/>
  <c r="B727" i="1"/>
  <c r="J721" i="1"/>
  <c r="F716" i="1"/>
  <c r="B711" i="1"/>
  <c r="J705" i="1"/>
  <c r="F700" i="1"/>
  <c r="B695" i="1"/>
  <c r="J689" i="1"/>
  <c r="F684" i="1"/>
  <c r="B679" i="1"/>
  <c r="E758" i="1"/>
  <c r="A753" i="1"/>
  <c r="I747" i="1"/>
  <c r="E742" i="1"/>
  <c r="A737" i="1"/>
  <c r="I731" i="1"/>
  <c r="E726" i="1"/>
  <c r="A721" i="1"/>
  <c r="I715" i="1"/>
  <c r="E710" i="1"/>
  <c r="A705" i="1"/>
  <c r="I699" i="1"/>
  <c r="E694" i="1"/>
  <c r="A689" i="1"/>
  <c r="I683" i="1"/>
  <c r="E678" i="1"/>
  <c r="H757" i="1"/>
  <c r="D752" i="1"/>
  <c r="L746" i="1"/>
  <c r="H741" i="1"/>
  <c r="D736" i="1"/>
  <c r="L730" i="1"/>
  <c r="H725" i="1"/>
  <c r="D720" i="1"/>
  <c r="L714" i="1"/>
  <c r="H709" i="1"/>
  <c r="D704" i="1"/>
  <c r="L698" i="1"/>
  <c r="H693" i="1"/>
  <c r="D688" i="1"/>
  <c r="L682" i="1"/>
  <c r="H677" i="1"/>
  <c r="K756" i="1"/>
  <c r="G751" i="1"/>
  <c r="C746" i="1"/>
  <c r="K740" i="1"/>
  <c r="G735" i="1"/>
  <c r="C730" i="1"/>
  <c r="K724" i="1"/>
  <c r="G719" i="1"/>
  <c r="C714" i="1"/>
  <c r="K708" i="1"/>
  <c r="G703" i="1"/>
  <c r="C698" i="1"/>
  <c r="K692" i="1"/>
  <c r="G687" i="1"/>
  <c r="C682" i="1"/>
  <c r="K676" i="1"/>
  <c r="B758" i="1"/>
  <c r="J752" i="1"/>
  <c r="F747" i="1"/>
  <c r="B742" i="1"/>
  <c r="J736" i="1"/>
  <c r="F731" i="1"/>
  <c r="B726" i="1"/>
  <c r="J720" i="1"/>
  <c r="F715" i="1"/>
  <c r="B710" i="1"/>
  <c r="J704" i="1"/>
  <c r="F699" i="1"/>
  <c r="B694" i="1"/>
  <c r="J688" i="1"/>
  <c r="F683" i="1"/>
  <c r="L758" i="1"/>
  <c r="E753" i="1"/>
  <c r="A748" i="1"/>
  <c r="I742" i="1"/>
  <c r="E737" i="1"/>
  <c r="A732" i="1"/>
  <c r="I726" i="1"/>
  <c r="E721" i="1"/>
  <c r="A716" i="1"/>
  <c r="I710" i="1"/>
  <c r="E705" i="1"/>
  <c r="A700" i="1"/>
  <c r="I694" i="1"/>
  <c r="E689" i="1"/>
  <c r="A684" i="1"/>
  <c r="A760" i="1"/>
  <c r="L753" i="1"/>
  <c r="H748" i="1"/>
  <c r="D743" i="1"/>
  <c r="L737" i="1"/>
  <c r="H732" i="1"/>
  <c r="D727" i="1"/>
  <c r="L721" i="1"/>
  <c r="H716" i="1"/>
  <c r="D711" i="1"/>
  <c r="L705" i="1"/>
  <c r="H700" i="1"/>
  <c r="D695" i="1"/>
  <c r="L689" i="1"/>
  <c r="H684" i="1"/>
  <c r="D679" i="1"/>
  <c r="C755" i="1"/>
  <c r="K749" i="1"/>
  <c r="G744" i="1"/>
  <c r="F830" i="1"/>
  <c r="B825" i="1"/>
  <c r="J819" i="1"/>
  <c r="F814" i="1"/>
  <c r="B809" i="1"/>
  <c r="J803" i="1"/>
  <c r="F798" i="1"/>
  <c r="B793" i="1"/>
  <c r="J787" i="1"/>
  <c r="F782" i="1"/>
  <c r="B777" i="1"/>
  <c r="J771" i="1"/>
  <c r="F766" i="1"/>
  <c r="B761" i="1"/>
  <c r="G758" i="1"/>
  <c r="B753" i="1"/>
  <c r="J747" i="1"/>
  <c r="F742" i="1"/>
  <c r="B737" i="1"/>
  <c r="J731" i="1"/>
  <c r="F726" i="1"/>
  <c r="B721" i="1"/>
  <c r="J715" i="1"/>
  <c r="F710" i="1"/>
  <c r="B705" i="1"/>
  <c r="J699" i="1"/>
  <c r="F694" i="1"/>
  <c r="B689" i="1"/>
  <c r="J683" i="1"/>
  <c r="F678" i="1"/>
  <c r="I757" i="1"/>
  <c r="E752" i="1"/>
  <c r="A747" i="1"/>
  <c r="I741" i="1"/>
  <c r="E736" i="1"/>
  <c r="A731" i="1"/>
  <c r="I725" i="1"/>
  <c r="E720" i="1"/>
  <c r="A715" i="1"/>
  <c r="I709" i="1"/>
  <c r="E704" i="1"/>
  <c r="A699" i="1"/>
  <c r="I693" i="1"/>
  <c r="E688" i="1"/>
  <c r="A683" i="1"/>
  <c r="I677" i="1"/>
  <c r="L756" i="1"/>
  <c r="H751" i="1"/>
  <c r="D746" i="1"/>
  <c r="L740" i="1"/>
  <c r="H735" i="1"/>
  <c r="D730" i="1"/>
  <c r="L724" i="1"/>
  <c r="H719" i="1"/>
  <c r="D714" i="1"/>
  <c r="L708" i="1"/>
  <c r="H703" i="1"/>
  <c r="D698" i="1"/>
  <c r="L692" i="1"/>
  <c r="H687" i="1"/>
  <c r="D682" i="1"/>
  <c r="L676" i="1"/>
  <c r="C756" i="1"/>
  <c r="K750" i="1"/>
  <c r="G745" i="1"/>
  <c r="C740" i="1"/>
  <c r="K734" i="1"/>
  <c r="G729" i="1"/>
  <c r="C724" i="1"/>
  <c r="K718" i="1"/>
  <c r="G713" i="1"/>
  <c r="C708" i="1"/>
  <c r="K702" i="1"/>
  <c r="G697" i="1"/>
  <c r="C692" i="1"/>
  <c r="K686" i="1"/>
  <c r="G681" i="1"/>
  <c r="C676" i="1"/>
  <c r="F757" i="1"/>
  <c r="B752" i="1"/>
  <c r="J746" i="1"/>
  <c r="F741" i="1"/>
  <c r="B736" i="1"/>
  <c r="J730" i="1"/>
  <c r="F725" i="1"/>
  <c r="B720" i="1"/>
  <c r="J714" i="1"/>
  <c r="F709" i="1"/>
  <c r="B704" i="1"/>
  <c r="J698" i="1"/>
  <c r="F693" i="1"/>
  <c r="B688" i="1"/>
  <c r="J682" i="1"/>
  <c r="A758" i="1"/>
  <c r="I752" i="1"/>
  <c r="E747" i="1"/>
  <c r="A742" i="1"/>
  <c r="I736" i="1"/>
  <c r="E731" i="1"/>
  <c r="A726" i="1"/>
  <c r="I720" i="1"/>
  <c r="E715" i="1"/>
  <c r="A710" i="1"/>
  <c r="I704" i="1"/>
  <c r="E699" i="1"/>
  <c r="A694" i="1"/>
  <c r="I688" i="1"/>
  <c r="E683" i="1"/>
  <c r="I758" i="1"/>
  <c r="D753" i="1"/>
  <c r="L747" i="1"/>
  <c r="H742" i="1"/>
  <c r="D737" i="1"/>
  <c r="L731" i="1"/>
  <c r="H726" i="1"/>
  <c r="D721" i="1"/>
  <c r="L715" i="1"/>
  <c r="H710" i="1"/>
  <c r="D705" i="1"/>
  <c r="L699" i="1"/>
  <c r="H694" i="1"/>
  <c r="D689" i="1"/>
  <c r="L683" i="1"/>
  <c r="K761" i="1"/>
  <c r="G754" i="1"/>
  <c r="C749" i="1"/>
  <c r="K743" i="1"/>
  <c r="G738" i="1"/>
  <c r="J829" i="1"/>
  <c r="F824" i="1"/>
  <c r="B819" i="1"/>
  <c r="J813" i="1"/>
  <c r="F808" i="1"/>
  <c r="B803" i="1"/>
  <c r="J797" i="1"/>
  <c r="F792" i="1"/>
  <c r="B787" i="1"/>
  <c r="J781" i="1"/>
  <c r="F776" i="1"/>
  <c r="B771" i="1"/>
  <c r="J765" i="1"/>
  <c r="F760" i="1"/>
  <c r="J757" i="1"/>
  <c r="F752" i="1"/>
  <c r="B747" i="1"/>
  <c r="J741" i="1"/>
  <c r="F736" i="1"/>
  <c r="B731" i="1"/>
  <c r="J725" i="1"/>
  <c r="F720" i="1"/>
  <c r="B715" i="1"/>
  <c r="J709" i="1"/>
  <c r="F704" i="1"/>
  <c r="B699" i="1"/>
  <c r="J693" i="1"/>
  <c r="F688" i="1"/>
  <c r="B683" i="1"/>
  <c r="J677" i="1"/>
  <c r="A757" i="1"/>
  <c r="I751" i="1"/>
  <c r="E746" i="1"/>
  <c r="A741" i="1"/>
  <c r="I735" i="1"/>
  <c r="E730" i="1"/>
  <c r="A725" i="1"/>
  <c r="I719" i="1"/>
  <c r="E714" i="1"/>
  <c r="A709" i="1"/>
  <c r="I703" i="1"/>
  <c r="E698" i="1"/>
  <c r="A693" i="1"/>
  <c r="I687" i="1"/>
  <c r="E682" i="1"/>
  <c r="A677" i="1"/>
  <c r="D756" i="1"/>
  <c r="L750" i="1"/>
  <c r="H745" i="1"/>
  <c r="D740" i="1"/>
  <c r="L734" i="1"/>
  <c r="H729" i="1"/>
  <c r="D724" i="1"/>
  <c r="L718" i="1"/>
  <c r="H713" i="1"/>
  <c r="D708" i="1"/>
  <c r="L702" i="1"/>
  <c r="H697" i="1"/>
  <c r="D692" i="1"/>
  <c r="L686" i="1"/>
  <c r="H681" i="1"/>
  <c r="D676" i="1"/>
  <c r="G755" i="1"/>
  <c r="C750" i="1"/>
  <c r="K744" i="1"/>
  <c r="G739" i="1"/>
  <c r="C734" i="1"/>
  <c r="K728" i="1"/>
  <c r="G723" i="1"/>
  <c r="C718" i="1"/>
  <c r="K712" i="1"/>
  <c r="G707" i="1"/>
  <c r="C702" i="1"/>
  <c r="K696" i="1"/>
  <c r="G691" i="1"/>
  <c r="C686" i="1"/>
  <c r="K680" i="1"/>
  <c r="G675" i="1"/>
  <c r="J756" i="1"/>
  <c r="F751" i="1"/>
  <c r="B746" i="1"/>
  <c r="J740" i="1"/>
  <c r="F735" i="1"/>
  <c r="B730" i="1"/>
  <c r="J724" i="1"/>
  <c r="F719" i="1"/>
  <c r="B714" i="1"/>
  <c r="J708" i="1"/>
  <c r="F703" i="1"/>
  <c r="B698" i="1"/>
  <c r="J692" i="1"/>
  <c r="F687" i="1"/>
  <c r="B682" i="1"/>
  <c r="E757" i="1"/>
  <c r="A752" i="1"/>
  <c r="I746" i="1"/>
  <c r="E741" i="1"/>
  <c r="A736" i="1"/>
  <c r="I730" i="1"/>
  <c r="E725" i="1"/>
  <c r="A720" i="1"/>
  <c r="I714" i="1"/>
  <c r="E709" i="1"/>
  <c r="A704" i="1"/>
  <c r="I698" i="1"/>
  <c r="E693" i="1"/>
  <c r="A688" i="1"/>
  <c r="I682" i="1"/>
  <c r="L757" i="1"/>
  <c r="H752" i="1"/>
  <c r="D747" i="1"/>
  <c r="L741" i="1"/>
  <c r="H736" i="1"/>
  <c r="D731" i="1"/>
  <c r="L725" i="1"/>
  <c r="H720" i="1"/>
  <c r="D715" i="1"/>
  <c r="L709" i="1"/>
  <c r="H704" i="1"/>
  <c r="D699" i="1"/>
  <c r="L693" i="1"/>
  <c r="H688" i="1"/>
  <c r="D683" i="1"/>
  <c r="L759" i="1"/>
  <c r="K753" i="1"/>
  <c r="G748" i="1"/>
  <c r="C743" i="1"/>
  <c r="K737" i="1"/>
  <c r="B829" i="1"/>
  <c r="J823" i="1"/>
  <c r="F818" i="1"/>
  <c r="B813" i="1"/>
  <c r="J807" i="1"/>
  <c r="F802" i="1"/>
  <c r="B797" i="1"/>
  <c r="J791" i="1"/>
  <c r="F786" i="1"/>
  <c r="B781" i="1"/>
  <c r="J775" i="1"/>
  <c r="F770" i="1"/>
  <c r="B765" i="1"/>
  <c r="J759" i="1"/>
  <c r="B757" i="1"/>
  <c r="J751" i="1"/>
  <c r="F746" i="1"/>
  <c r="B741" i="1"/>
  <c r="J735" i="1"/>
  <c r="F730" i="1"/>
  <c r="B725" i="1"/>
  <c r="J719" i="1"/>
  <c r="F714" i="1"/>
  <c r="B709" i="1"/>
  <c r="J703" i="1"/>
  <c r="F698" i="1"/>
  <c r="B693" i="1"/>
  <c r="J687" i="1"/>
  <c r="F682" i="1"/>
  <c r="B677" i="1"/>
  <c r="E756" i="1"/>
  <c r="A751" i="1"/>
  <c r="I745" i="1"/>
  <c r="E740" i="1"/>
  <c r="A735" i="1"/>
  <c r="I729" i="1"/>
  <c r="E724" i="1"/>
  <c r="A719" i="1"/>
  <c r="I713" i="1"/>
  <c r="E708" i="1"/>
  <c r="A703" i="1"/>
  <c r="I697" i="1"/>
  <c r="E692" i="1"/>
  <c r="A687" i="1"/>
  <c r="I681" i="1"/>
  <c r="E676" i="1"/>
  <c r="H755" i="1"/>
  <c r="D750" i="1"/>
  <c r="L744" i="1"/>
  <c r="H739" i="1"/>
  <c r="D734" i="1"/>
  <c r="L728" i="1"/>
  <c r="H723" i="1"/>
  <c r="D718" i="1"/>
  <c r="L712" i="1"/>
  <c r="H707" i="1"/>
  <c r="D702" i="1"/>
  <c r="L696" i="1"/>
  <c r="H691" i="1"/>
  <c r="D686" i="1"/>
  <c r="L680" i="1"/>
  <c r="H762" i="1"/>
  <c r="K754" i="1"/>
  <c r="G749" i="1"/>
  <c r="C744" i="1"/>
  <c r="K738" i="1"/>
  <c r="G733" i="1"/>
  <c r="C728" i="1"/>
  <c r="K722" i="1"/>
  <c r="G717" i="1"/>
  <c r="C712" i="1"/>
  <c r="K706" i="1"/>
  <c r="G701" i="1"/>
  <c r="C696" i="1"/>
  <c r="K690" i="1"/>
  <c r="G685" i="1"/>
  <c r="C680" i="1"/>
  <c r="K674" i="1"/>
  <c r="B756" i="1"/>
  <c r="J750" i="1"/>
  <c r="F745" i="1"/>
  <c r="B740" i="1"/>
  <c r="J734" i="1"/>
  <c r="F729" i="1"/>
  <c r="B724" i="1"/>
  <c r="J718" i="1"/>
  <c r="F713" i="1"/>
  <c r="B708" i="1"/>
  <c r="J702" i="1"/>
  <c r="F697" i="1"/>
  <c r="B692" i="1"/>
  <c r="J686" i="1"/>
  <c r="F681" i="1"/>
  <c r="I756" i="1"/>
  <c r="E751" i="1"/>
  <c r="A746" i="1"/>
  <c r="I740" i="1"/>
  <c r="E735" i="1"/>
  <c r="A730" i="1"/>
  <c r="I724" i="1"/>
  <c r="E719" i="1"/>
  <c r="A714" i="1"/>
  <c r="I708" i="1"/>
  <c r="E703" i="1"/>
  <c r="A698" i="1"/>
  <c r="I692" i="1"/>
  <c r="E687" i="1"/>
  <c r="A682" i="1"/>
  <c r="D757" i="1"/>
  <c r="L751" i="1"/>
  <c r="H746" i="1"/>
  <c r="D741" i="1"/>
  <c r="L735" i="1"/>
  <c r="H730" i="1"/>
  <c r="D725" i="1"/>
  <c r="L719" i="1"/>
  <c r="H714" i="1"/>
  <c r="D709" i="1"/>
  <c r="L703" i="1"/>
  <c r="H698" i="1"/>
  <c r="D693" i="1"/>
  <c r="L687" i="1"/>
  <c r="H682" i="1"/>
  <c r="H758" i="1"/>
  <c r="C753" i="1"/>
  <c r="K747" i="1"/>
  <c r="G742" i="1"/>
  <c r="F828" i="1"/>
  <c r="B823" i="1"/>
  <c r="J817" i="1"/>
  <c r="F812" i="1"/>
  <c r="B807" i="1"/>
  <c r="J801" i="1"/>
  <c r="F796" i="1"/>
  <c r="B791" i="1"/>
  <c r="J785" i="1"/>
  <c r="F780" i="1"/>
  <c r="B775" i="1"/>
  <c r="J769" i="1"/>
  <c r="F764" i="1"/>
  <c r="B759" i="1"/>
  <c r="F756" i="1"/>
  <c r="B751" i="1"/>
  <c r="J745" i="1"/>
  <c r="F740" i="1"/>
  <c r="B735" i="1"/>
  <c r="J729" i="1"/>
  <c r="F724" i="1"/>
  <c r="B719" i="1"/>
  <c r="J713" i="1"/>
  <c r="F708" i="1"/>
  <c r="B703" i="1"/>
  <c r="J697" i="1"/>
  <c r="F692" i="1"/>
  <c r="B687" i="1"/>
  <c r="J681" i="1"/>
  <c r="F676" i="1"/>
  <c r="I755" i="1"/>
  <c r="E750" i="1"/>
  <c r="A745" i="1"/>
  <c r="I739" i="1"/>
  <c r="E734" i="1"/>
  <c r="A729" i="1"/>
  <c r="I723" i="1"/>
  <c r="E718" i="1"/>
  <c r="A713" i="1"/>
  <c r="I707" i="1"/>
  <c r="E702" i="1"/>
  <c r="A697" i="1"/>
  <c r="I691" i="1"/>
  <c r="E686" i="1"/>
  <c r="A681" i="1"/>
  <c r="I762" i="1"/>
  <c r="L754" i="1"/>
  <c r="H749" i="1"/>
  <c r="D744" i="1"/>
  <c r="L738" i="1"/>
  <c r="H733" i="1"/>
  <c r="D728" i="1"/>
  <c r="L722" i="1"/>
  <c r="H717" i="1"/>
  <c r="D712" i="1"/>
  <c r="L706" i="1"/>
  <c r="H701" i="1"/>
  <c r="D696" i="1"/>
  <c r="L690" i="1"/>
  <c r="H685" i="1"/>
  <c r="D680" i="1"/>
  <c r="I760" i="1"/>
  <c r="C754" i="1"/>
  <c r="K748" i="1"/>
  <c r="G743" i="1"/>
  <c r="C738" i="1"/>
  <c r="K732" i="1"/>
  <c r="G727" i="1"/>
  <c r="C722" i="1"/>
  <c r="K716" i="1"/>
  <c r="G711" i="1"/>
  <c r="C706" i="1"/>
  <c r="K700" i="1"/>
  <c r="G695" i="1"/>
  <c r="C690" i="1"/>
  <c r="K684" i="1"/>
  <c r="G679" i="1"/>
  <c r="C674" i="1"/>
  <c r="F755" i="1"/>
  <c r="B750" i="1"/>
  <c r="J744" i="1"/>
  <c r="F739" i="1"/>
  <c r="B734" i="1"/>
  <c r="J728" i="1"/>
  <c r="F723" i="1"/>
  <c r="B718" i="1"/>
  <c r="J712" i="1"/>
  <c r="F707" i="1"/>
  <c r="B702" i="1"/>
  <c r="J696" i="1"/>
  <c r="F691" i="1"/>
  <c r="B686" i="1"/>
  <c r="J680" i="1"/>
  <c r="A756" i="1"/>
  <c r="I750" i="1"/>
  <c r="E745" i="1"/>
  <c r="A740" i="1"/>
  <c r="I734" i="1"/>
  <c r="E729" i="1"/>
  <c r="A724" i="1"/>
  <c r="I718" i="1"/>
  <c r="E713" i="1"/>
  <c r="A708" i="1"/>
  <c r="I702" i="1"/>
  <c r="E697" i="1"/>
  <c r="A692" i="1"/>
  <c r="I686" i="1"/>
  <c r="E681" i="1"/>
  <c r="H756" i="1"/>
  <c r="D751" i="1"/>
  <c r="L745" i="1"/>
  <c r="H740" i="1"/>
  <c r="D735" i="1"/>
  <c r="L729" i="1"/>
  <c r="H724" i="1"/>
  <c r="D719" i="1"/>
  <c r="L713" i="1"/>
  <c r="H708" i="1"/>
  <c r="D703" i="1"/>
  <c r="L697" i="1"/>
  <c r="H692" i="1"/>
  <c r="D687" i="1"/>
  <c r="L681" i="1"/>
  <c r="K757" i="1"/>
  <c r="G752" i="1"/>
  <c r="C747" i="1"/>
  <c r="K741" i="1"/>
  <c r="K739" i="1"/>
  <c r="G732" i="1"/>
  <c r="C727" i="1"/>
  <c r="K721" i="1"/>
  <c r="G716" i="1"/>
  <c r="C711" i="1"/>
  <c r="K705" i="1"/>
  <c r="G700" i="1"/>
  <c r="C695" i="1"/>
  <c r="K689" i="1"/>
  <c r="G684" i="1"/>
  <c r="C679" i="1"/>
  <c r="L675" i="1"/>
  <c r="D670" i="1"/>
  <c r="L664" i="1"/>
  <c r="H659" i="1"/>
  <c r="D654" i="1"/>
  <c r="L648" i="1"/>
  <c r="H643" i="1"/>
  <c r="D638" i="1"/>
  <c r="L632" i="1"/>
  <c r="H627" i="1"/>
  <c r="D622" i="1"/>
  <c r="L616" i="1"/>
  <c r="H611" i="1"/>
  <c r="D606" i="1"/>
  <c r="L600" i="1"/>
  <c r="H595" i="1"/>
  <c r="J675" i="1"/>
  <c r="C670" i="1"/>
  <c r="K664" i="1"/>
  <c r="G659" i="1"/>
  <c r="C654" i="1"/>
  <c r="K648" i="1"/>
  <c r="G643" i="1"/>
  <c r="C638" i="1"/>
  <c r="K632" i="1"/>
  <c r="G627" i="1"/>
  <c r="C622" i="1"/>
  <c r="K616" i="1"/>
  <c r="G611" i="1"/>
  <c r="C606" i="1"/>
  <c r="K600" i="1"/>
  <c r="G595" i="1"/>
  <c r="L674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J594" i="1"/>
  <c r="J674" i="1"/>
  <c r="E669" i="1"/>
  <c r="A664" i="1"/>
  <c r="I658" i="1"/>
  <c r="E653" i="1"/>
  <c r="A648" i="1"/>
  <c r="I642" i="1"/>
  <c r="E637" i="1"/>
  <c r="A632" i="1"/>
  <c r="I626" i="1"/>
  <c r="E621" i="1"/>
  <c r="A616" i="1"/>
  <c r="I610" i="1"/>
  <c r="E605" i="1"/>
  <c r="A600" i="1"/>
  <c r="I594" i="1"/>
  <c r="L673" i="1"/>
  <c r="H668" i="1"/>
  <c r="D663" i="1"/>
  <c r="L657" i="1"/>
  <c r="H652" i="1"/>
  <c r="D647" i="1"/>
  <c r="L641" i="1"/>
  <c r="H636" i="1"/>
  <c r="D631" i="1"/>
  <c r="L625" i="1"/>
  <c r="H620" i="1"/>
  <c r="D615" i="1"/>
  <c r="L609" i="1"/>
  <c r="H604" i="1"/>
  <c r="D599" i="1"/>
  <c r="L593" i="1"/>
  <c r="K671" i="1"/>
  <c r="G666" i="1"/>
  <c r="C661" i="1"/>
  <c r="K655" i="1"/>
  <c r="G650" i="1"/>
  <c r="C645" i="1"/>
  <c r="K639" i="1"/>
  <c r="G634" i="1"/>
  <c r="C629" i="1"/>
  <c r="K623" i="1"/>
  <c r="G618" i="1"/>
  <c r="C613" i="1"/>
  <c r="K607" i="1"/>
  <c r="G602" i="1"/>
  <c r="C597" i="1"/>
  <c r="G674" i="1"/>
  <c r="B669" i="1"/>
  <c r="J663" i="1"/>
  <c r="F658" i="1"/>
  <c r="B653" i="1"/>
  <c r="J647" i="1"/>
  <c r="F642" i="1"/>
  <c r="B637" i="1"/>
  <c r="J631" i="1"/>
  <c r="F626" i="1"/>
  <c r="B621" i="1"/>
  <c r="J615" i="1"/>
  <c r="F610" i="1"/>
  <c r="B605" i="1"/>
  <c r="J599" i="1"/>
  <c r="F594" i="1"/>
  <c r="I671" i="1"/>
  <c r="E666" i="1"/>
  <c r="A661" i="1"/>
  <c r="I655" i="1"/>
  <c r="C739" i="1"/>
  <c r="K731" i="1"/>
  <c r="G726" i="1"/>
  <c r="C721" i="1"/>
  <c r="K715" i="1"/>
  <c r="G710" i="1"/>
  <c r="C705" i="1"/>
  <c r="K699" i="1"/>
  <c r="G694" i="1"/>
  <c r="C689" i="1"/>
  <c r="K683" i="1"/>
  <c r="G678" i="1"/>
  <c r="B675" i="1"/>
  <c r="H669" i="1"/>
  <c r="D664" i="1"/>
  <c r="L658" i="1"/>
  <c r="H653" i="1"/>
  <c r="D648" i="1"/>
  <c r="L642" i="1"/>
  <c r="H637" i="1"/>
  <c r="D632" i="1"/>
  <c r="L626" i="1"/>
  <c r="H621" i="1"/>
  <c r="D616" i="1"/>
  <c r="L610" i="1"/>
  <c r="H605" i="1"/>
  <c r="D600" i="1"/>
  <c r="L594" i="1"/>
  <c r="A675" i="1"/>
  <c r="G669" i="1"/>
  <c r="C664" i="1"/>
  <c r="K658" i="1"/>
  <c r="G653" i="1"/>
  <c r="C648" i="1"/>
  <c r="K642" i="1"/>
  <c r="G637" i="1"/>
  <c r="C632" i="1"/>
  <c r="K626" i="1"/>
  <c r="G621" i="1"/>
  <c r="C616" i="1"/>
  <c r="K610" i="1"/>
  <c r="G605" i="1"/>
  <c r="C600" i="1"/>
  <c r="K594" i="1"/>
  <c r="B674" i="1"/>
  <c r="J668" i="1"/>
  <c r="F663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B594" i="1"/>
  <c r="A674" i="1"/>
  <c r="I668" i="1"/>
  <c r="E663" i="1"/>
  <c r="A658" i="1"/>
  <c r="I652" i="1"/>
  <c r="E647" i="1"/>
  <c r="A642" i="1"/>
  <c r="I636" i="1"/>
  <c r="E631" i="1"/>
  <c r="A626" i="1"/>
  <c r="I620" i="1"/>
  <c r="E615" i="1"/>
  <c r="A610" i="1"/>
  <c r="I604" i="1"/>
  <c r="E599" i="1"/>
  <c r="A594" i="1"/>
  <c r="D673" i="1"/>
  <c r="L667" i="1"/>
  <c r="H662" i="1"/>
  <c r="D657" i="1"/>
  <c r="L651" i="1"/>
  <c r="H646" i="1"/>
  <c r="D641" i="1"/>
  <c r="L635" i="1"/>
  <c r="H630" i="1"/>
  <c r="D625" i="1"/>
  <c r="L619" i="1"/>
  <c r="H614" i="1"/>
  <c r="D609" i="1"/>
  <c r="L603" i="1"/>
  <c r="H598" i="1"/>
  <c r="B678" i="1"/>
  <c r="C671" i="1"/>
  <c r="K665" i="1"/>
  <c r="G660" i="1"/>
  <c r="C655" i="1"/>
  <c r="K649" i="1"/>
  <c r="G644" i="1"/>
  <c r="C639" i="1"/>
  <c r="K633" i="1"/>
  <c r="G628" i="1"/>
  <c r="C623" i="1"/>
  <c r="K617" i="1"/>
  <c r="G612" i="1"/>
  <c r="C607" i="1"/>
  <c r="K601" i="1"/>
  <c r="G596" i="1"/>
  <c r="J673" i="1"/>
  <c r="F668" i="1"/>
  <c r="B663" i="1"/>
  <c r="J657" i="1"/>
  <c r="F652" i="1"/>
  <c r="B647" i="1"/>
  <c r="J641" i="1"/>
  <c r="F636" i="1"/>
  <c r="B631" i="1"/>
  <c r="J625" i="1"/>
  <c r="F620" i="1"/>
  <c r="B615" i="1"/>
  <c r="J609" i="1"/>
  <c r="F604" i="1"/>
  <c r="B599" i="1"/>
  <c r="L677" i="1"/>
  <c r="A671" i="1"/>
  <c r="I665" i="1"/>
  <c r="E660" i="1"/>
  <c r="A655" i="1"/>
  <c r="C737" i="1"/>
  <c r="C731" i="1"/>
  <c r="K725" i="1"/>
  <c r="G720" i="1"/>
  <c r="C715" i="1"/>
  <c r="K709" i="1"/>
  <c r="G704" i="1"/>
  <c r="C699" i="1"/>
  <c r="K693" i="1"/>
  <c r="G688" i="1"/>
  <c r="C683" i="1"/>
  <c r="K677" i="1"/>
  <c r="E674" i="1"/>
  <c r="L668" i="1"/>
  <c r="H663" i="1"/>
  <c r="D658" i="1"/>
  <c r="L652" i="1"/>
  <c r="H647" i="1"/>
  <c r="D642" i="1"/>
  <c r="L636" i="1"/>
  <c r="H631" i="1"/>
  <c r="D626" i="1"/>
  <c r="L620" i="1"/>
  <c r="H615" i="1"/>
  <c r="D610" i="1"/>
  <c r="L604" i="1"/>
  <c r="H599" i="1"/>
  <c r="D594" i="1"/>
  <c r="D674" i="1"/>
  <c r="K668" i="1"/>
  <c r="G663" i="1"/>
  <c r="C658" i="1"/>
  <c r="K652" i="1"/>
  <c r="G647" i="1"/>
  <c r="C642" i="1"/>
  <c r="K636" i="1"/>
  <c r="G631" i="1"/>
  <c r="C626" i="1"/>
  <c r="K620" i="1"/>
  <c r="G615" i="1"/>
  <c r="C610" i="1"/>
  <c r="K604" i="1"/>
  <c r="G599" i="1"/>
  <c r="C594" i="1"/>
  <c r="F673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F593" i="1"/>
  <c r="E673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A604" i="1"/>
  <c r="I598" i="1"/>
  <c r="E593" i="1"/>
  <c r="H672" i="1"/>
  <c r="D667" i="1"/>
  <c r="L661" i="1"/>
  <c r="H656" i="1"/>
  <c r="D651" i="1"/>
  <c r="L645" i="1"/>
  <c r="H640" i="1"/>
  <c r="D635" i="1"/>
  <c r="L629" i="1"/>
  <c r="H624" i="1"/>
  <c r="D619" i="1"/>
  <c r="L613" i="1"/>
  <c r="H608" i="1"/>
  <c r="D603" i="1"/>
  <c r="L597" i="1"/>
  <c r="H676" i="1"/>
  <c r="G670" i="1"/>
  <c r="C665" i="1"/>
  <c r="K659" i="1"/>
  <c r="G654" i="1"/>
  <c r="C649" i="1"/>
  <c r="K643" i="1"/>
  <c r="G638" i="1"/>
  <c r="C633" i="1"/>
  <c r="K627" i="1"/>
  <c r="G622" i="1"/>
  <c r="C617" i="1"/>
  <c r="K611" i="1"/>
  <c r="G606" i="1"/>
  <c r="C601" i="1"/>
  <c r="K595" i="1"/>
  <c r="B673" i="1"/>
  <c r="J667" i="1"/>
  <c r="F662" i="1"/>
  <c r="B657" i="1"/>
  <c r="J651" i="1"/>
  <c r="F646" i="1"/>
  <c r="B641" i="1"/>
  <c r="J635" i="1"/>
  <c r="F630" i="1"/>
  <c r="B625" i="1"/>
  <c r="J619" i="1"/>
  <c r="F614" i="1"/>
  <c r="B609" i="1"/>
  <c r="J603" i="1"/>
  <c r="F598" i="1"/>
  <c r="A676" i="1"/>
  <c r="E670" i="1"/>
  <c r="A665" i="1"/>
  <c r="I659" i="1"/>
  <c r="E654" i="1"/>
  <c r="A649" i="1"/>
  <c r="G736" i="1"/>
  <c r="G730" i="1"/>
  <c r="C725" i="1"/>
  <c r="K719" i="1"/>
  <c r="G714" i="1"/>
  <c r="C709" i="1"/>
  <c r="K703" i="1"/>
  <c r="G698" i="1"/>
  <c r="C693" i="1"/>
  <c r="K687" i="1"/>
  <c r="G682" i="1"/>
  <c r="C677" i="1"/>
  <c r="H673" i="1"/>
  <c r="D668" i="1"/>
  <c r="L662" i="1"/>
  <c r="H657" i="1"/>
  <c r="D652" i="1"/>
  <c r="L646" i="1"/>
  <c r="H641" i="1"/>
  <c r="D636" i="1"/>
  <c r="L630" i="1"/>
  <c r="H625" i="1"/>
  <c r="D620" i="1"/>
  <c r="L614" i="1"/>
  <c r="H609" i="1"/>
  <c r="D604" i="1"/>
  <c r="L598" i="1"/>
  <c r="H593" i="1"/>
  <c r="G673" i="1"/>
  <c r="C668" i="1"/>
  <c r="K662" i="1"/>
  <c r="G657" i="1"/>
  <c r="C652" i="1"/>
  <c r="K646" i="1"/>
  <c r="G641" i="1"/>
  <c r="C636" i="1"/>
  <c r="K630" i="1"/>
  <c r="G625" i="1"/>
  <c r="C620" i="1"/>
  <c r="K614" i="1"/>
  <c r="G609" i="1"/>
  <c r="C604" i="1"/>
  <c r="K598" i="1"/>
  <c r="G593" i="1"/>
  <c r="J672" i="1"/>
  <c r="F667" i="1"/>
  <c r="B662" i="1"/>
  <c r="J656" i="1"/>
  <c r="F651" i="1"/>
  <c r="B646" i="1"/>
  <c r="J640" i="1"/>
  <c r="F635" i="1"/>
  <c r="B630" i="1"/>
  <c r="J624" i="1"/>
  <c r="F619" i="1"/>
  <c r="B614" i="1"/>
  <c r="J608" i="1"/>
  <c r="F603" i="1"/>
  <c r="B598" i="1"/>
  <c r="J592" i="1"/>
  <c r="I672" i="1"/>
  <c r="E667" i="1"/>
  <c r="A662" i="1"/>
  <c r="I656" i="1"/>
  <c r="E651" i="1"/>
  <c r="A646" i="1"/>
  <c r="I640" i="1"/>
  <c r="E635" i="1"/>
  <c r="A630" i="1"/>
  <c r="I624" i="1"/>
  <c r="E619" i="1"/>
  <c r="A614" i="1"/>
  <c r="I608" i="1"/>
  <c r="E603" i="1"/>
  <c r="A598" i="1"/>
  <c r="I592" i="1"/>
  <c r="L671" i="1"/>
  <c r="H666" i="1"/>
  <c r="D661" i="1"/>
  <c r="L655" i="1"/>
  <c r="H650" i="1"/>
  <c r="D645" i="1"/>
  <c r="L639" i="1"/>
  <c r="H634" i="1"/>
  <c r="D629" i="1"/>
  <c r="L623" i="1"/>
  <c r="H618" i="1"/>
  <c r="D613" i="1"/>
  <c r="L607" i="1"/>
  <c r="H602" i="1"/>
  <c r="D597" i="1"/>
  <c r="E675" i="1"/>
  <c r="K669" i="1"/>
  <c r="G664" i="1"/>
  <c r="C659" i="1"/>
  <c r="K653" i="1"/>
  <c r="G648" i="1"/>
  <c r="C643" i="1"/>
  <c r="K637" i="1"/>
  <c r="G632" i="1"/>
  <c r="C627" i="1"/>
  <c r="K621" i="1"/>
  <c r="G616" i="1"/>
  <c r="C611" i="1"/>
  <c r="K605" i="1"/>
  <c r="G600" i="1"/>
  <c r="C595" i="1"/>
  <c r="F672" i="1"/>
  <c r="B667" i="1"/>
  <c r="J661" i="1"/>
  <c r="F656" i="1"/>
  <c r="B651" i="1"/>
  <c r="J645" i="1"/>
  <c r="F640" i="1"/>
  <c r="B635" i="1"/>
  <c r="J629" i="1"/>
  <c r="F624" i="1"/>
  <c r="B619" i="1"/>
  <c r="J613" i="1"/>
  <c r="F608" i="1"/>
  <c r="B603" i="1"/>
  <c r="J597" i="1"/>
  <c r="C675" i="1"/>
  <c r="I669" i="1"/>
  <c r="E664" i="1"/>
  <c r="A659" i="1"/>
  <c r="I653" i="1"/>
  <c r="E648" i="1"/>
  <c r="C735" i="1"/>
  <c r="K729" i="1"/>
  <c r="G724" i="1"/>
  <c r="C719" i="1"/>
  <c r="K713" i="1"/>
  <c r="G708" i="1"/>
  <c r="C703" i="1"/>
  <c r="K697" i="1"/>
  <c r="G692" i="1"/>
  <c r="C687" i="1"/>
  <c r="K681" i="1"/>
  <c r="G676" i="1"/>
  <c r="L672" i="1"/>
  <c r="H667" i="1"/>
  <c r="D662" i="1"/>
  <c r="L656" i="1"/>
  <c r="H651" i="1"/>
  <c r="D646" i="1"/>
  <c r="L640" i="1"/>
  <c r="H635" i="1"/>
  <c r="D630" i="1"/>
  <c r="L624" i="1"/>
  <c r="H619" i="1"/>
  <c r="D614" i="1"/>
  <c r="L608" i="1"/>
  <c r="H603" i="1"/>
  <c r="D598" i="1"/>
  <c r="L592" i="1"/>
  <c r="K672" i="1"/>
  <c r="G667" i="1"/>
  <c r="C662" i="1"/>
  <c r="K656" i="1"/>
  <c r="G651" i="1"/>
  <c r="C646" i="1"/>
  <c r="K640" i="1"/>
  <c r="G635" i="1"/>
  <c r="C630" i="1"/>
  <c r="K624" i="1"/>
  <c r="G619" i="1"/>
  <c r="C614" i="1"/>
  <c r="K608" i="1"/>
  <c r="G603" i="1"/>
  <c r="C598" i="1"/>
  <c r="K592" i="1"/>
  <c r="B672" i="1"/>
  <c r="J666" i="1"/>
  <c r="F661" i="1"/>
  <c r="B656" i="1"/>
  <c r="J650" i="1"/>
  <c r="F645" i="1"/>
  <c r="B640" i="1"/>
  <c r="J634" i="1"/>
  <c r="F629" i="1"/>
  <c r="B624" i="1"/>
  <c r="J618" i="1"/>
  <c r="F613" i="1"/>
  <c r="B608" i="1"/>
  <c r="J602" i="1"/>
  <c r="F597" i="1"/>
  <c r="B592" i="1"/>
  <c r="A672" i="1"/>
  <c r="I666" i="1"/>
  <c r="E661" i="1"/>
  <c r="A656" i="1"/>
  <c r="I650" i="1"/>
  <c r="E645" i="1"/>
  <c r="A640" i="1"/>
  <c r="I634" i="1"/>
  <c r="E629" i="1"/>
  <c r="A624" i="1"/>
  <c r="I618" i="1"/>
  <c r="E613" i="1"/>
  <c r="A608" i="1"/>
  <c r="I602" i="1"/>
  <c r="E597" i="1"/>
  <c r="H678" i="1"/>
  <c r="D671" i="1"/>
  <c r="L665" i="1"/>
  <c r="H660" i="1"/>
  <c r="D655" i="1"/>
  <c r="L649" i="1"/>
  <c r="H644" i="1"/>
  <c r="D639" i="1"/>
  <c r="L633" i="1"/>
  <c r="H628" i="1"/>
  <c r="D623" i="1"/>
  <c r="L617" i="1"/>
  <c r="H612" i="1"/>
  <c r="D607" i="1"/>
  <c r="L601" i="1"/>
  <c r="H596" i="1"/>
  <c r="H674" i="1"/>
  <c r="C669" i="1"/>
  <c r="K663" i="1"/>
  <c r="G658" i="1"/>
  <c r="C653" i="1"/>
  <c r="K647" i="1"/>
  <c r="G642" i="1"/>
  <c r="C637" i="1"/>
  <c r="K631" i="1"/>
  <c r="G626" i="1"/>
  <c r="C621" i="1"/>
  <c r="K615" i="1"/>
  <c r="G610" i="1"/>
  <c r="C605" i="1"/>
  <c r="K599" i="1"/>
  <c r="G594" i="1"/>
  <c r="J671" i="1"/>
  <c r="F666" i="1"/>
  <c r="B661" i="1"/>
  <c r="J655" i="1"/>
  <c r="F650" i="1"/>
  <c r="B645" i="1"/>
  <c r="J639" i="1"/>
  <c r="F634" i="1"/>
  <c r="B629" i="1"/>
  <c r="J623" i="1"/>
  <c r="F618" i="1"/>
  <c r="B613" i="1"/>
  <c r="J607" i="1"/>
  <c r="F602" i="1"/>
  <c r="B597" i="1"/>
  <c r="F674" i="1"/>
  <c r="A669" i="1"/>
  <c r="I663" i="1"/>
  <c r="E658" i="1"/>
  <c r="A653" i="1"/>
  <c r="G734" i="1"/>
  <c r="C729" i="1"/>
  <c r="K723" i="1"/>
  <c r="G718" i="1"/>
  <c r="C713" i="1"/>
  <c r="K707" i="1"/>
  <c r="G702" i="1"/>
  <c r="C697" i="1"/>
  <c r="K691" i="1"/>
  <c r="G686" i="1"/>
  <c r="C681" i="1"/>
  <c r="K675" i="1"/>
  <c r="D672" i="1"/>
  <c r="L666" i="1"/>
  <c r="H661" i="1"/>
  <c r="D656" i="1"/>
  <c r="L650" i="1"/>
  <c r="H645" i="1"/>
  <c r="D640" i="1"/>
  <c r="L634" i="1"/>
  <c r="H629" i="1"/>
  <c r="D624" i="1"/>
  <c r="L618" i="1"/>
  <c r="H613" i="1"/>
  <c r="D608" i="1"/>
  <c r="L602" i="1"/>
  <c r="H597" i="1"/>
  <c r="D592" i="1"/>
  <c r="C672" i="1"/>
  <c r="K666" i="1"/>
  <c r="G661" i="1"/>
  <c r="C656" i="1"/>
  <c r="K650" i="1"/>
  <c r="G645" i="1"/>
  <c r="C640" i="1"/>
  <c r="K634" i="1"/>
  <c r="G629" i="1"/>
  <c r="C624" i="1"/>
  <c r="K618" i="1"/>
  <c r="G613" i="1"/>
  <c r="C608" i="1"/>
  <c r="K602" i="1"/>
  <c r="G597" i="1"/>
  <c r="J678" i="1"/>
  <c r="F671" i="1"/>
  <c r="B666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J596" i="1"/>
  <c r="I678" i="1"/>
  <c r="E671" i="1"/>
  <c r="A666" i="1"/>
  <c r="I660" i="1"/>
  <c r="E655" i="1"/>
  <c r="A650" i="1"/>
  <c r="I644" i="1"/>
  <c r="E639" i="1"/>
  <c r="A634" i="1"/>
  <c r="I628" i="1"/>
  <c r="E623" i="1"/>
  <c r="A618" i="1"/>
  <c r="I612" i="1"/>
  <c r="E607" i="1"/>
  <c r="A602" i="1"/>
  <c r="I596" i="1"/>
  <c r="I676" i="1"/>
  <c r="H670" i="1"/>
  <c r="D665" i="1"/>
  <c r="L659" i="1"/>
  <c r="H654" i="1"/>
  <c r="D649" i="1"/>
  <c r="L643" i="1"/>
  <c r="H638" i="1"/>
  <c r="D633" i="1"/>
  <c r="L627" i="1"/>
  <c r="H622" i="1"/>
  <c r="D617" i="1"/>
  <c r="L611" i="1"/>
  <c r="H606" i="1"/>
  <c r="D601" i="1"/>
  <c r="L595" i="1"/>
  <c r="K673" i="1"/>
  <c r="G668" i="1"/>
  <c r="C663" i="1"/>
  <c r="K657" i="1"/>
  <c r="G652" i="1"/>
  <c r="C647" i="1"/>
  <c r="K641" i="1"/>
  <c r="G636" i="1"/>
  <c r="C631" i="1"/>
  <c r="K625" i="1"/>
  <c r="G620" i="1"/>
  <c r="C615" i="1"/>
  <c r="K609" i="1"/>
  <c r="G604" i="1"/>
  <c r="C599" i="1"/>
  <c r="A678" i="1"/>
  <c r="B671" i="1"/>
  <c r="J665" i="1"/>
  <c r="F660" i="1"/>
  <c r="B655" i="1"/>
  <c r="J649" i="1"/>
  <c r="F644" i="1"/>
  <c r="B639" i="1"/>
  <c r="J633" i="1"/>
  <c r="F628" i="1"/>
  <c r="B623" i="1"/>
  <c r="J617" i="1"/>
  <c r="F612" i="1"/>
  <c r="B607" i="1"/>
  <c r="J601" i="1"/>
  <c r="F596" i="1"/>
  <c r="I673" i="1"/>
  <c r="E668" i="1"/>
  <c r="A663" i="1"/>
  <c r="I657" i="1"/>
  <c r="E652" i="1"/>
  <c r="K733" i="1"/>
  <c r="G728" i="1"/>
  <c r="C723" i="1"/>
  <c r="K717" i="1"/>
  <c r="G712" i="1"/>
  <c r="C707" i="1"/>
  <c r="K701" i="1"/>
  <c r="G696" i="1"/>
  <c r="C691" i="1"/>
  <c r="K685" i="1"/>
  <c r="G680" i="1"/>
  <c r="F679" i="1"/>
  <c r="H671" i="1"/>
  <c r="D666" i="1"/>
  <c r="L660" i="1"/>
  <c r="H655" i="1"/>
  <c r="D650" i="1"/>
  <c r="L644" i="1"/>
  <c r="H639" i="1"/>
  <c r="D634" i="1"/>
  <c r="L628" i="1"/>
  <c r="H623" i="1"/>
  <c r="D618" i="1"/>
  <c r="L612" i="1"/>
  <c r="H607" i="1"/>
  <c r="D602" i="1"/>
  <c r="L596" i="1"/>
  <c r="E679" i="1"/>
  <c r="G671" i="1"/>
  <c r="C666" i="1"/>
  <c r="K660" i="1"/>
  <c r="G655" i="1"/>
  <c r="C650" i="1"/>
  <c r="K644" i="1"/>
  <c r="G639" i="1"/>
  <c r="C634" i="1"/>
  <c r="K628" i="1"/>
  <c r="G623" i="1"/>
  <c r="C618" i="1"/>
  <c r="K612" i="1"/>
  <c r="G607" i="1"/>
  <c r="C602" i="1"/>
  <c r="K596" i="1"/>
  <c r="D677" i="1"/>
  <c r="J670" i="1"/>
  <c r="F665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B596" i="1"/>
  <c r="J676" i="1"/>
  <c r="I670" i="1"/>
  <c r="E665" i="1"/>
  <c r="A660" i="1"/>
  <c r="I654" i="1"/>
  <c r="E649" i="1"/>
  <c r="A644" i="1"/>
  <c r="I638" i="1"/>
  <c r="E633" i="1"/>
  <c r="A628" i="1"/>
  <c r="I622" i="1"/>
  <c r="E617" i="1"/>
  <c r="A612" i="1"/>
  <c r="I606" i="1"/>
  <c r="E601" i="1"/>
  <c r="A596" i="1"/>
  <c r="F675" i="1"/>
  <c r="L669" i="1"/>
  <c r="H664" i="1"/>
  <c r="D659" i="1"/>
  <c r="L653" i="1"/>
  <c r="H648" i="1"/>
  <c r="D643" i="1"/>
  <c r="L637" i="1"/>
  <c r="H632" i="1"/>
  <c r="D627" i="1"/>
  <c r="L621" i="1"/>
  <c r="H616" i="1"/>
  <c r="D611" i="1"/>
  <c r="L605" i="1"/>
  <c r="H600" i="1"/>
  <c r="D595" i="1"/>
  <c r="C673" i="1"/>
  <c r="K667" i="1"/>
  <c r="G662" i="1"/>
  <c r="C657" i="1"/>
  <c r="K651" i="1"/>
  <c r="G646" i="1"/>
  <c r="C641" i="1"/>
  <c r="K635" i="1"/>
  <c r="G630" i="1"/>
  <c r="C625" i="1"/>
  <c r="K619" i="1"/>
  <c r="G614" i="1"/>
  <c r="C609" i="1"/>
  <c r="K603" i="1"/>
  <c r="G598" i="1"/>
  <c r="B676" i="1"/>
  <c r="F670" i="1"/>
  <c r="B665" i="1"/>
  <c r="J659" i="1"/>
  <c r="F654" i="1"/>
  <c r="B649" i="1"/>
  <c r="J643" i="1"/>
  <c r="F638" i="1"/>
  <c r="B633" i="1"/>
  <c r="J627" i="1"/>
  <c r="F622" i="1"/>
  <c r="B617" i="1"/>
  <c r="J611" i="1"/>
  <c r="F606" i="1"/>
  <c r="B601" i="1"/>
  <c r="J595" i="1"/>
  <c r="A673" i="1"/>
  <c r="I667" i="1"/>
  <c r="E662" i="1"/>
  <c r="A657" i="1"/>
  <c r="I651" i="1"/>
  <c r="C733" i="1"/>
  <c r="K727" i="1"/>
  <c r="G722" i="1"/>
  <c r="C717" i="1"/>
  <c r="K711" i="1"/>
  <c r="G706" i="1"/>
  <c r="C701" i="1"/>
  <c r="K695" i="1"/>
  <c r="G690" i="1"/>
  <c r="C685" i="1"/>
  <c r="K679" i="1"/>
  <c r="F677" i="1"/>
  <c r="L670" i="1"/>
  <c r="H665" i="1"/>
  <c r="D660" i="1"/>
  <c r="L654" i="1"/>
  <c r="H649" i="1"/>
  <c r="D644" i="1"/>
  <c r="L638" i="1"/>
  <c r="H633" i="1"/>
  <c r="D628" i="1"/>
  <c r="L622" i="1"/>
  <c r="H617" i="1"/>
  <c r="D612" i="1"/>
  <c r="L606" i="1"/>
  <c r="H601" i="1"/>
  <c r="D596" i="1"/>
  <c r="E677" i="1"/>
  <c r="K670" i="1"/>
  <c r="G665" i="1"/>
  <c r="C660" i="1"/>
  <c r="K654" i="1"/>
  <c r="G649" i="1"/>
  <c r="C644" i="1"/>
  <c r="K638" i="1"/>
  <c r="G633" i="1"/>
  <c r="C628" i="1"/>
  <c r="K622" i="1"/>
  <c r="G617" i="1"/>
  <c r="C612" i="1"/>
  <c r="K606" i="1"/>
  <c r="G601" i="1"/>
  <c r="C596" i="1"/>
  <c r="I675" i="1"/>
  <c r="B670" i="1"/>
  <c r="J664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F595" i="1"/>
  <c r="H675" i="1"/>
  <c r="A670" i="1"/>
  <c r="I664" i="1"/>
  <c r="E659" i="1"/>
  <c r="A654" i="1"/>
  <c r="I648" i="1"/>
  <c r="E643" i="1"/>
  <c r="A638" i="1"/>
  <c r="I632" i="1"/>
  <c r="E627" i="1"/>
  <c r="A622" i="1"/>
  <c r="I616" i="1"/>
  <c r="E611" i="1"/>
  <c r="A606" i="1"/>
  <c r="I600" i="1"/>
  <c r="E595" i="1"/>
  <c r="I674" i="1"/>
  <c r="D669" i="1"/>
  <c r="L663" i="1"/>
  <c r="H658" i="1"/>
  <c r="D653" i="1"/>
  <c r="L647" i="1"/>
  <c r="H642" i="1"/>
  <c r="D637" i="1"/>
  <c r="L631" i="1"/>
  <c r="H626" i="1"/>
  <c r="D621" i="1"/>
  <c r="L615" i="1"/>
  <c r="H610" i="1"/>
  <c r="D605" i="1"/>
  <c r="L599" i="1"/>
  <c r="H594" i="1"/>
  <c r="G672" i="1"/>
  <c r="C667" i="1"/>
  <c r="K661" i="1"/>
  <c r="G656" i="1"/>
  <c r="C651" i="1"/>
  <c r="K645" i="1"/>
  <c r="G640" i="1"/>
  <c r="C635" i="1"/>
  <c r="K629" i="1"/>
  <c r="G624" i="1"/>
  <c r="C619" i="1"/>
  <c r="K613" i="1"/>
  <c r="G608" i="1"/>
  <c r="C603" i="1"/>
  <c r="K597" i="1"/>
  <c r="D675" i="1"/>
  <c r="J669" i="1"/>
  <c r="F664" i="1"/>
  <c r="B659" i="1"/>
  <c r="J653" i="1"/>
  <c r="F648" i="1"/>
  <c r="B643" i="1"/>
  <c r="J637" i="1"/>
  <c r="F632" i="1"/>
  <c r="B627" i="1"/>
  <c r="J621" i="1"/>
  <c r="F616" i="1"/>
  <c r="B611" i="1"/>
  <c r="J605" i="1"/>
  <c r="F600" i="1"/>
  <c r="B595" i="1"/>
  <c r="E672" i="1"/>
  <c r="A667" i="1"/>
  <c r="I661" i="1"/>
  <c r="E656" i="1"/>
  <c r="A651" i="1"/>
  <c r="E650" i="1"/>
  <c r="I643" i="1"/>
  <c r="E638" i="1"/>
  <c r="A633" i="1"/>
  <c r="I627" i="1"/>
  <c r="E622" i="1"/>
  <c r="A617" i="1"/>
  <c r="I611" i="1"/>
  <c r="E606" i="1"/>
  <c r="A601" i="1"/>
  <c r="I595" i="1"/>
  <c r="F591" i="1"/>
  <c r="B586" i="1"/>
  <c r="J580" i="1"/>
  <c r="F575" i="1"/>
  <c r="B570" i="1"/>
  <c r="J564" i="1"/>
  <c r="F559" i="1"/>
  <c r="B554" i="1"/>
  <c r="J548" i="1"/>
  <c r="F543" i="1"/>
  <c r="B538" i="1"/>
  <c r="J532" i="1"/>
  <c r="F527" i="1"/>
  <c r="B522" i="1"/>
  <c r="J516" i="1"/>
  <c r="F511" i="1"/>
  <c r="E591" i="1"/>
  <c r="A586" i="1"/>
  <c r="I580" i="1"/>
  <c r="E575" i="1"/>
  <c r="A570" i="1"/>
  <c r="I564" i="1"/>
  <c r="E559" i="1"/>
  <c r="A554" i="1"/>
  <c r="I548" i="1"/>
  <c r="E543" i="1"/>
  <c r="A538" i="1"/>
  <c r="I532" i="1"/>
  <c r="E527" i="1"/>
  <c r="A522" i="1"/>
  <c r="I516" i="1"/>
  <c r="E511" i="1"/>
  <c r="D591" i="1"/>
  <c r="L585" i="1"/>
  <c r="H580" i="1"/>
  <c r="D575" i="1"/>
  <c r="L569" i="1"/>
  <c r="H564" i="1"/>
  <c r="D559" i="1"/>
  <c r="L553" i="1"/>
  <c r="H548" i="1"/>
  <c r="D543" i="1"/>
  <c r="L537" i="1"/>
  <c r="H532" i="1"/>
  <c r="D527" i="1"/>
  <c r="L521" i="1"/>
  <c r="H516" i="1"/>
  <c r="D511" i="1"/>
  <c r="C591" i="1"/>
  <c r="K585" i="1"/>
  <c r="G580" i="1"/>
  <c r="C575" i="1"/>
  <c r="K569" i="1"/>
  <c r="G564" i="1"/>
  <c r="C559" i="1"/>
  <c r="K553" i="1"/>
  <c r="G548" i="1"/>
  <c r="C543" i="1"/>
  <c r="K537" i="1"/>
  <c r="G532" i="1"/>
  <c r="C527" i="1"/>
  <c r="K521" i="1"/>
  <c r="G516" i="1"/>
  <c r="C511" i="1"/>
  <c r="B591" i="1"/>
  <c r="J585" i="1"/>
  <c r="F580" i="1"/>
  <c r="B575" i="1"/>
  <c r="J569" i="1"/>
  <c r="F564" i="1"/>
  <c r="B559" i="1"/>
  <c r="J553" i="1"/>
  <c r="F548" i="1"/>
  <c r="B543" i="1"/>
  <c r="J537" i="1"/>
  <c r="F532" i="1"/>
  <c r="B527" i="1"/>
  <c r="J521" i="1"/>
  <c r="F516" i="1"/>
  <c r="B511" i="1"/>
  <c r="I587" i="1"/>
  <c r="E582" i="1"/>
  <c r="A577" i="1"/>
  <c r="I571" i="1"/>
  <c r="E566" i="1"/>
  <c r="A561" i="1"/>
  <c r="I555" i="1"/>
  <c r="E550" i="1"/>
  <c r="A545" i="1"/>
  <c r="I539" i="1"/>
  <c r="E534" i="1"/>
  <c r="A529" i="1"/>
  <c r="I523" i="1"/>
  <c r="E518" i="1"/>
  <c r="A513" i="1"/>
  <c r="H589" i="1"/>
  <c r="D584" i="1"/>
  <c r="L578" i="1"/>
  <c r="H573" i="1"/>
  <c r="D568" i="1"/>
  <c r="L562" i="1"/>
  <c r="H557" i="1"/>
  <c r="D552" i="1"/>
  <c r="L546" i="1"/>
  <c r="H541" i="1"/>
  <c r="D536" i="1"/>
  <c r="L530" i="1"/>
  <c r="H525" i="1"/>
  <c r="D520" i="1"/>
  <c r="L514" i="1"/>
  <c r="G591" i="1"/>
  <c r="C586" i="1"/>
  <c r="K580" i="1"/>
  <c r="G575" i="1"/>
  <c r="C570" i="1"/>
  <c r="K564" i="1"/>
  <c r="G559" i="1"/>
  <c r="I649" i="1"/>
  <c r="A643" i="1"/>
  <c r="I637" i="1"/>
  <c r="E632" i="1"/>
  <c r="A627" i="1"/>
  <c r="I621" i="1"/>
  <c r="E616" i="1"/>
  <c r="A611" i="1"/>
  <c r="I605" i="1"/>
  <c r="E600" i="1"/>
  <c r="A595" i="1"/>
  <c r="J590" i="1"/>
  <c r="F585" i="1"/>
  <c r="B580" i="1"/>
  <c r="J574" i="1"/>
  <c r="F569" i="1"/>
  <c r="B564" i="1"/>
  <c r="J558" i="1"/>
  <c r="F553" i="1"/>
  <c r="B548" i="1"/>
  <c r="J542" i="1"/>
  <c r="F537" i="1"/>
  <c r="B532" i="1"/>
  <c r="J526" i="1"/>
  <c r="F521" i="1"/>
  <c r="B516" i="1"/>
  <c r="J510" i="1"/>
  <c r="I590" i="1"/>
  <c r="E585" i="1"/>
  <c r="A580" i="1"/>
  <c r="I574" i="1"/>
  <c r="E569" i="1"/>
  <c r="A564" i="1"/>
  <c r="I558" i="1"/>
  <c r="E553" i="1"/>
  <c r="A548" i="1"/>
  <c r="I542" i="1"/>
  <c r="E537" i="1"/>
  <c r="A532" i="1"/>
  <c r="I526" i="1"/>
  <c r="E521" i="1"/>
  <c r="A516" i="1"/>
  <c r="I510" i="1"/>
  <c r="H590" i="1"/>
  <c r="D585" i="1"/>
  <c r="L579" i="1"/>
  <c r="H574" i="1"/>
  <c r="D569" i="1"/>
  <c r="L563" i="1"/>
  <c r="H558" i="1"/>
  <c r="D553" i="1"/>
  <c r="L547" i="1"/>
  <c r="H542" i="1"/>
  <c r="D537" i="1"/>
  <c r="L531" i="1"/>
  <c r="H526" i="1"/>
  <c r="D521" i="1"/>
  <c r="L515" i="1"/>
  <c r="H510" i="1"/>
  <c r="G590" i="1"/>
  <c r="C585" i="1"/>
  <c r="K579" i="1"/>
  <c r="G574" i="1"/>
  <c r="C569" i="1"/>
  <c r="K563" i="1"/>
  <c r="G558" i="1"/>
  <c r="C553" i="1"/>
  <c r="K547" i="1"/>
  <c r="G542" i="1"/>
  <c r="C537" i="1"/>
  <c r="K531" i="1"/>
  <c r="G526" i="1"/>
  <c r="C521" i="1"/>
  <c r="K515" i="1"/>
  <c r="G510" i="1"/>
  <c r="F590" i="1"/>
  <c r="B585" i="1"/>
  <c r="J579" i="1"/>
  <c r="F574" i="1"/>
  <c r="B569" i="1"/>
  <c r="J563" i="1"/>
  <c r="F558" i="1"/>
  <c r="B553" i="1"/>
  <c r="J547" i="1"/>
  <c r="F542" i="1"/>
  <c r="B537" i="1"/>
  <c r="J531" i="1"/>
  <c r="F526" i="1"/>
  <c r="B521" i="1"/>
  <c r="J515" i="1"/>
  <c r="H592" i="1"/>
  <c r="A587" i="1"/>
  <c r="I581" i="1"/>
  <c r="E576" i="1"/>
  <c r="A571" i="1"/>
  <c r="I565" i="1"/>
  <c r="E560" i="1"/>
  <c r="A555" i="1"/>
  <c r="I549" i="1"/>
  <c r="E544" i="1"/>
  <c r="A539" i="1"/>
  <c r="I533" i="1"/>
  <c r="E528" i="1"/>
  <c r="A523" i="1"/>
  <c r="I517" i="1"/>
  <c r="E512" i="1"/>
  <c r="L588" i="1"/>
  <c r="H583" i="1"/>
  <c r="D578" i="1"/>
  <c r="L572" i="1"/>
  <c r="H567" i="1"/>
  <c r="D562" i="1"/>
  <c r="L556" i="1"/>
  <c r="H551" i="1"/>
  <c r="D546" i="1"/>
  <c r="L540" i="1"/>
  <c r="H535" i="1"/>
  <c r="D530" i="1"/>
  <c r="L524" i="1"/>
  <c r="H519" i="1"/>
  <c r="D514" i="1"/>
  <c r="K590" i="1"/>
  <c r="G585" i="1"/>
  <c r="C580" i="1"/>
  <c r="K574" i="1"/>
  <c r="G569" i="1"/>
  <c r="C564" i="1"/>
  <c r="K558" i="1"/>
  <c r="I647" i="1"/>
  <c r="E642" i="1"/>
  <c r="A637" i="1"/>
  <c r="I631" i="1"/>
  <c r="E626" i="1"/>
  <c r="A621" i="1"/>
  <c r="I615" i="1"/>
  <c r="E610" i="1"/>
  <c r="A605" i="1"/>
  <c r="I599" i="1"/>
  <c r="E594" i="1"/>
  <c r="B590" i="1"/>
  <c r="J584" i="1"/>
  <c r="F579" i="1"/>
  <c r="B574" i="1"/>
  <c r="J568" i="1"/>
  <c r="F563" i="1"/>
  <c r="B558" i="1"/>
  <c r="J552" i="1"/>
  <c r="F547" i="1"/>
  <c r="B542" i="1"/>
  <c r="J536" i="1"/>
  <c r="F531" i="1"/>
  <c r="B526" i="1"/>
  <c r="J520" i="1"/>
  <c r="F515" i="1"/>
  <c r="B510" i="1"/>
  <c r="A590" i="1"/>
  <c r="I584" i="1"/>
  <c r="E579" i="1"/>
  <c r="A574" i="1"/>
  <c r="I568" i="1"/>
  <c r="E563" i="1"/>
  <c r="A558" i="1"/>
  <c r="I552" i="1"/>
  <c r="E547" i="1"/>
  <c r="A542" i="1"/>
  <c r="I536" i="1"/>
  <c r="E531" i="1"/>
  <c r="A526" i="1"/>
  <c r="I520" i="1"/>
  <c r="E515" i="1"/>
  <c r="A510" i="1"/>
  <c r="L589" i="1"/>
  <c r="H584" i="1"/>
  <c r="D579" i="1"/>
  <c r="L573" i="1"/>
  <c r="H568" i="1"/>
  <c r="D563" i="1"/>
  <c r="L557" i="1"/>
  <c r="H552" i="1"/>
  <c r="D547" i="1"/>
  <c r="L541" i="1"/>
  <c r="H536" i="1"/>
  <c r="D531" i="1"/>
  <c r="L525" i="1"/>
  <c r="H520" i="1"/>
  <c r="D515" i="1"/>
  <c r="L509" i="1"/>
  <c r="K589" i="1"/>
  <c r="G584" i="1"/>
  <c r="C579" i="1"/>
  <c r="K573" i="1"/>
  <c r="G568" i="1"/>
  <c r="C563" i="1"/>
  <c r="K557" i="1"/>
  <c r="G552" i="1"/>
  <c r="C547" i="1"/>
  <c r="K541" i="1"/>
  <c r="G536" i="1"/>
  <c r="C531" i="1"/>
  <c r="K525" i="1"/>
  <c r="G520" i="1"/>
  <c r="C515" i="1"/>
  <c r="K509" i="1"/>
  <c r="J589" i="1"/>
  <c r="F584" i="1"/>
  <c r="B579" i="1"/>
  <c r="J573" i="1"/>
  <c r="F568" i="1"/>
  <c r="B563" i="1"/>
  <c r="J557" i="1"/>
  <c r="F552" i="1"/>
  <c r="B547" i="1"/>
  <c r="J541" i="1"/>
  <c r="F536" i="1"/>
  <c r="B531" i="1"/>
  <c r="J525" i="1"/>
  <c r="F520" i="1"/>
  <c r="B515" i="1"/>
  <c r="I591" i="1"/>
  <c r="E586" i="1"/>
  <c r="A581" i="1"/>
  <c r="I575" i="1"/>
  <c r="E570" i="1"/>
  <c r="A565" i="1"/>
  <c r="I559" i="1"/>
  <c r="E554" i="1"/>
  <c r="A549" i="1"/>
  <c r="I543" i="1"/>
  <c r="E538" i="1"/>
  <c r="A533" i="1"/>
  <c r="I527" i="1"/>
  <c r="E522" i="1"/>
  <c r="A517" i="1"/>
  <c r="I511" i="1"/>
  <c r="D588" i="1"/>
  <c r="L582" i="1"/>
  <c r="H577" i="1"/>
  <c r="D572" i="1"/>
  <c r="L566" i="1"/>
  <c r="H561" i="1"/>
  <c r="D556" i="1"/>
  <c r="L550" i="1"/>
  <c r="H545" i="1"/>
  <c r="D540" i="1"/>
  <c r="L534" i="1"/>
  <c r="H529" i="1"/>
  <c r="D524" i="1"/>
  <c r="L518" i="1"/>
  <c r="H513" i="1"/>
  <c r="C590" i="1"/>
  <c r="K584" i="1"/>
  <c r="G579" i="1"/>
  <c r="C574" i="1"/>
  <c r="K568" i="1"/>
  <c r="G563" i="1"/>
  <c r="C558" i="1"/>
  <c r="A647" i="1"/>
  <c r="I641" i="1"/>
  <c r="E636" i="1"/>
  <c r="A631" i="1"/>
  <c r="I625" i="1"/>
  <c r="E620" i="1"/>
  <c r="A615" i="1"/>
  <c r="I609" i="1"/>
  <c r="E604" i="1"/>
  <c r="A599" i="1"/>
  <c r="I593" i="1"/>
  <c r="F589" i="1"/>
  <c r="B584" i="1"/>
  <c r="J578" i="1"/>
  <c r="F573" i="1"/>
  <c r="B568" i="1"/>
  <c r="J562" i="1"/>
  <c r="F557" i="1"/>
  <c r="B552" i="1"/>
  <c r="J546" i="1"/>
  <c r="F541" i="1"/>
  <c r="B536" i="1"/>
  <c r="J530" i="1"/>
  <c r="F525" i="1"/>
  <c r="B520" i="1"/>
  <c r="J514" i="1"/>
  <c r="F509" i="1"/>
  <c r="E589" i="1"/>
  <c r="A584" i="1"/>
  <c r="I578" i="1"/>
  <c r="E573" i="1"/>
  <c r="A568" i="1"/>
  <c r="I562" i="1"/>
  <c r="E557" i="1"/>
  <c r="A552" i="1"/>
  <c r="I546" i="1"/>
  <c r="E541" i="1"/>
  <c r="A536" i="1"/>
  <c r="I530" i="1"/>
  <c r="E525" i="1"/>
  <c r="A520" i="1"/>
  <c r="I514" i="1"/>
  <c r="E509" i="1"/>
  <c r="D589" i="1"/>
  <c r="L583" i="1"/>
  <c r="H578" i="1"/>
  <c r="D573" i="1"/>
  <c r="L567" i="1"/>
  <c r="H562" i="1"/>
  <c r="D557" i="1"/>
  <c r="L551" i="1"/>
  <c r="H546" i="1"/>
  <c r="D541" i="1"/>
  <c r="L535" i="1"/>
  <c r="H530" i="1"/>
  <c r="D525" i="1"/>
  <c r="L519" i="1"/>
  <c r="H514" i="1"/>
  <c r="D509" i="1"/>
  <c r="C589" i="1"/>
  <c r="K583" i="1"/>
  <c r="G578" i="1"/>
  <c r="C573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B589" i="1"/>
  <c r="J583" i="1"/>
  <c r="F578" i="1"/>
  <c r="B573" i="1"/>
  <c r="J567" i="1"/>
  <c r="F562" i="1"/>
  <c r="B557" i="1"/>
  <c r="J551" i="1"/>
  <c r="F546" i="1"/>
  <c r="B541" i="1"/>
  <c r="J535" i="1"/>
  <c r="F530" i="1"/>
  <c r="B525" i="1"/>
  <c r="J519" i="1"/>
  <c r="F514" i="1"/>
  <c r="A591" i="1"/>
  <c r="I585" i="1"/>
  <c r="E580" i="1"/>
  <c r="A575" i="1"/>
  <c r="I569" i="1"/>
  <c r="E564" i="1"/>
  <c r="A559" i="1"/>
  <c r="I553" i="1"/>
  <c r="E548" i="1"/>
  <c r="A543" i="1"/>
  <c r="I537" i="1"/>
  <c r="E532" i="1"/>
  <c r="A527" i="1"/>
  <c r="I521" i="1"/>
  <c r="E516" i="1"/>
  <c r="A511" i="1"/>
  <c r="H587" i="1"/>
  <c r="D582" i="1"/>
  <c r="L576" i="1"/>
  <c r="H571" i="1"/>
  <c r="D566" i="1"/>
  <c r="L560" i="1"/>
  <c r="H555" i="1"/>
  <c r="D550" i="1"/>
  <c r="L544" i="1"/>
  <c r="H539" i="1"/>
  <c r="D534" i="1"/>
  <c r="L528" i="1"/>
  <c r="H523" i="1"/>
  <c r="D518" i="1"/>
  <c r="L512" i="1"/>
  <c r="G589" i="1"/>
  <c r="C584" i="1"/>
  <c r="K578" i="1"/>
  <c r="G573" i="1"/>
  <c r="C568" i="1"/>
  <c r="K562" i="1"/>
  <c r="G557" i="1"/>
  <c r="E646" i="1"/>
  <c r="A641" i="1"/>
  <c r="I635" i="1"/>
  <c r="E630" i="1"/>
  <c r="A625" i="1"/>
  <c r="I619" i="1"/>
  <c r="E614" i="1"/>
  <c r="A609" i="1"/>
  <c r="I603" i="1"/>
  <c r="E598" i="1"/>
  <c r="A593" i="1"/>
  <c r="J588" i="1"/>
  <c r="F583" i="1"/>
  <c r="B578" i="1"/>
  <c r="J572" i="1"/>
  <c r="F567" i="1"/>
  <c r="B562" i="1"/>
  <c r="J556" i="1"/>
  <c r="F551" i="1"/>
  <c r="B546" i="1"/>
  <c r="J540" i="1"/>
  <c r="F535" i="1"/>
  <c r="B530" i="1"/>
  <c r="J524" i="1"/>
  <c r="F519" i="1"/>
  <c r="B514" i="1"/>
  <c r="J508" i="1"/>
  <c r="I588" i="1"/>
  <c r="E583" i="1"/>
  <c r="A578" i="1"/>
  <c r="I572" i="1"/>
  <c r="E567" i="1"/>
  <c r="A562" i="1"/>
  <c r="I556" i="1"/>
  <c r="E551" i="1"/>
  <c r="A546" i="1"/>
  <c r="I540" i="1"/>
  <c r="E535" i="1"/>
  <c r="A530" i="1"/>
  <c r="I524" i="1"/>
  <c r="E519" i="1"/>
  <c r="A514" i="1"/>
  <c r="I508" i="1"/>
  <c r="H588" i="1"/>
  <c r="D583" i="1"/>
  <c r="L577" i="1"/>
  <c r="H572" i="1"/>
  <c r="D567" i="1"/>
  <c r="L561" i="1"/>
  <c r="H556" i="1"/>
  <c r="D551" i="1"/>
  <c r="L545" i="1"/>
  <c r="H540" i="1"/>
  <c r="D535" i="1"/>
  <c r="L529" i="1"/>
  <c r="H524" i="1"/>
  <c r="D519" i="1"/>
  <c r="L513" i="1"/>
  <c r="H508" i="1"/>
  <c r="G588" i="1"/>
  <c r="C583" i="1"/>
  <c r="K577" i="1"/>
  <c r="G572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F588" i="1"/>
  <c r="B583" i="1"/>
  <c r="J577" i="1"/>
  <c r="F572" i="1"/>
  <c r="B567" i="1"/>
  <c r="J561" i="1"/>
  <c r="F556" i="1"/>
  <c r="B551" i="1"/>
  <c r="J545" i="1"/>
  <c r="F540" i="1"/>
  <c r="B535" i="1"/>
  <c r="J529" i="1"/>
  <c r="F524" i="1"/>
  <c r="B519" i="1"/>
  <c r="J513" i="1"/>
  <c r="E590" i="1"/>
  <c r="A585" i="1"/>
  <c r="I579" i="1"/>
  <c r="E574" i="1"/>
  <c r="A569" i="1"/>
  <c r="I563" i="1"/>
  <c r="E558" i="1"/>
  <c r="A553" i="1"/>
  <c r="I547" i="1"/>
  <c r="E542" i="1"/>
  <c r="A537" i="1"/>
  <c r="I531" i="1"/>
  <c r="E526" i="1"/>
  <c r="A521" i="1"/>
  <c r="I515" i="1"/>
  <c r="G592" i="1"/>
  <c r="L586" i="1"/>
  <c r="H581" i="1"/>
  <c r="D576" i="1"/>
  <c r="L570" i="1"/>
  <c r="H565" i="1"/>
  <c r="D560" i="1"/>
  <c r="L554" i="1"/>
  <c r="H549" i="1"/>
  <c r="D544" i="1"/>
  <c r="L538" i="1"/>
  <c r="H533" i="1"/>
  <c r="D528" i="1"/>
  <c r="L522" i="1"/>
  <c r="H517" i="1"/>
  <c r="D512" i="1"/>
  <c r="K588" i="1"/>
  <c r="G583" i="1"/>
  <c r="C578" i="1"/>
  <c r="K572" i="1"/>
  <c r="G567" i="1"/>
  <c r="C562" i="1"/>
  <c r="K556" i="1"/>
  <c r="I645" i="1"/>
  <c r="E640" i="1"/>
  <c r="A635" i="1"/>
  <c r="I629" i="1"/>
  <c r="E624" i="1"/>
  <c r="A619" i="1"/>
  <c r="I613" i="1"/>
  <c r="E608" i="1"/>
  <c r="A603" i="1"/>
  <c r="I597" i="1"/>
  <c r="E592" i="1"/>
  <c r="B588" i="1"/>
  <c r="J582" i="1"/>
  <c r="F577" i="1"/>
  <c r="B572" i="1"/>
  <c r="J566" i="1"/>
  <c r="F561" i="1"/>
  <c r="B556" i="1"/>
  <c r="J550" i="1"/>
  <c r="F545" i="1"/>
  <c r="B540" i="1"/>
  <c r="J534" i="1"/>
  <c r="F529" i="1"/>
  <c r="B524" i="1"/>
  <c r="J518" i="1"/>
  <c r="F513" i="1"/>
  <c r="B508" i="1"/>
  <c r="A588" i="1"/>
  <c r="I582" i="1"/>
  <c r="E577" i="1"/>
  <c r="A572" i="1"/>
  <c r="I566" i="1"/>
  <c r="E561" i="1"/>
  <c r="A556" i="1"/>
  <c r="I550" i="1"/>
  <c r="E545" i="1"/>
  <c r="A540" i="1"/>
  <c r="I534" i="1"/>
  <c r="E529" i="1"/>
  <c r="A524" i="1"/>
  <c r="I518" i="1"/>
  <c r="E513" i="1"/>
  <c r="A508" i="1"/>
  <c r="L587" i="1"/>
  <c r="H582" i="1"/>
  <c r="D577" i="1"/>
  <c r="L571" i="1"/>
  <c r="H566" i="1"/>
  <c r="D561" i="1"/>
  <c r="L555" i="1"/>
  <c r="H550" i="1"/>
  <c r="D545" i="1"/>
  <c r="L539" i="1"/>
  <c r="H534" i="1"/>
  <c r="D529" i="1"/>
  <c r="L523" i="1"/>
  <c r="H518" i="1"/>
  <c r="D513" i="1"/>
  <c r="L507" i="1"/>
  <c r="K587" i="1"/>
  <c r="G582" i="1"/>
  <c r="C577" i="1"/>
  <c r="K571" i="1"/>
  <c r="G566" i="1"/>
  <c r="C561" i="1"/>
  <c r="K555" i="1"/>
  <c r="G550" i="1"/>
  <c r="C545" i="1"/>
  <c r="K539" i="1"/>
  <c r="G534" i="1"/>
  <c r="C529" i="1"/>
  <c r="K523" i="1"/>
  <c r="G518" i="1"/>
  <c r="C513" i="1"/>
  <c r="K507" i="1"/>
  <c r="J587" i="1"/>
  <c r="F582" i="1"/>
  <c r="B577" i="1"/>
  <c r="J571" i="1"/>
  <c r="F566" i="1"/>
  <c r="B561" i="1"/>
  <c r="J555" i="1"/>
  <c r="F550" i="1"/>
  <c r="B545" i="1"/>
  <c r="J539" i="1"/>
  <c r="F534" i="1"/>
  <c r="B529" i="1"/>
  <c r="J523" i="1"/>
  <c r="F518" i="1"/>
  <c r="B513" i="1"/>
  <c r="I589" i="1"/>
  <c r="E584" i="1"/>
  <c r="A579" i="1"/>
  <c r="I573" i="1"/>
  <c r="E568" i="1"/>
  <c r="A563" i="1"/>
  <c r="I557" i="1"/>
  <c r="E552" i="1"/>
  <c r="A547" i="1"/>
  <c r="I541" i="1"/>
  <c r="E536" i="1"/>
  <c r="A531" i="1"/>
  <c r="I525" i="1"/>
  <c r="E520" i="1"/>
  <c r="A515" i="1"/>
  <c r="H591" i="1"/>
  <c r="D586" i="1"/>
  <c r="L580" i="1"/>
  <c r="H575" i="1"/>
  <c r="D570" i="1"/>
  <c r="L564" i="1"/>
  <c r="H559" i="1"/>
  <c r="D554" i="1"/>
  <c r="L548" i="1"/>
  <c r="H543" i="1"/>
  <c r="D538" i="1"/>
  <c r="L532" i="1"/>
  <c r="H527" i="1"/>
  <c r="D522" i="1"/>
  <c r="L516" i="1"/>
  <c r="H511" i="1"/>
  <c r="C588" i="1"/>
  <c r="K582" i="1"/>
  <c r="G577" i="1"/>
  <c r="C572" i="1"/>
  <c r="K566" i="1"/>
  <c r="G561" i="1"/>
  <c r="A645" i="1"/>
  <c r="I639" i="1"/>
  <c r="E634" i="1"/>
  <c r="A629" i="1"/>
  <c r="I623" i="1"/>
  <c r="E618" i="1"/>
  <c r="A613" i="1"/>
  <c r="I607" i="1"/>
  <c r="E602" i="1"/>
  <c r="A597" i="1"/>
  <c r="K593" i="1"/>
  <c r="F587" i="1"/>
  <c r="B582" i="1"/>
  <c r="J576" i="1"/>
  <c r="F571" i="1"/>
  <c r="B566" i="1"/>
  <c r="J560" i="1"/>
  <c r="F555" i="1"/>
  <c r="B550" i="1"/>
  <c r="J544" i="1"/>
  <c r="F539" i="1"/>
  <c r="B534" i="1"/>
  <c r="J528" i="1"/>
  <c r="F523" i="1"/>
  <c r="B518" i="1"/>
  <c r="J512" i="1"/>
  <c r="J593" i="1"/>
  <c r="E587" i="1"/>
  <c r="A582" i="1"/>
  <c r="I576" i="1"/>
  <c r="E571" i="1"/>
  <c r="A566" i="1"/>
  <c r="I560" i="1"/>
  <c r="E555" i="1"/>
  <c r="A550" i="1"/>
  <c r="I544" i="1"/>
  <c r="E539" i="1"/>
  <c r="A534" i="1"/>
  <c r="I528" i="1"/>
  <c r="E523" i="1"/>
  <c r="A518" i="1"/>
  <c r="I512" i="1"/>
  <c r="D593" i="1"/>
  <c r="D587" i="1"/>
  <c r="L581" i="1"/>
  <c r="H576" i="1"/>
  <c r="D571" i="1"/>
  <c r="L565" i="1"/>
  <c r="H560" i="1"/>
  <c r="D555" i="1"/>
  <c r="L549" i="1"/>
  <c r="H544" i="1"/>
  <c r="D539" i="1"/>
  <c r="L533" i="1"/>
  <c r="H528" i="1"/>
  <c r="D523" i="1"/>
  <c r="L517" i="1"/>
  <c r="H512" i="1"/>
  <c r="C593" i="1"/>
  <c r="C587" i="1"/>
  <c r="K581" i="1"/>
  <c r="G576" i="1"/>
  <c r="C571" i="1"/>
  <c r="K565" i="1"/>
  <c r="G560" i="1"/>
  <c r="C555" i="1"/>
  <c r="K549" i="1"/>
  <c r="G544" i="1"/>
  <c r="C539" i="1"/>
  <c r="K533" i="1"/>
  <c r="G528" i="1"/>
  <c r="C523" i="1"/>
  <c r="K517" i="1"/>
  <c r="G512" i="1"/>
  <c r="B593" i="1"/>
  <c r="B587" i="1"/>
  <c r="J581" i="1"/>
  <c r="F576" i="1"/>
  <c r="B571" i="1"/>
  <c r="J565" i="1"/>
  <c r="F560" i="1"/>
  <c r="B555" i="1"/>
  <c r="J549" i="1"/>
  <c r="F544" i="1"/>
  <c r="B539" i="1"/>
  <c r="J533" i="1"/>
  <c r="F528" i="1"/>
  <c r="B523" i="1"/>
  <c r="J517" i="1"/>
  <c r="F512" i="1"/>
  <c r="A589" i="1"/>
  <c r="I583" i="1"/>
  <c r="E578" i="1"/>
  <c r="A573" i="1"/>
  <c r="I567" i="1"/>
  <c r="E562" i="1"/>
  <c r="A557" i="1"/>
  <c r="I551" i="1"/>
  <c r="E546" i="1"/>
  <c r="A541" i="1"/>
  <c r="I535" i="1"/>
  <c r="E530" i="1"/>
  <c r="A525" i="1"/>
  <c r="I519" i="1"/>
  <c r="E514" i="1"/>
  <c r="L590" i="1"/>
  <c r="H585" i="1"/>
  <c r="D580" i="1"/>
  <c r="L574" i="1"/>
  <c r="H569" i="1"/>
  <c r="D564" i="1"/>
  <c r="L558" i="1"/>
  <c r="H553" i="1"/>
  <c r="D548" i="1"/>
  <c r="L542" i="1"/>
  <c r="H537" i="1"/>
  <c r="D532" i="1"/>
  <c r="L526" i="1"/>
  <c r="H521" i="1"/>
  <c r="D516" i="1"/>
  <c r="L510" i="1"/>
  <c r="G587" i="1"/>
  <c r="C582" i="1"/>
  <c r="K576" i="1"/>
  <c r="G571" i="1"/>
  <c r="C566" i="1"/>
  <c r="K560" i="1"/>
  <c r="E644" i="1"/>
  <c r="A639" i="1"/>
  <c r="I633" i="1"/>
  <c r="E628" i="1"/>
  <c r="A623" i="1"/>
  <c r="I617" i="1"/>
  <c r="E612" i="1"/>
  <c r="A607" i="1"/>
  <c r="I601" i="1"/>
  <c r="E596" i="1"/>
  <c r="C592" i="1"/>
  <c r="J586" i="1"/>
  <c r="F581" i="1"/>
  <c r="B576" i="1"/>
  <c r="J570" i="1"/>
  <c r="F565" i="1"/>
  <c r="B560" i="1"/>
  <c r="J554" i="1"/>
  <c r="F549" i="1"/>
  <c r="B544" i="1"/>
  <c r="J538" i="1"/>
  <c r="F533" i="1"/>
  <c r="B528" i="1"/>
  <c r="J522" i="1"/>
  <c r="F517" i="1"/>
  <c r="B512" i="1"/>
  <c r="A592" i="1"/>
  <c r="I586" i="1"/>
  <c r="E581" i="1"/>
  <c r="A576" i="1"/>
  <c r="I570" i="1"/>
  <c r="E565" i="1"/>
  <c r="A560" i="1"/>
  <c r="I554" i="1"/>
  <c r="E549" i="1"/>
  <c r="A544" i="1"/>
  <c r="I538" i="1"/>
  <c r="E533" i="1"/>
  <c r="A528" i="1"/>
  <c r="I522" i="1"/>
  <c r="E517" i="1"/>
  <c r="A512" i="1"/>
  <c r="L591" i="1"/>
  <c r="H586" i="1"/>
  <c r="D581" i="1"/>
  <c r="L575" i="1"/>
  <c r="H570" i="1"/>
  <c r="D565" i="1"/>
  <c r="L559" i="1"/>
  <c r="H554" i="1"/>
  <c r="D549" i="1"/>
  <c r="L543" i="1"/>
  <c r="H538" i="1"/>
  <c r="D533" i="1"/>
  <c r="L527" i="1"/>
  <c r="H522" i="1"/>
  <c r="D517" i="1"/>
  <c r="L511" i="1"/>
  <c r="K591" i="1"/>
  <c r="G586" i="1"/>
  <c r="C581" i="1"/>
  <c r="K575" i="1"/>
  <c r="G570" i="1"/>
  <c r="C565" i="1"/>
  <c r="K559" i="1"/>
  <c r="G554" i="1"/>
  <c r="C549" i="1"/>
  <c r="K543" i="1"/>
  <c r="G538" i="1"/>
  <c r="C533" i="1"/>
  <c r="K527" i="1"/>
  <c r="G522" i="1"/>
  <c r="C517" i="1"/>
  <c r="K511" i="1"/>
  <c r="J591" i="1"/>
  <c r="F586" i="1"/>
  <c r="B581" i="1"/>
  <c r="J575" i="1"/>
  <c r="F570" i="1"/>
  <c r="B565" i="1"/>
  <c r="J559" i="1"/>
  <c r="F554" i="1"/>
  <c r="B549" i="1"/>
  <c r="J543" i="1"/>
  <c r="F538" i="1"/>
  <c r="B533" i="1"/>
  <c r="J527" i="1"/>
  <c r="F522" i="1"/>
  <c r="B517" i="1"/>
  <c r="J511" i="1"/>
  <c r="E588" i="1"/>
  <c r="A583" i="1"/>
  <c r="I577" i="1"/>
  <c r="E572" i="1"/>
  <c r="A567" i="1"/>
  <c r="I561" i="1"/>
  <c r="E556" i="1"/>
  <c r="A551" i="1"/>
  <c r="I545" i="1"/>
  <c r="E540" i="1"/>
  <c r="A535" i="1"/>
  <c r="I529" i="1"/>
  <c r="E524" i="1"/>
  <c r="A519" i="1"/>
  <c r="I513" i="1"/>
  <c r="D590" i="1"/>
  <c r="L584" i="1"/>
  <c r="H579" i="1"/>
  <c r="D574" i="1"/>
  <c r="L568" i="1"/>
  <c r="H563" i="1"/>
  <c r="D558" i="1"/>
  <c r="L552" i="1"/>
  <c r="H547" i="1"/>
  <c r="D542" i="1"/>
  <c r="L536" i="1"/>
  <c r="H531" i="1"/>
  <c r="D526" i="1"/>
  <c r="L520" i="1"/>
  <c r="H515" i="1"/>
  <c r="F592" i="1"/>
  <c r="K586" i="1"/>
  <c r="G581" i="1"/>
  <c r="C576" i="1"/>
  <c r="K570" i="1"/>
  <c r="G565" i="1"/>
  <c r="C560" i="1"/>
  <c r="C556" i="1"/>
  <c r="K550" i="1"/>
  <c r="G545" i="1"/>
  <c r="C540" i="1"/>
  <c r="K534" i="1"/>
  <c r="G529" i="1"/>
  <c r="C524" i="1"/>
  <c r="K518" i="1"/>
  <c r="G513" i="1"/>
  <c r="C508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F508" i="1"/>
  <c r="I502" i="1"/>
  <c r="E497" i="1"/>
  <c r="A492" i="1"/>
  <c r="I486" i="1"/>
  <c r="E481" i="1"/>
  <c r="A476" i="1"/>
  <c r="I470" i="1"/>
  <c r="E465" i="1"/>
  <c r="A460" i="1"/>
  <c r="I454" i="1"/>
  <c r="E449" i="1"/>
  <c r="A444" i="1"/>
  <c r="I438" i="1"/>
  <c r="E433" i="1"/>
  <c r="A428" i="1"/>
  <c r="I422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K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H419" i="1"/>
  <c r="D414" i="1"/>
  <c r="L408" i="1"/>
  <c r="H403" i="1"/>
  <c r="D398" i="1"/>
  <c r="L392" i="1"/>
  <c r="H387" i="1"/>
  <c r="D382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K418" i="1"/>
  <c r="G413" i="1"/>
  <c r="C408" i="1"/>
  <c r="K402" i="1"/>
  <c r="G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B418" i="1"/>
  <c r="J412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G555" i="1"/>
  <c r="C550" i="1"/>
  <c r="K544" i="1"/>
  <c r="G539" i="1"/>
  <c r="C534" i="1"/>
  <c r="K528" i="1"/>
  <c r="G523" i="1"/>
  <c r="C518" i="1"/>
  <c r="K512" i="1"/>
  <c r="F510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E507" i="1"/>
  <c r="A502" i="1"/>
  <c r="I496" i="1"/>
  <c r="E491" i="1"/>
  <c r="A486" i="1"/>
  <c r="I480" i="1"/>
  <c r="E475" i="1"/>
  <c r="A470" i="1"/>
  <c r="I464" i="1"/>
  <c r="E459" i="1"/>
  <c r="A454" i="1"/>
  <c r="I448" i="1"/>
  <c r="E443" i="1"/>
  <c r="A438" i="1"/>
  <c r="I432" i="1"/>
  <c r="E427" i="1"/>
  <c r="A422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L418" i="1"/>
  <c r="H413" i="1"/>
  <c r="D408" i="1"/>
  <c r="L402" i="1"/>
  <c r="H397" i="1"/>
  <c r="D392" i="1"/>
  <c r="L386" i="1"/>
  <c r="H381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C418" i="1"/>
  <c r="K412" i="1"/>
  <c r="G407" i="1"/>
  <c r="C402" i="1"/>
  <c r="K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F417" i="1"/>
  <c r="B412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K554" i="1"/>
  <c r="G549" i="1"/>
  <c r="C544" i="1"/>
  <c r="K538" i="1"/>
  <c r="G533" i="1"/>
  <c r="C528" i="1"/>
  <c r="K522" i="1"/>
  <c r="G517" i="1"/>
  <c r="C512" i="1"/>
  <c r="L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I506" i="1"/>
  <c r="E501" i="1"/>
  <c r="A496" i="1"/>
  <c r="I490" i="1"/>
  <c r="E485" i="1"/>
  <c r="A480" i="1"/>
  <c r="I474" i="1"/>
  <c r="E469" i="1"/>
  <c r="A464" i="1"/>
  <c r="I458" i="1"/>
  <c r="E453" i="1"/>
  <c r="A448" i="1"/>
  <c r="I442" i="1"/>
  <c r="E437" i="1"/>
  <c r="A432" i="1"/>
  <c r="I426" i="1"/>
  <c r="E421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D418" i="1"/>
  <c r="L412" i="1"/>
  <c r="H407" i="1"/>
  <c r="D402" i="1"/>
  <c r="L396" i="1"/>
  <c r="H391" i="1"/>
  <c r="D386" i="1"/>
  <c r="L380" i="1"/>
  <c r="H375" i="1"/>
  <c r="D37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G417" i="1"/>
  <c r="C412" i="1"/>
  <c r="K406" i="1"/>
  <c r="G40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J416" i="1"/>
  <c r="F411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C554" i="1"/>
  <c r="K548" i="1"/>
  <c r="G543" i="1"/>
  <c r="C538" i="1"/>
  <c r="K532" i="1"/>
  <c r="G527" i="1"/>
  <c r="C522" i="1"/>
  <c r="K516" i="1"/>
  <c r="G511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A506" i="1"/>
  <c r="I500" i="1"/>
  <c r="E495" i="1"/>
  <c r="A490" i="1"/>
  <c r="I484" i="1"/>
  <c r="E479" i="1"/>
  <c r="A474" i="1"/>
  <c r="I468" i="1"/>
  <c r="E463" i="1"/>
  <c r="A458" i="1"/>
  <c r="I452" i="1"/>
  <c r="E447" i="1"/>
  <c r="A442" i="1"/>
  <c r="I436" i="1"/>
  <c r="E431" i="1"/>
  <c r="A426" i="1"/>
  <c r="I420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J509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E504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H417" i="1"/>
  <c r="D412" i="1"/>
  <c r="L406" i="1"/>
  <c r="H401" i="1"/>
  <c r="D396" i="1"/>
  <c r="L390" i="1"/>
  <c r="H385" i="1"/>
  <c r="D380" i="1"/>
  <c r="L374" i="1"/>
  <c r="H36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K416" i="1"/>
  <c r="G411" i="1"/>
  <c r="C406" i="1"/>
  <c r="K40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L422" i="1"/>
  <c r="B416" i="1"/>
  <c r="J410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G553" i="1"/>
  <c r="C548" i="1"/>
  <c r="K542" i="1"/>
  <c r="G537" i="1"/>
  <c r="C532" i="1"/>
  <c r="K526" i="1"/>
  <c r="G521" i="1"/>
  <c r="C516" i="1"/>
  <c r="K510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E505" i="1"/>
  <c r="A500" i="1"/>
  <c r="I494" i="1"/>
  <c r="E489" i="1"/>
  <c r="A484" i="1"/>
  <c r="I478" i="1"/>
  <c r="E473" i="1"/>
  <c r="A468" i="1"/>
  <c r="I462" i="1"/>
  <c r="E457" i="1"/>
  <c r="A452" i="1"/>
  <c r="I446" i="1"/>
  <c r="E441" i="1"/>
  <c r="A436" i="1"/>
  <c r="I430" i="1"/>
  <c r="E425" i="1"/>
  <c r="A420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D508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B509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A509" i="1"/>
  <c r="K50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L416" i="1"/>
  <c r="H411" i="1"/>
  <c r="D406" i="1"/>
  <c r="L400" i="1"/>
  <c r="H395" i="1"/>
  <c r="D390" i="1"/>
  <c r="L384" i="1"/>
  <c r="H379" i="1"/>
  <c r="D37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A423" i="1"/>
  <c r="C416" i="1"/>
  <c r="K410" i="1"/>
  <c r="G405" i="1"/>
  <c r="C40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G421" i="1"/>
  <c r="F415" i="1"/>
  <c r="B410" i="1"/>
  <c r="J404" i="1"/>
  <c r="F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K552" i="1"/>
  <c r="G547" i="1"/>
  <c r="C542" i="1"/>
  <c r="K536" i="1"/>
  <c r="G531" i="1"/>
  <c r="C526" i="1"/>
  <c r="K520" i="1"/>
  <c r="G515" i="1"/>
  <c r="C510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I504" i="1"/>
  <c r="E499" i="1"/>
  <c r="A494" i="1"/>
  <c r="I488" i="1"/>
  <c r="E483" i="1"/>
  <c r="A478" i="1"/>
  <c r="I472" i="1"/>
  <c r="E467" i="1"/>
  <c r="A462" i="1"/>
  <c r="I456" i="1"/>
  <c r="E451" i="1"/>
  <c r="A446" i="1"/>
  <c r="I440" i="1"/>
  <c r="E435" i="1"/>
  <c r="A430" i="1"/>
  <c r="I424" i="1"/>
  <c r="D510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I509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H509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B423" i="1"/>
  <c r="D416" i="1"/>
  <c r="L410" i="1"/>
  <c r="H405" i="1"/>
  <c r="D400" i="1"/>
  <c r="L394" i="1"/>
  <c r="H389" i="1"/>
  <c r="D384" i="1"/>
  <c r="L378" i="1"/>
  <c r="H37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H421" i="1"/>
  <c r="G415" i="1"/>
  <c r="C410" i="1"/>
  <c r="K404" i="1"/>
  <c r="G399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E420" i="1"/>
  <c r="J414" i="1"/>
  <c r="F409" i="1"/>
  <c r="B404" i="1"/>
  <c r="J398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C552" i="1"/>
  <c r="K546" i="1"/>
  <c r="G541" i="1"/>
  <c r="C536" i="1"/>
  <c r="K530" i="1"/>
  <c r="G525" i="1"/>
  <c r="C520" i="1"/>
  <c r="K514" i="1"/>
  <c r="G509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A504" i="1"/>
  <c r="I498" i="1"/>
  <c r="E493" i="1"/>
  <c r="A488" i="1"/>
  <c r="I482" i="1"/>
  <c r="E477" i="1"/>
  <c r="A472" i="1"/>
  <c r="I466" i="1"/>
  <c r="E461" i="1"/>
  <c r="A456" i="1"/>
  <c r="I450" i="1"/>
  <c r="E445" i="1"/>
  <c r="A440" i="1"/>
  <c r="I434" i="1"/>
  <c r="E429" i="1"/>
  <c r="A424" i="1"/>
  <c r="E508" i="1"/>
  <c r="H502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I423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I421" i="1"/>
  <c r="H415" i="1"/>
  <c r="D410" i="1"/>
  <c r="L404" i="1"/>
  <c r="H399" i="1"/>
  <c r="D394" i="1"/>
  <c r="L388" i="1"/>
  <c r="H383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F420" i="1"/>
  <c r="K414" i="1"/>
  <c r="G409" i="1"/>
  <c r="C404" i="1"/>
  <c r="K398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F419" i="1"/>
  <c r="B414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G551" i="1"/>
  <c r="C546" i="1"/>
  <c r="K540" i="1"/>
  <c r="G535" i="1"/>
  <c r="C530" i="1"/>
  <c r="K524" i="1"/>
  <c r="G519" i="1"/>
  <c r="C514" i="1"/>
  <c r="K508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E510" i="1"/>
  <c r="E503" i="1"/>
  <c r="A498" i="1"/>
  <c r="I492" i="1"/>
  <c r="E487" i="1"/>
  <c r="A482" i="1"/>
  <c r="I476" i="1"/>
  <c r="E471" i="1"/>
  <c r="A466" i="1"/>
  <c r="I460" i="1"/>
  <c r="E455" i="1"/>
  <c r="A450" i="1"/>
  <c r="I444" i="1"/>
  <c r="E439" i="1"/>
  <c r="A434" i="1"/>
  <c r="I428" i="1"/>
  <c r="E423" i="1"/>
  <c r="D507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J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G420" i="1"/>
  <c r="L414" i="1"/>
  <c r="H409" i="1"/>
  <c r="D404" i="1"/>
  <c r="L398" i="1"/>
  <c r="H393" i="1"/>
  <c r="D388" i="1"/>
  <c r="L382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G419" i="1"/>
  <c r="C414" i="1"/>
  <c r="K408" i="1"/>
  <c r="G403" i="1"/>
  <c r="C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J418" i="1"/>
  <c r="F413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E417" i="1"/>
  <c r="A412" i="1"/>
  <c r="I406" i="1"/>
  <c r="E401" i="1"/>
  <c r="A396" i="1"/>
  <c r="I390" i="1"/>
  <c r="E385" i="1"/>
  <c r="A380" i="1"/>
  <c r="I374" i="1"/>
  <c r="E369" i="1"/>
  <c r="A364" i="1"/>
  <c r="I358" i="1"/>
  <c r="E353" i="1"/>
  <c r="A348" i="1"/>
  <c r="I342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H416" i="1"/>
  <c r="D411" i="1"/>
  <c r="L405" i="1"/>
  <c r="H400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422" i="1"/>
  <c r="K415" i="1"/>
  <c r="G410" i="1"/>
  <c r="C405" i="1"/>
  <c r="K399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L420" i="1"/>
  <c r="B415" i="1"/>
  <c r="J409" i="1"/>
  <c r="F404" i="1"/>
  <c r="B399" i="1"/>
  <c r="J393" i="1"/>
  <c r="F388" i="1"/>
  <c r="B383" i="1"/>
  <c r="J377" i="1"/>
  <c r="F372" i="1"/>
  <c r="B367" i="1"/>
  <c r="J361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A24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H24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K246" i="1"/>
  <c r="G241" i="1"/>
  <c r="C236" i="1"/>
  <c r="K230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C156" i="1"/>
  <c r="K150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I416" i="1"/>
  <c r="E411" i="1"/>
  <c r="A406" i="1"/>
  <c r="I400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422" i="1"/>
  <c r="L415" i="1"/>
  <c r="H410" i="1"/>
  <c r="D405" i="1"/>
  <c r="L399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A421" i="1"/>
  <c r="C415" i="1"/>
  <c r="K409" i="1"/>
  <c r="G404" i="1"/>
  <c r="C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J419" i="1"/>
  <c r="F414" i="1"/>
  <c r="B409" i="1"/>
  <c r="J403" i="1"/>
  <c r="F398" i="1"/>
  <c r="B393" i="1"/>
  <c r="J387" i="1"/>
  <c r="F382" i="1"/>
  <c r="B377" i="1"/>
  <c r="J371" i="1"/>
  <c r="F366" i="1"/>
  <c r="B361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E24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L246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G251" i="1"/>
  <c r="C246" i="1"/>
  <c r="K240" i="1"/>
  <c r="G235" i="1"/>
  <c r="C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422" i="1"/>
  <c r="A416" i="1"/>
  <c r="I410" i="1"/>
  <c r="E405" i="1"/>
  <c r="A400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B421" i="1"/>
  <c r="D415" i="1"/>
  <c r="L409" i="1"/>
  <c r="H404" i="1"/>
  <c r="D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K419" i="1"/>
  <c r="G414" i="1"/>
  <c r="C409" i="1"/>
  <c r="K403" i="1"/>
  <c r="G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B419" i="1"/>
  <c r="J413" i="1"/>
  <c r="F408" i="1"/>
  <c r="B403" i="1"/>
  <c r="J397" i="1"/>
  <c r="F392" i="1"/>
  <c r="B387" i="1"/>
  <c r="J381" i="1"/>
  <c r="F376" i="1"/>
  <c r="B371" i="1"/>
  <c r="J365" i="1"/>
  <c r="F360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I24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K250" i="1"/>
  <c r="G245" i="1"/>
  <c r="C240" i="1"/>
  <c r="K234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C421" i="1"/>
  <c r="E415" i="1"/>
  <c r="A410" i="1"/>
  <c r="I404" i="1"/>
  <c r="E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C420" i="1"/>
  <c r="H414" i="1"/>
  <c r="D409" i="1"/>
  <c r="L403" i="1"/>
  <c r="H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C419" i="1"/>
  <c r="K413" i="1"/>
  <c r="G408" i="1"/>
  <c r="C403" i="1"/>
  <c r="K397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F418" i="1"/>
  <c r="B413" i="1"/>
  <c r="J407" i="1"/>
  <c r="F402" i="1"/>
  <c r="B397" i="1"/>
  <c r="J391" i="1"/>
  <c r="F386" i="1"/>
  <c r="B381" i="1"/>
  <c r="J375" i="1"/>
  <c r="F370" i="1"/>
  <c r="B365" i="1"/>
  <c r="J359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A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C250" i="1"/>
  <c r="K244" i="1"/>
  <c r="G239" i="1"/>
  <c r="C234" i="1"/>
  <c r="K22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C154" i="1"/>
  <c r="K148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D420" i="1"/>
  <c r="I414" i="1"/>
  <c r="E409" i="1"/>
  <c r="A404" i="1"/>
  <c r="I398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D419" i="1"/>
  <c r="L413" i="1"/>
  <c r="H408" i="1"/>
  <c r="D403" i="1"/>
  <c r="L397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G418" i="1"/>
  <c r="C413" i="1"/>
  <c r="K407" i="1"/>
  <c r="G402" i="1"/>
  <c r="C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J417" i="1"/>
  <c r="F412" i="1"/>
  <c r="B407" i="1"/>
  <c r="J401" i="1"/>
  <c r="F396" i="1"/>
  <c r="B391" i="1"/>
  <c r="J385" i="1"/>
  <c r="F380" i="1"/>
  <c r="B375" i="1"/>
  <c r="J369" i="1"/>
  <c r="F364" i="1"/>
  <c r="B359" i="1"/>
  <c r="J353" i="1"/>
  <c r="F348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D25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G249" i="1"/>
  <c r="C244" i="1"/>
  <c r="K238" i="1"/>
  <c r="G23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E419" i="1"/>
  <c r="A414" i="1"/>
  <c r="I408" i="1"/>
  <c r="E403" i="1"/>
  <c r="A398" i="1"/>
  <c r="I392" i="1"/>
  <c r="E387" i="1"/>
  <c r="A382" i="1"/>
  <c r="I376" i="1"/>
  <c r="E371" i="1"/>
  <c r="A366" i="1"/>
  <c r="I360" i="1"/>
  <c r="E355" i="1"/>
  <c r="A350" i="1"/>
  <c r="I344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H418" i="1"/>
  <c r="D413" i="1"/>
  <c r="L407" i="1"/>
  <c r="H402" i="1"/>
  <c r="D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K417" i="1"/>
  <c r="G412" i="1"/>
  <c r="C407" i="1"/>
  <c r="K401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B417" i="1"/>
  <c r="J411" i="1"/>
  <c r="F406" i="1"/>
  <c r="B401" i="1"/>
  <c r="J395" i="1"/>
  <c r="F390" i="1"/>
  <c r="B385" i="1"/>
  <c r="J379" i="1"/>
  <c r="F374" i="1"/>
  <c r="B369" i="1"/>
  <c r="J363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A25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H24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K248" i="1"/>
  <c r="G243" i="1"/>
  <c r="C238" i="1"/>
  <c r="K23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I418" i="1"/>
  <c r="E413" i="1"/>
  <c r="A408" i="1"/>
  <c r="I402" i="1"/>
  <c r="E397" i="1"/>
  <c r="A392" i="1"/>
  <c r="I386" i="1"/>
  <c r="E381" i="1"/>
  <c r="A376" i="1"/>
  <c r="I370" i="1"/>
  <c r="E365" i="1"/>
  <c r="A360" i="1"/>
  <c r="I354" i="1"/>
  <c r="E349" i="1"/>
  <c r="A344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L417" i="1"/>
  <c r="H412" i="1"/>
  <c r="D407" i="1"/>
  <c r="L401" i="1"/>
  <c r="H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C417" i="1"/>
  <c r="K411" i="1"/>
  <c r="G406" i="1"/>
  <c r="C401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F416" i="1"/>
  <c r="B411" i="1"/>
  <c r="J405" i="1"/>
  <c r="F400" i="1"/>
  <c r="B395" i="1"/>
  <c r="J389" i="1"/>
  <c r="F384" i="1"/>
  <c r="B379" i="1"/>
  <c r="J373" i="1"/>
  <c r="F368" i="1"/>
  <c r="B363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E25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L248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C248" i="1"/>
  <c r="K242" i="1"/>
  <c r="G237" i="1"/>
  <c r="C23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A418" i="1"/>
  <c r="I412" i="1"/>
  <c r="E407" i="1"/>
  <c r="A402" i="1"/>
  <c r="I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D417" i="1"/>
  <c r="L411" i="1"/>
  <c r="H406" i="1"/>
  <c r="D401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G416" i="1"/>
  <c r="C411" i="1"/>
  <c r="K405" i="1"/>
  <c r="G400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K421" i="1"/>
  <c r="J415" i="1"/>
  <c r="F410" i="1"/>
  <c r="B405" i="1"/>
  <c r="J399" i="1"/>
  <c r="F394" i="1"/>
  <c r="B389" i="1"/>
  <c r="J383" i="1"/>
  <c r="F378" i="1"/>
  <c r="B373" i="1"/>
  <c r="J367" i="1"/>
  <c r="F362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I24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D24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G247" i="1"/>
  <c r="C242" i="1"/>
  <c r="K236" i="1"/>
  <c r="G23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6" i="1"/>
  <c r="C140" i="1"/>
  <c r="K134" i="1"/>
  <c r="G129" i="1"/>
  <c r="C124" i="1"/>
  <c r="K118" i="1"/>
  <c r="G113" i="1"/>
  <c r="C108" i="1"/>
  <c r="K102" i="1"/>
  <c r="G97" i="1"/>
  <c r="C92" i="1"/>
  <c r="K8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E24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L247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C247" i="1"/>
  <c r="K241" i="1"/>
  <c r="G236" i="1"/>
  <c r="C23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E82" i="1"/>
  <c r="K76" i="1"/>
  <c r="G71" i="1"/>
  <c r="C66" i="1"/>
  <c r="K60" i="1"/>
  <c r="G55" i="1"/>
  <c r="C50" i="1"/>
  <c r="K44" i="1"/>
  <c r="G39" i="1"/>
  <c r="C34" i="1"/>
  <c r="K28" i="1"/>
  <c r="G23" i="1"/>
  <c r="C18" i="1"/>
  <c r="K12" i="1"/>
  <c r="G7" i="1"/>
  <c r="J80" i="1"/>
  <c r="F75" i="1"/>
  <c r="B70" i="1"/>
  <c r="J64" i="1"/>
  <c r="F59" i="1"/>
  <c r="B54" i="1"/>
  <c r="J48" i="1"/>
  <c r="F43" i="1"/>
  <c r="B38" i="1"/>
  <c r="J32" i="1"/>
  <c r="F27" i="1"/>
  <c r="B22" i="1"/>
  <c r="J16" i="1"/>
  <c r="F11" i="1"/>
  <c r="B6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I4" i="1"/>
  <c r="L77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C81" i="1"/>
  <c r="K75" i="1"/>
  <c r="G70" i="1"/>
  <c r="C65" i="1"/>
  <c r="K59" i="1"/>
  <c r="G54" i="1"/>
  <c r="C49" i="1"/>
  <c r="K43" i="1"/>
  <c r="G38" i="1"/>
  <c r="C33" i="1"/>
  <c r="K27" i="1"/>
  <c r="G22" i="1"/>
  <c r="C17" i="1"/>
  <c r="K11" i="1"/>
  <c r="G6" i="1"/>
  <c r="B79" i="1"/>
  <c r="J73" i="1"/>
  <c r="F68" i="1"/>
  <c r="B63" i="1"/>
  <c r="J57" i="1"/>
  <c r="F52" i="1"/>
  <c r="B47" i="1"/>
  <c r="J41" i="1"/>
  <c r="F36" i="1"/>
  <c r="B31" i="1"/>
  <c r="J25" i="1"/>
  <c r="F20" i="1"/>
  <c r="B15" i="1"/>
  <c r="J9" i="1"/>
  <c r="F4" i="1"/>
  <c r="A77" i="1"/>
  <c r="I71" i="1"/>
  <c r="E66" i="1"/>
  <c r="A61" i="1"/>
  <c r="I55" i="1"/>
  <c r="E50" i="1"/>
  <c r="A45" i="1"/>
  <c r="I39" i="1"/>
  <c r="E34" i="1"/>
  <c r="A29" i="1"/>
  <c r="I23" i="1"/>
  <c r="E18" i="1"/>
  <c r="A13" i="1"/>
  <c r="I7" i="1"/>
  <c r="D80" i="1"/>
  <c r="L74" i="1"/>
  <c r="H69" i="1"/>
  <c r="D64" i="1"/>
  <c r="L58" i="1"/>
  <c r="H53" i="1"/>
  <c r="D48" i="1"/>
  <c r="L42" i="1"/>
  <c r="H37" i="1"/>
  <c r="D32" i="1"/>
  <c r="L26" i="1"/>
  <c r="H21" i="1"/>
  <c r="D16" i="1"/>
  <c r="L10" i="1"/>
  <c r="G145" i="1"/>
  <c r="G139" i="1"/>
  <c r="C134" i="1"/>
  <c r="K128" i="1"/>
  <c r="G123" i="1"/>
  <c r="C118" i="1"/>
  <c r="K112" i="1"/>
  <c r="G107" i="1"/>
  <c r="C102" i="1"/>
  <c r="K96" i="1"/>
  <c r="G91" i="1"/>
  <c r="C86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I24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D24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G246" i="1"/>
  <c r="C241" i="1"/>
  <c r="K235" i="1"/>
  <c r="G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G81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K6" i="1"/>
  <c r="B80" i="1"/>
  <c r="J74" i="1"/>
  <c r="F69" i="1"/>
  <c r="B64" i="1"/>
  <c r="J58" i="1"/>
  <c r="F53" i="1"/>
  <c r="B48" i="1"/>
  <c r="J42" i="1"/>
  <c r="F37" i="1"/>
  <c r="B32" i="1"/>
  <c r="J26" i="1"/>
  <c r="F21" i="1"/>
  <c r="B16" i="1"/>
  <c r="J10" i="1"/>
  <c r="F5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A4" i="1"/>
  <c r="D77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G80" i="1"/>
  <c r="C75" i="1"/>
  <c r="K69" i="1"/>
  <c r="G64" i="1"/>
  <c r="C59" i="1"/>
  <c r="K53" i="1"/>
  <c r="G48" i="1"/>
  <c r="C43" i="1"/>
  <c r="K37" i="1"/>
  <c r="G32" i="1"/>
  <c r="C27" i="1"/>
  <c r="K21" i="1"/>
  <c r="G16" i="1"/>
  <c r="C11" i="1"/>
  <c r="K5" i="1"/>
  <c r="F78" i="1"/>
  <c r="B73" i="1"/>
  <c r="J67" i="1"/>
  <c r="F62" i="1"/>
  <c r="B57" i="1"/>
  <c r="J51" i="1"/>
  <c r="F46" i="1"/>
  <c r="B41" i="1"/>
  <c r="J35" i="1"/>
  <c r="F30" i="1"/>
  <c r="B25" i="1"/>
  <c r="J19" i="1"/>
  <c r="F14" i="1"/>
  <c r="B9" i="1"/>
  <c r="I81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H79" i="1"/>
  <c r="D74" i="1"/>
  <c r="L68" i="1"/>
  <c r="H63" i="1"/>
  <c r="D58" i="1"/>
  <c r="L52" i="1"/>
  <c r="H47" i="1"/>
  <c r="D42" i="1"/>
  <c r="L36" i="1"/>
  <c r="H31" i="1"/>
  <c r="D26" i="1"/>
  <c r="L20" i="1"/>
  <c r="H15" i="1"/>
  <c r="K144" i="1"/>
  <c r="K138" i="1"/>
  <c r="G133" i="1"/>
  <c r="C128" i="1"/>
  <c r="K122" i="1"/>
  <c r="G117" i="1"/>
  <c r="C112" i="1"/>
  <c r="K106" i="1"/>
  <c r="G101" i="1"/>
  <c r="C96" i="1"/>
  <c r="K90" i="1"/>
  <c r="G85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A24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C251" i="1"/>
  <c r="K245" i="1"/>
  <c r="G240" i="1"/>
  <c r="C235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K80" i="1"/>
  <c r="G75" i="1"/>
  <c r="C70" i="1"/>
  <c r="K64" i="1"/>
  <c r="G59" i="1"/>
  <c r="C54" i="1"/>
  <c r="K48" i="1"/>
  <c r="G43" i="1"/>
  <c r="C38" i="1"/>
  <c r="K32" i="1"/>
  <c r="G27" i="1"/>
  <c r="C22" i="1"/>
  <c r="K16" i="1"/>
  <c r="G11" i="1"/>
  <c r="C6" i="1"/>
  <c r="F79" i="1"/>
  <c r="B74" i="1"/>
  <c r="J68" i="1"/>
  <c r="F63" i="1"/>
  <c r="B58" i="1"/>
  <c r="J52" i="1"/>
  <c r="F47" i="1"/>
  <c r="B42" i="1"/>
  <c r="J36" i="1"/>
  <c r="F31" i="1"/>
  <c r="B26" i="1"/>
  <c r="J20" i="1"/>
  <c r="F15" i="1"/>
  <c r="B10" i="1"/>
  <c r="J4" i="1"/>
  <c r="A78" i="1"/>
  <c r="I72" i="1"/>
  <c r="E67" i="1"/>
  <c r="A62" i="1"/>
  <c r="I56" i="1"/>
  <c r="E51" i="1"/>
  <c r="A46" i="1"/>
  <c r="I40" i="1"/>
  <c r="E35" i="1"/>
  <c r="A30" i="1"/>
  <c r="I24" i="1"/>
  <c r="E19" i="1"/>
  <c r="A14" i="1"/>
  <c r="I8" i="1"/>
  <c r="A82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K79" i="1"/>
  <c r="G74" i="1"/>
  <c r="C69" i="1"/>
  <c r="K63" i="1"/>
  <c r="G58" i="1"/>
  <c r="C53" i="1"/>
  <c r="K47" i="1"/>
  <c r="G42" i="1"/>
  <c r="C37" i="1"/>
  <c r="K31" i="1"/>
  <c r="G26" i="1"/>
  <c r="C21" i="1"/>
  <c r="K15" i="1"/>
  <c r="G10" i="1"/>
  <c r="C5" i="1"/>
  <c r="J77" i="1"/>
  <c r="F72" i="1"/>
  <c r="B67" i="1"/>
  <c r="J61" i="1"/>
  <c r="F56" i="1"/>
  <c r="B51" i="1"/>
  <c r="J45" i="1"/>
  <c r="F40" i="1"/>
  <c r="B35" i="1"/>
  <c r="J29" i="1"/>
  <c r="F24" i="1"/>
  <c r="B19" i="1"/>
  <c r="J13" i="1"/>
  <c r="F8" i="1"/>
  <c r="A81" i="1"/>
  <c r="I75" i="1"/>
  <c r="E70" i="1"/>
  <c r="A65" i="1"/>
  <c r="I59" i="1"/>
  <c r="E54" i="1"/>
  <c r="A49" i="1"/>
  <c r="I43" i="1"/>
  <c r="E38" i="1"/>
  <c r="A33" i="1"/>
  <c r="I27" i="1"/>
  <c r="E22" i="1"/>
  <c r="A17" i="1"/>
  <c r="I11" i="1"/>
  <c r="E6" i="1"/>
  <c r="L78" i="1"/>
  <c r="H73" i="1"/>
  <c r="D68" i="1"/>
  <c r="L62" i="1"/>
  <c r="H57" i="1"/>
  <c r="D52" i="1"/>
  <c r="L46" i="1"/>
  <c r="H41" i="1"/>
  <c r="D36" i="1"/>
  <c r="L30" i="1"/>
  <c r="H25" i="1"/>
  <c r="D20" i="1"/>
  <c r="L14" i="1"/>
  <c r="H9" i="1"/>
  <c r="G143" i="1"/>
  <c r="C138" i="1"/>
  <c r="K132" i="1"/>
  <c r="G127" i="1"/>
  <c r="C122" i="1"/>
  <c r="K116" i="1"/>
  <c r="G111" i="1"/>
  <c r="C106" i="1"/>
  <c r="K100" i="1"/>
  <c r="G95" i="1"/>
  <c r="C90" i="1"/>
  <c r="K8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E247" i="1"/>
  <c r="A242" i="1"/>
  <c r="I236" i="1"/>
  <c r="E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G250" i="1"/>
  <c r="C245" i="1"/>
  <c r="K239" i="1"/>
  <c r="G234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C80" i="1"/>
  <c r="K74" i="1"/>
  <c r="G69" i="1"/>
  <c r="C64" i="1"/>
  <c r="K58" i="1"/>
  <c r="G53" i="1"/>
  <c r="C48" i="1"/>
  <c r="K42" i="1"/>
  <c r="G37" i="1"/>
  <c r="C32" i="1"/>
  <c r="K26" i="1"/>
  <c r="G21" i="1"/>
  <c r="C16" i="1"/>
  <c r="K10" i="1"/>
  <c r="G5" i="1"/>
  <c r="J78" i="1"/>
  <c r="F73" i="1"/>
  <c r="B68" i="1"/>
  <c r="J62" i="1"/>
  <c r="F57" i="1"/>
  <c r="B52" i="1"/>
  <c r="J46" i="1"/>
  <c r="F41" i="1"/>
  <c r="B36" i="1"/>
  <c r="J30" i="1"/>
  <c r="F25" i="1"/>
  <c r="B20" i="1"/>
  <c r="J14" i="1"/>
  <c r="F9" i="1"/>
  <c r="B4" i="1"/>
  <c r="E77" i="1"/>
  <c r="A72" i="1"/>
  <c r="I66" i="1"/>
  <c r="E61" i="1"/>
  <c r="A56" i="1"/>
  <c r="I50" i="1"/>
  <c r="E45" i="1"/>
  <c r="A40" i="1"/>
  <c r="I34" i="1"/>
  <c r="E29" i="1"/>
  <c r="A24" i="1"/>
  <c r="I18" i="1"/>
  <c r="E13" i="1"/>
  <c r="A8" i="1"/>
  <c r="D81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C79" i="1"/>
  <c r="K73" i="1"/>
  <c r="G68" i="1"/>
  <c r="C63" i="1"/>
  <c r="K57" i="1"/>
  <c r="G52" i="1"/>
  <c r="C47" i="1"/>
  <c r="K41" i="1"/>
  <c r="G36" i="1"/>
  <c r="C31" i="1"/>
  <c r="K25" i="1"/>
  <c r="G20" i="1"/>
  <c r="C15" i="1"/>
  <c r="K9" i="1"/>
  <c r="G4" i="1"/>
  <c r="B77" i="1"/>
  <c r="J71" i="1"/>
  <c r="F66" i="1"/>
  <c r="B61" i="1"/>
  <c r="J55" i="1"/>
  <c r="F50" i="1"/>
  <c r="B45" i="1"/>
  <c r="J39" i="1"/>
  <c r="F34" i="1"/>
  <c r="B29" i="1"/>
  <c r="J23" i="1"/>
  <c r="F18" i="1"/>
  <c r="B13" i="1"/>
  <c r="J7" i="1"/>
  <c r="E80" i="1"/>
  <c r="A75" i="1"/>
  <c r="I69" i="1"/>
  <c r="E64" i="1"/>
  <c r="A59" i="1"/>
  <c r="I53" i="1"/>
  <c r="E48" i="1"/>
  <c r="A43" i="1"/>
  <c r="I37" i="1"/>
  <c r="E32" i="1"/>
  <c r="A27" i="1"/>
  <c r="I21" i="1"/>
  <c r="E16" i="1"/>
  <c r="A11" i="1"/>
  <c r="I5" i="1"/>
  <c r="D78" i="1"/>
  <c r="L72" i="1"/>
  <c r="H67" i="1"/>
  <c r="D62" i="1"/>
  <c r="L56" i="1"/>
  <c r="H51" i="1"/>
  <c r="D46" i="1"/>
  <c r="L40" i="1"/>
  <c r="H35" i="1"/>
  <c r="D30" i="1"/>
  <c r="L24" i="1"/>
  <c r="H19" i="1"/>
  <c r="D14" i="1"/>
  <c r="K142" i="1"/>
  <c r="G137" i="1"/>
  <c r="C132" i="1"/>
  <c r="K126" i="1"/>
  <c r="G121" i="1"/>
  <c r="C116" i="1"/>
  <c r="K110" i="1"/>
  <c r="G105" i="1"/>
  <c r="C100" i="1"/>
  <c r="K94" i="1"/>
  <c r="G89" i="1"/>
  <c r="C84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H25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K249" i="1"/>
  <c r="G244" i="1"/>
  <c r="C239" i="1"/>
  <c r="K23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G79" i="1"/>
  <c r="C74" i="1"/>
  <c r="K68" i="1"/>
  <c r="G63" i="1"/>
  <c r="C58" i="1"/>
  <c r="K52" i="1"/>
  <c r="G47" i="1"/>
  <c r="C42" i="1"/>
  <c r="K36" i="1"/>
  <c r="G31" i="1"/>
  <c r="C26" i="1"/>
  <c r="K20" i="1"/>
  <c r="G15" i="1"/>
  <c r="C10" i="1"/>
  <c r="K4" i="1"/>
  <c r="B78" i="1"/>
  <c r="J72" i="1"/>
  <c r="F67" i="1"/>
  <c r="B62" i="1"/>
  <c r="J56" i="1"/>
  <c r="F51" i="1"/>
  <c r="B46" i="1"/>
  <c r="J40" i="1"/>
  <c r="F35" i="1"/>
  <c r="B30" i="1"/>
  <c r="J24" i="1"/>
  <c r="F19" i="1"/>
  <c r="B14" i="1"/>
  <c r="J8" i="1"/>
  <c r="B82" i="1"/>
  <c r="I76" i="1"/>
  <c r="E71" i="1"/>
  <c r="A66" i="1"/>
  <c r="I60" i="1"/>
  <c r="E55" i="1"/>
  <c r="A50" i="1"/>
  <c r="I44" i="1"/>
  <c r="E39" i="1"/>
  <c r="A34" i="1"/>
  <c r="I28" i="1"/>
  <c r="E23" i="1"/>
  <c r="A18" i="1"/>
  <c r="I12" i="1"/>
  <c r="E7" i="1"/>
  <c r="H80" i="1"/>
  <c r="D75" i="1"/>
  <c r="L69" i="1"/>
  <c r="H64" i="1"/>
  <c r="D59" i="1"/>
  <c r="L53" i="1"/>
  <c r="H48" i="1"/>
  <c r="D43" i="1"/>
  <c r="L37" i="1"/>
  <c r="H32" i="1"/>
  <c r="D27" i="1"/>
  <c r="L21" i="1"/>
  <c r="H16" i="1"/>
  <c r="D11" i="1"/>
  <c r="L5" i="1"/>
  <c r="G78" i="1"/>
  <c r="C73" i="1"/>
  <c r="K67" i="1"/>
  <c r="G62" i="1"/>
  <c r="C57" i="1"/>
  <c r="K51" i="1"/>
  <c r="G46" i="1"/>
  <c r="C41" i="1"/>
  <c r="K35" i="1"/>
  <c r="G30" i="1"/>
  <c r="C25" i="1"/>
  <c r="K19" i="1"/>
  <c r="G14" i="1"/>
  <c r="C9" i="1"/>
  <c r="J81" i="1"/>
  <c r="F76" i="1"/>
  <c r="B71" i="1"/>
  <c r="J65" i="1"/>
  <c r="F60" i="1"/>
  <c r="B55" i="1"/>
  <c r="J49" i="1"/>
  <c r="F44" i="1"/>
  <c r="B39" i="1"/>
  <c r="J33" i="1"/>
  <c r="F28" i="1"/>
  <c r="B23" i="1"/>
  <c r="J17" i="1"/>
  <c r="F12" i="1"/>
  <c r="B7" i="1"/>
  <c r="I79" i="1"/>
  <c r="E74" i="1"/>
  <c r="A69" i="1"/>
  <c r="I63" i="1"/>
  <c r="E58" i="1"/>
  <c r="A53" i="1"/>
  <c r="I47" i="1"/>
  <c r="E42" i="1"/>
  <c r="A37" i="1"/>
  <c r="I31" i="1"/>
  <c r="E26" i="1"/>
  <c r="A21" i="1"/>
  <c r="I15" i="1"/>
  <c r="E10" i="1"/>
  <c r="A5" i="1"/>
  <c r="H77" i="1"/>
  <c r="D72" i="1"/>
  <c r="L66" i="1"/>
  <c r="H61" i="1"/>
  <c r="D56" i="1"/>
  <c r="L50" i="1"/>
  <c r="H45" i="1"/>
  <c r="D40" i="1"/>
  <c r="L34" i="1"/>
  <c r="H29" i="1"/>
  <c r="D24" i="1"/>
  <c r="L18" i="1"/>
  <c r="H13" i="1"/>
  <c r="C142" i="1"/>
  <c r="K136" i="1"/>
  <c r="G131" i="1"/>
  <c r="C126" i="1"/>
  <c r="K120" i="1"/>
  <c r="G115" i="1"/>
  <c r="C110" i="1"/>
  <c r="K104" i="1"/>
  <c r="G99" i="1"/>
  <c r="C94" i="1"/>
  <c r="K88" i="1"/>
  <c r="G83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E25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L249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C249" i="1"/>
  <c r="K243" i="1"/>
  <c r="G238" i="1"/>
  <c r="C23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K78" i="1"/>
  <c r="G73" i="1"/>
  <c r="C68" i="1"/>
  <c r="K62" i="1"/>
  <c r="G57" i="1"/>
  <c r="C52" i="1"/>
  <c r="K46" i="1"/>
  <c r="G41" i="1"/>
  <c r="C36" i="1"/>
  <c r="K30" i="1"/>
  <c r="G25" i="1"/>
  <c r="C20" i="1"/>
  <c r="K14" i="1"/>
  <c r="G9" i="1"/>
  <c r="C4" i="1"/>
  <c r="F77" i="1"/>
  <c r="B72" i="1"/>
  <c r="J66" i="1"/>
  <c r="F61" i="1"/>
  <c r="B56" i="1"/>
  <c r="J50" i="1"/>
  <c r="F45" i="1"/>
  <c r="B40" i="1"/>
  <c r="J34" i="1"/>
  <c r="F29" i="1"/>
  <c r="B24" i="1"/>
  <c r="J18" i="1"/>
  <c r="F13" i="1"/>
  <c r="B8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I6" i="1"/>
  <c r="L79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D5" i="1"/>
  <c r="K77" i="1"/>
  <c r="G72" i="1"/>
  <c r="C67" i="1"/>
  <c r="K61" i="1"/>
  <c r="G56" i="1"/>
  <c r="C51" i="1"/>
  <c r="K45" i="1"/>
  <c r="G40" i="1"/>
  <c r="C35" i="1"/>
  <c r="K29" i="1"/>
  <c r="G24" i="1"/>
  <c r="C19" i="1"/>
  <c r="K13" i="1"/>
  <c r="G8" i="1"/>
  <c r="B81" i="1"/>
  <c r="J75" i="1"/>
  <c r="F70" i="1"/>
  <c r="B65" i="1"/>
  <c r="J59" i="1"/>
  <c r="F54" i="1"/>
  <c r="B49" i="1"/>
  <c r="J43" i="1"/>
  <c r="F38" i="1"/>
  <c r="B33" i="1"/>
  <c r="J27" i="1"/>
  <c r="F22" i="1"/>
  <c r="B17" i="1"/>
  <c r="J11" i="1"/>
  <c r="F6" i="1"/>
  <c r="A79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E4" i="1"/>
  <c r="L76" i="1"/>
  <c r="H71" i="1"/>
  <c r="D66" i="1"/>
  <c r="L60" i="1"/>
  <c r="H55" i="1"/>
  <c r="D50" i="1"/>
  <c r="L44" i="1"/>
  <c r="H39" i="1"/>
  <c r="D34" i="1"/>
  <c r="L28" i="1"/>
  <c r="H23" i="1"/>
  <c r="D18" i="1"/>
  <c r="L12" i="1"/>
  <c r="G141" i="1"/>
  <c r="C136" i="1"/>
  <c r="K130" i="1"/>
  <c r="G125" i="1"/>
  <c r="C120" i="1"/>
  <c r="K114" i="1"/>
  <c r="G109" i="1"/>
  <c r="C104" i="1"/>
  <c r="K98" i="1"/>
  <c r="G93" i="1"/>
  <c r="C88" i="1"/>
  <c r="K82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I25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D24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G248" i="1"/>
  <c r="C243" i="1"/>
  <c r="K237" i="1"/>
  <c r="G23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C78" i="1"/>
  <c r="K72" i="1"/>
  <c r="G67" i="1"/>
  <c r="C62" i="1"/>
  <c r="K56" i="1"/>
  <c r="G51" i="1"/>
  <c r="C46" i="1"/>
  <c r="K40" i="1"/>
  <c r="G35" i="1"/>
  <c r="C30" i="1"/>
  <c r="K24" i="1"/>
  <c r="G19" i="1"/>
  <c r="C14" i="1"/>
  <c r="K8" i="1"/>
  <c r="C82" i="1"/>
  <c r="J76" i="1"/>
  <c r="F71" i="1"/>
  <c r="B66" i="1"/>
  <c r="J60" i="1"/>
  <c r="F55" i="1"/>
  <c r="B50" i="1"/>
  <c r="J44" i="1"/>
  <c r="F39" i="1"/>
  <c r="B34" i="1"/>
  <c r="J28" i="1"/>
  <c r="F23" i="1"/>
  <c r="B18" i="1"/>
  <c r="J12" i="1"/>
  <c r="F7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E11" i="1"/>
  <c r="A6" i="1"/>
  <c r="D79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  <c r="H4" i="1"/>
  <c r="C77" i="1"/>
  <c r="K71" i="1"/>
  <c r="G66" i="1"/>
  <c r="C61" i="1"/>
  <c r="K55" i="1"/>
  <c r="G50" i="1"/>
  <c r="C45" i="1"/>
  <c r="K39" i="1"/>
  <c r="G34" i="1"/>
  <c r="C29" i="1"/>
  <c r="K23" i="1"/>
  <c r="G18" i="1"/>
  <c r="C13" i="1"/>
  <c r="K7" i="1"/>
  <c r="F80" i="1"/>
  <c r="B75" i="1"/>
  <c r="J69" i="1"/>
  <c r="F64" i="1"/>
  <c r="B59" i="1"/>
  <c r="J53" i="1"/>
  <c r="F48" i="1"/>
  <c r="B43" i="1"/>
  <c r="J37" i="1"/>
  <c r="F32" i="1"/>
  <c r="B27" i="1"/>
  <c r="J21" i="1"/>
  <c r="F16" i="1"/>
  <c r="B11" i="1"/>
  <c r="J5" i="1"/>
  <c r="E78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H81" i="1"/>
  <c r="D76" i="1"/>
  <c r="L70" i="1"/>
  <c r="H65" i="1"/>
  <c r="D60" i="1"/>
  <c r="L54" i="1"/>
  <c r="H49" i="1"/>
  <c r="D44" i="1"/>
  <c r="L38" i="1"/>
  <c r="H33" i="1"/>
  <c r="D28" i="1"/>
  <c r="L22" i="1"/>
  <c r="H17" i="1"/>
  <c r="D12" i="1"/>
  <c r="K140" i="1"/>
  <c r="G135" i="1"/>
  <c r="C130" i="1"/>
  <c r="K124" i="1"/>
  <c r="G119" i="1"/>
  <c r="C114" i="1"/>
  <c r="K108" i="1"/>
  <c r="G103" i="1"/>
  <c r="C98" i="1"/>
  <c r="K92" i="1"/>
  <c r="G87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A25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H24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K247" i="1"/>
  <c r="G242" i="1"/>
  <c r="C237" i="1"/>
  <c r="K23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G77" i="1"/>
  <c r="C72" i="1"/>
  <c r="K66" i="1"/>
  <c r="G61" i="1"/>
  <c r="C56" i="1"/>
  <c r="K50" i="1"/>
  <c r="G45" i="1"/>
  <c r="C40" i="1"/>
  <c r="K34" i="1"/>
  <c r="G29" i="1"/>
  <c r="C24" i="1"/>
  <c r="K18" i="1"/>
  <c r="G13" i="1"/>
  <c r="C8" i="1"/>
  <c r="F81" i="1"/>
  <c r="B76" i="1"/>
  <c r="J70" i="1"/>
  <c r="F65" i="1"/>
  <c r="B60" i="1"/>
  <c r="J54" i="1"/>
  <c r="F49" i="1"/>
  <c r="B44" i="1"/>
  <c r="J38" i="1"/>
  <c r="F33" i="1"/>
  <c r="B28" i="1"/>
  <c r="J22" i="1"/>
  <c r="F17" i="1"/>
  <c r="B12" i="1"/>
  <c r="J6" i="1"/>
  <c r="A80" i="1"/>
  <c r="I74" i="1"/>
  <c r="E69" i="1"/>
  <c r="A64" i="1"/>
  <c r="I58" i="1"/>
  <c r="E53" i="1"/>
  <c r="A48" i="1"/>
  <c r="I42" i="1"/>
  <c r="E37" i="1"/>
  <c r="A32" i="1"/>
  <c r="I26" i="1"/>
  <c r="E21" i="1"/>
  <c r="A16" i="1"/>
  <c r="I10" i="1"/>
  <c r="E5" i="1"/>
  <c r="H78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K81" i="1"/>
  <c r="G76" i="1"/>
  <c r="C71" i="1"/>
  <c r="K65" i="1"/>
  <c r="G60" i="1"/>
  <c r="C55" i="1"/>
  <c r="K49" i="1"/>
  <c r="G44" i="1"/>
  <c r="C39" i="1"/>
  <c r="K33" i="1"/>
  <c r="G28" i="1"/>
  <c r="C23" i="1"/>
  <c r="K17" i="1"/>
  <c r="G12" i="1"/>
  <c r="C7" i="1"/>
  <c r="J79" i="1"/>
  <c r="F74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I77" i="1"/>
  <c r="E72" i="1"/>
  <c r="A67" i="1"/>
  <c r="I61" i="1"/>
  <c r="E56" i="1"/>
  <c r="A51" i="1"/>
  <c r="I45" i="1"/>
  <c r="E40" i="1"/>
  <c r="A35" i="1"/>
  <c r="I29" i="1"/>
  <c r="E24" i="1"/>
  <c r="A19" i="1"/>
  <c r="I13" i="1"/>
  <c r="E8" i="1"/>
  <c r="L80" i="1"/>
  <c r="H75" i="1"/>
  <c r="D70" i="1"/>
  <c r="L64" i="1"/>
  <c r="H59" i="1"/>
  <c r="D54" i="1"/>
  <c r="L48" i="1"/>
  <c r="H43" i="1"/>
  <c r="D38" i="1"/>
  <c r="L32" i="1"/>
  <c r="H27" i="1"/>
  <c r="D22" i="1"/>
  <c r="L16" i="1"/>
  <c r="H11" i="1"/>
  <c r="D10" i="1"/>
  <c r="D4" i="1"/>
  <c r="H7" i="1"/>
  <c r="L6" i="1"/>
  <c r="D6" i="1"/>
  <c r="L8" i="1"/>
  <c r="D8" i="1"/>
  <c r="H5" i="1"/>
  <c r="L4" i="1"/>
</calcChain>
</file>

<file path=xl/sharedStrings.xml><?xml version="1.0" encoding="utf-8"?>
<sst xmlns="http://schemas.openxmlformats.org/spreadsheetml/2006/main" count="204" uniqueCount="56">
  <si>
    <t>Settings</t>
  </si>
  <si>
    <t>Master Data Info</t>
  </si>
  <si>
    <t>Modules Info</t>
  </si>
  <si>
    <t>Modules</t>
  </si>
  <si>
    <t>Module</t>
  </si>
  <si>
    <t>Step</t>
  </si>
  <si>
    <t>Master Data Sheet</t>
  </si>
  <si>
    <t>Data</t>
  </si>
  <si>
    <t>Module Step Setting File</t>
  </si>
  <si>
    <t>1sG6uB28jAaiyaldDeMtbboQN41jJ2tAmE2rg6U9qH5o</t>
  </si>
  <si>
    <t>Master Data Settings File</t>
  </si>
  <si>
    <t>1hEhI9rg16D4Xvfk19pDaFUFF78jjfIG29BBaNg8kT0A</t>
  </si>
  <si>
    <t>TradingTicket</t>
  </si>
  <si>
    <t>CreateDoneAwayOrder</t>
  </si>
  <si>
    <t>Data Format</t>
  </si>
  <si>
    <t>Input Format</t>
  </si>
  <si>
    <t>DailyValuation</t>
  </si>
  <si>
    <t>GetMarkPriceData</t>
  </si>
  <si>
    <t>O:AAPL 18B177.50D2</t>
  </si>
  <si>
    <t xml:space="preserve">Buy to Open </t>
  </si>
  <si>
    <t>Allocation1</t>
  </si>
  <si>
    <t>Flat Amount</t>
  </si>
  <si>
    <t>O:MSFT 18B104.00D2</t>
  </si>
  <si>
    <t xml:space="preserve">Sell to Open </t>
  </si>
  <si>
    <t>UpdateMarkPrice</t>
  </si>
  <si>
    <t>PricingInput</t>
  </si>
  <si>
    <t>AAPL</t>
  </si>
  <si>
    <t>MSFT</t>
  </si>
  <si>
    <t>GeneralLedger</t>
  </si>
  <si>
    <t>GetDayEndCash</t>
  </si>
  <si>
    <t>PortfolioManagement</t>
  </si>
  <si>
    <t>CheckPortfolioManagement</t>
  </si>
  <si>
    <t>NewMF</t>
  </si>
  <si>
    <t>Long</t>
  </si>
  <si>
    <t>FIMAT</t>
  </si>
  <si>
    <t>Strategy Unallocated</t>
  </si>
  <si>
    <t>EquityOption</t>
  </si>
  <si>
    <t>US</t>
  </si>
  <si>
    <t>OPTS</t>
  </si>
  <si>
    <t>USD</t>
  </si>
  <si>
    <t/>
  </si>
  <si>
    <t>Buy to Open</t>
  </si>
  <si>
    <t>BrokerNotes</t>
  </si>
  <si>
    <t>DefaultNotes</t>
  </si>
  <si>
    <t>Equity Call</t>
  </si>
  <si>
    <t>Undefined</t>
  </si>
  <si>
    <t>jpearce</t>
  </si>
  <si>
    <t>MS</t>
  </si>
  <si>
    <t>CALL</t>
  </si>
  <si>
    <t>User Defined</t>
  </si>
  <si>
    <t>Default</t>
  </si>
  <si>
    <t>unique</t>
  </si>
  <si>
    <t>Short</t>
  </si>
  <si>
    <t>Sell to Open</t>
  </si>
  <si>
    <t>msft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</si>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</sst>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name val="Calibri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4" fillId="0" borderId="0" xfId="0" applyFont="1" applyAlignment="1"/>
    <xf numFmtId="0" fontId="5" fillId="3" borderId="4" xfId="0" applyFont="1" applyFill="1" applyBorder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0" borderId="0" xfId="0" applyFont="1"/>
    <xf numFmtId="0" fontId="1" fillId="2" borderId="0" xfId="0" applyFont="1" applyFill="1" applyAlignment="1">
      <alignment horizontal="center"/>
    </xf>
    <xf numFmtId="0" fontId="8" fillId="0" borderId="0" xfId="0" applyFont="1" applyAlignment="1"/>
    <xf numFmtId="0" fontId="3" fillId="2" borderId="0" xfId="0" applyFont="1" applyFill="1"/>
    <xf numFmtId="0" fontId="5" fillId="3" borderId="4" xfId="0" applyFont="1" applyFill="1" applyBorder="1" applyAlignme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9" fillId="0" borderId="0" xfId="0" applyFont="1" applyAlignment="1"/>
    <xf numFmtId="0" fontId="5" fillId="3" borderId="0" xfId="0" applyFont="1" applyFill="1" applyAlignment="1"/>
    <xf numFmtId="0" fontId="8" fillId="0" borderId="0" xfId="0" applyFont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5" fillId="5" borderId="0" xfId="0" applyFont="1" applyFill="1" applyAlignment="1"/>
    <xf numFmtId="0" fontId="5" fillId="5" borderId="4" xfId="0" applyFont="1" applyFill="1" applyBorder="1" applyAlignment="1"/>
    <xf numFmtId="0" fontId="5" fillId="5" borderId="4" xfId="0" applyFont="1" applyFill="1" applyBorder="1" applyAlignment="1"/>
    <xf numFmtId="0" fontId="10" fillId="5" borderId="0" xfId="0" applyFont="1" applyFill="1"/>
    <xf numFmtId="14" fontId="8" fillId="0" borderId="0" xfId="0" applyNumberFormat="1" applyFont="1" applyAlignment="1"/>
    <xf numFmtId="14" fontId="8" fillId="0" borderId="0" xfId="0" applyNumberFormat="1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/>
    <xf numFmtId="0" fontId="3" fillId="0" borderId="0" xfId="0" applyFont="1" applyAlignment="1"/>
    <xf numFmtId="0" fontId="13" fillId="6" borderId="0" xfId="0" applyFont="1" applyFill="1" applyAlignment="1"/>
    <xf numFmtId="4" fontId="1" fillId="2" borderId="0" xfId="0" applyNumberFormat="1" applyFont="1" applyFill="1" applyAlignment="1">
      <alignment horizontal="center"/>
    </xf>
    <xf numFmtId="4" fontId="3" fillId="2" borderId="0" xfId="0" applyNumberFormat="1" applyFont="1" applyFill="1"/>
    <xf numFmtId="4" fontId="8" fillId="0" borderId="0" xfId="0" applyNumberFormat="1" applyFont="1" applyAlignment="1"/>
    <xf numFmtId="4" fontId="9" fillId="0" borderId="0" xfId="0" applyNumberFormat="1" applyFont="1" applyAlignment="1"/>
    <xf numFmtId="4" fontId="3" fillId="0" borderId="0" xfId="0" applyNumberFormat="1" applyFont="1"/>
    <xf numFmtId="4" fontId="5" fillId="3" borderId="0" xfId="0" applyNumberFormat="1" applyFont="1" applyFill="1" applyAlignment="1"/>
    <xf numFmtId="4" fontId="5" fillId="3" borderId="4" xfId="0" applyNumberFormat="1" applyFont="1" applyFill="1" applyBorder="1" applyAlignment="1"/>
    <xf numFmtId="4" fontId="9" fillId="3" borderId="4" xfId="0" applyNumberFormat="1" applyFont="1" applyFill="1" applyBorder="1" applyAlignment="1"/>
    <xf numFmtId="4" fontId="9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5" fillId="5" borderId="0" xfId="0" applyNumberFormat="1" applyFont="1" applyFill="1" applyAlignment="1"/>
    <xf numFmtId="4" fontId="5" fillId="5" borderId="4" xfId="0" applyNumberFormat="1" applyFont="1" applyFill="1" applyBorder="1" applyAlignment="1"/>
    <xf numFmtId="4" fontId="5" fillId="5" borderId="4" xfId="0" applyNumberFormat="1" applyFont="1" applyFill="1" applyBorder="1" applyAlignment="1"/>
    <xf numFmtId="4" fontId="10" fillId="5" borderId="0" xfId="0" applyNumberFormat="1" applyFont="1" applyFill="1"/>
    <xf numFmtId="4" fontId="8" fillId="0" borderId="0" xfId="0" applyNumberFormat="1" applyFont="1" applyAlignment="1"/>
    <xf numFmtId="4" fontId="14" fillId="0" borderId="0" xfId="0" applyNumberFormat="1" applyFont="1" applyAlignment="1"/>
    <xf numFmtId="4" fontId="15" fillId="0" borderId="0" xfId="0" applyNumberFormat="1" applyFont="1" applyAlignment="1">
      <alignment horizontal="right"/>
    </xf>
    <xf numFmtId="14" fontId="14" fillId="0" borderId="0" xfId="0" applyNumberFormat="1" applyFont="1" applyAlignment="1"/>
    <xf numFmtId="4" fontId="1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56" t="s">
        <v>2</v>
      </c>
      <c r="B1" s="57"/>
      <c r="C1" s="57"/>
      <c r="D1" s="57"/>
      <c r="E1" s="57"/>
      <c r="F1" s="58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9" t="s">
        <v>3</v>
      </c>
      <c r="B3" s="10"/>
      <c r="C3" s="11"/>
      <c r="D3" s="11"/>
      <c r="E3" s="11"/>
      <c r="F3" s="11"/>
    </row>
    <row r="4" spans="1:12" ht="15.75" customHeight="1">
      <c r="A4" s="7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7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IFERROR(__xludf.DUMMYFUNCTION("""COMPUTED_VALUE"""),"1ASulLlGAl--JRs7NVIiQ-6Q2Y2P3o7Y40cokKmMg-UA")</f>
        <v>1ASulLlGAl--JRs7NVIiQ-6Q2Y2P3o7Y40cokKmMg-UA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IFERROR(__xludf.DUMMYFUNCTION("""COMPUTED_VALUE"""),"153rAtnJuNh4UK26GjSOxUSjAHcOxzWv7CRGvmhrIJRs")</f>
        <v>153rAtnJuNh4UK26GjSOxUSjAHcOxzWv7CRGvmhrIJRs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IFERROR(__xludf.DUMMYFUNCTION("""COMPUTED_VALUE"""),"14c4GsPTH5D3eyeeKaMiqJQXOT6OiyIKnC2Ey2f-mzXU")</f>
        <v>14c4GsPTH5D3eyeeKaMiqJQXOT6OiyIKnC2Ey2f-mzXU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IFERROR(__xludf.DUMMYFUNCTION("""COMPUTED_VALUE"""),"1FoqTScZHaIaLmwoImnVY7WWuCKEwJNYw8_jsXiT_wz4")</f>
        <v>1FoqTScZHaIaLmwoImnVY7WWuCKEwJNYw8_jsXiT_wz4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IFERROR(__xludf.DUMMYFUNCTION("""COMPUTED_VALUE"""),"1nx-Ntcckcf-w1Yr5yyOw4Vmcr4UsalakHe-CHaRihg0")</f>
        <v>1nx-Ntcckcf-w1Yr5yyOw4Vmcr4UsalakHe-CHaRihg0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IFERROR(__xludf.DUMMYFUNCTION("""COMPUTED_VALUE"""),"1aOr-_cYT21IfJctqcBB50iQOXfB0qUo9bBesL3tt_2o")</f>
        <v>1aOr-_cYT21IfJctqcBB50iQOXfB0qUo9bBesL3tt_2o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IFERROR(__xludf.DUMMYFUNCTION("""COMPUTED_VALUE"""),"1NSNUZ7aVjKq-fJWvjMKU9f1Hhbf0UmIY3RQLFu0_U94")</f>
        <v>1NSNUZ7aVjKq-fJWvjMKU9f1Hhbf0UmIY3RQLFu0_U94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IFERROR(__xludf.DUMMYFUNCTION("""COMPUTED_VALUE"""),"1qcpgHRQFZbpv-NnW8K-CvX_auKXD5UD0KzrBvuBL6yQ")</f>
        <v>1qcpgHRQFZbpv-NnW8K-CvX_auKXD5UD0KzrBvuBL6yQ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IFERROR(__xludf.DUMMYFUNCTION("""COMPUTED_VALUE"""),"1AcxAZQwu6HAEJMCMK3bk08quIeXstZWKnCNeDGuqkgc")</f>
        <v>1AcxAZQwu6HAEJMCMK3bk08quIeXstZWKnCNeDGuqkgc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IFERROR(__xludf.DUMMYFUNCTION("""COMPUTED_VALUE"""),"1VLF0uNJJlumCyBscfuDhTN1tOv-0IRCkYlwfDU8GczQ")</f>
        <v>1VLF0uNJJlumCyBscfuDhTN1tOv-0IRCkYlwfDU8GczQ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IFERROR(__xludf.DUMMYFUNCTION("""COMPUTED_VALUE"""),"1_8MIcc2OK_ojl_V4NIwMLs9H7qkQkwyq9sDf1PpIqc8")</f>
        <v>1_8MIcc2OK_ojl_V4NIwMLs9H7qkQkwyq9sDf1PpIqc8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IFERROR(__xludf.DUMMYFUNCTION("""COMPUTED_VALUE"""),"1tN1tbsnXiVRytGN-WCzTnGTmfRxY2nBklQk3AQSJo2c")</f>
        <v>1tN1tbsnXiVRytGN-WCzTnGTmfRxY2nBklQk3AQSJo2c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IFERROR(__xludf.DUMMYFUNCTION("""COMPUTED_VALUE"""),"1VRRuQCPazoSKAv27NBzQzv_Yw_Kgakw-yyKn6w1zhKU")</f>
        <v>1VRRuQCPazoSKAv27NBzQzv_Yw_Kgakw-yyKn6w1zhKU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IFERROR(__xludf.DUMMYFUNCTION("""COMPUTED_VALUE"""),"1fGo94nf55bWXddEMlTwX902cb1V6cWr9GHWYy_sZ8IU")</f>
        <v>1fGo94nf55bWXddEMlTwX902cb1V6cWr9GHWYy_sZ8IU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IFERROR(__xludf.DUMMYFUNCTION("""COMPUTED_VALUE"""),"1rOMKu0Ez7NdxjtZC05lRrPUSa0tkOQSvbOhxjuijMsU")</f>
        <v>1rOMKu0Ez7NdxjtZC05lRrPUSa0tkOQSvbOhxjuijMsU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IFERROR(__xludf.DUMMYFUNCTION("""COMPUTED_VALUE"""),"1yBi-hp0jcYIFB6ymnlQIlx-pUUkfcjJU7Ap0azBbNcE")</f>
        <v>1yBi-hp0jcYIFB6ymnlQIlx-pUUkfcjJU7Ap0azBbNcE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IFERROR(__xludf.DUMMYFUNCTION("""COMPUTED_VALUE"""),"1x5iUjYB72ZJ35IOvQ_JQkWHV-d1FlgKY3bIxxTpk-f0")</f>
        <v>1x5iUjYB72ZJ35IOvQ_JQkWHV-d1FlgKY3bIxxTpk-f0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IFERROR(__xludf.DUMMYFUNCTION("""COMPUTED_VALUE"""),"1Li5RKULV7Lc2MLczTkVbzq0oDYcFGfTlBUO9__NoODc")</f>
        <v>1Li5RKULV7Lc2MLczTkVbzq0oDYcFGfTlBUO9__NoODc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IFERROR(__xludf.DUMMYFUNCTION("""COMPUTED_VALUE"""),"1vnIE6mL0eHSchRF1qTlJ2JL_Ylu6hiC6uOXpzq7M0BQ")</f>
        <v>1vnIE6mL0eHSchRF1qTlJ2JL_Ylu6hiC6uOXpzq7M0BQ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IFERROR(__xludf.DUMMYFUNCTION("""COMPUTED_VALUE"""),"1KCMHfIqMprTfc21JY7-_BuJZCbNmjdI-pAMs1UtHRgM")</f>
        <v>1KCMHfIqMprTfc21JY7-_BuJZCbNmjdI-pAMs1UtHRgM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IFERROR(__xludf.DUMMYFUNCTION("""COMPUTED_VALUE"""),"1tRgcAtzRVDm6tX53uSpBOxZNBYm4sTcJiDaR4fxdfwY")</f>
        <v>1tRgcAtzRVDm6tX53uSpBOxZNBYm4sTcJiDaR4fxdfwY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IFERROR(__xludf.DUMMYFUNCTION("""COMPUTED_VALUE"""),"12DQ8VFmnoIi6USj-pAupggGf1Uakm-iIEO9IboOJPds")</f>
        <v>12DQ8VFmnoIi6USj-pAupggGf1Uakm-iIEO9IboOJPds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IFERROR(__xludf.DUMMYFUNCTION("""COMPUTED_VALUE"""),"1EinrxkfbLK2Tdj1nGXu4y1H2zmS6g6G85Hm0vYSOHlA")</f>
        <v>1EinrxkfbLK2Tdj1nGXu4y1H2zmS6g6G85Hm0vYSOHlA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IFERROR(__xludf.DUMMYFUNCTION("""COMPUTED_VALUE"""),"1qeUVChEAj0eKA7tNZsUWM4FcqW347Jcsk_tvw1-FP3s")</f>
        <v>1qeUVChEAj0eKA7tNZsUWM4FcqW347Jcsk_tvw1-FP3s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IFERROR(__xludf.DUMMYFUNCTION("""COMPUTED_VALUE"""),"1aVxYFzFjJM4FVvXjfioQc67hI5XgzzCTHLg8f7lbJhU")</f>
        <v>1aVxYFzFjJM4FVvXjfioQc67hI5XgzzCTHLg8f7lbJhU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IFERROR(__xludf.DUMMYFUNCTION("""COMPUTED_VALUE"""),"1Fe8M8KnrsIcnAobjXa43I9IzXKCnB39xCSYterKkeEc")</f>
        <v>1Fe8M8KnrsIcnAobjXa43I9IzXKCnB39xCSYterKkeEc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IFERROR(__xludf.DUMMYFUNCTION("""COMPUTED_VALUE"""),"1qJHd_QH5ht3ZzeFZbKiVeEOBmlpAshwV72N701B28uk")</f>
        <v>1qJHd_QH5ht3ZzeFZbKiVeEOBmlpAshwV72N701B28uk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2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9" t="s">
        <v>0</v>
      </c>
      <c r="B1" s="57"/>
      <c r="C1" s="58"/>
    </row>
    <row r="2" spans="1:3" ht="15.75" customHeight="1">
      <c r="A2" s="7"/>
      <c r="B2" s="7"/>
      <c r="C2" s="7"/>
    </row>
    <row r="3" spans="1:3" ht="15.75" customHeight="1">
      <c r="A3" s="9" t="s">
        <v>8</v>
      </c>
      <c r="B3" s="14" t="s">
        <v>9</v>
      </c>
      <c r="C3" s="7"/>
    </row>
    <row r="4" spans="1:3" ht="15.75" customHeight="1">
      <c r="A4" s="2" t="s">
        <v>10</v>
      </c>
      <c r="B4" s="14" t="s">
        <v>11</v>
      </c>
      <c r="C4" s="7"/>
    </row>
    <row r="5" spans="1:3" ht="15.75" customHeight="1">
      <c r="A5" s="15"/>
      <c r="B5" s="7"/>
      <c r="C5" s="7"/>
    </row>
    <row r="6" spans="1:3" ht="15.75" customHeight="1">
      <c r="A6" s="15"/>
      <c r="B6" s="7"/>
      <c r="C6" s="7"/>
    </row>
    <row r="7" spans="1:3" ht="15.75" customHeight="1">
      <c r="A7" s="15"/>
      <c r="B7" s="7"/>
      <c r="C7" s="7"/>
    </row>
    <row r="8" spans="1:3" ht="15.75" customHeight="1">
      <c r="A8" s="15"/>
      <c r="B8" s="7"/>
      <c r="C8" s="7"/>
    </row>
    <row r="9" spans="1:3" ht="15.75" customHeight="1">
      <c r="A9" s="15"/>
      <c r="B9" s="7"/>
      <c r="C9" s="7"/>
    </row>
    <row r="10" spans="1:3" ht="15.75" customHeight="1">
      <c r="A10" s="15"/>
      <c r="B10" s="7"/>
      <c r="C10" s="7"/>
    </row>
    <row r="11" spans="1:3" ht="15.75" customHeight="1">
      <c r="A11" s="15"/>
      <c r="B11" s="7"/>
      <c r="C11" s="7"/>
    </row>
    <row r="12" spans="1:3" ht="15.75" customHeight="1">
      <c r="A12" s="15"/>
      <c r="B12" s="7"/>
      <c r="C12" s="7"/>
    </row>
    <row r="13" spans="1:3" ht="15.75" customHeight="1">
      <c r="A13" s="15"/>
      <c r="B13" s="7"/>
      <c r="C13" s="7"/>
    </row>
    <row r="14" spans="1:3" ht="15.75" customHeight="1">
      <c r="A14" s="15"/>
      <c r="B14" s="7"/>
      <c r="C14" s="7"/>
    </row>
    <row r="15" spans="1:3" ht="15.75" customHeight="1">
      <c r="A15" s="15"/>
      <c r="B15" s="7"/>
      <c r="C15" s="7"/>
    </row>
    <row r="16" spans="1:3" ht="15.75" customHeight="1">
      <c r="A16" s="15"/>
      <c r="B16" s="7"/>
      <c r="C16" s="7"/>
    </row>
    <row r="17" spans="1:3" ht="15.75" customHeight="1">
      <c r="A17" s="15"/>
      <c r="B17" s="7"/>
      <c r="C17" s="7"/>
    </row>
    <row r="18" spans="1:3" ht="15.75" customHeight="1">
      <c r="A18" s="15"/>
      <c r="B18" s="7"/>
      <c r="C18" s="7"/>
    </row>
    <row r="19" spans="1:3" ht="15.75" customHeight="1">
      <c r="A19" s="15"/>
      <c r="B19" s="7"/>
      <c r="C19" s="7"/>
    </row>
    <row r="20" spans="1:3" ht="15.75" customHeight="1">
      <c r="A20" s="15"/>
      <c r="B20" s="7"/>
      <c r="C20" s="7"/>
    </row>
    <row r="21" spans="1:3" ht="15.75" customHeight="1">
      <c r="A21" s="15"/>
      <c r="B21" s="7"/>
      <c r="C21" s="7"/>
    </row>
    <row r="22" spans="1:3" ht="15.75" customHeight="1">
      <c r="A22" s="15"/>
      <c r="B22" s="7"/>
      <c r="C22" s="7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6" t="s">
        <v>1</v>
      </c>
      <c r="B1" s="57"/>
      <c r="C1" s="57"/>
      <c r="D1" s="57"/>
      <c r="E1" s="57"/>
      <c r="F1" s="58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2" t="s">
        <v>4</v>
      </c>
      <c r="B3" s="3" t="s">
        <v>5</v>
      </c>
      <c r="C3" s="3" t="s">
        <v>6</v>
      </c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2" width="20.7109375" customWidth="1"/>
    <col min="3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6"/>
      <c r="B1" s="56" t="s">
        <v>7</v>
      </c>
      <c r="C1" s="57"/>
      <c r="D1" s="57"/>
      <c r="E1" s="57"/>
      <c r="F1" s="57"/>
      <c r="G1" s="57"/>
      <c r="H1" s="58"/>
      <c r="I1" s="6"/>
      <c r="J1" s="6"/>
      <c r="K1" s="6"/>
      <c r="L1" s="6"/>
      <c r="M1" s="6"/>
      <c r="N1" s="6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2" t="e">
        <f>VLOOKUP($E$3,_MasterData!B4:D1000,3,FALSE)</f>
        <v>#N/A</v>
      </c>
      <c r="K2" s="12"/>
      <c r="L2" s="7"/>
      <c r="M2" s="7"/>
      <c r="N2" s="7"/>
      <c r="O2" s="7"/>
    </row>
    <row r="3" spans="1:154" ht="15.75" customHeight="1">
      <c r="A3" s="13"/>
      <c r="B3" s="9" t="s">
        <v>4</v>
      </c>
      <c r="C3" s="16" t="s">
        <v>12</v>
      </c>
      <c r="D3" s="9" t="s">
        <v>5</v>
      </c>
      <c r="E3" s="16" t="s">
        <v>13</v>
      </c>
      <c r="F3" s="9" t="s">
        <v>14</v>
      </c>
      <c r="G3" s="15" t="s">
        <v>15</v>
      </c>
      <c r="H3" s="9"/>
      <c r="I3" s="13"/>
      <c r="J3" s="13"/>
      <c r="K3" s="13"/>
      <c r="L3" s="13"/>
      <c r="M3" s="13"/>
      <c r="N3" s="13"/>
      <c r="O3" s="1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4"/>
      <c r="B6" s="26" t="s">
        <v>18</v>
      </c>
      <c r="C6" s="28" t="s">
        <v>19</v>
      </c>
      <c r="D6" s="29">
        <v>100</v>
      </c>
      <c r="E6" s="27"/>
      <c r="F6" s="28" t="s">
        <v>20</v>
      </c>
      <c r="G6" s="7"/>
      <c r="H6" s="7"/>
      <c r="I6" s="7"/>
      <c r="J6" s="30">
        <v>20</v>
      </c>
      <c r="K6" s="7"/>
      <c r="L6" s="7"/>
      <c r="M6" s="7"/>
      <c r="N6" s="31">
        <f t="shared" ref="N6:N7" ca="1" si="0">TODAY()-1</f>
        <v>44465</v>
      </c>
      <c r="O6" s="7"/>
      <c r="R6" s="32" t="s">
        <v>21</v>
      </c>
      <c r="S6" s="32">
        <v>20</v>
      </c>
    </row>
    <row r="7" spans="1:154" ht="15.75" customHeight="1">
      <c r="A7" s="7"/>
      <c r="B7" s="28" t="s">
        <v>22</v>
      </c>
      <c r="C7" s="28" t="s">
        <v>23</v>
      </c>
      <c r="D7" s="30">
        <v>100</v>
      </c>
      <c r="E7" s="7"/>
      <c r="F7" s="28" t="s">
        <v>20</v>
      </c>
      <c r="G7" s="7"/>
      <c r="H7" s="7"/>
      <c r="I7" s="7"/>
      <c r="J7" s="30">
        <v>30</v>
      </c>
      <c r="K7" s="7"/>
      <c r="L7" s="7"/>
      <c r="M7" s="7"/>
      <c r="N7" s="31">
        <f t="shared" ca="1" si="0"/>
        <v>44465</v>
      </c>
      <c r="O7" s="7"/>
      <c r="R7" s="32" t="s">
        <v>21</v>
      </c>
      <c r="S7" s="32">
        <v>30</v>
      </c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6"/>
      <c r="B1" s="56" t="s">
        <v>7</v>
      </c>
      <c r="C1" s="57"/>
      <c r="D1" s="57"/>
      <c r="E1" s="57"/>
      <c r="F1" s="57"/>
      <c r="G1" s="57"/>
      <c r="H1" s="58"/>
      <c r="I1" s="6"/>
      <c r="J1" s="6"/>
      <c r="K1" s="6"/>
      <c r="L1" s="6"/>
      <c r="M1" s="6"/>
      <c r="N1" s="6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2" t="e">
        <f>VLOOKUP($E$3,_MasterData!B4:D1000,3,FALSE)</f>
        <v>#N/A</v>
      </c>
      <c r="K2" s="12"/>
      <c r="L2" s="7"/>
      <c r="M2" s="7"/>
      <c r="N2" s="7"/>
      <c r="O2" s="7"/>
    </row>
    <row r="3" spans="1:154" ht="15.75" customHeight="1">
      <c r="A3" s="13"/>
      <c r="B3" s="9" t="s">
        <v>4</v>
      </c>
      <c r="C3" s="16" t="s">
        <v>16</v>
      </c>
      <c r="D3" s="9" t="s">
        <v>5</v>
      </c>
      <c r="E3" s="16" t="s">
        <v>17</v>
      </c>
      <c r="F3" s="9" t="s">
        <v>14</v>
      </c>
      <c r="G3" s="15" t="s">
        <v>15</v>
      </c>
      <c r="H3" s="9"/>
      <c r="I3" s="13"/>
      <c r="J3" s="13"/>
      <c r="K3" s="13"/>
      <c r="L3" s="13"/>
      <c r="M3" s="13"/>
      <c r="N3" s="13"/>
      <c r="O3" s="1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4"/>
      <c r="B6" s="24">
        <f ca="1">TODAY()-1</f>
        <v>44465</v>
      </c>
      <c r="C6" s="25">
        <f ca="1">TODAY()</f>
        <v>44466</v>
      </c>
      <c r="D6" s="14"/>
      <c r="E6" s="2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6"/>
      <c r="B1" s="56" t="s">
        <v>7</v>
      </c>
      <c r="C1" s="57"/>
      <c r="D1" s="57"/>
      <c r="E1" s="57"/>
      <c r="F1" s="57"/>
      <c r="G1" s="57"/>
      <c r="H1" s="58"/>
      <c r="I1" s="6"/>
      <c r="J1" s="6"/>
      <c r="K1" s="6"/>
      <c r="L1" s="6"/>
      <c r="M1" s="6"/>
      <c r="N1" s="6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2" t="e">
        <f>VLOOKUP($E$3,_MasterData!B4:D1000,3,FALSE)</f>
        <v>#N/A</v>
      </c>
      <c r="K2" s="12"/>
      <c r="L2" s="7"/>
      <c r="M2" s="7"/>
      <c r="N2" s="7"/>
      <c r="O2" s="7"/>
    </row>
    <row r="3" spans="1:154" ht="15.75" customHeight="1">
      <c r="A3" s="13"/>
      <c r="B3" s="9" t="s">
        <v>4</v>
      </c>
      <c r="C3" s="16" t="s">
        <v>16</v>
      </c>
      <c r="D3" s="9" t="s">
        <v>5</v>
      </c>
      <c r="E3" s="16" t="s">
        <v>24</v>
      </c>
      <c r="F3" s="9" t="s">
        <v>14</v>
      </c>
      <c r="G3" s="15" t="s">
        <v>15</v>
      </c>
      <c r="H3" s="9"/>
      <c r="I3" s="13"/>
      <c r="J3" s="13"/>
      <c r="K3" s="13"/>
      <c r="L3" s="13"/>
      <c r="M3" s="13"/>
      <c r="N3" s="13"/>
      <c r="O3" s="1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4"/>
      <c r="B6" s="33" t="s">
        <v>18</v>
      </c>
      <c r="C6" s="30">
        <v>21</v>
      </c>
      <c r="D6" s="14"/>
      <c r="E6" s="2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28" t="s">
        <v>22</v>
      </c>
      <c r="C7" s="30">
        <v>32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28" t="s">
        <v>26</v>
      </c>
      <c r="C8" s="30">
        <v>198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28" t="s">
        <v>27</v>
      </c>
      <c r="C9" s="30">
        <v>135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6"/>
      <c r="B1" s="56" t="s">
        <v>7</v>
      </c>
      <c r="C1" s="57"/>
      <c r="D1" s="57"/>
      <c r="E1" s="57"/>
      <c r="F1" s="57"/>
      <c r="G1" s="57"/>
      <c r="H1" s="58"/>
      <c r="I1" s="6"/>
      <c r="J1" s="6"/>
      <c r="K1" s="6"/>
      <c r="L1" s="6"/>
      <c r="M1" s="6"/>
      <c r="N1" s="6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2" t="e">
        <f>VLOOKUP($E$3,_MasterData!B4:D1000,3,FALSE)</f>
        <v>#N/A</v>
      </c>
      <c r="K2" s="12"/>
      <c r="L2" s="7"/>
      <c r="M2" s="7"/>
      <c r="N2" s="7"/>
      <c r="O2" s="7"/>
    </row>
    <row r="3" spans="1:154" ht="15.75" customHeight="1">
      <c r="A3" s="13"/>
      <c r="B3" s="9" t="s">
        <v>4</v>
      </c>
      <c r="C3" s="16" t="s">
        <v>25</v>
      </c>
      <c r="D3" s="9" t="s">
        <v>5</v>
      </c>
      <c r="E3" s="16" t="s">
        <v>25</v>
      </c>
      <c r="F3" s="9" t="s">
        <v>14</v>
      </c>
      <c r="G3" s="15" t="s">
        <v>15</v>
      </c>
      <c r="H3" s="9"/>
      <c r="I3" s="13"/>
      <c r="J3" s="13"/>
      <c r="K3" s="13"/>
      <c r="L3" s="13"/>
      <c r="M3" s="13"/>
      <c r="N3" s="13"/>
      <c r="O3" s="1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4"/>
      <c r="B6" s="26" t="s">
        <v>26</v>
      </c>
      <c r="C6" s="30">
        <v>199</v>
      </c>
      <c r="D6" s="14"/>
      <c r="E6" s="2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28" t="s">
        <v>27</v>
      </c>
      <c r="C7" s="30">
        <v>134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28" t="s">
        <v>18</v>
      </c>
      <c r="C8" s="30">
        <v>21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28" t="s">
        <v>22</v>
      </c>
      <c r="C9" s="30">
        <v>31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6"/>
      <c r="B1" s="56" t="s">
        <v>7</v>
      </c>
      <c r="C1" s="57"/>
      <c r="D1" s="57"/>
      <c r="E1" s="57"/>
      <c r="F1" s="57"/>
      <c r="G1" s="57"/>
      <c r="H1" s="58"/>
      <c r="I1" s="6"/>
      <c r="J1" s="6"/>
      <c r="K1" s="6"/>
      <c r="L1" s="6"/>
      <c r="M1" s="6"/>
      <c r="N1" s="6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2" t="e">
        <f>VLOOKUP($E$3,_MasterData!B4:D1000,3,FALSE)</f>
        <v>#N/A</v>
      </c>
      <c r="K2" s="12"/>
      <c r="L2" s="7"/>
      <c r="M2" s="7"/>
      <c r="N2" s="7"/>
      <c r="O2" s="7"/>
    </row>
    <row r="3" spans="1:154" ht="15.75" customHeight="1">
      <c r="A3" s="13"/>
      <c r="B3" s="9" t="s">
        <v>4</v>
      </c>
      <c r="C3" s="16" t="s">
        <v>28</v>
      </c>
      <c r="D3" s="9" t="s">
        <v>5</v>
      </c>
      <c r="E3" s="16" t="s">
        <v>29</v>
      </c>
      <c r="F3" s="9" t="s">
        <v>14</v>
      </c>
      <c r="G3" s="15" t="s">
        <v>15</v>
      </c>
      <c r="H3" s="9"/>
      <c r="I3" s="13"/>
      <c r="J3" s="13"/>
      <c r="K3" s="13"/>
      <c r="L3" s="13"/>
      <c r="M3" s="13"/>
      <c r="N3" s="13"/>
      <c r="O3" s="1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4"/>
      <c r="B6" s="14" t="s">
        <v>32</v>
      </c>
      <c r="C6" s="14" t="s">
        <v>20</v>
      </c>
      <c r="D6" s="24">
        <f t="shared" ref="D6:E6" ca="1" si="0">TODAY()-1</f>
        <v>44465</v>
      </c>
      <c r="E6" s="24">
        <f t="shared" ca="1" si="0"/>
        <v>44465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P1" workbookViewId="0">
      <selection activeCell="BW15" sqref="BW15"/>
    </sheetView>
  </sheetViews>
  <sheetFormatPr defaultColWidth="17.28515625" defaultRowHeight="15" customHeight="1"/>
  <cols>
    <col min="1" max="1" width="6.7109375" customWidth="1"/>
    <col min="2" max="2" width="14.42578125" customWidth="1"/>
    <col min="3" max="3" width="23" customWidth="1"/>
    <col min="4" max="4" width="14.42578125" customWidth="1"/>
    <col min="5" max="5" width="25.85546875" customWidth="1"/>
    <col min="6" max="8" width="14.42578125" customWidth="1"/>
    <col min="9" max="9" width="18.140625" customWidth="1"/>
    <col min="10" max="11" width="17.42578125" customWidth="1"/>
    <col min="12" max="14" width="14.42578125" customWidth="1"/>
    <col min="15" max="15" width="20.28515625" customWidth="1"/>
    <col min="16" max="18" width="14.42578125" customWidth="1"/>
    <col min="19" max="19" width="21.28515625" customWidth="1"/>
    <col min="20" max="62" width="14.42578125" customWidth="1"/>
    <col min="63" max="63" width="26.28515625" customWidth="1"/>
    <col min="64" max="111" width="14.42578125" customWidth="1"/>
    <col min="112" max="112" width="18.28515625" customWidth="1"/>
    <col min="113" max="129" width="14.42578125" customWidth="1"/>
    <col min="130" max="130" width="18.7109375" customWidth="1"/>
    <col min="131" max="142" width="14.42578125" customWidth="1"/>
    <col min="143" max="143" width="19.5703125" customWidth="1"/>
    <col min="144" max="144" width="20" customWidth="1"/>
    <col min="145" max="166" width="14.42578125" customWidth="1"/>
  </cols>
  <sheetData>
    <row r="1" spans="1:166" ht="15.75" customHeight="1">
      <c r="A1" s="34"/>
      <c r="B1" s="60" t="s">
        <v>7</v>
      </c>
      <c r="C1" s="57"/>
      <c r="D1" s="57"/>
      <c r="E1" s="57"/>
      <c r="F1" s="57"/>
      <c r="G1" s="57"/>
      <c r="H1" s="58"/>
      <c r="I1" s="34"/>
      <c r="J1" s="34"/>
      <c r="K1" s="34"/>
      <c r="L1" s="34"/>
      <c r="M1" s="34"/>
      <c r="N1" s="34"/>
      <c r="O1" s="34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</row>
    <row r="2" spans="1:166" ht="15.75" customHeight="1">
      <c r="A2" s="36"/>
      <c r="B2" s="36"/>
      <c r="C2" s="36"/>
      <c r="D2" s="36"/>
      <c r="E2" s="36"/>
      <c r="F2" s="36"/>
      <c r="G2" s="36"/>
      <c r="H2" s="36"/>
      <c r="I2" s="36"/>
      <c r="J2" s="37" t="e">
        <f>VLOOKUP($E$3,_MasterData!B4:D1000,3,FALSE)</f>
        <v>#N/A</v>
      </c>
      <c r="K2" s="37"/>
      <c r="L2" s="36"/>
      <c r="M2" s="36"/>
      <c r="N2" s="36"/>
      <c r="O2" s="36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</row>
    <row r="3" spans="1:166" ht="15.75" customHeight="1">
      <c r="A3" s="39"/>
      <c r="B3" s="40" t="s">
        <v>4</v>
      </c>
      <c r="C3" s="41" t="s">
        <v>30</v>
      </c>
      <c r="D3" s="40" t="s">
        <v>5</v>
      </c>
      <c r="E3" s="41" t="s">
        <v>31</v>
      </c>
      <c r="F3" s="40" t="s">
        <v>14</v>
      </c>
      <c r="G3" s="42" t="s">
        <v>15</v>
      </c>
      <c r="H3" s="40"/>
      <c r="I3" s="39"/>
      <c r="J3" s="39"/>
      <c r="K3" s="39"/>
      <c r="L3" s="39"/>
      <c r="M3" s="39"/>
      <c r="N3" s="39"/>
      <c r="O3" s="39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</row>
    <row r="4" spans="1:166" ht="15.75" customHeight="1">
      <c r="A4" s="44"/>
      <c r="B4" s="44" t="str">
        <f ca="1">IFERROR(__xludf.DUMMYFUNCTION("IF(C3="""","""",Transpose(IMPORTRANGE('_Settings'!$B$3,C3&amp;""!A4:A1000"")))"),"CheckDashboardPM")</f>
        <v>CheckDashboardPM</v>
      </c>
      <c r="C4" s="44" t="str">
        <f ca="1">IFERROR(__xludf.DUMMYFUNCTION("""COMPUTED_VALUE"""),"CheckPortfolioManagement")</f>
        <v>CheckPortfolioManagement</v>
      </c>
      <c r="D4" s="44" t="str">
        <f ca="1">IFERROR(__xludf.DUMMYFUNCTION("""COMPUTED_VALUE"""),"OpenPSTFromPM")</f>
        <v>OpenPSTFromPM</v>
      </c>
      <c r="E4" s="44" t="str">
        <f ca="1">IFERROR(__xludf.DUMMYFUNCTION("""COMPUTED_VALUE"""),"ClosePM")</f>
        <v>ClosePM</v>
      </c>
      <c r="F4" s="44" t="str">
        <f ca="1">IFERROR(__xludf.DUMMYFUNCTION("""COMPUTED_VALUE"""),"FilterPM")</f>
        <v>FilterPM</v>
      </c>
      <c r="G4" s="44" t="str">
        <f ca="1">IFERROR(__xludf.DUMMYFUNCTION("""COMPUTED_VALUE"""),"GroupRowPM")</f>
        <v>GroupRowPM</v>
      </c>
      <c r="H4" s="44" t="str">
        <f ca="1">IFERROR(__xludf.DUMMYFUNCTION("""COMPUTED_VALUE"""),"CheckDashboardWithPM")</f>
        <v>CheckDashboardWithPM</v>
      </c>
      <c r="I4" s="44" t="str">
        <f ca="1">IFERROR(__xludf.DUMMYFUNCTION("""COMPUTED_VALUE"""),"RemoveFilterPM")</f>
        <v>RemoveFilterPM</v>
      </c>
      <c r="J4" s="44" t="str">
        <f ca="1">IFERROR(__xludf.DUMMYFUNCTION("""COMPUTED_VALUE"""),"CheckSummaryRowsPM")</f>
        <v>CheckSummaryRowsPM</v>
      </c>
      <c r="K4" s="44" t="str">
        <f ca="1">IFERROR(__xludf.DUMMYFUNCTION("""COMPUTED_VALUE"""),"OpenPTTFromPM")</f>
        <v>OpenPTTFromPM</v>
      </c>
      <c r="L4" s="44" t="str">
        <f ca="1">IFERROR(__xludf.DUMMYFUNCTION("""COMPUTED_VALUE"""),"OpenCreateTransactionFromPM")</f>
        <v>OpenCreateTransactionFromPM</v>
      </c>
      <c r="M4" s="44" t="str">
        <f ca="1">IFERROR(__xludf.DUMMYFUNCTION("""COMPUTED_VALUE"""),"OpenClosingFromPM")</f>
        <v>OpenClosingFromPM</v>
      </c>
      <c r="N4" s="44" t="str">
        <f ca="1">IFERROR(__xludf.DUMMYFUNCTION("""COMPUTED_VALUE"""),"OpenCorporateActionFromPM")</f>
        <v>OpenCorporateActionFromPM</v>
      </c>
      <c r="O4" s="44" t="str">
        <f ca="1">IFERROR(__xludf.DUMMYFUNCTION("""COMPUTED_VALUE"""),"OpenDailyValuationFromPM")</f>
        <v>OpenDailyValuationFromPM</v>
      </c>
      <c r="P4" s="45" t="str">
        <f ca="1">IFERROR(__xludf.DUMMYFUNCTION("""COMPUTED_VALUE"""),"ClosePositionFromPM")</f>
        <v>ClosePositionFromPM</v>
      </c>
      <c r="Q4" s="45" t="str">
        <f ca="1">IFERROR(__xludf.DUMMYFUNCTION("""COMPUTED_VALUE"""),"ShowSummaryToolFromPM")</f>
        <v>ShowSummaryToolFromPM</v>
      </c>
      <c r="R4" s="45" t="str">
        <f ca="1">IFERROR(__xludf.DUMMYFUNCTION("""COMPUTED_VALUE"""),"HideSummaryToolFromPM")</f>
        <v>HideSummaryToolFromPM</v>
      </c>
      <c r="S4" s="45" t="str">
        <f ca="1">IFERROR(__xludf.DUMMYFUNCTION("""COMPUTED_VALUE"""),"CloseAccountPositionFromPM")</f>
        <v>CloseAccountPositionFromPM</v>
      </c>
      <c r="T4" s="45" t="str">
        <f ca="1">IFERROR(__xludf.DUMMYFUNCTION("""COMPUTED_VALUE"""),"CloseSelectedTaxlotsFromPM")</f>
        <v>CloseSelectedTaxlotsFromPM</v>
      </c>
      <c r="U4" s="45" t="str">
        <f ca="1">IFERROR(__xludf.DUMMYFUNCTION("""COMPUTED_VALUE"""),"ExpandCollapsePM")</f>
        <v>ExpandCollapsePM</v>
      </c>
      <c r="V4" s="45" t="str">
        <f ca="1">IFERROR(__xludf.DUMMYFUNCTION("""COMPUTED_VALUE"""),"AddCustomViewPM")</f>
        <v>AddCustomViewPM</v>
      </c>
      <c r="W4" s="45" t="str">
        <f ca="1">IFERROR(__xludf.DUMMYFUNCTION("""COMPUTED_VALUE"""),"AddCustomViewRightClickPM")</f>
        <v>AddCustomViewRightClickPM</v>
      </c>
      <c r="X4" s="45" t="str">
        <f ca="1">IFERROR(__xludf.DUMMYFUNCTION("""COMPUTED_VALUE"""),"RenameCustomViewPM")</f>
        <v>RenameCustomViewPM</v>
      </c>
      <c r="Y4" s="45" t="str">
        <f ca="1">IFERROR(__xludf.DUMMYFUNCTION("""COMPUTED_VALUE"""),"DeleteCustomViewPM")</f>
        <v>DeleteCustomViewPM</v>
      </c>
      <c r="Z4" s="45" t="str">
        <f ca="1">IFERROR(__xludf.DUMMYFUNCTION("""COMPUTED_VALUE"""),"")</f>
        <v/>
      </c>
      <c r="AA4" s="45" t="str">
        <f ca="1">IFERROR(__xludf.DUMMYFUNCTION("""COMPUTED_VALUE"""),"")</f>
        <v/>
      </c>
      <c r="AB4" s="45" t="str">
        <f ca="1">IFERROR(__xludf.DUMMYFUNCTION("""COMPUTED_VALUE"""),"")</f>
        <v/>
      </c>
      <c r="AC4" s="45" t="str">
        <f ca="1">IFERROR(__xludf.DUMMYFUNCTION("""COMPUTED_VALUE"""),"")</f>
        <v/>
      </c>
      <c r="AD4" s="45" t="str">
        <f ca="1">IFERROR(__xludf.DUMMYFUNCTION("""COMPUTED_VALUE"""),"")</f>
        <v/>
      </c>
      <c r="AE4" s="45" t="str">
        <f ca="1">IFERROR(__xludf.DUMMYFUNCTION("""COMPUTED_VALUE"""),"")</f>
        <v/>
      </c>
      <c r="AF4" s="45" t="str">
        <f ca="1">IFERROR(__xludf.DUMMYFUNCTION("""COMPUTED_VALUE"""),"")</f>
        <v/>
      </c>
      <c r="AG4" s="45" t="str">
        <f ca="1">IFERROR(__xludf.DUMMYFUNCTION("""COMPUTED_VALUE"""),"")</f>
        <v/>
      </c>
      <c r="AH4" s="45" t="str">
        <f ca="1">IFERROR(__xludf.DUMMYFUNCTION("""COMPUTED_VALUE"""),"")</f>
        <v/>
      </c>
      <c r="AI4" s="45" t="str">
        <f ca="1">IFERROR(__xludf.DUMMYFUNCTION("""COMPUTED_VALUE"""),"")</f>
        <v/>
      </c>
      <c r="AJ4" s="45" t="str">
        <f ca="1">IFERROR(__xludf.DUMMYFUNCTION("""COMPUTED_VALUE"""),"")</f>
        <v/>
      </c>
      <c r="AK4" s="45" t="str">
        <f ca="1">IFERROR(__xludf.DUMMYFUNCTION("""COMPUTED_VALUE"""),"")</f>
        <v/>
      </c>
      <c r="AL4" s="45" t="str">
        <f ca="1">IFERROR(__xludf.DUMMYFUNCTION("""COMPUTED_VALUE"""),"")</f>
        <v/>
      </c>
      <c r="AM4" s="45" t="str">
        <f ca="1">IFERROR(__xludf.DUMMYFUNCTION("""COMPUTED_VALUE"""),"")</f>
        <v/>
      </c>
      <c r="AN4" s="45" t="str">
        <f ca="1">IFERROR(__xludf.DUMMYFUNCTION("""COMPUTED_VALUE"""),"")</f>
        <v/>
      </c>
      <c r="AO4" s="45" t="str">
        <f ca="1">IFERROR(__xludf.DUMMYFUNCTION("""COMPUTED_VALUE"""),"")</f>
        <v/>
      </c>
      <c r="AP4" s="45" t="str">
        <f ca="1">IFERROR(__xludf.DUMMYFUNCTION("""COMPUTED_VALUE"""),"")</f>
        <v/>
      </c>
      <c r="AQ4" s="45" t="str">
        <f ca="1">IFERROR(__xludf.DUMMYFUNCTION("""COMPUTED_VALUE"""),"")</f>
        <v/>
      </c>
      <c r="AR4" s="45" t="str">
        <f ca="1">IFERROR(__xludf.DUMMYFUNCTION("""COMPUTED_VALUE"""),"")</f>
        <v/>
      </c>
      <c r="AS4" s="45" t="str">
        <f ca="1">IFERROR(__xludf.DUMMYFUNCTION("""COMPUTED_VALUE"""),"")</f>
        <v/>
      </c>
      <c r="AT4" s="45" t="str">
        <f ca="1">IFERROR(__xludf.DUMMYFUNCTION("""COMPUTED_VALUE"""),"")</f>
        <v/>
      </c>
      <c r="AU4" s="45" t="str">
        <f ca="1">IFERROR(__xludf.DUMMYFUNCTION("""COMPUTED_VALUE"""),"")</f>
        <v/>
      </c>
      <c r="AV4" s="45" t="str">
        <f ca="1">IFERROR(__xludf.DUMMYFUNCTION("""COMPUTED_VALUE"""),"")</f>
        <v/>
      </c>
      <c r="AW4" s="45" t="str">
        <f ca="1">IFERROR(__xludf.DUMMYFUNCTION("""COMPUTED_VALUE"""),"")</f>
        <v/>
      </c>
      <c r="AX4" s="45" t="str">
        <f ca="1">IFERROR(__xludf.DUMMYFUNCTION("""COMPUTED_VALUE"""),"")</f>
        <v/>
      </c>
      <c r="AY4" s="45" t="str">
        <f ca="1">IFERROR(__xludf.DUMMYFUNCTION("""COMPUTED_VALUE"""),"")</f>
        <v/>
      </c>
      <c r="AZ4" s="45" t="str">
        <f ca="1">IFERROR(__xludf.DUMMYFUNCTION("""COMPUTED_VALUE"""),"")</f>
        <v/>
      </c>
      <c r="BA4" s="45" t="str">
        <f ca="1">IFERROR(__xludf.DUMMYFUNCTION("""COMPUTED_VALUE"""),"")</f>
        <v/>
      </c>
      <c r="BB4" s="45" t="str">
        <f ca="1">IFERROR(__xludf.DUMMYFUNCTION("""COMPUTED_VALUE"""),"")</f>
        <v/>
      </c>
      <c r="BC4" s="45" t="str">
        <f ca="1">IFERROR(__xludf.DUMMYFUNCTION("""COMPUTED_VALUE"""),"")</f>
        <v/>
      </c>
      <c r="BD4" s="45" t="str">
        <f ca="1">IFERROR(__xludf.DUMMYFUNCTION("""COMPUTED_VALUE"""),"")</f>
        <v/>
      </c>
      <c r="BE4" s="45" t="str">
        <f ca="1">IFERROR(__xludf.DUMMYFUNCTION("""COMPUTED_VALUE"""),"")</f>
        <v/>
      </c>
      <c r="BF4" s="45" t="str">
        <f ca="1">IFERROR(__xludf.DUMMYFUNCTION("""COMPUTED_VALUE"""),"")</f>
        <v/>
      </c>
      <c r="BG4" s="45" t="str">
        <f ca="1">IFERROR(__xludf.DUMMYFUNCTION("""COMPUTED_VALUE"""),"")</f>
        <v/>
      </c>
      <c r="BH4" s="45" t="str">
        <f ca="1">IFERROR(__xludf.DUMMYFUNCTION("""COMPUTED_VALUE"""),"")</f>
        <v/>
      </c>
      <c r="BI4" s="45" t="str">
        <f ca="1">IFERROR(__xludf.DUMMYFUNCTION("""COMPUTED_VALUE"""),"")</f>
        <v/>
      </c>
      <c r="BJ4" s="45" t="str">
        <f ca="1">IFERROR(__xludf.DUMMYFUNCTION("""COMPUTED_VALUE"""),"")</f>
        <v/>
      </c>
      <c r="BK4" s="45" t="str">
        <f ca="1">IFERROR(__xludf.DUMMYFUNCTION("""COMPUTED_VALUE"""),"")</f>
        <v/>
      </c>
      <c r="BL4" s="45" t="str">
        <f ca="1">IFERROR(__xludf.DUMMYFUNCTION("""COMPUTED_VALUE"""),"")</f>
        <v/>
      </c>
      <c r="BM4" s="45" t="str">
        <f ca="1">IFERROR(__xludf.DUMMYFUNCTION("""COMPUTED_VALUE"""),"")</f>
        <v/>
      </c>
      <c r="BN4" s="45" t="str">
        <f ca="1">IFERROR(__xludf.DUMMYFUNCTION("""COMPUTED_VALUE"""),"")</f>
        <v/>
      </c>
      <c r="BO4" s="45" t="str">
        <f ca="1">IFERROR(__xludf.DUMMYFUNCTION("""COMPUTED_VALUE"""),"")</f>
        <v/>
      </c>
      <c r="BP4" s="45" t="str">
        <f ca="1">IFERROR(__xludf.DUMMYFUNCTION("""COMPUTED_VALUE"""),"")</f>
        <v/>
      </c>
      <c r="BQ4" s="45" t="str">
        <f ca="1">IFERROR(__xludf.DUMMYFUNCTION("""COMPUTED_VALUE"""),"")</f>
        <v/>
      </c>
      <c r="BR4" s="45" t="str">
        <f ca="1">IFERROR(__xludf.DUMMYFUNCTION("""COMPUTED_VALUE"""),"")</f>
        <v/>
      </c>
      <c r="BS4" s="45" t="str">
        <f ca="1">IFERROR(__xludf.DUMMYFUNCTION("""COMPUTED_VALUE"""),"")</f>
        <v/>
      </c>
      <c r="BT4" s="45" t="str">
        <f ca="1">IFERROR(__xludf.DUMMYFUNCTION("""COMPUTED_VALUE"""),"")</f>
        <v/>
      </c>
      <c r="BU4" s="45" t="str">
        <f ca="1">IFERROR(__xludf.DUMMYFUNCTION("""COMPUTED_VALUE"""),"")</f>
        <v/>
      </c>
      <c r="BV4" s="45" t="str">
        <f ca="1">IFERROR(__xludf.DUMMYFUNCTION("""COMPUTED_VALUE"""),"")</f>
        <v/>
      </c>
      <c r="BW4" s="45" t="str">
        <f ca="1">IFERROR(__xludf.DUMMYFUNCTION("""COMPUTED_VALUE"""),"")</f>
        <v/>
      </c>
      <c r="BX4" s="45" t="str">
        <f ca="1">IFERROR(__xludf.DUMMYFUNCTION("""COMPUTED_VALUE"""),"")</f>
        <v/>
      </c>
      <c r="BY4" s="45" t="str">
        <f ca="1">IFERROR(__xludf.DUMMYFUNCTION("""COMPUTED_VALUE"""),"")</f>
        <v/>
      </c>
      <c r="BZ4" s="45" t="str">
        <f ca="1">IFERROR(__xludf.DUMMYFUNCTION("""COMPUTED_VALUE"""),"")</f>
        <v/>
      </c>
      <c r="CA4" s="45" t="str">
        <f ca="1">IFERROR(__xludf.DUMMYFUNCTION("""COMPUTED_VALUE"""),"")</f>
        <v/>
      </c>
      <c r="CB4" s="45" t="str">
        <f ca="1">IFERROR(__xludf.DUMMYFUNCTION("""COMPUTED_VALUE"""),"")</f>
        <v/>
      </c>
      <c r="CC4" s="45" t="str">
        <f ca="1">IFERROR(__xludf.DUMMYFUNCTION("""COMPUTED_VALUE"""),"")</f>
        <v/>
      </c>
      <c r="CD4" s="45" t="str">
        <f ca="1">IFERROR(__xludf.DUMMYFUNCTION("""COMPUTED_VALUE"""),"")</f>
        <v/>
      </c>
      <c r="CE4" s="45" t="str">
        <f ca="1">IFERROR(__xludf.DUMMYFUNCTION("""COMPUTED_VALUE"""),"")</f>
        <v/>
      </c>
      <c r="CF4" s="45" t="str">
        <f ca="1">IFERROR(__xludf.DUMMYFUNCTION("""COMPUTED_VALUE"""),"")</f>
        <v/>
      </c>
      <c r="CG4" s="45" t="str">
        <f ca="1">IFERROR(__xludf.DUMMYFUNCTION("""COMPUTED_VALUE"""),"")</f>
        <v/>
      </c>
      <c r="CH4" s="45" t="str">
        <f ca="1">IFERROR(__xludf.DUMMYFUNCTION("""COMPUTED_VALUE"""),"")</f>
        <v/>
      </c>
      <c r="CI4" s="45" t="str">
        <f ca="1">IFERROR(__xludf.DUMMYFUNCTION("""COMPUTED_VALUE"""),"")</f>
        <v/>
      </c>
      <c r="CJ4" s="45" t="str">
        <f ca="1">IFERROR(__xludf.DUMMYFUNCTION("""COMPUTED_VALUE"""),"")</f>
        <v/>
      </c>
      <c r="CK4" s="45" t="str">
        <f ca="1">IFERROR(__xludf.DUMMYFUNCTION("""COMPUTED_VALUE"""),"")</f>
        <v/>
      </c>
      <c r="CL4" s="45" t="str">
        <f ca="1">IFERROR(__xludf.DUMMYFUNCTION("""COMPUTED_VALUE"""),"")</f>
        <v/>
      </c>
      <c r="CM4" s="45" t="str">
        <f ca="1">IFERROR(__xludf.DUMMYFUNCTION("""COMPUTED_VALUE"""),"")</f>
        <v/>
      </c>
      <c r="CN4" s="45" t="str">
        <f ca="1">IFERROR(__xludf.DUMMYFUNCTION("""COMPUTED_VALUE"""),"")</f>
        <v/>
      </c>
      <c r="CO4" s="45" t="str">
        <f ca="1">IFERROR(__xludf.DUMMYFUNCTION("""COMPUTED_VALUE"""),"")</f>
        <v/>
      </c>
      <c r="CP4" s="45" t="str">
        <f ca="1">IFERROR(__xludf.DUMMYFUNCTION("""COMPUTED_VALUE"""),"")</f>
        <v/>
      </c>
      <c r="CQ4" s="45" t="str">
        <f ca="1">IFERROR(__xludf.DUMMYFUNCTION("""COMPUTED_VALUE"""),"")</f>
        <v/>
      </c>
      <c r="CR4" s="45" t="str">
        <f ca="1">IFERROR(__xludf.DUMMYFUNCTION("""COMPUTED_VALUE"""),"")</f>
        <v/>
      </c>
      <c r="CS4" s="45" t="str">
        <f ca="1">IFERROR(__xludf.DUMMYFUNCTION("""COMPUTED_VALUE"""),"")</f>
        <v/>
      </c>
      <c r="CT4" s="45" t="str">
        <f ca="1">IFERROR(__xludf.DUMMYFUNCTION("""COMPUTED_VALUE"""),"")</f>
        <v/>
      </c>
      <c r="CU4" s="45" t="str">
        <f ca="1">IFERROR(__xludf.DUMMYFUNCTION("""COMPUTED_VALUE"""),"")</f>
        <v/>
      </c>
      <c r="CV4" s="45" t="str">
        <f ca="1">IFERROR(__xludf.DUMMYFUNCTION("""COMPUTED_VALUE"""),"")</f>
        <v/>
      </c>
      <c r="CW4" s="45" t="str">
        <f ca="1">IFERROR(__xludf.DUMMYFUNCTION("""COMPUTED_VALUE"""),"")</f>
        <v/>
      </c>
      <c r="CX4" s="45" t="str">
        <f ca="1">IFERROR(__xludf.DUMMYFUNCTION("""COMPUTED_VALUE"""),"")</f>
        <v/>
      </c>
      <c r="CY4" s="45" t="str">
        <f ca="1">IFERROR(__xludf.DUMMYFUNCTION("""COMPUTED_VALUE"""),"")</f>
        <v/>
      </c>
      <c r="CZ4" s="45" t="str">
        <f ca="1">IFERROR(__xludf.DUMMYFUNCTION("""COMPUTED_VALUE"""),"")</f>
        <v/>
      </c>
      <c r="DA4" s="45" t="str">
        <f ca="1">IFERROR(__xludf.DUMMYFUNCTION("""COMPUTED_VALUE"""),"")</f>
        <v/>
      </c>
      <c r="DB4" s="45" t="str">
        <f ca="1">IFERROR(__xludf.DUMMYFUNCTION("""COMPUTED_VALUE"""),"")</f>
        <v/>
      </c>
      <c r="DC4" s="45" t="str">
        <f ca="1">IFERROR(__xludf.DUMMYFUNCTION("""COMPUTED_VALUE"""),"")</f>
        <v/>
      </c>
      <c r="DD4" s="45" t="str">
        <f ca="1">IFERROR(__xludf.DUMMYFUNCTION("""COMPUTED_VALUE"""),"")</f>
        <v/>
      </c>
      <c r="DE4" s="45" t="str">
        <f ca="1">IFERROR(__xludf.DUMMYFUNCTION("""COMPUTED_VALUE"""),"")</f>
        <v/>
      </c>
      <c r="DF4" s="45" t="str">
        <f ca="1">IFERROR(__xludf.DUMMYFUNCTION("""COMPUTED_VALUE"""),"")</f>
        <v/>
      </c>
      <c r="DG4" s="45" t="str">
        <f ca="1">IFERROR(__xludf.DUMMYFUNCTION("""COMPUTED_VALUE"""),"")</f>
        <v/>
      </c>
      <c r="DH4" s="45" t="str">
        <f ca="1">IFERROR(__xludf.DUMMYFUNCTION("""COMPUTED_VALUE"""),"")</f>
        <v/>
      </c>
      <c r="DI4" s="45" t="str">
        <f ca="1">IFERROR(__xludf.DUMMYFUNCTION("""COMPUTED_VALUE"""),"")</f>
        <v/>
      </c>
      <c r="DJ4" s="45" t="str">
        <f ca="1">IFERROR(__xludf.DUMMYFUNCTION("""COMPUTED_VALUE"""),"")</f>
        <v/>
      </c>
      <c r="DK4" s="45" t="str">
        <f ca="1">IFERROR(__xludf.DUMMYFUNCTION("""COMPUTED_VALUE"""),"")</f>
        <v/>
      </c>
      <c r="DL4" s="45" t="str">
        <f ca="1">IFERROR(__xludf.DUMMYFUNCTION("""COMPUTED_VALUE"""),"")</f>
        <v/>
      </c>
      <c r="DM4" s="45" t="str">
        <f ca="1">IFERROR(__xludf.DUMMYFUNCTION("""COMPUTED_VALUE"""),"")</f>
        <v/>
      </c>
      <c r="DN4" s="45" t="str">
        <f ca="1">IFERROR(__xludf.DUMMYFUNCTION("""COMPUTED_VALUE"""),"")</f>
        <v/>
      </c>
      <c r="DO4" s="45" t="str">
        <f ca="1">IFERROR(__xludf.DUMMYFUNCTION("""COMPUTED_VALUE"""),"")</f>
        <v/>
      </c>
      <c r="DP4" s="45" t="str">
        <f ca="1">IFERROR(__xludf.DUMMYFUNCTION("""COMPUTED_VALUE"""),"")</f>
        <v/>
      </c>
      <c r="DQ4" s="45" t="str">
        <f ca="1">IFERROR(__xludf.DUMMYFUNCTION("""COMPUTED_VALUE"""),"")</f>
        <v/>
      </c>
      <c r="DR4" s="45" t="str">
        <f ca="1">IFERROR(__xludf.DUMMYFUNCTION("""COMPUTED_VALUE"""),"")</f>
        <v/>
      </c>
      <c r="DS4" s="45" t="str">
        <f ca="1">IFERROR(__xludf.DUMMYFUNCTION("""COMPUTED_VALUE"""),"")</f>
        <v/>
      </c>
      <c r="DT4" s="45" t="str">
        <f ca="1">IFERROR(__xludf.DUMMYFUNCTION("""COMPUTED_VALUE"""),"")</f>
        <v/>
      </c>
      <c r="DU4" s="45" t="str">
        <f ca="1">IFERROR(__xludf.DUMMYFUNCTION("""COMPUTED_VALUE"""),"")</f>
        <v/>
      </c>
      <c r="DV4" s="45" t="str">
        <f ca="1">IFERROR(__xludf.DUMMYFUNCTION("""COMPUTED_VALUE"""),"")</f>
        <v/>
      </c>
      <c r="DW4" s="45" t="str">
        <f ca="1">IFERROR(__xludf.DUMMYFUNCTION("""COMPUTED_VALUE"""),"")</f>
        <v/>
      </c>
      <c r="DX4" s="45" t="str">
        <f ca="1">IFERROR(__xludf.DUMMYFUNCTION("""COMPUTED_VALUE"""),"")</f>
        <v/>
      </c>
      <c r="DY4" s="45" t="str">
        <f ca="1">IFERROR(__xludf.DUMMYFUNCTION("""COMPUTED_VALUE"""),"")</f>
        <v/>
      </c>
      <c r="DZ4" s="45" t="str">
        <f ca="1">IFERROR(__xludf.DUMMYFUNCTION("""COMPUTED_VALUE"""),"")</f>
        <v/>
      </c>
      <c r="EA4" s="45" t="str">
        <f ca="1">IFERROR(__xludf.DUMMYFUNCTION("""COMPUTED_VALUE"""),"")</f>
        <v/>
      </c>
      <c r="EB4" s="45" t="str">
        <f ca="1">IFERROR(__xludf.DUMMYFUNCTION("""COMPUTED_VALUE"""),"")</f>
        <v/>
      </c>
      <c r="EC4" s="45" t="str">
        <f ca="1">IFERROR(__xludf.DUMMYFUNCTION("""COMPUTED_VALUE"""),"")</f>
        <v/>
      </c>
      <c r="ED4" s="45" t="str">
        <f ca="1">IFERROR(__xludf.DUMMYFUNCTION("""COMPUTED_VALUE"""),"")</f>
        <v/>
      </c>
      <c r="EE4" s="45" t="str">
        <f ca="1">IFERROR(__xludf.DUMMYFUNCTION("""COMPUTED_VALUE"""),"")</f>
        <v/>
      </c>
      <c r="EF4" s="45" t="str">
        <f ca="1">IFERROR(__xludf.DUMMYFUNCTION("""COMPUTED_VALUE"""),"")</f>
        <v/>
      </c>
      <c r="EG4" s="45" t="str">
        <f ca="1">IFERROR(__xludf.DUMMYFUNCTION("""COMPUTED_VALUE"""),"")</f>
        <v/>
      </c>
      <c r="EH4" s="45" t="str">
        <f ca="1">IFERROR(__xludf.DUMMYFUNCTION("""COMPUTED_VALUE"""),"")</f>
        <v/>
      </c>
      <c r="EI4" s="45" t="str">
        <f ca="1">IFERROR(__xludf.DUMMYFUNCTION("""COMPUTED_VALUE"""),"")</f>
        <v/>
      </c>
      <c r="EJ4" s="45" t="str">
        <f ca="1">IFERROR(__xludf.DUMMYFUNCTION("""COMPUTED_VALUE"""),"")</f>
        <v/>
      </c>
      <c r="EK4" s="45" t="str">
        <f ca="1">IFERROR(__xludf.DUMMYFUNCTION("""COMPUTED_VALUE"""),"")</f>
        <v/>
      </c>
      <c r="EL4" s="45" t="str">
        <f ca="1">IFERROR(__xludf.DUMMYFUNCTION("""COMPUTED_VALUE"""),"")</f>
        <v/>
      </c>
      <c r="EM4" s="45" t="str">
        <f ca="1">IFERROR(__xludf.DUMMYFUNCTION("""COMPUTED_VALUE"""),"")</f>
        <v/>
      </c>
      <c r="EN4" s="45" t="str">
        <f ca="1">IFERROR(__xludf.DUMMYFUNCTION("""COMPUTED_VALUE"""),"")</f>
        <v/>
      </c>
      <c r="EO4" s="45" t="str">
        <f ca="1">IFERROR(__xludf.DUMMYFUNCTION("""COMPUTED_VALUE"""),"")</f>
        <v/>
      </c>
      <c r="EP4" s="45" t="str">
        <f ca="1">IFERROR(__xludf.DUMMYFUNCTION("""COMPUTED_VALUE"""),"")</f>
        <v/>
      </c>
      <c r="EQ4" s="45" t="str">
        <f ca="1">IFERROR(__xludf.DUMMYFUNCTION("""COMPUTED_VALUE"""),"")</f>
        <v/>
      </c>
      <c r="ER4" s="45" t="str">
        <f ca="1">IFERROR(__xludf.DUMMYFUNCTION("""COMPUTED_VALUE"""),"")</f>
        <v/>
      </c>
      <c r="ES4" s="45" t="str">
        <f ca="1">IFERROR(__xludf.DUMMYFUNCTION("""COMPUTED_VALUE"""),"")</f>
        <v/>
      </c>
      <c r="ET4" s="45" t="str">
        <f ca="1">IFERROR(__xludf.DUMMYFUNCTION("""COMPUTED_VALUE"""),"")</f>
        <v/>
      </c>
      <c r="EU4" s="45" t="str">
        <f ca="1">IFERROR(__xludf.DUMMYFUNCTION("""COMPUTED_VALUE"""),"")</f>
        <v/>
      </c>
      <c r="EV4" s="45" t="str">
        <f ca="1">IFERROR(__xludf.DUMMYFUNCTION("""COMPUTED_VALUE"""),"")</f>
        <v/>
      </c>
      <c r="EW4" s="45" t="str">
        <f ca="1">IFERROR(__xludf.DUMMYFUNCTION("""COMPUTED_VALUE"""),"")</f>
        <v/>
      </c>
      <c r="EX4" s="45" t="str">
        <f ca="1">IFERROR(__xludf.DUMMYFUNCTION("""COMPUTED_VALUE"""),"")</f>
        <v/>
      </c>
      <c r="EY4" s="45" t="str">
        <f ca="1">IFERROR(__xludf.DUMMYFUNCTION("""COMPUTED_VALUE"""),"")</f>
        <v/>
      </c>
      <c r="EZ4" s="45" t="str">
        <f ca="1">IFERROR(__xludf.DUMMYFUNCTION("""COMPUTED_VALUE"""),"")</f>
        <v/>
      </c>
      <c r="FA4" s="45" t="str">
        <f ca="1">IFERROR(__xludf.DUMMYFUNCTION("""COMPUTED_VALUE"""),"")</f>
        <v/>
      </c>
      <c r="FB4" s="45" t="str">
        <f ca="1">IFERROR(__xludf.DUMMYFUNCTION("""COMPUTED_VALUE"""),"")</f>
        <v/>
      </c>
      <c r="FC4" s="45" t="str">
        <f ca="1">IFERROR(__xludf.DUMMYFUNCTION("""COMPUTED_VALUE"""),"")</f>
        <v/>
      </c>
      <c r="FD4" s="45" t="str">
        <f ca="1">IFERROR(__xludf.DUMMYFUNCTION("""COMPUTED_VALUE"""),"")</f>
        <v/>
      </c>
      <c r="FE4" s="45" t="str">
        <f ca="1">IFERROR(__xludf.DUMMYFUNCTION("""COMPUTED_VALUE"""),"")</f>
        <v/>
      </c>
      <c r="FF4" s="45" t="str">
        <f ca="1">IFERROR(__xludf.DUMMYFUNCTION("""COMPUTED_VALUE"""),"")</f>
        <v/>
      </c>
      <c r="FG4" s="45" t="str">
        <f ca="1">IFERROR(__xludf.DUMMYFUNCTION("""COMPUTED_VALUE"""),"")</f>
        <v/>
      </c>
      <c r="FH4" s="45" t="str">
        <f ca="1">IFERROR(__xludf.DUMMYFUNCTION("""COMPUTED_VALUE"""),"")</f>
        <v/>
      </c>
      <c r="FI4" s="45" t="str">
        <f ca="1">IFERROR(__xludf.DUMMYFUNCTION("""COMPUTED_VALUE"""),"")</f>
        <v/>
      </c>
      <c r="FJ4" s="45" t="str">
        <f ca="1">IFERROR(__xludf.DUMMYFUNCTION("""COMPUTED_VALUE"""),"")</f>
        <v/>
      </c>
    </row>
    <row r="5" spans="1:166" ht="15.75" customHeight="1">
      <c r="A5" s="46" t="str">
        <f ca="1">IFERROR(__xludf.DUMMYFUNCTION("TRANSPOSE(IMPORTRANGE(VLOOKUP($E$3,IMPORTRANGE('_Settings'!$B$3,$C$3&amp;""!A4:B1000""),2,FALSE),$G$3&amp;""!A4:A1000""))"),"")</f>
        <v/>
      </c>
      <c r="B5" s="47" t="str">
        <f ca="1">IFERROR(__xludf.DUMMYFUNCTION("""COMPUTED_VALUE"""),"Trade Date")</f>
        <v>Trade Date</v>
      </c>
      <c r="C5" s="47" t="str">
        <f ca="1">IFERROR(__xludf.DUMMYFUNCTION("""COMPUTED_VALUE"""),"Symbol")</f>
        <v>Symbol</v>
      </c>
      <c r="D5" s="47" t="str">
        <f ca="1">IFERROR(__xludf.DUMMYFUNCTION("""COMPUTED_VALUE"""),"Position")</f>
        <v>Position</v>
      </c>
      <c r="E5" s="47" t="str">
        <f ca="1">IFERROR(__xludf.DUMMYFUNCTION("""COMPUTED_VALUE"""),"Account")</f>
        <v>Account</v>
      </c>
      <c r="F5" s="48" t="str">
        <f ca="1">IFERROR(__xludf.DUMMYFUNCTION("""COMPUTED_VALUE"""),"MasterFund")</f>
        <v>MasterFund</v>
      </c>
      <c r="G5" s="47" t="str">
        <f ca="1">IFERROR(__xludf.DUMMYFUNCTION("""COMPUTED_VALUE"""),"Cost Basis")</f>
        <v>Cost Basis</v>
      </c>
      <c r="H5" s="47" t="str">
        <f ca="1">IFERROR(__xludf.DUMMYFUNCTION("""COMPUTED_VALUE"""),"Position Side")</f>
        <v>Position Side</v>
      </c>
      <c r="I5" s="47" t="str">
        <f ca="1">IFERROR(__xludf.DUMMYFUNCTION("""COMPUTED_VALUE"""),"Market Value (Base)")</f>
        <v>Market Value (Base)</v>
      </c>
      <c r="J5" s="47" t="str">
        <f ca="1">IFERROR(__xludf.DUMMYFUNCTION("""COMPUTED_VALUE"""),"% Day P&amp;L (Gross MV)")</f>
        <v>% Day P&amp;L (Gross MV)</v>
      </c>
      <c r="K5" s="47" t="str">
        <f ca="1">IFERROR(__xludf.DUMMYFUNCTION("""COMPUTED_VALUE"""),"Net Exposure (Base)")</f>
        <v>Net Exposure (Base)</v>
      </c>
      <c r="L5" s="47" t="str">
        <f ca="1">IFERROR(__xludf.DUMMYFUNCTION("""COMPUTED_VALUE"""),"Beta Adj. Gross Exposure (Base)")</f>
        <v>Beta Adj. Gross Exposure (Base)</v>
      </c>
      <c r="M5" s="47" t="str">
        <f ca="1">IFERROR(__xludf.DUMMYFUNCTION("""COMPUTED_VALUE"""),"Beta Adj. Gross Exposure (Underlying) (Base)")</f>
        <v>Beta Adj. Gross Exposure (Underlying) (Base)</v>
      </c>
      <c r="N5" s="47" t="str">
        <f ca="1">IFERROR(__xludf.DUMMYFUNCTION("""COMPUTED_VALUE"""),"Day P&amp;L (Base)")</f>
        <v>Day P&amp;L (Base)</v>
      </c>
      <c r="O5" s="47" t="str">
        <f ca="1">IFERROR(__xludf.DUMMYFUNCTION("""COMPUTED_VALUE"""),"Security Name")</f>
        <v>Security Name</v>
      </c>
      <c r="P5" s="47" t="str">
        <f ca="1">IFERROR(__xludf.DUMMYFUNCTION("""COMPUTED_VALUE"""),"Closing Mark")</f>
        <v>Closing Mark</v>
      </c>
      <c r="Q5" s="47" t="str">
        <f ca="1">IFERROR(__xludf.DUMMYFUNCTION("""COMPUTED_VALUE"""),"Cost Basis P&amp;L (Base)")</f>
        <v>Cost Basis P&amp;L (Base)</v>
      </c>
      <c r="R5" s="47" t="str">
        <f ca="1">IFERROR(__xludf.DUMMYFUNCTION("""COMPUTED_VALUE"""),"Prime Broker")</f>
        <v>Prime Broker</v>
      </c>
      <c r="S5" s="47" t="str">
        <f ca="1">IFERROR(__xludf.DUMMYFUNCTION("""COMPUTED_VALUE"""),"Strategy")</f>
        <v>Strategy</v>
      </c>
      <c r="T5" s="49" t="str">
        <f ca="1">IFERROR(__xludf.DUMMYFUNCTION("""COMPUTED_VALUE"""),"Asset Class")</f>
        <v>Asset Class</v>
      </c>
      <c r="U5" s="49" t="str">
        <f ca="1">IFERROR(__xludf.DUMMYFUNCTION("""COMPUTED_VALUE"""),"Underlying")</f>
        <v>Underlying</v>
      </c>
      <c r="V5" s="49" t="str">
        <f ca="1">IFERROR(__xludf.DUMMYFUNCTION("""COMPUTED_VALUE"""),"Exchange")</f>
        <v>Exchange</v>
      </c>
      <c r="W5" s="49" t="str">
        <f ca="1">IFERROR(__xludf.DUMMYFUNCTION("""COMPUTED_VALUE"""),"Trade Currency")</f>
        <v>Trade Currency</v>
      </c>
      <c r="X5" s="49" t="str">
        <f ca="1">IFERROR(__xludf.DUMMYFUNCTION("""COMPUTED_VALUE"""),"Multiplier")</f>
        <v>Multiplier</v>
      </c>
      <c r="Y5" s="49" t="str">
        <f ca="1">IFERROR(__xludf.DUMMYFUNCTION("""COMPUTED_VALUE"""),"FX Rate")</f>
        <v>FX Rate</v>
      </c>
      <c r="Z5" s="49" t="str">
        <f ca="1">IFERROR(__xludf.DUMMYFUNCTION("""COMPUTED_VALUE"""),"Vs Currency")</f>
        <v>Vs Currency</v>
      </c>
      <c r="AA5" s="49" t="str">
        <f ca="1">IFERROR(__xludf.DUMMYFUNCTION("""COMPUTED_VALUE"""),"Lead Currency")</f>
        <v>Lead Currency</v>
      </c>
      <c r="AB5" s="49" t="str">
        <f ca="1">IFERROR(__xludf.DUMMYFUNCTION("""COMPUTED_VALUE"""),"Dividend Yield (%)")</f>
        <v>Dividend Yield (%)</v>
      </c>
      <c r="AC5" s="49" t="str">
        <f ca="1">IFERROR(__xludf.DUMMYFUNCTION("""COMPUTED_VALUE"""),"% Change")</f>
        <v>% Change</v>
      </c>
      <c r="AD5" s="49" t="str">
        <f ca="1">IFERROR(__xludf.DUMMYFUNCTION("""COMPUTED_VALUE"""),"Net Exposure (Local)")</f>
        <v>Net Exposure (Local)</v>
      </c>
      <c r="AE5" s="49" t="str">
        <f ca="1">IFERROR(__xludf.DUMMYFUNCTION("""COMPUTED_VALUE"""),"Exposure (Local)")</f>
        <v>Exposure (Local)</v>
      </c>
      <c r="AF5" s="49" t="str">
        <f ca="1">IFERROR(__xludf.DUMMYFUNCTION("""COMPUTED_VALUE"""),"Delta Adj. Position")</f>
        <v>Delta Adj. Position</v>
      </c>
      <c r="AG5" s="49" t="str">
        <f ca="1">IFERROR(__xludf.DUMMYFUNCTION("""COMPUTED_VALUE"""),"Exposure (Base)")</f>
        <v>Exposure (Base)</v>
      </c>
      <c r="AH5" s="49" t="str">
        <f ca="1">IFERROR(__xludf.DUMMYFUNCTION("""COMPUTED_VALUE"""),"Beta Adj. Exposure (Local)")</f>
        <v>Beta Adj. Exposure (Local)</v>
      </c>
      <c r="AI5" s="49" t="str">
        <f ca="1">IFERROR(__xludf.DUMMYFUNCTION("""COMPUTED_VALUE"""),"Beta Adj. Exposure (Base)")</f>
        <v>Beta Adj. Exposure (Base)</v>
      </c>
      <c r="AJ5" s="49" t="str">
        <f ca="1">IFERROR(__xludf.DUMMYFUNCTION("""COMPUTED_VALUE"""),"Exposure (BP)(Base)")</f>
        <v>Exposure (BP)(Base)</v>
      </c>
      <c r="AK5" s="49" t="str">
        <f ca="1">IFERROR(__xludf.DUMMYFUNCTION("""COMPUTED_VALUE"""),"Day P&amp;L (Local)")</f>
        <v>Day P&amp;L (Local)</v>
      </c>
      <c r="AL5" s="49" t="str">
        <f ca="1">IFERROR(__xludf.DUMMYFUNCTION("""COMPUTED_VALUE"""),"Delta")</f>
        <v>Delta</v>
      </c>
      <c r="AM5" s="49" t="str">
        <f ca="1">IFERROR(__xludf.DUMMYFUNCTION("""COMPUTED_VALUE"""),"Leveraged Factor")</f>
        <v>Leveraged Factor</v>
      </c>
      <c r="AN5" s="49" t="str">
        <f ca="1">IFERROR(__xludf.DUMMYFUNCTION("""COMPUTED_VALUE"""),"Order Side")</f>
        <v>Order Side</v>
      </c>
      <c r="AO5" s="49" t="str">
        <f ca="1">IFERROR(__xludf.DUMMYFUNCTION("""COMPUTED_VALUE"""),"Master Strategy")</f>
        <v>Master Strategy</v>
      </c>
      <c r="AP5" s="49" t="str">
        <f ca="1">IFERROR(__xludf.DUMMYFUNCTION("""COMPUTED_VALUE"""),"Transaction Side")</f>
        <v>Transaction Side</v>
      </c>
      <c r="AQ5" s="49" t="str">
        <f ca="1">IFERROR(__xludf.DUMMYFUNCTION("""COMPUTED_VALUE"""),"Underlying Symbol")</f>
        <v>Underlying Symbol</v>
      </c>
      <c r="AR5" s="49" t="str">
        <f ca="1">IFERROR(__xludf.DUMMYFUNCTION("""COMPUTED_VALUE"""),"Underlying Price")</f>
        <v>Underlying Price</v>
      </c>
      <c r="AS5" s="49" t="str">
        <f ca="1">IFERROR(__xludf.DUMMYFUNCTION("""COMPUTED_VALUE"""),"Side Multiplier")</f>
        <v>Side Multiplier</v>
      </c>
      <c r="AT5" s="49" t="str">
        <f ca="1">IFERROR(__xludf.DUMMYFUNCTION("""COMPUTED_VALUE"""),"Description")</f>
        <v>Description</v>
      </c>
      <c r="AU5" s="49" t="str">
        <f ca="1">IFERROR(__xludf.DUMMYFUNCTION("""COMPUTED_VALUE"""),"Internal Comments")</f>
        <v>Internal Comments</v>
      </c>
      <c r="AV5" s="49" t="str">
        <f ca="1">IFERROR(__xludf.DUMMYFUNCTION("""COMPUTED_VALUE"""),"FX Rate On Trade Date")</f>
        <v>FX Rate On Trade Date</v>
      </c>
      <c r="AW5" s="49" t="str">
        <f ca="1">IFERROR(__xludf.DUMMYFUNCTION("""COMPUTED_VALUE"""),"Cost Basis P&amp;L (Local)")</f>
        <v>Cost Basis P&amp;L (Local)</v>
      </c>
      <c r="AX5" s="49" t="str">
        <f ca="1">IFERROR(__xludf.DUMMYFUNCTION("""COMPUTED_VALUE"""),"Day Interest")</f>
        <v>Day Interest</v>
      </c>
      <c r="AY5" s="49" t="str">
        <f ca="1">IFERROR(__xludf.DUMMYFUNCTION("""COMPUTED_VALUE"""),"Total Interest")</f>
        <v>Total Interest</v>
      </c>
      <c r="AZ5" s="49" t="str">
        <f ca="1">IFERROR(__xludf.DUMMYFUNCTION("""COMPUTED_VALUE"""),"Market Value (Local)")</f>
        <v>Market Value (Local)</v>
      </c>
      <c r="BA5" s="49" t="str">
        <f ca="1">IFERROR(__xludf.DUMMYFUNCTION("""COMPUTED_VALUE"""),"% Gain/Loss Day")</f>
        <v>% Gain/Loss Day</v>
      </c>
      <c r="BB5" s="49" t="str">
        <f ca="1">IFERROR(__xludf.DUMMYFUNCTION("""COMPUTED_VALUE"""),"Update Time (Last Price)")</f>
        <v>Update Time (Last Price)</v>
      </c>
      <c r="BC5" s="49" t="str">
        <f ca="1">IFERROR(__xludf.DUMMYFUNCTION("""COMPUTED_VALUE"""),"Beta")</f>
        <v>Beta</v>
      </c>
      <c r="BD5" s="49" t="str">
        <f ca="1">IFERROR(__xludf.DUMMYFUNCTION("""COMPUTED_VALUE"""),"Cash Impact (Local)")</f>
        <v>Cash Impact (Local)</v>
      </c>
      <c r="BE5" s="49" t="str">
        <f ca="1">IFERROR(__xludf.DUMMYFUNCTION("""COMPUTED_VALUE"""),"User Asset")</f>
        <v>User Asset</v>
      </c>
      <c r="BF5" s="49" t="str">
        <f ca="1">IFERROR(__xludf.DUMMYFUNCTION("""COMPUTED_VALUE"""),"Security Type")</f>
        <v>Security Type</v>
      </c>
      <c r="BG5" s="49" t="str">
        <f ca="1">IFERROR(__xludf.DUMMYFUNCTION("""COMPUTED_VALUE"""),"Sector")</f>
        <v>Sector</v>
      </c>
      <c r="BH5" s="49" t="str">
        <f ca="1">IFERROR(__xludf.DUMMYFUNCTION("""COMPUTED_VALUE"""),"Sub Sector")</f>
        <v>Sub Sector</v>
      </c>
      <c r="BI5" s="49" t="str">
        <f ca="1">IFERROR(__xludf.DUMMYFUNCTION("""COMPUTED_VALUE"""),"Country")</f>
        <v>Country</v>
      </c>
      <c r="BJ5" s="49" t="str">
        <f ca="1">IFERROR(__xludf.DUMMYFUNCTION("""COMPUTED_VALUE"""),"Market Cap")</f>
        <v>Market Cap</v>
      </c>
      <c r="BK5" s="49" t="str">
        <f ca="1">IFERROR(__xludf.DUMMYFUNCTION("""COMPUTED_VALUE"""),"Shares Outstanding (MM)")</f>
        <v>Shares Outstanding (MM)</v>
      </c>
      <c r="BL5" s="49" t="str">
        <f ca="1">IFERROR(__xludf.DUMMYFUNCTION("""COMPUTED_VALUE"""),"Avg Volume 20 Day")</f>
        <v>Avg Volume 20 Day</v>
      </c>
      <c r="BM5" s="49" t="str">
        <f ca="1">IFERROR(__xludf.DUMMYFUNCTION("""COMPUTED_VALUE"""),"% Avg Volume (Delta Adj.)")</f>
        <v>% Avg Volume (Delta Adj.)</v>
      </c>
      <c r="BN5" s="49" t="str">
        <f ca="1">IFERROR(__xludf.DUMMYFUNCTION("""COMPUTED_VALUE"""),"Ex Dividend Date")</f>
        <v>Ex Dividend Date</v>
      </c>
      <c r="BO5" s="49" t="str">
        <f ca="1">IFERROR(__xludf.DUMMYFUNCTION("""COMPUTED_VALUE"""),"Cash Impact (Base)")</f>
        <v>Cash Impact (Base)</v>
      </c>
      <c r="BP5" s="49" t="str">
        <f ca="1">IFERROR(__xludf.DUMMYFUNCTION("""COMPUTED_VALUE"""),"Volatility (%)")</f>
        <v>Volatility (%)</v>
      </c>
      <c r="BQ5" s="49" t="str">
        <f ca="1">IFERROR(__xludf.DUMMYFUNCTION("""COMPUTED_VALUE"""),"User")</f>
        <v>User</v>
      </c>
      <c r="BR5" s="49" t="str">
        <f ca="1">IFERROR(__xludf.DUMMYFUNCTION("""COMPUTED_VALUE"""),"Broker")</f>
        <v>Broker</v>
      </c>
      <c r="BS5" s="49" t="str">
        <f ca="1">IFERROR(__xludf.DUMMYFUNCTION("""COMPUTED_VALUE"""),"Earned Dividend (Local)")</f>
        <v>Earned Dividend (Local)</v>
      </c>
      <c r="BT5" s="49" t="str">
        <f ca="1">IFERROR(__xludf.DUMMYFUNCTION("""COMPUTED_VALUE"""),"Earned Dividend (Base)")</f>
        <v>Earned Dividend (Base)</v>
      </c>
      <c r="BU5" s="49" t="str">
        <f ca="1">IFERROR(__xludf.DUMMYFUNCTION("""COMPUTED_VALUE"""),"Put/Call")</f>
        <v>Put/Call</v>
      </c>
      <c r="BV5" s="49" t="str">
        <f ca="1">IFERROR(__xludf.DUMMYFUNCTION("""COMPUTED_VALUE"""),"Expiration Date")</f>
        <v>Expiration Date</v>
      </c>
      <c r="BW5" s="49" t="str">
        <f ca="1">IFERROR(__xludf.DUMMYFUNCTION("""COMPUTED_VALUE"""),"Strike Price")</f>
        <v>Strike Price</v>
      </c>
      <c r="BX5" s="49" t="str">
        <f ca="1">IFERROR(__xludf.DUMMYFUNCTION("""COMPUTED_VALUE"""),"Gross Exposure (Base)")</f>
        <v>Gross Exposure (Base)</v>
      </c>
      <c r="BY5" s="49" t="str">
        <f ca="1">IFERROR(__xludf.DUMMYFUNCTION("""COMPUTED_VALUE"""),"Gross Market Value (Base)")</f>
        <v>Gross Market Value (Base)</v>
      </c>
      <c r="BZ5" s="49" t="str">
        <f ca="1">IFERROR(__xludf.DUMMYFUNCTION("""COMPUTED_VALUE"""),"Px Selected Feed (Local)")</f>
        <v>Px Selected Feed (Local)</v>
      </c>
      <c r="CA5" s="49" t="str">
        <f ca="1">IFERROR(__xludf.DUMMYFUNCTION("""COMPUTED_VALUE"""),"Px Selected Feed (Base)")</f>
        <v>Px Selected Feed (Base)</v>
      </c>
      <c r="CB5" s="49" t="str">
        <f ca="1">IFERROR(__xludf.DUMMYFUNCTION("""COMPUTED_VALUE"""),"Settlement Date")</f>
        <v>Settlement Date</v>
      </c>
      <c r="CC5" s="49" t="str">
        <f ca="1">IFERROR(__xludf.DUMMYFUNCTION("""COMPUTED_VALUE"""),"% Avg Volume")</f>
        <v>% Avg Volume</v>
      </c>
      <c r="CD5" s="49" t="str">
        <f ca="1">IFERROR(__xludf.DUMMYFUNCTION("""COMPUTED_VALUE"""),"Day P&amp;L (Base)(Price Gain)")</f>
        <v>Day P&amp;L (Base)(Price Gain)</v>
      </c>
      <c r="CE5" s="49" t="str">
        <f ca="1">IFERROR(__xludf.DUMMYFUNCTION("""COMPUTED_VALUE"""),"Day P&amp;L (Base)(FX Gain)")</f>
        <v>Day P&amp;L (Base)(FX Gain)</v>
      </c>
      <c r="CF5" s="49" t="str">
        <f ca="1">IFERROR(__xludf.DUMMYFUNCTION("""COMPUTED_VALUE"""),"Cost Basis P&amp;L (Base)(FX Gain)")</f>
        <v>Cost Basis P&amp;L (Base)(FX Gain)</v>
      </c>
      <c r="CG5" s="49" t="str">
        <f ca="1">IFERROR(__xludf.DUMMYFUNCTION("""COMPUTED_VALUE"""),"Cost Basis P&amp;L (Base)(Price Gain)")</f>
        <v>Cost Basis P&amp;L (Base)(Price Gain)</v>
      </c>
      <c r="CH5" s="49" t="str">
        <f ca="1">IFERROR(__xludf.DUMMYFUNCTION("""COMPUTED_VALUE"""),"% Gain/Loss Cost")</f>
        <v>% Gain/Loss Cost</v>
      </c>
      <c r="CI5" s="49" t="str">
        <f ca="1">IFERROR(__xludf.DUMMYFUNCTION("""COMPUTED_VALUE"""),"Underlying Value (Options)")</f>
        <v>Underlying Value (Options)</v>
      </c>
      <c r="CJ5" s="49" t="str">
        <f ca="1">IFERROR(__xludf.DUMMYFUNCTION("""COMPUTED_VALUE"""),"Avg Volume 20 Day (Underlying Symbol)")</f>
        <v>Avg Volume 20 Day (Underlying Symbol)</v>
      </c>
      <c r="CK5" s="49" t="str">
        <f ca="1">IFERROR(__xludf.DUMMYFUNCTION("""COMPUTED_VALUE"""),"IsStaleData")</f>
        <v>IsStaleData</v>
      </c>
      <c r="CL5" s="49" t="str">
        <f ca="1">IFERROR(__xludf.DUMMYFUNCTION("""COMPUTED_VALUE"""),"IDCO")</f>
        <v>IDCO</v>
      </c>
      <c r="CM5" s="49" t="str">
        <f ca="1">IFERROR(__xludf.DUMMYFUNCTION("""COMPUTED_VALUE"""),"OSI")</f>
        <v>OSI</v>
      </c>
      <c r="CN5" s="49" t="str">
        <f ca="1">IFERROR(__xludf.DUMMYFUNCTION("""COMPUTED_VALUE"""),"SEDOL")</f>
        <v>SEDOL</v>
      </c>
      <c r="CO5" s="49" t="str">
        <f ca="1">IFERROR(__xludf.DUMMYFUNCTION("""COMPUTED_VALUE"""),"CUSIP")</f>
        <v>CUSIP</v>
      </c>
      <c r="CP5" s="49" t="str">
        <f ca="1">IFERROR(__xludf.DUMMYFUNCTION("""COMPUTED_VALUE"""),"Bloomberg")</f>
        <v>Bloomberg</v>
      </c>
      <c r="CQ5" s="49" t="str">
        <f ca="1">IFERROR(__xludf.DUMMYFUNCTION("""COMPUTED_VALUE"""),"ISIN")</f>
        <v>ISIN</v>
      </c>
      <c r="CR5" s="49" t="str">
        <f ca="1">IFERROR(__xludf.DUMMYFUNCTION("""COMPUTED_VALUE"""),"Start Trade Date")</f>
        <v>Start Trade Date</v>
      </c>
      <c r="CS5" s="49" t="str">
        <f ca="1">IFERROR(__xludf.DUMMYFUNCTION("""COMPUTED_VALUE"""),"Cost Basis (Break Even)")</f>
        <v>Cost Basis (Break Even)</v>
      </c>
      <c r="CT5" s="49" t="str">
        <f ca="1">IFERROR(__xludf.DUMMYFUNCTION("""COMPUTED_VALUE"""),"Trade Attribute 3")</f>
        <v>Trade Attribute 3</v>
      </c>
      <c r="CU5" s="49" t="str">
        <f ca="1">IFERROR(__xludf.DUMMYFUNCTION("""COMPUTED_VALUE"""),"Trade Attribute 4")</f>
        <v>Trade Attribute 4</v>
      </c>
      <c r="CV5" s="49" t="str">
        <f ca="1">IFERROR(__xludf.DUMMYFUNCTION("""COMPUTED_VALUE"""),"Trade Attribute 5")</f>
        <v>Trade Attribute 5</v>
      </c>
      <c r="CW5" s="49" t="str">
        <f ca="1">IFERROR(__xludf.DUMMYFUNCTION("""COMPUTED_VALUE"""),"Trade Attribute 6")</f>
        <v>Trade Attribute 6</v>
      </c>
      <c r="CX5" s="49" t="str">
        <f ca="1">IFERROR(__xludf.DUMMYFUNCTION("""COMPUTED_VALUE"""),"Proxy Symbol")</f>
        <v>Proxy Symbol</v>
      </c>
      <c r="CY5" s="49" t="str">
        <f ca="1">IFERROR(__xludf.DUMMYFUNCTION("""COMPUTED_VALUE"""),"Pricing Source")</f>
        <v>Pricing Source</v>
      </c>
      <c r="CZ5" s="49" t="str">
        <f ca="1">IFERROR(__xludf.DUMMYFUNCTION("""COMPUTED_VALUE"""),"Delta Source")</f>
        <v>Delta Source</v>
      </c>
      <c r="DA5" s="49" t="str">
        <f ca="1">IFERROR(__xludf.DUMMYFUNCTION("""COMPUTED_VALUE"""),"Gross Exposure (Local)")</f>
        <v>Gross Exposure (Local)</v>
      </c>
      <c r="DB5" s="49" t="str">
        <f ca="1">IFERROR(__xludf.DUMMYFUNCTION("""COMPUTED_VALUE"""),"% Day P&amp;L (Net MV)")</f>
        <v>% Day P&amp;L (Net MV)</v>
      </c>
      <c r="DC5" s="49" t="str">
        <f ca="1">IFERROR(__xludf.DUMMYFUNCTION("""COMPUTED_VALUE"""),"Expiration Month")</f>
        <v>Expiration Month</v>
      </c>
      <c r="DD5" s="49" t="str">
        <f ca="1">IFERROR(__xludf.DUMMYFUNCTION("""COMPUTED_VALUE"""),"Delta Adj. Position (LME)")</f>
        <v>Delta Adj. Position (LME)</v>
      </c>
      <c r="DE5" s="49" t="str">
        <f ca="1">IFERROR(__xludf.DUMMYFUNCTION("""COMPUTED_VALUE"""),"Premium")</f>
        <v>Premium</v>
      </c>
      <c r="DF5" s="49" t="str">
        <f ca="1">IFERROR(__xludf.DUMMYFUNCTION("""COMPUTED_VALUE"""),"Premium $")</f>
        <v>Premium $</v>
      </c>
      <c r="DG5" s="49" t="str">
        <f ca="1">IFERROR(__xludf.DUMMYFUNCTION("""COMPUTED_VALUE"""),"Forward Points")</f>
        <v>Forward Points</v>
      </c>
      <c r="DH5" s="49" t="str">
        <f ca="1">IFERROR(__xludf.DUMMYFUNCTION("""COMPUTED_VALUE"""),"Closing Mark (Underlying)")</f>
        <v>Closing Mark (Underlying)</v>
      </c>
      <c r="DI5" s="49" t="str">
        <f ca="1">IFERROR(__xludf.DUMMYFUNCTION("""COMPUTED_VALUE"""),"% Change (Underlying Price)")</f>
        <v>% Change (Underlying Price)</v>
      </c>
      <c r="DJ5" s="49" t="str">
        <f ca="1">IFERROR(__xludf.DUMMYFUNCTION("""COMPUTED_VALUE"""),"Transaction Type")</f>
        <v>Transaction Type</v>
      </c>
      <c r="DK5" s="49" t="str">
        <f ca="1">IFERROR(__xludf.DUMMYFUNCTION("""COMPUTED_VALUE"""),"Closing Market Value (Local)")</f>
        <v>Closing Market Value (Local)</v>
      </c>
      <c r="DL5" s="49" t="str">
        <f ca="1">IFERROR(__xludf.DUMMYFUNCTION("""COMPUTED_VALUE"""),"Closing Market Value (Base)")</f>
        <v>Closing Market Value (Base)</v>
      </c>
      <c r="DM5" s="49" t="str">
        <f ca="1">IFERROR(__xludf.DUMMYFUNCTION("""COMPUTED_VALUE"""),"Closing FX Rate")</f>
        <v>Closing FX Rate</v>
      </c>
      <c r="DN5" s="49" t="str">
        <f ca="1">IFERROR(__xludf.DUMMYFUNCTION("""COMPUTED_VALUE"""),"Change In Underlying Price")</f>
        <v>Change In Underlying Price</v>
      </c>
      <c r="DO5" s="49" t="str">
        <f ca="1">IFERROR(__xludf.DUMMYFUNCTION("""COMPUTED_VALUE"""),"RIC")</f>
        <v>RIC</v>
      </c>
      <c r="DP5" s="49" t="str">
        <f ca="1">IFERROR(__xludf.DUMMYFUNCTION("""COMPUTED_VALUE"""),"Position Side Exposure (Boxed)")</f>
        <v>Position Side Exposure (Boxed)</v>
      </c>
      <c r="DQ5" s="49" t="str">
        <f ca="1">IFERROR(__xludf.DUMMYFUNCTION("""COMPUTED_VALUE"""),"Analyst")</f>
        <v>Analyst</v>
      </c>
      <c r="DR5" s="49" t="str">
        <f ca="1">IFERROR(__xludf.DUMMYFUNCTION("""COMPUTED_VALUE"""),"Country Of Risk")</f>
        <v>Country Of Risk</v>
      </c>
      <c r="DS5" s="49" t="str">
        <f ca="1">IFERROR(__xludf.DUMMYFUNCTION("""COMPUTED_VALUE"""),"Custom UDA1")</f>
        <v>Custom UDA1</v>
      </c>
      <c r="DT5" s="49" t="str">
        <f ca="1">IFERROR(__xludf.DUMMYFUNCTION("""COMPUTED_VALUE"""),"Custom UDA2")</f>
        <v>Custom UDA2</v>
      </c>
      <c r="DU5" s="49" t="str">
        <f ca="1">IFERROR(__xludf.DUMMYFUNCTION("""COMPUTED_VALUE"""),"Custom UDA3")</f>
        <v>Custom UDA3</v>
      </c>
      <c r="DV5" s="49" t="str">
        <f ca="1">IFERROR(__xludf.DUMMYFUNCTION("""COMPUTED_VALUE"""),"Custom UDA4")</f>
        <v>Custom UDA4</v>
      </c>
      <c r="DW5" s="49" t="str">
        <f ca="1">IFERROR(__xludf.DUMMYFUNCTION("""COMPUTED_VALUE"""),"Custom UDA5")</f>
        <v>Custom UDA5</v>
      </c>
      <c r="DX5" s="49" t="str">
        <f ca="1">IFERROR(__xludf.DUMMYFUNCTION("""COMPUTED_VALUE"""),"Custom UDA6")</f>
        <v>Custom UDA6</v>
      </c>
      <c r="DY5" s="49" t="str">
        <f ca="1">IFERROR(__xludf.DUMMYFUNCTION("""COMPUTED_VALUE"""),"Custom UDA7")</f>
        <v>Custom UDA7</v>
      </c>
      <c r="DZ5" s="49" t="str">
        <f ca="1">IFERROR(__xludf.DUMMYFUNCTION("""COMPUTED_VALUE"""),"Issuer")</f>
        <v>Issuer</v>
      </c>
      <c r="EA5" s="49" t="str">
        <f ca="1">IFERROR(__xludf.DUMMYFUNCTION("""COMPUTED_VALUE"""),"Liquid Tag")</f>
        <v>Liquid Tag</v>
      </c>
      <c r="EB5" s="49" t="str">
        <f ca="1">IFERROR(__xludf.DUMMYFUNCTION("""COMPUTED_VALUE"""),"Market Cap UDA")</f>
        <v>Market Cap UDA</v>
      </c>
      <c r="EC5" s="49" t="str">
        <f ca="1">IFERROR(__xludf.DUMMYFUNCTION("""COMPUTED_VALUE"""),"Region")</f>
        <v>Region</v>
      </c>
      <c r="ED5" s="49" t="str">
        <f ca="1">IFERROR(__xludf.DUMMYFUNCTION("""COMPUTED_VALUE"""),"Risk Currency")</f>
        <v>Risk Currency</v>
      </c>
      <c r="EE5" s="49" t="str">
        <f ca="1">IFERROR(__xludf.DUMMYFUNCTION("""COMPUTED_VALUE"""),"UCITS Eligible Tag")</f>
        <v>UCITS Eligible Tag</v>
      </c>
      <c r="EF5" s="49" t="str">
        <f ca="1">IFERROR(__xludf.DUMMYFUNCTION("""COMPUTED_VALUE"""),"FX Rate (Display)")</f>
        <v>FX Rate (Display)</v>
      </c>
      <c r="EG5" s="49" t="str">
        <f ca="1">IFERROR(__xludf.DUMMYFUNCTION("""COMPUTED_VALUE"""),"% Net Exposure (Base)")</f>
        <v>% Net Exposure (Base)</v>
      </c>
      <c r="EH5" s="49" t="str">
        <f ca="1">IFERROR(__xludf.DUMMYFUNCTION("""COMPUTED_VALUE"""),"% Gross Exposure (Base)")</f>
        <v>% Gross Exposure (Base)</v>
      </c>
      <c r="EI5" s="49" t="str">
        <f ca="1">IFERROR(__xludf.DUMMYFUNCTION("""COMPUTED_VALUE"""),"% Exposure (Base)")</f>
        <v>% Exposure (Base)</v>
      </c>
      <c r="EJ5" s="49" t="str">
        <f ca="1">IFERROR(__xludf.DUMMYFUNCTION("""COMPUTED_VALUE"""),"% Gross Exposure (Underlying) (Base)")</f>
        <v>% Gross Exposure (Underlying) (Base)</v>
      </c>
      <c r="EK5" s="49" t="str">
        <f ca="1">IFERROR(__xludf.DUMMYFUNCTION("""COMPUTED_VALUE"""),"% Beta Adj. Gross Exposure (Base)")</f>
        <v>% Beta Adj. Gross Exposure (Base)</v>
      </c>
      <c r="EL5" s="49" t="str">
        <f ca="1">IFERROR(__xludf.DUMMYFUNCTION("""COMPUTED_VALUE"""),"Position Side Exposure (Underlying)")</f>
        <v>Position Side Exposure (Underlying)</v>
      </c>
      <c r="EM5" s="49" t="str">
        <f ca="1">IFERROR(__xludf.DUMMYFUNCTION("""COMPUTED_VALUE"""),"Gross Exposure (Underlying) (Base)")</f>
        <v>Gross Exposure (Underlying) (Base)</v>
      </c>
      <c r="EN5" s="49" t="str">
        <f ca="1">IFERROR(__xludf.DUMMYFUNCTION("""COMPUTED_VALUE"""),"Gross Exposure (Underlying)")</f>
        <v>Gross Exposure (Underlying)</v>
      </c>
      <c r="EO5" s="49" t="str">
        <f ca="1">IFERROR(__xludf.DUMMYFUNCTION("""COMPUTED_VALUE"""),"Day Return")</f>
        <v>Day Return</v>
      </c>
      <c r="EP5" s="49" t="str">
        <f ca="1">IFERROR(__xludf.DUMMYFUNCTION("""COMPUTED_VALUE"""),"Start of Day NAV")</f>
        <v>Start of Day NAV</v>
      </c>
      <c r="EQ5" s="49" t="str">
        <f ca="1">IFERROR(__xludf.DUMMYFUNCTION("""COMPUTED_VALUE"""),"% Gross Market Value (Base)")</f>
        <v>% Gross Market Value (Base)</v>
      </c>
      <c r="ER5" s="49" t="str">
        <f ca="1">IFERROR(__xludf.DUMMYFUNCTION("""COMPUTED_VALUE"""),"Beta Adj. Gross Exposure (Underlying) (Local)")</f>
        <v>Beta Adj. Gross Exposure (Underlying) (Local)</v>
      </c>
      <c r="ES5" s="49" t="str">
        <f ca="1">IFERROR(__xludf.DUMMYFUNCTION("""COMPUTED_VALUE"""),"NAV")</f>
        <v>NAV</v>
      </c>
      <c r="ET5" s="49" t="str">
        <f ca="1">IFERROR(__xludf.DUMMYFUNCTION("""COMPUTED_VALUE"""),"% P&amp;L Contribution")</f>
        <v>% P&amp;L Contribution</v>
      </c>
      <c r="EU5" s="49" t="str">
        <f ca="1">IFERROR(__xludf.DUMMYFUNCTION("""COMPUTED_VALUE"""),"% Net Market Value (Base)")</f>
        <v>% Net Market Value (Base)</v>
      </c>
      <c r="EV5" s="49" t="str">
        <f ca="1">IFERROR(__xludf.DUMMYFUNCTION("""COMPUTED_VALUE"""),"Position Side Exposure")</f>
        <v>Position Side Exposure</v>
      </c>
      <c r="EW5" s="49" t="str">
        <f ca="1">IFERROR(__xludf.DUMMYFUNCTION("""COMPUTED_VALUE"""),"NAV (Touch)")</f>
        <v>NAV (Touch)</v>
      </c>
      <c r="EX5" s="49" t="str">
        <f ca="1">IFERROR(__xludf.DUMMYFUNCTION("""COMPUTED_VALUE"""),"IgnorePropertyChangeEvents")</f>
        <v>IgnorePropertyChangeEvents</v>
      </c>
      <c r="EY5" s="49" t="str">
        <f ca="1">IFERROR(__xludf.DUMMYFUNCTION("""COMPUTED_VALUE"""),"Trade Attribute 1")</f>
        <v>Trade Attribute 1</v>
      </c>
      <c r="EZ5" s="49" t="str">
        <f ca="1">IFERROR(__xludf.DUMMYFUNCTION("""COMPUTED_VALUE"""),"Trade Attribute 2")</f>
        <v>Trade Attribute 2</v>
      </c>
      <c r="FA5" s="49" t="str">
        <f ca="1">IFERROR(__xludf.DUMMYFUNCTION("""COMPUTED_VALUE"""),"")</f>
        <v/>
      </c>
      <c r="FB5" s="49" t="str">
        <f ca="1">IFERROR(__xludf.DUMMYFUNCTION("""COMPUTED_VALUE"""),"")</f>
        <v/>
      </c>
      <c r="FC5" s="49" t="str">
        <f ca="1">IFERROR(__xludf.DUMMYFUNCTION("""COMPUTED_VALUE"""),"")</f>
        <v/>
      </c>
      <c r="FD5" s="49" t="str">
        <f ca="1">IFERROR(__xludf.DUMMYFUNCTION("""COMPUTED_VALUE"""),"")</f>
        <v/>
      </c>
      <c r="FE5" s="49" t="str">
        <f ca="1">IFERROR(__xludf.DUMMYFUNCTION("""COMPUTED_VALUE"""),"")</f>
        <v/>
      </c>
      <c r="FF5" s="49" t="str">
        <f ca="1">IFERROR(__xludf.DUMMYFUNCTION("""COMPUTED_VALUE"""),"")</f>
        <v/>
      </c>
      <c r="FG5" s="49" t="str">
        <f ca="1">IFERROR(__xludf.DUMMYFUNCTION("""COMPUTED_VALUE"""),"")</f>
        <v/>
      </c>
      <c r="FH5" s="49" t="str">
        <f ca="1">IFERROR(__xludf.DUMMYFUNCTION("""COMPUTED_VALUE"""),"")</f>
        <v/>
      </c>
      <c r="FI5" s="49" t="str">
        <f ca="1">IFERROR(__xludf.DUMMYFUNCTION("""COMPUTED_VALUE"""),"")</f>
        <v/>
      </c>
      <c r="FJ5" s="49" t="str">
        <f ca="1">IFERROR(__xludf.DUMMYFUNCTION("""COMPUTED_VALUE"""),"")</f>
        <v/>
      </c>
    </row>
    <row r="6" spans="1:166" ht="15.75" customHeight="1">
      <c r="A6" s="50"/>
      <c r="B6" s="50"/>
      <c r="C6" s="51" t="s">
        <v>18</v>
      </c>
      <c r="D6" s="52">
        <v>100</v>
      </c>
      <c r="E6" s="51" t="s">
        <v>20</v>
      </c>
      <c r="F6" s="51" t="s">
        <v>32</v>
      </c>
      <c r="G6" s="52">
        <v>20</v>
      </c>
      <c r="H6" s="51" t="s">
        <v>33</v>
      </c>
      <c r="I6" s="52">
        <v>210000</v>
      </c>
      <c r="J6" s="52">
        <v>0</v>
      </c>
      <c r="K6" s="52">
        <v>1990000</v>
      </c>
      <c r="L6" s="52">
        <v>1990000</v>
      </c>
      <c r="M6" s="52">
        <v>1990000</v>
      </c>
      <c r="N6" s="52">
        <v>0</v>
      </c>
      <c r="O6" s="51" t="s">
        <v>18</v>
      </c>
      <c r="P6" s="52">
        <v>21</v>
      </c>
      <c r="Q6" s="52">
        <v>10000</v>
      </c>
      <c r="R6" s="51" t="s">
        <v>34</v>
      </c>
      <c r="S6" s="51" t="s">
        <v>35</v>
      </c>
      <c r="T6" s="51" t="s">
        <v>36</v>
      </c>
      <c r="U6" s="51" t="s">
        <v>37</v>
      </c>
      <c r="V6" s="51" t="s">
        <v>38</v>
      </c>
      <c r="W6" s="51" t="s">
        <v>39</v>
      </c>
      <c r="X6" s="52">
        <v>100</v>
      </c>
      <c r="Y6" s="52">
        <v>1</v>
      </c>
      <c r="Z6" s="51" t="s">
        <v>40</v>
      </c>
      <c r="AA6" s="51" t="s">
        <v>40</v>
      </c>
      <c r="AB6" s="52">
        <v>0</v>
      </c>
      <c r="AC6" s="52">
        <v>0</v>
      </c>
      <c r="AD6" s="52">
        <v>1990000</v>
      </c>
      <c r="AE6" s="52">
        <v>1990000</v>
      </c>
      <c r="AF6" s="52">
        <v>10000</v>
      </c>
      <c r="AG6" s="52">
        <v>1990000</v>
      </c>
      <c r="AH6" s="52">
        <v>1990000</v>
      </c>
      <c r="AI6" s="52">
        <v>1990000</v>
      </c>
      <c r="AJ6" s="52">
        <v>-398000000</v>
      </c>
      <c r="AK6" s="52">
        <v>0</v>
      </c>
      <c r="AL6" s="52">
        <v>1</v>
      </c>
      <c r="AM6" s="52">
        <v>1</v>
      </c>
      <c r="AN6" s="51" t="s">
        <v>41</v>
      </c>
      <c r="AO6" s="51" t="s">
        <v>40</v>
      </c>
      <c r="AP6" s="51" t="s">
        <v>33</v>
      </c>
      <c r="AQ6" s="51" t="s">
        <v>26</v>
      </c>
      <c r="AR6" s="52">
        <v>199</v>
      </c>
      <c r="AS6" s="52">
        <v>1</v>
      </c>
      <c r="AT6" s="51" t="s">
        <v>42</v>
      </c>
      <c r="AU6" s="51" t="s">
        <v>43</v>
      </c>
      <c r="AV6" s="52">
        <v>1</v>
      </c>
      <c r="AW6" s="52">
        <v>10000</v>
      </c>
      <c r="AX6" s="52">
        <v>0</v>
      </c>
      <c r="AY6" s="52">
        <v>0</v>
      </c>
      <c r="AZ6" s="52">
        <v>210000</v>
      </c>
      <c r="BA6" s="52">
        <v>0</v>
      </c>
      <c r="BB6" s="51"/>
      <c r="BC6" s="52">
        <v>1</v>
      </c>
      <c r="BD6" s="52">
        <v>0</v>
      </c>
      <c r="BE6" s="51" t="s">
        <v>44</v>
      </c>
      <c r="BF6" s="51" t="s">
        <v>45</v>
      </c>
      <c r="BG6" s="51" t="s">
        <v>45</v>
      </c>
      <c r="BH6" s="51" t="s">
        <v>45</v>
      </c>
      <c r="BI6" s="51" t="s">
        <v>45</v>
      </c>
      <c r="BJ6" s="52">
        <v>0</v>
      </c>
      <c r="BK6" s="52">
        <v>0</v>
      </c>
      <c r="BL6" s="52">
        <v>0</v>
      </c>
      <c r="BM6" s="52">
        <v>0</v>
      </c>
      <c r="BN6" s="51"/>
      <c r="BO6" s="52">
        <v>0</v>
      </c>
      <c r="BP6" s="52">
        <v>0</v>
      </c>
      <c r="BQ6" s="51" t="s">
        <v>46</v>
      </c>
      <c r="BR6" s="51" t="s">
        <v>47</v>
      </c>
      <c r="BS6" s="52">
        <v>0</v>
      </c>
      <c r="BT6" s="52">
        <v>0</v>
      </c>
      <c r="BU6" s="51" t="s">
        <v>48</v>
      </c>
      <c r="BV6" s="53"/>
      <c r="BW6" s="52">
        <v>177.5</v>
      </c>
      <c r="BX6" s="52">
        <v>1990000</v>
      </c>
      <c r="BY6" s="52">
        <v>210000</v>
      </c>
      <c r="BZ6" s="52">
        <v>21</v>
      </c>
      <c r="CA6" s="52">
        <v>21</v>
      </c>
      <c r="CB6" s="51"/>
      <c r="CC6" s="52">
        <v>0</v>
      </c>
      <c r="CD6" s="52">
        <v>0</v>
      </c>
      <c r="CE6" s="52">
        <v>0</v>
      </c>
      <c r="CF6" s="52">
        <v>0</v>
      </c>
      <c r="CG6" s="52">
        <v>10000</v>
      </c>
      <c r="CH6" s="52">
        <v>5</v>
      </c>
      <c r="CI6" s="52">
        <v>1990000</v>
      </c>
      <c r="CJ6" s="52">
        <v>0</v>
      </c>
      <c r="CK6" s="54" t="b">
        <v>0</v>
      </c>
      <c r="CL6" s="51" t="s">
        <v>40</v>
      </c>
      <c r="CM6" s="51" t="s">
        <v>40</v>
      </c>
      <c r="CN6" s="51" t="s">
        <v>40</v>
      </c>
      <c r="CO6" s="51" t="s">
        <v>40</v>
      </c>
      <c r="CP6" s="51" t="s">
        <v>40</v>
      </c>
      <c r="CQ6" s="51" t="s">
        <v>40</v>
      </c>
      <c r="CR6" s="52"/>
      <c r="CS6" s="52">
        <v>20</v>
      </c>
      <c r="CT6" s="51" t="s">
        <v>40</v>
      </c>
      <c r="CU6" s="51" t="s">
        <v>40</v>
      </c>
      <c r="CV6" s="51" t="s">
        <v>40</v>
      </c>
      <c r="CW6" s="51" t="s">
        <v>40</v>
      </c>
      <c r="CX6" s="51" t="s">
        <v>40</v>
      </c>
      <c r="CY6" s="51" t="s">
        <v>49</v>
      </c>
      <c r="CZ6" s="51" t="s">
        <v>50</v>
      </c>
      <c r="DA6" s="52">
        <v>1990000</v>
      </c>
      <c r="DB6" s="52">
        <v>0</v>
      </c>
      <c r="DC6" s="52"/>
      <c r="DD6" s="52">
        <v>10000</v>
      </c>
      <c r="DE6" s="52">
        <v>-0.5</v>
      </c>
      <c r="DF6" s="52">
        <v>-5000</v>
      </c>
      <c r="DG6" s="52">
        <v>0</v>
      </c>
      <c r="DH6" s="52"/>
      <c r="DI6" s="55">
        <v>0.51</v>
      </c>
      <c r="DJ6" s="51" t="s">
        <v>41</v>
      </c>
      <c r="DK6" s="52">
        <v>210000</v>
      </c>
      <c r="DL6" s="52">
        <v>210000</v>
      </c>
      <c r="DM6" s="52">
        <v>1</v>
      </c>
      <c r="DN6" s="52">
        <v>1</v>
      </c>
      <c r="DO6" s="51" t="s">
        <v>40</v>
      </c>
      <c r="DP6" s="51" t="s">
        <v>33</v>
      </c>
      <c r="DQ6" s="51" t="s">
        <v>51</v>
      </c>
      <c r="DR6" s="51" t="s">
        <v>51</v>
      </c>
      <c r="DS6" s="51" t="s">
        <v>51</v>
      </c>
      <c r="DT6" s="51" t="s">
        <v>51</v>
      </c>
      <c r="DU6" s="51" t="s">
        <v>51</v>
      </c>
      <c r="DV6" s="51" t="s">
        <v>51</v>
      </c>
      <c r="DW6" s="51" t="s">
        <v>51</v>
      </c>
      <c r="DX6" s="51" t="s">
        <v>51</v>
      </c>
      <c r="DY6" s="51" t="s">
        <v>51</v>
      </c>
      <c r="DZ6" s="51" t="s">
        <v>18</v>
      </c>
      <c r="EA6" s="51" t="s">
        <v>51</v>
      </c>
      <c r="EB6" s="51" t="s">
        <v>51</v>
      </c>
      <c r="EC6" s="51" t="s">
        <v>51</v>
      </c>
      <c r="ED6" s="51" t="s">
        <v>39</v>
      </c>
      <c r="EE6" s="51" t="s">
        <v>51</v>
      </c>
      <c r="EF6" s="52">
        <v>0</v>
      </c>
      <c r="EG6" s="52">
        <v>0</v>
      </c>
      <c r="EH6" s="52">
        <v>0</v>
      </c>
      <c r="EI6" s="52">
        <v>0</v>
      </c>
      <c r="EJ6" s="52">
        <v>0</v>
      </c>
      <c r="EK6" s="52">
        <v>0</v>
      </c>
      <c r="EL6" s="51" t="s">
        <v>33</v>
      </c>
      <c r="EM6" s="52">
        <v>1990000</v>
      </c>
      <c r="EN6" s="52">
        <v>1990000</v>
      </c>
      <c r="EO6" s="52">
        <v>0</v>
      </c>
      <c r="EP6" s="52">
        <v>-10050</v>
      </c>
      <c r="EQ6" s="52">
        <v>0</v>
      </c>
      <c r="ER6" s="52">
        <v>1990000</v>
      </c>
      <c r="ES6" s="52">
        <v>-50</v>
      </c>
      <c r="ET6" s="52">
        <v>0</v>
      </c>
      <c r="EU6" s="52">
        <v>0</v>
      </c>
      <c r="EV6" s="51" t="s">
        <v>33</v>
      </c>
      <c r="EW6" s="52">
        <v>-50</v>
      </c>
      <c r="EX6" s="54" t="b">
        <v>0</v>
      </c>
      <c r="EY6" s="51" t="s">
        <v>40</v>
      </c>
      <c r="EZ6" s="51" t="s">
        <v>40</v>
      </c>
      <c r="FA6" s="38"/>
      <c r="FB6" s="38"/>
      <c r="FC6" s="38"/>
      <c r="FD6" s="38"/>
      <c r="FE6" s="38"/>
      <c r="FF6" s="38"/>
      <c r="FG6" s="38"/>
      <c r="FH6" s="38"/>
      <c r="FI6" s="38"/>
      <c r="FJ6" s="38"/>
    </row>
    <row r="7" spans="1:166" ht="15.75" customHeight="1">
      <c r="A7" s="36"/>
      <c r="B7" s="36"/>
      <c r="C7" s="51" t="s">
        <v>22</v>
      </c>
      <c r="D7" s="52">
        <v>-100</v>
      </c>
      <c r="E7" s="51" t="s">
        <v>20</v>
      </c>
      <c r="F7" s="51" t="s">
        <v>32</v>
      </c>
      <c r="G7" s="52">
        <v>30</v>
      </c>
      <c r="H7" s="51" t="s">
        <v>52</v>
      </c>
      <c r="I7" s="52">
        <v>-310000</v>
      </c>
      <c r="J7" s="55">
        <v>3.23</v>
      </c>
      <c r="K7" s="52">
        <v>-1340000</v>
      </c>
      <c r="L7" s="52">
        <v>1340000</v>
      </c>
      <c r="M7" s="52">
        <v>1340000</v>
      </c>
      <c r="N7" s="52">
        <v>10000</v>
      </c>
      <c r="O7" s="51" t="s">
        <v>22</v>
      </c>
      <c r="P7" s="52">
        <v>32</v>
      </c>
      <c r="Q7" s="52">
        <v>-10000</v>
      </c>
      <c r="R7" s="51" t="s">
        <v>34</v>
      </c>
      <c r="S7" s="51" t="s">
        <v>35</v>
      </c>
      <c r="T7" s="51" t="s">
        <v>36</v>
      </c>
      <c r="U7" s="51" t="s">
        <v>37</v>
      </c>
      <c r="V7" s="51" t="s">
        <v>38</v>
      </c>
      <c r="W7" s="51" t="s">
        <v>39</v>
      </c>
      <c r="X7" s="52">
        <v>100</v>
      </c>
      <c r="Y7" s="52">
        <v>1</v>
      </c>
      <c r="Z7" s="51" t="s">
        <v>40</v>
      </c>
      <c r="AA7" s="51" t="s">
        <v>40</v>
      </c>
      <c r="AB7" s="52">
        <v>0</v>
      </c>
      <c r="AC7" s="55">
        <v>-3.13</v>
      </c>
      <c r="AD7" s="52">
        <v>-1340000</v>
      </c>
      <c r="AE7" s="52">
        <v>-1340000</v>
      </c>
      <c r="AF7" s="52">
        <v>-10000</v>
      </c>
      <c r="AG7" s="52">
        <v>-1340000</v>
      </c>
      <c r="AH7" s="52">
        <v>-1340000</v>
      </c>
      <c r="AI7" s="52">
        <v>-1340000</v>
      </c>
      <c r="AJ7" s="52">
        <v>268000000</v>
      </c>
      <c r="AK7" s="52">
        <v>10000</v>
      </c>
      <c r="AL7" s="52">
        <v>1</v>
      </c>
      <c r="AM7" s="52">
        <v>1</v>
      </c>
      <c r="AN7" s="51" t="s">
        <v>53</v>
      </c>
      <c r="AO7" s="51" t="s">
        <v>40</v>
      </c>
      <c r="AP7" s="51" t="s">
        <v>33</v>
      </c>
      <c r="AQ7" s="51" t="s">
        <v>27</v>
      </c>
      <c r="AR7" s="52">
        <v>134</v>
      </c>
      <c r="AS7" s="52">
        <v>-1</v>
      </c>
      <c r="AT7" s="51" t="s">
        <v>42</v>
      </c>
      <c r="AU7" s="51" t="s">
        <v>43</v>
      </c>
      <c r="AV7" s="52">
        <v>1</v>
      </c>
      <c r="AW7" s="52">
        <v>-10000</v>
      </c>
      <c r="AX7" s="52">
        <v>0</v>
      </c>
      <c r="AY7" s="52">
        <v>0</v>
      </c>
      <c r="AZ7" s="52">
        <v>-310000</v>
      </c>
      <c r="BA7" s="55">
        <v>3.33</v>
      </c>
      <c r="BB7" s="51"/>
      <c r="BC7" s="52">
        <v>1</v>
      </c>
      <c r="BD7" s="52">
        <v>0</v>
      </c>
      <c r="BE7" s="51" t="s">
        <v>44</v>
      </c>
      <c r="BF7" s="51" t="s">
        <v>45</v>
      </c>
      <c r="BG7" s="51" t="s">
        <v>45</v>
      </c>
      <c r="BH7" s="51" t="s">
        <v>45</v>
      </c>
      <c r="BI7" s="51" t="s">
        <v>45</v>
      </c>
      <c r="BJ7" s="52">
        <v>0</v>
      </c>
      <c r="BK7" s="52">
        <v>0</v>
      </c>
      <c r="BL7" s="52">
        <v>0</v>
      </c>
      <c r="BM7" s="52">
        <v>0</v>
      </c>
      <c r="BN7" s="51"/>
      <c r="BO7" s="52">
        <v>0</v>
      </c>
      <c r="BP7" s="52">
        <v>0</v>
      </c>
      <c r="BQ7" s="51" t="s">
        <v>46</v>
      </c>
      <c r="BR7" s="51" t="s">
        <v>47</v>
      </c>
      <c r="BS7" s="52">
        <v>0</v>
      </c>
      <c r="BT7" s="52">
        <v>0</v>
      </c>
      <c r="BU7" s="51" t="s">
        <v>48</v>
      </c>
      <c r="BV7" s="53"/>
      <c r="BW7" s="52">
        <v>104</v>
      </c>
      <c r="BX7" s="52">
        <v>1340000</v>
      </c>
      <c r="BY7" s="52">
        <v>310000</v>
      </c>
      <c r="BZ7" s="52">
        <v>31</v>
      </c>
      <c r="CA7" s="52">
        <v>31</v>
      </c>
      <c r="CB7" s="51"/>
      <c r="CC7" s="52">
        <v>0</v>
      </c>
      <c r="CD7" s="52">
        <v>10000</v>
      </c>
      <c r="CE7" s="52">
        <v>0</v>
      </c>
      <c r="CF7" s="52">
        <v>0</v>
      </c>
      <c r="CG7" s="52">
        <v>-10000</v>
      </c>
      <c r="CH7" s="55">
        <v>-3.33</v>
      </c>
      <c r="CI7" s="52">
        <v>1340000</v>
      </c>
      <c r="CJ7" s="52">
        <v>0</v>
      </c>
      <c r="CK7" s="54" t="b">
        <v>0</v>
      </c>
      <c r="CL7" s="51" t="s">
        <v>40</v>
      </c>
      <c r="CM7" s="51" t="s">
        <v>40</v>
      </c>
      <c r="CN7" s="51" t="s">
        <v>40</v>
      </c>
      <c r="CO7" s="51" t="s">
        <v>40</v>
      </c>
      <c r="CP7" s="51" t="s">
        <v>40</v>
      </c>
      <c r="CQ7" s="51" t="s">
        <v>40</v>
      </c>
      <c r="CR7" s="52"/>
      <c r="CS7" s="52">
        <v>30</v>
      </c>
      <c r="CT7" s="51" t="s">
        <v>40</v>
      </c>
      <c r="CU7" s="51" t="s">
        <v>40</v>
      </c>
      <c r="CV7" s="51" t="s">
        <v>40</v>
      </c>
      <c r="CW7" s="51" t="s">
        <v>40</v>
      </c>
      <c r="CX7" s="51" t="s">
        <v>40</v>
      </c>
      <c r="CY7" s="51" t="s">
        <v>49</v>
      </c>
      <c r="CZ7" s="51" t="s">
        <v>50</v>
      </c>
      <c r="DA7" s="52">
        <v>1340000</v>
      </c>
      <c r="DB7" s="55">
        <v>-3.23</v>
      </c>
      <c r="DC7" s="52"/>
      <c r="DD7" s="52">
        <v>-10000</v>
      </c>
      <c r="DE7" s="52">
        <v>1</v>
      </c>
      <c r="DF7" s="52">
        <v>-10000</v>
      </c>
      <c r="DG7" s="52">
        <v>0</v>
      </c>
      <c r="DH7" s="51"/>
      <c r="DI7" s="52">
        <v>0</v>
      </c>
      <c r="DJ7" s="51" t="s">
        <v>53</v>
      </c>
      <c r="DK7" s="52">
        <v>-320000</v>
      </c>
      <c r="DL7" s="52">
        <v>-320000</v>
      </c>
      <c r="DM7" s="52">
        <v>1</v>
      </c>
      <c r="DN7" s="52">
        <v>134</v>
      </c>
      <c r="DO7" s="51" t="s">
        <v>40</v>
      </c>
      <c r="DP7" s="51" t="s">
        <v>52</v>
      </c>
      <c r="DQ7" s="51" t="s">
        <v>51</v>
      </c>
      <c r="DR7" s="51" t="s">
        <v>51</v>
      </c>
      <c r="DS7" s="51" t="s">
        <v>51</v>
      </c>
      <c r="DT7" s="51" t="s">
        <v>51</v>
      </c>
      <c r="DU7" s="51" t="s">
        <v>51</v>
      </c>
      <c r="DV7" s="51" t="s">
        <v>51</v>
      </c>
      <c r="DW7" s="51" t="s">
        <v>51</v>
      </c>
      <c r="DX7" s="51" t="s">
        <v>51</v>
      </c>
      <c r="DY7" s="51" t="s">
        <v>51</v>
      </c>
      <c r="DZ7" s="51" t="s">
        <v>22</v>
      </c>
      <c r="EA7" s="51" t="s">
        <v>51</v>
      </c>
      <c r="EB7" s="51" t="s">
        <v>51</v>
      </c>
      <c r="EC7" s="51" t="s">
        <v>51</v>
      </c>
      <c r="ED7" s="51" t="s">
        <v>39</v>
      </c>
      <c r="EE7" s="51" t="s">
        <v>51</v>
      </c>
      <c r="EF7" s="52">
        <v>0</v>
      </c>
      <c r="EG7" s="52">
        <v>0</v>
      </c>
      <c r="EH7" s="52">
        <v>0</v>
      </c>
      <c r="EI7" s="52">
        <v>0</v>
      </c>
      <c r="EJ7" s="52">
        <v>0</v>
      </c>
      <c r="EK7" s="52">
        <v>0</v>
      </c>
      <c r="EL7" s="51" t="s">
        <v>52</v>
      </c>
      <c r="EM7" s="52">
        <v>1340000</v>
      </c>
      <c r="EN7" s="52">
        <v>1340000</v>
      </c>
      <c r="EO7" s="52">
        <v>0</v>
      </c>
      <c r="EP7" s="52">
        <v>-10050</v>
      </c>
      <c r="EQ7" s="52">
        <v>0</v>
      </c>
      <c r="ER7" s="52">
        <v>1340000</v>
      </c>
      <c r="ES7" s="52">
        <v>-50</v>
      </c>
      <c r="ET7" s="52">
        <v>0</v>
      </c>
      <c r="EU7" s="52">
        <v>0</v>
      </c>
      <c r="EV7" s="51" t="s">
        <v>52</v>
      </c>
      <c r="EW7" s="52">
        <v>-50</v>
      </c>
      <c r="EX7" s="54" t="b">
        <v>0</v>
      </c>
      <c r="EY7" s="51" t="s">
        <v>40</v>
      </c>
      <c r="EZ7" s="51" t="s">
        <v>40</v>
      </c>
      <c r="FA7" s="38"/>
      <c r="FB7" s="38"/>
      <c r="FC7" s="38"/>
      <c r="FD7" s="38"/>
      <c r="FE7" s="38"/>
      <c r="FF7" s="38"/>
      <c r="FG7" s="38"/>
      <c r="FH7" s="38"/>
      <c r="FI7" s="38"/>
      <c r="FJ7" s="38"/>
    </row>
    <row r="8" spans="1:166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</row>
    <row r="9" spans="1:166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</row>
    <row r="10" spans="1:166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</row>
    <row r="11" spans="1:166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</row>
    <row r="12" spans="1:166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</row>
    <row r="13" spans="1:166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</row>
    <row r="14" spans="1:166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</row>
    <row r="15" spans="1:166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</row>
    <row r="16" spans="1:16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</row>
    <row r="17" spans="1:166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</row>
    <row r="18" spans="1:166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</row>
    <row r="19" spans="1:166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</row>
    <row r="20" spans="1:166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</row>
    <row r="21" spans="1:166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</row>
    <row r="22" spans="1:166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</row>
    <row r="23" spans="1:166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</row>
    <row r="24" spans="1:166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</row>
    <row r="25" spans="1:166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</row>
    <row r="26" spans="1:16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</row>
    <row r="27" spans="1:166" ht="1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</row>
    <row r="28" spans="1:166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</row>
    <row r="29" spans="1:166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</row>
    <row r="30" spans="1:166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</row>
    <row r="31" spans="1:166" ht="15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</row>
    <row r="32" spans="1:166" ht="15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</row>
    <row r="33" spans="1:166" ht="1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</row>
    <row r="34" spans="1:166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</row>
    <row r="35" spans="1:166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</row>
    <row r="36" spans="1:16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</row>
    <row r="37" spans="1:166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</row>
    <row r="38" spans="1:166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</row>
    <row r="39" spans="1:166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</row>
    <row r="40" spans="1:166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</row>
    <row r="41" spans="1:166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</row>
    <row r="42" spans="1:166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</row>
    <row r="43" spans="1:166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</row>
    <row r="44" spans="1:166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</row>
    <row r="45" spans="1:166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</row>
    <row r="46" spans="1:16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</row>
    <row r="47" spans="1:166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</row>
    <row r="48" spans="1:166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</row>
    <row r="49" spans="1:166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</row>
    <row r="50" spans="1:166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</row>
    <row r="51" spans="1:166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</row>
    <row r="52" spans="1:166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</row>
    <row r="53" spans="1:166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</row>
    <row r="54" spans="1:166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</row>
    <row r="55" spans="1:166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</row>
    <row r="56" spans="1:16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</row>
    <row r="57" spans="1:166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</row>
    <row r="58" spans="1:166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</row>
    <row r="59" spans="1:166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</row>
    <row r="60" spans="1:166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</row>
    <row r="61" spans="1:166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</row>
    <row r="62" spans="1:166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</row>
    <row r="63" spans="1:166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</row>
    <row r="64" spans="1:166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</row>
    <row r="65" spans="1:166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</row>
    <row r="66" spans="1:1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</row>
    <row r="67" spans="1:166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</row>
    <row r="68" spans="1:166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</row>
    <row r="69" spans="1:166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</row>
    <row r="70" spans="1:166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</row>
    <row r="71" spans="1:166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</row>
    <row r="72" spans="1:166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</row>
    <row r="73" spans="1:166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</row>
    <row r="74" spans="1:166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</row>
    <row r="75" spans="1:166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</row>
    <row r="76" spans="1:16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</row>
    <row r="77" spans="1:166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</row>
    <row r="78" spans="1:166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</row>
    <row r="79" spans="1:166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</row>
    <row r="80" spans="1:166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</row>
    <row r="81" spans="1:166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</row>
    <row r="82" spans="1:166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</row>
    <row r="83" spans="1:166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</row>
    <row r="84" spans="1:166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  <c r="EY84" s="38"/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/>
    </row>
    <row r="85" spans="1:166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</row>
    <row r="86" spans="1:16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</row>
    <row r="87" spans="1:166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</row>
    <row r="88" spans="1:166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</row>
    <row r="89" spans="1:166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  <c r="FI89" s="38"/>
      <c r="FJ89" s="38"/>
    </row>
    <row r="90" spans="1:166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</row>
    <row r="91" spans="1:166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</row>
    <row r="92" spans="1:166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</row>
    <row r="93" spans="1:166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</row>
    <row r="94" spans="1:166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</row>
    <row r="95" spans="1:166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</row>
    <row r="96" spans="1:16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</row>
    <row r="97" spans="1:166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</row>
    <row r="98" spans="1:166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</row>
    <row r="99" spans="1:166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</row>
    <row r="100" spans="1:166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38"/>
      <c r="FA100" s="38"/>
      <c r="FB100" s="38"/>
      <c r="FC100" s="38"/>
      <c r="FD100" s="38"/>
      <c r="FE100" s="38"/>
      <c r="FF100" s="38"/>
      <c r="FG100" s="38"/>
      <c r="FH100" s="38"/>
      <c r="FI100" s="38"/>
      <c r="FJ100" s="38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6"/>
      <c r="B1" s="56" t="s">
        <v>7</v>
      </c>
      <c r="C1" s="57"/>
      <c r="D1" s="57"/>
      <c r="E1" s="57"/>
      <c r="F1" s="57"/>
      <c r="G1" s="57"/>
      <c r="H1" s="58"/>
      <c r="I1" s="6"/>
      <c r="J1" s="6"/>
      <c r="K1" s="6"/>
      <c r="L1" s="6"/>
      <c r="M1" s="6"/>
      <c r="N1" s="6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2" t="e">
        <f>VLOOKUP($E$3,_MasterData!B4:D1000,3,FALSE)</f>
        <v>#N/A</v>
      </c>
      <c r="K2" s="12"/>
      <c r="L2" s="7"/>
      <c r="M2" s="7"/>
      <c r="N2" s="7"/>
      <c r="O2" s="7"/>
    </row>
    <row r="3" spans="1:154" ht="15.75" customHeight="1">
      <c r="A3" s="13"/>
      <c r="B3" s="9" t="s">
        <v>4</v>
      </c>
      <c r="C3" s="16" t="s">
        <v>12</v>
      </c>
      <c r="D3" s="9" t="s">
        <v>5</v>
      </c>
      <c r="E3" s="16" t="s">
        <v>13</v>
      </c>
      <c r="F3" s="9" t="s">
        <v>14</v>
      </c>
      <c r="G3" s="15" t="s">
        <v>15</v>
      </c>
      <c r="H3" s="9"/>
      <c r="I3" s="13"/>
      <c r="J3" s="13"/>
      <c r="K3" s="13"/>
      <c r="L3" s="13"/>
      <c r="M3" s="13"/>
      <c r="N3" s="13"/>
      <c r="O3" s="1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4"/>
      <c r="B6" s="14" t="s">
        <v>54</v>
      </c>
      <c r="C6" s="7"/>
      <c r="D6" s="14" t="s">
        <v>55</v>
      </c>
      <c r="E6" s="27">
        <v>1000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PricingInput</vt:lpstr>
      <vt:lpstr>GetDayEndCash</vt:lpstr>
      <vt:lpstr>CheckPortfolioManagement</vt:lpstr>
      <vt:lpstr>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2021-09-27T10:16:37Z</dcterms:modified>
</cp:coreProperties>
</file>