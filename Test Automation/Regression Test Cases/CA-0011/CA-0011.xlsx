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RevaluationData" sheetId="11" r:id="rId13"/>
    <sheet state="visible" name="CreateDoneAwayOrder1" sheetId="12" r:id="rId14"/>
    <sheet state="visible" name="GetDataClosing" sheetId="13" r:id="rId15"/>
    <sheet state="visible" name="AutomaticClosing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1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MarkPriceData2" sheetId="27" r:id="rId29"/>
    <sheet state="visible" name="UpdateMarkPrice2" sheetId="28" r:id="rId30"/>
    <sheet state="visible" name="GetAccountBalance2" sheetId="29" r:id="rId31"/>
    <sheet state="visible" name="GetRevaluationData2" sheetId="30" r:id="rId32"/>
    <sheet state="visible" name="VerifyRevaluationData1" sheetId="31" r:id="rId33"/>
    <sheet state="visible" name="VerifyTradingTransaction1" sheetId="32" r:id="rId34"/>
    <sheet state="visible" name="GetActivityData1" sheetId="33" r:id="rId35"/>
    <sheet state="visible" name="VerifyActivity1" sheetId="34" r:id="rId36"/>
    <sheet state="visible" name="GetDataClosing1" sheetId="35" r:id="rId37"/>
    <sheet state="visible" name="VerifyLongPositionsGrid" sheetId="36" r:id="rId38"/>
    <sheet state="visible" name="GetDataAllocation" sheetId="37" r:id="rId39"/>
    <sheet state="visible" name="CheckAllocatedGroups" sheetId="38" r:id="rId40"/>
  </sheets>
  <definedNames/>
  <calcPr/>
</workbook>
</file>

<file path=xl/sharedStrings.xml><?xml version="1.0" encoding="utf-8"?>
<sst xmlns="http://schemas.openxmlformats.org/spreadsheetml/2006/main" count="1190" uniqueCount="94">
  <si>
    <t>Settings</t>
  </si>
  <si>
    <t>Modules Info</t>
  </si>
  <si>
    <t>Module Step Setting File</t>
  </si>
  <si>
    <t>1BICZ_GcMhh_S937ZinFvSYqvvKYtOYB2Bc4woEPpgPg</t>
  </si>
  <si>
    <t>Master Data Info</t>
  </si>
  <si>
    <t>Master Data Settings File</t>
  </si>
  <si>
    <t>Module</t>
  </si>
  <si>
    <t>Modules</t>
  </si>
  <si>
    <t>1Nt_rf5DtgjbN9Ag4AMMlUkZYROxKZLH5m54YOl7tRT0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</si>
  <si>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</si>
  <si>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</si>
  <si>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</si>
  <si>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</si>
  <si>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</si>
  <si>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</si>
  <si>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</si>
  <si>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AddNonTradingTransaction</t>
  </si>
  <si>
    <t>Allocation1</t>
  </si>
  <si>
    <t>USD</t>
  </si>
  <si>
    <t>Cash [Cash]</t>
  </si>
  <si>
    <t>M</t>
  </si>
  <si>
    <t>Cash Deposit [Equity]</t>
  </si>
  <si>
    <t>DailyValuation</t>
  </si>
  <si>
    <t>TradingTicket</t>
  </si>
  <si>
    <t>GetMarkPriceData</t>
  </si>
  <si>
    <t>CreateDoneAwayOrder</t>
  </si>
  <si>
    <t>AAPL</t>
  </si>
  <si>
    <t>Sell short</t>
  </si>
  <si>
    <t>MS</t>
  </si>
  <si>
    <t>Flat Amount</t>
  </si>
  <si>
    <t>UpdateMarkPrice</t>
  </si>
  <si>
    <t>GetDayEndCash</t>
  </si>
  <si>
    <t>GetAccountBalance</t>
  </si>
  <si>
    <t>GetRevaluationData</t>
  </si>
  <si>
    <t>Closing</t>
  </si>
  <si>
    <t>GetDataClosing</t>
  </si>
  <si>
    <t>Buy to Close</t>
  </si>
  <si>
    <t>GOOG</t>
  </si>
  <si>
    <t>Buy</t>
  </si>
  <si>
    <t>Historical</t>
  </si>
  <si>
    <t>AutomaticClosing</t>
  </si>
  <si>
    <t>FIFO</t>
  </si>
  <si>
    <t>None</t>
  </si>
  <si>
    <t>Default</t>
  </si>
  <si>
    <t>VerifyTradingTransaction</t>
  </si>
  <si>
    <t>VerifyRevaluationData</t>
  </si>
  <si>
    <t>DR</t>
  </si>
  <si>
    <t>Trading</t>
  </si>
  <si>
    <t>Equity UnRealized Profit And Loss [Income]</t>
  </si>
  <si>
    <t>Revaluation</t>
  </si>
  <si>
    <t>UnRealized PNL Entry</t>
  </si>
  <si>
    <t>Investment - Short Equity [Liability]</t>
  </si>
  <si>
    <t>Equity Short Revaluation [Asset]</t>
  </si>
  <si>
    <t>CR</t>
  </si>
  <si>
    <t>Equity Realized Profit And Loss [Income]</t>
  </si>
  <si>
    <t>Realized PNL Entry</t>
  </si>
  <si>
    <t>Equity Long Revaluation [Asset]</t>
  </si>
  <si>
    <t>Investment - Long Equity [Asset]</t>
  </si>
  <si>
    <t>Contra UnRealized PNL Entry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</si>
  <si>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</si>
  <si>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</si>
  <si>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</si>
  <si>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</si>
  <si>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</si>
  <si>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</si>
  <si>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</si>
  <si>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EquityS</t>
  </si>
  <si>
    <t>EquityShortRealizedPNL</t>
  </si>
  <si>
    <t>EquityLongUnRealizedPNL</t>
  </si>
  <si>
    <t>EquityL</t>
  </si>
  <si>
    <t>CorporateAction</t>
  </si>
  <si>
    <t>OpenSpinOff</t>
  </si>
  <si>
    <t>SpinOff</t>
  </si>
  <si>
    <t>MSFT</t>
  </si>
  <si>
    <t>VerifyAndApplyCorpAction</t>
  </si>
  <si>
    <t>Sell</t>
  </si>
  <si>
    <t>VerifyLongPositionsGrid</t>
  </si>
  <si>
    <t>Equity</t>
  </si>
  <si>
    <t>Long</t>
  </si>
  <si>
    <t>GOOGLE-A</t>
  </si>
  <si>
    <t>Strategy Unallocated</t>
  </si>
  <si>
    <t>US</t>
  </si>
  <si>
    <t>LongAddition</t>
  </si>
  <si>
    <t>APPLE</t>
  </si>
  <si>
    <t>MICROSOFT INC</t>
  </si>
  <si>
    <t>Allocation</t>
  </si>
  <si>
    <t>CheckAllocatedGroups</t>
  </si>
  <si>
    <t>GetDataAllocation</t>
  </si>
  <si>
    <t>Manual</t>
  </si>
  <si>
    <t>Closed</t>
  </si>
  <si>
    <t>SellShort</t>
  </si>
  <si>
    <t>BuytoClose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</si>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</sst>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9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b/>
      <sz val="14.0"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1" fillId="2" fontId="5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5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0" fillId="0" fontId="6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2" fillId="0" fontId="6" numFmtId="0" xfId="0" applyAlignment="1" applyBorder="1" applyFont="1">
      <alignment vertical="bottom"/>
    </xf>
    <xf borderId="0" fillId="0" fontId="3" numFmtId="164" xfId="0" applyAlignment="1" applyFont="1" applyNumberFormat="1">
      <alignment horizontal="right" vertical="bottom"/>
    </xf>
    <xf borderId="6" fillId="0" fontId="6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horizontal="center" vertical="bottom"/>
    </xf>
    <xf borderId="5" fillId="0" fontId="6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center" vertical="bottom"/>
    </xf>
    <xf borderId="7" fillId="6" fontId="13" numFmtId="165" xfId="0" applyAlignment="1" applyBorder="1" applyFill="1" applyFont="1" applyNumberFormat="1">
      <alignment horizontal="left" readingOrder="0" shrinkToFit="0" wrapText="0"/>
    </xf>
    <xf borderId="7" fillId="6" fontId="14" numFmtId="0" xfId="0" applyAlignment="1" applyBorder="1" applyFont="1">
      <alignment horizontal="right" readingOrder="0" shrinkToFit="0" wrapText="0"/>
    </xf>
    <xf borderId="7" fillId="6" fontId="14" numFmtId="165" xfId="0" applyAlignment="1" applyBorder="1" applyFont="1" applyNumberFormat="1">
      <alignment horizontal="left" readingOrder="0" shrinkToFit="0" wrapText="0"/>
    </xf>
    <xf borderId="7" fillId="6" fontId="15" numFmtId="0" xfId="0" applyAlignment="1" applyBorder="1" applyFont="1">
      <alignment horizontal="right" readingOrder="0" shrinkToFit="0" wrapText="0"/>
    </xf>
    <xf borderId="7" fillId="6" fontId="14" numFmtId="0" xfId="0" applyAlignment="1" applyBorder="1" applyFont="1">
      <alignment horizontal="left" readingOrder="0" shrinkToFit="0" wrapText="0"/>
    </xf>
    <xf borderId="7" fillId="6" fontId="14" numFmtId="0" xfId="0" applyAlignment="1" applyBorder="1" applyFont="1">
      <alignment horizontal="left" shrinkToFit="0" wrapText="0"/>
    </xf>
    <xf borderId="7" fillId="7" fontId="14" numFmtId="0" xfId="0" applyAlignment="1" applyBorder="1" applyFill="1" applyFont="1">
      <alignment horizontal="left" readingOrder="0" shrinkToFit="0" wrapText="0"/>
    </xf>
    <xf borderId="7" fillId="7" fontId="16" numFmtId="0" xfId="0" applyAlignment="1" applyBorder="1" applyFont="1">
      <alignment horizontal="right" readingOrder="0" shrinkToFit="0" wrapText="0"/>
    </xf>
    <xf borderId="7" fillId="7" fontId="14" numFmtId="0" xfId="0" applyAlignment="1" applyBorder="1" applyFont="1">
      <alignment horizontal="right" readingOrder="0" shrinkToFit="0" wrapText="0"/>
    </xf>
    <xf borderId="8" fillId="6" fontId="14" numFmtId="0" xfId="0" applyAlignment="1" applyBorder="1" applyFont="1">
      <alignment horizontal="left" readingOrder="0" shrinkToFit="0" wrapText="0"/>
    </xf>
    <xf borderId="8" fillId="6" fontId="14" numFmtId="0" xfId="0" applyAlignment="1" applyBorder="1" applyFont="1">
      <alignment horizontal="right" readingOrder="0" shrinkToFit="0" wrapText="0"/>
    </xf>
    <xf borderId="8" fillId="6" fontId="14" numFmtId="0" xfId="0" applyAlignment="1" applyBorder="1" applyFont="1">
      <alignment horizontal="left" shrinkToFit="0" wrapText="0"/>
    </xf>
    <xf borderId="8" fillId="6" fontId="14" numFmtId="165" xfId="0" applyAlignment="1" applyBorder="1" applyFont="1" applyNumberFormat="1">
      <alignment horizontal="left" readingOrder="0" shrinkToFit="0" wrapText="0"/>
    </xf>
    <xf borderId="8" fillId="6" fontId="17" numFmtId="0" xfId="0" applyAlignment="1" applyBorder="1" applyFont="1">
      <alignment horizontal="left" readingOrder="0" shrinkToFit="0" wrapText="0"/>
    </xf>
    <xf borderId="8" fillId="8" fontId="14" numFmtId="0" xfId="0" applyAlignment="1" applyBorder="1" applyFill="1" applyFont="1">
      <alignment horizontal="left" readingOrder="0" shrinkToFit="0" wrapText="0"/>
    </xf>
    <xf borderId="8" fillId="8" fontId="14" numFmtId="0" xfId="0" applyAlignment="1" applyBorder="1" applyFont="1">
      <alignment horizontal="right" readingOrder="0" shrinkToFit="0" wrapText="0"/>
    </xf>
    <xf borderId="8" fillId="8" fontId="14" numFmtId="0" xfId="0" applyAlignment="1" applyBorder="1" applyFont="1">
      <alignment horizontal="left" shrinkToFit="0" wrapText="0"/>
    </xf>
    <xf borderId="8" fillId="8" fontId="14" numFmtId="165" xfId="0" applyAlignment="1" applyBorder="1" applyFont="1" applyNumberFormat="1">
      <alignment horizontal="left" readingOrder="0" shrinkToFit="0" wrapText="0"/>
    </xf>
    <xf borderId="8" fillId="8" fontId="17" numFmtId="0" xfId="0" applyAlignment="1" applyBorder="1" applyFont="1">
      <alignment horizontal="left" readingOrder="0" shrinkToFit="0" wrapText="0"/>
    </xf>
    <xf borderId="8" fillId="6" fontId="13" numFmtId="165" xfId="0" applyAlignment="1" applyBorder="1" applyFont="1" applyNumberFormat="1">
      <alignment horizontal="left" readingOrder="0" shrinkToFit="0" wrapText="0"/>
    </xf>
    <xf borderId="8" fillId="8" fontId="13" numFmtId="165" xfId="0" applyAlignment="1" applyBorder="1" applyFont="1" applyNumberFormat="1">
      <alignment horizontal="left" readingOrder="0" shrinkToFit="0" wrapText="0"/>
    </xf>
    <xf borderId="9" fillId="0" fontId="6" numFmtId="0" xfId="0" applyAlignment="1" applyBorder="1" applyFont="1">
      <alignment shrinkToFit="0" vertical="bottom" wrapText="0"/>
    </xf>
    <xf borderId="0" fillId="0" fontId="18" numFmtId="0" xfId="0" applyAlignment="1" applyFont="1">
      <alignment readingOrder="0" shrinkToFit="0" wrapText="0"/>
    </xf>
    <xf borderId="0" fillId="0" fontId="18" numFmtId="0" xfId="0" applyAlignment="1" applyFont="1">
      <alignment horizontal="right" readingOrder="0" shrinkToFit="0" wrapText="0"/>
    </xf>
    <xf borderId="0" fillId="0" fontId="18" numFmtId="165" xfId="0" applyAlignment="1" applyFont="1" applyNumberFormat="1">
      <alignment horizontal="right" readingOrder="0" shrinkToFit="0" wrapText="0"/>
    </xf>
    <xf borderId="0" fillId="0" fontId="18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7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8" t="s">
        <v>1</v>
      </c>
      <c r="B1" s="2"/>
      <c r="C1" s="2"/>
      <c r="D1" s="2"/>
      <c r="E1" s="2"/>
      <c r="F1" s="3"/>
    </row>
    <row r="2" ht="15.75" customHeight="1">
      <c r="A2" s="9"/>
      <c r="B2" s="9"/>
      <c r="C2" s="9"/>
      <c r="D2" s="9"/>
      <c r="E2" s="9"/>
      <c r="F2" s="9"/>
    </row>
    <row r="3" ht="15.75" customHeight="1">
      <c r="A3" s="5" t="s">
        <v>7</v>
      </c>
      <c r="B3" s="12"/>
      <c r="C3" s="13"/>
      <c r="D3" s="13"/>
      <c r="E3" s="13"/>
      <c r="F3" s="13"/>
    </row>
    <row r="4" ht="15.75" customHeight="1">
      <c r="A4" s="4" t="str">
        <f>IFERROR(__xludf.DUMMYFUNCTION("IMPORTRANGE('_Settings'!B3,""Modules!A4:L1000"")"),"Allocation")</f>
        <v>Allocation</v>
      </c>
      <c r="B4" s="9" t="str">
        <f>IFERROR(__xludf.DUMMYFUNCTION("""COMPUTED_VALUE"""),"Allocate")</f>
        <v>Allocate</v>
      </c>
      <c r="C4" s="9" t="str">
        <f>IFERROR(__xludf.DUMMYFUNCTION("""COMPUTED_VALUE"""),"1g8wLprruaWRC_5pQcovqkv8ZCiMt5fspCOACibdkz7g")</f>
        <v>1g8wLprruaWRC_5pQcovqkv8ZCiMt5fspCOACibdkz7g</v>
      </c>
      <c r="D4" s="9" t="str">
        <f>IFERROR(__xludf.DUMMYFUNCTION("""COMPUTED_VALUE"""),"")</f>
        <v/>
      </c>
      <c r="E4" s="9" t="str">
        <f>IFERROR(__xludf.DUMMYFUNCTION("""COMPUTED_VALUE"""),"")</f>
        <v/>
      </c>
      <c r="F4" s="9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9" t="str">
        <f>IFERROR(__xludf.DUMMYFUNCTION("""COMPUTED_VALUE"""),"CheckAllocatedGroups")</f>
        <v>CheckAllocatedGroups</v>
      </c>
      <c r="C5" s="9" t="str">
        <f>IFERROR(__xludf.DUMMYFUNCTION("""COMPUTED_VALUE"""),"1aecq-HMDoDkIInONjPC11z5TBFHyJhv4ro66e2ZOphg")</f>
        <v>1aecq-HMDoDkIInONjPC11z5TBFHyJhv4ro66e2ZOphg</v>
      </c>
      <c r="D5" s="9" t="str">
        <f>IFERROR(__xludf.DUMMYFUNCTION("""COMPUTED_VALUE"""),"")</f>
        <v/>
      </c>
      <c r="E5" s="9" t="str">
        <f>IFERROR(__xludf.DUMMYFUNCTION("""COMPUTED_VALUE"""),"")</f>
        <v/>
      </c>
      <c r="F5" s="9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9" t="str">
        <f>IFERROR(__xludf.DUMMYFUNCTION("""COMPUTED_VALUE"""),"Allocation")</f>
        <v>Allocation</v>
      </c>
      <c r="B6" s="9" t="str">
        <f>IFERROR(__xludf.DUMMYFUNCTION("""COMPUTED_VALUE"""),"Unallocate")</f>
        <v>Unallocate</v>
      </c>
      <c r="C6" s="9" t="str">
        <f>IFERROR(__xludf.DUMMYFUNCTION("""COMPUTED_VALUE"""),"1eDZq-_vllq4jwvwpk9qGnwQUhlb-sFvyFKPBriT2dA0")</f>
        <v>1eDZq-_vllq4jwvwpk9qGnwQUhlb-sFvyFKPBriT2dA0</v>
      </c>
      <c r="D6" s="9" t="str">
        <f>IFERROR(__xludf.DUMMYFUNCTION("""COMPUTED_VALUE"""),"")</f>
        <v/>
      </c>
      <c r="E6" s="9" t="str">
        <f>IFERROR(__xludf.DUMMYFUNCTION("""COMPUTED_VALUE"""),"")</f>
        <v/>
      </c>
      <c r="F6" s="9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9" t="str">
        <f>IFERROR(__xludf.DUMMYFUNCTION("""COMPUTED_VALUE"""),"Allocation")</f>
        <v>Allocation</v>
      </c>
      <c r="B7" s="9" t="str">
        <f>IFERROR(__xludf.DUMMYFUNCTION("""COMPUTED_VALUE"""),"GetDataAllocation")</f>
        <v>GetDataAllocation</v>
      </c>
      <c r="C7" s="9" t="str">
        <f>IFERROR(__xludf.DUMMYFUNCTION("""COMPUTED_VALUE"""),"1FBTO3wCB7odq-jpQMbYHgSrAL5-rFO2_kp9Kr2iXqXE")</f>
        <v>1FBTO3wCB7odq-jpQMbYHgSrAL5-rFO2_kp9Kr2iXqXE</v>
      </c>
      <c r="D7" s="9" t="str">
        <f>IFERROR(__xludf.DUMMYFUNCTION("""COMPUTED_VALUE"""),"")</f>
        <v/>
      </c>
      <c r="E7" s="9" t="str">
        <f>IFERROR(__xludf.DUMMYFUNCTION("""COMPUTED_VALUE"""),"")</f>
        <v/>
      </c>
      <c r="F7" s="9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9" t="str">
        <f>IFERROR(__xludf.DUMMYFUNCTION("""COMPUTED_VALUE"""),"Allocation")</f>
        <v>Allocation</v>
      </c>
      <c r="B8" s="9" t="str">
        <f>IFERROR(__xludf.DUMMYFUNCTION("""COMPUTED_VALUE"""),"SelectAllocatedGroup")</f>
        <v>SelectAllocatedGroup</v>
      </c>
      <c r="C8" s="9" t="str">
        <f>IFERROR(__xludf.DUMMYFUNCTION("""COMPUTED_VALUE"""),"1G0ZkXDrIDX_loGmAyLs_Shy8hExtTELtFXERbX-HdPo")</f>
        <v>1G0ZkXDrIDX_loGmAyLs_Shy8hExtTELtFXERbX-HdPo</v>
      </c>
      <c r="D8" s="9" t="str">
        <f>IFERROR(__xludf.DUMMYFUNCTION("""COMPUTED_VALUE"""),"")</f>
        <v/>
      </c>
      <c r="E8" s="9" t="str">
        <f>IFERROR(__xludf.DUMMYFUNCTION("""COMPUTED_VALUE"""),"")</f>
        <v/>
      </c>
      <c r="F8" s="9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9" t="str">
        <f>IFERROR(__xludf.DUMMYFUNCTION("""COMPUTED_VALUE"""),"Allocation")</f>
        <v>Allocation</v>
      </c>
      <c r="B9" s="9" t="str">
        <f>IFERROR(__xludf.DUMMYFUNCTION("""COMPUTED_VALUE"""),"EditTradesAllocated")</f>
        <v>EditTradesAllocated</v>
      </c>
      <c r="C9" s="9" t="str">
        <f>IFERROR(__xludf.DUMMYFUNCTION("""COMPUTED_VALUE"""),"1YgVZ1jEVgjUF1Dp8FAj_W_zLEZCyqvNMlWJIg0Tmkq4")</f>
        <v>1YgVZ1jEVgjUF1Dp8FAj_W_zLEZCyqvNMlWJIg0Tmkq4</v>
      </c>
      <c r="D9" s="9" t="str">
        <f>IFERROR(__xludf.DUMMYFUNCTION("""COMPUTED_VALUE"""),"")</f>
        <v/>
      </c>
      <c r="E9" s="9" t="str">
        <f>IFERROR(__xludf.DUMMYFUNCTION("""COMPUTED_VALUE"""),"")</f>
        <v/>
      </c>
      <c r="F9" s="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9" t="str">
        <f>IFERROR(__xludf.DUMMYFUNCTION("""COMPUTED_VALUE"""),"Allocation")</f>
        <v>Allocation</v>
      </c>
      <c r="B10" s="9" t="str">
        <f>IFERROR(__xludf.DUMMYFUNCTION("""COMPUTED_VALUE"""),"EditTradesUnallocated")</f>
        <v>EditTradesUnallocated</v>
      </c>
      <c r="C10" s="9" t="str">
        <f>IFERROR(__xludf.DUMMYFUNCTION("""COMPUTED_VALUE"""),"1MyB61T39MDAUyQqCUJLATzUT2f5UlE8nFq4ltWy_DJ4")</f>
        <v>1MyB61T39MDAUyQqCUJLATzUT2f5UlE8nFq4ltWy_DJ4</v>
      </c>
      <c r="D10" s="9" t="str">
        <f>IFERROR(__xludf.DUMMYFUNCTION("""COMPUTED_VALUE"""),"")</f>
        <v/>
      </c>
      <c r="E10" s="9" t="str">
        <f>IFERROR(__xludf.DUMMYFUNCTION("""COMPUTED_VALUE"""),"")</f>
        <v/>
      </c>
      <c r="F10" s="9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9" t="str">
        <f>IFERROR(__xludf.DUMMYFUNCTION("""COMPUTED_VALUE"""),"Allocation")</f>
        <v>Allocation</v>
      </c>
      <c r="B11" s="9" t="str">
        <f>IFERROR(__xludf.DUMMYFUNCTION("""COMPUTED_VALUE"""),"Reallocate")</f>
        <v>Reallocate</v>
      </c>
      <c r="C11" s="9" t="str">
        <f>IFERROR(__xludf.DUMMYFUNCTION("""COMPUTED_VALUE"""),"undefined")</f>
        <v>undefined</v>
      </c>
      <c r="D11" s="9" t="str">
        <f>IFERROR(__xludf.DUMMYFUNCTION("""COMPUTED_VALUE"""),"")</f>
        <v/>
      </c>
      <c r="E11" s="9" t="str">
        <f>IFERROR(__xludf.DUMMYFUNCTION("""COMPUTED_VALUE"""),"")</f>
        <v/>
      </c>
      <c r="F11" s="9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9" t="str">
        <f>IFERROR(__xludf.DUMMYFUNCTION("""COMPUTED_VALUE"""),"Blotter")</f>
        <v>Blotter</v>
      </c>
      <c r="B12" s="9" t="str">
        <f>IFERROR(__xludf.DUMMYFUNCTION("""COMPUTED_VALUE"""),"ReplaceFillsOnBlotter")</f>
        <v>ReplaceFillsOnBlotter</v>
      </c>
      <c r="C12" s="9" t="str">
        <f>IFERROR(__xludf.DUMMYFUNCTION("""COMPUTED_VALUE"""),"undefined")</f>
        <v>undefined</v>
      </c>
      <c r="D12" s="9" t="str">
        <f>IFERROR(__xludf.DUMMYFUNCTION("""COMPUTED_VALUE"""),"")</f>
        <v/>
      </c>
      <c r="E12" s="9" t="str">
        <f>IFERROR(__xludf.DUMMYFUNCTION("""COMPUTED_VALUE"""),"")</f>
        <v/>
      </c>
      <c r="F12" s="9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9" t="str">
        <f>IFERROR(__xludf.DUMMYFUNCTION("""COMPUTED_VALUE"""),"Blotter")</f>
        <v>Blotter</v>
      </c>
      <c r="B13" s="9" t="str">
        <f>IFERROR(__xludf.DUMMYFUNCTION("""COMPUTED_VALUE"""),"CheckBlotter")</f>
        <v>CheckBlotter</v>
      </c>
      <c r="C13" s="9" t="str">
        <f>IFERROR(__xludf.DUMMYFUNCTION("""COMPUTED_VALUE"""),"16qheLbvgC92hKxalWDlpWfHBMyDDVqHERUCc7bQiO2A")</f>
        <v>16qheLbvgC92hKxalWDlpWfHBMyDDVqHERUCc7bQiO2A</v>
      </c>
      <c r="D13" s="9" t="str">
        <f>IFERROR(__xludf.DUMMYFUNCTION("""COMPUTED_VALUE"""),"")</f>
        <v/>
      </c>
      <c r="E13" s="9" t="str">
        <f>IFERROR(__xludf.DUMMYFUNCTION("""COMPUTED_VALUE"""),"")</f>
        <v/>
      </c>
      <c r="F13" s="9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9" t="str">
        <f>IFERROR(__xludf.DUMMYFUNCTION("""COMPUTED_VALUE"""),"GeneralLedger")</f>
        <v>GeneralLedger</v>
      </c>
      <c r="B14" s="9" t="str">
        <f>IFERROR(__xludf.DUMMYFUNCTION("""COMPUTED_VALUE"""),"GetDataCash")</f>
        <v>GetDataCash</v>
      </c>
      <c r="C14" s="9" t="str">
        <f>IFERROR(__xludf.DUMMYFUNCTION("""COMPUTED_VALUE"""),"1zLd3ju-mV8f6PZiQUYLU-cAgAUwLwyoIAKuu0WgG2zI")</f>
        <v>1zLd3ju-mV8f6PZiQUYLU-cAgAUwLwyoIAKuu0WgG2zI</v>
      </c>
      <c r="D14" s="9" t="str">
        <f>IFERROR(__xludf.DUMMYFUNCTION("""COMPUTED_VALUE"""),"")</f>
        <v/>
      </c>
      <c r="E14" s="9" t="str">
        <f>IFERROR(__xludf.DUMMYFUNCTION("""COMPUTED_VALUE"""),"")</f>
        <v/>
      </c>
      <c r="F14" s="9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9" t="str">
        <f>IFERROR(__xludf.DUMMYFUNCTION("""COMPUTED_VALUE"""),"GeneralLedger")</f>
        <v>GeneralLedger</v>
      </c>
      <c r="B15" s="9" t="str">
        <f>IFERROR(__xludf.DUMMYFUNCTION("""COMPUTED_VALUE"""),"EnterCashDividends")</f>
        <v>EnterCashDividends</v>
      </c>
      <c r="C15" s="9" t="str">
        <f>IFERROR(__xludf.DUMMYFUNCTION("""COMPUTED_VALUE"""),"1sjDsI5FIL_l_G6osMJQ7e8auBgYd3R3JDaKWKV_8Og0")</f>
        <v>1sjDsI5FIL_l_G6osMJQ7e8auBgYd3R3JDaKWKV_8Og0</v>
      </c>
      <c r="D15" s="9" t="str">
        <f>IFERROR(__xludf.DUMMYFUNCTION("""COMPUTED_VALUE"""),"")</f>
        <v/>
      </c>
      <c r="E15" s="9" t="str">
        <f>IFERROR(__xludf.DUMMYFUNCTION("""COMPUTED_VALUE"""),"")</f>
        <v/>
      </c>
      <c r="F15" s="9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9" t="str">
        <f>IFERROR(__xludf.DUMMYFUNCTION("""COMPUTED_VALUE"""),"GeneralLedger")</f>
        <v>GeneralLedger</v>
      </c>
      <c r="B16" s="9" t="str">
        <f>IFERROR(__xludf.DUMMYFUNCTION("""COMPUTED_VALUE"""),"EnterNonTradingTransaction")</f>
        <v>EnterNonTradingTransaction</v>
      </c>
      <c r="C16" s="9" t="str">
        <f>IFERROR(__xludf.DUMMYFUNCTION("""COMPUTED_VALUE"""),"1xn1P_Z-3N4d2BC1SUPly2HiVZazly5ZQcS18BfaTyho")</f>
        <v>1xn1P_Z-3N4d2BC1SUPly2HiVZazly5ZQcS18BfaTyho</v>
      </c>
      <c r="D16" s="9" t="str">
        <f>IFERROR(__xludf.DUMMYFUNCTION("""COMPUTED_VALUE"""),"")</f>
        <v/>
      </c>
      <c r="E16" s="9" t="str">
        <f>IFERROR(__xludf.DUMMYFUNCTION("""COMPUTED_VALUE"""),"")</f>
        <v/>
      </c>
      <c r="F16" s="9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9" t="str">
        <f>IFERROR(__xludf.DUMMYFUNCTION("""COMPUTED_VALUE"""),"GeneralLedger")</f>
        <v>GeneralLedger</v>
      </c>
      <c r="B17" s="9" t="str">
        <f>IFERROR(__xludf.DUMMYFUNCTION("""COMPUTED_VALUE"""),"VerifyCash")</f>
        <v>VerifyCash</v>
      </c>
      <c r="C17" s="9" t="str">
        <f>IFERROR(__xludf.DUMMYFUNCTION("""COMPUTED_VALUE"""),"1vlvYPsiFAWjsnFrbkGn_fAvkwF00V3e7htalalU6QN4")</f>
        <v>1vlvYPsiFAWjsnFrbkGn_fAvkwF00V3e7htalalU6QN4</v>
      </c>
      <c r="D17" s="9" t="str">
        <f>IFERROR(__xludf.DUMMYFUNCTION("""COMPUTED_VALUE"""),"")</f>
        <v/>
      </c>
      <c r="E17" s="9" t="str">
        <f>IFERROR(__xludf.DUMMYFUNCTION("""COMPUTED_VALUE"""),"")</f>
        <v/>
      </c>
      <c r="F17" s="9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9" t="str">
        <f>IFERROR(__xludf.DUMMYFUNCTION("""COMPUTED_VALUE"""),"GeneralLedger")</f>
        <v>GeneralLedger</v>
      </c>
      <c r="B18" s="9" t="str">
        <f>IFERROR(__xludf.DUMMYFUNCTION("""COMPUTED_VALUE"""),"VerifyActivity")</f>
        <v>VerifyActivity</v>
      </c>
      <c r="C18" s="9" t="str">
        <f>IFERROR(__xludf.DUMMYFUNCTION("""COMPUTED_VALUE"""),"1o2rCg2FuoAOT5Pl8i4iFP_TwpPm0UB1dd49GbpkytfM")</f>
        <v>1o2rCg2FuoAOT5Pl8i4iFP_TwpPm0UB1dd49GbpkytfM</v>
      </c>
      <c r="D18" s="9" t="str">
        <f>IFERROR(__xludf.DUMMYFUNCTION("""COMPUTED_VALUE"""),"")</f>
        <v/>
      </c>
      <c r="E18" s="9" t="str">
        <f>IFERROR(__xludf.DUMMYFUNCTION("""COMPUTED_VALUE"""),"")</f>
        <v/>
      </c>
      <c r="F18" s="9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9" t="str">
        <f>IFERROR(__xludf.DUMMYFUNCTION("""COMPUTED_VALUE"""),"GeneralLedger")</f>
        <v>GeneralLedger</v>
      </c>
      <c r="B19" s="9" t="str">
        <f>IFERROR(__xludf.DUMMYFUNCTION("""COMPUTED_VALUE"""),"VerifyTradingTransaction")</f>
        <v>VerifyTradingTransaction</v>
      </c>
      <c r="C19" s="9" t="str">
        <f>IFERROR(__xludf.DUMMYFUNCTION("""COMPUTED_VALUE"""),"1_v2niCJ9VGNvgEBpvz030BFqEISSUhYRHyWcAJAn_Eg")</f>
        <v>1_v2niCJ9VGNvgEBpvz030BFqEISSUhYRHyWcAJAn_Eg</v>
      </c>
      <c r="D19" s="9" t="str">
        <f>IFERROR(__xludf.DUMMYFUNCTION("""COMPUTED_VALUE"""),"")</f>
        <v/>
      </c>
      <c r="E19" s="9" t="str">
        <f>IFERROR(__xludf.DUMMYFUNCTION("""COMPUTED_VALUE"""),"")</f>
        <v/>
      </c>
      <c r="F19" s="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9" t="str">
        <f>IFERROR(__xludf.DUMMYFUNCTION("""COMPUTED_VALUE"""),"GeneralLedger")</f>
        <v>GeneralLedger</v>
      </c>
      <c r="B20" s="9" t="str">
        <f>IFERROR(__xludf.DUMMYFUNCTION("""COMPUTED_VALUE"""),"VerifyRevaluationData")</f>
        <v>VerifyRevaluationData</v>
      </c>
      <c r="C20" s="9" t="str">
        <f>IFERROR(__xludf.DUMMYFUNCTION("""COMPUTED_VALUE"""),"1hsRs1-LY0akTrMe91ArnbLtk6GUy_bKxVwMYCaiMs-8")</f>
        <v>1hsRs1-LY0akTrMe91ArnbLtk6GUy_bKxVwMYCaiMs-8</v>
      </c>
      <c r="D20" s="9" t="str">
        <f>IFERROR(__xludf.DUMMYFUNCTION("""COMPUTED_VALUE"""),"")</f>
        <v/>
      </c>
      <c r="E20" s="9" t="str">
        <f>IFERROR(__xludf.DUMMYFUNCTION("""COMPUTED_VALUE"""),"")</f>
        <v/>
      </c>
      <c r="F20" s="9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9" t="str">
        <f>IFERROR(__xludf.DUMMYFUNCTION("""COMPUTED_VALUE"""),"CorporateAction")</f>
        <v>CorporateAction</v>
      </c>
      <c r="B21" s="9" t="str">
        <f>IFERROR(__xludf.DUMMYFUNCTION("""COMPUTED_VALUE"""),"CorporateAction")</f>
        <v>CorporateAction</v>
      </c>
      <c r="C21" s="9" t="str">
        <f>IFERROR(__xludf.DUMMYFUNCTION("""COMPUTED_VALUE"""),"14rwUHTx4auE_hf60WN-tNOx3atNg7QGvErWNwVQIRqE")</f>
        <v>14rwUHTx4auE_hf60WN-tNOx3atNg7QGvErWNwVQIRqE</v>
      </c>
      <c r="D21" s="9" t="str">
        <f>IFERROR(__xludf.DUMMYFUNCTION("""COMPUTED_VALUE"""),"")</f>
        <v/>
      </c>
      <c r="E21" s="9" t="str">
        <f>IFERROR(__xludf.DUMMYFUNCTION("""COMPUTED_VALUE"""),"")</f>
        <v/>
      </c>
      <c r="F21" s="9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9" t="str">
        <f>IFERROR(__xludf.DUMMYFUNCTION("""COMPUTED_VALUE"""),"CreateTransaction")</f>
        <v>CreateTransaction</v>
      </c>
      <c r="B22" s="9" t="str">
        <f>IFERROR(__xludf.DUMMYFUNCTION("""COMPUTED_VALUE"""),"CreateTransaction")</f>
        <v>CreateTransaction</v>
      </c>
      <c r="C22" s="9" t="str">
        <f>IFERROR(__xludf.DUMMYFUNCTION("""COMPUTED_VALUE"""),"1amshi8Ns36lsDpccBK0y_9bL_pQ2rHdGNYypcgzceUg")</f>
        <v>1amshi8Ns36lsDpccBK0y_9bL_pQ2rHdGNYypcgzceUg</v>
      </c>
      <c r="D22" s="9" t="str">
        <f>IFERROR(__xludf.DUMMYFUNCTION("""COMPUTED_VALUE"""),"")</f>
        <v/>
      </c>
      <c r="E22" s="9" t="str">
        <f>IFERROR(__xludf.DUMMYFUNCTION("""COMPUTED_VALUE"""),"")</f>
        <v/>
      </c>
      <c r="F22" s="9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9" t="str">
        <f>IFERROR(__xludf.DUMMYFUNCTION("""COMPUTED_VALUE"""),"DailyValuation")</f>
        <v>DailyValuation</v>
      </c>
      <c r="B23" s="9" t="str">
        <f>IFERROR(__xludf.DUMMYFUNCTION("""COMPUTED_VALUE"""),"UpdateBeta")</f>
        <v>UpdateBeta</v>
      </c>
      <c r="C23" s="9" t="str">
        <f>IFERROR(__xludf.DUMMYFUNCTION("""COMPUTED_VALUE"""),"1YKttwHsdIskNDoo0Sl7HF2DWikROW-KA05qfT3GLIyI")</f>
        <v>1YKttwHsdIskNDoo0Sl7HF2DWikROW-KA05qfT3GLIyI</v>
      </c>
      <c r="D23" s="9" t="str">
        <f>IFERROR(__xludf.DUMMYFUNCTION("""COMPUTED_VALUE"""),"")</f>
        <v/>
      </c>
      <c r="E23" s="9" t="str">
        <f>IFERROR(__xludf.DUMMYFUNCTION("""COMPUTED_VALUE"""),"")</f>
        <v/>
      </c>
      <c r="F23" s="9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9" t="str">
        <f>IFERROR(__xludf.DUMMYFUNCTION("""COMPUTED_VALUE"""),"DailyValuation")</f>
        <v>DailyValuation</v>
      </c>
      <c r="B24" s="9" t="str">
        <f>IFERROR(__xludf.DUMMYFUNCTION("""COMPUTED_VALUE"""),"UpdateDailyCash")</f>
        <v>UpdateDailyCash</v>
      </c>
      <c r="C24" s="9" t="str">
        <f>IFERROR(__xludf.DUMMYFUNCTION("""COMPUTED_VALUE"""),"1YJ2rTp-OqQTGjubvs_cBC6fl0l94pyHI2eaLJzbddS4")</f>
        <v>1YJ2rTp-OqQTGjubvs_cBC6fl0l94pyHI2eaLJzbddS4</v>
      </c>
      <c r="D24" s="9" t="str">
        <f>IFERROR(__xludf.DUMMYFUNCTION("""COMPUTED_VALUE"""),"")</f>
        <v/>
      </c>
      <c r="E24" s="9" t="str">
        <f>IFERROR(__xludf.DUMMYFUNCTION("""COMPUTED_VALUE"""),"")</f>
        <v/>
      </c>
      <c r="F24" s="9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9" t="str">
        <f>IFERROR(__xludf.DUMMYFUNCTION("""COMPUTED_VALUE"""),"DailyValuation")</f>
        <v>DailyValuation</v>
      </c>
      <c r="B25" s="9" t="str">
        <f>IFERROR(__xludf.DUMMYFUNCTION("""COMPUTED_VALUE"""),"UpdateForexConversion")</f>
        <v>UpdateForexConversion</v>
      </c>
      <c r="C25" s="9" t="str">
        <f>IFERROR(__xludf.DUMMYFUNCTION("""COMPUTED_VALUE"""),"1mLyEfNTVFd65cnE6GfgCRD6TdpKg1BgqNIDjHCFzyO4")</f>
        <v>1mLyEfNTVFd65cnE6GfgCRD6TdpKg1BgqNIDjHCFzyO4</v>
      </c>
      <c r="D25" s="9" t="str">
        <f>IFERROR(__xludf.DUMMYFUNCTION("""COMPUTED_VALUE"""),"")</f>
        <v/>
      </c>
      <c r="E25" s="9" t="str">
        <f>IFERROR(__xludf.DUMMYFUNCTION("""COMPUTED_VALUE"""),"")</f>
        <v/>
      </c>
      <c r="F25" s="9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9" t="str">
        <f>IFERROR(__xludf.DUMMYFUNCTION("""COMPUTED_VALUE"""),"DailyValuation")</f>
        <v>DailyValuation</v>
      </c>
      <c r="B26" s="9" t="str">
        <f>IFERROR(__xludf.DUMMYFUNCTION("""COMPUTED_VALUE"""),"UpdateMarkPrice")</f>
        <v>UpdateMarkPrice</v>
      </c>
      <c r="C26" s="9" t="str">
        <f>IFERROR(__xludf.DUMMYFUNCTION("""COMPUTED_VALUE"""),"1M8d9TyOhMnA65NSIYvS6dR68SH5RL6oKahd6uz7yp6c")</f>
        <v>1M8d9TyOhMnA65NSIYvS6dR68SH5RL6oKahd6uz7yp6c</v>
      </c>
      <c r="D26" s="9" t="str">
        <f>IFERROR(__xludf.DUMMYFUNCTION("""COMPUTED_VALUE"""),"")</f>
        <v/>
      </c>
      <c r="E26" s="9" t="str">
        <f>IFERROR(__xludf.DUMMYFUNCTION("""COMPUTED_VALUE"""),"")</f>
        <v/>
      </c>
      <c r="F26" s="9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9" t="str">
        <f>IFERROR(__xludf.DUMMYFUNCTION("""COMPUTED_VALUE"""),"Import")</f>
        <v>Import</v>
      </c>
      <c r="B27" s="9" t="str">
        <f>IFERROR(__xludf.DUMMYFUNCTION("""COMPUTED_VALUE"""),"Import")</f>
        <v>Import</v>
      </c>
      <c r="C27" s="9" t="str">
        <f>IFERROR(__xludf.DUMMYFUNCTION("""COMPUTED_VALUE"""),"1Q5uOVYo1NMRks6hQRJuV8XWMPb6VFEAbSzpgP1dot1I")</f>
        <v>1Q5uOVYo1NMRks6hQRJuV8XWMPb6VFEAbSzpgP1dot1I</v>
      </c>
      <c r="D27" s="9" t="str">
        <f>IFERROR(__xludf.DUMMYFUNCTION("""COMPUTED_VALUE"""),"")</f>
        <v/>
      </c>
      <c r="E27" s="9" t="str">
        <f>IFERROR(__xludf.DUMMYFUNCTION("""COMPUTED_VALUE"""),"")</f>
        <v/>
      </c>
      <c r="F27" s="9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9" t="str">
        <f>IFERROR(__xludf.DUMMYFUNCTION("""COMPUTED_VALUE"""),"PortfolioManagement")</f>
        <v>PortfolioManagement</v>
      </c>
      <c r="B28" s="9" t="str">
        <f>IFERROR(__xludf.DUMMYFUNCTION("""COMPUTED_VALUE"""),"CheckDashboardPM")</f>
        <v>CheckDashboardPM</v>
      </c>
      <c r="C28" s="9" t="str">
        <f>IFERROR(__xludf.DUMMYFUNCTION("""COMPUTED_VALUE"""),"1iqfUyYqyebXIeNBGljH7-T8whBcywTlkBBU3dBZV06s")</f>
        <v>1iqfUyYqyebXIeNBGljH7-T8whBcywTlkBBU3dBZV06s</v>
      </c>
      <c r="D28" s="9" t="str">
        <f>IFERROR(__xludf.DUMMYFUNCTION("""COMPUTED_VALUE"""),"")</f>
        <v/>
      </c>
      <c r="E28" s="9" t="str">
        <f>IFERROR(__xludf.DUMMYFUNCTION("""COMPUTED_VALUE"""),"")</f>
        <v/>
      </c>
      <c r="F28" s="9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9" t="str">
        <f>IFERROR(__xludf.DUMMYFUNCTION("""COMPUTED_VALUE"""),"PortfolioManagement")</f>
        <v>PortfolioManagement</v>
      </c>
      <c r="B29" s="9" t="str">
        <f>IFERROR(__xludf.DUMMYFUNCTION("""COMPUTED_VALUE"""),"CheckPortfolioManagement")</f>
        <v>CheckPortfolioManagement</v>
      </c>
      <c r="C29" s="9" t="str">
        <f>IFERROR(__xludf.DUMMYFUNCTION("""COMPUTED_VALUE"""),"1u0XMlZJy_Slp7uXMwirinW7StOOdTcWD-D8V07sO0VA")</f>
        <v>1u0XMlZJy_Slp7uXMwirinW7StOOdTcWD-D8V07sO0VA</v>
      </c>
      <c r="D29" s="9" t="str">
        <f>IFERROR(__xludf.DUMMYFUNCTION("""COMPUTED_VALUE"""),"")</f>
        <v/>
      </c>
      <c r="E29" s="9" t="str">
        <f>IFERROR(__xludf.DUMMYFUNCTION("""COMPUTED_VALUE"""),"")</f>
        <v/>
      </c>
      <c r="F29" s="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9" t="str">
        <f>IFERROR(__xludf.DUMMYFUNCTION("""COMPUTED_VALUE"""),"PricingInput")</f>
        <v>PricingInput</v>
      </c>
      <c r="B30" s="9" t="str">
        <f>IFERROR(__xludf.DUMMYFUNCTION("""COMPUTED_VALUE"""),"PricingInput")</f>
        <v>PricingInput</v>
      </c>
      <c r="C30" s="9" t="str">
        <f>IFERROR(__xludf.DUMMYFUNCTION("""COMPUTED_VALUE"""),"1mh3Z5PifhJ3yzX8TPeoc3H3nteNiA0V2tWFse0rVChE")</f>
        <v>1mh3Z5PifhJ3yzX8TPeoc3H3nteNiA0V2tWFse0rVChE</v>
      </c>
      <c r="D30" s="9" t="str">
        <f>IFERROR(__xludf.DUMMYFUNCTION("""COMPUTED_VALUE"""),"")</f>
        <v/>
      </c>
      <c r="E30" s="9" t="str">
        <f>IFERROR(__xludf.DUMMYFUNCTION("""COMPUTED_VALUE"""),"")</f>
        <v/>
      </c>
      <c r="F30" s="9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9" t="str">
        <f>IFERROR(__xludf.DUMMYFUNCTION("""COMPUTED_VALUE"""),"PricingInput")</f>
        <v>PricingInput</v>
      </c>
      <c r="B31" s="9" t="str">
        <f>IFERROR(__xludf.DUMMYFUNCTION("""COMPUTED_VALUE"""),"UpdateSharesOutstanding")</f>
        <v>UpdateSharesOutstanding</v>
      </c>
      <c r="C31" s="9" t="str">
        <f>IFERROR(__xludf.DUMMYFUNCTION("""COMPUTED_VALUE"""),"1vmZ6v1OyZ8SSi8bqqjK3ap3KtM_yPA_SEcIQgYiRInY")</f>
        <v>1vmZ6v1OyZ8SSi8bqqjK3ap3KtM_yPA_SEcIQgYiRInY</v>
      </c>
      <c r="D31" s="9" t="str">
        <f>IFERROR(__xludf.DUMMYFUNCTION("""COMPUTED_VALUE"""),"")</f>
        <v/>
      </c>
      <c r="E31" s="9" t="str">
        <f>IFERROR(__xludf.DUMMYFUNCTION("""COMPUTED_VALUE"""),"")</f>
        <v/>
      </c>
      <c r="F31" s="9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9" t="str">
        <f>IFERROR(__xludf.DUMMYFUNCTION("""COMPUTED_VALUE"""),"SymbolLookup")</f>
        <v>SymbolLookup</v>
      </c>
      <c r="B32" s="9" t="str">
        <f>IFERROR(__xludf.DUMMYFUNCTION("""COMPUTED_VALUE"""),"VerifySymbolLookUp")</f>
        <v>VerifySymbolLookUp</v>
      </c>
      <c r="C32" s="9" t="str">
        <f>IFERROR(__xludf.DUMMYFUNCTION("""COMPUTED_VALUE"""),"1OiI1Pi_JAFOFi8ByMaD3_qqEXSv6yQMo_u6aGTozbl8")</f>
        <v>1OiI1Pi_JAFOFi8ByMaD3_qqEXSv6yQMo_u6aGTozbl8</v>
      </c>
      <c r="D32" s="9" t="str">
        <f>IFERROR(__xludf.DUMMYFUNCTION("""COMPUTED_VALUE"""),"")</f>
        <v/>
      </c>
      <c r="E32" s="9" t="str">
        <f>IFERROR(__xludf.DUMMYFUNCTION("""COMPUTED_VALUE"""),"")</f>
        <v/>
      </c>
      <c r="F32" s="9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9" t="str">
        <f>IFERROR(__xludf.DUMMYFUNCTION("""COMPUTED_VALUE"""),"SymbolLookup")</f>
        <v>SymbolLookup</v>
      </c>
      <c r="B33" s="9" t="str">
        <f>IFERROR(__xludf.DUMMYFUNCTION("""COMPUTED_VALUE"""),"SymbolLookupFromTT")</f>
        <v>SymbolLookupFromTT</v>
      </c>
      <c r="C33" s="9" t="str">
        <f>IFERROR(__xludf.DUMMYFUNCTION("""COMPUTED_VALUE"""),"1ubfvE9sHq5KpJ9NazeH96CrVMJqAuol5Ya9GPjxWrgI")</f>
        <v>1ubfvE9sHq5KpJ9NazeH96CrVMJqAuol5Ya9GPjxWrgI</v>
      </c>
      <c r="D33" s="9" t="str">
        <f>IFERROR(__xludf.DUMMYFUNCTION("""COMPUTED_VALUE"""),"")</f>
        <v/>
      </c>
      <c r="E33" s="9" t="str">
        <f>IFERROR(__xludf.DUMMYFUNCTION("""COMPUTED_VALUE"""),"")</f>
        <v/>
      </c>
      <c r="F33" s="9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2</v>
      </c>
      <c r="B3" s="6" t="s">
        <v>3</v>
      </c>
      <c r="C3" s="4"/>
    </row>
    <row r="4" ht="15.75" customHeight="1">
      <c r="A4" s="10" t="s">
        <v>5</v>
      </c>
      <c r="B4" s="6" t="s">
        <v>8</v>
      </c>
      <c r="C4" s="4"/>
    </row>
    <row r="5" ht="15.75" customHeight="1">
      <c r="A5" s="11"/>
      <c r="B5" s="4"/>
      <c r="C5" s="4"/>
    </row>
    <row r="6" ht="15.75" customHeight="1">
      <c r="A6" s="11"/>
      <c r="B6" s="4"/>
      <c r="C6" s="4"/>
    </row>
    <row r="7" ht="15.75" customHeight="1">
      <c r="A7" s="11"/>
      <c r="B7" s="4"/>
      <c r="C7" s="4"/>
    </row>
    <row r="8" ht="15.75" customHeight="1">
      <c r="A8" s="11"/>
      <c r="B8" s="4"/>
      <c r="C8" s="4"/>
    </row>
    <row r="9" ht="15.75" customHeight="1">
      <c r="A9" s="11"/>
      <c r="B9" s="4"/>
      <c r="C9" s="4"/>
    </row>
    <row r="10" ht="15.75" customHeight="1">
      <c r="A10" s="11"/>
      <c r="B10" s="4"/>
      <c r="C10" s="4"/>
    </row>
    <row r="11" ht="15.75" customHeight="1">
      <c r="A11" s="11"/>
      <c r="B11" s="4"/>
      <c r="C11" s="4"/>
    </row>
    <row r="12" ht="15.75" customHeight="1">
      <c r="A12" s="11"/>
      <c r="B12" s="4"/>
      <c r="C12" s="4"/>
    </row>
    <row r="13" ht="15.75" customHeight="1">
      <c r="A13" s="11"/>
      <c r="B13" s="4"/>
      <c r="C13" s="4"/>
    </row>
    <row r="14" ht="15.75" customHeight="1">
      <c r="A14" s="11"/>
      <c r="B14" s="4"/>
      <c r="C14" s="4"/>
    </row>
    <row r="15" ht="15.75" customHeight="1">
      <c r="A15" s="11"/>
      <c r="B15" s="4"/>
      <c r="C15" s="4"/>
    </row>
    <row r="16" ht="15.75" customHeight="1">
      <c r="A16" s="11"/>
      <c r="B16" s="4"/>
      <c r="C16" s="4"/>
    </row>
    <row r="17" ht="15.75" customHeight="1">
      <c r="A17" s="11"/>
      <c r="B17" s="4"/>
      <c r="C17" s="4"/>
    </row>
    <row r="18" ht="15.75" customHeight="1">
      <c r="A18" s="11"/>
      <c r="B18" s="4"/>
      <c r="C18" s="4"/>
    </row>
    <row r="19" ht="15.75" customHeight="1">
      <c r="A19" s="11"/>
      <c r="B19" s="4"/>
      <c r="C19" s="4"/>
    </row>
    <row r="20" ht="15.75" customHeight="1">
      <c r="A20" s="11"/>
      <c r="B20" s="4"/>
      <c r="C20" s="4"/>
    </row>
    <row r="21" ht="15.75" customHeight="1">
      <c r="A21" s="11"/>
      <c r="B21" s="4"/>
      <c r="C21" s="4"/>
    </row>
    <row r="22" ht="15.75" customHeight="1">
      <c r="A22" s="11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7" t="s">
        <v>4</v>
      </c>
      <c r="B1" s="2"/>
      <c r="C1" s="2"/>
      <c r="D1" s="2"/>
      <c r="E1" s="2"/>
      <c r="F1" s="3"/>
    </row>
    <row r="2">
      <c r="A2" s="9"/>
      <c r="B2" s="9"/>
      <c r="C2" s="9"/>
      <c r="D2" s="9"/>
      <c r="E2" s="9"/>
      <c r="F2" s="9"/>
    </row>
    <row r="3">
      <c r="A3" s="10" t="s">
        <v>6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13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16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17</v>
      </c>
      <c r="D6" s="30"/>
      <c r="E6" s="31" t="s">
        <v>18</v>
      </c>
      <c r="F6" s="31" t="s">
        <v>19</v>
      </c>
      <c r="G6" s="31"/>
      <c r="H6" s="34">
        <v>500000.0</v>
      </c>
      <c r="I6" s="31"/>
      <c r="J6" s="34">
        <v>1.0</v>
      </c>
      <c r="K6" s="31" t="s">
        <v>20</v>
      </c>
      <c r="L6" s="31"/>
      <c r="M6" s="31"/>
      <c r="N6" s="31"/>
      <c r="O6" s="31"/>
      <c r="P6" s="31"/>
      <c r="Q6" s="31"/>
      <c r="R6" s="34">
        <v>500000.0</v>
      </c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>
        <v>43871.0</v>
      </c>
      <c r="C7" s="33" t="s">
        <v>17</v>
      </c>
      <c r="D7" s="33"/>
      <c r="E7" s="33" t="s">
        <v>18</v>
      </c>
      <c r="F7" s="37" t="s">
        <v>21</v>
      </c>
      <c r="G7" s="33"/>
      <c r="H7" s="33"/>
      <c r="I7" s="38">
        <v>500000.0</v>
      </c>
      <c r="J7" s="38">
        <v>1.0</v>
      </c>
      <c r="K7" s="33" t="s">
        <v>20</v>
      </c>
      <c r="L7" s="33"/>
      <c r="M7" s="33"/>
      <c r="N7" s="33"/>
      <c r="O7" s="33"/>
      <c r="P7" s="33"/>
      <c r="Q7" s="33"/>
      <c r="R7" s="33"/>
      <c r="S7" s="38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23</v>
      </c>
      <c r="D3" s="5" t="s">
        <v>9</v>
      </c>
      <c r="E3" s="21" t="s">
        <v>25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6" t="s">
        <v>27</v>
      </c>
      <c r="D6" s="39">
        <v>105.0</v>
      </c>
      <c r="E6" s="34">
        <v>105.0</v>
      </c>
      <c r="F6" s="31"/>
      <c r="G6" s="31" t="s">
        <v>28</v>
      </c>
      <c r="H6" s="31"/>
      <c r="I6" s="31"/>
      <c r="J6" s="34">
        <v>300.0</v>
      </c>
      <c r="K6" s="31"/>
      <c r="L6" s="31"/>
      <c r="M6" s="31"/>
      <c r="N6" s="32">
        <v>43871.0</v>
      </c>
      <c r="O6" s="31"/>
      <c r="P6" s="31"/>
      <c r="Q6" s="31"/>
      <c r="R6" s="31" t="s">
        <v>29</v>
      </c>
      <c r="S6" s="40">
        <v>2.5</v>
      </c>
      <c r="T6" s="33" t="s">
        <v>29</v>
      </c>
      <c r="U6" s="41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17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22</v>
      </c>
      <c r="D3" s="5" t="s">
        <v>9</v>
      </c>
      <c r="E3" s="21" t="s">
        <v>24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22</v>
      </c>
      <c r="D3" s="5" t="s">
        <v>9</v>
      </c>
      <c r="E3" s="21" t="s">
        <v>30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34">
        <v>305.0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31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32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2">
        <v>43871.0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33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23</v>
      </c>
      <c r="D3" s="5" t="s">
        <v>9</v>
      </c>
      <c r="E3" s="21" t="s">
        <v>25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44" t="s">
        <v>36</v>
      </c>
      <c r="D6" s="45">
        <v>105.0</v>
      </c>
      <c r="E6" s="45">
        <v>105.0</v>
      </c>
      <c r="F6" s="31"/>
      <c r="G6" s="31" t="s">
        <v>28</v>
      </c>
      <c r="H6" s="31"/>
      <c r="I6" s="31"/>
      <c r="J6" s="34">
        <v>300.0</v>
      </c>
      <c r="K6" s="31"/>
      <c r="L6" s="31"/>
      <c r="M6" s="31"/>
      <c r="N6" s="32">
        <v>43872.0</v>
      </c>
      <c r="O6" s="31"/>
      <c r="P6" s="31"/>
      <c r="Q6" s="31"/>
      <c r="R6" s="31"/>
      <c r="S6" s="40"/>
      <c r="T6" s="33"/>
      <c r="U6" s="41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17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6" t="s">
        <v>37</v>
      </c>
      <c r="C7" s="46" t="s">
        <v>38</v>
      </c>
      <c r="D7" s="38">
        <v>100.0</v>
      </c>
      <c r="E7" s="38">
        <v>100.0</v>
      </c>
      <c r="F7" s="33"/>
      <c r="G7" s="46" t="s">
        <v>28</v>
      </c>
      <c r="H7" s="33"/>
      <c r="I7" s="33"/>
      <c r="J7" s="38">
        <v>1315.0</v>
      </c>
      <c r="K7" s="33"/>
      <c r="L7" s="33"/>
      <c r="M7" s="33"/>
      <c r="N7" s="36">
        <v>43872.0</v>
      </c>
      <c r="O7" s="33"/>
      <c r="P7" s="33"/>
      <c r="Q7" s="33"/>
      <c r="R7" s="33" t="s">
        <v>29</v>
      </c>
      <c r="S7" s="41">
        <v>5.0</v>
      </c>
      <c r="T7" s="33" t="s">
        <v>29</v>
      </c>
      <c r="U7" s="41">
        <v>5.0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 t="s">
        <v>17</v>
      </c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6" t="s">
        <v>26</v>
      </c>
      <c r="C8" s="47" t="s">
        <v>38</v>
      </c>
      <c r="D8" s="48">
        <v>80.0</v>
      </c>
      <c r="E8" s="48">
        <v>80.0</v>
      </c>
      <c r="F8" s="33"/>
      <c r="G8" s="46" t="s">
        <v>28</v>
      </c>
      <c r="H8" s="33"/>
      <c r="I8" s="33"/>
      <c r="J8" s="38">
        <v>300.0</v>
      </c>
      <c r="K8" s="33"/>
      <c r="L8" s="33"/>
      <c r="M8" s="33"/>
      <c r="N8" s="36">
        <v>43872.0</v>
      </c>
      <c r="O8" s="33"/>
      <c r="P8" s="33"/>
      <c r="Q8" s="33"/>
      <c r="R8" s="31" t="s">
        <v>29</v>
      </c>
      <c r="S8" s="40">
        <v>2.5</v>
      </c>
      <c r="T8" s="33" t="s">
        <v>29</v>
      </c>
      <c r="U8" s="41">
        <v>7.5</v>
      </c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 t="s">
        <v>17</v>
      </c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34</v>
      </c>
      <c r="D3" s="5" t="s">
        <v>9</v>
      </c>
      <c r="E3" s="21" t="s">
        <v>35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39</v>
      </c>
      <c r="C6" s="32">
        <v>43871.0</v>
      </c>
      <c r="D6" s="32">
        <v>43872.0</v>
      </c>
      <c r="E6" s="31" t="s">
        <v>17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34</v>
      </c>
      <c r="D3" s="5" t="s">
        <v>9</v>
      </c>
      <c r="E3" s="21" t="s">
        <v>40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9" t="b">
        <v>0</v>
      </c>
      <c r="C6" s="43" t="b">
        <v>0</v>
      </c>
      <c r="D6" s="30" t="s">
        <v>41</v>
      </c>
      <c r="E6" s="31" t="s">
        <v>42</v>
      </c>
      <c r="F6" s="31" t="s">
        <v>43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22</v>
      </c>
      <c r="D3" s="5" t="s">
        <v>9</v>
      </c>
      <c r="E3" s="21" t="s">
        <v>24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22</v>
      </c>
      <c r="D3" s="5" t="s">
        <v>9</v>
      </c>
      <c r="E3" s="21" t="s">
        <v>30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34">
        <v>310.0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6" t="s">
        <v>37</v>
      </c>
      <c r="C7" s="38">
        <v>1320.0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31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32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2">
        <v>43872.0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33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45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"/>
      <c r="B6" s="52">
        <v>43871.0</v>
      </c>
      <c r="C6" s="54" t="s">
        <v>17</v>
      </c>
      <c r="D6" s="54" t="s">
        <v>26</v>
      </c>
      <c r="E6" s="54" t="s">
        <v>18</v>
      </c>
      <c r="F6" s="54" t="s">
        <v>48</v>
      </c>
      <c r="G6" s="51">
        <v>549.02</v>
      </c>
      <c r="H6" s="53">
        <v>0.0</v>
      </c>
      <c r="I6" s="4"/>
      <c r="J6" s="4"/>
      <c r="K6" s="4"/>
      <c r="L6" s="51">
        <v>1.0</v>
      </c>
      <c r="M6" s="54" t="s">
        <v>20</v>
      </c>
      <c r="N6" s="54" t="s">
        <v>46</v>
      </c>
      <c r="O6" s="54" t="s">
        <v>49</v>
      </c>
      <c r="P6" s="54" t="s">
        <v>18</v>
      </c>
      <c r="Q6" s="54" t="s">
        <v>50</v>
      </c>
      <c r="R6" s="51">
        <v>549.02</v>
      </c>
      <c r="S6" s="51">
        <v>0.0</v>
      </c>
    </row>
    <row r="7" ht="15.75" customHeight="1">
      <c r="A7" s="4"/>
      <c r="B7" s="52">
        <v>43871.0</v>
      </c>
      <c r="C7" s="54" t="s">
        <v>17</v>
      </c>
      <c r="D7" s="54" t="s">
        <v>26</v>
      </c>
      <c r="E7" s="54" t="s">
        <v>18</v>
      </c>
      <c r="F7" s="56" t="s">
        <v>52</v>
      </c>
      <c r="G7" s="57">
        <v>0.0</v>
      </c>
      <c r="H7" s="58">
        <v>549.02</v>
      </c>
      <c r="I7" s="4"/>
      <c r="J7" s="4"/>
      <c r="K7" s="4"/>
      <c r="L7" s="58">
        <v>1.0</v>
      </c>
      <c r="M7" s="56" t="s">
        <v>20</v>
      </c>
      <c r="N7" s="56" t="s">
        <v>53</v>
      </c>
      <c r="O7" s="56" t="s">
        <v>49</v>
      </c>
      <c r="P7" s="56" t="s">
        <v>18</v>
      </c>
      <c r="Q7" s="54" t="s">
        <v>50</v>
      </c>
      <c r="R7" s="58">
        <v>0.0</v>
      </c>
      <c r="S7" s="58">
        <v>549.02</v>
      </c>
    </row>
    <row r="8" ht="15.75" customHeight="1">
      <c r="A8" s="4"/>
      <c r="B8" s="52">
        <v>43872.0</v>
      </c>
      <c r="C8" s="54" t="s">
        <v>17</v>
      </c>
      <c r="D8" s="54" t="s">
        <v>26</v>
      </c>
      <c r="E8" s="54" t="s">
        <v>18</v>
      </c>
      <c r="F8" s="54" t="s">
        <v>54</v>
      </c>
      <c r="G8" s="51">
        <v>38.04</v>
      </c>
      <c r="H8" s="53">
        <v>0.0</v>
      </c>
      <c r="I8" s="4"/>
      <c r="J8" s="4"/>
      <c r="K8" s="4"/>
      <c r="L8" s="51">
        <v>1.0</v>
      </c>
      <c r="M8" s="54" t="s">
        <v>20</v>
      </c>
      <c r="N8" s="54" t="s">
        <v>46</v>
      </c>
      <c r="O8" s="54" t="s">
        <v>49</v>
      </c>
      <c r="P8" s="54" t="s">
        <v>18</v>
      </c>
      <c r="Q8" s="54" t="s">
        <v>55</v>
      </c>
      <c r="R8" s="51">
        <v>38.04</v>
      </c>
      <c r="S8" s="51">
        <v>0.0</v>
      </c>
    </row>
    <row r="9" ht="15.75" customHeight="1">
      <c r="A9" s="4"/>
      <c r="B9" s="52">
        <v>43872.0</v>
      </c>
      <c r="C9" s="54" t="s">
        <v>17</v>
      </c>
      <c r="D9" s="54" t="s">
        <v>26</v>
      </c>
      <c r="E9" s="54" t="s">
        <v>18</v>
      </c>
      <c r="F9" s="56" t="s">
        <v>51</v>
      </c>
      <c r="G9" s="57">
        <v>0.0</v>
      </c>
      <c r="H9" s="58">
        <v>38.04</v>
      </c>
      <c r="I9" s="4"/>
      <c r="J9" s="4"/>
      <c r="K9" s="4"/>
      <c r="L9" s="58">
        <v>1.0</v>
      </c>
      <c r="M9" s="56" t="s">
        <v>20</v>
      </c>
      <c r="N9" s="56" t="s">
        <v>53</v>
      </c>
      <c r="O9" s="56" t="s">
        <v>49</v>
      </c>
      <c r="P9" s="56" t="s">
        <v>18</v>
      </c>
      <c r="Q9" s="54" t="s">
        <v>55</v>
      </c>
      <c r="R9" s="58">
        <v>0.0</v>
      </c>
      <c r="S9" s="58">
        <v>38.04</v>
      </c>
    </row>
    <row r="10" ht="15.75" customHeight="1">
      <c r="A10" s="4"/>
      <c r="B10" s="52">
        <v>43872.0</v>
      </c>
      <c r="C10" s="54" t="s">
        <v>17</v>
      </c>
      <c r="D10" s="54" t="s">
        <v>26</v>
      </c>
      <c r="E10" s="54" t="s">
        <v>18</v>
      </c>
      <c r="F10" s="54" t="s">
        <v>56</v>
      </c>
      <c r="G10" s="51">
        <v>775.99</v>
      </c>
      <c r="H10" s="53">
        <v>0.0</v>
      </c>
      <c r="I10" s="4"/>
      <c r="J10" s="4"/>
      <c r="K10" s="4"/>
      <c r="L10" s="51">
        <v>1.0</v>
      </c>
      <c r="M10" s="54" t="s">
        <v>20</v>
      </c>
      <c r="N10" s="54" t="s">
        <v>46</v>
      </c>
      <c r="O10" s="54" t="s">
        <v>49</v>
      </c>
      <c r="P10" s="54" t="s">
        <v>18</v>
      </c>
      <c r="Q10" s="54" t="s">
        <v>50</v>
      </c>
      <c r="R10" s="51">
        <v>775.99</v>
      </c>
      <c r="S10" s="51">
        <v>0.0</v>
      </c>
    </row>
    <row r="11" ht="15.75" customHeight="1">
      <c r="A11" s="4"/>
      <c r="B11" s="52">
        <v>43872.0</v>
      </c>
      <c r="C11" s="54" t="s">
        <v>17</v>
      </c>
      <c r="D11" s="54" t="s">
        <v>26</v>
      </c>
      <c r="E11" s="54" t="s">
        <v>18</v>
      </c>
      <c r="F11" s="56" t="s">
        <v>48</v>
      </c>
      <c r="G11" s="57">
        <v>0.0</v>
      </c>
      <c r="H11" s="58">
        <v>775.99</v>
      </c>
      <c r="I11" s="4"/>
      <c r="J11" s="4"/>
      <c r="K11" s="4"/>
      <c r="L11" s="58">
        <v>1.0</v>
      </c>
      <c r="M11" s="56" t="s">
        <v>20</v>
      </c>
      <c r="N11" s="56" t="s">
        <v>53</v>
      </c>
      <c r="O11" s="56" t="s">
        <v>49</v>
      </c>
      <c r="P11" s="56" t="s">
        <v>18</v>
      </c>
      <c r="Q11" s="54" t="s">
        <v>50</v>
      </c>
      <c r="R11" s="58">
        <v>0.0</v>
      </c>
      <c r="S11" s="58">
        <v>775.99</v>
      </c>
    </row>
    <row r="12" ht="15.75" customHeight="1">
      <c r="A12" s="4"/>
      <c r="B12" s="52">
        <v>43872.0</v>
      </c>
      <c r="C12" s="54" t="s">
        <v>17</v>
      </c>
      <c r="D12" s="54" t="s">
        <v>37</v>
      </c>
      <c r="E12" s="54" t="s">
        <v>18</v>
      </c>
      <c r="F12" s="54" t="s">
        <v>56</v>
      </c>
      <c r="G12" s="51">
        <v>475.93</v>
      </c>
      <c r="H12" s="53">
        <v>0.0</v>
      </c>
      <c r="I12" s="4"/>
      <c r="J12" s="4"/>
      <c r="K12" s="4"/>
      <c r="L12" s="51">
        <v>1.0</v>
      </c>
      <c r="M12" s="54" t="s">
        <v>20</v>
      </c>
      <c r="N12" s="54" t="s">
        <v>46</v>
      </c>
      <c r="O12" s="54" t="s">
        <v>49</v>
      </c>
      <c r="P12" s="54" t="s">
        <v>18</v>
      </c>
      <c r="Q12" s="54" t="s">
        <v>50</v>
      </c>
      <c r="R12" s="51">
        <v>475.93</v>
      </c>
      <c r="S12" s="51">
        <v>0.0</v>
      </c>
    </row>
    <row r="13" ht="15.75" customHeight="1">
      <c r="A13" s="4"/>
      <c r="B13" s="52">
        <v>43872.0</v>
      </c>
      <c r="C13" s="54" t="s">
        <v>17</v>
      </c>
      <c r="D13" s="54" t="s">
        <v>37</v>
      </c>
      <c r="E13" s="54" t="s">
        <v>18</v>
      </c>
      <c r="F13" s="56" t="s">
        <v>48</v>
      </c>
      <c r="G13" s="57">
        <v>0.0</v>
      </c>
      <c r="H13" s="58">
        <v>475.93</v>
      </c>
      <c r="I13" s="4"/>
      <c r="J13" s="4"/>
      <c r="K13" s="4"/>
      <c r="L13" s="58">
        <v>1.0</v>
      </c>
      <c r="M13" s="56" t="s">
        <v>20</v>
      </c>
      <c r="N13" s="56" t="s">
        <v>53</v>
      </c>
      <c r="O13" s="56" t="s">
        <v>49</v>
      </c>
      <c r="P13" s="56" t="s">
        <v>18</v>
      </c>
      <c r="Q13" s="54" t="s">
        <v>50</v>
      </c>
      <c r="R13" s="58">
        <v>0.0</v>
      </c>
      <c r="S13" s="58">
        <v>475.93</v>
      </c>
    </row>
    <row r="14" ht="15.75" customHeight="1">
      <c r="A14" s="4"/>
      <c r="B14" s="52">
        <v>43872.0</v>
      </c>
      <c r="C14" s="54" t="s">
        <v>17</v>
      </c>
      <c r="D14" s="54" t="s">
        <v>26</v>
      </c>
      <c r="E14" s="54" t="s">
        <v>18</v>
      </c>
      <c r="F14" s="54" t="s">
        <v>52</v>
      </c>
      <c r="G14" s="51">
        <v>549.02</v>
      </c>
      <c r="H14" s="53">
        <v>0.0</v>
      </c>
      <c r="I14" s="4"/>
      <c r="J14" s="4"/>
      <c r="K14" s="4"/>
      <c r="L14" s="51">
        <v>1.0</v>
      </c>
      <c r="M14" s="54" t="s">
        <v>20</v>
      </c>
      <c r="N14" s="54" t="s">
        <v>46</v>
      </c>
      <c r="O14" s="54" t="s">
        <v>49</v>
      </c>
      <c r="P14" s="54" t="s">
        <v>18</v>
      </c>
      <c r="Q14" s="54" t="s">
        <v>58</v>
      </c>
      <c r="R14" s="51">
        <v>549.02</v>
      </c>
      <c r="S14" s="51">
        <v>0.0</v>
      </c>
    </row>
    <row r="15" ht="15.75" customHeight="1">
      <c r="B15" s="52">
        <v>43872.0</v>
      </c>
      <c r="C15" s="54" t="s">
        <v>17</v>
      </c>
      <c r="D15" s="54" t="s">
        <v>26</v>
      </c>
      <c r="E15" s="54" t="s">
        <v>18</v>
      </c>
      <c r="F15" s="56" t="s">
        <v>48</v>
      </c>
      <c r="G15" s="57">
        <v>0.0</v>
      </c>
      <c r="H15" s="58">
        <v>549.02</v>
      </c>
      <c r="L15" s="58">
        <v>1.0</v>
      </c>
      <c r="M15" s="56" t="s">
        <v>20</v>
      </c>
      <c r="N15" s="56" t="s">
        <v>53</v>
      </c>
      <c r="O15" s="56" t="s">
        <v>49</v>
      </c>
      <c r="P15" s="56" t="s">
        <v>18</v>
      </c>
      <c r="Q15" s="54" t="s">
        <v>58</v>
      </c>
      <c r="R15" s="58">
        <v>0.0</v>
      </c>
      <c r="S15" s="58">
        <v>549.02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7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44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"/>
      <c r="B6" s="50">
        <v>43871.0</v>
      </c>
      <c r="C6" s="4"/>
      <c r="D6" s="4"/>
      <c r="E6" s="51">
        <v>24.0176</v>
      </c>
      <c r="F6" s="53">
        <v>0.0</v>
      </c>
      <c r="G6" s="51">
        <v>1.0</v>
      </c>
      <c r="H6" s="54" t="s">
        <v>20</v>
      </c>
      <c r="I6" s="54" t="s">
        <v>46</v>
      </c>
      <c r="J6" s="54" t="s">
        <v>47</v>
      </c>
      <c r="K6" s="54" t="s">
        <v>18</v>
      </c>
      <c r="L6" s="54" t="s">
        <v>18</v>
      </c>
      <c r="M6" s="54" t="s">
        <v>26</v>
      </c>
      <c r="N6" s="55"/>
      <c r="O6" s="51">
        <v>24.0176</v>
      </c>
      <c r="P6" s="51">
        <v>0.0</v>
      </c>
      <c r="Q6" s="54" t="s">
        <v>51</v>
      </c>
      <c r="R6" s="54" t="s">
        <v>17</v>
      </c>
    </row>
    <row r="7" ht="15.75" customHeight="1">
      <c r="A7" s="4"/>
      <c r="B7" s="50">
        <v>43871.0</v>
      </c>
      <c r="C7" s="4"/>
      <c r="D7" s="4"/>
      <c r="E7" s="57">
        <v>0.0</v>
      </c>
      <c r="F7" s="58">
        <v>24.0176</v>
      </c>
      <c r="G7" s="58">
        <v>1.0</v>
      </c>
      <c r="H7" s="56" t="s">
        <v>20</v>
      </c>
      <c r="I7" s="56" t="s">
        <v>53</v>
      </c>
      <c r="J7" s="56" t="s">
        <v>47</v>
      </c>
      <c r="K7" s="54" t="s">
        <v>18</v>
      </c>
      <c r="L7" s="56" t="s">
        <v>18</v>
      </c>
      <c r="M7" s="54" t="s">
        <v>26</v>
      </c>
      <c r="N7" s="55"/>
      <c r="O7" s="58">
        <v>0.0</v>
      </c>
      <c r="P7" s="58">
        <v>24.0176</v>
      </c>
      <c r="Q7" s="56" t="s">
        <v>19</v>
      </c>
      <c r="R7" s="54" t="s">
        <v>17</v>
      </c>
    </row>
    <row r="8" ht="15.75" customHeight="1">
      <c r="A8" s="4"/>
      <c r="B8" s="50">
        <v>43871.0</v>
      </c>
      <c r="C8" s="4"/>
      <c r="D8" s="4"/>
      <c r="E8" s="51">
        <v>31500.0</v>
      </c>
      <c r="F8" s="53">
        <v>0.0</v>
      </c>
      <c r="G8" s="51">
        <v>1.0</v>
      </c>
      <c r="H8" s="54" t="s">
        <v>20</v>
      </c>
      <c r="I8" s="54" t="s">
        <v>46</v>
      </c>
      <c r="J8" s="54" t="s">
        <v>47</v>
      </c>
      <c r="K8" s="54" t="s">
        <v>18</v>
      </c>
      <c r="L8" s="54" t="s">
        <v>18</v>
      </c>
      <c r="M8" s="54" t="s">
        <v>26</v>
      </c>
      <c r="N8" s="55"/>
      <c r="O8" s="51">
        <v>31500.0</v>
      </c>
      <c r="P8" s="51">
        <v>0.0</v>
      </c>
      <c r="Q8" s="54" t="s">
        <v>19</v>
      </c>
      <c r="R8" s="54" t="s">
        <v>17</v>
      </c>
    </row>
    <row r="9" ht="15.75" customHeight="1">
      <c r="A9" s="4"/>
      <c r="B9" s="50">
        <v>43871.0</v>
      </c>
      <c r="C9" s="4"/>
      <c r="D9" s="4"/>
      <c r="E9" s="57">
        <v>0.0</v>
      </c>
      <c r="F9" s="58">
        <v>31500.0</v>
      </c>
      <c r="G9" s="58">
        <v>1.0</v>
      </c>
      <c r="H9" s="56" t="s">
        <v>20</v>
      </c>
      <c r="I9" s="56" t="s">
        <v>53</v>
      </c>
      <c r="J9" s="56" t="s">
        <v>47</v>
      </c>
      <c r="K9" s="54" t="s">
        <v>18</v>
      </c>
      <c r="L9" s="56" t="s">
        <v>18</v>
      </c>
      <c r="M9" s="54" t="s">
        <v>26</v>
      </c>
      <c r="N9" s="55"/>
      <c r="O9" s="58">
        <v>0.0</v>
      </c>
      <c r="P9" s="58">
        <v>31500.0</v>
      </c>
      <c r="Q9" s="56" t="s">
        <v>51</v>
      </c>
      <c r="R9" s="54" t="s">
        <v>17</v>
      </c>
    </row>
    <row r="10" ht="15.75" customHeight="1">
      <c r="A10" s="4"/>
      <c r="B10" s="50">
        <v>43872.0</v>
      </c>
      <c r="C10" s="4"/>
      <c r="D10" s="4"/>
      <c r="E10" s="51">
        <v>31514.0176</v>
      </c>
      <c r="F10" s="53">
        <v>0.0</v>
      </c>
      <c r="G10" s="51">
        <v>1.0</v>
      </c>
      <c r="H10" s="54" t="s">
        <v>20</v>
      </c>
      <c r="I10" s="54" t="s">
        <v>46</v>
      </c>
      <c r="J10" s="54" t="s">
        <v>47</v>
      </c>
      <c r="K10" s="54" t="s">
        <v>18</v>
      </c>
      <c r="L10" s="54" t="s">
        <v>18</v>
      </c>
      <c r="M10" s="54" t="s">
        <v>26</v>
      </c>
      <c r="N10" s="55"/>
      <c r="O10" s="51">
        <v>31514.0176</v>
      </c>
      <c r="P10" s="51">
        <v>0.0</v>
      </c>
      <c r="Q10" s="54" t="s">
        <v>51</v>
      </c>
      <c r="R10" s="54" t="s">
        <v>17</v>
      </c>
    </row>
    <row r="11" ht="15.75" customHeight="1">
      <c r="A11" s="4"/>
      <c r="B11" s="50">
        <v>43872.0</v>
      </c>
      <c r="C11" s="4"/>
      <c r="D11" s="4"/>
      <c r="E11" s="57">
        <v>0.0</v>
      </c>
      <c r="F11" s="58">
        <v>31514.0176</v>
      </c>
      <c r="G11" s="58">
        <v>1.0</v>
      </c>
      <c r="H11" s="56" t="s">
        <v>20</v>
      </c>
      <c r="I11" s="56" t="s">
        <v>53</v>
      </c>
      <c r="J11" s="56" t="s">
        <v>47</v>
      </c>
      <c r="K11" s="54" t="s">
        <v>18</v>
      </c>
      <c r="L11" s="56" t="s">
        <v>18</v>
      </c>
      <c r="M11" s="54" t="s">
        <v>26</v>
      </c>
      <c r="N11" s="55"/>
      <c r="O11" s="58">
        <v>0.0</v>
      </c>
      <c r="P11" s="58">
        <v>31514.0176</v>
      </c>
      <c r="Q11" s="56" t="s">
        <v>19</v>
      </c>
      <c r="R11" s="54" t="s">
        <v>17</v>
      </c>
    </row>
    <row r="12" ht="15.75" customHeight="1">
      <c r="A12" s="4"/>
      <c r="B12" s="50">
        <v>43872.0</v>
      </c>
      <c r="C12" s="4"/>
      <c r="D12" s="4"/>
      <c r="E12" s="51">
        <v>24024.0134</v>
      </c>
      <c r="F12" s="53">
        <v>0.0</v>
      </c>
      <c r="G12" s="51">
        <v>1.0</v>
      </c>
      <c r="H12" s="54" t="s">
        <v>20</v>
      </c>
      <c r="I12" s="54" t="s">
        <v>46</v>
      </c>
      <c r="J12" s="54" t="s">
        <v>47</v>
      </c>
      <c r="K12" s="54" t="s">
        <v>18</v>
      </c>
      <c r="L12" s="54" t="s">
        <v>18</v>
      </c>
      <c r="M12" s="54" t="s">
        <v>26</v>
      </c>
      <c r="N12" s="55"/>
      <c r="O12" s="51">
        <v>24024.0134</v>
      </c>
      <c r="P12" s="51">
        <v>0.0</v>
      </c>
      <c r="Q12" s="54" t="s">
        <v>57</v>
      </c>
      <c r="R12" s="54" t="s">
        <v>17</v>
      </c>
    </row>
    <row r="13" ht="15.75" customHeight="1">
      <c r="A13" s="4"/>
      <c r="B13" s="50">
        <v>43872.0</v>
      </c>
      <c r="C13" s="4"/>
      <c r="D13" s="4"/>
      <c r="E13" s="57">
        <v>0.0</v>
      </c>
      <c r="F13" s="58">
        <v>24024.0134</v>
      </c>
      <c r="G13" s="58">
        <v>1.0</v>
      </c>
      <c r="H13" s="56" t="s">
        <v>20</v>
      </c>
      <c r="I13" s="56" t="s">
        <v>53</v>
      </c>
      <c r="J13" s="56" t="s">
        <v>47</v>
      </c>
      <c r="K13" s="54" t="s">
        <v>18</v>
      </c>
      <c r="L13" s="56" t="s">
        <v>18</v>
      </c>
      <c r="M13" s="54" t="s">
        <v>26</v>
      </c>
      <c r="N13" s="55"/>
      <c r="O13" s="58">
        <v>0.0</v>
      </c>
      <c r="P13" s="58">
        <v>24024.0134</v>
      </c>
      <c r="Q13" s="56" t="s">
        <v>19</v>
      </c>
      <c r="R13" s="54" t="s">
        <v>17</v>
      </c>
    </row>
    <row r="14" ht="15.75" customHeight="1">
      <c r="A14" s="4"/>
      <c r="B14" s="50">
        <v>43872.0</v>
      </c>
      <c r="C14" s="4"/>
      <c r="D14" s="4"/>
      <c r="E14" s="51">
        <v>131524.0736</v>
      </c>
      <c r="F14" s="53">
        <v>0.0</v>
      </c>
      <c r="G14" s="51">
        <v>1.0</v>
      </c>
      <c r="H14" s="54" t="s">
        <v>20</v>
      </c>
      <c r="I14" s="54" t="s">
        <v>46</v>
      </c>
      <c r="J14" s="54" t="s">
        <v>47</v>
      </c>
      <c r="K14" s="54" t="s">
        <v>18</v>
      </c>
      <c r="L14" s="54" t="s">
        <v>18</v>
      </c>
      <c r="M14" s="54" t="s">
        <v>37</v>
      </c>
      <c r="N14" s="55"/>
      <c r="O14" s="51">
        <v>131524.0736</v>
      </c>
      <c r="P14" s="51">
        <v>0.0</v>
      </c>
      <c r="Q14" s="54" t="s">
        <v>57</v>
      </c>
      <c r="R14" s="54" t="s">
        <v>17</v>
      </c>
    </row>
    <row r="15" ht="15.75" customHeight="1">
      <c r="A15" s="4"/>
      <c r="B15" s="50">
        <v>43872.0</v>
      </c>
      <c r="C15" s="4"/>
      <c r="D15" s="4"/>
      <c r="E15" s="57">
        <v>0.0</v>
      </c>
      <c r="F15" s="58">
        <v>131524.0736</v>
      </c>
      <c r="G15" s="58">
        <v>1.0</v>
      </c>
      <c r="H15" s="56" t="s">
        <v>20</v>
      </c>
      <c r="I15" s="56" t="s">
        <v>53</v>
      </c>
      <c r="J15" s="56" t="s">
        <v>47</v>
      </c>
      <c r="K15" s="54" t="s">
        <v>18</v>
      </c>
      <c r="L15" s="56" t="s">
        <v>18</v>
      </c>
      <c r="M15" s="54" t="s">
        <v>37</v>
      </c>
      <c r="N15" s="55"/>
      <c r="O15" s="58">
        <v>0.0</v>
      </c>
      <c r="P15" s="58">
        <v>131524.0736</v>
      </c>
      <c r="Q15" s="56" t="s">
        <v>19</v>
      </c>
      <c r="R15" s="54" t="s">
        <v>17</v>
      </c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59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0" width="14.43"/>
    <col customWidth="1" min="31" max="31" width="31.0"/>
    <col customWidth="1" min="3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60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"/>
      <c r="B6" s="59" t="s">
        <v>17</v>
      </c>
      <c r="C6" s="59" t="s">
        <v>49</v>
      </c>
      <c r="D6" s="59" t="s">
        <v>61</v>
      </c>
      <c r="E6" s="60">
        <v>-549.02</v>
      </c>
      <c r="F6" s="60">
        <v>0.0</v>
      </c>
      <c r="G6" s="60">
        <v>0.0</v>
      </c>
      <c r="H6" s="59" t="s">
        <v>62</v>
      </c>
      <c r="I6" s="60">
        <v>0.0</v>
      </c>
      <c r="J6" s="60">
        <v>0.0</v>
      </c>
      <c r="K6" s="59" t="s">
        <v>18</v>
      </c>
      <c r="L6" s="59" t="s">
        <v>50</v>
      </c>
      <c r="M6" s="4"/>
      <c r="N6" s="59" t="s">
        <v>20</v>
      </c>
      <c r="O6" s="60">
        <v>1.0</v>
      </c>
      <c r="P6" s="61"/>
      <c r="R6" s="60">
        <v>0.0</v>
      </c>
      <c r="S6" s="60">
        <v>0.0</v>
      </c>
      <c r="T6" s="60">
        <v>0.0</v>
      </c>
      <c r="U6" s="60">
        <v>0.0</v>
      </c>
      <c r="V6" s="60">
        <v>0.0</v>
      </c>
      <c r="W6" s="60">
        <v>0.0</v>
      </c>
      <c r="X6" s="61"/>
      <c r="Z6" s="60">
        <v>0.0</v>
      </c>
      <c r="AA6" s="60">
        <v>0.0</v>
      </c>
      <c r="AB6" s="59" t="s">
        <v>26</v>
      </c>
      <c r="AC6" s="60">
        <v>0.0</v>
      </c>
      <c r="AD6" s="60">
        <v>0.0</v>
      </c>
      <c r="AE6" s="62">
        <v>43871.0</v>
      </c>
      <c r="AF6" s="60">
        <v>0.0</v>
      </c>
      <c r="AG6" s="63" t="s">
        <v>49</v>
      </c>
    </row>
    <row r="7" ht="15.75" customHeight="1">
      <c r="A7" s="4"/>
      <c r="B7" s="64" t="s">
        <v>17</v>
      </c>
      <c r="C7" s="64" t="s">
        <v>63</v>
      </c>
      <c r="D7" s="64" t="s">
        <v>64</v>
      </c>
      <c r="E7" s="65">
        <v>500000.0</v>
      </c>
      <c r="F7" s="65">
        <v>0.0</v>
      </c>
      <c r="G7" s="65">
        <v>0.0</v>
      </c>
      <c r="H7" s="64" t="s">
        <v>62</v>
      </c>
      <c r="I7" s="65">
        <v>0.0</v>
      </c>
      <c r="J7" s="65">
        <v>0.0</v>
      </c>
      <c r="K7" s="64" t="s">
        <v>18</v>
      </c>
      <c r="L7" s="66"/>
      <c r="M7" s="4"/>
      <c r="N7" s="64" t="s">
        <v>20</v>
      </c>
      <c r="O7" s="65">
        <v>1.0</v>
      </c>
      <c r="P7" s="66"/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W7" s="65">
        <v>0.0</v>
      </c>
      <c r="X7" s="66"/>
      <c r="Z7" s="65">
        <v>0.0</v>
      </c>
      <c r="AA7" s="65">
        <v>0.0</v>
      </c>
      <c r="AB7" s="66"/>
      <c r="AC7" s="65">
        <v>0.0</v>
      </c>
      <c r="AD7" s="65">
        <v>0.0</v>
      </c>
      <c r="AE7" s="67">
        <v>43871.0</v>
      </c>
      <c r="AF7" s="65">
        <v>0.0</v>
      </c>
      <c r="AG7" s="68" t="s">
        <v>65</v>
      </c>
    </row>
    <row r="8" ht="15.75" customHeight="1">
      <c r="A8" s="4"/>
      <c r="B8" s="59" t="s">
        <v>17</v>
      </c>
      <c r="C8" s="59" t="s">
        <v>47</v>
      </c>
      <c r="D8" s="59" t="s">
        <v>66</v>
      </c>
      <c r="E8" s="60">
        <v>31475.9824</v>
      </c>
      <c r="F8" s="60">
        <v>4.0</v>
      </c>
      <c r="G8" s="60">
        <v>5.0</v>
      </c>
      <c r="H8" s="59" t="s">
        <v>62</v>
      </c>
      <c r="I8" s="60">
        <v>0.0</v>
      </c>
      <c r="J8" s="60">
        <v>2.5</v>
      </c>
      <c r="K8" s="59" t="s">
        <v>18</v>
      </c>
      <c r="L8" s="61"/>
      <c r="M8" s="4"/>
      <c r="N8" s="59" t="s">
        <v>20</v>
      </c>
      <c r="O8" s="60">
        <v>1.0</v>
      </c>
      <c r="P8" s="61"/>
      <c r="R8" s="60">
        <v>0.0</v>
      </c>
      <c r="S8" s="60">
        <v>0.0</v>
      </c>
      <c r="T8" s="60">
        <v>0.0</v>
      </c>
      <c r="U8" s="60">
        <v>0.0</v>
      </c>
      <c r="V8" s="60">
        <v>105.0</v>
      </c>
      <c r="W8" s="60">
        <v>0.0</v>
      </c>
      <c r="X8" s="63" t="s">
        <v>18</v>
      </c>
      <c r="Z8" s="60">
        <v>7.5</v>
      </c>
      <c r="AA8" s="60">
        <v>0.0176</v>
      </c>
      <c r="AB8" s="59" t="s">
        <v>26</v>
      </c>
      <c r="AC8" s="60">
        <v>3.0</v>
      </c>
      <c r="AD8" s="60">
        <v>24.0176</v>
      </c>
      <c r="AE8" s="69">
        <v>43871.0</v>
      </c>
      <c r="AF8" s="60">
        <v>2.0</v>
      </c>
      <c r="AG8" s="63" t="s">
        <v>47</v>
      </c>
    </row>
    <row r="9" ht="15.75" customHeight="1">
      <c r="A9" s="4"/>
      <c r="B9" s="64" t="s">
        <v>17</v>
      </c>
      <c r="C9" s="64" t="s">
        <v>49</v>
      </c>
      <c r="D9" s="64" t="s">
        <v>67</v>
      </c>
      <c r="E9" s="65">
        <v>-38.04</v>
      </c>
      <c r="F9" s="65">
        <v>0.0</v>
      </c>
      <c r="G9" s="65">
        <v>0.0</v>
      </c>
      <c r="H9" s="64" t="s">
        <v>62</v>
      </c>
      <c r="I9" s="65">
        <v>0.0</v>
      </c>
      <c r="J9" s="65">
        <v>0.0</v>
      </c>
      <c r="K9" s="64" t="s">
        <v>18</v>
      </c>
      <c r="L9" s="64" t="s">
        <v>55</v>
      </c>
      <c r="M9" s="4"/>
      <c r="N9" s="64" t="s">
        <v>20</v>
      </c>
      <c r="O9" s="65">
        <v>1.0</v>
      </c>
      <c r="P9" s="66"/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W9" s="65">
        <v>0.0</v>
      </c>
      <c r="X9" s="66"/>
      <c r="Z9" s="65">
        <v>0.0</v>
      </c>
      <c r="AA9" s="65">
        <v>0.0</v>
      </c>
      <c r="AB9" s="64" t="s">
        <v>26</v>
      </c>
      <c r="AC9" s="65">
        <v>0.0</v>
      </c>
      <c r="AD9" s="65">
        <v>0.0</v>
      </c>
      <c r="AE9" s="67">
        <v>43872.0</v>
      </c>
      <c r="AF9" s="65">
        <v>0.0</v>
      </c>
      <c r="AG9" s="68" t="s">
        <v>49</v>
      </c>
    </row>
    <row r="10" ht="15.75" customHeight="1">
      <c r="A10" s="4"/>
      <c r="B10" s="59" t="s">
        <v>17</v>
      </c>
      <c r="C10" s="59" t="s">
        <v>49</v>
      </c>
      <c r="D10" s="59" t="s">
        <v>68</v>
      </c>
      <c r="E10" s="60">
        <v>775.99</v>
      </c>
      <c r="F10" s="60">
        <v>0.0</v>
      </c>
      <c r="G10" s="60">
        <v>0.0</v>
      </c>
      <c r="H10" s="59" t="s">
        <v>62</v>
      </c>
      <c r="I10" s="60">
        <v>0.0</v>
      </c>
      <c r="J10" s="60">
        <v>0.0</v>
      </c>
      <c r="K10" s="59" t="s">
        <v>18</v>
      </c>
      <c r="L10" s="59" t="s">
        <v>50</v>
      </c>
      <c r="M10" s="4"/>
      <c r="N10" s="59" t="s">
        <v>20</v>
      </c>
      <c r="O10" s="60">
        <v>1.0</v>
      </c>
      <c r="P10" s="61"/>
      <c r="R10" s="60">
        <v>0.0</v>
      </c>
      <c r="S10" s="60">
        <v>0.0</v>
      </c>
      <c r="T10" s="60">
        <v>0.0</v>
      </c>
      <c r="U10" s="60">
        <v>0.0</v>
      </c>
      <c r="V10" s="60">
        <v>0.0</v>
      </c>
      <c r="W10" s="60">
        <v>0.0</v>
      </c>
      <c r="X10" s="61"/>
      <c r="Z10" s="60">
        <v>0.0</v>
      </c>
      <c r="AA10" s="60">
        <v>0.0</v>
      </c>
      <c r="AB10" s="59" t="s">
        <v>26</v>
      </c>
      <c r="AC10" s="60">
        <v>0.0</v>
      </c>
      <c r="AD10" s="60">
        <v>0.0</v>
      </c>
      <c r="AE10" s="62">
        <v>43872.0</v>
      </c>
      <c r="AF10" s="60">
        <v>0.0</v>
      </c>
      <c r="AG10" s="63" t="s">
        <v>49</v>
      </c>
    </row>
    <row r="11" ht="15.75" customHeight="1">
      <c r="A11" s="4"/>
      <c r="B11" s="64" t="s">
        <v>17</v>
      </c>
      <c r="C11" s="64" t="s">
        <v>49</v>
      </c>
      <c r="D11" s="64" t="s">
        <v>68</v>
      </c>
      <c r="E11" s="65">
        <v>475.93</v>
      </c>
      <c r="F11" s="65">
        <v>0.0</v>
      </c>
      <c r="G11" s="65">
        <v>0.0</v>
      </c>
      <c r="H11" s="64" t="s">
        <v>62</v>
      </c>
      <c r="I11" s="65">
        <v>0.0</v>
      </c>
      <c r="J11" s="65">
        <v>0.0</v>
      </c>
      <c r="K11" s="64" t="s">
        <v>18</v>
      </c>
      <c r="L11" s="64" t="s">
        <v>50</v>
      </c>
      <c r="M11" s="4"/>
      <c r="N11" s="64" t="s">
        <v>20</v>
      </c>
      <c r="O11" s="65">
        <v>1.0</v>
      </c>
      <c r="P11" s="66"/>
      <c r="R11" s="65">
        <v>0.0</v>
      </c>
      <c r="S11" s="65">
        <v>0.0</v>
      </c>
      <c r="T11" s="65">
        <v>0.0</v>
      </c>
      <c r="U11" s="65">
        <v>0.0</v>
      </c>
      <c r="V11" s="65">
        <v>0.0</v>
      </c>
      <c r="W11" s="65">
        <v>0.0</v>
      </c>
      <c r="X11" s="66"/>
      <c r="Z11" s="65">
        <v>0.0</v>
      </c>
      <c r="AA11" s="65">
        <v>0.0</v>
      </c>
      <c r="AB11" s="64" t="s">
        <v>37</v>
      </c>
      <c r="AC11" s="65">
        <v>0.0</v>
      </c>
      <c r="AD11" s="65">
        <v>0.0</v>
      </c>
      <c r="AE11" s="67">
        <v>43872.0</v>
      </c>
      <c r="AF11" s="65">
        <v>0.0</v>
      </c>
      <c r="AG11" s="68" t="s">
        <v>49</v>
      </c>
    </row>
    <row r="12" ht="15.75" customHeight="1">
      <c r="A12" s="4"/>
      <c r="B12" s="59" t="s">
        <v>17</v>
      </c>
      <c r="C12" s="59" t="s">
        <v>49</v>
      </c>
      <c r="D12" s="59" t="s">
        <v>61</v>
      </c>
      <c r="E12" s="60">
        <v>549.02</v>
      </c>
      <c r="F12" s="60">
        <v>0.0</v>
      </c>
      <c r="G12" s="60">
        <v>0.0</v>
      </c>
      <c r="H12" s="59" t="s">
        <v>62</v>
      </c>
      <c r="I12" s="60">
        <v>0.0</v>
      </c>
      <c r="J12" s="60">
        <v>0.0</v>
      </c>
      <c r="K12" s="59" t="s">
        <v>18</v>
      </c>
      <c r="L12" s="59" t="s">
        <v>58</v>
      </c>
      <c r="M12" s="4"/>
      <c r="N12" s="59" t="s">
        <v>20</v>
      </c>
      <c r="O12" s="60">
        <v>1.0</v>
      </c>
      <c r="P12" s="61"/>
      <c r="R12" s="60">
        <v>0.0</v>
      </c>
      <c r="S12" s="60">
        <v>0.0</v>
      </c>
      <c r="T12" s="60">
        <v>0.0</v>
      </c>
      <c r="U12" s="60">
        <v>0.0</v>
      </c>
      <c r="V12" s="60">
        <v>0.0</v>
      </c>
      <c r="W12" s="60">
        <v>0.0</v>
      </c>
      <c r="X12" s="61"/>
      <c r="Z12" s="60">
        <v>0.0</v>
      </c>
      <c r="AA12" s="60">
        <v>0.0</v>
      </c>
      <c r="AB12" s="59" t="s">
        <v>26</v>
      </c>
      <c r="AC12" s="60">
        <v>0.0</v>
      </c>
      <c r="AD12" s="60">
        <v>0.0</v>
      </c>
      <c r="AE12" s="62">
        <v>43872.0</v>
      </c>
      <c r="AF12" s="60">
        <v>0.0</v>
      </c>
      <c r="AG12" s="63" t="s">
        <v>49</v>
      </c>
    </row>
    <row r="13" ht="15.75" customHeight="1">
      <c r="A13" s="4"/>
      <c r="B13" s="64" t="s">
        <v>17</v>
      </c>
      <c r="C13" s="64" t="s">
        <v>47</v>
      </c>
      <c r="D13" s="64" t="s">
        <v>66</v>
      </c>
      <c r="E13" s="65">
        <v>-31514.0176</v>
      </c>
      <c r="F13" s="65">
        <v>4.0</v>
      </c>
      <c r="G13" s="65">
        <v>5.0</v>
      </c>
      <c r="H13" s="64" t="s">
        <v>62</v>
      </c>
      <c r="I13" s="65">
        <v>0.0</v>
      </c>
      <c r="J13" s="65">
        <v>0.0</v>
      </c>
      <c r="K13" s="64" t="s">
        <v>18</v>
      </c>
      <c r="L13" s="66"/>
      <c r="M13" s="4"/>
      <c r="N13" s="64" t="s">
        <v>20</v>
      </c>
      <c r="O13" s="65">
        <v>1.0</v>
      </c>
      <c r="P13" s="66"/>
      <c r="R13" s="65">
        <v>0.0</v>
      </c>
      <c r="S13" s="65">
        <v>0.0</v>
      </c>
      <c r="T13" s="65">
        <v>0.0</v>
      </c>
      <c r="U13" s="65">
        <v>0.0</v>
      </c>
      <c r="V13" s="65">
        <v>105.0</v>
      </c>
      <c r="W13" s="65">
        <v>0.0</v>
      </c>
      <c r="X13" s="68" t="s">
        <v>18</v>
      </c>
      <c r="Z13" s="65">
        <v>0.0</v>
      </c>
      <c r="AA13" s="65">
        <v>0.0176</v>
      </c>
      <c r="AB13" s="64" t="s">
        <v>26</v>
      </c>
      <c r="AC13" s="65">
        <v>3.0</v>
      </c>
      <c r="AD13" s="65">
        <v>14.0176</v>
      </c>
      <c r="AE13" s="70">
        <v>43872.0</v>
      </c>
      <c r="AF13" s="65">
        <v>2.0</v>
      </c>
      <c r="AG13" s="68" t="s">
        <v>47</v>
      </c>
    </row>
    <row r="14" ht="15.75" customHeight="1">
      <c r="A14" s="4"/>
      <c r="B14" s="59" t="s">
        <v>17</v>
      </c>
      <c r="C14" s="59" t="s">
        <v>47</v>
      </c>
      <c r="D14" s="59" t="s">
        <v>69</v>
      </c>
      <c r="E14" s="60">
        <v>-24024.0134</v>
      </c>
      <c r="F14" s="60">
        <v>4.0</v>
      </c>
      <c r="G14" s="60">
        <v>5.0</v>
      </c>
      <c r="H14" s="59" t="s">
        <v>62</v>
      </c>
      <c r="I14" s="60">
        <v>0.0</v>
      </c>
      <c r="J14" s="60">
        <v>2.5</v>
      </c>
      <c r="K14" s="59" t="s">
        <v>18</v>
      </c>
      <c r="L14" s="61"/>
      <c r="M14" s="4"/>
      <c r="N14" s="59" t="s">
        <v>20</v>
      </c>
      <c r="O14" s="60">
        <v>1.0</v>
      </c>
      <c r="P14" s="61"/>
      <c r="R14" s="60">
        <v>0.0</v>
      </c>
      <c r="S14" s="60">
        <v>0.0</v>
      </c>
      <c r="T14" s="60">
        <v>0.0</v>
      </c>
      <c r="U14" s="60">
        <v>0.0</v>
      </c>
      <c r="V14" s="60">
        <v>80.0</v>
      </c>
      <c r="W14" s="60">
        <v>0.0</v>
      </c>
      <c r="X14" s="63" t="s">
        <v>18</v>
      </c>
      <c r="Z14" s="60">
        <v>7.5</v>
      </c>
      <c r="AA14" s="60">
        <v>0.0134</v>
      </c>
      <c r="AB14" s="59" t="s">
        <v>26</v>
      </c>
      <c r="AC14" s="60">
        <v>3.0</v>
      </c>
      <c r="AD14" s="60">
        <v>24.0134</v>
      </c>
      <c r="AE14" s="69">
        <v>43872.0</v>
      </c>
      <c r="AF14" s="60">
        <v>2.0</v>
      </c>
      <c r="AG14" s="63" t="s">
        <v>47</v>
      </c>
    </row>
    <row r="15" ht="15.75" customHeight="1">
      <c r="A15" s="4"/>
      <c r="B15" s="64" t="s">
        <v>17</v>
      </c>
      <c r="C15" s="64" t="s">
        <v>47</v>
      </c>
      <c r="D15" s="64" t="s">
        <v>69</v>
      </c>
      <c r="E15" s="65">
        <v>-131524.0736</v>
      </c>
      <c r="F15" s="65">
        <v>4.0</v>
      </c>
      <c r="G15" s="65">
        <v>5.0</v>
      </c>
      <c r="H15" s="64" t="s">
        <v>62</v>
      </c>
      <c r="I15" s="65">
        <v>0.0</v>
      </c>
      <c r="J15" s="65">
        <v>5.0</v>
      </c>
      <c r="K15" s="64" t="s">
        <v>18</v>
      </c>
      <c r="L15" s="66"/>
      <c r="M15" s="4"/>
      <c r="N15" s="64" t="s">
        <v>20</v>
      </c>
      <c r="O15" s="65">
        <v>1.0</v>
      </c>
      <c r="P15" s="66"/>
      <c r="R15" s="65">
        <v>0.0</v>
      </c>
      <c r="S15" s="65">
        <v>0.0</v>
      </c>
      <c r="T15" s="65">
        <v>0.0</v>
      </c>
      <c r="U15" s="65">
        <v>0.0</v>
      </c>
      <c r="V15" s="65">
        <v>100.0</v>
      </c>
      <c r="W15" s="65">
        <v>0.0</v>
      </c>
      <c r="X15" s="68" t="s">
        <v>18</v>
      </c>
      <c r="Z15" s="65">
        <v>5.0</v>
      </c>
      <c r="AA15" s="65">
        <v>0.0736</v>
      </c>
      <c r="AB15" s="64" t="s">
        <v>37</v>
      </c>
      <c r="AC15" s="65">
        <v>3.0</v>
      </c>
      <c r="AD15" s="65">
        <v>24.0736</v>
      </c>
      <c r="AE15" s="70">
        <v>43872.0</v>
      </c>
      <c r="AF15" s="65">
        <v>2.0</v>
      </c>
      <c r="AG15" s="68" t="s">
        <v>47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70</v>
      </c>
      <c r="D3" s="5" t="s">
        <v>9</v>
      </c>
      <c r="E3" s="21" t="s">
        <v>71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72</v>
      </c>
      <c r="C6" s="31" t="s">
        <v>17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70</v>
      </c>
      <c r="D3" s="5" t="s">
        <v>9</v>
      </c>
      <c r="E3" s="21" t="s">
        <v>72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1"/>
      <c r="D6" s="30"/>
      <c r="E6" s="31" t="s">
        <v>26</v>
      </c>
      <c r="F6" s="31"/>
      <c r="G6" s="31" t="s">
        <v>73</v>
      </c>
      <c r="H6" s="34">
        <v>1.0</v>
      </c>
      <c r="I6" s="34">
        <v>0.33</v>
      </c>
      <c r="J6" s="34">
        <v>0.625</v>
      </c>
      <c r="K6" s="31"/>
      <c r="L6" s="31"/>
      <c r="M6" s="7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28.0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70</v>
      </c>
      <c r="D3" s="5" t="s">
        <v>9</v>
      </c>
      <c r="E3" s="21" t="s">
        <v>74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72" t="s">
        <v>26</v>
      </c>
      <c r="C6" s="72" t="s">
        <v>18</v>
      </c>
      <c r="D6" s="72" t="s">
        <v>38</v>
      </c>
      <c r="E6" s="72" t="s">
        <v>17</v>
      </c>
      <c r="F6" s="73">
        <v>300.0</v>
      </c>
      <c r="G6" s="73">
        <v>80.0</v>
      </c>
      <c r="H6" s="73">
        <v>24.0134</v>
      </c>
      <c r="I6" s="74">
        <v>43872.0</v>
      </c>
      <c r="J6" s="74">
        <v>43872.0</v>
      </c>
      <c r="K6" s="74">
        <v>43872.0</v>
      </c>
      <c r="L6" s="74">
        <v>43875.0</v>
      </c>
      <c r="M6" s="72"/>
      <c r="N6" s="73">
        <v>1.0</v>
      </c>
      <c r="O6" s="72" t="s">
        <v>20</v>
      </c>
      <c r="P6" s="73">
        <v>0.0</v>
      </c>
      <c r="Q6" s="73">
        <v>24024.0134</v>
      </c>
      <c r="R6" s="73">
        <v>24024.0134</v>
      </c>
      <c r="S6" s="72" t="s">
        <v>38</v>
      </c>
    </row>
    <row r="7" ht="15.75" customHeight="1">
      <c r="A7" s="4"/>
      <c r="B7" s="72" t="s">
        <v>26</v>
      </c>
      <c r="C7" s="72" t="s">
        <v>18</v>
      </c>
      <c r="D7" s="72" t="s">
        <v>75</v>
      </c>
      <c r="E7" s="72" t="s">
        <v>17</v>
      </c>
      <c r="F7" s="73">
        <v>300.3001675</v>
      </c>
      <c r="G7" s="73">
        <v>80.0</v>
      </c>
      <c r="H7" s="73">
        <v>0.0</v>
      </c>
      <c r="I7" s="74">
        <v>43873.0</v>
      </c>
      <c r="J7" s="74">
        <v>43873.0</v>
      </c>
      <c r="K7" s="74">
        <v>43873.0</v>
      </c>
      <c r="L7" s="74">
        <v>43873.0</v>
      </c>
      <c r="M7" s="75"/>
      <c r="N7" s="73">
        <v>1.0</v>
      </c>
      <c r="O7" s="72" t="s">
        <v>20</v>
      </c>
      <c r="P7" s="73">
        <v>0.0</v>
      </c>
      <c r="Q7" s="73">
        <v>24024.0134</v>
      </c>
      <c r="R7" s="73">
        <v>24024.0134</v>
      </c>
      <c r="S7" s="72" t="s">
        <v>75</v>
      </c>
    </row>
    <row r="8" ht="15.75" customHeight="1">
      <c r="A8" s="4"/>
      <c r="B8" s="72" t="s">
        <v>26</v>
      </c>
      <c r="C8" s="72" t="s">
        <v>18</v>
      </c>
      <c r="D8" s="72" t="s">
        <v>38</v>
      </c>
      <c r="E8" s="72" t="s">
        <v>17</v>
      </c>
      <c r="F8" s="73">
        <v>187.6876047</v>
      </c>
      <c r="G8" s="73">
        <v>80.0</v>
      </c>
      <c r="H8" s="73">
        <v>0.0</v>
      </c>
      <c r="I8" s="74">
        <v>43873.0</v>
      </c>
      <c r="J8" s="74">
        <v>43873.0</v>
      </c>
      <c r="K8" s="74">
        <v>43872.0</v>
      </c>
      <c r="L8" s="74">
        <v>43873.0</v>
      </c>
      <c r="M8" s="75"/>
      <c r="N8" s="73">
        <v>1.0</v>
      </c>
      <c r="O8" s="72" t="s">
        <v>20</v>
      </c>
      <c r="P8" s="73">
        <v>300.0</v>
      </c>
      <c r="Q8" s="73">
        <v>15015.00838</v>
      </c>
      <c r="R8" s="73">
        <v>15015.00838</v>
      </c>
      <c r="S8" s="72" t="s">
        <v>38</v>
      </c>
    </row>
    <row r="9" ht="15.75" customHeight="1">
      <c r="A9" s="4"/>
      <c r="B9" s="72" t="s">
        <v>73</v>
      </c>
      <c r="C9" s="72" t="s">
        <v>18</v>
      </c>
      <c r="D9" s="72" t="s">
        <v>38</v>
      </c>
      <c r="E9" s="72" t="s">
        <v>17</v>
      </c>
      <c r="F9" s="73">
        <v>341.2501903</v>
      </c>
      <c r="G9" s="73">
        <v>26.4</v>
      </c>
      <c r="H9" s="73">
        <v>0.0</v>
      </c>
      <c r="I9" s="74">
        <v>43873.0</v>
      </c>
      <c r="J9" s="74">
        <v>43873.0</v>
      </c>
      <c r="K9" s="74">
        <v>43872.0</v>
      </c>
      <c r="L9" s="74">
        <v>43873.0</v>
      </c>
      <c r="M9" s="75"/>
      <c r="N9" s="73">
        <v>1.0</v>
      </c>
      <c r="O9" s="72" t="s">
        <v>20</v>
      </c>
      <c r="P9" s="73">
        <v>341.2501903</v>
      </c>
      <c r="Q9" s="73">
        <v>9009.005025</v>
      </c>
      <c r="R9" s="73">
        <v>9009.005025</v>
      </c>
      <c r="S9" s="72" t="s">
        <v>38</v>
      </c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22</v>
      </c>
      <c r="D3" s="5" t="s">
        <v>9</v>
      </c>
      <c r="E3" s="21" t="s">
        <v>24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22</v>
      </c>
      <c r="D3" s="5" t="s">
        <v>9</v>
      </c>
      <c r="E3" s="21" t="s">
        <v>30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34">
        <v>315.0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37</v>
      </c>
      <c r="C7" s="38">
        <v>1325.0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73</v>
      </c>
      <c r="C8" s="38">
        <v>170.0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32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2">
        <v>43873.0</v>
      </c>
      <c r="E6" s="43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33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45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52">
        <v>43871.0</v>
      </c>
      <c r="C6" s="54" t="s">
        <v>17</v>
      </c>
      <c r="D6" s="54" t="s">
        <v>26</v>
      </c>
      <c r="E6" s="54" t="s">
        <v>18</v>
      </c>
      <c r="F6" s="54" t="s">
        <v>48</v>
      </c>
      <c r="G6" s="51">
        <v>549.02</v>
      </c>
      <c r="H6" s="53">
        <v>0.0</v>
      </c>
      <c r="I6" s="4"/>
      <c r="J6" s="4"/>
      <c r="K6" s="4"/>
      <c r="L6" s="51">
        <v>1.0</v>
      </c>
      <c r="M6" s="54" t="s">
        <v>20</v>
      </c>
      <c r="N6" s="54" t="s">
        <v>46</v>
      </c>
      <c r="O6" s="54" t="s">
        <v>49</v>
      </c>
      <c r="P6" s="54" t="s">
        <v>18</v>
      </c>
      <c r="Q6" s="54" t="s">
        <v>50</v>
      </c>
      <c r="R6" s="51">
        <v>549.02</v>
      </c>
      <c r="S6" s="51">
        <v>0.0</v>
      </c>
    </row>
    <row r="7" ht="15.75" customHeight="1">
      <c r="A7" s="4"/>
      <c r="B7" s="52">
        <v>43871.0</v>
      </c>
      <c r="C7" s="54" t="s">
        <v>17</v>
      </c>
      <c r="D7" s="54" t="s">
        <v>26</v>
      </c>
      <c r="E7" s="54" t="s">
        <v>18</v>
      </c>
      <c r="F7" s="56" t="s">
        <v>52</v>
      </c>
      <c r="G7" s="57">
        <v>0.0</v>
      </c>
      <c r="H7" s="58">
        <v>549.02</v>
      </c>
      <c r="I7" s="4"/>
      <c r="J7" s="4"/>
      <c r="K7" s="4"/>
      <c r="L7" s="58">
        <v>1.0</v>
      </c>
      <c r="M7" s="56" t="s">
        <v>20</v>
      </c>
      <c r="N7" s="56" t="s">
        <v>53</v>
      </c>
      <c r="O7" s="56" t="s">
        <v>49</v>
      </c>
      <c r="P7" s="56" t="s">
        <v>18</v>
      </c>
      <c r="Q7" s="54" t="s">
        <v>50</v>
      </c>
      <c r="R7" s="58">
        <v>0.0</v>
      </c>
      <c r="S7" s="58">
        <v>549.02</v>
      </c>
    </row>
    <row r="8" ht="15.75" customHeight="1">
      <c r="A8" s="4"/>
      <c r="B8" s="52">
        <v>43872.0</v>
      </c>
      <c r="C8" s="54" t="s">
        <v>17</v>
      </c>
      <c r="D8" s="54" t="s">
        <v>26</v>
      </c>
      <c r="E8" s="54" t="s">
        <v>18</v>
      </c>
      <c r="F8" s="54" t="s">
        <v>54</v>
      </c>
      <c r="G8" s="51">
        <v>38.04</v>
      </c>
      <c r="H8" s="53">
        <v>0.0</v>
      </c>
      <c r="I8" s="4"/>
      <c r="J8" s="4"/>
      <c r="K8" s="4"/>
      <c r="L8" s="51">
        <v>1.0</v>
      </c>
      <c r="M8" s="54" t="s">
        <v>20</v>
      </c>
      <c r="N8" s="54" t="s">
        <v>46</v>
      </c>
      <c r="O8" s="54" t="s">
        <v>49</v>
      </c>
      <c r="P8" s="54" t="s">
        <v>18</v>
      </c>
      <c r="Q8" s="54" t="s">
        <v>55</v>
      </c>
      <c r="R8" s="51">
        <v>38.04</v>
      </c>
      <c r="S8" s="51">
        <v>0.0</v>
      </c>
    </row>
    <row r="9" ht="15.75" customHeight="1">
      <c r="A9" s="4"/>
      <c r="B9" s="52">
        <v>43872.0</v>
      </c>
      <c r="C9" s="54" t="s">
        <v>17</v>
      </c>
      <c r="D9" s="54" t="s">
        <v>26</v>
      </c>
      <c r="E9" s="54" t="s">
        <v>18</v>
      </c>
      <c r="F9" s="56" t="s">
        <v>51</v>
      </c>
      <c r="G9" s="57">
        <v>0.0</v>
      </c>
      <c r="H9" s="58">
        <v>38.04</v>
      </c>
      <c r="I9" s="4"/>
      <c r="J9" s="4"/>
      <c r="K9" s="4"/>
      <c r="L9" s="58">
        <v>1.0</v>
      </c>
      <c r="M9" s="56" t="s">
        <v>20</v>
      </c>
      <c r="N9" s="56" t="s">
        <v>53</v>
      </c>
      <c r="O9" s="56" t="s">
        <v>49</v>
      </c>
      <c r="P9" s="56" t="s">
        <v>18</v>
      </c>
      <c r="Q9" s="54" t="s">
        <v>55</v>
      </c>
      <c r="R9" s="58">
        <v>0.0</v>
      </c>
      <c r="S9" s="58">
        <v>38.04</v>
      </c>
    </row>
    <row r="10" ht="15.75" customHeight="1">
      <c r="A10" s="4"/>
      <c r="B10" s="52">
        <v>43872.0</v>
      </c>
      <c r="C10" s="54" t="s">
        <v>17</v>
      </c>
      <c r="D10" s="54" t="s">
        <v>26</v>
      </c>
      <c r="E10" s="54" t="s">
        <v>18</v>
      </c>
      <c r="F10" s="54" t="s">
        <v>56</v>
      </c>
      <c r="G10" s="51">
        <v>775.99</v>
      </c>
      <c r="H10" s="53">
        <v>0.0</v>
      </c>
      <c r="I10" s="4"/>
      <c r="J10" s="4"/>
      <c r="K10" s="4"/>
      <c r="L10" s="51">
        <v>1.0</v>
      </c>
      <c r="M10" s="54" t="s">
        <v>20</v>
      </c>
      <c r="N10" s="54" t="s">
        <v>46</v>
      </c>
      <c r="O10" s="54" t="s">
        <v>49</v>
      </c>
      <c r="P10" s="54" t="s">
        <v>18</v>
      </c>
      <c r="Q10" s="54" t="s">
        <v>50</v>
      </c>
      <c r="R10" s="51">
        <v>775.99</v>
      </c>
      <c r="S10" s="51">
        <v>0.0</v>
      </c>
    </row>
    <row r="11" ht="15.75" customHeight="1">
      <c r="A11" s="4"/>
      <c r="B11" s="52">
        <v>43872.0</v>
      </c>
      <c r="C11" s="54" t="s">
        <v>17</v>
      </c>
      <c r="D11" s="54" t="s">
        <v>26</v>
      </c>
      <c r="E11" s="54" t="s">
        <v>18</v>
      </c>
      <c r="F11" s="56" t="s">
        <v>48</v>
      </c>
      <c r="G11" s="57">
        <v>0.0</v>
      </c>
      <c r="H11" s="58">
        <v>775.99</v>
      </c>
      <c r="I11" s="4"/>
      <c r="J11" s="4"/>
      <c r="K11" s="4"/>
      <c r="L11" s="58">
        <v>1.0</v>
      </c>
      <c r="M11" s="56" t="s">
        <v>20</v>
      </c>
      <c r="N11" s="56" t="s">
        <v>53</v>
      </c>
      <c r="O11" s="56" t="s">
        <v>49</v>
      </c>
      <c r="P11" s="56" t="s">
        <v>18</v>
      </c>
      <c r="Q11" s="54" t="s">
        <v>50</v>
      </c>
      <c r="R11" s="58">
        <v>0.0</v>
      </c>
      <c r="S11" s="58">
        <v>775.99</v>
      </c>
    </row>
    <row r="12" ht="15.75" customHeight="1">
      <c r="A12" s="4"/>
      <c r="B12" s="52">
        <v>43872.0</v>
      </c>
      <c r="C12" s="54" t="s">
        <v>17</v>
      </c>
      <c r="D12" s="54" t="s">
        <v>37</v>
      </c>
      <c r="E12" s="54" t="s">
        <v>18</v>
      </c>
      <c r="F12" s="54" t="s">
        <v>56</v>
      </c>
      <c r="G12" s="51">
        <v>475.93</v>
      </c>
      <c r="H12" s="53">
        <v>0.0</v>
      </c>
      <c r="I12" s="4"/>
      <c r="J12" s="4"/>
      <c r="K12" s="4"/>
      <c r="L12" s="51">
        <v>1.0</v>
      </c>
      <c r="M12" s="54" t="s">
        <v>20</v>
      </c>
      <c r="N12" s="54" t="s">
        <v>46</v>
      </c>
      <c r="O12" s="54" t="s">
        <v>49</v>
      </c>
      <c r="P12" s="54" t="s">
        <v>18</v>
      </c>
      <c r="Q12" s="54" t="s">
        <v>50</v>
      </c>
      <c r="R12" s="51">
        <v>475.93</v>
      </c>
      <c r="S12" s="51">
        <v>0.0</v>
      </c>
    </row>
    <row r="13" ht="15.75" customHeight="1">
      <c r="A13" s="4"/>
      <c r="B13" s="52">
        <v>43872.0</v>
      </c>
      <c r="C13" s="54" t="s">
        <v>17</v>
      </c>
      <c r="D13" s="54" t="s">
        <v>37</v>
      </c>
      <c r="E13" s="54" t="s">
        <v>18</v>
      </c>
      <c r="F13" s="56" t="s">
        <v>48</v>
      </c>
      <c r="G13" s="57">
        <v>0.0</v>
      </c>
      <c r="H13" s="58">
        <v>475.93</v>
      </c>
      <c r="I13" s="4"/>
      <c r="J13" s="4"/>
      <c r="K13" s="4"/>
      <c r="L13" s="58">
        <v>1.0</v>
      </c>
      <c r="M13" s="56" t="s">
        <v>20</v>
      </c>
      <c r="N13" s="56" t="s">
        <v>53</v>
      </c>
      <c r="O13" s="56" t="s">
        <v>49</v>
      </c>
      <c r="P13" s="56" t="s">
        <v>18</v>
      </c>
      <c r="Q13" s="54" t="s">
        <v>50</v>
      </c>
      <c r="R13" s="58">
        <v>0.0</v>
      </c>
      <c r="S13" s="58">
        <v>475.93</v>
      </c>
    </row>
    <row r="14" ht="15.75" customHeight="1">
      <c r="A14" s="4"/>
      <c r="B14" s="52">
        <v>43872.0</v>
      </c>
      <c r="C14" s="54" t="s">
        <v>17</v>
      </c>
      <c r="D14" s="54" t="s">
        <v>26</v>
      </c>
      <c r="E14" s="54" t="s">
        <v>18</v>
      </c>
      <c r="F14" s="54" t="s">
        <v>52</v>
      </c>
      <c r="G14" s="51">
        <v>549.02</v>
      </c>
      <c r="H14" s="53">
        <v>0.0</v>
      </c>
      <c r="I14" s="4"/>
      <c r="J14" s="4"/>
      <c r="K14" s="4"/>
      <c r="L14" s="51">
        <v>1.0</v>
      </c>
      <c r="M14" s="54" t="s">
        <v>20</v>
      </c>
      <c r="N14" s="54" t="s">
        <v>46</v>
      </c>
      <c r="O14" s="54" t="s">
        <v>49</v>
      </c>
      <c r="P14" s="54" t="s">
        <v>18</v>
      </c>
      <c r="Q14" s="54" t="s">
        <v>58</v>
      </c>
      <c r="R14" s="51">
        <v>549.02</v>
      </c>
      <c r="S14" s="51">
        <v>0.0</v>
      </c>
    </row>
    <row r="15" ht="15.75" customHeight="1">
      <c r="A15" s="4"/>
      <c r="B15" s="52">
        <v>43872.0</v>
      </c>
      <c r="C15" s="54" t="s">
        <v>17</v>
      </c>
      <c r="D15" s="54" t="s">
        <v>26</v>
      </c>
      <c r="E15" s="54" t="s">
        <v>18</v>
      </c>
      <c r="F15" s="56" t="s">
        <v>48</v>
      </c>
      <c r="G15" s="57">
        <v>0.0</v>
      </c>
      <c r="H15" s="58">
        <v>549.02</v>
      </c>
      <c r="I15" s="4"/>
      <c r="J15" s="4"/>
      <c r="K15" s="4"/>
      <c r="L15" s="58">
        <v>1.0</v>
      </c>
      <c r="M15" s="56" t="s">
        <v>20</v>
      </c>
      <c r="N15" s="56" t="s">
        <v>53</v>
      </c>
      <c r="O15" s="56" t="s">
        <v>49</v>
      </c>
      <c r="P15" s="56" t="s">
        <v>18</v>
      </c>
      <c r="Q15" s="54" t="s">
        <v>58</v>
      </c>
      <c r="R15" s="58">
        <v>0.0</v>
      </c>
      <c r="S15" s="58">
        <v>549.02</v>
      </c>
    </row>
    <row r="16" ht="15.75" customHeight="1">
      <c r="A16" s="4"/>
      <c r="B16" s="52">
        <v>43873.0</v>
      </c>
      <c r="C16" s="54" t="s">
        <v>17</v>
      </c>
      <c r="D16" s="54" t="s">
        <v>26</v>
      </c>
      <c r="E16" s="54" t="s">
        <v>18</v>
      </c>
      <c r="F16" s="54" t="s">
        <v>56</v>
      </c>
      <c r="G16" s="51">
        <v>10184.99</v>
      </c>
      <c r="H16" s="53">
        <v>0.0</v>
      </c>
      <c r="I16" s="4"/>
      <c r="J16" s="4"/>
      <c r="K16" s="4"/>
      <c r="L16" s="51">
        <v>1.0</v>
      </c>
      <c r="M16" s="54" t="s">
        <v>20</v>
      </c>
      <c r="N16" s="54" t="s">
        <v>46</v>
      </c>
      <c r="O16" s="54" t="s">
        <v>49</v>
      </c>
      <c r="P16" s="54" t="s">
        <v>18</v>
      </c>
      <c r="Q16" s="54" t="s">
        <v>50</v>
      </c>
      <c r="R16" s="51">
        <v>10184.99</v>
      </c>
      <c r="S16" s="51">
        <v>0.0</v>
      </c>
    </row>
    <row r="17" ht="15.75" customHeight="1">
      <c r="A17" s="4"/>
      <c r="B17" s="52">
        <v>43873.0</v>
      </c>
      <c r="C17" s="54" t="s">
        <v>17</v>
      </c>
      <c r="D17" s="54" t="s">
        <v>26</v>
      </c>
      <c r="E17" s="54" t="s">
        <v>18</v>
      </c>
      <c r="F17" s="56" t="s">
        <v>48</v>
      </c>
      <c r="G17" s="57">
        <v>0.0</v>
      </c>
      <c r="H17" s="58">
        <v>10184.99</v>
      </c>
      <c r="I17" s="4"/>
      <c r="J17" s="4"/>
      <c r="K17" s="4"/>
      <c r="L17" s="58">
        <v>1.0</v>
      </c>
      <c r="M17" s="56" t="s">
        <v>20</v>
      </c>
      <c r="N17" s="56" t="s">
        <v>53</v>
      </c>
      <c r="O17" s="56" t="s">
        <v>49</v>
      </c>
      <c r="P17" s="56" t="s">
        <v>18</v>
      </c>
      <c r="Q17" s="54" t="s">
        <v>50</v>
      </c>
      <c r="R17" s="58">
        <v>0.0</v>
      </c>
      <c r="S17" s="58">
        <v>10184.99</v>
      </c>
    </row>
    <row r="18" ht="15.75" customHeight="1">
      <c r="A18" s="4"/>
      <c r="B18" s="52">
        <v>43873.0</v>
      </c>
      <c r="C18" s="54" t="s">
        <v>17</v>
      </c>
      <c r="D18" s="54" t="s">
        <v>37</v>
      </c>
      <c r="E18" s="54" t="s">
        <v>18</v>
      </c>
      <c r="F18" s="54" t="s">
        <v>56</v>
      </c>
      <c r="G18" s="51">
        <v>975.93</v>
      </c>
      <c r="H18" s="53">
        <v>0.0</v>
      </c>
      <c r="I18" s="4"/>
      <c r="J18" s="4"/>
      <c r="K18" s="4"/>
      <c r="L18" s="51">
        <v>1.0</v>
      </c>
      <c r="M18" s="54" t="s">
        <v>20</v>
      </c>
      <c r="N18" s="54" t="s">
        <v>46</v>
      </c>
      <c r="O18" s="54" t="s">
        <v>49</v>
      </c>
      <c r="P18" s="54" t="s">
        <v>18</v>
      </c>
      <c r="Q18" s="54" t="s">
        <v>50</v>
      </c>
      <c r="R18" s="51">
        <v>975.93</v>
      </c>
      <c r="S18" s="51">
        <v>0.0</v>
      </c>
    </row>
    <row r="19" ht="15.75" customHeight="1">
      <c r="A19" s="4"/>
      <c r="B19" s="52">
        <v>43873.0</v>
      </c>
      <c r="C19" s="54" t="s">
        <v>17</v>
      </c>
      <c r="D19" s="54" t="s">
        <v>37</v>
      </c>
      <c r="E19" s="54" t="s">
        <v>18</v>
      </c>
      <c r="F19" s="56" t="s">
        <v>48</v>
      </c>
      <c r="G19" s="57">
        <v>0.0</v>
      </c>
      <c r="H19" s="58">
        <v>975.93</v>
      </c>
      <c r="I19" s="4"/>
      <c r="J19" s="4"/>
      <c r="K19" s="4"/>
      <c r="L19" s="58">
        <v>1.0</v>
      </c>
      <c r="M19" s="56" t="s">
        <v>20</v>
      </c>
      <c r="N19" s="56" t="s">
        <v>53</v>
      </c>
      <c r="O19" s="56" t="s">
        <v>49</v>
      </c>
      <c r="P19" s="56" t="s">
        <v>18</v>
      </c>
      <c r="Q19" s="54" t="s">
        <v>50</v>
      </c>
      <c r="R19" s="58">
        <v>0.0</v>
      </c>
      <c r="S19" s="58">
        <v>975.93</v>
      </c>
    </row>
    <row r="20" ht="15.75" customHeight="1">
      <c r="A20" s="4"/>
      <c r="B20" s="52">
        <v>43873.0</v>
      </c>
      <c r="C20" s="54" t="s">
        <v>17</v>
      </c>
      <c r="D20" s="54" t="s">
        <v>73</v>
      </c>
      <c r="E20" s="54" t="s">
        <v>18</v>
      </c>
      <c r="F20" s="54" t="s">
        <v>48</v>
      </c>
      <c r="G20" s="51">
        <v>4521.01</v>
      </c>
      <c r="H20" s="53">
        <v>0.0</v>
      </c>
      <c r="I20" s="4"/>
      <c r="J20" s="4"/>
      <c r="K20" s="4"/>
      <c r="L20" s="51">
        <v>1.0</v>
      </c>
      <c r="M20" s="54" t="s">
        <v>20</v>
      </c>
      <c r="N20" s="54" t="s">
        <v>46</v>
      </c>
      <c r="O20" s="54" t="s">
        <v>49</v>
      </c>
      <c r="P20" s="54" t="s">
        <v>18</v>
      </c>
      <c r="Q20" s="54" t="s">
        <v>50</v>
      </c>
      <c r="R20" s="51">
        <v>4521.01</v>
      </c>
      <c r="S20" s="51">
        <v>0.0</v>
      </c>
    </row>
    <row r="21" ht="15.75" customHeight="1">
      <c r="A21" s="4"/>
      <c r="B21" s="52">
        <v>43873.0</v>
      </c>
      <c r="C21" s="54" t="s">
        <v>17</v>
      </c>
      <c r="D21" s="54" t="s">
        <v>73</v>
      </c>
      <c r="E21" s="54" t="s">
        <v>18</v>
      </c>
      <c r="F21" s="56" t="s">
        <v>56</v>
      </c>
      <c r="G21" s="57">
        <v>0.0</v>
      </c>
      <c r="H21" s="58">
        <v>4521.01</v>
      </c>
      <c r="I21" s="4"/>
      <c r="J21" s="4"/>
      <c r="K21" s="4"/>
      <c r="L21" s="58">
        <v>1.0</v>
      </c>
      <c r="M21" s="56" t="s">
        <v>20</v>
      </c>
      <c r="N21" s="56" t="s">
        <v>53</v>
      </c>
      <c r="O21" s="56" t="s">
        <v>49</v>
      </c>
      <c r="P21" s="56" t="s">
        <v>18</v>
      </c>
      <c r="Q21" s="54" t="s">
        <v>50</v>
      </c>
      <c r="R21" s="58">
        <v>0.0</v>
      </c>
      <c r="S21" s="58">
        <v>4521.01</v>
      </c>
    </row>
    <row r="22" ht="15.75" customHeight="1">
      <c r="A22" s="4"/>
      <c r="B22" s="52">
        <v>43873.0</v>
      </c>
      <c r="C22" s="54" t="s">
        <v>17</v>
      </c>
      <c r="D22" s="54" t="s">
        <v>26</v>
      </c>
      <c r="E22" s="54" t="s">
        <v>18</v>
      </c>
      <c r="F22" s="54" t="s">
        <v>48</v>
      </c>
      <c r="G22" s="51">
        <v>775.99</v>
      </c>
      <c r="H22" s="53">
        <v>0.0</v>
      </c>
      <c r="I22" s="4"/>
      <c r="J22" s="4"/>
      <c r="K22" s="4"/>
      <c r="L22" s="51">
        <v>1.0</v>
      </c>
      <c r="M22" s="54" t="s">
        <v>20</v>
      </c>
      <c r="N22" s="54" t="s">
        <v>46</v>
      </c>
      <c r="O22" s="54" t="s">
        <v>49</v>
      </c>
      <c r="P22" s="54" t="s">
        <v>18</v>
      </c>
      <c r="Q22" s="54" t="s">
        <v>58</v>
      </c>
      <c r="R22" s="51">
        <v>775.99</v>
      </c>
      <c r="S22" s="51">
        <v>0.0</v>
      </c>
    </row>
    <row r="23" ht="15.75" customHeight="1">
      <c r="A23" s="4"/>
      <c r="B23" s="52">
        <v>43873.0</v>
      </c>
      <c r="C23" s="54" t="s">
        <v>17</v>
      </c>
      <c r="D23" s="54" t="s">
        <v>26</v>
      </c>
      <c r="E23" s="54" t="s">
        <v>18</v>
      </c>
      <c r="F23" s="56" t="s">
        <v>56</v>
      </c>
      <c r="G23" s="57">
        <v>0.0</v>
      </c>
      <c r="H23" s="58">
        <v>775.99</v>
      </c>
      <c r="I23" s="4"/>
      <c r="J23" s="4"/>
      <c r="K23" s="4"/>
      <c r="L23" s="58">
        <v>1.0</v>
      </c>
      <c r="M23" s="56" t="s">
        <v>20</v>
      </c>
      <c r="N23" s="56" t="s">
        <v>53</v>
      </c>
      <c r="O23" s="56" t="s">
        <v>49</v>
      </c>
      <c r="P23" s="56" t="s">
        <v>18</v>
      </c>
      <c r="Q23" s="54" t="s">
        <v>58</v>
      </c>
      <c r="R23" s="58">
        <v>0.0</v>
      </c>
      <c r="S23" s="58">
        <v>775.99</v>
      </c>
    </row>
    <row r="24" ht="15.75" customHeight="1">
      <c r="A24" s="4"/>
      <c r="B24" s="52">
        <v>43873.0</v>
      </c>
      <c r="C24" s="54" t="s">
        <v>17</v>
      </c>
      <c r="D24" s="54" t="s">
        <v>37</v>
      </c>
      <c r="E24" s="54" t="s">
        <v>18</v>
      </c>
      <c r="F24" s="54" t="s">
        <v>48</v>
      </c>
      <c r="G24" s="51">
        <v>475.93</v>
      </c>
      <c r="H24" s="53">
        <v>0.0</v>
      </c>
      <c r="I24" s="4"/>
      <c r="J24" s="4"/>
      <c r="K24" s="4"/>
      <c r="L24" s="51">
        <v>1.0</v>
      </c>
      <c r="M24" s="54" t="s">
        <v>20</v>
      </c>
      <c r="N24" s="54" t="s">
        <v>46</v>
      </c>
      <c r="O24" s="54" t="s">
        <v>49</v>
      </c>
      <c r="P24" s="54" t="s">
        <v>18</v>
      </c>
      <c r="Q24" s="54" t="s">
        <v>58</v>
      </c>
      <c r="R24" s="51">
        <v>475.93</v>
      </c>
      <c r="S24" s="51">
        <v>0.0</v>
      </c>
    </row>
    <row r="25" ht="15.75" customHeight="1">
      <c r="A25" s="4"/>
      <c r="B25" s="52">
        <v>43873.0</v>
      </c>
      <c r="C25" s="54" t="s">
        <v>17</v>
      </c>
      <c r="D25" s="54" t="s">
        <v>37</v>
      </c>
      <c r="E25" s="54" t="s">
        <v>18</v>
      </c>
      <c r="F25" s="56" t="s">
        <v>56</v>
      </c>
      <c r="G25" s="57">
        <v>0.0</v>
      </c>
      <c r="H25" s="58">
        <v>475.93</v>
      </c>
      <c r="I25" s="4"/>
      <c r="J25" s="4"/>
      <c r="K25" s="4"/>
      <c r="L25" s="58">
        <v>1.0</v>
      </c>
      <c r="M25" s="56" t="s">
        <v>20</v>
      </c>
      <c r="N25" s="56" t="s">
        <v>53</v>
      </c>
      <c r="O25" s="56" t="s">
        <v>49</v>
      </c>
      <c r="P25" s="56" t="s">
        <v>18</v>
      </c>
      <c r="Q25" s="54" t="s">
        <v>58</v>
      </c>
      <c r="R25" s="58">
        <v>0.0</v>
      </c>
      <c r="S25" s="58">
        <v>475.93</v>
      </c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44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52">
        <v>43871.0</v>
      </c>
      <c r="C6" s="4"/>
      <c r="D6" s="6"/>
      <c r="E6" s="51">
        <v>24.0176</v>
      </c>
      <c r="F6" s="53">
        <v>0.0</v>
      </c>
      <c r="G6" s="51">
        <v>1.0</v>
      </c>
      <c r="H6" s="54" t="s">
        <v>20</v>
      </c>
      <c r="I6" s="54" t="s">
        <v>46</v>
      </c>
      <c r="J6" s="54" t="s">
        <v>47</v>
      </c>
      <c r="K6" s="54" t="s">
        <v>18</v>
      </c>
      <c r="L6" s="54" t="s">
        <v>18</v>
      </c>
      <c r="M6" s="54" t="s">
        <v>26</v>
      </c>
      <c r="N6" s="55"/>
      <c r="O6" s="51">
        <v>24.0176</v>
      </c>
      <c r="P6" s="51">
        <v>0.0</v>
      </c>
      <c r="Q6" s="54" t="s">
        <v>51</v>
      </c>
      <c r="R6" s="54" t="s">
        <v>17</v>
      </c>
    </row>
    <row r="7" ht="15.75" customHeight="1">
      <c r="A7" s="4"/>
      <c r="B7" s="52">
        <v>43871.0</v>
      </c>
      <c r="C7" s="4"/>
      <c r="D7" s="4"/>
      <c r="E7" s="57">
        <v>0.0</v>
      </c>
      <c r="F7" s="58">
        <v>24.0176</v>
      </c>
      <c r="G7" s="58">
        <v>1.0</v>
      </c>
      <c r="H7" s="56" t="s">
        <v>20</v>
      </c>
      <c r="I7" s="56" t="s">
        <v>53</v>
      </c>
      <c r="J7" s="56" t="s">
        <v>47</v>
      </c>
      <c r="K7" s="54" t="s">
        <v>18</v>
      </c>
      <c r="L7" s="56" t="s">
        <v>18</v>
      </c>
      <c r="M7" s="54" t="s">
        <v>26</v>
      </c>
      <c r="N7" s="55"/>
      <c r="O7" s="58">
        <v>0.0</v>
      </c>
      <c r="P7" s="58">
        <v>24.0176</v>
      </c>
      <c r="Q7" s="56" t="s">
        <v>19</v>
      </c>
      <c r="R7" s="54" t="s">
        <v>17</v>
      </c>
    </row>
    <row r="8" ht="15.75" customHeight="1">
      <c r="A8" s="4"/>
      <c r="B8" s="52">
        <v>43871.0</v>
      </c>
      <c r="C8" s="4"/>
      <c r="D8" s="4"/>
      <c r="E8" s="51">
        <v>31500.0</v>
      </c>
      <c r="F8" s="53">
        <v>0.0</v>
      </c>
      <c r="G8" s="51">
        <v>1.0</v>
      </c>
      <c r="H8" s="54" t="s">
        <v>20</v>
      </c>
      <c r="I8" s="54" t="s">
        <v>46</v>
      </c>
      <c r="J8" s="54" t="s">
        <v>47</v>
      </c>
      <c r="K8" s="54" t="s">
        <v>18</v>
      </c>
      <c r="L8" s="54" t="s">
        <v>18</v>
      </c>
      <c r="M8" s="54" t="s">
        <v>26</v>
      </c>
      <c r="N8" s="55"/>
      <c r="O8" s="51">
        <v>31500.0</v>
      </c>
      <c r="P8" s="51">
        <v>0.0</v>
      </c>
      <c r="Q8" s="54" t="s">
        <v>19</v>
      </c>
      <c r="R8" s="54" t="s">
        <v>17</v>
      </c>
    </row>
    <row r="9" ht="15.75" customHeight="1">
      <c r="A9" s="4"/>
      <c r="B9" s="52">
        <v>43871.0</v>
      </c>
      <c r="C9" s="4"/>
      <c r="D9" s="4"/>
      <c r="E9" s="57">
        <v>0.0</v>
      </c>
      <c r="F9" s="58">
        <v>31500.0</v>
      </c>
      <c r="G9" s="58">
        <v>1.0</v>
      </c>
      <c r="H9" s="56" t="s">
        <v>20</v>
      </c>
      <c r="I9" s="56" t="s">
        <v>53</v>
      </c>
      <c r="J9" s="56" t="s">
        <v>47</v>
      </c>
      <c r="K9" s="54" t="s">
        <v>18</v>
      </c>
      <c r="L9" s="56" t="s">
        <v>18</v>
      </c>
      <c r="M9" s="54" t="s">
        <v>26</v>
      </c>
      <c r="N9" s="55"/>
      <c r="O9" s="58">
        <v>0.0</v>
      </c>
      <c r="P9" s="58">
        <v>31500.0</v>
      </c>
      <c r="Q9" s="56" t="s">
        <v>51</v>
      </c>
      <c r="R9" s="54" t="s">
        <v>17</v>
      </c>
    </row>
    <row r="10" ht="15.75" customHeight="1">
      <c r="A10" s="4"/>
      <c r="B10" s="52">
        <v>43872.0</v>
      </c>
      <c r="C10" s="4"/>
      <c r="D10" s="4"/>
      <c r="E10" s="51">
        <v>31514.0176</v>
      </c>
      <c r="F10" s="53">
        <v>0.0</v>
      </c>
      <c r="G10" s="51">
        <v>1.0</v>
      </c>
      <c r="H10" s="54" t="s">
        <v>20</v>
      </c>
      <c r="I10" s="54" t="s">
        <v>46</v>
      </c>
      <c r="J10" s="54" t="s">
        <v>47</v>
      </c>
      <c r="K10" s="54" t="s">
        <v>18</v>
      </c>
      <c r="L10" s="54" t="s">
        <v>18</v>
      </c>
      <c r="M10" s="54" t="s">
        <v>26</v>
      </c>
      <c r="N10" s="55"/>
      <c r="O10" s="51">
        <v>31514.0176</v>
      </c>
      <c r="P10" s="51">
        <v>0.0</v>
      </c>
      <c r="Q10" s="54" t="s">
        <v>51</v>
      </c>
      <c r="R10" s="54" t="s">
        <v>17</v>
      </c>
    </row>
    <row r="11" ht="15.75" customHeight="1">
      <c r="A11" s="4"/>
      <c r="B11" s="52">
        <v>43872.0</v>
      </c>
      <c r="C11" s="4"/>
      <c r="D11" s="4"/>
      <c r="E11" s="57">
        <v>0.0</v>
      </c>
      <c r="F11" s="58">
        <v>31514.0176</v>
      </c>
      <c r="G11" s="58">
        <v>1.0</v>
      </c>
      <c r="H11" s="56" t="s">
        <v>20</v>
      </c>
      <c r="I11" s="56" t="s">
        <v>53</v>
      </c>
      <c r="J11" s="56" t="s">
        <v>47</v>
      </c>
      <c r="K11" s="54" t="s">
        <v>18</v>
      </c>
      <c r="L11" s="56" t="s">
        <v>18</v>
      </c>
      <c r="M11" s="54" t="s">
        <v>26</v>
      </c>
      <c r="N11" s="55"/>
      <c r="O11" s="58">
        <v>0.0</v>
      </c>
      <c r="P11" s="58">
        <v>31514.0176</v>
      </c>
      <c r="Q11" s="56" t="s">
        <v>19</v>
      </c>
      <c r="R11" s="54" t="s">
        <v>17</v>
      </c>
    </row>
    <row r="12" ht="15.75" customHeight="1">
      <c r="A12" s="4"/>
      <c r="B12" s="52">
        <v>43872.0</v>
      </c>
      <c r="C12" s="4"/>
      <c r="D12" s="4"/>
      <c r="E12" s="51">
        <v>24024.0134</v>
      </c>
      <c r="F12" s="53">
        <v>0.0</v>
      </c>
      <c r="G12" s="51">
        <v>1.0</v>
      </c>
      <c r="H12" s="54" t="s">
        <v>20</v>
      </c>
      <c r="I12" s="54" t="s">
        <v>46</v>
      </c>
      <c r="J12" s="54" t="s">
        <v>47</v>
      </c>
      <c r="K12" s="54" t="s">
        <v>18</v>
      </c>
      <c r="L12" s="54" t="s">
        <v>18</v>
      </c>
      <c r="M12" s="54" t="s">
        <v>26</v>
      </c>
      <c r="N12" s="55"/>
      <c r="O12" s="51">
        <v>24024.0134</v>
      </c>
      <c r="P12" s="51">
        <v>0.0</v>
      </c>
      <c r="Q12" s="54" t="s">
        <v>57</v>
      </c>
      <c r="R12" s="54" t="s">
        <v>17</v>
      </c>
    </row>
    <row r="13" ht="15.75" customHeight="1">
      <c r="A13" s="4"/>
      <c r="B13" s="52">
        <v>43872.0</v>
      </c>
      <c r="C13" s="4"/>
      <c r="D13" s="4"/>
      <c r="E13" s="57">
        <v>0.0</v>
      </c>
      <c r="F13" s="58">
        <v>24024.0134</v>
      </c>
      <c r="G13" s="58">
        <v>1.0</v>
      </c>
      <c r="H13" s="56" t="s">
        <v>20</v>
      </c>
      <c r="I13" s="56" t="s">
        <v>53</v>
      </c>
      <c r="J13" s="56" t="s">
        <v>47</v>
      </c>
      <c r="K13" s="54" t="s">
        <v>18</v>
      </c>
      <c r="L13" s="56" t="s">
        <v>18</v>
      </c>
      <c r="M13" s="54" t="s">
        <v>26</v>
      </c>
      <c r="N13" s="55"/>
      <c r="O13" s="58">
        <v>0.0</v>
      </c>
      <c r="P13" s="58">
        <v>24024.0134</v>
      </c>
      <c r="Q13" s="56" t="s">
        <v>19</v>
      </c>
      <c r="R13" s="54" t="s">
        <v>17</v>
      </c>
    </row>
    <row r="14" ht="15.75" customHeight="1">
      <c r="A14" s="4"/>
      <c r="B14" s="52">
        <v>43872.0</v>
      </c>
      <c r="C14" s="4"/>
      <c r="D14" s="4"/>
      <c r="E14" s="51">
        <v>131524.0736</v>
      </c>
      <c r="F14" s="53">
        <v>0.0</v>
      </c>
      <c r="G14" s="51">
        <v>1.0</v>
      </c>
      <c r="H14" s="54" t="s">
        <v>20</v>
      </c>
      <c r="I14" s="54" t="s">
        <v>46</v>
      </c>
      <c r="J14" s="54" t="s">
        <v>47</v>
      </c>
      <c r="K14" s="54" t="s">
        <v>18</v>
      </c>
      <c r="L14" s="54" t="s">
        <v>18</v>
      </c>
      <c r="M14" s="54" t="s">
        <v>37</v>
      </c>
      <c r="N14" s="55"/>
      <c r="O14" s="51">
        <v>131524.0736</v>
      </c>
      <c r="P14" s="51">
        <v>0.0</v>
      </c>
      <c r="Q14" s="54" t="s">
        <v>57</v>
      </c>
      <c r="R14" s="54" t="s">
        <v>17</v>
      </c>
    </row>
    <row r="15" ht="15.75" customHeight="1">
      <c r="A15" s="4"/>
      <c r="B15" s="52">
        <v>43872.0</v>
      </c>
      <c r="C15" s="4"/>
      <c r="D15" s="4"/>
      <c r="E15" s="57">
        <v>0.0</v>
      </c>
      <c r="F15" s="58">
        <v>131524.0736</v>
      </c>
      <c r="G15" s="58">
        <v>1.0</v>
      </c>
      <c r="H15" s="56" t="s">
        <v>20</v>
      </c>
      <c r="I15" s="56" t="s">
        <v>53</v>
      </c>
      <c r="J15" s="56" t="s">
        <v>47</v>
      </c>
      <c r="K15" s="54" t="s">
        <v>18</v>
      </c>
      <c r="L15" s="56" t="s">
        <v>18</v>
      </c>
      <c r="M15" s="54" t="s">
        <v>37</v>
      </c>
      <c r="N15" s="55"/>
      <c r="O15" s="58">
        <v>0.0</v>
      </c>
      <c r="P15" s="58">
        <v>131524.0736</v>
      </c>
      <c r="Q15" s="56" t="s">
        <v>19</v>
      </c>
      <c r="R15" s="54" t="s">
        <v>17</v>
      </c>
    </row>
    <row r="16" ht="15.75" customHeight="1">
      <c r="A16" s="4"/>
      <c r="B16" s="52">
        <v>43873.0</v>
      </c>
      <c r="C16" s="4"/>
      <c r="D16" s="4"/>
      <c r="E16" s="51">
        <v>24024.0134</v>
      </c>
      <c r="F16" s="53">
        <v>0.0</v>
      </c>
      <c r="G16" s="51">
        <v>1.0</v>
      </c>
      <c r="H16" s="54" t="s">
        <v>20</v>
      </c>
      <c r="I16" s="54" t="s">
        <v>46</v>
      </c>
      <c r="J16" s="54" t="s">
        <v>47</v>
      </c>
      <c r="K16" s="54" t="s">
        <v>18</v>
      </c>
      <c r="L16" s="54" t="s">
        <v>18</v>
      </c>
      <c r="M16" s="54" t="s">
        <v>26</v>
      </c>
      <c r="N16" s="55"/>
      <c r="O16" s="51">
        <v>24024.0134</v>
      </c>
      <c r="P16" s="51">
        <v>0.0</v>
      </c>
      <c r="Q16" s="54" t="s">
        <v>19</v>
      </c>
      <c r="R16" s="54" t="s">
        <v>17</v>
      </c>
    </row>
    <row r="17" ht="15.75" customHeight="1">
      <c r="A17" s="4"/>
      <c r="B17" s="52">
        <v>43873.0</v>
      </c>
      <c r="C17" s="4"/>
      <c r="D17" s="4"/>
      <c r="E17" s="57">
        <v>0.0</v>
      </c>
      <c r="F17" s="58">
        <v>24024.0134</v>
      </c>
      <c r="G17" s="58">
        <v>1.0</v>
      </c>
      <c r="H17" s="56" t="s">
        <v>20</v>
      </c>
      <c r="I17" s="56" t="s">
        <v>53</v>
      </c>
      <c r="J17" s="56" t="s">
        <v>47</v>
      </c>
      <c r="K17" s="54" t="s">
        <v>18</v>
      </c>
      <c r="L17" s="56" t="s">
        <v>18</v>
      </c>
      <c r="M17" s="54" t="s">
        <v>26</v>
      </c>
      <c r="N17" s="55"/>
      <c r="O17" s="58">
        <v>0.0</v>
      </c>
      <c r="P17" s="58">
        <v>24024.0134</v>
      </c>
      <c r="Q17" s="56" t="s">
        <v>57</v>
      </c>
      <c r="R17" s="54" t="s">
        <v>17</v>
      </c>
    </row>
    <row r="18" ht="15.75" customHeight="1">
      <c r="A18" s="4"/>
      <c r="B18" s="52">
        <v>43873.0</v>
      </c>
      <c r="C18" s="4"/>
      <c r="D18" s="4"/>
      <c r="E18" s="51">
        <v>15015.00838</v>
      </c>
      <c r="F18" s="53">
        <v>0.0</v>
      </c>
      <c r="G18" s="51">
        <v>1.0</v>
      </c>
      <c r="H18" s="54" t="s">
        <v>20</v>
      </c>
      <c r="I18" s="54" t="s">
        <v>46</v>
      </c>
      <c r="J18" s="54" t="s">
        <v>47</v>
      </c>
      <c r="K18" s="54" t="s">
        <v>18</v>
      </c>
      <c r="L18" s="54" t="s">
        <v>18</v>
      </c>
      <c r="M18" s="54" t="s">
        <v>26</v>
      </c>
      <c r="N18" s="55"/>
      <c r="O18" s="51">
        <v>15015.00838</v>
      </c>
      <c r="P18" s="51">
        <v>0.0</v>
      </c>
      <c r="Q18" s="54" t="s">
        <v>57</v>
      </c>
      <c r="R18" s="54" t="s">
        <v>17</v>
      </c>
    </row>
    <row r="19" ht="15.75" customHeight="1">
      <c r="A19" s="4"/>
      <c r="B19" s="52">
        <v>43873.0</v>
      </c>
      <c r="C19" s="4"/>
      <c r="D19" s="4"/>
      <c r="E19" s="57">
        <v>0.0</v>
      </c>
      <c r="F19" s="58">
        <v>15015.00838</v>
      </c>
      <c r="G19" s="58">
        <v>1.0</v>
      </c>
      <c r="H19" s="56" t="s">
        <v>20</v>
      </c>
      <c r="I19" s="56" t="s">
        <v>53</v>
      </c>
      <c r="J19" s="56" t="s">
        <v>47</v>
      </c>
      <c r="K19" s="54" t="s">
        <v>18</v>
      </c>
      <c r="L19" s="56" t="s">
        <v>18</v>
      </c>
      <c r="M19" s="54" t="s">
        <v>26</v>
      </c>
      <c r="N19" s="55"/>
      <c r="O19" s="58">
        <v>0.0</v>
      </c>
      <c r="P19" s="58">
        <v>15015.00838</v>
      </c>
      <c r="Q19" s="56" t="s">
        <v>19</v>
      </c>
      <c r="R19" s="54" t="s">
        <v>17</v>
      </c>
    </row>
    <row r="20" ht="15.75" customHeight="1">
      <c r="A20" s="4"/>
      <c r="B20" s="52">
        <v>43873.0</v>
      </c>
      <c r="C20" s="4"/>
      <c r="D20" s="4"/>
      <c r="E20" s="51">
        <v>9009.005025</v>
      </c>
      <c r="F20" s="53">
        <v>0.0</v>
      </c>
      <c r="G20" s="51">
        <v>1.0</v>
      </c>
      <c r="H20" s="54" t="s">
        <v>20</v>
      </c>
      <c r="I20" s="54" t="s">
        <v>46</v>
      </c>
      <c r="J20" s="54" t="s">
        <v>47</v>
      </c>
      <c r="K20" s="54" t="s">
        <v>18</v>
      </c>
      <c r="L20" s="54" t="s">
        <v>18</v>
      </c>
      <c r="M20" s="54" t="s">
        <v>73</v>
      </c>
      <c r="N20" s="55"/>
      <c r="O20" s="51">
        <v>9009.005025</v>
      </c>
      <c r="P20" s="51">
        <v>0.0</v>
      </c>
      <c r="Q20" s="54" t="s">
        <v>57</v>
      </c>
      <c r="R20" s="54" t="s">
        <v>17</v>
      </c>
    </row>
    <row r="21" ht="15.75" customHeight="1">
      <c r="A21" s="4"/>
      <c r="B21" s="52">
        <v>43873.0</v>
      </c>
      <c r="C21" s="4"/>
      <c r="D21" s="4"/>
      <c r="E21" s="57">
        <v>0.0</v>
      </c>
      <c r="F21" s="58">
        <v>9009.005025</v>
      </c>
      <c r="G21" s="58">
        <v>1.0</v>
      </c>
      <c r="H21" s="56" t="s">
        <v>20</v>
      </c>
      <c r="I21" s="56" t="s">
        <v>53</v>
      </c>
      <c r="J21" s="56" t="s">
        <v>47</v>
      </c>
      <c r="K21" s="54" t="s">
        <v>18</v>
      </c>
      <c r="L21" s="56" t="s">
        <v>18</v>
      </c>
      <c r="M21" s="54" t="s">
        <v>73</v>
      </c>
      <c r="N21" s="55"/>
      <c r="O21" s="58">
        <v>0.0</v>
      </c>
      <c r="P21" s="58">
        <v>9009.005025</v>
      </c>
      <c r="Q21" s="56" t="s">
        <v>19</v>
      </c>
      <c r="R21" s="54" t="s">
        <v>17</v>
      </c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59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9</v>
      </c>
      <c r="E3" s="21" t="s">
        <v>60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59" t="s">
        <v>17</v>
      </c>
      <c r="C6" s="59" t="s">
        <v>49</v>
      </c>
      <c r="D6" s="59" t="s">
        <v>61</v>
      </c>
      <c r="E6" s="60">
        <v>-549.02</v>
      </c>
      <c r="F6" s="60">
        <v>0.0</v>
      </c>
      <c r="G6" s="60">
        <v>0.0</v>
      </c>
      <c r="H6" s="59" t="s">
        <v>62</v>
      </c>
      <c r="I6" s="60">
        <v>0.0</v>
      </c>
      <c r="J6" s="60">
        <v>0.0</v>
      </c>
      <c r="K6" s="59" t="s">
        <v>18</v>
      </c>
      <c r="L6" s="59" t="s">
        <v>50</v>
      </c>
      <c r="M6" s="4"/>
      <c r="N6" s="59" t="s">
        <v>20</v>
      </c>
      <c r="O6" s="60">
        <v>1.0</v>
      </c>
      <c r="P6" s="61"/>
      <c r="R6" s="60">
        <v>0.0</v>
      </c>
      <c r="S6" s="60">
        <v>0.0</v>
      </c>
      <c r="T6" s="60">
        <v>0.0</v>
      </c>
      <c r="U6" s="60">
        <v>0.0</v>
      </c>
      <c r="V6" s="60">
        <v>0.0</v>
      </c>
      <c r="W6" s="60">
        <v>0.0</v>
      </c>
      <c r="X6" s="61"/>
      <c r="Z6" s="60">
        <v>0.0</v>
      </c>
      <c r="AA6" s="60">
        <v>0.0</v>
      </c>
      <c r="AB6" s="59" t="s">
        <v>26</v>
      </c>
      <c r="AC6" s="60">
        <v>0.0</v>
      </c>
      <c r="AD6" s="60">
        <v>0.0</v>
      </c>
      <c r="AE6" s="62">
        <v>43871.0</v>
      </c>
      <c r="AF6" s="60">
        <v>0.0</v>
      </c>
      <c r="AG6" s="63" t="s">
        <v>49</v>
      </c>
    </row>
    <row r="7" ht="15.75" customHeight="1">
      <c r="A7" s="4"/>
      <c r="B7" s="64" t="s">
        <v>17</v>
      </c>
      <c r="C7" s="64" t="s">
        <v>63</v>
      </c>
      <c r="D7" s="64" t="s">
        <v>64</v>
      </c>
      <c r="E7" s="65">
        <v>500000.0</v>
      </c>
      <c r="F7" s="65">
        <v>0.0</v>
      </c>
      <c r="G7" s="65">
        <v>0.0</v>
      </c>
      <c r="H7" s="64" t="s">
        <v>62</v>
      </c>
      <c r="I7" s="65">
        <v>0.0</v>
      </c>
      <c r="J7" s="65">
        <v>0.0</v>
      </c>
      <c r="K7" s="64" t="s">
        <v>18</v>
      </c>
      <c r="L7" s="66"/>
      <c r="M7" s="4"/>
      <c r="N7" s="64" t="s">
        <v>20</v>
      </c>
      <c r="O7" s="65">
        <v>1.0</v>
      </c>
      <c r="P7" s="66"/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W7" s="65">
        <v>0.0</v>
      </c>
      <c r="X7" s="66"/>
      <c r="Z7" s="65">
        <v>0.0</v>
      </c>
      <c r="AA7" s="65">
        <v>0.0</v>
      </c>
      <c r="AB7" s="66"/>
      <c r="AC7" s="65">
        <v>0.0</v>
      </c>
      <c r="AD7" s="65">
        <v>0.0</v>
      </c>
      <c r="AE7" s="67">
        <v>43871.0</v>
      </c>
      <c r="AF7" s="65">
        <v>0.0</v>
      </c>
      <c r="AG7" s="68" t="s">
        <v>65</v>
      </c>
    </row>
    <row r="8" ht="15.75" customHeight="1">
      <c r="A8" s="4"/>
      <c r="B8" s="59" t="s">
        <v>17</v>
      </c>
      <c r="C8" s="59" t="s">
        <v>47</v>
      </c>
      <c r="D8" s="59" t="s">
        <v>66</v>
      </c>
      <c r="E8" s="60">
        <v>31475.9824</v>
      </c>
      <c r="F8" s="60">
        <v>4.0</v>
      </c>
      <c r="G8" s="60">
        <v>5.0</v>
      </c>
      <c r="H8" s="59" t="s">
        <v>62</v>
      </c>
      <c r="I8" s="60">
        <v>0.0</v>
      </c>
      <c r="J8" s="60">
        <v>2.5</v>
      </c>
      <c r="K8" s="59" t="s">
        <v>18</v>
      </c>
      <c r="L8" s="61"/>
      <c r="M8" s="4"/>
      <c r="N8" s="59" t="s">
        <v>20</v>
      </c>
      <c r="O8" s="60">
        <v>1.0</v>
      </c>
      <c r="P8" s="61"/>
      <c r="R8" s="60">
        <v>0.0</v>
      </c>
      <c r="S8" s="60">
        <v>0.0</v>
      </c>
      <c r="T8" s="60">
        <v>0.0</v>
      </c>
      <c r="U8" s="60">
        <v>0.0</v>
      </c>
      <c r="V8" s="60">
        <v>105.0</v>
      </c>
      <c r="W8" s="60">
        <v>0.0</v>
      </c>
      <c r="X8" s="63" t="s">
        <v>18</v>
      </c>
      <c r="Z8" s="60">
        <v>7.5</v>
      </c>
      <c r="AA8" s="60">
        <v>0.0176</v>
      </c>
      <c r="AB8" s="59" t="s">
        <v>26</v>
      </c>
      <c r="AC8" s="60">
        <v>3.0</v>
      </c>
      <c r="AD8" s="60">
        <v>24.0176</v>
      </c>
      <c r="AE8" s="69">
        <v>43871.0</v>
      </c>
      <c r="AF8" s="60">
        <v>2.0</v>
      </c>
      <c r="AG8" s="63" t="s">
        <v>47</v>
      </c>
    </row>
    <row r="9" ht="15.75" customHeight="1">
      <c r="A9" s="4"/>
      <c r="B9" s="64" t="s">
        <v>17</v>
      </c>
      <c r="C9" s="64" t="s">
        <v>49</v>
      </c>
      <c r="D9" s="64" t="s">
        <v>67</v>
      </c>
      <c r="E9" s="65">
        <v>-38.04</v>
      </c>
      <c r="F9" s="65">
        <v>0.0</v>
      </c>
      <c r="G9" s="65">
        <v>0.0</v>
      </c>
      <c r="H9" s="64" t="s">
        <v>62</v>
      </c>
      <c r="I9" s="65">
        <v>0.0</v>
      </c>
      <c r="J9" s="65">
        <v>0.0</v>
      </c>
      <c r="K9" s="64" t="s">
        <v>18</v>
      </c>
      <c r="L9" s="64" t="s">
        <v>55</v>
      </c>
      <c r="M9" s="4"/>
      <c r="N9" s="64" t="s">
        <v>20</v>
      </c>
      <c r="O9" s="65">
        <v>1.0</v>
      </c>
      <c r="P9" s="66"/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W9" s="65">
        <v>0.0</v>
      </c>
      <c r="X9" s="66"/>
      <c r="Z9" s="65">
        <v>0.0</v>
      </c>
      <c r="AA9" s="65">
        <v>0.0</v>
      </c>
      <c r="AB9" s="64" t="s">
        <v>26</v>
      </c>
      <c r="AC9" s="65">
        <v>0.0</v>
      </c>
      <c r="AD9" s="65">
        <v>0.0</v>
      </c>
      <c r="AE9" s="67">
        <v>43872.0</v>
      </c>
      <c r="AF9" s="65">
        <v>0.0</v>
      </c>
      <c r="AG9" s="68" t="s">
        <v>49</v>
      </c>
    </row>
    <row r="10" ht="15.75" customHeight="1">
      <c r="A10" s="4"/>
      <c r="B10" s="59" t="s">
        <v>17</v>
      </c>
      <c r="C10" s="59" t="s">
        <v>49</v>
      </c>
      <c r="D10" s="59" t="s">
        <v>68</v>
      </c>
      <c r="E10" s="60">
        <v>775.99</v>
      </c>
      <c r="F10" s="60">
        <v>0.0</v>
      </c>
      <c r="G10" s="60">
        <v>0.0</v>
      </c>
      <c r="H10" s="59" t="s">
        <v>62</v>
      </c>
      <c r="I10" s="60">
        <v>0.0</v>
      </c>
      <c r="J10" s="60">
        <v>0.0</v>
      </c>
      <c r="K10" s="59" t="s">
        <v>18</v>
      </c>
      <c r="L10" s="59" t="s">
        <v>50</v>
      </c>
      <c r="M10" s="4"/>
      <c r="N10" s="59" t="s">
        <v>20</v>
      </c>
      <c r="O10" s="60">
        <v>1.0</v>
      </c>
      <c r="P10" s="61"/>
      <c r="R10" s="60">
        <v>0.0</v>
      </c>
      <c r="S10" s="60">
        <v>0.0</v>
      </c>
      <c r="T10" s="60">
        <v>0.0</v>
      </c>
      <c r="U10" s="60">
        <v>0.0</v>
      </c>
      <c r="V10" s="60">
        <v>0.0</v>
      </c>
      <c r="W10" s="60">
        <v>0.0</v>
      </c>
      <c r="X10" s="61"/>
      <c r="Z10" s="60">
        <v>0.0</v>
      </c>
      <c r="AA10" s="60">
        <v>0.0</v>
      </c>
      <c r="AB10" s="59" t="s">
        <v>26</v>
      </c>
      <c r="AC10" s="60">
        <v>0.0</v>
      </c>
      <c r="AD10" s="60">
        <v>0.0</v>
      </c>
      <c r="AE10" s="62">
        <v>43872.0</v>
      </c>
      <c r="AF10" s="60">
        <v>0.0</v>
      </c>
      <c r="AG10" s="63" t="s">
        <v>49</v>
      </c>
    </row>
    <row r="11" ht="15.75" customHeight="1">
      <c r="A11" s="4"/>
      <c r="B11" s="64" t="s">
        <v>17</v>
      </c>
      <c r="C11" s="64" t="s">
        <v>49</v>
      </c>
      <c r="D11" s="64" t="s">
        <v>68</v>
      </c>
      <c r="E11" s="65">
        <v>475.93</v>
      </c>
      <c r="F11" s="65">
        <v>0.0</v>
      </c>
      <c r="G11" s="65">
        <v>0.0</v>
      </c>
      <c r="H11" s="64" t="s">
        <v>62</v>
      </c>
      <c r="I11" s="65">
        <v>0.0</v>
      </c>
      <c r="J11" s="65">
        <v>0.0</v>
      </c>
      <c r="K11" s="64" t="s">
        <v>18</v>
      </c>
      <c r="L11" s="64" t="s">
        <v>50</v>
      </c>
      <c r="M11" s="4"/>
      <c r="N11" s="64" t="s">
        <v>20</v>
      </c>
      <c r="O11" s="65">
        <v>1.0</v>
      </c>
      <c r="P11" s="66"/>
      <c r="R11" s="65">
        <v>0.0</v>
      </c>
      <c r="S11" s="65">
        <v>0.0</v>
      </c>
      <c r="T11" s="65">
        <v>0.0</v>
      </c>
      <c r="U11" s="65">
        <v>0.0</v>
      </c>
      <c r="V11" s="65">
        <v>0.0</v>
      </c>
      <c r="W11" s="65">
        <v>0.0</v>
      </c>
      <c r="X11" s="66"/>
      <c r="Z11" s="65">
        <v>0.0</v>
      </c>
      <c r="AA11" s="65">
        <v>0.0</v>
      </c>
      <c r="AB11" s="64" t="s">
        <v>37</v>
      </c>
      <c r="AC11" s="65">
        <v>0.0</v>
      </c>
      <c r="AD11" s="65">
        <v>0.0</v>
      </c>
      <c r="AE11" s="67">
        <v>43872.0</v>
      </c>
      <c r="AF11" s="65">
        <v>0.0</v>
      </c>
      <c r="AG11" s="68" t="s">
        <v>49</v>
      </c>
    </row>
    <row r="12" ht="15.75" customHeight="1">
      <c r="A12" s="4"/>
      <c r="B12" s="59" t="s">
        <v>17</v>
      </c>
      <c r="C12" s="59" t="s">
        <v>49</v>
      </c>
      <c r="D12" s="59" t="s">
        <v>61</v>
      </c>
      <c r="E12" s="60">
        <v>549.02</v>
      </c>
      <c r="F12" s="60">
        <v>0.0</v>
      </c>
      <c r="G12" s="60">
        <v>0.0</v>
      </c>
      <c r="H12" s="59" t="s">
        <v>62</v>
      </c>
      <c r="I12" s="60">
        <v>0.0</v>
      </c>
      <c r="J12" s="60">
        <v>0.0</v>
      </c>
      <c r="K12" s="59" t="s">
        <v>18</v>
      </c>
      <c r="L12" s="59" t="s">
        <v>58</v>
      </c>
      <c r="M12" s="4"/>
      <c r="N12" s="59" t="s">
        <v>20</v>
      </c>
      <c r="O12" s="60">
        <v>1.0</v>
      </c>
      <c r="P12" s="61"/>
      <c r="R12" s="60">
        <v>0.0</v>
      </c>
      <c r="S12" s="60">
        <v>0.0</v>
      </c>
      <c r="T12" s="60">
        <v>0.0</v>
      </c>
      <c r="U12" s="60">
        <v>0.0</v>
      </c>
      <c r="V12" s="60">
        <v>0.0</v>
      </c>
      <c r="W12" s="60">
        <v>0.0</v>
      </c>
      <c r="X12" s="61"/>
      <c r="Z12" s="60">
        <v>0.0</v>
      </c>
      <c r="AA12" s="60">
        <v>0.0</v>
      </c>
      <c r="AB12" s="59" t="s">
        <v>26</v>
      </c>
      <c r="AC12" s="60">
        <v>0.0</v>
      </c>
      <c r="AD12" s="60">
        <v>0.0</v>
      </c>
      <c r="AE12" s="62">
        <v>43872.0</v>
      </c>
      <c r="AF12" s="60">
        <v>0.0</v>
      </c>
      <c r="AG12" s="63" t="s">
        <v>49</v>
      </c>
    </row>
    <row r="13" ht="15.75" customHeight="1">
      <c r="A13" s="4"/>
      <c r="B13" s="64" t="s">
        <v>17</v>
      </c>
      <c r="C13" s="64" t="s">
        <v>47</v>
      </c>
      <c r="D13" s="64" t="s">
        <v>66</v>
      </c>
      <c r="E13" s="65">
        <v>-31514.0176</v>
      </c>
      <c r="F13" s="65">
        <v>4.0</v>
      </c>
      <c r="G13" s="65">
        <v>5.0</v>
      </c>
      <c r="H13" s="64" t="s">
        <v>62</v>
      </c>
      <c r="I13" s="65">
        <v>0.0</v>
      </c>
      <c r="J13" s="65">
        <v>0.0</v>
      </c>
      <c r="K13" s="64" t="s">
        <v>18</v>
      </c>
      <c r="L13" s="66"/>
      <c r="M13" s="4"/>
      <c r="N13" s="64" t="s">
        <v>20</v>
      </c>
      <c r="O13" s="65">
        <v>1.0</v>
      </c>
      <c r="P13" s="66"/>
      <c r="R13" s="65">
        <v>0.0</v>
      </c>
      <c r="S13" s="65">
        <v>0.0</v>
      </c>
      <c r="T13" s="65">
        <v>0.0</v>
      </c>
      <c r="U13" s="65">
        <v>0.0</v>
      </c>
      <c r="V13" s="65">
        <v>105.0</v>
      </c>
      <c r="W13" s="65">
        <v>0.0</v>
      </c>
      <c r="X13" s="68" t="s">
        <v>18</v>
      </c>
      <c r="Z13" s="65">
        <v>0.0</v>
      </c>
      <c r="AA13" s="65">
        <v>0.0176</v>
      </c>
      <c r="AB13" s="64" t="s">
        <v>26</v>
      </c>
      <c r="AC13" s="65">
        <v>3.0</v>
      </c>
      <c r="AD13" s="65">
        <v>14.0176</v>
      </c>
      <c r="AE13" s="70">
        <v>43872.0</v>
      </c>
      <c r="AF13" s="65">
        <v>2.0</v>
      </c>
      <c r="AG13" s="68" t="s">
        <v>47</v>
      </c>
    </row>
    <row r="14" ht="15.75" customHeight="1">
      <c r="A14" s="4"/>
      <c r="B14" s="59" t="s">
        <v>17</v>
      </c>
      <c r="C14" s="59" t="s">
        <v>47</v>
      </c>
      <c r="D14" s="59" t="s">
        <v>69</v>
      </c>
      <c r="E14" s="60">
        <v>-24024.0134</v>
      </c>
      <c r="F14" s="60">
        <v>4.0</v>
      </c>
      <c r="G14" s="60">
        <v>5.0</v>
      </c>
      <c r="H14" s="59" t="s">
        <v>62</v>
      </c>
      <c r="I14" s="60">
        <v>0.0</v>
      </c>
      <c r="J14" s="60">
        <v>2.5</v>
      </c>
      <c r="K14" s="59" t="s">
        <v>18</v>
      </c>
      <c r="L14" s="61"/>
      <c r="M14" s="4"/>
      <c r="N14" s="59" t="s">
        <v>20</v>
      </c>
      <c r="O14" s="60">
        <v>1.0</v>
      </c>
      <c r="P14" s="61"/>
      <c r="R14" s="60">
        <v>0.0</v>
      </c>
      <c r="S14" s="60">
        <v>0.0</v>
      </c>
      <c r="T14" s="60">
        <v>0.0</v>
      </c>
      <c r="U14" s="60">
        <v>0.0</v>
      </c>
      <c r="V14" s="60">
        <v>80.0</v>
      </c>
      <c r="W14" s="60">
        <v>0.0</v>
      </c>
      <c r="X14" s="63" t="s">
        <v>18</v>
      </c>
      <c r="Z14" s="60">
        <v>7.5</v>
      </c>
      <c r="AA14" s="60">
        <v>0.0134</v>
      </c>
      <c r="AB14" s="59" t="s">
        <v>26</v>
      </c>
      <c r="AC14" s="60">
        <v>3.0</v>
      </c>
      <c r="AD14" s="60">
        <v>24.0134</v>
      </c>
      <c r="AE14" s="69">
        <v>43872.0</v>
      </c>
      <c r="AF14" s="60">
        <v>2.0</v>
      </c>
      <c r="AG14" s="63" t="s">
        <v>47</v>
      </c>
    </row>
    <row r="15" ht="15.75" customHeight="1">
      <c r="A15" s="4"/>
      <c r="B15" s="64" t="s">
        <v>17</v>
      </c>
      <c r="C15" s="64" t="s">
        <v>47</v>
      </c>
      <c r="D15" s="64" t="s">
        <v>69</v>
      </c>
      <c r="E15" s="65">
        <v>-131524.0736</v>
      </c>
      <c r="F15" s="65">
        <v>4.0</v>
      </c>
      <c r="G15" s="65">
        <v>5.0</v>
      </c>
      <c r="H15" s="64" t="s">
        <v>62</v>
      </c>
      <c r="I15" s="65">
        <v>0.0</v>
      </c>
      <c r="J15" s="65">
        <v>5.0</v>
      </c>
      <c r="K15" s="64" t="s">
        <v>18</v>
      </c>
      <c r="L15" s="66"/>
      <c r="M15" s="4"/>
      <c r="N15" s="64" t="s">
        <v>20</v>
      </c>
      <c r="O15" s="65">
        <v>1.0</v>
      </c>
      <c r="P15" s="66"/>
      <c r="R15" s="65">
        <v>0.0</v>
      </c>
      <c r="S15" s="65">
        <v>0.0</v>
      </c>
      <c r="T15" s="65">
        <v>0.0</v>
      </c>
      <c r="U15" s="65">
        <v>0.0</v>
      </c>
      <c r="V15" s="65">
        <v>100.0</v>
      </c>
      <c r="W15" s="65">
        <v>0.0</v>
      </c>
      <c r="X15" s="68" t="s">
        <v>18</v>
      </c>
      <c r="Z15" s="65">
        <v>5.0</v>
      </c>
      <c r="AA15" s="65">
        <v>0.0736</v>
      </c>
      <c r="AB15" s="64" t="s">
        <v>37</v>
      </c>
      <c r="AC15" s="65">
        <v>3.0</v>
      </c>
      <c r="AD15" s="65">
        <v>24.0736</v>
      </c>
      <c r="AE15" s="70">
        <v>43872.0</v>
      </c>
      <c r="AF15" s="65">
        <v>2.0</v>
      </c>
      <c r="AG15" s="68" t="s">
        <v>47</v>
      </c>
    </row>
    <row r="16" ht="15.75" customHeight="1">
      <c r="A16" s="4"/>
      <c r="B16" s="59" t="s">
        <v>17</v>
      </c>
      <c r="C16" s="59" t="s">
        <v>49</v>
      </c>
      <c r="D16" s="59" t="s">
        <v>68</v>
      </c>
      <c r="E16" s="60">
        <v>10184.99</v>
      </c>
      <c r="F16" s="60">
        <v>0.0</v>
      </c>
      <c r="G16" s="60">
        <v>0.0</v>
      </c>
      <c r="H16" s="59" t="s">
        <v>62</v>
      </c>
      <c r="I16" s="60">
        <v>0.0</v>
      </c>
      <c r="J16" s="60">
        <v>0.0</v>
      </c>
      <c r="K16" s="59" t="s">
        <v>18</v>
      </c>
      <c r="L16" s="59" t="s">
        <v>50</v>
      </c>
      <c r="M16" s="4"/>
      <c r="N16" s="59" t="s">
        <v>20</v>
      </c>
      <c r="O16" s="60">
        <v>1.0</v>
      </c>
      <c r="P16" s="61"/>
      <c r="R16" s="60">
        <v>0.0</v>
      </c>
      <c r="S16" s="60">
        <v>0.0</v>
      </c>
      <c r="T16" s="60">
        <v>0.0</v>
      </c>
      <c r="U16" s="60">
        <v>0.0</v>
      </c>
      <c r="V16" s="60">
        <v>0.0</v>
      </c>
      <c r="W16" s="60">
        <v>0.0</v>
      </c>
      <c r="X16" s="61"/>
      <c r="Z16" s="60">
        <v>0.0</v>
      </c>
      <c r="AA16" s="60">
        <v>0.0</v>
      </c>
      <c r="AB16" s="59" t="s">
        <v>26</v>
      </c>
      <c r="AC16" s="60">
        <v>0.0</v>
      </c>
      <c r="AD16" s="60">
        <v>0.0</v>
      </c>
      <c r="AE16" s="62">
        <v>43873.0</v>
      </c>
      <c r="AF16" s="60">
        <v>0.0</v>
      </c>
      <c r="AG16" s="63" t="s">
        <v>49</v>
      </c>
    </row>
    <row r="17" ht="15.75" customHeight="1">
      <c r="A17" s="4"/>
      <c r="B17" s="64" t="s">
        <v>17</v>
      </c>
      <c r="C17" s="64" t="s">
        <v>49</v>
      </c>
      <c r="D17" s="64" t="s">
        <v>68</v>
      </c>
      <c r="E17" s="65">
        <v>975.93</v>
      </c>
      <c r="F17" s="65">
        <v>0.0</v>
      </c>
      <c r="G17" s="65">
        <v>0.0</v>
      </c>
      <c r="H17" s="64" t="s">
        <v>62</v>
      </c>
      <c r="I17" s="65">
        <v>0.0</v>
      </c>
      <c r="J17" s="65">
        <v>0.0</v>
      </c>
      <c r="K17" s="64" t="s">
        <v>18</v>
      </c>
      <c r="L17" s="64" t="s">
        <v>50</v>
      </c>
      <c r="M17" s="4"/>
      <c r="N17" s="64" t="s">
        <v>20</v>
      </c>
      <c r="O17" s="65">
        <v>1.0</v>
      </c>
      <c r="P17" s="66"/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W17" s="65">
        <v>0.0</v>
      </c>
      <c r="X17" s="66"/>
      <c r="Z17" s="65">
        <v>0.0</v>
      </c>
      <c r="AA17" s="65">
        <v>0.0</v>
      </c>
      <c r="AB17" s="64" t="s">
        <v>37</v>
      </c>
      <c r="AC17" s="65">
        <v>0.0</v>
      </c>
      <c r="AD17" s="65">
        <v>0.0</v>
      </c>
      <c r="AE17" s="67">
        <v>43873.0</v>
      </c>
      <c r="AF17" s="65">
        <v>0.0</v>
      </c>
      <c r="AG17" s="68" t="s">
        <v>49</v>
      </c>
    </row>
    <row r="18" ht="15.75" customHeight="1">
      <c r="A18" s="4"/>
      <c r="B18" s="59" t="s">
        <v>17</v>
      </c>
      <c r="C18" s="59" t="s">
        <v>49</v>
      </c>
      <c r="D18" s="59" t="s">
        <v>68</v>
      </c>
      <c r="E18" s="60">
        <v>-4521.01</v>
      </c>
      <c r="F18" s="60">
        <v>0.0</v>
      </c>
      <c r="G18" s="60">
        <v>0.0</v>
      </c>
      <c r="H18" s="59" t="s">
        <v>62</v>
      </c>
      <c r="I18" s="60">
        <v>0.0</v>
      </c>
      <c r="J18" s="60">
        <v>0.0</v>
      </c>
      <c r="K18" s="59" t="s">
        <v>18</v>
      </c>
      <c r="L18" s="59" t="s">
        <v>50</v>
      </c>
      <c r="M18" s="4"/>
      <c r="N18" s="59" t="s">
        <v>20</v>
      </c>
      <c r="O18" s="60">
        <v>1.0</v>
      </c>
      <c r="P18" s="61"/>
      <c r="R18" s="60">
        <v>0.0</v>
      </c>
      <c r="S18" s="60">
        <v>0.0</v>
      </c>
      <c r="T18" s="60">
        <v>0.0</v>
      </c>
      <c r="U18" s="60">
        <v>0.0</v>
      </c>
      <c r="V18" s="60">
        <v>0.0</v>
      </c>
      <c r="W18" s="60">
        <v>0.0</v>
      </c>
      <c r="X18" s="61"/>
      <c r="Z18" s="60">
        <v>0.0</v>
      </c>
      <c r="AA18" s="60">
        <v>0.0</v>
      </c>
      <c r="AB18" s="59" t="s">
        <v>73</v>
      </c>
      <c r="AC18" s="60">
        <v>0.0</v>
      </c>
      <c r="AD18" s="60">
        <v>0.0</v>
      </c>
      <c r="AE18" s="62">
        <v>43873.0</v>
      </c>
      <c r="AF18" s="60">
        <v>0.0</v>
      </c>
      <c r="AG18" s="63" t="s">
        <v>49</v>
      </c>
    </row>
    <row r="19" ht="15.75" customHeight="1">
      <c r="A19" s="4"/>
      <c r="B19" s="64" t="s">
        <v>17</v>
      </c>
      <c r="C19" s="64" t="s">
        <v>49</v>
      </c>
      <c r="D19" s="64" t="s">
        <v>68</v>
      </c>
      <c r="E19" s="65">
        <v>-775.99</v>
      </c>
      <c r="F19" s="65">
        <v>0.0</v>
      </c>
      <c r="G19" s="65">
        <v>0.0</v>
      </c>
      <c r="H19" s="64" t="s">
        <v>62</v>
      </c>
      <c r="I19" s="65">
        <v>0.0</v>
      </c>
      <c r="J19" s="65">
        <v>0.0</v>
      </c>
      <c r="K19" s="64" t="s">
        <v>18</v>
      </c>
      <c r="L19" s="64" t="s">
        <v>58</v>
      </c>
      <c r="M19" s="4"/>
      <c r="N19" s="64" t="s">
        <v>20</v>
      </c>
      <c r="O19" s="65">
        <v>1.0</v>
      </c>
      <c r="P19" s="66"/>
      <c r="R19" s="65">
        <v>0.0</v>
      </c>
      <c r="S19" s="65">
        <v>0.0</v>
      </c>
      <c r="T19" s="65">
        <v>0.0</v>
      </c>
      <c r="U19" s="65">
        <v>0.0</v>
      </c>
      <c r="V19" s="65">
        <v>0.0</v>
      </c>
      <c r="W19" s="65">
        <v>0.0</v>
      </c>
      <c r="X19" s="66"/>
      <c r="Z19" s="65">
        <v>0.0</v>
      </c>
      <c r="AA19" s="65">
        <v>0.0</v>
      </c>
      <c r="AB19" s="64" t="s">
        <v>26</v>
      </c>
      <c r="AC19" s="65">
        <v>0.0</v>
      </c>
      <c r="AD19" s="65">
        <v>0.0</v>
      </c>
      <c r="AE19" s="67">
        <v>43873.0</v>
      </c>
      <c r="AF19" s="65">
        <v>0.0</v>
      </c>
      <c r="AG19" s="68" t="s">
        <v>49</v>
      </c>
    </row>
    <row r="20" ht="15.75" customHeight="1">
      <c r="A20" s="4"/>
      <c r="B20" s="59" t="s">
        <v>17</v>
      </c>
      <c r="C20" s="59" t="s">
        <v>49</v>
      </c>
      <c r="D20" s="59" t="s">
        <v>68</v>
      </c>
      <c r="E20" s="60">
        <v>-475.93</v>
      </c>
      <c r="F20" s="60">
        <v>0.0</v>
      </c>
      <c r="G20" s="60">
        <v>0.0</v>
      </c>
      <c r="H20" s="59" t="s">
        <v>62</v>
      </c>
      <c r="I20" s="60">
        <v>0.0</v>
      </c>
      <c r="J20" s="60">
        <v>0.0</v>
      </c>
      <c r="K20" s="59" t="s">
        <v>18</v>
      </c>
      <c r="L20" s="59" t="s">
        <v>58</v>
      </c>
      <c r="M20" s="4"/>
      <c r="N20" s="59" t="s">
        <v>20</v>
      </c>
      <c r="O20" s="60">
        <v>1.0</v>
      </c>
      <c r="P20" s="61"/>
      <c r="R20" s="60">
        <v>0.0</v>
      </c>
      <c r="S20" s="60">
        <v>0.0</v>
      </c>
      <c r="T20" s="60">
        <v>0.0</v>
      </c>
      <c r="U20" s="60">
        <v>0.0</v>
      </c>
      <c r="V20" s="60">
        <v>0.0</v>
      </c>
      <c r="W20" s="60">
        <v>0.0</v>
      </c>
      <c r="X20" s="61"/>
      <c r="Z20" s="60">
        <v>0.0</v>
      </c>
      <c r="AA20" s="60">
        <v>0.0</v>
      </c>
      <c r="AB20" s="59" t="s">
        <v>37</v>
      </c>
      <c r="AC20" s="60">
        <v>0.0</v>
      </c>
      <c r="AD20" s="60">
        <v>0.0</v>
      </c>
      <c r="AE20" s="62">
        <v>43873.0</v>
      </c>
      <c r="AF20" s="60">
        <v>0.0</v>
      </c>
      <c r="AG20" s="63" t="s">
        <v>49</v>
      </c>
    </row>
    <row r="21" ht="15.75" customHeight="1">
      <c r="A21" s="4"/>
      <c r="B21" s="64" t="s">
        <v>17</v>
      </c>
      <c r="C21" s="64" t="s">
        <v>47</v>
      </c>
      <c r="D21" s="64" t="s">
        <v>69</v>
      </c>
      <c r="E21" s="65">
        <v>24024.0134</v>
      </c>
      <c r="F21" s="65">
        <v>0.0</v>
      </c>
      <c r="G21" s="65">
        <v>0.0</v>
      </c>
      <c r="H21" s="64" t="s">
        <v>62</v>
      </c>
      <c r="I21" s="65">
        <v>0.0</v>
      </c>
      <c r="J21" s="65">
        <v>0.0</v>
      </c>
      <c r="K21" s="64" t="s">
        <v>18</v>
      </c>
      <c r="L21" s="66"/>
      <c r="M21" s="4"/>
      <c r="N21" s="64" t="s">
        <v>20</v>
      </c>
      <c r="O21" s="65">
        <v>1.0</v>
      </c>
      <c r="P21" s="66"/>
      <c r="R21" s="65">
        <v>0.0</v>
      </c>
      <c r="S21" s="65">
        <v>0.0</v>
      </c>
      <c r="T21" s="65">
        <v>0.0</v>
      </c>
      <c r="U21" s="65">
        <v>0.0</v>
      </c>
      <c r="V21" s="65">
        <v>80.0</v>
      </c>
      <c r="W21" s="65">
        <v>0.0</v>
      </c>
      <c r="X21" s="68" t="s">
        <v>18</v>
      </c>
      <c r="Z21" s="65">
        <v>0.0</v>
      </c>
      <c r="AA21" s="65">
        <v>0.0</v>
      </c>
      <c r="AB21" s="64" t="s">
        <v>26</v>
      </c>
      <c r="AC21" s="65">
        <v>0.0</v>
      </c>
      <c r="AD21" s="65">
        <v>0.0</v>
      </c>
      <c r="AE21" s="67">
        <v>43873.0</v>
      </c>
      <c r="AF21" s="65">
        <v>0.0</v>
      </c>
      <c r="AG21" s="68" t="s">
        <v>47</v>
      </c>
    </row>
    <row r="22" ht="15.75" customHeight="1">
      <c r="A22" s="4"/>
      <c r="B22" s="59" t="s">
        <v>17</v>
      </c>
      <c r="C22" s="59" t="s">
        <v>47</v>
      </c>
      <c r="D22" s="59" t="s">
        <v>69</v>
      </c>
      <c r="E22" s="60">
        <v>-15015.00838</v>
      </c>
      <c r="F22" s="60">
        <v>0.0</v>
      </c>
      <c r="G22" s="60">
        <v>0.0</v>
      </c>
      <c r="H22" s="59" t="s">
        <v>62</v>
      </c>
      <c r="I22" s="60">
        <v>0.0</v>
      </c>
      <c r="J22" s="60">
        <v>0.0</v>
      </c>
      <c r="K22" s="59" t="s">
        <v>18</v>
      </c>
      <c r="L22" s="61"/>
      <c r="M22" s="4"/>
      <c r="N22" s="59" t="s">
        <v>20</v>
      </c>
      <c r="O22" s="60">
        <v>1.0</v>
      </c>
      <c r="P22" s="61"/>
      <c r="R22" s="60">
        <v>0.0</v>
      </c>
      <c r="S22" s="60">
        <v>0.0</v>
      </c>
      <c r="T22" s="60">
        <v>0.0</v>
      </c>
      <c r="U22" s="60">
        <v>0.0</v>
      </c>
      <c r="V22" s="60">
        <v>80.0</v>
      </c>
      <c r="W22" s="60">
        <v>0.0</v>
      </c>
      <c r="X22" s="63" t="s">
        <v>18</v>
      </c>
      <c r="Z22" s="60">
        <v>0.0</v>
      </c>
      <c r="AA22" s="60">
        <v>0.0</v>
      </c>
      <c r="AB22" s="59" t="s">
        <v>26</v>
      </c>
      <c r="AC22" s="60">
        <v>0.0</v>
      </c>
      <c r="AD22" s="60">
        <v>0.0</v>
      </c>
      <c r="AE22" s="62">
        <v>43873.0</v>
      </c>
      <c r="AF22" s="60">
        <v>0.0</v>
      </c>
      <c r="AG22" s="63" t="s">
        <v>47</v>
      </c>
    </row>
    <row r="23" ht="15.75" customHeight="1">
      <c r="A23" s="4"/>
      <c r="B23" s="64" t="s">
        <v>17</v>
      </c>
      <c r="C23" s="64" t="s">
        <v>47</v>
      </c>
      <c r="D23" s="64" t="s">
        <v>69</v>
      </c>
      <c r="E23" s="65">
        <v>-9009.005025</v>
      </c>
      <c r="F23" s="65">
        <v>0.0</v>
      </c>
      <c r="G23" s="65">
        <v>0.0</v>
      </c>
      <c r="H23" s="64" t="s">
        <v>62</v>
      </c>
      <c r="I23" s="65">
        <v>0.0</v>
      </c>
      <c r="J23" s="65">
        <v>0.0</v>
      </c>
      <c r="K23" s="64" t="s">
        <v>18</v>
      </c>
      <c r="L23" s="66"/>
      <c r="M23" s="4"/>
      <c r="N23" s="64" t="s">
        <v>20</v>
      </c>
      <c r="O23" s="65">
        <v>1.0</v>
      </c>
      <c r="P23" s="66"/>
      <c r="R23" s="65">
        <v>0.0</v>
      </c>
      <c r="S23" s="65">
        <v>0.0</v>
      </c>
      <c r="T23" s="65">
        <v>0.0</v>
      </c>
      <c r="U23" s="65">
        <v>0.0</v>
      </c>
      <c r="V23" s="65">
        <v>26.4</v>
      </c>
      <c r="W23" s="65">
        <v>0.0</v>
      </c>
      <c r="X23" s="68" t="s">
        <v>18</v>
      </c>
      <c r="Z23" s="65">
        <v>0.0</v>
      </c>
      <c r="AA23" s="65">
        <v>0.0</v>
      </c>
      <c r="AB23" s="64" t="s">
        <v>73</v>
      </c>
      <c r="AC23" s="65">
        <v>0.0</v>
      </c>
      <c r="AD23" s="65">
        <v>0.0</v>
      </c>
      <c r="AE23" s="67">
        <v>43873.0</v>
      </c>
      <c r="AF23" s="65">
        <v>0.0</v>
      </c>
      <c r="AG23" s="68" t="s">
        <v>47</v>
      </c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34</v>
      </c>
      <c r="D3" s="5" t="s">
        <v>9</v>
      </c>
      <c r="E3" s="21" t="s">
        <v>35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39</v>
      </c>
      <c r="C6" s="32">
        <v>43871.0</v>
      </c>
      <c r="D6" s="32">
        <v>43873.0</v>
      </c>
      <c r="E6" s="31" t="s">
        <v>17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0" width="14.43"/>
    <col customWidth="1" min="21" max="21" width="35.43"/>
    <col customWidth="1" min="2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34</v>
      </c>
      <c r="D3" s="5" t="s">
        <v>9</v>
      </c>
      <c r="E3" s="21" t="s">
        <v>76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72" t="s">
        <v>17</v>
      </c>
      <c r="C6" s="72" t="s">
        <v>77</v>
      </c>
      <c r="D6" s="73">
        <v>1.0</v>
      </c>
      <c r="E6" s="76"/>
      <c r="F6" s="4"/>
      <c r="G6" s="4"/>
      <c r="H6" s="73">
        <v>131524.0736</v>
      </c>
      <c r="I6" s="73">
        <v>1315.0</v>
      </c>
      <c r="J6" s="74">
        <v>43872.0</v>
      </c>
      <c r="K6" s="72" t="s">
        <v>78</v>
      </c>
      <c r="L6" s="4"/>
      <c r="M6" s="73">
        <v>100.0</v>
      </c>
      <c r="N6" s="72" t="s">
        <v>79</v>
      </c>
      <c r="O6" s="4"/>
      <c r="P6" s="72" t="s">
        <v>38</v>
      </c>
      <c r="Q6" s="72" t="s">
        <v>80</v>
      </c>
      <c r="R6" s="72" t="s">
        <v>37</v>
      </c>
      <c r="T6" s="73">
        <v>24.0736</v>
      </c>
      <c r="U6" s="74">
        <v>43872.0</v>
      </c>
      <c r="V6" s="72" t="s">
        <v>38</v>
      </c>
      <c r="W6" s="72" t="s">
        <v>81</v>
      </c>
      <c r="X6" s="73">
        <v>1315.240736</v>
      </c>
      <c r="Y6" s="73">
        <v>1315.240736</v>
      </c>
    </row>
    <row r="7" ht="15.75" customHeight="1">
      <c r="A7" s="4"/>
      <c r="B7" s="72" t="s">
        <v>17</v>
      </c>
      <c r="C7" s="72" t="s">
        <v>77</v>
      </c>
      <c r="D7" s="73">
        <v>1.0</v>
      </c>
      <c r="E7" s="4"/>
      <c r="F7" s="4"/>
      <c r="G7" s="4"/>
      <c r="H7" s="73">
        <v>15015.00838</v>
      </c>
      <c r="I7" s="73">
        <v>187.6876047</v>
      </c>
      <c r="J7" s="74">
        <v>43872.0</v>
      </c>
      <c r="K7" s="72" t="s">
        <v>82</v>
      </c>
      <c r="L7" s="4"/>
      <c r="M7" s="73">
        <v>80.0</v>
      </c>
      <c r="N7" s="72" t="s">
        <v>83</v>
      </c>
      <c r="O7" s="4"/>
      <c r="P7" s="72" t="s">
        <v>38</v>
      </c>
      <c r="Q7" s="72" t="s">
        <v>80</v>
      </c>
      <c r="R7" s="72" t="s">
        <v>26</v>
      </c>
      <c r="T7" s="73">
        <v>0.0</v>
      </c>
      <c r="U7" s="74">
        <v>43873.0</v>
      </c>
      <c r="V7" s="72" t="s">
        <v>38</v>
      </c>
      <c r="W7" s="72" t="s">
        <v>81</v>
      </c>
      <c r="X7" s="73">
        <v>187.6876047</v>
      </c>
      <c r="Y7" s="73">
        <v>187.6876047</v>
      </c>
    </row>
    <row r="8" ht="15.75" customHeight="1">
      <c r="A8" s="4"/>
      <c r="B8" s="72" t="s">
        <v>17</v>
      </c>
      <c r="C8" s="72" t="s">
        <v>77</v>
      </c>
      <c r="D8" s="73">
        <v>1.0</v>
      </c>
      <c r="E8" s="4"/>
      <c r="F8" s="4"/>
      <c r="G8" s="4"/>
      <c r="H8" s="73">
        <v>9009.005025</v>
      </c>
      <c r="I8" s="73">
        <v>341.2501903</v>
      </c>
      <c r="J8" s="74">
        <v>43872.0</v>
      </c>
      <c r="K8" s="72" t="s">
        <v>82</v>
      </c>
      <c r="L8" s="4"/>
      <c r="M8" s="73">
        <v>26.4</v>
      </c>
      <c r="N8" s="72" t="s">
        <v>84</v>
      </c>
      <c r="O8" s="4"/>
      <c r="P8" s="72" t="s">
        <v>38</v>
      </c>
      <c r="Q8" s="72" t="s">
        <v>80</v>
      </c>
      <c r="R8" s="72" t="s">
        <v>73</v>
      </c>
      <c r="T8" s="73">
        <v>0.0</v>
      </c>
      <c r="U8" s="74">
        <v>43873.0</v>
      </c>
      <c r="V8" s="72" t="s">
        <v>38</v>
      </c>
      <c r="W8" s="72" t="s">
        <v>81</v>
      </c>
      <c r="X8" s="73">
        <v>341.2501903</v>
      </c>
      <c r="Y8" s="73">
        <v>341.2501903</v>
      </c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85</v>
      </c>
      <c r="D3" s="5" t="s">
        <v>9</v>
      </c>
      <c r="E3" s="21" t="s">
        <v>87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39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85</v>
      </c>
      <c r="D3" s="5" t="s">
        <v>9</v>
      </c>
      <c r="E3" s="21" t="s">
        <v>86</v>
      </c>
      <c r="F3" s="5" t="s">
        <v>14</v>
      </c>
      <c r="G3" s="11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77" t="s">
        <v>17</v>
      </c>
      <c r="C6" s="4"/>
      <c r="D6" s="6"/>
      <c r="E6" s="78">
        <v>105.0</v>
      </c>
      <c r="F6" s="77" t="s">
        <v>88</v>
      </c>
      <c r="G6" s="77" t="s">
        <v>77</v>
      </c>
      <c r="H6" s="78">
        <v>4.0</v>
      </c>
      <c r="I6" s="78">
        <v>5.0</v>
      </c>
      <c r="J6" s="4"/>
      <c r="K6" s="78">
        <v>300.0</v>
      </c>
      <c r="L6" s="78">
        <v>300.0</v>
      </c>
      <c r="M6" s="4"/>
      <c r="N6" s="4"/>
      <c r="O6" s="4"/>
      <c r="R6" s="78">
        <v>0.0</v>
      </c>
      <c r="S6" s="77" t="s">
        <v>89</v>
      </c>
      <c r="T6" s="78">
        <v>2.5</v>
      </c>
      <c r="U6" s="78">
        <v>0.023809523809524</v>
      </c>
      <c r="V6" s="77" t="s">
        <v>83</v>
      </c>
      <c r="W6" s="78">
        <v>1.0</v>
      </c>
      <c r="Z6" s="77" t="s">
        <v>18</v>
      </c>
      <c r="AE6" s="78">
        <v>105.0</v>
      </c>
      <c r="AH6" s="77" t="s">
        <v>20</v>
      </c>
      <c r="AI6" s="78">
        <v>1.0</v>
      </c>
      <c r="AJ6" s="77" t="s">
        <v>42</v>
      </c>
      <c r="AT6" s="79">
        <v>31475.9824</v>
      </c>
      <c r="AU6" s="79">
        <v>31475.9824</v>
      </c>
      <c r="BE6" s="79">
        <v>31500.0</v>
      </c>
      <c r="BF6" s="79">
        <v>31500.0</v>
      </c>
      <c r="BJ6" s="78">
        <v>105.0</v>
      </c>
      <c r="BO6" s="77" t="s">
        <v>27</v>
      </c>
      <c r="BP6" s="78">
        <v>7.5</v>
      </c>
      <c r="BQ6" s="78">
        <v>0.071428571428571</v>
      </c>
      <c r="BR6" s="78">
        <v>0.0176</v>
      </c>
      <c r="BS6" s="77" t="s">
        <v>80</v>
      </c>
      <c r="BT6" s="77" t="s">
        <v>26</v>
      </c>
      <c r="BU6" s="78">
        <v>3.0</v>
      </c>
      <c r="BV6" s="78">
        <v>10.0</v>
      </c>
      <c r="BW6" s="78">
        <v>24.0176</v>
      </c>
      <c r="BX6" s="78">
        <v>0.095238095238095</v>
      </c>
      <c r="CG6" s="78">
        <v>2.0</v>
      </c>
      <c r="CH6" s="77" t="s">
        <v>23</v>
      </c>
      <c r="CI6" s="77" t="s">
        <v>90</v>
      </c>
      <c r="CJ6" s="78">
        <v>0.0</v>
      </c>
      <c r="CM6" s="77" t="s">
        <v>26</v>
      </c>
    </row>
    <row r="7" ht="15.75" customHeight="1">
      <c r="A7" s="4"/>
      <c r="B7" s="77" t="s">
        <v>17</v>
      </c>
      <c r="C7" s="4"/>
      <c r="D7" s="4"/>
      <c r="E7" s="78">
        <v>105.0</v>
      </c>
      <c r="F7" s="77" t="s">
        <v>88</v>
      </c>
      <c r="G7" s="77" t="s">
        <v>77</v>
      </c>
      <c r="H7" s="78">
        <v>4.0</v>
      </c>
      <c r="I7" s="78">
        <v>5.0</v>
      </c>
      <c r="J7" s="4"/>
      <c r="K7" s="78">
        <v>300.0</v>
      </c>
      <c r="L7" s="78">
        <v>300.0</v>
      </c>
      <c r="M7" s="4"/>
      <c r="N7" s="4"/>
      <c r="O7" s="4"/>
      <c r="R7" s="78">
        <v>0.0</v>
      </c>
      <c r="S7" s="77" t="s">
        <v>89</v>
      </c>
      <c r="T7" s="78">
        <v>0.0</v>
      </c>
      <c r="U7" s="78">
        <v>0.0</v>
      </c>
      <c r="V7" s="77" t="s">
        <v>83</v>
      </c>
      <c r="W7" s="78">
        <v>1.0</v>
      </c>
      <c r="Z7" s="77" t="s">
        <v>18</v>
      </c>
      <c r="AE7" s="78">
        <v>105.0</v>
      </c>
      <c r="AH7" s="77" t="s">
        <v>20</v>
      </c>
      <c r="AI7" s="78">
        <v>1.0</v>
      </c>
      <c r="AJ7" s="77" t="s">
        <v>42</v>
      </c>
      <c r="AT7" s="79">
        <v>31514.0176</v>
      </c>
      <c r="AU7" s="79">
        <v>31514.0176</v>
      </c>
      <c r="BE7" s="79">
        <v>31500.0</v>
      </c>
      <c r="BF7" s="79">
        <v>31500.0</v>
      </c>
      <c r="BJ7" s="78">
        <v>105.0</v>
      </c>
      <c r="BO7" s="77" t="s">
        <v>36</v>
      </c>
      <c r="BP7" s="78">
        <v>0.0</v>
      </c>
      <c r="BQ7" s="78">
        <v>0.0</v>
      </c>
      <c r="BR7" s="78">
        <v>0.0176</v>
      </c>
      <c r="BS7" s="77" t="s">
        <v>80</v>
      </c>
      <c r="BT7" s="77" t="s">
        <v>26</v>
      </c>
      <c r="BU7" s="78">
        <v>3.0</v>
      </c>
      <c r="BV7" s="78">
        <v>0.0</v>
      </c>
      <c r="BW7" s="78">
        <v>14.0176</v>
      </c>
      <c r="BX7" s="78">
        <v>0.0</v>
      </c>
      <c r="CG7" s="78">
        <v>2.0</v>
      </c>
      <c r="CH7" s="77" t="s">
        <v>23</v>
      </c>
      <c r="CI7" s="77" t="s">
        <v>91</v>
      </c>
      <c r="CJ7" s="78">
        <v>0.0</v>
      </c>
      <c r="CM7" s="77" t="s">
        <v>26</v>
      </c>
    </row>
    <row r="8" ht="15.75" customHeight="1">
      <c r="A8" s="4"/>
      <c r="B8" s="77" t="s">
        <v>17</v>
      </c>
      <c r="C8" s="4"/>
      <c r="D8" s="4"/>
      <c r="E8" s="78">
        <v>80.0</v>
      </c>
      <c r="F8" s="77" t="s">
        <v>88</v>
      </c>
      <c r="G8" s="77" t="s">
        <v>77</v>
      </c>
      <c r="H8" s="78">
        <v>4.0</v>
      </c>
      <c r="I8" s="78">
        <v>5.0</v>
      </c>
      <c r="J8" s="4"/>
      <c r="K8" s="78">
        <v>300.0</v>
      </c>
      <c r="L8" s="78">
        <v>300.0</v>
      </c>
      <c r="M8" s="4"/>
      <c r="N8" s="4"/>
      <c r="O8" s="4"/>
      <c r="R8" s="78">
        <v>0.0</v>
      </c>
      <c r="S8" s="77" t="s">
        <v>92</v>
      </c>
      <c r="T8" s="78">
        <v>2.5</v>
      </c>
      <c r="U8" s="78">
        <v>0.03125</v>
      </c>
      <c r="V8" s="77" t="s">
        <v>83</v>
      </c>
      <c r="W8" s="78">
        <v>1.0</v>
      </c>
      <c r="Z8" s="77" t="s">
        <v>18</v>
      </c>
      <c r="AE8" s="78">
        <v>80.0</v>
      </c>
      <c r="AH8" s="77" t="s">
        <v>20</v>
      </c>
      <c r="AI8" s="78">
        <v>1.0</v>
      </c>
      <c r="AJ8" s="77" t="s">
        <v>70</v>
      </c>
      <c r="AT8" s="79">
        <v>24024.0134</v>
      </c>
      <c r="AU8" s="79">
        <v>24024.0134</v>
      </c>
      <c r="BE8" s="79">
        <v>24000.0</v>
      </c>
      <c r="BF8" s="79">
        <v>24000.0</v>
      </c>
      <c r="BJ8" s="78">
        <v>80.0</v>
      </c>
      <c r="BO8" s="77" t="s">
        <v>38</v>
      </c>
      <c r="BP8" s="78">
        <v>7.5</v>
      </c>
      <c r="BQ8" s="78">
        <v>0.09375</v>
      </c>
      <c r="BR8" s="78">
        <v>0.0134</v>
      </c>
      <c r="BS8" s="77" t="s">
        <v>80</v>
      </c>
      <c r="BT8" s="77" t="s">
        <v>26</v>
      </c>
      <c r="BU8" s="78">
        <v>3.0</v>
      </c>
      <c r="BV8" s="78">
        <v>10.0</v>
      </c>
      <c r="BW8" s="78">
        <v>24.0134</v>
      </c>
      <c r="BX8" s="78">
        <v>0.125</v>
      </c>
      <c r="CG8" s="78">
        <v>2.0</v>
      </c>
      <c r="CH8" s="77" t="s">
        <v>23</v>
      </c>
      <c r="CI8" s="77" t="s">
        <v>38</v>
      </c>
      <c r="CJ8" s="78">
        <v>0.0</v>
      </c>
      <c r="CM8" s="77" t="s">
        <v>26</v>
      </c>
    </row>
    <row r="9" ht="15.75" customHeight="1">
      <c r="A9" s="4"/>
      <c r="B9" s="77" t="s">
        <v>17</v>
      </c>
      <c r="C9" s="4"/>
      <c r="D9" s="4"/>
      <c r="E9" s="78">
        <v>100.0</v>
      </c>
      <c r="F9" s="77" t="s">
        <v>88</v>
      </c>
      <c r="G9" s="77" t="s">
        <v>77</v>
      </c>
      <c r="H9" s="78">
        <v>4.0</v>
      </c>
      <c r="I9" s="78">
        <v>5.0</v>
      </c>
      <c r="J9" s="4"/>
      <c r="K9" s="79">
        <v>1315.0</v>
      </c>
      <c r="L9" s="79">
        <v>1315.0</v>
      </c>
      <c r="M9" s="4"/>
      <c r="N9" s="4"/>
      <c r="O9" s="4"/>
      <c r="R9" s="78">
        <v>0.0</v>
      </c>
      <c r="S9" s="77" t="s">
        <v>92</v>
      </c>
      <c r="T9" s="78">
        <v>5.0</v>
      </c>
      <c r="U9" s="78">
        <v>0.05</v>
      </c>
      <c r="V9" s="77" t="s">
        <v>79</v>
      </c>
      <c r="W9" s="78">
        <v>1.0</v>
      </c>
      <c r="Z9" s="77" t="s">
        <v>18</v>
      </c>
      <c r="AE9" s="78">
        <v>100.0</v>
      </c>
      <c r="AH9" s="77" t="s">
        <v>20</v>
      </c>
      <c r="AI9" s="78">
        <v>1.0</v>
      </c>
      <c r="AJ9" s="77" t="s">
        <v>42</v>
      </c>
      <c r="AT9" s="79">
        <v>131524.0736</v>
      </c>
      <c r="AU9" s="79">
        <v>131524.0736</v>
      </c>
      <c r="BE9" s="79">
        <v>131500.0</v>
      </c>
      <c r="BF9" s="79">
        <v>131500.0</v>
      </c>
      <c r="BJ9" s="78">
        <v>100.0</v>
      </c>
      <c r="BO9" s="77" t="s">
        <v>38</v>
      </c>
      <c r="BP9" s="78">
        <v>5.0</v>
      </c>
      <c r="BQ9" s="78">
        <v>0.05</v>
      </c>
      <c r="BR9" s="78">
        <v>0.0736</v>
      </c>
      <c r="BS9" s="77" t="s">
        <v>80</v>
      </c>
      <c r="BT9" s="77" t="s">
        <v>37</v>
      </c>
      <c r="BU9" s="78">
        <v>3.0</v>
      </c>
      <c r="BV9" s="78">
        <v>10.0</v>
      </c>
      <c r="BW9" s="78">
        <v>24.0736</v>
      </c>
      <c r="BX9" s="78">
        <v>0.1</v>
      </c>
      <c r="CG9" s="78">
        <v>2.0</v>
      </c>
      <c r="CH9" s="77" t="s">
        <v>23</v>
      </c>
      <c r="CI9" s="77" t="s">
        <v>38</v>
      </c>
      <c r="CJ9" s="78">
        <v>0.0</v>
      </c>
      <c r="CM9" s="77" t="s">
        <v>37</v>
      </c>
    </row>
    <row r="10" ht="15.75" customHeight="1">
      <c r="A10" s="4"/>
      <c r="B10" s="77" t="s">
        <v>17</v>
      </c>
      <c r="C10" s="4"/>
      <c r="D10" s="4"/>
      <c r="E10" s="78">
        <v>80.0</v>
      </c>
      <c r="F10" s="77" t="s">
        <v>88</v>
      </c>
      <c r="G10" s="77" t="s">
        <v>77</v>
      </c>
      <c r="H10" s="78">
        <v>0.0</v>
      </c>
      <c r="I10" s="78">
        <v>0.0</v>
      </c>
      <c r="J10" s="4"/>
      <c r="K10" s="78">
        <v>300.3001675</v>
      </c>
      <c r="L10" s="78">
        <v>300.3001675</v>
      </c>
      <c r="M10" s="4"/>
      <c r="N10" s="4"/>
      <c r="O10" s="4"/>
      <c r="R10" s="78">
        <v>0.0</v>
      </c>
      <c r="S10" s="77" t="s">
        <v>92</v>
      </c>
      <c r="T10" s="78">
        <v>0.0</v>
      </c>
      <c r="U10" s="78">
        <v>0.0</v>
      </c>
      <c r="V10" s="77" t="s">
        <v>83</v>
      </c>
      <c r="W10" s="78">
        <v>1.0</v>
      </c>
      <c r="Z10" s="77" t="s">
        <v>18</v>
      </c>
      <c r="AE10" s="78">
        <v>80.0</v>
      </c>
      <c r="AH10" s="77" t="s">
        <v>20</v>
      </c>
      <c r="AI10" s="78">
        <v>1.0</v>
      </c>
      <c r="AJ10" s="77" t="s">
        <v>70</v>
      </c>
      <c r="AT10" s="79">
        <v>24024.0134</v>
      </c>
      <c r="AU10" s="79">
        <v>24024.0134</v>
      </c>
      <c r="BE10" s="79">
        <v>24024.0134</v>
      </c>
      <c r="BF10" s="79">
        <v>24024.0134</v>
      </c>
      <c r="BJ10" s="78">
        <v>80.0</v>
      </c>
      <c r="BO10" s="77" t="s">
        <v>75</v>
      </c>
      <c r="BP10" s="78">
        <v>0.0</v>
      </c>
      <c r="BQ10" s="78">
        <v>0.0</v>
      </c>
      <c r="BR10" s="78">
        <v>0.0</v>
      </c>
      <c r="BS10" s="77" t="s">
        <v>80</v>
      </c>
      <c r="BT10" s="77" t="s">
        <v>26</v>
      </c>
      <c r="BU10" s="78">
        <v>0.0</v>
      </c>
      <c r="BV10" s="78">
        <v>0.0</v>
      </c>
      <c r="BW10" s="78">
        <v>0.0</v>
      </c>
      <c r="BX10" s="78">
        <v>0.0</v>
      </c>
      <c r="CG10" s="78">
        <v>0.0</v>
      </c>
      <c r="CH10" s="77" t="s">
        <v>93</v>
      </c>
      <c r="CI10" s="77" t="s">
        <v>75</v>
      </c>
      <c r="CJ10" s="78">
        <v>0.0</v>
      </c>
      <c r="CM10" s="77" t="s">
        <v>26</v>
      </c>
    </row>
    <row r="11" ht="15.75" customHeight="1">
      <c r="A11" s="4"/>
      <c r="B11" s="77" t="s">
        <v>17</v>
      </c>
      <c r="C11" s="4"/>
      <c r="D11" s="4"/>
      <c r="E11" s="78">
        <v>80.0</v>
      </c>
      <c r="F11" s="77" t="s">
        <v>88</v>
      </c>
      <c r="G11" s="77" t="s">
        <v>77</v>
      </c>
      <c r="H11" s="78">
        <v>0.0</v>
      </c>
      <c r="I11" s="78">
        <v>0.0</v>
      </c>
      <c r="J11" s="4"/>
      <c r="K11" s="78">
        <v>187.6876046875</v>
      </c>
      <c r="L11" s="78">
        <v>187.6876046875</v>
      </c>
      <c r="M11" s="4"/>
      <c r="N11" s="4"/>
      <c r="O11" s="4"/>
      <c r="R11" s="78">
        <v>0.0</v>
      </c>
      <c r="S11" s="77" t="s">
        <v>92</v>
      </c>
      <c r="T11" s="78">
        <v>0.0</v>
      </c>
      <c r="U11" s="78">
        <v>0.0</v>
      </c>
      <c r="V11" s="77" t="s">
        <v>83</v>
      </c>
      <c r="W11" s="78">
        <v>1.0</v>
      </c>
      <c r="Z11" s="77" t="s">
        <v>18</v>
      </c>
      <c r="AE11" s="78">
        <v>80.0</v>
      </c>
      <c r="AH11" s="77" t="s">
        <v>20</v>
      </c>
      <c r="AI11" s="78">
        <v>1.0</v>
      </c>
      <c r="AJ11" s="77" t="s">
        <v>70</v>
      </c>
      <c r="AT11" s="79">
        <v>15015.008375</v>
      </c>
      <c r="AU11" s="79">
        <v>15015.008375</v>
      </c>
      <c r="BE11" s="79">
        <v>15015.008375</v>
      </c>
      <c r="BF11" s="79">
        <v>15015.008375</v>
      </c>
      <c r="BJ11" s="78">
        <v>80.0</v>
      </c>
      <c r="BO11" s="77" t="s">
        <v>38</v>
      </c>
      <c r="BP11" s="78">
        <v>0.0</v>
      </c>
      <c r="BQ11" s="78">
        <v>0.0</v>
      </c>
      <c r="BR11" s="78">
        <v>0.0</v>
      </c>
      <c r="BS11" s="77" t="s">
        <v>80</v>
      </c>
      <c r="BT11" s="77" t="s">
        <v>26</v>
      </c>
      <c r="BU11" s="78">
        <v>0.0</v>
      </c>
      <c r="BV11" s="78">
        <v>0.0</v>
      </c>
      <c r="BW11" s="78">
        <v>0.0</v>
      </c>
      <c r="BX11" s="78">
        <v>0.0</v>
      </c>
      <c r="CG11" s="78">
        <v>0.0</v>
      </c>
      <c r="CH11" s="77" t="s">
        <v>93</v>
      </c>
      <c r="CI11" s="77" t="s">
        <v>38</v>
      </c>
      <c r="CJ11" s="78">
        <v>0.0</v>
      </c>
      <c r="CM11" s="77" t="s">
        <v>26</v>
      </c>
    </row>
    <row r="12" ht="15.75" customHeight="1">
      <c r="A12" s="4"/>
      <c r="B12" s="77" t="s">
        <v>17</v>
      </c>
      <c r="C12" s="4"/>
      <c r="D12" s="4"/>
      <c r="E12" s="78">
        <v>26.4</v>
      </c>
      <c r="F12" s="77" t="s">
        <v>88</v>
      </c>
      <c r="G12" s="77" t="s">
        <v>77</v>
      </c>
      <c r="H12" s="78">
        <v>0.0</v>
      </c>
      <c r="I12" s="78">
        <v>0.0</v>
      </c>
      <c r="J12" s="4"/>
      <c r="K12" s="78">
        <v>341.250190340909</v>
      </c>
      <c r="L12" s="78">
        <v>341.250190340909</v>
      </c>
      <c r="M12" s="4"/>
      <c r="N12" s="4"/>
      <c r="O12" s="4"/>
      <c r="R12" s="78">
        <v>0.0</v>
      </c>
      <c r="S12" s="77" t="s">
        <v>92</v>
      </c>
      <c r="T12" s="78">
        <v>0.0</v>
      </c>
      <c r="U12" s="78">
        <v>0.0</v>
      </c>
      <c r="V12" s="77" t="s">
        <v>84</v>
      </c>
      <c r="W12" s="78">
        <v>1.0</v>
      </c>
      <c r="Z12" s="77" t="s">
        <v>18</v>
      </c>
      <c r="AE12" s="78">
        <v>26.4</v>
      </c>
      <c r="AH12" s="77" t="s">
        <v>20</v>
      </c>
      <c r="AI12" s="78">
        <v>1.0</v>
      </c>
      <c r="AJ12" s="77" t="s">
        <v>70</v>
      </c>
      <c r="AT12" s="79">
        <v>9009.005025</v>
      </c>
      <c r="AU12" s="79">
        <v>9009.005025</v>
      </c>
      <c r="BE12" s="79">
        <v>9009.005025</v>
      </c>
      <c r="BF12" s="79">
        <v>9009.005025</v>
      </c>
      <c r="BJ12" s="78">
        <v>26.4</v>
      </c>
      <c r="BO12" s="77" t="s">
        <v>38</v>
      </c>
      <c r="BP12" s="78">
        <v>0.0</v>
      </c>
      <c r="BQ12" s="78">
        <v>0.0</v>
      </c>
      <c r="BR12" s="78">
        <v>0.0</v>
      </c>
      <c r="BS12" s="77" t="s">
        <v>80</v>
      </c>
      <c r="BT12" s="77" t="s">
        <v>73</v>
      </c>
      <c r="BU12" s="78">
        <v>0.0</v>
      </c>
      <c r="BV12" s="78">
        <v>0.0</v>
      </c>
      <c r="BW12" s="78">
        <v>0.0</v>
      </c>
      <c r="BX12" s="78">
        <v>0.0</v>
      </c>
      <c r="CG12" s="78">
        <v>0.0</v>
      </c>
      <c r="CH12" s="77" t="s">
        <v>93</v>
      </c>
      <c r="CI12" s="77" t="s">
        <v>38</v>
      </c>
      <c r="CJ12" s="78">
        <v>0.0</v>
      </c>
      <c r="CM12" s="77" t="s">
        <v>73</v>
      </c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