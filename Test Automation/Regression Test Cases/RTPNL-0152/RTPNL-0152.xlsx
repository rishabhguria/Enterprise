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ustomOrderTT" sheetId="4" r:id="rId6"/>
    <sheet state="visible" name="OpenRTPNL" sheetId="5" r:id="rId7"/>
    <sheet state="visible" name="AddWidget" sheetId="6" r:id="rId8"/>
    <sheet state="visible" name="CreateGroupingWidget" sheetId="7" r:id="rId9"/>
    <sheet state="visible" name="CheckGroupingWidget" sheetId="8" r:id="rId10"/>
    <sheet state="visible" name="CloseRTPNL" sheetId="9" r:id="rId11"/>
    <sheet state="visible" name="OpenRTPNL1" sheetId="10" r:id="rId12"/>
    <sheet state="visible" name="AddWidget1" sheetId="11" r:id="rId13"/>
    <sheet state="visible" name="CreateGroupingWidget1" sheetId="12" r:id="rId14"/>
    <sheet state="visible" name="CheckGroupingWidget1" sheetId="13" r:id="rId15"/>
    <sheet state="visible" name="AddWidget2" sheetId="14" r:id="rId16"/>
    <sheet state="visible" name="CreateGroupingWidget2" sheetId="15" r:id="rId17"/>
    <sheet state="visible" name="CheckGroupingWidget2" sheetId="16" r:id="rId18"/>
    <sheet state="visible" name="AddWidget3" sheetId="17" r:id="rId19"/>
    <sheet state="visible" name="CreateGroupingWidget3" sheetId="18" r:id="rId20"/>
    <sheet state="visible" name="CheckGroupingWidget3" sheetId="19" r:id="rId21"/>
    <sheet state="visible" name="SavePage" sheetId="20" r:id="rId22"/>
    <sheet state="visible" name="CustomOrderTT1" sheetId="21" r:id="rId23"/>
    <sheet state="visible" name="CheckGroupingWidget4" sheetId="22" r:id="rId24"/>
  </sheets>
  <definedNames/>
  <calcPr/>
</workbook>
</file>

<file path=xl/sharedStrings.xml><?xml version="1.0" encoding="utf-8"?>
<sst xmlns="http://schemas.openxmlformats.org/spreadsheetml/2006/main" count="266" uniqueCount="50">
  <si>
    <t>Modules Info</t>
  </si>
  <si>
    <t>Modules</t>
  </si>
  <si>
    <t>Settings</t>
  </si>
  <si>
    <t>Module Step Setting File</t>
  </si>
  <si>
    <t>1ua6ENR4AYwAWggYDcO5ubv4JU_7oqW8hUziMaEUEncQ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</si>
  <si>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</si>
  <si>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</si>
  <si>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</si>
  <si>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</si>
  <si>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</si>
  <si>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</si>
  <si>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</si>
  <si>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</si>
  <si>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CustomOrderTT</t>
  </si>
  <si>
    <t>Data Format</t>
  </si>
  <si>
    <t>Input Format</t>
  </si>
  <si>
    <t>FRI</t>
  </si>
  <si>
    <t>DoneAway</t>
  </si>
  <si>
    <t>Allocation1</t>
  </si>
  <si>
    <t>Buy</t>
  </si>
  <si>
    <t>Allocation3</t>
  </si>
  <si>
    <t>Sell short</t>
  </si>
  <si>
    <t>Allocation12</t>
  </si>
  <si>
    <t>Unallocated</t>
  </si>
  <si>
    <t>RTPNL</t>
  </si>
  <si>
    <t>OpenRTPNL</t>
  </si>
  <si>
    <t>Nirvana</t>
  </si>
  <si>
    <t>yash</t>
  </si>
  <si>
    <t>AddWidget</t>
  </si>
  <si>
    <t>Symbol Account</t>
  </si>
  <si>
    <t>Grouping</t>
  </si>
  <si>
    <t>Symbol</t>
  </si>
  <si>
    <t>CreateGroupingWidget</t>
  </si>
  <si>
    <t>Create</t>
  </si>
  <si>
    <t>CheckGroupingWidget</t>
  </si>
  <si>
    <t>FTR S&amp;P REIT IND FD</t>
  </si>
  <si>
    <t>FRI US EQUITY</t>
  </si>
  <si>
    <t>NewMF</t>
  </si>
  <si>
    <t>Equity</t>
  </si>
  <si>
    <t>Long</t>
  </si>
  <si>
    <t>Short</t>
  </si>
  <si>
    <t>CloseRTPNL</t>
  </si>
  <si>
    <t>Nirvana,yash</t>
  </si>
  <si>
    <t>Discard All</t>
  </si>
  <si>
    <t>Symbol Fund</t>
  </si>
  <si>
    <t>Multiple</t>
  </si>
  <si>
    <t>Underlying Symbol</t>
  </si>
  <si>
    <t>SavePage</t>
  </si>
  <si>
    <t>Save</t>
  </si>
  <si>
    <t>Yes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</si>
</sst>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center" vertical="bottom"/>
    </xf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0" fillId="0" fontId="5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22" Type="http://schemas.openxmlformats.org/officeDocument/2006/relationships/worksheet" Target="worksheets/sheet20.xml"/><Relationship Id="rId10" Type="http://schemas.openxmlformats.org/officeDocument/2006/relationships/worksheet" Target="worksheets/sheet8.xml"/><Relationship Id="rId21" Type="http://schemas.openxmlformats.org/officeDocument/2006/relationships/worksheet" Target="worksheets/sheet19.xml"/><Relationship Id="rId13" Type="http://schemas.openxmlformats.org/officeDocument/2006/relationships/worksheet" Target="worksheets/sheet11.xml"/><Relationship Id="rId24" Type="http://schemas.openxmlformats.org/officeDocument/2006/relationships/worksheet" Target="worksheets/sheet22.xml"/><Relationship Id="rId12" Type="http://schemas.openxmlformats.org/officeDocument/2006/relationships/worksheet" Target="worksheets/sheet10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IFERROR(__xludf.DUMMYFUNCTION("""COMPUTED_VALUE"""),"1hVwFlW5MKD4NHZXvDHfS6l0ApW93ZHmg5lFN4Tn10aY")</f>
        <v>1hVwFlW5MKD4NHZXvDHfS6l0ApW93ZHmg5lFN4Tn10aY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IFERROR(__xludf.DUMMYFUNCTION("""COMPUTED_VALUE"""),"1RWrzEP7tKvSTkC1z87RsjU_EZslvD2btXJuTWRIwRLU")</f>
        <v>1RWrzEP7tKvSTkC1z87RsjU_EZslvD2btXJuTWRIwRLU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IFERROR(__xludf.DUMMYFUNCTION("""COMPUTED_VALUE"""),"VerifyCFI")</f>
        <v>VerifyCFI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IFERROR(__xludf.DUMMYFUNCTION("""COMPUTED_VALUE"""),"Blotter")</f>
        <v>Blotter</v>
      </c>
      <c r="B879" t="str">
        <f>IFERROR(__xludf.DUMMYFUNCTION("""COMPUTED_VALUE"""),"EnableOrVerifyHotButton")</f>
        <v>EnableOrVerifyHotButton</v>
      </c>
      <c r="C879" t="str">
        <f>IFERROR(__xludf.DUMMYFUNCTION("""COMPUTED_VALUE"""),"1wa8x9d9kPOHEp49mT2DEW0cyjjOClvAgixk1H2w-Tos")</f>
        <v>1wa8x9d9kPOHEp49mT2DEW0cyjjOClvAgixk1H2w-Tos</v>
      </c>
    </row>
    <row r="880" ht="15.75" customHeight="1">
      <c r="A880" t="str">
        <f>IFERROR(__xludf.DUMMYFUNCTION("""COMPUTED_VALUE"""),"TradeServer")</f>
        <v>TradeServer</v>
      </c>
      <c r="B880" t="str">
        <f>IFERROR(__xludf.DUMMYFUNCTION("""COMPUTED_VALUE"""),"RestartServerOnly")</f>
        <v>RestartServerOnly</v>
      </c>
      <c r="C880" t="str">
        <f>IFERROR(__xludf.DUMMYFUNCTION("""COMPUTED_VALUE"""),"Undefined")</f>
        <v>Undefined</v>
      </c>
    </row>
    <row r="881" ht="15.75" customHeight="1">
      <c r="A881" t="str">
        <f>IFERROR(__xludf.DUMMYFUNCTION("""COMPUTED_VALUE"""),"Rebalancer")</f>
        <v>Rebalancer</v>
      </c>
      <c r="B881" t="str">
        <f>IFERROR(__xludf.DUMMYFUNCTION("""COMPUTED_VALUE"""),"ActionOnCFI")</f>
        <v>ActionOnCFI</v>
      </c>
      <c r="C881" t="str">
        <f>IFERROR(__xludf.DUMMYFUNCTION("""COMPUTED_VALUE"""),"1DUwxSUq_47EK60XmK3LOdCXa1fkWqWJE9bLuGS3ccv412")</f>
        <v>1DUwxSUq_47EK60XmK3LOdCXa1fkWqWJE9bLuGS3ccv412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IFERROR(__xludf.DUMMYFUNCTION("""COMPUTED_VALUE"""),"VerifyCFI")</f>
        <v>VerifyCFI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IFERROR(__xludf.DUMMYFUNCTION("""COMPUTED_VALUE"""),"VerifyDelRASGrid")</f>
        <v>VerifyDelRASGrid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IFERROR(__xludf.DUMMYFUNCTION("""COMPUTED_VALUE"""),"Allocation")</f>
        <v>Allocation</v>
      </c>
      <c r="B884" t="str">
        <f>IFERROR(__xludf.DUMMYFUNCTION("""COMPUTED_VALUE"""),"ActionOnUPW")</f>
        <v>ActionOnUPW</v>
      </c>
      <c r="C884" t="str">
        <f>IFERROR(__xludf.DUMMYFUNCTION("""COMPUTED_VALUE"""),"1DUwxSUq_47EK60XmK3LOdCXa1fkWqWJE9bLuGS3ccv413")</f>
        <v>1DUwxSUq_47EK60XmK3LOdCXa1fkWqWJE9bLuGS3ccv413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IFERROR(__xludf.DUMMYFUNCTION("""COMPUTED_VALUE"""),"DefaultRuleUPW")</f>
        <v>DefaultRuleUPW</v>
      </c>
      <c r="C885" t="str">
        <f>IFERROR(__xludf.DUMMYFUNCTION("""COMPUTED_VALUE"""),"1DUwxSUq_47EK60XmK3LOdCXa1fkWqWJE9bLuGS3ccv414")</f>
        <v>1DUwxSUq_47EK60XmK3LOdCXa1fkWqWJE9bLuGS3ccv414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IFERROR(__xludf.DUMMYFUNCTION("""COMPUTED_VALUE"""),"AccountStrategyUPW")</f>
        <v>AccountStrategyUPW</v>
      </c>
      <c r="C886" t="str">
        <f>IFERROR(__xludf.DUMMYFUNCTION("""COMPUTED_VALUE"""),"1DUwxSUq_47EK60XmK3LOdCXa1fkWqWJE9bLuGS3ccv415")</f>
        <v>1DUwxSUq_47EK60XmK3LOdCXa1fkWqWJE9bLuGS3ccv415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IFERROR(__xludf.DUMMYFUNCTION("""COMPUTED_VALUE"""),"ActionOnCalPref")</f>
        <v>ActionOnCalPref</v>
      </c>
      <c r="C887" t="str">
        <f>IFERROR(__xludf.DUMMYFUNCTION("""COMPUTED_VALUE"""),"1DUwxSUq_47EK60XmK3LOdCXa1fkWqWJE9bLuGS3ccv416")</f>
        <v>1DUwxSUq_47EK60XmK3LOdCXa1fkWqWJE9bLuGS3ccv416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IFERROR(__xludf.DUMMYFUNCTION("""COMPUTED_VALUE"""),"SetMFDefaultRule")</f>
        <v>SetMFDefaultRule</v>
      </c>
      <c r="C888" t="str">
        <f>IFERROR(__xludf.DUMMYFUNCTION("""COMPUTED_VALUE"""),"1DUwxSUq_47EK60XmK3LOdCXa1fkWqWJE9bLuGS3ccv417")</f>
        <v>1DUwxSUq_47EK60XmK3LOdCXa1fkWqWJE9bLuGS3ccv417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IFERROR(__xludf.DUMMYFUNCTION("""COMPUTED_VALUE"""),"ActionOnPrefWindow")</f>
        <v>ActionOnPrefWindow</v>
      </c>
      <c r="C889" t="str">
        <f>IFERROR(__xludf.DUMMYFUNCTION("""COMPUTED_VALUE"""),"1DUwxSUq_47EK60XmK3LOdCXa1fkWqWJE9bLuGS3ccv418")</f>
        <v>1DUwxSUq_47EK60XmK3LOdCXa1fkWqWJE9bLuGS3ccv418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IFERROR(__xludf.DUMMYFUNCTION("""COMPUTED_VALUE"""),"GetFixedPrefScheme")</f>
        <v>GetFixedPrefScheme</v>
      </c>
      <c r="C890" t="str">
        <f>IFERROR(__xludf.DUMMYFUNCTION("""COMPUTED_VALUE"""),"1DUwxSUq_47EK60XmK3LOdCXa1fkWqWJE9bLuGS3ccv419")</f>
        <v>1DUwxSUq_47EK60XmK3LOdCXa1fkWqWJE9bLuGS3ccv419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IFERROR(__xludf.DUMMYFUNCTION("""COMPUTED_VALUE"""),"VerifyFixedPref")</f>
        <v>VerifyFixedPref</v>
      </c>
      <c r="C891" t="str">
        <f>IFERROR(__xludf.DUMMYFUNCTION("""COMPUTED_VALUE"""),"1DUwxSUq_47EK60XmK3LOdCXa1fkWqWJE9bLuGS3ccv420")</f>
        <v>1DUwxSUq_47EK60XmK3LOdCXa1fkWqWJE9bLuGS3ccv420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IFERROR(__xludf.DUMMYFUNCTION("""COMPUTED_VALUE"""),"ActionOnToolBar")</f>
        <v>ActionOnToolBar</v>
      </c>
      <c r="C892" t="str">
        <f>IFERROR(__xludf.DUMMYFUNCTION("""COMPUTED_VALUE"""),"1DUwxSUq_47EK60XmK3LOdCXa1fkWqWJE9bLuGS3ccv421")</f>
        <v>1DUwxSUq_47EK60XmK3LOdCXa1fkWqWJE9bLuGS3ccv421</v>
      </c>
    </row>
    <row r="893" ht="15.75" customHeight="1">
      <c r="A893" t="str">
        <f>IFERROR(__xludf.DUMMYFUNCTION("""COMPUTED_VALUE"""),"Rebalancer")</f>
        <v>Rebalancer</v>
      </c>
      <c r="B893" t="str">
        <f>IFERROR(__xludf.DUMMYFUNCTION("""COMPUTED_VALUE"""),"VerifyCustomGroupModel")</f>
        <v>VerifyCustomGroupModel</v>
      </c>
      <c r="C893" t="str">
        <f>IFERROR(__xludf.DUMMYFUNCTION("""COMPUTED_VALUE"""),"1DUwxSUq_47EK60XmK3LOdCXa1fkWqWJE9bLuGS3ccv422")</f>
        <v>1DUwxSUq_47EK60XmK3LOdCXa1fkWqWJE9bLuGS3ccv422</v>
      </c>
    </row>
    <row r="894" ht="15.75" customHeight="1">
      <c r="A894" t="str">
        <f>IFERROR(__xludf.DUMMYFUNCTION("""COMPUTED_VALUE"""),"Blotter")</f>
        <v>Blotter</v>
      </c>
      <c r="B894" t="str">
        <f>IFERROR(__xludf.DUMMYFUNCTION("""COMPUTED_VALUE"""),"VerifyFilterUiRC")</f>
        <v>VerifyFilterUiRC</v>
      </c>
      <c r="C894" t="str">
        <f>IFERROR(__xludf.DUMMYFUNCTION("""COMPUTED_VALUE"""),"1QQZEZqPXfPnxfNID2a3__xw8RnEAn77igg5Q32S3Sm0")</f>
        <v>1QQZEZqPXfPnxfNID2a3__xw8RnEAn77igg5Q32S3Sm0</v>
      </c>
    </row>
    <row r="895" ht="15.75" customHeight="1">
      <c r="A895" t="str">
        <f>IFERROR(__xludf.DUMMYFUNCTION("""COMPUTED_VALUE"""),"TradingTicket")</f>
        <v>TradingTicket</v>
      </c>
      <c r="B895" t="str">
        <f>IFERROR(__xludf.DUMMYFUNCTION("""COMPUTED_VALUE"""),"SymbolSuggestionVerify")</f>
        <v>SymbolSuggestionVerify</v>
      </c>
      <c r="C895" t="str">
        <f>IFERROR(__xludf.DUMMYFUNCTION("""COMPUTED_VALUE"""),"14aTeLjmUbS-nhaQwjtZAMGxdQ5DS6UsBjE5OTWN-LQU")</f>
        <v>14aTeLjmUbS-nhaQwjtZAMGxdQ5DS6UsBjE5OTWN-LQU</v>
      </c>
    </row>
    <row r="896" ht="15.75" customHeight="1">
      <c r="A896" t="str">
        <f>IFERROR(__xludf.DUMMYFUNCTION("""COMPUTED_VALUE"""),"PreferencesMain")</f>
        <v>PreferencesMain</v>
      </c>
      <c r="B896" t="str">
        <f>IFERROR(__xludf.DUMMYFUNCTION("""COMPUTED_VALUE"""),"UpdatePTTPref")</f>
        <v>UpdatePTTPref</v>
      </c>
      <c r="C896" t="str">
        <f>IFERROR(__xludf.DUMMYFUNCTION("""COMPUTED_VALUE"""),"14aTeLjmUbS-nhaQwjtZAMGxdQ5DS6UsBjE5OTWN-LQU")</f>
        <v>14aTeLjmUbS-nhaQwjtZAMGxdQ5DS6UsBjE5OTWN-LQU</v>
      </c>
    </row>
    <row r="897" ht="15.75" customHeight="1">
      <c r="A897" t="str">
        <f>IFERROR(__xludf.DUMMYFUNCTION("""COMPUTED_VALUE"""),"PreferencesMain")</f>
        <v>PreferencesMain</v>
      </c>
      <c r="B897" t="str">
        <f>IFERROR(__xludf.DUMMYFUNCTION("""COMPUTED_VALUE"""),"ActionOnPreferencesMain")</f>
        <v>ActionOnPreferencesMain</v>
      </c>
      <c r="C897" t="str">
        <f>IFERROR(__xludf.DUMMYFUNCTION("""COMPUTED_VALUE"""),"14aTeLjmUbS-nhaQwjtZAMGxdQ5DS6UsBjE5OTWN-LQU")</f>
        <v>14aTeLjmUbS-nhaQwjtZAMGxdQ5DS6UsBjE5OTWN-LQU</v>
      </c>
    </row>
    <row r="898" ht="15.75" customHeight="1">
      <c r="A898" t="str">
        <f>IFERROR(__xludf.DUMMYFUNCTION("""COMPUTED_VALUE"""),"PreferencesMain")</f>
        <v>PreferencesMain</v>
      </c>
      <c r="B898" t="str">
        <f>IFERROR(__xludf.DUMMYFUNCTION("""COMPUTED_VALUE"""),"VerifyUpdategrdAccountFactor")</f>
        <v>VerifyUpdategrdAccountFactor</v>
      </c>
      <c r="C898" t="str">
        <f>IFERROR(__xludf.DUMMYFUNCTION("""COMPUTED_VALUE"""),"14aTeLjmUbS-nhaQwjtZAMGxdQ5DS6UsBjE5OTWN-LQU")</f>
        <v>14aTeLjmUbS-nhaQwjtZAMGxdQ5DS6UsBjE5OTWN-LQU</v>
      </c>
    </row>
    <row r="899" ht="15.75" customHeight="1">
      <c r="A899" t="str">
        <f>IFERROR(__xludf.DUMMYFUNCTION("""COMPUTED_VALUE"""),"PreferencesMain")</f>
        <v>PreferencesMain</v>
      </c>
      <c r="B899" t="str">
        <f>IFERROR(__xludf.DUMMYFUNCTION("""COMPUTED_VALUE"""),"VerifyUpdategrdMFA")</f>
        <v>VerifyUpdategrdMFA</v>
      </c>
      <c r="C899" t="str">
        <f>IFERROR(__xludf.DUMMYFUNCTION("""COMPUTED_VALUE"""),"14aTeLjmUbS-nhaQwjtZAMGxdQ5DS6UsBjE5OTWN-LQU")</f>
        <v>14aTeLjmUbS-nhaQwjtZAMGxdQ5DS6UsBjE5OTWN-LQU</v>
      </c>
    </row>
    <row r="900" ht="15.75" customHeight="1">
      <c r="A900" t="str">
        <f>IFERROR(__xludf.DUMMYFUNCTION("""COMPUTED_VALUE"""),"PreferencesMain")</f>
        <v>PreferencesMain</v>
      </c>
      <c r="B900" t="str">
        <f>IFERROR(__xludf.DUMMYFUNCTION("""COMPUTED_VALUE"""),"SwitchTabMFA")</f>
        <v>SwitchTabMFA</v>
      </c>
      <c r="C900" t="str">
        <f>IFERROR(__xludf.DUMMYFUNCTION("""COMPUTED_VALUE"""),"14aTeLjmUbS-nhaQwjtZAMGxdQ5DS6UsBjE5OTWN-LQU")</f>
        <v>14aTeLjmUbS-nhaQwjtZAMGxdQ5DS6UsBjE5OTWN-LQU</v>
      </c>
    </row>
    <row r="901" ht="15.75" customHeight="1">
      <c r="A901" t="str">
        <f>IFERROR(__xludf.DUMMYFUNCTION("""COMPUTED_VALUE"""),"PreferencesMain")</f>
        <v>PreferencesMain</v>
      </c>
      <c r="B901" t="str">
        <f>IFERROR(__xludf.DUMMYFUNCTION("""COMPUTED_VALUE"""),"UpdateBlotterPref")</f>
        <v>UpdateBlotterPref</v>
      </c>
      <c r="C901" t="str">
        <f>IFERROR(__xludf.DUMMYFUNCTION("""COMPUTED_VALUE"""),"14aTeLjmUbS-nhaQwjtZAMGxdQ5DS6UsBjE5OTWN-LQU")</f>
        <v>14aTeLjmUbS-nhaQwjtZAMGxdQ5DS6UsBjE5OTWN-LQU</v>
      </c>
    </row>
    <row r="902" ht="15.75" customHeight="1">
      <c r="A902" t="str">
        <f>IFERROR(__xludf.DUMMYFUNCTION("""COMPUTED_VALUE"""),"PreferencesMain")</f>
        <v>PreferencesMain</v>
      </c>
      <c r="B902" t="str">
        <f>IFERROR(__xludf.DUMMYFUNCTION("""COMPUTED_VALUE"""),"UpdatePMPref")</f>
        <v>UpdatePMPref</v>
      </c>
      <c r="C902" t="str">
        <f>IFERROR(__xludf.DUMMYFUNCTION("""COMPUTED_VALUE"""),"14aTeLjmUbS-nhaQwjtZAMGxdQ5DS6UsBjE5OTWN-LQU")</f>
        <v>14aTeLjmUbS-nhaQwjtZAMGxdQ5DS6UsBjE5OTWN-LQU</v>
      </c>
    </row>
    <row r="903" ht="15.75" customHeight="1">
      <c r="A903" t="str">
        <f>IFERROR(__xludf.DUMMYFUNCTION("""COMPUTED_VALUE"""),"PreferencesMain")</f>
        <v>PreferencesMain</v>
      </c>
      <c r="B903" t="str">
        <f>IFERROR(__xludf.DUMMYFUNCTION("""COMPUTED_VALUE"""),"UpdateGenPref")</f>
        <v>UpdateGenPref</v>
      </c>
      <c r="C903" t="str">
        <f>IFERROR(__xludf.DUMMYFUNCTION("""COMPUTED_VALUE"""),"14aTeLjmUbS-nhaQwjtZAMGxdQ5DS6UsBjE5OTWN-LQU")</f>
        <v>14aTeLjmUbS-nhaQwjtZAMGxdQ5DS6UsBjE5OTWN-LQU</v>
      </c>
    </row>
    <row r="904" ht="15.75" customHeight="1">
      <c r="A904" t="str">
        <f>IFERROR(__xludf.DUMMYFUNCTION("""COMPUTED_VALUE"""),"PreferencesMain")</f>
        <v>PreferencesMain</v>
      </c>
      <c r="B904" t="str">
        <f>IFERROR(__xludf.DUMMYFUNCTION("""COMPUTED_VALUE"""),"VerifyUpdateAssetSide")</f>
        <v>VerifyUpdateAssetSide</v>
      </c>
      <c r="C904" t="str">
        <f>IFERROR(__xludf.DUMMYFUNCTION("""COMPUTED_VALUE"""),"14aTeLjmUbS-nhaQwjtZAMGxdQ5DS6UsBjE5OTWN-LQU")</f>
        <v>14aTeLjmUbS-nhaQwjtZAMGxdQ5DS6UsBjE5OTWN-LQU</v>
      </c>
    </row>
    <row r="905" ht="15.75" customHeight="1">
      <c r="A905" t="str">
        <f>IFERROR(__xludf.DUMMYFUNCTION("""COMPUTED_VALUE"""),"PreferencesMain")</f>
        <v>PreferencesMain</v>
      </c>
      <c r="B905" t="str">
        <f>IFERROR(__xludf.DUMMYFUNCTION("""COMPUTED_VALUE"""),"SwicthTabPref")</f>
        <v>SwicthTabPref</v>
      </c>
      <c r="C905" t="str">
        <f>IFERROR(__xludf.DUMMYFUNCTION("""COMPUTED_VALUE"""),"14aTeLjmUbS-nhaQwjtZAMGxdQ5DS6UsBjE5OTWN-LQU")</f>
        <v>14aTeLjmUbS-nhaQwjtZAMGxdQ5DS6UsBjE5OTWN-LQU</v>
      </c>
    </row>
    <row r="906" ht="15.75" customHeight="1">
      <c r="A906" t="str">
        <f>IFERROR(__xludf.DUMMYFUNCTION("""COMPUTED_VALUE"""),"PreferencesMain")</f>
        <v>PreferencesMain</v>
      </c>
      <c r="B906" t="str">
        <f>IFERROR(__xludf.DUMMYFUNCTION("""COMPUTED_VALUE"""),"TTDefaultSelection")</f>
        <v>TTDefaultSelection</v>
      </c>
      <c r="C906" t="str">
        <f>IFERROR(__xludf.DUMMYFUNCTION("""COMPUTED_VALUE"""),"14aTeLjmUbS-nhaQwjtZAMGxdQ5DS6UsBjE5OTWN-LQU")</f>
        <v>14aTeLjmUbS-nhaQwjtZAMGxdQ5DS6UsBjE5OTWN-LQU</v>
      </c>
    </row>
    <row r="907" ht="15.75" customHeight="1">
      <c r="A907" t="str">
        <f>IFERROR(__xludf.DUMMYFUNCTION("""COMPUTED_VALUE"""),"PreferencesMain")</f>
        <v>PreferencesMain</v>
      </c>
      <c r="B907" t="str">
        <f>IFERROR(__xludf.DUMMYFUNCTION("""COMPUTED_VALUE"""),"TTNumSelection")</f>
        <v>TTNumSelection</v>
      </c>
      <c r="C907" t="str">
        <f>IFERROR(__xludf.DUMMYFUNCTION("""COMPUTED_VALUE"""),"14aTeLjmUbS-nhaQwjtZAMGxdQ5DS6UsBjE5OTWN-LQU")</f>
        <v>14aTeLjmUbS-nhaQwjtZAMGxdQ5DS6UsBjE5OTWN-LQU</v>
      </c>
    </row>
    <row r="908" ht="15.75" customHeight="1">
      <c r="A908" t="str">
        <f>IFERROR(__xludf.DUMMYFUNCTION("""COMPUTED_VALUE"""),"PreferencesMain")</f>
        <v>PreferencesMain</v>
      </c>
      <c r="B908" t="str">
        <f>IFERROR(__xludf.DUMMYFUNCTION("""COMPUTED_VALUE"""),"TTConfirmationPopUps")</f>
        <v>TTConfirmationPopUps</v>
      </c>
      <c r="C908" t="str">
        <f>IFERROR(__xludf.DUMMYFUNCTION("""COMPUTED_VALUE"""),"14aTeLjmUbS-nhaQwjtZAMGxdQ5DS6UsBjE5OTWN-LQU")</f>
        <v>14aTeLjmUbS-nhaQwjtZAMGxdQ5DS6UsBjE5OTWN-LQU</v>
      </c>
    </row>
    <row r="909" ht="15.75" customHeight="1">
      <c r="A909" t="str">
        <f>IFERROR(__xludf.DUMMYFUNCTION("""COMPUTED_VALUE"""),"PreferencesMain")</f>
        <v>PreferencesMain</v>
      </c>
      <c r="B909" t="str">
        <f>IFERROR(__xludf.DUMMYFUNCTION("""COMPUTED_VALUE"""),"VerifyUpdateBrokerPref")</f>
        <v>VerifyUpdateBrokerPref</v>
      </c>
      <c r="C909" t="str">
        <f>IFERROR(__xludf.DUMMYFUNCTION("""COMPUTED_VALUE"""),"14aTeLjmUbS-nhaQwjtZAMGxdQ5DS6UsBjE5OTWN-LQU")</f>
        <v>14aTeLjmUbS-nhaQwjtZAMGxdQ5DS6UsBjE5OTWN-LQU</v>
      </c>
    </row>
    <row r="910" ht="15.75" customHeight="1">
      <c r="A910" t="str">
        <f>IFERROR(__xludf.DUMMYFUNCTION("""COMPUTED_VALUE"""),"PreferencesMain")</f>
        <v>PreferencesMain</v>
      </c>
      <c r="B910" t="str">
        <f>IFERROR(__xludf.DUMMYFUNCTION("""COMPUTED_VALUE"""),"TTGeneralPref")</f>
        <v>TTGeneralPref</v>
      </c>
      <c r="C910" t="str">
        <f>IFERROR(__xludf.DUMMYFUNCTION("""COMPUTED_VALUE"""),"14aTeLjmUbS-nhaQwjtZAMGxdQ5DS6UsBjE5OTWN-LQU")</f>
        <v>14aTeLjmUbS-nhaQwjtZAMGxdQ5DS6UsBjE5OTWN-LQU</v>
      </c>
    </row>
    <row r="911" ht="15.75" customHeight="1">
      <c r="A911" t="str">
        <f>IFERROR(__xludf.DUMMYFUNCTION("""COMPUTED_VALUE"""),"PreferencesMain")</f>
        <v>PreferencesMain</v>
      </c>
      <c r="B911" t="str">
        <f>IFERROR(__xludf.DUMMYFUNCTION("""COMPUTED_VALUE"""),"UpdateClosingPref")</f>
        <v>UpdateClosingPref</v>
      </c>
      <c r="C911" t="str">
        <f>IFERROR(__xludf.DUMMYFUNCTION("""COMPUTED_VALUE"""),"14aTeLjmUbS-nhaQwjtZAMGxdQ5DS6UsBjE5OTWN-LQU")</f>
        <v>14aTeLjmUbS-nhaQwjtZAMGxdQ5DS6UsBjE5OTWN-LQU</v>
      </c>
    </row>
    <row r="912" ht="15.75" customHeight="1">
      <c r="A912" t="str">
        <f>IFERROR(__xludf.DUMMYFUNCTION("""COMPUTED_VALUE"""),"Allocation")</f>
        <v>Allocation</v>
      </c>
      <c r="B912" t="str">
        <f>IFERROR(__xludf.DUMMYFUNCTION("""COMPUTED_VALUE"""),"VerifyEditAttRenaming")</f>
        <v>VerifyEditAttRenaming</v>
      </c>
      <c r="C912" t="str">
        <f>IFERROR(__xludf.DUMMYFUNCTION("""COMPUTED_VALUE"""),"14aTeLjmUbS-nhaQwjtZAMGxdQ5DS6UsBjE5OTWN-LQU")</f>
        <v>14aTeLjmUbS-nhaQwjtZAMGxdQ5DS6UsBjE5OTWN-LQU</v>
      </c>
    </row>
    <row r="913" ht="15.75" customHeight="1">
      <c r="A913" t="str">
        <f>IFERROR(__xludf.DUMMYFUNCTION("""COMPUTED_VALUE"""),"Rebalancer")</f>
        <v>Rebalancer</v>
      </c>
      <c r="B913" t="str">
        <f>IFERROR(__xludf.DUMMYFUNCTION("""COMPUTED_VALUE"""),"VerifyTradeList")</f>
        <v>VerifyTradeList</v>
      </c>
      <c r="C913" t="str">
        <f>IFERROR(__xludf.DUMMYFUNCTION("""COMPUTED_VALUE"""),"14aTeLjmUbS-nhaQwjtZAMGxdQ5DS6UsBjE5OTWN-LQU")</f>
        <v>14aTeLjmUbS-nhaQwjtZAMGxdQ5DS6UsBjE5OTWN-LQU</v>
      </c>
    </row>
    <row r="914" ht="15.75" customHeight="1">
      <c r="A914" t="str">
        <f>IFERROR(__xludf.DUMMYFUNCTION("""COMPUTED_VALUE"""),"TradingTicket")</f>
        <v>TradingTicket</v>
      </c>
      <c r="B914" t="str">
        <f>IFERROR(__xludf.DUMMYFUNCTION("""COMPUTED_VALUE"""),"TTMainControls")</f>
        <v>TTMainControls</v>
      </c>
      <c r="C914" t="str">
        <f>IFERROR(__xludf.DUMMYFUNCTION("""COMPUTED_VALUE"""),"1DUwxSUq_47EK60XmK3LOdCXa1fkWqWJE9bLuGS3ccv412")</f>
        <v>1DUwxSUq_47EK60XmK3LOdCXa1fkWqWJE9bLuGS3ccv412</v>
      </c>
    </row>
    <row r="915" ht="15.75" customHeight="1">
      <c r="A915" t="str">
        <f>IFERROR(__xludf.DUMMYFUNCTION("""COMPUTED_VALUE"""),"TradingTicket")</f>
        <v>TradingTicket</v>
      </c>
      <c r="B915" t="str">
        <f>IFERROR(__xludf.DUMMYFUNCTION("""COMPUTED_VALUE"""),"VerifySymStrip")</f>
        <v>VerifySymStrip</v>
      </c>
      <c r="C915" t="str">
        <f>IFERROR(__xludf.DUMMYFUNCTION("""COMPUTED_VALUE"""),"1DUwxSUq_47EK60XmK3LOdCXa1fkWqWJE9bLuGS3ccv412")</f>
        <v>1DUwxSUq_47EK60XmK3LOdCXa1fkWqWJE9bLuGS3ccv412</v>
      </c>
    </row>
    <row r="916" ht="15.75" customHeight="1">
      <c r="A916" t="str">
        <f>IFERROR(__xludf.DUMMYFUNCTION("""COMPUTED_VALUE"""),"TradingTicket")</f>
        <v>TradingTicket</v>
      </c>
      <c r="B916" t="str">
        <f>IFERROR(__xludf.DUMMYFUNCTION("""COMPUTED_VALUE"""),"TTBottomTab")</f>
        <v>TTBottomTab</v>
      </c>
      <c r="C916" t="str">
        <f>IFERROR(__xludf.DUMMYFUNCTION("""COMPUTED_VALUE"""),"1DUwxSUq_47EK60XmK3LOdCXa1fkWqWJE9bLuGS3ccv412")</f>
        <v>1DUwxSUq_47EK60XmK3LOdCXa1fkWqWJE9bLuGS3ccv412</v>
      </c>
    </row>
    <row r="917" ht="15.75" customHeight="1">
      <c r="A917" t="str">
        <f>IFERROR(__xludf.DUMMYFUNCTION("""COMPUTED_VALUE"""),"TradingTicket")</f>
        <v>TradingTicket</v>
      </c>
      <c r="B917" t="str">
        <f>IFERROR(__xludf.DUMMYFUNCTION("""COMPUTED_VALUE"""),"TTBottomSwap")</f>
        <v>TTBottomSwap</v>
      </c>
      <c r="C917" t="str">
        <f>IFERROR(__xludf.DUMMYFUNCTION("""COMPUTED_VALUE"""),"1DUwxSUq_47EK60XmK3LOdCXa1fkWqWJE9bLuGS3ccv412")</f>
        <v>1DUwxSUq_47EK60XmK3LOdCXa1fkWqWJE9bLuGS3ccv412</v>
      </c>
    </row>
    <row r="918" ht="15.75" customHeight="1">
      <c r="A918" t="str">
        <f>IFERROR(__xludf.DUMMYFUNCTION("""COMPUTED_VALUE"""),"Blotter")</f>
        <v>Blotter</v>
      </c>
      <c r="B918" t="str">
        <f>IFERROR(__xludf.DUMMYFUNCTION("""COMPUTED_VALUE"""),"CreateHotButtonOnBlotter")</f>
        <v>CreateHotButtonOnBlotter</v>
      </c>
      <c r="C918" t="str">
        <f>IFERROR(__xludf.DUMMYFUNCTION("""COMPUTED_VALUE"""),"1Yu7Fb6AjhUP8b-KuRJvgAwq8TykNK6BDh9F0Xpf12Ek")</f>
        <v>1Yu7Fb6AjhUP8b-KuRJvgAwq8TykNK6BDh9F0Xpf12Ek</v>
      </c>
    </row>
    <row r="919" ht="15.75" customHeight="1">
      <c r="A919" t="str">
        <f>IFERROR(__xludf.DUMMYFUNCTION("""COMPUTED_VALUE"""),"Blotter")</f>
        <v>Blotter</v>
      </c>
      <c r="B919" t="str">
        <f>IFERROR(__xludf.DUMMYFUNCTION("""COMPUTED_VALUE"""),"FillHBdetailsOnBlotter")</f>
        <v>FillHBdetailsOnBlotter</v>
      </c>
      <c r="C919" t="str">
        <f>IFERROR(__xludf.DUMMYFUNCTION("""COMPUTED_VALUE"""),"13Isj5c5k8kObxI-GBT6Ir9VBOz_46lzhwVxXXVP8jQU")</f>
        <v>13Isj5c5k8kObxI-GBT6Ir9VBOz_46lzhwVxXXVP8jQU</v>
      </c>
    </row>
    <row r="920" ht="15.75" customHeight="1">
      <c r="A920" t="str">
        <f>IFERROR(__xludf.DUMMYFUNCTION("""COMPUTED_VALUE"""),"TradingTicket")</f>
        <v>TradingTicket</v>
      </c>
      <c r="B920" t="str">
        <f>IFERROR(__xludf.DUMMYFUNCTION("""COMPUTED_VALUE"""),"EditAuecWindow")</f>
        <v>EditAuecWindow</v>
      </c>
      <c r="C920" t="str">
        <f>IFERROR(__xludf.DUMMYFUNCTION("""COMPUTED_VALUE"""),"1ottlNphVbp0AC-UFd-HlDpCLwOA2yWO1pN6eR3ML7vA")</f>
        <v>1ottlNphVbp0AC-UFd-HlDpCLwOA2yWO1pN6eR3ML7vA</v>
      </c>
    </row>
    <row r="921" ht="15.75" customHeight="1">
      <c r="A921" t="str">
        <f>IFERROR(__xludf.DUMMYFUNCTION("""COMPUTED_VALUE"""),"TradingTicket")</f>
        <v>TradingTicket</v>
      </c>
      <c r="B921" t="str">
        <f>IFERROR(__xludf.DUMMYFUNCTION("""COMPUTED_VALUE"""),"VerifyBrokerSummary")</f>
        <v>VerifyBrokerSummary</v>
      </c>
      <c r="C921" t="str">
        <f>IFERROR(__xludf.DUMMYFUNCTION("""COMPUTED_VALUE"""),"11hMxlfIQYwM8vPN2h--IGp7O02EDFbvJ4CSvjSfGsMY")</f>
        <v>11hMxlfIQYwM8vPN2h--IGp7O02EDFbvJ4CSvjSfGsMY</v>
      </c>
    </row>
    <row r="922" ht="15.75" customHeight="1">
      <c r="A922" t="str">
        <f>IFERROR(__xludf.DUMMYFUNCTION("""COMPUTED_VALUE"""),"QTT")</f>
        <v>QTT</v>
      </c>
      <c r="B922" t="str">
        <f>IFERROR(__xludf.DUMMYFUNCTION("""COMPUTED_VALUE"""),"EditAuecWindowQTT")</f>
        <v>EditAuecWindowQTT</v>
      </c>
      <c r="C922" t="str">
        <f>IFERROR(__xludf.DUMMYFUNCTION("""COMPUTED_VALUE"""),"1oI_WY3xKQgSjp5JN67BMHtm3zazX5ZiMATISa2ssGB0")</f>
        <v>1oI_WY3xKQgSjp5JN67BMHtm3zazX5ZiMATISa2ssGB0</v>
      </c>
    </row>
    <row r="923" ht="15.75" customHeight="1">
      <c r="A923" t="str">
        <f>IFERROR(__xludf.DUMMYFUNCTION("""COMPUTED_VALUE"""),"QTT")</f>
        <v>QTT</v>
      </c>
      <c r="B923" t="str">
        <f>IFERROR(__xludf.DUMMYFUNCTION("""COMPUTED_VALUE"""),"VerifyBrokerSummaryQTT")</f>
        <v>VerifyBrokerSummaryQTT</v>
      </c>
      <c r="C923" t="str">
        <f>IFERROR(__xludf.DUMMYFUNCTION("""COMPUTED_VALUE"""),"1O6-eqYsZqtvYR6DOH7UM2_Jwpq9pB9uyZvgh5vEhVAI")</f>
        <v>1O6-eqYsZqtvYR6DOH7UM2_Jwpq9pB9uyZvgh5vEhVAI</v>
      </c>
    </row>
    <row r="924" ht="15.75" customHeight="1">
      <c r="A924" t="str">
        <f>IFERROR(__xludf.DUMMYFUNCTION("""COMPUTED_VALUE"""),"QTT")</f>
        <v>QTT</v>
      </c>
      <c r="B924" t="str">
        <f>IFERROR(__xludf.DUMMYFUNCTION("""COMPUTED_VALUE"""),"SaveQTThotKey")</f>
        <v>SaveQTThotKey</v>
      </c>
      <c r="C924" t="str">
        <f>IFERROR(__xludf.DUMMYFUNCTION("""COMPUTED_VALUE"""),"Undefined")</f>
        <v>Undefined</v>
      </c>
    </row>
    <row r="925" ht="15.75" customHeight="1">
      <c r="A925" t="str">
        <f>IFERROR(__xludf.DUMMYFUNCTION("""COMPUTED_VALUE"""),"Blotter")</f>
        <v>Blotter</v>
      </c>
      <c r="B925" t="str">
        <f>IFERROR(__xludf.DUMMYFUNCTION("""COMPUTED_VALUE"""),"BlotterColumnChooser")</f>
        <v>BlotterColumnChooser</v>
      </c>
      <c r="C925" t="str">
        <f>IFERROR(__xludf.DUMMYFUNCTION("""COMPUTED_VALUE"""),"12428TbyucuJDD3KuN7QG-GyRYI3gcoyDNKTQ2UpgGMQ")</f>
        <v>12428TbyucuJDD3KuN7QG-GyRYI3gcoyDNKTQ2UpgGMQ</v>
      </c>
    </row>
    <row r="926" ht="15.75" customHeight="1">
      <c r="A926" t="str">
        <f>IFERROR(__xludf.DUMMYFUNCTION("""COMPUTED_VALUE"""),"RTPNL")</f>
        <v>RTPNL</v>
      </c>
      <c r="B926" t="str">
        <f>IFERROR(__xludf.DUMMYFUNCTION("""COMPUTED_VALUE"""),"CreateGroupingWidget")</f>
        <v>CreateGroupingWidget</v>
      </c>
      <c r="C926" t="str">
        <f>IFERROR(__xludf.DUMMYFUNCTION("""COMPUTED_VALUE"""),"1ctXhgvJgrqqe8ees0907Up0TKq9pCEhinMlZnRGqKdY")</f>
        <v>1ctXhgvJgrqqe8ees0907Up0TKq9pCEhinMlZnRGqKdY</v>
      </c>
    </row>
    <row r="927" ht="15.75" customHeight="1">
      <c r="A927" t="str">
        <f>IFERROR(__xludf.DUMMYFUNCTION("""COMPUTED_VALUE"""),"RTPNL")</f>
        <v>RTPNL</v>
      </c>
      <c r="B927" t="str">
        <f>IFERROR(__xludf.DUMMYFUNCTION("""COMPUTED_VALUE"""),"CheckGroupingWidget")</f>
        <v>CheckGroupingWidget</v>
      </c>
      <c r="C927" t="str">
        <f>IFERROR(__xludf.DUMMYFUNCTION("""COMPUTED_VALUE"""),"16mimyUFzQ0Ojogh0t4Evjy-tjzAJ67xgIrWeTNmBdw0")</f>
        <v>16mimyUFzQ0Ojogh0t4Evjy-tjzAJ67xgIrWeTNmBdw0</v>
      </c>
    </row>
    <row r="928" ht="15.75" customHeight="1">
      <c r="A928" t="str">
        <f>IFERROR(__xludf.DUMMYFUNCTION("""COMPUTED_VALUE"""),"TradingTicket")</f>
        <v>TradingTicket</v>
      </c>
      <c r="B928" t="str">
        <f>IFERROR(__xludf.DUMMYFUNCTION("""COMPUTED_VALUE"""),"QTTHamburg")</f>
        <v>QTTHamburg</v>
      </c>
      <c r="C928" t="str">
        <f>IFERROR(__xludf.DUMMYFUNCTION("""COMPUTED_VALUE"""),"1pdXDcLRWAl2b2L88lHCntj01OLBjVHaNAdGG8OHa4hA")</f>
        <v>1pdXDcLRWAl2b2L88lHCntj01OLBjVHaNAdGG8OHa4hA</v>
      </c>
    </row>
    <row r="929" ht="15.75" customHeight="1">
      <c r="A929" t="str">
        <f>IFERROR(__xludf.DUMMYFUNCTION("""COMPUTED_VALUE"""),"RTPNL")</f>
        <v>RTPNL</v>
      </c>
      <c r="B929" t="str">
        <f>IFERROR(__xludf.DUMMYFUNCTION("""COMPUTED_VALUE"""),"VerifyL1L2PanelRTPNL")</f>
        <v>VerifyL1L2PanelRTPNL</v>
      </c>
      <c r="C929" t="str">
        <f>IFERROR(__xludf.DUMMYFUNCTION("""COMPUTED_VALUE"""),"1cQo_rX9O9XHFILj0ICV1GAU_RdtTKYlclT20jg9G7hg")</f>
        <v>1cQo_rX9O9XHFILj0ICV1GAU_RdtTKYlclT20jg9G7hg</v>
      </c>
    </row>
    <row r="930" ht="15.75" customHeight="1">
      <c r="A930" t="str">
        <f>IFERROR(__xludf.DUMMYFUNCTION("""COMPUTED_VALUE"""),"Blotter")</f>
        <v>Blotter</v>
      </c>
      <c r="B930" t="str">
        <f>IFERROR(__xludf.DUMMYFUNCTION("""COMPUTED_VALUE"""),"CaptureHotButtonDetails")</f>
        <v>CaptureHotButtonDetails</v>
      </c>
      <c r="C930" t="str">
        <f>IFERROR(__xludf.DUMMYFUNCTION("""COMPUTED_VALUE"""),"16Dail-EoPWyIhwRzxyvr-EY1IE8jJTUQDarvGnXioxI")</f>
        <v>16Dail-EoPWyIhwRzxyvr-EY1IE8jJTUQDarvGnXioxI</v>
      </c>
    </row>
    <row r="931" ht="15.75" customHeight="1">
      <c r="A931" t="str">
        <f>IFERROR(__xludf.DUMMYFUNCTION("""COMPUTED_VALUE"""),"SymbolLookup")</f>
        <v>SymbolLookup</v>
      </c>
      <c r="B931" t="str">
        <f>IFERROR(__xludf.DUMMYFUNCTION("""COMPUTED_VALUE"""),"EditSMGrid")</f>
        <v>EditSMGrid</v>
      </c>
      <c r="C931" t="str">
        <f>IFERROR(__xludf.DUMMYFUNCTION("""COMPUTED_VALUE"""),"14aTeLjmUbS-nhaQwjtZAMGxdQ5DS6UsBjE5OTWN-LQU")</f>
        <v>14aTeLjmUbS-nhaQwjtZAMGxdQ5DS6UsBjE5OTWN-LQU</v>
      </c>
    </row>
    <row r="932" ht="15.75" customHeight="1">
      <c r="A932" t="str">
        <f>IFERROR(__xludf.DUMMYFUNCTION("""COMPUTED_VALUE"""),"QTT")</f>
        <v>QTT</v>
      </c>
      <c r="B932" t="str">
        <f>IFERROR(__xludf.DUMMYFUNCTION("""COMPUTED_VALUE"""),"EditQuickPreference")</f>
        <v>EditQuickPreference</v>
      </c>
      <c r="C932" t="str">
        <f>IFERROR(__xludf.DUMMYFUNCTION("""COMPUTED_VALUE"""),"133vNW3loXmIKhcuaiCwGIGXOULCttZuJZtPfA4s37vw")</f>
        <v>133vNW3loXmIKhcuaiCwGIGXOULCttZuJZtPfA4s37vw</v>
      </c>
    </row>
    <row r="933" ht="15.75" customHeight="1">
      <c r="A933" t="str">
        <f>IFERROR(__xludf.DUMMYFUNCTION("""COMPUTED_VALUE"""),"Blotter")</f>
        <v>Blotter</v>
      </c>
      <c r="B933" t="str">
        <f>IFERROR(__xludf.DUMMYFUNCTION("""COMPUTED_VALUE"""),"RightClickActionVerification")</f>
        <v>RightClickActionVerification</v>
      </c>
      <c r="C933" t="str">
        <f>IFERROR(__xludf.DUMMYFUNCTION("""COMPUTED_VALUE"""),"11EX1Ln-BQAtx9NTd9zfcaia52FGNdZENDW2kwMCJ8HQ")</f>
        <v>11EX1Ln-BQAtx9NTd9zfcaia52FGNdZENDW2kwMCJ8HQ</v>
      </c>
    </row>
    <row r="934" ht="15.75" customHeight="1">
      <c r="A934" t="str">
        <f>IFERROR(__xludf.DUMMYFUNCTION("""COMPUTED_VALUE"""),"SymbolLookup")</f>
        <v>SymbolLookup</v>
      </c>
      <c r="B934" t="str">
        <f>IFERROR(__xludf.DUMMYFUNCTION("""COMPUTED_VALUE"""),"PageOneDetails")</f>
        <v>PageOneDetails</v>
      </c>
      <c r="C934" t="str">
        <f>IFERROR(__xludf.DUMMYFUNCTION("""COMPUTED_VALUE"""),"11EX1Ln-BQAtx9NTd9zfcaia52FGNdZENDW2kwMCJ8HQ")</f>
        <v>11EX1Ln-BQAtx9NTd9zfcaia52FGNdZENDW2kwMCJ8HQ</v>
      </c>
    </row>
    <row r="935" ht="15.75" customHeight="1">
      <c r="A935" t="str">
        <f>IFERROR(__xludf.DUMMYFUNCTION("""COMPUTED_VALUE"""),"SymbolLookup")</f>
        <v>SymbolLookup</v>
      </c>
      <c r="B935" t="str">
        <f>IFERROR(__xludf.DUMMYFUNCTION("""COMPUTED_VALUE"""),"ActionOnSI")</f>
        <v>ActionOnSI</v>
      </c>
      <c r="C935" t="str">
        <f>IFERROR(__xludf.DUMMYFUNCTION("""COMPUTED_VALUE"""),"11EX1Ln-BQAtx9NTd9zfcaia52FGNdZENDW2kwMCJ8HQ")</f>
        <v>11EX1Ln-BQAtx9NTd9zfcaia52FGNdZENDW2kwMCJ8HQ</v>
      </c>
    </row>
    <row r="936" ht="15.75" customHeight="1">
      <c r="A936" t="str">
        <f>IFERROR(__xludf.DUMMYFUNCTION("""COMPUTED_VALUE"""),"SymbolLookup")</f>
        <v>SymbolLookup</v>
      </c>
      <c r="B936" t="str">
        <f>IFERROR(__xludf.DUMMYFUNCTION("""COMPUTED_VALUE"""),"PageTwoDetails")</f>
        <v>PageTwoDetails</v>
      </c>
      <c r="C936" t="str">
        <f>IFERROR(__xludf.DUMMYFUNCTION("""COMPUTED_VALUE"""),"11EX1Ln-BQAtx9NTd9zfcaia52FGNdZENDW2kwMCJ8HQ")</f>
        <v>11EX1Ln-BQAtx9NTd9zfcaia52FGNdZENDW2kwMCJ8HQ</v>
      </c>
    </row>
    <row r="937" ht="15.75" customHeight="1">
      <c r="A937" t="str">
        <f>IFERROR(__xludf.DUMMYFUNCTION("""COMPUTED_VALUE"""),"SymbolLookup")</f>
        <v>SymbolLookup</v>
      </c>
      <c r="B937" t="str">
        <f>IFERROR(__xludf.DUMMYFUNCTION("""COMPUTED_VALUE"""),"ActiononSMPane")</f>
        <v>ActiononSMPane</v>
      </c>
      <c r="C937" t="str">
        <f>IFERROR(__xludf.DUMMYFUNCTION("""COMPUTED_VALUE"""),"11EX1Ln-BQAtx9NTd9zfcaia52FGNdZENDW2kwMCJ8HQ")</f>
        <v>11EX1Ln-BQAtx9NTd9zfcaia52FGNdZENDW2kwMCJ8HQ</v>
      </c>
    </row>
    <row r="938" ht="15.75" customHeight="1">
      <c r="A938" t="str">
        <f>IFERROR(__xludf.DUMMYFUNCTION("""COMPUTED_VALUE"""),"SymbolLookup")</f>
        <v>SymbolLookup</v>
      </c>
      <c r="B938" t="str">
        <f>IFERROR(__xludf.DUMMYFUNCTION("""COMPUTED_VALUE"""),"PageThreeDetails")</f>
        <v>PageThreeDetails</v>
      </c>
      <c r="C938" t="str">
        <f>IFERROR(__xludf.DUMMYFUNCTION("""COMPUTED_VALUE"""),"11EX1Ln-BQAtx9NTd9zfcaia52FGNdZENDW2kwMCJ8HQ")</f>
        <v>11EX1Ln-BQAtx9NTd9zfcaia52FGNdZENDW2kwMCJ8HQ</v>
      </c>
    </row>
    <row r="939" ht="15.75" customHeight="1">
      <c r="A939" t="str">
        <f>IFERROR(__xludf.DUMMYFUNCTION("""COMPUTED_VALUE"""),"SymbolLookup")</f>
        <v>SymbolLookup</v>
      </c>
      <c r="B939" t="str">
        <f>IFERROR(__xludf.DUMMYFUNCTION("""COMPUTED_VALUE"""),"VerifySMGrid")</f>
        <v>VerifySMGrid</v>
      </c>
      <c r="C939" t="str">
        <f>IFERROR(__xludf.DUMMYFUNCTION("""COMPUTED_VALUE"""),"11EX1Ln-BQAtx9NTd9zfcaia52FGNdZENDW2kwMCJ8HQ")</f>
        <v>11EX1Ln-BQAtx9NTd9zfcaia52FGNdZENDW2kwMCJ8HQ</v>
      </c>
    </row>
    <row r="940" ht="15.75" customHeight="1">
      <c r="A940" t="str">
        <f>IFERROR(__xludf.DUMMYFUNCTION("""COMPUTED_VALUE"""),"SymbolLookup")</f>
        <v>SymbolLookup</v>
      </c>
      <c r="B940" t="str">
        <f>IFERROR(__xludf.DUMMYFUNCTION("""COMPUTED_VALUE"""),"PageFourDetails")</f>
        <v>PageFourDetails</v>
      </c>
      <c r="C940" t="str">
        <f>IFERROR(__xludf.DUMMYFUNCTION("""COMPUTED_VALUE"""),"11EX1Ln-BQAtx9NTd9zfcaia52FGNdZENDW2kwMCJ8HQ")</f>
        <v>11EX1Ln-BQAtx9NTd9zfcaia52FGNdZENDW2kwMCJ8HQ</v>
      </c>
    </row>
    <row r="941" ht="15.75" customHeight="1">
      <c r="A941" t="str">
        <f>IFERROR(__xludf.DUMMYFUNCTION("""COMPUTED_VALUE"""),"Admin")</f>
        <v>Admin</v>
      </c>
      <c r="B941" t="str">
        <f>IFERROR(__xludf.DUMMYFUNCTION("""COMPUTED_VALUE"""),"ChangeDate")</f>
        <v>ChangeDate</v>
      </c>
      <c r="C941" t="str">
        <f>IFERROR(__xludf.DUMMYFUNCTION("""COMPUTED_VALUE"""),"1P5fd0ftHTs8WR6XF70cltzN5BPur7V01OcYEMpPEMVE")</f>
        <v>1P5fd0ftHTs8WR6XF70cltzN5BPur7V01OcYEMpPEMVE</v>
      </c>
    </row>
    <row r="942" ht="15.75" customHeight="1">
      <c r="A942" t="str">
        <f>IFERROR(__xludf.DUMMYFUNCTION("""COMPUTED_VALUE"""),"Simulator")</f>
        <v>Simulator</v>
      </c>
      <c r="B942" t="str">
        <f>IFERROR(__xludf.DUMMYFUNCTION("""COMPUTED_VALUE"""),"NewAcknowledgeTrade")</f>
        <v>NewAcknowledgeTrade</v>
      </c>
      <c r="C942" t="str">
        <f>IFERROR(__xludf.DUMMYFUNCTION("""COMPUTED_VALUE"""),"1H8R-FdslnMhiBZjAanQN5V9z26E47VjoaeJWQdGZ2pU")</f>
        <v>1H8R-FdslnMhiBZjAanQN5V9z26E47VjoaeJWQdGZ2pU</v>
      </c>
    </row>
    <row r="943" ht="15.75" customHeight="1">
      <c r="A943" t="str">
        <f>IFERROR(__xludf.DUMMYFUNCTION("""COMPUTED_VALUE"""),"Allocation")</f>
        <v>Allocation</v>
      </c>
      <c r="B943" t="str">
        <f>IFERROR(__xludf.DUMMYFUNCTION("""COMPUTED_VALUE"""),"ActionOnToolBar")</f>
        <v>ActionOnToolBar</v>
      </c>
      <c r="C943" t="str">
        <f>IFERROR(__xludf.DUMMYFUNCTION("""COMPUTED_VALUE"""),"11EX1Ln-BQAtx9NTd9zfcaia52FGNdZENDW2kwMCJ8HQ")</f>
        <v>11EX1Ln-BQAtx9NTd9zfcaia52FGNdZENDW2kwMCJ8HQ</v>
      </c>
    </row>
    <row r="944" ht="15.75" customHeight="1">
      <c r="A944" t="str">
        <f>IFERROR(__xludf.DUMMYFUNCTION("""COMPUTED_VALUE"""),"Allocation")</f>
        <v>Allocation</v>
      </c>
      <c r="B944" t="str">
        <f>IFERROR(__xludf.DUMMYFUNCTION("""COMPUTED_VALUE"""),"AutoGrpRules")</f>
        <v>AutoGrpRules</v>
      </c>
      <c r="C944" t="str">
        <f>IFERROR(__xludf.DUMMYFUNCTION("""COMPUTED_VALUE"""),"11EX1Ln-BQAtx9NTd9zfcaia52FGNdZENDW2kwMCJ8HQ")</f>
        <v>11EX1Ln-BQAtx9NTd9zfcaia52FGNdZENDW2kwMCJ8HQ</v>
      </c>
    </row>
    <row r="945" ht="15.75" customHeight="1">
      <c r="A945" t="str">
        <f>IFERROR(__xludf.DUMMYFUNCTION("""COMPUTED_VALUE"""),"Allocation")</f>
        <v>Allocation</v>
      </c>
      <c r="B945" t="str">
        <f>IFERROR(__xludf.DUMMYFUNCTION("""COMPUTED_VALUE"""),"VerifyToggleStateTA")</f>
        <v>VerifyToggleStateTA</v>
      </c>
      <c r="C945" t="str">
        <f>IFERROR(__xludf.DUMMYFUNCTION("""COMPUTED_VALUE"""),"11EX1Ln-BQAtx9NTd9zfcaia52FGNdZENDW2kwMCJ8HQ")</f>
        <v>11EX1Ln-BQAtx9NTd9zfcaia52FGNdZENDW2kwMCJ8HQ</v>
      </c>
    </row>
    <row r="946" ht="15.75" customHeight="1">
      <c r="A946" t="str">
        <f>IFERROR(__xludf.DUMMYFUNCTION("""COMPUTED_VALUE"""),"Expnl")</f>
        <v>Expnl</v>
      </c>
      <c r="B946" t="str">
        <f>IFERROR(__xludf.DUMMYFUNCTION("""COMPUTED_VALUE"""),"RefreshExpnlUi")</f>
        <v>RefreshExpnlUi</v>
      </c>
      <c r="C946" t="str">
        <f>IFERROR(__xludf.DUMMYFUNCTION("""COMPUTED_VALUE"""),"Undefined")</f>
        <v>Undefined</v>
      </c>
    </row>
    <row r="947" ht="15.75" customHeight="1">
      <c r="A947" t="str">
        <f>IFERROR(__xludf.DUMMYFUNCTION("""COMPUTED_VALUE"""),"Allocation")</f>
        <v>Allocation</v>
      </c>
      <c r="B947" t="str">
        <f>IFERROR(__xludf.DUMMYFUNCTION("""COMPUTED_VALUE"""),"ActiononAGP")</f>
        <v>ActiononAGP</v>
      </c>
      <c r="C947" t="str">
        <f>IFERROR(__xludf.DUMMYFUNCTION("""COMPUTED_VALUE"""),"11EX1Ln-BQAtx9NTd9zfcaia52FGNdZENDW2kwMCJ8HQ")</f>
        <v>11EX1Ln-BQAtx9NTd9zfcaia52FGNdZENDW2kwMCJ8HQ</v>
      </c>
    </row>
    <row r="948" ht="15.75" customHeight="1">
      <c r="A948" t="str">
        <f>IFERROR(__xludf.DUMMYFUNCTION("""COMPUTED_VALUE"""),"Allocation")</f>
        <v>Allocation</v>
      </c>
      <c r="B948" t="str">
        <f>IFERROR(__xludf.DUMMYFUNCTION("""COMPUTED_VALUE"""),"AttBulkChng")</f>
        <v>AttBulkChng</v>
      </c>
      <c r="C948" t="str">
        <f>IFERROR(__xludf.DUMMYFUNCTION("""COMPUTED_VALUE"""),"11EX1Ln-BQAtx9NTd9zfcaia52FGNdZENDW2kwMCJ8HQ")</f>
        <v>11EX1Ln-BQAtx9NTd9zfcaia52FGNdZENDW2kwMCJ8HQ</v>
      </c>
    </row>
    <row r="949" ht="15.75" customHeight="1">
      <c r="A949" t="str">
        <f>IFERROR(__xludf.DUMMYFUNCTION("""COMPUTED_VALUE"""),"Allocation")</f>
        <v>Allocation</v>
      </c>
      <c r="B949" t="str">
        <f>IFERROR(__xludf.DUMMYFUNCTION("""COMPUTED_VALUE"""),"AttBulkChngTwo")</f>
        <v>AttBulkChngTwo</v>
      </c>
      <c r="C949" t="str">
        <f>IFERROR(__xludf.DUMMYFUNCTION("""COMPUTED_VALUE"""),"11EX1Ln-BQAtx9NTd9zfcaia52FGNdZENDW2kwMCJ8HQ")</f>
        <v>11EX1Ln-BQAtx9NTd9zfcaia52FGNdZENDW2kwMCJ8HQ</v>
      </c>
    </row>
    <row r="950" ht="15.75" customHeight="1">
      <c r="A950" t="str">
        <f>IFERROR(__xludf.DUMMYFUNCTION("""COMPUTED_VALUE"""),"Login")</f>
        <v>Login</v>
      </c>
      <c r="B950" t="str">
        <f>IFERROR(__xludf.DUMMYFUNCTION("""COMPUTED_VALUE"""),"Login")</f>
        <v>Login</v>
      </c>
      <c r="C950" t="str">
        <f>IFERROR(__xludf.DUMMYFUNCTION("""COMPUTED_VALUE"""),"1uy63r2XjpUIBlAUk-lXKJTr-PpvpP6wxvLlLDzoM-Ic")</f>
        <v>1uy63r2XjpUIBlAUk-lXKJTr-PpvpP6wxvLlLDzoM-Ic</v>
      </c>
    </row>
    <row r="951" ht="15.75" customHeight="1">
      <c r="A951" t="str">
        <f>IFERROR(__xludf.DUMMYFUNCTION("""COMPUTED_VALUE"""),"Simulator")</f>
        <v>Simulator</v>
      </c>
      <c r="B951" t="str">
        <f>IFERROR(__xludf.DUMMYFUNCTION("""COMPUTED_VALUE"""),"VerifyRowAllFixLogs")</f>
        <v>VerifyRowAllFixLogs</v>
      </c>
      <c r="C951" t="str">
        <f>IFERROR(__xludf.DUMMYFUNCTION("""COMPUTED_VALUE"""),"1_W_DB1rnbV-zXf1aqv8VkPNpTGPIckmD7s5z0ncm4ho")</f>
        <v>1_W_DB1rnbV-zXf1aqv8VkPNpTGPIckmD7s5z0ncm4ho</v>
      </c>
    </row>
    <row r="952" ht="15.75" customHeight="1">
      <c r="A952" t="str">
        <f>IFERROR(__xludf.DUMMYFUNCTION("""COMPUTED_VALUE"""),"Blotter")</f>
        <v>Blotter</v>
      </c>
      <c r="B952" t="str">
        <f>IFERROR(__xludf.DUMMYFUNCTION("""COMPUTED_VALUE"""),"ManageHotButton")</f>
        <v>ManageHotButton</v>
      </c>
      <c r="C952" t="str">
        <f>IFERROR(__xludf.DUMMYFUNCTION("""COMPUTED_VALUE"""),"1kQpkPRi_1u4R3VazjhiilbOI8OkiiHRY2wfgByau1YY")</f>
        <v>1kQpkPRi_1u4R3VazjhiilbOI8OkiiHRY2wfgByau1YY</v>
      </c>
    </row>
    <row r="953" ht="15.75" customHeight="1">
      <c r="A953" t="str">
        <f>IFERROR(__xludf.DUMMYFUNCTION("""COMPUTED_VALUE"""),"Simulator")</f>
        <v>Simulator</v>
      </c>
      <c r="B953" t="str">
        <f>IFERROR(__xludf.DUMMYFUNCTION("""COMPUTED_VALUE"""),"ClearAllFixLogs")</f>
        <v>ClearAllFixLogs</v>
      </c>
    </row>
    <row r="954" ht="15.75" customHeight="1">
      <c r="A954" t="str">
        <f>IFERROR(__xludf.DUMMYFUNCTION("""COMPUTED_VALUE"""),"PranaClient")</f>
        <v>PranaClient</v>
      </c>
      <c r="B954" t="str">
        <f>IFERROR(__xludf.DUMMYFUNCTION("""COMPUTED_VALUE"""),"UpdateLiveExcelSheetForRTPNL")</f>
        <v>UpdateLiveExcelSheetForRTPNL</v>
      </c>
    </row>
    <row r="955" ht="15.75" customHeight="1">
      <c r="A955" t="str">
        <f>IFERROR(__xludf.DUMMYFUNCTION("""COMPUTED_VALUE"""),"OpenFin")</f>
        <v>OpenFin</v>
      </c>
      <c r="B955" t="str">
        <f>IFERROR(__xludf.DUMMYFUNCTION("""COMPUTED_VALUE"""),"SavePageRTPNL")</f>
        <v>SavePageRTPNL</v>
      </c>
      <c r="C955" t="str">
        <f>IFERROR(__xludf.DUMMYFUNCTION("""COMPUTED_VALUE"""),"1YqhSG4yXo70SfhUq3fYD9CKf-eg44IFJ37IZh4WLI84")</f>
        <v>1YqhSG4yXo70SfhUq3fYD9CKf-eg44IFJ37IZh4WLI84</v>
      </c>
    </row>
    <row r="956" ht="15.75" customHeight="1">
      <c r="A956" t="str">
        <f>IFERROR(__xludf.DUMMYFUNCTION("""COMPUTED_VALUE"""),"RTPNL")</f>
        <v>RTPNL</v>
      </c>
      <c r="B956" t="str">
        <f>IFERROR(__xludf.DUMMYFUNCTION("""COMPUTED_VALUE"""),"VerifyGridThroughLiveExcel")</f>
        <v>VerifyGridThroughLiveExcel</v>
      </c>
      <c r="C956" t="str">
        <f>IFERROR(__xludf.DUMMYFUNCTION("""COMPUTED_VALUE"""),"1cCUw9lchUCKgHeNcwCDXybCOZXIeN4O0zRhkTZCVDUg")</f>
        <v>1cCUw9lchUCKgHeNcwCDXybCOZXIeN4O0zRhkTZCVDUg</v>
      </c>
    </row>
    <row r="957" ht="15.75" customHeight="1">
      <c r="A957" t="str">
        <f>IFERROR(__xludf.DUMMYFUNCTION("""COMPUTED_VALUE"""),"OpenFin")</f>
        <v>OpenFin</v>
      </c>
      <c r="B957" t="str">
        <f>IFERROR(__xludf.DUMMYFUNCTION("""COMPUTED_VALUE"""),"VerifyToastMessage")</f>
        <v>VerifyToastMessage</v>
      </c>
      <c r="C957" t="str">
        <f>IFERROR(__xludf.DUMMYFUNCTION("""COMPUTED_VALUE"""),"1DYn70fZ-UJ9bocMMWUWIW2IVfXlF5TRVuLedi7Y_LNk")</f>
        <v>1DYn70fZ-UJ9bocMMWUWIW2IVfXlF5TRVuLedi7Y_LNk</v>
      </c>
    </row>
    <row r="958" ht="15.75" customHeight="1">
      <c r="A958" t="str">
        <f>IFERROR(__xludf.DUMMYFUNCTION("""COMPUTED_VALUE"""),"NavLock")</f>
        <v>NavLock</v>
      </c>
      <c r="B958" t="str">
        <f>IFERROR(__xludf.DUMMYFUNCTION("""COMPUTED_VALUE"""),"VerifyNavLockGrid")</f>
        <v>VerifyNavLockGrid</v>
      </c>
      <c r="C958" t="str">
        <f>IFERROR(__xludf.DUMMYFUNCTION("""COMPUTED_VALUE"""),"11EX1Ln-BQAtx9NTd9zfcaia52FGNdZENDW2kwMCJ8HQ")</f>
        <v>11EX1Ln-BQAtx9NTd9zfcaia52FGNdZENDW2kwMCJ8HQ</v>
      </c>
    </row>
    <row r="959" ht="15.75" customHeight="1">
      <c r="A959" t="str">
        <f>IFERROR(__xludf.DUMMYFUNCTION("""COMPUTED_VALUE"""),"RTPNL")</f>
        <v>RTPNL</v>
      </c>
      <c r="B959" t="str">
        <f>IFERROR(__xludf.DUMMYFUNCTION("""COMPUTED_VALUE"""),"ApplyColumnFilter")</f>
        <v>ApplyColumnFilter</v>
      </c>
      <c r="C959" t="str">
        <f>IFERROR(__xludf.DUMMYFUNCTION("""COMPUTED_VALUE"""),"1N9Nn6t5kuoUpj5sQRZwukYuXz8skh2F7E53j1Um1W1A")</f>
        <v>1N9Nn6t5kuoUpj5sQRZwukYuXz8skh2F7E53j1Um1W1A</v>
      </c>
    </row>
    <row r="960" ht="15.75" customHeight="1">
      <c r="A960" t="str">
        <f>IFERROR(__xludf.DUMMYFUNCTION("""COMPUTED_VALUE"""),"Closing")</f>
        <v>Closing</v>
      </c>
      <c r="B960" t="str">
        <f>IFERROR(__xludf.DUMMYFUNCTION("""COMPUTED_VALUE"""),"GetClosingData")</f>
        <v>GetClosingData</v>
      </c>
      <c r="C960" t="str">
        <f>IFERROR(__xludf.DUMMYFUNCTION("""COMPUTED_VALUE"""),"11EX1Ln-BQAtx9NTd9zfcaia52FGNdZENDW2kwMCJ9HQ")</f>
        <v>11EX1Ln-BQAtx9NTd9zfcaia52FGNdZENDW2kwMCJ9HQ</v>
      </c>
    </row>
    <row r="961" ht="15.75" customHeight="1">
      <c r="A961" t="str">
        <f>IFERROR(__xludf.DUMMYFUNCTION("""COMPUTED_VALUE"""),"Closing")</f>
        <v>Closing</v>
      </c>
      <c r="B961" t="str">
        <f>IFERROR(__xludf.DUMMYFUNCTION("""COMPUTED_VALUE"""),"CloseAmendOprtn")</f>
        <v>CloseAmendOprtn</v>
      </c>
      <c r="C961" t="str">
        <f>IFERROR(__xludf.DUMMYFUNCTION("""COMPUTED_VALUE"""),"11EX1Ln-BQAtx9NTd9zfcaia52FGNdZENDW2kwMCJ10HQ")</f>
        <v>11EX1Ln-BQAtx9NTd9zfcaia52FGNdZENDW2kwMCJ10HQ</v>
      </c>
    </row>
    <row r="962" ht="15.75" customHeight="1">
      <c r="A962" t="str">
        <f>IFERROR(__xludf.DUMMYFUNCTION("""COMPUTED_VALUE"""),"Closing")</f>
        <v>Closing</v>
      </c>
      <c r="B962" t="str">
        <f>IFERROR(__xludf.DUMMYFUNCTION("""COMPUTED_VALUE"""),"ExpSettlOprtn")</f>
        <v>ExpSettlOprtn</v>
      </c>
      <c r="C962" t="str">
        <f>IFERROR(__xludf.DUMMYFUNCTION("""COMPUTED_VALUE"""),"11EX1Ln-BQAtx9NTd9zfcaia52FGNdZENDW2kwMCJ11HQ")</f>
        <v>11EX1Ln-BQAtx9NTd9zfcaia52FGNdZENDW2kwMCJ11HQ</v>
      </c>
    </row>
    <row r="963" ht="15.75" customHeight="1">
      <c r="A963" t="str">
        <f>IFERROR(__xludf.DUMMYFUNCTION("""COMPUTED_VALUE"""),"Closing")</f>
        <v>Closing</v>
      </c>
      <c r="B963" t="str">
        <f>IFERROR(__xludf.DUMMYFUNCTION("""COMPUTED_VALUE"""),"CloseOrderOprtn")</f>
        <v>CloseOrderOprtn</v>
      </c>
      <c r="C963" t="str">
        <f>IFERROR(__xludf.DUMMYFUNCTION("""COMPUTED_VALUE"""),"11EX1Ln-BQAtx9NTd9zfcaia52FGNdZENDW2kwMCJ12HQ")</f>
        <v>11EX1Ln-BQAtx9NTd9zfcaia52FGNdZENDW2kwMCJ12HQ</v>
      </c>
    </row>
    <row r="964" ht="15.75" customHeight="1">
      <c r="A964" t="str">
        <f>IFERROR(__xludf.DUMMYFUNCTION("""COMPUTED_VALUE"""),"Closing")</f>
        <v>Closing</v>
      </c>
      <c r="B964" t="str">
        <f>IFERROR(__xludf.DUMMYFUNCTION("""COMPUTED_VALUE"""),"SelectgrdCloseTrades")</f>
        <v>SelectgrdCloseTrades</v>
      </c>
      <c r="C964" t="str">
        <f>IFERROR(__xludf.DUMMYFUNCTION("""COMPUTED_VALUE"""),"11EX1Ln-BQAtx9NTd9zfcaia52FGNdZENDW2kwMCJ13HQ")</f>
        <v>11EX1Ln-BQAtx9NTd9zfcaia52FGNdZENDW2kwMCJ13HQ</v>
      </c>
    </row>
    <row r="965" ht="15.75" customHeight="1">
      <c r="A965" t="str">
        <f>IFERROR(__xludf.DUMMYFUNCTION("""COMPUTED_VALUE"""),"Closing")</f>
        <v>Closing</v>
      </c>
      <c r="B965" t="str">
        <f>IFERROR(__xludf.DUMMYFUNCTION("""COMPUTED_VALUE"""),"SelectgrdLongTrades")</f>
        <v>SelectgrdLongTrades</v>
      </c>
      <c r="C965" t="str">
        <f>IFERROR(__xludf.DUMMYFUNCTION("""COMPUTED_VALUE"""),"11EX1Ln-BQAtx9NTd9zfcaia52FGNdZENDW2kwMCJ14HQ")</f>
        <v>11EX1Ln-BQAtx9NTd9zfcaia52FGNdZENDW2kwMCJ14HQ</v>
      </c>
    </row>
    <row r="966" ht="15.75" customHeight="1">
      <c r="A966" t="str">
        <f>IFERROR(__xludf.DUMMYFUNCTION("""COMPUTED_VALUE"""),"Closing")</f>
        <v>Closing</v>
      </c>
      <c r="B966" t="str">
        <f>IFERROR(__xludf.DUMMYFUNCTION("""COMPUTED_VALUE"""),"SelectgrdShortTrades")</f>
        <v>SelectgrdShortTrades</v>
      </c>
      <c r="C966" t="str">
        <f>IFERROR(__xludf.DUMMYFUNCTION("""COMPUTED_VALUE"""),"11EX1Ln-BQAtx9NTd9zfcaia52FGNdZENDW2kwMCJ15HQ")</f>
        <v>11EX1Ln-BQAtx9NTd9zfcaia52FGNdZENDW2kwMCJ15HQ</v>
      </c>
    </row>
    <row r="967" ht="15.75" customHeight="1">
      <c r="A967" t="str">
        <f>IFERROR(__xludf.DUMMYFUNCTION("""COMPUTED_VALUE"""),"Closing")</f>
        <v>Closing</v>
      </c>
      <c r="B967" t="str">
        <f>IFERROR(__xludf.DUMMYFUNCTION("""COMPUTED_VALUE"""),"SelectgrdNetPositionTrades")</f>
        <v>SelectgrdNetPositionTrades</v>
      </c>
      <c r="C967" t="str">
        <f>IFERROR(__xludf.DUMMYFUNCTION("""COMPUTED_VALUE"""),"11EX1Ln-BQAtx9NTd9zfcaia52FGNdZENDW2kwMCJ16HQ")</f>
        <v>11EX1Ln-BQAtx9NTd9zfcaia52FGNdZENDW2kwMCJ16HQ</v>
      </c>
    </row>
    <row r="968" ht="15.75" customHeight="1">
      <c r="A968" t="str">
        <f>IFERROR(__xludf.DUMMYFUNCTION("""COMPUTED_VALUE"""),"Closing")</f>
        <v>Closing</v>
      </c>
      <c r="B968" t="str">
        <f>IFERROR(__xludf.DUMMYFUNCTION("""COMPUTED_VALUE"""),"SelectgrdUnexpiredTrades")</f>
        <v>SelectgrdUnexpiredTrades</v>
      </c>
      <c r="C968" t="str">
        <f>IFERROR(__xludf.DUMMYFUNCTION("""COMPUTED_VALUE"""),"11EX1Ln-BQAtx9NTd9zfcaia52FGNdZENDW2kwMCJ17HQ")</f>
        <v>11EX1Ln-BQAtx9NTd9zfcaia52FGNdZENDW2kwMCJ17HQ</v>
      </c>
    </row>
    <row r="969" ht="15.75" customHeight="1">
      <c r="A969" t="str">
        <f>IFERROR(__xludf.DUMMYFUNCTION("""COMPUTED_VALUE"""),"Closing")</f>
        <v>Closing</v>
      </c>
      <c r="B969" t="str">
        <f>IFERROR(__xludf.DUMMYFUNCTION("""COMPUTED_VALUE"""),"SelectgrdCPTrades")</f>
        <v>SelectgrdCPTrades</v>
      </c>
      <c r="C969" t="str">
        <f>IFERROR(__xludf.DUMMYFUNCTION("""COMPUTED_VALUE"""),"11EX1Ln-BQAtx9NTd9zfcaia52FGNdZENDW2kwMCJ18HQ")</f>
        <v>11EX1Ln-BQAtx9NTd9zfcaia52FGNdZENDW2kwMCJ18HQ</v>
      </c>
    </row>
    <row r="970" ht="15.75" customHeight="1">
      <c r="A970" t="str">
        <f>IFERROR(__xludf.DUMMYFUNCTION("""COMPUTED_VALUE"""),"Closing")</f>
        <v>Closing</v>
      </c>
      <c r="B970" t="str">
        <f>IFERROR(__xludf.DUMMYFUNCTION("""COMPUTED_VALUE"""),"SelectgrdExpiredTrades")</f>
        <v>SelectgrdExpiredTrades</v>
      </c>
      <c r="C970" t="str">
        <f>IFERROR(__xludf.DUMMYFUNCTION("""COMPUTED_VALUE"""),"11EX1Ln-BQAtx9NTd9zfcaia52FGNdZENDW2kwMCJ19HQ")</f>
        <v>11EX1Ln-BQAtx9NTd9zfcaia52FGNdZENDW2kwMCJ19HQ</v>
      </c>
    </row>
    <row r="971" ht="15.75" customHeight="1">
      <c r="A971" t="str">
        <f>IFERROR(__xludf.DUMMYFUNCTION("""COMPUTED_VALUE"""),"Closing")</f>
        <v>Closing</v>
      </c>
      <c r="B971" t="str">
        <f>IFERROR(__xludf.DUMMYFUNCTION("""COMPUTED_VALUE"""),"SelectgrdOpenTrades")</f>
        <v>SelectgrdOpenTrades</v>
      </c>
      <c r="C971" t="str">
        <f>IFERROR(__xludf.DUMMYFUNCTION("""COMPUTED_VALUE"""),"11EX1Ln-BQAtx9NTd9zfcaia52FGNdZENDW2kwMCJ20HQ")</f>
        <v>11EX1Ln-BQAtx9NTd9zfcaia52FGNdZENDW2kwMCJ20HQ</v>
      </c>
    </row>
    <row r="972" ht="15.75" customHeight="1">
      <c r="A972" t="str">
        <f>IFERROR(__xludf.DUMMYFUNCTION("""COMPUTED_VALUE"""),"Closing")</f>
        <v>Closing</v>
      </c>
      <c r="B972" t="str">
        <f>IFERROR(__xludf.DUMMYFUNCTION("""COMPUTED_VALUE"""),"GetClosingData")</f>
        <v>GetClosingData</v>
      </c>
      <c r="C972" t="str">
        <f>IFERROR(__xludf.DUMMYFUNCTION("""COMPUTED_VALUE"""),"11EX1Ln-BQAtx9NTd9zfcaia52FGNdZENDW2kwMCJ20HQ")</f>
        <v>11EX1Ln-BQAtx9NTd9zfcaia52FGNdZENDW2kwMCJ20HQ</v>
      </c>
    </row>
    <row r="973" ht="15.75" customHeight="1">
      <c r="A973" t="str">
        <f>IFERROR(__xludf.DUMMYFUNCTION("""COMPUTED_VALUE"""),"Closing")</f>
        <v>Closing</v>
      </c>
      <c r="B973" t="str">
        <f>IFERROR(__xludf.DUMMYFUNCTION("""COMPUTED_VALUE"""),"WizardOptions")</f>
        <v>WizardOptions</v>
      </c>
      <c r="C973" t="str">
        <f>IFERROR(__xludf.DUMMYFUNCTION("""COMPUTED_VALUE"""),"11EX1Ln-BQAtx9NTd9zfcaia52FGNdZENDW2kwMCJ21HQ")</f>
        <v>11EX1Ln-BQAtx9NTd9zfcaia52FGNdZENDW2kwMCJ21HQ</v>
      </c>
    </row>
    <row r="974" ht="15.75" customHeight="1">
      <c r="A974" t="str">
        <f>IFERROR(__xludf.DUMMYFUNCTION("""COMPUTED_VALUE"""),"Closing")</f>
        <v>Closing</v>
      </c>
      <c r="B974" t="str">
        <f>IFERROR(__xludf.DUMMYFUNCTION("""COMPUTED_VALUE"""),"ActionOnClosingWiz")</f>
        <v>ActionOnClosingWiz</v>
      </c>
      <c r="C974" t="str">
        <f>IFERROR(__xludf.DUMMYFUNCTION("""COMPUTED_VALUE"""),"11EX1Ln-BQAtx9NTd9zfcaia52FGNdZENDW2kwMCJ21HQ")</f>
        <v>11EX1Ln-BQAtx9NTd9zfcaia52FGNdZENDW2kwMCJ21HQ</v>
      </c>
    </row>
    <row r="975" ht="15.75" customHeight="1">
      <c r="A975" t="str">
        <f>IFERROR(__xludf.DUMMYFUNCTION("""COMPUTED_VALUE"""),"Allocation")</f>
        <v>Allocation</v>
      </c>
      <c r="B975" t="str">
        <f>IFERROR(__xludf.DUMMYFUNCTION("""COMPUTED_VALUE"""),"VerifyAttRenaming")</f>
        <v>VerifyAttRenaming</v>
      </c>
      <c r="C975" t="str">
        <f>IFERROR(__xludf.DUMMYFUNCTION("""COMPUTED_VALUE"""),"11EX1Ln-BQAtx9NTd9zfcaia52FGNdZENDW2kwMCJ21HQ")</f>
        <v>11EX1Ln-BQAtx9NTd9zfcaia52FGNdZENDW2kwMCJ21HQ</v>
      </c>
    </row>
    <row r="976" ht="15.75" customHeight="1">
      <c r="A976" t="str">
        <f>IFERROR(__xludf.DUMMYFUNCTION("""COMPUTED_VALUE"""),"NavLock")</f>
        <v>NavLock</v>
      </c>
      <c r="B976" t="str">
        <f>IFERROR(__xludf.DUMMYFUNCTION("""COMPUTED_VALUE"""),"DeleteRowNavLock")</f>
        <v>DeleteRowNavLock</v>
      </c>
      <c r="C976" t="str">
        <f>IFERROR(__xludf.DUMMYFUNCTION("""COMPUTED_VALUE"""),"11EX1Ln-BQAtx9NTd9zfcaia52FGNdZENDW2kwMCJ21HQ")</f>
        <v>11EX1Ln-BQAtx9NTd9zfcaia52FGNdZENDW2kwMCJ21HQ</v>
      </c>
    </row>
    <row r="977" ht="15.75" customHeight="1">
      <c r="A977" t="str">
        <f>IFERROR(__xludf.DUMMYFUNCTION("""COMPUTED_VALUE"""),"Closing")</f>
        <v>Closing</v>
      </c>
      <c r="B977" t="str">
        <f>IFERROR(__xludf.DUMMYFUNCTION("""COMPUTED_VALUE"""),"VerifyLongPositionsGrid")</f>
        <v>VerifyLongPositionsGrid</v>
      </c>
      <c r="C977" t="str">
        <f>IFERROR(__xludf.DUMMYFUNCTION("""COMPUTED_VALUE"""),"11EX1Ln-BQAtx9NTd9zfcaia52FGNdZENDW2kwMCJ14HQ")</f>
        <v>11EX1Ln-BQAtx9NTd9zfcaia52FGNdZENDW2kwMCJ14HQ</v>
      </c>
    </row>
    <row r="978" ht="15.75" customHeight="1">
      <c r="A978" t="str">
        <f>IFERROR(__xludf.DUMMYFUNCTION("""COMPUTED_VALUE"""),"Closing")</f>
        <v>Closing</v>
      </c>
      <c r="B978" t="str">
        <f>IFERROR(__xludf.DUMMYFUNCTION("""COMPUTED_VALUE"""),"VerifyShortPositionsGrid")</f>
        <v>VerifyShortPositionsGrid</v>
      </c>
      <c r="C978" t="str">
        <f>IFERROR(__xludf.DUMMYFUNCTION("""COMPUTED_VALUE"""),"11EX1Ln-BQAtx9NTd9zfcaia52FGNdZENDW2kwMCJ15HQ")</f>
        <v>11EX1Ln-BQAtx9NTd9zfcaia52FGNdZENDW2kwMCJ15HQ</v>
      </c>
    </row>
    <row r="979" ht="15.75" customHeight="1">
      <c r="A979" t="str">
        <f>IFERROR(__xludf.DUMMYFUNCTION("""COMPUTED_VALUE"""),"Closing")</f>
        <v>Closing</v>
      </c>
      <c r="B979" t="str">
        <f>IFERROR(__xludf.DUMMYFUNCTION("""COMPUTED_VALUE"""),"VerifyClosedTrades")</f>
        <v>VerifyClosedTrades</v>
      </c>
      <c r="C979" t="str">
        <f>IFERROR(__xludf.DUMMYFUNCTION("""COMPUTED_VALUE"""),"11EX1Ln-BQAtx9NTd9zfcaia52FGNdZENDW2kwMCJ16HQ")</f>
        <v>11EX1Ln-BQAtx9NTd9zfcaia52FGNdZENDW2kwMCJ16HQ</v>
      </c>
    </row>
    <row r="980" ht="15.75" customHeight="1">
      <c r="A980" t="str">
        <f>IFERROR(__xludf.DUMMYFUNCTION("""COMPUTED_VALUE"""),"Closing")</f>
        <v>Closing</v>
      </c>
      <c r="B980" t="str">
        <f>IFERROR(__xludf.DUMMYFUNCTION("""COMPUTED_VALUE"""),"CloseAmendOprtn")</f>
        <v>CloseAmendOprtn</v>
      </c>
      <c r="C980" t="str">
        <f>IFERROR(__xludf.DUMMYFUNCTION("""COMPUTED_VALUE"""),"11EX1Ln-BQAtx9NTd9zfcaia52FGNdZENDW2kwMCJ17HQ")</f>
        <v>11EX1Ln-BQAtx9NTd9zfcaia52FGNdZENDW2kwMCJ17HQ</v>
      </c>
    </row>
    <row r="981" ht="15.75" customHeight="1">
      <c r="A981" t="str">
        <f>IFERROR(__xludf.DUMMYFUNCTION("""COMPUTED_VALUE"""),"Closing")</f>
        <v>Closing</v>
      </c>
      <c r="B981" t="str">
        <f>IFERROR(__xludf.DUMMYFUNCTION("""COMPUTED_VALUE"""),"ExpSettlOprtn")</f>
        <v>ExpSettlOprtn</v>
      </c>
      <c r="C981" t="str">
        <f>IFERROR(__xludf.DUMMYFUNCTION("""COMPUTED_VALUE"""),"11EX1Ln-BQAtx9NTd9zfcaia52FGNdZENDW2kwMCJ18HQ")</f>
        <v>11EX1Ln-BQAtx9NTd9zfcaia52FGNdZENDW2kwMCJ18HQ</v>
      </c>
    </row>
    <row r="982" ht="15.75" customHeight="1">
      <c r="A982" t="str">
        <f>IFERROR(__xludf.DUMMYFUNCTION("""COMPUTED_VALUE"""),"Closing")</f>
        <v>Closing</v>
      </c>
      <c r="B982" t="str">
        <f>IFERROR(__xludf.DUMMYFUNCTION("""COMPUTED_VALUE"""),"ActionOnExpGrid")</f>
        <v>ActionOnExpGrid</v>
      </c>
      <c r="C982" t="str">
        <f>IFERROR(__xludf.DUMMYFUNCTION("""COMPUTED_VALUE"""),"11EX1Ln-BQAtx9NTd9zfcaia52FGNdZENDW2kwMCJ19HQ")</f>
        <v>11EX1Ln-BQAtx9NTd9zfcaia52FGNdZENDW2kwMCJ19HQ</v>
      </c>
    </row>
    <row r="983" ht="15.75" customHeight="1">
      <c r="A983" t="str">
        <f>IFERROR(__xludf.DUMMYFUNCTION("""COMPUTED_VALUE"""),"Closing")</f>
        <v>Closing</v>
      </c>
      <c r="B983" t="str">
        <f>IFERROR(__xludf.DUMMYFUNCTION("""COMPUTED_VALUE"""),"ActiononIncorrectQty")</f>
        <v>ActiononIncorrectQty</v>
      </c>
      <c r="C983" t="str">
        <f>IFERROR(__xludf.DUMMYFUNCTION("""COMPUTED_VALUE"""),"11EX1Ln-BQAtx9NTd9zfcaia52FGNdZENDW2kwMCJ20HQ")</f>
        <v>11EX1Ln-BQAtx9NTd9zfcaia52FGNdZENDW2kwMCJ20HQ</v>
      </c>
    </row>
    <row r="984" ht="15.75" customHeight="1">
      <c r="A984" t="str">
        <f>IFERROR(__xludf.DUMMYFUNCTION("""COMPUTED_VALUE"""),"Closing")</f>
        <v>Closing</v>
      </c>
      <c r="B984" t="str">
        <f>IFERROR(__xludf.DUMMYFUNCTION("""COMPUTED_VALUE"""),"VerifyIncorrectQty")</f>
        <v>VerifyIncorrectQty</v>
      </c>
      <c r="C984" t="str">
        <f>IFERROR(__xludf.DUMMYFUNCTION("""COMPUTED_VALUE"""),"11EX1Ln-BQAtx9NTd9zfcaia52FGNdZENDW2kwMCJ21HQ")</f>
        <v>11EX1Ln-BQAtx9NTd9zfcaia52FGNdZENDW2kwMCJ21HQ</v>
      </c>
    </row>
    <row r="985" ht="15.75" customHeight="1">
      <c r="A985" t="str">
        <f>IFERROR(__xludf.DUMMYFUNCTION("""COMPUTED_VALUE"""),"Closing")</f>
        <v>Closing</v>
      </c>
      <c r="B985" t="str">
        <f>IFERROR(__xludf.DUMMYFUNCTION("""COMPUTED_VALUE"""),"VerifyOpenTrades")</f>
        <v>VerifyOpenTrades</v>
      </c>
      <c r="C985" t="str">
        <f>IFERROR(__xludf.DUMMYFUNCTION("""COMPUTED_VALUE"""),"11EX1Ln-BQAtx9NTd9zfcaia52FGNdZENDW2kwMCJ20HQ")</f>
        <v>11EX1Ln-BQAtx9NTd9zfcaia52FGNdZENDW2kwMCJ20HQ</v>
      </c>
    </row>
    <row r="986" ht="15.75" customHeight="1">
      <c r="A986" t="str">
        <f>IFERROR(__xludf.DUMMYFUNCTION("""COMPUTED_VALUE"""),"CreateTransaction")</f>
        <v>CreateTransaction</v>
      </c>
      <c r="B986" t="str">
        <f>IFERROR(__xludf.DUMMYFUNCTION("""COMPUTED_VALUE"""),"EditCTGrid")</f>
        <v>EditCTGrid</v>
      </c>
      <c r="C986" t="str">
        <f>IFERROR(__xludf.DUMMYFUNCTION("""COMPUTED_VALUE"""),"11EX1Ln-BQAtx9NTd9zfcaia52FGNdZENDW2kwMCJ20HQ")</f>
        <v>11EX1Ln-BQAtx9NTd9zfcaia52FGNdZENDW2kwMCJ20HQ</v>
      </c>
    </row>
    <row r="987" ht="15.75" customHeight="1">
      <c r="A987" t="str">
        <f>IFERROR(__xludf.DUMMYFUNCTION("""COMPUTED_VALUE"""),"CreateTransaction")</f>
        <v>CreateTransaction</v>
      </c>
      <c r="B987" t="str">
        <f>IFERROR(__xludf.DUMMYFUNCTION("""COMPUTED_VALUE"""),"ActionOnCT")</f>
        <v>ActionOnCT</v>
      </c>
      <c r="C987" t="str">
        <f>IFERROR(__xludf.DUMMYFUNCTION("""COMPUTED_VALUE"""),"11EX1Ln-BQAtx9NTd9zfcaia52FGNdZENDW2kwMCJ20HQ")</f>
        <v>11EX1Ln-BQAtx9NTd9zfcaia52FGNdZENDW2kwMCJ20HQ</v>
      </c>
    </row>
    <row r="988" ht="15.75" customHeight="1">
      <c r="A988" t="str">
        <f>IFERROR(__xludf.DUMMYFUNCTION("""COMPUTED_VALUE"""),"Unknown")</f>
        <v>Unknown</v>
      </c>
      <c r="B988" t="str">
        <f>IFERROR(__xludf.DUMMYFUNCTION("""COMPUTED_VALUE"""),"OpenColumnChooser")</f>
        <v>OpenColumnChooser</v>
      </c>
      <c r="C988" t="str">
        <f>IFERROR(__xludf.DUMMYFUNCTION("""COMPUTED_VALUE"""),"11EX1Ln-BQAtx9NTd9zfcaia52FGNdZENDW2kwMCJ20HQ")</f>
        <v>11EX1Ln-BQAtx9NTd9zfcaia52FGNdZENDW2kwMCJ20HQ</v>
      </c>
    </row>
    <row r="989" ht="15.75" customHeight="1">
      <c r="A989" t="str">
        <f>IFERROR(__xludf.DUMMYFUNCTION("""COMPUTED_VALUE"""),"Closing")</f>
        <v>Closing</v>
      </c>
      <c r="B989" t="str">
        <f>IFERROR(__xludf.DUMMYFUNCTION("""COMPUTED_VALUE"""),"UnExpUnsettOperation")</f>
        <v>UnExpUnsettOperation</v>
      </c>
      <c r="C989" t="str">
        <f>IFERROR(__xludf.DUMMYFUNCTION("""COMPUTED_VALUE"""),"11EX1Ln-BQAtx9NTd9zfcaia52FGNdZENDW2kwMCJ20HQ")</f>
        <v>11EX1Ln-BQAtx9NTd9zfcaia52FGNdZENDW2kwMCJ20HQ</v>
      </c>
    </row>
    <row r="990" ht="15.75" customHeight="1">
      <c r="A990" t="str">
        <f>IFERROR(__xludf.DUMMYFUNCTION("""COMPUTED_VALUE"""),"NavLock")</f>
        <v>NavLock</v>
      </c>
      <c r="B990" t="str">
        <f>IFERROR(__xludf.DUMMYFUNCTION("""COMPUTED_VALUE"""),"ActiononNavLock")</f>
        <v>ActiononNavLock</v>
      </c>
      <c r="C990" t="str">
        <f>IFERROR(__xludf.DUMMYFUNCTION("""COMPUTED_VALUE"""),"11EX1Ln-BQAtx9NTd9zfcaia52FGNdZENDW2kwMCJ20HQ")</f>
        <v>11EX1Ln-BQAtx9NTd9zfcaia52FGNdZENDW2kwMCJ20HQ</v>
      </c>
    </row>
    <row r="991" ht="15.75" customHeight="1">
      <c r="A991" t="str">
        <f>IFERROR(__xludf.DUMMYFUNCTION("""COMPUTED_VALUE"""),"Allocation")</f>
        <v>Allocation</v>
      </c>
      <c r="B991" t="str">
        <f>IFERROR(__xludf.DUMMYFUNCTION("""COMPUTED_VALUE"""),"ActiononFixPref")</f>
        <v>ActiononFixPref</v>
      </c>
      <c r="C991" t="str">
        <f>IFERROR(__xludf.DUMMYFUNCTION("""COMPUTED_VALUE"""),"11EX1Ln-BQAtx9NTd9zfcaia52FGNdZENDW2kwMCJ20HQ")</f>
        <v>11EX1Ln-BQAtx9NTd9zfcaia52FGNdZENDW2kwMCJ20HQ</v>
      </c>
    </row>
    <row r="992" ht="15.75" customHeight="1">
      <c r="A992" t="str">
        <f>IFERROR(__xludf.DUMMYFUNCTION("""COMPUTED_VALUE"""),"Blotter")</f>
        <v>Blotter</v>
      </c>
      <c r="B992" t="str">
        <f>IFERROR(__xludf.DUMMYFUNCTION("""COMPUTED_VALUE"""),"SelectWorkSubsOnBlotter")</f>
        <v>SelectWorkSubsOnBlotter</v>
      </c>
      <c r="C992" t="str">
        <f>IFERROR(__xludf.DUMMYFUNCTION("""COMPUTED_VALUE"""),"11EX1Ln-BQAtx9NTd9zfcaia52FGNdZENDW2kwMCJ20HQ")</f>
        <v>11EX1Ln-BQAtx9NTd9zfcaia52FGNdZENDW2kwMCJ20HQ</v>
      </c>
    </row>
    <row r="993" ht="15.75" customHeight="1">
      <c r="A993" t="str">
        <f>IFERROR(__xludf.DUMMYFUNCTION("""COMPUTED_VALUE"""),"Closing")</f>
        <v>Closing</v>
      </c>
      <c r="B993" t="str">
        <f>IFERROR(__xludf.DUMMYFUNCTION("""COMPUTED_VALUE"""),"VerifyAccountUnexpired")</f>
        <v>VerifyAccountUnexpired</v>
      </c>
      <c r="C993" t="str">
        <f>IFERROR(__xludf.DUMMYFUNCTION("""COMPUTED_VALUE"""),"11EX1Ln-BQAtx9NTd9zfcaia52FGNdZENDW2kwMCJ20HQ")</f>
        <v>11EX1Ln-BQAtx9NTd9zfcaia52FGNdZENDW2kwMCJ20HQ</v>
      </c>
    </row>
    <row r="994" ht="15.75" customHeight="1">
      <c r="A994" t="str">
        <f>IFERROR(__xludf.DUMMYFUNCTION("""COMPUTED_VALUE"""),"PortfolioManagement")</f>
        <v>PortfolioManagement</v>
      </c>
      <c r="B994" t="str">
        <f>IFERROR(__xludf.DUMMYFUNCTION("""COMPUTED_VALUE"""),"ToolBarActiononPM")</f>
        <v>ToolBarActiononPM</v>
      </c>
      <c r="C994" t="str">
        <f>IFERROR(__xludf.DUMMYFUNCTION("""COMPUTED_VALUE"""),"11EX1Ln-BQAtx9NTd9zfcaia52FGNdZENDW2kwMCJ20HQ")</f>
        <v>11EX1Ln-BQAtx9NTd9zfcaia52FGNdZENDW2kwMCJ20HQ</v>
      </c>
    </row>
    <row r="995" ht="15.75" customHeight="1">
      <c r="A995" t="str">
        <f>IFERROR(__xludf.DUMMYFUNCTION("""COMPUTED_VALUE"""),"Allocation")</f>
        <v>Allocation</v>
      </c>
      <c r="B995" t="str">
        <f>IFERROR(__xludf.DUMMYFUNCTION("""COMPUTED_VALUE"""),"EditAttRenaming")</f>
        <v>EditAttRenaming</v>
      </c>
      <c r="C995" t="str">
        <f>IFERROR(__xludf.DUMMYFUNCTION("""COMPUTED_VALUE"""),"14aTeLjmUbS-nhaQwjtZAMGxdQ5DS6UsBjE5OTWN-LQU")</f>
        <v>14aTeLjmUbS-nhaQwjtZAMGxdQ5DS6UsBjE5OTWN-LQU</v>
      </c>
    </row>
    <row r="996" ht="15.75" customHeight="1">
      <c r="A996" t="str">
        <f>IFERROR(__xludf.DUMMYFUNCTION("""COMPUTED_VALUE"""),"Unknown")</f>
        <v>Unknown</v>
      </c>
      <c r="B996" t="str">
        <f>IFERROR(__xludf.DUMMYFUNCTION("""COMPUTED_VALUE"""),"ActiononColumnChooser")</f>
        <v>ActiononColumnChooser</v>
      </c>
      <c r="C996" t="str">
        <f>IFERROR(__xludf.DUMMYFUNCTION("""COMPUTED_VALUE"""),"14aTeLjmUbS-nhaQwjtZAMGxdQ5DS6UsBjE5OTWN-LQU")</f>
        <v>14aTeLjmUbS-nhaQwjtZAMGxdQ5DS6UsBjE5OTWN-LQU</v>
      </c>
    </row>
    <row r="997" ht="15.75" customHeight="1">
      <c r="A997" t="str">
        <f>IFERROR(__xludf.DUMMYFUNCTION("""COMPUTED_VALUE"""),"Unknown")</f>
        <v>Unknown</v>
      </c>
      <c r="B997" t="str">
        <f>IFERROR(__xludf.DUMMYFUNCTION("""COMPUTED_VALUE"""),"VerifyColumnChooser")</f>
        <v>VerifyColumnChooser</v>
      </c>
      <c r="C997" t="str">
        <f>IFERROR(__xludf.DUMMYFUNCTION("""COMPUTED_VALUE"""),"14aTeLjmUbS-nhaQwjtZAMGxdQ5DS6UsBjE5OTWN-LQU")</f>
        <v>14aTeLjmUbS-nhaQwjtZAMGxdQ5DS6UsBjE5OTWN-LQU</v>
      </c>
    </row>
    <row r="998" ht="15.75" customHeight="1">
      <c r="A998" t="str">
        <f>IFERROR(__xludf.DUMMYFUNCTION("""COMPUTED_VALUE"""),"Unknown")</f>
        <v>Unknown</v>
      </c>
      <c r="B998" t="str">
        <f>IFERROR(__xludf.DUMMYFUNCTION("""COMPUTED_VALUE"""),"EditColumnChooser")</f>
        <v>EditColumnChooser</v>
      </c>
      <c r="C998" t="str">
        <f>IFERROR(__xludf.DUMMYFUNCTION("""COMPUTED_VALUE"""),"14aTeLjmUbS-nhaQwjtZAMGxdQ5DS6UsBjE5OTWN-LQU")</f>
        <v>14aTeLjmUbS-nhaQwjtZAMGxdQ5DS6UsBjE5OTWN-LQU</v>
      </c>
    </row>
    <row r="999" ht="15.75" customHeight="1">
      <c r="A999" t="str">
        <f>IFERROR(__xludf.DUMMYFUNCTION("""COMPUTED_VALUE"""),"Unknown")</f>
        <v>Unknown</v>
      </c>
      <c r="B999" t="str">
        <f>IFERROR(__xludf.DUMMYFUNCTION("""COMPUTED_VALUE"""),"OpenColumnChooser")</f>
        <v>OpenColumnChooser</v>
      </c>
      <c r="C999" t="str">
        <f>IFERROR(__xludf.DUMMYFUNCTION("""COMPUTED_VALUE"""),"14aTeLjmUbS-nhaQwjtZAMGxdQ5DS6UsBjE5OTWN-LQU")</f>
        <v>14aTeLjmUbS-nhaQwjtZAMGxdQ5DS6UsBjE5OTWN-LQU</v>
      </c>
    </row>
    <row r="1000" ht="15.75" customHeight="1">
      <c r="A1000" t="str">
        <f>IFERROR(__xludf.DUMMYFUNCTION("""COMPUTED_VALUE"""),"TradingTicket")</f>
        <v>TradingTicket</v>
      </c>
      <c r="B1000" t="str">
        <f>IFERROR(__xludf.DUMMYFUNCTION("""COMPUTED_VALUE"""),"UpdateTTCA")</f>
        <v>UpdateTTCA</v>
      </c>
      <c r="C1000" t="str">
        <f>IFERROR(__xludf.DUMMYFUNCTION("""COMPUTED_VALUE"""),"14aTeLjmUbS-nhaQwjtZAMGxdQ5DS6UsBjE5OTWN-LQU")</f>
        <v>14aTeLjmUbS-nhaQwjtZAMGxdQ5DS6UsBjE5OTWN-LQU</v>
      </c>
    </row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IFERROR(__xludf.DUMMYFUNCTION("""COMPUTED_VALUE"""),"Price")</f>
        <v>Price</v>
      </c>
      <c r="E5" s="28" t="str">
        <f>IFERROR(__xludf.DUMMYFUNCTION("""COMPUTED_VALUE"""),"Order type button")</f>
        <v>Order type button</v>
      </c>
      <c r="F5" s="29" t="str">
        <f>IFERROR(__xludf.DUMMYFUNCTION("""COMPUTED_VALUE"""),"SharesOutstandingPopUp")</f>
        <v>SharesOutstandingPopUp</v>
      </c>
      <c r="G5" s="28" t="str">
        <f>IFERROR(__xludf.DUMMYFUNCTION("""COMPUTED_VALUE"""),"TT_Open")</f>
        <v>TT_Open</v>
      </c>
      <c r="H5" s="28" t="str">
        <f>IFERROR(__xludf.DUMMYFUNCTION("""COMPUTED_VALUE"""),"SharesOutstandingPopUpQty")</f>
        <v>SharesOutstandingPopUpQty</v>
      </c>
      <c r="I5" s="28" t="str">
        <f>IFERROR(__xludf.DUMMYFUNCTION("""COMPUTED_VALUE"""),"AllocationMethod")</f>
        <v>AllocationMethod</v>
      </c>
      <c r="J5" s="28" t="str">
        <f>IFERROR(__xludf.DUMMYFUNCTION("""COMPUTED_VALUE"""),"Order Side")</f>
        <v>Order Side</v>
      </c>
      <c r="K5" s="28" t="str">
        <f>IFERROR(__xludf.DUMMYFUNCTION("""COMPUTED_VALUE"""),"DB_Check")</f>
        <v>DB_Check</v>
      </c>
      <c r="L5" s="28" t="str">
        <f>IFERROR(__xludf.DUMMYFUNCTION("""COMPUTED_VALUE"""),"CommissionBasis")</f>
        <v>CommissionBasis</v>
      </c>
      <c r="M5" s="28" t="str">
        <f>IFERROR(__xludf.DUMMYFUNCTION("""COMPUTED_VALUE"""),"CommissionRate")</f>
        <v>CommissionRate</v>
      </c>
      <c r="N5" s="28" t="str">
        <f>IFERROR(__xludf.DUMMYFUNCTION("""COMPUTED_VALUE"""),"SoftBasis")</f>
        <v>SoftBasis</v>
      </c>
      <c r="O5" s="28" t="str">
        <f>IFERROR(__xludf.DUMMYFUNCTION("""COMPUTED_VALUE"""),"SoftRate")</f>
        <v>SoftRate</v>
      </c>
      <c r="P5" s="28" t="str">
        <f>IFERROR(__xludf.DUMMYFUNCTION("""COMPUTED_VALUE"""),"Account")</f>
        <v>Account</v>
      </c>
      <c r="Q5" s="28" t="str">
        <f>IFERROR(__xludf.DUMMYFUNCTION("""COMPUTED_VALUE"""),"Account %")</f>
        <v>Account %</v>
      </c>
      <c r="R5" s="28" t="str">
        <f>IFERROR(__xludf.DUMMYFUNCTION("""COMPUTED_VALUE"""),"VerifySuggestions")</f>
        <v>VerifySuggestions</v>
      </c>
      <c r="S5" s="28" t="str">
        <f>IFERROR(__xludf.DUMMYFUNCTION("""COMPUTED_VALUE"""),"SymbolToPickFromSuggesstions")</f>
        <v>SymbolToPickFromSuggesstions</v>
      </c>
      <c r="T5" s="30" t="str">
        <f>IFERROR(__xludf.DUMMYFUNCTION("""COMPUTED_VALUE"""),"TypedSymbolAvailableOnSuggestion")</f>
        <v>TypedSymbolAvailableOnSuggestion</v>
      </c>
      <c r="U5" s="30" t="str">
        <f>IFERROR(__xludf.DUMMYFUNCTION("""COMPUTED_VALUE"""),"TIF")</f>
        <v>TIF</v>
      </c>
      <c r="V5" s="30" t="str">
        <f>IFERROR(__xludf.DUMMYFUNCTION("""COMPUTED_VALUE"""),"Order Type")</f>
        <v>Order Type</v>
      </c>
      <c r="W5" s="30" t="str">
        <f>IFERROR(__xludf.DUMMYFUNCTION("""COMPUTED_VALUE"""),"Stop")</f>
        <v>Stop</v>
      </c>
      <c r="X5" s="30" t="str">
        <f>IFERROR(__xludf.DUMMYFUNCTION("""COMPUTED_VALUE"""),"Limit")</f>
        <v>Limit</v>
      </c>
      <c r="Y5" s="30" t="str">
        <f>IFERROR(__xludf.DUMMYFUNCTION("""COMPUTED_VALUE"""),"Expiration Date")</f>
        <v>Expiration Date</v>
      </c>
      <c r="Z5" s="30" t="str">
        <f>IFERROR(__xludf.DUMMYFUNCTION("""COMPUTED_VALUE"""),"Trade Date")</f>
        <v>Trade Date</v>
      </c>
      <c r="AA5" s="30" t="str">
        <f>IFERROR(__xludf.DUMMYFUNCTION("""COMPUTED_VALUE"""),"Broker")</f>
        <v>Broker</v>
      </c>
      <c r="AB5" s="30" t="str">
        <f>IFERROR(__xludf.DUMMYFUNCTION("""COMPUTED_VALUE"""),"Padlock Visiblity")</f>
        <v>Padlock Visiblity</v>
      </c>
      <c r="AC5" s="30" t="str">
        <f>IFERROR(__xludf.DUMMYFUNCTION("""COMPUTED_VALUE"""),"Padlock Unlock")</f>
        <v>Padlock Unlock</v>
      </c>
      <c r="AD5" s="30" t="str">
        <f>IFERROR(__xludf.DUMMYFUNCTION("""COMPUTED_VALUE"""),"Venue")</f>
        <v>Venue</v>
      </c>
      <c r="AE5" s="30" t="str">
        <f>IFERROR(__xludf.DUMMYFUNCTION("""COMPUTED_VALUE"""),"Fx Rate")</f>
        <v>Fx Rate</v>
      </c>
      <c r="AF5" s="30" t="str">
        <f>IFERROR(__xludf.DUMMYFUNCTION("""COMPUTED_VALUE"""),"Fx Operator")</f>
        <v>Fx Operator</v>
      </c>
      <c r="AG5" s="30" t="str">
        <f>IFERROR(__xludf.DUMMYFUNCTION("""COMPUTED_VALUE"""),"PendingApprovalPopUp")</f>
        <v>PendingApprovalPopUp</v>
      </c>
      <c r="AH5" s="30" t="str">
        <f>IFERROR(__xludf.DUMMYFUNCTION("""COMPUTED_VALUE"""),"TradeBy")</f>
        <v>TradeBy</v>
      </c>
      <c r="AI5" s="30" t="str">
        <f>IFERROR(__xludf.DUMMYFUNCTION("""COMPUTED_VALUE"""),"BookAsSwap")</f>
        <v>BookAsSwap</v>
      </c>
      <c r="AJ5" s="30" t="str">
        <f>IFERROR(__xludf.DUMMYFUNCTION("""COMPUTED_VALUE"""),"RoundLot")</f>
        <v>RoundLot</v>
      </c>
      <c r="AK5" s="30" t="str">
        <f>IFERROR(__xludf.DUMMYFUNCTION("""COMPUTED_VALUE"""),"Increment")</f>
        <v>Increment</v>
      </c>
      <c r="AL5" s="30" t="str">
        <f>IFERROR(__xludf.DUMMYFUNCTION("""COMPUTED_VALUE"""),"Decrement")</f>
        <v>Decrement</v>
      </c>
      <c r="AM5" s="30" t="str">
        <f>IFERROR(__xludf.DUMMYFUNCTION("""COMPUTED_VALUE"""),"Trade Attribute 01")</f>
        <v>Trade Attribute 01</v>
      </c>
      <c r="AN5" s="30" t="str">
        <f>IFERROR(__xludf.DUMMYFUNCTION("""COMPUTED_VALUE"""),"Trade Attribute 02")</f>
        <v>Trade Attribute 02</v>
      </c>
      <c r="AO5" s="30" t="str">
        <f>IFERROR(__xludf.DUMMYFUNCTION("""COMPUTED_VALUE"""),"Trade Attribute 03")</f>
        <v>Trade Attribute 03</v>
      </c>
      <c r="AP5" s="30" t="str">
        <f>IFERROR(__xludf.DUMMYFUNCTION("""COMPUTED_VALUE"""),"Trade Attribute 04")</f>
        <v>Trade Attribute 04</v>
      </c>
      <c r="AQ5" s="30" t="str">
        <f>IFERROR(__xludf.DUMMYFUNCTION("""COMPUTED_VALUE"""),"Trade Attribute 05")</f>
        <v>Trade Attribute 05</v>
      </c>
      <c r="AR5" s="30" t="str">
        <f>IFERROR(__xludf.DUMMYFUNCTION("""COMPUTED_VALUE"""),"Trade Attribute 06")</f>
        <v>Trade Attribute 06</v>
      </c>
      <c r="AS5" s="30" t="str">
        <f>IFERROR(__xludf.DUMMYFUNCTION("""COMPUTED_VALUE"""),"Trade Attribute 01 suggestion")</f>
        <v>Trade Attribute 01 suggestion</v>
      </c>
      <c r="AT5" s="30" t="str">
        <f>IFERROR(__xludf.DUMMYFUNCTION("""COMPUTED_VALUE"""),"Trade Attribute 02 suggestion")</f>
        <v>Trade Attribute 02 suggestion</v>
      </c>
      <c r="AU5" s="30" t="str">
        <f>IFERROR(__xludf.DUMMYFUNCTION("""COMPUTED_VALUE"""),"Trade Attribute 03 suggestion")</f>
        <v>Trade Attribute 03 suggestion</v>
      </c>
      <c r="AV5" s="30" t="str">
        <f>IFERROR(__xludf.DUMMYFUNCTION("""COMPUTED_VALUE"""),"Trade Attribute 04 suggestion")</f>
        <v>Trade Attribute 04 suggestion</v>
      </c>
      <c r="AW5" s="30" t="str">
        <f>IFERROR(__xludf.DUMMYFUNCTION("""COMPUTED_VALUE"""),"Trade Attribute 05 suggestion")</f>
        <v>Trade Attribute 05 suggestion</v>
      </c>
      <c r="AX5" s="30" t="str">
        <f>IFERROR(__xludf.DUMMYFUNCTION("""COMPUTED_VALUE"""),"Trade Attribute 06 suggestion")</f>
        <v>Trade Attribute 06 suggestion</v>
      </c>
      <c r="AY5" s="30" t="str">
        <f>IFERROR(__xludf.DUMMYFUNCTION("""COMPUTED_VALUE"""),"Strategy")</f>
        <v>Strategy</v>
      </c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>
        <v>100.0</v>
      </c>
      <c r="D6" s="13">
        <v>20.0</v>
      </c>
      <c r="E6" s="13" t="s">
        <v>17</v>
      </c>
      <c r="F6" s="8"/>
      <c r="G6" s="8"/>
      <c r="H6" s="8"/>
      <c r="I6" s="13" t="s">
        <v>18</v>
      </c>
      <c r="J6" s="13" t="s">
        <v>19</v>
      </c>
      <c r="K6" s="8"/>
      <c r="L6" s="8"/>
      <c r="M6" s="8"/>
      <c r="N6" s="8"/>
      <c r="O6" s="8"/>
    </row>
    <row r="7" ht="15.75" customHeight="1">
      <c r="A7" s="13"/>
      <c r="B7" s="13" t="s">
        <v>16</v>
      </c>
      <c r="C7" s="13">
        <v>200.0</v>
      </c>
      <c r="D7" s="13">
        <v>20.0</v>
      </c>
      <c r="E7" s="13" t="s">
        <v>17</v>
      </c>
      <c r="F7" s="8"/>
      <c r="G7" s="8"/>
      <c r="H7" s="8"/>
      <c r="I7" s="13" t="s">
        <v>18</v>
      </c>
      <c r="J7" s="13" t="s">
        <v>19</v>
      </c>
      <c r="K7" s="8"/>
      <c r="L7" s="8"/>
      <c r="M7" s="8"/>
      <c r="N7" s="8"/>
      <c r="O7" s="8"/>
    </row>
    <row r="8" ht="15.75" customHeight="1">
      <c r="A8" s="13"/>
      <c r="B8" s="13" t="s">
        <v>16</v>
      </c>
      <c r="C8" s="13">
        <v>200.0</v>
      </c>
      <c r="D8" s="13">
        <v>30.0</v>
      </c>
      <c r="E8" s="13" t="s">
        <v>17</v>
      </c>
      <c r="F8" s="8"/>
      <c r="G8" s="8"/>
      <c r="H8" s="8"/>
      <c r="I8" s="13" t="s">
        <v>20</v>
      </c>
      <c r="J8" s="13" t="s">
        <v>21</v>
      </c>
      <c r="K8" s="8"/>
      <c r="L8" s="8"/>
      <c r="M8" s="8"/>
      <c r="N8" s="8"/>
      <c r="O8" s="8"/>
    </row>
    <row r="9" ht="15.75" customHeight="1">
      <c r="A9" s="13"/>
      <c r="B9" s="13" t="s">
        <v>16</v>
      </c>
      <c r="C9" s="13">
        <v>100.0</v>
      </c>
      <c r="D9" s="13">
        <v>20.0</v>
      </c>
      <c r="E9" s="13" t="s">
        <v>17</v>
      </c>
      <c r="F9" s="8"/>
      <c r="G9" s="8"/>
      <c r="H9" s="8"/>
      <c r="I9" s="13" t="s">
        <v>22</v>
      </c>
      <c r="J9" s="13" t="s">
        <v>19</v>
      </c>
      <c r="K9" s="8"/>
      <c r="L9" s="8"/>
      <c r="M9" s="8"/>
      <c r="N9" s="8"/>
      <c r="O9" s="8"/>
    </row>
    <row r="10" ht="15.75" customHeight="1">
      <c r="A10" s="13"/>
      <c r="B10" s="13" t="s">
        <v>16</v>
      </c>
      <c r="C10" s="13">
        <v>100.0</v>
      </c>
      <c r="D10" s="13">
        <v>20.0</v>
      </c>
      <c r="E10" s="13" t="s">
        <v>17</v>
      </c>
      <c r="F10" s="8"/>
      <c r="G10" s="8"/>
      <c r="H10" s="8"/>
      <c r="I10" s="13" t="s">
        <v>23</v>
      </c>
      <c r="J10" s="13" t="s">
        <v>19</v>
      </c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IFERROR(__xludf.DUMMYFUNCTION("IF(C3="""","""",Transpose(IMPORTRANGE('_Settings'!$B$3,C3&amp;""!A4:A1000"")))"),"CheckSummaryDashboard")</f>
        <v>CheckSummaryDashboard</v>
      </c>
      <c r="C4" s="25" t="str">
        <f>IFERROR(__xludf.DUMMYFUNCTION("""COMPUTED_VALUE"""),"CheckFundLevelAggregation")</f>
        <v>CheckFundLevelAggregation</v>
      </c>
      <c r="D4" s="25" t="str">
        <f>IFERROR(__xludf.DUMMYFUNCTION("""COMPUTED_VALUE"""),"CheckAccountLevelAggregation")</f>
        <v>CheckAccountLevelAggregation</v>
      </c>
      <c r="E4" s="25" t="str">
        <f>IFERROR(__xludf.DUMMYFUNCTION("""COMPUTED_VALUE"""),"CheckSymbolLevelAggregation")</f>
        <v>CheckSymbolLevelAggregation</v>
      </c>
      <c r="F4" s="25" t="str">
        <f>IFERROR(__xludf.DUMMYFUNCTION("""COMPUTED_VALUE"""),"CheckRealTimeSymbolFundMonitor")</f>
        <v>CheckRealTimeSymbolFundMonitor</v>
      </c>
      <c r="G4" s="25" t="str">
        <f>IFERROR(__xludf.DUMMYFUNCTION("""COMPUTED_VALUE"""),"CheckRealTimeSymAccountMonitor")</f>
        <v>CheckRealTimeSymAccountMonitor</v>
      </c>
      <c r="H4" s="25" t="str">
        <f>IFERROR(__xludf.DUMMYFUNCTION("""COMPUTED_VALUE"""),"CreateDashBoard")</f>
        <v>CreateDashBoard</v>
      </c>
      <c r="I4" s="25" t="str">
        <f>IFERROR(__xludf.DUMMYFUNCTION("""COMPUTED_VALUE"""),"UpdateDashboardName")</f>
        <v>UpdateDashboardName</v>
      </c>
      <c r="J4" s="25" t="str">
        <f>IFERROR(__xludf.DUMMYFUNCTION("""COMPUTED_VALUE"""),"AddWidget")</f>
        <v>AddWidget</v>
      </c>
      <c r="K4" s="25" t="str">
        <f>IFERROR(__xludf.DUMMYFUNCTION("""COMPUTED_VALUE"""),"CheckDashboardWidgetTitle")</f>
        <v>CheckDashboardWidgetTitle</v>
      </c>
      <c r="L4" s="25" t="str">
        <f>IFERROR(__xludf.DUMMYFUNCTION("""COMPUTED_VALUE"""),"updateWidget")</f>
        <v>updateWidget</v>
      </c>
      <c r="M4" s="25" t="str">
        <f>IFERROR(__xludf.DUMMYFUNCTION("""COMPUTED_VALUE"""),"OpenRTPNL")</f>
        <v>OpenRTPNL</v>
      </c>
      <c r="N4" s="25" t="str">
        <f>IFERROR(__xludf.DUMMYFUNCTION("""COMPUTED_VALUE"""),"LinkDashboardTabs")</f>
        <v>LinkDashboardTabs</v>
      </c>
      <c r="O4" s="25" t="str">
        <f>IFERROR(__xludf.DUMMYFUNCTION("""COMPUTED_VALUE"""),"SelectDashboardTabRow")</f>
        <v>SelectDashboardTabRow</v>
      </c>
      <c r="P4" s="26" t="str">
        <f>IFERROR(__xludf.DUMMYFUNCTION("""COMPUTED_VALUE"""),"SelectRowAtFLAggregation")</f>
        <v>SelectRowAtFLAggregation</v>
      </c>
      <c r="Q4" s="26" t="str">
        <f>IFERROR(__xludf.DUMMYFUNCTION("""COMPUTED_VALUE"""),"SelectRowAtALAggregation")</f>
        <v>SelectRowAtALAggregation</v>
      </c>
      <c r="R4" s="26" t="str">
        <f>IFERROR(__xludf.DUMMYFUNCTION("""COMPUTED_VALUE"""),"SelectRowAtSLAggregation")</f>
        <v>SelectRowAtSLAggregation</v>
      </c>
      <c r="S4" s="26" t="str">
        <f>IFERROR(__xludf.DUMMYFUNCTION("""COMPUTED_VALUE"""),"SelectRowAtRTSFundMonitor")</f>
        <v>SelectRowAtRTSFundMonitor</v>
      </c>
      <c r="T4" s="26" t="str">
        <f>IFERROR(__xludf.DUMMYFUNCTION("""COMPUTED_VALUE"""),"SelectRowAtRTSAccountMonitor")</f>
        <v>SelectRowAtRTSAccountMonitor</v>
      </c>
      <c r="U4" s="26" t="str">
        <f>IFERROR(__xludf.DUMMYFUNCTION("""COMPUTED_VALUE"""),"FilterOnPMGrid")</f>
        <v>FilterOnPMGrid</v>
      </c>
      <c r="V4" s="26" t="str">
        <f>IFERROR(__xludf.DUMMYFUNCTION("""COMPUTED_VALUE"""),"SortOnPMGrid")</f>
        <v>SortOnPMGrid</v>
      </c>
      <c r="W4" s="26" t="str">
        <f>IFERROR(__xludf.DUMMYFUNCTION("""COMPUTED_VALUE"""),"ExtractTabOutsidePMDashboard")</f>
        <v>ExtractTabOutsidePMDashboard</v>
      </c>
      <c r="X4" s="26" t="str">
        <f>IFERROR(__xludf.DUMMYFUNCTION("""COMPUTED_VALUE"""),"SortRTSFM")</f>
        <v>SortRTSFM</v>
      </c>
      <c r="Y4" s="26" t="str">
        <f>IFERROR(__xludf.DUMMYFUNCTION("""COMPUTED_VALUE"""),"SortSLA")</f>
        <v>SortSLA</v>
      </c>
      <c r="Z4" s="26" t="str">
        <f>IFERROR(__xludf.DUMMYFUNCTION("""COMPUTED_VALUE"""),"SortFLA")</f>
        <v>SortFLA</v>
      </c>
      <c r="AA4" s="26" t="str">
        <f>IFERROR(__xludf.DUMMYFUNCTION("""COMPUTED_VALUE"""),"SortALA")</f>
        <v>SortALA</v>
      </c>
      <c r="AB4" s="26" t="str">
        <f>IFERROR(__xludf.DUMMYFUNCTION("""COMPUTED_VALUE"""),"FilterSLA")</f>
        <v>FilterSLA</v>
      </c>
      <c r="AC4" s="26" t="str">
        <f>IFERROR(__xludf.DUMMYFUNCTION("""COMPUTED_VALUE"""),"FilterRTSFM")</f>
        <v>FilterRTSFM</v>
      </c>
      <c r="AD4" s="26" t="str">
        <f>IFERROR(__xludf.DUMMYFUNCTION("""COMPUTED_VALUE"""),"FilterALA")</f>
        <v>FilterALA</v>
      </c>
      <c r="AE4" s="26" t="str">
        <f>IFERROR(__xludf.DUMMYFUNCTION("""COMPUTED_VALUE"""),"FilterFLA")</f>
        <v>FilterFLA</v>
      </c>
      <c r="AF4" s="26" t="str">
        <f>IFERROR(__xludf.DUMMYFUNCTION("""COMPUTED_VALUE"""),"SortRTSAM")</f>
        <v>SortRTSAM</v>
      </c>
      <c r="AG4" s="26" t="str">
        <f>IFERROR(__xludf.DUMMYFUNCTION("""COMPUTED_VALUE"""),"FilterRTSAM")</f>
        <v>FilterRTSAM</v>
      </c>
      <c r="AH4" s="26" t="str">
        <f>IFERROR(__xludf.DUMMYFUNCTION("""COMPUTED_VALUE"""),"SortRTSAM")</f>
        <v>SortRTSAM</v>
      </c>
      <c r="AI4" s="26" t="str">
        <f>IFERROR(__xludf.DUMMYFUNCTION("""COMPUTED_VALUE"""),"IncreaseOrUnwindPositionRTPNL")</f>
        <v>IncreaseOrUnwindPositionRTPNL</v>
      </c>
      <c r="AJ4" s="26" t="str">
        <f>IFERROR(__xludf.DUMMYFUNCTION("""COMPUTED_VALUE"""),"SavePage")</f>
        <v>SavePage</v>
      </c>
      <c r="AK4" s="26" t="str">
        <f>IFERROR(__xludf.DUMMYFUNCTION("""COMPUTED_VALUE"""),"CloseRTPNL")</f>
        <v>CloseRTPNL</v>
      </c>
      <c r="AL4" s="26" t="str">
        <f>IFERROR(__xludf.DUMMYFUNCTION("""COMPUTED_VALUE"""),"VerifyColumns")</f>
        <v>VerifyColumns</v>
      </c>
      <c r="AM4" s="26" t="str">
        <f>IFERROR(__xludf.DUMMYFUNCTION("""COMPUTED_VALUE"""),"ConfigureWidget")</f>
        <v>ConfigureWidget</v>
      </c>
      <c r="AN4" s="26" t="str">
        <f>IFERROR(__xludf.DUMMYFUNCTION("""COMPUTED_VALUE"""),"ChangeWidgetView")</f>
        <v>ChangeWidgetView</v>
      </c>
      <c r="AO4" s="26" t="str">
        <f>IFERROR(__xludf.DUMMYFUNCTION("""COMPUTED_VALUE"""),"ResizeEnsure")</f>
        <v>ResizeEnsure</v>
      </c>
      <c r="AP4" s="26" t="str">
        <f>IFERROR(__xludf.DUMMYFUNCTION("""COMPUTED_VALUE"""),"RenameTabs")</f>
        <v>RenameTabs</v>
      </c>
      <c r="AQ4" s="26" t="str">
        <f>IFERROR(__xludf.DUMMYFUNCTION("""COMPUTED_VALUE"""),"AddTabRTPNL")</f>
        <v>AddTabRTPNL</v>
      </c>
      <c r="AR4" s="26" t="str">
        <f>IFERROR(__xludf.DUMMYFUNCTION("""COMPUTED_VALUE"""),"MergeWindows")</f>
        <v>MergeWindows</v>
      </c>
      <c r="AS4" s="26" t="str">
        <f>IFERROR(__xludf.DUMMYFUNCTION("""COMPUTED_VALUE"""),"Grouping")</f>
        <v>Grouping</v>
      </c>
      <c r="AT4" s="26" t="str">
        <f>IFERROR(__xludf.DUMMYFUNCTION("""COMPUTED_VALUE"""),"CreateGroupingWidget")</f>
        <v>CreateGroupingWidget</v>
      </c>
      <c r="AU4" s="26" t="str">
        <f>IFERROR(__xludf.DUMMYFUNCTION("""COMPUTED_VALUE"""),"CheckGroupingWidget")</f>
        <v>CheckGroupingWidget</v>
      </c>
      <c r="AV4" s="26" t="str">
        <f>IFERROR(__xludf.DUMMYFUNCTION("""COMPUTED_VALUE"""),"VerifyL1L2PanelRTPNL")</f>
        <v>VerifyL1L2PanelRTPNL</v>
      </c>
      <c r="AW4" s="26" t="str">
        <f>IFERROR(__xludf.DUMMYFUNCTION("""COMPUTED_VALUE"""),"VerifyGridThroughLiveExcel")</f>
        <v>VerifyGridThroughLiveExcel</v>
      </c>
      <c r="AX4" s="26" t="str">
        <f>IFERROR(__xludf.DUMMYFUNCTION("""COMPUTED_VALUE"""),"ApplyColumnFilter")</f>
        <v>ApplyColumnFilter</v>
      </c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IFERROR(__xludf.DUMMYFUNCTION("""COMPUTED_VALUE"""),"OpenWindow")</f>
        <v>OpenWindow</v>
      </c>
      <c r="C5" s="28" t="str">
        <f>IFERROR(__xludf.DUMMYFUNCTION("""COMPUTED_VALUE"""),"TabName")</f>
        <v>TabName</v>
      </c>
      <c r="D5" s="28" t="str">
        <f>IFERROR(__xludf.DUMMYFUNCTION("""COMPUTED_VALUE"""),"Description")</f>
        <v>Description</v>
      </c>
      <c r="E5" s="28" t="str">
        <f>IFERROR(__xludf.DUMMYFUNCTION("""COMPUTED_VALUE"""),"Save?")</f>
        <v>Save?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 t="s">
        <v>26</v>
      </c>
      <c r="C6" s="32" t="s">
        <v>27</v>
      </c>
      <c r="D6" s="33"/>
      <c r="E6" s="34" t="b">
        <v>1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OpenRTPNL!$4:$4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IFERROR(__xludf.DUMMYFUNCTION("IF(C3="""","""",Transpose(IMPORTRANGE('_Settings'!$B$3,C3&amp;""!A4:A1000"")))"),"CheckSummaryDashboard")</f>
        <v>CheckSummaryDashboard</v>
      </c>
      <c r="C4" s="25" t="str">
        <f>IFERROR(__xludf.DUMMYFUNCTION("""COMPUTED_VALUE"""),"CheckFundLevelAggregation")</f>
        <v>CheckFundLevelAggregation</v>
      </c>
      <c r="D4" s="25" t="str">
        <f>IFERROR(__xludf.DUMMYFUNCTION("""COMPUTED_VALUE"""),"CheckAccountLevelAggregation")</f>
        <v>CheckAccountLevelAggregation</v>
      </c>
      <c r="E4" s="25" t="str">
        <f>IFERROR(__xludf.DUMMYFUNCTION("""COMPUTED_VALUE"""),"CheckSymbolLevelAggregation")</f>
        <v>CheckSymbolLevelAggregation</v>
      </c>
      <c r="F4" s="25" t="str">
        <f>IFERROR(__xludf.DUMMYFUNCTION("""COMPUTED_VALUE"""),"CheckRealTimeSymbolFundMonitor")</f>
        <v>CheckRealTimeSymbolFundMonitor</v>
      </c>
      <c r="G4" s="25" t="str">
        <f>IFERROR(__xludf.DUMMYFUNCTION("""COMPUTED_VALUE"""),"CheckRealTimeSymAccountMonitor")</f>
        <v>CheckRealTimeSymAccountMonitor</v>
      </c>
      <c r="H4" s="25" t="str">
        <f>IFERROR(__xludf.DUMMYFUNCTION("""COMPUTED_VALUE"""),"CreateDashBoard")</f>
        <v>CreateDashBoard</v>
      </c>
      <c r="I4" s="25" t="str">
        <f>IFERROR(__xludf.DUMMYFUNCTION("""COMPUTED_VALUE"""),"UpdateDashboardName")</f>
        <v>UpdateDashboardName</v>
      </c>
      <c r="J4" s="25" t="str">
        <f>IFERROR(__xludf.DUMMYFUNCTION("""COMPUTED_VALUE"""),"AddWidget")</f>
        <v>AddWidget</v>
      </c>
      <c r="K4" s="25" t="str">
        <f>IFERROR(__xludf.DUMMYFUNCTION("""COMPUTED_VALUE"""),"CheckDashboardWidgetTitle")</f>
        <v>CheckDashboardWidgetTitle</v>
      </c>
      <c r="L4" s="25" t="str">
        <f>IFERROR(__xludf.DUMMYFUNCTION("""COMPUTED_VALUE"""),"updateWidget")</f>
        <v>updateWidget</v>
      </c>
      <c r="M4" s="25" t="str">
        <f>IFERROR(__xludf.DUMMYFUNCTION("""COMPUTED_VALUE"""),"OpenRTPNL")</f>
        <v>OpenRTPNL</v>
      </c>
      <c r="N4" s="25" t="str">
        <f>IFERROR(__xludf.DUMMYFUNCTION("""COMPUTED_VALUE"""),"LinkDashboardTabs")</f>
        <v>LinkDashboardTabs</v>
      </c>
      <c r="O4" s="25" t="str">
        <f>IFERROR(__xludf.DUMMYFUNCTION("""COMPUTED_VALUE"""),"SelectDashboardTabRow")</f>
        <v>SelectDashboardTabRow</v>
      </c>
      <c r="P4" s="26" t="str">
        <f>IFERROR(__xludf.DUMMYFUNCTION("""COMPUTED_VALUE"""),"SelectRowAtFLAggregation")</f>
        <v>SelectRowAtFLAggregation</v>
      </c>
      <c r="Q4" s="26" t="str">
        <f>IFERROR(__xludf.DUMMYFUNCTION("""COMPUTED_VALUE"""),"SelectRowAtALAggregation")</f>
        <v>SelectRowAtALAggregation</v>
      </c>
      <c r="R4" s="26" t="str">
        <f>IFERROR(__xludf.DUMMYFUNCTION("""COMPUTED_VALUE"""),"SelectRowAtSLAggregation")</f>
        <v>SelectRowAtSLAggregation</v>
      </c>
      <c r="S4" s="26" t="str">
        <f>IFERROR(__xludf.DUMMYFUNCTION("""COMPUTED_VALUE"""),"SelectRowAtRTSFundMonitor")</f>
        <v>SelectRowAtRTSFundMonitor</v>
      </c>
      <c r="T4" s="26" t="str">
        <f>IFERROR(__xludf.DUMMYFUNCTION("""COMPUTED_VALUE"""),"SelectRowAtRTSAccountMonitor")</f>
        <v>SelectRowAtRTSAccountMonitor</v>
      </c>
      <c r="U4" s="26" t="str">
        <f>IFERROR(__xludf.DUMMYFUNCTION("""COMPUTED_VALUE"""),"FilterOnPMGrid")</f>
        <v>FilterOnPMGrid</v>
      </c>
      <c r="V4" s="26" t="str">
        <f>IFERROR(__xludf.DUMMYFUNCTION("""COMPUTED_VALUE"""),"SortOnPMGrid")</f>
        <v>SortOnPMGrid</v>
      </c>
      <c r="W4" s="26" t="str">
        <f>IFERROR(__xludf.DUMMYFUNCTION("""COMPUTED_VALUE"""),"ExtractTabOutsidePMDashboard")</f>
        <v>ExtractTabOutsidePMDashboard</v>
      </c>
      <c r="X4" s="26" t="str">
        <f>IFERROR(__xludf.DUMMYFUNCTION("""COMPUTED_VALUE"""),"SortRTSFM")</f>
        <v>SortRTSFM</v>
      </c>
      <c r="Y4" s="26" t="str">
        <f>IFERROR(__xludf.DUMMYFUNCTION("""COMPUTED_VALUE"""),"SortSLA")</f>
        <v>SortSLA</v>
      </c>
      <c r="Z4" s="26" t="str">
        <f>IFERROR(__xludf.DUMMYFUNCTION("""COMPUTED_VALUE"""),"SortFLA")</f>
        <v>SortFLA</v>
      </c>
      <c r="AA4" s="26" t="str">
        <f>IFERROR(__xludf.DUMMYFUNCTION("""COMPUTED_VALUE"""),"SortALA")</f>
        <v>SortALA</v>
      </c>
      <c r="AB4" s="26" t="str">
        <f>IFERROR(__xludf.DUMMYFUNCTION("""COMPUTED_VALUE"""),"FilterSLA")</f>
        <v>FilterSLA</v>
      </c>
      <c r="AC4" s="26" t="str">
        <f>IFERROR(__xludf.DUMMYFUNCTION("""COMPUTED_VALUE"""),"FilterRTSFM")</f>
        <v>FilterRTSFM</v>
      </c>
      <c r="AD4" s="26" t="str">
        <f>IFERROR(__xludf.DUMMYFUNCTION("""COMPUTED_VALUE"""),"FilterALA")</f>
        <v>FilterALA</v>
      </c>
      <c r="AE4" s="26" t="str">
        <f>IFERROR(__xludf.DUMMYFUNCTION("""COMPUTED_VALUE"""),"FilterFLA")</f>
        <v>FilterFLA</v>
      </c>
      <c r="AF4" s="26" t="str">
        <f>IFERROR(__xludf.DUMMYFUNCTION("""COMPUTED_VALUE"""),"SortRTSAM")</f>
        <v>SortRTSAM</v>
      </c>
      <c r="AG4" s="26" t="str">
        <f>IFERROR(__xludf.DUMMYFUNCTION("""COMPUTED_VALUE"""),"FilterRTSAM")</f>
        <v>FilterRTSAM</v>
      </c>
      <c r="AH4" s="26" t="str">
        <f>IFERROR(__xludf.DUMMYFUNCTION("""COMPUTED_VALUE"""),"SortRTSAM")</f>
        <v>SortRTSAM</v>
      </c>
      <c r="AI4" s="26" t="str">
        <f>IFERROR(__xludf.DUMMYFUNCTION("""COMPUTED_VALUE"""),"IncreaseOrUnwindPositionRTPNL")</f>
        <v>IncreaseOrUnwindPositionRTPNL</v>
      </c>
      <c r="AJ4" s="26" t="str">
        <f>IFERROR(__xludf.DUMMYFUNCTION("""COMPUTED_VALUE"""),"SavePage")</f>
        <v>SavePage</v>
      </c>
      <c r="AK4" s="26" t="str">
        <f>IFERROR(__xludf.DUMMYFUNCTION("""COMPUTED_VALUE"""),"CloseRTPNL")</f>
        <v>CloseRTPNL</v>
      </c>
      <c r="AL4" s="26" t="str">
        <f>IFERROR(__xludf.DUMMYFUNCTION("""COMPUTED_VALUE"""),"VerifyColumns")</f>
        <v>VerifyColumns</v>
      </c>
      <c r="AM4" s="26" t="str">
        <f>IFERROR(__xludf.DUMMYFUNCTION("""COMPUTED_VALUE"""),"ConfigureWidget")</f>
        <v>ConfigureWidget</v>
      </c>
      <c r="AN4" s="26" t="str">
        <f>IFERROR(__xludf.DUMMYFUNCTION("""COMPUTED_VALUE"""),"ChangeWidgetView")</f>
        <v>ChangeWidgetView</v>
      </c>
      <c r="AO4" s="26" t="str">
        <f>IFERROR(__xludf.DUMMYFUNCTION("""COMPUTED_VALUE"""),"ResizeEnsure")</f>
        <v>ResizeEnsure</v>
      </c>
      <c r="AP4" s="26" t="str">
        <f>IFERROR(__xludf.DUMMYFUNCTION("""COMPUTED_VALUE"""),"RenameTabs")</f>
        <v>RenameTabs</v>
      </c>
      <c r="AQ4" s="26" t="str">
        <f>IFERROR(__xludf.DUMMYFUNCTION("""COMPUTED_VALUE"""),"AddTabRTPNL")</f>
        <v>AddTabRTPNL</v>
      </c>
      <c r="AR4" s="26" t="str">
        <f>IFERROR(__xludf.DUMMYFUNCTION("""COMPUTED_VALUE"""),"MergeWindows")</f>
        <v>MergeWindows</v>
      </c>
      <c r="AS4" s="26" t="str">
        <f>IFERROR(__xludf.DUMMYFUNCTION("""COMPUTED_VALUE"""),"Grouping")</f>
        <v>Grouping</v>
      </c>
      <c r="AT4" s="26" t="str">
        <f>IFERROR(__xludf.DUMMYFUNCTION("""COMPUTED_VALUE"""),"CreateGroupingWidget")</f>
        <v>CreateGroupingWidget</v>
      </c>
      <c r="AU4" s="26" t="str">
        <f>IFERROR(__xludf.DUMMYFUNCTION("""COMPUTED_VALUE"""),"CheckGroupingWidget")</f>
        <v>CheckGroupingWidget</v>
      </c>
      <c r="AV4" s="26" t="str">
        <f>IFERROR(__xludf.DUMMYFUNCTION("""COMPUTED_VALUE"""),"VerifyL1L2PanelRTPNL")</f>
        <v>VerifyL1L2PanelRTPNL</v>
      </c>
      <c r="AW4" s="26" t="str">
        <f>IFERROR(__xludf.DUMMYFUNCTION("""COMPUTED_VALUE"""),"VerifyGridThroughLiveExcel")</f>
        <v>VerifyGridThroughLiveExcel</v>
      </c>
      <c r="AX4" s="26" t="str">
        <f>IFERROR(__xludf.DUMMYFUNCTION("""COMPUTED_VALUE"""),"ApplyColumnFilter")</f>
        <v>ApplyColumnFilter</v>
      </c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IFERROR(__xludf.DUMMYFUNCTION("""COMPUTED_VALUE"""),"DashboardName")</f>
        <v>DashboardName</v>
      </c>
      <c r="C5" s="28" t="str">
        <f>IFERROR(__xludf.DUMMYFUNCTION("""COMPUTED_VALUE"""),"WidgetName")</f>
        <v>WidgetName</v>
      </c>
      <c r="D5" s="28" t="str">
        <f>IFERROR(__xludf.DUMMYFUNCTION("""COMPUTED_VALUE"""),"ColumnsToAdd")</f>
        <v>ColumnsToAdd</v>
      </c>
      <c r="E5" s="28" t="str">
        <f>IFERROR(__xludf.DUMMYFUNCTION("""COMPUTED_VALUE"""),"DashBoardType")</f>
        <v>DashBoardType</v>
      </c>
      <c r="F5" s="29" t="str">
        <f>IFERROR(__xludf.DUMMYFUNCTION("""COMPUTED_VALUE"""),"DashBoardLevel")</f>
        <v>DashBoardLevel</v>
      </c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 t="s">
        <v>27</v>
      </c>
      <c r="C6" s="13" t="s">
        <v>29</v>
      </c>
      <c r="D6" s="13"/>
      <c r="E6" s="32" t="s">
        <v>30</v>
      </c>
      <c r="F6" s="32" t="s">
        <v>31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AddWidget!$4:$4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IFERROR(__xludf.DUMMYFUNCTION("IF(C3="""","""",Transpose(IMPORTRANGE('_Settings'!$B$3,C3&amp;""!A4:A1000"")))"),"CheckSummaryDashboard")</f>
        <v>CheckSummaryDashboard</v>
      </c>
      <c r="C4" s="25" t="str">
        <f>IFERROR(__xludf.DUMMYFUNCTION("""COMPUTED_VALUE"""),"CheckFundLevelAggregation")</f>
        <v>CheckFundLevelAggregation</v>
      </c>
      <c r="D4" s="25" t="str">
        <f>IFERROR(__xludf.DUMMYFUNCTION("""COMPUTED_VALUE"""),"CheckAccountLevelAggregation")</f>
        <v>CheckAccountLevelAggregation</v>
      </c>
      <c r="E4" s="25" t="str">
        <f>IFERROR(__xludf.DUMMYFUNCTION("""COMPUTED_VALUE"""),"CheckSymbolLevelAggregation")</f>
        <v>CheckSymbolLevelAggregation</v>
      </c>
      <c r="F4" s="25" t="str">
        <f>IFERROR(__xludf.DUMMYFUNCTION("""COMPUTED_VALUE"""),"CheckRealTimeSymbolFundMonitor")</f>
        <v>CheckRealTimeSymbolFundMonitor</v>
      </c>
      <c r="G4" s="25" t="str">
        <f>IFERROR(__xludf.DUMMYFUNCTION("""COMPUTED_VALUE"""),"CheckRealTimeSymAccountMonitor")</f>
        <v>CheckRealTimeSymAccountMonitor</v>
      </c>
      <c r="H4" s="25" t="str">
        <f>IFERROR(__xludf.DUMMYFUNCTION("""COMPUTED_VALUE"""),"CreateDashBoard")</f>
        <v>CreateDashBoard</v>
      </c>
      <c r="I4" s="25" t="str">
        <f>IFERROR(__xludf.DUMMYFUNCTION("""COMPUTED_VALUE"""),"UpdateDashboardName")</f>
        <v>UpdateDashboardName</v>
      </c>
      <c r="J4" s="25" t="str">
        <f>IFERROR(__xludf.DUMMYFUNCTION("""COMPUTED_VALUE"""),"AddWidget")</f>
        <v>AddWidget</v>
      </c>
      <c r="K4" s="25" t="str">
        <f>IFERROR(__xludf.DUMMYFUNCTION("""COMPUTED_VALUE"""),"CheckDashboardWidgetTitle")</f>
        <v>CheckDashboardWidgetTitle</v>
      </c>
      <c r="L4" s="25" t="str">
        <f>IFERROR(__xludf.DUMMYFUNCTION("""COMPUTED_VALUE"""),"updateWidget")</f>
        <v>updateWidget</v>
      </c>
      <c r="M4" s="25" t="str">
        <f>IFERROR(__xludf.DUMMYFUNCTION("""COMPUTED_VALUE"""),"OpenRTPNL")</f>
        <v>OpenRTPNL</v>
      </c>
      <c r="N4" s="25" t="str">
        <f>IFERROR(__xludf.DUMMYFUNCTION("""COMPUTED_VALUE"""),"LinkDashboardTabs")</f>
        <v>LinkDashboardTabs</v>
      </c>
      <c r="O4" s="25" t="str">
        <f>IFERROR(__xludf.DUMMYFUNCTION("""COMPUTED_VALUE"""),"SelectDashboardTabRow")</f>
        <v>SelectDashboardTabRow</v>
      </c>
      <c r="P4" s="26" t="str">
        <f>IFERROR(__xludf.DUMMYFUNCTION("""COMPUTED_VALUE"""),"SelectRowAtFLAggregation")</f>
        <v>SelectRowAtFLAggregation</v>
      </c>
      <c r="Q4" s="26" t="str">
        <f>IFERROR(__xludf.DUMMYFUNCTION("""COMPUTED_VALUE"""),"SelectRowAtALAggregation")</f>
        <v>SelectRowAtALAggregation</v>
      </c>
      <c r="R4" s="26" t="str">
        <f>IFERROR(__xludf.DUMMYFUNCTION("""COMPUTED_VALUE"""),"SelectRowAtSLAggregation")</f>
        <v>SelectRowAtSLAggregation</v>
      </c>
      <c r="S4" s="26" t="str">
        <f>IFERROR(__xludf.DUMMYFUNCTION("""COMPUTED_VALUE"""),"SelectRowAtRTSFundMonitor")</f>
        <v>SelectRowAtRTSFundMonitor</v>
      </c>
      <c r="T4" s="26" t="str">
        <f>IFERROR(__xludf.DUMMYFUNCTION("""COMPUTED_VALUE"""),"SelectRowAtRTSAccountMonitor")</f>
        <v>SelectRowAtRTSAccountMonitor</v>
      </c>
      <c r="U4" s="26" t="str">
        <f>IFERROR(__xludf.DUMMYFUNCTION("""COMPUTED_VALUE"""),"FilterOnPMGrid")</f>
        <v>FilterOnPMGrid</v>
      </c>
      <c r="V4" s="26" t="str">
        <f>IFERROR(__xludf.DUMMYFUNCTION("""COMPUTED_VALUE"""),"SortOnPMGrid")</f>
        <v>SortOnPMGrid</v>
      </c>
      <c r="W4" s="26" t="str">
        <f>IFERROR(__xludf.DUMMYFUNCTION("""COMPUTED_VALUE"""),"ExtractTabOutsidePMDashboard")</f>
        <v>ExtractTabOutsidePMDashboard</v>
      </c>
      <c r="X4" s="26" t="str">
        <f>IFERROR(__xludf.DUMMYFUNCTION("""COMPUTED_VALUE"""),"SortRTSFM")</f>
        <v>SortRTSFM</v>
      </c>
      <c r="Y4" s="26" t="str">
        <f>IFERROR(__xludf.DUMMYFUNCTION("""COMPUTED_VALUE"""),"SortSLA")</f>
        <v>SortSLA</v>
      </c>
      <c r="Z4" s="26" t="str">
        <f>IFERROR(__xludf.DUMMYFUNCTION("""COMPUTED_VALUE"""),"SortFLA")</f>
        <v>SortFLA</v>
      </c>
      <c r="AA4" s="26" t="str">
        <f>IFERROR(__xludf.DUMMYFUNCTION("""COMPUTED_VALUE"""),"SortALA")</f>
        <v>SortALA</v>
      </c>
      <c r="AB4" s="26" t="str">
        <f>IFERROR(__xludf.DUMMYFUNCTION("""COMPUTED_VALUE"""),"FilterSLA")</f>
        <v>FilterSLA</v>
      </c>
      <c r="AC4" s="26" t="str">
        <f>IFERROR(__xludf.DUMMYFUNCTION("""COMPUTED_VALUE"""),"FilterRTSFM")</f>
        <v>FilterRTSFM</v>
      </c>
      <c r="AD4" s="26" t="str">
        <f>IFERROR(__xludf.DUMMYFUNCTION("""COMPUTED_VALUE"""),"FilterALA")</f>
        <v>FilterALA</v>
      </c>
      <c r="AE4" s="26" t="str">
        <f>IFERROR(__xludf.DUMMYFUNCTION("""COMPUTED_VALUE"""),"FilterFLA")</f>
        <v>FilterFLA</v>
      </c>
      <c r="AF4" s="26" t="str">
        <f>IFERROR(__xludf.DUMMYFUNCTION("""COMPUTED_VALUE"""),"SortRTSAM")</f>
        <v>SortRTSAM</v>
      </c>
      <c r="AG4" s="26" t="str">
        <f>IFERROR(__xludf.DUMMYFUNCTION("""COMPUTED_VALUE"""),"FilterRTSAM")</f>
        <v>FilterRTSAM</v>
      </c>
      <c r="AH4" s="26" t="str">
        <f>IFERROR(__xludf.DUMMYFUNCTION("""COMPUTED_VALUE"""),"SortRTSAM")</f>
        <v>SortRTSAM</v>
      </c>
      <c r="AI4" s="26" t="str">
        <f>IFERROR(__xludf.DUMMYFUNCTION("""COMPUTED_VALUE"""),"IncreaseOrUnwindPositionRTPNL")</f>
        <v>IncreaseOrUnwindPositionRTPNL</v>
      </c>
      <c r="AJ4" s="26" t="str">
        <f>IFERROR(__xludf.DUMMYFUNCTION("""COMPUTED_VALUE"""),"SavePage")</f>
        <v>SavePage</v>
      </c>
      <c r="AK4" s="26" t="str">
        <f>IFERROR(__xludf.DUMMYFUNCTION("""COMPUTED_VALUE"""),"CloseRTPNL")</f>
        <v>CloseRTPNL</v>
      </c>
      <c r="AL4" s="26" t="str">
        <f>IFERROR(__xludf.DUMMYFUNCTION("""COMPUTED_VALUE"""),"VerifyColumns")</f>
        <v>VerifyColumns</v>
      </c>
      <c r="AM4" s="26" t="str">
        <f>IFERROR(__xludf.DUMMYFUNCTION("""COMPUTED_VALUE"""),"ConfigureWidget")</f>
        <v>ConfigureWidget</v>
      </c>
      <c r="AN4" s="26" t="str">
        <f>IFERROR(__xludf.DUMMYFUNCTION("""COMPUTED_VALUE"""),"ChangeWidgetView")</f>
        <v>ChangeWidgetView</v>
      </c>
      <c r="AO4" s="26" t="str">
        <f>IFERROR(__xludf.DUMMYFUNCTION("""COMPUTED_VALUE"""),"ResizeEnsure")</f>
        <v>ResizeEnsure</v>
      </c>
      <c r="AP4" s="26" t="str">
        <f>IFERROR(__xludf.DUMMYFUNCTION("""COMPUTED_VALUE"""),"RenameTabs")</f>
        <v>RenameTabs</v>
      </c>
      <c r="AQ4" s="26" t="str">
        <f>IFERROR(__xludf.DUMMYFUNCTION("""COMPUTED_VALUE"""),"AddTabRTPNL")</f>
        <v>AddTabRTPNL</v>
      </c>
      <c r="AR4" s="26" t="str">
        <f>IFERROR(__xludf.DUMMYFUNCTION("""COMPUTED_VALUE"""),"MergeWindows")</f>
        <v>MergeWindows</v>
      </c>
      <c r="AS4" s="26" t="str">
        <f>IFERROR(__xludf.DUMMYFUNCTION("""COMPUTED_VALUE"""),"Grouping")</f>
        <v>Grouping</v>
      </c>
      <c r="AT4" s="26" t="str">
        <f>IFERROR(__xludf.DUMMYFUNCTION("""COMPUTED_VALUE"""),"CreateGroupingWidget")</f>
        <v>CreateGroupingWidget</v>
      </c>
      <c r="AU4" s="26" t="str">
        <f>IFERROR(__xludf.DUMMYFUNCTION("""COMPUTED_VALUE"""),"CheckGroupingWidget")</f>
        <v>CheckGroupingWidget</v>
      </c>
      <c r="AV4" s="26" t="str">
        <f>IFERROR(__xludf.DUMMYFUNCTION("""COMPUTED_VALUE"""),"VerifyL1L2PanelRTPNL")</f>
        <v>VerifyL1L2PanelRTPNL</v>
      </c>
      <c r="AW4" s="26" t="str">
        <f>IFERROR(__xludf.DUMMYFUNCTION("""COMPUTED_VALUE"""),"VerifyGridThroughLiveExcel")</f>
        <v>VerifyGridThroughLiveExcel</v>
      </c>
      <c r="AX4" s="26" t="str">
        <f>IFERROR(__xludf.DUMMYFUNCTION("""COMPUTED_VALUE"""),"ApplyColumnFilter")</f>
        <v>ApplyColumnFilter</v>
      </c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IFERROR(__xludf.DUMMYFUNCTION("""COMPUTED_VALUE"""),"Chip 1")</f>
        <v>Chip 1</v>
      </c>
      <c r="C5" s="28" t="str">
        <f>IFERROR(__xludf.DUMMYFUNCTION("""COMPUTED_VALUE"""),"Chip 2")</f>
        <v>Chip 2</v>
      </c>
      <c r="D5" s="28" t="str">
        <f>IFERROR(__xludf.DUMMYFUNCTION("""COMPUTED_VALUE"""),"Chip 3")</f>
        <v>Chip 3</v>
      </c>
      <c r="E5" s="28" t="str">
        <f>IFERROR(__xludf.DUMMYFUNCTION("""COMPUTED_VALUE"""),"MakeColumFavourite")</f>
        <v>MakeColumFavourite</v>
      </c>
      <c r="F5" s="29" t="str">
        <f>IFERROR(__xludf.DUMMYFUNCTION("""COMPUTED_VALUE"""),"MakeColumnUnfavourite")</f>
        <v>MakeColumnUnfavourite</v>
      </c>
      <c r="G5" s="28" t="str">
        <f>IFERROR(__xludf.DUMMYFUNCTION("""COMPUTED_VALUE"""),"ColumnsToAdd")</f>
        <v>ColumnsToAdd</v>
      </c>
      <c r="H5" s="28" t="str">
        <f>IFERROR(__xludf.DUMMYFUNCTION("""COMPUTED_VALUE"""),"Verify Chip Values")</f>
        <v>Verify Chip Values</v>
      </c>
      <c r="I5" s="28" t="str">
        <f>IFERROR(__xludf.DUMMYFUNCTION("""COMPUTED_VALUE"""),"NextAction")</f>
        <v>NextAction</v>
      </c>
      <c r="J5" s="28" t="str">
        <f>IFERROR(__xludf.DUMMYFUNCTION("""COMPUTED_VALUE"""),"VerifyActionButtonVisibility")</f>
        <v>VerifyActionButtonVisibility</v>
      </c>
      <c r="K5" s="28" t="str">
        <f>IFERROR(__xludf.DUMMYFUNCTION("""COMPUTED_VALUE"""),"FlashButton")</f>
        <v>FlashButton</v>
      </c>
      <c r="L5" s="28" t="str">
        <f>IFERROR(__xludf.DUMMYFUNCTION("""COMPUTED_VALUE"""),"ColumnsToCheckForFlash")</f>
        <v>ColumnsToCheckForFlash</v>
      </c>
      <c r="M5" s="28" t="str">
        <f>IFERROR(__xludf.DUMMYFUNCTION("""COMPUTED_VALUE"""),"LinkWidgetColor")</f>
        <v>LinkWidgetColor</v>
      </c>
      <c r="N5" s="28" t="str">
        <f>IFERROR(__xludf.DUMMYFUNCTION("""COMPUTED_VALUE"""),"ColumnsToAdd2")</f>
        <v>ColumnsToAdd2</v>
      </c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29</v>
      </c>
      <c r="C6" s="8"/>
      <c r="D6" s="13"/>
      <c r="E6" s="35"/>
      <c r="F6" s="8"/>
      <c r="G6" s="8"/>
      <c r="H6" s="8"/>
      <c r="I6" s="32" t="s">
        <v>33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CreateGroupingWidget!$4:$4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2" width="12.63"/>
    <col customWidth="1" min="3" max="3" width="16.13"/>
    <col customWidth="1" min="4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IFERROR(__xludf.DUMMYFUNCTION("IF(C3="""","""",Transpose(IMPORTRANGE('_Settings'!$B$3,C3&amp;""!A4:A1000"")))"),"CheckSummaryDashboard")</f>
        <v>CheckSummaryDashboard</v>
      </c>
      <c r="C4" s="25" t="str">
        <f>IFERROR(__xludf.DUMMYFUNCTION("""COMPUTED_VALUE"""),"CheckFundLevelAggregation")</f>
        <v>CheckFundLevelAggregation</v>
      </c>
      <c r="D4" s="25" t="str">
        <f>IFERROR(__xludf.DUMMYFUNCTION("""COMPUTED_VALUE"""),"CheckAccountLevelAggregation")</f>
        <v>CheckAccountLevelAggregation</v>
      </c>
      <c r="E4" s="25" t="str">
        <f>IFERROR(__xludf.DUMMYFUNCTION("""COMPUTED_VALUE"""),"CheckSymbolLevelAggregation")</f>
        <v>CheckSymbolLevelAggregation</v>
      </c>
      <c r="F4" s="25" t="str">
        <f>IFERROR(__xludf.DUMMYFUNCTION("""COMPUTED_VALUE"""),"CheckRealTimeSymbolFundMonitor")</f>
        <v>CheckRealTimeSymbolFundMonitor</v>
      </c>
      <c r="G4" s="25" t="str">
        <f>IFERROR(__xludf.DUMMYFUNCTION("""COMPUTED_VALUE"""),"CheckRealTimeSymAccountMonitor")</f>
        <v>CheckRealTimeSymAccountMonitor</v>
      </c>
      <c r="H4" s="25" t="str">
        <f>IFERROR(__xludf.DUMMYFUNCTION("""COMPUTED_VALUE"""),"CreateDashBoard")</f>
        <v>CreateDashBoard</v>
      </c>
      <c r="I4" s="25" t="str">
        <f>IFERROR(__xludf.DUMMYFUNCTION("""COMPUTED_VALUE"""),"UpdateDashboardName")</f>
        <v>UpdateDashboardName</v>
      </c>
      <c r="J4" s="25" t="str">
        <f>IFERROR(__xludf.DUMMYFUNCTION("""COMPUTED_VALUE"""),"AddWidget")</f>
        <v>AddWidget</v>
      </c>
      <c r="K4" s="25" t="str">
        <f>IFERROR(__xludf.DUMMYFUNCTION("""COMPUTED_VALUE"""),"CheckDashboardWidgetTitle")</f>
        <v>CheckDashboardWidgetTitle</v>
      </c>
      <c r="L4" s="25" t="str">
        <f>IFERROR(__xludf.DUMMYFUNCTION("""COMPUTED_VALUE"""),"updateWidget")</f>
        <v>updateWidget</v>
      </c>
      <c r="M4" s="25" t="str">
        <f>IFERROR(__xludf.DUMMYFUNCTION("""COMPUTED_VALUE"""),"OpenRTPNL")</f>
        <v>OpenRTPNL</v>
      </c>
      <c r="N4" s="25" t="str">
        <f>IFERROR(__xludf.DUMMYFUNCTION("""COMPUTED_VALUE"""),"LinkDashboardTabs")</f>
        <v>LinkDashboardTabs</v>
      </c>
      <c r="O4" s="25" t="str">
        <f>IFERROR(__xludf.DUMMYFUNCTION("""COMPUTED_VALUE"""),"SelectDashboardTabRow")</f>
        <v>SelectDashboardTabRow</v>
      </c>
      <c r="P4" s="26" t="str">
        <f>IFERROR(__xludf.DUMMYFUNCTION("""COMPUTED_VALUE"""),"SelectRowAtFLAggregation")</f>
        <v>SelectRowAtFLAggregation</v>
      </c>
      <c r="Q4" s="26" t="str">
        <f>IFERROR(__xludf.DUMMYFUNCTION("""COMPUTED_VALUE"""),"SelectRowAtALAggregation")</f>
        <v>SelectRowAtALAggregation</v>
      </c>
      <c r="R4" s="26" t="str">
        <f>IFERROR(__xludf.DUMMYFUNCTION("""COMPUTED_VALUE"""),"SelectRowAtSLAggregation")</f>
        <v>SelectRowAtSLAggregation</v>
      </c>
      <c r="S4" s="26" t="str">
        <f>IFERROR(__xludf.DUMMYFUNCTION("""COMPUTED_VALUE"""),"SelectRowAtRTSFundMonitor")</f>
        <v>SelectRowAtRTSFundMonitor</v>
      </c>
      <c r="T4" s="26" t="str">
        <f>IFERROR(__xludf.DUMMYFUNCTION("""COMPUTED_VALUE"""),"SelectRowAtRTSAccountMonitor")</f>
        <v>SelectRowAtRTSAccountMonitor</v>
      </c>
      <c r="U4" s="26" t="str">
        <f>IFERROR(__xludf.DUMMYFUNCTION("""COMPUTED_VALUE"""),"FilterOnPMGrid")</f>
        <v>FilterOnPMGrid</v>
      </c>
      <c r="V4" s="26" t="str">
        <f>IFERROR(__xludf.DUMMYFUNCTION("""COMPUTED_VALUE"""),"SortOnPMGrid")</f>
        <v>SortOnPMGrid</v>
      </c>
      <c r="W4" s="26" t="str">
        <f>IFERROR(__xludf.DUMMYFUNCTION("""COMPUTED_VALUE"""),"ExtractTabOutsidePMDashboard")</f>
        <v>ExtractTabOutsidePMDashboard</v>
      </c>
      <c r="X4" s="26" t="str">
        <f>IFERROR(__xludf.DUMMYFUNCTION("""COMPUTED_VALUE"""),"SortRTSFM")</f>
        <v>SortRTSFM</v>
      </c>
      <c r="Y4" s="26" t="str">
        <f>IFERROR(__xludf.DUMMYFUNCTION("""COMPUTED_VALUE"""),"SortSLA")</f>
        <v>SortSLA</v>
      </c>
      <c r="Z4" s="26" t="str">
        <f>IFERROR(__xludf.DUMMYFUNCTION("""COMPUTED_VALUE"""),"SortFLA")</f>
        <v>SortFLA</v>
      </c>
      <c r="AA4" s="26" t="str">
        <f>IFERROR(__xludf.DUMMYFUNCTION("""COMPUTED_VALUE"""),"SortALA")</f>
        <v>SortALA</v>
      </c>
      <c r="AB4" s="26" t="str">
        <f>IFERROR(__xludf.DUMMYFUNCTION("""COMPUTED_VALUE"""),"FilterSLA")</f>
        <v>FilterSLA</v>
      </c>
      <c r="AC4" s="26" t="str">
        <f>IFERROR(__xludf.DUMMYFUNCTION("""COMPUTED_VALUE"""),"FilterRTSFM")</f>
        <v>FilterRTSFM</v>
      </c>
      <c r="AD4" s="26" t="str">
        <f>IFERROR(__xludf.DUMMYFUNCTION("""COMPUTED_VALUE"""),"FilterALA")</f>
        <v>FilterALA</v>
      </c>
      <c r="AE4" s="26" t="str">
        <f>IFERROR(__xludf.DUMMYFUNCTION("""COMPUTED_VALUE"""),"FilterFLA")</f>
        <v>FilterFLA</v>
      </c>
      <c r="AF4" s="26" t="str">
        <f>IFERROR(__xludf.DUMMYFUNCTION("""COMPUTED_VALUE"""),"SortRTSAM")</f>
        <v>SortRTSAM</v>
      </c>
      <c r="AG4" s="26" t="str">
        <f>IFERROR(__xludf.DUMMYFUNCTION("""COMPUTED_VALUE"""),"FilterRTSAM")</f>
        <v>FilterRTSAM</v>
      </c>
      <c r="AH4" s="26" t="str">
        <f>IFERROR(__xludf.DUMMYFUNCTION("""COMPUTED_VALUE"""),"SortRTSAM")</f>
        <v>SortRTSAM</v>
      </c>
      <c r="AI4" s="26" t="str">
        <f>IFERROR(__xludf.DUMMYFUNCTION("""COMPUTED_VALUE"""),"IncreaseOrUnwindPositionRTPNL")</f>
        <v>IncreaseOrUnwindPositionRTPNL</v>
      </c>
      <c r="AJ4" s="26" t="str">
        <f>IFERROR(__xludf.DUMMYFUNCTION("""COMPUTED_VALUE"""),"SavePage")</f>
        <v>SavePage</v>
      </c>
      <c r="AK4" s="26" t="str">
        <f>IFERROR(__xludf.DUMMYFUNCTION("""COMPUTED_VALUE"""),"CloseRTPNL")</f>
        <v>CloseRTPNL</v>
      </c>
      <c r="AL4" s="26" t="str">
        <f>IFERROR(__xludf.DUMMYFUNCTION("""COMPUTED_VALUE"""),"VerifyColumns")</f>
        <v>VerifyColumns</v>
      </c>
      <c r="AM4" s="26" t="str">
        <f>IFERROR(__xludf.DUMMYFUNCTION("""COMPUTED_VALUE"""),"ConfigureWidget")</f>
        <v>ConfigureWidget</v>
      </c>
      <c r="AN4" s="26" t="str">
        <f>IFERROR(__xludf.DUMMYFUNCTION("""COMPUTED_VALUE"""),"ChangeWidgetView")</f>
        <v>ChangeWidgetView</v>
      </c>
      <c r="AO4" s="26" t="str">
        <f>IFERROR(__xludf.DUMMYFUNCTION("""COMPUTED_VALUE"""),"ResizeEnsure")</f>
        <v>ResizeEnsure</v>
      </c>
      <c r="AP4" s="26" t="str">
        <f>IFERROR(__xludf.DUMMYFUNCTION("""COMPUTED_VALUE"""),"RenameTabs")</f>
        <v>RenameTabs</v>
      </c>
      <c r="AQ4" s="26" t="str">
        <f>IFERROR(__xludf.DUMMYFUNCTION("""COMPUTED_VALUE"""),"AddTabRTPNL")</f>
        <v>AddTabRTPNL</v>
      </c>
      <c r="AR4" s="26" t="str">
        <f>IFERROR(__xludf.DUMMYFUNCTION("""COMPUTED_VALUE"""),"MergeWindows")</f>
        <v>MergeWindows</v>
      </c>
      <c r="AS4" s="26" t="str">
        <f>IFERROR(__xludf.DUMMYFUNCTION("""COMPUTED_VALUE"""),"Grouping")</f>
        <v>Grouping</v>
      </c>
      <c r="AT4" s="26" t="str">
        <f>IFERROR(__xludf.DUMMYFUNCTION("""COMPUTED_VALUE"""),"CreateGroupingWidget")</f>
        <v>CreateGroupingWidget</v>
      </c>
      <c r="AU4" s="26" t="str">
        <f>IFERROR(__xludf.DUMMYFUNCTION("""COMPUTED_VALUE"""),"CheckGroupingWidget")</f>
        <v>CheckGroupingWidget</v>
      </c>
      <c r="AV4" s="26" t="str">
        <f>IFERROR(__xludf.DUMMYFUNCTION("""COMPUTED_VALUE"""),"VerifyL1L2PanelRTPNL")</f>
        <v>VerifyL1L2PanelRTPNL</v>
      </c>
      <c r="AW4" s="26" t="str">
        <f>IFERROR(__xludf.DUMMYFUNCTION("""COMPUTED_VALUE"""),"VerifyGridThroughLiveExcel")</f>
        <v>VerifyGridThroughLiveExcel</v>
      </c>
      <c r="AX4" s="26" t="str">
        <f>IFERROR(__xludf.DUMMYFUNCTION("""COMPUTED_VALUE"""),"ApplyColumnFilter")</f>
        <v>ApplyColumnFilter</v>
      </c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IFERROR(__xludf.DUMMYFUNCTION("""COMPUTED_VALUE"""),"Security Name")</f>
        <v>Security Name</v>
      </c>
      <c r="D5" s="28" t="str">
        <f>IFERROR(__xludf.DUMMYFUNCTION("""COMPUTED_VALUE"""),"Bloomberg Symbol")</f>
        <v>Bloomberg Symbol</v>
      </c>
      <c r="E5" s="28" t="str">
        <f>IFERROR(__xludf.DUMMYFUNCTION("""COMPUTED_VALUE"""),"Fund")</f>
        <v>Fund</v>
      </c>
      <c r="F5" s="29" t="str">
        <f>IFERROR(__xludf.DUMMYFUNCTION("""COMPUTED_VALUE"""),"Account")</f>
        <v>Account</v>
      </c>
      <c r="G5" s="28" t="str">
        <f>IFERROR(__xludf.DUMMYFUNCTION("""COMPUTED_VALUE"""),"Asset Class")</f>
        <v>Asset Class</v>
      </c>
      <c r="H5" s="28" t="str">
        <f>IFERROR(__xludf.DUMMYFUNCTION("""COMPUTED_VALUE"""),"Position")</f>
        <v>Position</v>
      </c>
      <c r="I5" s="28" t="str">
        <f>IFERROR(__xludf.DUMMYFUNCTION("""COMPUTED_VALUE"""),"Position Side")</f>
        <v>Position Side</v>
      </c>
      <c r="J5" s="28" t="str">
        <f>IFERROR(__xludf.DUMMYFUNCTION("""COMPUTED_VALUE"""),"Px Selected Feed (Local)")</f>
        <v>Px Selected Feed (Local)</v>
      </c>
      <c r="K5" s="28" t="str">
        <f>IFERROR(__xludf.DUMMYFUNCTION("""COMPUTED_VALUE"""),"Px Selected Feed (Base)")</f>
        <v>Px Selected Feed (Base)</v>
      </c>
      <c r="L5" s="28" t="str">
        <f>IFERROR(__xludf.DUMMYFUNCTION("""COMPUTED_VALUE"""),"Market Value (Base)")</f>
        <v>Market Value (Base)</v>
      </c>
      <c r="M5" s="28" t="str">
        <f>IFERROR(__xludf.DUMMYFUNCTION("""COMPUTED_VALUE"""),"% Net Market Value (Base)")</f>
        <v>% Net Market Value (Base)</v>
      </c>
      <c r="N5" s="28" t="str">
        <f>IFERROR(__xludf.DUMMYFUNCTION("""COMPUTED_VALUE"""),"Cost Basis P&amp;L (Base)")</f>
        <v>Cost Basis P&amp;L (Base)</v>
      </c>
      <c r="O5" s="28" t="str">
        <f>IFERROR(__xludf.DUMMYFUNCTION("""COMPUTED_VALUE"""),"% Gain/Loss Cost")</f>
        <v>% Gain/Loss Cost</v>
      </c>
      <c r="P5" s="28" t="str">
        <f>IFERROR(__xludf.DUMMYFUNCTION("""COMPUTED_VALUE"""),"Day P&amp;L (Base)")</f>
        <v>Day P&amp;L (Base)</v>
      </c>
      <c r="Q5" s="28" t="str">
        <f>IFERROR(__xludf.DUMMYFUNCTION("""COMPUTED_VALUE"""),"% Gain/Loss Day")</f>
        <v>% Gain/Loss Day</v>
      </c>
      <c r="R5" s="28" t="str">
        <f>IFERROR(__xludf.DUMMYFUNCTION("""COMPUTED_VALUE"""),"TabName")</f>
        <v>TabName</v>
      </c>
      <c r="S5" s="28" t="str">
        <f>IFERROR(__xludf.DUMMYFUNCTION("""COMPUTED_VALUE"""),"GridDataWidgetName")</f>
        <v>GridDataWidgetName</v>
      </c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16</v>
      </c>
      <c r="C6" s="13" t="s">
        <v>35</v>
      </c>
      <c r="D6" s="13" t="s">
        <v>36</v>
      </c>
      <c r="E6" s="13" t="s">
        <v>37</v>
      </c>
      <c r="F6" s="13" t="s">
        <v>18</v>
      </c>
      <c r="G6" s="13" t="s">
        <v>38</v>
      </c>
      <c r="H6" s="13">
        <v>300.0</v>
      </c>
      <c r="I6" s="13" t="s">
        <v>39</v>
      </c>
      <c r="J6" s="8"/>
      <c r="K6" s="8"/>
      <c r="L6" s="8"/>
      <c r="M6" s="8"/>
      <c r="N6" s="8"/>
      <c r="O6" s="8"/>
      <c r="R6" s="9" t="s">
        <v>27</v>
      </c>
    </row>
    <row r="7" ht="15.75" customHeight="1">
      <c r="A7" s="8"/>
      <c r="B7" s="13" t="s">
        <v>16</v>
      </c>
      <c r="C7" s="13" t="s">
        <v>35</v>
      </c>
      <c r="D7" s="13" t="s">
        <v>36</v>
      </c>
      <c r="E7" s="13" t="s">
        <v>37</v>
      </c>
      <c r="F7" s="13" t="s">
        <v>20</v>
      </c>
      <c r="G7" s="13" t="s">
        <v>38</v>
      </c>
      <c r="H7" s="13">
        <v>-200.0</v>
      </c>
      <c r="I7" s="13" t="s">
        <v>40</v>
      </c>
      <c r="J7" s="8"/>
      <c r="K7" s="8"/>
      <c r="L7" s="8"/>
      <c r="M7" s="8"/>
      <c r="N7" s="8"/>
      <c r="O7" s="8"/>
    </row>
    <row r="8" ht="15.75" customHeight="1">
      <c r="A8" s="8"/>
      <c r="B8" s="13" t="s">
        <v>16</v>
      </c>
      <c r="C8" s="13" t="s">
        <v>35</v>
      </c>
      <c r="D8" s="13" t="s">
        <v>36</v>
      </c>
      <c r="E8" s="8"/>
      <c r="F8" s="13" t="s">
        <v>22</v>
      </c>
      <c r="G8" s="13" t="s">
        <v>38</v>
      </c>
      <c r="H8" s="13">
        <v>100.0</v>
      </c>
      <c r="I8" s="13" t="s">
        <v>39</v>
      </c>
      <c r="J8" s="8"/>
      <c r="K8" s="8"/>
      <c r="L8" s="8"/>
      <c r="M8" s="8"/>
      <c r="N8" s="8"/>
      <c r="O8" s="8"/>
    </row>
    <row r="9" ht="15.75" customHeight="1">
      <c r="A9" s="8"/>
      <c r="B9" s="13" t="s">
        <v>16</v>
      </c>
      <c r="C9" s="13" t="s">
        <v>35</v>
      </c>
      <c r="D9" s="13" t="s">
        <v>36</v>
      </c>
      <c r="E9" s="8"/>
      <c r="F9" s="8"/>
      <c r="G9" s="13" t="s">
        <v>38</v>
      </c>
      <c r="H9" s="13">
        <v>100.0</v>
      </c>
      <c r="I9" s="13" t="s">
        <v>39</v>
      </c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CheckGroupingWidget!$4:$4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IFERROR(__xludf.DUMMYFUNCTION("IF(C3="""","""",Transpose(IMPORTRANGE('_Settings'!$B$3,C3&amp;""!A4:A1000"")))"),"CheckSummaryDashboard")</f>
        <v>CheckSummaryDashboard</v>
      </c>
      <c r="C4" s="25" t="str">
        <f>IFERROR(__xludf.DUMMYFUNCTION("""COMPUTED_VALUE"""),"CheckFundLevelAggregation")</f>
        <v>CheckFundLevelAggregation</v>
      </c>
      <c r="D4" s="25" t="str">
        <f>IFERROR(__xludf.DUMMYFUNCTION("""COMPUTED_VALUE"""),"CheckAccountLevelAggregation")</f>
        <v>CheckAccountLevelAggregation</v>
      </c>
      <c r="E4" s="25" t="str">
        <f>IFERROR(__xludf.DUMMYFUNCTION("""COMPUTED_VALUE"""),"CheckSymbolLevelAggregation")</f>
        <v>CheckSymbolLevelAggregation</v>
      </c>
      <c r="F4" s="25" t="str">
        <f>IFERROR(__xludf.DUMMYFUNCTION("""COMPUTED_VALUE"""),"CheckRealTimeSymbolFundMonitor")</f>
        <v>CheckRealTimeSymbolFundMonitor</v>
      </c>
      <c r="G4" s="25" t="str">
        <f>IFERROR(__xludf.DUMMYFUNCTION("""COMPUTED_VALUE"""),"CheckRealTimeSymAccountMonitor")</f>
        <v>CheckRealTimeSymAccountMonitor</v>
      </c>
      <c r="H4" s="25" t="str">
        <f>IFERROR(__xludf.DUMMYFUNCTION("""COMPUTED_VALUE"""),"CreateDashBoard")</f>
        <v>CreateDashBoard</v>
      </c>
      <c r="I4" s="25" t="str">
        <f>IFERROR(__xludf.DUMMYFUNCTION("""COMPUTED_VALUE"""),"UpdateDashboardName")</f>
        <v>UpdateDashboardName</v>
      </c>
      <c r="J4" s="25" t="str">
        <f>IFERROR(__xludf.DUMMYFUNCTION("""COMPUTED_VALUE"""),"AddWidget")</f>
        <v>AddWidget</v>
      </c>
      <c r="K4" s="25" t="str">
        <f>IFERROR(__xludf.DUMMYFUNCTION("""COMPUTED_VALUE"""),"CheckDashboardWidgetTitle")</f>
        <v>CheckDashboardWidgetTitle</v>
      </c>
      <c r="L4" s="25" t="str">
        <f>IFERROR(__xludf.DUMMYFUNCTION("""COMPUTED_VALUE"""),"updateWidget")</f>
        <v>updateWidget</v>
      </c>
      <c r="M4" s="25" t="str">
        <f>IFERROR(__xludf.DUMMYFUNCTION("""COMPUTED_VALUE"""),"OpenRTPNL")</f>
        <v>OpenRTPNL</v>
      </c>
      <c r="N4" s="25" t="str">
        <f>IFERROR(__xludf.DUMMYFUNCTION("""COMPUTED_VALUE"""),"LinkDashboardTabs")</f>
        <v>LinkDashboardTabs</v>
      </c>
      <c r="O4" s="25" t="str">
        <f>IFERROR(__xludf.DUMMYFUNCTION("""COMPUTED_VALUE"""),"SelectDashboardTabRow")</f>
        <v>SelectDashboardTabRow</v>
      </c>
      <c r="P4" s="26" t="str">
        <f>IFERROR(__xludf.DUMMYFUNCTION("""COMPUTED_VALUE"""),"SelectRowAtFLAggregation")</f>
        <v>SelectRowAtFLAggregation</v>
      </c>
      <c r="Q4" s="26" t="str">
        <f>IFERROR(__xludf.DUMMYFUNCTION("""COMPUTED_VALUE"""),"SelectRowAtALAggregation")</f>
        <v>SelectRowAtALAggregation</v>
      </c>
      <c r="R4" s="26" t="str">
        <f>IFERROR(__xludf.DUMMYFUNCTION("""COMPUTED_VALUE"""),"SelectRowAtSLAggregation")</f>
        <v>SelectRowAtSLAggregation</v>
      </c>
      <c r="S4" s="26" t="str">
        <f>IFERROR(__xludf.DUMMYFUNCTION("""COMPUTED_VALUE"""),"SelectRowAtRTSFundMonitor")</f>
        <v>SelectRowAtRTSFundMonitor</v>
      </c>
      <c r="T4" s="26" t="str">
        <f>IFERROR(__xludf.DUMMYFUNCTION("""COMPUTED_VALUE"""),"SelectRowAtRTSAccountMonitor")</f>
        <v>SelectRowAtRTSAccountMonitor</v>
      </c>
      <c r="U4" s="26" t="str">
        <f>IFERROR(__xludf.DUMMYFUNCTION("""COMPUTED_VALUE"""),"FilterOnPMGrid")</f>
        <v>FilterOnPMGrid</v>
      </c>
      <c r="V4" s="26" t="str">
        <f>IFERROR(__xludf.DUMMYFUNCTION("""COMPUTED_VALUE"""),"SortOnPMGrid")</f>
        <v>SortOnPMGrid</v>
      </c>
      <c r="W4" s="26" t="str">
        <f>IFERROR(__xludf.DUMMYFUNCTION("""COMPUTED_VALUE"""),"ExtractTabOutsidePMDashboard")</f>
        <v>ExtractTabOutsidePMDashboard</v>
      </c>
      <c r="X4" s="26" t="str">
        <f>IFERROR(__xludf.DUMMYFUNCTION("""COMPUTED_VALUE"""),"SortRTSFM")</f>
        <v>SortRTSFM</v>
      </c>
      <c r="Y4" s="26" t="str">
        <f>IFERROR(__xludf.DUMMYFUNCTION("""COMPUTED_VALUE"""),"SortSLA")</f>
        <v>SortSLA</v>
      </c>
      <c r="Z4" s="26" t="str">
        <f>IFERROR(__xludf.DUMMYFUNCTION("""COMPUTED_VALUE"""),"SortFLA")</f>
        <v>SortFLA</v>
      </c>
      <c r="AA4" s="26" t="str">
        <f>IFERROR(__xludf.DUMMYFUNCTION("""COMPUTED_VALUE"""),"SortALA")</f>
        <v>SortALA</v>
      </c>
      <c r="AB4" s="26" t="str">
        <f>IFERROR(__xludf.DUMMYFUNCTION("""COMPUTED_VALUE"""),"FilterSLA")</f>
        <v>FilterSLA</v>
      </c>
      <c r="AC4" s="26" t="str">
        <f>IFERROR(__xludf.DUMMYFUNCTION("""COMPUTED_VALUE"""),"FilterRTSFM")</f>
        <v>FilterRTSFM</v>
      </c>
      <c r="AD4" s="26" t="str">
        <f>IFERROR(__xludf.DUMMYFUNCTION("""COMPUTED_VALUE"""),"FilterALA")</f>
        <v>FilterALA</v>
      </c>
      <c r="AE4" s="26" t="str">
        <f>IFERROR(__xludf.DUMMYFUNCTION("""COMPUTED_VALUE"""),"FilterFLA")</f>
        <v>FilterFLA</v>
      </c>
      <c r="AF4" s="26" t="str">
        <f>IFERROR(__xludf.DUMMYFUNCTION("""COMPUTED_VALUE"""),"SortRTSAM")</f>
        <v>SortRTSAM</v>
      </c>
      <c r="AG4" s="26" t="str">
        <f>IFERROR(__xludf.DUMMYFUNCTION("""COMPUTED_VALUE"""),"FilterRTSAM")</f>
        <v>FilterRTSAM</v>
      </c>
      <c r="AH4" s="26" t="str">
        <f>IFERROR(__xludf.DUMMYFUNCTION("""COMPUTED_VALUE"""),"SortRTSAM")</f>
        <v>SortRTSAM</v>
      </c>
      <c r="AI4" s="26" t="str">
        <f>IFERROR(__xludf.DUMMYFUNCTION("""COMPUTED_VALUE"""),"IncreaseOrUnwindPositionRTPNL")</f>
        <v>IncreaseOrUnwindPositionRTPNL</v>
      </c>
      <c r="AJ4" s="26" t="str">
        <f>IFERROR(__xludf.DUMMYFUNCTION("""COMPUTED_VALUE"""),"SavePage")</f>
        <v>SavePage</v>
      </c>
      <c r="AK4" s="26" t="str">
        <f>IFERROR(__xludf.DUMMYFUNCTION("""COMPUTED_VALUE"""),"CloseRTPNL")</f>
        <v>CloseRTPNL</v>
      </c>
      <c r="AL4" s="26" t="str">
        <f>IFERROR(__xludf.DUMMYFUNCTION("""COMPUTED_VALUE"""),"VerifyColumns")</f>
        <v>VerifyColumns</v>
      </c>
      <c r="AM4" s="26" t="str">
        <f>IFERROR(__xludf.DUMMYFUNCTION("""COMPUTED_VALUE"""),"ConfigureWidget")</f>
        <v>ConfigureWidget</v>
      </c>
      <c r="AN4" s="26" t="str">
        <f>IFERROR(__xludf.DUMMYFUNCTION("""COMPUTED_VALUE"""),"ChangeWidgetView")</f>
        <v>ChangeWidgetView</v>
      </c>
      <c r="AO4" s="26" t="str">
        <f>IFERROR(__xludf.DUMMYFUNCTION("""COMPUTED_VALUE"""),"ResizeEnsure")</f>
        <v>ResizeEnsure</v>
      </c>
      <c r="AP4" s="26" t="str">
        <f>IFERROR(__xludf.DUMMYFUNCTION("""COMPUTED_VALUE"""),"RenameTabs")</f>
        <v>RenameTabs</v>
      </c>
      <c r="AQ4" s="26" t="str">
        <f>IFERROR(__xludf.DUMMYFUNCTION("""COMPUTED_VALUE"""),"AddTabRTPNL")</f>
        <v>AddTabRTPNL</v>
      </c>
      <c r="AR4" s="26" t="str">
        <f>IFERROR(__xludf.DUMMYFUNCTION("""COMPUTED_VALUE"""),"MergeWindows")</f>
        <v>MergeWindows</v>
      </c>
      <c r="AS4" s="26" t="str">
        <f>IFERROR(__xludf.DUMMYFUNCTION("""COMPUTED_VALUE"""),"Grouping")</f>
        <v>Grouping</v>
      </c>
      <c r="AT4" s="26" t="str">
        <f>IFERROR(__xludf.DUMMYFUNCTION("""COMPUTED_VALUE"""),"CreateGroupingWidget")</f>
        <v>CreateGroupingWidget</v>
      </c>
      <c r="AU4" s="26" t="str">
        <f>IFERROR(__xludf.DUMMYFUNCTION("""COMPUTED_VALUE"""),"CheckGroupingWidget")</f>
        <v>CheckGroupingWidget</v>
      </c>
      <c r="AV4" s="26" t="str">
        <f>IFERROR(__xludf.DUMMYFUNCTION("""COMPUTED_VALUE"""),"VerifyL1L2PanelRTPNL")</f>
        <v>VerifyL1L2PanelRTPNL</v>
      </c>
      <c r="AW4" s="26" t="str">
        <f>IFERROR(__xludf.DUMMYFUNCTION("""COMPUTED_VALUE"""),"VerifyGridThroughLiveExcel")</f>
        <v>VerifyGridThroughLiveExcel</v>
      </c>
      <c r="AX4" s="26" t="str">
        <f>IFERROR(__xludf.DUMMYFUNCTION("""COMPUTED_VALUE"""),"ApplyColumnFilter")</f>
        <v>ApplyColumnFilter</v>
      </c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IFERROR(__xludf.DUMMYFUNCTION("""COMPUTED_VALUE"""),"DashboardName")</f>
        <v>DashboardName</v>
      </c>
      <c r="C5" s="28" t="str">
        <f>IFERROR(__xludf.DUMMYFUNCTION("""COMPUTED_VALUE"""),"VerifyPopUpText")</f>
        <v>VerifyPopUpText</v>
      </c>
      <c r="D5" s="28" t="str">
        <f>IFERROR(__xludf.DUMMYFUNCTION("""COMPUTED_VALUE"""),"ActionOnPopUp")</f>
        <v>ActionOnPopUp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 t="s">
        <v>42</v>
      </c>
      <c r="C6" s="36"/>
      <c r="D6" s="31" t="s">
        <v>43</v>
      </c>
      <c r="E6" s="35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CloseRTPNL!$4:$4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IFERROR(__xludf.DUMMYFUNCTION("IF(C3="""","""",Transpose(IMPORTRANGE('_Settings'!$B$3,C3&amp;""!A4:A1000"")))"),"CheckSummaryDashboard")</f>
        <v>CheckSummaryDashboard</v>
      </c>
      <c r="C4" s="25" t="str">
        <f>IFERROR(__xludf.DUMMYFUNCTION("""COMPUTED_VALUE"""),"CheckFundLevelAggregation")</f>
        <v>CheckFundLevelAggregation</v>
      </c>
      <c r="D4" s="25" t="str">
        <f>IFERROR(__xludf.DUMMYFUNCTION("""COMPUTED_VALUE"""),"CheckAccountLevelAggregation")</f>
        <v>CheckAccountLevelAggregation</v>
      </c>
      <c r="E4" s="25" t="str">
        <f>IFERROR(__xludf.DUMMYFUNCTION("""COMPUTED_VALUE"""),"CheckSymbolLevelAggregation")</f>
        <v>CheckSymbolLevelAggregation</v>
      </c>
      <c r="F4" s="25" t="str">
        <f>IFERROR(__xludf.DUMMYFUNCTION("""COMPUTED_VALUE"""),"CheckRealTimeSymbolFundMonitor")</f>
        <v>CheckRealTimeSymbolFundMonitor</v>
      </c>
      <c r="G4" s="25" t="str">
        <f>IFERROR(__xludf.DUMMYFUNCTION("""COMPUTED_VALUE"""),"CheckRealTimeSymAccountMonitor")</f>
        <v>CheckRealTimeSymAccountMonitor</v>
      </c>
      <c r="H4" s="25" t="str">
        <f>IFERROR(__xludf.DUMMYFUNCTION("""COMPUTED_VALUE"""),"CreateDashBoard")</f>
        <v>CreateDashBoard</v>
      </c>
      <c r="I4" s="25" t="str">
        <f>IFERROR(__xludf.DUMMYFUNCTION("""COMPUTED_VALUE"""),"UpdateDashboardName")</f>
        <v>UpdateDashboardName</v>
      </c>
      <c r="J4" s="25" t="str">
        <f>IFERROR(__xludf.DUMMYFUNCTION("""COMPUTED_VALUE"""),"AddWidget")</f>
        <v>AddWidget</v>
      </c>
      <c r="K4" s="25" t="str">
        <f>IFERROR(__xludf.DUMMYFUNCTION("""COMPUTED_VALUE"""),"CheckDashboardWidgetTitle")</f>
        <v>CheckDashboardWidgetTitle</v>
      </c>
      <c r="L4" s="25" t="str">
        <f>IFERROR(__xludf.DUMMYFUNCTION("""COMPUTED_VALUE"""),"updateWidget")</f>
        <v>updateWidget</v>
      </c>
      <c r="M4" s="25" t="str">
        <f>IFERROR(__xludf.DUMMYFUNCTION("""COMPUTED_VALUE"""),"OpenRTPNL")</f>
        <v>OpenRTPNL</v>
      </c>
      <c r="N4" s="25" t="str">
        <f>IFERROR(__xludf.DUMMYFUNCTION("""COMPUTED_VALUE"""),"LinkDashboardTabs")</f>
        <v>LinkDashboardTabs</v>
      </c>
      <c r="O4" s="25" t="str">
        <f>IFERROR(__xludf.DUMMYFUNCTION("""COMPUTED_VALUE"""),"SelectDashboardTabRow")</f>
        <v>SelectDashboardTabRow</v>
      </c>
      <c r="P4" s="26" t="str">
        <f>IFERROR(__xludf.DUMMYFUNCTION("""COMPUTED_VALUE"""),"SelectRowAtFLAggregation")</f>
        <v>SelectRowAtFLAggregation</v>
      </c>
      <c r="Q4" s="26" t="str">
        <f>IFERROR(__xludf.DUMMYFUNCTION("""COMPUTED_VALUE"""),"SelectRowAtALAggregation")</f>
        <v>SelectRowAtALAggregation</v>
      </c>
      <c r="R4" s="26" t="str">
        <f>IFERROR(__xludf.DUMMYFUNCTION("""COMPUTED_VALUE"""),"SelectRowAtSLAggregation")</f>
        <v>SelectRowAtSLAggregation</v>
      </c>
      <c r="S4" s="26" t="str">
        <f>IFERROR(__xludf.DUMMYFUNCTION("""COMPUTED_VALUE"""),"SelectRowAtRTSFundMonitor")</f>
        <v>SelectRowAtRTSFundMonitor</v>
      </c>
      <c r="T4" s="26" t="str">
        <f>IFERROR(__xludf.DUMMYFUNCTION("""COMPUTED_VALUE"""),"SelectRowAtRTSAccountMonitor")</f>
        <v>SelectRowAtRTSAccountMonitor</v>
      </c>
      <c r="U4" s="26" t="str">
        <f>IFERROR(__xludf.DUMMYFUNCTION("""COMPUTED_VALUE"""),"FilterOnPMGrid")</f>
        <v>FilterOnPMGrid</v>
      </c>
      <c r="V4" s="26" t="str">
        <f>IFERROR(__xludf.DUMMYFUNCTION("""COMPUTED_VALUE"""),"SortOnPMGrid")</f>
        <v>SortOnPMGrid</v>
      </c>
      <c r="W4" s="26" t="str">
        <f>IFERROR(__xludf.DUMMYFUNCTION("""COMPUTED_VALUE"""),"ExtractTabOutsidePMDashboard")</f>
        <v>ExtractTabOutsidePMDashboard</v>
      </c>
      <c r="X4" s="26" t="str">
        <f>IFERROR(__xludf.DUMMYFUNCTION("""COMPUTED_VALUE"""),"SortRTSFM")</f>
        <v>SortRTSFM</v>
      </c>
      <c r="Y4" s="26" t="str">
        <f>IFERROR(__xludf.DUMMYFUNCTION("""COMPUTED_VALUE"""),"SortSLA")</f>
        <v>SortSLA</v>
      </c>
      <c r="Z4" s="26" t="str">
        <f>IFERROR(__xludf.DUMMYFUNCTION("""COMPUTED_VALUE"""),"SortFLA")</f>
        <v>SortFLA</v>
      </c>
      <c r="AA4" s="26" t="str">
        <f>IFERROR(__xludf.DUMMYFUNCTION("""COMPUTED_VALUE"""),"SortALA")</f>
        <v>SortALA</v>
      </c>
      <c r="AB4" s="26" t="str">
        <f>IFERROR(__xludf.DUMMYFUNCTION("""COMPUTED_VALUE"""),"FilterSLA")</f>
        <v>FilterSLA</v>
      </c>
      <c r="AC4" s="26" t="str">
        <f>IFERROR(__xludf.DUMMYFUNCTION("""COMPUTED_VALUE"""),"FilterRTSFM")</f>
        <v>FilterRTSFM</v>
      </c>
      <c r="AD4" s="26" t="str">
        <f>IFERROR(__xludf.DUMMYFUNCTION("""COMPUTED_VALUE"""),"FilterALA")</f>
        <v>FilterALA</v>
      </c>
      <c r="AE4" s="26" t="str">
        <f>IFERROR(__xludf.DUMMYFUNCTION("""COMPUTED_VALUE"""),"FilterFLA")</f>
        <v>FilterFLA</v>
      </c>
      <c r="AF4" s="26" t="str">
        <f>IFERROR(__xludf.DUMMYFUNCTION("""COMPUTED_VALUE"""),"SortRTSAM")</f>
        <v>SortRTSAM</v>
      </c>
      <c r="AG4" s="26" t="str">
        <f>IFERROR(__xludf.DUMMYFUNCTION("""COMPUTED_VALUE"""),"FilterRTSAM")</f>
        <v>FilterRTSAM</v>
      </c>
      <c r="AH4" s="26" t="str">
        <f>IFERROR(__xludf.DUMMYFUNCTION("""COMPUTED_VALUE"""),"SortRTSAM")</f>
        <v>SortRTSAM</v>
      </c>
      <c r="AI4" s="26" t="str">
        <f>IFERROR(__xludf.DUMMYFUNCTION("""COMPUTED_VALUE"""),"IncreaseOrUnwindPositionRTPNL")</f>
        <v>IncreaseOrUnwindPositionRTPNL</v>
      </c>
      <c r="AJ4" s="26" t="str">
        <f>IFERROR(__xludf.DUMMYFUNCTION("""COMPUTED_VALUE"""),"SavePage")</f>
        <v>SavePage</v>
      </c>
      <c r="AK4" s="26" t="str">
        <f>IFERROR(__xludf.DUMMYFUNCTION("""COMPUTED_VALUE"""),"CloseRTPNL")</f>
        <v>CloseRTPNL</v>
      </c>
      <c r="AL4" s="26" t="str">
        <f>IFERROR(__xludf.DUMMYFUNCTION("""COMPUTED_VALUE"""),"VerifyColumns")</f>
        <v>VerifyColumns</v>
      </c>
      <c r="AM4" s="26" t="str">
        <f>IFERROR(__xludf.DUMMYFUNCTION("""COMPUTED_VALUE"""),"ConfigureWidget")</f>
        <v>ConfigureWidget</v>
      </c>
      <c r="AN4" s="26" t="str">
        <f>IFERROR(__xludf.DUMMYFUNCTION("""COMPUTED_VALUE"""),"ChangeWidgetView")</f>
        <v>ChangeWidgetView</v>
      </c>
      <c r="AO4" s="26" t="str">
        <f>IFERROR(__xludf.DUMMYFUNCTION("""COMPUTED_VALUE"""),"ResizeEnsure")</f>
        <v>ResizeEnsure</v>
      </c>
      <c r="AP4" s="26" t="str">
        <f>IFERROR(__xludf.DUMMYFUNCTION("""COMPUTED_VALUE"""),"RenameTabs")</f>
        <v>RenameTabs</v>
      </c>
      <c r="AQ4" s="26" t="str">
        <f>IFERROR(__xludf.DUMMYFUNCTION("""COMPUTED_VALUE"""),"AddTabRTPNL")</f>
        <v>AddTabRTPNL</v>
      </c>
      <c r="AR4" s="26" t="str">
        <f>IFERROR(__xludf.DUMMYFUNCTION("""COMPUTED_VALUE"""),"MergeWindows")</f>
        <v>MergeWindows</v>
      </c>
      <c r="AS4" s="26" t="str">
        <f>IFERROR(__xludf.DUMMYFUNCTION("""COMPUTED_VALUE"""),"Grouping")</f>
        <v>Grouping</v>
      </c>
      <c r="AT4" s="26" t="str">
        <f>IFERROR(__xludf.DUMMYFUNCTION("""COMPUTED_VALUE"""),"CreateGroupingWidget")</f>
        <v>CreateGroupingWidget</v>
      </c>
      <c r="AU4" s="26" t="str">
        <f>IFERROR(__xludf.DUMMYFUNCTION("""COMPUTED_VALUE"""),"CheckGroupingWidget")</f>
        <v>CheckGroupingWidget</v>
      </c>
      <c r="AV4" s="26" t="str">
        <f>IFERROR(__xludf.DUMMYFUNCTION("""COMPUTED_VALUE"""),"VerifyL1L2PanelRTPNL")</f>
        <v>VerifyL1L2PanelRTPNL</v>
      </c>
      <c r="AW4" s="26" t="str">
        <f>IFERROR(__xludf.DUMMYFUNCTION("""COMPUTED_VALUE"""),"VerifyGridThroughLiveExcel")</f>
        <v>VerifyGridThroughLiveExcel</v>
      </c>
      <c r="AX4" s="26" t="str">
        <f>IFERROR(__xludf.DUMMYFUNCTION("""COMPUTED_VALUE"""),"ApplyColumnFilter")</f>
        <v>ApplyColumnFilter</v>
      </c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IFERROR(__xludf.DUMMYFUNCTION("""COMPUTED_VALUE"""),"OpenWindow")</f>
        <v>OpenWindow</v>
      </c>
      <c r="C5" s="28" t="str">
        <f>IFERROR(__xludf.DUMMYFUNCTION("""COMPUTED_VALUE"""),"TabName")</f>
        <v>TabName</v>
      </c>
      <c r="D5" s="28" t="str">
        <f>IFERROR(__xludf.DUMMYFUNCTION("""COMPUTED_VALUE"""),"Description")</f>
        <v>Description</v>
      </c>
      <c r="E5" s="28" t="str">
        <f>IFERROR(__xludf.DUMMYFUNCTION("""COMPUTED_VALUE"""),"Save?")</f>
        <v>Save?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7" t="s">
        <v>42</v>
      </c>
      <c r="C6" s="8"/>
      <c r="D6" s="13"/>
      <c r="E6" s="35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OpenRTPNL1!$4:$4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IFERROR(__xludf.DUMMYFUNCTION("IF(C3="""","""",Transpose(IMPORTRANGE('_Settings'!$B$3,C3&amp;""!A4:A1000"")))"),"CheckSummaryDashboard")</f>
        <v>CheckSummaryDashboard</v>
      </c>
      <c r="C4" s="25" t="str">
        <f>IFERROR(__xludf.DUMMYFUNCTION("""COMPUTED_VALUE"""),"CheckFundLevelAggregation")</f>
        <v>CheckFundLevelAggregation</v>
      </c>
      <c r="D4" s="25" t="str">
        <f>IFERROR(__xludf.DUMMYFUNCTION("""COMPUTED_VALUE"""),"CheckAccountLevelAggregation")</f>
        <v>CheckAccountLevelAggregation</v>
      </c>
      <c r="E4" s="25" t="str">
        <f>IFERROR(__xludf.DUMMYFUNCTION("""COMPUTED_VALUE"""),"CheckSymbolLevelAggregation")</f>
        <v>CheckSymbolLevelAggregation</v>
      </c>
      <c r="F4" s="25" t="str">
        <f>IFERROR(__xludf.DUMMYFUNCTION("""COMPUTED_VALUE"""),"CheckRealTimeSymbolFundMonitor")</f>
        <v>CheckRealTimeSymbolFundMonitor</v>
      </c>
      <c r="G4" s="25" t="str">
        <f>IFERROR(__xludf.DUMMYFUNCTION("""COMPUTED_VALUE"""),"CheckRealTimeSymAccountMonitor")</f>
        <v>CheckRealTimeSymAccountMonitor</v>
      </c>
      <c r="H4" s="25" t="str">
        <f>IFERROR(__xludf.DUMMYFUNCTION("""COMPUTED_VALUE"""),"CreateDashBoard")</f>
        <v>CreateDashBoard</v>
      </c>
      <c r="I4" s="25" t="str">
        <f>IFERROR(__xludf.DUMMYFUNCTION("""COMPUTED_VALUE"""),"UpdateDashboardName")</f>
        <v>UpdateDashboardName</v>
      </c>
      <c r="J4" s="25" t="str">
        <f>IFERROR(__xludf.DUMMYFUNCTION("""COMPUTED_VALUE"""),"AddWidget")</f>
        <v>AddWidget</v>
      </c>
      <c r="K4" s="25" t="str">
        <f>IFERROR(__xludf.DUMMYFUNCTION("""COMPUTED_VALUE"""),"CheckDashboardWidgetTitle")</f>
        <v>CheckDashboardWidgetTitle</v>
      </c>
      <c r="L4" s="25" t="str">
        <f>IFERROR(__xludf.DUMMYFUNCTION("""COMPUTED_VALUE"""),"updateWidget")</f>
        <v>updateWidget</v>
      </c>
      <c r="M4" s="25" t="str">
        <f>IFERROR(__xludf.DUMMYFUNCTION("""COMPUTED_VALUE"""),"OpenRTPNL")</f>
        <v>OpenRTPNL</v>
      </c>
      <c r="N4" s="25" t="str">
        <f>IFERROR(__xludf.DUMMYFUNCTION("""COMPUTED_VALUE"""),"LinkDashboardTabs")</f>
        <v>LinkDashboardTabs</v>
      </c>
      <c r="O4" s="25" t="str">
        <f>IFERROR(__xludf.DUMMYFUNCTION("""COMPUTED_VALUE"""),"SelectDashboardTabRow")</f>
        <v>SelectDashboardTabRow</v>
      </c>
      <c r="P4" s="26" t="str">
        <f>IFERROR(__xludf.DUMMYFUNCTION("""COMPUTED_VALUE"""),"SelectRowAtFLAggregation")</f>
        <v>SelectRowAtFLAggregation</v>
      </c>
      <c r="Q4" s="26" t="str">
        <f>IFERROR(__xludf.DUMMYFUNCTION("""COMPUTED_VALUE"""),"SelectRowAtALAggregation")</f>
        <v>SelectRowAtALAggregation</v>
      </c>
      <c r="R4" s="26" t="str">
        <f>IFERROR(__xludf.DUMMYFUNCTION("""COMPUTED_VALUE"""),"SelectRowAtSLAggregation")</f>
        <v>SelectRowAtSLAggregation</v>
      </c>
      <c r="S4" s="26" t="str">
        <f>IFERROR(__xludf.DUMMYFUNCTION("""COMPUTED_VALUE"""),"SelectRowAtRTSFundMonitor")</f>
        <v>SelectRowAtRTSFundMonitor</v>
      </c>
      <c r="T4" s="26" t="str">
        <f>IFERROR(__xludf.DUMMYFUNCTION("""COMPUTED_VALUE"""),"SelectRowAtRTSAccountMonitor")</f>
        <v>SelectRowAtRTSAccountMonitor</v>
      </c>
      <c r="U4" s="26" t="str">
        <f>IFERROR(__xludf.DUMMYFUNCTION("""COMPUTED_VALUE"""),"FilterOnPMGrid")</f>
        <v>FilterOnPMGrid</v>
      </c>
      <c r="V4" s="26" t="str">
        <f>IFERROR(__xludf.DUMMYFUNCTION("""COMPUTED_VALUE"""),"SortOnPMGrid")</f>
        <v>SortOnPMGrid</v>
      </c>
      <c r="W4" s="26" t="str">
        <f>IFERROR(__xludf.DUMMYFUNCTION("""COMPUTED_VALUE"""),"ExtractTabOutsidePMDashboard")</f>
        <v>ExtractTabOutsidePMDashboard</v>
      </c>
      <c r="X4" s="26" t="str">
        <f>IFERROR(__xludf.DUMMYFUNCTION("""COMPUTED_VALUE"""),"SortRTSFM")</f>
        <v>SortRTSFM</v>
      </c>
      <c r="Y4" s="26" t="str">
        <f>IFERROR(__xludf.DUMMYFUNCTION("""COMPUTED_VALUE"""),"SortSLA")</f>
        <v>SortSLA</v>
      </c>
      <c r="Z4" s="26" t="str">
        <f>IFERROR(__xludf.DUMMYFUNCTION("""COMPUTED_VALUE"""),"SortFLA")</f>
        <v>SortFLA</v>
      </c>
      <c r="AA4" s="26" t="str">
        <f>IFERROR(__xludf.DUMMYFUNCTION("""COMPUTED_VALUE"""),"SortALA")</f>
        <v>SortALA</v>
      </c>
      <c r="AB4" s="26" t="str">
        <f>IFERROR(__xludf.DUMMYFUNCTION("""COMPUTED_VALUE"""),"FilterSLA")</f>
        <v>FilterSLA</v>
      </c>
      <c r="AC4" s="26" t="str">
        <f>IFERROR(__xludf.DUMMYFUNCTION("""COMPUTED_VALUE"""),"FilterRTSFM")</f>
        <v>FilterRTSFM</v>
      </c>
      <c r="AD4" s="26" t="str">
        <f>IFERROR(__xludf.DUMMYFUNCTION("""COMPUTED_VALUE"""),"FilterALA")</f>
        <v>FilterALA</v>
      </c>
      <c r="AE4" s="26" t="str">
        <f>IFERROR(__xludf.DUMMYFUNCTION("""COMPUTED_VALUE"""),"FilterFLA")</f>
        <v>FilterFLA</v>
      </c>
      <c r="AF4" s="26" t="str">
        <f>IFERROR(__xludf.DUMMYFUNCTION("""COMPUTED_VALUE"""),"SortRTSAM")</f>
        <v>SortRTSAM</v>
      </c>
      <c r="AG4" s="26" t="str">
        <f>IFERROR(__xludf.DUMMYFUNCTION("""COMPUTED_VALUE"""),"FilterRTSAM")</f>
        <v>FilterRTSAM</v>
      </c>
      <c r="AH4" s="26" t="str">
        <f>IFERROR(__xludf.DUMMYFUNCTION("""COMPUTED_VALUE"""),"SortRTSAM")</f>
        <v>SortRTSAM</v>
      </c>
      <c r="AI4" s="26" t="str">
        <f>IFERROR(__xludf.DUMMYFUNCTION("""COMPUTED_VALUE"""),"IncreaseOrUnwindPositionRTPNL")</f>
        <v>IncreaseOrUnwindPositionRTPNL</v>
      </c>
      <c r="AJ4" s="26" t="str">
        <f>IFERROR(__xludf.DUMMYFUNCTION("""COMPUTED_VALUE"""),"SavePage")</f>
        <v>SavePage</v>
      </c>
      <c r="AK4" s="26" t="str">
        <f>IFERROR(__xludf.DUMMYFUNCTION("""COMPUTED_VALUE"""),"CloseRTPNL")</f>
        <v>CloseRTPNL</v>
      </c>
      <c r="AL4" s="26" t="str">
        <f>IFERROR(__xludf.DUMMYFUNCTION("""COMPUTED_VALUE"""),"VerifyColumns")</f>
        <v>VerifyColumns</v>
      </c>
      <c r="AM4" s="26" t="str">
        <f>IFERROR(__xludf.DUMMYFUNCTION("""COMPUTED_VALUE"""),"ConfigureWidget")</f>
        <v>ConfigureWidget</v>
      </c>
      <c r="AN4" s="26" t="str">
        <f>IFERROR(__xludf.DUMMYFUNCTION("""COMPUTED_VALUE"""),"ChangeWidgetView")</f>
        <v>ChangeWidgetView</v>
      </c>
      <c r="AO4" s="26" t="str">
        <f>IFERROR(__xludf.DUMMYFUNCTION("""COMPUTED_VALUE"""),"ResizeEnsure")</f>
        <v>ResizeEnsure</v>
      </c>
      <c r="AP4" s="26" t="str">
        <f>IFERROR(__xludf.DUMMYFUNCTION("""COMPUTED_VALUE"""),"RenameTabs")</f>
        <v>RenameTabs</v>
      </c>
      <c r="AQ4" s="26" t="str">
        <f>IFERROR(__xludf.DUMMYFUNCTION("""COMPUTED_VALUE"""),"AddTabRTPNL")</f>
        <v>AddTabRTPNL</v>
      </c>
      <c r="AR4" s="26" t="str">
        <f>IFERROR(__xludf.DUMMYFUNCTION("""COMPUTED_VALUE"""),"MergeWindows")</f>
        <v>MergeWindows</v>
      </c>
      <c r="AS4" s="26" t="str">
        <f>IFERROR(__xludf.DUMMYFUNCTION("""COMPUTED_VALUE"""),"Grouping")</f>
        <v>Grouping</v>
      </c>
      <c r="AT4" s="26" t="str">
        <f>IFERROR(__xludf.DUMMYFUNCTION("""COMPUTED_VALUE"""),"CreateGroupingWidget")</f>
        <v>CreateGroupingWidget</v>
      </c>
      <c r="AU4" s="26" t="str">
        <f>IFERROR(__xludf.DUMMYFUNCTION("""COMPUTED_VALUE"""),"CheckGroupingWidget")</f>
        <v>CheckGroupingWidget</v>
      </c>
      <c r="AV4" s="26" t="str">
        <f>IFERROR(__xludf.DUMMYFUNCTION("""COMPUTED_VALUE"""),"VerifyL1L2PanelRTPNL")</f>
        <v>VerifyL1L2PanelRTPNL</v>
      </c>
      <c r="AW4" s="26" t="str">
        <f>IFERROR(__xludf.DUMMYFUNCTION("""COMPUTED_VALUE"""),"VerifyGridThroughLiveExcel")</f>
        <v>VerifyGridThroughLiveExcel</v>
      </c>
      <c r="AX4" s="26" t="str">
        <f>IFERROR(__xludf.DUMMYFUNCTION("""COMPUTED_VALUE"""),"ApplyColumnFilter")</f>
        <v>ApplyColumnFilter</v>
      </c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IFERROR(__xludf.DUMMYFUNCTION("""COMPUTED_VALUE"""),"DashboardName")</f>
        <v>DashboardName</v>
      </c>
      <c r="C5" s="28" t="str">
        <f>IFERROR(__xludf.DUMMYFUNCTION("""COMPUTED_VALUE"""),"WidgetName")</f>
        <v>WidgetName</v>
      </c>
      <c r="D5" s="28" t="str">
        <f>IFERROR(__xludf.DUMMYFUNCTION("""COMPUTED_VALUE"""),"ColumnsToAdd")</f>
        <v>ColumnsToAdd</v>
      </c>
      <c r="E5" s="28" t="str">
        <f>IFERROR(__xludf.DUMMYFUNCTION("""COMPUTED_VALUE"""),"DashBoardType")</f>
        <v>DashBoardType</v>
      </c>
      <c r="F5" s="29" t="str">
        <f>IFERROR(__xludf.DUMMYFUNCTION("""COMPUTED_VALUE"""),"DashBoardLevel")</f>
        <v>DashBoardLevel</v>
      </c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 t="s">
        <v>27</v>
      </c>
      <c r="C6" s="13" t="s">
        <v>44</v>
      </c>
      <c r="D6" s="13"/>
      <c r="E6" s="32" t="s">
        <v>30</v>
      </c>
      <c r="F6" s="32" t="s">
        <v>31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AddWidget1!$4:$4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IFERROR(__xludf.DUMMYFUNCTION("IF(C3="""","""",Transpose(IMPORTRANGE('_Settings'!$B$3,C3&amp;""!A4:A1000"")))"),"CheckSummaryDashboard")</f>
        <v>CheckSummaryDashboard</v>
      </c>
      <c r="C4" s="25" t="str">
        <f>IFERROR(__xludf.DUMMYFUNCTION("""COMPUTED_VALUE"""),"CheckFundLevelAggregation")</f>
        <v>CheckFundLevelAggregation</v>
      </c>
      <c r="D4" s="25" t="str">
        <f>IFERROR(__xludf.DUMMYFUNCTION("""COMPUTED_VALUE"""),"CheckAccountLevelAggregation")</f>
        <v>CheckAccountLevelAggregation</v>
      </c>
      <c r="E4" s="25" t="str">
        <f>IFERROR(__xludf.DUMMYFUNCTION("""COMPUTED_VALUE"""),"CheckSymbolLevelAggregation")</f>
        <v>CheckSymbolLevelAggregation</v>
      </c>
      <c r="F4" s="25" t="str">
        <f>IFERROR(__xludf.DUMMYFUNCTION("""COMPUTED_VALUE"""),"CheckRealTimeSymbolFundMonitor")</f>
        <v>CheckRealTimeSymbolFundMonitor</v>
      </c>
      <c r="G4" s="25" t="str">
        <f>IFERROR(__xludf.DUMMYFUNCTION("""COMPUTED_VALUE"""),"CheckRealTimeSymAccountMonitor")</f>
        <v>CheckRealTimeSymAccountMonitor</v>
      </c>
      <c r="H4" s="25" t="str">
        <f>IFERROR(__xludf.DUMMYFUNCTION("""COMPUTED_VALUE"""),"CreateDashBoard")</f>
        <v>CreateDashBoard</v>
      </c>
      <c r="I4" s="25" t="str">
        <f>IFERROR(__xludf.DUMMYFUNCTION("""COMPUTED_VALUE"""),"UpdateDashboardName")</f>
        <v>UpdateDashboardName</v>
      </c>
      <c r="J4" s="25" t="str">
        <f>IFERROR(__xludf.DUMMYFUNCTION("""COMPUTED_VALUE"""),"AddWidget")</f>
        <v>AddWidget</v>
      </c>
      <c r="K4" s="25" t="str">
        <f>IFERROR(__xludf.DUMMYFUNCTION("""COMPUTED_VALUE"""),"CheckDashboardWidgetTitle")</f>
        <v>CheckDashboardWidgetTitle</v>
      </c>
      <c r="L4" s="25" t="str">
        <f>IFERROR(__xludf.DUMMYFUNCTION("""COMPUTED_VALUE"""),"updateWidget")</f>
        <v>updateWidget</v>
      </c>
      <c r="M4" s="25" t="str">
        <f>IFERROR(__xludf.DUMMYFUNCTION("""COMPUTED_VALUE"""),"OpenRTPNL")</f>
        <v>OpenRTPNL</v>
      </c>
      <c r="N4" s="25" t="str">
        <f>IFERROR(__xludf.DUMMYFUNCTION("""COMPUTED_VALUE"""),"LinkDashboardTabs")</f>
        <v>LinkDashboardTabs</v>
      </c>
      <c r="O4" s="25" t="str">
        <f>IFERROR(__xludf.DUMMYFUNCTION("""COMPUTED_VALUE"""),"SelectDashboardTabRow")</f>
        <v>SelectDashboardTabRow</v>
      </c>
      <c r="P4" s="26" t="str">
        <f>IFERROR(__xludf.DUMMYFUNCTION("""COMPUTED_VALUE"""),"SelectRowAtFLAggregation")</f>
        <v>SelectRowAtFLAggregation</v>
      </c>
      <c r="Q4" s="26" t="str">
        <f>IFERROR(__xludf.DUMMYFUNCTION("""COMPUTED_VALUE"""),"SelectRowAtALAggregation")</f>
        <v>SelectRowAtALAggregation</v>
      </c>
      <c r="R4" s="26" t="str">
        <f>IFERROR(__xludf.DUMMYFUNCTION("""COMPUTED_VALUE"""),"SelectRowAtSLAggregation")</f>
        <v>SelectRowAtSLAggregation</v>
      </c>
      <c r="S4" s="26" t="str">
        <f>IFERROR(__xludf.DUMMYFUNCTION("""COMPUTED_VALUE"""),"SelectRowAtRTSFundMonitor")</f>
        <v>SelectRowAtRTSFundMonitor</v>
      </c>
      <c r="T4" s="26" t="str">
        <f>IFERROR(__xludf.DUMMYFUNCTION("""COMPUTED_VALUE"""),"SelectRowAtRTSAccountMonitor")</f>
        <v>SelectRowAtRTSAccountMonitor</v>
      </c>
      <c r="U4" s="26" t="str">
        <f>IFERROR(__xludf.DUMMYFUNCTION("""COMPUTED_VALUE"""),"FilterOnPMGrid")</f>
        <v>FilterOnPMGrid</v>
      </c>
      <c r="V4" s="26" t="str">
        <f>IFERROR(__xludf.DUMMYFUNCTION("""COMPUTED_VALUE"""),"SortOnPMGrid")</f>
        <v>SortOnPMGrid</v>
      </c>
      <c r="W4" s="26" t="str">
        <f>IFERROR(__xludf.DUMMYFUNCTION("""COMPUTED_VALUE"""),"ExtractTabOutsidePMDashboard")</f>
        <v>ExtractTabOutsidePMDashboard</v>
      </c>
      <c r="X4" s="26" t="str">
        <f>IFERROR(__xludf.DUMMYFUNCTION("""COMPUTED_VALUE"""),"SortRTSFM")</f>
        <v>SortRTSFM</v>
      </c>
      <c r="Y4" s="26" t="str">
        <f>IFERROR(__xludf.DUMMYFUNCTION("""COMPUTED_VALUE"""),"SortSLA")</f>
        <v>SortSLA</v>
      </c>
      <c r="Z4" s="26" t="str">
        <f>IFERROR(__xludf.DUMMYFUNCTION("""COMPUTED_VALUE"""),"SortFLA")</f>
        <v>SortFLA</v>
      </c>
      <c r="AA4" s="26" t="str">
        <f>IFERROR(__xludf.DUMMYFUNCTION("""COMPUTED_VALUE"""),"SortALA")</f>
        <v>SortALA</v>
      </c>
      <c r="AB4" s="26" t="str">
        <f>IFERROR(__xludf.DUMMYFUNCTION("""COMPUTED_VALUE"""),"FilterSLA")</f>
        <v>FilterSLA</v>
      </c>
      <c r="AC4" s="26" t="str">
        <f>IFERROR(__xludf.DUMMYFUNCTION("""COMPUTED_VALUE"""),"FilterRTSFM")</f>
        <v>FilterRTSFM</v>
      </c>
      <c r="AD4" s="26" t="str">
        <f>IFERROR(__xludf.DUMMYFUNCTION("""COMPUTED_VALUE"""),"FilterALA")</f>
        <v>FilterALA</v>
      </c>
      <c r="AE4" s="26" t="str">
        <f>IFERROR(__xludf.DUMMYFUNCTION("""COMPUTED_VALUE"""),"FilterFLA")</f>
        <v>FilterFLA</v>
      </c>
      <c r="AF4" s="26" t="str">
        <f>IFERROR(__xludf.DUMMYFUNCTION("""COMPUTED_VALUE"""),"SortRTSAM")</f>
        <v>SortRTSAM</v>
      </c>
      <c r="AG4" s="26" t="str">
        <f>IFERROR(__xludf.DUMMYFUNCTION("""COMPUTED_VALUE"""),"FilterRTSAM")</f>
        <v>FilterRTSAM</v>
      </c>
      <c r="AH4" s="26" t="str">
        <f>IFERROR(__xludf.DUMMYFUNCTION("""COMPUTED_VALUE"""),"SortRTSAM")</f>
        <v>SortRTSAM</v>
      </c>
      <c r="AI4" s="26" t="str">
        <f>IFERROR(__xludf.DUMMYFUNCTION("""COMPUTED_VALUE"""),"IncreaseOrUnwindPositionRTPNL")</f>
        <v>IncreaseOrUnwindPositionRTPNL</v>
      </c>
      <c r="AJ4" s="26" t="str">
        <f>IFERROR(__xludf.DUMMYFUNCTION("""COMPUTED_VALUE"""),"SavePage")</f>
        <v>SavePage</v>
      </c>
      <c r="AK4" s="26" t="str">
        <f>IFERROR(__xludf.DUMMYFUNCTION("""COMPUTED_VALUE"""),"CloseRTPNL")</f>
        <v>CloseRTPNL</v>
      </c>
      <c r="AL4" s="26" t="str">
        <f>IFERROR(__xludf.DUMMYFUNCTION("""COMPUTED_VALUE"""),"VerifyColumns")</f>
        <v>VerifyColumns</v>
      </c>
      <c r="AM4" s="26" t="str">
        <f>IFERROR(__xludf.DUMMYFUNCTION("""COMPUTED_VALUE"""),"ConfigureWidget")</f>
        <v>ConfigureWidget</v>
      </c>
      <c r="AN4" s="26" t="str">
        <f>IFERROR(__xludf.DUMMYFUNCTION("""COMPUTED_VALUE"""),"ChangeWidgetView")</f>
        <v>ChangeWidgetView</v>
      </c>
      <c r="AO4" s="26" t="str">
        <f>IFERROR(__xludf.DUMMYFUNCTION("""COMPUTED_VALUE"""),"ResizeEnsure")</f>
        <v>ResizeEnsure</v>
      </c>
      <c r="AP4" s="26" t="str">
        <f>IFERROR(__xludf.DUMMYFUNCTION("""COMPUTED_VALUE"""),"RenameTabs")</f>
        <v>RenameTabs</v>
      </c>
      <c r="AQ4" s="26" t="str">
        <f>IFERROR(__xludf.DUMMYFUNCTION("""COMPUTED_VALUE"""),"AddTabRTPNL")</f>
        <v>AddTabRTPNL</v>
      </c>
      <c r="AR4" s="26" t="str">
        <f>IFERROR(__xludf.DUMMYFUNCTION("""COMPUTED_VALUE"""),"MergeWindows")</f>
        <v>MergeWindows</v>
      </c>
      <c r="AS4" s="26" t="str">
        <f>IFERROR(__xludf.DUMMYFUNCTION("""COMPUTED_VALUE"""),"Grouping")</f>
        <v>Grouping</v>
      </c>
      <c r="AT4" s="26" t="str">
        <f>IFERROR(__xludf.DUMMYFUNCTION("""COMPUTED_VALUE"""),"CreateGroupingWidget")</f>
        <v>CreateGroupingWidget</v>
      </c>
      <c r="AU4" s="26" t="str">
        <f>IFERROR(__xludf.DUMMYFUNCTION("""COMPUTED_VALUE"""),"CheckGroupingWidget")</f>
        <v>CheckGroupingWidget</v>
      </c>
      <c r="AV4" s="26" t="str">
        <f>IFERROR(__xludf.DUMMYFUNCTION("""COMPUTED_VALUE"""),"VerifyL1L2PanelRTPNL")</f>
        <v>VerifyL1L2PanelRTPNL</v>
      </c>
      <c r="AW4" s="26" t="str">
        <f>IFERROR(__xludf.DUMMYFUNCTION("""COMPUTED_VALUE"""),"VerifyGridThroughLiveExcel")</f>
        <v>VerifyGridThroughLiveExcel</v>
      </c>
      <c r="AX4" s="26" t="str">
        <f>IFERROR(__xludf.DUMMYFUNCTION("""COMPUTED_VALUE"""),"ApplyColumnFilter")</f>
        <v>ApplyColumnFilter</v>
      </c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IFERROR(__xludf.DUMMYFUNCTION("""COMPUTED_VALUE"""),"Chip 1")</f>
        <v>Chip 1</v>
      </c>
      <c r="C5" s="28" t="str">
        <f>IFERROR(__xludf.DUMMYFUNCTION("""COMPUTED_VALUE"""),"Chip 2")</f>
        <v>Chip 2</v>
      </c>
      <c r="D5" s="28" t="str">
        <f>IFERROR(__xludf.DUMMYFUNCTION("""COMPUTED_VALUE"""),"Chip 3")</f>
        <v>Chip 3</v>
      </c>
      <c r="E5" s="28" t="str">
        <f>IFERROR(__xludf.DUMMYFUNCTION("""COMPUTED_VALUE"""),"MakeColumFavourite")</f>
        <v>MakeColumFavourite</v>
      </c>
      <c r="F5" s="29" t="str">
        <f>IFERROR(__xludf.DUMMYFUNCTION("""COMPUTED_VALUE"""),"MakeColumnUnfavourite")</f>
        <v>MakeColumnUnfavourite</v>
      </c>
      <c r="G5" s="28" t="str">
        <f>IFERROR(__xludf.DUMMYFUNCTION("""COMPUTED_VALUE"""),"ColumnsToAdd")</f>
        <v>ColumnsToAdd</v>
      </c>
      <c r="H5" s="28" t="str">
        <f>IFERROR(__xludf.DUMMYFUNCTION("""COMPUTED_VALUE"""),"Verify Chip Values")</f>
        <v>Verify Chip Values</v>
      </c>
      <c r="I5" s="28" t="str">
        <f>IFERROR(__xludf.DUMMYFUNCTION("""COMPUTED_VALUE"""),"NextAction")</f>
        <v>NextAction</v>
      </c>
      <c r="J5" s="28" t="str">
        <f>IFERROR(__xludf.DUMMYFUNCTION("""COMPUTED_VALUE"""),"VerifyActionButtonVisibility")</f>
        <v>VerifyActionButtonVisibility</v>
      </c>
      <c r="K5" s="28" t="str">
        <f>IFERROR(__xludf.DUMMYFUNCTION("""COMPUTED_VALUE"""),"FlashButton")</f>
        <v>FlashButton</v>
      </c>
      <c r="L5" s="28" t="str">
        <f>IFERROR(__xludf.DUMMYFUNCTION("""COMPUTED_VALUE"""),"ColumnsToCheckForFlash")</f>
        <v>ColumnsToCheckForFlash</v>
      </c>
      <c r="M5" s="28" t="str">
        <f>IFERROR(__xludf.DUMMYFUNCTION("""COMPUTED_VALUE"""),"LinkWidgetColor")</f>
        <v>LinkWidgetColor</v>
      </c>
      <c r="N5" s="28" t="str">
        <f>IFERROR(__xludf.DUMMYFUNCTION("""COMPUTED_VALUE"""),"ColumnsToAdd2")</f>
        <v>ColumnsToAdd2</v>
      </c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44</v>
      </c>
      <c r="C6" s="8"/>
      <c r="D6" s="13"/>
      <c r="E6" s="35"/>
      <c r="F6" s="8"/>
      <c r="G6" s="8"/>
      <c r="H6" s="8"/>
      <c r="I6" s="32" t="s">
        <v>33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CreateGroupingWidget1!$4:$4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IFERROR(__xludf.DUMMYFUNCTION("IF(C3="""","""",Transpose(IMPORTRANGE('_Settings'!$B$3,C3&amp;""!A4:A1000"")))"),"CheckSummaryDashboard")</f>
        <v>CheckSummaryDashboard</v>
      </c>
      <c r="C4" s="25" t="str">
        <f>IFERROR(__xludf.DUMMYFUNCTION("""COMPUTED_VALUE"""),"CheckFundLevelAggregation")</f>
        <v>CheckFundLevelAggregation</v>
      </c>
      <c r="D4" s="25" t="str">
        <f>IFERROR(__xludf.DUMMYFUNCTION("""COMPUTED_VALUE"""),"CheckAccountLevelAggregation")</f>
        <v>CheckAccountLevelAggregation</v>
      </c>
      <c r="E4" s="25" t="str">
        <f>IFERROR(__xludf.DUMMYFUNCTION("""COMPUTED_VALUE"""),"CheckSymbolLevelAggregation")</f>
        <v>CheckSymbolLevelAggregation</v>
      </c>
      <c r="F4" s="25" t="str">
        <f>IFERROR(__xludf.DUMMYFUNCTION("""COMPUTED_VALUE"""),"CheckRealTimeSymbolFundMonitor")</f>
        <v>CheckRealTimeSymbolFundMonitor</v>
      </c>
      <c r="G4" s="25" t="str">
        <f>IFERROR(__xludf.DUMMYFUNCTION("""COMPUTED_VALUE"""),"CheckRealTimeSymAccountMonitor")</f>
        <v>CheckRealTimeSymAccountMonitor</v>
      </c>
      <c r="H4" s="25" t="str">
        <f>IFERROR(__xludf.DUMMYFUNCTION("""COMPUTED_VALUE"""),"CreateDashBoard")</f>
        <v>CreateDashBoard</v>
      </c>
      <c r="I4" s="25" t="str">
        <f>IFERROR(__xludf.DUMMYFUNCTION("""COMPUTED_VALUE"""),"UpdateDashboardName")</f>
        <v>UpdateDashboardName</v>
      </c>
      <c r="J4" s="25" t="str">
        <f>IFERROR(__xludf.DUMMYFUNCTION("""COMPUTED_VALUE"""),"AddWidget")</f>
        <v>AddWidget</v>
      </c>
      <c r="K4" s="25" t="str">
        <f>IFERROR(__xludf.DUMMYFUNCTION("""COMPUTED_VALUE"""),"CheckDashboardWidgetTitle")</f>
        <v>CheckDashboardWidgetTitle</v>
      </c>
      <c r="L4" s="25" t="str">
        <f>IFERROR(__xludf.DUMMYFUNCTION("""COMPUTED_VALUE"""),"updateWidget")</f>
        <v>updateWidget</v>
      </c>
      <c r="M4" s="25" t="str">
        <f>IFERROR(__xludf.DUMMYFUNCTION("""COMPUTED_VALUE"""),"OpenRTPNL")</f>
        <v>OpenRTPNL</v>
      </c>
      <c r="N4" s="25" t="str">
        <f>IFERROR(__xludf.DUMMYFUNCTION("""COMPUTED_VALUE"""),"LinkDashboardTabs")</f>
        <v>LinkDashboardTabs</v>
      </c>
      <c r="O4" s="25" t="str">
        <f>IFERROR(__xludf.DUMMYFUNCTION("""COMPUTED_VALUE"""),"SelectDashboardTabRow")</f>
        <v>SelectDashboardTabRow</v>
      </c>
      <c r="P4" s="26" t="str">
        <f>IFERROR(__xludf.DUMMYFUNCTION("""COMPUTED_VALUE"""),"SelectRowAtFLAggregation")</f>
        <v>SelectRowAtFLAggregation</v>
      </c>
      <c r="Q4" s="26" t="str">
        <f>IFERROR(__xludf.DUMMYFUNCTION("""COMPUTED_VALUE"""),"SelectRowAtALAggregation")</f>
        <v>SelectRowAtALAggregation</v>
      </c>
      <c r="R4" s="26" t="str">
        <f>IFERROR(__xludf.DUMMYFUNCTION("""COMPUTED_VALUE"""),"SelectRowAtSLAggregation")</f>
        <v>SelectRowAtSLAggregation</v>
      </c>
      <c r="S4" s="26" t="str">
        <f>IFERROR(__xludf.DUMMYFUNCTION("""COMPUTED_VALUE"""),"SelectRowAtRTSFundMonitor")</f>
        <v>SelectRowAtRTSFundMonitor</v>
      </c>
      <c r="T4" s="26" t="str">
        <f>IFERROR(__xludf.DUMMYFUNCTION("""COMPUTED_VALUE"""),"SelectRowAtRTSAccountMonitor")</f>
        <v>SelectRowAtRTSAccountMonitor</v>
      </c>
      <c r="U4" s="26" t="str">
        <f>IFERROR(__xludf.DUMMYFUNCTION("""COMPUTED_VALUE"""),"FilterOnPMGrid")</f>
        <v>FilterOnPMGrid</v>
      </c>
      <c r="V4" s="26" t="str">
        <f>IFERROR(__xludf.DUMMYFUNCTION("""COMPUTED_VALUE"""),"SortOnPMGrid")</f>
        <v>SortOnPMGrid</v>
      </c>
      <c r="W4" s="26" t="str">
        <f>IFERROR(__xludf.DUMMYFUNCTION("""COMPUTED_VALUE"""),"ExtractTabOutsidePMDashboard")</f>
        <v>ExtractTabOutsidePMDashboard</v>
      </c>
      <c r="X4" s="26" t="str">
        <f>IFERROR(__xludf.DUMMYFUNCTION("""COMPUTED_VALUE"""),"SortRTSFM")</f>
        <v>SortRTSFM</v>
      </c>
      <c r="Y4" s="26" t="str">
        <f>IFERROR(__xludf.DUMMYFUNCTION("""COMPUTED_VALUE"""),"SortSLA")</f>
        <v>SortSLA</v>
      </c>
      <c r="Z4" s="26" t="str">
        <f>IFERROR(__xludf.DUMMYFUNCTION("""COMPUTED_VALUE"""),"SortFLA")</f>
        <v>SortFLA</v>
      </c>
      <c r="AA4" s="26" t="str">
        <f>IFERROR(__xludf.DUMMYFUNCTION("""COMPUTED_VALUE"""),"SortALA")</f>
        <v>SortALA</v>
      </c>
      <c r="AB4" s="26" t="str">
        <f>IFERROR(__xludf.DUMMYFUNCTION("""COMPUTED_VALUE"""),"FilterSLA")</f>
        <v>FilterSLA</v>
      </c>
      <c r="AC4" s="26" t="str">
        <f>IFERROR(__xludf.DUMMYFUNCTION("""COMPUTED_VALUE"""),"FilterRTSFM")</f>
        <v>FilterRTSFM</v>
      </c>
      <c r="AD4" s="26" t="str">
        <f>IFERROR(__xludf.DUMMYFUNCTION("""COMPUTED_VALUE"""),"FilterALA")</f>
        <v>FilterALA</v>
      </c>
      <c r="AE4" s="26" t="str">
        <f>IFERROR(__xludf.DUMMYFUNCTION("""COMPUTED_VALUE"""),"FilterFLA")</f>
        <v>FilterFLA</v>
      </c>
      <c r="AF4" s="26" t="str">
        <f>IFERROR(__xludf.DUMMYFUNCTION("""COMPUTED_VALUE"""),"SortRTSAM")</f>
        <v>SortRTSAM</v>
      </c>
      <c r="AG4" s="26" t="str">
        <f>IFERROR(__xludf.DUMMYFUNCTION("""COMPUTED_VALUE"""),"FilterRTSAM")</f>
        <v>FilterRTSAM</v>
      </c>
      <c r="AH4" s="26" t="str">
        <f>IFERROR(__xludf.DUMMYFUNCTION("""COMPUTED_VALUE"""),"SortRTSAM")</f>
        <v>SortRTSAM</v>
      </c>
      <c r="AI4" s="26" t="str">
        <f>IFERROR(__xludf.DUMMYFUNCTION("""COMPUTED_VALUE"""),"IncreaseOrUnwindPositionRTPNL")</f>
        <v>IncreaseOrUnwindPositionRTPNL</v>
      </c>
      <c r="AJ4" s="26" t="str">
        <f>IFERROR(__xludf.DUMMYFUNCTION("""COMPUTED_VALUE"""),"SavePage")</f>
        <v>SavePage</v>
      </c>
      <c r="AK4" s="26" t="str">
        <f>IFERROR(__xludf.DUMMYFUNCTION("""COMPUTED_VALUE"""),"CloseRTPNL")</f>
        <v>CloseRTPNL</v>
      </c>
      <c r="AL4" s="26" t="str">
        <f>IFERROR(__xludf.DUMMYFUNCTION("""COMPUTED_VALUE"""),"VerifyColumns")</f>
        <v>VerifyColumns</v>
      </c>
      <c r="AM4" s="26" t="str">
        <f>IFERROR(__xludf.DUMMYFUNCTION("""COMPUTED_VALUE"""),"ConfigureWidget")</f>
        <v>ConfigureWidget</v>
      </c>
      <c r="AN4" s="26" t="str">
        <f>IFERROR(__xludf.DUMMYFUNCTION("""COMPUTED_VALUE"""),"ChangeWidgetView")</f>
        <v>ChangeWidgetView</v>
      </c>
      <c r="AO4" s="26" t="str">
        <f>IFERROR(__xludf.DUMMYFUNCTION("""COMPUTED_VALUE"""),"ResizeEnsure")</f>
        <v>ResizeEnsure</v>
      </c>
      <c r="AP4" s="26" t="str">
        <f>IFERROR(__xludf.DUMMYFUNCTION("""COMPUTED_VALUE"""),"RenameTabs")</f>
        <v>RenameTabs</v>
      </c>
      <c r="AQ4" s="26" t="str">
        <f>IFERROR(__xludf.DUMMYFUNCTION("""COMPUTED_VALUE"""),"AddTabRTPNL")</f>
        <v>AddTabRTPNL</v>
      </c>
      <c r="AR4" s="26" t="str">
        <f>IFERROR(__xludf.DUMMYFUNCTION("""COMPUTED_VALUE"""),"MergeWindows")</f>
        <v>MergeWindows</v>
      </c>
      <c r="AS4" s="26" t="str">
        <f>IFERROR(__xludf.DUMMYFUNCTION("""COMPUTED_VALUE"""),"Grouping")</f>
        <v>Grouping</v>
      </c>
      <c r="AT4" s="26" t="str">
        <f>IFERROR(__xludf.DUMMYFUNCTION("""COMPUTED_VALUE"""),"CreateGroupingWidget")</f>
        <v>CreateGroupingWidget</v>
      </c>
      <c r="AU4" s="26" t="str">
        <f>IFERROR(__xludf.DUMMYFUNCTION("""COMPUTED_VALUE"""),"CheckGroupingWidget")</f>
        <v>CheckGroupingWidget</v>
      </c>
      <c r="AV4" s="26" t="str">
        <f>IFERROR(__xludf.DUMMYFUNCTION("""COMPUTED_VALUE"""),"VerifyL1L2PanelRTPNL")</f>
        <v>VerifyL1L2PanelRTPNL</v>
      </c>
      <c r="AW4" s="26" t="str">
        <f>IFERROR(__xludf.DUMMYFUNCTION("""COMPUTED_VALUE"""),"VerifyGridThroughLiveExcel")</f>
        <v>VerifyGridThroughLiveExcel</v>
      </c>
      <c r="AX4" s="26" t="str">
        <f>IFERROR(__xludf.DUMMYFUNCTION("""COMPUTED_VALUE"""),"ApplyColumnFilter")</f>
        <v>ApplyColumnFilter</v>
      </c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IFERROR(__xludf.DUMMYFUNCTION("""COMPUTED_VALUE"""),"Security Name")</f>
        <v>Security Name</v>
      </c>
      <c r="D5" s="28" t="str">
        <f>IFERROR(__xludf.DUMMYFUNCTION("""COMPUTED_VALUE"""),"Bloomberg Symbol")</f>
        <v>Bloomberg Symbol</v>
      </c>
      <c r="E5" s="28" t="str">
        <f>IFERROR(__xludf.DUMMYFUNCTION("""COMPUTED_VALUE"""),"Fund")</f>
        <v>Fund</v>
      </c>
      <c r="F5" s="29" t="str">
        <f>IFERROR(__xludf.DUMMYFUNCTION("""COMPUTED_VALUE"""),"Account")</f>
        <v>Account</v>
      </c>
      <c r="G5" s="28" t="str">
        <f>IFERROR(__xludf.DUMMYFUNCTION("""COMPUTED_VALUE"""),"Asset Class")</f>
        <v>Asset Class</v>
      </c>
      <c r="H5" s="28" t="str">
        <f>IFERROR(__xludf.DUMMYFUNCTION("""COMPUTED_VALUE"""),"Position")</f>
        <v>Position</v>
      </c>
      <c r="I5" s="28" t="str">
        <f>IFERROR(__xludf.DUMMYFUNCTION("""COMPUTED_VALUE"""),"Position Side")</f>
        <v>Position Side</v>
      </c>
      <c r="J5" s="28" t="str">
        <f>IFERROR(__xludf.DUMMYFUNCTION("""COMPUTED_VALUE"""),"Px Selected Feed (Local)")</f>
        <v>Px Selected Feed (Local)</v>
      </c>
      <c r="K5" s="28" t="str">
        <f>IFERROR(__xludf.DUMMYFUNCTION("""COMPUTED_VALUE"""),"Px Selected Feed (Base)")</f>
        <v>Px Selected Feed (Base)</v>
      </c>
      <c r="L5" s="28" t="str">
        <f>IFERROR(__xludf.DUMMYFUNCTION("""COMPUTED_VALUE"""),"Market Value (Base)")</f>
        <v>Market Value (Base)</v>
      </c>
      <c r="M5" s="28" t="str">
        <f>IFERROR(__xludf.DUMMYFUNCTION("""COMPUTED_VALUE"""),"% Net Market Value (Base)")</f>
        <v>% Net Market Value (Base)</v>
      </c>
      <c r="N5" s="28" t="str">
        <f>IFERROR(__xludf.DUMMYFUNCTION("""COMPUTED_VALUE"""),"Cost Basis P&amp;L (Base)")</f>
        <v>Cost Basis P&amp;L (Base)</v>
      </c>
      <c r="O5" s="28" t="str">
        <f>IFERROR(__xludf.DUMMYFUNCTION("""COMPUTED_VALUE"""),"% Gain/Loss Cost")</f>
        <v>% Gain/Loss Cost</v>
      </c>
      <c r="P5" s="28" t="str">
        <f>IFERROR(__xludf.DUMMYFUNCTION("""COMPUTED_VALUE"""),"Day P&amp;L (Base)")</f>
        <v>Day P&amp;L (Base)</v>
      </c>
      <c r="Q5" s="28" t="str">
        <f>IFERROR(__xludf.DUMMYFUNCTION("""COMPUTED_VALUE"""),"% Gain/Loss Day")</f>
        <v>% Gain/Loss Day</v>
      </c>
      <c r="R5" s="28" t="str">
        <f>IFERROR(__xludf.DUMMYFUNCTION("""COMPUTED_VALUE"""),"TabName")</f>
        <v>TabName</v>
      </c>
      <c r="S5" s="28" t="str">
        <f>IFERROR(__xludf.DUMMYFUNCTION("""COMPUTED_VALUE"""),"GridDataWidgetName")</f>
        <v>GridDataWidgetName</v>
      </c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35</v>
      </c>
      <c r="D6" s="13" t="s">
        <v>36</v>
      </c>
      <c r="E6" s="13" t="s">
        <v>37</v>
      </c>
      <c r="F6" s="13" t="s">
        <v>45</v>
      </c>
      <c r="G6" s="13" t="s">
        <v>38</v>
      </c>
      <c r="H6" s="13">
        <v>100.0</v>
      </c>
      <c r="I6" s="13" t="s">
        <v>39</v>
      </c>
      <c r="J6" s="8"/>
      <c r="K6" s="8"/>
      <c r="L6" s="8"/>
      <c r="M6" s="8"/>
      <c r="N6" s="8"/>
      <c r="O6" s="8"/>
      <c r="R6" s="9" t="s">
        <v>27</v>
      </c>
    </row>
    <row r="7" ht="15.75" customHeight="1">
      <c r="A7" s="8"/>
      <c r="B7" s="13" t="s">
        <v>16</v>
      </c>
      <c r="C7" s="13" t="s">
        <v>35</v>
      </c>
      <c r="D7" s="13" t="s">
        <v>36</v>
      </c>
      <c r="E7" s="13"/>
      <c r="F7" s="13" t="s">
        <v>22</v>
      </c>
      <c r="G7" s="13" t="s">
        <v>38</v>
      </c>
      <c r="H7" s="13">
        <v>100.0</v>
      </c>
      <c r="I7" s="13" t="s">
        <v>39</v>
      </c>
      <c r="J7" s="8"/>
      <c r="K7" s="8"/>
      <c r="L7" s="8"/>
      <c r="M7" s="8"/>
      <c r="N7" s="8"/>
      <c r="O7" s="8"/>
    </row>
    <row r="8" ht="15.75" customHeight="1">
      <c r="A8" s="8"/>
      <c r="B8" s="13" t="s">
        <v>16</v>
      </c>
      <c r="C8" s="13" t="s">
        <v>35</v>
      </c>
      <c r="D8" s="13" t="s">
        <v>36</v>
      </c>
      <c r="E8" s="13"/>
      <c r="F8" s="13"/>
      <c r="G8" s="13" t="s">
        <v>38</v>
      </c>
      <c r="H8" s="13">
        <v>100.0</v>
      </c>
      <c r="I8" s="13" t="s">
        <v>39</v>
      </c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CheckGroupingWidget1!$4:$4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IFERROR(__xludf.DUMMYFUNCTION("IF(C3="""","""",Transpose(IMPORTRANGE('_Settings'!$B$3,C3&amp;""!A4:A1000"")))"),"CheckSummaryDashboard")</f>
        <v>CheckSummaryDashboard</v>
      </c>
      <c r="C4" s="25" t="str">
        <f>IFERROR(__xludf.DUMMYFUNCTION("""COMPUTED_VALUE"""),"CheckFundLevelAggregation")</f>
        <v>CheckFundLevelAggregation</v>
      </c>
      <c r="D4" s="25" t="str">
        <f>IFERROR(__xludf.DUMMYFUNCTION("""COMPUTED_VALUE"""),"CheckAccountLevelAggregation")</f>
        <v>CheckAccountLevelAggregation</v>
      </c>
      <c r="E4" s="25" t="str">
        <f>IFERROR(__xludf.DUMMYFUNCTION("""COMPUTED_VALUE"""),"CheckSymbolLevelAggregation")</f>
        <v>CheckSymbolLevelAggregation</v>
      </c>
      <c r="F4" s="25" t="str">
        <f>IFERROR(__xludf.DUMMYFUNCTION("""COMPUTED_VALUE"""),"CheckRealTimeSymbolFundMonitor")</f>
        <v>CheckRealTimeSymbolFundMonitor</v>
      </c>
      <c r="G4" s="25" t="str">
        <f>IFERROR(__xludf.DUMMYFUNCTION("""COMPUTED_VALUE"""),"CheckRealTimeSymAccountMonitor")</f>
        <v>CheckRealTimeSymAccountMonitor</v>
      </c>
      <c r="H4" s="25" t="str">
        <f>IFERROR(__xludf.DUMMYFUNCTION("""COMPUTED_VALUE"""),"CreateDashBoard")</f>
        <v>CreateDashBoard</v>
      </c>
      <c r="I4" s="25" t="str">
        <f>IFERROR(__xludf.DUMMYFUNCTION("""COMPUTED_VALUE"""),"UpdateDashboardName")</f>
        <v>UpdateDashboardName</v>
      </c>
      <c r="J4" s="25" t="str">
        <f>IFERROR(__xludf.DUMMYFUNCTION("""COMPUTED_VALUE"""),"AddWidget")</f>
        <v>AddWidget</v>
      </c>
      <c r="K4" s="25" t="str">
        <f>IFERROR(__xludf.DUMMYFUNCTION("""COMPUTED_VALUE"""),"CheckDashboardWidgetTitle")</f>
        <v>CheckDashboardWidgetTitle</v>
      </c>
      <c r="L4" s="25" t="str">
        <f>IFERROR(__xludf.DUMMYFUNCTION("""COMPUTED_VALUE"""),"updateWidget")</f>
        <v>updateWidget</v>
      </c>
      <c r="M4" s="25" t="str">
        <f>IFERROR(__xludf.DUMMYFUNCTION("""COMPUTED_VALUE"""),"OpenRTPNL")</f>
        <v>OpenRTPNL</v>
      </c>
      <c r="N4" s="25" t="str">
        <f>IFERROR(__xludf.DUMMYFUNCTION("""COMPUTED_VALUE"""),"LinkDashboardTabs")</f>
        <v>LinkDashboardTabs</v>
      </c>
      <c r="O4" s="25" t="str">
        <f>IFERROR(__xludf.DUMMYFUNCTION("""COMPUTED_VALUE"""),"SelectDashboardTabRow")</f>
        <v>SelectDashboardTabRow</v>
      </c>
      <c r="P4" s="26" t="str">
        <f>IFERROR(__xludf.DUMMYFUNCTION("""COMPUTED_VALUE"""),"SelectRowAtFLAggregation")</f>
        <v>SelectRowAtFLAggregation</v>
      </c>
      <c r="Q4" s="26" t="str">
        <f>IFERROR(__xludf.DUMMYFUNCTION("""COMPUTED_VALUE"""),"SelectRowAtALAggregation")</f>
        <v>SelectRowAtALAggregation</v>
      </c>
      <c r="R4" s="26" t="str">
        <f>IFERROR(__xludf.DUMMYFUNCTION("""COMPUTED_VALUE"""),"SelectRowAtSLAggregation")</f>
        <v>SelectRowAtSLAggregation</v>
      </c>
      <c r="S4" s="26" t="str">
        <f>IFERROR(__xludf.DUMMYFUNCTION("""COMPUTED_VALUE"""),"SelectRowAtRTSFundMonitor")</f>
        <v>SelectRowAtRTSFundMonitor</v>
      </c>
      <c r="T4" s="26" t="str">
        <f>IFERROR(__xludf.DUMMYFUNCTION("""COMPUTED_VALUE"""),"SelectRowAtRTSAccountMonitor")</f>
        <v>SelectRowAtRTSAccountMonitor</v>
      </c>
      <c r="U4" s="26" t="str">
        <f>IFERROR(__xludf.DUMMYFUNCTION("""COMPUTED_VALUE"""),"FilterOnPMGrid")</f>
        <v>FilterOnPMGrid</v>
      </c>
      <c r="V4" s="26" t="str">
        <f>IFERROR(__xludf.DUMMYFUNCTION("""COMPUTED_VALUE"""),"SortOnPMGrid")</f>
        <v>SortOnPMGrid</v>
      </c>
      <c r="W4" s="26" t="str">
        <f>IFERROR(__xludf.DUMMYFUNCTION("""COMPUTED_VALUE"""),"ExtractTabOutsidePMDashboard")</f>
        <v>ExtractTabOutsidePMDashboard</v>
      </c>
      <c r="X4" s="26" t="str">
        <f>IFERROR(__xludf.DUMMYFUNCTION("""COMPUTED_VALUE"""),"SortRTSFM")</f>
        <v>SortRTSFM</v>
      </c>
      <c r="Y4" s="26" t="str">
        <f>IFERROR(__xludf.DUMMYFUNCTION("""COMPUTED_VALUE"""),"SortSLA")</f>
        <v>SortSLA</v>
      </c>
      <c r="Z4" s="26" t="str">
        <f>IFERROR(__xludf.DUMMYFUNCTION("""COMPUTED_VALUE"""),"SortFLA")</f>
        <v>SortFLA</v>
      </c>
      <c r="AA4" s="26" t="str">
        <f>IFERROR(__xludf.DUMMYFUNCTION("""COMPUTED_VALUE"""),"SortALA")</f>
        <v>SortALA</v>
      </c>
      <c r="AB4" s="26" t="str">
        <f>IFERROR(__xludf.DUMMYFUNCTION("""COMPUTED_VALUE"""),"FilterSLA")</f>
        <v>FilterSLA</v>
      </c>
      <c r="AC4" s="26" t="str">
        <f>IFERROR(__xludf.DUMMYFUNCTION("""COMPUTED_VALUE"""),"FilterRTSFM")</f>
        <v>FilterRTSFM</v>
      </c>
      <c r="AD4" s="26" t="str">
        <f>IFERROR(__xludf.DUMMYFUNCTION("""COMPUTED_VALUE"""),"FilterALA")</f>
        <v>FilterALA</v>
      </c>
      <c r="AE4" s="26" t="str">
        <f>IFERROR(__xludf.DUMMYFUNCTION("""COMPUTED_VALUE"""),"FilterFLA")</f>
        <v>FilterFLA</v>
      </c>
      <c r="AF4" s="26" t="str">
        <f>IFERROR(__xludf.DUMMYFUNCTION("""COMPUTED_VALUE"""),"SortRTSAM")</f>
        <v>SortRTSAM</v>
      </c>
      <c r="AG4" s="26" t="str">
        <f>IFERROR(__xludf.DUMMYFUNCTION("""COMPUTED_VALUE"""),"FilterRTSAM")</f>
        <v>FilterRTSAM</v>
      </c>
      <c r="AH4" s="26" t="str">
        <f>IFERROR(__xludf.DUMMYFUNCTION("""COMPUTED_VALUE"""),"SortRTSAM")</f>
        <v>SortRTSAM</v>
      </c>
      <c r="AI4" s="26" t="str">
        <f>IFERROR(__xludf.DUMMYFUNCTION("""COMPUTED_VALUE"""),"IncreaseOrUnwindPositionRTPNL")</f>
        <v>IncreaseOrUnwindPositionRTPNL</v>
      </c>
      <c r="AJ4" s="26" t="str">
        <f>IFERROR(__xludf.DUMMYFUNCTION("""COMPUTED_VALUE"""),"SavePage")</f>
        <v>SavePage</v>
      </c>
      <c r="AK4" s="26" t="str">
        <f>IFERROR(__xludf.DUMMYFUNCTION("""COMPUTED_VALUE"""),"CloseRTPNL")</f>
        <v>CloseRTPNL</v>
      </c>
      <c r="AL4" s="26" t="str">
        <f>IFERROR(__xludf.DUMMYFUNCTION("""COMPUTED_VALUE"""),"VerifyColumns")</f>
        <v>VerifyColumns</v>
      </c>
      <c r="AM4" s="26" t="str">
        <f>IFERROR(__xludf.DUMMYFUNCTION("""COMPUTED_VALUE"""),"ConfigureWidget")</f>
        <v>ConfigureWidget</v>
      </c>
      <c r="AN4" s="26" t="str">
        <f>IFERROR(__xludf.DUMMYFUNCTION("""COMPUTED_VALUE"""),"ChangeWidgetView")</f>
        <v>ChangeWidgetView</v>
      </c>
      <c r="AO4" s="26" t="str">
        <f>IFERROR(__xludf.DUMMYFUNCTION("""COMPUTED_VALUE"""),"ResizeEnsure")</f>
        <v>ResizeEnsure</v>
      </c>
      <c r="AP4" s="26" t="str">
        <f>IFERROR(__xludf.DUMMYFUNCTION("""COMPUTED_VALUE"""),"RenameTabs")</f>
        <v>RenameTabs</v>
      </c>
      <c r="AQ4" s="26" t="str">
        <f>IFERROR(__xludf.DUMMYFUNCTION("""COMPUTED_VALUE"""),"AddTabRTPNL")</f>
        <v>AddTabRTPNL</v>
      </c>
      <c r="AR4" s="26" t="str">
        <f>IFERROR(__xludf.DUMMYFUNCTION("""COMPUTED_VALUE"""),"MergeWindows")</f>
        <v>MergeWindows</v>
      </c>
      <c r="AS4" s="26" t="str">
        <f>IFERROR(__xludf.DUMMYFUNCTION("""COMPUTED_VALUE"""),"Grouping")</f>
        <v>Grouping</v>
      </c>
      <c r="AT4" s="26" t="str">
        <f>IFERROR(__xludf.DUMMYFUNCTION("""COMPUTED_VALUE"""),"CreateGroupingWidget")</f>
        <v>CreateGroupingWidget</v>
      </c>
      <c r="AU4" s="26" t="str">
        <f>IFERROR(__xludf.DUMMYFUNCTION("""COMPUTED_VALUE"""),"CheckGroupingWidget")</f>
        <v>CheckGroupingWidget</v>
      </c>
      <c r="AV4" s="26" t="str">
        <f>IFERROR(__xludf.DUMMYFUNCTION("""COMPUTED_VALUE"""),"VerifyL1L2PanelRTPNL")</f>
        <v>VerifyL1L2PanelRTPNL</v>
      </c>
      <c r="AW4" s="26" t="str">
        <f>IFERROR(__xludf.DUMMYFUNCTION("""COMPUTED_VALUE"""),"VerifyGridThroughLiveExcel")</f>
        <v>VerifyGridThroughLiveExcel</v>
      </c>
      <c r="AX4" s="26" t="str">
        <f>IFERROR(__xludf.DUMMYFUNCTION("""COMPUTED_VALUE"""),"ApplyColumnFilter")</f>
        <v>ApplyColumnFilter</v>
      </c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IFERROR(__xludf.DUMMYFUNCTION("""COMPUTED_VALUE"""),"DashboardName")</f>
        <v>DashboardName</v>
      </c>
      <c r="C5" s="28" t="str">
        <f>IFERROR(__xludf.DUMMYFUNCTION("""COMPUTED_VALUE"""),"WidgetName")</f>
        <v>WidgetName</v>
      </c>
      <c r="D5" s="28" t="str">
        <f>IFERROR(__xludf.DUMMYFUNCTION("""COMPUTED_VALUE"""),"ColumnsToAdd")</f>
        <v>ColumnsToAdd</v>
      </c>
      <c r="E5" s="28" t="str">
        <f>IFERROR(__xludf.DUMMYFUNCTION("""COMPUTED_VALUE"""),"DashBoardType")</f>
        <v>DashBoardType</v>
      </c>
      <c r="F5" s="29" t="str">
        <f>IFERROR(__xludf.DUMMYFUNCTION("""COMPUTED_VALUE"""),"DashBoardLevel")</f>
        <v>DashBoardLevel</v>
      </c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 t="s">
        <v>27</v>
      </c>
      <c r="C6" s="13" t="s">
        <v>31</v>
      </c>
      <c r="D6" s="13"/>
      <c r="E6" s="32" t="s">
        <v>30</v>
      </c>
      <c r="F6" s="32" t="s">
        <v>31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AddWidget2!$4:$4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IFERROR(__xludf.DUMMYFUNCTION("IF(C3="""","""",Transpose(IMPORTRANGE('_Settings'!$B$3,C3&amp;""!A4:A1000"")))"),"CheckSummaryDashboard")</f>
        <v>CheckSummaryDashboard</v>
      </c>
      <c r="C4" s="25" t="str">
        <f>IFERROR(__xludf.DUMMYFUNCTION("""COMPUTED_VALUE"""),"CheckFundLevelAggregation")</f>
        <v>CheckFundLevelAggregation</v>
      </c>
      <c r="D4" s="25" t="str">
        <f>IFERROR(__xludf.DUMMYFUNCTION("""COMPUTED_VALUE"""),"CheckAccountLevelAggregation")</f>
        <v>CheckAccountLevelAggregation</v>
      </c>
      <c r="E4" s="25" t="str">
        <f>IFERROR(__xludf.DUMMYFUNCTION("""COMPUTED_VALUE"""),"CheckSymbolLevelAggregation")</f>
        <v>CheckSymbolLevelAggregation</v>
      </c>
      <c r="F4" s="25" t="str">
        <f>IFERROR(__xludf.DUMMYFUNCTION("""COMPUTED_VALUE"""),"CheckRealTimeSymbolFundMonitor")</f>
        <v>CheckRealTimeSymbolFundMonitor</v>
      </c>
      <c r="G4" s="25" t="str">
        <f>IFERROR(__xludf.DUMMYFUNCTION("""COMPUTED_VALUE"""),"CheckRealTimeSymAccountMonitor")</f>
        <v>CheckRealTimeSymAccountMonitor</v>
      </c>
      <c r="H4" s="25" t="str">
        <f>IFERROR(__xludf.DUMMYFUNCTION("""COMPUTED_VALUE"""),"CreateDashBoard")</f>
        <v>CreateDashBoard</v>
      </c>
      <c r="I4" s="25" t="str">
        <f>IFERROR(__xludf.DUMMYFUNCTION("""COMPUTED_VALUE"""),"UpdateDashboardName")</f>
        <v>UpdateDashboardName</v>
      </c>
      <c r="J4" s="25" t="str">
        <f>IFERROR(__xludf.DUMMYFUNCTION("""COMPUTED_VALUE"""),"AddWidget")</f>
        <v>AddWidget</v>
      </c>
      <c r="K4" s="25" t="str">
        <f>IFERROR(__xludf.DUMMYFUNCTION("""COMPUTED_VALUE"""),"CheckDashboardWidgetTitle")</f>
        <v>CheckDashboardWidgetTitle</v>
      </c>
      <c r="L4" s="25" t="str">
        <f>IFERROR(__xludf.DUMMYFUNCTION("""COMPUTED_VALUE"""),"updateWidget")</f>
        <v>updateWidget</v>
      </c>
      <c r="M4" s="25" t="str">
        <f>IFERROR(__xludf.DUMMYFUNCTION("""COMPUTED_VALUE"""),"OpenRTPNL")</f>
        <v>OpenRTPNL</v>
      </c>
      <c r="N4" s="25" t="str">
        <f>IFERROR(__xludf.DUMMYFUNCTION("""COMPUTED_VALUE"""),"LinkDashboardTabs")</f>
        <v>LinkDashboardTabs</v>
      </c>
      <c r="O4" s="25" t="str">
        <f>IFERROR(__xludf.DUMMYFUNCTION("""COMPUTED_VALUE"""),"SelectDashboardTabRow")</f>
        <v>SelectDashboardTabRow</v>
      </c>
      <c r="P4" s="26" t="str">
        <f>IFERROR(__xludf.DUMMYFUNCTION("""COMPUTED_VALUE"""),"SelectRowAtFLAggregation")</f>
        <v>SelectRowAtFLAggregation</v>
      </c>
      <c r="Q4" s="26" t="str">
        <f>IFERROR(__xludf.DUMMYFUNCTION("""COMPUTED_VALUE"""),"SelectRowAtALAggregation")</f>
        <v>SelectRowAtALAggregation</v>
      </c>
      <c r="R4" s="26" t="str">
        <f>IFERROR(__xludf.DUMMYFUNCTION("""COMPUTED_VALUE"""),"SelectRowAtSLAggregation")</f>
        <v>SelectRowAtSLAggregation</v>
      </c>
      <c r="S4" s="26" t="str">
        <f>IFERROR(__xludf.DUMMYFUNCTION("""COMPUTED_VALUE"""),"SelectRowAtRTSFundMonitor")</f>
        <v>SelectRowAtRTSFundMonitor</v>
      </c>
      <c r="T4" s="26" t="str">
        <f>IFERROR(__xludf.DUMMYFUNCTION("""COMPUTED_VALUE"""),"SelectRowAtRTSAccountMonitor")</f>
        <v>SelectRowAtRTSAccountMonitor</v>
      </c>
      <c r="U4" s="26" t="str">
        <f>IFERROR(__xludf.DUMMYFUNCTION("""COMPUTED_VALUE"""),"FilterOnPMGrid")</f>
        <v>FilterOnPMGrid</v>
      </c>
      <c r="V4" s="26" t="str">
        <f>IFERROR(__xludf.DUMMYFUNCTION("""COMPUTED_VALUE"""),"SortOnPMGrid")</f>
        <v>SortOnPMGrid</v>
      </c>
      <c r="W4" s="26" t="str">
        <f>IFERROR(__xludf.DUMMYFUNCTION("""COMPUTED_VALUE"""),"ExtractTabOutsidePMDashboard")</f>
        <v>ExtractTabOutsidePMDashboard</v>
      </c>
      <c r="X4" s="26" t="str">
        <f>IFERROR(__xludf.DUMMYFUNCTION("""COMPUTED_VALUE"""),"SortRTSFM")</f>
        <v>SortRTSFM</v>
      </c>
      <c r="Y4" s="26" t="str">
        <f>IFERROR(__xludf.DUMMYFUNCTION("""COMPUTED_VALUE"""),"SortSLA")</f>
        <v>SortSLA</v>
      </c>
      <c r="Z4" s="26" t="str">
        <f>IFERROR(__xludf.DUMMYFUNCTION("""COMPUTED_VALUE"""),"SortFLA")</f>
        <v>SortFLA</v>
      </c>
      <c r="AA4" s="26" t="str">
        <f>IFERROR(__xludf.DUMMYFUNCTION("""COMPUTED_VALUE"""),"SortALA")</f>
        <v>SortALA</v>
      </c>
      <c r="AB4" s="26" t="str">
        <f>IFERROR(__xludf.DUMMYFUNCTION("""COMPUTED_VALUE"""),"FilterSLA")</f>
        <v>FilterSLA</v>
      </c>
      <c r="AC4" s="26" t="str">
        <f>IFERROR(__xludf.DUMMYFUNCTION("""COMPUTED_VALUE"""),"FilterRTSFM")</f>
        <v>FilterRTSFM</v>
      </c>
      <c r="AD4" s="26" t="str">
        <f>IFERROR(__xludf.DUMMYFUNCTION("""COMPUTED_VALUE"""),"FilterALA")</f>
        <v>FilterALA</v>
      </c>
      <c r="AE4" s="26" t="str">
        <f>IFERROR(__xludf.DUMMYFUNCTION("""COMPUTED_VALUE"""),"FilterFLA")</f>
        <v>FilterFLA</v>
      </c>
      <c r="AF4" s="26" t="str">
        <f>IFERROR(__xludf.DUMMYFUNCTION("""COMPUTED_VALUE"""),"SortRTSAM")</f>
        <v>SortRTSAM</v>
      </c>
      <c r="AG4" s="26" t="str">
        <f>IFERROR(__xludf.DUMMYFUNCTION("""COMPUTED_VALUE"""),"FilterRTSAM")</f>
        <v>FilterRTSAM</v>
      </c>
      <c r="AH4" s="26" t="str">
        <f>IFERROR(__xludf.DUMMYFUNCTION("""COMPUTED_VALUE"""),"SortRTSAM")</f>
        <v>SortRTSAM</v>
      </c>
      <c r="AI4" s="26" t="str">
        <f>IFERROR(__xludf.DUMMYFUNCTION("""COMPUTED_VALUE"""),"IncreaseOrUnwindPositionRTPNL")</f>
        <v>IncreaseOrUnwindPositionRTPNL</v>
      </c>
      <c r="AJ4" s="26" t="str">
        <f>IFERROR(__xludf.DUMMYFUNCTION("""COMPUTED_VALUE"""),"SavePage")</f>
        <v>SavePage</v>
      </c>
      <c r="AK4" s="26" t="str">
        <f>IFERROR(__xludf.DUMMYFUNCTION("""COMPUTED_VALUE"""),"CloseRTPNL")</f>
        <v>CloseRTPNL</v>
      </c>
      <c r="AL4" s="26" t="str">
        <f>IFERROR(__xludf.DUMMYFUNCTION("""COMPUTED_VALUE"""),"VerifyColumns")</f>
        <v>VerifyColumns</v>
      </c>
      <c r="AM4" s="26" t="str">
        <f>IFERROR(__xludf.DUMMYFUNCTION("""COMPUTED_VALUE"""),"ConfigureWidget")</f>
        <v>ConfigureWidget</v>
      </c>
      <c r="AN4" s="26" t="str">
        <f>IFERROR(__xludf.DUMMYFUNCTION("""COMPUTED_VALUE"""),"ChangeWidgetView")</f>
        <v>ChangeWidgetView</v>
      </c>
      <c r="AO4" s="26" t="str">
        <f>IFERROR(__xludf.DUMMYFUNCTION("""COMPUTED_VALUE"""),"ResizeEnsure")</f>
        <v>ResizeEnsure</v>
      </c>
      <c r="AP4" s="26" t="str">
        <f>IFERROR(__xludf.DUMMYFUNCTION("""COMPUTED_VALUE"""),"RenameTabs")</f>
        <v>RenameTabs</v>
      </c>
      <c r="AQ4" s="26" t="str">
        <f>IFERROR(__xludf.DUMMYFUNCTION("""COMPUTED_VALUE"""),"AddTabRTPNL")</f>
        <v>AddTabRTPNL</v>
      </c>
      <c r="AR4" s="26" t="str">
        <f>IFERROR(__xludf.DUMMYFUNCTION("""COMPUTED_VALUE"""),"MergeWindows")</f>
        <v>MergeWindows</v>
      </c>
      <c r="AS4" s="26" t="str">
        <f>IFERROR(__xludf.DUMMYFUNCTION("""COMPUTED_VALUE"""),"Grouping")</f>
        <v>Grouping</v>
      </c>
      <c r="AT4" s="26" t="str">
        <f>IFERROR(__xludf.DUMMYFUNCTION("""COMPUTED_VALUE"""),"CreateGroupingWidget")</f>
        <v>CreateGroupingWidget</v>
      </c>
      <c r="AU4" s="26" t="str">
        <f>IFERROR(__xludf.DUMMYFUNCTION("""COMPUTED_VALUE"""),"CheckGroupingWidget")</f>
        <v>CheckGroupingWidget</v>
      </c>
      <c r="AV4" s="26" t="str">
        <f>IFERROR(__xludf.DUMMYFUNCTION("""COMPUTED_VALUE"""),"VerifyL1L2PanelRTPNL")</f>
        <v>VerifyL1L2PanelRTPNL</v>
      </c>
      <c r="AW4" s="26" t="str">
        <f>IFERROR(__xludf.DUMMYFUNCTION("""COMPUTED_VALUE"""),"VerifyGridThroughLiveExcel")</f>
        <v>VerifyGridThroughLiveExcel</v>
      </c>
      <c r="AX4" s="26" t="str">
        <f>IFERROR(__xludf.DUMMYFUNCTION("""COMPUTED_VALUE"""),"ApplyColumnFilter")</f>
        <v>ApplyColumnFilter</v>
      </c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IFERROR(__xludf.DUMMYFUNCTION("""COMPUTED_VALUE"""),"Chip 1")</f>
        <v>Chip 1</v>
      </c>
      <c r="C5" s="28" t="str">
        <f>IFERROR(__xludf.DUMMYFUNCTION("""COMPUTED_VALUE"""),"Chip 2")</f>
        <v>Chip 2</v>
      </c>
      <c r="D5" s="28" t="str">
        <f>IFERROR(__xludf.DUMMYFUNCTION("""COMPUTED_VALUE"""),"Chip 3")</f>
        <v>Chip 3</v>
      </c>
      <c r="E5" s="28" t="str">
        <f>IFERROR(__xludf.DUMMYFUNCTION("""COMPUTED_VALUE"""),"MakeColumFavourite")</f>
        <v>MakeColumFavourite</v>
      </c>
      <c r="F5" s="29" t="str">
        <f>IFERROR(__xludf.DUMMYFUNCTION("""COMPUTED_VALUE"""),"MakeColumnUnfavourite")</f>
        <v>MakeColumnUnfavourite</v>
      </c>
      <c r="G5" s="28" t="str">
        <f>IFERROR(__xludf.DUMMYFUNCTION("""COMPUTED_VALUE"""),"ColumnsToAdd")</f>
        <v>ColumnsToAdd</v>
      </c>
      <c r="H5" s="28" t="str">
        <f>IFERROR(__xludf.DUMMYFUNCTION("""COMPUTED_VALUE"""),"Verify Chip Values")</f>
        <v>Verify Chip Values</v>
      </c>
      <c r="I5" s="28" t="str">
        <f>IFERROR(__xludf.DUMMYFUNCTION("""COMPUTED_VALUE"""),"NextAction")</f>
        <v>NextAction</v>
      </c>
      <c r="J5" s="28" t="str">
        <f>IFERROR(__xludf.DUMMYFUNCTION("""COMPUTED_VALUE"""),"VerifyActionButtonVisibility")</f>
        <v>VerifyActionButtonVisibility</v>
      </c>
      <c r="K5" s="28" t="str">
        <f>IFERROR(__xludf.DUMMYFUNCTION("""COMPUTED_VALUE"""),"FlashButton")</f>
        <v>FlashButton</v>
      </c>
      <c r="L5" s="28" t="str">
        <f>IFERROR(__xludf.DUMMYFUNCTION("""COMPUTED_VALUE"""),"ColumnsToCheckForFlash")</f>
        <v>ColumnsToCheckForFlash</v>
      </c>
      <c r="M5" s="28" t="str">
        <f>IFERROR(__xludf.DUMMYFUNCTION("""COMPUTED_VALUE"""),"LinkWidgetColor")</f>
        <v>LinkWidgetColor</v>
      </c>
      <c r="N5" s="28" t="str">
        <f>IFERROR(__xludf.DUMMYFUNCTION("""COMPUTED_VALUE"""),"ColumnsToAdd2")</f>
        <v>ColumnsToAdd2</v>
      </c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31</v>
      </c>
      <c r="C6" s="8"/>
      <c r="D6" s="13"/>
      <c r="E6" s="35"/>
      <c r="F6" s="8"/>
      <c r="G6" s="8"/>
      <c r="H6" s="8"/>
      <c r="I6" s="9" t="s">
        <v>33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CreateGroupingWidget2!$4:$4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IFERROR(__xludf.DUMMYFUNCTION("IF(C3="""","""",Transpose(IMPORTRANGE('_Settings'!$B$3,C3&amp;""!A4:A1000"")))"),"CheckSummaryDashboard")</f>
        <v>CheckSummaryDashboard</v>
      </c>
      <c r="C4" s="25" t="str">
        <f>IFERROR(__xludf.DUMMYFUNCTION("""COMPUTED_VALUE"""),"CheckFundLevelAggregation")</f>
        <v>CheckFundLevelAggregation</v>
      </c>
      <c r="D4" s="25" t="str">
        <f>IFERROR(__xludf.DUMMYFUNCTION("""COMPUTED_VALUE"""),"CheckAccountLevelAggregation")</f>
        <v>CheckAccountLevelAggregation</v>
      </c>
      <c r="E4" s="25" t="str">
        <f>IFERROR(__xludf.DUMMYFUNCTION("""COMPUTED_VALUE"""),"CheckSymbolLevelAggregation")</f>
        <v>CheckSymbolLevelAggregation</v>
      </c>
      <c r="F4" s="25" t="str">
        <f>IFERROR(__xludf.DUMMYFUNCTION("""COMPUTED_VALUE"""),"CheckRealTimeSymbolFundMonitor")</f>
        <v>CheckRealTimeSymbolFundMonitor</v>
      </c>
      <c r="G4" s="25" t="str">
        <f>IFERROR(__xludf.DUMMYFUNCTION("""COMPUTED_VALUE"""),"CheckRealTimeSymAccountMonitor")</f>
        <v>CheckRealTimeSymAccountMonitor</v>
      </c>
      <c r="H4" s="25" t="str">
        <f>IFERROR(__xludf.DUMMYFUNCTION("""COMPUTED_VALUE"""),"CreateDashBoard")</f>
        <v>CreateDashBoard</v>
      </c>
      <c r="I4" s="25" t="str">
        <f>IFERROR(__xludf.DUMMYFUNCTION("""COMPUTED_VALUE"""),"UpdateDashboardName")</f>
        <v>UpdateDashboardName</v>
      </c>
      <c r="J4" s="25" t="str">
        <f>IFERROR(__xludf.DUMMYFUNCTION("""COMPUTED_VALUE"""),"AddWidget")</f>
        <v>AddWidget</v>
      </c>
      <c r="K4" s="25" t="str">
        <f>IFERROR(__xludf.DUMMYFUNCTION("""COMPUTED_VALUE"""),"CheckDashboardWidgetTitle")</f>
        <v>CheckDashboardWidgetTitle</v>
      </c>
      <c r="L4" s="25" t="str">
        <f>IFERROR(__xludf.DUMMYFUNCTION("""COMPUTED_VALUE"""),"updateWidget")</f>
        <v>updateWidget</v>
      </c>
      <c r="M4" s="25" t="str">
        <f>IFERROR(__xludf.DUMMYFUNCTION("""COMPUTED_VALUE"""),"OpenRTPNL")</f>
        <v>OpenRTPNL</v>
      </c>
      <c r="N4" s="25" t="str">
        <f>IFERROR(__xludf.DUMMYFUNCTION("""COMPUTED_VALUE"""),"LinkDashboardTabs")</f>
        <v>LinkDashboardTabs</v>
      </c>
      <c r="O4" s="25" t="str">
        <f>IFERROR(__xludf.DUMMYFUNCTION("""COMPUTED_VALUE"""),"SelectDashboardTabRow")</f>
        <v>SelectDashboardTabRow</v>
      </c>
      <c r="P4" s="26" t="str">
        <f>IFERROR(__xludf.DUMMYFUNCTION("""COMPUTED_VALUE"""),"SelectRowAtFLAggregation")</f>
        <v>SelectRowAtFLAggregation</v>
      </c>
      <c r="Q4" s="26" t="str">
        <f>IFERROR(__xludf.DUMMYFUNCTION("""COMPUTED_VALUE"""),"SelectRowAtALAggregation")</f>
        <v>SelectRowAtALAggregation</v>
      </c>
      <c r="R4" s="26" t="str">
        <f>IFERROR(__xludf.DUMMYFUNCTION("""COMPUTED_VALUE"""),"SelectRowAtSLAggregation")</f>
        <v>SelectRowAtSLAggregation</v>
      </c>
      <c r="S4" s="26" t="str">
        <f>IFERROR(__xludf.DUMMYFUNCTION("""COMPUTED_VALUE"""),"SelectRowAtRTSFundMonitor")</f>
        <v>SelectRowAtRTSFundMonitor</v>
      </c>
      <c r="T4" s="26" t="str">
        <f>IFERROR(__xludf.DUMMYFUNCTION("""COMPUTED_VALUE"""),"SelectRowAtRTSAccountMonitor")</f>
        <v>SelectRowAtRTSAccountMonitor</v>
      </c>
      <c r="U4" s="26" t="str">
        <f>IFERROR(__xludf.DUMMYFUNCTION("""COMPUTED_VALUE"""),"FilterOnPMGrid")</f>
        <v>FilterOnPMGrid</v>
      </c>
      <c r="V4" s="26" t="str">
        <f>IFERROR(__xludf.DUMMYFUNCTION("""COMPUTED_VALUE"""),"SortOnPMGrid")</f>
        <v>SortOnPMGrid</v>
      </c>
      <c r="W4" s="26" t="str">
        <f>IFERROR(__xludf.DUMMYFUNCTION("""COMPUTED_VALUE"""),"ExtractTabOutsidePMDashboard")</f>
        <v>ExtractTabOutsidePMDashboard</v>
      </c>
      <c r="X4" s="26" t="str">
        <f>IFERROR(__xludf.DUMMYFUNCTION("""COMPUTED_VALUE"""),"SortRTSFM")</f>
        <v>SortRTSFM</v>
      </c>
      <c r="Y4" s="26" t="str">
        <f>IFERROR(__xludf.DUMMYFUNCTION("""COMPUTED_VALUE"""),"SortSLA")</f>
        <v>SortSLA</v>
      </c>
      <c r="Z4" s="26" t="str">
        <f>IFERROR(__xludf.DUMMYFUNCTION("""COMPUTED_VALUE"""),"SortFLA")</f>
        <v>SortFLA</v>
      </c>
      <c r="AA4" s="26" t="str">
        <f>IFERROR(__xludf.DUMMYFUNCTION("""COMPUTED_VALUE"""),"SortALA")</f>
        <v>SortALA</v>
      </c>
      <c r="AB4" s="26" t="str">
        <f>IFERROR(__xludf.DUMMYFUNCTION("""COMPUTED_VALUE"""),"FilterSLA")</f>
        <v>FilterSLA</v>
      </c>
      <c r="AC4" s="26" t="str">
        <f>IFERROR(__xludf.DUMMYFUNCTION("""COMPUTED_VALUE"""),"FilterRTSFM")</f>
        <v>FilterRTSFM</v>
      </c>
      <c r="AD4" s="26" t="str">
        <f>IFERROR(__xludf.DUMMYFUNCTION("""COMPUTED_VALUE"""),"FilterALA")</f>
        <v>FilterALA</v>
      </c>
      <c r="AE4" s="26" t="str">
        <f>IFERROR(__xludf.DUMMYFUNCTION("""COMPUTED_VALUE"""),"FilterFLA")</f>
        <v>FilterFLA</v>
      </c>
      <c r="AF4" s="26" t="str">
        <f>IFERROR(__xludf.DUMMYFUNCTION("""COMPUTED_VALUE"""),"SortRTSAM")</f>
        <v>SortRTSAM</v>
      </c>
      <c r="AG4" s="26" t="str">
        <f>IFERROR(__xludf.DUMMYFUNCTION("""COMPUTED_VALUE"""),"FilterRTSAM")</f>
        <v>FilterRTSAM</v>
      </c>
      <c r="AH4" s="26" t="str">
        <f>IFERROR(__xludf.DUMMYFUNCTION("""COMPUTED_VALUE"""),"SortRTSAM")</f>
        <v>SortRTSAM</v>
      </c>
      <c r="AI4" s="26" t="str">
        <f>IFERROR(__xludf.DUMMYFUNCTION("""COMPUTED_VALUE"""),"IncreaseOrUnwindPositionRTPNL")</f>
        <v>IncreaseOrUnwindPositionRTPNL</v>
      </c>
      <c r="AJ4" s="26" t="str">
        <f>IFERROR(__xludf.DUMMYFUNCTION("""COMPUTED_VALUE"""),"SavePage")</f>
        <v>SavePage</v>
      </c>
      <c r="AK4" s="26" t="str">
        <f>IFERROR(__xludf.DUMMYFUNCTION("""COMPUTED_VALUE"""),"CloseRTPNL")</f>
        <v>CloseRTPNL</v>
      </c>
      <c r="AL4" s="26" t="str">
        <f>IFERROR(__xludf.DUMMYFUNCTION("""COMPUTED_VALUE"""),"VerifyColumns")</f>
        <v>VerifyColumns</v>
      </c>
      <c r="AM4" s="26" t="str">
        <f>IFERROR(__xludf.DUMMYFUNCTION("""COMPUTED_VALUE"""),"ConfigureWidget")</f>
        <v>ConfigureWidget</v>
      </c>
      <c r="AN4" s="26" t="str">
        <f>IFERROR(__xludf.DUMMYFUNCTION("""COMPUTED_VALUE"""),"ChangeWidgetView")</f>
        <v>ChangeWidgetView</v>
      </c>
      <c r="AO4" s="26" t="str">
        <f>IFERROR(__xludf.DUMMYFUNCTION("""COMPUTED_VALUE"""),"ResizeEnsure")</f>
        <v>ResizeEnsure</v>
      </c>
      <c r="AP4" s="26" t="str">
        <f>IFERROR(__xludf.DUMMYFUNCTION("""COMPUTED_VALUE"""),"RenameTabs")</f>
        <v>RenameTabs</v>
      </c>
      <c r="AQ4" s="26" t="str">
        <f>IFERROR(__xludf.DUMMYFUNCTION("""COMPUTED_VALUE"""),"AddTabRTPNL")</f>
        <v>AddTabRTPNL</v>
      </c>
      <c r="AR4" s="26" t="str">
        <f>IFERROR(__xludf.DUMMYFUNCTION("""COMPUTED_VALUE"""),"MergeWindows")</f>
        <v>MergeWindows</v>
      </c>
      <c r="AS4" s="26" t="str">
        <f>IFERROR(__xludf.DUMMYFUNCTION("""COMPUTED_VALUE"""),"Grouping")</f>
        <v>Grouping</v>
      </c>
      <c r="AT4" s="26" t="str">
        <f>IFERROR(__xludf.DUMMYFUNCTION("""COMPUTED_VALUE"""),"CreateGroupingWidget")</f>
        <v>CreateGroupingWidget</v>
      </c>
      <c r="AU4" s="26" t="str">
        <f>IFERROR(__xludf.DUMMYFUNCTION("""COMPUTED_VALUE"""),"CheckGroupingWidget")</f>
        <v>CheckGroupingWidget</v>
      </c>
      <c r="AV4" s="26" t="str">
        <f>IFERROR(__xludf.DUMMYFUNCTION("""COMPUTED_VALUE"""),"VerifyL1L2PanelRTPNL")</f>
        <v>VerifyL1L2PanelRTPNL</v>
      </c>
      <c r="AW4" s="26" t="str">
        <f>IFERROR(__xludf.DUMMYFUNCTION("""COMPUTED_VALUE"""),"VerifyGridThroughLiveExcel")</f>
        <v>VerifyGridThroughLiveExcel</v>
      </c>
      <c r="AX4" s="26" t="str">
        <f>IFERROR(__xludf.DUMMYFUNCTION("""COMPUTED_VALUE"""),"ApplyColumnFilter")</f>
        <v>ApplyColumnFilter</v>
      </c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IFERROR(__xludf.DUMMYFUNCTION("""COMPUTED_VALUE"""),"Security Name")</f>
        <v>Security Name</v>
      </c>
      <c r="D5" s="28" t="str">
        <f>IFERROR(__xludf.DUMMYFUNCTION("""COMPUTED_VALUE"""),"Bloomberg Symbol")</f>
        <v>Bloomberg Symbol</v>
      </c>
      <c r="E5" s="28" t="str">
        <f>IFERROR(__xludf.DUMMYFUNCTION("""COMPUTED_VALUE"""),"Fund")</f>
        <v>Fund</v>
      </c>
      <c r="F5" s="29" t="str">
        <f>IFERROR(__xludf.DUMMYFUNCTION("""COMPUTED_VALUE"""),"Account")</f>
        <v>Account</v>
      </c>
      <c r="G5" s="28" t="str">
        <f>IFERROR(__xludf.DUMMYFUNCTION("""COMPUTED_VALUE"""),"Asset Class")</f>
        <v>Asset Class</v>
      </c>
      <c r="H5" s="28" t="str">
        <f>IFERROR(__xludf.DUMMYFUNCTION("""COMPUTED_VALUE"""),"Position")</f>
        <v>Position</v>
      </c>
      <c r="I5" s="28" t="str">
        <f>IFERROR(__xludf.DUMMYFUNCTION("""COMPUTED_VALUE"""),"Position Side")</f>
        <v>Position Side</v>
      </c>
      <c r="J5" s="28" t="str">
        <f>IFERROR(__xludf.DUMMYFUNCTION("""COMPUTED_VALUE"""),"Px Selected Feed (Local)")</f>
        <v>Px Selected Feed (Local)</v>
      </c>
      <c r="K5" s="28" t="str">
        <f>IFERROR(__xludf.DUMMYFUNCTION("""COMPUTED_VALUE"""),"Px Selected Feed (Base)")</f>
        <v>Px Selected Feed (Base)</v>
      </c>
      <c r="L5" s="28" t="str">
        <f>IFERROR(__xludf.DUMMYFUNCTION("""COMPUTED_VALUE"""),"Market Value (Base)")</f>
        <v>Market Value (Base)</v>
      </c>
      <c r="M5" s="28" t="str">
        <f>IFERROR(__xludf.DUMMYFUNCTION("""COMPUTED_VALUE"""),"% Net Market Value (Base)")</f>
        <v>% Net Market Value (Base)</v>
      </c>
      <c r="N5" s="28" t="str">
        <f>IFERROR(__xludf.DUMMYFUNCTION("""COMPUTED_VALUE"""),"Cost Basis P&amp;L (Base)")</f>
        <v>Cost Basis P&amp;L (Base)</v>
      </c>
      <c r="O5" s="28" t="str">
        <f>IFERROR(__xludf.DUMMYFUNCTION("""COMPUTED_VALUE"""),"% Gain/Loss Cost")</f>
        <v>% Gain/Loss Cost</v>
      </c>
      <c r="P5" s="28" t="str">
        <f>IFERROR(__xludf.DUMMYFUNCTION("""COMPUTED_VALUE"""),"Day P&amp;L (Base)")</f>
        <v>Day P&amp;L (Base)</v>
      </c>
      <c r="Q5" s="28" t="str">
        <f>IFERROR(__xludf.DUMMYFUNCTION("""COMPUTED_VALUE"""),"% Gain/Loss Day")</f>
        <v>% Gain/Loss Day</v>
      </c>
      <c r="R5" s="28" t="str">
        <f>IFERROR(__xludf.DUMMYFUNCTION("""COMPUTED_VALUE"""),"TabName")</f>
        <v>TabName</v>
      </c>
      <c r="S5" s="28" t="str">
        <f>IFERROR(__xludf.DUMMYFUNCTION("""COMPUTED_VALUE"""),"GridDataWidgetName")</f>
        <v>GridDataWidgetName</v>
      </c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35</v>
      </c>
      <c r="D6" s="13" t="s">
        <v>36</v>
      </c>
      <c r="E6" s="13" t="s">
        <v>45</v>
      </c>
      <c r="F6" s="13" t="s">
        <v>45</v>
      </c>
      <c r="G6" s="13" t="s">
        <v>38</v>
      </c>
      <c r="H6" s="13">
        <v>300.0</v>
      </c>
      <c r="I6" s="13"/>
      <c r="J6" s="8"/>
      <c r="K6" s="8"/>
      <c r="L6" s="8"/>
      <c r="M6" s="8"/>
      <c r="N6" s="8"/>
      <c r="O6" s="8"/>
      <c r="R6" s="9" t="s">
        <v>27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CheckGroupingWidget2!$4:$4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IFERROR(__xludf.DUMMYFUNCTION("IF(C3="""","""",Transpose(IMPORTRANGE('_Settings'!$B$3,C3&amp;""!A4:A1000"")))"),"CheckSummaryDashboard")</f>
        <v>CheckSummaryDashboard</v>
      </c>
      <c r="C4" s="25" t="str">
        <f>IFERROR(__xludf.DUMMYFUNCTION("""COMPUTED_VALUE"""),"CheckFundLevelAggregation")</f>
        <v>CheckFundLevelAggregation</v>
      </c>
      <c r="D4" s="25" t="str">
        <f>IFERROR(__xludf.DUMMYFUNCTION("""COMPUTED_VALUE"""),"CheckAccountLevelAggregation")</f>
        <v>CheckAccountLevelAggregation</v>
      </c>
      <c r="E4" s="25" t="str">
        <f>IFERROR(__xludf.DUMMYFUNCTION("""COMPUTED_VALUE"""),"CheckSymbolLevelAggregation")</f>
        <v>CheckSymbolLevelAggregation</v>
      </c>
      <c r="F4" s="25" t="str">
        <f>IFERROR(__xludf.DUMMYFUNCTION("""COMPUTED_VALUE"""),"CheckRealTimeSymbolFundMonitor")</f>
        <v>CheckRealTimeSymbolFundMonitor</v>
      </c>
      <c r="G4" s="25" t="str">
        <f>IFERROR(__xludf.DUMMYFUNCTION("""COMPUTED_VALUE"""),"CheckRealTimeSymAccountMonitor")</f>
        <v>CheckRealTimeSymAccountMonitor</v>
      </c>
      <c r="H4" s="25" t="str">
        <f>IFERROR(__xludf.DUMMYFUNCTION("""COMPUTED_VALUE"""),"CreateDashBoard")</f>
        <v>CreateDashBoard</v>
      </c>
      <c r="I4" s="25" t="str">
        <f>IFERROR(__xludf.DUMMYFUNCTION("""COMPUTED_VALUE"""),"UpdateDashboardName")</f>
        <v>UpdateDashboardName</v>
      </c>
      <c r="J4" s="25" t="str">
        <f>IFERROR(__xludf.DUMMYFUNCTION("""COMPUTED_VALUE"""),"AddWidget")</f>
        <v>AddWidget</v>
      </c>
      <c r="K4" s="25" t="str">
        <f>IFERROR(__xludf.DUMMYFUNCTION("""COMPUTED_VALUE"""),"CheckDashboardWidgetTitle")</f>
        <v>CheckDashboardWidgetTitle</v>
      </c>
      <c r="L4" s="25" t="str">
        <f>IFERROR(__xludf.DUMMYFUNCTION("""COMPUTED_VALUE"""),"updateWidget")</f>
        <v>updateWidget</v>
      </c>
      <c r="M4" s="25" t="str">
        <f>IFERROR(__xludf.DUMMYFUNCTION("""COMPUTED_VALUE"""),"OpenRTPNL")</f>
        <v>OpenRTPNL</v>
      </c>
      <c r="N4" s="25" t="str">
        <f>IFERROR(__xludf.DUMMYFUNCTION("""COMPUTED_VALUE"""),"LinkDashboardTabs")</f>
        <v>LinkDashboardTabs</v>
      </c>
      <c r="O4" s="25" t="str">
        <f>IFERROR(__xludf.DUMMYFUNCTION("""COMPUTED_VALUE"""),"SelectDashboardTabRow")</f>
        <v>SelectDashboardTabRow</v>
      </c>
      <c r="P4" s="26" t="str">
        <f>IFERROR(__xludf.DUMMYFUNCTION("""COMPUTED_VALUE"""),"SelectRowAtFLAggregation")</f>
        <v>SelectRowAtFLAggregation</v>
      </c>
      <c r="Q4" s="26" t="str">
        <f>IFERROR(__xludf.DUMMYFUNCTION("""COMPUTED_VALUE"""),"SelectRowAtALAggregation")</f>
        <v>SelectRowAtALAggregation</v>
      </c>
      <c r="R4" s="26" t="str">
        <f>IFERROR(__xludf.DUMMYFUNCTION("""COMPUTED_VALUE"""),"SelectRowAtSLAggregation")</f>
        <v>SelectRowAtSLAggregation</v>
      </c>
      <c r="S4" s="26" t="str">
        <f>IFERROR(__xludf.DUMMYFUNCTION("""COMPUTED_VALUE"""),"SelectRowAtRTSFundMonitor")</f>
        <v>SelectRowAtRTSFundMonitor</v>
      </c>
      <c r="T4" s="26" t="str">
        <f>IFERROR(__xludf.DUMMYFUNCTION("""COMPUTED_VALUE"""),"SelectRowAtRTSAccountMonitor")</f>
        <v>SelectRowAtRTSAccountMonitor</v>
      </c>
      <c r="U4" s="26" t="str">
        <f>IFERROR(__xludf.DUMMYFUNCTION("""COMPUTED_VALUE"""),"FilterOnPMGrid")</f>
        <v>FilterOnPMGrid</v>
      </c>
      <c r="V4" s="26" t="str">
        <f>IFERROR(__xludf.DUMMYFUNCTION("""COMPUTED_VALUE"""),"SortOnPMGrid")</f>
        <v>SortOnPMGrid</v>
      </c>
      <c r="W4" s="26" t="str">
        <f>IFERROR(__xludf.DUMMYFUNCTION("""COMPUTED_VALUE"""),"ExtractTabOutsidePMDashboard")</f>
        <v>ExtractTabOutsidePMDashboard</v>
      </c>
      <c r="X4" s="26" t="str">
        <f>IFERROR(__xludf.DUMMYFUNCTION("""COMPUTED_VALUE"""),"SortRTSFM")</f>
        <v>SortRTSFM</v>
      </c>
      <c r="Y4" s="26" t="str">
        <f>IFERROR(__xludf.DUMMYFUNCTION("""COMPUTED_VALUE"""),"SortSLA")</f>
        <v>SortSLA</v>
      </c>
      <c r="Z4" s="26" t="str">
        <f>IFERROR(__xludf.DUMMYFUNCTION("""COMPUTED_VALUE"""),"SortFLA")</f>
        <v>SortFLA</v>
      </c>
      <c r="AA4" s="26" t="str">
        <f>IFERROR(__xludf.DUMMYFUNCTION("""COMPUTED_VALUE"""),"SortALA")</f>
        <v>SortALA</v>
      </c>
      <c r="AB4" s="26" t="str">
        <f>IFERROR(__xludf.DUMMYFUNCTION("""COMPUTED_VALUE"""),"FilterSLA")</f>
        <v>FilterSLA</v>
      </c>
      <c r="AC4" s="26" t="str">
        <f>IFERROR(__xludf.DUMMYFUNCTION("""COMPUTED_VALUE"""),"FilterRTSFM")</f>
        <v>FilterRTSFM</v>
      </c>
      <c r="AD4" s="26" t="str">
        <f>IFERROR(__xludf.DUMMYFUNCTION("""COMPUTED_VALUE"""),"FilterALA")</f>
        <v>FilterALA</v>
      </c>
      <c r="AE4" s="26" t="str">
        <f>IFERROR(__xludf.DUMMYFUNCTION("""COMPUTED_VALUE"""),"FilterFLA")</f>
        <v>FilterFLA</v>
      </c>
      <c r="AF4" s="26" t="str">
        <f>IFERROR(__xludf.DUMMYFUNCTION("""COMPUTED_VALUE"""),"SortRTSAM")</f>
        <v>SortRTSAM</v>
      </c>
      <c r="AG4" s="26" t="str">
        <f>IFERROR(__xludf.DUMMYFUNCTION("""COMPUTED_VALUE"""),"FilterRTSAM")</f>
        <v>FilterRTSAM</v>
      </c>
      <c r="AH4" s="26" t="str">
        <f>IFERROR(__xludf.DUMMYFUNCTION("""COMPUTED_VALUE"""),"SortRTSAM")</f>
        <v>SortRTSAM</v>
      </c>
      <c r="AI4" s="26" t="str">
        <f>IFERROR(__xludf.DUMMYFUNCTION("""COMPUTED_VALUE"""),"IncreaseOrUnwindPositionRTPNL")</f>
        <v>IncreaseOrUnwindPositionRTPNL</v>
      </c>
      <c r="AJ4" s="26" t="str">
        <f>IFERROR(__xludf.DUMMYFUNCTION("""COMPUTED_VALUE"""),"SavePage")</f>
        <v>SavePage</v>
      </c>
      <c r="AK4" s="26" t="str">
        <f>IFERROR(__xludf.DUMMYFUNCTION("""COMPUTED_VALUE"""),"CloseRTPNL")</f>
        <v>CloseRTPNL</v>
      </c>
      <c r="AL4" s="26" t="str">
        <f>IFERROR(__xludf.DUMMYFUNCTION("""COMPUTED_VALUE"""),"VerifyColumns")</f>
        <v>VerifyColumns</v>
      </c>
      <c r="AM4" s="26" t="str">
        <f>IFERROR(__xludf.DUMMYFUNCTION("""COMPUTED_VALUE"""),"ConfigureWidget")</f>
        <v>ConfigureWidget</v>
      </c>
      <c r="AN4" s="26" t="str">
        <f>IFERROR(__xludf.DUMMYFUNCTION("""COMPUTED_VALUE"""),"ChangeWidgetView")</f>
        <v>ChangeWidgetView</v>
      </c>
      <c r="AO4" s="26" t="str">
        <f>IFERROR(__xludf.DUMMYFUNCTION("""COMPUTED_VALUE"""),"ResizeEnsure")</f>
        <v>ResizeEnsure</v>
      </c>
      <c r="AP4" s="26" t="str">
        <f>IFERROR(__xludf.DUMMYFUNCTION("""COMPUTED_VALUE"""),"RenameTabs")</f>
        <v>RenameTabs</v>
      </c>
      <c r="AQ4" s="26" t="str">
        <f>IFERROR(__xludf.DUMMYFUNCTION("""COMPUTED_VALUE"""),"AddTabRTPNL")</f>
        <v>AddTabRTPNL</v>
      </c>
      <c r="AR4" s="26" t="str">
        <f>IFERROR(__xludf.DUMMYFUNCTION("""COMPUTED_VALUE"""),"MergeWindows")</f>
        <v>MergeWindows</v>
      </c>
      <c r="AS4" s="26" t="str">
        <f>IFERROR(__xludf.DUMMYFUNCTION("""COMPUTED_VALUE"""),"Grouping")</f>
        <v>Grouping</v>
      </c>
      <c r="AT4" s="26" t="str">
        <f>IFERROR(__xludf.DUMMYFUNCTION("""COMPUTED_VALUE"""),"CreateGroupingWidget")</f>
        <v>CreateGroupingWidget</v>
      </c>
      <c r="AU4" s="26" t="str">
        <f>IFERROR(__xludf.DUMMYFUNCTION("""COMPUTED_VALUE"""),"CheckGroupingWidget")</f>
        <v>CheckGroupingWidget</v>
      </c>
      <c r="AV4" s="26" t="str">
        <f>IFERROR(__xludf.DUMMYFUNCTION("""COMPUTED_VALUE"""),"VerifyL1L2PanelRTPNL")</f>
        <v>VerifyL1L2PanelRTPNL</v>
      </c>
      <c r="AW4" s="26" t="str">
        <f>IFERROR(__xludf.DUMMYFUNCTION("""COMPUTED_VALUE"""),"VerifyGridThroughLiveExcel")</f>
        <v>VerifyGridThroughLiveExcel</v>
      </c>
      <c r="AX4" s="26" t="str">
        <f>IFERROR(__xludf.DUMMYFUNCTION("""COMPUTED_VALUE"""),"ApplyColumnFilter")</f>
        <v>ApplyColumnFilter</v>
      </c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IFERROR(__xludf.DUMMYFUNCTION("""COMPUTED_VALUE"""),"DashboardName")</f>
        <v>DashboardName</v>
      </c>
      <c r="C5" s="28" t="str">
        <f>IFERROR(__xludf.DUMMYFUNCTION("""COMPUTED_VALUE"""),"WidgetName")</f>
        <v>WidgetName</v>
      </c>
      <c r="D5" s="28" t="str">
        <f>IFERROR(__xludf.DUMMYFUNCTION("""COMPUTED_VALUE"""),"ColumnsToAdd")</f>
        <v>ColumnsToAdd</v>
      </c>
      <c r="E5" s="28" t="str">
        <f>IFERROR(__xludf.DUMMYFUNCTION("""COMPUTED_VALUE"""),"DashBoardType")</f>
        <v>DashBoardType</v>
      </c>
      <c r="F5" s="29" t="str">
        <f>IFERROR(__xludf.DUMMYFUNCTION("""COMPUTED_VALUE"""),"DashBoardLevel")</f>
        <v>DashBoardLevel</v>
      </c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 t="s">
        <v>27</v>
      </c>
      <c r="C6" s="13" t="s">
        <v>46</v>
      </c>
      <c r="D6" s="13"/>
      <c r="E6" s="32" t="s">
        <v>30</v>
      </c>
      <c r="F6" s="32" t="s">
        <v>31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AddWidget3!$4:$4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IFERROR(__xludf.DUMMYFUNCTION("IF(C3="""","""",Transpose(IMPORTRANGE('_Settings'!$B$3,C3&amp;""!A4:A1000"")))"),"CheckSummaryDashboard")</f>
        <v>CheckSummaryDashboard</v>
      </c>
      <c r="C4" s="25" t="str">
        <f>IFERROR(__xludf.DUMMYFUNCTION("""COMPUTED_VALUE"""),"CheckFundLevelAggregation")</f>
        <v>CheckFundLevelAggregation</v>
      </c>
      <c r="D4" s="25" t="str">
        <f>IFERROR(__xludf.DUMMYFUNCTION("""COMPUTED_VALUE"""),"CheckAccountLevelAggregation")</f>
        <v>CheckAccountLevelAggregation</v>
      </c>
      <c r="E4" s="25" t="str">
        <f>IFERROR(__xludf.DUMMYFUNCTION("""COMPUTED_VALUE"""),"CheckSymbolLevelAggregation")</f>
        <v>CheckSymbolLevelAggregation</v>
      </c>
      <c r="F4" s="25" t="str">
        <f>IFERROR(__xludf.DUMMYFUNCTION("""COMPUTED_VALUE"""),"CheckRealTimeSymbolFundMonitor")</f>
        <v>CheckRealTimeSymbolFundMonitor</v>
      </c>
      <c r="G4" s="25" t="str">
        <f>IFERROR(__xludf.DUMMYFUNCTION("""COMPUTED_VALUE"""),"CheckRealTimeSymAccountMonitor")</f>
        <v>CheckRealTimeSymAccountMonitor</v>
      </c>
      <c r="H4" s="25" t="str">
        <f>IFERROR(__xludf.DUMMYFUNCTION("""COMPUTED_VALUE"""),"CreateDashBoard")</f>
        <v>CreateDashBoard</v>
      </c>
      <c r="I4" s="25" t="str">
        <f>IFERROR(__xludf.DUMMYFUNCTION("""COMPUTED_VALUE"""),"UpdateDashboardName")</f>
        <v>UpdateDashboardName</v>
      </c>
      <c r="J4" s="25" t="str">
        <f>IFERROR(__xludf.DUMMYFUNCTION("""COMPUTED_VALUE"""),"AddWidget")</f>
        <v>AddWidget</v>
      </c>
      <c r="K4" s="25" t="str">
        <f>IFERROR(__xludf.DUMMYFUNCTION("""COMPUTED_VALUE"""),"CheckDashboardWidgetTitle")</f>
        <v>CheckDashboardWidgetTitle</v>
      </c>
      <c r="L4" s="25" t="str">
        <f>IFERROR(__xludf.DUMMYFUNCTION("""COMPUTED_VALUE"""),"updateWidget")</f>
        <v>updateWidget</v>
      </c>
      <c r="M4" s="25" t="str">
        <f>IFERROR(__xludf.DUMMYFUNCTION("""COMPUTED_VALUE"""),"OpenRTPNL")</f>
        <v>OpenRTPNL</v>
      </c>
      <c r="N4" s="25" t="str">
        <f>IFERROR(__xludf.DUMMYFUNCTION("""COMPUTED_VALUE"""),"LinkDashboardTabs")</f>
        <v>LinkDashboardTabs</v>
      </c>
      <c r="O4" s="25" t="str">
        <f>IFERROR(__xludf.DUMMYFUNCTION("""COMPUTED_VALUE"""),"SelectDashboardTabRow")</f>
        <v>SelectDashboardTabRow</v>
      </c>
      <c r="P4" s="26" t="str">
        <f>IFERROR(__xludf.DUMMYFUNCTION("""COMPUTED_VALUE"""),"SelectRowAtFLAggregation")</f>
        <v>SelectRowAtFLAggregation</v>
      </c>
      <c r="Q4" s="26" t="str">
        <f>IFERROR(__xludf.DUMMYFUNCTION("""COMPUTED_VALUE"""),"SelectRowAtALAggregation")</f>
        <v>SelectRowAtALAggregation</v>
      </c>
      <c r="R4" s="26" t="str">
        <f>IFERROR(__xludf.DUMMYFUNCTION("""COMPUTED_VALUE"""),"SelectRowAtSLAggregation")</f>
        <v>SelectRowAtSLAggregation</v>
      </c>
      <c r="S4" s="26" t="str">
        <f>IFERROR(__xludf.DUMMYFUNCTION("""COMPUTED_VALUE"""),"SelectRowAtRTSFundMonitor")</f>
        <v>SelectRowAtRTSFundMonitor</v>
      </c>
      <c r="T4" s="26" t="str">
        <f>IFERROR(__xludf.DUMMYFUNCTION("""COMPUTED_VALUE"""),"SelectRowAtRTSAccountMonitor")</f>
        <v>SelectRowAtRTSAccountMonitor</v>
      </c>
      <c r="U4" s="26" t="str">
        <f>IFERROR(__xludf.DUMMYFUNCTION("""COMPUTED_VALUE"""),"FilterOnPMGrid")</f>
        <v>FilterOnPMGrid</v>
      </c>
      <c r="V4" s="26" t="str">
        <f>IFERROR(__xludf.DUMMYFUNCTION("""COMPUTED_VALUE"""),"SortOnPMGrid")</f>
        <v>SortOnPMGrid</v>
      </c>
      <c r="W4" s="26" t="str">
        <f>IFERROR(__xludf.DUMMYFUNCTION("""COMPUTED_VALUE"""),"ExtractTabOutsidePMDashboard")</f>
        <v>ExtractTabOutsidePMDashboard</v>
      </c>
      <c r="X4" s="26" t="str">
        <f>IFERROR(__xludf.DUMMYFUNCTION("""COMPUTED_VALUE"""),"SortRTSFM")</f>
        <v>SortRTSFM</v>
      </c>
      <c r="Y4" s="26" t="str">
        <f>IFERROR(__xludf.DUMMYFUNCTION("""COMPUTED_VALUE"""),"SortSLA")</f>
        <v>SortSLA</v>
      </c>
      <c r="Z4" s="26" t="str">
        <f>IFERROR(__xludf.DUMMYFUNCTION("""COMPUTED_VALUE"""),"SortFLA")</f>
        <v>SortFLA</v>
      </c>
      <c r="AA4" s="26" t="str">
        <f>IFERROR(__xludf.DUMMYFUNCTION("""COMPUTED_VALUE"""),"SortALA")</f>
        <v>SortALA</v>
      </c>
      <c r="AB4" s="26" t="str">
        <f>IFERROR(__xludf.DUMMYFUNCTION("""COMPUTED_VALUE"""),"FilterSLA")</f>
        <v>FilterSLA</v>
      </c>
      <c r="AC4" s="26" t="str">
        <f>IFERROR(__xludf.DUMMYFUNCTION("""COMPUTED_VALUE"""),"FilterRTSFM")</f>
        <v>FilterRTSFM</v>
      </c>
      <c r="AD4" s="26" t="str">
        <f>IFERROR(__xludf.DUMMYFUNCTION("""COMPUTED_VALUE"""),"FilterALA")</f>
        <v>FilterALA</v>
      </c>
      <c r="AE4" s="26" t="str">
        <f>IFERROR(__xludf.DUMMYFUNCTION("""COMPUTED_VALUE"""),"FilterFLA")</f>
        <v>FilterFLA</v>
      </c>
      <c r="AF4" s="26" t="str">
        <f>IFERROR(__xludf.DUMMYFUNCTION("""COMPUTED_VALUE"""),"SortRTSAM")</f>
        <v>SortRTSAM</v>
      </c>
      <c r="AG4" s="26" t="str">
        <f>IFERROR(__xludf.DUMMYFUNCTION("""COMPUTED_VALUE"""),"FilterRTSAM")</f>
        <v>FilterRTSAM</v>
      </c>
      <c r="AH4" s="26" t="str">
        <f>IFERROR(__xludf.DUMMYFUNCTION("""COMPUTED_VALUE"""),"SortRTSAM")</f>
        <v>SortRTSAM</v>
      </c>
      <c r="AI4" s="26" t="str">
        <f>IFERROR(__xludf.DUMMYFUNCTION("""COMPUTED_VALUE"""),"IncreaseOrUnwindPositionRTPNL")</f>
        <v>IncreaseOrUnwindPositionRTPNL</v>
      </c>
      <c r="AJ4" s="26" t="str">
        <f>IFERROR(__xludf.DUMMYFUNCTION("""COMPUTED_VALUE"""),"SavePage")</f>
        <v>SavePage</v>
      </c>
      <c r="AK4" s="26" t="str">
        <f>IFERROR(__xludf.DUMMYFUNCTION("""COMPUTED_VALUE"""),"CloseRTPNL")</f>
        <v>CloseRTPNL</v>
      </c>
      <c r="AL4" s="26" t="str">
        <f>IFERROR(__xludf.DUMMYFUNCTION("""COMPUTED_VALUE"""),"VerifyColumns")</f>
        <v>VerifyColumns</v>
      </c>
      <c r="AM4" s="26" t="str">
        <f>IFERROR(__xludf.DUMMYFUNCTION("""COMPUTED_VALUE"""),"ConfigureWidget")</f>
        <v>ConfigureWidget</v>
      </c>
      <c r="AN4" s="26" t="str">
        <f>IFERROR(__xludf.DUMMYFUNCTION("""COMPUTED_VALUE"""),"ChangeWidgetView")</f>
        <v>ChangeWidgetView</v>
      </c>
      <c r="AO4" s="26" t="str">
        <f>IFERROR(__xludf.DUMMYFUNCTION("""COMPUTED_VALUE"""),"ResizeEnsure")</f>
        <v>ResizeEnsure</v>
      </c>
      <c r="AP4" s="26" t="str">
        <f>IFERROR(__xludf.DUMMYFUNCTION("""COMPUTED_VALUE"""),"RenameTabs")</f>
        <v>RenameTabs</v>
      </c>
      <c r="AQ4" s="26" t="str">
        <f>IFERROR(__xludf.DUMMYFUNCTION("""COMPUTED_VALUE"""),"AddTabRTPNL")</f>
        <v>AddTabRTPNL</v>
      </c>
      <c r="AR4" s="26" t="str">
        <f>IFERROR(__xludf.DUMMYFUNCTION("""COMPUTED_VALUE"""),"MergeWindows")</f>
        <v>MergeWindows</v>
      </c>
      <c r="AS4" s="26" t="str">
        <f>IFERROR(__xludf.DUMMYFUNCTION("""COMPUTED_VALUE"""),"Grouping")</f>
        <v>Grouping</v>
      </c>
      <c r="AT4" s="26" t="str">
        <f>IFERROR(__xludf.DUMMYFUNCTION("""COMPUTED_VALUE"""),"CreateGroupingWidget")</f>
        <v>CreateGroupingWidget</v>
      </c>
      <c r="AU4" s="26" t="str">
        <f>IFERROR(__xludf.DUMMYFUNCTION("""COMPUTED_VALUE"""),"CheckGroupingWidget")</f>
        <v>CheckGroupingWidget</v>
      </c>
      <c r="AV4" s="26" t="str">
        <f>IFERROR(__xludf.DUMMYFUNCTION("""COMPUTED_VALUE"""),"VerifyL1L2PanelRTPNL")</f>
        <v>VerifyL1L2PanelRTPNL</v>
      </c>
      <c r="AW4" s="26" t="str">
        <f>IFERROR(__xludf.DUMMYFUNCTION("""COMPUTED_VALUE"""),"VerifyGridThroughLiveExcel")</f>
        <v>VerifyGridThroughLiveExcel</v>
      </c>
      <c r="AX4" s="26" t="str">
        <f>IFERROR(__xludf.DUMMYFUNCTION("""COMPUTED_VALUE"""),"ApplyColumnFilter")</f>
        <v>ApplyColumnFilter</v>
      </c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IFERROR(__xludf.DUMMYFUNCTION("""COMPUTED_VALUE"""),"Chip 1")</f>
        <v>Chip 1</v>
      </c>
      <c r="C5" s="28" t="str">
        <f>IFERROR(__xludf.DUMMYFUNCTION("""COMPUTED_VALUE"""),"Chip 2")</f>
        <v>Chip 2</v>
      </c>
      <c r="D5" s="28" t="str">
        <f>IFERROR(__xludf.DUMMYFUNCTION("""COMPUTED_VALUE"""),"Chip 3")</f>
        <v>Chip 3</v>
      </c>
      <c r="E5" s="28" t="str">
        <f>IFERROR(__xludf.DUMMYFUNCTION("""COMPUTED_VALUE"""),"MakeColumFavourite")</f>
        <v>MakeColumFavourite</v>
      </c>
      <c r="F5" s="29" t="str">
        <f>IFERROR(__xludf.DUMMYFUNCTION("""COMPUTED_VALUE"""),"MakeColumnUnfavourite")</f>
        <v>MakeColumnUnfavourite</v>
      </c>
      <c r="G5" s="28" t="str">
        <f>IFERROR(__xludf.DUMMYFUNCTION("""COMPUTED_VALUE"""),"ColumnsToAdd")</f>
        <v>ColumnsToAdd</v>
      </c>
      <c r="H5" s="28" t="str">
        <f>IFERROR(__xludf.DUMMYFUNCTION("""COMPUTED_VALUE"""),"Verify Chip Values")</f>
        <v>Verify Chip Values</v>
      </c>
      <c r="I5" s="28" t="str">
        <f>IFERROR(__xludf.DUMMYFUNCTION("""COMPUTED_VALUE"""),"NextAction")</f>
        <v>NextAction</v>
      </c>
      <c r="J5" s="28" t="str">
        <f>IFERROR(__xludf.DUMMYFUNCTION("""COMPUTED_VALUE"""),"VerifyActionButtonVisibility")</f>
        <v>VerifyActionButtonVisibility</v>
      </c>
      <c r="K5" s="28" t="str">
        <f>IFERROR(__xludf.DUMMYFUNCTION("""COMPUTED_VALUE"""),"FlashButton")</f>
        <v>FlashButton</v>
      </c>
      <c r="L5" s="28" t="str">
        <f>IFERROR(__xludf.DUMMYFUNCTION("""COMPUTED_VALUE"""),"ColumnsToCheckForFlash")</f>
        <v>ColumnsToCheckForFlash</v>
      </c>
      <c r="M5" s="28" t="str">
        <f>IFERROR(__xludf.DUMMYFUNCTION("""COMPUTED_VALUE"""),"LinkWidgetColor")</f>
        <v>LinkWidgetColor</v>
      </c>
      <c r="N5" s="28" t="str">
        <f>IFERROR(__xludf.DUMMYFUNCTION("""COMPUTED_VALUE"""),"ColumnsToAdd2")</f>
        <v>ColumnsToAdd2</v>
      </c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46</v>
      </c>
      <c r="C6" s="8"/>
      <c r="D6" s="13"/>
      <c r="E6" s="35"/>
      <c r="F6" s="8"/>
      <c r="G6" s="8"/>
      <c r="H6" s="8"/>
      <c r="I6" s="13" t="s">
        <v>33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CreateGroupingWidget3!$4:$4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2" width="12.63"/>
    <col customWidth="1" min="3" max="3" width="17.63"/>
    <col customWidth="1" min="4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IFERROR(__xludf.DUMMYFUNCTION("IF(C3="""","""",Transpose(IMPORTRANGE('_Settings'!$B$3,C3&amp;""!A4:A1000"")))"),"CheckSummaryDashboard")</f>
        <v>CheckSummaryDashboard</v>
      </c>
      <c r="C4" s="25" t="str">
        <f>IFERROR(__xludf.DUMMYFUNCTION("""COMPUTED_VALUE"""),"CheckFundLevelAggregation")</f>
        <v>CheckFundLevelAggregation</v>
      </c>
      <c r="D4" s="25" t="str">
        <f>IFERROR(__xludf.DUMMYFUNCTION("""COMPUTED_VALUE"""),"CheckAccountLevelAggregation")</f>
        <v>CheckAccountLevelAggregation</v>
      </c>
      <c r="E4" s="25" t="str">
        <f>IFERROR(__xludf.DUMMYFUNCTION("""COMPUTED_VALUE"""),"CheckSymbolLevelAggregation")</f>
        <v>CheckSymbolLevelAggregation</v>
      </c>
      <c r="F4" s="25" t="str">
        <f>IFERROR(__xludf.DUMMYFUNCTION("""COMPUTED_VALUE"""),"CheckRealTimeSymbolFundMonitor")</f>
        <v>CheckRealTimeSymbolFundMonitor</v>
      </c>
      <c r="G4" s="25" t="str">
        <f>IFERROR(__xludf.DUMMYFUNCTION("""COMPUTED_VALUE"""),"CheckRealTimeSymAccountMonitor")</f>
        <v>CheckRealTimeSymAccountMonitor</v>
      </c>
      <c r="H4" s="25" t="str">
        <f>IFERROR(__xludf.DUMMYFUNCTION("""COMPUTED_VALUE"""),"CreateDashBoard")</f>
        <v>CreateDashBoard</v>
      </c>
      <c r="I4" s="25" t="str">
        <f>IFERROR(__xludf.DUMMYFUNCTION("""COMPUTED_VALUE"""),"UpdateDashboardName")</f>
        <v>UpdateDashboardName</v>
      </c>
      <c r="J4" s="25" t="str">
        <f>IFERROR(__xludf.DUMMYFUNCTION("""COMPUTED_VALUE"""),"AddWidget")</f>
        <v>AddWidget</v>
      </c>
      <c r="K4" s="25" t="str">
        <f>IFERROR(__xludf.DUMMYFUNCTION("""COMPUTED_VALUE"""),"CheckDashboardWidgetTitle")</f>
        <v>CheckDashboardWidgetTitle</v>
      </c>
      <c r="L4" s="25" t="str">
        <f>IFERROR(__xludf.DUMMYFUNCTION("""COMPUTED_VALUE"""),"updateWidget")</f>
        <v>updateWidget</v>
      </c>
      <c r="M4" s="25" t="str">
        <f>IFERROR(__xludf.DUMMYFUNCTION("""COMPUTED_VALUE"""),"OpenRTPNL")</f>
        <v>OpenRTPNL</v>
      </c>
      <c r="N4" s="25" t="str">
        <f>IFERROR(__xludf.DUMMYFUNCTION("""COMPUTED_VALUE"""),"LinkDashboardTabs")</f>
        <v>LinkDashboardTabs</v>
      </c>
      <c r="O4" s="25" t="str">
        <f>IFERROR(__xludf.DUMMYFUNCTION("""COMPUTED_VALUE"""),"SelectDashboardTabRow")</f>
        <v>SelectDashboardTabRow</v>
      </c>
      <c r="P4" s="26" t="str">
        <f>IFERROR(__xludf.DUMMYFUNCTION("""COMPUTED_VALUE"""),"SelectRowAtFLAggregation")</f>
        <v>SelectRowAtFLAggregation</v>
      </c>
      <c r="Q4" s="26" t="str">
        <f>IFERROR(__xludf.DUMMYFUNCTION("""COMPUTED_VALUE"""),"SelectRowAtALAggregation")</f>
        <v>SelectRowAtALAggregation</v>
      </c>
      <c r="R4" s="26" t="str">
        <f>IFERROR(__xludf.DUMMYFUNCTION("""COMPUTED_VALUE"""),"SelectRowAtSLAggregation")</f>
        <v>SelectRowAtSLAggregation</v>
      </c>
      <c r="S4" s="26" t="str">
        <f>IFERROR(__xludf.DUMMYFUNCTION("""COMPUTED_VALUE"""),"SelectRowAtRTSFundMonitor")</f>
        <v>SelectRowAtRTSFundMonitor</v>
      </c>
      <c r="T4" s="26" t="str">
        <f>IFERROR(__xludf.DUMMYFUNCTION("""COMPUTED_VALUE"""),"SelectRowAtRTSAccountMonitor")</f>
        <v>SelectRowAtRTSAccountMonitor</v>
      </c>
      <c r="U4" s="26" t="str">
        <f>IFERROR(__xludf.DUMMYFUNCTION("""COMPUTED_VALUE"""),"FilterOnPMGrid")</f>
        <v>FilterOnPMGrid</v>
      </c>
      <c r="V4" s="26" t="str">
        <f>IFERROR(__xludf.DUMMYFUNCTION("""COMPUTED_VALUE"""),"SortOnPMGrid")</f>
        <v>SortOnPMGrid</v>
      </c>
      <c r="W4" s="26" t="str">
        <f>IFERROR(__xludf.DUMMYFUNCTION("""COMPUTED_VALUE"""),"ExtractTabOutsidePMDashboard")</f>
        <v>ExtractTabOutsidePMDashboard</v>
      </c>
      <c r="X4" s="26" t="str">
        <f>IFERROR(__xludf.DUMMYFUNCTION("""COMPUTED_VALUE"""),"SortRTSFM")</f>
        <v>SortRTSFM</v>
      </c>
      <c r="Y4" s="26" t="str">
        <f>IFERROR(__xludf.DUMMYFUNCTION("""COMPUTED_VALUE"""),"SortSLA")</f>
        <v>SortSLA</v>
      </c>
      <c r="Z4" s="26" t="str">
        <f>IFERROR(__xludf.DUMMYFUNCTION("""COMPUTED_VALUE"""),"SortFLA")</f>
        <v>SortFLA</v>
      </c>
      <c r="AA4" s="26" t="str">
        <f>IFERROR(__xludf.DUMMYFUNCTION("""COMPUTED_VALUE"""),"SortALA")</f>
        <v>SortALA</v>
      </c>
      <c r="AB4" s="26" t="str">
        <f>IFERROR(__xludf.DUMMYFUNCTION("""COMPUTED_VALUE"""),"FilterSLA")</f>
        <v>FilterSLA</v>
      </c>
      <c r="AC4" s="26" t="str">
        <f>IFERROR(__xludf.DUMMYFUNCTION("""COMPUTED_VALUE"""),"FilterRTSFM")</f>
        <v>FilterRTSFM</v>
      </c>
      <c r="AD4" s="26" t="str">
        <f>IFERROR(__xludf.DUMMYFUNCTION("""COMPUTED_VALUE"""),"FilterALA")</f>
        <v>FilterALA</v>
      </c>
      <c r="AE4" s="26" t="str">
        <f>IFERROR(__xludf.DUMMYFUNCTION("""COMPUTED_VALUE"""),"FilterFLA")</f>
        <v>FilterFLA</v>
      </c>
      <c r="AF4" s="26" t="str">
        <f>IFERROR(__xludf.DUMMYFUNCTION("""COMPUTED_VALUE"""),"SortRTSAM")</f>
        <v>SortRTSAM</v>
      </c>
      <c r="AG4" s="26" t="str">
        <f>IFERROR(__xludf.DUMMYFUNCTION("""COMPUTED_VALUE"""),"FilterRTSAM")</f>
        <v>FilterRTSAM</v>
      </c>
      <c r="AH4" s="26" t="str">
        <f>IFERROR(__xludf.DUMMYFUNCTION("""COMPUTED_VALUE"""),"SortRTSAM")</f>
        <v>SortRTSAM</v>
      </c>
      <c r="AI4" s="26" t="str">
        <f>IFERROR(__xludf.DUMMYFUNCTION("""COMPUTED_VALUE"""),"IncreaseOrUnwindPositionRTPNL")</f>
        <v>IncreaseOrUnwindPositionRTPNL</v>
      </c>
      <c r="AJ4" s="26" t="str">
        <f>IFERROR(__xludf.DUMMYFUNCTION("""COMPUTED_VALUE"""),"SavePage")</f>
        <v>SavePage</v>
      </c>
      <c r="AK4" s="26" t="str">
        <f>IFERROR(__xludf.DUMMYFUNCTION("""COMPUTED_VALUE"""),"CloseRTPNL")</f>
        <v>CloseRTPNL</v>
      </c>
      <c r="AL4" s="26" t="str">
        <f>IFERROR(__xludf.DUMMYFUNCTION("""COMPUTED_VALUE"""),"VerifyColumns")</f>
        <v>VerifyColumns</v>
      </c>
      <c r="AM4" s="26" t="str">
        <f>IFERROR(__xludf.DUMMYFUNCTION("""COMPUTED_VALUE"""),"ConfigureWidget")</f>
        <v>ConfigureWidget</v>
      </c>
      <c r="AN4" s="26" t="str">
        <f>IFERROR(__xludf.DUMMYFUNCTION("""COMPUTED_VALUE"""),"ChangeWidgetView")</f>
        <v>ChangeWidgetView</v>
      </c>
      <c r="AO4" s="26" t="str">
        <f>IFERROR(__xludf.DUMMYFUNCTION("""COMPUTED_VALUE"""),"ResizeEnsure")</f>
        <v>ResizeEnsure</v>
      </c>
      <c r="AP4" s="26" t="str">
        <f>IFERROR(__xludf.DUMMYFUNCTION("""COMPUTED_VALUE"""),"RenameTabs")</f>
        <v>RenameTabs</v>
      </c>
      <c r="AQ4" s="26" t="str">
        <f>IFERROR(__xludf.DUMMYFUNCTION("""COMPUTED_VALUE"""),"AddTabRTPNL")</f>
        <v>AddTabRTPNL</v>
      </c>
      <c r="AR4" s="26" t="str">
        <f>IFERROR(__xludf.DUMMYFUNCTION("""COMPUTED_VALUE"""),"MergeWindows")</f>
        <v>MergeWindows</v>
      </c>
      <c r="AS4" s="26" t="str">
        <f>IFERROR(__xludf.DUMMYFUNCTION("""COMPUTED_VALUE"""),"Grouping")</f>
        <v>Grouping</v>
      </c>
      <c r="AT4" s="26" t="str">
        <f>IFERROR(__xludf.DUMMYFUNCTION("""COMPUTED_VALUE"""),"CreateGroupingWidget")</f>
        <v>CreateGroupingWidget</v>
      </c>
      <c r="AU4" s="26" t="str">
        <f>IFERROR(__xludf.DUMMYFUNCTION("""COMPUTED_VALUE"""),"CheckGroupingWidget")</f>
        <v>CheckGroupingWidget</v>
      </c>
      <c r="AV4" s="26" t="str">
        <f>IFERROR(__xludf.DUMMYFUNCTION("""COMPUTED_VALUE"""),"VerifyL1L2PanelRTPNL")</f>
        <v>VerifyL1L2PanelRTPNL</v>
      </c>
      <c r="AW4" s="26" t="str">
        <f>IFERROR(__xludf.DUMMYFUNCTION("""COMPUTED_VALUE"""),"VerifyGridThroughLiveExcel")</f>
        <v>VerifyGridThroughLiveExcel</v>
      </c>
      <c r="AX4" s="26" t="str">
        <f>IFERROR(__xludf.DUMMYFUNCTION("""COMPUTED_VALUE"""),"ApplyColumnFilter")</f>
        <v>ApplyColumnFilter</v>
      </c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IFERROR(__xludf.DUMMYFUNCTION("""COMPUTED_VALUE"""),"Security Name")</f>
        <v>Security Name</v>
      </c>
      <c r="D5" s="28" t="str">
        <f>IFERROR(__xludf.DUMMYFUNCTION("""COMPUTED_VALUE"""),"Bloomberg Symbol")</f>
        <v>Bloomberg Symbol</v>
      </c>
      <c r="E5" s="28" t="str">
        <f>IFERROR(__xludf.DUMMYFUNCTION("""COMPUTED_VALUE"""),"Fund")</f>
        <v>Fund</v>
      </c>
      <c r="F5" s="29" t="str">
        <f>IFERROR(__xludf.DUMMYFUNCTION("""COMPUTED_VALUE"""),"Account")</f>
        <v>Account</v>
      </c>
      <c r="G5" s="28" t="str">
        <f>IFERROR(__xludf.DUMMYFUNCTION("""COMPUTED_VALUE"""),"Asset Class")</f>
        <v>Asset Class</v>
      </c>
      <c r="H5" s="28" t="str">
        <f>IFERROR(__xludf.DUMMYFUNCTION("""COMPUTED_VALUE"""),"Position")</f>
        <v>Position</v>
      </c>
      <c r="I5" s="28" t="str">
        <f>IFERROR(__xludf.DUMMYFUNCTION("""COMPUTED_VALUE"""),"Position Side")</f>
        <v>Position Side</v>
      </c>
      <c r="J5" s="28" t="str">
        <f>IFERROR(__xludf.DUMMYFUNCTION("""COMPUTED_VALUE"""),"Px Selected Feed (Local)")</f>
        <v>Px Selected Feed (Local)</v>
      </c>
      <c r="K5" s="28" t="str">
        <f>IFERROR(__xludf.DUMMYFUNCTION("""COMPUTED_VALUE"""),"Px Selected Feed (Base)")</f>
        <v>Px Selected Feed (Base)</v>
      </c>
      <c r="L5" s="28" t="str">
        <f>IFERROR(__xludf.DUMMYFUNCTION("""COMPUTED_VALUE"""),"Market Value (Base)")</f>
        <v>Market Value (Base)</v>
      </c>
      <c r="M5" s="28" t="str">
        <f>IFERROR(__xludf.DUMMYFUNCTION("""COMPUTED_VALUE"""),"% Net Market Value (Base)")</f>
        <v>% Net Market Value (Base)</v>
      </c>
      <c r="N5" s="28" t="str">
        <f>IFERROR(__xludf.DUMMYFUNCTION("""COMPUTED_VALUE"""),"Cost Basis P&amp;L (Base)")</f>
        <v>Cost Basis P&amp;L (Base)</v>
      </c>
      <c r="O5" s="28" t="str">
        <f>IFERROR(__xludf.DUMMYFUNCTION("""COMPUTED_VALUE"""),"% Gain/Loss Cost")</f>
        <v>% Gain/Loss Cost</v>
      </c>
      <c r="P5" s="28" t="str">
        <f>IFERROR(__xludf.DUMMYFUNCTION("""COMPUTED_VALUE"""),"Day P&amp;L (Base)")</f>
        <v>Day P&amp;L (Base)</v>
      </c>
      <c r="Q5" s="28" t="str">
        <f>IFERROR(__xludf.DUMMYFUNCTION("""COMPUTED_VALUE"""),"% Gain/Loss Day")</f>
        <v>% Gain/Loss Day</v>
      </c>
      <c r="R5" s="28" t="str">
        <f>IFERROR(__xludf.DUMMYFUNCTION("""COMPUTED_VALUE"""),"TabName")</f>
        <v>TabName</v>
      </c>
      <c r="S5" s="28" t="str">
        <f>IFERROR(__xludf.DUMMYFUNCTION("""COMPUTED_VALUE"""),"GridDataWidgetName")</f>
        <v>GridDataWidgetName</v>
      </c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35</v>
      </c>
      <c r="D6" s="13" t="s">
        <v>36</v>
      </c>
      <c r="E6" s="13" t="s">
        <v>45</v>
      </c>
      <c r="F6" s="13" t="s">
        <v>45</v>
      </c>
      <c r="G6" s="13" t="s">
        <v>38</v>
      </c>
      <c r="H6" s="13">
        <v>300.0</v>
      </c>
      <c r="I6" s="13"/>
      <c r="J6" s="8"/>
      <c r="K6" s="8"/>
      <c r="L6" s="8"/>
      <c r="M6" s="8"/>
      <c r="N6" s="8"/>
      <c r="O6" s="8"/>
      <c r="R6" s="9" t="s">
        <v>27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CheckGroupingWidget3!$4:$4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47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IFERROR(__xludf.DUMMYFUNCTION("IF(C3="""","""",Transpose(IMPORTRANGE('_Settings'!$B$3,C3&amp;""!A4:A1000"")))"),"CheckSummaryDashboard")</f>
        <v>CheckSummaryDashboard</v>
      </c>
      <c r="C4" s="25" t="str">
        <f>IFERROR(__xludf.DUMMYFUNCTION("""COMPUTED_VALUE"""),"CheckFundLevelAggregation")</f>
        <v>CheckFundLevelAggregation</v>
      </c>
      <c r="D4" s="25" t="str">
        <f>IFERROR(__xludf.DUMMYFUNCTION("""COMPUTED_VALUE"""),"CheckAccountLevelAggregation")</f>
        <v>CheckAccountLevelAggregation</v>
      </c>
      <c r="E4" s="25" t="str">
        <f>IFERROR(__xludf.DUMMYFUNCTION("""COMPUTED_VALUE"""),"CheckSymbolLevelAggregation")</f>
        <v>CheckSymbolLevelAggregation</v>
      </c>
      <c r="F4" s="25" t="str">
        <f>IFERROR(__xludf.DUMMYFUNCTION("""COMPUTED_VALUE"""),"CheckRealTimeSymbolFundMonitor")</f>
        <v>CheckRealTimeSymbolFundMonitor</v>
      </c>
      <c r="G4" s="25" t="str">
        <f>IFERROR(__xludf.DUMMYFUNCTION("""COMPUTED_VALUE"""),"CheckRealTimeSymAccountMonitor")</f>
        <v>CheckRealTimeSymAccountMonitor</v>
      </c>
      <c r="H4" s="25" t="str">
        <f>IFERROR(__xludf.DUMMYFUNCTION("""COMPUTED_VALUE"""),"CreateDashBoard")</f>
        <v>CreateDashBoard</v>
      </c>
      <c r="I4" s="25" t="str">
        <f>IFERROR(__xludf.DUMMYFUNCTION("""COMPUTED_VALUE"""),"UpdateDashboardName")</f>
        <v>UpdateDashboardName</v>
      </c>
      <c r="J4" s="25" t="str">
        <f>IFERROR(__xludf.DUMMYFUNCTION("""COMPUTED_VALUE"""),"AddWidget")</f>
        <v>AddWidget</v>
      </c>
      <c r="K4" s="25" t="str">
        <f>IFERROR(__xludf.DUMMYFUNCTION("""COMPUTED_VALUE"""),"CheckDashboardWidgetTitle")</f>
        <v>CheckDashboardWidgetTitle</v>
      </c>
      <c r="L4" s="25" t="str">
        <f>IFERROR(__xludf.DUMMYFUNCTION("""COMPUTED_VALUE"""),"updateWidget")</f>
        <v>updateWidget</v>
      </c>
      <c r="M4" s="25" t="str">
        <f>IFERROR(__xludf.DUMMYFUNCTION("""COMPUTED_VALUE"""),"OpenRTPNL")</f>
        <v>OpenRTPNL</v>
      </c>
      <c r="N4" s="25" t="str">
        <f>IFERROR(__xludf.DUMMYFUNCTION("""COMPUTED_VALUE"""),"LinkDashboardTabs")</f>
        <v>LinkDashboardTabs</v>
      </c>
      <c r="O4" s="25" t="str">
        <f>IFERROR(__xludf.DUMMYFUNCTION("""COMPUTED_VALUE"""),"SelectDashboardTabRow")</f>
        <v>SelectDashboardTabRow</v>
      </c>
      <c r="P4" s="26" t="str">
        <f>IFERROR(__xludf.DUMMYFUNCTION("""COMPUTED_VALUE"""),"SelectRowAtFLAggregation")</f>
        <v>SelectRowAtFLAggregation</v>
      </c>
      <c r="Q4" s="26" t="str">
        <f>IFERROR(__xludf.DUMMYFUNCTION("""COMPUTED_VALUE"""),"SelectRowAtALAggregation")</f>
        <v>SelectRowAtALAggregation</v>
      </c>
      <c r="R4" s="26" t="str">
        <f>IFERROR(__xludf.DUMMYFUNCTION("""COMPUTED_VALUE"""),"SelectRowAtSLAggregation")</f>
        <v>SelectRowAtSLAggregation</v>
      </c>
      <c r="S4" s="26" t="str">
        <f>IFERROR(__xludf.DUMMYFUNCTION("""COMPUTED_VALUE"""),"SelectRowAtRTSFundMonitor")</f>
        <v>SelectRowAtRTSFundMonitor</v>
      </c>
      <c r="T4" s="26" t="str">
        <f>IFERROR(__xludf.DUMMYFUNCTION("""COMPUTED_VALUE"""),"SelectRowAtRTSAccountMonitor")</f>
        <v>SelectRowAtRTSAccountMonitor</v>
      </c>
      <c r="U4" s="26" t="str">
        <f>IFERROR(__xludf.DUMMYFUNCTION("""COMPUTED_VALUE"""),"FilterOnPMGrid")</f>
        <v>FilterOnPMGrid</v>
      </c>
      <c r="V4" s="26" t="str">
        <f>IFERROR(__xludf.DUMMYFUNCTION("""COMPUTED_VALUE"""),"SortOnPMGrid")</f>
        <v>SortOnPMGrid</v>
      </c>
      <c r="W4" s="26" t="str">
        <f>IFERROR(__xludf.DUMMYFUNCTION("""COMPUTED_VALUE"""),"ExtractTabOutsidePMDashboard")</f>
        <v>ExtractTabOutsidePMDashboard</v>
      </c>
      <c r="X4" s="26" t="str">
        <f>IFERROR(__xludf.DUMMYFUNCTION("""COMPUTED_VALUE"""),"SortRTSFM")</f>
        <v>SortRTSFM</v>
      </c>
      <c r="Y4" s="26" t="str">
        <f>IFERROR(__xludf.DUMMYFUNCTION("""COMPUTED_VALUE"""),"SortSLA")</f>
        <v>SortSLA</v>
      </c>
      <c r="Z4" s="26" t="str">
        <f>IFERROR(__xludf.DUMMYFUNCTION("""COMPUTED_VALUE"""),"SortFLA")</f>
        <v>SortFLA</v>
      </c>
      <c r="AA4" s="26" t="str">
        <f>IFERROR(__xludf.DUMMYFUNCTION("""COMPUTED_VALUE"""),"SortALA")</f>
        <v>SortALA</v>
      </c>
      <c r="AB4" s="26" t="str">
        <f>IFERROR(__xludf.DUMMYFUNCTION("""COMPUTED_VALUE"""),"FilterSLA")</f>
        <v>FilterSLA</v>
      </c>
      <c r="AC4" s="26" t="str">
        <f>IFERROR(__xludf.DUMMYFUNCTION("""COMPUTED_VALUE"""),"FilterRTSFM")</f>
        <v>FilterRTSFM</v>
      </c>
      <c r="AD4" s="26" t="str">
        <f>IFERROR(__xludf.DUMMYFUNCTION("""COMPUTED_VALUE"""),"FilterALA")</f>
        <v>FilterALA</v>
      </c>
      <c r="AE4" s="26" t="str">
        <f>IFERROR(__xludf.DUMMYFUNCTION("""COMPUTED_VALUE"""),"FilterFLA")</f>
        <v>FilterFLA</v>
      </c>
      <c r="AF4" s="26" t="str">
        <f>IFERROR(__xludf.DUMMYFUNCTION("""COMPUTED_VALUE"""),"SortRTSAM")</f>
        <v>SortRTSAM</v>
      </c>
      <c r="AG4" s="26" t="str">
        <f>IFERROR(__xludf.DUMMYFUNCTION("""COMPUTED_VALUE"""),"FilterRTSAM")</f>
        <v>FilterRTSAM</v>
      </c>
      <c r="AH4" s="26" t="str">
        <f>IFERROR(__xludf.DUMMYFUNCTION("""COMPUTED_VALUE"""),"SortRTSAM")</f>
        <v>SortRTSAM</v>
      </c>
      <c r="AI4" s="26" t="str">
        <f>IFERROR(__xludf.DUMMYFUNCTION("""COMPUTED_VALUE"""),"IncreaseOrUnwindPositionRTPNL")</f>
        <v>IncreaseOrUnwindPositionRTPNL</v>
      </c>
      <c r="AJ4" s="26" t="str">
        <f>IFERROR(__xludf.DUMMYFUNCTION("""COMPUTED_VALUE"""),"SavePage")</f>
        <v>SavePage</v>
      </c>
      <c r="AK4" s="26" t="str">
        <f>IFERROR(__xludf.DUMMYFUNCTION("""COMPUTED_VALUE"""),"CloseRTPNL")</f>
        <v>CloseRTPNL</v>
      </c>
      <c r="AL4" s="26" t="str">
        <f>IFERROR(__xludf.DUMMYFUNCTION("""COMPUTED_VALUE"""),"VerifyColumns")</f>
        <v>VerifyColumns</v>
      </c>
      <c r="AM4" s="26" t="str">
        <f>IFERROR(__xludf.DUMMYFUNCTION("""COMPUTED_VALUE"""),"ConfigureWidget")</f>
        <v>ConfigureWidget</v>
      </c>
      <c r="AN4" s="26" t="str">
        <f>IFERROR(__xludf.DUMMYFUNCTION("""COMPUTED_VALUE"""),"ChangeWidgetView")</f>
        <v>ChangeWidgetView</v>
      </c>
      <c r="AO4" s="26" t="str">
        <f>IFERROR(__xludf.DUMMYFUNCTION("""COMPUTED_VALUE"""),"ResizeEnsure")</f>
        <v>ResizeEnsure</v>
      </c>
      <c r="AP4" s="26" t="str">
        <f>IFERROR(__xludf.DUMMYFUNCTION("""COMPUTED_VALUE"""),"RenameTabs")</f>
        <v>RenameTabs</v>
      </c>
      <c r="AQ4" s="26" t="str">
        <f>IFERROR(__xludf.DUMMYFUNCTION("""COMPUTED_VALUE"""),"AddTabRTPNL")</f>
        <v>AddTabRTPNL</v>
      </c>
      <c r="AR4" s="26" t="str">
        <f>IFERROR(__xludf.DUMMYFUNCTION("""COMPUTED_VALUE"""),"MergeWindows")</f>
        <v>MergeWindows</v>
      </c>
      <c r="AS4" s="26" t="str">
        <f>IFERROR(__xludf.DUMMYFUNCTION("""COMPUTED_VALUE"""),"Grouping")</f>
        <v>Grouping</v>
      </c>
      <c r="AT4" s="26" t="str">
        <f>IFERROR(__xludf.DUMMYFUNCTION("""COMPUTED_VALUE"""),"CreateGroupingWidget")</f>
        <v>CreateGroupingWidget</v>
      </c>
      <c r="AU4" s="26" t="str">
        <f>IFERROR(__xludf.DUMMYFUNCTION("""COMPUTED_VALUE"""),"CheckGroupingWidget")</f>
        <v>CheckGroupingWidget</v>
      </c>
      <c r="AV4" s="26" t="str">
        <f>IFERROR(__xludf.DUMMYFUNCTION("""COMPUTED_VALUE"""),"VerifyL1L2PanelRTPNL")</f>
        <v>VerifyL1L2PanelRTPNL</v>
      </c>
      <c r="AW4" s="26" t="str">
        <f>IFERROR(__xludf.DUMMYFUNCTION("""COMPUTED_VALUE"""),"VerifyGridThroughLiveExcel")</f>
        <v>VerifyGridThroughLiveExcel</v>
      </c>
      <c r="AX4" s="26" t="str">
        <f>IFERROR(__xludf.DUMMYFUNCTION("""COMPUTED_VALUE"""),"ApplyColumnFilter")</f>
        <v>ApplyColumnFilter</v>
      </c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IFERROR(__xludf.DUMMYFUNCTION("""COMPUTED_VALUE"""),"DashboardName")</f>
        <v>DashboardName</v>
      </c>
      <c r="C5" s="28" t="str">
        <f>IFERROR(__xludf.DUMMYFUNCTION("""COMPUTED_VALUE"""),"Action")</f>
        <v>Action</v>
      </c>
      <c r="D5" s="28" t="str">
        <f>IFERROR(__xludf.DUMMYFUNCTION("""COMPUTED_VALUE"""),"RenameTabName")</f>
        <v>RenameTabName</v>
      </c>
      <c r="E5" s="28" t="str">
        <f>IFERROR(__xludf.DUMMYFUNCTION("""COMPUTED_VALUE"""),"VerifyToast")</f>
        <v>VerifyToast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 t="s">
        <v>27</v>
      </c>
      <c r="C6" s="32" t="s">
        <v>48</v>
      </c>
      <c r="D6" s="13"/>
      <c r="E6" s="35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SavePage!$4:$4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IFERROR(__xludf.DUMMYFUNCTION("""COMPUTED_VALUE"""),"Price")</f>
        <v>Price</v>
      </c>
      <c r="E5" s="28" t="str">
        <f>IFERROR(__xludf.DUMMYFUNCTION("""COMPUTED_VALUE"""),"Order type button")</f>
        <v>Order type button</v>
      </c>
      <c r="F5" s="29" t="str">
        <f>IFERROR(__xludf.DUMMYFUNCTION("""COMPUTED_VALUE"""),"SharesOutstandingPopUp")</f>
        <v>SharesOutstandingPopUp</v>
      </c>
      <c r="G5" s="28" t="str">
        <f>IFERROR(__xludf.DUMMYFUNCTION("""COMPUTED_VALUE"""),"TT_Open")</f>
        <v>TT_Open</v>
      </c>
      <c r="H5" s="28" t="str">
        <f>IFERROR(__xludf.DUMMYFUNCTION("""COMPUTED_VALUE"""),"SharesOutstandingPopUpQty")</f>
        <v>SharesOutstandingPopUpQty</v>
      </c>
      <c r="I5" s="28" t="str">
        <f>IFERROR(__xludf.DUMMYFUNCTION("""COMPUTED_VALUE"""),"AllocationMethod")</f>
        <v>AllocationMethod</v>
      </c>
      <c r="J5" s="28" t="str">
        <f>IFERROR(__xludf.DUMMYFUNCTION("""COMPUTED_VALUE"""),"Order Side")</f>
        <v>Order Side</v>
      </c>
      <c r="K5" s="28" t="str">
        <f>IFERROR(__xludf.DUMMYFUNCTION("""COMPUTED_VALUE"""),"DB_Check")</f>
        <v>DB_Check</v>
      </c>
      <c r="L5" s="28" t="str">
        <f>IFERROR(__xludf.DUMMYFUNCTION("""COMPUTED_VALUE"""),"CommissionBasis")</f>
        <v>CommissionBasis</v>
      </c>
      <c r="M5" s="28" t="str">
        <f>IFERROR(__xludf.DUMMYFUNCTION("""COMPUTED_VALUE"""),"CommissionRate")</f>
        <v>CommissionRate</v>
      </c>
      <c r="N5" s="28" t="str">
        <f>IFERROR(__xludf.DUMMYFUNCTION("""COMPUTED_VALUE"""),"SoftBasis")</f>
        <v>SoftBasis</v>
      </c>
      <c r="O5" s="28" t="str">
        <f>IFERROR(__xludf.DUMMYFUNCTION("""COMPUTED_VALUE"""),"SoftRate")</f>
        <v>SoftRate</v>
      </c>
      <c r="P5" s="28" t="str">
        <f>IFERROR(__xludf.DUMMYFUNCTION("""COMPUTED_VALUE"""),"Account")</f>
        <v>Account</v>
      </c>
      <c r="Q5" s="28" t="str">
        <f>IFERROR(__xludf.DUMMYFUNCTION("""COMPUTED_VALUE"""),"Account %")</f>
        <v>Account %</v>
      </c>
      <c r="R5" s="28" t="str">
        <f>IFERROR(__xludf.DUMMYFUNCTION("""COMPUTED_VALUE"""),"VerifySuggestions")</f>
        <v>VerifySuggestions</v>
      </c>
      <c r="S5" s="28" t="str">
        <f>IFERROR(__xludf.DUMMYFUNCTION("""COMPUTED_VALUE"""),"SymbolToPickFromSuggesstions")</f>
        <v>SymbolToPickFromSuggesstions</v>
      </c>
      <c r="T5" s="30" t="str">
        <f>IFERROR(__xludf.DUMMYFUNCTION("""COMPUTED_VALUE"""),"TypedSymbolAvailableOnSuggestion")</f>
        <v>TypedSymbolAvailableOnSuggestion</v>
      </c>
      <c r="U5" s="30" t="str">
        <f>IFERROR(__xludf.DUMMYFUNCTION("""COMPUTED_VALUE"""),"TIF")</f>
        <v>TIF</v>
      </c>
      <c r="V5" s="30" t="str">
        <f>IFERROR(__xludf.DUMMYFUNCTION("""COMPUTED_VALUE"""),"Order Type")</f>
        <v>Order Type</v>
      </c>
      <c r="W5" s="30" t="str">
        <f>IFERROR(__xludf.DUMMYFUNCTION("""COMPUTED_VALUE"""),"Stop")</f>
        <v>Stop</v>
      </c>
      <c r="X5" s="30" t="str">
        <f>IFERROR(__xludf.DUMMYFUNCTION("""COMPUTED_VALUE"""),"Limit")</f>
        <v>Limit</v>
      </c>
      <c r="Y5" s="30" t="str">
        <f>IFERROR(__xludf.DUMMYFUNCTION("""COMPUTED_VALUE"""),"Expiration Date")</f>
        <v>Expiration Date</v>
      </c>
      <c r="Z5" s="30" t="str">
        <f>IFERROR(__xludf.DUMMYFUNCTION("""COMPUTED_VALUE"""),"Trade Date")</f>
        <v>Trade Date</v>
      </c>
      <c r="AA5" s="30" t="str">
        <f>IFERROR(__xludf.DUMMYFUNCTION("""COMPUTED_VALUE"""),"Broker")</f>
        <v>Broker</v>
      </c>
      <c r="AB5" s="30" t="str">
        <f>IFERROR(__xludf.DUMMYFUNCTION("""COMPUTED_VALUE"""),"Padlock Visiblity")</f>
        <v>Padlock Visiblity</v>
      </c>
      <c r="AC5" s="30" t="str">
        <f>IFERROR(__xludf.DUMMYFUNCTION("""COMPUTED_VALUE"""),"Padlock Unlock")</f>
        <v>Padlock Unlock</v>
      </c>
      <c r="AD5" s="30" t="str">
        <f>IFERROR(__xludf.DUMMYFUNCTION("""COMPUTED_VALUE"""),"Venue")</f>
        <v>Venue</v>
      </c>
      <c r="AE5" s="30" t="str">
        <f>IFERROR(__xludf.DUMMYFUNCTION("""COMPUTED_VALUE"""),"Fx Rate")</f>
        <v>Fx Rate</v>
      </c>
      <c r="AF5" s="30" t="str">
        <f>IFERROR(__xludf.DUMMYFUNCTION("""COMPUTED_VALUE"""),"Fx Operator")</f>
        <v>Fx Operator</v>
      </c>
      <c r="AG5" s="30" t="str">
        <f>IFERROR(__xludf.DUMMYFUNCTION("""COMPUTED_VALUE"""),"PendingApprovalPopUp")</f>
        <v>PendingApprovalPopUp</v>
      </c>
      <c r="AH5" s="30" t="str">
        <f>IFERROR(__xludf.DUMMYFUNCTION("""COMPUTED_VALUE"""),"TradeBy")</f>
        <v>TradeBy</v>
      </c>
      <c r="AI5" s="30" t="str">
        <f>IFERROR(__xludf.DUMMYFUNCTION("""COMPUTED_VALUE"""),"BookAsSwap")</f>
        <v>BookAsSwap</v>
      </c>
      <c r="AJ5" s="30" t="str">
        <f>IFERROR(__xludf.DUMMYFUNCTION("""COMPUTED_VALUE"""),"RoundLot")</f>
        <v>RoundLot</v>
      </c>
      <c r="AK5" s="30" t="str">
        <f>IFERROR(__xludf.DUMMYFUNCTION("""COMPUTED_VALUE"""),"Increment")</f>
        <v>Increment</v>
      </c>
      <c r="AL5" s="30" t="str">
        <f>IFERROR(__xludf.DUMMYFUNCTION("""COMPUTED_VALUE"""),"Decrement")</f>
        <v>Decrement</v>
      </c>
      <c r="AM5" s="30" t="str">
        <f>IFERROR(__xludf.DUMMYFUNCTION("""COMPUTED_VALUE"""),"Trade Attribute 01")</f>
        <v>Trade Attribute 01</v>
      </c>
      <c r="AN5" s="30" t="str">
        <f>IFERROR(__xludf.DUMMYFUNCTION("""COMPUTED_VALUE"""),"Trade Attribute 02")</f>
        <v>Trade Attribute 02</v>
      </c>
      <c r="AO5" s="30" t="str">
        <f>IFERROR(__xludf.DUMMYFUNCTION("""COMPUTED_VALUE"""),"Trade Attribute 03")</f>
        <v>Trade Attribute 03</v>
      </c>
      <c r="AP5" s="30" t="str">
        <f>IFERROR(__xludf.DUMMYFUNCTION("""COMPUTED_VALUE"""),"Trade Attribute 04")</f>
        <v>Trade Attribute 04</v>
      </c>
      <c r="AQ5" s="30" t="str">
        <f>IFERROR(__xludf.DUMMYFUNCTION("""COMPUTED_VALUE"""),"Trade Attribute 05")</f>
        <v>Trade Attribute 05</v>
      </c>
      <c r="AR5" s="30" t="str">
        <f>IFERROR(__xludf.DUMMYFUNCTION("""COMPUTED_VALUE"""),"Trade Attribute 06")</f>
        <v>Trade Attribute 06</v>
      </c>
      <c r="AS5" s="30" t="str">
        <f>IFERROR(__xludf.DUMMYFUNCTION("""COMPUTED_VALUE"""),"Trade Attribute 01 suggestion")</f>
        <v>Trade Attribute 01 suggestion</v>
      </c>
      <c r="AT5" s="30" t="str">
        <f>IFERROR(__xludf.DUMMYFUNCTION("""COMPUTED_VALUE"""),"Trade Attribute 02 suggestion")</f>
        <v>Trade Attribute 02 suggestion</v>
      </c>
      <c r="AU5" s="30" t="str">
        <f>IFERROR(__xludf.DUMMYFUNCTION("""COMPUTED_VALUE"""),"Trade Attribute 03 suggestion")</f>
        <v>Trade Attribute 03 suggestion</v>
      </c>
      <c r="AV5" s="30" t="str">
        <f>IFERROR(__xludf.DUMMYFUNCTION("""COMPUTED_VALUE"""),"Trade Attribute 04 suggestion")</f>
        <v>Trade Attribute 04 suggestion</v>
      </c>
      <c r="AW5" s="30" t="str">
        <f>IFERROR(__xludf.DUMMYFUNCTION("""COMPUTED_VALUE"""),"Trade Attribute 05 suggestion")</f>
        <v>Trade Attribute 05 suggestion</v>
      </c>
      <c r="AX5" s="30" t="str">
        <f>IFERROR(__xludf.DUMMYFUNCTION("""COMPUTED_VALUE"""),"Trade Attribute 06 suggestion")</f>
        <v>Trade Attribute 06 suggestion</v>
      </c>
      <c r="AY5" s="30" t="str">
        <f>IFERROR(__xludf.DUMMYFUNCTION("""COMPUTED_VALUE"""),"Strategy")</f>
        <v>Strategy</v>
      </c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>
        <v>100.0</v>
      </c>
      <c r="D6" s="13">
        <v>20.0</v>
      </c>
      <c r="E6" s="13" t="s">
        <v>17</v>
      </c>
      <c r="F6" s="8"/>
      <c r="G6" s="8"/>
      <c r="H6" s="8"/>
      <c r="I6" s="13" t="s">
        <v>22</v>
      </c>
      <c r="J6" s="13" t="s">
        <v>19</v>
      </c>
      <c r="K6" s="8"/>
      <c r="L6" s="8"/>
      <c r="M6" s="8"/>
      <c r="N6" s="8"/>
      <c r="O6" s="8"/>
      <c r="AI6" s="9" t="s">
        <v>49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6.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13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IFERROR(__xludf.DUMMYFUNCTION("IF(C3="""","""",Transpose(IMPORTRANGE('_Settings'!$B$3,C3&amp;""!A4:A1000"")))"),"CheckSummaryDashboard")</f>
        <v>CheckSummaryDashboard</v>
      </c>
      <c r="C4" s="25" t="str">
        <f>IFERROR(__xludf.DUMMYFUNCTION("""COMPUTED_VALUE"""),"CheckFundLevelAggregation")</f>
        <v>CheckFundLevelAggregation</v>
      </c>
      <c r="D4" s="25" t="str">
        <f>IFERROR(__xludf.DUMMYFUNCTION("""COMPUTED_VALUE"""),"CheckAccountLevelAggregation")</f>
        <v>CheckAccountLevelAggregation</v>
      </c>
      <c r="E4" s="25" t="str">
        <f>IFERROR(__xludf.DUMMYFUNCTION("""COMPUTED_VALUE"""),"CheckSymbolLevelAggregation")</f>
        <v>CheckSymbolLevelAggregation</v>
      </c>
      <c r="F4" s="25" t="str">
        <f>IFERROR(__xludf.DUMMYFUNCTION("""COMPUTED_VALUE"""),"CheckRealTimeSymbolFundMonitor")</f>
        <v>CheckRealTimeSymbolFundMonitor</v>
      </c>
      <c r="G4" s="25" t="str">
        <f>IFERROR(__xludf.DUMMYFUNCTION("""COMPUTED_VALUE"""),"CheckRealTimeSymAccountMonitor")</f>
        <v>CheckRealTimeSymAccountMonitor</v>
      </c>
      <c r="H4" s="25" t="str">
        <f>IFERROR(__xludf.DUMMYFUNCTION("""COMPUTED_VALUE"""),"CreateDashBoard")</f>
        <v>CreateDashBoard</v>
      </c>
      <c r="I4" s="25" t="str">
        <f>IFERROR(__xludf.DUMMYFUNCTION("""COMPUTED_VALUE"""),"UpdateDashboardName")</f>
        <v>UpdateDashboardName</v>
      </c>
      <c r="J4" s="25" t="str">
        <f>IFERROR(__xludf.DUMMYFUNCTION("""COMPUTED_VALUE"""),"AddWidget")</f>
        <v>AddWidget</v>
      </c>
      <c r="K4" s="25" t="str">
        <f>IFERROR(__xludf.DUMMYFUNCTION("""COMPUTED_VALUE"""),"CheckDashboardWidgetTitle")</f>
        <v>CheckDashboardWidgetTitle</v>
      </c>
      <c r="L4" s="25" t="str">
        <f>IFERROR(__xludf.DUMMYFUNCTION("""COMPUTED_VALUE"""),"updateWidget")</f>
        <v>updateWidget</v>
      </c>
      <c r="M4" s="25" t="str">
        <f>IFERROR(__xludf.DUMMYFUNCTION("""COMPUTED_VALUE"""),"OpenRTPNL")</f>
        <v>OpenRTPNL</v>
      </c>
      <c r="N4" s="25" t="str">
        <f>IFERROR(__xludf.DUMMYFUNCTION("""COMPUTED_VALUE"""),"LinkDashboardTabs")</f>
        <v>LinkDashboardTabs</v>
      </c>
      <c r="O4" s="25" t="str">
        <f>IFERROR(__xludf.DUMMYFUNCTION("""COMPUTED_VALUE"""),"SelectDashboardTabRow")</f>
        <v>SelectDashboardTabRow</v>
      </c>
      <c r="P4" s="26" t="str">
        <f>IFERROR(__xludf.DUMMYFUNCTION("""COMPUTED_VALUE"""),"SelectRowAtFLAggregation")</f>
        <v>SelectRowAtFLAggregation</v>
      </c>
      <c r="Q4" s="26" t="str">
        <f>IFERROR(__xludf.DUMMYFUNCTION("""COMPUTED_VALUE"""),"SelectRowAtALAggregation")</f>
        <v>SelectRowAtALAggregation</v>
      </c>
      <c r="R4" s="26" t="str">
        <f>IFERROR(__xludf.DUMMYFUNCTION("""COMPUTED_VALUE"""),"SelectRowAtSLAggregation")</f>
        <v>SelectRowAtSLAggregation</v>
      </c>
      <c r="S4" s="26" t="str">
        <f>IFERROR(__xludf.DUMMYFUNCTION("""COMPUTED_VALUE"""),"SelectRowAtRTSFundMonitor")</f>
        <v>SelectRowAtRTSFundMonitor</v>
      </c>
      <c r="T4" s="26" t="str">
        <f>IFERROR(__xludf.DUMMYFUNCTION("""COMPUTED_VALUE"""),"SelectRowAtRTSAccountMonitor")</f>
        <v>SelectRowAtRTSAccountMonitor</v>
      </c>
      <c r="U4" s="26" t="str">
        <f>IFERROR(__xludf.DUMMYFUNCTION("""COMPUTED_VALUE"""),"FilterOnPMGrid")</f>
        <v>FilterOnPMGrid</v>
      </c>
      <c r="V4" s="26" t="str">
        <f>IFERROR(__xludf.DUMMYFUNCTION("""COMPUTED_VALUE"""),"SortOnPMGrid")</f>
        <v>SortOnPMGrid</v>
      </c>
      <c r="W4" s="26" t="str">
        <f>IFERROR(__xludf.DUMMYFUNCTION("""COMPUTED_VALUE"""),"ExtractTabOutsidePMDashboard")</f>
        <v>ExtractTabOutsidePMDashboard</v>
      </c>
      <c r="X4" s="26" t="str">
        <f>IFERROR(__xludf.DUMMYFUNCTION("""COMPUTED_VALUE"""),"SortRTSFM")</f>
        <v>SortRTSFM</v>
      </c>
      <c r="Y4" s="26" t="str">
        <f>IFERROR(__xludf.DUMMYFUNCTION("""COMPUTED_VALUE"""),"SortSLA")</f>
        <v>SortSLA</v>
      </c>
      <c r="Z4" s="26" t="str">
        <f>IFERROR(__xludf.DUMMYFUNCTION("""COMPUTED_VALUE"""),"SortFLA")</f>
        <v>SortFLA</v>
      </c>
      <c r="AA4" s="26" t="str">
        <f>IFERROR(__xludf.DUMMYFUNCTION("""COMPUTED_VALUE"""),"SortALA")</f>
        <v>SortALA</v>
      </c>
      <c r="AB4" s="26" t="str">
        <f>IFERROR(__xludf.DUMMYFUNCTION("""COMPUTED_VALUE"""),"FilterSLA")</f>
        <v>FilterSLA</v>
      </c>
      <c r="AC4" s="26" t="str">
        <f>IFERROR(__xludf.DUMMYFUNCTION("""COMPUTED_VALUE"""),"FilterRTSFM")</f>
        <v>FilterRTSFM</v>
      </c>
      <c r="AD4" s="26" t="str">
        <f>IFERROR(__xludf.DUMMYFUNCTION("""COMPUTED_VALUE"""),"FilterALA")</f>
        <v>FilterALA</v>
      </c>
      <c r="AE4" s="26" t="str">
        <f>IFERROR(__xludf.DUMMYFUNCTION("""COMPUTED_VALUE"""),"FilterFLA")</f>
        <v>FilterFLA</v>
      </c>
      <c r="AF4" s="26" t="str">
        <f>IFERROR(__xludf.DUMMYFUNCTION("""COMPUTED_VALUE"""),"SortRTSAM")</f>
        <v>SortRTSAM</v>
      </c>
      <c r="AG4" s="26" t="str">
        <f>IFERROR(__xludf.DUMMYFUNCTION("""COMPUTED_VALUE"""),"FilterRTSAM")</f>
        <v>FilterRTSAM</v>
      </c>
      <c r="AH4" s="26" t="str">
        <f>IFERROR(__xludf.DUMMYFUNCTION("""COMPUTED_VALUE"""),"SortRTSAM")</f>
        <v>SortRTSAM</v>
      </c>
      <c r="AI4" s="26" t="str">
        <f>IFERROR(__xludf.DUMMYFUNCTION("""COMPUTED_VALUE"""),"IncreaseOrUnwindPositionRTPNL")</f>
        <v>IncreaseOrUnwindPositionRTPNL</v>
      </c>
      <c r="AJ4" s="26" t="str">
        <f>IFERROR(__xludf.DUMMYFUNCTION("""COMPUTED_VALUE"""),"SavePage")</f>
        <v>SavePage</v>
      </c>
      <c r="AK4" s="26" t="str">
        <f>IFERROR(__xludf.DUMMYFUNCTION("""COMPUTED_VALUE"""),"CloseRTPNL")</f>
        <v>CloseRTPNL</v>
      </c>
      <c r="AL4" s="26" t="str">
        <f>IFERROR(__xludf.DUMMYFUNCTION("""COMPUTED_VALUE"""),"VerifyColumns")</f>
        <v>VerifyColumns</v>
      </c>
      <c r="AM4" s="26" t="str">
        <f>IFERROR(__xludf.DUMMYFUNCTION("""COMPUTED_VALUE"""),"ConfigureWidget")</f>
        <v>ConfigureWidget</v>
      </c>
      <c r="AN4" s="26" t="str">
        <f>IFERROR(__xludf.DUMMYFUNCTION("""COMPUTED_VALUE"""),"ChangeWidgetView")</f>
        <v>ChangeWidgetView</v>
      </c>
      <c r="AO4" s="26" t="str">
        <f>IFERROR(__xludf.DUMMYFUNCTION("""COMPUTED_VALUE"""),"ResizeEnsure")</f>
        <v>ResizeEnsure</v>
      </c>
      <c r="AP4" s="26" t="str">
        <f>IFERROR(__xludf.DUMMYFUNCTION("""COMPUTED_VALUE"""),"RenameTabs")</f>
        <v>RenameTabs</v>
      </c>
      <c r="AQ4" s="26" t="str">
        <f>IFERROR(__xludf.DUMMYFUNCTION("""COMPUTED_VALUE"""),"AddTabRTPNL")</f>
        <v>AddTabRTPNL</v>
      </c>
      <c r="AR4" s="26" t="str">
        <f>IFERROR(__xludf.DUMMYFUNCTION("""COMPUTED_VALUE"""),"MergeWindows")</f>
        <v>MergeWindows</v>
      </c>
      <c r="AS4" s="26" t="str">
        <f>IFERROR(__xludf.DUMMYFUNCTION("""COMPUTED_VALUE"""),"Grouping")</f>
        <v>Grouping</v>
      </c>
      <c r="AT4" s="26" t="str">
        <f>IFERROR(__xludf.DUMMYFUNCTION("""COMPUTED_VALUE"""),"CreateGroupingWidget")</f>
        <v>CreateGroupingWidget</v>
      </c>
      <c r="AU4" s="26" t="str">
        <f>IFERROR(__xludf.DUMMYFUNCTION("""COMPUTED_VALUE"""),"CheckGroupingWidget")</f>
        <v>CheckGroupingWidget</v>
      </c>
      <c r="AV4" s="26" t="str">
        <f>IFERROR(__xludf.DUMMYFUNCTION("""COMPUTED_VALUE"""),"VerifyL1L2PanelRTPNL")</f>
        <v>VerifyL1L2PanelRTPNL</v>
      </c>
      <c r="AW4" s="26" t="str">
        <f>IFERROR(__xludf.DUMMYFUNCTION("""COMPUTED_VALUE"""),"VerifyGridThroughLiveExcel")</f>
        <v>VerifyGridThroughLiveExcel</v>
      </c>
      <c r="AX4" s="26" t="str">
        <f>IFERROR(__xludf.DUMMYFUNCTION("""COMPUTED_VALUE"""),"ApplyColumnFilter")</f>
        <v>ApplyColumnFilter</v>
      </c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IFERROR(__xludf.DUMMYFUNCTION("""COMPUTED_VALUE"""),"Security Name")</f>
        <v>Security Name</v>
      </c>
      <c r="D5" s="28" t="str">
        <f>IFERROR(__xludf.DUMMYFUNCTION("""COMPUTED_VALUE"""),"Bloomberg Symbol")</f>
        <v>Bloomberg Symbol</v>
      </c>
      <c r="E5" s="28" t="str">
        <f>IFERROR(__xludf.DUMMYFUNCTION("""COMPUTED_VALUE"""),"Fund")</f>
        <v>Fund</v>
      </c>
      <c r="F5" s="29" t="str">
        <f>IFERROR(__xludf.DUMMYFUNCTION("""COMPUTED_VALUE"""),"Account")</f>
        <v>Account</v>
      </c>
      <c r="G5" s="28" t="str">
        <f>IFERROR(__xludf.DUMMYFUNCTION("""COMPUTED_VALUE"""),"Asset Class")</f>
        <v>Asset Class</v>
      </c>
      <c r="H5" s="28" t="str">
        <f>IFERROR(__xludf.DUMMYFUNCTION("""COMPUTED_VALUE"""),"Position")</f>
        <v>Position</v>
      </c>
      <c r="I5" s="28" t="str">
        <f>IFERROR(__xludf.DUMMYFUNCTION("""COMPUTED_VALUE"""),"Position Side")</f>
        <v>Position Side</v>
      </c>
      <c r="J5" s="28" t="str">
        <f>IFERROR(__xludf.DUMMYFUNCTION("""COMPUTED_VALUE"""),"Px Selected Feed (Local)")</f>
        <v>Px Selected Feed (Local)</v>
      </c>
      <c r="K5" s="28" t="str">
        <f>IFERROR(__xludf.DUMMYFUNCTION("""COMPUTED_VALUE"""),"Px Selected Feed (Base)")</f>
        <v>Px Selected Feed (Base)</v>
      </c>
      <c r="L5" s="28" t="str">
        <f>IFERROR(__xludf.DUMMYFUNCTION("""COMPUTED_VALUE"""),"Market Value (Base)")</f>
        <v>Market Value (Base)</v>
      </c>
      <c r="M5" s="28" t="str">
        <f>IFERROR(__xludf.DUMMYFUNCTION("""COMPUTED_VALUE"""),"% Net Market Value (Base)")</f>
        <v>% Net Market Value (Base)</v>
      </c>
      <c r="N5" s="28" t="str">
        <f>IFERROR(__xludf.DUMMYFUNCTION("""COMPUTED_VALUE"""),"Cost Basis P&amp;L (Base)")</f>
        <v>Cost Basis P&amp;L (Base)</v>
      </c>
      <c r="O5" s="28" t="str">
        <f>IFERROR(__xludf.DUMMYFUNCTION("""COMPUTED_VALUE"""),"% Gain/Loss Cost")</f>
        <v>% Gain/Loss Cost</v>
      </c>
      <c r="P5" s="28" t="str">
        <f>IFERROR(__xludf.DUMMYFUNCTION("""COMPUTED_VALUE"""),"Day P&amp;L (Base)")</f>
        <v>Day P&amp;L (Base)</v>
      </c>
      <c r="Q5" s="28" t="str">
        <f>IFERROR(__xludf.DUMMYFUNCTION("""COMPUTED_VALUE"""),"% Gain/Loss Day")</f>
        <v>% Gain/Loss Day</v>
      </c>
      <c r="R5" s="28" t="str">
        <f>IFERROR(__xludf.DUMMYFUNCTION("""COMPUTED_VALUE"""),"TabName")</f>
        <v>TabName</v>
      </c>
      <c r="S5" s="28" t="str">
        <f>IFERROR(__xludf.DUMMYFUNCTION("""COMPUTED_VALUE"""),"GridDataWidgetName")</f>
        <v>GridDataWidgetName</v>
      </c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35</v>
      </c>
      <c r="D6" s="13" t="s">
        <v>36</v>
      </c>
      <c r="E6" s="13" t="s">
        <v>45</v>
      </c>
      <c r="F6" s="13" t="s">
        <v>45</v>
      </c>
      <c r="G6" s="13" t="s">
        <v>45</v>
      </c>
      <c r="H6" s="13"/>
      <c r="I6" s="13"/>
      <c r="J6" s="8"/>
      <c r="K6" s="8"/>
      <c r="L6" s="8"/>
      <c r="M6" s="8"/>
      <c r="N6" s="8"/>
      <c r="O6" s="8"/>
      <c r="R6" s="9" t="s">
        <v>27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CheckGroupingWidget4!$4:$4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