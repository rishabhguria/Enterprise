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AddCalculatedPreferences" sheetId="6" r:id="rId8"/>
    <sheet state="visible" name="SetAccountValueCalculatedPref" sheetId="7" r:id="rId9"/>
    <sheet state="visible" name="SetDefaultRuleCalculatedPref" sheetId="8" r:id="rId10"/>
    <sheet state="visible" name="CreateDoneAwayOrder2" sheetId="9" r:id="rId11"/>
    <sheet state="visible" name="CreateDoneAwayOrder1" sheetId="10" r:id="rId12"/>
    <sheet state="visible" name="SelectTradeOnOrderGrid" sheetId="11" r:id="rId13"/>
    <sheet state="visible" name="ReplaceSubOrder" sheetId="12" r:id="rId14"/>
    <sheet state="visible" name="VerifyOrder" sheetId="13" r:id="rId15"/>
    <sheet state="visible" name="CreateReplaceOrder" sheetId="14" r:id="rId16"/>
    <sheet state="visible" name="GetDataAllocation" sheetId="15" r:id="rId17"/>
    <sheet state="visible" name="CheckAllocatedGroups" sheetId="16" r:id="rId18"/>
    <sheet state="visible" name="CheckAllocatedTaxlots" sheetId="17" r:id="rId19"/>
  </sheets>
  <definedNames/>
  <calcPr/>
</workbook>
</file>

<file path=xl/sharedStrings.xml><?xml version="1.0" encoding="utf-8"?>
<sst xmlns="http://schemas.openxmlformats.org/spreadsheetml/2006/main" count="169" uniqueCount="50">
  <si>
    <t>Modules Info</t>
  </si>
  <si>
    <t>Modules</t>
  </si>
  <si>
    <t>Settings</t>
  </si>
  <si>
    <t>Module Step Setting File</t>
  </si>
  <si>
    <t>1FGxALDJcb5ehnsyvPsvvK2RmR5w5NvwxselvS8Rk8g0</t>
  </si>
  <si>
    <t>Master Data Settings File</t>
  </si>
  <si>
    <t>1lSLsxI1ZBNjkQwgABAFqBKhaa9pxiZkc5yHFMddp-rY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</si>
  <si>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</si>
  <si>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</si>
  <si>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</si>
  <si>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</si>
  <si>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</si>
  <si>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</si>
  <si>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</si>
  <si>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</si>
  <si>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</si>
  <si>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</si>
  <si>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</si>
  <si>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AAPL</t>
  </si>
  <si>
    <t>Buy</t>
  </si>
  <si>
    <t>Allocation2,Allocation3</t>
  </si>
  <si>
    <t>60,40</t>
  </si>
  <si>
    <t>Allocation</t>
  </si>
  <si>
    <t>AddCalculatedPreferences</t>
  </si>
  <si>
    <t>prf</t>
  </si>
  <si>
    <t>SetAccountValueCalculatedPref</t>
  </si>
  <si>
    <t>Allocation2</t>
  </si>
  <si>
    <t>Allocation3</t>
  </si>
  <si>
    <t>SetDefaultRuleCalculatedPref</t>
  </si>
  <si>
    <t>Account Inception</t>
  </si>
  <si>
    <t>Sell</t>
  </si>
  <si>
    <t>Blotter</t>
  </si>
  <si>
    <t>SelectTradeOnOrderGrid</t>
  </si>
  <si>
    <t>Filled</t>
  </si>
  <si>
    <t>Multiple</t>
  </si>
  <si>
    <t>Market</t>
  </si>
  <si>
    <t>AAPL US EQUITY</t>
  </si>
  <si>
    <t>ReplaceSubOrder</t>
  </si>
  <si>
    <t>Equity</t>
  </si>
  <si>
    <t>VerifyOrder</t>
  </si>
  <si>
    <t>Replaced</t>
  </si>
  <si>
    <t>CreateReplaceOrder</t>
  </si>
  <si>
    <t>GetDataAllocation</t>
  </si>
  <si>
    <t>Current</t>
  </si>
  <si>
    <t>CheckAllocatedGroups</t>
  </si>
  <si>
    <t>APPLE</t>
  </si>
  <si>
    <t>CheckAllocatedTaxlots</t>
  </si>
  <si>
    <t>M</t>
  </si>
  <si>
    <t>Strategy Unallocated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</si>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</sst>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  <font>
      <sz val="9.0"/>
      <color rgb="FF00BFFF"/>
      <name val="&quot;Segoe UI&quot;"/>
    </font>
    <font>
      <sz val="11.0"/>
      <color rgb="FF000000"/>
      <name val="Calibri"/>
    </font>
    <font>
      <sz val="9.0"/>
      <color rgb="FF00BFFF"/>
      <name val="Segoe U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vertical="bottom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4" fontId="13" numFmtId="0" xfId="0" applyFont="1"/>
    <xf borderId="5" fillId="6" fontId="14" numFmtId="0" xfId="0" applyAlignment="1" applyBorder="1" applyFill="1" applyFont="1">
      <alignment horizontal="right" readingOrder="0" shrinkToFit="0" vertical="top" wrapText="0"/>
    </xf>
    <xf borderId="0" fillId="0" fontId="15" numFmtId="0" xfId="0" applyAlignment="1" applyFont="1">
      <alignment readingOrder="0" shrinkToFit="0" vertical="bottom" wrapText="0"/>
    </xf>
    <xf borderId="5" fillId="6" fontId="16" numFmtId="0" xfId="0" applyAlignment="1" applyBorder="1" applyFont="1">
      <alignment horizontal="right" vertical="top"/>
    </xf>
    <xf borderId="6" fillId="6" fontId="16" numFmtId="0" xfId="0" applyAlignment="1" applyBorder="1" applyFont="1">
      <alignment horizontal="right" vertical="top"/>
    </xf>
    <xf borderId="0" fillId="0" fontId="15" numFmtId="4" xfId="0" applyAlignment="1" applyFont="1" applyNumberFormat="1">
      <alignment horizontal="right"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IFERROR(__xludf.DUMMYFUNCTION("""COMPUTED_VALUE"""),"1PYf32wTc6i8YjkRz-Q53X6MYDiD5LoHyy9NsZwpOwGc")</f>
        <v>1PYf32wTc6i8YjkRz-Q53X6MYDiD5LoHyy9NsZwpOwGc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IFERROR(__xludf.DUMMYFUNCTION("""COMPUTED_VALUE"""),"LoginClient")</f>
        <v>LoginClient</v>
      </c>
      <c r="C542" t="str">
        <f>IFERROR(__xludf.DUMMYFUNCTION("""COMPUTED_VALUE"""),"1oOEnrCswh1E2gMB7QLb7Kzwn1g_U9MdoUM8ZuU4xpqM")</f>
        <v>1oOEnrCswh1E2gMB7QLb7Kzwn1g_U9MdoUM8ZuU4xpqM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IFERROR(__xludf.DUMMYFUNCTION("""COMPUTED_VALUE"""),"FilterClosing")</f>
        <v>FilterClosing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IFERROR(__xludf.DUMMYFUNCTION("""COMPUTED_VALUE"""),"1pdFEqsc_4THrGDE1qavQaCj0KaQ20GUEFd2XjfDOmPk")</f>
        <v>1pdFEqsc_4THrGDE1qavQaCj0KaQ20GUEFd2XjfDOmPk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IFERROR(__xludf.DUMMYFUNCTION("""COMPUTED_VALUE"""),"udefined")</f>
        <v>udefined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IFERROR(__xludf.DUMMYFUNCTION("""COMPUTED_VALUE"""),"1iChhEfb8DCsZyg5m84PN4CsxA2tDENmwCdmbzmoQoHE")</f>
        <v>1iChhEfb8DCsZyg5m84PN4CsxA2tDENmwCdmbzmoQoHE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IFERROR(__xludf.DUMMYFUNCTION("""COMPUTED_VALUE"""),"1AO8flsb1np8-QE3cpOuOXSPOifF5OPmbQZGGoztH7YU")</f>
        <v>1AO8flsb1np8-QE3cpOuOXSPOifF5OPmbQZGGoztH7YU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IFERROR(__xludf.DUMMYFUNCTION("""COMPUTED_VALUE"""),"1DL2O-ZHRQNYr5pr-1WcOs6dpLtXxNgOCD68FaIcscss")</f>
        <v>1DL2O-ZHRQNYr5pr-1WcOs6dpLtXxNgOCD68FaIcscss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IFERROR(__xludf.DUMMYFUNCTION("""COMPUTED_VALUE"""),"1vCJKU3C2pdulBoRr6HSP2n7y7_-tBtcnPLCUAOkGh9Y")</f>
        <v>1vCJKU3C2pdulBoRr6HSP2n7y7_-tBtcnPLCUAOkGh9Y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IFERROR(__xludf.DUMMYFUNCTION("""COMPUTED_VALUE"""),"1Rt9YEiWOkpM_6xJWq_IOac461RMIte3raiLVzVKmMsQ")</f>
        <v>1Rt9YEiWOkpM_6xJWq_IOac461RMIte3raiLVzVKmMsQ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 ")</f>
        <v>FilterClosing 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</row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IFERROR(__xludf.DUMMYFUNCTION("""COMPUTED_VALUE"""),"EnableDisableModule")</f>
        <v>EnableDisableModule</v>
      </c>
      <c r="M4" s="24" t="str">
        <f>IFERROR(__xludf.DUMMYFUNCTION("""COMPUTED_VALUE"""),"IsImportOverrideOnShortLocate")</f>
        <v>IsImportOverrideOnShortLocate</v>
      </c>
      <c r="N4" s="24" t="str">
        <f>IFERROR(__xludf.DUMMYFUNCTION("""COMPUTED_VALUE"""),"SetShortLocateStructures")</f>
        <v>SetShortLocateStructures</v>
      </c>
      <c r="O4" s="24" t="str">
        <f>IFERROR(__xludf.DUMMYFUNCTION("""COMPUTED_VALUE"""),"SetComplianceAlert")</f>
        <v>SetComplianceAlert</v>
      </c>
      <c r="P4" s="25" t="str">
        <f>IFERROR(__xludf.DUMMYFUNCTION("""COMPUTED_VALUE"""),"UpdateExpirationDate")</f>
        <v>UpdateExpirationDate</v>
      </c>
      <c r="Q4" s="25" t="str">
        <f>IFERROR(__xludf.DUMMYFUNCTION("""COMPUTED_VALUE"""),"RenameMasterStrategy")</f>
        <v>RenameMasterStrategy</v>
      </c>
      <c r="R4" s="25" t="str">
        <f>IFERROR(__xludf.DUMMYFUNCTION("""COMPUTED_VALUE"""),"SetTTUIAdminPreferences")</f>
        <v>SetTTUIAdminPreferences</v>
      </c>
      <c r="S4" s="25" t="str">
        <f>IFERROR(__xludf.DUMMYFUNCTION("""COMPUTED_VALUE"""),"UpdateSecFee")</f>
        <v>UpdateSecFee</v>
      </c>
      <c r="T4" s="25" t="str">
        <f>IFERROR(__xludf.DUMMYFUNCTION("""COMPUTED_VALUE"""),"UpdateFee")</f>
        <v>UpdateFee</v>
      </c>
      <c r="U4" s="25" t="str">
        <f>IFERROR(__xludf.DUMMYFUNCTION("""COMPUTED_VALUE"""),"RevertingSMSharesOutValue")</f>
        <v>RevertingSMSharesOutValue</v>
      </c>
      <c r="V4" s="25" t="str">
        <f>IFERROR(__xludf.DUMMYFUNCTION("""COMPUTED_VALUE"""),"SetTTUIAdminPreferences")</f>
        <v>SetTTUIAdminPreferences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IFERROR(__xludf.DUMMYFUNCTION("""COMPUTED_VALUE"""),"UpdateRoundLot")</f>
        <v>UpdateRoundLot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 t="str">
        <f>IFERROR(__xludf.DUMMYFUNCTION("""COMPUTED_VALUE"""),"IsInMarketIncluded")</f>
        <v>IsInMarketIncluded</v>
      </c>
      <c r="N5" s="27" t="str">
        <f>IFERROR(__xludf.DUMMYFUNCTION("""COMPUTED_VALUE"""),"IsSharesOutstandingRule")</f>
        <v>IsSharesOutstandingRule</v>
      </c>
      <c r="O5" s="27" t="str">
        <f>IFERROR(__xludf.DUMMYFUNCTION("""COMPUTED_VALUE"""),"SharesOutstandingPercent")</f>
        <v>SharesOutstandingPercent</v>
      </c>
      <c r="P5" s="27" t="str">
        <f>IFERROR(__xludf.DUMMYFUNCTION("""COMPUTED_VALUE"""),"SharesOutstandingAccountOrMF")</f>
        <v>SharesOutstandingAccountOrMF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b">
        <v>1</v>
      </c>
      <c r="C6" s="30" t="b">
        <v>1</v>
      </c>
      <c r="D6" s="30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 t="str">
        <f>IFERROR(__xludf.DUMMYFUNCTION("""COMPUTED_VALUE"""),"CreateReplaceLiveOrder")</f>
        <v>CreateReplaceLiveOrder</v>
      </c>
      <c r="AE4" s="25" t="str">
        <f>IFERROR(__xludf.DUMMYFUNCTION("""COMPUTED_VALUE"""),"CreateNewSubLiveOrder")</f>
        <v>CreateNewSubLiveOrder</v>
      </c>
      <c r="AF4" s="25" t="str">
        <f>IFERROR(__xludf.DUMMYFUNCTION("""COMPUTED_VALUE"""),"VerifyBasketExport")</f>
        <v>VerifyBasketExport</v>
      </c>
      <c r="AG4" s="25" t="str">
        <f>IFERROR(__xludf.DUMMYFUNCTION("""COMPUTED_VALUE"""),"CreateComplianceOrder")</f>
        <v>CreateComplianceOrder</v>
      </c>
      <c r="AH4" s="25" t="str">
        <f>IFERROR(__xludf.DUMMYFUNCTION("""COMPUTED_VALUE"""),"VerifyComplianceOrder")</f>
        <v>VerifyComplianceOrder</v>
      </c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18</v>
      </c>
      <c r="C6" s="30" t="s">
        <v>19</v>
      </c>
      <c r="D6" s="30">
        <v>1000.0</v>
      </c>
      <c r="E6" s="30"/>
      <c r="F6" s="8"/>
      <c r="G6" s="8"/>
      <c r="H6" s="8"/>
      <c r="I6" s="8"/>
      <c r="J6" s="30">
        <v>10.0</v>
      </c>
      <c r="K6" s="8"/>
      <c r="L6" s="8"/>
      <c r="M6" s="8"/>
      <c r="N6" s="8"/>
      <c r="O6" s="8"/>
      <c r="AK6" s="9" t="s">
        <v>20</v>
      </c>
      <c r="AL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 t="str">
        <f>IFERROR(__xludf.DUMMYFUNCTION("""COMPUTED_VALUE"""),"Unallocate")</f>
        <v>Unallocate</v>
      </c>
      <c r="DS4" s="25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5" t="str">
        <f>IFERROR(__xludf.DUMMYFUNCTION("""COMPUTED_VALUE"""),"CheckPreferences")</f>
        <v>CheckPreferences</v>
      </c>
      <c r="DV4" s="25" t="str">
        <f>IFERROR(__xludf.DUMMYFUNCTION("""COMPUTED_VALUE"""),"AllocateWithPopUp")</f>
        <v>AllocateWithPopUp</v>
      </c>
      <c r="DW4" s="25" t="str">
        <f>IFERROR(__xludf.DUMMYFUNCTION("""COMPUTED_VALUE"""),"SelectAllRowsAllocated")</f>
        <v>SelectAllRowsAllocated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24</v>
      </c>
      <c r="C6" s="8"/>
      <c r="D6" s="30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hyperlinks>
    <hyperlink r:id="rId1" ref="DT4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1svq-61dzaRHeNDz1TSSUPXQbbN3Mi4bhNQabvGVoz2c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 t="str">
        <f>IFERROR(__xludf.DUMMYFUNCTION("""COMPUTED_VALUE"""),"Unallocate")</f>
        <v>Unallocate</v>
      </c>
      <c r="DS4" s="25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5" t="str">
        <f>IFERROR(__xludf.DUMMYFUNCTION("""COMPUTED_VALUE"""),"CheckPreferences")</f>
        <v>CheckPreferences</v>
      </c>
      <c r="DV4" s="25" t="str">
        <f>IFERROR(__xludf.DUMMYFUNCTION("""COMPUTED_VALUE"""),"AllocateWithPopUp")</f>
        <v>AllocateWithPopUp</v>
      </c>
      <c r="DW4" s="25" t="str">
        <f>IFERROR(__xludf.DUMMYFUNCTION("""COMPUTED_VALUE"""),"SelectAllRowsAllocated")</f>
        <v>SelectAllRowsAllocated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24</v>
      </c>
      <c r="C6" s="30" t="s">
        <v>26</v>
      </c>
      <c r="D6" s="30">
        <v>80.0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30"/>
      <c r="B7" s="30" t="s">
        <v>24</v>
      </c>
      <c r="C7" s="30" t="s">
        <v>27</v>
      </c>
      <c r="D7" s="30">
        <v>20.0</v>
      </c>
      <c r="E7" s="31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1j6MD8nFEuJNo52Mp8uXbXRmrJs802rnEIiTOEuZFdWA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 t="str">
        <f>IFERROR(__xludf.DUMMYFUNCTION("""COMPUTED_VALUE"""),"Unallocate")</f>
        <v>Unallocate</v>
      </c>
      <c r="DS4" s="25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5" t="str">
        <f>IFERROR(__xludf.DUMMYFUNCTION("""COMPUTED_VALUE"""),"CheckPreferences")</f>
        <v>CheckPreferences</v>
      </c>
      <c r="DV4" s="25" t="str">
        <f>IFERROR(__xludf.DUMMYFUNCTION("""COMPUTED_VALUE"""),"AllocateWithPopUp")</f>
        <v>AllocateWithPopUp</v>
      </c>
      <c r="DW4" s="25" t="str">
        <f>IFERROR(__xludf.DUMMYFUNCTION("""COMPUTED_VALUE"""),"SelectAllRowsAllocated")</f>
        <v>SelectAllRowsAllocated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8"/>
      <c r="D6" s="30" t="s">
        <v>29</v>
      </c>
      <c r="E6" s="31"/>
      <c r="F6" s="8"/>
      <c r="G6" s="30" t="b">
        <v>0</v>
      </c>
      <c r="H6" s="30" t="s">
        <v>24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 t="str">
        <f>IFERROR(__xludf.DUMMYFUNCTION("""COMPUTED_VALUE"""),"CreateReplaceLiveOrder")</f>
        <v>CreateReplaceLiveOrder</v>
      </c>
      <c r="AE4" s="25" t="str">
        <f>IFERROR(__xludf.DUMMYFUNCTION("""COMPUTED_VALUE"""),"CreateNewSubLiveOrder")</f>
        <v>CreateNewSubLiveOrder</v>
      </c>
      <c r="AF4" s="25" t="str">
        <f>IFERROR(__xludf.DUMMYFUNCTION("""COMPUTED_VALUE"""),"VerifyBasketExport")</f>
        <v>VerifyBasketExport</v>
      </c>
      <c r="AG4" s="25" t="str">
        <f>IFERROR(__xludf.DUMMYFUNCTION("""COMPUTED_VALUE"""),"CreateComplianceOrder")</f>
        <v>CreateComplianceOrder</v>
      </c>
      <c r="AH4" s="25" t="str">
        <f>IFERROR(__xludf.DUMMYFUNCTION("""COMPUTED_VALUE"""),"VerifyComplianceOrder")</f>
        <v>VerifyComplianceOrder</v>
      </c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18</v>
      </c>
      <c r="C6" s="30" t="s">
        <v>30</v>
      </c>
      <c r="D6" s="30">
        <v>1200.0</v>
      </c>
      <c r="E6" s="31"/>
      <c r="F6" s="30" t="s">
        <v>24</v>
      </c>
      <c r="G6" s="8"/>
      <c r="H6" s="8"/>
      <c r="I6" s="8"/>
      <c r="J6" s="30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 t="str">
        <f>IFERROR(__xludf.DUMMYFUNCTION("""COMPUTED_VALUE"""),"CreateReplaceLiveOrder")</f>
        <v>CreateReplaceLiveOrder</v>
      </c>
      <c r="AE4" s="25" t="str">
        <f>IFERROR(__xludf.DUMMYFUNCTION("""COMPUTED_VALUE"""),"CreateNewSubLiveOrder")</f>
        <v>CreateNewSubLiveOrder</v>
      </c>
      <c r="AF4" s="25" t="str">
        <f>IFERROR(__xludf.DUMMYFUNCTION("""COMPUTED_VALUE"""),"VerifyBasketExport")</f>
        <v>VerifyBasketExport</v>
      </c>
      <c r="AG4" s="25" t="str">
        <f>IFERROR(__xludf.DUMMYFUNCTION("""COMPUTED_VALUE"""),"CreateComplianceOrder")</f>
        <v>CreateComplianceOrder</v>
      </c>
      <c r="AH4" s="25" t="str">
        <f>IFERROR(__xludf.DUMMYFUNCTION("""COMPUTED_VALUE"""),"VerifyComplianceOrder")</f>
        <v>VerifyComplianceOrder</v>
      </c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18</v>
      </c>
      <c r="C6" s="30" t="s">
        <v>19</v>
      </c>
      <c r="D6" s="30">
        <v>200.0</v>
      </c>
      <c r="E6" s="31"/>
      <c r="F6" s="30" t="s">
        <v>26</v>
      </c>
      <c r="G6" s="8"/>
      <c r="H6" s="8"/>
      <c r="I6" s="8"/>
      <c r="J6" s="30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IFERROR(__xludf.DUMMYFUNCTION("""COMPUTED_VALUE"""),"AllocateFromBlotter")</f>
        <v>AllocateFromBlotter</v>
      </c>
      <c r="BK4" s="25" t="str">
        <f>IFERROR(__xludf.DUMMYFUNCTION("""COMPUTED_VALUE"""),"ViewPTTAllocationDetails")</f>
        <v>ViewPTTAllocationDetails</v>
      </c>
      <c r="BL4" s="25" t="str">
        <f>IFERROR(__xludf.DUMMYFUNCTION("""COMPUTED_VALUE"""),"MergeOrder")</f>
        <v>MergeOrder</v>
      </c>
      <c r="BM4" s="25" t="str">
        <f>IFERROR(__xludf.DUMMYFUNCTION("""COMPUTED_VALUE"""),"VerifyMergeOrder")</f>
        <v>VerifyMergeOrder</v>
      </c>
      <c r="BN4" s="25" t="str">
        <f>IFERROR(__xludf.DUMMYFUNCTION("""COMPUTED_VALUE"""),"AddTabOnWatchlist")</f>
        <v>AddTabOnWatchlist</v>
      </c>
      <c r="BO4" s="25" t="str">
        <f>IFERROR(__xludf.DUMMYFUNCTION("""COMPUTED_VALUE"""),"AddTab")</f>
        <v>AddTab</v>
      </c>
      <c r="BP4" s="25" t="str">
        <f>IFERROR(__xludf.DUMMYFUNCTION("""COMPUTED_VALUE"""),"AddTabBlotter")</f>
        <v>AddTabBlotter</v>
      </c>
      <c r="BQ4" s="25" t="str">
        <f>IFERROR(__xludf.DUMMYFUNCTION("""COMPUTED_VALUE"""),"VerifyLowerStripBlotterUI")</f>
        <v>VerifyLowerStripBlotterUI</v>
      </c>
      <c r="BR4" s="25" t="str">
        <f>IFERROR(__xludf.DUMMYFUNCTION("""COMPUTED_VALUE"""),"SaveOrRemoveInSummaryTab")</f>
        <v>SaveOrRemoveInSummaryTab</v>
      </c>
      <c r="BS4" s="25" t="str">
        <f>IFERROR(__xludf.DUMMYFUNCTION("""COMPUTED_VALUE"""),"SaveOrRemoveInWorkingSubsTab")</f>
        <v>SaveOrRemoveInWorkingSubsTab</v>
      </c>
      <c r="BT4" s="25" t="str">
        <f>IFERROR(__xludf.DUMMYFUNCTION("""COMPUTED_VALUE"""),"SelectCheckBoxOnOrderGrid")</f>
        <v>SelectCheckBoxOnOrderGrid</v>
      </c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8"/>
      <c r="D6" s="33" t="s">
        <v>18</v>
      </c>
      <c r="F6" s="33" t="s">
        <v>30</v>
      </c>
      <c r="G6" s="33" t="s">
        <v>33</v>
      </c>
      <c r="H6" s="33">
        <v>1200.0</v>
      </c>
      <c r="I6" s="33">
        <v>1200.0</v>
      </c>
      <c r="J6" s="8"/>
      <c r="K6" s="8"/>
      <c r="L6" s="8"/>
      <c r="M6" s="8"/>
      <c r="N6" s="33">
        <v>10.0</v>
      </c>
      <c r="P6" s="33">
        <v>10.0</v>
      </c>
      <c r="R6" s="33" t="s">
        <v>34</v>
      </c>
      <c r="T6" s="33" t="s">
        <v>35</v>
      </c>
      <c r="U6" s="33">
        <v>-12000.0</v>
      </c>
      <c r="V6" s="33">
        <v>-12000.0</v>
      </c>
      <c r="AB6" s="34" t="s">
        <v>36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IFERROR(__xludf.DUMMYFUNCTION("""COMPUTED_VALUE"""),"AllocateFromBlotter")</f>
        <v>AllocateFromBlotter</v>
      </c>
      <c r="BK4" s="25" t="str">
        <f>IFERROR(__xludf.DUMMYFUNCTION("""COMPUTED_VALUE"""),"ViewPTTAllocationDetails")</f>
        <v>ViewPTTAllocationDetails</v>
      </c>
      <c r="BL4" s="25" t="str">
        <f>IFERROR(__xludf.DUMMYFUNCTION("""COMPUTED_VALUE"""),"MergeOrder")</f>
        <v>MergeOrder</v>
      </c>
      <c r="BM4" s="25" t="str">
        <f>IFERROR(__xludf.DUMMYFUNCTION("""COMPUTED_VALUE"""),"VerifyMergeOrder")</f>
        <v>VerifyMergeOrder</v>
      </c>
      <c r="BN4" s="25" t="str">
        <f>IFERROR(__xludf.DUMMYFUNCTION("""COMPUTED_VALUE"""),"AddTabOnWatchlist")</f>
        <v>AddTabOnWatchlist</v>
      </c>
      <c r="BO4" s="25" t="str">
        <f>IFERROR(__xludf.DUMMYFUNCTION("""COMPUTED_VALUE"""),"AddTab")</f>
        <v>AddTab</v>
      </c>
      <c r="BP4" s="25" t="str">
        <f>IFERROR(__xludf.DUMMYFUNCTION("""COMPUTED_VALUE"""),"AddTabBlotter")</f>
        <v>AddTabBlotter</v>
      </c>
      <c r="BQ4" s="25" t="str">
        <f>IFERROR(__xludf.DUMMYFUNCTION("""COMPUTED_VALUE"""),"VerifyLowerStripBlotterUI")</f>
        <v>VerifyLowerStripBlotterUI</v>
      </c>
      <c r="BR4" s="25" t="str">
        <f>IFERROR(__xludf.DUMMYFUNCTION("""COMPUTED_VALUE"""),"SaveOrRemoveInSummaryTab")</f>
        <v>SaveOrRemoveInSummaryTab</v>
      </c>
      <c r="BS4" s="25" t="str">
        <f>IFERROR(__xludf.DUMMYFUNCTION("""COMPUTED_VALUE"""),"SaveOrRemoveInWorkingSubsTab")</f>
        <v>SaveOrRemoveInWorkingSubsTab</v>
      </c>
      <c r="BT4" s="25" t="str">
        <f>IFERROR(__xludf.DUMMYFUNCTION("""COMPUTED_VALUE"""),"SelectCheckBoxOnOrderGrid")</f>
        <v>SelectCheckBoxOnOrderGrid</v>
      </c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8"/>
      <c r="D6" s="30"/>
      <c r="E6" s="34" t="s">
        <v>36</v>
      </c>
      <c r="F6" s="8"/>
      <c r="G6" s="8"/>
      <c r="H6" s="8"/>
      <c r="I6" s="8"/>
      <c r="J6" s="8"/>
      <c r="K6" s="8"/>
      <c r="L6" s="8"/>
      <c r="M6" s="8"/>
      <c r="N6" s="8"/>
      <c r="O6" s="8"/>
      <c r="AE6" s="9">
        <v>1.0</v>
      </c>
      <c r="AI6" s="9" t="s">
        <v>38</v>
      </c>
      <c r="AJ6" s="33" t="s">
        <v>18</v>
      </c>
      <c r="AK6" s="33" t="s">
        <v>30</v>
      </c>
      <c r="AL6" s="33" t="s">
        <v>33</v>
      </c>
      <c r="AM6" s="33">
        <v>1200.0</v>
      </c>
      <c r="AU6" s="35" t="s">
        <v>34</v>
      </c>
      <c r="AV6" s="36" t="s">
        <v>35</v>
      </c>
      <c r="AW6" s="36">
        <v>-12000.0</v>
      </c>
      <c r="AX6" s="36">
        <v>-12000.0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IFERROR(__xludf.DUMMYFUNCTION("""COMPUTED_VALUE"""),"AllocateFromBlotter")</f>
        <v>AllocateFromBlotter</v>
      </c>
      <c r="BK4" s="25" t="str">
        <f>IFERROR(__xludf.DUMMYFUNCTION("""COMPUTED_VALUE"""),"ViewPTTAllocationDetails")</f>
        <v>ViewPTTAllocationDetails</v>
      </c>
      <c r="BL4" s="25" t="str">
        <f>IFERROR(__xludf.DUMMYFUNCTION("""COMPUTED_VALUE"""),"MergeOrder")</f>
        <v>MergeOrder</v>
      </c>
      <c r="BM4" s="25" t="str">
        <f>IFERROR(__xludf.DUMMYFUNCTION("""COMPUTED_VALUE"""),"VerifyMergeOrder")</f>
        <v>VerifyMergeOrder</v>
      </c>
      <c r="BN4" s="25" t="str">
        <f>IFERROR(__xludf.DUMMYFUNCTION("""COMPUTED_VALUE"""),"AddTabOnWatchlist")</f>
        <v>AddTabOnWatchlist</v>
      </c>
      <c r="BO4" s="25" t="str">
        <f>IFERROR(__xludf.DUMMYFUNCTION("""COMPUTED_VALUE"""),"AddTab")</f>
        <v>AddTab</v>
      </c>
      <c r="BP4" s="25" t="str">
        <f>IFERROR(__xludf.DUMMYFUNCTION("""COMPUTED_VALUE"""),"AddTabBlotter")</f>
        <v>AddTabBlotter</v>
      </c>
      <c r="BQ4" s="25" t="str">
        <f>IFERROR(__xludf.DUMMYFUNCTION("""COMPUTED_VALUE"""),"VerifyLowerStripBlotterUI")</f>
        <v>VerifyLowerStripBlotterUI</v>
      </c>
      <c r="BR4" s="25" t="str">
        <f>IFERROR(__xludf.DUMMYFUNCTION("""COMPUTED_VALUE"""),"SaveOrRemoveInSummaryTab")</f>
        <v>SaveOrRemoveInSummaryTab</v>
      </c>
      <c r="BS4" s="25" t="str">
        <f>IFERROR(__xludf.DUMMYFUNCTION("""COMPUTED_VALUE"""),"SaveOrRemoveInWorkingSubsTab")</f>
        <v>SaveOrRemoveInWorkingSubsTab</v>
      </c>
      <c r="BT4" s="25" t="str">
        <f>IFERROR(__xludf.DUMMYFUNCTION("""COMPUTED_VALUE"""),"SelectCheckBoxOnOrderGrid")</f>
        <v>SelectCheckBoxOnOrderGrid</v>
      </c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8"/>
      <c r="D6" s="30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H6" s="33" t="s">
        <v>38</v>
      </c>
      <c r="AI6" s="33" t="s">
        <v>18</v>
      </c>
      <c r="AJ6" s="33" t="s">
        <v>30</v>
      </c>
      <c r="AK6" s="33" t="s">
        <v>40</v>
      </c>
      <c r="AL6" s="33">
        <v>1500.0</v>
      </c>
      <c r="AM6" s="33">
        <v>1200.0</v>
      </c>
      <c r="AQ6" s="33">
        <v>0.0</v>
      </c>
      <c r="AR6" s="33">
        <v>10.0</v>
      </c>
      <c r="AV6" s="33">
        <v>-12000.0</v>
      </c>
      <c r="AW6" s="33">
        <v>-12000.0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 t="str">
        <f>IFERROR(__xludf.DUMMYFUNCTION("""COMPUTED_VALUE"""),"CreateReplaceLiveOrder")</f>
        <v>CreateReplaceLiveOrder</v>
      </c>
      <c r="AE4" s="25" t="str">
        <f>IFERROR(__xludf.DUMMYFUNCTION("""COMPUTED_VALUE"""),"CreateNewSubLiveOrder")</f>
        <v>CreateNewSubLiveOrder</v>
      </c>
      <c r="AF4" s="25" t="str">
        <f>IFERROR(__xludf.DUMMYFUNCTION("""COMPUTED_VALUE"""),"VerifyBasketExport")</f>
        <v>VerifyBasketExport</v>
      </c>
      <c r="AG4" s="25" t="str">
        <f>IFERROR(__xludf.DUMMYFUNCTION("""COMPUTED_VALUE"""),"CreateComplianceOrder")</f>
        <v>CreateComplianceOrder</v>
      </c>
      <c r="AH4" s="25" t="str">
        <f>IFERROR(__xludf.DUMMYFUNCTION("""COMPUTED_VALUE"""),"VerifyComplianceOrder")</f>
        <v>VerifyComplianceOrder</v>
      </c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18</v>
      </c>
      <c r="C6" s="30" t="s">
        <v>30</v>
      </c>
      <c r="D6" s="30">
        <v>1500.0</v>
      </c>
      <c r="E6" s="31"/>
      <c r="F6" s="30" t="s">
        <v>24</v>
      </c>
      <c r="G6" s="8"/>
      <c r="H6" s="8"/>
      <c r="I6" s="8"/>
      <c r="J6" s="30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 t="str">
        <f>IFERROR(__xludf.DUMMYFUNCTION("""COMPUTED_VALUE"""),"Unallocate")</f>
        <v>Unallocate</v>
      </c>
      <c r="DS4" s="25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5" t="str">
        <f>IFERROR(__xludf.DUMMYFUNCTION("""COMPUTED_VALUE"""),"CheckPreferences")</f>
        <v>CheckPreferences</v>
      </c>
      <c r="DV4" s="25" t="str">
        <f>IFERROR(__xludf.DUMMYFUNCTION("""COMPUTED_VALUE"""),"AllocateWithPopUp")</f>
        <v>AllocateWithPopUp</v>
      </c>
      <c r="DW4" s="25" t="str">
        <f>IFERROR(__xludf.DUMMYFUNCTION("""COMPUTED_VALUE"""),"SelectAllRowsAllocated")</f>
        <v>SelectAllRowsAllocated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43</v>
      </c>
      <c r="C6" s="8"/>
      <c r="D6" s="30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 t="str">
        <f>IFERROR(__xludf.DUMMYFUNCTION("""COMPUTED_VALUE"""),"Unallocate")</f>
        <v>Unallocate</v>
      </c>
      <c r="DS4" s="25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5" t="str">
        <f>IFERROR(__xludf.DUMMYFUNCTION("""COMPUTED_VALUE"""),"CheckPreferences")</f>
        <v>CheckPreferences</v>
      </c>
      <c r="DV4" s="25" t="str">
        <f>IFERROR(__xludf.DUMMYFUNCTION("""COMPUTED_VALUE"""),"AllocateWithPopUp")</f>
        <v>AllocateWithPopUp</v>
      </c>
      <c r="DW4" s="25" t="str">
        <f>IFERROR(__xludf.DUMMYFUNCTION("""COMPUTED_VALUE"""),"SelectAllRowsAllocated")</f>
        <v>SelectAllRowsAllocated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34</v>
      </c>
      <c r="C6" s="8"/>
      <c r="D6" s="30"/>
      <c r="E6" s="37">
        <v>1000.0</v>
      </c>
      <c r="F6" s="8"/>
      <c r="G6" s="8"/>
      <c r="H6" s="38">
        <v>4.0</v>
      </c>
      <c r="I6" s="38">
        <v>5.0</v>
      </c>
      <c r="J6" s="8"/>
      <c r="K6" s="38">
        <v>10.0</v>
      </c>
      <c r="L6" s="38">
        <v>10.0</v>
      </c>
      <c r="M6" s="34" t="s">
        <v>36</v>
      </c>
      <c r="N6" s="8"/>
      <c r="O6" s="8"/>
      <c r="V6" s="34" t="s">
        <v>45</v>
      </c>
      <c r="AT6" s="37">
        <v>10014.0056</v>
      </c>
      <c r="AU6" s="37">
        <v>10014.0056</v>
      </c>
      <c r="BE6" s="37">
        <v>10000.0</v>
      </c>
      <c r="BF6" s="37">
        <v>10000.0</v>
      </c>
      <c r="BJ6" s="37">
        <v>1000.0</v>
      </c>
      <c r="BO6" s="9" t="s">
        <v>19</v>
      </c>
      <c r="BT6" s="34" t="s">
        <v>18</v>
      </c>
    </row>
    <row r="7" ht="15.75" customHeight="1">
      <c r="A7" s="8"/>
      <c r="B7" s="34" t="s">
        <v>26</v>
      </c>
      <c r="C7" s="8"/>
      <c r="D7" s="8"/>
      <c r="E7" s="38">
        <v>200.0</v>
      </c>
      <c r="F7" s="8"/>
      <c r="G7" s="8"/>
      <c r="H7" s="38">
        <v>4.0</v>
      </c>
      <c r="I7" s="38">
        <v>5.0</v>
      </c>
      <c r="J7" s="8"/>
      <c r="K7" s="38">
        <v>10.0</v>
      </c>
      <c r="L7" s="38">
        <v>10.0</v>
      </c>
      <c r="M7" s="34" t="s">
        <v>36</v>
      </c>
      <c r="N7" s="8"/>
      <c r="O7" s="8"/>
      <c r="V7" s="34" t="s">
        <v>45</v>
      </c>
      <c r="AT7" s="37">
        <v>2014.0011</v>
      </c>
      <c r="AU7" s="37">
        <v>2014.0011</v>
      </c>
      <c r="BE7" s="37">
        <v>2000.0</v>
      </c>
      <c r="BF7" s="37">
        <v>2000.0</v>
      </c>
      <c r="BJ7" s="38">
        <v>200.0</v>
      </c>
      <c r="BO7" s="9" t="s">
        <v>19</v>
      </c>
      <c r="BT7" s="34" t="s">
        <v>18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 t="str">
        <f>IFERROR(__xludf.DUMMYFUNCTION("""COMPUTED_VALUE"""),"Unallocate")</f>
        <v>Unallocate</v>
      </c>
      <c r="DS4" s="25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5" t="str">
        <f>IFERROR(__xludf.DUMMYFUNCTION("""COMPUTED_VALUE"""),"CheckPreferences")</f>
        <v>CheckPreferences</v>
      </c>
      <c r="DV4" s="25" t="str">
        <f>IFERROR(__xludf.DUMMYFUNCTION("""COMPUTED_VALUE"""),"AllocateWithPopUp")</f>
        <v>AllocateWithPopUp</v>
      </c>
      <c r="DW4" s="25" t="str">
        <f>IFERROR(__xludf.DUMMYFUNCTION("""COMPUTED_VALUE"""),"SelectAllRowsAllocated")</f>
        <v>SelectAllRowsAllocated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IFERROR(__xludf.DUMMYFUNCTION("""COMPUTED_VALUE"""),"Net Amount(Local)")</f>
        <v>Net Amount(Local)</v>
      </c>
      <c r="C5" s="27" t="str">
        <f>IFERROR(__xludf.DUMMYFUNCTION("""COMPUTED_VALUE"""),"Net Amount(Base)")</f>
        <v>Net Amount(Base)</v>
      </c>
      <c r="D5" s="27" t="str">
        <f>IFERROR(__xludf.DUMMYFUNCTION("""COMPUTED_VALUE"""),"Principal Amount(Local)")</f>
        <v>Principal Amount(Local)</v>
      </c>
      <c r="E5" s="27" t="str">
        <f>IFERROR(__xludf.DUMMYFUNCTION("""COMPUTED_VALUE"""),"Principal Amount(Base)")</f>
        <v>Principal Amount(Base)</v>
      </c>
      <c r="F5" s="28" t="str">
        <f>IFERROR(__xludf.DUMMYFUNCTION("""COMPUTED_VALUE"""),"FX Conversion Operator")</f>
        <v>FX Conversion Operator</v>
      </c>
      <c r="G5" s="27" t="str">
        <f>IFERROR(__xludf.DUMMYFUNCTION("""COMPUTED_VALUE"""),"TaxLotID")</f>
        <v>TaxLotID</v>
      </c>
      <c r="H5" s="27" t="str">
        <f>IFERROR(__xludf.DUMMYFUNCTION("""COMPUTED_VALUE"""),"Settlement Currency")</f>
        <v>Settlement Currency</v>
      </c>
      <c r="I5" s="27" t="str">
        <f>IFERROR(__xludf.DUMMYFUNCTION("""COMPUTED_VALUE"""),"Trade Attribute 1")</f>
        <v>Trade Attribute 1</v>
      </c>
      <c r="J5" s="27" t="str">
        <f>IFERROR(__xludf.DUMMYFUNCTION("""COMPUTED_VALUE"""),"Trade Attribute 2")</f>
        <v>Trade Attribute 2</v>
      </c>
      <c r="K5" s="27" t="str">
        <f>IFERROR(__xludf.DUMMYFUNCTION("""COMPUTED_VALUE"""),"Trade Attribute 3")</f>
        <v>Trade Attribute 3</v>
      </c>
      <c r="L5" s="27" t="str">
        <f>IFERROR(__xludf.DUMMYFUNCTION("""COMPUTED_VALUE"""),"Trade Attribute 4")</f>
        <v>Trade Attribute 4</v>
      </c>
      <c r="M5" s="27" t="str">
        <f>IFERROR(__xludf.DUMMYFUNCTION("""COMPUTED_VALUE"""),"Trade Attribute 5")</f>
        <v>Trade Attribute 5</v>
      </c>
      <c r="N5" s="27" t="str">
        <f>IFERROR(__xludf.DUMMYFUNCTION("""COMPUTED_VALUE"""),"Trade Attribute 6")</f>
        <v>Trade Attribute 6</v>
      </c>
      <c r="O5" s="27" t="str">
        <f>IFERROR(__xludf.DUMMYFUNCTION("""COMPUTED_VALUE"""),"Account Name")</f>
        <v>Account Name</v>
      </c>
      <c r="P5" s="27" t="str">
        <f>IFERROR(__xludf.DUMMYFUNCTION("""COMPUTED_VALUE"""),"Strategy Name")</f>
        <v>Strategy Name</v>
      </c>
      <c r="Q5" s="27" t="str">
        <f>IFERROR(__xludf.DUMMYFUNCTION("""COMPUTED_VALUE"""),"Percentage")</f>
        <v>Percentage</v>
      </c>
      <c r="R5" s="27" t="str">
        <f>IFERROR(__xludf.DUMMYFUNCTION("""COMPUTED_VALUE"""),"Taxlot Qty")</f>
        <v>Taxlot Qty</v>
      </c>
      <c r="S5" s="27" t="str">
        <f>IFERROR(__xludf.DUMMYFUNCTION("""COMPUTED_VALUE"""),"Commission")</f>
        <v>Commission</v>
      </c>
      <c r="T5" s="29" t="str">
        <f>IFERROR(__xludf.DUMMYFUNCTION("""COMPUTED_VALUE"""),"Soft Commission")</f>
        <v>Soft Commission</v>
      </c>
      <c r="U5" s="29" t="str">
        <f>IFERROR(__xludf.DUMMYFUNCTION("""COMPUTED_VALUE"""),"Other Broker Fees")</f>
        <v>Other Broker Fees</v>
      </c>
      <c r="V5" s="29" t="str">
        <f>IFERROR(__xludf.DUMMYFUNCTION("""COMPUTED_VALUE"""),"Clearing Broker Fees")</f>
        <v>Clearing Broker Fees</v>
      </c>
      <c r="W5" s="29" t="str">
        <f>IFERROR(__xludf.DUMMYFUNCTION("""COMPUTED_VALUE"""),"Stamp Duty")</f>
        <v>Stamp Duty</v>
      </c>
      <c r="X5" s="29" t="str">
        <f>IFERROR(__xludf.DUMMYFUNCTION("""COMPUTED_VALUE"""),"Transaction Levy")</f>
        <v>Transaction Levy</v>
      </c>
      <c r="Y5" s="29" t="str">
        <f>IFERROR(__xludf.DUMMYFUNCTION("""COMPUTED_VALUE"""),"AUEC Fee1")</f>
        <v>AUEC Fee1</v>
      </c>
      <c r="Z5" s="29" t="str">
        <f>IFERROR(__xludf.DUMMYFUNCTION("""COMPUTED_VALUE"""),"Tax On Commissions")</f>
        <v>Tax On Commissions</v>
      </c>
      <c r="AA5" s="29" t="str">
        <f>IFERROR(__xludf.DUMMYFUNCTION("""COMPUTED_VALUE"""),"AUEC Fee2")</f>
        <v>AUEC Fee2</v>
      </c>
      <c r="AB5" s="29" t="str">
        <f>IFERROR(__xludf.DUMMYFUNCTION("""COMPUTED_VALUE"""),"SEC Fee")</f>
        <v>SEC Fee</v>
      </c>
      <c r="AC5" s="29" t="str">
        <f>IFERROR(__xludf.DUMMYFUNCTION("""COMPUTED_VALUE"""),"OCC Fee")</f>
        <v>OCC Fee</v>
      </c>
      <c r="AD5" s="29" t="str">
        <f>IFERROR(__xludf.DUMMYFUNCTION("""COMPUTED_VALUE"""),"ORF Fee")</f>
        <v>ORF Fee</v>
      </c>
      <c r="AE5" s="29" t="str">
        <f>IFERROR(__xludf.DUMMYFUNCTION("""COMPUTED_VALUE"""),"Option Premium Adjustment")</f>
        <v>Option Premium Adjustment</v>
      </c>
      <c r="AF5" s="29" t="str">
        <f>IFERROR(__xludf.DUMMYFUNCTION("""COMPUTED_VALUE"""),"Closing Status")</f>
        <v>Closing Status</v>
      </c>
      <c r="AG5" s="29" t="str">
        <f>IFERROR(__xludf.DUMMYFUNCTION("""COMPUTED_VALUE"""),"External Transaction ID")</f>
        <v>External Transaction ID</v>
      </c>
      <c r="AH5" s="29" t="str">
        <f>IFERROR(__xludf.DUMMYFUNCTION("""COMPUTED_VALUE"""),"Lot ID")</f>
        <v>Lot ID</v>
      </c>
      <c r="AI5" s="29" t="str">
        <f>IFERROR(__xludf.DUMMYFUNCTION("""COMPUTED_VALUE"""),"AvgPriceBase")</f>
        <v>AvgPriceBase</v>
      </c>
      <c r="AJ5" s="29" t="str">
        <f>IFERROR(__xludf.DUMMYFUNCTION("""COMPUTED_VALUE"""),"Accrued Interest")</f>
        <v>Accrued Interest</v>
      </c>
      <c r="AK5" s="29" t="str">
        <f>IFERROR(__xludf.DUMMYFUNCTION("""COMPUTED_VALUE"""),"FXRate")</f>
        <v>FXRate</v>
      </c>
      <c r="AL5" s="29" t="str">
        <f>IFERROR(__xludf.DUMMYFUNCTION("""COMPUTED_VALUE"""),"Change Type")</f>
        <v>Change Type</v>
      </c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7"/>
      <c r="B6" s="37">
        <v>6008.40336</v>
      </c>
      <c r="C6" s="37">
        <v>6008.40336</v>
      </c>
      <c r="D6" s="37">
        <v>6000.0</v>
      </c>
      <c r="E6" s="37">
        <v>6000.0</v>
      </c>
      <c r="F6" s="34" t="s">
        <v>47</v>
      </c>
      <c r="G6" s="8"/>
      <c r="H6" s="8"/>
      <c r="I6" s="8"/>
      <c r="J6" s="8"/>
      <c r="K6" s="8"/>
      <c r="L6" s="8"/>
      <c r="M6" s="8"/>
      <c r="N6" s="8"/>
      <c r="O6" s="34" t="s">
        <v>26</v>
      </c>
      <c r="P6" s="34" t="s">
        <v>48</v>
      </c>
      <c r="Q6" s="38">
        <v>60.0</v>
      </c>
      <c r="R6" s="38">
        <v>600.0</v>
      </c>
      <c r="S6" s="38">
        <v>0.0</v>
      </c>
      <c r="T6" s="38">
        <v>0.0</v>
      </c>
      <c r="U6" s="38">
        <v>0.0</v>
      </c>
      <c r="V6" s="38">
        <v>0.0</v>
      </c>
      <c r="W6" s="38">
        <v>0.00336</v>
      </c>
      <c r="Y6" s="38">
        <v>2.4</v>
      </c>
      <c r="Z6" s="38">
        <v>1.8</v>
      </c>
      <c r="AA6" s="38">
        <v>3.0</v>
      </c>
      <c r="AB6" s="38">
        <v>0.0</v>
      </c>
      <c r="AC6" s="38">
        <v>0.0</v>
      </c>
      <c r="AD6" s="38">
        <v>0.0</v>
      </c>
      <c r="AE6" s="38">
        <v>0.0</v>
      </c>
      <c r="AF6" s="34" t="s">
        <v>49</v>
      </c>
      <c r="AG6" s="39"/>
      <c r="AH6" s="39"/>
    </row>
    <row r="7" ht="15.75" customHeight="1">
      <c r="A7" s="37"/>
      <c r="B7" s="37">
        <v>4005.60224</v>
      </c>
      <c r="C7" s="37">
        <v>4005.60224</v>
      </c>
      <c r="D7" s="37">
        <v>4000.0</v>
      </c>
      <c r="E7" s="37">
        <v>4000.0</v>
      </c>
      <c r="F7" s="34" t="s">
        <v>47</v>
      </c>
      <c r="G7" s="8"/>
      <c r="H7" s="8"/>
      <c r="I7" s="8"/>
      <c r="J7" s="8"/>
      <c r="K7" s="8"/>
      <c r="L7" s="8"/>
      <c r="M7" s="8"/>
      <c r="N7" s="8"/>
      <c r="O7" s="30" t="s">
        <v>27</v>
      </c>
      <c r="P7" s="34" t="s">
        <v>48</v>
      </c>
      <c r="Q7" s="38">
        <v>40.0</v>
      </c>
      <c r="R7" s="38">
        <v>400.0</v>
      </c>
      <c r="S7" s="38">
        <v>0.0</v>
      </c>
      <c r="T7" s="38">
        <v>0.0</v>
      </c>
      <c r="U7" s="38">
        <v>0.0</v>
      </c>
      <c r="V7" s="38">
        <v>0.0</v>
      </c>
      <c r="W7" s="38">
        <v>0.00224</v>
      </c>
      <c r="Y7" s="38">
        <v>1.6</v>
      </c>
      <c r="Z7" s="38">
        <v>1.2</v>
      </c>
      <c r="AA7" s="38">
        <v>2.0</v>
      </c>
      <c r="AB7" s="38">
        <v>0.0</v>
      </c>
      <c r="AC7" s="38">
        <v>0.0</v>
      </c>
      <c r="AD7" s="38">
        <v>0.0</v>
      </c>
      <c r="AE7" s="38">
        <v>0.0</v>
      </c>
      <c r="AF7" s="34" t="s">
        <v>49</v>
      </c>
      <c r="AG7" s="39"/>
      <c r="AH7" s="39"/>
    </row>
    <row r="8" ht="15.75" customHeight="1">
      <c r="A8" s="37"/>
      <c r="B8" s="37">
        <v>2014.0011</v>
      </c>
      <c r="C8" s="37">
        <v>2014.0011</v>
      </c>
      <c r="D8" s="37">
        <v>2000.0</v>
      </c>
      <c r="E8" s="37">
        <v>2000.0</v>
      </c>
      <c r="F8" s="34" t="s">
        <v>47</v>
      </c>
      <c r="G8" s="8"/>
      <c r="H8" s="8"/>
      <c r="I8" s="8"/>
      <c r="J8" s="8"/>
      <c r="K8" s="8"/>
      <c r="L8" s="8"/>
      <c r="M8" s="8"/>
      <c r="N8" s="8"/>
      <c r="O8" s="34" t="s">
        <v>26</v>
      </c>
      <c r="P8" s="34" t="s">
        <v>48</v>
      </c>
      <c r="Q8" s="38">
        <v>100.0</v>
      </c>
      <c r="R8" s="38">
        <v>200.0</v>
      </c>
      <c r="S8" s="38">
        <v>0.0</v>
      </c>
      <c r="T8" s="38">
        <v>0.0</v>
      </c>
      <c r="U8" s="38">
        <v>0.0</v>
      </c>
      <c r="V8" s="38">
        <v>0.0</v>
      </c>
      <c r="W8" s="38">
        <v>0.0011</v>
      </c>
      <c r="Y8" s="38">
        <v>4.0</v>
      </c>
      <c r="Z8" s="38">
        <v>3.0</v>
      </c>
      <c r="AA8" s="38">
        <v>5.0</v>
      </c>
      <c r="AB8" s="38">
        <v>0.0</v>
      </c>
      <c r="AC8" s="38">
        <v>0.0</v>
      </c>
      <c r="AD8" s="38">
        <v>0.0</v>
      </c>
      <c r="AE8" s="38">
        <v>0.0</v>
      </c>
      <c r="AF8" s="34" t="s">
        <v>49</v>
      </c>
      <c r="AG8" s="39"/>
      <c r="AH8" s="39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