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0" activeTab="14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UpdateMasterFundOnTT" sheetId="6" r:id="rId6"/>
    <sheet name="CreateDoneAwayOrder" sheetId="7" r:id="rId7"/>
    <sheet name="UpdateMasterFundOnTT1" sheetId="8" r:id="rId8"/>
    <sheet name="CreateDoneAwayOrder1" sheetId="9" r:id="rId9"/>
    <sheet name="UpdateMasterFundOnTT2" sheetId="10" r:id="rId10"/>
    <sheet name="CreateDoneAwayOrder2" sheetId="11" r:id="rId11"/>
    <sheet name="VerifyOrder" sheetId="12" r:id="rId12"/>
    <sheet name="GetDataAllocation" sheetId="13" r:id="rId13"/>
    <sheet name="CheckUnallocatedGroups" sheetId="14" r:id="rId14"/>
    <sheet name="CheckPortfolioManagement" sheetId="15" r:id="rId15"/>
  </sheets>
  <calcPr calcId="145621"/>
</workbook>
</file>

<file path=xl/calcChain.xml><?xml version="1.0" encoding="utf-8"?>
<calcChain xmlns="http://schemas.openxmlformats.org/spreadsheetml/2006/main">
  <c r="BK5" i="15" l="1"/>
  <c r="FB5" i="15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X4" i="15"/>
  <c r="P4" i="15"/>
  <c r="H4" i="15"/>
  <c r="CQ5" i="14"/>
  <c r="CI5" i="14"/>
  <c r="CA5" i="14"/>
  <c r="BS5" i="14"/>
  <c r="BK5" i="14"/>
  <c r="BC5" i="14"/>
  <c r="AU5" i="14"/>
  <c r="AM5" i="14"/>
  <c r="AE5" i="14"/>
  <c r="W5" i="14"/>
  <c r="O5" i="14"/>
  <c r="G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R5" i="13"/>
  <c r="J5" i="13"/>
  <c r="B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AV5" i="12"/>
  <c r="AN5" i="12"/>
  <c r="AF5" i="12"/>
  <c r="X5" i="12"/>
  <c r="P5" i="12"/>
  <c r="H5" i="12"/>
  <c r="AZ4" i="12"/>
  <c r="AR4" i="12"/>
  <c r="AJ4" i="12"/>
  <c r="AB4" i="12"/>
  <c r="T4" i="12"/>
  <c r="L4" i="12"/>
  <c r="D4" i="12"/>
  <c r="AL5" i="11"/>
  <c r="AD5" i="11"/>
  <c r="V5" i="11"/>
  <c r="N5" i="11"/>
  <c r="F5" i="11"/>
  <c r="Y4" i="11"/>
  <c r="Q4" i="11"/>
  <c r="I4" i="11"/>
  <c r="V4" i="10"/>
  <c r="N4" i="10"/>
  <c r="F4" i="10"/>
  <c r="AN5" i="9"/>
  <c r="AF5" i="9"/>
  <c r="X5" i="9"/>
  <c r="P5" i="9"/>
  <c r="H5" i="9"/>
  <c r="AA4" i="9"/>
  <c r="S4" i="9"/>
  <c r="K4" i="9"/>
  <c r="C4" i="9"/>
  <c r="X4" i="8"/>
  <c r="P4" i="8"/>
  <c r="H4" i="8"/>
  <c r="AP5" i="7"/>
  <c r="AH5" i="7"/>
  <c r="Z5" i="7"/>
  <c r="R5" i="7"/>
  <c r="J5" i="7"/>
  <c r="B5" i="7"/>
  <c r="U4" i="7"/>
  <c r="M4" i="7"/>
  <c r="E4" i="7"/>
  <c r="Z4" i="6"/>
  <c r="R4" i="6"/>
  <c r="J4" i="6"/>
  <c r="B4" i="6"/>
  <c r="DM4" i="5"/>
  <c r="DE4" i="5"/>
  <c r="CW4" i="5"/>
  <c r="CO4" i="5"/>
  <c r="CG4" i="5"/>
  <c r="BY4" i="5"/>
  <c r="BQ4" i="5"/>
  <c r="BI4" i="5"/>
  <c r="BA4" i="5"/>
  <c r="FA5" i="15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W4" i="15"/>
  <c r="O4" i="15"/>
  <c r="G4" i="15"/>
  <c r="CP5" i="14"/>
  <c r="CH5" i="14"/>
  <c r="BZ5" i="14"/>
  <c r="BR5" i="14"/>
  <c r="BJ5" i="14"/>
  <c r="BB5" i="14"/>
  <c r="AT5" i="14"/>
  <c r="AL5" i="14"/>
  <c r="AD5" i="14"/>
  <c r="V5" i="14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AU5" i="12"/>
  <c r="AM5" i="12"/>
  <c r="AE5" i="12"/>
  <c r="W5" i="12"/>
  <c r="O5" i="12"/>
  <c r="G5" i="12"/>
  <c r="AY4" i="12"/>
  <c r="AQ4" i="12"/>
  <c r="AI4" i="12"/>
  <c r="AA4" i="12"/>
  <c r="S4" i="12"/>
  <c r="K4" i="12"/>
  <c r="C4" i="12"/>
  <c r="AK5" i="11"/>
  <c r="AC5" i="11"/>
  <c r="U5" i="11"/>
  <c r="M5" i="11"/>
  <c r="E5" i="11"/>
  <c r="X4" i="11"/>
  <c r="P4" i="11"/>
  <c r="H4" i="11"/>
  <c r="B5" i="10"/>
  <c r="U4" i="10"/>
  <c r="M4" i="10"/>
  <c r="E4" i="10"/>
  <c r="AM5" i="9"/>
  <c r="AE5" i="9"/>
  <c r="W5" i="9"/>
  <c r="O5" i="9"/>
  <c r="G5" i="9"/>
  <c r="Z4" i="9"/>
  <c r="R4" i="9"/>
  <c r="J4" i="9"/>
  <c r="B4" i="9"/>
  <c r="W4" i="8"/>
  <c r="O4" i="8"/>
  <c r="G4" i="8"/>
  <c r="AO5" i="7"/>
  <c r="AG5" i="7"/>
  <c r="Y5" i="7"/>
  <c r="Q5" i="7"/>
  <c r="I5" i="7"/>
  <c r="A5" i="7"/>
  <c r="T4" i="7"/>
  <c r="L4" i="7"/>
  <c r="D4" i="7"/>
  <c r="Y4" i="6"/>
  <c r="Q4" i="6"/>
  <c r="I4" i="6"/>
  <c r="DL4" i="5"/>
  <c r="DD4" i="5"/>
  <c r="CV4" i="5"/>
  <c r="CN4" i="5"/>
  <c r="CF4" i="5"/>
  <c r="EZ5" i="15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V4" i="15"/>
  <c r="N4" i="15"/>
  <c r="F4" i="15"/>
  <c r="CO5" i="14"/>
  <c r="CG5" i="14"/>
  <c r="BY5" i="14"/>
  <c r="BQ5" i="14"/>
  <c r="BI5" i="14"/>
  <c r="BA5" i="14"/>
  <c r="AS5" i="14"/>
  <c r="AK5" i="14"/>
  <c r="AC5" i="14"/>
  <c r="U5" i="14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AT5" i="12"/>
  <c r="AL5" i="12"/>
  <c r="AD5" i="12"/>
  <c r="V5" i="12"/>
  <c r="N5" i="12"/>
  <c r="F5" i="12"/>
  <c r="AX4" i="12"/>
  <c r="AP4" i="12"/>
  <c r="AH4" i="12"/>
  <c r="Z4" i="12"/>
  <c r="R4" i="12"/>
  <c r="J4" i="12"/>
  <c r="B4" i="12"/>
  <c r="AJ5" i="11"/>
  <c r="AB5" i="11"/>
  <c r="T5" i="11"/>
  <c r="L5" i="11"/>
  <c r="D5" i="11"/>
  <c r="W4" i="11"/>
  <c r="O4" i="11"/>
  <c r="G4" i="11"/>
  <c r="A5" i="10"/>
  <c r="T4" i="10"/>
  <c r="L4" i="10"/>
  <c r="D4" i="10"/>
  <c r="AL5" i="9"/>
  <c r="AD5" i="9"/>
  <c r="V5" i="9"/>
  <c r="N5" i="9"/>
  <c r="F5" i="9"/>
  <c r="Y4" i="9"/>
  <c r="Q4" i="9"/>
  <c r="I4" i="9"/>
  <c r="EY5" i="15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U4" i="15"/>
  <c r="M4" i="15"/>
  <c r="E4" i="15"/>
  <c r="CN5" i="14"/>
  <c r="CF5" i="14"/>
  <c r="BX5" i="14"/>
  <c r="BP5" i="14"/>
  <c r="BH5" i="14"/>
  <c r="AZ5" i="14"/>
  <c r="AR5" i="14"/>
  <c r="AJ5" i="14"/>
  <c r="AB5" i="14"/>
  <c r="T5" i="14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BA5" i="12"/>
  <c r="AS5" i="12"/>
  <c r="AK5" i="12"/>
  <c r="AC5" i="12"/>
  <c r="U5" i="12"/>
  <c r="M5" i="12"/>
  <c r="E5" i="12"/>
  <c r="AW4" i="12"/>
  <c r="AO4" i="12"/>
  <c r="AG4" i="12"/>
  <c r="Y4" i="12"/>
  <c r="Q4" i="12"/>
  <c r="I4" i="12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T4" i="15"/>
  <c r="L4" i="15"/>
  <c r="D4" i="15"/>
  <c r="CM5" i="14"/>
  <c r="CE5" i="14"/>
  <c r="BW5" i="14"/>
  <c r="BO5" i="14"/>
  <c r="BG5" i="14"/>
  <c r="AY5" i="14"/>
  <c r="AQ5" i="14"/>
  <c r="AI5" i="14"/>
  <c r="AA5" i="14"/>
  <c r="S5" i="14"/>
  <c r="K5" i="14"/>
  <c r="C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N5" i="13"/>
  <c r="F5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AZ5" i="12"/>
  <c r="AR5" i="12"/>
  <c r="AJ5" i="12"/>
  <c r="AB5" i="12"/>
  <c r="T5" i="12"/>
  <c r="L5" i="12"/>
  <c r="D5" i="12"/>
  <c r="AV4" i="12"/>
  <c r="AN4" i="12"/>
  <c r="AF4" i="12"/>
  <c r="X4" i="12"/>
  <c r="P4" i="12"/>
  <c r="H4" i="12"/>
  <c r="AP5" i="11"/>
  <c r="AH5" i="11"/>
  <c r="Z5" i="11"/>
  <c r="R5" i="11"/>
  <c r="J5" i="11"/>
  <c r="B5" i="11"/>
  <c r="U4" i="11"/>
  <c r="M4" i="11"/>
  <c r="E4" i="11"/>
  <c r="Z4" i="10"/>
  <c r="R4" i="10"/>
  <c r="J4" i="10"/>
  <c r="B4" i="10"/>
  <c r="AJ5" i="9"/>
  <c r="AB5" i="9"/>
  <c r="T5" i="9"/>
  <c r="L5" i="9"/>
  <c r="D5" i="9"/>
  <c r="W4" i="9"/>
  <c r="O4" i="9"/>
  <c r="G4" i="9"/>
  <c r="A5" i="8"/>
  <c r="T4" i="8"/>
  <c r="L4" i="8"/>
  <c r="D4" i="8"/>
  <c r="AL5" i="7"/>
  <c r="AD5" i="7"/>
  <c r="V5" i="7"/>
  <c r="N5" i="7"/>
  <c r="F5" i="7"/>
  <c r="Y4" i="7"/>
  <c r="Q4" i="7"/>
  <c r="I4" i="7"/>
  <c r="V4" i="6"/>
  <c r="N4" i="6"/>
  <c r="F4" i="6"/>
  <c r="DQ4" i="5"/>
  <c r="DI4" i="5"/>
  <c r="DA4" i="5"/>
  <c r="CS4" i="5"/>
  <c r="CK4" i="5"/>
  <c r="CC4" i="5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Z4" i="15"/>
  <c r="R4" i="15"/>
  <c r="J4" i="15"/>
  <c r="B4" i="15"/>
  <c r="CK5" i="14"/>
  <c r="CC5" i="14"/>
  <c r="BU5" i="14"/>
  <c r="BM5" i="14"/>
  <c r="BE5" i="14"/>
  <c r="AW5" i="14"/>
  <c r="AO5" i="14"/>
  <c r="AG5" i="14"/>
  <c r="Y5" i="14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AX5" i="12"/>
  <c r="AP5" i="12"/>
  <c r="AH5" i="12"/>
  <c r="Z5" i="12"/>
  <c r="R5" i="12"/>
  <c r="J5" i="12"/>
  <c r="B5" i="12"/>
  <c r="AT4" i="12"/>
  <c r="AL4" i="12"/>
  <c r="AD4" i="12"/>
  <c r="V4" i="12"/>
  <c r="N4" i="12"/>
  <c r="F4" i="12"/>
  <c r="AN5" i="11"/>
  <c r="AF5" i="11"/>
  <c r="X5" i="11"/>
  <c r="P5" i="11"/>
  <c r="H5" i="11"/>
  <c r="AA4" i="11"/>
  <c r="S4" i="11"/>
  <c r="K4" i="11"/>
  <c r="C4" i="11"/>
  <c r="X4" i="10"/>
  <c r="P4" i="10"/>
  <c r="H4" i="10"/>
  <c r="AP5" i="9"/>
  <c r="AH5" i="9"/>
  <c r="Z5" i="9"/>
  <c r="R5" i="9"/>
  <c r="J5" i="9"/>
  <c r="B5" i="9"/>
  <c r="U4" i="9"/>
  <c r="M4" i="9"/>
  <c r="E4" i="9"/>
  <c r="Z4" i="8"/>
  <c r="R4" i="8"/>
  <c r="J4" i="8"/>
  <c r="B4" i="8"/>
  <c r="AJ5" i="7"/>
  <c r="AB5" i="7"/>
  <c r="T5" i="7"/>
  <c r="L5" i="7"/>
  <c r="D5" i="7"/>
  <c r="W4" i="7"/>
  <c r="O4" i="7"/>
  <c r="G4" i="7"/>
  <c r="A5" i="6"/>
  <c r="T4" i="6"/>
  <c r="L4" i="6"/>
  <c r="D4" i="6"/>
  <c r="DO4" i="5"/>
  <c r="DG4" i="5"/>
  <c r="CY4" i="5"/>
  <c r="CQ4" i="5"/>
  <c r="CI4" i="5"/>
  <c r="EU5" i="15"/>
  <c r="EM5" i="15"/>
  <c r="EE5" i="15"/>
  <c r="DW5" i="15"/>
  <c r="DO5" i="15"/>
  <c r="DG5" i="15"/>
  <c r="CY5" i="15"/>
  <c r="CQ5" i="15"/>
  <c r="CI5" i="15"/>
  <c r="CA5" i="15"/>
  <c r="BS5" i="15"/>
  <c r="BC5" i="15"/>
  <c r="AU5" i="15"/>
  <c r="AM5" i="15"/>
  <c r="AE5" i="15"/>
  <c r="W5" i="15"/>
  <c r="O5" i="15"/>
  <c r="G5" i="15"/>
  <c r="Y4" i="15"/>
  <c r="Q4" i="15"/>
  <c r="I4" i="15"/>
  <c r="CJ5" i="14"/>
  <c r="CB5" i="14"/>
  <c r="BT5" i="14"/>
  <c r="BL5" i="14"/>
  <c r="BD5" i="14"/>
  <c r="AV5" i="14"/>
  <c r="AN5" i="14"/>
  <c r="AF5" i="14"/>
  <c r="X5" i="14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K5" i="13"/>
  <c r="C5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AW5" i="12"/>
  <c r="AO5" i="12"/>
  <c r="AG5" i="12"/>
  <c r="Y5" i="12"/>
  <c r="Q5" i="12"/>
  <c r="I5" i="12"/>
  <c r="A5" i="12"/>
  <c r="AS4" i="12"/>
  <c r="AK4" i="12"/>
  <c r="AC4" i="12"/>
  <c r="U4" i="12"/>
  <c r="M4" i="12"/>
  <c r="E4" i="12"/>
  <c r="AM5" i="11"/>
  <c r="AE5" i="11"/>
  <c r="W5" i="11"/>
  <c r="O5" i="11"/>
  <c r="G5" i="11"/>
  <c r="Z4" i="11"/>
  <c r="R4" i="11"/>
  <c r="J4" i="11"/>
  <c r="B4" i="11"/>
  <c r="W4" i="10"/>
  <c r="O4" i="10"/>
  <c r="G4" i="10"/>
  <c r="AO5" i="9"/>
  <c r="AG5" i="9"/>
  <c r="Y5" i="9"/>
  <c r="Q5" i="9"/>
  <c r="I5" i="9"/>
  <c r="A5" i="9"/>
  <c r="T4" i="9"/>
  <c r="L4" i="9"/>
  <c r="D4" i="9"/>
  <c r="Y4" i="8"/>
  <c r="Q4" i="8"/>
  <c r="I4" i="8"/>
  <c r="AI5" i="7"/>
  <c r="AA5" i="7"/>
  <c r="EW5" i="15"/>
  <c r="CK5" i="15"/>
  <c r="Y5" i="15"/>
  <c r="CD5" i="14"/>
  <c r="R5" i="14"/>
  <c r="BW4" i="14"/>
  <c r="K4" i="14"/>
  <c r="CH4" i="13"/>
  <c r="V4" i="13"/>
  <c r="K5" i="12"/>
  <c r="AO5" i="11"/>
  <c r="I5" i="11"/>
  <c r="D4" i="11"/>
  <c r="K5" i="9"/>
  <c r="F4" i="9"/>
  <c r="K4" i="8"/>
  <c r="AE5" i="7"/>
  <c r="M5" i="7"/>
  <c r="X4" i="7"/>
  <c r="H4" i="7"/>
  <c r="U4" i="6"/>
  <c r="E4" i="6"/>
  <c r="DH4" i="5"/>
  <c r="CR4" i="5"/>
  <c r="CB4" i="5"/>
  <c r="BS4" i="5"/>
  <c r="BJ4" i="5"/>
  <c r="AZ4" i="5"/>
  <c r="AR4" i="5"/>
  <c r="AJ4" i="5"/>
  <c r="AB4" i="5"/>
  <c r="T4" i="5"/>
  <c r="L4" i="5"/>
  <c r="D4" i="5"/>
  <c r="G5" i="4"/>
  <c r="I4" i="4"/>
  <c r="A19" i="3"/>
  <c r="A17" i="3"/>
  <c r="A15" i="3"/>
  <c r="A13" i="3"/>
  <c r="A11" i="3"/>
  <c r="A9" i="3"/>
  <c r="A7" i="3"/>
  <c r="A5" i="3"/>
  <c r="C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EO5" i="15"/>
  <c r="CC5" i="15"/>
  <c r="Q5" i="15"/>
  <c r="BV5" i="14"/>
  <c r="J5" i="14"/>
  <c r="BO4" i="14"/>
  <c r="C4" i="14"/>
  <c r="BZ4" i="13"/>
  <c r="N4" i="13"/>
  <c r="C5" i="12"/>
  <c r="AI5" i="11"/>
  <c r="C5" i="11"/>
  <c r="AA4" i="10"/>
  <c r="AK5" i="9"/>
  <c r="E5" i="9"/>
  <c r="B5" i="8"/>
  <c r="F4" i="8"/>
  <c r="AC5" i="7"/>
  <c r="K5" i="7"/>
  <c r="V4" i="7"/>
  <c r="F4" i="7"/>
  <c r="S4" i="6"/>
  <c r="C4" i="6"/>
  <c r="DF4" i="5"/>
  <c r="CP4" i="5"/>
  <c r="CA4" i="5"/>
  <c r="BR4" i="5"/>
  <c r="BH4" i="5"/>
  <c r="AY4" i="5"/>
  <c r="AQ4" i="5"/>
  <c r="AI4" i="5"/>
  <c r="AA4" i="5"/>
  <c r="S4" i="5"/>
  <c r="K4" i="5"/>
  <c r="C4" i="5"/>
  <c r="F5" i="4"/>
  <c r="H4" i="4"/>
  <c r="D20" i="3"/>
  <c r="D18" i="3"/>
  <c r="D16" i="3"/>
  <c r="D14" i="3"/>
  <c r="D12" i="3"/>
  <c r="D10" i="3"/>
  <c r="D8" i="3"/>
  <c r="D6" i="3"/>
  <c r="D4" i="3"/>
  <c r="B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EG5" i="15"/>
  <c r="BU5" i="15"/>
  <c r="I5" i="15"/>
  <c r="BN5" i="14"/>
  <c r="B5" i="14"/>
  <c r="BG4" i="14"/>
  <c r="M5" i="13"/>
  <c r="BR4" i="13"/>
  <c r="F4" i="13"/>
  <c r="AU4" i="12"/>
  <c r="AG5" i="11"/>
  <c r="A5" i="11"/>
  <c r="Y4" i="10"/>
  <c r="AI5" i="9"/>
  <c r="C5" i="9"/>
  <c r="AA4" i="8"/>
  <c r="E4" i="8"/>
  <c r="X5" i="7"/>
  <c r="H5" i="7"/>
  <c r="S4" i="7"/>
  <c r="C4" i="7"/>
  <c r="P4" i="6"/>
  <c r="B5" i="5"/>
  <c r="DC4" i="5"/>
  <c r="CM4" i="5"/>
  <c r="BZ4" i="5"/>
  <c r="BP4" i="5"/>
  <c r="BG4" i="5"/>
  <c r="AX4" i="5"/>
  <c r="AP4" i="5"/>
  <c r="AH4" i="5"/>
  <c r="Z4" i="5"/>
  <c r="R4" i="5"/>
  <c r="J4" i="5"/>
  <c r="B4" i="5"/>
  <c r="E5" i="4"/>
  <c r="G4" i="4"/>
  <c r="C20" i="3"/>
  <c r="C18" i="3"/>
  <c r="C16" i="3"/>
  <c r="C14" i="3"/>
  <c r="C12" i="3"/>
  <c r="C10" i="3"/>
  <c r="C8" i="3"/>
  <c r="C6" i="3"/>
  <c r="C4" i="3"/>
  <c r="A495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DY5" i="15"/>
  <c r="BM5" i="15"/>
  <c r="A5" i="15"/>
  <c r="BF5" i="14"/>
  <c r="DK4" i="14"/>
  <c r="AY4" i="14"/>
  <c r="E5" i="13"/>
  <c r="BJ4" i="13"/>
  <c r="AY5" i="12"/>
  <c r="AM4" i="12"/>
  <c r="AA5" i="11"/>
  <c r="V4" i="11"/>
  <c r="S4" i="10"/>
  <c r="AC5" i="9"/>
  <c r="X4" i="9"/>
  <c r="V4" i="8"/>
  <c r="C4" i="8"/>
  <c r="W5" i="7"/>
  <c r="G5" i="7"/>
  <c r="R4" i="7"/>
  <c r="B4" i="7"/>
  <c r="O4" i="6"/>
  <c r="A5" i="5"/>
  <c r="DB4" i="5"/>
  <c r="CL4" i="5"/>
  <c r="BX4" i="5"/>
  <c r="BO4" i="5"/>
  <c r="BF4" i="5"/>
  <c r="AW4" i="5"/>
  <c r="AO4" i="5"/>
  <c r="AG4" i="5"/>
  <c r="Y4" i="5"/>
  <c r="Q4" i="5"/>
  <c r="I4" i="5"/>
  <c r="D5" i="4"/>
  <c r="F4" i="4"/>
  <c r="B20" i="3"/>
  <c r="B18" i="3"/>
  <c r="B16" i="3"/>
  <c r="B14" i="3"/>
  <c r="B12" i="3"/>
  <c r="B10" i="3"/>
  <c r="B8" i="3"/>
  <c r="B6" i="3"/>
  <c r="B4" i="3"/>
  <c r="C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DQ5" i="15"/>
  <c r="BE5" i="15"/>
  <c r="S4" i="15"/>
  <c r="AX5" i="14"/>
  <c r="DC4" i="14"/>
  <c r="AQ4" i="14"/>
  <c r="DN4" i="13"/>
  <c r="BB4" i="13"/>
  <c r="AQ5" i="12"/>
  <c r="AE4" i="12"/>
  <c r="Y5" i="11"/>
  <c r="T4" i="11"/>
  <c r="Q4" i="10"/>
  <c r="AA5" i="9"/>
  <c r="V4" i="9"/>
  <c r="U4" i="8"/>
  <c r="AN5" i="7"/>
  <c r="U5" i="7"/>
  <c r="E5" i="7"/>
  <c r="P4" i="7"/>
  <c r="B5" i="6"/>
  <c r="M4" i="6"/>
  <c r="DP4" i="5"/>
  <c r="CZ4" i="5"/>
  <c r="CJ4" i="5"/>
  <c r="BW4" i="5"/>
  <c r="BN4" i="5"/>
  <c r="BE4" i="5"/>
  <c r="AV4" i="5"/>
  <c r="AN4" i="5"/>
  <c r="AF4" i="5"/>
  <c r="X4" i="5"/>
  <c r="P4" i="5"/>
  <c r="H4" i="5"/>
  <c r="K5" i="4"/>
  <c r="C5" i="4"/>
  <c r="E4" i="4"/>
  <c r="A20" i="3"/>
  <c r="A18" i="3"/>
  <c r="A16" i="3"/>
  <c r="A14" i="3"/>
  <c r="A12" i="3"/>
  <c r="A10" i="3"/>
  <c r="A8" i="3"/>
  <c r="A6" i="3"/>
  <c r="A4" i="3"/>
  <c r="B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DI5" i="15"/>
  <c r="AW5" i="15"/>
  <c r="K4" i="15"/>
  <c r="AP5" i="14"/>
  <c r="CU4" i="14"/>
  <c r="AI4" i="14"/>
  <c r="DF4" i="13"/>
  <c r="AT4" i="13"/>
  <c r="AI5" i="12"/>
  <c r="W4" i="12"/>
  <c r="S5" i="11"/>
  <c r="N4" i="11"/>
  <c r="K4" i="10"/>
  <c r="U5" i="9"/>
  <c r="P4" i="9"/>
  <c r="S4" i="8"/>
  <c r="AM5" i="7"/>
  <c r="S5" i="7"/>
  <c r="C5" i="7"/>
  <c r="N4" i="7"/>
  <c r="AA4" i="6"/>
  <c r="K4" i="6"/>
  <c r="DN4" i="5"/>
  <c r="CX4" i="5"/>
  <c r="CH4" i="5"/>
  <c r="BV4" i="5"/>
  <c r="BM4" i="5"/>
  <c r="BD4" i="5"/>
  <c r="AU4" i="5"/>
  <c r="AM4" i="5"/>
  <c r="AE4" i="5"/>
  <c r="W4" i="5"/>
  <c r="O4" i="5"/>
  <c r="G4" i="5"/>
  <c r="J5" i="4"/>
  <c r="B5" i="4"/>
  <c r="D4" i="4"/>
  <c r="D19" i="3"/>
  <c r="D17" i="3"/>
  <c r="D15" i="3"/>
  <c r="D13" i="3"/>
  <c r="D11" i="3"/>
  <c r="D9" i="3"/>
  <c r="D7" i="3"/>
  <c r="D5" i="3"/>
  <c r="C496" i="1"/>
  <c r="A494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DA5" i="15"/>
  <c r="AO5" i="15"/>
  <c r="C4" i="15"/>
  <c r="AH5" i="14"/>
  <c r="CM4" i="14"/>
  <c r="AA4" i="14"/>
  <c r="CX4" i="13"/>
  <c r="AL4" i="13"/>
  <c r="AA5" i="12"/>
  <c r="O4" i="12"/>
  <c r="Q5" i="11"/>
  <c r="L4" i="11"/>
  <c r="I4" i="10"/>
  <c r="S5" i="9"/>
  <c r="N4" i="9"/>
  <c r="N4" i="8"/>
  <c r="AK5" i="7"/>
  <c r="P5" i="7"/>
  <c r="AA4" i="7"/>
  <c r="K4" i="7"/>
  <c r="X4" i="6"/>
  <c r="H4" i="6"/>
  <c r="DK4" i="5"/>
  <c r="CU4" i="5"/>
  <c r="CE4" i="5"/>
  <c r="BU4" i="5"/>
  <c r="BL4" i="5"/>
  <c r="BC4" i="5"/>
  <c r="AT4" i="5"/>
  <c r="AL4" i="5"/>
  <c r="AD4" i="5"/>
  <c r="V4" i="5"/>
  <c r="N4" i="5"/>
  <c r="F4" i="5"/>
  <c r="I5" i="4"/>
  <c r="A5" i="4"/>
  <c r="C4" i="4"/>
  <c r="C19" i="3"/>
  <c r="C17" i="3"/>
  <c r="C15" i="3"/>
  <c r="C13" i="3"/>
  <c r="C11" i="3"/>
  <c r="C9" i="3"/>
  <c r="C7" i="3"/>
  <c r="C5" i="3"/>
  <c r="B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S5" i="15"/>
  <c r="AG5" i="15"/>
  <c r="CL5" i="14"/>
  <c r="Z5" i="14"/>
  <c r="CE4" i="14"/>
  <c r="S4" i="14"/>
  <c r="CP4" i="13"/>
  <c r="AD4" i="13"/>
  <c r="S5" i="12"/>
  <c r="G4" i="12"/>
  <c r="K5" i="11"/>
  <c r="F4" i="11"/>
  <c r="C4" i="10"/>
  <c r="M5" i="9"/>
  <c r="H4" i="9"/>
  <c r="M4" i="8"/>
  <c r="AF5" i="7"/>
  <c r="O5" i="7"/>
  <c r="Z4" i="7"/>
  <c r="J4" i="7"/>
  <c r="W4" i="6"/>
  <c r="G4" i="6"/>
  <c r="DJ4" i="5"/>
  <c r="CT4" i="5"/>
  <c r="CD4" i="5"/>
  <c r="BT4" i="5"/>
  <c r="BK4" i="5"/>
  <c r="BB4" i="5"/>
  <c r="AS4" i="5"/>
  <c r="AK4" i="5"/>
  <c r="AC4" i="5"/>
  <c r="U4" i="5"/>
  <c r="M4" i="5"/>
  <c r="E4" i="5"/>
  <c r="H5" i="4"/>
  <c r="J4" i="4"/>
  <c r="B4" i="4"/>
  <c r="B19" i="3"/>
  <c r="B17" i="3"/>
  <c r="B15" i="3"/>
  <c r="B13" i="3"/>
  <c r="B11" i="3"/>
  <c r="B9" i="3"/>
  <c r="B7" i="3"/>
  <c r="B5" i="3"/>
  <c r="A496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82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280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J2" i="11" l="1"/>
  <c r="J2" i="6"/>
  <c r="J2" i="13"/>
  <c r="J2" i="9"/>
  <c r="J2" i="12"/>
  <c r="J2" i="7"/>
  <c r="J2" i="15"/>
  <c r="J2" i="14"/>
  <c r="J2" i="8"/>
  <c r="J2" i="10"/>
  <c r="J2" i="4"/>
  <c r="J2" i="5"/>
</calcChain>
</file>

<file path=xl/sharedStrings.xml><?xml version="1.0" encoding="utf-8"?>
<sst xmlns="http://schemas.openxmlformats.org/spreadsheetml/2006/main" count="338" uniqueCount="61">
  <si>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</si>
  <si>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</si>
  <si>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</si>
  <si>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</si>
  <si>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</si>
  <si>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</si>
  <si>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</si>
  <si>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</si>
  <si>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</si>
  <si>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</si>
  <si>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</si>
  <si>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</si>
  <si>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</si>
  <si>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</si>
  <si>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</si>
  <si>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</si>
  <si>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</si>
  <si>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</si>
  <si>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</si>
  <si>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</si>
  <si>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</si>
  <si>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</si>
  <si>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</si>
  <si>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</si>
  <si>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</si>
  <si>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Unallocated</t>
  </si>
  <si>
    <t>Sell</t>
  </si>
  <si>
    <t>NewMF1</t>
  </si>
  <si>
    <t>MSFT</t>
  </si>
  <si>
    <t>Buy to Close</t>
  </si>
  <si>
    <t>Buy to Open</t>
  </si>
  <si>
    <t>NewMF2</t>
  </si>
  <si>
    <t>IBM</t>
  </si>
  <si>
    <t>Sell short</t>
  </si>
  <si>
    <t>Sell to Close</t>
  </si>
  <si>
    <t>GOOG</t>
  </si>
  <si>
    <t>Sell to Open</t>
  </si>
  <si>
    <t>Blotter</t>
  </si>
  <si>
    <t>VerifyOrder</t>
  </si>
  <si>
    <t>US</t>
  </si>
  <si>
    <t>USD</t>
  </si>
  <si>
    <t>Equity</t>
  </si>
  <si>
    <t>Filled</t>
  </si>
  <si>
    <t>MS</t>
  </si>
  <si>
    <t>Market</t>
  </si>
  <si>
    <t xml:space="preserve">Sell </t>
  </si>
  <si>
    <t>GetDataAllocation</t>
  </si>
  <si>
    <t>Current</t>
  </si>
  <si>
    <t>CheckUnallocatedGroups</t>
  </si>
  <si>
    <t>Open</t>
  </si>
  <si>
    <t>SelltoClose</t>
  </si>
  <si>
    <t>BuytoOpen</t>
  </si>
  <si>
    <t>BuytoClose</t>
  </si>
  <si>
    <t>SellShort</t>
  </si>
  <si>
    <t>SelltoOpen</t>
  </si>
  <si>
    <t>PortfolioManagement</t>
  </si>
  <si>
    <t>CheckPortfolioManagement</t>
  </si>
  <si>
    <t>Short</t>
  </si>
  <si>
    <t>NASDAQ</t>
  </si>
  <si>
    <t>Long</t>
  </si>
  <si>
    <t>NYSE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</si>
</sst>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164" fontId="14" fillId="0" borderId="5" xfId="0" applyNumberFormat="1" applyFont="1" applyBorder="1" applyAlignment="1">
      <alignment horizontal="right"/>
    </xf>
    <xf numFmtId="0" fontId="14" fillId="0" borderId="5" xfId="0" applyFont="1" applyBorder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E26" sqref="E26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7" t="s">
        <v>0</v>
      </c>
      <c r="B1" s="48"/>
      <c r="C1" s="48"/>
      <c r="D1" s="48"/>
      <c r="E1" s="48"/>
      <c r="F1" s="49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IFERROR(__xludf.DUMMYFUNCTION("""COMPUTED_VALUE"""),"Blotter")</f>
        <v>Blotter</v>
      </c>
      <c r="B495" t="str">
        <f ca="1">IFERROR(__xludf.DUMMYFUNCTION("""COMPUTED_VALUE"""),"GetExecutionReportOrders")</f>
        <v>GetExecutionReportOrders</v>
      </c>
      <c r="C495" t="str">
        <f ca="1">IFERROR(__xludf.DUMMYFUNCTION("""COMPUTED_VALUE"""),"1hQPEUlOvv9Vi1KsbHsN6z0TIt4-v9Ckko9Z170M5bto")</f>
        <v>1hQPEUlOvv9Vi1KsbHsN6z0TIt4-v9Ckko9Z170M5bto</v>
      </c>
    </row>
    <row r="496" spans="1:3" ht="15.75" customHeight="1">
      <c r="A496" t="str">
        <f ca="1">IFERROR(__xludf.DUMMYFUNCTION("""COMPUTED_VALUE"""),"Blotter")</f>
        <v>Blotter</v>
      </c>
      <c r="B496" t="str">
        <f ca="1">IFERROR(__xludf.DUMMYFUNCTION("""COMPUTED_VALUE"""),"VerifyExecutionReport")</f>
        <v>VerifyExecutionReport</v>
      </c>
      <c r="C496" t="str">
        <f ca="1">IFERROR(__xludf.DUMMYFUNCTION("""COMPUTED_VALUE"""),"15sKQ6yRs5rA6j70FvZOyg9HBsLCsZF-psuPGXdEFJSg")</f>
        <v>15sKQ6yRs5rA6j70FvZOyg9HBsLCsZF-psuPGXdEFJSg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0" t="s">
        <v>2</v>
      </c>
      <c r="B1" s="48"/>
      <c r="C1" s="4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7" t="s">
        <v>7</v>
      </c>
      <c r="B1" s="48"/>
      <c r="C1" s="48"/>
      <c r="D1" s="48"/>
      <c r="E1" s="48"/>
      <c r="F1" s="4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IFERROR(__xludf.DUMMYFUNCTION("""COMPUTED_VALUE"""),"OverSellTradingRule")</f>
        <v>OverSellTradingRule</v>
      </c>
      <c r="C5" s="23" t="str">
        <f ca="1">IFERROR(__xludf.DUMMYFUNCTION("""COMPUTED_VALUE"""),"OverBuyTradingRule")</f>
        <v>OverBuyTradingRule</v>
      </c>
      <c r="D5" s="23" t="str">
        <f ca="1">IFERROR(__xludf.DUMMYFUNCTION("""COMPUTED_VALUE"""),"FatFingerTradingRule")</f>
        <v>FatFingerTradingRule</v>
      </c>
      <c r="E5" s="23" t="str">
        <f ca="1">IFERROR(__xludf.DUMMYFUNCTION("""COMPUTED_VALUE"""),"UnallocatedTradeAlert")</f>
        <v>UnallocatedTradeAlert</v>
      </c>
      <c r="F5" s="24" t="str">
        <f ca="1">IFERROR(__xludf.DUMMYFUNCTION("""COMPUTED_VALUE"""),"DuplicateTradeAlert")</f>
        <v>DuplicateTradeAlert</v>
      </c>
      <c r="G5" s="23" t="str">
        <f ca="1">IFERROR(__xludf.DUMMYFUNCTION("""COMPUTED_VALUE"""),"PendingNewOrderAlert")</f>
        <v>PendingNewOrderAlert</v>
      </c>
      <c r="H5" s="23" t="str">
        <f ca="1">IFERROR(__xludf.DUMMYFUNCTION("""COMPUTED_VALUE"""),"FatFingerPercent")</f>
        <v>FatFingerPercent</v>
      </c>
      <c r="I5" s="23" t="str">
        <f ca="1">IFERROR(__xludf.DUMMYFUNCTION("""COMPUTED_VALUE"""),"DuplicateTradeAlertTime")</f>
        <v>DuplicateTradeAlertTime</v>
      </c>
      <c r="J5" s="23" t="str">
        <f ca="1">IFERROR(__xludf.DUMMYFUNCTION("""COMPUTED_VALUE"""),"PendingNewOrderAlertTime")</f>
        <v>PendingNewOrderAlertTime</v>
      </c>
      <c r="K5" s="23" t="str">
        <f ca="1">IFERROR(__xludf.DUMMYFUNCTION("""COMPUTED_VALUE"""),"FatFingerAccountOrMasterFund")</f>
        <v>FatFingerAccountOrMasterFund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/>
      <c r="C6" s="28"/>
      <c r="D6" s="29" t="b">
        <v>1</v>
      </c>
      <c r="E6" s="28"/>
      <c r="F6" s="28"/>
      <c r="G6" s="28"/>
      <c r="H6" s="30">
        <v>10</v>
      </c>
      <c r="I6" s="28"/>
      <c r="J6" s="28"/>
      <c r="K6" s="31" t="s">
        <v>16</v>
      </c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IFERROR(__xludf.DUMMYFUNCTION("""COMPUTED_VALUE"""),"ShowMasterFundOnTT")</f>
        <v>ShowMasterFundOnTT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1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21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 t="s">
        <v>23</v>
      </c>
      <c r="C6" s="28" t="s">
        <v>24</v>
      </c>
      <c r="D6" s="34">
        <v>10</v>
      </c>
      <c r="E6" s="30">
        <v>10</v>
      </c>
      <c r="F6" s="28" t="s">
        <v>25</v>
      </c>
      <c r="G6" s="28"/>
      <c r="H6" s="28"/>
      <c r="I6" s="28"/>
      <c r="J6" s="30">
        <v>10</v>
      </c>
      <c r="K6" s="28"/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23</v>
      </c>
      <c r="C7" s="32" t="s">
        <v>26</v>
      </c>
      <c r="D7" s="35">
        <v>20</v>
      </c>
      <c r="E7" s="35">
        <v>20</v>
      </c>
      <c r="F7" s="32" t="s">
        <v>25</v>
      </c>
      <c r="G7" s="32"/>
      <c r="H7" s="32"/>
      <c r="I7" s="32"/>
      <c r="J7" s="35">
        <v>20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27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36" t="s">
        <v>28</v>
      </c>
      <c r="C6" s="37" t="s">
        <v>29</v>
      </c>
      <c r="D6" s="38">
        <v>30</v>
      </c>
      <c r="E6" s="35">
        <v>30</v>
      </c>
      <c r="F6" s="37" t="s">
        <v>25</v>
      </c>
      <c r="G6" s="32"/>
      <c r="H6" s="32"/>
      <c r="I6" s="32"/>
      <c r="J6" s="35">
        <v>30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7" t="s">
        <v>28</v>
      </c>
      <c r="C7" s="37" t="s">
        <v>30</v>
      </c>
      <c r="D7" s="35">
        <v>10</v>
      </c>
      <c r="E7" s="35">
        <v>10</v>
      </c>
      <c r="F7" s="37" t="s">
        <v>25</v>
      </c>
      <c r="G7" s="32"/>
      <c r="H7" s="32"/>
      <c r="I7" s="32"/>
      <c r="J7" s="35">
        <v>10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31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36" t="s">
        <v>32</v>
      </c>
      <c r="C6" s="37" t="s">
        <v>33</v>
      </c>
      <c r="D6" s="38">
        <v>20</v>
      </c>
      <c r="E6" s="35">
        <v>20</v>
      </c>
      <c r="F6" s="37" t="s">
        <v>25</v>
      </c>
      <c r="G6" s="32"/>
      <c r="H6" s="32"/>
      <c r="I6" s="32"/>
      <c r="J6" s="35">
        <v>20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7" t="s">
        <v>32</v>
      </c>
      <c r="C7" s="37" t="s">
        <v>34</v>
      </c>
      <c r="D7" s="35">
        <v>30</v>
      </c>
      <c r="E7" s="35">
        <v>30</v>
      </c>
      <c r="F7" s="37" t="s">
        <v>25</v>
      </c>
      <c r="G7" s="32"/>
      <c r="H7" s="32"/>
      <c r="I7" s="32"/>
      <c r="J7" s="35">
        <v>30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7" t="s">
        <v>35</v>
      </c>
      <c r="C8" s="37" t="s">
        <v>36</v>
      </c>
      <c r="D8" s="35">
        <v>10</v>
      </c>
      <c r="E8" s="35">
        <v>10</v>
      </c>
      <c r="F8" s="37" t="s">
        <v>25</v>
      </c>
      <c r="G8" s="32"/>
      <c r="H8" s="32"/>
      <c r="I8" s="32"/>
      <c r="J8" s="35">
        <v>10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37</v>
      </c>
      <c r="D3" s="2" t="s">
        <v>9</v>
      </c>
      <c r="E3" s="18" t="s">
        <v>38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IFERROR(__xludf.DUMMYFUNCTION("""COMPUTED_VALUE"""),"VerifyExecutionReport")</f>
        <v>VerifyExecutionReport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/>
      <c r="C6" s="28"/>
      <c r="D6" s="34">
        <v>10</v>
      </c>
      <c r="E6" s="28"/>
      <c r="F6" s="28"/>
      <c r="G6" s="28"/>
      <c r="H6" s="28"/>
      <c r="I6" s="28"/>
      <c r="J6" s="28" t="s">
        <v>23</v>
      </c>
      <c r="K6" s="28" t="s">
        <v>39</v>
      </c>
      <c r="L6" s="28"/>
      <c r="M6" s="28"/>
      <c r="N6" s="28"/>
      <c r="O6" s="28"/>
      <c r="P6" s="28"/>
      <c r="Q6" s="28"/>
      <c r="R6" s="28"/>
      <c r="S6" s="39">
        <v>0</v>
      </c>
      <c r="T6" s="40">
        <v>0</v>
      </c>
      <c r="U6" s="32" t="s">
        <v>40</v>
      </c>
      <c r="V6" s="32"/>
      <c r="W6" s="32"/>
      <c r="X6" s="32"/>
      <c r="Y6" s="32"/>
      <c r="Z6" s="32"/>
      <c r="AA6" s="41" t="s">
        <v>21</v>
      </c>
      <c r="AB6" s="32"/>
      <c r="AC6" s="32"/>
      <c r="AD6" s="40">
        <v>1</v>
      </c>
      <c r="AE6" s="32"/>
      <c r="AF6" s="32"/>
      <c r="AG6" s="32"/>
      <c r="AH6" s="32" t="s">
        <v>41</v>
      </c>
      <c r="AI6" s="32" t="s">
        <v>23</v>
      </c>
      <c r="AJ6" s="32" t="s">
        <v>24</v>
      </c>
      <c r="AK6" s="32" t="s">
        <v>42</v>
      </c>
      <c r="AL6" s="40">
        <v>10</v>
      </c>
      <c r="AM6" s="40">
        <v>10</v>
      </c>
      <c r="AN6" s="40">
        <v>100</v>
      </c>
      <c r="AO6" s="40">
        <v>10</v>
      </c>
      <c r="AP6" s="32"/>
      <c r="AQ6" s="40">
        <v>10</v>
      </c>
      <c r="AR6" s="40">
        <v>10</v>
      </c>
      <c r="AS6" s="32" t="s">
        <v>43</v>
      </c>
      <c r="AT6" s="32"/>
      <c r="AU6" s="32" t="s">
        <v>44</v>
      </c>
      <c r="AV6" s="40">
        <v>100</v>
      </c>
      <c r="AW6" s="40">
        <v>100</v>
      </c>
      <c r="AX6" s="32"/>
      <c r="AY6" s="40">
        <v>10</v>
      </c>
      <c r="AZ6" s="40">
        <v>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35">
        <v>10</v>
      </c>
      <c r="E7" s="32"/>
      <c r="F7" s="32"/>
      <c r="G7" s="32"/>
      <c r="H7" s="32"/>
      <c r="I7" s="32"/>
      <c r="J7" s="32" t="s">
        <v>28</v>
      </c>
      <c r="K7" s="32" t="s">
        <v>39</v>
      </c>
      <c r="L7" s="32"/>
      <c r="M7" s="32"/>
      <c r="N7" s="32"/>
      <c r="O7" s="32"/>
      <c r="P7" s="32"/>
      <c r="Q7" s="32"/>
      <c r="R7" s="32"/>
      <c r="S7" s="40">
        <v>0</v>
      </c>
      <c r="T7" s="40">
        <v>0</v>
      </c>
      <c r="U7" s="32" t="s">
        <v>40</v>
      </c>
      <c r="V7" s="32"/>
      <c r="W7" s="32"/>
      <c r="X7" s="32"/>
      <c r="Y7" s="32"/>
      <c r="Z7" s="32"/>
      <c r="AA7" s="41" t="s">
        <v>27</v>
      </c>
      <c r="AB7" s="32"/>
      <c r="AC7" s="32"/>
      <c r="AD7" s="40">
        <v>1</v>
      </c>
      <c r="AE7" s="32"/>
      <c r="AF7" s="32"/>
      <c r="AG7" s="32"/>
      <c r="AH7" s="32" t="s">
        <v>41</v>
      </c>
      <c r="AI7" s="32" t="s">
        <v>28</v>
      </c>
      <c r="AJ7" s="32" t="s">
        <v>30</v>
      </c>
      <c r="AK7" s="32" t="s">
        <v>42</v>
      </c>
      <c r="AL7" s="40">
        <v>10</v>
      </c>
      <c r="AM7" s="40">
        <v>10</v>
      </c>
      <c r="AN7" s="40">
        <v>100</v>
      </c>
      <c r="AO7" s="40">
        <v>10</v>
      </c>
      <c r="AP7" s="32"/>
      <c r="AQ7" s="40">
        <v>10</v>
      </c>
      <c r="AR7" s="40">
        <v>10</v>
      </c>
      <c r="AS7" s="32" t="s">
        <v>43</v>
      </c>
      <c r="AT7" s="32"/>
      <c r="AU7" s="32" t="s">
        <v>44</v>
      </c>
      <c r="AV7" s="40">
        <v>100</v>
      </c>
      <c r="AW7" s="40">
        <v>100</v>
      </c>
      <c r="AX7" s="32"/>
      <c r="AY7" s="40">
        <v>10</v>
      </c>
      <c r="AZ7" s="40">
        <v>0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/>
      <c r="C8" s="32"/>
      <c r="D8" s="35">
        <v>10</v>
      </c>
      <c r="E8" s="32"/>
      <c r="F8" s="32"/>
      <c r="G8" s="32"/>
      <c r="H8" s="32"/>
      <c r="I8" s="32"/>
      <c r="J8" s="32" t="s">
        <v>35</v>
      </c>
      <c r="K8" s="32" t="s">
        <v>39</v>
      </c>
      <c r="L8" s="32"/>
      <c r="M8" s="32"/>
      <c r="N8" s="32"/>
      <c r="O8" s="32"/>
      <c r="P8" s="32"/>
      <c r="Q8" s="32"/>
      <c r="R8" s="32"/>
      <c r="S8" s="40">
        <v>0</v>
      </c>
      <c r="T8" s="40">
        <v>0</v>
      </c>
      <c r="U8" s="32" t="s">
        <v>40</v>
      </c>
      <c r="V8" s="32"/>
      <c r="W8" s="32"/>
      <c r="X8" s="32"/>
      <c r="Y8" s="32"/>
      <c r="Z8" s="32"/>
      <c r="AA8" s="41" t="s">
        <v>31</v>
      </c>
      <c r="AB8" s="32"/>
      <c r="AC8" s="32"/>
      <c r="AD8" s="40">
        <v>1</v>
      </c>
      <c r="AE8" s="32"/>
      <c r="AF8" s="32"/>
      <c r="AG8" s="32"/>
      <c r="AH8" s="32" t="s">
        <v>41</v>
      </c>
      <c r="AI8" s="32" t="s">
        <v>35</v>
      </c>
      <c r="AJ8" s="32" t="s">
        <v>36</v>
      </c>
      <c r="AK8" s="32" t="s">
        <v>42</v>
      </c>
      <c r="AL8" s="40">
        <v>10</v>
      </c>
      <c r="AM8" s="40">
        <v>10</v>
      </c>
      <c r="AN8" s="40">
        <v>100</v>
      </c>
      <c r="AO8" s="40">
        <v>10</v>
      </c>
      <c r="AP8" s="32"/>
      <c r="AQ8" s="40">
        <v>10</v>
      </c>
      <c r="AR8" s="40">
        <v>10</v>
      </c>
      <c r="AS8" s="32" t="s">
        <v>43</v>
      </c>
      <c r="AT8" s="32"/>
      <c r="AU8" s="32" t="s">
        <v>44</v>
      </c>
      <c r="AV8" s="40">
        <v>-100</v>
      </c>
      <c r="AW8" s="40">
        <v>-100</v>
      </c>
      <c r="AX8" s="32"/>
      <c r="AY8" s="40">
        <v>10</v>
      </c>
      <c r="AZ8" s="40">
        <v>0</v>
      </c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32"/>
      <c r="B9" s="32"/>
      <c r="C9" s="32"/>
      <c r="D9" s="35">
        <v>20</v>
      </c>
      <c r="E9" s="32"/>
      <c r="F9" s="32"/>
      <c r="G9" s="32"/>
      <c r="H9" s="32"/>
      <c r="I9" s="32"/>
      <c r="J9" s="32" t="s">
        <v>23</v>
      </c>
      <c r="K9" s="32" t="s">
        <v>39</v>
      </c>
      <c r="L9" s="32"/>
      <c r="M9" s="32"/>
      <c r="N9" s="32"/>
      <c r="O9" s="32"/>
      <c r="P9" s="32"/>
      <c r="Q9" s="32"/>
      <c r="R9" s="32"/>
      <c r="S9" s="40">
        <v>0</v>
      </c>
      <c r="T9" s="40">
        <v>0</v>
      </c>
      <c r="U9" s="32" t="s">
        <v>40</v>
      </c>
      <c r="V9" s="32"/>
      <c r="W9" s="32"/>
      <c r="X9" s="32"/>
      <c r="Y9" s="32"/>
      <c r="Z9" s="32"/>
      <c r="AA9" s="41" t="s">
        <v>21</v>
      </c>
      <c r="AB9" s="32"/>
      <c r="AC9" s="32"/>
      <c r="AD9" s="40">
        <v>1</v>
      </c>
      <c r="AE9" s="32"/>
      <c r="AF9" s="32"/>
      <c r="AG9" s="32"/>
      <c r="AH9" s="32" t="s">
        <v>41</v>
      </c>
      <c r="AI9" s="32" t="s">
        <v>23</v>
      </c>
      <c r="AJ9" s="32" t="s">
        <v>45</v>
      </c>
      <c r="AK9" s="32" t="s">
        <v>42</v>
      </c>
      <c r="AL9" s="40">
        <v>20</v>
      </c>
      <c r="AM9" s="40">
        <v>20</v>
      </c>
      <c r="AN9" s="40">
        <v>100</v>
      </c>
      <c r="AO9" s="40">
        <v>20</v>
      </c>
      <c r="AP9" s="32"/>
      <c r="AQ9" s="40">
        <v>20</v>
      </c>
      <c r="AR9" s="40">
        <v>20</v>
      </c>
      <c r="AS9" s="32" t="s">
        <v>43</v>
      </c>
      <c r="AT9" s="32"/>
      <c r="AU9" s="32" t="s">
        <v>44</v>
      </c>
      <c r="AV9" s="40">
        <v>-400</v>
      </c>
      <c r="AW9" s="40">
        <v>-400</v>
      </c>
      <c r="AX9" s="32"/>
      <c r="AY9" s="40">
        <v>20</v>
      </c>
      <c r="AZ9" s="40">
        <v>0</v>
      </c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spans="1:154" ht="15.75" customHeight="1">
      <c r="A10" s="32"/>
      <c r="B10" s="32"/>
      <c r="C10" s="32"/>
      <c r="D10" s="35">
        <v>20</v>
      </c>
      <c r="E10" s="32"/>
      <c r="F10" s="32"/>
      <c r="G10" s="32"/>
      <c r="H10" s="32"/>
      <c r="I10" s="32"/>
      <c r="J10" s="32" t="s">
        <v>32</v>
      </c>
      <c r="K10" s="32" t="s">
        <v>39</v>
      </c>
      <c r="L10" s="32"/>
      <c r="M10" s="32"/>
      <c r="N10" s="32"/>
      <c r="O10" s="32"/>
      <c r="P10" s="32"/>
      <c r="Q10" s="32"/>
      <c r="R10" s="32"/>
      <c r="S10" s="40">
        <v>0</v>
      </c>
      <c r="T10" s="40">
        <v>0</v>
      </c>
      <c r="U10" s="32" t="s">
        <v>40</v>
      </c>
      <c r="V10" s="32"/>
      <c r="W10" s="32"/>
      <c r="X10" s="32"/>
      <c r="Y10" s="32"/>
      <c r="Z10" s="32"/>
      <c r="AA10" s="41" t="s">
        <v>31</v>
      </c>
      <c r="AB10" s="32"/>
      <c r="AC10" s="32"/>
      <c r="AD10" s="40">
        <v>1</v>
      </c>
      <c r="AE10" s="32"/>
      <c r="AF10" s="32"/>
      <c r="AG10" s="32"/>
      <c r="AH10" s="32" t="s">
        <v>41</v>
      </c>
      <c r="AI10" s="32" t="s">
        <v>32</v>
      </c>
      <c r="AJ10" s="32" t="s">
        <v>33</v>
      </c>
      <c r="AK10" s="32" t="s">
        <v>42</v>
      </c>
      <c r="AL10" s="40">
        <v>20</v>
      </c>
      <c r="AM10" s="40">
        <v>20</v>
      </c>
      <c r="AN10" s="40">
        <v>100</v>
      </c>
      <c r="AO10" s="40">
        <v>20</v>
      </c>
      <c r="AP10" s="32"/>
      <c r="AQ10" s="40">
        <v>20</v>
      </c>
      <c r="AR10" s="40">
        <v>20</v>
      </c>
      <c r="AS10" s="32" t="s">
        <v>43</v>
      </c>
      <c r="AT10" s="32"/>
      <c r="AU10" s="32" t="s">
        <v>44</v>
      </c>
      <c r="AV10" s="40">
        <v>-400</v>
      </c>
      <c r="AW10" s="40">
        <v>-400</v>
      </c>
      <c r="AX10" s="32"/>
      <c r="AY10" s="40">
        <v>20</v>
      </c>
      <c r="AZ10" s="40">
        <v>0</v>
      </c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spans="1:154" ht="15.75" customHeight="1">
      <c r="A11" s="32"/>
      <c r="B11" s="32"/>
      <c r="C11" s="32"/>
      <c r="D11" s="35">
        <v>30</v>
      </c>
      <c r="E11" s="32"/>
      <c r="F11" s="32"/>
      <c r="G11" s="32"/>
      <c r="H11" s="32"/>
      <c r="I11" s="32"/>
      <c r="J11" s="32" t="s">
        <v>28</v>
      </c>
      <c r="K11" s="32" t="s">
        <v>39</v>
      </c>
      <c r="L11" s="32"/>
      <c r="M11" s="32"/>
      <c r="N11" s="32"/>
      <c r="O11" s="32"/>
      <c r="P11" s="32"/>
      <c r="Q11" s="32"/>
      <c r="R11" s="32"/>
      <c r="S11" s="40">
        <v>0</v>
      </c>
      <c r="T11" s="40">
        <v>0</v>
      </c>
      <c r="U11" s="32" t="s">
        <v>40</v>
      </c>
      <c r="V11" s="32"/>
      <c r="W11" s="32"/>
      <c r="X11" s="32"/>
      <c r="Y11" s="32"/>
      <c r="Z11" s="32"/>
      <c r="AA11" s="41" t="s">
        <v>27</v>
      </c>
      <c r="AB11" s="32"/>
      <c r="AC11" s="32"/>
      <c r="AD11" s="40">
        <v>1</v>
      </c>
      <c r="AE11" s="32"/>
      <c r="AF11" s="32"/>
      <c r="AG11" s="32"/>
      <c r="AH11" s="32" t="s">
        <v>41</v>
      </c>
      <c r="AI11" s="32" t="s">
        <v>28</v>
      </c>
      <c r="AJ11" s="32" t="s">
        <v>29</v>
      </c>
      <c r="AK11" s="32" t="s">
        <v>42</v>
      </c>
      <c r="AL11" s="40">
        <v>30</v>
      </c>
      <c r="AM11" s="40">
        <v>30</v>
      </c>
      <c r="AN11" s="40">
        <v>100</v>
      </c>
      <c r="AO11" s="40">
        <v>30</v>
      </c>
      <c r="AP11" s="32"/>
      <c r="AQ11" s="40">
        <v>30</v>
      </c>
      <c r="AR11" s="40">
        <v>30</v>
      </c>
      <c r="AS11" s="32" t="s">
        <v>43</v>
      </c>
      <c r="AT11" s="32"/>
      <c r="AU11" s="32" t="s">
        <v>44</v>
      </c>
      <c r="AV11" s="40">
        <v>900</v>
      </c>
      <c r="AW11" s="40">
        <v>900</v>
      </c>
      <c r="AX11" s="32"/>
      <c r="AY11" s="40">
        <v>30</v>
      </c>
      <c r="AZ11" s="40">
        <v>0</v>
      </c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spans="1:154" ht="15.75" customHeight="1">
      <c r="A12" s="32"/>
      <c r="B12" s="32"/>
      <c r="C12" s="32"/>
      <c r="D12" s="35">
        <v>30</v>
      </c>
      <c r="E12" s="32"/>
      <c r="F12" s="32"/>
      <c r="G12" s="32"/>
      <c r="H12" s="32"/>
      <c r="I12" s="32"/>
      <c r="J12" s="32" t="s">
        <v>32</v>
      </c>
      <c r="K12" s="32" t="s">
        <v>39</v>
      </c>
      <c r="L12" s="32"/>
      <c r="M12" s="32"/>
      <c r="N12" s="32"/>
      <c r="O12" s="32"/>
      <c r="P12" s="32"/>
      <c r="Q12" s="32"/>
      <c r="R12" s="32"/>
      <c r="S12" s="40">
        <v>0</v>
      </c>
      <c r="T12" s="40">
        <v>0</v>
      </c>
      <c r="U12" s="32" t="s">
        <v>40</v>
      </c>
      <c r="V12" s="32"/>
      <c r="W12" s="32"/>
      <c r="X12" s="32"/>
      <c r="Y12" s="32"/>
      <c r="Z12" s="32"/>
      <c r="AA12" s="41" t="s">
        <v>31</v>
      </c>
      <c r="AB12" s="32"/>
      <c r="AC12" s="32"/>
      <c r="AD12" s="40">
        <v>1</v>
      </c>
      <c r="AE12" s="32"/>
      <c r="AF12" s="32"/>
      <c r="AG12" s="32"/>
      <c r="AH12" s="32" t="s">
        <v>41</v>
      </c>
      <c r="AI12" s="32" t="s">
        <v>32</v>
      </c>
      <c r="AJ12" s="32" t="s">
        <v>34</v>
      </c>
      <c r="AK12" s="32" t="s">
        <v>42</v>
      </c>
      <c r="AL12" s="40">
        <v>30</v>
      </c>
      <c r="AM12" s="40">
        <v>30</v>
      </c>
      <c r="AN12" s="40">
        <v>100</v>
      </c>
      <c r="AO12" s="40">
        <v>30</v>
      </c>
      <c r="AP12" s="32"/>
      <c r="AQ12" s="40">
        <v>30</v>
      </c>
      <c r="AR12" s="40">
        <v>30</v>
      </c>
      <c r="AS12" s="32" t="s">
        <v>43</v>
      </c>
      <c r="AT12" s="32"/>
      <c r="AU12" s="32" t="s">
        <v>44</v>
      </c>
      <c r="AV12" s="40">
        <v>-900</v>
      </c>
      <c r="AW12" s="40">
        <v>-900</v>
      </c>
      <c r="AX12" s="32"/>
      <c r="AY12" s="40">
        <v>30</v>
      </c>
      <c r="AZ12" s="40">
        <v>0</v>
      </c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spans="1:154" ht="15.7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46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47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1c7aP-E18Fb8lEVGiXac03BLoNVdUNRzodD2Xjn-9pzU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48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IFERROR(__xludf.DUMMYFUNCTION("""COMPUTED_VALUE"""),"Accrual Basis")</f>
        <v>Accrual Basis</v>
      </c>
      <c r="C5" s="23" t="str">
        <f ca="1">IFERROR(__xludf.DUMMYFUNCTION("""COMPUTED_VALUE"""),"Accrued Interest")</f>
        <v>Accrued Interest</v>
      </c>
      <c r="D5" s="23" t="str">
        <f ca="1">IFERROR(__xludf.DUMMYFUNCTION("""COMPUTED_VALUE"""),"Allocated Qty")</f>
        <v>Allocated Qty</v>
      </c>
      <c r="E5" s="23" t="str">
        <f ca="1">IFERROR(__xludf.DUMMYFUNCTION("""COMPUTED_VALUE"""),"Allocation Scheme Name")</f>
        <v>Allocation Scheme Name</v>
      </c>
      <c r="F5" s="24" t="str">
        <f ca="1">IFERROR(__xludf.DUMMYFUNCTION("""COMPUTED_VALUE"""),"Asset Category")</f>
        <v>Asset Category</v>
      </c>
      <c r="G5" s="23" t="str">
        <f ca="1">IFERROR(__xludf.DUMMYFUNCTION("""COMPUTED_VALUE"""),"AUEC Fee1")</f>
        <v>AUEC Fee1</v>
      </c>
      <c r="H5" s="23" t="str">
        <f ca="1">IFERROR(__xludf.DUMMYFUNCTION("""COMPUTED_VALUE"""),"AUEC Fee2")</f>
        <v>AUEC Fee2</v>
      </c>
      <c r="I5" s="23" t="str">
        <f ca="1">IFERROR(__xludf.DUMMYFUNCTION("""COMPUTED_VALUE"""),"AUECID")</f>
        <v>AUECID</v>
      </c>
      <c r="J5" s="23" t="str">
        <f ca="1">IFERROR(__xludf.DUMMYFUNCTION("""COMPUTED_VALUE"""),"Avg Price(Base)")</f>
        <v>Avg Price(Base)</v>
      </c>
      <c r="K5" s="23" t="str">
        <f ca="1">IFERROR(__xludf.DUMMYFUNCTION("""COMPUTED_VALUE"""),"Avg Price(Local)")</f>
        <v>Avg Price(Local)</v>
      </c>
      <c r="L5" s="23" t="str">
        <f ca="1">IFERROR(__xludf.DUMMYFUNCTION("""COMPUTED_VALUE"""),"Bloomberg")</f>
        <v>Bloomberg</v>
      </c>
      <c r="M5" s="23" t="str">
        <f ca="1">IFERROR(__xludf.DUMMYFUNCTION("""COMPUTED_VALUE"""),"Bond Type")</f>
        <v>Bond Type</v>
      </c>
      <c r="N5" s="23" t="str">
        <f ca="1">IFERROR(__xludf.DUMMYFUNCTION("""COMPUTED_VALUE"""),"Broker")</f>
        <v>Broker</v>
      </c>
      <c r="O5" s="23" t="str">
        <f ca="1">IFERROR(__xludf.DUMMYFUNCTION("""COMPUTED_VALUE"""),"Change Comment")</f>
        <v>Change Comment</v>
      </c>
      <c r="P5" s="23" t="str">
        <f ca="1">IFERROR(__xludf.DUMMYFUNCTION("""COMPUTED_VALUE"""),"Change Type")</f>
        <v>Change Type</v>
      </c>
      <c r="Q5" s="23" t="str">
        <f ca="1">IFERROR(__xludf.DUMMYFUNCTION("""COMPUTED_VALUE"""),"Clearing Broker Fee")</f>
        <v>Clearing Broker Fee</v>
      </c>
      <c r="R5" s="23" t="str">
        <f ca="1">IFERROR(__xludf.DUMMYFUNCTION("""COMPUTED_VALUE"""),"Closing Method")</f>
        <v>Closing Method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IFERROR(__xludf.DUMMYFUNCTION("""COMPUTED_VALUE"""),"Execution Time")</f>
        <v>Execution Time</v>
      </c>
      <c r="AG5" s="25" t="str">
        <f ca="1">IFERROR(__xludf.DUMMYFUNCTION("""COMPUTED_VALUE"""),"FX Conversion Operator")</f>
        <v>FX Conversion Operator</v>
      </c>
      <c r="AH5" s="25" t="str">
        <f ca="1">IFERROR(__xludf.DUMMYFUNCTION("""COMPUTED_VALUE"""),"FX Rate")</f>
        <v>FX Rate</v>
      </c>
      <c r="AI5" s="25" t="str">
        <f ca="1">IFERROR(__xludf.DUMMYFUNCTION("""COMPUTED_VALUE"""),"Group Status")</f>
        <v>Group Status</v>
      </c>
      <c r="AJ5" s="25" t="str">
        <f ca="1">IFERROR(__xludf.DUMMYFUNCTION("""COMPUTED_VALUE"""),"GroupID")</f>
        <v>GroupID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IFERROR(__xludf.DUMMYFUNCTION("""COMPUTED_VALUE"""),"Symbol")</f>
        <v>Symbol</v>
      </c>
      <c r="BT5" s="25" t="str">
        <f ca="1">IFERROR(__xludf.DUMMYFUNCTION("""COMPUTED_VALUE"""),"Tax On Commissions")</f>
        <v>Tax On Commissions</v>
      </c>
      <c r="BU5" s="25" t="str">
        <f ca="1">IFERROR(__xludf.DUMMYFUNCTION("""COMPUTED_VALUE"""),"Total Commission")</f>
        <v>Total Commission</v>
      </c>
      <c r="BV5" s="25" t="str">
        <f ca="1">IFERROR(__xludf.DUMMYFUNCTION("""COMPUTED_VALUE"""),"Total Commission And Fee")</f>
        <v>Total Commission And Fee</v>
      </c>
      <c r="BW5" s="25" t="str">
        <f ca="1">IFERROR(__xludf.DUMMYFUNCTION("""COMPUTED_VALUE"""),"Total Commission Per Share")</f>
        <v>Total Commission Per Share</v>
      </c>
      <c r="BX5" s="25" t="str">
        <f ca="1">IFERROR(__xludf.DUMMYFUNCTION("""COMPUTED_VALUE"""),"Trade Attribute 1")</f>
        <v>Trade Attribute 1</v>
      </c>
      <c r="BY5" s="25" t="str">
        <f ca="1">IFERROR(__xludf.DUMMYFUNCTION("""COMPUTED_VALUE"""),"Trade Attribute 2")</f>
        <v>Trade Attribute 2</v>
      </c>
      <c r="BZ5" s="25" t="str">
        <f ca="1">IFERROR(__xludf.DUMMYFUNCTION("""COMPUTED_VALUE"""),"Trade Attribute 3")</f>
        <v>Trade Attribute 3</v>
      </c>
      <c r="CA5" s="25" t="str">
        <f ca="1">IFERROR(__xludf.DUMMYFUNCTION("""COMPUTED_VALUE"""),"Trade Attribute 4")</f>
        <v>Trade Attribute 4</v>
      </c>
      <c r="CB5" s="25" t="str">
        <f ca="1">IFERROR(__xludf.DUMMYFUNCTION("""COMPUTED_VALUE"""),"Trade Attribute 5")</f>
        <v>Trade Attribute 5</v>
      </c>
      <c r="CC5" s="25" t="str">
        <f ca="1">IFERROR(__xludf.DUMMYFUNCTION("""COMPUTED_VALUE"""),"Trade Attribute 6")</f>
        <v>Trade Attribute 6</v>
      </c>
      <c r="CD5" s="25" t="str">
        <f ca="1">IFERROR(__xludf.DUMMYFUNCTION("""COMPUTED_VALUE"""),"Trade Date")</f>
        <v>Trade Date</v>
      </c>
      <c r="CE5" s="25" t="str">
        <f ca="1">IFERROR(__xludf.DUMMYFUNCTION("""COMPUTED_VALUE"""),"Trading Account")</f>
        <v>Trading Account</v>
      </c>
      <c r="CF5" s="25" t="str">
        <f ca="1">IFERROR(__xludf.DUMMYFUNCTION("""COMPUTED_VALUE"""),"Transaction Levy")</f>
        <v>Transaction Levy</v>
      </c>
      <c r="CG5" s="25" t="str">
        <f ca="1">IFERROR(__xludf.DUMMYFUNCTION("""COMPUTED_VALUE"""),"Transaction Source")</f>
        <v>Transaction Source</v>
      </c>
      <c r="CH5" s="25" t="str">
        <f ca="1">IFERROR(__xludf.DUMMYFUNCTION("""COMPUTED_VALUE"""),"Transaction Type")</f>
        <v>Transaction Type</v>
      </c>
      <c r="CI5" s="25" t="str">
        <f ca="1">IFERROR(__xludf.DUMMYFUNCTION("""COMPUTED_VALUE"""),"UnAllocatedQty")</f>
        <v>UnAllocatedQty</v>
      </c>
      <c r="CJ5" s="25" t="str">
        <f ca="1">IFERROR(__xludf.DUMMYFUNCTION("""COMPUTED_VALUE"""),"Underlying")</f>
        <v>Underlying</v>
      </c>
      <c r="CK5" s="25" t="str">
        <f ca="1">IFERROR(__xludf.DUMMYFUNCTION("""COMPUTED_VALUE"""),"Underlying Delta")</f>
        <v>Underlying Delta</v>
      </c>
      <c r="CL5" s="25" t="str">
        <f ca="1">IFERROR(__xludf.DUMMYFUNCTION("""COMPUTED_VALUE"""),"Underlying Symbol")</f>
        <v>Underlying Symbol</v>
      </c>
      <c r="CM5" s="25" t="str">
        <f ca="1">IFERROR(__xludf.DUMMYFUNCTION("""COMPUTED_VALUE"""),"User")</f>
        <v>User</v>
      </c>
      <c r="CN5" s="25" t="str">
        <f ca="1">IFERROR(__xludf.DUMMYFUNCTION("""COMPUTED_VALUE"""),"Venue")</f>
        <v>Venue</v>
      </c>
      <c r="CO5" s="25" t="str">
        <f ca="1">IFERROR(__xludf.DUMMYFUNCTION("""COMPUTED_VALUE"""),"Closing Date")</f>
        <v>Closing Date</v>
      </c>
      <c r="CP5" s="25" t="str">
        <f ca="1">IFERROR(__xludf.DUMMYFUNCTION("""COMPUTED_VALUE"""),"Expiration Date")</f>
        <v>Expiration Date</v>
      </c>
      <c r="CQ5" s="25" t="str">
        <f ca="1">IFERROR(__xludf.DUMMYFUNCTION("""COMPUTED_VALUE"""),"Master Fund")</f>
        <v>Master Fund</v>
      </c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/>
      <c r="C6" s="42">
        <v>0</v>
      </c>
      <c r="D6" s="42">
        <v>0</v>
      </c>
      <c r="E6" s="28"/>
      <c r="F6" s="43" t="s">
        <v>41</v>
      </c>
      <c r="G6" s="42">
        <v>4</v>
      </c>
      <c r="H6" s="42">
        <v>5</v>
      </c>
      <c r="I6" s="28"/>
      <c r="J6" s="42">
        <v>10</v>
      </c>
      <c r="K6" s="42">
        <v>10</v>
      </c>
      <c r="L6" s="28"/>
      <c r="M6" s="28"/>
      <c r="N6" s="43" t="s">
        <v>43</v>
      </c>
      <c r="O6" s="28"/>
      <c r="P6" s="42">
        <v>3</v>
      </c>
      <c r="Q6" s="42">
        <v>0</v>
      </c>
      <c r="R6" s="28"/>
      <c r="S6" s="43" t="s">
        <v>49</v>
      </c>
      <c r="T6" s="44">
        <v>0</v>
      </c>
      <c r="U6" s="44">
        <v>0</v>
      </c>
      <c r="V6" s="32"/>
      <c r="W6" s="32"/>
      <c r="X6" s="32"/>
      <c r="Y6" s="32"/>
      <c r="Z6" s="32"/>
      <c r="AA6" s="32"/>
      <c r="AB6" s="32"/>
      <c r="AC6" s="32"/>
      <c r="AD6" s="32"/>
      <c r="AE6" s="44">
        <v>10</v>
      </c>
      <c r="AF6" s="32"/>
      <c r="AG6" s="32"/>
      <c r="AH6" s="44">
        <v>1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4">
        <v>114.0001</v>
      </c>
      <c r="AU6" s="44">
        <v>114.0001</v>
      </c>
      <c r="AV6" s="32"/>
      <c r="AW6" s="44">
        <v>0</v>
      </c>
      <c r="AX6" s="44">
        <v>0</v>
      </c>
      <c r="AY6" s="45" t="s">
        <v>44</v>
      </c>
      <c r="AZ6" s="44">
        <v>0</v>
      </c>
      <c r="BA6" s="32"/>
      <c r="BB6" s="32"/>
      <c r="BC6" s="44">
        <v>0</v>
      </c>
      <c r="BD6" s="32"/>
      <c r="BE6" s="44">
        <v>100</v>
      </c>
      <c r="BF6" s="44">
        <v>100</v>
      </c>
      <c r="BG6" s="32"/>
      <c r="BH6" s="32"/>
      <c r="BI6" s="32"/>
      <c r="BJ6" s="44">
        <v>10</v>
      </c>
      <c r="BK6" s="44">
        <v>0</v>
      </c>
      <c r="BL6" s="32"/>
      <c r="BM6" s="32"/>
      <c r="BN6" s="32"/>
      <c r="BO6" s="45" t="s">
        <v>24</v>
      </c>
      <c r="BP6" s="44">
        <v>0</v>
      </c>
      <c r="BQ6" s="44">
        <v>0</v>
      </c>
      <c r="BR6" s="32"/>
      <c r="BS6" s="45" t="s">
        <v>23</v>
      </c>
      <c r="BT6" s="44">
        <v>3</v>
      </c>
      <c r="BU6" s="44">
        <v>0</v>
      </c>
      <c r="BV6" s="44">
        <v>14.0001</v>
      </c>
      <c r="BW6" s="44">
        <v>0</v>
      </c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45" t="s">
        <v>24</v>
      </c>
      <c r="CI6" s="44">
        <v>10</v>
      </c>
      <c r="CJ6" s="32"/>
      <c r="CK6" s="32"/>
      <c r="CL6" s="32"/>
      <c r="CM6" s="32"/>
      <c r="CN6" s="32"/>
      <c r="CO6" s="32"/>
      <c r="CP6" s="32"/>
      <c r="CQ6" s="41" t="s">
        <v>21</v>
      </c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44">
        <v>0</v>
      </c>
      <c r="D7" s="44">
        <v>0</v>
      </c>
      <c r="E7" s="32"/>
      <c r="F7" s="45" t="s">
        <v>41</v>
      </c>
      <c r="G7" s="44">
        <v>8</v>
      </c>
      <c r="H7" s="44">
        <v>0</v>
      </c>
      <c r="I7" s="32"/>
      <c r="J7" s="44">
        <v>30</v>
      </c>
      <c r="K7" s="44">
        <v>30</v>
      </c>
      <c r="L7" s="32"/>
      <c r="M7" s="32"/>
      <c r="N7" s="45" t="s">
        <v>43</v>
      </c>
      <c r="O7" s="32"/>
      <c r="P7" s="44">
        <v>3</v>
      </c>
      <c r="Q7" s="44">
        <v>0</v>
      </c>
      <c r="R7" s="32"/>
      <c r="S7" s="45" t="s">
        <v>49</v>
      </c>
      <c r="T7" s="44">
        <v>0</v>
      </c>
      <c r="U7" s="44">
        <v>0</v>
      </c>
      <c r="V7" s="32"/>
      <c r="W7" s="32"/>
      <c r="X7" s="32"/>
      <c r="Y7" s="32"/>
      <c r="Z7" s="32"/>
      <c r="AA7" s="32"/>
      <c r="AB7" s="32"/>
      <c r="AC7" s="32"/>
      <c r="AD7" s="32"/>
      <c r="AE7" s="44">
        <v>30</v>
      </c>
      <c r="AF7" s="32"/>
      <c r="AG7" s="32"/>
      <c r="AH7" s="44">
        <v>1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4">
        <v>889.84249999999997</v>
      </c>
      <c r="AU7" s="44">
        <v>889.84249999999997</v>
      </c>
      <c r="AV7" s="32"/>
      <c r="AW7" s="44">
        <v>0</v>
      </c>
      <c r="AX7" s="44">
        <v>0</v>
      </c>
      <c r="AY7" s="45" t="s">
        <v>44</v>
      </c>
      <c r="AZ7" s="44">
        <v>0</v>
      </c>
      <c r="BA7" s="32"/>
      <c r="BB7" s="32"/>
      <c r="BC7" s="44">
        <v>0</v>
      </c>
      <c r="BD7" s="32"/>
      <c r="BE7" s="44">
        <v>900</v>
      </c>
      <c r="BF7" s="44">
        <v>900</v>
      </c>
      <c r="BG7" s="32"/>
      <c r="BH7" s="32"/>
      <c r="BI7" s="32"/>
      <c r="BJ7" s="44">
        <v>30</v>
      </c>
      <c r="BK7" s="44">
        <v>0</v>
      </c>
      <c r="BL7" s="32"/>
      <c r="BM7" s="32"/>
      <c r="BN7" s="32"/>
      <c r="BO7" s="45" t="s">
        <v>34</v>
      </c>
      <c r="BP7" s="44">
        <v>0</v>
      </c>
      <c r="BQ7" s="44">
        <v>0</v>
      </c>
      <c r="BR7" s="32"/>
      <c r="BS7" s="45" t="s">
        <v>32</v>
      </c>
      <c r="BT7" s="44">
        <v>2</v>
      </c>
      <c r="BU7" s="44">
        <v>0</v>
      </c>
      <c r="BV7" s="44">
        <v>10.157500000000001</v>
      </c>
      <c r="BW7" s="44">
        <v>0</v>
      </c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45" t="s">
        <v>50</v>
      </c>
      <c r="CI7" s="44">
        <v>30</v>
      </c>
      <c r="CJ7" s="32"/>
      <c r="CK7" s="32"/>
      <c r="CL7" s="32"/>
      <c r="CM7" s="32"/>
      <c r="CN7" s="32"/>
      <c r="CO7" s="32"/>
      <c r="CP7" s="32"/>
      <c r="CQ7" s="41" t="s">
        <v>31</v>
      </c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/>
      <c r="C8" s="44">
        <v>0</v>
      </c>
      <c r="D8" s="44">
        <v>0</v>
      </c>
      <c r="E8" s="32"/>
      <c r="F8" s="45" t="s">
        <v>41</v>
      </c>
      <c r="G8" s="44">
        <v>4</v>
      </c>
      <c r="H8" s="44">
        <v>5</v>
      </c>
      <c r="I8" s="32"/>
      <c r="J8" s="44">
        <v>10</v>
      </c>
      <c r="K8" s="44">
        <v>10</v>
      </c>
      <c r="L8" s="32"/>
      <c r="M8" s="32"/>
      <c r="N8" s="45" t="s">
        <v>43</v>
      </c>
      <c r="O8" s="32"/>
      <c r="P8" s="44">
        <v>3</v>
      </c>
      <c r="Q8" s="44">
        <v>0</v>
      </c>
      <c r="R8" s="32"/>
      <c r="S8" s="45" t="s">
        <v>49</v>
      </c>
      <c r="T8" s="44">
        <v>0</v>
      </c>
      <c r="U8" s="44">
        <v>0</v>
      </c>
      <c r="V8" s="32"/>
      <c r="W8" s="32"/>
      <c r="X8" s="32"/>
      <c r="Y8" s="32"/>
      <c r="Z8" s="32"/>
      <c r="AA8" s="32"/>
      <c r="AB8" s="32"/>
      <c r="AC8" s="32"/>
      <c r="AD8" s="32"/>
      <c r="AE8" s="44">
        <v>10</v>
      </c>
      <c r="AF8" s="32"/>
      <c r="AG8" s="32"/>
      <c r="AH8" s="44">
        <v>1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4">
        <v>114.0001</v>
      </c>
      <c r="AU8" s="44">
        <v>114.0001</v>
      </c>
      <c r="AV8" s="32"/>
      <c r="AW8" s="44">
        <v>0</v>
      </c>
      <c r="AX8" s="44">
        <v>0</v>
      </c>
      <c r="AY8" s="45" t="s">
        <v>44</v>
      </c>
      <c r="AZ8" s="44">
        <v>0</v>
      </c>
      <c r="BA8" s="32"/>
      <c r="BB8" s="32"/>
      <c r="BC8" s="44">
        <v>0</v>
      </c>
      <c r="BD8" s="32"/>
      <c r="BE8" s="44">
        <v>100</v>
      </c>
      <c r="BF8" s="44">
        <v>100</v>
      </c>
      <c r="BG8" s="32"/>
      <c r="BH8" s="32"/>
      <c r="BI8" s="32"/>
      <c r="BJ8" s="44">
        <v>10</v>
      </c>
      <c r="BK8" s="44">
        <v>0</v>
      </c>
      <c r="BL8" s="32"/>
      <c r="BM8" s="32"/>
      <c r="BN8" s="32"/>
      <c r="BO8" s="45" t="s">
        <v>30</v>
      </c>
      <c r="BP8" s="44">
        <v>0</v>
      </c>
      <c r="BQ8" s="44">
        <v>0</v>
      </c>
      <c r="BR8" s="32"/>
      <c r="BS8" s="45" t="s">
        <v>28</v>
      </c>
      <c r="BT8" s="44">
        <v>3</v>
      </c>
      <c r="BU8" s="44">
        <v>0</v>
      </c>
      <c r="BV8" s="44">
        <v>14.0001</v>
      </c>
      <c r="BW8" s="44">
        <v>0</v>
      </c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45" t="s">
        <v>51</v>
      </c>
      <c r="CI8" s="44">
        <v>10</v>
      </c>
      <c r="CJ8" s="32"/>
      <c r="CK8" s="32"/>
      <c r="CL8" s="32"/>
      <c r="CM8" s="32"/>
      <c r="CN8" s="32"/>
      <c r="CO8" s="32"/>
      <c r="CP8" s="32"/>
      <c r="CQ8" s="41" t="s">
        <v>27</v>
      </c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32"/>
      <c r="B9" s="32"/>
      <c r="C9" s="44">
        <v>0</v>
      </c>
      <c r="D9" s="44">
        <v>0</v>
      </c>
      <c r="E9" s="32"/>
      <c r="F9" s="45" t="s">
        <v>41</v>
      </c>
      <c r="G9" s="44">
        <v>4</v>
      </c>
      <c r="H9" s="44">
        <v>5</v>
      </c>
      <c r="I9" s="32"/>
      <c r="J9" s="44">
        <v>30</v>
      </c>
      <c r="K9" s="44">
        <v>30</v>
      </c>
      <c r="L9" s="32"/>
      <c r="M9" s="32"/>
      <c r="N9" s="45" t="s">
        <v>43</v>
      </c>
      <c r="O9" s="32"/>
      <c r="P9" s="44">
        <v>3</v>
      </c>
      <c r="Q9" s="44">
        <v>0</v>
      </c>
      <c r="R9" s="32"/>
      <c r="S9" s="45" t="s">
        <v>49</v>
      </c>
      <c r="T9" s="44">
        <v>0</v>
      </c>
      <c r="U9" s="44">
        <v>0</v>
      </c>
      <c r="V9" s="32"/>
      <c r="W9" s="32"/>
      <c r="X9" s="32"/>
      <c r="Y9" s="32"/>
      <c r="Z9" s="32"/>
      <c r="AA9" s="32"/>
      <c r="AB9" s="32"/>
      <c r="AC9" s="32"/>
      <c r="AD9" s="32"/>
      <c r="AE9" s="44">
        <v>30</v>
      </c>
      <c r="AF9" s="32"/>
      <c r="AG9" s="32"/>
      <c r="AH9" s="44">
        <v>1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4">
        <v>914.00049999999999</v>
      </c>
      <c r="AU9" s="44">
        <v>914.00049999999999</v>
      </c>
      <c r="AV9" s="32"/>
      <c r="AW9" s="44">
        <v>0</v>
      </c>
      <c r="AX9" s="44">
        <v>0</v>
      </c>
      <c r="AY9" s="45" t="s">
        <v>44</v>
      </c>
      <c r="AZ9" s="44">
        <v>0</v>
      </c>
      <c r="BA9" s="32"/>
      <c r="BB9" s="32"/>
      <c r="BC9" s="44">
        <v>0</v>
      </c>
      <c r="BD9" s="32"/>
      <c r="BE9" s="44">
        <v>900</v>
      </c>
      <c r="BF9" s="44">
        <v>900</v>
      </c>
      <c r="BG9" s="32"/>
      <c r="BH9" s="32"/>
      <c r="BI9" s="32"/>
      <c r="BJ9" s="44">
        <v>30</v>
      </c>
      <c r="BK9" s="44">
        <v>0</v>
      </c>
      <c r="BL9" s="32"/>
      <c r="BM9" s="32"/>
      <c r="BN9" s="32"/>
      <c r="BO9" s="45" t="s">
        <v>29</v>
      </c>
      <c r="BP9" s="44">
        <v>0</v>
      </c>
      <c r="BQ9" s="44">
        <v>0</v>
      </c>
      <c r="BR9" s="32"/>
      <c r="BS9" s="45" t="s">
        <v>28</v>
      </c>
      <c r="BT9" s="44">
        <v>3</v>
      </c>
      <c r="BU9" s="44">
        <v>0</v>
      </c>
      <c r="BV9" s="44">
        <v>14.000500000000001</v>
      </c>
      <c r="BW9" s="44">
        <v>0</v>
      </c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45" t="s">
        <v>52</v>
      </c>
      <c r="CI9" s="44">
        <v>30</v>
      </c>
      <c r="CJ9" s="32"/>
      <c r="CK9" s="32"/>
      <c r="CL9" s="32"/>
      <c r="CM9" s="32"/>
      <c r="CN9" s="32"/>
      <c r="CO9" s="32"/>
      <c r="CP9" s="32"/>
      <c r="CQ9" s="41" t="s">
        <v>27</v>
      </c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spans="1:154" ht="15.75" customHeight="1">
      <c r="A10" s="32"/>
      <c r="B10" s="32"/>
      <c r="C10" s="44">
        <v>0</v>
      </c>
      <c r="D10" s="44">
        <v>0</v>
      </c>
      <c r="E10" s="32"/>
      <c r="F10" s="45" t="s">
        <v>41</v>
      </c>
      <c r="G10" s="44">
        <v>4</v>
      </c>
      <c r="H10" s="44">
        <v>0</v>
      </c>
      <c r="I10" s="32"/>
      <c r="J10" s="44">
        <v>20</v>
      </c>
      <c r="K10" s="44">
        <v>20</v>
      </c>
      <c r="L10" s="32"/>
      <c r="M10" s="32"/>
      <c r="N10" s="45" t="s">
        <v>43</v>
      </c>
      <c r="O10" s="32"/>
      <c r="P10" s="44">
        <v>3</v>
      </c>
      <c r="Q10" s="44">
        <v>0</v>
      </c>
      <c r="R10" s="32"/>
      <c r="S10" s="45" t="s">
        <v>49</v>
      </c>
      <c r="T10" s="44">
        <v>0</v>
      </c>
      <c r="U10" s="44">
        <v>0</v>
      </c>
      <c r="V10" s="32"/>
      <c r="W10" s="32"/>
      <c r="X10" s="32"/>
      <c r="Y10" s="32"/>
      <c r="Z10" s="32"/>
      <c r="AA10" s="32"/>
      <c r="AB10" s="32"/>
      <c r="AC10" s="32"/>
      <c r="AD10" s="32"/>
      <c r="AE10" s="44">
        <v>20</v>
      </c>
      <c r="AF10" s="32"/>
      <c r="AG10" s="32"/>
      <c r="AH10" s="44">
        <v>1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4">
        <v>393.93</v>
      </c>
      <c r="AU10" s="44">
        <v>393.93</v>
      </c>
      <c r="AV10" s="32"/>
      <c r="AW10" s="44">
        <v>0</v>
      </c>
      <c r="AX10" s="44">
        <v>0</v>
      </c>
      <c r="AY10" s="45" t="s">
        <v>44</v>
      </c>
      <c r="AZ10" s="44">
        <v>0</v>
      </c>
      <c r="BA10" s="32"/>
      <c r="BB10" s="32"/>
      <c r="BC10" s="44">
        <v>0</v>
      </c>
      <c r="BD10" s="32"/>
      <c r="BE10" s="44">
        <v>400</v>
      </c>
      <c r="BF10" s="44">
        <v>400</v>
      </c>
      <c r="BG10" s="32"/>
      <c r="BH10" s="32"/>
      <c r="BI10" s="32"/>
      <c r="BJ10" s="44">
        <v>20</v>
      </c>
      <c r="BK10" s="44">
        <v>0</v>
      </c>
      <c r="BL10" s="32"/>
      <c r="BM10" s="32"/>
      <c r="BN10" s="32"/>
      <c r="BO10" s="45" t="s">
        <v>33</v>
      </c>
      <c r="BP10" s="44">
        <v>0</v>
      </c>
      <c r="BQ10" s="44">
        <v>0</v>
      </c>
      <c r="BR10" s="32"/>
      <c r="BS10" s="45" t="s">
        <v>32</v>
      </c>
      <c r="BT10" s="44">
        <v>2</v>
      </c>
      <c r="BU10" s="44">
        <v>0</v>
      </c>
      <c r="BV10" s="44">
        <v>6.07</v>
      </c>
      <c r="BW10" s="44">
        <v>0</v>
      </c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45" t="s">
        <v>53</v>
      </c>
      <c r="CI10" s="44">
        <v>20</v>
      </c>
      <c r="CJ10" s="32"/>
      <c r="CK10" s="32"/>
      <c r="CL10" s="32"/>
      <c r="CM10" s="32"/>
      <c r="CN10" s="32"/>
      <c r="CO10" s="32"/>
      <c r="CP10" s="32"/>
      <c r="CQ10" s="41" t="s">
        <v>31</v>
      </c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spans="1:154" ht="15.75" customHeight="1">
      <c r="A11" s="32"/>
      <c r="B11" s="32"/>
      <c r="C11" s="44">
        <v>0</v>
      </c>
      <c r="D11" s="44">
        <v>0</v>
      </c>
      <c r="E11" s="32"/>
      <c r="F11" s="45" t="s">
        <v>41</v>
      </c>
      <c r="G11" s="44">
        <v>4</v>
      </c>
      <c r="H11" s="44">
        <v>5</v>
      </c>
      <c r="I11" s="32"/>
      <c r="J11" s="44">
        <v>10</v>
      </c>
      <c r="K11" s="44">
        <v>10</v>
      </c>
      <c r="L11" s="32"/>
      <c r="M11" s="32"/>
      <c r="N11" s="45" t="s">
        <v>43</v>
      </c>
      <c r="O11" s="32"/>
      <c r="P11" s="44">
        <v>3</v>
      </c>
      <c r="Q11" s="44">
        <v>0</v>
      </c>
      <c r="R11" s="32"/>
      <c r="S11" s="45" t="s">
        <v>49</v>
      </c>
      <c r="T11" s="44">
        <v>0</v>
      </c>
      <c r="U11" s="44">
        <v>0</v>
      </c>
      <c r="V11" s="32"/>
      <c r="W11" s="32"/>
      <c r="X11" s="32"/>
      <c r="Y11" s="32"/>
      <c r="Z11" s="32"/>
      <c r="AA11" s="32"/>
      <c r="AB11" s="32"/>
      <c r="AC11" s="32"/>
      <c r="AD11" s="32"/>
      <c r="AE11" s="44">
        <v>10</v>
      </c>
      <c r="AF11" s="32"/>
      <c r="AG11" s="32"/>
      <c r="AH11" s="44">
        <v>1</v>
      </c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44">
        <v>85.999899999999997</v>
      </c>
      <c r="AU11" s="44">
        <v>85.999899999999997</v>
      </c>
      <c r="AV11" s="32"/>
      <c r="AW11" s="44">
        <v>0</v>
      </c>
      <c r="AX11" s="44">
        <v>0</v>
      </c>
      <c r="AY11" s="45" t="s">
        <v>44</v>
      </c>
      <c r="AZ11" s="44">
        <v>0</v>
      </c>
      <c r="BA11" s="32"/>
      <c r="BB11" s="32"/>
      <c r="BC11" s="44">
        <v>0</v>
      </c>
      <c r="BD11" s="32"/>
      <c r="BE11" s="44">
        <v>100</v>
      </c>
      <c r="BF11" s="44">
        <v>100</v>
      </c>
      <c r="BG11" s="32"/>
      <c r="BH11" s="32"/>
      <c r="BI11" s="32"/>
      <c r="BJ11" s="44">
        <v>10</v>
      </c>
      <c r="BK11" s="44">
        <v>0</v>
      </c>
      <c r="BL11" s="32"/>
      <c r="BM11" s="32"/>
      <c r="BN11" s="32"/>
      <c r="BO11" s="45" t="s">
        <v>36</v>
      </c>
      <c r="BP11" s="44">
        <v>0</v>
      </c>
      <c r="BQ11" s="44">
        <v>0</v>
      </c>
      <c r="BR11" s="32"/>
      <c r="BS11" s="45" t="s">
        <v>35</v>
      </c>
      <c r="BT11" s="44">
        <v>3</v>
      </c>
      <c r="BU11" s="44">
        <v>0</v>
      </c>
      <c r="BV11" s="44">
        <v>14.0001</v>
      </c>
      <c r="BW11" s="44">
        <v>0</v>
      </c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45" t="s">
        <v>54</v>
      </c>
      <c r="CI11" s="44">
        <v>10</v>
      </c>
      <c r="CJ11" s="32"/>
      <c r="CK11" s="32"/>
      <c r="CL11" s="32"/>
      <c r="CM11" s="32"/>
      <c r="CN11" s="32"/>
      <c r="CO11" s="32"/>
      <c r="CP11" s="32"/>
      <c r="CQ11" s="41" t="s">
        <v>31</v>
      </c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spans="1:154" ht="15.75" customHeight="1">
      <c r="A12" s="32"/>
      <c r="B12" s="32"/>
      <c r="C12" s="44">
        <v>0</v>
      </c>
      <c r="D12" s="44">
        <v>0</v>
      </c>
      <c r="E12" s="32"/>
      <c r="F12" s="45" t="s">
        <v>41</v>
      </c>
      <c r="G12" s="44">
        <v>4</v>
      </c>
      <c r="H12" s="44">
        <v>5</v>
      </c>
      <c r="I12" s="32"/>
      <c r="J12" s="44">
        <v>20</v>
      </c>
      <c r="K12" s="44">
        <v>20</v>
      </c>
      <c r="L12" s="32"/>
      <c r="M12" s="32"/>
      <c r="N12" s="45" t="s">
        <v>43</v>
      </c>
      <c r="O12" s="32"/>
      <c r="P12" s="44">
        <v>3</v>
      </c>
      <c r="Q12" s="44">
        <v>0</v>
      </c>
      <c r="R12" s="32"/>
      <c r="S12" s="45" t="s">
        <v>49</v>
      </c>
      <c r="T12" s="44">
        <v>0</v>
      </c>
      <c r="U12" s="44">
        <v>0</v>
      </c>
      <c r="V12" s="32"/>
      <c r="W12" s="32"/>
      <c r="X12" s="32"/>
      <c r="Y12" s="32"/>
      <c r="Z12" s="32"/>
      <c r="AA12" s="32"/>
      <c r="AB12" s="32"/>
      <c r="AC12" s="32"/>
      <c r="AD12" s="32"/>
      <c r="AE12" s="44">
        <v>20</v>
      </c>
      <c r="AF12" s="32"/>
      <c r="AG12" s="32"/>
      <c r="AH12" s="44">
        <v>1</v>
      </c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44">
        <v>385.99979999999999</v>
      </c>
      <c r="AU12" s="44">
        <v>385.99979999999999</v>
      </c>
      <c r="AV12" s="32"/>
      <c r="AW12" s="44">
        <v>0</v>
      </c>
      <c r="AX12" s="44">
        <v>0</v>
      </c>
      <c r="AY12" s="45" t="s">
        <v>44</v>
      </c>
      <c r="AZ12" s="44">
        <v>0</v>
      </c>
      <c r="BA12" s="32"/>
      <c r="BB12" s="32"/>
      <c r="BC12" s="44">
        <v>0</v>
      </c>
      <c r="BD12" s="32"/>
      <c r="BE12" s="44">
        <v>400</v>
      </c>
      <c r="BF12" s="44">
        <v>400</v>
      </c>
      <c r="BG12" s="32"/>
      <c r="BH12" s="32"/>
      <c r="BI12" s="32"/>
      <c r="BJ12" s="44">
        <v>20</v>
      </c>
      <c r="BK12" s="44">
        <v>0</v>
      </c>
      <c r="BL12" s="32"/>
      <c r="BM12" s="32"/>
      <c r="BN12" s="32"/>
      <c r="BO12" s="45" t="s">
        <v>26</v>
      </c>
      <c r="BP12" s="44">
        <v>0</v>
      </c>
      <c r="BQ12" s="44">
        <v>0</v>
      </c>
      <c r="BR12" s="32"/>
      <c r="BS12" s="45" t="s">
        <v>23</v>
      </c>
      <c r="BT12" s="44">
        <v>3</v>
      </c>
      <c r="BU12" s="44">
        <v>0</v>
      </c>
      <c r="BV12" s="44">
        <v>14.0002</v>
      </c>
      <c r="BW12" s="44">
        <v>0</v>
      </c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45" t="s">
        <v>26</v>
      </c>
      <c r="CI12" s="44">
        <v>20</v>
      </c>
      <c r="CJ12" s="32"/>
      <c r="CK12" s="32"/>
      <c r="CL12" s="32"/>
      <c r="CM12" s="32"/>
      <c r="CN12" s="32"/>
      <c r="CO12" s="32"/>
      <c r="CP12" s="32"/>
      <c r="CQ12" s="41" t="s">
        <v>21</v>
      </c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B1" workbookViewId="0">
      <selection activeCell="BK16" sqref="BK1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6.7109375" customWidth="1"/>
    <col min="64" max="168" width="14.42578125" customWidth="1"/>
  </cols>
  <sheetData>
    <row r="1" spans="1:168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55</v>
      </c>
      <c r="D3" s="2" t="s">
        <v>9</v>
      </c>
      <c r="E3" s="18" t="s">
        <v>56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26"/>
      <c r="B6" s="27"/>
      <c r="C6" s="28" t="s">
        <v>23</v>
      </c>
      <c r="D6" s="34">
        <v>10</v>
      </c>
      <c r="E6" s="28"/>
      <c r="F6" s="27" t="s">
        <v>21</v>
      </c>
      <c r="G6" s="30">
        <v>10</v>
      </c>
      <c r="H6" s="28" t="s">
        <v>57</v>
      </c>
      <c r="I6" s="30">
        <v>0</v>
      </c>
      <c r="J6" s="28"/>
      <c r="K6" s="30">
        <v>0</v>
      </c>
      <c r="L6" s="30">
        <v>0</v>
      </c>
      <c r="M6" s="30">
        <v>0</v>
      </c>
      <c r="N6" s="30">
        <v>-100</v>
      </c>
      <c r="O6" s="28"/>
      <c r="P6" s="28"/>
      <c r="Q6" s="30">
        <v>-100</v>
      </c>
      <c r="R6" s="28"/>
      <c r="S6" s="28"/>
      <c r="T6" s="32" t="s">
        <v>41</v>
      </c>
      <c r="U6" s="32" t="s">
        <v>39</v>
      </c>
      <c r="V6" s="32" t="s">
        <v>58</v>
      </c>
      <c r="W6" s="32" t="s">
        <v>40</v>
      </c>
      <c r="X6" s="32"/>
      <c r="Y6" s="40">
        <v>1</v>
      </c>
      <c r="Z6" s="32"/>
      <c r="AA6" s="32"/>
      <c r="AB6" s="40">
        <v>0</v>
      </c>
      <c r="AC6" s="40">
        <v>0</v>
      </c>
      <c r="AD6" s="40">
        <v>0</v>
      </c>
      <c r="AE6" s="40">
        <v>0</v>
      </c>
      <c r="AF6" s="40">
        <v>10</v>
      </c>
      <c r="AG6" s="35">
        <v>0</v>
      </c>
      <c r="AH6" s="35">
        <v>0</v>
      </c>
      <c r="AI6" s="35">
        <v>0</v>
      </c>
      <c r="AJ6" s="35">
        <v>0</v>
      </c>
      <c r="AK6" s="35">
        <v>-100</v>
      </c>
      <c r="AL6" s="40">
        <v>1</v>
      </c>
      <c r="AM6" s="40">
        <v>1</v>
      </c>
      <c r="AN6" s="32" t="s">
        <v>24</v>
      </c>
      <c r="AO6" s="32"/>
      <c r="AP6" s="32" t="s">
        <v>59</v>
      </c>
      <c r="AQ6" s="32" t="s">
        <v>23</v>
      </c>
      <c r="AR6" s="40">
        <v>0</v>
      </c>
      <c r="AS6" s="40">
        <v>1</v>
      </c>
      <c r="AT6" s="32"/>
      <c r="AU6" s="32"/>
      <c r="AV6" s="40">
        <v>1</v>
      </c>
      <c r="AW6" s="35">
        <v>-100</v>
      </c>
      <c r="AX6" s="40">
        <v>0</v>
      </c>
      <c r="AY6" s="40">
        <v>0</v>
      </c>
      <c r="AZ6" s="40">
        <v>0</v>
      </c>
      <c r="BA6" s="40">
        <v>-100</v>
      </c>
      <c r="BB6" s="32"/>
      <c r="BC6" s="40">
        <v>1</v>
      </c>
      <c r="BD6" s="35">
        <v>-100</v>
      </c>
      <c r="BE6" s="32"/>
      <c r="BF6" s="32"/>
      <c r="BG6" s="32"/>
      <c r="BH6" s="32"/>
      <c r="BI6" s="32"/>
      <c r="BJ6" s="40">
        <v>0</v>
      </c>
      <c r="BK6" s="40">
        <v>0</v>
      </c>
      <c r="BL6" s="40">
        <v>0</v>
      </c>
      <c r="BM6" s="40">
        <v>0</v>
      </c>
      <c r="BN6" s="32"/>
      <c r="BO6" s="35">
        <v>-100</v>
      </c>
      <c r="BP6" s="40">
        <v>0</v>
      </c>
      <c r="BQ6" s="32"/>
      <c r="BR6" s="32" t="s">
        <v>43</v>
      </c>
      <c r="BS6" s="40">
        <v>0</v>
      </c>
      <c r="BT6" s="40">
        <v>0</v>
      </c>
      <c r="BU6" s="32"/>
      <c r="BV6" s="32"/>
      <c r="BW6" s="40">
        <v>0</v>
      </c>
      <c r="BX6" s="40">
        <v>0</v>
      </c>
      <c r="BY6" s="40">
        <v>0</v>
      </c>
      <c r="BZ6" s="40">
        <v>0</v>
      </c>
      <c r="CA6" s="40">
        <v>0</v>
      </c>
      <c r="CB6" s="32"/>
      <c r="CC6" s="32"/>
      <c r="CD6" s="35">
        <v>-100</v>
      </c>
      <c r="CE6" s="40">
        <v>0</v>
      </c>
      <c r="CF6" s="40">
        <v>0</v>
      </c>
      <c r="CG6" s="35">
        <v>-100</v>
      </c>
      <c r="CH6" s="32"/>
      <c r="CI6" s="40">
        <v>0</v>
      </c>
      <c r="CJ6" s="40">
        <v>0</v>
      </c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40">
        <v>0</v>
      </c>
      <c r="DB6" s="40">
        <v>0</v>
      </c>
      <c r="DC6" s="32"/>
      <c r="DD6" s="40">
        <v>10</v>
      </c>
      <c r="DE6" s="40">
        <v>0</v>
      </c>
      <c r="DF6" s="40">
        <v>0</v>
      </c>
      <c r="DG6" s="40">
        <v>0</v>
      </c>
      <c r="DH6" s="32"/>
      <c r="DI6" s="32"/>
      <c r="DJ6" s="32" t="s">
        <v>24</v>
      </c>
      <c r="DK6" s="40">
        <v>0</v>
      </c>
      <c r="DL6" s="40">
        <v>0</v>
      </c>
      <c r="DM6" s="40">
        <v>1</v>
      </c>
      <c r="DN6" s="40">
        <v>0</v>
      </c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40">
        <v>0</v>
      </c>
      <c r="EG6" s="40">
        <v>0</v>
      </c>
      <c r="EH6" s="40">
        <v>0</v>
      </c>
      <c r="EI6" s="40">
        <v>0</v>
      </c>
      <c r="EJ6" s="40">
        <v>0</v>
      </c>
      <c r="EK6" s="40">
        <v>0</v>
      </c>
      <c r="EL6" s="32" t="s">
        <v>59</v>
      </c>
      <c r="EM6" s="40">
        <v>0</v>
      </c>
      <c r="EN6" s="40">
        <v>0</v>
      </c>
      <c r="EO6" s="40">
        <v>0</v>
      </c>
      <c r="EP6" s="32"/>
      <c r="EQ6" s="40">
        <v>0</v>
      </c>
      <c r="ER6" s="40">
        <v>0</v>
      </c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</row>
    <row r="7" spans="1:168" ht="15.75" customHeight="1">
      <c r="A7" s="32"/>
      <c r="B7" s="32"/>
      <c r="C7" s="32" t="s">
        <v>23</v>
      </c>
      <c r="D7" s="35">
        <v>-20</v>
      </c>
      <c r="E7" s="32"/>
      <c r="F7" s="26" t="s">
        <v>21</v>
      </c>
      <c r="G7" s="35">
        <v>20</v>
      </c>
      <c r="H7" s="32" t="s">
        <v>57</v>
      </c>
      <c r="I7" s="35">
        <v>0</v>
      </c>
      <c r="J7" s="32"/>
      <c r="K7" s="35">
        <v>0</v>
      </c>
      <c r="L7" s="35">
        <v>0</v>
      </c>
      <c r="M7" s="35">
        <v>0</v>
      </c>
      <c r="N7" s="35">
        <v>400</v>
      </c>
      <c r="O7" s="32"/>
      <c r="P7" s="32"/>
      <c r="Q7" s="35">
        <v>400</v>
      </c>
      <c r="R7" s="32"/>
      <c r="S7" s="32"/>
      <c r="T7" s="32" t="s">
        <v>41</v>
      </c>
      <c r="U7" s="32" t="s">
        <v>39</v>
      </c>
      <c r="V7" s="32" t="s">
        <v>58</v>
      </c>
      <c r="W7" s="32" t="s">
        <v>40</v>
      </c>
      <c r="X7" s="32"/>
      <c r="Y7" s="40">
        <v>1</v>
      </c>
      <c r="Z7" s="32"/>
      <c r="AA7" s="32"/>
      <c r="AB7" s="40">
        <v>0</v>
      </c>
      <c r="AC7" s="40">
        <v>0</v>
      </c>
      <c r="AD7" s="40">
        <v>0</v>
      </c>
      <c r="AE7" s="40">
        <v>0</v>
      </c>
      <c r="AF7" s="40">
        <v>-20</v>
      </c>
      <c r="AG7" s="35">
        <v>0</v>
      </c>
      <c r="AH7" s="35">
        <v>0</v>
      </c>
      <c r="AI7" s="35">
        <v>0</v>
      </c>
      <c r="AJ7" s="35">
        <v>0</v>
      </c>
      <c r="AK7" s="35">
        <v>400</v>
      </c>
      <c r="AL7" s="40">
        <v>1</v>
      </c>
      <c r="AM7" s="40">
        <v>1</v>
      </c>
      <c r="AN7" s="32" t="s">
        <v>26</v>
      </c>
      <c r="AO7" s="32"/>
      <c r="AP7" s="32" t="s">
        <v>59</v>
      </c>
      <c r="AQ7" s="32" t="s">
        <v>23</v>
      </c>
      <c r="AR7" s="40">
        <v>0</v>
      </c>
      <c r="AS7" s="40">
        <v>-1</v>
      </c>
      <c r="AT7" s="32"/>
      <c r="AU7" s="32"/>
      <c r="AV7" s="40">
        <v>1</v>
      </c>
      <c r="AW7" s="35">
        <v>400</v>
      </c>
      <c r="AX7" s="40">
        <v>0</v>
      </c>
      <c r="AY7" s="40">
        <v>0</v>
      </c>
      <c r="AZ7" s="40">
        <v>0</v>
      </c>
      <c r="BA7" s="40">
        <v>100</v>
      </c>
      <c r="BB7" s="32"/>
      <c r="BC7" s="40">
        <v>1</v>
      </c>
      <c r="BD7" s="35">
        <v>400</v>
      </c>
      <c r="BE7" s="32"/>
      <c r="BF7" s="32"/>
      <c r="BG7" s="32"/>
      <c r="BH7" s="32"/>
      <c r="BI7" s="32"/>
      <c r="BJ7" s="40">
        <v>0</v>
      </c>
      <c r="BK7" s="40">
        <v>0</v>
      </c>
      <c r="BL7" s="40">
        <v>0</v>
      </c>
      <c r="BM7" s="40">
        <v>0</v>
      </c>
      <c r="BN7" s="32"/>
      <c r="BO7" s="35">
        <v>400</v>
      </c>
      <c r="BP7" s="40">
        <v>0</v>
      </c>
      <c r="BQ7" s="32"/>
      <c r="BR7" s="32" t="s">
        <v>43</v>
      </c>
      <c r="BS7" s="40">
        <v>0</v>
      </c>
      <c r="BT7" s="40">
        <v>0</v>
      </c>
      <c r="BU7" s="32"/>
      <c r="BV7" s="32"/>
      <c r="BW7" s="40">
        <v>0</v>
      </c>
      <c r="BX7" s="40">
        <v>0</v>
      </c>
      <c r="BY7" s="40">
        <v>0</v>
      </c>
      <c r="BZ7" s="40">
        <v>0</v>
      </c>
      <c r="CA7" s="40">
        <v>0</v>
      </c>
      <c r="CB7" s="32"/>
      <c r="CC7" s="32"/>
      <c r="CD7" s="35">
        <v>400</v>
      </c>
      <c r="CE7" s="40">
        <v>0</v>
      </c>
      <c r="CF7" s="40">
        <v>0</v>
      </c>
      <c r="CG7" s="35">
        <v>400</v>
      </c>
      <c r="CH7" s="32"/>
      <c r="CI7" s="40">
        <v>0</v>
      </c>
      <c r="CJ7" s="40">
        <v>0</v>
      </c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40">
        <v>0</v>
      </c>
      <c r="DB7" s="40">
        <v>0</v>
      </c>
      <c r="DC7" s="32"/>
      <c r="DD7" s="40">
        <v>-20</v>
      </c>
      <c r="DE7" s="40">
        <v>0</v>
      </c>
      <c r="DF7" s="40">
        <v>0</v>
      </c>
      <c r="DG7" s="40">
        <v>0</v>
      </c>
      <c r="DH7" s="32"/>
      <c r="DI7" s="32"/>
      <c r="DJ7" s="32" t="s">
        <v>26</v>
      </c>
      <c r="DK7" s="40">
        <v>0</v>
      </c>
      <c r="DL7" s="40">
        <v>0</v>
      </c>
      <c r="DM7" s="40">
        <v>1</v>
      </c>
      <c r="DN7" s="40">
        <v>0</v>
      </c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40">
        <v>0</v>
      </c>
      <c r="EG7" s="40">
        <v>0</v>
      </c>
      <c r="EH7" s="40">
        <v>0</v>
      </c>
      <c r="EI7" s="40">
        <v>0</v>
      </c>
      <c r="EJ7" s="40">
        <v>0</v>
      </c>
      <c r="EK7" s="40">
        <v>0</v>
      </c>
      <c r="EL7" s="32" t="s">
        <v>59</v>
      </c>
      <c r="EM7" s="40">
        <v>0</v>
      </c>
      <c r="EN7" s="40">
        <v>0</v>
      </c>
      <c r="EO7" s="40">
        <v>0</v>
      </c>
      <c r="EP7" s="32"/>
      <c r="EQ7" s="40">
        <v>0</v>
      </c>
      <c r="ER7" s="40">
        <v>0</v>
      </c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</row>
    <row r="8" spans="1:168" ht="15.75" customHeight="1">
      <c r="A8" s="32"/>
      <c r="B8" s="32"/>
      <c r="C8" s="32" t="s">
        <v>28</v>
      </c>
      <c r="D8" s="35">
        <v>30</v>
      </c>
      <c r="E8" s="32"/>
      <c r="F8" s="26" t="s">
        <v>27</v>
      </c>
      <c r="G8" s="35">
        <v>30</v>
      </c>
      <c r="H8" s="32" t="s">
        <v>59</v>
      </c>
      <c r="I8" s="35">
        <v>0</v>
      </c>
      <c r="J8" s="32"/>
      <c r="K8" s="35">
        <v>0</v>
      </c>
      <c r="L8" s="35">
        <v>0</v>
      </c>
      <c r="M8" s="35">
        <v>0</v>
      </c>
      <c r="N8" s="35">
        <v>-900</v>
      </c>
      <c r="O8" s="32"/>
      <c r="P8" s="32"/>
      <c r="Q8" s="35">
        <v>-900</v>
      </c>
      <c r="R8" s="32"/>
      <c r="S8" s="32"/>
      <c r="T8" s="32" t="s">
        <v>41</v>
      </c>
      <c r="U8" s="32" t="s">
        <v>39</v>
      </c>
      <c r="V8" s="32" t="s">
        <v>58</v>
      </c>
      <c r="W8" s="32" t="s">
        <v>40</v>
      </c>
      <c r="X8" s="32"/>
      <c r="Y8" s="40">
        <v>1</v>
      </c>
      <c r="Z8" s="32"/>
      <c r="AA8" s="32"/>
      <c r="AB8" s="40">
        <v>0</v>
      </c>
      <c r="AC8" s="40">
        <v>0</v>
      </c>
      <c r="AD8" s="40">
        <v>0</v>
      </c>
      <c r="AE8" s="40">
        <v>0</v>
      </c>
      <c r="AF8" s="40">
        <v>30</v>
      </c>
      <c r="AG8" s="35">
        <v>0</v>
      </c>
      <c r="AH8" s="35">
        <v>0</v>
      </c>
      <c r="AI8" s="35">
        <v>0</v>
      </c>
      <c r="AJ8" s="35">
        <v>0</v>
      </c>
      <c r="AK8" s="35">
        <v>-900</v>
      </c>
      <c r="AL8" s="40">
        <v>1</v>
      </c>
      <c r="AM8" s="40">
        <v>1</v>
      </c>
      <c r="AN8" s="32" t="s">
        <v>29</v>
      </c>
      <c r="AO8" s="32"/>
      <c r="AP8" s="32" t="s">
        <v>57</v>
      </c>
      <c r="AQ8" s="32" t="s">
        <v>28</v>
      </c>
      <c r="AR8" s="40">
        <v>0</v>
      </c>
      <c r="AS8" s="40">
        <v>1</v>
      </c>
      <c r="AT8" s="32"/>
      <c r="AU8" s="32"/>
      <c r="AV8" s="40">
        <v>1</v>
      </c>
      <c r="AW8" s="35">
        <v>-900</v>
      </c>
      <c r="AX8" s="40">
        <v>0</v>
      </c>
      <c r="AY8" s="40">
        <v>0</v>
      </c>
      <c r="AZ8" s="40">
        <v>0</v>
      </c>
      <c r="BA8" s="40">
        <v>-100</v>
      </c>
      <c r="BB8" s="32"/>
      <c r="BC8" s="40">
        <v>1</v>
      </c>
      <c r="BD8" s="35">
        <v>-900</v>
      </c>
      <c r="BE8" s="32"/>
      <c r="BF8" s="32"/>
      <c r="BG8" s="32"/>
      <c r="BH8" s="32"/>
      <c r="BI8" s="32"/>
      <c r="BJ8" s="40">
        <v>0</v>
      </c>
      <c r="BK8" s="40">
        <v>0</v>
      </c>
      <c r="BL8" s="40">
        <v>0</v>
      </c>
      <c r="BM8" s="40">
        <v>0</v>
      </c>
      <c r="BN8" s="32"/>
      <c r="BO8" s="35">
        <v>-900</v>
      </c>
      <c r="BP8" s="40">
        <v>0</v>
      </c>
      <c r="BQ8" s="32"/>
      <c r="BR8" s="32" t="s">
        <v>43</v>
      </c>
      <c r="BS8" s="40">
        <v>0</v>
      </c>
      <c r="BT8" s="40">
        <v>0</v>
      </c>
      <c r="BU8" s="32"/>
      <c r="BV8" s="32"/>
      <c r="BW8" s="40">
        <v>0</v>
      </c>
      <c r="BX8" s="40">
        <v>0</v>
      </c>
      <c r="BY8" s="40">
        <v>0</v>
      </c>
      <c r="BZ8" s="40">
        <v>0</v>
      </c>
      <c r="CA8" s="40">
        <v>0</v>
      </c>
      <c r="CB8" s="32"/>
      <c r="CC8" s="32"/>
      <c r="CD8" s="35">
        <v>-900</v>
      </c>
      <c r="CE8" s="40">
        <v>0</v>
      </c>
      <c r="CF8" s="40">
        <v>0</v>
      </c>
      <c r="CG8" s="35">
        <v>-900</v>
      </c>
      <c r="CH8" s="32"/>
      <c r="CI8" s="40">
        <v>0</v>
      </c>
      <c r="CJ8" s="40">
        <v>0</v>
      </c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40">
        <v>0</v>
      </c>
      <c r="DB8" s="40">
        <v>0</v>
      </c>
      <c r="DC8" s="32"/>
      <c r="DD8" s="40">
        <v>30</v>
      </c>
      <c r="DE8" s="40">
        <v>0</v>
      </c>
      <c r="DF8" s="40">
        <v>0</v>
      </c>
      <c r="DG8" s="40">
        <v>0</v>
      </c>
      <c r="DH8" s="32"/>
      <c r="DI8" s="32"/>
      <c r="DJ8" s="32" t="s">
        <v>29</v>
      </c>
      <c r="DK8" s="40">
        <v>0</v>
      </c>
      <c r="DL8" s="40">
        <v>0</v>
      </c>
      <c r="DM8" s="40">
        <v>1</v>
      </c>
      <c r="DN8" s="40">
        <v>0</v>
      </c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40">
        <v>0</v>
      </c>
      <c r="EG8" s="40">
        <v>0</v>
      </c>
      <c r="EH8" s="40">
        <v>0</v>
      </c>
      <c r="EI8" s="40">
        <v>0</v>
      </c>
      <c r="EJ8" s="40">
        <v>0</v>
      </c>
      <c r="EK8" s="40">
        <v>0</v>
      </c>
      <c r="EL8" s="32" t="s">
        <v>59</v>
      </c>
      <c r="EM8" s="40">
        <v>0</v>
      </c>
      <c r="EN8" s="40">
        <v>0</v>
      </c>
      <c r="EO8" s="40">
        <v>0</v>
      </c>
      <c r="EP8" s="32"/>
      <c r="EQ8" s="40">
        <v>0</v>
      </c>
      <c r="ER8" s="40">
        <v>0</v>
      </c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</row>
    <row r="9" spans="1:168" ht="15.75" customHeight="1">
      <c r="A9" s="32"/>
      <c r="B9" s="32"/>
      <c r="C9" s="32" t="s">
        <v>28</v>
      </c>
      <c r="D9" s="35">
        <v>10</v>
      </c>
      <c r="E9" s="32"/>
      <c r="F9" s="26" t="s">
        <v>27</v>
      </c>
      <c r="G9" s="35">
        <v>10</v>
      </c>
      <c r="H9" s="32" t="s">
        <v>59</v>
      </c>
      <c r="I9" s="35">
        <v>0</v>
      </c>
      <c r="J9" s="32"/>
      <c r="K9" s="35">
        <v>0</v>
      </c>
      <c r="L9" s="35">
        <v>0</v>
      </c>
      <c r="M9" s="35">
        <v>0</v>
      </c>
      <c r="N9" s="35">
        <v>-100</v>
      </c>
      <c r="O9" s="32"/>
      <c r="P9" s="32"/>
      <c r="Q9" s="35">
        <v>-100</v>
      </c>
      <c r="R9" s="32"/>
      <c r="S9" s="32"/>
      <c r="T9" s="32" t="s">
        <v>41</v>
      </c>
      <c r="U9" s="32" t="s">
        <v>39</v>
      </c>
      <c r="V9" s="32" t="s">
        <v>58</v>
      </c>
      <c r="W9" s="32" t="s">
        <v>40</v>
      </c>
      <c r="X9" s="32"/>
      <c r="Y9" s="40">
        <v>1</v>
      </c>
      <c r="Z9" s="32"/>
      <c r="AA9" s="32"/>
      <c r="AB9" s="40">
        <v>0</v>
      </c>
      <c r="AC9" s="40">
        <v>0</v>
      </c>
      <c r="AD9" s="40">
        <v>0</v>
      </c>
      <c r="AE9" s="40">
        <v>0</v>
      </c>
      <c r="AF9" s="40">
        <v>10</v>
      </c>
      <c r="AG9" s="35">
        <v>0</v>
      </c>
      <c r="AH9" s="35">
        <v>0</v>
      </c>
      <c r="AI9" s="35">
        <v>0</v>
      </c>
      <c r="AJ9" s="35">
        <v>0</v>
      </c>
      <c r="AK9" s="35">
        <v>-100</v>
      </c>
      <c r="AL9" s="40">
        <v>1</v>
      </c>
      <c r="AM9" s="40">
        <v>1</v>
      </c>
      <c r="AN9" s="32" t="s">
        <v>30</v>
      </c>
      <c r="AO9" s="32"/>
      <c r="AP9" s="32" t="s">
        <v>59</v>
      </c>
      <c r="AQ9" s="32" t="s">
        <v>28</v>
      </c>
      <c r="AR9" s="40">
        <v>0</v>
      </c>
      <c r="AS9" s="40">
        <v>1</v>
      </c>
      <c r="AT9" s="32"/>
      <c r="AU9" s="32"/>
      <c r="AV9" s="40">
        <v>1</v>
      </c>
      <c r="AW9" s="35">
        <v>-100</v>
      </c>
      <c r="AX9" s="40">
        <v>0</v>
      </c>
      <c r="AY9" s="40">
        <v>0</v>
      </c>
      <c r="AZ9" s="40">
        <v>0</v>
      </c>
      <c r="BA9" s="40">
        <v>-100</v>
      </c>
      <c r="BB9" s="32"/>
      <c r="BC9" s="40">
        <v>1</v>
      </c>
      <c r="BD9" s="35">
        <v>-100</v>
      </c>
      <c r="BE9" s="32"/>
      <c r="BF9" s="32"/>
      <c r="BG9" s="32"/>
      <c r="BH9" s="32"/>
      <c r="BI9" s="32"/>
      <c r="BJ9" s="40">
        <v>0</v>
      </c>
      <c r="BK9" s="40">
        <v>0</v>
      </c>
      <c r="BL9" s="40">
        <v>0</v>
      </c>
      <c r="BM9" s="40">
        <v>0</v>
      </c>
      <c r="BN9" s="32"/>
      <c r="BO9" s="35">
        <v>-100</v>
      </c>
      <c r="BP9" s="40">
        <v>0</v>
      </c>
      <c r="BQ9" s="32"/>
      <c r="BR9" s="32" t="s">
        <v>43</v>
      </c>
      <c r="BS9" s="40">
        <v>0</v>
      </c>
      <c r="BT9" s="40">
        <v>0</v>
      </c>
      <c r="BU9" s="32"/>
      <c r="BV9" s="32"/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32"/>
      <c r="CC9" s="32"/>
      <c r="CD9" s="35">
        <v>-100</v>
      </c>
      <c r="CE9" s="40">
        <v>0</v>
      </c>
      <c r="CF9" s="40">
        <v>0</v>
      </c>
      <c r="CG9" s="35">
        <v>-100</v>
      </c>
      <c r="CH9" s="32"/>
      <c r="CI9" s="40">
        <v>0</v>
      </c>
      <c r="CJ9" s="40">
        <v>0</v>
      </c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40">
        <v>0</v>
      </c>
      <c r="DB9" s="40">
        <v>0</v>
      </c>
      <c r="DC9" s="32"/>
      <c r="DD9" s="40">
        <v>10</v>
      </c>
      <c r="DE9" s="40">
        <v>0</v>
      </c>
      <c r="DF9" s="40">
        <v>0</v>
      </c>
      <c r="DG9" s="40">
        <v>0</v>
      </c>
      <c r="DH9" s="32"/>
      <c r="DI9" s="32"/>
      <c r="DJ9" s="32" t="s">
        <v>30</v>
      </c>
      <c r="DK9" s="40">
        <v>0</v>
      </c>
      <c r="DL9" s="40">
        <v>0</v>
      </c>
      <c r="DM9" s="40">
        <v>1</v>
      </c>
      <c r="DN9" s="40">
        <v>0</v>
      </c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40">
        <v>0</v>
      </c>
      <c r="EG9" s="40">
        <v>0</v>
      </c>
      <c r="EH9" s="40">
        <v>0</v>
      </c>
      <c r="EI9" s="40">
        <v>0</v>
      </c>
      <c r="EJ9" s="40">
        <v>0</v>
      </c>
      <c r="EK9" s="40">
        <v>0</v>
      </c>
      <c r="EL9" s="32" t="s">
        <v>59</v>
      </c>
      <c r="EM9" s="40">
        <v>0</v>
      </c>
      <c r="EN9" s="40">
        <v>0</v>
      </c>
      <c r="EO9" s="40">
        <v>0</v>
      </c>
      <c r="EP9" s="32"/>
      <c r="EQ9" s="40">
        <v>0</v>
      </c>
      <c r="ER9" s="40">
        <v>0</v>
      </c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</row>
    <row r="10" spans="1:168" ht="15.75" customHeight="1">
      <c r="A10" s="32"/>
      <c r="B10" s="32"/>
      <c r="C10" s="32" t="s">
        <v>32</v>
      </c>
      <c r="D10" s="35">
        <v>-20</v>
      </c>
      <c r="E10" s="32"/>
      <c r="F10" s="26" t="s">
        <v>31</v>
      </c>
      <c r="G10" s="35">
        <v>20</v>
      </c>
      <c r="H10" s="32" t="s">
        <v>57</v>
      </c>
      <c r="I10" s="35">
        <v>0</v>
      </c>
      <c r="J10" s="32"/>
      <c r="K10" s="35">
        <v>0</v>
      </c>
      <c r="L10" s="35">
        <v>0</v>
      </c>
      <c r="M10" s="35">
        <v>0</v>
      </c>
      <c r="N10" s="35">
        <v>400</v>
      </c>
      <c r="O10" s="32"/>
      <c r="P10" s="32"/>
      <c r="Q10" s="35">
        <v>400</v>
      </c>
      <c r="R10" s="32"/>
      <c r="S10" s="32"/>
      <c r="T10" s="32" t="s">
        <v>41</v>
      </c>
      <c r="U10" s="32" t="s">
        <v>39</v>
      </c>
      <c r="V10" s="32" t="s">
        <v>60</v>
      </c>
      <c r="W10" s="32" t="s">
        <v>40</v>
      </c>
      <c r="X10" s="32"/>
      <c r="Y10" s="40">
        <v>1</v>
      </c>
      <c r="Z10" s="32"/>
      <c r="AA10" s="32"/>
      <c r="AB10" s="40">
        <v>0</v>
      </c>
      <c r="AC10" s="40">
        <v>0</v>
      </c>
      <c r="AD10" s="40">
        <v>0</v>
      </c>
      <c r="AE10" s="40">
        <v>0</v>
      </c>
      <c r="AF10" s="40">
        <v>-20</v>
      </c>
      <c r="AG10" s="35">
        <v>0</v>
      </c>
      <c r="AH10" s="35">
        <v>0</v>
      </c>
      <c r="AI10" s="35">
        <v>0</v>
      </c>
      <c r="AJ10" s="35">
        <v>0</v>
      </c>
      <c r="AK10" s="35">
        <v>400</v>
      </c>
      <c r="AL10" s="40">
        <v>1</v>
      </c>
      <c r="AM10" s="40">
        <v>1</v>
      </c>
      <c r="AN10" s="32" t="s">
        <v>33</v>
      </c>
      <c r="AO10" s="32"/>
      <c r="AP10" s="32" t="s">
        <v>57</v>
      </c>
      <c r="AQ10" s="32" t="s">
        <v>32</v>
      </c>
      <c r="AR10" s="40">
        <v>0</v>
      </c>
      <c r="AS10" s="40">
        <v>-1</v>
      </c>
      <c r="AT10" s="32"/>
      <c r="AU10" s="32"/>
      <c r="AV10" s="40">
        <v>1</v>
      </c>
      <c r="AW10" s="35">
        <v>400</v>
      </c>
      <c r="AX10" s="40">
        <v>0</v>
      </c>
      <c r="AY10" s="40">
        <v>0</v>
      </c>
      <c r="AZ10" s="40">
        <v>0</v>
      </c>
      <c r="BA10" s="40">
        <v>100</v>
      </c>
      <c r="BB10" s="32"/>
      <c r="BC10" s="40">
        <v>1</v>
      </c>
      <c r="BD10" s="35">
        <v>400</v>
      </c>
      <c r="BE10" s="32"/>
      <c r="BF10" s="32"/>
      <c r="BG10" s="32"/>
      <c r="BH10" s="32"/>
      <c r="BI10" s="32"/>
      <c r="BJ10" s="40">
        <v>0</v>
      </c>
      <c r="BK10" s="40">
        <v>0</v>
      </c>
      <c r="BL10" s="40">
        <v>0</v>
      </c>
      <c r="BM10" s="40">
        <v>0</v>
      </c>
      <c r="BN10" s="32"/>
      <c r="BO10" s="35">
        <v>400</v>
      </c>
      <c r="BP10" s="40">
        <v>0</v>
      </c>
      <c r="BQ10" s="32"/>
      <c r="BR10" s="32" t="s">
        <v>43</v>
      </c>
      <c r="BS10" s="40">
        <v>0</v>
      </c>
      <c r="BT10" s="40">
        <v>0</v>
      </c>
      <c r="BU10" s="32"/>
      <c r="BV10" s="32"/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32"/>
      <c r="CC10" s="32"/>
      <c r="CD10" s="35">
        <v>400</v>
      </c>
      <c r="CE10" s="40">
        <v>0</v>
      </c>
      <c r="CF10" s="40">
        <v>0</v>
      </c>
      <c r="CG10" s="35">
        <v>400</v>
      </c>
      <c r="CH10" s="32"/>
      <c r="CI10" s="40">
        <v>0</v>
      </c>
      <c r="CJ10" s="40">
        <v>0</v>
      </c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40">
        <v>0</v>
      </c>
      <c r="DB10" s="40">
        <v>0</v>
      </c>
      <c r="DC10" s="32"/>
      <c r="DD10" s="40">
        <v>-20</v>
      </c>
      <c r="DE10" s="40">
        <v>0</v>
      </c>
      <c r="DF10" s="40">
        <v>0</v>
      </c>
      <c r="DG10" s="40">
        <v>0</v>
      </c>
      <c r="DH10" s="32"/>
      <c r="DI10" s="32"/>
      <c r="DJ10" s="32" t="s">
        <v>33</v>
      </c>
      <c r="DK10" s="40">
        <v>0</v>
      </c>
      <c r="DL10" s="40">
        <v>0</v>
      </c>
      <c r="DM10" s="40">
        <v>1</v>
      </c>
      <c r="DN10" s="40">
        <v>0</v>
      </c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40">
        <v>0</v>
      </c>
      <c r="EG10" s="40">
        <v>0</v>
      </c>
      <c r="EH10" s="40">
        <v>0</v>
      </c>
      <c r="EI10" s="40">
        <v>0</v>
      </c>
      <c r="EJ10" s="40">
        <v>0</v>
      </c>
      <c r="EK10" s="40">
        <v>0</v>
      </c>
      <c r="EL10" s="32" t="s">
        <v>59</v>
      </c>
      <c r="EM10" s="40">
        <v>0</v>
      </c>
      <c r="EN10" s="40">
        <v>0</v>
      </c>
      <c r="EO10" s="40">
        <v>0</v>
      </c>
      <c r="EP10" s="32"/>
      <c r="EQ10" s="40">
        <v>0</v>
      </c>
      <c r="ER10" s="40">
        <v>0</v>
      </c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</row>
    <row r="11" spans="1:168" ht="15.75" customHeight="1">
      <c r="A11" s="32"/>
      <c r="B11" s="32"/>
      <c r="C11" s="32" t="s">
        <v>32</v>
      </c>
      <c r="D11" s="35">
        <v>-30</v>
      </c>
      <c r="E11" s="32"/>
      <c r="F11" s="26" t="s">
        <v>31</v>
      </c>
      <c r="G11" s="35">
        <v>30</v>
      </c>
      <c r="H11" s="32" t="s">
        <v>57</v>
      </c>
      <c r="I11" s="35">
        <v>0</v>
      </c>
      <c r="J11" s="32"/>
      <c r="K11" s="35">
        <v>0</v>
      </c>
      <c r="L11" s="35">
        <v>0</v>
      </c>
      <c r="M11" s="35">
        <v>0</v>
      </c>
      <c r="N11" s="35">
        <v>900</v>
      </c>
      <c r="O11" s="32"/>
      <c r="P11" s="32"/>
      <c r="Q11" s="35">
        <v>900</v>
      </c>
      <c r="R11" s="32"/>
      <c r="S11" s="32"/>
      <c r="T11" s="32" t="s">
        <v>41</v>
      </c>
      <c r="U11" s="32" t="s">
        <v>39</v>
      </c>
      <c r="V11" s="32" t="s">
        <v>60</v>
      </c>
      <c r="W11" s="32" t="s">
        <v>40</v>
      </c>
      <c r="X11" s="32"/>
      <c r="Y11" s="40">
        <v>1</v>
      </c>
      <c r="Z11" s="32"/>
      <c r="AA11" s="32"/>
      <c r="AB11" s="40">
        <v>0</v>
      </c>
      <c r="AC11" s="40">
        <v>0</v>
      </c>
      <c r="AD11" s="40">
        <v>0</v>
      </c>
      <c r="AE11" s="40">
        <v>0</v>
      </c>
      <c r="AF11" s="40">
        <v>-30</v>
      </c>
      <c r="AG11" s="35">
        <v>0</v>
      </c>
      <c r="AH11" s="35">
        <v>0</v>
      </c>
      <c r="AI11" s="35">
        <v>0</v>
      </c>
      <c r="AJ11" s="35">
        <v>0</v>
      </c>
      <c r="AK11" s="35">
        <v>900</v>
      </c>
      <c r="AL11" s="40">
        <v>1</v>
      </c>
      <c r="AM11" s="40">
        <v>1</v>
      </c>
      <c r="AN11" s="32" t="s">
        <v>34</v>
      </c>
      <c r="AO11" s="32"/>
      <c r="AP11" s="32" t="s">
        <v>59</v>
      </c>
      <c r="AQ11" s="32" t="s">
        <v>32</v>
      </c>
      <c r="AR11" s="40">
        <v>0</v>
      </c>
      <c r="AS11" s="40">
        <v>-1</v>
      </c>
      <c r="AT11" s="32"/>
      <c r="AU11" s="32"/>
      <c r="AV11" s="40">
        <v>1</v>
      </c>
      <c r="AW11" s="35">
        <v>900</v>
      </c>
      <c r="AX11" s="40">
        <v>0</v>
      </c>
      <c r="AY11" s="40">
        <v>0</v>
      </c>
      <c r="AZ11" s="40">
        <v>0</v>
      </c>
      <c r="BA11" s="40">
        <v>100</v>
      </c>
      <c r="BB11" s="32"/>
      <c r="BC11" s="40">
        <v>1</v>
      </c>
      <c r="BD11" s="35">
        <v>900</v>
      </c>
      <c r="BE11" s="32"/>
      <c r="BF11" s="32"/>
      <c r="BG11" s="32"/>
      <c r="BH11" s="32"/>
      <c r="BI11" s="32"/>
      <c r="BJ11" s="40">
        <v>0</v>
      </c>
      <c r="BK11" s="40">
        <v>0</v>
      </c>
      <c r="BL11" s="40">
        <v>0</v>
      </c>
      <c r="BM11" s="40">
        <v>0</v>
      </c>
      <c r="BN11" s="32"/>
      <c r="BO11" s="35">
        <v>900</v>
      </c>
      <c r="BP11" s="40">
        <v>0</v>
      </c>
      <c r="BQ11" s="32"/>
      <c r="BR11" s="32" t="s">
        <v>43</v>
      </c>
      <c r="BS11" s="40">
        <v>0</v>
      </c>
      <c r="BT11" s="40">
        <v>0</v>
      </c>
      <c r="BU11" s="32"/>
      <c r="BV11" s="32"/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32"/>
      <c r="CC11" s="32"/>
      <c r="CD11" s="35">
        <v>900</v>
      </c>
      <c r="CE11" s="40">
        <v>0</v>
      </c>
      <c r="CF11" s="40">
        <v>0</v>
      </c>
      <c r="CG11" s="35">
        <v>900</v>
      </c>
      <c r="CH11" s="32"/>
      <c r="CI11" s="40">
        <v>0</v>
      </c>
      <c r="CJ11" s="40">
        <v>0</v>
      </c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40">
        <v>0</v>
      </c>
      <c r="DB11" s="40">
        <v>0</v>
      </c>
      <c r="DC11" s="32"/>
      <c r="DD11" s="40">
        <v>-30</v>
      </c>
      <c r="DE11" s="40">
        <v>0</v>
      </c>
      <c r="DF11" s="40">
        <v>0</v>
      </c>
      <c r="DG11" s="40">
        <v>0</v>
      </c>
      <c r="DH11" s="32"/>
      <c r="DI11" s="32"/>
      <c r="DJ11" s="32" t="s">
        <v>34</v>
      </c>
      <c r="DK11" s="40">
        <v>0</v>
      </c>
      <c r="DL11" s="40">
        <v>0</v>
      </c>
      <c r="DM11" s="40">
        <v>1</v>
      </c>
      <c r="DN11" s="40">
        <v>0</v>
      </c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40">
        <v>0</v>
      </c>
      <c r="EG11" s="40">
        <v>0</v>
      </c>
      <c r="EH11" s="40">
        <v>0</v>
      </c>
      <c r="EI11" s="40">
        <v>0</v>
      </c>
      <c r="EJ11" s="40">
        <v>0</v>
      </c>
      <c r="EK11" s="40">
        <v>0</v>
      </c>
      <c r="EL11" s="32" t="s">
        <v>59</v>
      </c>
      <c r="EM11" s="40">
        <v>0</v>
      </c>
      <c r="EN11" s="40">
        <v>0</v>
      </c>
      <c r="EO11" s="40">
        <v>0</v>
      </c>
      <c r="EP11" s="32"/>
      <c r="EQ11" s="40">
        <v>0</v>
      </c>
      <c r="ER11" s="40">
        <v>0</v>
      </c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</row>
    <row r="12" spans="1:168" ht="15.75" customHeight="1">
      <c r="A12" s="32"/>
      <c r="B12" s="32"/>
      <c r="C12" s="32" t="s">
        <v>35</v>
      </c>
      <c r="D12" s="35">
        <v>-10</v>
      </c>
      <c r="E12" s="32"/>
      <c r="F12" s="26" t="s">
        <v>31</v>
      </c>
      <c r="G12" s="35">
        <v>10</v>
      </c>
      <c r="H12" s="32" t="s">
        <v>57</v>
      </c>
      <c r="I12" s="35">
        <v>0</v>
      </c>
      <c r="J12" s="32"/>
      <c r="K12" s="35">
        <v>0</v>
      </c>
      <c r="L12" s="35">
        <v>0</v>
      </c>
      <c r="M12" s="35">
        <v>0</v>
      </c>
      <c r="N12" s="35">
        <v>100</v>
      </c>
      <c r="O12" s="32"/>
      <c r="P12" s="32"/>
      <c r="Q12" s="35">
        <v>100</v>
      </c>
      <c r="R12" s="32"/>
      <c r="S12" s="32"/>
      <c r="T12" s="32" t="s">
        <v>41</v>
      </c>
      <c r="U12" s="32" t="s">
        <v>39</v>
      </c>
      <c r="V12" s="32" t="s">
        <v>58</v>
      </c>
      <c r="W12" s="32" t="s">
        <v>40</v>
      </c>
      <c r="X12" s="32"/>
      <c r="Y12" s="40">
        <v>1</v>
      </c>
      <c r="Z12" s="32"/>
      <c r="AA12" s="32"/>
      <c r="AB12" s="40">
        <v>0</v>
      </c>
      <c r="AC12" s="40">
        <v>0</v>
      </c>
      <c r="AD12" s="40">
        <v>0</v>
      </c>
      <c r="AE12" s="40">
        <v>0</v>
      </c>
      <c r="AF12" s="40">
        <v>-10</v>
      </c>
      <c r="AG12" s="35">
        <v>0</v>
      </c>
      <c r="AH12" s="35">
        <v>0</v>
      </c>
      <c r="AI12" s="35">
        <v>0</v>
      </c>
      <c r="AJ12" s="35">
        <v>0</v>
      </c>
      <c r="AK12" s="35">
        <v>100</v>
      </c>
      <c r="AL12" s="40">
        <v>1</v>
      </c>
      <c r="AM12" s="40">
        <v>1</v>
      </c>
      <c r="AN12" s="32" t="s">
        <v>36</v>
      </c>
      <c r="AO12" s="32"/>
      <c r="AP12" s="32" t="s">
        <v>57</v>
      </c>
      <c r="AQ12" s="32" t="s">
        <v>35</v>
      </c>
      <c r="AR12" s="40">
        <v>0</v>
      </c>
      <c r="AS12" s="40">
        <v>-1</v>
      </c>
      <c r="AT12" s="32"/>
      <c r="AU12" s="32"/>
      <c r="AV12" s="40">
        <v>1</v>
      </c>
      <c r="AW12" s="35">
        <v>100</v>
      </c>
      <c r="AX12" s="40">
        <v>0</v>
      </c>
      <c r="AY12" s="40">
        <v>0</v>
      </c>
      <c r="AZ12" s="40">
        <v>0</v>
      </c>
      <c r="BA12" s="40">
        <v>100</v>
      </c>
      <c r="BB12" s="32"/>
      <c r="BC12" s="46">
        <v>1</v>
      </c>
      <c r="BD12" s="35">
        <v>100</v>
      </c>
      <c r="BE12" s="32"/>
      <c r="BF12" s="32"/>
      <c r="BG12" s="32"/>
      <c r="BH12" s="32"/>
      <c r="BI12" s="32"/>
      <c r="BJ12" s="40">
        <v>0</v>
      </c>
      <c r="BK12" s="40">
        <v>0</v>
      </c>
      <c r="BL12" s="40">
        <v>0</v>
      </c>
      <c r="BM12" s="40">
        <v>0</v>
      </c>
      <c r="BN12" s="32"/>
      <c r="BO12" s="35">
        <v>100</v>
      </c>
      <c r="BP12" s="40">
        <v>0</v>
      </c>
      <c r="BQ12" s="32"/>
      <c r="BR12" s="32" t="s">
        <v>43</v>
      </c>
      <c r="BS12" s="40">
        <v>0</v>
      </c>
      <c r="BT12" s="40">
        <v>0</v>
      </c>
      <c r="BU12" s="32"/>
      <c r="BV12" s="32"/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32"/>
      <c r="CC12" s="32"/>
      <c r="CD12" s="35">
        <v>100</v>
      </c>
      <c r="CE12" s="40">
        <v>0</v>
      </c>
      <c r="CF12" s="40">
        <v>0</v>
      </c>
      <c r="CG12" s="35">
        <v>100</v>
      </c>
      <c r="CH12" s="32"/>
      <c r="CI12" s="40">
        <v>0</v>
      </c>
      <c r="CJ12" s="40">
        <v>0</v>
      </c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40">
        <v>0</v>
      </c>
      <c r="DB12" s="40">
        <v>0</v>
      </c>
      <c r="DC12" s="32"/>
      <c r="DD12" s="40">
        <v>-10</v>
      </c>
      <c r="DE12" s="40">
        <v>0</v>
      </c>
      <c r="DF12" s="40">
        <v>0</v>
      </c>
      <c r="DG12" s="40">
        <v>0</v>
      </c>
      <c r="DH12" s="32"/>
      <c r="DI12" s="32"/>
      <c r="DJ12" s="32" t="s">
        <v>36</v>
      </c>
      <c r="DK12" s="40">
        <v>0</v>
      </c>
      <c r="DL12" s="40">
        <v>0</v>
      </c>
      <c r="DM12" s="40">
        <v>1</v>
      </c>
      <c r="DN12" s="40">
        <v>0</v>
      </c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40">
        <v>0</v>
      </c>
      <c r="EG12" s="40">
        <v>0</v>
      </c>
      <c r="EH12" s="40">
        <v>0</v>
      </c>
      <c r="EI12" s="40">
        <v>0</v>
      </c>
      <c r="EJ12" s="40">
        <v>0</v>
      </c>
      <c r="EK12" s="40">
        <v>0</v>
      </c>
      <c r="EL12" s="32" t="s">
        <v>59</v>
      </c>
      <c r="EM12" s="40">
        <v>0</v>
      </c>
      <c r="EN12" s="40">
        <v>0</v>
      </c>
      <c r="EO12" s="40">
        <v>0</v>
      </c>
      <c r="EP12" s="32"/>
      <c r="EQ12" s="40">
        <v>0</v>
      </c>
      <c r="ER12" s="40">
        <v>0</v>
      </c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</row>
    <row r="13" spans="1:168" ht="15.7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</row>
    <row r="14" spans="1:168" ht="15.7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SetTradingComplianceRules</vt:lpstr>
      <vt:lpstr>ShowMasterFundOnTT</vt:lpstr>
      <vt:lpstr>UpdateMasterFundOnTT</vt:lpstr>
      <vt:lpstr>CreateDoneAwayOrder</vt:lpstr>
      <vt:lpstr>UpdateMasterFundOnTT1</vt:lpstr>
      <vt:lpstr>CreateDoneAwayOrder1</vt:lpstr>
      <vt:lpstr>UpdateMasterFundOnTT2</vt:lpstr>
      <vt:lpstr>CreateDoneAwayOrder2</vt:lpstr>
      <vt:lpstr>VerifyOrder</vt:lpstr>
      <vt:lpstr>GetDataAllocation</vt:lpstr>
      <vt:lpstr>CheckUnallocatedGroups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2021-08-04T13:53:52Z</dcterms:modified>
</cp:coreProperties>
</file>