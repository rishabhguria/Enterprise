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spreadsheetml.sharedStrings+xml" PartName="/xl/sharedStrings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name="_Modules" sheetId="1" r:id="rId3"/>
    <sheet name="_Settings" sheetId="2" r:id="rId4"/>
    <sheet name="_MasterData" sheetId="3" r:id="rId5"/>
    <sheet name="CreateDoneAwayOrder" sheetId="4" r:id="rId6"/>
    <sheet name="PricingInput" sheetId="5" r:id="rId7"/>
    <sheet name="GetDailyCash" sheetId="6" r:id="rId8"/>
    <sheet name="UpdateMultipleDailyCash" sheetId="7" r:id="rId9"/>
    <sheet name="FetchAccountPositions" sheetId="8" r:id="rId10"/>
    <sheet name="AddCash" sheetId="9" r:id="rId11"/>
    <sheet name="RunRebalance" sheetId="10" r:id="rId12"/>
    <sheet name="SendtoStaging" sheetId="11" r:id="rId13"/>
    <sheet name="MultiTradingTicketFromBlotter" sheetId="12" r:id="rId14"/>
    <sheet name="BulkUpdateUsingMTT" sheetId="13" r:id="rId15"/>
    <sheet name="VerifyMTT" sheetId="15" r:id="rId17"/>
  </sheets>
  <calcPr fullCalcOnLoad="1"/>
</workbook>
</file>

<file path=xl/sharedStrings.xml><?xml version="1.0" encoding="utf-8"?>
<sst xmlns="http://schemas.openxmlformats.org/spreadsheetml/2006/main" count="39" uniqueCount="39">
  <si>
    <t>Modules Info</t>
  </si>
  <si>
    <t>Modules</t>
  </si>
  <si>
    <t>Settings</t>
  </si>
  <si>
    <t>Module Step Setting File</t>
  </si>
  <si>
    <t>1-a9RTtZFODC_0n05aHtOszVfQ5dKJ7YpSep0EGjlOR8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</si>
  <si>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</si>
  <si>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</si>
  <si>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</si>
  <si>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</si>
  <si>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</si>
  <si>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</si>
  <si>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</si>
  <si>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</si>
  <si>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CreateDoneAwayOrder</t>
  </si>
  <si>
    <t>Data Format</t>
  </si>
  <si>
    <t>Input Format</t>
  </si>
  <si>
    <t>TSLA</t>
  </si>
  <si>
    <t>Buy</t>
  </si>
  <si>
    <t>INFY</t>
  </si>
  <si>
    <t>PricingInput</t>
  </si>
  <si>
    <t>DailyValuation</t>
  </si>
  <si>
    <t>GetDailyCash</t>
  </si>
  <si>
    <t>UpdateMultipleDailyCash</t>
  </si>
  <si>
    <t>Allocation1</t>
  </si>
  <si>
    <t>USD</t>
  </si>
  <si>
    <t>Rebalancer</t>
  </si>
  <si>
    <t>FetchAccountPositions</t>
  </si>
  <si>
    <t>AddCash</t>
  </si>
  <si>
    <t>RunRebalance</t>
  </si>
  <si>
    <t>Nearest Round Off</t>
  </si>
  <si>
    <t>SendtoStaging</t>
  </si>
  <si>
    <t>Blotter</t>
  </si>
  <si>
    <t>MultiTradingTicketFromBlotter</t>
  </si>
  <si>
    <t>Equity</t>
  </si>
  <si>
    <t>New</t>
  </si>
  <si>
    <t>MultiTradingTicket</t>
  </si>
  <si>
    <t>BulkUpdateUsingMTT</t>
  </si>
  <si>
    <t>MS</t>
  </si>
  <si>
    <t>VerifyMTT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</si>
</sst>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0"/>
  <fonts count="14">
    <font>
      <sz val="10"/>
      <color rgb="FF000000"/>
      <name val="Arial"/>
    </font>
    <font>
      <b/>
      <sz val="14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"/>
      <color rgb="FFFFFFFF"/>
      <name val="Calibri"/>
    </font>
    <font>
      <sz val="9"/>
      <color rgb="FF1F1F1F"/>
      <name val="&quot;Google Sans&quot;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FFFFFF"/>
        <bgColor rgb="FFFFFFFF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fontId="0" fillId="0" borderId="0"/>
  </cellStyleXfs>
  <cellXfs count="35">
    <xf fontId="0" applyFont="1" fillId="0" applyFill="1" borderId="0" applyBorder="1" xfId="0"/>
    <xf fontId="1" applyFont="1" fillId="2" applyFill="1" borderId="1" applyBorder="1" xfId="0">
      <alignment horizontal="center"/>
    </xf>
    <xf fontId="2" applyFont="1" fillId="0" applyFill="1" borderId="2" applyBorder="1" xfId="0"/>
    <xf fontId="2" applyFont="1" fillId="0" applyFill="1" borderId="3" applyBorder="1" xfId="0"/>
    <xf fontId="3" applyFont="1" fillId="0" applyFill="1" borderId="0" applyBorder="1" xfId="0"/>
    <xf fontId="4" applyFont="1" fillId="3" applyFill="1" borderId="4" applyBorder="1" xfId="0"/>
    <xf fontId="3" applyFont="1" fillId="3" applyFill="1" borderId="4" applyBorder="1" xfId="0"/>
    <xf fontId="3" applyFont="1" fillId="3" applyFill="1" borderId="4" applyBorder="1" xfId="0"/>
    <xf fontId="5" applyFont="1" fillId="0" applyFill="1" borderId="0" applyBorder="1" xfId="0"/>
    <xf fontId="2" applyFont="1" fillId="0" applyFill="1" borderId="0" applyBorder="1" xfId="0"/>
    <xf fontId="6" applyFont="1" fillId="2" applyFill="1" borderId="1" applyBorder="1" xfId="0">
      <alignment horizontal="center"/>
    </xf>
    <xf fontId="7" applyFont="1" fillId="4" applyFill="1" borderId="0" applyBorder="1" xfId="0"/>
    <xf fontId="4" applyFont="1" fillId="3" applyFill="1" borderId="4" applyBorder="1" xfId="0"/>
    <xf fontId="5" applyFont="1" fillId="0" applyFill="1" borderId="0" applyBorder="1" xfId="0"/>
    <xf fontId="8" applyFont="1" fillId="3" applyFill="1" borderId="4" applyBorder="1" xfId="0"/>
    <xf fontId="1" applyFont="1" fillId="2" applyFill="1" borderId="1" applyBorder="1" xfId="0">
      <alignment horizontal="center"/>
    </xf>
    <xf fontId="9" applyFont="1" fillId="3" applyFill="1" borderId="4" applyBorder="1" xfId="0"/>
    <xf fontId="9" applyFont="1" fillId="3" applyFill="1" borderId="4" applyBorder="1" xfId="0"/>
    <xf fontId="10" applyFont="1" fillId="0" applyFill="1" borderId="0" applyBorder="1" xfId="0"/>
    <xf fontId="1" applyFont="1" fillId="2" applyFill="1" borderId="0" applyBorder="1" xfId="0">
      <alignment horizontal="center"/>
    </xf>
    <xf fontId="2" applyFont="1" fillId="2" applyFill="1" borderId="0" applyBorder="1" xfId="0"/>
    <xf fontId="8" applyFont="1" fillId="0" applyFill="1" borderId="0" applyBorder="1" xfId="0"/>
    <xf fontId="4" applyFont="1" fillId="3" applyFill="1" borderId="0" applyBorder="1" xfId="0"/>
    <xf fontId="8" applyFont="1" fillId="3" applyFill="1" borderId="4" applyBorder="1" xfId="0"/>
    <xf fontId="11" applyFont="1" fillId="3" applyFill="1" borderId="0" applyBorder="1" xfId="0"/>
    <xf fontId="12" applyFont="1" fillId="5" applyFill="1" borderId="0" applyBorder="1" xfId="0"/>
    <xf fontId="13" applyFont="1" fillId="5" applyFill="1" borderId="0" applyBorder="1" xfId="0"/>
    <xf fontId="4" applyFont="1" fillId="6" applyFill="1" borderId="0" applyBorder="1" xfId="0"/>
    <xf fontId="4" applyFont="1" fillId="6" applyFill="1" borderId="4" applyBorder="1" xfId="0"/>
    <xf fontId="4" applyFont="1" fillId="6" applyFill="1" borderId="4" applyBorder="1" xfId="0"/>
    <xf fontId="11" applyFont="1" fillId="6" applyFill="1" borderId="0" applyBorder="1" xfId="0"/>
    <xf fontId="5" applyFont="1" fillId="0" applyFill="1" borderId="0" applyBorder="1" xfId="0"/>
    <xf fontId="3" applyFont="1" fillId="0" applyFill="1" borderId="0" applyBorder="1" xfId="0"/>
    <xf numFmtId="14" applyNumberFormat="1" fontId="5" applyFont="1" fillId="0" applyFill="1" borderId="0" applyBorder="1" xfId="0">
      <alignment horizontal="right"/>
    </xf>
    <xf fontId="3" applyFont="1" fillId="0" applyFill="1" borderId="0" applyBorder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8" Type="http://schemas.openxmlformats.org/officeDocument/2006/relationships/sharedStrings" Target="sharedStrings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F641"/>
  <sheetViews>
    <sheetView workbookViewId="0"/>
  </sheetViews>
  <sheetFormatPr customHeight="1" defaultColWidth="15.13" defaultRowHeight="15.0"/>
  <cols>
    <col min="1" max="1" width="16.38" customWidth="1"/>
    <col min="2" max="2" width="23.5" customWidth="1"/>
    <col min="3" max="3" width="44.13" customWidth="1"/>
    <col min="4" max="26" width="12.63" customWidth="1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IFERROR(__xludf.DUMMYFUNCTION("""COMPUTED_VALUE"""),"1dAW4zy24rTGIk36aETFXuQIiGMdIekN8xCbk-P0LmLA")</f>
        <v>1dAW4zy24rTGIk36aETFXuQIiGMdIekN8xCbk-P0LmLA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IFERROR(__xludf.DUMMYFUNCTION("""COMPUTED_VALUE"""),"17z9ihiMKD6gfUvZ9W-EjVcck7eLx5-pL1aGZINvM7DM")</f>
        <v>17z9ihiMKD6gfUvZ9W-EjVcck7eLx5-pL1aGZINvM7DM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IFERROR(__xludf.DUMMYFUNCTION("""COMPUTED_VALUE"""),"1Vq83gkZMMI1Nno_if1flIxv0iKrih-ths4OzYTya63g")</f>
        <v>1Vq83gkZMMI1Nno_if1flIxv0iKrih-ths4OzYTya63g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s="0" t="str">
        <f>IFERROR(__xludf.DUMMYFUNCTION("""COMPUTED_VALUE"""),"SymbolLookup")</f>
        <v>SymbolLookup</v>
      </c>
      <c r="B34" s="0" t="str">
        <f>IFERROR(__xludf.DUMMYFUNCTION("""COMPUTED_VALUE"""),"SymbolLookupFromTT")</f>
        <v>SymbolLookupFromTT</v>
      </c>
      <c r="C34" s="0" t="str">
        <f>IFERROR(__xludf.DUMMYFUNCTION("""COMPUTED_VALUE"""),"1nGpwtxrIFtmReUhGpIilT0MevcyxkX19n4HnGhdnzYE")</f>
        <v>1nGpwtxrIFtmReUhGpIilT0MevcyxkX19n4HnGhdnzYE</v>
      </c>
    </row>
    <row r="35" ht="15.75" customHeight="1">
      <c r="A35" s="0" t="str">
        <f>IFERROR(__xludf.DUMMYFUNCTION("""COMPUTED_VALUE"""),"SymbolLookup")</f>
        <v>SymbolLookup</v>
      </c>
      <c r="B35" s="0" t="str">
        <f>IFERROR(__xludf.DUMMYFUNCTION("""COMPUTED_VALUE"""),"UpdateUDA")</f>
        <v>UpdateUDA</v>
      </c>
      <c r="C35" s="0" t="str">
        <f>IFERROR(__xludf.DUMMYFUNCTION("""COMPUTED_VALUE"""),"1Kg0g4qJialeFYzLCU4TTV0I5NyaTDDmAlGxn3x6T-ok")</f>
        <v>1Kg0g4qJialeFYzLCU4TTV0I5NyaTDDmAlGxn3x6T-ok</v>
      </c>
    </row>
    <row r="36" ht="15.75" customHeight="1">
      <c r="A36" s="0" t="str">
        <f>IFERROR(__xludf.DUMMYFUNCTION("""COMPUTED_VALUE"""),"SymbolLookup")</f>
        <v>SymbolLookup</v>
      </c>
      <c r="B36" s="0" t="str">
        <f>IFERROR(__xludf.DUMMYFUNCTION("""COMPUTED_VALUE"""),"GetSymbol")</f>
        <v>GetSymbol</v>
      </c>
      <c r="C36" s="0" t="str">
        <f>IFERROR(__xludf.DUMMYFUNCTION("""COMPUTED_VALUE"""),"1_Go4Nh_j8RGdlKm_DDwyvOgfOr3AwhBuVa9rA-AUAOw")</f>
        <v>1_Go4Nh_j8RGdlKm_DDwyvOgfOr3AwhBuVa9rA-AUAOw</v>
      </c>
    </row>
    <row r="37" ht="15.75" customHeight="1">
      <c r="A37" s="0" t="str">
        <f>IFERROR(__xludf.DUMMYFUNCTION("""COMPUTED_VALUE"""),"SymbolLookup")</f>
        <v>SymbolLookup</v>
      </c>
      <c r="B37" s="0" t="str">
        <f>IFERROR(__xludf.DUMMYFUNCTION("""COMPUTED_VALUE"""),"GetDataSymbolLookup")</f>
        <v>GetDataSymbolLookup</v>
      </c>
      <c r="C37" s="0" t="str">
        <f>IFERROR(__xludf.DUMMYFUNCTION("""COMPUTED_VALUE"""),"1054Dp-OxM1p-rZnzzSqh-SqQkpD8Z_OWXg3CfFdqy7M")</f>
        <v>1054Dp-OxM1p-rZnzzSqh-SqQkpD8Z_OWXg3CfFdqy7M</v>
      </c>
    </row>
    <row r="38" ht="15.75" customHeight="1">
      <c r="A38" s="0" t="str">
        <f>IFERROR(__xludf.DUMMYFUNCTION("""COMPUTED_VALUE"""),"SymbolLookup")</f>
        <v>SymbolLookup</v>
      </c>
      <c r="B38" s="0" t="str">
        <f>IFERROR(__xludf.DUMMYFUNCTION("""COMPUTED_VALUE"""),"DeleteValidateSymbol")</f>
        <v>DeleteValidateSymbol</v>
      </c>
      <c r="C38" s="0" t="str">
        <f>IFERROR(__xludf.DUMMYFUNCTION("""COMPUTED_VALUE"""),"1uWQj54UjFWhgsLL9n5pavuSkyyDXc2Vcn7SoBgryi3o")</f>
        <v>1uWQj54UjFWhgsLL9n5pavuSkyyDXc2Vcn7SoBgryi3o</v>
      </c>
    </row>
    <row r="39" ht="15.75" customHeight="1">
      <c r="A39" s="0" t="str">
        <f>IFERROR(__xludf.DUMMYFUNCTION("""COMPUTED_VALUE"""),"ThirdParty")</f>
        <v>ThirdParty</v>
      </c>
      <c r="B39" s="0" t="str">
        <f>IFERROR(__xludf.DUMMYFUNCTION("""COMPUTED_VALUE"""),"GenerateThirdParty")</f>
        <v>GenerateThirdParty</v>
      </c>
      <c r="C39" s="0" t="str">
        <f>IFERROR(__xludf.DUMMYFUNCTION("""COMPUTED_VALUE"""),"1QaI6E-t-jX8GKJ5JGoQ4u9mtVMyU1Cn0CKimTSyR5q4")</f>
        <v>1QaI6E-t-jX8GKJ5JGoQ4u9mtVMyU1Cn0CKimTSyR5q4</v>
      </c>
    </row>
    <row r="40" ht="15.75" customHeight="1">
      <c r="A40" s="0" t="str">
        <f>IFERROR(__xludf.DUMMYFUNCTION("""COMPUTED_VALUE"""),"ThirdParty")</f>
        <v>ThirdParty</v>
      </c>
      <c r="B40" s="0" t="str">
        <f>IFERROR(__xludf.DUMMYFUNCTION("""COMPUTED_VALUE"""),"SendThirdParty")</f>
        <v>SendThirdParty</v>
      </c>
      <c r="C40" s="0" t="str">
        <f>IFERROR(__xludf.DUMMYFUNCTION("""COMPUTED_VALUE"""),"11J2CyS04tBp4uY6TcAPw3JIrDRfa-LbGSO4t2uHxwps")</f>
        <v>11J2CyS04tBp4uY6TcAPw3JIrDRfa-LbGSO4t2uHxwps</v>
      </c>
    </row>
    <row r="41" ht="15.75" customHeight="1">
      <c r="A41" s="0" t="str">
        <f>IFERROR(__xludf.DUMMYFUNCTION("""COMPUTED_VALUE"""),"ThirdParty")</f>
        <v>ThirdParty</v>
      </c>
      <c r="B41" s="0" t="str">
        <f>IFERROR(__xludf.DUMMYFUNCTION("""COMPUTED_VALUE"""),"ViewThirdParty")</f>
        <v>ViewThirdParty</v>
      </c>
      <c r="C41" s="0" t="str">
        <f>IFERROR(__xludf.DUMMYFUNCTION("""COMPUTED_VALUE"""),"1M_vWwbJmnVHSZCn_aXTbhje_gX1wR7qPtpIVUwfXXEI")</f>
        <v>1M_vWwbJmnVHSZCn_aXTbhje_gX1wR7qPtpIVUwfXXEI</v>
      </c>
    </row>
    <row r="42" ht="15.75" customHeight="1">
      <c r="A42" s="0" t="str">
        <f>IFERROR(__xludf.DUMMYFUNCTION("""COMPUTED_VALUE"""),"ThirdParty")</f>
        <v>ThirdParty</v>
      </c>
      <c r="B42" s="0" t="str">
        <f>IFERROR(__xludf.DUMMYFUNCTION("""COMPUTED_VALUE"""),"SelectThirdPartyName")</f>
        <v>SelectThirdPartyName</v>
      </c>
      <c r="C42" s="0" t="str">
        <f>IFERROR(__xludf.DUMMYFUNCTION("""COMPUTED_VALUE"""),"1vFZ64ryr2VFLcElyXorjcKwwOhZ8tjDhryLIAHy27bE")</f>
        <v>1vFZ64ryr2VFLcElyXorjcKwwOhZ8tjDhryLIAHy27bE</v>
      </c>
    </row>
    <row r="43" ht="15.75" customHeight="1">
      <c r="A43" s="0" t="str">
        <f>IFERROR(__xludf.DUMMYFUNCTION("""COMPUTED_VALUE"""),"ThirdParty")</f>
        <v>ThirdParty</v>
      </c>
      <c r="B43" s="0" t="str">
        <f>IFERROR(__xludf.DUMMYFUNCTION("""COMPUTED_VALUE"""),"VerifyThirdPartyData")</f>
        <v>VerifyThirdPartyData</v>
      </c>
      <c r="C43" s="0" t="str">
        <f>IFERROR(__xludf.DUMMYFUNCTION("""COMPUTED_VALUE"""),"1L3gN238YfNhME2oXANYOxsDqCsLD4ZEHIlA5Jsb6m6c")</f>
        <v>1L3gN238YfNhME2oXANYOxsDqCsLD4ZEHIlA5Jsb6m6c</v>
      </c>
    </row>
    <row r="44" ht="15.75" customHeight="1">
      <c r="A44" s="0" t="str">
        <f>IFERROR(__xludf.DUMMYFUNCTION("""COMPUTED_VALUE"""),"CorporateAction")</f>
        <v>CorporateAction</v>
      </c>
      <c r="B44" s="0" t="str">
        <f>IFERROR(__xludf.DUMMYFUNCTION("""COMPUTED_VALUE"""),"CleanUp")</f>
        <v>CleanUp</v>
      </c>
      <c r="C44" s="0" t="str">
        <f>IFERROR(__xludf.DUMMYFUNCTION("""COMPUTED_VALUE"""),"Undefined")</f>
        <v>Undefined</v>
      </c>
    </row>
    <row r="45" ht="15.75" customHeight="1">
      <c r="A45" s="0" t="str">
        <f>IFERROR(__xludf.DUMMYFUNCTION("""COMPUTED_VALUE"""),"PST")</f>
        <v>PST</v>
      </c>
      <c r="B45" s="0" t="str">
        <f>IFERROR(__xludf.DUMMYFUNCTION("""COMPUTED_VALUE"""),"RunPST")</f>
        <v>RunPST</v>
      </c>
      <c r="C45" s="0" t="str">
        <f>IFERROR(__xludf.DUMMYFUNCTION("""COMPUTED_VALUE"""),"1pKHneTUFUr5WXMe4F-VBAmct-wXnePCUdmBXuOqeVuw")</f>
        <v>1pKHneTUFUr5WXMe4F-VBAmct-wXnePCUdmBXuOqeVuw</v>
      </c>
    </row>
    <row r="46" ht="15.75" customHeight="1">
      <c r="A46" s="0" t="str">
        <f>IFERROR(__xludf.DUMMYFUNCTION("""COMPUTED_VALUE"""),"PST")</f>
        <v>PST</v>
      </c>
      <c r="B46" s="0" t="str">
        <f>IFERROR(__xludf.DUMMYFUNCTION("""COMPUTED_VALUE"""),"PSTInputData")</f>
        <v>PSTInputData</v>
      </c>
      <c r="C46" s="0" t="str">
        <f>IFERROR(__xludf.DUMMYFUNCTION("""COMPUTED_VALUE"""),"1WzU1RiZXL_7t6r0dcR0WnXz71am7fUsr-wU3kjWCtaE")</f>
        <v>1WzU1RiZXL_7t6r0dcR0WnXz71am7fUsr-wU3kjWCtaE</v>
      </c>
    </row>
    <row r="47" ht="15.75" customHeight="1">
      <c r="A47" s="0" t="str">
        <f>IFERROR(__xludf.DUMMYFUNCTION("""COMPUTED_VALUE"""),"PST")</f>
        <v>PST</v>
      </c>
      <c r="B47" s="0" t="str">
        <f>IFERROR(__xludf.DUMMYFUNCTION("""COMPUTED_VALUE"""),"PSTVerifyData")</f>
        <v>PSTVerifyData</v>
      </c>
      <c r="C47" s="0" t="str">
        <f>IFERROR(__xludf.DUMMYFUNCTION("""COMPUTED_VALUE"""),"1RIHUYWPMKXGpnAsp4Jz6Em30T64FYyR5TIgIkrla3yU")</f>
        <v>1RIHUYWPMKXGpnAsp4Jz6Em30T64FYyR5TIgIkrla3yU</v>
      </c>
    </row>
    <row r="48" ht="15.75" customHeight="1">
      <c r="A48" s="0" t="str">
        <f>IFERROR(__xludf.DUMMYFUNCTION("""COMPUTED_VALUE"""),"PST")</f>
        <v>PST</v>
      </c>
      <c r="B48" s="0" t="str">
        <f>IFERROR(__xludf.DUMMYFUNCTION("""COMPUTED_VALUE"""),"PSTFunctionalities")</f>
        <v>PSTFunctionalities</v>
      </c>
      <c r="C48" s="0" t="str">
        <f>IFERROR(__xludf.DUMMYFUNCTION("""COMPUTED_VALUE"""),"1Q3CvcJTXAvTE2mBIvHOTKjxVj65x69-r_2DX4vvEdI8")</f>
        <v>1Q3CvcJTXAvTE2mBIvHOTKjxVj65x69-r_2DX4vvEdI8</v>
      </c>
    </row>
    <row r="49" ht="15.75" customHeight="1">
      <c r="A49" s="0" t="str">
        <f>IFERROR(__xludf.DUMMYFUNCTION("""COMPUTED_VALUE"""),"PortfolioManagement")</f>
        <v>PortfolioManagement</v>
      </c>
      <c r="B49" s="0" t="str">
        <f>IFERROR(__xludf.DUMMYFUNCTION("""COMPUTED_VALUE"""),"OpenPSTFromPM")</f>
        <v>OpenPSTFromPM</v>
      </c>
      <c r="C49" s="0" t="str">
        <f>IFERROR(__xludf.DUMMYFUNCTION("""COMPUTED_VALUE"""),"1wNuNwZOJqtA-8mRJL9Ia6-naXg3bSmEyC3qYtF3Zb6k")</f>
        <v>1wNuNwZOJqtA-8mRJL9Ia6-naXg3bSmEyC3qYtF3Zb6k</v>
      </c>
    </row>
    <row r="50" ht="15.75" customHeight="1">
      <c r="A50" s="0" t="str">
        <f>IFERROR(__xludf.DUMMYFUNCTION("""COMPUTED_VALUE"""),"TradingTicket")</f>
        <v>TradingTicket</v>
      </c>
      <c r="B50" s="0" t="str">
        <f>IFERROR(__xludf.DUMMYFUNCTION("""COMPUTED_VALUE"""),"OpenTTFromPST")</f>
        <v>OpenTTFromPST</v>
      </c>
      <c r="C50" s="0" t="str">
        <f>IFERROR(__xludf.DUMMYFUNCTION("""COMPUTED_VALUE"""),"1v2TwlXYUVTAW9403xEXtZUKOP9DAhnmCSHAEgc6AVaI")</f>
        <v>1v2TwlXYUVTAW9403xEXtZUKOP9DAhnmCSHAEgc6AVaI</v>
      </c>
    </row>
    <row r="51" ht="15.75" customHeight="1">
      <c r="A51" s="0" t="str">
        <f>IFERROR(__xludf.DUMMYFUNCTION("""COMPUTED_VALUE"""),"CorporateAction")</f>
        <v>CorporateAction</v>
      </c>
      <c r="B51" s="0" t="str">
        <f>IFERROR(__xludf.DUMMYFUNCTION("""COMPUTED_VALUE"""),"CashDividend")</f>
        <v>CashDividend</v>
      </c>
      <c r="C51" s="0" t="str">
        <f>IFERROR(__xludf.DUMMYFUNCTION("""COMPUTED_VALUE"""),"Undefined")</f>
        <v>Undefined</v>
      </c>
    </row>
    <row r="52" ht="15.75" customHeight="1">
      <c r="A52" s="0" t="str">
        <f>IFERROR(__xludf.DUMMYFUNCTION("""COMPUTED_VALUE"""),"CorporateAction")</f>
        <v>CorporateAction</v>
      </c>
      <c r="B52" s="0" t="str">
        <f>IFERROR(__xludf.DUMMYFUNCTION("""COMPUTED_VALUE"""),"Exchange")</f>
        <v>Exchange</v>
      </c>
      <c r="C52" s="0" t="str">
        <f>IFERROR(__xludf.DUMMYFUNCTION("""COMPUTED_VALUE"""),"Undefined")</f>
        <v>Undefined</v>
      </c>
    </row>
    <row r="53" ht="15.75" customHeight="1">
      <c r="A53" s="0" t="str">
        <f>IFERROR(__xludf.DUMMYFUNCTION("""COMPUTED_VALUE"""),"CorporateAction")</f>
        <v>CorporateAction</v>
      </c>
      <c r="B53" s="0" t="str">
        <f>IFERROR(__xludf.DUMMYFUNCTION("""COMPUTED_VALUE"""),"Merger")</f>
        <v>Merger</v>
      </c>
      <c r="C53" s="0" t="str">
        <f>IFERROR(__xludf.DUMMYFUNCTION("""COMPUTED_VALUE"""),"Undefined")</f>
        <v>Undefined</v>
      </c>
    </row>
    <row r="54" ht="15.75" customHeight="1">
      <c r="A54" s="0" t="str">
        <f>IFERROR(__xludf.DUMMYFUNCTION("""COMPUTED_VALUE"""),"CorporateAction")</f>
        <v>CorporateAction</v>
      </c>
      <c r="B54" s="0" t="str">
        <f>IFERROR(__xludf.DUMMYFUNCTION("""COMPUTED_VALUE"""),"NameChange")</f>
        <v>NameChange</v>
      </c>
      <c r="C54" s="0" t="str">
        <f>IFERROR(__xludf.DUMMYFUNCTION("""COMPUTED_VALUE"""),"Undefined")</f>
        <v>Undefined</v>
      </c>
    </row>
    <row r="55" ht="15.75" customHeight="1">
      <c r="A55" s="0" t="str">
        <f>IFERROR(__xludf.DUMMYFUNCTION("""COMPUTED_VALUE"""),"CorporateAction")</f>
        <v>CorporateAction</v>
      </c>
      <c r="B55" s="0" t="str">
        <f>IFERROR(__xludf.DUMMYFUNCTION("""COMPUTED_VALUE"""),"SpinOff")</f>
        <v>SpinOff</v>
      </c>
      <c r="C55" s="0" t="str">
        <f>IFERROR(__xludf.DUMMYFUNCTION("""COMPUTED_VALUE"""),"1N-zYKtF75gyqLL5P02km4hZ7Jkr0uNE2IK0AoWpxdB4")</f>
        <v>1N-zYKtF75gyqLL5P02km4hZ7Jkr0uNE2IK0AoWpxdB4</v>
      </c>
    </row>
    <row r="56" ht="15.75" customHeight="1">
      <c r="A56" s="0" t="str">
        <f>IFERROR(__xludf.DUMMYFUNCTION("""COMPUTED_VALUE"""),"CorporateAction")</f>
        <v>CorporateAction</v>
      </c>
      <c r="B56" s="0" t="str">
        <f>IFERROR(__xludf.DUMMYFUNCTION("""COMPUTED_VALUE"""),"Split")</f>
        <v>Split</v>
      </c>
      <c r="C56" s="0" t="str">
        <f>IFERROR(__xludf.DUMMYFUNCTION("""COMPUTED_VALUE"""),"Undefined")</f>
        <v>Undefined</v>
      </c>
    </row>
    <row r="57" ht="15.75" customHeight="1">
      <c r="A57" s="0" t="str">
        <f>IFERROR(__xludf.DUMMYFUNCTION("""COMPUTED_VALUE"""),"CorporateAction")</f>
        <v>CorporateAction</v>
      </c>
      <c r="B57" s="0" t="str">
        <f>IFERROR(__xludf.DUMMYFUNCTION("""COMPUTED_VALUE"""),"StockDividend")</f>
        <v>StockDividend</v>
      </c>
      <c r="C57" s="0" t="str">
        <f>IFERROR(__xludf.DUMMYFUNCTION("""COMPUTED_VALUE"""),"Undefined")</f>
        <v>Undefined</v>
      </c>
    </row>
    <row r="58" ht="15.75" customHeight="1">
      <c r="A58" s="0" t="str">
        <f>IFERROR(__xludf.DUMMYFUNCTION("""COMPUTED_VALUE"""),"TradingTicket")</f>
        <v>TradingTicket</v>
      </c>
      <c r="B58" s="0" t="str">
        <f>IFERROR(__xludf.DUMMYFUNCTION("""COMPUTED_VALUE"""),"EnterDetailsOnTT")</f>
        <v>EnterDetailsOnTT</v>
      </c>
      <c r="C58" s="0" t="str">
        <f>IFERROR(__xludf.DUMMYFUNCTION("""COMPUTED_VALUE"""),"1USUFnv2khq0UbjkrPU_zQJSuYXrvmItX38YEDm8i76M")</f>
        <v>1USUFnv2khq0UbjkrPU_zQJSuYXrvmItX38YEDm8i76M</v>
      </c>
    </row>
    <row r="59" ht="15.75" customHeight="1">
      <c r="A59" s="0" t="str">
        <f>IFERROR(__xludf.DUMMYFUNCTION("""COMPUTED_VALUE"""),"DailyValuation")</f>
        <v>DailyValuation</v>
      </c>
      <c r="B59" s="0" t="str">
        <f>IFERROR(__xludf.DUMMYFUNCTION("""COMPUTED_VALUE"""),"CleanUp")</f>
        <v>CleanUp</v>
      </c>
      <c r="C59" s="0" t="str">
        <f>IFERROR(__xludf.DUMMYFUNCTION("""COMPUTED_VALUE"""),"Undefined")</f>
        <v>Undefined</v>
      </c>
    </row>
    <row r="60" ht="15.75" customHeight="1">
      <c r="A60" s="0" t="str">
        <f>IFERROR(__xludf.DUMMYFUNCTION("""COMPUTED_VALUE"""),"Allocation")</f>
        <v>Allocation</v>
      </c>
      <c r="B60" s="0" t="str">
        <f>IFERROR(__xludf.DUMMYFUNCTION("""COMPUTED_VALUE"""),"EditUnallocatedGroupSidePanel")</f>
        <v>EditUnallocatedGroupSidePanel</v>
      </c>
      <c r="C60" s="0" t="str">
        <f>IFERROR(__xludf.DUMMYFUNCTION("""COMPUTED_VALUE"""),"1yQCR9Blg-BWAFR5rejoQ3Xot5kTqa1YSrepP8yRI0no")</f>
        <v>1yQCR9Blg-BWAFR5rejoQ3Xot5kTqa1YSrepP8yRI0no</v>
      </c>
    </row>
    <row r="61" ht="15.75" customHeight="1">
      <c r="A61" s="0" t="str">
        <f>IFERROR(__xludf.DUMMYFUNCTION("""COMPUTED_VALUE"""),"Allocation")</f>
        <v>Allocation</v>
      </c>
      <c r="B61" s="0" t="str">
        <f>IFERROR(__xludf.DUMMYFUNCTION("""COMPUTED_VALUE"""),"TradeAttributeBulkChange")</f>
        <v>TradeAttributeBulkChange</v>
      </c>
      <c r="C61" s="0" t="str">
        <f>IFERROR(__xludf.DUMMYFUNCTION("""COMPUTED_VALUE"""),"1xR2U77hDGoYiG9UJiadlkCtex4CRP3XdEHpNVb6-_DU")</f>
        <v>1xR2U77hDGoYiG9UJiadlkCtex4CRP3XdEHpNVb6-_DU</v>
      </c>
    </row>
    <row r="62" ht="15.75" customHeight="1">
      <c r="A62" s="0" t="str">
        <f>IFERROR(__xludf.DUMMYFUNCTION("""COMPUTED_VALUE"""),"Allocation")</f>
        <v>Allocation</v>
      </c>
      <c r="B62" s="0" t="str">
        <f>IFERROR(__xludf.DUMMYFUNCTION("""COMPUTED_VALUE"""),"ApplyBulkUpdateOnGroups")</f>
        <v>ApplyBulkUpdateOnGroups</v>
      </c>
      <c r="C62" s="0" t="str">
        <f>IFERROR(__xludf.DUMMYFUNCTION("""COMPUTED_VALUE"""),"1H1EToJE2qBCDCNT5pO7WcuJ0iHV1kDkWlUcEtahS-t0")</f>
        <v>1H1EToJE2qBCDCNT5pO7WcuJ0iHV1kDkWlUcEtahS-t0</v>
      </c>
    </row>
    <row r="63" ht="15.75" customHeight="1">
      <c r="A63" s="0" t="str">
        <f>IFERROR(__xludf.DUMMYFUNCTION("""COMPUTED_VALUE"""),"Allocation")</f>
        <v>Allocation</v>
      </c>
      <c r="B63" s="0" t="str">
        <f>IFERROR(__xludf.DUMMYFUNCTION("""COMPUTED_VALUE"""),"ApplyPrefetchFilters")</f>
        <v>ApplyPrefetchFilters</v>
      </c>
      <c r="C63" s="0" t="str">
        <f>IFERROR(__xludf.DUMMYFUNCTION("""COMPUTED_VALUE"""),"1Yd3RGZzNaXytrUWlc8Ri6Dz4jB5W5r3-aLLpT8fi0WQ")</f>
        <v>1Yd3RGZzNaXytrUWlc8Ri6Dz4jB5W5r3-aLLpT8fi0WQ</v>
      </c>
    </row>
    <row r="64" ht="15.75" customHeight="1">
      <c r="A64" s="0" t="str">
        <f>IFERROR(__xludf.DUMMYFUNCTION("""COMPUTED_VALUE"""),"Allocation")</f>
        <v>Allocation</v>
      </c>
      <c r="B64" s="0" t="str">
        <f>IFERROR(__xludf.DUMMYFUNCTION("""COMPUTED_VALUE"""),"GeneralPreferencesDefaultRule")</f>
        <v>GeneralPreferencesDefaultRule</v>
      </c>
      <c r="C64" s="0" t="str">
        <f>IFERROR(__xludf.DUMMYFUNCTION("""COMPUTED_VALUE"""),"1NdBqiHIw-u9pqZMPVlcNKatJPe7upqebG7W2y5rMqzE")</f>
        <v>1NdBqiHIw-u9pqZMPVlcNKatJPe7upqebG7W2y5rMqzE</v>
      </c>
    </row>
    <row r="65" ht="15.75" customHeight="1">
      <c r="A65" s="0" t="str">
        <f>IFERROR(__xludf.DUMMYFUNCTION("""COMPUTED_VALUE"""),"Allocation")</f>
        <v>Allocation</v>
      </c>
      <c r="B65" s="0" t="str">
        <f>IFERROR(__xludf.DUMMYFUNCTION("""COMPUTED_VALUE"""),"GeneralPrefCompanyUserWise")</f>
        <v>GeneralPrefCompanyUserWise</v>
      </c>
      <c r="C65" s="0" t="str">
        <f>IFERROR(__xludf.DUMMYFUNCTION("""COMPUTED_VALUE"""),"1_lJmD986KGGdVst_lNkOtnFwiUJJsqL0-r0ZnsgbBOY")</f>
        <v>1_lJmD986KGGdVst_lNkOtnFwiUJJsqL0-r0ZnsgbBOY</v>
      </c>
    </row>
    <row r="66" ht="15.75" customHeight="1">
      <c r="A66" s="0" t="str">
        <f>IFERROR(__xludf.DUMMYFUNCTION("""COMPUTED_VALUE"""),"Allocation")</f>
        <v>Allocation</v>
      </c>
      <c r="B66" s="0" t="str">
        <f>IFERROR(__xludf.DUMMYFUNCTION("""COMPUTED_VALUE"""),"RenameTradeAttributes")</f>
        <v>RenameTradeAttributes</v>
      </c>
      <c r="C66" s="0" t="str">
        <f>IFERROR(__xludf.DUMMYFUNCTION("""COMPUTED_VALUE"""),"1pMOWszVmrlGDHYTadcb5_EUVP8T4vk6pLOP4_kFCagw")</f>
        <v>1pMOWszVmrlGDHYTadcb5_EUVP8T4vk6pLOP4_kFCagw</v>
      </c>
    </row>
    <row r="67" ht="15.75" customHeight="1">
      <c r="A67" s="0" t="str">
        <f>IFERROR(__xludf.DUMMYFUNCTION("""COMPUTED_VALUE"""),"Allocation")</f>
        <v>Allocation</v>
      </c>
      <c r="B67" s="0" t="str">
        <f>IFERROR(__xludf.DUMMYFUNCTION("""COMPUTED_VALUE"""),"SetGroupingRules")</f>
        <v>SetGroupingRules</v>
      </c>
      <c r="C67" s="0" t="str">
        <f>IFERROR(__xludf.DUMMYFUNCTION("""COMPUTED_VALUE"""),"1QLeyqVSjQtcuPzU9zlGJg_H8l4QWFjACqX99YM-g82I")</f>
        <v>1QLeyqVSjQtcuPzU9zlGJg_H8l4QWFjACqX99YM-g82I</v>
      </c>
    </row>
    <row r="68" ht="15.75" customHeight="1">
      <c r="A68" s="0" t="str">
        <f>IFERROR(__xludf.DUMMYFUNCTION("""COMPUTED_VALUE"""),"Allocation")</f>
        <v>Allocation</v>
      </c>
      <c r="B68" s="0" t="str">
        <f>IFERROR(__xludf.DUMMYFUNCTION("""COMPUTED_VALUE"""),"SetMasterFundRatio")</f>
        <v>SetMasterFundRatio</v>
      </c>
      <c r="C68" s="0" t="str">
        <f>IFERROR(__xludf.DUMMYFUNCTION("""COMPUTED_VALUE"""),"1gdeUgF-J2HwokdWex9YmjHD4Ccg50-NZB7E8YkmPtOo")</f>
        <v>1gdeUgF-J2HwokdWex9YmjHD4Ccg50-NZB7E8YkmPtOo</v>
      </c>
    </row>
    <row r="69" ht="15.75" customHeight="1">
      <c r="A69" s="0" t="str">
        <f>IFERROR(__xludf.DUMMYFUNCTION("""COMPUTED_VALUE"""),"Allocation")</f>
        <v>Allocation</v>
      </c>
      <c r="B69" s="0" t="str">
        <f>IFERROR(__xludf.DUMMYFUNCTION("""COMPUTED_VALUE"""),"CheckFixedPreference")</f>
        <v>CheckFixedPreference</v>
      </c>
      <c r="C69" s="0" t="str">
        <f>IFERROR(__xludf.DUMMYFUNCTION("""COMPUTED_VALUE"""),"1Zu2Bi3EmtHPhjLwCDeJ29XaN2qT3Qxabh7bCJWu7PTI")</f>
        <v>1Zu2Bi3EmtHPhjLwCDeJ29XaN2qT3Qxabh7bCJWu7PTI</v>
      </c>
    </row>
    <row r="70" ht="15.75" customHeight="1">
      <c r="A70" s="0" t="str">
        <f>IFERROR(__xludf.DUMMYFUNCTION("""COMPUTED_VALUE"""),"Allocation")</f>
        <v>Allocation</v>
      </c>
      <c r="B70" s="0" t="str">
        <f>IFERROR(__xludf.DUMMYFUNCTION("""COMPUTED_VALUE"""),"GetFixedPreference")</f>
        <v>GetFixedPreference</v>
      </c>
      <c r="C70" s="0" t="str">
        <f>IFERROR(__xludf.DUMMYFUNCTION("""COMPUTED_VALUE"""),"1ODsvxjkKKhh0dGDsE_DQyuSMdpx2X9J4089o-Dt1a9A")</f>
        <v>1ODsvxjkKKhh0dGDsE_DQyuSMdpx2X9J4089o-Dt1a9A</v>
      </c>
    </row>
    <row r="71" ht="15.75" customHeight="1">
      <c r="A71" s="0" t="str">
        <f>IFERROR(__xludf.DUMMYFUNCTION("""COMPUTED_VALUE"""),"Allocation")</f>
        <v>Allocation</v>
      </c>
      <c r="B71" s="0" t="str">
        <f>IFERROR(__xludf.DUMMYFUNCTION("""COMPUTED_VALUE"""),"AddCalculatedPreferences")</f>
        <v>AddCalculatedPreferences</v>
      </c>
      <c r="C71" s="0" t="str">
        <f>IFERROR(__xludf.DUMMYFUNCTION("""COMPUTED_VALUE"""),"1faXJF5y2ZVHmLsgikwmvDB-Jtq_rGbNG6zlAUDzRBtA")</f>
        <v>1faXJF5y2ZVHmLsgikwmvDB-Jtq_rGbNG6zlAUDzRBtA</v>
      </c>
    </row>
    <row r="72" ht="15.75" customHeight="1">
      <c r="A72" s="0" t="str">
        <f>IFERROR(__xludf.DUMMYFUNCTION("""COMPUTED_VALUE"""),"Allocation")</f>
        <v>Allocation</v>
      </c>
      <c r="B72" s="0" t="str">
        <f>IFERROR(__xludf.DUMMYFUNCTION("""COMPUTED_VALUE"""),"BulkChangeCalculatedPreferences")</f>
        <v>BulkChangeCalculatedPreferences</v>
      </c>
      <c r="C72" s="0" t="str">
        <f>IFERROR(__xludf.DUMMYFUNCTION("""COMPUTED_VALUE"""),"1llt7_DP_NqeceNLLJIKbcJarV5Lqj6ALOHCKOuJmGjk")</f>
        <v>1llt7_DP_NqeceNLLJIKbcJarV5Lqj6ALOHCKOuJmGjk</v>
      </c>
    </row>
    <row r="73" ht="15.75" customHeight="1">
      <c r="A73" s="0" t="str">
        <f>IFERROR(__xludf.DUMMYFUNCTION("""COMPUTED_VALUE"""),"Allocation")</f>
        <v>Allocation</v>
      </c>
      <c r="B73" s="0" t="str">
        <f>IFERROR(__xludf.DUMMYFUNCTION("""COMPUTED_VALUE"""),"DeleteCalculatedPreferences")</f>
        <v>DeleteCalculatedPreferences</v>
      </c>
      <c r="C73" s="0" t="str">
        <f>IFERROR(__xludf.DUMMYFUNCTION("""COMPUTED_VALUE"""),"1fNu6gI_y_85KD4O0jSI66dgRQwcPPJheWBdLlHvTGFg")</f>
        <v>1fNu6gI_y_85KD4O0jSI66dgRQwcPPJheWBdLlHvTGFg</v>
      </c>
    </row>
    <row r="74" ht="15.75" customHeight="1">
      <c r="A74" s="0" t="str">
        <f>IFERROR(__xludf.DUMMYFUNCTION("""COMPUTED_VALUE"""),"Allocation")</f>
        <v>Allocation</v>
      </c>
      <c r="B74" s="0" t="str">
        <f>IFERROR(__xludf.DUMMYFUNCTION("""COMPUTED_VALUE"""),"RenameCalculatedPreferences")</f>
        <v>RenameCalculatedPreferences</v>
      </c>
      <c r="C74" s="0" t="str">
        <f>IFERROR(__xludf.DUMMYFUNCTION("""COMPUTED_VALUE"""),"1YxoMrdMTEXgWpPXHs7vTOHT3Df0ifrbC19UEqshVQfI")</f>
        <v>1YxoMrdMTEXgWpPXHs7vTOHT3Df0ifrbC19UEqshVQfI</v>
      </c>
    </row>
    <row r="75" ht="15.75" customHeight="1">
      <c r="A75" s="0" t="str">
        <f>IFERROR(__xludf.DUMMYFUNCTION("""COMPUTED_VALUE"""),"Allocation")</f>
        <v>Allocation</v>
      </c>
      <c r="B75" s="0" t="str">
        <f>IFERROR(__xludf.DUMMYFUNCTION("""COMPUTED_VALUE"""),"CopyCalculatedPreferences")</f>
        <v>CopyCalculatedPreferences</v>
      </c>
      <c r="C75" s="0" t="str">
        <f>IFERROR(__xludf.DUMMYFUNCTION("""COMPUTED_VALUE"""),"1l2YY8Mzn32EgaMbMJhhzT2XMWHmURG-s0Zu8Olt_3fU")</f>
        <v>1l2YY8Mzn32EgaMbMJhhzT2XMWHmURG-s0Zu8Olt_3fU</v>
      </c>
    </row>
    <row r="76" ht="15.75" customHeight="1">
      <c r="A76" s="0" t="str">
        <f>IFERROR(__xludf.DUMMYFUNCTION("""COMPUTED_VALUE"""),"Allocation")</f>
        <v>Allocation</v>
      </c>
      <c r="B76" s="0" t="str">
        <f>IFERROR(__xludf.DUMMYFUNCTION("""COMPUTED_VALUE"""),"RunAutoGroup")</f>
        <v>RunAutoGroup</v>
      </c>
      <c r="C76" s="0" t="str">
        <f>IFERROR(__xludf.DUMMYFUNCTION("""COMPUTED_VALUE"""),"12vKN0G7oN8cWEJ4AlpsbQhg1ZjcvZZ4xGj4U--I5G90")</f>
        <v>12vKN0G7oN8cWEJ4AlpsbQhg1ZjcvZZ4xGj4U--I5G90</v>
      </c>
    </row>
    <row r="77" ht="15.75" customHeight="1">
      <c r="A77" s="0" t="str">
        <f>IFERROR(__xludf.DUMMYFUNCTION("""COMPUTED_VALUE"""),"Allocation")</f>
        <v>Allocation</v>
      </c>
      <c r="B77" s="0" t="str">
        <f>IFERROR(__xludf.DUMMYFUNCTION("""COMPUTED_VALUE"""),"BookOrUpdateSwap")</f>
        <v>BookOrUpdateSwap</v>
      </c>
      <c r="C77" s="0" t="str">
        <f>IFERROR(__xludf.DUMMYFUNCTION("""COMPUTED_VALUE"""),"1kAt3Mgmw5tT6toTdnsGHKVMKAVf3hEh5XynY25StseE")</f>
        <v>1kAt3Mgmw5tT6toTdnsGHKVMKAVf3hEh5XynY25StseE</v>
      </c>
    </row>
    <row r="78" ht="15.75" customHeight="1">
      <c r="A78" s="0" t="str">
        <f>IFERROR(__xludf.DUMMYFUNCTION("""COMPUTED_VALUE"""),"Allocation")</f>
        <v>Allocation</v>
      </c>
      <c r="B78" s="0" t="str">
        <f>IFERROR(__xludf.DUMMYFUNCTION("""COMPUTED_VALUE"""),"RunProrata")</f>
        <v>RunProrata</v>
      </c>
      <c r="C78" s="0" t="str">
        <f>IFERROR(__xludf.DUMMYFUNCTION("""COMPUTED_VALUE"""),"16DnLu_yRMpQd_JaFe_TkLYqrruNMkt7YlE7TbZhNq1k")</f>
        <v>16DnLu_yRMpQd_JaFe_TkLYqrruNMkt7YlE7TbZhNq1k</v>
      </c>
    </row>
    <row r="79" ht="15.75" customHeight="1">
      <c r="A79" s="0" t="str">
        <f>IFERROR(__xludf.DUMMYFUNCTION("""COMPUTED_VALUE"""),"Allocation")</f>
        <v>Allocation</v>
      </c>
      <c r="B79" s="0" t="str">
        <f>IFERROR(__xludf.DUMMYFUNCTION("""COMPUTED_VALUE"""),"SetDefaultRuleCalculatedPref")</f>
        <v>SetDefaultRuleCalculatedPref</v>
      </c>
      <c r="C79" s="0" t="str">
        <f>IFERROR(__xludf.DUMMYFUNCTION("""COMPUTED_VALUE"""),"10JstdZ0oAMKlf3YcIFD3LEy3lSUVJZ88BP-uXbM_37M")</f>
        <v>10JstdZ0oAMKlf3YcIFD3LEy3lSUVJZ88BP-uXbM_37M</v>
      </c>
    </row>
    <row r="80" ht="15.75" customHeight="1">
      <c r="A80" s="0" t="str">
        <f>IFERROR(__xludf.DUMMYFUNCTION("""COMPUTED_VALUE"""),"Admin")</f>
        <v>Admin</v>
      </c>
      <c r="B80" s="0" t="str">
        <f>IFERROR(__xludf.DUMMYFUNCTION("""COMPUTED_VALUE"""),"SetTTUIPreferences")</f>
        <v>SetTTUIPreferences</v>
      </c>
      <c r="C80" s="0" t="str">
        <f>IFERROR(__xludf.DUMMYFUNCTION("""COMPUTED_VALUE"""),"10lnSWIZEIkkrpKRGZSTZZ3CJwUT2e_wja-kp_hFbqgs")</f>
        <v>10lnSWIZEIkkrpKRGZSTZZ3CJwUT2e_wja-kp_hFbqgs</v>
      </c>
    </row>
    <row r="81" ht="15.75" customHeight="1">
      <c r="A81" s="0" t="str">
        <f>IFERROR(__xludf.DUMMYFUNCTION("""COMPUTED_VALUE"""),"Admin")</f>
        <v>Admin</v>
      </c>
      <c r="B81" s="0" t="str">
        <f>IFERROR(__xludf.DUMMYFUNCTION("""COMPUTED_VALUE"""),"TTPermissionLevel")</f>
        <v>TTPermissionLevel</v>
      </c>
      <c r="C81" s="0" t="str">
        <f>IFERROR(__xludf.DUMMYFUNCTION("""COMPUTED_VALUE"""),"10v0BJe2YKjTEVcglnAbRuMYRHHr2FY-iAfdpmMRzRiE")</f>
        <v>10v0BJe2YKjTEVcglnAbRuMYRHHr2FY-iAfdpmMRzRiE</v>
      </c>
    </row>
    <row r="82" ht="15.75" customHeight="1">
      <c r="A82" s="0" t="str">
        <f>IFERROR(__xludf.DUMMYFUNCTION("""COMPUTED_VALUE"""),"TradingTicket")</f>
        <v>TradingTicket</v>
      </c>
      <c r="B82" s="0" t="str">
        <f>IFERROR(__xludf.DUMMYFUNCTION("""COMPUTED_VALUE"""),"ValidateSymbolTT")</f>
        <v>ValidateSymbolTT</v>
      </c>
      <c r="C82" s="0" t="str">
        <f>IFERROR(__xludf.DUMMYFUNCTION("""COMPUTED_VALUE"""),"1isIZCSjuRGxfoo8ExjjNDs0TzIIeZIsHSnQvqmaDKQI")</f>
        <v>1isIZCSjuRGxfoo8ExjjNDs0TzIIeZIsHSnQvqmaDKQI</v>
      </c>
    </row>
    <row r="83" ht="15.75" customHeight="1">
      <c r="A83" s="0" t="str">
        <f>IFERROR(__xludf.DUMMYFUNCTION("""COMPUTED_VALUE"""),"TradingTicket")</f>
        <v>TradingTicket</v>
      </c>
      <c r="B83" s="0" t="str">
        <f>IFERROR(__xludf.DUMMYFUNCTION("""COMPUTED_VALUE"""),"VerifyDataTT")</f>
        <v>VerifyDataTT</v>
      </c>
      <c r="C83" s="0" t="str">
        <f>IFERROR(__xludf.DUMMYFUNCTION("""COMPUTED_VALUE"""),"Undefined")</f>
        <v>Undefined</v>
      </c>
    </row>
    <row r="84" ht="15.75" customHeight="1">
      <c r="A84" s="0" t="str">
        <f>IFERROR(__xludf.DUMMYFUNCTION("""COMPUTED_VALUE"""),"TradingTicket")</f>
        <v>TradingTicket</v>
      </c>
      <c r="B84" s="0" t="str">
        <f>IFERROR(__xludf.DUMMYFUNCTION("""COMPUTED_VALUE"""),"SetUIPreferencesTT")</f>
        <v>SetUIPreferencesTT</v>
      </c>
      <c r="C84" s="0" t="str">
        <f>IFERROR(__xludf.DUMMYFUNCTION("""COMPUTED_VALUE"""),"1on24Xx1A89RTEZQ936dDTQItTDtvLOJ0q7jxDMXximg")</f>
        <v>1on24Xx1A89RTEZQ936dDTQItTDtvLOJ0q7jxDMXximg</v>
      </c>
    </row>
    <row r="85" ht="15.75" customHeight="1">
      <c r="A85" s="0" t="str">
        <f>IFERROR(__xludf.DUMMYFUNCTION("""COMPUTED_VALUE"""),"TradingTicket")</f>
        <v>TradingTicket</v>
      </c>
      <c r="B85" s="0" t="str">
        <f>IFERROR(__xludf.DUMMYFUNCTION("""COMPUTED_VALUE"""),"SetBrokerWisePreferencesTT")</f>
        <v>SetBrokerWisePreferencesTT</v>
      </c>
      <c r="C85" s="0" t="str">
        <f>IFERROR(__xludf.DUMMYFUNCTION("""COMPUTED_VALUE"""),"1oazHOMbdZzIFqt9RWTRPe_FI8r-VEbDEKFhRoyrF_ZI")</f>
        <v>1oazHOMbdZzIFqt9RWTRPe_FI8r-VEbDEKFhRoyrF_ZI</v>
      </c>
    </row>
    <row r="86" ht="15.75" customHeight="1">
      <c r="A86" s="0" t="str">
        <f>IFERROR(__xludf.DUMMYFUNCTION("""COMPUTED_VALUE"""),"TradingTicket")</f>
        <v>TradingTicket</v>
      </c>
      <c r="B86" s="0" t="str">
        <f>IFERROR(__xludf.DUMMYFUNCTION("""COMPUTED_VALUE"""),"VerifyComplianceOrder")</f>
        <v>VerifyComplianceOrder</v>
      </c>
      <c r="C86" s="0" t="str">
        <f>IFERROR(__xludf.DUMMYFUNCTION("""COMPUTED_VALUE"""),"1C1ihxuii7UtcJWaOpuhmq2xNZfrmJtCRgTQInc4VfTM")</f>
        <v>1C1ihxuii7UtcJWaOpuhmq2xNZfrmJtCRgTQInc4VfTM</v>
      </c>
    </row>
    <row r="87" ht="15.75" customHeight="1">
      <c r="A87" s="0" t="str">
        <f>IFERROR(__xludf.DUMMYFUNCTION("""COMPUTED_VALUE"""),"Blotter")</f>
        <v>Blotter</v>
      </c>
      <c r="B87" s="0" t="str">
        <f>IFERROR(__xludf.DUMMYFUNCTION("""COMPUTED_VALUE"""),"BlotterFunctionalities")</f>
        <v>BlotterFunctionalities</v>
      </c>
      <c r="C87" s="0" t="str">
        <f>IFERROR(__xludf.DUMMYFUNCTION("""COMPUTED_VALUE"""),"1NTjIJzn83A5UVkjxsSH3LnmJ5c7qV5uOQs8vtIWCRLg")</f>
        <v>1NTjIJzn83A5UVkjxsSH3LnmJ5c7qV5uOQs8vtIWCRLg</v>
      </c>
    </row>
    <row r="88" ht="15.75" customHeight="1">
      <c r="A88" s="0" t="str">
        <f>IFERROR(__xludf.DUMMYFUNCTION("""COMPUTED_VALUE"""),"TradingTicket")</f>
        <v>TradingTicket</v>
      </c>
      <c r="B88" s="0" t="str">
        <f>IFERROR(__xludf.DUMMYFUNCTION("""COMPUTED_VALUE"""),"TradeNewSub")</f>
        <v>TradeNewSub</v>
      </c>
      <c r="C88" s="0" t="str">
        <f>IFERROR(__xludf.DUMMYFUNCTION("""COMPUTED_VALUE"""),"1zKwPhUWsQiJuXW-5M_TapYbtIUsySxSnBvlnGGYS6Ak")</f>
        <v>1zKwPhUWsQiJuXW-5M_TapYbtIUsySxSnBvlnGGYS6Ak</v>
      </c>
    </row>
    <row r="89" ht="15.75" customHeight="1">
      <c r="A89" s="0" t="str">
        <f>IFERROR(__xludf.DUMMYFUNCTION("""COMPUTED_VALUE"""),"GeneralLedger")</f>
        <v>GeneralLedger</v>
      </c>
      <c r="B89" s="0" t="str">
        <f>IFERROR(__xludf.DUMMYFUNCTION("""COMPUTED_VALUE"""),"GetTradingTransaction")</f>
        <v>GetTradingTransaction</v>
      </c>
      <c r="C89" s="0" t="str">
        <f>IFERROR(__xludf.DUMMYFUNCTION("""COMPUTED_VALUE"""),"1kv8v1CbDlw931gEvlCVeiXqmEc9l3QCI_MwkOELS2qw")</f>
        <v>1kv8v1CbDlw931gEvlCVeiXqmEc9l3QCI_MwkOELS2qw</v>
      </c>
    </row>
    <row r="90" ht="15.75" customHeight="1">
      <c r="A90" s="0" t="str">
        <f>IFERROR(__xludf.DUMMYFUNCTION("""COMPUTED_VALUE"""),"GeneralLedger")</f>
        <v>GeneralLedger</v>
      </c>
      <c r="B90" s="0" t="str">
        <f>IFERROR(__xludf.DUMMYFUNCTION("""COMPUTED_VALUE"""),"GetActivityData")</f>
        <v>GetActivityData</v>
      </c>
      <c r="C90" s="0" t="str">
        <f>IFERROR(__xludf.DUMMYFUNCTION("""COMPUTED_VALUE"""),"1gC0fGcg2kDadwcHwX4w3_k5mEk9qKGCjBN44zKok6kw")</f>
        <v>1gC0fGcg2kDadwcHwX4w3_k5mEk9qKGCjBN44zKok6kw</v>
      </c>
    </row>
    <row r="91" ht="15.75" customHeight="1">
      <c r="A91" s="0" t="str">
        <f>IFERROR(__xludf.DUMMYFUNCTION("""COMPUTED_VALUE"""),"Allocation")</f>
        <v>Allocation</v>
      </c>
      <c r="B91" s="0" t="str">
        <f>IFERROR(__xludf.DUMMYFUNCTION("""COMPUTED_VALUE"""),"SetAccountValueCalculatedPref")</f>
        <v>SetAccountValueCalculatedPref</v>
      </c>
      <c r="C91" s="0" t="str">
        <f>IFERROR(__xludf.DUMMYFUNCTION("""COMPUTED_VALUE"""),"1szyA-wnQxJNDjKp5TPI-uk3EJyLpMX2K0QEQn9jfQ7U")</f>
        <v>1szyA-wnQxJNDjKp5TPI-uk3EJyLpMX2K0QEQn9jfQ7U</v>
      </c>
    </row>
    <row r="92" ht="15.75" customHeight="1">
      <c r="A92" s="0" t="str">
        <f>IFERROR(__xludf.DUMMYFUNCTION("""COMPUTED_VALUE"""),"Allocation")</f>
        <v>Allocation</v>
      </c>
      <c r="B92" s="0" t="str">
        <f>IFERROR(__xludf.DUMMYFUNCTION("""COMPUTED_VALUE"""),"TradeAttributeBulkChangeGroups")</f>
        <v>TradeAttributeBulkChangeGroups</v>
      </c>
      <c r="C92" s="0" t="str">
        <f>IFERROR(__xludf.DUMMYFUNCTION("""COMPUTED_VALUE"""),"1OIjDCM6TnKKQSDlidlK0dxEESXLKiqUJwn0hQQ_tBgg")</f>
        <v>1OIjDCM6TnKKQSDlidlK0dxEESXLKiqUJwn0hQQ_tBgg</v>
      </c>
    </row>
    <row r="93" ht="15.75" customHeight="1">
      <c r="A93" s="0" t="str">
        <f>IFERROR(__xludf.DUMMYFUNCTION("""COMPUTED_VALUE"""),"Allocation")</f>
        <v>Allocation</v>
      </c>
      <c r="B93" s="0" t="str">
        <f>IFERROR(__xludf.DUMMYFUNCTION("""COMPUTED_VALUE"""),"TradeAttributeBulkChangeTaxlots")</f>
        <v>TradeAttributeBulkChangeTaxlots</v>
      </c>
      <c r="C93" s="0" t="str">
        <f>IFERROR(__xludf.DUMMYFUNCTION("""COMPUTED_VALUE"""),"1-EkhvJm1K679q763Pphv6jCkS338lkjK1empSqlEI6g")</f>
        <v>1-EkhvJm1K679q763Pphv6jCkS338lkjK1empSqlEI6g</v>
      </c>
    </row>
    <row r="94" ht="15.75" customHeight="1">
      <c r="A94" s="0" t="str">
        <f>IFERROR(__xludf.DUMMYFUNCTION("""COMPUTED_VALUE"""),"Allocation")</f>
        <v>Allocation</v>
      </c>
      <c r="B94" s="0" t="str">
        <f>IFERROR(__xludf.DUMMYFUNCTION("""COMPUTED_VALUE"""),"AddCalculatedPreferenceToolbar")</f>
        <v>AddCalculatedPreferenceToolbar</v>
      </c>
      <c r="C94" s="0" t="str">
        <f>IFERROR(__xludf.DUMMYFUNCTION("""COMPUTED_VALUE"""),"1DXbBxZ56O_c_EOU2QMzew8pcePIeS9V7oBQzfHm1nrU")</f>
        <v>1DXbBxZ56O_c_EOU2QMzew8pcePIeS9V7oBQzfHm1nrU</v>
      </c>
    </row>
    <row r="95" ht="15.75" customHeight="1">
      <c r="A95" s="0" t="str">
        <f>IFERROR(__xludf.DUMMYFUNCTION("""COMPUTED_VALUE"""),"GeneralLedger")</f>
        <v>GeneralLedger</v>
      </c>
      <c r="B95" s="0" t="str">
        <f>IFERROR(__xludf.DUMMYFUNCTION("""COMPUTED_VALUE"""),"GetRevaluationData")</f>
        <v>GetRevaluationData</v>
      </c>
      <c r="C95" s="0" t="str">
        <f>IFERROR(__xludf.DUMMYFUNCTION("""COMPUTED_VALUE"""),"1_jCrLemDOFwKSZ0VodisRVJ3gJ2pYEa9vtELYDKZ7D8")</f>
        <v>1_jCrLemDOFwKSZ0VodisRVJ3gJ2pYEa9vtELYDKZ7D8</v>
      </c>
    </row>
    <row r="96" ht="15.75" customHeight="1">
      <c r="A96" s="0" t="str">
        <f>IFERROR(__xludf.DUMMYFUNCTION("""COMPUTED_VALUE"""),"Allocation")</f>
        <v>Allocation</v>
      </c>
      <c r="B96" s="0" t="str">
        <f>IFERROR(__xludf.DUMMYFUNCTION("""COMPUTED_VALUE"""),"SetStrategyValueCalculatedPref")</f>
        <v>SetStrategyValueCalculatedPref</v>
      </c>
      <c r="C96" s="0" t="str">
        <f>IFERROR(__xludf.DUMMYFUNCTION("""COMPUTED_VALUE"""),"16RHY1TeGLbg5aTXsB-Ui80dCjjhaTX8_mez3VOo9FEk")</f>
        <v>16RHY1TeGLbg5aTXsB-Ui80dCjjhaTX8_mez3VOo9FEk</v>
      </c>
    </row>
    <row r="97" ht="15.75" customHeight="1">
      <c r="A97" s="0" t="str">
        <f>IFERROR(__xludf.DUMMYFUNCTION("""COMPUTED_VALUE"""),"GeneralLedger")</f>
        <v>GeneralLedger</v>
      </c>
      <c r="B97" s="0" t="str">
        <f>IFERROR(__xludf.DUMMYFUNCTION("""COMPUTED_VALUE"""),"GetAccountDetails")</f>
        <v>GetAccountDetails</v>
      </c>
      <c r="C97" s="0" t="str">
        <f>IFERROR(__xludf.DUMMYFUNCTION("""COMPUTED_VALUE"""),"1TXu6gXnarAC8lKHRoBfjneR2t9URT4SQRLYj-_dv9B8")</f>
        <v>1TXu6gXnarAC8lKHRoBfjneR2t9URT4SQRLYj-_dv9B8</v>
      </c>
    </row>
    <row r="98" ht="15.75" customHeight="1">
      <c r="A98" s="0" t="str">
        <f>IFERROR(__xludf.DUMMYFUNCTION("""COMPUTED_VALUE"""),"Allocation")</f>
        <v>Allocation</v>
      </c>
      <c r="B98" s="0" t="str">
        <f>IFERROR(__xludf.DUMMYFUNCTION("""COMPUTED_VALUE"""),"ApplyBulkUpdateOnTaxlots")</f>
        <v>ApplyBulkUpdateOnTaxlots</v>
      </c>
      <c r="C98" s="0" t="str">
        <f>IFERROR(__xludf.DUMMYFUNCTION("""COMPUTED_VALUE"""),"1VH3caZODr9iY2kqHjoSV3FhwJni6tKZaHoFPgAW7oH0")</f>
        <v>1VH3caZODr9iY2kqHjoSV3FhwJni6tKZaHoFPgAW7oH0</v>
      </c>
    </row>
    <row r="99" ht="15.75" customHeight="1">
      <c r="A99" s="0" t="str">
        <f>IFERROR(__xludf.DUMMYFUNCTION("""COMPUTED_VALUE"""),"GeneralLedger")</f>
        <v>GeneralLedger</v>
      </c>
      <c r="B99" s="0" t="str">
        <f>IFERROR(__xludf.DUMMYFUNCTION("""COMPUTED_VALUE"""),"GetNonTradingTransaction")</f>
        <v>GetNonTradingTransaction</v>
      </c>
      <c r="C99" s="0" t="str">
        <f>IFERROR(__xludf.DUMMYFUNCTION("""COMPUTED_VALUE"""),"1WwXkdWAh3bdjgnontJiBzztlPilW0CctfCnAlV9Jtsk")</f>
        <v>1WwXkdWAh3bdjgnontJiBzztlPilW0CctfCnAlV9Jtsk</v>
      </c>
    </row>
    <row r="100" ht="15.75" customHeight="1">
      <c r="A100" s="0" t="str">
        <f>IFERROR(__xludf.DUMMYFUNCTION("""COMPUTED_VALUE"""),"Allocation")</f>
        <v>Allocation</v>
      </c>
      <c r="B100" s="0" t="str">
        <f>IFERROR(__xludf.DUMMYFUNCTION("""COMPUTED_VALUE"""),"CommissionBulkChangeOnGroups")</f>
        <v>CommissionBulkChangeOnGroups</v>
      </c>
      <c r="C100" s="0" t="str">
        <f>IFERROR(__xludf.DUMMYFUNCTION("""COMPUTED_VALUE"""),"1GHbxG_gmo0oAM2ECsMcvjgkbxL3HmvWhdwso0kHhxxY")</f>
        <v>1GHbxG_gmo0oAM2ECsMcvjgkbxL3HmvWhdwso0kHhxxY</v>
      </c>
    </row>
    <row r="101" ht="15.75" customHeight="1">
      <c r="A101" s="0" t="str">
        <f>IFERROR(__xludf.DUMMYFUNCTION("""COMPUTED_VALUE"""),"GeneralLedger")</f>
        <v>GeneralLedger</v>
      </c>
      <c r="B101" s="0" t="str">
        <f>IFERROR(__xludf.DUMMYFUNCTION("""COMPUTED_VALUE"""),"GetDividendData")</f>
        <v>GetDividendData</v>
      </c>
      <c r="C101" s="0" t="str">
        <f>IFERROR(__xludf.DUMMYFUNCTION("""COMPUTED_VALUE"""),"1GswznQiWvhiSC0OEO7CQehE7tAU2I_GAPgMkpYmR8HY")</f>
        <v>1GswznQiWvhiSC0OEO7CQehE7tAU2I_GAPgMkpYmR8HY</v>
      </c>
    </row>
    <row r="102" ht="15.75" customHeight="1">
      <c r="A102" s="0" t="str">
        <f>IFERROR(__xludf.DUMMYFUNCTION("""COMPUTED_VALUE"""),"Allocation")</f>
        <v>Allocation</v>
      </c>
      <c r="B102" s="0" t="str">
        <f>IFERROR(__xludf.DUMMYFUNCTION("""COMPUTED_VALUE"""),"CommissionBulkChangeOnTaxlots")</f>
        <v>CommissionBulkChangeOnTaxlots</v>
      </c>
      <c r="C102" s="0" t="str">
        <f>IFERROR(__xludf.DUMMYFUNCTION("""COMPUTED_VALUE"""),"1JSV--K7Q9AVdFghlAQLPvoliFST4hJcrUqb7Lm7ht_s")</f>
        <v>1JSV--K7Q9AVdFghlAQLPvoliFST4hJcrUqb7Lm7ht_s</v>
      </c>
    </row>
    <row r="103" ht="15.75" customHeight="1">
      <c r="A103" s="0" t="str">
        <f>IFERROR(__xludf.DUMMYFUNCTION("""COMPUTED_VALUE"""),"GeneralLedger")</f>
        <v>GeneralLedger</v>
      </c>
      <c r="B103" s="0" t="str">
        <f>IFERROR(__xludf.DUMMYFUNCTION("""COMPUTED_VALUE"""),"VerifyNonTradingTransaction")</f>
        <v>VerifyNonTradingTransaction</v>
      </c>
      <c r="C103" s="0" t="str">
        <f>IFERROR(__xludf.DUMMYFUNCTION("""COMPUTED_VALUE"""),"1o4SeiIVOvtilKbWLzkvKtCGRHUJvLPzFD3kWYlOTDFY")</f>
        <v>1o4SeiIVOvtilKbWLzkvKtCGRHUJvLPzFD3kWYlOTDFY</v>
      </c>
    </row>
    <row r="104" ht="15.75" customHeight="1">
      <c r="A104" s="0" t="str">
        <f>IFERROR(__xludf.DUMMYFUNCTION("""COMPUTED_VALUE"""),"Allocation")</f>
        <v>Allocation</v>
      </c>
      <c r="B104" s="0" t="str">
        <f>IFERROR(__xludf.DUMMYFUNCTION("""COMPUTED_VALUE"""),"SelectUnallocatedGroup")</f>
        <v>SelectUnallocatedGroup</v>
      </c>
      <c r="C104" s="0" t="str">
        <f>IFERROR(__xludf.DUMMYFUNCTION("""COMPUTED_VALUE"""),"1PykwrxeWk59EvKJjR2-bkrhi9UOWXCqXJ9LsY_QGIyg")</f>
        <v>1PykwrxeWk59EvKJjR2-bkrhi9UOWXCqXJ9LsY_QGIyg</v>
      </c>
    </row>
    <row r="105" ht="15.75" customHeight="1">
      <c r="A105" s="0" t="str">
        <f>IFERROR(__xludf.DUMMYFUNCTION("""COMPUTED_VALUE"""),"GeneralLedger")</f>
        <v>GeneralLedger</v>
      </c>
      <c r="B105" s="0" t="str">
        <f>IFERROR(__xludf.DUMMYFUNCTION("""COMPUTED_VALUE"""),"VerifyDividend")</f>
        <v>VerifyDividend</v>
      </c>
      <c r="C105" s="0" t="str">
        <f>IFERROR(__xludf.DUMMYFUNCTION("""COMPUTED_VALUE"""),"1yNATSEwdZIg22rajZvFROqYG-SMOcj0UKSuABzCcbrg")</f>
        <v>1yNATSEwdZIg22rajZvFROqYG-SMOcj0UKSuABzCcbrg</v>
      </c>
    </row>
    <row r="106" ht="15.75" customHeight="1">
      <c r="A106" s="0" t="str">
        <f>IFERROR(__xludf.DUMMYFUNCTION("""COMPUTED_VALUE"""),"Allocation")</f>
        <v>Allocation</v>
      </c>
      <c r="B106" s="0" t="str">
        <f>IFERROR(__xludf.DUMMYFUNCTION("""COMPUTED_VALUE"""),"EnterAccountValuesToAllocate")</f>
        <v>EnterAccountValuesToAllocate</v>
      </c>
      <c r="C106" s="0" t="str">
        <f>IFERROR(__xludf.DUMMYFUNCTION("""COMPUTED_VALUE"""),"1kr04YBOz0Ztah2RGYUkYH5t3_s4wso2_y_Z2nndmke4")</f>
        <v>1kr04YBOz0Ztah2RGYUkYH5t3_s4wso2_y_Z2nndmke4</v>
      </c>
    </row>
    <row r="107" ht="15.75" customHeight="1">
      <c r="A107" s="0" t="str">
        <f>IFERROR(__xludf.DUMMYFUNCTION("""COMPUTED_VALUE"""),"GeneralLedger")</f>
        <v>GeneralLedger</v>
      </c>
      <c r="B107" s="0" t="str">
        <f>IFERROR(__xludf.DUMMYFUNCTION("""COMPUTED_VALUE"""),"GetOpeningBalanceData")</f>
        <v>GetOpeningBalanceData</v>
      </c>
      <c r="C107" s="0" t="str">
        <f>IFERROR(__xludf.DUMMYFUNCTION("""COMPUTED_VALUE"""),"1GJsRSs8phBv97QiJwIDXxz__kmfV3tq2DF7jPw6Rzcc")</f>
        <v>1GJsRSs8phBv97QiJwIDXxz__kmfV3tq2DF7jPw6Rzcc</v>
      </c>
    </row>
    <row r="108" ht="15.75" customHeight="1">
      <c r="A108" s="0" t="str">
        <f>IFERROR(__xludf.DUMMYFUNCTION("""COMPUTED_VALUE"""),"Allocation")</f>
        <v>Allocation</v>
      </c>
      <c r="B108" s="0" t="str">
        <f>IFERROR(__xludf.DUMMYFUNCTION("""COMPUTED_VALUE"""),"EnterAllocatePreference")</f>
        <v>EnterAllocatePreference</v>
      </c>
      <c r="C108" s="0" t="str">
        <f>IFERROR(__xludf.DUMMYFUNCTION("""COMPUTED_VALUE"""),"1haSEXf6TIeQYi_1sgjBN0a8Kd0oihrY49BfLwnN7fuI")</f>
        <v>1haSEXf6TIeQYi_1sgjBN0a8Kd0oihrY49BfLwnN7fuI</v>
      </c>
    </row>
    <row r="109" ht="15.75" customHeight="1">
      <c r="A109" s="0" t="str">
        <f>IFERROR(__xludf.DUMMYFUNCTION("""COMPUTED_VALUE"""),"GeneralLedger")</f>
        <v>GeneralLedger</v>
      </c>
      <c r="B109" s="0" t="str">
        <f>IFERROR(__xludf.DUMMYFUNCTION("""COMPUTED_VALUE"""),"GetAccountBalance")</f>
        <v>GetAccountBalance</v>
      </c>
      <c r="C109" s="0" t="str">
        <f>IFERROR(__xludf.DUMMYFUNCTION("""COMPUTED_VALUE"""),"19yGJzO1TCo08wHjexzSA7gxYozh5nmBmm_h8W-7yXXE")</f>
        <v>19yGJzO1TCo08wHjexzSA7gxYozh5nmBmm_h8W-7yXXE</v>
      </c>
    </row>
    <row r="110" ht="15.75" customHeight="1">
      <c r="A110" s="0" t="str">
        <f>IFERROR(__xludf.DUMMYFUNCTION("""COMPUTED_VALUE"""),"Expnl")</f>
        <v>Expnl</v>
      </c>
      <c r="B110" s="0" t="str">
        <f>IFERROR(__xludf.DUMMYFUNCTION("""COMPUTED_VALUE"""),"RestartExpnl")</f>
        <v>RestartExpnl</v>
      </c>
      <c r="C110" s="0" t="str">
        <f>IFERROR(__xludf.DUMMYFUNCTION("""COMPUTED_VALUE"""),"1SFxd7-IZSkRF_20Dfu_Uk623wJILbNPUOwLIkgbyHyc")</f>
        <v>1SFxd7-IZSkRF_20Dfu_Uk623wJILbNPUOwLIkgbyHyc</v>
      </c>
    </row>
    <row r="111" ht="15.75" customHeight="1">
      <c r="A111" s="0" t="str">
        <f>IFERROR(__xludf.DUMMYFUNCTION("""COMPUTED_VALUE"""),"PortfolioManagement")</f>
        <v>PortfolioManagement</v>
      </c>
      <c r="B111" s="0" t="str">
        <f>IFERROR(__xludf.DUMMYFUNCTION("""COMPUTED_VALUE"""),"ClosePM")</f>
        <v>ClosePM</v>
      </c>
      <c r="C111" s="0" t="str">
        <f>IFERROR(__xludf.DUMMYFUNCTION("""COMPUTED_VALUE"""),"Undefined")</f>
        <v>Undefined</v>
      </c>
    </row>
    <row r="112" ht="15.75" customHeight="1">
      <c r="A112" s="0" t="str">
        <f>IFERROR(__xludf.DUMMYFUNCTION("""COMPUTED_VALUE"""),"Allocation")</f>
        <v>Allocation</v>
      </c>
      <c r="B112" s="0" t="str">
        <f>IFERROR(__xludf.DUMMYFUNCTION("""COMPUTED_VALUE"""),"EnterStrategyValuesToAllocate")</f>
        <v>EnterStrategyValuesToAllocate</v>
      </c>
      <c r="C112" s="0" t="str">
        <f>IFERROR(__xludf.DUMMYFUNCTION("""COMPUTED_VALUE"""),"1-8cEVr7pAI2wgMdL3_6tq-WORMZN8GmCtu9xIjj6j6o")</f>
        <v>1-8cEVr7pAI2wgMdL3_6tq-WORMZN8GmCtu9xIjj6j6o</v>
      </c>
    </row>
    <row r="113" ht="15.75" customHeight="1">
      <c r="A113" s="0" t="str">
        <f>IFERROR(__xludf.DUMMYFUNCTION("""COMPUTED_VALUE"""),"GeneralLedger")</f>
        <v>GeneralLedger</v>
      </c>
      <c r="B113" s="0" t="str">
        <f>IFERROR(__xludf.DUMMYFUNCTION("""COMPUTED_VALUE"""),"SelectNonTradingTransaction")</f>
        <v>SelectNonTradingTransaction</v>
      </c>
      <c r="C113" s="0" t="str">
        <f>IFERROR(__xludf.DUMMYFUNCTION("""COMPUTED_VALUE"""),"1ZZCt0lDjl7RLYD2Mntzrt8K90X_eJFTEXwVYmBpuJrI")</f>
        <v>1ZZCt0lDjl7RLYD2Mntzrt8K90X_eJFTEXwVYmBpuJrI</v>
      </c>
    </row>
    <row r="114" ht="15.75" customHeight="1">
      <c r="A114" s="0" t="str">
        <f>IFERROR(__xludf.DUMMYFUNCTION("""COMPUTED_VALUE"""),"GeneralLedger")</f>
        <v>GeneralLedger</v>
      </c>
      <c r="B114" s="0" t="str">
        <f>IFERROR(__xludf.DUMMYFUNCTION("""COMPUTED_VALUE"""),"SelectNonTradingTranItem")</f>
        <v>SelectNonTradingTranItem</v>
      </c>
      <c r="C114" s="0" t="str">
        <f>IFERROR(__xludf.DUMMYFUNCTION("""COMPUTED_VALUE"""),"16m3UbEFQhQPWPiSa_1EhmXlZxLYP_MUqbxMjHJ-ClFY")</f>
        <v>16m3UbEFQhQPWPiSa_1EhmXlZxLYP_MUqbxMjHJ-ClFY</v>
      </c>
    </row>
    <row r="115" ht="15.75" customHeight="1">
      <c r="A115" s="0" t="str">
        <f>IFERROR(__xludf.DUMMYFUNCTION("""COMPUTED_VALUE"""),"Allocation")</f>
        <v>Allocation</v>
      </c>
      <c r="B115" s="0" t="str">
        <f>IFERROR(__xludf.DUMMYFUNCTION("""COMPUTED_VALUE"""),"CopyCalculatedPreferenceToolbar")</f>
        <v>CopyCalculatedPreferenceToolbar</v>
      </c>
      <c r="C115" s="0" t="str">
        <f>IFERROR(__xludf.DUMMYFUNCTION("""COMPUTED_VALUE"""),"1_ToPqKQ7KBsW-Qbh_BzgjcxrmCVkWJXDYrKj7bFoT1c")</f>
        <v>1_ToPqKQ7KBsW-Qbh_BzgjcxrmCVkWJXDYrKj7bFoT1c</v>
      </c>
    </row>
    <row r="116" ht="15.75" customHeight="1">
      <c r="A116" s="0" t="str">
        <f>IFERROR(__xludf.DUMMYFUNCTION("""COMPUTED_VALUE"""),"Allocation")</f>
        <v>Allocation</v>
      </c>
      <c r="B116" s="0" t="str">
        <f>IFERROR(__xludf.DUMMYFUNCTION("""COMPUTED_VALUE"""),"SetGeneralRuleCalculatedPref")</f>
        <v>SetGeneralRuleCalculatedPref</v>
      </c>
      <c r="C116" s="0" t="str">
        <f>IFERROR(__xludf.DUMMYFUNCTION("""COMPUTED_VALUE"""),"1aXiFWEohqaH2_K4j0vh9e2qsSVxsknfuhcQeOE9hi3Q")</f>
        <v>1aXiFWEohqaH2_K4j0vh9e2qsSVxsknfuhcQeOE9hi3Q</v>
      </c>
    </row>
    <row r="117" ht="15.75" customHeight="1">
      <c r="A117" s="0" t="str">
        <f>IFERROR(__xludf.DUMMYFUNCTION("""COMPUTED_VALUE"""),"GeneralLedger")</f>
        <v>GeneralLedger</v>
      </c>
      <c r="B117" s="0" t="str">
        <f>IFERROR(__xludf.DUMMYFUNCTION("""COMPUTED_VALUE"""),"DeleteNonTradingTransaction")</f>
        <v>DeleteNonTradingTransaction</v>
      </c>
      <c r="C117" s="0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s="0" t="str">
        <f>IFERROR(__xludf.DUMMYFUNCTION("""COMPUTED_VALUE"""),"DeleteNonTradingTranItem")</f>
        <v>DeleteNonTradingTranItem</v>
      </c>
      <c r="C118" s="0" t="str">
        <f>IFERROR(__xludf.DUMMYFUNCTION("""COMPUTED_VALUE"""),"17d6nTaGrtU53Ggt44z0DBtOe6BoXa-RluaNmydPewJc")</f>
        <v>17d6nTaGrtU53Ggt44z0DBtOe6BoXa-RluaNmydPewJc</v>
      </c>
    </row>
    <row r="119" ht="15.75" customHeight="1">
      <c r="A119" s="0" t="str">
        <f>IFERROR(__xludf.DUMMYFUNCTION("""COMPUTED_VALUE"""),"Allocation")</f>
        <v>Allocation</v>
      </c>
      <c r="B119" s="0" t="str">
        <f>IFERROR(__xludf.DUMMYFUNCTION("""COMPUTED_VALUE"""),"ExportAllCalculatedPreferences")</f>
        <v>ExportAllCalculatedPreferences</v>
      </c>
      <c r="C119" s="0" t="str">
        <f>IFERROR(__xludf.DUMMYFUNCTION("""COMPUTED_VALUE"""),"1t7n3e5xHa-zqiwDexIMbaSHvIBvZeqc9clL5rr4oU1E")</f>
        <v>1t7n3e5xHa-zqiwDexIMbaSHvIBvZeqc9clL5rr4oU1E</v>
      </c>
    </row>
    <row r="120" ht="15.75" customHeight="1">
      <c r="A120" s="0" t="str">
        <f>IFERROR(__xludf.DUMMYFUNCTION("""COMPUTED_VALUE"""),"GeneralLedger")</f>
        <v>GeneralLedger</v>
      </c>
      <c r="B120" s="0" t="str">
        <f>IFERROR(__xludf.DUMMYFUNCTION("""COMPUTED_VALUE"""),"AddNonTradingTransaction")</f>
        <v>AddNonTradingTransaction</v>
      </c>
      <c r="C120" s="0" t="str">
        <f>IFERROR(__xludf.DUMMYFUNCTION("""COMPUTED_VALUE"""),"1g_iduG9-VROpoRQbgomDMnwhDO5V1MCdoXo7B0KkCjo")</f>
        <v>1g_iduG9-VROpoRQbgomDMnwhDO5V1MCdoXo7B0KkCjo</v>
      </c>
    </row>
    <row r="121" ht="15.75" customHeight="1">
      <c r="A121" s="0" t="str">
        <f>IFERROR(__xludf.DUMMYFUNCTION("""COMPUTED_VALUE"""),"GeneralLedger")</f>
        <v>GeneralLedger</v>
      </c>
      <c r="B121" s="0" t="str">
        <f>IFERROR(__xludf.DUMMYFUNCTION("""COMPUTED_VALUE"""),"AddNonTradingTranItem")</f>
        <v>AddNonTradingTranItem</v>
      </c>
      <c r="C121" s="0" t="str">
        <f>IFERROR(__xludf.DUMMYFUNCTION("""COMPUTED_VALUE"""),"1f-by-zymlQYhK_E-j7JuCFmcrmShTNyoIRdep0I9WiQ")</f>
        <v>1f-by-zymlQYhK_E-j7JuCFmcrmShTNyoIRdep0I9WiQ</v>
      </c>
    </row>
    <row r="122" ht="15.75" customHeight="1">
      <c r="A122" s="0" t="str">
        <f>IFERROR(__xludf.DUMMYFUNCTION("""COMPUTED_VALUE"""),"Allocation")</f>
        <v>Allocation</v>
      </c>
      <c r="B122" s="0" t="str">
        <f>IFERROR(__xludf.DUMMYFUNCTION("""COMPUTED_VALUE"""),"SaveCalculatedPreferences")</f>
        <v>SaveCalculatedPreferences</v>
      </c>
      <c r="C122" s="0" t="str">
        <f>IFERROR(__xludf.DUMMYFUNCTION("""COMPUTED_VALUE"""),"Undefined")</f>
        <v>Undefined</v>
      </c>
    </row>
    <row r="123" ht="15.75" customHeight="1">
      <c r="A123" s="0" t="str">
        <f>IFERROR(__xludf.DUMMYFUNCTION("""COMPUTED_VALUE"""),"GeneralLedger")</f>
        <v>GeneralLedger</v>
      </c>
      <c r="B123" s="0" t="str">
        <f>IFERROR(__xludf.DUMMYFUNCTION("""COMPUTED_VALUE"""),"VerifyOpeningBalanceData")</f>
        <v>VerifyOpeningBalanceData</v>
      </c>
      <c r="C123" s="0" t="str">
        <f>IFERROR(__xludf.DUMMYFUNCTION("""COMPUTED_VALUE"""),"1HBHQimrc8zfoFghmOi00Kyuswkhw5t2zr8z75prYQoU")</f>
        <v>1HBHQimrc8zfoFghmOi00Kyuswkhw5t2zr8z75prYQoU</v>
      </c>
    </row>
    <row r="124" ht="15.75" customHeight="1">
      <c r="A124" s="0" t="str">
        <f>IFERROR(__xludf.DUMMYFUNCTION("""COMPUTED_VALUE"""),"GeneralLedger")</f>
        <v>GeneralLedger</v>
      </c>
      <c r="B124" s="0" t="str">
        <f>IFERROR(__xludf.DUMMYFUNCTION("""COMPUTED_VALUE"""),"SelectOpeningBalanceTransaction")</f>
        <v>SelectOpeningBalanceTransaction</v>
      </c>
      <c r="C124" s="0" t="str">
        <f>IFERROR(__xludf.DUMMYFUNCTION("""COMPUTED_VALUE"""),"1hRgqQ_8KWjDa-IhDaI4dj4DIa-LKAF0dtsLGSuRISFg")</f>
        <v>1hRgqQ_8KWjDa-IhDaI4dj4DIa-LKAF0dtsLGSuRISFg</v>
      </c>
    </row>
    <row r="125" ht="15.75" customHeight="1">
      <c r="A125" s="0" t="str">
        <f>IFERROR(__xludf.DUMMYFUNCTION("""COMPUTED_VALUE"""),"TradingTicket")</f>
        <v>TradingTicket</v>
      </c>
      <c r="B125" s="0" t="str">
        <f>IFERROR(__xludf.DUMMYFUNCTION("""COMPUTED_VALUE"""),"CreateStageOrder ")</f>
        <v>CreateStageOrder </v>
      </c>
      <c r="C125" s="0" t="str">
        <f>IFERROR(__xludf.DUMMYFUNCTION("""COMPUTED_VALUE"""),"1aKdtkgfy-qm5UkM4xEgwsIC2Y0tkkZ2nnlAt2YRyCIY")</f>
        <v>1aKdtkgfy-qm5UkM4xEgwsIC2Y0tkkZ2nnlAt2YRyCIY</v>
      </c>
    </row>
    <row r="126" ht="15.75" customHeight="1">
      <c r="A126" s="0" t="str">
        <f>IFERROR(__xludf.DUMMYFUNCTION("""COMPUTED_VALUE"""),"Blotter")</f>
        <v>Blotter</v>
      </c>
      <c r="B126" s="0" t="str">
        <f>IFERROR(__xludf.DUMMYFUNCTION("""COMPUTED_VALUE"""),"TransferToUserWorkingSubs")</f>
        <v>TransferToUserWorkingSubs</v>
      </c>
      <c r="C126" s="0" t="str">
        <f>IFERROR(__xludf.DUMMYFUNCTION("""COMPUTED_VALUE"""),"1kz2VbYDYVt81r6Crqstq3_e7JPi3pG646PWatn8mPqI")</f>
        <v>1kz2VbYDYVt81r6Crqstq3_e7JPi3pG646PWatn8mPqI</v>
      </c>
    </row>
    <row r="127" ht="15.75" customHeight="1">
      <c r="A127" s="0" t="str">
        <f>IFERROR(__xludf.DUMMYFUNCTION("""COMPUTED_VALUE"""),"Blotter")</f>
        <v>Blotter</v>
      </c>
      <c r="B127" s="0" t="str">
        <f>IFERROR(__xludf.DUMMYFUNCTION("""COMPUTED_VALUE"""),"CancelWorkingSubs")</f>
        <v>CancelWorkingSubs</v>
      </c>
      <c r="C127" s="0" t="str">
        <f>IFERROR(__xludf.DUMMYFUNCTION("""COMPUTED_VALUE"""),"1NBR38i2felKivQP6OhR7WBHM-4rxXfJzcKuENwPKRGE")</f>
        <v>1NBR38i2felKivQP6OhR7WBHM-4rxXfJzcKuENwPKRGE</v>
      </c>
    </row>
    <row r="128" ht="15.75" customHeight="1">
      <c r="A128" s="0" t="str">
        <f>IFERROR(__xludf.DUMMYFUNCTION("""COMPUTED_VALUE"""),"Blotter")</f>
        <v>Blotter</v>
      </c>
      <c r="B128" s="0" t="str">
        <f>IFERROR(__xludf.DUMMYFUNCTION("""COMPUTED_VALUE"""),"ReplaceWorkingSubs")</f>
        <v>ReplaceWorkingSubs</v>
      </c>
      <c r="C128" s="0" t="str">
        <f>IFERROR(__xludf.DUMMYFUNCTION("""COMPUTED_VALUE"""),"1E4shR2SnIPZbHN18xXEMyrgo70wZH3PZ7bsQcZMxqWs")</f>
        <v>1E4shR2SnIPZbHN18xXEMyrgo70wZH3PZ7bsQcZMxqWs</v>
      </c>
    </row>
    <row r="129" ht="15.75" customHeight="1">
      <c r="A129" s="0" t="str">
        <f>IFERROR(__xludf.DUMMYFUNCTION("""COMPUTED_VALUE"""),"Expnl")</f>
        <v>Expnl</v>
      </c>
      <c r="B129" s="0" t="str">
        <f>IFERROR(__xludf.DUMMYFUNCTION("""COMPUTED_VALUE"""),"UpdateExpnlConfig")</f>
        <v>UpdateExpnlConfig</v>
      </c>
      <c r="C129" s="0" t="str">
        <f>IFERROR(__xludf.DUMMYFUNCTION("""COMPUTED_VALUE"""),"1HCFewt-pwGWR5iNNmWN6uvH655SGnG39ZPt3qgn1fzA")</f>
        <v>1HCFewt-pwGWR5iNNmWN6uvH655SGnG39ZPt3qgn1fzA</v>
      </c>
    </row>
    <row r="130" ht="15.75" customHeight="1">
      <c r="A130" s="0" t="str">
        <f>IFERROR(__xludf.DUMMYFUNCTION("""COMPUTED_VALUE"""),"Blotter")</f>
        <v>Blotter</v>
      </c>
      <c r="B130" s="0" t="str">
        <f>IFERROR(__xludf.DUMMYFUNCTION("""COMPUTED_VALUE"""),"ViewAllocationDetailsWorkingSub")</f>
        <v>ViewAllocationDetailsWorkingSub</v>
      </c>
      <c r="C130" s="0" t="str">
        <f>IFERROR(__xludf.DUMMYFUNCTION("""COMPUTED_VALUE"""),"1RIECjeIoo9Ed5LapEOoN4zgF1bqZRnOsbWjnqXuNGVQ")</f>
        <v>1RIECjeIoo9Ed5LapEOoN4zgF1bqZRnOsbWjnqXuNGVQ</v>
      </c>
    </row>
    <row r="131" ht="15.75" customHeight="1">
      <c r="A131" s="0" t="str">
        <f>IFERROR(__xludf.DUMMYFUNCTION("""COMPUTED_VALUE"""),"Blotter")</f>
        <v>Blotter</v>
      </c>
      <c r="B131" s="0" t="str">
        <f>IFERROR(__xludf.DUMMYFUNCTION("""COMPUTED_VALUE"""),"SelectTradeOnOrderGrid")</f>
        <v>SelectTradeOnOrderGrid</v>
      </c>
      <c r="C131" s="0" t="str">
        <f>IFERROR(__xludf.DUMMYFUNCTION("""COMPUTED_VALUE"""),"1G1TzFJzPKFnIeFk1Ygruk-TgZ1E4OzotLzmXkrCfydo")</f>
        <v>1G1TzFJzPKFnIeFk1Ygruk-TgZ1E4OzotLzmXkrCfydo</v>
      </c>
    </row>
    <row r="132" ht="15.75" customHeight="1">
      <c r="A132" s="0" t="str">
        <f>IFERROR(__xludf.DUMMYFUNCTION("""COMPUTED_VALUE"""),"Blotter")</f>
        <v>Blotter</v>
      </c>
      <c r="B132" s="0" t="str">
        <f>IFERROR(__xludf.DUMMYFUNCTION("""COMPUTED_VALUE"""),"ShowDetailsForAlgoTradeSubOrder")</f>
        <v>ShowDetailsForAlgoTradeSubOrder</v>
      </c>
      <c r="C132" s="0" t="str">
        <f>IFERROR(__xludf.DUMMYFUNCTION("""COMPUTED_VALUE"""),"1cs4Fq7TTIBg-0scmlXwevni9dZWkhIRRtH8PFI0zITU")</f>
        <v>1cs4Fq7TTIBg-0scmlXwevni9dZWkhIRRtH8PFI0zITU</v>
      </c>
    </row>
    <row r="133" ht="15.75" customHeight="1">
      <c r="A133" s="0" t="str">
        <f>IFERROR(__xludf.DUMMYFUNCTION("""COMPUTED_VALUE"""),"Blotter")</f>
        <v>Blotter</v>
      </c>
      <c r="B133" s="0" t="str">
        <f>IFERROR(__xludf.DUMMYFUNCTION("""COMPUTED_VALUE"""),"SelectTradeOrderBlotter")</f>
        <v>SelectTradeOrderBlotter</v>
      </c>
      <c r="C133" s="0" t="str">
        <f>IFERROR(__xludf.DUMMYFUNCTION("""COMPUTED_VALUE"""),"13ynqJyBLiTSOeDNH_88Zy2459I5IbcLrArZ3KrZJcUM")</f>
        <v>13ynqJyBLiTSOeDNH_88Zy2459I5IbcLrArZ3KrZJcUM</v>
      </c>
    </row>
    <row r="134" ht="15.75" customHeight="1">
      <c r="A134" s="0" t="str">
        <f>IFERROR(__xludf.DUMMYFUNCTION("""COMPUTED_VALUE"""),"Blotter")</f>
        <v>Blotter</v>
      </c>
      <c r="B134" s="0" t="str">
        <f>IFERROR(__xludf.DUMMYFUNCTION("""COMPUTED_VALUE"""),"AddFillsWorkingSubs")</f>
        <v>AddFillsWorkingSubs</v>
      </c>
      <c r="C134" s="0" t="str">
        <f>IFERROR(__xludf.DUMMYFUNCTION("""COMPUTED_VALUE"""),"1QMJ1EeGqZUMPaentiXmY-qZo0nib_XUvbEJJUqCu54s")</f>
        <v>1QMJ1EeGqZUMPaentiXmY-qZo0nib_XUvbEJJUqCu54s</v>
      </c>
    </row>
    <row r="135" ht="15.75" customHeight="1">
      <c r="A135" s="0" t="str">
        <f>IFERROR(__xludf.DUMMYFUNCTION("""COMPUTED_VALUE"""),"Blotter")</f>
        <v>Blotter</v>
      </c>
      <c r="B135" s="0" t="str">
        <f>IFERROR(__xludf.DUMMYFUNCTION("""COMPUTED_VALUE"""),"EditAddFillsDetails")</f>
        <v>EditAddFillsDetails</v>
      </c>
      <c r="C135" s="0" t="str">
        <f>IFERROR(__xludf.DUMMYFUNCTION("""COMPUTED_VALUE"""),"1E-tAvpWCMvH1-L2VgrY-CsAMjjQbseS53lRaadteqY4")</f>
        <v>1E-tAvpWCMvH1-L2VgrY-CsAMjjQbseS53lRaadteqY4</v>
      </c>
    </row>
    <row r="136" ht="15.75" customHeight="1">
      <c r="A136" s="0" t="str">
        <f>IFERROR(__xludf.DUMMYFUNCTION("""COMPUTED_VALUE"""),"Blotter")</f>
        <v>Blotter</v>
      </c>
      <c r="B136" s="0" t="str">
        <f>IFERROR(__xludf.DUMMYFUNCTION("""COMPUTED_VALUE"""),"ShowDetailsForAlgoTradeWorkingSubs")</f>
        <v>ShowDetailsForAlgoTradeWorkingSubs</v>
      </c>
      <c r="C136" s="0" t="str">
        <f>IFERROR(__xludf.DUMMYFUNCTION("""COMPUTED_VALUE"""),"1MW6UTBXJ6_4nEgZhz-2VRPEBOcOGahWTNBaogUf-_90")</f>
        <v>1MW6UTBXJ6_4nEgZhz-2VRPEBOcOGahWTNBaogUf-_90</v>
      </c>
    </row>
    <row r="137" ht="15.75" customHeight="1">
      <c r="A137" s="0" t="str">
        <f>IFERROR(__xludf.DUMMYFUNCTION("""COMPUTED_VALUE"""),"Closing")</f>
        <v>Closing</v>
      </c>
      <c r="B137" s="0" t="str">
        <f>IFERROR(__xludf.DUMMYFUNCTION("""COMPUTED_VALUE"""),"SwapExpire")</f>
        <v>SwapExpire</v>
      </c>
      <c r="C137" s="0" t="str">
        <f>IFERROR(__xludf.DUMMYFUNCTION("""COMPUTED_VALUE"""),"1sPvrowwTQsK7O1mUC-eQeJJSEgA9er_TCbHzyMsToxw")</f>
        <v>1sPvrowwTQsK7O1mUC-eQeJJSEgA9er_TCbHzyMsToxw</v>
      </c>
    </row>
    <row r="138" ht="15.75" customHeight="1">
      <c r="A138" s="0" t="str">
        <f>IFERROR(__xludf.DUMMYFUNCTION("""COMPUTED_VALUE"""),"Blotter")</f>
        <v>Blotter</v>
      </c>
      <c r="B138" s="0" t="str">
        <f>IFERROR(__xludf.DUMMYFUNCTION("""COMPUTED_VALUE"""),"VerifyWorkingSubs")</f>
        <v>VerifyWorkingSubs</v>
      </c>
      <c r="C138" s="0" t="str">
        <f>IFERROR(__xludf.DUMMYFUNCTION("""COMPUTED_VALUE"""),"13McK_2eAGLCT-zvjQjNR2TNP5foe4OzipdCTy1LibIk")</f>
        <v>13McK_2eAGLCT-zvjQjNR2TNP5foe4OzipdCTy1LibIk</v>
      </c>
    </row>
    <row r="139" ht="15.75" customHeight="1">
      <c r="A139" s="0" t="str">
        <f>IFERROR(__xludf.DUMMYFUNCTION("""COMPUTED_VALUE"""),"Blotter")</f>
        <v>Blotter</v>
      </c>
      <c r="B139" s="0" t="str">
        <f>IFERROR(__xludf.DUMMYFUNCTION("""COMPUTED_VALUE"""),"TransferToUserOrder")</f>
        <v>TransferToUserOrder</v>
      </c>
      <c r="C139" s="0" t="str">
        <f>IFERROR(__xludf.DUMMYFUNCTION("""COMPUTED_VALUE"""),"11uZx-CaSQ01yGgtab77kdvBCGN1nOo3g0k8Bw5WqjZg")</f>
        <v>11uZx-CaSQ01yGgtab77kdvBCGN1nOo3g0k8Bw5WqjZg</v>
      </c>
    </row>
    <row r="140" ht="15.75" customHeight="1">
      <c r="A140" s="0" t="str">
        <f>IFERROR(__xludf.DUMMYFUNCTION("""COMPUTED_VALUE"""),"Allocation")</f>
        <v>Allocation</v>
      </c>
      <c r="B140" s="0" t="str">
        <f>IFERROR(__xludf.DUMMYFUNCTION("""COMPUTED_VALUE"""),"CloseCalculatedPreferences")</f>
        <v>CloseCalculatedPreferences</v>
      </c>
      <c r="C140" s="0" t="str">
        <f>IFERROR(__xludf.DUMMYFUNCTION("""COMPUTED_VALUE"""),"Undefined")</f>
        <v>Undefined</v>
      </c>
    </row>
    <row r="141" ht="15.75" customHeight="1">
      <c r="A141" s="0" t="str">
        <f>IFERROR(__xludf.DUMMYFUNCTION("""COMPUTED_VALUE"""),"TradingTicket")</f>
        <v>TradingTicket</v>
      </c>
      <c r="B141" s="0" t="str">
        <f>IFERROR(__xludf.DUMMYFUNCTION("""COMPUTED_VALUE"""),"CreateReplaceOrder")</f>
        <v>CreateReplaceOrder</v>
      </c>
      <c r="C141" s="0" t="str">
        <f>IFERROR(__xludf.DUMMYFUNCTION("""COMPUTED_VALUE"""),"1yur8pXg-NhCMSD11wSVwvv0Fez2TUQp9ujOOBjwd3Us")</f>
        <v>1yur8pXg-NhCMSD11wSVwvv0Fez2TUQp9ujOOBjwd3Us</v>
      </c>
    </row>
    <row r="142" ht="15.75" customHeight="1">
      <c r="A142" s="0" t="str">
        <f>IFERROR(__xludf.DUMMYFUNCTION("""COMPUTED_VALUE"""),"Blotter")</f>
        <v>Blotter</v>
      </c>
      <c r="B142" s="0" t="str">
        <f>IFERROR(__xludf.DUMMYFUNCTION("""COMPUTED_VALUE"""),"EditOrder")</f>
        <v>EditOrder</v>
      </c>
      <c r="C142" s="0" t="str">
        <f>IFERROR(__xludf.DUMMYFUNCTION("""COMPUTED_VALUE"""),"1lKZmmIgqPZZBJtNH48lLmgj0q9ec1_4IPwkMjm00z-8")</f>
        <v>1lKZmmIgqPZZBJtNH48lLmgj0q9ec1_4IPwkMjm00z-8</v>
      </c>
    </row>
    <row r="143" ht="15.75" customHeight="1">
      <c r="A143" s="0" t="str">
        <f>IFERROR(__xludf.DUMMYFUNCTION("""COMPUTED_VALUE"""),"Blotter")</f>
        <v>Blotter</v>
      </c>
      <c r="B143" s="0" t="str">
        <f>IFERROR(__xludf.DUMMYFUNCTION("""COMPUTED_VALUE"""),"SelectTradeSubOrderBlotter")</f>
        <v>SelectTradeSubOrderBlotter</v>
      </c>
      <c r="C143" s="0" t="str">
        <f>IFERROR(__xludf.DUMMYFUNCTION("""COMPUTED_VALUE"""),"19D1UAVXlfPtqeFEBJfut55kr89Eu_txYvrbwbDEzF8Y")</f>
        <v>19D1UAVXlfPtqeFEBJfut55kr89Eu_txYvrbwbDEzF8Y</v>
      </c>
    </row>
    <row r="144" ht="15.75" customHeight="1">
      <c r="A144" s="0" t="str">
        <f>IFERROR(__xludf.DUMMYFUNCTION("""COMPUTED_VALUE"""),"Blotter")</f>
        <v>Blotter</v>
      </c>
      <c r="B144" s="0" t="str">
        <f>IFERROR(__xludf.DUMMYFUNCTION("""COMPUTED_VALUE"""),"VerifyOrder")</f>
        <v>VerifyOrder</v>
      </c>
      <c r="C144" s="0" t="str">
        <f>IFERROR(__xludf.DUMMYFUNCTION("""COMPUTED_VALUE"""),"19Sn1yI9trlccQAGFXG-Y-afytOt_KfoVnPQzvl6XROo")</f>
        <v>19Sn1yI9trlccQAGFXG-Y-afytOt_KfoVnPQzvl6XROo</v>
      </c>
    </row>
    <row r="145" ht="15.75" customHeight="1">
      <c r="A145" s="0" t="str">
        <f>IFERROR(__xludf.DUMMYFUNCTION("""COMPUTED_VALUE"""),"Blotter")</f>
        <v>Blotter</v>
      </c>
      <c r="B145" s="0" t="str">
        <f>IFERROR(__xludf.DUMMYFUNCTION("""COMPUTED_VALUE"""),"VerifySubOrder")</f>
        <v>VerifySubOrder</v>
      </c>
      <c r="C145" s="0" t="str">
        <f>IFERROR(__xludf.DUMMYFUNCTION("""COMPUTED_VALUE"""),"1Sju_rkEX7ClHISzkl9UFKNY6k_5t_S0tdxtpZAnXpqg")</f>
        <v>1Sju_rkEX7ClHISzkl9UFKNY6k_5t_S0tdxtpZAnXpqg</v>
      </c>
    </row>
    <row r="146" ht="15.75" customHeight="1">
      <c r="A146" s="0" t="str">
        <f>IFERROR(__xludf.DUMMYFUNCTION("""COMPUTED_VALUE"""),"Blotter")</f>
        <v>Blotter</v>
      </c>
      <c r="B146" s="0" t="str">
        <f>IFERROR(__xludf.DUMMYFUNCTION("""COMPUTED_VALUE"""),"RemoveSelectedOrders")</f>
        <v>RemoveSelectedOrders</v>
      </c>
      <c r="C146" s="0" t="str">
        <f>IFERROR(__xludf.DUMMYFUNCTION("""COMPUTED_VALUE"""),"1hMVNdo4B8WswaauY8yqbHmt3Wx_NMRxgdB2vow1p5ag")</f>
        <v>1hMVNdo4B8WswaauY8yqbHmt3Wx_NMRxgdB2vow1p5ag</v>
      </c>
    </row>
    <row r="147" ht="15.75" customHeight="1">
      <c r="A147" s="0" t="str">
        <f>IFERROR(__xludf.DUMMYFUNCTION("""COMPUTED_VALUE"""),"Blotter")</f>
        <v>Blotter</v>
      </c>
      <c r="B147" s="0" t="str">
        <f>IFERROR(__xludf.DUMMYFUNCTION("""COMPUTED_VALUE"""),"CancelAllSelectedSubs")</f>
        <v>CancelAllSelectedSubs</v>
      </c>
      <c r="C147" s="0" t="str">
        <f>IFERROR(__xludf.DUMMYFUNCTION("""COMPUTED_VALUE"""),"17hK-yfN8xD8Jmg_FY__Qc7iyqgJ_SEvFr4VPoKbeMwA")</f>
        <v>17hK-yfN8xD8Jmg_FY__Qc7iyqgJ_SEvFr4VPoKbeMwA</v>
      </c>
    </row>
    <row r="148" ht="15.75" customHeight="1">
      <c r="A148" s="0" t="str">
        <f>IFERROR(__xludf.DUMMYFUNCTION("""COMPUTED_VALUE"""),"Blotter")</f>
        <v>Blotter</v>
      </c>
      <c r="B148" s="0" t="str">
        <f>IFERROR(__xludf.DUMMYFUNCTION("""COMPUTED_VALUE"""),"MultiTradingTicket")</f>
        <v>MultiTradingTicket</v>
      </c>
      <c r="C148" s="0" t="str">
        <f>IFERROR(__xludf.DUMMYFUNCTION("""COMPUTED_VALUE"""),"1PVfLR7ICBE01CuxIYtMmaiNL2Kh672bUXBCbt4UzQ6o")</f>
        <v>1PVfLR7ICBE01CuxIYtMmaiNL2Kh672bUXBCbt4UzQ6o</v>
      </c>
    </row>
    <row r="149" ht="15.75" customHeight="1">
      <c r="A149" s="0" t="str">
        <f>IFERROR(__xludf.DUMMYFUNCTION("""COMPUTED_VALUE"""),"Blotter")</f>
        <v>Blotter</v>
      </c>
      <c r="B149" s="0" t="str">
        <f>IFERROR(__xludf.DUMMYFUNCTION("""COMPUTED_VALUE"""),"AuditTrailOrderBlotter")</f>
        <v>AuditTrailOrderBlotter</v>
      </c>
      <c r="C149" s="0" t="str">
        <f>IFERROR(__xludf.DUMMYFUNCTION("""COMPUTED_VALUE"""),"160g9HJhQPDPrb5GQ9yBr07xujKJVYwd9MqM5deuYRdg")</f>
        <v>160g9HJhQPDPrb5GQ9yBr07xujKJVYwd9MqM5deuYRdg</v>
      </c>
    </row>
    <row r="150" ht="15.75" customHeight="1">
      <c r="A150" s="0" t="str">
        <f>IFERROR(__xludf.DUMMYFUNCTION("""COMPUTED_VALUE"""),"Blotter")</f>
        <v>Blotter</v>
      </c>
      <c r="B150" s="0" t="str">
        <f>IFERROR(__xludf.DUMMYFUNCTION("""COMPUTED_VALUE"""),"TradeNewSubOrder")</f>
        <v>TradeNewSubOrder</v>
      </c>
      <c r="C150" s="0" t="str">
        <f>IFERROR(__xludf.DUMMYFUNCTION("""COMPUTED_VALUE"""),"1Y0fnfatmthYmvzL4CE2DD2fnb5XpxasaQ-eFA8AHZZQ")</f>
        <v>1Y0fnfatmthYmvzL4CE2DD2fnb5XpxasaQ-eFA8AHZZQ</v>
      </c>
    </row>
    <row r="151" ht="15.75" customHeight="1">
      <c r="A151" s="0" t="str">
        <f>IFERROR(__xludf.DUMMYFUNCTION("""COMPUTED_VALUE"""),"Blotter")</f>
        <v>Blotter</v>
      </c>
      <c r="B151" s="0" t="str">
        <f>IFERROR(__xludf.DUMMYFUNCTION("""COMPUTED_VALUE"""),"RemoveStageOrder")</f>
        <v>RemoveStageOrder</v>
      </c>
      <c r="C151" s="0" t="str">
        <f>IFERROR(__xludf.DUMMYFUNCTION("""COMPUTED_VALUE"""),"1GpKhg0atHUhh5xpcVyJ6Pd3hJZQxWyd6a8oGGx9nPYg")</f>
        <v>1GpKhg0atHUhh5xpcVyJ6Pd3hJZQxWyd6a8oGGx9nPYg</v>
      </c>
    </row>
    <row r="152" ht="15.75" customHeight="1">
      <c r="A152" s="0" t="str">
        <f>IFERROR(__xludf.DUMMYFUNCTION("""COMPUTED_VALUE"""),"TradingTicket")</f>
        <v>TradingTicket</v>
      </c>
      <c r="B152" s="0" t="str">
        <f>IFERROR(__xludf.DUMMYFUNCTION("""COMPUTED_VALUE"""),"SetGeneralPreference")</f>
        <v>SetGeneralPreference</v>
      </c>
      <c r="C152" s="0" t="str">
        <f>IFERROR(__xludf.DUMMYFUNCTION("""COMPUTED_VALUE"""),"1phmh27oiwwsNI8gsVMqQfGGO_0r53sX6ECZYHWcovOo")</f>
        <v>1phmh27oiwwsNI8gsVMqQfGGO_0r53sX6ECZYHWcovOo</v>
      </c>
    </row>
    <row r="153" ht="15.75" customHeight="1">
      <c r="A153" s="0" t="str">
        <f>IFERROR(__xludf.DUMMYFUNCTION("""COMPUTED_VALUE"""),"Allocation")</f>
        <v>Allocation</v>
      </c>
      <c r="B153" s="0" t="str">
        <f>IFERROR(__xludf.DUMMYFUNCTION("""COMPUTED_VALUE"""),"ExportCalculatedPreference")</f>
        <v>ExportCalculatedPreference</v>
      </c>
      <c r="C153" s="0" t="str">
        <f>IFERROR(__xludf.DUMMYFUNCTION("""COMPUTED_VALUE"""),"14Z9mQRGA079RUxIVwyD7PLJFHYiOWiv2B-Al2lvfB3o")</f>
        <v>14Z9mQRGA079RUxIVwyD7PLJFHYiOWiv2B-Al2lvfB3o</v>
      </c>
    </row>
    <row r="154" ht="15.75" customHeight="1">
      <c r="A154" s="0" t="str">
        <f>IFERROR(__xludf.DUMMYFUNCTION("""COMPUTED_VALUE"""),"GeneralLedger")</f>
        <v>GeneralLedger</v>
      </c>
      <c r="B154" s="0" t="str">
        <f>IFERROR(__xludf.DUMMYFUNCTION("""COMPUTED_VALUE"""),"SelectOpeningBalanceTranItem")</f>
        <v>SelectOpeningBalanceTranItem</v>
      </c>
      <c r="C154" s="0" t="str">
        <f>IFERROR(__xludf.DUMMYFUNCTION("""COMPUTED_VALUE"""),"1hBeOAPWx6TCdJJCI4w8uFuWHTAtyZoYxMjU6EsfNFEk")</f>
        <v>1hBeOAPWx6TCdJJCI4w8uFuWHTAtyZoYxMjU6EsfNFEk</v>
      </c>
    </row>
    <row r="155" ht="15.75" customHeight="1">
      <c r="A155" s="0" t="str">
        <f>IFERROR(__xludf.DUMMYFUNCTION("""COMPUTED_VALUE"""),"PricingInput")</f>
        <v>PricingInput</v>
      </c>
      <c r="B155" s="0" t="str">
        <f>IFERROR(__xludf.DUMMYFUNCTION("""COMPUTED_VALUE"""),"EODTPreferences")</f>
        <v>EODTPreferences</v>
      </c>
      <c r="C155" s="0" t="str">
        <f>IFERROR(__xludf.DUMMYFUNCTION("""COMPUTED_VALUE"""),"1fFcmVLJC1pdRtoDEYUpc-7PqDqHrSB9eszanKXDSJj4")</f>
        <v>1fFcmVLJC1pdRtoDEYUpc-7PqDqHrSB9eszanKXDSJj4</v>
      </c>
    </row>
    <row r="156" ht="15.75" customHeight="1">
      <c r="A156" s="0" t="str">
        <f>IFERROR(__xludf.DUMMYFUNCTION("""COMPUTED_VALUE"""),"PricingInput")</f>
        <v>PricingInput</v>
      </c>
      <c r="B156" s="0" t="str">
        <f>IFERROR(__xludf.DUMMYFUNCTION("""COMPUTED_VALUE"""),"LiveData")</f>
        <v>LiveData</v>
      </c>
      <c r="C156" s="0" t="str">
        <f>IFERROR(__xludf.DUMMYFUNCTION("""COMPUTED_VALUE"""),"1YOGzCbzwMOUWi6IInIaMz0zG1USfIA94aG1uJB_CI08")</f>
        <v>1YOGzCbzwMOUWi6IInIaMz0zG1USfIA94aG1uJB_CI08</v>
      </c>
    </row>
    <row r="157" ht="15.75" customHeight="1">
      <c r="A157" s="0" t="str">
        <f>IFERROR(__xludf.DUMMYFUNCTION("""COMPUTED_VALUE"""),"GeneralLedger")</f>
        <v>GeneralLedger</v>
      </c>
      <c r="B157" s="0" t="str">
        <f>IFERROR(__xludf.DUMMYFUNCTION("""COMPUTED_VALUE"""),"EditNonTradingTransaction")</f>
        <v>EditNonTradingTransaction</v>
      </c>
      <c r="C157" s="0" t="str">
        <f>IFERROR(__xludf.DUMMYFUNCTION("""COMPUTED_VALUE"""),"1QNAooZZRVTav0dvHEE8XpPUSKYVTrEIX2ZnajpipHy4")</f>
        <v>1QNAooZZRVTav0dvHEE8XpPUSKYVTrEIX2ZnajpipHy4</v>
      </c>
    </row>
    <row r="158" ht="15.75" customHeight="1">
      <c r="A158" s="0" t="str">
        <f>IFERROR(__xludf.DUMMYFUNCTION("""COMPUTED_VALUE"""),"GeneralLedger")</f>
        <v>GeneralLedger</v>
      </c>
      <c r="B158" s="0" t="str">
        <f>IFERROR(__xludf.DUMMYFUNCTION("""COMPUTED_VALUE"""),"EditNonTradingTranItem")</f>
        <v>EditNonTradingTranItem</v>
      </c>
      <c r="C158" s="0" t="str">
        <f>IFERROR(__xludf.DUMMYFUNCTION("""COMPUTED_VALUE"""),"1QcdF9vMihakzH2FxKv9Cpbj_RQbRL9ekc6YNTmX1z84")</f>
        <v>1QcdF9vMihakzH2FxKv9Cpbj_RQbRL9ekc6YNTmX1z84</v>
      </c>
    </row>
    <row r="159" ht="15.75" customHeight="1">
      <c r="A159" s="0" t="str">
        <f>IFERROR(__xludf.DUMMYFUNCTION("""COMPUTED_VALUE"""),"GeneralLedger")</f>
        <v>GeneralLedger</v>
      </c>
      <c r="B159" s="0" t="str">
        <f>IFERROR(__xludf.DUMMYFUNCTION("""COMPUTED_VALUE"""),"DeleteOpeningBalanceTransaction")</f>
        <v>DeleteOpeningBalanceTransaction</v>
      </c>
      <c r="C159" s="0" t="str">
        <f>IFERROR(__xludf.DUMMYFUNCTION("""COMPUTED_VALUE"""),"1rgAbCdFrwIQMzfUdq_wtSIftaHjcPOpcYLMOv57yFm8")</f>
        <v>1rgAbCdFrwIQMzfUdq_wtSIftaHjcPOpcYLMOv57yFm8</v>
      </c>
    </row>
    <row r="160" ht="15.75" customHeight="1">
      <c r="A160" s="0" t="str">
        <f>IFERROR(__xludf.DUMMYFUNCTION("""COMPUTED_VALUE"""),"GeneralLedger")</f>
        <v>GeneralLedger</v>
      </c>
      <c r="B160" s="0" t="str">
        <f>IFERROR(__xludf.DUMMYFUNCTION("""COMPUTED_VALUE"""),"DeleteOpeningBalanceTranItem")</f>
        <v>DeleteOpeningBalanceTranItem</v>
      </c>
      <c r="C160" s="0" t="str">
        <f>IFERROR(__xludf.DUMMYFUNCTION("""COMPUTED_VALUE"""),"1c_LKV6zddYnZbIaXjB1YR41mZ4nlWwdD8Utip2o4gCE")</f>
        <v>1c_LKV6zddYnZbIaXjB1YR41mZ4nlWwdD8Utip2o4gCE</v>
      </c>
    </row>
    <row r="161" ht="15.75" customHeight="1">
      <c r="A161" s="0" t="str">
        <f>IFERROR(__xludf.DUMMYFUNCTION("""COMPUTED_VALUE"""),"Allocation")</f>
        <v>Allocation</v>
      </c>
      <c r="B161" s="0" t="str">
        <f>IFERROR(__xludf.DUMMYFUNCTION("""COMPUTED_VALUE"""),"ImportCalculatedPreferences")</f>
        <v>ImportCalculatedPreferences</v>
      </c>
      <c r="C161" s="0" t="str">
        <f>IFERROR(__xludf.DUMMYFUNCTION("""COMPUTED_VALUE"""),"1UBqDSoxtrz7S7kPHKAv-U3PIbDLOoqvMVk2ePCXS3JI")</f>
        <v>1UBqDSoxtrz7S7kPHKAv-U3PIbDLOoqvMVk2ePCXS3JI</v>
      </c>
    </row>
    <row r="162" ht="15.75" customHeight="1">
      <c r="A162" s="0" t="str">
        <f>IFERROR(__xludf.DUMMYFUNCTION("""COMPUTED_VALUE"""),"GeneralLedger")</f>
        <v>GeneralLedger</v>
      </c>
      <c r="B162" s="0" t="str">
        <f>IFERROR(__xludf.DUMMYFUNCTION("""COMPUTED_VALUE"""),"GetDayEndCash")</f>
        <v>GetDayEndCash</v>
      </c>
      <c r="C162" s="0" t="str">
        <f>IFERROR(__xludf.DUMMYFUNCTION("""COMPUTED_VALUE"""),"1ezlJO3ad1pj8tG7Y13sk4HHPJQqXBEeDnF4yFfqk2vE")</f>
        <v>1ezlJO3ad1pj8tG7Y13sk4HHPJQqXBEeDnF4yFfqk2vE</v>
      </c>
    </row>
    <row r="163" ht="15.75" customHeight="1">
      <c r="A163" s="0" t="str">
        <f>IFERROR(__xludf.DUMMYFUNCTION("""COMPUTED_VALUE"""),"GeneralLedger")</f>
        <v>GeneralLedger</v>
      </c>
      <c r="B163" s="0" t="str">
        <f>IFERROR(__xludf.DUMMYFUNCTION("""COMPUTED_VALUE"""),"VerifyDayEndCash")</f>
        <v>VerifyDayEndCash</v>
      </c>
      <c r="C163" s="0" t="str">
        <f>IFERROR(__xludf.DUMMYFUNCTION("""COMPUTED_VALUE"""),"12Egp-BXTkbQ_7GUw6K5R9vN0h1cCWX33r9TLwUnfo74")</f>
        <v>12Egp-BXTkbQ_7GUw6K5R9vN0h1cCWX33r9TLwUnfo74</v>
      </c>
    </row>
    <row r="164" ht="15.75" customHeight="1">
      <c r="A164" s="0" t="str">
        <f>IFERROR(__xludf.DUMMYFUNCTION("""COMPUTED_VALUE"""),"Allocation")</f>
        <v>Allocation</v>
      </c>
      <c r="B164" s="0" t="str">
        <f>IFERROR(__xludf.DUMMYFUNCTION("""COMPUTED_VALUE"""),"OpenAuditTrailUnallocatedGroup")</f>
        <v>OpenAuditTrailUnallocatedGroup</v>
      </c>
      <c r="C164" s="0" t="str">
        <f>IFERROR(__xludf.DUMMYFUNCTION("""COMPUTED_VALUE"""),"1-L0ACZJpBrZm_Mt6lp10r-l8qiO2nDijPY7e0lp1axM")</f>
        <v>1-L0ACZJpBrZm_Mt6lp10r-l8qiO2nDijPY7e0lp1axM</v>
      </c>
    </row>
    <row r="165" ht="15.75" customHeight="1">
      <c r="A165" s="0" t="str">
        <f>IFERROR(__xludf.DUMMYFUNCTION("""COMPUTED_VALUE"""),"Allocation")</f>
        <v>Allocation</v>
      </c>
      <c r="B165" s="0" t="str">
        <f>IFERROR(__xludf.DUMMYFUNCTION("""COMPUTED_VALUE"""),"DeleteCalculatedPreferencesTool")</f>
        <v>DeleteCalculatedPreferencesTool</v>
      </c>
      <c r="C165" s="0" t="str">
        <f>IFERROR(__xludf.DUMMYFUNCTION("""COMPUTED_VALUE"""),"1_jVpPpMklRkZw3q0WK9yD6CZ9UKHrIwt5zxC5U9dRcg")</f>
        <v>1_jVpPpMklRkZw3q0WK9yD6CZ9UKHrIwt5zxC5U9dRcg</v>
      </c>
    </row>
    <row r="166" ht="15.75" customHeight="1">
      <c r="A166" s="0" t="str">
        <f>IFERROR(__xludf.DUMMYFUNCTION("""COMPUTED_VALUE"""),"Allocation")</f>
        <v>Allocation</v>
      </c>
      <c r="B166" s="0" t="str">
        <f>IFERROR(__xludf.DUMMYFUNCTION("""COMPUTED_VALUE"""),"ImportCalculatedPreferencesTool")</f>
        <v>ImportCalculatedPreferencesTool</v>
      </c>
      <c r="C166" s="0" t="str">
        <f>IFERROR(__xludf.DUMMYFUNCTION("""COMPUTED_VALUE"""),"15cvdIe75lDUXBGGMjjwC10U3pS8MfyoIe2lkeVTiz4Q")</f>
        <v>15cvdIe75lDUXBGGMjjwC10U3pS8MfyoIe2lkeVTiz4Q</v>
      </c>
    </row>
    <row r="167" ht="15.75" customHeight="1">
      <c r="A167" s="0" t="str">
        <f>IFERROR(__xludf.DUMMYFUNCTION("""COMPUTED_VALUE"""),"GeneralLedger")</f>
        <v>GeneralLedger</v>
      </c>
      <c r="B167" s="0" t="str">
        <f>IFERROR(__xludf.DUMMYFUNCTION("""COMPUTED_VALUE"""),"RunRevaluation")</f>
        <v>RunRevaluation</v>
      </c>
      <c r="C167" s="0" t="str">
        <f>IFERROR(__xludf.DUMMYFUNCTION("""COMPUTED_VALUE"""),"1CTkEDNwBtXXECS37_3g9vrTE1pbqsU-d8nKU-xj6BH8")</f>
        <v>1CTkEDNwBtXXECS37_3g9vrTE1pbqsU-d8nKU-xj6BH8</v>
      </c>
    </row>
    <row r="168" ht="15.75" customHeight="1">
      <c r="A168" s="0" t="str">
        <f>IFERROR(__xludf.DUMMYFUNCTION("""COMPUTED_VALUE"""),"GeneralLedger")</f>
        <v>GeneralLedger</v>
      </c>
      <c r="B168" s="0" t="str">
        <f>IFERROR(__xludf.DUMMYFUNCTION("""COMPUTED_VALUE"""),"CalculateDayEndCash")</f>
        <v>CalculateDayEndCash</v>
      </c>
      <c r="C168" s="0" t="str">
        <f>IFERROR(__xludf.DUMMYFUNCTION("""COMPUTED_VALUE"""),"Undefined")</f>
        <v>Undefined</v>
      </c>
    </row>
    <row r="169" ht="15.75" customHeight="1">
      <c r="A169" s="0" t="str">
        <f>IFERROR(__xludf.DUMMYFUNCTION("""COMPUTED_VALUE"""),"Allocation")</f>
        <v>Allocation</v>
      </c>
      <c r="B169" s="0" t="str">
        <f>IFERROR(__xludf.DUMMYFUNCTION("""COMPUTED_VALUE"""),"ExportAllCalculatedPreferTool")</f>
        <v>ExportAllCalculatedPreferTool</v>
      </c>
      <c r="C169" s="0" t="str">
        <f>IFERROR(__xludf.DUMMYFUNCTION("""COMPUTED_VALUE"""),"19sktX0w4yHgQ6O1tvExgZzeUqcWIZA12C1zB18Be3Eg")</f>
        <v>19sktX0w4yHgQ6O1tvExgZzeUqcWIZA12C1zB18Be3Eg</v>
      </c>
    </row>
    <row r="170" ht="15.75" customHeight="1">
      <c r="A170" s="0" t="str">
        <f>IFERROR(__xludf.DUMMYFUNCTION("""COMPUTED_VALUE"""),"Allocation")</f>
        <v>Allocation</v>
      </c>
      <c r="B170" s="0" t="str">
        <f>IFERROR(__xludf.DUMMYFUNCTION("""COMPUTED_VALUE"""),"OpenAuditTrailAllocatedGroup")</f>
        <v>OpenAuditTrailAllocatedGroup</v>
      </c>
      <c r="C170" s="0" t="str">
        <f>IFERROR(__xludf.DUMMYFUNCTION("""COMPUTED_VALUE"""),"1tY0ONne4e_DLk01CP3Yr8PFqkHW7CN5Tcrdg_aTfyIc")</f>
        <v>1tY0ONne4e_DLk01CP3Yr8PFqkHW7CN5Tcrdg_aTfyIc</v>
      </c>
    </row>
    <row r="171" ht="15.75" customHeight="1">
      <c r="A171" s="0" t="str">
        <f>IFERROR(__xludf.DUMMYFUNCTION("""COMPUTED_VALUE"""),"Allocation")</f>
        <v>Allocation</v>
      </c>
      <c r="B171" s="0" t="str">
        <f>IFERROR(__xludf.DUMMYFUNCTION("""COMPUTED_VALUE"""),"OpenSymbolLookupUnallocateGroup")</f>
        <v>OpenSymbolLookupUnallocateGroup</v>
      </c>
      <c r="C171" s="0" t="str">
        <f>IFERROR(__xludf.DUMMYFUNCTION("""COMPUTED_VALUE"""),"1VgMLGfez9GRGMaP1WjU16fe-0tqNQm6Q4avE33EcOYY")</f>
        <v>1VgMLGfez9GRGMaP1WjU16fe-0tqNQm6Q4avE33EcOYY</v>
      </c>
    </row>
    <row r="172" ht="15.75" customHeight="1">
      <c r="A172" s="0" t="str">
        <f>IFERROR(__xludf.DUMMYFUNCTION("""COMPUTED_VALUE"""),"Allocation")</f>
        <v>Allocation</v>
      </c>
      <c r="B172" s="0" t="str">
        <f>IFERROR(__xludf.DUMMYFUNCTION("""COMPUTED_VALUE"""),"OpenSymbolLookupAllocatedGroup")</f>
        <v>OpenSymbolLookupAllocatedGroup</v>
      </c>
      <c r="C172" s="0" t="str">
        <f>IFERROR(__xludf.DUMMYFUNCTION("""COMPUTED_VALUE"""),"1UlD88MnL7cRrdpAs0oIY4CgiqqPAt6rG1QINQRoIUk0")</f>
        <v>1UlD88MnL7cRrdpAs0oIY4CgiqqPAt6rG1QINQRoIUk0</v>
      </c>
    </row>
    <row r="173" ht="15.75" customHeight="1">
      <c r="A173" s="0" t="str">
        <f>IFERROR(__xludf.DUMMYFUNCTION("""COMPUTED_VALUE"""),"Allocation")</f>
        <v>Allocation</v>
      </c>
      <c r="B173" s="0" t="str">
        <f>IFERROR(__xludf.DUMMYFUNCTION("""COMPUTED_VALUE"""),"DeleteFixedPreference")</f>
        <v>DeleteFixedPreference</v>
      </c>
      <c r="C173" s="0" t="str">
        <f>IFERROR(__xludf.DUMMYFUNCTION("""COMPUTED_VALUE"""),"1QuxQdRwCQLhQmIE-7ojQHbkfi3GduKopw_zRf7x4Z8k")</f>
        <v>1QuxQdRwCQLhQmIE-7ojQHbkfi3GduKopw_zRf7x4Z8k</v>
      </c>
    </row>
    <row r="174" ht="15.75" customHeight="1">
      <c r="A174" s="0" t="str">
        <f>IFERROR(__xludf.DUMMYFUNCTION("""COMPUTED_VALUE"""),"Blotter")</f>
        <v>Blotter</v>
      </c>
      <c r="B174" s="0" t="str">
        <f>IFERROR(__xludf.DUMMYFUNCTION("""COMPUTED_VALUE"""),"TransferToUserSubOrder")</f>
        <v>TransferToUserSubOrder</v>
      </c>
      <c r="C174" s="0" t="str">
        <f>IFERROR(__xludf.DUMMYFUNCTION("""COMPUTED_VALUE"""),"1hwATfGdtmHElWfysPQ8SoqtQYGAONa4CD5KGPnZG3g0")</f>
        <v>1hwATfGdtmHElWfysPQ8SoqtQYGAONa4CD5KGPnZG3g0</v>
      </c>
    </row>
    <row r="175" ht="15.75" customHeight="1">
      <c r="A175" s="0" t="str">
        <f>IFERROR(__xludf.DUMMYFUNCTION("""COMPUTED_VALUE"""),"Blotter")</f>
        <v>Blotter</v>
      </c>
      <c r="B175" s="0" t="str">
        <f>IFERROR(__xludf.DUMMYFUNCTION("""COMPUTED_VALUE"""),"DetailsForAlgoTradeOrder")</f>
        <v>DetailsForAlgoTradeOrder</v>
      </c>
      <c r="C175" s="0" t="str">
        <f>IFERROR(__xludf.DUMMYFUNCTION("""COMPUTED_VALUE"""),"1hKsLv5DWOG0nEHHNeqf5DATqVyLmKGNoGDvVEIduyxo")</f>
        <v>1hKsLv5DWOG0nEHHNeqf5DATqVyLmKGNoGDvVEIduyxo</v>
      </c>
    </row>
    <row r="176" ht="15.75" customHeight="1">
      <c r="A176" s="0" t="str">
        <f>IFERROR(__xludf.DUMMYFUNCTION("""COMPUTED_VALUE"""),"Blotter")</f>
        <v>Blotter</v>
      </c>
      <c r="B176" s="0" t="str">
        <f>IFERROR(__xludf.DUMMYFUNCTION("""COMPUTED_VALUE"""),"AddFillsSubOrder")</f>
        <v>AddFillsSubOrder</v>
      </c>
      <c r="C176" s="0" t="str">
        <f>IFERROR(__xludf.DUMMYFUNCTION("""COMPUTED_VALUE"""),"1epH2quBNafssL7JOfzPXsTzTtJ8ZaAHSnA9uKb8qH1U")</f>
        <v>1epH2quBNafssL7JOfzPXsTzTtJ8ZaAHSnA9uKb8qH1U</v>
      </c>
    </row>
    <row r="177" ht="15.75" customHeight="1">
      <c r="A177" s="0" t="str">
        <f>IFERROR(__xludf.DUMMYFUNCTION("""COMPUTED_VALUE"""),"Blotter")</f>
        <v>Blotter</v>
      </c>
      <c r="B177" s="0" t="str">
        <f>IFERROR(__xludf.DUMMYFUNCTION("""COMPUTED_VALUE"""),"ViewAllocationDetailsSubOrder")</f>
        <v>ViewAllocationDetailsSubOrder</v>
      </c>
      <c r="C177" s="0" t="str">
        <f>IFERROR(__xludf.DUMMYFUNCTION("""COMPUTED_VALUE"""),"1WFYL2DkTFjySpR-YYRIeZl8PCVg5VN801r302PFIqUw")</f>
        <v>1WFYL2DkTFjySpR-YYRIeZl8PCVg5VN801r302PFIqUw</v>
      </c>
    </row>
    <row r="178" ht="15.75" customHeight="1">
      <c r="A178" s="0" t="str">
        <f>IFERROR(__xludf.DUMMYFUNCTION("""COMPUTED_VALUE"""),"GeneralLedger")</f>
        <v>GeneralLedger</v>
      </c>
      <c r="B178" s="0" t="str">
        <f>IFERROR(__xludf.DUMMYFUNCTION("""COMPUTED_VALUE"""),"GetCashTransaction")</f>
        <v>GetCashTransaction</v>
      </c>
      <c r="C178" s="0" t="str">
        <f>IFERROR(__xludf.DUMMYFUNCTION("""COMPUTED_VALUE"""),"1eAu5kF0FOdHgLRmmaT6htwYFnDGtrElLVJv94QOc9Jk")</f>
        <v>1eAu5kF0FOdHgLRmmaT6htwYFnDGtrElLVJv94QOc9Jk</v>
      </c>
    </row>
    <row r="179" ht="15.75" customHeight="1">
      <c r="A179" s="0" t="str">
        <f>IFERROR(__xludf.DUMMYFUNCTION("""COMPUTED_VALUE"""),"GeneralLedger")</f>
        <v>GeneralLedger</v>
      </c>
      <c r="B179" s="0" t="str">
        <f>IFERROR(__xludf.DUMMYFUNCTION("""COMPUTED_VALUE"""),"SelectCashTransaction")</f>
        <v>SelectCashTransaction</v>
      </c>
      <c r="C179" s="0" t="str">
        <f>IFERROR(__xludf.DUMMYFUNCTION("""COMPUTED_VALUE"""),"1-JkpHPUP1cA_3kQbZkuY7fNLf2ujwn0GGAXQYg9Q3cs")</f>
        <v>1-JkpHPUP1cA_3kQbZkuY7fNLf2ujwn0GGAXQYg9Q3cs</v>
      </c>
    </row>
    <row r="180" ht="15.75" customHeight="1">
      <c r="A180" s="0" t="str">
        <f>IFERROR(__xludf.DUMMYFUNCTION("""COMPUTED_VALUE"""),"GeneralLedger")</f>
        <v>GeneralLedger</v>
      </c>
      <c r="B180" s="0" t="str">
        <f>IFERROR(__xludf.DUMMYFUNCTION("""COMPUTED_VALUE"""),"DeleteCashTransaction")</f>
        <v>DeleteCashTransaction</v>
      </c>
      <c r="C180" s="0" t="str">
        <f>IFERROR(__xludf.DUMMYFUNCTION("""COMPUTED_VALUE"""),"1-FMKzKFLs35vDwOy-dMpEXAgpkacDP7IxwYnkwezVRA")</f>
        <v>1-FMKzKFLs35vDwOy-dMpEXAgpkacDP7IxwYnkwezVRA</v>
      </c>
    </row>
    <row r="181" ht="15.75" customHeight="1">
      <c r="A181" s="0" t="str">
        <f>IFERROR(__xludf.DUMMYFUNCTION("""COMPUTED_VALUE"""),"GeneralLedger")</f>
        <v>GeneralLedger</v>
      </c>
      <c r="B181" s="0" t="str">
        <f>IFERROR(__xludf.DUMMYFUNCTION("""COMPUTED_VALUE"""),"EditCashTransaction")</f>
        <v>EditCashTransaction</v>
      </c>
      <c r="C181" s="0" t="str">
        <f>IFERROR(__xludf.DUMMYFUNCTION("""COMPUTED_VALUE"""),"1G86u72qdKVcfi1M5XOrtfzhereVolhrkGxtzlcFj3FE")</f>
        <v>1G86u72qdKVcfi1M5XOrtfzhereVolhrkGxtzlcFj3FE</v>
      </c>
    </row>
    <row r="182" ht="15.75" customHeight="1">
      <c r="A182" s="0" t="str">
        <f>IFERROR(__xludf.DUMMYFUNCTION("""COMPUTED_VALUE"""),"GeneralLedger")</f>
        <v>GeneralLedger</v>
      </c>
      <c r="B182" s="0" t="str">
        <f>IFERROR(__xludf.DUMMYFUNCTION("""COMPUTED_VALUE"""),"AddCashTransaction")</f>
        <v>AddCashTransaction</v>
      </c>
      <c r="C182" s="0" t="str">
        <f>IFERROR(__xludf.DUMMYFUNCTION("""COMPUTED_VALUE"""),"1sevd52QJcsTK-3lUhpRdNjV9xdzrQQXZeLRutjI_uKk")</f>
        <v>1sevd52QJcsTK-3lUhpRdNjV9xdzrQQXZeLRutjI_uKk</v>
      </c>
    </row>
    <row r="183" ht="15.75" customHeight="1">
      <c r="A183" s="0" t="str">
        <f>IFERROR(__xludf.DUMMYFUNCTION("""COMPUTED_VALUE"""),"Allocation")</f>
        <v>Allocation</v>
      </c>
      <c r="B183" s="0" t="str">
        <f>IFERROR(__xludf.DUMMYFUNCTION("""COMPUTED_VALUE"""),"EditAllocatedGroupSidePanel")</f>
        <v>EditAllocatedGroupSidePanel</v>
      </c>
      <c r="C183" s="0" t="str">
        <f>IFERROR(__xludf.DUMMYFUNCTION("""COMPUTED_VALUE"""),"1to781E8gHDZpAklYKgq0gbqaOiSm4UKSyxrXQekG8-E")</f>
        <v>1to781E8gHDZpAklYKgq0gbqaOiSm4UKSyxrXQekG8-E</v>
      </c>
    </row>
    <row r="184" ht="15.75" customHeight="1">
      <c r="A184" s="0" t="str">
        <f>IFERROR(__xludf.DUMMYFUNCTION("""COMPUTED_VALUE"""),"DailyValuation")</f>
        <v>DailyValuation</v>
      </c>
      <c r="B184" s="0" t="str">
        <f>IFERROR(__xludf.DUMMYFUNCTION("""COMPUTED_VALUE"""),"GetMarkPriceData")</f>
        <v>GetMarkPriceData</v>
      </c>
      <c r="C184" s="0" t="str">
        <f>IFERROR(__xludf.DUMMYFUNCTION("""COMPUTED_VALUE"""),"1n8_HzZqruobAe_bzZUNDlFTjWWOXhYdC6XO8toLSA1U")</f>
        <v>1n8_HzZqruobAe_bzZUNDlFTjWWOXhYdC6XO8toLSA1U</v>
      </c>
    </row>
    <row r="185" ht="15.75" customHeight="1">
      <c r="A185" s="0" t="str">
        <f>IFERROR(__xludf.DUMMYFUNCTION("""COMPUTED_VALUE"""),"DailyValuation")</f>
        <v>DailyValuation</v>
      </c>
      <c r="B185" s="0" t="str">
        <f>IFERROR(__xludf.DUMMYFUNCTION("""COMPUTED_VALUE"""),"GetForwardPoints")</f>
        <v>GetForwardPoints</v>
      </c>
      <c r="C185" s="0" t="str">
        <f>IFERROR(__xludf.DUMMYFUNCTION("""COMPUTED_VALUE"""),"1QzfIvMI24u1alGmbfvHB8YsLQnTXbnEskdO5U_4c03M")</f>
        <v>1QzfIvMI24u1alGmbfvHB8YsLQnTXbnEskdO5U_4c03M</v>
      </c>
    </row>
    <row r="186" ht="15.75" customHeight="1">
      <c r="A186" s="0" t="str">
        <f>IFERROR(__xludf.DUMMYFUNCTION("""COMPUTED_VALUE"""),"DailyValuation")</f>
        <v>DailyValuation</v>
      </c>
      <c r="B186" s="0" t="str">
        <f>IFERROR(__xludf.DUMMYFUNCTION("""COMPUTED_VALUE"""),"UpdateForwardPoints")</f>
        <v>UpdateForwardPoints</v>
      </c>
      <c r="C186" s="0" t="str">
        <f>IFERROR(__xludf.DUMMYFUNCTION("""COMPUTED_VALUE"""),"13AkdqEmmE2bNXqK_D5_68u-ZCAC0NWVG5008Fv31TBY")</f>
        <v>13AkdqEmmE2bNXqK_D5_68u-ZCAC0NWVG5008Fv31TBY</v>
      </c>
    </row>
    <row r="187" ht="15.75" customHeight="1">
      <c r="A187" s="0" t="str">
        <f>IFERROR(__xludf.DUMMYFUNCTION("""COMPUTED_VALUE"""),"DailyValuation")</f>
        <v>DailyValuation</v>
      </c>
      <c r="B187" s="0" t="str">
        <f>IFERROR(__xludf.DUMMYFUNCTION("""COMPUTED_VALUE"""),"GetForexConversion")</f>
        <v>GetForexConversion</v>
      </c>
      <c r="C187" s="0" t="str">
        <f>IFERROR(__xludf.DUMMYFUNCTION("""COMPUTED_VALUE"""),"1-EtK3j_FyjgJHsYvldAuV4YFHX-qm1CzWPL4SKUKm_I")</f>
        <v>1-EtK3j_FyjgJHsYvldAuV4YFHX-qm1CzWPL4SKUKm_I</v>
      </c>
    </row>
    <row r="188" ht="15.75" customHeight="1">
      <c r="A188" s="0" t="str">
        <f>IFERROR(__xludf.DUMMYFUNCTION("""COMPUTED_VALUE"""),"DailyValuation")</f>
        <v>DailyValuation</v>
      </c>
      <c r="B188" s="0" t="str">
        <f>IFERROR(__xludf.DUMMYFUNCTION("""COMPUTED_VALUE"""),"DeleteNAV")</f>
        <v>DeleteNAV</v>
      </c>
      <c r="C188" s="0" t="str">
        <f>IFERROR(__xludf.DUMMYFUNCTION("""COMPUTED_VALUE"""),"1eh6Leacf5FhDvEUrEksk9SLUjWAOnXtHRxNauMziD4o")</f>
        <v>1eh6Leacf5FhDvEUrEksk9SLUjWAOnXtHRxNauMziD4o</v>
      </c>
    </row>
    <row r="189" ht="15.75" customHeight="1">
      <c r="A189" s="0" t="str">
        <f>IFERROR(__xludf.DUMMYFUNCTION("""COMPUTED_VALUE"""),"Allocation")</f>
        <v>Allocation</v>
      </c>
      <c r="B189" s="0" t="str">
        <f>IFERROR(__xludf.DUMMYFUNCTION("""COMPUTED_VALUE"""),"CheckUnallocatedGroups")</f>
        <v>CheckUnallocatedGroups</v>
      </c>
      <c r="C189" s="0" t="str">
        <f>IFERROR(__xludf.DUMMYFUNCTION("""COMPUTED_VALUE"""),"1TAt_QqMW8h2ttxV57It9jVYC7njvL5tOt-r4EGRYGcE")</f>
        <v>1TAt_QqMW8h2ttxV57It9jVYC7njvL5tOt-r4EGRYGcE</v>
      </c>
    </row>
    <row r="190" ht="15.75" customHeight="1">
      <c r="A190" s="0" t="str">
        <f>IFERROR(__xludf.DUMMYFUNCTION("""COMPUTED_VALUE"""),"DailyValuation")</f>
        <v>DailyValuation</v>
      </c>
      <c r="B190" s="0" t="str">
        <f>IFERROR(__xludf.DUMMYFUNCTION("""COMPUTED_VALUE"""),"GetDailyCash")</f>
        <v>GetDailyCash</v>
      </c>
      <c r="C190" s="0" t="str">
        <f>IFERROR(__xludf.DUMMYFUNCTION("""COMPUTED_VALUE"""),"14gid3u0_rNvP0XS5C1YIlhQOluw_ZaKzbQj6rh_Y-CY")</f>
        <v>14gid3u0_rNvP0XS5C1YIlhQOluw_ZaKzbQj6rh_Y-CY</v>
      </c>
    </row>
    <row r="191" ht="15.75" customHeight="1">
      <c r="A191" s="0" t="str">
        <f>IFERROR(__xludf.DUMMYFUNCTION("""COMPUTED_VALUE"""),"Allocation")</f>
        <v>Allocation</v>
      </c>
      <c r="B191" s="0" t="str">
        <f>IFERROR(__xludf.DUMMYFUNCTION("""COMPUTED_VALUE"""),"SetGeneralPreferences")</f>
        <v>SetGeneralPreferences</v>
      </c>
      <c r="C191" s="0" t="str">
        <f>IFERROR(__xludf.DUMMYFUNCTION("""COMPUTED_VALUE"""),"13lsUBmvcs1NBlGITGBbugtTWepJLuzLGMOMde0zoOFI")</f>
        <v>13lsUBmvcs1NBlGITGBbugtTWepJLuzLGMOMde0zoOFI</v>
      </c>
    </row>
    <row r="192" ht="15.75" customHeight="1">
      <c r="A192" s="0" t="str">
        <f>IFERROR(__xludf.DUMMYFUNCTION("""COMPUTED_VALUE"""),"DailyValuation")</f>
        <v>DailyValuation</v>
      </c>
      <c r="B192" s="0" t="str">
        <f>IFERROR(__xludf.DUMMYFUNCTION("""COMPUTED_VALUE"""),"GetDailyBeta")</f>
        <v>GetDailyBeta</v>
      </c>
      <c r="C192" s="0" t="str">
        <f>IFERROR(__xludf.DUMMYFUNCTION("""COMPUTED_VALUE"""),"1pQIetLHHfnLHOHDOH81rC03QLUOIpHsKO6dDH-9qgiA")</f>
        <v>1pQIetLHHfnLHOHDOH81rC03QLUOIpHsKO6dDH-9qgiA</v>
      </c>
    </row>
    <row r="193" ht="15.75" customHeight="1">
      <c r="A193" s="0" t="str">
        <f>IFERROR(__xludf.DUMMYFUNCTION("""COMPUTED_VALUE"""),"DailyValuation")</f>
        <v>DailyValuation</v>
      </c>
      <c r="B193" s="0" t="str">
        <f>IFERROR(__xludf.DUMMYFUNCTION("""COMPUTED_VALUE"""),"GetDailyVolatility")</f>
        <v>GetDailyVolatility</v>
      </c>
      <c r="C193" s="0" t="str">
        <f>IFERROR(__xludf.DUMMYFUNCTION("""COMPUTED_VALUE"""),"1YzjFof__EtWy8oxu5pQ4N6G7Nktkl0nyAu81BckiIHo")</f>
        <v>1YzjFof__EtWy8oxu5pQ4N6G7Nktkl0nyAu81BckiIHo</v>
      </c>
    </row>
    <row r="194" ht="15.75" customHeight="1">
      <c r="A194" s="0" t="str">
        <f>IFERROR(__xludf.DUMMYFUNCTION("""COMPUTED_VALUE"""),"DailyValuation")</f>
        <v>DailyValuation</v>
      </c>
      <c r="B194" s="0" t="str">
        <f>IFERROR(__xludf.DUMMYFUNCTION("""COMPUTED_VALUE"""),"GetDailyDividendYield")</f>
        <v>GetDailyDividendYield</v>
      </c>
      <c r="C194" s="0" t="str">
        <f>IFERROR(__xludf.DUMMYFUNCTION("""COMPUTED_VALUE"""),"1IT8x5br3VynepPgq_xCGQsJR0piFM3lhqTr5GTh0kyM")</f>
        <v>1IT8x5br3VynepPgq_xCGQsJR0piFM3lhqTr5GTh0kyM</v>
      </c>
    </row>
    <row r="195" ht="15.75" customHeight="1">
      <c r="A195" s="0" t="str">
        <f>IFERROR(__xludf.DUMMYFUNCTION("""COMPUTED_VALUE"""),"DailyValuation")</f>
        <v>DailyValuation</v>
      </c>
      <c r="B195" s="0" t="str">
        <f>IFERROR(__xludf.DUMMYFUNCTION("""COMPUTED_VALUE"""),"GetDailyTradingVolume")</f>
        <v>GetDailyTradingVolume</v>
      </c>
      <c r="C195" s="0" t="str">
        <f>IFERROR(__xludf.DUMMYFUNCTION("""COMPUTED_VALUE"""),"1b0nK_mdsKdKSE4C04O7I8ZpvPLGjbiy-MhX9TjlXJOc")</f>
        <v>1b0nK_mdsKdKSE4C04O7I8ZpvPLGjbiy-MhX9TjlXJOc</v>
      </c>
    </row>
    <row r="196" ht="15.75" customHeight="1">
      <c r="A196" s="0" t="str">
        <f>IFERROR(__xludf.DUMMYFUNCTION("""COMPUTED_VALUE"""),"DailyValuation")</f>
        <v>DailyValuation</v>
      </c>
      <c r="B196" s="0" t="str">
        <f>IFERROR(__xludf.DUMMYFUNCTION("""COMPUTED_VALUE"""),"GetDailyOutstandings")</f>
        <v>GetDailyOutstandings</v>
      </c>
      <c r="C196" s="0" t="str">
        <f>IFERROR(__xludf.DUMMYFUNCTION("""COMPUTED_VALUE"""),"1JWIRWOskU5-ZLGBe3TJje54Hlb55btHuU3SX7Yu7WME")</f>
        <v>1JWIRWOskU5-ZLGBe3TJje54Hlb55btHuU3SX7Yu7WME</v>
      </c>
    </row>
    <row r="197" ht="15.75" customHeight="1">
      <c r="A197" s="0" t="str">
        <f>IFERROR(__xludf.DUMMYFUNCTION("""COMPUTED_VALUE"""),"Allocation")</f>
        <v>Allocation</v>
      </c>
      <c r="B197" s="0" t="str">
        <f>IFERROR(__xludf.DUMMYFUNCTION("""COMPUTED_VALUE"""),"GroupTrades")</f>
        <v>GroupTrades</v>
      </c>
      <c r="C197" s="0" t="str">
        <f>IFERROR(__xludf.DUMMYFUNCTION("""COMPUTED_VALUE"""),"1So5L0BXlev1p0ans29tDBJeLp2hRQnaDt7l5ChXhfes")</f>
        <v>1So5L0BXlev1p0ans29tDBJeLp2hRQnaDt7l5ChXhfes</v>
      </c>
    </row>
    <row r="198" ht="15.75" customHeight="1">
      <c r="A198" s="0" t="str">
        <f>IFERROR(__xludf.DUMMYFUNCTION("""COMPUTED_VALUE"""),"Allocation")</f>
        <v>Allocation</v>
      </c>
      <c r="B198" s="0" t="str">
        <f>IFERROR(__xludf.DUMMYFUNCTION("""COMPUTED_VALUE"""),"UngroupTrades")</f>
        <v>UngroupTrades</v>
      </c>
      <c r="C198" s="0" t="str">
        <f>IFERROR(__xludf.DUMMYFUNCTION("""COMPUTED_VALUE"""),"1pYOsK-haxePz_Yimf8WRvV4AA03Okf2Hys87-MH9gY8")</f>
        <v>1pYOsK-haxePz_Yimf8WRvV4AA03Okf2Hys87-MH9gY8</v>
      </c>
    </row>
    <row r="199" ht="15.75" customHeight="1">
      <c r="A199" s="0" t="str">
        <f>IFERROR(__xludf.DUMMYFUNCTION("""COMPUTED_VALUE"""),"Allocation")</f>
        <v>Allocation</v>
      </c>
      <c r="B199" s="0" t="str">
        <f>IFERROR(__xludf.DUMMYFUNCTION("""COMPUTED_VALUE"""),"DeleteGroup")</f>
        <v>DeleteGroup</v>
      </c>
      <c r="C199" s="0" t="str">
        <f>IFERROR(__xludf.DUMMYFUNCTION("""COMPUTED_VALUE"""),"1GB2HOSoXy5_fXzB6PWrRFuaVq7s_N92V1nsnnHizRIc")</f>
        <v>1GB2HOSoXy5_fXzB6PWrRFuaVq7s_N92V1nsnnHizRIc</v>
      </c>
    </row>
    <row r="200" ht="15.75" customHeight="1">
      <c r="A200" s="0" t="str">
        <f>IFERROR(__xludf.DUMMYFUNCTION("""COMPUTED_VALUE"""),"Allocation")</f>
        <v>Allocation</v>
      </c>
      <c r="B200" s="0" t="str">
        <f>IFERROR(__xludf.DUMMYFUNCTION("""COMPUTED_VALUE"""),"CloseOrder")</f>
        <v>CloseOrder</v>
      </c>
      <c r="C200" s="0" t="str">
        <f>IFERROR(__xludf.DUMMYFUNCTION("""COMPUTED_VALUE"""),"1hQS_ZIe0f-YDXYnVZH0axct7qbeGC9dZ8jS8WCF4z7Q")</f>
        <v>1hQS_ZIe0f-YDXYnVZH0axct7qbeGC9dZ8jS8WCF4z7Q</v>
      </c>
    </row>
    <row r="201" ht="15.75" customHeight="1">
      <c r="A201" s="0" t="str">
        <f>IFERROR(__xludf.DUMMYFUNCTION("""COMPUTED_VALUE"""),"Allocation")</f>
        <v>Allocation</v>
      </c>
      <c r="B201" s="0" t="str">
        <f>IFERROR(__xludf.DUMMYFUNCTION("""COMPUTED_VALUE"""),"Unallocate")</f>
        <v>Unallocate</v>
      </c>
      <c r="C201" s="0" t="str">
        <f>IFERROR(__xludf.DUMMYFUNCTION("""COMPUTED_VALUE"""),"1t4kPkbjkNXIe4MARfTMRmNFGo_pNUbSH11y89_kdYv8")</f>
        <v>1t4kPkbjkNXIe4MARfTMRmNFGo_pNUbSH11y89_kdYv8</v>
      </c>
    </row>
    <row r="202" ht="15.75" customHeight="1">
      <c r="A202" s="0" t="str">
        <f>IFERROR(__xludf.DUMMYFUNCTION("""COMPUTED_VALUE"""),"DailyValuation")</f>
        <v>DailyValuation</v>
      </c>
      <c r="B202" s="0" t="str">
        <f>IFERROR(__xludf.DUMMYFUNCTION("""COMPUTED_VALUE"""),"GetDailyDelta")</f>
        <v>GetDailyDelta</v>
      </c>
      <c r="C202" s="0" t="str">
        <f>IFERROR(__xludf.DUMMYFUNCTION("""COMPUTED_VALUE"""),"1EWopTT0IuOzHKc-T4uQJSGDc_PdR7QnTb3XX-tcRY_w")</f>
        <v>1EWopTT0IuOzHKc-T4uQJSGDc_PdR7QnTb3XX-tcRY_w</v>
      </c>
    </row>
    <row r="203" ht="15.75" customHeight="1">
      <c r="A203" s="0" t="str">
        <f>IFERROR(__xludf.DUMMYFUNCTION("""COMPUTED_VALUE"""),"DailyValuation")</f>
        <v>DailyValuation</v>
      </c>
      <c r="B203" s="0" t="str">
        <f>IFERROR(__xludf.DUMMYFUNCTION("""COMPUTED_VALUE"""),"UpdateDailyVolatility")</f>
        <v>UpdateDailyVolatility</v>
      </c>
      <c r="C203" s="0" t="str">
        <f>IFERROR(__xludf.DUMMYFUNCTION("""COMPUTED_VALUE"""),"1iA4AMqVk2SrSflatQ2iNOBpgxijhht1Fnx5gjinTpNE")</f>
        <v>1iA4AMqVk2SrSflatQ2iNOBpgxijhht1Fnx5gjinTpNE</v>
      </c>
    </row>
    <row r="204" ht="15.75" customHeight="1">
      <c r="A204" s="0" t="str">
        <f>IFERROR(__xludf.DUMMYFUNCTION("""COMPUTED_VALUE"""),"GeneralLedger")</f>
        <v>GeneralLedger</v>
      </c>
      <c r="B204" s="0" t="str">
        <f>IFERROR(__xludf.DUMMYFUNCTION("""COMPUTED_VALUE"""),"AddOpeningBalanceTransaction")</f>
        <v>AddOpeningBalanceTransaction</v>
      </c>
      <c r="C204" s="0" t="str">
        <f>IFERROR(__xludf.DUMMYFUNCTION("""COMPUTED_VALUE"""),"1aYOUexiSRWPy8aTQV4LoLIAgO5vDCT827evf8qbriCw")</f>
        <v>1aYOUexiSRWPy8aTQV4LoLIAgO5vDCT827evf8qbriCw</v>
      </c>
    </row>
    <row r="205" ht="15.75" customHeight="1">
      <c r="A205" s="0" t="str">
        <f>IFERROR(__xludf.DUMMYFUNCTION("""COMPUTED_VALUE"""),"GeneralLedger")</f>
        <v>GeneralLedger</v>
      </c>
      <c r="B205" s="0" t="str">
        <f>IFERROR(__xludf.DUMMYFUNCTION("""COMPUTED_VALUE"""),"AddOpeningBalanceTranItem")</f>
        <v>AddOpeningBalanceTranItem</v>
      </c>
      <c r="C205" s="0" t="str">
        <f>IFERROR(__xludf.DUMMYFUNCTION("""COMPUTED_VALUE"""),"1Fwh_5fQ1FG6uekAkW9Onl3gExHJ4LFINEfUWhVU7RZE")</f>
        <v>1Fwh_5fQ1FG6uekAkW9Onl3gExHJ4LFINEfUWhVU7RZE</v>
      </c>
    </row>
    <row r="206" ht="15.75" customHeight="1">
      <c r="A206" s="0" t="str">
        <f>IFERROR(__xludf.DUMMYFUNCTION("""COMPUTED_VALUE"""),"Blotter")</f>
        <v>Blotter</v>
      </c>
      <c r="B206" s="0" t="str">
        <f>IFERROR(__xludf.DUMMYFUNCTION("""COMPUTED_VALUE"""),"CancelAllSubs")</f>
        <v>CancelAllSubs</v>
      </c>
      <c r="C206" s="0" t="str">
        <f>IFERROR(__xludf.DUMMYFUNCTION("""COMPUTED_VALUE"""),"1SFrgXfnkqGWJMgHFA_u_7p2RPeiz9bYEbsmAuNUkulo")</f>
        <v>1SFrgXfnkqGWJMgHFA_u_7p2RPeiz9bYEbsmAuNUkulo</v>
      </c>
    </row>
    <row r="207" ht="15.75" customHeight="1">
      <c r="A207" s="0" t="str">
        <f>IFERROR(__xludf.DUMMYFUNCTION("""COMPUTED_VALUE"""),"Blotter")</f>
        <v>Blotter</v>
      </c>
      <c r="B207" s="0" t="str">
        <f>IFERROR(__xludf.DUMMYFUNCTION("""COMPUTED_VALUE"""),"CancelSubOrder")</f>
        <v>CancelSubOrder</v>
      </c>
      <c r="C207" s="0" t="str">
        <f>IFERROR(__xludf.DUMMYFUNCTION("""COMPUTED_VALUE"""),"1HgRCOHOWDe0WdsCwOOCeifnh4CU_EMG0jYwvF1Kw5CU")</f>
        <v>1HgRCOHOWDe0WdsCwOOCeifnh4CU_EMG0jYwvF1Kw5CU</v>
      </c>
    </row>
    <row r="208" ht="15.75" customHeight="1">
      <c r="A208" s="0" t="str">
        <f>IFERROR(__xludf.DUMMYFUNCTION("""COMPUTED_VALUE"""),"Blotter")</f>
        <v>Blotter</v>
      </c>
      <c r="B208" s="0" t="str">
        <f>IFERROR(__xludf.DUMMYFUNCTION("""COMPUTED_VALUE"""),"EditStageOrder")</f>
        <v>EditStageOrder</v>
      </c>
      <c r="C208" s="0" t="str">
        <f>IFERROR(__xludf.DUMMYFUNCTION("""COMPUTED_VALUE"""),"1CSJwXvHLRSniyl60uT7TjQbnLpp-heMq72pgOJJ1F2c")</f>
        <v>1CSJwXvHLRSniyl60uT7TjQbnLpp-heMq72pgOJJ1F2c</v>
      </c>
    </row>
    <row r="209" ht="15.75" customHeight="1">
      <c r="A209" s="0" t="str">
        <f>IFERROR(__xludf.DUMMYFUNCTION("""COMPUTED_VALUE"""),"Blotter")</f>
        <v>Blotter</v>
      </c>
      <c r="B209" s="0" t="str">
        <f>IFERROR(__xludf.DUMMYFUNCTION("""COMPUTED_VALUE"""),"ReplaceSubOrder")</f>
        <v>ReplaceSubOrder</v>
      </c>
      <c r="C209" s="0" t="str">
        <f>IFERROR(__xludf.DUMMYFUNCTION("""COMPUTED_VALUE"""),"1DiMnJfL8ny_q4NkWjHDLna6eWN_b1wz9lFLXHDLAxvc")</f>
        <v>1DiMnJfL8ny_q4NkWjHDLna6eWN_b1wz9lFLXHDLAxvc</v>
      </c>
    </row>
    <row r="210" ht="15.75" customHeight="1">
      <c r="A210" s="0" t="str">
        <f>IFERROR(__xludf.DUMMYFUNCTION("""COMPUTED_VALUE"""),"Blotter")</f>
        <v>Blotter</v>
      </c>
      <c r="B210" s="0" t="str">
        <f>IFERROR(__xludf.DUMMYFUNCTION("""COMPUTED_VALUE"""),"SelectTradeWorkingSubsBlotter")</f>
        <v>SelectTradeWorkingSubsBlotter</v>
      </c>
      <c r="C210" s="0" t="str">
        <f>IFERROR(__xludf.DUMMYFUNCTION("""COMPUTED_VALUE"""),"1bMbn1pg_skkJ9tr1sYGLyll2RO_KUXGAY_4l0agiVqs")</f>
        <v>1bMbn1pg_skkJ9tr1sYGLyll2RO_KUXGAY_4l0agiVqs</v>
      </c>
    </row>
    <row r="211" ht="15.75" customHeight="1">
      <c r="A211" s="0" t="str">
        <f>IFERROR(__xludf.DUMMYFUNCTION("""COMPUTED_VALUE"""),"Blotter")</f>
        <v>Blotter</v>
      </c>
      <c r="B211" s="0" t="str">
        <f>IFERROR(__xludf.DUMMYFUNCTION("""COMPUTED_VALUE"""),"VerifyAlgoDetails")</f>
        <v>VerifyAlgoDetails</v>
      </c>
      <c r="C211" s="0" t="str">
        <f>IFERROR(__xludf.DUMMYFUNCTION("""COMPUTED_VALUE"""),"1keLoHSkjbycZTYgUKqJWjQgUdVfUhUyItu_TF_Nnepg")</f>
        <v>1keLoHSkjbycZTYgUKqJWjQgUdVfUhUyItu_TF_Nnepg</v>
      </c>
    </row>
    <row r="212" ht="15.75" customHeight="1">
      <c r="A212" s="0" t="str">
        <f>IFERROR(__xludf.DUMMYFUNCTION("""COMPUTED_VALUE"""),"Blotter")</f>
        <v>Blotter</v>
      </c>
      <c r="B212" s="0" t="str">
        <f>IFERROR(__xludf.DUMMYFUNCTION("""COMPUTED_VALUE"""),"VerifyTransferToUserOrder")</f>
        <v>VerifyTransferToUserOrder</v>
      </c>
      <c r="C212" s="0" t="str">
        <f>IFERROR(__xludf.DUMMYFUNCTION("""COMPUTED_VALUE"""),"1JB77pWGg3Yigh8nRXBE3j84K0MUfsHo66tZGfomxokI")</f>
        <v>1JB77pWGg3Yigh8nRXBE3j84K0MUfsHo66tZGfomxokI</v>
      </c>
    </row>
    <row r="213" ht="15.75" customHeight="1">
      <c r="A213" s="0" t="str">
        <f>IFERROR(__xludf.DUMMYFUNCTION("""COMPUTED_VALUE"""),"Blotter")</f>
        <v>Blotter</v>
      </c>
      <c r="B213" s="0" t="str">
        <f>IFERROR(__xludf.DUMMYFUNCTION("""COMPUTED_VALUE"""),"VerifyTransferToUserSubOdr")</f>
        <v>VerifyTransferToUserSubOdr</v>
      </c>
      <c r="C213" s="0" t="str">
        <f>IFERROR(__xludf.DUMMYFUNCTION("""COMPUTED_VALUE"""),"13i3cde69VhVWqwDeyZvG2UTR0kaaEh6xf5cAoobr5mA")</f>
        <v>13i3cde69VhVWqwDeyZvG2UTR0kaaEh6xf5cAoobr5mA</v>
      </c>
    </row>
    <row r="214" ht="15.75" customHeight="1">
      <c r="A214" s="0" t="str">
        <f>IFERROR(__xludf.DUMMYFUNCTION("""COMPUTED_VALUE"""),"Blotter")</f>
        <v>Blotter</v>
      </c>
      <c r="B214" s="0" t="str">
        <f>IFERROR(__xludf.DUMMYFUNCTION("""COMPUTED_VALUE"""),"VerifyTransferToUserWorkSub")</f>
        <v>VerifyTransferToUserWorkSub</v>
      </c>
      <c r="C214" s="0" t="str">
        <f>IFERROR(__xludf.DUMMYFUNCTION("""COMPUTED_VALUE"""),"1d_4UCN2TwKGLAIryatMhyDmfPFId5_idGnegTQS_lSc")</f>
        <v>1d_4UCN2TwKGLAIryatMhyDmfPFId5_idGnegTQS_lSc</v>
      </c>
    </row>
    <row r="215" ht="15.75" customHeight="1">
      <c r="A215" s="0" t="str">
        <f>IFERROR(__xludf.DUMMYFUNCTION("""COMPUTED_VALUE"""),"Blotter")</f>
        <v>Blotter</v>
      </c>
      <c r="B215" s="0" t="str">
        <f>IFERROR(__xludf.DUMMYFUNCTION("""COMPUTED_VALUE"""),"SaveLayoutOrderGrid")</f>
        <v>SaveLayoutOrderGrid</v>
      </c>
      <c r="C215" s="0" t="str">
        <f>IFERROR(__xludf.DUMMYFUNCTION("""COMPUTED_VALUE"""),"1X0u87WRgFV9nfzAoxarkRCoGrGk1JKkwWhu3-eW1lKE")</f>
        <v>1X0u87WRgFV9nfzAoxarkRCoGrGk1JKkwWhu3-eW1lKE</v>
      </c>
    </row>
    <row r="216" ht="15.75" customHeight="1">
      <c r="A216" s="0" t="str">
        <f>IFERROR(__xludf.DUMMYFUNCTION("""COMPUTED_VALUE"""),"DailyValuation")</f>
        <v>DailyValuation</v>
      </c>
      <c r="B216" s="0" t="str">
        <f>IFERROR(__xludf.DUMMYFUNCTION("""COMPUTED_VALUE"""),"UpdateDividendYield")</f>
        <v>UpdateDividendYield</v>
      </c>
      <c r="C216" s="0" t="str">
        <f>IFERROR(__xludf.DUMMYFUNCTION("""COMPUTED_VALUE"""),"1l5ay-Y1acsWSAUtq9YQrxfOojAfjLCblSDpkEf0NHGo")</f>
        <v>1l5ay-Y1acsWSAUtq9YQrxfOojAfjLCblSDpkEf0NHGo</v>
      </c>
    </row>
    <row r="217" ht="15.75" customHeight="1">
      <c r="A217" s="0" t="str">
        <f>IFERROR(__xludf.DUMMYFUNCTION("""COMPUTED_VALUE"""),"DailyValuation")</f>
        <v>DailyValuation</v>
      </c>
      <c r="B217" s="0" t="str">
        <f>IFERROR(__xludf.DUMMYFUNCTION("""COMPUTED_VALUE"""),"UpdateTradingVolume")</f>
        <v>UpdateTradingVolume</v>
      </c>
      <c r="C217" s="0" t="str">
        <f>IFERROR(__xludf.DUMMYFUNCTION("""COMPUTED_VALUE"""),"1A19wf6hpfMJmBm83N_GhvYK2Gp3K-e3JP9EJ-P576Cw")</f>
        <v>1A19wf6hpfMJmBm83N_GhvYK2Gp3K-e3JP9EJ-P576Cw</v>
      </c>
    </row>
    <row r="218" ht="15.75" customHeight="1">
      <c r="A218" s="0" t="str">
        <f>IFERROR(__xludf.DUMMYFUNCTION("""COMPUTED_VALUE"""),"DailyValuation")</f>
        <v>DailyValuation</v>
      </c>
      <c r="B218" s="0" t="str">
        <f>IFERROR(__xludf.DUMMYFUNCTION("""COMPUTED_VALUE"""),"UpdateDailyDelta")</f>
        <v>UpdateDailyDelta</v>
      </c>
      <c r="C218" s="0" t="str">
        <f>IFERROR(__xludf.DUMMYFUNCTION("""COMPUTED_VALUE"""),"171XsheaaYdF5gMm2y5rdioGxjl_k82Rso_opEanflJI")</f>
        <v>171XsheaaYdF5gMm2y5rdioGxjl_k82Rso_opEanflJI</v>
      </c>
    </row>
    <row r="219" ht="15.75" customHeight="1">
      <c r="A219" s="0" t="str">
        <f>IFERROR(__xludf.DUMMYFUNCTION("""COMPUTED_VALUE"""),"DailyValuation")</f>
        <v>DailyValuation</v>
      </c>
      <c r="B219" s="0" t="str">
        <f>IFERROR(__xludf.DUMMYFUNCTION("""COMPUTED_VALUE"""),"UpdateDailyOutstandings")</f>
        <v>UpdateDailyOutstandings</v>
      </c>
      <c r="C219" s="0" t="str">
        <f>IFERROR(__xludf.DUMMYFUNCTION("""COMPUTED_VALUE"""),"1RX-Gap2zvagmEtgtn-yaOAByX7d1Wf9B5UxxxwHnBG0")</f>
        <v>1RX-Gap2zvagmEtgtn-yaOAByX7d1Wf9B5UxxxwHnBG0</v>
      </c>
    </row>
    <row r="220" ht="15.75" customHeight="1">
      <c r="A220" s="0" t="str">
        <f>IFERROR(__xludf.DUMMYFUNCTION("""COMPUTED_VALUE"""),"Closing")</f>
        <v>Closing</v>
      </c>
      <c r="B220" s="0" t="str">
        <f>IFERROR(__xludf.DUMMYFUNCTION("""COMPUTED_VALUE"""),"GetDataClosing")</f>
        <v>GetDataClosing</v>
      </c>
      <c r="C220" s="0" t="str">
        <f>IFERROR(__xludf.DUMMYFUNCTION("""COMPUTED_VALUE"""),"1zpj_umDuj1-o0Qnjy4AhkiZErr6BrbbzovL3thm9fjU")</f>
        <v>1zpj_umDuj1-o0Qnjy4AhkiZErr6BrbbzovL3thm9fjU</v>
      </c>
    </row>
    <row r="221" ht="15.75" customHeight="1">
      <c r="A221" s="0" t="str">
        <f>IFERROR(__xludf.DUMMYFUNCTION("""COMPUTED_VALUE"""),"Closing")</f>
        <v>Closing</v>
      </c>
      <c r="B221" s="0" t="str">
        <f>IFERROR(__xludf.DUMMYFUNCTION("""COMPUTED_VALUE"""),"ManualClosing")</f>
        <v>ManualClosing</v>
      </c>
      <c r="C221" s="0" t="str">
        <f>IFERROR(__xludf.DUMMYFUNCTION("""COMPUTED_VALUE"""),"1leJHZuhOWWw5Ahg0-DWVH5mHJ2YJlmZqRGOyALE7i9o")</f>
        <v>1leJHZuhOWWw5Ahg0-DWVH5mHJ2YJlmZqRGOyALE7i9o</v>
      </c>
    </row>
    <row r="222" ht="15.75" customHeight="1">
      <c r="A222" s="0" t="str">
        <f>IFERROR(__xludf.DUMMYFUNCTION("""COMPUTED_VALUE"""),"Closing")</f>
        <v>Closing</v>
      </c>
      <c r="B222" s="0" t="str">
        <f>IFERROR(__xludf.DUMMYFUNCTION("""COMPUTED_VALUE"""),"AutomaticClosing")</f>
        <v>AutomaticClosing</v>
      </c>
      <c r="C222" s="0" t="str">
        <f>IFERROR(__xludf.DUMMYFUNCTION("""COMPUTED_VALUE"""),"1WIQF7IwpSf3Cn5ovCdMQfdfxSkfCZCzVTpL_YVpEAnE")</f>
        <v>1WIQF7IwpSf3Cn5ovCdMQfdfxSkfCZCzVTpL_YVpEAnE</v>
      </c>
    </row>
    <row r="223" ht="15.75" customHeight="1">
      <c r="A223" s="0" t="str">
        <f>IFERROR(__xludf.DUMMYFUNCTION("""COMPUTED_VALUE"""),"Closing")</f>
        <v>Closing</v>
      </c>
      <c r="B223" s="0" t="str">
        <f>IFERROR(__xludf.DUMMYFUNCTION("""COMPUTED_VALUE"""),"UnwindClosing")</f>
        <v>UnwindClosing</v>
      </c>
      <c r="C223" s="0" t="str">
        <f>IFERROR(__xludf.DUMMYFUNCTION("""COMPUTED_VALUE"""),"1TGfoXbvH7XnRrtTbygxQiP_CGCUiD-kpaKBT1GGlJ5k")</f>
        <v>1TGfoXbvH7XnRrtTbygxQiP_CGCUiD-kpaKBT1GGlJ5k</v>
      </c>
    </row>
    <row r="224" ht="15.75" customHeight="1">
      <c r="A224" s="0" t="str">
        <f>IFERROR(__xludf.DUMMYFUNCTION("""COMPUTED_VALUE"""),"Closing")</f>
        <v>Closing</v>
      </c>
      <c r="B224" s="0" t="str">
        <f>IFERROR(__xludf.DUMMYFUNCTION("""COMPUTED_VALUE"""),"VerifyClosedTrades")</f>
        <v>VerifyClosedTrades</v>
      </c>
      <c r="C224" s="0" t="str">
        <f>IFERROR(__xludf.DUMMYFUNCTION("""COMPUTED_VALUE"""),"1-5-WK8gbrZ5gYJUTrxBke3x1Jgr3YYQdxyXVQBo6G84")</f>
        <v>1-5-WK8gbrZ5gYJUTrxBke3x1Jgr3YYQdxyXVQBo6G84</v>
      </c>
    </row>
    <row r="225" ht="15.75" customHeight="1">
      <c r="A225" s="0" t="str">
        <f>IFERROR(__xludf.DUMMYFUNCTION("""COMPUTED_VALUE"""),"Closing")</f>
        <v>Closing</v>
      </c>
      <c r="B225" s="0" t="str">
        <f>IFERROR(__xludf.DUMMYFUNCTION("""COMPUTED_VALUE"""),"VerifyLongPositionsGrid")</f>
        <v>VerifyLongPositionsGrid</v>
      </c>
      <c r="C225" s="0" t="str">
        <f>IFERROR(__xludf.DUMMYFUNCTION("""COMPUTED_VALUE"""),"1ttg9BWnk78DQDv-O4l-GQH4z2KLYqF-8x1YFxtmb2dM")</f>
        <v>1ttg9BWnk78DQDv-O4l-GQH4z2KLYqF-8x1YFxtmb2dM</v>
      </c>
    </row>
    <row r="226" ht="15.75" customHeight="1">
      <c r="A226" s="0" t="str">
        <f>IFERROR(__xludf.DUMMYFUNCTION("""COMPUTED_VALUE"""),"Closing")</f>
        <v>Closing</v>
      </c>
      <c r="B226" s="0" t="str">
        <f>IFERROR(__xludf.DUMMYFUNCTION("""COMPUTED_VALUE"""),"VerifyShortPositionsGrid")</f>
        <v>VerifyShortPositionsGrid</v>
      </c>
      <c r="C226" s="0" t="str">
        <f>IFERROR(__xludf.DUMMYFUNCTION("""COMPUTED_VALUE"""),"1iqnH235Ns1i-v1Te0t9y-s3gqhy30uGvGHdSxw9OuJc")</f>
        <v>1iqnH235Ns1i-v1Te0t9y-s3gqhy30uGvGHdSxw9OuJc</v>
      </c>
    </row>
    <row r="227" ht="15.75" customHeight="1">
      <c r="A227" s="0" t="str">
        <f>IFERROR(__xludf.DUMMYFUNCTION("""COMPUTED_VALUE"""),"Closing")</f>
        <v>Closing</v>
      </c>
      <c r="B227" s="0" t="str">
        <f>IFERROR(__xludf.DUMMYFUNCTION("""COMPUTED_VALUE"""),"SelectTradeUnexpiredUnsettled")</f>
        <v>SelectTradeUnexpiredUnsettled</v>
      </c>
      <c r="C227" s="0" t="str">
        <f>IFERROR(__xludf.DUMMYFUNCTION("""COMPUTED_VALUE"""),"1-lMv6JDKIjGiOD4yxxSfJBqD3PQjTk0_DqLFKliK-P4")</f>
        <v>1-lMv6JDKIjGiOD4yxxSfJBqD3PQjTk0_DqLFKliK-P4</v>
      </c>
    </row>
    <row r="228" ht="15.75" customHeight="1">
      <c r="A228" s="0" t="str">
        <f>IFERROR(__xludf.DUMMYFUNCTION("""COMPUTED_VALUE"""),"Closing")</f>
        <v>Closing</v>
      </c>
      <c r="B228" s="0" t="str">
        <f>IFERROR(__xludf.DUMMYFUNCTION("""COMPUTED_VALUE"""),"CashSettlementAtCost")</f>
        <v>CashSettlementAtCost</v>
      </c>
      <c r="C228" s="0" t="str">
        <f>IFERROR(__xludf.DUMMYFUNCTION("""COMPUTED_VALUE"""),"1WJrc9c47Pmk5qY7KMztGApsKlRbZNjVqNy90oWT9k5s")</f>
        <v>1WJrc9c47Pmk5qY7KMztGApsKlRbZNjVqNy90oWT9k5s</v>
      </c>
    </row>
    <row r="229" ht="15.75" customHeight="1">
      <c r="A229" s="0" t="str">
        <f>IFERROR(__xludf.DUMMYFUNCTION("""COMPUTED_VALUE"""),"Closing")</f>
        <v>Closing</v>
      </c>
      <c r="B229" s="0" t="str">
        <f>IFERROR(__xludf.DUMMYFUNCTION("""COMPUTED_VALUE"""),"CashSettlementAtZeroPrice")</f>
        <v>CashSettlementAtZeroPrice</v>
      </c>
      <c r="C229" s="0" t="str">
        <f>IFERROR(__xludf.DUMMYFUNCTION("""COMPUTED_VALUE"""),"17MNUtvIrTvTqiCtkjA9whCS3pSEmYiyq2dCpRNDR-Jw")</f>
        <v>17MNUtvIrTvTqiCtkjA9whCS3pSEmYiyq2dCpRNDR-Jw</v>
      </c>
    </row>
    <row r="230" ht="15.75" customHeight="1">
      <c r="A230" s="0" t="str">
        <f>IFERROR(__xludf.DUMMYFUNCTION("""COMPUTED_VALUE"""),"Closing")</f>
        <v>Closing</v>
      </c>
      <c r="B230" s="0" t="str">
        <f>IFERROR(__xludf.DUMMYFUNCTION("""COMPUTED_VALUE"""),"CashSettlementAtClosingDtSpotPx")</f>
        <v>CashSettlementAtClosingDtSpotPx</v>
      </c>
      <c r="C230" s="0" t="str">
        <f>IFERROR(__xludf.DUMMYFUNCTION("""COMPUTED_VALUE"""),"1C9uStqgFfWCHQzP5yX3EX8U5hkThVJiIrdTCvZ26BMc")</f>
        <v>1C9uStqgFfWCHQzP5yX3EX8U5hkThVJiIrdTCvZ26BMc</v>
      </c>
    </row>
    <row r="231" ht="15.75" customHeight="1">
      <c r="A231" s="0" t="str">
        <f>IFERROR(__xludf.DUMMYFUNCTION("""COMPUTED_VALUE"""),"Closing")</f>
        <v>Closing</v>
      </c>
      <c r="B231" s="0" t="str">
        <f>IFERROR(__xludf.DUMMYFUNCTION("""COMPUTED_VALUE"""),"PhysicalSettlement")</f>
        <v>PhysicalSettlement</v>
      </c>
      <c r="C231" s="0" t="str">
        <f>IFERROR(__xludf.DUMMYFUNCTION("""COMPUTED_VALUE"""),"1wSzKcpaAo_qIGXZhh7cr2aEMjgI5lIRo4Mhvhwq2qeY")</f>
        <v>1wSzKcpaAo_qIGXZhh7cr2aEMjgI5lIRo4Mhvhwq2qeY</v>
      </c>
    </row>
    <row r="232" ht="15.75" customHeight="1">
      <c r="A232" s="0" t="str">
        <f>IFERROR(__xludf.DUMMYFUNCTION("""COMPUTED_VALUE"""),"Closing")</f>
        <v>Closing</v>
      </c>
      <c r="B232" s="0" t="str">
        <f>IFERROR(__xludf.DUMMYFUNCTION("""COMPUTED_VALUE"""),"Expire")</f>
        <v>Expire</v>
      </c>
      <c r="C232" s="0" t="str">
        <f>IFERROR(__xludf.DUMMYFUNCTION("""COMPUTED_VALUE"""),"1Ip_8IOwz9bqljSD-feOp_lKkuwUz0ojb0L1ZfJB16Qk")</f>
        <v>1Ip_8IOwz9bqljSD-feOp_lKkuwUz0ojb0L1ZfJB16Qk</v>
      </c>
    </row>
    <row r="233" ht="15.75" customHeight="1">
      <c r="A233" s="0" t="str">
        <f>IFERROR(__xludf.DUMMYFUNCTION("""COMPUTED_VALUE"""),"Closing")</f>
        <v>Closing</v>
      </c>
      <c r="B233" s="0" t="str">
        <f>IFERROR(__xludf.DUMMYFUNCTION("""COMPUTED_VALUE"""),"ExerciseAssignment")</f>
        <v>ExerciseAssignment</v>
      </c>
      <c r="C233" s="0" t="str">
        <f>IFERROR(__xludf.DUMMYFUNCTION("""COMPUTED_VALUE"""),"1wtRdFxIJps7V6dCVpAiuURu6otnywpC22qYcCc8mcRo")</f>
        <v>1wtRdFxIJps7V6dCVpAiuURu6otnywpC22qYcCc8mcRo</v>
      </c>
    </row>
    <row r="234" ht="15.75" customHeight="1">
      <c r="A234" s="0" t="str">
        <f>IFERROR(__xludf.DUMMYFUNCTION("""COMPUTED_VALUE"""),"Closing")</f>
        <v>Closing</v>
      </c>
      <c r="B234" s="0" t="str">
        <f>IFERROR(__xludf.DUMMYFUNCTION("""COMPUTED_VALUE"""),"ExerciseAssignmentAtZero")</f>
        <v>ExerciseAssignmentAtZero</v>
      </c>
      <c r="C234" s="0" t="str">
        <f>IFERROR(__xludf.DUMMYFUNCTION("""COMPUTED_VALUE"""),"1RDhYUjIX5mcXvife-2a1DhS9e9_nAdKKNtIS723weSU")</f>
        <v>1RDhYUjIX5mcXvife-2a1DhS9e9_nAdKKNtIS723weSU</v>
      </c>
    </row>
    <row r="235" ht="15.75" customHeight="1">
      <c r="A235" s="0" t="str">
        <f>IFERROR(__xludf.DUMMYFUNCTION("""COMPUTED_VALUE"""),"Closing")</f>
        <v>Closing</v>
      </c>
      <c r="B235" s="0" t="str">
        <f>IFERROR(__xludf.DUMMYFUNCTION("""COMPUTED_VALUE"""),"SwapExpireAndRollover")</f>
        <v>SwapExpireAndRollover</v>
      </c>
      <c r="C235" s="0" t="str">
        <f>IFERROR(__xludf.DUMMYFUNCTION("""COMPUTED_VALUE"""),"12ERQgX7aAMiLB-7a8IQzGZT9zRJ3hxpnM1dEsBpvoTs")</f>
        <v>12ERQgX7aAMiLB-7a8IQzGZT9zRJ3hxpnM1dEsBpvoTs</v>
      </c>
    </row>
    <row r="236" ht="15.75" customHeight="1">
      <c r="A236" s="0" t="str">
        <f>IFERROR(__xludf.DUMMYFUNCTION("""COMPUTED_VALUE"""),"Closing")</f>
        <v>Closing</v>
      </c>
      <c r="B236" s="0" t="str">
        <f>IFERROR(__xludf.DUMMYFUNCTION("""COMPUTED_VALUE"""),"SwapExpire")</f>
        <v>SwapExpire</v>
      </c>
      <c r="C236" s="0" t="str">
        <f>IFERROR(__xludf.DUMMYFUNCTION("""COMPUTED_VALUE"""),"1sPvrowwTQsK7O1mUC-eQeJJSEgA9er_TCbHzyMsToxw")</f>
        <v>1sPvrowwTQsK7O1mUC-eQeJJSEgA9er_TCbHzyMsToxw</v>
      </c>
    </row>
    <row r="237" ht="15.75" customHeight="1">
      <c r="A237" s="0" t="str">
        <f>IFERROR(__xludf.DUMMYFUNCTION("""COMPUTED_VALUE"""),"Closing")</f>
        <v>Closing</v>
      </c>
      <c r="B237" s="0" t="str">
        <f>IFERROR(__xludf.DUMMYFUNCTION("""COMPUTED_VALUE"""),"VerifyExpiredSettledGrid")</f>
        <v>VerifyExpiredSettledGrid</v>
      </c>
      <c r="C237" s="0" t="str">
        <f>IFERROR(__xludf.DUMMYFUNCTION("""COMPUTED_VALUE"""),"10Zg67pbgVBxMXLfS0tb0CvJl6d4CddHzic_azwXCniM")</f>
        <v>10Zg67pbgVBxMXLfS0tb0CvJl6d4CddHzic_azwXCniM</v>
      </c>
    </row>
    <row r="238" ht="15.75" customHeight="1">
      <c r="A238" s="0" t="str">
        <f>IFERROR(__xludf.DUMMYFUNCTION("""COMPUTED_VALUE"""),"Closing")</f>
        <v>Closing</v>
      </c>
      <c r="B238" s="0" t="str">
        <f>IFERROR(__xludf.DUMMYFUNCTION("""COMPUTED_VALUE"""),"VerifyUnExpiredUnSettledGrid")</f>
        <v>VerifyUnExpiredUnSettledGrid</v>
      </c>
      <c r="C238" s="0" t="str">
        <f>IFERROR(__xludf.DUMMYFUNCTION("""COMPUTED_VALUE"""),"1rF_yrG82eLBZe-adfgdXilcZYJ6oludm1T8aoBS5c5o")</f>
        <v>1rF_yrG82eLBZe-adfgdXilcZYJ6oludm1T8aoBS5c5o</v>
      </c>
    </row>
    <row r="239" ht="15.75" customHeight="1">
      <c r="A239" s="0" t="str">
        <f>IFERROR(__xludf.DUMMYFUNCTION("""COMPUTED_VALUE"""),"Closing")</f>
        <v>Closing</v>
      </c>
      <c r="B239" s="0" t="str">
        <f>IFERROR(__xludf.DUMMYFUNCTION("""COMPUTED_VALUE"""),"UnWindTradeSettlement")</f>
        <v>UnWindTradeSettlement</v>
      </c>
      <c r="C239" s="0" t="str">
        <f>IFERROR(__xludf.DUMMYFUNCTION("""COMPUTED_VALUE"""),"1pGpjjND8zdK0CvWzT85s06ej72BcB2NDC7Q-WabwmKU")</f>
        <v>1pGpjjND8zdK0CvWzT85s06ej72BcB2NDC7Q-WabwmKU</v>
      </c>
    </row>
    <row r="240" ht="15.75" customHeight="1">
      <c r="A240" s="0" t="str">
        <f>IFERROR(__xludf.DUMMYFUNCTION("""COMPUTED_VALUE"""),"Closing")</f>
        <v>Closing</v>
      </c>
      <c r="B240" s="0" t="str">
        <f>IFERROR(__xludf.DUMMYFUNCTION("""COMPUTED_VALUE"""),"CloseOrder")</f>
        <v>CloseOrder</v>
      </c>
      <c r="C240" s="0" t="str">
        <f>IFERROR(__xludf.DUMMYFUNCTION("""COMPUTED_VALUE"""),"1vv9Kfv9KKSGeFLVF5gLJ02Q1tKJ5c9IHvX-Ou2CFpq4")</f>
        <v>1vv9Kfv9KKSGeFLVF5gLJ02Q1tKJ5c9IHvX-Ou2CFpq4</v>
      </c>
    </row>
    <row r="241" ht="15.75" customHeight="1">
      <c r="A241" s="0" t="str">
        <f>IFERROR(__xludf.DUMMYFUNCTION("""COMPUTED_VALUE"""),"Closing")</f>
        <v>Closing</v>
      </c>
      <c r="B241" s="0" t="str">
        <f>IFERROR(__xludf.DUMMYFUNCTION("""COMPUTED_VALUE"""),"VerifyCloseOrder")</f>
        <v>VerifyCloseOrder</v>
      </c>
      <c r="C241" s="0" t="str">
        <f>IFERROR(__xludf.DUMMYFUNCTION("""COMPUTED_VALUE"""),"1aKet1Md_J6wogUHMdNxyLsRKxYDsQAami-K_3W_9QtQ")</f>
        <v>1aKet1Md_J6wogUHMdNxyLsRKxYDsQAami-K_3W_9QtQ</v>
      </c>
    </row>
    <row r="242" ht="15.75" customHeight="1">
      <c r="A242" s="0" t="str">
        <f>IFERROR(__xludf.DUMMYFUNCTION("""COMPUTED_VALUE"""),"Closing")</f>
        <v>Closing</v>
      </c>
      <c r="B242" s="0" t="str">
        <f>IFERROR(__xludf.DUMMYFUNCTION("""COMPUTED_VALUE"""),"UnWindCloseOrder")</f>
        <v>UnWindCloseOrder</v>
      </c>
      <c r="C242" s="0" t="str">
        <f>IFERROR(__xludf.DUMMYFUNCTION("""COMPUTED_VALUE"""),"1fGQY5n6Q7p59RUxuwZzrcdNms0UeLdsR3hCGQmHSORY")</f>
        <v>1fGQY5n6Q7p59RUxuwZzrcdNms0UeLdsR3hCGQmHSORY</v>
      </c>
    </row>
    <row r="243" ht="15.75" customHeight="1">
      <c r="A243" s="0" t="str">
        <f>IFERROR(__xludf.DUMMYFUNCTION("""COMPUTED_VALUE"""),"Closing")</f>
        <v>Closing</v>
      </c>
      <c r="B243" s="0" t="str">
        <f>IFERROR(__xludf.DUMMYFUNCTION("""COMPUTED_VALUE"""),"ClosingCleanUp")</f>
        <v>ClosingCleanUp</v>
      </c>
      <c r="C243" s="0" t="str">
        <f>IFERROR(__xludf.DUMMYFUNCTION("""COMPUTED_VALUE"""),"1atfrQHjBlCKqTMcOEgTGeCL-hYY6nKtN80Uz1petdC4")</f>
        <v>1atfrQHjBlCKqTMcOEgTGeCL-hYY6nKtN80Uz1petdC4</v>
      </c>
    </row>
    <row r="244" ht="15.75" customHeight="1">
      <c r="A244" s="0" t="str">
        <f>IFERROR(__xludf.DUMMYFUNCTION("""COMPUTED_VALUE"""),"Closing")</f>
        <v>Closing</v>
      </c>
      <c r="B244" s="0" t="str">
        <f>IFERROR(__xludf.DUMMYFUNCTION("""COMPUTED_VALUE"""),"CloseClosingUI")</f>
        <v>CloseClosingUI</v>
      </c>
      <c r="C244" s="0" t="str">
        <f>IFERROR(__xludf.DUMMYFUNCTION("""COMPUTED_VALUE"""),"1Fwftdx7FZtRacGg7lr02b8ReR-9wM2S7uuooFC2sxiM")</f>
        <v>1Fwftdx7FZtRacGg7lr02b8ReR-9wM2S7uuooFC2sxiM</v>
      </c>
    </row>
    <row r="245" ht="15.75" customHeight="1">
      <c r="A245" s="0" t="str">
        <f>IFERROR(__xludf.DUMMYFUNCTION("""COMPUTED_VALUE"""),"GeneralLedger")</f>
        <v>GeneralLedger</v>
      </c>
      <c r="B245" s="0" t="str">
        <f>IFERROR(__xludf.DUMMYFUNCTION("""COMPUTED_VALUE"""),"GetDailyCalculationsData")</f>
        <v>GetDailyCalculationsData</v>
      </c>
      <c r="C245" s="0" t="str">
        <f>IFERROR(__xludf.DUMMYFUNCTION("""COMPUTED_VALUE"""),"1GUy-RbvdREdP9isWFulTF3xqzCn4AWr0RvL_r4boFmE")</f>
        <v>1GUy-RbvdREdP9isWFulTF3xqzCn4AWr0RvL_r4boFmE</v>
      </c>
    </row>
    <row r="246" ht="15.75" customHeight="1">
      <c r="A246" s="0" t="str">
        <f>IFERROR(__xludf.DUMMYFUNCTION("""COMPUTED_VALUE"""),"GeneralLedger")</f>
        <v>GeneralLedger</v>
      </c>
      <c r="B246" s="0" t="str">
        <f>IFERROR(__xludf.DUMMYFUNCTION("""COMPUTED_VALUE"""),"CalculateDailyCalculations")</f>
        <v>CalculateDailyCalculations</v>
      </c>
      <c r="C246" s="0" t="str">
        <f>IFERROR(__xludf.DUMMYFUNCTION("""COMPUTED_VALUE"""),"Undefined")</f>
        <v>Undefined</v>
      </c>
    </row>
    <row r="247" ht="15.75" customHeight="1">
      <c r="A247" s="0" t="str">
        <f>IFERROR(__xludf.DUMMYFUNCTION("""COMPUTED_VALUE"""),"GeneralLedger")</f>
        <v>GeneralLedger</v>
      </c>
      <c r="B247" s="0" t="str">
        <f>IFERROR(__xludf.DUMMYFUNCTION("""COMPUTED_VALUE"""),"EditOpeningBalanceTransaction")</f>
        <v>EditOpeningBalanceTransaction</v>
      </c>
      <c r="C247" s="0" t="str">
        <f>IFERROR(__xludf.DUMMYFUNCTION("""COMPUTED_VALUE"""),"1xA6dyBc4R1EBoqW6kY2Dti984vRAuD-5PxoFrgVMPA8")</f>
        <v>1xA6dyBc4R1EBoqW6kY2Dti984vRAuD-5PxoFrgVMPA8</v>
      </c>
    </row>
    <row r="248" ht="15.75" customHeight="1">
      <c r="A248" s="0" t="str">
        <f>IFERROR(__xludf.DUMMYFUNCTION("""COMPUTED_VALUE"""),"GeneralLedger")</f>
        <v>GeneralLedger</v>
      </c>
      <c r="B248" s="0" t="str">
        <f>IFERROR(__xludf.DUMMYFUNCTION("""COMPUTED_VALUE"""),"EditOpeningBalanceTranItem")</f>
        <v>EditOpeningBalanceTranItem</v>
      </c>
      <c r="C248" s="0" t="str">
        <f>IFERROR(__xludf.DUMMYFUNCTION("""COMPUTED_VALUE"""),"18j5l_WQ5Vfj90uB1s_BQ179tKwHv_Lf1wexmG7TnYu0")</f>
        <v>18j5l_WQ5Vfj90uB1s_BQ179tKwHv_Lf1wexmG7TnYu0</v>
      </c>
    </row>
    <row r="249" ht="15.75" customHeight="1">
      <c r="A249" s="0" t="str">
        <f>IFERROR(__xludf.DUMMYFUNCTION("""COMPUTED_VALUE"""),"DailyValuation")</f>
        <v>DailyValuation</v>
      </c>
      <c r="B249" s="0" t="str">
        <f>IFERROR(__xludf.DUMMYFUNCTION("""COMPUTED_VALUE"""),"UpdateBeta")</f>
        <v>UpdateBeta</v>
      </c>
      <c r="C249" s="0" t="str">
        <f>IFERROR(__xludf.DUMMYFUNCTION("""COMPUTED_VALUE"""),"1dVMhvhPJNkuRqzig0Yyxm9TcxCvSCxm4pGTHTUTnsRE")</f>
        <v>1dVMhvhPJNkuRqzig0Yyxm9TcxCvSCxm4pGTHTUTnsRE</v>
      </c>
    </row>
    <row r="250" ht="15.75" customHeight="1">
      <c r="A250" s="0" t="str">
        <f>IFERROR(__xludf.DUMMYFUNCTION("""COMPUTED_VALUE"""),"DailyValuation")</f>
        <v>DailyValuation</v>
      </c>
      <c r="B250" s="0" t="str">
        <f>IFERROR(__xludf.DUMMYFUNCTION("""COMPUTED_VALUE"""),"UpdateNAV")</f>
        <v>UpdateNAV</v>
      </c>
      <c r="C250" s="0" t="str">
        <f>IFERROR(__xludf.DUMMYFUNCTION("""COMPUTED_VALUE"""),"1hPiMOS3ea665vDEmxN9P-HH8lukKgmMnynK7_ZbYvZE")</f>
        <v>1hPiMOS3ea665vDEmxN9P-HH8lukKgmMnynK7_ZbYvZE</v>
      </c>
    </row>
    <row r="251" ht="15.75" customHeight="1">
      <c r="A251" s="0" t="str">
        <f>IFERROR(__xludf.DUMMYFUNCTION("""COMPUTED_VALUE"""),"DailyValuation")</f>
        <v>DailyValuation</v>
      </c>
      <c r="B251" s="0" t="str">
        <f>IFERROR(__xludf.DUMMYFUNCTION("""COMPUTED_VALUE"""),"UpdateDailyCash")</f>
        <v>UpdateDailyCash</v>
      </c>
      <c r="C251" s="0" t="str">
        <f>IFERROR(__xludf.DUMMYFUNCTION("""COMPUTED_VALUE"""),"1VgfvPkC2fO8lxFnWeV2SJts5aU1T2aFQ0qKO0SLQUe8")</f>
        <v>1VgfvPkC2fO8lxFnWeV2SJts5aU1T2aFQ0qKO0SLQUe8</v>
      </c>
    </row>
    <row r="252" ht="15.75" customHeight="1">
      <c r="A252" s="0" t="str">
        <f>IFERROR(__xludf.DUMMYFUNCTION("""COMPUTED_VALUE"""),"GeneralLedger")</f>
        <v>GeneralLedger</v>
      </c>
      <c r="B252" s="0" t="str">
        <f>IFERROR(__xludf.DUMMYFUNCTION("""COMPUTED_VALUE"""),"VerifyDailyCalTransactions")</f>
        <v>VerifyDailyCalTransactions</v>
      </c>
      <c r="C252" s="0" t="str">
        <f>IFERROR(__xludf.DUMMYFUNCTION("""COMPUTED_VALUE"""),"1GiZkUkl9S3W-syFWHx7eF24G8LX1NhjocAEtLxZqOBI")</f>
        <v>1GiZkUkl9S3W-syFWHx7eF24G8LX1NhjocAEtLxZqOBI</v>
      </c>
    </row>
    <row r="253" ht="15.75" customHeight="1">
      <c r="A253" s="0" t="str">
        <f>IFERROR(__xludf.DUMMYFUNCTION("""COMPUTED_VALUE"""),"DailyValuation")</f>
        <v>DailyValuation</v>
      </c>
      <c r="B253" s="0" t="str">
        <f>IFERROR(__xludf.DUMMYFUNCTION("""COMPUTED_VALUE"""),"UpdateDailyCreditLimt")</f>
        <v>UpdateDailyCreditLimt</v>
      </c>
      <c r="C253" s="0" t="str">
        <f>IFERROR(__xludf.DUMMYFUNCTION("""COMPUTED_VALUE"""),"1PGYnrEHaAZlP-Oh2PMA8WujQmK1pV5B4YlDkScrpR7o")</f>
        <v>1PGYnrEHaAZlP-Oh2PMA8WujQmK1pV5B4YlDkScrpR7o</v>
      </c>
    </row>
    <row r="254" ht="15.75" customHeight="1">
      <c r="A254" s="0" t="str">
        <f>IFERROR(__xludf.DUMMYFUNCTION("""COMPUTED_VALUE"""),"DailyValuation")</f>
        <v>DailyValuation</v>
      </c>
      <c r="B254" s="0" t="str">
        <f>IFERROR(__xludf.DUMMYFUNCTION("""COMPUTED_VALUE"""),"RemoveDailyCreditLimit")</f>
        <v>RemoveDailyCreditLimit</v>
      </c>
      <c r="C254" s="0" t="str">
        <f>IFERROR(__xludf.DUMMYFUNCTION("""COMPUTED_VALUE"""),"1uLdemvg5SsNtTpZzTRX03wcYmYQsfkgO_nbn3yRqMjQ")</f>
        <v>1uLdemvg5SsNtTpZzTRX03wcYmYQsfkgO_nbn3yRqMjQ</v>
      </c>
    </row>
    <row r="255" ht="15.75" customHeight="1">
      <c r="A255" s="0" t="str">
        <f>IFERROR(__xludf.DUMMYFUNCTION("""COMPUTED_VALUE"""),"DailyValuation")</f>
        <v>DailyValuation</v>
      </c>
      <c r="B255" s="0" t="str">
        <f>IFERROR(__xludf.DUMMYFUNCTION("""COMPUTED_VALUE"""),"RemoveDailyCash")</f>
        <v>RemoveDailyCash</v>
      </c>
      <c r="C255" s="0" t="str">
        <f>IFERROR(__xludf.DUMMYFUNCTION("""COMPUTED_VALUE"""),"1MrTHenFxkF5J71zXMaCuxQQEn0MTKrzO5gQMAwfQKRs")</f>
        <v>1MrTHenFxkF5J71zXMaCuxQQEn0MTKrzO5gQMAwfQKRs</v>
      </c>
    </row>
    <row r="256" ht="15.75" customHeight="1">
      <c r="A256" s="0" t="str">
        <f>IFERROR(__xludf.DUMMYFUNCTION("""COMPUTED_VALUE"""),"DailyValuation")</f>
        <v>DailyValuation</v>
      </c>
      <c r="B256" s="0" t="str">
        <f>IFERROR(__xludf.DUMMYFUNCTION("""COMPUTED_VALUE"""),"RemoveNAV")</f>
        <v>RemoveNAV</v>
      </c>
      <c r="C256" s="0" t="str">
        <f>IFERROR(__xludf.DUMMYFUNCTION("""COMPUTED_VALUE"""),"1eaoIETDNb24RXEreULlqBhqvx-wzyLQ-QZEGx6OOWIk")</f>
        <v>1eaoIETDNb24RXEreULlqBhqvx-wzyLQ-QZEGx6OOWIk</v>
      </c>
    </row>
    <row r="257" ht="15.75" customHeight="1">
      <c r="A257" s="0" t="str">
        <f>IFERROR(__xludf.DUMMYFUNCTION("""COMPUTED_VALUE"""),"PortfolioManagement")</f>
        <v>PortfolioManagement</v>
      </c>
      <c r="B257" s="0" t="str">
        <f>IFERROR(__xludf.DUMMYFUNCTION("""COMPUTED_VALUE"""),"FilterPM")</f>
        <v>FilterPM</v>
      </c>
      <c r="C257" s="0" t="str">
        <f>IFERROR(__xludf.DUMMYFUNCTION("""COMPUTED_VALUE"""),"1yC8Wv8pFz-xSKCh-BNoBEG_jvndfI1AIgV0zSlSDMI0")</f>
        <v>1yC8Wv8pFz-xSKCh-BNoBEG_jvndfI1AIgV0zSlSDMI0</v>
      </c>
    </row>
    <row r="258" ht="15.75" customHeight="1">
      <c r="A258" s="0" t="str">
        <f>IFERROR(__xludf.DUMMYFUNCTION("""COMPUTED_VALUE"""),"PortfolioManagement")</f>
        <v>PortfolioManagement</v>
      </c>
      <c r="B258" s="0" t="str">
        <f>IFERROR(__xludf.DUMMYFUNCTION("""COMPUTED_VALUE"""),"GroupRowPM")</f>
        <v>GroupRowPM</v>
      </c>
      <c r="C258" s="0" t="str">
        <f>IFERROR(__xludf.DUMMYFUNCTION("""COMPUTED_VALUE"""),"1BwceFfRFXBSOniiRhT1Nl_2D9MTRETjYIb7ZHUU6W4c")</f>
        <v>1BwceFfRFXBSOniiRhT1Nl_2D9MTRETjYIb7ZHUU6W4c</v>
      </c>
    </row>
    <row r="259" ht="15.75" customHeight="1">
      <c r="A259" s="0" t="str">
        <f>IFERROR(__xludf.DUMMYFUNCTION("""COMPUTED_VALUE"""),"Allocation")</f>
        <v>Allocation</v>
      </c>
      <c r="B259" s="0" t="str">
        <f>IFERROR(__xludf.DUMMYFUNCTION("""COMPUTED_VALUE"""),"CloseAllocation")</f>
        <v>CloseAllocation</v>
      </c>
      <c r="C259" s="0" t="str">
        <f>IFERROR(__xludf.DUMMYFUNCTION("""COMPUTED_VALUE"""),"Undefined")</f>
        <v>Undefined</v>
      </c>
    </row>
    <row r="260" ht="15.75" customHeight="1">
      <c r="A260" s="0" t="str">
        <f>IFERROR(__xludf.DUMMYFUNCTION("""COMPUTED_VALUE"""),"PortfolioManagement")</f>
        <v>PortfolioManagement</v>
      </c>
      <c r="B260" s="0" t="str">
        <f>IFERROR(__xludf.DUMMYFUNCTION("""COMPUTED_VALUE"""),"CheckDashboardWithPM")</f>
        <v>CheckDashboardWithPM</v>
      </c>
      <c r="C260" s="0" t="str">
        <f>IFERROR(__xludf.DUMMYFUNCTION("""COMPUTED_VALUE"""),"Undefined")</f>
        <v>Undefined</v>
      </c>
    </row>
    <row r="261" ht="15.75" customHeight="1">
      <c r="A261" s="0" t="str">
        <f>IFERROR(__xludf.DUMMYFUNCTION("""COMPUTED_VALUE"""),"PortfolioManagement")</f>
        <v>PortfolioManagement</v>
      </c>
      <c r="B261" s="0" t="str">
        <f>IFERROR(__xludf.DUMMYFUNCTION("""COMPUTED_VALUE"""),"RemoveFilterPM")</f>
        <v>RemoveFilterPM</v>
      </c>
      <c r="C261" s="0" t="str">
        <f>IFERROR(__xludf.DUMMYFUNCTION("""COMPUTED_VALUE"""),"Undefined")</f>
        <v>Undefined</v>
      </c>
    </row>
    <row r="262" ht="15.75" customHeight="1">
      <c r="A262" s="0" t="str">
        <f>IFERROR(__xludf.DUMMYFUNCTION("""COMPUTED_VALUE"""),"PortfolioManagement")</f>
        <v>PortfolioManagement</v>
      </c>
      <c r="B262" s="0" t="str">
        <f>IFERROR(__xludf.DUMMYFUNCTION("""COMPUTED_VALUE"""),"CheckSummaryRowsPM")</f>
        <v>CheckSummaryRowsPM</v>
      </c>
      <c r="C262" s="0" t="str">
        <f>IFERROR(__xludf.DUMMYFUNCTION("""COMPUTED_VALUE"""),"1Rvzh-eJXivhL6DEagE3qvEb1nFNqCrK4C1CGKgbWGc8")</f>
        <v>1Rvzh-eJXivhL6DEagE3qvEb1nFNqCrK4C1CGKgbWGc8</v>
      </c>
    </row>
    <row r="263" ht="15.75" customHeight="1">
      <c r="A263" s="0" t="str">
        <f>IFERROR(__xludf.DUMMYFUNCTION("""COMPUTED_VALUE"""),"GeneralLedger")</f>
        <v>GeneralLedger</v>
      </c>
      <c r="B263" s="0" t="str">
        <f>IFERROR(__xludf.DUMMYFUNCTION("""COMPUTED_VALUE"""),"CloseGeneralLedger")</f>
        <v>CloseGeneralLedger</v>
      </c>
      <c r="C263" s="0" t="str">
        <f>IFERROR(__xludf.DUMMYFUNCTION("""COMPUTED_VALUE"""),"Undefined")</f>
        <v>Undefined</v>
      </c>
    </row>
    <row r="264" ht="15.75" customHeight="1">
      <c r="A264" s="0" t="str">
        <f>IFERROR(__xludf.DUMMYFUNCTION("""COMPUTED_VALUE"""),"Blotter")</f>
        <v>Blotter</v>
      </c>
      <c r="B264" s="0" t="str">
        <f>IFERROR(__xludf.DUMMYFUNCTION("""COMPUTED_VALUE"""),"ReplaceStageOrder")</f>
        <v>ReplaceStageOrder</v>
      </c>
      <c r="C264" s="0" t="str">
        <f>IFERROR(__xludf.DUMMYFUNCTION("""COMPUTED_VALUE"""),"1Jso0TC_FWBB044YhD7W2BtiwhvzHb7EOgl_rdA3HFR0")</f>
        <v>1Jso0TC_FWBB044YhD7W2BtiwhvzHb7EOgl_rdA3HFR0</v>
      </c>
    </row>
    <row r="265" ht="15.75" customHeight="1">
      <c r="A265" s="0" t="str">
        <f>IFERROR(__xludf.DUMMYFUNCTION("""COMPUTED_VALUE"""),"GeneralLedger")</f>
        <v>GeneralLedger</v>
      </c>
      <c r="B265" s="0" t="str">
        <f>IFERROR(__xludf.DUMMYFUNCTION("""COMPUTED_VALUE"""),"VerifyAccountDetails")</f>
        <v>VerifyAccountDetails</v>
      </c>
      <c r="C265" s="0" t="str">
        <f>IFERROR(__xludf.DUMMYFUNCTION("""COMPUTED_VALUE"""),"1uyuwvv3L3R9HyXKpbUMYRZcMqOcR0HdO9g8C50GvA7o")</f>
        <v>1uyuwvv3L3R9HyXKpbUMYRZcMqOcR0HdO9g8C50GvA7o</v>
      </c>
    </row>
    <row r="266" ht="15.75" customHeight="1">
      <c r="A266" s="0" t="str">
        <f>IFERROR(__xludf.DUMMYFUNCTION("""COMPUTED_VALUE"""),"TradingTicket")</f>
        <v>TradingTicket</v>
      </c>
      <c r="B266" s="0" t="str">
        <f>IFERROR(__xludf.DUMMYFUNCTION("""COMPUTED_VALUE"""),"CreateNewSubOrder")</f>
        <v>CreateNewSubOrder</v>
      </c>
      <c r="C266" s="0" t="str">
        <f>IFERROR(__xludf.DUMMYFUNCTION("""COMPUTED_VALUE"""),"1AstfuV459BqKeepu1MNmnf9RnELNSqTbT8n5dWFhU4A")</f>
        <v>1AstfuV459BqKeepu1MNmnf9RnELNSqTbT8n5dWFhU4A</v>
      </c>
    </row>
    <row r="267" ht="15.75" customHeight="1">
      <c r="A267" s="0" t="str">
        <f>IFERROR(__xludf.DUMMYFUNCTION("""COMPUTED_VALUE"""),"CreateTransaction")</f>
        <v>CreateTransaction</v>
      </c>
      <c r="B267" s="0" t="str">
        <f>IFERROR(__xludf.DUMMYFUNCTION("""COMPUTED_VALUE"""),"AddNewTransaction")</f>
        <v>AddNewTransaction</v>
      </c>
      <c r="C267" s="0" t="str">
        <f>IFERROR(__xludf.DUMMYFUNCTION("""COMPUTED_VALUE"""),"109VETDxhCZifjTuw0RgdbIACi58AzIZl3dDnb6i6XHo")</f>
        <v>109VETDxhCZifjTuw0RgdbIACi58AzIZl3dDnb6i6XHo</v>
      </c>
    </row>
    <row r="268" ht="15.75" customHeight="1">
      <c r="A268" s="0" t="str">
        <f>IFERROR(__xludf.DUMMYFUNCTION("""COMPUTED_VALUE"""),"TradingTicket")</f>
        <v>TradingTicket</v>
      </c>
      <c r="B268" s="0" t="str">
        <f>IFERROR(__xludf.DUMMYFUNCTION("""COMPUTED_VALUE"""),"TradeBloomberg")</f>
        <v>TradeBloomberg</v>
      </c>
      <c r="C268" s="0" t="str">
        <f>IFERROR(__xludf.DUMMYFUNCTION("""COMPUTED_VALUE"""),"1XdZaKDGYgE9-tKFQso0HKZSgkAxkpHZOvbFRHMlZ3xA")</f>
        <v>1XdZaKDGYgE9-tKFQso0HKZSgkAxkpHZOvbFRHMlZ3xA</v>
      </c>
    </row>
    <row r="269" ht="15.75" customHeight="1">
      <c r="A269" s="0" t="str">
        <f>IFERROR(__xludf.DUMMYFUNCTION("""COMPUTED_VALUE"""),"TradingTicket")</f>
        <v>TradingTicket</v>
      </c>
      <c r="B269" s="0" t="str">
        <f>IFERROR(__xludf.DUMMYFUNCTION("""COMPUTED_VALUE"""),"ClickSymbolLookup")</f>
        <v>ClickSymbolLookup</v>
      </c>
      <c r="C269" s="0" t="str">
        <f>IFERROR(__xludf.DUMMYFUNCTION("""COMPUTED_VALUE"""),"1tUAq8qQntTSgASBY91fvVU8snKI0bJhC-FtS9W_wbzg")</f>
        <v>1tUAq8qQntTSgASBY91fvVU8snKI0bJhC-FtS9W_wbzg</v>
      </c>
    </row>
    <row r="270" ht="15.75" customHeight="1">
      <c r="A270" s="0" t="str">
        <f>IFERROR(__xludf.DUMMYFUNCTION("""COMPUTED_VALUE"""),"PricingServer")</f>
        <v>PricingServer</v>
      </c>
      <c r="B270" s="0" t="str">
        <f>IFERROR(__xludf.DUMMYFUNCTION("""COMPUTED_VALUE"""),"RestartPricingServer")</f>
        <v>RestartPricingServer</v>
      </c>
      <c r="C270" s="0" t="str">
        <f>IFERROR(__xludf.DUMMYFUNCTION("""COMPUTED_VALUE"""),"1Bno1TrJBKAvxD0_Fata4ZCQmTQjAVzTeScSoEZObcVU")</f>
        <v>1Bno1TrJBKAvxD0_Fata4ZCQmTQjAVzTeScSoEZObcVU</v>
      </c>
    </row>
    <row r="271" ht="15.75" customHeight="1">
      <c r="A271" s="0" t="str">
        <f>IFERROR(__xludf.DUMMYFUNCTION("""COMPUTED_VALUE"""),"TradeServer")</f>
        <v>TradeServer</v>
      </c>
      <c r="B271" s="0" t="str">
        <f>IFERROR(__xludf.DUMMYFUNCTION("""COMPUTED_VALUE"""),"RestartServer")</f>
        <v>RestartServer</v>
      </c>
      <c r="C271" s="0" t="str">
        <f>IFERROR(__xludf.DUMMYFUNCTION("""COMPUTED_VALUE"""),"1rgd2fe8QniENxU_y5tc12gCzhrYT-gekVPiniOFI6kw")</f>
        <v>1rgd2fe8QniENxU_y5tc12gCzhrYT-gekVPiniOFI6kw</v>
      </c>
    </row>
    <row r="272" ht="15.75" customHeight="1">
      <c r="A272" s="0" t="str">
        <f>IFERROR(__xludf.DUMMYFUNCTION("""COMPUTED_VALUE"""),"PranaClient")</f>
        <v>PranaClient</v>
      </c>
      <c r="B272" s="0" t="str">
        <f>IFERROR(__xludf.DUMMYFUNCTION("""COMPUTED_VALUE"""),"RestartClient")</f>
        <v>RestartClient</v>
      </c>
      <c r="C272" s="0" t="str">
        <f>IFERROR(__xludf.DUMMYFUNCTION("""COMPUTED_VALUE"""),"17HcIdum8zZH8Ni0jqEsdVE8-5i_Pp7PnFRmrFAMw42c")</f>
        <v>17HcIdum8zZH8Ni0jqEsdVE8-5i_Pp7PnFRmrFAMw42c</v>
      </c>
    </row>
    <row r="273" ht="15.75" customHeight="1">
      <c r="A273" s="0" t="str">
        <f>IFERROR(__xludf.DUMMYFUNCTION("""COMPUTED_VALUE"""),"PTT")</f>
        <v>PTT</v>
      </c>
      <c r="B273" s="0" t="str">
        <f>IFERROR(__xludf.DUMMYFUNCTION("""COMPUTED_VALUE"""),"CalculatePTT")</f>
        <v>CalculatePTT</v>
      </c>
      <c r="C273" s="0" t="str">
        <f>IFERROR(__xludf.DUMMYFUNCTION("""COMPUTED_VALUE"""),"1Usd8z5f1Gxiq2eU1suYXk3Wr-DyU1ioP01IpI3fb7HU")</f>
        <v>1Usd8z5f1Gxiq2eU1suYXk3Wr-DyU1ioP01IpI3fb7HU</v>
      </c>
    </row>
    <row r="274" ht="15.75" customHeight="1">
      <c r="A274" s="0" t="str">
        <f>IFERROR(__xludf.DUMMYFUNCTION("""COMPUTED_VALUE"""),"PTT")</f>
        <v>PTT</v>
      </c>
      <c r="B274" s="0" t="str">
        <f>IFERROR(__xludf.DUMMYFUNCTION("""COMPUTED_VALUE"""),"TradeUsingPTT")</f>
        <v>TradeUsingPTT</v>
      </c>
      <c r="C274" s="0" t="str">
        <f>IFERROR(__xludf.DUMMYFUNCTION("""COMPUTED_VALUE"""),"1eQN7kJn_D3eEi6utF462OrYRTnClw3BNXwnf8Nb24kE")</f>
        <v>1eQN7kJn_D3eEi6utF462OrYRTnClw3BNXwnf8Nb24kE</v>
      </c>
    </row>
    <row r="275" ht="15.75" customHeight="1">
      <c r="A275" s="0" t="str">
        <f>IFERROR(__xludf.DUMMYFUNCTION("""COMPUTED_VALUE"""),"PTT")</f>
        <v>PTT</v>
      </c>
      <c r="B275" s="0" t="str">
        <f>IFERROR(__xludf.DUMMYFUNCTION("""COMPUTED_VALUE"""),"VerifyPTTCompliance")</f>
        <v>VerifyPTTCompliance</v>
      </c>
      <c r="C275" s="0" t="str">
        <f>IFERROR(__xludf.DUMMYFUNCTION("""COMPUTED_VALUE"""),"1Vpasp_hFXJJz1bHltjhvLZZAgyBDtgwZwPCC3yE2F7E")</f>
        <v>1Vpasp_hFXJJz1bHltjhvLZZAgyBDtgwZwPCC3yE2F7E</v>
      </c>
    </row>
    <row r="276" ht="15.75" customHeight="1">
      <c r="A276" s="0" t="str">
        <f>IFERROR(__xludf.DUMMYFUNCTION("""COMPUTED_VALUE"""),"PTT")</f>
        <v>PTT</v>
      </c>
      <c r="B276" s="0" t="str">
        <f>IFERROR(__xludf.DUMMYFUNCTION("""COMPUTED_VALUE"""),"StageOrderUsingPTT")</f>
        <v>StageOrderUsingPTT</v>
      </c>
      <c r="C276" s="0" t="str">
        <f>IFERROR(__xludf.DUMMYFUNCTION("""COMPUTED_VALUE"""),"1aPIvRy1g73wuE_MnfsS9_6sZL8WBRMC5OSbBMVFTwZ4")</f>
        <v>1aPIvRy1g73wuE_MnfsS9_6sZL8WBRMC5OSbBMVFTwZ4</v>
      </c>
    </row>
    <row r="277" ht="15.75" customHeight="1">
      <c r="A277" s="0" t="str">
        <f>IFERROR(__xludf.DUMMYFUNCTION("""COMPUTED_VALUE"""),"PTT")</f>
        <v>PTT</v>
      </c>
      <c r="B277" s="0" t="str">
        <f>IFERROR(__xludf.DUMMYFUNCTION("""COMPUTED_VALUE"""),"CreateOrderPTT")</f>
        <v>CreateOrderPTT</v>
      </c>
      <c r="C277" s="0" t="str">
        <f>IFERROR(__xludf.DUMMYFUNCTION("""COMPUTED_VALUE"""),"1clS5unmZ92YCMaKCVLJ3r_ShuU8JBprNUpRv8R82FGU")</f>
        <v>1clS5unmZ92YCMaKCVLJ3r_ShuU8JBprNUpRv8R82FGU</v>
      </c>
    </row>
    <row r="278" ht="15.75" customHeight="1">
      <c r="A278" s="0" t="str">
        <f>IFERROR(__xludf.DUMMYFUNCTION("""COMPUTED_VALUE"""),"PTT")</f>
        <v>PTT</v>
      </c>
      <c r="B278" s="0" t="str">
        <f>IFERROR(__xludf.DUMMYFUNCTION("""COMPUTED_VALUE"""),"TradePTT")</f>
        <v>TradePTT</v>
      </c>
      <c r="C278" s="0" t="str">
        <f>IFERROR(__xludf.DUMMYFUNCTION("""COMPUTED_VALUE"""),"1B0mYySs5M1I6dikafVQ-4neiuHI-Vn_CefIpGSizjjc")</f>
        <v>1B0mYySs5M1I6dikafVQ-4neiuHI-Vn_CefIpGSizjjc</v>
      </c>
    </row>
    <row r="279" ht="15.75" customHeight="1">
      <c r="A279" s="0" t="str">
        <f>IFERROR(__xludf.DUMMYFUNCTION("""COMPUTED_VALUE"""),"PTT")</f>
        <v>PTT</v>
      </c>
      <c r="B279" s="0" t="str">
        <f>IFERROR(__xludf.DUMMYFUNCTION("""COMPUTED_VALUE"""),"VerifyPTT")</f>
        <v>VerifyPTT</v>
      </c>
      <c r="C279" s="0" t="str">
        <f>IFERROR(__xludf.DUMMYFUNCTION("""COMPUTED_VALUE"""),"1DhRXM2fca9wmYyaQSNF2bw07jlvNCvnHLL6qkOh4VYI")</f>
        <v>1DhRXM2fca9wmYyaQSNF2bw07jlvNCvnHLL6qkOh4VYI</v>
      </c>
    </row>
    <row r="280" ht="15.75" customHeight="1">
      <c r="A280" s="0" t="str">
        <f>IFERROR(__xludf.DUMMYFUNCTION("""COMPUTED_VALUE"""),"PortfolioManagement")</f>
        <v>PortfolioManagement</v>
      </c>
      <c r="B280" s="0" t="str">
        <f>IFERROR(__xludf.DUMMYFUNCTION("""COMPUTED_VALUE"""),"OpenPTTFromPM")</f>
        <v>OpenPTTFromPM</v>
      </c>
      <c r="C280" s="0" t="str">
        <f>IFERROR(__xludf.DUMMYFUNCTION("""COMPUTED_VALUE"""),"1VIvijDDAhEkPlk94McsOVF8Jhhp0VL5XZT6HhpFL9Zc")</f>
        <v>1VIvijDDAhEkPlk94McsOVF8Jhhp0VL5XZT6HhpFL9Zc</v>
      </c>
    </row>
    <row r="281" ht="15.75" customHeight="1">
      <c r="A281" s="0" t="str">
        <f>IFERROR(__xludf.DUMMYFUNCTION("""COMPUTED_VALUE"""),"PTT")</f>
        <v>PTT</v>
      </c>
      <c r="B281" s="0" t="str">
        <f>IFERROR(__xludf.DUMMYFUNCTION("""COMPUTED_VALUE"""),"OpenMultiTTFromPTT")</f>
        <v>OpenMultiTTFromPTT</v>
      </c>
      <c r="C281" s="0" t="str">
        <f>IFERROR(__xludf.DUMMYFUNCTION("""COMPUTED_VALUE"""),"1yFz_O3Qa1RLU4rwM7B95-FObIdnsJkq5W3t8wb25pwk")</f>
        <v>1yFz_O3Qa1RLU4rwM7B95-FObIdnsJkq5W3t8wb25pwk</v>
      </c>
    </row>
    <row r="282" ht="15.75" customHeight="1">
      <c r="A282" s="0" t="str">
        <f>IFERROR(__xludf.DUMMYFUNCTION("""COMPUTED_VALUE"""),"PTT")</f>
        <v>PTT</v>
      </c>
      <c r="B282" s="0" t="str">
        <f>IFERROR(__xludf.DUMMYFUNCTION("""COMPUTED_VALUE"""),"SelectMultiTT")</f>
        <v>SelectMultiTT</v>
      </c>
      <c r="C282" s="0" t="str">
        <f>IFERROR(__xludf.DUMMYFUNCTION("""COMPUTED_VALUE"""),"11zVa4QDQKlc2xL6L7T4ZkXvvPbqsdUS4dwdtv-vQckA")</f>
        <v>11zVa4QDQKlc2xL6L7T4ZkXvvPbqsdUS4dwdtv-vQckA</v>
      </c>
    </row>
    <row r="283" ht="15.75" customHeight="1">
      <c r="A283" s="0" t="str">
        <f>IFERROR(__xludf.DUMMYFUNCTION("""COMPUTED_VALUE"""),"PTT")</f>
        <v>PTT</v>
      </c>
      <c r="B283" s="0" t="str">
        <f>IFERROR(__xludf.DUMMYFUNCTION("""COMPUTED_VALUE"""),"EditMultiTT")</f>
        <v>EditMultiTT</v>
      </c>
      <c r="C283" s="0" t="str">
        <f>IFERROR(__xludf.DUMMYFUNCTION("""COMPUTED_VALUE"""),"1TP115IJHmOPYWofIcvK8Qm4INI0h3lVcWYgM7A1GDY0")</f>
        <v>1TP115IJHmOPYWofIcvK8Qm4INI0h3lVcWYgM7A1GDY0</v>
      </c>
    </row>
    <row r="284" ht="15.75" customHeight="1">
      <c r="A284" s="0" t="str">
        <f>IFERROR(__xludf.DUMMYFUNCTION("""COMPUTED_VALUE"""),"MultiTradingTicket")</f>
        <v>MultiTradingTicket</v>
      </c>
      <c r="B284" s="0" t="str">
        <f>IFERROR(__xludf.DUMMYFUNCTION("""COMPUTED_VALUE"""),"EditTradeUsingMTT")</f>
        <v>EditTradeUsingMTT</v>
      </c>
      <c r="C284" s="0" t="str">
        <f>IFERROR(__xludf.DUMMYFUNCTION("""COMPUTED_VALUE"""),"1VaJGHF0zBhhJsVgD_iWrTX0Nr78l3r6Vi8qxUzFqfpg")</f>
        <v>1VaJGHF0zBhhJsVgD_iWrTX0Nr78l3r6Vi8qxUzFqfpg</v>
      </c>
    </row>
    <row r="285" ht="15.75" customHeight="1">
      <c r="A285" s="0" t="str">
        <f>IFERROR(__xludf.DUMMYFUNCTION("""COMPUTED_VALUE"""),"MultiTradingTicket")</f>
        <v>MultiTradingTicket</v>
      </c>
      <c r="B285" s="0" t="str">
        <f>IFERROR(__xludf.DUMMYFUNCTION("""COMPUTED_VALUE"""),"SelectTradeUsingMTT")</f>
        <v>SelectTradeUsingMTT</v>
      </c>
      <c r="C285" s="0" t="str">
        <f>IFERROR(__xludf.DUMMYFUNCTION("""COMPUTED_VALUE"""),"1S084g8k68lhm_CzYP_s6hwzDsfQY_6PB602z30FlPho")</f>
        <v>1S084g8k68lhm_CzYP_s6hwzDsfQY_6PB602z30FlPho</v>
      </c>
    </row>
    <row r="286" ht="15.75" customHeight="1">
      <c r="A286" s="0" t="str">
        <f>IFERROR(__xludf.DUMMYFUNCTION("""COMPUTED_VALUE"""),"MultiTradingTicket")</f>
        <v>MultiTradingTicket</v>
      </c>
      <c r="B286" s="0" t="str">
        <f>IFERROR(__xludf.DUMMYFUNCTION("""COMPUTED_VALUE"""),"GetPriceUsingMTT")</f>
        <v>GetPriceUsingMTT</v>
      </c>
      <c r="C286" s="0" t="str">
        <f>IFERROR(__xludf.DUMMYFUNCTION("""COMPUTED_VALUE"""),"1_MlZUjk6ONPxfNtDIiycrqW9OaNnNF1m2u9LLf-5PcQ")</f>
        <v>1_MlZUjk6ONPxfNtDIiycrqW9OaNnNF1m2u9LLf-5PcQ</v>
      </c>
    </row>
    <row r="287" ht="15.75" customHeight="1">
      <c r="A287" s="0" t="str">
        <f>IFERROR(__xludf.DUMMYFUNCTION("""COMPUTED_VALUE"""),"MultiTradingTicket")</f>
        <v>MultiTradingTicket</v>
      </c>
      <c r="B287" s="0" t="str">
        <f>IFERROR(__xludf.DUMMYFUNCTION("""COMPUTED_VALUE"""),"DoneAwayUsingMTT")</f>
        <v>DoneAwayUsingMTT</v>
      </c>
      <c r="C287" s="0" t="str">
        <f>IFERROR(__xludf.DUMMYFUNCTION("""COMPUTED_VALUE"""),"17UYmoBLvsngTQLOZr9QrA8jxOAd0meDTXmZZyvI3OXI")</f>
        <v>17UYmoBLvsngTQLOZr9QrA8jxOAd0meDTXmZZyvI3OXI</v>
      </c>
    </row>
    <row r="288" ht="15.75" customHeight="1">
      <c r="A288" s="0" t="str">
        <f>IFERROR(__xludf.DUMMYFUNCTION("""COMPUTED_VALUE"""),"MultiTradingTicket")</f>
        <v>MultiTradingTicket</v>
      </c>
      <c r="B288" s="0" t="str">
        <f>IFERROR(__xludf.DUMMYFUNCTION("""COMPUTED_VALUE"""),"SendOrderUsingMTT")</f>
        <v>SendOrderUsingMTT</v>
      </c>
      <c r="C288" s="0" t="str">
        <f>IFERROR(__xludf.DUMMYFUNCTION("""COMPUTED_VALUE"""),"1Ncu0Zw9d-NZRpdNoPkeEXa5zXKF9E-P2wsxlX0wuyrc")</f>
        <v>1Ncu0Zw9d-NZRpdNoPkeEXa5zXKF9E-P2wsxlX0wuyrc</v>
      </c>
    </row>
    <row r="289" ht="15.75" customHeight="1">
      <c r="A289" s="0" t="str">
        <f>IFERROR(__xludf.DUMMYFUNCTION("""COMPUTED_VALUE"""),"Allocation")</f>
        <v>Allocation</v>
      </c>
      <c r="B289" s="0" t="str">
        <f>IFERROR(__xludf.DUMMYFUNCTION("""COMPUTED_VALUE"""),"UpdateGRAccountValue")</f>
        <v>UpdateGRAccountValue</v>
      </c>
      <c r="C289" s="0" t="str">
        <f>IFERROR(__xludf.DUMMYFUNCTION("""COMPUTED_VALUE"""),"1JNw9FkwFpwS2PGoV2iPz2qmPWmsTb8csLDPno0EuKzY")</f>
        <v>1JNw9FkwFpwS2PGoV2iPz2qmPWmsTb8csLDPno0EuKzY</v>
      </c>
    </row>
    <row r="290" ht="15.75" customHeight="1">
      <c r="A290" s="0" t="str">
        <f>IFERROR(__xludf.DUMMYFUNCTION("""COMPUTED_VALUE"""),"MultiTradingTicket")</f>
        <v>MultiTradingTicket</v>
      </c>
      <c r="B290" s="0" t="str">
        <f>IFERROR(__xludf.DUMMYFUNCTION("""COMPUTED_VALUE"""),"BulkChangeTradeDoneAway")</f>
        <v>BulkChangeTradeDoneAway</v>
      </c>
      <c r="C290" s="0" t="str">
        <f>IFERROR(__xludf.DUMMYFUNCTION("""COMPUTED_VALUE"""),"18XNfQJN7Pu4gTl1w2NXXhtl6NZpq3a53C0HJQ6Sp57c")</f>
        <v>18XNfQJN7Pu4gTl1w2NXXhtl6NZpq3a53C0HJQ6Sp57c</v>
      </c>
    </row>
    <row r="291" ht="15.75" customHeight="1">
      <c r="A291" s="0" t="str">
        <f>IFERROR(__xludf.DUMMYFUNCTION("""COMPUTED_VALUE"""),"Allocation")</f>
        <v>Allocation</v>
      </c>
      <c r="B291" s="0" t="str">
        <f>IFERROR(__xludf.DUMMYFUNCTION("""COMPUTED_VALUE"""),"UpdateGRStrategyValue")</f>
        <v>UpdateGRStrategyValue</v>
      </c>
      <c r="C291" s="0" t="str">
        <f>IFERROR(__xludf.DUMMYFUNCTION("""COMPUTED_VALUE"""),"1rMIUfcuqi6w1rhs_b8qvPSRahQ4icKmE0M2aOjPpKes")</f>
        <v>1rMIUfcuqi6w1rhs_b8qvPSRahQ4icKmE0M2aOjPpKes</v>
      </c>
    </row>
    <row r="292" ht="15.75" customHeight="1">
      <c r="A292" s="0" t="str">
        <f>IFERROR(__xludf.DUMMYFUNCTION("""COMPUTED_VALUE"""),"Allocation")</f>
        <v>Allocation</v>
      </c>
      <c r="B292" s="0" t="str">
        <f>IFERROR(__xludf.DUMMYFUNCTION("""COMPUTED_VALUE"""),"UpdateGRDefaultRule")</f>
        <v>UpdateGRDefaultRule</v>
      </c>
      <c r="C292" s="0" t="str">
        <f>IFERROR(__xludf.DUMMYFUNCTION("""COMPUTED_VALUE"""),"1pw1PrdXa_R5C5EukiFRPZWxGGq7JT9Agg84XvlWtXHM")</f>
        <v>1pw1PrdXa_R5C5EukiFRPZWxGGq7JT9Agg84XvlWtXHM</v>
      </c>
    </row>
    <row r="293" ht="15.75" customHeight="1">
      <c r="A293" s="0" t="str">
        <f>IFERROR(__xludf.DUMMYFUNCTION("""COMPUTED_VALUE"""),"Allocation")</f>
        <v>Allocation</v>
      </c>
      <c r="B293" s="0" t="str">
        <f>IFERROR(__xludf.DUMMYFUNCTION("""COMPUTED_VALUE"""),"UpdateGeneralRulePref")</f>
        <v>UpdateGeneralRulePref</v>
      </c>
      <c r="C293" s="0" t="str">
        <f>IFERROR(__xludf.DUMMYFUNCTION("""COMPUTED_VALUE"""),"Undefined")</f>
        <v>Undefined</v>
      </c>
    </row>
    <row r="294" ht="15.75" customHeight="1">
      <c r="A294" s="0" t="str">
        <f>IFERROR(__xludf.DUMMYFUNCTION("""COMPUTED_VALUE"""),"Blotter")</f>
        <v>Blotter</v>
      </c>
      <c r="B294" s="0" t="str">
        <f>IFERROR(__xludf.DUMMYFUNCTION("""COMPUTED_VALUE"""),"MultiTradingTicketFromBlotter")</f>
        <v>MultiTradingTicketFromBlotter</v>
      </c>
      <c r="C294" s="0" t="str">
        <f>IFERROR(__xludf.DUMMYFUNCTION("""COMPUTED_VALUE"""),"18LoNnAmIEkgMbba_u6IGuxxf0-Qe0rEpckSjd2uUouw")</f>
        <v>18LoNnAmIEkgMbba_u6IGuxxf0-Qe0rEpckSjd2uUouw</v>
      </c>
    </row>
    <row r="295" ht="15.75" customHeight="1">
      <c r="A295" s="0" t="str">
        <f>IFERROR(__xludf.DUMMYFUNCTION("""COMPUTED_VALUE"""),"CleanUp")</f>
        <v>CleanUp</v>
      </c>
      <c r="B295" s="0" t="str">
        <f>IFERROR(__xludf.DUMMYFUNCTION("""COMPUTED_VALUE"""),"DeleteClientData")</f>
        <v>DeleteClientData</v>
      </c>
      <c r="C295" s="0" t="str">
        <f>IFERROR(__xludf.DUMMYFUNCTION("""COMPUTED_VALUE"""),"1M-iHFf8UTEustA_Kaho7JrgnPvw5cftqwiBeRmymzB8")</f>
        <v>1M-iHFf8UTEustA_Kaho7JrgnPvw5cftqwiBeRmymzB8</v>
      </c>
    </row>
    <row r="296" ht="15.75" customHeight="1">
      <c r="A296" s="0" t="str">
        <f>IFERROR(__xludf.DUMMYFUNCTION("""COMPUTED_VALUE"""),"Allocation")</f>
        <v>Allocation</v>
      </c>
      <c r="B296" s="0" t="str">
        <f>IFERROR(__xludf.DUMMYFUNCTION("""COMPUTED_VALUE"""),"ModifyGRPreferenceValues")</f>
        <v>ModifyGRPreferenceValues</v>
      </c>
      <c r="C296" s="0" t="str">
        <f>IFERROR(__xludf.DUMMYFUNCTION("""COMPUTED_VALUE"""),"Undefined")</f>
        <v>Undefined</v>
      </c>
    </row>
    <row r="297" ht="15.75" customHeight="1">
      <c r="A297" s="0" t="str">
        <f>IFERROR(__xludf.DUMMYFUNCTION("""COMPUTED_VALUE"""),"Allocation")</f>
        <v>Allocation</v>
      </c>
      <c r="B297" s="0" t="str">
        <f>IFERROR(__xludf.DUMMYFUNCTION("""COMPUTED_VALUE"""),"AddMFPreferences")</f>
        <v>AddMFPreferences</v>
      </c>
      <c r="C297" s="0" t="str">
        <f>IFERROR(__xludf.DUMMYFUNCTION("""COMPUTED_VALUE"""),"1IlEdaeUqOBtg4mM4gYsuJa70B8Sbnp7plSyIOiAVIgk")</f>
        <v>1IlEdaeUqOBtg4mM4gYsuJa70B8Sbnp7plSyIOiAVIgk</v>
      </c>
    </row>
    <row r="298" ht="15.75" customHeight="1">
      <c r="A298" s="0" t="str">
        <f>IFERROR(__xludf.DUMMYFUNCTION("""COMPUTED_VALUE"""),"Allocation")</f>
        <v>Allocation</v>
      </c>
      <c r="B298" s="0" t="str">
        <f>IFERROR(__xludf.DUMMYFUNCTION("""COMPUTED_VALUE"""),"AddMFPreferenceToolbar")</f>
        <v>AddMFPreferenceToolbar</v>
      </c>
      <c r="C298" s="0" t="str">
        <f>IFERROR(__xludf.DUMMYFUNCTION("""COMPUTED_VALUE"""),"1dj8bA6nfZ1fxsLG7C3A_Ek0CtDIB8q7FR_rcxshATwQ")</f>
        <v>1dj8bA6nfZ1fxsLG7C3A_Ek0CtDIB8q7FR_rcxshATwQ</v>
      </c>
    </row>
    <row r="299" ht="15.75" customHeight="1">
      <c r="A299" s="0" t="str">
        <f>IFERROR(__xludf.DUMMYFUNCTION("""COMPUTED_VALUE"""),"Allocation")</f>
        <v>Allocation</v>
      </c>
      <c r="B299" s="0" t="str">
        <f>IFERROR(__xludf.DUMMYFUNCTION("""COMPUTED_VALUE"""),"DeleteMFPreferences")</f>
        <v>DeleteMFPreferences</v>
      </c>
      <c r="C299" s="0" t="str">
        <f>IFERROR(__xludf.DUMMYFUNCTION("""COMPUTED_VALUE"""),"1Dll2sWDtcfuwrpiTqSe-eN4inI0LypdXOVltGtNIqu8")</f>
        <v>1Dll2sWDtcfuwrpiTqSe-eN4inI0LypdXOVltGtNIqu8</v>
      </c>
    </row>
    <row r="300" ht="15.75" customHeight="1">
      <c r="A300" s="0" t="str">
        <f>IFERROR(__xludf.DUMMYFUNCTION("""COMPUTED_VALUE"""),"Allocation")</f>
        <v>Allocation</v>
      </c>
      <c r="B300" s="0" t="str">
        <f>IFERROR(__xludf.DUMMYFUNCTION("""COMPUTED_VALUE"""),"DeleteMFPreferenceToolbar")</f>
        <v>DeleteMFPreferenceToolbar</v>
      </c>
      <c r="C300" s="0" t="str">
        <f>IFERROR(__xludf.DUMMYFUNCTION("""COMPUTED_VALUE"""),"1lPnz-FV1f1G2GPvvQCySelg_zICYLc6nPkmy7MrNpX8")</f>
        <v>1lPnz-FV1f1G2GPvvQCySelg_zICYLc6nPkmy7MrNpX8</v>
      </c>
    </row>
    <row r="301" ht="15.75" customHeight="1">
      <c r="A301" s="0" t="str">
        <f>IFERROR(__xludf.DUMMYFUNCTION("""COMPUTED_VALUE"""),"Allocation")</f>
        <v>Allocation</v>
      </c>
      <c r="B301" s="0" t="str">
        <f>IFERROR(__xludf.DUMMYFUNCTION("""COMPUTED_VALUE"""),"RenameMFPreferences")</f>
        <v>RenameMFPreferences</v>
      </c>
      <c r="C301" s="0" t="str">
        <f>IFERROR(__xludf.DUMMYFUNCTION("""COMPUTED_VALUE"""),"16cTYyVqnDb0UBDA_IpfqwmNHyWAe8Ms-xO7jo-FKn0A")</f>
        <v>16cTYyVqnDb0UBDA_IpfqwmNHyWAe8Ms-xO7jo-FKn0A</v>
      </c>
    </row>
    <row r="302" ht="15.75" customHeight="1">
      <c r="A302" s="0" t="str">
        <f>IFERROR(__xludf.DUMMYFUNCTION("""COMPUTED_VALUE"""),"Allocation")</f>
        <v>Allocation</v>
      </c>
      <c r="B302" s="0" t="str">
        <f>IFERROR(__xludf.DUMMYFUNCTION("""COMPUTED_VALUE"""),"SaveCloseMFPreference")</f>
        <v>SaveCloseMFPreference</v>
      </c>
      <c r="C302" s="0" t="str">
        <f>IFERROR(__xludf.DUMMYFUNCTION("""COMPUTED_VALUE"""),"Undefined")</f>
        <v>Undefined</v>
      </c>
    </row>
    <row r="303" ht="15.75" customHeight="1">
      <c r="A303" s="0" t="str">
        <f>IFERROR(__xludf.DUMMYFUNCTION("""COMPUTED_VALUE"""),"Allocation")</f>
        <v>Allocation</v>
      </c>
      <c r="B303" s="0" t="str">
        <f>IFERROR(__xludf.DUMMYFUNCTION("""COMPUTED_VALUE"""),"SetMFPrefAccountValues")</f>
        <v>SetMFPrefAccountValues</v>
      </c>
      <c r="C303" s="0" t="str">
        <f>IFERROR(__xludf.DUMMYFUNCTION("""COMPUTED_VALUE"""),"1Owu2cic47Z8WbUo7WLWwgVPP5PNVHDHm-co-OUWbgmc")</f>
        <v>1Owu2cic47Z8WbUo7WLWwgVPP5PNVHDHm-co-OUWbgmc</v>
      </c>
    </row>
    <row r="304" ht="15.75" customHeight="1">
      <c r="A304" s="0" t="str">
        <f>IFERROR(__xludf.DUMMYFUNCTION("""COMPUTED_VALUE"""),"Allocation")</f>
        <v>Allocation</v>
      </c>
      <c r="B304" s="0" t="str">
        <f>IFERROR(__xludf.DUMMYFUNCTION("""COMPUTED_VALUE"""),"ModifyMFPrefGeneralRuleValues")</f>
        <v>ModifyMFPrefGeneralRuleValues</v>
      </c>
      <c r="C304" s="0" t="str">
        <f>IFERROR(__xludf.DUMMYFUNCTION("""COMPUTED_VALUE"""),"Undefined")</f>
        <v>Undefined</v>
      </c>
    </row>
    <row r="305" ht="15.75" customHeight="1">
      <c r="A305" s="0" t="str">
        <f>IFERROR(__xludf.DUMMYFUNCTION("""COMPUTED_VALUE"""),"Allocation")</f>
        <v>Allocation</v>
      </c>
      <c r="B305" s="0" t="str">
        <f>IFERROR(__xludf.DUMMYFUNCTION("""COMPUTED_VALUE"""),"SetMFPrefStrategyValues")</f>
        <v>SetMFPrefStrategyValues</v>
      </c>
      <c r="C305" s="0" t="str">
        <f>IFERROR(__xludf.DUMMYFUNCTION("""COMPUTED_VALUE"""),"1Y50AzSmKdg7JfFK_LD8Z_vfcYqmFBTY5OUH-3AWHhgI")</f>
        <v>1Y50AzSmKdg7JfFK_LD8Z_vfcYqmFBTY5OUH-3AWHhgI</v>
      </c>
    </row>
    <row r="306" ht="15.75" customHeight="1">
      <c r="A306" s="0" t="str">
        <f>IFERROR(__xludf.DUMMYFUNCTION("""COMPUTED_VALUE"""),"Allocation")</f>
        <v>Allocation</v>
      </c>
      <c r="B306" s="0" t="str">
        <f>IFERROR(__xludf.DUMMYFUNCTION("""COMPUTED_VALUE"""),"SetMFPrefGeneralRule")</f>
        <v>SetMFPrefGeneralRule</v>
      </c>
      <c r="C306" s="0" t="str">
        <f>IFERROR(__xludf.DUMMYFUNCTION("""COMPUTED_VALUE"""),"1wTPQxotwV6JCtfSovv5YJI6ZA3N8v8QfO3Rl7M8WBw4")</f>
        <v>1wTPQxotwV6JCtfSovv5YJI6ZA3N8v8QfO3Rl7M8WBw4</v>
      </c>
    </row>
    <row r="307" ht="15.75" customHeight="1">
      <c r="A307" s="0" t="str">
        <f>IFERROR(__xludf.DUMMYFUNCTION("""COMPUTED_VALUE"""),"Allocation")</f>
        <v>Allocation</v>
      </c>
      <c r="B307" s="0" t="str">
        <f>IFERROR(__xludf.DUMMYFUNCTION("""COMPUTED_VALUE"""),"SetMFPrefFundDistribution")</f>
        <v>SetMFPrefFundDistribution</v>
      </c>
      <c r="C307" s="0" t="str">
        <f>IFERROR(__xludf.DUMMYFUNCTION("""COMPUTED_VALUE"""),"1J8U9t3KVSIgtMdaCtvDl7vczUVKJ0rbXoktGlC0pouM")</f>
        <v>1J8U9t3KVSIgtMdaCtvDl7vczUVKJ0rbXoktGlC0pouM</v>
      </c>
    </row>
    <row r="308" ht="15.75" customHeight="1">
      <c r="A308" s="0" t="str">
        <f>IFERROR(__xludf.DUMMYFUNCTION("""COMPUTED_VALUE"""),"Allocation")</f>
        <v>Allocation</v>
      </c>
      <c r="B308" s="0" t="str">
        <f>IFERROR(__xludf.DUMMYFUNCTION("""COMPUTED_VALUE"""),"SetMFPreferencesDefaultRule")</f>
        <v>SetMFPreferencesDefaultRule</v>
      </c>
      <c r="C308" s="0" t="str">
        <f>IFERROR(__xludf.DUMMYFUNCTION("""COMPUTED_VALUE"""),"19ADTickI55w_f0Qh4KDprj-ycjacQTK1rRm3kN1lL9I")</f>
        <v>19ADTickI55w_f0Qh4KDprj-ycjacQTK1rRm3kN1lL9I</v>
      </c>
    </row>
    <row r="309" ht="15.75" customHeight="1">
      <c r="A309" s="0" t="str">
        <f>IFERROR(__xludf.DUMMYFUNCTION("""COMPUTED_VALUE"""),"Allocation")</f>
        <v>Allocation</v>
      </c>
      <c r="B309" s="0" t="str">
        <f>IFERROR(__xludf.DUMMYFUNCTION("""COMPUTED_VALUE"""),"SetMFPrefFundDefaultRule")</f>
        <v>SetMFPrefFundDefaultRule</v>
      </c>
      <c r="C309" s="0" t="str">
        <f>IFERROR(__xludf.DUMMYFUNCTION("""COMPUTED_VALUE"""),"16-eFUIQ3ukzsjSPxB24KZvEky-ECCg70eA4oWMP0k-0")</f>
        <v>16-eFUIQ3ukzsjSPxB24KZvEky-ECCg70eA4oWMP0k-0</v>
      </c>
    </row>
    <row r="310" ht="15.75" customHeight="1">
      <c r="A310" s="0" t="str">
        <f>IFERROR(__xludf.DUMMYFUNCTION("""COMPUTED_VALUE"""),"PTT")</f>
        <v>PTT</v>
      </c>
      <c r="B310" s="0" t="str">
        <f>IFERROR(__xludf.DUMMYFUNCTION("""COMPUTED_VALUE"""),"SetAccountFactor")</f>
        <v>SetAccountFactor</v>
      </c>
      <c r="C310" s="0" t="str">
        <f>IFERROR(__xludf.DUMMYFUNCTION("""COMPUTED_VALUE"""),"10BtQvahVCYnraPnKKsXTlDDrXH35Dfu57xMmuGesPbw")</f>
        <v>10BtQvahVCYnraPnKKsXTlDDrXH35Dfu57xMmuGesPbw</v>
      </c>
    </row>
    <row r="311" ht="15.75" customHeight="1">
      <c r="A311" s="0" t="str">
        <f>IFERROR(__xludf.DUMMYFUNCTION("""COMPUTED_VALUE"""),"Allocation")</f>
        <v>Allocation</v>
      </c>
      <c r="B311" s="0" t="str">
        <f>IFERROR(__xludf.DUMMYFUNCTION("""COMPUTED_VALUE"""),"ClearPrefetchFilters")</f>
        <v>ClearPrefetchFilters</v>
      </c>
      <c r="C311" s="0" t="str">
        <f>IFERROR(__xludf.DUMMYFUNCTION("""COMPUTED_VALUE"""),"Undefined")</f>
        <v>Undefined</v>
      </c>
    </row>
    <row r="312" ht="15.75" customHeight="1">
      <c r="A312" s="0" t="str">
        <f>IFERROR(__xludf.DUMMYFUNCTION("""COMPUTED_VALUE"""),"Allocation")</f>
        <v>Allocation</v>
      </c>
      <c r="B312" s="0" t="str">
        <f>IFERROR(__xludf.DUMMYFUNCTION("""COMPUTED_VALUE"""),"ExpandCollapseAllUnallocated")</f>
        <v>ExpandCollapseAllUnallocated</v>
      </c>
      <c r="C312" s="0" t="str">
        <f>IFERROR(__xludf.DUMMYFUNCTION("""COMPUTED_VALUE"""),"1FlgjlUfMB_Ov2ajxqPDBmx4FjNzjR-hUBeEMwt9iQY4")</f>
        <v>1FlgjlUfMB_Ov2ajxqPDBmx4FjNzjR-hUBeEMwt9iQY4</v>
      </c>
    </row>
    <row r="313" ht="15.75" customHeight="1">
      <c r="A313" s="0" t="str">
        <f>IFERROR(__xludf.DUMMYFUNCTION("""COMPUTED_VALUE"""),"Allocation")</f>
        <v>Allocation</v>
      </c>
      <c r="B313" s="0" t="str">
        <f>IFERROR(__xludf.DUMMYFUNCTION("""COMPUTED_VALUE"""),"ExpandCollapseAllAllocated")</f>
        <v>ExpandCollapseAllAllocated</v>
      </c>
      <c r="C313" s="0" t="str">
        <f>IFERROR(__xludf.DUMMYFUNCTION("""COMPUTED_VALUE"""),"1ehtDHXUOwy3gDt4GoAJ9GbAoxhAGxjndnc_T-1yFgR8")</f>
        <v>1ehtDHXUOwy3gDt4GoAJ9GbAoxhAGxjndnc_T-1yFgR8</v>
      </c>
    </row>
    <row r="314" ht="15.75" customHeight="1">
      <c r="A314" s="0" t="str">
        <f>IFERROR(__xludf.DUMMYFUNCTION("""COMPUTED_VALUE"""),"Allocation")</f>
        <v>Allocation</v>
      </c>
      <c r="B314" s="0" t="str">
        <f>IFERROR(__xludf.DUMMYFUNCTION("""COMPUTED_VALUE"""),"GenerateCashTransaction")</f>
        <v>GenerateCashTransaction</v>
      </c>
      <c r="C314" s="0" t="str">
        <f>IFERROR(__xludf.DUMMYFUNCTION("""COMPUTED_VALUE"""),"1cmWZ4-ng-hApE-psRT8bSWDbTVr7SYk0cVc8bUH6io8")</f>
        <v>1cmWZ4-ng-hApE-psRT8bSWDbTVr7SYk0cVc8bUH6io8</v>
      </c>
    </row>
    <row r="315" ht="15.75" customHeight="1">
      <c r="A315" s="0" t="str">
        <f>IFERROR(__xludf.DUMMYFUNCTION("""COMPUTED_VALUE"""),"Allocation")</f>
        <v>Allocation</v>
      </c>
      <c r="B315" s="0" t="str">
        <f>IFERROR(__xludf.DUMMYFUNCTION("""COMPUTED_VALUE"""),"SaveAllocation")</f>
        <v>SaveAllocation</v>
      </c>
      <c r="C315" s="0" t="str">
        <f>IFERROR(__xludf.DUMMYFUNCTION("""COMPUTED_VALUE"""),"Undefined")</f>
        <v>Undefined</v>
      </c>
    </row>
    <row r="316" ht="15.75" customHeight="1">
      <c r="A316" s="0" t="str">
        <f>IFERROR(__xludf.DUMMYFUNCTION("""COMPUTED_VALUE"""),"Allocation")</f>
        <v>Allocation</v>
      </c>
      <c r="B316" s="0" t="str">
        <f>IFERROR(__xludf.DUMMYFUNCTION("""COMPUTED_VALUE"""),"UnallocateWithOutSave")</f>
        <v>UnallocateWithOutSave</v>
      </c>
      <c r="C316" s="0" t="str">
        <f>IFERROR(__xludf.DUMMYFUNCTION("""COMPUTED_VALUE"""),"1L9Jzxvuy5z_ke_fw4Ut_3K-JV6BVs1ABWW5abckiRuk")</f>
        <v>1L9Jzxvuy5z_ke_fw4Ut_3K-JV6BVs1ABWW5abckiRuk</v>
      </c>
    </row>
    <row r="317" ht="15.75" customHeight="1">
      <c r="A317" s="0" t="str">
        <f>IFERROR(__xludf.DUMMYFUNCTION("""COMPUTED_VALUE"""),"TradeServer")</f>
        <v>TradeServer</v>
      </c>
      <c r="B317" s="0" t="str">
        <f>IFERROR(__xludf.DUMMYFUNCTION("""COMPUTED_VALUE"""),"UpdateServerConfig")</f>
        <v>UpdateServerConfig</v>
      </c>
      <c r="C317" s="0" t="str">
        <f>IFERROR(__xludf.DUMMYFUNCTION("""COMPUTED_VALUE"""),"1TpAslQOfNHC2s8O1Pa0jlryh5LOsLayesGJ-HdRVDoY")</f>
        <v>1TpAslQOfNHC2s8O1Pa0jlryh5LOsLayesGJ-HdRVDoY</v>
      </c>
    </row>
    <row r="318" ht="15.75" customHeight="1">
      <c r="A318" s="0" t="str">
        <f>IFERROR(__xludf.DUMMYFUNCTION("""COMPUTED_VALUE"""),"PricingServer")</f>
        <v>PricingServer</v>
      </c>
      <c r="B318" s="0" t="str">
        <f>IFERROR(__xludf.DUMMYFUNCTION("""COMPUTED_VALUE"""),"UpdatePricingConfig")</f>
        <v>UpdatePricingConfig</v>
      </c>
      <c r="C318" s="0" t="str">
        <f>IFERROR(__xludf.DUMMYFUNCTION("""COMPUTED_VALUE"""),"1Bu2vtRhzucwHoO-CJpsj3Z5UqUWOWJKUcbkMM6vGTqo")</f>
        <v>1Bu2vtRhzucwHoO-CJpsj3Z5UqUWOWJKUcbkMM6vGTqo</v>
      </c>
    </row>
    <row r="319" ht="15.75" customHeight="1">
      <c r="A319" s="0" t="str">
        <f>IFERROR(__xludf.DUMMYFUNCTION("""COMPUTED_VALUE"""),"PranaClient")</f>
        <v>PranaClient</v>
      </c>
      <c r="B319" s="0" t="str">
        <f>IFERROR(__xludf.DUMMYFUNCTION("""COMPUTED_VALUE"""),"UpdateClientConfig")</f>
        <v>UpdateClientConfig</v>
      </c>
      <c r="C319" s="0" t="str">
        <f>IFERROR(__xludf.DUMMYFUNCTION("""COMPUTED_VALUE"""),"18PkgWy5HKnMMEpYHNfztlnZCng_Slh7Iy3Jjdf9FnyI")</f>
        <v>18PkgWy5HKnMMEpYHNfztlnZCng_Slh7Iy3Jjdf9FnyI</v>
      </c>
    </row>
    <row r="320" ht="15.75" customHeight="1">
      <c r="A320" s="0" t="str">
        <f>IFERROR(__xludf.DUMMYFUNCTION("""COMPUTED_VALUE"""),"PortfolioManagement")</f>
        <v>PortfolioManagement</v>
      </c>
      <c r="B320" s="0" t="str">
        <f>IFERROR(__xludf.DUMMYFUNCTION("""COMPUTED_VALUE"""),"OpenClosingFromPM")</f>
        <v>OpenClosingFromPM</v>
      </c>
      <c r="C320" s="0" t="str">
        <f>IFERROR(__xludf.DUMMYFUNCTION("""COMPUTED_VALUE"""),"undefined")</f>
        <v>undefined</v>
      </c>
    </row>
    <row r="321" ht="15.75" customHeight="1">
      <c r="A321" s="0" t="str">
        <f>IFERROR(__xludf.DUMMYFUNCTION("""COMPUTED_VALUE"""),"PortfolioManagement")</f>
        <v>PortfolioManagement</v>
      </c>
      <c r="B321" s="0" t="str">
        <f>IFERROR(__xludf.DUMMYFUNCTION("""COMPUTED_VALUE"""),"OpenCorporateActionFromPM")</f>
        <v>OpenCorporateActionFromPM</v>
      </c>
      <c r="C321" s="0" t="str">
        <f>IFERROR(__xludf.DUMMYFUNCTION("""COMPUTED_VALUE"""),"undefined")</f>
        <v>undefined</v>
      </c>
    </row>
    <row r="322" ht="15.75" customHeight="1">
      <c r="A322" s="0" t="str">
        <f>IFERROR(__xludf.DUMMYFUNCTION("""COMPUTED_VALUE"""),"PortfolioManagement")</f>
        <v>PortfolioManagement</v>
      </c>
      <c r="B322" s="0" t="str">
        <f>IFERROR(__xludf.DUMMYFUNCTION("""COMPUTED_VALUE"""),"OpenDailyValuationFromPM")</f>
        <v>OpenDailyValuationFromPM</v>
      </c>
      <c r="C322" s="0" t="str">
        <f>IFERROR(__xludf.DUMMYFUNCTION("""COMPUTED_VALUE"""),"undefined")</f>
        <v>undefined</v>
      </c>
    </row>
    <row r="323" ht="15.75" customHeight="1">
      <c r="A323" s="0" t="str">
        <f>IFERROR(__xludf.DUMMYFUNCTION("""COMPUTED_VALUE"""),"PortfolioManagement")</f>
        <v>PortfolioManagement</v>
      </c>
      <c r="B323" s="0" t="str">
        <f>IFERROR(__xludf.DUMMYFUNCTION("""COMPUTED_VALUE"""),"ClosePositionFromPM")</f>
        <v>ClosePositionFromPM</v>
      </c>
      <c r="C323" s="0" t="str">
        <f>IFERROR(__xludf.DUMMYFUNCTION("""COMPUTED_VALUE"""),"1EH8pKjhhBPNLqmDrqbG0JqtjsXaV8KJYA6l5N4MrrIY")</f>
        <v>1EH8pKjhhBPNLqmDrqbG0JqtjsXaV8KJYA6l5N4MrrIY</v>
      </c>
    </row>
    <row r="324" ht="15.75" customHeight="1">
      <c r="A324" s="0" t="str">
        <f>IFERROR(__xludf.DUMMYFUNCTION("""COMPUTED_VALUE"""),"PortfolioManagement")</f>
        <v>PortfolioManagement</v>
      </c>
      <c r="B324" s="0" t="str">
        <f>IFERROR(__xludf.DUMMYFUNCTION("""COMPUTED_VALUE"""),"ShowSummaryToolFromPM")</f>
        <v>ShowSummaryToolFromPM</v>
      </c>
      <c r="C324" s="0" t="str">
        <f>IFERROR(__xludf.DUMMYFUNCTION("""COMPUTED_VALUE"""),"Undefined")</f>
        <v>Undefined</v>
      </c>
    </row>
    <row r="325" ht="15.75" customHeight="1">
      <c r="A325" s="0" t="str">
        <f>IFERROR(__xludf.DUMMYFUNCTION("""COMPUTED_VALUE"""),"PortfolioManagement")</f>
        <v>PortfolioManagement</v>
      </c>
      <c r="B325" s="0" t="str">
        <f>IFERROR(__xludf.DUMMYFUNCTION("""COMPUTED_VALUE"""),"HideSummaryToolFromPM")</f>
        <v>HideSummaryToolFromPM</v>
      </c>
      <c r="C325" s="0" t="str">
        <f>IFERROR(__xludf.DUMMYFUNCTION("""COMPUTED_VALUE"""),"Undefined")</f>
        <v>Undefined</v>
      </c>
    </row>
    <row r="326" ht="15.75" customHeight="1">
      <c r="A326" s="0" t="str">
        <f>IFERROR(__xludf.DUMMYFUNCTION("""COMPUTED_VALUE"""),"PortfolioManagement")</f>
        <v>PortfolioManagement</v>
      </c>
      <c r="B326" s="0" t="str">
        <f>IFERROR(__xludf.DUMMYFUNCTION("""COMPUTED_VALUE"""),"CloseAccountPositionFromPM")</f>
        <v>CloseAccountPositionFromPM</v>
      </c>
      <c r="C326" s="0" t="str">
        <f>IFERROR(__xludf.DUMMYFUNCTION("""COMPUTED_VALUE"""),"1gZaSRFUpO1ruQv0px2yVE7mLEnMKIc_QL_JxhUJns6w")</f>
        <v>1gZaSRFUpO1ruQv0px2yVE7mLEnMKIc_QL_JxhUJns6w</v>
      </c>
    </row>
    <row r="327" ht="15.75" customHeight="1">
      <c r="A327" s="0" t="str">
        <f>IFERROR(__xludf.DUMMYFUNCTION("""COMPUTED_VALUE"""),"PortfolioManagement")</f>
        <v>PortfolioManagement</v>
      </c>
      <c r="B327" s="0" t="str">
        <f>IFERROR(__xludf.DUMMYFUNCTION("""COMPUTED_VALUE"""),"CloseSelectedTaxlotsFromPM")</f>
        <v>CloseSelectedTaxlotsFromPM</v>
      </c>
      <c r="C327" s="0" t="str">
        <f>IFERROR(__xludf.DUMMYFUNCTION("""COMPUTED_VALUE"""),"1Z8sb4__Lg0JalM6pM6xkVc_TiLbeNHrj6IknKSnL5H4")</f>
        <v>1Z8sb4__Lg0JalM6pM6xkVc_TiLbeNHrj6IknKSnL5H4</v>
      </c>
    </row>
    <row r="328" ht="15.75" customHeight="1">
      <c r="A328" s="0" t="str">
        <f>IFERROR(__xludf.DUMMYFUNCTION("""COMPUTED_VALUE"""),"PortfolioManagement")</f>
        <v>PortfolioManagement</v>
      </c>
      <c r="B328" s="0" t="str">
        <f>IFERROR(__xludf.DUMMYFUNCTION("""COMPUTED_VALUE"""),"ExpandCollapsePM")</f>
        <v>ExpandCollapsePM</v>
      </c>
      <c r="C328" s="0" t="str">
        <f>IFERROR(__xludf.DUMMYFUNCTION("""COMPUTED_VALUE"""),"16iKUzpEpEJO_Bl2pXlVRM-vD5UK97D5AFC9rw46xLBk")</f>
        <v>16iKUzpEpEJO_Bl2pXlVRM-vD5UK97D5AFC9rw46xLBk</v>
      </c>
    </row>
    <row r="329" ht="15.75" customHeight="1">
      <c r="A329" s="0" t="str">
        <f>IFERROR(__xludf.DUMMYFUNCTION("""COMPUTED_VALUE"""),"PortfolioManagement")</f>
        <v>PortfolioManagement</v>
      </c>
      <c r="B329" s="0" t="str">
        <f>IFERROR(__xludf.DUMMYFUNCTION("""COMPUTED_VALUE"""),"AddCustomViewPM")</f>
        <v>AddCustomViewPM</v>
      </c>
      <c r="C329" s="0" t="str">
        <f>IFERROR(__xludf.DUMMYFUNCTION("""COMPUTED_VALUE"""),"1RTjztF0M6g7xcSJNmqN1nHi0V-gzwXQuBB4-RbMrIdA")</f>
        <v>1RTjztF0M6g7xcSJNmqN1nHi0V-gzwXQuBB4-RbMrIdA</v>
      </c>
    </row>
    <row r="330" ht="15.75" customHeight="1">
      <c r="A330" s="0" t="str">
        <f>IFERROR(__xludf.DUMMYFUNCTION("""COMPUTED_VALUE"""),"PortfolioManagement")</f>
        <v>PortfolioManagement</v>
      </c>
      <c r="B330" s="0" t="str">
        <f>IFERROR(__xludf.DUMMYFUNCTION("""COMPUTED_VALUE"""),"AddCustomViewRightClickPM")</f>
        <v>AddCustomViewRightClickPM</v>
      </c>
      <c r="C330" s="0" t="str">
        <f>IFERROR(__xludf.DUMMYFUNCTION("""COMPUTED_VALUE"""),"1oiSYwztRGp8xzlvAitHk5O2zskEABIhO5tgHUEL1svc")</f>
        <v>1oiSYwztRGp8xzlvAitHk5O2zskEABIhO5tgHUEL1svc</v>
      </c>
    </row>
    <row r="331" ht="15.75" customHeight="1">
      <c r="A331" s="0" t="str">
        <f>IFERROR(__xludf.DUMMYFUNCTION("""COMPUTED_VALUE"""),"PortfolioManagement")</f>
        <v>PortfolioManagement</v>
      </c>
      <c r="B331" s="0" t="str">
        <f>IFERROR(__xludf.DUMMYFUNCTION("""COMPUTED_VALUE"""),"RenameCustomViewPM")</f>
        <v>RenameCustomViewPM</v>
      </c>
      <c r="C331" s="0" t="str">
        <f>IFERROR(__xludf.DUMMYFUNCTION("""COMPUTED_VALUE"""),"17QovWM75UjApdwFwFRSmfy8ed2oBNL4vbwf5BJpKNtg")</f>
        <v>17QovWM75UjApdwFwFRSmfy8ed2oBNL4vbwf5BJpKNtg</v>
      </c>
    </row>
    <row r="332" ht="15.75" customHeight="1">
      <c r="A332" s="0" t="str">
        <f>IFERROR(__xludf.DUMMYFUNCTION("""COMPUTED_VALUE"""),"PortfolioManagement")</f>
        <v>PortfolioManagement</v>
      </c>
      <c r="B332" s="0" t="str">
        <f>IFERROR(__xludf.DUMMYFUNCTION("""COMPUTED_VALUE"""),"DeleteCustomViewPM")</f>
        <v>DeleteCustomViewPM</v>
      </c>
      <c r="C332" s="0" t="str">
        <f>IFERROR(__xludf.DUMMYFUNCTION("""COMPUTED_VALUE"""),"1_kadfg1NiQaQ44l2s4JaAOdX0oK0uIiEpEpcE8kSXc4")</f>
        <v>1_kadfg1NiQaQ44l2s4JaAOdX0oK0uIiEpEpcE8kSXc4</v>
      </c>
    </row>
    <row r="333" ht="15.75" customHeight="1">
      <c r="A333" s="0" t="str">
        <f>IFERROR(__xludf.DUMMYFUNCTION("""COMPUTED_VALUE"""),"Closing")</f>
        <v>Closing</v>
      </c>
      <c r="B333" s="0" t="str">
        <f>IFERROR(__xludf.DUMMYFUNCTION("""COMPUTED_VALUE"""),"SetClosingPreference")</f>
        <v>SetClosingPreference</v>
      </c>
      <c r="C333" s="0" t="str">
        <f>IFERROR(__xludf.DUMMYFUNCTION("""COMPUTED_VALUE"""),"1rIgT_oUd8VYn3uvQkaqypsWXPI5mArskMgfPFTMOqy4")</f>
        <v>1rIgT_oUd8VYn3uvQkaqypsWXPI5mArskMgfPFTMOqy4</v>
      </c>
    </row>
    <row r="334" ht="15.75" customHeight="1">
      <c r="A334" s="0" t="str">
        <f>IFERROR(__xludf.DUMMYFUNCTION("""COMPUTED_VALUE"""),"CreateTransaction")</f>
        <v>CreateTransaction</v>
      </c>
      <c r="B334" s="0" t="str">
        <f>IFERROR(__xludf.DUMMYFUNCTION("""COMPUTED_VALUE"""),"SaveTransaction")</f>
        <v>SaveTransaction</v>
      </c>
      <c r="C334" s="0" t="str">
        <f>IFERROR(__xludf.DUMMYFUNCTION("""COMPUTED_VALUE"""),"Undefined")</f>
        <v>Undefined</v>
      </c>
    </row>
    <row r="335" ht="15.75" customHeight="1">
      <c r="A335" s="0" t="str">
        <f>IFERROR(__xludf.DUMMYFUNCTION("""COMPUTED_VALUE"""),"Allocation")</f>
        <v>Allocation</v>
      </c>
      <c r="B335" s="0" t="str">
        <f>IFERROR(__xludf.DUMMYFUNCTION("""COMPUTED_VALUE"""),"EditUnallocatedGrid")</f>
        <v>EditUnallocatedGrid</v>
      </c>
      <c r="C335" s="0" t="str">
        <f>IFERROR(__xludf.DUMMYFUNCTION("""COMPUTED_VALUE"""),"1CjzXvuGPVDt7n4wJXsXH_CROBLKwj-GiagtBRetK2qU")</f>
        <v>1CjzXvuGPVDt7n4wJXsXH_CROBLKwj-GiagtBRetK2qU</v>
      </c>
    </row>
    <row r="336" ht="15.75" customHeight="1">
      <c r="A336" s="0" t="str">
        <f>IFERROR(__xludf.DUMMYFUNCTION("""COMPUTED_VALUE"""),"Allocation")</f>
        <v>Allocation</v>
      </c>
      <c r="B336" s="0" t="str">
        <f>IFERROR(__xludf.DUMMYFUNCTION("""COMPUTED_VALUE"""),"EditAllocatedGrid")</f>
        <v>EditAllocatedGrid</v>
      </c>
      <c r="C336" s="0" t="str">
        <f>IFERROR(__xludf.DUMMYFUNCTION("""COMPUTED_VALUE"""),"17D-CeSv7zeLu6w3e6KeVgmSR8GUhyfnVkMBKFVBrARI")</f>
        <v>17D-CeSv7zeLu6w3e6KeVgmSR8GUhyfnVkMBKFVBrARI</v>
      </c>
    </row>
    <row r="337" ht="15.75" customHeight="1">
      <c r="A337" s="0" t="str">
        <f>IFERROR(__xludf.DUMMYFUNCTION("""COMPUTED_VALUE"""),"PTT")</f>
        <v>PTT</v>
      </c>
      <c r="B337" s="0" t="str">
        <f>IFERROR(__xludf.DUMMYFUNCTION("""COMPUTED_VALUE"""),"SetPTTPreference")</f>
        <v>SetPTTPreference</v>
      </c>
      <c r="C337" s="0" t="str">
        <f>IFERROR(__xludf.DUMMYFUNCTION("""COMPUTED_VALUE"""),"1JV2odq8th8dTkDYRpq9RVp4raTtWdmbKUn5nMJX441s")</f>
        <v>1JV2odq8th8dTkDYRpq9RVp4raTtWdmbKUn5nMJX441s</v>
      </c>
    </row>
    <row r="338" ht="15.75" customHeight="1">
      <c r="A338" s="0" t="str">
        <f>IFERROR(__xludf.DUMMYFUNCTION("""COMPUTED_VALUE"""),"PTT")</f>
        <v>PTT</v>
      </c>
      <c r="B338" s="0" t="str">
        <f>IFERROR(__xludf.DUMMYFUNCTION("""COMPUTED_VALUE"""),"SetLongShortPTTPreference")</f>
        <v>SetLongShortPTTPreference</v>
      </c>
      <c r="C338" s="0" t="str">
        <f>IFERROR(__xludf.DUMMYFUNCTION("""COMPUTED_VALUE"""),"1sVj_55a0V51yYMgEL9RB8hYTgtzHoJcBI5hYzjILSRk")</f>
        <v>1sVj_55a0V51yYMgEL9RB8hYTgtzHoJcBI5hYzjILSRk</v>
      </c>
    </row>
    <row r="339" ht="15.75" customHeight="1">
      <c r="A339" s="0" t="str">
        <f>IFERROR(__xludf.DUMMYFUNCTION("""COMPUTED_VALUE"""),"TradingTicket")</f>
        <v>TradingTicket</v>
      </c>
      <c r="B339" s="0" t="str">
        <f>IFERROR(__xludf.DUMMYFUNCTION("""COMPUTED_VALUE"""),"VerifyTT")</f>
        <v>VerifyTT</v>
      </c>
      <c r="C339" s="0" t="str">
        <f>IFERROR(__xludf.DUMMYFUNCTION("""COMPUTED_VALUE"""),"1OWqgdRDfNIdrJXb61LMsF2wWIdH59kPrc-oGeZc1MEI")</f>
        <v>1OWqgdRDfNIdrJXb61LMsF2wWIdH59kPrc-oGeZc1MEI</v>
      </c>
    </row>
    <row r="340" ht="15.75" customHeight="1">
      <c r="A340" s="0" t="str">
        <f>IFERROR(__xludf.DUMMYFUNCTION("""COMPUTED_VALUE"""),"Allocation")</f>
        <v>Allocation</v>
      </c>
      <c r="B340" s="0" t="str">
        <f>IFERROR(__xludf.DUMMYFUNCTION("""COMPUTED_VALUE"""),"SaveLayoutAllocatedGrid")</f>
        <v>SaveLayoutAllocatedGrid</v>
      </c>
      <c r="C340" s="0" t="str">
        <f>IFERROR(__xludf.DUMMYFUNCTION("""COMPUTED_VALUE"""),"1aZcLqglE7GPm90-oMIdSJp7HlQrA30JIDZ-M2a2zcms")</f>
        <v>1aZcLqglE7GPm90-oMIdSJp7HlQrA30JIDZ-M2a2zcms</v>
      </c>
    </row>
    <row r="341" ht="15.75" customHeight="1">
      <c r="A341" s="0" t="str">
        <f>IFERROR(__xludf.DUMMYFUNCTION("""COMPUTED_VALUE"""),"Allocation")</f>
        <v>Allocation</v>
      </c>
      <c r="B341" s="0" t="str">
        <f>IFERROR(__xludf.DUMMYFUNCTION("""COMPUTED_VALUE"""),"SaveLayoutUnallocatedGrid")</f>
        <v>SaveLayoutUnallocatedGrid</v>
      </c>
      <c r="C341" s="0" t="str">
        <f>IFERROR(__xludf.DUMMYFUNCTION("""COMPUTED_VALUE"""),"1vcbfMsKMqF_V0OadQLfepNtS8WnwHqU0WFEA0aT_HeU")</f>
        <v>1vcbfMsKMqF_V0OadQLfepNtS8WnwHqU0WFEA0aT_HeU</v>
      </c>
    </row>
    <row r="342" ht="15.75" customHeight="1">
      <c r="A342" s="0" t="str">
        <f>IFERROR(__xludf.DUMMYFUNCTION("""COMPUTED_VALUE"""),"Allocation")</f>
        <v>Allocation</v>
      </c>
      <c r="B342" s="0" t="str">
        <f>IFERROR(__xludf.DUMMYFUNCTION("""COMPUTED_VALUE"""),"SaveLayoutAllocationUI")</f>
        <v>SaveLayoutAllocationUI</v>
      </c>
      <c r="C342" s="0" t="str">
        <f>IFERROR(__xludf.DUMMYFUNCTION("""COMPUTED_VALUE"""),"12wm-nFx8_xYkNhDb-kzakUa7uPl25NpCXbma6t3ZfiQ")</f>
        <v>12wm-nFx8_xYkNhDb-kzakUa7uPl25NpCXbma6t3ZfiQ</v>
      </c>
    </row>
    <row r="343" ht="15.75" customHeight="1">
      <c r="A343" s="0" t="str">
        <f>IFERROR(__xludf.DUMMYFUNCTION("""COMPUTED_VALUE"""),"Allocation")</f>
        <v>Allocation</v>
      </c>
      <c r="B343" s="0" t="str">
        <f>IFERROR(__xludf.DUMMYFUNCTION("""COMPUTED_VALUE"""),"ClearFiltersAllocatedGrid")</f>
        <v>ClearFiltersAllocatedGrid</v>
      </c>
      <c r="C343" s="0" t="str">
        <f>IFERROR(__xludf.DUMMYFUNCTION("""COMPUTED_VALUE"""),"Undefined")</f>
        <v>Undefined</v>
      </c>
    </row>
    <row r="344" ht="15.75" customHeight="1">
      <c r="A344" s="0" t="str">
        <f>IFERROR(__xludf.DUMMYFUNCTION("""COMPUTED_VALUE"""),"Allocation")</f>
        <v>Allocation</v>
      </c>
      <c r="B344" s="0" t="str">
        <f>IFERROR(__xludf.DUMMYFUNCTION("""COMPUTED_VALUE"""),"ClearFiltersUnallocatedGrid")</f>
        <v>ClearFiltersUnallocatedGrid</v>
      </c>
      <c r="C344" s="0" t="str">
        <f>IFERROR(__xludf.DUMMYFUNCTION("""COMPUTED_VALUE"""),"Undefined")</f>
        <v>Undefined</v>
      </c>
    </row>
    <row r="345" ht="15.75" customHeight="1">
      <c r="A345" s="0" t="str">
        <f>IFERROR(__xludf.DUMMYFUNCTION("""COMPUTED_VALUE"""),"Allocation")</f>
        <v>Allocation</v>
      </c>
      <c r="B345" s="0" t="str">
        <f>IFERROR(__xludf.DUMMYFUNCTION("""COMPUTED_VALUE"""),"VerifyLayoutAllocatedGrid")</f>
        <v>VerifyLayoutAllocatedGrid</v>
      </c>
      <c r="C345" s="0" t="str">
        <f>IFERROR(__xludf.DUMMYFUNCTION("""COMPUTED_VALUE"""),"1K-KHAWECCYGz8BTjRLH44g9Ol1pMUScm2Kx6yUQE7BU")</f>
        <v>1K-KHAWECCYGz8BTjRLH44g9Ol1pMUScm2Kx6yUQE7BU</v>
      </c>
    </row>
    <row r="346" ht="15.75" customHeight="1">
      <c r="A346" s="0" t="str">
        <f>IFERROR(__xludf.DUMMYFUNCTION("""COMPUTED_VALUE"""),"Allocation")</f>
        <v>Allocation</v>
      </c>
      <c r="B346" s="0" t="str">
        <f>IFERROR(__xludf.DUMMYFUNCTION("""COMPUTED_VALUE"""),"VerifyLayoutUnallocatedGrid")</f>
        <v>VerifyLayoutUnallocatedGrid</v>
      </c>
      <c r="C346" s="0" t="str">
        <f>IFERROR(__xludf.DUMMYFUNCTION("""COMPUTED_VALUE"""),"1sesgPiGJtT-Ey32zmnnKdOdBkvOJ6shdKgN--cZCNaM")</f>
        <v>1sesgPiGJtT-Ey32zmnnKdOdBkvOJ6shdKgN--cZCNaM</v>
      </c>
    </row>
    <row r="347" ht="15.75" customHeight="1">
      <c r="A347" s="0" t="str">
        <f>IFERROR(__xludf.DUMMYFUNCTION("""COMPUTED_VALUE"""),"DailyValuation")</f>
        <v>DailyValuation</v>
      </c>
      <c r="B347" s="0" t="str">
        <f>IFERROR(__xludf.DUMMYFUNCTION("""COMPUTED_VALUE"""),"UpdateForexConversionMonthly")</f>
        <v>UpdateForexConversionMonthly</v>
      </c>
      <c r="C347" s="0" t="str">
        <f>IFERROR(__xludf.DUMMYFUNCTION("""COMPUTED_VALUE"""),"1tWcQwLro3p26kKsWI6Z1I7GtylC9L1lsnTqAwHOZKzA")</f>
        <v>1tWcQwLro3p26kKsWI6Z1I7GtylC9L1lsnTqAwHOZKzA</v>
      </c>
    </row>
    <row r="348" ht="15.75" customHeight="1">
      <c r="A348" s="0" t="str">
        <f>IFERROR(__xludf.DUMMYFUNCTION("""COMPUTED_VALUE"""),"GeneralLedger")</f>
        <v>GeneralLedger</v>
      </c>
      <c r="B348" s="0" t="str">
        <f>IFERROR(__xludf.DUMMYFUNCTION("""COMPUTED_VALUE"""),"SaveTransaction")</f>
        <v>SaveTransaction</v>
      </c>
      <c r="C348" s="0" t="str">
        <f>IFERROR(__xludf.DUMMYFUNCTION("""COMPUTED_VALUE"""),"Undefined")</f>
        <v>Undefined</v>
      </c>
    </row>
    <row r="349" ht="15.75" customHeight="1">
      <c r="A349" s="0" t="str">
        <f>IFERROR(__xludf.DUMMYFUNCTION("""COMPUTED_VALUE"""),"DailyValuation")</f>
        <v>DailyValuation</v>
      </c>
      <c r="B349" s="0" t="str">
        <f>IFERROR(__xludf.DUMMYFUNCTION("""COMPUTED_VALUE"""),"UpdateMarkPriceMonthly")</f>
        <v>UpdateMarkPriceMonthly</v>
      </c>
      <c r="C349" s="0" t="str">
        <f>IFERROR(__xludf.DUMMYFUNCTION("""COMPUTED_VALUE"""),"1jdvjXxtQbc6B4hMFjCuUSHjrKwafI_4dN8zjMvnoryE")</f>
        <v>1jdvjXxtQbc6B4hMFjCuUSHjrKwafI_4dN8zjMvnoryE</v>
      </c>
    </row>
    <row r="350" ht="15.75" customHeight="1">
      <c r="A350" s="0" t="str">
        <f>IFERROR(__xludf.DUMMYFUNCTION("""COMPUTED_VALUE"""),"Allocation")</f>
        <v>Allocation</v>
      </c>
      <c r="B350" s="0" t="str">
        <f>IFERROR(__xludf.DUMMYFUNCTION("""COMPUTED_VALUE"""),"CleanUp")</f>
        <v>CleanUp</v>
      </c>
      <c r="C350" s="0" t="str">
        <f>IFERROR(__xludf.DUMMYFUNCTION("""COMPUTED_VALUE"""),"1LNsU7ep1l4cr_oy_uI86EJ1CkvkLHF6Yo0WOMRU74S8")</f>
        <v>1LNsU7ep1l4cr_oy_uI86EJ1CkvkLHF6Yo0WOMRU74S8</v>
      </c>
    </row>
    <row r="351" ht="15.75" customHeight="1">
      <c r="A351" s="0" t="str">
        <f>IFERROR(__xludf.DUMMYFUNCTION("""COMPUTED_VALUE"""),"Allocation")</f>
        <v>Allocation</v>
      </c>
      <c r="B351" s="0" t="str">
        <f>IFERROR(__xludf.DUMMYFUNCTION("""COMPUTED_VALUE"""),"CheckAllocatedTaxlots")</f>
        <v>CheckAllocatedTaxlots</v>
      </c>
      <c r="C351" s="0" t="str">
        <f>IFERROR(__xludf.DUMMYFUNCTION("""COMPUTED_VALUE"""),"1eGXUoChdJAU0jioBXcfFCco8AUptTMF3X3Ej_eTbGKk")</f>
        <v>1eGXUoChdJAU0jioBXcfFCco8AUptTMF3X3Ej_eTbGKk</v>
      </c>
    </row>
    <row r="352" ht="15.75" customHeight="1">
      <c r="A352" s="0" t="str">
        <f>IFERROR(__xludf.DUMMYFUNCTION("""COMPUTED_VALUE"""),"Closing")</f>
        <v>Closing</v>
      </c>
      <c r="B352" s="0" t="str">
        <f>IFERROR(__xludf.DUMMYFUNCTION("""COMPUTED_VALUE"""),"EditTradeUnexpiredUnsettled")</f>
        <v>EditTradeUnexpiredUnsettled</v>
      </c>
      <c r="C352" s="0" t="str">
        <f>IFERROR(__xludf.DUMMYFUNCTION("""COMPUTED_VALUE"""),"14HIfvcWxAjFiWkRU_cqPRIr9M_uQUpK5PUWLB8-QGeY")</f>
        <v>14HIfvcWxAjFiWkRU_cqPRIr9M_uQUpK5PUWLB8-QGeY</v>
      </c>
    </row>
    <row r="353" ht="15.75" customHeight="1">
      <c r="A353" s="0" t="str">
        <f>IFERROR(__xludf.DUMMYFUNCTION("""COMPUTED_VALUE"""),"ThirdParty")</f>
        <v>ThirdParty</v>
      </c>
      <c r="B353" s="0" t="str">
        <f>IFERROR(__xludf.DUMMYFUNCTION("""COMPUTED_VALUE"""),"VerifyThirdPartyView")</f>
        <v>VerifyThirdPartyView</v>
      </c>
      <c r="C353" s="0" t="str">
        <f>IFERROR(__xludf.DUMMYFUNCTION("""COMPUTED_VALUE"""),"1PlxAVmA1kQxKEDdmir_dZ2yCnS0sczqxaxI14lspQRc")</f>
        <v>1PlxAVmA1kQxKEDdmir_dZ2yCnS0sczqxaxI14lspQRc</v>
      </c>
    </row>
    <row r="354" ht="15.75" customHeight="1">
      <c r="A354" s="0" t="str">
        <f>IFERROR(__xludf.DUMMYFUNCTION("""COMPUTED_VALUE"""),"Compliance")</f>
        <v>Compliance</v>
      </c>
      <c r="B354" s="0" t="str">
        <f>IFERROR(__xludf.DUMMYFUNCTION("""COMPUTED_VALUE"""),"CheckCompliance")</f>
        <v>CheckCompliance</v>
      </c>
      <c r="C354" s="0" t="str">
        <f>IFERROR(__xludf.DUMMYFUNCTION("""COMPUTED_VALUE"""),"1V1RvmzETVxcH9CLybyKXqI5pWvziKkgQY1hpXLZpRb0")</f>
        <v>1V1RvmzETVxcH9CLybyKXqI5pWvziKkgQY1hpXLZpRb0</v>
      </c>
    </row>
    <row r="355" ht="15.75" customHeight="1">
      <c r="A355" s="0" t="str">
        <f>IFERROR(__xludf.DUMMYFUNCTION("""COMPUTED_VALUE"""),"Compliance")</f>
        <v>Compliance</v>
      </c>
      <c r="B355" s="0" t="str">
        <f>IFERROR(__xludf.DUMMYFUNCTION("""COMPUTED_VALUE"""),"VerifyAccountDivisorWindow")</f>
        <v>VerifyAccountDivisorWindow</v>
      </c>
      <c r="C355" s="0" t="str">
        <f>IFERROR(__xludf.DUMMYFUNCTION("""COMPUTED_VALUE"""),"1AQl7WcPdSUJr2euw305eRRQMuZWLmiJXK_zLYXfXpe0")</f>
        <v>1AQl7WcPdSUJr2euw305eRRQMuZWLmiJXK_zLYXfXpe0</v>
      </c>
    </row>
    <row r="356" ht="15.75" customHeight="1">
      <c r="A356" s="0" t="str">
        <f>IFERROR(__xludf.DUMMYFUNCTION("""COMPUTED_VALUE"""),"Compliance")</f>
        <v>Compliance</v>
      </c>
      <c r="B356" s="0" t="str">
        <f>IFERROR(__xludf.DUMMYFUNCTION("""COMPUTED_VALUE"""),"VerifyAccountSymbolDivisorWindow")</f>
        <v>VerifyAccountSymbolDivisorWindow</v>
      </c>
      <c r="C356" s="0" t="str">
        <f>IFERROR(__xludf.DUMMYFUNCTION("""COMPUTED_VALUE"""),"16JaseGtsYIGOyEASc-NbgrrX2NsXB9UQxLaelT6YRgQ")</f>
        <v>16JaseGtsYIGOyEASc-NbgrrX2NsXB9UQxLaelT6YRgQ</v>
      </c>
    </row>
    <row r="357" ht="15.75" customHeight="1">
      <c r="A357" s="0" t="str">
        <f>IFERROR(__xludf.DUMMYFUNCTION("""COMPUTED_VALUE"""),"Compliance")</f>
        <v>Compliance</v>
      </c>
      <c r="B357" s="0" t="str">
        <f>IFERROR(__xludf.DUMMYFUNCTION("""COMPUTED_VALUE"""),"VerifyAggregationAccountSymbolWithNav")</f>
        <v>VerifyAggregationAccountSymbolWithNav</v>
      </c>
      <c r="C357" s="0" t="str">
        <f>IFERROR(__xludf.DUMMYFUNCTION("""COMPUTED_VALUE"""),"1HqBILRs6rj75XQAhwegUY0yUgq0DFvsYJU1JqOKcCWw")</f>
        <v>1HqBILRs6rj75XQAhwegUY0yUgq0DFvsYJU1JqOKcCWw</v>
      </c>
    </row>
    <row r="358" ht="15.75" customHeight="1">
      <c r="A358" s="0" t="str">
        <f>IFERROR(__xludf.DUMMYFUNCTION("""COMPUTED_VALUE"""),"Compliance")</f>
        <v>Compliance</v>
      </c>
      <c r="B358" s="0" t="str">
        <f>IFERROR(__xludf.DUMMYFUNCTION("""COMPUTED_VALUE"""),"VerifyAggregationAccountWithNav")</f>
        <v>VerifyAggregationAccountWithNav</v>
      </c>
      <c r="C358" s="0" t="str">
        <f>IFERROR(__xludf.DUMMYFUNCTION("""COMPUTED_VALUE"""),"10senHLHNcYUh0kxAWl1Up6T7v4TtqcfQeVnNDTArAjg")</f>
        <v>10senHLHNcYUh0kxAWl1Up6T7v4TtqcfQeVnNDTArAjg</v>
      </c>
    </row>
    <row r="359" ht="15.75" customHeight="1">
      <c r="A359" s="0" t="str">
        <f>IFERROR(__xludf.DUMMYFUNCTION("""COMPUTED_VALUE"""),"Compliance")</f>
        <v>Compliance</v>
      </c>
      <c r="B359" s="0" t="str">
        <f>IFERROR(__xludf.DUMMYFUNCTION("""COMPUTED_VALUE"""),"VerifyAggregationMasterFundSymbolWithNav")</f>
        <v>VerifyAggregationMasterFundSymbolWithNav</v>
      </c>
      <c r="C359" s="0" t="str">
        <f>IFERROR(__xludf.DUMMYFUNCTION("""COMPUTED_VALUE"""),"1hpCDxexdBt2bsLnkKN6YERG6qu69pm_lyvTpfWmMM5Y")</f>
        <v>1hpCDxexdBt2bsLnkKN6YERG6qu69pm_lyvTpfWmMM5Y</v>
      </c>
    </row>
    <row r="360" ht="15.75" customHeight="1">
      <c r="A360" s="0" t="str">
        <f>IFERROR(__xludf.DUMMYFUNCTION("""COMPUTED_VALUE"""),"Compliance")</f>
        <v>Compliance</v>
      </c>
      <c r="B360" s="0" t="str">
        <f>IFERROR(__xludf.DUMMYFUNCTION("""COMPUTED_VALUE"""),"VerifyAggregationMasterFundUnderlyingSymbolWithNav")</f>
        <v>VerifyAggregationMasterFundUnderlyingSymbolWithNav</v>
      </c>
      <c r="C360" s="0" t="str">
        <f>IFERROR(__xludf.DUMMYFUNCTION("""COMPUTED_VALUE"""),"1StAxeCnhmJunJOF4qJw7V7rZDdzeSnvX__M_m1ZuPnM")</f>
        <v>1StAxeCnhmJunJOF4qJw7V7rZDdzeSnvX__M_m1ZuPnM</v>
      </c>
    </row>
    <row r="361" ht="15.75" customHeight="1">
      <c r="A361" s="0" t="str">
        <f>IFERROR(__xludf.DUMMYFUNCTION("""COMPUTED_VALUE"""),"Compliance")</f>
        <v>Compliance</v>
      </c>
      <c r="B361" s="0" t="str">
        <f>IFERROR(__xludf.DUMMYFUNCTION("""COMPUTED_VALUE"""),"VerifyAggregationMasterFundWithNav")</f>
        <v>VerifyAggregationMasterFundWithNav</v>
      </c>
      <c r="C361" s="0" t="str">
        <f>IFERROR(__xludf.DUMMYFUNCTION("""COMPUTED_VALUE"""),"1Jz70Q9qwZ_KOtJ0prDxI5KzBnE_QVBCDBZH3r44j7P8")</f>
        <v>1Jz70Q9qwZ_KOtJ0prDxI5KzBnE_QVBCDBZH3r44j7P8</v>
      </c>
    </row>
    <row r="362" ht="15.75" customHeight="1">
      <c r="A362" s="0" t="str">
        <f>IFERROR(__xludf.DUMMYFUNCTION("""COMPUTED_VALUE"""),"Compliance")</f>
        <v>Compliance</v>
      </c>
      <c r="B362" s="0" t="str">
        <f>IFERROR(__xludf.DUMMYFUNCTION("""COMPUTED_VALUE"""),"VerifyAggregationSectorWithNav")</f>
        <v>VerifyAggregationSectorWithNav</v>
      </c>
      <c r="C362" s="0" t="str">
        <f>IFERROR(__xludf.DUMMYFUNCTION("""COMPUTED_VALUE"""),"1LOLJZdwbbwm5MWN6Aj_y28uGgG8a5k52W10D4WJ-qkQ")</f>
        <v>1LOLJZdwbbwm5MWN6Aj_y28uGgG8a5k52W10D4WJ-qkQ</v>
      </c>
    </row>
    <row r="363" ht="15.75" customHeight="1">
      <c r="A363" s="0" t="str">
        <f>IFERROR(__xludf.DUMMYFUNCTION("""COMPUTED_VALUE"""),"Compliance")</f>
        <v>Compliance</v>
      </c>
      <c r="B363" s="0" t="str">
        <f>IFERROR(__xludf.DUMMYFUNCTION("""COMPUTED_VALUE"""),"VerifyAggregationUnderlyingSymbolWithNav")</f>
        <v>VerifyAggregationUnderlyingSymbolWithNav</v>
      </c>
      <c r="C363" s="0" t="str">
        <f>IFERROR(__xludf.DUMMYFUNCTION("""COMPUTED_VALUE"""),"1IlOCDJWqGZHQTQtKCdo8xvCewBQR_Pw60YZtZIktB4g")</f>
        <v>1IlOCDJWqGZHQTQtKCdo8xvCewBQR_Pw60YZtZIktB4g</v>
      </c>
    </row>
    <row r="364" ht="15.75" customHeight="1">
      <c r="A364" s="0" t="str">
        <f>IFERROR(__xludf.DUMMYFUNCTION("""COMPUTED_VALUE"""),"Compliance")</f>
        <v>Compliance</v>
      </c>
      <c r="B364" s="0" t="str">
        <f>IFERROR(__xludf.DUMMYFUNCTION("""COMPUTED_VALUE"""),"VerifyAuecWindow")</f>
        <v>VerifyAuecWindow</v>
      </c>
      <c r="C364" s="0" t="str">
        <f>IFERROR(__xludf.DUMMYFUNCTION("""COMPUTED_VALUE"""),"1RjKrb8uRhjiDYhV2_08MxltmgLmu-Nvd19RVEJ5t5fU")</f>
        <v>1RjKrb8uRhjiDYhV2_08MxltmgLmu-Nvd19RVEJ5t5fU</v>
      </c>
    </row>
    <row r="365" ht="15.75" customHeight="1">
      <c r="A365" s="0" t="str">
        <f>IFERROR(__xludf.DUMMYFUNCTION("""COMPUTED_VALUE"""),"Compliance")</f>
        <v>Compliance</v>
      </c>
      <c r="B365" s="0" t="str">
        <f>IFERROR(__xludf.DUMMYFUNCTION("""COMPUTED_VALUE"""),"VerifyBetaWindow")</f>
        <v>VerifyBetaWindow</v>
      </c>
      <c r="C365" s="0" t="str">
        <f>IFERROR(__xludf.DUMMYFUNCTION("""COMPUTED_VALUE"""),"1QSOAd6hb8iMGX99AAmBzh30ETFcaz04qbf8FEfLeYvg")</f>
        <v>1QSOAd6hb8iMGX99AAmBzh30ETFcaz04qbf8FEfLeYvg</v>
      </c>
    </row>
    <row r="366" ht="15.75" customHeight="1">
      <c r="A366" s="0" t="str">
        <f>IFERROR(__xludf.DUMMYFUNCTION("""COMPUTED_VALUE"""),"Compliance")</f>
        <v>Compliance</v>
      </c>
      <c r="B366" s="0" t="str">
        <f>IFERROR(__xludf.DUMMYFUNCTION("""COMPUTED_VALUE"""),"VerifyCustomSymbolDataWindow")</f>
        <v>VerifyCustomSymbolDataWindow</v>
      </c>
      <c r="C366" s="0" t="str">
        <f>IFERROR(__xludf.DUMMYFUNCTION("""COMPUTED_VALUE"""),"1giMfU5SJAKDQXA1Q4k75EmpXWW3khjzRDSVLnhL0EIY")</f>
        <v>1giMfU5SJAKDQXA1Q4k75EmpXWW3khjzRDSVLnhL0EIY</v>
      </c>
    </row>
    <row r="367" ht="15.75" customHeight="1">
      <c r="A367" s="0" t="str">
        <f>IFERROR(__xludf.DUMMYFUNCTION("""COMPUTED_VALUE"""),"Compliance")</f>
        <v>Compliance</v>
      </c>
      <c r="B367" s="0" t="str">
        <f>IFERROR(__xludf.DUMMYFUNCTION("""COMPUTED_VALUE"""),"VerifyDayEndCashAccountWindow")</f>
        <v>VerifyDayEndCashAccountWindow</v>
      </c>
      <c r="C367" s="0" t="str">
        <f>IFERROR(__xludf.DUMMYFUNCTION("""COMPUTED_VALUE"""),"1uiC0ZQIk0iOlMA5Va1xcENNDotJcx9lYGyBUwg9Hgto")</f>
        <v>1uiC0ZQIk0iOlMA5Va1xcENNDotJcx9lYGyBUwg9Hgto</v>
      </c>
    </row>
    <row r="368" ht="15.75" customHeight="1">
      <c r="A368" s="0" t="str">
        <f>IFERROR(__xludf.DUMMYFUNCTION("""COMPUTED_VALUE"""),"Compliance")</f>
        <v>Compliance</v>
      </c>
      <c r="B368" s="0" t="str">
        <f>IFERROR(__xludf.DUMMYFUNCTION("""COMPUTED_VALUE"""),"VerifyDbNavWindow")</f>
        <v>VerifyDbNavWindow</v>
      </c>
      <c r="C368" s="0" t="str">
        <f>IFERROR(__xludf.DUMMYFUNCTION("""COMPUTED_VALUE"""),"1SY6I7Y1kNH4RpCgdDlY3E-h8usrAsSq5w0L2A_JbP0E")</f>
        <v>1SY6I7Y1kNH4RpCgdDlY3E-h8usrAsSq5w0L2A_JbP0E</v>
      </c>
    </row>
    <row r="369" ht="15.75" customHeight="1">
      <c r="A369" s="0" t="str">
        <f>IFERROR(__xludf.DUMMYFUNCTION("""COMPUTED_VALUE"""),"Compliance")</f>
        <v>Compliance</v>
      </c>
      <c r="B369" s="0" t="str">
        <f>IFERROR(__xludf.DUMMYFUNCTION("""COMPUTED_VALUE"""),"VerifyGlobalDivisorWindow")</f>
        <v>VerifyGlobalDivisorWindow</v>
      </c>
      <c r="C369" s="0" t="str">
        <f>IFERROR(__xludf.DUMMYFUNCTION("""COMPUTED_VALUE"""),"1k5EBRXPiJ1hAJdYsT4pHusMAvNL8WFGRU-AVEwxmWtw")</f>
        <v>1k5EBRXPiJ1hAJdYsT4pHusMAvNL8WFGRU-AVEwxmWtw</v>
      </c>
    </row>
    <row r="370" ht="15.75" customHeight="1">
      <c r="A370" s="0" t="str">
        <f>IFERROR(__xludf.DUMMYFUNCTION("""COMPUTED_VALUE"""),"Compliance")</f>
        <v>Compliance</v>
      </c>
      <c r="B370" s="0" t="str">
        <f>IFERROR(__xludf.DUMMYFUNCTION("""COMPUTED_VALUE"""),"VerifyPmCalculationPreferenceWindow")</f>
        <v>VerifyPmCalculationPreferenceWindow</v>
      </c>
      <c r="C370" s="0" t="str">
        <f>IFERROR(__xludf.DUMMYFUNCTION("""COMPUTED_VALUE"""),"132M3XrMLcOse0wnuxC6V3UrkiB8-BoFhvU2tLauJ0N4")</f>
        <v>132M3XrMLcOse0wnuxC6V3UrkiB8-BoFhvU2tLauJ0N4</v>
      </c>
    </row>
    <row r="371" ht="15.75" customHeight="1">
      <c r="A371" s="0" t="str">
        <f>IFERROR(__xludf.DUMMYFUNCTION("""COMPUTED_VALUE"""),"Compliance")</f>
        <v>Compliance</v>
      </c>
      <c r="B371" s="0" t="str">
        <f>IFERROR(__xludf.DUMMYFUNCTION("""COMPUTED_VALUE"""),"VerifyRowCalculationBaseWindow")</f>
        <v>VerifyRowCalculationBaseWindow</v>
      </c>
      <c r="C371" s="0" t="str">
        <f>IFERROR(__xludf.DUMMYFUNCTION("""COMPUTED_VALUE"""),"1cajGzH7tqLxFC8BnuHlMCg-SRNTsx7KgHS6low_imiw")</f>
        <v>1cajGzH7tqLxFC8BnuHlMCg-SRNTsx7KgHS6low_imiw</v>
      </c>
    </row>
    <row r="372" ht="15.75" customHeight="1">
      <c r="A372" s="0" t="str">
        <f>IFERROR(__xludf.DUMMYFUNCTION("""COMPUTED_VALUE"""),"Compliance")</f>
        <v>Compliance</v>
      </c>
      <c r="B372" s="0" t="str">
        <f>IFERROR(__xludf.DUMMYFUNCTION("""COMPUTED_VALUE"""),"VerifySecurityWindow")</f>
        <v>VerifySecurityWindow</v>
      </c>
      <c r="C372" s="0" t="str">
        <f>IFERROR(__xludf.DUMMYFUNCTION("""COMPUTED_VALUE"""),"1FIVvYeBou_v0Rajgdlg4Dn259vj948a4ITnN6XGPiHY")</f>
        <v>1FIVvYeBou_v0Rajgdlg4Dn259vj948a4ITnN6XGPiHY</v>
      </c>
    </row>
    <row r="373" ht="15.75" customHeight="1">
      <c r="A373" s="0" t="str">
        <f>IFERROR(__xludf.DUMMYFUNCTION("""COMPUTED_VALUE"""),"Compliance")</f>
        <v>Compliance</v>
      </c>
      <c r="B373" s="0" t="str">
        <f>IFERROR(__xludf.DUMMYFUNCTION("""COMPUTED_VALUE"""),"VerifySymbolDataWindow")</f>
        <v>VerifySymbolDataWindow</v>
      </c>
      <c r="C373" s="0" t="str">
        <f>IFERROR(__xludf.DUMMYFUNCTION("""COMPUTED_VALUE"""),"1OAVpHXxYG9sHC2AdPSAmYbRcNgndP44OYbO-bvaSKIE")</f>
        <v>1OAVpHXxYG9sHC2AdPSAmYbRcNgndP44OYbO-bvaSKIE</v>
      </c>
    </row>
    <row r="374" ht="15.75" customHeight="1">
      <c r="A374" s="0" t="str">
        <f>IFERROR(__xludf.DUMMYFUNCTION("""COMPUTED_VALUE"""),"Compliance")</f>
        <v>Compliance</v>
      </c>
      <c r="B374" s="0" t="str">
        <f>IFERROR(__xludf.DUMMYFUNCTION("""COMPUTED_VALUE"""),"VerifySymbolDivisorWindow")</f>
        <v>VerifySymbolDivisorWindow</v>
      </c>
      <c r="C374" s="0" t="str">
        <f>IFERROR(__xludf.DUMMYFUNCTION("""COMPUTED_VALUE"""),"1deUHsiNLHEEsp-GNB4X4XUHjBGdMJF84xLmjUIBUcLA")</f>
        <v>1deUHsiNLHEEsp-GNB4X4XUHjBGdMJF84xLmjUIBUcLA</v>
      </c>
    </row>
    <row r="375" ht="15.75" customHeight="1">
      <c r="A375" s="0" t="str">
        <f>IFERROR(__xludf.DUMMYFUNCTION("""COMPUTED_VALUE"""),"Compliance")</f>
        <v>Compliance</v>
      </c>
      <c r="B375" s="0" t="str">
        <f>IFERROR(__xludf.DUMMYFUNCTION("""COMPUTED_VALUE"""),"VerifyTaxlotWindow")</f>
        <v>VerifyTaxlotWindow</v>
      </c>
      <c r="C375" s="0" t="str">
        <f>IFERROR(__xludf.DUMMYFUNCTION("""COMPUTED_VALUE"""),"1mnKl6jHQhD7AEx1jzxfLWuc2Kv5kLcwPNU4smHImEPs")</f>
        <v>1mnKl6jHQhD7AEx1jzxfLWuc2Kv5kLcwPNU4smHImEPs</v>
      </c>
    </row>
    <row r="376" ht="15.75" customHeight="1">
      <c r="A376" s="0" t="str">
        <f>IFERROR(__xludf.DUMMYFUNCTION("""COMPUTED_VALUE"""),"Compliance")</f>
        <v>Compliance</v>
      </c>
      <c r="B376" s="0" t="str">
        <f>IFERROR(__xludf.DUMMYFUNCTION("""COMPUTED_VALUE"""),"RestartEsper")</f>
        <v>RestartEsper</v>
      </c>
      <c r="C376" s="0" t="str">
        <f>IFERROR(__xludf.DUMMYFUNCTION("""COMPUTED_VALUE"""),"Undefined")</f>
        <v>Undefined</v>
      </c>
    </row>
    <row r="377" ht="15.75" customHeight="1">
      <c r="A377" s="0" t="str">
        <f>IFERROR(__xludf.DUMMYFUNCTION("""COMPUTED_VALUE"""),"Compliance")</f>
        <v>Compliance</v>
      </c>
      <c r="B377" s="0" t="str">
        <f>IFERROR(__xludf.DUMMYFUNCTION("""COMPUTED_VALUE"""),"VerifyAccountNavPreferenceWindow")</f>
        <v>VerifyAccountNavPreferenceWindow</v>
      </c>
      <c r="C377" s="0" t="str">
        <f>IFERROR(__xludf.DUMMYFUNCTION("""COMPUTED_VALUE"""),"1nf8W2oy_M0GSmFfcCFHOYCHWUwLMlzqDUSGBR36IbaI")</f>
        <v>1nf8W2oy_M0GSmFfcCFHOYCHWUwLMlzqDUSGBR36IbaI</v>
      </c>
    </row>
    <row r="378" ht="15.75" customHeight="1">
      <c r="A378" s="0" t="str">
        <f>IFERROR(__xludf.DUMMYFUNCTION("""COMPUTED_VALUE"""),"Compliance")</f>
        <v>Compliance</v>
      </c>
      <c r="B378" s="0" t="str">
        <f>IFERROR(__xludf.DUMMYFUNCTION("""COMPUTED_VALUE""")," VerifyAggregationAccountUnderlyingSymbolWithNav")</f>
        <v> VerifyAggregationAccountUnderlyingSymbolWithNav</v>
      </c>
      <c r="C378" s="0" t="str">
        <f>IFERROR(__xludf.DUMMYFUNCTION("""COMPUTED_VALUE"""),"1jjVXzRolyFKUIxrpIo6DtnV6bx2CUj1M_kCNY_vsgy4")</f>
        <v>1jjVXzRolyFKUIxrpIo6DtnV6bx2CUj1M_kCNY_vsgy4</v>
      </c>
    </row>
    <row r="379" ht="15.75" customHeight="1">
      <c r="A379" s="0" t="str">
        <f>IFERROR(__xludf.DUMMYFUNCTION("""COMPUTED_VALUE"""),"Compliance")</f>
        <v>Compliance</v>
      </c>
      <c r="B379" s="0" t="str">
        <f>IFERROR(__xludf.DUMMYFUNCTION("""COMPUTED_VALUE"""),"VerifyAggregationAssetWithNav")</f>
        <v>VerifyAggregationAssetWithNav</v>
      </c>
      <c r="C379" s="0" t="str">
        <f>IFERROR(__xludf.DUMMYFUNCTION("""COMPUTED_VALUE"""),"18RcQxNwhAWOwcmy59o0cucJIdPSl6sADpFYIcsJ5sqo")</f>
        <v>18RcQxNwhAWOwcmy59o0cucJIdPSl6sADpFYIcsJ5sqo</v>
      </c>
    </row>
    <row r="380" ht="15.75" customHeight="1">
      <c r="A380" s="0" t="str">
        <f>IFERROR(__xludf.DUMMYFUNCTION("""COMPUTED_VALUE"""),"Compliance")</f>
        <v>Compliance</v>
      </c>
      <c r="B380" s="0" t="str">
        <f>IFERROR(__xludf.DUMMYFUNCTION("""COMPUTED_VALUE"""),"VerifyAggregationSymbolWithNav")</f>
        <v>VerifyAggregationSymbolWithNav</v>
      </c>
      <c r="C380" s="0" t="str">
        <f>IFERROR(__xludf.DUMMYFUNCTION("""COMPUTED_VALUE"""),"1C2o5-jwhnctEvEaVDDPBZz0tGyVsNv4VW3fW1bOL5TQ")</f>
        <v>1C2o5-jwhnctEvEaVDDPBZz0tGyVsNv4VW3fW1bOL5TQ</v>
      </c>
    </row>
    <row r="381" ht="15.75" customHeight="1">
      <c r="A381" s="0" t="str">
        <f>IFERROR(__xludf.DUMMYFUNCTION("""COMPUTED_VALUE"""),"Compliance")</f>
        <v>Compliance</v>
      </c>
      <c r="B381" s="0" t="str">
        <f>IFERROR(__xludf.DUMMYFUNCTION("""COMPUTED_VALUE"""),"VerifyAggregationSubSectorWithNav")</f>
        <v>VerifyAggregationSubSectorWithNav</v>
      </c>
      <c r="C381" s="0" t="str">
        <f>IFERROR(__xludf.DUMMYFUNCTION("""COMPUTED_VALUE"""),"1eX2Mfhb7koI3BhKKW6izvlEfitWdKST9vScAS14DYj0")</f>
        <v>1eX2Mfhb7koI3BhKKW6izvlEfitWdKST9vScAS14DYj0</v>
      </c>
    </row>
    <row r="382" ht="15.75" customHeight="1">
      <c r="A382" s="0" t="str">
        <f>IFERROR(__xludf.DUMMYFUNCTION("""COMPUTED_VALUE"""),"Compliance")</f>
        <v>Compliance</v>
      </c>
      <c r="B382" s="0" t="str">
        <f>IFERROR(__xludf.DUMMYFUNCTION("""COMPUTED_VALUE"""),"VerifyAggregationGlobalWithNav")</f>
        <v>VerifyAggregationGlobalWithNav</v>
      </c>
      <c r="C382" s="0" t="str">
        <f>IFERROR(__xludf.DUMMYFUNCTION("""COMPUTED_VALUE"""),"1CBXHBOOctFe-5Xw_99Yv2wghGcigXObx30_17CJORTs")</f>
        <v>1CBXHBOOctFe-5Xw_99Yv2wghGcigXObx30_17CJORTs</v>
      </c>
    </row>
    <row r="383" ht="15.75" customHeight="1">
      <c r="A383" s="0" t="str">
        <f>IFERROR(__xludf.DUMMYFUNCTION("""COMPUTED_VALUE"""),"Compliance")</f>
        <v>Compliance</v>
      </c>
      <c r="B383" s="0" t="str">
        <f>IFERROR(__xludf.DUMMYFUNCTION("""COMPUTED_VALUE""")," VerifyAggregationGlobalWithNav")</f>
        <v> VerifyAggregationGlobalWithNav</v>
      </c>
      <c r="C383" s="0" t="str">
        <f>IFERROR(__xludf.DUMMYFUNCTION("""COMPUTED_VALUE"""),"1CBXHBOOctFe-5Xw_99Yv2wghGcigXObx30_17CJORTs")</f>
        <v>1CBXHBOOctFe-5Xw_99Yv2wghGcigXObx30_17CJORTs</v>
      </c>
    </row>
    <row r="384" ht="15.75" customHeight="1">
      <c r="A384" s="0" t="str">
        <f>IFERROR(__xludf.DUMMYFUNCTION("""COMPUTED_VALUE"""),"Compliance")</f>
        <v>Compliance</v>
      </c>
      <c r="B384" s="0" t="str">
        <f>IFERROR(__xludf.DUMMYFUNCTION("""COMPUTED_VALUE"""),"VerifyGlobalDivisorWindow")</f>
        <v>VerifyGlobalDivisorWindow</v>
      </c>
      <c r="C384" s="0" t="str">
        <f>IFERROR(__xludf.DUMMYFUNCTION("""COMPUTED_VALUE"""),"1k5EBRXPiJ1hAJdYsT4pHusMAvNL8WFGRU-AVEwxmWtw")</f>
        <v>1k5EBRXPiJ1hAJdYsT4pHusMAvNL8WFGRU-AVEwxmWtw</v>
      </c>
    </row>
    <row r="385" ht="15.75" customHeight="1">
      <c r="A385" s="0" t="str">
        <f>IFERROR(__xludf.DUMMYFUNCTION("""COMPUTED_VALUE"""),"Compliance")</f>
        <v>Compliance</v>
      </c>
      <c r="B385" s="0" t="str">
        <f>IFERROR(__xludf.DUMMYFUNCTION("""COMPUTED_VALUE""")," VerifyAccrualForAccountWindow")</f>
        <v> VerifyAccrualForAccountWindow</v>
      </c>
      <c r="C385" s="0" t="str">
        <f>IFERROR(__xludf.DUMMYFUNCTION("""COMPUTED_VALUE"""),"1c_NLMk5uy2GW1oz-Zyz2EOEkjIs10v95M_q-jh7vKvs")</f>
        <v>1c_NLMk5uy2GW1oz-Zyz2EOEkjIs10v95M_q-jh7vKvs</v>
      </c>
    </row>
    <row r="386" ht="15.75" customHeight="1">
      <c r="A386" s="0" t="str">
        <f>IFERROR(__xludf.DUMMYFUNCTION("""COMPUTED_VALUE"""),"Compliance")</f>
        <v>Compliance</v>
      </c>
      <c r="B386" s="0" t="str">
        <f>IFERROR(__xludf.DUMMYFUNCTION("""COMPUTED_VALUE"""),"VerifyGlobalDivisorWindow")</f>
        <v>VerifyGlobalDivisorWindow</v>
      </c>
      <c r="C386" s="0" t="str">
        <f>IFERROR(__xludf.DUMMYFUNCTION("""COMPUTED_VALUE"""),"1k5EBRXPiJ1hAJdYsT4pHusMAvNL8WFGRU-AVEwxmWtw")</f>
        <v>1k5EBRXPiJ1hAJdYsT4pHusMAvNL8WFGRU-AVEwxmWtw</v>
      </c>
    </row>
    <row r="387" ht="15.75" customHeight="1">
      <c r="A387" s="0" t="str">
        <f>IFERROR(__xludf.DUMMYFUNCTION("""COMPUTED_VALUE"""),"Compliance")</f>
        <v>Compliance</v>
      </c>
      <c r="B387" s="0" t="str">
        <f>IFERROR(__xludf.DUMMYFUNCTION("""COMPUTED_VALUE"""),"VerifyMasterFundDivisorWindow")</f>
        <v>VerifyMasterFundDivisorWindow</v>
      </c>
      <c r="C387" s="0" t="str">
        <f>IFERROR(__xludf.DUMMYFUNCTION("""COMPUTED_VALUE"""),"1eiadZFi4EpW3GFqZaaoMFvWshTpPlk6F-hWhIJ18reQ")</f>
        <v>1eiadZFi4EpW3GFqZaaoMFvWshTpPlk6F-hWhIJ18reQ</v>
      </c>
    </row>
    <row r="388" ht="15.75" customHeight="1">
      <c r="A388" s="0" t="str">
        <f>IFERROR(__xludf.DUMMYFUNCTION("""COMPUTED_VALUE"""),"Compliance")</f>
        <v>Compliance</v>
      </c>
      <c r="B388" s="0" t="str">
        <f>IFERROR(__xludf.DUMMYFUNCTION("""COMPUTED_VALUE"""),"VerifyMasterFundSymbolDivisorWindow")</f>
        <v>VerifyMasterFundSymbolDivisorWindow</v>
      </c>
      <c r="C388" s="0" t="str">
        <f>IFERROR(__xludf.DUMMYFUNCTION("""COMPUTED_VALUE"""),"1tLvFabe6MOsJmg5CfsfrJ40ICMChWvnF-hcgnxRUcCc")</f>
        <v>1tLvFabe6MOsJmg5CfsfrJ40ICMChWvnF-hcgnxRUcCc</v>
      </c>
    </row>
    <row r="389" ht="15.75" customHeight="1">
      <c r="A389" s="0" t="str">
        <f>IFERROR(__xludf.DUMMYFUNCTION("""COMPUTED_VALUE"""),"Rebalancer")</f>
        <v>Rebalancer</v>
      </c>
      <c r="B389" s="0" t="str">
        <f>IFERROR(__xludf.DUMMYFUNCTION("""COMPUTED_VALUE"""),"FetchAccountPositions")</f>
        <v>FetchAccountPositions</v>
      </c>
      <c r="C389" s="0" t="str">
        <f>IFERROR(__xludf.DUMMYFUNCTION("""COMPUTED_VALUE"""),"1AwaQXJiwQ63pRdslfNamOnTIfyFa9PYlvDCRG8Moj7I")</f>
        <v>1AwaQXJiwQ63pRdslfNamOnTIfyFa9PYlvDCRG8Moj7I</v>
      </c>
    </row>
    <row r="390" ht="15.75" customHeight="1">
      <c r="A390" s="0" t="str">
        <f>IFERROR(__xludf.DUMMYFUNCTION("""COMPUTED_VALUE"""),"Rebalancer")</f>
        <v>Rebalancer</v>
      </c>
      <c r="B390" s="0" t="str">
        <f>IFERROR(__xludf.DUMMYFUNCTION("""COMPUTED_VALUE"""),"AddCash")</f>
        <v>AddCash</v>
      </c>
      <c r="C390" s="0" t="str">
        <f>IFERROR(__xludf.DUMMYFUNCTION("""COMPUTED_VALUE"""),"1AXzHAJjwT-9_5UW_XZw8Dwg7yp7Wz6mPkc0bQTXu160")</f>
        <v>1AXzHAJjwT-9_5UW_XZw8Dwg7yp7Wz6mPkc0bQTXu160</v>
      </c>
    </row>
    <row r="391" ht="15.75" customHeight="1">
      <c r="A391" s="0" t="str">
        <f>IFERROR(__xludf.DUMMYFUNCTION("""COMPUTED_VALUE"""),"Rebalancer")</f>
        <v>Rebalancer</v>
      </c>
      <c r="B391" s="0" t="str">
        <f>IFERROR(__xludf.DUMMYFUNCTION("""COMPUTED_VALUE"""),"VerifyGridData")</f>
        <v>VerifyGridData</v>
      </c>
      <c r="C391" s="0" t="str">
        <f>IFERROR(__xludf.DUMMYFUNCTION("""COMPUTED_VALUE"""),"1B7i0IoV9AO1bwZU3Tp_Qg16uzTHINgkzk9LQZ0sW_fs")</f>
        <v>1B7i0IoV9AO1bwZU3Tp_Qg16uzTHINgkzk9LQZ0sW_fs</v>
      </c>
    </row>
    <row r="392" ht="15.75" customHeight="1">
      <c r="A392" s="0" t="str">
        <f>IFERROR(__xludf.DUMMYFUNCTION("""COMPUTED_VALUE"""),"Rebalancer")</f>
        <v>Rebalancer</v>
      </c>
      <c r="B392" s="0" t="str">
        <f>IFERROR(__xludf.DUMMYFUNCTION("""COMPUTED_VALUE"""),"RunRebalance")</f>
        <v>RunRebalance</v>
      </c>
      <c r="C392" s="0" t="str">
        <f>IFERROR(__xludf.DUMMYFUNCTION("""COMPUTED_VALUE"""),"1CEnDaSGOuGcFNjm3hHd8aBDyUcX0sT7u_R9_4qKqDQg")</f>
        <v>1CEnDaSGOuGcFNjm3hHd8aBDyUcX0sT7u_R9_4qKqDQg</v>
      </c>
    </row>
    <row r="393" ht="15.75" customHeight="1">
      <c r="A393" s="0" t="str">
        <f>IFERROR(__xludf.DUMMYFUNCTION("""COMPUTED_VALUE"""),"Rebalancer")</f>
        <v>Rebalancer</v>
      </c>
      <c r="B393" s="0" t="str">
        <f>IFERROR(__xludf.DUMMYFUNCTION("""COMPUTED_VALUE"""),"EnableComplianceTab")</f>
        <v>EnableComplianceTab</v>
      </c>
      <c r="C393" s="0" t="str">
        <f>IFERROR(__xludf.DUMMYFUNCTION("""COMPUTED_VALUE"""),"Undefined")</f>
        <v>Undefined</v>
      </c>
    </row>
    <row r="394" ht="15.75" customHeight="1">
      <c r="A394" s="0" t="str">
        <f>IFERROR(__xludf.DUMMYFUNCTION("""COMPUTED_VALUE"""),"Rebalancer")</f>
        <v>Rebalancer</v>
      </c>
      <c r="B394" s="0" t="str">
        <f>IFERROR(__xludf.DUMMYFUNCTION("""COMPUTED_VALUE"""),"RebalancePreference")</f>
        <v>RebalancePreference</v>
      </c>
      <c r="C394" s="0" t="str">
        <f>IFERROR(__xludf.DUMMYFUNCTION("""COMPUTED_VALUE"""),"1I1ruBtO8EtWeNS27V6l1CtRbmFnyCoGYjJeQKaXGO9c")</f>
        <v>1I1ruBtO8EtWeNS27V6l1CtRbmFnyCoGYjJeQKaXGO9c</v>
      </c>
    </row>
    <row r="395" ht="15.75" customHeight="1">
      <c r="A395" s="0" t="str">
        <f>IFERROR(__xludf.DUMMYFUNCTION("""COMPUTED_VALUE"""),"Rebalancer")</f>
        <v>Rebalancer</v>
      </c>
      <c r="B395" s="0" t="str">
        <f>IFERROR(__xludf.DUMMYFUNCTION("""COMPUTED_VALUE"""),"ImportModelPortfolio")</f>
        <v>ImportModelPortfolio</v>
      </c>
      <c r="C395" s="0" t="str">
        <f>IFERROR(__xludf.DUMMYFUNCTION("""COMPUTED_VALUE"""),"1uA3-X_sfdgHpLlla2gmA5qaIeMTJ6myEpMQomvaH57E")</f>
        <v>1uA3-X_sfdgHpLlla2gmA5qaIeMTJ6myEpMQomvaH57E</v>
      </c>
    </row>
    <row r="396" ht="15.75" customHeight="1">
      <c r="A396" s="0" t="str">
        <f>IFERROR(__xludf.DUMMYFUNCTION("""COMPUTED_VALUE"""),"Simulator")</f>
        <v>Simulator</v>
      </c>
      <c r="B396" s="0" t="str">
        <f>IFERROR(__xludf.DUMMYFUNCTION("""COMPUTED_VALUE"""),"SelectTrade")</f>
        <v>SelectTrade</v>
      </c>
      <c r="C396" s="0" t="str">
        <f>IFERROR(__xludf.DUMMYFUNCTION("""COMPUTED_VALUE"""),"1oJZA4RBw_XCkQDDZBy85ywqvQNpWajanrSAgqZzI13E")</f>
        <v>1oJZA4RBw_XCkQDDZBy85ywqvQNpWajanrSAgqZzI13E</v>
      </c>
    </row>
    <row r="397" ht="15.75" customHeight="1">
      <c r="A397" s="0" t="str">
        <f>IFERROR(__xludf.DUMMYFUNCTION("""COMPUTED_VALUE"""),"Simulator")</f>
        <v>Simulator</v>
      </c>
      <c r="B397" s="0" t="str">
        <f>IFERROR(__xludf.DUMMYFUNCTION("""COMPUTED_VALUE"""),"AcknowledgeTrade")</f>
        <v>AcknowledgeTrade</v>
      </c>
      <c r="C397" s="0" t="str">
        <f>IFERROR(__xludf.DUMMYFUNCTION("""COMPUTED_VALUE"""),"1CdBYKFFqYhOy4q1BEQGu82mUnF7WNWe4Z814u9beHxI")</f>
        <v>1CdBYKFFqYhOy4q1BEQGu82mUnF7WNWe4Z814u9beHxI</v>
      </c>
    </row>
    <row r="398" ht="15.75" customHeight="1">
      <c r="A398" s="0" t="str">
        <f>IFERROR(__xludf.DUMMYFUNCTION("""COMPUTED_VALUE"""),"Simulator")</f>
        <v>Simulator</v>
      </c>
      <c r="B398" s="0" t="str">
        <f>IFERROR(__xludf.DUMMYFUNCTION("""COMPUTED_VALUE"""),"RejectTrade")</f>
        <v>RejectTrade</v>
      </c>
      <c r="C398" s="0" t="str">
        <f>IFERROR(__xludf.DUMMYFUNCTION("""COMPUTED_VALUE"""),"1Y1WdSpP2a4mgL9AgFePTD5-O91_kez0RV_3oa79deEo")</f>
        <v>1Y1WdSpP2a4mgL9AgFePTD5-O91_kez0RV_3oa79deEo</v>
      </c>
    </row>
    <row r="399" ht="15.75" customHeight="1">
      <c r="A399" s="0" t="str">
        <f>IFERROR(__xludf.DUMMYFUNCTION("""COMPUTED_VALUE"""),"Simulator")</f>
        <v>Simulator</v>
      </c>
      <c r="B399" s="0" t="str">
        <f>IFERROR(__xludf.DUMMYFUNCTION("""COMPUTED_VALUE"""),"ExecuteTrade")</f>
        <v>ExecuteTrade</v>
      </c>
      <c r="C399" s="0" t="str">
        <f>IFERROR(__xludf.DUMMYFUNCTION("""COMPUTED_VALUE"""),"1e_0FhonaytFQGqmA2SZC8cqHQ7AVLoOxgvQEkeR849g")</f>
        <v>1e_0FhonaytFQGqmA2SZC8cqHQ7AVLoOxgvQEkeR849g</v>
      </c>
    </row>
    <row r="400" ht="15.75" customHeight="1">
      <c r="A400" s="0" t="str">
        <f>IFERROR(__xludf.DUMMYFUNCTION("""COMPUTED_VALUE"""),"Simulator")</f>
        <v>Simulator</v>
      </c>
      <c r="B400" s="0" t="str">
        <f>IFERROR(__xludf.DUMMYFUNCTION("""COMPUTED_VALUE"""),"CancelTrade")</f>
        <v>CancelTrade</v>
      </c>
      <c r="C400" s="0" t="str">
        <f>IFERROR(__xludf.DUMMYFUNCTION("""COMPUTED_VALUE"""),"1XgmEBTVWV37ueOSbU-KFxQMdWXS2s9BOXYqMxqKf2BY")</f>
        <v>1XgmEBTVWV37ueOSbU-KFxQMdWXS2s9BOXYqMxqKf2BY</v>
      </c>
    </row>
    <row r="401" ht="15.75" customHeight="1">
      <c r="A401" s="0" t="str">
        <f>IFERROR(__xludf.DUMMYFUNCTION("""COMPUTED_VALUE"""),"Simulator")</f>
        <v>Simulator</v>
      </c>
      <c r="B401" s="0" t="str">
        <f>IFERROR(__xludf.DUMMYFUNCTION("""COMPUTED_VALUE"""),"OpenLiveTT")</f>
        <v>OpenLiveTT</v>
      </c>
      <c r="C401" s="0" t="str">
        <f>IFERROR(__xludf.DUMMYFUNCTION("""COMPUTED_VALUE"""),"1e4CzgxX2NVRwzHvDyPOuiTJca4c8SXcpIGr2QVrjYQI")</f>
        <v>1e4CzgxX2NVRwzHvDyPOuiTJca4c8SXcpIGr2QVrjYQI</v>
      </c>
    </row>
    <row r="402" ht="15.75" customHeight="1">
      <c r="A402" s="0" t="str">
        <f>IFERROR(__xludf.DUMMYFUNCTION("""COMPUTED_VALUE"""),"TradingTicket")</f>
        <v>TradingTicket</v>
      </c>
      <c r="B402" s="0" t="str">
        <f>IFERROR(__xludf.DUMMYFUNCTION("""COMPUTED_VALUE"""),"CreateLiveOrder")</f>
        <v>CreateLiveOrder</v>
      </c>
      <c r="C402" s="0" t="str">
        <f>IFERROR(__xludf.DUMMYFUNCTION("""COMPUTED_VALUE"""),"1YElm81jXxZdxskT731iIp16oGd1p-W5Ffb9MVJDoofg")</f>
        <v>1YElm81jXxZdxskT731iIp16oGd1p-W5Ffb9MVJDoofg</v>
      </c>
    </row>
    <row r="403" ht="15.75" customHeight="1">
      <c r="A403" s="0" t="str">
        <f>IFERROR(__xludf.DUMMYFUNCTION("""COMPUTED_VALUE"""),"Simulator")</f>
        <v>Simulator</v>
      </c>
      <c r="B403" s="0" t="str">
        <f>IFERROR(__xludf.DUMMYFUNCTION("""COMPUTED_VALUE"""),"SetManualResponse ")</f>
        <v>SetManualResponse </v>
      </c>
      <c r="C403" s="0" t="str">
        <f>IFERROR(__xludf.DUMMYFUNCTION("""COMPUTED_VALUE"""),"Undefined")</f>
        <v>Undefined</v>
      </c>
    </row>
    <row r="404" ht="15.75" customHeight="1">
      <c r="A404" s="0" t="str">
        <f>IFERROR(__xludf.DUMMYFUNCTION("""COMPUTED_VALUE"""),"Simulator")</f>
        <v>Simulator</v>
      </c>
      <c r="B404" s="0" t="str">
        <f>IFERROR(__xludf.DUMMYFUNCTION("""COMPUTED_VALUE"""),"ClearUI")</f>
        <v>ClearUI</v>
      </c>
      <c r="C404" s="0" t="str">
        <f>IFERROR(__xludf.DUMMYFUNCTION("""COMPUTED_VALUE"""),"1bi6uYRfzxVu3GJCc3nSEh0YvVqGOtn-spYb06yo_hnY")</f>
        <v>1bi6uYRfzxVu3GJCc3nSEh0YvVqGOtn-spYb06yo_hnY</v>
      </c>
    </row>
    <row r="405" ht="15.75" customHeight="1">
      <c r="A405" s="0" t="str">
        <f>IFERROR(__xludf.DUMMYFUNCTION("""COMPUTED_VALUE"""),"Rebalancer")</f>
        <v>Rebalancer</v>
      </c>
      <c r="B405" s="0" t="str">
        <f>IFERROR(__xludf.DUMMYFUNCTION("""COMPUTED_VALUE"""),"RebalanceAcrossSecurities")</f>
        <v>RebalanceAcrossSecurities</v>
      </c>
      <c r="C405" s="0" t="str">
        <f>IFERROR(__xludf.DUMMYFUNCTION("""COMPUTED_VALUE"""),"1_DQqAXKgUDfMNZ4igcBmYvkPrPEjdQfZcn6_6SIc1LA")</f>
        <v>1_DQqAXKgUDfMNZ4igcBmYvkPrPEjdQfZcn6_6SIc1LA</v>
      </c>
    </row>
    <row r="406" ht="15.75" customHeight="1">
      <c r="A406" s="0" t="str">
        <f>IFERROR(__xludf.DUMMYFUNCTION("""COMPUTED_VALUE"""),"Rebalancer")</f>
        <v>Rebalancer</v>
      </c>
      <c r="B406" s="0" t="str">
        <f>IFERROR(__xludf.DUMMYFUNCTION("""COMPUTED_VALUE"""),"CheckBasketCompliance")</f>
        <v>CheckBasketCompliance</v>
      </c>
      <c r="C406" s="0" t="str">
        <f>IFERROR(__xludf.DUMMYFUNCTION("""COMPUTED_VALUE"""),"1OyBrMYDA5pir_a0JoXRjM-kGt-a_f9fa5fayZhq7gQA")</f>
        <v>1OyBrMYDA5pir_a0JoXRjM-kGt-a_f9fa5fayZhq7gQA</v>
      </c>
    </row>
    <row r="407" ht="15.75" customHeight="1">
      <c r="A407" s="0" t="str">
        <f>IFERROR(__xludf.DUMMYFUNCTION("""COMPUTED_VALUE"""),"Rebalancer")</f>
        <v>Rebalancer</v>
      </c>
      <c r="B407" s="0" t="str">
        <f>IFERROR(__xludf.DUMMYFUNCTION("""COMPUTED_VALUE"""),"ClearCalculations")</f>
        <v>ClearCalculations</v>
      </c>
      <c r="C407" s="0" t="str">
        <f>IFERROR(__xludf.DUMMYFUNCTION("""COMPUTED_VALUE"""),"1YZnEM1XNVemOWc-WrHrlgFWLxrgjrRkjzNt5BMMb0SQ")</f>
        <v>1YZnEM1XNVemOWc-WrHrlgFWLxrgjrRkjzNt5BMMb0SQ</v>
      </c>
    </row>
    <row r="408" ht="15.75" customHeight="1">
      <c r="A408" s="0" t="str">
        <f>IFERROR(__xludf.DUMMYFUNCTION("""COMPUTED_VALUE"""),"Rebalancer")</f>
        <v>Rebalancer</v>
      </c>
      <c r="B408" s="0" t="str">
        <f>IFERROR(__xludf.DUMMYFUNCTION("""COMPUTED_VALUE"""),"ModifyRebalance")</f>
        <v>ModifyRebalance</v>
      </c>
      <c r="C408" s="0" t="str">
        <f>IFERROR(__xludf.DUMMYFUNCTION("""COMPUTED_VALUE"""),"14dJxKOyoZUguSNdGUYEkaQb5fO8cn-Xi7Lvco3mqQT0")</f>
        <v>14dJxKOyoZUguSNdGUYEkaQb5fO8cn-Xi7Lvco3mqQT0</v>
      </c>
    </row>
    <row r="409" ht="15.75" customHeight="1">
      <c r="A409" s="0" t="str">
        <f>IFERROR(__xludf.DUMMYFUNCTION("""COMPUTED_VALUE"""),"ThirdParty")</f>
        <v>ThirdParty</v>
      </c>
      <c r="B409" s="0" t="str">
        <f>IFERROR(__xludf.DUMMYFUNCTION("""COMPUTED_VALUE"""),"SelectThirdParty")</f>
        <v>SelectThirdParty</v>
      </c>
      <c r="C409" s="0" t="str">
        <f>IFERROR(__xludf.DUMMYFUNCTION("""COMPUTED_VALUE"""),"1jjylktggovoVKJ93ygprcwMqE7x5APXRPDlZORnG-lM")</f>
        <v>1jjylktggovoVKJ93ygprcwMqE7x5APXRPDlZORnG-lM</v>
      </c>
    </row>
    <row r="410" ht="15.75" customHeight="1">
      <c r="A410" s="0" t="str">
        <f>IFERROR(__xludf.DUMMYFUNCTION("""COMPUTED_VALUE"""),"ThirdParty")</f>
        <v>ThirdParty</v>
      </c>
      <c r="B410" s="0" t="str">
        <f>IFERROR(__xludf.DUMMYFUNCTION("""COMPUTED_VALUE"""),"ViewThirdParty")</f>
        <v>ViewThirdParty</v>
      </c>
      <c r="C410" s="0" t="str">
        <f>IFERROR(__xludf.DUMMYFUNCTION("""COMPUTED_VALUE"""),"1M_vWwbJmnVHSZCn_aXTbhje_gX1wR7qPtpIVUwfXXEI")</f>
        <v>1M_vWwbJmnVHSZCn_aXTbhje_gX1wR7qPtpIVUwfXXEI</v>
      </c>
    </row>
    <row r="411" ht="15.75" customHeight="1">
      <c r="A411" s="0" t="str">
        <f>IFERROR(__xludf.DUMMYFUNCTION("""COMPUTED_VALUE"""),"ThirdParty")</f>
        <v>ThirdParty</v>
      </c>
      <c r="B411" s="0" t="str">
        <f>IFERROR(__xludf.DUMMYFUNCTION("""COMPUTED_VALUE"""),"ThirdPartyGenerate")</f>
        <v>ThirdPartyGenerate</v>
      </c>
      <c r="C411" s="0" t="str">
        <f>IFERROR(__xludf.DUMMYFUNCTION("""COMPUTED_VALUE"""),"1VY_dfHFF7h6QdGCqKyvQNhL1L0AflvVXqmsJf_-Q-wM")</f>
        <v>1VY_dfHFF7h6QdGCqKyvQNhL1L0AflvVXqmsJf_-Q-wM</v>
      </c>
    </row>
    <row r="412" ht="15.75" customHeight="1">
      <c r="A412" s="0" t="str">
        <f>IFERROR(__xludf.DUMMYFUNCTION("""COMPUTED_VALUE"""),"ThirdParty")</f>
        <v>ThirdParty</v>
      </c>
      <c r="B412" s="0" t="str">
        <f>IFERROR(__xludf.DUMMYFUNCTION("""COMPUTED_VALUE"""),"VerifyThirdPartyView")</f>
        <v>VerifyThirdPartyView</v>
      </c>
      <c r="C412" s="0" t="str">
        <f>IFERROR(__xludf.DUMMYFUNCTION("""COMPUTED_VALUE"""),"1PlxAVmA1kQxKEDdmir_dZ2yCnS0sczqxaxI14lspQRc")</f>
        <v>1PlxAVmA1kQxKEDdmir_dZ2yCnS0sczqxaxI14lspQRc</v>
      </c>
    </row>
    <row r="413" ht="15.75" customHeight="1">
      <c r="A413" s="0" t="str">
        <f>IFERROR(__xludf.DUMMYFUNCTION("""COMPUTED_VALUE"""),"ThirdParty")</f>
        <v>ThirdParty</v>
      </c>
      <c r="B413" s="0" t="str">
        <f>IFERROR(__xludf.DUMMYFUNCTION("""COMPUTED_VALUE"""),"VerifyThirdPartyGenerate")</f>
        <v>VerifyThirdPartyGenerate</v>
      </c>
      <c r="C413" s="0" t="str">
        <f>IFERROR(__xludf.DUMMYFUNCTION("""COMPUTED_VALUE"""),"1wcR0IDUt_nDrixwL4ekhCphzdwkRzSvN74wQc6bqa6I")</f>
        <v>1wcR0IDUt_nDrixwL4ekhCphzdwkRzSvN74wQc6bqa6I</v>
      </c>
    </row>
    <row r="414" ht="15.75" customHeight="1">
      <c r="A414" s="0" t="str">
        <f>IFERROR(__xludf.DUMMYFUNCTION("""COMPUTED_VALUE"""),"ThirdParty")</f>
        <v>ThirdParty</v>
      </c>
      <c r="B414" s="0" t="str">
        <f>IFERROR(__xludf.DUMMYFUNCTION("""COMPUTED_VALUE"""),"VerifyThirdPartySend")</f>
        <v>VerifyThirdPartySend</v>
      </c>
      <c r="C414" s="0" t="str">
        <f>IFERROR(__xludf.DUMMYFUNCTION("""COMPUTED_VALUE"""),"1xMTnPgjA-5czlK--QDF7kSLwwzm_Nr_U-hWjlIptwvA")</f>
        <v>1xMTnPgjA-5czlK--QDF7kSLwwzm_Nr_U-hWjlIptwvA</v>
      </c>
    </row>
    <row r="415" ht="15.75" customHeight="1">
      <c r="A415" s="0" t="str">
        <f>IFERROR(__xludf.DUMMYFUNCTION("""COMPUTED_VALUE"""),"ThirdParty")</f>
        <v>ThirdParty</v>
      </c>
      <c r="B415" s="0" t="str">
        <f>IFERROR(__xludf.DUMMYFUNCTION("""COMPUTED_VALUE"""),"ThirdPartySend")</f>
        <v>ThirdPartySend</v>
      </c>
      <c r="C415" s="0" t="str">
        <f>IFERROR(__xludf.DUMMYFUNCTION("""COMPUTED_VALUE"""),"1GTyXwiBJ89Cz8jXXGex2tRDqiQ-zfsA2Ab877TNJGO8")</f>
        <v>1GTyXwiBJ89Cz8jXXGex2tRDqiQ-zfsA2Ab877TNJGO8</v>
      </c>
    </row>
    <row r="416" ht="15.75" customHeight="1">
      <c r="A416" s="0" t="str">
        <f>IFERROR(__xludf.DUMMYFUNCTION("""COMPUTED_VALUE"""),"Blotter")</f>
        <v>Blotter</v>
      </c>
      <c r="B416" s="0" t="str">
        <f>IFERROR(__xludf.DUMMYFUNCTION("""COMPUTED_VALUE"""),"VerifyViewAllocationDetails")</f>
        <v>VerifyViewAllocationDetails</v>
      </c>
      <c r="C416" s="0" t="str">
        <f>IFERROR(__xludf.DUMMYFUNCTION("""COMPUTED_VALUE"""),"1bNNEr-lSd0r160QEx23XXOR6M4VNsWETJctUKdRQISI")</f>
        <v>1bNNEr-lSd0r160QEx23XXOR6M4VNsWETJctUKdRQISI</v>
      </c>
    </row>
    <row r="417" ht="15.75" customHeight="1">
      <c r="A417" s="0" t="str">
        <f>IFERROR(__xludf.DUMMYFUNCTION("""COMPUTED_VALUE"""),"PTT")</f>
        <v>PTT</v>
      </c>
      <c r="B417" s="0" t="str">
        <f>IFERROR(__xludf.DUMMYFUNCTION("""COMPUTED_VALUE"""),"SelectPTTRecord")</f>
        <v>SelectPTTRecord</v>
      </c>
      <c r="C417" s="0" t="str">
        <f>IFERROR(__xludf.DUMMYFUNCTION("""COMPUTED_VALUE"""),"1ZwKNiPobd02LDEL972DGhHwWWjyxykoNCOLI0J0A3FQ")</f>
        <v>1ZwKNiPobd02LDEL972DGhHwWWjyxykoNCOLI0J0A3FQ</v>
      </c>
    </row>
    <row r="418" ht="15.75" customHeight="1">
      <c r="A418" s="0" t="str">
        <f>IFERROR(__xludf.DUMMYFUNCTION("""COMPUTED_VALUE"""),"PTT")</f>
        <v>PTT</v>
      </c>
      <c r="B418" s="0" t="str">
        <f>IFERROR(__xludf.DUMMYFUNCTION("""COMPUTED_VALUE"""),"EditPTTRecord")</f>
        <v>EditPTTRecord</v>
      </c>
      <c r="C418" s="0" t="str">
        <f>IFERROR(__xludf.DUMMYFUNCTION("""COMPUTED_VALUE"""),"1UX2q2cE3Yhd9N1Cymq56lMWFO5b_5MRDssdEeUHk7Uw")</f>
        <v>1UX2q2cE3Yhd9N1Cymq56lMWFO5b_5MRDssdEeUHk7Uw</v>
      </c>
    </row>
    <row r="419" ht="15.75" customHeight="1">
      <c r="A419" s="0" t="str">
        <f>IFERROR(__xludf.DUMMYFUNCTION("""COMPUTED_VALUE"""),"PTT")</f>
        <v>PTT</v>
      </c>
      <c r="B419" s="0" t="str">
        <f>IFERROR(__xludf.DUMMYFUNCTION("""COMPUTED_VALUE"""),"CreateOrderAfterEditPTT")</f>
        <v>CreateOrderAfterEditPTT</v>
      </c>
      <c r="C419" s="0" t="str">
        <f>IFERROR(__xludf.DUMMYFUNCTION("""COMPUTED_VALUE"""),"1_Pi7jaWwC1-jHc4gdZjz6rVBF8BeDCN5MP-lkS3-P5A")</f>
        <v>1_Pi7jaWwC1-jHc4gdZjz6rVBF8BeDCN5MP-lkS3-P5A</v>
      </c>
    </row>
    <row r="420" ht="15.75" customHeight="1">
      <c r="A420" s="0" t="str">
        <f>IFERROR(__xludf.DUMMYFUNCTION("""COMPUTED_VALUE"""),"PTT")</f>
        <v>PTT</v>
      </c>
      <c r="B420" s="0" t="str">
        <f>IFERROR(__xludf.DUMMYFUNCTION("""COMPUTED_VALUE"""),"EditPTTWPFGrid")</f>
        <v>EditPTTWPFGrid</v>
      </c>
      <c r="C420" s="0" t="str">
        <f>IFERROR(__xludf.DUMMYFUNCTION("""COMPUTED_VALUE"""),"1o84-ebWnVj-2eOPPbqtkU7cjAdopGIv9U9UpnvyS_RM")</f>
        <v>1o84-ebWnVj-2eOPPbqtkU7cjAdopGIv9U9UpnvyS_RM</v>
      </c>
    </row>
    <row r="421" ht="15.75" customHeight="1">
      <c r="A421" s="0" t="str">
        <f>IFERROR(__xludf.DUMMYFUNCTION("""COMPUTED_VALUE"""),"Blotter")</f>
        <v>Blotter</v>
      </c>
      <c r="B421" s="0" t="str">
        <f>IFERROR(__xludf.DUMMYFUNCTION("""COMPUTED_VALUE"""),"GoToAllocation")</f>
        <v>GoToAllocation</v>
      </c>
      <c r="C421" s="0" t="str">
        <f>IFERROR(__xludf.DUMMYFUNCTION("""COMPUTED_VALUE"""),"10QzcdIo3u5jhik0CvwvheVC9AB6WY_giUhBXgjokbKA")</f>
        <v>10QzcdIo3u5jhik0CvwvheVC9AB6WY_giUhBXgjokbKA</v>
      </c>
    </row>
    <row r="422" ht="15.75" customHeight="1">
      <c r="A422" s="0" t="str">
        <f>IFERROR(__xludf.DUMMYFUNCTION("""COMPUTED_VALUE"""),"Simulator")</f>
        <v>Simulator</v>
      </c>
      <c r="B422" s="0" t="str">
        <f>IFERROR(__xludf.DUMMYFUNCTION("""COMPUTED_VALUE"""),"CloseSimulator")</f>
        <v>CloseSimulator</v>
      </c>
      <c r="C422" s="0" t="str">
        <f>IFERROR(__xludf.DUMMYFUNCTION("""COMPUTED_VALUE"""),"Undefined")</f>
        <v>Undefined</v>
      </c>
    </row>
    <row r="423" ht="15.75" customHeight="1">
      <c r="A423" s="0" t="str">
        <f>IFERROR(__xludf.DUMMYFUNCTION("""COMPUTED_VALUE"""),"GeneralLedger")</f>
        <v>GeneralLedger</v>
      </c>
      <c r="B423" s="0" t="str">
        <f>IFERROR(__xludf.DUMMYFUNCTION("""COMPUTED_VALUE"""),"VerifyCashTransaction")</f>
        <v>VerifyCashTransaction</v>
      </c>
      <c r="C423" s="0" t="str">
        <f>IFERROR(__xludf.DUMMYFUNCTION("""COMPUTED_VALUE"""),"1yhwHj8QXLwaG6_tqD1DiMTBFbGfFx06eBEkztEnm-Jw")</f>
        <v>1yhwHj8QXLwaG6_tqD1DiMTBFbGfFx06eBEkztEnm-Jw</v>
      </c>
    </row>
    <row r="424" ht="15.75" customHeight="1">
      <c r="A424" s="0" t="str">
        <f>IFERROR(__xludf.DUMMYFUNCTION("""COMPUTED_VALUE"""),"Rebalancer")</f>
        <v>Rebalancer</v>
      </c>
      <c r="B424" s="0" t="str">
        <f>IFERROR(__xludf.DUMMYFUNCTION("""COMPUTED_VALUE"""),"ModelPortfolio")</f>
        <v>ModelPortfolio</v>
      </c>
      <c r="C424" s="0" t="str">
        <f>IFERROR(__xludf.DUMMYFUNCTION("""COMPUTED_VALUE"""),"136i7p89n9UDWHd_V-4a1bV4rkJpS_ilCt9E0-pe1yK8")</f>
        <v>136i7p89n9UDWHd_V-4a1bV4rkJpS_ilCt9E0-pe1yK8</v>
      </c>
    </row>
    <row r="425" ht="15.75" customHeight="1">
      <c r="A425" s="0" t="str">
        <f>IFERROR(__xludf.DUMMYFUNCTION("""COMPUTED_VALUE"""),"DailyValuation")</f>
        <v>DailyValuation</v>
      </c>
      <c r="B425" s="0" t="str">
        <f>IFERROR(__xludf.DUMMYFUNCTION("""COMPUTED_VALUE"""),"VerifyDailyCash")</f>
        <v>VerifyDailyCash</v>
      </c>
      <c r="C425" s="0" t="str">
        <f>IFERROR(__xludf.DUMMYFUNCTION("""COMPUTED_VALUE"""),"1e9G7T26lY7vSvQv24ueVwOQKraBS_0LQ_KuMJQWQhZE")</f>
        <v>1e9G7T26lY7vSvQv24ueVwOQKraBS_0LQ_KuMJQWQhZE</v>
      </c>
    </row>
    <row r="426" ht="15.75" customHeight="1">
      <c r="A426" s="0" t="str">
        <f>IFERROR(__xludf.DUMMYFUNCTION("""COMPUTED_VALUE"""),"Admin")</f>
        <v>Admin</v>
      </c>
      <c r="B426" s="0" t="str">
        <f>IFERROR(__xludf.DUMMYFUNCTION("""COMPUTED_VALUE"""),"SetCheckSide")</f>
        <v>SetCheckSide</v>
      </c>
      <c r="C426" s="0" t="str">
        <f>IFERROR(__xludf.DUMMYFUNCTION("""COMPUTED_VALUE"""),"1ReudWT4409vS83RpMHfwkV9B4orUNJ9atUNdHyDBQ4s")</f>
        <v>1ReudWT4409vS83RpMHfwkV9B4orUNJ9atUNdHyDBQ4s</v>
      </c>
    </row>
    <row r="427" ht="15.75" customHeight="1">
      <c r="A427" s="0" t="str">
        <f>IFERROR(__xludf.DUMMYFUNCTION("""COMPUTED_VALUE"""),"CorporateAction")</f>
        <v>CorporateAction</v>
      </c>
      <c r="B427" s="0" t="str">
        <f>IFERROR(__xludf.DUMMYFUNCTION("""COMPUTED_VALUE"""),"OpenSpinOff")</f>
        <v>OpenSpinOff</v>
      </c>
      <c r="C427" s="0" t="str">
        <f>IFERROR(__xludf.DUMMYFUNCTION("""COMPUTED_VALUE"""),"1ca52Q2hfdhwZ8A2jVvaiicu3dt8a8J8L3Jhcse7pG2A")</f>
        <v>1ca52Q2hfdhwZ8A2jVvaiicu3dt8a8J8L3Jhcse7pG2A</v>
      </c>
    </row>
    <row r="428" ht="15.75" customHeight="1">
      <c r="A428" s="0" t="str">
        <f>IFERROR(__xludf.DUMMYFUNCTION("""COMPUTED_VALUE"""),"CorporateAction")</f>
        <v>CorporateAction</v>
      </c>
      <c r="B428" s="0" t="str">
        <f>IFERROR(__xludf.DUMMYFUNCTION("""COMPUTED_VALUE"""),"VerifyAndApplyCorpAction")</f>
        <v>VerifyAndApplyCorpAction</v>
      </c>
      <c r="C428" s="0" t="str">
        <f>IFERROR(__xludf.DUMMYFUNCTION("""COMPUTED_VALUE"""),"1SBzqeTSAoUoHFDHMn4k7c6g6LHSBIrpd4emybhFreTg")</f>
        <v>1SBzqeTSAoUoHFDHMn4k7c6g6LHSBIrpd4emybhFreTg</v>
      </c>
    </row>
    <row r="429" ht="15.75" customHeight="1">
      <c r="A429" s="0" t="str">
        <f>IFERROR(__xludf.DUMMYFUNCTION("""COMPUTED_VALUE"""),"CorporateAction ")</f>
        <v>CorporateAction </v>
      </c>
      <c r="B429" s="0" t="str">
        <f>IFERROR(__xludf.DUMMYFUNCTION("""COMPUTED_VALUE"""),"VerifyAndSaveCorpAction")</f>
        <v>VerifyAndSaveCorpAction</v>
      </c>
      <c r="C429" s="0" t="str">
        <f>IFERROR(__xludf.DUMMYFUNCTION("""COMPUTED_VALUE"""),"1wAywyRQ48H22P5SEjLRQxebHLFtPifvm4VFxZoSYlTI")</f>
        <v>1wAywyRQ48H22P5SEjLRQxebHLFtPifvm4VFxZoSYlTI</v>
      </c>
    </row>
    <row r="430" ht="15.75" customHeight="1">
      <c r="A430" s="0" t="str">
        <f>IFERROR(__xludf.DUMMYFUNCTION("""COMPUTED_VALUE"""),"Allocation")</f>
        <v>Allocation</v>
      </c>
      <c r="B430" s="0" t="str">
        <f>IFERROR(__xludf.DUMMYFUNCTION("""COMPUTED_VALUE"""),"DisableChecksideForAsset")</f>
        <v>DisableChecksideForAsset</v>
      </c>
      <c r="C430" s="0" t="str">
        <f>IFERROR(__xludf.DUMMYFUNCTION("""COMPUTED_VALUE"""),"16ErDdYMk92r2vHKFbCSsrMnG2qsS600CjuKBnkuz9bg")</f>
        <v>16ErDdYMk92r2vHKFbCSsrMnG2qsS600CjuKBnkuz9bg</v>
      </c>
    </row>
    <row r="431" ht="15.75" customHeight="1">
      <c r="A431" s="0" t="str">
        <f>IFERROR(__xludf.DUMMYFUNCTION("""COMPUTED_VALUE"""),"Allocation")</f>
        <v>Allocation</v>
      </c>
      <c r="B431" s="0" t="str">
        <f>IFERROR(__xludf.DUMMYFUNCTION("""COMPUTED_VALUE"""),"DisableChecksideForAccount")</f>
        <v>DisableChecksideForAccount</v>
      </c>
      <c r="C431" s="0" t="str">
        <f>IFERROR(__xludf.DUMMYFUNCTION("""COMPUTED_VALUE"""),"1_ofNNle4c82uOrOMYVoJijcsU3RrE_tOk8sP-7DTQbE")</f>
        <v>1_ofNNle4c82uOrOMYVoJijcsU3RrE_tOk8sP-7DTQbE</v>
      </c>
    </row>
    <row r="432" ht="15.75" customHeight="1">
      <c r="A432" s="0" t="str">
        <f>IFERROR(__xludf.DUMMYFUNCTION("""COMPUTED_VALUE"""),"Allocation")</f>
        <v>Allocation</v>
      </c>
      <c r="B432" s="0" t="str">
        <f>IFERROR(__xludf.DUMMYFUNCTION("""COMPUTED_VALUE"""),"DisableChecksideForCounterParty")</f>
        <v>DisableChecksideForCounterParty</v>
      </c>
      <c r="C432" s="0" t="str">
        <f>IFERROR(__xludf.DUMMYFUNCTION("""COMPUTED_VALUE"""),"1S6IfjsUhgXZnzhxXTQ9Pu8C2d3owAfDh3AkXsJ77ONs")</f>
        <v>1S6IfjsUhgXZnzhxXTQ9Pu8C2d3owAfDh3AkXsJ77ONs</v>
      </c>
    </row>
    <row r="433" ht="15.75" customHeight="1">
      <c r="A433" s="0" t="str">
        <f>IFERROR(__xludf.DUMMYFUNCTION("""COMPUTED_VALUE"""),"Allocation")</f>
        <v>Allocation</v>
      </c>
      <c r="B433" s="0" t="str">
        <f>IFERROR(__xludf.DUMMYFUNCTION("""COMPUTED_VALUE"""),"DisableCheckside")</f>
        <v>DisableCheckside</v>
      </c>
      <c r="C433" s="0" t="str">
        <f>IFERROR(__xludf.DUMMYFUNCTION("""COMPUTED_VALUE"""),"1VvbbBLsHbv0nOMc8RenJrC7_8Yjvi3rS_glRksBYT_g")</f>
        <v>1VvbbBLsHbv0nOMc8RenJrC7_8Yjvi3rS_glRksBYT_g</v>
      </c>
    </row>
    <row r="434" ht="15.75" customHeight="1">
      <c r="A434" s="0" t="str">
        <f>IFERROR(__xludf.DUMMYFUNCTION("""COMPUTED_VALUE"""),"Allocation")</f>
        <v>Allocation</v>
      </c>
      <c r="B434" s="0" t="str">
        <f>IFERROR(__xludf.DUMMYFUNCTION("""COMPUTED_VALUE"""),"ApplyMasterFundFilter")</f>
        <v>ApplyMasterFundFilter</v>
      </c>
      <c r="C434" s="0" t="str">
        <f>IFERROR(__xludf.DUMMYFUNCTION("""COMPUTED_VALUE"""),"1aOi8zMpuwOlcgS4kk8Ruk2p6o_Y6yab83mZG5CGPHsI")</f>
        <v>1aOi8zMpuwOlcgS4kk8Ruk2p6o_Y6yab83mZG5CGPHsI</v>
      </c>
    </row>
    <row r="435" ht="15.75" customHeight="1">
      <c r="A435" s="0" t="str">
        <f>IFERROR(__xludf.DUMMYFUNCTION("""COMPUTED_VALUE"""),"TradingTicket")</f>
        <v>TradingTicket</v>
      </c>
      <c r="B435" s="0" t="str">
        <f>IFERROR(__xludf.DUMMYFUNCTION("""COMPUTED_VALUE"""),"UpdateMasterFundOnTT")</f>
        <v>UpdateMasterFundOnTT</v>
      </c>
      <c r="C435" s="0" t="str">
        <f>IFERROR(__xludf.DUMMYFUNCTION("""COMPUTED_VALUE"""),"1NH2RgaXiyv04qiaKhglHuboYXdFpvtuQx8ZaQl1cqFs")</f>
        <v>1NH2RgaXiyv04qiaKhglHuboYXdFpvtuQx8ZaQl1cqFs</v>
      </c>
    </row>
    <row r="436" ht="15.75" customHeight="1">
      <c r="A436" s="0" t="str">
        <f>IFERROR(__xludf.DUMMYFUNCTION("""COMPUTED_VALUE"""),"Allocation")</f>
        <v>Allocation</v>
      </c>
      <c r="B436" s="0" t="str">
        <f>IFERROR(__xludf.DUMMYFUNCTION("""COMPUTED_VALUE"""),"ShowMasterFundOnTT")</f>
        <v>ShowMasterFundOnTT</v>
      </c>
      <c r="C436" s="0" t="str">
        <f>IFERROR(__xludf.DUMMYFUNCTION("""COMPUTED_VALUE"""),"1qIRihKlBnQ9rcLjWoqIp-PhksybW-tE4KcRwTi-uTh8")</f>
        <v>1qIRihKlBnQ9rcLjWoqIp-PhksybW-tE4KcRwTi-uTh8</v>
      </c>
    </row>
    <row r="437" ht="15.75" customHeight="1">
      <c r="A437" s="0" t="str">
        <f>IFERROR(__xludf.DUMMYFUNCTION("""COMPUTED_VALUE"""),"Allocation")</f>
        <v>Allocation</v>
      </c>
      <c r="B437" s="0" t="str">
        <f>IFERROR(__xludf.DUMMYFUNCTION("""COMPUTED_VALUE"""),"ShowMasterFundAsClient")</f>
        <v>ShowMasterFundAsClient</v>
      </c>
      <c r="C437" s="0" t="str">
        <f>IFERROR(__xludf.DUMMYFUNCTION("""COMPUTED_VALUE"""),"1mBYEgZFVmhMZkYKMz2zBcLvpelcKVcdkwVNoWjn9Yhg")</f>
        <v>1mBYEgZFVmhMZkYKMz2zBcLvpelcKVcdkwVNoWjn9Yhg</v>
      </c>
    </row>
    <row r="438" ht="15.75" customHeight="1">
      <c r="A438" s="0" t="str">
        <f>IFERROR(__xludf.DUMMYFUNCTION("""COMPUTED_VALUE"""),"Allocation")</f>
        <v>Allocation</v>
      </c>
      <c r="B438" s="0" t="str">
        <f>IFERROR(__xludf.DUMMYFUNCTION("""COMPUTED_VALUE"""),"SetBrokerAccountMapping")</f>
        <v>SetBrokerAccountMapping</v>
      </c>
      <c r="C438" s="0" t="str">
        <f>IFERROR(__xludf.DUMMYFUNCTION("""COMPUTED_VALUE"""),"1nb7n3oYvCbSlMI6mlmZw3W8oxoLWQ1JFUZkN8dhvKGo")</f>
        <v>1nb7n3oYvCbSlMI6mlmZw3W8oxoLWQ1JFUZkN8dhvKGo</v>
      </c>
    </row>
    <row r="439" ht="15.75" customHeight="1">
      <c r="A439" s="0" t="str">
        <f>IFERROR(__xludf.DUMMYFUNCTION("""COMPUTED_VALUE"""),"Allocation")</f>
        <v>Allocation</v>
      </c>
      <c r="B439" s="0" t="str">
        <f>IFERROR(__xludf.DUMMYFUNCTION("""COMPUTED_VALUE"""),"EditUnallocatedGridWPF")</f>
        <v>EditUnallocatedGridWPF</v>
      </c>
      <c r="C439" s="0" t="str">
        <f>IFERROR(__xludf.DUMMYFUNCTION("""COMPUTED_VALUE"""),"1c-Gj_pSa6hbKILBzHvXLuimO2VmGjEek0icIYnPcCPE")</f>
        <v>1c-Gj_pSa6hbKILBzHvXLuimO2VmGjEek0icIYnPcCPE</v>
      </c>
    </row>
    <row r="440" ht="15.75" customHeight="1">
      <c r="A440" s="0" t="str">
        <f>IFERROR(__xludf.DUMMYFUNCTION("""COMPUTED_VALUE"""),"Allocation")</f>
        <v>Allocation</v>
      </c>
      <c r="B440" s="0" t="str">
        <f>IFERROR(__xludf.DUMMYFUNCTION("""COMPUTED_VALUE"""),"EditAllocatedGridWPF")</f>
        <v>EditAllocatedGridWPF</v>
      </c>
      <c r="C440" s="0" t="str">
        <f>IFERROR(__xludf.DUMMYFUNCTION("""COMPUTED_VALUE"""),"1tOzxGOLWmanR1CinNEV8SAdqJX3ajMPchVgiX6Cao8s")</f>
        <v>1tOzxGOLWmanR1CinNEV8SAdqJX3ajMPchVgiX6Cao8s</v>
      </c>
    </row>
    <row r="441" ht="15.75" customHeight="1">
      <c r="A441" s="0" t="str">
        <f>IFERROR(__xludf.DUMMYFUNCTION("""COMPUTED_VALUE"""),"Admin")</f>
        <v>Admin</v>
      </c>
      <c r="B441" s="0" t="str">
        <f>IFERROR(__xludf.DUMMYFUNCTION("""COMPUTED_VALUE"""),"SetRollover")</f>
        <v>SetRollover</v>
      </c>
      <c r="C441" s="0" t="str">
        <f>IFERROR(__xludf.DUMMYFUNCTION("""COMPUTED_VALUE"""),"1B3vLz-YjdbGHniMwguZEWSalbMWNmVHodgQHVzZAq60")</f>
        <v>1B3vLz-YjdbGHniMwguZEWSalbMWNmVHodgQHVzZAq60</v>
      </c>
    </row>
    <row r="442" ht="15.75" customHeight="1">
      <c r="A442" s="0" t="str">
        <f>IFERROR(__xludf.DUMMYFUNCTION("""COMPUTED_VALUE"""),"Blotter")</f>
        <v>Blotter</v>
      </c>
      <c r="B442" s="0" t="str">
        <f>IFERROR(__xludf.DUMMYFUNCTION("""COMPUTED_VALUE"""),"VerifyRollover")</f>
        <v>VerifyRollover</v>
      </c>
      <c r="C442" s="0" t="str">
        <f>IFERROR(__xludf.DUMMYFUNCTION("""COMPUTED_VALUE"""),"1VQh3eCLRiyXufUtJv6VqIb0wjqC_jElZJAWe8vnyiFo")</f>
        <v>1VQh3eCLRiyXufUtJv6VqIb0wjqC_jElZJAWe8vnyiFo</v>
      </c>
    </row>
    <row r="443" ht="15.75" customHeight="1">
      <c r="A443" s="0" t="str">
        <f>IFERROR(__xludf.DUMMYFUNCTION("""COMPUTED_VALUE"""),"Allocation")</f>
        <v>Allocation</v>
      </c>
      <c r="B443" s="0" t="str">
        <f>IFERROR(__xludf.DUMMYFUNCTION("""COMPUTED_VALUE"""),"EditAllocatedGridTaxlot")</f>
        <v>EditAllocatedGridTaxlot</v>
      </c>
      <c r="C443" s="0" t="str">
        <f>IFERROR(__xludf.DUMMYFUNCTION("""COMPUTED_VALUE"""),"1jrQ5cTjzaAnJprHDrMJ7xLoViDRLxJhmViRhlMQyPmc")</f>
        <v>1jrQ5cTjzaAnJprHDrMJ7xLoViDRLxJhmViRhlMQyPmc</v>
      </c>
    </row>
    <row r="444" ht="15.75" customHeight="1">
      <c r="A444" s="0" t="str">
        <f>IFERROR(__xludf.DUMMYFUNCTION("""COMPUTED_VALUE"""),"Allocation")</f>
        <v>Allocation</v>
      </c>
      <c r="B444" s="0" t="str">
        <f>IFERROR(__xludf.DUMMYFUNCTION("""COMPUTED_VALUE"""),"ExpandCollapseAllocatedGrid")</f>
        <v>ExpandCollapseAllocatedGrid</v>
      </c>
      <c r="C444" s="0" t="str">
        <f>IFERROR(__xludf.DUMMYFUNCTION("""COMPUTED_VALUE"""),"1EtqBdhsUhwi27QZ_a5TFGvk7epbQRBAud4wwG4GjT-o")</f>
        <v>1EtqBdhsUhwi27QZ_a5TFGvk7epbQRBAud4wwG4GjT-o</v>
      </c>
    </row>
    <row r="445" ht="15.75" customHeight="1">
      <c r="A445" s="0" t="str">
        <f>IFERROR(__xludf.DUMMYFUNCTION("""COMPUTED_VALUE"""),"Allocation")</f>
        <v>Allocation</v>
      </c>
      <c r="B445" s="0" t="str">
        <f>IFERROR(__xludf.DUMMYFUNCTION("""COMPUTED_VALUE"""),"ExpandCollapseUnallocatedGrid")</f>
        <v>ExpandCollapseUnallocatedGrid</v>
      </c>
      <c r="C445" s="0" t="str">
        <f>IFERROR(__xludf.DUMMYFUNCTION("""COMPUTED_VALUE"""),"1DJn_ByYxhMzgt2AkKP7VvHaijAtfcn500twVCi3FuwY")</f>
        <v>1DJn_ByYxhMzgt2AkKP7VvHaijAtfcn500twVCi3FuwY</v>
      </c>
    </row>
    <row r="446" ht="15.75" customHeight="1">
      <c r="A446" s="0" t="str">
        <f>IFERROR(__xludf.DUMMYFUNCTION("""COMPUTED_VALUE"""),"Blotter")</f>
        <v>Blotter</v>
      </c>
      <c r="B446" s="0" t="str">
        <f>IFERROR(__xludf.DUMMYFUNCTION("""COMPUTED_VALUE"""),"VerifySubOrderAfterRollover")</f>
        <v>VerifySubOrderAfterRollover</v>
      </c>
      <c r="C446" s="0" t="str">
        <f>IFERROR(__xludf.DUMMYFUNCTION("""COMPUTED_VALUE"""),"1zDsXI3LPkoDacftZ2KF5YYjIcUlD3QhRUYRulDL5oN8")</f>
        <v>1zDsXI3LPkoDacftZ2KF5YYjIcUlD3QhRUYRulDL5oN8</v>
      </c>
    </row>
    <row r="447" ht="15.75" customHeight="1">
      <c r="A447" s="0" t="str">
        <f>IFERROR(__xludf.DUMMYFUNCTION("""COMPUTED_VALUE"""),"Import")</f>
        <v>Import</v>
      </c>
      <c r="B447" s="0" t="str">
        <f>IFERROR(__xludf.DUMMYFUNCTION("""COMPUTED_VALUE"""),"SelectTransactionImportType")</f>
        <v>SelectTransactionImportType</v>
      </c>
      <c r="C447" s="0" t="str">
        <f>IFERROR(__xludf.DUMMYFUNCTION("""COMPUTED_VALUE"""),"1MfOpDVrcGiBBIHH8fFTmd6amj1jHHg6rePWgu-2nZK8")</f>
        <v>1MfOpDVrcGiBBIHH8fFTmd6amj1jHHg6rePWgu-2nZK8</v>
      </c>
    </row>
    <row r="448" ht="15.75" customHeight="1">
      <c r="A448" s="0" t="str">
        <f>IFERROR(__xludf.DUMMYFUNCTION("""COMPUTED_VALUE"""),"Import")</f>
        <v>Import</v>
      </c>
      <c r="B448" s="0" t="str">
        <f>IFERROR(__xludf.DUMMYFUNCTION("""COMPUTED_VALUE"""),"SelectAllOnImport")</f>
        <v>SelectAllOnImport</v>
      </c>
      <c r="C448" s="0" t="str">
        <f>IFERROR(__xludf.DUMMYFUNCTION("""COMPUTED_VALUE"""),"1O-Z5n-OqLZKUyKhPsyc4cTH_RWRJRhFVjLQN9iZgf_g")</f>
        <v>1O-Z5n-OqLZKUyKhPsyc4cTH_RWRJRhFVjLQN9iZgf_g</v>
      </c>
    </row>
    <row r="449" ht="15.75" customHeight="1">
      <c r="A449" s="0" t="str">
        <f>IFERROR(__xludf.DUMMYFUNCTION("""COMPUTED_VALUE"""),"Import")</f>
        <v>Import</v>
      </c>
      <c r="B449" s="0" t="str">
        <f>IFERROR(__xludf.DUMMYFUNCTION("""COMPUTED_VALUE"""),"SelectMarkPriceImportType")</f>
        <v>SelectMarkPriceImportType</v>
      </c>
      <c r="C449" s="0" t="str">
        <f>IFERROR(__xludf.DUMMYFUNCTION("""COMPUTED_VALUE"""),"1X60AOW1PdXXC_MqWvlhO-_Xtym74TQ6JiKQf7BaFGFU")</f>
        <v>1X60AOW1PdXXC_MqWvlhO-_Xtym74TQ6JiKQf7BaFGFU</v>
      </c>
    </row>
    <row r="450" ht="15.75" customHeight="1">
      <c r="A450" s="0" t="str">
        <f>IFERROR(__xludf.DUMMYFUNCTION("""COMPUTED_VALUE"""),"Import")</f>
        <v>Import</v>
      </c>
      <c r="B450" s="0" t="str">
        <f>IFERROR(__xludf.DUMMYFUNCTION("""COMPUTED_VALUE"""),"SelectForexImportType")</f>
        <v>SelectForexImportType</v>
      </c>
      <c r="C450" s="0" t="str">
        <f>IFERROR(__xludf.DUMMYFUNCTION("""COMPUTED_VALUE"""),"1pQFXFOAH774XT-VZCbKCTilzQka7eSVAZO_30jAJkzc")</f>
        <v>1pQFXFOAH774XT-VZCbKCTilzQka7eSVAZO_30jAJkzc</v>
      </c>
    </row>
    <row r="451" ht="15.75" customHeight="1">
      <c r="A451" s="0" t="str">
        <f>IFERROR(__xludf.DUMMYFUNCTION("""COMPUTED_VALUE"""),"Import")</f>
        <v>Import</v>
      </c>
      <c r="B451" s="0" t="str">
        <f>IFERROR(__xludf.DUMMYFUNCTION("""COMPUTED_VALUE"""),"SelectDoubleEntryCashImportType")</f>
        <v>SelectDoubleEntryCashImportType</v>
      </c>
      <c r="C451" s="0" t="str">
        <f>IFERROR(__xludf.DUMMYFUNCTION("""COMPUTED_VALUE"""),"1LD-4ln6dD3Xr8MpjRWUrFZphBmyCgSTa6YWxKH2dnro")</f>
        <v>1LD-4ln6dD3Xr8MpjRWUrFZphBmyCgSTa6YWxKH2dnro</v>
      </c>
    </row>
    <row r="452" ht="15.75" customHeight="1">
      <c r="A452" s="0" t="str">
        <f>IFERROR(__xludf.DUMMYFUNCTION("""COMPUTED_VALUE"""),"Import")</f>
        <v>Import</v>
      </c>
      <c r="B452" s="0" t="str">
        <f>IFERROR(__xludf.DUMMYFUNCTION("""COMPUTED_VALUE"""),"SelectActivitiesImportType")</f>
        <v>SelectActivitiesImportType</v>
      </c>
      <c r="C452" s="0" t="str">
        <f>IFERROR(__xludf.DUMMYFUNCTION("""COMPUTED_VALUE"""),"1bU6-nZPWyWD3EHUirvMbX3iEk-dq8pOqW-T-92H7QH0")</f>
        <v>1bU6-nZPWyWD3EHUirvMbX3iEk-dq8pOqW-T-92H7QH0</v>
      </c>
    </row>
    <row r="453" ht="15.75" customHeight="1">
      <c r="A453" s="0" t="str">
        <f>IFERROR(__xludf.DUMMYFUNCTION("""COMPUTED_VALUE"""),"TradingTicket")</f>
        <v>TradingTicket</v>
      </c>
      <c r="B453" s="0" t="str">
        <f>IFERROR(__xludf.DUMMYFUNCTION("""COMPUTED_VALUE"""),"SetTTCompliancePreference")</f>
        <v>SetTTCompliancePreference</v>
      </c>
      <c r="C453" s="0" t="str">
        <f>IFERROR(__xludf.DUMMYFUNCTION("""COMPUTED_VALUE"""),"1Grp3J4MoPb4ugRngl-qzV4SSJXRISkZhbgiuGuLVEz4")</f>
        <v>1Grp3J4MoPb4ugRngl-qzV4SSJXRISkZhbgiuGuLVEz4</v>
      </c>
    </row>
    <row r="454" ht="15.75" customHeight="1">
      <c r="A454" s="0" t="str">
        <f>IFERROR(__xludf.DUMMYFUNCTION("""COMPUTED_VALUE"""),"Rebalancer")</f>
        <v>Rebalancer</v>
      </c>
      <c r="B454" s="0" t="str">
        <f>IFERROR(__xludf.DUMMYFUNCTION("""COMPUTED_VALUE"""),"LockandUnlockGridData")</f>
        <v>LockandUnlockGridData</v>
      </c>
      <c r="C454" s="0" t="str">
        <f>IFERROR(__xludf.DUMMYFUNCTION("""COMPUTED_VALUE"""),"1EAH65rZNySGGob__JM-Ohve-xSIVrLprry1-bHfxlIE")</f>
        <v>1EAH65rZNySGGob__JM-Ohve-xSIVrLprry1-bHfxlIE</v>
      </c>
    </row>
    <row r="455" ht="15.75" customHeight="1">
      <c r="A455" s="0" t="str">
        <f>IFERROR(__xludf.DUMMYFUNCTION("""COMPUTED_VALUE"""),"Allocation")</f>
        <v>Allocation</v>
      </c>
      <c r="B455" s="0" t="str">
        <f>IFERROR(__xludf.DUMMYFUNCTION("""COMPUTED_VALUE"""),"SetTradeAttributePreferences")</f>
        <v>SetTradeAttributePreferences</v>
      </c>
      <c r="C455" s="0" t="str">
        <f>IFERROR(__xludf.DUMMYFUNCTION("""COMPUTED_VALUE"""),"1my_zLaXc6szWpIOxmI-qCSNy0-rZqlHsM-ta7yilhBY")</f>
        <v>1my_zLaXc6szWpIOxmI-qCSNy0-rZqlHsM-ta7yilhBY</v>
      </c>
    </row>
    <row r="456" ht="15.75" customHeight="1">
      <c r="A456" s="0" t="str">
        <f>IFERROR(__xludf.DUMMYFUNCTION("""COMPUTED_VALUE"""),"GeneralLedger")</f>
        <v>GeneralLedger</v>
      </c>
      <c r="B456" s="0" t="str">
        <f>IFERROR(__xludf.DUMMYFUNCTION("""COMPUTED_VALUE"""),"VerifyAccountBalances")</f>
        <v>VerifyAccountBalances</v>
      </c>
      <c r="C456" s="0" t="str">
        <f>IFERROR(__xludf.DUMMYFUNCTION("""COMPUTED_VALUE"""),"1DPjaL7vtGJ9FJ9_Z4o7CkMSXYNcU4Qiga6SLll9BoUQ")</f>
        <v>1DPjaL7vtGJ9FJ9_Z4o7CkMSXYNcU4Qiga6SLll9BoUQ</v>
      </c>
    </row>
    <row r="457" ht="15.75" customHeight="1">
      <c r="A457" s="0" t="str">
        <f>IFERROR(__xludf.DUMMYFUNCTION("""COMPUTED_VALUE"""),"Rebalancer")</f>
        <v>Rebalancer</v>
      </c>
      <c r="B457" s="0" t="str">
        <f>IFERROR(__xludf.DUMMYFUNCTION("""COMPUTED_VALUE"""),"RefreshGridData")</f>
        <v>RefreshGridData</v>
      </c>
      <c r="C457" s="0" t="str">
        <f>IFERROR(__xludf.DUMMYFUNCTION("""COMPUTED_VALUE"""),"1Twh9hXbusYu_GS7dbW4xTddG57o7_sRf_eA0tSIHHnI")</f>
        <v>1Twh9hXbusYu_GS7dbW4xTddG57o7_sRf_eA0tSIHHnI</v>
      </c>
    </row>
    <row r="458" ht="15.75" customHeight="1">
      <c r="A458" s="0" t="str">
        <f>IFERROR(__xludf.DUMMYFUNCTION("""COMPUTED_VALUE"""),"GeneralLedger")</f>
        <v>GeneralLedger</v>
      </c>
      <c r="B458" s="0" t="str">
        <f>IFERROR(__xludf.DUMMYFUNCTION("""COMPUTED_VALUE"""),"AddMultipleOpeningBalTranItem")</f>
        <v>AddMultipleOpeningBalTranItem</v>
      </c>
      <c r="C458" s="0" t="str">
        <f>IFERROR(__xludf.DUMMYFUNCTION("""COMPUTED_VALUE"""),"1bJ3bDpFjTc_8g8qo7j1JVshB_LOl23u_1DYWXef1veE")</f>
        <v>1bJ3bDpFjTc_8g8qo7j1JVshB_LOl23u_1DYWXef1veE</v>
      </c>
    </row>
    <row r="459" ht="15.75" customHeight="1">
      <c r="A459" s="0" t="str">
        <f>IFERROR(__xludf.DUMMYFUNCTION("""COMPUTED_VALUE"""),"Import")</f>
        <v>Import</v>
      </c>
      <c r="B459" s="0" t="str">
        <f>IFERROR(__xludf.DUMMYFUNCTION("""COMPUTED_VALUE"""),"ApplyFilterOnImport")</f>
        <v>ApplyFilterOnImport</v>
      </c>
      <c r="C459" s="0" t="str">
        <f>IFERROR(__xludf.DUMMYFUNCTION("""COMPUTED_VALUE"""),"1Da-rjrbxEE3vLRnSqkr_MNxdUBaUjvyrVyCRsADwJKU")</f>
        <v>1Da-rjrbxEE3vLRnSqkr_MNxdUBaUjvyrVyCRsADwJKU</v>
      </c>
    </row>
    <row r="460" ht="15.75" customHeight="1">
      <c r="A460" s="0" t="str">
        <f>IFERROR(__xludf.DUMMYFUNCTION("""COMPUTED_VALUE"""),"Rebalancer")</f>
        <v>Rebalancer</v>
      </c>
      <c r="B460" s="0" t="str">
        <f>IFERROR(__xludf.DUMMYFUNCTION("""COMPUTED_VALUE"""),"SendtoStaging")</f>
        <v>SendtoStaging</v>
      </c>
      <c r="C460" s="0" t="str">
        <f>IFERROR(__xludf.DUMMYFUNCTION("""COMPUTED_VALUE"""),"1LVrDx22SvXtNLHuCgAdGOnjsdhE3b9tjTEtzx2RdECc")</f>
        <v>1LVrDx22SvXtNLHuCgAdGOnjsdhE3b9tjTEtzx2RdECc</v>
      </c>
    </row>
    <row r="461" ht="15.75" customHeight="1">
      <c r="A461" s="0" t="str">
        <f>IFERROR(__xludf.DUMMYFUNCTION("""COMPUTED_VALUE"""),"Rebalancer")</f>
        <v>Rebalancer</v>
      </c>
      <c r="B461" s="0" t="str">
        <f>IFERROR(__xludf.DUMMYFUNCTION("""COMPUTED_VALUE"""),"SendToStagingExport")</f>
        <v>SendToStagingExport</v>
      </c>
      <c r="C461" s="0" t="str">
        <f>IFERROR(__xludf.DUMMYFUNCTION("""COMPUTED_VALUE"""),"1ed4mu6dPKZ1upq8fj0V3A44fKKF0Kaci13w3MzPRi94")</f>
        <v>1ed4mu6dPKZ1upq8fj0V3A44fKKF0Kaci13w3MzPRi94</v>
      </c>
    </row>
    <row r="462" ht="15.75" customHeight="1">
      <c r="A462" s="0" t="str">
        <f>IFERROR(__xludf.DUMMYFUNCTION("""COMPUTED_VALUE"""),"PTT")</f>
        <v>PTT</v>
      </c>
      <c r="B462" s="0" t="str">
        <f>IFERROR(__xludf.DUMMYFUNCTION("""COMPUTED_VALUE"""),"SetDefaultSymbology")</f>
        <v>SetDefaultSymbology</v>
      </c>
      <c r="C462" s="0" t="str">
        <f>IFERROR(__xludf.DUMMYFUNCTION("""COMPUTED_VALUE"""),"1c8RXMSMKCCZZhGpaSJFpL0iNAB41irezmfODVoz-HOM")</f>
        <v>1c8RXMSMKCCZZhGpaSJFpL0iNAB41irezmfODVoz-HOM</v>
      </c>
    </row>
    <row r="463" ht="15.75" customHeight="1">
      <c r="A463" s="0" t="str">
        <f>IFERROR(__xludf.DUMMYFUNCTION("""COMPUTED_VALUE"""),"Allocation")</f>
        <v>Allocation</v>
      </c>
      <c r="B463" s="0" t="str">
        <f>IFERROR(__xludf.DUMMYFUNCTION("""COMPUTED_VALUE"""),"EnterCustomAllocatePreference")</f>
        <v>EnterCustomAllocatePreference</v>
      </c>
      <c r="C463" s="0" t="str">
        <f>IFERROR(__xludf.DUMMYFUNCTION("""COMPUTED_VALUE"""),"1Ag9B515mUdzPP5zMlZiJvXg_TX9Pf0V-JJb7HHGUFZQ")</f>
        <v>1Ag9B515mUdzPP5zMlZiJvXg_TX9Pf0V-JJb7HHGUFZQ</v>
      </c>
    </row>
    <row r="464" ht="15.75" customHeight="1">
      <c r="A464" s="0" t="str">
        <f>IFERROR(__xludf.DUMMYFUNCTION("""COMPUTED_VALUE"""),"PTT")</f>
        <v>PTT</v>
      </c>
      <c r="B464" s="0" t="str">
        <f>IFERROR(__xludf.DUMMYFUNCTION("""COMPUTED_VALUE"""),"EditPTTAccountLevelWPF")</f>
        <v>EditPTTAccountLevelWPF</v>
      </c>
      <c r="C464" s="0" t="str">
        <f>IFERROR(__xludf.DUMMYFUNCTION("""COMPUTED_VALUE"""),"14SRXKP6K_jM43UPVxHLajQ3RiPUNkFiafNIpKFU1qJw")</f>
        <v>14SRXKP6K_jM43UPVxHLajQ3RiPUNkFiafNIpKFU1qJw</v>
      </c>
    </row>
    <row r="465" ht="15.75" customHeight="1">
      <c r="A465" s="0" t="str">
        <f>IFERROR(__xludf.DUMMYFUNCTION("""COMPUTED_VALUE"""),"PortfolioManagement")</f>
        <v>PortfolioManagement</v>
      </c>
      <c r="B465" s="0" t="str">
        <f>IFERROR(__xludf.DUMMYFUNCTION("""COMPUTED_VALUE"""),"OpenCreateTransactionFromPM")</f>
        <v>OpenCreateTransactionFromPM</v>
      </c>
      <c r="C465" s="0" t="str">
        <f>IFERROR(__xludf.DUMMYFUNCTION("""COMPUTED_VALUE"""),"1Iqlyl1OX0stY1-IKyRyaVqLsL4U21WB22TR5R9IOuV0")</f>
        <v>1Iqlyl1OX0stY1-IKyRyaVqLsL4U21WB22TR5R9IOuV0</v>
      </c>
    </row>
    <row r="466" ht="15.75" customHeight="1">
      <c r="A466" s="0" t="str">
        <f>IFERROR(__xludf.DUMMYFUNCTION("""COMPUTED_VALUE"""),"Allocation")</f>
        <v>Allocation</v>
      </c>
      <c r="B466" s="0" t="str">
        <f>IFERROR(__xludf.DUMMYFUNCTION("""COMPUTED_VALUE"""),"SetAutoGroupingPreferences")</f>
        <v>SetAutoGroupingPreferences</v>
      </c>
      <c r="C466" s="0" t="str">
        <f>IFERROR(__xludf.DUMMYFUNCTION("""COMPUTED_VALUE"""),"1w0BOrROJMhSBD6gLWR9m2PsXt7yg48njQgJ3X9qWWeE")</f>
        <v>1w0BOrROJMhSBD6gLWR9m2PsXt7yg48njQgJ3X9qWWeE</v>
      </c>
    </row>
    <row r="467" ht="15.75" customHeight="1">
      <c r="A467" s="0" t="str">
        <f>IFERROR(__xludf.DUMMYFUNCTION("""COMPUTED_VALUE"""),"Allocation")</f>
        <v>Allocation</v>
      </c>
      <c r="B467" s="0" t="str">
        <f>IFERROR(__xludf.DUMMYFUNCTION("""COMPUTED_VALUE"""),"SetAutoGroupingAccount")</f>
        <v>SetAutoGroupingAccount</v>
      </c>
      <c r="C467" s="0" t="str">
        <f>IFERROR(__xludf.DUMMYFUNCTION("""COMPUTED_VALUE"""),"1UpTQDv3-OcoXnckKzH1C0np-5xkdjS3szbTcvwX-VWE")</f>
        <v>1UpTQDv3-OcoXnckKzH1C0np-5xkdjS3szbTcvwX-VWE</v>
      </c>
    </row>
    <row r="468" ht="15.75" customHeight="1">
      <c r="A468" s="0" t="str">
        <f>IFERROR(__xludf.DUMMYFUNCTION("""COMPUTED_VALUE"""),"Allocation")</f>
        <v>Allocation</v>
      </c>
      <c r="B468" s="0" t="str">
        <f>IFERROR(__xludf.DUMMYFUNCTION("""COMPUTED_VALUE"""),"SetAvgPriceRounding")</f>
        <v>SetAvgPriceRounding</v>
      </c>
      <c r="C468" s="0" t="str">
        <f>IFERROR(__xludf.DUMMYFUNCTION("""COMPUTED_VALUE"""),"1vMyQT3uR4ejtWOsCfpo0iqiZJvk8d4CyZ1m7nZfRedw")</f>
        <v>1vMyQT3uR4ejtWOsCfpo0iqiZJvk8d4CyZ1m7nZfRedw</v>
      </c>
    </row>
    <row r="469" ht="15.75" customHeight="1">
      <c r="A469" s="0" t="str">
        <f>IFERROR(__xludf.DUMMYFUNCTION("""COMPUTED_VALUE"""),"Admin")</f>
        <v>Admin</v>
      </c>
      <c r="B469" s="0" t="str">
        <f>IFERROR(__xludf.DUMMYFUNCTION("""COMPUTED_VALUE"""),"SetActive")</f>
        <v>SetActive</v>
      </c>
      <c r="C469" s="0" t="str">
        <f>IFERROR(__xludf.DUMMYFUNCTION("""COMPUTED_VALUE"""),"1ML-STLVrOrrVravDSrrhHBiPP2STeaHPpz6u2UzUbjY")</f>
        <v>1ML-STLVrOrrVravDSrrhHBiPP2STeaHPpz6u2UzUbjY</v>
      </c>
    </row>
    <row r="470" ht="15.75" customHeight="1">
      <c r="A470" s="0" t="str">
        <f>IFERROR(__xludf.DUMMYFUNCTION("""COMPUTED_VALUE"""),"Admin")</f>
        <v>Admin</v>
      </c>
      <c r="B470" s="0" t="str">
        <f>IFERROR(__xludf.DUMMYFUNCTION("""COMPUTED_VALUE"""),"SetThirdPartyFormat")</f>
        <v>SetThirdPartyFormat</v>
      </c>
      <c r="C470" s="0" t="str">
        <f>IFERROR(__xludf.DUMMYFUNCTION("""COMPUTED_VALUE"""),"1lpUcHcElZaOXkhMXuDMlsMhf---N3oQjSe1rn2RnGjE")</f>
        <v>1lpUcHcElZaOXkhMXuDMlsMhf---N3oQjSe1rn2RnGjE</v>
      </c>
    </row>
    <row r="471" ht="15.75" customHeight="1">
      <c r="A471" s="0" t="str">
        <f>IFERROR(__xludf.DUMMYFUNCTION("""COMPUTED_VALUE"""),"Admin")</f>
        <v>Admin</v>
      </c>
      <c r="B471" s="0" t="str">
        <f>IFERROR(__xludf.DUMMYFUNCTION("""COMPUTED_VALUE"""),"UpdateRoundLot")</f>
        <v>UpdateRoundLot</v>
      </c>
      <c r="C471" s="0" t="str">
        <f>IFERROR(__xludf.DUMMYFUNCTION("""COMPUTED_VALUE"""),"1IDlXbwq4xx3F351jk1e9GhmOOysQkjY49iti_LJY29Y")</f>
        <v>1IDlXbwq4xx3F351jk1e9GhmOOysQkjY49iti_LJY29Y</v>
      </c>
    </row>
    <row r="472" ht="15.75" customHeight="1">
      <c r="A472" s="0" t="str">
        <f>IFERROR(__xludf.DUMMYFUNCTION("""COMPUTED_VALUE"""),"Rebalancer")</f>
        <v>Rebalancer</v>
      </c>
      <c r="B472" s="0" t="str">
        <f>IFERROR(__xludf.DUMMYFUNCTION("""COMPUTED_VALUE"""),"RebalanceViaBloomberg")</f>
        <v>RebalanceViaBloomberg</v>
      </c>
      <c r="C472" s="0" t="str">
        <f>IFERROR(__xludf.DUMMYFUNCTION("""COMPUTED_VALUE"""),"1LwzjM4qhF7L7Sxpj0tmKmwrbnudRqAXE2o9sTrXIRg4")</f>
        <v>1LwzjM4qhF7L7Sxpj0tmKmwrbnudRqAXE2o9sTrXIRg4</v>
      </c>
    </row>
    <row r="473" ht="15.75" customHeight="1">
      <c r="A473" s="0" t="str">
        <f>IFERROR(__xludf.DUMMYFUNCTION("""COMPUTED_VALUE"""),"ThirdParty")</f>
        <v>ThirdParty</v>
      </c>
      <c r="B473" s="0" t="str">
        <f>IFERROR(__xludf.DUMMYFUNCTION("""COMPUTED_VALUE"""),"RefreshThirdParty")</f>
        <v>RefreshThirdParty</v>
      </c>
      <c r="C473" s="0" t="str">
        <f>IFERROR(__xludf.DUMMYFUNCTION("""COMPUTED_VALUE"""),"1guMwvYY7eIhwmTxoDxp96X7I1ob2jLHmhM39Dwo1Y_0")</f>
        <v>1guMwvYY7eIhwmTxoDxp96X7I1ob2jLHmhM39Dwo1Y_0</v>
      </c>
    </row>
    <row r="474" ht="15.75" customHeight="1">
      <c r="A474" s="0" t="str">
        <f>IFERROR(__xludf.DUMMYFUNCTION("""COMPUTED_VALUE"""),"Rebalancer")</f>
        <v>Rebalancer</v>
      </c>
      <c r="B474" s="0" t="str">
        <f>IFERROR(__xludf.DUMMYFUNCTION("""COMPUTED_VALUE"""),"AddUserAdjustedNAV")</f>
        <v>AddUserAdjustedNAV</v>
      </c>
      <c r="C474" s="0" t="str">
        <f>IFERROR(__xludf.DUMMYFUNCTION("""COMPUTED_VALUE"""),"19OVwZsuCpOR4wNoumc9dcWKh-GlmHGzdDHpxrI9vy2Q")</f>
        <v>19OVwZsuCpOR4wNoumc9dcWKh-GlmHGzdDHpxrI9vy2Q</v>
      </c>
    </row>
    <row r="475" ht="15.75" customHeight="1">
      <c r="A475" s="0" t="str">
        <f>IFERROR(__xludf.DUMMYFUNCTION("""COMPUTED_VALUE"""),"Allocation")</f>
        <v>Allocation</v>
      </c>
      <c r="B475" s="0" t="str">
        <f>IFERROR(__xludf.DUMMYFUNCTION("""COMPUTED_VALUE"""),"IsAllocationOpen")</f>
        <v>IsAllocationOpen</v>
      </c>
      <c r="C475" s="0" t="str">
        <f>IFERROR(__xludf.DUMMYFUNCTION("""COMPUTED_VALUE"""),"1tXfGlqhDgCdohzVgP6y6ZH15Fk9uu1P72qRZ3Z2rpG4")</f>
        <v>1tXfGlqhDgCdohzVgP6y6ZH15Fk9uu1P72qRZ3Z2rpG4</v>
      </c>
    </row>
    <row r="476" ht="15.75" customHeight="1">
      <c r="A476" s="0" t="str">
        <f>IFERROR(__xludf.DUMMYFUNCTION("""COMPUTED_VALUE"""),"ShortLocate")</f>
        <v>ShortLocate</v>
      </c>
      <c r="B476" s="0" t="str">
        <f>IFERROR(__xludf.DUMMYFUNCTION("""COMPUTED_VALUE"""),"ImportOnShortLocate")</f>
        <v>ImportOnShortLocate</v>
      </c>
      <c r="C476" s="0" t="str">
        <f>IFERROR(__xludf.DUMMYFUNCTION("""COMPUTED_VALUE"""),"19QVF-aiOcmBqU2qKUK-OCu98j5uyT4B-XqK8arWvdUE")</f>
        <v>19QVF-aiOcmBqU2qKUK-OCu98j5uyT4B-XqK8arWvdUE</v>
      </c>
    </row>
    <row r="477" ht="15.75" customHeight="1">
      <c r="A477" s="0" t="str">
        <f>IFERROR(__xludf.DUMMYFUNCTION("""COMPUTED_VALUE"""),"ShortLocate")</f>
        <v>ShortLocate</v>
      </c>
      <c r="B477" s="0" t="str">
        <f>IFERROR(__xludf.DUMMYFUNCTION("""COMPUTED_VALUE"""),"ApplyFilterOnShortLocate")</f>
        <v>ApplyFilterOnShortLocate</v>
      </c>
      <c r="C477" s="0" t="str">
        <f>IFERROR(__xludf.DUMMYFUNCTION("""COMPUTED_VALUE"""),"1PEbXqnVsJIUstDlBtSQ74U3EFTjGSqLfB7FqQsO5Lmw")</f>
        <v>1PEbXqnVsJIUstDlBtSQ74U3EFTjGSqLfB7FqQsO5Lmw</v>
      </c>
    </row>
    <row r="478" ht="15.75" customHeight="1">
      <c r="A478" s="0" t="str">
        <f>IFERROR(__xludf.DUMMYFUNCTION("""COMPUTED_VALUE"""),"ShortLocate")</f>
        <v>ShortLocate</v>
      </c>
      <c r="B478" s="0" t="str">
        <f>IFERROR(__xludf.DUMMYFUNCTION("""COMPUTED_VALUE"""),"OpenTTFromShortLocate")</f>
        <v>OpenTTFromShortLocate</v>
      </c>
      <c r="C478" s="0" t="str">
        <f>IFERROR(__xludf.DUMMYFUNCTION("""COMPUTED_VALUE"""),"1C5cKOwx9EUg1jODdQv4vMSqPEx82TJf3ahEnHpr3WXQ")</f>
        <v>1C5cKOwx9EUg1jODdQv4vMSqPEx82TJf3ahEnHpr3WXQ</v>
      </c>
    </row>
    <row r="479" ht="15.75" customHeight="1">
      <c r="A479" s="0" t="str">
        <f>IFERROR(__xludf.DUMMYFUNCTION("""COMPUTED_VALUE"""),"PortfolioManagement")</f>
        <v>PortfolioManagement</v>
      </c>
      <c r="B479" s="0" t="str">
        <f>IFERROR(__xludf.DUMMYFUNCTION("""COMPUTED_VALUE"""),"RemoveGroupingFromPM")</f>
        <v>RemoveGroupingFromPM</v>
      </c>
      <c r="C479" s="0" t="str">
        <f>IFERROR(__xludf.DUMMYFUNCTION("""COMPUTED_VALUE"""),"1dHOaB4ss1ElxiqF88xo8RR5XXPvF76pKh6JDOySJu-E")</f>
        <v>1dHOaB4ss1ElxiqF88xo8RR5XXPvF76pKh6JDOySJu-E</v>
      </c>
    </row>
    <row r="480" ht="15.75" customHeight="1">
      <c r="A480" s="0" t="str">
        <f>IFERROR(__xludf.DUMMYFUNCTION("""COMPUTED_VALUE"""),"Watchlist")</f>
        <v>Watchlist</v>
      </c>
      <c r="B480" s="0" t="str">
        <f>IFERROR(__xludf.DUMMYFUNCTION("""COMPUTED_VALUE"""),"AddTabOnWatchlist")</f>
        <v>AddTabOnWatchlist</v>
      </c>
      <c r="C480" s="0" t="str">
        <f>IFERROR(__xludf.DUMMYFUNCTION("""COMPUTED_VALUE"""),"1-Fquq09E5X5hH37sCvpU3vM33MTlYZO2fGOuT5GEl_0")</f>
        <v>1-Fquq09E5X5hH37sCvpU3vM33MTlYZO2fGOuT5GEl_0</v>
      </c>
    </row>
    <row r="481" ht="15.75" customHeight="1">
      <c r="A481" s="0" t="str">
        <f>IFERROR(__xludf.DUMMYFUNCTION("""COMPUTED_VALUE"""),"Watchlist")</f>
        <v>Watchlist</v>
      </c>
      <c r="B481" s="0" t="str">
        <f>IFERROR(__xludf.DUMMYFUNCTION("""COMPUTED_VALUE"""),"DeleteTabOnWatchlist")</f>
        <v>DeleteTabOnWatchlist</v>
      </c>
      <c r="C481" s="0" t="str">
        <f>IFERROR(__xludf.DUMMYFUNCTION("""COMPUTED_VALUE"""),"1aPotCHpuxmGXORel0Or7Cz4LqQtNgOXy6cutDrXC4ZA")</f>
        <v>1aPotCHpuxmGXORel0Or7Cz4LqQtNgOXy6cutDrXC4ZA</v>
      </c>
    </row>
    <row r="482" ht="15.75" customHeight="1">
      <c r="A482" s="0" t="str">
        <f>IFERROR(__xludf.DUMMYFUNCTION("""COMPUTED_VALUE"""),"ShortLocate")</f>
        <v>ShortLocate</v>
      </c>
      <c r="B482" s="0" t="str">
        <f>IFERROR(__xludf.DUMMYFUNCTION("""COMPUTED_VALUE"""),"Upload")</f>
        <v>Upload</v>
      </c>
      <c r="C482" s="0" t="str">
        <f>IFERROR(__xludf.DUMMYFUNCTION("""COMPUTED_VALUE"""),"1Yt8a2lXlhGObiQrMMM5W_j6RdU8jQn-mLCPBdmpe7Q4")</f>
        <v>1Yt8a2lXlhGObiQrMMM5W_j6RdU8jQn-mLCPBdmpe7Q4</v>
      </c>
    </row>
    <row r="483" ht="15.75" customHeight="1">
      <c r="A483" s="0" t="str">
        <f>IFERROR(__xludf.DUMMYFUNCTION("""COMPUTED_VALUE"""),"Recon")</f>
        <v>Recon</v>
      </c>
      <c r="B483" s="0" t="str">
        <f>IFERROR(__xludf.DUMMYFUNCTION("""COMPUTED_VALUE"""),"ViewDataOnRecon")</f>
        <v>ViewDataOnRecon</v>
      </c>
      <c r="C483" s="0" t="str">
        <f>IFERROR(__xludf.DUMMYFUNCTION("""COMPUTED_VALUE"""),"1MvpMdaCDeVLEpK1FmZNAkpQIPeitH0as0fCgj60iBiI")</f>
        <v>1MvpMdaCDeVLEpK1FmZNAkpQIPeitH0as0fCgj60iBiI</v>
      </c>
    </row>
    <row r="484" ht="15.75" customHeight="1">
      <c r="A484" s="0" t="str">
        <f>IFERROR(__xludf.DUMMYFUNCTION("""COMPUTED_VALUE"""),"Recon")</f>
        <v>Recon</v>
      </c>
      <c r="B484" s="0" t="str">
        <f>IFERROR(__xludf.DUMMYFUNCTION("""COMPUTED_VALUE"""),"RunRecon")</f>
        <v>RunRecon</v>
      </c>
      <c r="C484" s="0" t="str">
        <f>IFERROR(__xludf.DUMMYFUNCTION("""COMPUTED_VALUE"""),"1DDa6JCeggmfNaYD62TTTcjt1bmrk6ge5KcAe2yFoeMw")</f>
        <v>1DDa6JCeggmfNaYD62TTTcjt1bmrk6ge5KcAe2yFoeMw</v>
      </c>
    </row>
    <row r="485" ht="15.75" customHeight="1">
      <c r="A485" s="0" t="str">
        <f>IFERROR(__xludf.DUMMYFUNCTION("""COMPUTED_VALUE"""),"Recon")</f>
        <v>Recon</v>
      </c>
      <c r="B485" s="0" t="str">
        <f>IFERROR(__xludf.DUMMYFUNCTION("""COMPUTED_VALUE"""),"GenerateExceptionReport")</f>
        <v>GenerateExceptionReport</v>
      </c>
      <c r="C485" s="0" t="str">
        <f>IFERROR(__xludf.DUMMYFUNCTION("""COMPUTED_VALUE"""),"1UdCz3mbG1GJqgKZJ828uP7hYNKCi5g_gMKrTM4Nuw70")</f>
        <v>1UdCz3mbG1GJqgKZJ828uP7hYNKCi5g_gMKrTM4Nuw70</v>
      </c>
    </row>
    <row r="486" ht="15.75" customHeight="1">
      <c r="A486" s="0" t="str">
        <f>IFERROR(__xludf.DUMMYFUNCTION("""COMPUTED_VALUE"""),"Recon")</f>
        <v>Recon</v>
      </c>
      <c r="B486" s="0" t="str">
        <f>IFERROR(__xludf.DUMMYFUNCTION("""COMPUTED_VALUE"""),"ImportDataOnRecon")</f>
        <v>ImportDataOnRecon</v>
      </c>
      <c r="C486" s="0" t="str">
        <f>IFERROR(__xludf.DUMMYFUNCTION("""COMPUTED_VALUE"""),"1TGSSMCVBapTePkTNPegO5K-1JXoG29MXtaMfvS42lT4")</f>
        <v>1TGSSMCVBapTePkTNPegO5K-1JXoG29MXtaMfvS42lT4</v>
      </c>
    </row>
    <row r="487" ht="15.75" customHeight="1">
      <c r="A487" s="0" t="str">
        <f>IFERROR(__xludf.DUMMYFUNCTION("""COMPUTED_VALUE"""),"ShortLocate")</f>
        <v>ShortLocate</v>
      </c>
      <c r="B487" s="0" t="str">
        <f>IFERROR(__xludf.DUMMYFUNCTION("""COMPUTED_VALUE"""),"VerifyShortLocateGrid")</f>
        <v>VerifyShortLocateGrid</v>
      </c>
      <c r="C487" s="0" t="str">
        <f>IFERROR(__xludf.DUMMYFUNCTION("""COMPUTED_VALUE"""),"1sQkk0Iso34FqpWhLPcYXKUPQnmZ8Pjini2G3BJhnquM")</f>
        <v>1sQkk0Iso34FqpWhLPcYXKUPQnmZ8Pjini2G3BJhnquM</v>
      </c>
    </row>
    <row r="488" ht="15.75" customHeight="1">
      <c r="A488" s="0" t="str">
        <f>IFERROR(__xludf.DUMMYFUNCTION("""COMPUTED_VALUE"""),"Recon")</f>
        <v>Recon</v>
      </c>
      <c r="B488" s="0" t="str">
        <f>IFERROR(__xludf.DUMMYFUNCTION("""COMPUTED_VALUE"""),"VerifyApplicationData")</f>
        <v>VerifyApplicationData</v>
      </c>
      <c r="C488" s="0" t="str">
        <f>IFERROR(__xludf.DUMMYFUNCTION("""COMPUTED_VALUE"""),"12uaBilYuoqtrRW6_HDDP48tS7_jnEsipPeSiI04cKsU")</f>
        <v>12uaBilYuoqtrRW6_HDDP48tS7_jnEsipPeSiI04cKsU</v>
      </c>
    </row>
    <row r="489" ht="15.75" customHeight="1">
      <c r="A489" s="0" t="str">
        <f>IFERROR(__xludf.DUMMYFUNCTION("""COMPUTED_VALUE"""),"Recon")</f>
        <v>Recon</v>
      </c>
      <c r="B489" s="0" t="str">
        <f>IFERROR(__xludf.DUMMYFUNCTION("""COMPUTED_VALUE"""),"VerifyExceptionReport")</f>
        <v>VerifyExceptionReport</v>
      </c>
      <c r="C489" s="0" t="str">
        <f>IFERROR(__xludf.DUMMYFUNCTION("""COMPUTED_VALUE"""),"1XV5X_FcfT9lsESq_rfDGc3fxjjBPTf0U6hi--LgJFpk")</f>
        <v>1XV5X_FcfT9lsESq_rfDGc3fxjjBPTf0U6hi--LgJFpk</v>
      </c>
    </row>
    <row r="490" ht="15.75" customHeight="1">
      <c r="A490" s="0" t="str">
        <f>IFERROR(__xludf.DUMMYFUNCTION("""COMPUTED_VALUE"""),"Recon")</f>
        <v>Recon</v>
      </c>
      <c r="B490" s="0" t="str">
        <f>IFERROR(__xludf.DUMMYFUNCTION("""COMPUTED_VALUE"""),"VerifyPrimeBrokerData")</f>
        <v>VerifyPrimeBrokerData</v>
      </c>
      <c r="C490" s="0" t="str">
        <f>IFERROR(__xludf.DUMMYFUNCTION("""COMPUTED_VALUE"""),"1t0clw8YL_XSFlsdLmKvJToFZu0s9objoeJH9wCCADyE")</f>
        <v>1t0clw8YL_XSFlsdLmKvJToFZu0s9objoeJH9wCCADyE</v>
      </c>
    </row>
    <row r="491" ht="15.75" customHeight="1">
      <c r="A491" s="0" t="str">
        <f>IFERROR(__xludf.DUMMYFUNCTION("""COMPUTED_VALUE"""),"Admin")</f>
        <v>Admin</v>
      </c>
      <c r="B491" s="0" t="str">
        <f>IFERROR(__xludf.DUMMYFUNCTION("""COMPUTED_VALUE"""),"SetTradingComplianceRules")</f>
        <v>SetTradingComplianceRules</v>
      </c>
      <c r="C491" s="0" t="str">
        <f>IFERROR(__xludf.DUMMYFUNCTION("""COMPUTED_VALUE"""),"1azN1M08dpW7VMj-beZnqcg3K67iDFaQtsG3VPQICd34")</f>
        <v>1azN1M08dpW7VMj-beZnqcg3K67iDFaQtsG3VPQICd34</v>
      </c>
    </row>
    <row r="492" ht="15.75" customHeight="1">
      <c r="A492" s="0" t="str">
        <f>IFERROR(__xludf.DUMMYFUNCTION("""COMPUTED_VALUE"""),"TradingTicket")</f>
        <v>TradingTicket</v>
      </c>
      <c r="B492" s="0" t="str">
        <f>IFERROR(__xludf.DUMMYFUNCTION("""COMPUTED_VALUE"""),"ImportSymbol")</f>
        <v>ImportSymbol</v>
      </c>
      <c r="C492" s="0" t="str">
        <f>IFERROR(__xludf.DUMMYFUNCTION("""COMPUTED_VALUE"""),"1J1yzfPy0VAAGjLSKMbWrAky24FH9wnzsX22WqJo0rTw")</f>
        <v>1J1yzfPy0VAAGjLSKMbWrAky24FH9wnzsX22WqJo0rTw</v>
      </c>
    </row>
    <row r="493" ht="15.75" customHeight="1">
      <c r="A493" s="0" t="str">
        <f>IFERROR(__xludf.DUMMYFUNCTION("""COMPUTED_VALUE"""),"TradingTicket")</f>
        <v>TradingTicket</v>
      </c>
      <c r="B493" s="0" t="str">
        <f>IFERROR(__xludf.DUMMYFUNCTION("""COMPUTED_VALUE"""),"ExportSymbolFromRAList")</f>
        <v>ExportSymbolFromRAList</v>
      </c>
      <c r="C493" s="0" t="str">
        <f>IFERROR(__xludf.DUMMYFUNCTION("""COMPUTED_VALUE"""),"1_Jcd2NyXYod49jJBTF7mnnyrz-bqcIOuRrXNBhoAndM")</f>
        <v>1_Jcd2NyXYod49jJBTF7mnnyrz-bqcIOuRrXNBhoAndM</v>
      </c>
    </row>
    <row r="494" ht="15.75" customHeight="1">
      <c r="A494" s="0" t="str">
        <f>IFERROR(__xludf.DUMMYFUNCTION("""COMPUTED_VALUE"""),"TradingTicket")</f>
        <v>TradingTicket</v>
      </c>
      <c r="B494" s="0" t="str">
        <f>IFERROR(__xludf.DUMMYFUNCTION("""COMPUTED_VALUE""")," CheckPendingNewOrderAlert")</f>
        <v> CheckPendingNewOrderAlert</v>
      </c>
      <c r="C494" s="0" t="str">
        <f>IFERROR(__xludf.DUMMYFUNCTION("""COMPUTED_VALUE"""),"1IjKsUSAA3GmZT9QQkCwzDRD8t7aMh3gfEnicm2yt7yk")</f>
        <v>1IjKsUSAA3GmZT9QQkCwzDRD8t7aMh3gfEnicm2yt7yk</v>
      </c>
    </row>
    <row r="495" ht="15.75" customHeight="1">
      <c r="A495" s="0" t="str">
        <f>IFERROR(__xludf.DUMMYFUNCTION("""COMPUTED_VALUE"""),"TradingTicket")</f>
        <v>TradingTicket</v>
      </c>
      <c r="B495" s="0" t="str">
        <f>IFERROR(__xludf.DUMMYFUNCTION("""COMPUTED_VALUE"""),"AddSymbolOnRAList")</f>
        <v>AddSymbolOnRAList</v>
      </c>
      <c r="C495" s="0" t="str">
        <f>IFERROR(__xludf.DUMMYFUNCTION("""COMPUTED_VALUE"""),"1msdo-HHZukw5R83IjNxsWerlvkI-fgQTDh4cp_x-lEM")</f>
        <v>1msdo-HHZukw5R83IjNxsWerlvkI-fgQTDh4cp_x-lEM</v>
      </c>
    </row>
    <row r="496" ht="15.75" customHeight="1">
      <c r="A496" s="0" t="str">
        <f>IFERROR(__xludf.DUMMYFUNCTION("""COMPUTED_VALUE"""),"TradingTicket")</f>
        <v>TradingTicket</v>
      </c>
      <c r="B496" s="0" t="str">
        <f>IFERROR(__xludf.DUMMYFUNCTION("""COMPUTED_VALUE"""),"DeleteSymbolListFromRA")</f>
        <v>DeleteSymbolListFromRA</v>
      </c>
      <c r="C496" s="0" t="str">
        <f>IFERROR(__xludf.DUMMYFUNCTION("""COMPUTED_VALUE"""),"1kvkQ3sHjIMOR6FW4ddUp3GL5YgZFuVUrFwr0ccGcALs")</f>
        <v>1kvkQ3sHjIMOR6FW4ddUp3GL5YgZFuVUrFwr0ccGcALs</v>
      </c>
    </row>
    <row r="497" ht="15.75" customHeight="1">
      <c r="A497" s="0" t="str">
        <f>IFERROR(__xludf.DUMMYFUNCTION("""COMPUTED_VALUE"""),"TradingTicket")</f>
        <v>TradingTicket</v>
      </c>
      <c r="B497" s="0" t="str">
        <f>IFERROR(__xludf.DUMMYFUNCTION("""COMPUTED_VALUE"""),"RemoveSymbolFromRAList")</f>
        <v>RemoveSymbolFromRAList</v>
      </c>
      <c r="C497" s="0" t="str">
        <f>IFERROR(__xludf.DUMMYFUNCTION("""COMPUTED_VALUE"""),"1-YmkMS_HNizqClLTgaGFhyqIssE8ZUmQHizsGnCO0-0")</f>
        <v>1-YmkMS_HNizqClLTgaGFhyqIssE8ZUmQHizsGnCO0-0</v>
      </c>
    </row>
    <row r="498" ht="15.75" customHeight="1">
      <c r="A498" s="0" t="str">
        <f>IFERROR(__xludf.DUMMYFUNCTION("""COMPUTED_VALUE"""),"Report")</f>
        <v>Report</v>
      </c>
      <c r="B498" s="0" t="str">
        <f>IFERROR(__xludf.DUMMYFUNCTION("""COMPUTED_VALUE"""),"ReportMatching")</f>
        <v>ReportMatching</v>
      </c>
      <c r="C498" s="0" t="str">
        <f>IFERROR(__xludf.DUMMYFUNCTION("""COMPUTED_VALUE"""),"1jht2hZ44HjYgB6aaBYiPuuuTSaEkHaPT4jKo7YIRGu4")</f>
        <v>1jht2hZ44HjYgB6aaBYiPuuuTSaEkHaPT4jKo7YIRGu4</v>
      </c>
    </row>
    <row r="499" ht="15.75" customHeight="1">
      <c r="A499" s="0" t="str">
        <f>IFERROR(__xludf.DUMMYFUNCTION("""COMPUTED_VALUE"""),"Admin")</f>
        <v>Admin</v>
      </c>
      <c r="B499" s="0" t="str">
        <f>IFERROR(__xludf.DUMMYFUNCTION("""COMPUTED_VALUE"""),"EnableBreakdownRealizedPNL")</f>
        <v>EnableBreakdownRealizedPNL</v>
      </c>
      <c r="C499" s="0" t="str">
        <f>IFERROR(__xludf.DUMMYFUNCTION("""COMPUTED_VALUE"""),"1fOE8jOgP2gNa3oRibbTXnvv_lvz-lbHvy-pceE4ajbs")</f>
        <v>1fOE8jOgP2gNa3oRibbTXnvv_lvz-lbHvy-pceE4ajbs</v>
      </c>
    </row>
    <row r="500" ht="15.75" customHeight="1">
      <c r="A500" s="0" t="str">
        <f>IFERROR(__xludf.DUMMYFUNCTION("""COMPUTED_VALUE"""),"Admin")</f>
        <v>Admin</v>
      </c>
      <c r="B500" s="0" t="str">
        <f>IFERROR(__xludf.DUMMYFUNCTION("""COMPUTED_VALUE"""),"SetTTGeneralPreferences")</f>
        <v>SetTTGeneralPreferences</v>
      </c>
      <c r="C500" s="0" t="str">
        <f>IFERROR(__xludf.DUMMYFUNCTION("""COMPUTED_VALUE"""),"1HhQmll51_SDv5EfY7waeq2fCv92vjcbj_GijhdZyvhI")</f>
        <v>1HhQmll51_SDv5EfY7waeq2fCv92vjcbj_GijhdZyvhI</v>
      </c>
    </row>
    <row r="501" ht="15.75" customHeight="1">
      <c r="A501" s="0" t="str">
        <f>IFERROR(__xludf.DUMMYFUNCTION("""COMPUTED_VALUE"""),"Blotter")</f>
        <v>Blotter</v>
      </c>
      <c r="B501" s="0" t="str">
        <f>IFERROR(__xludf.DUMMYFUNCTION("""COMPUTED_VALUE"""),"OpenBlotter")</f>
        <v>OpenBlotter</v>
      </c>
      <c r="C501" s="0" t="str">
        <f>IFERROR(__xludf.DUMMYFUNCTION("""COMPUTED_VALUE"""),"1gxr6RyiwWcasB3fKgXdgFiGMuKmec4L2x__tgBOzGJ4")</f>
        <v>1gxr6RyiwWcasB3fKgXdgFiGMuKmec4L2x__tgBOzGJ4</v>
      </c>
    </row>
    <row r="502" ht="15.75" customHeight="1">
      <c r="A502" s="0" t="str">
        <f>IFERROR(__xludf.DUMMYFUNCTION("""COMPUTED_VALUE"""),"ExeExecutor")</f>
        <v>ExeExecutor</v>
      </c>
      <c r="B502" s="0" t="str">
        <f>IFERROR(__xludf.DUMMYFUNCTION("""COMPUTED_VALUE"""),"CallExeExecutor")</f>
        <v>CallExeExecutor</v>
      </c>
      <c r="C502" s="0" t="str">
        <f>IFERROR(__xludf.DUMMYFUNCTION("""COMPUTED_VALUE"""),"1owuq6wQlz8I3_fYGTcvp_BtK2b79jE6vCJTDGLtxi4k")</f>
        <v>1owuq6wQlz8I3_fYGTcvp_BtK2b79jE6vCJTDGLtxi4k</v>
      </c>
    </row>
    <row r="503" ht="15.75" customHeight="1">
      <c r="A503" s="0" t="str">
        <f>IFERROR(__xludf.DUMMYFUNCTION("""COMPUTED_VALUE"""),"TradingTicket")</f>
        <v>TradingTicket</v>
      </c>
      <c r="B503" s="0" t="str">
        <f>IFERROR(__xludf.DUMMYFUNCTION("""COMPUTED_VALUE"""),"ToggleBlombergOnRA")</f>
        <v>ToggleBlombergOnRA</v>
      </c>
      <c r="C503" s="0" t="str">
        <f>IFERROR(__xludf.DUMMYFUNCTION("""COMPUTED_VALUE"""),"11C1E7MWiLt7_Bk66Vw9dmQ6oZNSONXaMtNXDJOQXq5s")</f>
        <v>11C1E7MWiLt7_Bk66Vw9dmQ6oZNSONXaMtNXDJOQXq5s</v>
      </c>
    </row>
    <row r="504" ht="15.75" customHeight="1">
      <c r="A504" s="0" t="str">
        <f>IFERROR(__xludf.DUMMYFUNCTION("""COMPUTED_VALUE"""),"Blotter")</f>
        <v>Blotter</v>
      </c>
      <c r="B504" s="0" t="str">
        <f>IFERROR(__xludf.DUMMYFUNCTION("""COMPUTED_VALUE"""),"RemoveManualExecution")</f>
        <v>RemoveManualExecution</v>
      </c>
      <c r="C504" s="0" t="str">
        <f>IFERROR(__xludf.DUMMYFUNCTION("""COMPUTED_VALUE"""),"1U6qqov4LzcjxrSucq0agJD46Q-GxDor6UdqCigUJ4Hk")</f>
        <v>1U6qqov4LzcjxrSucq0agJD46Q-GxDor6UdqCigUJ4Hk</v>
      </c>
    </row>
    <row r="505" ht="15.75" customHeight="1">
      <c r="A505" s="0" t="str">
        <f>IFERROR(__xludf.DUMMYFUNCTION("""COMPUTED_VALUE"""),"Blotter")</f>
        <v>Blotter</v>
      </c>
      <c r="B505" s="0" t="str">
        <f>IFERROR(__xludf.DUMMYFUNCTION("""COMPUTED_VALUE"""),"RemoveExecutionWorkingSubs")</f>
        <v>RemoveExecutionWorkingSubs</v>
      </c>
      <c r="C505" s="0" t="str">
        <f>IFERROR(__xludf.DUMMYFUNCTION("""COMPUTED_VALUE"""),"1gr6T2UvPfnYDk0z6dFV_mRYS8DySX1Vq8xjIgjK43Ok")</f>
        <v>1gr6T2UvPfnYDk0z6dFV_mRYS8DySX1Vq8xjIgjK43Ok</v>
      </c>
    </row>
    <row r="506" ht="15.75" customHeight="1">
      <c r="A506" s="0" t="str">
        <f>IFERROR(__xludf.DUMMYFUNCTION("""COMPUTED_VALUE"""),"Dropcopy")</f>
        <v>Dropcopy</v>
      </c>
      <c r="B506" s="0" t="str">
        <f>IFERROR(__xludf.DUMMYFUNCTION("""COMPUTED_VALUE"""),"UploadDropcopyFile")</f>
        <v>UploadDropcopyFile</v>
      </c>
      <c r="C506" s="0" t="str">
        <f>IFERROR(__xludf.DUMMYFUNCTION("""COMPUTED_VALUE"""),"1Tr2xSDgsBU643lR2QckIJKwAkNLNn-X0DpSgL4BbVB4")</f>
        <v>1Tr2xSDgsBU643lR2QckIJKwAkNLNn-X0DpSgL4BbVB4</v>
      </c>
    </row>
    <row r="507" ht="15.75" customHeight="1">
      <c r="A507" s="0" t="str">
        <f>IFERROR(__xludf.DUMMYFUNCTION("""COMPUTED_VALUE"""),"TradeServer")</f>
        <v>TradeServer</v>
      </c>
      <c r="B507" s="0" t="str">
        <f>IFERROR(__xludf.DUMMYFUNCTION("""COMPUTED_VALUE"""),"StartTradeServer")</f>
        <v>StartTradeServer</v>
      </c>
      <c r="C507" s="0" t="str">
        <f>IFERROR(__xludf.DUMMYFUNCTION("""COMPUTED_VALUE"""),"1_V828-1UqtJPJrCVclzkn3URR23OxnBP06IouHxEc18")</f>
        <v>1_V828-1UqtJPJrCVclzkn3URR23OxnBP06IouHxEc18</v>
      </c>
    </row>
    <row r="508" ht="15.75" customHeight="1">
      <c r="A508" s="0" t="str">
        <f>IFERROR(__xludf.DUMMYFUNCTION("""COMPUTED_VALUE"""),"TradeServer")</f>
        <v>TradeServer</v>
      </c>
      <c r="B508" s="0" t="str">
        <f>IFERROR(__xludf.DUMMYFUNCTION("""COMPUTED_VALUE"""),"CloseTradeServer ")</f>
        <v>CloseTradeServer </v>
      </c>
      <c r="C508" s="0" t="str">
        <f>IFERROR(__xludf.DUMMYFUNCTION("""COMPUTED_VALUE"""),"1NkAbdJ74ry_1fxzkJoBzFl9F_rMWydAb8sHkBebiFjk")</f>
        <v>1NkAbdJ74ry_1fxzkJoBzFl9F_rMWydAb8sHkBebiFjk</v>
      </c>
    </row>
    <row r="509" ht="15.75" customHeight="1">
      <c r="A509" s="0" t="str">
        <f>IFERROR(__xludf.DUMMYFUNCTION("""COMPUTED_VALUE"""),"Blotter")</f>
        <v>Blotter</v>
      </c>
      <c r="B509" s="0" t="str">
        <f>IFERROR(__xludf.DUMMYFUNCTION("""COMPUTED_VALUE"""),"GetExecutionReportOrders")</f>
        <v>GetExecutionReportOrders</v>
      </c>
      <c r="C509" s="0" t="str">
        <f>IFERROR(__xludf.DUMMYFUNCTION("""COMPUTED_VALUE"""),"1n7tEPxTe0qMZZ4L3gBhqHDVhiNPODDDQ1d__74EcJC8")</f>
        <v>1n7tEPxTe0qMZZ4L3gBhqHDVhiNPODDDQ1d__74EcJC8</v>
      </c>
    </row>
    <row r="510" ht="15.75" customHeight="1">
      <c r="A510" s="0" t="str">
        <f>IFERROR(__xludf.DUMMYFUNCTION("""COMPUTED_VALUE"""),"Blotter")</f>
        <v>Blotter</v>
      </c>
      <c r="B510" s="0" t="str">
        <f>IFERROR(__xludf.DUMMYFUNCTION("""COMPUTED_VALUE"""),"GetExecutionReportDetails")</f>
        <v>GetExecutionReportDetails</v>
      </c>
      <c r="C510" s="0" t="str">
        <f>IFERROR(__xludf.DUMMYFUNCTION("""COMPUTED_VALUE"""),"1S6sj5FWvIc-3o_AfPaPuatehpzQm1Qx2rydxXGom_dg")</f>
        <v>1S6sj5FWvIc-3o_AfPaPuatehpzQm1Qx2rydxXGom_dg</v>
      </c>
    </row>
    <row r="511" ht="15.75" customHeight="1">
      <c r="A511" s="0" t="str">
        <f>IFERROR(__xludf.DUMMYFUNCTION("""COMPUTED_VALUE"""),"Blotter")</f>
        <v>Blotter</v>
      </c>
      <c r="B511" s="0" t="str">
        <f>IFERROR(__xludf.DUMMYFUNCTION("""COMPUTED_VALUE"""),"ExportExecutionReportData")</f>
        <v>ExportExecutionReportData</v>
      </c>
      <c r="C511" s="0" t="str">
        <f>IFERROR(__xludf.DUMMYFUNCTION("""COMPUTED_VALUE"""),"1NuepzxikoEeQ9UGIazOW9FdK3u7QGJplxR7E8kC43zk")</f>
        <v>1NuepzxikoEeQ9UGIazOW9FdK3u7QGJplxR7E8kC43zk</v>
      </c>
    </row>
    <row r="512" ht="15.75" customHeight="1">
      <c r="A512" s="0" t="str">
        <f>IFERROR(__xludf.DUMMYFUNCTION("""COMPUTED_VALUE"""),"Blotter")</f>
        <v>Blotter</v>
      </c>
      <c r="B512" s="0" t="str">
        <f>IFERROR(__xludf.DUMMYFUNCTION("""COMPUTED_VALUE"""),"VerifyExecutionReport")</f>
        <v>VerifyExecutionReport</v>
      </c>
      <c r="C512" s="0" t="str">
        <f>IFERROR(__xludf.DUMMYFUNCTION("""COMPUTED_VALUE"""),"1oFdiPMJZ6QcqQOw8iiVuMy67mAJN06vJWm3q-cVwnno")</f>
        <v>1oFdiPMJZ6QcqQOw8iiVuMy67mAJN06vJWm3q-cVwnno</v>
      </c>
    </row>
    <row r="513" ht="15.75" customHeight="1">
      <c r="A513" s="0" t="str">
        <f>IFERROR(__xludf.DUMMYFUNCTION("""COMPUTED_VALUE"""),"Blotter")</f>
        <v>Blotter</v>
      </c>
      <c r="B513" s="0" t="str">
        <f>IFERROR(__xludf.DUMMYFUNCTION("""COMPUTED_VALUE"""),"BlotterExecutionReportSnapshot")</f>
        <v>BlotterExecutionReportSnapshot</v>
      </c>
      <c r="C513" s="0" t="str">
        <f>IFERROR(__xludf.DUMMYFUNCTION("""COMPUTED_VALUE"""),"1qS_WdHc-9zx-QFEzjKFnwArW39qAuRmf2BwbLZIYrx8")</f>
        <v>1qS_WdHc-9zx-QFEzjKFnwArW39qAuRmf2BwbLZIYrx8</v>
      </c>
    </row>
    <row r="514" ht="15.75" customHeight="1">
      <c r="A514" s="0" t="str">
        <f>IFERROR(__xludf.DUMMYFUNCTION("""COMPUTED_VALUE"""),"Admin")</f>
        <v>Admin</v>
      </c>
      <c r="B514" s="0" t="str">
        <f>IFERROR(__xludf.DUMMYFUNCTION("""COMPUTED_VALUE"""),"SetDollarAmountPermission")</f>
        <v>SetDollarAmountPermission</v>
      </c>
      <c r="C514" s="0" t="str">
        <f>IFERROR(__xludf.DUMMYFUNCTION("""COMPUTED_VALUE"""),"1xOFeeEAfRZ7uVQd-bOgJ8e2jRaAjMLV_Blt4kgkW758")</f>
        <v>1xOFeeEAfRZ7uVQd-bOgJ8e2jRaAjMLV_Blt4kgkW758</v>
      </c>
    </row>
    <row r="515" ht="15.75" customHeight="1">
      <c r="A515" s="0" t="str">
        <f>IFERROR(__xludf.DUMMYFUNCTION("""COMPUTED_VALUE"""),"Admin")</f>
        <v>Admin</v>
      </c>
      <c r="B515" s="0" t="str">
        <f>IFERROR(__xludf.DUMMYFUNCTION("""COMPUTED_VALUE"""),"EnableDisableModule")</f>
        <v>EnableDisableModule</v>
      </c>
      <c r="C515" s="0" t="str">
        <f>IFERROR(__xludf.DUMMYFUNCTION("""COMPUTED_VALUE"""),"1gOEnHffMXCfk3OHpA4l1AxtdYLt7yCY9nIAHCVLNwVc")</f>
        <v>1gOEnHffMXCfk3OHpA4l1AxtdYLt7yCY9nIAHCVLNwVc</v>
      </c>
    </row>
    <row r="516" ht="15.75" customHeight="1">
      <c r="A516" s="0" t="str">
        <f>IFERROR(__xludf.DUMMYFUNCTION("""COMPUTED_VALUE"""),"Blotter")</f>
        <v>Blotter</v>
      </c>
      <c r="B516" s="0" t="str">
        <f>IFERROR(__xludf.DUMMYFUNCTION("""COMPUTED_VALUE"""),"MultipleTradeTransferToUser")</f>
        <v>MultipleTradeTransferToUser</v>
      </c>
      <c r="C516" s="0" t="str">
        <f>IFERROR(__xludf.DUMMYFUNCTION("""COMPUTED_VALUE"""),"1MwTe8wnpOxfAt8LI3PyswJ6sddAaGzi5MdpUL8JAo-E")</f>
        <v>1MwTe8wnpOxfAt8LI3PyswJ6sddAaGzi5MdpUL8JAo-E</v>
      </c>
    </row>
    <row r="517" ht="15.75" customHeight="1">
      <c r="A517" s="0" t="str">
        <f>IFERROR(__xludf.DUMMYFUNCTION("""COMPUTED_VALUE"""),"Admin")</f>
        <v>Admin</v>
      </c>
      <c r="B517" s="0" t="str">
        <f>IFERROR(__xludf.DUMMYFUNCTION("""COMPUTED_VALUE"""),"IsImportOverrideOnShortLocate")</f>
        <v>IsImportOverrideOnShortLocate</v>
      </c>
      <c r="C517" s="0" t="str">
        <f>IFERROR(__xludf.DUMMYFUNCTION("""COMPUTED_VALUE"""),"1JlA0Y1H-vrWeIlqgP3MsswQdI6cigTmArnA7R2LWQc4")</f>
        <v>1JlA0Y1H-vrWeIlqgP3MsswQdI6cigTmArnA7R2LWQc4</v>
      </c>
    </row>
    <row r="518" ht="15.75" customHeight="1">
      <c r="A518" s="0" t="str">
        <f>IFERROR(__xludf.DUMMYFUNCTION("""COMPUTED_VALUE"""),"Admin")</f>
        <v>Admin</v>
      </c>
      <c r="B518" s="0" t="str">
        <f>IFERROR(__xludf.DUMMYFUNCTION("""COMPUTED_VALUE"""),"SetShortLocateStructures")</f>
        <v>SetShortLocateStructures</v>
      </c>
      <c r="C518" s="0" t="str">
        <f>IFERROR(__xludf.DUMMYFUNCTION("""COMPUTED_VALUE"""),"1kR80czhB9OTe0d_J57MU3TZ4AfXbKGWNfDZ-2FQbHwI")</f>
        <v>1kR80czhB9OTe0d_J57MU3TZ4AfXbKGWNfDZ-2FQbHwI</v>
      </c>
    </row>
    <row r="519" ht="15.75" customHeight="1">
      <c r="A519" s="0" t="str">
        <f>IFERROR(__xludf.DUMMYFUNCTION("""COMPUTED_VALUE"""),"ShortLocate")</f>
        <v>ShortLocate</v>
      </c>
      <c r="B519" s="0" t="str">
        <f>IFERROR(__xludf.DUMMYFUNCTION("""COMPUTED_VALUE"""),"DownloadFile")</f>
        <v>DownloadFile</v>
      </c>
      <c r="C519" s="0" t="str">
        <f>IFERROR(__xludf.DUMMYFUNCTION("""COMPUTED_VALUE"""),"1o7j1EbVMp55C2W0LtWgInbcaRCadHrS8uLmpnVq98uY")</f>
        <v>1o7j1EbVMp55C2W0LtWgInbcaRCadHrS8uLmpnVq98uY</v>
      </c>
    </row>
    <row r="520" ht="15.75" customHeight="1">
      <c r="A520" s="0" t="str">
        <f>IFERROR(__xludf.DUMMYFUNCTION("""COMPUTED_VALUE"""),"ShortLocate")</f>
        <v>ShortLocate</v>
      </c>
      <c r="B520" s="0" t="str">
        <f>IFERROR(__xludf.DUMMYFUNCTION("""COMPUTED_VALUE"""),"SearchShortLocateUI")</f>
        <v>SearchShortLocateUI</v>
      </c>
      <c r="C520" s="0" t="str">
        <f>IFERROR(__xludf.DUMMYFUNCTION("""COMPUTED_VALUE"""),"1WpyTBvj-iezHv6E9PbjJ3UJKNDEkGuyVLw4TOx5zcas")</f>
        <v>1WpyTBvj-iezHv6E9PbjJ3UJKNDEkGuyVLw4TOx5zcas</v>
      </c>
    </row>
    <row r="521" ht="15.75" customHeight="1">
      <c r="A521" s="0" t="str">
        <f>IFERROR(__xludf.DUMMYFUNCTION("""COMPUTED_VALUE"""),"TradingTicket")</f>
        <v>TradingTicket</v>
      </c>
      <c r="B521" s="0" t="str">
        <f>IFERROR(__xludf.DUMMYFUNCTION("""COMPUTED_VALUE"""),"CreateDoneAwayOrder")</f>
        <v>CreateDoneAwayOrder</v>
      </c>
      <c r="C521" s="0" t="str">
        <f>IFERROR(__xludf.DUMMYFUNCTION("""COMPUTED_VALUE"""),"1u6KqBelmQQ2oYAB3PeSwYS-Dl3oOd1Dhuag0CXdBdWI")</f>
        <v>1u6KqBelmQQ2oYAB3PeSwYS-Dl3oOd1Dhuag0CXdBdWI</v>
      </c>
    </row>
    <row r="522" ht="15.75" customHeight="1">
      <c r="A522" s="0" t="str">
        <f>IFERROR(__xludf.DUMMYFUNCTION("""COMPUTED_VALUE"""),"TradingTicket")</f>
        <v>TradingTicket</v>
      </c>
      <c r="B522" s="0" t="str">
        <f>IFERROR(__xludf.DUMMYFUNCTION("""COMPUTED_VALUE"""),"CreateComplianceOrder")</f>
        <v>CreateComplianceOrder</v>
      </c>
      <c r="C522" s="0" t="str">
        <f>IFERROR(__xludf.DUMMYFUNCTION("""COMPUTED_VALUE"""),"1gmcte0l7mexRV3mcVKh44GtDozpoxvkubq93yh2tGqU")</f>
        <v>1gmcte0l7mexRV3mcVKh44GtDozpoxvkubq93yh2tGqU</v>
      </c>
    </row>
    <row r="523" ht="15.75" customHeight="1">
      <c r="A523" s="0" t="str">
        <f>IFERROR(__xludf.DUMMYFUNCTION("""COMPUTED_VALUE"""),"Simulator")</f>
        <v>Simulator</v>
      </c>
      <c r="B523" s="0" t="str">
        <f>IFERROR(__xludf.DUMMYFUNCTION("""COMPUTED_VALUE"""),"VerifyTrades")</f>
        <v>VerifyTrades</v>
      </c>
      <c r="C523" s="0" t="str">
        <f>IFERROR(__xludf.DUMMYFUNCTION("""COMPUTED_VALUE"""),"1dCrY-kPvBYwHWZFEAPkwG7_-NIXiZCgTXwbmTvW0ejY")</f>
        <v>1dCrY-kPvBYwHWZFEAPkwG7_-NIXiZCgTXwbmTvW0ejY</v>
      </c>
    </row>
    <row r="524" ht="15.75" customHeight="1">
      <c r="A524" s="0" t="str">
        <f>IFERROR(__xludf.DUMMYFUNCTION("""COMPUTED_VALUE"""),"ShortLocate")</f>
        <v>ShortLocate</v>
      </c>
      <c r="B524" s="0" t="str">
        <f>IFERROR(__xludf.DUMMYFUNCTION("""COMPUTED_VALUE"""),"SetShortLocatePreferences")</f>
        <v>SetShortLocatePreferences</v>
      </c>
      <c r="C524" s="0" t="str">
        <f>IFERROR(__xludf.DUMMYFUNCTION("""COMPUTED_VALUE"""),"1YBhqpdTe5HhM37nCSMHR8xiY56Y5rQdUizIAR0ZhetA")</f>
        <v>1YBhqpdTe5HhM37nCSMHR8xiY56Y5rQdUizIAR0ZhetA</v>
      </c>
    </row>
    <row r="525" ht="15.75" customHeight="1">
      <c r="A525" s="0" t="str">
        <f>IFERROR(__xludf.DUMMYFUNCTION("""COMPUTED_VALUE"""),"SecurityMaster")</f>
        <v>SecurityMaster</v>
      </c>
      <c r="B525" s="0" t="str">
        <f>IFERROR(__xludf.DUMMYFUNCTION("""COMPUTED_VALUE"""),"GetSymbolData")</f>
        <v>GetSymbolData</v>
      </c>
      <c r="C525" s="0" t="str">
        <f>IFERROR(__xludf.DUMMYFUNCTION("""COMPUTED_VALUE"""),"1DkMDvYHJVI0PJ-rTpp2qT_DByDKjy7Jk0saOYBb6-mU")</f>
        <v>1DkMDvYHJVI0PJ-rTpp2qT_DByDKjy7Jk0saOYBb6-mU</v>
      </c>
    </row>
    <row r="526" ht="15.75" customHeight="1">
      <c r="A526" s="0" t="str">
        <f>IFERROR(__xludf.DUMMYFUNCTION("""COMPUTED_VALUE"""),"SecurityMaster")</f>
        <v>SecurityMaster</v>
      </c>
      <c r="B526" s="0" t="str">
        <f>IFERROR(__xludf.DUMMYFUNCTION("""COMPUTED_VALUE"""),"EditSMData")</f>
        <v>EditSMData</v>
      </c>
      <c r="C526" s="0" t="str">
        <f>IFERROR(__xludf.DUMMYFUNCTION("""COMPUTED_VALUE"""),"1d9VnMnman_DekbWVZZe1TyFq1K7qIz4-u3Ho348l7NQ")</f>
        <v>1d9VnMnman_DekbWVZZe1TyFq1K7qIz4-u3Ho348l7NQ</v>
      </c>
    </row>
    <row r="527" ht="15.75" customHeight="1">
      <c r="A527" s="0" t="str">
        <f>IFERROR(__xludf.DUMMYFUNCTION("""COMPUTED_VALUE"""),"Compliance")</f>
        <v>Compliance</v>
      </c>
      <c r="B527" s="0" t="str">
        <f>IFERROR(__xludf.DUMMYFUNCTION("""COMPUTED_VALUE"""),"RestartRuleMediator")</f>
        <v>RestartRuleMediator</v>
      </c>
      <c r="C527" s="0" t="str">
        <f>IFERROR(__xludf.DUMMYFUNCTION("""COMPUTED_VALUE"""),"1x9o8wpvtq-vnalvhw9-bSPFTvsAgLuSBv39sk-__sqA")</f>
        <v>1x9o8wpvtq-vnalvhw9-bSPFTvsAgLuSBv39sk-__sqA</v>
      </c>
    </row>
    <row r="528" ht="15.75" customHeight="1">
      <c r="A528" s="0" t="str">
        <f>IFERROR(__xludf.DUMMYFUNCTION("""COMPUTED_VALUE"""),"Compliance")</f>
        <v>Compliance</v>
      </c>
      <c r="B528" s="0" t="str">
        <f>IFERROR(__xludf.DUMMYFUNCTION("""COMPUTED_VALUE"""),"VerifyAggAccountSymbolWithNav")</f>
        <v>VerifyAggAccountSymbolWithNav</v>
      </c>
      <c r="C528" s="0" t="str">
        <f>IFERROR(__xludf.DUMMYFUNCTION("""COMPUTED_VALUE"""),"1QnRdwOkq7zW-9t1KpCO8lLG9e-abFT1Hi2jBNJs6XSQ")</f>
        <v>1QnRdwOkq7zW-9t1KpCO8lLG9e-abFT1Hi2jBNJs6XSQ</v>
      </c>
    </row>
    <row r="529" ht="15.75" customHeight="1">
      <c r="A529" s="0" t="str">
        <f>IFERROR(__xludf.DUMMYFUNCTION("""COMPUTED_VALUE"""),"Admin")</f>
        <v>Admin</v>
      </c>
      <c r="B529" s="0" t="str">
        <f>IFERROR(__xludf.DUMMYFUNCTION("""COMPUTED_VALUE"""),"SetComplianceAlert")</f>
        <v>SetComplianceAlert</v>
      </c>
      <c r="C529" s="0" t="str">
        <f>IFERROR(__xludf.DUMMYFUNCTION("""COMPUTED_VALUE"""),"1w3Tl0jhDzxZ-1bnuGo4OGQ5EoVFrAYr0TQ6Xl0YgpAY")</f>
        <v>1w3Tl0jhDzxZ-1bnuGo4OGQ5EoVFrAYr0TQ6Xl0YgpAY</v>
      </c>
    </row>
    <row r="530" ht="15.75" customHeight="1">
      <c r="A530" s="0" t="str">
        <f>IFERROR(__xludf.DUMMYFUNCTION("""COMPUTED_VALUE"""),"Blotter")</f>
        <v>Blotter</v>
      </c>
      <c r="B530" s="0" t="str">
        <f>IFERROR(__xludf.DUMMYFUNCTION("""COMPUTED_VALUE"""),"ReloadOrderFromBlotter")</f>
        <v>ReloadOrderFromBlotter</v>
      </c>
      <c r="C530" s="0" t="str">
        <f>IFERROR(__xludf.DUMMYFUNCTION("""COMPUTED_VALUE"""),"1qE7n9le_EHMocRkBbKlAcMbopbxmR7c6Nd_yVObz5Hc")</f>
        <v>1qE7n9le_EHMocRkBbKlAcMbopbxmR7c6Nd_yVObz5Hc</v>
      </c>
    </row>
    <row r="531" ht="15.75" customHeight="1">
      <c r="A531" s="0" t="str">
        <f>IFERROR(__xludf.DUMMYFUNCTION("""COMPUTED_VALUE"""),"Blotter")</f>
        <v>Blotter</v>
      </c>
      <c r="B531" s="0" t="str">
        <f>IFERROR(__xludf.DUMMYFUNCTION("""COMPUTED_VALUE"""),"ReloadOrderFromSubOrder")</f>
        <v>ReloadOrderFromSubOrder</v>
      </c>
      <c r="C531" s="0" t="str">
        <f>IFERROR(__xludf.DUMMYFUNCTION("""COMPUTED_VALUE"""),"1g0ptpj616n-M3tdgp6QODnakxqVbRiuaH5fglhhWvUA")</f>
        <v>1g0ptpj616n-M3tdgp6QODnakxqVbRiuaH5fglhhWvUA</v>
      </c>
    </row>
    <row r="532" ht="15.75" customHeight="1">
      <c r="A532" s="0" t="str">
        <f>IFERROR(__xludf.DUMMYFUNCTION("""COMPUTED_VALUE"""),"Blotter")</f>
        <v>Blotter</v>
      </c>
      <c r="B532" s="0" t="str">
        <f>IFERROR(__xludf.DUMMYFUNCTION("""COMPUTED_VALUE"""),"ReloadOrderFromWorkingSubs")</f>
        <v>ReloadOrderFromWorkingSubs</v>
      </c>
      <c r="C532" s="0" t="str">
        <f>IFERROR(__xludf.DUMMYFUNCTION("""COMPUTED_VALUE"""),"1XQ4pQr3fnuG-wfebHJWeoAU_oWraVvaEoq5vxfmeyFU")</f>
        <v>1XQ4pQr3fnuG-wfebHJWeoAU_oWraVvaEoq5vxfmeyFU</v>
      </c>
    </row>
    <row r="533" ht="15.75" customHeight="1">
      <c r="A533" s="0" t="str">
        <f>IFERROR(__xludf.DUMMYFUNCTION("""COMPUTED_VALUE"""),"Closing")</f>
        <v>Closing</v>
      </c>
      <c r="B533" s="0" t="str">
        <f>IFERROR(__xludf.DUMMYFUNCTION("""COMPUTED_VALUE"""),"AutoExercise")</f>
        <v>AutoExercise</v>
      </c>
      <c r="C533" s="0" t="str">
        <f>IFERROR(__xludf.DUMMYFUNCTION("""COMPUTED_VALUE"""),"1txUo3R71Idwek_WSkxDmfa85jvmU4skpklkunC9l4to")</f>
        <v>1txUo3R71Idwek_WSkxDmfa85jvmU4skpklkunC9l4to</v>
      </c>
    </row>
    <row r="534" ht="15.75" customHeight="1">
      <c r="A534" s="0" t="str">
        <f>IFERROR(__xludf.DUMMYFUNCTION("""COMPUTED_VALUE"""),"PortfolioManagement")</f>
        <v>PortfolioManagement</v>
      </c>
      <c r="B534" s="0" t="str">
        <f>IFERROR(__xludf.DUMMYFUNCTION("""COMPUTED_VALUE"""),"IncreasePositionFromPM")</f>
        <v>IncreasePositionFromPM</v>
      </c>
      <c r="C534" s="0" t="str">
        <f>IFERROR(__xludf.DUMMYFUNCTION("""COMPUTED_VALUE"""),"1jo5CsRlvFnrD55hhWEgqFOiGuhY6UoAWRWk9ysrekJ4")</f>
        <v>1jo5CsRlvFnrD55hhWEgqFOiGuhY6UoAWRWk9ysrekJ4</v>
      </c>
    </row>
    <row r="535" ht="15.75" customHeight="1">
      <c r="A535" s="0" t="str">
        <f>IFERROR(__xludf.DUMMYFUNCTION("""COMPUTED_VALUE"""),"TradingTicket")</f>
        <v>TradingTicket</v>
      </c>
      <c r="B535" s="0" t="str">
        <f>IFERROR(__xludf.DUMMYFUNCTION("""COMPUTED_VALUE"""),"AddOptionTrade")</f>
        <v>AddOptionTrade</v>
      </c>
      <c r="C535" s="0" t="str">
        <f>IFERROR(__xludf.DUMMYFUNCTION("""COMPUTED_VALUE"""),"17x5jnRAVCvQUGHBhgiiVTUeAomMG3s-WN918W8i78RY")</f>
        <v>17x5jnRAVCvQUGHBhgiiVTUeAomMG3s-WN918W8i78RY</v>
      </c>
    </row>
    <row r="536" ht="15.75" customHeight="1">
      <c r="A536" s="0" t="str">
        <f>IFERROR(__xludf.DUMMYFUNCTION("""COMPUTED_VALUE"""),"TradingTicket")</f>
        <v>TradingTicket</v>
      </c>
      <c r="B536" s="0" t="str">
        <f>IFERROR(__xludf.DUMMYFUNCTION("""COMPUTED_VALUE"""),"SendLiveBloomberg")</f>
        <v>SendLiveBloomberg</v>
      </c>
      <c r="C536" s="0" t="str">
        <f>IFERROR(__xludf.DUMMYFUNCTION("""COMPUTED_VALUE"""),"11bhQDFMxUdCHiZELuMSPwLt6XZavd_QvQB5Lxkm1XXE")</f>
        <v>11bhQDFMxUdCHiZELuMSPwLt6XZavd_QvQB5Lxkm1XXE</v>
      </c>
    </row>
    <row r="537" ht="15.75" customHeight="1">
      <c r="A537" s="0" t="str">
        <f>IFERROR(__xludf.DUMMYFUNCTION("""COMPUTED_VALUE"""),"Admin")</f>
        <v>Admin</v>
      </c>
      <c r="B537" s="0" t="str">
        <f>IFERROR(__xludf.DUMMYFUNCTION("""COMPUTED_VALUE"""),"UpdateExpirationDate")</f>
        <v>UpdateExpirationDate</v>
      </c>
      <c r="C537" s="0" t="str">
        <f>IFERROR(__xludf.DUMMYFUNCTION("""COMPUTED_VALUE"""),"1v_DBl1sU9-btwN2cjxlFI_LWcxrlSVvrF1KOzeJisPg")</f>
        <v>1v_DBl1sU9-btwN2cjxlFI_LWcxrlSVvrF1KOzeJisPg</v>
      </c>
    </row>
    <row r="538" ht="15.75" customHeight="1">
      <c r="A538" s="0" t="str">
        <f>IFERROR(__xludf.DUMMYFUNCTION("""COMPUTED_VALUE"""),"PricingInput")</f>
        <v>PricingInput</v>
      </c>
      <c r="B538" s="0" t="str">
        <f>IFERROR(__xludf.DUMMYFUNCTION("""COMPUTED_VALUE"""),"UncheckDividendYield")</f>
        <v>UncheckDividendYield</v>
      </c>
      <c r="C538" s="0" t="str">
        <f>IFERROR(__xludf.DUMMYFUNCTION("""COMPUTED_VALUE"""),"191PZhRplV1PcCALc5XtZSmsny5aT0kGj27fH7ERiAd8")</f>
        <v>191PZhRplV1PcCALc5XtZSmsny5aT0kGj27fH7ERiAd8</v>
      </c>
    </row>
    <row r="539" ht="15.75" customHeight="1">
      <c r="A539" s="0" t="str">
        <f>IFERROR(__xludf.DUMMYFUNCTION("""COMPUTED_VALUE"""),"Admin")</f>
        <v>Admin</v>
      </c>
      <c r="B539" s="0" t="str">
        <f>IFERROR(__xludf.DUMMYFUNCTION("""COMPUTED_VALUE"""),"RenameMasterStrategy")</f>
        <v>RenameMasterStrategy</v>
      </c>
      <c r="C539" s="0" t="str">
        <f>IFERROR(__xludf.DUMMYFUNCTION("""COMPUTED_VALUE"""),"1rUVERdbqvBECNyG_BrwWmTnx6C02IGItQZFJkw5ZzvM")</f>
        <v>1rUVERdbqvBECNyG_BrwWmTnx6C02IGItQZFJkw5ZzvM</v>
      </c>
    </row>
    <row r="540" ht="15.75" customHeight="1">
      <c r="A540" s="0" t="str">
        <f>IFERROR(__xludf.DUMMYFUNCTION("""COMPUTED_VALUE"""),"Blotter")</f>
        <v>Blotter</v>
      </c>
      <c r="B540" s="0" t="str">
        <f>IFERROR(__xludf.DUMMYFUNCTION("""COMPUTED_VALUE"""),"SelectFills")</f>
        <v>SelectFills</v>
      </c>
      <c r="C540" s="0" t="str">
        <f>IFERROR(__xludf.DUMMYFUNCTION("""COMPUTED_VALUE"""),"1Ies-dH6F3ega-0G78bGC6O4wv2KeaxZVCOrQ36yBSlQ")</f>
        <v>1Ies-dH6F3ega-0G78bGC6O4wv2KeaxZVCOrQ36yBSlQ</v>
      </c>
    </row>
    <row r="541" ht="15.75" customHeight="1">
      <c r="A541" s="0" t="str">
        <f>IFERROR(__xludf.DUMMYFUNCTION("""COMPUTED_VALUE"""),"Blotter")</f>
        <v>Blotter</v>
      </c>
      <c r="B541" s="0" t="str">
        <f>IFERROR(__xludf.DUMMYFUNCTION("""COMPUTED_VALUE"""),"ModifyFills")</f>
        <v>ModifyFills</v>
      </c>
      <c r="C541" s="0" t="str">
        <f>IFERROR(__xludf.DUMMYFUNCTION("""COMPUTED_VALUE"""),"1MILvcLzeuv6xKRk3qd4Sxn9N81mZ-zAP1j_d22RRaRk")</f>
        <v>1MILvcLzeuv6xKRk3qd4Sxn9N81mZ-zAP1j_d22RRaRk</v>
      </c>
    </row>
    <row r="542" ht="15.75" customHeight="1">
      <c r="A542" s="0" t="str">
        <f>IFERROR(__xludf.DUMMYFUNCTION("""COMPUTED_VALUE"""),"PranaClient")</f>
        <v>PranaClient</v>
      </c>
      <c r="B542" s="0" t="str">
        <f>IFERROR(__xludf.DUMMYFUNCTION("""COMPUTED_VALUE"""),"PranaClient")</f>
        <v>PranaClient</v>
      </c>
      <c r="C542" s="0" t="str">
        <f>IFERROR(__xludf.DUMMYFUNCTION("""COMPUTED_VALUE"""),"1WDFAjSIlOFsNX0LLYwhJaUkTKf6rViDpcTcizTr7tkE")</f>
        <v>1WDFAjSIlOFsNX0LLYwhJaUkTKf6rViDpcTcizTr7tkE</v>
      </c>
    </row>
    <row r="543" ht="15.75" customHeight="1">
      <c r="A543" s="0" t="str">
        <f>IFERROR(__xludf.DUMMYFUNCTION("""COMPUTED_VALUE"""),"Closing")</f>
        <v>Closing</v>
      </c>
      <c r="B543" s="0" t="str">
        <f>IFERROR(__xludf.DUMMYFUNCTION("""COMPUTED_VALUE"""),"EditMultipleCloseQuantity")</f>
        <v>EditMultipleCloseQuantity</v>
      </c>
      <c r="C543" s="0" t="str">
        <f>IFERROR(__xludf.DUMMYFUNCTION("""COMPUTED_VALUE"""),"1As4aK9TB7BNLyLzv833qnm_81Y9C10iVC1t_pVb_g4o")</f>
        <v>1As4aK9TB7BNLyLzv833qnm_81Y9C10iVC1t_pVb_g4o</v>
      </c>
    </row>
    <row r="544" ht="15.75" customHeight="1">
      <c r="A544" s="0" t="str">
        <f>IFERROR(__xludf.DUMMYFUNCTION("""COMPUTED_VALUE"""),"Closing")</f>
        <v>Closing</v>
      </c>
      <c r="B544" s="0" t="str">
        <f>IFERROR(__xludf.DUMMYFUNCTION("""COMPUTED_VALUE"""),"ManualCloseOrder")</f>
        <v>ManualCloseOrder</v>
      </c>
      <c r="C544" s="0" t="str">
        <f>IFERROR(__xludf.DUMMYFUNCTION("""COMPUTED_VALUE"""),"1Z6VinSFfvyzX51UkxNQ57jx1V4d_2r5QgnF-82XZiII")</f>
        <v>1Z6VinSFfvyzX51UkxNQ57jx1V4d_2r5QgnF-82XZiII</v>
      </c>
    </row>
    <row r="545" ht="15.75" customHeight="1">
      <c r="A545" s="0" t="str">
        <f>IFERROR(__xludf.DUMMYFUNCTION("""COMPUTED_VALUE"""),"Admin")</f>
        <v>Admin</v>
      </c>
      <c r="B545" s="0" t="str">
        <f>IFERROR(__xludf.DUMMYFUNCTION("""COMPUTED_VALUE"""),"SetTTUIAdminPreferences")</f>
        <v>SetTTUIAdminPreferences</v>
      </c>
      <c r="C545" s="0" t="str">
        <f>IFERROR(__xludf.DUMMYFUNCTION("""COMPUTED_VALUE"""),"1Xoytpjlm_uCbH7E2OBVyA5cpiEdagmLynZS77w0sB9E")</f>
        <v>1Xoytpjlm_uCbH7E2OBVyA5cpiEdagmLynZS77w0sB9E</v>
      </c>
    </row>
    <row r="546" ht="15.75" customHeight="1">
      <c r="A546" s="0" t="str">
        <f>IFERROR(__xludf.DUMMYFUNCTION("""COMPUTED_VALUE"""),"Closing")</f>
        <v>Closing</v>
      </c>
      <c r="B546" s="0" t="str">
        <f>IFERROR(__xludf.DUMMYFUNCTION("""COMPUTED_VALUE"""),"PreviewDataWithFilters")</f>
        <v>PreviewDataWithFilters</v>
      </c>
      <c r="C546" s="0" t="str">
        <f>IFERROR(__xludf.DUMMYFUNCTION("""COMPUTED_VALUE"""),"1KuYiSB26XWBfbzb75TDdM5e9oYb3vnk75drHSH0LnqY")</f>
        <v>1KuYiSB26XWBfbzb75TDdM5e9oYb3vnk75drHSH0LnqY</v>
      </c>
    </row>
    <row r="547" ht="15.75" customHeight="1">
      <c r="A547" s="0" t="str">
        <f>IFERROR(__xludf.DUMMYFUNCTION("""COMPUTED_VALUE"""),"TradingTicket")</f>
        <v>TradingTicket</v>
      </c>
      <c r="B547" s="0" t="str">
        <f>IFERROR(__xludf.DUMMYFUNCTION("""COMPUTED_VALUE"""),"ViewAllocation")</f>
        <v>ViewAllocation</v>
      </c>
      <c r="C547" s="0" t="str">
        <f>IFERROR(__xludf.DUMMYFUNCTION("""COMPUTED_VALUE"""),"1lByE4-9oGLqgyjwm136U-2hfBqhRA_J-WHj8Eo1iTAo")</f>
        <v>1lByE4-9oGLqgyjwm136U-2hfBqhRA_J-WHj8Eo1iTAo</v>
      </c>
    </row>
    <row r="548" ht="15.75" customHeight="1">
      <c r="A548" s="0" t="str">
        <f>IFERROR(__xludf.DUMMYFUNCTION("""COMPUTED_VALUE"""),"Admin")</f>
        <v>Admin</v>
      </c>
      <c r="B548" s="0" t="str">
        <f>IFERROR(__xludf.DUMMYFUNCTION("""COMPUTED_VALUE"""),"UpdateSecFee")</f>
        <v>UpdateSecFee</v>
      </c>
      <c r="C548" s="0" t="str">
        <f>IFERROR(__xludf.DUMMYFUNCTION("""COMPUTED_VALUE"""),"1gRoCh9m9NqIGTjNnEl44mGE3VScdhFYZFIGauMOiu0A")</f>
        <v>1gRoCh9m9NqIGTjNnEl44mGE3VScdhFYZFIGauMOiu0A</v>
      </c>
    </row>
    <row r="549" ht="15.75" customHeight="1">
      <c r="A549" s="0" t="str">
        <f>IFERROR(__xludf.DUMMYFUNCTION("""COMPUTED_VALUE"""),"Closing")</f>
        <v>Closing</v>
      </c>
      <c r="B549" s="0" t="str">
        <f>IFERROR(__xludf.DUMMYFUNCTION("""COMPUTED_VALUE"""),"CreateClosingTemplate")</f>
        <v>CreateClosingTemplate</v>
      </c>
      <c r="C549" s="0" t="str">
        <f>IFERROR(__xludf.DUMMYFUNCTION("""COMPUTED_VALUE"""),"1jfp8aZqh3UdVRZlAjBYQgJyHqTyBbhFc4uHQA7y9krs")</f>
        <v>1jfp8aZqh3UdVRZlAjBYQgJyHqTyBbhFc4uHQA7y9krs</v>
      </c>
    </row>
    <row r="550" ht="15.75" customHeight="1">
      <c r="A550" s="0" t="str">
        <f>IFERROR(__xludf.DUMMYFUNCTION("""COMPUTED_VALUE"""),"Closing")</f>
        <v>Closing</v>
      </c>
      <c r="B550" s="0" t="str">
        <f>IFERROR(__xludf.DUMMYFUNCTION("""COMPUTED_VALUE"""),"CreateUnwindingTemplate")</f>
        <v>CreateUnwindingTemplate</v>
      </c>
      <c r="C550" s="0" t="str">
        <f>IFERROR(__xludf.DUMMYFUNCTION("""COMPUTED_VALUE"""),"1Mu3QSS9ja4VJBNwHgxOrColyJvnFp-9taHs7WERfoGA")</f>
        <v>1Mu3QSS9ja4VJBNwHgxOrColyJvnFp-9taHs7WERfoGA</v>
      </c>
    </row>
    <row r="551" ht="15.75" customHeight="1">
      <c r="A551" s="0" t="str">
        <f>IFERROR(__xludf.DUMMYFUNCTION("""COMPUTED_VALUE"""),"Closing")</f>
        <v>Closing</v>
      </c>
      <c r="B551" s="0" t="str">
        <f>IFERROR(__xludf.DUMMYFUNCTION("""COMPUTED_VALUE"""),"EditTemplate")</f>
        <v>EditTemplate</v>
      </c>
      <c r="C551" s="0" t="str">
        <f>IFERROR(__xludf.DUMMYFUNCTION("""COMPUTED_VALUE"""),"1M-9P8q5tiKJgPHUTttNF6nknqVv2KelBDn-DmSjTqzE")</f>
        <v>1M-9P8q5tiKJgPHUTttNF6nknqVv2KelBDn-DmSjTqzE</v>
      </c>
    </row>
    <row r="552" ht="15.75" customHeight="1">
      <c r="A552" s="0" t="str">
        <f>IFERROR(__xludf.DUMMYFUNCTION("""COMPUTED_VALUE"""),"Closing")</f>
        <v>Closing</v>
      </c>
      <c r="B552" s="0" t="str">
        <f>IFERROR(__xludf.DUMMYFUNCTION("""COMPUTED_VALUE"""),"DeleteTemplate")</f>
        <v>DeleteTemplate</v>
      </c>
      <c r="C552" s="0" t="str">
        <f>IFERROR(__xludf.DUMMYFUNCTION("""COMPUTED_VALUE"""),"125HVLz9JsDfW-RasFrXrQbkmpfBgoLNIwAOq-tzTlKg")</f>
        <v>125HVLz9JsDfW-RasFrXrQbkmpfBgoLNIwAOq-tzTlKg</v>
      </c>
    </row>
    <row r="553" ht="15.75" customHeight="1">
      <c r="A553" s="0" t="str">
        <f>IFERROR(__xludf.DUMMYFUNCTION("""COMPUTED_VALUE"""),"Allocation")</f>
        <v>Allocation</v>
      </c>
      <c r="B553" s="0" t="str">
        <f>IFERROR(__xludf.DUMMYFUNCTION("""COMPUTED_VALUE"""),"AllocationAuditTrail")</f>
        <v>AllocationAuditTrail</v>
      </c>
      <c r="C553" s="0" t="str">
        <f>IFERROR(__xludf.DUMMYFUNCTION("""COMPUTED_VALUE"""),"10yWz7qGDCZSmNciBeD3O041xErneAlctCAKUTSUMCjo")</f>
        <v>10yWz7qGDCZSmNciBeD3O041xErneAlctCAKUTSUMCjo</v>
      </c>
    </row>
    <row r="554" ht="15.75" customHeight="1">
      <c r="A554" s="0" t="str">
        <f>IFERROR(__xludf.DUMMYFUNCTION("""COMPUTED_VALUE"""),"Allocation")</f>
        <v>Allocation</v>
      </c>
      <c r="B554" s="0" t="str">
        <f>IFERROR(__xludf.DUMMYFUNCTION("""COMPUTED_VALUE"""),"GetAuditTrailData")</f>
        <v>GetAuditTrailData</v>
      </c>
      <c r="C554" s="0" t="str">
        <f>IFERROR(__xludf.DUMMYFUNCTION("""COMPUTED_VALUE"""),"1tE0JmmhLdBJdhU5UVnPXGBlkR2I3vOjQv07gU21GvxE")</f>
        <v>1tE0JmmhLdBJdhU5UVnPXGBlkR2I3vOjQv07gU21GvxE</v>
      </c>
    </row>
    <row r="555" ht="15.75" customHeight="1">
      <c r="A555" s="0" t="str">
        <f>IFERROR(__xludf.DUMMYFUNCTION("""COMPUTED_VALUE"""),"Allocation")</f>
        <v>Allocation</v>
      </c>
      <c r="B555" s="0" t="str">
        <f>IFERROR(__xludf.DUMMYFUNCTION("""COMPUTED_VALUE"""),"CheckAuditTrailData")</f>
        <v>CheckAuditTrailData</v>
      </c>
      <c r="C555" s="0" t="str">
        <f>IFERROR(__xludf.DUMMYFUNCTION("""COMPUTED_VALUE"""),"12-0bH70bYN6Seh10B26EVNX7irTpsc_sZyluYAHwjQc")</f>
        <v>12-0bH70bYN6Seh10B26EVNX7irTpsc_sZyluYAHwjQc</v>
      </c>
    </row>
    <row r="556" ht="15.75" customHeight="1">
      <c r="A556" s="0" t="str">
        <f>IFERROR(__xludf.DUMMYFUNCTION("""COMPUTED_VALUE"""),"Closing")</f>
        <v>Closing</v>
      </c>
      <c r="B556" s="0" t="str">
        <f>IFERROR(__xludf.DUMMYFUNCTION("""COMPUTED_VALUE"""),"RunTemplate")</f>
        <v>RunTemplate</v>
      </c>
      <c r="C556" s="0" t="str">
        <f>IFERROR(__xludf.DUMMYFUNCTION("""COMPUTED_VALUE"""),"1bVzO569ANMee7krdBrWkFhCZKN5hTw6usYeUmdMDkzI")</f>
        <v>1bVzO569ANMee7krdBrWkFhCZKN5hTw6usYeUmdMDkzI</v>
      </c>
    </row>
    <row r="557" ht="15.75" customHeight="1">
      <c r="A557" s="0" t="str">
        <f>IFERROR(__xludf.DUMMYFUNCTION("""COMPUTED_VALUE"""),"SymbolLookup")</f>
        <v>SymbolLookup</v>
      </c>
      <c r="B557" s="0" t="str">
        <f>IFERROR(__xludf.DUMMYFUNCTION("""COMPUTED_VALUE"""),"EnterEquity")</f>
        <v>EnterEquity</v>
      </c>
      <c r="C557" s="0" t="str">
        <f>IFERROR(__xludf.DUMMYFUNCTION("""COMPUTED_VALUE"""),"1gNFsXBL_FJJrxJtDO2zjzVWu9qT_j1bzsfLqt4p-_Fo")</f>
        <v>1gNFsXBL_FJJrxJtDO2zjzVWu9qT_j1bzsfLqt4p-_Fo</v>
      </c>
    </row>
    <row r="558" ht="15.75" customHeight="1">
      <c r="A558" s="0" t="str">
        <f>IFERROR(__xludf.DUMMYFUNCTION("""COMPUTED_VALUE"""),"SymbolLookup")</f>
        <v>SymbolLookup</v>
      </c>
      <c r="B558" s="0" t="str">
        <f>IFERROR(__xludf.DUMMYFUNCTION("""COMPUTED_VALUE"""),"UpdateSecurityInfoOnSM")</f>
        <v>UpdateSecurityInfoOnSM</v>
      </c>
      <c r="C558" s="0" t="str">
        <f>IFERROR(__xludf.DUMMYFUNCTION("""COMPUTED_VALUE"""),"1RAgAbVa3RJzX7cn7Q8rWnjjzhfqmjIR64sJ84ZIl6PU")</f>
        <v>1RAgAbVa3RJzX7cn7Q8rWnjjzhfqmjIR64sJ84ZIl6PU</v>
      </c>
    </row>
    <row r="559" ht="15.75" customHeight="1">
      <c r="A559" s="0" t="str">
        <f>IFERROR(__xludf.DUMMYFUNCTION("""COMPUTED_VALUE"""),"Blotter")</f>
        <v>Blotter</v>
      </c>
      <c r="B559" s="0" t="str">
        <f>IFERROR(__xludf.DUMMYFUNCTION("""COMPUTED_VALUE"""),"AllocateFromBlotter")</f>
        <v>AllocateFromBlotter</v>
      </c>
      <c r="C559" s="0" t="str">
        <f>IFERROR(__xludf.DUMMYFUNCTION("""COMPUTED_VALUE"""),"1GsnTQHJQ7cVEizrryoUXk5eXeK0x0migAZPTN4d4rNQ")</f>
        <v>1GsnTQHJQ7cVEizrryoUXk5eXeK0x0migAZPTN4d4rNQ</v>
      </c>
    </row>
    <row r="560" ht="15.75" customHeight="1">
      <c r="A560" s="0" t="str">
        <f>IFERROR(__xludf.DUMMYFUNCTION("""COMPUTED_VALUE"""),"Admin")</f>
        <v>Admin</v>
      </c>
      <c r="B560" s="0" t="str">
        <f>IFERROR(__xludf.DUMMYFUNCTION("""COMPUTED_VALUE"""),"UpdateFee")</f>
        <v>UpdateFee</v>
      </c>
      <c r="C560" s="0" t="str">
        <f>IFERROR(__xludf.DUMMYFUNCTION("""COMPUTED_VALUE"""),"1t-RYeXwDqpClPnSrtgjRvnnCBVV4IZrE5q5cPKHHLLU")</f>
        <v>1t-RYeXwDqpClPnSrtgjRvnnCBVV4IZrE5q5cPKHHLLU</v>
      </c>
    </row>
    <row r="561" ht="15.75" customHeight="1">
      <c r="A561" s="0" t="str">
        <f>IFERROR(__xludf.DUMMYFUNCTION("""COMPUTED_VALUE"""),"Allocation")</f>
        <v>Allocation</v>
      </c>
      <c r="B561" s="0" t="str">
        <f>IFERROR(__xludf.DUMMYFUNCTION("""COMPUTED_VALUE"""),"DeleteGroupWithOutSave")</f>
        <v>DeleteGroupWithOutSave</v>
      </c>
      <c r="C561" s="0" t="str">
        <f>IFERROR(__xludf.DUMMYFUNCTION("""COMPUTED_VALUE"""),"1iBGHDOTSzgrcmh6jUKtLpmkIWeAU7Bkq-hGCZgisALw")</f>
        <v>1iBGHDOTSzgrcmh6jUKtLpmkIWeAU7Bkq-hGCZgisALw</v>
      </c>
    </row>
    <row r="562" ht="15.75" customHeight="1">
      <c r="A562" s="0" t="str">
        <f>IFERROR(__xludf.DUMMYFUNCTION("""COMPUTED_VALUE"""),"Allocation")</f>
        <v>Allocation</v>
      </c>
      <c r="B562" s="0" t="str">
        <f>IFERROR(__xludf.DUMMYFUNCTION("""COMPUTED_VALUE"""),"CheckPreferences")</f>
        <v>CheckPreferences</v>
      </c>
      <c r="C562" s="0" t="str">
        <f>IFERROR(__xludf.DUMMYFUNCTION("""COMPUTED_VALUE"""),"1HVuVuvAGvAMqFZra8_Q_UePURkSApZwNJIWqtez9PKM")</f>
        <v>1HVuVuvAGvAMqFZra8_Q_UePURkSApZwNJIWqtez9PKM</v>
      </c>
    </row>
    <row r="563" ht="15.75" customHeight="1">
      <c r="A563" s="0" t="str">
        <f>IFERROR(__xludf.DUMMYFUNCTION("""COMPUTED_VALUE"""),"Rebalancer")</f>
        <v>Rebalancer</v>
      </c>
      <c r="B563" s="0" t="str">
        <f>IFERROR(__xludf.DUMMYFUNCTION("""COMPUTED_VALUE"""),"SymbologyChangeRB")</f>
        <v>SymbologyChangeRB</v>
      </c>
      <c r="C563" s="0" t="str">
        <f>IFERROR(__xludf.DUMMYFUNCTION("""COMPUTED_VALUE"""),"Undefined")</f>
        <v>Undefined</v>
      </c>
    </row>
    <row r="564" ht="15.75" customHeight="1">
      <c r="A564" s="0" t="str">
        <f>IFERROR(__xludf.DUMMYFUNCTION("""COMPUTED_VALUE"""),"TradingTicket")</f>
        <v>TradingTicket</v>
      </c>
      <c r="B564" s="0" t="str">
        <f>IFERROR(__xludf.DUMMYFUNCTION("""COMPUTED_VALUE"""),"CreateReplaceLiveOrder")</f>
        <v>CreateReplaceLiveOrder</v>
      </c>
      <c r="C564" s="0" t="str">
        <f>IFERROR(__xludf.DUMMYFUNCTION("""COMPUTED_VALUE"""),"1XwWb172lSyEQcY3jmIlN32DUfXzcpCX3TAaiFMrAW6Q")</f>
        <v>1XwWb172lSyEQcY3jmIlN32DUfXzcpCX3TAaiFMrAW6Q</v>
      </c>
    </row>
    <row r="565" ht="15.75" customHeight="1">
      <c r="A565" s="0" t="str">
        <f>IFERROR(__xludf.DUMMYFUNCTION("""COMPUTED_VALUE"""),"Admin")</f>
        <v>Admin</v>
      </c>
      <c r="B565" s="0" t="str">
        <f>IFERROR(__xludf.DUMMYFUNCTION("""COMPUTED_VALUE"""),"RevertingSMSharesOutValue")</f>
        <v>RevertingSMSharesOutValue</v>
      </c>
      <c r="C565" s="0" t="str">
        <f>IFERROR(__xludf.DUMMYFUNCTION("""COMPUTED_VALUE"""),"1UFQ_O137A9fYomG8U3DZi6u0aJOLhEdOb9uPd1XRGg4")</f>
        <v>1UFQ_O137A9fYomG8U3DZi6u0aJOLhEdOb9uPd1XRGg4</v>
      </c>
    </row>
    <row r="566" ht="15.75" customHeight="1">
      <c r="A566" s="0" t="str">
        <f>IFERROR(__xludf.DUMMYFUNCTION("""COMPUTED_VALUE"""),"SymbolLookup")</f>
        <v>SymbolLookup</v>
      </c>
      <c r="B566" s="0" t="str">
        <f>IFERROR(__xludf.DUMMYFUNCTION("""COMPUTED_VALUE"""),"TradeSymbolFromSM")</f>
        <v>TradeSymbolFromSM</v>
      </c>
      <c r="C566" s="0" t="str">
        <f>IFERROR(__xludf.DUMMYFUNCTION("""COMPUTED_VALUE"""),"1PNlRP_f9Ce4d39zh_JfxS1-IRQ2lZ9LmbDv-YNbW0ws")</f>
        <v>1PNlRP_f9Ce4d39zh_JfxS1-IRQ2lZ9LmbDv-YNbW0ws</v>
      </c>
    </row>
    <row r="567" ht="15.75" customHeight="1">
      <c r="A567" s="0" t="str">
        <f>IFERROR(__xludf.DUMMYFUNCTION("""COMPUTED_VALUE"""),"Closing")</f>
        <v>Closing</v>
      </c>
      <c r="B567" s="0" t="str">
        <f>IFERROR(__xludf.DUMMYFUNCTION("""COMPUTED_VALUE"""),"SelectAccountWiseAsset")</f>
        <v>SelectAccountWiseAsset</v>
      </c>
      <c r="C567" s="0" t="str">
        <f>IFERROR(__xludf.DUMMYFUNCTION("""COMPUTED_VALUE"""),"10MC6_i1BVoL1LzM9Lj5pQq11-DVZxi4lg6JmZyXndlA")</f>
        <v>10MC6_i1BVoL1LzM9Lj5pQq11-DVZxi4lg6JmZyXndlA</v>
      </c>
    </row>
    <row r="568" ht="15.75" customHeight="1">
      <c r="A568" s="0" t="str">
        <f>IFERROR(__xludf.DUMMYFUNCTION("""COMPUTED_VALUE"""),"Closing")</f>
        <v>Closing</v>
      </c>
      <c r="B568" s="0" t="str">
        <f>IFERROR(__xludf.DUMMYFUNCTION("""COMPUTED_VALUE"""),"VerifyCTData")</f>
        <v>VerifyCTData</v>
      </c>
      <c r="C568" s="0" t="str">
        <f>IFERROR(__xludf.DUMMYFUNCTION("""COMPUTED_VALUE"""),"1wwRMdxFwMzL4j6aOJK1awK-P3H5mg_73kIOYdQV-jzE")</f>
        <v>1wwRMdxFwMzL4j6aOJK1awK-P3H5mg_73kIOYdQV-jzE</v>
      </c>
    </row>
    <row r="569" ht="15.75" customHeight="1">
      <c r="A569" s="0" t="str">
        <f>IFERROR(__xludf.DUMMYFUNCTION("""COMPUTED_VALUE"""),"Closing")</f>
        <v>Closing</v>
      </c>
      <c r="B569" s="0" t="str">
        <f>IFERROR(__xludf.DUMMYFUNCTION("""COMPUTED_VALUE"""),"ExerciseAssignmentWithOutSave")</f>
        <v>ExerciseAssignmentWithOutSave</v>
      </c>
      <c r="C569" s="0" t="str">
        <f>IFERROR(__xludf.DUMMYFUNCTION("""COMPUTED_VALUE"""),"1ydTFRdCEiW0S4QjO_nq3U9QkZ_sElCJSRuC8YTFTmDM")</f>
        <v>1ydTFRdCEiW0S4QjO_nq3U9QkZ_sElCJSRuC8YTFTmDM</v>
      </c>
    </row>
    <row r="570" ht="15.75" customHeight="1">
      <c r="A570" s="0" t="str">
        <f>IFERROR(__xludf.DUMMYFUNCTION("""COMPUTED_VALUE"""),"Closing")</f>
        <v>Closing</v>
      </c>
      <c r="B570" s="0" t="str">
        <f>IFERROR(__xludf.DUMMYFUNCTION("""COMPUTED_VALUE"""),"SaveCTData")</f>
        <v>SaveCTData</v>
      </c>
      <c r="C570" s="0" t="str">
        <f>IFERROR(__xludf.DUMMYFUNCTION("""COMPUTED_VALUE"""),"1TyXEOncuetpBc6awaz-9e8qmzRPhspaacAFxbb1KuXk")</f>
        <v>1TyXEOncuetpBc6awaz-9e8qmzRPhspaacAFxbb1KuXk</v>
      </c>
    </row>
    <row r="571" ht="15.75" customHeight="1">
      <c r="A571" s="0" t="str">
        <f>IFERROR(__xludf.DUMMYFUNCTION("""COMPUTED_VALUE"""),"Allocation")</f>
        <v>Allocation</v>
      </c>
      <c r="B571" s="0" t="str">
        <f>IFERROR(__xludf.DUMMYFUNCTION("""COMPUTED_VALUE"""),"AllocateWithPopUp")</f>
        <v>AllocateWithPopUp</v>
      </c>
      <c r="C571" s="0" t="str">
        <f>IFERROR(__xludf.DUMMYFUNCTION("""COMPUTED_VALUE"""),"1ujrr9fe1BF5zNwGm3FQX-VQGjnK8-GTda2InZicXhr0")</f>
        <v>1ujrr9fe1BF5zNwGm3FQX-VQGjnK8-GTda2InZicXhr0</v>
      </c>
    </row>
    <row r="572" ht="15.75" customHeight="1">
      <c r="A572" s="0" t="str">
        <f>IFERROR(__xludf.DUMMYFUNCTION("""COMPUTED_VALUE"""),"TradingTicket")</f>
        <v>TradingTicket</v>
      </c>
      <c r="B572" s="0" t="str">
        <f>IFERROR(__xludf.DUMMYFUNCTION("""COMPUTED_VALUE"""),"CreateNewSubLiveOrder")</f>
        <v>CreateNewSubLiveOrder</v>
      </c>
      <c r="C572" s="0" t="str">
        <f>IFERROR(__xludf.DUMMYFUNCTION("""COMPUTED_VALUE"""),"1VZ3yefl1NzzIoTT3B2uyDuSCt5Koeutvqcmf9ljJY2s")</f>
        <v>1VZ3yefl1NzzIoTT3B2uyDuSCt5Koeutvqcmf9ljJY2s</v>
      </c>
    </row>
    <row r="573" ht="15.75" customHeight="1">
      <c r="A573" s="0" t="str">
        <f>IFERROR(__xludf.DUMMYFUNCTION("""COMPUTED_VALUE"""),"Blotter")</f>
        <v>Blotter</v>
      </c>
      <c r="B573" s="0" t="str">
        <f>IFERROR(__xludf.DUMMYFUNCTION("""COMPUTED_VALUE"""),"ViewPTTAllocationDetails")</f>
        <v>ViewPTTAllocationDetails</v>
      </c>
      <c r="C573" s="0" t="str">
        <f>IFERROR(__xludf.DUMMYFUNCTION("""COMPUTED_VALUE"""),"1zhdc8S2ATpongUWtw4_n_Ao2z4dmVK8NaK3KnXEZcVs")</f>
        <v>1zhdc8S2ATpongUWtw4_n_Ao2z4dmVK8NaK3KnXEZcVs</v>
      </c>
    </row>
    <row r="574" ht="15.75" customHeight="1">
      <c r="A574" s="0" t="str">
        <f>IFERROR(__xludf.DUMMYFUNCTION("""COMPUTED_VALUE"""),"Admin")</f>
        <v>Admin</v>
      </c>
      <c r="B574" s="0" t="str">
        <f>IFERROR(__xludf.DUMMYFUNCTION("""COMPUTED_VALUE"""),"RestartSQL")</f>
        <v>RestartSQL</v>
      </c>
      <c r="C574" s="0" t="str">
        <f>IFERROR(__xludf.DUMMYFUNCTION("""COMPUTED_VALUE"""),"1Tf2tkH3voMf7Bddd7JKWvwpP_UlMk-ToxSdRxfAD0jM")</f>
        <v>1Tf2tkH3voMf7Bddd7JKWvwpP_UlMk-ToxSdRxfAD0jM</v>
      </c>
    </row>
    <row r="575" ht="15.75" customHeight="1">
      <c r="A575" s="0" t="str">
        <f>IFERROR(__xludf.DUMMYFUNCTION("""COMPUTED_VALUE"""),"Admin")</f>
        <v>Admin</v>
      </c>
      <c r="B575" s="0" t="str">
        <f>IFERROR(__xludf.DUMMYFUNCTION("""COMPUTED_VALUE"""),"TradeAuditCleanUp")</f>
        <v>TradeAuditCleanUp</v>
      </c>
      <c r="C575" s="0" t="str">
        <f>IFERROR(__xludf.DUMMYFUNCTION("""COMPUTED_VALUE"""),"1I5ypN0xJd-5h0D0FV3MNW12oOCuKLopQXeYbU4uymsQ")</f>
        <v>1I5ypN0xJd-5h0D0FV3MNW12oOCuKLopQXeYbU4uymsQ</v>
      </c>
    </row>
    <row r="576" ht="15.75" customHeight="1">
      <c r="A576" s="0" t="str">
        <f>IFERROR(__xludf.DUMMYFUNCTION("""COMPUTED_VALUE"""),"Import")</f>
        <v>Import</v>
      </c>
      <c r="B576" s="0" t="str">
        <f>IFERROR(__xludf.DUMMYFUNCTION("""COMPUTED_VALUE"""),"SelectTradeOnImport")</f>
        <v>SelectTradeOnImport</v>
      </c>
      <c r="C576" s="0" t="str">
        <f>IFERROR(__xludf.DUMMYFUNCTION("""COMPUTED_VALUE"""),"1HjUosyUubSyBTOoMjfoEXPhhuwTE0zxlMg_E5M-35KI")</f>
        <v>1HjUosyUubSyBTOoMjfoEXPhhuwTE0zxlMg_E5M-35KI</v>
      </c>
    </row>
    <row r="577" ht="15.75" customHeight="1">
      <c r="A577" s="0" t="str">
        <f>IFERROR(__xludf.DUMMYFUNCTION("""COMPUTED_VALUE"""),"Allocation")</f>
        <v>Allocation</v>
      </c>
      <c r="B577" s="0" t="str">
        <f>IFERROR(__xludf.DUMMYFUNCTION("""COMPUTED_VALUE"""),"SelectAllRowsAllocated")</f>
        <v>SelectAllRowsAllocated</v>
      </c>
      <c r="C577" s="0" t="str">
        <f>IFERROR(__xludf.DUMMYFUNCTION("""COMPUTED_VALUE"""),"Undefined")</f>
        <v>Undefined</v>
      </c>
    </row>
    <row r="578" ht="15.75" customHeight="1">
      <c r="A578" s="0" t="str">
        <f>IFERROR(__xludf.DUMMYFUNCTION("""COMPUTED_VALUE"""),"Closing")</f>
        <v>Closing</v>
      </c>
      <c r="B578" s="0" t="str">
        <f>IFERROR(__xludf.DUMMYFUNCTION("""COMPUTED_VALUE"""),"FilterLongPositionGrid")</f>
        <v>FilterLongPositionGrid</v>
      </c>
      <c r="C578" s="0" t="str">
        <f>IFERROR(__xludf.DUMMYFUNCTION("""COMPUTED_VALUE"""),"1ntkjcw7jS8fAkXNT1tS7ljnkeomzfYY3hPmh4aD_sAA")</f>
        <v>1ntkjcw7jS8fAkXNT1tS7ljnkeomzfYY3hPmh4aD_sAA</v>
      </c>
    </row>
    <row r="579" ht="15.75" customHeight="1">
      <c r="A579" s="0" t="str">
        <f>IFERROR(__xludf.DUMMYFUNCTION("""COMPUTED_VALUE"""),"Closing")</f>
        <v>Closing</v>
      </c>
      <c r="B579" s="0" t="str">
        <f>IFERROR(__xludf.DUMMYFUNCTION("""COMPUTED_VALUE"""),"FilterShortPositionGrid")</f>
        <v>FilterShortPositionGrid</v>
      </c>
      <c r="C579" s="0" t="str">
        <f>IFERROR(__xludf.DUMMYFUNCTION("""COMPUTED_VALUE"""),"1fmfWmLW7JtnC3QwQKE2SYNBjpfVryomKbf8dddB6uHo")</f>
        <v>1fmfWmLW7JtnC3QwQKE2SYNBjpfVryomKbf8dddB6uHo</v>
      </c>
    </row>
    <row r="580" ht="15.75" customHeight="1">
      <c r="A580" s="0" t="str">
        <f>IFERROR(__xludf.DUMMYFUNCTION("""COMPUTED_VALUE"""),"Closing")</f>
        <v>Closing</v>
      </c>
      <c r="B580" s="0" t="str">
        <f>IFERROR(__xludf.DUMMYFUNCTION("""COMPUTED_VALUE"""),"FilterClosingGrid")</f>
        <v>FilterClosingGrid</v>
      </c>
      <c r="C580" s="0" t="str">
        <f>IFERROR(__xludf.DUMMYFUNCTION("""COMPUTED_VALUE"""),"1z_Tn21iZAmnP5WjmCfyv2uDZQ6_QCU53OGLuDkx8Oc4")</f>
        <v>1z_Tn21iZAmnP5WjmCfyv2uDZQ6_QCU53OGLuDkx8Oc4</v>
      </c>
    </row>
    <row r="581" ht="15.75" customHeight="1">
      <c r="A581" s="0" t="str">
        <f>IFERROR(__xludf.DUMMYFUNCTION("""COMPUTED_VALUE"""),"Closing")</f>
        <v>Closing</v>
      </c>
      <c r="B581" s="0" t="str">
        <f>IFERROR(__xludf.DUMMYFUNCTION("""COMPUTED_VALUE"""),"FilterUnexpiredGrid")</f>
        <v>FilterUnexpiredGrid</v>
      </c>
      <c r="C581" s="0" t="str">
        <f>IFERROR(__xludf.DUMMYFUNCTION("""COMPUTED_VALUE"""),"1xZ1BV6Hh4RBWqJJnN_kJeyL0fwG7Ahrr3S06JFmSoYg")</f>
        <v>1xZ1BV6Hh4RBWqJJnN_kJeyL0fwG7Ahrr3S06JFmSoYg</v>
      </c>
    </row>
    <row r="582" ht="15.75" customHeight="1">
      <c r="A582" s="0" t="str">
        <f>IFERROR(__xludf.DUMMYFUNCTION("""COMPUTED_VALUE"""),"Closing")</f>
        <v>Closing</v>
      </c>
      <c r="B582" s="0" t="str">
        <f>IFERROR(__xludf.DUMMYFUNCTION("""COMPUTED_VALUE"""),"FilterExpiredGrid")</f>
        <v>FilterExpiredGrid</v>
      </c>
      <c r="C582" s="0" t="str">
        <f>IFERROR(__xludf.DUMMYFUNCTION("""COMPUTED_VALUE"""),"1wHqenR3Gam1p0PqW3aulNwmgLPY_UioCzlLWNtUNPfA")</f>
        <v>1wHqenR3Gam1p0PqW3aulNwmgLPY_UioCzlLWNtUNPfA</v>
      </c>
    </row>
    <row r="583" ht="15.75" customHeight="1">
      <c r="A583" s="0" t="str">
        <f>IFERROR(__xludf.DUMMYFUNCTION("""COMPUTED_VALUE"""),"GeneralLedger")</f>
        <v>GeneralLedger</v>
      </c>
      <c r="B583" s="0" t="str">
        <f>IFERROR(__xludf.DUMMYFUNCTION("""COMPUTED_VALUE"""),"FilterCashTransactionGrid")</f>
        <v>FilterCashTransactionGrid</v>
      </c>
      <c r="C583" s="0" t="str">
        <f>IFERROR(__xludf.DUMMYFUNCTION("""COMPUTED_VALUE"""),"1dC0jq3TP8OpNNJ8iqYrIIpx_-wGyka9u3QG_vMPR6Jk")</f>
        <v>1dC0jq3TP8OpNNJ8iqYrIIpx_-wGyka9u3QG_vMPR6Jk</v>
      </c>
    </row>
    <row r="584" ht="15.75" customHeight="1">
      <c r="A584" s="0" t="str">
        <f>IFERROR(__xludf.DUMMYFUNCTION("""COMPUTED_VALUE"""),"Recon")</f>
        <v>Recon</v>
      </c>
      <c r="B584" s="0" t="str">
        <f>IFERROR(__xludf.DUMMYFUNCTION("""COMPUTED_VALUE"""),"VerifyApplicationData")</f>
        <v>VerifyApplicationData</v>
      </c>
      <c r="C584" s="0" t="str">
        <f>IFERROR(__xludf.DUMMYFUNCTION("""COMPUTED_VALUE"""),"12uaBilYuoqtrRW6_HDDP48tS7_jnEsipPeSiI04cKsU")</f>
        <v>12uaBilYuoqtrRW6_HDDP48tS7_jnEsipPeSiI04cKsU</v>
      </c>
    </row>
    <row r="585" ht="15.75" customHeight="1">
      <c r="A585" s="0" t="str">
        <f>IFERROR(__xludf.DUMMYFUNCTION("""COMPUTED_VALUE"""),"GeneralLedger")</f>
        <v>GeneralLedger</v>
      </c>
      <c r="B585" s="0" t="str">
        <f>IFERROR(__xludf.DUMMYFUNCTION("""COMPUTED_VALUE"""),"EditGridCashTransactions")</f>
        <v>EditGridCashTransactions</v>
      </c>
      <c r="C585" s="0" t="str">
        <f>IFERROR(__xludf.DUMMYFUNCTION("""COMPUTED_VALUE"""),"1DbIO0VY7xpdEigO0mZ-XsVT568tgFmOXTwVpApe1exI")</f>
        <v>1DbIO0VY7xpdEigO0mZ-XsVT568tgFmOXTwVpApe1exI</v>
      </c>
    </row>
    <row r="586" ht="15.75" customHeight="1">
      <c r="A586" s="0" t="str">
        <f>IFERROR(__xludf.DUMMYFUNCTION("""COMPUTED_VALUE"""),"Closing")</f>
        <v>Closing</v>
      </c>
      <c r="B586" s="0" t="str">
        <f>IFERROR(__xludf.DUMMYFUNCTION("""COMPUTED_VALUE"""),"UnwindAllClosingData")</f>
        <v>UnwindAllClosingData</v>
      </c>
      <c r="C586" s="0" t="str">
        <f>IFERROR(__xludf.DUMMYFUNCTION("""COMPUTED_VALUE"""),"1LaX9icgrLb7UfkgW9ctd7uQhtirYerCxwOcdswi3qJ4")</f>
        <v>1LaX9icgrLb7UfkgW9ctd7uQhtirYerCxwOcdswi3qJ4</v>
      </c>
    </row>
    <row r="587" ht="15.75" customHeight="1">
      <c r="A587" s="0" t="str">
        <f>IFERROR(__xludf.DUMMYFUNCTION("""COMPUTED_VALUE"""),"GeneralLedger")</f>
        <v>GeneralLedger</v>
      </c>
      <c r="B587" s="0" t="str">
        <f>IFERROR(__xludf.DUMMYFUNCTION("""COMPUTED_VALUE"""),"SaveCashTransaction")</f>
        <v>SaveCashTransaction</v>
      </c>
      <c r="C587" s="0" t="str">
        <f>IFERROR(__xludf.DUMMYFUNCTION("""COMPUTED_VALUE"""),"1C9P1HbY6Ro9lyEQ5ZR0swuE8ZsndB32hjwqmgHAPO48")</f>
        <v>1C9P1HbY6Ro9lyEQ5ZR0swuE8ZsndB32hjwqmgHAPO48</v>
      </c>
    </row>
    <row r="588" ht="15.75" customHeight="1">
      <c r="A588" s="0" t="str">
        <f>IFERROR(__xludf.DUMMYFUNCTION("""COMPUTED_VALUE"""),"ThirdParty")</f>
        <v>ThirdParty</v>
      </c>
      <c r="B588" s="0" t="str">
        <f>IFERROR(__xludf.DUMMYFUNCTION("""COMPUTED_VALUE"""),"ChangeThirdpartyDate")</f>
        <v>ChangeThirdpartyDate</v>
      </c>
      <c r="C588" s="0" t="str">
        <f>IFERROR(__xludf.DUMMYFUNCTION("""COMPUTED_VALUE"""),"1r1jHbvFBzvHIf55vHWyS1tZHMjEnQ-JSG4wuNkUdo8w")</f>
        <v>1r1jHbvFBzvHIf55vHWyS1tZHMjEnQ-JSG4wuNkUdo8w</v>
      </c>
    </row>
    <row r="589" ht="15.75" customHeight="1">
      <c r="A589" s="0" t="str">
        <f>IFERROR(__xludf.DUMMYFUNCTION("""COMPUTED_VALUE"""),"GeneralLedger")</f>
        <v>GeneralLedger</v>
      </c>
      <c r="B589" s="0" t="str">
        <f>IFERROR(__xludf.DUMMYFUNCTION("""COMPUTED_VALUE"""),"RunManualRevaluation")</f>
        <v>RunManualRevaluation</v>
      </c>
      <c r="C589" s="0" t="str">
        <f>IFERROR(__xludf.DUMMYFUNCTION("""COMPUTED_VALUE"""),"1IpFI6-6JOwbL8gM-udQe1oYtIYXeEUX23ACYlbw7CAY")</f>
        <v>1IpFI6-6JOwbL8gM-udQe1oYtIYXeEUX23ACYlbw7CAY</v>
      </c>
    </row>
    <row r="590" ht="15.75" customHeight="1">
      <c r="A590" s="0" t="str">
        <f>IFERROR(__xludf.DUMMYFUNCTION("""COMPUTED_VALUE"""),"SymbolLookup")</f>
        <v>SymbolLookup</v>
      </c>
      <c r="B590" s="0" t="str">
        <f>IFERROR(__xludf.DUMMYFUNCTION("""COMPUTED_VALUE"""),"AddSymbol")</f>
        <v>AddSymbol</v>
      </c>
      <c r="C590" s="0" t="str">
        <f>IFERROR(__xludf.DUMMYFUNCTION("""COMPUTED_VALUE"""),"1PUyWc_VM13xLUcyQtECH7mYIvYQznLYdEjD41p5ATvo")</f>
        <v>1PUyWc_VM13xLUcyQtECH7mYIvYQznLYdEjD41p5ATvo</v>
      </c>
    </row>
    <row r="591" ht="15.75" customHeight="1">
      <c r="A591" s="0" t="str">
        <f>IFERROR(__xludf.DUMMYFUNCTION("""COMPUTED_VALUE"""),"Admin")</f>
        <v>Admin</v>
      </c>
      <c r="B591" s="0" t="str">
        <f>IFERROR(__xludf.DUMMYFUNCTION("""COMPUTED_VALUE"""),"DeleteSymbolFromSM")</f>
        <v>DeleteSymbolFromSM</v>
      </c>
      <c r="C591" s="0" t="str">
        <f>IFERROR(__xludf.DUMMYFUNCTION("""COMPUTED_VALUE"""),"1UQGi8IiCImUPn2i6EU0ofTcyy_2hwKGgHnjxdlRJD1s")</f>
        <v>1UQGi8IiCImUPn2i6EU0ofTcyy_2hwKGgHnjxdlRJD1s</v>
      </c>
    </row>
    <row r="592" ht="15.75" customHeight="1">
      <c r="A592" s="0" t="str">
        <f>IFERROR(__xludf.DUMMYFUNCTION("""COMPUTED_VALUE"""),"Watchlist")</f>
        <v>Watchlist</v>
      </c>
      <c r="B592" s="0" t="str">
        <f>IFERROR(__xludf.DUMMYFUNCTION("""COMPUTED_VALUE"""),"AddSymbolToWatchlist")</f>
        <v>AddSymbolToWatchlist</v>
      </c>
      <c r="C592" s="0" t="str">
        <f>IFERROR(__xludf.DUMMYFUNCTION("""COMPUTED_VALUE"""),"1CWvtsX9WRwgsY7IPC9XXmj-zkwapfAoP4tauSGybyb8")</f>
        <v>1CWvtsX9WRwgsY7IPC9XXmj-zkwapfAoP4tauSGybyb8</v>
      </c>
    </row>
    <row r="593" ht="15.75" customHeight="1">
      <c r="A593" s="0" t="str">
        <f>IFERROR(__xludf.DUMMYFUNCTION("""COMPUTED_VALUE"""),"Watchlist")</f>
        <v>Watchlist</v>
      </c>
      <c r="B593" s="0" t="str">
        <f>IFERROR(__xludf.DUMMYFUNCTION("""COMPUTED_VALUE"""),"TradeFromWatchlist")</f>
        <v>TradeFromWatchlist</v>
      </c>
      <c r="C593" s="0" t="str">
        <f>IFERROR(__xludf.DUMMYFUNCTION("""COMPUTED_VALUE"""),"1_gr9yAcv8XFCvsAga7kXC2kGLcr4Um8jwnsOhyTDua8")</f>
        <v>1_gr9yAcv8XFCvsAga7kXC2kGLcr4Um8jwnsOhyTDua8</v>
      </c>
    </row>
    <row r="594" ht="15.75" customHeight="1">
      <c r="A594" s="0" t="str">
        <f>IFERROR(__xludf.DUMMYFUNCTION("""COMPUTED_VALUE"""),"Watchlist")</f>
        <v>Watchlist</v>
      </c>
      <c r="B594" s="0" t="str">
        <f>IFERROR(__xludf.DUMMYFUNCTION("""COMPUTED_VALUE"""),"MultiTradeFromWatchlist")</f>
        <v>MultiTradeFromWatchlist</v>
      </c>
      <c r="C594" s="0" t="str">
        <f>IFERROR(__xludf.DUMMYFUNCTION("""COMPUTED_VALUE"""),"1rHIT8qxxt2ksNiLFI6Ig6ZXBYvp7yIuHfgc6AYFwYbs")</f>
        <v>1rHIT8qxxt2ksNiLFI6Ig6ZXBYvp7yIuHfgc6AYFwYbs</v>
      </c>
    </row>
    <row r="595" ht="15.75" customHeight="1">
      <c r="A595" s="0" t="str">
        <f>IFERROR(__xludf.DUMMYFUNCTION("""COMPUTED_VALUE"""),"Watchlist")</f>
        <v>Watchlist</v>
      </c>
      <c r="B595" s="0" t="str">
        <f>IFERROR(__xludf.DUMMYFUNCTION("""COMPUTED_VALUE"""),"DeleteSymbolFromWatchlist")</f>
        <v>DeleteSymbolFromWatchlist</v>
      </c>
      <c r="C595" s="0" t="str">
        <f>IFERROR(__xludf.DUMMYFUNCTION("""COMPUTED_VALUE"""),"1dTWLDYGXBeQl6LezEPzd60kFiyaea6looT7M4rwMv2I")</f>
        <v>1dTWLDYGXBeQl6LezEPzd60kFiyaea6looT7M4rwMv2I</v>
      </c>
    </row>
    <row r="596" ht="15.75" customHeight="1">
      <c r="A596" s="0" t="str">
        <f>IFERROR(__xludf.DUMMYFUNCTION("""COMPUTED_VALUE"""),"Watchlist")</f>
        <v>Watchlist</v>
      </c>
      <c r="B596" s="0" t="str">
        <f>IFERROR(__xludf.DUMMYFUNCTION("""COMPUTED_VALUE"""),"VerifySymbolsOnWatchlist")</f>
        <v>VerifySymbolsOnWatchlist</v>
      </c>
      <c r="C596" s="0" t="str">
        <f>IFERROR(__xludf.DUMMYFUNCTION("""COMPUTED_VALUE"""),"1znuLT8W_GL5u40WjJBKcPVMDYjEc2dCFxwQ_2yTGzRk")</f>
        <v>1znuLT8W_GL5u40WjJBKcPVMDYjEc2dCFxwQ_2yTGzRk</v>
      </c>
    </row>
    <row r="597" ht="15.75" customHeight="1">
      <c r="A597" s="0" t="str">
        <f>IFERROR(__xludf.DUMMYFUNCTION("""COMPUTED_VALUE"""),"Recon")</f>
        <v>Recon</v>
      </c>
      <c r="B597" s="0" t="str">
        <f>IFERROR(__xludf.DUMMYFUNCTION("""COMPUTED_VALUE"""),"VerifyAppMatchedData")</f>
        <v>VerifyAppMatchedData</v>
      </c>
      <c r="C597" s="0" t="str">
        <f>IFERROR(__xludf.DUMMYFUNCTION("""COMPUTED_VALUE"""),"1FcLdR_WnLZQHNZAb7fo31xvViPBiukK-X3k3IfDUT5E")</f>
        <v>1FcLdR_WnLZQHNZAb7fo31xvViPBiukK-X3k3IfDUT5E</v>
      </c>
    </row>
    <row r="598" ht="15.75" customHeight="1">
      <c r="A598" s="0" t="str">
        <f>IFERROR(__xludf.DUMMYFUNCTION("""COMPUTED_VALUE"""),"Recon")</f>
        <v>Recon</v>
      </c>
      <c r="B598" s="0" t="str">
        <f>IFERROR(__xludf.DUMMYFUNCTION("""COMPUTED_VALUE"""),"VerifyAppUnmatchedData")</f>
        <v>VerifyAppUnmatchedData</v>
      </c>
      <c r="C598" s="0" t="str">
        <f>IFERROR(__xludf.DUMMYFUNCTION("""COMPUTED_VALUE"""),"1xeVMiuwuNo3S6RUbUKWd8vGC2KydXNR7P51U89_3Yj4")</f>
        <v>1xeVMiuwuNo3S6RUbUKWd8vGC2KydXNR7P51U89_3Yj4</v>
      </c>
    </row>
    <row r="599" ht="15.75" customHeight="1">
      <c r="A599" s="0" t="str">
        <f>IFERROR(__xludf.DUMMYFUNCTION("""COMPUTED_VALUE"""),"Recon")</f>
        <v>Recon</v>
      </c>
      <c r="B599" s="0" t="str">
        <f>IFERROR(__xludf.DUMMYFUNCTION("""COMPUTED_VALUE"""),"VerifyPBMatchedData")</f>
        <v>VerifyPBMatchedData</v>
      </c>
      <c r="C599" s="0" t="str">
        <f>IFERROR(__xludf.DUMMYFUNCTION("""COMPUTED_VALUE"""),"1Wf4tlPp9DuAnbeTQJSJP1jFGY3nQl4LX2Px79JxbDdo")</f>
        <v>1Wf4tlPp9DuAnbeTQJSJP1jFGY3nQl4LX2Px79JxbDdo</v>
      </c>
    </row>
    <row r="600" ht="15.75" customHeight="1">
      <c r="A600" s="0" t="str">
        <f>IFERROR(__xludf.DUMMYFUNCTION("""COMPUTED_VALUE"""),"Recon")</f>
        <v>Recon</v>
      </c>
      <c r="B600" s="0" t="str">
        <f>IFERROR(__xludf.DUMMYFUNCTION("""COMPUTED_VALUE"""),"VerifyPBUnmatchedData")</f>
        <v>VerifyPBUnmatchedData</v>
      </c>
      <c r="C600" s="0" t="str">
        <f>IFERROR(__xludf.DUMMYFUNCTION("""COMPUTED_VALUE"""),"1SyeWrX5C-iBb5GKLRjVajC7dDI8Z7jALI4Z_58qM1t0")</f>
        <v>1SyeWrX5C-iBb5GKLRjVajC7dDI8Z7jALI4Z_58qM1t0</v>
      </c>
    </row>
    <row r="601" ht="15.75" customHeight="1">
      <c r="A601" s="0" t="str">
        <f>IFERROR(__xludf.DUMMYFUNCTION("""COMPUTED_VALUE"""),"QTT")</f>
        <v>QTT</v>
      </c>
      <c r="B601" s="0" t="str">
        <f>IFERROR(__xludf.DUMMYFUNCTION("""COMPUTED_VALUE"""),"OpenQtt")</f>
        <v>OpenQtt</v>
      </c>
      <c r="C601" s="0" t="str">
        <f>IFERROR(__xludf.DUMMYFUNCTION("""COMPUTED_VALUE"""),"1fxUsSbuYzzoFKbiPI8jP3qpfTtLIg38iXf_eO_-wiMQ")</f>
        <v>1fxUsSbuYzzoFKbiPI8jP3qpfTtLIg38iXf_eO_-wiMQ</v>
      </c>
    </row>
    <row r="602" ht="15.75" customHeight="1">
      <c r="A602" s="0" t="str">
        <f>IFERROR(__xludf.DUMMYFUNCTION("""COMPUTED_VALUE"""),"QTT")</f>
        <v>QTT</v>
      </c>
      <c r="B602" s="0" t="str">
        <f>IFERROR(__xludf.DUMMYFUNCTION("""COMPUTED_VALUE"""),"TradeFromQTT")</f>
        <v>TradeFromQTT</v>
      </c>
      <c r="C602" s="0" t="str">
        <f>IFERROR(__xludf.DUMMYFUNCTION("""COMPUTED_VALUE"""),"1c8z9uEtlJwmoxKTHOI7GTZUAANw-oZmQlhfT_OI-_oE")</f>
        <v>1c8z9uEtlJwmoxKTHOI7GTZUAANw-oZmQlhfT_OI-_oE</v>
      </c>
    </row>
    <row r="603" ht="15.75" customHeight="1">
      <c r="A603" s="0" t="str">
        <f>IFERROR(__xludf.DUMMYFUNCTION("""COMPUTED_VALUE"""),"TradingTicket")</f>
        <v>TradingTicket</v>
      </c>
      <c r="B603" s="0" t="str">
        <f>IFERROR(__xludf.DUMMYFUNCTION("""COMPUTED_VALUE"""),"VerifyBasketExport")</f>
        <v>VerifyBasketExport</v>
      </c>
      <c r="C603" s="0" t="str">
        <f>IFERROR(__xludf.DUMMYFUNCTION("""COMPUTED_VALUE"""),"1BncbZbC0fRvgdJBGqgOpno2NiNysxguEOKqQ_wx4rRM")</f>
        <v>1BncbZbC0fRvgdJBGqgOpno2NiNysxguEOKqQ_wx4rRM</v>
      </c>
    </row>
    <row r="604" ht="15.75" customHeight="1">
      <c r="A604" s="0" t="str">
        <f>IFERROR(__xludf.DUMMYFUNCTION("""COMPUTED_VALUE"""),"Admin")</f>
        <v>Admin</v>
      </c>
      <c r="B604" s="0" t="str">
        <f>IFERROR(__xludf.DUMMYFUNCTION("""COMPUTED_VALUE"""),"SetCompliancePermission")</f>
        <v>SetCompliancePermission</v>
      </c>
      <c r="C604" s="0" t="str">
        <f>IFERROR(__xludf.DUMMYFUNCTION("""COMPUTED_VALUE"""),"1-pNim8pz7Yv4cffmGN5HGGavnpzLzpq_5kA4AE20NYM")</f>
        <v>1-pNim8pz7Yv4cffmGN5HGGavnpzLzpq_5kA4AE20NYM</v>
      </c>
    </row>
    <row r="605" ht="15.75" customHeight="1">
      <c r="A605" s="0" t="str">
        <f>IFERROR(__xludf.DUMMYFUNCTION("""COMPUTED_VALUE"""),"Compliance")</f>
        <v>Compliance</v>
      </c>
      <c r="B605" s="0" t="str">
        <f>IFERROR(__xludf.DUMMYFUNCTION("""COMPUTED_VALUE"""),"ApproveorRejectpendingapproval")</f>
        <v>ApproveorRejectpendingapproval</v>
      </c>
      <c r="C605" s="0" t="str">
        <f>IFERROR(__xludf.DUMMYFUNCTION("""COMPUTED_VALUE"""),"1UhtKaIOSsaBasxqY3sKs-yzcdn7UYylLMA_S4p_LSUg")</f>
        <v>1UhtKaIOSsaBasxqY3sKs-yzcdn7UYylLMA_S4p_LSUg</v>
      </c>
    </row>
    <row r="606" ht="15.75" customHeight="1">
      <c r="A606" s="0" t="str">
        <f>IFERROR(__xludf.DUMMYFUNCTION("""COMPUTED_VALUE"""),"Compliance")</f>
        <v>Compliance</v>
      </c>
      <c r="B606" s="0" t="str">
        <f>IFERROR(__xludf.DUMMYFUNCTION("""COMPUTED_VALUE"""),"VerifyAlertHistory")</f>
        <v>VerifyAlertHistory</v>
      </c>
      <c r="C606" s="0" t="str">
        <f>IFERROR(__xludf.DUMMYFUNCTION("""COMPUTED_VALUE"""),"1ygGptXUyfzDQoJvkfgVUkPUYd4xHQRbgZPB1q7Mq4kI")</f>
        <v>1ygGptXUyfzDQoJvkfgVUkPUYd4xHQRbgZPB1q7Mq4kI</v>
      </c>
    </row>
    <row r="607" ht="15.75" customHeight="1">
      <c r="A607" s="0" t="str">
        <f>IFERROR(__xludf.DUMMYFUNCTION("""COMPUTED_VALUE"""),"Blotter")</f>
        <v>Blotter</v>
      </c>
      <c r="B607" s="0" t="str">
        <f>IFERROR(__xludf.DUMMYFUNCTION("""COMPUTED_VALUE"""),"MergeOrder")</f>
        <v>MergeOrder</v>
      </c>
      <c r="C607" s="0" t="str">
        <f>IFERROR(__xludf.DUMMYFUNCTION("""COMPUTED_VALUE"""),"1kwyTwH_g61zdsuJMhxqb6Maa6M29IITtQgDUPkSqCfI")</f>
        <v>1kwyTwH_g61zdsuJMhxqb6Maa6M29IITtQgDUPkSqCfI</v>
      </c>
    </row>
    <row r="608" ht="15.75" customHeight="1">
      <c r="A608" s="0" t="str">
        <f>IFERROR(__xludf.DUMMYFUNCTION("""COMPUTED_VALUE"""),"Blotter")</f>
        <v>Blotter</v>
      </c>
      <c r="B608" s="0" t="str">
        <f>IFERROR(__xludf.DUMMYFUNCTION("""COMPUTED_VALUE"""),"VerifyMergeOrder")</f>
        <v>VerifyMergeOrder</v>
      </c>
      <c r="C608" s="0" t="str">
        <f>IFERROR(__xludf.DUMMYFUNCTION("""COMPUTED_VALUE"""),"1dgPXerDnGponQg7QoRz9zJh5jFCq9rY4gVQkfW6ueRs")</f>
        <v>1dgPXerDnGponQg7QoRz9zJh5jFCq9rY4gVQkfW6ueRs</v>
      </c>
    </row>
    <row r="609" ht="15.75" customHeight="1">
      <c r="A609" s="0" t="str">
        <f>IFERROR(__xludf.DUMMYFUNCTION("""COMPUTED_VALUE"""),"Blotter")</f>
        <v>Blotter</v>
      </c>
      <c r="B609" s="0" t="str">
        <f>IFERROR(__xludf.DUMMYFUNCTION("""COMPUTED_VALUE"""),"AddTabBlotter")</f>
        <v>AddTabBlotter</v>
      </c>
      <c r="C609" s="0" t="str">
        <f>IFERROR(__xludf.DUMMYFUNCTION("""COMPUTED_VALUE"""),"1-HZoUz8p44kRmIYxeitmY0y8sxzMyURZWzTS0g37nzA")</f>
        <v>1-HZoUz8p44kRmIYxeitmY0y8sxzMyURZWzTS0g37nzA</v>
      </c>
    </row>
    <row r="610" ht="15.75" customHeight="1">
      <c r="A610" s="0" t="str">
        <f>IFERROR(__xludf.DUMMYFUNCTION("""COMPUTED_VALUE"""),"Rebalancer")</f>
        <v>Rebalancer</v>
      </c>
      <c r="B610" s="0" t="str">
        <f>IFERROR(__xludf.DUMMYFUNCTION("""COMPUTED_VALUE"""),"CloseRebalancer")</f>
        <v>CloseRebalancer</v>
      </c>
      <c r="C610" s="0" t="str">
        <f>IFERROR(__xludf.DUMMYFUNCTION("""COMPUTED_VALUE"""),"Undefined")</f>
        <v>Undefined</v>
      </c>
    </row>
    <row r="611" ht="15.75" customHeight="1">
      <c r="A611" s="0" t="str">
        <f>IFERROR(__xludf.DUMMYFUNCTION("""COMPUTED_VALUE"""),"Rebalancer")</f>
        <v>Rebalancer</v>
      </c>
      <c r="B611" s="0" t="str">
        <f>IFERROR(__xludf.DUMMYFUNCTION("""COMPUTED_VALUE"""),"AddCustomCashUsingImport")</f>
        <v>AddCustomCashUsingImport</v>
      </c>
      <c r="C611" s="0" t="str">
        <f>IFERROR(__xludf.DUMMYFUNCTION("""COMPUTED_VALUE"""),"1O3SOjzGFXrKLUBVExe6mkwP-cW27WQT9G0PcvkNksJc")</f>
        <v>1O3SOjzGFXrKLUBVExe6mkwP-cW27WQT9G0PcvkNksJc</v>
      </c>
    </row>
    <row r="612" ht="15.75" customHeight="1">
      <c r="A612" s="0" t="str">
        <f>IFERROR(__xludf.DUMMYFUNCTION("""COMPUTED_VALUE"""),"Rebalancer")</f>
        <v>Rebalancer</v>
      </c>
      <c r="B612" s="0" t="str">
        <f>IFERROR(__xludf.DUMMYFUNCTION("""COMPUTED_VALUE"""),"EditRebalanceGrid")</f>
        <v>EditRebalanceGrid</v>
      </c>
      <c r="C612" s="0" t="str">
        <f>IFERROR(__xludf.DUMMYFUNCTION("""COMPUTED_VALUE"""),"1E0dJWA33kTyYO_fdwidKBhJ1jMfTMbCADdoV67llPOA")</f>
        <v>1E0dJWA33kTyYO_fdwidKBhJ1jMfTMbCADdoV67llPOA</v>
      </c>
    </row>
    <row r="613" ht="15.75" customHeight="1">
      <c r="A613" s="0" t="str">
        <f>IFERROR(__xludf.DUMMYFUNCTION("""COMPUTED_VALUE"""),"DailyValuation")</f>
        <v>DailyValuation</v>
      </c>
      <c r="B613" s="0" t="str">
        <f>IFERROR(__xludf.DUMMYFUNCTION("""COMPUTED_VALUE"""),"EnableBlankMarkPrices")</f>
        <v>EnableBlankMarkPrices</v>
      </c>
      <c r="C613" s="0" t="str">
        <f>IFERROR(__xludf.DUMMYFUNCTION("""COMPUTED_VALUE"""),"1Lqg6zZCIQgFixPQUaXAjHwB-7OqPvbCOe32Jestm87U")</f>
        <v>1Lqg6zZCIQgFixPQUaXAjHwB-7OqPvbCOe32Jestm87U</v>
      </c>
    </row>
    <row r="614" ht="15.75" customHeight="1">
      <c r="A614" s="0" t="str">
        <f>IFERROR(__xludf.DUMMYFUNCTION("""COMPUTED_VALUE"""),"DailyValuation")</f>
        <v>DailyValuation</v>
      </c>
      <c r="B614" s="0" t="str">
        <f>IFERROR(__xludf.DUMMYFUNCTION("""COMPUTED_VALUE"""),"UpateSymbolBlankMP")</f>
        <v>UpateSymbolBlankMP</v>
      </c>
      <c r="C614" s="0" t="str">
        <f>IFERROR(__xludf.DUMMYFUNCTION("""COMPUTED_VALUE"""),"1kPqUA1eIuSVlgOBITs5CA81FHMww-cIa-anDNa23yuk")</f>
        <v>1kPqUA1eIuSVlgOBITs5CA81FHMww-cIa-anDNa23yuk</v>
      </c>
    </row>
    <row r="615" ht="15.75" customHeight="1">
      <c r="A615" s="0" t="str">
        <f>IFERROR(__xludf.DUMMYFUNCTION("""COMPUTED_VALUE"""),"DailyValuation")</f>
        <v>DailyValuation</v>
      </c>
      <c r="B615" s="0" t="str">
        <f>IFERROR(__xludf.DUMMYFUNCTION("""COMPUTED_VALUE"""),"UpdateBlankMP")</f>
        <v>UpdateBlankMP</v>
      </c>
      <c r="C615" s="0" t="str">
        <f>IFERROR(__xludf.DUMMYFUNCTION("""COMPUTED_VALUE"""),"1ED_HWp6cWhFdSYM9FJ4WIjNK5s9YQ96UM3HY6z7Uego")</f>
        <v>1ED_HWp6cWhFdSYM9FJ4WIjNK5s9YQ96UM3HY6z7Uego</v>
      </c>
    </row>
    <row r="616" ht="15.75" customHeight="1">
      <c r="A616" s="0" t="str">
        <f>IFERROR(__xludf.DUMMYFUNCTION("""COMPUTED_VALUE"""),"DailyValuation")</f>
        <v>DailyValuation</v>
      </c>
      <c r="B616" s="0" t="str">
        <f>IFERROR(__xludf.DUMMYFUNCTION("""COMPUTED_VALUE"""),"FilterBlankMP")</f>
        <v>FilterBlankMP</v>
      </c>
      <c r="C616" s="0" t="str">
        <f>IFERROR(__xludf.DUMMYFUNCTION("""COMPUTED_VALUE"""),"1hie509djkqOqzLwQ7S4lThLSFspiAn7Ow8Bo7rnDW4A")</f>
        <v>1hie509djkqOqzLwQ7S4lThLSFspiAn7Ow8Bo7rnDW4A</v>
      </c>
    </row>
    <row r="617" ht="15.75" customHeight="1">
      <c r="A617" s="0" t="str">
        <f>IFERROR(__xludf.DUMMYFUNCTION("""COMPUTED_VALUE"""),"SymbolLookup")</f>
        <v>SymbolLookup</v>
      </c>
      <c r="B617" s="0" t="str">
        <f>IFERROR(__xludf.DUMMYFUNCTION("""COMPUTED_VALUE"""),"SelectFromSMGridUI")</f>
        <v>SelectFromSMGridUI</v>
      </c>
      <c r="C617" s="0" t="str">
        <f>IFERROR(__xludf.DUMMYFUNCTION("""COMPUTED_VALUE"""),"1PjcRlbekDcLgzexy59Ff3csyLlFtkgjkCABuxqPrIFk")</f>
        <v>1PjcRlbekDcLgzexy59Ff3csyLlFtkgjkCABuxqPrIFk</v>
      </c>
    </row>
    <row r="618" ht="15.75" customHeight="1">
      <c r="A618" s="0" t="str">
        <f>IFERROR(__xludf.DUMMYFUNCTION("""COMPUTED_VALUE"""),"SymbolLookup")</f>
        <v>SymbolLookup</v>
      </c>
      <c r="B618" s="0" t="str">
        <f>IFERROR(__xludf.DUMMYFUNCTION("""COMPUTED_VALUE"""),"EditSMGridUi")</f>
        <v>EditSMGridUi</v>
      </c>
      <c r="C618" s="0" t="str">
        <f>IFERROR(__xludf.DUMMYFUNCTION("""COMPUTED_VALUE"""),"1HrnkYuHLAx8E64bu4fG7IGtnxXUEuwos_yJXHep8Gc0")</f>
        <v>1HrnkYuHLAx8E64bu4fG7IGtnxXUEuwos_yJXHep8Gc0</v>
      </c>
    </row>
    <row r="619" ht="15.75" customHeight="1">
      <c r="A619" s="0" t="str">
        <f>IFERROR(__xludf.DUMMYFUNCTION("""COMPUTED_VALUE"""),"Compliance")</f>
        <v>Compliance</v>
      </c>
      <c r="B619" s="0" t="str">
        <f>IFERROR(__xludf.DUMMYFUNCTION("""COMPUTED_VALUE"""),"EditInterceptorFile")</f>
        <v>EditInterceptorFile</v>
      </c>
      <c r="C619" s="0" t="str">
        <f>IFERROR(__xludf.DUMMYFUNCTION("""COMPUTED_VALUE"""),"1uRm_GGzspf-weRP6J-_7fCGDgJxtBXOqQ0LWy8KA90Q")</f>
        <v>1uRm_GGzspf-weRP6J-_7fCGDgJxtBXOqQ0LWy8KA90Q</v>
      </c>
    </row>
    <row r="620" ht="15.75" customHeight="1">
      <c r="A620" s="0" t="str">
        <f>IFERROR(__xludf.DUMMYFUNCTION("""COMPUTED_VALUE"""),"Compliance")</f>
        <v>Compliance</v>
      </c>
      <c r="B620" s="0" t="str">
        <f>IFERROR(__xludf.DUMMYFUNCTION("""COMPUTED_VALUE"""),"ReplaceInterceptorFile")</f>
        <v>ReplaceInterceptorFile</v>
      </c>
      <c r="C620" s="0" t="str">
        <f>IFERROR(__xludf.DUMMYFUNCTION("""COMPUTED_VALUE"""),"Undefined")</f>
        <v>Undefined</v>
      </c>
    </row>
    <row r="621" ht="15.75" customHeight="1">
      <c r="A621" s="0" t="str">
        <f>IFERROR(__xludf.DUMMYFUNCTION("""COMPUTED_VALUE"""),"Blotter")</f>
        <v>Blotter</v>
      </c>
      <c r="B621" s="0" t="str">
        <f>IFERROR(__xludf.DUMMYFUNCTION("""COMPUTED_VALUE"""),"VerifyLowerStripBlotterUI")</f>
        <v>VerifyLowerStripBlotterUI</v>
      </c>
      <c r="C621" s="0" t="str">
        <f>IFERROR(__xludf.DUMMYFUNCTION("""COMPUTED_VALUE"""),"1YDrduYEvyxQ-ys7ZmzJ1hAFHnVlU4eDnSPUoOeGr_f4")</f>
        <v>1YDrduYEvyxQ-ys7ZmzJ1hAFHnVlU4eDnSPUoOeGr_f4</v>
      </c>
    </row>
    <row r="622" ht="15.75" customHeight="1">
      <c r="A622" s="0" t="str">
        <f>IFERROR(__xludf.DUMMYFUNCTION("""COMPUTED_VALUE"""),"Blotter")</f>
        <v>Blotter</v>
      </c>
      <c r="B622" s="0" t="str">
        <f>IFERROR(__xludf.DUMMYFUNCTION("""COMPUTED_VALUE"""),"SaveOrRemoveInSummaryTab")</f>
        <v>SaveOrRemoveInSummaryTab</v>
      </c>
      <c r="C622" s="0" t="str">
        <f>IFERROR(__xludf.DUMMYFUNCTION("""COMPUTED_VALUE"""),"1w2lTzhhnevYZjNuQsbEfjU06TK5bPsmZrffn3PWjstA")</f>
        <v>1w2lTzhhnevYZjNuQsbEfjU06TK5bPsmZrffn3PWjstA</v>
      </c>
    </row>
    <row r="623" ht="15.75" customHeight="1">
      <c r="A623" s="0" t="str">
        <f>IFERROR(__xludf.DUMMYFUNCTION("""COMPUTED_VALUE"""),"Blotter")</f>
        <v>Blotter</v>
      </c>
      <c r="B623" s="0" t="str">
        <f>IFERROR(__xludf.DUMMYFUNCTION("""COMPUTED_VALUE"""),"SaveOrRemoveInWorkingSubsTab")</f>
        <v>SaveOrRemoveInWorkingSubsTab</v>
      </c>
      <c r="C623" s="0" t="str">
        <f>IFERROR(__xludf.DUMMYFUNCTION("""COMPUTED_VALUE"""),"1pTm3IssLBKuCHCVwzzjA4Y-2hzUGPXPx9Or-EGngy50")</f>
        <v>1pTm3IssLBKuCHCVwzzjA4Y-2hzUGPXPx9Or-EGngy50</v>
      </c>
    </row>
    <row r="624" ht="15.75" customHeight="1">
      <c r="A624" s="0" t="str">
        <f>IFERROR(__xludf.DUMMYFUNCTION("""COMPUTED_VALUE"""),"Blotter")</f>
        <v>Blotter</v>
      </c>
      <c r="B624" s="0" t="str">
        <f>IFERROR(__xludf.DUMMYFUNCTION("""COMPUTED_VALUE"""),"SelectCheckBoxOnOrderGrid")</f>
        <v>SelectCheckBoxOnOrderGrid</v>
      </c>
      <c r="C624" s="0" t="str">
        <f>IFERROR(__xludf.DUMMYFUNCTION("""COMPUTED_VALUE"""),"1pBoTKoxm2i8Grrd5C95OVH3v8ny3DiEsw2du30G_8Og")</f>
        <v>1pBoTKoxm2i8Grrd5C95OVH3v8ny3DiEsw2du30G_8Og</v>
      </c>
    </row>
    <row r="625" ht="15.75" customHeight="1">
      <c r="A625" s="0" t="str">
        <f>IFERROR(__xludf.DUMMYFUNCTION("""COMPUTED_VALUE"""),"Compliance")</f>
        <v>Compliance</v>
      </c>
      <c r="B625" s="0" t="str">
        <f>IFERROR(__xludf.DUMMYFUNCTION("""COMPUTED_VALUE"""),"RestartReleasesAndServices")</f>
        <v>RestartReleasesAndServices</v>
      </c>
      <c r="C625" s="0" t="str">
        <f>IFERROR(__xludf.DUMMYFUNCTION("""COMPUTED_VALUE"""),"19yYT51s3MQyYorKH4wk_SdxFAdVT_LG3M60cam5_IiY")</f>
        <v>19yYT51s3MQyYorKH4wk_SdxFAdVT_LG3M60cam5_IiY</v>
      </c>
    </row>
    <row r="626" ht="15.75" customHeight="1">
      <c r="A626" s="0" t="str">
        <f>IFERROR(__xludf.DUMMYFUNCTION("""COMPUTED_VALUE"""),"PTT")</f>
        <v>PTT</v>
      </c>
      <c r="B626" s="0" t="str">
        <f>IFERROR(__xludf.DUMMYFUNCTION("""COMPUTED_VALUE"""),"AutoStageImportFromPTTExport")</f>
        <v>AutoStageImportFromPTTExport</v>
      </c>
      <c r="C626" s="0" t="str">
        <f>IFERROR(__xludf.DUMMYFUNCTION("""COMPUTED_VALUE"""),"Undefined")</f>
        <v>Undefined</v>
      </c>
    </row>
    <row r="627" ht="15.75" customHeight="1">
      <c r="A627" s="0" t="str">
        <f>IFERROR(__xludf.DUMMYFUNCTION("""COMPUTED_VALUE"""),"Closing")</f>
        <v>Closing</v>
      </c>
      <c r="B627" s="0" t="str">
        <f>IFERROR(__xludf.DUMMYFUNCTION("""COMPUTED_VALUE"""),"FilterClosing")</f>
        <v>FilterClosing</v>
      </c>
      <c r="C627" s="0" t="str">
        <f>IFERROR(__xludf.DUMMYFUNCTION("""COMPUTED_VALUE"""),"1jVBqTixWDU8JyJbGKGBtrJQjm_NeYTaz3wu41AO1fk8")</f>
        <v>1jVBqTixWDU8JyJbGKGBtrJQjm_NeYTaz3wu41AO1fk8</v>
      </c>
    </row>
    <row r="628" ht="15.75" customHeight="1">
      <c r="A628" s="0" t="str">
        <f>IFERROR(__xludf.DUMMYFUNCTION("""COMPUTED_VALUE"""),"MultiTradingTicket")</f>
        <v>MultiTradingTicket</v>
      </c>
      <c r="B628" s="0" t="str">
        <f>IFERROR(__xludf.DUMMYFUNCTION("""COMPUTED_VALUE"""),"BulkEditUpdateFromMTT")</f>
        <v>BulkEditUpdateFromMTT</v>
      </c>
      <c r="C628" s="0" t="str">
        <f>IFERROR(__xludf.DUMMYFUNCTION("""COMPUTED_VALUE"""),"1PXjnQRFWRpATbYq-3yGKHrs-7O07blOuuM8BjzF_UGs")</f>
        <v>1PXjnQRFWRpATbYq-3yGKHrs-7O07blOuuM8BjzF_UGs</v>
      </c>
    </row>
    <row r="629" ht="15.75" customHeight="1">
      <c r="A629" s="0" t="str">
        <f>IFERROR(__xludf.DUMMYFUNCTION("""COMPUTED_VALUE"""),"MultiTradingTicket")</f>
        <v>MultiTradingTicket</v>
      </c>
      <c r="B629" s="0" t="str">
        <f>IFERROR(__xludf.DUMMYFUNCTION("""COMPUTED_VALUE"""),"BulkChangeCreateStageOrder")</f>
        <v>BulkChangeCreateStageOrder</v>
      </c>
      <c r="C629" s="0" t="str">
        <f>IFERROR(__xludf.DUMMYFUNCTION("""COMPUTED_VALUE"""),"1XpPlMHrXIkdrEc4GgpL4YGWBTY6izs1MK6Jy7Z3jR-Q")</f>
        <v>1XpPlMHrXIkdrEc4GgpL4YGWBTY6izs1MK6Jy7Z3jR-Q</v>
      </c>
    </row>
    <row r="630" ht="15.75" customHeight="1">
      <c r="A630" s="0" t="str">
        <f>IFERROR(__xludf.DUMMYFUNCTION("""COMPUTED_VALUE"""),"MultiTradingTicket")</f>
        <v>MultiTradingTicket</v>
      </c>
      <c r="B630" s="0" t="str">
        <f>IFERROR(__xludf.DUMMYFUNCTION("""COMPUTED_VALUE"""),"BulkUpdateUsingMTT")</f>
        <v>BulkUpdateUsingMTT</v>
      </c>
      <c r="C630" s="0" t="str">
        <f>IFERROR(__xludf.DUMMYFUNCTION("""COMPUTED_VALUE"""),"1z5unUI4CMAB-Y1nnow1quueM3t3SDsE_5x7GoqlPJdo")</f>
        <v>1z5unUI4CMAB-Y1nnow1quueM3t3SDsE_5x7GoqlPJdo</v>
      </c>
    </row>
    <row r="631" ht="15.75" customHeight="1">
      <c r="A631" s="0" t="str">
        <f>IFERROR(__xludf.DUMMYFUNCTION("""COMPUTED_VALUE"""),"PranaClient")</f>
        <v>PranaClient</v>
      </c>
      <c r="B631" s="0" t="str">
        <f>IFERROR(__xludf.DUMMYFUNCTION("""COMPUTED_VALUE"""),"CompareXML")</f>
        <v>CompareXML</v>
      </c>
      <c r="C631" s="0" t="str">
        <f>IFERROR(__xludf.DUMMYFUNCTION("""COMPUTED_VALUE"""),"1UbkLLvFc4omZgamtV9FPjYfaLw9XLbjQYRKGGO3lyPE")</f>
        <v>1UbkLLvFc4omZgamtV9FPjYfaLw9XLbjQYRKGGO3lyPE</v>
      </c>
    </row>
    <row r="632" ht="15.75" customHeight="1">
      <c r="A632" s="0" t="str">
        <f>IFERROR(__xludf.DUMMYFUNCTION("""COMPUTED_VALUE"""),"Admin")</f>
        <v>Admin</v>
      </c>
      <c r="B632" s="0" t="str">
        <f>IFERROR(__xludf.DUMMYFUNCTION("""COMPUTED_VALUE"""),"SetMasterFundOnTT")</f>
        <v>SetMasterFundOnTT</v>
      </c>
      <c r="C632" s="0" t="str">
        <f>IFERROR(__xludf.DUMMYFUNCTION("""COMPUTED_VALUE"""),"1LK3f7jczHzLHkY7I_RK-58BnR45KNGpebn0hHO3eSgo")</f>
        <v>1LK3f7jczHzLHkY7I_RK-58BnR45KNGpebn0hHO3eSgo</v>
      </c>
    </row>
    <row r="633" ht="15.75" customHeight="1">
      <c r="A633" s="0" t="str">
        <f>IFERROR(__xludf.DUMMYFUNCTION("""COMPUTED_VALUE"""),"TradingTicket")</f>
        <v>TradingTicket</v>
      </c>
      <c r="B633" s="0" t="str">
        <f>IFERROR(__xludf.DUMMYFUNCTION("""COMPUTED_VALUE"""),"VerifyCustomAllocationonTT")</f>
        <v>VerifyCustomAllocationonTT</v>
      </c>
      <c r="C633" s="0" t="str">
        <f>IFERROR(__xludf.DUMMYFUNCTION("""COMPUTED_VALUE"""),"10ici7f6_wpSFiwpn22nHeSOFsZ1dU_pzk6nMLQKHIRY")</f>
        <v>10ici7f6_wpSFiwpn22nHeSOFsZ1dU_pzk6nMLQKHIRY</v>
      </c>
    </row>
    <row r="634" ht="15.75" customHeight="1">
      <c r="A634" s="0" t="str">
        <f>IFERROR(__xludf.DUMMYFUNCTION("""COMPUTED_VALUE"""),"Blotter")</f>
        <v>Blotter</v>
      </c>
      <c r="B634" s="0" t="str">
        <f>IFERROR(__xludf.DUMMYFUNCTION("""COMPUTED_VALUE"""),"ReAllocateFromBlotterByAllocate")</f>
        <v>ReAllocateFromBlotterByAllocate</v>
      </c>
      <c r="C634" s="0" t="str">
        <f>IFERROR(__xludf.DUMMYFUNCTION("""COMPUTED_VALUE"""),"1RA-PKK7Kzfl_fgl03zAC8sp1VOE9HjaY5EL7ItkPBK4")</f>
        <v>1RA-PKK7Kzfl_fgl03zAC8sp1VOE9HjaY5EL7ItkPBK4</v>
      </c>
    </row>
    <row r="635" ht="15.75" customHeight="1">
      <c r="A635" s="0" t="str">
        <f>IFERROR(__xludf.DUMMYFUNCTION("""COMPUTED_VALUE"""),"Simulator")</f>
        <v>Simulator</v>
      </c>
      <c r="B635" s="0" t="str">
        <f>IFERROR(__xludf.DUMMYFUNCTION("""COMPUTED_VALUE"""),"VerifyTagInAllFixLogs")</f>
        <v>VerifyTagInAllFixLogs</v>
      </c>
      <c r="C635" s="0" t="str">
        <f>IFERROR(__xludf.DUMMYFUNCTION("""COMPUTED_VALUE"""),"1jKDiJYpLWAfkSGRoeJ_liPC1ZaTdCTC5AqjDzj9I61Q")</f>
        <v>1jKDiJYpLWAfkSGRoeJ_liPC1ZaTdCTC5AqjDzj9I61Q</v>
      </c>
    </row>
    <row r="636" ht="15.75" customHeight="1">
      <c r="A636" s="0" t="str">
        <f>IFERROR(__xludf.DUMMYFUNCTION("""COMPUTED_VALUE"""),"PranaClient")</f>
        <v>PranaClient</v>
      </c>
      <c r="B636" s="0" t="str">
        <f>IFERROR(__xludf.DUMMYFUNCTION("""COMPUTED_VALUE"""),"LoginClient")</f>
        <v>LoginClient</v>
      </c>
      <c r="C636" s="0" t="str">
        <f>IFERROR(__xludf.DUMMYFUNCTION("""COMPUTED_VALUE"""),"15s_MBgGJ0dfZ8sabmSGlh8UnFHbnEhlY_4upAbjXzmg")</f>
        <v>15s_MBgGJ0dfZ8sabmSGlh8UnFHbnEhlY_4upAbjXzmg</v>
      </c>
    </row>
    <row r="637" ht="15.75" customHeight="1">
      <c r="A637" s="0" t="str">
        <f>IFERROR(__xludf.DUMMYFUNCTION("""COMPUTED_VALUE"""),"PortfolioManagement")</f>
        <v>PortfolioManagement</v>
      </c>
      <c r="B637" s="0" t="str">
        <f>IFERROR(__xludf.DUMMYFUNCTION("""COMPUTED_VALUE"""),"SortAndVerifyPM")</f>
        <v>SortAndVerifyPM</v>
      </c>
      <c r="C637" s="0" t="str">
        <f>IFERROR(__xludf.DUMMYFUNCTION("""COMPUTED_VALUE"""),"1TqhiATlN6jhyI-VeiodnGdVQyLGZiu97o5NWbxOWr9s")</f>
        <v>1TqhiATlN6jhyI-VeiodnGdVQyLGZiu97o5NWbxOWr9s</v>
      </c>
    </row>
    <row r="638" ht="15.75" customHeight="1">
      <c r="A638" s="0" t="str">
        <f>IFERROR(__xludf.DUMMYFUNCTION("""COMPUTED_VALUE"""),"PortfolioManagement")</f>
        <v>PortfolioManagement</v>
      </c>
      <c r="B638" s="0" t="str">
        <f>IFERROR(__xludf.DUMMYFUNCTION("""COMPUTED_VALUE"""),"OpenPIFromPM")</f>
        <v>OpenPIFromPM</v>
      </c>
      <c r="C638" s="0" t="str">
        <f>IFERROR(__xludf.DUMMYFUNCTION("""COMPUTED_VALUE"""),"1dPK0Rp0k7gPTdi7pAXxULvjivbVrTViWALmSew6wF-0")</f>
        <v>1dPK0Rp0k7gPTdi7pAXxULvjivbVrTViWALmSew6wF-0</v>
      </c>
    </row>
    <row r="639" ht="15.75" customHeight="1">
      <c r="A639" s="0" t="str">
        <f>IFERROR(__xludf.DUMMYFUNCTION("""COMPUTED_VALUE"""),"MultiTradingTicket")</f>
        <v>MultiTradingTicket</v>
      </c>
      <c r="B639" s="0" t="str">
        <f>IFERROR(__xludf.DUMMYFUNCTION("""COMPUTED_VALUE"""),"RefreshPriceUsingMTT")</f>
        <v>RefreshPriceUsingMTT</v>
      </c>
      <c r="C639" s="0" t="str">
        <f>IFERROR(__xludf.DUMMYFUNCTION("""COMPUTED_VALUE"""),"178NOc-LsqpjkyVkksd_XD-EQcokXBH-1NEzm5ceoSAk")</f>
        <v>178NOc-LsqpjkyVkksd_XD-EQcokXBH-1NEzm5ceoSAk</v>
      </c>
    </row>
    <row r="640" ht="15.75" customHeight="1">
      <c r="A640" s="0" t="str">
        <f>IFERROR(__xludf.DUMMYFUNCTION("""COMPUTED_VALUE"""),"MultiTradingTicket")</f>
        <v>MultiTradingTicket</v>
      </c>
      <c r="B640" s="0" t="str">
        <f>IFERROR(__xludf.DUMMYFUNCTION("""COMPUTED_VALUE"""),"VerifyMTT")</f>
        <v>VerifyMTT</v>
      </c>
      <c r="C640" s="0" t="str">
        <f>IFERROR(__xludf.DUMMYFUNCTION("""COMPUTED_VALUE"""),"1Vv-FRtdz-znMa6eWfAZqSH3k0FWRSgYKVdL6W0eCjF8")</f>
        <v>1Vv-FRtdz-znMa6eWfAZqSH3k0FWRSgYKVdL6W0eCjF8</v>
      </c>
    </row>
    <row r="641" ht="15.75" customHeight="1">
      <c r="A641" s="0" t="str">
        <f>IFERROR(__xludf.DUMMYFUNCTION("""COMPUTED_VALUE"""),"Simulator")</f>
        <v>Simulator</v>
      </c>
      <c r="B641" s="0" t="str">
        <f>IFERROR(__xludf.DUMMYFUNCTION("""COMPUTED_VALUE"""),"SetToAutomaticResponse")</f>
        <v>SetToAutomaticResponse</v>
      </c>
      <c r="C641" s="0" t="str">
        <f>IFERROR(__xludf.DUMMYFUNCTION("""COMPUTED_VALUE"""),"undefined")</f>
        <v>undefined</v>
      </c>
    </row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>
    <mergeCell ref="A1:F1"/>
  </mergeCells>
  <headerFooter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C22"/>
  <sheetViews>
    <sheetView workbookViewId="0"/>
  </sheetViews>
  <sheetFormatPr customHeight="1" defaultColWidth="15.13" defaultRowHeight="15.0"/>
  <cols>
    <col min="1" max="1" width="21.25" customWidth="1"/>
    <col min="2" max="2" width="42.63" customWidth="1"/>
    <col min="3" max="23" width="12.63" customWidth="1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>
    <mergeCell ref="A1:C1"/>
  </mergeCells>
  <headerFooter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Z4"/>
  <sheetViews>
    <sheetView workbookViewId="0"/>
  </sheetViews>
  <sheetFormatPr customHeight="1" defaultColWidth="15.13" defaultRowHeight="15.0"/>
  <cols>
    <col min="4" max="4" width="33.63" customWidth="1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s="0" t="str">
        <f>IFERROR(__xludf.DUMMYFUNCTION("IMPORTRANGE('_Settings'!B4,""Master Data!A4:L1000"")"),"#REF!")</f>
        <v>#REF!</v>
      </c>
    </row>
  </sheetData>
  <mergeCells>
    <mergeCell ref="A1:F1"/>
  </mergeCells>
  <headerFooter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 t="s">
        <v>17</v>
      </c>
      <c r="D6" s="13">
        <v>100</v>
      </c>
      <c r="E6" s="31"/>
      <c r="F6" s="8"/>
      <c r="G6" s="8"/>
      <c r="H6" s="8"/>
      <c r="I6" s="8"/>
      <c r="J6" s="13">
        <v>10</v>
      </c>
      <c r="K6" s="8"/>
      <c r="L6" s="8"/>
      <c r="M6" s="8"/>
      <c r="N6" s="8"/>
      <c r="O6" s="8"/>
    </row>
    <row r="7" ht="15.75" customHeight="1">
      <c r="A7" s="8"/>
      <c r="B7" s="13" t="s">
        <v>18</v>
      </c>
      <c r="C7" s="13" t="s">
        <v>17</v>
      </c>
      <c r="D7" s="13">
        <v>100</v>
      </c>
      <c r="E7" s="8"/>
      <c r="F7" s="8"/>
      <c r="G7" s="8"/>
      <c r="H7" s="8"/>
      <c r="I7" s="8"/>
      <c r="J7" s="13">
        <v>10</v>
      </c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CreateDoneAwayOrder!$4:$4</formula1>
    </dataValidation>
  </dataValidations>
  <headerFooter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19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IFERROR(__xludf.DUMMYFUNCTION("IF(C3="""","""",Transpose(IMPORTRANGE('_Settings'!$B$3,C3&amp;""!A4:A1000"")))"),"PricingInput")</f>
        <v>PricingInput</v>
      </c>
      <c r="C4" s="25" t="str">
        <f>IFERROR(__xludf.DUMMYFUNCTION("""COMPUTED_VALUE"""),"UpdateSharesOutstanding")</f>
        <v>UpdateSharesOutstanding</v>
      </c>
      <c r="D4" s="25" t="str">
        <f>IFERROR(__xludf.DUMMYFUNCTION("""COMPUTED_VALUE"""),"UncheckDividendYield")</f>
        <v>UncheckDividendYield</v>
      </c>
      <c r="E4" s="25" t="str">
        <f>IFERROR(__xludf.DUMMYFUNCTION("""COMPUTED_VALUE"""),"EODTPreferences")</f>
        <v>EODTPreferences</v>
      </c>
      <c r="F4" s="25" t="str">
        <f>IFERROR(__xludf.DUMMYFUNCTION("""COMPUTED_VALUE"""),"LiveData")</f>
        <v>LiveData</v>
      </c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IFERROR(__xludf.DUMMYFUNCTION("""COMPUTED_VALUE"""),"Symbol")</f>
        <v>Symbol</v>
      </c>
      <c r="C5" s="28" t="str">
        <f>IFERROR(__xludf.DUMMYFUNCTION("""COMPUTED_VALUE"""),"User Px")</f>
        <v>User Px</v>
      </c>
      <c r="D5" s="28" t="str">
        <f>IFERROR(__xludf.DUMMYFUNCTION("""COMPUTED_VALUE"""),"Asset Class")</f>
        <v>Asset Class</v>
      </c>
      <c r="E5" s="28" t="str">
        <f>IFERROR(__xludf.DUMMYFUNCTION("""COMPUTED_VALUE"""),"Volatility(%)")</f>
        <v>Volatility(%)</v>
      </c>
      <c r="F5" s="29" t="str">
        <f>IFERROR(__xludf.DUMMYFUNCTION("""COMPUTED_VALUE"""),"Historical Volatility")</f>
        <v>Historical Volatility</v>
      </c>
      <c r="G5" s="28" t="str">
        <f>IFERROR(__xludf.DUMMYFUNCTION("""COMPUTED_VALUE"""),"User Volatility")</f>
        <v>User Volatility</v>
      </c>
      <c r="H5" s="28" t="str">
        <f>IFERROR(__xludf.DUMMYFUNCTION("""COMPUTED_VALUE"""),"Interest Rate")</f>
        <v>Interest Rate</v>
      </c>
      <c r="I5" s="28" t="str">
        <f>IFERROR(__xludf.DUMMYFUNCTION("""COMPUTED_VALUE"""),"User Interest Rate")</f>
        <v>User Interest Rate</v>
      </c>
      <c r="J5" s="28" t="str">
        <f>IFERROR(__xludf.DUMMYFUNCTION("""COMPUTED_VALUE"""),"Dividend Yield")</f>
        <v>Dividend Yield</v>
      </c>
      <c r="K5" s="28" t="str">
        <f>IFERROR(__xludf.DUMMYFUNCTION("""COMPUTED_VALUE"""),"User Dividend Yield")</f>
        <v>User Dividend Yield</v>
      </c>
      <c r="L5" s="28" t="str">
        <f>IFERROR(__xludf.DUMMYFUNCTION("""COMPUTED_VALUE"""),"Actual Delta")</f>
        <v>Actual Delta</v>
      </c>
      <c r="M5" s="28" t="str">
        <f>IFERROR(__xludf.DUMMYFUNCTION("""COMPUTED_VALUE"""),"User Delta")</f>
        <v>User Delta</v>
      </c>
      <c r="N5" s="28" t="str">
        <f>IFERROR(__xludf.DUMMYFUNCTION("""COMPUTED_VALUE"""),"Selected Px")</f>
        <v>Selected Px</v>
      </c>
      <c r="O5" s="28" t="str">
        <f>IFERROR(__xludf.DUMMYFUNCTION("""COMPUTED_VALUE"""),"Forward Points")</f>
        <v>Forward Points</v>
      </c>
      <c r="P5" s="28" t="str">
        <f>IFERROR(__xludf.DUMMYFUNCTION("""COMPUTED_VALUE"""),"Shares Outstanding")</f>
        <v>Shares Outstanding</v>
      </c>
      <c r="Q5" s="28" t="str">
        <f>IFERROR(__xludf.DUMMYFUNCTION("""COMPUTED_VALUE"""),"User Shares Outstanding")</f>
        <v>User Shares Outstanding</v>
      </c>
      <c r="R5" s="28" t="str">
        <f>IFERROR(__xludf.DUMMYFUNCTION("""COMPUTED_VALUE"""),"LastPriceUsed")</f>
        <v>LastPriceUsed</v>
      </c>
      <c r="S5" s="28" t="str">
        <f>IFERROR(__xludf.DUMMYFUNCTION("""COMPUTED_VALUE"""),"VolatilityUsed")</f>
        <v>VolatilityUsed</v>
      </c>
      <c r="T5" s="30" t="str">
        <f>IFERROR(__xludf.DUMMYFUNCTION("""COMPUTED_VALUE"""),"IntRateUsed")</f>
        <v>IntRateUsed</v>
      </c>
      <c r="U5" s="30" t="str">
        <f>IFERROR(__xludf.DUMMYFUNCTION("""COMPUTED_VALUE"""),"SM Shares Outstanding")</f>
        <v>SM Shares Outstanding</v>
      </c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>
        <v>10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3" t="s">
        <v>18</v>
      </c>
      <c r="C7" s="13">
        <v>10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PricingInput!$4:$4</formula1>
    </dataValidation>
  </dataValidations>
  <headerFooter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IFERROR(__xludf.DUMMYFUNCTION("""COMPUTED_VALUE"""),"Select Date")</f>
        <v>Select Date</v>
      </c>
      <c r="C5" s="28" t="str">
        <f>IFERROR(__xludf.DUMMYFUNCTION("""COMPUTED_VALUE"""),"Copy From")</f>
        <v>Copy From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2"/>
      <c r="B6" s="33">
        <f>TODAY()-1</f>
        <v>45070</v>
      </c>
      <c r="C6" s="33">
        <f>TODAY()</f>
        <v>45071</v>
      </c>
      <c r="D6" s="32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GetDailyCash!$4:$4</formula1>
    </dataValidation>
  </dataValidations>
  <headerFooter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IFERROR(__xludf.DUMMYFUNCTION("""COMPUTED_VALUE"""),"Account")</f>
        <v>Account</v>
      </c>
      <c r="C5" s="28" t="str">
        <f>IFERROR(__xludf.DUMMYFUNCTION("""COMPUTED_VALUE"""),"Local Currency")</f>
        <v>Local Currency</v>
      </c>
      <c r="D5" s="28" t="str">
        <f>IFERROR(__xludf.DUMMYFUNCTION("""COMPUTED_VALUE"""),"Cash Value Local")</f>
        <v>Cash Value Local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23</v>
      </c>
      <c r="C6" s="13" t="s">
        <v>24</v>
      </c>
      <c r="D6" s="13">
        <v>10000</v>
      </c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vailable step for selected module" sqref="E3">
      <formula1>UpdateMultipleDailyCash!$4:$4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26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IFERROR(__xludf.DUMMYFUNCTION("IF(C3="""","""",Transpose(IMPORTRANGE('_Settings'!$B$3,C3&amp;""!A4:A1000"")))"),"EditRebalanceGrid")</f>
        <v>EditRebalanceGrid</v>
      </c>
      <c r="C4" s="25" t="str">
        <f>IFERROR(__xludf.DUMMYFUNCTION("""COMPUTED_VALUE"""),"AddCustomCashUsingImport")</f>
        <v>AddCustomCashUsingImport</v>
      </c>
      <c r="D4" s="25" t="str">
        <f>IFERROR(__xludf.DUMMYFUNCTION("""COMPUTED_VALUE"""),"CloseRebalancer")</f>
        <v>CloseRebalancer</v>
      </c>
      <c r="E4" s="25" t="str">
        <f>IFERROR(__xludf.DUMMYFUNCTION("""COMPUTED_VALUE"""),"SymbologyChangeRB")</f>
        <v>SymbologyChangeRB</v>
      </c>
      <c r="F4" s="25" t="str">
        <f>IFERROR(__xludf.DUMMYFUNCTION("""COMPUTED_VALUE"""),"AddUserAdjustedNAV")</f>
        <v>AddUserAdjustedNAV</v>
      </c>
      <c r="G4" s="25" t="str">
        <f>IFERROR(__xludf.DUMMYFUNCTION("""COMPUTED_VALUE"""),"RebalanceViaBloomberg")</f>
        <v>RebalanceViaBloomberg</v>
      </c>
      <c r="H4" s="25" t="str">
        <f>IFERROR(__xludf.DUMMYFUNCTION("""COMPUTED_VALUE"""),"SendtoStaging")</f>
        <v>SendtoStaging</v>
      </c>
      <c r="I4" s="25" t="str">
        <f>IFERROR(__xludf.DUMMYFUNCTION("""COMPUTED_VALUE"""),"SendToStagingExport")</f>
        <v>SendToStagingExport</v>
      </c>
      <c r="J4" s="25" t="str">
        <f>IFERROR(__xludf.DUMMYFUNCTION("""COMPUTED_VALUE"""),"RefreshGridData")</f>
        <v>RefreshGridData</v>
      </c>
      <c r="K4" s="25" t="str">
        <f>IFERROR(__xludf.DUMMYFUNCTION("""COMPUTED_VALUE"""),"LockandUnlockGridData")</f>
        <v>LockandUnlockGridData</v>
      </c>
      <c r="L4" s="25" t="str">
        <f>IFERROR(__xludf.DUMMYFUNCTION("""COMPUTED_VALUE"""),"ModelPortfolio")</f>
        <v>ModelPortfolio</v>
      </c>
      <c r="M4" s="25" t="str">
        <f>IFERROR(__xludf.DUMMYFUNCTION("""COMPUTED_VALUE"""),"ModifyRebalance")</f>
        <v>ModifyRebalance</v>
      </c>
      <c r="N4" s="25" t="str">
        <f>IFERROR(__xludf.DUMMYFUNCTION("""COMPUTED_VALUE"""),"ClearCalculations")</f>
        <v>ClearCalculations</v>
      </c>
      <c r="O4" s="25" t="str">
        <f>IFERROR(__xludf.DUMMYFUNCTION("""COMPUTED_VALUE"""),"CheckBasketCompliance")</f>
        <v>CheckBasketCompliance</v>
      </c>
      <c r="P4" s="26" t="str">
        <f>IFERROR(__xludf.DUMMYFUNCTION("""COMPUTED_VALUE"""),"RebalanceAcrossSecurities")</f>
        <v>RebalanceAcrossSecurities</v>
      </c>
      <c r="Q4" s="26" t="str">
        <f>IFERROR(__xludf.DUMMYFUNCTION("""COMPUTED_VALUE"""),"ImportModelPortfolio")</f>
        <v>ImportModelPortfolio</v>
      </c>
      <c r="R4" s="26" t="str">
        <f>IFERROR(__xludf.DUMMYFUNCTION("""COMPUTED_VALUE"""),"RebalancePreference")</f>
        <v>RebalancePreference</v>
      </c>
      <c r="S4" s="26" t="str">
        <f>IFERROR(__xludf.DUMMYFUNCTION("""COMPUTED_VALUE"""),"EnableComplianceTab")</f>
        <v>EnableComplianceTab</v>
      </c>
      <c r="T4" s="26" t="str">
        <f>IFERROR(__xludf.DUMMYFUNCTION("""COMPUTED_VALUE"""),"RunRebalance")</f>
        <v>RunRebalance</v>
      </c>
      <c r="U4" s="26" t="str">
        <f>IFERROR(__xludf.DUMMYFUNCTION("""COMPUTED_VALUE"""),"VerifyGridData")</f>
        <v>VerifyGridData</v>
      </c>
      <c r="V4" s="26" t="str">
        <f>IFERROR(__xludf.DUMMYFUNCTION("""COMPUTED_VALUE"""),"AddCash")</f>
        <v>AddCash</v>
      </c>
      <c r="W4" s="26" t="str">
        <f>IFERROR(__xludf.DUMMYFUNCTION("""COMPUTED_VALUE"""),"FetchAccountPositions")</f>
        <v>FetchAccountPositions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IFERROR(__xludf.DUMMYFUNCTION("""COMPUTED_VALUE"""),"Account/Groups")</f>
        <v>Account/Groups</v>
      </c>
      <c r="C5" s="28" t="str">
        <f>IFERROR(__xludf.DUMMYFUNCTION("""COMPUTED_VALUE"""),"Account Positions")</f>
        <v>Account Positions</v>
      </c>
      <c r="D5" s="28" t="str">
        <f>IFERROR(__xludf.DUMMYFUNCTION("""COMPUTED_VALUE"""),"Calculation Level")</f>
        <v>Calculation Level</v>
      </c>
      <c r="E5" s="28" t="str">
        <f>IFERROR(__xludf.DUMMYFUNCTION("""COMPUTED_VALUE"""),"Refresh")</f>
        <v>Refresh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23</v>
      </c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FetchAccountPositions!$4:$4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IFERROR(__xludf.DUMMYFUNCTION("IF(C3="""","""",Transpose(IMPORTRANGE('_Settings'!$B$3,C3&amp;""!A4:A1000"")))"),"EditRebalanceGrid")</f>
        <v>EditRebalanceGrid</v>
      </c>
      <c r="C4" s="25" t="str">
        <f>IFERROR(__xludf.DUMMYFUNCTION("""COMPUTED_VALUE"""),"AddCustomCashUsingImport")</f>
        <v>AddCustomCashUsingImport</v>
      </c>
      <c r="D4" s="25" t="str">
        <f>IFERROR(__xludf.DUMMYFUNCTION("""COMPUTED_VALUE"""),"CloseRebalancer")</f>
        <v>CloseRebalancer</v>
      </c>
      <c r="E4" s="25" t="str">
        <f>IFERROR(__xludf.DUMMYFUNCTION("""COMPUTED_VALUE"""),"SymbologyChangeRB")</f>
        <v>SymbologyChangeRB</v>
      </c>
      <c r="F4" s="25" t="str">
        <f>IFERROR(__xludf.DUMMYFUNCTION("""COMPUTED_VALUE"""),"AddUserAdjustedNAV")</f>
        <v>AddUserAdjustedNAV</v>
      </c>
      <c r="G4" s="25" t="str">
        <f>IFERROR(__xludf.DUMMYFUNCTION("""COMPUTED_VALUE"""),"RebalanceViaBloomberg")</f>
        <v>RebalanceViaBloomberg</v>
      </c>
      <c r="H4" s="25" t="str">
        <f>IFERROR(__xludf.DUMMYFUNCTION("""COMPUTED_VALUE"""),"SendtoStaging")</f>
        <v>SendtoStaging</v>
      </c>
      <c r="I4" s="25" t="str">
        <f>IFERROR(__xludf.DUMMYFUNCTION("""COMPUTED_VALUE"""),"SendToStagingExport")</f>
        <v>SendToStagingExport</v>
      </c>
      <c r="J4" s="25" t="str">
        <f>IFERROR(__xludf.DUMMYFUNCTION("""COMPUTED_VALUE"""),"RefreshGridData")</f>
        <v>RefreshGridData</v>
      </c>
      <c r="K4" s="25" t="str">
        <f>IFERROR(__xludf.DUMMYFUNCTION("""COMPUTED_VALUE"""),"LockandUnlockGridData")</f>
        <v>LockandUnlockGridData</v>
      </c>
      <c r="L4" s="25" t="str">
        <f>IFERROR(__xludf.DUMMYFUNCTION("""COMPUTED_VALUE"""),"ModelPortfolio")</f>
        <v>ModelPortfolio</v>
      </c>
      <c r="M4" s="25" t="str">
        <f>IFERROR(__xludf.DUMMYFUNCTION("""COMPUTED_VALUE"""),"ModifyRebalance")</f>
        <v>ModifyRebalance</v>
      </c>
      <c r="N4" s="25" t="str">
        <f>IFERROR(__xludf.DUMMYFUNCTION("""COMPUTED_VALUE"""),"ClearCalculations")</f>
        <v>ClearCalculations</v>
      </c>
      <c r="O4" s="25" t="str">
        <f>IFERROR(__xludf.DUMMYFUNCTION("""COMPUTED_VALUE"""),"CheckBasketCompliance")</f>
        <v>CheckBasketCompliance</v>
      </c>
      <c r="P4" s="26" t="str">
        <f>IFERROR(__xludf.DUMMYFUNCTION("""COMPUTED_VALUE"""),"RebalanceAcrossSecurities")</f>
        <v>RebalanceAcrossSecurities</v>
      </c>
      <c r="Q4" s="26" t="str">
        <f>IFERROR(__xludf.DUMMYFUNCTION("""COMPUTED_VALUE"""),"ImportModelPortfolio")</f>
        <v>ImportModelPortfolio</v>
      </c>
      <c r="R4" s="26" t="str">
        <f>IFERROR(__xludf.DUMMYFUNCTION("""COMPUTED_VALUE"""),"RebalancePreference")</f>
        <v>RebalancePreference</v>
      </c>
      <c r="S4" s="26" t="str">
        <f>IFERROR(__xludf.DUMMYFUNCTION("""COMPUTED_VALUE"""),"EnableComplianceTab")</f>
        <v>EnableComplianceTab</v>
      </c>
      <c r="T4" s="26" t="str">
        <f>IFERROR(__xludf.DUMMYFUNCTION("""COMPUTED_VALUE"""),"RunRebalance")</f>
        <v>RunRebalance</v>
      </c>
      <c r="U4" s="26" t="str">
        <f>IFERROR(__xludf.DUMMYFUNCTION("""COMPUTED_VALUE"""),"VerifyGridData")</f>
        <v>VerifyGridData</v>
      </c>
      <c r="V4" s="26" t="str">
        <f>IFERROR(__xludf.DUMMYFUNCTION("""COMPUTED_VALUE"""),"AddCash")</f>
        <v>AddCash</v>
      </c>
      <c r="W4" s="26" t="str">
        <f>IFERROR(__xludf.DUMMYFUNCTION("""COMPUTED_VALUE"""),"FetchAccountPositions")</f>
        <v>FetchAccountPositions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IFERROR(__xludf.DUMMYFUNCTION("""COMPUTED_VALUE"""),"Cash Flow(USD)")</f>
        <v>Cash Flow(USD)</v>
      </c>
      <c r="C5" s="28" t="str">
        <f>IFERROR(__xludf.DUMMYFUNCTION("""COMPUTED_VALUE"""),"Cash Flow Impact on NAV")</f>
        <v>Cash Flow Impact on NAV</v>
      </c>
      <c r="D5" s="28" t="str">
        <f>IFERROR(__xludf.DUMMYFUNCTION("""COMPUTED_VALUE"""),"Select Model")</f>
        <v>Select Model</v>
      </c>
      <c r="E5" s="28" t="str">
        <f>IFERROR(__xludf.DUMMYFUNCTION("""COMPUTED_VALUE"""),"Custom Cash Flow")</f>
        <v>Custom Cash Flow</v>
      </c>
      <c r="F5" s="29" t="str">
        <f>IFERROR(__xludf.DUMMYFUNCTION("""COMPUTED_VALUE"""),"MasterFund Groups")</f>
        <v>MasterFund Groups</v>
      </c>
      <c r="G5" s="28" t="str">
        <f>IFERROR(__xludf.DUMMYFUNCTION("""COMPUTED_VALUE"""),"Accounts")</f>
        <v>Accounts</v>
      </c>
      <c r="H5" s="28" t="str">
        <f>IFERROR(__xludf.DUMMYFUNCTION("""COMPUTED_VALUE"""),"Cash Flow Account Wise")</f>
        <v>Cash Flow Account Wise</v>
      </c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>
        <v>10000</v>
      </c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AddCash!$4:$4</formula1>
    </dataValidation>
  </dataValidations>
  <headerFooter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28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IFERROR(__xludf.DUMMYFUNCTION("IF(C3="""","""",Transpose(IMPORTRANGE('_Settings'!$B$3,C3&amp;""!A4:A1000"")))"),"EditRebalanceGrid")</f>
        <v>EditRebalanceGrid</v>
      </c>
      <c r="C4" s="25" t="str">
        <f>IFERROR(__xludf.DUMMYFUNCTION("""COMPUTED_VALUE"""),"AddCustomCashUsingImport")</f>
        <v>AddCustomCashUsingImport</v>
      </c>
      <c r="D4" s="25" t="str">
        <f>IFERROR(__xludf.DUMMYFUNCTION("""COMPUTED_VALUE"""),"CloseRebalancer")</f>
        <v>CloseRebalancer</v>
      </c>
      <c r="E4" s="25" t="str">
        <f>IFERROR(__xludf.DUMMYFUNCTION("""COMPUTED_VALUE"""),"SymbologyChangeRB")</f>
        <v>SymbologyChangeRB</v>
      </c>
      <c r="F4" s="25" t="str">
        <f>IFERROR(__xludf.DUMMYFUNCTION("""COMPUTED_VALUE"""),"AddUserAdjustedNAV")</f>
        <v>AddUserAdjustedNAV</v>
      </c>
      <c r="G4" s="25" t="str">
        <f>IFERROR(__xludf.DUMMYFUNCTION("""COMPUTED_VALUE"""),"RebalanceViaBloomberg")</f>
        <v>RebalanceViaBloomberg</v>
      </c>
      <c r="H4" s="25" t="str">
        <f>IFERROR(__xludf.DUMMYFUNCTION("""COMPUTED_VALUE"""),"SendtoStaging")</f>
        <v>SendtoStaging</v>
      </c>
      <c r="I4" s="25" t="str">
        <f>IFERROR(__xludf.DUMMYFUNCTION("""COMPUTED_VALUE"""),"SendToStagingExport")</f>
        <v>SendToStagingExport</v>
      </c>
      <c r="J4" s="25" t="str">
        <f>IFERROR(__xludf.DUMMYFUNCTION("""COMPUTED_VALUE"""),"RefreshGridData")</f>
        <v>RefreshGridData</v>
      </c>
      <c r="K4" s="25" t="str">
        <f>IFERROR(__xludf.DUMMYFUNCTION("""COMPUTED_VALUE"""),"LockandUnlockGridData")</f>
        <v>LockandUnlockGridData</v>
      </c>
      <c r="L4" s="25" t="str">
        <f>IFERROR(__xludf.DUMMYFUNCTION("""COMPUTED_VALUE"""),"ModelPortfolio")</f>
        <v>ModelPortfolio</v>
      </c>
      <c r="M4" s="25" t="str">
        <f>IFERROR(__xludf.DUMMYFUNCTION("""COMPUTED_VALUE"""),"ModifyRebalance")</f>
        <v>ModifyRebalance</v>
      </c>
      <c r="N4" s="25" t="str">
        <f>IFERROR(__xludf.DUMMYFUNCTION("""COMPUTED_VALUE"""),"ClearCalculations")</f>
        <v>ClearCalculations</v>
      </c>
      <c r="O4" s="25" t="str">
        <f>IFERROR(__xludf.DUMMYFUNCTION("""COMPUTED_VALUE"""),"CheckBasketCompliance")</f>
        <v>CheckBasketCompliance</v>
      </c>
      <c r="P4" s="26" t="str">
        <f>IFERROR(__xludf.DUMMYFUNCTION("""COMPUTED_VALUE"""),"RebalanceAcrossSecurities")</f>
        <v>RebalanceAcrossSecurities</v>
      </c>
      <c r="Q4" s="26" t="str">
        <f>IFERROR(__xludf.DUMMYFUNCTION("""COMPUTED_VALUE"""),"ImportModelPortfolio")</f>
        <v>ImportModelPortfolio</v>
      </c>
      <c r="R4" s="26" t="str">
        <f>IFERROR(__xludf.DUMMYFUNCTION("""COMPUTED_VALUE"""),"RebalancePreference")</f>
        <v>RebalancePreference</v>
      </c>
      <c r="S4" s="26" t="str">
        <f>IFERROR(__xludf.DUMMYFUNCTION("""COMPUTED_VALUE"""),"EnableComplianceTab")</f>
        <v>EnableComplianceTab</v>
      </c>
      <c r="T4" s="26" t="str">
        <f>IFERROR(__xludf.DUMMYFUNCTION("""COMPUTED_VALUE"""),"RunRebalance")</f>
        <v>RunRebalance</v>
      </c>
      <c r="U4" s="26" t="str">
        <f>IFERROR(__xludf.DUMMYFUNCTION("""COMPUTED_VALUE"""),"VerifyGridData")</f>
        <v>VerifyGridData</v>
      </c>
      <c r="V4" s="26" t="str">
        <f>IFERROR(__xludf.DUMMYFUNCTION("""COMPUTED_VALUE"""),"AddCash")</f>
        <v>AddCash</v>
      </c>
      <c r="W4" s="26" t="str">
        <f>IFERROR(__xludf.DUMMYFUNCTION("""COMPUTED_VALUE"""),"FetchAccountPositions")</f>
        <v>FetchAccountPositions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IFERROR(__xludf.DUMMYFUNCTION("""COMPUTED_VALUE"""),"Rounding Type")</f>
        <v>Rounding Type</v>
      </c>
      <c r="C5" s="28" t="str">
        <f>IFERROR(__xludf.DUMMYFUNCTION("""COMPUTED_VALUE"""),"Rebalance")</f>
        <v>Rebalance</v>
      </c>
      <c r="D5" s="28" t="str">
        <f>IFERROR(__xludf.DUMMYFUNCTION("""COMPUTED_VALUE"""),"Round Lot")</f>
        <v>Round Lot</v>
      </c>
      <c r="E5" s="28" t="str">
        <f>IFERROR(__xludf.DUMMYFUNCTION("""COMPUTED_VALUE"""),"AllowNegCash")</f>
        <v>AllowNegCash</v>
      </c>
      <c r="F5" s="29" t="str">
        <f>IFERROR(__xludf.DUMMYFUNCTION("""COMPUTED_VALUE"""),"SellToRaiseCash")</f>
        <v>SellToRaiseCash</v>
      </c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29</v>
      </c>
      <c r="C6" s="13" t="b">
        <v>1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vailable step for selected module" sqref="E3">
      <formula1>RunRebalance!$4:$4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30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IFERROR(__xludf.DUMMYFUNCTION("IF(C3="""","""",Transpose(IMPORTRANGE('_Settings'!$B$3,C3&amp;""!A4:A1000"")))"),"EditRebalanceGrid")</f>
        <v>EditRebalanceGrid</v>
      </c>
      <c r="C4" s="25" t="str">
        <f>IFERROR(__xludf.DUMMYFUNCTION("""COMPUTED_VALUE"""),"AddCustomCashUsingImport")</f>
        <v>AddCustomCashUsingImport</v>
      </c>
      <c r="D4" s="25" t="str">
        <f>IFERROR(__xludf.DUMMYFUNCTION("""COMPUTED_VALUE"""),"CloseRebalancer")</f>
        <v>CloseRebalancer</v>
      </c>
      <c r="E4" s="25" t="str">
        <f>IFERROR(__xludf.DUMMYFUNCTION("""COMPUTED_VALUE"""),"SymbologyChangeRB")</f>
        <v>SymbologyChangeRB</v>
      </c>
      <c r="F4" s="25" t="str">
        <f>IFERROR(__xludf.DUMMYFUNCTION("""COMPUTED_VALUE"""),"AddUserAdjustedNAV")</f>
        <v>AddUserAdjustedNAV</v>
      </c>
      <c r="G4" s="25" t="str">
        <f>IFERROR(__xludf.DUMMYFUNCTION("""COMPUTED_VALUE"""),"RebalanceViaBloomberg")</f>
        <v>RebalanceViaBloomberg</v>
      </c>
      <c r="H4" s="25" t="str">
        <f>IFERROR(__xludf.DUMMYFUNCTION("""COMPUTED_VALUE"""),"SendtoStaging")</f>
        <v>SendtoStaging</v>
      </c>
      <c r="I4" s="25" t="str">
        <f>IFERROR(__xludf.DUMMYFUNCTION("""COMPUTED_VALUE"""),"SendToStagingExport")</f>
        <v>SendToStagingExport</v>
      </c>
      <c r="J4" s="25" t="str">
        <f>IFERROR(__xludf.DUMMYFUNCTION("""COMPUTED_VALUE"""),"RefreshGridData")</f>
        <v>RefreshGridData</v>
      </c>
      <c r="K4" s="25" t="str">
        <f>IFERROR(__xludf.DUMMYFUNCTION("""COMPUTED_VALUE"""),"LockandUnlockGridData")</f>
        <v>LockandUnlockGridData</v>
      </c>
      <c r="L4" s="25" t="str">
        <f>IFERROR(__xludf.DUMMYFUNCTION("""COMPUTED_VALUE"""),"ModelPortfolio")</f>
        <v>ModelPortfolio</v>
      </c>
      <c r="M4" s="25" t="str">
        <f>IFERROR(__xludf.DUMMYFUNCTION("""COMPUTED_VALUE"""),"ModifyRebalance")</f>
        <v>ModifyRebalance</v>
      </c>
      <c r="N4" s="25" t="str">
        <f>IFERROR(__xludf.DUMMYFUNCTION("""COMPUTED_VALUE"""),"ClearCalculations")</f>
        <v>ClearCalculations</v>
      </c>
      <c r="O4" s="25" t="str">
        <f>IFERROR(__xludf.DUMMYFUNCTION("""COMPUTED_VALUE"""),"CheckBasketCompliance")</f>
        <v>CheckBasketCompliance</v>
      </c>
      <c r="P4" s="26" t="str">
        <f>IFERROR(__xludf.DUMMYFUNCTION("""COMPUTED_VALUE"""),"RebalanceAcrossSecurities")</f>
        <v>RebalanceAcrossSecurities</v>
      </c>
      <c r="Q4" s="26" t="str">
        <f>IFERROR(__xludf.DUMMYFUNCTION("""COMPUTED_VALUE"""),"ImportModelPortfolio")</f>
        <v>ImportModelPortfolio</v>
      </c>
      <c r="R4" s="26" t="str">
        <f>IFERROR(__xludf.DUMMYFUNCTION("""COMPUTED_VALUE"""),"RebalancePreference")</f>
        <v>RebalancePreference</v>
      </c>
      <c r="S4" s="26" t="str">
        <f>IFERROR(__xludf.DUMMYFUNCTION("""COMPUTED_VALUE"""),"EnableComplianceTab")</f>
        <v>EnableComplianceTab</v>
      </c>
      <c r="T4" s="26" t="str">
        <f>IFERROR(__xludf.DUMMYFUNCTION("""COMPUTED_VALUE"""),"RunRebalance")</f>
        <v>RunRebalance</v>
      </c>
      <c r="U4" s="26" t="str">
        <f>IFERROR(__xludf.DUMMYFUNCTION("""COMPUTED_VALUE"""),"VerifyGridData")</f>
        <v>VerifyGridData</v>
      </c>
      <c r="V4" s="26" t="str">
        <f>IFERROR(__xludf.DUMMYFUNCTION("""COMPUTED_VALUE"""),"AddCash")</f>
        <v>AddCash</v>
      </c>
      <c r="W4" s="26" t="str">
        <f>IFERROR(__xludf.DUMMYFUNCTION("""COMPUTED_VALUE"""),"FetchAccountPositions")</f>
        <v>FetchAccountPositions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IFERROR(__xludf.DUMMYFUNCTION("""COMPUTED_VALUE"""),"Account")</f>
        <v>Account</v>
      </c>
      <c r="C5" s="28" t="str">
        <f>IFERROR(__xludf.DUMMYFUNCTION("""COMPUTED_VALUE"""),"Side")</f>
        <v>Side</v>
      </c>
      <c r="D5" s="28" t="str">
        <f>IFERROR(__xludf.DUMMYFUNCTION("""COMPUTED_VALUE"""),"Symbol")</f>
        <v>Symbol</v>
      </c>
      <c r="E5" s="28" t="str">
        <f>IFERROR(__xludf.DUMMYFUNCTION("""COMPUTED_VALUE"""),"Quantity")</f>
        <v>Quantity</v>
      </c>
      <c r="F5" s="29" t="str">
        <f>IFERROR(__xludf.DUMMYFUNCTION("""COMPUTED_VALUE"""),"Price (Local)")</f>
        <v>Price (Local)</v>
      </c>
      <c r="G5" s="28" t="str">
        <f>IFERROR(__xludf.DUMMYFUNCTION("""COMPUTED_VALUE"""),"Buy/Sell Value (Base)")</f>
        <v>Buy/Sell Value (Base)</v>
      </c>
      <c r="H5" s="28" t="str">
        <f>IFERROR(__xludf.DUMMYFUNCTION("""COMPUTED_VALUE"""),"Comments")</f>
        <v>Comments</v>
      </c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9" t="s">
        <v>23</v>
      </c>
      <c r="C6" s="13" t="s">
        <v>17</v>
      </c>
      <c r="D6" s="13" t="s">
        <v>16</v>
      </c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9" t="s">
        <v>23</v>
      </c>
      <c r="C7" s="13" t="s">
        <v>17</v>
      </c>
      <c r="D7" s="13" t="s">
        <v>18</v>
      </c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SendtoStaging!$4:$4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31</v>
      </c>
      <c r="D3" s="5" t="s">
        <v>9</v>
      </c>
      <c r="E3" s="23" t="s">
        <v>32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 t="str">
        <f>IFERROR(__xludf.DUMMYFUNCTION("""COMPUTED_VALUE"""),"ReAllocateFromBlotterByAllocate")</f>
        <v>ReAllocateFromBlotterByAllocate</v>
      </c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  <c r="AH6" s="9" t="s">
        <v>33</v>
      </c>
      <c r="AI6" s="9" t="s">
        <v>16</v>
      </c>
      <c r="AJ6" s="9" t="s">
        <v>17</v>
      </c>
      <c r="AK6" s="9" t="s">
        <v>34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AH7" s="9" t="s">
        <v>33</v>
      </c>
      <c r="AI7" s="9" t="s">
        <v>18</v>
      </c>
      <c r="AJ7" s="9" t="s">
        <v>17</v>
      </c>
      <c r="AK7" s="9" t="s">
        <v>34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MultiTradingTicketFromBlotter!$4:$4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35</v>
      </c>
      <c r="D3" s="5" t="s">
        <v>9</v>
      </c>
      <c r="E3" s="23" t="s">
        <v>36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IFERROR(__xludf.DUMMYFUNCTION("IF(C3="""","""",Transpose(IMPORTRANGE('_Settings'!$B$3,C3&amp;""!A4:A1000"")))"),"BulkEditUpdateFromMTT")</f>
        <v>BulkEditUpdateFromMTT</v>
      </c>
      <c r="C4" s="25" t="str">
        <f>IFERROR(__xludf.DUMMYFUNCTION("""COMPUTED_VALUE"""),"EditTradeUsingMTT")</f>
        <v>EditTradeUsingMTT</v>
      </c>
      <c r="D4" s="25" t="str">
        <f>IFERROR(__xludf.DUMMYFUNCTION("""COMPUTED_VALUE"""),"SelectTradeUsingMTT")</f>
        <v>SelectTradeUsingMTT</v>
      </c>
      <c r="E4" s="25" t="str">
        <f>IFERROR(__xludf.DUMMYFUNCTION("""COMPUTED_VALUE"""),"GetPriceUsingMTT")</f>
        <v>GetPriceUsingMTT</v>
      </c>
      <c r="F4" s="25" t="str">
        <f>IFERROR(__xludf.DUMMYFUNCTION("""COMPUTED_VALUE"""),"DoneAwayUsingMTT")</f>
        <v>DoneAwayUsingMTT</v>
      </c>
      <c r="G4" s="25" t="str">
        <f>IFERROR(__xludf.DUMMYFUNCTION("""COMPUTED_VALUE"""),"SendOrderUsingMTT")</f>
        <v>SendOrderUsingMTT</v>
      </c>
      <c r="H4" s="25" t="str">
        <f>IFERROR(__xludf.DUMMYFUNCTION("""COMPUTED_VALUE"""),"BulkChangeTradeDoneAway")</f>
        <v>BulkChangeTradeDoneAway</v>
      </c>
      <c r="I4" s="25" t="str">
        <f>IFERROR(__xludf.DUMMYFUNCTION("""COMPUTED_VALUE"""),"RefreshPriceUsingMTT")</f>
        <v>RefreshPriceUsingMTT</v>
      </c>
      <c r="J4" s="25" t="str">
        <f>IFERROR(__xludf.DUMMYFUNCTION("""COMPUTED_VALUE"""),"VerifyMTT")</f>
        <v>VerifyMTT</v>
      </c>
      <c r="K4" s="25" t="str">
        <f>IFERROR(__xludf.DUMMYFUNCTION("""COMPUTED_VALUE"""),"BulkUpdateUsingMTT")</f>
        <v>BulkUpdateUsingMTT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 Quantity")</f>
        <v>Target Quantity</v>
      </c>
      <c r="F5" s="29" t="str">
        <f>IFERROR(__xludf.DUMMYFUNCTION("""COMPUTED_VALUE"""),"Account")</f>
        <v>Account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 Rate")</f>
        <v>FX 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 Basis")</f>
        <v>Commission Basis</v>
      </c>
      <c r="S5" s="28" t="str">
        <f>IFERROR(__xludf.DUMMYFUNCTION("""COMPUTED_VALUE"""),"Commission Rate")</f>
        <v>Commission Rate</v>
      </c>
      <c r="T5" s="30" t="str">
        <f>IFERROR(__xludf.DUMMYFUNCTION("""COMPUTED_VALUE"""),"Soft Basis")</f>
        <v>Soft Basis</v>
      </c>
      <c r="U5" s="30" t="str">
        <f>IFERROR(__xludf.DUMMYFUNCTION("""COMPUTED_VALUE"""),"Soft Rate")</f>
        <v>Soft Rate</v>
      </c>
      <c r="V5" s="30" t="str">
        <f>IFERROR(__xludf.DUMMYFUNCTION("""COMPUTED_VALUE"""),"Trade Attribute 1")</f>
        <v>Trade Attribute 1</v>
      </c>
      <c r="W5" s="30" t="str">
        <f>IFERROR(__xludf.DUMMYFUNCTION("""COMPUTED_VALUE"""),"Trade Attribute 2")</f>
        <v>Trade Attribute 2</v>
      </c>
      <c r="X5" s="30" t="str">
        <f>IFERROR(__xludf.DUMMYFUNCTION("""COMPUTED_VALUE"""),"Trade Attribute 3")</f>
        <v>Trade Attribute 3</v>
      </c>
      <c r="Y5" s="30" t="str">
        <f>IFERROR(__xludf.DUMMYFUNCTION("""COMPUTED_VALUE"""),"Trade Attribute 4")</f>
        <v>Trade Attribute 4</v>
      </c>
      <c r="Z5" s="30" t="str">
        <f>IFERROR(__xludf.DUMMYFUNCTION("""COMPUTED_VALUE"""),"Trade Attribute 5")</f>
        <v>Trade Attribute 5</v>
      </c>
      <c r="AA5" s="30" t="str">
        <f>IFERROR(__xludf.DUMMYFUNCTION("""COMPUTED_VALUE"""),"Trade Attribute 6")</f>
        <v>Trade Attribute 6</v>
      </c>
      <c r="AB5" s="30" t="str">
        <f>IFERROR(__xludf.DUMMYFUNCTION("""COMPUTED_VALUE"""),"Venue")</f>
        <v>Venue</v>
      </c>
      <c r="AC5" s="30" t="str">
        <f>IFERROR(__xludf.DUMMYFUNCTION("""COMPUTED_VALUE"""),"Execution Instructions")</f>
        <v>Execution Instructions</v>
      </c>
      <c r="AD5" s="30" t="str">
        <f>IFERROR(__xludf.DUMMYFUNCTION("""COMPUTED_VALUE"""),"Handling Instructions")</f>
        <v>Handling Instructions</v>
      </c>
      <c r="AE5" s="30" t="str">
        <f>IFERROR(__xludf.DUMMYFUNCTION("""COMPUTED_VALUE"""),"Trader")</f>
        <v>Trader</v>
      </c>
      <c r="AF5" s="30" t="str">
        <f>IFERROR(__xludf.DUMMYFUNCTION("""COMPUTED_VALUE"""),"Settlement Currency")</f>
        <v>Settlement Currency</v>
      </c>
      <c r="AG5" s="30" t="str">
        <f>IFERROR(__xludf.DUMMYFUNCTION("""COMPUTED_VALUE"""),"Settlement Fx Rate")</f>
        <v>Settlement Fx Rate</v>
      </c>
      <c r="AH5" s="30" t="str">
        <f>IFERROR(__xludf.DUMMYFUNCTION("""COMPUTED_VALUE"""),"Settlement Amount")</f>
        <v>Settlement Amount</v>
      </c>
      <c r="AI5" s="30" t="str">
        <f>IFERROR(__xludf.DUMMYFUNCTION("""COMPUTED_VALUE"""),"Settlement Fx Operator")</f>
        <v>Settlement Fx Operator</v>
      </c>
      <c r="AJ5" s="30" t="str">
        <f>IFERROR(__xludf.DUMMYFUNCTION("""COMPUTED_VALUE"""),"ImportFileName")</f>
        <v>ImportFileName</v>
      </c>
      <c r="AK5" s="30" t="str">
        <f>IFERROR(__xludf.DUMMYFUNCTION("""COMPUTED_VALUE"""),"ClearOldCA")</f>
        <v>ClearOldCA</v>
      </c>
      <c r="AL5" s="30" t="str">
        <f>IFERROR(__xludf.DUMMYFUNCTION("""COMPUTED_VALUE"""),"Custom Account")</f>
        <v>Custom Account</v>
      </c>
      <c r="AM5" s="30" t="str">
        <f>IFERROR(__xludf.DUMMYFUNCTION("""COMPUTED_VALUE"""),"Custom Account %")</f>
        <v>Custom Account %</v>
      </c>
      <c r="AN5" s="30" t="str">
        <f>IFERROR(__xludf.DUMMYFUNCTION("""COMPUTED_VALUE"""),"ClickOnCommit")</f>
        <v>ClickOnCommit</v>
      </c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2"/>
      <c r="B6" s="32"/>
      <c r="C6" s="34"/>
      <c r="D6" s="32"/>
      <c r="E6" s="34"/>
      <c r="F6" s="34"/>
      <c r="G6" s="34" t="s">
        <v>37</v>
      </c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34"/>
      <c r="B7" s="34"/>
      <c r="C7" s="34"/>
      <c r="D7" s="34"/>
      <c r="E7" s="34"/>
      <c r="F7" s="34"/>
      <c r="G7" s="34" t="s">
        <v>37</v>
      </c>
      <c r="H7" s="34"/>
      <c r="I7" s="34"/>
      <c r="J7" s="34"/>
      <c r="K7" s="34"/>
      <c r="L7" s="34"/>
      <c r="M7" s="34"/>
      <c r="N7" s="34"/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4"/>
      <c r="AI7" s="34"/>
      <c r="AJ7" s="34"/>
      <c r="AK7" s="34"/>
      <c r="AL7" s="34"/>
      <c r="AM7" s="34"/>
      <c r="AN7" s="34"/>
      <c r="AO7" s="34"/>
      <c r="AP7" s="34"/>
      <c r="AQ7" s="34"/>
      <c r="AR7" s="34"/>
      <c r="AS7" s="34"/>
      <c r="AT7" s="34"/>
      <c r="AU7" s="34"/>
      <c r="AV7" s="34"/>
      <c r="AW7" s="34"/>
      <c r="AX7" s="34"/>
      <c r="AY7" s="34"/>
      <c r="AZ7" s="34"/>
      <c r="BA7" s="34"/>
      <c r="BB7" s="34"/>
      <c r="BC7" s="34"/>
      <c r="BD7" s="34"/>
      <c r="BE7" s="34"/>
      <c r="BF7" s="34"/>
      <c r="BG7" s="34"/>
      <c r="BH7" s="34"/>
      <c r="BI7" s="34"/>
      <c r="BJ7" s="34"/>
      <c r="BK7" s="34"/>
      <c r="BL7" s="34"/>
      <c r="BM7" s="34"/>
      <c r="BN7" s="34"/>
      <c r="BO7" s="34"/>
      <c r="BP7" s="34"/>
      <c r="BQ7" s="34"/>
      <c r="BR7" s="34"/>
      <c r="BS7" s="34"/>
      <c r="BT7" s="34"/>
      <c r="BU7" s="34"/>
      <c r="BV7" s="34"/>
      <c r="BW7" s="34"/>
      <c r="BX7" s="34"/>
      <c r="BY7" s="34"/>
      <c r="BZ7" s="34"/>
      <c r="CA7" s="34"/>
      <c r="CB7" s="34"/>
      <c r="CC7" s="34"/>
      <c r="CD7" s="34"/>
      <c r="CE7" s="34"/>
      <c r="CF7" s="34"/>
      <c r="CG7" s="34"/>
      <c r="CH7" s="34"/>
      <c r="CI7" s="34"/>
      <c r="CJ7" s="34"/>
      <c r="CK7" s="34"/>
      <c r="CL7" s="34"/>
      <c r="CM7" s="34"/>
      <c r="CN7" s="34"/>
      <c r="CO7" s="34"/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4"/>
      <c r="DA7" s="34"/>
      <c r="DB7" s="34"/>
      <c r="DC7" s="34"/>
      <c r="DD7" s="34"/>
      <c r="DE7" s="34"/>
      <c r="DF7" s="34"/>
      <c r="DG7" s="34"/>
      <c r="DH7" s="34"/>
      <c r="DI7" s="34"/>
      <c r="DJ7" s="34"/>
      <c r="DK7" s="34"/>
      <c r="DL7" s="34"/>
      <c r="DM7" s="34"/>
      <c r="DN7" s="34"/>
      <c r="DO7" s="34"/>
      <c r="DP7" s="34"/>
      <c r="DQ7" s="34"/>
      <c r="DR7" s="34"/>
      <c r="DS7" s="34"/>
      <c r="DT7" s="34"/>
      <c r="DU7" s="34"/>
      <c r="DV7" s="34"/>
      <c r="DW7" s="34"/>
      <c r="DX7" s="34"/>
      <c r="DY7" s="34"/>
      <c r="DZ7" s="34"/>
      <c r="EA7" s="34"/>
      <c r="EB7" s="34"/>
      <c r="EC7" s="34"/>
      <c r="ED7" s="34"/>
      <c r="EE7" s="34"/>
      <c r="EF7" s="34"/>
      <c r="EG7" s="34"/>
      <c r="EH7" s="34"/>
      <c r="EI7" s="34"/>
      <c r="EJ7" s="34"/>
      <c r="EK7" s="34"/>
      <c r="EL7" s="34"/>
      <c r="EM7" s="34"/>
      <c r="EN7" s="34"/>
      <c r="EO7" s="34"/>
      <c r="EP7" s="34"/>
      <c r="EQ7" s="34"/>
      <c r="ER7" s="34"/>
      <c r="ES7" s="34"/>
      <c r="ET7" s="34"/>
      <c r="EU7" s="34"/>
      <c r="EV7" s="34"/>
      <c r="EW7" s="34"/>
      <c r="EX7" s="34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BulkUpdateUsingMTT!$4:$4</formula1>
    </dataValidation>
  </dataValidations>
  <headerFooter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35</v>
      </c>
      <c r="D3" s="5" t="s">
        <v>9</v>
      </c>
      <c r="E3" s="23" t="s">
        <v>38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IFERROR(__xludf.DUMMYFUNCTION("IF(C3="""","""",Transpose(IMPORTRANGE('_Settings'!$B$3,C3&amp;""!A4:A1000"")))"),"BulkEditUpdateFromMTT")</f>
        <v>BulkEditUpdateFromMTT</v>
      </c>
      <c r="C4" s="25" t="str">
        <f>IFERROR(__xludf.DUMMYFUNCTION("""COMPUTED_VALUE"""),"EditTradeUsingMTT")</f>
        <v>EditTradeUsingMTT</v>
      </c>
      <c r="D4" s="25" t="str">
        <f>IFERROR(__xludf.DUMMYFUNCTION("""COMPUTED_VALUE"""),"SelectTradeUsingMTT")</f>
        <v>SelectTradeUsingMTT</v>
      </c>
      <c r="E4" s="25" t="str">
        <f>IFERROR(__xludf.DUMMYFUNCTION("""COMPUTED_VALUE"""),"GetPriceUsingMTT")</f>
        <v>GetPriceUsingMTT</v>
      </c>
      <c r="F4" s="25" t="str">
        <f>IFERROR(__xludf.DUMMYFUNCTION("""COMPUTED_VALUE"""),"DoneAwayUsingMTT")</f>
        <v>DoneAwayUsingMTT</v>
      </c>
      <c r="G4" s="25" t="str">
        <f>IFERROR(__xludf.DUMMYFUNCTION("""COMPUTED_VALUE"""),"SendOrderUsingMTT")</f>
        <v>SendOrderUsingMTT</v>
      </c>
      <c r="H4" s="25" t="str">
        <f>IFERROR(__xludf.DUMMYFUNCTION("""COMPUTED_VALUE"""),"BulkChangeTradeDoneAway")</f>
        <v>BulkChangeTradeDoneAway</v>
      </c>
      <c r="I4" s="25" t="str">
        <f>IFERROR(__xludf.DUMMYFUNCTION("""COMPUTED_VALUE"""),"RefreshPriceUsingMTT")</f>
        <v>RefreshPriceUsingMTT</v>
      </c>
      <c r="J4" s="25" t="str">
        <f>IFERROR(__xludf.DUMMYFUNCTION("""COMPUTED_VALUE"""),"VerifyMTT")</f>
        <v>VerifyMTT</v>
      </c>
      <c r="K4" s="25" t="str">
        <f>IFERROR(__xludf.DUMMYFUNCTION("""COMPUTED_VALUE"""),"BulkUpdateUsingMTT")</f>
        <v>BulkUpdateUsingMTT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 Quantity")</f>
        <v>Target Quantity</v>
      </c>
      <c r="F5" s="29" t="str">
        <f>IFERROR(__xludf.DUMMYFUNCTION("""COMPUTED_VALUE"""),"Allocation")</f>
        <v>Allocation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 Rate")</f>
        <v>FX 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 Basis")</f>
        <v>Commission Basis</v>
      </c>
      <c r="S5" s="28" t="str">
        <f>IFERROR(__xludf.DUMMYFUNCTION("""COMPUTED_VALUE"""),"Commission Rate")</f>
        <v>Commission Rate</v>
      </c>
      <c r="T5" s="30" t="str">
        <f>IFERROR(__xludf.DUMMYFUNCTION("""COMPUTED_VALUE"""),"Soft Basis")</f>
        <v>Soft Basis</v>
      </c>
      <c r="U5" s="30" t="str">
        <f>IFERROR(__xludf.DUMMYFUNCTION("""COMPUTED_VALUE"""),"Soft Rate")</f>
        <v>Soft Rate</v>
      </c>
      <c r="V5" s="30" t="str">
        <f>IFERROR(__xludf.DUMMYFUNCTION("""COMPUTED_VALUE"""),"Trade Attribute 1")</f>
        <v>Trade Attribute 1</v>
      </c>
      <c r="W5" s="30" t="str">
        <f>IFERROR(__xludf.DUMMYFUNCTION("""COMPUTED_VALUE"""),"Trade Attribute 2")</f>
        <v>Trade Attribute 2</v>
      </c>
      <c r="X5" s="30" t="str">
        <f>IFERROR(__xludf.DUMMYFUNCTION("""COMPUTED_VALUE"""),"Trade Attribute 3")</f>
        <v>Trade Attribute 3</v>
      </c>
      <c r="Y5" s="30" t="str">
        <f>IFERROR(__xludf.DUMMYFUNCTION("""COMPUTED_VALUE"""),"Trade Attribute 4")</f>
        <v>Trade Attribute 4</v>
      </c>
      <c r="Z5" s="30" t="str">
        <f>IFERROR(__xludf.DUMMYFUNCTION("""COMPUTED_VALUE"""),"Trade Attribute 5")</f>
        <v>Trade Attribute 5</v>
      </c>
      <c r="AA5" s="30" t="str">
        <f>IFERROR(__xludf.DUMMYFUNCTION("""COMPUTED_VALUE"""),"Trade Attribute 6")</f>
        <v>Trade Attribute 6</v>
      </c>
      <c r="AB5" s="30" t="str">
        <f>IFERROR(__xludf.DUMMYFUNCTION("""COMPUTED_VALUE"""),"Venue")</f>
        <v>Venue</v>
      </c>
      <c r="AC5" s="30" t="str">
        <f>IFERROR(__xludf.DUMMYFUNCTION("""COMPUTED_VALUE"""),"Execution Instructions")</f>
        <v>Execution Instructions</v>
      </c>
      <c r="AD5" s="30" t="str">
        <f>IFERROR(__xludf.DUMMYFUNCTION("""COMPUTED_VALUE"""),"Handling Instructions")</f>
        <v>Handling Instructions</v>
      </c>
      <c r="AE5" s="30" t="str">
        <f>IFERROR(__xludf.DUMMYFUNCTION("""COMPUTED_VALUE"""),"Trader")</f>
        <v>Trader</v>
      </c>
      <c r="AF5" s="30" t="str">
        <f>IFERROR(__xludf.DUMMYFUNCTION("""COMPUTED_VALUE"""),"Settlement Currency")</f>
        <v>Settlement Currency</v>
      </c>
      <c r="AG5" s="30" t="str">
        <f>IFERROR(__xludf.DUMMYFUNCTION("""COMPUTED_VALUE"""),"ImportFileName")</f>
        <v>ImportFileName</v>
      </c>
      <c r="AH5" s="30" t="str">
        <f>IFERROR(__xludf.DUMMYFUNCTION("""COMPUTED_VALUE"""),"FX Operator")</f>
        <v>FX Operator</v>
      </c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 t="s">
        <v>17</v>
      </c>
      <c r="D6" s="13"/>
      <c r="E6" s="31"/>
      <c r="F6" s="8"/>
      <c r="G6" s="13" t="s">
        <v>37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3" t="s">
        <v>18</v>
      </c>
      <c r="C7" s="13" t="s">
        <v>17</v>
      </c>
      <c r="D7" s="8"/>
      <c r="E7" s="8"/>
      <c r="F7" s="8"/>
      <c r="G7" s="13" t="s">
        <v>37</v>
      </c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VerifyMTT!$4:$4</formula1>
    </dataValidation>
  </dataValidations>
  <headerFooter/>
  <drawing r:id="rId1"/>
</worksheet>
</file>