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AddTabBlotter" sheetId="5" r:id="rId7"/>
    <sheet state="visible" name="CustomTabActions" sheetId="6" r:id="rId8"/>
    <sheet state="visible" name="CreateHotButtonOnBlotter" sheetId="7" r:id="rId9"/>
    <sheet state="visible" name="CreateHotButtonOnBlotter1" sheetId="8" r:id="rId10"/>
    <sheet state="visible" name="CreateHotButtonOnBlotter2" sheetId="9" r:id="rId11"/>
    <sheet state="visible" name="FillHBdetailsOnBlotter" sheetId="10" r:id="rId12"/>
    <sheet state="visible" name="EnableOrVerifyHotButton" sheetId="11" r:id="rId13"/>
  </sheets>
  <definedNames/>
  <calcPr/>
</workbook>
</file>

<file path=xl/sharedStrings.xml><?xml version="1.0" encoding="utf-8"?>
<sst xmlns="http://schemas.openxmlformats.org/spreadsheetml/2006/main" count="90" uniqueCount="40">
  <si>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</si>
  <si>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</si>
  <si>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</si>
  <si>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</si>
  <si>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</si>
  <si>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</si>
  <si>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</si>
  <si>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</si>
  <si>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</si>
  <si>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</si>
  <si>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</si>
  <si>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</si>
  <si>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</si>
  <si>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</si>
  <si>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</si>
  <si>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</si>
  <si>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</si>
  <si>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Blotter</t>
  </si>
  <si>
    <t>AddTabBlotter</t>
  </si>
  <si>
    <t>Risha</t>
  </si>
  <si>
    <t>Add Tab(Order)</t>
  </si>
  <si>
    <t>CustomTabActions</t>
  </si>
  <si>
    <t>Capture Details to Hot Button</t>
  </si>
  <si>
    <t>Order</t>
  </si>
  <si>
    <t>CreateHotButtonOnBlotter</t>
  </si>
  <si>
    <t>No confirmation</t>
  </si>
  <si>
    <t>Grey</t>
  </si>
  <si>
    <t>Confirm on TT</t>
  </si>
  <si>
    <t>Show confirmation</t>
  </si>
  <si>
    <t>FillHBdetailsOnBlotter</t>
  </si>
  <si>
    <t>Allocation1</t>
  </si>
  <si>
    <t>MS</t>
  </si>
  <si>
    <t>NASDAQ</t>
  </si>
  <si>
    <t>Day</t>
  </si>
  <si>
    <t>Market</t>
  </si>
  <si>
    <t>Sell</t>
  </si>
  <si>
    <t>Manual</t>
  </si>
  <si>
    <t>Next</t>
  </si>
  <si>
    <t>EnableOrVerifyHotButton</t>
  </si>
  <si>
    <t>favourite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</si>
</sst>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/>
      <c r="D6" s="33">
        <v>100.0</v>
      </c>
      <c r="E6" s="32"/>
      <c r="F6" s="32"/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IFERROR(__xludf.DUMMYFUNCTION("""COMPUTED_VALUE"""),"Button Name")</f>
        <v>Button 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19</v>
      </c>
      <c r="C6" s="36" t="s">
        <v>20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AddTabBlotter!$4:$4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IFERROR(__xludf.DUMMYFUNCTION("""COMPUTED_VALUE"""),"ActionOnWhichGrid")</f>
        <v>ActionOnWhichGrid</v>
      </c>
      <c r="D5" s="27" t="str">
        <f>IFERROR(__xludf.DUMMYFUNCTION("""COMPUTED_VALUE"""),"TabName")</f>
        <v>TabName</v>
      </c>
      <c r="E5" s="27" t="str">
        <f>IFERROR(__xludf.DUMMYFUNCTION("""COMPUTED_VALUE"""),"Symbol")</f>
        <v>Symbol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IFERROR(__xludf.DUMMYFUNCTION("""COMPUTED_VALUE"""),"Broker")</f>
        <v>Broker</v>
      </c>
      <c r="J5" s="27" t="str">
        <f>IFERROR(__xludf.DUMMYFUNCTION("""COMPUTED_VALUE"""),"Account")</f>
        <v>Account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6" t="s">
        <v>23</v>
      </c>
      <c r="D6" s="35" t="s">
        <v>19</v>
      </c>
      <c r="E6" s="36" t="s">
        <v>16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CustomTabActions!$4:$4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19</v>
      </c>
      <c r="C6" s="32"/>
      <c r="D6" s="31" t="s">
        <v>25</v>
      </c>
      <c r="E6" s="36" t="s">
        <v>26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/>
      <c r="D6" s="31" t="s">
        <v>27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/>
      <c r="D6" s="31" t="s">
        <v>28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IFERROR(__xludf.DUMMYFUNCTION("""COMPUTED_VALUE"""),"Allocation")</f>
        <v>Allocation</v>
      </c>
      <c r="E5" s="27" t="str">
        <f>IFERROR(__xludf.DUMMYFUNCTION("""COMPUTED_VALUE"""),"Broker")</f>
        <v>Broker</v>
      </c>
      <c r="F5" s="28" t="str">
        <f>IFERROR(__xludf.DUMMYFUNCTION("""COMPUTED_VALUE"""),"Venue")</f>
        <v>Venue</v>
      </c>
      <c r="G5" s="27" t="str">
        <f>IFERROR(__xludf.DUMMYFUNCTION("""COMPUTED_VALUE"""),"TIF")</f>
        <v>TIF</v>
      </c>
      <c r="H5" s="27" t="str">
        <f>IFERROR(__xludf.DUMMYFUNCTION("""COMPUTED_VALUE"""),"Order Type")</f>
        <v>Order Type</v>
      </c>
      <c r="I5" s="27" t="str">
        <f>IFERROR(__xludf.DUMMYFUNCTION("""COMPUTED_VALUE"""),"Order Side")</f>
        <v>Order Side</v>
      </c>
      <c r="J5" s="27" t="str">
        <f>IFERROR(__xludf.DUMMYFUNCTION("""COMPUTED_VALUE"""),"Execution Type")</f>
        <v>Execution Type</v>
      </c>
      <c r="K5" s="27" t="str">
        <f>IFERROR(__xludf.DUMMYFUNCTION("""COMPUTED_VALUE"""),"Add to Favourite")</f>
        <v>Add to Favourite</v>
      </c>
      <c r="L5" s="27" t="str">
        <f>IFERROR(__xludf.DUMMYFUNCTION("""COMPUTED_VALUE"""),"Action")</f>
        <v>Action</v>
      </c>
      <c r="M5" s="27" t="str">
        <f>IFERROR(__xludf.DUMMYFUNCTION("""COMPUTED_VALUE"""),"Calculation Basis Type")</f>
        <v>Calculation Basis Type</v>
      </c>
      <c r="N5" s="27" t="str">
        <f>IFERROR(__xludf.DUMMYFUNCTION("""COMPUTED_VALUE"""),"Calculation Basis Amount")</f>
        <v>Calculation Basis Amount</v>
      </c>
      <c r="O5" s="27" t="str">
        <f>IFERROR(__xludf.DUMMYFUNCTION("""COMPUTED_VALUE"""),"Calculation ON")</f>
        <v>Calculation ON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4">
        <v>600.0</v>
      </c>
      <c r="D6" s="31" t="s">
        <v>30</v>
      </c>
      <c r="E6" s="36" t="s">
        <v>31</v>
      </c>
      <c r="F6" s="36" t="s">
        <v>32</v>
      </c>
      <c r="G6" s="36" t="s">
        <v>33</v>
      </c>
      <c r="H6" s="36" t="s">
        <v>34</v>
      </c>
      <c r="I6" s="36" t="s">
        <v>35</v>
      </c>
      <c r="J6" s="36" t="s">
        <v>36</v>
      </c>
      <c r="K6" s="37" t="b">
        <v>1</v>
      </c>
      <c r="L6" s="36" t="s">
        <v>37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b">
        <v>1</v>
      </c>
      <c r="C6" s="32"/>
      <c r="D6" s="35" t="s">
        <v>19</v>
      </c>
      <c r="E6" s="37" t="b">
        <v>1</v>
      </c>
      <c r="F6" s="36" t="s">
        <v>39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