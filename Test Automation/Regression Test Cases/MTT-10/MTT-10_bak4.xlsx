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7" activeTab="7"/>
  </bookViews>
  <sheets>
    <sheet name="_Modules" sheetId="1" r:id="rId1"/>
    <sheet name="_Settings" sheetId="2" r:id="rId2"/>
    <sheet name="_MasterData" sheetId="3" state="hidden" r:id="rId3"/>
    <sheet name="CreateStageOrder" sheetId="4" r:id="rId4"/>
    <sheet name="MultiTradingTicketFromBlotter" sheetId="5" r:id="rId5"/>
    <sheet name="SelectTradeUsingMTT" sheetId="6" r:id="rId6"/>
    <sheet name="EditTradeUsingMTT" sheetId="7" r:id="rId7"/>
    <sheet name="DoneAwayUsingMTT" sheetId="8" r:id="rId8"/>
    <sheet name="VerifyWorkingSubs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J2" i="9"/>
  <c r="J2" i="8"/>
  <c r="J2" i="7"/>
  <c r="J2" i="6"/>
  <c r="J2" i="5"/>
  <c r="J2" i="4"/>
  <c r="DQ5" i="12"/>
  <c r="BE5" i="12"/>
  <c r="DD5" i="11"/>
  <c r="AR5" i="11"/>
  <c r="CQ5" i="10"/>
  <c r="AE5" i="10"/>
  <c r="EF5" i="12"/>
  <c r="BT5" i="12"/>
  <c r="H5" i="12"/>
  <c r="BG5" i="11"/>
  <c r="DF5" i="10"/>
  <c r="AT5" i="10"/>
  <c r="AU5" i="9"/>
  <c r="EU5" i="12"/>
  <c r="CI5" i="12"/>
  <c r="O5" i="12"/>
  <c r="DN5" i="12"/>
  <c r="BB5" i="12"/>
  <c r="DA5" i="11"/>
  <c r="AO5" i="11"/>
  <c r="CN5" i="10"/>
  <c r="AB5" i="10"/>
  <c r="AC5" i="9"/>
  <c r="M5" i="8"/>
  <c r="AS5" i="6"/>
  <c r="AT5" i="5"/>
  <c r="AG5" i="4"/>
  <c r="H919" i="1"/>
  <c r="EK5" i="12"/>
  <c r="BY5" i="12"/>
  <c r="M5" i="12"/>
  <c r="BL5" i="11"/>
  <c r="B4" i="11"/>
  <c r="AY5" i="10"/>
  <c r="AZ5" i="9"/>
  <c r="AJ5" i="8"/>
  <c r="T5" i="7"/>
  <c r="D5" i="6"/>
  <c r="E5" i="5"/>
  <c r="G921" i="1"/>
  <c r="FH5" i="12"/>
  <c r="CV5" i="12"/>
  <c r="AJ5" i="12"/>
  <c r="CI5" i="11"/>
  <c r="W5" i="11"/>
  <c r="DS5" i="12"/>
  <c r="BG5" i="12"/>
  <c r="DF5" i="11"/>
  <c r="AT5" i="11"/>
  <c r="CS5" i="10"/>
  <c r="AG5" i="10"/>
  <c r="AH5" i="9"/>
  <c r="R5" i="8"/>
  <c r="B5" i="7"/>
  <c r="AY5" i="5"/>
  <c r="AL5" i="4"/>
  <c r="A920" i="1"/>
  <c r="EX5" i="12"/>
  <c r="CL5" i="12"/>
  <c r="Z5" i="12"/>
  <c r="BY5" i="11"/>
  <c r="M5" i="11"/>
  <c r="BL5" i="10"/>
  <c r="B4" i="10"/>
  <c r="A5" i="9"/>
  <c r="AG5" i="7"/>
  <c r="Q5" i="6"/>
  <c r="R5" i="5"/>
  <c r="E5" i="4"/>
  <c r="D917" i="1"/>
  <c r="L911" i="1"/>
  <c r="H906" i="1"/>
  <c r="D901" i="1"/>
  <c r="DB5" i="10"/>
  <c r="W5" i="8"/>
  <c r="BD5" i="5"/>
  <c r="F920" i="1"/>
  <c r="G912" i="1"/>
  <c r="F906" i="1"/>
  <c r="E900" i="1"/>
  <c r="I894" i="1"/>
  <c r="E889" i="1"/>
  <c r="A884" i="1"/>
  <c r="I878" i="1"/>
  <c r="E873" i="1"/>
  <c r="BK5" i="12"/>
  <c r="DI5" i="12"/>
  <c r="AW5" i="12"/>
  <c r="CV5" i="11"/>
  <c r="AJ5" i="11"/>
  <c r="CI5" i="10"/>
  <c r="W5" i="10"/>
  <c r="DX5" i="12"/>
  <c r="BL5" i="12"/>
  <c r="B4" i="12"/>
  <c r="AY5" i="11"/>
  <c r="CX5" i="10"/>
  <c r="AL5" i="10"/>
  <c r="AM5" i="9"/>
  <c r="EM5" i="12"/>
  <c r="CA5" i="12"/>
  <c r="G5" i="12"/>
  <c r="DF5" i="12"/>
  <c r="AT5" i="12"/>
  <c r="CS5" i="11"/>
  <c r="AG5" i="11"/>
  <c r="CF5" i="10"/>
  <c r="T5" i="10"/>
  <c r="U5" i="9"/>
  <c r="E5" i="8"/>
  <c r="AK5" i="6"/>
  <c r="AL5" i="5"/>
  <c r="Y5" i="4"/>
  <c r="L918" i="1"/>
  <c r="EC5" i="12"/>
  <c r="BQ5" i="12"/>
  <c r="E5" i="12"/>
  <c r="BD5" i="11"/>
  <c r="DC5" i="10"/>
  <c r="AQ5" i="10"/>
  <c r="AR5" i="9"/>
  <c r="AB5" i="8"/>
  <c r="L5" i="7"/>
  <c r="BI5" i="5"/>
  <c r="AV5" i="4"/>
  <c r="K920" i="1"/>
  <c r="EZ5" i="12"/>
  <c r="CN5" i="12"/>
  <c r="AB5" i="12"/>
  <c r="CA5" i="11"/>
  <c r="O5" i="11"/>
  <c r="DK5" i="12"/>
  <c r="AY5" i="12"/>
  <c r="CX5" i="11"/>
  <c r="AL5" i="11"/>
  <c r="CK5" i="10"/>
  <c r="Y5" i="10"/>
  <c r="Z5" i="9"/>
  <c r="J5" i="8"/>
  <c r="AP5" i="6"/>
  <c r="AQ5" i="5"/>
  <c r="AD5" i="4"/>
  <c r="E919" i="1"/>
  <c r="EP5" i="12"/>
  <c r="CD5" i="12"/>
  <c r="R5" i="12"/>
  <c r="BQ5" i="11"/>
  <c r="E5" i="11"/>
  <c r="BD5" i="10"/>
  <c r="BE5" i="9"/>
  <c r="AO5" i="8"/>
  <c r="Y5" i="7"/>
  <c r="I5" i="6"/>
  <c r="J5" i="5"/>
  <c r="L921" i="1"/>
  <c r="H916" i="1"/>
  <c r="D911" i="1"/>
  <c r="L905" i="1"/>
  <c r="H900" i="1"/>
  <c r="BV5" i="10"/>
  <c r="G5" i="8"/>
  <c r="AN5" i="5"/>
  <c r="B919" i="1"/>
  <c r="J911" i="1"/>
  <c r="I905" i="1"/>
  <c r="H899" i="1"/>
  <c r="A894" i="1"/>
  <c r="I888" i="1"/>
  <c r="E883" i="1"/>
  <c r="A878" i="1"/>
  <c r="I872" i="1"/>
  <c r="E867" i="1"/>
  <c r="A862" i="1"/>
  <c r="I856" i="1"/>
  <c r="E851" i="1"/>
  <c r="E5" i="10"/>
  <c r="V5" i="7"/>
  <c r="G5" i="5"/>
  <c r="E916" i="1"/>
  <c r="C910" i="1"/>
  <c r="B904" i="1"/>
  <c r="A898" i="1"/>
  <c r="H892" i="1"/>
  <c r="D887" i="1"/>
  <c r="L881" i="1"/>
  <c r="H876" i="1"/>
  <c r="D871" i="1"/>
  <c r="L865" i="1"/>
  <c r="H860" i="1"/>
  <c r="D855" i="1"/>
  <c r="L849" i="1"/>
  <c r="AT5" i="9"/>
  <c r="C5" i="7"/>
  <c r="AM5" i="4"/>
  <c r="F915" i="1"/>
  <c r="E909" i="1"/>
  <c r="C903" i="1"/>
  <c r="C897" i="1"/>
  <c r="K891" i="1"/>
  <c r="G886" i="1"/>
  <c r="C881" i="1"/>
  <c r="K875" i="1"/>
  <c r="G870" i="1"/>
  <c r="C865" i="1"/>
  <c r="K859" i="1"/>
  <c r="G854" i="1"/>
  <c r="C849" i="1"/>
  <c r="B4" i="9"/>
  <c r="P5" i="6"/>
  <c r="D5" i="4"/>
  <c r="J913" i="1"/>
  <c r="I907" i="1"/>
  <c r="FM5" i="12"/>
  <c r="DA5" i="12"/>
  <c r="AO5" i="12"/>
  <c r="CN5" i="11"/>
  <c r="AB5" i="11"/>
  <c r="CA5" i="10"/>
  <c r="O5" i="10"/>
  <c r="DP5" i="12"/>
  <c r="BD5" i="12"/>
  <c r="DC5" i="11"/>
  <c r="AQ5" i="11"/>
  <c r="CP5" i="10"/>
  <c r="AD5" i="10"/>
  <c r="AE5" i="9"/>
  <c r="EE5" i="12"/>
  <c r="BS5" i="12"/>
  <c r="FJ5" i="12"/>
  <c r="CX5" i="12"/>
  <c r="AL5" i="12"/>
  <c r="CK5" i="11"/>
  <c r="Y5" i="11"/>
  <c r="BX5" i="10"/>
  <c r="L5" i="10"/>
  <c r="M5" i="9"/>
  <c r="AS5" i="7"/>
  <c r="AC5" i="6"/>
  <c r="AD5" i="5"/>
  <c r="Q5" i="4"/>
  <c r="D918" i="1"/>
  <c r="DU5" i="12"/>
  <c r="BI5" i="12"/>
  <c r="DH5" i="11"/>
  <c r="AV5" i="11"/>
  <c r="CU5" i="10"/>
  <c r="AI5" i="10"/>
  <c r="AJ5" i="9"/>
  <c r="T5" i="8"/>
  <c r="D5" i="7"/>
  <c r="BA5" i="5"/>
  <c r="AN5" i="4"/>
  <c r="C920" i="1"/>
  <c r="ER5" i="12"/>
  <c r="CF5" i="12"/>
  <c r="T5" i="12"/>
  <c r="BS5" i="11"/>
  <c r="G5" i="11"/>
  <c r="DC5" i="12"/>
  <c r="AQ5" i="12"/>
  <c r="CP5" i="11"/>
  <c r="AD5" i="11"/>
  <c r="CC5" i="10"/>
  <c r="Q5" i="10"/>
  <c r="R5" i="9"/>
  <c r="B5" i="8"/>
  <c r="AH5" i="6"/>
  <c r="AI5" i="5"/>
  <c r="V5" i="4"/>
  <c r="I918" i="1"/>
  <c r="EH5" i="12"/>
  <c r="BV5" i="12"/>
  <c r="J5" i="12"/>
  <c r="BI5" i="11"/>
  <c r="DH5" i="10"/>
  <c r="AV5" i="10"/>
  <c r="AW5" i="9"/>
  <c r="AG5" i="8"/>
  <c r="Q5" i="7"/>
  <c r="A5" i="6"/>
  <c r="B5" i="5"/>
  <c r="D921" i="1"/>
  <c r="L915" i="1"/>
  <c r="H910" i="1"/>
  <c r="D905" i="1"/>
  <c r="L899" i="1"/>
  <c r="AP5" i="10"/>
  <c r="AM5" i="7"/>
  <c r="X5" i="5"/>
  <c r="J917" i="1"/>
  <c r="A911" i="1"/>
  <c r="L904" i="1"/>
  <c r="K898" i="1"/>
  <c r="E893" i="1"/>
  <c r="A888" i="1"/>
  <c r="I882" i="1"/>
  <c r="E877" i="1"/>
  <c r="A872" i="1"/>
  <c r="I866" i="1"/>
  <c r="E861" i="1"/>
  <c r="A856" i="1"/>
  <c r="I850" i="1"/>
  <c r="AV5" i="9"/>
  <c r="F5" i="7"/>
  <c r="AP5" i="4"/>
  <c r="G915" i="1"/>
  <c r="F909" i="1"/>
  <c r="E903" i="1"/>
  <c r="D897" i="1"/>
  <c r="L891" i="1"/>
  <c r="H886" i="1"/>
  <c r="D881" i="1"/>
  <c r="L875" i="1"/>
  <c r="H870" i="1"/>
  <c r="D865" i="1"/>
  <c r="L859" i="1"/>
  <c r="H854" i="1"/>
  <c r="D849" i="1"/>
  <c r="X5" i="9"/>
  <c r="AI5" i="6"/>
  <c r="W5" i="4"/>
  <c r="I914" i="1"/>
  <c r="G908" i="1"/>
  <c r="F902" i="1"/>
  <c r="G896" i="1"/>
  <c r="C891" i="1"/>
  <c r="K885" i="1"/>
  <c r="G880" i="1"/>
  <c r="C875" i="1"/>
  <c r="K869" i="1"/>
  <c r="G864" i="1"/>
  <c r="C859" i="1"/>
  <c r="K853" i="1"/>
  <c r="CD5" i="11"/>
  <c r="AF5" i="8"/>
  <c r="B4" i="6"/>
  <c r="C921" i="1"/>
  <c r="A913" i="1"/>
  <c r="L906" i="1"/>
  <c r="FE5" i="12"/>
  <c r="CS5" i="12"/>
  <c r="AG5" i="12"/>
  <c r="CF5" i="11"/>
  <c r="T5" i="11"/>
  <c r="BS5" i="10"/>
  <c r="G5" i="10"/>
  <c r="DH5" i="12"/>
  <c r="AV5" i="12"/>
  <c r="CU5" i="11"/>
  <c r="AI5" i="11"/>
  <c r="CH5" i="10"/>
  <c r="V5" i="10"/>
  <c r="W5" i="9"/>
  <c r="DW5" i="12"/>
  <c r="BC5" i="12"/>
  <c r="FB5" i="12"/>
  <c r="CP5" i="12"/>
  <c r="AD5" i="12"/>
  <c r="CC5" i="11"/>
  <c r="Q5" i="11"/>
  <c r="BP5" i="10"/>
  <c r="D5" i="10"/>
  <c r="E5" i="9"/>
  <c r="AK5" i="7"/>
  <c r="U5" i="6"/>
  <c r="V5" i="5"/>
  <c r="I5" i="4"/>
  <c r="H917" i="1"/>
  <c r="DM5" i="12"/>
  <c r="BA5" i="12"/>
  <c r="CZ5" i="11"/>
  <c r="AN5" i="11"/>
  <c r="CM5" i="10"/>
  <c r="AA5" i="10"/>
  <c r="AB5" i="9"/>
  <c r="L5" i="8"/>
  <c r="AR5" i="6"/>
  <c r="AS5" i="5"/>
  <c r="AF5" i="4"/>
  <c r="G919" i="1"/>
  <c r="EJ5" i="12"/>
  <c r="BX5" i="12"/>
  <c r="L5" i="12"/>
  <c r="BK5" i="11"/>
  <c r="FG5" i="12"/>
  <c r="CU5" i="12"/>
  <c r="AI5" i="12"/>
  <c r="CH5" i="11"/>
  <c r="V5" i="11"/>
  <c r="BU5" i="10"/>
  <c r="I5" i="10"/>
  <c r="J5" i="9"/>
  <c r="AP5" i="7"/>
  <c r="Z5" i="6"/>
  <c r="AA5" i="5"/>
  <c r="N5" i="4"/>
  <c r="A918" i="1"/>
  <c r="DZ5" i="12"/>
  <c r="BN5" i="12"/>
  <c r="B5" i="12"/>
  <c r="BA5" i="11"/>
  <c r="CZ5" i="10"/>
  <c r="AN5" i="10"/>
  <c r="AO5" i="9"/>
  <c r="Y5" i="8"/>
  <c r="I5" i="7"/>
  <c r="BF5" i="5"/>
  <c r="AS5" i="4"/>
  <c r="H920" i="1"/>
  <c r="D915" i="1"/>
  <c r="L909" i="1"/>
  <c r="H904" i="1"/>
  <c r="D899" i="1"/>
  <c r="J5" i="10"/>
  <c r="W5" i="7"/>
  <c r="H5" i="5"/>
  <c r="F916" i="1"/>
  <c r="D910" i="1"/>
  <c r="C904" i="1"/>
  <c r="B898" i="1"/>
  <c r="I892" i="1"/>
  <c r="E887" i="1"/>
  <c r="A882" i="1"/>
  <c r="I876" i="1"/>
  <c r="E871" i="1"/>
  <c r="A866" i="1"/>
  <c r="I860" i="1"/>
  <c r="E855" i="1"/>
  <c r="A850" i="1"/>
  <c r="AA5" i="9"/>
  <c r="AL5" i="6"/>
  <c r="Z5" i="4"/>
  <c r="J914" i="1"/>
  <c r="I908" i="1"/>
  <c r="G902" i="1"/>
  <c r="H896" i="1"/>
  <c r="D891" i="1"/>
  <c r="L885" i="1"/>
  <c r="H880" i="1"/>
  <c r="D875" i="1"/>
  <c r="L869" i="1"/>
  <c r="H864" i="1"/>
  <c r="D859" i="1"/>
  <c r="L853" i="1"/>
  <c r="CL5" i="11"/>
  <c r="C5" i="9"/>
  <c r="S5" i="6"/>
  <c r="G5" i="4"/>
  <c r="K913" i="1"/>
  <c r="J907" i="1"/>
  <c r="I901" i="1"/>
  <c r="EW5" i="12"/>
  <c r="CK5" i="12"/>
  <c r="Y5" i="12"/>
  <c r="BX5" i="11"/>
  <c r="L5" i="11"/>
  <c r="BK5" i="10"/>
  <c r="FL5" i="12"/>
  <c r="CZ5" i="12"/>
  <c r="AN5" i="12"/>
  <c r="CM5" i="11"/>
  <c r="AA5" i="11"/>
  <c r="BZ5" i="10"/>
  <c r="N5" i="10"/>
  <c r="O5" i="9"/>
  <c r="DO5" i="12"/>
  <c r="AU5" i="12"/>
  <c r="ET5" i="12"/>
  <c r="CH5" i="12"/>
  <c r="V5" i="12"/>
  <c r="BU5" i="11"/>
  <c r="I5" i="11"/>
  <c r="BH5" i="10"/>
  <c r="BI5" i="9"/>
  <c r="AS5" i="8"/>
  <c r="AC5" i="7"/>
  <c r="M5" i="6"/>
  <c r="N5" i="5"/>
  <c r="A5" i="4"/>
  <c r="L916" i="1"/>
  <c r="DE5" i="12"/>
  <c r="AS5" i="12"/>
  <c r="CR5" i="11"/>
  <c r="AF5" i="11"/>
  <c r="CE5" i="10"/>
  <c r="S5" i="10"/>
  <c r="T5" i="9"/>
  <c r="D5" i="8"/>
  <c r="AJ5" i="6"/>
  <c r="AK5" i="5"/>
  <c r="X5" i="4"/>
  <c r="K918" i="1"/>
  <c r="EB5" i="12"/>
  <c r="BP5" i="12"/>
  <c r="D5" i="12"/>
  <c r="BC5" i="11"/>
  <c r="EY5" i="12"/>
  <c r="CM5" i="12"/>
  <c r="AA5" i="12"/>
  <c r="BZ5" i="11"/>
  <c r="N5" i="11"/>
  <c r="BM5" i="10"/>
  <c r="A5" i="10"/>
  <c r="B5" i="9"/>
  <c r="AH5" i="7"/>
  <c r="R5" i="6"/>
  <c r="S5" i="5"/>
  <c r="F5" i="4"/>
  <c r="E917" i="1"/>
  <c r="DR5" i="12"/>
  <c r="BF5" i="12"/>
  <c r="DE5" i="11"/>
  <c r="AS5" i="11"/>
  <c r="CR5" i="10"/>
  <c r="AF5" i="10"/>
  <c r="AG5" i="9"/>
  <c r="Q5" i="8"/>
  <c r="A5" i="7"/>
  <c r="AX5" i="5"/>
  <c r="AK5" i="4"/>
  <c r="L919" i="1"/>
  <c r="H914" i="1"/>
  <c r="D909" i="1"/>
  <c r="L903" i="1"/>
  <c r="H898" i="1"/>
  <c r="AY5" i="9"/>
  <c r="G5" i="7"/>
  <c r="AQ5" i="4"/>
  <c r="H915" i="1"/>
  <c r="G909" i="1"/>
  <c r="F903" i="1"/>
  <c r="E897" i="1"/>
  <c r="A892" i="1"/>
  <c r="I886" i="1"/>
  <c r="E881" i="1"/>
  <c r="A876" i="1"/>
  <c r="I870" i="1"/>
  <c r="E865" i="1"/>
  <c r="A860" i="1"/>
  <c r="I854" i="1"/>
  <c r="CT5" i="11"/>
  <c r="F5" i="9"/>
  <c r="V5" i="6"/>
  <c r="J5" i="4"/>
  <c r="A914" i="1"/>
  <c r="K907" i="1"/>
  <c r="J901" i="1"/>
  <c r="EO5" i="12"/>
  <c r="CC5" i="12"/>
  <c r="Q5" i="12"/>
  <c r="BP5" i="11"/>
  <c r="D5" i="11"/>
  <c r="BC5" i="10"/>
  <c r="FD5" i="12"/>
  <c r="CR5" i="12"/>
  <c r="AF5" i="12"/>
  <c r="CE5" i="11"/>
  <c r="S5" i="11"/>
  <c r="BR5" i="10"/>
  <c r="F5" i="10"/>
  <c r="G5" i="9"/>
  <c r="DG5" i="12"/>
  <c r="AM5" i="12"/>
  <c r="EL5" i="12"/>
  <c r="BZ5" i="12"/>
  <c r="N5" i="12"/>
  <c r="BM5" i="11"/>
  <c r="A5" i="11"/>
  <c r="AZ5" i="10"/>
  <c r="BA5" i="9"/>
  <c r="U5" i="7"/>
  <c r="E5" i="6"/>
  <c r="F5" i="5"/>
  <c r="H921" i="1"/>
  <c r="FI5" i="12"/>
  <c r="CW5" i="12"/>
  <c r="AK5" i="12"/>
  <c r="CJ5" i="11"/>
  <c r="X5" i="11"/>
  <c r="BW5" i="10"/>
  <c r="K5" i="10"/>
  <c r="L5" i="9"/>
  <c r="AR5" i="7"/>
  <c r="AB5" i="6"/>
  <c r="AC5" i="5"/>
  <c r="P5" i="4"/>
  <c r="C918" i="1"/>
  <c r="DT5" i="12"/>
  <c r="BH5" i="12"/>
  <c r="DG5" i="11"/>
  <c r="AU5" i="11"/>
  <c r="EQ5" i="12"/>
  <c r="CE5" i="12"/>
  <c r="S5" i="12"/>
  <c r="BR5" i="11"/>
  <c r="F5" i="11"/>
  <c r="BE5" i="10"/>
  <c r="BF5" i="9"/>
  <c r="AP5" i="8"/>
  <c r="Z5" i="7"/>
  <c r="J5" i="6"/>
  <c r="K5" i="5"/>
  <c r="A4" i="3"/>
  <c r="I916" i="1"/>
  <c r="DJ5" i="12"/>
  <c r="AX5" i="12"/>
  <c r="CW5" i="11"/>
  <c r="AK5" i="11"/>
  <c r="CJ5" i="10"/>
  <c r="X5" i="10"/>
  <c r="Y5" i="9"/>
  <c r="I5" i="8"/>
  <c r="AO5" i="6"/>
  <c r="AP5" i="5"/>
  <c r="AC5" i="4"/>
  <c r="D919" i="1"/>
  <c r="L913" i="1"/>
  <c r="H908" i="1"/>
  <c r="D903" i="1"/>
  <c r="L897" i="1"/>
  <c r="AD5" i="9"/>
  <c r="AM5" i="6"/>
  <c r="AA5" i="4"/>
  <c r="K914" i="1"/>
  <c r="J908" i="1"/>
  <c r="I902" i="1"/>
  <c r="I896" i="1"/>
  <c r="E891" i="1"/>
  <c r="A886" i="1"/>
  <c r="I880" i="1"/>
  <c r="E875" i="1"/>
  <c r="A870" i="1"/>
  <c r="I864" i="1"/>
  <c r="E859" i="1"/>
  <c r="A854" i="1"/>
  <c r="AH5" i="11"/>
  <c r="AL5" i="8"/>
  <c r="F5" i="6"/>
  <c r="I921" i="1"/>
  <c r="C913" i="1"/>
  <c r="B907" i="1"/>
  <c r="A901" i="1"/>
  <c r="D895" i="1"/>
  <c r="L889" i="1"/>
  <c r="H884" i="1"/>
  <c r="D879" i="1"/>
  <c r="L873" i="1"/>
  <c r="H868" i="1"/>
  <c r="D863" i="1"/>
  <c r="L857" i="1"/>
  <c r="H852" i="1"/>
  <c r="CT5" i="10"/>
  <c r="S5" i="8"/>
  <c r="AZ5" i="5"/>
  <c r="B920" i="1"/>
  <c r="E912" i="1"/>
  <c r="D906" i="1"/>
  <c r="C900" i="1"/>
  <c r="EG5" i="12"/>
  <c r="BU5" i="12"/>
  <c r="I5" i="12"/>
  <c r="BH5" i="11"/>
  <c r="DG5" i="10"/>
  <c r="AU5" i="10"/>
  <c r="EV5" i="12"/>
  <c r="CJ5" i="12"/>
  <c r="X5" i="12"/>
  <c r="BW5" i="11"/>
  <c r="K5" i="11"/>
  <c r="BJ5" i="10"/>
  <c r="BK5" i="9"/>
  <c r="FK5" i="12"/>
  <c r="CY5" i="12"/>
  <c r="AE5" i="12"/>
  <c r="ED5" i="12"/>
  <c r="BR5" i="12"/>
  <c r="F5" i="12"/>
  <c r="BE5" i="11"/>
  <c r="DD5" i="10"/>
  <c r="AR5" i="10"/>
  <c r="AS5" i="9"/>
  <c r="AC5" i="8"/>
  <c r="M5" i="7"/>
  <c r="BJ5" i="5"/>
  <c r="AW5" i="4"/>
  <c r="L920" i="1"/>
  <c r="FA5" i="12"/>
  <c r="CO5" i="12"/>
  <c r="AC5" i="12"/>
  <c r="CB5" i="11"/>
  <c r="P5" i="11"/>
  <c r="BO5" i="10"/>
  <c r="C5" i="10"/>
  <c r="D5" i="9"/>
  <c r="AJ5" i="7"/>
  <c r="T5" i="6"/>
  <c r="U5" i="5"/>
  <c r="H5" i="4"/>
  <c r="G917" i="1"/>
  <c r="DL5" i="12"/>
  <c r="AZ5" i="12"/>
  <c r="CY5" i="11"/>
  <c r="AM5" i="11"/>
  <c r="EI5" i="12"/>
  <c r="BW5" i="12"/>
  <c r="K5" i="12"/>
  <c r="BJ5" i="11"/>
  <c r="DI5" i="10"/>
  <c r="AW5" i="10"/>
  <c r="AX5" i="9"/>
  <c r="AH5" i="8"/>
  <c r="R5" i="7"/>
  <c r="B5" i="6"/>
  <c r="C5" i="5"/>
  <c r="E921" i="1"/>
  <c r="A916" i="1"/>
  <c r="DB5" i="12"/>
  <c r="AP5" i="12"/>
  <c r="CO5" i="11"/>
  <c r="AC5" i="11"/>
  <c r="CB5" i="10"/>
  <c r="P5" i="10"/>
  <c r="Q5" i="9"/>
  <c r="A5" i="8"/>
  <c r="AG5" i="6"/>
  <c r="AH5" i="5"/>
  <c r="U5" i="4"/>
  <c r="H918" i="1"/>
  <c r="D913" i="1"/>
  <c r="L907" i="1"/>
  <c r="H902" i="1"/>
  <c r="DB5" i="11"/>
  <c r="H5" i="9"/>
  <c r="W5" i="6"/>
  <c r="K5" i="4"/>
  <c r="B914" i="1"/>
  <c r="A908" i="1"/>
  <c r="K901" i="1"/>
  <c r="A896" i="1"/>
  <c r="I890" i="1"/>
  <c r="E885" i="1"/>
  <c r="A880" i="1"/>
  <c r="I874" i="1"/>
  <c r="E869" i="1"/>
  <c r="A864" i="1"/>
  <c r="I858" i="1"/>
  <c r="E853" i="1"/>
  <c r="CW5" i="10"/>
  <c r="V5" i="8"/>
  <c r="BC5" i="5"/>
  <c r="E920" i="1"/>
  <c r="F912" i="1"/>
  <c r="E906" i="1"/>
  <c r="D900" i="1"/>
  <c r="H894" i="1"/>
  <c r="D889" i="1"/>
  <c r="L883" i="1"/>
  <c r="H878" i="1"/>
  <c r="D873" i="1"/>
  <c r="L867" i="1"/>
  <c r="H862" i="1"/>
  <c r="D857" i="1"/>
  <c r="L851" i="1"/>
  <c r="BN5" i="10"/>
  <c r="C5" i="8"/>
  <c r="AJ5" i="5"/>
  <c r="J918" i="1"/>
  <c r="H911" i="1"/>
  <c r="G905" i="1"/>
  <c r="F899" i="1"/>
  <c r="K893" i="1"/>
  <c r="G888" i="1"/>
  <c r="C883" i="1"/>
  <c r="K877" i="1"/>
  <c r="G872" i="1"/>
  <c r="C867" i="1"/>
  <c r="K861" i="1"/>
  <c r="G856" i="1"/>
  <c r="C851" i="1"/>
  <c r="AC5" i="10"/>
  <c r="P5" i="7"/>
  <c r="A5" i="5"/>
  <c r="C916" i="1"/>
  <c r="A910" i="1"/>
  <c r="K903" i="1"/>
  <c r="DY5" i="12"/>
  <c r="BM5" i="12"/>
  <c r="A5" i="12"/>
  <c r="AZ5" i="11"/>
  <c r="CY5" i="10"/>
  <c r="AM5" i="10"/>
  <c r="EN5" i="12"/>
  <c r="CB5" i="12"/>
  <c r="P5" i="12"/>
  <c r="BO5" i="11"/>
  <c r="C5" i="11"/>
  <c r="BB5" i="10"/>
  <c r="BC5" i="9"/>
  <c r="FC5" i="12"/>
  <c r="CQ5" i="12"/>
  <c r="W5" i="12"/>
  <c r="DV5" i="12"/>
  <c r="BJ5" i="12"/>
  <c r="DI5" i="11"/>
  <c r="AW5" i="11"/>
  <c r="CV5" i="10"/>
  <c r="AJ5" i="10"/>
  <c r="AK5" i="9"/>
  <c r="U5" i="8"/>
  <c r="E5" i="7"/>
  <c r="BB5" i="5"/>
  <c r="AO5" i="4"/>
  <c r="D920" i="1"/>
  <c r="ES5" i="12"/>
  <c r="CG5" i="12"/>
  <c r="U5" i="12"/>
  <c r="BT5" i="11"/>
  <c r="H5" i="11"/>
  <c r="BG5" i="10"/>
  <c r="BH5" i="9"/>
  <c r="AR5" i="8"/>
  <c r="AB5" i="7"/>
  <c r="L5" i="6"/>
  <c r="M5" i="5"/>
  <c r="B4" i="4"/>
  <c r="K916" i="1"/>
  <c r="DD5" i="12"/>
  <c r="AR5" i="12"/>
  <c r="CQ5" i="11"/>
  <c r="AE5" i="11"/>
  <c r="EA5" i="12"/>
  <c r="BO5" i="12"/>
  <c r="C5" i="12"/>
  <c r="BB5" i="11"/>
  <c r="DA5" i="10"/>
  <c r="AO5" i="10"/>
  <c r="AP5" i="9"/>
  <c r="Z5" i="8"/>
  <c r="J5" i="7"/>
  <c r="BG5" i="5"/>
  <c r="AT5" i="4"/>
  <c r="I920" i="1"/>
  <c r="FF5" i="12"/>
  <c r="CT5" i="12"/>
  <c r="AH5" i="12"/>
  <c r="CG5" i="11"/>
  <c r="U5" i="11"/>
  <c r="BT5" i="10"/>
  <c r="H5" i="10"/>
  <c r="I5" i="9"/>
  <c r="AO5" i="7"/>
  <c r="Y5" i="6"/>
  <c r="Z5" i="5"/>
  <c r="M5" i="4"/>
  <c r="L917" i="1"/>
  <c r="H912" i="1"/>
  <c r="D907" i="1"/>
  <c r="L901" i="1"/>
  <c r="AP5" i="11"/>
  <c r="AM5" i="8"/>
  <c r="G5" i="6"/>
  <c r="J921" i="1"/>
  <c r="E913" i="1"/>
  <c r="C907" i="1"/>
  <c r="B901" i="1"/>
  <c r="E895" i="1"/>
  <c r="A890" i="1"/>
  <c r="I884" i="1"/>
  <c r="E879" i="1"/>
  <c r="A874" i="1"/>
  <c r="I868" i="1"/>
  <c r="E863" i="1"/>
  <c r="A858" i="1"/>
  <c r="I852" i="1"/>
  <c r="BQ5" i="10"/>
  <c r="F5" i="8"/>
  <c r="AM5" i="5"/>
  <c r="A919" i="1"/>
  <c r="I911" i="1"/>
  <c r="H905" i="1"/>
  <c r="G899" i="1"/>
  <c r="L893" i="1"/>
  <c r="H888" i="1"/>
  <c r="D883" i="1"/>
  <c r="L877" i="1"/>
  <c r="H872" i="1"/>
  <c r="D867" i="1"/>
  <c r="L861" i="1"/>
  <c r="H856" i="1"/>
  <c r="D851" i="1"/>
  <c r="AH5" i="10"/>
  <c r="AI5" i="7"/>
  <c r="T5" i="5"/>
  <c r="F917" i="1"/>
  <c r="K910" i="1"/>
  <c r="J904" i="1"/>
  <c r="I898" i="1"/>
  <c r="C893" i="1"/>
  <c r="K887" i="1"/>
  <c r="G882" i="1"/>
  <c r="C877" i="1"/>
  <c r="K871" i="1"/>
  <c r="G866" i="1"/>
  <c r="C861" i="1"/>
  <c r="K855" i="1"/>
  <c r="G850" i="1"/>
  <c r="AQ5" i="9"/>
  <c r="B4" i="7"/>
  <c r="AJ5" i="4"/>
  <c r="E915" i="1"/>
  <c r="C909" i="1"/>
  <c r="B903" i="1"/>
  <c r="A868" i="1"/>
  <c r="L910" i="1"/>
  <c r="H882" i="1"/>
  <c r="D861" i="1"/>
  <c r="S5" i="7"/>
  <c r="A904" i="1"/>
  <c r="K889" i="1"/>
  <c r="C879" i="1"/>
  <c r="G868" i="1"/>
  <c r="K857" i="1"/>
  <c r="CO5" i="10"/>
  <c r="AG5" i="5"/>
  <c r="G911" i="1"/>
  <c r="K900" i="1"/>
  <c r="B895" i="1"/>
  <c r="J889" i="1"/>
  <c r="F884" i="1"/>
  <c r="B879" i="1"/>
  <c r="J873" i="1"/>
  <c r="F868" i="1"/>
  <c r="B863" i="1"/>
  <c r="J857" i="1"/>
  <c r="F852" i="1"/>
  <c r="CL5" i="10"/>
  <c r="AE5" i="7"/>
  <c r="AL5" i="9"/>
  <c r="AT5" i="6"/>
  <c r="R5" i="4"/>
  <c r="E914" i="1"/>
  <c r="D908" i="1"/>
  <c r="C902" i="1"/>
  <c r="D896" i="1"/>
  <c r="L890" i="1"/>
  <c r="H885" i="1"/>
  <c r="D880" i="1"/>
  <c r="L874" i="1"/>
  <c r="H869" i="1"/>
  <c r="D864" i="1"/>
  <c r="L858" i="1"/>
  <c r="AX5" i="10"/>
  <c r="AQ5" i="7"/>
  <c r="AB5" i="5"/>
  <c r="J916" i="1"/>
  <c r="F910" i="1"/>
  <c r="E904" i="1"/>
  <c r="D898" i="1"/>
  <c r="K892" i="1"/>
  <c r="G887" i="1"/>
  <c r="C882" i="1"/>
  <c r="K876" i="1"/>
  <c r="G871" i="1"/>
  <c r="C866" i="1"/>
  <c r="AF5" i="9"/>
  <c r="G901" i="1"/>
  <c r="I879" i="1"/>
  <c r="G859" i="1"/>
  <c r="F848" i="1"/>
  <c r="B843" i="1"/>
  <c r="J837" i="1"/>
  <c r="F832" i="1"/>
  <c r="B827" i="1"/>
  <c r="J821" i="1"/>
  <c r="F816" i="1"/>
  <c r="B811" i="1"/>
  <c r="J805" i="1"/>
  <c r="F800" i="1"/>
  <c r="B795" i="1"/>
  <c r="E910" i="1"/>
  <c r="F887" i="1"/>
  <c r="B866" i="1"/>
  <c r="H851" i="1"/>
  <c r="A845" i="1"/>
  <c r="I839" i="1"/>
  <c r="E834" i="1"/>
  <c r="A829" i="1"/>
  <c r="I823" i="1"/>
  <c r="E818" i="1"/>
  <c r="A813" i="1"/>
  <c r="I807" i="1"/>
  <c r="E802" i="1"/>
  <c r="A797" i="1"/>
  <c r="I791" i="1"/>
  <c r="B921" i="1"/>
  <c r="A895" i="1"/>
  <c r="I873" i="1"/>
  <c r="G855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AI5" i="4"/>
  <c r="F897" i="1"/>
  <c r="B876" i="1"/>
  <c r="A857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S5" i="4"/>
  <c r="J896" i="1"/>
  <c r="F875" i="1"/>
  <c r="J856" i="1"/>
  <c r="E847" i="1"/>
  <c r="A842" i="1"/>
  <c r="I836" i="1"/>
  <c r="E831" i="1"/>
  <c r="A826" i="1"/>
  <c r="I820" i="1"/>
  <c r="E815" i="1"/>
  <c r="A810" i="1"/>
  <c r="I804" i="1"/>
  <c r="I862" i="1"/>
  <c r="K904" i="1"/>
  <c r="L879" i="1"/>
  <c r="H858" i="1"/>
  <c r="C5" i="6"/>
  <c r="L900" i="1"/>
  <c r="C889" i="1"/>
  <c r="G878" i="1"/>
  <c r="K867" i="1"/>
  <c r="C857" i="1"/>
  <c r="BI5" i="10"/>
  <c r="Q5" i="5"/>
  <c r="J910" i="1"/>
  <c r="B900" i="1"/>
  <c r="F894" i="1"/>
  <c r="B889" i="1"/>
  <c r="J883" i="1"/>
  <c r="F878" i="1"/>
  <c r="B873" i="1"/>
  <c r="J867" i="1"/>
  <c r="F862" i="1"/>
  <c r="B857" i="1"/>
  <c r="J851" i="1"/>
  <c r="BF5" i="10"/>
  <c r="O5" i="7"/>
  <c r="P5" i="9"/>
  <c r="AD5" i="6"/>
  <c r="B5" i="4"/>
  <c r="H913" i="1"/>
  <c r="G907" i="1"/>
  <c r="F901" i="1"/>
  <c r="H895" i="1"/>
  <c r="D890" i="1"/>
  <c r="L884" i="1"/>
  <c r="H879" i="1"/>
  <c r="D874" i="1"/>
  <c r="L868" i="1"/>
  <c r="H863" i="1"/>
  <c r="D858" i="1"/>
  <c r="R5" i="10"/>
  <c r="AA5" i="7"/>
  <c r="L5" i="5"/>
  <c r="J915" i="1"/>
  <c r="I909" i="1"/>
  <c r="H903" i="1"/>
  <c r="G897" i="1"/>
  <c r="C892" i="1"/>
  <c r="K886" i="1"/>
  <c r="G881" i="1"/>
  <c r="C876" i="1"/>
  <c r="K870" i="1"/>
  <c r="G865" i="1"/>
  <c r="X5" i="7"/>
  <c r="F898" i="1"/>
  <c r="A877" i="1"/>
  <c r="I857" i="1"/>
  <c r="J847" i="1"/>
  <c r="F842" i="1"/>
  <c r="B837" i="1"/>
  <c r="J831" i="1"/>
  <c r="F826" i="1"/>
  <c r="B821" i="1"/>
  <c r="J815" i="1"/>
  <c r="F810" i="1"/>
  <c r="B805" i="1"/>
  <c r="J799" i="1"/>
  <c r="F794" i="1"/>
  <c r="E907" i="1"/>
  <c r="J884" i="1"/>
  <c r="F863" i="1"/>
  <c r="D850" i="1"/>
  <c r="E844" i="1"/>
  <c r="A839" i="1"/>
  <c r="I833" i="1"/>
  <c r="E828" i="1"/>
  <c r="A823" i="1"/>
  <c r="I817" i="1"/>
  <c r="E812" i="1"/>
  <c r="A807" i="1"/>
  <c r="I801" i="1"/>
  <c r="E796" i="1"/>
  <c r="A791" i="1"/>
  <c r="B916" i="1"/>
  <c r="E892" i="1"/>
  <c r="A871" i="1"/>
  <c r="C854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G920" i="1"/>
  <c r="J894" i="1"/>
  <c r="F873" i="1"/>
  <c r="F855" i="1"/>
  <c r="K846" i="1"/>
  <c r="G841" i="1"/>
  <c r="C836" i="1"/>
  <c r="K830" i="1"/>
  <c r="G825" i="1"/>
  <c r="C820" i="1"/>
  <c r="K814" i="1"/>
  <c r="G809" i="1"/>
  <c r="C804" i="1"/>
  <c r="K798" i="1"/>
  <c r="G793" i="1"/>
  <c r="AS5" i="10"/>
  <c r="C919" i="1"/>
  <c r="B894" i="1"/>
  <c r="J872" i="1"/>
  <c r="L854" i="1"/>
  <c r="I846" i="1"/>
  <c r="E841" i="1"/>
  <c r="A836" i="1"/>
  <c r="I830" i="1"/>
  <c r="E825" i="1"/>
  <c r="A820" i="1"/>
  <c r="I814" i="1"/>
  <c r="E809" i="1"/>
  <c r="A804" i="1"/>
  <c r="E857" i="1"/>
  <c r="J898" i="1"/>
  <c r="D877" i="1"/>
  <c r="L855" i="1"/>
  <c r="D5" i="5"/>
  <c r="K897" i="1"/>
  <c r="C887" i="1"/>
  <c r="G876" i="1"/>
  <c r="K865" i="1"/>
  <c r="C855" i="1"/>
  <c r="V5" i="9"/>
  <c r="T5" i="4"/>
  <c r="F908" i="1"/>
  <c r="E899" i="1"/>
  <c r="J893" i="1"/>
  <c r="F888" i="1"/>
  <c r="B883" i="1"/>
  <c r="J877" i="1"/>
  <c r="F872" i="1"/>
  <c r="B867" i="1"/>
  <c r="J861" i="1"/>
  <c r="F856" i="1"/>
  <c r="B851" i="1"/>
  <c r="Z5" i="10"/>
  <c r="BN5" i="11"/>
  <c r="AT5" i="8"/>
  <c r="N5" i="6"/>
  <c r="A921" i="1"/>
  <c r="K912" i="1"/>
  <c r="J906" i="1"/>
  <c r="I900" i="1"/>
  <c r="L894" i="1"/>
  <c r="H889" i="1"/>
  <c r="D884" i="1"/>
  <c r="L878" i="1"/>
  <c r="H873" i="1"/>
  <c r="D868" i="1"/>
  <c r="L862" i="1"/>
  <c r="H857" i="1"/>
  <c r="BD5" i="9"/>
  <c r="K5" i="7"/>
  <c r="AU5" i="4"/>
  <c r="A915" i="1"/>
  <c r="L908" i="1"/>
  <c r="K902" i="1"/>
  <c r="K896" i="1"/>
  <c r="G891" i="1"/>
  <c r="C886" i="1"/>
  <c r="K880" i="1"/>
  <c r="G875" i="1"/>
  <c r="C870" i="1"/>
  <c r="K864" i="1"/>
  <c r="B4" i="5"/>
  <c r="I895" i="1"/>
  <c r="E874" i="1"/>
  <c r="B856" i="1"/>
  <c r="B847" i="1"/>
  <c r="J841" i="1"/>
  <c r="F836" i="1"/>
  <c r="B831" i="1"/>
  <c r="J825" i="1"/>
  <c r="F820" i="1"/>
  <c r="B815" i="1"/>
  <c r="J809" i="1"/>
  <c r="F804" i="1"/>
  <c r="B799" i="1"/>
  <c r="K5" i="9"/>
  <c r="D904" i="1"/>
  <c r="B882" i="1"/>
  <c r="A861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L912" i="1"/>
  <c r="I889" i="1"/>
  <c r="E868" i="1"/>
  <c r="K852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I915" i="1"/>
  <c r="B892" i="1"/>
  <c r="J870" i="1"/>
  <c r="B854" i="1"/>
  <c r="C846" i="1"/>
  <c r="K840" i="1"/>
  <c r="G835" i="1"/>
  <c r="C830" i="1"/>
  <c r="K824" i="1"/>
  <c r="G819" i="1"/>
  <c r="C814" i="1"/>
  <c r="K808" i="1"/>
  <c r="G803" i="1"/>
  <c r="C798" i="1"/>
  <c r="K792" i="1"/>
  <c r="X5" i="8"/>
  <c r="L914" i="1"/>
  <c r="F891" i="1"/>
  <c r="B870" i="1"/>
  <c r="H853" i="1"/>
  <c r="A846" i="1"/>
  <c r="I840" i="1"/>
  <c r="E835" i="1"/>
  <c r="A830" i="1"/>
  <c r="I824" i="1"/>
  <c r="E819" i="1"/>
  <c r="A814" i="1"/>
  <c r="I808" i="1"/>
  <c r="E803" i="1"/>
  <c r="A852" i="1"/>
  <c r="L895" i="1"/>
  <c r="H874" i="1"/>
  <c r="D853" i="1"/>
  <c r="F921" i="1"/>
  <c r="K895" i="1"/>
  <c r="C885" i="1"/>
  <c r="G874" i="1"/>
  <c r="K863" i="1"/>
  <c r="C853" i="1"/>
  <c r="P5" i="8"/>
  <c r="K919" i="1"/>
  <c r="C906" i="1"/>
  <c r="G898" i="1"/>
  <c r="B893" i="1"/>
  <c r="J887" i="1"/>
  <c r="F882" i="1"/>
  <c r="B877" i="1"/>
  <c r="J871" i="1"/>
  <c r="F866" i="1"/>
  <c r="B861" i="1"/>
  <c r="J855" i="1"/>
  <c r="F850" i="1"/>
  <c r="BJ5" i="9"/>
  <c r="B5" i="11"/>
  <c r="AD5" i="8"/>
  <c r="BK5" i="5"/>
  <c r="I919" i="1"/>
  <c r="B912" i="1"/>
  <c r="A906" i="1"/>
  <c r="K899" i="1"/>
  <c r="D894" i="1"/>
  <c r="L888" i="1"/>
  <c r="H883" i="1"/>
  <c r="D878" i="1"/>
  <c r="L872" i="1"/>
  <c r="H867" i="1"/>
  <c r="D862" i="1"/>
  <c r="L856" i="1"/>
  <c r="AI5" i="9"/>
  <c r="AQ5" i="6"/>
  <c r="AE5" i="4"/>
  <c r="D914" i="1"/>
  <c r="C908" i="1"/>
  <c r="B902" i="1"/>
  <c r="C896" i="1"/>
  <c r="K890" i="1"/>
  <c r="G885" i="1"/>
  <c r="C880" i="1"/>
  <c r="K874" i="1"/>
  <c r="G869" i="1"/>
  <c r="C864" i="1"/>
  <c r="B917" i="1"/>
  <c r="A893" i="1"/>
  <c r="I871" i="1"/>
  <c r="E854" i="1"/>
  <c r="F846" i="1"/>
  <c r="B841" i="1"/>
  <c r="J835" i="1"/>
  <c r="F830" i="1"/>
  <c r="B825" i="1"/>
  <c r="J819" i="1"/>
  <c r="F814" i="1"/>
  <c r="B809" i="1"/>
  <c r="J803" i="1"/>
  <c r="F798" i="1"/>
  <c r="H5" i="7"/>
  <c r="C901" i="1"/>
  <c r="F879" i="1"/>
  <c r="F859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K909" i="1"/>
  <c r="A887" i="1"/>
  <c r="I865" i="1"/>
  <c r="G851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I912" i="1"/>
  <c r="F889" i="1"/>
  <c r="B868" i="1"/>
  <c r="J852" i="1"/>
  <c r="G845" i="1"/>
  <c r="C840" i="1"/>
  <c r="K834" i="1"/>
  <c r="G829" i="1"/>
  <c r="C824" i="1"/>
  <c r="K818" i="1"/>
  <c r="G813" i="1"/>
  <c r="C808" i="1"/>
  <c r="K802" i="1"/>
  <c r="G797" i="1"/>
  <c r="C792" i="1"/>
  <c r="AE5" i="6"/>
  <c r="K911" i="1"/>
  <c r="J888" i="1"/>
  <c r="F867" i="1"/>
  <c r="D852" i="1"/>
  <c r="E845" i="1"/>
  <c r="A840" i="1"/>
  <c r="I834" i="1"/>
  <c r="E829" i="1"/>
  <c r="A824" i="1"/>
  <c r="I818" i="1"/>
  <c r="E813" i="1"/>
  <c r="A808" i="1"/>
  <c r="I802" i="1"/>
  <c r="AK5" i="10"/>
  <c r="D893" i="1"/>
  <c r="L871" i="1"/>
  <c r="H850" i="1"/>
  <c r="D916" i="1"/>
  <c r="C895" i="1"/>
  <c r="G884" i="1"/>
  <c r="K873" i="1"/>
  <c r="C863" i="1"/>
  <c r="G852" i="1"/>
  <c r="B4" i="8"/>
  <c r="G918" i="1"/>
  <c r="F905" i="1"/>
  <c r="J897" i="1"/>
  <c r="F892" i="1"/>
  <c r="B887" i="1"/>
  <c r="J881" i="1"/>
  <c r="F876" i="1"/>
  <c r="B871" i="1"/>
  <c r="J865" i="1"/>
  <c r="F860" i="1"/>
  <c r="B855" i="1"/>
  <c r="J849" i="1"/>
  <c r="AN5" i="9"/>
  <c r="CG5" i="10"/>
  <c r="N5" i="8"/>
  <c r="AU5" i="5"/>
  <c r="E918" i="1"/>
  <c r="E911" i="1"/>
  <c r="C905" i="1"/>
  <c r="B899" i="1"/>
  <c r="H893" i="1"/>
  <c r="D888" i="1"/>
  <c r="L882" i="1"/>
  <c r="H877" i="1"/>
  <c r="D872" i="1"/>
  <c r="L866" i="1"/>
  <c r="H861" i="1"/>
  <c r="D856" i="1"/>
  <c r="N5" i="9"/>
  <c r="AA5" i="6"/>
  <c r="O5" i="4"/>
  <c r="G913" i="1"/>
  <c r="F907" i="1"/>
  <c r="E901" i="1"/>
  <c r="G895" i="1"/>
  <c r="C890" i="1"/>
  <c r="K884" i="1"/>
  <c r="G879" i="1"/>
  <c r="C874" i="1"/>
  <c r="K868" i="1"/>
  <c r="G863" i="1"/>
  <c r="I913" i="1"/>
  <c r="E890" i="1"/>
  <c r="A869" i="1"/>
  <c r="A853" i="1"/>
  <c r="J845" i="1"/>
  <c r="F840" i="1"/>
  <c r="B835" i="1"/>
  <c r="J829" i="1"/>
  <c r="F824" i="1"/>
  <c r="B819" i="1"/>
  <c r="J813" i="1"/>
  <c r="F808" i="1"/>
  <c r="B803" i="1"/>
  <c r="J797" i="1"/>
  <c r="BE5" i="5"/>
  <c r="C898" i="1"/>
  <c r="J876" i="1"/>
  <c r="G857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K906" i="1"/>
  <c r="E884" i="1"/>
  <c r="A863" i="1"/>
  <c r="C850" i="1"/>
  <c r="D844" i="1"/>
  <c r="L838" i="1"/>
  <c r="H833" i="1"/>
  <c r="D828" i="1"/>
  <c r="L822" i="1"/>
  <c r="H817" i="1"/>
  <c r="D812" i="1"/>
  <c r="L806" i="1"/>
  <c r="H801" i="1"/>
  <c r="D796" i="1"/>
  <c r="L790" i="1"/>
  <c r="BY5" i="10"/>
  <c r="H909" i="1"/>
  <c r="J886" i="1"/>
  <c r="F865" i="1"/>
  <c r="F851" i="1"/>
  <c r="K844" i="1"/>
  <c r="G839" i="1"/>
  <c r="C834" i="1"/>
  <c r="K828" i="1"/>
  <c r="G823" i="1"/>
  <c r="C818" i="1"/>
  <c r="K812" i="1"/>
  <c r="G807" i="1"/>
  <c r="C802" i="1"/>
  <c r="K796" i="1"/>
  <c r="G791" i="1"/>
  <c r="M5" i="10"/>
  <c r="K908" i="1"/>
  <c r="B886" i="1"/>
  <c r="J864" i="1"/>
  <c r="L850" i="1"/>
  <c r="I844" i="1"/>
  <c r="E839" i="1"/>
  <c r="A834" i="1"/>
  <c r="I828" i="1"/>
  <c r="E823" i="1"/>
  <c r="A818" i="1"/>
  <c r="I812" i="1"/>
  <c r="E807" i="1"/>
  <c r="A802" i="1"/>
  <c r="AL5" i="7"/>
  <c r="H890" i="1"/>
  <c r="D869" i="1"/>
  <c r="Z5" i="11"/>
  <c r="B913" i="1"/>
  <c r="G894" i="1"/>
  <c r="K883" i="1"/>
  <c r="C873" i="1"/>
  <c r="G862" i="1"/>
  <c r="K851" i="1"/>
  <c r="AF5" i="7"/>
  <c r="C917" i="1"/>
  <c r="I904" i="1"/>
  <c r="B897" i="1"/>
  <c r="J891" i="1"/>
  <c r="F886" i="1"/>
  <c r="B881" i="1"/>
  <c r="J875" i="1"/>
  <c r="F870" i="1"/>
  <c r="B865" i="1"/>
  <c r="J859" i="1"/>
  <c r="F854" i="1"/>
  <c r="B849" i="1"/>
  <c r="S5" i="9"/>
  <c r="BA5" i="10"/>
  <c r="AT5" i="7"/>
  <c r="AE5" i="5"/>
  <c r="A917" i="1"/>
  <c r="G910" i="1"/>
  <c r="F904" i="1"/>
  <c r="E898" i="1"/>
  <c r="L892" i="1"/>
  <c r="H887" i="1"/>
  <c r="D882" i="1"/>
  <c r="L876" i="1"/>
  <c r="H871" i="1"/>
  <c r="D866" i="1"/>
  <c r="L860" i="1"/>
  <c r="H855" i="1"/>
  <c r="AQ5" i="8"/>
  <c r="K5" i="6"/>
  <c r="J920" i="1"/>
  <c r="J912" i="1"/>
  <c r="I906" i="1"/>
  <c r="G900" i="1"/>
  <c r="K894" i="1"/>
  <c r="G889" i="1"/>
  <c r="C884" i="1"/>
  <c r="K878" i="1"/>
  <c r="G873" i="1"/>
  <c r="C868" i="1"/>
  <c r="K862" i="1"/>
  <c r="I910" i="1"/>
  <c r="I887" i="1"/>
  <c r="E866" i="1"/>
  <c r="I851" i="1"/>
  <c r="B845" i="1"/>
  <c r="J839" i="1"/>
  <c r="F834" i="1"/>
  <c r="B829" i="1"/>
  <c r="J823" i="1"/>
  <c r="F818" i="1"/>
  <c r="B813" i="1"/>
  <c r="J807" i="1"/>
  <c r="F802" i="1"/>
  <c r="B797" i="1"/>
  <c r="K921" i="1"/>
  <c r="F895" i="1"/>
  <c r="B874" i="1"/>
  <c r="I855" i="1"/>
  <c r="A847" i="1"/>
  <c r="I841" i="1"/>
  <c r="E836" i="1"/>
  <c r="A831" i="1"/>
  <c r="I825" i="1"/>
  <c r="E820" i="1"/>
  <c r="A815" i="1"/>
  <c r="I809" i="1"/>
  <c r="E804" i="1"/>
  <c r="A799" i="1"/>
  <c r="I793" i="1"/>
  <c r="DE5" i="10"/>
  <c r="J903" i="1"/>
  <c r="I881" i="1"/>
  <c r="K860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AN5" i="8"/>
  <c r="G906" i="1"/>
  <c r="B884" i="1"/>
  <c r="J862" i="1"/>
  <c r="B850" i="1"/>
  <c r="C844" i="1"/>
  <c r="K838" i="1"/>
  <c r="G833" i="1"/>
  <c r="C828" i="1"/>
  <c r="K822" i="1"/>
  <c r="G817" i="1"/>
  <c r="C812" i="1"/>
  <c r="K806" i="1"/>
  <c r="G801" i="1"/>
  <c r="C796" i="1"/>
  <c r="K790" i="1"/>
  <c r="H5" i="8"/>
  <c r="J905" i="1"/>
  <c r="F883" i="1"/>
  <c r="B862" i="1"/>
  <c r="H849" i="1"/>
  <c r="A844" i="1"/>
  <c r="I838" i="1"/>
  <c r="E833" i="1"/>
  <c r="A828" i="1"/>
  <c r="I822" i="1"/>
  <c r="E817" i="1"/>
  <c r="A812" i="1"/>
  <c r="I806" i="1"/>
  <c r="E801" i="1"/>
  <c r="W5" i="5"/>
  <c r="L887" i="1"/>
  <c r="H866" i="1"/>
  <c r="B5" i="10"/>
  <c r="B910" i="1"/>
  <c r="G892" i="1"/>
  <c r="K881" i="1"/>
  <c r="C871" i="1"/>
  <c r="G860" i="1"/>
  <c r="K849" i="1"/>
  <c r="AF5" i="6"/>
  <c r="G914" i="1"/>
  <c r="E902" i="1"/>
  <c r="F896" i="1"/>
  <c r="B891" i="1"/>
  <c r="J885" i="1"/>
  <c r="F880" i="1"/>
  <c r="B875" i="1"/>
  <c r="J869" i="1"/>
  <c r="F864" i="1"/>
  <c r="B859" i="1"/>
  <c r="J853" i="1"/>
  <c r="BV5" i="11"/>
  <c r="AE5" i="8"/>
  <c r="U5" i="10"/>
  <c r="AD5" i="7"/>
  <c r="O5" i="5"/>
  <c r="K915" i="1"/>
  <c r="J909" i="1"/>
  <c r="I903" i="1"/>
  <c r="H897" i="1"/>
  <c r="D892" i="1"/>
  <c r="L886" i="1"/>
  <c r="H881" i="1"/>
  <c r="D876" i="1"/>
  <c r="L870" i="1"/>
  <c r="H865" i="1"/>
  <c r="D860" i="1"/>
  <c r="BF5" i="11"/>
  <c r="AA5" i="8"/>
  <c r="BH5" i="5"/>
  <c r="F919" i="1"/>
  <c r="A912" i="1"/>
  <c r="K905" i="1"/>
  <c r="J899" i="1"/>
  <c r="C894" i="1"/>
  <c r="K888" i="1"/>
  <c r="G883" i="1"/>
  <c r="C878" i="1"/>
  <c r="K872" i="1"/>
  <c r="G867" i="1"/>
  <c r="C862" i="1"/>
  <c r="H907" i="1"/>
  <c r="A885" i="1"/>
  <c r="I863" i="1"/>
  <c r="E850" i="1"/>
  <c r="F844" i="1"/>
  <c r="B839" i="1"/>
  <c r="J833" i="1"/>
  <c r="F828" i="1"/>
  <c r="B823" i="1"/>
  <c r="J817" i="1"/>
  <c r="F812" i="1"/>
  <c r="B807" i="1"/>
  <c r="J801" i="1"/>
  <c r="F796" i="1"/>
  <c r="G916" i="1"/>
  <c r="J892" i="1"/>
  <c r="F871" i="1"/>
  <c r="D854" i="1"/>
  <c r="E846" i="1"/>
  <c r="A841" i="1"/>
  <c r="I835" i="1"/>
  <c r="E830" i="1"/>
  <c r="A825" i="1"/>
  <c r="I819" i="1"/>
  <c r="E814" i="1"/>
  <c r="A809" i="1"/>
  <c r="I803" i="1"/>
  <c r="E798" i="1"/>
  <c r="A793" i="1"/>
  <c r="AV5" i="5"/>
  <c r="J900" i="1"/>
  <c r="A879" i="1"/>
  <c r="A859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AN5" i="6"/>
  <c r="G903" i="1"/>
  <c r="F881" i="1"/>
  <c r="J860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X5" i="6"/>
  <c r="J902" i="1"/>
  <c r="J880" i="1"/>
  <c r="C860" i="1"/>
  <c r="I848" i="1"/>
  <c r="E843" i="1"/>
  <c r="A838" i="1"/>
  <c r="I832" i="1"/>
  <c r="E827" i="1"/>
  <c r="A822" i="1"/>
  <c r="I816" i="1"/>
  <c r="E811" i="1"/>
  <c r="A806" i="1"/>
  <c r="I800" i="1"/>
  <c r="I917" i="1"/>
  <c r="D885" i="1"/>
  <c r="L863" i="1"/>
  <c r="AI5" i="8"/>
  <c r="A907" i="1"/>
  <c r="G890" i="1"/>
  <c r="K879" i="1"/>
  <c r="C869" i="1"/>
  <c r="G858" i="1"/>
  <c r="R5" i="11"/>
  <c r="AW5" i="5"/>
  <c r="D912" i="1"/>
  <c r="H901" i="1"/>
  <c r="J895" i="1"/>
  <c r="F890" i="1"/>
  <c r="B885" i="1"/>
  <c r="J879" i="1"/>
  <c r="F874" i="1"/>
  <c r="B869" i="1"/>
  <c r="J863" i="1"/>
  <c r="F858" i="1"/>
  <c r="B853" i="1"/>
  <c r="J5" i="11"/>
  <c r="O5" i="8"/>
  <c r="BG5" i="9"/>
  <c r="N5" i="7"/>
  <c r="AH5" i="4"/>
  <c r="B915" i="1"/>
  <c r="A909" i="1"/>
  <c r="L902" i="1"/>
  <c r="L896" i="1"/>
  <c r="H891" i="1"/>
  <c r="D886" i="1"/>
  <c r="L880" i="1"/>
  <c r="H875" i="1"/>
  <c r="D870" i="1"/>
  <c r="L864" i="1"/>
  <c r="H859" i="1"/>
  <c r="CD5" i="10"/>
  <c r="K5" i="8"/>
  <c r="AR5" i="5"/>
  <c r="B918" i="1"/>
  <c r="C911" i="1"/>
  <c r="B905" i="1"/>
  <c r="A899" i="1"/>
  <c r="G893" i="1"/>
  <c r="C888" i="1"/>
  <c r="K882" i="1"/>
  <c r="G877" i="1"/>
  <c r="C872" i="1"/>
  <c r="K866" i="1"/>
  <c r="AX5" i="11"/>
  <c r="G904" i="1"/>
  <c r="E882" i="1"/>
  <c r="F861" i="1"/>
  <c r="E849" i="1"/>
  <c r="J843" i="1"/>
  <c r="F838" i="1"/>
  <c r="B833" i="1"/>
  <c r="J827" i="1"/>
  <c r="F822" i="1"/>
  <c r="B817" i="1"/>
  <c r="J811" i="1"/>
  <c r="F806" i="1"/>
  <c r="B801" i="1"/>
  <c r="J795" i="1"/>
  <c r="F913" i="1"/>
  <c r="B890" i="1"/>
  <c r="J868" i="1"/>
  <c r="L852" i="1"/>
  <c r="I845" i="1"/>
  <c r="E840" i="1"/>
  <c r="A835" i="1"/>
  <c r="I829" i="1"/>
  <c r="E824" i="1"/>
  <c r="A819" i="1"/>
  <c r="I813" i="1"/>
  <c r="E808" i="1"/>
  <c r="A803" i="1"/>
  <c r="I797" i="1"/>
  <c r="E792" i="1"/>
  <c r="AR5" i="4"/>
  <c r="I897" i="1"/>
  <c r="E876" i="1"/>
  <c r="F857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AO5" i="5"/>
  <c r="F900" i="1"/>
  <c r="J878" i="1"/>
  <c r="K858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Y5" i="5"/>
  <c r="I899" i="1"/>
  <c r="B878" i="1"/>
  <c r="E858" i="1"/>
  <c r="A848" i="1"/>
  <c r="I842" i="1"/>
  <c r="E837" i="1"/>
  <c r="A832" i="1"/>
  <c r="I826" i="1"/>
  <c r="E821" i="1"/>
  <c r="A816" i="1"/>
  <c r="I810" i="1"/>
  <c r="E805" i="1"/>
  <c r="A800" i="1"/>
  <c r="E799" i="1"/>
  <c r="P5" i="5"/>
  <c r="C899" i="1"/>
  <c r="I877" i="1"/>
  <c r="C858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I5" i="5"/>
  <c r="L898" i="1"/>
  <c r="F877" i="1"/>
  <c r="B858" i="1"/>
  <c r="K847" i="1"/>
  <c r="G842" i="1"/>
  <c r="C837" i="1"/>
  <c r="K831" i="1"/>
  <c r="G826" i="1"/>
  <c r="C821" i="1"/>
  <c r="K815" i="1"/>
  <c r="G810" i="1"/>
  <c r="C805" i="1"/>
  <c r="E862" i="1"/>
  <c r="B812" i="1"/>
  <c r="B790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F843" i="1"/>
  <c r="F801" i="1"/>
  <c r="J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B5" i="4"/>
  <c r="J826" i="1"/>
  <c r="K793" i="1"/>
  <c r="D785" i="1"/>
  <c r="L779" i="1"/>
  <c r="H774" i="1"/>
  <c r="D769" i="1"/>
  <c r="L763" i="1"/>
  <c r="H758" i="1"/>
  <c r="D753" i="1"/>
  <c r="L747" i="1"/>
  <c r="H742" i="1"/>
  <c r="D737" i="1"/>
  <c r="L731" i="1"/>
  <c r="A897" i="1"/>
  <c r="J820" i="1"/>
  <c r="F792" i="1"/>
  <c r="G784" i="1"/>
  <c r="C779" i="1"/>
  <c r="K773" i="1"/>
  <c r="G768" i="1"/>
  <c r="C763" i="1"/>
  <c r="K757" i="1"/>
  <c r="G752" i="1"/>
  <c r="C747" i="1"/>
  <c r="K741" i="1"/>
  <c r="G736" i="1"/>
  <c r="C731" i="1"/>
  <c r="A873" i="1"/>
  <c r="J814" i="1"/>
  <c r="J790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I853" i="1"/>
  <c r="J808" i="1"/>
  <c r="E789" i="1"/>
  <c r="A783" i="1"/>
  <c r="I777" i="1"/>
  <c r="E772" i="1"/>
  <c r="A767" i="1"/>
  <c r="I761" i="1"/>
  <c r="E756" i="1"/>
  <c r="A751" i="1"/>
  <c r="I745" i="1"/>
  <c r="E740" i="1"/>
  <c r="A735" i="1"/>
  <c r="I729" i="1"/>
  <c r="A851" i="1"/>
  <c r="F807" i="1"/>
  <c r="B789" i="1"/>
  <c r="K782" i="1"/>
  <c r="G777" i="1"/>
  <c r="C772" i="1"/>
  <c r="K766" i="1"/>
  <c r="G761" i="1"/>
  <c r="C756" i="1"/>
  <c r="I798" i="1"/>
  <c r="L5" i="4"/>
  <c r="E896" i="1"/>
  <c r="A875" i="1"/>
  <c r="E856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C5" i="4"/>
  <c r="B896" i="1"/>
  <c r="J874" i="1"/>
  <c r="C856" i="1"/>
  <c r="C847" i="1"/>
  <c r="K841" i="1"/>
  <c r="G836" i="1"/>
  <c r="C831" i="1"/>
  <c r="K825" i="1"/>
  <c r="G820" i="1"/>
  <c r="C815" i="1"/>
  <c r="K809" i="1"/>
  <c r="G804" i="1"/>
  <c r="I849" i="1"/>
  <c r="J806" i="1"/>
  <c r="J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B838" i="1"/>
  <c r="J798" i="1"/>
  <c r="K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A900" i="1"/>
  <c r="F821" i="1"/>
  <c r="G792" i="1"/>
  <c r="H784" i="1"/>
  <c r="D779" i="1"/>
  <c r="L773" i="1"/>
  <c r="H768" i="1"/>
  <c r="D763" i="1"/>
  <c r="L757" i="1"/>
  <c r="H752" i="1"/>
  <c r="D747" i="1"/>
  <c r="L741" i="1"/>
  <c r="H736" i="1"/>
  <c r="D731" i="1"/>
  <c r="I875" i="1"/>
  <c r="F815" i="1"/>
  <c r="B791" i="1"/>
  <c r="K783" i="1"/>
  <c r="G778" i="1"/>
  <c r="C773" i="1"/>
  <c r="K767" i="1"/>
  <c r="G762" i="1"/>
  <c r="C757" i="1"/>
  <c r="K751" i="1"/>
  <c r="G746" i="1"/>
  <c r="C741" i="1"/>
  <c r="K735" i="1"/>
  <c r="G730" i="1"/>
  <c r="A855" i="1"/>
  <c r="F809" i="1"/>
  <c r="F789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B846" i="1"/>
  <c r="F803" i="1"/>
  <c r="C788" i="1"/>
  <c r="E782" i="1"/>
  <c r="A777" i="1"/>
  <c r="I771" i="1"/>
  <c r="E766" i="1"/>
  <c r="A761" i="1"/>
  <c r="I755" i="1"/>
  <c r="E750" i="1"/>
  <c r="A745" i="1"/>
  <c r="I739" i="1"/>
  <c r="E734" i="1"/>
  <c r="A729" i="1"/>
  <c r="J844" i="1"/>
  <c r="B802" i="1"/>
  <c r="A788" i="1"/>
  <c r="C782" i="1"/>
  <c r="K776" i="1"/>
  <c r="G771" i="1"/>
  <c r="C766" i="1"/>
  <c r="K760" i="1"/>
  <c r="G755" i="1"/>
  <c r="A798" i="1"/>
  <c r="F918" i="1"/>
  <c r="I893" i="1"/>
  <c r="E872" i="1"/>
  <c r="K854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K917" i="1"/>
  <c r="F893" i="1"/>
  <c r="B872" i="1"/>
  <c r="J854" i="1"/>
  <c r="G846" i="1"/>
  <c r="C841" i="1"/>
  <c r="K835" i="1"/>
  <c r="G830" i="1"/>
  <c r="C825" i="1"/>
  <c r="K819" i="1"/>
  <c r="G814" i="1"/>
  <c r="C809" i="1"/>
  <c r="K803" i="1"/>
  <c r="B844" i="1"/>
  <c r="K801" i="1"/>
  <c r="K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832" i="1"/>
  <c r="B796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E878" i="1"/>
  <c r="B816" i="1"/>
  <c r="C791" i="1"/>
  <c r="L783" i="1"/>
  <c r="H778" i="1"/>
  <c r="D773" i="1"/>
  <c r="L767" i="1"/>
  <c r="H762" i="1"/>
  <c r="D757" i="1"/>
  <c r="L751" i="1"/>
  <c r="H746" i="1"/>
  <c r="D741" i="1"/>
  <c r="L735" i="1"/>
  <c r="H730" i="1"/>
  <c r="K856" i="1"/>
  <c r="B810" i="1"/>
  <c r="J789" i="1"/>
  <c r="C783" i="1"/>
  <c r="K777" i="1"/>
  <c r="G772" i="1"/>
  <c r="C767" i="1"/>
  <c r="K761" i="1"/>
  <c r="G756" i="1"/>
  <c r="C751" i="1"/>
  <c r="K745" i="1"/>
  <c r="G740" i="1"/>
  <c r="C735" i="1"/>
  <c r="K729" i="1"/>
  <c r="J846" i="1"/>
  <c r="B804" i="1"/>
  <c r="E788" i="1"/>
  <c r="F782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J840" i="1"/>
  <c r="B800" i="1"/>
  <c r="E787" i="1"/>
  <c r="I781" i="1"/>
  <c r="E776" i="1"/>
  <c r="A771" i="1"/>
  <c r="I765" i="1"/>
  <c r="E760" i="1"/>
  <c r="A755" i="1"/>
  <c r="I749" i="1"/>
  <c r="E744" i="1"/>
  <c r="A739" i="1"/>
  <c r="I733" i="1"/>
  <c r="E728" i="1"/>
  <c r="F839" i="1"/>
  <c r="F799" i="1"/>
  <c r="B787" i="1"/>
  <c r="G781" i="1"/>
  <c r="C776" i="1"/>
  <c r="K770" i="1"/>
  <c r="G765" i="1"/>
  <c r="C760" i="1"/>
  <c r="E797" i="1"/>
  <c r="F914" i="1"/>
  <c r="A891" i="1"/>
  <c r="I869" i="1"/>
  <c r="G853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C914" i="1"/>
  <c r="J890" i="1"/>
  <c r="F869" i="1"/>
  <c r="F853" i="1"/>
  <c r="K845" i="1"/>
  <c r="G840" i="1"/>
  <c r="C835" i="1"/>
  <c r="K829" i="1"/>
  <c r="G824" i="1"/>
  <c r="C819" i="1"/>
  <c r="K813" i="1"/>
  <c r="G808" i="1"/>
  <c r="C803" i="1"/>
  <c r="J838" i="1"/>
  <c r="C799" i="1"/>
  <c r="A787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F827" i="1"/>
  <c r="A794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J858" i="1"/>
  <c r="J810" i="1"/>
  <c r="K789" i="1"/>
  <c r="D783" i="1"/>
  <c r="L777" i="1"/>
  <c r="H772" i="1"/>
  <c r="D767" i="1"/>
  <c r="L761" i="1"/>
  <c r="H756" i="1"/>
  <c r="D751" i="1"/>
  <c r="L745" i="1"/>
  <c r="H740" i="1"/>
  <c r="D735" i="1"/>
  <c r="L729" i="1"/>
  <c r="F847" i="1"/>
  <c r="J804" i="1"/>
  <c r="F788" i="1"/>
  <c r="G782" i="1"/>
  <c r="C777" i="1"/>
  <c r="K771" i="1"/>
  <c r="G766" i="1"/>
  <c r="C761" i="1"/>
  <c r="K755" i="1"/>
  <c r="G750" i="1"/>
  <c r="C745" i="1"/>
  <c r="K739" i="1"/>
  <c r="G734" i="1"/>
  <c r="C729" i="1"/>
  <c r="F841" i="1"/>
  <c r="G800" i="1"/>
  <c r="F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835" i="1"/>
  <c r="F797" i="1"/>
  <c r="F786" i="1"/>
  <c r="A781" i="1"/>
  <c r="I775" i="1"/>
  <c r="E770" i="1"/>
  <c r="A765" i="1"/>
  <c r="I759" i="1"/>
  <c r="E754" i="1"/>
  <c r="A749" i="1"/>
  <c r="I743" i="1"/>
  <c r="E738" i="1"/>
  <c r="A733" i="1"/>
  <c r="I727" i="1"/>
  <c r="B834" i="1"/>
  <c r="J796" i="1"/>
  <c r="C786" i="1"/>
  <c r="K780" i="1"/>
  <c r="G775" i="1"/>
  <c r="C770" i="1"/>
  <c r="K764" i="1"/>
  <c r="G759" i="1"/>
  <c r="I796" i="1"/>
  <c r="F911" i="1"/>
  <c r="E888" i="1"/>
  <c r="A867" i="1"/>
  <c r="C852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B911" i="1"/>
  <c r="B888" i="1"/>
  <c r="J866" i="1"/>
  <c r="B852" i="1"/>
  <c r="C845" i="1"/>
  <c r="K839" i="1"/>
  <c r="G834" i="1"/>
  <c r="C829" i="1"/>
  <c r="K823" i="1"/>
  <c r="G818" i="1"/>
  <c r="C813" i="1"/>
  <c r="K807" i="1"/>
  <c r="G802" i="1"/>
  <c r="F833" i="1"/>
  <c r="G796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A903" i="1"/>
  <c r="B822" i="1"/>
  <c r="I792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B848" i="1"/>
  <c r="F805" i="1"/>
  <c r="G788" i="1"/>
  <c r="H782" i="1"/>
  <c r="D777" i="1"/>
  <c r="L771" i="1"/>
  <c r="H766" i="1"/>
  <c r="D761" i="1"/>
  <c r="L755" i="1"/>
  <c r="H750" i="1"/>
  <c r="D745" i="1"/>
  <c r="L739" i="1"/>
  <c r="H734" i="1"/>
  <c r="D729" i="1"/>
  <c r="B842" i="1"/>
  <c r="J800" i="1"/>
  <c r="G787" i="1"/>
  <c r="K781" i="1"/>
  <c r="G776" i="1"/>
  <c r="C771" i="1"/>
  <c r="K765" i="1"/>
  <c r="G760" i="1"/>
  <c r="C755" i="1"/>
  <c r="K749" i="1"/>
  <c r="G744" i="1"/>
  <c r="C739" i="1"/>
  <c r="K733" i="1"/>
  <c r="G728" i="1"/>
  <c r="B836" i="1"/>
  <c r="K797" i="1"/>
  <c r="G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B830" i="1"/>
  <c r="J794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J828" i="1"/>
  <c r="G794" i="1"/>
  <c r="G785" i="1"/>
  <c r="C780" i="1"/>
  <c r="K774" i="1"/>
  <c r="G769" i="1"/>
  <c r="C764" i="1"/>
  <c r="K758" i="1"/>
  <c r="A796" i="1"/>
  <c r="E908" i="1"/>
  <c r="I885" i="1"/>
  <c r="E864" i="1"/>
  <c r="K850" i="1"/>
  <c r="H844" i="1"/>
  <c r="D839" i="1"/>
  <c r="L833" i="1"/>
  <c r="H828" i="1"/>
  <c r="D823" i="1"/>
  <c r="L817" i="1"/>
  <c r="H812" i="1"/>
  <c r="D807" i="1"/>
  <c r="L801" i="1"/>
  <c r="H796" i="1"/>
  <c r="D791" i="1"/>
  <c r="BB5" i="9"/>
  <c r="B908" i="1"/>
  <c r="F885" i="1"/>
  <c r="B864" i="1"/>
  <c r="J850" i="1"/>
  <c r="G844" i="1"/>
  <c r="C839" i="1"/>
  <c r="K833" i="1"/>
  <c r="G828" i="1"/>
  <c r="C823" i="1"/>
  <c r="K817" i="1"/>
  <c r="G812" i="1"/>
  <c r="C807" i="1"/>
  <c r="AF5" i="5"/>
  <c r="B828" i="1"/>
  <c r="B794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A881" i="1"/>
  <c r="J816" i="1"/>
  <c r="E791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J842" i="1"/>
  <c r="C801" i="1"/>
  <c r="I787" i="1"/>
  <c r="L781" i="1"/>
  <c r="H776" i="1"/>
  <c r="D771" i="1"/>
  <c r="L765" i="1"/>
  <c r="H760" i="1"/>
  <c r="D755" i="1"/>
  <c r="L749" i="1"/>
  <c r="H744" i="1"/>
  <c r="D739" i="1"/>
  <c r="L733" i="1"/>
  <c r="H728" i="1"/>
  <c r="J836" i="1"/>
  <c r="B798" i="1"/>
  <c r="I786" i="1"/>
  <c r="C781" i="1"/>
  <c r="K775" i="1"/>
  <c r="G770" i="1"/>
  <c r="C765" i="1"/>
  <c r="K759" i="1"/>
  <c r="G754" i="1"/>
  <c r="C749" i="1"/>
  <c r="K743" i="1"/>
  <c r="G738" i="1"/>
  <c r="C733" i="1"/>
  <c r="K727" i="1"/>
  <c r="J830" i="1"/>
  <c r="C795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C915" i="1"/>
  <c r="J824" i="1"/>
  <c r="E793" i="1"/>
  <c r="A785" i="1"/>
  <c r="I779" i="1"/>
  <c r="E774" i="1"/>
  <c r="A769" i="1"/>
  <c r="I763" i="1"/>
  <c r="E758" i="1"/>
  <c r="A753" i="1"/>
  <c r="I747" i="1"/>
  <c r="E742" i="1"/>
  <c r="A737" i="1"/>
  <c r="I731" i="1"/>
  <c r="B909" i="1"/>
  <c r="F823" i="1"/>
  <c r="B793" i="1"/>
  <c r="K784" i="1"/>
  <c r="G779" i="1"/>
  <c r="C774" i="1"/>
  <c r="K768" i="1"/>
  <c r="G763" i="1"/>
  <c r="C758" i="1"/>
  <c r="E795" i="1"/>
  <c r="E905" i="1"/>
  <c r="A883" i="1"/>
  <c r="I861" i="1"/>
  <c r="G849" i="1"/>
  <c r="L843" i="1"/>
  <c r="H838" i="1"/>
  <c r="D833" i="1"/>
  <c r="L827" i="1"/>
  <c r="H822" i="1"/>
  <c r="D817" i="1"/>
  <c r="L811" i="1"/>
  <c r="H806" i="1"/>
  <c r="D801" i="1"/>
  <c r="L795" i="1"/>
  <c r="H790" i="1"/>
  <c r="AN5" i="7"/>
  <c r="A905" i="1"/>
  <c r="J882" i="1"/>
  <c r="G861" i="1"/>
  <c r="F849" i="1"/>
  <c r="K843" i="1"/>
  <c r="G838" i="1"/>
  <c r="C833" i="1"/>
  <c r="K827" i="1"/>
  <c r="G822" i="1"/>
  <c r="C817" i="1"/>
  <c r="K811" i="1"/>
  <c r="G806" i="1"/>
  <c r="B906" i="1"/>
  <c r="J822" i="1"/>
  <c r="J792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E860" i="1"/>
  <c r="F811" i="1"/>
  <c r="A790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F837" i="1"/>
  <c r="G798" i="1"/>
  <c r="J786" i="1"/>
  <c r="D781" i="1"/>
  <c r="L775" i="1"/>
  <c r="H770" i="1"/>
  <c r="D765" i="1"/>
  <c r="L759" i="1"/>
  <c r="H754" i="1"/>
  <c r="D749" i="1"/>
  <c r="L743" i="1"/>
  <c r="H738" i="1"/>
  <c r="D733" i="1"/>
  <c r="L727" i="1"/>
  <c r="F831" i="1"/>
  <c r="F795" i="1"/>
  <c r="K785" i="1"/>
  <c r="G780" i="1"/>
  <c r="C775" i="1"/>
  <c r="K769" i="1"/>
  <c r="G764" i="1"/>
  <c r="C759" i="1"/>
  <c r="K753" i="1"/>
  <c r="G748" i="1"/>
  <c r="C743" i="1"/>
  <c r="K737" i="1"/>
  <c r="G732" i="1"/>
  <c r="J919" i="1"/>
  <c r="F825" i="1"/>
  <c r="F793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I891" i="1"/>
  <c r="F819" i="1"/>
  <c r="A792" i="1"/>
  <c r="E784" i="1"/>
  <c r="A779" i="1"/>
  <c r="I773" i="1"/>
  <c r="E768" i="1"/>
  <c r="A763" i="1"/>
  <c r="I757" i="1"/>
  <c r="E752" i="1"/>
  <c r="A747" i="1"/>
  <c r="I741" i="1"/>
  <c r="E736" i="1"/>
  <c r="A731" i="1"/>
  <c r="E886" i="1"/>
  <c r="B818" i="1"/>
  <c r="J791" i="1"/>
  <c r="C784" i="1"/>
  <c r="K778" i="1"/>
  <c r="G773" i="1"/>
  <c r="C768" i="1"/>
  <c r="K762" i="1"/>
  <c r="G757" i="1"/>
  <c r="O5" i="6"/>
  <c r="D902" i="1"/>
  <c r="E880" i="1"/>
  <c r="B860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5" i="6"/>
  <c r="A902" i="1"/>
  <c r="B880" i="1"/>
  <c r="I859" i="1"/>
  <c r="G848" i="1"/>
  <c r="C843" i="1"/>
  <c r="K837" i="1"/>
  <c r="G832" i="1"/>
  <c r="C827" i="1"/>
  <c r="K821" i="1"/>
  <c r="G816" i="1"/>
  <c r="C811" i="1"/>
  <c r="K805" i="1"/>
  <c r="I883" i="1"/>
  <c r="F817" i="1"/>
  <c r="F791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848" i="1"/>
  <c r="B806" i="1"/>
  <c r="I788" i="1"/>
  <c r="I782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B832" i="1"/>
  <c r="K795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B826" i="1"/>
  <c r="J793" i="1"/>
  <c r="C785" i="1"/>
  <c r="K779" i="1"/>
  <c r="G774" i="1"/>
  <c r="C769" i="1"/>
  <c r="K763" i="1"/>
  <c r="G758" i="1"/>
  <c r="C753" i="1"/>
  <c r="K747" i="1"/>
  <c r="G742" i="1"/>
  <c r="C737" i="1"/>
  <c r="K731" i="1"/>
  <c r="E894" i="1"/>
  <c r="B820" i="1"/>
  <c r="B792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E870" i="1"/>
  <c r="B814" i="1"/>
  <c r="I790" i="1"/>
  <c r="I783" i="1"/>
  <c r="E778" i="1"/>
  <c r="A773" i="1"/>
  <c r="I767" i="1"/>
  <c r="E762" i="1"/>
  <c r="A757" i="1"/>
  <c r="I751" i="1"/>
  <c r="E746" i="1"/>
  <c r="A741" i="1"/>
  <c r="I735" i="1"/>
  <c r="E730" i="1"/>
  <c r="A865" i="1"/>
  <c r="J812" i="1"/>
  <c r="F790" i="1"/>
  <c r="G783" i="1"/>
  <c r="C778" i="1"/>
  <c r="K772" i="1"/>
  <c r="G767" i="1"/>
  <c r="C762" i="1"/>
  <c r="K756" i="1"/>
  <c r="K754" i="1"/>
  <c r="G749" i="1"/>
  <c r="C744" i="1"/>
  <c r="K738" i="1"/>
  <c r="G733" i="1"/>
  <c r="C728" i="1"/>
  <c r="H779" i="1"/>
  <c r="L736" i="1"/>
  <c r="D720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L778" i="1"/>
  <c r="D736" i="1"/>
  <c r="C720" i="1"/>
  <c r="J713" i="1"/>
  <c r="F708" i="1"/>
  <c r="B703" i="1"/>
  <c r="J697" i="1"/>
  <c r="F692" i="1"/>
  <c r="B687" i="1"/>
  <c r="J681" i="1"/>
  <c r="F676" i="1"/>
  <c r="B671" i="1"/>
  <c r="J665" i="1"/>
  <c r="F660" i="1"/>
  <c r="B655" i="1"/>
  <c r="J649" i="1"/>
  <c r="D778" i="1"/>
  <c r="H735" i="1"/>
  <c r="L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H777" i="1"/>
  <c r="L734" i="1"/>
  <c r="K719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H771" i="1"/>
  <c r="L728" i="1"/>
  <c r="H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H765" i="1"/>
  <c r="L725" i="1"/>
  <c r="H717" i="1"/>
  <c r="B712" i="1"/>
  <c r="J706" i="1"/>
  <c r="F701" i="1"/>
  <c r="B696" i="1"/>
  <c r="J690" i="1"/>
  <c r="H785" i="1"/>
  <c r="L742" i="1"/>
  <c r="G721" i="1"/>
  <c r="H714" i="1"/>
  <c r="D709" i="1"/>
  <c r="L703" i="1"/>
  <c r="H698" i="1"/>
  <c r="D693" i="1"/>
  <c r="L687" i="1"/>
  <c r="H682" i="1"/>
  <c r="D677" i="1"/>
  <c r="L671" i="1"/>
  <c r="H666" i="1"/>
  <c r="D661" i="1"/>
  <c r="L655" i="1"/>
  <c r="H650" i="1"/>
  <c r="I723" i="1"/>
  <c r="J682" i="1"/>
  <c r="F66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L748" i="1"/>
  <c r="E685" i="1"/>
  <c r="A664" i="1"/>
  <c r="C754" i="1"/>
  <c r="K748" i="1"/>
  <c r="G743" i="1"/>
  <c r="C738" i="1"/>
  <c r="K732" i="1"/>
  <c r="G727" i="1"/>
  <c r="D774" i="1"/>
  <c r="H731" i="1"/>
  <c r="C719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H773" i="1"/>
  <c r="L730" i="1"/>
  <c r="A719" i="1"/>
  <c r="B713" i="1"/>
  <c r="J707" i="1"/>
  <c r="F702" i="1"/>
  <c r="B697" i="1"/>
  <c r="J691" i="1"/>
  <c r="F686" i="1"/>
  <c r="B681" i="1"/>
  <c r="J675" i="1"/>
  <c r="F670" i="1"/>
  <c r="B665" i="1"/>
  <c r="J659" i="1"/>
  <c r="F654" i="1"/>
  <c r="B649" i="1"/>
  <c r="L772" i="1"/>
  <c r="D730" i="1"/>
  <c r="L718" i="1"/>
  <c r="A713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D772" i="1"/>
  <c r="H729" i="1"/>
  <c r="K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D766" i="1"/>
  <c r="D726" i="1"/>
  <c r="I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D760" i="1"/>
  <c r="L724" i="1"/>
  <c r="J716" i="1"/>
  <c r="F711" i="1"/>
  <c r="B706" i="1"/>
  <c r="J700" i="1"/>
  <c r="F695" i="1"/>
  <c r="B690" i="1"/>
  <c r="D780" i="1"/>
  <c r="H737" i="1"/>
  <c r="E720" i="1"/>
  <c r="L713" i="1"/>
  <c r="H708" i="1"/>
  <c r="D703" i="1"/>
  <c r="L697" i="1"/>
  <c r="H692" i="1"/>
  <c r="D687" i="1"/>
  <c r="L681" i="1"/>
  <c r="H676" i="1"/>
  <c r="D671" i="1"/>
  <c r="L665" i="1"/>
  <c r="H660" i="1"/>
  <c r="D655" i="1"/>
  <c r="L649" i="1"/>
  <c r="A716" i="1"/>
  <c r="B680" i="1"/>
  <c r="J658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H722" i="1"/>
  <c r="I682" i="1"/>
  <c r="G753" i="1"/>
  <c r="C748" i="1"/>
  <c r="K742" i="1"/>
  <c r="G737" i="1"/>
  <c r="C732" i="1"/>
  <c r="K726" i="1"/>
  <c r="L768" i="1"/>
  <c r="L726" i="1"/>
  <c r="C718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D768" i="1"/>
  <c r="H726" i="1"/>
  <c r="A718" i="1"/>
  <c r="F712" i="1"/>
  <c r="B707" i="1"/>
  <c r="J701" i="1"/>
  <c r="F696" i="1"/>
  <c r="B691" i="1"/>
  <c r="J685" i="1"/>
  <c r="F680" i="1"/>
  <c r="B675" i="1"/>
  <c r="J669" i="1"/>
  <c r="F664" i="1"/>
  <c r="B659" i="1"/>
  <c r="J653" i="1"/>
  <c r="F648" i="1"/>
  <c r="H767" i="1"/>
  <c r="G726" i="1"/>
  <c r="L717" i="1"/>
  <c r="E712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L766" i="1"/>
  <c r="E726" i="1"/>
  <c r="K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760" i="1"/>
  <c r="A725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B840" i="1"/>
  <c r="L754" i="1"/>
  <c r="K723" i="1"/>
  <c r="B716" i="1"/>
  <c r="J710" i="1"/>
  <c r="F705" i="1"/>
  <c r="B700" i="1"/>
  <c r="J694" i="1"/>
  <c r="F689" i="1"/>
  <c r="L774" i="1"/>
  <c r="D732" i="1"/>
  <c r="D719" i="1"/>
  <c r="D713" i="1"/>
  <c r="L707" i="1"/>
  <c r="H702" i="1"/>
  <c r="D697" i="1"/>
  <c r="L691" i="1"/>
  <c r="H686" i="1"/>
  <c r="D681" i="1"/>
  <c r="L675" i="1"/>
  <c r="H670" i="1"/>
  <c r="D665" i="1"/>
  <c r="L659" i="1"/>
  <c r="H654" i="1"/>
  <c r="D649" i="1"/>
  <c r="I710" i="1"/>
  <c r="F677" i="1"/>
  <c r="B656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E715" i="1"/>
  <c r="A680" i="1"/>
  <c r="K752" i="1"/>
  <c r="G747" i="1"/>
  <c r="C742" i="1"/>
  <c r="K736" i="1"/>
  <c r="G731" i="1"/>
  <c r="C726" i="1"/>
  <c r="H763" i="1"/>
  <c r="H725" i="1"/>
  <c r="D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L762" i="1"/>
  <c r="G725" i="1"/>
  <c r="C717" i="1"/>
  <c r="J711" i="1"/>
  <c r="F706" i="1"/>
  <c r="B701" i="1"/>
  <c r="J695" i="1"/>
  <c r="F690" i="1"/>
  <c r="B685" i="1"/>
  <c r="J679" i="1"/>
  <c r="F674" i="1"/>
  <c r="B669" i="1"/>
  <c r="J663" i="1"/>
  <c r="F658" i="1"/>
  <c r="B653" i="1"/>
  <c r="J647" i="1"/>
  <c r="D762" i="1"/>
  <c r="D725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H761" i="1"/>
  <c r="C725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L652" i="1"/>
  <c r="F845" i="1"/>
  <c r="H755" i="1"/>
  <c r="L723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799" i="1"/>
  <c r="H749" i="1"/>
  <c r="K722" i="1"/>
  <c r="F715" i="1"/>
  <c r="B710" i="1"/>
  <c r="J704" i="1"/>
  <c r="F699" i="1"/>
  <c r="B694" i="1"/>
  <c r="J688" i="1"/>
  <c r="H769" i="1"/>
  <c r="C727" i="1"/>
  <c r="D718" i="1"/>
  <c r="H712" i="1"/>
  <c r="D707" i="1"/>
  <c r="L701" i="1"/>
  <c r="H696" i="1"/>
  <c r="D691" i="1"/>
  <c r="L685" i="1"/>
  <c r="H680" i="1"/>
  <c r="D675" i="1"/>
  <c r="L669" i="1"/>
  <c r="H664" i="1"/>
  <c r="D659" i="1"/>
  <c r="L653" i="1"/>
  <c r="H648" i="1"/>
  <c r="E705" i="1"/>
  <c r="J674" i="1"/>
  <c r="F653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A710" i="1"/>
  <c r="C752" i="1"/>
  <c r="K746" i="1"/>
  <c r="G741" i="1"/>
  <c r="C736" i="1"/>
  <c r="K730" i="1"/>
  <c r="C912" i="1"/>
  <c r="D758" i="1"/>
  <c r="G724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652" i="1"/>
  <c r="A889" i="1"/>
  <c r="H757" i="1"/>
  <c r="E724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F652" i="1"/>
  <c r="I867" i="1"/>
  <c r="L756" i="1"/>
  <c r="D724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E652" i="1"/>
  <c r="E852" i="1"/>
  <c r="D756" i="1"/>
  <c r="C724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D652" i="1"/>
  <c r="J802" i="1"/>
  <c r="D750" i="1"/>
  <c r="L722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787" i="1"/>
  <c r="D744" i="1"/>
  <c r="I721" i="1"/>
  <c r="J714" i="1"/>
  <c r="F709" i="1"/>
  <c r="B704" i="1"/>
  <c r="J698" i="1"/>
  <c r="F693" i="1"/>
  <c r="B688" i="1"/>
  <c r="D764" i="1"/>
  <c r="I725" i="1"/>
  <c r="E717" i="1"/>
  <c r="L711" i="1"/>
  <c r="H706" i="1"/>
  <c r="D701" i="1"/>
  <c r="L695" i="1"/>
  <c r="H690" i="1"/>
  <c r="D685" i="1"/>
  <c r="L679" i="1"/>
  <c r="H674" i="1"/>
  <c r="D669" i="1"/>
  <c r="L663" i="1"/>
  <c r="H658" i="1"/>
  <c r="D653" i="1"/>
  <c r="L647" i="1"/>
  <c r="A700" i="1"/>
  <c r="B672" i="1"/>
  <c r="J650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704" i="1"/>
  <c r="I674" i="1"/>
  <c r="G751" i="1"/>
  <c r="C746" i="1"/>
  <c r="K740" i="1"/>
  <c r="G735" i="1"/>
  <c r="C730" i="1"/>
  <c r="B824" i="1"/>
  <c r="L752" i="1"/>
  <c r="G723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K651" i="1"/>
  <c r="J818" i="1"/>
  <c r="D752" i="1"/>
  <c r="D723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J651" i="1"/>
  <c r="F813" i="1"/>
  <c r="H751" i="1"/>
  <c r="C723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I651" i="1"/>
  <c r="B808" i="1"/>
  <c r="L750" i="1"/>
  <c r="A723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H651" i="1"/>
  <c r="B788" i="1"/>
  <c r="L744" i="1"/>
  <c r="K721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H781" i="1"/>
  <c r="L738" i="1"/>
  <c r="H720" i="1"/>
  <c r="B714" i="1"/>
  <c r="J708" i="1"/>
  <c r="F703" i="1"/>
  <c r="B698" i="1"/>
  <c r="J692" i="1"/>
  <c r="F687" i="1"/>
  <c r="L758" i="1"/>
  <c r="H724" i="1"/>
  <c r="H716" i="1"/>
  <c r="D711" i="1"/>
  <c r="L705" i="1"/>
  <c r="H700" i="1"/>
  <c r="D695" i="1"/>
  <c r="L689" i="1"/>
  <c r="H684" i="1"/>
  <c r="D679" i="1"/>
  <c r="L673" i="1"/>
  <c r="H668" i="1"/>
  <c r="D663" i="1"/>
  <c r="L657" i="1"/>
  <c r="H652" i="1"/>
  <c r="D647" i="1"/>
  <c r="I694" i="1"/>
  <c r="F669" i="1"/>
  <c r="B648" i="1"/>
  <c r="E642" i="1"/>
  <c r="A637" i="1"/>
  <c r="I631" i="1"/>
  <c r="E626" i="1"/>
  <c r="A621" i="1"/>
  <c r="I615" i="1"/>
  <c r="E610" i="1"/>
  <c r="A605" i="1"/>
  <c r="I599" i="1"/>
  <c r="E594" i="1"/>
  <c r="K750" i="1"/>
  <c r="G745" i="1"/>
  <c r="C740" i="1"/>
  <c r="K734" i="1"/>
  <c r="G729" i="1"/>
  <c r="C793" i="1"/>
  <c r="H747" i="1"/>
  <c r="E722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C651" i="1"/>
  <c r="K791" i="1"/>
  <c r="L746" i="1"/>
  <c r="D722" i="1"/>
  <c r="B715" i="1"/>
  <c r="J709" i="1"/>
  <c r="F704" i="1"/>
  <c r="B699" i="1"/>
  <c r="J693" i="1"/>
  <c r="F688" i="1"/>
  <c r="B683" i="1"/>
  <c r="J677" i="1"/>
  <c r="F672" i="1"/>
  <c r="B667" i="1"/>
  <c r="J661" i="1"/>
  <c r="F656" i="1"/>
  <c r="B651" i="1"/>
  <c r="G790" i="1"/>
  <c r="D746" i="1"/>
  <c r="C722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A651" i="1"/>
  <c r="C789" i="1"/>
  <c r="H745" i="1"/>
  <c r="L721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L650" i="1"/>
  <c r="D782" i="1"/>
  <c r="H739" i="1"/>
  <c r="K720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D776" i="1"/>
  <c r="H733" i="1"/>
  <c r="H719" i="1"/>
  <c r="F713" i="1"/>
  <c r="B708" i="1"/>
  <c r="J702" i="1"/>
  <c r="F697" i="1"/>
  <c r="B692" i="1"/>
  <c r="F829" i="1"/>
  <c r="H753" i="1"/>
  <c r="H723" i="1"/>
  <c r="L715" i="1"/>
  <c r="H710" i="1"/>
  <c r="D705" i="1"/>
  <c r="L699" i="1"/>
  <c r="H694" i="1"/>
  <c r="D689" i="1"/>
  <c r="L683" i="1"/>
  <c r="H678" i="1"/>
  <c r="D673" i="1"/>
  <c r="L667" i="1"/>
  <c r="H662" i="1"/>
  <c r="D657" i="1"/>
  <c r="L651" i="1"/>
  <c r="J834" i="1"/>
  <c r="E689" i="1"/>
  <c r="J666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A694" i="1"/>
  <c r="C750" i="1"/>
  <c r="K744" i="1"/>
  <c r="G739" i="1"/>
  <c r="C734" i="1"/>
  <c r="K728" i="1"/>
  <c r="L784" i="1"/>
  <c r="D742" i="1"/>
  <c r="D721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D784" i="1"/>
  <c r="H741" i="1"/>
  <c r="C721" i="1"/>
  <c r="F714" i="1"/>
  <c r="B709" i="1"/>
  <c r="J703" i="1"/>
  <c r="F698" i="1"/>
  <c r="B693" i="1"/>
  <c r="J687" i="1"/>
  <c r="F682" i="1"/>
  <c r="B677" i="1"/>
  <c r="J671" i="1"/>
  <c r="F666" i="1"/>
  <c r="B661" i="1"/>
  <c r="J655" i="1"/>
  <c r="F650" i="1"/>
  <c r="H783" i="1"/>
  <c r="L740" i="1"/>
  <c r="A721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L782" i="1"/>
  <c r="D740" i="1"/>
  <c r="L720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776" i="1"/>
  <c r="D734" i="1"/>
  <c r="I719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L770" i="1"/>
  <c r="D728" i="1"/>
  <c r="G718" i="1"/>
  <c r="J712" i="1"/>
  <c r="F707" i="1"/>
  <c r="B702" i="1"/>
  <c r="J696" i="1"/>
  <c r="F691" i="1"/>
  <c r="I794" i="1"/>
  <c r="D748" i="1"/>
  <c r="G722" i="1"/>
  <c r="D715" i="1"/>
  <c r="L709" i="1"/>
  <c r="H704" i="1"/>
  <c r="D699" i="1"/>
  <c r="L693" i="1"/>
  <c r="H688" i="1"/>
  <c r="D683" i="1"/>
  <c r="L677" i="1"/>
  <c r="H672" i="1"/>
  <c r="D667" i="1"/>
  <c r="L661" i="1"/>
  <c r="H656" i="1"/>
  <c r="D651" i="1"/>
  <c r="D754" i="1"/>
  <c r="F685" i="1"/>
  <c r="B664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C797" i="1"/>
  <c r="I688" i="1"/>
  <c r="A589" i="1"/>
  <c r="E661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H721" i="1"/>
  <c r="B682" i="1"/>
  <c r="J66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A698" i="1"/>
  <c r="E671" i="1"/>
  <c r="A650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I702" i="1"/>
  <c r="F673" i="1"/>
  <c r="B652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702" i="1"/>
  <c r="E673" i="1"/>
  <c r="A652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E695" i="1"/>
  <c r="A670" i="1"/>
  <c r="I648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G630" i="1"/>
  <c r="K587" i="1"/>
  <c r="A573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C635" i="1"/>
  <c r="G592" i="1"/>
  <c r="I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I583" i="1"/>
  <c r="I658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I714" i="1"/>
  <c r="F679" i="1"/>
  <c r="B658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I692" i="1"/>
  <c r="I668" i="1"/>
  <c r="G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E697" i="1"/>
  <c r="J670" i="1"/>
  <c r="F649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I696" i="1"/>
  <c r="I670" i="1"/>
  <c r="E649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A690" i="1"/>
  <c r="E667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C625" i="1"/>
  <c r="G582" i="1"/>
  <c r="D572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K629" i="1"/>
  <c r="C587" i="1"/>
  <c r="L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E578" i="1"/>
  <c r="A656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E709" i="1"/>
  <c r="J676" i="1"/>
  <c r="F655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L780" i="1"/>
  <c r="E687" i="1"/>
  <c r="A666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A692" i="1"/>
  <c r="B668" i="1"/>
  <c r="F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E691" i="1"/>
  <c r="A668" i="1"/>
  <c r="E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H759" i="1"/>
  <c r="A686" i="1"/>
  <c r="I664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L764" i="1"/>
  <c r="K619" i="1"/>
  <c r="K577" i="1"/>
  <c r="F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G624" i="1"/>
  <c r="K581" i="1"/>
  <c r="B572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E699" i="1"/>
  <c r="E653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A704" i="1"/>
  <c r="B674" i="1"/>
  <c r="J652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D738" i="1"/>
  <c r="I684" i="1"/>
  <c r="E663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H775" i="1"/>
  <c r="J686" i="1"/>
  <c r="F665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D770" i="1"/>
  <c r="I686" i="1"/>
  <c r="E665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K724" i="1"/>
  <c r="E683" i="1"/>
  <c r="A662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B686" i="1"/>
  <c r="G614" i="1"/>
  <c r="J576" i="1"/>
  <c r="I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K725" i="1"/>
  <c r="C619" i="1"/>
  <c r="H577" i="1"/>
  <c r="E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E677" i="1"/>
  <c r="I650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I698" i="1"/>
  <c r="F671" i="1"/>
  <c r="B650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G720" i="1"/>
  <c r="A682" i="1"/>
  <c r="I66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L732" i="1"/>
  <c r="B684" i="1"/>
  <c r="J662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H727" i="1"/>
  <c r="A684" i="1"/>
  <c r="I662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I716" i="1"/>
  <c r="I680" i="1"/>
  <c r="E659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664" i="1"/>
  <c r="C609" i="1"/>
  <c r="A576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F683" i="1"/>
  <c r="K613" i="1"/>
  <c r="I576" i="1"/>
  <c r="H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A672" i="1"/>
  <c r="A648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E693" i="1"/>
  <c r="J668" i="1"/>
  <c r="H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A714" i="1"/>
  <c r="E679" i="1"/>
  <c r="A658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G719" i="1"/>
  <c r="F681" i="1"/>
  <c r="B66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E718" i="1"/>
  <c r="E681" i="1"/>
  <c r="A66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E711" i="1"/>
  <c r="A678" i="1"/>
  <c r="I656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G646" i="1"/>
  <c r="K603" i="1"/>
  <c r="D575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B662" i="1"/>
  <c r="G608" i="1"/>
  <c r="L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E669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E786" i="1"/>
  <c r="A688" i="1"/>
  <c r="B666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I708" i="1"/>
  <c r="I676" i="1"/>
  <c r="E655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E713" i="1"/>
  <c r="J678" i="1"/>
  <c r="F657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I712" i="1"/>
  <c r="I678" i="1"/>
  <c r="E657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A706" i="1"/>
  <c r="E675" i="1"/>
  <c r="A654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C641" i="1"/>
  <c r="G598" i="1"/>
  <c r="G574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K645" i="1"/>
  <c r="C603" i="1"/>
  <c r="C575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I666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H743" i="1"/>
  <c r="J684" i="1"/>
  <c r="F663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E703" i="1"/>
  <c r="A674" i="1"/>
  <c r="I652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A708" i="1"/>
  <c r="B676" i="1"/>
  <c r="J654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E707" i="1"/>
  <c r="A676" i="1"/>
  <c r="I654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I700" i="1"/>
  <c r="I672" i="1"/>
  <c r="E651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K635" i="1"/>
  <c r="C593" i="1"/>
  <c r="J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G640" i="1"/>
  <c r="K597" i="1"/>
  <c r="F574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K623" i="1"/>
  <c r="C581" i="1"/>
  <c r="A572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C623" i="1"/>
  <c r="G580" i="1"/>
  <c r="L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G622" i="1"/>
  <c r="K579" i="1"/>
  <c r="K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K621" i="1"/>
  <c r="C579" i="1"/>
  <c r="J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626" i="1"/>
  <c r="K583" i="1"/>
  <c r="F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E549" i="1"/>
  <c r="I506" i="1"/>
  <c r="H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F667" i="1"/>
  <c r="E543" i="1"/>
  <c r="K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G604" i="1"/>
  <c r="E537" i="1"/>
  <c r="A501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H574" i="1"/>
  <c r="E531" i="1"/>
  <c r="B500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K573" i="1"/>
  <c r="I530" i="1"/>
  <c r="A500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A562" i="1"/>
  <c r="E519" i="1"/>
  <c r="F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G717" i="1"/>
  <c r="G618" i="1"/>
  <c r="E577" i="1"/>
  <c r="D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A712" i="1"/>
  <c r="K617" i="1"/>
  <c r="D577" i="1"/>
  <c r="C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706" i="1"/>
  <c r="C617" i="1"/>
  <c r="C577" i="1"/>
  <c r="B571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E701" i="1"/>
  <c r="G616" i="1"/>
  <c r="B577" i="1"/>
  <c r="A571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C621" i="1"/>
  <c r="G578" i="1"/>
  <c r="I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I690" i="1"/>
  <c r="A544" i="1"/>
  <c r="A502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K609" i="1"/>
  <c r="A538" i="1"/>
  <c r="B501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E575" i="1"/>
  <c r="A532" i="1"/>
  <c r="D500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568" i="1"/>
  <c r="A526" i="1"/>
  <c r="E499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A568" i="1"/>
  <c r="E525" i="1"/>
  <c r="D499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I556" i="1"/>
  <c r="A514" i="1"/>
  <c r="I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680" i="1"/>
  <c r="C613" i="1"/>
  <c r="H576" i="1"/>
  <c r="G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678" i="1"/>
  <c r="G612" i="1"/>
  <c r="G576" i="1"/>
  <c r="F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F675" i="1"/>
  <c r="K611" i="1"/>
  <c r="F576" i="1"/>
  <c r="E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J672" i="1"/>
  <c r="C611" i="1"/>
  <c r="E576" i="1"/>
  <c r="D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A696" i="1"/>
  <c r="K615" i="1"/>
  <c r="A577" i="1"/>
  <c r="L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C615" i="1"/>
  <c r="I538" i="1"/>
  <c r="C501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B576" i="1"/>
  <c r="I532" i="1"/>
  <c r="E500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E569" i="1"/>
  <c r="I526" i="1"/>
  <c r="F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E563" i="1"/>
  <c r="I520" i="1"/>
  <c r="H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I562" i="1"/>
  <c r="A520" i="1"/>
  <c r="G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E551" i="1"/>
  <c r="I508" i="1"/>
  <c r="L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F659" i="1"/>
  <c r="K607" i="1"/>
  <c r="K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J656" i="1"/>
  <c r="C607" i="1"/>
  <c r="J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B654" i="1"/>
  <c r="G606" i="1"/>
  <c r="I575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F651" i="1"/>
  <c r="K605" i="1"/>
  <c r="H575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B670" i="1"/>
  <c r="G610" i="1"/>
  <c r="D576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L576" i="1"/>
  <c r="E533" i="1"/>
  <c r="F500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A570" i="1"/>
  <c r="E527" i="1"/>
  <c r="H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A564" i="1"/>
  <c r="E521" i="1"/>
  <c r="I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A558" i="1"/>
  <c r="E515" i="1"/>
  <c r="K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E557" i="1"/>
  <c r="I514" i="1"/>
  <c r="J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A546" i="1"/>
  <c r="E503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C645" i="1"/>
  <c r="G602" i="1"/>
  <c r="B575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G644" i="1"/>
  <c r="K601" i="1"/>
  <c r="A575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K643" i="1"/>
  <c r="C601" i="1"/>
  <c r="L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C643" i="1"/>
  <c r="G600" i="1"/>
  <c r="J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J648" i="1"/>
  <c r="C605" i="1"/>
  <c r="F575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J570" i="1"/>
  <c r="A528" i="1"/>
  <c r="I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I564" i="1"/>
  <c r="A522" i="1"/>
  <c r="J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I558" i="1"/>
  <c r="A516" i="1"/>
  <c r="L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552" i="1"/>
  <c r="A510" i="1"/>
  <c r="B497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A552" i="1"/>
  <c r="E509" i="1"/>
  <c r="A497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631" i="1"/>
  <c r="I540" i="1"/>
  <c r="F501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K639" i="1"/>
  <c r="C597" i="1"/>
  <c r="E574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C639" i="1"/>
  <c r="G596" i="1"/>
  <c r="D574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G638" i="1"/>
  <c r="K595" i="1"/>
  <c r="B574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K637" i="1"/>
  <c r="C595" i="1"/>
  <c r="A574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642" i="1"/>
  <c r="K599" i="1"/>
  <c r="I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E565" i="1"/>
  <c r="I522" i="1"/>
  <c r="L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E559" i="1"/>
  <c r="I516" i="1"/>
  <c r="A498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E553" i="1"/>
  <c r="I510" i="1"/>
  <c r="C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E547" i="1"/>
  <c r="I504" i="1"/>
  <c r="E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I546" i="1"/>
  <c r="A504" i="1"/>
  <c r="D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588" i="1"/>
  <c r="E535" i="1"/>
  <c r="I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G634" i="1"/>
  <c r="K591" i="1"/>
  <c r="H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K633" i="1"/>
  <c r="C591" i="1"/>
  <c r="F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C633" i="1"/>
  <c r="G590" i="1"/>
  <c r="E573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G632" i="1"/>
  <c r="K589" i="1"/>
  <c r="D573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C637" i="1"/>
  <c r="G594" i="1"/>
  <c r="L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A560" i="1"/>
  <c r="E517" i="1"/>
  <c r="B498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A554" i="1"/>
  <c r="E511" i="1"/>
  <c r="D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A548" i="1"/>
  <c r="E505" i="1"/>
  <c r="F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K641" i="1"/>
  <c r="A542" i="1"/>
  <c r="I501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G636" i="1"/>
  <c r="E541" i="1"/>
  <c r="H501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B573" i="1"/>
  <c r="A530" i="1"/>
  <c r="L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C629" i="1"/>
  <c r="G586" i="1"/>
  <c r="J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G628" i="1"/>
  <c r="K585" i="1"/>
  <c r="I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K627" i="1"/>
  <c r="C585" i="1"/>
  <c r="H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C627" i="1"/>
  <c r="G584" i="1"/>
  <c r="G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K631" i="1"/>
  <c r="C589" i="1"/>
  <c r="C573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I554" i="1"/>
  <c r="A512" i="1"/>
  <c r="E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I548" i="1"/>
  <c r="A506" i="1"/>
  <c r="G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C647" i="1"/>
  <c r="I542" i="1"/>
  <c r="J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C599" i="1"/>
  <c r="I536" i="1"/>
  <c r="L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K593" i="1"/>
  <c r="A536" i="1"/>
  <c r="J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E567" i="1"/>
  <c r="I524" i="1"/>
  <c r="C499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F359" i="1"/>
  <c r="B354" i="1"/>
  <c r="J348" i="1"/>
  <c r="F343" i="1"/>
  <c r="A556" i="1"/>
  <c r="E513" i="1"/>
  <c r="H497" i="1"/>
  <c r="A492" i="1"/>
  <c r="I486" i="1"/>
  <c r="E481" i="1"/>
  <c r="A476" i="1"/>
  <c r="I470" i="1"/>
  <c r="E465" i="1"/>
  <c r="A460" i="1"/>
  <c r="I454" i="1"/>
  <c r="E449" i="1"/>
  <c r="L577" i="1"/>
  <c r="A534" i="1"/>
  <c r="G500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A434" i="1"/>
  <c r="H403" i="1"/>
  <c r="D382" i="1"/>
  <c r="L360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A428" i="1"/>
  <c r="I400" i="1"/>
  <c r="E379" i="1"/>
  <c r="A358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I416" i="1"/>
  <c r="L394" i="1"/>
  <c r="H373" i="1"/>
  <c r="D352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E413" i="1"/>
  <c r="A392" i="1"/>
  <c r="I370" i="1"/>
  <c r="E349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D410" i="1"/>
  <c r="L388" i="1"/>
  <c r="H367" i="1"/>
  <c r="D346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A436" i="1"/>
  <c r="I404" i="1"/>
  <c r="E383" i="1"/>
  <c r="A362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A430" i="1"/>
  <c r="H401" i="1"/>
  <c r="D380" i="1"/>
  <c r="L358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J358" i="1"/>
  <c r="F353" i="1"/>
  <c r="B348" i="1"/>
  <c r="J342" i="1"/>
  <c r="I550" i="1"/>
  <c r="A508" i="1"/>
  <c r="J496" i="1"/>
  <c r="E491" i="1"/>
  <c r="A486" i="1"/>
  <c r="I480" i="1"/>
  <c r="E475" i="1"/>
  <c r="A470" i="1"/>
  <c r="I464" i="1"/>
  <c r="E459" i="1"/>
  <c r="A454" i="1"/>
  <c r="I448" i="1"/>
  <c r="H571" i="1"/>
  <c r="I528" i="1"/>
  <c r="J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I428" i="1"/>
  <c r="L400" i="1"/>
  <c r="H379" i="1"/>
  <c r="D358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I422" i="1"/>
  <c r="A398" i="1"/>
  <c r="I376" i="1"/>
  <c r="E35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H413" i="1"/>
  <c r="D392" i="1"/>
  <c r="L370" i="1"/>
  <c r="H349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I410" i="1"/>
  <c r="E389" i="1"/>
  <c r="A368" i="1"/>
  <c r="I346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A442" i="1"/>
  <c r="H407" i="1"/>
  <c r="D386" i="1"/>
  <c r="L364" i="1"/>
  <c r="H343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I430" i="1"/>
  <c r="A402" i="1"/>
  <c r="I380" i="1"/>
  <c r="E359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424" i="1"/>
  <c r="L398" i="1"/>
  <c r="H377" i="1"/>
  <c r="D356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B358" i="1"/>
  <c r="J352" i="1"/>
  <c r="F347" i="1"/>
  <c r="B342" i="1"/>
  <c r="E545" i="1"/>
  <c r="I502" i="1"/>
  <c r="A496" i="1"/>
  <c r="I490" i="1"/>
  <c r="E485" i="1"/>
  <c r="A480" i="1"/>
  <c r="I474" i="1"/>
  <c r="E469" i="1"/>
  <c r="A464" i="1"/>
  <c r="I458" i="1"/>
  <c r="E453" i="1"/>
  <c r="A448" i="1"/>
  <c r="A566" i="1"/>
  <c r="E523" i="1"/>
  <c r="A499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E423" i="1"/>
  <c r="D398" i="1"/>
  <c r="L376" i="1"/>
  <c r="H35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E417" i="1"/>
  <c r="E395" i="1"/>
  <c r="A374" i="1"/>
  <c r="I352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L410" i="1"/>
  <c r="H389" i="1"/>
  <c r="D368" i="1"/>
  <c r="L346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I442" i="1"/>
  <c r="A408" i="1"/>
  <c r="I386" i="1"/>
  <c r="E365" i="1"/>
  <c r="A344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I436" i="1"/>
  <c r="L404" i="1"/>
  <c r="H383" i="1"/>
  <c r="D362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E425" i="1"/>
  <c r="E399" i="1"/>
  <c r="A378" i="1"/>
  <c r="I356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E419" i="1"/>
  <c r="D396" i="1"/>
  <c r="L374" i="1"/>
  <c r="H353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F357" i="1"/>
  <c r="B352" i="1"/>
  <c r="J346" i="1"/>
  <c r="K625" i="1"/>
  <c r="A540" i="1"/>
  <c r="E501" i="1"/>
  <c r="E495" i="1"/>
  <c r="A490" i="1"/>
  <c r="I484" i="1"/>
  <c r="E479" i="1"/>
  <c r="A474" i="1"/>
  <c r="I468" i="1"/>
  <c r="E463" i="1"/>
  <c r="A458" i="1"/>
  <c r="I452" i="1"/>
  <c r="E447" i="1"/>
  <c r="I560" i="1"/>
  <c r="A518" i="1"/>
  <c r="D498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A418" i="1"/>
  <c r="H395" i="1"/>
  <c r="D374" i="1"/>
  <c r="L352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A414" i="1"/>
  <c r="I392" i="1"/>
  <c r="E371" i="1"/>
  <c r="A350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E443" i="1"/>
  <c r="D408" i="1"/>
  <c r="L386" i="1"/>
  <c r="H365" i="1"/>
  <c r="D344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E437" i="1"/>
  <c r="E405" i="1"/>
  <c r="A384" i="1"/>
  <c r="I362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E431" i="1"/>
  <c r="D402" i="1"/>
  <c r="L380" i="1"/>
  <c r="H359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A420" i="1"/>
  <c r="I396" i="1"/>
  <c r="E375" i="1"/>
  <c r="A354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L414" i="1"/>
  <c r="H393" i="1"/>
  <c r="D372" i="1"/>
  <c r="L350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J356" i="1"/>
  <c r="F351" i="1"/>
  <c r="B346" i="1"/>
  <c r="C583" i="1"/>
  <c r="I534" i="1"/>
  <c r="H500" i="1"/>
  <c r="I494" i="1"/>
  <c r="E489" i="1"/>
  <c r="A484" i="1"/>
  <c r="I478" i="1"/>
  <c r="E473" i="1"/>
  <c r="A468" i="1"/>
  <c r="I462" i="1"/>
  <c r="E457" i="1"/>
  <c r="A452" i="1"/>
  <c r="I446" i="1"/>
  <c r="E555" i="1"/>
  <c r="I512" i="1"/>
  <c r="F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414" i="1"/>
  <c r="L392" i="1"/>
  <c r="H371" i="1"/>
  <c r="D350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E411" i="1"/>
  <c r="A390" i="1"/>
  <c r="I368" i="1"/>
  <c r="E347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438" i="1"/>
  <c r="H405" i="1"/>
  <c r="D384" i="1"/>
  <c r="L362" i="1"/>
  <c r="A342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A432" i="1"/>
  <c r="I402" i="1"/>
  <c r="E381" i="1"/>
  <c r="A360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A426" i="1"/>
  <c r="H399" i="1"/>
  <c r="D378" i="1"/>
  <c r="L356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E415" i="1"/>
  <c r="A394" i="1"/>
  <c r="I372" i="1"/>
  <c r="E351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D412" i="1"/>
  <c r="L390" i="1"/>
  <c r="H369" i="1"/>
  <c r="D348" i="1"/>
  <c r="D338" i="1"/>
  <c r="L332" i="1"/>
  <c r="H327" i="1"/>
  <c r="D322" i="1"/>
  <c r="L316" i="1"/>
  <c r="H311" i="1"/>
  <c r="D306" i="1"/>
  <c r="L300" i="1"/>
  <c r="H295" i="1"/>
  <c r="D290" i="1"/>
  <c r="L284" i="1"/>
  <c r="B356" i="1"/>
  <c r="J350" i="1"/>
  <c r="F345" i="1"/>
  <c r="E572" i="1"/>
  <c r="E529" i="1"/>
  <c r="K499" i="1"/>
  <c r="A494" i="1"/>
  <c r="I488" i="1"/>
  <c r="E483" i="1"/>
  <c r="A478" i="1"/>
  <c r="I472" i="1"/>
  <c r="E467" i="1"/>
  <c r="A462" i="1"/>
  <c r="I456" i="1"/>
  <c r="E451" i="1"/>
  <c r="A446" i="1"/>
  <c r="A550" i="1"/>
  <c r="E507" i="1"/>
  <c r="I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411" i="1"/>
  <c r="D390" i="1"/>
  <c r="L368" i="1"/>
  <c r="H347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A444" i="1"/>
  <c r="I408" i="1"/>
  <c r="E387" i="1"/>
  <c r="A366" i="1"/>
  <c r="I344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I432" i="1"/>
  <c r="L402" i="1"/>
  <c r="H381" i="1"/>
  <c r="D360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I426" i="1"/>
  <c r="A400" i="1"/>
  <c r="I378" i="1"/>
  <c r="E357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I420" i="1"/>
  <c r="L396" i="1"/>
  <c r="H375" i="1"/>
  <c r="D354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I412" i="1"/>
  <c r="E391" i="1"/>
  <c r="A370" i="1"/>
  <c r="I348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H409" i="1"/>
  <c r="D388" i="1"/>
  <c r="L366" i="1"/>
  <c r="H345" i="1"/>
  <c r="H337" i="1"/>
  <c r="D332" i="1"/>
  <c r="L326" i="1"/>
  <c r="H321" i="1"/>
  <c r="D316" i="1"/>
  <c r="L310" i="1"/>
  <c r="H305" i="1"/>
  <c r="D300" i="1"/>
  <c r="L294" i="1"/>
  <c r="H289" i="1"/>
  <c r="D284" i="1"/>
  <c r="F355" i="1"/>
  <c r="B350" i="1"/>
  <c r="J344" i="1"/>
  <c r="I566" i="1"/>
  <c r="A524" i="1"/>
  <c r="B499" i="1"/>
  <c r="E493" i="1"/>
  <c r="A488" i="1"/>
  <c r="I482" i="1"/>
  <c r="E477" i="1"/>
  <c r="A472" i="1"/>
  <c r="I466" i="1"/>
  <c r="E461" i="1"/>
  <c r="A456" i="1"/>
  <c r="I450" i="1"/>
  <c r="E445" i="1"/>
  <c r="I544" i="1"/>
  <c r="B502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I444" i="1"/>
  <c r="L408" i="1"/>
  <c r="H387" i="1"/>
  <c r="D366" i="1"/>
  <c r="L344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I438" i="1"/>
  <c r="A406" i="1"/>
  <c r="I384" i="1"/>
  <c r="E363" i="1"/>
  <c r="C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E427" i="1"/>
  <c r="D400" i="1"/>
  <c r="L378" i="1"/>
  <c r="H357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E421" i="1"/>
  <c r="E397" i="1"/>
  <c r="A376" i="1"/>
  <c r="I354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H415" i="1"/>
  <c r="D394" i="1"/>
  <c r="L372" i="1"/>
  <c r="H351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A410" i="1"/>
  <c r="I388" i="1"/>
  <c r="E367" i="1"/>
  <c r="A346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440" i="1"/>
  <c r="L406" i="1"/>
  <c r="H385" i="1"/>
  <c r="D364" i="1"/>
  <c r="L342" i="1"/>
  <c r="L336" i="1"/>
  <c r="H331" i="1"/>
  <c r="D326" i="1"/>
  <c r="L320" i="1"/>
  <c r="H315" i="1"/>
  <c r="D310" i="1"/>
  <c r="L304" i="1"/>
  <c r="H299" i="1"/>
  <c r="D294" i="1"/>
  <c r="L288" i="1"/>
  <c r="H283" i="1"/>
  <c r="J354" i="1"/>
  <c r="F349" i="1"/>
  <c r="B344" i="1"/>
  <c r="E561" i="1"/>
  <c r="I518" i="1"/>
  <c r="E498" i="1"/>
  <c r="I492" i="1"/>
  <c r="E487" i="1"/>
  <c r="A482" i="1"/>
  <c r="I476" i="1"/>
  <c r="E471" i="1"/>
  <c r="A466" i="1"/>
  <c r="I460" i="1"/>
  <c r="E455" i="1"/>
  <c r="A450" i="1"/>
  <c r="G620" i="1"/>
  <c r="E539" i="1"/>
  <c r="D501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E439" i="1"/>
  <c r="D406" i="1"/>
  <c r="L384" i="1"/>
  <c r="H363" i="1"/>
  <c r="D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E433" i="1"/>
  <c r="E403" i="1"/>
  <c r="A382" i="1"/>
  <c r="I360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422" i="1"/>
  <c r="H397" i="1"/>
  <c r="D376" i="1"/>
  <c r="L354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A416" i="1"/>
  <c r="I394" i="1"/>
  <c r="E373" i="1"/>
  <c r="A352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L412" i="1"/>
  <c r="H391" i="1"/>
  <c r="D370" i="1"/>
  <c r="L348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E441" i="1"/>
  <c r="E407" i="1"/>
  <c r="A386" i="1"/>
  <c r="I364" i="1"/>
  <c r="E343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E435" i="1"/>
  <c r="D404" i="1"/>
  <c r="L382" i="1"/>
  <c r="H361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C326" i="1"/>
  <c r="G283" i="1"/>
  <c r="K240" i="1"/>
  <c r="C198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I434" i="1"/>
  <c r="C320" i="1"/>
  <c r="G277" i="1"/>
  <c r="K234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E401" i="1"/>
  <c r="C314" i="1"/>
  <c r="G271" i="1"/>
  <c r="K22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356" i="1"/>
  <c r="K302" i="1"/>
  <c r="C260" i="1"/>
  <c r="G21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G339" i="1"/>
  <c r="K296" i="1"/>
  <c r="C254" i="1"/>
  <c r="G211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C328" i="1"/>
  <c r="G285" i="1"/>
  <c r="K242" i="1"/>
  <c r="C200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E409" i="1"/>
  <c r="C316" i="1"/>
  <c r="G273" i="1"/>
  <c r="K230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C274" i="1"/>
  <c r="I161" i="1"/>
  <c r="A119" i="1"/>
  <c r="E76" i="1"/>
  <c r="F44" i="1"/>
  <c r="B39" i="1"/>
  <c r="J33" i="1"/>
  <c r="F28" i="1"/>
  <c r="B23" i="1"/>
  <c r="J17" i="1"/>
  <c r="F12" i="1"/>
  <c r="B7" i="1"/>
  <c r="D8" i="1"/>
  <c r="C39" i="1"/>
  <c r="K5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A440" i="1"/>
  <c r="K320" i="1"/>
  <c r="C278" i="1"/>
  <c r="G235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A404" i="1"/>
  <c r="K314" i="1"/>
  <c r="C272" i="1"/>
  <c r="G229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A380" i="1"/>
  <c r="K308" i="1"/>
  <c r="C266" i="1"/>
  <c r="G223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C340" i="1"/>
  <c r="G297" i="1"/>
  <c r="K254" i="1"/>
  <c r="C212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C334" i="1"/>
  <c r="G291" i="1"/>
  <c r="K248" i="1"/>
  <c r="C206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K322" i="1"/>
  <c r="C280" i="1"/>
  <c r="G237" i="1"/>
  <c r="K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A388" i="1"/>
  <c r="K310" i="1"/>
  <c r="C268" i="1"/>
  <c r="G225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G231" i="1"/>
  <c r="E156" i="1"/>
  <c r="I113" i="1"/>
  <c r="A71" i="1"/>
  <c r="J43" i="1"/>
  <c r="F38" i="1"/>
  <c r="B33" i="1"/>
  <c r="J27" i="1"/>
  <c r="F22" i="1"/>
  <c r="B17" i="1"/>
  <c r="J11" i="1"/>
  <c r="F6" i="1"/>
  <c r="D6" i="1"/>
  <c r="K33" i="1"/>
  <c r="I390" i="1"/>
  <c r="I171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I406" i="1"/>
  <c r="G315" i="1"/>
  <c r="K272" i="1"/>
  <c r="C230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I382" i="1"/>
  <c r="G309" i="1"/>
  <c r="K266" i="1"/>
  <c r="C224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I358" i="1"/>
  <c r="G303" i="1"/>
  <c r="K260" i="1"/>
  <c r="C218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K334" i="1"/>
  <c r="C292" i="1"/>
  <c r="G249" i="1"/>
  <c r="K206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K328" i="1"/>
  <c r="C286" i="1"/>
  <c r="G243" i="1"/>
  <c r="K200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I414" i="1"/>
  <c r="G317" i="1"/>
  <c r="K274" i="1"/>
  <c r="C232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I366" i="1"/>
  <c r="G305" i="1"/>
  <c r="K262" i="1"/>
  <c r="C220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I193" i="1"/>
  <c r="A151" i="1"/>
  <c r="E108" i="1"/>
  <c r="I65" i="1"/>
  <c r="B43" i="1"/>
  <c r="J37" i="1"/>
  <c r="F32" i="1"/>
  <c r="B27" i="1"/>
  <c r="J21" i="1"/>
  <c r="F16" i="1"/>
  <c r="B11" i="1"/>
  <c r="J5" i="1"/>
  <c r="D4" i="1"/>
  <c r="G30" i="1"/>
  <c r="G311" i="1"/>
  <c r="E166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E385" i="1"/>
  <c r="C310" i="1"/>
  <c r="G267" i="1"/>
  <c r="K224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E361" i="1"/>
  <c r="C304" i="1"/>
  <c r="G261" i="1"/>
  <c r="K218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K340" i="1"/>
  <c r="C298" i="1"/>
  <c r="G255" i="1"/>
  <c r="K212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G329" i="1"/>
  <c r="K286" i="1"/>
  <c r="C244" i="1"/>
  <c r="G201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G323" i="1"/>
  <c r="K280" i="1"/>
  <c r="C238" i="1"/>
  <c r="G195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E393" i="1"/>
  <c r="C312" i="1"/>
  <c r="G269" i="1"/>
  <c r="K226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E345" i="1"/>
  <c r="C300" i="1"/>
  <c r="G257" i="1"/>
  <c r="K214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E188" i="1"/>
  <c r="I145" i="1"/>
  <c r="A103" i="1"/>
  <c r="E60" i="1"/>
  <c r="F42" i="1"/>
  <c r="B37" i="1"/>
  <c r="J31" i="1"/>
  <c r="F26" i="1"/>
  <c r="B21" i="1"/>
  <c r="J15" i="1"/>
  <c r="F10" i="1"/>
  <c r="B5" i="1"/>
  <c r="K12" i="1"/>
  <c r="K25" i="1"/>
  <c r="K268" i="1"/>
  <c r="A161" i="1"/>
  <c r="E118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A364" i="1"/>
  <c r="K304" i="1"/>
  <c r="C262" i="1"/>
  <c r="G219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G341" i="1"/>
  <c r="K298" i="1"/>
  <c r="C256" i="1"/>
  <c r="G213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G335" i="1"/>
  <c r="K292" i="1"/>
  <c r="C250" i="1"/>
  <c r="G207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C324" i="1"/>
  <c r="G281" i="1"/>
  <c r="K238" i="1"/>
  <c r="C196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I418" i="1"/>
  <c r="C318" i="1"/>
  <c r="G275" i="1"/>
  <c r="K232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A372" i="1"/>
  <c r="K306" i="1"/>
  <c r="C264" i="1"/>
  <c r="G221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G337" i="1"/>
  <c r="K294" i="1"/>
  <c r="C252" i="1"/>
  <c r="G209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A183" i="1"/>
  <c r="E140" i="1"/>
  <c r="I97" i="1"/>
  <c r="A55" i="1"/>
  <c r="J41" i="1"/>
  <c r="F36" i="1"/>
  <c r="B31" i="1"/>
  <c r="J25" i="1"/>
  <c r="F20" i="1"/>
  <c r="B15" i="1"/>
  <c r="J9" i="1"/>
  <c r="F4" i="1"/>
  <c r="K8" i="1"/>
  <c r="C21" i="1"/>
  <c r="C226" i="1"/>
  <c r="I155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I342" i="1"/>
  <c r="G299" i="1"/>
  <c r="K256" i="1"/>
  <c r="C214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336" i="1"/>
  <c r="G293" i="1"/>
  <c r="K250" i="1"/>
  <c r="C208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C330" i="1"/>
  <c r="G287" i="1"/>
  <c r="K244" i="1"/>
  <c r="C202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24" i="1"/>
  <c r="K318" i="1"/>
  <c r="C276" i="1"/>
  <c r="G233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A396" i="1"/>
  <c r="K312" i="1"/>
  <c r="C270" i="1"/>
  <c r="G227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I350" i="1"/>
  <c r="G301" i="1"/>
  <c r="K258" i="1"/>
  <c r="C216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C332" i="1"/>
  <c r="G289" i="1"/>
  <c r="K246" i="1"/>
  <c r="C204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I177" i="1"/>
  <c r="A135" i="1"/>
  <c r="E92" i="1"/>
  <c r="I49" i="1"/>
  <c r="B41" i="1"/>
  <c r="J35" i="1"/>
  <c r="F30" i="1"/>
  <c r="B25" i="1"/>
  <c r="J19" i="1"/>
  <c r="F14" i="1"/>
  <c r="B9" i="1"/>
  <c r="D18" i="1"/>
  <c r="C6" i="1"/>
  <c r="C17" i="1"/>
  <c r="A193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K336" i="1"/>
  <c r="C294" i="1"/>
  <c r="G251" i="1"/>
  <c r="K208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K330" i="1"/>
  <c r="C288" i="1"/>
  <c r="G245" i="1"/>
  <c r="K202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K324" i="1"/>
  <c r="C282" i="1"/>
  <c r="G239" i="1"/>
  <c r="K196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I398" i="1"/>
  <c r="G313" i="1"/>
  <c r="K270" i="1"/>
  <c r="C22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I374" i="1"/>
  <c r="G307" i="1"/>
  <c r="K264" i="1"/>
  <c r="C222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K338" i="1"/>
  <c r="C296" i="1"/>
  <c r="G253" i="1"/>
  <c r="K210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K326" i="1"/>
  <c r="C284" i="1"/>
  <c r="G241" i="1"/>
  <c r="K198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A412" i="1"/>
  <c r="E172" i="1"/>
  <c r="I129" i="1"/>
  <c r="A87" i="1"/>
  <c r="J45" i="1"/>
  <c r="F40" i="1"/>
  <c r="B35" i="1"/>
  <c r="J29" i="1"/>
  <c r="F24" i="1"/>
  <c r="B19" i="1"/>
  <c r="J13" i="1"/>
  <c r="F8" i="1"/>
  <c r="L12" i="1"/>
  <c r="A157" i="1"/>
  <c r="G12" i="1"/>
  <c r="I187" i="1"/>
  <c r="A145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G331" i="1"/>
  <c r="K288" i="1"/>
  <c r="C246" i="1"/>
  <c r="G203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G325" i="1"/>
  <c r="K282" i="1"/>
  <c r="C240" i="1"/>
  <c r="G197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E429" i="1"/>
  <c r="G319" i="1"/>
  <c r="K276" i="1"/>
  <c r="C234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E377" i="1"/>
  <c r="C308" i="1"/>
  <c r="G265" i="1"/>
  <c r="K222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E353" i="1"/>
  <c r="C302" i="1"/>
  <c r="G259" i="1"/>
  <c r="K216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333" i="1"/>
  <c r="K290" i="1"/>
  <c r="C248" i="1"/>
  <c r="G20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G321" i="1"/>
  <c r="K278" i="1"/>
  <c r="C236" i="1"/>
  <c r="F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K316" i="1"/>
  <c r="A167" i="1"/>
  <c r="E124" i="1"/>
  <c r="I81" i="1"/>
  <c r="B45" i="1"/>
  <c r="J39" i="1"/>
  <c r="F34" i="1"/>
  <c r="B29" i="1"/>
  <c r="J23" i="1"/>
  <c r="F18" i="1"/>
  <c r="B13" i="1"/>
  <c r="J7" i="1"/>
  <c r="D10" i="1"/>
  <c r="K43" i="1"/>
  <c r="G8" i="1"/>
  <c r="E182" i="1"/>
  <c r="I139" i="1"/>
  <c r="A177" i="1"/>
  <c r="A97" i="1"/>
  <c r="E54" i="1"/>
  <c r="I41" i="1"/>
  <c r="E36" i="1"/>
  <c r="A31" i="1"/>
  <c r="I25" i="1"/>
  <c r="E20" i="1"/>
  <c r="A15" i="1"/>
  <c r="I9" i="1"/>
  <c r="E4" i="1"/>
  <c r="K10" i="1"/>
  <c r="C11" i="1"/>
  <c r="I181" i="1"/>
  <c r="A139" i="1"/>
  <c r="E96" i="1"/>
  <c r="I53" i="1"/>
  <c r="H41" i="1"/>
  <c r="D36" i="1"/>
  <c r="L30" i="1"/>
  <c r="H25" i="1"/>
  <c r="D20" i="1"/>
  <c r="D12" i="1"/>
  <c r="C4" i="1"/>
  <c r="K9" i="1"/>
  <c r="I175" i="1"/>
  <c r="A133" i="1"/>
  <c r="E90" i="1"/>
  <c r="I47" i="1"/>
  <c r="K40" i="1"/>
  <c r="G35" i="1"/>
  <c r="C30" i="1"/>
  <c r="K24" i="1"/>
  <c r="G19" i="1"/>
  <c r="C14" i="1"/>
  <c r="C23" i="1"/>
  <c r="A191" i="1"/>
  <c r="E148" i="1"/>
  <c r="I105" i="1"/>
  <c r="A63" i="1"/>
  <c r="J42" i="1"/>
  <c r="F37" i="1"/>
  <c r="B32" i="1"/>
  <c r="J26" i="1"/>
  <c r="F21" i="1"/>
  <c r="B16" i="1"/>
  <c r="J10" i="1"/>
  <c r="F5" i="1"/>
  <c r="E98" i="1"/>
  <c r="C31" i="1"/>
  <c r="C290" i="1"/>
  <c r="I163" i="1"/>
  <c r="A121" i="1"/>
  <c r="E78" i="1"/>
  <c r="I44" i="1"/>
  <c r="E39" i="1"/>
  <c r="A34" i="1"/>
  <c r="I28" i="1"/>
  <c r="E23" i="1"/>
  <c r="A18" i="1"/>
  <c r="I12" i="1"/>
  <c r="E7" i="1"/>
  <c r="E178" i="1"/>
  <c r="I55" i="1"/>
  <c r="C25" i="1"/>
  <c r="G199" i="1"/>
  <c r="E152" i="1"/>
  <c r="I109" i="1"/>
  <c r="A67" i="1"/>
  <c r="D43" i="1"/>
  <c r="L37" i="1"/>
  <c r="H32" i="1"/>
  <c r="D27" i="1"/>
  <c r="L21" i="1"/>
  <c r="H16" i="1"/>
  <c r="D11" i="1"/>
  <c r="L5" i="1"/>
  <c r="A93" i="1"/>
  <c r="G24" i="1"/>
  <c r="D5" i="1"/>
  <c r="K19" i="1"/>
  <c r="E50" i="1"/>
  <c r="E150" i="1"/>
  <c r="I91" i="1"/>
  <c r="A49" i="1"/>
  <c r="A41" i="1"/>
  <c r="I35" i="1"/>
  <c r="E30" i="1"/>
  <c r="A25" i="1"/>
  <c r="I19" i="1"/>
  <c r="E14" i="1"/>
  <c r="A9" i="1"/>
  <c r="H17" i="1"/>
  <c r="C8" i="1"/>
  <c r="G6" i="1"/>
  <c r="E176" i="1"/>
  <c r="I133" i="1"/>
  <c r="A91" i="1"/>
  <c r="E48" i="1"/>
  <c r="L40" i="1"/>
  <c r="H35" i="1"/>
  <c r="D30" i="1"/>
  <c r="L24" i="1"/>
  <c r="H19" i="1"/>
  <c r="H11" i="1"/>
  <c r="A125" i="1"/>
  <c r="A348" i="1"/>
  <c r="E170" i="1"/>
  <c r="I127" i="1"/>
  <c r="A85" i="1"/>
  <c r="G45" i="1"/>
  <c r="C40" i="1"/>
  <c r="K34" i="1"/>
  <c r="G29" i="1"/>
  <c r="C24" i="1"/>
  <c r="K18" i="1"/>
  <c r="C12" i="1"/>
  <c r="G16" i="1"/>
  <c r="I185" i="1"/>
  <c r="A143" i="1"/>
  <c r="E100" i="1"/>
  <c r="I57" i="1"/>
  <c r="B42" i="1"/>
  <c r="J36" i="1"/>
  <c r="F31" i="1"/>
  <c r="B26" i="1"/>
  <c r="J20" i="1"/>
  <c r="F15" i="1"/>
  <c r="B10" i="1"/>
  <c r="J4" i="1"/>
  <c r="A77" i="1"/>
  <c r="G26" i="1"/>
  <c r="G247" i="1"/>
  <c r="E158" i="1"/>
  <c r="I115" i="1"/>
  <c r="A73" i="1"/>
  <c r="A44" i="1"/>
  <c r="I38" i="1"/>
  <c r="E33" i="1"/>
  <c r="A28" i="1"/>
  <c r="I22" i="1"/>
  <c r="E17" i="1"/>
  <c r="A12" i="1"/>
  <c r="I6" i="1"/>
  <c r="E162" i="1"/>
  <c r="C45" i="1"/>
  <c r="K21" i="1"/>
  <c r="I189" i="1"/>
  <c r="A147" i="1"/>
  <c r="E104" i="1"/>
  <c r="I61" i="1"/>
  <c r="H42" i="1"/>
  <c r="D37" i="1"/>
  <c r="L31" i="1"/>
  <c r="H26" i="1"/>
  <c r="D21" i="1"/>
  <c r="L15" i="1"/>
  <c r="H10" i="1"/>
  <c r="I71" i="1"/>
  <c r="H4" i="1"/>
  <c r="E134" i="1"/>
  <c r="E86" i="1"/>
  <c r="I45" i="1"/>
  <c r="E40" i="1"/>
  <c r="A35" i="1"/>
  <c r="I29" i="1"/>
  <c r="E24" i="1"/>
  <c r="A19" i="1"/>
  <c r="I13" i="1"/>
  <c r="E8" i="1"/>
  <c r="H13" i="1"/>
  <c r="G5" i="1"/>
  <c r="E369" i="1"/>
  <c r="A171" i="1"/>
  <c r="E128" i="1"/>
  <c r="I85" i="1"/>
  <c r="H45" i="1"/>
  <c r="D40" i="1"/>
  <c r="L34" i="1"/>
  <c r="H29" i="1"/>
  <c r="D24" i="1"/>
  <c r="L18" i="1"/>
  <c r="H9" i="1"/>
  <c r="K39" i="1"/>
  <c r="K300" i="1"/>
  <c r="A165" i="1"/>
  <c r="E122" i="1"/>
  <c r="I79" i="1"/>
  <c r="K44" i="1"/>
  <c r="G39" i="1"/>
  <c r="C34" i="1"/>
  <c r="K28" i="1"/>
  <c r="G23" i="1"/>
  <c r="C18" i="1"/>
  <c r="C10" i="1"/>
  <c r="K11" i="1"/>
  <c r="E180" i="1"/>
  <c r="I137" i="1"/>
  <c r="A95" i="1"/>
  <c r="E52" i="1"/>
  <c r="F41" i="1"/>
  <c r="B36" i="1"/>
  <c r="J30" i="1"/>
  <c r="F25" i="1"/>
  <c r="B20" i="1"/>
  <c r="J14" i="1"/>
  <c r="F9" i="1"/>
  <c r="B4" i="1"/>
  <c r="A61" i="1"/>
  <c r="G22" i="1"/>
  <c r="K204" i="1"/>
  <c r="A153" i="1"/>
  <c r="E110" i="1"/>
  <c r="I67" i="1"/>
  <c r="E43" i="1"/>
  <c r="A38" i="1"/>
  <c r="I32" i="1"/>
  <c r="E27" i="1"/>
  <c r="A22" i="1"/>
  <c r="I16" i="1"/>
  <c r="E11" i="1"/>
  <c r="A6" i="1"/>
  <c r="A141" i="1"/>
  <c r="G42" i="1"/>
  <c r="C19" i="1"/>
  <c r="E184" i="1"/>
  <c r="I141" i="1"/>
  <c r="A99" i="1"/>
  <c r="E56" i="1"/>
  <c r="L41" i="1"/>
  <c r="H36" i="1"/>
  <c r="D31" i="1"/>
  <c r="L25" i="1"/>
  <c r="H20" i="1"/>
  <c r="D15" i="1"/>
  <c r="L9" i="1"/>
  <c r="C15" i="1"/>
  <c r="A129" i="1"/>
  <c r="A81" i="1"/>
  <c r="A45" i="1"/>
  <c r="I39" i="1"/>
  <c r="E34" i="1"/>
  <c r="A29" i="1"/>
  <c r="I23" i="1"/>
  <c r="E18" i="1"/>
  <c r="A13" i="1"/>
  <c r="I7" i="1"/>
  <c r="L10" i="1"/>
  <c r="E146" i="1"/>
  <c r="C306" i="1"/>
  <c r="I165" i="1"/>
  <c r="A123" i="1"/>
  <c r="E80" i="1"/>
  <c r="L44" i="1"/>
  <c r="H39" i="1"/>
  <c r="D34" i="1"/>
  <c r="L28" i="1"/>
  <c r="H23" i="1"/>
  <c r="L16" i="1"/>
  <c r="H7" i="1"/>
  <c r="G32" i="1"/>
  <c r="C258" i="1"/>
  <c r="I159" i="1"/>
  <c r="A117" i="1"/>
  <c r="E74" i="1"/>
  <c r="C44" i="1"/>
  <c r="K38" i="1"/>
  <c r="G33" i="1"/>
  <c r="C28" i="1"/>
  <c r="K22" i="1"/>
  <c r="G17" i="1"/>
  <c r="G7" i="1"/>
  <c r="C7" i="1"/>
  <c r="A175" i="1"/>
  <c r="E132" i="1"/>
  <c r="I89" i="1"/>
  <c r="A47" i="1"/>
  <c r="J40" i="1"/>
  <c r="F35" i="1"/>
  <c r="B30" i="1"/>
  <c r="J24" i="1"/>
  <c r="F19" i="1"/>
  <c r="B14" i="1"/>
  <c r="J8" i="1"/>
  <c r="G279" i="1"/>
  <c r="K45" i="1"/>
  <c r="K17" i="1"/>
  <c r="E190" i="1"/>
  <c r="I147" i="1"/>
  <c r="A105" i="1"/>
  <c r="E62" i="1"/>
  <c r="I42" i="1"/>
  <c r="E37" i="1"/>
  <c r="A32" i="1"/>
  <c r="I26" i="1"/>
  <c r="E21" i="1"/>
  <c r="A16" i="1"/>
  <c r="I10" i="1"/>
  <c r="E5" i="1"/>
  <c r="I119" i="1"/>
  <c r="C41" i="1"/>
  <c r="K13" i="1"/>
  <c r="A179" i="1"/>
  <c r="E136" i="1"/>
  <c r="I93" i="1"/>
  <c r="A51" i="1"/>
  <c r="D41" i="1"/>
  <c r="L35" i="1"/>
  <c r="H30" i="1"/>
  <c r="D25" i="1"/>
  <c r="L19" i="1"/>
  <c r="H14" i="1"/>
  <c r="D9" i="1"/>
  <c r="C322" i="1"/>
  <c r="G44" i="1"/>
  <c r="G10" i="1"/>
  <c r="I123" i="1"/>
  <c r="I75" i="1"/>
  <c r="E44" i="1"/>
  <c r="A39" i="1"/>
  <c r="I33" i="1"/>
  <c r="E28" i="1"/>
  <c r="A23" i="1"/>
  <c r="I17" i="1"/>
  <c r="E12" i="1"/>
  <c r="A7" i="1"/>
  <c r="L8" i="1"/>
  <c r="K35" i="1"/>
  <c r="G263" i="1"/>
  <c r="E160" i="1"/>
  <c r="I117" i="1"/>
  <c r="A75" i="1"/>
  <c r="D44" i="1"/>
  <c r="L38" i="1"/>
  <c r="H33" i="1"/>
  <c r="D28" i="1"/>
  <c r="L22" i="1"/>
  <c r="D16" i="1"/>
  <c r="L4" i="1"/>
  <c r="C29" i="1"/>
  <c r="G215" i="1"/>
  <c r="E154" i="1"/>
  <c r="I111" i="1"/>
  <c r="A69" i="1"/>
  <c r="G43" i="1"/>
  <c r="C38" i="1"/>
  <c r="K32" i="1"/>
  <c r="G27" i="1"/>
  <c r="C22" i="1"/>
  <c r="K16" i="1"/>
  <c r="K4" i="1"/>
  <c r="C338" i="1"/>
  <c r="I169" i="1"/>
  <c r="A127" i="1"/>
  <c r="E84" i="1"/>
  <c r="F45" i="1"/>
  <c r="B40" i="1"/>
  <c r="J34" i="1"/>
  <c r="F29" i="1"/>
  <c r="B24" i="1"/>
  <c r="J18" i="1"/>
  <c r="F13" i="1"/>
  <c r="B8" i="1"/>
  <c r="I183" i="1"/>
  <c r="C43" i="1"/>
  <c r="C13" i="1"/>
  <c r="A185" i="1"/>
  <c r="E142" i="1"/>
  <c r="I99" i="1"/>
  <c r="A57" i="1"/>
  <c r="A42" i="1"/>
  <c r="I36" i="1"/>
  <c r="E31" i="1"/>
  <c r="A26" i="1"/>
  <c r="I20" i="1"/>
  <c r="E15" i="1"/>
  <c r="A10" i="1"/>
  <c r="I4" i="1"/>
  <c r="I103" i="1"/>
  <c r="G38" i="1"/>
  <c r="K7" i="1"/>
  <c r="I173" i="1"/>
  <c r="A131" i="1"/>
  <c r="E88" i="1"/>
  <c r="A46" i="1"/>
  <c r="H40" i="1"/>
  <c r="D35" i="1"/>
  <c r="L29" i="1"/>
  <c r="H24" i="1"/>
  <c r="D19" i="1"/>
  <c r="L13" i="1"/>
  <c r="H8" i="1"/>
  <c r="A189" i="1"/>
  <c r="K41" i="1"/>
  <c r="G4" i="1"/>
  <c r="A173" i="1"/>
  <c r="I135" i="1"/>
  <c r="A113" i="1"/>
  <c r="E70" i="1"/>
  <c r="I43" i="1"/>
  <c r="E38" i="1"/>
  <c r="A33" i="1"/>
  <c r="I27" i="1"/>
  <c r="E22" i="1"/>
  <c r="A17" i="1"/>
  <c r="I11" i="1"/>
  <c r="E6" i="1"/>
  <c r="L6" i="1"/>
  <c r="C27" i="1"/>
  <c r="K220" i="1"/>
  <c r="A155" i="1"/>
  <c r="E112" i="1"/>
  <c r="I69" i="1"/>
  <c r="H43" i="1"/>
  <c r="D38" i="1"/>
  <c r="L32" i="1"/>
  <c r="H27" i="1"/>
  <c r="D22" i="1"/>
  <c r="H15" i="1"/>
  <c r="G11" i="1"/>
  <c r="K23" i="1"/>
  <c r="I191" i="1"/>
  <c r="A149" i="1"/>
  <c r="E106" i="1"/>
  <c r="I63" i="1"/>
  <c r="K42" i="1"/>
  <c r="G37" i="1"/>
  <c r="C32" i="1"/>
  <c r="K26" i="1"/>
  <c r="G21" i="1"/>
  <c r="C16" i="1"/>
  <c r="I151" i="1"/>
  <c r="G295" i="1"/>
  <c r="E164" i="1"/>
  <c r="I121" i="1"/>
  <c r="A79" i="1"/>
  <c r="J44" i="1"/>
  <c r="F39" i="1"/>
  <c r="B34" i="1"/>
  <c r="J28" i="1"/>
  <c r="F23" i="1"/>
  <c r="B18" i="1"/>
  <c r="J12" i="1"/>
  <c r="F7" i="1"/>
  <c r="I167" i="1"/>
  <c r="G40" i="1"/>
  <c r="C9" i="1"/>
  <c r="I179" i="1"/>
  <c r="A137" i="1"/>
  <c r="E94" i="1"/>
  <c r="I51" i="1"/>
  <c r="E41" i="1"/>
  <c r="A36" i="1"/>
  <c r="I30" i="1"/>
  <c r="E25" i="1"/>
  <c r="A20" i="1"/>
  <c r="I14" i="1"/>
  <c r="E9" i="1"/>
  <c r="A4" i="1"/>
  <c r="I87" i="1"/>
  <c r="C35" i="1"/>
  <c r="G327" i="1"/>
  <c r="E168" i="1"/>
  <c r="I125" i="1"/>
  <c r="A83" i="1"/>
  <c r="D45" i="1"/>
  <c r="L39" i="1"/>
  <c r="H34" i="1"/>
  <c r="D29" i="1"/>
  <c r="L23" i="1"/>
  <c r="H18" i="1"/>
  <c r="D13" i="1"/>
  <c r="L7" i="1"/>
  <c r="K37" i="1"/>
  <c r="C33" i="1"/>
  <c r="I107" i="1"/>
  <c r="A65" i="1"/>
  <c r="A43" i="1"/>
  <c r="I37" i="1"/>
  <c r="E32" i="1"/>
  <c r="A27" i="1"/>
  <c r="I21" i="1"/>
  <c r="E16" i="1"/>
  <c r="A11" i="1"/>
  <c r="I5" i="1"/>
  <c r="H5" i="1"/>
  <c r="G20" i="1"/>
  <c r="E192" i="1"/>
  <c r="I149" i="1"/>
  <c r="A107" i="1"/>
  <c r="E64" i="1"/>
  <c r="L42" i="1"/>
  <c r="H37" i="1"/>
  <c r="D32" i="1"/>
  <c r="L26" i="1"/>
  <c r="H21" i="1"/>
  <c r="L14" i="1"/>
  <c r="G9" i="1"/>
  <c r="G18" i="1"/>
  <c r="E186" i="1"/>
  <c r="I143" i="1"/>
  <c r="A101" i="1"/>
  <c r="E58" i="1"/>
  <c r="C42" i="1"/>
  <c r="K36" i="1"/>
  <c r="G31" i="1"/>
  <c r="C26" i="1"/>
  <c r="K20" i="1"/>
  <c r="G15" i="1"/>
  <c r="G36" i="1"/>
  <c r="K252" i="1"/>
  <c r="A159" i="1"/>
  <c r="E116" i="1"/>
  <c r="I73" i="1"/>
  <c r="B44" i="1"/>
  <c r="J38" i="1"/>
  <c r="F33" i="1"/>
  <c r="B28" i="1"/>
  <c r="J22" i="1"/>
  <c r="F17" i="1"/>
  <c r="B12" i="1"/>
  <c r="J6" i="1"/>
  <c r="E130" i="1"/>
  <c r="C37" i="1"/>
  <c r="C5" i="1"/>
  <c r="E174" i="1"/>
  <c r="I131" i="1"/>
  <c r="A89" i="1"/>
  <c r="E46" i="1"/>
  <c r="I40" i="1"/>
  <c r="E35" i="1"/>
  <c r="A30" i="1"/>
  <c r="I24" i="1"/>
  <c r="E19" i="1"/>
  <c r="A14" i="1"/>
  <c r="I8" i="1"/>
  <c r="K236" i="1"/>
  <c r="E82" i="1"/>
  <c r="K31" i="1"/>
  <c r="K284" i="1"/>
  <c r="A163" i="1"/>
  <c r="E120" i="1"/>
  <c r="I77" i="1"/>
  <c r="H44" i="1"/>
  <c r="D39" i="1"/>
  <c r="L33" i="1"/>
  <c r="H28" i="1"/>
  <c r="D23" i="1"/>
  <c r="L17" i="1"/>
  <c r="H12" i="1"/>
  <c r="D7" i="1"/>
  <c r="E102" i="1"/>
  <c r="I59" i="1"/>
  <c r="E42" i="1"/>
  <c r="A37" i="1"/>
  <c r="I31" i="1"/>
  <c r="E26" i="1"/>
  <c r="A21" i="1"/>
  <c r="I15" i="1"/>
  <c r="E10" i="1"/>
  <c r="A5" i="1"/>
  <c r="G13" i="1"/>
  <c r="K15" i="1"/>
  <c r="A187" i="1"/>
  <c r="E144" i="1"/>
  <c r="I101" i="1"/>
  <c r="A59" i="1"/>
  <c r="D42" i="1"/>
  <c r="L36" i="1"/>
  <c r="H31" i="1"/>
  <c r="D26" i="1"/>
  <c r="L20" i="1"/>
  <c r="D14" i="1"/>
  <c r="K6" i="1"/>
  <c r="G14" i="1"/>
  <c r="A181" i="1"/>
  <c r="E138" i="1"/>
  <c r="I95" i="1"/>
  <c r="A53" i="1"/>
  <c r="G41" i="1"/>
  <c r="C36" i="1"/>
  <c r="K30" i="1"/>
  <c r="G25" i="1"/>
  <c r="C20" i="1"/>
  <c r="K14" i="1"/>
  <c r="K27" i="1"/>
  <c r="C210" i="1"/>
  <c r="I153" i="1"/>
  <c r="A111" i="1"/>
  <c r="E68" i="1"/>
  <c r="F43" i="1"/>
  <c r="B38" i="1"/>
  <c r="J32" i="1"/>
  <c r="F27" i="1"/>
  <c r="B22" i="1"/>
  <c r="J16" i="1"/>
  <c r="F11" i="1"/>
  <c r="B6" i="1"/>
  <c r="A109" i="1"/>
  <c r="G34" i="1"/>
  <c r="K332" i="1"/>
  <c r="A169" i="1"/>
  <c r="E126" i="1"/>
  <c r="I83" i="1"/>
  <c r="E45" i="1"/>
  <c r="A40" i="1"/>
  <c r="I34" i="1"/>
  <c r="E29" i="1"/>
  <c r="A24" i="1"/>
  <c r="I18" i="1"/>
  <c r="E13" i="1"/>
  <c r="A8" i="1"/>
  <c r="I194" i="1"/>
  <c r="E66" i="1"/>
  <c r="K29" i="1"/>
  <c r="C242" i="1"/>
  <c r="I157" i="1"/>
  <c r="A115" i="1"/>
  <c r="E72" i="1"/>
  <c r="L43" i="1"/>
  <c r="H38" i="1"/>
  <c r="D33" i="1"/>
  <c r="L27" i="1"/>
  <c r="H22" i="1"/>
  <c r="D17" i="1"/>
  <c r="L11" i="1"/>
  <c r="H6" i="1"/>
  <c r="E114" i="1"/>
  <c r="G28" i="1"/>
</calcChain>
</file>

<file path=xl/sharedStrings.xml><?xml version="1.0" encoding="utf-8"?>
<sst xmlns="http://schemas.openxmlformats.org/spreadsheetml/2006/main" count="468" uniqueCount="202">
  <si>
    <t>Settings</t>
  </si>
  <si>
    <t>Modules Info</t>
  </si>
  <si>
    <t>Master Data Info</t>
  </si>
  <si>
    <t>Module</t>
  </si>
  <si>
    <t>Modules</t>
  </si>
  <si>
    <t>Step</t>
  </si>
  <si>
    <t>Master Data Sheet</t>
  </si>
  <si>
    <t>Module Step Setting File</t>
  </si>
  <si>
    <t>15TZcyNzdODZnAEMI7Zyq6CaL1BTvFkhtTgtMBwN7UQA</t>
  </si>
  <si>
    <t>Master Data Settings File</t>
  </si>
  <si>
    <t>1Nt_rf5DtgjbN9Ag4AMMlUkZYROxKZLH5m54YOl7tRT0</t>
  </si>
  <si>
    <t>Data</t>
  </si>
  <si>
    <t>Blotter</t>
  </si>
  <si>
    <t>TradingTicket</t>
  </si>
  <si>
    <t>MultiTradingTicketFromBlotter</t>
  </si>
  <si>
    <t>Data Format</t>
  </si>
  <si>
    <t>Input Format</t>
  </si>
  <si>
    <t>CreateStageOrder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</si>
  <si>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</si>
  <si>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</si>
  <si>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</si>
  <si>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</si>
  <si>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</si>
  <si>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</si>
  <si>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CheckBlotter</t>
  </si>
  <si>
    <t>CreateReplaceOrder</t>
  </si>
  <si>
    <t>BlotterFunctionalities</t>
  </si>
  <si>
    <t>SetGeneralPreference</t>
  </si>
  <si>
    <t>TransferToUserWorkingSubs</t>
  </si>
  <si>
    <t>CreateDoneAwayOrder</t>
  </si>
  <si>
    <t>CancelWorkingSubs</t>
  </si>
  <si>
    <t>CreateNewSubOrder</t>
  </si>
  <si>
    <t>ReplaceWorkingSubs</t>
  </si>
  <si>
    <t>TradeBloomberg</t>
  </si>
  <si>
    <t>ViewAllocationDetailsWorkingSubs</t>
  </si>
  <si>
    <t>ClickSymbolLookup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</si>
  <si>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</si>
  <si>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</si>
  <si>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</si>
  <si>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</si>
  <si>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</si>
  <si>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</si>
  <si>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</si>
  <si>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</si>
  <si>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CheckedUncheckedMTT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</si>
  <si>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</si>
  <si>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</si>
  <si>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</si>
  <si>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</si>
  <si>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</si>
  <si>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</si>
  <si>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</si>
  <si>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</si>
  <si>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</si>
  <si>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</si>
  <si>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</si>
  <si>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</si>
  <si>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</si>
  <si>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</si>
  <si>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</si>
  <si>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</si>
  <si>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</si>
  <si>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</si>
  <si>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</si>
  <si>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</si>
  <si>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</si>
  <si>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</si>
  <si>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</si>
  <si>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</si>
  <si>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</si>
  <si>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</si>
  <si>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DeleteFixedPreference</t>
  </si>
  <si>
    <t>FB</t>
  </si>
  <si>
    <t>Buy</t>
  </si>
  <si>
    <t>Allocation2</t>
  </si>
  <si>
    <t>UBS</t>
  </si>
  <si>
    <t>Trade 1</t>
  </si>
  <si>
    <t>BN1</t>
  </si>
  <si>
    <t>Auto</t>
  </si>
  <si>
    <t>IBM</t>
  </si>
  <si>
    <t>Sell short</t>
  </si>
  <si>
    <t>Allocation1</t>
  </si>
  <si>
    <t>Trade 2</t>
  </si>
  <si>
    <t>BN2</t>
  </si>
  <si>
    <t>SelectTradeUsingMTT</t>
  </si>
  <si>
    <t>EditTradeUsingMTT</t>
  </si>
  <si>
    <t>GetPriceUsingMTT</t>
  </si>
  <si>
    <t>DoneAwayUsingMTT</t>
  </si>
  <si>
    <t>SendOrderUsingMTT</t>
  </si>
  <si>
    <t>BulkChangeTradeDoneAway</t>
  </si>
  <si>
    <t>S1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</si>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</sst>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0"/>
      <name val="Calibri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5" fillId="3" borderId="3" xfId="0" applyFont="1" applyFill="1" applyBorder="1" applyAlignment="1"/>
    <xf numFmtId="0" fontId="5" fillId="3" borderId="4" xfId="0" applyFont="1" applyFill="1" applyBorder="1" applyAlignment="1"/>
    <xf numFmtId="0" fontId="6" fillId="3" borderId="5" xfId="0" applyFont="1" applyFill="1" applyBorder="1" applyAlignment="1"/>
    <xf numFmtId="0" fontId="4" fillId="3" borderId="4" xfId="0" applyFont="1" applyFill="1" applyBorder="1" applyAlignment="1"/>
    <xf numFmtId="0" fontId="4" fillId="3" borderId="5" xfId="0" applyFont="1" applyFill="1" applyBorder="1" applyAlignment="1"/>
    <xf numFmtId="0" fontId="7" fillId="0" borderId="0" xfId="0" applyFont="1" applyAlignment="1"/>
    <xf numFmtId="0" fontId="7" fillId="0" borderId="0" xfId="0" applyFont="1" applyAlignment="1"/>
    <xf numFmtId="0" fontId="7" fillId="3" borderId="4" xfId="0" applyFont="1" applyFill="1" applyBorder="1" applyAlignment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5" fillId="3" borderId="0" xfId="0" applyFont="1" applyFill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5" fillId="6" borderId="0" xfId="0" applyFont="1" applyFill="1" applyAlignment="1"/>
    <xf numFmtId="0" fontId="5" fillId="6" borderId="4" xfId="0" applyFont="1" applyFill="1" applyBorder="1" applyAlignment="1"/>
    <xf numFmtId="0" fontId="10" fillId="6" borderId="0" xfId="0" applyFont="1" applyFill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4.42578125" defaultRowHeight="15" customHeight="1"/>
  <cols>
    <col min="1" max="1" width="18.7109375" customWidth="1"/>
    <col min="2" max="2" width="26.85546875" customWidth="1"/>
    <col min="3" max="3" width="50.42578125" customWidth="1"/>
    <col min="4" max="13" width="14.42578125" customWidth="1"/>
    <col min="14" max="26" width="17.28515625" customWidth="1"/>
  </cols>
  <sheetData>
    <row r="1" spans="1:12" ht="15.75" customHeight="1">
      <c r="A1" s="25" t="s">
        <v>1</v>
      </c>
      <c r="B1" s="26"/>
      <c r="C1" s="26"/>
      <c r="D1" s="26"/>
      <c r="E1" s="26"/>
      <c r="F1" s="26"/>
    </row>
    <row r="2" spans="1:12" ht="15.75" customHeight="1">
      <c r="A2" s="2"/>
      <c r="B2" s="2"/>
      <c r="C2" s="2"/>
      <c r="D2" s="2"/>
      <c r="E2" s="2"/>
      <c r="F2" s="2"/>
    </row>
    <row r="3" spans="1:12" ht="15.75" customHeight="1">
      <c r="A3" s="4" t="s">
        <v>4</v>
      </c>
      <c r="B3" s="6"/>
      <c r="C3" s="6"/>
      <c r="D3" s="6"/>
      <c r="E3" s="6"/>
      <c r="F3" s="6"/>
    </row>
    <row r="4" spans="1:12" ht="15.75" customHeight="1">
      <c r="A4" s="8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IFERROR(__xludf.DUMMYFUNCTION("""COMPUTED_VALUE"""),"1g8wLprruaWRC_5pQcovqkv8ZCiMt5fspCOACibdkz7g")</f>
        <v>1g8wLprruaWRC_5pQcovqkv8ZCiMt5fspCOACibdkz7g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8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IFERROR(__xludf.DUMMYFUNCTION("""COMPUTED_VALUE"""),"1aecq-HMDoDkIInONjPC11z5TBFHyJhv4ro66e2ZOphg")</f>
        <v>1aecq-HMDoDkIInONjPC11z5TBFHyJhv4ro66e2ZOphg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IFERROR(__xludf.DUMMYFUNCTION("""COMPUTED_VALUE"""),"1eDZq-_vllq4jwvwpk9qGnwQUhlb-sFvyFKPBriT2dA0")</f>
        <v>1eDZq-_vllq4jwvwpk9qGnwQUhlb-sFvyFKPBriT2dA0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IFERROR(__xludf.DUMMYFUNCTION("""COMPUTED_VALUE"""),"1FBTO3wCB7odq-jpQMbYHgSrAL5-rFO2_kp9Kr2iXqXE")</f>
        <v>1FBTO3wCB7odq-jpQMbYHgSrAL5-rFO2_kp9Kr2iXqXE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IFERROR(__xludf.DUMMYFUNCTION("""COMPUTED_VALUE"""),"1G0ZkXDrIDX_loGmAyLs_Shy8hExtTELtFXERbX-HdPo")</f>
        <v>1G0ZkXDrIDX_loGmAyLs_Shy8hExtTELtFXERbX-HdPo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IFERROR(__xludf.DUMMYFUNCTION("""COMPUTED_VALUE"""),"1YgVZ1jEVgjUF1Dp8FAj_W_zLEZCyqvNMlWJIg0Tmkq4")</f>
        <v>1YgVZ1jEVgjUF1Dp8FAj_W_zLEZCyqvNMlWJIg0Tmkq4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IFERROR(__xludf.DUMMYFUNCTION("""COMPUTED_VALUE"""),"1MyB61T39MDAUyQqCUJLATzUT2f5UlE8nFq4ltWy_DJ4")</f>
        <v>1MyB61T39MDAUyQqCUJLATzUT2f5UlE8nFq4ltWy_DJ4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IFERROR(__xludf.DUMMYFUNCTION("""COMPUTED_VALUE"""),"16qheLbvgC92hKxalWDlpWfHBMyDDVqHERUCc7bQiO2A")</f>
        <v>16qheLbvgC92hKxalWDlpWfHBMyDDVqHERUCc7bQiO2A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IFERROR(__xludf.DUMMYFUNCTION("""COMPUTED_VALUE"""),"1zLd3ju-mV8f6PZiQUYLU-cAgAUwLwyoIAKuu0WgG2zI")</f>
        <v>1zLd3ju-mV8f6PZiQUYLU-cAgAUwLwyoIAKuu0WgG2zI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IFERROR(__xludf.DUMMYFUNCTION("""COMPUTED_VALUE"""),"1sjDsI5FIL_l_G6osMJQ7e8auBgYd3R3JDaKWKV_8Og0")</f>
        <v>1sjDsI5FIL_l_G6osMJQ7e8auBgYd3R3JDaKWKV_8Og0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IFERROR(__xludf.DUMMYFUNCTION("""COMPUTED_VALUE"""),"1xn1P_Z-3N4d2BC1SUPly2HiVZazly5ZQcS18BfaTyho")</f>
        <v>1xn1P_Z-3N4d2BC1SUPly2HiVZazly5ZQcS18BfaTyho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IFERROR(__xludf.DUMMYFUNCTION("""COMPUTED_VALUE"""),"1vlvYPsiFAWjsnFrbkGn_fAvkwF00V3e7htalalU6QN4")</f>
        <v>1vlvYPsiFAWjsnFrbkGn_fAvkwF00V3e7htalalU6QN4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IFERROR(__xludf.DUMMYFUNCTION("""COMPUTED_VALUE"""),"1o2rCg2FuoAOT5Pl8i4iFP_TwpPm0UB1dd49GbpkytfM")</f>
        <v>1o2rCg2FuoAOT5Pl8i4iFP_TwpPm0UB1dd49GbpkytfM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IFERROR(__xludf.DUMMYFUNCTION("""COMPUTED_VALUE"""),"1_v2niCJ9VGNvgEBpvz030BFqEISSUhYRHyWcAJAn_Eg")</f>
        <v>1_v2niCJ9VGNvgEBpvz030BFqEISSUhYRHyWcAJAn_Eg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IFERROR(__xludf.DUMMYFUNCTION("""COMPUTED_VALUE"""),"1hsRs1-LY0akTrMe91ArnbLtk6GUy_bKxVwMYCaiMs-8")</f>
        <v>1hsRs1-LY0akTrMe91ArnbLtk6GUy_bKxVwMYCaiMs-8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IFERROR(__xludf.DUMMYFUNCTION("""COMPUTED_VALUE"""),"14rwUHTx4auE_hf60WN-tNOx3atNg7QGvErWNwVQIRqE")</f>
        <v>14rwUHTx4auE_hf60WN-tNOx3atNg7QGvErWNwVQIRqE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IFERROR(__xludf.DUMMYFUNCTION("""COMPUTED_VALUE"""),"1amshi8Ns36lsDpccBK0y_9bL_pQ2rHdGNYypcgzceUg")</f>
        <v>1amshi8Ns36lsDpccBK0y_9bL_pQ2rHdGNYypcgzceUg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IFERROR(__xludf.DUMMYFUNCTION("""COMPUTED_VALUE"""),"1YKttwHsdIskNDoo0Sl7HF2DWikROW-KA05qfT3GLIyI")</f>
        <v>1YKttwHsdIskNDoo0Sl7HF2DWikROW-KA05qfT3GLIyI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IFERROR(__xludf.DUMMYFUNCTION("""COMPUTED_VALUE"""),"1YJ2rTp-OqQTGjubvs_cBC6fl0l94pyHI2eaLJzbddS4")</f>
        <v>1YJ2rTp-OqQTGjubvs_cBC6fl0l94pyHI2eaLJzbddS4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IFERROR(__xludf.DUMMYFUNCTION("""COMPUTED_VALUE"""),"1mLyEfNTVFd65cnE6GfgCRD6TdpKg1BgqNIDjHCFzyO4")</f>
        <v>1mLyEfNTVFd65cnE6GfgCRD6TdpKg1BgqNIDjHCFzyO4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IFERROR(__xludf.DUMMYFUNCTION("""COMPUTED_VALUE"""),"1M8d9TyOhMnA65NSIYvS6dR68SH5RL6oKahd6uz7yp6c")</f>
        <v>1M8d9TyOhMnA65NSIYvS6dR68SH5RL6oKahd6uz7yp6c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IFERROR(__xludf.DUMMYFUNCTION("""COMPUTED_VALUE"""),"1Q5uOVYo1NMRks6hQRJuV8XWMPb6VFEAbSzpgP1dot1I")</f>
        <v>1Q5uOVYo1NMRks6hQRJuV8XWMPb6VFEAbSzpgP1dot1I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IFERROR(__xludf.DUMMYFUNCTION("""COMPUTED_VALUE"""),"1iqfUyYqyebXIeNBGljH7-T8whBcywTlkBBU3dBZV06s")</f>
        <v>1iqfUyYqyebXIeNBGljH7-T8whBcywTlkBBU3dBZV06s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IFERROR(__xludf.DUMMYFUNCTION("""COMPUTED_VALUE"""),"1u0XMlZJy_Slp7uXMwirinW7StOOdTcWD-D8V07sO0VA")</f>
        <v>1u0XMlZJy_Slp7uXMwirinW7StOOdTcWD-D8V07sO0VA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IFERROR(__xludf.DUMMYFUNCTION("""COMPUTED_VALUE"""),"1mh3Z5PifhJ3yzX8TPeoc3H3nteNiA0V2tWFse0rVChE")</f>
        <v>1mh3Z5PifhJ3yzX8TPeoc3H3nteNiA0V2tWFse0rVChE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IFERROR(__xludf.DUMMYFUNCTION("""COMPUTED_VALUE"""),"1vmZ6v1OyZ8SSi8bqqjK3ap3KtM_yPA_SEcIQgYiRInY")</f>
        <v>1vmZ6v1OyZ8SSi8bqqjK3ap3KtM_yPA_SEcIQgYiRInY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IFERROR(__xludf.DUMMYFUNCTION("""COMPUTED_VALUE"""),"1OiI1Pi_JAFOFi8ByMaD3_qqEXSv6yQMo_u6aGTozbl8")</f>
        <v>1OiI1Pi_JAFOFi8ByMaD3_qqEXSv6yQMo_u6aGTozbl8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IFERROR(__xludf.DUMMYFUNCTION("""COMPUTED_VALUE"""),"1ubfvE9sHq5KpJ9NazeH96CrVMJqAuol5Ya9GPjxWrgI")</f>
        <v>1ubfvE9sHq5KpJ9NazeH96CrVMJqAuol5Ya9GPjxWrgI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/>
    <row r="923" spans="1:12" ht="15.75" customHeight="1"/>
    <row r="924" spans="1:12" ht="15.75" customHeight="1"/>
    <row r="925" spans="1:12" ht="15.75" customHeight="1"/>
    <row r="926" spans="1:12" ht="15.75" customHeight="1"/>
    <row r="927" spans="1:12" ht="15.75" customHeight="1"/>
    <row r="928" spans="1:12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4.42578125" defaultRowHeight="15" customHeight="1"/>
  <cols>
    <col min="1" max="1" width="24.28515625" customWidth="1"/>
    <col min="2" max="2" width="44.42578125" customWidth="1"/>
    <col min="3" max="12" width="14.42578125" customWidth="1"/>
    <col min="13" max="26" width="17.28515625" customWidth="1"/>
  </cols>
  <sheetData>
    <row r="1" spans="1:3" ht="15.75" customHeight="1">
      <c r="A1" s="27" t="s">
        <v>0</v>
      </c>
      <c r="B1" s="26"/>
      <c r="C1" s="26"/>
    </row>
    <row r="2" spans="1:3" ht="15.75" customHeight="1">
      <c r="A2" s="8"/>
      <c r="B2" s="8"/>
      <c r="C2" s="8"/>
    </row>
    <row r="3" spans="1:3" ht="15.75" customHeight="1">
      <c r="A3" s="4" t="s">
        <v>7</v>
      </c>
      <c r="B3" s="9" t="s">
        <v>8</v>
      </c>
      <c r="C3" s="8"/>
    </row>
    <row r="4" spans="1:3" ht="15.75" customHeight="1">
      <c r="A4" s="4" t="s">
        <v>9</v>
      </c>
      <c r="B4" s="9" t="s">
        <v>10</v>
      </c>
      <c r="C4" s="8"/>
    </row>
    <row r="5" spans="1:3" ht="15.75" customHeight="1">
      <c r="A5" s="10"/>
      <c r="B5" s="8"/>
      <c r="C5" s="8"/>
    </row>
    <row r="6" spans="1:3" ht="15.75" customHeight="1">
      <c r="A6" s="10"/>
      <c r="B6" s="8"/>
      <c r="C6" s="8"/>
    </row>
    <row r="7" spans="1:3" ht="15.75" customHeight="1">
      <c r="A7" s="10"/>
      <c r="B7" s="8"/>
      <c r="C7" s="8"/>
    </row>
    <row r="8" spans="1:3" ht="15.75" customHeight="1">
      <c r="A8" s="10"/>
      <c r="B8" s="8"/>
      <c r="C8" s="8"/>
    </row>
    <row r="9" spans="1:3" ht="15.75" customHeight="1">
      <c r="A9" s="10"/>
      <c r="B9" s="8"/>
      <c r="C9" s="8"/>
    </row>
    <row r="10" spans="1:3" ht="15.75" customHeight="1">
      <c r="A10" s="10"/>
      <c r="B10" s="8"/>
      <c r="C10" s="8"/>
    </row>
    <row r="11" spans="1:3" ht="15.75" customHeight="1">
      <c r="A11" s="10"/>
      <c r="B11" s="8"/>
      <c r="C11" s="8"/>
    </row>
    <row r="12" spans="1:3" ht="15.75" customHeight="1">
      <c r="A12" s="10"/>
      <c r="B12" s="8"/>
      <c r="C12" s="8"/>
    </row>
    <row r="13" spans="1:3" ht="15.75" customHeight="1">
      <c r="A13" s="10"/>
      <c r="B13" s="8"/>
      <c r="C13" s="8"/>
    </row>
    <row r="14" spans="1:3" ht="15.75" customHeight="1">
      <c r="A14" s="10"/>
      <c r="B14" s="8"/>
      <c r="C14" s="8"/>
    </row>
    <row r="15" spans="1:3" ht="15.75" customHeight="1">
      <c r="A15" s="10"/>
      <c r="B15" s="8"/>
      <c r="C15" s="8"/>
    </row>
    <row r="16" spans="1:3" ht="15.75" customHeight="1">
      <c r="A16" s="10"/>
      <c r="B16" s="8"/>
      <c r="C16" s="8"/>
    </row>
    <row r="17" spans="1:3" ht="15.75" customHeight="1">
      <c r="A17" s="10"/>
      <c r="B17" s="8"/>
      <c r="C17" s="8"/>
    </row>
    <row r="18" spans="1:3" ht="15.75" customHeight="1">
      <c r="A18" s="10"/>
      <c r="B18" s="8"/>
      <c r="C18" s="8"/>
    </row>
    <row r="19" spans="1:3" ht="15.75" customHeight="1">
      <c r="A19" s="10"/>
      <c r="B19" s="8"/>
      <c r="C19" s="8"/>
    </row>
    <row r="20" spans="1:3" ht="15.75" customHeight="1">
      <c r="A20" s="10"/>
      <c r="B20" s="8"/>
      <c r="C20" s="8"/>
    </row>
    <row r="21" spans="1:3" ht="15.75" customHeight="1">
      <c r="A21" s="10"/>
      <c r="B21" s="8"/>
      <c r="C21" s="8"/>
    </row>
    <row r="22" spans="1:3" ht="15.75" customHeight="1">
      <c r="A22" s="10"/>
      <c r="B22" s="8"/>
      <c r="C22" s="8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/>
  </sheetViews>
  <sheetFormatPr defaultColWidth="14.42578125" defaultRowHeight="15" customHeight="1"/>
  <cols>
    <col min="1" max="26" width="17.28515625" customWidth="1"/>
  </cols>
  <sheetData>
    <row r="1" spans="1:6" ht="18.75">
      <c r="A1" s="25" t="s">
        <v>2</v>
      </c>
      <c r="B1" s="26"/>
      <c r="C1" s="26"/>
      <c r="D1" s="26"/>
      <c r="E1" s="26"/>
      <c r="F1" s="26"/>
    </row>
    <row r="2" spans="1:6" ht="12.75">
      <c r="A2" s="1"/>
      <c r="B2" s="1"/>
      <c r="C2" s="1"/>
      <c r="D2" s="1"/>
      <c r="E2" s="1"/>
      <c r="F2" s="1"/>
    </row>
    <row r="3" spans="1:6" ht="12.75">
      <c r="A3" s="3" t="s">
        <v>3</v>
      </c>
      <c r="B3" s="5" t="s">
        <v>5</v>
      </c>
      <c r="C3" s="5" t="s">
        <v>6</v>
      </c>
      <c r="D3" s="7"/>
      <c r="E3" s="7"/>
      <c r="F3" s="7"/>
    </row>
    <row r="4" spans="1:6" ht="12.75">
      <c r="A4" t="str">
        <f ca="1"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9" width="14.42578125" customWidth="1"/>
  </cols>
  <sheetData>
    <row r="1" spans="1:49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49" ht="15.75" customHeight="1">
      <c r="A3" s="15"/>
      <c r="B3" s="4" t="s">
        <v>3</v>
      </c>
      <c r="C3" s="17" t="s">
        <v>13</v>
      </c>
      <c r="D3" s="4" t="s">
        <v>5</v>
      </c>
      <c r="E3" s="17" t="s">
        <v>17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</row>
    <row r="4" spans="1:49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18</v>
      </c>
      <c r="D4" s="19" t="s">
        <v>19</v>
      </c>
      <c r="E4" s="19" t="s">
        <v>20</v>
      </c>
      <c r="F4" s="19" t="s">
        <v>21</v>
      </c>
      <c r="G4" s="19" t="s">
        <v>22</v>
      </c>
      <c r="H4" s="19" t="s">
        <v>23</v>
      </c>
      <c r="I4" s="19" t="s">
        <v>17</v>
      </c>
      <c r="J4" s="19" t="s">
        <v>25</v>
      </c>
      <c r="K4" s="19" t="s">
        <v>25</v>
      </c>
      <c r="L4" s="19" t="s">
        <v>27</v>
      </c>
      <c r="M4" s="19" t="s">
        <v>29</v>
      </c>
      <c r="N4" s="19" t="s">
        <v>31</v>
      </c>
      <c r="O4" s="19" t="s">
        <v>33</v>
      </c>
      <c r="P4" s="20" t="s">
        <v>35</v>
      </c>
      <c r="Q4" s="20" t="s">
        <v>44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 spans="1:49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</row>
    <row r="6" spans="1:49" ht="15.75" customHeight="1">
      <c r="A6" s="8"/>
      <c r="B6" t="s">
        <v>72</v>
      </c>
      <c r="C6" t="s">
        <v>73</v>
      </c>
      <c r="D6">
        <v>15000</v>
      </c>
      <c r="E6">
        <v>15000</v>
      </c>
      <c r="F6" t="s">
        <v>74</v>
      </c>
      <c r="G6" t="s">
        <v>75</v>
      </c>
      <c r="P6" t="s">
        <v>76</v>
      </c>
      <c r="Q6" t="s">
        <v>77</v>
      </c>
      <c r="AB6" s="24" t="s">
        <v>78</v>
      </c>
    </row>
    <row r="7" spans="1:49" ht="15.75" customHeight="1">
      <c r="A7" s="8"/>
      <c r="B7" s="8" t="s">
        <v>79</v>
      </c>
      <c r="C7" s="8" t="s">
        <v>80</v>
      </c>
      <c r="D7" s="8">
        <v>12000</v>
      </c>
      <c r="E7" s="8">
        <v>12000</v>
      </c>
      <c r="F7" t="s">
        <v>81</v>
      </c>
      <c r="G7" s="8" t="s">
        <v>75</v>
      </c>
      <c r="H7" s="8"/>
      <c r="I7" s="8"/>
      <c r="J7" s="8"/>
      <c r="K7" s="8"/>
      <c r="L7" s="8"/>
      <c r="M7" s="8"/>
      <c r="N7" s="8"/>
      <c r="O7" s="8"/>
      <c r="P7" t="s">
        <v>82</v>
      </c>
      <c r="Q7" t="s">
        <v>83</v>
      </c>
      <c r="AB7" s="24" t="s">
        <v>78</v>
      </c>
    </row>
    <row r="8" spans="1:49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4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49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49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49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49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49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49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49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K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63" width="14.42578125" customWidth="1"/>
  </cols>
  <sheetData>
    <row r="1" spans="1:63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</row>
    <row r="2" spans="1:63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63" ht="15.75" customHeight="1">
      <c r="A3" s="15"/>
      <c r="B3" s="4" t="s">
        <v>3</v>
      </c>
      <c r="C3" s="16" t="s">
        <v>12</v>
      </c>
      <c r="D3" s="4" t="s">
        <v>5</v>
      </c>
      <c r="E3" s="16" t="s">
        <v>14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</row>
    <row r="4" spans="1:63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24</v>
      </c>
      <c r="D4" s="19" t="s">
        <v>26</v>
      </c>
      <c r="E4" s="19" t="s">
        <v>28</v>
      </c>
      <c r="F4" s="19" t="s">
        <v>30</v>
      </c>
      <c r="G4" s="19" t="s">
        <v>32</v>
      </c>
      <c r="H4" s="19" t="s">
        <v>34</v>
      </c>
      <c r="I4" s="19" t="s">
        <v>36</v>
      </c>
      <c r="J4" s="19" t="s">
        <v>37</v>
      </c>
      <c r="K4" s="19" t="s">
        <v>38</v>
      </c>
      <c r="L4" s="19" t="s">
        <v>39</v>
      </c>
      <c r="M4" s="19" t="s">
        <v>40</v>
      </c>
      <c r="N4" s="19" t="s">
        <v>41</v>
      </c>
      <c r="O4" s="19" t="s">
        <v>42</v>
      </c>
      <c r="P4" s="20" t="s">
        <v>43</v>
      </c>
      <c r="Q4" s="20" t="s">
        <v>45</v>
      </c>
      <c r="R4" s="20" t="s">
        <v>45</v>
      </c>
      <c r="S4" s="20" t="s">
        <v>45</v>
      </c>
      <c r="T4" s="20" t="s">
        <v>46</v>
      </c>
      <c r="U4" s="20" t="s">
        <v>47</v>
      </c>
      <c r="V4" s="20" t="s">
        <v>48</v>
      </c>
      <c r="W4" s="20" t="s">
        <v>49</v>
      </c>
      <c r="X4" s="20" t="s">
        <v>50</v>
      </c>
      <c r="Y4" s="20" t="s">
        <v>51</v>
      </c>
      <c r="Z4" s="20" t="s">
        <v>52</v>
      </c>
      <c r="AA4" s="20" t="s">
        <v>53</v>
      </c>
      <c r="AB4" s="20" t="s">
        <v>54</v>
      </c>
      <c r="AC4" s="20" t="s">
        <v>46</v>
      </c>
      <c r="AD4" s="20" t="s">
        <v>46</v>
      </c>
      <c r="AE4" s="20" t="s">
        <v>55</v>
      </c>
      <c r="AF4" s="20" t="s">
        <v>56</v>
      </c>
      <c r="AG4" s="20" t="s">
        <v>57</v>
      </c>
      <c r="AH4" s="20" t="s">
        <v>58</v>
      </c>
      <c r="AI4" s="20" t="s">
        <v>40</v>
      </c>
      <c r="AJ4" s="20" t="s">
        <v>58</v>
      </c>
      <c r="AK4" s="20" t="s">
        <v>56</v>
      </c>
      <c r="AL4" s="20" t="s">
        <v>59</v>
      </c>
      <c r="AM4" s="20" t="s">
        <v>60</v>
      </c>
      <c r="AN4" s="20" t="s">
        <v>61</v>
      </c>
      <c r="AO4" s="20" t="s">
        <v>62</v>
      </c>
      <c r="AP4" s="20" t="s">
        <v>63</v>
      </c>
      <c r="AQ4" s="20" t="s">
        <v>64</v>
      </c>
      <c r="AR4" s="20" t="s">
        <v>65</v>
      </c>
      <c r="AS4" s="20" t="s">
        <v>66</v>
      </c>
      <c r="AT4" s="20" t="s">
        <v>67</v>
      </c>
      <c r="AU4" s="20" t="s">
        <v>68</v>
      </c>
      <c r="AV4" s="20" t="s">
        <v>69</v>
      </c>
      <c r="AW4" s="20" t="s">
        <v>69</v>
      </c>
      <c r="AX4" s="20" t="s">
        <v>70</v>
      </c>
      <c r="AY4" s="20" t="s">
        <v>14</v>
      </c>
      <c r="AZ4" s="20" t="s">
        <v>55</v>
      </c>
      <c r="BA4" s="20" t="s">
        <v>71</v>
      </c>
      <c r="BB4" s="20"/>
      <c r="BC4" s="20"/>
      <c r="BD4" s="20"/>
      <c r="BE4" s="20"/>
      <c r="BF4" s="20"/>
      <c r="BG4" s="20"/>
      <c r="BH4" s="20"/>
      <c r="BI4" s="20"/>
      <c r="BJ4" s="20"/>
      <c r="BK4" s="20"/>
    </row>
    <row r="5" spans="1:6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</row>
    <row r="6" spans="1:63" ht="15.75" customHeight="1">
      <c r="A6" s="8"/>
      <c r="AI6" t="s">
        <v>72</v>
      </c>
      <c r="AJ6" t="s">
        <v>73</v>
      </c>
      <c r="AT6" t="s">
        <v>74</v>
      </c>
    </row>
    <row r="7" spans="1:63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 t="s">
        <v>79</v>
      </c>
      <c r="AJ7" s="8" t="s">
        <v>80</v>
      </c>
      <c r="AT7" t="s">
        <v>81</v>
      </c>
    </row>
    <row r="8" spans="1:63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63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63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63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63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6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63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63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63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6" width="14.42578125" customWidth="1"/>
  </cols>
  <sheetData>
    <row r="1" spans="1:46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46" ht="15.75" customHeight="1">
      <c r="A3" s="15"/>
      <c r="B3" s="4" t="s">
        <v>3</v>
      </c>
      <c r="C3" s="16" t="s">
        <v>51</v>
      </c>
      <c r="D3" s="4" t="s">
        <v>5</v>
      </c>
      <c r="E3" s="16" t="s">
        <v>84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spans="1:46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84</v>
      </c>
      <c r="D4" s="19" t="s">
        <v>86</v>
      </c>
      <c r="E4" s="19" t="s">
        <v>87</v>
      </c>
      <c r="F4" s="19" t="s">
        <v>88</v>
      </c>
      <c r="G4" s="19" t="s">
        <v>89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2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3" t="str">
        <f ca="1">IFERROR(__xludf.DUMMYFUNCTION("""COMPUTED_VALUE"""),"Soft Basis")</f>
        <v>Soft Basis</v>
      </c>
      <c r="U5" s="23" t="str">
        <f ca="1">IFERROR(__xludf.DUMMYFUNCTION("""COMPUTED_VALUE"""),"Soft Rate")</f>
        <v>Soft Rate</v>
      </c>
      <c r="V5" s="23" t="str">
        <f ca="1">IFERROR(__xludf.DUMMYFUNCTION("""COMPUTED_VALUE"""),"Trade Attribute 1")</f>
        <v>Trade Attribute 1</v>
      </c>
      <c r="W5" s="23" t="str">
        <f ca="1">IFERROR(__xludf.DUMMYFUNCTION("""COMPUTED_VALUE"""),"Trade Attribute 2")</f>
        <v>Trade Attribute 2</v>
      </c>
      <c r="X5" s="23" t="str">
        <f ca="1">IFERROR(__xludf.DUMMYFUNCTION("""COMPUTED_VALUE"""),"Trade Attribute 3")</f>
        <v>Trade Attribute 3</v>
      </c>
      <c r="Y5" s="23" t="str">
        <f ca="1">IFERROR(__xludf.DUMMYFUNCTION("""COMPUTED_VALUE"""),"Trade Attribute 4")</f>
        <v>Trade Attribute 4</v>
      </c>
      <c r="Z5" s="23" t="str">
        <f ca="1">IFERROR(__xludf.DUMMYFUNCTION("""COMPUTED_VALUE"""),"Trade Attribute 5")</f>
        <v>Trade Attribute 5</v>
      </c>
      <c r="AA5" s="23" t="str">
        <f ca="1">IFERROR(__xludf.DUMMYFUNCTION("""COMPUTED_VALUE"""),"Trade Attribute 6")</f>
        <v>Trade Attribute 6</v>
      </c>
      <c r="AB5" s="23" t="str">
        <f ca="1">IFERROR(__xludf.DUMMYFUNCTION("""COMPUTED_VALUE"""),"Venue")</f>
        <v>Venue</v>
      </c>
      <c r="AC5" s="23" t="str">
        <f ca="1">IFERROR(__xludf.DUMMYFUNCTION("""COMPUTED_VALUE"""),"Execution Instructions")</f>
        <v>Execution Instructions</v>
      </c>
      <c r="AD5" s="23" t="str">
        <f ca="1">IFERROR(__xludf.DUMMYFUNCTION("""COMPUTED_VALUE"""),"Handling Instructions")</f>
        <v>Handling 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 Currency")</f>
        <v>Settlement Currency</v>
      </c>
      <c r="AG5" s="23" t="str">
        <f ca="1">IFERROR(__xludf.DUMMYFUNCTION("""COMPUTED_VALUE"""),"Settlement Fx Rate")</f>
        <v>Settlement Fx Rate</v>
      </c>
      <c r="AH5" s="23" t="str">
        <f ca="1">IFERROR(__xludf.DUMMYFUNCTION("""COMPUTED_VALUE"""),"Settlement Amount")</f>
        <v>Settlement Amount</v>
      </c>
      <c r="AI5" s="23" t="str">
        <f ca="1">IFERROR(__xludf.DUMMYFUNCTION("""COMPUTED_VALUE"""),"Settlement Fx Operator")</f>
        <v>Settlement Fx Operator</v>
      </c>
      <c r="AJ5" s="23" t="str">
        <f ca="1">IFERROR(__xludf.DUMMYFUNCTION("""COMPUTED_VALUE"""),"ImportFileName")</f>
        <v>ImportFileName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</row>
    <row r="6" spans="1:46" ht="15.75" customHeight="1">
      <c r="A6" s="8"/>
      <c r="B6" t="s">
        <v>72</v>
      </c>
      <c r="C6" t="s">
        <v>73</v>
      </c>
    </row>
    <row r="7" spans="1:46" ht="15.75" customHeight="1">
      <c r="A7" s="8"/>
      <c r="B7" s="24" t="s">
        <v>79</v>
      </c>
      <c r="C7" s="24" t="s">
        <v>80</v>
      </c>
    </row>
    <row r="8" spans="1:46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46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46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46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46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46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46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46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4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6" width="14.42578125" customWidth="1"/>
  </cols>
  <sheetData>
    <row r="1" spans="1:46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46" ht="15.75" customHeight="1">
      <c r="A3" s="15"/>
      <c r="B3" s="4" t="s">
        <v>3</v>
      </c>
      <c r="C3" s="16" t="s">
        <v>51</v>
      </c>
      <c r="D3" s="4" t="s">
        <v>5</v>
      </c>
      <c r="E3" s="17" t="s">
        <v>85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spans="1:46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84</v>
      </c>
      <c r="D4" s="19" t="s">
        <v>86</v>
      </c>
      <c r="E4" s="19" t="s">
        <v>87</v>
      </c>
      <c r="F4" s="19" t="s">
        <v>88</v>
      </c>
      <c r="G4" s="19" t="s">
        <v>89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2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3" t="str">
        <f ca="1">IFERROR(__xludf.DUMMYFUNCTION("""COMPUTED_VALUE"""),"Soft Basis")</f>
        <v>Soft Basis</v>
      </c>
      <c r="U5" s="23" t="str">
        <f ca="1">IFERROR(__xludf.DUMMYFUNCTION("""COMPUTED_VALUE"""),"Soft Rate")</f>
        <v>Soft Rate</v>
      </c>
      <c r="V5" s="23" t="str">
        <f ca="1">IFERROR(__xludf.DUMMYFUNCTION("""COMPUTED_VALUE"""),"Trade Attribute 1")</f>
        <v>Trade Attribute 1</v>
      </c>
      <c r="W5" s="23" t="str">
        <f ca="1">IFERROR(__xludf.DUMMYFUNCTION("""COMPUTED_VALUE"""),"Trade Attribute 2")</f>
        <v>Trade Attribute 2</v>
      </c>
      <c r="X5" s="23" t="str">
        <f ca="1">IFERROR(__xludf.DUMMYFUNCTION("""COMPUTED_VALUE"""),"Trade Attribute 3")</f>
        <v>Trade Attribute 3</v>
      </c>
      <c r="Y5" s="23" t="str">
        <f ca="1">IFERROR(__xludf.DUMMYFUNCTION("""COMPUTED_VALUE"""),"Trade Attribute 4")</f>
        <v>Trade Attribute 4</v>
      </c>
      <c r="Z5" s="23" t="str">
        <f ca="1">IFERROR(__xludf.DUMMYFUNCTION("""COMPUTED_VALUE"""),"Trade Attribute 5")</f>
        <v>Trade Attribute 5</v>
      </c>
      <c r="AA5" s="23" t="str">
        <f ca="1">IFERROR(__xludf.DUMMYFUNCTION("""COMPUTED_VALUE"""),"Trade Attribute 6")</f>
        <v>Trade Attribute 6</v>
      </c>
      <c r="AB5" s="23" t="str">
        <f ca="1">IFERROR(__xludf.DUMMYFUNCTION("""COMPUTED_VALUE"""),"Venue")</f>
        <v>Venue</v>
      </c>
      <c r="AC5" s="23" t="str">
        <f ca="1">IFERROR(__xludf.DUMMYFUNCTION("""COMPUTED_VALUE"""),"Execution Instructions")</f>
        <v>Execution Instructions</v>
      </c>
      <c r="AD5" s="23" t="str">
        <f ca="1">IFERROR(__xludf.DUMMYFUNCTION("""COMPUTED_VALUE"""),"Handling Instructions")</f>
        <v>Handling 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 Currency")</f>
        <v>Settlement Currency</v>
      </c>
      <c r="AG5" s="23" t="str">
        <f ca="1">IFERROR(__xludf.DUMMYFUNCTION("""COMPUTED_VALUE"""),"Settlement Fx Rate")</f>
        <v>Settlement Fx Rate</v>
      </c>
      <c r="AH5" s="23" t="str">
        <f ca="1">IFERROR(__xludf.DUMMYFUNCTION("""COMPUTED_VALUE"""),"Settlement Amount")</f>
        <v>Settlement Amount</v>
      </c>
      <c r="AI5" s="23" t="str">
        <f ca="1">IFERROR(__xludf.DUMMYFUNCTION("""COMPUTED_VALUE"""),"Settlement Fx Operator")</f>
        <v>Settlement Fx Operator</v>
      </c>
      <c r="AJ5" s="23" t="str">
        <f ca="1">IFERROR(__xludf.DUMMYFUNCTION("""COMPUTED_VALUE"""),"ImportFileName")</f>
        <v>ImportFileName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</row>
    <row r="6" spans="1:46" ht="15.75" customHeight="1">
      <c r="A6" s="8"/>
      <c r="B6" t="s">
        <v>72</v>
      </c>
      <c r="C6" t="s">
        <v>73</v>
      </c>
      <c r="D6">
        <v>2000</v>
      </c>
      <c r="F6" s="24" t="s">
        <v>74</v>
      </c>
      <c r="M6" t="s">
        <v>90</v>
      </c>
      <c r="AB6" s="24" t="s">
        <v>78</v>
      </c>
    </row>
    <row r="7" spans="1:46" ht="15.75" customHeight="1">
      <c r="A7" s="8"/>
    </row>
    <row r="8" spans="1:46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46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46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46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46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46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46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46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4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000"/>
  <sheetViews>
    <sheetView tabSelected="1" topLeftCell="AA1" workbookViewId="0">
      <selection activeCell="AK5" sqref="AK5"/>
    </sheetView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6" width="14.42578125" customWidth="1"/>
  </cols>
  <sheetData>
    <row r="1" spans="1:46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46" ht="15.75" customHeight="1">
      <c r="A3" s="15"/>
      <c r="B3" s="4" t="s">
        <v>3</v>
      </c>
      <c r="C3" s="16" t="s">
        <v>51</v>
      </c>
      <c r="D3" s="4" t="s">
        <v>5</v>
      </c>
      <c r="E3" s="16" t="s">
        <v>87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spans="1:46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84</v>
      </c>
      <c r="D4" s="19" t="s">
        <v>86</v>
      </c>
      <c r="E4" s="19" t="s">
        <v>87</v>
      </c>
      <c r="F4" s="19" t="s">
        <v>88</v>
      </c>
      <c r="G4" s="19" t="s">
        <v>89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2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3" t="str">
        <f ca="1">IFERROR(__xludf.DUMMYFUNCTION("""COMPUTED_VALUE"""),"Soft Basis")</f>
        <v>Soft Basis</v>
      </c>
      <c r="U5" s="23" t="str">
        <f ca="1">IFERROR(__xludf.DUMMYFUNCTION("""COMPUTED_VALUE"""),"Soft Rate")</f>
        <v>Soft Rate</v>
      </c>
      <c r="V5" s="23" t="str">
        <f ca="1">IFERROR(__xludf.DUMMYFUNCTION("""COMPUTED_VALUE"""),"Trade Attribute 1")</f>
        <v>Trade Attribute 1</v>
      </c>
      <c r="W5" s="23" t="str">
        <f ca="1">IFERROR(__xludf.DUMMYFUNCTION("""COMPUTED_VALUE"""),"Trade Attribute 2")</f>
        <v>Trade Attribute 2</v>
      </c>
      <c r="X5" s="23" t="str">
        <f ca="1">IFERROR(__xludf.DUMMYFUNCTION("""COMPUTED_VALUE"""),"Trade Attribute 3")</f>
        <v>Trade Attribute 3</v>
      </c>
      <c r="Y5" s="23" t="str">
        <f ca="1">IFERROR(__xludf.DUMMYFUNCTION("""COMPUTED_VALUE"""),"Trade Attribute 4")</f>
        <v>Trade Attribute 4</v>
      </c>
      <c r="Z5" s="23" t="str">
        <f ca="1">IFERROR(__xludf.DUMMYFUNCTION("""COMPUTED_VALUE"""),"Trade Attribute 5")</f>
        <v>Trade Attribute 5</v>
      </c>
      <c r="AA5" s="23" t="str">
        <f ca="1">IFERROR(__xludf.DUMMYFUNCTION("""COMPUTED_VALUE"""),"Trade Attribute 6")</f>
        <v>Trade Attribute 6</v>
      </c>
      <c r="AB5" s="23" t="str">
        <f ca="1">IFERROR(__xludf.DUMMYFUNCTION("""COMPUTED_VALUE"""),"Venue")</f>
        <v>Venue</v>
      </c>
      <c r="AC5" s="23" t="str">
        <f ca="1">IFERROR(__xludf.DUMMYFUNCTION("""COMPUTED_VALUE"""),"Execution Instructions")</f>
        <v>Execution Instructions</v>
      </c>
      <c r="AD5" s="23" t="str">
        <f ca="1">IFERROR(__xludf.DUMMYFUNCTION("""COMPUTED_VALUE"""),"Handling Instructions")</f>
        <v>Handling 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 Currency")</f>
        <v>Settlement Currency</v>
      </c>
      <c r="AG5" s="23" t="str">
        <f ca="1">IFERROR(__xludf.DUMMYFUNCTION("""COMPUTED_VALUE"""),"Settlement Fx Rate")</f>
        <v>Settlement Fx Rate</v>
      </c>
      <c r="AH5" s="23" t="str">
        <f ca="1">IFERROR(__xludf.DUMMYFUNCTION("""COMPUTED_VALUE"""),"Settlement Amount")</f>
        <v>Settlement Amount</v>
      </c>
      <c r="AI5" s="23" t="str">
        <f ca="1">IFERROR(__xludf.DUMMYFUNCTION("""COMPUTED_VALUE"""),"Settlement Fx Operator")</f>
        <v>Settlement Fx Operator</v>
      </c>
      <c r="AJ5" s="23" t="str">
        <f ca="1">IFERROR(__xludf.DUMMYFUNCTION("""COMPUTED_VALUE"""),"ImportFileName")</f>
        <v>ImportFileName</v>
      </c>
      <c r="AK5" s="23" t="s">
        <v>201</v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</row>
    <row r="6" spans="1:46" ht="15.75" customHeight="1">
      <c r="A6" s="8"/>
      <c r="B6" t="s">
        <v>72</v>
      </c>
      <c r="C6" t="s">
        <v>73</v>
      </c>
    </row>
    <row r="7" spans="1:46" ht="15.75" customHeight="1">
      <c r="A7" s="8"/>
      <c r="B7" s="24" t="s">
        <v>79</v>
      </c>
      <c r="C7" s="24" t="s">
        <v>80</v>
      </c>
    </row>
    <row r="8" spans="1:46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46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46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46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46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46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46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46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4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K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63" width="14.42578125" customWidth="1"/>
  </cols>
  <sheetData>
    <row r="1" spans="1:63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</row>
    <row r="2" spans="1:63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63" ht="15.75" customHeight="1">
      <c r="A3" s="15"/>
      <c r="B3" s="4" t="s">
        <v>3</v>
      </c>
      <c r="C3" s="17" t="s">
        <v>12</v>
      </c>
      <c r="D3" s="4" t="s">
        <v>5</v>
      </c>
      <c r="E3" s="17" t="s">
        <v>43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</row>
    <row r="4" spans="1:63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24</v>
      </c>
      <c r="D4" s="19" t="s">
        <v>26</v>
      </c>
      <c r="E4" s="19" t="s">
        <v>28</v>
      </c>
      <c r="F4" s="19" t="s">
        <v>30</v>
      </c>
      <c r="G4" s="19" t="s">
        <v>32</v>
      </c>
      <c r="H4" s="19" t="s">
        <v>34</v>
      </c>
      <c r="I4" s="19" t="s">
        <v>36</v>
      </c>
      <c r="J4" s="19" t="s">
        <v>37</v>
      </c>
      <c r="K4" s="19" t="s">
        <v>38</v>
      </c>
      <c r="L4" s="19" t="s">
        <v>39</v>
      </c>
      <c r="M4" s="19" t="s">
        <v>40</v>
      </c>
      <c r="N4" s="19" t="s">
        <v>41</v>
      </c>
      <c r="O4" s="19" t="s">
        <v>42</v>
      </c>
      <c r="P4" s="20" t="s">
        <v>43</v>
      </c>
      <c r="Q4" s="20" t="s">
        <v>45</v>
      </c>
      <c r="R4" s="20" t="s">
        <v>45</v>
      </c>
      <c r="S4" s="20" t="s">
        <v>45</v>
      </c>
      <c r="T4" s="20" t="s">
        <v>46</v>
      </c>
      <c r="U4" s="20" t="s">
        <v>47</v>
      </c>
      <c r="V4" s="20" t="s">
        <v>48</v>
      </c>
      <c r="W4" s="20" t="s">
        <v>49</v>
      </c>
      <c r="X4" s="20" t="s">
        <v>50</v>
      </c>
      <c r="Y4" s="20" t="s">
        <v>51</v>
      </c>
      <c r="Z4" s="20" t="s">
        <v>52</v>
      </c>
      <c r="AA4" s="20" t="s">
        <v>53</v>
      </c>
      <c r="AB4" s="20" t="s">
        <v>54</v>
      </c>
      <c r="AC4" s="20" t="s">
        <v>46</v>
      </c>
      <c r="AD4" s="20" t="s">
        <v>46</v>
      </c>
      <c r="AE4" s="20" t="s">
        <v>55</v>
      </c>
      <c r="AF4" s="20" t="s">
        <v>56</v>
      </c>
      <c r="AG4" s="20" t="s">
        <v>57</v>
      </c>
      <c r="AH4" s="20" t="s">
        <v>58</v>
      </c>
      <c r="AI4" s="20" t="s">
        <v>40</v>
      </c>
      <c r="AJ4" s="20" t="s">
        <v>58</v>
      </c>
      <c r="AK4" s="20" t="s">
        <v>56</v>
      </c>
      <c r="AL4" s="20" t="s">
        <v>59</v>
      </c>
      <c r="AM4" s="20" t="s">
        <v>60</v>
      </c>
      <c r="AN4" s="20" t="s">
        <v>61</v>
      </c>
      <c r="AO4" s="20" t="s">
        <v>62</v>
      </c>
      <c r="AP4" s="20" t="s">
        <v>63</v>
      </c>
      <c r="AQ4" s="20" t="s">
        <v>64</v>
      </c>
      <c r="AR4" s="20" t="s">
        <v>65</v>
      </c>
      <c r="AS4" s="20" t="s">
        <v>66</v>
      </c>
      <c r="AT4" s="20" t="s">
        <v>67</v>
      </c>
      <c r="AU4" s="20" t="s">
        <v>68</v>
      </c>
      <c r="AV4" s="20" t="s">
        <v>69</v>
      </c>
      <c r="AW4" s="20" t="s">
        <v>69</v>
      </c>
      <c r="AX4" s="20" t="s">
        <v>70</v>
      </c>
      <c r="AY4" s="20" t="s">
        <v>14</v>
      </c>
      <c r="AZ4" s="20" t="s">
        <v>55</v>
      </c>
      <c r="BA4" s="20" t="s">
        <v>71</v>
      </c>
      <c r="BB4" s="20"/>
      <c r="BC4" s="20"/>
      <c r="BD4" s="20"/>
      <c r="BE4" s="20"/>
      <c r="BF4" s="20"/>
      <c r="BG4" s="20"/>
      <c r="BH4" s="20"/>
      <c r="BI4" s="20"/>
      <c r="BJ4" s="20"/>
      <c r="BK4" s="20"/>
    </row>
    <row r="5" spans="1:6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2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3" t="str">
        <f ca="1">IFERROR(__xludf.DUMMYFUNCTION("""COMPUTED_VALUE"""),"Algo")</f>
        <v>Algo</v>
      </c>
      <c r="U5" s="23" t="str">
        <f ca="1">IFERROR(__xludf.DUMMYFUNCTION("""COMPUTED_VALUE"""),"Allocation Scheme Name")</f>
        <v>Allocation Scheme Name</v>
      </c>
      <c r="V5" s="23" t="str">
        <f ca="1">IFERROR(__xludf.DUMMYFUNCTION("""COMPUTED_VALUE"""),"Allocation Status")</f>
        <v>Allocation Status</v>
      </c>
      <c r="W5" s="23" t="str">
        <f ca="1">IFERROR(__xludf.DUMMYFUNCTION("""COMPUTED_VALUE"""),"Asset Class")</f>
        <v>Asset Class</v>
      </c>
      <c r="X5" s="23" t="str">
        <f ca="1">IFERROR(__xludf.DUMMYFUNCTION("""COMPUTED_VALUE"""),"FX Conversion Operator")</f>
        <v>FX Conversion Operator</v>
      </c>
      <c r="Y5" s="23" t="str">
        <f ca="1">IFERROR(__xludf.DUMMYFUNCTION("""COMPUTED_VALUE"""),"FX Rate")</f>
        <v>FX Rate</v>
      </c>
      <c r="Z5" s="23" t="str">
        <f ca="1">IFERROR(__xludf.DUMMYFUNCTION("""COMPUTED_VALUE"""),"Imported File Name")</f>
        <v>Imported File Name</v>
      </c>
      <c r="AA5" s="23" t="str">
        <f ca="1">IFERROR(__xludf.DUMMYFUNCTION("""COMPUTED_VALUE"""),"Internal Comments")</f>
        <v>Internal Comments</v>
      </c>
      <c r="AB5" s="23" t="str">
        <f ca="1">IFERROR(__xludf.DUMMYFUNCTION("""COMPUTED_VALUE"""),"Peg")</f>
        <v>Peg</v>
      </c>
      <c r="AC5" s="23" t="str">
        <f ca="1">IFERROR(__xludf.DUMMYFUNCTION("""COMPUTED_VALUE"""),"Principal Amount (Base)")</f>
        <v>Principal Amount (Base)</v>
      </c>
      <c r="AD5" s="23" t="str">
        <f ca="1">IFERROR(__xludf.DUMMYFUNCTION("""COMPUTED_VALUE"""),"Principal Amount (Local)")</f>
        <v>Principal Amount (Local)</v>
      </c>
      <c r="AE5" s="23" t="str">
        <f ca="1">IFERROR(__xludf.DUMMYFUNCTION("""COMPUTED_VALUE"""),"Process Date")</f>
        <v>Process Date</v>
      </c>
      <c r="AF5" s="23" t="str">
        <f ca="1">IFERROR(__xludf.DUMMYFUNCTION("""COMPUTED_VALUE"""),"Put/Call")</f>
        <v>Put/Call</v>
      </c>
      <c r="AG5" s="23" t="str">
        <f ca="1">IFERROR(__xludf.DUMMYFUNCTION("""COMPUTED_VALUE"""),"Settlement Currency")</f>
        <v>Settlement Currency</v>
      </c>
      <c r="AH5" s="23" t="str">
        <f ca="1">IFERROR(__xludf.DUMMYFUNCTION("""COMPUTED_VALUE"""),"Source")</f>
        <v>Source</v>
      </c>
      <c r="AI5" s="23" t="str">
        <f ca="1">IFERROR(__xludf.DUMMYFUNCTION("""COMPUTED_VALUE"""),"Status (With Rollover)")</f>
        <v>Status (With Rollover)</v>
      </c>
      <c r="AJ5" s="23" t="str">
        <f ca="1">IFERROR(__xludf.DUMMYFUNCTION("""COMPUTED_VALUE"""),"Strategy")</f>
        <v>Strategy</v>
      </c>
      <c r="AK5" s="23" t="str">
        <f ca="1">IFERROR(__xludf.DUMMYFUNCTION("""COMPUTED_VALUE"""),"Strike Price")</f>
        <v>Strike Price</v>
      </c>
      <c r="AL5" s="23" t="str">
        <f ca="1">IFERROR(__xludf.DUMMYFUNCTION("""COMPUTED_VALUE"""),"Trade Attribute 1")</f>
        <v>Trade Attribute 1</v>
      </c>
      <c r="AM5" s="23" t="str">
        <f ca="1">IFERROR(__xludf.DUMMYFUNCTION("""COMPUTED_VALUE"""),"Trade Attribute 2")</f>
        <v>Trade Attribute 2</v>
      </c>
      <c r="AN5" s="23" t="str">
        <f ca="1">IFERROR(__xludf.DUMMYFUNCTION("""COMPUTED_VALUE"""),"Trade Attribute 3")</f>
        <v>Trade Attribute 3</v>
      </c>
      <c r="AO5" s="23" t="str">
        <f ca="1">IFERROR(__xludf.DUMMYFUNCTION("""COMPUTED_VALUE"""),"Trade Attribute 4")</f>
        <v>Trade Attribute 4</v>
      </c>
      <c r="AP5" s="23" t="str">
        <f ca="1">IFERROR(__xludf.DUMMYFUNCTION("""COMPUTED_VALUE"""),"Trade Attribute 5")</f>
        <v>Trade Attribute 5</v>
      </c>
      <c r="AQ5" s="23" t="str">
        <f ca="1">IFERROR(__xludf.DUMMYFUNCTION("""COMPUTED_VALUE"""),"Trade Attribute 6")</f>
        <v>Trade Attribute 6</v>
      </c>
      <c r="AR5" s="23" t="str">
        <f ca="1">IFERROR(__xludf.DUMMYFUNCTION("""COMPUTED_VALUE"""),"Trader")</f>
        <v>Trader</v>
      </c>
      <c r="AS5" s="23" t="str">
        <f ca="1">IFERROR(__xludf.DUMMYFUNCTION("""COMPUTED_VALUE"""),"Transaction Time")</f>
        <v>Transaction Time</v>
      </c>
      <c r="AT5" s="23" t="str">
        <f ca="1">IFERROR(__xludf.DUMMYFUNCTION("""COMPUTED_VALUE"""),"Underlying Country")</f>
        <v>Underlying Country</v>
      </c>
      <c r="AU5" s="23" t="str">
        <f ca="1">IFERROR(__xludf.DUMMYFUNCTION("""COMPUTED_VALUE"""),"Underlying Symbol")</f>
        <v>Underlying Symbol</v>
      </c>
      <c r="AV5" s="23" t="str">
        <f ca="1">IFERROR(__xludf.DUMMYFUNCTION("""COMPUTED_VALUE"""),"Venue")</f>
        <v>Venue</v>
      </c>
      <c r="AW5" s="23" t="str">
        <f ca="1">IFERROR(__xludf.DUMMYFUNCTION("""COMPUTED_VALUE"""),"Working Qty")</f>
        <v>Working Qty</v>
      </c>
      <c r="AX5" s="23" t="str">
        <f ca="1">IFERROR(__xludf.DUMMYFUNCTION("""COMPUTED_VALUE"""),"Client")</f>
        <v>Client</v>
      </c>
      <c r="AY5" s="23" t="str">
        <f ca="1">IFERROR(__xludf.DUMMYFUNCTION("""COMPUTED_VALUE"""),"OrderID")</f>
        <v>OrderID</v>
      </c>
      <c r="AZ5" s="23" t="str">
        <f ca="1">IFERROR(__xludf.DUMMYFUNCTION("""COMPUTED_VALUE"""),"ParentClOrderID")</f>
        <v>ParentClOrderID</v>
      </c>
      <c r="BA5" s="23" t="str">
        <f ca="1">IFERROR(__xludf.DUMMYFUNCTION("""COMPUTED_VALUE"""),"Master Fund")</f>
        <v>Master Fund</v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</row>
    <row r="6" spans="1:63" ht="15.75" customHeight="1">
      <c r="A6" s="8"/>
      <c r="B6" t="s">
        <v>72</v>
      </c>
      <c r="C6" t="s">
        <v>73</v>
      </c>
    </row>
    <row r="7" spans="1:63" ht="15.75" customHeight="1">
      <c r="A7" s="8"/>
      <c r="B7" s="8" t="s">
        <v>79</v>
      </c>
      <c r="C7" s="8" t="s">
        <v>80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63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63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63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63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63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6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63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63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63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I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13" width="14.42578125" customWidth="1"/>
  </cols>
  <sheetData>
    <row r="1" spans="1:113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</row>
    <row r="2" spans="1:113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113" ht="15.75" customHeight="1">
      <c r="A3" s="15"/>
      <c r="B3" s="4" t="s">
        <v>3</v>
      </c>
      <c r="C3" s="17" t="s">
        <v>91</v>
      </c>
      <c r="D3" s="4" t="s">
        <v>5</v>
      </c>
      <c r="E3" s="17" t="s">
        <v>92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</row>
    <row r="4" spans="1:113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93</v>
      </c>
      <c r="D4" s="19" t="s">
        <v>92</v>
      </c>
      <c r="E4" s="19" t="s">
        <v>94</v>
      </c>
      <c r="F4" s="19" t="s">
        <v>95</v>
      </c>
      <c r="G4" s="19" t="s">
        <v>96</v>
      </c>
      <c r="H4" s="19" t="s">
        <v>97</v>
      </c>
      <c r="I4" s="19" t="s">
        <v>98</v>
      </c>
      <c r="J4" s="19" t="s">
        <v>99</v>
      </c>
      <c r="K4" s="19" t="s">
        <v>100</v>
      </c>
      <c r="L4" s="19" t="s">
        <v>101</v>
      </c>
      <c r="M4" s="19" t="s">
        <v>102</v>
      </c>
      <c r="N4" s="19" t="s">
        <v>103</v>
      </c>
      <c r="O4" s="19" t="s">
        <v>104</v>
      </c>
      <c r="P4" s="20" t="s">
        <v>105</v>
      </c>
      <c r="Q4" s="20" t="s">
        <v>106</v>
      </c>
      <c r="R4" s="20" t="s">
        <v>107</v>
      </c>
      <c r="S4" s="20" t="s">
        <v>108</v>
      </c>
      <c r="T4" s="20" t="s">
        <v>109</v>
      </c>
      <c r="U4" s="20" t="s">
        <v>110</v>
      </c>
      <c r="V4" s="20" t="s">
        <v>111</v>
      </c>
      <c r="W4" s="20" t="s">
        <v>112</v>
      </c>
      <c r="X4" s="20" t="s">
        <v>113</v>
      </c>
      <c r="Y4" s="20" t="s">
        <v>114</v>
      </c>
      <c r="Z4" s="20" t="s">
        <v>115</v>
      </c>
      <c r="AA4" s="20" t="s">
        <v>116</v>
      </c>
      <c r="AB4" s="20" t="s">
        <v>117</v>
      </c>
      <c r="AC4" s="20" t="s">
        <v>118</v>
      </c>
      <c r="AD4" s="20" t="s">
        <v>100</v>
      </c>
      <c r="AE4" s="20" t="s">
        <v>119</v>
      </c>
      <c r="AF4" s="20" t="s">
        <v>120</v>
      </c>
      <c r="AG4" s="20" t="s">
        <v>121</v>
      </c>
      <c r="AH4" s="20" t="s">
        <v>122</v>
      </c>
      <c r="AI4" s="20" t="s">
        <v>123</v>
      </c>
      <c r="AJ4" s="20" t="s">
        <v>124</v>
      </c>
      <c r="AK4" s="20" t="s">
        <v>125</v>
      </c>
      <c r="AL4" s="20" t="s">
        <v>126</v>
      </c>
      <c r="AM4" s="20" t="s">
        <v>127</v>
      </c>
      <c r="AN4" s="20" t="s">
        <v>128</v>
      </c>
      <c r="AO4" s="20" t="s">
        <v>129</v>
      </c>
      <c r="AP4" s="20" t="s">
        <v>130</v>
      </c>
      <c r="AQ4" s="20" t="s">
        <v>131</v>
      </c>
      <c r="AR4" s="20" t="s">
        <v>132</v>
      </c>
      <c r="AS4" s="20" t="s">
        <v>133</v>
      </c>
      <c r="AT4" s="20" t="s">
        <v>134</v>
      </c>
      <c r="AU4" s="20" t="s">
        <v>135</v>
      </c>
      <c r="AV4" s="20" t="s">
        <v>136</v>
      </c>
      <c r="AW4" s="20" t="s">
        <v>137</v>
      </c>
      <c r="AX4" s="20" t="s">
        <v>138</v>
      </c>
      <c r="AY4" s="20" t="s">
        <v>139</v>
      </c>
      <c r="AZ4" s="20" t="s">
        <v>140</v>
      </c>
      <c r="BA4" s="20" t="s">
        <v>141</v>
      </c>
      <c r="BB4" s="20" t="s">
        <v>142</v>
      </c>
      <c r="BC4" s="20" t="s">
        <v>143</v>
      </c>
      <c r="BD4" s="20" t="s">
        <v>144</v>
      </c>
      <c r="BE4" s="20" t="s">
        <v>145</v>
      </c>
      <c r="BF4" s="20" t="s">
        <v>146</v>
      </c>
      <c r="BG4" s="20" t="s">
        <v>147</v>
      </c>
      <c r="BH4" s="20" t="s">
        <v>148</v>
      </c>
      <c r="BI4" s="20" t="s">
        <v>149</v>
      </c>
      <c r="BJ4" s="20" t="s">
        <v>150</v>
      </c>
      <c r="BK4" s="20" t="s">
        <v>71</v>
      </c>
      <c r="BL4" s="20" t="s">
        <v>151</v>
      </c>
      <c r="BM4" s="20" t="s">
        <v>152</v>
      </c>
      <c r="BN4" s="20" t="s">
        <v>153</v>
      </c>
      <c r="BO4" s="20" t="s">
        <v>154</v>
      </c>
      <c r="BP4" s="20" t="s">
        <v>155</v>
      </c>
      <c r="BQ4" s="20" t="s">
        <v>156</v>
      </c>
      <c r="BR4" s="20" t="s">
        <v>157</v>
      </c>
      <c r="BS4" s="20" t="s">
        <v>158</v>
      </c>
      <c r="BT4" s="20" t="s">
        <v>159</v>
      </c>
      <c r="BU4" s="20" t="s">
        <v>160</v>
      </c>
      <c r="BV4" s="20" t="s">
        <v>161</v>
      </c>
      <c r="BW4" s="20" t="s">
        <v>162</v>
      </c>
      <c r="BX4" s="20" t="s">
        <v>93</v>
      </c>
      <c r="BY4" s="20" t="s">
        <v>163</v>
      </c>
      <c r="BZ4" s="20" t="s">
        <v>164</v>
      </c>
      <c r="CA4" s="20" t="s">
        <v>165</v>
      </c>
      <c r="CB4" s="20" t="s">
        <v>166</v>
      </c>
      <c r="CC4" s="20" t="s">
        <v>167</v>
      </c>
      <c r="CD4" s="20" t="s">
        <v>168</v>
      </c>
      <c r="CE4" s="20" t="s">
        <v>169</v>
      </c>
      <c r="CF4" s="20" t="s">
        <v>170</v>
      </c>
      <c r="CG4" s="20" t="s">
        <v>171</v>
      </c>
      <c r="CH4" s="20" t="s">
        <v>172</v>
      </c>
      <c r="CI4" s="20" t="s">
        <v>173</v>
      </c>
      <c r="CJ4" s="20" t="s">
        <v>174</v>
      </c>
      <c r="CK4" s="20" t="s">
        <v>175</v>
      </c>
      <c r="CL4" s="20" t="s">
        <v>176</v>
      </c>
      <c r="CM4" s="20" t="s">
        <v>177</v>
      </c>
      <c r="CN4" s="20" t="s">
        <v>178</v>
      </c>
      <c r="CO4" s="20" t="s">
        <v>179</v>
      </c>
      <c r="CP4" s="20" t="s">
        <v>180</v>
      </c>
      <c r="CQ4" s="20" t="s">
        <v>181</v>
      </c>
      <c r="CR4" s="20" t="s">
        <v>182</v>
      </c>
      <c r="CS4" s="20" t="s">
        <v>183</v>
      </c>
      <c r="CT4" s="20" t="s">
        <v>184</v>
      </c>
      <c r="CU4" s="20" t="s">
        <v>185</v>
      </c>
      <c r="CV4" s="20" t="s">
        <v>186</v>
      </c>
      <c r="CW4" s="20" t="s">
        <v>187</v>
      </c>
      <c r="CX4" s="20" t="s">
        <v>188</v>
      </c>
      <c r="CY4" s="20" t="s">
        <v>189</v>
      </c>
      <c r="CZ4" s="20"/>
      <c r="DA4" s="20"/>
      <c r="DB4" s="20"/>
      <c r="DC4" s="20"/>
      <c r="DD4" s="20"/>
      <c r="DE4" s="20"/>
      <c r="DF4" s="20"/>
      <c r="DG4" s="20"/>
      <c r="DH4" s="20"/>
      <c r="DI4" s="20"/>
    </row>
    <row r="5" spans="1:11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</row>
    <row r="6" spans="1:113" ht="15.75" customHeight="1">
      <c r="A6" s="8"/>
      <c r="B6" t="s">
        <v>190</v>
      </c>
    </row>
    <row r="7" spans="1:113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13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13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13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13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13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13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13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13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I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13" width="14.42578125" customWidth="1"/>
  </cols>
  <sheetData>
    <row r="1" spans="1:113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</row>
    <row r="2" spans="1:113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113" ht="15.75" customHeight="1">
      <c r="A3" s="15"/>
      <c r="B3" s="4" t="s">
        <v>3</v>
      </c>
      <c r="C3" s="17" t="s">
        <v>91</v>
      </c>
      <c r="D3" s="4" t="s">
        <v>5</v>
      </c>
      <c r="E3" s="17" t="s">
        <v>154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</row>
    <row r="4" spans="1:113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93</v>
      </c>
      <c r="D4" s="19" t="s">
        <v>92</v>
      </c>
      <c r="E4" s="19" t="s">
        <v>94</v>
      </c>
      <c r="F4" s="19" t="s">
        <v>95</v>
      </c>
      <c r="G4" s="19" t="s">
        <v>96</v>
      </c>
      <c r="H4" s="19" t="s">
        <v>97</v>
      </c>
      <c r="I4" s="19" t="s">
        <v>98</v>
      </c>
      <c r="J4" s="19" t="s">
        <v>99</v>
      </c>
      <c r="K4" s="19" t="s">
        <v>100</v>
      </c>
      <c r="L4" s="19" t="s">
        <v>101</v>
      </c>
      <c r="M4" s="19" t="s">
        <v>102</v>
      </c>
      <c r="N4" s="19" t="s">
        <v>103</v>
      </c>
      <c r="O4" s="19" t="s">
        <v>104</v>
      </c>
      <c r="P4" s="20" t="s">
        <v>105</v>
      </c>
      <c r="Q4" s="20" t="s">
        <v>106</v>
      </c>
      <c r="R4" s="20" t="s">
        <v>107</v>
      </c>
      <c r="S4" s="20" t="s">
        <v>108</v>
      </c>
      <c r="T4" s="20" t="s">
        <v>109</v>
      </c>
      <c r="U4" s="20" t="s">
        <v>110</v>
      </c>
      <c r="V4" s="20" t="s">
        <v>111</v>
      </c>
      <c r="W4" s="20" t="s">
        <v>112</v>
      </c>
      <c r="X4" s="20" t="s">
        <v>113</v>
      </c>
      <c r="Y4" s="20" t="s">
        <v>114</v>
      </c>
      <c r="Z4" s="20" t="s">
        <v>115</v>
      </c>
      <c r="AA4" s="20" t="s">
        <v>116</v>
      </c>
      <c r="AB4" s="20" t="s">
        <v>117</v>
      </c>
      <c r="AC4" s="20" t="s">
        <v>118</v>
      </c>
      <c r="AD4" s="20" t="s">
        <v>100</v>
      </c>
      <c r="AE4" s="20" t="s">
        <v>119</v>
      </c>
      <c r="AF4" s="20" t="s">
        <v>120</v>
      </c>
      <c r="AG4" s="20" t="s">
        <v>121</v>
      </c>
      <c r="AH4" s="20" t="s">
        <v>122</v>
      </c>
      <c r="AI4" s="20" t="s">
        <v>123</v>
      </c>
      <c r="AJ4" s="20" t="s">
        <v>124</v>
      </c>
      <c r="AK4" s="20" t="s">
        <v>125</v>
      </c>
      <c r="AL4" s="20" t="s">
        <v>126</v>
      </c>
      <c r="AM4" s="20" t="s">
        <v>127</v>
      </c>
      <c r="AN4" s="20" t="s">
        <v>128</v>
      </c>
      <c r="AO4" s="20" t="s">
        <v>129</v>
      </c>
      <c r="AP4" s="20" t="s">
        <v>130</v>
      </c>
      <c r="AQ4" s="20" t="s">
        <v>131</v>
      </c>
      <c r="AR4" s="20" t="s">
        <v>132</v>
      </c>
      <c r="AS4" s="20" t="s">
        <v>133</v>
      </c>
      <c r="AT4" s="20" t="s">
        <v>134</v>
      </c>
      <c r="AU4" s="20" t="s">
        <v>135</v>
      </c>
      <c r="AV4" s="20" t="s">
        <v>136</v>
      </c>
      <c r="AW4" s="20" t="s">
        <v>137</v>
      </c>
      <c r="AX4" s="20" t="s">
        <v>138</v>
      </c>
      <c r="AY4" s="20" t="s">
        <v>139</v>
      </c>
      <c r="AZ4" s="20" t="s">
        <v>140</v>
      </c>
      <c r="BA4" s="20" t="s">
        <v>141</v>
      </c>
      <c r="BB4" s="20" t="s">
        <v>142</v>
      </c>
      <c r="BC4" s="20" t="s">
        <v>143</v>
      </c>
      <c r="BD4" s="20" t="s">
        <v>144</v>
      </c>
      <c r="BE4" s="20" t="s">
        <v>145</v>
      </c>
      <c r="BF4" s="20" t="s">
        <v>146</v>
      </c>
      <c r="BG4" s="20" t="s">
        <v>147</v>
      </c>
      <c r="BH4" s="20" t="s">
        <v>148</v>
      </c>
      <c r="BI4" s="20" t="s">
        <v>149</v>
      </c>
      <c r="BJ4" s="20" t="s">
        <v>150</v>
      </c>
      <c r="BK4" s="20" t="s">
        <v>71</v>
      </c>
      <c r="BL4" s="20" t="s">
        <v>151</v>
      </c>
      <c r="BM4" s="20" t="s">
        <v>152</v>
      </c>
      <c r="BN4" s="20" t="s">
        <v>153</v>
      </c>
      <c r="BO4" s="20" t="s">
        <v>154</v>
      </c>
      <c r="BP4" s="20" t="s">
        <v>155</v>
      </c>
      <c r="BQ4" s="20" t="s">
        <v>156</v>
      </c>
      <c r="BR4" s="20" t="s">
        <v>157</v>
      </c>
      <c r="BS4" s="20" t="s">
        <v>158</v>
      </c>
      <c r="BT4" s="20" t="s">
        <v>159</v>
      </c>
      <c r="BU4" s="20" t="s">
        <v>160</v>
      </c>
      <c r="BV4" s="20" t="s">
        <v>161</v>
      </c>
      <c r="BW4" s="20" t="s">
        <v>162</v>
      </c>
      <c r="BX4" s="20" t="s">
        <v>93</v>
      </c>
      <c r="BY4" s="20" t="s">
        <v>163</v>
      </c>
      <c r="BZ4" s="20" t="s">
        <v>164</v>
      </c>
      <c r="CA4" s="20" t="s">
        <v>165</v>
      </c>
      <c r="CB4" s="20" t="s">
        <v>166</v>
      </c>
      <c r="CC4" s="20" t="s">
        <v>167</v>
      </c>
      <c r="CD4" s="20" t="s">
        <v>168</v>
      </c>
      <c r="CE4" s="20" t="s">
        <v>169</v>
      </c>
      <c r="CF4" s="20" t="s">
        <v>170</v>
      </c>
      <c r="CG4" s="20" t="s">
        <v>171</v>
      </c>
      <c r="CH4" s="20" t="s">
        <v>172</v>
      </c>
      <c r="CI4" s="20" t="s">
        <v>173</v>
      </c>
      <c r="CJ4" s="20" t="s">
        <v>174</v>
      </c>
      <c r="CK4" s="20" t="s">
        <v>175</v>
      </c>
      <c r="CL4" s="20" t="s">
        <v>176</v>
      </c>
      <c r="CM4" s="20" t="s">
        <v>177</v>
      </c>
      <c r="CN4" s="20" t="s">
        <v>178</v>
      </c>
      <c r="CO4" s="20" t="s">
        <v>179</v>
      </c>
      <c r="CP4" s="20" t="s">
        <v>180</v>
      </c>
      <c r="CQ4" s="20" t="s">
        <v>181</v>
      </c>
      <c r="CR4" s="20" t="s">
        <v>182</v>
      </c>
      <c r="CS4" s="20" t="s">
        <v>183</v>
      </c>
      <c r="CT4" s="20" t="s">
        <v>184</v>
      </c>
      <c r="CU4" s="20" t="s">
        <v>185</v>
      </c>
      <c r="CV4" s="20" t="s">
        <v>186</v>
      </c>
      <c r="CW4" s="20" t="s">
        <v>187</v>
      </c>
      <c r="CX4" s="20" t="s">
        <v>188</v>
      </c>
      <c r="CY4" s="20" t="s">
        <v>189</v>
      </c>
      <c r="CZ4" s="20"/>
      <c r="DA4" s="20"/>
      <c r="DB4" s="20"/>
      <c r="DC4" s="20"/>
      <c r="DD4" s="20"/>
      <c r="DE4" s="20"/>
      <c r="DF4" s="20"/>
      <c r="DG4" s="20"/>
      <c r="DH4" s="20"/>
      <c r="DI4" s="20"/>
    </row>
    <row r="5" spans="1:11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IFERROR(__xludf.DUMMYFUNCTION("""COMPUTED_VALUE"""),"Client")</f>
        <v>Client</v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</row>
    <row r="6" spans="1:113" ht="15.75" customHeight="1">
      <c r="A6" s="8"/>
      <c r="B6" s="24" t="s">
        <v>74</v>
      </c>
      <c r="BO6" t="s">
        <v>73</v>
      </c>
      <c r="BT6" t="s">
        <v>72</v>
      </c>
    </row>
    <row r="7" spans="1:113" ht="15.75" customHeight="1">
      <c r="A7" s="8"/>
      <c r="B7" s="24" t="s">
        <v>81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O7" s="8" t="s">
        <v>80</v>
      </c>
      <c r="BT7" s="8" t="s">
        <v>79</v>
      </c>
    </row>
    <row r="8" spans="1:113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13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13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13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13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13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13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13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0"/>
  <sheetViews>
    <sheetView topLeftCell="BB1" workbookViewId="0">
      <selection activeCell="BK5" sqref="BK5"/>
    </sheetView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1"/>
      <c r="B1" s="25" t="s">
        <v>11</v>
      </c>
      <c r="C1" s="26"/>
      <c r="D1" s="26"/>
      <c r="E1" s="26"/>
      <c r="F1" s="26"/>
      <c r="G1" s="26"/>
      <c r="H1" s="26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</row>
    <row r="2" spans="1:169" ht="15.75" customHeight="1">
      <c r="A2" s="8"/>
      <c r="B2" s="8"/>
      <c r="C2" s="8"/>
      <c r="D2" s="8"/>
      <c r="E2" s="8"/>
      <c r="F2" s="8"/>
      <c r="G2" s="8"/>
      <c r="H2" s="8"/>
      <c r="I2" s="8"/>
      <c r="J2" s="13" t="e">
        <f>VLOOKUP($E$3,_MasterData!B4:D1000,3,FALSE)</f>
        <v>#N/A</v>
      </c>
      <c r="K2" s="14"/>
      <c r="L2" s="8"/>
      <c r="M2" s="8"/>
      <c r="N2" s="8"/>
      <c r="O2" s="8"/>
    </row>
    <row r="3" spans="1:169" ht="15.75" customHeight="1">
      <c r="A3" s="15"/>
      <c r="B3" s="4" t="s">
        <v>3</v>
      </c>
      <c r="C3" s="17" t="s">
        <v>191</v>
      </c>
      <c r="D3" s="4" t="s">
        <v>5</v>
      </c>
      <c r="E3" s="17" t="s">
        <v>192</v>
      </c>
      <c r="F3" s="4" t="s">
        <v>15</v>
      </c>
      <c r="G3" s="17" t="s">
        <v>16</v>
      </c>
      <c r="H3" s="4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>
      <c r="A4" s="19"/>
      <c r="B4" s="19" t="str">
        <f ca="1">IFERROR(__xludf.DUMMYFUNCTION("IF(C3="""","""",Transpose(IMPORTRANGE('_Settings'!$B$3,C3&amp;""!A4:A1000"")))"),"#REF!")</f>
        <v>#REF!</v>
      </c>
      <c r="C4" s="19" t="s">
        <v>192</v>
      </c>
      <c r="D4" s="19" t="s">
        <v>193</v>
      </c>
      <c r="E4" s="19" t="s">
        <v>194</v>
      </c>
      <c r="F4" s="19" t="s">
        <v>195</v>
      </c>
      <c r="G4" s="19" t="s">
        <v>196</v>
      </c>
      <c r="H4" s="19" t="s">
        <v>197</v>
      </c>
      <c r="I4" s="19" t="s">
        <v>198</v>
      </c>
      <c r="J4" s="19" t="s">
        <v>199</v>
      </c>
      <c r="K4" s="19" t="s">
        <v>200</v>
      </c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spans="1:169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>
      <c r="A6" s="8"/>
      <c r="C6" t="s">
        <v>72</v>
      </c>
      <c r="E6" s="24" t="s">
        <v>74</v>
      </c>
      <c r="AN6" t="s">
        <v>73</v>
      </c>
    </row>
    <row r="7" spans="1:169" ht="15.75" customHeight="1">
      <c r="A7" s="8"/>
      <c r="B7" s="8"/>
      <c r="C7" s="8" t="s">
        <v>79</v>
      </c>
      <c r="D7" s="8"/>
      <c r="E7" s="9" t="s">
        <v>81</v>
      </c>
      <c r="F7" s="8"/>
      <c r="G7" s="8"/>
      <c r="H7" s="8"/>
      <c r="I7" s="8"/>
      <c r="J7" s="8"/>
      <c r="K7" s="8"/>
      <c r="L7" s="8"/>
      <c r="M7" s="8"/>
      <c r="N7" s="8"/>
      <c r="O7" s="8"/>
      <c r="AN7" t="s">
        <v>80</v>
      </c>
    </row>
    <row r="8" spans="1:169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6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69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69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69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69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69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69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69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CreateStageOrder</vt:lpstr>
      <vt:lpstr>MultiTradingTicketFromBlotter</vt:lpstr>
      <vt:lpstr>SelectTradeUsingMTT</vt:lpstr>
      <vt:lpstr>EditTradeUsingMTT</vt:lpstr>
      <vt:lpstr>DoneAwayUsingMTT</vt:lpstr>
      <vt:lpstr>VerifyWorkingSubs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2021-09-20T12:58:38Z</dcterms:modified>
</cp:coreProperties>
</file>