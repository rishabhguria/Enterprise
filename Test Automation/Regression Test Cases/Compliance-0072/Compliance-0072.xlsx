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VerifyRowCalculationBaseWindow" sheetId="9" r:id="rId11"/>
    <sheet state="visible" name="CreateLiveOrder1" sheetId="10" r:id="rId12"/>
    <sheet state="visible" name="SelectTrade1" sheetId="11" r:id="rId13"/>
    <sheet state="visible" name="AcknowledgeTrade1" sheetId="12" r:id="rId14"/>
    <sheet state="visible" name="ExecuteTrade1" sheetId="13" r:id="rId15"/>
    <sheet state="visible" name="SelectTradeOnOrderGrid" sheetId="14" r:id="rId16"/>
    <sheet state="visible" name="CancelSubOrder" sheetId="15" r:id="rId17"/>
    <sheet state="visible" name="SelectTrade2" sheetId="16" r:id="rId18"/>
    <sheet state="visible" name="AcknowledgeTrade2" sheetId="17" r:id="rId19"/>
    <sheet state="visible" name="CreateLiveOrder2" sheetId="18" r:id="rId20"/>
    <sheet state="visible" name="VerifyRowCalculationBaseWindow1" sheetId="19" r:id="rId21"/>
    <sheet state="visible" name="CreateLiveOrder3" sheetId="20" r:id="rId22"/>
    <sheet state="visible" name="SelectTrade3" sheetId="21" r:id="rId23"/>
    <sheet state="visible" name="AcknowledgeTrade3" sheetId="22" r:id="rId24"/>
    <sheet state="visible" name="VerifyRowCalculationBaseWindow2" sheetId="23" r:id="rId25"/>
  </sheets>
  <definedNames/>
  <calcPr/>
</workbook>
</file>

<file path=xl/sharedStrings.xml><?xml version="1.0" encoding="utf-8"?>
<sst xmlns="http://schemas.openxmlformats.org/spreadsheetml/2006/main" count="234" uniqueCount="44">
  <si>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</si>
  <si>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</si>
  <si>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</si>
  <si>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</si>
  <si>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</si>
  <si>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</si>
  <si>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</si>
  <si>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</si>
  <si>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</si>
  <si>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</si>
  <si>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</si>
  <si>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</si>
  <si>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</si>
  <si>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</si>
  <si>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</si>
  <si>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</si>
  <si>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</si>
  <si>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</si>
  <si>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</si>
  <si>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</si>
  <si>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</si>
  <si>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</si>
  <si>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</si>
  <si>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Yes</t>
  </si>
  <si>
    <t>Simulator</t>
  </si>
  <si>
    <t>SelectTrade</t>
  </si>
  <si>
    <t>AcknowledgeTrade</t>
  </si>
  <si>
    <t>ExecuteTrade</t>
  </si>
  <si>
    <t>Compliance</t>
  </si>
  <si>
    <t>VerifyRowCalculationBaseWindow</t>
  </si>
  <si>
    <t>Post</t>
  </si>
  <si>
    <t>Allocation1</t>
  </si>
  <si>
    <t>CreateDoneAwayOrder</t>
  </si>
  <si>
    <t>Sell</t>
  </si>
  <si>
    <t>Blotter</t>
  </si>
  <si>
    <t>SelectTradeOnOrderGrid</t>
  </si>
  <si>
    <t>PartiallyFilled</t>
  </si>
  <si>
    <t>MS</t>
  </si>
  <si>
    <t>Market</t>
  </si>
  <si>
    <t>CancelSubOrder</t>
  </si>
  <si>
    <t>NASDAQ</t>
  </si>
  <si>
    <t>M</t>
  </si>
  <si>
    <t>Equity</t>
  </si>
  <si>
    <t>InTradeMarket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</si>
</sst>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5" fillId="4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readingOrder="0"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4" fontId="5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2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 t="str">
        <f>IFERROR(__xludf.DUMMYFUNCTION("""COMPUTED_VALUE"""),"UpdateFee")</f>
        <v>UpdateFee</v>
      </c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 t="str">
        <f>IFERROR(__xludf.DUMMYFUNCTION("""COMPUTED_VALUE"""),"user")</f>
        <v>user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7" t="b">
        <v>1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7" t="b">
        <v>1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38">
        <v>10.0</v>
      </c>
      <c r="E6" s="38">
        <v>10.0</v>
      </c>
      <c r="F6" s="35"/>
      <c r="G6" s="35"/>
      <c r="H6" s="35"/>
      <c r="I6" s="35"/>
      <c r="J6" s="39">
        <v>10.0</v>
      </c>
      <c r="K6" s="35"/>
      <c r="L6" s="35"/>
      <c r="M6" s="35"/>
      <c r="N6" s="40">
        <f>today()</f>
        <v>44512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23</v>
      </c>
      <c r="AP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8">
        <v>10.0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8">
        <v>10.0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2" t="s">
        <v>21</v>
      </c>
      <c r="I6" s="43">
        <v>0.0</v>
      </c>
      <c r="J6" s="44">
        <v>10.0</v>
      </c>
      <c r="K6" s="44">
        <v>10.0</v>
      </c>
      <c r="L6" s="44">
        <v>10.0</v>
      </c>
      <c r="M6" s="45" t="s">
        <v>30</v>
      </c>
      <c r="N6" s="46"/>
      <c r="O6" s="42" t="s">
        <v>22</v>
      </c>
      <c r="P6" s="46"/>
      <c r="Q6" s="46" t="s">
        <v>21</v>
      </c>
      <c r="R6" s="46"/>
      <c r="S6" s="46"/>
      <c r="T6" s="47" t="s">
        <v>31</v>
      </c>
      <c r="U6" s="47" t="s">
        <v>31</v>
      </c>
      <c r="V6" s="36"/>
      <c r="W6" s="36"/>
      <c r="X6" s="36"/>
      <c r="Y6" s="36"/>
      <c r="Z6" s="36"/>
      <c r="AA6" s="36"/>
      <c r="AB6" s="48">
        <v>100.0</v>
      </c>
      <c r="AC6" s="36"/>
      <c r="AD6" s="48">
        <v>100.0</v>
      </c>
      <c r="AE6" s="36"/>
      <c r="AF6" s="36"/>
      <c r="AG6" s="36"/>
      <c r="AH6" s="48">
        <v>100.0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9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50" t="s">
        <v>33</v>
      </c>
      <c r="D6" s="38">
        <v>10.0</v>
      </c>
      <c r="E6" s="38">
        <v>10.0</v>
      </c>
      <c r="F6" s="35"/>
      <c r="G6" s="35"/>
      <c r="H6" s="35"/>
      <c r="I6" s="35"/>
      <c r="J6" s="39">
        <v>10.0</v>
      </c>
      <c r="K6" s="35"/>
      <c r="L6" s="35"/>
      <c r="M6" s="35"/>
      <c r="N6" s="40">
        <f>today()</f>
        <v>44512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P6" s="36"/>
      <c r="AQ6" s="36" t="s">
        <v>23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0" t="s">
        <v>33</v>
      </c>
      <c r="C6" s="35" t="s">
        <v>21</v>
      </c>
      <c r="D6" s="34"/>
      <c r="E6" s="35"/>
      <c r="F6" s="35"/>
      <c r="G6" s="38">
        <v>10.0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0" t="s">
        <v>33</v>
      </c>
      <c r="C6" s="35" t="s">
        <v>21</v>
      </c>
      <c r="D6" s="34"/>
      <c r="E6" s="35"/>
      <c r="F6" s="35"/>
      <c r="G6" s="38">
        <v>10.0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0">
        <v>10.0</v>
      </c>
      <c r="C6" s="50">
        <v>7.0</v>
      </c>
      <c r="D6" s="34"/>
      <c r="E6" s="35"/>
      <c r="F6" s="35"/>
      <c r="G6" s="38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21</v>
      </c>
      <c r="E6" s="41"/>
      <c r="F6" s="13" t="s">
        <v>33</v>
      </c>
      <c r="G6" s="13" t="s">
        <v>36</v>
      </c>
      <c r="H6" s="13">
        <v>10.0</v>
      </c>
      <c r="I6" s="13">
        <v>7.0</v>
      </c>
      <c r="J6" s="13">
        <v>70.0</v>
      </c>
      <c r="K6" s="13">
        <v>7.0</v>
      </c>
      <c r="L6" s="8"/>
      <c r="M6" s="8"/>
      <c r="N6" s="8"/>
      <c r="O6" s="8"/>
      <c r="P6" s="9">
        <v>10.0</v>
      </c>
      <c r="Q6" s="9" t="s">
        <v>37</v>
      </c>
      <c r="R6" s="9" t="s">
        <v>31</v>
      </c>
      <c r="T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41"/>
      <c r="F6" s="13">
        <v>0.0</v>
      </c>
      <c r="G6" s="8"/>
      <c r="H6" s="13" t="s">
        <v>40</v>
      </c>
      <c r="I6" s="8"/>
      <c r="J6" s="13" t="s">
        <v>21</v>
      </c>
      <c r="K6" s="8"/>
      <c r="L6" s="8"/>
      <c r="M6" s="8"/>
      <c r="N6" s="8"/>
      <c r="O6" s="8"/>
      <c r="AD6" s="9">
        <v>1.0</v>
      </c>
      <c r="AF6" s="9" t="s">
        <v>41</v>
      </c>
      <c r="AH6" s="9" t="s">
        <v>42</v>
      </c>
      <c r="AI6" s="9" t="s">
        <v>21</v>
      </c>
      <c r="AJ6" s="9" t="s">
        <v>33</v>
      </c>
      <c r="AK6" s="9" t="s">
        <v>36</v>
      </c>
      <c r="AL6" s="9">
        <v>10.0</v>
      </c>
      <c r="AM6" s="9">
        <v>7.0</v>
      </c>
      <c r="AR6" s="9">
        <v>10.0</v>
      </c>
      <c r="AS6" s="9" t="s">
        <v>37</v>
      </c>
      <c r="AT6" s="9" t="s">
        <v>31</v>
      </c>
      <c r="AU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0" t="s">
        <v>33</v>
      </c>
      <c r="C6" s="35" t="s">
        <v>21</v>
      </c>
      <c r="D6" s="34"/>
      <c r="E6" s="35"/>
      <c r="F6" s="35"/>
      <c r="G6" s="38">
        <v>10.0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0" t="s">
        <v>33</v>
      </c>
      <c r="C6" s="35" t="s">
        <v>21</v>
      </c>
      <c r="D6" s="34"/>
      <c r="E6" s="35"/>
      <c r="F6" s="35"/>
      <c r="G6" s="38">
        <v>10.0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50" t="s">
        <v>33</v>
      </c>
      <c r="D6" s="38">
        <v>3.0</v>
      </c>
      <c r="E6" s="38">
        <v>3.0</v>
      </c>
      <c r="F6" s="35"/>
      <c r="G6" s="35"/>
      <c r="H6" s="35"/>
      <c r="I6" s="35"/>
      <c r="J6" s="39">
        <v>10.0</v>
      </c>
      <c r="K6" s="35"/>
      <c r="L6" s="35"/>
      <c r="M6" s="35"/>
      <c r="N6" s="40">
        <f>today()</f>
        <v>44512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9" t="s">
        <v>23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2" t="s">
        <v>21</v>
      </c>
      <c r="I6" s="43">
        <v>0.0</v>
      </c>
      <c r="J6" s="44">
        <v>10.0</v>
      </c>
      <c r="K6" s="44">
        <v>10.0</v>
      </c>
      <c r="L6" s="44">
        <v>10.0</v>
      </c>
      <c r="M6" s="45" t="s">
        <v>30</v>
      </c>
      <c r="N6" s="46"/>
      <c r="O6" s="42" t="s">
        <v>22</v>
      </c>
      <c r="P6" s="46"/>
      <c r="Q6" s="46" t="s">
        <v>21</v>
      </c>
      <c r="R6" s="46"/>
      <c r="S6" s="46"/>
      <c r="T6" s="47" t="s">
        <v>31</v>
      </c>
      <c r="U6" s="47" t="s">
        <v>31</v>
      </c>
      <c r="V6" s="36"/>
      <c r="W6" s="36"/>
      <c r="X6" s="36"/>
      <c r="Y6" s="36"/>
      <c r="Z6" s="36"/>
      <c r="AA6" s="36"/>
      <c r="AB6" s="48">
        <v>100.0</v>
      </c>
      <c r="AC6" s="36"/>
      <c r="AD6" s="48">
        <v>100.0</v>
      </c>
      <c r="AE6" s="36"/>
      <c r="AF6" s="36"/>
      <c r="AG6" s="36"/>
      <c r="AH6" s="48">
        <v>100.0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9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4"/>
      <c r="B7" s="34"/>
      <c r="C7" s="35"/>
      <c r="D7" s="34"/>
      <c r="E7" s="35"/>
      <c r="F7" s="35"/>
      <c r="G7" s="35"/>
      <c r="H7" s="42" t="s">
        <v>21</v>
      </c>
      <c r="I7" s="44">
        <v>-7.0</v>
      </c>
      <c r="J7" s="44">
        <v>0.0</v>
      </c>
      <c r="K7" s="44">
        <v>7.0</v>
      </c>
      <c r="L7" s="44">
        <v>-7.0</v>
      </c>
      <c r="M7" s="45" t="s">
        <v>30</v>
      </c>
      <c r="N7" s="46"/>
      <c r="O7" s="51" t="s">
        <v>33</v>
      </c>
      <c r="P7" s="46"/>
      <c r="Q7" s="46" t="s">
        <v>21</v>
      </c>
      <c r="R7" s="46"/>
      <c r="S7" s="46"/>
      <c r="T7" s="47" t="s">
        <v>31</v>
      </c>
      <c r="U7" s="47" t="s">
        <v>31</v>
      </c>
      <c r="V7" s="36"/>
      <c r="W7" s="36"/>
      <c r="X7" s="36"/>
      <c r="Y7" s="36"/>
      <c r="Z7" s="36"/>
      <c r="AA7" s="36"/>
      <c r="AB7" s="48">
        <v>-70.0</v>
      </c>
      <c r="AC7" s="36"/>
      <c r="AD7" s="48">
        <v>0.0</v>
      </c>
      <c r="AE7" s="36"/>
      <c r="AF7" s="36"/>
      <c r="AG7" s="36"/>
      <c r="AH7" s="48">
        <v>-70.0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9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50" t="s">
        <v>33</v>
      </c>
      <c r="D6" s="38">
        <v>9.0</v>
      </c>
      <c r="E6" s="38">
        <v>9.0</v>
      </c>
      <c r="F6" s="35"/>
      <c r="G6" s="35"/>
      <c r="H6" s="35"/>
      <c r="I6" s="35"/>
      <c r="J6" s="39">
        <v>10.0</v>
      </c>
      <c r="K6" s="35"/>
      <c r="L6" s="35"/>
      <c r="M6" s="35"/>
      <c r="N6" s="40">
        <f>today()</f>
        <v>44512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9" t="s">
        <v>23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21</v>
      </c>
      <c r="D6" s="13"/>
      <c r="E6" s="41"/>
      <c r="F6" s="8"/>
      <c r="G6" s="13">
        <v>9.0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21</v>
      </c>
      <c r="D6" s="13"/>
      <c r="E6" s="41"/>
      <c r="F6" s="8"/>
      <c r="G6" s="13">
        <v>9.0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2" t="s">
        <v>21</v>
      </c>
      <c r="I6" s="43">
        <v>0.0</v>
      </c>
      <c r="J6" s="44">
        <v>10.0</v>
      </c>
      <c r="K6" s="44">
        <v>10.0</v>
      </c>
      <c r="L6" s="44">
        <v>10.0</v>
      </c>
      <c r="M6" s="45" t="s">
        <v>30</v>
      </c>
      <c r="N6" s="46"/>
      <c r="O6" s="42" t="s">
        <v>22</v>
      </c>
      <c r="P6" s="46"/>
      <c r="Q6" s="46" t="s">
        <v>21</v>
      </c>
      <c r="R6" s="46"/>
      <c r="S6" s="46"/>
      <c r="T6" s="47" t="s">
        <v>31</v>
      </c>
      <c r="U6" s="47" t="s">
        <v>31</v>
      </c>
      <c r="V6" s="36"/>
      <c r="W6" s="36"/>
      <c r="X6" s="36"/>
      <c r="Y6" s="36"/>
      <c r="Z6" s="36"/>
      <c r="AA6" s="36"/>
      <c r="AB6" s="48">
        <v>100.0</v>
      </c>
      <c r="AC6" s="36"/>
      <c r="AD6" s="48">
        <v>100.0</v>
      </c>
      <c r="AE6" s="36"/>
      <c r="AF6" s="36"/>
      <c r="AG6" s="36"/>
      <c r="AH6" s="48">
        <v>100.0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9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4"/>
      <c r="B7" s="34"/>
      <c r="C7" s="35"/>
      <c r="D7" s="34"/>
      <c r="E7" s="35"/>
      <c r="F7" s="35"/>
      <c r="G7" s="35"/>
      <c r="H7" s="42" t="s">
        <v>21</v>
      </c>
      <c r="I7" s="44">
        <v>-7.0</v>
      </c>
      <c r="J7" s="44">
        <v>0.0</v>
      </c>
      <c r="K7" s="44">
        <v>7.0</v>
      </c>
      <c r="L7" s="44">
        <v>-7.0</v>
      </c>
      <c r="M7" s="45" t="s">
        <v>30</v>
      </c>
      <c r="N7" s="46"/>
      <c r="O7" s="51" t="s">
        <v>33</v>
      </c>
      <c r="P7" s="46"/>
      <c r="Q7" s="46" t="s">
        <v>21</v>
      </c>
      <c r="R7" s="46"/>
      <c r="S7" s="46"/>
      <c r="T7" s="47" t="s">
        <v>31</v>
      </c>
      <c r="U7" s="47" t="s">
        <v>31</v>
      </c>
      <c r="V7" s="36"/>
      <c r="W7" s="36"/>
      <c r="X7" s="36"/>
      <c r="Y7" s="36"/>
      <c r="Z7" s="36"/>
      <c r="AA7" s="36"/>
      <c r="AB7" s="48">
        <v>-70.0</v>
      </c>
      <c r="AC7" s="36"/>
      <c r="AD7" s="48">
        <v>0.0</v>
      </c>
      <c r="AE7" s="36"/>
      <c r="AF7" s="36"/>
      <c r="AG7" s="36"/>
      <c r="AH7" s="48">
        <v>-70.0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9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13" t="s">
        <v>21</v>
      </c>
      <c r="I8" s="13">
        <v>-9.0</v>
      </c>
      <c r="J8" s="13">
        <v>0.0</v>
      </c>
      <c r="K8" s="13">
        <v>9.0</v>
      </c>
      <c r="L8" s="13">
        <v>-9.0</v>
      </c>
      <c r="M8" s="13" t="s">
        <v>43</v>
      </c>
      <c r="N8" s="8"/>
      <c r="O8" s="13" t="s">
        <v>33</v>
      </c>
      <c r="Q8" s="9" t="s">
        <v>21</v>
      </c>
      <c r="T8" s="9" t="s">
        <v>31</v>
      </c>
      <c r="U8" s="9" t="s">
        <v>31</v>
      </c>
      <c r="AB8" s="9">
        <v>-90.0</v>
      </c>
      <c r="AD8" s="9">
        <v>0.0</v>
      </c>
      <c r="AH8" s="9">
        <v>-90.0</v>
      </c>
      <c r="BV8" s="9">
        <v>10.0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