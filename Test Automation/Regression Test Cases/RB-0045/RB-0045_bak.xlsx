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TradeNewSubOrder" sheetId="14" r:id="rId16"/>
    <sheet state="visible" name="CreateNewSub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<sst xmlns="http://schemas.openxmlformats.org/spreadsheetml/2006/main" count="228" uniqueCount="60">
  <si>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</si>
  <si>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</si>
  <si>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</si>
  <si>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</si>
  <si>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</si>
  <si>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</si>
  <si>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</si>
  <si>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</si>
  <si>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</si>
  <si>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</si>
  <si>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</si>
  <si>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</si>
  <si>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</si>
  <si>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</si>
  <si>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</si>
  <si>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</si>
  <si>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</si>
  <si>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</si>
  <si>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</si>
  <si>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</si>
  <si>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</si>
  <si>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</si>
  <si>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</si>
  <si>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</si>
  <si>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</si>
  <si>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</si>
  <si>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</si>
  <si>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</si>
  <si>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</si>
  <si>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</si>
  <si>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</si>
  <si>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</si>
  <si>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</si>
  <si>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</si>
  <si>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</si>
  <si>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</si>
  <si>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</si>
  <si>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</si>
  <si>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</si>
  <si>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Cash</t>
  </si>
  <si>
    <t>SendtoStaging</t>
  </si>
  <si>
    <t>SellShort</t>
  </si>
  <si>
    <t>Blotter</t>
  </si>
  <si>
    <t>VerifyOrder</t>
  </si>
  <si>
    <t>New</t>
  </si>
  <si>
    <t>Filled</t>
  </si>
  <si>
    <t>TradeNewSubOrder</t>
  </si>
  <si>
    <t>CreateNewSubOrder</t>
  </si>
  <si>
    <t>Allocation</t>
  </si>
  <si>
    <t>GetDataAllocation</t>
  </si>
  <si>
    <t>Current</t>
  </si>
  <si>
    <t>CheckAllocatedGroups</t>
  </si>
  <si>
    <t>Equity</t>
  </si>
  <si>
    <t>MS</t>
  </si>
  <si>
    <t>Open</t>
  </si>
  <si>
    <t>NASDAQ</t>
  </si>
  <si>
    <t>M</t>
  </si>
  <si>
    <t>Market</t>
  </si>
  <si>
    <t>US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</si>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</sst>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  <font>
      <sz val="11.0"/>
      <color rgb="FF000000"/>
      <name val="Calibri"/>
    </font>
    <font>
      <sz val="9.0"/>
      <color rgb="FFFF8000"/>
      <name val="Arial"/>
    </font>
    <font>
      <sz val="9.0"/>
      <color rgb="FF00B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6" fontId="13" numFmtId="14" xfId="0" applyAlignment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7" fontId="16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8" fontId="17" numFmtId="0" xfId="0" applyAlignment="1" applyFill="1" applyFont="1">
      <alignment horizontal="center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8" fontId="16" numFmtId="0" xfId="0" applyAlignment="1" applyFont="1">
      <alignment horizontal="center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shrinkToFit="0" vertical="bottom" wrapText="0"/>
    </xf>
    <xf borderId="0" fillId="6" fontId="17" numFmtId="0" xfId="0" applyAlignment="1" applyFont="1">
      <alignment horizontal="right" readingOrder="0" shrinkToFit="0" vertical="top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 t="shared" ref="B6:C6" si="1">TODAY()-1</f>
        <v>44069</v>
      </c>
      <c r="C6" s="31">
        <f t="shared" si="1"/>
        <v>44069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17</v>
      </c>
      <c r="C6" s="36" t="s">
        <v>18</v>
      </c>
      <c r="D6" s="37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19</v>
      </c>
      <c r="C7" s="38" t="s">
        <v>18</v>
      </c>
      <c r="D7" s="39">
        <v>20000.0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36" t="s">
        <v>23</v>
      </c>
      <c r="D6" s="37">
        <v>100.0</v>
      </c>
      <c r="E6" s="40">
        <v>100.0</v>
      </c>
      <c r="F6" s="36" t="s">
        <v>17</v>
      </c>
      <c r="G6" s="33"/>
      <c r="H6" s="33"/>
      <c r="I6" s="33"/>
      <c r="J6" s="40">
        <v>10.0</v>
      </c>
      <c r="K6" s="33"/>
      <c r="L6" s="33"/>
      <c r="M6" s="33"/>
      <c r="N6" s="41">
        <f t="shared" ref="N6:N8" si="1">TODAY()</f>
        <v>44070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22</v>
      </c>
      <c r="C7" s="38" t="s">
        <v>23</v>
      </c>
      <c r="D7" s="39">
        <v>100.0</v>
      </c>
      <c r="E7" s="39">
        <v>100.0</v>
      </c>
      <c r="F7" s="38" t="s">
        <v>19</v>
      </c>
      <c r="G7" s="34"/>
      <c r="H7" s="34"/>
      <c r="I7" s="34"/>
      <c r="J7" s="39">
        <v>10.0</v>
      </c>
      <c r="K7" s="34"/>
      <c r="L7" s="34"/>
      <c r="M7" s="34"/>
      <c r="N7" s="42">
        <f t="shared" si="1"/>
        <v>44070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25</v>
      </c>
      <c r="D8" s="39">
        <v>200.0</v>
      </c>
      <c r="E8" s="39">
        <v>200.0</v>
      </c>
      <c r="F8" s="38" t="s">
        <v>17</v>
      </c>
      <c r="G8" s="34"/>
      <c r="H8" s="34"/>
      <c r="I8" s="34"/>
      <c r="J8" s="39">
        <v>10.0</v>
      </c>
      <c r="K8" s="34"/>
      <c r="L8" s="34"/>
      <c r="M8" s="34"/>
      <c r="N8" s="42">
        <f t="shared" si="1"/>
        <v>44070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22</v>
      </c>
      <c r="C6" s="40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9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29</v>
      </c>
      <c r="C6" s="33" t="s">
        <v>30</v>
      </c>
      <c r="D6" s="32" t="s">
        <v>31</v>
      </c>
      <c r="E6" s="33" t="s">
        <v>32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1000.0</v>
      </c>
      <c r="C6" s="33" t="s">
        <v>34</v>
      </c>
      <c r="D6" s="32" t="s">
        <v>35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37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/>
      <c r="C6" s="43" t="s">
        <v>17</v>
      </c>
      <c r="D6" s="44" t="s">
        <v>22</v>
      </c>
      <c r="E6" s="43"/>
      <c r="F6" s="43"/>
      <c r="G6" s="33"/>
      <c r="H6" s="33">
        <v>10.0</v>
      </c>
      <c r="I6" s="33"/>
      <c r="J6" s="33"/>
      <c r="K6" s="33">
        <v>100.0</v>
      </c>
      <c r="L6" s="33"/>
      <c r="M6" s="33"/>
      <c r="N6" s="33"/>
      <c r="O6" s="33">
        <v>103.0</v>
      </c>
      <c r="P6" s="33"/>
      <c r="Q6" s="33"/>
      <c r="R6" s="33">
        <v>3.0</v>
      </c>
      <c r="S6" s="45">
        <v>30.0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6" t="s">
        <v>19</v>
      </c>
      <c r="D7" s="46" t="s">
        <v>22</v>
      </c>
      <c r="E7" s="46"/>
      <c r="F7" s="46"/>
      <c r="G7" s="34"/>
      <c r="H7" s="34">
        <v>10.0</v>
      </c>
      <c r="I7" s="34"/>
      <c r="J7" s="34"/>
      <c r="K7" s="34">
        <v>100.0</v>
      </c>
      <c r="L7" s="34"/>
      <c r="M7" s="34"/>
      <c r="N7" s="34"/>
      <c r="O7" s="34">
        <v>103.0</v>
      </c>
      <c r="P7" s="34"/>
      <c r="Q7" s="34"/>
      <c r="R7" s="34">
        <v>3.0</v>
      </c>
      <c r="S7" s="47">
        <v>30.0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6" t="s">
        <v>17</v>
      </c>
      <c r="D8" s="46" t="s">
        <v>24</v>
      </c>
      <c r="E8" s="46"/>
      <c r="F8" s="46"/>
      <c r="G8" s="34"/>
      <c r="H8" s="34">
        <v>10.0</v>
      </c>
      <c r="I8" s="34"/>
      <c r="J8" s="34"/>
      <c r="K8" s="34">
        <v>200.0</v>
      </c>
      <c r="L8" s="34"/>
      <c r="M8" s="34"/>
      <c r="N8" s="34"/>
      <c r="O8" s="34">
        <v>207.0</v>
      </c>
      <c r="P8" s="34"/>
      <c r="Q8" s="34"/>
      <c r="R8" s="34">
        <v>7.0</v>
      </c>
      <c r="S8" s="47">
        <v>-70.0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6" t="s">
        <v>17</v>
      </c>
      <c r="D9" s="46" t="s">
        <v>39</v>
      </c>
      <c r="E9" s="46"/>
      <c r="F9" s="46"/>
      <c r="G9" s="34"/>
      <c r="H9" s="34">
        <v>1.0</v>
      </c>
      <c r="I9" s="34"/>
      <c r="J9" s="34"/>
      <c r="K9" s="34">
        <v>11000.0</v>
      </c>
      <c r="L9" s="34"/>
      <c r="M9" s="34"/>
      <c r="N9" s="34"/>
      <c r="O9" s="34">
        <v>11373.0</v>
      </c>
      <c r="P9" s="34"/>
      <c r="Q9" s="34"/>
      <c r="R9" s="34">
        <v>373.0</v>
      </c>
      <c r="S9" s="47">
        <v>373.0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6" t="s">
        <v>19</v>
      </c>
      <c r="D10" s="46" t="s">
        <v>39</v>
      </c>
      <c r="E10" s="46"/>
      <c r="F10" s="46"/>
      <c r="G10" s="34"/>
      <c r="H10" s="34">
        <v>1.0</v>
      </c>
      <c r="I10" s="34"/>
      <c r="J10" s="34"/>
      <c r="K10" s="34">
        <v>19000.0</v>
      </c>
      <c r="L10" s="34"/>
      <c r="M10" s="34"/>
      <c r="N10" s="34"/>
      <c r="O10" s="34">
        <v>19637.0</v>
      </c>
      <c r="P10" s="34"/>
      <c r="Q10" s="34"/>
      <c r="R10" s="34">
        <v>637.0</v>
      </c>
      <c r="S10" s="47">
        <v>637.0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IFERROR(__xludf.DUMMYFUNCTION("""COMPUTED_VALUE"""),"Price")</f>
        <v>Price</v>
      </c>
      <c r="G5" s="27" t="str">
        <f>IFERROR(__xludf.DUMMYFUNCTION("""COMPUTED_VALUE"""),"Buy/Sell Value")</f>
        <v>Buy/Sell Value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17</v>
      </c>
      <c r="C6" s="48" t="s">
        <v>23</v>
      </c>
      <c r="D6" s="48" t="s">
        <v>22</v>
      </c>
      <c r="E6" s="49">
        <v>3.0</v>
      </c>
      <c r="F6" s="49">
        <v>10.0</v>
      </c>
      <c r="G6" s="49">
        <v>30.0</v>
      </c>
      <c r="H6" s="50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19</v>
      </c>
      <c r="C7" s="48" t="s">
        <v>23</v>
      </c>
      <c r="D7" s="48" t="s">
        <v>22</v>
      </c>
      <c r="E7" s="49">
        <v>3.0</v>
      </c>
      <c r="F7" s="49">
        <v>10.0</v>
      </c>
      <c r="G7" s="49">
        <v>30.0</v>
      </c>
      <c r="H7" s="50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17</v>
      </c>
      <c r="C8" s="48" t="s">
        <v>41</v>
      </c>
      <c r="D8" s="48" t="s">
        <v>24</v>
      </c>
      <c r="E8" s="49">
        <v>7.0</v>
      </c>
      <c r="F8" s="49">
        <v>10.0</v>
      </c>
      <c r="G8" s="49">
        <v>-70.0</v>
      </c>
      <c r="H8" s="50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  <c r="AI6" s="52" t="s">
        <v>22</v>
      </c>
      <c r="AJ6" s="52" t="s">
        <v>23</v>
      </c>
      <c r="AK6" s="52" t="s">
        <v>44</v>
      </c>
      <c r="AL6" s="53">
        <v>6.0</v>
      </c>
      <c r="AM6" s="53"/>
      <c r="AP6" s="53">
        <v>6.0</v>
      </c>
      <c r="AV6" s="52"/>
      <c r="AW6" s="52"/>
      <c r="AY6" s="52">
        <v>6.0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54" t="s">
        <v>24</v>
      </c>
      <c r="AJ7" s="54" t="s">
        <v>25</v>
      </c>
      <c r="AK7" s="54" t="s">
        <v>44</v>
      </c>
      <c r="AL7" s="55">
        <v>7.0</v>
      </c>
      <c r="AM7" s="55"/>
      <c r="AP7" s="55">
        <v>7.0</v>
      </c>
      <c r="AV7" s="54"/>
      <c r="AW7" s="54"/>
      <c r="AY7" s="54">
        <v>7.0</v>
      </c>
    </row>
    <row r="8" ht="15.75" customHeight="1">
      <c r="A8" s="8"/>
      <c r="B8" s="8"/>
      <c r="C8" s="8"/>
      <c r="D8" s="11">
        <v>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2" t="s">
        <v>22</v>
      </c>
      <c r="AJ8" s="52" t="s">
        <v>23</v>
      </c>
      <c r="AK8" s="52" t="s">
        <v>45</v>
      </c>
      <c r="AL8" s="53">
        <v>100.0</v>
      </c>
      <c r="AM8" s="53">
        <v>100.0</v>
      </c>
      <c r="AP8" s="56"/>
      <c r="AV8" s="52">
        <v>1000.0</v>
      </c>
      <c r="AW8" s="52">
        <v>1000.0</v>
      </c>
      <c r="AY8" s="52">
        <v>100.0</v>
      </c>
    </row>
    <row r="9" ht="15.75" customHeight="1">
      <c r="A9" s="8"/>
      <c r="B9" s="8"/>
      <c r="C9" s="8"/>
      <c r="D9" s="11">
        <v>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7" t="s">
        <v>22</v>
      </c>
      <c r="AJ9" s="57" t="s">
        <v>23</v>
      </c>
      <c r="AK9" s="57" t="s">
        <v>45</v>
      </c>
      <c r="AL9" s="58">
        <v>100.0</v>
      </c>
      <c r="AM9" s="58">
        <v>100.0</v>
      </c>
      <c r="AP9" s="59"/>
      <c r="AV9" s="57">
        <v>1000.0</v>
      </c>
      <c r="AW9" s="57">
        <v>1000.0</v>
      </c>
      <c r="AY9" s="57">
        <v>100.0</v>
      </c>
    </row>
    <row r="10" ht="15.75" customHeight="1">
      <c r="A10" s="8"/>
      <c r="B10" s="8"/>
      <c r="C10" s="8"/>
      <c r="D10" s="11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2" t="s">
        <v>22</v>
      </c>
      <c r="AJ10" s="52" t="s">
        <v>23</v>
      </c>
      <c r="AK10" s="52" t="s">
        <v>45</v>
      </c>
      <c r="AL10" s="53">
        <v>100.0</v>
      </c>
      <c r="AM10" s="53">
        <v>100.0</v>
      </c>
      <c r="AP10" s="56"/>
      <c r="AV10" s="52">
        <v>1000.0</v>
      </c>
      <c r="AW10" s="52">
        <v>1000.0</v>
      </c>
      <c r="AY10" s="52">
        <v>100.0</v>
      </c>
    </row>
    <row r="11" ht="15.75" customHeight="1">
      <c r="A11" s="8"/>
      <c r="B11" s="8"/>
      <c r="C11" s="8"/>
      <c r="D11" s="11">
        <v>10.0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54" t="s">
        <v>24</v>
      </c>
      <c r="AJ11" s="54" t="s">
        <v>25</v>
      </c>
      <c r="AK11" s="54" t="s">
        <v>45</v>
      </c>
      <c r="AL11" s="55">
        <v>200.0</v>
      </c>
      <c r="AM11" s="55">
        <v>200.0</v>
      </c>
      <c r="AP11" s="59"/>
      <c r="AV11" s="54">
        <v>-2000.0</v>
      </c>
      <c r="AW11" s="54">
        <v>-2000.0</v>
      </c>
      <c r="AY11" s="54">
        <v>200.0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P12" s="5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50"/>
      <c r="AJ13" s="50"/>
      <c r="AK13" s="50"/>
      <c r="AL13" s="50"/>
      <c r="AM13" s="50"/>
      <c r="AN13" s="50"/>
      <c r="AP13" s="59"/>
      <c r="AV13" s="50"/>
      <c r="AW13" s="50"/>
      <c r="AY13" s="50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P14" s="6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51"/>
      <c r="F6" s="8"/>
      <c r="G6" s="8"/>
      <c r="H6" s="8"/>
      <c r="I6" s="8"/>
      <c r="J6" s="8"/>
      <c r="K6" s="8"/>
      <c r="L6" s="8"/>
      <c r="M6" s="8"/>
      <c r="N6" s="8"/>
      <c r="O6" s="8"/>
      <c r="AI6" s="52" t="s">
        <v>22</v>
      </c>
      <c r="AJ6" s="52" t="s">
        <v>23</v>
      </c>
      <c r="AK6" s="52" t="s">
        <v>44</v>
      </c>
      <c r="AL6" s="53">
        <v>6.0</v>
      </c>
      <c r="AM6" s="53"/>
      <c r="AP6" s="53">
        <v>6.0</v>
      </c>
      <c r="AV6" s="52"/>
      <c r="AW6" s="52"/>
      <c r="AY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6.0</v>
      </c>
      <c r="E6" s="11">
        <v>6.0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8"/>
      <c r="D6" s="11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17</v>
      </c>
      <c r="C6" s="48"/>
      <c r="D6" s="49"/>
      <c r="E6" s="49">
        <v>100.0</v>
      </c>
      <c r="F6" s="48"/>
      <c r="G6" s="48" t="s">
        <v>52</v>
      </c>
      <c r="H6" s="49"/>
      <c r="I6" s="49"/>
      <c r="J6" s="49"/>
      <c r="K6" s="49">
        <v>10.0</v>
      </c>
      <c r="L6" s="49">
        <v>10.0</v>
      </c>
      <c r="M6" s="48"/>
      <c r="N6" s="48"/>
      <c r="O6" s="48" t="s">
        <v>53</v>
      </c>
      <c r="P6" s="50"/>
      <c r="Q6" s="49"/>
      <c r="R6" s="49"/>
      <c r="S6" s="48" t="s">
        <v>54</v>
      </c>
      <c r="T6" s="49"/>
      <c r="U6" s="49"/>
      <c r="V6" s="48"/>
      <c r="W6" s="49"/>
      <c r="X6" s="49"/>
      <c r="Y6" s="48"/>
      <c r="Z6" s="48"/>
      <c r="AA6" s="48"/>
      <c r="AB6" s="48"/>
      <c r="AC6" s="49"/>
      <c r="AD6" s="48" t="s">
        <v>55</v>
      </c>
      <c r="AE6" s="49">
        <v>100.0</v>
      </c>
      <c r="AG6" s="61"/>
      <c r="AH6" s="48" t="s">
        <v>56</v>
      </c>
      <c r="AJ6" s="49"/>
      <c r="AK6" s="48"/>
      <c r="AL6" s="50"/>
      <c r="AM6" s="50"/>
      <c r="AN6" s="48"/>
      <c r="AO6" s="48"/>
      <c r="AP6" s="48"/>
      <c r="AQ6" s="50"/>
      <c r="AR6" s="48"/>
      <c r="AS6" s="49"/>
      <c r="AT6" s="62">
        <v>1014.0006</v>
      </c>
      <c r="AU6" s="62">
        <v>1014.0006</v>
      </c>
      <c r="AV6" s="63"/>
      <c r="AW6" s="49"/>
      <c r="AX6" s="49"/>
      <c r="AY6" s="48" t="s">
        <v>57</v>
      </c>
      <c r="AZ6" s="49"/>
      <c r="BA6" s="63"/>
      <c r="BB6" s="50"/>
      <c r="BC6" s="49"/>
      <c r="BD6" s="48"/>
      <c r="BE6" s="62">
        <v>1000.0</v>
      </c>
      <c r="BF6" s="62">
        <v>1000.0</v>
      </c>
      <c r="BG6" s="63"/>
      <c r="BH6" s="50"/>
      <c r="BI6" s="50"/>
      <c r="BJ6" s="49">
        <v>100.0</v>
      </c>
      <c r="BK6" s="49"/>
      <c r="BL6" s="48"/>
      <c r="BM6" s="48" t="s">
        <v>18</v>
      </c>
      <c r="BN6" s="63"/>
      <c r="BO6" s="48" t="s">
        <v>23</v>
      </c>
      <c r="BP6" s="49"/>
      <c r="BQ6" s="49"/>
      <c r="BR6" s="49"/>
      <c r="BS6" s="48"/>
      <c r="BT6" s="48" t="s">
        <v>22</v>
      </c>
      <c r="BU6" s="49"/>
      <c r="BV6" s="49"/>
      <c r="BW6" s="49"/>
      <c r="BX6" s="49"/>
      <c r="BY6" s="50"/>
      <c r="BZ6" s="50"/>
      <c r="CA6" s="50"/>
      <c r="CB6" s="50"/>
      <c r="CC6" s="50"/>
      <c r="CD6" s="50"/>
      <c r="CE6" s="63"/>
      <c r="CF6" s="48"/>
      <c r="CG6" s="49"/>
      <c r="CH6" s="48" t="s">
        <v>20</v>
      </c>
      <c r="CI6" s="48" t="s">
        <v>23</v>
      </c>
      <c r="CJ6" s="49">
        <v>0.0</v>
      </c>
      <c r="CK6" s="48" t="s">
        <v>58</v>
      </c>
      <c r="CL6" s="49"/>
      <c r="CM6" s="48" t="s">
        <v>22</v>
      </c>
    </row>
    <row r="7" ht="15.75" customHeight="1">
      <c r="A7" s="8"/>
      <c r="B7" s="48" t="s">
        <v>19</v>
      </c>
      <c r="C7" s="48"/>
      <c r="D7" s="49"/>
      <c r="E7" s="49">
        <v>100.0</v>
      </c>
      <c r="F7" s="48"/>
      <c r="G7" s="48" t="s">
        <v>52</v>
      </c>
      <c r="H7" s="49"/>
      <c r="I7" s="49"/>
      <c r="J7" s="49"/>
      <c r="K7" s="49">
        <v>10.0</v>
      </c>
      <c r="L7" s="49">
        <v>10.0</v>
      </c>
      <c r="M7" s="48"/>
      <c r="N7" s="48"/>
      <c r="O7" s="48" t="s">
        <v>53</v>
      </c>
      <c r="P7" s="50"/>
      <c r="Q7" s="49"/>
      <c r="R7" s="49"/>
      <c r="S7" s="48" t="s">
        <v>54</v>
      </c>
      <c r="T7" s="49"/>
      <c r="U7" s="49"/>
      <c r="V7" s="48"/>
      <c r="W7" s="49"/>
      <c r="X7" s="49"/>
      <c r="Y7" s="48"/>
      <c r="Z7" s="48"/>
      <c r="AA7" s="48"/>
      <c r="AB7" s="48"/>
      <c r="AC7" s="49"/>
      <c r="AD7" s="48" t="s">
        <v>55</v>
      </c>
      <c r="AE7" s="49">
        <v>100.0</v>
      </c>
      <c r="AG7" s="61"/>
      <c r="AH7" s="48" t="s">
        <v>56</v>
      </c>
      <c r="AJ7" s="49"/>
      <c r="AK7" s="48"/>
      <c r="AL7" s="50"/>
      <c r="AM7" s="50"/>
      <c r="AN7" s="48"/>
      <c r="AO7" s="48"/>
      <c r="AP7" s="48"/>
      <c r="AQ7" s="50"/>
      <c r="AR7" s="48"/>
      <c r="AS7" s="49"/>
      <c r="AT7" s="62">
        <v>1014.0006</v>
      </c>
      <c r="AU7" s="62">
        <v>1014.0006</v>
      </c>
      <c r="AV7" s="63"/>
      <c r="AW7" s="49"/>
      <c r="AX7" s="49"/>
      <c r="AY7" s="48" t="s">
        <v>57</v>
      </c>
      <c r="AZ7" s="49"/>
      <c r="BA7" s="63"/>
      <c r="BB7" s="50"/>
      <c r="BC7" s="49"/>
      <c r="BD7" s="48"/>
      <c r="BE7" s="62">
        <v>1000.0</v>
      </c>
      <c r="BF7" s="62">
        <v>1000.0</v>
      </c>
      <c r="BG7" s="63"/>
      <c r="BH7" s="50"/>
      <c r="BI7" s="50"/>
      <c r="BJ7" s="49">
        <v>100.0</v>
      </c>
      <c r="BK7" s="49"/>
      <c r="BL7" s="48"/>
      <c r="BM7" s="48" t="s">
        <v>18</v>
      </c>
      <c r="BN7" s="63"/>
      <c r="BO7" s="48" t="s">
        <v>23</v>
      </c>
      <c r="BP7" s="49"/>
      <c r="BQ7" s="49"/>
      <c r="BR7" s="49"/>
      <c r="BS7" s="48"/>
      <c r="BT7" s="48" t="s">
        <v>22</v>
      </c>
      <c r="BU7" s="49"/>
      <c r="BV7" s="49"/>
      <c r="BW7" s="49"/>
      <c r="BX7" s="49"/>
      <c r="BY7" s="50"/>
      <c r="BZ7" s="50"/>
      <c r="CA7" s="50"/>
      <c r="CB7" s="50"/>
      <c r="CC7" s="50"/>
      <c r="CD7" s="50"/>
      <c r="CE7" s="63"/>
      <c r="CF7" s="48"/>
      <c r="CG7" s="49"/>
      <c r="CH7" s="48" t="s">
        <v>20</v>
      </c>
      <c r="CI7" s="48" t="s">
        <v>23</v>
      </c>
      <c r="CJ7" s="49">
        <v>0.0</v>
      </c>
      <c r="CK7" s="48" t="s">
        <v>58</v>
      </c>
      <c r="CL7" s="49"/>
      <c r="CM7" s="48" t="s">
        <v>22</v>
      </c>
    </row>
    <row r="8" ht="15.75" customHeight="1">
      <c r="A8" s="8"/>
      <c r="B8" s="48" t="s">
        <v>17</v>
      </c>
      <c r="C8" s="48"/>
      <c r="D8" s="49"/>
      <c r="E8" s="49">
        <v>200.0</v>
      </c>
      <c r="F8" s="48"/>
      <c r="G8" s="48" t="s">
        <v>52</v>
      </c>
      <c r="H8" s="49"/>
      <c r="I8" s="49"/>
      <c r="J8" s="49"/>
      <c r="K8" s="49">
        <v>10.0</v>
      </c>
      <c r="L8" s="49">
        <v>10.0</v>
      </c>
      <c r="M8" s="48"/>
      <c r="N8" s="48"/>
      <c r="O8" s="48" t="s">
        <v>53</v>
      </c>
      <c r="P8" s="50"/>
      <c r="Q8" s="49"/>
      <c r="R8" s="49"/>
      <c r="S8" s="48" t="s">
        <v>54</v>
      </c>
      <c r="T8" s="49"/>
      <c r="U8" s="49"/>
      <c r="V8" s="48"/>
      <c r="W8" s="49"/>
      <c r="X8" s="49"/>
      <c r="Y8" s="48"/>
      <c r="Z8" s="48"/>
      <c r="AA8" s="48"/>
      <c r="AB8" s="48"/>
      <c r="AC8" s="49"/>
      <c r="AD8" s="48" t="s">
        <v>55</v>
      </c>
      <c r="AE8" s="49">
        <v>200.0</v>
      </c>
      <c r="AG8" s="61"/>
      <c r="AH8" s="48" t="s">
        <v>56</v>
      </c>
      <c r="AJ8" s="49"/>
      <c r="AK8" s="48"/>
      <c r="AL8" s="50"/>
      <c r="AM8" s="50"/>
      <c r="AN8" s="48"/>
      <c r="AO8" s="48"/>
      <c r="AP8" s="48"/>
      <c r="AQ8" s="48"/>
      <c r="AR8" s="48"/>
      <c r="AS8" s="49"/>
      <c r="AT8" s="62">
        <v>1985.9989</v>
      </c>
      <c r="AU8" s="62">
        <v>1985.9989</v>
      </c>
      <c r="AV8" s="63"/>
      <c r="AW8" s="49"/>
      <c r="AX8" s="49"/>
      <c r="AY8" s="48" t="s">
        <v>57</v>
      </c>
      <c r="AZ8" s="49"/>
      <c r="BA8" s="63"/>
      <c r="BB8" s="50"/>
      <c r="BC8" s="49"/>
      <c r="BD8" s="48"/>
      <c r="BE8" s="62">
        <v>2000.0</v>
      </c>
      <c r="BF8" s="62">
        <v>2000.0</v>
      </c>
      <c r="BG8" s="63"/>
      <c r="BH8" s="50"/>
      <c r="BI8" s="50"/>
      <c r="BJ8" s="49">
        <v>200.0</v>
      </c>
      <c r="BK8" s="49"/>
      <c r="BL8" s="48"/>
      <c r="BM8" s="48" t="s">
        <v>18</v>
      </c>
      <c r="BN8" s="63"/>
      <c r="BO8" s="48" t="s">
        <v>25</v>
      </c>
      <c r="BP8" s="49"/>
      <c r="BQ8" s="49"/>
      <c r="BR8" s="49"/>
      <c r="BS8" s="48"/>
      <c r="BT8" s="48" t="s">
        <v>24</v>
      </c>
      <c r="BU8" s="49"/>
      <c r="BV8" s="49"/>
      <c r="BW8" s="49"/>
      <c r="BX8" s="49"/>
      <c r="BY8" s="50"/>
      <c r="BZ8" s="50"/>
      <c r="CA8" s="50"/>
      <c r="CB8" s="50"/>
      <c r="CC8" s="50"/>
      <c r="CD8" s="50"/>
      <c r="CE8" s="63"/>
      <c r="CF8" s="48"/>
      <c r="CG8" s="49"/>
      <c r="CH8" s="48" t="s">
        <v>20</v>
      </c>
      <c r="CI8" s="48" t="s">
        <v>41</v>
      </c>
      <c r="CJ8" s="49">
        <v>0.0</v>
      </c>
      <c r="CK8" s="48" t="s">
        <v>58</v>
      </c>
      <c r="CL8" s="49"/>
      <c r="CM8" s="48" t="s">
        <v>24</v>
      </c>
    </row>
    <row r="9" ht="15.75" customHeight="1">
      <c r="A9" s="8"/>
      <c r="B9" s="48" t="s">
        <v>59</v>
      </c>
      <c r="C9" s="48"/>
      <c r="D9" s="49"/>
      <c r="E9" s="49">
        <v>6.0</v>
      </c>
      <c r="F9" s="48"/>
      <c r="G9" s="48" t="s">
        <v>52</v>
      </c>
      <c r="H9" s="49"/>
      <c r="I9" s="49"/>
      <c r="J9" s="49"/>
      <c r="K9" s="49">
        <v>10.0</v>
      </c>
      <c r="L9" s="49">
        <v>10.0</v>
      </c>
      <c r="M9" s="48"/>
      <c r="N9" s="48"/>
      <c r="O9" s="48" t="s">
        <v>53</v>
      </c>
      <c r="P9" s="50"/>
      <c r="Q9" s="49"/>
      <c r="R9" s="49"/>
      <c r="S9" s="48" t="s">
        <v>54</v>
      </c>
      <c r="T9" s="49"/>
      <c r="U9" s="49"/>
      <c r="V9" s="48"/>
      <c r="W9" s="49"/>
      <c r="X9" s="49"/>
      <c r="Y9" s="48"/>
      <c r="Z9" s="48"/>
      <c r="AA9" s="48"/>
      <c r="AB9" s="48"/>
      <c r="AC9" s="49"/>
      <c r="AD9" s="48" t="s">
        <v>55</v>
      </c>
      <c r="AE9" s="49">
        <v>6.0</v>
      </c>
      <c r="AG9" s="61"/>
      <c r="AH9" s="48" t="s">
        <v>56</v>
      </c>
      <c r="AJ9" s="49"/>
      <c r="AK9" s="48"/>
      <c r="AL9" s="50"/>
      <c r="AM9" s="50"/>
      <c r="AN9" s="50"/>
      <c r="AO9" s="48"/>
      <c r="AP9" s="48"/>
      <c r="AQ9" s="50"/>
      <c r="AR9" s="48"/>
      <c r="AS9" s="49"/>
      <c r="AT9" s="49">
        <v>74.0</v>
      </c>
      <c r="AU9" s="49">
        <v>74.0</v>
      </c>
      <c r="AV9" s="63"/>
      <c r="AW9" s="49"/>
      <c r="AX9" s="49"/>
      <c r="AY9" s="48" t="s">
        <v>57</v>
      </c>
      <c r="AZ9" s="49"/>
      <c r="BA9" s="63"/>
      <c r="BB9" s="50"/>
      <c r="BC9" s="49"/>
      <c r="BD9" s="48"/>
      <c r="BE9" s="49">
        <v>60.0</v>
      </c>
      <c r="BF9" s="49">
        <v>60.0</v>
      </c>
      <c r="BG9" s="63"/>
      <c r="BH9" s="50"/>
      <c r="BI9" s="50"/>
      <c r="BJ9" s="49">
        <v>6.0</v>
      </c>
      <c r="BK9" s="49"/>
      <c r="BL9" s="48"/>
      <c r="BM9" s="48" t="s">
        <v>18</v>
      </c>
      <c r="BN9" s="63"/>
      <c r="BO9" s="48" t="s">
        <v>23</v>
      </c>
      <c r="BP9" s="49"/>
      <c r="BQ9" s="49"/>
      <c r="BR9" s="49"/>
      <c r="BS9" s="48"/>
      <c r="BT9" s="48" t="s">
        <v>22</v>
      </c>
      <c r="BU9" s="49"/>
      <c r="BV9" s="49"/>
      <c r="BW9" s="49"/>
      <c r="BX9" s="49"/>
      <c r="BY9" s="50"/>
      <c r="BZ9" s="50"/>
      <c r="CA9" s="50"/>
      <c r="CB9" s="50"/>
      <c r="CC9" s="50"/>
      <c r="CD9" s="50"/>
      <c r="CE9" s="63"/>
      <c r="CF9" s="48"/>
      <c r="CG9" s="49"/>
      <c r="CH9" s="48" t="s">
        <v>27</v>
      </c>
      <c r="CI9" s="48" t="s">
        <v>23</v>
      </c>
      <c r="CJ9" s="49">
        <v>0.0</v>
      </c>
      <c r="CK9" s="48" t="s">
        <v>58</v>
      </c>
      <c r="CL9" s="49"/>
      <c r="CM9" s="48" t="s">
        <v>22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