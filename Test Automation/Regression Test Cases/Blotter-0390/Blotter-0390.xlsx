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CreateStageOrder1" sheetId="6" r:id="rId8"/>
    <sheet state="visible" name="MergeOrder1" sheetId="7" r:id="rId9"/>
    <sheet state="visible" name="CreateStageOrder2" sheetId="8" r:id="rId10"/>
    <sheet state="visible" name="MergeOrder2" sheetId="9" r:id="rId11"/>
    <sheet state="visible" name="CreateStageOrder3" sheetId="10" r:id="rId12"/>
    <sheet state="visible" name="MergeOrder3" sheetId="11" r:id="rId13"/>
    <sheet state="visible" name="VerifyMergeOrder" sheetId="12" r:id="rId14"/>
    <sheet state="visible" name="LoginClient" sheetId="13" r:id="rId15"/>
    <sheet state="visible" name="VerifyMergeOrder1" sheetId="14" r:id="rId16"/>
  </sheets>
  <definedNames/>
  <calcPr/>
</workbook>
</file>

<file path=xl/sharedStrings.xml><?xml version="1.0" encoding="utf-8"?>
<sst xmlns="http://schemas.openxmlformats.org/spreadsheetml/2006/main" count="190" uniqueCount="31">
  <si>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</si>
  <si>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</si>
  <si>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</si>
  <si>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</si>
  <si>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</si>
  <si>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</si>
  <si>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</si>
  <si>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</si>
  <si>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</si>
  <si>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</si>
  <si>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</si>
  <si>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</si>
  <si>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</si>
  <si>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</si>
  <si>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</si>
  <si>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</si>
  <si>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FRU-TC</t>
  </si>
  <si>
    <t>Buy</t>
  </si>
  <si>
    <t>Allocation1</t>
  </si>
  <si>
    <t>Allocation2</t>
  </si>
  <si>
    <t>Blotter</t>
  </si>
  <si>
    <t>MergeOrder</t>
  </si>
  <si>
    <t>New</t>
  </si>
  <si>
    <t>Yes</t>
  </si>
  <si>
    <t>VerifyMergeOrder</t>
  </si>
  <si>
    <t>MS</t>
  </si>
  <si>
    <t>Multiple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</si>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</sst>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50.0</v>
      </c>
      <c r="E6" s="30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12">
        <v>1.5</v>
      </c>
    </row>
    <row r="7" ht="15.75" customHeight="1">
      <c r="A7" s="8"/>
      <c r="B7" s="12" t="s">
        <v>16</v>
      </c>
      <c r="C7" s="12" t="s">
        <v>17</v>
      </c>
      <c r="D7" s="12">
        <v>100.0</v>
      </c>
      <c r="E7" s="8"/>
      <c r="F7" s="12" t="s">
        <v>19</v>
      </c>
      <c r="G7" s="8"/>
      <c r="H7" s="8"/>
      <c r="I7" s="8"/>
      <c r="J7" s="12">
        <v>1.0</v>
      </c>
      <c r="K7" s="8"/>
      <c r="L7" s="8"/>
      <c r="M7" s="8"/>
      <c r="N7" s="8"/>
      <c r="O7" s="12">
        <v>1.5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22</v>
      </c>
      <c r="H6" s="12">
        <v>50.0</v>
      </c>
      <c r="I6" s="8"/>
      <c r="J6" s="8"/>
      <c r="K6" s="8"/>
      <c r="L6" s="8"/>
      <c r="M6" s="8"/>
      <c r="N6" s="8"/>
      <c r="O6" s="8"/>
      <c r="R6" s="9" t="s">
        <v>18</v>
      </c>
      <c r="AP6" s="9">
        <v>1.5</v>
      </c>
      <c r="BA6" s="9" t="s">
        <v>23</v>
      </c>
    </row>
    <row r="7" ht="15.75" customHeight="1">
      <c r="A7" s="8"/>
      <c r="B7" s="8"/>
      <c r="C7" s="8"/>
      <c r="D7" s="12" t="s">
        <v>16</v>
      </c>
      <c r="E7" s="8"/>
      <c r="F7" s="12" t="s">
        <v>17</v>
      </c>
      <c r="G7" s="12" t="s">
        <v>22</v>
      </c>
      <c r="H7" s="12">
        <v>100.0</v>
      </c>
      <c r="I7" s="8"/>
      <c r="J7" s="8"/>
      <c r="K7" s="8"/>
      <c r="L7" s="8"/>
      <c r="M7" s="8"/>
      <c r="N7" s="8"/>
      <c r="O7" s="8"/>
      <c r="R7" s="9" t="s">
        <v>19</v>
      </c>
      <c r="AP7" s="9">
        <v>1.5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 t="s">
        <v>17</v>
      </c>
      <c r="D6" s="33">
        <v>50.0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4">
        <v>1.5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2" t="s">
        <v>19</v>
      </c>
      <c r="G7" s="32"/>
      <c r="H7" s="32"/>
      <c r="I7" s="32"/>
      <c r="J7" s="34">
        <v>1.0</v>
      </c>
      <c r="K7" s="32"/>
      <c r="L7" s="32"/>
      <c r="M7" s="32"/>
      <c r="N7" s="32"/>
      <c r="O7" s="34">
        <v>2.5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22</v>
      </c>
      <c r="H6" s="34">
        <v>50.0</v>
      </c>
      <c r="I6" s="32"/>
      <c r="J6" s="32"/>
      <c r="K6" s="32"/>
      <c r="L6" s="32"/>
      <c r="M6" s="32"/>
      <c r="N6" s="32"/>
      <c r="O6" s="32"/>
      <c r="P6" s="32"/>
      <c r="Q6" s="32"/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5">
        <v>1.5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23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22</v>
      </c>
      <c r="H7" s="34">
        <v>100.0</v>
      </c>
      <c r="I7" s="32"/>
      <c r="J7" s="32"/>
      <c r="K7" s="32"/>
      <c r="L7" s="32"/>
      <c r="M7" s="32"/>
      <c r="N7" s="32"/>
      <c r="O7" s="32"/>
      <c r="P7" s="32"/>
      <c r="Q7" s="32"/>
      <c r="R7" s="32" t="s">
        <v>19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5">
        <v>2.5</v>
      </c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16</v>
      </c>
      <c r="C6" s="37" t="s">
        <v>17</v>
      </c>
      <c r="D6" s="33">
        <v>50.0</v>
      </c>
      <c r="E6" s="32"/>
      <c r="F6" s="37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4">
        <v>1.5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16</v>
      </c>
      <c r="C7" s="37" t="s">
        <v>17</v>
      </c>
      <c r="D7" s="34">
        <v>100.0</v>
      </c>
      <c r="E7" s="32"/>
      <c r="F7" s="37" t="s">
        <v>19</v>
      </c>
      <c r="G7" s="32"/>
      <c r="H7" s="32"/>
      <c r="I7" s="32"/>
      <c r="J7" s="34">
        <v>1.0</v>
      </c>
      <c r="K7" s="32"/>
      <c r="L7" s="32"/>
      <c r="M7" s="32"/>
      <c r="N7" s="32"/>
      <c r="O7" s="34">
        <v>2.5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6" t="s">
        <v>16</v>
      </c>
      <c r="E6" s="32"/>
      <c r="F6" s="37" t="s">
        <v>17</v>
      </c>
      <c r="G6" s="37" t="s">
        <v>22</v>
      </c>
      <c r="H6" s="34">
        <v>50.0</v>
      </c>
      <c r="I6" s="32"/>
      <c r="J6" s="32"/>
      <c r="K6" s="32"/>
      <c r="L6" s="32"/>
      <c r="M6" s="32"/>
      <c r="N6" s="32"/>
      <c r="O6" s="32"/>
      <c r="P6" s="32"/>
      <c r="Q6" s="32"/>
      <c r="R6" s="37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>
        <v>1.5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7" t="s">
        <v>23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7" t="s">
        <v>16</v>
      </c>
      <c r="E7" s="32"/>
      <c r="F7" s="37" t="s">
        <v>17</v>
      </c>
      <c r="G7" s="37" t="s">
        <v>22</v>
      </c>
      <c r="H7" s="34">
        <v>100.0</v>
      </c>
      <c r="I7" s="32"/>
      <c r="J7" s="32"/>
      <c r="K7" s="32"/>
      <c r="L7" s="32"/>
      <c r="M7" s="32"/>
      <c r="N7" s="32"/>
      <c r="O7" s="32"/>
      <c r="P7" s="32"/>
      <c r="Q7" s="32"/>
      <c r="R7" s="37" t="s">
        <v>19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4">
        <v>2.5</v>
      </c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16</v>
      </c>
      <c r="C6" s="37" t="s">
        <v>17</v>
      </c>
      <c r="D6" s="33">
        <v>50.0</v>
      </c>
      <c r="E6" s="32"/>
      <c r="F6" s="37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4">
        <v>1.5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16</v>
      </c>
      <c r="C7" s="37" t="s">
        <v>17</v>
      </c>
      <c r="D7" s="34">
        <v>100.0</v>
      </c>
      <c r="E7" s="32"/>
      <c r="F7" s="37" t="s">
        <v>19</v>
      </c>
      <c r="G7" s="32"/>
      <c r="H7" s="32"/>
      <c r="I7" s="32"/>
      <c r="J7" s="34">
        <v>1.0</v>
      </c>
      <c r="K7" s="32"/>
      <c r="L7" s="32"/>
      <c r="M7" s="32"/>
      <c r="N7" s="32"/>
      <c r="O7" s="34">
        <v>2.5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6" t="s">
        <v>16</v>
      </c>
      <c r="E6" s="32"/>
      <c r="F6" s="37" t="s">
        <v>17</v>
      </c>
      <c r="G6" s="37" t="s">
        <v>22</v>
      </c>
      <c r="H6" s="34">
        <v>50.0</v>
      </c>
      <c r="I6" s="32"/>
      <c r="J6" s="32"/>
      <c r="K6" s="32"/>
      <c r="L6" s="32"/>
      <c r="M6" s="32"/>
      <c r="N6" s="32"/>
      <c r="O6" s="32"/>
      <c r="P6" s="32"/>
      <c r="Q6" s="32"/>
      <c r="R6" s="37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>
        <v>1.5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7" t="s">
        <v>23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7" t="s">
        <v>16</v>
      </c>
      <c r="E7" s="32"/>
      <c r="F7" s="37" t="s">
        <v>17</v>
      </c>
      <c r="G7" s="37" t="s">
        <v>22</v>
      </c>
      <c r="H7" s="34">
        <v>100.0</v>
      </c>
      <c r="I7" s="32"/>
      <c r="J7" s="32"/>
      <c r="K7" s="32"/>
      <c r="L7" s="32"/>
      <c r="M7" s="32"/>
      <c r="N7" s="32"/>
      <c r="O7" s="32"/>
      <c r="P7" s="32"/>
      <c r="Q7" s="32"/>
      <c r="R7" s="37" t="s">
        <v>19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4">
        <v>2.5</v>
      </c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IFERROR(__xludf.DUMMYFUNCTION("""COMPUTED_VALUE"""),"Transaction Source")</f>
        <v>Transaction Source</v>
      </c>
      <c r="BC5" s="29" t="str">
        <f>IFERROR(__xludf.DUMMYFUNCTION("""COMPUTED_VALUE"""),"MandatoryColumn")</f>
        <v>MandatoryColumn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8">
        <v>1.5</v>
      </c>
      <c r="AE6" s="32"/>
      <c r="AF6" s="32"/>
      <c r="AG6" s="32"/>
      <c r="AH6" s="32"/>
      <c r="AI6" s="36" t="s">
        <v>16</v>
      </c>
      <c r="AJ6" s="31" t="s">
        <v>17</v>
      </c>
      <c r="AK6" s="31" t="s">
        <v>22</v>
      </c>
      <c r="AL6" s="38">
        <v>150.0</v>
      </c>
      <c r="AM6" s="32"/>
      <c r="AN6" s="32"/>
      <c r="AO6" s="32"/>
      <c r="AP6" s="32"/>
      <c r="AQ6" s="32"/>
      <c r="AR6" s="32"/>
      <c r="AS6" s="31" t="s">
        <v>25</v>
      </c>
      <c r="AT6" s="32" t="s">
        <v>26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9">
        <v>2.5</v>
      </c>
      <c r="AE7" s="32"/>
      <c r="AF7" s="32"/>
      <c r="AG7" s="32"/>
      <c r="AH7" s="32"/>
      <c r="AI7" s="32" t="s">
        <v>16</v>
      </c>
      <c r="AJ7" s="32" t="s">
        <v>17</v>
      </c>
      <c r="AK7" s="32" t="s">
        <v>22</v>
      </c>
      <c r="AL7" s="35">
        <v>150.0</v>
      </c>
      <c r="AM7" s="32"/>
      <c r="AN7" s="32"/>
      <c r="AO7" s="32"/>
      <c r="AP7" s="32"/>
      <c r="AQ7" s="32"/>
      <c r="AR7" s="32"/>
      <c r="AS7" s="32" t="s">
        <v>25</v>
      </c>
      <c r="AT7" s="32" t="s">
        <v>26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9">
        <v>2.5</v>
      </c>
      <c r="AE8" s="32"/>
      <c r="AF8" s="32"/>
      <c r="AG8" s="32"/>
      <c r="AH8" s="32"/>
      <c r="AI8" s="37" t="s">
        <v>16</v>
      </c>
      <c r="AJ8" s="37" t="s">
        <v>17</v>
      </c>
      <c r="AK8" s="37" t="s">
        <v>22</v>
      </c>
      <c r="AL8" s="34">
        <v>150.0</v>
      </c>
      <c r="AM8" s="32"/>
      <c r="AN8" s="32"/>
      <c r="AO8" s="32"/>
      <c r="AP8" s="32"/>
      <c r="AQ8" s="32"/>
      <c r="AR8" s="32"/>
      <c r="AS8" s="37" t="s">
        <v>25</v>
      </c>
      <c r="AT8" s="37" t="s">
        <v>26</v>
      </c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9">
        <v>2.5</v>
      </c>
      <c r="AE9" s="32"/>
      <c r="AF9" s="32"/>
      <c r="AG9" s="32"/>
      <c r="AH9" s="32"/>
      <c r="AI9" s="37" t="s">
        <v>16</v>
      </c>
      <c r="AJ9" s="37" t="s">
        <v>17</v>
      </c>
      <c r="AK9" s="37" t="s">
        <v>22</v>
      </c>
      <c r="AL9" s="34">
        <v>150.0</v>
      </c>
      <c r="AM9" s="32"/>
      <c r="AN9" s="32"/>
      <c r="AO9" s="32"/>
      <c r="AP9" s="32"/>
      <c r="AQ9" s="32"/>
      <c r="AR9" s="32"/>
      <c r="AS9" s="37" t="s">
        <v>25</v>
      </c>
      <c r="AT9" s="37" t="s">
        <v>26</v>
      </c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IFERROR(__xludf.DUMMYFUNCTION("""COMPUTED_VALUE"""),"Transaction Source")</f>
        <v>Transaction Source</v>
      </c>
      <c r="BC5" s="29" t="str">
        <f>IFERROR(__xludf.DUMMYFUNCTION("""COMPUTED_VALUE"""),"MandatoryColumn")</f>
        <v>MandatoryColumn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8">
        <v>1.5</v>
      </c>
      <c r="AE6" s="32"/>
      <c r="AF6" s="32"/>
      <c r="AG6" s="32"/>
      <c r="AH6" s="32"/>
      <c r="AI6" s="36" t="s">
        <v>16</v>
      </c>
      <c r="AJ6" s="31" t="s">
        <v>17</v>
      </c>
      <c r="AK6" s="31" t="s">
        <v>22</v>
      </c>
      <c r="AL6" s="38">
        <v>150.0</v>
      </c>
      <c r="AM6" s="32"/>
      <c r="AN6" s="32"/>
      <c r="AO6" s="32"/>
      <c r="AP6" s="32"/>
      <c r="AQ6" s="32"/>
      <c r="AR6" s="32"/>
      <c r="AS6" s="31" t="s">
        <v>25</v>
      </c>
      <c r="AT6" s="32" t="s">
        <v>26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9">
        <v>2.5</v>
      </c>
      <c r="AE7" s="32"/>
      <c r="AF7" s="32"/>
      <c r="AG7" s="32"/>
      <c r="AH7" s="32"/>
      <c r="AI7" s="32" t="s">
        <v>16</v>
      </c>
      <c r="AJ7" s="32" t="s">
        <v>17</v>
      </c>
      <c r="AK7" s="32" t="s">
        <v>22</v>
      </c>
      <c r="AL7" s="35">
        <v>150.0</v>
      </c>
      <c r="AM7" s="32"/>
      <c r="AN7" s="32"/>
      <c r="AO7" s="32"/>
      <c r="AP7" s="32"/>
      <c r="AQ7" s="32"/>
      <c r="AR7" s="32"/>
      <c r="AS7" s="32" t="s">
        <v>25</v>
      </c>
      <c r="AT7" s="32" t="s">
        <v>26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9">
        <v>2.5</v>
      </c>
      <c r="AE8" s="32"/>
      <c r="AF8" s="32"/>
      <c r="AG8" s="32"/>
      <c r="AH8" s="32"/>
      <c r="AI8" s="37" t="s">
        <v>16</v>
      </c>
      <c r="AJ8" s="37" t="s">
        <v>17</v>
      </c>
      <c r="AK8" s="37" t="s">
        <v>22</v>
      </c>
      <c r="AL8" s="34">
        <v>150.0</v>
      </c>
      <c r="AM8" s="32"/>
      <c r="AN8" s="32"/>
      <c r="AO8" s="32"/>
      <c r="AP8" s="32"/>
      <c r="AQ8" s="32"/>
      <c r="AR8" s="32"/>
      <c r="AS8" s="37" t="s">
        <v>25</v>
      </c>
      <c r="AT8" s="37" t="s">
        <v>26</v>
      </c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9">
        <v>2.5</v>
      </c>
      <c r="AE9" s="32"/>
      <c r="AF9" s="32"/>
      <c r="AG9" s="32"/>
      <c r="AH9" s="32"/>
      <c r="AI9" s="37" t="s">
        <v>16</v>
      </c>
      <c r="AJ9" s="37" t="s">
        <v>17</v>
      </c>
      <c r="AK9" s="37" t="s">
        <v>22</v>
      </c>
      <c r="AL9" s="34">
        <v>150.0</v>
      </c>
      <c r="AM9" s="32"/>
      <c r="AN9" s="32"/>
      <c r="AO9" s="32"/>
      <c r="AP9" s="32"/>
      <c r="AQ9" s="32"/>
      <c r="AR9" s="32"/>
      <c r="AS9" s="37" t="s">
        <v>25</v>
      </c>
      <c r="AT9" s="37" t="s">
        <v>26</v>
      </c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