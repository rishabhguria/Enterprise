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UpdateServerConfig" sheetId="4" r:id="rId7"/>
    <sheet state="visible" name="CustomOrderTT" sheetId="5" r:id="rId8"/>
    <sheet state="visible" name="SelectTrade" sheetId="6" r:id="rId9"/>
    <sheet state="visible" name="AcknowledgeTrade" sheetId="7" r:id="rId10"/>
    <sheet state="visible" name="ExecuteTrade" sheetId="8" r:id="rId11"/>
    <sheet state="visible" name="ChangeDate" sheetId="9" r:id="rId12"/>
    <sheet state="visible" name="RestartReleasesAndServices" sheetId="10" r:id="rId13"/>
    <sheet state="visible" name="GetDataAllocation" sheetId="11" r:id="rId14"/>
    <sheet state="visible" name="SelectAllocatedGroup" sheetId="12" r:id="rId15"/>
    <sheet state="visible" name="EnterAccountValuesToAllocate" sheetId="13" r:id="rId16"/>
    <sheet state="visible" name="CheckAllocatedGroups" sheetId="14" r:id="rId17"/>
    <sheet state="visible" name="SelectTradeOnOrderGrid" sheetId="15" r:id="rId18"/>
    <sheet state="visible" name="VerifySubOrder" sheetId="16" r:id="rId19"/>
    <sheet state="visible" name="ExecuteTrade1" sheetId="17" r:id="rId20"/>
    <sheet state="visible" name="CheckAllocatedGroups1" sheetId="18" r:id="rId21"/>
    <sheet state="visible" name="ChangeDate1" sheetId="19" r:id="rId22"/>
    <sheet state="visible" name="ExecuteTrade2" sheetId="20" r:id="rId23"/>
  </sheets>
  <definedNames/>
  <calcPr/>
  <extLst>
    <ext uri="GoogleSheetsCustomDataVersion2">
      <go:sheetsCustomData xmlns:go="http://customooxmlschemas.google.com/" r:id="rId24" roundtripDataChecksum="yqv7Rg7y+mZX1EJfJCw+pdR+VKixLczeJR761qrXiNU="/>
    </ext>
  </extLst>
</workbook>
</file>

<file path=xl/sharedStrings.xml><?xml version="1.0" encoding="utf-8"?>
<sst xmlns="http://schemas.openxmlformats.org/spreadsheetml/2006/main" count="783" uniqueCount="168">
  <si>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</si>
  <si>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</si>
  <si>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</si>
  <si>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</si>
  <si>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</si>
  <si>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</si>
  <si>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</si>
  <si>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</si>
  <si>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</si>
  <si>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</si>
  <si>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</si>
  <si>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</si>
  <si>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</si>
  <si>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</si>
  <si>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</si>
  <si>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</si>
  <si>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</si>
  <si>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</si>
  <si>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</si>
  <si>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AAPL</t>
  </si>
  <si>
    <t>Send</t>
  </si>
  <si>
    <t>Allocation1</t>
  </si>
  <si>
    <t>Buy</t>
  </si>
  <si>
    <t>GTC</t>
  </si>
  <si>
    <t>Limit</t>
  </si>
  <si>
    <t>Simulator</t>
  </si>
  <si>
    <t>SelectTrade</t>
  </si>
  <si>
    <t>AcknowledgeTrade</t>
  </si>
  <si>
    <t>ExecuteTrade</t>
  </si>
  <si>
    <t>Admin</t>
  </si>
  <si>
    <t>ChangeDate</t>
  </si>
  <si>
    <t>Today()+1</t>
  </si>
  <si>
    <t>Compliance</t>
  </si>
  <si>
    <t>RestartReleasesAndServices</t>
  </si>
  <si>
    <t>Allocation</t>
  </si>
  <si>
    <t>GetDataAllocation</t>
  </si>
  <si>
    <t>Historical</t>
  </si>
  <si>
    <t>Symbol</t>
  </si>
  <si>
    <t>Quantity</t>
  </si>
  <si>
    <t>Trade Date</t>
  </si>
  <si>
    <t>Account Name</t>
  </si>
  <si>
    <t>Side</t>
  </si>
  <si>
    <t>Group Status</t>
  </si>
  <si>
    <t>Avg Price(Base)</t>
  </si>
  <si>
    <t>Execution Time</t>
  </si>
  <si>
    <t>Trade Attribute 1</t>
  </si>
  <si>
    <t>Avg Price(Local)</t>
  </si>
  <si>
    <t>Trade Attribute 2</t>
  </si>
  <si>
    <t>Accrued Interest</t>
  </si>
  <si>
    <t>Commission</t>
  </si>
  <si>
    <t>Soft Commission</t>
  </si>
  <si>
    <t>Broker</t>
  </si>
  <si>
    <t>Transaction Type</t>
  </si>
  <si>
    <t>AUEC Fee1</t>
  </si>
  <si>
    <t>AUEC Fee2</t>
  </si>
  <si>
    <t>Clearing Broker Fee</t>
  </si>
  <si>
    <t>Other Broker Fees</t>
  </si>
  <si>
    <t>OCC Fee</t>
  </si>
  <si>
    <t>SEC Fee</t>
  </si>
  <si>
    <t>ORF Fee</t>
  </si>
  <si>
    <t>IsPreAllocated</t>
  </si>
  <si>
    <t>Stamp Duty</t>
  </si>
  <si>
    <t>IsManual Group</t>
  </si>
  <si>
    <t>Tax On Commissions</t>
  </si>
  <si>
    <t>IsAnotherTaxlotAttributesUpdated</t>
  </si>
  <si>
    <t>ISNDF</t>
  </si>
  <si>
    <t>Transaction Levy</t>
  </si>
  <si>
    <t>Description</t>
  </si>
  <si>
    <t>GroupID</t>
  </si>
  <si>
    <t>Internal Comments</t>
  </si>
  <si>
    <t>M2MProfitLoss</t>
  </si>
  <si>
    <t>FX Rate</t>
  </si>
  <si>
    <t>FX Conversion Operator</t>
  </si>
  <si>
    <t>Trade Attribute 3</t>
  </si>
  <si>
    <t>Trade Attribute 4</t>
  </si>
  <si>
    <t>Trade Attribute 5</t>
  </si>
  <si>
    <t>Trade Attribute 6</t>
  </si>
  <si>
    <t>Put Or Call</t>
  </si>
  <si>
    <t>Allocated Qty</t>
  </si>
  <si>
    <t>Total Commission And Fee</t>
  </si>
  <si>
    <t>Executed Qty</t>
  </si>
  <si>
    <t>Net Amount( Local)</t>
  </si>
  <si>
    <t>Net Amount( Base)</t>
  </si>
  <si>
    <t>UnAllocatedQty</t>
  </si>
  <si>
    <t>Option Premium Adjustment</t>
  </si>
  <si>
    <t>Principal Amount( Local)</t>
  </si>
  <si>
    <t>Principal Amount( Base)</t>
  </si>
  <si>
    <t>Settlement Currency</t>
  </si>
  <si>
    <t>User</t>
  </si>
  <si>
    <t>Asset Category</t>
  </si>
  <si>
    <t>Change Type</t>
  </si>
  <si>
    <t>Strategy Name</t>
  </si>
  <si>
    <t>Prana Msg Type</t>
  </si>
  <si>
    <t>Total Commission</t>
  </si>
  <si>
    <t>Commission Per Share</t>
  </si>
  <si>
    <t>Soft Commission Per Share</t>
  </si>
  <si>
    <t>Total Commission Per Share</t>
  </si>
  <si>
    <t>Closing Status</t>
  </si>
  <si>
    <t>Closing Method</t>
  </si>
  <si>
    <t>Allocation Scheme Name</t>
  </si>
  <si>
    <t>Change Comment</t>
  </si>
  <si>
    <t>Order Type</t>
  </si>
  <si>
    <t>Underlying</t>
  </si>
  <si>
    <t>Exchange</t>
  </si>
  <si>
    <t>Currency</t>
  </si>
  <si>
    <t>AUECID</t>
  </si>
  <si>
    <t>Trading Account</t>
  </si>
  <si>
    <t>Venue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</si>
  <si>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</si>
  <si>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</si>
  <si>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</si>
  <si>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</si>
  <si>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</si>
  <si>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</si>
  <si>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</si>
  <si>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</si>
  <si>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</si>
  <si>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Underlying Symbol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</si>
  <si>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</si>
  <si>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</si>
  <si>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</si>
  <si>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</si>
  <si>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</si>
  <si>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</si>
  <si>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</si>
  <si>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</si>
  <si>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</si>
  <si>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</si>
  <si>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</si>
  <si>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Proxy Symbol</t>
  </si>
  <si>
    <t>Transaction Source</t>
  </si>
  <si>
    <t>Import File Name</t>
  </si>
  <si>
    <t>MasterFund</t>
  </si>
  <si>
    <t>Account Percentage</t>
  </si>
  <si>
    <t>Account Quantity</t>
  </si>
  <si>
    <t>Allocation2</t>
  </si>
  <si>
    <t>Allocation3</t>
  </si>
  <si>
    <t>CheckAllocatedGroups</t>
  </si>
  <si>
    <t/>
  </si>
  <si>
    <t>Actual_365</t>
  </si>
  <si>
    <t>Equity</t>
  </si>
  <si>
    <t>AAPL US EQUITY</t>
  </si>
  <si>
    <t>Treasury</t>
  </si>
  <si>
    <t>MS</t>
  </si>
  <si>
    <t>APPLE</t>
  </si>
  <si>
    <t>USD</t>
  </si>
  <si>
    <t>NASDAQ</t>
  </si>
  <si>
    <t>M</t>
  </si>
  <si>
    <t>Strategy Unallocated</t>
  </si>
  <si>
    <t>Today()-2</t>
  </si>
  <si>
    <t>GCCAP1</t>
  </si>
  <si>
    <t>US</t>
  </si>
  <si>
    <t>jpearce</t>
  </si>
  <si>
    <t>NONE</t>
  </si>
  <si>
    <t>NewMF</t>
  </si>
  <si>
    <t>Multiple</t>
  </si>
  <si>
    <t>Today()-1</t>
  </si>
  <si>
    <t>FIX</t>
  </si>
  <si>
    <t>Blotter</t>
  </si>
  <si>
    <t>SelectTradeOnOrderGrid</t>
  </si>
  <si>
    <t>VerifySubOrder</t>
  </si>
  <si>
    <t>PartiallyFilled</t>
  </si>
  <si>
    <t>Manual</t>
  </si>
  <si>
    <t>Today()</t>
  </si>
  <si>
    <t>reset</t>
  </si>
  <si>
    <t>Price</t>
  </si>
  <si>
    <t>Shares</t>
  </si>
  <si>
    <t>ClearAllPrice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</si>
</sst>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4.0"/>
      <color rgb="FFFFFFFF"/>
      <name val="Calibri"/>
    </font>
    <font/>
    <font>
      <sz val="10.0"/>
      <color theme="1"/>
      <name val="Arial"/>
    </font>
    <font>
      <b/>
      <sz val="10.0"/>
      <color rgb="FFFFFFFF"/>
      <name val="Calibri"/>
    </font>
    <font>
      <sz val="10.0"/>
      <color theme="1"/>
      <name val="Calibri"/>
    </font>
    <font>
      <sz val="14.0"/>
      <color rgb="FFFFFFFF"/>
      <name val="Calibri"/>
    </font>
    <font>
      <sz val="10.0"/>
      <color rgb="FFFFFFFF"/>
      <name val="Calibri"/>
    </font>
    <font>
      <b/>
      <sz val="10.0"/>
      <color rgb="FFFFFFFF"/>
      <name val="Arial"/>
    </font>
    <font>
      <sz val="10.0"/>
      <color rgb="FFFFFFFF"/>
      <name val="Arial"/>
    </font>
    <font>
      <sz val="10.0"/>
      <color rgb="FFD9D9D9"/>
      <name val="Calibri"/>
    </font>
    <font>
      <sz val="10.0"/>
      <color rgb="FFD9D9D9"/>
      <name val="Arial"/>
    </font>
    <font>
      <sz val="10.0"/>
      <color rgb="FF222222"/>
      <name val="Arial"/>
    </font>
    <font>
      <sz val="10.0"/>
      <color rgb="FF000000"/>
      <name val="Calibri"/>
    </font>
    <font>
      <color theme="1"/>
      <name val="Arial"/>
      <scheme val="minor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Border="1" applyFill="1" applyFont="1"/>
    <xf borderId="4" fillId="3" fontId="3" numFmtId="0" xfId="0" applyBorder="1" applyFont="1"/>
    <xf borderId="0" fillId="0" fontId="5" numFmtId="0" xfId="0" applyFont="1"/>
    <xf borderId="1" fillId="2" fontId="6" numFmtId="0" xfId="0" applyAlignment="1" applyBorder="1" applyFont="1">
      <alignment horizontal="center"/>
    </xf>
    <xf borderId="4" fillId="3" fontId="7" numFmtId="0" xfId="0" applyBorder="1" applyFont="1"/>
    <xf borderId="4" fillId="3" fontId="8" numFmtId="0" xfId="0" applyBorder="1" applyFont="1"/>
    <xf borderId="0" fillId="0" fontId="8" numFmtId="0" xfId="0" applyFont="1"/>
    <xf borderId="4" fillId="2" fontId="1" numFmtId="0" xfId="0" applyAlignment="1" applyBorder="1" applyFont="1">
      <alignment horizontal="center"/>
    </xf>
    <xf borderId="4" fillId="2" fontId="3" numFmtId="0" xfId="0" applyBorder="1" applyFont="1"/>
    <xf borderId="0" fillId="0" fontId="7" numFmtId="0" xfId="0" applyFont="1"/>
    <xf borderId="4" fillId="3" fontId="9" numFmtId="0" xfId="0" applyBorder="1" applyFont="1"/>
    <xf borderId="4" fillId="4" fontId="10" numFmtId="0" xfId="0" applyBorder="1" applyFill="1" applyFont="1"/>
    <xf borderId="4" fillId="4" fontId="11" numFmtId="0" xfId="0" applyBorder="1" applyFont="1"/>
    <xf borderId="4" fillId="5" fontId="4" numFmtId="0" xfId="0" applyBorder="1" applyFill="1" applyFont="1"/>
    <xf borderId="4" fillId="5" fontId="9" numFmtId="0" xfId="0" applyBorder="1" applyFont="1"/>
    <xf borderId="4" fillId="6" fontId="12" numFmtId="0" xfId="0" applyBorder="1" applyFill="1" applyFont="1"/>
    <xf borderId="0" fillId="0" fontId="5" numFmtId="0" xfId="0" applyAlignment="1" applyFont="1">
      <alignment horizontal="right"/>
    </xf>
    <xf borderId="0" fillId="0" fontId="3" numFmtId="0" xfId="0" applyAlignment="1" applyFont="1">
      <alignment horizontal="right"/>
    </xf>
    <xf borderId="0" fillId="0" fontId="13" numFmtId="0" xfId="0" applyFont="1"/>
    <xf borderId="0" fillId="0" fontId="5" numFmtId="0" xfId="0" applyAlignment="1" applyFont="1">
      <alignment horizontal="center"/>
    </xf>
    <xf borderId="0" fillId="0" fontId="5" numFmtId="14" xfId="0" applyAlignment="1" applyFont="1" applyNumberFormat="1">
      <alignment horizontal="right"/>
    </xf>
    <xf borderId="0" fillId="0" fontId="14" numFmtId="0" xfId="0" applyFont="1"/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customschemas.google.com/relationships/workbookmetadata" Target="metadata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4" max="6" width="12.63"/>
    <col customWidth="1" min="7" max="12" width="15.1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6"/>
      <c r="D3" s="6"/>
      <c r="E3" s="6"/>
      <c r="F3" s="6"/>
    </row>
    <row r="4" ht="15.75" customHeight="1">
      <c r="A4" s="7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  <c r="G4" s="4"/>
      <c r="H4" s="4"/>
      <c r="I4" s="4"/>
      <c r="J4" s="4"/>
      <c r="K4" s="4"/>
      <c r="L4" s="4"/>
    </row>
    <row r="5" ht="15.75" customHeight="1">
      <c r="A5" s="7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  <c r="G5" s="4"/>
      <c r="H5" s="4"/>
      <c r="I5" s="4"/>
      <c r="J5" s="4"/>
      <c r="K5" s="4"/>
      <c r="L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  <c r="G6" s="4"/>
      <c r="H6" s="4"/>
      <c r="I6" s="4"/>
      <c r="J6" s="4"/>
      <c r="K6" s="4"/>
      <c r="L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  <c r="G7" s="4"/>
      <c r="H7" s="4"/>
      <c r="I7" s="4"/>
      <c r="J7" s="4"/>
      <c r="K7" s="4"/>
      <c r="L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  <c r="G8" s="4"/>
      <c r="H8" s="4"/>
      <c r="I8" s="4"/>
      <c r="J8" s="4"/>
      <c r="K8" s="4"/>
      <c r="L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  <c r="G9" s="4"/>
      <c r="H9" s="4"/>
      <c r="I9" s="4"/>
      <c r="J9" s="4"/>
      <c r="K9" s="4"/>
      <c r="L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  <c r="G10" s="4"/>
      <c r="H10" s="4"/>
      <c r="I10" s="4"/>
      <c r="J10" s="4"/>
      <c r="K10" s="4"/>
      <c r="L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  <c r="G11" s="4"/>
      <c r="H11" s="4"/>
      <c r="I11" s="4"/>
      <c r="J11" s="4"/>
      <c r="K11" s="4"/>
      <c r="L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  <c r="G12" s="4"/>
      <c r="H12" s="4"/>
      <c r="I12" s="4"/>
      <c r="J12" s="4"/>
      <c r="K12" s="4"/>
      <c r="L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  <c r="G13" s="4"/>
      <c r="H13" s="4"/>
      <c r="I13" s="4"/>
      <c r="J13" s="4"/>
      <c r="K13" s="4"/>
      <c r="L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  <c r="G14" s="4"/>
      <c r="H14" s="4"/>
      <c r="I14" s="4"/>
      <c r="J14" s="4"/>
      <c r="K14" s="4"/>
      <c r="L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  <c r="G15" s="4"/>
      <c r="H15" s="4"/>
      <c r="I15" s="4"/>
      <c r="J15" s="4"/>
      <c r="K15" s="4"/>
      <c r="L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  <c r="G16" s="4"/>
      <c r="H16" s="4"/>
      <c r="I16" s="4"/>
      <c r="J16" s="4"/>
      <c r="K16" s="4"/>
      <c r="L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  <c r="G17" s="4"/>
      <c r="H17" s="4"/>
      <c r="I17" s="4"/>
      <c r="J17" s="4"/>
      <c r="K17" s="4"/>
      <c r="L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  <c r="G18" s="4"/>
      <c r="H18" s="4"/>
      <c r="I18" s="4"/>
      <c r="J18" s="4"/>
      <c r="K18" s="4"/>
      <c r="L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  <c r="G19" s="4"/>
      <c r="H19" s="4"/>
      <c r="I19" s="4"/>
      <c r="J19" s="4"/>
      <c r="K19" s="4"/>
      <c r="L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  <c r="G20" s="4"/>
      <c r="H20" s="4"/>
      <c r="I20" s="4"/>
      <c r="J20" s="4"/>
      <c r="K20" s="4"/>
      <c r="L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  <c r="G21" s="4"/>
      <c r="H21" s="4"/>
      <c r="I21" s="4"/>
      <c r="J21" s="4"/>
      <c r="K21" s="4"/>
      <c r="L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  <c r="G22" s="4"/>
      <c r="H22" s="4"/>
      <c r="I22" s="4"/>
      <c r="J22" s="4"/>
      <c r="K22" s="4"/>
      <c r="L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  <c r="G23" s="4"/>
      <c r="H23" s="4"/>
      <c r="I23" s="4"/>
      <c r="J23" s="4"/>
      <c r="K23" s="4"/>
      <c r="L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  <c r="G24" s="4"/>
      <c r="H24" s="4"/>
      <c r="I24" s="4"/>
      <c r="J24" s="4"/>
      <c r="K24" s="4"/>
      <c r="L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  <c r="G25" s="4"/>
      <c r="H25" s="4"/>
      <c r="I25" s="4"/>
      <c r="J25" s="4"/>
      <c r="K25" s="4"/>
      <c r="L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  <c r="G26" s="4"/>
      <c r="H26" s="4"/>
      <c r="I26" s="4"/>
      <c r="J26" s="4"/>
      <c r="K26" s="4"/>
      <c r="L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  <c r="G27" s="4"/>
      <c r="H27" s="4"/>
      <c r="I27" s="4"/>
      <c r="J27" s="4"/>
      <c r="K27" s="4"/>
      <c r="L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  <c r="G28" s="4"/>
      <c r="H28" s="4"/>
      <c r="I28" s="4"/>
      <c r="J28" s="4"/>
      <c r="K28" s="4"/>
      <c r="L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  <c r="G29" s="4"/>
      <c r="H29" s="4"/>
      <c r="I29" s="4"/>
      <c r="J29" s="4"/>
      <c r="K29" s="4"/>
      <c r="L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  <c r="G30" s="4"/>
      <c r="H30" s="4"/>
      <c r="I30" s="4"/>
      <c r="J30" s="4"/>
      <c r="K30" s="4"/>
      <c r="L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  <c r="G31" s="4"/>
      <c r="H31" s="4"/>
      <c r="I31" s="4"/>
      <c r="J31" s="4"/>
      <c r="K31" s="4"/>
      <c r="L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  <c r="G32" s="4"/>
      <c r="H32" s="4"/>
      <c r="I32" s="4"/>
      <c r="J32" s="4"/>
      <c r="K32" s="4"/>
      <c r="L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  <c r="G33" s="4"/>
      <c r="H33" s="4"/>
      <c r="I33" s="4"/>
      <c r="J33" s="4"/>
      <c r="K33" s="4"/>
      <c r="L33" s="4"/>
    </row>
    <row r="34" ht="15.75" customHeight="1">
      <c r="A34" s="4" t="str">
        <f>IFERROR(__xludf.DUMMYFUNCTION("""COMPUTED_VALUE"""),"SymbolLookup")</f>
        <v>SymbolLookup</v>
      </c>
      <c r="B34" s="4" t="str">
        <f>IFERROR(__xludf.DUMMYFUNCTION("""COMPUTED_VALUE"""),"SymbolLookupFromTT")</f>
        <v>SymbolLookupFromTT</v>
      </c>
      <c r="C34" s="4" t="str">
        <f>IFERROR(__xludf.DUMMYFUNCTION("""COMPUTED_VALUE"""),"1gDvMDcnV_Cq-gd3uSiTszH4Q8IYBAMQu9lTMq8Rpy3o")</f>
        <v>1gDvMDcnV_Cq-gd3uSiTszH4Q8IYBAMQu9lTMq8Rpy3o</v>
      </c>
      <c r="D34" s="4"/>
      <c r="E34" s="4"/>
      <c r="F34" s="4"/>
      <c r="G34" s="4"/>
      <c r="H34" s="4"/>
      <c r="I34" s="4"/>
      <c r="J34" s="4"/>
      <c r="K34" s="4"/>
      <c r="L34" s="4"/>
    </row>
    <row r="35" ht="15.75" customHeight="1">
      <c r="A35" s="4" t="str">
        <f>IFERROR(__xludf.DUMMYFUNCTION("""COMPUTED_VALUE"""),"SymbolLookup")</f>
        <v>SymbolLookup</v>
      </c>
      <c r="B35" s="4" t="str">
        <f>IFERROR(__xludf.DUMMYFUNCTION("""COMPUTED_VALUE"""),"UpdateUDA")</f>
        <v>UpdateUDA</v>
      </c>
      <c r="C35" s="4" t="str">
        <f>IFERROR(__xludf.DUMMYFUNCTION("""COMPUTED_VALUE"""),"1dhqVPgdlk0qqXkJ78cDzBf_Mq3MegKBc6RXPw3xiPrw")</f>
        <v>1dhqVPgdlk0qqXkJ78cDzBf_Mq3MegKBc6RXPw3xiPrw</v>
      </c>
      <c r="D35" s="4"/>
      <c r="E35" s="4"/>
      <c r="F35" s="4"/>
      <c r="G35" s="4"/>
      <c r="H35" s="4"/>
      <c r="I35" s="4"/>
      <c r="J35" s="4"/>
      <c r="K35" s="4"/>
      <c r="L35" s="4"/>
    </row>
    <row r="36" ht="15.75" customHeight="1">
      <c r="A36" s="4" t="str">
        <f>IFERROR(__xludf.DUMMYFUNCTION("""COMPUTED_VALUE"""),"SymbolLookup")</f>
        <v>SymbolLookup</v>
      </c>
      <c r="B36" s="4" t="str">
        <f>IFERROR(__xludf.DUMMYFUNCTION("""COMPUTED_VALUE"""),"GetSymbol")</f>
        <v>GetSymbol</v>
      </c>
      <c r="C36" s="4" t="str">
        <f>IFERROR(__xludf.DUMMYFUNCTION("""COMPUTED_VALUE"""),"173hAXGieMVvXY5pe0UbKu68RfryU3RaXKikGhyg-rOo")</f>
        <v>173hAXGieMVvXY5pe0UbKu68RfryU3RaXKikGhyg-rOo</v>
      </c>
      <c r="D36" s="4"/>
      <c r="E36" s="4"/>
      <c r="F36" s="4"/>
      <c r="G36" s="4"/>
      <c r="H36" s="4"/>
      <c r="I36" s="4"/>
      <c r="J36" s="4"/>
      <c r="K36" s="4"/>
      <c r="L36" s="4"/>
    </row>
    <row r="37" ht="15.75" customHeight="1">
      <c r="A37" s="4" t="str">
        <f>IFERROR(__xludf.DUMMYFUNCTION("""COMPUTED_VALUE"""),"SymbolLookup")</f>
        <v>SymbolLookup</v>
      </c>
      <c r="B37" s="4" t="str">
        <f>IFERROR(__xludf.DUMMYFUNCTION("""COMPUTED_VALUE"""),"GetDataSymbolLookup")</f>
        <v>GetDataSymbolLookup</v>
      </c>
      <c r="C37" s="4" t="str">
        <f>IFERROR(__xludf.DUMMYFUNCTION("""COMPUTED_VALUE"""),"1NAyBh7MvMUe-ymIgaMjhvCcTdXRrdfoOqa5k2oEkEtY")</f>
        <v>1NAyBh7MvMUe-ymIgaMjhvCcTdXRrdfoOqa5k2oEkEtY</v>
      </c>
      <c r="D37" s="4"/>
      <c r="E37" s="4"/>
      <c r="F37" s="4"/>
      <c r="G37" s="4"/>
      <c r="H37" s="4"/>
      <c r="I37" s="4"/>
      <c r="J37" s="4"/>
      <c r="K37" s="4"/>
      <c r="L37" s="4"/>
    </row>
    <row r="38" ht="15.75" customHeight="1">
      <c r="A38" s="4" t="str">
        <f>IFERROR(__xludf.DUMMYFUNCTION("""COMPUTED_VALUE"""),"SymbolLookup")</f>
        <v>SymbolLookup</v>
      </c>
      <c r="B38" s="4" t="str">
        <f>IFERROR(__xludf.DUMMYFUNCTION("""COMPUTED_VALUE"""),"DeleteValidateSymbol")</f>
        <v>DeleteValidateSymbol</v>
      </c>
      <c r="C38" s="4" t="str">
        <f>IFERROR(__xludf.DUMMYFUNCTION("""COMPUTED_VALUE"""),"1WIb_XXxmZPR_GUhoObQfZ6l1pKvOl5CWOE5mnz2ftU0")</f>
        <v>1WIb_XXxmZPR_GUhoObQfZ6l1pKvOl5CWOE5mnz2ftU0</v>
      </c>
      <c r="D38" s="4"/>
      <c r="E38" s="4"/>
      <c r="F38" s="4"/>
      <c r="G38" s="4"/>
      <c r="H38" s="4"/>
      <c r="I38" s="4"/>
      <c r="J38" s="4"/>
      <c r="K38" s="4"/>
      <c r="L38" s="4"/>
    </row>
    <row r="39" ht="15.75" customHeight="1">
      <c r="A39" s="4" t="str">
        <f>IFERROR(__xludf.DUMMYFUNCTION("""COMPUTED_VALUE"""),"ThirdParty")</f>
        <v>ThirdParty</v>
      </c>
      <c r="B39" s="4" t="str">
        <f>IFERROR(__xludf.DUMMYFUNCTION("""COMPUTED_VALUE"""),"GenerateThirdParty")</f>
        <v>GenerateThirdParty</v>
      </c>
      <c r="C39" s="4" t="str">
        <f>IFERROR(__xludf.DUMMYFUNCTION("""COMPUTED_VALUE"""),"1MME0WB8RmCV2QKgHuWbTvubmaZmPuF0knOKGp2GUg7o")</f>
        <v>1MME0WB8RmCV2QKgHuWbTvubmaZmPuF0knOKGp2GUg7o</v>
      </c>
      <c r="D39" s="4"/>
      <c r="E39" s="4"/>
      <c r="F39" s="4"/>
      <c r="G39" s="4"/>
      <c r="H39" s="4"/>
      <c r="I39" s="4"/>
      <c r="J39" s="4"/>
      <c r="K39" s="4"/>
      <c r="L39" s="4"/>
    </row>
    <row r="40" ht="15.75" customHeight="1">
      <c r="A40" s="4" t="str">
        <f>IFERROR(__xludf.DUMMYFUNCTION("""COMPUTED_VALUE"""),"ThirdParty")</f>
        <v>ThirdParty</v>
      </c>
      <c r="B40" s="4" t="str">
        <f>IFERROR(__xludf.DUMMYFUNCTION("""COMPUTED_VALUE"""),"SendThirdParty")</f>
        <v>SendThirdParty</v>
      </c>
      <c r="C40" s="4" t="str">
        <f>IFERROR(__xludf.DUMMYFUNCTION("""COMPUTED_VALUE"""),"1Rq8zeuYkGxaBxmemqN7Z1OVWnaheHVEDxVozT52myRI")</f>
        <v>1Rq8zeuYkGxaBxmemqN7Z1OVWnaheHVEDxVozT52myRI</v>
      </c>
      <c r="D40" s="4"/>
      <c r="E40" s="4"/>
      <c r="F40" s="4"/>
      <c r="G40" s="4"/>
      <c r="H40" s="4"/>
      <c r="I40" s="4"/>
      <c r="J40" s="4"/>
      <c r="K40" s="4"/>
      <c r="L40" s="4"/>
    </row>
    <row r="41" ht="15.75" customHeight="1">
      <c r="A41" s="4" t="str">
        <f>IFERROR(__xludf.DUMMYFUNCTION("""COMPUTED_VALUE"""),"ThirdParty")</f>
        <v>ThirdParty</v>
      </c>
      <c r="B41" s="4" t="str">
        <f>IFERROR(__xludf.DUMMYFUNCTION("""COMPUTED_VALUE"""),"ViewThirdParty")</f>
        <v>ViewThirdParty</v>
      </c>
      <c r="C41" s="4" t="str">
        <f>IFERROR(__xludf.DUMMYFUNCTION("""COMPUTED_VALUE"""),"1UalkAEsbJcZQAzEnT3T29et4u4PKQ3n66SBTt1HPqVc")</f>
        <v>1UalkAEsbJcZQAzEnT3T29et4u4PKQ3n66SBTt1HPqVc</v>
      </c>
      <c r="D41" s="4"/>
      <c r="E41" s="4"/>
      <c r="F41" s="4"/>
      <c r="G41" s="4"/>
      <c r="H41" s="4"/>
      <c r="I41" s="4"/>
      <c r="J41" s="4"/>
      <c r="K41" s="4"/>
      <c r="L41" s="4"/>
    </row>
    <row r="42" ht="15.75" customHeight="1">
      <c r="A42" s="4" t="str">
        <f>IFERROR(__xludf.DUMMYFUNCTION("""COMPUTED_VALUE"""),"ThirdParty")</f>
        <v>ThirdParty</v>
      </c>
      <c r="B42" s="4" t="str">
        <f>IFERROR(__xludf.DUMMYFUNCTION("""COMPUTED_VALUE"""),"SelectThirdPartyName")</f>
        <v>SelectThirdPartyName</v>
      </c>
      <c r="C42" s="4" t="str">
        <f>IFERROR(__xludf.DUMMYFUNCTION("""COMPUTED_VALUE"""),"1Ed9yVUP6QBHgE31eiooLDUHG0Yf2VM_w3I1hshQOHqI")</f>
        <v>1Ed9yVUP6QBHgE31eiooLDUHG0Yf2VM_w3I1hshQOHqI</v>
      </c>
      <c r="D42" s="4"/>
      <c r="E42" s="4"/>
      <c r="F42" s="4"/>
      <c r="G42" s="4"/>
      <c r="H42" s="4"/>
      <c r="I42" s="4"/>
      <c r="J42" s="4"/>
      <c r="K42" s="4"/>
      <c r="L42" s="4"/>
    </row>
    <row r="43" ht="15.75" customHeight="1">
      <c r="A43" s="4" t="str">
        <f>IFERROR(__xludf.DUMMYFUNCTION("""COMPUTED_VALUE"""),"ThirdParty")</f>
        <v>ThirdParty</v>
      </c>
      <c r="B43" s="4" t="str">
        <f>IFERROR(__xludf.DUMMYFUNCTION("""COMPUTED_VALUE"""),"VerifyThirdPartyData")</f>
        <v>VerifyThirdPartyData</v>
      </c>
      <c r="C43" s="4" t="str">
        <f>IFERROR(__xludf.DUMMYFUNCTION("""COMPUTED_VALUE"""),"1bnzX2PjXEMH6TjD42kz9rbl4I5pggAPDV-6J94ie3aA")</f>
        <v>1bnzX2PjXEMH6TjD42kz9rbl4I5pggAPDV-6J94ie3aA</v>
      </c>
      <c r="D43" s="4"/>
      <c r="E43" s="4"/>
      <c r="F43" s="4"/>
      <c r="G43" s="4"/>
      <c r="H43" s="4"/>
      <c r="I43" s="4"/>
      <c r="J43" s="4"/>
      <c r="K43" s="4"/>
      <c r="L43" s="4"/>
    </row>
    <row r="44" ht="15.75" customHeight="1">
      <c r="A44" s="4" t="str">
        <f>IFERROR(__xludf.DUMMYFUNCTION("""COMPUTED_VALUE"""),"CorporateAction")</f>
        <v>CorporateAction</v>
      </c>
      <c r="B44" s="4" t="str">
        <f>IFERROR(__xludf.DUMMYFUNCTION("""COMPUTED_VALUE"""),"CleanUp")</f>
        <v>CleanUp</v>
      </c>
      <c r="C44" s="4" t="str">
        <f>IFERROR(__xludf.DUMMYFUNCTION("""COMPUTED_VALUE"""),"Undefined")</f>
        <v>Undefined</v>
      </c>
      <c r="D44" s="4"/>
      <c r="E44" s="4"/>
      <c r="F44" s="4"/>
      <c r="G44" s="4"/>
      <c r="H44" s="4"/>
      <c r="I44" s="4"/>
      <c r="J44" s="4"/>
      <c r="K44" s="4"/>
      <c r="L44" s="4"/>
    </row>
    <row r="45" ht="15.75" customHeight="1">
      <c r="A45" s="4" t="str">
        <f>IFERROR(__xludf.DUMMYFUNCTION("""COMPUTED_VALUE"""),"PST")</f>
        <v>PST</v>
      </c>
      <c r="B45" s="4" t="str">
        <f>IFERROR(__xludf.DUMMYFUNCTION("""COMPUTED_VALUE"""),"RunPST")</f>
        <v>RunPST</v>
      </c>
      <c r="C45" s="4" t="str">
        <f>IFERROR(__xludf.DUMMYFUNCTION("""COMPUTED_VALUE"""),"1eDn4ID4lZ0g9L9LBEwFIV1KSKirbl2wBD7JMSOogsJo")</f>
        <v>1eDn4ID4lZ0g9L9LBEwFIV1KSKirbl2wBD7JMSOogsJo</v>
      </c>
      <c r="D45" s="4"/>
      <c r="E45" s="4"/>
      <c r="F45" s="4"/>
      <c r="G45" s="4"/>
      <c r="H45" s="4"/>
      <c r="I45" s="4"/>
      <c r="J45" s="4"/>
      <c r="K45" s="4"/>
      <c r="L45" s="4"/>
    </row>
    <row r="46" ht="15.75" customHeight="1">
      <c r="A46" s="4" t="str">
        <f>IFERROR(__xludf.DUMMYFUNCTION("""COMPUTED_VALUE"""),"PST")</f>
        <v>PST</v>
      </c>
      <c r="B46" s="4" t="str">
        <f>IFERROR(__xludf.DUMMYFUNCTION("""COMPUTED_VALUE"""),"PSTInputData")</f>
        <v>PSTInputData</v>
      </c>
      <c r="C46" s="4" t="str">
        <f>IFERROR(__xludf.DUMMYFUNCTION("""COMPUTED_VALUE"""),"1GqarmBj5COJ9oiY8JkODcW4vDrpW1y5yTk4660Wu__c")</f>
        <v>1GqarmBj5COJ9oiY8JkODcW4vDrpW1y5yTk4660Wu__c</v>
      </c>
      <c r="D46" s="4"/>
      <c r="E46" s="4"/>
      <c r="F46" s="4"/>
      <c r="G46" s="4"/>
      <c r="H46" s="4"/>
      <c r="I46" s="4"/>
      <c r="J46" s="4"/>
      <c r="K46" s="4"/>
      <c r="L46" s="4"/>
    </row>
    <row r="47" ht="15.75" customHeight="1">
      <c r="A47" s="4" t="str">
        <f>IFERROR(__xludf.DUMMYFUNCTION("""COMPUTED_VALUE"""),"PST")</f>
        <v>PST</v>
      </c>
      <c r="B47" s="4" t="str">
        <f>IFERROR(__xludf.DUMMYFUNCTION("""COMPUTED_VALUE"""),"PSTVerifyData")</f>
        <v>PSTVerifyData</v>
      </c>
      <c r="C47" s="4" t="str">
        <f>IFERROR(__xludf.DUMMYFUNCTION("""COMPUTED_VALUE"""),"1rwYlyzQAuduSi0Gp4ROixwt3o0bs2AhQbAT7dJTM9RA")</f>
        <v>1rwYlyzQAuduSi0Gp4ROixwt3o0bs2AhQbAT7dJTM9RA</v>
      </c>
      <c r="D47" s="4"/>
      <c r="E47" s="4"/>
      <c r="F47" s="4"/>
      <c r="G47" s="4"/>
      <c r="H47" s="4"/>
      <c r="I47" s="4"/>
      <c r="J47" s="4"/>
      <c r="K47" s="4"/>
      <c r="L47" s="4"/>
    </row>
    <row r="48" ht="15.75" customHeight="1">
      <c r="A48" s="4" t="str">
        <f>IFERROR(__xludf.DUMMYFUNCTION("""COMPUTED_VALUE"""),"PST")</f>
        <v>PST</v>
      </c>
      <c r="B48" s="4" t="str">
        <f>IFERROR(__xludf.DUMMYFUNCTION("""COMPUTED_VALUE"""),"PSTFunctionalities")</f>
        <v>PSTFunctionalities</v>
      </c>
      <c r="C48" s="4" t="str">
        <f>IFERROR(__xludf.DUMMYFUNCTION("""COMPUTED_VALUE"""),"11JwOBclgqclhwteK8-8D_f6-5WV6K0OQ-E6BB9CezgE")</f>
        <v>11JwOBclgqclhwteK8-8D_f6-5WV6K0OQ-E6BB9CezgE</v>
      </c>
      <c r="D48" s="4"/>
      <c r="E48" s="4"/>
      <c r="F48" s="4"/>
      <c r="G48" s="4"/>
      <c r="H48" s="4"/>
      <c r="I48" s="4"/>
      <c r="J48" s="4"/>
      <c r="K48" s="4"/>
      <c r="L48" s="4"/>
    </row>
    <row r="49" ht="15.75" customHeight="1">
      <c r="A49" s="4" t="str">
        <f>IFERROR(__xludf.DUMMYFUNCTION("""COMPUTED_VALUE"""),"PortfolioManagement")</f>
        <v>PortfolioManagement</v>
      </c>
      <c r="B49" s="4" t="str">
        <f>IFERROR(__xludf.DUMMYFUNCTION("""COMPUTED_VALUE"""),"OpenPSTFromPM")</f>
        <v>OpenPSTFromPM</v>
      </c>
      <c r="C49" s="4" t="str">
        <f>IFERROR(__xludf.DUMMYFUNCTION("""COMPUTED_VALUE"""),"1LaxsbJKMKgHz6nuJt-mWzImc-fRNbTvmrGGX97yHQ3M")</f>
        <v>1LaxsbJKMKgHz6nuJt-mWzImc-fRNbTvmrGGX97yHQ3M</v>
      </c>
      <c r="D49" s="4"/>
      <c r="E49" s="4"/>
      <c r="F49" s="4"/>
      <c r="G49" s="4"/>
      <c r="H49" s="4"/>
      <c r="I49" s="4"/>
      <c r="J49" s="4"/>
      <c r="K49" s="4"/>
      <c r="L49" s="4"/>
    </row>
    <row r="50" ht="15.75" customHeight="1">
      <c r="A50" s="4" t="str">
        <f>IFERROR(__xludf.DUMMYFUNCTION("""COMPUTED_VALUE"""),"TradingTicket")</f>
        <v>TradingTicket</v>
      </c>
      <c r="B50" s="4" t="str">
        <f>IFERROR(__xludf.DUMMYFUNCTION("""COMPUTED_VALUE"""),"OpenTTFromPST")</f>
        <v>OpenTTFromPST</v>
      </c>
      <c r="C50" s="4" t="str">
        <f>IFERROR(__xludf.DUMMYFUNCTION("""COMPUTED_VALUE"""),"1FjuLUHGwTLVNcZ31dqziB6PhJgIoI87PrQYnS_MxI6w")</f>
        <v>1FjuLUHGwTLVNcZ31dqziB6PhJgIoI87PrQYnS_MxI6w</v>
      </c>
      <c r="D50" s="4"/>
      <c r="E50" s="4"/>
      <c r="F50" s="4"/>
      <c r="G50" s="4"/>
      <c r="H50" s="4"/>
      <c r="I50" s="4"/>
      <c r="J50" s="4"/>
      <c r="K50" s="4"/>
      <c r="L50" s="4"/>
    </row>
    <row r="51" ht="15.75" customHeight="1">
      <c r="A51" s="4" t="str">
        <f>IFERROR(__xludf.DUMMYFUNCTION("""COMPUTED_VALUE"""),"CorporateAction")</f>
        <v>CorporateAction</v>
      </c>
      <c r="B51" s="4" t="str">
        <f>IFERROR(__xludf.DUMMYFUNCTION("""COMPUTED_VALUE"""),"CashDividend")</f>
        <v>CashDividend</v>
      </c>
      <c r="C51" s="4" t="str">
        <f>IFERROR(__xludf.DUMMYFUNCTION("""COMPUTED_VALUE"""),"Undefined")</f>
        <v>Undefined</v>
      </c>
      <c r="D51" s="4"/>
      <c r="E51" s="4"/>
      <c r="F51" s="4"/>
      <c r="G51" s="4"/>
      <c r="H51" s="4"/>
      <c r="I51" s="4"/>
      <c r="J51" s="4"/>
      <c r="K51" s="4"/>
      <c r="L51" s="4"/>
    </row>
    <row r="52" ht="15.75" customHeight="1">
      <c r="A52" s="4" t="str">
        <f>IFERROR(__xludf.DUMMYFUNCTION("""COMPUTED_VALUE"""),"CorporateAction")</f>
        <v>CorporateAction</v>
      </c>
      <c r="B52" s="4" t="str">
        <f>IFERROR(__xludf.DUMMYFUNCTION("""COMPUTED_VALUE"""),"Exchange")</f>
        <v>Exchange</v>
      </c>
      <c r="C52" s="4" t="str">
        <f>IFERROR(__xludf.DUMMYFUNCTION("""COMPUTED_VALUE"""),"Undefined")</f>
        <v>Undefined</v>
      </c>
      <c r="D52" s="4"/>
      <c r="E52" s="4"/>
      <c r="F52" s="4"/>
      <c r="G52" s="4"/>
      <c r="H52" s="4"/>
      <c r="I52" s="4"/>
      <c r="J52" s="4"/>
      <c r="K52" s="4"/>
      <c r="L52" s="4"/>
    </row>
    <row r="53" ht="15.75" customHeight="1">
      <c r="A53" s="4" t="str">
        <f>IFERROR(__xludf.DUMMYFUNCTION("""COMPUTED_VALUE"""),"CorporateAction")</f>
        <v>CorporateAction</v>
      </c>
      <c r="B53" s="4" t="str">
        <f>IFERROR(__xludf.DUMMYFUNCTION("""COMPUTED_VALUE"""),"Merger")</f>
        <v>Merger</v>
      </c>
      <c r="C53" s="4" t="str">
        <f>IFERROR(__xludf.DUMMYFUNCTION("""COMPUTED_VALUE"""),"Undefined")</f>
        <v>Undefined</v>
      </c>
      <c r="D53" s="4"/>
      <c r="E53" s="4"/>
      <c r="F53" s="4"/>
      <c r="G53" s="4"/>
      <c r="H53" s="4"/>
      <c r="I53" s="4"/>
      <c r="J53" s="4"/>
      <c r="K53" s="4"/>
      <c r="L53" s="4"/>
    </row>
    <row r="54" ht="15.75" customHeight="1">
      <c r="A54" s="4" t="str">
        <f>IFERROR(__xludf.DUMMYFUNCTION("""COMPUTED_VALUE"""),"CorporateAction")</f>
        <v>CorporateAction</v>
      </c>
      <c r="B54" s="4" t="str">
        <f>IFERROR(__xludf.DUMMYFUNCTION("""COMPUTED_VALUE"""),"NameChange")</f>
        <v>NameChange</v>
      </c>
      <c r="C54" s="4" t="str">
        <f>IFERROR(__xludf.DUMMYFUNCTION("""COMPUTED_VALUE"""),"Undefined")</f>
        <v>Undefined</v>
      </c>
      <c r="D54" s="4"/>
      <c r="E54" s="4"/>
      <c r="F54" s="4"/>
      <c r="G54" s="4"/>
      <c r="H54" s="4"/>
      <c r="I54" s="4"/>
      <c r="J54" s="4"/>
      <c r="K54" s="4"/>
      <c r="L54" s="4"/>
    </row>
    <row r="55" ht="15.75" customHeight="1">
      <c r="A55" s="4" t="str">
        <f>IFERROR(__xludf.DUMMYFUNCTION("""COMPUTED_VALUE"""),"CorporateAction")</f>
        <v>CorporateAction</v>
      </c>
      <c r="B55" s="4" t="str">
        <f>IFERROR(__xludf.DUMMYFUNCTION("""COMPUTED_VALUE"""),"SpinOff")</f>
        <v>SpinOff</v>
      </c>
      <c r="C55" s="4" t="str">
        <f>IFERROR(__xludf.DUMMYFUNCTION("""COMPUTED_VALUE"""),"1qMBNCqmLroUbEfWZ7WurEo9lsZVM23zrfZgeqSulKQE")</f>
        <v>1qMBNCqmLroUbEfWZ7WurEo9lsZVM23zrfZgeqSulKQE</v>
      </c>
      <c r="D55" s="4"/>
      <c r="E55" s="4"/>
      <c r="F55" s="4"/>
      <c r="G55" s="4"/>
      <c r="H55" s="4"/>
      <c r="I55" s="4"/>
      <c r="J55" s="4"/>
      <c r="K55" s="4"/>
      <c r="L55" s="4"/>
    </row>
    <row r="56" ht="15.75" customHeight="1">
      <c r="A56" s="4" t="str">
        <f>IFERROR(__xludf.DUMMYFUNCTION("""COMPUTED_VALUE"""),"CorporateAction")</f>
        <v>CorporateAction</v>
      </c>
      <c r="B56" s="4" t="str">
        <f>IFERROR(__xludf.DUMMYFUNCTION("""COMPUTED_VALUE"""),"StockDividend")</f>
        <v>StockDividend</v>
      </c>
      <c r="C56" s="4" t="str">
        <f>IFERROR(__xludf.DUMMYFUNCTION("""COMPUTED_VALUE"""),"Undefined")</f>
        <v>Undefined</v>
      </c>
      <c r="D56" s="4"/>
      <c r="E56" s="4"/>
      <c r="F56" s="4"/>
      <c r="G56" s="4"/>
      <c r="H56" s="4"/>
      <c r="I56" s="4"/>
      <c r="J56" s="4"/>
      <c r="K56" s="4"/>
      <c r="L56" s="4"/>
    </row>
    <row r="57" ht="15.75" customHeight="1">
      <c r="A57" s="4" t="str">
        <f>IFERROR(__xludf.DUMMYFUNCTION("""COMPUTED_VALUE"""),"TradingTicket")</f>
        <v>TradingTicket</v>
      </c>
      <c r="B57" s="4" t="str">
        <f>IFERROR(__xludf.DUMMYFUNCTION("""COMPUTED_VALUE"""),"EnterDetailsOnTT")</f>
        <v>EnterDetailsOnTT</v>
      </c>
      <c r="C57" s="4" t="str">
        <f>IFERROR(__xludf.DUMMYFUNCTION("""COMPUTED_VALUE"""),"1G2yAwEmGug4VRRGiVJM3yHe88F7UHCmwLdFo2-Xj4bA")</f>
        <v>1G2yAwEmGug4VRRGiVJM3yHe88F7UHCmwLdFo2-Xj4bA</v>
      </c>
      <c r="D57" s="4"/>
      <c r="E57" s="4"/>
      <c r="F57" s="4"/>
      <c r="G57" s="4"/>
      <c r="H57" s="4"/>
      <c r="I57" s="4"/>
      <c r="J57" s="4"/>
      <c r="K57" s="4"/>
      <c r="L57" s="4"/>
    </row>
    <row r="58" ht="15.75" customHeight="1">
      <c r="A58" s="4" t="str">
        <f>IFERROR(__xludf.DUMMYFUNCTION("""COMPUTED_VALUE"""),"DailyValuation")</f>
        <v>DailyValuation</v>
      </c>
      <c r="B58" s="4" t="str">
        <f>IFERROR(__xludf.DUMMYFUNCTION("""COMPUTED_VALUE"""),"CleanUp")</f>
        <v>CleanUp</v>
      </c>
      <c r="C58" s="4" t="str">
        <f>IFERROR(__xludf.DUMMYFUNCTION("""COMPUTED_VALUE"""),"Undefined")</f>
        <v>Undefined</v>
      </c>
      <c r="D58" s="4"/>
      <c r="E58" s="4"/>
      <c r="F58" s="4"/>
      <c r="G58" s="4"/>
      <c r="H58" s="4"/>
      <c r="I58" s="4"/>
      <c r="J58" s="4"/>
      <c r="K58" s="4"/>
      <c r="L58" s="4"/>
    </row>
    <row r="59" ht="15.75" customHeight="1">
      <c r="A59" s="4" t="str">
        <f>IFERROR(__xludf.DUMMYFUNCTION("""COMPUTED_VALUE"""),"Allocation")</f>
        <v>Allocation</v>
      </c>
      <c r="B59" s="4" t="str">
        <f>IFERROR(__xludf.DUMMYFUNCTION("""COMPUTED_VALUE"""),"EditUnallocatedGroupSidePanel")</f>
        <v>EditUnallocatedGroupSidePanel</v>
      </c>
      <c r="C59" s="4" t="str">
        <f>IFERROR(__xludf.DUMMYFUNCTION("""COMPUTED_VALUE"""),"1sN4dA0wRDbkiqDmGZD3fRqB5XP8vsNgVSKTClqF2aqA")</f>
        <v>1sN4dA0wRDbkiqDmGZD3fRqB5XP8vsNgVSKTClqF2aqA</v>
      </c>
      <c r="D59" s="4"/>
      <c r="E59" s="4"/>
      <c r="F59" s="4"/>
      <c r="G59" s="4"/>
      <c r="H59" s="4"/>
      <c r="I59" s="4"/>
      <c r="J59" s="4"/>
      <c r="K59" s="4"/>
      <c r="L59" s="4"/>
    </row>
    <row r="60" ht="15.75" customHeight="1">
      <c r="A60" s="4" t="str">
        <f>IFERROR(__xludf.DUMMYFUNCTION("""COMPUTED_VALUE"""),"Allocation")</f>
        <v>Allocation</v>
      </c>
      <c r="B60" s="4" t="str">
        <f>IFERROR(__xludf.DUMMYFUNCTION("""COMPUTED_VALUE"""),"TradeAttributeBulkChange")</f>
        <v>TradeAttributeBulkChange</v>
      </c>
      <c r="C60" s="4" t="str">
        <f>IFERROR(__xludf.DUMMYFUNCTION("""COMPUTED_VALUE"""),"1iFwUbi4eWTRVGpAAB27Nc1Ubu4j6hxNuLgSZZV6c_E4")</f>
        <v>1iFwUbi4eWTRVGpAAB27Nc1Ubu4j6hxNuLgSZZV6c_E4</v>
      </c>
      <c r="D60" s="4"/>
      <c r="E60" s="4"/>
      <c r="F60" s="4"/>
      <c r="G60" s="4"/>
      <c r="H60" s="4"/>
      <c r="I60" s="4"/>
      <c r="J60" s="4"/>
      <c r="K60" s="4"/>
      <c r="L60" s="4"/>
    </row>
    <row r="61" ht="15.75" customHeight="1">
      <c r="A61" s="4" t="str">
        <f>IFERROR(__xludf.DUMMYFUNCTION("""COMPUTED_VALUE"""),"Allocation")</f>
        <v>Allocation</v>
      </c>
      <c r="B61" s="4" t="str">
        <f>IFERROR(__xludf.DUMMYFUNCTION("""COMPUTED_VALUE"""),"ApplyBulkUpdateOnGroups")</f>
        <v>ApplyBulkUpdateOnGroups</v>
      </c>
      <c r="C61" s="4" t="str">
        <f>IFERROR(__xludf.DUMMYFUNCTION("""COMPUTED_VALUE"""),"1XV7WEkcXTDuOgwDoGhKvy8HU-K-3479ZHAEZBvsa_tc")</f>
        <v>1XV7WEkcXTDuOgwDoGhKvy8HU-K-3479ZHAEZBvsa_tc</v>
      </c>
      <c r="D61" s="4"/>
      <c r="E61" s="4"/>
      <c r="F61" s="4"/>
      <c r="G61" s="4"/>
      <c r="H61" s="4"/>
      <c r="I61" s="4"/>
      <c r="J61" s="4"/>
      <c r="K61" s="4"/>
      <c r="L61" s="4"/>
    </row>
    <row r="62" ht="15.75" customHeight="1">
      <c r="A62" s="4" t="str">
        <f>IFERROR(__xludf.DUMMYFUNCTION("""COMPUTED_VALUE"""),"Allocation")</f>
        <v>Allocation</v>
      </c>
      <c r="B62" s="4" t="str">
        <f>IFERROR(__xludf.DUMMYFUNCTION("""COMPUTED_VALUE"""),"ApplyPrefetchFilters")</f>
        <v>ApplyPrefetchFilters</v>
      </c>
      <c r="C62" s="4" t="str">
        <f>IFERROR(__xludf.DUMMYFUNCTION("""COMPUTED_VALUE"""),"1sQmxpKX5ogSXiV1qHf6NVjQl8QoUTsuD2rJ4pzqABAg")</f>
        <v>1sQmxpKX5ogSXiV1qHf6NVjQl8QoUTsuD2rJ4pzqABAg</v>
      </c>
      <c r="D62" s="4"/>
      <c r="E62" s="4"/>
      <c r="F62" s="4"/>
      <c r="G62" s="4"/>
      <c r="H62" s="4"/>
      <c r="I62" s="4"/>
      <c r="J62" s="4"/>
      <c r="K62" s="4"/>
      <c r="L62" s="4"/>
    </row>
    <row r="63" ht="15.75" customHeight="1">
      <c r="A63" s="4" t="str">
        <f>IFERROR(__xludf.DUMMYFUNCTION("""COMPUTED_VALUE"""),"Allocation")</f>
        <v>Allocation</v>
      </c>
      <c r="B63" s="4" t="str">
        <f>IFERROR(__xludf.DUMMYFUNCTION("""COMPUTED_VALUE"""),"GeneralPreferencesDefaultRule")</f>
        <v>GeneralPreferencesDefaultRule</v>
      </c>
      <c r="C63" s="4" t="str">
        <f>IFERROR(__xludf.DUMMYFUNCTION("""COMPUTED_VALUE"""),"1WOXvZZCIiWWwLt85sMAJs5lA2Sd5seftlo0-PMFepo4")</f>
        <v>1WOXvZZCIiWWwLt85sMAJs5lA2Sd5seftlo0-PMFepo4</v>
      </c>
      <c r="D63" s="4"/>
      <c r="E63" s="4"/>
      <c r="F63" s="4"/>
      <c r="G63" s="4"/>
      <c r="H63" s="4"/>
      <c r="I63" s="4"/>
      <c r="J63" s="4"/>
      <c r="K63" s="4"/>
      <c r="L63" s="4"/>
    </row>
    <row r="64" ht="15.75" customHeight="1">
      <c r="A64" s="4" t="str">
        <f>IFERROR(__xludf.DUMMYFUNCTION("""COMPUTED_VALUE"""),"Allocation")</f>
        <v>Allocation</v>
      </c>
      <c r="B64" s="4" t="str">
        <f>IFERROR(__xludf.DUMMYFUNCTION("""COMPUTED_VALUE"""),"GeneralPrefCompanyUserWise")</f>
        <v>GeneralPrefCompanyUserWise</v>
      </c>
      <c r="C64" s="4" t="str">
        <f>IFERROR(__xludf.DUMMYFUNCTION("""COMPUTED_VALUE"""),"13pRCCWisWUdYIzGghxtJvmhlBsj5sDr94g6VDPP0q-o")</f>
        <v>13pRCCWisWUdYIzGghxtJvmhlBsj5sDr94g6VDPP0q-o</v>
      </c>
      <c r="D64" s="4"/>
      <c r="E64" s="4"/>
      <c r="F64" s="4"/>
      <c r="G64" s="4"/>
      <c r="H64" s="4"/>
      <c r="I64" s="4"/>
      <c r="J64" s="4"/>
      <c r="K64" s="4"/>
      <c r="L64" s="4"/>
    </row>
    <row r="65" ht="15.75" customHeight="1">
      <c r="A65" s="4" t="str">
        <f>IFERROR(__xludf.DUMMYFUNCTION("""COMPUTED_VALUE"""),"Allocation")</f>
        <v>Allocation</v>
      </c>
      <c r="B65" s="4" t="str">
        <f>IFERROR(__xludf.DUMMYFUNCTION("""COMPUTED_VALUE"""),"RenameTradeAttributes")</f>
        <v>RenameTradeAttributes</v>
      </c>
      <c r="C65" s="4" t="str">
        <f>IFERROR(__xludf.DUMMYFUNCTION("""COMPUTED_VALUE"""),"1npQSl0FjE4Lw1QD6s0yIpLzJ-rj0nbumIonEIRbWZwA")</f>
        <v>1npQSl0FjE4Lw1QD6s0yIpLzJ-rj0nbumIonEIRbWZwA</v>
      </c>
      <c r="D65" s="4"/>
      <c r="E65" s="4"/>
      <c r="F65" s="4"/>
      <c r="G65" s="4"/>
      <c r="H65" s="4"/>
      <c r="I65" s="4"/>
      <c r="J65" s="4"/>
      <c r="K65" s="4"/>
      <c r="L65" s="4"/>
    </row>
    <row r="66" ht="15.75" customHeight="1">
      <c r="A66" s="4" t="str">
        <f>IFERROR(__xludf.DUMMYFUNCTION("""COMPUTED_VALUE"""),"Allocation")</f>
        <v>Allocation</v>
      </c>
      <c r="B66" s="4" t="str">
        <f>IFERROR(__xludf.DUMMYFUNCTION("""COMPUTED_VALUE"""),"SetGroupingRules")</f>
        <v>SetGroupingRules</v>
      </c>
      <c r="C66" s="4" t="str">
        <f>IFERROR(__xludf.DUMMYFUNCTION("""COMPUTED_VALUE"""),"1-pEik0paMvKDzhMzUpCB2FadNd3tINN9bPXcpr5W9hI")</f>
        <v>1-pEik0paMvKDzhMzUpCB2FadNd3tINN9bPXcpr5W9hI</v>
      </c>
      <c r="D66" s="4"/>
      <c r="E66" s="4"/>
      <c r="F66" s="4"/>
      <c r="G66" s="4"/>
      <c r="H66" s="4"/>
      <c r="I66" s="4"/>
      <c r="J66" s="4"/>
      <c r="K66" s="4"/>
      <c r="L66" s="4"/>
    </row>
    <row r="67" ht="15.75" customHeight="1">
      <c r="A67" s="4" t="str">
        <f>IFERROR(__xludf.DUMMYFUNCTION("""COMPUTED_VALUE"""),"Allocation")</f>
        <v>Allocation</v>
      </c>
      <c r="B67" s="4" t="str">
        <f>IFERROR(__xludf.DUMMYFUNCTION("""COMPUTED_VALUE"""),"SetMasterFundRatio")</f>
        <v>SetMasterFundRatio</v>
      </c>
      <c r="C67" s="4" t="str">
        <f>IFERROR(__xludf.DUMMYFUNCTION("""COMPUTED_VALUE"""),"1G5A2JHuXFwIAKeFyFP_6qaRbfVnU9mvHz6q_tG-5I3M")</f>
        <v>1G5A2JHuXFwIAKeFyFP_6qaRbfVnU9mvHz6q_tG-5I3M</v>
      </c>
      <c r="D67" s="4"/>
      <c r="E67" s="4"/>
      <c r="F67" s="4"/>
      <c r="G67" s="4"/>
      <c r="H67" s="4"/>
      <c r="I67" s="4"/>
      <c r="J67" s="4"/>
      <c r="K67" s="4"/>
      <c r="L67" s="4"/>
    </row>
    <row r="68" ht="15.75" customHeight="1">
      <c r="A68" s="4" t="str">
        <f>IFERROR(__xludf.DUMMYFUNCTION("""COMPUTED_VALUE"""),"Allocation")</f>
        <v>Allocation</v>
      </c>
      <c r="B68" s="4" t="str">
        <f>IFERROR(__xludf.DUMMYFUNCTION("""COMPUTED_VALUE"""),"CheckFixedPreference")</f>
        <v>CheckFixedPreference</v>
      </c>
      <c r="C68" s="4" t="str">
        <f>IFERROR(__xludf.DUMMYFUNCTION("""COMPUTED_VALUE"""),"1Qf7-OMFYaQTpiT3A76WLvhP_zTcAvN-GlTkEKWQI6CI")</f>
        <v>1Qf7-OMFYaQTpiT3A76WLvhP_zTcAvN-GlTkEKWQI6CI</v>
      </c>
      <c r="D68" s="4"/>
      <c r="E68" s="4"/>
      <c r="F68" s="4"/>
      <c r="G68" s="4"/>
      <c r="H68" s="4"/>
      <c r="I68" s="4"/>
      <c r="J68" s="4"/>
      <c r="K68" s="4"/>
      <c r="L68" s="4"/>
    </row>
    <row r="69" ht="15.75" customHeight="1">
      <c r="A69" s="4" t="str">
        <f>IFERROR(__xludf.DUMMYFUNCTION("""COMPUTED_VALUE"""),"Allocation")</f>
        <v>Allocation</v>
      </c>
      <c r="B69" s="4" t="str">
        <f>IFERROR(__xludf.DUMMYFUNCTION("""COMPUTED_VALUE"""),"GetFixedPreference")</f>
        <v>GetFixedPreference</v>
      </c>
      <c r="C69" s="4" t="str">
        <f>IFERROR(__xludf.DUMMYFUNCTION("""COMPUTED_VALUE"""),"1X2GLgKZ0jCCf9C8tNz4LZTT8MEJ0rPmHVf74CRF92nI")</f>
        <v>1X2GLgKZ0jCCf9C8tNz4LZTT8MEJ0rPmHVf74CRF92nI</v>
      </c>
      <c r="D69" s="4"/>
      <c r="E69" s="4"/>
      <c r="F69" s="4"/>
      <c r="G69" s="4"/>
      <c r="H69" s="4"/>
      <c r="I69" s="4"/>
      <c r="J69" s="4"/>
      <c r="K69" s="4"/>
      <c r="L69" s="4"/>
    </row>
    <row r="70" ht="15.75" customHeight="1">
      <c r="A70" s="4" t="str">
        <f>IFERROR(__xludf.DUMMYFUNCTION("""COMPUTED_VALUE"""),"Allocation")</f>
        <v>Allocation</v>
      </c>
      <c r="B70" s="4" t="str">
        <f>IFERROR(__xludf.DUMMYFUNCTION("""COMPUTED_VALUE"""),"AddCalculatedPreferences")</f>
        <v>AddCalculatedPreferences</v>
      </c>
      <c r="C70" s="4" t="str">
        <f>IFERROR(__xludf.DUMMYFUNCTION("""COMPUTED_VALUE"""),"1e3JDW1yEKYP-8ma-BqYu0whzm4Ze8aVDK3dsCw79llk")</f>
        <v>1e3JDW1yEKYP-8ma-BqYu0whzm4Ze8aVDK3dsCw79llk</v>
      </c>
      <c r="D70" s="4"/>
      <c r="E70" s="4"/>
      <c r="F70" s="4"/>
      <c r="G70" s="4"/>
      <c r="H70" s="4"/>
      <c r="I70" s="4"/>
      <c r="J70" s="4"/>
      <c r="K70" s="4"/>
      <c r="L70" s="4"/>
    </row>
    <row r="71" ht="15.75" customHeight="1">
      <c r="A71" s="4" t="str">
        <f>IFERROR(__xludf.DUMMYFUNCTION("""COMPUTED_VALUE"""),"Allocation")</f>
        <v>Allocation</v>
      </c>
      <c r="B71" s="4" t="str">
        <f>IFERROR(__xludf.DUMMYFUNCTION("""COMPUTED_VALUE"""),"BulkChangeCalculatedPreferences")</f>
        <v>BulkChangeCalculatedPreferences</v>
      </c>
      <c r="C71" s="4" t="str">
        <f>IFERROR(__xludf.DUMMYFUNCTION("""COMPUTED_VALUE"""),"1eR96defw9DNiXlrKjqRh3R-qg9Pp1BeoNro96zMlcU0")</f>
        <v>1eR96defw9DNiXlrKjqRh3R-qg9Pp1BeoNro96zMlcU0</v>
      </c>
      <c r="D71" s="4"/>
      <c r="E71" s="4"/>
      <c r="F71" s="4"/>
      <c r="G71" s="4"/>
      <c r="H71" s="4"/>
      <c r="I71" s="4"/>
      <c r="J71" s="4"/>
      <c r="K71" s="4"/>
      <c r="L71" s="4"/>
    </row>
    <row r="72" ht="15.75" customHeight="1">
      <c r="A72" s="4" t="str">
        <f>IFERROR(__xludf.DUMMYFUNCTION("""COMPUTED_VALUE"""),"Allocation")</f>
        <v>Allocation</v>
      </c>
      <c r="B72" s="4" t="str">
        <f>IFERROR(__xludf.DUMMYFUNCTION("""COMPUTED_VALUE"""),"DeleteCalculatedPreferences")</f>
        <v>DeleteCalculatedPreferences</v>
      </c>
      <c r="C72" s="4" t="str">
        <f>IFERROR(__xludf.DUMMYFUNCTION("""COMPUTED_VALUE"""),"1SYzOFlwMP7q1fa9ftG5nF3Q9-tr0BByrF1knPegiHxE")</f>
        <v>1SYzOFlwMP7q1fa9ftG5nF3Q9-tr0BByrF1knPegiHxE</v>
      </c>
      <c r="D72" s="4"/>
      <c r="E72" s="4"/>
      <c r="F72" s="4"/>
      <c r="G72" s="4"/>
      <c r="H72" s="4"/>
      <c r="I72" s="4"/>
      <c r="J72" s="4"/>
      <c r="K72" s="4"/>
      <c r="L72" s="4"/>
    </row>
    <row r="73" ht="15.75" customHeight="1">
      <c r="A73" s="4" t="str">
        <f>IFERROR(__xludf.DUMMYFUNCTION("""COMPUTED_VALUE"""),"Allocation")</f>
        <v>Allocation</v>
      </c>
      <c r="B73" s="4" t="str">
        <f>IFERROR(__xludf.DUMMYFUNCTION("""COMPUTED_VALUE"""),"RenameCalculatedPreferences")</f>
        <v>RenameCalculatedPreferences</v>
      </c>
      <c r="C73" s="4" t="str">
        <f>IFERROR(__xludf.DUMMYFUNCTION("""COMPUTED_VALUE"""),"1oCPrKMTa-3fxaM06t7r0xjhAywYxptxUUWlM6IrpjIM")</f>
        <v>1oCPrKMTa-3fxaM06t7r0xjhAywYxptxUUWlM6IrpjIM</v>
      </c>
      <c r="D73" s="4"/>
      <c r="E73" s="4"/>
      <c r="F73" s="4"/>
      <c r="G73" s="4"/>
      <c r="H73" s="4"/>
      <c r="I73" s="4"/>
      <c r="J73" s="4"/>
      <c r="K73" s="4"/>
      <c r="L73" s="4"/>
    </row>
    <row r="74" ht="15.75" customHeight="1">
      <c r="A74" s="4" t="str">
        <f>IFERROR(__xludf.DUMMYFUNCTION("""COMPUTED_VALUE"""),"Allocation")</f>
        <v>Allocation</v>
      </c>
      <c r="B74" s="4" t="str">
        <f>IFERROR(__xludf.DUMMYFUNCTION("""COMPUTED_VALUE"""),"CopyCalculatedPreferences")</f>
        <v>CopyCalculatedPreferences</v>
      </c>
      <c r="C74" s="4" t="str">
        <f>IFERROR(__xludf.DUMMYFUNCTION("""COMPUTED_VALUE"""),"1Juj0ekcKQL6KCq8ujd84mA8LXjLIO7F5-pt1BH073k4")</f>
        <v>1Juj0ekcKQL6KCq8ujd84mA8LXjLIO7F5-pt1BH073k4</v>
      </c>
      <c r="D74" s="4"/>
      <c r="E74" s="4"/>
      <c r="F74" s="4"/>
      <c r="G74" s="4"/>
      <c r="H74" s="4"/>
      <c r="I74" s="4"/>
      <c r="J74" s="4"/>
      <c r="K74" s="4"/>
      <c r="L74" s="4"/>
    </row>
    <row r="75" ht="15.75" customHeight="1">
      <c r="A75" s="4" t="str">
        <f>IFERROR(__xludf.DUMMYFUNCTION("""COMPUTED_VALUE"""),"Allocation")</f>
        <v>Allocation</v>
      </c>
      <c r="B75" s="4" t="str">
        <f>IFERROR(__xludf.DUMMYFUNCTION("""COMPUTED_VALUE"""),"RunAutoGroup")</f>
        <v>RunAutoGroup</v>
      </c>
      <c r="C75" s="4" t="str">
        <f>IFERROR(__xludf.DUMMYFUNCTION("""COMPUTED_VALUE"""),"1TxDikOKco3kj-fpVp_swFmHRjk9xUFlp6SC01FXKsUA")</f>
        <v>1TxDikOKco3kj-fpVp_swFmHRjk9xUFlp6SC01FXKsUA</v>
      </c>
      <c r="D75" s="4"/>
      <c r="E75" s="4"/>
      <c r="F75" s="4"/>
      <c r="G75" s="4"/>
      <c r="H75" s="4"/>
      <c r="I75" s="4"/>
      <c r="J75" s="4"/>
      <c r="K75" s="4"/>
      <c r="L75" s="4"/>
    </row>
    <row r="76" ht="15.75" customHeight="1">
      <c r="A76" s="4" t="str">
        <f>IFERROR(__xludf.DUMMYFUNCTION("""COMPUTED_VALUE"""),"Allocation")</f>
        <v>Allocation</v>
      </c>
      <c r="B76" s="4" t="str">
        <f>IFERROR(__xludf.DUMMYFUNCTION("""COMPUTED_VALUE"""),"BookOrUpdateSwap")</f>
        <v>BookOrUpdateSwap</v>
      </c>
      <c r="C76" s="4" t="str">
        <f>IFERROR(__xludf.DUMMYFUNCTION("""COMPUTED_VALUE"""),"1MIFnyUZMyR5a_8yHN1aP-GaxtBQUxu1tPzzD93BRKG4")</f>
        <v>1MIFnyUZMyR5a_8yHN1aP-GaxtBQUxu1tPzzD93BRKG4</v>
      </c>
      <c r="D76" s="4"/>
      <c r="E76" s="4"/>
      <c r="F76" s="4"/>
      <c r="G76" s="4"/>
      <c r="H76" s="4"/>
      <c r="I76" s="4"/>
      <c r="J76" s="4"/>
      <c r="K76" s="4"/>
      <c r="L76" s="4"/>
    </row>
    <row r="77" ht="15.75" customHeight="1">
      <c r="A77" s="4" t="str">
        <f>IFERROR(__xludf.DUMMYFUNCTION("""COMPUTED_VALUE"""),"Allocation")</f>
        <v>Allocation</v>
      </c>
      <c r="B77" s="4" t="str">
        <f>IFERROR(__xludf.DUMMYFUNCTION("""COMPUTED_VALUE"""),"RunProrata")</f>
        <v>RunProrata</v>
      </c>
      <c r="C77" s="4" t="str">
        <f>IFERROR(__xludf.DUMMYFUNCTION("""COMPUTED_VALUE"""),"1UcA_Bp3Tg0bduC_hG_ymQO8Nl0fC8zwr0dqhn3G0X7w")</f>
        <v>1UcA_Bp3Tg0bduC_hG_ymQO8Nl0fC8zwr0dqhn3G0X7w</v>
      </c>
      <c r="D77" s="4"/>
      <c r="E77" s="4"/>
      <c r="F77" s="4"/>
      <c r="G77" s="4"/>
      <c r="H77" s="4"/>
      <c r="I77" s="4"/>
      <c r="J77" s="4"/>
      <c r="K77" s="4"/>
      <c r="L77" s="4"/>
    </row>
    <row r="78" ht="15.75" customHeight="1">
      <c r="A78" s="4" t="str">
        <f>IFERROR(__xludf.DUMMYFUNCTION("""COMPUTED_VALUE"""),"Allocation")</f>
        <v>Allocation</v>
      </c>
      <c r="B78" s="4" t="str">
        <f>IFERROR(__xludf.DUMMYFUNCTION("""COMPUTED_VALUE"""),"SetDefaultRuleCalculatedPref")</f>
        <v>SetDefaultRuleCalculatedPref</v>
      </c>
      <c r="C78" s="4" t="str">
        <f>IFERROR(__xludf.DUMMYFUNCTION("""COMPUTED_VALUE"""),"1b3teGR3SeddkzmOAOI70zt3TPTIueqIXMb0_64vLmhg")</f>
        <v>1b3teGR3SeddkzmOAOI70zt3TPTIueqIXMb0_64vLmhg</v>
      </c>
      <c r="D78" s="4"/>
      <c r="E78" s="4"/>
      <c r="F78" s="4"/>
      <c r="G78" s="4"/>
      <c r="H78" s="4"/>
      <c r="I78" s="4"/>
      <c r="J78" s="4"/>
      <c r="K78" s="4"/>
      <c r="L78" s="4"/>
    </row>
    <row r="79" ht="15.75" customHeight="1">
      <c r="A79" s="4" t="str">
        <f>IFERROR(__xludf.DUMMYFUNCTION("""COMPUTED_VALUE"""),"Admin")</f>
        <v>Admin</v>
      </c>
      <c r="B79" s="4" t="str">
        <f>IFERROR(__xludf.DUMMYFUNCTION("""COMPUTED_VALUE"""),"SetTTUIPreferences")</f>
        <v>SetTTUIPreferences</v>
      </c>
      <c r="C79" s="4" t="str">
        <f>IFERROR(__xludf.DUMMYFUNCTION("""COMPUTED_VALUE"""),"1x3db-DRDI09f9JOxbjTsFLBMBLSyw9w2LJAcwA_jthE")</f>
        <v>1x3db-DRDI09f9JOxbjTsFLBMBLSyw9w2LJAcwA_jthE</v>
      </c>
      <c r="D79" s="4"/>
      <c r="E79" s="4"/>
      <c r="F79" s="4"/>
      <c r="G79" s="4"/>
      <c r="H79" s="4"/>
      <c r="I79" s="4"/>
      <c r="J79" s="4"/>
      <c r="K79" s="4"/>
      <c r="L79" s="4"/>
    </row>
    <row r="80" ht="15.75" customHeight="1">
      <c r="A80" s="4" t="str">
        <f>IFERROR(__xludf.DUMMYFUNCTION("""COMPUTED_VALUE"""),"Admin")</f>
        <v>Admin</v>
      </c>
      <c r="B80" s="4" t="str">
        <f>IFERROR(__xludf.DUMMYFUNCTION("""COMPUTED_VALUE"""),"TTPermissionLevel")</f>
        <v>TTPermissionLevel</v>
      </c>
      <c r="C80" s="4" t="str">
        <f>IFERROR(__xludf.DUMMYFUNCTION("""COMPUTED_VALUE"""),"1eWGWoFECkbD-qbHWTGCUT8Fyg7YSEuxVBQShAfH-4G8")</f>
        <v>1eWGWoFECkbD-qbHWTGCUT8Fyg7YSEuxVBQShAfH-4G8</v>
      </c>
      <c r="D80" s="4"/>
      <c r="E80" s="4"/>
      <c r="F80" s="4"/>
      <c r="G80" s="4"/>
      <c r="H80" s="4"/>
      <c r="I80" s="4"/>
      <c r="J80" s="4"/>
      <c r="K80" s="4"/>
      <c r="L80" s="4"/>
    </row>
    <row r="81" ht="15.75" customHeight="1">
      <c r="A81" s="4" t="str">
        <f>IFERROR(__xludf.DUMMYFUNCTION("""COMPUTED_VALUE"""),"TradingTicket")</f>
        <v>TradingTicket</v>
      </c>
      <c r="B81" s="4" t="str">
        <f>IFERROR(__xludf.DUMMYFUNCTION("""COMPUTED_VALUE"""),"ValidateSymbolTT")</f>
        <v>ValidateSymbolTT</v>
      </c>
      <c r="C81" s="4" t="str">
        <f>IFERROR(__xludf.DUMMYFUNCTION("""COMPUTED_VALUE"""),"19tHMRXibaAxm7XMdcCTWHQ4bfVUBpa3dYIoVg7LgjMU")</f>
        <v>19tHMRXibaAxm7XMdcCTWHQ4bfVUBpa3dYIoVg7LgjMU</v>
      </c>
      <c r="D81" s="4"/>
      <c r="E81" s="4"/>
      <c r="F81" s="4"/>
      <c r="G81" s="4"/>
      <c r="H81" s="4"/>
      <c r="I81" s="4"/>
      <c r="J81" s="4"/>
      <c r="K81" s="4"/>
      <c r="L81" s="4"/>
    </row>
    <row r="82" ht="15.75" customHeight="1">
      <c r="A82" s="4" t="str">
        <f>IFERROR(__xludf.DUMMYFUNCTION("""COMPUTED_VALUE"""),"TradingTicket")</f>
        <v>TradingTicket</v>
      </c>
      <c r="B82" s="4" t="str">
        <f>IFERROR(__xludf.DUMMYFUNCTION("""COMPUTED_VALUE"""),"VerifyDataTT")</f>
        <v>VerifyDataTT</v>
      </c>
      <c r="C82" s="4" t="str">
        <f>IFERROR(__xludf.DUMMYFUNCTION("""COMPUTED_VALUE"""),"Undefined")</f>
        <v>Undefined</v>
      </c>
      <c r="D82" s="4"/>
      <c r="E82" s="4"/>
      <c r="F82" s="4"/>
      <c r="G82" s="4"/>
      <c r="H82" s="4"/>
      <c r="I82" s="4"/>
      <c r="J82" s="4"/>
      <c r="K82" s="4"/>
      <c r="L82" s="4"/>
    </row>
    <row r="83" ht="15.75" customHeight="1">
      <c r="A83" s="4" t="str">
        <f>IFERROR(__xludf.DUMMYFUNCTION("""COMPUTED_VALUE"""),"TradingTicket")</f>
        <v>TradingTicket</v>
      </c>
      <c r="B83" s="4" t="str">
        <f>IFERROR(__xludf.DUMMYFUNCTION("""COMPUTED_VALUE"""),"SetUIPreferencesTT")</f>
        <v>SetUIPreferencesTT</v>
      </c>
      <c r="C83" s="4" t="str">
        <f>IFERROR(__xludf.DUMMYFUNCTION("""COMPUTED_VALUE"""),"15dCu2cI6h2zz7EyE3HRTPJXretS_8rJXb6kEecm2wE4")</f>
        <v>15dCu2cI6h2zz7EyE3HRTPJXretS_8rJXb6kEecm2wE4</v>
      </c>
      <c r="D83" s="4"/>
      <c r="E83" s="4"/>
      <c r="F83" s="4"/>
      <c r="G83" s="4"/>
      <c r="H83" s="4"/>
      <c r="I83" s="4"/>
      <c r="J83" s="4"/>
      <c r="K83" s="4"/>
      <c r="L83" s="4"/>
    </row>
    <row r="84" ht="15.75" customHeight="1">
      <c r="A84" s="4" t="str">
        <f>IFERROR(__xludf.DUMMYFUNCTION("""COMPUTED_VALUE"""),"TradingTicket")</f>
        <v>TradingTicket</v>
      </c>
      <c r="B84" s="4" t="str">
        <f>IFERROR(__xludf.DUMMYFUNCTION("""COMPUTED_VALUE"""),"SetBrokerWisePreferencesTT")</f>
        <v>SetBrokerWisePreferencesTT</v>
      </c>
      <c r="C84" s="4" t="str">
        <f>IFERROR(__xludf.DUMMYFUNCTION("""COMPUTED_VALUE"""),"1ox4TNNK5MqyA6BJGrZngJ2D4HejJ2lRtDKIKyPqu-tQ")</f>
        <v>1ox4TNNK5MqyA6BJGrZngJ2D4HejJ2lRtDKIKyPqu-tQ</v>
      </c>
      <c r="D84" s="4"/>
      <c r="E84" s="4"/>
      <c r="F84" s="4"/>
      <c r="G84" s="4"/>
      <c r="H84" s="4"/>
      <c r="I84" s="4"/>
      <c r="J84" s="4"/>
      <c r="K84" s="4"/>
      <c r="L84" s="4"/>
    </row>
    <row r="85" ht="15.75" customHeight="1">
      <c r="A85" s="4" t="str">
        <f>IFERROR(__xludf.DUMMYFUNCTION("""COMPUTED_VALUE"""),"TradingTicket")</f>
        <v>TradingTicket</v>
      </c>
      <c r="B85" s="4" t="str">
        <f>IFERROR(__xludf.DUMMYFUNCTION("""COMPUTED_VALUE"""),"VerifyComplianceOrder")</f>
        <v>VerifyComplianceOrder</v>
      </c>
      <c r="C85" s="4" t="str">
        <f>IFERROR(__xludf.DUMMYFUNCTION("""COMPUTED_VALUE"""),"1H1jKHI5sFjF2JGI5Hsg2bL9f8P4Efy6KU_cClE3r75U")</f>
        <v>1H1jKHI5sFjF2JGI5Hsg2bL9f8P4Efy6KU_cClE3r75U</v>
      </c>
      <c r="D85" s="4"/>
      <c r="E85" s="4"/>
      <c r="F85" s="4"/>
      <c r="G85" s="4"/>
      <c r="H85" s="4"/>
      <c r="I85" s="4"/>
      <c r="J85" s="4"/>
      <c r="K85" s="4"/>
      <c r="L85" s="4"/>
    </row>
    <row r="86" ht="15.75" customHeight="1">
      <c r="A86" s="4" t="str">
        <f>IFERROR(__xludf.DUMMYFUNCTION("""COMPUTED_VALUE"""),"Blotter")</f>
        <v>Blotter</v>
      </c>
      <c r="B86" s="4" t="str">
        <f>IFERROR(__xludf.DUMMYFUNCTION("""COMPUTED_VALUE"""),"BlotterFunctionalities")</f>
        <v>BlotterFunctionalities</v>
      </c>
      <c r="C86" s="4" t="str">
        <f>IFERROR(__xludf.DUMMYFUNCTION("""COMPUTED_VALUE"""),"1SOn4_JJeoHJYkiaVBjxfn5Lb7mA_qhKHshd3opLPQ1I")</f>
        <v>1SOn4_JJeoHJYkiaVBjxfn5Lb7mA_qhKHshd3opLPQ1I</v>
      </c>
      <c r="D86" s="4"/>
      <c r="E86" s="4"/>
      <c r="F86" s="4"/>
      <c r="G86" s="4"/>
      <c r="H86" s="4"/>
      <c r="I86" s="4"/>
      <c r="J86" s="4"/>
      <c r="K86" s="4"/>
      <c r="L86" s="4"/>
    </row>
    <row r="87" ht="15.75" customHeight="1">
      <c r="A87" s="4" t="str">
        <f>IFERROR(__xludf.DUMMYFUNCTION("""COMPUTED_VALUE"""),"TradingTicket")</f>
        <v>TradingTicket</v>
      </c>
      <c r="B87" s="4" t="str">
        <f>IFERROR(__xludf.DUMMYFUNCTION("""COMPUTED_VALUE"""),"TradeNewSub")</f>
        <v>TradeNewSub</v>
      </c>
      <c r="C87" s="4" t="str">
        <f>IFERROR(__xludf.DUMMYFUNCTION("""COMPUTED_VALUE"""),"1IorkfR8EskF9Rg56tJ2oKYZpqvMIZEs2668wybtTQB4")</f>
        <v>1IorkfR8EskF9Rg56tJ2oKYZpqvMIZEs2668wybtTQB4</v>
      </c>
      <c r="D87" s="4"/>
      <c r="E87" s="4"/>
      <c r="F87" s="4"/>
      <c r="G87" s="4"/>
      <c r="H87" s="4"/>
      <c r="I87" s="4"/>
      <c r="J87" s="4"/>
      <c r="K87" s="4"/>
      <c r="L87" s="4"/>
    </row>
    <row r="88" ht="15.75" customHeight="1">
      <c r="A88" s="4" t="str">
        <f>IFERROR(__xludf.DUMMYFUNCTION("""COMPUTED_VALUE"""),"GeneralLedger")</f>
        <v>GeneralLedger</v>
      </c>
      <c r="B88" s="4" t="str">
        <f>IFERROR(__xludf.DUMMYFUNCTION("""COMPUTED_VALUE"""),"GetTradingTransaction")</f>
        <v>GetTradingTransaction</v>
      </c>
      <c r="C88" s="4" t="str">
        <f>IFERROR(__xludf.DUMMYFUNCTION("""COMPUTED_VALUE"""),"1psefeS-lWFS-teA6LWf_DI6EUG6mtcOuqu918FZCTQU")</f>
        <v>1psefeS-lWFS-teA6LWf_DI6EUG6mtcOuqu918FZCTQU</v>
      </c>
      <c r="D88" s="4"/>
      <c r="E88" s="4"/>
      <c r="F88" s="4"/>
      <c r="G88" s="4"/>
      <c r="H88" s="4"/>
      <c r="I88" s="4"/>
      <c r="J88" s="4"/>
      <c r="K88" s="4"/>
      <c r="L88" s="4"/>
    </row>
    <row r="89" ht="15.75" customHeight="1">
      <c r="A89" s="4" t="str">
        <f>IFERROR(__xludf.DUMMYFUNCTION("""COMPUTED_VALUE"""),"GeneralLedger")</f>
        <v>GeneralLedger</v>
      </c>
      <c r="B89" s="4" t="str">
        <f>IFERROR(__xludf.DUMMYFUNCTION("""COMPUTED_VALUE"""),"GetActivityData")</f>
        <v>GetActivityData</v>
      </c>
      <c r="C89" s="4" t="str">
        <f>IFERROR(__xludf.DUMMYFUNCTION("""COMPUTED_VALUE"""),"1rznTwdTAEkrPH0xYZH81RkQ1wUryJGoM9CMoeL4nmcQ")</f>
        <v>1rznTwdTAEkrPH0xYZH81RkQ1wUryJGoM9CMoeL4nmcQ</v>
      </c>
      <c r="D89" s="4"/>
      <c r="E89" s="4"/>
      <c r="F89" s="4"/>
      <c r="G89" s="4"/>
      <c r="H89" s="4"/>
      <c r="I89" s="4"/>
      <c r="J89" s="4"/>
      <c r="K89" s="4"/>
      <c r="L89" s="4"/>
    </row>
    <row r="90" ht="15.75" customHeight="1">
      <c r="A90" s="4" t="str">
        <f>IFERROR(__xludf.DUMMYFUNCTION("""COMPUTED_VALUE"""),"Allocation")</f>
        <v>Allocation</v>
      </c>
      <c r="B90" s="4" t="str">
        <f>IFERROR(__xludf.DUMMYFUNCTION("""COMPUTED_VALUE"""),"SetAccountValueCalculatedPref")</f>
        <v>SetAccountValueCalculatedPref</v>
      </c>
      <c r="C90" s="4" t="str">
        <f>IFERROR(__xludf.DUMMYFUNCTION("""COMPUTED_VALUE"""),"1_z8RqXBRujVk2nmOKATscV8OMNcUKi2JifkR1W7KdRE")</f>
        <v>1_z8RqXBRujVk2nmOKATscV8OMNcUKi2JifkR1W7KdRE</v>
      </c>
      <c r="D90" s="4"/>
      <c r="E90" s="4"/>
      <c r="F90" s="4"/>
      <c r="G90" s="4"/>
      <c r="H90" s="4"/>
      <c r="I90" s="4"/>
      <c r="J90" s="4"/>
      <c r="K90" s="4"/>
      <c r="L90" s="4"/>
    </row>
    <row r="91" ht="15.75" customHeight="1">
      <c r="A91" s="4" t="str">
        <f>IFERROR(__xludf.DUMMYFUNCTION("""COMPUTED_VALUE"""),"Allocation")</f>
        <v>Allocation</v>
      </c>
      <c r="B91" s="4" t="str">
        <f>IFERROR(__xludf.DUMMYFUNCTION("""COMPUTED_VALUE"""),"TradeAttributeBulkChangeGroups")</f>
        <v>TradeAttributeBulkChangeGroups</v>
      </c>
      <c r="C91" s="4" t="str">
        <f>IFERROR(__xludf.DUMMYFUNCTION("""COMPUTED_VALUE"""),"1PWEqwYA12VgsLsj6lvnqrW4sngZuq-sjrmnpL9peQPo")</f>
        <v>1PWEqwYA12VgsLsj6lvnqrW4sngZuq-sjrmnpL9peQPo</v>
      </c>
      <c r="D91" s="4"/>
      <c r="E91" s="4"/>
      <c r="F91" s="4"/>
      <c r="G91" s="4"/>
      <c r="H91" s="4"/>
      <c r="I91" s="4"/>
      <c r="J91" s="4"/>
      <c r="K91" s="4"/>
      <c r="L91" s="4"/>
    </row>
    <row r="92" ht="15.75" customHeight="1">
      <c r="A92" s="4" t="str">
        <f>IFERROR(__xludf.DUMMYFUNCTION("""COMPUTED_VALUE"""),"Allocation")</f>
        <v>Allocation</v>
      </c>
      <c r="B92" s="4" t="str">
        <f>IFERROR(__xludf.DUMMYFUNCTION("""COMPUTED_VALUE"""),"TradeAttributeBulkChangeTaxlots")</f>
        <v>TradeAttributeBulkChangeTaxlots</v>
      </c>
      <c r="C92" s="4" t="str">
        <f>IFERROR(__xludf.DUMMYFUNCTION("""COMPUTED_VALUE"""),"1qWD23r6S8L6qNcKOENcBsVpBS_5raHBTtvCMOf8rwRo")</f>
        <v>1qWD23r6S8L6qNcKOENcBsVpBS_5raHBTtvCMOf8rwRo</v>
      </c>
      <c r="D92" s="4"/>
      <c r="E92" s="4"/>
      <c r="F92" s="4"/>
      <c r="G92" s="4"/>
      <c r="H92" s="4"/>
      <c r="I92" s="4"/>
      <c r="J92" s="4"/>
      <c r="K92" s="4"/>
      <c r="L92" s="4"/>
    </row>
    <row r="93" ht="15.75" customHeight="1">
      <c r="A93" s="4" t="str">
        <f>IFERROR(__xludf.DUMMYFUNCTION("""COMPUTED_VALUE"""),"Allocation")</f>
        <v>Allocation</v>
      </c>
      <c r="B93" s="4" t="str">
        <f>IFERROR(__xludf.DUMMYFUNCTION("""COMPUTED_VALUE"""),"AddCalculatedPreferenceToolbar")</f>
        <v>AddCalculatedPreferenceToolbar</v>
      </c>
      <c r="C93" s="4" t="str">
        <f>IFERROR(__xludf.DUMMYFUNCTION("""COMPUTED_VALUE"""),"1ih6B6H3dMqTN2qoqiNuco5rugaDHzlFQvUiQTafq1-Y")</f>
        <v>1ih6B6H3dMqTN2qoqiNuco5rugaDHzlFQvUiQTafq1-Y</v>
      </c>
      <c r="D93" s="4"/>
      <c r="E93" s="4"/>
      <c r="F93" s="4"/>
      <c r="G93" s="4"/>
      <c r="H93" s="4"/>
      <c r="I93" s="4"/>
      <c r="J93" s="4"/>
      <c r="K93" s="4"/>
      <c r="L93" s="4"/>
    </row>
    <row r="94" ht="15.75" customHeight="1">
      <c r="A94" s="4" t="str">
        <f>IFERROR(__xludf.DUMMYFUNCTION("""COMPUTED_VALUE"""),"GeneralLedger")</f>
        <v>GeneralLedger</v>
      </c>
      <c r="B94" s="4" t="str">
        <f>IFERROR(__xludf.DUMMYFUNCTION("""COMPUTED_VALUE"""),"GetRevaluationData")</f>
        <v>GetRevaluationData</v>
      </c>
      <c r="C94" s="4" t="str">
        <f>IFERROR(__xludf.DUMMYFUNCTION("""COMPUTED_VALUE"""),"105kp1yXOdHuKObnT282Gjsr9VcKIYY9fVt3jwRMQivk")</f>
        <v>105kp1yXOdHuKObnT282Gjsr9VcKIYY9fVt3jwRMQivk</v>
      </c>
      <c r="D94" s="4"/>
      <c r="E94" s="4"/>
      <c r="F94" s="4"/>
      <c r="G94" s="4"/>
      <c r="H94" s="4"/>
      <c r="I94" s="4"/>
      <c r="J94" s="4"/>
      <c r="K94" s="4"/>
      <c r="L94" s="4"/>
    </row>
    <row r="95" ht="15.75" customHeight="1">
      <c r="A95" s="4" t="str">
        <f>IFERROR(__xludf.DUMMYFUNCTION("""COMPUTED_VALUE"""),"Allocation")</f>
        <v>Allocation</v>
      </c>
      <c r="B95" s="4" t="str">
        <f>IFERROR(__xludf.DUMMYFUNCTION("""COMPUTED_VALUE"""),"SetStrategyValueCalculatedPref")</f>
        <v>SetStrategyValueCalculatedPref</v>
      </c>
      <c r="C95" s="4" t="str">
        <f>IFERROR(__xludf.DUMMYFUNCTION("""COMPUTED_VALUE"""),"155MwUZO0qphL6P5-kiOzXA9wszW7MLyU3r6cueRluPE")</f>
        <v>155MwUZO0qphL6P5-kiOzXA9wszW7MLyU3r6cueRluPE</v>
      </c>
      <c r="D95" s="4"/>
      <c r="E95" s="4"/>
      <c r="F95" s="4"/>
      <c r="G95" s="4"/>
      <c r="H95" s="4"/>
      <c r="I95" s="4"/>
      <c r="J95" s="4"/>
      <c r="K95" s="4"/>
      <c r="L95" s="4"/>
    </row>
    <row r="96" ht="15.75" customHeight="1">
      <c r="A96" s="4" t="str">
        <f>IFERROR(__xludf.DUMMYFUNCTION("""COMPUTED_VALUE"""),"GeneralLedger")</f>
        <v>GeneralLedger</v>
      </c>
      <c r="B96" s="4" t="str">
        <f>IFERROR(__xludf.DUMMYFUNCTION("""COMPUTED_VALUE"""),"GetAccountDetails")</f>
        <v>GetAccountDetails</v>
      </c>
      <c r="C96" s="4" t="str">
        <f>IFERROR(__xludf.DUMMYFUNCTION("""COMPUTED_VALUE"""),"1Me9UTDrd2996RjhiWBMkCi9mXdb5L42QQfdj510IoVM")</f>
        <v>1Me9UTDrd2996RjhiWBMkCi9mXdb5L42QQfdj510IoVM</v>
      </c>
      <c r="D96" s="4"/>
      <c r="E96" s="4"/>
      <c r="F96" s="4"/>
      <c r="G96" s="4"/>
      <c r="H96" s="4"/>
      <c r="I96" s="4"/>
      <c r="J96" s="4"/>
      <c r="K96" s="4"/>
      <c r="L96" s="4"/>
    </row>
    <row r="97" ht="15.75" customHeight="1">
      <c r="A97" s="4" t="str">
        <f>IFERROR(__xludf.DUMMYFUNCTION("""COMPUTED_VALUE"""),"Allocation")</f>
        <v>Allocation</v>
      </c>
      <c r="B97" s="4" t="str">
        <f>IFERROR(__xludf.DUMMYFUNCTION("""COMPUTED_VALUE"""),"ApplyBulkUpdateOnTaxlots")</f>
        <v>ApplyBulkUpdateOnTaxlots</v>
      </c>
      <c r="C97" s="4" t="str">
        <f>IFERROR(__xludf.DUMMYFUNCTION("""COMPUTED_VALUE"""),"1kSbyPWCAETWkagyJeACNwFnEDTZGBY7V9VzLov8MtUE")</f>
        <v>1kSbyPWCAETWkagyJeACNwFnEDTZGBY7V9VzLov8MtUE</v>
      </c>
      <c r="D97" s="4"/>
      <c r="E97" s="4"/>
      <c r="F97" s="4"/>
      <c r="G97" s="4"/>
      <c r="H97" s="4"/>
      <c r="I97" s="4"/>
      <c r="J97" s="4"/>
      <c r="K97" s="4"/>
      <c r="L97" s="4"/>
    </row>
    <row r="98" ht="15.75" customHeight="1">
      <c r="A98" s="4" t="str">
        <f>IFERROR(__xludf.DUMMYFUNCTION("""COMPUTED_VALUE"""),"GeneralLedger")</f>
        <v>GeneralLedger</v>
      </c>
      <c r="B98" s="4" t="str">
        <f>IFERROR(__xludf.DUMMYFUNCTION("""COMPUTED_VALUE"""),"GetNonTradingTransaction")</f>
        <v>GetNonTradingTransaction</v>
      </c>
      <c r="C98" s="4" t="str">
        <f>IFERROR(__xludf.DUMMYFUNCTION("""COMPUTED_VALUE"""),"1HUC5rEPCZfFcwW21tVUh6_8T3y5OGGZm3qS66vN0_Bc")</f>
        <v>1HUC5rEPCZfFcwW21tVUh6_8T3y5OGGZm3qS66vN0_Bc</v>
      </c>
      <c r="D98" s="4"/>
      <c r="E98" s="4"/>
      <c r="F98" s="4"/>
      <c r="G98" s="4"/>
      <c r="H98" s="4"/>
      <c r="I98" s="4"/>
      <c r="J98" s="4"/>
      <c r="K98" s="4"/>
      <c r="L98" s="4"/>
    </row>
    <row r="99" ht="15.75" customHeight="1">
      <c r="A99" s="4" t="str">
        <f>IFERROR(__xludf.DUMMYFUNCTION("""COMPUTED_VALUE"""),"Allocation")</f>
        <v>Allocation</v>
      </c>
      <c r="B99" s="4" t="str">
        <f>IFERROR(__xludf.DUMMYFUNCTION("""COMPUTED_VALUE"""),"CommissionBulkChangeOnGroups")</f>
        <v>CommissionBulkChangeOnGroups</v>
      </c>
      <c r="C99" s="4" t="str">
        <f>IFERROR(__xludf.DUMMYFUNCTION("""COMPUTED_VALUE"""),"1nqghloueAtXKgiCD7E97C4HJhoG52Mgd5lseF3sy40Y")</f>
        <v>1nqghloueAtXKgiCD7E97C4HJhoG52Mgd5lseF3sy40Y</v>
      </c>
      <c r="D99" s="4"/>
      <c r="E99" s="4"/>
      <c r="F99" s="4"/>
      <c r="G99" s="4"/>
      <c r="H99" s="4"/>
      <c r="I99" s="4"/>
      <c r="J99" s="4"/>
      <c r="K99" s="4"/>
      <c r="L99" s="4"/>
    </row>
    <row r="100" ht="15.75" customHeight="1">
      <c r="A100" s="4" t="str">
        <f>IFERROR(__xludf.DUMMYFUNCTION("""COMPUTED_VALUE"""),"GeneralLedger")</f>
        <v>GeneralLedger</v>
      </c>
      <c r="B100" s="4" t="str">
        <f>IFERROR(__xludf.DUMMYFUNCTION("""COMPUTED_VALUE"""),"GetDividendData")</f>
        <v>GetDividendData</v>
      </c>
      <c r="C100" s="4" t="str">
        <f>IFERROR(__xludf.DUMMYFUNCTION("""COMPUTED_VALUE"""),"1U4lTeqJHZq-7DOC_oNjNvpvqxZzMTAVQzmbDBSE3iSw")</f>
        <v>1U4lTeqJHZq-7DOC_oNjNvpvqxZzMTAVQzmbDBSE3iSw</v>
      </c>
      <c r="D100" s="4"/>
      <c r="E100" s="4"/>
      <c r="F100" s="4"/>
      <c r="G100" s="4"/>
      <c r="H100" s="4"/>
      <c r="I100" s="4"/>
      <c r="J100" s="4"/>
      <c r="K100" s="4"/>
      <c r="L100" s="4"/>
    </row>
    <row r="101" ht="15.75" customHeight="1">
      <c r="A101" s="4" t="str">
        <f>IFERROR(__xludf.DUMMYFUNCTION("""COMPUTED_VALUE"""),"Allocation")</f>
        <v>Allocation</v>
      </c>
      <c r="B101" s="4" t="str">
        <f>IFERROR(__xludf.DUMMYFUNCTION("""COMPUTED_VALUE"""),"CommissionBulkChangeOnTaxlots")</f>
        <v>CommissionBulkChangeOnTaxlots</v>
      </c>
      <c r="C101" s="4" t="str">
        <f>IFERROR(__xludf.DUMMYFUNCTION("""COMPUTED_VALUE"""),"1_7vsYYCvTxkAYqYXjLmISGV0viOCb9khDDddgaDCzbE")</f>
        <v>1_7vsYYCvTxkAYqYXjLmISGV0viOCb9khDDddgaDCzbE</v>
      </c>
      <c r="D101" s="4"/>
      <c r="E101" s="4"/>
      <c r="F101" s="4"/>
      <c r="G101" s="4"/>
      <c r="H101" s="4"/>
      <c r="I101" s="4"/>
      <c r="J101" s="4"/>
      <c r="K101" s="4"/>
      <c r="L101" s="4"/>
    </row>
    <row r="102" ht="15.75" customHeight="1">
      <c r="A102" s="4" t="str">
        <f>IFERROR(__xludf.DUMMYFUNCTION("""COMPUTED_VALUE"""),"GeneralLedger")</f>
        <v>GeneralLedger</v>
      </c>
      <c r="B102" s="4" t="str">
        <f>IFERROR(__xludf.DUMMYFUNCTION("""COMPUTED_VALUE"""),"VerifyNonTradingTransaction")</f>
        <v>VerifyNonTradingTransaction</v>
      </c>
      <c r="C102" s="4" t="str">
        <f>IFERROR(__xludf.DUMMYFUNCTION("""COMPUTED_VALUE"""),"1O0bP5QXQjQiDANZIp9Obrifa55tdLvVLynbjdLFGE3g")</f>
        <v>1O0bP5QXQjQiDANZIp9Obrifa55tdLvVLynbjdLFGE3g</v>
      </c>
      <c r="D102" s="4"/>
      <c r="E102" s="4"/>
      <c r="F102" s="4"/>
      <c r="G102" s="4"/>
      <c r="H102" s="4"/>
      <c r="I102" s="4"/>
      <c r="J102" s="4"/>
      <c r="K102" s="4"/>
      <c r="L102" s="4"/>
    </row>
    <row r="103" ht="15.75" customHeight="1">
      <c r="A103" s="4" t="str">
        <f>IFERROR(__xludf.DUMMYFUNCTION("""COMPUTED_VALUE"""),"Allocation")</f>
        <v>Allocation</v>
      </c>
      <c r="B103" s="4" t="str">
        <f>IFERROR(__xludf.DUMMYFUNCTION("""COMPUTED_VALUE"""),"SelectUnallocatedGroup")</f>
        <v>SelectUnallocatedGroup</v>
      </c>
      <c r="C103" s="4" t="str">
        <f>IFERROR(__xludf.DUMMYFUNCTION("""COMPUTED_VALUE"""),"1o4oo91ek1Mn_DDe4KMGTI4QP4Tr2a7dk4W6GhZrx8C0")</f>
        <v>1o4oo91ek1Mn_DDe4KMGTI4QP4Tr2a7dk4W6GhZrx8C0</v>
      </c>
      <c r="D103" s="4"/>
      <c r="E103" s="4"/>
      <c r="F103" s="4"/>
      <c r="G103" s="4"/>
      <c r="H103" s="4"/>
      <c r="I103" s="4"/>
      <c r="J103" s="4"/>
      <c r="K103" s="4"/>
      <c r="L103" s="4"/>
    </row>
    <row r="104" ht="15.75" customHeight="1">
      <c r="A104" s="4" t="str">
        <f>IFERROR(__xludf.DUMMYFUNCTION("""COMPUTED_VALUE"""),"GeneralLedger")</f>
        <v>GeneralLedger</v>
      </c>
      <c r="B104" s="4" t="str">
        <f>IFERROR(__xludf.DUMMYFUNCTION("""COMPUTED_VALUE"""),"VerifyDividend")</f>
        <v>VerifyDividend</v>
      </c>
      <c r="C104" s="4" t="str">
        <f>IFERROR(__xludf.DUMMYFUNCTION("""COMPUTED_VALUE"""),"1rqUHYcdAPy30n3DVnBbBC1G7pAs0HVw8bk6U4wElamU")</f>
        <v>1rqUHYcdAPy30n3DVnBbBC1G7pAs0HVw8bk6U4wElamU</v>
      </c>
      <c r="D104" s="4"/>
      <c r="E104" s="4"/>
      <c r="F104" s="4"/>
      <c r="G104" s="4"/>
      <c r="H104" s="4"/>
      <c r="I104" s="4"/>
      <c r="J104" s="4"/>
      <c r="K104" s="4"/>
      <c r="L104" s="4"/>
    </row>
    <row r="105" ht="15.75" customHeight="1">
      <c r="A105" s="4" t="str">
        <f>IFERROR(__xludf.DUMMYFUNCTION("""COMPUTED_VALUE"""),"Allocation")</f>
        <v>Allocation</v>
      </c>
      <c r="B105" s="4" t="str">
        <f>IFERROR(__xludf.DUMMYFUNCTION("""COMPUTED_VALUE"""),"EnterAccountValuesToAllocate")</f>
        <v>EnterAccountValuesToAllocate</v>
      </c>
      <c r="C105" s="4" t="str">
        <f>IFERROR(__xludf.DUMMYFUNCTION("""COMPUTED_VALUE"""),"1_xxunJZv--OoaMu--vIqANsrHbGnp7zgAejiREqgC9o")</f>
        <v>1_xxunJZv--OoaMu--vIqANsrHbGnp7zgAejiREqgC9o</v>
      </c>
      <c r="D105" s="4"/>
      <c r="E105" s="4"/>
      <c r="F105" s="4"/>
      <c r="G105" s="4"/>
      <c r="H105" s="4"/>
      <c r="I105" s="4"/>
      <c r="J105" s="4"/>
      <c r="K105" s="4"/>
      <c r="L105" s="4"/>
    </row>
    <row r="106" ht="15.75" customHeight="1">
      <c r="A106" s="4" t="str">
        <f>IFERROR(__xludf.DUMMYFUNCTION("""COMPUTED_VALUE"""),"GeneralLedger")</f>
        <v>GeneralLedger</v>
      </c>
      <c r="B106" s="4" t="str">
        <f>IFERROR(__xludf.DUMMYFUNCTION("""COMPUTED_VALUE"""),"GetOpeningBalanceData")</f>
        <v>GetOpeningBalanceData</v>
      </c>
      <c r="C106" s="4" t="str">
        <f>IFERROR(__xludf.DUMMYFUNCTION("""COMPUTED_VALUE"""),"1szTOtKIGVoQMbhobEgnUxaIGXhP5R27tXCm0Kr5COss")</f>
        <v>1szTOtKIGVoQMbhobEgnUxaIGXhP5R27tXCm0Kr5COss</v>
      </c>
      <c r="D106" s="4"/>
      <c r="E106" s="4"/>
      <c r="F106" s="4"/>
      <c r="G106" s="4"/>
      <c r="H106" s="4"/>
      <c r="I106" s="4"/>
      <c r="J106" s="4"/>
      <c r="K106" s="4"/>
      <c r="L106" s="4"/>
    </row>
    <row r="107" ht="15.75" customHeight="1">
      <c r="A107" s="4" t="str">
        <f>IFERROR(__xludf.DUMMYFUNCTION("""COMPUTED_VALUE"""),"Allocation")</f>
        <v>Allocation</v>
      </c>
      <c r="B107" s="4" t="str">
        <f>IFERROR(__xludf.DUMMYFUNCTION("""COMPUTED_VALUE"""),"EnterAllocatePreference")</f>
        <v>EnterAllocatePreference</v>
      </c>
      <c r="C107" s="4" t="str">
        <f>IFERROR(__xludf.DUMMYFUNCTION("""COMPUTED_VALUE"""),"19kT9xClnQROyvkZyFnUNnYg5PZsgZfC-L8n5MQshEKw")</f>
        <v>19kT9xClnQROyvkZyFnUNnYg5PZsgZfC-L8n5MQshEKw</v>
      </c>
      <c r="D107" s="4"/>
      <c r="E107" s="4"/>
      <c r="F107" s="4"/>
      <c r="G107" s="4"/>
      <c r="H107" s="4"/>
      <c r="I107" s="4"/>
      <c r="J107" s="4"/>
      <c r="K107" s="4"/>
      <c r="L107" s="4"/>
    </row>
    <row r="108" ht="15.75" customHeight="1">
      <c r="A108" s="4" t="str">
        <f>IFERROR(__xludf.DUMMYFUNCTION("""COMPUTED_VALUE"""),"GeneralLedger")</f>
        <v>GeneralLedger</v>
      </c>
      <c r="B108" s="4" t="str">
        <f>IFERROR(__xludf.DUMMYFUNCTION("""COMPUTED_VALUE"""),"GetAccountBalance")</f>
        <v>GetAccountBalance</v>
      </c>
      <c r="C108" s="4" t="str">
        <f>IFERROR(__xludf.DUMMYFUNCTION("""COMPUTED_VALUE"""),"14i8_M9tTYQnmPA2vP4WK8Gc1mKSw08Q2z6JEQNMQ2jA")</f>
        <v>14i8_M9tTYQnmPA2vP4WK8Gc1mKSw08Q2z6JEQNMQ2jA</v>
      </c>
      <c r="D108" s="4"/>
      <c r="E108" s="4"/>
      <c r="F108" s="4"/>
      <c r="G108" s="4"/>
      <c r="H108" s="4"/>
      <c r="I108" s="4"/>
      <c r="J108" s="4"/>
      <c r="K108" s="4"/>
      <c r="L108" s="4"/>
    </row>
    <row r="109" ht="15.75" customHeight="1">
      <c r="A109" s="4" t="str">
        <f>IFERROR(__xludf.DUMMYFUNCTION("""COMPUTED_VALUE"""),"Expnl")</f>
        <v>Expnl</v>
      </c>
      <c r="B109" s="4" t="str">
        <f>IFERROR(__xludf.DUMMYFUNCTION("""COMPUTED_VALUE"""),"RestartExpnl")</f>
        <v>RestartExpnl</v>
      </c>
      <c r="C109" s="4" t="str">
        <f>IFERROR(__xludf.DUMMYFUNCTION("""COMPUTED_VALUE"""),"1XudD6Nj0wqCZAKVseYGTPtKQwNCe9E1uqJVw4IlOpus")</f>
        <v>1XudD6Nj0wqCZAKVseYGTPtKQwNCe9E1uqJVw4IlOpus</v>
      </c>
      <c r="D109" s="4"/>
      <c r="E109" s="4"/>
      <c r="F109" s="4"/>
      <c r="G109" s="4"/>
      <c r="H109" s="4"/>
      <c r="I109" s="4"/>
      <c r="J109" s="4"/>
      <c r="K109" s="4"/>
      <c r="L109" s="4"/>
    </row>
    <row r="110" ht="15.75" customHeight="1">
      <c r="A110" s="4" t="str">
        <f>IFERROR(__xludf.DUMMYFUNCTION("""COMPUTED_VALUE"""),"PortfolioManagement")</f>
        <v>PortfolioManagement</v>
      </c>
      <c r="B110" s="4" t="str">
        <f>IFERROR(__xludf.DUMMYFUNCTION("""COMPUTED_VALUE"""),"ClosePM")</f>
        <v>ClosePM</v>
      </c>
      <c r="C110" s="4" t="str">
        <f>IFERROR(__xludf.DUMMYFUNCTION("""COMPUTED_VALUE"""),"Undefined")</f>
        <v>Undefined</v>
      </c>
      <c r="D110" s="4"/>
      <c r="E110" s="4"/>
      <c r="F110" s="4"/>
      <c r="G110" s="4"/>
      <c r="H110" s="4"/>
      <c r="I110" s="4"/>
      <c r="J110" s="4"/>
      <c r="K110" s="4"/>
      <c r="L110" s="4"/>
    </row>
    <row r="111" ht="15.75" customHeight="1">
      <c r="A111" s="4" t="str">
        <f>IFERROR(__xludf.DUMMYFUNCTION("""COMPUTED_VALUE"""),"Allocation")</f>
        <v>Allocation</v>
      </c>
      <c r="B111" s="4" t="str">
        <f>IFERROR(__xludf.DUMMYFUNCTION("""COMPUTED_VALUE"""),"EnterStrategyValuesToAllocate")</f>
        <v>EnterStrategyValuesToAllocate</v>
      </c>
      <c r="C111" s="4" t="str">
        <f>IFERROR(__xludf.DUMMYFUNCTION("""COMPUTED_VALUE"""),"1Zsko4640_o83_hPa401AVs4ihF17JntIpyHAOhJZX6E")</f>
        <v>1Zsko4640_o83_hPa401AVs4ihF17JntIpyHAOhJZX6E</v>
      </c>
      <c r="D111" s="4"/>
      <c r="E111" s="4"/>
      <c r="F111" s="4"/>
      <c r="G111" s="4"/>
      <c r="H111" s="4"/>
      <c r="I111" s="4"/>
      <c r="J111" s="4"/>
      <c r="K111" s="4"/>
      <c r="L111" s="4"/>
    </row>
    <row r="112" ht="15.75" customHeight="1">
      <c r="A112" s="4" t="str">
        <f>IFERROR(__xludf.DUMMYFUNCTION("""COMPUTED_VALUE"""),"GeneralLedger")</f>
        <v>GeneralLedger</v>
      </c>
      <c r="B112" s="4" t="str">
        <f>IFERROR(__xludf.DUMMYFUNCTION("""COMPUTED_VALUE"""),"SelectNonTradingTransaction")</f>
        <v>SelectNonTradingTransaction</v>
      </c>
      <c r="C112" s="4" t="str">
        <f>IFERROR(__xludf.DUMMYFUNCTION("""COMPUTED_VALUE"""),"13CpGgA7xAiUMopTzEjt2gG1RljXAXIuKfHjB9r5e5x4")</f>
        <v>13CpGgA7xAiUMopTzEjt2gG1RljXAXIuKfHjB9r5e5x4</v>
      </c>
      <c r="D112" s="4"/>
      <c r="E112" s="4"/>
      <c r="F112" s="4"/>
      <c r="G112" s="4"/>
      <c r="H112" s="4"/>
      <c r="I112" s="4"/>
      <c r="J112" s="4"/>
      <c r="K112" s="4"/>
      <c r="L112" s="4"/>
    </row>
    <row r="113" ht="15.75" customHeight="1">
      <c r="A113" s="4" t="str">
        <f>IFERROR(__xludf.DUMMYFUNCTION("""COMPUTED_VALUE"""),"GeneralLedger")</f>
        <v>GeneralLedger</v>
      </c>
      <c r="B113" s="4" t="str">
        <f>IFERROR(__xludf.DUMMYFUNCTION("""COMPUTED_VALUE"""),"SelectNonTradingTranItem")</f>
        <v>SelectNonTradingTranItem</v>
      </c>
      <c r="C113" s="4" t="str">
        <f>IFERROR(__xludf.DUMMYFUNCTION("""COMPUTED_VALUE"""),"1UZ09M0xmOuNjWYpsoghYu3B-9Dp1XeyMl6CRaUgL7PU")</f>
        <v>1UZ09M0xmOuNjWYpsoghYu3B-9Dp1XeyMl6CRaUgL7PU</v>
      </c>
      <c r="D113" s="4"/>
      <c r="E113" s="4"/>
      <c r="F113" s="4"/>
      <c r="G113" s="4"/>
      <c r="H113" s="4"/>
      <c r="I113" s="4"/>
      <c r="J113" s="4"/>
      <c r="K113" s="4"/>
      <c r="L113" s="4"/>
    </row>
    <row r="114" ht="15.75" customHeight="1">
      <c r="A114" s="4" t="str">
        <f>IFERROR(__xludf.DUMMYFUNCTION("""COMPUTED_VALUE"""),"Allocation")</f>
        <v>Allocation</v>
      </c>
      <c r="B114" s="4" t="str">
        <f>IFERROR(__xludf.DUMMYFUNCTION("""COMPUTED_VALUE"""),"CopyCalculatedPreferenceToolbar")</f>
        <v>CopyCalculatedPreferenceToolbar</v>
      </c>
      <c r="C114" s="4" t="str">
        <f>IFERROR(__xludf.DUMMYFUNCTION("""COMPUTED_VALUE"""),"1l11hWn_7rpljZexuNHkg5KleyKXo_4jx1d21BZRdJLg")</f>
        <v>1l11hWn_7rpljZexuNHkg5KleyKXo_4jx1d21BZRdJLg</v>
      </c>
      <c r="D114" s="4"/>
      <c r="E114" s="4"/>
      <c r="F114" s="4"/>
      <c r="G114" s="4"/>
      <c r="H114" s="4"/>
      <c r="I114" s="4"/>
      <c r="J114" s="4"/>
      <c r="K114" s="4"/>
      <c r="L114" s="4"/>
    </row>
    <row r="115" ht="15.75" customHeight="1">
      <c r="A115" s="4" t="str">
        <f>IFERROR(__xludf.DUMMYFUNCTION("""COMPUTED_VALUE"""),"Allocation")</f>
        <v>Allocation</v>
      </c>
      <c r="B115" s="4" t="str">
        <f>IFERROR(__xludf.DUMMYFUNCTION("""COMPUTED_VALUE"""),"SetGeneralRuleCalculatedPref")</f>
        <v>SetGeneralRuleCalculatedPref</v>
      </c>
      <c r="C115" s="4" t="str">
        <f>IFERROR(__xludf.DUMMYFUNCTION("""COMPUTED_VALUE"""),"1R_5SIhO5vmNiNTSvxGDIsDQW7k4dpl_tTORq2eMqTMQ")</f>
        <v>1R_5SIhO5vmNiNTSvxGDIsDQW7k4dpl_tTORq2eMqTMQ</v>
      </c>
      <c r="D115" s="4"/>
      <c r="E115" s="4"/>
      <c r="F115" s="4"/>
      <c r="G115" s="4"/>
      <c r="H115" s="4"/>
      <c r="I115" s="4"/>
      <c r="J115" s="4"/>
      <c r="K115" s="4"/>
      <c r="L115" s="4"/>
    </row>
    <row r="116" ht="15.75" customHeight="1">
      <c r="A116" s="4" t="str">
        <f>IFERROR(__xludf.DUMMYFUNCTION("""COMPUTED_VALUE"""),"GeneralLedger")</f>
        <v>GeneralLedger</v>
      </c>
      <c r="B116" s="4" t="str">
        <f>IFERROR(__xludf.DUMMYFUNCTION("""COMPUTED_VALUE"""),"DeleteNonTradingTransaction")</f>
        <v>DeleteNonTradingTransaction</v>
      </c>
      <c r="C116" s="4" t="str">
        <f>IFERROR(__xludf.DUMMYFUNCTION("""COMPUTED_VALUE"""),"1BNSpLr6-8xmfOdPhxn_mllvRzgMVOx2ZkRBPRI9o3dM")</f>
        <v>1BNSpLr6-8xmfOdPhxn_mllvRzgMVOx2ZkRBPRI9o3dM</v>
      </c>
      <c r="D116" s="4"/>
      <c r="E116" s="4"/>
      <c r="F116" s="4"/>
      <c r="G116" s="4"/>
      <c r="H116" s="4"/>
      <c r="I116" s="4"/>
      <c r="J116" s="4"/>
      <c r="K116" s="4"/>
      <c r="L116" s="4"/>
    </row>
    <row r="117" ht="15.75" customHeight="1">
      <c r="A117" s="4" t="str">
        <f>IFERROR(__xludf.DUMMYFUNCTION("""COMPUTED_VALUE"""),"GeneralLedger")</f>
        <v>GeneralLedger</v>
      </c>
      <c r="B117" s="4" t="str">
        <f>IFERROR(__xludf.DUMMYFUNCTION("""COMPUTED_VALUE"""),"DeleteNonTradingTranItem")</f>
        <v>DeleteNonTradingTranItem</v>
      </c>
      <c r="C117" s="4" t="str">
        <f>IFERROR(__xludf.DUMMYFUNCTION("""COMPUTED_VALUE"""),"1YQ4eqVgAhL_mqQU2z2kvxzIhWYpzfuAfnqY561FQoSE")</f>
        <v>1YQ4eqVgAhL_mqQU2z2kvxzIhWYpzfuAfnqY561FQoSE</v>
      </c>
      <c r="D117" s="4"/>
      <c r="E117" s="4"/>
      <c r="F117" s="4"/>
      <c r="G117" s="4"/>
      <c r="H117" s="4"/>
      <c r="I117" s="4"/>
      <c r="J117" s="4"/>
      <c r="K117" s="4"/>
      <c r="L117" s="4"/>
    </row>
    <row r="118" ht="15.75" customHeight="1">
      <c r="A118" s="4" t="str">
        <f>IFERROR(__xludf.DUMMYFUNCTION("""COMPUTED_VALUE"""),"Allocation")</f>
        <v>Allocation</v>
      </c>
      <c r="B118" s="4" t="str">
        <f>IFERROR(__xludf.DUMMYFUNCTION("""COMPUTED_VALUE"""),"ExportAllCalculatedPreferences")</f>
        <v>ExportAllCalculatedPreferences</v>
      </c>
      <c r="C118" s="4" t="str">
        <f>IFERROR(__xludf.DUMMYFUNCTION("""COMPUTED_VALUE"""),"1McqZVOvpDAyyblkMX74qXcQoiQxkSLybROu-ztjMQIc")</f>
        <v>1McqZVOvpDAyyblkMX74qXcQoiQxkSLybROu-ztjMQIc</v>
      </c>
      <c r="D118" s="4"/>
      <c r="E118" s="4"/>
      <c r="F118" s="4"/>
      <c r="G118" s="4"/>
      <c r="H118" s="4"/>
      <c r="I118" s="4"/>
      <c r="J118" s="4"/>
      <c r="K118" s="4"/>
      <c r="L118" s="4"/>
    </row>
    <row r="119" ht="15.75" customHeight="1">
      <c r="A119" s="4" t="str">
        <f>IFERROR(__xludf.DUMMYFUNCTION("""COMPUTED_VALUE"""),"GeneralLedger")</f>
        <v>GeneralLedger</v>
      </c>
      <c r="B119" s="4" t="str">
        <f>IFERROR(__xludf.DUMMYFUNCTION("""COMPUTED_VALUE"""),"AddNonTradingTransaction")</f>
        <v>AddNonTradingTransaction</v>
      </c>
      <c r="C119" s="4" t="str">
        <f>IFERROR(__xludf.DUMMYFUNCTION("""COMPUTED_VALUE"""),"1P841AyLOX69wx-NB44lpyuRlaUGV1cMYqaugaIGxr5Q")</f>
        <v>1P841AyLOX69wx-NB44lpyuRlaUGV1cMYqaugaIGxr5Q</v>
      </c>
      <c r="D119" s="4"/>
      <c r="E119" s="4"/>
      <c r="F119" s="4"/>
      <c r="G119" s="4"/>
      <c r="H119" s="4"/>
      <c r="I119" s="4"/>
      <c r="J119" s="4"/>
      <c r="K119" s="4"/>
      <c r="L119" s="4"/>
    </row>
    <row r="120" ht="15.75" customHeight="1">
      <c r="A120" s="4" t="str">
        <f>IFERROR(__xludf.DUMMYFUNCTION("""COMPUTED_VALUE"""),"GeneralLedger")</f>
        <v>GeneralLedger</v>
      </c>
      <c r="B120" s="4" t="str">
        <f>IFERROR(__xludf.DUMMYFUNCTION("""COMPUTED_VALUE"""),"AddNonTradingTranItem")</f>
        <v>AddNonTradingTranItem</v>
      </c>
      <c r="C120" s="4" t="str">
        <f>IFERROR(__xludf.DUMMYFUNCTION("""COMPUTED_VALUE"""),"1fEUUuW7bCEL3WiGDSZKRox2hDLlMEtVBUR46151jGvw")</f>
        <v>1fEUUuW7bCEL3WiGDSZKRox2hDLlMEtVBUR46151jGvw</v>
      </c>
      <c r="D120" s="4"/>
      <c r="E120" s="4"/>
      <c r="F120" s="4"/>
      <c r="G120" s="4"/>
      <c r="H120" s="4"/>
      <c r="I120" s="4"/>
      <c r="J120" s="4"/>
      <c r="K120" s="4"/>
      <c r="L120" s="4"/>
    </row>
    <row r="121" ht="15.75" customHeight="1">
      <c r="A121" s="4" t="str">
        <f>IFERROR(__xludf.DUMMYFUNCTION("""COMPUTED_VALUE"""),"Allocation")</f>
        <v>Allocation</v>
      </c>
      <c r="B121" s="4" t="str">
        <f>IFERROR(__xludf.DUMMYFUNCTION("""COMPUTED_VALUE"""),"SaveCalculatedPreferences")</f>
        <v>SaveCalculatedPreferences</v>
      </c>
      <c r="C121" s="4" t="str">
        <f>IFERROR(__xludf.DUMMYFUNCTION("""COMPUTED_VALUE"""),"Undefined")</f>
        <v>Undefined</v>
      </c>
      <c r="D121" s="4"/>
      <c r="E121" s="4"/>
      <c r="F121" s="4"/>
      <c r="G121" s="4"/>
      <c r="H121" s="4"/>
      <c r="I121" s="4"/>
      <c r="J121" s="4"/>
      <c r="K121" s="4"/>
      <c r="L121" s="4"/>
    </row>
    <row r="122" ht="15.75" customHeight="1">
      <c r="A122" s="4" t="str">
        <f>IFERROR(__xludf.DUMMYFUNCTION("""COMPUTED_VALUE"""),"GeneralLedger")</f>
        <v>GeneralLedger</v>
      </c>
      <c r="B122" s="4" t="str">
        <f>IFERROR(__xludf.DUMMYFUNCTION("""COMPUTED_VALUE"""),"VerifyOpeningBalanceData")</f>
        <v>VerifyOpeningBalanceData</v>
      </c>
      <c r="C122" s="4" t="str">
        <f>IFERROR(__xludf.DUMMYFUNCTION("""COMPUTED_VALUE"""),"1fYqc0dGDB6VLPr77gmUss7eBXhlUYc0GLttj6ffr-Kg")</f>
        <v>1fYqc0dGDB6VLPr77gmUss7eBXhlUYc0GLttj6ffr-Kg</v>
      </c>
      <c r="D122" s="4"/>
      <c r="E122" s="4"/>
      <c r="F122" s="4"/>
      <c r="G122" s="4"/>
      <c r="H122" s="4"/>
      <c r="I122" s="4"/>
      <c r="J122" s="4"/>
      <c r="K122" s="4"/>
      <c r="L122" s="4"/>
    </row>
    <row r="123" ht="15.75" customHeight="1">
      <c r="A123" s="4" t="str">
        <f>IFERROR(__xludf.DUMMYFUNCTION("""COMPUTED_VALUE"""),"GeneralLedger")</f>
        <v>GeneralLedger</v>
      </c>
      <c r="B123" s="4" t="str">
        <f>IFERROR(__xludf.DUMMYFUNCTION("""COMPUTED_VALUE"""),"SelectOpeningBalanceTransaction")</f>
        <v>SelectOpeningBalanceTransaction</v>
      </c>
      <c r="C123" s="4" t="str">
        <f>IFERROR(__xludf.DUMMYFUNCTION("""COMPUTED_VALUE"""),"1WebIwh6H8t2c0-92bwEKV5DshdjoRQmVPIJVFLHmnls")</f>
        <v>1WebIwh6H8t2c0-92bwEKV5DshdjoRQmVPIJVFLHmnls</v>
      </c>
      <c r="D123" s="4"/>
      <c r="E123" s="4"/>
      <c r="F123" s="4"/>
      <c r="G123" s="4"/>
      <c r="H123" s="4"/>
      <c r="I123" s="4"/>
      <c r="J123" s="4"/>
      <c r="K123" s="4"/>
      <c r="L123" s="4"/>
    </row>
    <row r="124" ht="15.75" customHeight="1">
      <c r="A124" s="4" t="str">
        <f>IFERROR(__xludf.DUMMYFUNCTION("""COMPUTED_VALUE"""),"TradingTicket")</f>
        <v>TradingTicket</v>
      </c>
      <c r="B124" s="4" t="str">
        <f>IFERROR(__xludf.DUMMYFUNCTION("""COMPUTED_VALUE"""),"CreateStageOrder ")</f>
        <v>CreateStageOrder </v>
      </c>
      <c r="C124" s="4" t="str">
        <f>IFERROR(__xludf.DUMMYFUNCTION("""COMPUTED_VALUE"""),"19L_mzuhDLQ5wPlLAxlOHp1eRSS4zc0D4J6BOKCagXpw")</f>
        <v>19L_mzuhDLQ5wPlLAxlOHp1eRSS4zc0D4J6BOKCagXpw</v>
      </c>
      <c r="D124" s="4"/>
      <c r="E124" s="4"/>
      <c r="F124" s="4"/>
      <c r="G124" s="4"/>
      <c r="H124" s="4"/>
      <c r="I124" s="4"/>
      <c r="J124" s="4"/>
      <c r="K124" s="4"/>
      <c r="L124" s="4"/>
    </row>
    <row r="125" ht="15.75" customHeight="1">
      <c r="A125" s="4" t="str">
        <f>IFERROR(__xludf.DUMMYFUNCTION("""COMPUTED_VALUE"""),"Blotter")</f>
        <v>Blotter</v>
      </c>
      <c r="B125" s="4" t="str">
        <f>IFERROR(__xludf.DUMMYFUNCTION("""COMPUTED_VALUE"""),"TransferToUserWorkingSubs")</f>
        <v>TransferToUserWorkingSubs</v>
      </c>
      <c r="C125" s="4" t="str">
        <f>IFERROR(__xludf.DUMMYFUNCTION("""COMPUTED_VALUE"""),"1SYHCL9X3kLj_YpZgCZTrllmRvVgAsjam3MbM-5vKhuQ")</f>
        <v>1SYHCL9X3kLj_YpZgCZTrllmRvVgAsjam3MbM-5vKhuQ</v>
      </c>
      <c r="D125" s="4"/>
      <c r="E125" s="4"/>
      <c r="F125" s="4"/>
      <c r="G125" s="4"/>
      <c r="H125" s="4"/>
      <c r="I125" s="4"/>
      <c r="J125" s="4"/>
      <c r="K125" s="4"/>
      <c r="L125" s="4"/>
    </row>
    <row r="126" ht="15.75" customHeight="1">
      <c r="A126" s="4" t="str">
        <f>IFERROR(__xludf.DUMMYFUNCTION("""COMPUTED_VALUE"""),"Blotter")</f>
        <v>Blotter</v>
      </c>
      <c r="B126" s="4" t="str">
        <f>IFERROR(__xludf.DUMMYFUNCTION("""COMPUTED_VALUE"""),"CancelWorkingSubs")</f>
        <v>CancelWorkingSubs</v>
      </c>
      <c r="C126" s="4" t="str">
        <f>IFERROR(__xludf.DUMMYFUNCTION("""COMPUTED_VALUE"""),"1O_QhVVvq9XcwVG6eOk1KDiQEBXDVkfHIoF5OQ05ChQM")</f>
        <v>1O_QhVVvq9XcwVG6eOk1KDiQEBXDVkfHIoF5OQ05ChQM</v>
      </c>
      <c r="D126" s="4"/>
      <c r="E126" s="4"/>
      <c r="F126" s="4"/>
      <c r="G126" s="4"/>
      <c r="H126" s="4"/>
      <c r="I126" s="4"/>
      <c r="J126" s="4"/>
      <c r="K126" s="4"/>
      <c r="L126" s="4"/>
    </row>
    <row r="127" ht="15.75" customHeight="1">
      <c r="A127" s="4" t="str">
        <f>IFERROR(__xludf.DUMMYFUNCTION("""COMPUTED_VALUE"""),"Blotter")</f>
        <v>Blotter</v>
      </c>
      <c r="B127" s="4" t="str">
        <f>IFERROR(__xludf.DUMMYFUNCTION("""COMPUTED_VALUE"""),"ReplaceWorkingSubs")</f>
        <v>ReplaceWorkingSubs</v>
      </c>
      <c r="C127" s="4" t="str">
        <f>IFERROR(__xludf.DUMMYFUNCTION("""COMPUTED_VALUE"""),"1WZoxOuHE4Qt6q835PwLh8-0EnNhekv7piYE-Kd-vnjg")</f>
        <v>1WZoxOuHE4Qt6q835PwLh8-0EnNhekv7piYE-Kd-vnjg</v>
      </c>
      <c r="D127" s="4"/>
      <c r="E127" s="4"/>
      <c r="F127" s="4"/>
      <c r="G127" s="4"/>
      <c r="H127" s="4"/>
      <c r="I127" s="4"/>
      <c r="J127" s="4"/>
      <c r="K127" s="4"/>
      <c r="L127" s="4"/>
    </row>
    <row r="128" ht="15.75" customHeight="1">
      <c r="A128" s="4" t="str">
        <f>IFERROR(__xludf.DUMMYFUNCTION("""COMPUTED_VALUE"""),"Expnl")</f>
        <v>Expnl</v>
      </c>
      <c r="B128" s="4" t="str">
        <f>IFERROR(__xludf.DUMMYFUNCTION("""COMPUTED_VALUE"""),"UpdateExpnlConfig")</f>
        <v>UpdateExpnlConfig</v>
      </c>
      <c r="C128" s="4" t="str">
        <f>IFERROR(__xludf.DUMMYFUNCTION("""COMPUTED_VALUE"""),"1V8BI4yfIyQECE1JcMRsApfmTPthAoYudd5HOhx1IeZ4")</f>
        <v>1V8BI4yfIyQECE1JcMRsApfmTPthAoYudd5HOhx1IeZ4</v>
      </c>
      <c r="D128" s="4"/>
      <c r="E128" s="4"/>
      <c r="F128" s="4"/>
      <c r="G128" s="4"/>
      <c r="H128" s="4"/>
      <c r="I128" s="4"/>
      <c r="J128" s="4"/>
      <c r="K128" s="4"/>
      <c r="L128" s="4"/>
    </row>
    <row r="129" ht="15.75" customHeight="1">
      <c r="A129" s="4" t="str">
        <f>IFERROR(__xludf.DUMMYFUNCTION("""COMPUTED_VALUE"""),"Blotter")</f>
        <v>Blotter</v>
      </c>
      <c r="B129" s="4" t="str">
        <f>IFERROR(__xludf.DUMMYFUNCTION("""COMPUTED_VALUE"""),"ViewAllocationDetailsWorkingSub")</f>
        <v>ViewAllocationDetailsWorkingSub</v>
      </c>
      <c r="C129" s="4" t="str">
        <f>IFERROR(__xludf.DUMMYFUNCTION("""COMPUTED_VALUE"""),"1C9lg9oeUsmJEC3FDEmDYEDxYEZ48vhTvBpc_7jzrG-A")</f>
        <v>1C9lg9oeUsmJEC3FDEmDYEDxYEZ48vhTvBpc_7jzrG-A</v>
      </c>
      <c r="D129" s="4"/>
      <c r="E129" s="4"/>
      <c r="F129" s="4"/>
      <c r="G129" s="4"/>
      <c r="H129" s="4"/>
      <c r="I129" s="4"/>
      <c r="J129" s="4"/>
      <c r="K129" s="4"/>
      <c r="L129" s="4"/>
    </row>
    <row r="130" ht="15.75" customHeight="1">
      <c r="A130" s="4" t="str">
        <f>IFERROR(__xludf.DUMMYFUNCTION("""COMPUTED_VALUE"""),"Blotter")</f>
        <v>Blotter</v>
      </c>
      <c r="B130" s="4" t="str">
        <f>IFERROR(__xludf.DUMMYFUNCTION("""COMPUTED_VALUE"""),"SelectTradeOnOrderGrid")</f>
        <v>SelectTradeOnOrderGrid</v>
      </c>
      <c r="C130" s="4" t="str">
        <f>IFERROR(__xludf.DUMMYFUNCTION("""COMPUTED_VALUE"""),"1BjEK9SjmwTVcJQlKgIyoRBoSojE0atclJ6aMY8PF1jE")</f>
        <v>1BjEK9SjmwTVcJQlKgIyoRBoSojE0atclJ6aMY8PF1jE</v>
      </c>
      <c r="D130" s="4"/>
      <c r="E130" s="4"/>
      <c r="F130" s="4"/>
      <c r="G130" s="4"/>
      <c r="H130" s="4"/>
      <c r="I130" s="4"/>
      <c r="J130" s="4"/>
      <c r="K130" s="4"/>
      <c r="L130" s="4"/>
    </row>
    <row r="131" ht="15.75" customHeight="1">
      <c r="A131" s="4" t="str">
        <f>IFERROR(__xludf.DUMMYFUNCTION("""COMPUTED_VALUE"""),"Blotter")</f>
        <v>Blotter</v>
      </c>
      <c r="B131" s="4" t="str">
        <f>IFERROR(__xludf.DUMMYFUNCTION("""COMPUTED_VALUE"""),"ShowDetailsForAlgoTradeSubOrder")</f>
        <v>ShowDetailsForAlgoTradeSubOrder</v>
      </c>
      <c r="C131" s="4" t="str">
        <f>IFERROR(__xludf.DUMMYFUNCTION("""COMPUTED_VALUE"""),"1m-tuubYj3kpg3IX2REfAJAcN1l96k6ONTKyiKvxjX2Y")</f>
        <v>1m-tuubYj3kpg3IX2REfAJAcN1l96k6ONTKyiKvxjX2Y</v>
      </c>
      <c r="D131" s="4"/>
      <c r="E131" s="4"/>
      <c r="F131" s="4"/>
      <c r="G131" s="4"/>
      <c r="H131" s="4"/>
      <c r="I131" s="4"/>
      <c r="J131" s="4"/>
      <c r="K131" s="4"/>
      <c r="L131" s="4"/>
    </row>
    <row r="132" ht="15.75" customHeight="1">
      <c r="A132" s="4" t="str">
        <f>IFERROR(__xludf.DUMMYFUNCTION("""COMPUTED_VALUE"""),"Blotter")</f>
        <v>Blotter</v>
      </c>
      <c r="B132" s="4" t="str">
        <f>IFERROR(__xludf.DUMMYFUNCTION("""COMPUTED_VALUE"""),"SelectTradeOrderBlotter")</f>
        <v>SelectTradeOrderBlotter</v>
      </c>
      <c r="C132" s="4" t="str">
        <f>IFERROR(__xludf.DUMMYFUNCTION("""COMPUTED_VALUE"""),"16c7e_rK3O0Zi9I0WlDJ908i_nRkDa4gzAI-9qAWkMGU")</f>
        <v>16c7e_rK3O0Zi9I0WlDJ908i_nRkDa4gzAI-9qAWkMGU</v>
      </c>
      <c r="D132" s="4"/>
      <c r="E132" s="4"/>
      <c r="F132" s="4"/>
      <c r="G132" s="4"/>
      <c r="H132" s="4"/>
      <c r="I132" s="4"/>
      <c r="J132" s="4"/>
      <c r="K132" s="4"/>
      <c r="L132" s="4"/>
    </row>
    <row r="133" ht="15.75" customHeight="1">
      <c r="A133" s="4" t="str">
        <f>IFERROR(__xludf.DUMMYFUNCTION("""COMPUTED_VALUE"""),"Blotter")</f>
        <v>Blotter</v>
      </c>
      <c r="B133" s="4" t="str">
        <f>IFERROR(__xludf.DUMMYFUNCTION("""COMPUTED_VALUE"""),"AddFillsWorkingSubs")</f>
        <v>AddFillsWorkingSubs</v>
      </c>
      <c r="C133" s="4" t="str">
        <f>IFERROR(__xludf.DUMMYFUNCTION("""COMPUTED_VALUE"""),"1NsatpolfnrnOWuJS48_OImvxU5HT7tC5tpa6K_1j4nw")</f>
        <v>1NsatpolfnrnOWuJS48_OImvxU5HT7tC5tpa6K_1j4nw</v>
      </c>
      <c r="D133" s="4"/>
      <c r="E133" s="4"/>
      <c r="F133" s="4"/>
      <c r="G133" s="4"/>
      <c r="H133" s="4"/>
      <c r="I133" s="4"/>
      <c r="J133" s="4"/>
      <c r="K133" s="4"/>
      <c r="L133" s="4"/>
    </row>
    <row r="134" ht="15.75" customHeight="1">
      <c r="A134" s="4" t="str">
        <f>IFERROR(__xludf.DUMMYFUNCTION("""COMPUTED_VALUE"""),"Blotter")</f>
        <v>Blotter</v>
      </c>
      <c r="B134" s="4" t="str">
        <f>IFERROR(__xludf.DUMMYFUNCTION("""COMPUTED_VALUE"""),"EditAddFillsDetails")</f>
        <v>EditAddFillsDetails</v>
      </c>
      <c r="C134" s="4" t="str">
        <f>IFERROR(__xludf.DUMMYFUNCTION("""COMPUTED_VALUE"""),"1wzlYzJ1XCTaoLeP4tjkY8-ZhqlYA9IRvRsKXraPyMT4")</f>
        <v>1wzlYzJ1XCTaoLeP4tjkY8-ZhqlYA9IRvRsKXraPyMT4</v>
      </c>
      <c r="D134" s="4"/>
      <c r="E134" s="4"/>
      <c r="F134" s="4"/>
      <c r="G134" s="4"/>
      <c r="H134" s="4"/>
      <c r="I134" s="4"/>
      <c r="J134" s="4"/>
      <c r="K134" s="4"/>
      <c r="L134" s="4"/>
    </row>
    <row r="135" ht="15.75" customHeight="1">
      <c r="A135" s="4" t="str">
        <f>IFERROR(__xludf.DUMMYFUNCTION("""COMPUTED_VALUE"""),"Blotter")</f>
        <v>Blotter</v>
      </c>
      <c r="B135" s="4" t="str">
        <f>IFERROR(__xludf.DUMMYFUNCTION("""COMPUTED_VALUE"""),"ShowDetailsForAlgoTradeWorkingSubs")</f>
        <v>ShowDetailsForAlgoTradeWorkingSubs</v>
      </c>
      <c r="C135" s="4" t="str">
        <f>IFERROR(__xludf.DUMMYFUNCTION("""COMPUTED_VALUE"""),"1uzLHi4CNBx0MyhR8WKVB_6WHQpiBXI6BeN8IK55J1co")</f>
        <v>1uzLHi4CNBx0MyhR8WKVB_6WHQpiBXI6BeN8IK55J1co</v>
      </c>
      <c r="D135" s="4"/>
      <c r="E135" s="4"/>
      <c r="F135" s="4"/>
      <c r="G135" s="4"/>
      <c r="H135" s="4"/>
      <c r="I135" s="4"/>
      <c r="J135" s="4"/>
      <c r="K135" s="4"/>
      <c r="L135" s="4"/>
    </row>
    <row r="136" ht="15.75" customHeight="1">
      <c r="A136" s="4" t="str">
        <f>IFERROR(__xludf.DUMMYFUNCTION("""COMPUTED_VALUE"""),"Closing")</f>
        <v>Closing</v>
      </c>
      <c r="B136" s="4" t="str">
        <f>IFERROR(__xludf.DUMMYFUNCTION("""COMPUTED_VALUE"""),"SwapExpire")</f>
        <v>SwapExpire</v>
      </c>
      <c r="C136" s="4" t="str">
        <f>IFERROR(__xludf.DUMMYFUNCTION("""COMPUTED_VALUE"""),"1Ch8ljdOLO5qpDv9DppYdH0GSLe_dObZX8Z4007tRKtk")</f>
        <v>1Ch8ljdOLO5qpDv9DppYdH0GSLe_dObZX8Z4007tRKtk</v>
      </c>
      <c r="D136" s="4"/>
      <c r="E136" s="4"/>
      <c r="F136" s="4"/>
      <c r="G136" s="4"/>
      <c r="H136" s="4"/>
      <c r="I136" s="4"/>
      <c r="J136" s="4"/>
      <c r="K136" s="4"/>
      <c r="L136" s="4"/>
    </row>
    <row r="137" ht="15.75" customHeight="1">
      <c r="A137" s="4" t="str">
        <f>IFERROR(__xludf.DUMMYFUNCTION("""COMPUTED_VALUE"""),"Blotter")</f>
        <v>Blotter</v>
      </c>
      <c r="B137" s="4" t="str">
        <f>IFERROR(__xludf.DUMMYFUNCTION("""COMPUTED_VALUE"""),"VerifyWorkingSubs")</f>
        <v>VerifyWorkingSubs</v>
      </c>
      <c r="C137" s="4" t="str">
        <f>IFERROR(__xludf.DUMMYFUNCTION("""COMPUTED_VALUE"""),"1bWNa-3AC2rjiVCHfnFAnV1_niiebvWSmqy0pa2Y3A1U")</f>
        <v>1bWNa-3AC2rjiVCHfnFAnV1_niiebvWSmqy0pa2Y3A1U</v>
      </c>
      <c r="D137" s="4"/>
      <c r="E137" s="4"/>
      <c r="F137" s="4"/>
      <c r="G137" s="4"/>
      <c r="H137" s="4"/>
      <c r="I137" s="4"/>
      <c r="J137" s="4"/>
      <c r="K137" s="4"/>
      <c r="L137" s="4"/>
    </row>
    <row r="138" ht="15.75" customHeight="1">
      <c r="A138" s="4" t="str">
        <f>IFERROR(__xludf.DUMMYFUNCTION("""COMPUTED_VALUE"""),"Blotter")</f>
        <v>Blotter</v>
      </c>
      <c r="B138" s="4" t="str">
        <f>IFERROR(__xludf.DUMMYFUNCTION("""COMPUTED_VALUE"""),"TransferToUserOrder")</f>
        <v>TransferToUserOrder</v>
      </c>
      <c r="C138" s="4" t="str">
        <f>IFERROR(__xludf.DUMMYFUNCTION("""COMPUTED_VALUE"""),"1P2MumATI6sYkJ-NV9pAkg1QlFtz454tMWNv0omhAY0U")</f>
        <v>1P2MumATI6sYkJ-NV9pAkg1QlFtz454tMWNv0omhAY0U</v>
      </c>
      <c r="D138" s="4"/>
      <c r="E138" s="4"/>
      <c r="F138" s="4"/>
      <c r="G138" s="4"/>
      <c r="H138" s="4"/>
      <c r="I138" s="4"/>
      <c r="J138" s="4"/>
      <c r="K138" s="4"/>
      <c r="L138" s="4"/>
    </row>
    <row r="139" ht="15.75" customHeight="1">
      <c r="A139" s="4" t="str">
        <f>IFERROR(__xludf.DUMMYFUNCTION("""COMPUTED_VALUE"""),"Allocation")</f>
        <v>Allocation</v>
      </c>
      <c r="B139" s="4" t="str">
        <f>IFERROR(__xludf.DUMMYFUNCTION("""COMPUTED_VALUE"""),"CloseCalculatedPreferences")</f>
        <v>CloseCalculatedPreferences</v>
      </c>
      <c r="C139" s="4" t="str">
        <f>IFERROR(__xludf.DUMMYFUNCTION("""COMPUTED_VALUE"""),"Undefined")</f>
        <v>Undefined</v>
      </c>
      <c r="D139" s="4"/>
      <c r="E139" s="4"/>
      <c r="F139" s="4"/>
      <c r="G139" s="4"/>
      <c r="H139" s="4"/>
      <c r="I139" s="4"/>
      <c r="J139" s="4"/>
      <c r="K139" s="4"/>
      <c r="L139" s="4"/>
    </row>
    <row r="140" ht="15.75" customHeight="1">
      <c r="A140" s="4" t="str">
        <f>IFERROR(__xludf.DUMMYFUNCTION("""COMPUTED_VALUE"""),"TradingTicket")</f>
        <v>TradingTicket</v>
      </c>
      <c r="B140" s="4" t="str">
        <f>IFERROR(__xludf.DUMMYFUNCTION("""COMPUTED_VALUE"""),"CreateReplaceOrder")</f>
        <v>CreateReplaceOrder</v>
      </c>
      <c r="C140" s="4" t="str">
        <f>IFERROR(__xludf.DUMMYFUNCTION("""COMPUTED_VALUE"""),"18AeAxxP9aKc0LkOM-a21d3p-tmpinB6dTkwcwxQslJ4")</f>
        <v>18AeAxxP9aKc0LkOM-a21d3p-tmpinB6dTkwcwxQslJ4</v>
      </c>
      <c r="D140" s="4"/>
      <c r="E140" s="4"/>
      <c r="F140" s="4"/>
      <c r="G140" s="4"/>
      <c r="H140" s="4"/>
      <c r="I140" s="4"/>
      <c r="J140" s="4"/>
      <c r="K140" s="4"/>
      <c r="L140" s="4"/>
    </row>
    <row r="141" ht="15.75" customHeight="1">
      <c r="A141" s="4" t="str">
        <f>IFERROR(__xludf.DUMMYFUNCTION("""COMPUTED_VALUE"""),"Blotter")</f>
        <v>Blotter</v>
      </c>
      <c r="B141" s="4" t="str">
        <f>IFERROR(__xludf.DUMMYFUNCTION("""COMPUTED_VALUE"""),"EditOrder")</f>
        <v>EditOrder</v>
      </c>
      <c r="C141" s="4" t="str">
        <f>IFERROR(__xludf.DUMMYFUNCTION("""COMPUTED_VALUE"""),"1Vd5K36QAgnLOt0ytUkYptPSTuOBM4MelFsNL6C-vyXQ")</f>
        <v>1Vd5K36QAgnLOt0ytUkYptPSTuOBM4MelFsNL6C-vyXQ</v>
      </c>
      <c r="D141" s="4"/>
      <c r="E141" s="4"/>
      <c r="F141" s="4"/>
      <c r="G141" s="4"/>
      <c r="H141" s="4"/>
      <c r="I141" s="4"/>
      <c r="J141" s="4"/>
      <c r="K141" s="4"/>
      <c r="L141" s="4"/>
    </row>
    <row r="142" ht="15.75" customHeight="1">
      <c r="A142" s="4" t="str">
        <f>IFERROR(__xludf.DUMMYFUNCTION("""COMPUTED_VALUE"""),"Blotter")</f>
        <v>Blotter</v>
      </c>
      <c r="B142" s="4" t="str">
        <f>IFERROR(__xludf.DUMMYFUNCTION("""COMPUTED_VALUE"""),"SelectTradeSubOrderBlotter")</f>
        <v>SelectTradeSubOrderBlotter</v>
      </c>
      <c r="C142" s="4" t="str">
        <f>IFERROR(__xludf.DUMMYFUNCTION("""COMPUTED_VALUE"""),"1Kn7RmQ6euNcNOy6NDUbPzjJlZhiqP-WxVYqXlDo2C6U")</f>
        <v>1Kn7RmQ6euNcNOy6NDUbPzjJlZhiqP-WxVYqXlDo2C6U</v>
      </c>
      <c r="D142" s="4"/>
      <c r="E142" s="4"/>
      <c r="F142" s="4"/>
      <c r="G142" s="4"/>
      <c r="H142" s="4"/>
      <c r="I142" s="4"/>
      <c r="J142" s="4"/>
      <c r="K142" s="4"/>
      <c r="L142" s="4"/>
    </row>
    <row r="143" ht="15.75" customHeight="1">
      <c r="A143" s="4" t="str">
        <f>IFERROR(__xludf.DUMMYFUNCTION("""COMPUTED_VALUE"""),"Blotter")</f>
        <v>Blotter</v>
      </c>
      <c r="B143" s="4" t="str">
        <f>IFERROR(__xludf.DUMMYFUNCTION("""COMPUTED_VALUE"""),"VerifyOrder")</f>
        <v>VerifyOrder</v>
      </c>
      <c r="C143" s="4" t="str">
        <f>IFERROR(__xludf.DUMMYFUNCTION("""COMPUTED_VALUE"""),"1JPNg6N_aHFo0NZlm39jWJJlz8ViAI_cUwOgfEVMqNZo")</f>
        <v>1JPNg6N_aHFo0NZlm39jWJJlz8ViAI_cUwOgfEVMqNZo</v>
      </c>
      <c r="D143" s="4"/>
      <c r="E143" s="4"/>
      <c r="F143" s="4"/>
      <c r="G143" s="4"/>
      <c r="H143" s="4"/>
      <c r="I143" s="4"/>
      <c r="J143" s="4"/>
      <c r="K143" s="4"/>
      <c r="L143" s="4"/>
    </row>
    <row r="144" ht="15.75" customHeight="1">
      <c r="A144" s="4" t="str">
        <f>IFERROR(__xludf.DUMMYFUNCTION("""COMPUTED_VALUE"""),"Blotter")</f>
        <v>Blotter</v>
      </c>
      <c r="B144" s="4" t="str">
        <f>IFERROR(__xludf.DUMMYFUNCTION("""COMPUTED_VALUE"""),"VerifySubOrder")</f>
        <v>VerifySubOrder</v>
      </c>
      <c r="C144" s="4" t="str">
        <f>IFERROR(__xludf.DUMMYFUNCTION("""COMPUTED_VALUE"""),"1TafQ5l2I9Hkp5-ghxq8hrHGyq-Oxs6F71aj4qMJyg5c")</f>
        <v>1TafQ5l2I9Hkp5-ghxq8hrHGyq-Oxs6F71aj4qMJyg5c</v>
      </c>
      <c r="D144" s="4"/>
      <c r="E144" s="4"/>
      <c r="F144" s="4"/>
      <c r="G144" s="4"/>
      <c r="H144" s="4"/>
      <c r="I144" s="4"/>
      <c r="J144" s="4"/>
      <c r="K144" s="4"/>
      <c r="L144" s="4"/>
    </row>
    <row r="145" ht="15.75" customHeight="1">
      <c r="A145" s="4" t="str">
        <f>IFERROR(__xludf.DUMMYFUNCTION("""COMPUTED_VALUE"""),"Blotter")</f>
        <v>Blotter</v>
      </c>
      <c r="B145" s="4" t="str">
        <f>IFERROR(__xludf.DUMMYFUNCTION("""COMPUTED_VALUE"""),"RemoveSelectedOrders")</f>
        <v>RemoveSelectedOrders</v>
      </c>
      <c r="C145" s="4" t="str">
        <f>IFERROR(__xludf.DUMMYFUNCTION("""COMPUTED_VALUE"""),"1J3iMkZUt2VcZ66ADaKSSINJ5EJabuIdY1zSwd6M45wM")</f>
        <v>1J3iMkZUt2VcZ66ADaKSSINJ5EJabuIdY1zSwd6M45wM</v>
      </c>
      <c r="D145" s="4"/>
      <c r="E145" s="4"/>
      <c r="F145" s="4"/>
      <c r="G145" s="4"/>
      <c r="H145" s="4"/>
      <c r="I145" s="4"/>
      <c r="J145" s="4"/>
      <c r="K145" s="4"/>
      <c r="L145" s="4"/>
    </row>
    <row r="146" ht="15.75" customHeight="1">
      <c r="A146" s="4" t="str">
        <f>IFERROR(__xludf.DUMMYFUNCTION("""COMPUTED_VALUE"""),"Blotter")</f>
        <v>Blotter</v>
      </c>
      <c r="B146" s="4" t="str">
        <f>IFERROR(__xludf.DUMMYFUNCTION("""COMPUTED_VALUE"""),"CancelAllSelectedSubs")</f>
        <v>CancelAllSelectedSubs</v>
      </c>
      <c r="C146" s="4" t="str">
        <f>IFERROR(__xludf.DUMMYFUNCTION("""COMPUTED_VALUE"""),"179OBcD6MtBcn4KEI2yimM-WbOG9HdQPq_M4QYKWxCWE")</f>
        <v>179OBcD6MtBcn4KEI2yimM-WbOG9HdQPq_M4QYKWxCWE</v>
      </c>
      <c r="D146" s="4"/>
      <c r="E146" s="4"/>
      <c r="F146" s="4"/>
      <c r="G146" s="4"/>
      <c r="H146" s="4"/>
      <c r="I146" s="4"/>
      <c r="J146" s="4"/>
      <c r="K146" s="4"/>
      <c r="L146" s="4"/>
    </row>
    <row r="147" ht="15.75" customHeight="1">
      <c r="A147" s="4" t="str">
        <f>IFERROR(__xludf.DUMMYFUNCTION("""COMPUTED_VALUE"""),"Blotter")</f>
        <v>Blotter</v>
      </c>
      <c r="B147" s="4" t="str">
        <f>IFERROR(__xludf.DUMMYFUNCTION("""COMPUTED_VALUE"""),"MultiTradingTicket")</f>
        <v>MultiTradingTicket</v>
      </c>
      <c r="C147" s="4" t="str">
        <f>IFERROR(__xludf.DUMMYFUNCTION("""COMPUTED_VALUE"""),"13Mz382SvngJftLB83NIojgoFXnAjqYRnP5Vbj9lh-rA")</f>
        <v>13Mz382SvngJftLB83NIojgoFXnAjqYRnP5Vbj9lh-rA</v>
      </c>
      <c r="D147" s="4"/>
      <c r="E147" s="4"/>
      <c r="F147" s="4"/>
      <c r="G147" s="4"/>
      <c r="H147" s="4"/>
      <c r="I147" s="4"/>
      <c r="J147" s="4"/>
      <c r="K147" s="4"/>
      <c r="L147" s="4"/>
    </row>
    <row r="148" ht="15.75" customHeight="1">
      <c r="A148" s="4" t="str">
        <f>IFERROR(__xludf.DUMMYFUNCTION("""COMPUTED_VALUE"""),"Blotter")</f>
        <v>Blotter</v>
      </c>
      <c r="B148" s="4" t="str">
        <f>IFERROR(__xludf.DUMMYFUNCTION("""COMPUTED_VALUE"""),"AuditTrailOrderBlotter")</f>
        <v>AuditTrailOrderBlotter</v>
      </c>
      <c r="C148" s="4" t="str">
        <f>IFERROR(__xludf.DUMMYFUNCTION("""COMPUTED_VALUE"""),"1IuRqDm9SdGbwaATc_E-eFeQdhAmE2zhtBB3igLL_Md4")</f>
        <v>1IuRqDm9SdGbwaATc_E-eFeQdhAmE2zhtBB3igLL_Md4</v>
      </c>
      <c r="D148" s="4"/>
      <c r="E148" s="4"/>
      <c r="F148" s="4"/>
      <c r="G148" s="4"/>
      <c r="H148" s="4"/>
      <c r="I148" s="4"/>
      <c r="J148" s="4"/>
      <c r="K148" s="4"/>
      <c r="L148" s="4"/>
    </row>
    <row r="149" ht="15.75" customHeight="1">
      <c r="A149" s="4" t="str">
        <f>IFERROR(__xludf.DUMMYFUNCTION("""COMPUTED_VALUE"""),"Blotter")</f>
        <v>Blotter</v>
      </c>
      <c r="B149" s="4" t="str">
        <f>IFERROR(__xludf.DUMMYFUNCTION("""COMPUTED_VALUE"""),"TradeNewSubOrder")</f>
        <v>TradeNewSubOrder</v>
      </c>
      <c r="C149" s="4" t="str">
        <f>IFERROR(__xludf.DUMMYFUNCTION("""COMPUTED_VALUE"""),"1UHeoJyRun4tW18yAwGHn5G5F3bVCz5YfTdVoKPsPhio")</f>
        <v>1UHeoJyRun4tW18yAwGHn5G5F3bVCz5YfTdVoKPsPhio</v>
      </c>
      <c r="D149" s="4"/>
      <c r="E149" s="4"/>
      <c r="F149" s="4"/>
      <c r="G149" s="4"/>
      <c r="H149" s="4"/>
      <c r="I149" s="4"/>
      <c r="J149" s="4"/>
      <c r="K149" s="4"/>
      <c r="L149" s="4"/>
    </row>
    <row r="150" ht="15.75" customHeight="1">
      <c r="A150" s="4" t="str">
        <f>IFERROR(__xludf.DUMMYFUNCTION("""COMPUTED_VALUE"""),"Blotter")</f>
        <v>Blotter</v>
      </c>
      <c r="B150" s="4" t="str">
        <f>IFERROR(__xludf.DUMMYFUNCTION("""COMPUTED_VALUE"""),"RemoveStageOrder")</f>
        <v>RemoveStageOrder</v>
      </c>
      <c r="C150" s="4" t="str">
        <f>IFERROR(__xludf.DUMMYFUNCTION("""COMPUTED_VALUE"""),"19q7R-0jpTlv8r84XWOTVvpxM4KAqBUjmWW6bBepm980")</f>
        <v>19q7R-0jpTlv8r84XWOTVvpxM4KAqBUjmWW6bBepm980</v>
      </c>
      <c r="D150" s="4"/>
      <c r="E150" s="4"/>
      <c r="F150" s="4"/>
      <c r="G150" s="4"/>
      <c r="H150" s="4"/>
      <c r="I150" s="4"/>
      <c r="J150" s="4"/>
      <c r="K150" s="4"/>
      <c r="L150" s="4"/>
    </row>
    <row r="151" ht="15.75" customHeight="1">
      <c r="A151" s="4" t="str">
        <f>IFERROR(__xludf.DUMMYFUNCTION("""COMPUTED_VALUE"""),"TradingTicket")</f>
        <v>TradingTicket</v>
      </c>
      <c r="B151" s="4" t="str">
        <f>IFERROR(__xludf.DUMMYFUNCTION("""COMPUTED_VALUE"""),"SetGeneralPreference")</f>
        <v>SetGeneralPreference</v>
      </c>
      <c r="C151" s="4" t="str">
        <f>IFERROR(__xludf.DUMMYFUNCTION("""COMPUTED_VALUE"""),"1_gksmHNJnLr9h_WVPZU3z30gw7YXBg5xb6ekKca50wE")</f>
        <v>1_gksmHNJnLr9h_WVPZU3z30gw7YXBg5xb6ekKca50wE</v>
      </c>
      <c r="D151" s="4"/>
      <c r="E151" s="4"/>
      <c r="F151" s="4"/>
      <c r="G151" s="4"/>
      <c r="H151" s="4"/>
      <c r="I151" s="4"/>
      <c r="J151" s="4"/>
      <c r="K151" s="4"/>
      <c r="L151" s="4"/>
    </row>
    <row r="152" ht="15.75" customHeight="1">
      <c r="A152" s="4" t="str">
        <f>IFERROR(__xludf.DUMMYFUNCTION("""COMPUTED_VALUE"""),"Allocation")</f>
        <v>Allocation</v>
      </c>
      <c r="B152" s="4" t="str">
        <f>IFERROR(__xludf.DUMMYFUNCTION("""COMPUTED_VALUE"""),"ExportCalculatedPreference")</f>
        <v>ExportCalculatedPreference</v>
      </c>
      <c r="C152" s="4" t="str">
        <f>IFERROR(__xludf.DUMMYFUNCTION("""COMPUTED_VALUE"""),"12SdpCUJEukku3_4FXm4sTQG2YnlN1FabyPasyveh6Dw")</f>
        <v>12SdpCUJEukku3_4FXm4sTQG2YnlN1FabyPasyveh6Dw</v>
      </c>
      <c r="D152" s="4"/>
      <c r="E152" s="4"/>
      <c r="F152" s="4"/>
      <c r="G152" s="4"/>
      <c r="H152" s="4"/>
      <c r="I152" s="4"/>
      <c r="J152" s="4"/>
      <c r="K152" s="4"/>
      <c r="L152" s="4"/>
    </row>
    <row r="153" ht="15.75" customHeight="1">
      <c r="A153" s="4" t="str">
        <f>IFERROR(__xludf.DUMMYFUNCTION("""COMPUTED_VALUE"""),"GeneralLedger")</f>
        <v>GeneralLedger</v>
      </c>
      <c r="B153" s="4" t="str">
        <f>IFERROR(__xludf.DUMMYFUNCTION("""COMPUTED_VALUE"""),"SelectOpeningBalanceTranItem")</f>
        <v>SelectOpeningBalanceTranItem</v>
      </c>
      <c r="C153" s="4" t="str">
        <f>IFERROR(__xludf.DUMMYFUNCTION("""COMPUTED_VALUE"""),"1V0qkYxwmCcH2Rlv3ntrESGxjt8CqDUtCWLpF5NLEkms")</f>
        <v>1V0qkYxwmCcH2Rlv3ntrESGxjt8CqDUtCWLpF5NLEkms</v>
      </c>
      <c r="D153" s="4"/>
      <c r="E153" s="4"/>
      <c r="F153" s="4"/>
      <c r="G153" s="4"/>
      <c r="H153" s="4"/>
      <c r="I153" s="4"/>
      <c r="J153" s="4"/>
      <c r="K153" s="4"/>
      <c r="L153" s="4"/>
    </row>
    <row r="154" ht="15.75" customHeight="1">
      <c r="A154" s="4" t="str">
        <f>IFERROR(__xludf.DUMMYFUNCTION("""COMPUTED_VALUE"""),"PricingInput")</f>
        <v>PricingInput</v>
      </c>
      <c r="B154" s="4" t="str">
        <f>IFERROR(__xludf.DUMMYFUNCTION("""COMPUTED_VALUE"""),"EODTPreferences")</f>
        <v>EODTPreferences</v>
      </c>
      <c r="C154" s="4" t="str">
        <f>IFERROR(__xludf.DUMMYFUNCTION("""COMPUTED_VALUE"""),"1C2CqSypfxVefrec-UaZokCKMFMAIxUNiNEksS0cQC9U")</f>
        <v>1C2CqSypfxVefrec-UaZokCKMFMAIxUNiNEksS0cQC9U</v>
      </c>
      <c r="D154" s="4"/>
      <c r="E154" s="4"/>
      <c r="F154" s="4"/>
      <c r="G154" s="4"/>
      <c r="H154" s="4"/>
      <c r="I154" s="4"/>
      <c r="J154" s="4"/>
      <c r="K154" s="4"/>
      <c r="L154" s="4"/>
    </row>
    <row r="155" ht="15.75" customHeight="1">
      <c r="A155" s="4" t="str">
        <f>IFERROR(__xludf.DUMMYFUNCTION("""COMPUTED_VALUE"""),"PricingInput")</f>
        <v>PricingInput</v>
      </c>
      <c r="B155" s="4" t="str">
        <f>IFERROR(__xludf.DUMMYFUNCTION("""COMPUTED_VALUE"""),"LiveData")</f>
        <v>LiveData</v>
      </c>
      <c r="C155" s="4" t="str">
        <f>IFERROR(__xludf.DUMMYFUNCTION("""COMPUTED_VALUE"""),"1qTWgd0vjJZEbzPL7hyO9Ya7BIHhBEh6QZh1zrIXWpQU")</f>
        <v>1qTWgd0vjJZEbzPL7hyO9Ya7BIHhBEh6QZh1zrIXWpQU</v>
      </c>
      <c r="D155" s="4"/>
      <c r="E155" s="4"/>
      <c r="F155" s="4"/>
      <c r="G155" s="4"/>
      <c r="H155" s="4"/>
      <c r="I155" s="4"/>
      <c r="J155" s="4"/>
      <c r="K155" s="4"/>
      <c r="L155" s="4"/>
    </row>
    <row r="156" ht="15.75" customHeight="1">
      <c r="A156" s="4" t="str">
        <f>IFERROR(__xludf.DUMMYFUNCTION("""COMPUTED_VALUE"""),"GeneralLedger")</f>
        <v>GeneralLedger</v>
      </c>
      <c r="B156" s="4" t="str">
        <f>IFERROR(__xludf.DUMMYFUNCTION("""COMPUTED_VALUE"""),"EditNonTradingTransaction")</f>
        <v>EditNonTradingTransaction</v>
      </c>
      <c r="C156" s="4" t="str">
        <f>IFERROR(__xludf.DUMMYFUNCTION("""COMPUTED_VALUE"""),"1WmisSfIxG2dETBBICN9Eopb2Zv5RAlXVeuJrc4fJW4g")</f>
        <v>1WmisSfIxG2dETBBICN9Eopb2Zv5RAlXVeuJrc4fJW4g</v>
      </c>
      <c r="D156" s="4"/>
      <c r="E156" s="4"/>
      <c r="F156" s="4"/>
      <c r="G156" s="4"/>
      <c r="H156" s="4"/>
      <c r="I156" s="4"/>
      <c r="J156" s="4"/>
      <c r="K156" s="4"/>
      <c r="L156" s="4"/>
    </row>
    <row r="157" ht="15.75" customHeight="1">
      <c r="A157" s="4" t="str">
        <f>IFERROR(__xludf.DUMMYFUNCTION("""COMPUTED_VALUE"""),"GeneralLedger")</f>
        <v>GeneralLedger</v>
      </c>
      <c r="B157" s="4" t="str">
        <f>IFERROR(__xludf.DUMMYFUNCTION("""COMPUTED_VALUE"""),"EditNonTradingTranItem")</f>
        <v>EditNonTradingTranItem</v>
      </c>
      <c r="C157" s="4" t="str">
        <f>IFERROR(__xludf.DUMMYFUNCTION("""COMPUTED_VALUE"""),"1e5H-E0bLrEbyATTG2-Q8bJEJjiq7I3m-fVl6pCGecHY")</f>
        <v>1e5H-E0bLrEbyATTG2-Q8bJEJjiq7I3m-fVl6pCGecHY</v>
      </c>
      <c r="D157" s="4"/>
      <c r="E157" s="4"/>
      <c r="F157" s="4"/>
      <c r="G157" s="4"/>
      <c r="H157" s="4"/>
      <c r="I157" s="4"/>
      <c r="J157" s="4"/>
      <c r="K157" s="4"/>
      <c r="L157" s="4"/>
    </row>
    <row r="158" ht="15.75" customHeight="1">
      <c r="A158" s="4" t="str">
        <f>IFERROR(__xludf.DUMMYFUNCTION("""COMPUTED_VALUE"""),"GeneralLedger")</f>
        <v>GeneralLedger</v>
      </c>
      <c r="B158" s="4" t="str">
        <f>IFERROR(__xludf.DUMMYFUNCTION("""COMPUTED_VALUE"""),"DeleteOpeningBalanceTransaction")</f>
        <v>DeleteOpeningBalanceTransaction</v>
      </c>
      <c r="C158" s="4" t="str">
        <f>IFERROR(__xludf.DUMMYFUNCTION("""COMPUTED_VALUE"""),"1MvfhsW88dxVl3ZUBRUYKI_kaV1VM3uvoAiEBGKh80jc")</f>
        <v>1MvfhsW88dxVl3ZUBRUYKI_kaV1VM3uvoAiEBGKh80jc</v>
      </c>
      <c r="D158" s="4"/>
      <c r="E158" s="4"/>
      <c r="F158" s="4"/>
      <c r="G158" s="4"/>
      <c r="H158" s="4"/>
      <c r="I158" s="4"/>
      <c r="J158" s="4"/>
      <c r="K158" s="4"/>
      <c r="L158" s="4"/>
    </row>
    <row r="159" ht="15.75" customHeight="1">
      <c r="A159" s="4" t="str">
        <f>IFERROR(__xludf.DUMMYFUNCTION("""COMPUTED_VALUE"""),"GeneralLedger")</f>
        <v>GeneralLedger</v>
      </c>
      <c r="B159" s="4" t="str">
        <f>IFERROR(__xludf.DUMMYFUNCTION("""COMPUTED_VALUE"""),"DeleteOpeningBalanceTranItem")</f>
        <v>DeleteOpeningBalanceTranItem</v>
      </c>
      <c r="C159" s="4" t="str">
        <f>IFERROR(__xludf.DUMMYFUNCTION("""COMPUTED_VALUE"""),"11WwR-OgN8B5mzAatud8VLIETSaP2cgH0N18z_22aKgM")</f>
        <v>11WwR-OgN8B5mzAatud8VLIETSaP2cgH0N18z_22aKgM</v>
      </c>
      <c r="D159" s="4"/>
      <c r="E159" s="4"/>
      <c r="F159" s="4"/>
      <c r="G159" s="4"/>
      <c r="H159" s="4"/>
      <c r="I159" s="4"/>
      <c r="J159" s="4"/>
      <c r="K159" s="4"/>
      <c r="L159" s="4"/>
    </row>
    <row r="160" ht="15.75" customHeight="1">
      <c r="A160" s="4" t="str">
        <f>IFERROR(__xludf.DUMMYFUNCTION("""COMPUTED_VALUE"""),"Allocation")</f>
        <v>Allocation</v>
      </c>
      <c r="B160" s="4" t="str">
        <f>IFERROR(__xludf.DUMMYFUNCTION("""COMPUTED_VALUE"""),"ImportCalculatedPreferences")</f>
        <v>ImportCalculatedPreferences</v>
      </c>
      <c r="C160" s="4" t="str">
        <f>IFERROR(__xludf.DUMMYFUNCTION("""COMPUTED_VALUE"""),"12i9wrB43t1Z92_jmrsnfeEq7d6hFZLuijrf1vuyfCko")</f>
        <v>12i9wrB43t1Z92_jmrsnfeEq7d6hFZLuijrf1vuyfCko</v>
      </c>
      <c r="D160" s="4"/>
      <c r="E160" s="4"/>
      <c r="F160" s="4"/>
      <c r="G160" s="4"/>
      <c r="H160" s="4"/>
      <c r="I160" s="4"/>
      <c r="J160" s="4"/>
      <c r="K160" s="4"/>
      <c r="L160" s="4"/>
    </row>
    <row r="161" ht="15.75" customHeight="1">
      <c r="A161" s="4" t="str">
        <f>IFERROR(__xludf.DUMMYFUNCTION("""COMPUTED_VALUE"""),"GeneralLedger")</f>
        <v>GeneralLedger</v>
      </c>
      <c r="B161" s="4" t="str">
        <f>IFERROR(__xludf.DUMMYFUNCTION("""COMPUTED_VALUE"""),"GetDayEndCash")</f>
        <v>GetDayEndCash</v>
      </c>
      <c r="C161" s="4" t="str">
        <f>IFERROR(__xludf.DUMMYFUNCTION("""COMPUTED_VALUE"""),"1s50OqXSYiKWrnT8nYaGDzYThTJTAHIyFoV9ohpgHPgY")</f>
        <v>1s50OqXSYiKWrnT8nYaGDzYThTJTAHIyFoV9ohpgHPgY</v>
      </c>
      <c r="D161" s="4"/>
      <c r="E161" s="4"/>
      <c r="F161" s="4"/>
      <c r="G161" s="4"/>
      <c r="H161" s="4"/>
      <c r="I161" s="4"/>
      <c r="J161" s="4"/>
      <c r="K161" s="4"/>
      <c r="L161" s="4"/>
    </row>
    <row r="162" ht="15.75" customHeight="1">
      <c r="A162" s="4" t="str">
        <f>IFERROR(__xludf.DUMMYFUNCTION("""COMPUTED_VALUE"""),"GeneralLedger")</f>
        <v>GeneralLedger</v>
      </c>
      <c r="B162" s="4" t="str">
        <f>IFERROR(__xludf.DUMMYFUNCTION("""COMPUTED_VALUE"""),"VerifyDayEndCash")</f>
        <v>VerifyDayEndCash</v>
      </c>
      <c r="C162" s="4" t="str">
        <f>IFERROR(__xludf.DUMMYFUNCTION("""COMPUTED_VALUE"""),"1s_0rGgUmKN57rRoq55juTGojQ5Fitk0m-U_OTDoirHA")</f>
        <v>1s_0rGgUmKN57rRoq55juTGojQ5Fitk0m-U_OTDoirHA</v>
      </c>
      <c r="D162" s="4"/>
      <c r="E162" s="4"/>
      <c r="F162" s="4"/>
      <c r="G162" s="4"/>
      <c r="H162" s="4"/>
      <c r="I162" s="4"/>
      <c r="J162" s="4"/>
      <c r="K162" s="4"/>
      <c r="L162" s="4"/>
    </row>
    <row r="163" ht="15.75" customHeight="1">
      <c r="A163" s="4" t="str">
        <f>IFERROR(__xludf.DUMMYFUNCTION("""COMPUTED_VALUE"""),"Allocation")</f>
        <v>Allocation</v>
      </c>
      <c r="B163" s="4" t="str">
        <f>IFERROR(__xludf.DUMMYFUNCTION("""COMPUTED_VALUE"""),"OpenAuditTrailUnallocatedGroup")</f>
        <v>OpenAuditTrailUnallocatedGroup</v>
      </c>
      <c r="C163" s="4" t="str">
        <f>IFERROR(__xludf.DUMMYFUNCTION("""COMPUTED_VALUE"""),"1ZIhvRGHTU76uT9xqOXXJRFi1H1sbFljHmLeOicgscVU")</f>
        <v>1ZIhvRGHTU76uT9xqOXXJRFi1H1sbFljHmLeOicgscVU</v>
      </c>
      <c r="D163" s="4"/>
      <c r="E163" s="4"/>
      <c r="F163" s="4"/>
      <c r="G163" s="4"/>
      <c r="H163" s="4"/>
      <c r="I163" s="4"/>
      <c r="J163" s="4"/>
      <c r="K163" s="4"/>
      <c r="L163" s="4"/>
    </row>
    <row r="164" ht="15.75" customHeight="1">
      <c r="A164" s="4" t="str">
        <f>IFERROR(__xludf.DUMMYFUNCTION("""COMPUTED_VALUE"""),"Allocation")</f>
        <v>Allocation</v>
      </c>
      <c r="B164" s="4" t="str">
        <f>IFERROR(__xludf.DUMMYFUNCTION("""COMPUTED_VALUE"""),"DeleteCalculatedPreferencesTool")</f>
        <v>DeleteCalculatedPreferencesTool</v>
      </c>
      <c r="C164" s="4" t="str">
        <f>IFERROR(__xludf.DUMMYFUNCTION("""COMPUTED_VALUE"""),"1dFC-TZzOuqwhb_lRy1ppdZVR5YELDGJURNyboYEsnco")</f>
        <v>1dFC-TZzOuqwhb_lRy1ppdZVR5YELDGJURNyboYEsnco</v>
      </c>
      <c r="D164" s="4"/>
      <c r="E164" s="4"/>
      <c r="F164" s="4"/>
      <c r="G164" s="4"/>
      <c r="H164" s="4"/>
      <c r="I164" s="4"/>
      <c r="J164" s="4"/>
      <c r="K164" s="4"/>
      <c r="L164" s="4"/>
    </row>
    <row r="165" ht="15.75" customHeight="1">
      <c r="A165" s="4" t="str">
        <f>IFERROR(__xludf.DUMMYFUNCTION("""COMPUTED_VALUE"""),"Allocation")</f>
        <v>Allocation</v>
      </c>
      <c r="B165" s="4" t="str">
        <f>IFERROR(__xludf.DUMMYFUNCTION("""COMPUTED_VALUE"""),"ImportCalculatedPreferencesTool")</f>
        <v>ImportCalculatedPreferencesTool</v>
      </c>
      <c r="C165" s="4" t="str">
        <f>IFERROR(__xludf.DUMMYFUNCTION("""COMPUTED_VALUE"""),"1rWzqQSM4eQ-4N76g_1QP-9cfgPs0Z0ZIXVExsfMleuM")</f>
        <v>1rWzqQSM4eQ-4N76g_1QP-9cfgPs0Z0ZIXVExsfMleuM</v>
      </c>
      <c r="D165" s="4"/>
      <c r="E165" s="4"/>
      <c r="F165" s="4"/>
      <c r="G165" s="4"/>
      <c r="H165" s="4"/>
      <c r="I165" s="4"/>
      <c r="J165" s="4"/>
      <c r="K165" s="4"/>
      <c r="L165" s="4"/>
    </row>
    <row r="166" ht="15.75" customHeight="1">
      <c r="A166" s="4" t="str">
        <f>IFERROR(__xludf.DUMMYFUNCTION("""COMPUTED_VALUE"""),"GeneralLedger")</f>
        <v>GeneralLedger</v>
      </c>
      <c r="B166" s="4" t="str">
        <f>IFERROR(__xludf.DUMMYFUNCTION("""COMPUTED_VALUE"""),"RunRevaluation")</f>
        <v>RunRevaluation</v>
      </c>
      <c r="C166" s="4" t="str">
        <f>IFERROR(__xludf.DUMMYFUNCTION("""COMPUTED_VALUE"""),"1TDDqb6Jok6OvWUFmx4I0wMt8-yhtBiM7TnVQKCoYxTA")</f>
        <v>1TDDqb6Jok6OvWUFmx4I0wMt8-yhtBiM7TnVQKCoYxTA</v>
      </c>
      <c r="D166" s="4"/>
      <c r="E166" s="4"/>
      <c r="F166" s="4"/>
      <c r="G166" s="4"/>
      <c r="H166" s="4"/>
      <c r="I166" s="4"/>
      <c r="J166" s="4"/>
      <c r="K166" s="4"/>
      <c r="L166" s="4"/>
    </row>
    <row r="167" ht="15.75" customHeight="1">
      <c r="A167" s="4" t="str">
        <f>IFERROR(__xludf.DUMMYFUNCTION("""COMPUTED_VALUE"""),"GeneralLedger")</f>
        <v>GeneralLedger</v>
      </c>
      <c r="B167" s="4" t="str">
        <f>IFERROR(__xludf.DUMMYFUNCTION("""COMPUTED_VALUE"""),"CalculateDayEndCash")</f>
        <v>CalculateDayEndCash</v>
      </c>
      <c r="C167" s="4" t="str">
        <f>IFERROR(__xludf.DUMMYFUNCTION("""COMPUTED_VALUE"""),"Undefined")</f>
        <v>Undefined</v>
      </c>
      <c r="D167" s="4"/>
      <c r="E167" s="4"/>
      <c r="F167" s="4"/>
      <c r="G167" s="4"/>
      <c r="H167" s="4"/>
      <c r="I167" s="4"/>
      <c r="J167" s="4"/>
      <c r="K167" s="4"/>
      <c r="L167" s="4"/>
    </row>
    <row r="168" ht="15.75" customHeight="1">
      <c r="A168" s="4" t="str">
        <f>IFERROR(__xludf.DUMMYFUNCTION("""COMPUTED_VALUE"""),"Allocation")</f>
        <v>Allocation</v>
      </c>
      <c r="B168" s="4" t="str">
        <f>IFERROR(__xludf.DUMMYFUNCTION("""COMPUTED_VALUE"""),"ExportAllCalculatedPreferTool")</f>
        <v>ExportAllCalculatedPreferTool</v>
      </c>
      <c r="C168" s="4" t="str">
        <f>IFERROR(__xludf.DUMMYFUNCTION("""COMPUTED_VALUE"""),"1T2Ras3k5fDjACI972XeavE_8pgs6THSrI1HhB1ye48s")</f>
        <v>1T2Ras3k5fDjACI972XeavE_8pgs6THSrI1HhB1ye48s</v>
      </c>
      <c r="D168" s="4"/>
      <c r="E168" s="4"/>
      <c r="F168" s="4"/>
      <c r="G168" s="4"/>
      <c r="H168" s="4"/>
      <c r="I168" s="4"/>
      <c r="J168" s="4"/>
      <c r="K168" s="4"/>
      <c r="L168" s="4"/>
    </row>
    <row r="169" ht="15.75" customHeight="1">
      <c r="A169" s="4" t="str">
        <f>IFERROR(__xludf.DUMMYFUNCTION("""COMPUTED_VALUE"""),"Allocation")</f>
        <v>Allocation</v>
      </c>
      <c r="B169" s="4" t="str">
        <f>IFERROR(__xludf.DUMMYFUNCTION("""COMPUTED_VALUE"""),"OpenAuditTrailAllocatedGroup")</f>
        <v>OpenAuditTrailAllocatedGroup</v>
      </c>
      <c r="C169" s="4" t="str">
        <f>IFERROR(__xludf.DUMMYFUNCTION("""COMPUTED_VALUE"""),"1YcVp-kfCDUoegdhsKsCe_PMzE3_cIy1wejc4JCzTgEw")</f>
        <v>1YcVp-kfCDUoegdhsKsCe_PMzE3_cIy1wejc4JCzTgEw</v>
      </c>
      <c r="D169" s="4"/>
      <c r="E169" s="4"/>
      <c r="F169" s="4"/>
      <c r="G169" s="4"/>
      <c r="H169" s="4"/>
      <c r="I169" s="4"/>
      <c r="J169" s="4"/>
      <c r="K169" s="4"/>
      <c r="L169" s="4"/>
    </row>
    <row r="170" ht="15.75" customHeight="1">
      <c r="A170" s="4" t="str">
        <f>IFERROR(__xludf.DUMMYFUNCTION("""COMPUTED_VALUE"""),"Allocation")</f>
        <v>Allocation</v>
      </c>
      <c r="B170" s="4" t="str">
        <f>IFERROR(__xludf.DUMMYFUNCTION("""COMPUTED_VALUE"""),"OpenSymbolLookupUnallocateGroup")</f>
        <v>OpenSymbolLookupUnallocateGroup</v>
      </c>
      <c r="C170" s="4" t="str">
        <f>IFERROR(__xludf.DUMMYFUNCTION("""COMPUTED_VALUE"""),"1PzyY_nfLYU66GT9Elm7rbepVT4M0Aao_ExWURbHlXso")</f>
        <v>1PzyY_nfLYU66GT9Elm7rbepVT4M0Aao_ExWURbHlXso</v>
      </c>
      <c r="D170" s="4"/>
      <c r="E170" s="4"/>
      <c r="F170" s="4"/>
      <c r="G170" s="4"/>
      <c r="H170" s="4"/>
      <c r="I170" s="4"/>
      <c r="J170" s="4"/>
      <c r="K170" s="4"/>
      <c r="L170" s="4"/>
    </row>
    <row r="171" ht="15.75" customHeight="1">
      <c r="A171" s="4" t="str">
        <f>IFERROR(__xludf.DUMMYFUNCTION("""COMPUTED_VALUE"""),"Allocation")</f>
        <v>Allocation</v>
      </c>
      <c r="B171" s="4" t="str">
        <f>IFERROR(__xludf.DUMMYFUNCTION("""COMPUTED_VALUE"""),"OpenSymbolLookupAllocatedGroup")</f>
        <v>OpenSymbolLookupAllocatedGroup</v>
      </c>
      <c r="C171" s="4" t="str">
        <f>IFERROR(__xludf.DUMMYFUNCTION("""COMPUTED_VALUE"""),"1Z_dQvfdgkluFyhKo149XBcbe0Kth-fg0fOFf4_u2E-4")</f>
        <v>1Z_dQvfdgkluFyhKo149XBcbe0Kth-fg0fOFf4_u2E-4</v>
      </c>
      <c r="D171" s="4"/>
      <c r="E171" s="4"/>
      <c r="F171" s="4"/>
      <c r="G171" s="4"/>
      <c r="H171" s="4"/>
      <c r="I171" s="4"/>
      <c r="J171" s="4"/>
      <c r="K171" s="4"/>
      <c r="L171" s="4"/>
    </row>
    <row r="172" ht="15.75" customHeight="1">
      <c r="A172" s="4" t="str">
        <f>IFERROR(__xludf.DUMMYFUNCTION("""COMPUTED_VALUE"""),"Allocation")</f>
        <v>Allocation</v>
      </c>
      <c r="B172" s="4" t="str">
        <f>IFERROR(__xludf.DUMMYFUNCTION("""COMPUTED_VALUE"""),"DeleteFixedPreference")</f>
        <v>DeleteFixedPreference</v>
      </c>
      <c r="C172" s="4" t="str">
        <f>IFERROR(__xludf.DUMMYFUNCTION("""COMPUTED_VALUE"""),"1RZplEfcQQUVd1Ggv65V_0dKqsLpnMuOaVEaLnQ7ckpE")</f>
        <v>1RZplEfcQQUVd1Ggv65V_0dKqsLpnMuOaVEaLnQ7ckpE</v>
      </c>
      <c r="D172" s="4"/>
      <c r="E172" s="4"/>
      <c r="F172" s="4"/>
      <c r="G172" s="4"/>
      <c r="H172" s="4"/>
      <c r="I172" s="4"/>
      <c r="J172" s="4"/>
      <c r="K172" s="4"/>
      <c r="L172" s="4"/>
    </row>
    <row r="173" ht="15.75" customHeight="1">
      <c r="A173" s="4" t="str">
        <f>IFERROR(__xludf.DUMMYFUNCTION("""COMPUTED_VALUE"""),"Blotter")</f>
        <v>Blotter</v>
      </c>
      <c r="B173" s="4" t="str">
        <f>IFERROR(__xludf.DUMMYFUNCTION("""COMPUTED_VALUE"""),"TransferToUserSubOrder")</f>
        <v>TransferToUserSubOrder</v>
      </c>
      <c r="C173" s="4" t="str">
        <f>IFERROR(__xludf.DUMMYFUNCTION("""COMPUTED_VALUE"""),"1_ZLPKYyCpcCv90izwkS7MZMbhNEXzuAQiOx8npro20g")</f>
        <v>1_ZLPKYyCpcCv90izwkS7MZMbhNEXzuAQiOx8npro20g</v>
      </c>
      <c r="D173" s="4"/>
      <c r="E173" s="4"/>
      <c r="F173" s="4"/>
      <c r="G173" s="4"/>
      <c r="H173" s="4"/>
      <c r="I173" s="4"/>
      <c r="J173" s="4"/>
      <c r="K173" s="4"/>
      <c r="L173" s="4"/>
    </row>
    <row r="174" ht="15.75" customHeight="1">
      <c r="A174" s="4" t="str">
        <f>IFERROR(__xludf.DUMMYFUNCTION("""COMPUTED_VALUE"""),"Blotter")</f>
        <v>Blotter</v>
      </c>
      <c r="B174" s="4" t="str">
        <f>IFERROR(__xludf.DUMMYFUNCTION("""COMPUTED_VALUE"""),"DetailsForAlgoTradeOrder")</f>
        <v>DetailsForAlgoTradeOrder</v>
      </c>
      <c r="C174" s="4" t="str">
        <f>IFERROR(__xludf.DUMMYFUNCTION("""COMPUTED_VALUE"""),"1AS722xjcIKYd_PpocpO2JLwR2JMqFfBPkVK39Q2XMxE")</f>
        <v>1AS722xjcIKYd_PpocpO2JLwR2JMqFfBPkVK39Q2XMxE</v>
      </c>
      <c r="D174" s="4"/>
      <c r="E174" s="4"/>
      <c r="F174" s="4"/>
      <c r="G174" s="4"/>
      <c r="H174" s="4"/>
      <c r="I174" s="4"/>
      <c r="J174" s="4"/>
      <c r="K174" s="4"/>
      <c r="L174" s="4"/>
    </row>
    <row r="175" ht="15.75" customHeight="1">
      <c r="A175" s="4" t="str">
        <f>IFERROR(__xludf.DUMMYFUNCTION("""COMPUTED_VALUE"""),"Blotter")</f>
        <v>Blotter</v>
      </c>
      <c r="B175" s="4" t="str">
        <f>IFERROR(__xludf.DUMMYFUNCTION("""COMPUTED_VALUE"""),"AddFillsSubOrder")</f>
        <v>AddFillsSubOrder</v>
      </c>
      <c r="C175" s="4" t="str">
        <f>IFERROR(__xludf.DUMMYFUNCTION("""COMPUTED_VALUE"""),"1r-tyec_fx-pIqzGddgSbcLuJdAU-B20ZTaGzahpBV2w")</f>
        <v>1r-tyec_fx-pIqzGddgSbcLuJdAU-B20ZTaGzahpBV2w</v>
      </c>
      <c r="D175" s="4"/>
      <c r="E175" s="4"/>
      <c r="F175" s="4"/>
      <c r="G175" s="4"/>
      <c r="H175" s="4"/>
      <c r="I175" s="4"/>
      <c r="J175" s="4"/>
      <c r="K175" s="4"/>
      <c r="L175" s="4"/>
    </row>
    <row r="176" ht="15.75" customHeight="1">
      <c r="A176" s="4" t="str">
        <f>IFERROR(__xludf.DUMMYFUNCTION("""COMPUTED_VALUE"""),"Blotter")</f>
        <v>Blotter</v>
      </c>
      <c r="B176" s="4" t="str">
        <f>IFERROR(__xludf.DUMMYFUNCTION("""COMPUTED_VALUE"""),"ViewAllocationDetailsSubOrder")</f>
        <v>ViewAllocationDetailsSubOrder</v>
      </c>
      <c r="C176" s="4" t="str">
        <f>IFERROR(__xludf.DUMMYFUNCTION("""COMPUTED_VALUE"""),"1PRG5_5qrohtjUlpAk-DjC1B6M75OdF99hA2vEgdD_Uw")</f>
        <v>1PRG5_5qrohtjUlpAk-DjC1B6M75OdF99hA2vEgdD_Uw</v>
      </c>
      <c r="D176" s="4"/>
      <c r="E176" s="4"/>
      <c r="F176" s="4"/>
      <c r="G176" s="4"/>
      <c r="H176" s="4"/>
      <c r="I176" s="4"/>
      <c r="J176" s="4"/>
      <c r="K176" s="4"/>
      <c r="L176" s="4"/>
    </row>
    <row r="177" ht="15.75" customHeight="1">
      <c r="A177" s="4" t="str">
        <f>IFERROR(__xludf.DUMMYFUNCTION("""COMPUTED_VALUE"""),"GeneralLedger")</f>
        <v>GeneralLedger</v>
      </c>
      <c r="B177" s="4" t="str">
        <f>IFERROR(__xludf.DUMMYFUNCTION("""COMPUTED_VALUE"""),"GetCashTransaction")</f>
        <v>GetCashTransaction</v>
      </c>
      <c r="C177" s="4" t="str">
        <f>IFERROR(__xludf.DUMMYFUNCTION("""COMPUTED_VALUE"""),"1U9O1ZNQe03mFGPQ67ySm3ZLNJbWXRqnbI-8ZV30Jyz4")</f>
        <v>1U9O1ZNQe03mFGPQ67ySm3ZLNJbWXRqnbI-8ZV30Jyz4</v>
      </c>
      <c r="D177" s="4"/>
      <c r="E177" s="4"/>
      <c r="F177" s="4"/>
      <c r="G177" s="4"/>
      <c r="H177" s="4"/>
      <c r="I177" s="4"/>
      <c r="J177" s="4"/>
      <c r="K177" s="4"/>
      <c r="L177" s="4"/>
    </row>
    <row r="178" ht="15.75" customHeight="1">
      <c r="A178" s="4" t="str">
        <f>IFERROR(__xludf.DUMMYFUNCTION("""COMPUTED_VALUE"""),"GeneralLedger")</f>
        <v>GeneralLedger</v>
      </c>
      <c r="B178" s="4" t="str">
        <f>IFERROR(__xludf.DUMMYFUNCTION("""COMPUTED_VALUE"""),"SelectCashTransaction")</f>
        <v>SelectCashTransaction</v>
      </c>
      <c r="C178" s="4" t="str">
        <f>IFERROR(__xludf.DUMMYFUNCTION("""COMPUTED_VALUE"""),"157yMc4dFxYWky5rc3_ip4Q-PBeeptVpZvBUznJzbfjE")</f>
        <v>157yMc4dFxYWky5rc3_ip4Q-PBeeptVpZvBUznJzbfjE</v>
      </c>
      <c r="D178" s="4"/>
      <c r="E178" s="4"/>
      <c r="F178" s="4"/>
      <c r="G178" s="4"/>
      <c r="H178" s="4"/>
      <c r="I178" s="4"/>
      <c r="J178" s="4"/>
      <c r="K178" s="4"/>
      <c r="L178" s="4"/>
    </row>
    <row r="179" ht="15.75" customHeight="1">
      <c r="A179" s="4" t="str">
        <f>IFERROR(__xludf.DUMMYFUNCTION("""COMPUTED_VALUE"""),"GeneralLedger")</f>
        <v>GeneralLedger</v>
      </c>
      <c r="B179" s="4" t="str">
        <f>IFERROR(__xludf.DUMMYFUNCTION("""COMPUTED_VALUE"""),"DeleteCashTransaction")</f>
        <v>DeleteCashTransaction</v>
      </c>
      <c r="C179" s="4" t="str">
        <f>IFERROR(__xludf.DUMMYFUNCTION("""COMPUTED_VALUE"""),"1qeXbjcZPeClkYAwZmHJs2rG7V0JsRRg6mw5SmjAQHTE")</f>
        <v>1qeXbjcZPeClkYAwZmHJs2rG7V0JsRRg6mw5SmjAQHTE</v>
      </c>
      <c r="D179" s="4"/>
      <c r="E179" s="4"/>
      <c r="F179" s="4"/>
      <c r="G179" s="4"/>
      <c r="H179" s="4"/>
      <c r="I179" s="4"/>
      <c r="J179" s="4"/>
      <c r="K179" s="4"/>
      <c r="L179" s="4"/>
    </row>
    <row r="180" ht="15.75" customHeight="1">
      <c r="A180" s="4" t="str">
        <f>IFERROR(__xludf.DUMMYFUNCTION("""COMPUTED_VALUE"""),"GeneralLedger")</f>
        <v>GeneralLedger</v>
      </c>
      <c r="B180" s="4" t="str">
        <f>IFERROR(__xludf.DUMMYFUNCTION("""COMPUTED_VALUE"""),"EditCashTransaction")</f>
        <v>EditCashTransaction</v>
      </c>
      <c r="C180" s="4" t="str">
        <f>IFERROR(__xludf.DUMMYFUNCTION("""COMPUTED_VALUE"""),"1lMHtKGRo9R39-rGVJg8v2Vp15-3oz56OtDPZn55yAvA")</f>
        <v>1lMHtKGRo9R39-rGVJg8v2Vp15-3oz56OtDPZn55yAvA</v>
      </c>
      <c r="D180" s="4"/>
      <c r="E180" s="4"/>
      <c r="F180" s="4"/>
      <c r="G180" s="4"/>
      <c r="H180" s="4"/>
      <c r="I180" s="4"/>
      <c r="J180" s="4"/>
      <c r="K180" s="4"/>
      <c r="L180" s="4"/>
    </row>
    <row r="181" ht="15.75" customHeight="1">
      <c r="A181" s="4" t="str">
        <f>IFERROR(__xludf.DUMMYFUNCTION("""COMPUTED_VALUE"""),"GeneralLedger")</f>
        <v>GeneralLedger</v>
      </c>
      <c r="B181" s="4" t="str">
        <f>IFERROR(__xludf.DUMMYFUNCTION("""COMPUTED_VALUE"""),"AddCashTransaction")</f>
        <v>AddCashTransaction</v>
      </c>
      <c r="C181" s="4" t="str">
        <f>IFERROR(__xludf.DUMMYFUNCTION("""COMPUTED_VALUE"""),"1_UOfRF0S9c4jZDCW6MVXmTaalhrK1N7Qp-p7qITvrb4")</f>
        <v>1_UOfRF0S9c4jZDCW6MVXmTaalhrK1N7Qp-p7qITvrb4</v>
      </c>
      <c r="D181" s="4"/>
      <c r="E181" s="4"/>
      <c r="F181" s="4"/>
      <c r="G181" s="4"/>
      <c r="H181" s="4"/>
      <c r="I181" s="4"/>
      <c r="J181" s="4"/>
      <c r="K181" s="4"/>
      <c r="L181" s="4"/>
    </row>
    <row r="182" ht="15.75" customHeight="1">
      <c r="A182" s="4" t="str">
        <f>IFERROR(__xludf.DUMMYFUNCTION("""COMPUTED_VALUE"""),"Allocation")</f>
        <v>Allocation</v>
      </c>
      <c r="B182" s="4" t="str">
        <f>IFERROR(__xludf.DUMMYFUNCTION("""COMPUTED_VALUE"""),"EditAllocatedGroupSidePanel")</f>
        <v>EditAllocatedGroupSidePanel</v>
      </c>
      <c r="C182" s="4" t="str">
        <f>IFERROR(__xludf.DUMMYFUNCTION("""COMPUTED_VALUE"""),"1hHq4PASBEElrCZSeU0tjApkvEqoqk_kzbqRw1XNza9I")</f>
        <v>1hHq4PASBEElrCZSeU0tjApkvEqoqk_kzbqRw1XNza9I</v>
      </c>
      <c r="D182" s="4"/>
      <c r="E182" s="4"/>
      <c r="F182" s="4"/>
      <c r="G182" s="4"/>
      <c r="H182" s="4"/>
      <c r="I182" s="4"/>
      <c r="J182" s="4"/>
      <c r="K182" s="4"/>
      <c r="L182" s="4"/>
    </row>
    <row r="183" ht="15.75" customHeight="1">
      <c r="A183" s="4" t="str">
        <f>IFERROR(__xludf.DUMMYFUNCTION("""COMPUTED_VALUE"""),"DailyValuation")</f>
        <v>DailyValuation</v>
      </c>
      <c r="B183" s="4" t="str">
        <f>IFERROR(__xludf.DUMMYFUNCTION("""COMPUTED_VALUE"""),"GetMarkPriceData")</f>
        <v>GetMarkPriceData</v>
      </c>
      <c r="C183" s="4" t="str">
        <f>IFERROR(__xludf.DUMMYFUNCTION("""COMPUTED_VALUE"""),"1pHb0k1fYZKumDsM-GMxxgG_-LpX7T8zxKSXMXqWTh3o")</f>
        <v>1pHb0k1fYZKumDsM-GMxxgG_-LpX7T8zxKSXMXqWTh3o</v>
      </c>
      <c r="D183" s="4"/>
      <c r="E183" s="4"/>
      <c r="F183" s="4"/>
      <c r="G183" s="4"/>
      <c r="H183" s="4"/>
      <c r="I183" s="4"/>
      <c r="J183" s="4"/>
      <c r="K183" s="4"/>
      <c r="L183" s="4"/>
    </row>
    <row r="184" ht="15.75" customHeight="1">
      <c r="A184" s="4" t="str">
        <f>IFERROR(__xludf.DUMMYFUNCTION("""COMPUTED_VALUE"""),"DailyValuation")</f>
        <v>DailyValuation</v>
      </c>
      <c r="B184" s="4" t="str">
        <f>IFERROR(__xludf.DUMMYFUNCTION("""COMPUTED_VALUE"""),"GetForwardPoints")</f>
        <v>GetForwardPoints</v>
      </c>
      <c r="C184" s="4" t="str">
        <f>IFERROR(__xludf.DUMMYFUNCTION("""COMPUTED_VALUE"""),"12tr3nHtXwkFq8bzK-zX9KhfXrHqVcRxmWSgThepFUAU")</f>
        <v>12tr3nHtXwkFq8bzK-zX9KhfXrHqVcRxmWSgThepFUAU</v>
      </c>
      <c r="D184" s="4"/>
      <c r="E184" s="4"/>
      <c r="F184" s="4"/>
      <c r="G184" s="4"/>
      <c r="H184" s="4"/>
      <c r="I184" s="4"/>
      <c r="J184" s="4"/>
      <c r="K184" s="4"/>
      <c r="L184" s="4"/>
    </row>
    <row r="185" ht="15.75" customHeight="1">
      <c r="A185" s="4" t="str">
        <f>IFERROR(__xludf.DUMMYFUNCTION("""COMPUTED_VALUE"""),"DailyValuation")</f>
        <v>DailyValuation</v>
      </c>
      <c r="B185" s="4" t="str">
        <f>IFERROR(__xludf.DUMMYFUNCTION("""COMPUTED_VALUE"""),"UpdateForwardPoints")</f>
        <v>UpdateForwardPoints</v>
      </c>
      <c r="C185" s="4" t="str">
        <f>IFERROR(__xludf.DUMMYFUNCTION("""COMPUTED_VALUE"""),"1cbxy6VdPjCKlq1CYH-5uKvOCKpxB1FDLj3t8SOJ-Lic")</f>
        <v>1cbxy6VdPjCKlq1CYH-5uKvOCKpxB1FDLj3t8SOJ-Lic</v>
      </c>
      <c r="D185" s="4"/>
      <c r="E185" s="4"/>
      <c r="F185" s="4"/>
      <c r="G185" s="4"/>
      <c r="H185" s="4"/>
      <c r="I185" s="4"/>
      <c r="J185" s="4"/>
      <c r="K185" s="4"/>
      <c r="L185" s="4"/>
    </row>
    <row r="186" ht="15.75" customHeight="1">
      <c r="A186" s="4" t="str">
        <f>IFERROR(__xludf.DUMMYFUNCTION("""COMPUTED_VALUE"""),"DailyValuation")</f>
        <v>DailyValuation</v>
      </c>
      <c r="B186" s="4" t="str">
        <f>IFERROR(__xludf.DUMMYFUNCTION("""COMPUTED_VALUE"""),"GetForexConversion")</f>
        <v>GetForexConversion</v>
      </c>
      <c r="C186" s="4" t="str">
        <f>IFERROR(__xludf.DUMMYFUNCTION("""COMPUTED_VALUE"""),"1VwGGAbs40-P3TWEPuxpd84Kd482ffeBen_bvUeH5XLs")</f>
        <v>1VwGGAbs40-P3TWEPuxpd84Kd482ffeBen_bvUeH5XLs</v>
      </c>
      <c r="D186" s="4"/>
      <c r="E186" s="4"/>
      <c r="F186" s="4"/>
      <c r="G186" s="4"/>
      <c r="H186" s="4"/>
      <c r="I186" s="4"/>
      <c r="J186" s="4"/>
      <c r="K186" s="4"/>
      <c r="L186" s="4"/>
    </row>
    <row r="187" ht="15.75" customHeight="1">
      <c r="A187" s="4" t="str">
        <f>IFERROR(__xludf.DUMMYFUNCTION("""COMPUTED_VALUE"""),"DailyValuation")</f>
        <v>DailyValuation</v>
      </c>
      <c r="B187" s="4" t="str">
        <f>IFERROR(__xludf.DUMMYFUNCTION("""COMPUTED_VALUE"""),"DeleteNAV")</f>
        <v>DeleteNAV</v>
      </c>
      <c r="C187" s="4" t="str">
        <f>IFERROR(__xludf.DUMMYFUNCTION("""COMPUTED_VALUE"""),"1ZXcPQzGoPQ5lCt0SIdxE4Wn22XxZZBrghVN8TQa_PA8")</f>
        <v>1ZXcPQzGoPQ5lCt0SIdxE4Wn22XxZZBrghVN8TQa_PA8</v>
      </c>
      <c r="D187" s="4"/>
      <c r="E187" s="4"/>
      <c r="F187" s="4"/>
      <c r="G187" s="4"/>
      <c r="H187" s="4"/>
      <c r="I187" s="4"/>
      <c r="J187" s="4"/>
      <c r="K187" s="4"/>
      <c r="L187" s="4"/>
    </row>
    <row r="188" ht="15.75" customHeight="1">
      <c r="A188" s="4" t="str">
        <f>IFERROR(__xludf.DUMMYFUNCTION("""COMPUTED_VALUE"""),"Allocation")</f>
        <v>Allocation</v>
      </c>
      <c r="B188" s="4" t="str">
        <f>IFERROR(__xludf.DUMMYFUNCTION("""COMPUTED_VALUE"""),"CheckUnallocatedGroups")</f>
        <v>CheckUnallocatedGroups</v>
      </c>
      <c r="C188" s="4" t="str">
        <f>IFERROR(__xludf.DUMMYFUNCTION("""COMPUTED_VALUE"""),"1pfMfohF1Z5TFRSXZGi_8kDUwu6rKdB84lDXAsFAROuo")</f>
        <v>1pfMfohF1Z5TFRSXZGi_8kDUwu6rKdB84lDXAsFAROuo</v>
      </c>
      <c r="D188" s="4"/>
      <c r="E188" s="4"/>
      <c r="F188" s="4"/>
      <c r="G188" s="4"/>
      <c r="H188" s="4"/>
      <c r="I188" s="4"/>
      <c r="J188" s="4"/>
      <c r="K188" s="4"/>
      <c r="L188" s="4"/>
    </row>
    <row r="189" ht="15.75" customHeight="1">
      <c r="A189" s="4" t="str">
        <f>IFERROR(__xludf.DUMMYFUNCTION("""COMPUTED_VALUE"""),"DailyValuation")</f>
        <v>DailyValuation</v>
      </c>
      <c r="B189" s="4" t="str">
        <f>IFERROR(__xludf.DUMMYFUNCTION("""COMPUTED_VALUE"""),"GetDailyCash")</f>
        <v>GetDailyCash</v>
      </c>
      <c r="C189" s="4" t="str">
        <f>IFERROR(__xludf.DUMMYFUNCTION("""COMPUTED_VALUE"""),"1RWrzEP7tKvSTkC1z87RsjU_EZslvD2btXJuTWRIwRLU")</f>
        <v>1RWrzEP7tKvSTkC1z87RsjU_EZslvD2btXJuTWRIwRLU</v>
      </c>
      <c r="D189" s="4"/>
      <c r="E189" s="4"/>
      <c r="F189" s="4"/>
      <c r="G189" s="4"/>
      <c r="H189" s="4"/>
      <c r="I189" s="4"/>
      <c r="J189" s="4"/>
      <c r="K189" s="4"/>
      <c r="L189" s="4"/>
    </row>
    <row r="190" ht="15.75" customHeight="1">
      <c r="A190" s="4" t="str">
        <f>IFERROR(__xludf.DUMMYFUNCTION("""COMPUTED_VALUE"""),"Allocation")</f>
        <v>Allocation</v>
      </c>
      <c r="B190" s="4" t="str">
        <f>IFERROR(__xludf.DUMMYFUNCTION("""COMPUTED_VALUE"""),"SetGeneralPreferences")</f>
        <v>SetGeneralPreferences</v>
      </c>
      <c r="C190" s="4" t="str">
        <f>IFERROR(__xludf.DUMMYFUNCTION("""COMPUTED_VALUE"""),"1ch-af2kKdJm7_QNV7VeJuxk-LrNEXnkjKpb6t0Dug3c")</f>
        <v>1ch-af2kKdJm7_QNV7VeJuxk-LrNEXnkjKpb6t0Dug3c</v>
      </c>
      <c r="D190" s="4"/>
      <c r="E190" s="4"/>
      <c r="F190" s="4"/>
      <c r="G190" s="4"/>
      <c r="H190" s="4"/>
      <c r="I190" s="4"/>
      <c r="J190" s="4"/>
      <c r="K190" s="4"/>
      <c r="L190" s="4"/>
    </row>
    <row r="191" ht="15.75" customHeight="1">
      <c r="A191" s="4" t="str">
        <f>IFERROR(__xludf.DUMMYFUNCTION("""COMPUTED_VALUE"""),"DailyValuation")</f>
        <v>DailyValuation</v>
      </c>
      <c r="B191" s="4" t="str">
        <f>IFERROR(__xludf.DUMMYFUNCTION("""COMPUTED_VALUE"""),"GetDailyBeta")</f>
        <v>GetDailyBeta</v>
      </c>
      <c r="C191" s="4" t="str">
        <f>IFERROR(__xludf.DUMMYFUNCTION("""COMPUTED_VALUE"""),"1wWqxRP1qZT537GjecxDT1YzzgNpudY5jHpZOp2gu3Ys")</f>
        <v>1wWqxRP1qZT537GjecxDT1YzzgNpudY5jHpZOp2gu3Ys</v>
      </c>
      <c r="D191" s="4"/>
      <c r="E191" s="4"/>
      <c r="F191" s="4"/>
      <c r="G191" s="4"/>
      <c r="H191" s="4"/>
      <c r="I191" s="4"/>
      <c r="J191" s="4"/>
      <c r="K191" s="4"/>
      <c r="L191" s="4"/>
    </row>
    <row r="192" ht="15.75" customHeight="1">
      <c r="A192" s="4" t="str">
        <f>IFERROR(__xludf.DUMMYFUNCTION("""COMPUTED_VALUE"""),"DailyValuation")</f>
        <v>DailyValuation</v>
      </c>
      <c r="B192" s="4" t="str">
        <f>IFERROR(__xludf.DUMMYFUNCTION("""COMPUTED_VALUE"""),"GetDailyVolatility")</f>
        <v>GetDailyVolatility</v>
      </c>
      <c r="C192" s="4" t="str">
        <f>IFERROR(__xludf.DUMMYFUNCTION("""COMPUTED_VALUE"""),"1VkaV63Kp_-m9xakgvN4nwjFQliVbH-uDTupRnx4k5U0")</f>
        <v>1VkaV63Kp_-m9xakgvN4nwjFQliVbH-uDTupRnx4k5U0</v>
      </c>
      <c r="D192" s="4"/>
      <c r="E192" s="4"/>
      <c r="F192" s="4"/>
      <c r="G192" s="4"/>
      <c r="H192" s="4"/>
      <c r="I192" s="4"/>
      <c r="J192" s="4"/>
      <c r="K192" s="4"/>
      <c r="L192" s="4"/>
    </row>
    <row r="193" ht="15.75" customHeight="1">
      <c r="A193" s="4" t="str">
        <f>IFERROR(__xludf.DUMMYFUNCTION("""COMPUTED_VALUE"""),"DailyValuation")</f>
        <v>DailyValuation</v>
      </c>
      <c r="B193" s="4" t="str">
        <f>IFERROR(__xludf.DUMMYFUNCTION("""COMPUTED_VALUE"""),"GetDailyDividendYield")</f>
        <v>GetDailyDividendYield</v>
      </c>
      <c r="C193" s="4" t="str">
        <f>IFERROR(__xludf.DUMMYFUNCTION("""COMPUTED_VALUE"""),"1yDZte754Sm0fLUnothHlWsZVXFoWOOh4q4YiAbmaN6A")</f>
        <v>1yDZte754Sm0fLUnothHlWsZVXFoWOOh4q4YiAbmaN6A</v>
      </c>
      <c r="D193" s="4"/>
      <c r="E193" s="4"/>
      <c r="F193" s="4"/>
      <c r="G193" s="4"/>
      <c r="H193" s="4"/>
      <c r="I193" s="4"/>
      <c r="J193" s="4"/>
      <c r="K193" s="4"/>
      <c r="L193" s="4"/>
    </row>
    <row r="194" ht="15.75" customHeight="1">
      <c r="A194" s="4" t="str">
        <f>IFERROR(__xludf.DUMMYFUNCTION("""COMPUTED_VALUE"""),"DailyValuation")</f>
        <v>DailyValuation</v>
      </c>
      <c r="B194" s="4" t="str">
        <f>IFERROR(__xludf.DUMMYFUNCTION("""COMPUTED_VALUE"""),"GetDailyTradingVolume")</f>
        <v>GetDailyTradingVolume</v>
      </c>
      <c r="C194" s="4" t="str">
        <f>IFERROR(__xludf.DUMMYFUNCTION("""COMPUTED_VALUE"""),"1CcDYZea7aWB5x3R1FD5XPCk14XdXJmtBfwMqrKIo5P8")</f>
        <v>1CcDYZea7aWB5x3R1FD5XPCk14XdXJmtBfwMqrKIo5P8</v>
      </c>
      <c r="D194" s="4"/>
      <c r="E194" s="4"/>
      <c r="F194" s="4"/>
      <c r="G194" s="4"/>
      <c r="H194" s="4"/>
      <c r="I194" s="4"/>
      <c r="J194" s="4"/>
      <c r="K194" s="4"/>
      <c r="L194" s="4"/>
    </row>
    <row r="195" ht="15.75" customHeight="1">
      <c r="A195" s="4" t="str">
        <f>IFERROR(__xludf.DUMMYFUNCTION("""COMPUTED_VALUE"""),"DailyValuation")</f>
        <v>DailyValuation</v>
      </c>
      <c r="B195" s="4" t="str">
        <f>IFERROR(__xludf.DUMMYFUNCTION("""COMPUTED_VALUE"""),"GetDailyOutstandings")</f>
        <v>GetDailyOutstandings</v>
      </c>
      <c r="C195" s="4" t="str">
        <f>IFERROR(__xludf.DUMMYFUNCTION("""COMPUTED_VALUE"""),"1IiJr_OFZwBuXGoSVJLT-iESeCoaaWmoNTh6qdlxCYp8")</f>
        <v>1IiJr_OFZwBuXGoSVJLT-iESeCoaaWmoNTh6qdlxCYp8</v>
      </c>
      <c r="D195" s="4"/>
      <c r="E195" s="4"/>
      <c r="F195" s="4"/>
      <c r="G195" s="4"/>
      <c r="H195" s="4"/>
      <c r="I195" s="4"/>
      <c r="J195" s="4"/>
      <c r="K195" s="4"/>
      <c r="L195" s="4"/>
    </row>
    <row r="196" ht="15.75" customHeight="1">
      <c r="A196" s="4" t="str">
        <f>IFERROR(__xludf.DUMMYFUNCTION("""COMPUTED_VALUE"""),"Allocation")</f>
        <v>Allocation</v>
      </c>
      <c r="B196" s="4" t="str">
        <f>IFERROR(__xludf.DUMMYFUNCTION("""COMPUTED_VALUE"""),"GroupTrades")</f>
        <v>GroupTrades</v>
      </c>
      <c r="C196" s="4" t="str">
        <f>IFERROR(__xludf.DUMMYFUNCTION("""COMPUTED_VALUE"""),"1U2asF2q2-aZLq6UJkzTZA2eUVbNqPzpMApCuwatTcT8")</f>
        <v>1U2asF2q2-aZLq6UJkzTZA2eUVbNqPzpMApCuwatTcT8</v>
      </c>
      <c r="D196" s="4"/>
      <c r="E196" s="4"/>
      <c r="F196" s="4"/>
      <c r="G196" s="4"/>
      <c r="H196" s="4"/>
      <c r="I196" s="4"/>
      <c r="J196" s="4"/>
      <c r="K196" s="4"/>
      <c r="L196" s="4"/>
    </row>
    <row r="197" ht="15.75" customHeight="1">
      <c r="A197" s="4" t="str">
        <f>IFERROR(__xludf.DUMMYFUNCTION("""COMPUTED_VALUE"""),"Allocation")</f>
        <v>Allocation</v>
      </c>
      <c r="B197" s="4" t="str">
        <f>IFERROR(__xludf.DUMMYFUNCTION("""COMPUTED_VALUE"""),"UngroupTrades")</f>
        <v>UngroupTrades</v>
      </c>
      <c r="C197" s="4" t="str">
        <f>IFERROR(__xludf.DUMMYFUNCTION("""COMPUTED_VALUE"""),"1azHuhW2QGS0U6YxkL00Txr4JY62dACA7LLHadkRZziQ")</f>
        <v>1azHuhW2QGS0U6YxkL00Txr4JY62dACA7LLHadkRZziQ</v>
      </c>
      <c r="D197" s="4"/>
      <c r="E197" s="4"/>
      <c r="F197" s="4"/>
      <c r="G197" s="4"/>
      <c r="H197" s="4"/>
      <c r="I197" s="4"/>
      <c r="J197" s="4"/>
      <c r="K197" s="4"/>
      <c r="L197" s="4"/>
    </row>
    <row r="198" ht="15.75" customHeight="1">
      <c r="A198" s="4" t="str">
        <f>IFERROR(__xludf.DUMMYFUNCTION("""COMPUTED_VALUE"""),"Allocation")</f>
        <v>Allocation</v>
      </c>
      <c r="B198" s="4" t="str">
        <f>IFERROR(__xludf.DUMMYFUNCTION("""COMPUTED_VALUE"""),"DeleteGroup")</f>
        <v>DeleteGroup</v>
      </c>
      <c r="C198" s="4" t="str">
        <f>IFERROR(__xludf.DUMMYFUNCTION("""COMPUTED_VALUE"""),"1V8imeRfJQChz23ycPrmDDSrmAMiwTobLSV9OD1bH-ME")</f>
        <v>1V8imeRfJQChz23ycPrmDDSrmAMiwTobLSV9OD1bH-ME</v>
      </c>
      <c r="D198" s="4"/>
      <c r="E198" s="4"/>
      <c r="F198" s="4"/>
      <c r="G198" s="4"/>
      <c r="H198" s="4"/>
      <c r="I198" s="4"/>
      <c r="J198" s="4"/>
      <c r="K198" s="4"/>
      <c r="L198" s="4"/>
    </row>
    <row r="199" ht="15.75" customHeight="1">
      <c r="A199" s="4" t="str">
        <f>IFERROR(__xludf.DUMMYFUNCTION("""COMPUTED_VALUE"""),"Allocation")</f>
        <v>Allocation</v>
      </c>
      <c r="B199" s="4" t="str">
        <f>IFERROR(__xludf.DUMMYFUNCTION("""COMPUTED_VALUE"""),"CloseOrder")</f>
        <v>CloseOrder</v>
      </c>
      <c r="C199" s="4" t="str">
        <f>IFERROR(__xludf.DUMMYFUNCTION("""COMPUTED_VALUE"""),"18PQbi1ps1nA6V6t9zvfGRiJCtqCe0Uh1GTuATjDjRFU")</f>
        <v>18PQbi1ps1nA6V6t9zvfGRiJCtqCe0Uh1GTuATjDjRFU</v>
      </c>
      <c r="D199" s="4"/>
      <c r="E199" s="4"/>
      <c r="F199" s="4"/>
      <c r="G199" s="4"/>
      <c r="H199" s="4"/>
      <c r="I199" s="4"/>
      <c r="J199" s="4"/>
      <c r="K199" s="4"/>
      <c r="L199" s="4"/>
    </row>
    <row r="200" ht="15.75" customHeight="1">
      <c r="A200" s="4" t="str">
        <f>IFERROR(__xludf.DUMMYFUNCTION("""COMPUTED_VALUE"""),"Allocation")</f>
        <v>Allocation</v>
      </c>
      <c r="B200" s="4" t="str">
        <f>IFERROR(__xludf.DUMMYFUNCTION("""COMPUTED_VALUE"""),"Unallocate")</f>
        <v>Unallocate</v>
      </c>
      <c r="C200" s="4" t="str">
        <f>IFERROR(__xludf.DUMMYFUNCTION("""COMPUTED_VALUE"""),"1ygZhQ5BPNveZ0IXpSzWUoJb1-CWbPI5yquJ9p2XgS_A")</f>
        <v>1ygZhQ5BPNveZ0IXpSzWUoJb1-CWbPI5yquJ9p2XgS_A</v>
      </c>
      <c r="D200" s="4"/>
      <c r="E200" s="4"/>
      <c r="F200" s="4"/>
      <c r="G200" s="4"/>
      <c r="H200" s="4"/>
      <c r="I200" s="4"/>
      <c r="J200" s="4"/>
      <c r="K200" s="4"/>
      <c r="L200" s="4"/>
    </row>
    <row r="201" ht="15.75" customHeight="1">
      <c r="A201" s="4" t="str">
        <f>IFERROR(__xludf.DUMMYFUNCTION("""COMPUTED_VALUE"""),"DailyValuation")</f>
        <v>DailyValuation</v>
      </c>
      <c r="B201" s="4" t="str">
        <f>IFERROR(__xludf.DUMMYFUNCTION("""COMPUTED_VALUE"""),"GetDailyDelta")</f>
        <v>GetDailyDelta</v>
      </c>
      <c r="C201" s="4" t="str">
        <f>IFERROR(__xludf.DUMMYFUNCTION("""COMPUTED_VALUE"""),"1t6rdR9qbfOeXuejoH6-sBwI1bEWh_0AoKUHuMjTKafo")</f>
        <v>1t6rdR9qbfOeXuejoH6-sBwI1bEWh_0AoKUHuMjTKafo</v>
      </c>
      <c r="D201" s="4"/>
      <c r="E201" s="4"/>
      <c r="F201" s="4"/>
      <c r="G201" s="4"/>
      <c r="H201" s="4"/>
      <c r="I201" s="4"/>
      <c r="J201" s="4"/>
      <c r="K201" s="4"/>
      <c r="L201" s="4"/>
    </row>
    <row r="202" ht="15.75" customHeight="1">
      <c r="A202" s="4" t="str">
        <f>IFERROR(__xludf.DUMMYFUNCTION("""COMPUTED_VALUE"""),"DailyValuation")</f>
        <v>DailyValuation</v>
      </c>
      <c r="B202" s="4" t="str">
        <f>IFERROR(__xludf.DUMMYFUNCTION("""COMPUTED_VALUE"""),"UpdateDailyVolatility")</f>
        <v>UpdateDailyVolatility</v>
      </c>
      <c r="C202" s="4" t="str">
        <f>IFERROR(__xludf.DUMMYFUNCTION("""COMPUTED_VALUE"""),"1xOQEqNJ31jaKfw8cBs7M5YCMT7FCefB_iA4lkNg82js")</f>
        <v>1xOQEqNJ31jaKfw8cBs7M5YCMT7FCefB_iA4lkNg82js</v>
      </c>
      <c r="D202" s="4"/>
      <c r="E202" s="4"/>
      <c r="F202" s="4"/>
      <c r="G202" s="4"/>
      <c r="H202" s="4"/>
      <c r="I202" s="4"/>
      <c r="J202" s="4"/>
      <c r="K202" s="4"/>
      <c r="L202" s="4"/>
    </row>
    <row r="203" ht="15.75" customHeight="1">
      <c r="A203" s="4" t="str">
        <f>IFERROR(__xludf.DUMMYFUNCTION("""COMPUTED_VALUE"""),"GeneralLedger")</f>
        <v>GeneralLedger</v>
      </c>
      <c r="B203" s="4" t="str">
        <f>IFERROR(__xludf.DUMMYFUNCTION("""COMPUTED_VALUE"""),"AddOpeningBalanceTransaction")</f>
        <v>AddOpeningBalanceTransaction</v>
      </c>
      <c r="C203" s="4" t="str">
        <f>IFERROR(__xludf.DUMMYFUNCTION("""COMPUTED_VALUE"""),"1JROeUyPo81jRm3vqYwqsMl1H0kBJhkmxJV8gZyip19Q")</f>
        <v>1JROeUyPo81jRm3vqYwqsMl1H0kBJhkmxJV8gZyip19Q</v>
      </c>
      <c r="D203" s="4"/>
      <c r="E203" s="4"/>
      <c r="F203" s="4"/>
      <c r="G203" s="4"/>
      <c r="H203" s="4"/>
      <c r="I203" s="4"/>
      <c r="J203" s="4"/>
      <c r="K203" s="4"/>
      <c r="L203" s="4"/>
    </row>
    <row r="204" ht="15.75" customHeight="1">
      <c r="A204" s="4" t="str">
        <f>IFERROR(__xludf.DUMMYFUNCTION("""COMPUTED_VALUE"""),"GeneralLedger")</f>
        <v>GeneralLedger</v>
      </c>
      <c r="B204" s="4" t="str">
        <f>IFERROR(__xludf.DUMMYFUNCTION("""COMPUTED_VALUE"""),"AddOpeningBalanceTranItem")</f>
        <v>AddOpeningBalanceTranItem</v>
      </c>
      <c r="C204" s="4" t="str">
        <f>IFERROR(__xludf.DUMMYFUNCTION("""COMPUTED_VALUE"""),"12owFpcC343n8bWFq_cmWVlxZQTmpEiqxbdSc8TdfgEw")</f>
        <v>12owFpcC343n8bWFq_cmWVlxZQTmpEiqxbdSc8TdfgEw</v>
      </c>
      <c r="D204" s="4"/>
      <c r="E204" s="4"/>
      <c r="F204" s="4"/>
      <c r="G204" s="4"/>
      <c r="H204" s="4"/>
      <c r="I204" s="4"/>
      <c r="J204" s="4"/>
      <c r="K204" s="4"/>
      <c r="L204" s="4"/>
    </row>
    <row r="205" ht="15.75" customHeight="1">
      <c r="A205" s="4" t="str">
        <f>IFERROR(__xludf.DUMMYFUNCTION("""COMPUTED_VALUE"""),"Blotter")</f>
        <v>Blotter</v>
      </c>
      <c r="B205" s="4" t="str">
        <f>IFERROR(__xludf.DUMMYFUNCTION("""COMPUTED_VALUE"""),"CancelAllSubs")</f>
        <v>CancelAllSubs</v>
      </c>
      <c r="C205" s="4" t="str">
        <f>IFERROR(__xludf.DUMMYFUNCTION("""COMPUTED_VALUE"""),"1sDEuT-X92-7VkSoQJG80zx85OLZfb4OJklyeYXjn00w")</f>
        <v>1sDEuT-X92-7VkSoQJG80zx85OLZfb4OJklyeYXjn00w</v>
      </c>
      <c r="D205" s="4"/>
      <c r="E205" s="4"/>
      <c r="F205" s="4"/>
      <c r="G205" s="4"/>
      <c r="H205" s="4"/>
      <c r="I205" s="4"/>
      <c r="J205" s="4"/>
      <c r="K205" s="4"/>
      <c r="L205" s="4"/>
    </row>
    <row r="206" ht="15.75" customHeight="1">
      <c r="A206" s="4" t="str">
        <f>IFERROR(__xludf.DUMMYFUNCTION("""COMPUTED_VALUE"""),"Blotter")</f>
        <v>Blotter</v>
      </c>
      <c r="B206" s="4" t="str">
        <f>IFERROR(__xludf.DUMMYFUNCTION("""COMPUTED_VALUE"""),"CancelSubOrder")</f>
        <v>CancelSubOrder</v>
      </c>
      <c r="C206" s="4" t="str">
        <f>IFERROR(__xludf.DUMMYFUNCTION("""COMPUTED_VALUE"""),"1g_US2vYcZyFbH88JB_z0oKsrXpyeYv1qZRWzpU4UgoM")</f>
        <v>1g_US2vYcZyFbH88JB_z0oKsrXpyeYv1qZRWzpU4UgoM</v>
      </c>
      <c r="D206" s="4"/>
      <c r="E206" s="4"/>
      <c r="F206" s="4"/>
      <c r="G206" s="4"/>
      <c r="H206" s="4"/>
      <c r="I206" s="4"/>
      <c r="J206" s="4"/>
      <c r="K206" s="4"/>
      <c r="L206" s="4"/>
    </row>
    <row r="207" ht="15.75" customHeight="1">
      <c r="A207" s="4" t="str">
        <f>IFERROR(__xludf.DUMMYFUNCTION("""COMPUTED_VALUE"""),"Blotter")</f>
        <v>Blotter</v>
      </c>
      <c r="B207" s="4" t="str">
        <f>IFERROR(__xludf.DUMMYFUNCTION("""COMPUTED_VALUE"""),"EditStageOrder")</f>
        <v>EditStageOrder</v>
      </c>
      <c r="C207" s="4" t="str">
        <f>IFERROR(__xludf.DUMMYFUNCTION("""COMPUTED_VALUE"""),"11epgwU0jWDfsHzxAEUws_p-DkKq5wLTVrJRQztotJjU")</f>
        <v>11epgwU0jWDfsHzxAEUws_p-DkKq5wLTVrJRQztotJjU</v>
      </c>
      <c r="D207" s="4"/>
      <c r="E207" s="4"/>
      <c r="F207" s="4"/>
      <c r="G207" s="4"/>
      <c r="H207" s="4"/>
      <c r="I207" s="4"/>
      <c r="J207" s="4"/>
      <c r="K207" s="4"/>
      <c r="L207" s="4"/>
    </row>
    <row r="208" ht="15.75" customHeight="1">
      <c r="A208" s="4" t="str">
        <f>IFERROR(__xludf.DUMMYFUNCTION("""COMPUTED_VALUE"""),"Blotter")</f>
        <v>Blotter</v>
      </c>
      <c r="B208" s="4" t="str">
        <f>IFERROR(__xludf.DUMMYFUNCTION("""COMPUTED_VALUE"""),"ReplaceSubOrder")</f>
        <v>ReplaceSubOrder</v>
      </c>
      <c r="C208" s="4" t="str">
        <f>IFERROR(__xludf.DUMMYFUNCTION("""COMPUTED_VALUE"""),"19tR0THpqi92bFoT67A4MgCZbfdZtGuYVK1wFx1a6hwo")</f>
        <v>19tR0THpqi92bFoT67A4MgCZbfdZtGuYVK1wFx1a6hwo</v>
      </c>
      <c r="D208" s="4"/>
      <c r="E208" s="4"/>
      <c r="F208" s="4"/>
      <c r="G208" s="4"/>
      <c r="H208" s="4"/>
      <c r="I208" s="4"/>
      <c r="J208" s="4"/>
      <c r="K208" s="4"/>
      <c r="L208" s="4"/>
    </row>
    <row r="209" ht="15.75" customHeight="1">
      <c r="A209" s="4" t="str">
        <f>IFERROR(__xludf.DUMMYFUNCTION("""COMPUTED_VALUE"""),"Blotter")</f>
        <v>Blotter</v>
      </c>
      <c r="B209" s="4" t="str">
        <f>IFERROR(__xludf.DUMMYFUNCTION("""COMPUTED_VALUE"""),"SelectTradeWorkingSubsBlotter")</f>
        <v>SelectTradeWorkingSubsBlotter</v>
      </c>
      <c r="C209" s="4" t="str">
        <f>IFERROR(__xludf.DUMMYFUNCTION("""COMPUTED_VALUE"""),"1u7slY1ab8D2XeXM53lB7bN6QKwuw3IYd0Uezr9zLB70")</f>
        <v>1u7slY1ab8D2XeXM53lB7bN6QKwuw3IYd0Uezr9zLB70</v>
      </c>
      <c r="D209" s="4"/>
      <c r="E209" s="4"/>
      <c r="F209" s="4"/>
      <c r="G209" s="4"/>
      <c r="H209" s="4"/>
      <c r="I209" s="4"/>
      <c r="J209" s="4"/>
      <c r="K209" s="4"/>
      <c r="L209" s="4"/>
    </row>
    <row r="210" ht="15.75" customHeight="1">
      <c r="A210" s="4" t="str">
        <f>IFERROR(__xludf.DUMMYFUNCTION("""COMPUTED_VALUE"""),"Blotter")</f>
        <v>Blotter</v>
      </c>
      <c r="B210" s="4" t="str">
        <f>IFERROR(__xludf.DUMMYFUNCTION("""COMPUTED_VALUE"""),"VerifyAlgoDetails")</f>
        <v>VerifyAlgoDetails</v>
      </c>
      <c r="C210" s="4" t="str">
        <f>IFERROR(__xludf.DUMMYFUNCTION("""COMPUTED_VALUE"""),"1l5zTPCkdGLabcDuCPPiDIGH_EGN_2xuth7vkyyaCe9E")</f>
        <v>1l5zTPCkdGLabcDuCPPiDIGH_EGN_2xuth7vkyyaCe9E</v>
      </c>
      <c r="D210" s="4"/>
      <c r="E210" s="4"/>
      <c r="F210" s="4"/>
      <c r="G210" s="4"/>
      <c r="H210" s="4"/>
      <c r="I210" s="4"/>
      <c r="J210" s="4"/>
      <c r="K210" s="4"/>
      <c r="L210" s="4"/>
    </row>
    <row r="211" ht="15.75" customHeight="1">
      <c r="A211" s="4" t="str">
        <f>IFERROR(__xludf.DUMMYFUNCTION("""COMPUTED_VALUE"""),"Blotter")</f>
        <v>Blotter</v>
      </c>
      <c r="B211" s="4" t="str">
        <f>IFERROR(__xludf.DUMMYFUNCTION("""COMPUTED_VALUE"""),"VerifyTransferToUserOrder")</f>
        <v>VerifyTransferToUserOrder</v>
      </c>
      <c r="C211" s="4" t="str">
        <f>IFERROR(__xludf.DUMMYFUNCTION("""COMPUTED_VALUE"""),"1NMIbm0wDsBqrDHS0Aoctj5TYT8IIncVXBEr7jRlTKX8")</f>
        <v>1NMIbm0wDsBqrDHS0Aoctj5TYT8IIncVXBEr7jRlTKX8</v>
      </c>
      <c r="D211" s="4"/>
      <c r="E211" s="4"/>
      <c r="F211" s="4"/>
      <c r="G211" s="4"/>
      <c r="H211" s="4"/>
      <c r="I211" s="4"/>
      <c r="J211" s="4"/>
      <c r="K211" s="4"/>
      <c r="L211" s="4"/>
    </row>
    <row r="212" ht="15.75" customHeight="1">
      <c r="A212" s="4" t="str">
        <f>IFERROR(__xludf.DUMMYFUNCTION("""COMPUTED_VALUE"""),"Blotter")</f>
        <v>Blotter</v>
      </c>
      <c r="B212" s="4" t="str">
        <f>IFERROR(__xludf.DUMMYFUNCTION("""COMPUTED_VALUE"""),"VerifyTransferToUserSubOdr")</f>
        <v>VerifyTransferToUserSubOdr</v>
      </c>
      <c r="C212" s="4" t="str">
        <f>IFERROR(__xludf.DUMMYFUNCTION("""COMPUTED_VALUE"""),"1x3CBu_5bjY_MnaanR3C8FZLu7-9IkDv52367LRcP7lY")</f>
        <v>1x3CBu_5bjY_MnaanR3C8FZLu7-9IkDv52367LRcP7lY</v>
      </c>
      <c r="D212" s="4"/>
      <c r="E212" s="4"/>
      <c r="F212" s="4"/>
      <c r="G212" s="4"/>
      <c r="H212" s="4"/>
      <c r="I212" s="4"/>
      <c r="J212" s="4"/>
      <c r="K212" s="4"/>
      <c r="L212" s="4"/>
    </row>
    <row r="213" ht="15.75" customHeight="1">
      <c r="A213" s="4" t="str">
        <f>IFERROR(__xludf.DUMMYFUNCTION("""COMPUTED_VALUE"""),"Blotter")</f>
        <v>Blotter</v>
      </c>
      <c r="B213" s="4" t="str">
        <f>IFERROR(__xludf.DUMMYFUNCTION("""COMPUTED_VALUE"""),"VerifyTransferToUserWorkSub")</f>
        <v>VerifyTransferToUserWorkSub</v>
      </c>
      <c r="C213" s="4" t="str">
        <f>IFERROR(__xludf.DUMMYFUNCTION("""COMPUTED_VALUE"""),"1moqW_Avii95AiWD080nTWw5DOlaf1npl8FoxJYdN1CQ")</f>
        <v>1moqW_Avii95AiWD080nTWw5DOlaf1npl8FoxJYdN1CQ</v>
      </c>
      <c r="D213" s="4"/>
      <c r="E213" s="4"/>
      <c r="F213" s="4"/>
      <c r="G213" s="4"/>
      <c r="H213" s="4"/>
      <c r="I213" s="4"/>
      <c r="J213" s="4"/>
      <c r="K213" s="4"/>
      <c r="L213" s="4"/>
    </row>
    <row r="214" ht="15.75" customHeight="1">
      <c r="A214" s="4" t="str">
        <f>IFERROR(__xludf.DUMMYFUNCTION("""COMPUTED_VALUE"""),"Blotter")</f>
        <v>Blotter</v>
      </c>
      <c r="B214" s="4" t="str">
        <f>IFERROR(__xludf.DUMMYFUNCTION("""COMPUTED_VALUE"""),"SaveLayoutOrderGrid")</f>
        <v>SaveLayoutOrderGrid</v>
      </c>
      <c r="C214" s="4" t="str">
        <f>IFERROR(__xludf.DUMMYFUNCTION("""COMPUTED_VALUE"""),"1f-tHMdwxYv41Vtbgl8usVHR6_T_uXK9iU0Jvj6byf54")</f>
        <v>1f-tHMdwxYv41Vtbgl8usVHR6_T_uXK9iU0Jvj6byf54</v>
      </c>
      <c r="D214" s="4"/>
      <c r="E214" s="4"/>
      <c r="F214" s="4"/>
      <c r="G214" s="4"/>
      <c r="H214" s="4"/>
      <c r="I214" s="4"/>
      <c r="J214" s="4"/>
      <c r="K214" s="4"/>
      <c r="L214" s="4"/>
    </row>
    <row r="215" ht="15.75" customHeight="1">
      <c r="A215" s="4" t="str">
        <f>IFERROR(__xludf.DUMMYFUNCTION("""COMPUTED_VALUE"""),"DailyValuation")</f>
        <v>DailyValuation</v>
      </c>
      <c r="B215" s="4" t="str">
        <f>IFERROR(__xludf.DUMMYFUNCTION("""COMPUTED_VALUE"""),"UpdateDividendYield")</f>
        <v>UpdateDividendYield</v>
      </c>
      <c r="C215" s="4" t="str">
        <f>IFERROR(__xludf.DUMMYFUNCTION("""COMPUTED_VALUE"""),"1v7x__YSHVrzfUigPB6cJL0n6H5tfL-dG0jQDSNwK77w")</f>
        <v>1v7x__YSHVrzfUigPB6cJL0n6H5tfL-dG0jQDSNwK77w</v>
      </c>
      <c r="D215" s="4"/>
      <c r="E215" s="4"/>
      <c r="F215" s="4"/>
      <c r="G215" s="4"/>
      <c r="H215" s="4"/>
      <c r="I215" s="4"/>
      <c r="J215" s="4"/>
      <c r="K215" s="4"/>
      <c r="L215" s="4"/>
    </row>
    <row r="216" ht="15.75" customHeight="1">
      <c r="A216" s="4" t="str">
        <f>IFERROR(__xludf.DUMMYFUNCTION("""COMPUTED_VALUE"""),"DailyValuation")</f>
        <v>DailyValuation</v>
      </c>
      <c r="B216" s="4" t="str">
        <f>IFERROR(__xludf.DUMMYFUNCTION("""COMPUTED_VALUE"""),"UpdateTradingVolume")</f>
        <v>UpdateTradingVolume</v>
      </c>
      <c r="C216" s="4" t="str">
        <f>IFERROR(__xludf.DUMMYFUNCTION("""COMPUTED_VALUE"""),"1C_WPdfJ5Y6XiI6PQIaQC_kYRA1cyB4pILSmTaQXBjt4")</f>
        <v>1C_WPdfJ5Y6XiI6PQIaQC_kYRA1cyB4pILSmTaQXBjt4</v>
      </c>
      <c r="D216" s="4"/>
      <c r="E216" s="4"/>
      <c r="F216" s="4"/>
      <c r="G216" s="4"/>
      <c r="H216" s="4"/>
      <c r="I216" s="4"/>
      <c r="J216" s="4"/>
      <c r="K216" s="4"/>
      <c r="L216" s="4"/>
    </row>
    <row r="217" ht="15.75" customHeight="1">
      <c r="A217" s="4" t="str">
        <f>IFERROR(__xludf.DUMMYFUNCTION("""COMPUTED_VALUE"""),"DailyValuation")</f>
        <v>DailyValuation</v>
      </c>
      <c r="B217" s="4" t="str">
        <f>IFERROR(__xludf.DUMMYFUNCTION("""COMPUTED_VALUE"""),"UpdateDailyDelta")</f>
        <v>UpdateDailyDelta</v>
      </c>
      <c r="C217" s="4" t="str">
        <f>IFERROR(__xludf.DUMMYFUNCTION("""COMPUTED_VALUE"""),"1W8cpbOsbEL0O66_8nq5ID6snA8EoJQojgueScqnJeds")</f>
        <v>1W8cpbOsbEL0O66_8nq5ID6snA8EoJQojgueScqnJeds</v>
      </c>
      <c r="D217" s="4"/>
      <c r="E217" s="4"/>
      <c r="F217" s="4"/>
      <c r="G217" s="4"/>
      <c r="H217" s="4"/>
      <c r="I217" s="4"/>
      <c r="J217" s="4"/>
      <c r="K217" s="4"/>
      <c r="L217" s="4"/>
    </row>
    <row r="218" ht="15.75" customHeight="1">
      <c r="A218" s="4" t="str">
        <f>IFERROR(__xludf.DUMMYFUNCTION("""COMPUTED_VALUE"""),"DailyValuation")</f>
        <v>DailyValuation</v>
      </c>
      <c r="B218" s="4" t="str">
        <f>IFERROR(__xludf.DUMMYFUNCTION("""COMPUTED_VALUE"""),"UpdateDailyOutstandings")</f>
        <v>UpdateDailyOutstandings</v>
      </c>
      <c r="C218" s="4" t="str">
        <f>IFERROR(__xludf.DUMMYFUNCTION("""COMPUTED_VALUE"""),"1S-1Yd6wHzPfXlddWYHNVJ59ndiC9mBcoDpJ24XG_wEs")</f>
        <v>1S-1Yd6wHzPfXlddWYHNVJ59ndiC9mBcoDpJ24XG_wEs</v>
      </c>
      <c r="D218" s="4"/>
      <c r="E218" s="4"/>
      <c r="F218" s="4"/>
      <c r="G218" s="4"/>
      <c r="H218" s="4"/>
      <c r="I218" s="4"/>
      <c r="J218" s="4"/>
      <c r="K218" s="4"/>
      <c r="L218" s="4"/>
    </row>
    <row r="219" ht="15.75" customHeight="1">
      <c r="A219" s="4" t="str">
        <f>IFERROR(__xludf.DUMMYFUNCTION("""COMPUTED_VALUE"""),"Closing")</f>
        <v>Closing</v>
      </c>
      <c r="B219" s="4" t="str">
        <f>IFERROR(__xludf.DUMMYFUNCTION("""COMPUTED_VALUE"""),"GetDataClosing")</f>
        <v>GetDataClosing</v>
      </c>
      <c r="C219" s="4" t="str">
        <f>IFERROR(__xludf.DUMMYFUNCTION("""COMPUTED_VALUE"""),"1_NT03sUSvuLe4_tGLyzUnjVgc0h0wP1QyFRqz5J0AQs")</f>
        <v>1_NT03sUSvuLe4_tGLyzUnjVgc0h0wP1QyFRqz5J0AQs</v>
      </c>
      <c r="D219" s="4"/>
      <c r="E219" s="4"/>
      <c r="F219" s="4"/>
      <c r="G219" s="4"/>
      <c r="H219" s="4"/>
      <c r="I219" s="4"/>
      <c r="J219" s="4"/>
      <c r="K219" s="4"/>
      <c r="L219" s="4"/>
    </row>
    <row r="220" ht="15.75" customHeight="1">
      <c r="A220" s="4" t="str">
        <f>IFERROR(__xludf.DUMMYFUNCTION("""COMPUTED_VALUE"""),"Closing")</f>
        <v>Closing</v>
      </c>
      <c r="B220" s="4" t="str">
        <f>IFERROR(__xludf.DUMMYFUNCTION("""COMPUTED_VALUE"""),"ManualClosing")</f>
        <v>ManualClosing</v>
      </c>
      <c r="C220" s="4" t="str">
        <f>IFERROR(__xludf.DUMMYFUNCTION("""COMPUTED_VALUE"""),"1NsF8mN2Zlx2L1ZUQo3cwyNVoYdFbhQ1U5KK4lQjqyj8")</f>
        <v>1NsF8mN2Zlx2L1ZUQo3cwyNVoYdFbhQ1U5KK4lQjqyj8</v>
      </c>
      <c r="D220" s="4"/>
      <c r="E220" s="4"/>
      <c r="F220" s="4"/>
      <c r="G220" s="4"/>
      <c r="H220" s="4"/>
      <c r="I220" s="4"/>
      <c r="J220" s="4"/>
      <c r="K220" s="4"/>
      <c r="L220" s="4"/>
    </row>
    <row r="221" ht="15.75" customHeight="1">
      <c r="A221" s="4" t="str">
        <f>IFERROR(__xludf.DUMMYFUNCTION("""COMPUTED_VALUE"""),"Closing")</f>
        <v>Closing</v>
      </c>
      <c r="B221" s="4" t="str">
        <f>IFERROR(__xludf.DUMMYFUNCTION("""COMPUTED_VALUE"""),"AutomaticClosing")</f>
        <v>AutomaticClosing</v>
      </c>
      <c r="C221" s="4" t="str">
        <f>IFERROR(__xludf.DUMMYFUNCTION("""COMPUTED_VALUE"""),"1TAvTYpcE3pQc_4LWO3rdsALNXiihqGoq5C7VuUqnyGI")</f>
        <v>1TAvTYpcE3pQc_4LWO3rdsALNXiihqGoq5C7VuUqnyGI</v>
      </c>
      <c r="D221" s="4"/>
      <c r="E221" s="4"/>
      <c r="F221" s="4"/>
      <c r="G221" s="4"/>
      <c r="H221" s="4"/>
      <c r="I221" s="4"/>
      <c r="J221" s="4"/>
      <c r="K221" s="4"/>
      <c r="L221" s="4"/>
    </row>
    <row r="222" ht="15.75" customHeight="1">
      <c r="A222" s="4" t="str">
        <f>IFERROR(__xludf.DUMMYFUNCTION("""COMPUTED_VALUE"""),"Closing")</f>
        <v>Closing</v>
      </c>
      <c r="B222" s="4" t="str">
        <f>IFERROR(__xludf.DUMMYFUNCTION("""COMPUTED_VALUE"""),"UnwindClosing")</f>
        <v>UnwindClosing</v>
      </c>
      <c r="C222" s="4" t="str">
        <f>IFERROR(__xludf.DUMMYFUNCTION("""COMPUTED_VALUE"""),"1n5b-erBJJNMUcxydpftL5PGG7ARm-uGjDncl8Qx2sLo")</f>
        <v>1n5b-erBJJNMUcxydpftL5PGG7ARm-uGjDncl8Qx2sLo</v>
      </c>
      <c r="D222" s="4"/>
      <c r="E222" s="4"/>
      <c r="F222" s="4"/>
      <c r="G222" s="4"/>
      <c r="H222" s="4"/>
      <c r="I222" s="4"/>
      <c r="J222" s="4"/>
      <c r="K222" s="4"/>
      <c r="L222" s="4"/>
    </row>
    <row r="223" ht="15.75" customHeight="1">
      <c r="A223" s="4" t="str">
        <f>IFERROR(__xludf.DUMMYFUNCTION("""COMPUTED_VALUE"""),"Closing")</f>
        <v>Closing</v>
      </c>
      <c r="B223" s="4" t="str">
        <f>IFERROR(__xludf.DUMMYFUNCTION("""COMPUTED_VALUE"""),"VerifyClosedTrades")</f>
        <v>VerifyClosedTrades</v>
      </c>
      <c r="C223" s="4" t="str">
        <f>IFERROR(__xludf.DUMMYFUNCTION("""COMPUTED_VALUE"""),"1oZ2JeM-TEXzpPQK7aQoL3fUJwhe037lPXwowIAhJJXM")</f>
        <v>1oZ2JeM-TEXzpPQK7aQoL3fUJwhe037lPXwowIAhJJXM</v>
      </c>
      <c r="D223" s="4"/>
      <c r="E223" s="4"/>
      <c r="F223" s="4"/>
      <c r="G223" s="4"/>
      <c r="H223" s="4"/>
      <c r="I223" s="4"/>
      <c r="J223" s="4"/>
      <c r="K223" s="4"/>
      <c r="L223" s="4"/>
    </row>
    <row r="224" ht="15.75" customHeight="1">
      <c r="A224" s="4" t="str">
        <f>IFERROR(__xludf.DUMMYFUNCTION("""COMPUTED_VALUE"""),"Closing")</f>
        <v>Closing</v>
      </c>
      <c r="B224" s="4" t="str">
        <f>IFERROR(__xludf.DUMMYFUNCTION("""COMPUTED_VALUE"""),"VerifyLongPositionsGrid")</f>
        <v>VerifyLongPositionsGrid</v>
      </c>
      <c r="C224" s="4" t="str">
        <f>IFERROR(__xludf.DUMMYFUNCTION("""COMPUTED_VALUE"""),"1n66-ge1M-RYaB4fzMAeKVE4b9J93Ec6FE8prEnrbrUY")</f>
        <v>1n66-ge1M-RYaB4fzMAeKVE4b9J93Ec6FE8prEnrbrUY</v>
      </c>
      <c r="D224" s="4"/>
      <c r="E224" s="4"/>
      <c r="F224" s="4"/>
      <c r="G224" s="4"/>
      <c r="H224" s="4"/>
      <c r="I224" s="4"/>
      <c r="J224" s="4"/>
      <c r="K224" s="4"/>
      <c r="L224" s="4"/>
    </row>
    <row r="225" ht="15.75" customHeight="1">
      <c r="A225" s="4" t="str">
        <f>IFERROR(__xludf.DUMMYFUNCTION("""COMPUTED_VALUE"""),"Closing")</f>
        <v>Closing</v>
      </c>
      <c r="B225" s="4" t="str">
        <f>IFERROR(__xludf.DUMMYFUNCTION("""COMPUTED_VALUE"""),"VerifyShortPositionsGrid")</f>
        <v>VerifyShortPositionsGrid</v>
      </c>
      <c r="C225" s="4" t="str">
        <f>IFERROR(__xludf.DUMMYFUNCTION("""COMPUTED_VALUE"""),"147WeBw6VRRHCzDjjEVkUG93H71mx9_6u7JDqSzExZfQ")</f>
        <v>147WeBw6VRRHCzDjjEVkUG93H71mx9_6u7JDqSzExZfQ</v>
      </c>
      <c r="D225" s="4"/>
      <c r="E225" s="4"/>
      <c r="F225" s="4"/>
      <c r="G225" s="4"/>
      <c r="H225" s="4"/>
      <c r="I225" s="4"/>
      <c r="J225" s="4"/>
      <c r="K225" s="4"/>
      <c r="L225" s="4"/>
    </row>
    <row r="226" ht="15.75" customHeight="1">
      <c r="A226" s="4" t="str">
        <f>IFERROR(__xludf.DUMMYFUNCTION("""COMPUTED_VALUE"""),"Closing")</f>
        <v>Closing</v>
      </c>
      <c r="B226" s="4" t="str">
        <f>IFERROR(__xludf.DUMMYFUNCTION("""COMPUTED_VALUE"""),"SelectTradeUnexpiredUnsettled")</f>
        <v>SelectTradeUnexpiredUnsettled</v>
      </c>
      <c r="C226" s="4" t="str">
        <f>IFERROR(__xludf.DUMMYFUNCTION("""COMPUTED_VALUE"""),"1FObt5ouO_Fd-1C35ZJOB1hwrDeISMD1uqyNw6Muc52E")</f>
        <v>1FObt5ouO_Fd-1C35ZJOB1hwrDeISMD1uqyNw6Muc52E</v>
      </c>
      <c r="D226" s="4"/>
      <c r="E226" s="4"/>
      <c r="F226" s="4"/>
      <c r="G226" s="4"/>
      <c r="H226" s="4"/>
      <c r="I226" s="4"/>
      <c r="J226" s="4"/>
      <c r="K226" s="4"/>
      <c r="L226" s="4"/>
    </row>
    <row r="227" ht="15.75" customHeight="1">
      <c r="A227" s="4" t="str">
        <f>IFERROR(__xludf.DUMMYFUNCTION("""COMPUTED_VALUE"""),"Closing")</f>
        <v>Closing</v>
      </c>
      <c r="B227" s="4" t="str">
        <f>IFERROR(__xludf.DUMMYFUNCTION("""COMPUTED_VALUE"""),"CashSettlementAtCost")</f>
        <v>CashSettlementAtCost</v>
      </c>
      <c r="C227" s="4" t="str">
        <f>IFERROR(__xludf.DUMMYFUNCTION("""COMPUTED_VALUE"""),"1awz_EN5JaDo7-X8Cf7oYlxG4f8ZrsYEG1oL1QBkQb8o")</f>
        <v>1awz_EN5JaDo7-X8Cf7oYlxG4f8ZrsYEG1oL1QBkQb8o</v>
      </c>
      <c r="D227" s="4"/>
      <c r="E227" s="4"/>
      <c r="F227" s="4"/>
      <c r="G227" s="4"/>
      <c r="H227" s="4"/>
      <c r="I227" s="4"/>
      <c r="J227" s="4"/>
      <c r="K227" s="4"/>
      <c r="L227" s="4"/>
    </row>
    <row r="228" ht="15.75" customHeight="1">
      <c r="A228" s="4" t="str">
        <f>IFERROR(__xludf.DUMMYFUNCTION("""COMPUTED_VALUE"""),"Closing")</f>
        <v>Closing</v>
      </c>
      <c r="B228" s="4" t="str">
        <f>IFERROR(__xludf.DUMMYFUNCTION("""COMPUTED_VALUE"""),"CashSettlementAtZeroPrice")</f>
        <v>CashSettlementAtZeroPrice</v>
      </c>
      <c r="C228" s="4" t="str">
        <f>IFERROR(__xludf.DUMMYFUNCTION("""COMPUTED_VALUE"""),"1txP1PJigV4vdVbKFMO3GMi5BhiLWeUOneGt9yA7DphY")</f>
        <v>1txP1PJigV4vdVbKFMO3GMi5BhiLWeUOneGt9yA7DphY</v>
      </c>
      <c r="D228" s="4"/>
      <c r="E228" s="4"/>
      <c r="F228" s="4"/>
      <c r="G228" s="4"/>
      <c r="H228" s="4"/>
      <c r="I228" s="4"/>
      <c r="J228" s="4"/>
      <c r="K228" s="4"/>
      <c r="L228" s="4"/>
    </row>
    <row r="229" ht="15.75" customHeight="1">
      <c r="A229" s="4" t="str">
        <f>IFERROR(__xludf.DUMMYFUNCTION("""COMPUTED_VALUE"""),"Closing")</f>
        <v>Closing</v>
      </c>
      <c r="B229" s="4" t="str">
        <f>IFERROR(__xludf.DUMMYFUNCTION("""COMPUTED_VALUE"""),"CashSettlementAtClosingDtSpotPx")</f>
        <v>CashSettlementAtClosingDtSpotPx</v>
      </c>
      <c r="C229" s="4" t="str">
        <f>IFERROR(__xludf.DUMMYFUNCTION("""COMPUTED_VALUE"""),"1if6Ixw7Wo72s71jewq4kGd3bUrRBHD3uxb6oVEU8m4M")</f>
        <v>1if6Ixw7Wo72s71jewq4kGd3bUrRBHD3uxb6oVEU8m4M</v>
      </c>
      <c r="D229" s="4"/>
      <c r="E229" s="4"/>
      <c r="F229" s="4"/>
      <c r="G229" s="4"/>
      <c r="H229" s="4"/>
      <c r="I229" s="4"/>
      <c r="J229" s="4"/>
      <c r="K229" s="4"/>
      <c r="L229" s="4"/>
    </row>
    <row r="230" ht="15.75" customHeight="1">
      <c r="A230" s="4" t="str">
        <f>IFERROR(__xludf.DUMMYFUNCTION("""COMPUTED_VALUE"""),"Closing")</f>
        <v>Closing</v>
      </c>
      <c r="B230" s="4" t="str">
        <f>IFERROR(__xludf.DUMMYFUNCTION("""COMPUTED_VALUE"""),"PhysicalSettlement")</f>
        <v>PhysicalSettlement</v>
      </c>
      <c r="C230" s="4" t="str">
        <f>IFERROR(__xludf.DUMMYFUNCTION("""COMPUTED_VALUE"""),"1j0_OFQL6cAngAn_f8e2c9s48kIx6T1DMB1HtKzhVgxM")</f>
        <v>1j0_OFQL6cAngAn_f8e2c9s48kIx6T1DMB1HtKzhVgxM</v>
      </c>
      <c r="D230" s="4"/>
      <c r="E230" s="4"/>
      <c r="F230" s="4"/>
      <c r="G230" s="4"/>
      <c r="H230" s="4"/>
      <c r="I230" s="4"/>
      <c r="J230" s="4"/>
      <c r="K230" s="4"/>
      <c r="L230" s="4"/>
    </row>
    <row r="231" ht="15.75" customHeight="1">
      <c r="A231" s="4" t="str">
        <f>IFERROR(__xludf.DUMMYFUNCTION("""COMPUTED_VALUE"""),"Closing")</f>
        <v>Closing</v>
      </c>
      <c r="B231" s="4" t="str">
        <f>IFERROR(__xludf.DUMMYFUNCTION("""COMPUTED_VALUE"""),"Expire")</f>
        <v>Expire</v>
      </c>
      <c r="C231" s="4" t="str">
        <f>IFERROR(__xludf.DUMMYFUNCTION("""COMPUTED_VALUE"""),"1uTXnR3b0dBBJ12poieg819Sw5X7A31DAefoPTF8HvS8")</f>
        <v>1uTXnR3b0dBBJ12poieg819Sw5X7A31DAefoPTF8HvS8</v>
      </c>
      <c r="D231" s="4"/>
      <c r="E231" s="4"/>
      <c r="F231" s="4"/>
      <c r="G231" s="4"/>
      <c r="H231" s="4"/>
      <c r="I231" s="4"/>
      <c r="J231" s="4"/>
      <c r="K231" s="4"/>
      <c r="L231" s="4"/>
    </row>
    <row r="232" ht="15.75" customHeight="1">
      <c r="A232" s="4" t="str">
        <f>IFERROR(__xludf.DUMMYFUNCTION("""COMPUTED_VALUE"""),"Closing")</f>
        <v>Closing</v>
      </c>
      <c r="B232" s="4" t="str">
        <f>IFERROR(__xludf.DUMMYFUNCTION("""COMPUTED_VALUE"""),"ExerciseAssignment")</f>
        <v>ExerciseAssignment</v>
      </c>
      <c r="C232" s="4" t="str">
        <f>IFERROR(__xludf.DUMMYFUNCTION("""COMPUTED_VALUE"""),"1bA6aaAVKiSAEQCN3NhxCUAsXZXF9JFxOfu0VhfUugtE")</f>
        <v>1bA6aaAVKiSAEQCN3NhxCUAsXZXF9JFxOfu0VhfUugtE</v>
      </c>
      <c r="D232" s="4"/>
      <c r="E232" s="4"/>
      <c r="F232" s="4"/>
      <c r="G232" s="4"/>
      <c r="H232" s="4"/>
      <c r="I232" s="4"/>
      <c r="J232" s="4"/>
      <c r="K232" s="4"/>
      <c r="L232" s="4"/>
    </row>
    <row r="233" ht="15.75" customHeight="1">
      <c r="A233" s="4" t="str">
        <f>IFERROR(__xludf.DUMMYFUNCTION("""COMPUTED_VALUE"""),"Closing")</f>
        <v>Closing</v>
      </c>
      <c r="B233" s="4" t="str">
        <f>IFERROR(__xludf.DUMMYFUNCTION("""COMPUTED_VALUE"""),"ExerciseAssignmentAtZero")</f>
        <v>ExerciseAssignmentAtZero</v>
      </c>
      <c r="C233" s="4" t="str">
        <f>IFERROR(__xludf.DUMMYFUNCTION("""COMPUTED_VALUE"""),"1kqk3qr2A_0HgAfwasm4ONZYUjKRgUd9wRoNg3NH_CQs")</f>
        <v>1kqk3qr2A_0HgAfwasm4ONZYUjKRgUd9wRoNg3NH_CQs</v>
      </c>
      <c r="D233" s="4"/>
      <c r="E233" s="4"/>
      <c r="F233" s="4"/>
      <c r="G233" s="4"/>
      <c r="H233" s="4"/>
      <c r="I233" s="4"/>
      <c r="J233" s="4"/>
      <c r="K233" s="4"/>
      <c r="L233" s="4"/>
    </row>
    <row r="234" ht="15.75" customHeight="1">
      <c r="A234" s="4" t="str">
        <f>IFERROR(__xludf.DUMMYFUNCTION("""COMPUTED_VALUE"""),"Closing")</f>
        <v>Closing</v>
      </c>
      <c r="B234" s="4" t="str">
        <f>IFERROR(__xludf.DUMMYFUNCTION("""COMPUTED_VALUE"""),"SwapExpireAndRollover")</f>
        <v>SwapExpireAndRollover</v>
      </c>
      <c r="C234" s="4" t="str">
        <f>IFERROR(__xludf.DUMMYFUNCTION("""COMPUTED_VALUE"""),"1ZgJYe9feHH1JnnrqSkw7W1JoIKEcT_NnlnQtzP0MXSc")</f>
        <v>1ZgJYe9feHH1JnnrqSkw7W1JoIKEcT_NnlnQtzP0MXSc</v>
      </c>
      <c r="D234" s="4"/>
      <c r="E234" s="4"/>
      <c r="F234" s="4"/>
      <c r="G234" s="4"/>
      <c r="H234" s="4"/>
      <c r="I234" s="4"/>
      <c r="J234" s="4"/>
      <c r="K234" s="4"/>
      <c r="L234" s="4"/>
    </row>
    <row r="235" ht="15.75" customHeight="1">
      <c r="A235" s="4" t="str">
        <f>IFERROR(__xludf.DUMMYFUNCTION("""COMPUTED_VALUE"""),"Closing")</f>
        <v>Closing</v>
      </c>
      <c r="B235" s="4" t="str">
        <f>IFERROR(__xludf.DUMMYFUNCTION("""COMPUTED_VALUE"""),"SwapExpire")</f>
        <v>SwapExpire</v>
      </c>
      <c r="C235" s="4" t="str">
        <f>IFERROR(__xludf.DUMMYFUNCTION("""COMPUTED_VALUE"""),"1Ch8ljdOLO5qpDv9DppYdH0GSLe_dObZX8Z4007tRKtk")</f>
        <v>1Ch8ljdOLO5qpDv9DppYdH0GSLe_dObZX8Z4007tRKtk</v>
      </c>
      <c r="D235" s="4"/>
      <c r="E235" s="4"/>
      <c r="F235" s="4"/>
      <c r="G235" s="4"/>
      <c r="H235" s="4"/>
      <c r="I235" s="4"/>
      <c r="J235" s="4"/>
      <c r="K235" s="4"/>
      <c r="L235" s="4"/>
    </row>
    <row r="236" ht="15.75" customHeight="1">
      <c r="A236" s="4" t="str">
        <f>IFERROR(__xludf.DUMMYFUNCTION("""COMPUTED_VALUE"""),"Closing")</f>
        <v>Closing</v>
      </c>
      <c r="B236" s="4" t="str">
        <f>IFERROR(__xludf.DUMMYFUNCTION("""COMPUTED_VALUE"""),"VerifyExpiredSettledGrid")</f>
        <v>VerifyExpiredSettledGrid</v>
      </c>
      <c r="C236" s="4" t="str">
        <f>IFERROR(__xludf.DUMMYFUNCTION("""COMPUTED_VALUE"""),"1Y7iTcrm1lcqAexGSYgLsLlCOYw223ra4LBG0yn-I2bY")</f>
        <v>1Y7iTcrm1lcqAexGSYgLsLlCOYw223ra4LBG0yn-I2bY</v>
      </c>
      <c r="D236" s="4"/>
      <c r="E236" s="4"/>
      <c r="F236" s="4"/>
      <c r="G236" s="4"/>
      <c r="H236" s="4"/>
      <c r="I236" s="4"/>
      <c r="J236" s="4"/>
      <c r="K236" s="4"/>
      <c r="L236" s="4"/>
    </row>
    <row r="237" ht="15.75" customHeight="1">
      <c r="A237" s="4" t="str">
        <f>IFERROR(__xludf.DUMMYFUNCTION("""COMPUTED_VALUE"""),"Closing")</f>
        <v>Closing</v>
      </c>
      <c r="B237" s="4" t="str">
        <f>IFERROR(__xludf.DUMMYFUNCTION("""COMPUTED_VALUE"""),"VerifyUnExpiredUnSettledGrid")</f>
        <v>VerifyUnExpiredUnSettledGrid</v>
      </c>
      <c r="C237" s="4" t="str">
        <f>IFERROR(__xludf.DUMMYFUNCTION("""COMPUTED_VALUE"""),"1L2S89q_MaWf4uZDOO7k9zl1iHulikAZk9KJ78CUobIc")</f>
        <v>1L2S89q_MaWf4uZDOO7k9zl1iHulikAZk9KJ78CUobIc</v>
      </c>
      <c r="D237" s="4"/>
      <c r="E237" s="4"/>
      <c r="F237" s="4"/>
      <c r="G237" s="4"/>
      <c r="H237" s="4"/>
      <c r="I237" s="4"/>
      <c r="J237" s="4"/>
      <c r="K237" s="4"/>
      <c r="L237" s="4"/>
    </row>
    <row r="238" ht="15.75" customHeight="1">
      <c r="A238" s="4" t="str">
        <f>IFERROR(__xludf.DUMMYFUNCTION("""COMPUTED_VALUE"""),"Closing")</f>
        <v>Closing</v>
      </c>
      <c r="B238" s="4" t="str">
        <f>IFERROR(__xludf.DUMMYFUNCTION("""COMPUTED_VALUE"""),"UnWindTradeSettlement")</f>
        <v>UnWindTradeSettlement</v>
      </c>
      <c r="C238" s="4" t="str">
        <f>IFERROR(__xludf.DUMMYFUNCTION("""COMPUTED_VALUE"""),"1r8av4OWUDi-9UDzyWe0DRs-rlCS90W4iepyl32hgsu0")</f>
        <v>1r8av4OWUDi-9UDzyWe0DRs-rlCS90W4iepyl32hgsu0</v>
      </c>
      <c r="D238" s="4"/>
      <c r="E238" s="4"/>
      <c r="F238" s="4"/>
      <c r="G238" s="4"/>
      <c r="H238" s="4"/>
      <c r="I238" s="4"/>
      <c r="J238" s="4"/>
      <c r="K238" s="4"/>
      <c r="L238" s="4"/>
    </row>
    <row r="239" ht="15.75" customHeight="1">
      <c r="A239" s="4" t="str">
        <f>IFERROR(__xludf.DUMMYFUNCTION("""COMPUTED_VALUE"""),"Closing")</f>
        <v>Closing</v>
      </c>
      <c r="B239" s="4" t="str">
        <f>IFERROR(__xludf.DUMMYFUNCTION("""COMPUTED_VALUE"""),"CloseOrder")</f>
        <v>CloseOrder</v>
      </c>
      <c r="C239" s="4" t="str">
        <f>IFERROR(__xludf.DUMMYFUNCTION("""COMPUTED_VALUE"""),"1L4oOTgickdBKDs0CYP74xqSVxT5XAemsQon_0M_wIY4")</f>
        <v>1L4oOTgickdBKDs0CYP74xqSVxT5XAemsQon_0M_wIY4</v>
      </c>
      <c r="D239" s="4"/>
      <c r="E239" s="4"/>
      <c r="F239" s="4"/>
      <c r="G239" s="4"/>
      <c r="H239" s="4"/>
      <c r="I239" s="4"/>
      <c r="J239" s="4"/>
      <c r="K239" s="4"/>
      <c r="L239" s="4"/>
    </row>
    <row r="240" ht="15.75" customHeight="1">
      <c r="A240" s="4" t="str">
        <f>IFERROR(__xludf.DUMMYFUNCTION("""COMPUTED_VALUE"""),"Closing")</f>
        <v>Closing</v>
      </c>
      <c r="B240" s="4" t="str">
        <f>IFERROR(__xludf.DUMMYFUNCTION("""COMPUTED_VALUE"""),"VerifyCloseOrder")</f>
        <v>VerifyCloseOrder</v>
      </c>
      <c r="C240" s="4" t="str">
        <f>IFERROR(__xludf.DUMMYFUNCTION("""COMPUTED_VALUE"""),"1wVhrU78CBgt-9aXoQMxmex2szYfOWevs1reuZQwcSlU")</f>
        <v>1wVhrU78CBgt-9aXoQMxmex2szYfOWevs1reuZQwcSlU</v>
      </c>
      <c r="D240" s="4"/>
      <c r="E240" s="4"/>
      <c r="F240" s="4"/>
      <c r="G240" s="4"/>
      <c r="H240" s="4"/>
      <c r="I240" s="4"/>
      <c r="J240" s="4"/>
      <c r="K240" s="4"/>
      <c r="L240" s="4"/>
    </row>
    <row r="241" ht="15.75" customHeight="1">
      <c r="A241" s="4" t="str">
        <f>IFERROR(__xludf.DUMMYFUNCTION("""COMPUTED_VALUE"""),"Closing")</f>
        <v>Closing</v>
      </c>
      <c r="B241" s="4" t="str">
        <f>IFERROR(__xludf.DUMMYFUNCTION("""COMPUTED_VALUE"""),"UnWindCloseOrder")</f>
        <v>UnWindCloseOrder</v>
      </c>
      <c r="C241" s="4" t="str">
        <f>IFERROR(__xludf.DUMMYFUNCTION("""COMPUTED_VALUE"""),"1h8Riwp0PTUKBHWNb4d5NQ9Foe2ig0mS3tu7vxq74C6A")</f>
        <v>1h8Riwp0PTUKBHWNb4d5NQ9Foe2ig0mS3tu7vxq74C6A</v>
      </c>
      <c r="D241" s="4"/>
      <c r="E241" s="4"/>
      <c r="F241" s="4"/>
      <c r="G241" s="4"/>
      <c r="H241" s="4"/>
      <c r="I241" s="4"/>
      <c r="J241" s="4"/>
      <c r="K241" s="4"/>
      <c r="L241" s="4"/>
    </row>
    <row r="242" ht="15.75" customHeight="1">
      <c r="A242" s="4" t="str">
        <f>IFERROR(__xludf.DUMMYFUNCTION("""COMPUTED_VALUE"""),"Closing")</f>
        <v>Closing</v>
      </c>
      <c r="B242" s="4" t="str">
        <f>IFERROR(__xludf.DUMMYFUNCTION("""COMPUTED_VALUE"""),"ClosingCleanUp")</f>
        <v>ClosingCleanUp</v>
      </c>
      <c r="C242" s="4" t="str">
        <f>IFERROR(__xludf.DUMMYFUNCTION("""COMPUTED_VALUE"""),"1_1ie9PGDigjyhcBrTgIzPawnFkZMYxHtKWtsPu9B_3c")</f>
        <v>1_1ie9PGDigjyhcBrTgIzPawnFkZMYxHtKWtsPu9B_3c</v>
      </c>
      <c r="D242" s="4"/>
      <c r="E242" s="4"/>
      <c r="F242" s="4"/>
      <c r="G242" s="4"/>
      <c r="H242" s="4"/>
      <c r="I242" s="4"/>
      <c r="J242" s="4"/>
      <c r="K242" s="4"/>
      <c r="L242" s="4"/>
    </row>
    <row r="243" ht="15.75" customHeight="1">
      <c r="A243" s="4" t="str">
        <f>IFERROR(__xludf.DUMMYFUNCTION("""COMPUTED_VALUE"""),"Closing")</f>
        <v>Closing</v>
      </c>
      <c r="B243" s="4" t="str">
        <f>IFERROR(__xludf.DUMMYFUNCTION("""COMPUTED_VALUE"""),"CloseClosingUI")</f>
        <v>CloseClosingUI</v>
      </c>
      <c r="C243" s="4" t="str">
        <f>IFERROR(__xludf.DUMMYFUNCTION("""COMPUTED_VALUE"""),"1KiRs-Mdk_DhlHcSNlHArhVLFJzMKzKu1kat_TZ71jkQ")</f>
        <v>1KiRs-Mdk_DhlHcSNlHArhVLFJzMKzKu1kat_TZ71jkQ</v>
      </c>
      <c r="D243" s="4"/>
      <c r="E243" s="4"/>
      <c r="F243" s="4"/>
      <c r="G243" s="4"/>
      <c r="H243" s="4"/>
      <c r="I243" s="4"/>
      <c r="J243" s="4"/>
      <c r="K243" s="4"/>
      <c r="L243" s="4"/>
    </row>
    <row r="244" ht="15.75" customHeight="1">
      <c r="A244" s="4" t="str">
        <f>IFERROR(__xludf.DUMMYFUNCTION("""COMPUTED_VALUE"""),"GeneralLedger")</f>
        <v>GeneralLedger</v>
      </c>
      <c r="B244" s="4" t="str">
        <f>IFERROR(__xludf.DUMMYFUNCTION("""COMPUTED_VALUE"""),"GetDailyCalculationsData")</f>
        <v>GetDailyCalculationsData</v>
      </c>
      <c r="C244" s="4" t="str">
        <f>IFERROR(__xludf.DUMMYFUNCTION("""COMPUTED_VALUE"""),"1pIJnQCXHxy82ZF8KgUVRHcagp8aZHkkagJfnU-cLYRo")</f>
        <v>1pIJnQCXHxy82ZF8KgUVRHcagp8aZHkkagJfnU-cLYRo</v>
      </c>
      <c r="D244" s="4"/>
      <c r="E244" s="4"/>
      <c r="F244" s="4"/>
      <c r="G244" s="4"/>
      <c r="H244" s="4"/>
      <c r="I244" s="4"/>
      <c r="J244" s="4"/>
      <c r="K244" s="4"/>
      <c r="L244" s="4"/>
    </row>
    <row r="245" ht="15.75" customHeight="1">
      <c r="A245" s="4" t="str">
        <f>IFERROR(__xludf.DUMMYFUNCTION("""COMPUTED_VALUE"""),"GeneralLedger")</f>
        <v>GeneralLedger</v>
      </c>
      <c r="B245" s="4" t="str">
        <f>IFERROR(__xludf.DUMMYFUNCTION("""COMPUTED_VALUE"""),"CalculateDailyCalculations")</f>
        <v>CalculateDailyCalculations</v>
      </c>
      <c r="C245" s="4" t="str">
        <f>IFERROR(__xludf.DUMMYFUNCTION("""COMPUTED_VALUE"""),"Undefined")</f>
        <v>Undefined</v>
      </c>
      <c r="D245" s="4"/>
      <c r="E245" s="4"/>
      <c r="F245" s="4"/>
      <c r="G245" s="4"/>
      <c r="H245" s="4"/>
      <c r="I245" s="4"/>
      <c r="J245" s="4"/>
      <c r="K245" s="4"/>
      <c r="L245" s="4"/>
    </row>
    <row r="246" ht="15.75" customHeight="1">
      <c r="A246" s="4" t="str">
        <f>IFERROR(__xludf.DUMMYFUNCTION("""COMPUTED_VALUE"""),"GeneralLedger")</f>
        <v>GeneralLedger</v>
      </c>
      <c r="B246" s="4" t="str">
        <f>IFERROR(__xludf.DUMMYFUNCTION("""COMPUTED_VALUE"""),"EditOpeningBalanceTransaction")</f>
        <v>EditOpeningBalanceTransaction</v>
      </c>
      <c r="C246" s="4" t="str">
        <f>IFERROR(__xludf.DUMMYFUNCTION("""COMPUTED_VALUE"""),"1wqhiyeuGFjr-d-douLAdeAoIl9zOMj0hG7J2an8e7EA")</f>
        <v>1wqhiyeuGFjr-d-douLAdeAoIl9zOMj0hG7J2an8e7EA</v>
      </c>
      <c r="D246" s="4"/>
      <c r="E246" s="4"/>
      <c r="F246" s="4"/>
      <c r="G246" s="4"/>
      <c r="H246" s="4"/>
      <c r="I246" s="4"/>
      <c r="J246" s="4"/>
      <c r="K246" s="4"/>
      <c r="L246" s="4"/>
    </row>
    <row r="247" ht="15.75" customHeight="1">
      <c r="A247" s="4" t="str">
        <f>IFERROR(__xludf.DUMMYFUNCTION("""COMPUTED_VALUE"""),"GeneralLedger")</f>
        <v>GeneralLedger</v>
      </c>
      <c r="B247" s="4" t="str">
        <f>IFERROR(__xludf.DUMMYFUNCTION("""COMPUTED_VALUE"""),"EditOpeningBalanceTranItem")</f>
        <v>EditOpeningBalanceTranItem</v>
      </c>
      <c r="C247" s="4" t="str">
        <f>IFERROR(__xludf.DUMMYFUNCTION("""COMPUTED_VALUE"""),"1yTjsXnh8twOBshtRTYPboRkkXpXN8T2vC7KUsimL2Ec")</f>
        <v>1yTjsXnh8twOBshtRTYPboRkkXpXN8T2vC7KUsimL2Ec</v>
      </c>
      <c r="D247" s="4"/>
      <c r="E247" s="4"/>
      <c r="F247" s="4"/>
      <c r="G247" s="4"/>
      <c r="H247" s="4"/>
      <c r="I247" s="4"/>
      <c r="J247" s="4"/>
      <c r="K247" s="4"/>
      <c r="L247" s="4"/>
    </row>
    <row r="248" ht="15.75" customHeight="1">
      <c r="A248" s="4" t="str">
        <f>IFERROR(__xludf.DUMMYFUNCTION("""COMPUTED_VALUE"""),"DailyValuation")</f>
        <v>DailyValuation</v>
      </c>
      <c r="B248" s="4" t="str">
        <f>IFERROR(__xludf.DUMMYFUNCTION("""COMPUTED_VALUE"""),"UpdateBeta")</f>
        <v>UpdateBeta</v>
      </c>
      <c r="C248" s="4" t="str">
        <f>IFERROR(__xludf.DUMMYFUNCTION("""COMPUTED_VALUE"""),"14bzYQBiZIs2a3lfzwT4TROCDnXpt72UALcJjBTZdEAk")</f>
        <v>14bzYQBiZIs2a3lfzwT4TROCDnXpt72UALcJjBTZdEAk</v>
      </c>
      <c r="D248" s="4"/>
      <c r="E248" s="4"/>
      <c r="F248" s="4"/>
      <c r="G248" s="4"/>
      <c r="H248" s="4"/>
      <c r="I248" s="4"/>
      <c r="J248" s="4"/>
      <c r="K248" s="4"/>
      <c r="L248" s="4"/>
    </row>
    <row r="249" ht="15.75" customHeight="1">
      <c r="A249" s="4" t="str">
        <f>IFERROR(__xludf.DUMMYFUNCTION("""COMPUTED_VALUE"""),"DailyValuation")</f>
        <v>DailyValuation</v>
      </c>
      <c r="B249" s="4" t="str">
        <f>IFERROR(__xludf.DUMMYFUNCTION("""COMPUTED_VALUE"""),"UpdateNAV")</f>
        <v>UpdateNAV</v>
      </c>
      <c r="C249" s="4" t="str">
        <f>IFERROR(__xludf.DUMMYFUNCTION("""COMPUTED_VALUE"""),"13mmaXGk97gVSQ6zDXJnzFolB9Xj-Wrq5OulWkf9iQjA")</f>
        <v>13mmaXGk97gVSQ6zDXJnzFolB9Xj-Wrq5OulWkf9iQjA</v>
      </c>
      <c r="D249" s="4"/>
      <c r="E249" s="4"/>
      <c r="F249" s="4"/>
      <c r="G249" s="4"/>
      <c r="H249" s="4"/>
      <c r="I249" s="4"/>
      <c r="J249" s="4"/>
      <c r="K249" s="4"/>
      <c r="L249" s="4"/>
    </row>
    <row r="250" ht="15.75" customHeight="1">
      <c r="A250" s="4" t="str">
        <f>IFERROR(__xludf.DUMMYFUNCTION("""COMPUTED_VALUE"""),"DailyValuation")</f>
        <v>DailyValuation</v>
      </c>
      <c r="B250" s="4" t="str">
        <f>IFERROR(__xludf.DUMMYFUNCTION("""COMPUTED_VALUE"""),"UpdateDailyCash")</f>
        <v>UpdateDailyCash</v>
      </c>
      <c r="C250" s="4" t="str">
        <f>IFERROR(__xludf.DUMMYFUNCTION("""COMPUTED_VALUE"""),"1qlSfNvUHenegqRyv9ZFeKA5gN-iwbykaaRHcYfx0vR8")</f>
        <v>1qlSfNvUHenegqRyv9ZFeKA5gN-iwbykaaRHcYfx0vR8</v>
      </c>
      <c r="D250" s="4"/>
      <c r="E250" s="4"/>
      <c r="F250" s="4"/>
      <c r="G250" s="4"/>
      <c r="H250" s="4"/>
      <c r="I250" s="4"/>
      <c r="J250" s="4"/>
      <c r="K250" s="4"/>
      <c r="L250" s="4"/>
    </row>
    <row r="251" ht="15.75" customHeight="1">
      <c r="A251" s="4" t="str">
        <f>IFERROR(__xludf.DUMMYFUNCTION("""COMPUTED_VALUE"""),"GeneralLedger")</f>
        <v>GeneralLedger</v>
      </c>
      <c r="B251" s="4" t="str">
        <f>IFERROR(__xludf.DUMMYFUNCTION("""COMPUTED_VALUE"""),"VerifyDailyCalTransactions")</f>
        <v>VerifyDailyCalTransactions</v>
      </c>
      <c r="C251" s="4" t="str">
        <f>IFERROR(__xludf.DUMMYFUNCTION("""COMPUTED_VALUE"""),"10wpUsik3kWUK9FdBcY3wa_rIK92CGwBAPxPW94n8RI0")</f>
        <v>10wpUsik3kWUK9FdBcY3wa_rIK92CGwBAPxPW94n8RI0</v>
      </c>
      <c r="D251" s="4"/>
      <c r="E251" s="4"/>
      <c r="F251" s="4"/>
      <c r="G251" s="4"/>
      <c r="H251" s="4"/>
      <c r="I251" s="4"/>
      <c r="J251" s="4"/>
      <c r="K251" s="4"/>
      <c r="L251" s="4"/>
    </row>
    <row r="252" ht="15.75" customHeight="1">
      <c r="A252" s="4" t="str">
        <f>IFERROR(__xludf.DUMMYFUNCTION("""COMPUTED_VALUE"""),"DailyValuation")</f>
        <v>DailyValuation</v>
      </c>
      <c r="B252" s="4" t="str">
        <f>IFERROR(__xludf.DUMMYFUNCTION("""COMPUTED_VALUE"""),"UpdateDailyCreditLimt")</f>
        <v>UpdateDailyCreditLimt</v>
      </c>
      <c r="C252" s="4" t="str">
        <f>IFERROR(__xludf.DUMMYFUNCTION("""COMPUTED_VALUE"""),"1WMfqGkZABhjGZzyIgr3hBp-ZTraQiBbIVqdAP3KAOGo")</f>
        <v>1WMfqGkZABhjGZzyIgr3hBp-ZTraQiBbIVqdAP3KAOGo</v>
      </c>
      <c r="D252" s="4"/>
      <c r="E252" s="4"/>
      <c r="F252" s="4"/>
      <c r="G252" s="4"/>
      <c r="H252" s="4"/>
      <c r="I252" s="4"/>
      <c r="J252" s="4"/>
      <c r="K252" s="4"/>
      <c r="L252" s="4"/>
    </row>
    <row r="253" ht="15.75" customHeight="1">
      <c r="A253" s="4" t="str">
        <f>IFERROR(__xludf.DUMMYFUNCTION("""COMPUTED_VALUE"""),"DailyValuation")</f>
        <v>DailyValuation</v>
      </c>
      <c r="B253" s="4" t="str">
        <f>IFERROR(__xludf.DUMMYFUNCTION("""COMPUTED_VALUE"""),"RemoveDailyCreditLimit")</f>
        <v>RemoveDailyCreditLimit</v>
      </c>
      <c r="C253" s="4" t="str">
        <f>IFERROR(__xludf.DUMMYFUNCTION("""COMPUTED_VALUE"""),"1PWZIcowZzyQZ43yBopMfNLylAaq2RlmTxS0-Y7SK0KI")</f>
        <v>1PWZIcowZzyQZ43yBopMfNLylAaq2RlmTxS0-Y7SK0KI</v>
      </c>
      <c r="D253" s="4"/>
      <c r="E253" s="4"/>
      <c r="F253" s="4"/>
      <c r="G253" s="4"/>
      <c r="H253" s="4"/>
      <c r="I253" s="4"/>
      <c r="J253" s="4"/>
      <c r="K253" s="4"/>
      <c r="L253" s="4"/>
    </row>
    <row r="254" ht="15.75" customHeight="1">
      <c r="A254" s="4" t="str">
        <f>IFERROR(__xludf.DUMMYFUNCTION("""COMPUTED_VALUE"""),"DailyValuation")</f>
        <v>DailyValuation</v>
      </c>
      <c r="B254" s="4" t="str">
        <f>IFERROR(__xludf.DUMMYFUNCTION("""COMPUTED_VALUE"""),"RemoveDailyCash")</f>
        <v>RemoveDailyCash</v>
      </c>
      <c r="C254" s="4" t="str">
        <f>IFERROR(__xludf.DUMMYFUNCTION("""COMPUTED_VALUE"""),"1K-Bl5yG-Q_sgro0guK9BOk2wSxZk_7rHH7Lj7Qp_H2U")</f>
        <v>1K-Bl5yG-Q_sgro0guK9BOk2wSxZk_7rHH7Lj7Qp_H2U</v>
      </c>
      <c r="D254" s="4"/>
      <c r="E254" s="4"/>
      <c r="F254" s="4"/>
      <c r="G254" s="4"/>
      <c r="H254" s="4"/>
      <c r="I254" s="4"/>
      <c r="J254" s="4"/>
      <c r="K254" s="4"/>
      <c r="L254" s="4"/>
    </row>
    <row r="255" ht="15.75" customHeight="1">
      <c r="A255" s="4" t="str">
        <f>IFERROR(__xludf.DUMMYFUNCTION("""COMPUTED_VALUE"""),"DailyValuation")</f>
        <v>DailyValuation</v>
      </c>
      <c r="B255" s="4" t="str">
        <f>IFERROR(__xludf.DUMMYFUNCTION("""COMPUTED_VALUE"""),"RemoveNAV")</f>
        <v>RemoveNAV</v>
      </c>
      <c r="C255" s="4" t="str">
        <f>IFERROR(__xludf.DUMMYFUNCTION("""COMPUTED_VALUE"""),"1iKNzN1CKH1HHjrGq7o2kZo9f76Pk7b7qYuTxqOHQZzE")</f>
        <v>1iKNzN1CKH1HHjrGq7o2kZo9f76Pk7b7qYuTxqOHQZzE</v>
      </c>
      <c r="D255" s="4"/>
      <c r="E255" s="4"/>
      <c r="F255" s="4"/>
      <c r="G255" s="4"/>
      <c r="H255" s="4"/>
      <c r="I255" s="4"/>
      <c r="J255" s="4"/>
      <c r="K255" s="4"/>
      <c r="L255" s="4"/>
    </row>
    <row r="256" ht="15.75" customHeight="1">
      <c r="A256" s="4" t="str">
        <f>IFERROR(__xludf.DUMMYFUNCTION("""COMPUTED_VALUE"""),"PortfolioManagement")</f>
        <v>PortfolioManagement</v>
      </c>
      <c r="B256" s="4" t="str">
        <f>IFERROR(__xludf.DUMMYFUNCTION("""COMPUTED_VALUE"""),"FilterPM")</f>
        <v>FilterPM</v>
      </c>
      <c r="C256" s="4" t="str">
        <f>IFERROR(__xludf.DUMMYFUNCTION("""COMPUTED_VALUE"""),"1lo4DMzd6cjmA4-4d7dLNuKsGBW61BpeW2eCf7oK-9og")</f>
        <v>1lo4DMzd6cjmA4-4d7dLNuKsGBW61BpeW2eCf7oK-9og</v>
      </c>
      <c r="D256" s="4"/>
      <c r="E256" s="4"/>
      <c r="F256" s="4"/>
      <c r="G256" s="4"/>
      <c r="H256" s="4"/>
      <c r="I256" s="4"/>
      <c r="J256" s="4"/>
      <c r="K256" s="4"/>
      <c r="L256" s="4"/>
    </row>
    <row r="257" ht="15.75" customHeight="1">
      <c r="A257" s="4" t="str">
        <f>IFERROR(__xludf.DUMMYFUNCTION("""COMPUTED_VALUE"""),"PortfolioManagement")</f>
        <v>PortfolioManagement</v>
      </c>
      <c r="B257" s="4" t="str">
        <f>IFERROR(__xludf.DUMMYFUNCTION("""COMPUTED_VALUE"""),"GroupRowPM")</f>
        <v>GroupRowPM</v>
      </c>
      <c r="C257" s="4" t="str">
        <f>IFERROR(__xludf.DUMMYFUNCTION("""COMPUTED_VALUE"""),"1pgA3lsv5kfGNh9RHELfgbcW6XvdfbOLjdTg2dR5EYAU")</f>
        <v>1pgA3lsv5kfGNh9RHELfgbcW6XvdfbOLjdTg2dR5EYAU</v>
      </c>
      <c r="D257" s="4"/>
      <c r="E257" s="4"/>
      <c r="F257" s="4"/>
      <c r="G257" s="4"/>
      <c r="H257" s="4"/>
      <c r="I257" s="4"/>
      <c r="J257" s="4"/>
      <c r="K257" s="4"/>
      <c r="L257" s="4"/>
    </row>
    <row r="258" ht="15.75" customHeight="1">
      <c r="A258" s="4" t="str">
        <f>IFERROR(__xludf.DUMMYFUNCTION("""COMPUTED_VALUE"""),"Allocation")</f>
        <v>Allocation</v>
      </c>
      <c r="B258" s="4" t="str">
        <f>IFERROR(__xludf.DUMMYFUNCTION("""COMPUTED_VALUE"""),"CloseAllocation")</f>
        <v>CloseAllocation</v>
      </c>
      <c r="C258" s="4" t="str">
        <f>IFERROR(__xludf.DUMMYFUNCTION("""COMPUTED_VALUE"""),"Undefined")</f>
        <v>Undefined</v>
      </c>
      <c r="D258" s="4"/>
      <c r="E258" s="4"/>
      <c r="F258" s="4"/>
      <c r="G258" s="4"/>
      <c r="H258" s="4"/>
      <c r="I258" s="4"/>
      <c r="J258" s="4"/>
      <c r="K258" s="4"/>
      <c r="L258" s="4"/>
    </row>
    <row r="259" ht="15.75" customHeight="1">
      <c r="A259" s="4" t="str">
        <f>IFERROR(__xludf.DUMMYFUNCTION("""COMPUTED_VALUE"""),"PortfolioManagement")</f>
        <v>PortfolioManagement</v>
      </c>
      <c r="B259" s="4" t="str">
        <f>IFERROR(__xludf.DUMMYFUNCTION("""COMPUTED_VALUE"""),"CheckDashboardWithPM")</f>
        <v>CheckDashboardWithPM</v>
      </c>
      <c r="C259" s="4" t="str">
        <f>IFERROR(__xludf.DUMMYFUNCTION("""COMPUTED_VALUE"""),"Undefined")</f>
        <v>Undefined</v>
      </c>
      <c r="D259" s="4"/>
      <c r="E259" s="4"/>
      <c r="F259" s="4"/>
      <c r="G259" s="4"/>
      <c r="H259" s="4"/>
      <c r="I259" s="4"/>
      <c r="J259" s="4"/>
      <c r="K259" s="4"/>
      <c r="L259" s="4"/>
    </row>
    <row r="260" ht="15.75" customHeight="1">
      <c r="A260" s="4" t="str">
        <f>IFERROR(__xludf.DUMMYFUNCTION("""COMPUTED_VALUE"""),"PortfolioManagement")</f>
        <v>PortfolioManagement</v>
      </c>
      <c r="B260" s="4" t="str">
        <f>IFERROR(__xludf.DUMMYFUNCTION("""COMPUTED_VALUE"""),"RemoveFilterPM")</f>
        <v>RemoveFilterPM</v>
      </c>
      <c r="C260" s="4" t="str">
        <f>IFERROR(__xludf.DUMMYFUNCTION("""COMPUTED_VALUE"""),"Undefined")</f>
        <v>Undefined</v>
      </c>
      <c r="D260" s="4"/>
      <c r="E260" s="4"/>
      <c r="F260" s="4"/>
      <c r="G260" s="4"/>
      <c r="H260" s="4"/>
      <c r="I260" s="4"/>
      <c r="J260" s="4"/>
      <c r="K260" s="4"/>
      <c r="L260" s="4"/>
    </row>
    <row r="261" ht="15.75" customHeight="1">
      <c r="A261" s="4" t="str">
        <f>IFERROR(__xludf.DUMMYFUNCTION("""COMPUTED_VALUE"""),"PortfolioManagement")</f>
        <v>PortfolioManagement</v>
      </c>
      <c r="B261" s="4" t="str">
        <f>IFERROR(__xludf.DUMMYFUNCTION("""COMPUTED_VALUE"""),"CheckSummaryRowsPM")</f>
        <v>CheckSummaryRowsPM</v>
      </c>
      <c r="C261" s="4" t="str">
        <f>IFERROR(__xludf.DUMMYFUNCTION("""COMPUTED_VALUE"""),"18xKZpSz1Db7JKLK-skQuvwxZf_NdSC71Y9j-EFPSnbQ")</f>
        <v>18xKZpSz1Db7JKLK-skQuvwxZf_NdSC71Y9j-EFPSnbQ</v>
      </c>
      <c r="D261" s="4"/>
      <c r="E261" s="4"/>
      <c r="F261" s="4"/>
      <c r="G261" s="4"/>
      <c r="H261" s="4"/>
      <c r="I261" s="4"/>
      <c r="J261" s="4"/>
      <c r="K261" s="4"/>
      <c r="L261" s="4"/>
    </row>
    <row r="262" ht="15.75" customHeight="1">
      <c r="A262" s="4" t="str">
        <f>IFERROR(__xludf.DUMMYFUNCTION("""COMPUTED_VALUE"""),"GeneralLedger")</f>
        <v>GeneralLedger</v>
      </c>
      <c r="B262" s="4" t="str">
        <f>IFERROR(__xludf.DUMMYFUNCTION("""COMPUTED_VALUE"""),"CloseGeneralLedger")</f>
        <v>CloseGeneralLedger</v>
      </c>
      <c r="C262" s="4" t="str">
        <f>IFERROR(__xludf.DUMMYFUNCTION("""COMPUTED_VALUE"""),"Undefined")</f>
        <v>Undefined</v>
      </c>
      <c r="D262" s="4"/>
      <c r="E262" s="4"/>
      <c r="F262" s="4"/>
      <c r="G262" s="4"/>
      <c r="H262" s="4"/>
      <c r="I262" s="4"/>
      <c r="J262" s="4"/>
      <c r="K262" s="4"/>
      <c r="L262" s="4"/>
    </row>
    <row r="263" ht="15.75" customHeight="1">
      <c r="A263" s="4" t="str">
        <f>IFERROR(__xludf.DUMMYFUNCTION("""COMPUTED_VALUE"""),"Blotter")</f>
        <v>Blotter</v>
      </c>
      <c r="B263" s="4" t="str">
        <f>IFERROR(__xludf.DUMMYFUNCTION("""COMPUTED_VALUE"""),"ReplaceStageOrder")</f>
        <v>ReplaceStageOrder</v>
      </c>
      <c r="C263" s="4" t="str">
        <f>IFERROR(__xludf.DUMMYFUNCTION("""COMPUTED_VALUE"""),"1-oDkMaOdHN8EaXZIPTt5fr6PNuottX0kRXE8vmlhi0M")</f>
        <v>1-oDkMaOdHN8EaXZIPTt5fr6PNuottX0kRXE8vmlhi0M</v>
      </c>
      <c r="D263" s="4"/>
      <c r="E263" s="4"/>
      <c r="F263" s="4"/>
      <c r="G263" s="4"/>
      <c r="H263" s="4"/>
      <c r="I263" s="4"/>
      <c r="J263" s="4"/>
      <c r="K263" s="4"/>
      <c r="L263" s="4"/>
    </row>
    <row r="264" ht="15.75" customHeight="1">
      <c r="A264" s="4" t="str">
        <f>IFERROR(__xludf.DUMMYFUNCTION("""COMPUTED_VALUE"""),"GeneralLedger")</f>
        <v>GeneralLedger</v>
      </c>
      <c r="B264" s="4" t="str">
        <f>IFERROR(__xludf.DUMMYFUNCTION("""COMPUTED_VALUE"""),"VerifyAccountDetails")</f>
        <v>VerifyAccountDetails</v>
      </c>
      <c r="C264" s="4" t="str">
        <f>IFERROR(__xludf.DUMMYFUNCTION("""COMPUTED_VALUE"""),"11lQbu7XGSf0C5u04fqQXzcjWfa8v7VnskbBQpcCwy_o")</f>
        <v>11lQbu7XGSf0C5u04fqQXzcjWfa8v7VnskbBQpcCwy_o</v>
      </c>
      <c r="D264" s="4"/>
      <c r="E264" s="4"/>
      <c r="F264" s="4"/>
      <c r="G264" s="4"/>
      <c r="H264" s="4"/>
      <c r="I264" s="4"/>
      <c r="J264" s="4"/>
      <c r="K264" s="4"/>
      <c r="L264" s="4"/>
    </row>
    <row r="265" ht="15.75" customHeight="1">
      <c r="A265" s="4" t="str">
        <f>IFERROR(__xludf.DUMMYFUNCTION("""COMPUTED_VALUE"""),"TradingTicket")</f>
        <v>TradingTicket</v>
      </c>
      <c r="B265" s="4" t="str">
        <f>IFERROR(__xludf.DUMMYFUNCTION("""COMPUTED_VALUE"""),"CreateNewSubOrder")</f>
        <v>CreateNewSubOrder</v>
      </c>
      <c r="C265" s="4" t="str">
        <f>IFERROR(__xludf.DUMMYFUNCTION("""COMPUTED_VALUE"""),"1RZrP677SP63N91bZw2_Jkjen0Emt_iknfC5GljLySfA")</f>
        <v>1RZrP677SP63N91bZw2_Jkjen0Emt_iknfC5GljLySfA</v>
      </c>
      <c r="D265" s="4"/>
      <c r="E265" s="4"/>
      <c r="F265" s="4"/>
      <c r="G265" s="4"/>
      <c r="H265" s="4"/>
      <c r="I265" s="4"/>
      <c r="J265" s="4"/>
      <c r="K265" s="4"/>
      <c r="L265" s="4"/>
    </row>
    <row r="266" ht="15.75" customHeight="1">
      <c r="A266" s="4" t="str">
        <f>IFERROR(__xludf.DUMMYFUNCTION("""COMPUTED_VALUE"""),"CreateTransaction")</f>
        <v>CreateTransaction</v>
      </c>
      <c r="B266" s="4" t="str">
        <f>IFERROR(__xludf.DUMMYFUNCTION("""COMPUTED_VALUE"""),"AddNewTransaction")</f>
        <v>AddNewTransaction</v>
      </c>
      <c r="C266" s="4" t="str">
        <f>IFERROR(__xludf.DUMMYFUNCTION("""COMPUTED_VALUE"""),"1MnHnb-l2FXZIx21V59Pn6jwBL3jngTBLnGBTJFgQ-Ac")</f>
        <v>1MnHnb-l2FXZIx21V59Pn6jwBL3jngTBLnGBTJFgQ-Ac</v>
      </c>
      <c r="D266" s="4"/>
      <c r="E266" s="4"/>
      <c r="F266" s="4"/>
      <c r="G266" s="4"/>
      <c r="H266" s="4"/>
      <c r="I266" s="4"/>
      <c r="J266" s="4"/>
      <c r="K266" s="4"/>
      <c r="L266" s="4"/>
    </row>
    <row r="267" ht="15.75" customHeight="1">
      <c r="A267" s="4" t="str">
        <f>IFERROR(__xludf.DUMMYFUNCTION("""COMPUTED_VALUE"""),"TradingTicket")</f>
        <v>TradingTicket</v>
      </c>
      <c r="B267" s="4" t="str">
        <f>IFERROR(__xludf.DUMMYFUNCTION("""COMPUTED_VALUE"""),"TradeBloomberg")</f>
        <v>TradeBloomberg</v>
      </c>
      <c r="C267" s="4" t="str">
        <f>IFERROR(__xludf.DUMMYFUNCTION("""COMPUTED_VALUE"""),"1igxH2dPQGq9u7PuOMV2GHwxFfHVL1KzVtINO6ZbdDOk")</f>
        <v>1igxH2dPQGq9u7PuOMV2GHwxFfHVL1KzVtINO6ZbdDOk</v>
      </c>
      <c r="D267" s="4"/>
      <c r="E267" s="4"/>
      <c r="F267" s="4"/>
      <c r="G267" s="4"/>
      <c r="H267" s="4"/>
      <c r="I267" s="4"/>
      <c r="J267" s="4"/>
      <c r="K267" s="4"/>
      <c r="L267" s="4"/>
    </row>
    <row r="268" ht="15.75" customHeight="1">
      <c r="A268" s="4" t="str">
        <f>IFERROR(__xludf.DUMMYFUNCTION("""COMPUTED_VALUE"""),"TradingTicket")</f>
        <v>TradingTicket</v>
      </c>
      <c r="B268" s="4" t="str">
        <f>IFERROR(__xludf.DUMMYFUNCTION("""COMPUTED_VALUE"""),"ClickSymbolLookup")</f>
        <v>ClickSymbolLookup</v>
      </c>
      <c r="C268" s="4" t="str">
        <f>IFERROR(__xludf.DUMMYFUNCTION("""COMPUTED_VALUE"""),"1_Bm_U_dCrJ0O95Ye84SVu3C35Bm-_zVESf68LNiMCZg")</f>
        <v>1_Bm_U_dCrJ0O95Ye84SVu3C35Bm-_zVESf68LNiMCZg</v>
      </c>
      <c r="D268" s="4"/>
      <c r="E268" s="4"/>
      <c r="F268" s="4"/>
      <c r="G268" s="4"/>
      <c r="H268" s="4"/>
      <c r="I268" s="4"/>
      <c r="J268" s="4"/>
      <c r="K268" s="4"/>
      <c r="L268" s="4"/>
    </row>
    <row r="269" ht="15.75" customHeight="1">
      <c r="A269" s="4" t="str">
        <f>IFERROR(__xludf.DUMMYFUNCTION("""COMPUTED_VALUE"""),"PricingServer")</f>
        <v>PricingServer</v>
      </c>
      <c r="B269" s="4" t="str">
        <f>IFERROR(__xludf.DUMMYFUNCTION("""COMPUTED_VALUE"""),"RestartPricingServer")</f>
        <v>RestartPricingServer</v>
      </c>
      <c r="C269" s="4" t="str">
        <f>IFERROR(__xludf.DUMMYFUNCTION("""COMPUTED_VALUE"""),"1k3a_zG703e90jYbfBz_iHma7miT_nDAo2-jitint-XA")</f>
        <v>1k3a_zG703e90jYbfBz_iHma7miT_nDAo2-jitint-XA</v>
      </c>
      <c r="D269" s="4"/>
      <c r="E269" s="4"/>
      <c r="F269" s="4"/>
      <c r="G269" s="4"/>
      <c r="H269" s="4"/>
      <c r="I269" s="4"/>
      <c r="J269" s="4"/>
      <c r="K269" s="4"/>
      <c r="L269" s="4"/>
    </row>
    <row r="270" ht="15.75" customHeight="1">
      <c r="A270" s="4" t="str">
        <f>IFERROR(__xludf.DUMMYFUNCTION("""COMPUTED_VALUE"""),"TradeServer")</f>
        <v>TradeServer</v>
      </c>
      <c r="B270" s="4" t="str">
        <f>IFERROR(__xludf.DUMMYFUNCTION("""COMPUTED_VALUE"""),"RestartServer")</f>
        <v>RestartServer</v>
      </c>
      <c r="C270" s="4" t="str">
        <f>IFERROR(__xludf.DUMMYFUNCTION("""COMPUTED_VALUE"""),"1MfgZTAXl6-DPer9VdHbo42n6sPuMFimLowm4iDrtYBI")</f>
        <v>1MfgZTAXl6-DPer9VdHbo42n6sPuMFimLowm4iDrtYBI</v>
      </c>
      <c r="D270" s="4"/>
      <c r="E270" s="4"/>
      <c r="F270" s="4"/>
      <c r="G270" s="4"/>
      <c r="H270" s="4"/>
      <c r="I270" s="4"/>
      <c r="J270" s="4"/>
      <c r="K270" s="4"/>
      <c r="L270" s="4"/>
    </row>
    <row r="271" ht="15.75" customHeight="1">
      <c r="A271" s="4" t="str">
        <f>IFERROR(__xludf.DUMMYFUNCTION("""COMPUTED_VALUE"""),"PranaClient")</f>
        <v>PranaClient</v>
      </c>
      <c r="B271" s="4" t="str">
        <f>IFERROR(__xludf.DUMMYFUNCTION("""COMPUTED_VALUE"""),"RestartClient")</f>
        <v>RestartClient</v>
      </c>
      <c r="C271" s="4" t="str">
        <f>IFERROR(__xludf.DUMMYFUNCTION("""COMPUTED_VALUE"""),"1TkGJ89cY994clB-HD-UJNYqO5eDGSgcM1fC_LiASQLE")</f>
        <v>1TkGJ89cY994clB-HD-UJNYqO5eDGSgcM1fC_LiASQLE</v>
      </c>
      <c r="D271" s="4"/>
      <c r="E271" s="4"/>
      <c r="F271" s="4"/>
      <c r="G271" s="4"/>
      <c r="H271" s="4"/>
      <c r="I271" s="4"/>
      <c r="J271" s="4"/>
      <c r="K271" s="4"/>
      <c r="L271" s="4"/>
    </row>
    <row r="272" ht="15.75" customHeight="1">
      <c r="A272" s="4" t="str">
        <f>IFERROR(__xludf.DUMMYFUNCTION("""COMPUTED_VALUE"""),"PTT")</f>
        <v>PTT</v>
      </c>
      <c r="B272" s="4" t="str">
        <f>IFERROR(__xludf.DUMMYFUNCTION("""COMPUTED_VALUE"""),"CalculatePTT")</f>
        <v>CalculatePTT</v>
      </c>
      <c r="C272" s="4" t="str">
        <f>IFERROR(__xludf.DUMMYFUNCTION("""COMPUTED_VALUE"""),"1yHP4_99wm3NtNEt8v0-IjBSsqD_IeK0TrVbe411pPPY")</f>
        <v>1yHP4_99wm3NtNEt8v0-IjBSsqD_IeK0TrVbe411pPPY</v>
      </c>
      <c r="D272" s="4"/>
      <c r="E272" s="4"/>
      <c r="F272" s="4"/>
      <c r="G272" s="4"/>
      <c r="H272" s="4"/>
      <c r="I272" s="4"/>
      <c r="J272" s="4"/>
      <c r="K272" s="4"/>
      <c r="L272" s="4"/>
    </row>
    <row r="273" ht="15.75" customHeight="1">
      <c r="A273" s="4" t="str">
        <f>IFERROR(__xludf.DUMMYFUNCTION("""COMPUTED_VALUE"""),"PTT")</f>
        <v>PTT</v>
      </c>
      <c r="B273" s="4" t="str">
        <f>IFERROR(__xludf.DUMMYFUNCTION("""COMPUTED_VALUE"""),"TradeUsingPTT")</f>
        <v>TradeUsingPTT</v>
      </c>
      <c r="C273" s="4" t="str">
        <f>IFERROR(__xludf.DUMMYFUNCTION("""COMPUTED_VALUE"""),"1824j5jyCdsYtwCFE1rcBhAGlXsh5bjIsayUXkGUuMpA")</f>
        <v>1824j5jyCdsYtwCFE1rcBhAGlXsh5bjIsayUXkGUuMpA</v>
      </c>
      <c r="D273" s="4"/>
      <c r="E273" s="4"/>
      <c r="F273" s="4"/>
      <c r="G273" s="4"/>
      <c r="H273" s="4"/>
      <c r="I273" s="4"/>
      <c r="J273" s="4"/>
      <c r="K273" s="4"/>
      <c r="L273" s="4"/>
    </row>
    <row r="274" ht="15.75" customHeight="1">
      <c r="A274" s="4" t="str">
        <f>IFERROR(__xludf.DUMMYFUNCTION("""COMPUTED_VALUE"""),"PTT")</f>
        <v>PTT</v>
      </c>
      <c r="B274" s="4" t="str">
        <f>IFERROR(__xludf.DUMMYFUNCTION("""COMPUTED_VALUE"""),"VerifyPTTCompliance")</f>
        <v>VerifyPTTCompliance</v>
      </c>
      <c r="C274" s="4" t="str">
        <f>IFERROR(__xludf.DUMMYFUNCTION("""COMPUTED_VALUE"""),"1yei-AbmUpfNZz4VT2JbIDaKDIJzO7hZwvaUFib1oTyU")</f>
        <v>1yei-AbmUpfNZz4VT2JbIDaKDIJzO7hZwvaUFib1oTyU</v>
      </c>
      <c r="D274" s="4"/>
      <c r="E274" s="4"/>
      <c r="F274" s="4"/>
      <c r="G274" s="4"/>
      <c r="H274" s="4"/>
      <c r="I274" s="4"/>
      <c r="J274" s="4"/>
      <c r="K274" s="4"/>
      <c r="L274" s="4"/>
    </row>
    <row r="275" ht="15.75" customHeight="1">
      <c r="A275" s="4" t="str">
        <f>IFERROR(__xludf.DUMMYFUNCTION("""COMPUTED_VALUE"""),"PTT")</f>
        <v>PTT</v>
      </c>
      <c r="B275" s="4" t="str">
        <f>IFERROR(__xludf.DUMMYFUNCTION("""COMPUTED_VALUE"""),"StageOrderUsingPTT")</f>
        <v>StageOrderUsingPTT</v>
      </c>
      <c r="C275" s="4" t="str">
        <f>IFERROR(__xludf.DUMMYFUNCTION("""COMPUTED_VALUE"""),"1u1w8ItMzM1YYZrH2R4RqLkUrIog6pmIGeXUsy-3e_ZA")</f>
        <v>1u1w8ItMzM1YYZrH2R4RqLkUrIog6pmIGeXUsy-3e_ZA</v>
      </c>
      <c r="D275" s="4"/>
      <c r="E275" s="4"/>
      <c r="F275" s="4"/>
      <c r="G275" s="4"/>
      <c r="H275" s="4"/>
      <c r="I275" s="4"/>
      <c r="J275" s="4"/>
      <c r="K275" s="4"/>
      <c r="L275" s="4"/>
    </row>
    <row r="276" ht="15.75" customHeight="1">
      <c r="A276" s="4" t="str">
        <f>IFERROR(__xludf.DUMMYFUNCTION("""COMPUTED_VALUE"""),"PTT")</f>
        <v>PTT</v>
      </c>
      <c r="B276" s="4" t="str">
        <f>IFERROR(__xludf.DUMMYFUNCTION("""COMPUTED_VALUE"""),"CreateOrderPTT")</f>
        <v>CreateOrderPTT</v>
      </c>
      <c r="C276" s="4" t="str">
        <f>IFERROR(__xludf.DUMMYFUNCTION("""COMPUTED_VALUE"""),"1EbdeLHTIKN4RoLAyfGnlPPL3QVcvg2-CXPpGl0RGN44")</f>
        <v>1EbdeLHTIKN4RoLAyfGnlPPL3QVcvg2-CXPpGl0RGN44</v>
      </c>
      <c r="D276" s="4"/>
      <c r="E276" s="4"/>
      <c r="F276" s="4"/>
      <c r="G276" s="4"/>
      <c r="H276" s="4"/>
      <c r="I276" s="4"/>
      <c r="J276" s="4"/>
      <c r="K276" s="4"/>
      <c r="L276" s="4"/>
    </row>
    <row r="277" ht="15.75" customHeight="1">
      <c r="A277" s="4" t="str">
        <f>IFERROR(__xludf.DUMMYFUNCTION("""COMPUTED_VALUE"""),"PTT")</f>
        <v>PTT</v>
      </c>
      <c r="B277" s="4" t="str">
        <f>IFERROR(__xludf.DUMMYFUNCTION("""COMPUTED_VALUE"""),"TradePTT")</f>
        <v>TradePTT</v>
      </c>
      <c r="C277" s="4" t="str">
        <f>IFERROR(__xludf.DUMMYFUNCTION("""COMPUTED_VALUE"""),"1pJFZ4nCBnJDUZQAqiaY6J68G36x1oN7JuKzRtRA-0zc")</f>
        <v>1pJFZ4nCBnJDUZQAqiaY6J68G36x1oN7JuKzRtRA-0zc</v>
      </c>
      <c r="D277" s="4"/>
      <c r="E277" s="4"/>
      <c r="F277" s="4"/>
      <c r="G277" s="4"/>
      <c r="H277" s="4"/>
      <c r="I277" s="4"/>
      <c r="J277" s="4"/>
      <c r="K277" s="4"/>
      <c r="L277" s="4"/>
    </row>
    <row r="278" ht="15.75" customHeight="1">
      <c r="A278" s="4" t="str">
        <f>IFERROR(__xludf.DUMMYFUNCTION("""COMPUTED_VALUE"""),"PTT")</f>
        <v>PTT</v>
      </c>
      <c r="B278" s="4" t="str">
        <f>IFERROR(__xludf.DUMMYFUNCTION("""COMPUTED_VALUE"""),"VerifyPTT")</f>
        <v>VerifyPTT</v>
      </c>
      <c r="C278" s="4" t="str">
        <f>IFERROR(__xludf.DUMMYFUNCTION("""COMPUTED_VALUE"""),"1_DLMzeonBUhfhJl5AJqMD8mt1Z4T5mgBI7fF7cbQFWs")</f>
        <v>1_DLMzeonBUhfhJl5AJqMD8mt1Z4T5mgBI7fF7cbQFWs</v>
      </c>
      <c r="D278" s="4"/>
      <c r="E278" s="4"/>
      <c r="F278" s="4"/>
      <c r="G278" s="4"/>
      <c r="H278" s="4"/>
      <c r="I278" s="4"/>
      <c r="J278" s="4"/>
      <c r="K278" s="4"/>
      <c r="L278" s="4"/>
    </row>
    <row r="279" ht="15.75" customHeight="1">
      <c r="A279" s="4" t="str">
        <f>IFERROR(__xludf.DUMMYFUNCTION("""COMPUTED_VALUE"""),"PortfolioManagement")</f>
        <v>PortfolioManagement</v>
      </c>
      <c r="B279" s="4" t="str">
        <f>IFERROR(__xludf.DUMMYFUNCTION("""COMPUTED_VALUE"""),"OpenPTTFromPM")</f>
        <v>OpenPTTFromPM</v>
      </c>
      <c r="C279" s="4" t="str">
        <f>IFERROR(__xludf.DUMMYFUNCTION("""COMPUTED_VALUE"""),"1GRj9e94k8ieHylVePoJ-nbC4owLOnPd7BKuaFvCouaI")</f>
        <v>1GRj9e94k8ieHylVePoJ-nbC4owLOnPd7BKuaFvCouaI</v>
      </c>
      <c r="D279" s="4"/>
      <c r="E279" s="4"/>
      <c r="F279" s="4"/>
      <c r="G279" s="4"/>
      <c r="H279" s="4"/>
      <c r="I279" s="4"/>
      <c r="J279" s="4"/>
      <c r="K279" s="4"/>
      <c r="L279" s="4"/>
    </row>
    <row r="280" ht="15.75" customHeight="1">
      <c r="A280" s="4" t="str">
        <f>IFERROR(__xludf.DUMMYFUNCTION("""COMPUTED_VALUE"""),"PTT")</f>
        <v>PTT</v>
      </c>
      <c r="B280" s="4" t="str">
        <f>IFERROR(__xludf.DUMMYFUNCTION("""COMPUTED_VALUE"""),"OpenMultiTTFromPTT")</f>
        <v>OpenMultiTTFromPTT</v>
      </c>
      <c r="C280" s="4" t="str">
        <f>IFERROR(__xludf.DUMMYFUNCTION("""COMPUTED_VALUE"""),"1e52wyc2ELTM7QWL7k_ZT3-JQQ8Kf4qrLMW0R_fjW7Qc")</f>
        <v>1e52wyc2ELTM7QWL7k_ZT3-JQQ8Kf4qrLMW0R_fjW7Qc</v>
      </c>
      <c r="D280" s="4"/>
      <c r="E280" s="4"/>
      <c r="F280" s="4"/>
      <c r="G280" s="4"/>
      <c r="H280" s="4"/>
      <c r="I280" s="4"/>
      <c r="J280" s="4"/>
      <c r="K280" s="4"/>
      <c r="L280" s="4"/>
    </row>
    <row r="281" ht="15.75" customHeight="1">
      <c r="A281" s="4" t="str">
        <f>IFERROR(__xludf.DUMMYFUNCTION("""COMPUTED_VALUE"""),"PTT")</f>
        <v>PTT</v>
      </c>
      <c r="B281" s="4" t="str">
        <f>IFERROR(__xludf.DUMMYFUNCTION("""COMPUTED_VALUE"""),"SelectMultiTT")</f>
        <v>SelectMultiTT</v>
      </c>
      <c r="C281" s="4" t="str">
        <f>IFERROR(__xludf.DUMMYFUNCTION("""COMPUTED_VALUE"""),"1kwb8DPg_4i30YSR_tr8LD3r1jIWVTgBzMVprGkITggA")</f>
        <v>1kwb8DPg_4i30YSR_tr8LD3r1jIWVTgBzMVprGkITggA</v>
      </c>
      <c r="D281" s="4"/>
      <c r="E281" s="4"/>
      <c r="F281" s="4"/>
      <c r="G281" s="4"/>
      <c r="H281" s="4"/>
      <c r="I281" s="4"/>
      <c r="J281" s="4"/>
      <c r="K281" s="4"/>
      <c r="L281" s="4"/>
    </row>
    <row r="282" ht="15.75" customHeight="1">
      <c r="A282" s="4" t="str">
        <f>IFERROR(__xludf.DUMMYFUNCTION("""COMPUTED_VALUE"""),"PTT")</f>
        <v>PTT</v>
      </c>
      <c r="B282" s="4" t="str">
        <f>IFERROR(__xludf.DUMMYFUNCTION("""COMPUTED_VALUE"""),"EditMultiTT")</f>
        <v>EditMultiTT</v>
      </c>
      <c r="C282" s="4" t="str">
        <f>IFERROR(__xludf.DUMMYFUNCTION("""COMPUTED_VALUE"""),"1wbgmqX9Wp9SZWfRgJAummbN_5spSjp-tG3G1lreoQKk")</f>
        <v>1wbgmqX9Wp9SZWfRgJAummbN_5spSjp-tG3G1lreoQKk</v>
      </c>
      <c r="D282" s="4"/>
      <c r="E282" s="4"/>
      <c r="F282" s="4"/>
      <c r="G282" s="4"/>
      <c r="H282" s="4"/>
      <c r="I282" s="4"/>
      <c r="J282" s="4"/>
      <c r="K282" s="4"/>
      <c r="L282" s="4"/>
    </row>
    <row r="283" ht="15.75" customHeight="1">
      <c r="A283" s="4" t="str">
        <f>IFERROR(__xludf.DUMMYFUNCTION("""COMPUTED_VALUE"""),"MultiTradingTicket")</f>
        <v>MultiTradingTicket</v>
      </c>
      <c r="B283" s="4" t="str">
        <f>IFERROR(__xludf.DUMMYFUNCTION("""COMPUTED_VALUE"""),"EditTradeUsingMTT")</f>
        <v>EditTradeUsingMTT</v>
      </c>
      <c r="C283" s="4" t="str">
        <f>IFERROR(__xludf.DUMMYFUNCTION("""COMPUTED_VALUE"""),"1FQlM2ubifDakZ2t9YEosDOTBdf06YZcr9_nTRuQDt2Q")</f>
        <v>1FQlM2ubifDakZ2t9YEosDOTBdf06YZcr9_nTRuQDt2Q</v>
      </c>
      <c r="D283" s="4"/>
      <c r="E283" s="4"/>
      <c r="F283" s="4"/>
      <c r="G283" s="4"/>
      <c r="H283" s="4"/>
      <c r="I283" s="4"/>
      <c r="J283" s="4"/>
      <c r="K283" s="4"/>
      <c r="L283" s="4"/>
    </row>
    <row r="284" ht="15.75" customHeight="1">
      <c r="A284" s="4" t="str">
        <f>IFERROR(__xludf.DUMMYFUNCTION("""COMPUTED_VALUE"""),"MultiTradingTicket")</f>
        <v>MultiTradingTicket</v>
      </c>
      <c r="B284" s="4" t="str">
        <f>IFERROR(__xludf.DUMMYFUNCTION("""COMPUTED_VALUE"""),"SelectTradeUsingMTT")</f>
        <v>SelectTradeUsingMTT</v>
      </c>
      <c r="C284" s="4" t="str">
        <f>IFERROR(__xludf.DUMMYFUNCTION("""COMPUTED_VALUE"""),"1iacfEsOlPHPGZ6nQjKZ7USkjh5EdozTXI9wUlBmEE4k")</f>
        <v>1iacfEsOlPHPGZ6nQjKZ7USkjh5EdozTXI9wUlBmEE4k</v>
      </c>
      <c r="D284" s="4"/>
      <c r="E284" s="4"/>
      <c r="F284" s="4"/>
      <c r="G284" s="4"/>
      <c r="H284" s="4"/>
      <c r="I284" s="4"/>
      <c r="J284" s="4"/>
      <c r="K284" s="4"/>
      <c r="L284" s="4"/>
    </row>
    <row r="285" ht="15.75" customHeight="1">
      <c r="A285" s="4" t="str">
        <f>IFERROR(__xludf.DUMMYFUNCTION("""COMPUTED_VALUE"""),"MultiTradingTicket")</f>
        <v>MultiTradingTicket</v>
      </c>
      <c r="B285" s="4" t="str">
        <f>IFERROR(__xludf.DUMMYFUNCTION("""COMPUTED_VALUE"""),"GetPriceUsingMTT")</f>
        <v>GetPriceUsingMTT</v>
      </c>
      <c r="C285" s="4" t="str">
        <f>IFERROR(__xludf.DUMMYFUNCTION("""COMPUTED_VALUE"""),"13sqL2ynaexfP9lWe37uE-qHPdf1jgMi_dGKwnz6usMQ")</f>
        <v>13sqL2ynaexfP9lWe37uE-qHPdf1jgMi_dGKwnz6usMQ</v>
      </c>
      <c r="D285" s="4"/>
      <c r="E285" s="4"/>
      <c r="F285" s="4"/>
      <c r="G285" s="4"/>
      <c r="H285" s="4"/>
      <c r="I285" s="4"/>
      <c r="J285" s="4"/>
      <c r="K285" s="4"/>
      <c r="L285" s="4"/>
    </row>
    <row r="286" ht="15.75" customHeight="1">
      <c r="A286" s="4" t="str">
        <f>IFERROR(__xludf.DUMMYFUNCTION("""COMPUTED_VALUE"""),"MultiTradingTicket")</f>
        <v>MultiTradingTicket</v>
      </c>
      <c r="B286" s="4" t="str">
        <f>IFERROR(__xludf.DUMMYFUNCTION("""COMPUTED_VALUE"""),"DoneAwayUsingMTT")</f>
        <v>DoneAwayUsingMTT</v>
      </c>
      <c r="C286" s="4" t="str">
        <f>IFERROR(__xludf.DUMMYFUNCTION("""COMPUTED_VALUE"""),"1X_Cc-k1Zsfie7xcaz_9nQ2vWDlJ47gL_5qoTESaishI")</f>
        <v>1X_Cc-k1Zsfie7xcaz_9nQ2vWDlJ47gL_5qoTESaishI</v>
      </c>
      <c r="D286" s="4"/>
      <c r="E286" s="4"/>
      <c r="F286" s="4"/>
      <c r="G286" s="4"/>
      <c r="H286" s="4"/>
      <c r="I286" s="4"/>
      <c r="J286" s="4"/>
      <c r="K286" s="4"/>
      <c r="L286" s="4"/>
    </row>
    <row r="287" ht="15.75" customHeight="1">
      <c r="A287" s="4" t="str">
        <f>IFERROR(__xludf.DUMMYFUNCTION("""COMPUTED_VALUE"""),"MultiTradingTicket")</f>
        <v>MultiTradingTicket</v>
      </c>
      <c r="B287" s="4" t="str">
        <f>IFERROR(__xludf.DUMMYFUNCTION("""COMPUTED_VALUE"""),"SendOrderUsingMTT")</f>
        <v>SendOrderUsingMTT</v>
      </c>
      <c r="C287" s="4" t="str">
        <f>IFERROR(__xludf.DUMMYFUNCTION("""COMPUTED_VALUE"""),"1ZvOomDY73mDwy_2FkmlYUkc7eFVBtku_M6XrhU6zAMQ")</f>
        <v>1ZvOomDY73mDwy_2FkmlYUkc7eFVBtku_M6XrhU6zAMQ</v>
      </c>
      <c r="D287" s="4"/>
      <c r="E287" s="4"/>
      <c r="F287" s="4"/>
      <c r="G287" s="4"/>
      <c r="H287" s="4"/>
      <c r="I287" s="4"/>
      <c r="J287" s="4"/>
      <c r="K287" s="4"/>
      <c r="L287" s="4"/>
    </row>
    <row r="288" ht="15.75" customHeight="1">
      <c r="A288" s="4" t="str">
        <f>IFERROR(__xludf.DUMMYFUNCTION("""COMPUTED_VALUE"""),"Allocation")</f>
        <v>Allocation</v>
      </c>
      <c r="B288" s="4" t="str">
        <f>IFERROR(__xludf.DUMMYFUNCTION("""COMPUTED_VALUE"""),"UpdateGRAccountValue")</f>
        <v>UpdateGRAccountValue</v>
      </c>
      <c r="C288" s="4" t="str">
        <f>IFERROR(__xludf.DUMMYFUNCTION("""COMPUTED_VALUE"""),"1lFz3FRcCczoccbDWuOrmoeTNI3Wt72tV40C0B_Fdulo")</f>
        <v>1lFz3FRcCczoccbDWuOrmoeTNI3Wt72tV40C0B_Fdulo</v>
      </c>
      <c r="D288" s="4"/>
      <c r="E288" s="4"/>
      <c r="F288" s="4"/>
      <c r="G288" s="4"/>
      <c r="H288" s="4"/>
      <c r="I288" s="4"/>
      <c r="J288" s="4"/>
      <c r="K288" s="4"/>
      <c r="L288" s="4"/>
    </row>
    <row r="289" ht="15.75" customHeight="1">
      <c r="A289" s="4" t="str">
        <f>IFERROR(__xludf.DUMMYFUNCTION("""COMPUTED_VALUE"""),"MultiTradingTicket")</f>
        <v>MultiTradingTicket</v>
      </c>
      <c r="B289" s="4" t="str">
        <f>IFERROR(__xludf.DUMMYFUNCTION("""COMPUTED_VALUE"""),"BulkChangeTradeDoneAway")</f>
        <v>BulkChangeTradeDoneAway</v>
      </c>
      <c r="C289" s="4" t="str">
        <f>IFERROR(__xludf.DUMMYFUNCTION("""COMPUTED_VALUE"""),"1vJUuWNjZCta9Nc4XEHCHO5jwABRogxaKkvSksrCc1y4")</f>
        <v>1vJUuWNjZCta9Nc4XEHCHO5jwABRogxaKkvSksrCc1y4</v>
      </c>
      <c r="D289" s="4"/>
      <c r="E289" s="4"/>
      <c r="F289" s="4"/>
      <c r="G289" s="4"/>
      <c r="H289" s="4"/>
      <c r="I289" s="4"/>
      <c r="J289" s="4"/>
      <c r="K289" s="4"/>
      <c r="L289" s="4"/>
    </row>
    <row r="290" ht="15.75" customHeight="1">
      <c r="A290" s="4" t="str">
        <f>IFERROR(__xludf.DUMMYFUNCTION("""COMPUTED_VALUE"""),"Allocation")</f>
        <v>Allocation</v>
      </c>
      <c r="B290" s="4" t="str">
        <f>IFERROR(__xludf.DUMMYFUNCTION("""COMPUTED_VALUE"""),"UpdateGRStrategyValue")</f>
        <v>UpdateGRStrategyValue</v>
      </c>
      <c r="C290" s="4" t="str">
        <f>IFERROR(__xludf.DUMMYFUNCTION("""COMPUTED_VALUE"""),"1AMJDRnPPFGSypYHzJlk3Nkh0AERQpMOKwpNzmwWYf3k")</f>
        <v>1AMJDRnPPFGSypYHzJlk3Nkh0AERQpMOKwpNzmwWYf3k</v>
      </c>
      <c r="D290" s="4"/>
      <c r="E290" s="4"/>
      <c r="F290" s="4"/>
      <c r="G290" s="4"/>
      <c r="H290" s="4"/>
      <c r="I290" s="4"/>
      <c r="J290" s="4"/>
      <c r="K290" s="4"/>
      <c r="L290" s="4"/>
    </row>
    <row r="291" ht="15.75" customHeight="1">
      <c r="A291" s="4" t="str">
        <f>IFERROR(__xludf.DUMMYFUNCTION("""COMPUTED_VALUE"""),"Allocation")</f>
        <v>Allocation</v>
      </c>
      <c r="B291" s="4" t="str">
        <f>IFERROR(__xludf.DUMMYFUNCTION("""COMPUTED_VALUE"""),"UpdateGRDefaultRule")</f>
        <v>UpdateGRDefaultRule</v>
      </c>
      <c r="C291" s="4" t="str">
        <f>IFERROR(__xludf.DUMMYFUNCTION("""COMPUTED_VALUE"""),"1x73ZveKV63dLEGp1JA9RvvtDZiF2PeXvK6rEa4ECUUg")</f>
        <v>1x73ZveKV63dLEGp1JA9RvvtDZiF2PeXvK6rEa4ECUUg</v>
      </c>
      <c r="D291" s="4"/>
      <c r="E291" s="4"/>
      <c r="F291" s="4"/>
      <c r="G291" s="4"/>
      <c r="H291" s="4"/>
      <c r="I291" s="4"/>
      <c r="J291" s="4"/>
      <c r="K291" s="4"/>
      <c r="L291" s="4"/>
    </row>
    <row r="292" ht="15.75" customHeight="1">
      <c r="A292" s="4" t="str">
        <f>IFERROR(__xludf.DUMMYFUNCTION("""COMPUTED_VALUE"""),"Allocation")</f>
        <v>Allocation</v>
      </c>
      <c r="B292" s="4" t="str">
        <f>IFERROR(__xludf.DUMMYFUNCTION("""COMPUTED_VALUE"""),"UpdateGeneralRulePref")</f>
        <v>UpdateGeneralRulePref</v>
      </c>
      <c r="C292" s="4" t="str">
        <f>IFERROR(__xludf.DUMMYFUNCTION("""COMPUTED_VALUE"""),"Undefined")</f>
        <v>Undefined</v>
      </c>
      <c r="D292" s="4"/>
      <c r="E292" s="4"/>
      <c r="F292" s="4"/>
      <c r="G292" s="4"/>
      <c r="H292" s="4"/>
      <c r="I292" s="4"/>
      <c r="J292" s="4"/>
      <c r="K292" s="4"/>
      <c r="L292" s="4"/>
    </row>
    <row r="293" ht="15.75" customHeight="1">
      <c r="A293" s="4" t="str">
        <f>IFERROR(__xludf.DUMMYFUNCTION("""COMPUTED_VALUE"""),"Blotter")</f>
        <v>Blotter</v>
      </c>
      <c r="B293" s="4" t="str">
        <f>IFERROR(__xludf.DUMMYFUNCTION("""COMPUTED_VALUE"""),"MultiTradingTicketFromBlotter")</f>
        <v>MultiTradingTicketFromBlotter</v>
      </c>
      <c r="C293" s="4" t="str">
        <f>IFERROR(__xludf.DUMMYFUNCTION("""COMPUTED_VALUE"""),"19n2Z-CCAzNZctQndnPqhAilz4AHqd4Hew_NupZSf3AA")</f>
        <v>19n2Z-CCAzNZctQndnPqhAilz4AHqd4Hew_NupZSf3AA</v>
      </c>
      <c r="D293" s="4"/>
      <c r="E293" s="4"/>
      <c r="F293" s="4"/>
      <c r="G293" s="4"/>
      <c r="H293" s="4"/>
      <c r="I293" s="4"/>
      <c r="J293" s="4"/>
      <c r="K293" s="4"/>
      <c r="L293" s="4"/>
    </row>
    <row r="294" ht="15.75" customHeight="1">
      <c r="A294" s="4" t="str">
        <f>IFERROR(__xludf.DUMMYFUNCTION("""COMPUTED_VALUE"""),"CleanUp")</f>
        <v>CleanUp</v>
      </c>
      <c r="B294" s="4" t="str">
        <f>IFERROR(__xludf.DUMMYFUNCTION("""COMPUTED_VALUE"""),"DeleteClientData")</f>
        <v>DeleteClientData</v>
      </c>
      <c r="C294" s="4" t="str">
        <f>IFERROR(__xludf.DUMMYFUNCTION("""COMPUTED_VALUE"""),"1Lz82jeHUZGtvibY9vO7baLqlJAO5OFAL6yO4JpHFkAo")</f>
        <v>1Lz82jeHUZGtvibY9vO7baLqlJAO5OFAL6yO4JpHFkAo</v>
      </c>
      <c r="D294" s="4"/>
      <c r="E294" s="4"/>
      <c r="F294" s="4"/>
      <c r="G294" s="4"/>
      <c r="H294" s="4"/>
      <c r="I294" s="4"/>
      <c r="J294" s="4"/>
      <c r="K294" s="4"/>
      <c r="L294" s="4"/>
    </row>
    <row r="295" ht="15.75" customHeight="1">
      <c r="A295" s="4" t="str">
        <f>IFERROR(__xludf.DUMMYFUNCTION("""COMPUTED_VALUE"""),"Allocation")</f>
        <v>Allocation</v>
      </c>
      <c r="B295" s="4" t="str">
        <f>IFERROR(__xludf.DUMMYFUNCTION("""COMPUTED_VALUE"""),"ModifyGRPreferenceValues")</f>
        <v>ModifyGRPreferenceValues</v>
      </c>
      <c r="C295" s="4" t="str">
        <f>IFERROR(__xludf.DUMMYFUNCTION("""COMPUTED_VALUE"""),"1POjj1zjXLEqeN6JF24QjN0-KOauAggBwl69xOVrb_Mc")</f>
        <v>1POjj1zjXLEqeN6JF24QjN0-KOauAggBwl69xOVrb_Mc</v>
      </c>
      <c r="D295" s="4"/>
      <c r="E295" s="4"/>
      <c r="F295" s="4"/>
      <c r="G295" s="4"/>
      <c r="H295" s="4"/>
      <c r="I295" s="4"/>
      <c r="J295" s="4"/>
      <c r="K295" s="4"/>
      <c r="L295" s="4"/>
    </row>
    <row r="296" ht="15.75" customHeight="1">
      <c r="A296" s="4" t="str">
        <f>IFERROR(__xludf.DUMMYFUNCTION("""COMPUTED_VALUE"""),"Allocation")</f>
        <v>Allocation</v>
      </c>
      <c r="B296" s="4" t="str">
        <f>IFERROR(__xludf.DUMMYFUNCTION("""COMPUTED_VALUE"""),"AddMFPreferences")</f>
        <v>AddMFPreferences</v>
      </c>
      <c r="C296" s="4" t="str">
        <f>IFERROR(__xludf.DUMMYFUNCTION("""COMPUTED_VALUE"""),"1AksWVHEmnBxwC-L3YrZrbvNzH0SfJRQe4Dy7NrKt6qU")</f>
        <v>1AksWVHEmnBxwC-L3YrZrbvNzH0SfJRQe4Dy7NrKt6qU</v>
      </c>
      <c r="D296" s="4"/>
      <c r="E296" s="4"/>
      <c r="F296" s="4"/>
      <c r="G296" s="4"/>
      <c r="H296" s="4"/>
      <c r="I296" s="4"/>
      <c r="J296" s="4"/>
      <c r="K296" s="4"/>
      <c r="L296" s="4"/>
    </row>
    <row r="297" ht="15.75" customHeight="1">
      <c r="A297" s="4" t="str">
        <f>IFERROR(__xludf.DUMMYFUNCTION("""COMPUTED_VALUE"""),"Allocation")</f>
        <v>Allocation</v>
      </c>
      <c r="B297" s="4" t="str">
        <f>IFERROR(__xludf.DUMMYFUNCTION("""COMPUTED_VALUE"""),"AddMFPreferenceToolbar")</f>
        <v>AddMFPreferenceToolbar</v>
      </c>
      <c r="C297" s="4" t="str">
        <f>IFERROR(__xludf.DUMMYFUNCTION("""COMPUTED_VALUE"""),"1s4ugOdWq4GlEglv4uvOceAxijOR8vwwy9sfLCQSJsPI")</f>
        <v>1s4ugOdWq4GlEglv4uvOceAxijOR8vwwy9sfLCQSJsPI</v>
      </c>
      <c r="D297" s="4"/>
      <c r="E297" s="4"/>
      <c r="F297" s="4"/>
      <c r="G297" s="4"/>
      <c r="H297" s="4"/>
      <c r="I297" s="4"/>
      <c r="J297" s="4"/>
      <c r="K297" s="4"/>
      <c r="L297" s="4"/>
    </row>
    <row r="298" ht="15.75" customHeight="1">
      <c r="A298" s="4" t="str">
        <f>IFERROR(__xludf.DUMMYFUNCTION("""COMPUTED_VALUE"""),"Allocation")</f>
        <v>Allocation</v>
      </c>
      <c r="B298" s="4" t="str">
        <f>IFERROR(__xludf.DUMMYFUNCTION("""COMPUTED_VALUE"""),"DeleteMFPreferences")</f>
        <v>DeleteMFPreferences</v>
      </c>
      <c r="C298" s="4" t="str">
        <f>IFERROR(__xludf.DUMMYFUNCTION("""COMPUTED_VALUE"""),"1kF8Cp9ixfKWT-O7A_ykr8O24ot4jIuMf7Cny33fw3tE")</f>
        <v>1kF8Cp9ixfKWT-O7A_ykr8O24ot4jIuMf7Cny33fw3tE</v>
      </c>
      <c r="D298" s="4"/>
      <c r="E298" s="4"/>
      <c r="F298" s="4"/>
      <c r="G298" s="4"/>
      <c r="H298" s="4"/>
      <c r="I298" s="4"/>
      <c r="J298" s="4"/>
      <c r="K298" s="4"/>
      <c r="L298" s="4"/>
    </row>
    <row r="299" ht="15.75" customHeight="1">
      <c r="A299" s="4" t="str">
        <f>IFERROR(__xludf.DUMMYFUNCTION("""COMPUTED_VALUE"""),"Allocation")</f>
        <v>Allocation</v>
      </c>
      <c r="B299" s="4" t="str">
        <f>IFERROR(__xludf.DUMMYFUNCTION("""COMPUTED_VALUE"""),"DeleteMFPreferenceToolbar")</f>
        <v>DeleteMFPreferenceToolbar</v>
      </c>
      <c r="C299" s="4" t="str">
        <f>IFERROR(__xludf.DUMMYFUNCTION("""COMPUTED_VALUE"""),"1CgwWCnwId8fIOzVPEbCjbP0EmIDkblROsvVu3kqYqG8")</f>
        <v>1CgwWCnwId8fIOzVPEbCjbP0EmIDkblROsvVu3kqYqG8</v>
      </c>
      <c r="D299" s="4"/>
      <c r="E299" s="4"/>
      <c r="F299" s="4"/>
      <c r="G299" s="4"/>
      <c r="H299" s="4"/>
      <c r="I299" s="4"/>
      <c r="J299" s="4"/>
      <c r="K299" s="4"/>
      <c r="L299" s="4"/>
    </row>
    <row r="300" ht="15.75" customHeight="1">
      <c r="A300" s="4" t="str">
        <f>IFERROR(__xludf.DUMMYFUNCTION("""COMPUTED_VALUE"""),"Allocation")</f>
        <v>Allocation</v>
      </c>
      <c r="B300" s="4" t="str">
        <f>IFERROR(__xludf.DUMMYFUNCTION("""COMPUTED_VALUE"""),"RenameMFPreferences")</f>
        <v>RenameMFPreferences</v>
      </c>
      <c r="C300" s="4" t="str">
        <f>IFERROR(__xludf.DUMMYFUNCTION("""COMPUTED_VALUE"""),"1LgeTTI9drsJb1V9MtKWU3N5XU-_UpbynXkgneV6bnSU")</f>
        <v>1LgeTTI9drsJb1V9MtKWU3N5XU-_UpbynXkgneV6bnSU</v>
      </c>
      <c r="D300" s="4"/>
      <c r="E300" s="4"/>
      <c r="F300" s="4"/>
      <c r="G300" s="4"/>
      <c r="H300" s="4"/>
      <c r="I300" s="4"/>
      <c r="J300" s="4"/>
      <c r="K300" s="4"/>
      <c r="L300" s="4"/>
    </row>
    <row r="301" ht="15.75" customHeight="1">
      <c r="A301" s="4" t="str">
        <f>IFERROR(__xludf.DUMMYFUNCTION("""COMPUTED_VALUE"""),"Allocation")</f>
        <v>Allocation</v>
      </c>
      <c r="B301" s="4" t="str">
        <f>IFERROR(__xludf.DUMMYFUNCTION("""COMPUTED_VALUE"""),"SaveCloseMFPreference")</f>
        <v>SaveCloseMFPreference</v>
      </c>
      <c r="C301" s="4" t="str">
        <f>IFERROR(__xludf.DUMMYFUNCTION("""COMPUTED_VALUE"""),"Undefined")</f>
        <v>Undefined</v>
      </c>
      <c r="D301" s="4"/>
      <c r="E301" s="4"/>
      <c r="F301" s="4"/>
      <c r="G301" s="4"/>
      <c r="H301" s="4"/>
      <c r="I301" s="4"/>
      <c r="J301" s="4"/>
      <c r="K301" s="4"/>
      <c r="L301" s="4"/>
    </row>
    <row r="302" ht="15.75" customHeight="1">
      <c r="A302" s="4" t="str">
        <f>IFERROR(__xludf.DUMMYFUNCTION("""COMPUTED_VALUE"""),"Allocation")</f>
        <v>Allocation</v>
      </c>
      <c r="B302" s="4" t="str">
        <f>IFERROR(__xludf.DUMMYFUNCTION("""COMPUTED_VALUE"""),"SetMFPrefAccountValues")</f>
        <v>SetMFPrefAccountValues</v>
      </c>
      <c r="C302" s="4" t="str">
        <f>IFERROR(__xludf.DUMMYFUNCTION("""COMPUTED_VALUE"""),"1ICA8c_OKdesVMDcE_s1raBD2JqcZdspbl-jQG5DX7vA")</f>
        <v>1ICA8c_OKdesVMDcE_s1raBD2JqcZdspbl-jQG5DX7vA</v>
      </c>
      <c r="D302" s="4"/>
      <c r="E302" s="4"/>
      <c r="F302" s="4"/>
      <c r="G302" s="4"/>
      <c r="H302" s="4"/>
      <c r="I302" s="4"/>
      <c r="J302" s="4"/>
      <c r="K302" s="4"/>
      <c r="L302" s="4"/>
    </row>
    <row r="303" ht="15.75" customHeight="1">
      <c r="A303" s="4" t="str">
        <f>IFERROR(__xludf.DUMMYFUNCTION("""COMPUTED_VALUE"""),"Allocation")</f>
        <v>Allocation</v>
      </c>
      <c r="B303" s="4" t="str">
        <f>IFERROR(__xludf.DUMMYFUNCTION("""COMPUTED_VALUE"""),"ModifyMFPrefGeneralRuleValues")</f>
        <v>ModifyMFPrefGeneralRuleValues</v>
      </c>
      <c r="C303" s="4" t="str">
        <f>IFERROR(__xludf.DUMMYFUNCTION("""COMPUTED_VALUE"""),"Undefined")</f>
        <v>Undefined</v>
      </c>
      <c r="D303" s="4"/>
      <c r="E303" s="4"/>
      <c r="F303" s="4"/>
      <c r="G303" s="4"/>
      <c r="H303" s="4"/>
      <c r="I303" s="4"/>
      <c r="J303" s="4"/>
      <c r="K303" s="4"/>
      <c r="L303" s="4"/>
    </row>
    <row r="304" ht="15.75" customHeight="1">
      <c r="A304" s="4" t="str">
        <f>IFERROR(__xludf.DUMMYFUNCTION("""COMPUTED_VALUE"""),"Allocation")</f>
        <v>Allocation</v>
      </c>
      <c r="B304" s="4" t="str">
        <f>IFERROR(__xludf.DUMMYFUNCTION("""COMPUTED_VALUE"""),"SetMFPrefStrategyValues")</f>
        <v>SetMFPrefStrategyValues</v>
      </c>
      <c r="C304" s="4" t="str">
        <f>IFERROR(__xludf.DUMMYFUNCTION("""COMPUTED_VALUE"""),"1Nend9TmgX0Jkh8tsL--LHqNCMB0QE7KGu0lM4MrvJx8")</f>
        <v>1Nend9TmgX0Jkh8tsL--LHqNCMB0QE7KGu0lM4MrvJx8</v>
      </c>
      <c r="D304" s="4"/>
      <c r="E304" s="4"/>
      <c r="F304" s="4"/>
      <c r="G304" s="4"/>
      <c r="H304" s="4"/>
      <c r="I304" s="4"/>
      <c r="J304" s="4"/>
      <c r="K304" s="4"/>
      <c r="L304" s="4"/>
    </row>
    <row r="305" ht="15.75" customHeight="1">
      <c r="A305" s="4" t="str">
        <f>IFERROR(__xludf.DUMMYFUNCTION("""COMPUTED_VALUE"""),"Allocation")</f>
        <v>Allocation</v>
      </c>
      <c r="B305" s="4" t="str">
        <f>IFERROR(__xludf.DUMMYFUNCTION("""COMPUTED_VALUE"""),"SetMFPrefGeneralRule")</f>
        <v>SetMFPrefGeneralRule</v>
      </c>
      <c r="C305" s="4" t="str">
        <f>IFERROR(__xludf.DUMMYFUNCTION("""COMPUTED_VALUE"""),"1OkFtbYrIDPpC3pMP--6KPjkSbZDpo31jp348DsVbjWk")</f>
        <v>1OkFtbYrIDPpC3pMP--6KPjkSbZDpo31jp348DsVbjWk</v>
      </c>
      <c r="D305" s="4"/>
      <c r="E305" s="4"/>
      <c r="F305" s="4"/>
      <c r="G305" s="4"/>
      <c r="H305" s="4"/>
      <c r="I305" s="4"/>
      <c r="J305" s="4"/>
      <c r="K305" s="4"/>
      <c r="L305" s="4"/>
    </row>
    <row r="306" ht="15.75" customHeight="1">
      <c r="A306" s="4" t="str">
        <f>IFERROR(__xludf.DUMMYFUNCTION("""COMPUTED_VALUE"""),"Allocation")</f>
        <v>Allocation</v>
      </c>
      <c r="B306" s="4" t="str">
        <f>IFERROR(__xludf.DUMMYFUNCTION("""COMPUTED_VALUE"""),"SetMFPrefFundDistribution")</f>
        <v>SetMFPrefFundDistribution</v>
      </c>
      <c r="C306" s="4" t="str">
        <f>IFERROR(__xludf.DUMMYFUNCTION("""COMPUTED_VALUE"""),"1sNOuaTOrp-Ppia2ZUARA48WLB5S-7ja2Q0cjsdZu1cc")</f>
        <v>1sNOuaTOrp-Ppia2ZUARA48WLB5S-7ja2Q0cjsdZu1cc</v>
      </c>
      <c r="D306" s="4"/>
      <c r="E306" s="4"/>
      <c r="F306" s="4"/>
      <c r="G306" s="4"/>
      <c r="H306" s="4"/>
      <c r="I306" s="4"/>
      <c r="J306" s="4"/>
      <c r="K306" s="4"/>
      <c r="L306" s="4"/>
    </row>
    <row r="307" ht="15.75" customHeight="1">
      <c r="A307" s="4" t="str">
        <f>IFERROR(__xludf.DUMMYFUNCTION("""COMPUTED_VALUE"""),"Allocation")</f>
        <v>Allocation</v>
      </c>
      <c r="B307" s="4" t="str">
        <f>IFERROR(__xludf.DUMMYFUNCTION("""COMPUTED_VALUE"""),"SetMFPreferencesDefaultRule")</f>
        <v>SetMFPreferencesDefaultRule</v>
      </c>
      <c r="C307" s="4" t="str">
        <f>IFERROR(__xludf.DUMMYFUNCTION("""COMPUTED_VALUE"""),"1SseU888nr5JryggSHE9VBdTiZug_v-cOJmjdm-vO3sQ")</f>
        <v>1SseU888nr5JryggSHE9VBdTiZug_v-cOJmjdm-vO3sQ</v>
      </c>
      <c r="D307" s="4"/>
      <c r="E307" s="4"/>
      <c r="F307" s="4"/>
      <c r="G307" s="4"/>
      <c r="H307" s="4"/>
      <c r="I307" s="4"/>
      <c r="J307" s="4"/>
      <c r="K307" s="4"/>
      <c r="L307" s="4"/>
    </row>
    <row r="308" ht="15.75" customHeight="1">
      <c r="A308" s="4" t="str">
        <f>IFERROR(__xludf.DUMMYFUNCTION("""COMPUTED_VALUE"""),"Allocation")</f>
        <v>Allocation</v>
      </c>
      <c r="B308" s="4" t="str">
        <f>IFERROR(__xludf.DUMMYFUNCTION("""COMPUTED_VALUE"""),"SetMFPrefFundDefaultRule")</f>
        <v>SetMFPrefFundDefaultRule</v>
      </c>
      <c r="C308" s="4" t="str">
        <f>IFERROR(__xludf.DUMMYFUNCTION("""COMPUTED_VALUE"""),"1HfizE5szbvAqgcrnlAlRZlGwJnDpLifnRSpo_rNHclE")</f>
        <v>1HfizE5szbvAqgcrnlAlRZlGwJnDpLifnRSpo_rNHclE</v>
      </c>
      <c r="D308" s="4"/>
      <c r="E308" s="4"/>
      <c r="F308" s="4"/>
      <c r="G308" s="4"/>
      <c r="H308" s="4"/>
      <c r="I308" s="4"/>
      <c r="J308" s="4"/>
      <c r="K308" s="4"/>
      <c r="L308" s="4"/>
    </row>
    <row r="309" ht="15.75" customHeight="1">
      <c r="A309" s="4" t="str">
        <f>IFERROR(__xludf.DUMMYFUNCTION("""COMPUTED_VALUE"""),"PTT")</f>
        <v>PTT</v>
      </c>
      <c r="B309" s="4" t="str">
        <f>IFERROR(__xludf.DUMMYFUNCTION("""COMPUTED_VALUE"""),"SetAccountFactor")</f>
        <v>SetAccountFactor</v>
      </c>
      <c r="C309" s="4" t="str">
        <f>IFERROR(__xludf.DUMMYFUNCTION("""COMPUTED_VALUE"""),"18dn1sQFfRDKOAHwu3DueV8YA7DVB7FDzA7y_am44ADk")</f>
        <v>18dn1sQFfRDKOAHwu3DueV8YA7DVB7FDzA7y_am44ADk</v>
      </c>
      <c r="D309" s="4"/>
      <c r="E309" s="4"/>
      <c r="F309" s="4"/>
      <c r="G309" s="4"/>
      <c r="H309" s="4"/>
      <c r="I309" s="4"/>
      <c r="J309" s="4"/>
      <c r="K309" s="4"/>
      <c r="L309" s="4"/>
    </row>
    <row r="310" ht="15.75" customHeight="1">
      <c r="A310" s="4" t="str">
        <f>IFERROR(__xludf.DUMMYFUNCTION("""COMPUTED_VALUE"""),"Allocation")</f>
        <v>Allocation</v>
      </c>
      <c r="B310" s="4" t="str">
        <f>IFERROR(__xludf.DUMMYFUNCTION("""COMPUTED_VALUE"""),"ClearPrefetchFilters")</f>
        <v>ClearPrefetchFilters</v>
      </c>
      <c r="C310" s="4" t="str">
        <f>IFERROR(__xludf.DUMMYFUNCTION("""COMPUTED_VALUE"""),"Undefined")</f>
        <v>Undefined</v>
      </c>
      <c r="D310" s="4"/>
      <c r="E310" s="4"/>
      <c r="F310" s="4"/>
      <c r="G310" s="4"/>
      <c r="H310" s="4"/>
      <c r="I310" s="4"/>
      <c r="J310" s="4"/>
      <c r="K310" s="4"/>
      <c r="L310" s="4"/>
    </row>
    <row r="311" ht="15.75" customHeight="1">
      <c r="A311" s="4" t="str">
        <f>IFERROR(__xludf.DUMMYFUNCTION("""COMPUTED_VALUE"""),"Allocation")</f>
        <v>Allocation</v>
      </c>
      <c r="B311" s="4" t="str">
        <f>IFERROR(__xludf.DUMMYFUNCTION("""COMPUTED_VALUE"""),"ExpandCollapseAllUnallocated")</f>
        <v>ExpandCollapseAllUnallocated</v>
      </c>
      <c r="C311" s="4" t="str">
        <f>IFERROR(__xludf.DUMMYFUNCTION("""COMPUTED_VALUE"""),"1ochAcIa6jxqrTKXkyAIMtaQp8GfBZfq8KAPLV0y7yvU")</f>
        <v>1ochAcIa6jxqrTKXkyAIMtaQp8GfBZfq8KAPLV0y7yvU</v>
      </c>
      <c r="D311" s="4"/>
      <c r="E311" s="4"/>
      <c r="F311" s="4"/>
      <c r="G311" s="4"/>
      <c r="H311" s="4"/>
      <c r="I311" s="4"/>
      <c r="J311" s="4"/>
      <c r="K311" s="4"/>
      <c r="L311" s="4"/>
    </row>
    <row r="312" ht="15.75" customHeight="1">
      <c r="A312" s="4" t="str">
        <f>IFERROR(__xludf.DUMMYFUNCTION("""COMPUTED_VALUE"""),"Allocation")</f>
        <v>Allocation</v>
      </c>
      <c r="B312" s="4" t="str">
        <f>IFERROR(__xludf.DUMMYFUNCTION("""COMPUTED_VALUE"""),"ExpandCollapseAllAllocated")</f>
        <v>ExpandCollapseAllAllocated</v>
      </c>
      <c r="C312" s="4" t="str">
        <f>IFERROR(__xludf.DUMMYFUNCTION("""COMPUTED_VALUE"""),"1PUqbTX2rRI0cNPNL7NJ1fKh-Jy0Q9mQVBO0nXiQtUlc")</f>
        <v>1PUqbTX2rRI0cNPNL7NJ1fKh-Jy0Q9mQVBO0nXiQtUlc</v>
      </c>
      <c r="D312" s="4"/>
      <c r="E312" s="4"/>
      <c r="F312" s="4"/>
      <c r="G312" s="4"/>
      <c r="H312" s="4"/>
      <c r="I312" s="4"/>
      <c r="J312" s="4"/>
      <c r="K312" s="4"/>
      <c r="L312" s="4"/>
    </row>
    <row r="313" ht="15.75" customHeight="1">
      <c r="A313" s="4" t="str">
        <f>IFERROR(__xludf.DUMMYFUNCTION("""COMPUTED_VALUE"""),"Allocation")</f>
        <v>Allocation</v>
      </c>
      <c r="B313" s="4" t="str">
        <f>IFERROR(__xludf.DUMMYFUNCTION("""COMPUTED_VALUE"""),"GenerateCashTransaction")</f>
        <v>GenerateCashTransaction</v>
      </c>
      <c r="C313" s="4" t="str">
        <f>IFERROR(__xludf.DUMMYFUNCTION("""COMPUTED_VALUE"""),"1XFWL8Sv_tc7--6q-PVtJAyjWEb-HcxsbKKtSdB3jRJY")</f>
        <v>1XFWL8Sv_tc7--6q-PVtJAyjWEb-HcxsbKKtSdB3jRJY</v>
      </c>
      <c r="D313" s="4"/>
      <c r="E313" s="4"/>
      <c r="F313" s="4"/>
      <c r="G313" s="4"/>
      <c r="H313" s="4"/>
      <c r="I313" s="4"/>
      <c r="J313" s="4"/>
      <c r="K313" s="4"/>
      <c r="L313" s="4"/>
    </row>
    <row r="314" ht="15.75" customHeight="1">
      <c r="A314" s="4" t="str">
        <f>IFERROR(__xludf.DUMMYFUNCTION("""COMPUTED_VALUE"""),"Allocation")</f>
        <v>Allocation</v>
      </c>
      <c r="B314" s="4" t="str">
        <f>IFERROR(__xludf.DUMMYFUNCTION("""COMPUTED_VALUE"""),"SaveAllocation")</f>
        <v>SaveAllocation</v>
      </c>
      <c r="C314" s="4" t="str">
        <f>IFERROR(__xludf.DUMMYFUNCTION("""COMPUTED_VALUE"""),"Undefined")</f>
        <v>Undefined</v>
      </c>
      <c r="D314" s="4"/>
      <c r="E314" s="4"/>
      <c r="F314" s="4"/>
      <c r="G314" s="4"/>
      <c r="H314" s="4"/>
      <c r="I314" s="4"/>
      <c r="J314" s="4"/>
      <c r="K314" s="4"/>
      <c r="L314" s="4"/>
    </row>
    <row r="315" ht="15.75" customHeight="1">
      <c r="A315" s="4" t="str">
        <f>IFERROR(__xludf.DUMMYFUNCTION("""COMPUTED_VALUE"""),"Allocation")</f>
        <v>Allocation</v>
      </c>
      <c r="B315" s="4" t="str">
        <f>IFERROR(__xludf.DUMMYFUNCTION("""COMPUTED_VALUE"""),"UnallocateWithOutSave")</f>
        <v>UnallocateWithOutSave</v>
      </c>
      <c r="C315" s="4" t="str">
        <f>IFERROR(__xludf.DUMMYFUNCTION("""COMPUTED_VALUE"""),"1rdEWSy_MOHkYaq5akux-7N0yuwWEIIprojEJYWvhiRo")</f>
        <v>1rdEWSy_MOHkYaq5akux-7N0yuwWEIIprojEJYWvhiRo</v>
      </c>
      <c r="D315" s="4"/>
      <c r="E315" s="4"/>
      <c r="F315" s="4"/>
      <c r="G315" s="4"/>
      <c r="H315" s="4"/>
      <c r="I315" s="4"/>
      <c r="J315" s="4"/>
      <c r="K315" s="4"/>
      <c r="L315" s="4"/>
    </row>
    <row r="316" ht="15.75" customHeight="1">
      <c r="A316" s="4" t="str">
        <f>IFERROR(__xludf.DUMMYFUNCTION("""COMPUTED_VALUE"""),"TradeServer")</f>
        <v>TradeServer</v>
      </c>
      <c r="B316" s="4" t="str">
        <f>IFERROR(__xludf.DUMMYFUNCTION("""COMPUTED_VALUE"""),"UpdateServerConfig")</f>
        <v>UpdateServerConfig</v>
      </c>
      <c r="C316" s="4" t="str">
        <f>IFERROR(__xludf.DUMMYFUNCTION("""COMPUTED_VALUE"""),"1h5l007iy5WesxdhwZzCT3YK9aNRB6rnqf82fKK-qWhA")</f>
        <v>1h5l007iy5WesxdhwZzCT3YK9aNRB6rnqf82fKK-qWhA</v>
      </c>
      <c r="D316" s="4"/>
      <c r="E316" s="4"/>
      <c r="F316" s="4"/>
      <c r="G316" s="4"/>
      <c r="H316" s="4"/>
      <c r="I316" s="4"/>
      <c r="J316" s="4"/>
      <c r="K316" s="4"/>
      <c r="L316" s="4"/>
    </row>
    <row r="317" ht="15.75" customHeight="1">
      <c r="A317" s="4" t="str">
        <f>IFERROR(__xludf.DUMMYFUNCTION("""COMPUTED_VALUE"""),"PricingServer")</f>
        <v>PricingServer</v>
      </c>
      <c r="B317" s="4" t="str">
        <f>IFERROR(__xludf.DUMMYFUNCTION("""COMPUTED_VALUE"""),"UpdatePricingConfig")</f>
        <v>UpdatePricingConfig</v>
      </c>
      <c r="C317" s="4" t="str">
        <f>IFERROR(__xludf.DUMMYFUNCTION("""COMPUTED_VALUE"""),"1ixTeJ65ywBUTH41BRto926xFAKoLo3WSj5TxpKyxMCI")</f>
        <v>1ixTeJ65ywBUTH41BRto926xFAKoLo3WSj5TxpKyxMCI</v>
      </c>
      <c r="D317" s="4"/>
      <c r="E317" s="4"/>
      <c r="F317" s="4"/>
      <c r="G317" s="4"/>
      <c r="H317" s="4"/>
      <c r="I317" s="4"/>
      <c r="J317" s="4"/>
      <c r="K317" s="4"/>
      <c r="L317" s="4"/>
    </row>
    <row r="318" ht="15.75" customHeight="1">
      <c r="A318" s="4" t="str">
        <f>IFERROR(__xludf.DUMMYFUNCTION("""COMPUTED_VALUE"""),"PranaClient")</f>
        <v>PranaClient</v>
      </c>
      <c r="B318" s="4" t="str">
        <f>IFERROR(__xludf.DUMMYFUNCTION("""COMPUTED_VALUE"""),"UpdateClientConfig")</f>
        <v>UpdateClientConfig</v>
      </c>
      <c r="C318" s="4" t="str">
        <f>IFERROR(__xludf.DUMMYFUNCTION("""COMPUTED_VALUE"""),"1LE8gxOzR6SvbLuSropjBzTYDDoubnt2wbweARCuf3LU")</f>
        <v>1LE8gxOzR6SvbLuSropjBzTYDDoubnt2wbweARCuf3LU</v>
      </c>
      <c r="D318" s="4"/>
      <c r="E318" s="4"/>
      <c r="F318" s="4"/>
      <c r="G318" s="4"/>
      <c r="H318" s="4"/>
      <c r="I318" s="4"/>
      <c r="J318" s="4"/>
      <c r="K318" s="4"/>
      <c r="L318" s="4"/>
    </row>
    <row r="319" ht="15.75" customHeight="1">
      <c r="A319" s="4" t="str">
        <f>IFERROR(__xludf.DUMMYFUNCTION("""COMPUTED_VALUE"""),"PortfolioManagement")</f>
        <v>PortfolioManagement</v>
      </c>
      <c r="B319" s="4" t="str">
        <f>IFERROR(__xludf.DUMMYFUNCTION("""COMPUTED_VALUE"""),"OpenClosingFromPM")</f>
        <v>OpenClosingFromPM</v>
      </c>
      <c r="C319" s="4" t="str">
        <f>IFERROR(__xludf.DUMMYFUNCTION("""COMPUTED_VALUE"""),"Undefined")</f>
        <v>Undefined</v>
      </c>
      <c r="D319" s="4"/>
      <c r="E319" s="4"/>
      <c r="F319" s="4"/>
      <c r="G319" s="4"/>
      <c r="H319" s="4"/>
      <c r="I319" s="4"/>
      <c r="J319" s="4"/>
      <c r="K319" s="4"/>
      <c r="L319" s="4"/>
    </row>
    <row r="320" ht="15.75" customHeight="1">
      <c r="A320" s="4" t="str">
        <f>IFERROR(__xludf.DUMMYFUNCTION("""COMPUTED_VALUE"""),"PortfolioManagement")</f>
        <v>PortfolioManagement</v>
      </c>
      <c r="B320" s="4" t="str">
        <f>IFERROR(__xludf.DUMMYFUNCTION("""COMPUTED_VALUE"""),"OpenCorporateActionFromPM")</f>
        <v>OpenCorporateActionFromPM</v>
      </c>
      <c r="C320" s="4" t="str">
        <f>IFERROR(__xludf.DUMMYFUNCTION("""COMPUTED_VALUE"""),"Undefined")</f>
        <v>Undefined</v>
      </c>
      <c r="D320" s="4"/>
      <c r="E320" s="4"/>
      <c r="F320" s="4"/>
      <c r="G320" s="4"/>
      <c r="H320" s="4"/>
      <c r="I320" s="4"/>
      <c r="J320" s="4"/>
      <c r="K320" s="4"/>
      <c r="L320" s="4"/>
    </row>
    <row r="321" ht="15.75" customHeight="1">
      <c r="A321" s="4" t="str">
        <f>IFERROR(__xludf.DUMMYFUNCTION("""COMPUTED_VALUE"""),"PortfolioManagement")</f>
        <v>PortfolioManagement</v>
      </c>
      <c r="B321" s="4" t="str">
        <f>IFERROR(__xludf.DUMMYFUNCTION("""COMPUTED_VALUE"""),"OpenDailyValuationFromPM")</f>
        <v>OpenDailyValuationFromPM</v>
      </c>
      <c r="C321" s="4" t="str">
        <f>IFERROR(__xludf.DUMMYFUNCTION("""COMPUTED_VALUE"""),"Undefined")</f>
        <v>Undefined</v>
      </c>
      <c r="D321" s="4"/>
      <c r="E321" s="4"/>
      <c r="F321" s="4"/>
      <c r="G321" s="4"/>
      <c r="H321" s="4"/>
      <c r="I321" s="4"/>
      <c r="J321" s="4"/>
      <c r="K321" s="4"/>
      <c r="L321" s="4"/>
    </row>
    <row r="322" ht="15.75" customHeight="1">
      <c r="A322" s="4" t="str">
        <f>IFERROR(__xludf.DUMMYFUNCTION("""COMPUTED_VALUE"""),"PortfolioManagement")</f>
        <v>PortfolioManagement</v>
      </c>
      <c r="B322" s="4" t="str">
        <f>IFERROR(__xludf.DUMMYFUNCTION("""COMPUTED_VALUE"""),"ClosePositionFromPM")</f>
        <v>ClosePositionFromPM</v>
      </c>
      <c r="C322" s="4" t="str">
        <f>IFERROR(__xludf.DUMMYFUNCTION("""COMPUTED_VALUE"""),"121YPApuObrizJgYF5sgfQP5hMExkoSYkCPrW-Ew_ldk")</f>
        <v>121YPApuObrizJgYF5sgfQP5hMExkoSYkCPrW-Ew_ldk</v>
      </c>
      <c r="D322" s="4"/>
      <c r="E322" s="4"/>
      <c r="F322" s="4"/>
      <c r="G322" s="4"/>
      <c r="H322" s="4"/>
      <c r="I322" s="4"/>
      <c r="J322" s="4"/>
      <c r="K322" s="4"/>
      <c r="L322" s="4"/>
    </row>
    <row r="323" ht="15.75" customHeight="1">
      <c r="A323" s="4" t="str">
        <f>IFERROR(__xludf.DUMMYFUNCTION("""COMPUTED_VALUE"""),"PortfolioManagement")</f>
        <v>PortfolioManagement</v>
      </c>
      <c r="B323" s="4" t="str">
        <f>IFERROR(__xludf.DUMMYFUNCTION("""COMPUTED_VALUE"""),"ShowSummaryToolFromPM")</f>
        <v>ShowSummaryToolFromPM</v>
      </c>
      <c r="C323" s="4" t="str">
        <f>IFERROR(__xludf.DUMMYFUNCTION("""COMPUTED_VALUE"""),"Undefined")</f>
        <v>Undefined</v>
      </c>
      <c r="D323" s="4"/>
      <c r="E323" s="4"/>
      <c r="F323" s="4"/>
      <c r="G323" s="4"/>
      <c r="H323" s="4"/>
      <c r="I323" s="4"/>
      <c r="J323" s="4"/>
      <c r="K323" s="4"/>
      <c r="L323" s="4"/>
    </row>
    <row r="324" ht="15.75" customHeight="1">
      <c r="A324" s="4" t="str">
        <f>IFERROR(__xludf.DUMMYFUNCTION("""COMPUTED_VALUE"""),"PortfolioManagement")</f>
        <v>PortfolioManagement</v>
      </c>
      <c r="B324" s="4" t="str">
        <f>IFERROR(__xludf.DUMMYFUNCTION("""COMPUTED_VALUE"""),"HideSummaryToolFromPM")</f>
        <v>HideSummaryToolFromPM</v>
      </c>
      <c r="C324" s="4" t="str">
        <f>IFERROR(__xludf.DUMMYFUNCTION("""COMPUTED_VALUE"""),"Undefined")</f>
        <v>Undefined</v>
      </c>
      <c r="D324" s="4"/>
      <c r="E324" s="4"/>
      <c r="F324" s="4"/>
      <c r="G324" s="4"/>
      <c r="H324" s="4"/>
      <c r="I324" s="4"/>
      <c r="J324" s="4"/>
      <c r="K324" s="4"/>
      <c r="L324" s="4"/>
    </row>
    <row r="325" ht="15.75" customHeight="1">
      <c r="A325" s="4" t="str">
        <f>IFERROR(__xludf.DUMMYFUNCTION("""COMPUTED_VALUE"""),"PortfolioManagement")</f>
        <v>PortfolioManagement</v>
      </c>
      <c r="B325" s="4" t="str">
        <f>IFERROR(__xludf.DUMMYFUNCTION("""COMPUTED_VALUE"""),"CloseAccountPositionFromPM")</f>
        <v>CloseAccountPositionFromPM</v>
      </c>
      <c r="C325" s="4" t="str">
        <f>IFERROR(__xludf.DUMMYFUNCTION("""COMPUTED_VALUE"""),"10LRFkXyhAzpYLr41wTB8e5wmi1IZIGFBMZPeDp64XK0")</f>
        <v>10LRFkXyhAzpYLr41wTB8e5wmi1IZIGFBMZPeDp64XK0</v>
      </c>
      <c r="D325" s="4"/>
      <c r="E325" s="4"/>
      <c r="F325" s="4"/>
      <c r="G325" s="4"/>
      <c r="H325" s="4"/>
      <c r="I325" s="4"/>
      <c r="J325" s="4"/>
      <c r="K325" s="4"/>
      <c r="L325" s="4"/>
    </row>
    <row r="326" ht="15.75" customHeight="1">
      <c r="A326" s="4" t="str">
        <f>IFERROR(__xludf.DUMMYFUNCTION("""COMPUTED_VALUE"""),"PortfolioManagement")</f>
        <v>PortfolioManagement</v>
      </c>
      <c r="B326" s="4" t="str">
        <f>IFERROR(__xludf.DUMMYFUNCTION("""COMPUTED_VALUE"""),"CloseSelectedTaxlotsFromPM")</f>
        <v>CloseSelectedTaxlotsFromPM</v>
      </c>
      <c r="C326" s="4" t="str">
        <f>IFERROR(__xludf.DUMMYFUNCTION("""COMPUTED_VALUE"""),"1vJSNFM5zkHc9zBvl1ymJquJpvovmW3E_RSN3pozpWns")</f>
        <v>1vJSNFM5zkHc9zBvl1ymJquJpvovmW3E_RSN3pozpWns</v>
      </c>
      <c r="D326" s="4"/>
      <c r="E326" s="4"/>
      <c r="F326" s="4"/>
      <c r="G326" s="4"/>
      <c r="H326" s="4"/>
      <c r="I326" s="4"/>
      <c r="J326" s="4"/>
      <c r="K326" s="4"/>
      <c r="L326" s="4"/>
    </row>
    <row r="327" ht="15.75" customHeight="1">
      <c r="A327" s="4" t="str">
        <f>IFERROR(__xludf.DUMMYFUNCTION("""COMPUTED_VALUE"""),"PortfolioManagement")</f>
        <v>PortfolioManagement</v>
      </c>
      <c r="B327" s="4" t="str">
        <f>IFERROR(__xludf.DUMMYFUNCTION("""COMPUTED_VALUE"""),"ExpandCollapsePM")</f>
        <v>ExpandCollapsePM</v>
      </c>
      <c r="C327" s="4" t="str">
        <f>IFERROR(__xludf.DUMMYFUNCTION("""COMPUTED_VALUE"""),"1kNeqOSQLa6o8vkFZaArRKZabtB_GXZBV_Al1s8DHf50")</f>
        <v>1kNeqOSQLa6o8vkFZaArRKZabtB_GXZBV_Al1s8DHf50</v>
      </c>
      <c r="D327" s="4"/>
      <c r="E327" s="4"/>
      <c r="F327" s="4"/>
      <c r="G327" s="4"/>
      <c r="H327" s="4"/>
      <c r="I327" s="4"/>
      <c r="J327" s="4"/>
      <c r="K327" s="4"/>
      <c r="L327" s="4"/>
    </row>
    <row r="328" ht="15.75" customHeight="1">
      <c r="A328" s="4" t="str">
        <f>IFERROR(__xludf.DUMMYFUNCTION("""COMPUTED_VALUE"""),"PortfolioManagement")</f>
        <v>PortfolioManagement</v>
      </c>
      <c r="B328" s="4" t="str">
        <f>IFERROR(__xludf.DUMMYFUNCTION("""COMPUTED_VALUE"""),"AddCustomViewPM")</f>
        <v>AddCustomViewPM</v>
      </c>
      <c r="C328" s="4" t="str">
        <f>IFERROR(__xludf.DUMMYFUNCTION("""COMPUTED_VALUE"""),"1WARVnQ0kPZNSKX8kRaPiqFQVReKwU7ReLEjyOvwThEk")</f>
        <v>1WARVnQ0kPZNSKX8kRaPiqFQVReKwU7ReLEjyOvwThEk</v>
      </c>
      <c r="D328" s="4"/>
      <c r="E328" s="4"/>
      <c r="F328" s="4"/>
      <c r="G328" s="4"/>
      <c r="H328" s="4"/>
      <c r="I328" s="4"/>
      <c r="J328" s="4"/>
      <c r="K328" s="4"/>
      <c r="L328" s="4"/>
    </row>
    <row r="329" ht="15.75" customHeight="1">
      <c r="A329" s="4" t="str">
        <f>IFERROR(__xludf.DUMMYFUNCTION("""COMPUTED_VALUE"""),"PortfolioManagement")</f>
        <v>PortfolioManagement</v>
      </c>
      <c r="B329" s="4" t="str">
        <f>IFERROR(__xludf.DUMMYFUNCTION("""COMPUTED_VALUE"""),"AddCustomViewRightClickPM")</f>
        <v>AddCustomViewRightClickPM</v>
      </c>
      <c r="C329" s="4" t="str">
        <f>IFERROR(__xludf.DUMMYFUNCTION("""COMPUTED_VALUE"""),"1221yqGeEHt8OWBppipf5Q2xZ7hMYHBO7XKQ1Hp4-_1k")</f>
        <v>1221yqGeEHt8OWBppipf5Q2xZ7hMYHBO7XKQ1Hp4-_1k</v>
      </c>
      <c r="D329" s="4"/>
      <c r="E329" s="4"/>
      <c r="F329" s="4"/>
      <c r="G329" s="4"/>
      <c r="H329" s="4"/>
      <c r="I329" s="4"/>
      <c r="J329" s="4"/>
      <c r="K329" s="4"/>
      <c r="L329" s="4"/>
    </row>
    <row r="330" ht="15.75" customHeight="1">
      <c r="A330" s="4" t="str">
        <f>IFERROR(__xludf.DUMMYFUNCTION("""COMPUTED_VALUE"""),"PortfolioManagement")</f>
        <v>PortfolioManagement</v>
      </c>
      <c r="B330" s="4" t="str">
        <f>IFERROR(__xludf.DUMMYFUNCTION("""COMPUTED_VALUE"""),"RenameCustomViewPM")</f>
        <v>RenameCustomViewPM</v>
      </c>
      <c r="C330" s="4" t="str">
        <f>IFERROR(__xludf.DUMMYFUNCTION("""COMPUTED_VALUE"""),"1saPHdgxC5QXYmLAufIbglxhQ01_MTtBMgX000SwjhFY")</f>
        <v>1saPHdgxC5QXYmLAufIbglxhQ01_MTtBMgX000SwjhFY</v>
      </c>
      <c r="D330" s="4"/>
      <c r="E330" s="4"/>
      <c r="F330" s="4"/>
      <c r="G330" s="4"/>
      <c r="H330" s="4"/>
      <c r="I330" s="4"/>
      <c r="J330" s="4"/>
      <c r="K330" s="4"/>
      <c r="L330" s="4"/>
    </row>
    <row r="331" ht="15.75" customHeight="1">
      <c r="A331" s="4" t="str">
        <f>IFERROR(__xludf.DUMMYFUNCTION("""COMPUTED_VALUE"""),"PortfolioManagement")</f>
        <v>PortfolioManagement</v>
      </c>
      <c r="B331" s="4" t="str">
        <f>IFERROR(__xludf.DUMMYFUNCTION("""COMPUTED_VALUE"""),"DeleteCustomViewPM")</f>
        <v>DeleteCustomViewPM</v>
      </c>
      <c r="C331" s="4" t="str">
        <f>IFERROR(__xludf.DUMMYFUNCTION("""COMPUTED_VALUE"""),"1_EYKIDrS0AWuMJMgbTbeqmEwSkf7_gL_EAGl7D2-Ggk")</f>
        <v>1_EYKIDrS0AWuMJMgbTbeqmEwSkf7_gL_EAGl7D2-Ggk</v>
      </c>
      <c r="D331" s="4"/>
      <c r="E331" s="4"/>
      <c r="F331" s="4"/>
      <c r="G331" s="4"/>
      <c r="H331" s="4"/>
      <c r="I331" s="4"/>
      <c r="J331" s="4"/>
      <c r="K331" s="4"/>
      <c r="L331" s="4"/>
    </row>
    <row r="332" ht="15.75" customHeight="1">
      <c r="A332" s="4" t="str">
        <f>IFERROR(__xludf.DUMMYFUNCTION("""COMPUTED_VALUE"""),"Closing")</f>
        <v>Closing</v>
      </c>
      <c r="B332" s="4" t="str">
        <f>IFERROR(__xludf.DUMMYFUNCTION("""COMPUTED_VALUE"""),"SetClosingPreference")</f>
        <v>SetClosingPreference</v>
      </c>
      <c r="C332" s="4" t="str">
        <f>IFERROR(__xludf.DUMMYFUNCTION("""COMPUTED_VALUE"""),"1cplMQV_xOYFJ8djnU96c9xg2GdJ6on6353kFnCvM4ig")</f>
        <v>1cplMQV_xOYFJ8djnU96c9xg2GdJ6on6353kFnCvM4ig</v>
      </c>
      <c r="D332" s="4"/>
      <c r="E332" s="4"/>
      <c r="F332" s="4"/>
      <c r="G332" s="4"/>
      <c r="H332" s="4"/>
      <c r="I332" s="4"/>
      <c r="J332" s="4"/>
      <c r="K332" s="4"/>
      <c r="L332" s="4"/>
    </row>
    <row r="333" ht="15.75" customHeight="1">
      <c r="A333" s="4" t="str">
        <f>IFERROR(__xludf.DUMMYFUNCTION("""COMPUTED_VALUE"""),"CreateTransaction")</f>
        <v>CreateTransaction</v>
      </c>
      <c r="B333" s="4" t="str">
        <f>IFERROR(__xludf.DUMMYFUNCTION("""COMPUTED_VALUE"""),"SaveTransaction")</f>
        <v>SaveTransaction</v>
      </c>
      <c r="C333" s="4" t="str">
        <f>IFERROR(__xludf.DUMMYFUNCTION("""COMPUTED_VALUE"""),"Undefined")</f>
        <v>Undefined</v>
      </c>
      <c r="D333" s="4"/>
      <c r="E333" s="4"/>
      <c r="F333" s="4"/>
      <c r="G333" s="4"/>
      <c r="H333" s="4"/>
      <c r="I333" s="4"/>
      <c r="J333" s="4"/>
      <c r="K333" s="4"/>
      <c r="L333" s="4"/>
    </row>
    <row r="334" ht="15.75" customHeight="1">
      <c r="A334" s="4" t="str">
        <f>IFERROR(__xludf.DUMMYFUNCTION("""COMPUTED_VALUE"""),"Allocation")</f>
        <v>Allocation</v>
      </c>
      <c r="B334" s="4" t="str">
        <f>IFERROR(__xludf.DUMMYFUNCTION("""COMPUTED_VALUE"""),"EditUnallocatedGrid")</f>
        <v>EditUnallocatedGrid</v>
      </c>
      <c r="C334" s="4" t="str">
        <f>IFERROR(__xludf.DUMMYFUNCTION("""COMPUTED_VALUE"""),"1ZILedE8lKyjaVDMMusXelzpLvtoQCjqNJqFoXOUTp4I")</f>
        <v>1ZILedE8lKyjaVDMMusXelzpLvtoQCjqNJqFoXOUTp4I</v>
      </c>
      <c r="D334" s="4"/>
      <c r="E334" s="4"/>
      <c r="F334" s="4"/>
      <c r="G334" s="4"/>
      <c r="H334" s="4"/>
      <c r="I334" s="4"/>
      <c r="J334" s="4"/>
      <c r="K334" s="4"/>
      <c r="L334" s="4"/>
    </row>
    <row r="335" ht="15.75" customHeight="1">
      <c r="A335" s="4" t="str">
        <f>IFERROR(__xludf.DUMMYFUNCTION("""COMPUTED_VALUE"""),"Allocation")</f>
        <v>Allocation</v>
      </c>
      <c r="B335" s="4" t="str">
        <f>IFERROR(__xludf.DUMMYFUNCTION("""COMPUTED_VALUE"""),"EditAllocatedGrid")</f>
        <v>EditAllocatedGrid</v>
      </c>
      <c r="C335" s="4" t="str">
        <f>IFERROR(__xludf.DUMMYFUNCTION("""COMPUTED_VALUE"""),"19QWlDxD5eijFqhVbgkdX7QOLXkQ9taESRekiHpQgMcU")</f>
        <v>19QWlDxD5eijFqhVbgkdX7QOLXkQ9taESRekiHpQgMcU</v>
      </c>
      <c r="D335" s="4"/>
      <c r="E335" s="4"/>
      <c r="F335" s="4"/>
      <c r="G335" s="4"/>
      <c r="H335" s="4"/>
      <c r="I335" s="4"/>
      <c r="J335" s="4"/>
      <c r="K335" s="4"/>
      <c r="L335" s="4"/>
    </row>
    <row r="336" ht="15.75" customHeight="1">
      <c r="A336" s="4" t="str">
        <f>IFERROR(__xludf.DUMMYFUNCTION("""COMPUTED_VALUE"""),"PTT")</f>
        <v>PTT</v>
      </c>
      <c r="B336" s="4" t="str">
        <f>IFERROR(__xludf.DUMMYFUNCTION("""COMPUTED_VALUE"""),"SetPTTPreference")</f>
        <v>SetPTTPreference</v>
      </c>
      <c r="C336" s="4" t="str">
        <f>IFERROR(__xludf.DUMMYFUNCTION("""COMPUTED_VALUE"""),"1Baqp1iuVr1x4qDwfwIaTJvW6VzT4ZWfbjwZ_EWPzpzY")</f>
        <v>1Baqp1iuVr1x4qDwfwIaTJvW6VzT4ZWfbjwZ_EWPzpzY</v>
      </c>
      <c r="D336" s="4"/>
      <c r="E336" s="4"/>
      <c r="F336" s="4"/>
      <c r="G336" s="4"/>
      <c r="H336" s="4"/>
      <c r="I336" s="4"/>
      <c r="J336" s="4"/>
      <c r="K336" s="4"/>
      <c r="L336" s="4"/>
    </row>
    <row r="337" ht="15.75" customHeight="1">
      <c r="A337" s="4" t="str">
        <f>IFERROR(__xludf.DUMMYFUNCTION("""COMPUTED_VALUE"""),"PTT")</f>
        <v>PTT</v>
      </c>
      <c r="B337" s="4" t="str">
        <f>IFERROR(__xludf.DUMMYFUNCTION("""COMPUTED_VALUE"""),"SetLongShortPTTPreference")</f>
        <v>SetLongShortPTTPreference</v>
      </c>
      <c r="C337" s="4" t="str">
        <f>IFERROR(__xludf.DUMMYFUNCTION("""COMPUTED_VALUE"""),"1_lCMnn8iZS0bQEHszxmzf23ats0dIWEEckwO9fjPCeE")</f>
        <v>1_lCMnn8iZS0bQEHszxmzf23ats0dIWEEckwO9fjPCeE</v>
      </c>
      <c r="D337" s="4"/>
      <c r="E337" s="4"/>
      <c r="F337" s="4"/>
      <c r="G337" s="4"/>
      <c r="H337" s="4"/>
      <c r="I337" s="4"/>
      <c r="J337" s="4"/>
      <c r="K337" s="4"/>
      <c r="L337" s="4"/>
    </row>
    <row r="338" ht="15.75" customHeight="1">
      <c r="A338" s="4" t="str">
        <f>IFERROR(__xludf.DUMMYFUNCTION("""COMPUTED_VALUE"""),"TradingTicket")</f>
        <v>TradingTicket</v>
      </c>
      <c r="B338" s="4" t="str">
        <f>IFERROR(__xludf.DUMMYFUNCTION("""COMPUTED_VALUE"""),"VerifyTT")</f>
        <v>VerifyTT</v>
      </c>
      <c r="C338" s="4" t="str">
        <f>IFERROR(__xludf.DUMMYFUNCTION("""COMPUTED_VALUE"""),"13oTZo0AjsgJNWyNhqVmwouwYywOEGfdiPe94wMNxXqo")</f>
        <v>13oTZo0AjsgJNWyNhqVmwouwYywOEGfdiPe94wMNxXqo</v>
      </c>
      <c r="D338" s="4"/>
      <c r="E338" s="4"/>
      <c r="F338" s="4"/>
      <c r="G338" s="4"/>
      <c r="H338" s="4"/>
      <c r="I338" s="4"/>
      <c r="J338" s="4"/>
      <c r="K338" s="4"/>
      <c r="L338" s="4"/>
    </row>
    <row r="339" ht="15.75" customHeight="1">
      <c r="A339" s="4" t="str">
        <f>IFERROR(__xludf.DUMMYFUNCTION("""COMPUTED_VALUE"""),"Allocation")</f>
        <v>Allocation</v>
      </c>
      <c r="B339" s="4" t="str">
        <f>IFERROR(__xludf.DUMMYFUNCTION("""COMPUTED_VALUE"""),"SaveLayoutAllocatedGrid")</f>
        <v>SaveLayoutAllocatedGrid</v>
      </c>
      <c r="C339" s="4" t="str">
        <f>IFERROR(__xludf.DUMMYFUNCTION("""COMPUTED_VALUE"""),"1rucb3CcDlDDXwMhjXDHQWofStRKKouzl7PSb2_F37FA")</f>
        <v>1rucb3CcDlDDXwMhjXDHQWofStRKKouzl7PSb2_F37FA</v>
      </c>
      <c r="D339" s="4"/>
      <c r="E339" s="4"/>
      <c r="F339" s="4"/>
      <c r="G339" s="4"/>
      <c r="H339" s="4"/>
      <c r="I339" s="4"/>
      <c r="J339" s="4"/>
      <c r="K339" s="4"/>
      <c r="L339" s="4"/>
    </row>
    <row r="340" ht="15.75" customHeight="1">
      <c r="A340" s="4" t="str">
        <f>IFERROR(__xludf.DUMMYFUNCTION("""COMPUTED_VALUE"""),"Allocation")</f>
        <v>Allocation</v>
      </c>
      <c r="B340" s="4" t="str">
        <f>IFERROR(__xludf.DUMMYFUNCTION("""COMPUTED_VALUE"""),"SaveLayoutUnallocatedGrid")</f>
        <v>SaveLayoutUnallocatedGrid</v>
      </c>
      <c r="C340" s="4" t="str">
        <f>IFERROR(__xludf.DUMMYFUNCTION("""COMPUTED_VALUE"""),"1dixy47vGD4ZYjt9U_ih3BSiZbzPzvIDLtlafZIpeyC4")</f>
        <v>1dixy47vGD4ZYjt9U_ih3BSiZbzPzvIDLtlafZIpeyC4</v>
      </c>
      <c r="D340" s="4"/>
      <c r="E340" s="4"/>
      <c r="F340" s="4"/>
      <c r="G340" s="4"/>
      <c r="H340" s="4"/>
      <c r="I340" s="4"/>
      <c r="J340" s="4"/>
      <c r="K340" s="4"/>
      <c r="L340" s="4"/>
    </row>
    <row r="341" ht="15.75" customHeight="1">
      <c r="A341" s="4" t="str">
        <f>IFERROR(__xludf.DUMMYFUNCTION("""COMPUTED_VALUE"""),"Allocation")</f>
        <v>Allocation</v>
      </c>
      <c r="B341" s="4" t="str">
        <f>IFERROR(__xludf.DUMMYFUNCTION("""COMPUTED_VALUE"""),"SaveLayoutAllocationUI")</f>
        <v>SaveLayoutAllocationUI</v>
      </c>
      <c r="C341" s="4" t="str">
        <f>IFERROR(__xludf.DUMMYFUNCTION("""COMPUTED_VALUE"""),"1S-6rMK11n-3mFrONpo_U4rlR4O69j6bQAGuGNcrrS6A")</f>
        <v>1S-6rMK11n-3mFrONpo_U4rlR4O69j6bQAGuGNcrrS6A</v>
      </c>
      <c r="D341" s="4"/>
      <c r="E341" s="4"/>
      <c r="F341" s="4"/>
      <c r="G341" s="4"/>
      <c r="H341" s="4"/>
      <c r="I341" s="4"/>
      <c r="J341" s="4"/>
      <c r="K341" s="4"/>
      <c r="L341" s="4"/>
    </row>
    <row r="342" ht="15.75" customHeight="1">
      <c r="A342" s="4" t="str">
        <f>IFERROR(__xludf.DUMMYFUNCTION("""COMPUTED_VALUE"""),"Allocation")</f>
        <v>Allocation</v>
      </c>
      <c r="B342" s="4" t="str">
        <f>IFERROR(__xludf.DUMMYFUNCTION("""COMPUTED_VALUE"""),"ClearFiltersAllocatedGrid")</f>
        <v>ClearFiltersAllocatedGrid</v>
      </c>
      <c r="C342" s="4" t="str">
        <f>IFERROR(__xludf.DUMMYFUNCTION("""COMPUTED_VALUE"""),"Undefined")</f>
        <v>Undefined</v>
      </c>
      <c r="D342" s="4"/>
      <c r="E342" s="4"/>
      <c r="F342" s="4"/>
      <c r="G342" s="4"/>
      <c r="H342" s="4"/>
      <c r="I342" s="4"/>
      <c r="J342" s="4"/>
      <c r="K342" s="4"/>
      <c r="L342" s="4"/>
    </row>
    <row r="343" ht="15.75" customHeight="1">
      <c r="A343" s="4" t="str">
        <f>IFERROR(__xludf.DUMMYFUNCTION("""COMPUTED_VALUE"""),"Allocation")</f>
        <v>Allocation</v>
      </c>
      <c r="B343" s="4" t="str">
        <f>IFERROR(__xludf.DUMMYFUNCTION("""COMPUTED_VALUE"""),"ClearFiltersUnallocatedGrid")</f>
        <v>ClearFiltersUnallocatedGrid</v>
      </c>
      <c r="C343" s="4" t="str">
        <f>IFERROR(__xludf.DUMMYFUNCTION("""COMPUTED_VALUE"""),"Undefined")</f>
        <v>Undefined</v>
      </c>
      <c r="D343" s="4"/>
      <c r="E343" s="4"/>
      <c r="F343" s="4"/>
      <c r="G343" s="4"/>
      <c r="H343" s="4"/>
      <c r="I343" s="4"/>
      <c r="J343" s="4"/>
      <c r="K343" s="4"/>
      <c r="L343" s="4"/>
    </row>
    <row r="344" ht="15.75" customHeight="1">
      <c r="A344" s="4" t="str">
        <f>IFERROR(__xludf.DUMMYFUNCTION("""COMPUTED_VALUE"""),"Allocation")</f>
        <v>Allocation</v>
      </c>
      <c r="B344" s="4" t="str">
        <f>IFERROR(__xludf.DUMMYFUNCTION("""COMPUTED_VALUE"""),"VerifyLayoutAllocatedGrid")</f>
        <v>VerifyLayoutAllocatedGrid</v>
      </c>
      <c r="C344" s="4" t="str">
        <f>IFERROR(__xludf.DUMMYFUNCTION("""COMPUTED_VALUE"""),"11nzl66L5rtvJi9vTz487iVKURd3BfoYcknfycWFT-fU")</f>
        <v>11nzl66L5rtvJi9vTz487iVKURd3BfoYcknfycWFT-fU</v>
      </c>
      <c r="D344" s="4"/>
      <c r="E344" s="4"/>
      <c r="F344" s="4"/>
      <c r="G344" s="4"/>
      <c r="H344" s="4"/>
      <c r="I344" s="4"/>
      <c r="J344" s="4"/>
      <c r="K344" s="4"/>
      <c r="L344" s="4"/>
    </row>
    <row r="345" ht="15.75" customHeight="1">
      <c r="A345" s="4" t="str">
        <f>IFERROR(__xludf.DUMMYFUNCTION("""COMPUTED_VALUE"""),"Allocation")</f>
        <v>Allocation</v>
      </c>
      <c r="B345" s="4" t="str">
        <f>IFERROR(__xludf.DUMMYFUNCTION("""COMPUTED_VALUE"""),"VerifyLayoutUnallocatedGrid")</f>
        <v>VerifyLayoutUnallocatedGrid</v>
      </c>
      <c r="C345" s="4" t="str">
        <f>IFERROR(__xludf.DUMMYFUNCTION("""COMPUTED_VALUE"""),"1dD8vrEBSx_3diJl50IJ7yG6cl8wP386vXzl21YBIEPg")</f>
        <v>1dD8vrEBSx_3diJl50IJ7yG6cl8wP386vXzl21YBIEPg</v>
      </c>
      <c r="D345" s="4"/>
      <c r="E345" s="4"/>
      <c r="F345" s="4"/>
      <c r="G345" s="4"/>
      <c r="H345" s="4"/>
      <c r="I345" s="4"/>
      <c r="J345" s="4"/>
      <c r="K345" s="4"/>
      <c r="L345" s="4"/>
    </row>
    <row r="346" ht="15.75" customHeight="1">
      <c r="A346" s="4" t="str">
        <f>IFERROR(__xludf.DUMMYFUNCTION("""COMPUTED_VALUE"""),"DailyValuation")</f>
        <v>DailyValuation</v>
      </c>
      <c r="B346" s="4" t="str">
        <f>IFERROR(__xludf.DUMMYFUNCTION("""COMPUTED_VALUE"""),"UpdateForexConversionMonthly")</f>
        <v>UpdateForexConversionMonthly</v>
      </c>
      <c r="C346" s="4" t="str">
        <f>IFERROR(__xludf.DUMMYFUNCTION("""COMPUTED_VALUE"""),"1MCpJWwFXEogB1VlqUXy1Ww954nX83LPwb4Qy6-fZMp8")</f>
        <v>1MCpJWwFXEogB1VlqUXy1Ww954nX83LPwb4Qy6-fZMp8</v>
      </c>
      <c r="D346" s="4"/>
      <c r="E346" s="4"/>
      <c r="F346" s="4"/>
      <c r="G346" s="4"/>
      <c r="H346" s="4"/>
      <c r="I346" s="4"/>
      <c r="J346" s="4"/>
      <c r="K346" s="4"/>
      <c r="L346" s="4"/>
    </row>
    <row r="347" ht="15.75" customHeight="1">
      <c r="A347" s="4" t="str">
        <f>IFERROR(__xludf.DUMMYFUNCTION("""COMPUTED_VALUE"""),"GeneralLedger")</f>
        <v>GeneralLedger</v>
      </c>
      <c r="B347" s="4" t="str">
        <f>IFERROR(__xludf.DUMMYFUNCTION("""COMPUTED_VALUE"""),"SaveTransaction")</f>
        <v>SaveTransaction</v>
      </c>
      <c r="C347" s="4" t="str">
        <f>IFERROR(__xludf.DUMMYFUNCTION("""COMPUTED_VALUE"""),"Undefined")</f>
        <v>Undefined</v>
      </c>
      <c r="D347" s="4"/>
      <c r="E347" s="4"/>
      <c r="F347" s="4"/>
      <c r="G347" s="4"/>
      <c r="H347" s="4"/>
      <c r="I347" s="4"/>
      <c r="J347" s="4"/>
      <c r="K347" s="4"/>
      <c r="L347" s="4"/>
    </row>
    <row r="348" ht="15.75" customHeight="1">
      <c r="A348" s="4" t="str">
        <f>IFERROR(__xludf.DUMMYFUNCTION("""COMPUTED_VALUE"""),"DailyValuation")</f>
        <v>DailyValuation</v>
      </c>
      <c r="B348" s="4" t="str">
        <f>IFERROR(__xludf.DUMMYFUNCTION("""COMPUTED_VALUE"""),"UpdateMarkPriceMonthly")</f>
        <v>UpdateMarkPriceMonthly</v>
      </c>
      <c r="C348" s="4" t="str">
        <f>IFERROR(__xludf.DUMMYFUNCTION("""COMPUTED_VALUE"""),"1gKeBaYxaZTHXY5r3gp7mJKZhpLEFv3B0eTcgmwO2faY")</f>
        <v>1gKeBaYxaZTHXY5r3gp7mJKZhpLEFv3B0eTcgmwO2faY</v>
      </c>
      <c r="D348" s="4"/>
      <c r="E348" s="4"/>
      <c r="F348" s="4"/>
      <c r="G348" s="4"/>
      <c r="H348" s="4"/>
      <c r="I348" s="4"/>
      <c r="J348" s="4"/>
      <c r="K348" s="4"/>
      <c r="L348" s="4"/>
    </row>
    <row r="349" ht="15.75" customHeight="1">
      <c r="A349" s="4" t="str">
        <f>IFERROR(__xludf.DUMMYFUNCTION("""COMPUTED_VALUE"""),"Allocation")</f>
        <v>Allocation</v>
      </c>
      <c r="B349" s="4" t="str">
        <f>IFERROR(__xludf.DUMMYFUNCTION("""COMPUTED_VALUE"""),"CleanUp")</f>
        <v>CleanUp</v>
      </c>
      <c r="C349" s="4" t="str">
        <f>IFERROR(__xludf.DUMMYFUNCTION("""COMPUTED_VALUE"""),"1gjchR0Aowyhj6YMJ5EMxZmG6NvilqGkSR93seXN-MEo")</f>
        <v>1gjchR0Aowyhj6YMJ5EMxZmG6NvilqGkSR93seXN-MEo</v>
      </c>
      <c r="D349" s="4"/>
      <c r="E349" s="4"/>
      <c r="F349" s="4"/>
      <c r="G349" s="4"/>
      <c r="H349" s="4"/>
      <c r="I349" s="4"/>
      <c r="J349" s="4"/>
      <c r="K349" s="4"/>
      <c r="L349" s="4"/>
    </row>
    <row r="350" ht="15.75" customHeight="1">
      <c r="A350" s="4" t="str">
        <f>IFERROR(__xludf.DUMMYFUNCTION("""COMPUTED_VALUE"""),"Allocation")</f>
        <v>Allocation</v>
      </c>
      <c r="B350" s="4" t="str">
        <f>IFERROR(__xludf.DUMMYFUNCTION("""COMPUTED_VALUE"""),"CheckAllocatedTaxlots")</f>
        <v>CheckAllocatedTaxlots</v>
      </c>
      <c r="C350" s="4" t="str">
        <f>IFERROR(__xludf.DUMMYFUNCTION("""COMPUTED_VALUE"""),"1v_Yhw10id_6Cs6P4bR6iDeu8RDRjtyjgz19lxjEw6Ng")</f>
        <v>1v_Yhw10id_6Cs6P4bR6iDeu8RDRjtyjgz19lxjEw6Ng</v>
      </c>
      <c r="D350" s="4"/>
      <c r="E350" s="4"/>
      <c r="F350" s="4"/>
      <c r="G350" s="4"/>
      <c r="H350" s="4"/>
      <c r="I350" s="4"/>
      <c r="J350" s="4"/>
      <c r="K350" s="4"/>
      <c r="L350" s="4"/>
    </row>
    <row r="351" ht="15.75" customHeight="1">
      <c r="A351" s="4" t="str">
        <f>IFERROR(__xludf.DUMMYFUNCTION("""COMPUTED_VALUE"""),"Closing")</f>
        <v>Closing</v>
      </c>
      <c r="B351" s="4" t="str">
        <f>IFERROR(__xludf.DUMMYFUNCTION("""COMPUTED_VALUE"""),"EditTradeUnexpiredUnsettled")</f>
        <v>EditTradeUnexpiredUnsettled</v>
      </c>
      <c r="C351" s="4" t="str">
        <f>IFERROR(__xludf.DUMMYFUNCTION("""COMPUTED_VALUE"""),"1Mk2JLd9CmSbDVOmTJu58VWjrwhxNKoopJHemupq4qBs")</f>
        <v>1Mk2JLd9CmSbDVOmTJu58VWjrwhxNKoopJHemupq4qBs</v>
      </c>
      <c r="D351" s="4"/>
      <c r="E351" s="4"/>
      <c r="F351" s="4"/>
      <c r="G351" s="4"/>
      <c r="H351" s="4"/>
      <c r="I351" s="4"/>
      <c r="J351" s="4"/>
      <c r="K351" s="4"/>
      <c r="L351" s="4"/>
    </row>
    <row r="352" ht="15.75" customHeight="1">
      <c r="A352" s="4" t="str">
        <f>IFERROR(__xludf.DUMMYFUNCTION("""COMPUTED_VALUE"""),"ThirdParty")</f>
        <v>ThirdParty</v>
      </c>
      <c r="B352" s="4" t="str">
        <f>IFERROR(__xludf.DUMMYFUNCTION("""COMPUTED_VALUE"""),"VerifyThirdPartyView")</f>
        <v>VerifyThirdPartyView</v>
      </c>
      <c r="C352" s="4" t="str">
        <f>IFERROR(__xludf.DUMMYFUNCTION("""COMPUTED_VALUE"""),"118wRv0r1kNYT6nexs-UFGKd_eWq769gwdBDpcAfrJMc")</f>
        <v>118wRv0r1kNYT6nexs-UFGKd_eWq769gwdBDpcAfrJMc</v>
      </c>
      <c r="D352" s="4"/>
      <c r="E352" s="4"/>
      <c r="F352" s="4"/>
      <c r="G352" s="4"/>
      <c r="H352" s="4"/>
      <c r="I352" s="4"/>
      <c r="J352" s="4"/>
      <c r="K352" s="4"/>
      <c r="L352" s="4"/>
    </row>
    <row r="353" ht="15.75" customHeight="1">
      <c r="A353" s="4" t="str">
        <f>IFERROR(__xludf.DUMMYFUNCTION("""COMPUTED_VALUE"""),"Compliance")</f>
        <v>Compliance</v>
      </c>
      <c r="B353" s="4" t="str">
        <f>IFERROR(__xludf.DUMMYFUNCTION("""COMPUTED_VALUE"""),"CheckCompliance")</f>
        <v>CheckCompliance</v>
      </c>
      <c r="C353" s="4" t="str">
        <f>IFERROR(__xludf.DUMMYFUNCTION("""COMPUTED_VALUE"""),"1SsqNYuLQYnAQojY1ScqgFlAVNPt1c0Du5CgtRfS4XTs")</f>
        <v>1SsqNYuLQYnAQojY1ScqgFlAVNPt1c0Du5CgtRfS4XTs</v>
      </c>
      <c r="D353" s="4"/>
      <c r="E353" s="4"/>
      <c r="F353" s="4"/>
      <c r="G353" s="4"/>
      <c r="H353" s="4"/>
      <c r="I353" s="4"/>
      <c r="J353" s="4"/>
      <c r="K353" s="4"/>
      <c r="L353" s="4"/>
    </row>
    <row r="354" ht="15.75" customHeight="1">
      <c r="A354" s="4" t="str">
        <f>IFERROR(__xludf.DUMMYFUNCTION("""COMPUTED_VALUE"""),"Compliance")</f>
        <v>Compliance</v>
      </c>
      <c r="B354" s="4" t="str">
        <f>IFERROR(__xludf.DUMMYFUNCTION("""COMPUTED_VALUE"""),"VerifyAccountDivisorWindow")</f>
        <v>VerifyAccountDivisorWindow</v>
      </c>
      <c r="C354" s="4" t="str">
        <f>IFERROR(__xludf.DUMMYFUNCTION("""COMPUTED_VALUE"""),"1nWJ7MmdctU6UHdtDMBx4cO0Za1AVHgWqATvU2HaIrN0")</f>
        <v>1nWJ7MmdctU6UHdtDMBx4cO0Za1AVHgWqATvU2HaIrN0</v>
      </c>
      <c r="D354" s="4"/>
      <c r="E354" s="4"/>
      <c r="F354" s="4"/>
      <c r="G354" s="4"/>
      <c r="H354" s="4"/>
      <c r="I354" s="4"/>
      <c r="J354" s="4"/>
      <c r="K354" s="4"/>
      <c r="L354" s="4"/>
    </row>
    <row r="355" ht="15.75" customHeight="1">
      <c r="A355" s="4" t="str">
        <f>IFERROR(__xludf.DUMMYFUNCTION("""COMPUTED_VALUE"""),"Compliance")</f>
        <v>Compliance</v>
      </c>
      <c r="B355" s="4" t="str">
        <f>IFERROR(__xludf.DUMMYFUNCTION("""COMPUTED_VALUE"""),"VerifyAccountSymbolDivisorWindow")</f>
        <v>VerifyAccountSymbolDivisorWindow</v>
      </c>
      <c r="C355" s="4" t="str">
        <f>IFERROR(__xludf.DUMMYFUNCTION("""COMPUTED_VALUE"""),"1XEkR9NvAEC2bh6wfHaqLzZiNwp5p6N_DuThzwLCpi_k")</f>
        <v>1XEkR9NvAEC2bh6wfHaqLzZiNwp5p6N_DuThzwLCpi_k</v>
      </c>
      <c r="D355" s="4"/>
      <c r="E355" s="4"/>
      <c r="F355" s="4"/>
      <c r="G355" s="4"/>
      <c r="H355" s="4"/>
      <c r="I355" s="4"/>
      <c r="J355" s="4"/>
      <c r="K355" s="4"/>
      <c r="L355" s="4"/>
    </row>
    <row r="356" ht="15.75" customHeight="1">
      <c r="A356" s="4" t="str">
        <f>IFERROR(__xludf.DUMMYFUNCTION("""COMPUTED_VALUE"""),"Compliance")</f>
        <v>Compliance</v>
      </c>
      <c r="B356" s="4" t="str">
        <f>IFERROR(__xludf.DUMMYFUNCTION("""COMPUTED_VALUE"""),"VerifyAggregationAccountSymbolWithNav")</f>
        <v>VerifyAggregationAccountSymbolWithNav</v>
      </c>
      <c r="C356" s="4" t="str">
        <f>IFERROR(__xludf.DUMMYFUNCTION("""COMPUTED_VALUE"""),"1wa6cXAbpdMTz-hsF4yUayu1Tnpnl9Kbq__2Vi33WjNM")</f>
        <v>1wa6cXAbpdMTz-hsF4yUayu1Tnpnl9Kbq__2Vi33WjNM</v>
      </c>
      <c r="D356" s="4"/>
      <c r="E356" s="4"/>
      <c r="F356" s="4"/>
      <c r="G356" s="4"/>
      <c r="H356" s="4"/>
      <c r="I356" s="4"/>
      <c r="J356" s="4"/>
      <c r="K356" s="4"/>
      <c r="L356" s="4"/>
    </row>
    <row r="357" ht="15.75" customHeight="1">
      <c r="A357" s="4" t="str">
        <f>IFERROR(__xludf.DUMMYFUNCTION("""COMPUTED_VALUE"""),"Compliance")</f>
        <v>Compliance</v>
      </c>
      <c r="B357" s="4" t="str">
        <f>IFERROR(__xludf.DUMMYFUNCTION("""COMPUTED_VALUE"""),"VerifyAggregationAccountWithNav")</f>
        <v>VerifyAggregationAccountWithNav</v>
      </c>
      <c r="C357" s="4" t="str">
        <f>IFERROR(__xludf.DUMMYFUNCTION("""COMPUTED_VALUE"""),"1_rVRnADrf7Ggj_HNj9UdEOl7VoPKVA5LDHVnB3Llwac")</f>
        <v>1_rVRnADrf7Ggj_HNj9UdEOl7VoPKVA5LDHVnB3Llwac</v>
      </c>
      <c r="D357" s="4"/>
      <c r="E357" s="4"/>
      <c r="F357" s="4"/>
      <c r="G357" s="4"/>
      <c r="H357" s="4"/>
      <c r="I357" s="4"/>
      <c r="J357" s="4"/>
      <c r="K357" s="4"/>
      <c r="L357" s="4"/>
    </row>
    <row r="358" ht="15.75" customHeight="1">
      <c r="A358" s="4" t="str">
        <f>IFERROR(__xludf.DUMMYFUNCTION("""COMPUTED_VALUE"""),"Compliance")</f>
        <v>Compliance</v>
      </c>
      <c r="B358" s="4" t="str">
        <f>IFERROR(__xludf.DUMMYFUNCTION("""COMPUTED_VALUE"""),"VerifyAggregationMasterFundSymbolWithNav")</f>
        <v>VerifyAggregationMasterFundSymbolWithNav</v>
      </c>
      <c r="C358" s="4" t="str">
        <f>IFERROR(__xludf.DUMMYFUNCTION("""COMPUTED_VALUE"""),"1v9DEhh9RUUR50m2cY_9XHSOZSpjev0D_FC7YxL6Dx-M")</f>
        <v>1v9DEhh9RUUR50m2cY_9XHSOZSpjev0D_FC7YxL6Dx-M</v>
      </c>
      <c r="D358" s="4"/>
      <c r="E358" s="4"/>
      <c r="F358" s="4"/>
      <c r="G358" s="4"/>
      <c r="H358" s="4"/>
      <c r="I358" s="4"/>
      <c r="J358" s="4"/>
      <c r="K358" s="4"/>
      <c r="L358" s="4"/>
    </row>
    <row r="359" ht="15.75" customHeight="1">
      <c r="A359" s="4" t="str">
        <f>IFERROR(__xludf.DUMMYFUNCTION("""COMPUTED_VALUE"""),"Compliance")</f>
        <v>Compliance</v>
      </c>
      <c r="B359" s="4" t="str">
        <f>IFERROR(__xludf.DUMMYFUNCTION("""COMPUTED_VALUE"""),"VerifyAggregationMasterFundUnderlyingSymbolWithNav")</f>
        <v>VerifyAggregationMasterFundUnderlyingSymbolWithNav</v>
      </c>
      <c r="C359" s="4" t="str">
        <f>IFERROR(__xludf.DUMMYFUNCTION("""COMPUTED_VALUE"""),"1_l1dXRaSvBu8xSpL_0LuTGDpZT2uwv7HrTTqPpX1zh0")</f>
        <v>1_l1dXRaSvBu8xSpL_0LuTGDpZT2uwv7HrTTqPpX1zh0</v>
      </c>
      <c r="D359" s="4"/>
      <c r="E359" s="4"/>
      <c r="F359" s="4"/>
      <c r="G359" s="4"/>
      <c r="H359" s="4"/>
      <c r="I359" s="4"/>
      <c r="J359" s="4"/>
      <c r="K359" s="4"/>
      <c r="L359" s="4"/>
    </row>
    <row r="360" ht="15.75" customHeight="1">
      <c r="A360" s="4" t="str">
        <f>IFERROR(__xludf.DUMMYFUNCTION("""COMPUTED_VALUE"""),"Compliance")</f>
        <v>Compliance</v>
      </c>
      <c r="B360" s="4" t="str">
        <f>IFERROR(__xludf.DUMMYFUNCTION("""COMPUTED_VALUE"""),"VerifyAggregationMasterFundWithNav")</f>
        <v>VerifyAggregationMasterFundWithNav</v>
      </c>
      <c r="C360" s="4" t="str">
        <f>IFERROR(__xludf.DUMMYFUNCTION("""COMPUTED_VALUE"""),"1bukvmw7uDn5EWU749u99t380wnpilFiwB3NEfjqNUko")</f>
        <v>1bukvmw7uDn5EWU749u99t380wnpilFiwB3NEfjqNUko</v>
      </c>
      <c r="D360" s="4"/>
      <c r="E360" s="4"/>
      <c r="F360" s="4"/>
      <c r="G360" s="4"/>
      <c r="H360" s="4"/>
      <c r="I360" s="4"/>
      <c r="J360" s="4"/>
      <c r="K360" s="4"/>
      <c r="L360" s="4"/>
    </row>
    <row r="361" ht="15.75" customHeight="1">
      <c r="A361" s="4" t="str">
        <f>IFERROR(__xludf.DUMMYFUNCTION("""COMPUTED_VALUE"""),"Compliance")</f>
        <v>Compliance</v>
      </c>
      <c r="B361" s="4" t="str">
        <f>IFERROR(__xludf.DUMMYFUNCTION("""COMPUTED_VALUE"""),"VerifyAggregationSectorWithNav")</f>
        <v>VerifyAggregationSectorWithNav</v>
      </c>
      <c r="C361" s="4" t="str">
        <f>IFERROR(__xludf.DUMMYFUNCTION("""COMPUTED_VALUE"""),"1Fv-QPc8yv7ZaNdT1FlDCX7eIaQQMAYX7KS5-P986RCQ")</f>
        <v>1Fv-QPc8yv7ZaNdT1FlDCX7eIaQQMAYX7KS5-P986RCQ</v>
      </c>
      <c r="D361" s="4"/>
      <c r="E361" s="4"/>
      <c r="F361" s="4"/>
      <c r="G361" s="4"/>
      <c r="H361" s="4"/>
      <c r="I361" s="4"/>
      <c r="J361" s="4"/>
      <c r="K361" s="4"/>
      <c r="L361" s="4"/>
    </row>
    <row r="362" ht="15.75" customHeight="1">
      <c r="A362" s="4" t="str">
        <f>IFERROR(__xludf.DUMMYFUNCTION("""COMPUTED_VALUE"""),"Compliance")</f>
        <v>Compliance</v>
      </c>
      <c r="B362" s="4" t="str">
        <f>IFERROR(__xludf.DUMMYFUNCTION("""COMPUTED_VALUE"""),"VerifyAggregationUnderlyingSymbolWithNav")</f>
        <v>VerifyAggregationUnderlyingSymbolWithNav</v>
      </c>
      <c r="C362" s="4" t="str">
        <f>IFERROR(__xludf.DUMMYFUNCTION("""COMPUTED_VALUE"""),"1lb3zBRstb1VKpx0rM4A2DDz_IQHBTzL0OUyXXa4H2AU")</f>
        <v>1lb3zBRstb1VKpx0rM4A2DDz_IQHBTzL0OUyXXa4H2AU</v>
      </c>
      <c r="D362" s="4"/>
      <c r="E362" s="4"/>
      <c r="F362" s="4"/>
      <c r="G362" s="4"/>
      <c r="H362" s="4"/>
      <c r="I362" s="4"/>
      <c r="J362" s="4"/>
      <c r="K362" s="4"/>
      <c r="L362" s="4"/>
    </row>
    <row r="363" ht="15.75" customHeight="1">
      <c r="A363" s="4" t="str">
        <f>IFERROR(__xludf.DUMMYFUNCTION("""COMPUTED_VALUE"""),"Compliance")</f>
        <v>Compliance</v>
      </c>
      <c r="B363" s="4" t="str">
        <f>IFERROR(__xludf.DUMMYFUNCTION("""COMPUTED_VALUE"""),"VerifyAuecWindow")</f>
        <v>VerifyAuecWindow</v>
      </c>
      <c r="C363" s="4" t="str">
        <f>IFERROR(__xludf.DUMMYFUNCTION("""COMPUTED_VALUE"""),"1EhWPzRJ5WEwpWzc-SX3LVcLgYlPDIKzkNS-LD2bNahk")</f>
        <v>1EhWPzRJ5WEwpWzc-SX3LVcLgYlPDIKzkNS-LD2bNahk</v>
      </c>
      <c r="D363" s="4"/>
      <c r="E363" s="4"/>
      <c r="F363" s="4"/>
      <c r="G363" s="4"/>
      <c r="H363" s="4"/>
      <c r="I363" s="4"/>
      <c r="J363" s="4"/>
      <c r="K363" s="4"/>
      <c r="L363" s="4"/>
    </row>
    <row r="364" ht="15.75" customHeight="1">
      <c r="A364" s="4" t="str">
        <f>IFERROR(__xludf.DUMMYFUNCTION("""COMPUTED_VALUE"""),"Compliance")</f>
        <v>Compliance</v>
      </c>
      <c r="B364" s="4" t="str">
        <f>IFERROR(__xludf.DUMMYFUNCTION("""COMPUTED_VALUE"""),"VerifyBetaWindow")</f>
        <v>VerifyBetaWindow</v>
      </c>
      <c r="C364" s="4" t="str">
        <f>IFERROR(__xludf.DUMMYFUNCTION("""COMPUTED_VALUE"""),"1vnD8kKYEQArpqSXLRpqKdW0bWfXfMAye26LmcRtOGI4")</f>
        <v>1vnD8kKYEQArpqSXLRpqKdW0bWfXfMAye26LmcRtOGI4</v>
      </c>
      <c r="D364" s="4"/>
      <c r="E364" s="4"/>
      <c r="F364" s="4"/>
      <c r="G364" s="4"/>
      <c r="H364" s="4"/>
      <c r="I364" s="4"/>
      <c r="J364" s="4"/>
      <c r="K364" s="4"/>
      <c r="L364" s="4"/>
    </row>
    <row r="365" ht="15.75" customHeight="1">
      <c r="A365" s="4" t="str">
        <f>IFERROR(__xludf.DUMMYFUNCTION("""COMPUTED_VALUE"""),"Compliance")</f>
        <v>Compliance</v>
      </c>
      <c r="B365" s="4" t="str">
        <f>IFERROR(__xludf.DUMMYFUNCTION("""COMPUTED_VALUE"""),"VerifyCustomSymbolDataWindow")</f>
        <v>VerifyCustomSymbolDataWindow</v>
      </c>
      <c r="C365" s="4" t="str">
        <f>IFERROR(__xludf.DUMMYFUNCTION("""COMPUTED_VALUE"""),"1xency978Yhb2ZeNxG-Gp8xcJ8QjKX9kP348vEmQ2gwA")</f>
        <v>1xency978Yhb2ZeNxG-Gp8xcJ8QjKX9kP348vEmQ2gwA</v>
      </c>
      <c r="D365" s="4"/>
      <c r="E365" s="4"/>
      <c r="F365" s="4"/>
      <c r="G365" s="4"/>
      <c r="H365" s="4"/>
      <c r="I365" s="4"/>
      <c r="J365" s="4"/>
      <c r="K365" s="4"/>
      <c r="L365" s="4"/>
    </row>
    <row r="366" ht="15.75" customHeight="1">
      <c r="A366" s="4" t="str">
        <f>IFERROR(__xludf.DUMMYFUNCTION("""COMPUTED_VALUE"""),"Compliance")</f>
        <v>Compliance</v>
      </c>
      <c r="B366" s="4" t="str">
        <f>IFERROR(__xludf.DUMMYFUNCTION("""COMPUTED_VALUE"""),"VerifyDayEndCashAccountWindow")</f>
        <v>VerifyDayEndCashAccountWindow</v>
      </c>
      <c r="C366" s="4" t="str">
        <f>IFERROR(__xludf.DUMMYFUNCTION("""COMPUTED_VALUE"""),"1qPMFAgMRzEYcCWAk5IayLOH_U1htslpfkeJMVPWbpLQ")</f>
        <v>1qPMFAgMRzEYcCWAk5IayLOH_U1htslpfkeJMVPWbpLQ</v>
      </c>
      <c r="D366" s="4"/>
      <c r="E366" s="4"/>
      <c r="F366" s="4"/>
      <c r="G366" s="4"/>
      <c r="H366" s="4"/>
      <c r="I366" s="4"/>
      <c r="J366" s="4"/>
      <c r="K366" s="4"/>
      <c r="L366" s="4"/>
    </row>
    <row r="367" ht="15.75" customHeight="1">
      <c r="A367" s="4" t="str">
        <f>IFERROR(__xludf.DUMMYFUNCTION("""COMPUTED_VALUE"""),"Compliance")</f>
        <v>Compliance</v>
      </c>
      <c r="B367" s="4" t="str">
        <f>IFERROR(__xludf.DUMMYFUNCTION("""COMPUTED_VALUE"""),"VerifyDbNavWindow")</f>
        <v>VerifyDbNavWindow</v>
      </c>
      <c r="C367" s="4" t="str">
        <f>IFERROR(__xludf.DUMMYFUNCTION("""COMPUTED_VALUE"""),"1KIH7eWcCPPCZqRVbqOvdvQQatjP_INfvJUbzjGTz7fE")</f>
        <v>1KIH7eWcCPPCZqRVbqOvdvQQatjP_INfvJUbzjGTz7fE</v>
      </c>
      <c r="D367" s="4"/>
      <c r="E367" s="4"/>
      <c r="F367" s="4"/>
      <c r="G367" s="4"/>
      <c r="H367" s="4"/>
      <c r="I367" s="4"/>
      <c r="J367" s="4"/>
      <c r="K367" s="4"/>
      <c r="L367" s="4"/>
    </row>
    <row r="368" ht="15.75" customHeight="1">
      <c r="A368" s="4" t="str">
        <f>IFERROR(__xludf.DUMMYFUNCTION("""COMPUTED_VALUE"""),"Compliance")</f>
        <v>Compliance</v>
      </c>
      <c r="B368" s="4" t="str">
        <f>IFERROR(__xludf.DUMMYFUNCTION("""COMPUTED_VALUE"""),"VerifyGlobalDivisorWindow")</f>
        <v>VerifyGlobalDivisorWindow</v>
      </c>
      <c r="C368" s="4" t="str">
        <f>IFERROR(__xludf.DUMMYFUNCTION("""COMPUTED_VALUE"""),"11KuCDI7q37RrZjNhVRB_sRU4JrklHajDN-nvioCXIow")</f>
        <v>11KuCDI7q37RrZjNhVRB_sRU4JrklHajDN-nvioCXIow</v>
      </c>
      <c r="D368" s="4"/>
      <c r="E368" s="4"/>
      <c r="F368" s="4"/>
      <c r="G368" s="4"/>
      <c r="H368" s="4"/>
      <c r="I368" s="4"/>
      <c r="J368" s="4"/>
      <c r="K368" s="4"/>
      <c r="L368" s="4"/>
    </row>
    <row r="369" ht="15.75" customHeight="1">
      <c r="A369" s="4" t="str">
        <f>IFERROR(__xludf.DUMMYFUNCTION("""COMPUTED_VALUE"""),"Compliance")</f>
        <v>Compliance</v>
      </c>
      <c r="B369" s="4" t="str">
        <f>IFERROR(__xludf.DUMMYFUNCTION("""COMPUTED_VALUE"""),"VerifyPmCalculationPreferenceWindow")</f>
        <v>VerifyPmCalculationPreferenceWindow</v>
      </c>
      <c r="C369" s="4" t="str">
        <f>IFERROR(__xludf.DUMMYFUNCTION("""COMPUTED_VALUE"""),"1tHuAZIaBkKFsAt4wQU_f2q5uJEGZ6DbWQnO08Rx4g5Y")</f>
        <v>1tHuAZIaBkKFsAt4wQU_f2q5uJEGZ6DbWQnO08Rx4g5Y</v>
      </c>
      <c r="D369" s="4"/>
      <c r="E369" s="4"/>
      <c r="F369" s="4"/>
      <c r="G369" s="4"/>
      <c r="H369" s="4"/>
      <c r="I369" s="4"/>
      <c r="J369" s="4"/>
      <c r="K369" s="4"/>
      <c r="L369" s="4"/>
    </row>
    <row r="370" ht="15.75" customHeight="1">
      <c r="A370" s="4" t="str">
        <f>IFERROR(__xludf.DUMMYFUNCTION("""COMPUTED_VALUE"""),"Compliance")</f>
        <v>Compliance</v>
      </c>
      <c r="B370" s="4" t="str">
        <f>IFERROR(__xludf.DUMMYFUNCTION("""COMPUTED_VALUE"""),"VerifyRowCalculationBaseWindow")</f>
        <v>VerifyRowCalculationBaseWindow</v>
      </c>
      <c r="C370" s="4" t="str">
        <f>IFERROR(__xludf.DUMMYFUNCTION("""COMPUTED_VALUE"""),"1LloNg0BgixU9tpWx4HUT43bl1SpVE4381HnFlsajvaQ")</f>
        <v>1LloNg0BgixU9tpWx4HUT43bl1SpVE4381HnFlsajvaQ</v>
      </c>
      <c r="D370" s="4"/>
      <c r="E370" s="4"/>
      <c r="F370" s="4"/>
      <c r="G370" s="4"/>
      <c r="H370" s="4"/>
      <c r="I370" s="4"/>
      <c r="J370" s="4"/>
      <c r="K370" s="4"/>
      <c r="L370" s="4"/>
    </row>
    <row r="371" ht="15.75" customHeight="1">
      <c r="A371" s="4" t="str">
        <f>IFERROR(__xludf.DUMMYFUNCTION("""COMPUTED_VALUE"""),"Compliance")</f>
        <v>Compliance</v>
      </c>
      <c r="B371" s="4" t="str">
        <f>IFERROR(__xludf.DUMMYFUNCTION("""COMPUTED_VALUE"""),"VerifySecurityWindow")</f>
        <v>VerifySecurityWindow</v>
      </c>
      <c r="C371" s="4" t="str">
        <f>IFERROR(__xludf.DUMMYFUNCTION("""COMPUTED_VALUE"""),"1C0AkzcituMMrkQqJg0M_n6cswWPjROFn0jqkTPCHfis")</f>
        <v>1C0AkzcituMMrkQqJg0M_n6cswWPjROFn0jqkTPCHfis</v>
      </c>
      <c r="D371" s="4"/>
      <c r="E371" s="4"/>
      <c r="F371" s="4"/>
      <c r="G371" s="4"/>
      <c r="H371" s="4"/>
      <c r="I371" s="4"/>
      <c r="J371" s="4"/>
      <c r="K371" s="4"/>
      <c r="L371" s="4"/>
    </row>
    <row r="372" ht="15.75" customHeight="1">
      <c r="A372" s="4" t="str">
        <f>IFERROR(__xludf.DUMMYFUNCTION("""COMPUTED_VALUE"""),"Compliance")</f>
        <v>Compliance</v>
      </c>
      <c r="B372" s="4" t="str">
        <f>IFERROR(__xludf.DUMMYFUNCTION("""COMPUTED_VALUE"""),"VerifySymbolDataWindow")</f>
        <v>VerifySymbolDataWindow</v>
      </c>
      <c r="C372" s="4" t="str">
        <f>IFERROR(__xludf.DUMMYFUNCTION("""COMPUTED_VALUE"""),"1WOYWuhLyuq1ul6GF5dWAdvSkpKBaWmcsEY0pPRgeOWM")</f>
        <v>1WOYWuhLyuq1ul6GF5dWAdvSkpKBaWmcsEY0pPRgeOWM</v>
      </c>
      <c r="D372" s="4"/>
      <c r="E372" s="4"/>
      <c r="F372" s="4"/>
      <c r="G372" s="4"/>
      <c r="H372" s="4"/>
      <c r="I372" s="4"/>
      <c r="J372" s="4"/>
      <c r="K372" s="4"/>
      <c r="L372" s="4"/>
    </row>
    <row r="373" ht="15.75" customHeight="1">
      <c r="A373" s="4" t="str">
        <f>IFERROR(__xludf.DUMMYFUNCTION("""COMPUTED_VALUE"""),"Compliance")</f>
        <v>Compliance</v>
      </c>
      <c r="B373" s="4" t="str">
        <f>IFERROR(__xludf.DUMMYFUNCTION("""COMPUTED_VALUE"""),"VerifySymbolDivisorWindow")</f>
        <v>VerifySymbolDivisorWindow</v>
      </c>
      <c r="C373" s="4" t="str">
        <f>IFERROR(__xludf.DUMMYFUNCTION("""COMPUTED_VALUE"""),"1e9Xd2rI7lHFWIFLmRoe5LtT9y4BSPW6sfCjWP0lcVso")</f>
        <v>1e9Xd2rI7lHFWIFLmRoe5LtT9y4BSPW6sfCjWP0lcVso</v>
      </c>
      <c r="D373" s="4"/>
      <c r="E373" s="4"/>
      <c r="F373" s="4"/>
      <c r="G373" s="4"/>
      <c r="H373" s="4"/>
      <c r="I373" s="4"/>
      <c r="J373" s="4"/>
      <c r="K373" s="4"/>
      <c r="L373" s="4"/>
    </row>
    <row r="374" ht="15.75" customHeight="1">
      <c r="A374" s="4" t="str">
        <f>IFERROR(__xludf.DUMMYFUNCTION("""COMPUTED_VALUE"""),"Compliance")</f>
        <v>Compliance</v>
      </c>
      <c r="B374" s="4" t="str">
        <f>IFERROR(__xludf.DUMMYFUNCTION("""COMPUTED_VALUE"""),"VerifyTaxlotWindow")</f>
        <v>VerifyTaxlotWindow</v>
      </c>
      <c r="C374" s="4" t="str">
        <f>IFERROR(__xludf.DUMMYFUNCTION("""COMPUTED_VALUE"""),"1X0RghwSavvuWnxK9psKDA7-qI86K-IaBKRJ1fVYnJbY")</f>
        <v>1X0RghwSavvuWnxK9psKDA7-qI86K-IaBKRJ1fVYnJbY</v>
      </c>
      <c r="D374" s="4"/>
      <c r="E374" s="4"/>
      <c r="F374" s="4"/>
      <c r="G374" s="4"/>
      <c r="H374" s="4"/>
      <c r="I374" s="4"/>
      <c r="J374" s="4"/>
      <c r="K374" s="4"/>
      <c r="L374" s="4"/>
    </row>
    <row r="375" ht="15.75" customHeight="1">
      <c r="A375" s="4" t="str">
        <f>IFERROR(__xludf.DUMMYFUNCTION("""COMPUTED_VALUE"""),"Compliance")</f>
        <v>Compliance</v>
      </c>
      <c r="B375" s="4" t="str">
        <f>IFERROR(__xludf.DUMMYFUNCTION("""COMPUTED_VALUE"""),"RestartEsper")</f>
        <v>RestartEsper</v>
      </c>
      <c r="C375" s="4" t="str">
        <f>IFERROR(__xludf.DUMMYFUNCTION("""COMPUTED_VALUE"""),"Undefined")</f>
        <v>Undefined</v>
      </c>
      <c r="D375" s="4"/>
      <c r="E375" s="4"/>
      <c r="F375" s="4"/>
      <c r="G375" s="4"/>
      <c r="H375" s="4"/>
      <c r="I375" s="4"/>
      <c r="J375" s="4"/>
      <c r="K375" s="4"/>
      <c r="L375" s="4"/>
    </row>
    <row r="376" ht="15.75" customHeight="1">
      <c r="A376" s="4" t="str">
        <f>IFERROR(__xludf.DUMMYFUNCTION("""COMPUTED_VALUE"""),"Compliance")</f>
        <v>Compliance</v>
      </c>
      <c r="B376" s="4" t="str">
        <f>IFERROR(__xludf.DUMMYFUNCTION("""COMPUTED_VALUE"""),"VerifyAccountNavPreferenceWindow")</f>
        <v>VerifyAccountNavPreferenceWindow</v>
      </c>
      <c r="C376" s="4" t="str">
        <f>IFERROR(__xludf.DUMMYFUNCTION("""COMPUTED_VALUE"""),"1nlqDVTvG9tGHVZU_R5Kpe2ScGFiP2pODIjUgp62eOcg")</f>
        <v>1nlqDVTvG9tGHVZU_R5Kpe2ScGFiP2pODIjUgp62eOcg</v>
      </c>
      <c r="D376" s="4"/>
      <c r="E376" s="4"/>
      <c r="F376" s="4"/>
      <c r="G376" s="4"/>
      <c r="H376" s="4"/>
      <c r="I376" s="4"/>
      <c r="J376" s="4"/>
      <c r="K376" s="4"/>
      <c r="L376" s="4"/>
    </row>
    <row r="377" ht="15.75" customHeight="1">
      <c r="A377" s="4" t="str">
        <f>IFERROR(__xludf.DUMMYFUNCTION("""COMPUTED_VALUE"""),"Compliance")</f>
        <v>Compliance</v>
      </c>
      <c r="B377" s="4" t="str">
        <f>IFERROR(__xludf.DUMMYFUNCTION("""COMPUTED_VALUE""")," VerifyAggregationAccountUnderlyingSymbolWithNav")</f>
        <v> VerifyAggregationAccountUnderlyingSymbolWithNav</v>
      </c>
      <c r="C377" s="4" t="str">
        <f>IFERROR(__xludf.DUMMYFUNCTION("""COMPUTED_VALUE"""),"1td6xh2jOVJ_tOP88gOQ7VzA7zC3W0ZUyud3q5jhH1eM")</f>
        <v>1td6xh2jOVJ_tOP88gOQ7VzA7zC3W0ZUyud3q5jhH1eM</v>
      </c>
      <c r="D377" s="4"/>
      <c r="E377" s="4"/>
      <c r="F377" s="4"/>
      <c r="G377" s="4"/>
      <c r="H377" s="4"/>
      <c r="I377" s="4"/>
      <c r="J377" s="4"/>
      <c r="K377" s="4"/>
      <c r="L377" s="4"/>
    </row>
    <row r="378" ht="15.75" customHeight="1">
      <c r="A378" s="4" t="str">
        <f>IFERROR(__xludf.DUMMYFUNCTION("""COMPUTED_VALUE"""),"Compliance")</f>
        <v>Compliance</v>
      </c>
      <c r="B378" s="4" t="str">
        <f>IFERROR(__xludf.DUMMYFUNCTION("""COMPUTED_VALUE"""),"VerifyAggregationAssetWithNav")</f>
        <v>VerifyAggregationAssetWithNav</v>
      </c>
      <c r="C378" s="4" t="str">
        <f>IFERROR(__xludf.DUMMYFUNCTION("""COMPUTED_VALUE"""),"11IOPX3JerrbITJGj2KKdtGuSCn7wqoda4D14yJors8g")</f>
        <v>11IOPX3JerrbITJGj2KKdtGuSCn7wqoda4D14yJors8g</v>
      </c>
      <c r="D378" s="4"/>
      <c r="E378" s="4"/>
      <c r="F378" s="4"/>
      <c r="G378" s="4"/>
      <c r="H378" s="4"/>
      <c r="I378" s="4"/>
      <c r="J378" s="4"/>
      <c r="K378" s="4"/>
      <c r="L378" s="4"/>
    </row>
    <row r="379" ht="15.75" customHeight="1">
      <c r="A379" s="4" t="str">
        <f>IFERROR(__xludf.DUMMYFUNCTION("""COMPUTED_VALUE"""),"Compliance")</f>
        <v>Compliance</v>
      </c>
      <c r="B379" s="4" t="str">
        <f>IFERROR(__xludf.DUMMYFUNCTION("""COMPUTED_VALUE"""),"VerifyAggregationSymbolWithNav")</f>
        <v>VerifyAggregationSymbolWithNav</v>
      </c>
      <c r="C379" s="4" t="str">
        <f>IFERROR(__xludf.DUMMYFUNCTION("""COMPUTED_VALUE"""),"10pZ09xnUx2pqa5QZzEljxvSOWUoO4MpFFlj3IgHixAY")</f>
        <v>10pZ09xnUx2pqa5QZzEljxvSOWUoO4MpFFlj3IgHixAY</v>
      </c>
      <c r="D379" s="4"/>
      <c r="E379" s="4"/>
      <c r="F379" s="4"/>
      <c r="G379" s="4"/>
      <c r="H379" s="4"/>
      <c r="I379" s="4"/>
      <c r="J379" s="4"/>
      <c r="K379" s="4"/>
      <c r="L379" s="4"/>
    </row>
    <row r="380" ht="15.75" customHeight="1">
      <c r="A380" s="4" t="str">
        <f>IFERROR(__xludf.DUMMYFUNCTION("""COMPUTED_VALUE"""),"Compliance")</f>
        <v>Compliance</v>
      </c>
      <c r="B380" s="4" t="str">
        <f>IFERROR(__xludf.DUMMYFUNCTION("""COMPUTED_VALUE"""),"VerifyAggregationSubSectorWithNav")</f>
        <v>VerifyAggregationSubSectorWithNav</v>
      </c>
      <c r="C380" s="4" t="str">
        <f>IFERROR(__xludf.DUMMYFUNCTION("""COMPUTED_VALUE"""),"1lLMwkGATnotz4Fwa-o2i_-buFLFRD1fPDjBRCRge2g8")</f>
        <v>1lLMwkGATnotz4Fwa-o2i_-buFLFRD1fPDjBRCRge2g8</v>
      </c>
      <c r="D380" s="4"/>
      <c r="E380" s="4"/>
      <c r="F380" s="4"/>
      <c r="G380" s="4"/>
      <c r="H380" s="4"/>
      <c r="I380" s="4"/>
      <c r="J380" s="4"/>
      <c r="K380" s="4"/>
      <c r="L380" s="4"/>
    </row>
    <row r="381" ht="15.75" customHeight="1">
      <c r="A381" s="4" t="str">
        <f>IFERROR(__xludf.DUMMYFUNCTION("""COMPUTED_VALUE"""),"Compliance")</f>
        <v>Compliance</v>
      </c>
      <c r="B381" s="4" t="str">
        <f>IFERROR(__xludf.DUMMYFUNCTION("""COMPUTED_VALUE"""),"VerifyAggregationGlobalWithNav")</f>
        <v>VerifyAggregationGlobalWithNav</v>
      </c>
      <c r="C381" s="4" t="str">
        <f>IFERROR(__xludf.DUMMYFUNCTION("""COMPUTED_VALUE"""),"1AvL03tSx1mQR9FO4i7ta-0KC1RPfLKkELFYsFU7pHz0")</f>
        <v>1AvL03tSx1mQR9FO4i7ta-0KC1RPfLKkELFYsFU7pHz0</v>
      </c>
      <c r="D381" s="4"/>
      <c r="E381" s="4"/>
      <c r="F381" s="4"/>
      <c r="G381" s="4"/>
      <c r="H381" s="4"/>
      <c r="I381" s="4"/>
      <c r="J381" s="4"/>
      <c r="K381" s="4"/>
      <c r="L381" s="4"/>
    </row>
    <row r="382" ht="15.75" customHeight="1">
      <c r="A382" s="4" t="str">
        <f>IFERROR(__xludf.DUMMYFUNCTION("""COMPUTED_VALUE"""),"Compliance")</f>
        <v>Compliance</v>
      </c>
      <c r="B382" s="4" t="str">
        <f>IFERROR(__xludf.DUMMYFUNCTION("""COMPUTED_VALUE""")," VerifyAggregationGlobalWithNav")</f>
        <v> VerifyAggregationGlobalWithNav</v>
      </c>
      <c r="C382" s="4" t="str">
        <f>IFERROR(__xludf.DUMMYFUNCTION("""COMPUTED_VALUE"""),"1AvL03tSx1mQR9FO4i7ta-0KC1RPfLKkELFYsFU7pHz0")</f>
        <v>1AvL03tSx1mQR9FO4i7ta-0KC1RPfLKkELFYsFU7pHz0</v>
      </c>
      <c r="D382" s="4"/>
      <c r="E382" s="4"/>
      <c r="F382" s="4"/>
      <c r="G382" s="4"/>
      <c r="H382" s="4"/>
      <c r="I382" s="4"/>
      <c r="J382" s="4"/>
      <c r="K382" s="4"/>
      <c r="L382" s="4"/>
    </row>
    <row r="383" ht="15.75" customHeight="1">
      <c r="A383" s="4" t="str">
        <f>IFERROR(__xludf.DUMMYFUNCTION("""COMPUTED_VALUE"""),"Compliance")</f>
        <v>Compliance</v>
      </c>
      <c r="B383" s="4" t="str">
        <f>IFERROR(__xludf.DUMMYFUNCTION("""COMPUTED_VALUE"""),"VerifyGlobalDivisorWindow")</f>
        <v>VerifyGlobalDivisorWindow</v>
      </c>
      <c r="C383" s="4" t="str">
        <f>IFERROR(__xludf.DUMMYFUNCTION("""COMPUTED_VALUE"""),"11KuCDI7q37RrZjNhVRB_sRU4JrklHajDN-nvioCXIow")</f>
        <v>11KuCDI7q37RrZjNhVRB_sRU4JrklHajDN-nvioCXIow</v>
      </c>
      <c r="D383" s="4"/>
      <c r="E383" s="4"/>
      <c r="F383" s="4"/>
      <c r="G383" s="4"/>
      <c r="H383" s="4"/>
      <c r="I383" s="4"/>
      <c r="J383" s="4"/>
      <c r="K383" s="4"/>
      <c r="L383" s="4"/>
    </row>
    <row r="384" ht="15.75" customHeight="1">
      <c r="A384" s="4" t="str">
        <f>IFERROR(__xludf.DUMMYFUNCTION("""COMPUTED_VALUE"""),"Compliance")</f>
        <v>Compliance</v>
      </c>
      <c r="B384" s="4" t="str">
        <f>IFERROR(__xludf.DUMMYFUNCTION("""COMPUTED_VALUE""")," VerifyAccrualForAccountWindow")</f>
        <v> VerifyAccrualForAccountWindow</v>
      </c>
      <c r="C384" s="4" t="str">
        <f>IFERROR(__xludf.DUMMYFUNCTION("""COMPUTED_VALUE"""),"1UibESJzXseK9_-c9HjMbuHTeklThYekhSZ72rmoM1T8")</f>
        <v>1UibESJzXseK9_-c9HjMbuHTeklThYekhSZ72rmoM1T8</v>
      </c>
      <c r="D384" s="4"/>
      <c r="E384" s="4"/>
      <c r="F384" s="4"/>
      <c r="G384" s="4"/>
      <c r="H384" s="4"/>
      <c r="I384" s="4"/>
      <c r="J384" s="4"/>
      <c r="K384" s="4"/>
      <c r="L384" s="4"/>
    </row>
    <row r="385" ht="15.75" customHeight="1">
      <c r="A385" s="4" t="str">
        <f>IFERROR(__xludf.DUMMYFUNCTION("""COMPUTED_VALUE"""),"Compliance")</f>
        <v>Compliance</v>
      </c>
      <c r="B385" s="4" t="str">
        <f>IFERROR(__xludf.DUMMYFUNCTION("""COMPUTED_VALUE"""),"VerifyGlobalDivisorWindow")</f>
        <v>VerifyGlobalDivisorWindow</v>
      </c>
      <c r="C385" s="4" t="str">
        <f>IFERROR(__xludf.DUMMYFUNCTION("""COMPUTED_VALUE"""),"11KuCDI7q37RrZjNhVRB_sRU4JrklHajDN-nvioCXIow")</f>
        <v>11KuCDI7q37RrZjNhVRB_sRU4JrklHajDN-nvioCXIow</v>
      </c>
      <c r="D385" s="4"/>
      <c r="E385" s="4"/>
      <c r="F385" s="4"/>
      <c r="G385" s="4"/>
      <c r="H385" s="4"/>
      <c r="I385" s="4"/>
      <c r="J385" s="4"/>
      <c r="K385" s="4"/>
      <c r="L385" s="4"/>
    </row>
    <row r="386" ht="15.75" customHeight="1">
      <c r="A386" s="4" t="str">
        <f>IFERROR(__xludf.DUMMYFUNCTION("""COMPUTED_VALUE"""),"Compliance")</f>
        <v>Compliance</v>
      </c>
      <c r="B386" s="4" t="str">
        <f>IFERROR(__xludf.DUMMYFUNCTION("""COMPUTED_VALUE"""),"VerifyMasterFundDivisorWindow")</f>
        <v>VerifyMasterFundDivisorWindow</v>
      </c>
      <c r="C386" s="4" t="str">
        <f>IFERROR(__xludf.DUMMYFUNCTION("""COMPUTED_VALUE"""),"1MjAfg4F6NQuUAQUFW37k3htPnyMxWHWagiOU-lnvmGI")</f>
        <v>1MjAfg4F6NQuUAQUFW37k3htPnyMxWHWagiOU-lnvmGI</v>
      </c>
      <c r="D386" s="4"/>
      <c r="E386" s="4"/>
      <c r="F386" s="4"/>
      <c r="G386" s="4"/>
      <c r="H386" s="4"/>
      <c r="I386" s="4"/>
      <c r="J386" s="4"/>
      <c r="K386" s="4"/>
      <c r="L386" s="4"/>
    </row>
    <row r="387" ht="15.75" customHeight="1">
      <c r="A387" s="4" t="str">
        <f>IFERROR(__xludf.DUMMYFUNCTION("""COMPUTED_VALUE"""),"Compliance")</f>
        <v>Compliance</v>
      </c>
      <c r="B387" s="4" t="str">
        <f>IFERROR(__xludf.DUMMYFUNCTION("""COMPUTED_VALUE"""),"VerifyMasterFundSymbolDivisorWindow")</f>
        <v>VerifyMasterFundSymbolDivisorWindow</v>
      </c>
      <c r="C387" s="4" t="str">
        <f>IFERROR(__xludf.DUMMYFUNCTION("""COMPUTED_VALUE"""),"12jSVbeEJpxmA75PPUiLNi7NaIc00WbgI34Q6rhSS0Ds")</f>
        <v>12jSVbeEJpxmA75PPUiLNi7NaIc00WbgI34Q6rhSS0Ds</v>
      </c>
      <c r="D387" s="4"/>
      <c r="E387" s="4"/>
      <c r="F387" s="4"/>
      <c r="G387" s="4"/>
      <c r="H387" s="4"/>
      <c r="I387" s="4"/>
      <c r="J387" s="4"/>
      <c r="K387" s="4"/>
      <c r="L387" s="4"/>
    </row>
    <row r="388" ht="15.75" customHeight="1">
      <c r="A388" s="4" t="str">
        <f>IFERROR(__xludf.DUMMYFUNCTION("""COMPUTED_VALUE"""),"Rebalancer")</f>
        <v>Rebalancer</v>
      </c>
      <c r="B388" s="4" t="str">
        <f>IFERROR(__xludf.DUMMYFUNCTION("""COMPUTED_VALUE"""),"FetchAccountPositions")</f>
        <v>FetchAccountPositions</v>
      </c>
      <c r="C388" s="4" t="str">
        <f>IFERROR(__xludf.DUMMYFUNCTION("""COMPUTED_VALUE"""),"16zBwty-rTFSFJMyCqyxtBb2FiCbKptl_JuviIETsEjc")</f>
        <v>16zBwty-rTFSFJMyCqyxtBb2FiCbKptl_JuviIETsEjc</v>
      </c>
      <c r="D388" s="4"/>
      <c r="E388" s="4"/>
      <c r="F388" s="4"/>
      <c r="G388" s="4"/>
      <c r="H388" s="4"/>
      <c r="I388" s="4"/>
      <c r="J388" s="4"/>
      <c r="K388" s="4"/>
      <c r="L388" s="4"/>
    </row>
    <row r="389" ht="15.75" customHeight="1">
      <c r="A389" s="4" t="str">
        <f>IFERROR(__xludf.DUMMYFUNCTION("""COMPUTED_VALUE"""),"Rebalancer")</f>
        <v>Rebalancer</v>
      </c>
      <c r="B389" s="4" t="str">
        <f>IFERROR(__xludf.DUMMYFUNCTION("""COMPUTED_VALUE"""),"AddCash")</f>
        <v>AddCash</v>
      </c>
      <c r="C389" s="4" t="str">
        <f>IFERROR(__xludf.DUMMYFUNCTION("""COMPUTED_VALUE"""),"1uD1wJYx80LMyhlbMy1CctqDOk9brp6uU03OlbnDuAe4")</f>
        <v>1uD1wJYx80LMyhlbMy1CctqDOk9brp6uU03OlbnDuAe4</v>
      </c>
      <c r="D389" s="4"/>
      <c r="E389" s="4"/>
      <c r="F389" s="4"/>
      <c r="G389" s="4"/>
      <c r="H389" s="4"/>
      <c r="I389" s="4"/>
      <c r="J389" s="4"/>
      <c r="K389" s="4"/>
      <c r="L389" s="4"/>
    </row>
    <row r="390" ht="15.75" customHeight="1">
      <c r="A390" s="4" t="str">
        <f>IFERROR(__xludf.DUMMYFUNCTION("""COMPUTED_VALUE"""),"Rebalancer")</f>
        <v>Rebalancer</v>
      </c>
      <c r="B390" s="4" t="str">
        <f>IFERROR(__xludf.DUMMYFUNCTION("""COMPUTED_VALUE"""),"VerifyGridData")</f>
        <v>VerifyGridData</v>
      </c>
      <c r="C390" s="4" t="str">
        <f>IFERROR(__xludf.DUMMYFUNCTION("""COMPUTED_VALUE"""),"1m6MOQNhKkVt1jpFum_tComrSd-dEbwpLJ09ma9hwHJ0")</f>
        <v>1m6MOQNhKkVt1jpFum_tComrSd-dEbwpLJ09ma9hwHJ0</v>
      </c>
      <c r="D390" s="4"/>
      <c r="E390" s="4"/>
      <c r="F390" s="4"/>
      <c r="G390" s="4"/>
      <c r="H390" s="4"/>
      <c r="I390" s="4"/>
      <c r="J390" s="4"/>
      <c r="K390" s="4"/>
      <c r="L390" s="4"/>
    </row>
    <row r="391" ht="15.75" customHeight="1">
      <c r="A391" s="4" t="str">
        <f>IFERROR(__xludf.DUMMYFUNCTION("""COMPUTED_VALUE"""),"Rebalancer")</f>
        <v>Rebalancer</v>
      </c>
      <c r="B391" s="4" t="str">
        <f>IFERROR(__xludf.DUMMYFUNCTION("""COMPUTED_VALUE"""),"RunRebalance")</f>
        <v>RunRebalance</v>
      </c>
      <c r="C391" s="4" t="str">
        <f>IFERROR(__xludf.DUMMYFUNCTION("""COMPUTED_VALUE"""),"1z6sLqoF1dgSy-5wTE_wKZTVXhp9JEOqwje341a02WpA")</f>
        <v>1z6sLqoF1dgSy-5wTE_wKZTVXhp9JEOqwje341a02WpA</v>
      </c>
      <c r="D391" s="4"/>
      <c r="E391" s="4"/>
      <c r="F391" s="4"/>
      <c r="G391" s="4"/>
      <c r="H391" s="4"/>
      <c r="I391" s="4"/>
      <c r="J391" s="4"/>
      <c r="K391" s="4"/>
      <c r="L391" s="4"/>
    </row>
    <row r="392" ht="15.75" customHeight="1">
      <c r="A392" s="4" t="str">
        <f>IFERROR(__xludf.DUMMYFUNCTION("""COMPUTED_VALUE"""),"Rebalancer")</f>
        <v>Rebalancer</v>
      </c>
      <c r="B392" s="4" t="str">
        <f>IFERROR(__xludf.DUMMYFUNCTION("""COMPUTED_VALUE"""),"EnableComplianceTab")</f>
        <v>EnableComplianceTab</v>
      </c>
      <c r="C392" s="4" t="str">
        <f>IFERROR(__xludf.DUMMYFUNCTION("""COMPUTED_VALUE"""),"Undefined")</f>
        <v>Undefined</v>
      </c>
      <c r="D392" s="4"/>
      <c r="E392" s="4"/>
      <c r="F392" s="4"/>
      <c r="G392" s="4"/>
      <c r="H392" s="4"/>
      <c r="I392" s="4"/>
      <c r="J392" s="4"/>
      <c r="K392" s="4"/>
      <c r="L392" s="4"/>
    </row>
    <row r="393" ht="15.75" customHeight="1">
      <c r="A393" s="4" t="str">
        <f>IFERROR(__xludf.DUMMYFUNCTION("""COMPUTED_VALUE"""),"Rebalancer")</f>
        <v>Rebalancer</v>
      </c>
      <c r="B393" s="4" t="str">
        <f>IFERROR(__xludf.DUMMYFUNCTION("""COMPUTED_VALUE"""),"RebalancePreference")</f>
        <v>RebalancePreference</v>
      </c>
      <c r="C393" s="4" t="str">
        <f>IFERROR(__xludf.DUMMYFUNCTION("""COMPUTED_VALUE"""),"1OuZKBdhFXWj4geXHEAw683kkB5iaP1xy85nS7Y_bfc8")</f>
        <v>1OuZKBdhFXWj4geXHEAw683kkB5iaP1xy85nS7Y_bfc8</v>
      </c>
      <c r="D393" s="4"/>
      <c r="E393" s="4"/>
      <c r="F393" s="4"/>
      <c r="G393" s="4"/>
      <c r="H393" s="4"/>
      <c r="I393" s="4"/>
      <c r="J393" s="4"/>
      <c r="K393" s="4"/>
      <c r="L393" s="4"/>
    </row>
    <row r="394" ht="15.75" customHeight="1">
      <c r="A394" s="4" t="str">
        <f>IFERROR(__xludf.DUMMYFUNCTION("""COMPUTED_VALUE"""),"Rebalancer")</f>
        <v>Rebalancer</v>
      </c>
      <c r="B394" s="4" t="str">
        <f>IFERROR(__xludf.DUMMYFUNCTION("""COMPUTED_VALUE"""),"ImportModelPortfolio")</f>
        <v>ImportModelPortfolio</v>
      </c>
      <c r="C394" s="4" t="str">
        <f>IFERROR(__xludf.DUMMYFUNCTION("""COMPUTED_VALUE"""),"1acRsUVfXLMARgfUMygVmnq-Xn9oHJ7aBMct5mdqEBsA")</f>
        <v>1acRsUVfXLMARgfUMygVmnq-Xn9oHJ7aBMct5mdqEBsA</v>
      </c>
      <c r="D394" s="4"/>
      <c r="E394" s="4"/>
      <c r="F394" s="4"/>
      <c r="G394" s="4"/>
      <c r="H394" s="4"/>
      <c r="I394" s="4"/>
      <c r="J394" s="4"/>
      <c r="K394" s="4"/>
      <c r="L394" s="4"/>
    </row>
    <row r="395" ht="15.75" customHeight="1">
      <c r="A395" s="4" t="str">
        <f>IFERROR(__xludf.DUMMYFUNCTION("""COMPUTED_VALUE"""),"Simulator")</f>
        <v>Simulator</v>
      </c>
      <c r="B395" s="4" t="str">
        <f>IFERROR(__xludf.DUMMYFUNCTION("""COMPUTED_VALUE"""),"SelectTrade")</f>
        <v>SelectTrade</v>
      </c>
      <c r="C395" s="4" t="str">
        <f>IFERROR(__xludf.DUMMYFUNCTION("""COMPUTED_VALUE"""),"1NkVqjZCVIerQf2X0Yf6GK2jVSYfVa7-CmnPWggeHwJc")</f>
        <v>1NkVqjZCVIerQf2X0Yf6GK2jVSYfVa7-CmnPWggeHwJc</v>
      </c>
      <c r="D395" s="4"/>
      <c r="E395" s="4"/>
      <c r="F395" s="4"/>
      <c r="G395" s="4"/>
      <c r="H395" s="4"/>
      <c r="I395" s="4"/>
      <c r="J395" s="4"/>
      <c r="K395" s="4"/>
      <c r="L395" s="4"/>
    </row>
    <row r="396" ht="15.75" customHeight="1">
      <c r="A396" s="4" t="str">
        <f>IFERROR(__xludf.DUMMYFUNCTION("""COMPUTED_VALUE"""),"Simulator")</f>
        <v>Simulator</v>
      </c>
      <c r="B396" s="4" t="str">
        <f>IFERROR(__xludf.DUMMYFUNCTION("""COMPUTED_VALUE"""),"AcknowledgeTrade")</f>
        <v>AcknowledgeTrade</v>
      </c>
      <c r="C396" s="4" t="str">
        <f>IFERROR(__xludf.DUMMYFUNCTION("""COMPUTED_VALUE"""),"1OM-qeNQLbTj-z40xd1iUyj7uo5BNzUJKKmvtT-Ue5R0")</f>
        <v>1OM-qeNQLbTj-z40xd1iUyj7uo5BNzUJKKmvtT-Ue5R0</v>
      </c>
      <c r="D396" s="4"/>
      <c r="E396" s="4"/>
      <c r="F396" s="4"/>
      <c r="G396" s="4"/>
      <c r="H396" s="4"/>
      <c r="I396" s="4"/>
      <c r="J396" s="4"/>
      <c r="K396" s="4"/>
      <c r="L396" s="4"/>
    </row>
    <row r="397" ht="15.75" customHeight="1">
      <c r="A397" s="4" t="str">
        <f>IFERROR(__xludf.DUMMYFUNCTION("""COMPUTED_VALUE"""),"Simulator")</f>
        <v>Simulator</v>
      </c>
      <c r="B397" s="4" t="str">
        <f>IFERROR(__xludf.DUMMYFUNCTION("""COMPUTED_VALUE"""),"RejectTrade")</f>
        <v>RejectTrade</v>
      </c>
      <c r="C397" s="4" t="str">
        <f>IFERROR(__xludf.DUMMYFUNCTION("""COMPUTED_VALUE"""),"1Kga6eZygJKjrpwyXiE7s-uRu_0SsnmwvP5tlfNUz67E")</f>
        <v>1Kga6eZygJKjrpwyXiE7s-uRu_0SsnmwvP5tlfNUz67E</v>
      </c>
      <c r="D397" s="4"/>
      <c r="E397" s="4"/>
      <c r="F397" s="4"/>
      <c r="G397" s="4"/>
      <c r="H397" s="4"/>
      <c r="I397" s="4"/>
      <c r="J397" s="4"/>
      <c r="K397" s="4"/>
      <c r="L397" s="4"/>
    </row>
    <row r="398" ht="15.75" customHeight="1">
      <c r="A398" s="4" t="str">
        <f>IFERROR(__xludf.DUMMYFUNCTION("""COMPUTED_VALUE"""),"Simulator")</f>
        <v>Simulator</v>
      </c>
      <c r="B398" s="4" t="str">
        <f>IFERROR(__xludf.DUMMYFUNCTION("""COMPUTED_VALUE"""),"ExecuteTrade")</f>
        <v>ExecuteTrade</v>
      </c>
      <c r="C398" s="4" t="str">
        <f>IFERROR(__xludf.DUMMYFUNCTION("""COMPUTED_VALUE"""),"1X_J7xIcQSksjlzFZ-krkjWcnyPAEj1k98zuXOUONhS8")</f>
        <v>1X_J7xIcQSksjlzFZ-krkjWcnyPAEj1k98zuXOUONhS8</v>
      </c>
      <c r="D398" s="4"/>
      <c r="E398" s="4"/>
      <c r="F398" s="4"/>
      <c r="G398" s="4"/>
      <c r="H398" s="4"/>
      <c r="I398" s="4"/>
      <c r="J398" s="4"/>
      <c r="K398" s="4"/>
      <c r="L398" s="4"/>
    </row>
    <row r="399" ht="15.75" customHeight="1">
      <c r="A399" s="4" t="str">
        <f>IFERROR(__xludf.DUMMYFUNCTION("""COMPUTED_VALUE"""),"Simulator")</f>
        <v>Simulator</v>
      </c>
      <c r="B399" s="4" t="str">
        <f>IFERROR(__xludf.DUMMYFUNCTION("""COMPUTED_VALUE"""),"CancelTrade")</f>
        <v>CancelTrade</v>
      </c>
      <c r="C399" s="4" t="str">
        <f>IFERROR(__xludf.DUMMYFUNCTION("""COMPUTED_VALUE"""),"1GDmvU5vTnCfl5qfCk6XuxvygpiC0858nHCMz3cF2Th8")</f>
        <v>1GDmvU5vTnCfl5qfCk6XuxvygpiC0858nHCMz3cF2Th8</v>
      </c>
      <c r="D399" s="4"/>
      <c r="E399" s="4"/>
      <c r="F399" s="4"/>
      <c r="G399" s="4"/>
      <c r="H399" s="4"/>
      <c r="I399" s="4"/>
      <c r="J399" s="4"/>
      <c r="K399" s="4"/>
      <c r="L399" s="4"/>
    </row>
    <row r="400" ht="15.75" customHeight="1">
      <c r="A400" s="4" t="str">
        <f>IFERROR(__xludf.DUMMYFUNCTION("""COMPUTED_VALUE"""),"Simulator")</f>
        <v>Simulator</v>
      </c>
      <c r="B400" s="4" t="str">
        <f>IFERROR(__xludf.DUMMYFUNCTION("""COMPUTED_VALUE"""),"OpenLiveTT")</f>
        <v>OpenLiveTT</v>
      </c>
      <c r="C400" s="4" t="str">
        <f>IFERROR(__xludf.DUMMYFUNCTION("""COMPUTED_VALUE"""),"1LsvDJHpVcibXPqLhnrrvp6d6K4W1s7PURcprihlc9WE")</f>
        <v>1LsvDJHpVcibXPqLhnrrvp6d6K4W1s7PURcprihlc9WE</v>
      </c>
      <c r="D400" s="4"/>
      <c r="E400" s="4"/>
      <c r="F400" s="4"/>
      <c r="G400" s="4"/>
      <c r="H400" s="4"/>
      <c r="I400" s="4"/>
      <c r="J400" s="4"/>
      <c r="K400" s="4"/>
      <c r="L400" s="4"/>
    </row>
    <row r="401" ht="15.75" customHeight="1">
      <c r="A401" s="4" t="str">
        <f>IFERROR(__xludf.DUMMYFUNCTION("""COMPUTED_VALUE"""),"TradingTicket")</f>
        <v>TradingTicket</v>
      </c>
      <c r="B401" s="4" t="str">
        <f>IFERROR(__xludf.DUMMYFUNCTION("""COMPUTED_VALUE"""),"CreateLiveOrder")</f>
        <v>CreateLiveOrder</v>
      </c>
      <c r="C401" s="4" t="str">
        <f>IFERROR(__xludf.DUMMYFUNCTION("""COMPUTED_VALUE"""),"15NzWGpqvL8MMBvyvBoyZPbRw6m8dVQhvejNQYv6xMAo")</f>
        <v>15NzWGpqvL8MMBvyvBoyZPbRw6m8dVQhvejNQYv6xMAo</v>
      </c>
      <c r="D401" s="4"/>
      <c r="E401" s="4"/>
      <c r="F401" s="4"/>
      <c r="G401" s="4"/>
      <c r="H401" s="4"/>
      <c r="I401" s="4"/>
      <c r="J401" s="4"/>
      <c r="K401" s="4"/>
      <c r="L401" s="4"/>
    </row>
    <row r="402" ht="15.75" customHeight="1">
      <c r="A402" s="4" t="str">
        <f>IFERROR(__xludf.DUMMYFUNCTION("""COMPUTED_VALUE"""),"Simulator")</f>
        <v>Simulator</v>
      </c>
      <c r="B402" s="4" t="str">
        <f>IFERROR(__xludf.DUMMYFUNCTION("""COMPUTED_VALUE"""),"SetManualResponse ")</f>
        <v>SetManualResponse </v>
      </c>
      <c r="C402" s="4" t="str">
        <f>IFERROR(__xludf.DUMMYFUNCTION("""COMPUTED_VALUE"""),"Undefined")</f>
        <v>Undefined</v>
      </c>
      <c r="D402" s="4"/>
      <c r="E402" s="4"/>
      <c r="F402" s="4"/>
      <c r="G402" s="4"/>
      <c r="H402" s="4"/>
      <c r="I402" s="4"/>
      <c r="J402" s="4"/>
      <c r="K402" s="4"/>
      <c r="L402" s="4"/>
    </row>
    <row r="403" ht="15.75" customHeight="1">
      <c r="A403" s="4" t="str">
        <f>IFERROR(__xludf.DUMMYFUNCTION("""COMPUTED_VALUE"""),"Simulator")</f>
        <v>Simulator</v>
      </c>
      <c r="B403" s="4" t="str">
        <f>IFERROR(__xludf.DUMMYFUNCTION("""COMPUTED_VALUE"""),"ClearUI")</f>
        <v>ClearUI</v>
      </c>
      <c r="C403" s="4" t="str">
        <f>IFERROR(__xludf.DUMMYFUNCTION("""COMPUTED_VALUE"""),"Undefined")</f>
        <v>Undefined</v>
      </c>
      <c r="D403" s="4"/>
      <c r="E403" s="4"/>
      <c r="F403" s="4"/>
      <c r="G403" s="4"/>
      <c r="H403" s="4"/>
      <c r="I403" s="4"/>
      <c r="J403" s="4"/>
      <c r="K403" s="4"/>
      <c r="L403" s="4"/>
    </row>
    <row r="404" ht="15.75" customHeight="1">
      <c r="A404" s="4" t="str">
        <f>IFERROR(__xludf.DUMMYFUNCTION("""COMPUTED_VALUE"""),"Rebalancer")</f>
        <v>Rebalancer</v>
      </c>
      <c r="B404" s="4" t="str">
        <f>IFERROR(__xludf.DUMMYFUNCTION("""COMPUTED_VALUE"""),"RebalanceAcrossSecurities")</f>
        <v>RebalanceAcrossSecurities</v>
      </c>
      <c r="C404" s="4" t="str">
        <f>IFERROR(__xludf.DUMMYFUNCTION("""COMPUTED_VALUE"""),"1hj7paFEdaJfp8zCVq4BI5XPlCE2BysKhNQY5CdXDN44")</f>
        <v>1hj7paFEdaJfp8zCVq4BI5XPlCE2BysKhNQY5CdXDN44</v>
      </c>
      <c r="D404" s="4"/>
      <c r="E404" s="4"/>
      <c r="F404" s="4"/>
      <c r="G404" s="4"/>
      <c r="H404" s="4"/>
      <c r="I404" s="4"/>
      <c r="J404" s="4"/>
      <c r="K404" s="4"/>
      <c r="L404" s="4"/>
    </row>
    <row r="405" ht="15.75" customHeight="1">
      <c r="A405" s="4" t="str">
        <f>IFERROR(__xludf.DUMMYFUNCTION("""COMPUTED_VALUE"""),"Rebalancer")</f>
        <v>Rebalancer</v>
      </c>
      <c r="B405" s="4" t="str">
        <f>IFERROR(__xludf.DUMMYFUNCTION("""COMPUTED_VALUE"""),"CheckBasketCompliance")</f>
        <v>CheckBasketCompliance</v>
      </c>
      <c r="C405" s="4" t="str">
        <f>IFERROR(__xludf.DUMMYFUNCTION("""COMPUTED_VALUE"""),"1TJXKyPI71JpDJp6PJy2JOx4mnjeYvDigctM4hrexDvM")</f>
        <v>1TJXKyPI71JpDJp6PJy2JOx4mnjeYvDigctM4hrexDvM</v>
      </c>
      <c r="D405" s="4"/>
      <c r="E405" s="4"/>
      <c r="F405" s="4"/>
      <c r="G405" s="4"/>
      <c r="H405" s="4"/>
      <c r="I405" s="4"/>
      <c r="J405" s="4"/>
      <c r="K405" s="4"/>
      <c r="L405" s="4"/>
    </row>
    <row r="406" ht="15.75" customHeight="1">
      <c r="A406" s="4" t="str">
        <f>IFERROR(__xludf.DUMMYFUNCTION("""COMPUTED_VALUE"""),"Rebalancer")</f>
        <v>Rebalancer</v>
      </c>
      <c r="B406" s="4" t="str">
        <f>IFERROR(__xludf.DUMMYFUNCTION("""COMPUTED_VALUE"""),"ClearCalculations")</f>
        <v>ClearCalculations</v>
      </c>
      <c r="C406" s="4" t="str">
        <f>IFERROR(__xludf.DUMMYFUNCTION("""COMPUTED_VALUE"""),"1ctMlkyXd7Fyoxty8UQ8vXNA2lmrIfMbc3leGsnW7ne0")</f>
        <v>1ctMlkyXd7Fyoxty8UQ8vXNA2lmrIfMbc3leGsnW7ne0</v>
      </c>
      <c r="D406" s="4"/>
      <c r="E406" s="4"/>
      <c r="F406" s="4"/>
      <c r="G406" s="4"/>
      <c r="H406" s="4"/>
      <c r="I406" s="4"/>
      <c r="J406" s="4"/>
      <c r="K406" s="4"/>
      <c r="L406" s="4"/>
    </row>
    <row r="407" ht="15.75" customHeight="1">
      <c r="A407" s="4" t="str">
        <f>IFERROR(__xludf.DUMMYFUNCTION("""COMPUTED_VALUE"""),"Rebalancer")</f>
        <v>Rebalancer</v>
      </c>
      <c r="B407" s="4" t="str">
        <f>IFERROR(__xludf.DUMMYFUNCTION("""COMPUTED_VALUE"""),"ModifyRebalance")</f>
        <v>ModifyRebalance</v>
      </c>
      <c r="C407" s="4" t="str">
        <f>IFERROR(__xludf.DUMMYFUNCTION("""COMPUTED_VALUE"""),"14V-PVFSEtii0bJelGOw8nDeNWqcO5GO2gi1hoqmJbFU")</f>
        <v>14V-PVFSEtii0bJelGOw8nDeNWqcO5GO2gi1hoqmJbFU</v>
      </c>
      <c r="D407" s="4"/>
      <c r="E407" s="4"/>
      <c r="F407" s="4"/>
      <c r="G407" s="4"/>
      <c r="H407" s="4"/>
      <c r="I407" s="4"/>
      <c r="J407" s="4"/>
      <c r="K407" s="4"/>
      <c r="L407" s="4"/>
    </row>
    <row r="408" ht="15.75" customHeight="1">
      <c r="A408" s="4" t="str">
        <f>IFERROR(__xludf.DUMMYFUNCTION("""COMPUTED_VALUE"""),"ThirdParty")</f>
        <v>ThirdParty</v>
      </c>
      <c r="B408" s="4" t="str">
        <f>IFERROR(__xludf.DUMMYFUNCTION("""COMPUTED_VALUE"""),"SelectThirdParty")</f>
        <v>SelectThirdParty</v>
      </c>
      <c r="C408" s="4" t="str">
        <f>IFERROR(__xludf.DUMMYFUNCTION("""COMPUTED_VALUE"""),"1wKEUsTX7MrGti2S1TEzF0iJk4vRZB1LxyQL9WgMGYrY")</f>
        <v>1wKEUsTX7MrGti2S1TEzF0iJk4vRZB1LxyQL9WgMGYrY</v>
      </c>
      <c r="D408" s="4"/>
      <c r="E408" s="4"/>
      <c r="F408" s="4"/>
      <c r="G408" s="4"/>
      <c r="H408" s="4"/>
      <c r="I408" s="4"/>
      <c r="J408" s="4"/>
      <c r="K408" s="4"/>
      <c r="L408" s="4"/>
    </row>
    <row r="409" ht="15.75" customHeight="1">
      <c r="A409" s="4" t="str">
        <f>IFERROR(__xludf.DUMMYFUNCTION("""COMPUTED_VALUE"""),"ThirdParty")</f>
        <v>ThirdParty</v>
      </c>
      <c r="B409" s="4" t="str">
        <f>IFERROR(__xludf.DUMMYFUNCTION("""COMPUTED_VALUE"""),"ViewThirdParty")</f>
        <v>ViewThirdParty</v>
      </c>
      <c r="C409" s="4" t="str">
        <f>IFERROR(__xludf.DUMMYFUNCTION("""COMPUTED_VALUE"""),"1UalkAEsbJcZQAzEnT3T29et4u4PKQ3n66SBTt1HPqVc")</f>
        <v>1UalkAEsbJcZQAzEnT3T29et4u4PKQ3n66SBTt1HPqVc</v>
      </c>
      <c r="D409" s="4"/>
      <c r="E409" s="4"/>
      <c r="F409" s="4"/>
      <c r="G409" s="4"/>
      <c r="H409" s="4"/>
      <c r="I409" s="4"/>
      <c r="J409" s="4"/>
      <c r="K409" s="4"/>
      <c r="L409" s="4"/>
    </row>
    <row r="410" ht="15.75" customHeight="1">
      <c r="A410" s="4" t="str">
        <f>IFERROR(__xludf.DUMMYFUNCTION("""COMPUTED_VALUE"""),"ThirdParty")</f>
        <v>ThirdParty</v>
      </c>
      <c r="B410" s="4" t="str">
        <f>IFERROR(__xludf.DUMMYFUNCTION("""COMPUTED_VALUE"""),"ThirdPartyGenerate")</f>
        <v>ThirdPartyGenerate</v>
      </c>
      <c r="C410" s="4" t="str">
        <f>IFERROR(__xludf.DUMMYFUNCTION("""COMPUTED_VALUE"""),"1DvEoe2QroRweeE3U1wG41DK1tPqNY7Qfs3ZfLQeMbgA")</f>
        <v>1DvEoe2QroRweeE3U1wG41DK1tPqNY7Qfs3ZfLQeMbgA</v>
      </c>
      <c r="D410" s="4"/>
      <c r="E410" s="4"/>
      <c r="F410" s="4"/>
      <c r="G410" s="4"/>
      <c r="H410" s="4"/>
      <c r="I410" s="4"/>
      <c r="J410" s="4"/>
      <c r="K410" s="4"/>
      <c r="L410" s="4"/>
    </row>
    <row r="411" ht="15.75" customHeight="1">
      <c r="A411" s="4" t="str">
        <f>IFERROR(__xludf.DUMMYFUNCTION("""COMPUTED_VALUE"""),"ThirdParty")</f>
        <v>ThirdParty</v>
      </c>
      <c r="B411" s="4" t="str">
        <f>IFERROR(__xludf.DUMMYFUNCTION("""COMPUTED_VALUE"""),"VerifyThirdPartyView")</f>
        <v>VerifyThirdPartyView</v>
      </c>
      <c r="C411" s="4" t="str">
        <f>IFERROR(__xludf.DUMMYFUNCTION("""COMPUTED_VALUE"""),"118wRv0r1kNYT6nexs-UFGKd_eWq769gwdBDpcAfrJMc")</f>
        <v>118wRv0r1kNYT6nexs-UFGKd_eWq769gwdBDpcAfrJMc</v>
      </c>
      <c r="D411" s="4"/>
      <c r="E411" s="4"/>
      <c r="F411" s="4"/>
      <c r="G411" s="4"/>
      <c r="H411" s="4"/>
      <c r="I411" s="4"/>
      <c r="J411" s="4"/>
      <c r="K411" s="4"/>
      <c r="L411" s="4"/>
    </row>
    <row r="412" ht="15.75" customHeight="1">
      <c r="A412" s="4" t="str">
        <f>IFERROR(__xludf.DUMMYFUNCTION("""COMPUTED_VALUE"""),"ThirdParty")</f>
        <v>ThirdParty</v>
      </c>
      <c r="B412" s="4" t="str">
        <f>IFERROR(__xludf.DUMMYFUNCTION("""COMPUTED_VALUE"""),"VerifyThirdPartyGenerate")</f>
        <v>VerifyThirdPartyGenerate</v>
      </c>
      <c r="C412" s="4" t="str">
        <f>IFERROR(__xludf.DUMMYFUNCTION("""COMPUTED_VALUE"""),"1bvzvGTpSSz8jFgbBJV7s2zMg9ku9TwcOoI2gD8mXZeI")</f>
        <v>1bvzvGTpSSz8jFgbBJV7s2zMg9ku9TwcOoI2gD8mXZeI</v>
      </c>
      <c r="D412" s="4"/>
      <c r="E412" s="4"/>
      <c r="F412" s="4"/>
      <c r="G412" s="4"/>
      <c r="H412" s="4"/>
      <c r="I412" s="4"/>
      <c r="J412" s="4"/>
      <c r="K412" s="4"/>
      <c r="L412" s="4"/>
    </row>
    <row r="413" ht="15.75" customHeight="1">
      <c r="A413" s="4" t="str">
        <f>IFERROR(__xludf.DUMMYFUNCTION("""COMPUTED_VALUE"""),"ThirdParty")</f>
        <v>ThirdParty</v>
      </c>
      <c r="B413" s="4" t="str">
        <f>IFERROR(__xludf.DUMMYFUNCTION("""COMPUTED_VALUE"""),"VerifyThirdPartySend")</f>
        <v>VerifyThirdPartySend</v>
      </c>
      <c r="C413" s="4" t="str">
        <f>IFERROR(__xludf.DUMMYFUNCTION("""COMPUTED_VALUE"""),"1Uss7PL0z4ynwsEaU-5ZugX8DJ-4eQWi9JELroKHVjks")</f>
        <v>1Uss7PL0z4ynwsEaU-5ZugX8DJ-4eQWi9JELroKHVjks</v>
      </c>
      <c r="D413" s="4"/>
      <c r="E413" s="4"/>
      <c r="F413" s="4"/>
      <c r="G413" s="4"/>
      <c r="H413" s="4"/>
      <c r="I413" s="4"/>
      <c r="J413" s="4"/>
      <c r="K413" s="4"/>
      <c r="L413" s="4"/>
    </row>
    <row r="414" ht="15.75" customHeight="1">
      <c r="A414" s="4" t="str">
        <f>IFERROR(__xludf.DUMMYFUNCTION("""COMPUTED_VALUE"""),"ThirdParty")</f>
        <v>ThirdParty</v>
      </c>
      <c r="B414" s="4" t="str">
        <f>IFERROR(__xludf.DUMMYFUNCTION("""COMPUTED_VALUE"""),"ThirdPartySend")</f>
        <v>ThirdPartySend</v>
      </c>
      <c r="C414" s="4" t="str">
        <f>IFERROR(__xludf.DUMMYFUNCTION("""COMPUTED_VALUE"""),"10lROCv8vZU4pHDAKFRaGDjYVmJmDXRVY6aLP5O0hPiU")</f>
        <v>10lROCv8vZU4pHDAKFRaGDjYVmJmDXRVY6aLP5O0hPiU</v>
      </c>
      <c r="D414" s="4"/>
      <c r="E414" s="4"/>
      <c r="F414" s="4"/>
      <c r="G414" s="4"/>
      <c r="H414" s="4"/>
      <c r="I414" s="4"/>
      <c r="J414" s="4"/>
      <c r="K414" s="4"/>
      <c r="L414" s="4"/>
    </row>
    <row r="415" ht="15.75" customHeight="1">
      <c r="A415" s="4" t="str">
        <f>IFERROR(__xludf.DUMMYFUNCTION("""COMPUTED_VALUE"""),"Blotter")</f>
        <v>Blotter</v>
      </c>
      <c r="B415" s="4" t="str">
        <f>IFERROR(__xludf.DUMMYFUNCTION("""COMPUTED_VALUE"""),"VerifyViewAllocationDetails")</f>
        <v>VerifyViewAllocationDetails</v>
      </c>
      <c r="C415" s="4" t="str">
        <f>IFERROR(__xludf.DUMMYFUNCTION("""COMPUTED_VALUE"""),"1N0pdLUTdwOkDe6Oxo1hLVvtHrAW845GKRDRrNw2nQsA")</f>
        <v>1N0pdLUTdwOkDe6Oxo1hLVvtHrAW845GKRDRrNw2nQsA</v>
      </c>
      <c r="D415" s="4"/>
      <c r="E415" s="4"/>
      <c r="F415" s="4"/>
      <c r="G415" s="4"/>
      <c r="H415" s="4"/>
      <c r="I415" s="4"/>
      <c r="J415" s="4"/>
      <c r="K415" s="4"/>
      <c r="L415" s="4"/>
    </row>
    <row r="416" ht="15.75" customHeight="1">
      <c r="A416" s="4" t="str">
        <f>IFERROR(__xludf.DUMMYFUNCTION("""COMPUTED_VALUE"""),"PTT")</f>
        <v>PTT</v>
      </c>
      <c r="B416" s="4" t="str">
        <f>IFERROR(__xludf.DUMMYFUNCTION("""COMPUTED_VALUE"""),"SelectPTTRecord")</f>
        <v>SelectPTTRecord</v>
      </c>
      <c r="C416" s="4" t="str">
        <f>IFERROR(__xludf.DUMMYFUNCTION("""COMPUTED_VALUE"""),"1XeFP2lm7tB6wETfm2dDqZYoeAfXyeA1KjbojdrZ69vE")</f>
        <v>1XeFP2lm7tB6wETfm2dDqZYoeAfXyeA1KjbojdrZ69vE</v>
      </c>
      <c r="D416" s="4"/>
      <c r="E416" s="4"/>
      <c r="F416" s="4"/>
      <c r="G416" s="4"/>
      <c r="H416" s="4"/>
      <c r="I416" s="4"/>
      <c r="J416" s="4"/>
      <c r="K416" s="4"/>
      <c r="L416" s="4"/>
    </row>
    <row r="417" ht="15.75" customHeight="1">
      <c r="A417" s="4" t="str">
        <f>IFERROR(__xludf.DUMMYFUNCTION("""COMPUTED_VALUE"""),"PTT")</f>
        <v>PTT</v>
      </c>
      <c r="B417" s="4" t="str">
        <f>IFERROR(__xludf.DUMMYFUNCTION("""COMPUTED_VALUE"""),"EditPTTRecordAndExecuteOrder")</f>
        <v>EditPTTRecordAndExecuteOrder</v>
      </c>
      <c r="C417" s="4" t="str">
        <f>IFERROR(__xludf.DUMMYFUNCTION("""COMPUTED_VALUE"""),"1PSIJ72QdQ-ByplSZsPtKhZm3ADB7dR-xpWzGR4Bdl_4")</f>
        <v>1PSIJ72QdQ-ByplSZsPtKhZm3ADB7dR-xpWzGR4Bdl_4</v>
      </c>
      <c r="D417" s="4"/>
      <c r="E417" s="4"/>
      <c r="F417" s="4"/>
      <c r="G417" s="4"/>
      <c r="H417" s="4"/>
      <c r="I417" s="4"/>
      <c r="J417" s="4"/>
      <c r="K417" s="4"/>
      <c r="L417" s="4"/>
    </row>
    <row r="418" ht="15.75" customHeight="1">
      <c r="A418" s="4" t="str">
        <f>IFERROR(__xludf.DUMMYFUNCTION("""COMPUTED_VALUE"""),"PTT")</f>
        <v>PTT</v>
      </c>
      <c r="B418" s="4" t="str">
        <f>IFERROR(__xludf.DUMMYFUNCTION("""COMPUTED_VALUE"""),"CreateOrderAfterEditPTT")</f>
        <v>CreateOrderAfterEditPTT</v>
      </c>
      <c r="C418" s="4" t="str">
        <f>IFERROR(__xludf.DUMMYFUNCTION("""COMPUTED_VALUE"""),"1KsDVAM-jGZBkXQCAjl-IKGN6XcMkdTfUj_E_EYUPpqE")</f>
        <v>1KsDVAM-jGZBkXQCAjl-IKGN6XcMkdTfUj_E_EYUPpqE</v>
      </c>
      <c r="D418" s="4"/>
      <c r="E418" s="4"/>
      <c r="F418" s="4"/>
      <c r="G418" s="4"/>
      <c r="H418" s="4"/>
      <c r="I418" s="4"/>
      <c r="J418" s="4"/>
      <c r="K418" s="4"/>
      <c r="L418" s="4"/>
    </row>
    <row r="419" ht="15.75" customHeight="1">
      <c r="A419" s="4" t="str">
        <f>IFERROR(__xludf.DUMMYFUNCTION("""COMPUTED_VALUE"""),"PTT")</f>
        <v>PTT</v>
      </c>
      <c r="B419" s="4" t="str">
        <f>IFERROR(__xludf.DUMMYFUNCTION("""COMPUTED_VALUE"""),"EditPTTWPFGrid")</f>
        <v>EditPTTWPFGrid</v>
      </c>
      <c r="C419" s="4" t="str">
        <f>IFERROR(__xludf.DUMMYFUNCTION("""COMPUTED_VALUE"""),"1ZN6M0c0ta4_uysjU0LRmcc9chF9IgYpFmqSwGW6bPCY")</f>
        <v>1ZN6M0c0ta4_uysjU0LRmcc9chF9IgYpFmqSwGW6bPCY</v>
      </c>
      <c r="D419" s="4"/>
      <c r="E419" s="4"/>
      <c r="F419" s="4"/>
      <c r="G419" s="4"/>
      <c r="H419" s="4"/>
      <c r="I419" s="4"/>
      <c r="J419" s="4"/>
      <c r="K419" s="4"/>
      <c r="L419" s="4"/>
    </row>
    <row r="420" ht="15.75" customHeight="1">
      <c r="A420" s="4" t="str">
        <f>IFERROR(__xludf.DUMMYFUNCTION("""COMPUTED_VALUE"""),"Blotter")</f>
        <v>Blotter</v>
      </c>
      <c r="B420" s="4" t="str">
        <f>IFERROR(__xludf.DUMMYFUNCTION("""COMPUTED_VALUE"""),"GoToAllocation")</f>
        <v>GoToAllocation</v>
      </c>
      <c r="C420" s="4" t="str">
        <f>IFERROR(__xludf.DUMMYFUNCTION("""COMPUTED_VALUE"""),"1I3StwH3fzwwbh9YvrnDvP_ICtYYZrMPHOthgqOvVOQc")</f>
        <v>1I3StwH3fzwwbh9YvrnDvP_ICtYYZrMPHOthgqOvVOQc</v>
      </c>
      <c r="D420" s="4"/>
      <c r="E420" s="4"/>
      <c r="F420" s="4"/>
      <c r="G420" s="4"/>
      <c r="H420" s="4"/>
      <c r="I420" s="4"/>
      <c r="J420" s="4"/>
      <c r="K420" s="4"/>
      <c r="L420" s="4"/>
    </row>
    <row r="421" ht="15.75" customHeight="1">
      <c r="A421" s="4" t="str">
        <f>IFERROR(__xludf.DUMMYFUNCTION("""COMPUTED_VALUE"""),"Simulator")</f>
        <v>Simulator</v>
      </c>
      <c r="B421" s="4" t="str">
        <f>IFERROR(__xludf.DUMMYFUNCTION("""COMPUTED_VALUE"""),"CloseSimulator")</f>
        <v>CloseSimulator</v>
      </c>
      <c r="C421" s="4" t="str">
        <f>IFERROR(__xludf.DUMMYFUNCTION("""COMPUTED_VALUE"""),"Undefined")</f>
        <v>Undefined</v>
      </c>
      <c r="D421" s="4"/>
      <c r="E421" s="4"/>
      <c r="F421" s="4"/>
      <c r="G421" s="4"/>
      <c r="H421" s="4"/>
      <c r="I421" s="4"/>
      <c r="J421" s="4"/>
      <c r="K421" s="4"/>
      <c r="L421" s="4"/>
    </row>
    <row r="422" ht="15.75" customHeight="1">
      <c r="A422" s="4" t="str">
        <f>IFERROR(__xludf.DUMMYFUNCTION("""COMPUTED_VALUE"""),"GeneralLedger")</f>
        <v>GeneralLedger</v>
      </c>
      <c r="B422" s="4" t="str">
        <f>IFERROR(__xludf.DUMMYFUNCTION("""COMPUTED_VALUE"""),"VerifyCashTransaction")</f>
        <v>VerifyCashTransaction</v>
      </c>
      <c r="C422" s="4" t="str">
        <f>IFERROR(__xludf.DUMMYFUNCTION("""COMPUTED_VALUE"""),"1Urp2F7pMdEwHLyPetR0SnA22v2OTvsTN73e1Eyzzg08")</f>
        <v>1Urp2F7pMdEwHLyPetR0SnA22v2OTvsTN73e1Eyzzg08</v>
      </c>
      <c r="D422" s="4"/>
      <c r="E422" s="4"/>
      <c r="F422" s="4"/>
      <c r="G422" s="4"/>
      <c r="H422" s="4"/>
      <c r="I422" s="4"/>
      <c r="J422" s="4"/>
      <c r="K422" s="4"/>
      <c r="L422" s="4"/>
    </row>
    <row r="423" ht="15.75" customHeight="1">
      <c r="A423" s="4" t="str">
        <f>IFERROR(__xludf.DUMMYFUNCTION("""COMPUTED_VALUE"""),"Rebalancer")</f>
        <v>Rebalancer</v>
      </c>
      <c r="B423" s="4" t="str">
        <f>IFERROR(__xludf.DUMMYFUNCTION("""COMPUTED_VALUE"""),"ModelPortfolio")</f>
        <v>ModelPortfolio</v>
      </c>
      <c r="C423" s="4" t="str">
        <f>IFERROR(__xludf.DUMMYFUNCTION("""COMPUTED_VALUE"""),"1BbwKnMbWwdBYCEpdFconwZ_xILH2kPX-Qj3vt8xntk8")</f>
        <v>1BbwKnMbWwdBYCEpdFconwZ_xILH2kPX-Qj3vt8xntk8</v>
      </c>
      <c r="D423" s="4"/>
      <c r="E423" s="4"/>
      <c r="F423" s="4"/>
      <c r="G423" s="4"/>
      <c r="H423" s="4"/>
      <c r="I423" s="4"/>
      <c r="J423" s="4"/>
      <c r="K423" s="4"/>
      <c r="L423" s="4"/>
    </row>
    <row r="424" ht="15.75" customHeight="1">
      <c r="A424" s="4" t="str">
        <f>IFERROR(__xludf.DUMMYFUNCTION("""COMPUTED_VALUE"""),"DailyValuation")</f>
        <v>DailyValuation</v>
      </c>
      <c r="B424" s="4" t="str">
        <f>IFERROR(__xludf.DUMMYFUNCTION("""COMPUTED_VALUE"""),"VerifyDailyCash")</f>
        <v>VerifyDailyCash</v>
      </c>
      <c r="C424" s="4" t="str">
        <f>IFERROR(__xludf.DUMMYFUNCTION("""COMPUTED_VALUE"""),"1p7JeAcaHVG_A1SPdHgM-evd78CkJgoJkRTeDWckd4RI")</f>
        <v>1p7JeAcaHVG_A1SPdHgM-evd78CkJgoJkRTeDWckd4RI</v>
      </c>
      <c r="D424" s="4"/>
      <c r="E424" s="4"/>
      <c r="F424" s="4"/>
      <c r="G424" s="4"/>
      <c r="H424" s="4"/>
      <c r="I424" s="4"/>
      <c r="J424" s="4"/>
      <c r="K424" s="4"/>
      <c r="L424" s="4"/>
    </row>
    <row r="425" ht="15.75" customHeight="1">
      <c r="A425" s="4" t="str">
        <f>IFERROR(__xludf.DUMMYFUNCTION("""COMPUTED_VALUE"""),"Admin")</f>
        <v>Admin</v>
      </c>
      <c r="B425" s="4" t="str">
        <f>IFERROR(__xludf.DUMMYFUNCTION("""COMPUTED_VALUE"""),"SetCheckSide")</f>
        <v>SetCheckSide</v>
      </c>
      <c r="C425" s="4" t="str">
        <f>IFERROR(__xludf.DUMMYFUNCTION("""COMPUTED_VALUE"""),"1LLz3d9Ay0qFO2Tla_12_h2xvLhss_jI9DSuQFTlU_-4")</f>
        <v>1LLz3d9Ay0qFO2Tla_12_h2xvLhss_jI9DSuQFTlU_-4</v>
      </c>
      <c r="D425" s="4"/>
      <c r="E425" s="4"/>
      <c r="F425" s="4"/>
      <c r="G425" s="4"/>
      <c r="H425" s="4"/>
      <c r="I425" s="4"/>
      <c r="J425" s="4"/>
      <c r="K425" s="4"/>
      <c r="L425" s="4"/>
    </row>
    <row r="426" ht="15.75" customHeight="1">
      <c r="A426" s="4" t="str">
        <f>IFERROR(__xludf.DUMMYFUNCTION("""COMPUTED_VALUE"""),"CorporateAction")</f>
        <v>CorporateAction</v>
      </c>
      <c r="B426" s="4" t="str">
        <f>IFERROR(__xludf.DUMMYFUNCTION("""COMPUTED_VALUE"""),"OpenSpinOff")</f>
        <v>OpenSpinOff</v>
      </c>
      <c r="C426" s="4" t="str">
        <f>IFERROR(__xludf.DUMMYFUNCTION("""COMPUTED_VALUE"""),"1U-BRH15bKLYYFZT4KsAnHYfSvzq2OYUbyJ1Q899SsZo")</f>
        <v>1U-BRH15bKLYYFZT4KsAnHYfSvzq2OYUbyJ1Q899SsZo</v>
      </c>
      <c r="D426" s="4"/>
      <c r="E426" s="4"/>
      <c r="F426" s="4"/>
      <c r="G426" s="4"/>
      <c r="H426" s="4"/>
      <c r="I426" s="4"/>
      <c r="J426" s="4"/>
      <c r="K426" s="4"/>
      <c r="L426" s="4"/>
    </row>
    <row r="427" ht="15.75" customHeight="1">
      <c r="A427" s="4" t="str">
        <f>IFERROR(__xludf.DUMMYFUNCTION("""COMPUTED_VALUE"""),"CorporateAction")</f>
        <v>CorporateAction</v>
      </c>
      <c r="B427" s="4" t="str">
        <f>IFERROR(__xludf.DUMMYFUNCTION("""COMPUTED_VALUE"""),"VerifyAndApplyCorpAction")</f>
        <v>VerifyAndApplyCorpAction</v>
      </c>
      <c r="C427" s="4" t="str">
        <f>IFERROR(__xludf.DUMMYFUNCTION("""COMPUTED_VALUE"""),"1AigkCEPlVCiWI2_hOeywoNapLN_03Q3acTp_JCEFIOQ")</f>
        <v>1AigkCEPlVCiWI2_hOeywoNapLN_03Q3acTp_JCEFIOQ</v>
      </c>
      <c r="D427" s="4"/>
      <c r="E427" s="4"/>
      <c r="F427" s="4"/>
      <c r="G427" s="4"/>
      <c r="H427" s="4"/>
      <c r="I427" s="4"/>
      <c r="J427" s="4"/>
      <c r="K427" s="4"/>
      <c r="L427" s="4"/>
    </row>
    <row r="428" ht="15.75" customHeight="1">
      <c r="A428" s="4" t="str">
        <f>IFERROR(__xludf.DUMMYFUNCTION("""COMPUTED_VALUE"""),"CorporateAction")</f>
        <v>CorporateAction</v>
      </c>
      <c r="B428" s="4" t="str">
        <f>IFERROR(__xludf.DUMMYFUNCTION("""COMPUTED_VALUE"""),"VerifyAndSaveCorpAction")</f>
        <v>VerifyAndSaveCorpAction</v>
      </c>
      <c r="C428" s="4" t="str">
        <f>IFERROR(__xludf.DUMMYFUNCTION("""COMPUTED_VALUE"""),"1C7e-MCh1gT21XsWE5Tb7VqU31f42EtVA62RnW2VwOPQ")</f>
        <v>1C7e-MCh1gT21XsWE5Tb7VqU31f42EtVA62RnW2VwOPQ</v>
      </c>
      <c r="D428" s="4"/>
      <c r="E428" s="4"/>
      <c r="F428" s="4"/>
      <c r="G428" s="4"/>
      <c r="H428" s="4"/>
      <c r="I428" s="4"/>
      <c r="J428" s="4"/>
      <c r="K428" s="4"/>
      <c r="L428" s="4"/>
    </row>
    <row r="429" ht="15.75" customHeight="1">
      <c r="A429" s="4" t="str">
        <f>IFERROR(__xludf.DUMMYFUNCTION("""COMPUTED_VALUE"""),"Allocation")</f>
        <v>Allocation</v>
      </c>
      <c r="B429" s="4" t="str">
        <f>IFERROR(__xludf.DUMMYFUNCTION("""COMPUTED_VALUE"""),"DisableChecksideForAsset")</f>
        <v>DisableChecksideForAsset</v>
      </c>
      <c r="C429" s="4" t="str">
        <f>IFERROR(__xludf.DUMMYFUNCTION("""COMPUTED_VALUE"""),"1RfBjyCTLzPEw44vo9RFEbPNENo_b3MvJETDgJ_nbkSM")</f>
        <v>1RfBjyCTLzPEw44vo9RFEbPNENo_b3MvJETDgJ_nbkSM</v>
      </c>
      <c r="D429" s="4"/>
      <c r="E429" s="4"/>
      <c r="F429" s="4"/>
      <c r="G429" s="4"/>
      <c r="H429" s="4"/>
      <c r="I429" s="4"/>
      <c r="J429" s="4"/>
      <c r="K429" s="4"/>
      <c r="L429" s="4"/>
    </row>
    <row r="430" ht="15.75" customHeight="1">
      <c r="A430" s="4" t="str">
        <f>IFERROR(__xludf.DUMMYFUNCTION("""COMPUTED_VALUE"""),"Allocation")</f>
        <v>Allocation</v>
      </c>
      <c r="B430" s="4" t="str">
        <f>IFERROR(__xludf.DUMMYFUNCTION("""COMPUTED_VALUE"""),"DisableChecksideForAccount")</f>
        <v>DisableChecksideForAccount</v>
      </c>
      <c r="C430" s="4" t="str">
        <f>IFERROR(__xludf.DUMMYFUNCTION("""COMPUTED_VALUE"""),"11m6ioGVfQ91nl6h-xQws9I_OKyCH0bSRW5XRwmAkUaI")</f>
        <v>11m6ioGVfQ91nl6h-xQws9I_OKyCH0bSRW5XRwmAkUaI</v>
      </c>
      <c r="D430" s="4"/>
      <c r="E430" s="4"/>
      <c r="F430" s="4"/>
      <c r="G430" s="4"/>
      <c r="H430" s="4"/>
      <c r="I430" s="4"/>
      <c r="J430" s="4"/>
      <c r="K430" s="4"/>
      <c r="L430" s="4"/>
    </row>
    <row r="431" ht="15.75" customHeight="1">
      <c r="A431" s="4" t="str">
        <f>IFERROR(__xludf.DUMMYFUNCTION("""COMPUTED_VALUE"""),"Allocation")</f>
        <v>Allocation</v>
      </c>
      <c r="B431" s="4" t="str">
        <f>IFERROR(__xludf.DUMMYFUNCTION("""COMPUTED_VALUE"""),"DisableChecksideForCounterParty")</f>
        <v>DisableChecksideForCounterParty</v>
      </c>
      <c r="C431" s="4" t="str">
        <f>IFERROR(__xludf.DUMMYFUNCTION("""COMPUTED_VALUE"""),"1y3920luel_XKEL-2MDmGAmxE3KlfO7vibX7k3zEiD9Q")</f>
        <v>1y3920luel_XKEL-2MDmGAmxE3KlfO7vibX7k3zEiD9Q</v>
      </c>
      <c r="D431" s="4"/>
      <c r="E431" s="4"/>
      <c r="F431" s="4"/>
      <c r="G431" s="4"/>
      <c r="H431" s="4"/>
      <c r="I431" s="4"/>
      <c r="J431" s="4"/>
      <c r="K431" s="4"/>
      <c r="L431" s="4"/>
    </row>
    <row r="432" ht="15.75" customHeight="1">
      <c r="A432" s="4" t="str">
        <f>IFERROR(__xludf.DUMMYFUNCTION("""COMPUTED_VALUE"""),"Allocation")</f>
        <v>Allocation</v>
      </c>
      <c r="B432" s="4" t="str">
        <f>IFERROR(__xludf.DUMMYFUNCTION("""COMPUTED_VALUE"""),"DisableCheckside")</f>
        <v>DisableCheckside</v>
      </c>
      <c r="C432" s="4" t="str">
        <f>IFERROR(__xludf.DUMMYFUNCTION("""COMPUTED_VALUE"""),"1h5qvpgDwc493Hj-H0wWhM1iGSyxbWrc_X9wqtwjDzjw")</f>
        <v>1h5qvpgDwc493Hj-H0wWhM1iGSyxbWrc_X9wqtwjDzjw</v>
      </c>
      <c r="D432" s="4"/>
      <c r="E432" s="4"/>
      <c r="F432" s="4"/>
      <c r="G432" s="4"/>
      <c r="H432" s="4"/>
      <c r="I432" s="4"/>
      <c r="J432" s="4"/>
      <c r="K432" s="4"/>
      <c r="L432" s="4"/>
    </row>
    <row r="433" ht="15.75" customHeight="1">
      <c r="A433" s="4" t="str">
        <f>IFERROR(__xludf.DUMMYFUNCTION("""COMPUTED_VALUE"""),"Allocation")</f>
        <v>Allocation</v>
      </c>
      <c r="B433" s="4" t="str">
        <f>IFERROR(__xludf.DUMMYFUNCTION("""COMPUTED_VALUE"""),"ApplyMasterFundFilter")</f>
        <v>ApplyMasterFundFilter</v>
      </c>
      <c r="C433" s="4" t="str">
        <f>IFERROR(__xludf.DUMMYFUNCTION("""COMPUTED_VALUE"""),"1T-KlzOWiZhplDNh7jZx1mhTu8M9hH3oMPjY-e5YW0xo")</f>
        <v>1T-KlzOWiZhplDNh7jZx1mhTu8M9hH3oMPjY-e5YW0xo</v>
      </c>
      <c r="D433" s="4"/>
      <c r="E433" s="4"/>
      <c r="F433" s="4"/>
      <c r="G433" s="4"/>
      <c r="H433" s="4"/>
      <c r="I433" s="4"/>
      <c r="J433" s="4"/>
      <c r="K433" s="4"/>
      <c r="L433" s="4"/>
    </row>
    <row r="434" ht="15.75" customHeight="1">
      <c r="A434" s="4" t="str">
        <f>IFERROR(__xludf.DUMMYFUNCTION("""COMPUTED_VALUE"""),"TradingTicket")</f>
        <v>TradingTicket</v>
      </c>
      <c r="B434" s="4" t="str">
        <f>IFERROR(__xludf.DUMMYFUNCTION("""COMPUTED_VALUE"""),"UpdateMasterFundOnTT")</f>
        <v>UpdateMasterFundOnTT</v>
      </c>
      <c r="C434" s="4" t="str">
        <f>IFERROR(__xludf.DUMMYFUNCTION("""COMPUTED_VALUE"""),"1N4y3bAhW2tDoINGw83G-QdXBeLDO0PKtGSW5-tKN3js")</f>
        <v>1N4y3bAhW2tDoINGw83G-QdXBeLDO0PKtGSW5-tKN3js</v>
      </c>
      <c r="D434" s="4"/>
      <c r="E434" s="4"/>
      <c r="F434" s="4"/>
      <c r="G434" s="4"/>
      <c r="H434" s="4"/>
      <c r="I434" s="4"/>
      <c r="J434" s="4"/>
      <c r="K434" s="4"/>
      <c r="L434" s="4"/>
    </row>
    <row r="435" ht="15.75" customHeight="1">
      <c r="A435" s="4" t="str">
        <f>IFERROR(__xludf.DUMMYFUNCTION("""COMPUTED_VALUE"""),"Allocation")</f>
        <v>Allocation</v>
      </c>
      <c r="B435" s="4" t="str">
        <f>IFERROR(__xludf.DUMMYFUNCTION("""COMPUTED_VALUE"""),"ShowMasterFundOnTT")</f>
        <v>ShowMasterFundOnTT</v>
      </c>
      <c r="C435" s="4" t="str">
        <f>IFERROR(__xludf.DUMMYFUNCTION("""COMPUTED_VALUE"""),"1iwI9tV-bzTDjn_UTMv4g-Fow5pL0wNDuxL4_vgERgxw")</f>
        <v>1iwI9tV-bzTDjn_UTMv4g-Fow5pL0wNDuxL4_vgERgxw</v>
      </c>
      <c r="D435" s="4"/>
      <c r="E435" s="4"/>
      <c r="F435" s="4"/>
      <c r="G435" s="4"/>
      <c r="H435" s="4"/>
      <c r="I435" s="4"/>
      <c r="J435" s="4"/>
      <c r="K435" s="4"/>
      <c r="L435" s="4"/>
    </row>
    <row r="436" ht="15.75" customHeight="1">
      <c r="A436" s="4" t="str">
        <f>IFERROR(__xludf.DUMMYFUNCTION("""COMPUTED_VALUE"""),"Allocation")</f>
        <v>Allocation</v>
      </c>
      <c r="B436" s="4" t="str">
        <f>IFERROR(__xludf.DUMMYFUNCTION("""COMPUTED_VALUE"""),"ShowMasterFundAsClient")</f>
        <v>ShowMasterFundAsClient</v>
      </c>
      <c r="C436" s="4" t="str">
        <f>IFERROR(__xludf.DUMMYFUNCTION("""COMPUTED_VALUE"""),"1HEkSiTQJoo7hAoCQeG1OliZY3I1tX5067K2-bEPpUxg")</f>
        <v>1HEkSiTQJoo7hAoCQeG1OliZY3I1tX5067K2-bEPpUxg</v>
      </c>
      <c r="D436" s="4"/>
      <c r="E436" s="4"/>
      <c r="F436" s="4"/>
      <c r="G436" s="4"/>
      <c r="H436" s="4"/>
      <c r="I436" s="4"/>
      <c r="J436" s="4"/>
      <c r="K436" s="4"/>
      <c r="L436" s="4"/>
    </row>
    <row r="437" ht="15.75" customHeight="1">
      <c r="A437" s="4" t="str">
        <f>IFERROR(__xludf.DUMMYFUNCTION("""COMPUTED_VALUE"""),"Allocation")</f>
        <v>Allocation</v>
      </c>
      <c r="B437" s="4" t="str">
        <f>IFERROR(__xludf.DUMMYFUNCTION("""COMPUTED_VALUE"""),"SetBrokerAccountMapping")</f>
        <v>SetBrokerAccountMapping</v>
      </c>
      <c r="C437" s="4" t="str">
        <f>IFERROR(__xludf.DUMMYFUNCTION("""COMPUTED_VALUE"""),"1-jAH0BUHYr2W4UnUXp9EOBGtAxXgCqMhloL3-aVw-xA")</f>
        <v>1-jAH0BUHYr2W4UnUXp9EOBGtAxXgCqMhloL3-aVw-xA</v>
      </c>
      <c r="D437" s="4"/>
      <c r="E437" s="4"/>
      <c r="F437" s="4"/>
      <c r="G437" s="4"/>
      <c r="H437" s="4"/>
      <c r="I437" s="4"/>
      <c r="J437" s="4"/>
      <c r="K437" s="4"/>
      <c r="L437" s="4"/>
    </row>
    <row r="438" ht="15.75" customHeight="1">
      <c r="A438" s="4" t="str">
        <f>IFERROR(__xludf.DUMMYFUNCTION("""COMPUTED_VALUE"""),"Allocation")</f>
        <v>Allocation</v>
      </c>
      <c r="B438" s="4" t="str">
        <f>IFERROR(__xludf.DUMMYFUNCTION("""COMPUTED_VALUE"""),"EditUnallocatedGridWPF")</f>
        <v>EditUnallocatedGridWPF</v>
      </c>
      <c r="C438" s="4" t="str">
        <f>IFERROR(__xludf.DUMMYFUNCTION("""COMPUTED_VALUE"""),"1WjO2793DSB3AexrCH-5fVAyD2T9Kn-TpIQtV-sN3fXM")</f>
        <v>1WjO2793DSB3AexrCH-5fVAyD2T9Kn-TpIQtV-sN3fXM</v>
      </c>
      <c r="D438" s="4"/>
      <c r="E438" s="4"/>
      <c r="F438" s="4"/>
      <c r="G438" s="4"/>
      <c r="H438" s="4"/>
      <c r="I438" s="4"/>
      <c r="J438" s="4"/>
      <c r="K438" s="4"/>
      <c r="L438" s="4"/>
    </row>
    <row r="439" ht="15.75" customHeight="1">
      <c r="A439" s="4" t="str">
        <f>IFERROR(__xludf.DUMMYFUNCTION("""COMPUTED_VALUE"""),"Allocation")</f>
        <v>Allocation</v>
      </c>
      <c r="B439" s="4" t="str">
        <f>IFERROR(__xludf.DUMMYFUNCTION("""COMPUTED_VALUE"""),"EditAllocatedGridWPF")</f>
        <v>EditAllocatedGridWPF</v>
      </c>
      <c r="C439" s="4" t="str">
        <f>IFERROR(__xludf.DUMMYFUNCTION("""COMPUTED_VALUE"""),"1FZKuHmBcm_XpFiBPl_RDPdJ0LU4pfInz2KIRBirG4RA")</f>
        <v>1FZKuHmBcm_XpFiBPl_RDPdJ0LU4pfInz2KIRBirG4RA</v>
      </c>
      <c r="D439" s="4"/>
      <c r="E439" s="4"/>
      <c r="F439" s="4"/>
      <c r="G439" s="4"/>
      <c r="H439" s="4"/>
      <c r="I439" s="4"/>
      <c r="J439" s="4"/>
      <c r="K439" s="4"/>
      <c r="L439" s="4"/>
    </row>
    <row r="440" ht="15.75" customHeight="1">
      <c r="A440" s="4" t="str">
        <f>IFERROR(__xludf.DUMMYFUNCTION("""COMPUTED_VALUE"""),"Admin")</f>
        <v>Admin</v>
      </c>
      <c r="B440" s="4" t="str">
        <f>IFERROR(__xludf.DUMMYFUNCTION("""COMPUTED_VALUE"""),"SetRollover")</f>
        <v>SetRollover</v>
      </c>
      <c r="C440" s="4" t="str">
        <f>IFERROR(__xludf.DUMMYFUNCTION("""COMPUTED_VALUE"""),"1IsN0Cfhu8GLrkUalboK5NrRy7btTAbLYUuekJ2Ma6Yg")</f>
        <v>1IsN0Cfhu8GLrkUalboK5NrRy7btTAbLYUuekJ2Ma6Yg</v>
      </c>
      <c r="D440" s="4"/>
      <c r="E440" s="4"/>
      <c r="F440" s="4"/>
      <c r="G440" s="4"/>
      <c r="H440" s="4"/>
      <c r="I440" s="4"/>
      <c r="J440" s="4"/>
      <c r="K440" s="4"/>
      <c r="L440" s="4"/>
    </row>
    <row r="441" ht="15.75" customHeight="1">
      <c r="A441" s="4" t="str">
        <f>IFERROR(__xludf.DUMMYFUNCTION("""COMPUTED_VALUE"""),"Blotter")</f>
        <v>Blotter</v>
      </c>
      <c r="B441" s="4" t="str">
        <f>IFERROR(__xludf.DUMMYFUNCTION("""COMPUTED_VALUE"""),"VerifyRollover")</f>
        <v>VerifyRollover</v>
      </c>
      <c r="C441" s="4" t="str">
        <f>IFERROR(__xludf.DUMMYFUNCTION("""COMPUTED_VALUE"""),"1LK99kRJ1Jix1IHxif4J6qr7zVjtU8vqt4IThBtuOVf4")</f>
        <v>1LK99kRJ1Jix1IHxif4J6qr7zVjtU8vqt4IThBtuOVf4</v>
      </c>
      <c r="D441" s="4"/>
      <c r="E441" s="4"/>
      <c r="F441" s="4"/>
      <c r="G441" s="4"/>
      <c r="H441" s="4"/>
      <c r="I441" s="4"/>
      <c r="J441" s="4"/>
      <c r="K441" s="4"/>
      <c r="L441" s="4"/>
    </row>
    <row r="442" ht="15.75" customHeight="1">
      <c r="A442" s="4" t="str">
        <f>IFERROR(__xludf.DUMMYFUNCTION("""COMPUTED_VALUE"""),"Allocation")</f>
        <v>Allocation</v>
      </c>
      <c r="B442" s="4" t="str">
        <f>IFERROR(__xludf.DUMMYFUNCTION("""COMPUTED_VALUE"""),"EditAllocatedGridTaxlot")</f>
        <v>EditAllocatedGridTaxlot</v>
      </c>
      <c r="C442" s="4" t="str">
        <f>IFERROR(__xludf.DUMMYFUNCTION("""COMPUTED_VALUE"""),"1BFSIhQB5TYAg8_M-Mo1tG8w-M1mRnNY_0PslvrGE6V0")</f>
        <v>1BFSIhQB5TYAg8_M-Mo1tG8w-M1mRnNY_0PslvrGE6V0</v>
      </c>
      <c r="D442" s="4"/>
      <c r="E442" s="4"/>
      <c r="F442" s="4"/>
      <c r="G442" s="4"/>
      <c r="H442" s="4"/>
      <c r="I442" s="4"/>
      <c r="J442" s="4"/>
      <c r="K442" s="4"/>
      <c r="L442" s="4"/>
    </row>
    <row r="443" ht="15.75" customHeight="1">
      <c r="A443" s="4" t="str">
        <f>IFERROR(__xludf.DUMMYFUNCTION("""COMPUTED_VALUE"""),"Allocation")</f>
        <v>Allocation</v>
      </c>
      <c r="B443" s="4" t="str">
        <f>IFERROR(__xludf.DUMMYFUNCTION("""COMPUTED_VALUE"""),"ExpandCollapseAllocatedGrid")</f>
        <v>ExpandCollapseAllocatedGrid</v>
      </c>
      <c r="C443" s="4" t="str">
        <f>IFERROR(__xludf.DUMMYFUNCTION("""COMPUTED_VALUE"""),"1qQZFllfIgVu8YI6RYgRzVq7hDp1kHBoOsvq3lGCpsu0")</f>
        <v>1qQZFllfIgVu8YI6RYgRzVq7hDp1kHBoOsvq3lGCpsu0</v>
      </c>
      <c r="D443" s="4"/>
      <c r="E443" s="4"/>
      <c r="F443" s="4"/>
      <c r="G443" s="4"/>
      <c r="H443" s="4"/>
      <c r="I443" s="4"/>
      <c r="J443" s="4"/>
      <c r="K443" s="4"/>
      <c r="L443" s="4"/>
    </row>
    <row r="444" ht="15.75" customHeight="1">
      <c r="A444" s="4" t="str">
        <f>IFERROR(__xludf.DUMMYFUNCTION("""COMPUTED_VALUE"""),"Allocation")</f>
        <v>Allocation</v>
      </c>
      <c r="B444" s="4" t="str">
        <f>IFERROR(__xludf.DUMMYFUNCTION("""COMPUTED_VALUE"""),"ExpandCollapseUnallocatedGrid")</f>
        <v>ExpandCollapseUnallocatedGrid</v>
      </c>
      <c r="C444" s="4" t="str">
        <f>IFERROR(__xludf.DUMMYFUNCTION("""COMPUTED_VALUE"""),"1UD0TjK90W_15S50XezLY8jX9yJZvWP_kzf3zvGKH6Lo")</f>
        <v>1UD0TjK90W_15S50XezLY8jX9yJZvWP_kzf3zvGKH6Lo</v>
      </c>
      <c r="D444" s="4"/>
      <c r="E444" s="4"/>
      <c r="F444" s="4"/>
      <c r="G444" s="4"/>
      <c r="H444" s="4"/>
      <c r="I444" s="4"/>
      <c r="J444" s="4"/>
      <c r="K444" s="4"/>
      <c r="L444" s="4"/>
    </row>
    <row r="445" ht="15.75" customHeight="1">
      <c r="A445" s="4" t="str">
        <f>IFERROR(__xludf.DUMMYFUNCTION("""COMPUTED_VALUE"""),"Blotter")</f>
        <v>Blotter</v>
      </c>
      <c r="B445" s="4" t="str">
        <f>IFERROR(__xludf.DUMMYFUNCTION("""COMPUTED_VALUE"""),"VerifySubOrderAfterRollover")</f>
        <v>VerifySubOrderAfterRollover</v>
      </c>
      <c r="C445" s="4" t="str">
        <f>IFERROR(__xludf.DUMMYFUNCTION("""COMPUTED_VALUE"""),"1d2n7uTbGUAG0Fw_-hVLgvR5bPSacMCQFYb_9Aqwi25c")</f>
        <v>1d2n7uTbGUAG0Fw_-hVLgvR5bPSacMCQFYb_9Aqwi25c</v>
      </c>
      <c r="D445" s="4"/>
      <c r="E445" s="4"/>
      <c r="F445" s="4"/>
      <c r="G445" s="4"/>
      <c r="H445" s="4"/>
      <c r="I445" s="4"/>
      <c r="J445" s="4"/>
      <c r="K445" s="4"/>
      <c r="L445" s="4"/>
    </row>
    <row r="446" ht="15.75" customHeight="1">
      <c r="A446" s="4" t="str">
        <f>IFERROR(__xludf.DUMMYFUNCTION("""COMPUTED_VALUE"""),"Import")</f>
        <v>Import</v>
      </c>
      <c r="B446" s="4" t="str">
        <f>IFERROR(__xludf.DUMMYFUNCTION("""COMPUTED_VALUE"""),"SelectTransactionImportType")</f>
        <v>SelectTransactionImportType</v>
      </c>
      <c r="C446" s="4" t="str">
        <f>IFERROR(__xludf.DUMMYFUNCTION("""COMPUTED_VALUE"""),"1Ug5aDJXZ2MYzdZjiy87TkbK0iURa_OwZ6nFZNhxoHGY")</f>
        <v>1Ug5aDJXZ2MYzdZjiy87TkbK0iURa_OwZ6nFZNhxoHGY</v>
      </c>
      <c r="D446" s="4"/>
      <c r="E446" s="4"/>
      <c r="F446" s="4"/>
      <c r="G446" s="4"/>
      <c r="H446" s="4"/>
      <c r="I446" s="4"/>
      <c r="J446" s="4"/>
      <c r="K446" s="4"/>
      <c r="L446" s="4"/>
    </row>
    <row r="447" ht="15.75" customHeight="1">
      <c r="A447" s="4" t="str">
        <f>IFERROR(__xludf.DUMMYFUNCTION("""COMPUTED_VALUE"""),"Import")</f>
        <v>Import</v>
      </c>
      <c r="B447" s="4" t="str">
        <f>IFERROR(__xludf.DUMMYFUNCTION("""COMPUTED_VALUE"""),"SelectAllOnImport")</f>
        <v>SelectAllOnImport</v>
      </c>
      <c r="C447" s="4" t="str">
        <f>IFERROR(__xludf.DUMMYFUNCTION("""COMPUTED_VALUE"""),"15kH24bHLnChO_IakP1yWGQ4NHnPUcWr-qrx2hCLl0Rs")</f>
        <v>15kH24bHLnChO_IakP1yWGQ4NHnPUcWr-qrx2hCLl0Rs</v>
      </c>
      <c r="D447" s="4"/>
      <c r="E447" s="4"/>
      <c r="F447" s="4"/>
      <c r="G447" s="4"/>
      <c r="H447" s="4"/>
      <c r="I447" s="4"/>
      <c r="J447" s="4"/>
      <c r="K447" s="4"/>
      <c r="L447" s="4"/>
    </row>
    <row r="448" ht="15.75" customHeight="1">
      <c r="A448" s="4" t="str">
        <f>IFERROR(__xludf.DUMMYFUNCTION("""COMPUTED_VALUE"""),"Import")</f>
        <v>Import</v>
      </c>
      <c r="B448" s="4" t="str">
        <f>IFERROR(__xludf.DUMMYFUNCTION("""COMPUTED_VALUE"""),"SelectMarkPriceImportType")</f>
        <v>SelectMarkPriceImportType</v>
      </c>
      <c r="C448" s="4" t="str">
        <f>IFERROR(__xludf.DUMMYFUNCTION("""COMPUTED_VALUE"""),"1u361oGPG-Jq-p0fQA91MqPpn9RXhbu_kuvkRTxMFWxM")</f>
        <v>1u361oGPG-Jq-p0fQA91MqPpn9RXhbu_kuvkRTxMFWxM</v>
      </c>
      <c r="D448" s="4"/>
      <c r="E448" s="4"/>
      <c r="F448" s="4"/>
      <c r="G448" s="4"/>
      <c r="H448" s="4"/>
      <c r="I448" s="4"/>
      <c r="J448" s="4"/>
      <c r="K448" s="4"/>
      <c r="L448" s="4"/>
    </row>
    <row r="449" ht="15.75" customHeight="1">
      <c r="A449" s="4" t="str">
        <f>IFERROR(__xludf.DUMMYFUNCTION("""COMPUTED_VALUE"""),"Import")</f>
        <v>Import</v>
      </c>
      <c r="B449" s="4" t="str">
        <f>IFERROR(__xludf.DUMMYFUNCTION("""COMPUTED_VALUE"""),"SelectForexImportType")</f>
        <v>SelectForexImportType</v>
      </c>
      <c r="C449" s="4" t="str">
        <f>IFERROR(__xludf.DUMMYFUNCTION("""COMPUTED_VALUE"""),"1VuEhlxb0Ntlbh7FJ4BwgZpb9ydlc_jleqg7A8gRSuOE")</f>
        <v>1VuEhlxb0Ntlbh7FJ4BwgZpb9ydlc_jleqg7A8gRSuOE</v>
      </c>
      <c r="D449" s="4"/>
      <c r="E449" s="4"/>
      <c r="F449" s="4"/>
      <c r="G449" s="4"/>
      <c r="H449" s="4"/>
      <c r="I449" s="4"/>
      <c r="J449" s="4"/>
      <c r="K449" s="4"/>
      <c r="L449" s="4"/>
    </row>
    <row r="450" ht="15.75" customHeight="1">
      <c r="A450" s="4" t="str">
        <f>IFERROR(__xludf.DUMMYFUNCTION("""COMPUTED_VALUE"""),"Import")</f>
        <v>Import</v>
      </c>
      <c r="B450" s="4" t="str">
        <f>IFERROR(__xludf.DUMMYFUNCTION("""COMPUTED_VALUE"""),"SelectDoubleEntryCashImportType")</f>
        <v>SelectDoubleEntryCashImportType</v>
      </c>
      <c r="C450" s="4" t="str">
        <f>IFERROR(__xludf.DUMMYFUNCTION("""COMPUTED_VALUE"""),"1w4_aAJj7RTcH4PfJ4aGD-0Fx9fQcCz5rUlLhFvihhzU")</f>
        <v>1w4_aAJj7RTcH4PfJ4aGD-0Fx9fQcCz5rUlLhFvihhzU</v>
      </c>
      <c r="D450" s="4"/>
      <c r="E450" s="4"/>
      <c r="F450" s="4"/>
      <c r="G450" s="4"/>
      <c r="H450" s="4"/>
      <c r="I450" s="4"/>
      <c r="J450" s="4"/>
      <c r="K450" s="4"/>
      <c r="L450" s="4"/>
    </row>
    <row r="451" ht="15.75" customHeight="1">
      <c r="A451" s="4" t="str">
        <f>IFERROR(__xludf.DUMMYFUNCTION("""COMPUTED_VALUE"""),"Import")</f>
        <v>Import</v>
      </c>
      <c r="B451" s="4" t="str">
        <f>IFERROR(__xludf.DUMMYFUNCTION("""COMPUTED_VALUE"""),"SelectActivitiesImportType")</f>
        <v>SelectActivitiesImportType</v>
      </c>
      <c r="C451" s="4" t="str">
        <f>IFERROR(__xludf.DUMMYFUNCTION("""COMPUTED_VALUE"""),"1QRxHDbBMkMUkH0F8WiORPd2loUWwUte9XykaaWPOOig")</f>
        <v>1QRxHDbBMkMUkH0F8WiORPd2loUWwUte9XykaaWPOOig</v>
      </c>
      <c r="D451" s="4"/>
      <c r="E451" s="4"/>
      <c r="F451" s="4"/>
      <c r="G451" s="4"/>
      <c r="H451" s="4"/>
      <c r="I451" s="4"/>
      <c r="J451" s="4"/>
      <c r="K451" s="4"/>
      <c r="L451" s="4"/>
    </row>
    <row r="452" ht="15.75" customHeight="1">
      <c r="A452" s="4" t="str">
        <f>IFERROR(__xludf.DUMMYFUNCTION("""COMPUTED_VALUE"""),"TradingTicket")</f>
        <v>TradingTicket</v>
      </c>
      <c r="B452" s="4" t="str">
        <f>IFERROR(__xludf.DUMMYFUNCTION("""COMPUTED_VALUE"""),"SetTTCompliancePreference")</f>
        <v>SetTTCompliancePreference</v>
      </c>
      <c r="C452" s="4" t="str">
        <f>IFERROR(__xludf.DUMMYFUNCTION("""COMPUTED_VALUE"""),"1gOOiQiJSKveyRw21YYv0m2VV5trx-l9sZqzNVA40Sc8")</f>
        <v>1gOOiQiJSKveyRw21YYv0m2VV5trx-l9sZqzNVA40Sc8</v>
      </c>
      <c r="D452" s="4"/>
      <c r="E452" s="4"/>
      <c r="F452" s="4"/>
      <c r="G452" s="4"/>
      <c r="H452" s="4"/>
      <c r="I452" s="4"/>
      <c r="J452" s="4"/>
      <c r="K452" s="4"/>
      <c r="L452" s="4"/>
    </row>
    <row r="453" ht="15.75" customHeight="1">
      <c r="A453" s="4" t="str">
        <f>IFERROR(__xludf.DUMMYFUNCTION("""COMPUTED_VALUE"""),"Rebalancer")</f>
        <v>Rebalancer</v>
      </c>
      <c r="B453" s="4" t="str">
        <f>IFERROR(__xludf.DUMMYFUNCTION("""COMPUTED_VALUE"""),"LockandUnlockGridData")</f>
        <v>LockandUnlockGridData</v>
      </c>
      <c r="C453" s="4" t="str">
        <f>IFERROR(__xludf.DUMMYFUNCTION("""COMPUTED_VALUE"""),"1DO2kiuySeBrdw-FrV0IYgBcHEHdO56ih8X2yodtEv_w")</f>
        <v>1DO2kiuySeBrdw-FrV0IYgBcHEHdO56ih8X2yodtEv_w</v>
      </c>
      <c r="D453" s="4"/>
      <c r="E453" s="4"/>
      <c r="F453" s="4"/>
      <c r="G453" s="4"/>
      <c r="H453" s="4"/>
      <c r="I453" s="4"/>
      <c r="J453" s="4"/>
      <c r="K453" s="4"/>
      <c r="L453" s="4"/>
    </row>
    <row r="454" ht="15.75" customHeight="1">
      <c r="A454" s="4" t="str">
        <f>IFERROR(__xludf.DUMMYFUNCTION("""COMPUTED_VALUE"""),"Allocation")</f>
        <v>Allocation</v>
      </c>
      <c r="B454" s="4" t="str">
        <f>IFERROR(__xludf.DUMMYFUNCTION("""COMPUTED_VALUE"""),"SetTradeAttributePreferences")</f>
        <v>SetTradeAttributePreferences</v>
      </c>
      <c r="C454" s="4" t="str">
        <f>IFERROR(__xludf.DUMMYFUNCTION("""COMPUTED_VALUE"""),"1dN2leQSssJt9dSc9XBrW1dbIBOLPLbP7aD2QXcqVoYI")</f>
        <v>1dN2leQSssJt9dSc9XBrW1dbIBOLPLbP7aD2QXcqVoYI</v>
      </c>
      <c r="D454" s="4"/>
      <c r="E454" s="4"/>
      <c r="F454" s="4"/>
      <c r="G454" s="4"/>
      <c r="H454" s="4"/>
      <c r="I454" s="4"/>
      <c r="J454" s="4"/>
      <c r="K454" s="4"/>
      <c r="L454" s="4"/>
    </row>
    <row r="455" ht="15.75" customHeight="1">
      <c r="A455" s="4" t="str">
        <f>IFERROR(__xludf.DUMMYFUNCTION("""COMPUTED_VALUE"""),"GeneralLedger")</f>
        <v>GeneralLedger</v>
      </c>
      <c r="B455" s="4" t="str">
        <f>IFERROR(__xludf.DUMMYFUNCTION("""COMPUTED_VALUE"""),"VerifyAccountBalances")</f>
        <v>VerifyAccountBalances</v>
      </c>
      <c r="C455" s="4" t="str">
        <f>IFERROR(__xludf.DUMMYFUNCTION("""COMPUTED_VALUE"""),"1_Bb0NJhmEZf0GRznXLKybd9VevZ8za-sCX4G7B4qtsM")</f>
        <v>1_Bb0NJhmEZf0GRznXLKybd9VevZ8za-sCX4G7B4qtsM</v>
      </c>
      <c r="D455" s="4"/>
      <c r="E455" s="4"/>
      <c r="F455" s="4"/>
      <c r="G455" s="4"/>
      <c r="H455" s="4"/>
      <c r="I455" s="4"/>
      <c r="J455" s="4"/>
      <c r="K455" s="4"/>
      <c r="L455" s="4"/>
    </row>
    <row r="456" ht="15.75" customHeight="1">
      <c r="A456" s="4" t="str">
        <f>IFERROR(__xludf.DUMMYFUNCTION("""COMPUTED_VALUE"""),"Rebalancer")</f>
        <v>Rebalancer</v>
      </c>
      <c r="B456" s="4" t="str">
        <f>IFERROR(__xludf.DUMMYFUNCTION("""COMPUTED_VALUE"""),"RefreshGridData")</f>
        <v>RefreshGridData</v>
      </c>
      <c r="C456" s="4" t="str">
        <f>IFERROR(__xludf.DUMMYFUNCTION("""COMPUTED_VALUE"""),"1eXT2UFbktlYGRbqw2LWDBJOU8xuu3DfP6EZDAMps2jg")</f>
        <v>1eXT2UFbktlYGRbqw2LWDBJOU8xuu3DfP6EZDAMps2jg</v>
      </c>
      <c r="D456" s="4"/>
      <c r="E456" s="4"/>
      <c r="F456" s="4"/>
      <c r="G456" s="4"/>
      <c r="H456" s="4"/>
      <c r="I456" s="4"/>
      <c r="J456" s="4"/>
      <c r="K456" s="4"/>
      <c r="L456" s="4"/>
    </row>
    <row r="457" ht="15.75" customHeight="1">
      <c r="A457" s="4" t="str">
        <f>IFERROR(__xludf.DUMMYFUNCTION("""COMPUTED_VALUE"""),"GeneralLedger")</f>
        <v>GeneralLedger</v>
      </c>
      <c r="B457" s="4" t="str">
        <f>IFERROR(__xludf.DUMMYFUNCTION("""COMPUTED_VALUE"""),"AddMultipleOpeningBalTranItem")</f>
        <v>AddMultipleOpeningBalTranItem</v>
      </c>
      <c r="C457" s="4" t="str">
        <f>IFERROR(__xludf.DUMMYFUNCTION("""COMPUTED_VALUE"""),"11A7t3ReNCtqF9GmtCIeyqSvuLyXTOIz6Z7rrR1rcLxU")</f>
        <v>11A7t3ReNCtqF9GmtCIeyqSvuLyXTOIz6Z7rrR1rcLxU</v>
      </c>
      <c r="D457" s="4"/>
      <c r="E457" s="4"/>
      <c r="F457" s="4"/>
      <c r="G457" s="4"/>
      <c r="H457" s="4"/>
      <c r="I457" s="4"/>
      <c r="J457" s="4"/>
      <c r="K457" s="4"/>
      <c r="L457" s="4"/>
    </row>
    <row r="458" ht="15.75" customHeight="1">
      <c r="A458" s="4" t="str">
        <f>IFERROR(__xludf.DUMMYFUNCTION("""COMPUTED_VALUE"""),"Import")</f>
        <v>Import</v>
      </c>
      <c r="B458" s="4" t="str">
        <f>IFERROR(__xludf.DUMMYFUNCTION("""COMPUTED_VALUE"""),"ApplyFilterOnImport")</f>
        <v>ApplyFilterOnImport</v>
      </c>
      <c r="C458" s="4" t="str">
        <f>IFERROR(__xludf.DUMMYFUNCTION("""COMPUTED_VALUE"""),"1X_Y_CvwjwEfeRv6rV15vWdCxvbtSeiwVqa6n3rAtKrs")</f>
        <v>1X_Y_CvwjwEfeRv6rV15vWdCxvbtSeiwVqa6n3rAtKrs</v>
      </c>
      <c r="D458" s="4"/>
      <c r="E458" s="4"/>
      <c r="F458" s="4"/>
      <c r="G458" s="4"/>
      <c r="H458" s="4"/>
      <c r="I458" s="4"/>
      <c r="J458" s="4"/>
      <c r="K458" s="4"/>
      <c r="L458" s="4"/>
    </row>
    <row r="459" ht="15.75" customHeight="1">
      <c r="A459" s="4" t="str">
        <f>IFERROR(__xludf.DUMMYFUNCTION("""COMPUTED_VALUE"""),"Rebalancer")</f>
        <v>Rebalancer</v>
      </c>
      <c r="B459" s="4" t="str">
        <f>IFERROR(__xludf.DUMMYFUNCTION("""COMPUTED_VALUE"""),"SendtoStaging")</f>
        <v>SendtoStaging</v>
      </c>
      <c r="C459" s="4" t="str">
        <f>IFERROR(__xludf.DUMMYFUNCTION("""COMPUTED_VALUE"""),"1Xnuh_Wo19bTeQK24IGGha1PcZfjhUkK-31O4OTo-8gk")</f>
        <v>1Xnuh_Wo19bTeQK24IGGha1PcZfjhUkK-31O4OTo-8gk</v>
      </c>
      <c r="D459" s="4"/>
      <c r="E459" s="4"/>
      <c r="F459" s="4"/>
      <c r="G459" s="4"/>
      <c r="H459" s="4"/>
      <c r="I459" s="4"/>
      <c r="J459" s="4"/>
      <c r="K459" s="4"/>
      <c r="L459" s="4"/>
    </row>
    <row r="460" ht="15.75" customHeight="1">
      <c r="A460" s="4" t="str">
        <f>IFERROR(__xludf.DUMMYFUNCTION("""COMPUTED_VALUE"""),"Rebalancer")</f>
        <v>Rebalancer</v>
      </c>
      <c r="B460" s="4" t="str">
        <f>IFERROR(__xludf.DUMMYFUNCTION("""COMPUTED_VALUE"""),"SendToStagingExport")</f>
        <v>SendToStagingExport</v>
      </c>
      <c r="C460" s="4" t="str">
        <f>IFERROR(__xludf.DUMMYFUNCTION("""COMPUTED_VALUE"""),"1OPD3lVtYSDe_XHE5HwEohhSSru0N2Ct-tsJMahW36gA")</f>
        <v>1OPD3lVtYSDe_XHE5HwEohhSSru0N2Ct-tsJMahW36gA</v>
      </c>
      <c r="D460" s="4"/>
      <c r="E460" s="4"/>
      <c r="F460" s="4"/>
      <c r="G460" s="4"/>
      <c r="H460" s="4"/>
      <c r="I460" s="4"/>
      <c r="J460" s="4"/>
      <c r="K460" s="4"/>
      <c r="L460" s="4"/>
    </row>
    <row r="461" ht="15.75" customHeight="1">
      <c r="A461" s="4" t="str">
        <f>IFERROR(__xludf.DUMMYFUNCTION("""COMPUTED_VALUE"""),"PTT")</f>
        <v>PTT</v>
      </c>
      <c r="B461" s="4" t="str">
        <f>IFERROR(__xludf.DUMMYFUNCTION("""COMPUTED_VALUE"""),"SetDefaultSymbology")</f>
        <v>SetDefaultSymbology</v>
      </c>
      <c r="C461" s="4" t="str">
        <f>IFERROR(__xludf.DUMMYFUNCTION("""COMPUTED_VALUE"""),"1KdWYL-9o3T_s8hnOZgoqVlgZifoowhBftf1dB8UUEjA")</f>
        <v>1KdWYL-9o3T_s8hnOZgoqVlgZifoowhBftf1dB8UUEjA</v>
      </c>
      <c r="D461" s="4"/>
      <c r="E461" s="4"/>
      <c r="F461" s="4"/>
      <c r="G461" s="4"/>
      <c r="H461" s="4"/>
      <c r="I461" s="4"/>
      <c r="J461" s="4"/>
      <c r="K461" s="4"/>
      <c r="L461" s="4"/>
    </row>
    <row r="462" ht="15.75" customHeight="1">
      <c r="A462" s="4" t="str">
        <f>IFERROR(__xludf.DUMMYFUNCTION("""COMPUTED_VALUE"""),"Allocation")</f>
        <v>Allocation</v>
      </c>
      <c r="B462" s="4" t="str">
        <f>IFERROR(__xludf.DUMMYFUNCTION("""COMPUTED_VALUE"""),"EnterCustomAllocatePreference")</f>
        <v>EnterCustomAllocatePreference</v>
      </c>
      <c r="C462" s="4" t="str">
        <f>IFERROR(__xludf.DUMMYFUNCTION("""COMPUTED_VALUE"""),"1kexOrwBiHtqG3kWPF004vh7Uh_fsxYODz7FwJELyxHs")</f>
        <v>1kexOrwBiHtqG3kWPF004vh7Uh_fsxYODz7FwJELyxHs</v>
      </c>
      <c r="D462" s="4"/>
      <c r="E462" s="4"/>
      <c r="F462" s="4"/>
      <c r="G462" s="4"/>
      <c r="H462" s="4"/>
      <c r="I462" s="4"/>
      <c r="J462" s="4"/>
      <c r="K462" s="4"/>
      <c r="L462" s="4"/>
    </row>
    <row r="463" ht="15.75" customHeight="1">
      <c r="A463" s="4" t="str">
        <f>IFERROR(__xludf.DUMMYFUNCTION("""COMPUTED_VALUE"""),"PTT")</f>
        <v>PTT</v>
      </c>
      <c r="B463" s="4" t="str">
        <f>IFERROR(__xludf.DUMMYFUNCTION("""COMPUTED_VALUE"""),"EditPTTAccountLevelWPF")</f>
        <v>EditPTTAccountLevelWPF</v>
      </c>
      <c r="C463" s="4" t="str">
        <f>IFERROR(__xludf.DUMMYFUNCTION("""COMPUTED_VALUE"""),"1FOz3pvVXQqHqNaQZoj1ZAwoakpNcXbTzmGBaHQHWAHg")</f>
        <v>1FOz3pvVXQqHqNaQZoj1ZAwoakpNcXbTzmGBaHQHWAHg</v>
      </c>
      <c r="D463" s="4"/>
      <c r="E463" s="4"/>
      <c r="F463" s="4"/>
      <c r="G463" s="4"/>
      <c r="H463" s="4"/>
      <c r="I463" s="4"/>
      <c r="J463" s="4"/>
      <c r="K463" s="4"/>
      <c r="L463" s="4"/>
    </row>
    <row r="464" ht="15.75" customHeight="1">
      <c r="A464" s="4" t="str">
        <f>IFERROR(__xludf.DUMMYFUNCTION("""COMPUTED_VALUE"""),"PortfolioManagement")</f>
        <v>PortfolioManagement</v>
      </c>
      <c r="B464" s="4" t="str">
        <f>IFERROR(__xludf.DUMMYFUNCTION("""COMPUTED_VALUE"""),"OpenCreateTransactionFromPM")</f>
        <v>OpenCreateTransactionFromPM</v>
      </c>
      <c r="C464" s="4" t="str">
        <f>IFERROR(__xludf.DUMMYFUNCTION("""COMPUTED_VALUE"""),"1P5WpmZxUJFZHJeXXrd3NNkBg8pOhlyvhikvYTRi0xJw")</f>
        <v>1P5WpmZxUJFZHJeXXrd3NNkBg8pOhlyvhikvYTRi0xJw</v>
      </c>
      <c r="D464" s="4"/>
      <c r="E464" s="4"/>
      <c r="F464" s="4"/>
      <c r="G464" s="4"/>
      <c r="H464" s="4"/>
      <c r="I464" s="4"/>
      <c r="J464" s="4"/>
      <c r="K464" s="4"/>
      <c r="L464" s="4"/>
    </row>
    <row r="465" ht="15.75" customHeight="1">
      <c r="A465" s="4" t="str">
        <f>IFERROR(__xludf.DUMMYFUNCTION("""COMPUTED_VALUE"""),"Allocation")</f>
        <v>Allocation</v>
      </c>
      <c r="B465" s="4" t="str">
        <f>IFERROR(__xludf.DUMMYFUNCTION("""COMPUTED_VALUE"""),"SetAutoGroupingPreferences")</f>
        <v>SetAutoGroupingPreferences</v>
      </c>
      <c r="C465" s="4" t="str">
        <f>IFERROR(__xludf.DUMMYFUNCTION("""COMPUTED_VALUE"""),"1AhbrxQBzlUvYhZ04Lc7wrtynsHI_0KCLcf8QD3l6tpk")</f>
        <v>1AhbrxQBzlUvYhZ04Lc7wrtynsHI_0KCLcf8QD3l6tpk</v>
      </c>
      <c r="D465" s="4"/>
      <c r="E465" s="4"/>
      <c r="F465" s="4"/>
      <c r="G465" s="4"/>
      <c r="H465" s="4"/>
      <c r="I465" s="4"/>
      <c r="J465" s="4"/>
      <c r="K465" s="4"/>
      <c r="L465" s="4"/>
    </row>
    <row r="466" ht="15.75" customHeight="1">
      <c r="A466" s="4" t="str">
        <f>IFERROR(__xludf.DUMMYFUNCTION("""COMPUTED_VALUE"""),"Allocation")</f>
        <v>Allocation</v>
      </c>
      <c r="B466" s="4" t="str">
        <f>IFERROR(__xludf.DUMMYFUNCTION("""COMPUTED_VALUE"""),"SetAutoGroupingAccount")</f>
        <v>SetAutoGroupingAccount</v>
      </c>
      <c r="C466" s="4" t="str">
        <f>IFERROR(__xludf.DUMMYFUNCTION("""COMPUTED_VALUE"""),"18esH6GBNz1-GV7-ZFJ2hX2Sp9V56SlvmGczGBmWjjgk")</f>
        <v>18esH6GBNz1-GV7-ZFJ2hX2Sp9V56SlvmGczGBmWjjgk</v>
      </c>
      <c r="D466" s="4"/>
      <c r="E466" s="4"/>
      <c r="F466" s="4"/>
      <c r="G466" s="4"/>
      <c r="H466" s="4"/>
      <c r="I466" s="4"/>
      <c r="J466" s="4"/>
      <c r="K466" s="4"/>
      <c r="L466" s="4"/>
    </row>
    <row r="467" ht="15.75" customHeight="1">
      <c r="A467" s="4" t="str">
        <f>IFERROR(__xludf.DUMMYFUNCTION("""COMPUTED_VALUE"""),"Allocation")</f>
        <v>Allocation</v>
      </c>
      <c r="B467" s="4" t="str">
        <f>IFERROR(__xludf.DUMMYFUNCTION("""COMPUTED_VALUE"""),"SetAvgPriceRounding")</f>
        <v>SetAvgPriceRounding</v>
      </c>
      <c r="C467" s="4" t="str">
        <f>IFERROR(__xludf.DUMMYFUNCTION("""COMPUTED_VALUE"""),"1rkw9xlq4Ee01gKbFKqk4K6RIEIEZdOXtofMrjBh_3qs")</f>
        <v>1rkw9xlq4Ee01gKbFKqk4K6RIEIEZdOXtofMrjBh_3qs</v>
      </c>
      <c r="D467" s="4"/>
      <c r="E467" s="4"/>
      <c r="F467" s="4"/>
      <c r="G467" s="4"/>
      <c r="H467" s="4"/>
      <c r="I467" s="4"/>
      <c r="J467" s="4"/>
      <c r="K467" s="4"/>
      <c r="L467" s="4"/>
    </row>
    <row r="468" ht="15.75" customHeight="1">
      <c r="A468" s="4" t="str">
        <f>IFERROR(__xludf.DUMMYFUNCTION("""COMPUTED_VALUE"""),"Admin")</f>
        <v>Admin</v>
      </c>
      <c r="B468" s="4" t="str">
        <f>IFERROR(__xludf.DUMMYFUNCTION("""COMPUTED_VALUE"""),"SetActive")</f>
        <v>SetActive</v>
      </c>
      <c r="C468" s="4" t="str">
        <f>IFERROR(__xludf.DUMMYFUNCTION("""COMPUTED_VALUE"""),"1gUu6sYSTqVEyjUlOCoeeIVztfrHW4NwiHtVAghjPiO0")</f>
        <v>1gUu6sYSTqVEyjUlOCoeeIVztfrHW4NwiHtVAghjPiO0</v>
      </c>
      <c r="D468" s="4"/>
      <c r="E468" s="4"/>
      <c r="F468" s="4"/>
      <c r="G468" s="4"/>
      <c r="H468" s="4"/>
      <c r="I468" s="4"/>
      <c r="J468" s="4"/>
      <c r="K468" s="4"/>
      <c r="L468" s="4"/>
    </row>
    <row r="469" ht="15.75" customHeight="1">
      <c r="A469" s="4" t="str">
        <f>IFERROR(__xludf.DUMMYFUNCTION("""COMPUTED_VALUE"""),"Admin")</f>
        <v>Admin</v>
      </c>
      <c r="B469" s="4" t="str">
        <f>IFERROR(__xludf.DUMMYFUNCTION("""COMPUTED_VALUE"""),"SetThirdPartyFormat")</f>
        <v>SetThirdPartyFormat</v>
      </c>
      <c r="C469" s="4" t="str">
        <f>IFERROR(__xludf.DUMMYFUNCTION("""COMPUTED_VALUE"""),"1taVilha9wCvlWWrWySxYHIg1IUM3Js0xeAEsGXu1wb4")</f>
        <v>1taVilha9wCvlWWrWySxYHIg1IUM3Js0xeAEsGXu1wb4</v>
      </c>
      <c r="D469" s="4"/>
      <c r="E469" s="4"/>
      <c r="F469" s="4"/>
      <c r="G469" s="4"/>
      <c r="H469" s="4"/>
      <c r="I469" s="4"/>
      <c r="J469" s="4"/>
      <c r="K469" s="4"/>
      <c r="L469" s="4"/>
    </row>
    <row r="470" ht="15.75" customHeight="1">
      <c r="A470" s="4" t="str">
        <f>IFERROR(__xludf.DUMMYFUNCTION("""COMPUTED_VALUE"""),"Admin")</f>
        <v>Admin</v>
      </c>
      <c r="B470" s="4" t="str">
        <f>IFERROR(__xludf.DUMMYFUNCTION("""COMPUTED_VALUE"""),"UpdateRoundLot")</f>
        <v>UpdateRoundLot</v>
      </c>
      <c r="C470" s="4" t="str">
        <f>IFERROR(__xludf.DUMMYFUNCTION("""COMPUTED_VALUE"""),"1vPyYrDAjwQJe-gHSwofvAmZ5sGU32BIPiqw9QJOb7sE")</f>
        <v>1vPyYrDAjwQJe-gHSwofvAmZ5sGU32BIPiqw9QJOb7sE</v>
      </c>
      <c r="D470" s="4"/>
      <c r="E470" s="4"/>
      <c r="F470" s="4"/>
      <c r="G470" s="4"/>
      <c r="H470" s="4"/>
      <c r="I470" s="4"/>
      <c r="J470" s="4"/>
      <c r="K470" s="4"/>
      <c r="L470" s="4"/>
    </row>
    <row r="471" ht="15.75" customHeight="1">
      <c r="A471" s="4" t="str">
        <f>IFERROR(__xludf.DUMMYFUNCTION("""COMPUTED_VALUE"""),"Rebalancer")</f>
        <v>Rebalancer</v>
      </c>
      <c r="B471" s="4" t="str">
        <f>IFERROR(__xludf.DUMMYFUNCTION("""COMPUTED_VALUE"""),"RebalanceViaBloomberg")</f>
        <v>RebalanceViaBloomberg</v>
      </c>
      <c r="C471" s="4" t="str">
        <f>IFERROR(__xludf.DUMMYFUNCTION("""COMPUTED_VALUE"""),"1b_5w3PXwhAeh_pAkVMhtUU4Bo19ZrhM2By_3wd6TgrU")</f>
        <v>1b_5w3PXwhAeh_pAkVMhtUU4Bo19ZrhM2By_3wd6TgrU</v>
      </c>
      <c r="D471" s="4"/>
      <c r="E471" s="4"/>
      <c r="F471" s="4"/>
      <c r="G471" s="4"/>
      <c r="H471" s="4"/>
      <c r="I471" s="4"/>
      <c r="J471" s="4"/>
      <c r="K471" s="4"/>
      <c r="L471" s="4"/>
    </row>
    <row r="472" ht="15.75" customHeight="1">
      <c r="A472" s="4" t="str">
        <f>IFERROR(__xludf.DUMMYFUNCTION("""COMPUTED_VALUE"""),"ThirdParty")</f>
        <v>ThirdParty</v>
      </c>
      <c r="B472" s="4" t="str">
        <f>IFERROR(__xludf.DUMMYFUNCTION("""COMPUTED_VALUE"""),"RefreshThirdParty")</f>
        <v>RefreshThirdParty</v>
      </c>
      <c r="C472" s="4" t="str">
        <f>IFERROR(__xludf.DUMMYFUNCTION("""COMPUTED_VALUE"""),"1_zhn88q1H87WPtNgcDXU0tgtHx0YBJLMCcYxzXXroVs")</f>
        <v>1_zhn88q1H87WPtNgcDXU0tgtHx0YBJLMCcYxzXXroVs</v>
      </c>
      <c r="D472" s="4"/>
      <c r="E472" s="4"/>
      <c r="F472" s="4"/>
      <c r="G472" s="4"/>
      <c r="H472" s="4"/>
      <c r="I472" s="4"/>
      <c r="J472" s="4"/>
      <c r="K472" s="4"/>
      <c r="L472" s="4"/>
    </row>
    <row r="473" ht="15.75" customHeight="1">
      <c r="A473" s="4" t="str">
        <f>IFERROR(__xludf.DUMMYFUNCTION("""COMPUTED_VALUE"""),"Rebalancer")</f>
        <v>Rebalancer</v>
      </c>
      <c r="B473" s="4" t="str">
        <f>IFERROR(__xludf.DUMMYFUNCTION("""COMPUTED_VALUE"""),"AddUserAdjustedNAV")</f>
        <v>AddUserAdjustedNAV</v>
      </c>
      <c r="C473" s="4" t="str">
        <f>IFERROR(__xludf.DUMMYFUNCTION("""COMPUTED_VALUE"""),"1ifdh8xwjLpytsTG8bbxfIam9ZdqvEHGM-CzxVYGEXIs")</f>
        <v>1ifdh8xwjLpytsTG8bbxfIam9ZdqvEHGM-CzxVYGEXIs</v>
      </c>
      <c r="D473" s="4"/>
      <c r="E473" s="4"/>
      <c r="F473" s="4"/>
      <c r="G473" s="4"/>
      <c r="H473" s="4"/>
      <c r="I473" s="4"/>
      <c r="J473" s="4"/>
      <c r="K473" s="4"/>
      <c r="L473" s="4"/>
    </row>
    <row r="474" ht="15.75" customHeight="1">
      <c r="A474" s="4" t="str">
        <f>IFERROR(__xludf.DUMMYFUNCTION("""COMPUTED_VALUE"""),"Allocation")</f>
        <v>Allocation</v>
      </c>
      <c r="B474" s="4" t="str">
        <f>IFERROR(__xludf.DUMMYFUNCTION("""COMPUTED_VALUE"""),"IsAllocationOpen")</f>
        <v>IsAllocationOpen</v>
      </c>
      <c r="C474" s="4" t="str">
        <f>IFERROR(__xludf.DUMMYFUNCTION("""COMPUTED_VALUE"""),"1-MLs_Ww619D0GTJenhKi8JspiyKlENvHCAfkc99ZDXk")</f>
        <v>1-MLs_Ww619D0GTJenhKi8JspiyKlENvHCAfkc99ZDXk</v>
      </c>
      <c r="D474" s="4"/>
      <c r="E474" s="4"/>
      <c r="F474" s="4"/>
      <c r="G474" s="4"/>
      <c r="H474" s="4"/>
      <c r="I474" s="4"/>
      <c r="J474" s="4"/>
      <c r="K474" s="4"/>
      <c r="L474" s="4"/>
    </row>
    <row r="475" ht="15.75" customHeight="1">
      <c r="A475" s="4" t="str">
        <f>IFERROR(__xludf.DUMMYFUNCTION("""COMPUTED_VALUE"""),"ShortLocate")</f>
        <v>ShortLocate</v>
      </c>
      <c r="B475" s="4" t="str">
        <f>IFERROR(__xludf.DUMMYFUNCTION("""COMPUTED_VALUE"""),"ImportOnShortLocate")</f>
        <v>ImportOnShortLocate</v>
      </c>
      <c r="C475" s="4" t="str">
        <f>IFERROR(__xludf.DUMMYFUNCTION("""COMPUTED_VALUE"""),"18TtTrIfDPZ4FY6y6BEM1QWT6a3RezlV2Qgs0VYjta1Y")</f>
        <v>18TtTrIfDPZ4FY6y6BEM1QWT6a3RezlV2Qgs0VYjta1Y</v>
      </c>
      <c r="D475" s="4"/>
      <c r="E475" s="4"/>
      <c r="F475" s="4"/>
      <c r="G475" s="4"/>
      <c r="H475" s="4"/>
      <c r="I475" s="4"/>
      <c r="J475" s="4"/>
      <c r="K475" s="4"/>
      <c r="L475" s="4"/>
    </row>
    <row r="476" ht="15.75" customHeight="1">
      <c r="A476" s="4" t="str">
        <f>IFERROR(__xludf.DUMMYFUNCTION("""COMPUTED_VALUE"""),"ShortLocate")</f>
        <v>ShortLocate</v>
      </c>
      <c r="B476" s="4" t="str">
        <f>IFERROR(__xludf.DUMMYFUNCTION("""COMPUTED_VALUE"""),"ApplyFilterOnShortLocate")</f>
        <v>ApplyFilterOnShortLocate</v>
      </c>
      <c r="C476" s="4" t="str">
        <f>IFERROR(__xludf.DUMMYFUNCTION("""COMPUTED_VALUE"""),"1e-EcYLjI4QLWe-aVZQLSs4AE3HMdDde42AK_ilP7W14")</f>
        <v>1e-EcYLjI4QLWe-aVZQLSs4AE3HMdDde42AK_ilP7W14</v>
      </c>
      <c r="D476" s="4"/>
      <c r="E476" s="4"/>
      <c r="F476" s="4"/>
      <c r="G476" s="4"/>
      <c r="H476" s="4"/>
      <c r="I476" s="4"/>
      <c r="J476" s="4"/>
      <c r="K476" s="4"/>
      <c r="L476" s="4"/>
    </row>
    <row r="477" ht="15.75" customHeight="1">
      <c r="A477" s="4" t="str">
        <f>IFERROR(__xludf.DUMMYFUNCTION("""COMPUTED_VALUE"""),"ShortLocate")</f>
        <v>ShortLocate</v>
      </c>
      <c r="B477" s="4" t="str">
        <f>IFERROR(__xludf.DUMMYFUNCTION("""COMPUTED_VALUE"""),"OpenTTFromShortLocate")</f>
        <v>OpenTTFromShortLocate</v>
      </c>
      <c r="C477" s="4" t="str">
        <f>IFERROR(__xludf.DUMMYFUNCTION("""COMPUTED_VALUE"""),"1uHiyIq7-VOPV7W3fHIxv6wpgB0bdb_j-j33CMdKoHG8")</f>
        <v>1uHiyIq7-VOPV7W3fHIxv6wpgB0bdb_j-j33CMdKoHG8</v>
      </c>
      <c r="D477" s="4"/>
      <c r="E477" s="4"/>
      <c r="F477" s="4"/>
      <c r="G477" s="4"/>
      <c r="H477" s="4"/>
      <c r="I477" s="4"/>
      <c r="J477" s="4"/>
      <c r="K477" s="4"/>
      <c r="L477" s="4"/>
    </row>
    <row r="478" ht="15.75" customHeight="1">
      <c r="A478" s="4" t="str">
        <f>IFERROR(__xludf.DUMMYFUNCTION("""COMPUTED_VALUE"""),"PortfolioManagement")</f>
        <v>PortfolioManagement</v>
      </c>
      <c r="B478" s="4" t="str">
        <f>IFERROR(__xludf.DUMMYFUNCTION("""COMPUTED_VALUE"""),"RemoveGroupingFromPM")</f>
        <v>RemoveGroupingFromPM</v>
      </c>
      <c r="C478" s="4" t="str">
        <f>IFERROR(__xludf.DUMMYFUNCTION("""COMPUTED_VALUE"""),"1a2knGiql1wCzuaB8DKpd6ZNGZ4PU78GHbVc-HCTMRz4")</f>
        <v>1a2knGiql1wCzuaB8DKpd6ZNGZ4PU78GHbVc-HCTMRz4</v>
      </c>
      <c r="D478" s="4"/>
      <c r="E478" s="4"/>
      <c r="F478" s="4"/>
      <c r="G478" s="4"/>
      <c r="H478" s="4"/>
      <c r="I478" s="4"/>
      <c r="J478" s="4"/>
      <c r="K478" s="4"/>
      <c r="L478" s="4"/>
    </row>
    <row r="479" ht="15.75" customHeight="1">
      <c r="A479" s="4" t="str">
        <f>IFERROR(__xludf.DUMMYFUNCTION("""COMPUTED_VALUE"""),"Watchlist")</f>
        <v>Watchlist</v>
      </c>
      <c r="B479" s="4" t="str">
        <f>IFERROR(__xludf.DUMMYFUNCTION("""COMPUTED_VALUE"""),"AddTabOnWatchlist")</f>
        <v>AddTabOnWatchlist</v>
      </c>
      <c r="C479" s="4" t="str">
        <f>IFERROR(__xludf.DUMMYFUNCTION("""COMPUTED_VALUE"""),"1azJ9v2w7AwJhl_0_bAUZne2G_SFJMuLBPzq7954262s")</f>
        <v>1azJ9v2w7AwJhl_0_bAUZne2G_SFJMuLBPzq7954262s</v>
      </c>
      <c r="D479" s="4"/>
      <c r="E479" s="4"/>
      <c r="F479" s="4"/>
      <c r="G479" s="4"/>
      <c r="H479" s="4"/>
      <c r="I479" s="4"/>
      <c r="J479" s="4"/>
      <c r="K479" s="4"/>
      <c r="L479" s="4"/>
    </row>
    <row r="480" ht="15.75" customHeight="1">
      <c r="A480" s="4" t="str">
        <f>IFERROR(__xludf.DUMMYFUNCTION("""COMPUTED_VALUE"""),"Watchlist")</f>
        <v>Watchlist</v>
      </c>
      <c r="B480" s="4" t="str">
        <f>IFERROR(__xludf.DUMMYFUNCTION("""COMPUTED_VALUE"""),"DeleteTabOnWatchlist")</f>
        <v>DeleteTabOnWatchlist</v>
      </c>
      <c r="C480" s="4" t="str">
        <f>IFERROR(__xludf.DUMMYFUNCTION("""COMPUTED_VALUE"""),"1dywOfaMeYMgLGbyodr_rgJqA7HdxAyRDvqwTgOr_FV8")</f>
        <v>1dywOfaMeYMgLGbyodr_rgJqA7HdxAyRDvqwTgOr_FV8</v>
      </c>
      <c r="D480" s="4"/>
      <c r="E480" s="4"/>
      <c r="F480" s="4"/>
      <c r="G480" s="4"/>
      <c r="H480" s="4"/>
      <c r="I480" s="4"/>
      <c r="J480" s="4"/>
      <c r="K480" s="4"/>
      <c r="L480" s="4"/>
    </row>
    <row r="481" ht="15.75" customHeight="1">
      <c r="A481" s="4" t="str">
        <f>IFERROR(__xludf.DUMMYFUNCTION("""COMPUTED_VALUE"""),"ShortLocate")</f>
        <v>ShortLocate</v>
      </c>
      <c r="B481" s="4" t="str">
        <f>IFERROR(__xludf.DUMMYFUNCTION("""COMPUTED_VALUE"""),"Upload")</f>
        <v>Upload</v>
      </c>
      <c r="C481" s="4" t="str">
        <f>IFERROR(__xludf.DUMMYFUNCTION("""COMPUTED_VALUE"""),"1K3403vK5pLvuvcWTXHu1UmgT1GohIYz7DPLRQAD0HCk")</f>
        <v>1K3403vK5pLvuvcWTXHu1UmgT1GohIYz7DPLRQAD0HCk</v>
      </c>
      <c r="D481" s="4"/>
      <c r="E481" s="4"/>
      <c r="F481" s="4"/>
      <c r="G481" s="4"/>
      <c r="H481" s="4"/>
      <c r="I481" s="4"/>
      <c r="J481" s="4"/>
      <c r="K481" s="4"/>
      <c r="L481" s="4"/>
    </row>
    <row r="482" ht="15.75" customHeight="1">
      <c r="A482" s="4" t="str">
        <f>IFERROR(__xludf.DUMMYFUNCTION("""COMPUTED_VALUE"""),"Recon")</f>
        <v>Recon</v>
      </c>
      <c r="B482" s="4" t="str">
        <f>IFERROR(__xludf.DUMMYFUNCTION("""COMPUTED_VALUE"""),"ViewDataOnRecon")</f>
        <v>ViewDataOnRecon</v>
      </c>
      <c r="C482" s="4" t="str">
        <f>IFERROR(__xludf.DUMMYFUNCTION("""COMPUTED_VALUE"""),"1hgvmb7xlOL1LeDD1_c2ehf_CcTQs-NVEQcrj52EgfkY")</f>
        <v>1hgvmb7xlOL1LeDD1_c2ehf_CcTQs-NVEQcrj52EgfkY</v>
      </c>
      <c r="D482" s="4"/>
      <c r="E482" s="4"/>
      <c r="F482" s="4"/>
      <c r="G482" s="4"/>
      <c r="H482" s="4"/>
      <c r="I482" s="4"/>
      <c r="J482" s="4"/>
      <c r="K482" s="4"/>
      <c r="L482" s="4"/>
    </row>
    <row r="483" ht="15.75" customHeight="1">
      <c r="A483" s="4" t="str">
        <f>IFERROR(__xludf.DUMMYFUNCTION("""COMPUTED_VALUE"""),"Recon")</f>
        <v>Recon</v>
      </c>
      <c r="B483" s="4" t="str">
        <f>IFERROR(__xludf.DUMMYFUNCTION("""COMPUTED_VALUE"""),"RunRecon")</f>
        <v>RunRecon</v>
      </c>
      <c r="C483" s="4" t="str">
        <f>IFERROR(__xludf.DUMMYFUNCTION("""COMPUTED_VALUE"""),"1a_lIF-yQ_4BbBIj3H4E_Sa208tyBml3azCVHLulXbZA")</f>
        <v>1a_lIF-yQ_4BbBIj3H4E_Sa208tyBml3azCVHLulXbZA</v>
      </c>
      <c r="D483" s="4"/>
      <c r="E483" s="4"/>
      <c r="F483" s="4"/>
      <c r="G483" s="4"/>
      <c r="H483" s="4"/>
      <c r="I483" s="4"/>
      <c r="J483" s="4"/>
      <c r="K483" s="4"/>
      <c r="L483" s="4"/>
    </row>
    <row r="484" ht="15.75" customHeight="1">
      <c r="A484" s="4" t="str">
        <f>IFERROR(__xludf.DUMMYFUNCTION("""COMPUTED_VALUE"""),"Recon")</f>
        <v>Recon</v>
      </c>
      <c r="B484" s="4" t="str">
        <f>IFERROR(__xludf.DUMMYFUNCTION("""COMPUTED_VALUE"""),"GenerateExceptionReport")</f>
        <v>GenerateExceptionReport</v>
      </c>
      <c r="C484" s="4" t="str">
        <f>IFERROR(__xludf.DUMMYFUNCTION("""COMPUTED_VALUE"""),"1hLXxcwsJweMSg5Go7Aa_QZphxBktbdPjlASa0S1xBos")</f>
        <v>1hLXxcwsJweMSg5Go7Aa_QZphxBktbdPjlASa0S1xBos</v>
      </c>
      <c r="D484" s="4"/>
      <c r="E484" s="4"/>
      <c r="F484" s="4"/>
      <c r="G484" s="4"/>
      <c r="H484" s="4"/>
      <c r="I484" s="4"/>
      <c r="J484" s="4"/>
      <c r="K484" s="4"/>
      <c r="L484" s="4"/>
    </row>
    <row r="485" ht="15.75" customHeight="1">
      <c r="A485" s="4" t="str">
        <f>IFERROR(__xludf.DUMMYFUNCTION("""COMPUTED_VALUE"""),"Recon")</f>
        <v>Recon</v>
      </c>
      <c r="B485" s="4" t="str">
        <f>IFERROR(__xludf.DUMMYFUNCTION("""COMPUTED_VALUE"""),"ImportDataOnRecon")</f>
        <v>ImportDataOnRecon</v>
      </c>
      <c r="C485" s="4" t="str">
        <f>IFERROR(__xludf.DUMMYFUNCTION("""COMPUTED_VALUE"""),"1NPXdEV4aauKt592s3ZSJRLqkCido8G_bhh0amZ9aT9g")</f>
        <v>1NPXdEV4aauKt592s3ZSJRLqkCido8G_bhh0amZ9aT9g</v>
      </c>
      <c r="D485" s="4"/>
      <c r="E485" s="4"/>
      <c r="F485" s="4"/>
      <c r="G485" s="4"/>
      <c r="H485" s="4"/>
      <c r="I485" s="4"/>
      <c r="J485" s="4"/>
      <c r="K485" s="4"/>
      <c r="L485" s="4"/>
    </row>
    <row r="486" ht="15.75" customHeight="1">
      <c r="A486" s="4" t="str">
        <f>IFERROR(__xludf.DUMMYFUNCTION("""COMPUTED_VALUE"""),"ShortLocate")</f>
        <v>ShortLocate</v>
      </c>
      <c r="B486" s="4" t="str">
        <f>IFERROR(__xludf.DUMMYFUNCTION("""COMPUTED_VALUE"""),"VerifyShortLocateGrid")</f>
        <v>VerifyShortLocateGrid</v>
      </c>
      <c r="C486" s="4" t="str">
        <f>IFERROR(__xludf.DUMMYFUNCTION("""COMPUTED_VALUE"""),"1l0BuHlCc_a8ajF2i2LyuIx-ihrOOGibGtDl3YzOfSEY")</f>
        <v>1l0BuHlCc_a8ajF2i2LyuIx-ihrOOGibGtDl3YzOfSEY</v>
      </c>
      <c r="D486" s="4"/>
      <c r="E486" s="4"/>
      <c r="F486" s="4"/>
      <c r="G486" s="4"/>
      <c r="H486" s="4"/>
      <c r="I486" s="4"/>
      <c r="J486" s="4"/>
      <c r="K486" s="4"/>
      <c r="L486" s="4"/>
    </row>
    <row r="487" ht="15.75" customHeight="1">
      <c r="A487" s="4" t="str">
        <f>IFERROR(__xludf.DUMMYFUNCTION("""COMPUTED_VALUE"""),"Recon")</f>
        <v>Recon</v>
      </c>
      <c r="B487" s="4" t="str">
        <f>IFERROR(__xludf.DUMMYFUNCTION("""COMPUTED_VALUE"""),"VerifyApplicationData")</f>
        <v>VerifyApplicationData</v>
      </c>
      <c r="C487" s="4" t="str">
        <f>IFERROR(__xludf.DUMMYFUNCTION("""COMPUTED_VALUE"""),"1Dpr8WIv6TDBK0rxjxSy_MqWbkp0VcPh0dzzq05jelwk")</f>
        <v>1Dpr8WIv6TDBK0rxjxSy_MqWbkp0VcPh0dzzq05jelwk</v>
      </c>
      <c r="D487" s="4"/>
      <c r="E487" s="4"/>
      <c r="F487" s="4"/>
      <c r="G487" s="4"/>
      <c r="H487" s="4"/>
      <c r="I487" s="4"/>
      <c r="J487" s="4"/>
      <c r="K487" s="4"/>
      <c r="L487" s="4"/>
    </row>
    <row r="488" ht="15.75" customHeight="1">
      <c r="A488" s="4" t="str">
        <f>IFERROR(__xludf.DUMMYFUNCTION("""COMPUTED_VALUE"""),"Recon")</f>
        <v>Recon</v>
      </c>
      <c r="B488" s="4" t="str">
        <f>IFERROR(__xludf.DUMMYFUNCTION("""COMPUTED_VALUE"""),"VerifyExceptionReport")</f>
        <v>VerifyExceptionReport</v>
      </c>
      <c r="C488" s="4" t="str">
        <f>IFERROR(__xludf.DUMMYFUNCTION("""COMPUTED_VALUE"""),"1vn6eAU_TNbjFlzAIJE-M1vn49jstJpRKNVt1ALlVQus")</f>
        <v>1vn6eAU_TNbjFlzAIJE-M1vn49jstJpRKNVt1ALlVQus</v>
      </c>
      <c r="D488" s="4"/>
      <c r="E488" s="4"/>
      <c r="F488" s="4"/>
      <c r="G488" s="4"/>
      <c r="H488" s="4"/>
      <c r="I488" s="4"/>
      <c r="J488" s="4"/>
      <c r="K488" s="4"/>
      <c r="L488" s="4"/>
    </row>
    <row r="489" ht="15.75" customHeight="1">
      <c r="A489" s="4" t="str">
        <f>IFERROR(__xludf.DUMMYFUNCTION("""COMPUTED_VALUE"""),"Recon")</f>
        <v>Recon</v>
      </c>
      <c r="B489" s="4" t="str">
        <f>IFERROR(__xludf.DUMMYFUNCTION("""COMPUTED_VALUE"""),"VerifyPrimeBrokerData")</f>
        <v>VerifyPrimeBrokerData</v>
      </c>
      <c r="C489" s="4" t="str">
        <f>IFERROR(__xludf.DUMMYFUNCTION("""COMPUTED_VALUE"""),"1vO08eQ3WtVgvFFa4m5QUSWEYmv1ZOhFWcta7Kzp1MBQ")</f>
        <v>1vO08eQ3WtVgvFFa4m5QUSWEYmv1ZOhFWcta7Kzp1MBQ</v>
      </c>
      <c r="D489" s="4"/>
      <c r="E489" s="4"/>
      <c r="F489" s="4"/>
      <c r="G489" s="4"/>
      <c r="H489" s="4"/>
      <c r="I489" s="4"/>
      <c r="J489" s="4"/>
      <c r="K489" s="4"/>
      <c r="L489" s="4"/>
    </row>
    <row r="490" ht="15.75" customHeight="1">
      <c r="A490" s="4" t="str">
        <f>IFERROR(__xludf.DUMMYFUNCTION("""COMPUTED_VALUE"""),"Admin")</f>
        <v>Admin</v>
      </c>
      <c r="B490" s="4" t="str">
        <f>IFERROR(__xludf.DUMMYFUNCTION("""COMPUTED_VALUE"""),"SetTradingComplianceRules")</f>
        <v>SetTradingComplianceRules</v>
      </c>
      <c r="C490" s="4" t="str">
        <f>IFERROR(__xludf.DUMMYFUNCTION("""COMPUTED_VALUE"""),"1bIqD5onAh5fgPov8t1pUC5b4a9exQ5D7TG3YiT7HTiQ")</f>
        <v>1bIqD5onAh5fgPov8t1pUC5b4a9exQ5D7TG3YiT7HTiQ</v>
      </c>
      <c r="D490" s="4"/>
      <c r="E490" s="4"/>
      <c r="F490" s="4"/>
      <c r="G490" s="4"/>
      <c r="H490" s="4"/>
      <c r="I490" s="4"/>
      <c r="J490" s="4"/>
      <c r="K490" s="4"/>
      <c r="L490" s="4"/>
    </row>
    <row r="491" ht="15.75" customHeight="1">
      <c r="A491" s="4" t="str">
        <f>IFERROR(__xludf.DUMMYFUNCTION("""COMPUTED_VALUE"""),"TradingTicket")</f>
        <v>TradingTicket</v>
      </c>
      <c r="B491" s="4" t="str">
        <f>IFERROR(__xludf.DUMMYFUNCTION("""COMPUTED_VALUE"""),"ImportSymbol")</f>
        <v>ImportSymbol</v>
      </c>
      <c r="C491" s="4" t="str">
        <f>IFERROR(__xludf.DUMMYFUNCTION("""COMPUTED_VALUE"""),"1oBs-bjVGuZxR8kCsLcXR9mY_XazhDhrpRb2xJaLqs_E")</f>
        <v>1oBs-bjVGuZxR8kCsLcXR9mY_XazhDhrpRb2xJaLqs_E</v>
      </c>
      <c r="D491" s="4"/>
      <c r="E491" s="4"/>
      <c r="F491" s="4"/>
      <c r="G491" s="4"/>
      <c r="H491" s="4"/>
      <c r="I491" s="4"/>
      <c r="J491" s="4"/>
      <c r="K491" s="4"/>
      <c r="L491" s="4"/>
    </row>
    <row r="492" ht="15.75" customHeight="1">
      <c r="A492" s="4" t="str">
        <f>IFERROR(__xludf.DUMMYFUNCTION("""COMPUTED_VALUE"""),"TradingTicket")</f>
        <v>TradingTicket</v>
      </c>
      <c r="B492" s="4" t="str">
        <f>IFERROR(__xludf.DUMMYFUNCTION("""COMPUTED_VALUE"""),"ExportSymbolFromRAList")</f>
        <v>ExportSymbolFromRAList</v>
      </c>
      <c r="C492" s="4" t="str">
        <f>IFERROR(__xludf.DUMMYFUNCTION("""COMPUTED_VALUE"""),"1xtzuWBhZe0eLq8O7xxtzG82zLI_pS5mUV_moECZdNpU")</f>
        <v>1xtzuWBhZe0eLq8O7xxtzG82zLI_pS5mUV_moECZdNpU</v>
      </c>
      <c r="D492" s="4"/>
      <c r="E492" s="4"/>
      <c r="F492" s="4"/>
      <c r="G492" s="4"/>
      <c r="H492" s="4"/>
      <c r="I492" s="4"/>
      <c r="J492" s="4"/>
      <c r="K492" s="4"/>
      <c r="L492" s="4"/>
    </row>
    <row r="493" ht="15.75" customHeight="1">
      <c r="A493" s="4" t="str">
        <f>IFERROR(__xludf.DUMMYFUNCTION("""COMPUTED_VALUE"""),"TradingTicket")</f>
        <v>TradingTicket</v>
      </c>
      <c r="B493" s="4" t="str">
        <f>IFERROR(__xludf.DUMMYFUNCTION("""COMPUTED_VALUE""")," CheckPendingNewOrderAlert")</f>
        <v> CheckPendingNewOrderAlert</v>
      </c>
      <c r="C493" s="4" t="str">
        <f>IFERROR(__xludf.DUMMYFUNCTION("""COMPUTED_VALUE"""),"1Uee-x9kYITNzfo5Jmi-ZzN4muIc1l3aGkFEjg6zK4rw")</f>
        <v>1Uee-x9kYITNzfo5Jmi-ZzN4muIc1l3aGkFEjg6zK4rw</v>
      </c>
      <c r="D493" s="4"/>
      <c r="E493" s="4"/>
      <c r="F493" s="4"/>
      <c r="G493" s="4"/>
      <c r="H493" s="4"/>
      <c r="I493" s="4"/>
      <c r="J493" s="4"/>
      <c r="K493" s="4"/>
      <c r="L493" s="4"/>
    </row>
    <row r="494" ht="15.75" customHeight="1">
      <c r="A494" s="4" t="str">
        <f>IFERROR(__xludf.DUMMYFUNCTION("""COMPUTED_VALUE"""),"TradingTicket")</f>
        <v>TradingTicket</v>
      </c>
      <c r="B494" s="4" t="str">
        <f>IFERROR(__xludf.DUMMYFUNCTION("""COMPUTED_VALUE"""),"AddSymbolOnRAList")</f>
        <v>AddSymbolOnRAList</v>
      </c>
      <c r="C494" s="4" t="str">
        <f>IFERROR(__xludf.DUMMYFUNCTION("""COMPUTED_VALUE"""),"1Ylf1m_iypjthZ6_f8Zwlk6GflWigvWKGFKPUkF0Lw3M")</f>
        <v>1Ylf1m_iypjthZ6_f8Zwlk6GflWigvWKGFKPUkF0Lw3M</v>
      </c>
      <c r="D494" s="4"/>
      <c r="E494" s="4"/>
      <c r="F494" s="4"/>
      <c r="G494" s="4"/>
      <c r="H494" s="4"/>
      <c r="I494" s="4"/>
      <c r="J494" s="4"/>
      <c r="K494" s="4"/>
      <c r="L494" s="4"/>
    </row>
    <row r="495" ht="15.75" customHeight="1">
      <c r="A495" s="4" t="str">
        <f>IFERROR(__xludf.DUMMYFUNCTION("""COMPUTED_VALUE"""),"TradingTicket")</f>
        <v>TradingTicket</v>
      </c>
      <c r="B495" s="4" t="str">
        <f>IFERROR(__xludf.DUMMYFUNCTION("""COMPUTED_VALUE"""),"DeleteSymbolListFromRA")</f>
        <v>DeleteSymbolListFromRA</v>
      </c>
      <c r="C495" s="4" t="str">
        <f>IFERROR(__xludf.DUMMYFUNCTION("""COMPUTED_VALUE"""),"18mAZrsY4iORaJ31tWyzQUe_E2I0WZiducaWhtQhI1bo")</f>
        <v>18mAZrsY4iORaJ31tWyzQUe_E2I0WZiducaWhtQhI1bo</v>
      </c>
      <c r="D495" s="4"/>
      <c r="E495" s="4"/>
      <c r="F495" s="4"/>
      <c r="G495" s="4"/>
      <c r="H495" s="4"/>
      <c r="I495" s="4"/>
      <c r="J495" s="4"/>
      <c r="K495" s="4"/>
      <c r="L495" s="4"/>
    </row>
    <row r="496" ht="15.75" customHeight="1">
      <c r="A496" s="4" t="str">
        <f>IFERROR(__xludf.DUMMYFUNCTION("""COMPUTED_VALUE"""),"TradingTicket")</f>
        <v>TradingTicket</v>
      </c>
      <c r="B496" s="4" t="str">
        <f>IFERROR(__xludf.DUMMYFUNCTION("""COMPUTED_VALUE"""),"RemoveSymbolFromRAList")</f>
        <v>RemoveSymbolFromRAList</v>
      </c>
      <c r="C496" s="4" t="str">
        <f>IFERROR(__xludf.DUMMYFUNCTION("""COMPUTED_VALUE"""),"14z6QrYYlP1TDKDUb39O0_rjdC6MZsyDDHft5bKbFe7Y")</f>
        <v>14z6QrYYlP1TDKDUb39O0_rjdC6MZsyDDHft5bKbFe7Y</v>
      </c>
      <c r="D496" s="4"/>
      <c r="E496" s="4"/>
      <c r="F496" s="4"/>
      <c r="G496" s="4"/>
      <c r="H496" s="4"/>
      <c r="I496" s="4"/>
      <c r="J496" s="4"/>
      <c r="K496" s="4"/>
      <c r="L496" s="4"/>
    </row>
    <row r="497" ht="15.75" customHeight="1">
      <c r="A497" s="4" t="str">
        <f>IFERROR(__xludf.DUMMYFUNCTION("""COMPUTED_VALUE"""),"Report")</f>
        <v>Report</v>
      </c>
      <c r="B497" s="4" t="str">
        <f>IFERROR(__xludf.DUMMYFUNCTION("""COMPUTED_VALUE"""),"ReportMatching")</f>
        <v>ReportMatching</v>
      </c>
      <c r="C497" s="4" t="str">
        <f>IFERROR(__xludf.DUMMYFUNCTION("""COMPUTED_VALUE"""),"1cUl6l-zlpV-4qvapXc106s6KeXaODz51BbbafJiEu1o")</f>
        <v>1cUl6l-zlpV-4qvapXc106s6KeXaODz51BbbafJiEu1o</v>
      </c>
      <c r="D497" s="4"/>
      <c r="E497" s="4"/>
      <c r="F497" s="4"/>
      <c r="G497" s="4"/>
      <c r="H497" s="4"/>
      <c r="I497" s="4"/>
      <c r="J497" s="4"/>
      <c r="K497" s="4"/>
      <c r="L497" s="4"/>
    </row>
    <row r="498" ht="15.75" customHeight="1">
      <c r="A498" s="4" t="str">
        <f>IFERROR(__xludf.DUMMYFUNCTION("""COMPUTED_VALUE"""),"Admin")</f>
        <v>Admin</v>
      </c>
      <c r="B498" s="4" t="str">
        <f>IFERROR(__xludf.DUMMYFUNCTION("""COMPUTED_VALUE"""),"EnableBreakdownRealizedPNL")</f>
        <v>EnableBreakdownRealizedPNL</v>
      </c>
      <c r="C498" s="4" t="str">
        <f>IFERROR(__xludf.DUMMYFUNCTION("""COMPUTED_VALUE"""),"1wcOWSlWdG4WrRltcCk8absTbbQd4rfzbEvV0Z6QnDIw")</f>
        <v>1wcOWSlWdG4WrRltcCk8absTbbQd4rfzbEvV0Z6QnDIw</v>
      </c>
      <c r="D498" s="4"/>
      <c r="E498" s="4"/>
      <c r="F498" s="4"/>
      <c r="G498" s="4"/>
      <c r="H498" s="4"/>
      <c r="I498" s="4"/>
      <c r="J498" s="4"/>
      <c r="K498" s="4"/>
      <c r="L498" s="4"/>
    </row>
    <row r="499" ht="15.75" customHeight="1">
      <c r="A499" s="4" t="str">
        <f>IFERROR(__xludf.DUMMYFUNCTION("""COMPUTED_VALUE"""),"Admin")</f>
        <v>Admin</v>
      </c>
      <c r="B499" s="4" t="str">
        <f>IFERROR(__xludf.DUMMYFUNCTION("""COMPUTED_VALUE"""),"SetTTGeneralPreferences")</f>
        <v>SetTTGeneralPreferences</v>
      </c>
      <c r="C499" s="4" t="str">
        <f>IFERROR(__xludf.DUMMYFUNCTION("""COMPUTED_VALUE"""),"16Tth7MhAr108iP6FoFBCWQNX3Hmi5JoCWiuEzBw-oDs")</f>
        <v>16Tth7MhAr108iP6FoFBCWQNX3Hmi5JoCWiuEzBw-oDs</v>
      </c>
      <c r="D499" s="4"/>
      <c r="E499" s="4"/>
      <c r="F499" s="4"/>
      <c r="G499" s="4"/>
      <c r="H499" s="4"/>
      <c r="I499" s="4"/>
      <c r="J499" s="4"/>
      <c r="K499" s="4"/>
      <c r="L499" s="4"/>
    </row>
    <row r="500" ht="15.75" customHeight="1">
      <c r="A500" s="4" t="str">
        <f>IFERROR(__xludf.DUMMYFUNCTION("""COMPUTED_VALUE"""),"Blotter")</f>
        <v>Blotter</v>
      </c>
      <c r="B500" s="4" t="str">
        <f>IFERROR(__xludf.DUMMYFUNCTION("""COMPUTED_VALUE"""),"OpenBlotter")</f>
        <v>OpenBlotter</v>
      </c>
      <c r="C500" s="4" t="str">
        <f>IFERROR(__xludf.DUMMYFUNCTION("""COMPUTED_VALUE"""),"1l2IXt5uxs1t4URHUX-BmZTtbv2Q2iQVM5OFWXazn3Wc")</f>
        <v>1l2IXt5uxs1t4URHUX-BmZTtbv2Q2iQVM5OFWXazn3Wc</v>
      </c>
      <c r="D500" s="4"/>
      <c r="E500" s="4"/>
      <c r="F500" s="4"/>
      <c r="G500" s="4"/>
      <c r="H500" s="4"/>
      <c r="I500" s="4"/>
      <c r="J500" s="4"/>
      <c r="K500" s="4"/>
      <c r="L500" s="4"/>
    </row>
    <row r="501" ht="15.75" customHeight="1">
      <c r="A501" s="4" t="str">
        <f>IFERROR(__xludf.DUMMYFUNCTION("""COMPUTED_VALUE"""),"ExeExecutor")</f>
        <v>ExeExecutor</v>
      </c>
      <c r="B501" s="4" t="str">
        <f>IFERROR(__xludf.DUMMYFUNCTION("""COMPUTED_VALUE"""),"CallExeExecutor")</f>
        <v>CallExeExecutor</v>
      </c>
      <c r="C501" s="4" t="str">
        <f>IFERROR(__xludf.DUMMYFUNCTION("""COMPUTED_VALUE"""),"1_4imnW45MZPZdDQqRFOTudFEJKoWNdNsFhqwsPVjiyI")</f>
        <v>1_4imnW45MZPZdDQqRFOTudFEJKoWNdNsFhqwsPVjiyI</v>
      </c>
      <c r="D501" s="4"/>
      <c r="E501" s="4"/>
      <c r="F501" s="4"/>
      <c r="G501" s="4"/>
      <c r="H501" s="4"/>
      <c r="I501" s="4"/>
      <c r="J501" s="4"/>
      <c r="K501" s="4"/>
      <c r="L501" s="4"/>
    </row>
    <row r="502" ht="15.75" customHeight="1">
      <c r="A502" s="4" t="str">
        <f>IFERROR(__xludf.DUMMYFUNCTION("""COMPUTED_VALUE"""),"TradingTicket")</f>
        <v>TradingTicket</v>
      </c>
      <c r="B502" s="4" t="str">
        <f>IFERROR(__xludf.DUMMYFUNCTION("""COMPUTED_VALUE"""),"ToggleBlombergOnRA")</f>
        <v>ToggleBlombergOnRA</v>
      </c>
      <c r="C502" s="4" t="str">
        <f>IFERROR(__xludf.DUMMYFUNCTION("""COMPUTED_VALUE"""),"1QO8L98pM1tM7XV0KByn2LfhNUlfBr61uBaOgp8tlTrY")</f>
        <v>1QO8L98pM1tM7XV0KByn2LfhNUlfBr61uBaOgp8tlTrY</v>
      </c>
      <c r="D502" s="4"/>
      <c r="E502" s="4"/>
      <c r="F502" s="4"/>
      <c r="G502" s="4"/>
      <c r="H502" s="4"/>
      <c r="I502" s="4"/>
      <c r="J502" s="4"/>
      <c r="K502" s="4"/>
      <c r="L502" s="4"/>
    </row>
    <row r="503" ht="15.75" customHeight="1">
      <c r="A503" s="4" t="str">
        <f>IFERROR(__xludf.DUMMYFUNCTION("""COMPUTED_VALUE"""),"Blotter")</f>
        <v>Blotter</v>
      </c>
      <c r="B503" s="4" t="str">
        <f>IFERROR(__xludf.DUMMYFUNCTION("""COMPUTED_VALUE"""),"RemoveManualExecution")</f>
        <v>RemoveManualExecution</v>
      </c>
      <c r="C503" s="4" t="str">
        <f>IFERROR(__xludf.DUMMYFUNCTION("""COMPUTED_VALUE"""),"1El5uRwN8Zwko5NwYgHohK1zpiRKkh_YePJ0cX2E3glo")</f>
        <v>1El5uRwN8Zwko5NwYgHohK1zpiRKkh_YePJ0cX2E3glo</v>
      </c>
      <c r="D503" s="4"/>
      <c r="E503" s="4"/>
      <c r="F503" s="4"/>
      <c r="G503" s="4"/>
      <c r="H503" s="4"/>
      <c r="I503" s="4"/>
      <c r="J503" s="4"/>
      <c r="K503" s="4"/>
      <c r="L503" s="4"/>
    </row>
    <row r="504" ht="15.75" customHeight="1">
      <c r="A504" s="4" t="str">
        <f>IFERROR(__xludf.DUMMYFUNCTION("""COMPUTED_VALUE"""),"Blotter")</f>
        <v>Blotter</v>
      </c>
      <c r="B504" s="4" t="str">
        <f>IFERROR(__xludf.DUMMYFUNCTION("""COMPUTED_VALUE"""),"RemoveExecutionWorkingSubs")</f>
        <v>RemoveExecutionWorkingSubs</v>
      </c>
      <c r="C504" s="4" t="str">
        <f>IFERROR(__xludf.DUMMYFUNCTION("""COMPUTED_VALUE"""),"1Gty3Ew09-jbNIs7SPwjiMC4qk0nDYdsdjNgVHEdl6r0")</f>
        <v>1Gty3Ew09-jbNIs7SPwjiMC4qk0nDYdsdjNgVHEdl6r0</v>
      </c>
      <c r="D504" s="4"/>
      <c r="E504" s="4"/>
      <c r="F504" s="4"/>
      <c r="G504" s="4"/>
      <c r="H504" s="4"/>
      <c r="I504" s="4"/>
      <c r="J504" s="4"/>
      <c r="K504" s="4"/>
      <c r="L504" s="4"/>
    </row>
    <row r="505" ht="15.75" customHeight="1">
      <c r="A505" s="4" t="str">
        <f>IFERROR(__xludf.DUMMYFUNCTION("""COMPUTED_VALUE"""),"Dropcopy")</f>
        <v>Dropcopy</v>
      </c>
      <c r="B505" s="4" t="str">
        <f>IFERROR(__xludf.DUMMYFUNCTION("""COMPUTED_VALUE"""),"UploadDropcopyFile")</f>
        <v>UploadDropcopyFile</v>
      </c>
      <c r="C505" s="4" t="str">
        <f>IFERROR(__xludf.DUMMYFUNCTION("""COMPUTED_VALUE"""),"1h8dY4l_y7yym8l9hTXHVlg3E6GsG52_9KIo5GFjmA8k")</f>
        <v>1h8dY4l_y7yym8l9hTXHVlg3E6GsG52_9KIo5GFjmA8k</v>
      </c>
      <c r="D505" s="4"/>
      <c r="E505" s="4"/>
      <c r="F505" s="4"/>
      <c r="G505" s="4"/>
      <c r="H505" s="4"/>
      <c r="I505" s="4"/>
      <c r="J505" s="4"/>
      <c r="K505" s="4"/>
      <c r="L505" s="4"/>
    </row>
    <row r="506" ht="15.75" customHeight="1">
      <c r="A506" s="4" t="str">
        <f>IFERROR(__xludf.DUMMYFUNCTION("""COMPUTED_VALUE"""),"TradeServer")</f>
        <v>TradeServer</v>
      </c>
      <c r="B506" s="4" t="str">
        <f>IFERROR(__xludf.DUMMYFUNCTION("""COMPUTED_VALUE"""),"StartTradeServer")</f>
        <v>StartTradeServer</v>
      </c>
      <c r="C506" s="4" t="str">
        <f>IFERROR(__xludf.DUMMYFUNCTION("""COMPUTED_VALUE"""),"1dwpz97u-suG-Fl1p7vL-LH_dugKcjjOV8oBHWhL-Ggg")</f>
        <v>1dwpz97u-suG-Fl1p7vL-LH_dugKcjjOV8oBHWhL-Ggg</v>
      </c>
      <c r="D506" s="4"/>
      <c r="E506" s="4"/>
      <c r="F506" s="4"/>
      <c r="G506" s="4"/>
      <c r="H506" s="4"/>
      <c r="I506" s="4"/>
      <c r="J506" s="4"/>
      <c r="K506" s="4"/>
      <c r="L506" s="4"/>
    </row>
    <row r="507" ht="15.75" customHeight="1">
      <c r="A507" s="4" t="str">
        <f>IFERROR(__xludf.DUMMYFUNCTION("""COMPUTED_VALUE"""),"TradeServer")</f>
        <v>TradeServer</v>
      </c>
      <c r="B507" s="4" t="str">
        <f>IFERROR(__xludf.DUMMYFUNCTION("""COMPUTED_VALUE"""),"CloseTradeServer ")</f>
        <v>CloseTradeServer </v>
      </c>
      <c r="C507" s="4" t="str">
        <f>IFERROR(__xludf.DUMMYFUNCTION("""COMPUTED_VALUE"""),"1RUpNNC94eo6CzUCyYXnEgJjNJNHljZmxUqpU88hDqvo")</f>
        <v>1RUpNNC94eo6CzUCyYXnEgJjNJNHljZmxUqpU88hDqvo</v>
      </c>
      <c r="D507" s="4"/>
      <c r="E507" s="4"/>
      <c r="F507" s="4"/>
      <c r="G507" s="4"/>
      <c r="H507" s="4"/>
      <c r="I507" s="4"/>
      <c r="J507" s="4"/>
      <c r="K507" s="4"/>
      <c r="L507" s="4"/>
    </row>
    <row r="508" ht="15.75" customHeight="1">
      <c r="A508" s="4" t="str">
        <f>IFERROR(__xludf.DUMMYFUNCTION("""COMPUTED_VALUE"""),"Blotter")</f>
        <v>Blotter</v>
      </c>
      <c r="B508" s="4" t="str">
        <f>IFERROR(__xludf.DUMMYFUNCTION("""COMPUTED_VALUE"""),"GetExecutionReportOrders")</f>
        <v>GetExecutionReportOrders</v>
      </c>
      <c r="C508" s="4" t="str">
        <f>IFERROR(__xludf.DUMMYFUNCTION("""COMPUTED_VALUE"""),"1AFiNBanUg4LBaZwE0sKs99uF_4CT4Qq3z4KSYaBlk8s")</f>
        <v>1AFiNBanUg4LBaZwE0sKs99uF_4CT4Qq3z4KSYaBlk8s</v>
      </c>
      <c r="D508" s="4"/>
      <c r="E508" s="4"/>
      <c r="F508" s="4"/>
      <c r="G508" s="4"/>
      <c r="H508" s="4"/>
      <c r="I508" s="4"/>
      <c r="J508" s="4"/>
      <c r="K508" s="4"/>
      <c r="L508" s="4"/>
    </row>
    <row r="509" ht="15.75" customHeight="1">
      <c r="A509" s="4" t="str">
        <f>IFERROR(__xludf.DUMMYFUNCTION("""COMPUTED_VALUE"""),"Blotter")</f>
        <v>Blotter</v>
      </c>
      <c r="B509" s="4" t="str">
        <f>IFERROR(__xludf.DUMMYFUNCTION("""COMPUTED_VALUE"""),"GetExecutionReportDetails")</f>
        <v>GetExecutionReportDetails</v>
      </c>
      <c r="C509" s="4" t="str">
        <f>IFERROR(__xludf.DUMMYFUNCTION("""COMPUTED_VALUE"""),"1Ns2Ww-kwbzOvCy0I9cUznz2PW19y3SgMCpf0oi4ieAA")</f>
        <v>1Ns2Ww-kwbzOvCy0I9cUznz2PW19y3SgMCpf0oi4ieAA</v>
      </c>
      <c r="D509" s="4"/>
      <c r="E509" s="4"/>
      <c r="F509" s="4"/>
      <c r="G509" s="4"/>
      <c r="H509" s="4"/>
      <c r="I509" s="4"/>
      <c r="J509" s="4"/>
      <c r="K509" s="4"/>
      <c r="L509" s="4"/>
    </row>
    <row r="510" ht="15.75" customHeight="1">
      <c r="A510" s="4" t="str">
        <f>IFERROR(__xludf.DUMMYFUNCTION("""COMPUTED_VALUE"""),"Blotter")</f>
        <v>Blotter</v>
      </c>
      <c r="B510" s="4" t="str">
        <f>IFERROR(__xludf.DUMMYFUNCTION("""COMPUTED_VALUE"""),"ExportExecutionReportData")</f>
        <v>ExportExecutionReportData</v>
      </c>
      <c r="C510" s="4" t="str">
        <f>IFERROR(__xludf.DUMMYFUNCTION("""COMPUTED_VALUE"""),"1LAiUKfzdOor0ACQpWIfOZgQ4MfnhBXObmZFMPVXU20w")</f>
        <v>1LAiUKfzdOor0ACQpWIfOZgQ4MfnhBXObmZFMPVXU20w</v>
      </c>
      <c r="D510" s="4"/>
      <c r="E510" s="4"/>
      <c r="F510" s="4"/>
      <c r="G510" s="4"/>
      <c r="H510" s="4"/>
      <c r="I510" s="4"/>
      <c r="J510" s="4"/>
      <c r="K510" s="4"/>
      <c r="L510" s="4"/>
    </row>
    <row r="511" ht="15.75" customHeight="1">
      <c r="A511" s="4" t="str">
        <f>IFERROR(__xludf.DUMMYFUNCTION("""COMPUTED_VALUE"""),"Blotter")</f>
        <v>Blotter</v>
      </c>
      <c r="B511" s="4" t="str">
        <f>IFERROR(__xludf.DUMMYFUNCTION("""COMPUTED_VALUE"""),"VerifyExecutionReport")</f>
        <v>VerifyExecutionReport</v>
      </c>
      <c r="C511" s="4" t="str">
        <f>IFERROR(__xludf.DUMMYFUNCTION("""COMPUTED_VALUE"""),"1yd48b6wQ6aCrLoLmfkjO8wiQZP62vLgpK_Q_eTapu4w")</f>
        <v>1yd48b6wQ6aCrLoLmfkjO8wiQZP62vLgpK_Q_eTapu4w</v>
      </c>
      <c r="D511" s="4"/>
      <c r="E511" s="4"/>
      <c r="F511" s="4"/>
      <c r="G511" s="4"/>
      <c r="H511" s="4"/>
      <c r="I511" s="4"/>
      <c r="J511" s="4"/>
      <c r="K511" s="4"/>
      <c r="L511" s="4"/>
    </row>
    <row r="512" ht="15.75" customHeight="1">
      <c r="A512" s="4" t="str">
        <f>IFERROR(__xludf.DUMMYFUNCTION("""COMPUTED_VALUE"""),"Blotter")</f>
        <v>Blotter</v>
      </c>
      <c r="B512" s="4" t="str">
        <f>IFERROR(__xludf.DUMMYFUNCTION("""COMPUTED_VALUE"""),"BlotterExecutionReportSnapshot")</f>
        <v>BlotterExecutionReportSnapshot</v>
      </c>
      <c r="C512" s="4" t="str">
        <f>IFERROR(__xludf.DUMMYFUNCTION("""COMPUTED_VALUE"""),"1QqGxhnz20HsALFYnGuJyEDL2dd1qSmiBMaPsF8MowY4")</f>
        <v>1QqGxhnz20HsALFYnGuJyEDL2dd1qSmiBMaPsF8MowY4</v>
      </c>
      <c r="D512" s="4"/>
      <c r="E512" s="4"/>
      <c r="F512" s="4"/>
      <c r="G512" s="4"/>
      <c r="H512" s="4"/>
      <c r="I512" s="4"/>
      <c r="J512" s="4"/>
      <c r="K512" s="4"/>
      <c r="L512" s="4"/>
    </row>
    <row r="513" ht="15.75" customHeight="1">
      <c r="A513" s="4" t="str">
        <f>IFERROR(__xludf.DUMMYFUNCTION("""COMPUTED_VALUE"""),"Admin")</f>
        <v>Admin</v>
      </c>
      <c r="B513" s="4" t="str">
        <f>IFERROR(__xludf.DUMMYFUNCTION("""COMPUTED_VALUE"""),"SetDollarAmountPermission")</f>
        <v>SetDollarAmountPermission</v>
      </c>
      <c r="C513" s="4" t="str">
        <f>IFERROR(__xludf.DUMMYFUNCTION("""COMPUTED_VALUE"""),"1NsNQ11sPW94qOsA9wYppHUUVQ7VTg0TDchX6vMjxHSM")</f>
        <v>1NsNQ11sPW94qOsA9wYppHUUVQ7VTg0TDchX6vMjxHSM</v>
      </c>
      <c r="D513" s="4"/>
      <c r="E513" s="4"/>
      <c r="F513" s="4"/>
      <c r="G513" s="4"/>
      <c r="H513" s="4"/>
      <c r="I513" s="4"/>
      <c r="J513" s="4"/>
      <c r="K513" s="4"/>
      <c r="L513" s="4"/>
    </row>
    <row r="514" ht="15.75" customHeight="1">
      <c r="A514" s="4" t="str">
        <f>IFERROR(__xludf.DUMMYFUNCTION("""COMPUTED_VALUE"""),"Admin")</f>
        <v>Admin</v>
      </c>
      <c r="B514" s="4" t="str">
        <f>IFERROR(__xludf.DUMMYFUNCTION("""COMPUTED_VALUE"""),"EnableDisableModule")</f>
        <v>EnableDisableModule</v>
      </c>
      <c r="C514" s="4" t="str">
        <f>IFERROR(__xludf.DUMMYFUNCTION("""COMPUTED_VALUE"""),"1-qgayCVgYh-TiFPYq2yiHpH2YNskBCiyIqUU44hFn5Q")</f>
        <v>1-qgayCVgYh-TiFPYq2yiHpH2YNskBCiyIqUU44hFn5Q</v>
      </c>
      <c r="D514" s="4"/>
      <c r="E514" s="4"/>
      <c r="F514" s="4"/>
      <c r="G514" s="4"/>
      <c r="H514" s="4"/>
      <c r="I514" s="4"/>
      <c r="J514" s="4"/>
      <c r="K514" s="4"/>
      <c r="L514" s="4"/>
    </row>
    <row r="515" ht="15.75" customHeight="1">
      <c r="A515" s="4" t="str">
        <f>IFERROR(__xludf.DUMMYFUNCTION("""COMPUTED_VALUE"""),"Blotter")</f>
        <v>Blotter</v>
      </c>
      <c r="B515" s="4" t="str">
        <f>IFERROR(__xludf.DUMMYFUNCTION("""COMPUTED_VALUE"""),"MultipleTradeTransferToUser")</f>
        <v>MultipleTradeTransferToUser</v>
      </c>
      <c r="C515" s="4" t="str">
        <f>IFERROR(__xludf.DUMMYFUNCTION("""COMPUTED_VALUE"""),"1E2U9CGylDUGLaqjTgTRpuzNMvkBV33m3fLyu2q73_EA")</f>
        <v>1E2U9CGylDUGLaqjTgTRpuzNMvkBV33m3fLyu2q73_EA</v>
      </c>
      <c r="D515" s="4"/>
      <c r="E515" s="4"/>
      <c r="F515" s="4"/>
      <c r="G515" s="4"/>
      <c r="H515" s="4"/>
      <c r="I515" s="4"/>
      <c r="J515" s="4"/>
      <c r="K515" s="4"/>
      <c r="L515" s="4"/>
    </row>
    <row r="516" ht="15.75" customHeight="1">
      <c r="A516" s="4" t="str">
        <f>IFERROR(__xludf.DUMMYFUNCTION("""COMPUTED_VALUE"""),"Admin")</f>
        <v>Admin</v>
      </c>
      <c r="B516" s="4" t="str">
        <f>IFERROR(__xludf.DUMMYFUNCTION("""COMPUTED_VALUE"""),"IsImportOverrideOnShortLocate")</f>
        <v>IsImportOverrideOnShortLocate</v>
      </c>
      <c r="C516" s="4" t="str">
        <f>IFERROR(__xludf.DUMMYFUNCTION("""COMPUTED_VALUE"""),"1MgEuiFXaa1Xj8qTQvvYNz_eFGUeOpsltw9v4WXyPp2Y")</f>
        <v>1MgEuiFXaa1Xj8qTQvvYNz_eFGUeOpsltw9v4WXyPp2Y</v>
      </c>
      <c r="D516" s="4"/>
      <c r="E516" s="4"/>
      <c r="F516" s="4"/>
      <c r="G516" s="4"/>
      <c r="H516" s="4"/>
      <c r="I516" s="4"/>
      <c r="J516" s="4"/>
      <c r="K516" s="4"/>
      <c r="L516" s="4"/>
    </row>
    <row r="517" ht="15.75" customHeight="1">
      <c r="A517" s="4" t="str">
        <f>IFERROR(__xludf.DUMMYFUNCTION("""COMPUTED_VALUE"""),"Admin")</f>
        <v>Admin</v>
      </c>
      <c r="B517" s="4" t="str">
        <f>IFERROR(__xludf.DUMMYFUNCTION("""COMPUTED_VALUE"""),"SetShortLocateStructures")</f>
        <v>SetShortLocateStructures</v>
      </c>
      <c r="C517" s="4" t="str">
        <f>IFERROR(__xludf.DUMMYFUNCTION("""COMPUTED_VALUE"""),"1JXTS2aPwtzmzfaVv_4dqx8kGMWZ6ZPlluMh_AtB-VLM")</f>
        <v>1JXTS2aPwtzmzfaVv_4dqx8kGMWZ6ZPlluMh_AtB-VLM</v>
      </c>
      <c r="D517" s="4"/>
      <c r="E517" s="4"/>
      <c r="F517" s="4"/>
      <c r="G517" s="4"/>
      <c r="H517" s="4"/>
      <c r="I517" s="4"/>
      <c r="J517" s="4"/>
      <c r="K517" s="4"/>
      <c r="L517" s="4"/>
    </row>
    <row r="518" ht="15.75" customHeight="1">
      <c r="A518" s="4" t="str">
        <f>IFERROR(__xludf.DUMMYFUNCTION("""COMPUTED_VALUE"""),"ShortLocate")</f>
        <v>ShortLocate</v>
      </c>
      <c r="B518" s="4" t="str">
        <f>IFERROR(__xludf.DUMMYFUNCTION("""COMPUTED_VALUE"""),"DownloadFile")</f>
        <v>DownloadFile</v>
      </c>
      <c r="C518" s="4" t="str">
        <f>IFERROR(__xludf.DUMMYFUNCTION("""COMPUTED_VALUE"""),"1GexWNjbmQyaHL_wkUkmt5M8rNIMs2PLpyJ1OKlPF_6U")</f>
        <v>1GexWNjbmQyaHL_wkUkmt5M8rNIMs2PLpyJ1OKlPF_6U</v>
      </c>
      <c r="D518" s="4"/>
      <c r="E518" s="4"/>
      <c r="F518" s="4"/>
      <c r="G518" s="4"/>
      <c r="H518" s="4"/>
      <c r="I518" s="4"/>
      <c r="J518" s="4"/>
      <c r="K518" s="4"/>
      <c r="L518" s="4"/>
    </row>
    <row r="519" ht="15.75" customHeight="1">
      <c r="A519" s="4" t="str">
        <f>IFERROR(__xludf.DUMMYFUNCTION("""COMPUTED_VALUE"""),"ShortLocate")</f>
        <v>ShortLocate</v>
      </c>
      <c r="B519" s="4" t="str">
        <f>IFERROR(__xludf.DUMMYFUNCTION("""COMPUTED_VALUE"""),"SearchShortLocateUI")</f>
        <v>SearchShortLocateUI</v>
      </c>
      <c r="C519" s="4" t="str">
        <f>IFERROR(__xludf.DUMMYFUNCTION("""COMPUTED_VALUE"""),"1DKCTM5c59GatMPMxnS0Zbz1IgpCEMmNSn4fulcFSBWA")</f>
        <v>1DKCTM5c59GatMPMxnS0Zbz1IgpCEMmNSn4fulcFSBWA</v>
      </c>
      <c r="D519" s="4"/>
      <c r="E519" s="4"/>
      <c r="F519" s="4"/>
      <c r="G519" s="4"/>
      <c r="H519" s="4"/>
      <c r="I519" s="4"/>
      <c r="J519" s="4"/>
      <c r="K519" s="4"/>
      <c r="L519" s="4"/>
    </row>
    <row r="520" ht="15.75" customHeight="1">
      <c r="A520" s="4" t="str">
        <f>IFERROR(__xludf.DUMMYFUNCTION("""COMPUTED_VALUE"""),"TradingTicket")</f>
        <v>TradingTicket</v>
      </c>
      <c r="B520" s="4" t="str">
        <f>IFERROR(__xludf.DUMMYFUNCTION("""COMPUTED_VALUE"""),"CreateDoneAwayOrder")</f>
        <v>CreateDoneAwayOrder</v>
      </c>
      <c r="C520" s="4" t="str">
        <f>IFERROR(__xludf.DUMMYFUNCTION("""COMPUTED_VALUE"""),"1rJRRqJlBOAI1DmechO49htg_P97-G5pNyuROFY03c_0")</f>
        <v>1rJRRqJlBOAI1DmechO49htg_P97-G5pNyuROFY03c_0</v>
      </c>
      <c r="D520" s="4"/>
      <c r="E520" s="4"/>
      <c r="F520" s="4"/>
      <c r="G520" s="4"/>
      <c r="H520" s="4"/>
      <c r="I520" s="4"/>
      <c r="J520" s="4"/>
      <c r="K520" s="4"/>
      <c r="L520" s="4"/>
    </row>
    <row r="521" ht="15.75" customHeight="1">
      <c r="A521" s="4" t="str">
        <f>IFERROR(__xludf.DUMMYFUNCTION("""COMPUTED_VALUE"""),"TradingTicket")</f>
        <v>TradingTicket</v>
      </c>
      <c r="B521" s="4" t="str">
        <f>IFERROR(__xludf.DUMMYFUNCTION("""COMPUTED_VALUE"""),"CreateComplianceOrder")</f>
        <v>CreateComplianceOrder</v>
      </c>
      <c r="C521" s="4" t="str">
        <f>IFERROR(__xludf.DUMMYFUNCTION("""COMPUTED_VALUE"""),"1uZhdRETigrNB3cZo1BXMteOrJRYMf6Vdte0mKG3B7a4")</f>
        <v>1uZhdRETigrNB3cZo1BXMteOrJRYMf6Vdte0mKG3B7a4</v>
      </c>
      <c r="D521" s="4"/>
      <c r="E521" s="4"/>
      <c r="F521" s="4"/>
      <c r="G521" s="4"/>
      <c r="H521" s="4"/>
      <c r="I521" s="4"/>
      <c r="J521" s="4"/>
      <c r="K521" s="4"/>
      <c r="L521" s="4"/>
    </row>
    <row r="522" ht="15.75" customHeight="1">
      <c r="A522" s="4" t="str">
        <f>IFERROR(__xludf.DUMMYFUNCTION("""COMPUTED_VALUE"""),"Simulator")</f>
        <v>Simulator</v>
      </c>
      <c r="B522" s="4" t="str">
        <f>IFERROR(__xludf.DUMMYFUNCTION("""COMPUTED_VALUE"""),"VerifyTrades")</f>
        <v>VerifyTrades</v>
      </c>
      <c r="C522" s="4" t="str">
        <f>IFERROR(__xludf.DUMMYFUNCTION("""COMPUTED_VALUE"""),"11LnIuQUyQWz16zxwmr7_BDMlsw3tCEXwF0lALQ35sts")</f>
        <v>11LnIuQUyQWz16zxwmr7_BDMlsw3tCEXwF0lALQ35sts</v>
      </c>
      <c r="D522" s="4"/>
      <c r="E522" s="4"/>
      <c r="F522" s="4"/>
      <c r="G522" s="4"/>
      <c r="H522" s="4"/>
      <c r="I522" s="4"/>
      <c r="J522" s="4"/>
      <c r="K522" s="4"/>
      <c r="L522" s="4"/>
    </row>
    <row r="523" ht="15.75" customHeight="1">
      <c r="A523" s="4" t="str">
        <f>IFERROR(__xludf.DUMMYFUNCTION("""COMPUTED_VALUE"""),"ShortLocate")</f>
        <v>ShortLocate</v>
      </c>
      <c r="B523" s="4" t="str">
        <f>IFERROR(__xludf.DUMMYFUNCTION("""COMPUTED_VALUE"""),"SetShortLocatePreferences")</f>
        <v>SetShortLocatePreferences</v>
      </c>
      <c r="C523" s="4" t="str">
        <f>IFERROR(__xludf.DUMMYFUNCTION("""COMPUTED_VALUE"""),"1NeZSwz1SIB3gUqQIL6UzRE-Qr4gJDeQupuxQaufcHLY")</f>
        <v>1NeZSwz1SIB3gUqQIL6UzRE-Qr4gJDeQupuxQaufcHLY</v>
      </c>
      <c r="D523" s="4"/>
      <c r="E523" s="4"/>
      <c r="F523" s="4"/>
      <c r="G523" s="4"/>
      <c r="H523" s="4"/>
      <c r="I523" s="4"/>
      <c r="J523" s="4"/>
      <c r="K523" s="4"/>
      <c r="L523" s="4"/>
    </row>
    <row r="524" ht="15.75" customHeight="1">
      <c r="A524" s="4" t="str">
        <f>IFERROR(__xludf.DUMMYFUNCTION("""COMPUTED_VALUE"""),"SecurityMaster")</f>
        <v>SecurityMaster</v>
      </c>
      <c r="B524" s="4" t="str">
        <f>IFERROR(__xludf.DUMMYFUNCTION("""COMPUTED_VALUE"""),"GetSymbolData")</f>
        <v>GetSymbolData</v>
      </c>
      <c r="C524" s="4" t="str">
        <f>IFERROR(__xludf.DUMMYFUNCTION("""COMPUTED_VALUE"""),"1vv3kyJccjfIyDBgn04x7w4Z7FTIBcJUQzYbJHry0Wks")</f>
        <v>1vv3kyJccjfIyDBgn04x7w4Z7FTIBcJUQzYbJHry0Wks</v>
      </c>
      <c r="D524" s="4"/>
      <c r="E524" s="4"/>
      <c r="F524" s="4"/>
      <c r="G524" s="4"/>
      <c r="H524" s="4"/>
      <c r="I524" s="4"/>
      <c r="J524" s="4"/>
      <c r="K524" s="4"/>
      <c r="L524" s="4"/>
    </row>
    <row r="525" ht="15.75" customHeight="1">
      <c r="A525" s="4" t="str">
        <f>IFERROR(__xludf.DUMMYFUNCTION("""COMPUTED_VALUE"""),"SecurityMaster")</f>
        <v>SecurityMaster</v>
      </c>
      <c r="B525" s="4" t="str">
        <f>IFERROR(__xludf.DUMMYFUNCTION("""COMPUTED_VALUE"""),"EditSMData")</f>
        <v>EditSMData</v>
      </c>
      <c r="C525" s="4" t="str">
        <f>IFERROR(__xludf.DUMMYFUNCTION("""COMPUTED_VALUE"""),"16iJOTy3fdvVyoTNVUlTTv2ipMkLHpwnR83hPFzIH7Ak")</f>
        <v>16iJOTy3fdvVyoTNVUlTTv2ipMkLHpwnR83hPFzIH7Ak</v>
      </c>
      <c r="D525" s="4"/>
      <c r="E525" s="4"/>
      <c r="F525" s="4"/>
      <c r="G525" s="4"/>
      <c r="H525" s="4"/>
      <c r="I525" s="4"/>
      <c r="J525" s="4"/>
      <c r="K525" s="4"/>
      <c r="L525" s="4"/>
    </row>
    <row r="526" ht="15.75" customHeight="1">
      <c r="A526" s="4" t="str">
        <f>IFERROR(__xludf.DUMMYFUNCTION("""COMPUTED_VALUE"""),"Compliance")</f>
        <v>Compliance</v>
      </c>
      <c r="B526" s="4" t="str">
        <f>IFERROR(__xludf.DUMMYFUNCTION("""COMPUTED_VALUE"""),"RestartRuleMediator")</f>
        <v>RestartRuleMediator</v>
      </c>
      <c r="C526" s="4" t="str">
        <f>IFERROR(__xludf.DUMMYFUNCTION("""COMPUTED_VALUE"""),"1akNR1Amf59L1AstQQY5CTYwWnooFsbcOYuynBM4CKmM")</f>
        <v>1akNR1Amf59L1AstQQY5CTYwWnooFsbcOYuynBM4CKmM</v>
      </c>
      <c r="D526" s="4"/>
      <c r="E526" s="4"/>
      <c r="F526" s="4"/>
      <c r="G526" s="4"/>
      <c r="H526" s="4"/>
      <c r="I526" s="4"/>
      <c r="J526" s="4"/>
      <c r="K526" s="4"/>
      <c r="L526" s="4"/>
    </row>
    <row r="527" ht="15.75" customHeight="1">
      <c r="A527" s="4" t="str">
        <f>IFERROR(__xludf.DUMMYFUNCTION("""COMPUTED_VALUE"""),"Compliance")</f>
        <v>Compliance</v>
      </c>
      <c r="B527" s="4" t="str">
        <f>IFERROR(__xludf.DUMMYFUNCTION("""COMPUTED_VALUE"""),"VerifyAggAccountSymbolWithNav")</f>
        <v>VerifyAggAccountSymbolWithNav</v>
      </c>
      <c r="C527" s="4" t="str">
        <f>IFERROR(__xludf.DUMMYFUNCTION("""COMPUTED_VALUE"""),"1LuYoSjO5AtvBb9EYhrEUIwfKVSVQx9KjgCN-yIF7lFk")</f>
        <v>1LuYoSjO5AtvBb9EYhrEUIwfKVSVQx9KjgCN-yIF7lFk</v>
      </c>
      <c r="D527" s="4"/>
      <c r="E527" s="4"/>
      <c r="F527" s="4"/>
      <c r="G527" s="4"/>
      <c r="H527" s="4"/>
      <c r="I527" s="4"/>
      <c r="J527" s="4"/>
      <c r="K527" s="4"/>
      <c r="L527" s="4"/>
    </row>
    <row r="528" ht="15.75" customHeight="1">
      <c r="A528" s="4" t="str">
        <f>IFERROR(__xludf.DUMMYFUNCTION("""COMPUTED_VALUE"""),"Admin")</f>
        <v>Admin</v>
      </c>
      <c r="B528" s="4" t="str">
        <f>IFERROR(__xludf.DUMMYFUNCTION("""COMPUTED_VALUE"""),"SetComplianceAlert")</f>
        <v>SetComplianceAlert</v>
      </c>
      <c r="C528" s="4" t="str">
        <f>IFERROR(__xludf.DUMMYFUNCTION("""COMPUTED_VALUE"""),"1KxvRGZsDhpllA_7NzN1oRSxO912EnakDtX0IH-ZIdC4")</f>
        <v>1KxvRGZsDhpllA_7NzN1oRSxO912EnakDtX0IH-ZIdC4</v>
      </c>
      <c r="D528" s="4"/>
      <c r="E528" s="4"/>
      <c r="F528" s="4"/>
      <c r="G528" s="4"/>
      <c r="H528" s="4"/>
      <c r="I528" s="4"/>
      <c r="J528" s="4"/>
      <c r="K528" s="4"/>
      <c r="L528" s="4"/>
    </row>
    <row r="529" ht="15.75" customHeight="1">
      <c r="A529" s="4" t="str">
        <f>IFERROR(__xludf.DUMMYFUNCTION("""COMPUTED_VALUE"""),"Blotter")</f>
        <v>Blotter</v>
      </c>
      <c r="B529" s="4" t="str">
        <f>IFERROR(__xludf.DUMMYFUNCTION("""COMPUTED_VALUE"""),"ReloadOrderFromBlotter")</f>
        <v>ReloadOrderFromBlotter</v>
      </c>
      <c r="C529" s="4" t="str">
        <f>IFERROR(__xludf.DUMMYFUNCTION("""COMPUTED_VALUE"""),"1EkVmrnKs5-j3ysMwtCilrRqPyrGmw8rBBIGOYfmBm9Y")</f>
        <v>1EkVmrnKs5-j3ysMwtCilrRqPyrGmw8rBBIGOYfmBm9Y</v>
      </c>
      <c r="D529" s="4"/>
      <c r="E529" s="4"/>
      <c r="F529" s="4"/>
      <c r="G529" s="4"/>
      <c r="H529" s="4"/>
      <c r="I529" s="4"/>
      <c r="J529" s="4"/>
      <c r="K529" s="4"/>
      <c r="L529" s="4"/>
    </row>
    <row r="530" ht="15.75" customHeight="1">
      <c r="A530" s="4" t="str">
        <f>IFERROR(__xludf.DUMMYFUNCTION("""COMPUTED_VALUE"""),"Blotter")</f>
        <v>Blotter</v>
      </c>
      <c r="B530" s="4" t="str">
        <f>IFERROR(__xludf.DUMMYFUNCTION("""COMPUTED_VALUE"""),"ReloadOrderFromSubOrder")</f>
        <v>ReloadOrderFromSubOrder</v>
      </c>
      <c r="C530" s="4" t="str">
        <f>IFERROR(__xludf.DUMMYFUNCTION("""COMPUTED_VALUE"""),"1Df8QexVjibp6e-DrJ15K3SNBfL1Xk8NzcYqAlIfaa0Q")</f>
        <v>1Df8QexVjibp6e-DrJ15K3SNBfL1Xk8NzcYqAlIfaa0Q</v>
      </c>
      <c r="D530" s="4"/>
      <c r="E530" s="4"/>
      <c r="F530" s="4"/>
      <c r="G530" s="4"/>
      <c r="H530" s="4"/>
      <c r="I530" s="4"/>
      <c r="J530" s="4"/>
      <c r="K530" s="4"/>
      <c r="L530" s="4"/>
    </row>
    <row r="531" ht="15.75" customHeight="1">
      <c r="A531" s="4" t="str">
        <f>IFERROR(__xludf.DUMMYFUNCTION("""COMPUTED_VALUE"""),"Blotter")</f>
        <v>Blotter</v>
      </c>
      <c r="B531" s="4" t="str">
        <f>IFERROR(__xludf.DUMMYFUNCTION("""COMPUTED_VALUE"""),"ReloadOrderFromWorkingSubs")</f>
        <v>ReloadOrderFromWorkingSubs</v>
      </c>
      <c r="C531" s="4" t="str">
        <f>IFERROR(__xludf.DUMMYFUNCTION("""COMPUTED_VALUE"""),"1_Z5bqDo4adEqHJVIqWRtiyLJ5XKZ_2mwsPRoF8LP0Bw")</f>
        <v>1_Z5bqDo4adEqHJVIqWRtiyLJ5XKZ_2mwsPRoF8LP0Bw</v>
      </c>
      <c r="D531" s="4"/>
      <c r="E531" s="4"/>
      <c r="F531" s="4"/>
      <c r="G531" s="4"/>
      <c r="H531" s="4"/>
      <c r="I531" s="4"/>
      <c r="J531" s="4"/>
      <c r="K531" s="4"/>
      <c r="L531" s="4"/>
    </row>
    <row r="532" ht="15.75" customHeight="1">
      <c r="A532" s="4" t="str">
        <f>IFERROR(__xludf.DUMMYFUNCTION("""COMPUTED_VALUE"""),"Closing")</f>
        <v>Closing</v>
      </c>
      <c r="B532" s="4" t="str">
        <f>IFERROR(__xludf.DUMMYFUNCTION("""COMPUTED_VALUE"""),"AutoExercise")</f>
        <v>AutoExercise</v>
      </c>
      <c r="C532" s="4" t="str">
        <f>IFERROR(__xludf.DUMMYFUNCTION("""COMPUTED_VALUE"""),"13xi1kTQASkj8aQlRGOWvQoPk02IQ_8Htevc-MnANS_E")</f>
        <v>13xi1kTQASkj8aQlRGOWvQoPk02IQ_8Htevc-MnANS_E</v>
      </c>
      <c r="D532" s="4"/>
      <c r="E532" s="4"/>
      <c r="F532" s="4"/>
      <c r="G532" s="4"/>
      <c r="H532" s="4"/>
      <c r="I532" s="4"/>
      <c r="J532" s="4"/>
      <c r="K532" s="4"/>
      <c r="L532" s="4"/>
    </row>
    <row r="533" ht="15.75" customHeight="1">
      <c r="A533" s="4" t="str">
        <f>IFERROR(__xludf.DUMMYFUNCTION("""COMPUTED_VALUE"""),"PortfolioManagement")</f>
        <v>PortfolioManagement</v>
      </c>
      <c r="B533" s="4" t="str">
        <f>IFERROR(__xludf.DUMMYFUNCTION("""COMPUTED_VALUE"""),"IncreasePositionFromPM")</f>
        <v>IncreasePositionFromPM</v>
      </c>
      <c r="C533" s="4" t="str">
        <f>IFERROR(__xludf.DUMMYFUNCTION("""COMPUTED_VALUE"""),"1A8qhbXaCu_lyhbz2UUV32k3iWOdMoe0Sf6z4T7bvx9A")</f>
        <v>1A8qhbXaCu_lyhbz2UUV32k3iWOdMoe0Sf6z4T7bvx9A</v>
      </c>
      <c r="D533" s="4"/>
      <c r="E533" s="4"/>
      <c r="F533" s="4"/>
      <c r="G533" s="4"/>
      <c r="H533" s="4"/>
      <c r="I533" s="4"/>
      <c r="J533" s="4"/>
      <c r="K533" s="4"/>
      <c r="L533" s="4"/>
    </row>
    <row r="534" ht="15.75" customHeight="1">
      <c r="A534" s="4" t="str">
        <f>IFERROR(__xludf.DUMMYFUNCTION("""COMPUTED_VALUE"""),"TradingTicket")</f>
        <v>TradingTicket</v>
      </c>
      <c r="B534" s="4" t="str">
        <f>IFERROR(__xludf.DUMMYFUNCTION("""COMPUTED_VALUE"""),"AddOptionTrade")</f>
        <v>AddOptionTrade</v>
      </c>
      <c r="C534" s="4" t="str">
        <f>IFERROR(__xludf.DUMMYFUNCTION("""COMPUTED_VALUE"""),"1BnawmW4udc8sZOPuV7h7bRAlUEV61-K41xkK0_fFpqM")</f>
        <v>1BnawmW4udc8sZOPuV7h7bRAlUEV61-K41xkK0_fFpqM</v>
      </c>
      <c r="D534" s="4"/>
      <c r="E534" s="4"/>
      <c r="F534" s="4"/>
      <c r="G534" s="4"/>
      <c r="H534" s="4"/>
      <c r="I534" s="4"/>
      <c r="J534" s="4"/>
      <c r="K534" s="4"/>
      <c r="L534" s="4"/>
    </row>
    <row r="535" ht="15.75" customHeight="1">
      <c r="A535" s="4" t="str">
        <f>IFERROR(__xludf.DUMMYFUNCTION("""COMPUTED_VALUE"""),"TradingTicket")</f>
        <v>TradingTicket</v>
      </c>
      <c r="B535" s="4" t="str">
        <f>IFERROR(__xludf.DUMMYFUNCTION("""COMPUTED_VALUE"""),"SendLiveBloomberg")</f>
        <v>SendLiveBloomberg</v>
      </c>
      <c r="C535" s="4" t="str">
        <f>IFERROR(__xludf.DUMMYFUNCTION("""COMPUTED_VALUE"""),"1CgHn_7kdT53U7SiVepIsdA1uAaPRM8bfTqAGitUOOP4")</f>
        <v>1CgHn_7kdT53U7SiVepIsdA1uAaPRM8bfTqAGitUOOP4</v>
      </c>
      <c r="D535" s="4"/>
      <c r="E535" s="4"/>
      <c r="F535" s="4"/>
      <c r="G535" s="4"/>
      <c r="H535" s="4"/>
      <c r="I535" s="4"/>
      <c r="J535" s="4"/>
      <c r="K535" s="4"/>
      <c r="L535" s="4"/>
    </row>
    <row r="536" ht="15.75" customHeight="1">
      <c r="A536" s="4" t="str">
        <f>IFERROR(__xludf.DUMMYFUNCTION("""COMPUTED_VALUE"""),"Admin")</f>
        <v>Admin</v>
      </c>
      <c r="B536" s="4" t="str">
        <f>IFERROR(__xludf.DUMMYFUNCTION("""COMPUTED_VALUE"""),"UpdateExpirationDate")</f>
        <v>UpdateExpirationDate</v>
      </c>
      <c r="C536" s="4" t="str">
        <f>IFERROR(__xludf.DUMMYFUNCTION("""COMPUTED_VALUE"""),"1mmWGifvPj1sNVTticw-ikM3hyycxf4NX4_kCu7BEFVg")</f>
        <v>1mmWGifvPj1sNVTticw-ikM3hyycxf4NX4_kCu7BEFVg</v>
      </c>
      <c r="D536" s="4"/>
      <c r="E536" s="4"/>
      <c r="F536" s="4"/>
      <c r="G536" s="4"/>
      <c r="H536" s="4"/>
      <c r="I536" s="4"/>
      <c r="J536" s="4"/>
      <c r="K536" s="4"/>
      <c r="L536" s="4"/>
    </row>
    <row r="537" ht="15.75" customHeight="1">
      <c r="A537" s="4" t="str">
        <f>IFERROR(__xludf.DUMMYFUNCTION("""COMPUTED_VALUE"""),"PricingInput")</f>
        <v>PricingInput</v>
      </c>
      <c r="B537" s="4" t="str">
        <f>IFERROR(__xludf.DUMMYFUNCTION("""COMPUTED_VALUE"""),"UncheckDividendYield")</f>
        <v>UncheckDividendYield</v>
      </c>
      <c r="C537" s="4" t="str">
        <f>IFERROR(__xludf.DUMMYFUNCTION("""COMPUTED_VALUE"""),"1Bv6bI4dQ2ISUgEtnN3hvoJAzlS1QXNp7i6djThWT5cY")</f>
        <v>1Bv6bI4dQ2ISUgEtnN3hvoJAzlS1QXNp7i6djThWT5cY</v>
      </c>
      <c r="D537" s="4"/>
      <c r="E537" s="4"/>
      <c r="F537" s="4"/>
      <c r="G537" s="4"/>
      <c r="H537" s="4"/>
      <c r="I537" s="4"/>
      <c r="J537" s="4"/>
      <c r="K537" s="4"/>
      <c r="L537" s="4"/>
    </row>
    <row r="538" ht="15.75" customHeight="1">
      <c r="A538" s="4" t="str">
        <f>IFERROR(__xludf.DUMMYFUNCTION("""COMPUTED_VALUE"""),"Admin")</f>
        <v>Admin</v>
      </c>
      <c r="B538" s="4" t="str">
        <f>IFERROR(__xludf.DUMMYFUNCTION("""COMPUTED_VALUE"""),"RenameMasterStrategy")</f>
        <v>RenameMasterStrategy</v>
      </c>
      <c r="C538" s="4" t="str">
        <f>IFERROR(__xludf.DUMMYFUNCTION("""COMPUTED_VALUE"""),"12O1uREcq0M99vtEd065TQGLRLI69TvAORCdhR9BifGE")</f>
        <v>12O1uREcq0M99vtEd065TQGLRLI69TvAORCdhR9BifGE</v>
      </c>
      <c r="D538" s="4"/>
      <c r="E538" s="4"/>
      <c r="F538" s="4"/>
      <c r="G538" s="4"/>
      <c r="H538" s="4"/>
      <c r="I538" s="4"/>
      <c r="J538" s="4"/>
      <c r="K538" s="4"/>
      <c r="L538" s="4"/>
    </row>
    <row r="539" ht="15.75" customHeight="1">
      <c r="A539" s="4" t="str">
        <f>IFERROR(__xludf.DUMMYFUNCTION("""COMPUTED_VALUE"""),"Blotter")</f>
        <v>Blotter</v>
      </c>
      <c r="B539" s="4" t="str">
        <f>IFERROR(__xludf.DUMMYFUNCTION("""COMPUTED_VALUE"""),"SelectFills")</f>
        <v>SelectFills</v>
      </c>
      <c r="C539" s="4" t="str">
        <f>IFERROR(__xludf.DUMMYFUNCTION("""COMPUTED_VALUE"""),"1GwliO03epBl45R4knM3UVULlRK9QRt0v-e2GwmiEUVI")</f>
        <v>1GwliO03epBl45R4knM3UVULlRK9QRt0v-e2GwmiEUVI</v>
      </c>
      <c r="D539" s="4"/>
      <c r="E539" s="4"/>
      <c r="F539" s="4"/>
      <c r="G539" s="4"/>
      <c r="H539" s="4"/>
      <c r="I539" s="4"/>
      <c r="J539" s="4"/>
      <c r="K539" s="4"/>
      <c r="L539" s="4"/>
    </row>
    <row r="540" ht="15.75" customHeight="1">
      <c r="A540" s="4" t="str">
        <f>IFERROR(__xludf.DUMMYFUNCTION("""COMPUTED_VALUE"""),"Blotter")</f>
        <v>Blotter</v>
      </c>
      <c r="B540" s="4" t="str">
        <f>IFERROR(__xludf.DUMMYFUNCTION("""COMPUTED_VALUE"""),"ModifyFills")</f>
        <v>ModifyFills</v>
      </c>
      <c r="C540" s="4" t="str">
        <f>IFERROR(__xludf.DUMMYFUNCTION("""COMPUTED_VALUE"""),"1YjVe9_PX2h3FN6yNWurYgQZIShnphN6dzATY8FarTcw")</f>
        <v>1YjVe9_PX2h3FN6yNWurYgQZIShnphN6dzATY8FarTcw</v>
      </c>
      <c r="D540" s="4"/>
      <c r="E540" s="4"/>
      <c r="F540" s="4"/>
      <c r="G540" s="4"/>
      <c r="H540" s="4"/>
      <c r="I540" s="4"/>
      <c r="J540" s="4"/>
      <c r="K540" s="4"/>
      <c r="L540" s="4"/>
    </row>
    <row r="541" ht="15.75" customHeight="1">
      <c r="A541" s="4" t="str">
        <f>IFERROR(__xludf.DUMMYFUNCTION("""COMPUTED_VALUE"""),"PranaClient")</f>
        <v>PranaClient</v>
      </c>
      <c r="B541" s="4" t="str">
        <f>IFERROR(__xludf.DUMMYFUNCTION("""COMPUTED_VALUE"""),"PranaClient")</f>
        <v>PranaClient</v>
      </c>
      <c r="C541" s="4" t="str">
        <f>IFERROR(__xludf.DUMMYFUNCTION("""COMPUTED_VALUE"""),"1i5E-WuqIWaEe-yq-sesr8ybgECXELHpH055E0IrggKc")</f>
        <v>1i5E-WuqIWaEe-yq-sesr8ybgECXELHpH055E0IrggKc</v>
      </c>
      <c r="D541" s="4"/>
      <c r="E541" s="4"/>
      <c r="F541" s="4"/>
      <c r="G541" s="4"/>
      <c r="H541" s="4"/>
      <c r="I541" s="4"/>
      <c r="J541" s="4"/>
      <c r="K541" s="4"/>
      <c r="L541" s="4"/>
    </row>
    <row r="542" ht="15.75" customHeight="1">
      <c r="A542" s="4" t="str">
        <f>IFERROR(__xludf.DUMMYFUNCTION("""COMPUTED_VALUE"""),"Closing")</f>
        <v>Closing</v>
      </c>
      <c r="B542" s="4" t="str">
        <f>IFERROR(__xludf.DUMMYFUNCTION("""COMPUTED_VALUE"""),"EditMultipleCloseQuantity")</f>
        <v>EditMultipleCloseQuantity</v>
      </c>
      <c r="C542" s="4" t="str">
        <f>IFERROR(__xludf.DUMMYFUNCTION("""COMPUTED_VALUE"""),"1LqHFuFqpoaWRQRABWhj8ApwmhDIIDfhqJOvirqq1jXs")</f>
        <v>1LqHFuFqpoaWRQRABWhj8ApwmhDIIDfhqJOvirqq1jXs</v>
      </c>
      <c r="D542" s="4"/>
      <c r="E542" s="4"/>
      <c r="F542" s="4"/>
      <c r="G542" s="4"/>
      <c r="H542" s="4"/>
      <c r="I542" s="4"/>
      <c r="J542" s="4"/>
      <c r="K542" s="4"/>
      <c r="L542" s="4"/>
    </row>
    <row r="543" ht="15.75" customHeight="1">
      <c r="A543" s="4" t="str">
        <f>IFERROR(__xludf.DUMMYFUNCTION("""COMPUTED_VALUE"""),"Closing")</f>
        <v>Closing</v>
      </c>
      <c r="B543" s="4" t="str">
        <f>IFERROR(__xludf.DUMMYFUNCTION("""COMPUTED_VALUE"""),"ManualCloseOrder")</f>
        <v>ManualCloseOrder</v>
      </c>
      <c r="C543" s="4" t="str">
        <f>IFERROR(__xludf.DUMMYFUNCTION("""COMPUTED_VALUE"""),"1SRIxoyDz2yiuwxeL4eG8FC_4NGCpPmQ7cq3BGkqiS_M")</f>
        <v>1SRIxoyDz2yiuwxeL4eG8FC_4NGCpPmQ7cq3BGkqiS_M</v>
      </c>
      <c r="D543" s="4"/>
      <c r="E543" s="4"/>
      <c r="F543" s="4"/>
      <c r="G543" s="4"/>
      <c r="H543" s="4"/>
      <c r="I543" s="4"/>
      <c r="J543" s="4"/>
      <c r="K543" s="4"/>
      <c r="L543" s="4"/>
    </row>
    <row r="544" ht="15.75" customHeight="1">
      <c r="A544" s="4" t="str">
        <f>IFERROR(__xludf.DUMMYFUNCTION("""COMPUTED_VALUE"""),"Admin")</f>
        <v>Admin</v>
      </c>
      <c r="B544" s="4" t="str">
        <f>IFERROR(__xludf.DUMMYFUNCTION("""COMPUTED_VALUE"""),"SetTTUIAdminPreferences")</f>
        <v>SetTTUIAdminPreferences</v>
      </c>
      <c r="C544" s="4" t="str">
        <f>IFERROR(__xludf.DUMMYFUNCTION("""COMPUTED_VALUE"""),"1NBKCTAbyW8FTd7HpiDVAL8uUdoKPPfDaX-zyJ69TnN8")</f>
        <v>1NBKCTAbyW8FTd7HpiDVAL8uUdoKPPfDaX-zyJ69TnN8</v>
      </c>
      <c r="D544" s="4"/>
      <c r="E544" s="4"/>
      <c r="F544" s="4"/>
      <c r="G544" s="4"/>
      <c r="H544" s="4"/>
      <c r="I544" s="4"/>
      <c r="J544" s="4"/>
      <c r="K544" s="4"/>
      <c r="L544" s="4"/>
    </row>
    <row r="545" ht="15.75" customHeight="1">
      <c r="A545" s="4" t="str">
        <f>IFERROR(__xludf.DUMMYFUNCTION("""COMPUTED_VALUE"""),"Closing")</f>
        <v>Closing</v>
      </c>
      <c r="B545" s="4" t="str">
        <f>IFERROR(__xludf.DUMMYFUNCTION("""COMPUTED_VALUE"""),"PreviewDataWithFilters")</f>
        <v>PreviewDataWithFilters</v>
      </c>
      <c r="C545" s="4" t="str">
        <f>IFERROR(__xludf.DUMMYFUNCTION("""COMPUTED_VALUE"""),"1UfijNzsxS8xhicrd1aaNFJ8AVGE-4qurWWApSDn5ctE")</f>
        <v>1UfijNzsxS8xhicrd1aaNFJ8AVGE-4qurWWApSDn5ctE</v>
      </c>
      <c r="D545" s="4"/>
      <c r="E545" s="4"/>
      <c r="F545" s="4"/>
      <c r="G545" s="4"/>
      <c r="H545" s="4"/>
      <c r="I545" s="4"/>
      <c r="J545" s="4"/>
      <c r="K545" s="4"/>
      <c r="L545" s="4"/>
    </row>
    <row r="546" ht="15.75" customHeight="1">
      <c r="A546" s="4" t="str">
        <f>IFERROR(__xludf.DUMMYFUNCTION("""COMPUTED_VALUE"""),"TradingTicket")</f>
        <v>TradingTicket</v>
      </c>
      <c r="B546" s="4" t="str">
        <f>IFERROR(__xludf.DUMMYFUNCTION("""COMPUTED_VALUE"""),"ViewAllocation")</f>
        <v>ViewAllocation</v>
      </c>
      <c r="C546" s="4" t="str">
        <f>IFERROR(__xludf.DUMMYFUNCTION("""COMPUTED_VALUE"""),"1hZIgWSjxAyvd_l19sawUh-Lx7qkIkwoEJWszPqq6LiM")</f>
        <v>1hZIgWSjxAyvd_l19sawUh-Lx7qkIkwoEJWszPqq6LiM</v>
      </c>
      <c r="D546" s="4"/>
      <c r="E546" s="4"/>
      <c r="F546" s="4"/>
      <c r="G546" s="4"/>
      <c r="H546" s="4"/>
      <c r="I546" s="4"/>
      <c r="J546" s="4"/>
      <c r="K546" s="4"/>
      <c r="L546" s="4"/>
    </row>
    <row r="547" ht="15.75" customHeight="1">
      <c r="A547" s="4" t="str">
        <f>IFERROR(__xludf.DUMMYFUNCTION("""COMPUTED_VALUE"""),"Admin")</f>
        <v>Admin</v>
      </c>
      <c r="B547" s="4" t="str">
        <f>IFERROR(__xludf.DUMMYFUNCTION("""COMPUTED_VALUE"""),"UpdateSecFee")</f>
        <v>UpdateSecFee</v>
      </c>
      <c r="C547" s="4" t="str">
        <f>IFERROR(__xludf.DUMMYFUNCTION("""COMPUTED_VALUE"""),"1fx7weHaG3pIYPq09mXJDlCsGxJxkuwvD9qpnxGKxsUg")</f>
        <v>1fx7weHaG3pIYPq09mXJDlCsGxJxkuwvD9qpnxGKxsUg</v>
      </c>
      <c r="D547" s="4"/>
      <c r="E547" s="4"/>
      <c r="F547" s="4"/>
      <c r="G547" s="4"/>
      <c r="H547" s="4"/>
      <c r="I547" s="4"/>
      <c r="J547" s="4"/>
      <c r="K547" s="4"/>
      <c r="L547" s="4"/>
    </row>
    <row r="548" ht="15.75" customHeight="1">
      <c r="A548" s="4" t="str">
        <f>IFERROR(__xludf.DUMMYFUNCTION("""COMPUTED_VALUE"""),"Closing")</f>
        <v>Closing</v>
      </c>
      <c r="B548" s="4" t="str">
        <f>IFERROR(__xludf.DUMMYFUNCTION("""COMPUTED_VALUE"""),"CreateClosingTemplate")</f>
        <v>CreateClosingTemplate</v>
      </c>
      <c r="C548" s="4" t="str">
        <f>IFERROR(__xludf.DUMMYFUNCTION("""COMPUTED_VALUE"""),"1idwtgSTl3puPU819EeoiFOFlLMiFqqc7fSq_DQM9Ahw")</f>
        <v>1idwtgSTl3puPU819EeoiFOFlLMiFqqc7fSq_DQM9Ahw</v>
      </c>
      <c r="D548" s="4"/>
      <c r="E548" s="4"/>
      <c r="F548" s="4"/>
      <c r="G548" s="4"/>
      <c r="H548" s="4"/>
      <c r="I548" s="4"/>
      <c r="J548" s="4"/>
      <c r="K548" s="4"/>
      <c r="L548" s="4"/>
    </row>
    <row r="549" ht="15.75" customHeight="1">
      <c r="A549" s="4" t="str">
        <f>IFERROR(__xludf.DUMMYFUNCTION("""COMPUTED_VALUE"""),"Closing")</f>
        <v>Closing</v>
      </c>
      <c r="B549" s="4" t="str">
        <f>IFERROR(__xludf.DUMMYFUNCTION("""COMPUTED_VALUE"""),"CreateUnwindingTemplate")</f>
        <v>CreateUnwindingTemplate</v>
      </c>
      <c r="C549" s="4" t="str">
        <f>IFERROR(__xludf.DUMMYFUNCTION("""COMPUTED_VALUE"""),"1yALn3s6q8XYTgNqh8-DnAgKgqPoPCCf4cd3q4rK7dc4")</f>
        <v>1yALn3s6q8XYTgNqh8-DnAgKgqPoPCCf4cd3q4rK7dc4</v>
      </c>
      <c r="D549" s="4"/>
      <c r="E549" s="4"/>
      <c r="F549" s="4"/>
      <c r="G549" s="4"/>
      <c r="H549" s="4"/>
      <c r="I549" s="4"/>
      <c r="J549" s="4"/>
      <c r="K549" s="4"/>
      <c r="L549" s="4"/>
    </row>
    <row r="550" ht="15.75" customHeight="1">
      <c r="A550" s="4" t="str">
        <f>IFERROR(__xludf.DUMMYFUNCTION("""COMPUTED_VALUE"""),"Closing")</f>
        <v>Closing</v>
      </c>
      <c r="B550" s="4" t="str">
        <f>IFERROR(__xludf.DUMMYFUNCTION("""COMPUTED_VALUE"""),"EditTemplate")</f>
        <v>EditTemplate</v>
      </c>
      <c r="C550" s="4" t="str">
        <f>IFERROR(__xludf.DUMMYFUNCTION("""COMPUTED_VALUE"""),"1NuhPbvX0aXlI0GJFIFdnaVEUWbKSGZAOsYo2ZJs_LTI")</f>
        <v>1NuhPbvX0aXlI0GJFIFdnaVEUWbKSGZAOsYo2ZJs_LTI</v>
      </c>
      <c r="D550" s="4"/>
      <c r="E550" s="4"/>
      <c r="F550" s="4"/>
      <c r="G550" s="4"/>
      <c r="H550" s="4"/>
      <c r="I550" s="4"/>
      <c r="J550" s="4"/>
      <c r="K550" s="4"/>
      <c r="L550" s="4"/>
    </row>
    <row r="551" ht="15.75" customHeight="1">
      <c r="A551" s="4" t="str">
        <f>IFERROR(__xludf.DUMMYFUNCTION("""COMPUTED_VALUE"""),"Closing")</f>
        <v>Closing</v>
      </c>
      <c r="B551" s="4" t="str">
        <f>IFERROR(__xludf.DUMMYFUNCTION("""COMPUTED_VALUE"""),"DeleteTemplate")</f>
        <v>DeleteTemplate</v>
      </c>
      <c r="C551" s="4" t="str">
        <f>IFERROR(__xludf.DUMMYFUNCTION("""COMPUTED_VALUE"""),"1FPAHemO6UOqAm-LkkBB9rvkNCOTy_xygY4DA2D71HrY")</f>
        <v>1FPAHemO6UOqAm-LkkBB9rvkNCOTy_xygY4DA2D71HrY</v>
      </c>
      <c r="D551" s="4"/>
      <c r="E551" s="4"/>
      <c r="F551" s="4"/>
      <c r="G551" s="4"/>
      <c r="H551" s="4"/>
      <c r="I551" s="4"/>
      <c r="J551" s="4"/>
      <c r="K551" s="4"/>
      <c r="L551" s="4"/>
    </row>
    <row r="552" ht="15.75" customHeight="1">
      <c r="A552" s="4" t="str">
        <f>IFERROR(__xludf.DUMMYFUNCTION("""COMPUTED_VALUE"""),"Allocation")</f>
        <v>Allocation</v>
      </c>
      <c r="B552" s="4" t="str">
        <f>IFERROR(__xludf.DUMMYFUNCTION("""COMPUTED_VALUE"""),"AllocationAuditTrail")</f>
        <v>AllocationAuditTrail</v>
      </c>
      <c r="C552" s="4" t="str">
        <f>IFERROR(__xludf.DUMMYFUNCTION("""COMPUTED_VALUE"""),"1HD9Qq-FkgtsDvTn0E1mBJqbrvDYs85STToXiwyfSFIc")</f>
        <v>1HD9Qq-FkgtsDvTn0E1mBJqbrvDYs85STToXiwyfSFIc</v>
      </c>
      <c r="D552" s="4"/>
      <c r="E552" s="4"/>
      <c r="F552" s="4"/>
      <c r="G552" s="4"/>
      <c r="H552" s="4"/>
      <c r="I552" s="4"/>
      <c r="J552" s="4"/>
      <c r="K552" s="4"/>
      <c r="L552" s="4"/>
    </row>
    <row r="553" ht="15.75" customHeight="1">
      <c r="A553" s="4" t="str">
        <f>IFERROR(__xludf.DUMMYFUNCTION("""COMPUTED_VALUE"""),"Allocation")</f>
        <v>Allocation</v>
      </c>
      <c r="B553" s="4" t="str">
        <f>IFERROR(__xludf.DUMMYFUNCTION("""COMPUTED_VALUE"""),"GetAuditTrailData")</f>
        <v>GetAuditTrailData</v>
      </c>
      <c r="C553" s="4" t="str">
        <f>IFERROR(__xludf.DUMMYFUNCTION("""COMPUTED_VALUE"""),"1aMbSm8ZDz2Qwg0lNK8q7egOJXYlZK0_CTEZ8ROuOuw4")</f>
        <v>1aMbSm8ZDz2Qwg0lNK8q7egOJXYlZK0_CTEZ8ROuOuw4</v>
      </c>
      <c r="D553" s="4"/>
      <c r="E553" s="4"/>
      <c r="F553" s="4"/>
      <c r="G553" s="4"/>
      <c r="H553" s="4"/>
      <c r="I553" s="4"/>
      <c r="J553" s="4"/>
      <c r="K553" s="4"/>
      <c r="L553" s="4"/>
    </row>
    <row r="554" ht="15.75" customHeight="1">
      <c r="A554" s="4" t="str">
        <f>IFERROR(__xludf.DUMMYFUNCTION("""COMPUTED_VALUE"""),"Allocation")</f>
        <v>Allocation</v>
      </c>
      <c r="B554" s="4" t="str">
        <f>IFERROR(__xludf.DUMMYFUNCTION("""COMPUTED_VALUE"""),"CheckAuditTrailData")</f>
        <v>CheckAuditTrailData</v>
      </c>
      <c r="C554" s="4" t="str">
        <f>IFERROR(__xludf.DUMMYFUNCTION("""COMPUTED_VALUE"""),"1C9HB4waKEi-rOcSPUPOqqKP4_UtACzcf-3WiPrg8wl8")</f>
        <v>1C9HB4waKEi-rOcSPUPOqqKP4_UtACzcf-3WiPrg8wl8</v>
      </c>
      <c r="D554" s="4"/>
      <c r="E554" s="4"/>
      <c r="F554" s="4"/>
      <c r="G554" s="4"/>
      <c r="H554" s="4"/>
      <c r="I554" s="4"/>
      <c r="J554" s="4"/>
      <c r="K554" s="4"/>
      <c r="L554" s="4"/>
    </row>
    <row r="555" ht="15.75" customHeight="1">
      <c r="A555" s="4" t="str">
        <f>IFERROR(__xludf.DUMMYFUNCTION("""COMPUTED_VALUE"""),"Closing")</f>
        <v>Closing</v>
      </c>
      <c r="B555" s="4" t="str">
        <f>IFERROR(__xludf.DUMMYFUNCTION("""COMPUTED_VALUE"""),"RunTemplate")</f>
        <v>RunTemplate</v>
      </c>
      <c r="C555" s="4" t="str">
        <f>IFERROR(__xludf.DUMMYFUNCTION("""COMPUTED_VALUE"""),"1CrtezjyXDUNI03P2ug3fbBszOkDQB11KC1jkQWvhhb0")</f>
        <v>1CrtezjyXDUNI03P2ug3fbBszOkDQB11KC1jkQWvhhb0</v>
      </c>
      <c r="D555" s="4"/>
      <c r="E555" s="4"/>
      <c r="F555" s="4"/>
      <c r="G555" s="4"/>
      <c r="H555" s="4"/>
      <c r="I555" s="4"/>
      <c r="J555" s="4"/>
      <c r="K555" s="4"/>
      <c r="L555" s="4"/>
    </row>
    <row r="556" ht="15.75" customHeight="1">
      <c r="A556" s="4" t="str">
        <f>IFERROR(__xludf.DUMMYFUNCTION("""COMPUTED_VALUE"""),"SymbolLookup")</f>
        <v>SymbolLookup</v>
      </c>
      <c r="B556" s="4" t="str">
        <f>IFERROR(__xludf.DUMMYFUNCTION("""COMPUTED_VALUE"""),"EnterEquity")</f>
        <v>EnterEquity</v>
      </c>
      <c r="C556" s="4" t="str">
        <f>IFERROR(__xludf.DUMMYFUNCTION("""COMPUTED_VALUE"""),"1aaVe9FlMYC6RFGiTb4FjozEKzxGyq3kDwxhYjfzfAD4")</f>
        <v>1aaVe9FlMYC6RFGiTb4FjozEKzxGyq3kDwxhYjfzfAD4</v>
      </c>
      <c r="D556" s="4"/>
      <c r="E556" s="4"/>
      <c r="F556" s="4"/>
      <c r="G556" s="4"/>
      <c r="H556" s="4"/>
      <c r="I556" s="4"/>
      <c r="J556" s="4"/>
      <c r="K556" s="4"/>
      <c r="L556" s="4"/>
    </row>
    <row r="557" ht="15.75" customHeight="1">
      <c r="A557" s="4" t="str">
        <f>IFERROR(__xludf.DUMMYFUNCTION("""COMPUTED_VALUE"""),"SymbolLookup")</f>
        <v>SymbolLookup</v>
      </c>
      <c r="B557" s="4" t="str">
        <f>IFERROR(__xludf.DUMMYFUNCTION("""COMPUTED_VALUE"""),"UpdateSecurityInfoOnSM")</f>
        <v>UpdateSecurityInfoOnSM</v>
      </c>
      <c r="C557" s="4" t="str">
        <f>IFERROR(__xludf.DUMMYFUNCTION("""COMPUTED_VALUE"""),"17-t-GrQf2zL-8Q67F4HdNpsG_6uuzTew55S0LtWs234")</f>
        <v>17-t-GrQf2zL-8Q67F4HdNpsG_6uuzTew55S0LtWs234</v>
      </c>
      <c r="D557" s="4"/>
      <c r="E557" s="4"/>
      <c r="F557" s="4"/>
      <c r="G557" s="4"/>
      <c r="H557" s="4"/>
      <c r="I557" s="4"/>
      <c r="J557" s="4"/>
      <c r="K557" s="4"/>
      <c r="L557" s="4"/>
    </row>
    <row r="558" ht="15.75" customHeight="1">
      <c r="A558" s="4" t="str">
        <f>IFERROR(__xludf.DUMMYFUNCTION("""COMPUTED_VALUE"""),"Blotter")</f>
        <v>Blotter</v>
      </c>
      <c r="B558" s="4" t="str">
        <f>IFERROR(__xludf.DUMMYFUNCTION("""COMPUTED_VALUE"""),"AllocateFromBlotter")</f>
        <v>AllocateFromBlotter</v>
      </c>
      <c r="C558" s="4" t="str">
        <f>IFERROR(__xludf.DUMMYFUNCTION("""COMPUTED_VALUE"""),"1XTJi2OXX9tDNK8ST579LThIVIiMnVsCWKD8hYv1DwCk")</f>
        <v>1XTJi2OXX9tDNK8ST579LThIVIiMnVsCWKD8hYv1DwCk</v>
      </c>
      <c r="D558" s="4"/>
      <c r="E558" s="4"/>
      <c r="F558" s="4"/>
      <c r="G558" s="4"/>
      <c r="H558" s="4"/>
      <c r="I558" s="4"/>
      <c r="J558" s="4"/>
      <c r="K558" s="4"/>
      <c r="L558" s="4"/>
    </row>
    <row r="559" ht="15.75" customHeight="1">
      <c r="A559" s="4" t="str">
        <f>IFERROR(__xludf.DUMMYFUNCTION("""COMPUTED_VALUE"""),"Admin")</f>
        <v>Admin</v>
      </c>
      <c r="B559" s="4" t="str">
        <f>IFERROR(__xludf.DUMMYFUNCTION("""COMPUTED_VALUE"""),"UpdateFee")</f>
        <v>UpdateFee</v>
      </c>
      <c r="C559" s="4" t="str">
        <f>IFERROR(__xludf.DUMMYFUNCTION("""COMPUTED_VALUE"""),"18i3ZoYVYHAnZwXwaD1wecFKaay3F1XWD-fGr1yOXxiI")</f>
        <v>18i3ZoYVYHAnZwXwaD1wecFKaay3F1XWD-fGr1yOXxiI</v>
      </c>
      <c r="D559" s="4"/>
      <c r="E559" s="4"/>
      <c r="F559" s="4"/>
      <c r="G559" s="4"/>
      <c r="H559" s="4"/>
      <c r="I559" s="4"/>
      <c r="J559" s="4"/>
      <c r="K559" s="4"/>
      <c r="L559" s="4"/>
    </row>
    <row r="560" ht="15.75" customHeight="1">
      <c r="A560" s="4" t="str">
        <f>IFERROR(__xludf.DUMMYFUNCTION("""COMPUTED_VALUE"""),"Allocation")</f>
        <v>Allocation</v>
      </c>
      <c r="B560" s="4" t="str">
        <f>IFERROR(__xludf.DUMMYFUNCTION("""COMPUTED_VALUE"""),"DeleteGroupWithOutSave")</f>
        <v>DeleteGroupWithOutSave</v>
      </c>
      <c r="C560" s="4" t="str">
        <f>IFERROR(__xludf.DUMMYFUNCTION("""COMPUTED_VALUE"""),"1aIaLYmwd1_7VvSXSXs0xCiLDHvkOFY2I2WhFegjZjbM")</f>
        <v>1aIaLYmwd1_7VvSXSXs0xCiLDHvkOFY2I2WhFegjZjbM</v>
      </c>
      <c r="D560" s="4"/>
      <c r="E560" s="4"/>
      <c r="F560" s="4"/>
      <c r="G560" s="4"/>
      <c r="H560" s="4"/>
      <c r="I560" s="4"/>
      <c r="J560" s="4"/>
      <c r="K560" s="4"/>
      <c r="L560" s="4"/>
    </row>
    <row r="561" ht="15.75" customHeight="1">
      <c r="A561" s="4" t="str">
        <f>IFERROR(__xludf.DUMMYFUNCTION("""COMPUTED_VALUE"""),"Allocation")</f>
        <v>Allocation</v>
      </c>
      <c r="B561" s="4" t="str">
        <f>IFERROR(__xludf.DUMMYFUNCTION("""COMPUTED_VALUE"""),"CheckPreferences")</f>
        <v>CheckPreferences</v>
      </c>
      <c r="C561" s="4" t="str">
        <f>IFERROR(__xludf.DUMMYFUNCTION("""COMPUTED_VALUE"""),"1Gt4DTANotwpTFTn2K0N4FyEH3Wy4mVS3CndTI3qhjT0")</f>
        <v>1Gt4DTANotwpTFTn2K0N4FyEH3Wy4mVS3CndTI3qhjT0</v>
      </c>
      <c r="D561" s="4"/>
      <c r="E561" s="4"/>
      <c r="F561" s="4"/>
      <c r="G561" s="4"/>
      <c r="H561" s="4"/>
      <c r="I561" s="4"/>
      <c r="J561" s="4"/>
      <c r="K561" s="4"/>
      <c r="L561" s="4"/>
    </row>
    <row r="562" ht="15.75" customHeight="1">
      <c r="A562" s="4" t="str">
        <f>IFERROR(__xludf.DUMMYFUNCTION("""COMPUTED_VALUE"""),"Rebalancer")</f>
        <v>Rebalancer</v>
      </c>
      <c r="B562" s="4" t="str">
        <f>IFERROR(__xludf.DUMMYFUNCTION("""COMPUTED_VALUE"""),"SymbologyChangeRB")</f>
        <v>SymbologyChangeRB</v>
      </c>
      <c r="C562" s="4" t="str">
        <f>IFERROR(__xludf.DUMMYFUNCTION("""COMPUTED_VALUE"""),"Undefined")</f>
        <v>Undefined</v>
      </c>
      <c r="D562" s="4"/>
      <c r="E562" s="4"/>
      <c r="F562" s="4"/>
      <c r="G562" s="4"/>
      <c r="H562" s="4"/>
      <c r="I562" s="4"/>
      <c r="J562" s="4"/>
      <c r="K562" s="4"/>
      <c r="L562" s="4"/>
    </row>
    <row r="563" ht="15.75" customHeight="1">
      <c r="A563" s="4" t="str">
        <f>IFERROR(__xludf.DUMMYFUNCTION("""COMPUTED_VALUE"""),"TradingTicket")</f>
        <v>TradingTicket</v>
      </c>
      <c r="B563" s="4" t="str">
        <f>IFERROR(__xludf.DUMMYFUNCTION("""COMPUTED_VALUE"""),"CreateReplaceLiveOrder")</f>
        <v>CreateReplaceLiveOrder</v>
      </c>
      <c r="C563" s="4" t="str">
        <f>IFERROR(__xludf.DUMMYFUNCTION("""COMPUTED_VALUE"""),"1k4O2DH0z6o7Zp7BJki2B-GvLEd7WL3r0-BBl39ErSwA")</f>
        <v>1k4O2DH0z6o7Zp7BJki2B-GvLEd7WL3r0-BBl39ErSwA</v>
      </c>
      <c r="D563" s="4"/>
      <c r="E563" s="4"/>
      <c r="F563" s="4"/>
      <c r="G563" s="4"/>
      <c r="H563" s="4"/>
      <c r="I563" s="4"/>
      <c r="J563" s="4"/>
      <c r="K563" s="4"/>
      <c r="L563" s="4"/>
    </row>
    <row r="564" ht="15.75" customHeight="1">
      <c r="A564" s="4" t="str">
        <f>IFERROR(__xludf.DUMMYFUNCTION("""COMPUTED_VALUE"""),"Admin")</f>
        <v>Admin</v>
      </c>
      <c r="B564" s="4" t="str">
        <f>IFERROR(__xludf.DUMMYFUNCTION("""COMPUTED_VALUE"""),"RevertingSMSharesOutValue")</f>
        <v>RevertingSMSharesOutValue</v>
      </c>
      <c r="C564" s="4" t="str">
        <f>IFERROR(__xludf.DUMMYFUNCTION("""COMPUTED_VALUE"""),"14NB1Fv5kuloQb2TqNZV019UwD238JCIlsMkapq0l2ag")</f>
        <v>14NB1Fv5kuloQb2TqNZV019UwD238JCIlsMkapq0l2ag</v>
      </c>
      <c r="D564" s="4"/>
      <c r="E564" s="4"/>
      <c r="F564" s="4"/>
      <c r="G564" s="4"/>
      <c r="H564" s="4"/>
      <c r="I564" s="4"/>
      <c r="J564" s="4"/>
      <c r="K564" s="4"/>
      <c r="L564" s="4"/>
    </row>
    <row r="565" ht="15.75" customHeight="1">
      <c r="A565" s="4" t="str">
        <f>IFERROR(__xludf.DUMMYFUNCTION("""COMPUTED_VALUE"""),"SymbolLookup")</f>
        <v>SymbolLookup</v>
      </c>
      <c r="B565" s="4" t="str">
        <f>IFERROR(__xludf.DUMMYFUNCTION("""COMPUTED_VALUE"""),"TradeSymbolFromSM")</f>
        <v>TradeSymbolFromSM</v>
      </c>
      <c r="C565" s="4" t="str">
        <f>IFERROR(__xludf.DUMMYFUNCTION("""COMPUTED_VALUE"""),"1QQqyEJAxSiITSpbxeSzT-43Z_t_k8RMkNqyDU83B9yw")</f>
        <v>1QQqyEJAxSiITSpbxeSzT-43Z_t_k8RMkNqyDU83B9yw</v>
      </c>
      <c r="D565" s="4"/>
      <c r="E565" s="4"/>
      <c r="F565" s="4"/>
      <c r="G565" s="4"/>
      <c r="H565" s="4"/>
      <c r="I565" s="4"/>
      <c r="J565" s="4"/>
      <c r="K565" s="4"/>
      <c r="L565" s="4"/>
    </row>
    <row r="566" ht="15.75" customHeight="1">
      <c r="A566" s="4" t="str">
        <f>IFERROR(__xludf.DUMMYFUNCTION("""COMPUTED_VALUE"""),"Closing")</f>
        <v>Closing</v>
      </c>
      <c r="B566" s="4" t="str">
        <f>IFERROR(__xludf.DUMMYFUNCTION("""COMPUTED_VALUE"""),"SelectAccountWiseAsset")</f>
        <v>SelectAccountWiseAsset</v>
      </c>
      <c r="C566" s="4" t="str">
        <f>IFERROR(__xludf.DUMMYFUNCTION("""COMPUTED_VALUE"""),"1dg717feD1PLoJMODUOkjay-kVKs_HU6lWkwzq6Dzicw")</f>
        <v>1dg717feD1PLoJMODUOkjay-kVKs_HU6lWkwzq6Dzicw</v>
      </c>
      <c r="D566" s="4"/>
      <c r="E566" s="4"/>
      <c r="F566" s="4"/>
      <c r="G566" s="4"/>
      <c r="H566" s="4"/>
      <c r="I566" s="4"/>
      <c r="J566" s="4"/>
      <c r="K566" s="4"/>
      <c r="L566" s="4"/>
    </row>
    <row r="567" ht="15.75" customHeight="1">
      <c r="A567" s="4" t="str">
        <f>IFERROR(__xludf.DUMMYFUNCTION("""COMPUTED_VALUE"""),"Closing")</f>
        <v>Closing</v>
      </c>
      <c r="B567" s="4" t="str">
        <f>IFERROR(__xludf.DUMMYFUNCTION("""COMPUTED_VALUE"""),"VerifyCTData")</f>
        <v>VerifyCTData</v>
      </c>
      <c r="C567" s="4" t="str">
        <f>IFERROR(__xludf.DUMMYFUNCTION("""COMPUTED_VALUE"""),"1DhgxoqROPCGpHN0ZvF_CxvGD_XGKqi4hirH4AyU5edM")</f>
        <v>1DhgxoqROPCGpHN0ZvF_CxvGD_XGKqi4hirH4AyU5edM</v>
      </c>
      <c r="D567" s="4"/>
      <c r="E567" s="4"/>
      <c r="F567" s="4"/>
      <c r="G567" s="4"/>
      <c r="H567" s="4"/>
      <c r="I567" s="4"/>
      <c r="J567" s="4"/>
      <c r="K567" s="4"/>
      <c r="L567" s="4"/>
    </row>
    <row r="568" ht="15.75" customHeight="1">
      <c r="A568" s="4" t="str">
        <f>IFERROR(__xludf.DUMMYFUNCTION("""COMPUTED_VALUE"""),"Closing")</f>
        <v>Closing</v>
      </c>
      <c r="B568" s="4" t="str">
        <f>IFERROR(__xludf.DUMMYFUNCTION("""COMPUTED_VALUE"""),"ExerciseAssignmentWithOutSave")</f>
        <v>ExerciseAssignmentWithOutSave</v>
      </c>
      <c r="C568" s="4" t="str">
        <f>IFERROR(__xludf.DUMMYFUNCTION("""COMPUTED_VALUE"""),"13ISfl53WS5qjapt8_QubQCWQC5PngpTaN-DNznWEfnM")</f>
        <v>13ISfl53WS5qjapt8_QubQCWQC5PngpTaN-DNznWEfnM</v>
      </c>
      <c r="D568" s="4"/>
      <c r="E568" s="4"/>
      <c r="F568" s="4"/>
      <c r="G568" s="4"/>
      <c r="H568" s="4"/>
      <c r="I568" s="4"/>
      <c r="J568" s="4"/>
      <c r="K568" s="4"/>
      <c r="L568" s="4"/>
    </row>
    <row r="569" ht="15.75" customHeight="1">
      <c r="A569" s="4" t="str">
        <f>IFERROR(__xludf.DUMMYFUNCTION("""COMPUTED_VALUE"""),"Closing")</f>
        <v>Closing</v>
      </c>
      <c r="B569" s="4" t="str">
        <f>IFERROR(__xludf.DUMMYFUNCTION("""COMPUTED_VALUE"""),"SaveCTData")</f>
        <v>SaveCTData</v>
      </c>
      <c r="C569" s="4" t="str">
        <f>IFERROR(__xludf.DUMMYFUNCTION("""COMPUTED_VALUE"""),"1lX2ofL0aTKUlfGG5tlpbifm1409nxXKN3EvA38tIwsI")</f>
        <v>1lX2ofL0aTKUlfGG5tlpbifm1409nxXKN3EvA38tIwsI</v>
      </c>
      <c r="D569" s="4"/>
      <c r="E569" s="4"/>
      <c r="F569" s="4"/>
      <c r="G569" s="4"/>
      <c r="H569" s="4"/>
      <c r="I569" s="4"/>
      <c r="J569" s="4"/>
      <c r="K569" s="4"/>
      <c r="L569" s="4"/>
    </row>
    <row r="570" ht="15.75" customHeight="1">
      <c r="A570" s="4" t="str">
        <f>IFERROR(__xludf.DUMMYFUNCTION("""COMPUTED_VALUE"""),"Allocation")</f>
        <v>Allocation</v>
      </c>
      <c r="B570" s="4" t="str">
        <f>IFERROR(__xludf.DUMMYFUNCTION("""COMPUTED_VALUE"""),"AllocateWithPopUp")</f>
        <v>AllocateWithPopUp</v>
      </c>
      <c r="C570" s="4" t="str">
        <f>IFERROR(__xludf.DUMMYFUNCTION("""COMPUTED_VALUE"""),"1xGs6-0rm5y24BDfu0xaFuFjmw24xo_mnA1FsmchPkoQ")</f>
        <v>1xGs6-0rm5y24BDfu0xaFuFjmw24xo_mnA1FsmchPkoQ</v>
      </c>
      <c r="D570" s="4"/>
      <c r="E570" s="4"/>
      <c r="F570" s="4"/>
      <c r="G570" s="4"/>
      <c r="H570" s="4"/>
      <c r="I570" s="4"/>
      <c r="J570" s="4"/>
      <c r="K570" s="4"/>
      <c r="L570" s="4"/>
    </row>
    <row r="571" ht="15.75" customHeight="1">
      <c r="A571" s="4" t="str">
        <f>IFERROR(__xludf.DUMMYFUNCTION("""COMPUTED_VALUE"""),"TradingTicket")</f>
        <v>TradingTicket</v>
      </c>
      <c r="B571" s="4" t="str">
        <f>IFERROR(__xludf.DUMMYFUNCTION("""COMPUTED_VALUE"""),"CreateNewSubLiveOrder")</f>
        <v>CreateNewSubLiveOrder</v>
      </c>
      <c r="C571" s="4" t="str">
        <f>IFERROR(__xludf.DUMMYFUNCTION("""COMPUTED_VALUE"""),"1sXlRlM3l3g7Y_cbxe72XjBbsp4DKHWhRKjq3FHbAEZg")</f>
        <v>1sXlRlM3l3g7Y_cbxe72XjBbsp4DKHWhRKjq3FHbAEZg</v>
      </c>
      <c r="D571" s="4"/>
      <c r="E571" s="4"/>
      <c r="F571" s="4"/>
      <c r="G571" s="4"/>
      <c r="H571" s="4"/>
      <c r="I571" s="4"/>
      <c r="J571" s="4"/>
      <c r="K571" s="4"/>
      <c r="L571" s="4"/>
    </row>
    <row r="572" ht="15.75" customHeight="1">
      <c r="A572" s="4" t="str">
        <f>IFERROR(__xludf.DUMMYFUNCTION("""COMPUTED_VALUE"""),"Blotter")</f>
        <v>Blotter</v>
      </c>
      <c r="B572" s="4" t="str">
        <f>IFERROR(__xludf.DUMMYFUNCTION("""COMPUTED_VALUE"""),"ViewPTTAllocationDetails")</f>
        <v>ViewPTTAllocationDetails</v>
      </c>
      <c r="C572" s="4" t="str">
        <f>IFERROR(__xludf.DUMMYFUNCTION("""COMPUTED_VALUE"""),"1K3kCif21tZY3Z_07H3JuRu8yZ2BuxGjW7WwookIx-Fc")</f>
        <v>1K3kCif21tZY3Z_07H3JuRu8yZ2BuxGjW7WwookIx-Fc</v>
      </c>
      <c r="D572" s="4"/>
      <c r="E572" s="4"/>
      <c r="F572" s="4"/>
      <c r="G572" s="4"/>
      <c r="H572" s="4"/>
      <c r="I572" s="4"/>
      <c r="J572" s="4"/>
      <c r="K572" s="4"/>
      <c r="L572" s="4"/>
    </row>
    <row r="573" ht="15.75" customHeight="1">
      <c r="A573" s="4" t="str">
        <f>IFERROR(__xludf.DUMMYFUNCTION("""COMPUTED_VALUE"""),"Admin")</f>
        <v>Admin</v>
      </c>
      <c r="B573" s="4" t="str">
        <f>IFERROR(__xludf.DUMMYFUNCTION("""COMPUTED_VALUE"""),"RestartSQL")</f>
        <v>RestartSQL</v>
      </c>
      <c r="C573" s="4" t="str">
        <f>IFERROR(__xludf.DUMMYFUNCTION("""COMPUTED_VALUE"""),"1-12TcMWdB2mXxQH8e7co5k5BUH-Uzpps1uWKQ-CLR00")</f>
        <v>1-12TcMWdB2mXxQH8e7co5k5BUH-Uzpps1uWKQ-CLR00</v>
      </c>
      <c r="D573" s="4"/>
      <c r="E573" s="4"/>
      <c r="F573" s="4"/>
      <c r="G573" s="4"/>
      <c r="H573" s="4"/>
      <c r="I573" s="4"/>
      <c r="J573" s="4"/>
      <c r="K573" s="4"/>
      <c r="L573" s="4"/>
    </row>
    <row r="574" ht="15.75" customHeight="1">
      <c r="A574" s="4" t="str">
        <f>IFERROR(__xludf.DUMMYFUNCTION("""COMPUTED_VALUE"""),"Admin")</f>
        <v>Admin</v>
      </c>
      <c r="B574" s="4" t="str">
        <f>IFERROR(__xludf.DUMMYFUNCTION("""COMPUTED_VALUE"""),"TradeAuditCleanUp")</f>
        <v>TradeAuditCleanUp</v>
      </c>
      <c r="C574" s="4" t="str">
        <f>IFERROR(__xludf.DUMMYFUNCTION("""COMPUTED_VALUE"""),"1te_tPkqDmMAupeEd8qm_jD3j66mFB1Z4N9FMCo8XPy4")</f>
        <v>1te_tPkqDmMAupeEd8qm_jD3j66mFB1Z4N9FMCo8XPy4</v>
      </c>
      <c r="D574" s="4"/>
      <c r="E574" s="4"/>
      <c r="F574" s="4"/>
      <c r="G574" s="4"/>
      <c r="H574" s="4"/>
      <c r="I574" s="4"/>
      <c r="J574" s="4"/>
      <c r="K574" s="4"/>
      <c r="L574" s="4"/>
    </row>
    <row r="575" ht="15.75" customHeight="1">
      <c r="A575" s="4" t="str">
        <f>IFERROR(__xludf.DUMMYFUNCTION("""COMPUTED_VALUE"""),"Import")</f>
        <v>Import</v>
      </c>
      <c r="B575" s="4" t="str">
        <f>IFERROR(__xludf.DUMMYFUNCTION("""COMPUTED_VALUE"""),"SelectTradeOnImport")</f>
        <v>SelectTradeOnImport</v>
      </c>
      <c r="C575" s="4" t="str">
        <f>IFERROR(__xludf.DUMMYFUNCTION("""COMPUTED_VALUE"""),"1E9KQGFIuEW08WBNI-XqSj37_5i6SG51bbwPJ0NN4Mmc")</f>
        <v>1E9KQGFIuEW08WBNI-XqSj37_5i6SG51bbwPJ0NN4Mmc</v>
      </c>
      <c r="D575" s="4"/>
      <c r="E575" s="4"/>
      <c r="F575" s="4"/>
      <c r="G575" s="4"/>
      <c r="H575" s="4"/>
      <c r="I575" s="4"/>
      <c r="J575" s="4"/>
      <c r="K575" s="4"/>
      <c r="L575" s="4"/>
    </row>
    <row r="576" ht="15.75" customHeight="1">
      <c r="A576" s="4" t="str">
        <f>IFERROR(__xludf.DUMMYFUNCTION("""COMPUTED_VALUE"""),"Allocation")</f>
        <v>Allocation</v>
      </c>
      <c r="B576" s="4" t="str">
        <f>IFERROR(__xludf.DUMMYFUNCTION("""COMPUTED_VALUE"""),"SelectAllRowsAllocated")</f>
        <v>SelectAllRowsAllocated</v>
      </c>
      <c r="C576" s="4" t="str">
        <f>IFERROR(__xludf.DUMMYFUNCTION("""COMPUTED_VALUE"""),"Undefined")</f>
        <v>Undefined</v>
      </c>
      <c r="D576" s="4"/>
      <c r="E576" s="4"/>
      <c r="F576" s="4"/>
      <c r="G576" s="4"/>
      <c r="H576" s="4"/>
      <c r="I576" s="4"/>
      <c r="J576" s="4"/>
      <c r="K576" s="4"/>
      <c r="L576" s="4"/>
    </row>
    <row r="577" ht="15.75" customHeight="1">
      <c r="A577" s="4" t="str">
        <f>IFERROR(__xludf.DUMMYFUNCTION("""COMPUTED_VALUE"""),"Closing")</f>
        <v>Closing</v>
      </c>
      <c r="B577" s="4" t="str">
        <f>IFERROR(__xludf.DUMMYFUNCTION("""COMPUTED_VALUE"""),"FilterLongPositionGrid")</f>
        <v>FilterLongPositionGrid</v>
      </c>
      <c r="C577" s="4" t="str">
        <f>IFERROR(__xludf.DUMMYFUNCTION("""COMPUTED_VALUE"""),"1eQ05g7FlkoucBRzqzHC6DYgristCD8IKA7i0JOPqMMs")</f>
        <v>1eQ05g7FlkoucBRzqzHC6DYgristCD8IKA7i0JOPqMMs</v>
      </c>
      <c r="D577" s="4"/>
      <c r="E577" s="4"/>
      <c r="F577" s="4"/>
      <c r="G577" s="4"/>
      <c r="H577" s="4"/>
      <c r="I577" s="4"/>
      <c r="J577" s="4"/>
      <c r="K577" s="4"/>
      <c r="L577" s="4"/>
    </row>
    <row r="578" ht="15.75" customHeight="1">
      <c r="A578" s="4" t="str">
        <f>IFERROR(__xludf.DUMMYFUNCTION("""COMPUTED_VALUE"""),"Closing")</f>
        <v>Closing</v>
      </c>
      <c r="B578" s="4" t="str">
        <f>IFERROR(__xludf.DUMMYFUNCTION("""COMPUTED_VALUE"""),"FilterShortPositionGrid")</f>
        <v>FilterShortPositionGrid</v>
      </c>
      <c r="C578" s="4" t="str">
        <f>IFERROR(__xludf.DUMMYFUNCTION("""COMPUTED_VALUE"""),"1_Kaj9Gla2_3_3DWDcJLohN-Ulu6Or19SpBltOn1IqpA")</f>
        <v>1_Kaj9Gla2_3_3DWDcJLohN-Ulu6Or19SpBltOn1IqpA</v>
      </c>
      <c r="D578" s="4"/>
      <c r="E578" s="4"/>
      <c r="F578" s="4"/>
      <c r="G578" s="4"/>
      <c r="H578" s="4"/>
      <c r="I578" s="4"/>
      <c r="J578" s="4"/>
      <c r="K578" s="4"/>
      <c r="L578" s="4"/>
    </row>
    <row r="579" ht="15.75" customHeight="1">
      <c r="A579" s="4" t="str">
        <f>IFERROR(__xludf.DUMMYFUNCTION("""COMPUTED_VALUE"""),"Closing")</f>
        <v>Closing</v>
      </c>
      <c r="B579" s="4" t="str">
        <f>IFERROR(__xludf.DUMMYFUNCTION("""COMPUTED_VALUE"""),"FilterClosingGrid")</f>
        <v>FilterClosingGrid</v>
      </c>
      <c r="C579" s="4" t="str">
        <f>IFERROR(__xludf.DUMMYFUNCTION("""COMPUTED_VALUE"""),"1x0tSTgqZ5yRnN4Tz7nFtGYNGMoM4Tz6TBq0Ru3xflwY")</f>
        <v>1x0tSTgqZ5yRnN4Tz7nFtGYNGMoM4Tz6TBq0Ru3xflwY</v>
      </c>
      <c r="D579" s="4"/>
      <c r="E579" s="4"/>
      <c r="F579" s="4"/>
      <c r="G579" s="4"/>
      <c r="H579" s="4"/>
      <c r="I579" s="4"/>
      <c r="J579" s="4"/>
      <c r="K579" s="4"/>
      <c r="L579" s="4"/>
    </row>
    <row r="580" ht="15.75" customHeight="1">
      <c r="A580" s="4" t="str">
        <f>IFERROR(__xludf.DUMMYFUNCTION("""COMPUTED_VALUE"""),"Closing")</f>
        <v>Closing</v>
      </c>
      <c r="B580" s="4" t="str">
        <f>IFERROR(__xludf.DUMMYFUNCTION("""COMPUTED_VALUE"""),"FilterUnexpiredGrid")</f>
        <v>FilterUnexpiredGrid</v>
      </c>
      <c r="C580" s="4" t="str">
        <f>IFERROR(__xludf.DUMMYFUNCTION("""COMPUTED_VALUE"""),"19__Spg6yNEdiEgPsq0ju_vHO7AEAj0c1TjazwCSKFSs")</f>
        <v>19__Spg6yNEdiEgPsq0ju_vHO7AEAj0c1TjazwCSKFSs</v>
      </c>
      <c r="D580" s="4"/>
      <c r="E580" s="4"/>
      <c r="F580" s="4"/>
      <c r="G580" s="4"/>
      <c r="H580" s="4"/>
      <c r="I580" s="4"/>
      <c r="J580" s="4"/>
      <c r="K580" s="4"/>
      <c r="L580" s="4"/>
    </row>
    <row r="581" ht="15.75" customHeight="1">
      <c r="A581" s="4" t="str">
        <f>IFERROR(__xludf.DUMMYFUNCTION("""COMPUTED_VALUE"""),"Closing")</f>
        <v>Closing</v>
      </c>
      <c r="B581" s="4" t="str">
        <f>IFERROR(__xludf.DUMMYFUNCTION("""COMPUTED_VALUE"""),"FilterExpiredGrid")</f>
        <v>FilterExpiredGrid</v>
      </c>
      <c r="C581" s="4" t="str">
        <f>IFERROR(__xludf.DUMMYFUNCTION("""COMPUTED_VALUE"""),"1jZq080VyNhunffpTX7Q8WctBF6FMMlgDqxOs2X0M62s")</f>
        <v>1jZq080VyNhunffpTX7Q8WctBF6FMMlgDqxOs2X0M62s</v>
      </c>
      <c r="D581" s="4"/>
      <c r="E581" s="4"/>
      <c r="F581" s="4"/>
      <c r="G581" s="4"/>
      <c r="H581" s="4"/>
      <c r="I581" s="4"/>
      <c r="J581" s="4"/>
      <c r="K581" s="4"/>
      <c r="L581" s="4"/>
    </row>
    <row r="582" ht="15.75" customHeight="1">
      <c r="A582" s="4" t="str">
        <f>IFERROR(__xludf.DUMMYFUNCTION("""COMPUTED_VALUE"""),"GeneralLedger")</f>
        <v>GeneralLedger</v>
      </c>
      <c r="B582" s="4" t="str">
        <f>IFERROR(__xludf.DUMMYFUNCTION("""COMPUTED_VALUE"""),"FilterCashTransactionGrid")</f>
        <v>FilterCashTransactionGrid</v>
      </c>
      <c r="C582" s="4" t="str">
        <f>IFERROR(__xludf.DUMMYFUNCTION("""COMPUTED_VALUE"""),"1yFQmKvzwAFdsY1i_j5krUyRXB0Jw9K6HiJ1sedlnizE")</f>
        <v>1yFQmKvzwAFdsY1i_j5krUyRXB0Jw9K6HiJ1sedlnizE</v>
      </c>
      <c r="D582" s="4"/>
      <c r="E582" s="4"/>
      <c r="F582" s="4"/>
      <c r="G582" s="4"/>
      <c r="H582" s="4"/>
      <c r="I582" s="4"/>
      <c r="J582" s="4"/>
      <c r="K582" s="4"/>
      <c r="L582" s="4"/>
    </row>
    <row r="583" ht="15.75" customHeight="1">
      <c r="A583" s="4" t="str">
        <f>IFERROR(__xludf.DUMMYFUNCTION("""COMPUTED_VALUE"""),"Recon")</f>
        <v>Recon</v>
      </c>
      <c r="B583" s="4" t="str">
        <f>IFERROR(__xludf.DUMMYFUNCTION("""COMPUTED_VALUE"""),"VerifyApplicationData")</f>
        <v>VerifyApplicationData</v>
      </c>
      <c r="C583" s="4" t="str">
        <f>IFERROR(__xludf.DUMMYFUNCTION("""COMPUTED_VALUE"""),"1Dpr8WIv6TDBK0rxjxSy_MqWbkp0VcPh0dzzq05jelwk")</f>
        <v>1Dpr8WIv6TDBK0rxjxSy_MqWbkp0VcPh0dzzq05jelwk</v>
      </c>
      <c r="D583" s="4"/>
      <c r="E583" s="4"/>
      <c r="F583" s="4"/>
      <c r="G583" s="4"/>
      <c r="H583" s="4"/>
      <c r="I583" s="4"/>
      <c r="J583" s="4"/>
      <c r="K583" s="4"/>
      <c r="L583" s="4"/>
    </row>
    <row r="584" ht="15.75" customHeight="1">
      <c r="A584" s="4" t="str">
        <f>IFERROR(__xludf.DUMMYFUNCTION("""COMPUTED_VALUE"""),"GeneralLedger")</f>
        <v>GeneralLedger</v>
      </c>
      <c r="B584" s="4" t="str">
        <f>IFERROR(__xludf.DUMMYFUNCTION("""COMPUTED_VALUE"""),"EditGridCashTransactions")</f>
        <v>EditGridCashTransactions</v>
      </c>
      <c r="C584" s="4" t="str">
        <f>IFERROR(__xludf.DUMMYFUNCTION("""COMPUTED_VALUE"""),"1U3Lll-22S6_flQX8K9e2RYFi60F4xvlFiIrO7oI53SM")</f>
        <v>1U3Lll-22S6_flQX8K9e2RYFi60F4xvlFiIrO7oI53SM</v>
      </c>
      <c r="D584" s="4"/>
      <c r="E584" s="4"/>
      <c r="F584" s="4"/>
      <c r="G584" s="4"/>
      <c r="H584" s="4"/>
      <c r="I584" s="4"/>
      <c r="J584" s="4"/>
      <c r="K584" s="4"/>
      <c r="L584" s="4"/>
    </row>
    <row r="585" ht="15.75" customHeight="1">
      <c r="A585" s="4" t="str">
        <f>IFERROR(__xludf.DUMMYFUNCTION("""COMPUTED_VALUE"""),"Closing")</f>
        <v>Closing</v>
      </c>
      <c r="B585" s="4" t="str">
        <f>IFERROR(__xludf.DUMMYFUNCTION("""COMPUTED_VALUE"""),"UnwindAllClosingData")</f>
        <v>UnwindAllClosingData</v>
      </c>
      <c r="C585" s="4" t="str">
        <f>IFERROR(__xludf.DUMMYFUNCTION("""COMPUTED_VALUE"""),"1tWUIoWkYt76dEoPLffGeR3BKhumyPmGYrDDpNHf57-E")</f>
        <v>1tWUIoWkYt76dEoPLffGeR3BKhumyPmGYrDDpNHf57-E</v>
      </c>
      <c r="D585" s="4"/>
      <c r="E585" s="4"/>
      <c r="F585" s="4"/>
      <c r="G585" s="4"/>
      <c r="H585" s="4"/>
      <c r="I585" s="4"/>
      <c r="J585" s="4"/>
      <c r="K585" s="4"/>
      <c r="L585" s="4"/>
    </row>
    <row r="586" ht="15.75" customHeight="1">
      <c r="A586" s="4" t="str">
        <f>IFERROR(__xludf.DUMMYFUNCTION("""COMPUTED_VALUE"""),"GeneralLedger")</f>
        <v>GeneralLedger</v>
      </c>
      <c r="B586" s="4" t="str">
        <f>IFERROR(__xludf.DUMMYFUNCTION("""COMPUTED_VALUE"""),"SaveCashTransaction")</f>
        <v>SaveCashTransaction</v>
      </c>
      <c r="C586" s="4" t="str">
        <f>IFERROR(__xludf.DUMMYFUNCTION("""COMPUTED_VALUE"""),"1B21k1fT7qeMq7F9lYaslrVehhg0joFVgy-pYc8Lkmf8")</f>
        <v>1B21k1fT7qeMq7F9lYaslrVehhg0joFVgy-pYc8Lkmf8</v>
      </c>
      <c r="D586" s="4"/>
      <c r="E586" s="4"/>
      <c r="F586" s="4"/>
      <c r="G586" s="4"/>
      <c r="H586" s="4"/>
      <c r="I586" s="4"/>
      <c r="J586" s="4"/>
      <c r="K586" s="4"/>
      <c r="L586" s="4"/>
    </row>
    <row r="587" ht="15.75" customHeight="1">
      <c r="A587" s="4" t="str">
        <f>IFERROR(__xludf.DUMMYFUNCTION("""COMPUTED_VALUE"""),"ThirdParty")</f>
        <v>ThirdParty</v>
      </c>
      <c r="B587" s="4" t="str">
        <f>IFERROR(__xludf.DUMMYFUNCTION("""COMPUTED_VALUE"""),"ChangeThirdpartyDate")</f>
        <v>ChangeThirdpartyDate</v>
      </c>
      <c r="C587" s="4" t="str">
        <f>IFERROR(__xludf.DUMMYFUNCTION("""COMPUTED_VALUE"""),"1h4P6VS7hFcj6Gpcpap9UycUQLIp7GSGhFN-Pc67f1mU")</f>
        <v>1h4P6VS7hFcj6Gpcpap9UycUQLIp7GSGhFN-Pc67f1mU</v>
      </c>
      <c r="D587" s="4"/>
      <c r="E587" s="4"/>
      <c r="F587" s="4"/>
      <c r="G587" s="4"/>
      <c r="H587" s="4"/>
      <c r="I587" s="4"/>
      <c r="J587" s="4"/>
      <c r="K587" s="4"/>
      <c r="L587" s="4"/>
    </row>
    <row r="588" ht="15.75" customHeight="1">
      <c r="A588" s="4" t="str">
        <f>IFERROR(__xludf.DUMMYFUNCTION("""COMPUTED_VALUE"""),"GeneralLedger")</f>
        <v>GeneralLedger</v>
      </c>
      <c r="B588" s="4" t="str">
        <f>IFERROR(__xludf.DUMMYFUNCTION("""COMPUTED_VALUE"""),"RunManualRevaluation")</f>
        <v>RunManualRevaluation</v>
      </c>
      <c r="C588" s="4" t="str">
        <f>IFERROR(__xludf.DUMMYFUNCTION("""COMPUTED_VALUE"""),"1tQChZuaBAI5usO4RbYIySlrw0tFhWje4RI-gh286me8")</f>
        <v>1tQChZuaBAI5usO4RbYIySlrw0tFhWje4RI-gh286me8</v>
      </c>
      <c r="D588" s="4"/>
      <c r="E588" s="4"/>
      <c r="F588" s="4"/>
      <c r="G588" s="4"/>
      <c r="H588" s="4"/>
      <c r="I588" s="4"/>
      <c r="J588" s="4"/>
      <c r="K588" s="4"/>
      <c r="L588" s="4"/>
    </row>
    <row r="589" ht="15.75" customHeight="1">
      <c r="A589" s="4" t="str">
        <f>IFERROR(__xludf.DUMMYFUNCTION("""COMPUTED_VALUE"""),"SymbolLookup")</f>
        <v>SymbolLookup</v>
      </c>
      <c r="B589" s="4" t="str">
        <f>IFERROR(__xludf.DUMMYFUNCTION("""COMPUTED_VALUE"""),"AddSymbol")</f>
        <v>AddSymbol</v>
      </c>
      <c r="C589" s="4" t="str">
        <f>IFERROR(__xludf.DUMMYFUNCTION("""COMPUTED_VALUE"""),"1Sm5U6q-jz5LeKeyf9JfBjKzov0tNefLFi5MsaafqKYg")</f>
        <v>1Sm5U6q-jz5LeKeyf9JfBjKzov0tNefLFi5MsaafqKYg</v>
      </c>
      <c r="D589" s="4"/>
      <c r="E589" s="4"/>
      <c r="F589" s="4"/>
      <c r="G589" s="4"/>
      <c r="H589" s="4"/>
      <c r="I589" s="4"/>
      <c r="J589" s="4"/>
      <c r="K589" s="4"/>
      <c r="L589" s="4"/>
    </row>
    <row r="590" ht="15.75" customHeight="1">
      <c r="A590" s="4" t="str">
        <f>IFERROR(__xludf.DUMMYFUNCTION("""COMPUTED_VALUE"""),"Admin")</f>
        <v>Admin</v>
      </c>
      <c r="B590" s="4" t="str">
        <f>IFERROR(__xludf.DUMMYFUNCTION("""COMPUTED_VALUE"""),"DeleteSymbolFromSM")</f>
        <v>DeleteSymbolFromSM</v>
      </c>
      <c r="C590" s="4" t="str">
        <f>IFERROR(__xludf.DUMMYFUNCTION("""COMPUTED_VALUE"""),"1DudMRucUgcEjmlylDgFYqu5uXTRzRsr-jnE6lVHMbjY")</f>
        <v>1DudMRucUgcEjmlylDgFYqu5uXTRzRsr-jnE6lVHMbjY</v>
      </c>
      <c r="D590" s="4"/>
      <c r="E590" s="4"/>
      <c r="F590" s="4"/>
      <c r="G590" s="4"/>
      <c r="H590" s="4"/>
      <c r="I590" s="4"/>
      <c r="J590" s="4"/>
      <c r="K590" s="4"/>
      <c r="L590" s="4"/>
    </row>
    <row r="591" ht="15.75" customHeight="1">
      <c r="A591" s="4" t="str">
        <f>IFERROR(__xludf.DUMMYFUNCTION("""COMPUTED_VALUE"""),"Watchlist")</f>
        <v>Watchlist</v>
      </c>
      <c r="B591" s="4" t="str">
        <f>IFERROR(__xludf.DUMMYFUNCTION("""COMPUTED_VALUE"""),"AddSymbolToWatchlist")</f>
        <v>AddSymbolToWatchlist</v>
      </c>
      <c r="C591" s="4" t="str">
        <f>IFERROR(__xludf.DUMMYFUNCTION("""COMPUTED_VALUE"""),"1XmnTrOtQLoxDHPfo2HMbZB9NBqLkHPulaqnXm4cQ5KA")</f>
        <v>1XmnTrOtQLoxDHPfo2HMbZB9NBqLkHPulaqnXm4cQ5KA</v>
      </c>
      <c r="D591" s="4"/>
      <c r="E591" s="4"/>
      <c r="F591" s="4"/>
      <c r="G591" s="4"/>
      <c r="H591" s="4"/>
      <c r="I591" s="4"/>
      <c r="J591" s="4"/>
      <c r="K591" s="4"/>
      <c r="L591" s="4"/>
    </row>
    <row r="592" ht="15.75" customHeight="1">
      <c r="A592" s="4" t="str">
        <f>IFERROR(__xludf.DUMMYFUNCTION("""COMPUTED_VALUE"""),"Watchlist")</f>
        <v>Watchlist</v>
      </c>
      <c r="B592" s="4" t="str">
        <f>IFERROR(__xludf.DUMMYFUNCTION("""COMPUTED_VALUE"""),"TradeFromWatchlist")</f>
        <v>TradeFromWatchlist</v>
      </c>
      <c r="C592" s="4" t="str">
        <f>IFERROR(__xludf.DUMMYFUNCTION("""COMPUTED_VALUE"""),"1T9s9NPtF9Q_Ppi6FLLTTJxb43fAm4QnWCD3GM96gXjQ")</f>
        <v>1T9s9NPtF9Q_Ppi6FLLTTJxb43fAm4QnWCD3GM96gXjQ</v>
      </c>
      <c r="D592" s="4"/>
      <c r="E592" s="4"/>
      <c r="F592" s="4"/>
      <c r="G592" s="4"/>
      <c r="H592" s="4"/>
      <c r="I592" s="4"/>
      <c r="J592" s="4"/>
      <c r="K592" s="4"/>
      <c r="L592" s="4"/>
    </row>
    <row r="593" ht="15.75" customHeight="1">
      <c r="A593" s="4" t="str">
        <f>IFERROR(__xludf.DUMMYFUNCTION("""COMPUTED_VALUE"""),"Watchlist")</f>
        <v>Watchlist</v>
      </c>
      <c r="B593" s="4" t="str">
        <f>IFERROR(__xludf.DUMMYFUNCTION("""COMPUTED_VALUE"""),"MultiTradeFromWatchlist")</f>
        <v>MultiTradeFromWatchlist</v>
      </c>
      <c r="C593" s="4" t="str">
        <f>IFERROR(__xludf.DUMMYFUNCTION("""COMPUTED_VALUE"""),"13Bo68XuCJXrtlP5Ji1GdlQm3HIyUjNAnbQEqNi_0j80")</f>
        <v>13Bo68XuCJXrtlP5Ji1GdlQm3HIyUjNAnbQEqNi_0j80</v>
      </c>
      <c r="D593" s="4"/>
      <c r="E593" s="4"/>
      <c r="F593" s="4"/>
      <c r="G593" s="4"/>
      <c r="H593" s="4"/>
      <c r="I593" s="4"/>
      <c r="J593" s="4"/>
      <c r="K593" s="4"/>
      <c r="L593" s="4"/>
    </row>
    <row r="594" ht="15.75" customHeight="1">
      <c r="A594" s="4" t="str">
        <f>IFERROR(__xludf.DUMMYFUNCTION("""COMPUTED_VALUE"""),"Watchlist")</f>
        <v>Watchlist</v>
      </c>
      <c r="B594" s="4" t="str">
        <f>IFERROR(__xludf.DUMMYFUNCTION("""COMPUTED_VALUE"""),"DeleteSymbolFromWatchlist")</f>
        <v>DeleteSymbolFromWatchlist</v>
      </c>
      <c r="C594" s="4" t="str">
        <f>IFERROR(__xludf.DUMMYFUNCTION("""COMPUTED_VALUE"""),"1KR8LzaHhEwxGacZ2Jul0uakCfHBvSq8Om-PWySPLpHU")</f>
        <v>1KR8LzaHhEwxGacZ2Jul0uakCfHBvSq8Om-PWySPLpHU</v>
      </c>
      <c r="D594" s="4"/>
      <c r="E594" s="4"/>
      <c r="F594" s="4"/>
      <c r="G594" s="4"/>
      <c r="H594" s="4"/>
      <c r="I594" s="4"/>
      <c r="J594" s="4"/>
      <c r="K594" s="4"/>
      <c r="L594" s="4"/>
    </row>
    <row r="595" ht="15.75" customHeight="1">
      <c r="A595" s="4" t="str">
        <f>IFERROR(__xludf.DUMMYFUNCTION("""COMPUTED_VALUE"""),"Watchlist")</f>
        <v>Watchlist</v>
      </c>
      <c r="B595" s="4" t="str">
        <f>IFERROR(__xludf.DUMMYFUNCTION("""COMPUTED_VALUE"""),"VerifySymbolsOnWatchlist")</f>
        <v>VerifySymbolsOnWatchlist</v>
      </c>
      <c r="C595" s="4" t="str">
        <f>IFERROR(__xludf.DUMMYFUNCTION("""COMPUTED_VALUE"""),"1fkU0S4violR7UFjAn9TlUpgOonAIAkkJZA9g0xcb6hU")</f>
        <v>1fkU0S4violR7UFjAn9TlUpgOonAIAkkJZA9g0xcb6hU</v>
      </c>
      <c r="D595" s="4"/>
      <c r="E595" s="4"/>
      <c r="F595" s="4"/>
      <c r="G595" s="4"/>
      <c r="H595" s="4"/>
      <c r="I595" s="4"/>
      <c r="J595" s="4"/>
      <c r="K595" s="4"/>
      <c r="L595" s="4"/>
    </row>
    <row r="596" ht="15.75" customHeight="1">
      <c r="A596" s="4" t="str">
        <f>IFERROR(__xludf.DUMMYFUNCTION("""COMPUTED_VALUE"""),"Recon")</f>
        <v>Recon</v>
      </c>
      <c r="B596" s="4" t="str">
        <f>IFERROR(__xludf.DUMMYFUNCTION("""COMPUTED_VALUE"""),"VerifyAppMatchedData")</f>
        <v>VerifyAppMatchedData</v>
      </c>
      <c r="C596" s="4" t="str">
        <f>IFERROR(__xludf.DUMMYFUNCTION("""COMPUTED_VALUE"""),"14GA6gCi0TKNLF2vISw-OK2MXQBKkoHIrNEl4pTEICeg")</f>
        <v>14GA6gCi0TKNLF2vISw-OK2MXQBKkoHIrNEl4pTEICeg</v>
      </c>
      <c r="D596" s="4"/>
      <c r="E596" s="4"/>
      <c r="F596" s="4"/>
      <c r="G596" s="4"/>
      <c r="H596" s="4"/>
      <c r="I596" s="4"/>
      <c r="J596" s="4"/>
      <c r="K596" s="4"/>
      <c r="L596" s="4"/>
    </row>
    <row r="597" ht="15.75" customHeight="1">
      <c r="A597" s="4" t="str">
        <f>IFERROR(__xludf.DUMMYFUNCTION("""COMPUTED_VALUE"""),"Recon")</f>
        <v>Recon</v>
      </c>
      <c r="B597" s="4" t="str">
        <f>IFERROR(__xludf.DUMMYFUNCTION("""COMPUTED_VALUE"""),"VerifyAppUnmatchedData")</f>
        <v>VerifyAppUnmatchedData</v>
      </c>
      <c r="C597" s="4" t="str">
        <f>IFERROR(__xludf.DUMMYFUNCTION("""COMPUTED_VALUE"""),"1fRtlhH7TyRkIcxAV3P_BFbmJBgSLDwOvrBxrqiU6xKw")</f>
        <v>1fRtlhH7TyRkIcxAV3P_BFbmJBgSLDwOvrBxrqiU6xKw</v>
      </c>
      <c r="D597" s="4"/>
      <c r="E597" s="4"/>
      <c r="F597" s="4"/>
      <c r="G597" s="4"/>
      <c r="H597" s="4"/>
      <c r="I597" s="4"/>
      <c r="J597" s="4"/>
      <c r="K597" s="4"/>
      <c r="L597" s="4"/>
    </row>
    <row r="598" ht="15.75" customHeight="1">
      <c r="A598" s="4" t="str">
        <f>IFERROR(__xludf.DUMMYFUNCTION("""COMPUTED_VALUE"""),"Recon")</f>
        <v>Recon</v>
      </c>
      <c r="B598" s="4" t="str">
        <f>IFERROR(__xludf.DUMMYFUNCTION("""COMPUTED_VALUE"""),"VerifyPBMatchedData")</f>
        <v>VerifyPBMatchedData</v>
      </c>
      <c r="C598" s="4" t="str">
        <f>IFERROR(__xludf.DUMMYFUNCTION("""COMPUTED_VALUE"""),"18BzE30Ho0Qvtx4D8qR8XqV6nyyOdYbSVu-Z17SjWyuA")</f>
        <v>18BzE30Ho0Qvtx4D8qR8XqV6nyyOdYbSVu-Z17SjWyuA</v>
      </c>
      <c r="D598" s="4"/>
      <c r="E598" s="4"/>
      <c r="F598" s="4"/>
      <c r="G598" s="4"/>
      <c r="H598" s="4"/>
      <c r="I598" s="4"/>
      <c r="J598" s="4"/>
      <c r="K598" s="4"/>
      <c r="L598" s="4"/>
    </row>
    <row r="599" ht="15.75" customHeight="1">
      <c r="A599" s="4" t="str">
        <f>IFERROR(__xludf.DUMMYFUNCTION("""COMPUTED_VALUE"""),"Recon")</f>
        <v>Recon</v>
      </c>
      <c r="B599" s="4" t="str">
        <f>IFERROR(__xludf.DUMMYFUNCTION("""COMPUTED_VALUE"""),"VerifyPBUnmatchedData")</f>
        <v>VerifyPBUnmatchedData</v>
      </c>
      <c r="C599" s="4" t="str">
        <f>IFERROR(__xludf.DUMMYFUNCTION("""COMPUTED_VALUE"""),"175euYUhYwu8NiO4e3-6islzKymxACVs9cl3KioQ0DbA")</f>
        <v>175euYUhYwu8NiO4e3-6islzKymxACVs9cl3KioQ0DbA</v>
      </c>
      <c r="D599" s="4"/>
      <c r="E599" s="4"/>
      <c r="F599" s="4"/>
      <c r="G599" s="4"/>
      <c r="H599" s="4"/>
      <c r="I599" s="4"/>
      <c r="J599" s="4"/>
      <c r="K599" s="4"/>
      <c r="L599" s="4"/>
    </row>
    <row r="600" ht="15.75" customHeight="1">
      <c r="A600" s="4" t="str">
        <f>IFERROR(__xludf.DUMMYFUNCTION("""COMPUTED_VALUE"""),"QTT")</f>
        <v>QTT</v>
      </c>
      <c r="B600" s="4" t="str">
        <f>IFERROR(__xludf.DUMMYFUNCTION("""COMPUTED_VALUE"""),"OpenQtt")</f>
        <v>OpenQtt</v>
      </c>
      <c r="C600" s="4" t="str">
        <f>IFERROR(__xludf.DUMMYFUNCTION("""COMPUTED_VALUE"""),"1aAWPiagRSQBPzFpFvPGXOL3ffgkx6Nv3C5nWfeoNcgM")</f>
        <v>1aAWPiagRSQBPzFpFvPGXOL3ffgkx6Nv3C5nWfeoNcgM</v>
      </c>
      <c r="D600" s="4"/>
      <c r="E600" s="4"/>
      <c r="F600" s="4"/>
      <c r="G600" s="4"/>
      <c r="H600" s="4"/>
      <c r="I600" s="4"/>
      <c r="J600" s="4"/>
      <c r="K600" s="4"/>
      <c r="L600" s="4"/>
    </row>
    <row r="601" ht="15.75" customHeight="1">
      <c r="A601" s="4" t="str">
        <f>IFERROR(__xludf.DUMMYFUNCTION("""COMPUTED_VALUE"""),"QTT")</f>
        <v>QTT</v>
      </c>
      <c r="B601" s="4" t="str">
        <f>IFERROR(__xludf.DUMMYFUNCTION("""COMPUTED_VALUE"""),"TradeFromQTT")</f>
        <v>TradeFromQTT</v>
      </c>
      <c r="C601" s="4" t="str">
        <f>IFERROR(__xludf.DUMMYFUNCTION("""COMPUTED_VALUE"""),"1VxR48DRURy-5fMryJTwAP30_4MHBsyd5IYM_MA17mH4")</f>
        <v>1VxR48DRURy-5fMryJTwAP30_4MHBsyd5IYM_MA17mH4</v>
      </c>
      <c r="D601" s="4"/>
      <c r="E601" s="4"/>
      <c r="F601" s="4"/>
      <c r="G601" s="4"/>
      <c r="H601" s="4"/>
      <c r="I601" s="4"/>
      <c r="J601" s="4"/>
      <c r="K601" s="4"/>
      <c r="L601" s="4"/>
    </row>
    <row r="602" ht="15.75" customHeight="1">
      <c r="A602" s="4" t="str">
        <f>IFERROR(__xludf.DUMMYFUNCTION("""COMPUTED_VALUE"""),"TradingTicket")</f>
        <v>TradingTicket</v>
      </c>
      <c r="B602" s="4" t="str">
        <f>IFERROR(__xludf.DUMMYFUNCTION("""COMPUTED_VALUE"""),"VerifyBasketExport")</f>
        <v>VerifyBasketExport</v>
      </c>
      <c r="C602" s="4" t="str">
        <f>IFERROR(__xludf.DUMMYFUNCTION("""COMPUTED_VALUE"""),"1KOVAJXM-60wuzbemyOcR8_7Pu3PI0nXBRqpYgb3dzkU")</f>
        <v>1KOVAJXM-60wuzbemyOcR8_7Pu3PI0nXBRqpYgb3dzkU</v>
      </c>
      <c r="D602" s="4"/>
      <c r="E602" s="4"/>
      <c r="F602" s="4"/>
      <c r="G602" s="4"/>
      <c r="H602" s="4"/>
      <c r="I602" s="4"/>
      <c r="J602" s="4"/>
      <c r="K602" s="4"/>
      <c r="L602" s="4"/>
    </row>
    <row r="603" ht="15.75" customHeight="1">
      <c r="A603" s="4" t="str">
        <f>IFERROR(__xludf.DUMMYFUNCTION("""COMPUTED_VALUE"""),"Admin")</f>
        <v>Admin</v>
      </c>
      <c r="B603" s="4" t="str">
        <f>IFERROR(__xludf.DUMMYFUNCTION("""COMPUTED_VALUE"""),"SetCompliancePermission")</f>
        <v>SetCompliancePermission</v>
      </c>
      <c r="C603" s="4" t="str">
        <f>IFERROR(__xludf.DUMMYFUNCTION("""COMPUTED_VALUE"""),"125GL21UTNAv-VPIkHZbpZjsENPGN-XLVcbrUI4CZxxA")</f>
        <v>125GL21UTNAv-VPIkHZbpZjsENPGN-XLVcbrUI4CZxxA</v>
      </c>
      <c r="D603" s="4"/>
      <c r="E603" s="4"/>
      <c r="F603" s="4"/>
      <c r="G603" s="4"/>
      <c r="H603" s="4"/>
      <c r="I603" s="4"/>
      <c r="J603" s="4"/>
      <c r="K603" s="4"/>
      <c r="L603" s="4"/>
    </row>
    <row r="604" ht="15.75" customHeight="1">
      <c r="A604" s="4" t="str">
        <f>IFERROR(__xludf.DUMMYFUNCTION("""COMPUTED_VALUE"""),"Compliance")</f>
        <v>Compliance</v>
      </c>
      <c r="B604" s="4" t="str">
        <f>IFERROR(__xludf.DUMMYFUNCTION("""COMPUTED_VALUE"""),"ApproveorRejectpendingapproval")</f>
        <v>ApproveorRejectpendingapproval</v>
      </c>
      <c r="C604" s="4" t="str">
        <f>IFERROR(__xludf.DUMMYFUNCTION("""COMPUTED_VALUE"""),"1kblrJiY5tjWVV0kCU90-uYIUPjXfJMDg72L-1IJOLGU")</f>
        <v>1kblrJiY5tjWVV0kCU90-uYIUPjXfJMDg72L-1IJOLGU</v>
      </c>
      <c r="D604" s="4"/>
      <c r="E604" s="4"/>
      <c r="F604" s="4"/>
      <c r="G604" s="4"/>
      <c r="H604" s="4"/>
      <c r="I604" s="4"/>
      <c r="J604" s="4"/>
      <c r="K604" s="4"/>
      <c r="L604" s="4"/>
    </row>
    <row r="605" ht="15.75" customHeight="1">
      <c r="A605" s="4" t="str">
        <f>IFERROR(__xludf.DUMMYFUNCTION("""COMPUTED_VALUE"""),"Compliance")</f>
        <v>Compliance</v>
      </c>
      <c r="B605" s="4" t="str">
        <f>IFERROR(__xludf.DUMMYFUNCTION("""COMPUTED_VALUE"""),"VerifyAlertHistory")</f>
        <v>VerifyAlertHistory</v>
      </c>
      <c r="C605" s="4" t="str">
        <f>IFERROR(__xludf.DUMMYFUNCTION("""COMPUTED_VALUE"""),"1flh7l8ahyS7C018bO_Y6k1K-XT76tXzdz53HLkQ4xU4")</f>
        <v>1flh7l8ahyS7C018bO_Y6k1K-XT76tXzdz53HLkQ4xU4</v>
      </c>
      <c r="D605" s="4"/>
      <c r="E605" s="4"/>
      <c r="F605" s="4"/>
      <c r="G605" s="4"/>
      <c r="H605" s="4"/>
      <c r="I605" s="4"/>
      <c r="J605" s="4"/>
      <c r="K605" s="4"/>
      <c r="L605" s="4"/>
    </row>
    <row r="606" ht="15.75" customHeight="1">
      <c r="A606" s="4" t="str">
        <f>IFERROR(__xludf.DUMMYFUNCTION("""COMPUTED_VALUE"""),"Blotter")</f>
        <v>Blotter</v>
      </c>
      <c r="B606" s="4" t="str">
        <f>IFERROR(__xludf.DUMMYFUNCTION("""COMPUTED_VALUE"""),"MergeOrder")</f>
        <v>MergeOrder</v>
      </c>
      <c r="C606" s="4" t="str">
        <f>IFERROR(__xludf.DUMMYFUNCTION("""COMPUTED_VALUE"""),"1MPmJ5VEjT-ZUHCoVctZCP9aHjIzuZW0_hruDc41GD-A")</f>
        <v>1MPmJ5VEjT-ZUHCoVctZCP9aHjIzuZW0_hruDc41GD-A</v>
      </c>
      <c r="D606" s="4"/>
      <c r="E606" s="4"/>
      <c r="F606" s="4"/>
      <c r="G606" s="4"/>
      <c r="H606" s="4"/>
      <c r="I606" s="4"/>
      <c r="J606" s="4"/>
      <c r="K606" s="4"/>
      <c r="L606" s="4"/>
    </row>
    <row r="607" ht="15.75" customHeight="1">
      <c r="A607" s="4" t="str">
        <f>IFERROR(__xludf.DUMMYFUNCTION("""COMPUTED_VALUE"""),"Blotter")</f>
        <v>Blotter</v>
      </c>
      <c r="B607" s="4" t="str">
        <f>IFERROR(__xludf.DUMMYFUNCTION("""COMPUTED_VALUE"""),"VerifyMergeOrder")</f>
        <v>VerifyMergeOrder</v>
      </c>
      <c r="C607" s="4" t="str">
        <f>IFERROR(__xludf.DUMMYFUNCTION("""COMPUTED_VALUE"""),"1YPCy9ceoUg_SjAt-3PXhz8GxVOfWkuIJ1yRR9c0aZrE")</f>
        <v>1YPCy9ceoUg_SjAt-3PXhz8GxVOfWkuIJ1yRR9c0aZrE</v>
      </c>
      <c r="D607" s="4"/>
      <c r="E607" s="4"/>
      <c r="F607" s="4"/>
      <c r="G607" s="4"/>
      <c r="H607" s="4"/>
      <c r="I607" s="4"/>
      <c r="J607" s="4"/>
      <c r="K607" s="4"/>
      <c r="L607" s="4"/>
    </row>
    <row r="608" ht="15.75" customHeight="1">
      <c r="A608" s="4" t="str">
        <f>IFERROR(__xludf.DUMMYFUNCTION("""COMPUTED_VALUE"""),"Blotter")</f>
        <v>Blotter</v>
      </c>
      <c r="B608" s="4" t="str">
        <f>IFERROR(__xludf.DUMMYFUNCTION("""COMPUTED_VALUE"""),"AddTabBlotter")</f>
        <v>AddTabBlotter</v>
      </c>
      <c r="C608" s="4" t="str">
        <f>IFERROR(__xludf.DUMMYFUNCTION("""COMPUTED_VALUE"""),"1YMp0jrKM8rLBzloaDu3tQ6aTv8C98xCVaQ6Wxe_flKc")</f>
        <v>1YMp0jrKM8rLBzloaDu3tQ6aTv8C98xCVaQ6Wxe_flKc</v>
      </c>
      <c r="D608" s="4"/>
      <c r="E608" s="4"/>
      <c r="F608" s="4"/>
      <c r="G608" s="4"/>
      <c r="H608" s="4"/>
      <c r="I608" s="4"/>
      <c r="J608" s="4"/>
      <c r="K608" s="4"/>
      <c r="L608" s="4"/>
    </row>
    <row r="609" ht="15.75" customHeight="1">
      <c r="A609" s="4" t="str">
        <f>IFERROR(__xludf.DUMMYFUNCTION("""COMPUTED_VALUE"""),"Rebalancer")</f>
        <v>Rebalancer</v>
      </c>
      <c r="B609" s="4" t="str">
        <f>IFERROR(__xludf.DUMMYFUNCTION("""COMPUTED_VALUE"""),"CloseRebalancer")</f>
        <v>CloseRebalancer</v>
      </c>
      <c r="C609" s="4" t="str">
        <f>IFERROR(__xludf.DUMMYFUNCTION("""COMPUTED_VALUE"""),"Undefined")</f>
        <v>Undefined</v>
      </c>
      <c r="D609" s="4"/>
      <c r="E609" s="4"/>
      <c r="F609" s="4"/>
      <c r="G609" s="4"/>
      <c r="H609" s="4"/>
      <c r="I609" s="4"/>
      <c r="J609" s="4"/>
      <c r="K609" s="4"/>
      <c r="L609" s="4"/>
    </row>
    <row r="610" ht="15.75" customHeight="1">
      <c r="A610" s="4" t="str">
        <f>IFERROR(__xludf.DUMMYFUNCTION("""COMPUTED_VALUE"""),"Rebalancer")</f>
        <v>Rebalancer</v>
      </c>
      <c r="B610" s="4" t="str">
        <f>IFERROR(__xludf.DUMMYFUNCTION("""COMPUTED_VALUE"""),"AddCustomCashUsingImport")</f>
        <v>AddCustomCashUsingImport</v>
      </c>
      <c r="C610" s="4" t="str">
        <f>IFERROR(__xludf.DUMMYFUNCTION("""COMPUTED_VALUE"""),"1nK0OIxssf5AR0xHG2TzYVlqjkwDX8BRkcb7sWcPW2kA")</f>
        <v>1nK0OIxssf5AR0xHG2TzYVlqjkwDX8BRkcb7sWcPW2kA</v>
      </c>
      <c r="D610" s="4"/>
      <c r="E610" s="4"/>
      <c r="F610" s="4"/>
      <c r="G610" s="4"/>
      <c r="H610" s="4"/>
      <c r="I610" s="4"/>
      <c r="J610" s="4"/>
      <c r="K610" s="4"/>
      <c r="L610" s="4"/>
    </row>
    <row r="611" ht="15.75" customHeight="1">
      <c r="A611" s="4" t="str">
        <f>IFERROR(__xludf.DUMMYFUNCTION("""COMPUTED_VALUE"""),"Rebalancer")</f>
        <v>Rebalancer</v>
      </c>
      <c r="B611" s="4" t="str">
        <f>IFERROR(__xludf.DUMMYFUNCTION("""COMPUTED_VALUE"""),"EditRebalanceGrid")</f>
        <v>EditRebalanceGrid</v>
      </c>
      <c r="C611" s="4" t="str">
        <f>IFERROR(__xludf.DUMMYFUNCTION("""COMPUTED_VALUE"""),"1QX_rYsr8GIcxa1bv4oQ2qNxe0w-YwiY_loABgwfLsP0")</f>
        <v>1QX_rYsr8GIcxa1bv4oQ2qNxe0w-YwiY_loABgwfLsP0</v>
      </c>
      <c r="D611" s="4"/>
      <c r="E611" s="4"/>
      <c r="F611" s="4"/>
      <c r="G611" s="4"/>
      <c r="H611" s="4"/>
      <c r="I611" s="4"/>
      <c r="J611" s="4"/>
      <c r="K611" s="4"/>
      <c r="L611" s="4"/>
    </row>
    <row r="612" ht="15.75" customHeight="1">
      <c r="A612" s="4" t="str">
        <f>IFERROR(__xludf.DUMMYFUNCTION("""COMPUTED_VALUE"""),"DailyValuation")</f>
        <v>DailyValuation</v>
      </c>
      <c r="B612" s="4" t="str">
        <f>IFERROR(__xludf.DUMMYFUNCTION("""COMPUTED_VALUE"""),"EnableBlankMarkPrices")</f>
        <v>EnableBlankMarkPrices</v>
      </c>
      <c r="C612" s="4" t="str">
        <f>IFERROR(__xludf.DUMMYFUNCTION("""COMPUTED_VALUE"""),"10Mzp90fyme73_sxAYwM2i8xwqgeQUe_de_N7Y-Cnu6Q")</f>
        <v>10Mzp90fyme73_sxAYwM2i8xwqgeQUe_de_N7Y-Cnu6Q</v>
      </c>
      <c r="D612" s="4"/>
      <c r="E612" s="4"/>
      <c r="F612" s="4"/>
      <c r="G612" s="4"/>
      <c r="H612" s="4"/>
      <c r="I612" s="4"/>
      <c r="J612" s="4"/>
      <c r="K612" s="4"/>
      <c r="L612" s="4"/>
    </row>
    <row r="613" ht="15.75" customHeight="1">
      <c r="A613" s="4" t="str">
        <f>IFERROR(__xludf.DUMMYFUNCTION("""COMPUTED_VALUE"""),"DailyValuation")</f>
        <v>DailyValuation</v>
      </c>
      <c r="B613" s="4" t="str">
        <f>IFERROR(__xludf.DUMMYFUNCTION("""COMPUTED_VALUE"""),"UpateSymbolBlankMP")</f>
        <v>UpateSymbolBlankMP</v>
      </c>
      <c r="C613" s="4" t="str">
        <f>IFERROR(__xludf.DUMMYFUNCTION("""COMPUTED_VALUE"""),"1Y4lmODSKti17gLeUqSwERRx-4D5awbTM9UOJZrp60F4")</f>
        <v>1Y4lmODSKti17gLeUqSwERRx-4D5awbTM9UOJZrp60F4</v>
      </c>
      <c r="D613" s="4"/>
      <c r="E613" s="4"/>
      <c r="F613" s="4"/>
      <c r="G613" s="4"/>
      <c r="H613" s="4"/>
      <c r="I613" s="4"/>
      <c r="J613" s="4"/>
      <c r="K613" s="4"/>
      <c r="L613" s="4"/>
    </row>
    <row r="614" ht="15.75" customHeight="1">
      <c r="A614" s="4" t="str">
        <f>IFERROR(__xludf.DUMMYFUNCTION("""COMPUTED_VALUE"""),"DailyValuation")</f>
        <v>DailyValuation</v>
      </c>
      <c r="B614" s="4" t="str">
        <f>IFERROR(__xludf.DUMMYFUNCTION("""COMPUTED_VALUE"""),"UpdateBlankMP")</f>
        <v>UpdateBlankMP</v>
      </c>
      <c r="C614" s="4" t="str">
        <f>IFERROR(__xludf.DUMMYFUNCTION("""COMPUTED_VALUE"""),"1i5WlaPZ1-uo5yRQyqBi_NoGgPj8ziXj7cnN8reG8SXo")</f>
        <v>1i5WlaPZ1-uo5yRQyqBi_NoGgPj8ziXj7cnN8reG8SXo</v>
      </c>
      <c r="D614" s="4"/>
      <c r="E614" s="4"/>
      <c r="F614" s="4"/>
      <c r="G614" s="4"/>
      <c r="H614" s="4"/>
      <c r="I614" s="4"/>
      <c r="J614" s="4"/>
      <c r="K614" s="4"/>
      <c r="L614" s="4"/>
    </row>
    <row r="615" ht="15.75" customHeight="1">
      <c r="A615" s="4" t="str">
        <f>IFERROR(__xludf.DUMMYFUNCTION("""COMPUTED_VALUE"""),"DailyValuation")</f>
        <v>DailyValuation</v>
      </c>
      <c r="B615" s="4" t="str">
        <f>IFERROR(__xludf.DUMMYFUNCTION("""COMPUTED_VALUE"""),"FilterBlankMP")</f>
        <v>FilterBlankMP</v>
      </c>
      <c r="C615" s="4" t="str">
        <f>IFERROR(__xludf.DUMMYFUNCTION("""COMPUTED_VALUE"""),"1zsU3_vPB4UlwnEI6Hgxofosk22-vdytF5SYhkTLGr3Y")</f>
        <v>1zsU3_vPB4UlwnEI6Hgxofosk22-vdytF5SYhkTLGr3Y</v>
      </c>
      <c r="D615" s="4"/>
      <c r="E615" s="4"/>
      <c r="F615" s="4"/>
      <c r="G615" s="4"/>
      <c r="H615" s="4"/>
      <c r="I615" s="4"/>
      <c r="J615" s="4"/>
      <c r="K615" s="4"/>
      <c r="L615" s="4"/>
    </row>
    <row r="616" ht="15.75" customHeight="1">
      <c r="A616" s="4" t="str">
        <f>IFERROR(__xludf.DUMMYFUNCTION("""COMPUTED_VALUE"""),"SymbolLookup")</f>
        <v>SymbolLookup</v>
      </c>
      <c r="B616" s="4" t="str">
        <f>IFERROR(__xludf.DUMMYFUNCTION("""COMPUTED_VALUE"""),"SelectFromSMGridUI")</f>
        <v>SelectFromSMGridUI</v>
      </c>
      <c r="C616" s="4" t="str">
        <f>IFERROR(__xludf.DUMMYFUNCTION("""COMPUTED_VALUE"""),"1RozaKMXual4WXW46lBsE3Orf9OV2Nn-FhxvokH28xaw")</f>
        <v>1RozaKMXual4WXW46lBsE3Orf9OV2Nn-FhxvokH28xaw</v>
      </c>
      <c r="D616" s="4"/>
      <c r="E616" s="4"/>
      <c r="F616" s="4"/>
      <c r="G616" s="4"/>
      <c r="H616" s="4"/>
      <c r="I616" s="4"/>
      <c r="J616" s="4"/>
      <c r="K616" s="4"/>
      <c r="L616" s="4"/>
    </row>
    <row r="617" ht="15.75" customHeight="1">
      <c r="A617" s="4" t="str">
        <f>IFERROR(__xludf.DUMMYFUNCTION("""COMPUTED_VALUE"""),"SymbolLookup")</f>
        <v>SymbolLookup</v>
      </c>
      <c r="B617" s="4" t="str">
        <f>IFERROR(__xludf.DUMMYFUNCTION("""COMPUTED_VALUE"""),"EditSMGridUi")</f>
        <v>EditSMGridUi</v>
      </c>
      <c r="C617" s="4" t="str">
        <f>IFERROR(__xludf.DUMMYFUNCTION("""COMPUTED_VALUE"""),"1P3hQI12FYJP4QrekwcLQ4UJcZeg6WQU7Y7X6wSfNfe4")</f>
        <v>1P3hQI12FYJP4QrekwcLQ4UJcZeg6WQU7Y7X6wSfNfe4</v>
      </c>
      <c r="D617" s="4"/>
      <c r="E617" s="4"/>
      <c r="F617" s="4"/>
      <c r="G617" s="4"/>
      <c r="H617" s="4"/>
      <c r="I617" s="4"/>
      <c r="J617" s="4"/>
      <c r="K617" s="4"/>
      <c r="L617" s="4"/>
    </row>
    <row r="618" ht="15.75" customHeight="1">
      <c r="A618" s="4" t="str">
        <f>IFERROR(__xludf.DUMMYFUNCTION("""COMPUTED_VALUE"""),"Compliance")</f>
        <v>Compliance</v>
      </c>
      <c r="B618" s="4" t="str">
        <f>IFERROR(__xludf.DUMMYFUNCTION("""COMPUTED_VALUE"""),"EditInterceptorFile")</f>
        <v>EditInterceptorFile</v>
      </c>
      <c r="C618" s="4" t="str">
        <f>IFERROR(__xludf.DUMMYFUNCTION("""COMPUTED_VALUE"""),"1E0GenYl5VsF6ic5npTKWWfS_gebqIIj6InrHMvvbtso")</f>
        <v>1E0GenYl5VsF6ic5npTKWWfS_gebqIIj6InrHMvvbtso</v>
      </c>
      <c r="D618" s="4"/>
      <c r="E618" s="4"/>
      <c r="F618" s="4"/>
      <c r="G618" s="4"/>
      <c r="H618" s="4"/>
      <c r="I618" s="4"/>
      <c r="J618" s="4"/>
      <c r="K618" s="4"/>
      <c r="L618" s="4"/>
    </row>
    <row r="619" ht="15.75" customHeight="1">
      <c r="A619" s="4" t="str">
        <f>IFERROR(__xludf.DUMMYFUNCTION("""COMPUTED_VALUE"""),"Compliance")</f>
        <v>Compliance</v>
      </c>
      <c r="B619" s="4" t="str">
        <f>IFERROR(__xludf.DUMMYFUNCTION("""COMPUTED_VALUE"""),"ReplaceInterceptorFile")</f>
        <v>ReplaceInterceptorFile</v>
      </c>
      <c r="C619" s="4" t="str">
        <f>IFERROR(__xludf.DUMMYFUNCTION("""COMPUTED_VALUE"""),"Undefined")</f>
        <v>Undefined</v>
      </c>
      <c r="D619" s="4"/>
      <c r="E619" s="4"/>
      <c r="F619" s="4"/>
      <c r="G619" s="4"/>
      <c r="H619" s="4"/>
      <c r="I619" s="4"/>
      <c r="J619" s="4"/>
      <c r="K619" s="4"/>
      <c r="L619" s="4"/>
    </row>
    <row r="620" ht="15.75" customHeight="1">
      <c r="A620" s="4" t="str">
        <f>IFERROR(__xludf.DUMMYFUNCTION("""COMPUTED_VALUE"""),"Blotter")</f>
        <v>Blotter</v>
      </c>
      <c r="B620" s="4" t="str">
        <f>IFERROR(__xludf.DUMMYFUNCTION("""COMPUTED_VALUE"""),"VerifyLowerStripBlotterUI")</f>
        <v>VerifyLowerStripBlotterUI</v>
      </c>
      <c r="C620" s="4" t="str">
        <f>IFERROR(__xludf.DUMMYFUNCTION("""COMPUTED_VALUE"""),"1HZDVVf9laKE8xHcR6trbwHakdbl6uFndhwO94MHDlcQ")</f>
        <v>1HZDVVf9laKE8xHcR6trbwHakdbl6uFndhwO94MHDlcQ</v>
      </c>
      <c r="D620" s="4"/>
      <c r="E620" s="4"/>
      <c r="F620" s="4"/>
      <c r="G620" s="4"/>
      <c r="H620" s="4"/>
      <c r="I620" s="4"/>
      <c r="J620" s="4"/>
      <c r="K620" s="4"/>
      <c r="L620" s="4"/>
    </row>
    <row r="621" ht="15.75" customHeight="1">
      <c r="A621" s="4" t="str">
        <f>IFERROR(__xludf.DUMMYFUNCTION("""COMPUTED_VALUE"""),"Blotter")</f>
        <v>Blotter</v>
      </c>
      <c r="B621" s="4" t="str">
        <f>IFERROR(__xludf.DUMMYFUNCTION("""COMPUTED_VALUE"""),"SaveOrRemoveInSummaryTab")</f>
        <v>SaveOrRemoveInSummaryTab</v>
      </c>
      <c r="C621" s="4" t="str">
        <f>IFERROR(__xludf.DUMMYFUNCTION("""COMPUTED_VALUE"""),"16E73g0W5LRIhkg1RbjzOOK94Uv0Vlbn7MMDq-QXA2kc")</f>
        <v>16E73g0W5LRIhkg1RbjzOOK94Uv0Vlbn7MMDq-QXA2kc</v>
      </c>
      <c r="D621" s="4"/>
      <c r="E621" s="4"/>
      <c r="F621" s="4"/>
      <c r="G621" s="4"/>
      <c r="H621" s="4"/>
      <c r="I621" s="4"/>
      <c r="J621" s="4"/>
      <c r="K621" s="4"/>
      <c r="L621" s="4"/>
    </row>
    <row r="622" ht="15.75" customHeight="1">
      <c r="A622" s="4" t="str">
        <f>IFERROR(__xludf.DUMMYFUNCTION("""COMPUTED_VALUE"""),"Blotter")</f>
        <v>Blotter</v>
      </c>
      <c r="B622" s="4" t="str">
        <f>IFERROR(__xludf.DUMMYFUNCTION("""COMPUTED_VALUE"""),"SaveOrRemoveInWorkingSubsTab")</f>
        <v>SaveOrRemoveInWorkingSubsTab</v>
      </c>
      <c r="C622" s="4" t="str">
        <f>IFERROR(__xludf.DUMMYFUNCTION("""COMPUTED_VALUE"""),"15CFpQocegIFfZ23cSQZai_mnb9NZPlp99oh6nO0sjXg")</f>
        <v>15CFpQocegIFfZ23cSQZai_mnb9NZPlp99oh6nO0sjXg</v>
      </c>
      <c r="D622" s="4"/>
      <c r="E622" s="4"/>
      <c r="F622" s="4"/>
      <c r="G622" s="4"/>
      <c r="H622" s="4"/>
      <c r="I622" s="4"/>
      <c r="J622" s="4"/>
      <c r="K622" s="4"/>
      <c r="L622" s="4"/>
    </row>
    <row r="623" ht="15.75" customHeight="1">
      <c r="A623" s="4" t="str">
        <f>IFERROR(__xludf.DUMMYFUNCTION("""COMPUTED_VALUE"""),"Blotter")</f>
        <v>Blotter</v>
      </c>
      <c r="B623" s="4" t="str">
        <f>IFERROR(__xludf.DUMMYFUNCTION("""COMPUTED_VALUE"""),"SelectCheckBoxOnOrderGrid")</f>
        <v>SelectCheckBoxOnOrderGrid</v>
      </c>
      <c r="C623" s="4" t="str">
        <f>IFERROR(__xludf.DUMMYFUNCTION("""COMPUTED_VALUE"""),"18ge8W43MnUH64uDLyzdwmaOTsTAxaKRTY5e2M2PR7Ig")</f>
        <v>18ge8W43MnUH64uDLyzdwmaOTsTAxaKRTY5e2M2PR7Ig</v>
      </c>
      <c r="D623" s="4"/>
      <c r="E623" s="4"/>
      <c r="F623" s="4"/>
      <c r="G623" s="4"/>
      <c r="H623" s="4"/>
      <c r="I623" s="4"/>
      <c r="J623" s="4"/>
      <c r="K623" s="4"/>
      <c r="L623" s="4"/>
    </row>
    <row r="624" ht="15.75" customHeight="1">
      <c r="A624" s="4" t="str">
        <f>IFERROR(__xludf.DUMMYFUNCTION("""COMPUTED_VALUE"""),"Compliance")</f>
        <v>Compliance</v>
      </c>
      <c r="B624" s="4" t="str">
        <f>IFERROR(__xludf.DUMMYFUNCTION("""COMPUTED_VALUE"""),"RestartReleasesAndServices")</f>
        <v>RestartReleasesAndServices</v>
      </c>
      <c r="C624" s="4" t="str">
        <f>IFERROR(__xludf.DUMMYFUNCTION("""COMPUTED_VALUE"""),"1T07pMES6_0vIAOHEcHllSqzIfxdK3kjZkG_bnk1Q87E")</f>
        <v>1T07pMES6_0vIAOHEcHllSqzIfxdK3kjZkG_bnk1Q87E</v>
      </c>
      <c r="D624" s="4"/>
      <c r="E624" s="4"/>
      <c r="F624" s="4"/>
      <c r="G624" s="4"/>
      <c r="H624" s="4"/>
      <c r="I624" s="4"/>
      <c r="J624" s="4"/>
      <c r="K624" s="4"/>
      <c r="L624" s="4"/>
    </row>
    <row r="625" ht="15.75" customHeight="1">
      <c r="A625" s="4" t="str">
        <f>IFERROR(__xludf.DUMMYFUNCTION("""COMPUTED_VALUE"""),"PTT")</f>
        <v>PTT</v>
      </c>
      <c r="B625" s="4" t="str">
        <f>IFERROR(__xludf.DUMMYFUNCTION("""COMPUTED_VALUE"""),"AutoStageImportFromPTTExport")</f>
        <v>AutoStageImportFromPTTExport</v>
      </c>
      <c r="C625" s="4" t="str">
        <f>IFERROR(__xludf.DUMMYFUNCTION("""COMPUTED_VALUE"""),"Undefined")</f>
        <v>Undefined</v>
      </c>
      <c r="D625" s="4"/>
      <c r="E625" s="4"/>
      <c r="F625" s="4"/>
      <c r="G625" s="4"/>
      <c r="H625" s="4"/>
      <c r="I625" s="4"/>
      <c r="J625" s="4"/>
      <c r="K625" s="4"/>
      <c r="L625" s="4"/>
    </row>
    <row r="626" ht="15.75" customHeight="1">
      <c r="A626" s="4" t="str">
        <f>IFERROR(__xludf.DUMMYFUNCTION("""COMPUTED_VALUE"""),"Closing")</f>
        <v>Closing</v>
      </c>
      <c r="B626" s="4" t="str">
        <f>IFERROR(__xludf.DUMMYFUNCTION("""COMPUTED_VALUE"""),"FilterClosing")</f>
        <v>FilterClosing</v>
      </c>
      <c r="C626" s="4" t="str">
        <f>IFERROR(__xludf.DUMMYFUNCTION("""COMPUTED_VALUE"""),"1JSzRoeUWroBBbNbincAHC4uO8KmsFjinSPOeKTzIgWw")</f>
        <v>1JSzRoeUWroBBbNbincAHC4uO8KmsFjinSPOeKTzIgWw</v>
      </c>
      <c r="D626" s="4"/>
      <c r="E626" s="4"/>
      <c r="F626" s="4"/>
      <c r="G626" s="4"/>
      <c r="H626" s="4"/>
      <c r="I626" s="4"/>
      <c r="J626" s="4"/>
      <c r="K626" s="4"/>
      <c r="L626" s="4"/>
    </row>
    <row r="627" ht="15.75" customHeight="1">
      <c r="A627" s="4" t="str">
        <f>IFERROR(__xludf.DUMMYFUNCTION("""COMPUTED_VALUE"""),"MultiTradingTicket")</f>
        <v>MultiTradingTicket</v>
      </c>
      <c r="B627" s="4" t="str">
        <f>IFERROR(__xludf.DUMMYFUNCTION("""COMPUTED_VALUE"""),"BulkEditUpdateFromMTT")</f>
        <v>BulkEditUpdateFromMTT</v>
      </c>
      <c r="C627" s="4" t="str">
        <f>IFERROR(__xludf.DUMMYFUNCTION("""COMPUTED_VALUE"""),"1M4JJJsoeSKu6pTetWn8bRE7zQlcKGucRxjGGlqEA3d4")</f>
        <v>1M4JJJsoeSKu6pTetWn8bRE7zQlcKGucRxjGGlqEA3d4</v>
      </c>
      <c r="D627" s="4"/>
      <c r="E627" s="4"/>
      <c r="F627" s="4"/>
      <c r="G627" s="4"/>
      <c r="H627" s="4"/>
      <c r="I627" s="4"/>
      <c r="J627" s="4"/>
      <c r="K627" s="4"/>
      <c r="L627" s="4"/>
    </row>
    <row r="628" ht="15.75" customHeight="1">
      <c r="A628" s="4" t="str">
        <f>IFERROR(__xludf.DUMMYFUNCTION("""COMPUTED_VALUE"""),"MultiTradingTicket")</f>
        <v>MultiTradingTicket</v>
      </c>
      <c r="B628" s="4" t="str">
        <f>IFERROR(__xludf.DUMMYFUNCTION("""COMPUTED_VALUE"""),"BulkChangeCreateStageOrder")</f>
        <v>BulkChangeCreateStageOrder</v>
      </c>
      <c r="C628" s="4" t="str">
        <f>IFERROR(__xludf.DUMMYFUNCTION("""COMPUTED_VALUE"""),"1eGv-pvwZhT1511VogxRAfh-QbF2wJZDvzpTQHphliak")</f>
        <v>1eGv-pvwZhT1511VogxRAfh-QbF2wJZDvzpTQHphliak</v>
      </c>
      <c r="D628" s="4"/>
      <c r="E628" s="4"/>
      <c r="F628" s="4"/>
      <c r="G628" s="4"/>
      <c r="H628" s="4"/>
      <c r="I628" s="4"/>
      <c r="J628" s="4"/>
      <c r="K628" s="4"/>
      <c r="L628" s="4"/>
    </row>
    <row r="629" ht="15.75" customHeight="1">
      <c r="A629" s="4" t="str">
        <f>IFERROR(__xludf.DUMMYFUNCTION("""COMPUTED_VALUE"""),"MultiTradingTicket")</f>
        <v>MultiTradingTicket</v>
      </c>
      <c r="B629" s="4" t="str">
        <f>IFERROR(__xludf.DUMMYFUNCTION("""COMPUTED_VALUE"""),"BulkUpdateUsingMTT")</f>
        <v>BulkUpdateUsingMTT</v>
      </c>
      <c r="C629" s="4" t="str">
        <f>IFERROR(__xludf.DUMMYFUNCTION("""COMPUTED_VALUE"""),"1H01hn91s0buuShObE8vUpumNB-99MHja4DJxcTvy1GU")</f>
        <v>1H01hn91s0buuShObE8vUpumNB-99MHja4DJxcTvy1GU</v>
      </c>
      <c r="D629" s="4"/>
      <c r="E629" s="4"/>
      <c r="F629" s="4"/>
      <c r="G629" s="4"/>
      <c r="H629" s="4"/>
      <c r="I629" s="4"/>
      <c r="J629" s="4"/>
      <c r="K629" s="4"/>
      <c r="L629" s="4"/>
    </row>
    <row r="630" ht="15.75" customHeight="1">
      <c r="A630" s="4" t="str">
        <f>IFERROR(__xludf.DUMMYFUNCTION("""COMPUTED_VALUE"""),"PranaClient")</f>
        <v>PranaClient</v>
      </c>
      <c r="B630" s="4" t="str">
        <f>IFERROR(__xludf.DUMMYFUNCTION("""COMPUTED_VALUE"""),"CompareXML")</f>
        <v>CompareXML</v>
      </c>
      <c r="C630" s="4" t="str">
        <f>IFERROR(__xludf.DUMMYFUNCTION("""COMPUTED_VALUE"""),"1WtgbOyiLNErYI8GO9AbbJE12IcFr1TtjqIL6v2nwjLU")</f>
        <v>1WtgbOyiLNErYI8GO9AbbJE12IcFr1TtjqIL6v2nwjLU</v>
      </c>
      <c r="D630" s="4"/>
      <c r="E630" s="4"/>
      <c r="F630" s="4"/>
      <c r="G630" s="4"/>
      <c r="H630" s="4"/>
      <c r="I630" s="4"/>
      <c r="J630" s="4"/>
      <c r="K630" s="4"/>
      <c r="L630" s="4"/>
    </row>
    <row r="631" ht="15.75" customHeight="1">
      <c r="A631" s="4" t="str">
        <f>IFERROR(__xludf.DUMMYFUNCTION("""COMPUTED_VALUE"""),"Admin")</f>
        <v>Admin</v>
      </c>
      <c r="B631" s="4" t="str">
        <f>IFERROR(__xludf.DUMMYFUNCTION("""COMPUTED_VALUE"""),"SetMasterFundOnTT")</f>
        <v>SetMasterFundOnTT</v>
      </c>
      <c r="C631" s="4" t="str">
        <f>IFERROR(__xludf.DUMMYFUNCTION("""COMPUTED_VALUE"""),"1duRG5DukVziXM3AbWJjEHG1WfsWREKj0zcQWLcC3N0o")</f>
        <v>1duRG5DukVziXM3AbWJjEHG1WfsWREKj0zcQWLcC3N0o</v>
      </c>
      <c r="D631" s="4"/>
      <c r="E631" s="4"/>
      <c r="F631" s="4"/>
      <c r="G631" s="4"/>
      <c r="H631" s="4"/>
      <c r="I631" s="4"/>
      <c r="J631" s="4"/>
      <c r="K631" s="4"/>
      <c r="L631" s="4"/>
    </row>
    <row r="632" ht="15.75" customHeight="1">
      <c r="A632" s="4" t="str">
        <f>IFERROR(__xludf.DUMMYFUNCTION("""COMPUTED_VALUE"""),"TradingTicket")</f>
        <v>TradingTicket</v>
      </c>
      <c r="B632" s="4" t="str">
        <f>IFERROR(__xludf.DUMMYFUNCTION("""COMPUTED_VALUE"""),"VerifyCustomAllocationonTT")</f>
        <v>VerifyCustomAllocationonTT</v>
      </c>
      <c r="C632" s="4" t="str">
        <f>IFERROR(__xludf.DUMMYFUNCTION("""COMPUTED_VALUE"""),"1Z3l-jIyJbM2hFTF5NgxtnL1fChZg2TPPhaAzx7mfVm8")</f>
        <v>1Z3l-jIyJbM2hFTF5NgxtnL1fChZg2TPPhaAzx7mfVm8</v>
      </c>
      <c r="D632" s="4"/>
      <c r="E632" s="4"/>
      <c r="F632" s="4"/>
      <c r="G632" s="4"/>
      <c r="H632" s="4"/>
      <c r="I632" s="4"/>
      <c r="J632" s="4"/>
      <c r="K632" s="4"/>
      <c r="L632" s="4"/>
    </row>
    <row r="633" ht="15.75" customHeight="1">
      <c r="A633" s="4" t="str">
        <f>IFERROR(__xludf.DUMMYFUNCTION("""COMPUTED_VALUE"""),"Blotter")</f>
        <v>Blotter</v>
      </c>
      <c r="B633" s="4" t="str">
        <f>IFERROR(__xludf.DUMMYFUNCTION("""COMPUTED_VALUE"""),"ReAllocateFromBlotterByAllocate")</f>
        <v>ReAllocateFromBlotterByAllocate</v>
      </c>
      <c r="C633" s="4" t="str">
        <f>IFERROR(__xludf.DUMMYFUNCTION("""COMPUTED_VALUE"""),"1NHKxDgR0tyL2jet1xXc0HhWXSJ-79CcnSRkHUBgPpoY")</f>
        <v>1NHKxDgR0tyL2jet1xXc0HhWXSJ-79CcnSRkHUBgPpoY</v>
      </c>
      <c r="D633" s="4"/>
      <c r="E633" s="4"/>
      <c r="F633" s="4"/>
      <c r="G633" s="4"/>
      <c r="H633" s="4"/>
      <c r="I633" s="4"/>
      <c r="J633" s="4"/>
      <c r="K633" s="4"/>
      <c r="L633" s="4"/>
    </row>
    <row r="634" ht="15.75" customHeight="1">
      <c r="A634" s="4" t="str">
        <f>IFERROR(__xludf.DUMMYFUNCTION("""COMPUTED_VALUE"""),"Simulator")</f>
        <v>Simulator</v>
      </c>
      <c r="B634" s="4" t="str">
        <f>IFERROR(__xludf.DUMMYFUNCTION("""COMPUTED_VALUE"""),"VerifyTagInAllFixLogs")</f>
        <v>VerifyTagInAllFixLogs</v>
      </c>
      <c r="C634" s="4" t="str">
        <f>IFERROR(__xludf.DUMMYFUNCTION("""COMPUTED_VALUE"""),"1uy63r2XjpUIBlAUk-lXKJTr-PpvpP6wxvLlLDzoM-Ic")</f>
        <v>1uy63r2XjpUIBlAUk-lXKJTr-PpvpP6wxvLlLDzoM-Ic</v>
      </c>
      <c r="D634" s="4"/>
      <c r="E634" s="4"/>
      <c r="F634" s="4"/>
      <c r="G634" s="4"/>
      <c r="H634" s="4"/>
      <c r="I634" s="4"/>
      <c r="J634" s="4"/>
      <c r="K634" s="4"/>
      <c r="L634" s="4"/>
    </row>
    <row r="635" ht="15.75" customHeight="1">
      <c r="A635" s="4" t="str">
        <f>IFERROR(__xludf.DUMMYFUNCTION("""COMPUTED_VALUE"""),"PranaClient")</f>
        <v>PranaClient</v>
      </c>
      <c r="B635" s="4" t="str">
        <f>IFERROR(__xludf.DUMMYFUNCTION("""COMPUTED_VALUE"""),"LoginClient")</f>
        <v>LoginClient</v>
      </c>
      <c r="C635" s="4" t="str">
        <f>IFERROR(__xludf.DUMMYFUNCTION("""COMPUTED_VALUE"""),"1zfvz-aZrAcrVcCZFJj3FAv1GqBrnIiDpgU-TteWVAOw")</f>
        <v>1zfvz-aZrAcrVcCZFJj3FAv1GqBrnIiDpgU-TteWVAOw</v>
      </c>
      <c r="D635" s="4"/>
      <c r="E635" s="4"/>
      <c r="F635" s="4"/>
      <c r="G635" s="4"/>
      <c r="H635" s="4"/>
      <c r="I635" s="4"/>
      <c r="J635" s="4"/>
      <c r="K635" s="4"/>
      <c r="L635" s="4"/>
    </row>
    <row r="636" ht="15.75" customHeight="1">
      <c r="A636" s="4" t="str">
        <f>IFERROR(__xludf.DUMMYFUNCTION("""COMPUTED_VALUE"""),"PortfolioManagement")</f>
        <v>PortfolioManagement</v>
      </c>
      <c r="B636" s="4" t="str">
        <f>IFERROR(__xludf.DUMMYFUNCTION("""COMPUTED_VALUE"""),"SortAndVerifyPM")</f>
        <v>SortAndVerifyPM</v>
      </c>
      <c r="C636" s="4" t="str">
        <f>IFERROR(__xludf.DUMMYFUNCTION("""COMPUTED_VALUE"""),"1X7RzdVuf6bK9F2T7pOeh4nUpKg76Hv2aa-gBjDxYkcs")</f>
        <v>1X7RzdVuf6bK9F2T7pOeh4nUpKg76Hv2aa-gBjDxYkcs</v>
      </c>
      <c r="D636" s="4"/>
      <c r="E636" s="4"/>
      <c r="F636" s="4"/>
      <c r="G636" s="4"/>
      <c r="H636" s="4"/>
      <c r="I636" s="4"/>
      <c r="J636" s="4"/>
      <c r="K636" s="4"/>
      <c r="L636" s="4"/>
    </row>
    <row r="637" ht="15.75" customHeight="1">
      <c r="A637" s="4" t="str">
        <f>IFERROR(__xludf.DUMMYFUNCTION("""COMPUTED_VALUE"""),"PortfolioManagement")</f>
        <v>PortfolioManagement</v>
      </c>
      <c r="B637" s="4" t="str">
        <f>IFERROR(__xludf.DUMMYFUNCTION("""COMPUTED_VALUE"""),"OpenPIFromPM")</f>
        <v>OpenPIFromPM</v>
      </c>
      <c r="C637" s="4" t="str">
        <f>IFERROR(__xludf.DUMMYFUNCTION("""COMPUTED_VALUE"""),"1IuAnXzRzuOehEMtqDK11-sb6DktGPWzx0jT8n2IsrY4")</f>
        <v>1IuAnXzRzuOehEMtqDK11-sb6DktGPWzx0jT8n2IsrY4</v>
      </c>
      <c r="D637" s="4"/>
      <c r="E637" s="4"/>
      <c r="F637" s="4"/>
      <c r="G637" s="4"/>
      <c r="H637" s="4"/>
      <c r="I637" s="4"/>
      <c r="J637" s="4"/>
      <c r="K637" s="4"/>
      <c r="L637" s="4"/>
    </row>
    <row r="638" ht="15.75" customHeight="1">
      <c r="A638" s="4" t="str">
        <f>IFERROR(__xludf.DUMMYFUNCTION("""COMPUTED_VALUE"""),"MultiTradingTicket")</f>
        <v>MultiTradingTicket</v>
      </c>
      <c r="B638" s="4" t="str">
        <f>IFERROR(__xludf.DUMMYFUNCTION("""COMPUTED_VALUE"""),"RefreshPriceUsingMTT")</f>
        <v>RefreshPriceUsingMTT</v>
      </c>
      <c r="C638" s="4" t="str">
        <f>IFERROR(__xludf.DUMMYFUNCTION("""COMPUTED_VALUE"""),"1YtdRVMbFR2kvDHO7XasICZNjFKswCtDImUT3Gjkkfk4")</f>
        <v>1YtdRVMbFR2kvDHO7XasICZNjFKswCtDImUT3Gjkkfk4</v>
      </c>
      <c r="D638" s="4"/>
      <c r="E638" s="4"/>
      <c r="F638" s="4"/>
      <c r="G638" s="4"/>
      <c r="H638" s="4"/>
      <c r="I638" s="4"/>
      <c r="J638" s="4"/>
      <c r="K638" s="4"/>
      <c r="L638" s="4"/>
    </row>
    <row r="639" ht="15.75" customHeight="1">
      <c r="A639" s="4" t="str">
        <f>IFERROR(__xludf.DUMMYFUNCTION("""COMPUTED_VALUE"""),"MultiTradingTicket")</f>
        <v>MultiTradingTicket</v>
      </c>
      <c r="B639" s="4" t="str">
        <f>IFERROR(__xludf.DUMMYFUNCTION("""COMPUTED_VALUE"""),"VerifyMTT")</f>
        <v>VerifyMTT</v>
      </c>
      <c r="C639" s="4" t="str">
        <f>IFERROR(__xludf.DUMMYFUNCTION("""COMPUTED_VALUE"""),"1LkpuYouts5i-ZznsIzocNzJ13lcRDsnSdXk19BRgReI")</f>
        <v>1LkpuYouts5i-ZznsIzocNzJ13lcRDsnSdXk19BRgReI</v>
      </c>
      <c r="D639" s="4"/>
      <c r="E639" s="4"/>
      <c r="F639" s="4"/>
      <c r="G639" s="4"/>
      <c r="H639" s="4"/>
      <c r="I639" s="4"/>
      <c r="J639" s="4"/>
      <c r="K639" s="4"/>
      <c r="L639" s="4"/>
    </row>
    <row r="640" ht="15.75" customHeight="1">
      <c r="A640" s="4" t="str">
        <f>IFERROR(__xludf.DUMMYFUNCTION("""COMPUTED_VALUE"""),"Simulator")</f>
        <v>Simulator</v>
      </c>
      <c r="B640" s="4" t="str">
        <f>IFERROR(__xludf.DUMMYFUNCTION("""COMPUTED_VALUE"""),"SetToAutomaticResponse")</f>
        <v>SetToAutomaticResponse</v>
      </c>
      <c r="C640" s="4" t="str">
        <f>IFERROR(__xludf.DUMMYFUNCTION("""COMPUTED_VALUE"""),"Undefined")</f>
        <v>Undefined</v>
      </c>
      <c r="D640" s="4"/>
      <c r="E640" s="4"/>
      <c r="F640" s="4"/>
      <c r="G640" s="4"/>
      <c r="H640" s="4"/>
      <c r="I640" s="4"/>
      <c r="J640" s="4"/>
      <c r="K640" s="4"/>
      <c r="L640" s="4"/>
    </row>
    <row r="641" ht="15.75" customHeight="1">
      <c r="A641" s="4" t="str">
        <f>IFERROR(__xludf.DUMMYFUNCTION("""COMPUTED_VALUE"""),"Rebalancer")</f>
        <v>Rebalancer</v>
      </c>
      <c r="B641" s="4" t="str">
        <f>IFERROR(__xludf.DUMMYFUNCTION("""COMPUTED_VALUE"""),"SaveTradeList")</f>
        <v>SaveTradeList</v>
      </c>
      <c r="C641" s="4" t="str">
        <f>IFERROR(__xludf.DUMMYFUNCTION("""COMPUTED_VALUE"""),"1xCgr8y8ZWOV67Yl77qPCYg-GSJNVZrE2EwAmtpL4Xfg")</f>
        <v>1xCgr8y8ZWOV67Yl77qPCYg-GSJNVZrE2EwAmtpL4Xfg</v>
      </c>
      <c r="D641" s="4"/>
      <c r="E641" s="4"/>
      <c r="F641" s="4"/>
      <c r="G641" s="4"/>
      <c r="H641" s="4"/>
      <c r="I641" s="4"/>
      <c r="J641" s="4"/>
      <c r="K641" s="4"/>
      <c r="L641" s="4"/>
    </row>
    <row r="642" ht="15.75" customHeight="1">
      <c r="A642" s="4" t="str">
        <f>IFERROR(__xludf.DUMMYFUNCTION("""COMPUTED_VALUE"""),"Rebalancer")</f>
        <v>Rebalancer</v>
      </c>
      <c r="B642" s="4" t="str">
        <f>IFERROR(__xludf.DUMMYFUNCTION("""COMPUTED_VALUE"""),"NavImpactingComponent")</f>
        <v>NavImpactingComponent</v>
      </c>
      <c r="C642" s="4" t="str">
        <f>IFERROR(__xludf.DUMMYFUNCTION("""COMPUTED_VALUE"""),"1f0zk0GxJ77AGpV5f_CL_mwxkoRha7_3Z1PIbpXZtod4")</f>
        <v>1f0zk0GxJ77AGpV5f_CL_mwxkoRha7_3Z1PIbpXZtod4</v>
      </c>
      <c r="D642" s="4"/>
      <c r="E642" s="4"/>
      <c r="F642" s="4"/>
      <c r="G642" s="4"/>
      <c r="H642" s="4"/>
      <c r="I642" s="4"/>
      <c r="J642" s="4"/>
      <c r="K642" s="4"/>
      <c r="L642" s="4"/>
    </row>
    <row r="643" ht="15.75" customHeight="1">
      <c r="A643" s="4" t="str">
        <f>IFERROR(__xludf.DUMMYFUNCTION("""COMPUTED_VALUE"""),"Rebalancer")</f>
        <v>Rebalancer</v>
      </c>
      <c r="B643" s="4" t="str">
        <f>IFERROR(__xludf.DUMMYFUNCTION("""COMPUTED_VALUE"""),"ImportUsingRebalAccrossSec")</f>
        <v>ImportUsingRebalAccrossSec</v>
      </c>
      <c r="C643" s="4" t="str">
        <f>IFERROR(__xludf.DUMMYFUNCTION("""COMPUTED_VALUE"""),"1wqAINPqghzd-HB-5iMIqQiCzJj40pqhM2cTv6gahRwo")</f>
        <v>1wqAINPqghzd-HB-5iMIqQiCzJj40pqhM2cTv6gahRwo</v>
      </c>
      <c r="D643" s="4"/>
      <c r="E643" s="4"/>
      <c r="F643" s="4"/>
      <c r="G643" s="4"/>
      <c r="H643" s="4"/>
      <c r="I643" s="4"/>
      <c r="J643" s="4"/>
      <c r="K643" s="4"/>
      <c r="L643" s="4"/>
    </row>
    <row r="644" ht="15.75" customHeight="1">
      <c r="A644" s="4" t="str">
        <f>IFERROR(__xludf.DUMMYFUNCTION("""COMPUTED_VALUE"""),"Rebalancer")</f>
        <v>Rebalancer</v>
      </c>
      <c r="B644" s="4" t="str">
        <f>IFERROR(__xludf.DUMMYFUNCTION("""COMPUTED_VALUE"""),"EditImportStatus")</f>
        <v>EditImportStatus</v>
      </c>
      <c r="C644" s="4" t="str">
        <f>IFERROR(__xludf.DUMMYFUNCTION("""COMPUTED_VALUE"""),"1Xkf1z6WsFfAEpWdBzMACVnTjRvtpZJ0Jbfvug1u1fb8")</f>
        <v>1Xkf1z6WsFfAEpWdBzMACVnTjRvtpZJ0Jbfvug1u1fb8</v>
      </c>
      <c r="D644" s="4"/>
      <c r="E644" s="4"/>
      <c r="F644" s="4"/>
      <c r="G644" s="4"/>
      <c r="H644" s="4"/>
      <c r="I644" s="4"/>
      <c r="J644" s="4"/>
      <c r="K644" s="4"/>
      <c r="L644" s="4"/>
    </row>
    <row r="645" ht="15.75" customHeight="1">
      <c r="A645" s="4" t="str">
        <f>IFERROR(__xludf.DUMMYFUNCTION("""COMPUTED_VALUE"""),"Rebalancer")</f>
        <v>Rebalancer</v>
      </c>
      <c r="B645" s="4" t="str">
        <f>IFERROR(__xludf.DUMMYFUNCTION("""COMPUTED_VALUE"""),"SelectActionsOnImportStatus")</f>
        <v>SelectActionsOnImportStatus</v>
      </c>
      <c r="C645" s="4" t="str">
        <f>IFERROR(__xludf.DUMMYFUNCTION("""COMPUTED_VALUE"""),"10jCuA8F_28LjeoDXTbc5IgQjfWoEPTWq9svKzhi97OA")</f>
        <v>10jCuA8F_28LjeoDXTbc5IgQjfWoEPTWq9svKzhi97OA</v>
      </c>
      <c r="D645" s="4"/>
      <c r="E645" s="4"/>
      <c r="F645" s="4"/>
      <c r="G645" s="4"/>
      <c r="H645" s="4"/>
      <c r="I645" s="4"/>
      <c r="J645" s="4"/>
      <c r="K645" s="4"/>
      <c r="L645" s="4"/>
    </row>
    <row r="646" ht="15.75" customHeight="1">
      <c r="A646" s="4" t="str">
        <f>IFERROR(__xludf.DUMMYFUNCTION("""COMPUTED_VALUE"""),"Rebalancer")</f>
        <v>Rebalancer</v>
      </c>
      <c r="B646" s="4" t="str">
        <f>IFERROR(__xludf.DUMMYFUNCTION("""COMPUTED_VALUE"""),"VerifyImportStatus")</f>
        <v>VerifyImportStatus</v>
      </c>
      <c r="C646" s="4" t="str">
        <f>IFERROR(__xludf.DUMMYFUNCTION("""COMPUTED_VALUE"""),"1cyg6XGf_AlQQ_g5DPcBgmBfH4Oz4BH6IUMfTD5nIhFQ")</f>
        <v>1cyg6XGf_AlQQ_g5DPcBgmBfH4Oz4BH6IUMfTD5nIhFQ</v>
      </c>
      <c r="D646" s="4"/>
      <c r="E646" s="4"/>
      <c r="F646" s="4"/>
      <c r="G646" s="4"/>
      <c r="H646" s="4"/>
      <c r="I646" s="4"/>
      <c r="J646" s="4"/>
      <c r="K646" s="4"/>
      <c r="L646" s="4"/>
    </row>
    <row r="647" ht="15.75" customHeight="1">
      <c r="A647" s="4" t="str">
        <f>IFERROR(__xludf.DUMMYFUNCTION("""COMPUTED_VALUE"""),"PTT")</f>
        <v>PTT</v>
      </c>
      <c r="B647" s="4" t="str">
        <f>IFERROR(__xludf.DUMMYFUNCTION("""COMPUTED_VALUE"""),"OpenPreferencesFromPTT")</f>
        <v>OpenPreferencesFromPTT</v>
      </c>
      <c r="C647" s="4" t="str">
        <f>IFERROR(__xludf.DUMMYFUNCTION("""COMPUTED_VALUE"""),"Undefined")</f>
        <v>Undefined</v>
      </c>
      <c r="D647" s="4"/>
      <c r="E647" s="4"/>
      <c r="F647" s="4"/>
      <c r="G647" s="4"/>
      <c r="H647" s="4"/>
      <c r="I647" s="4"/>
      <c r="J647" s="4"/>
      <c r="K647" s="4"/>
      <c r="L647" s="4"/>
    </row>
    <row r="648" ht="15.75" customHeight="1">
      <c r="A648" s="4" t="str">
        <f>IFERROR(__xludf.DUMMYFUNCTION("""COMPUTED_VALUE"""),"Watchlist")</f>
        <v>Watchlist</v>
      </c>
      <c r="B648" s="4" t="str">
        <f>IFERROR(__xludf.DUMMYFUNCTION("""COMPUTED_VALUE"""),"OpenPTTFromWatchlist")</f>
        <v>OpenPTTFromWatchlist</v>
      </c>
      <c r="C648" s="4" t="str">
        <f>IFERROR(__xludf.DUMMYFUNCTION("""COMPUTED_VALUE"""),"1CRJ_F5octCl23LyAw_CoHc_10OvrxRq8f7mNNzl_B6c")</f>
        <v>1CRJ_F5octCl23LyAw_CoHc_10OvrxRq8f7mNNzl_B6c</v>
      </c>
      <c r="D648" s="4"/>
      <c r="E648" s="4"/>
      <c r="F648" s="4"/>
      <c r="G648" s="4"/>
      <c r="H648" s="4"/>
      <c r="I648" s="4"/>
      <c r="J648" s="4"/>
      <c r="K648" s="4"/>
      <c r="L648" s="4"/>
    </row>
    <row r="649" ht="15.75" customHeight="1">
      <c r="A649" s="4" t="str">
        <f>IFERROR(__xludf.DUMMYFUNCTION("""COMPUTED_VALUE"""),"Admin")</f>
        <v>Admin</v>
      </c>
      <c r="B649" s="4" t="str">
        <f>IFERROR(__xludf.DUMMYFUNCTION("""COMPUTED_VALUE"""),"SetMarketDataProvider")</f>
        <v>SetMarketDataProvider</v>
      </c>
      <c r="C649" s="4" t="str">
        <f>IFERROR(__xludf.DUMMYFUNCTION("""COMPUTED_VALUE"""),"11vW7fknzM8vTBH8SeRsGGkS29p8E1Xfx9205Qtc5hC4")</f>
        <v>11vW7fknzM8vTBH8SeRsGGkS29p8E1Xfx9205Qtc5hC4</v>
      </c>
      <c r="D649" s="4"/>
      <c r="E649" s="4"/>
      <c r="F649" s="4"/>
      <c r="G649" s="4"/>
      <c r="H649" s="4"/>
      <c r="I649" s="4"/>
      <c r="J649" s="4"/>
      <c r="K649" s="4"/>
      <c r="L649" s="4"/>
    </row>
    <row r="650" ht="15.75" customHeight="1">
      <c r="A650" s="4" t="str">
        <f>IFERROR(__xludf.DUMMYFUNCTION("""COMPUTED_VALUE"""),"Admin")</f>
        <v>Admin</v>
      </c>
      <c r="B650" s="4" t="str">
        <f>IFERROR(__xludf.DUMMYFUNCTION("""COMPUTED_VALUE"""),"SetAllocationPreferences")</f>
        <v>SetAllocationPreferences</v>
      </c>
      <c r="C650" s="4" t="str">
        <f>IFERROR(__xludf.DUMMYFUNCTION("""COMPUTED_VALUE"""),"16PO4KGgITIDM3iQzFlyKHfXPBXba023pXOJQCBN_Elc")</f>
        <v>16PO4KGgITIDM3iQzFlyKHfXPBXba023pXOJQCBN_Elc</v>
      </c>
      <c r="D650" s="4"/>
      <c r="E650" s="4"/>
      <c r="F650" s="4"/>
      <c r="G650" s="4"/>
      <c r="H650" s="4"/>
      <c r="I650" s="4"/>
      <c r="J650" s="4"/>
      <c r="K650" s="4"/>
      <c r="L650" s="4"/>
    </row>
    <row r="651" ht="15.75" customHeight="1">
      <c r="A651" s="4" t="str">
        <f>IFERROR(__xludf.DUMMYFUNCTION("""COMPUTED_VALUE"""),"TradingTicket")</f>
        <v>TradingTicket</v>
      </c>
      <c r="B651" s="4" t="str">
        <f>IFERROR(__xludf.DUMMYFUNCTION("""COMPUTED_VALUE"""),"CustomOrderTT")</f>
        <v>CustomOrderTT</v>
      </c>
      <c r="C651" s="4" t="str">
        <f>IFERROR(__xludf.DUMMYFUNCTION("""COMPUTED_VALUE"""),"1XzjmPmpB7IMcyzPSsbgmFfzjE_zIKdjrk0mUoMFhNZc")</f>
        <v>1XzjmPmpB7IMcyzPSsbgmFfzjE_zIKdjrk0mUoMFhNZc</v>
      </c>
      <c r="D651" s="4"/>
      <c r="E651" s="4"/>
      <c r="F651" s="4"/>
      <c r="G651" s="4"/>
      <c r="H651" s="4"/>
      <c r="I651" s="4"/>
      <c r="J651" s="4"/>
      <c r="K651" s="4"/>
      <c r="L651" s="4"/>
    </row>
    <row r="652" ht="15.75" customHeight="1">
      <c r="A652" s="4" t="str">
        <f>IFERROR(__xludf.DUMMYFUNCTION("""COMPUTED_VALUE"""),"TradeServer")</f>
        <v>TradeServer</v>
      </c>
      <c r="B652" s="4" t="str">
        <f>IFERROR(__xludf.DUMMYFUNCTION("""COMPUTED_VALUE"""),"ConnectToSimAutoMan")</f>
        <v>ConnectToSimAutoMan</v>
      </c>
      <c r="C652" s="4" t="str">
        <f>IFERROR(__xludf.DUMMYFUNCTION("""COMPUTED_VALUE"""),"1kmGpZTH9xe92vT2JQhF-Njj6d_RCoVtRypLmoKTlseo")</f>
        <v>1kmGpZTH9xe92vT2JQhF-Njj6d_RCoVtRypLmoKTlseo</v>
      </c>
      <c r="D652" s="4"/>
      <c r="E652" s="4"/>
      <c r="F652" s="4"/>
      <c r="G652" s="4"/>
      <c r="H652" s="4"/>
      <c r="I652" s="4"/>
      <c r="J652" s="4"/>
      <c r="K652" s="4"/>
      <c r="L652" s="4"/>
    </row>
    <row r="653" ht="15.75" customHeight="1">
      <c r="A653" s="4" t="str">
        <f>IFERROR(__xludf.DUMMYFUNCTION("""COMPUTED_VALUE"""),"Admin")</f>
        <v>Admin</v>
      </c>
      <c r="B653" s="4" t="str">
        <f>IFERROR(__xludf.DUMMYFUNCTION("""COMPUTED_VALUE"""),"SetRegularCompliancePermission")</f>
        <v>SetRegularCompliancePermission</v>
      </c>
      <c r="C653" s="4" t="str">
        <f>IFERROR(__xludf.DUMMYFUNCTION("""COMPUTED_VALUE"""),"1pGZ7u9bF4Lu1nJJRSpSz5TQn_FVJsrIH05yxOHHU4S4")</f>
        <v>1pGZ7u9bF4Lu1nJJRSpSz5TQn_FVJsrIH05yxOHHU4S4</v>
      </c>
      <c r="D653" s="4"/>
      <c r="E653" s="4"/>
      <c r="F653" s="4"/>
      <c r="G653" s="4"/>
      <c r="H653" s="4"/>
      <c r="I653" s="4"/>
      <c r="J653" s="4"/>
      <c r="K653" s="4"/>
      <c r="L653" s="4"/>
    </row>
    <row r="654" ht="15.75" customHeight="1">
      <c r="A654" s="4" t="str">
        <f>IFERROR(__xludf.DUMMYFUNCTION("""COMPUTED_VALUE"""),"MultiTradingTicket")</f>
        <v>MultiTradingTicket</v>
      </c>
      <c r="B654" s="4" t="str">
        <f>IFERROR(__xludf.DUMMYFUNCTION("""COMPUTED_VALUE"""),"AddOrRemoveColumn")</f>
        <v>AddOrRemoveColumn</v>
      </c>
      <c r="C654" s="4" t="str">
        <f>IFERROR(__xludf.DUMMYFUNCTION("""COMPUTED_VALUE"""),"143kwNkqtTW1E3kVeTrESBbZbd8h3b9KHBzWYPombeFE")</f>
        <v>143kwNkqtTW1E3kVeTrESBbZbd8h3b9KHBzWYPombeFE</v>
      </c>
      <c r="D654" s="4"/>
      <c r="E654" s="4"/>
      <c r="F654" s="4"/>
      <c r="G654" s="4"/>
      <c r="H654" s="4"/>
      <c r="I654" s="4"/>
      <c r="J654" s="4"/>
      <c r="K654" s="4"/>
      <c r="L654" s="4"/>
    </row>
    <row r="655" ht="15.75" customHeight="1">
      <c r="A655" s="4" t="str">
        <f>IFERROR(__xludf.DUMMYFUNCTION("""COMPUTED_VALUE"""),"Blotter")</f>
        <v>Blotter</v>
      </c>
      <c r="B655" s="4" t="str">
        <f>IFERROR(__xludf.DUMMYFUNCTION("""COMPUTED_VALUE"""),"RemoveOrderFromCustomTab")</f>
        <v>RemoveOrderFromCustomTab</v>
      </c>
      <c r="C655" s="4" t="str">
        <f>IFERROR(__xludf.DUMMYFUNCTION("""COMPUTED_VALUE"""),"1sfynQiLVUyAEBtlKhgJSpN7R6q9257IFweh0qT9mx20")</f>
        <v>1sfynQiLVUyAEBtlKhgJSpN7R6q9257IFweh0qT9mx20</v>
      </c>
      <c r="D655" s="4"/>
      <c r="E655" s="4"/>
      <c r="F655" s="4"/>
      <c r="G655" s="4"/>
      <c r="H655" s="4"/>
      <c r="I655" s="4"/>
      <c r="J655" s="4"/>
      <c r="K655" s="4"/>
      <c r="L655" s="4"/>
    </row>
    <row r="656" ht="15.75" customHeight="1">
      <c r="A656" s="4" t="str">
        <f>IFERROR(__xludf.DUMMYFUNCTION("""COMPUTED_VALUE"""),"MultiTradingTicket")</f>
        <v>MultiTradingTicket</v>
      </c>
      <c r="B656" s="4" t="str">
        <f>IFERROR(__xludf.DUMMYFUNCTION("""COMPUTED_VALUE"""),"SaveLayoutUsingMTT")</f>
        <v>SaveLayoutUsingMTT</v>
      </c>
      <c r="C656" s="4" t="str">
        <f>IFERROR(__xludf.DUMMYFUNCTION("""COMPUTED_VALUE"""),"Undefined")</f>
        <v>Undefined</v>
      </c>
      <c r="D656" s="4"/>
      <c r="E656" s="4"/>
      <c r="F656" s="4"/>
      <c r="G656" s="4"/>
      <c r="H656" s="4"/>
      <c r="I656" s="4"/>
      <c r="J656" s="4"/>
      <c r="K656" s="4"/>
      <c r="L656" s="4"/>
    </row>
    <row r="657" ht="15.75" customHeight="1">
      <c r="A657" s="4" t="str">
        <f>IFERROR(__xludf.DUMMYFUNCTION("""COMPUTED_VALUE"""),"Blotter")</f>
        <v>Blotter</v>
      </c>
      <c r="B657" s="4" t="str">
        <f>IFERROR(__xludf.DUMMYFUNCTION("""COMPUTED_VALUE"""),"ReloadFromSummary")</f>
        <v>ReloadFromSummary</v>
      </c>
      <c r="C657" s="4" t="str">
        <f>IFERROR(__xludf.DUMMYFUNCTION("""COMPUTED_VALUE"""),"1va9lkysxv5IoF2imeSPCpBsD6J_IgJcN5bBcjjoS3g4")</f>
        <v>1va9lkysxv5IoF2imeSPCpBsD6J_IgJcN5bBcjjoS3g4</v>
      </c>
      <c r="D657" s="4"/>
      <c r="E657" s="4"/>
      <c r="F657" s="4"/>
      <c r="G657" s="4"/>
      <c r="H657" s="4"/>
      <c r="I657" s="4"/>
      <c r="J657" s="4"/>
      <c r="K657" s="4"/>
      <c r="L657" s="4"/>
    </row>
    <row r="658" ht="15.75" customHeight="1">
      <c r="A658" s="4" t="str">
        <f>IFERROR(__xludf.DUMMYFUNCTION("""COMPUTED_VALUE"""),"Blotter")</f>
        <v>Blotter</v>
      </c>
      <c r="B658" s="4" t="str">
        <f>IFERROR(__xludf.DUMMYFUNCTION("""COMPUTED_VALUE"""),"AllocateFromWorkingSubsBlotter")</f>
        <v>AllocateFromWorkingSubsBlotter</v>
      </c>
      <c r="C658" s="4" t="str">
        <f>IFERROR(__xludf.DUMMYFUNCTION("""COMPUTED_VALUE"""),"1y2YFZm3A-cdE2rpKOdJdC0HlrimUfKr3DluQsVb-w0E")</f>
        <v>1y2YFZm3A-cdE2rpKOdJdC0HlrimUfKr3DluQsVb-w0E</v>
      </c>
      <c r="D658" s="4"/>
      <c r="E658" s="4"/>
      <c r="F658" s="4"/>
      <c r="G658" s="4"/>
      <c r="H658" s="4"/>
      <c r="I658" s="4"/>
      <c r="J658" s="4"/>
      <c r="K658" s="4"/>
      <c r="L658" s="4"/>
    </row>
    <row r="659" ht="15.75" customHeight="1">
      <c r="A659" s="4" t="str">
        <f>IFERROR(__xludf.DUMMYFUNCTION("""COMPUTED_VALUE"""),"TradingTicket")</f>
        <v>TradingTicket</v>
      </c>
      <c r="B659" s="4" t="str">
        <f>IFERROR(__xludf.DUMMYFUNCTION("""COMPUTED_VALUE"""),"CheckStepSheet")</f>
        <v>CheckStepSheet</v>
      </c>
      <c r="C659" s="4" t="str">
        <f>IFERROR(__xludf.DUMMYFUNCTION("""COMPUTED_VALUE"""),"1CcLgTaVQvUoDbfsClCPnFcyGRwVMAdsncTnhtlJxsws")</f>
        <v>1CcLgTaVQvUoDbfsClCPnFcyGRwVMAdsncTnhtlJxsws</v>
      </c>
      <c r="D659" s="4"/>
      <c r="E659" s="4"/>
      <c r="F659" s="4"/>
      <c r="G659" s="4"/>
      <c r="H659" s="4"/>
      <c r="I659" s="4"/>
      <c r="J659" s="4"/>
      <c r="K659" s="4"/>
      <c r="L659" s="4"/>
    </row>
    <row r="660" ht="15.75" customHeight="1">
      <c r="A660" s="4" t="str">
        <f>IFERROR(__xludf.DUMMYFUNCTION("""COMPUTED_VALUE"""),"Rebalancer")</f>
        <v>Rebalancer</v>
      </c>
      <c r="B660" s="4" t="str">
        <f>IFERROR(__xludf.DUMMYFUNCTION("""COMPUTED_VALUE"""),"AddNewModelPortfolio")</f>
        <v>AddNewModelPortfolio</v>
      </c>
      <c r="C660" s="4" t="str">
        <f>IFERROR(__xludf.DUMMYFUNCTION("""COMPUTED_VALUE"""),"1Qh_vkSA3OzQ68ohGqDcDXce4JnkIitnyepLjVSKsW40")</f>
        <v>1Qh_vkSA3OzQ68ohGqDcDXce4JnkIitnyepLjVSKsW40</v>
      </c>
      <c r="D660" s="4"/>
      <c r="E660" s="4"/>
      <c r="F660" s="4"/>
      <c r="G660" s="4"/>
      <c r="H660" s="4"/>
      <c r="I660" s="4"/>
      <c r="J660" s="4"/>
      <c r="K660" s="4"/>
      <c r="L660" s="4"/>
    </row>
    <row r="661" ht="15.75" customHeight="1">
      <c r="A661" s="4" t="str">
        <f>IFERROR(__xludf.DUMMYFUNCTION("""COMPUTED_VALUE"""),"MultiTradingTicket")</f>
        <v>MultiTradingTicket</v>
      </c>
      <c r="B661" s="4" t="str">
        <f>IFERROR(__xludf.DUMMYFUNCTION("""COMPUTED_VALUE"""),"ApplyFilterOnMTTGrid")</f>
        <v>ApplyFilterOnMTTGrid</v>
      </c>
      <c r="C661" s="4" t="str">
        <f>IFERROR(__xludf.DUMMYFUNCTION("""COMPUTED_VALUE"""),"1Vbhwhkyzzv1rTVbuvoBAl60OJALDvg_yXNHVYwq0EhE")</f>
        <v>1Vbhwhkyzzv1rTVbuvoBAl60OJALDvg_yXNHVYwq0EhE</v>
      </c>
      <c r="D661" s="4"/>
      <c r="E661" s="4"/>
      <c r="F661" s="4"/>
      <c r="G661" s="4"/>
      <c r="H661" s="4"/>
      <c r="I661" s="4"/>
      <c r="J661" s="4"/>
      <c r="K661" s="4"/>
      <c r="L661" s="4"/>
    </row>
    <row r="662" ht="15.75" customHeight="1">
      <c r="A662" s="4" t="str">
        <f>IFERROR(__xludf.DUMMYFUNCTION("""COMPUTED_VALUE"""),"Blotter")</f>
        <v>Blotter</v>
      </c>
      <c r="B662" s="4" t="str">
        <f>IFERROR(__xludf.DUMMYFUNCTION("""COMPUTED_VALUE"""),"EditOrderForMTT")</f>
        <v>EditOrderForMTT</v>
      </c>
      <c r="C662" s="4" t="str">
        <f>IFERROR(__xludf.DUMMYFUNCTION("""COMPUTED_VALUE"""),"1qWfM-5I-ku-5EHZAkn8eS-IZo3tx5B4_gWM6t3Q6Ioo")</f>
        <v>1qWfM-5I-ku-5EHZAkn8eS-IZo3tx5B4_gWM6t3Q6Ioo</v>
      </c>
      <c r="D662" s="4"/>
      <c r="E662" s="4"/>
      <c r="F662" s="4"/>
      <c r="G662" s="4"/>
      <c r="H662" s="4"/>
      <c r="I662" s="4"/>
      <c r="J662" s="4"/>
      <c r="K662" s="4"/>
      <c r="L662" s="4"/>
    </row>
    <row r="663" ht="15.75" customHeight="1">
      <c r="A663" s="4" t="str">
        <f>IFERROR(__xludf.DUMMYFUNCTION("""COMPUTED_VALUE"""),"PortfolioManagement")</f>
        <v>PortfolioManagement</v>
      </c>
      <c r="B663" s="4" t="str">
        <f>IFERROR(__xludf.DUMMYFUNCTION("""COMPUTED_VALUE"""),"ViewSettings")</f>
        <v>ViewSettings</v>
      </c>
      <c r="C663" s="4" t="str">
        <f>IFERROR(__xludf.DUMMYFUNCTION("""COMPUTED_VALUE"""),"1BCFYc9ywS4ss91grP2kHc2F1OGEGuTk3Hc5CFYfKKao")</f>
        <v>1BCFYc9ywS4ss91grP2kHc2F1OGEGuTk3Hc5CFYfKKao</v>
      </c>
      <c r="D663" s="4"/>
      <c r="E663" s="4"/>
      <c r="F663" s="4"/>
      <c r="G663" s="4"/>
      <c r="H663" s="4"/>
      <c r="I663" s="4"/>
      <c r="J663" s="4"/>
      <c r="K663" s="4"/>
      <c r="L663" s="4"/>
    </row>
    <row r="664" ht="15.75" customHeight="1">
      <c r="A664" s="4" t="str">
        <f>IFERROR(__xludf.DUMMYFUNCTION("""COMPUTED_VALUE"""),"PortfolioManagement")</f>
        <v>PortfolioManagement</v>
      </c>
      <c r="B664" s="4" t="str">
        <f>IFERROR(__xludf.DUMMYFUNCTION("""COMPUTED_VALUE"""),"SaveLayoutPM")</f>
        <v>SaveLayoutPM</v>
      </c>
      <c r="C664" s="4" t="str">
        <f>IFERROR(__xludf.DUMMYFUNCTION("""COMPUTED_VALUE"""),"18bINF8LvIWUr1rFpe1vpLTKdPT6dJi-B14KFcAVwyfQ")</f>
        <v>18bINF8LvIWUr1rFpe1vpLTKdPT6dJi-B14KFcAVwyfQ</v>
      </c>
      <c r="D664" s="4"/>
      <c r="E664" s="4"/>
      <c r="F664" s="4"/>
      <c r="G664" s="4"/>
      <c r="H664" s="4"/>
      <c r="I664" s="4"/>
      <c r="J664" s="4"/>
      <c r="K664" s="4"/>
      <c r="L664" s="4"/>
    </row>
    <row r="665" ht="15.75" customHeight="1">
      <c r="A665" s="4" t="str">
        <f>IFERROR(__xludf.DUMMYFUNCTION("""COMPUTED_VALUE"""),"PortfolioManagement")</f>
        <v>PortfolioManagement</v>
      </c>
      <c r="B665" s="4" t="str">
        <f>IFERROR(__xludf.DUMMYFUNCTION("""COMPUTED_VALUE"""),"OpenCustomView")</f>
        <v>OpenCustomView</v>
      </c>
      <c r="C665" s="4" t="str">
        <f>IFERROR(__xludf.DUMMYFUNCTION("""COMPUTED_VALUE"""),"1aiFAc6kqib929pQs2Ufmf6eB0G6tPhDoqY6caFUaSUk")</f>
        <v>1aiFAc6kqib929pQs2Ufmf6eB0G6tPhDoqY6caFUaSUk</v>
      </c>
      <c r="D665" s="4"/>
      <c r="E665" s="4"/>
      <c r="F665" s="4"/>
      <c r="G665" s="4"/>
      <c r="H665" s="4"/>
      <c r="I665" s="4"/>
      <c r="J665" s="4"/>
      <c r="K665" s="4"/>
      <c r="L665" s="4"/>
    </row>
    <row r="666" ht="15.75" customHeight="1">
      <c r="A666" s="4" t="str">
        <f>IFERROR(__xludf.DUMMYFUNCTION("""COMPUTED_VALUE"""),"Blotter")</f>
        <v>Blotter</v>
      </c>
      <c r="B666" s="4" t="str">
        <f>IFERROR(__xludf.DUMMYFUNCTION("""COMPUTED_VALUE"""),"VerifyCustomTabs")</f>
        <v>VerifyCustomTabs</v>
      </c>
      <c r="C666" s="4" t="str">
        <f>IFERROR(__xludf.DUMMYFUNCTION("""COMPUTED_VALUE"""),"1s7r1b7iwigom4v0m_RFb-ufZk23d2CqFi99gb-mX0YY")</f>
        <v>1s7r1b7iwigom4v0m_RFb-ufZk23d2CqFi99gb-mX0YY</v>
      </c>
      <c r="D666" s="4"/>
      <c r="E666" s="4"/>
      <c r="F666" s="4"/>
      <c r="G666" s="4"/>
      <c r="H666" s="4"/>
      <c r="I666" s="4"/>
      <c r="J666" s="4"/>
      <c r="K666" s="4"/>
      <c r="L666" s="4"/>
    </row>
    <row r="667" ht="15.75" customHeight="1">
      <c r="A667" s="4" t="str">
        <f>IFERROR(__xludf.DUMMYFUNCTION("""COMPUTED_VALUE"""),"Blotter")</f>
        <v>Blotter</v>
      </c>
      <c r="B667" s="4" t="str">
        <f>IFERROR(__xludf.DUMMYFUNCTION("""COMPUTED_VALUE"""),"SelectCheckBoxOnCustomTab")</f>
        <v>SelectCheckBoxOnCustomTab</v>
      </c>
      <c r="C667" s="4" t="str">
        <f>IFERROR(__xludf.DUMMYFUNCTION("""COMPUTED_VALUE"""),"1W7_hWkxbVlSNSzD2alHZ5u1n0B8MxwrlBkeZiMYqHMY")</f>
        <v>1W7_hWkxbVlSNSzD2alHZ5u1n0B8MxwrlBkeZiMYqHMY</v>
      </c>
      <c r="D667" s="4"/>
      <c r="E667" s="4"/>
      <c r="F667" s="4"/>
      <c r="G667" s="4"/>
      <c r="H667" s="4"/>
      <c r="I667" s="4"/>
      <c r="J667" s="4"/>
      <c r="K667" s="4"/>
      <c r="L667" s="4"/>
    </row>
    <row r="668" ht="15.75" customHeight="1">
      <c r="A668" s="4" t="str">
        <f>IFERROR(__xludf.DUMMYFUNCTION("""COMPUTED_VALUE"""),"Admin")</f>
        <v>Admin</v>
      </c>
      <c r="B668" s="4" t="str">
        <f>IFERROR(__xludf.DUMMYFUNCTION("""COMPUTED_VALUE"""),"SetCommissionRule")</f>
        <v>SetCommissionRule</v>
      </c>
      <c r="C668" s="4" t="str">
        <f>IFERROR(__xludf.DUMMYFUNCTION("""COMPUTED_VALUE"""),"1e-yvODG5ey0ZbxkvSZQ_rap65UOoA-JbxTp0ybaw-TQ")</f>
        <v>1e-yvODG5ey0ZbxkvSZQ_rap65UOoA-JbxTp0ybaw-TQ</v>
      </c>
      <c r="D668" s="4"/>
      <c r="E668" s="4"/>
      <c r="F668" s="4"/>
      <c r="G668" s="4"/>
      <c r="H668" s="4"/>
      <c r="I668" s="4"/>
      <c r="J668" s="4"/>
      <c r="K668" s="4"/>
      <c r="L668" s="4"/>
    </row>
    <row r="669" ht="15.75" customHeight="1">
      <c r="A669" s="4" t="str">
        <f>IFERROR(__xludf.DUMMYFUNCTION("""COMPUTED_VALUE"""),"Rebalancer")</f>
        <v>Rebalancer</v>
      </c>
      <c r="B669" s="4" t="str">
        <f>IFERROR(__xludf.DUMMYFUNCTION("""COMPUTED_VALUE"""),"VerifyBuySellList")</f>
        <v>VerifyBuySellList</v>
      </c>
      <c r="C669" s="4" t="str">
        <f>IFERROR(__xludf.DUMMYFUNCTION("""COMPUTED_VALUE"""),"1O2u9vu9lB8RTOcsD20GdbXlSWEbt310TUvIkuLxRuBg")</f>
        <v>1O2u9vu9lB8RTOcsD20GdbXlSWEbt310TUvIkuLxRuBg</v>
      </c>
      <c r="D669" s="4"/>
      <c r="E669" s="4"/>
      <c r="F669" s="4"/>
      <c r="G669" s="4"/>
      <c r="H669" s="4"/>
      <c r="I669" s="4"/>
      <c r="J669" s="4"/>
      <c r="K669" s="4"/>
      <c r="L669" s="4"/>
    </row>
    <row r="670" ht="15.75" customHeight="1">
      <c r="A670" s="4" t="str">
        <f>IFERROR(__xludf.DUMMYFUNCTION("""COMPUTED_VALUE"""),"Admin")</f>
        <v>Admin</v>
      </c>
      <c r="B670" s="4" t="str">
        <f>IFERROR(__xludf.DUMMYFUNCTION("""COMPUTED_VALUE"""),"SetPreTradeCompliancePermission")</f>
        <v>SetPreTradeCompliancePermission</v>
      </c>
      <c r="C670" s="4" t="str">
        <f>IFERROR(__xludf.DUMMYFUNCTION("""COMPUTED_VALUE"""),"1ewjQxQzAYWPb_Xt7eg-BDaW0JVta4cevciiv9vOUvg0")</f>
        <v>1ewjQxQzAYWPb_Xt7eg-BDaW0JVta4cevciiv9vOUvg0</v>
      </c>
      <c r="D670" s="4"/>
      <c r="E670" s="4"/>
      <c r="F670" s="4"/>
      <c r="G670" s="4"/>
      <c r="H670" s="4"/>
      <c r="I670" s="4"/>
      <c r="J670" s="4"/>
      <c r="K670" s="4"/>
      <c r="L670" s="4"/>
    </row>
    <row r="671" ht="15.75" customHeight="1">
      <c r="A671" s="4" t="str">
        <f>IFERROR(__xludf.DUMMYFUNCTION("""COMPUTED_VALUE"""),"Blotter")</f>
        <v>Blotter</v>
      </c>
      <c r="B671" s="4" t="str">
        <f>IFERROR(__xludf.DUMMYFUNCTION("""COMPUTED_VALUE"""),"UploadStageOrder")</f>
        <v>UploadStageOrder</v>
      </c>
      <c r="C671" s="4" t="str">
        <f>IFERROR(__xludf.DUMMYFUNCTION("""COMPUTED_VALUE"""),"1lK9zUhBpffXk_Fyp8pfWJfS2RpqtAwa9zGPb9Vlkb7Q")</f>
        <v>1lK9zUhBpffXk_Fyp8pfWJfS2RpqtAwa9zGPb9Vlkb7Q</v>
      </c>
      <c r="D671" s="4"/>
      <c r="E671" s="4"/>
      <c r="F671" s="4"/>
      <c r="G671" s="4"/>
      <c r="H671" s="4"/>
      <c r="I671" s="4"/>
      <c r="J671" s="4"/>
      <c r="K671" s="4"/>
      <c r="L671" s="4"/>
    </row>
    <row r="672" ht="15.75" customHeight="1">
      <c r="A672" s="4" t="str">
        <f>IFERROR(__xludf.DUMMYFUNCTION("""COMPUTED_VALUE"""),"Blotter")</f>
        <v>Blotter</v>
      </c>
      <c r="B672" s="4" t="str">
        <f>IFERROR(__xludf.DUMMYFUNCTION("""COMPUTED_VALUE"""),"RefreshBlotter")</f>
        <v>RefreshBlotter</v>
      </c>
      <c r="C672" s="4" t="str">
        <f>IFERROR(__xludf.DUMMYFUNCTION("""COMPUTED_VALUE"""),"Undefined")</f>
        <v>Undefined</v>
      </c>
      <c r="D672" s="4"/>
      <c r="E672" s="4"/>
      <c r="F672" s="4"/>
      <c r="G672" s="4"/>
      <c r="H672" s="4"/>
      <c r="I672" s="4"/>
      <c r="J672" s="4"/>
      <c r="K672" s="4"/>
      <c r="L672" s="4"/>
    </row>
    <row r="673" ht="15.75" customHeight="1">
      <c r="A673" s="4" t="str">
        <f>IFERROR(__xludf.DUMMYFUNCTION("""COMPUTED_VALUE"""),"Blotter")</f>
        <v>Blotter</v>
      </c>
      <c r="B673" s="4" t="str">
        <f>IFERROR(__xludf.DUMMYFUNCTION("""COMPUTED_VALUE"""),"CancelFromSummary")</f>
        <v>CancelFromSummary</v>
      </c>
      <c r="C673" s="4" t="str">
        <f>IFERROR(__xludf.DUMMYFUNCTION("""COMPUTED_VALUE"""),"1jSLVysCdd7TUYKjG07aOiq3UU-oAUNbdPg35uHeWwhk")</f>
        <v>1jSLVysCdd7TUYKjG07aOiq3UU-oAUNbdPg35uHeWwhk</v>
      </c>
      <c r="D673" s="4"/>
      <c r="E673" s="4"/>
      <c r="F673" s="4"/>
      <c r="G673" s="4"/>
      <c r="H673" s="4"/>
      <c r="I673" s="4"/>
      <c r="J673" s="4"/>
      <c r="K673" s="4"/>
      <c r="L673" s="4"/>
    </row>
    <row r="674" ht="15.75" customHeight="1">
      <c r="A674" s="4" t="str">
        <f>IFERROR(__xludf.DUMMYFUNCTION("""COMPUTED_VALUE"""),"PortfolioManagement")</f>
        <v>PortfolioManagement</v>
      </c>
      <c r="B674" s="4" t="str">
        <f>IFERROR(__xludf.DUMMYFUNCTION("""COMPUTED_VALUE"""),"OpenTaxlotDetails")</f>
        <v>OpenTaxlotDetails</v>
      </c>
      <c r="C674" s="4" t="str">
        <f>IFERROR(__xludf.DUMMYFUNCTION("""COMPUTED_VALUE"""),"183AzyWH5HmQPGs1axkOpXRel-i1zs9GjyySy7q1x--0")</f>
        <v>183AzyWH5HmQPGs1axkOpXRel-i1zs9GjyySy7q1x--0</v>
      </c>
      <c r="D674" s="4"/>
      <c r="E674" s="4"/>
      <c r="F674" s="4"/>
      <c r="G674" s="4"/>
      <c r="H674" s="4"/>
      <c r="I674" s="4"/>
      <c r="J674" s="4"/>
      <c r="K674" s="4"/>
      <c r="L674" s="4"/>
    </row>
    <row r="675" ht="15.75" customHeight="1">
      <c r="A675" s="4" t="str">
        <f>IFERROR(__xludf.DUMMYFUNCTION("""COMPUTED_VALUE"""),"PortfolioManagement")</f>
        <v>PortfolioManagement</v>
      </c>
      <c r="B675" s="4" t="str">
        <f>IFERROR(__xludf.DUMMYFUNCTION("""COMPUTED_VALUE"""),"CheckTaxlotDetails")</f>
        <v>CheckTaxlotDetails</v>
      </c>
      <c r="C675" s="4" t="str">
        <f>IFERROR(__xludf.DUMMYFUNCTION("""COMPUTED_VALUE"""),"1u7Vyi2HvA8tXNgHY_2MzmzcCg8vrtuLRURK0hFpMTXk")</f>
        <v>1u7Vyi2HvA8tXNgHY_2MzmzcCg8vrtuLRURK0hFpMTXk</v>
      </c>
      <c r="D675" s="4"/>
      <c r="E675" s="4"/>
      <c r="F675" s="4"/>
      <c r="G675" s="4"/>
      <c r="H675" s="4"/>
      <c r="I675" s="4"/>
      <c r="J675" s="4"/>
      <c r="K675" s="4"/>
      <c r="L675" s="4"/>
    </row>
    <row r="676" ht="15.75" customHeight="1">
      <c r="A676" s="4" t="str">
        <f>IFERROR(__xludf.DUMMYFUNCTION("""COMPUTED_VALUE"""),"Blotter")</f>
        <v>Blotter</v>
      </c>
      <c r="B676" s="4" t="str">
        <f>IFERROR(__xludf.DUMMYFUNCTION("""COMPUTED_VALUE"""),"VerifyAuditTrail")</f>
        <v>VerifyAuditTrail</v>
      </c>
      <c r="C676" s="4" t="str">
        <f>IFERROR(__xludf.DUMMYFUNCTION("""COMPUTED_VALUE"""),"1SsF4E82QKwgB26ZoKXUhkX5AaUZdZC5n2EeHmwKGduU")</f>
        <v>1SsF4E82QKwgB26ZoKXUhkX5AaUZdZC5n2EeHmwKGduU</v>
      </c>
      <c r="D676" s="4"/>
      <c r="E676" s="4"/>
      <c r="F676" s="4"/>
      <c r="G676" s="4"/>
      <c r="H676" s="4"/>
      <c r="I676" s="4"/>
      <c r="J676" s="4"/>
      <c r="K676" s="4"/>
      <c r="L676" s="4"/>
    </row>
    <row r="677" ht="15.75" customHeight="1">
      <c r="A677" s="4" t="str">
        <f>IFERROR(__xludf.DUMMYFUNCTION("""COMPUTED_VALUE"""),"PranaClient")</f>
        <v>PranaClient</v>
      </c>
      <c r="B677" s="4" t="str">
        <f>IFERROR(__xludf.DUMMYFUNCTION("""COMPUTED_VALUE"""),"DbPicker")</f>
        <v>DbPicker</v>
      </c>
      <c r="C677" s="4" t="str">
        <f>IFERROR(__xludf.DUMMYFUNCTION("""COMPUTED_VALUE"""),"1tqSr_cmWz94o-j1zOzyqKpbL44h18j2PCfFMgpuxVw0")</f>
        <v>1tqSr_cmWz94o-j1zOzyqKpbL44h18j2PCfFMgpuxVw0</v>
      </c>
      <c r="D677" s="4"/>
      <c r="E677" s="4"/>
      <c r="F677" s="4"/>
      <c r="G677" s="4"/>
      <c r="H677" s="4"/>
      <c r="I677" s="4"/>
      <c r="J677" s="4"/>
      <c r="K677" s="4"/>
      <c r="L677" s="4"/>
    </row>
    <row r="678" ht="15.75" customHeight="1">
      <c r="A678" s="4" t="str">
        <f>IFERROR(__xludf.DUMMYFUNCTION("""COMPUTED_VALUE"""),"Simulator")</f>
        <v>Simulator</v>
      </c>
      <c r="B678" s="4" t="str">
        <f>IFERROR(__xludf.DUMMYFUNCTION("""COMPUTED_VALUE"""),"DoneForDay")</f>
        <v>DoneForDay</v>
      </c>
      <c r="C678" s="4" t="str">
        <f>IFERROR(__xludf.DUMMYFUNCTION("""COMPUTED_VALUE"""),"Undefined")</f>
        <v>Undefined</v>
      </c>
      <c r="D678" s="4"/>
      <c r="E678" s="4"/>
      <c r="F678" s="4"/>
      <c r="G678" s="4"/>
      <c r="H678" s="4"/>
      <c r="I678" s="4"/>
      <c r="J678" s="4"/>
      <c r="K678" s="4"/>
      <c r="L678" s="4"/>
    </row>
    <row r="679" ht="15.75" customHeight="1">
      <c r="A679" s="4" t="str">
        <f>IFERROR(__xludf.DUMMYFUNCTION("""COMPUTED_VALUE"""),"Admin")</f>
        <v>Admin</v>
      </c>
      <c r="B679" s="4" t="str">
        <f>IFERROR(__xludf.DUMMYFUNCTION("""COMPUTED_VALUE"""),"SetAuecExecutingBroker")</f>
        <v>SetAuecExecutingBroker</v>
      </c>
      <c r="C679" s="4" t="str">
        <f>IFERROR(__xludf.DUMMYFUNCTION("""COMPUTED_VALUE"""),"1FOtSQ752PHH-4nayG7R-PaG921WCWKVU8Lsl4pC6Mr0")</f>
        <v>1FOtSQ752PHH-4nayG7R-PaG921WCWKVU8Lsl4pC6Mr0</v>
      </c>
      <c r="D679" s="4"/>
      <c r="E679" s="4"/>
      <c r="F679" s="4"/>
      <c r="G679" s="4"/>
      <c r="H679" s="4"/>
      <c r="I679" s="4"/>
      <c r="J679" s="4"/>
      <c r="K679" s="4"/>
      <c r="L679" s="4"/>
    </row>
    <row r="680" ht="15.75" customHeight="1">
      <c r="A680" s="4" t="str">
        <f>IFERROR(__xludf.DUMMYFUNCTION("""COMPUTED_VALUE"""),"AuditTrail")</f>
        <v>AuditTrail</v>
      </c>
      <c r="B680" s="4" t="str">
        <f>IFERROR(__xludf.DUMMYFUNCTION("""COMPUTED_VALUE"""),"GetDataFromAuditTrail")</f>
        <v>GetDataFromAuditTrail</v>
      </c>
      <c r="C680" s="4" t="str">
        <f>IFERROR(__xludf.DUMMYFUNCTION("""COMPUTED_VALUE"""),"1tNXZNqCj-1qo8Li9Rf4t_XiY-dX6itH2UAbOSe3-Mxc")</f>
        <v>1tNXZNqCj-1qo8Li9Rf4t_XiY-dX6itH2UAbOSe3-Mxc</v>
      </c>
      <c r="D680" s="4"/>
      <c r="E680" s="4"/>
      <c r="F680" s="4"/>
      <c r="G680" s="4"/>
      <c r="H680" s="4"/>
      <c r="I680" s="4"/>
      <c r="J680" s="4"/>
      <c r="K680" s="4"/>
      <c r="L680" s="4"/>
    </row>
    <row r="681" ht="15.75" customHeight="1">
      <c r="A681" s="4" t="str">
        <f>IFERROR(__xludf.DUMMYFUNCTION("""COMPUTED_VALUE"""),"AuditTrail")</f>
        <v>AuditTrail</v>
      </c>
      <c r="B681" s="4" t="str">
        <f>IFERROR(__xludf.DUMMYFUNCTION("""COMPUTED_VALUE"""),"VerifyAuditTrail")</f>
        <v>VerifyAuditTrail</v>
      </c>
      <c r="C681" s="4" t="str">
        <f>IFERROR(__xludf.DUMMYFUNCTION("""COMPUTED_VALUE"""),"1yv4ikffZOFZ-OOoWF_aNEGZA8dcvqtzobkyZjf8TDRs")</f>
        <v>1yv4ikffZOFZ-OOoWF_aNEGZA8dcvqtzobkyZjf8TDRs</v>
      </c>
      <c r="D681" s="4"/>
      <c r="E681" s="4"/>
      <c r="F681" s="4"/>
      <c r="G681" s="4"/>
      <c r="H681" s="4"/>
      <c r="I681" s="4"/>
      <c r="J681" s="4"/>
      <c r="K681" s="4"/>
      <c r="L681" s="4"/>
    </row>
    <row r="682" ht="15.75" customHeight="1">
      <c r="A682" s="4" t="str">
        <f>IFERROR(__xludf.DUMMYFUNCTION("""COMPUTED_VALUE"""),"PranaClient")</f>
        <v>PranaClient</v>
      </c>
      <c r="B682" s="4" t="str">
        <f>IFERROR(__xludf.DUMMYFUNCTION("""COMPUTED_VALUE"""),"RunPortfolio")</f>
        <v>RunPortfolio</v>
      </c>
      <c r="C682" s="4" t="str">
        <f>IFERROR(__xludf.DUMMYFUNCTION("""COMPUTED_VALUE"""),"1zDfER5xLj_X17wyRdaAzzNf3aYbaPGLRGVpc2rFBtc0")</f>
        <v>1zDfER5xLj_X17wyRdaAzzNf3aYbaPGLRGVpc2rFBtc0</v>
      </c>
      <c r="D682" s="4"/>
      <c r="E682" s="4"/>
      <c r="F682" s="4"/>
      <c r="G682" s="4"/>
      <c r="H682" s="4"/>
      <c r="I682" s="4"/>
      <c r="J682" s="4"/>
      <c r="K682" s="4"/>
      <c r="L682" s="4"/>
    </row>
    <row r="683" ht="15.75" customHeight="1">
      <c r="A683" s="4" t="str">
        <f>IFERROR(__xludf.DUMMYFUNCTION("""COMPUTED_VALUE"""),"Blotter")</f>
        <v>Blotter</v>
      </c>
      <c r="B683" s="4" t="str">
        <f>IFERROR(__xludf.DUMMYFUNCTION("""COMPUTED_VALUE"""),"AddOrRemoveColumnFromBlotter")</f>
        <v>AddOrRemoveColumnFromBlotter</v>
      </c>
      <c r="C683" s="4" t="str">
        <f>IFERROR(__xludf.DUMMYFUNCTION("""COMPUTED_VALUE"""),"1AImtOGYKAeR3YFeq_UoGYWtzjfmt90mMudYE0gCcfuY")</f>
        <v>1AImtOGYKAeR3YFeq_UoGYWtzjfmt90mMudYE0gCcfuY</v>
      </c>
      <c r="D683" s="4"/>
      <c r="E683" s="4"/>
      <c r="F683" s="4"/>
      <c r="G683" s="4"/>
      <c r="H683" s="4"/>
      <c r="I683" s="4"/>
      <c r="J683" s="4"/>
      <c r="K683" s="4"/>
      <c r="L683" s="4"/>
    </row>
    <row r="684" ht="15.75" customHeight="1">
      <c r="A684" s="4" t="str">
        <f>IFERROR(__xludf.DUMMYFUNCTION("""COMPUTED_VALUE"""),"Blotter")</f>
        <v>Blotter</v>
      </c>
      <c r="B684" s="4" t="str">
        <f>IFERROR(__xludf.DUMMYFUNCTION("""COMPUTED_VALUE"""),"ApplyFilterOnBlotter")</f>
        <v>ApplyFilterOnBlotter</v>
      </c>
      <c r="C684" s="4" t="str">
        <f>IFERROR(__xludf.DUMMYFUNCTION("""COMPUTED_VALUE"""),"1HwDVyMvyOdl2-ZD1QqhAZuwUuRJSMW_PlBPxaE_76EI")</f>
        <v>1HwDVyMvyOdl2-ZD1QqhAZuwUuRJSMW_PlBPxaE_76EI</v>
      </c>
      <c r="D684" s="4"/>
      <c r="E684" s="4"/>
      <c r="F684" s="4"/>
      <c r="G684" s="4"/>
      <c r="H684" s="4"/>
      <c r="I684" s="4"/>
      <c r="J684" s="4"/>
      <c r="K684" s="4"/>
      <c r="L684" s="4"/>
    </row>
    <row r="685" ht="15.75" customHeight="1">
      <c r="A685" s="4" t="str">
        <f>IFERROR(__xludf.DUMMYFUNCTION("""COMPUTED_VALUE"""),"Blotter")</f>
        <v>Blotter</v>
      </c>
      <c r="B685" s="4" t="str">
        <f>IFERROR(__xludf.DUMMYFUNCTION("""COMPUTED_VALUE"""),"SortGridOnBlotter")</f>
        <v>SortGridOnBlotter</v>
      </c>
      <c r="C685" s="4" t="str">
        <f>IFERROR(__xludf.DUMMYFUNCTION("""COMPUTED_VALUE"""),"1MvLrWPS7fBH0YzOrBIt5TdlPdCiRTwsVXBfvicm6qvY")</f>
        <v>1MvLrWPS7fBH0YzOrBIt5TdlPdCiRTwsVXBfvicm6qvY</v>
      </c>
      <c r="D685" s="4"/>
      <c r="E685" s="4"/>
      <c r="F685" s="4"/>
      <c r="G685" s="4"/>
      <c r="H685" s="4"/>
      <c r="I685" s="4"/>
      <c r="J685" s="4"/>
      <c r="K685" s="4"/>
      <c r="L685" s="4"/>
    </row>
    <row r="686" ht="15.75" customHeight="1">
      <c r="A686" s="4" t="str">
        <f>IFERROR(__xludf.DUMMYFUNCTION("""COMPUTED_VALUE"""),"Blotter")</f>
        <v>Blotter</v>
      </c>
      <c r="B686" s="4" t="str">
        <f>IFERROR(__xludf.DUMMYFUNCTION("""COMPUTED_VALUE"""),"VerifyDataIndexWise")</f>
        <v>VerifyDataIndexWise</v>
      </c>
      <c r="C686" s="4" t="str">
        <f>IFERROR(__xludf.DUMMYFUNCTION("""COMPUTED_VALUE"""),"18hzviv5ObHcdclDM2TEFd2OQL7r5vS4oemcrzjwtOSk")</f>
        <v>18hzviv5ObHcdclDM2TEFd2OQL7r5vS4oemcrzjwtOSk</v>
      </c>
      <c r="D686" s="4"/>
      <c r="E686" s="4"/>
      <c r="F686" s="4"/>
      <c r="G686" s="4"/>
      <c r="H686" s="4"/>
      <c r="I686" s="4"/>
      <c r="J686" s="4"/>
      <c r="K686" s="4"/>
      <c r="L686" s="4"/>
    </row>
    <row r="687" ht="15.75" customHeight="1">
      <c r="A687" s="4" t="str">
        <f>IFERROR(__xludf.DUMMYFUNCTION("""COMPUTED_VALUE"""),"RTPNL")</f>
        <v>RTPNL</v>
      </c>
      <c r="B687" s="4" t="str">
        <f>IFERROR(__xludf.DUMMYFUNCTION("""COMPUTED_VALUE"""),"CheckSummaryDashboard")</f>
        <v>CheckSummaryDashboard</v>
      </c>
      <c r="C687" s="4" t="str">
        <f>IFERROR(__xludf.DUMMYFUNCTION("""COMPUTED_VALUE"""),"19yZ--qYnhGSO8AdhnHqcmGmViOWMDkup5wR8bA3T2Os")</f>
        <v>19yZ--qYnhGSO8AdhnHqcmGmViOWMDkup5wR8bA3T2Os</v>
      </c>
      <c r="D687" s="4"/>
      <c r="E687" s="4"/>
      <c r="F687" s="4"/>
      <c r="G687" s="4"/>
      <c r="H687" s="4"/>
      <c r="I687" s="4"/>
      <c r="J687" s="4"/>
      <c r="K687" s="4"/>
      <c r="L687" s="4"/>
    </row>
    <row r="688" ht="15.75" customHeight="1">
      <c r="A688" s="4" t="str">
        <f>IFERROR(__xludf.DUMMYFUNCTION("""COMPUTED_VALUE"""),"RTPNL")</f>
        <v>RTPNL</v>
      </c>
      <c r="B688" s="4" t="str">
        <f>IFERROR(__xludf.DUMMYFUNCTION("""COMPUTED_VALUE"""),"CheckFundLevelAggregation")</f>
        <v>CheckFundLevelAggregation</v>
      </c>
      <c r="C688" s="4" t="str">
        <f>IFERROR(__xludf.DUMMYFUNCTION("""COMPUTED_VALUE"""),"1onoHaI0svf2S0wDmLkCePbLXTpyPt2uzhxg7tVdRMeI")</f>
        <v>1onoHaI0svf2S0wDmLkCePbLXTpyPt2uzhxg7tVdRMeI</v>
      </c>
      <c r="D688" s="4"/>
      <c r="E688" s="4"/>
      <c r="F688" s="4"/>
      <c r="G688" s="4"/>
      <c r="H688" s="4"/>
      <c r="I688" s="4"/>
      <c r="J688" s="4"/>
      <c r="K688" s="4"/>
      <c r="L688" s="4"/>
    </row>
    <row r="689" ht="15.75" customHeight="1">
      <c r="A689" s="4" t="str">
        <f>IFERROR(__xludf.DUMMYFUNCTION("""COMPUTED_VALUE"""),"RTPNL")</f>
        <v>RTPNL</v>
      </c>
      <c r="B689" s="4" t="str">
        <f>IFERROR(__xludf.DUMMYFUNCTION("""COMPUTED_VALUE"""),"CheckAccountLevelAggregation")</f>
        <v>CheckAccountLevelAggregation</v>
      </c>
      <c r="C689" s="4" t="str">
        <f>IFERROR(__xludf.DUMMYFUNCTION("""COMPUTED_VALUE"""),"1wpk-GXi0GZ8cadXtuW18V6GfYany_8NjDMShh2aobZ4")</f>
        <v>1wpk-GXi0GZ8cadXtuW18V6GfYany_8NjDMShh2aobZ4</v>
      </c>
      <c r="D689" s="4"/>
      <c r="E689" s="4"/>
      <c r="F689" s="4"/>
      <c r="G689" s="4"/>
      <c r="H689" s="4"/>
      <c r="I689" s="4"/>
      <c r="J689" s="4"/>
      <c r="K689" s="4"/>
      <c r="L689" s="4"/>
    </row>
    <row r="690" ht="15.75" customHeight="1">
      <c r="A690" s="4" t="str">
        <f>IFERROR(__xludf.DUMMYFUNCTION("""COMPUTED_VALUE"""),"RTPNL")</f>
        <v>RTPNL</v>
      </c>
      <c r="B690" s="4" t="str">
        <f>IFERROR(__xludf.DUMMYFUNCTION("""COMPUTED_VALUE"""),"CheckSymbolLevelAggregation")</f>
        <v>CheckSymbolLevelAggregation</v>
      </c>
      <c r="C690" s="4" t="str">
        <f>IFERROR(__xludf.DUMMYFUNCTION("""COMPUTED_VALUE"""),"1j6_k8vwocZ8wAvUMMfdx9IKldUmmqzRN2HCaaoFysqc")</f>
        <v>1j6_k8vwocZ8wAvUMMfdx9IKldUmmqzRN2HCaaoFysqc</v>
      </c>
      <c r="D690" s="4"/>
      <c r="E690" s="4"/>
      <c r="F690" s="4"/>
      <c r="G690" s="4"/>
      <c r="H690" s="4"/>
      <c r="I690" s="4"/>
      <c r="J690" s="4"/>
      <c r="K690" s="4"/>
      <c r="L690" s="4"/>
    </row>
    <row r="691" ht="15.75" customHeight="1">
      <c r="A691" s="4" t="str">
        <f>IFERROR(__xludf.DUMMYFUNCTION("""COMPUTED_VALUE"""),"RTPNL")</f>
        <v>RTPNL</v>
      </c>
      <c r="B691" s="4" t="str">
        <f>IFERROR(__xludf.DUMMYFUNCTION("""COMPUTED_VALUE"""),"CheckRealTimeSymbolFundMonitor")</f>
        <v>CheckRealTimeSymbolFundMonitor</v>
      </c>
      <c r="C691" s="4" t="str">
        <f>IFERROR(__xludf.DUMMYFUNCTION("""COMPUTED_VALUE"""),"1YeAroYmlm8GLwEhMTsKLli9Lc6cZEoPatK76WOit8ho")</f>
        <v>1YeAroYmlm8GLwEhMTsKLli9Lc6cZEoPatK76WOit8ho</v>
      </c>
      <c r="D691" s="4"/>
      <c r="E691" s="4"/>
      <c r="F691" s="4"/>
      <c r="G691" s="4"/>
      <c r="H691" s="4"/>
      <c r="I691" s="4"/>
      <c r="J691" s="4"/>
      <c r="K691" s="4"/>
      <c r="L691" s="4"/>
    </row>
    <row r="692" ht="15.75" customHeight="1">
      <c r="A692" s="4" t="str">
        <f>IFERROR(__xludf.DUMMYFUNCTION("""COMPUTED_VALUE"""),"RTPNL")</f>
        <v>RTPNL</v>
      </c>
      <c r="B692" s="4" t="str">
        <f>IFERROR(__xludf.DUMMYFUNCTION("""COMPUTED_VALUE"""),"CheckRealTimeSymAccountMonitor")</f>
        <v>CheckRealTimeSymAccountMonitor</v>
      </c>
      <c r="C692" s="4" t="str">
        <f>IFERROR(__xludf.DUMMYFUNCTION("""COMPUTED_VALUE"""),"1YWIN_lFXkJFac_sw0d58YkjeJOr7Xa3JotKO9BAEG3Q")</f>
        <v>1YWIN_lFXkJFac_sw0d58YkjeJOr7Xa3JotKO9BAEG3Q</v>
      </c>
      <c r="D692" s="4"/>
      <c r="E692" s="4"/>
      <c r="F692" s="4"/>
      <c r="G692" s="4"/>
      <c r="H692" s="4"/>
      <c r="I692" s="4"/>
      <c r="J692" s="4"/>
      <c r="K692" s="4"/>
      <c r="L692" s="4"/>
    </row>
    <row r="693" ht="15.75" customHeight="1">
      <c r="A693" s="4" t="str">
        <f>IFERROR(__xludf.DUMMYFUNCTION("""COMPUTED_VALUE"""),"CorporateAction")</f>
        <v>CorporateAction</v>
      </c>
      <c r="B693" s="4" t="str">
        <f>IFERROR(__xludf.DUMMYFUNCTION("""COMPUTED_VALUE"""),"Split")</f>
        <v>Split</v>
      </c>
      <c r="C693" s="4" t="str">
        <f>IFERROR(__xludf.DUMMYFUNCTION("""COMPUTED_VALUE"""),"1YQNpSzhH6xtFfgEJnDqykr5nsIzqMbnBQEatRhEpHOs")</f>
        <v>1YQNpSzhH6xtFfgEJnDqykr5nsIzqMbnBQEatRhEpHOs</v>
      </c>
      <c r="D693" s="4"/>
      <c r="E693" s="4"/>
      <c r="F693" s="4"/>
      <c r="G693" s="4"/>
      <c r="H693" s="4"/>
      <c r="I693" s="4"/>
      <c r="J693" s="4"/>
      <c r="K693" s="4"/>
      <c r="L693" s="4"/>
    </row>
    <row r="694" ht="15.75" customHeight="1">
      <c r="A694" s="4" t="str">
        <f>IFERROR(__xludf.DUMMYFUNCTION("""COMPUTED_VALUE"""),"RTPNL")</f>
        <v>RTPNL</v>
      </c>
      <c r="B694" s="4" t="str">
        <f>IFERROR(__xludf.DUMMYFUNCTION("""COMPUTED_VALUE"""),"CreateDashBoard")</f>
        <v>CreateDashBoard</v>
      </c>
      <c r="C694" s="4" t="str">
        <f>IFERROR(__xludf.DUMMYFUNCTION("""COMPUTED_VALUE"""),"1dY75aj2BVOI4B62Yc0rtSVntoWfkhHllgE9tFaIW26k")</f>
        <v>1dY75aj2BVOI4B62Yc0rtSVntoWfkhHllgE9tFaIW26k</v>
      </c>
      <c r="D694" s="4"/>
      <c r="E694" s="4"/>
      <c r="F694" s="4"/>
      <c r="G694" s="4"/>
      <c r="H694" s="4"/>
      <c r="I694" s="4"/>
      <c r="J694" s="4"/>
      <c r="K694" s="4"/>
      <c r="L694" s="4"/>
    </row>
    <row r="695" ht="15.75" customHeight="1">
      <c r="A695" s="4" t="str">
        <f>IFERROR(__xludf.DUMMYFUNCTION("""COMPUTED_VALUE"""),"OpenFin")</f>
        <v>OpenFin</v>
      </c>
      <c r="B695" s="4" t="str">
        <f>IFERROR(__xludf.DUMMYFUNCTION("""COMPUTED_VALUE"""),"CheckOpenFinWindowName")</f>
        <v>CheckOpenFinWindowName</v>
      </c>
      <c r="C695" s="4" t="str">
        <f>IFERROR(__xludf.DUMMYFUNCTION("""COMPUTED_VALUE"""),"1_QbFW_DIr-YIJKQnRAaHNRalcZ0QCmFiB-DdP5Sbwko")</f>
        <v>1_QbFW_DIr-YIJKQnRAaHNRalcZ0QCmFiB-DdP5Sbwko</v>
      </c>
      <c r="D695" s="4"/>
      <c r="E695" s="4"/>
      <c r="F695" s="4"/>
      <c r="G695" s="4"/>
      <c r="H695" s="4"/>
      <c r="I695" s="4"/>
      <c r="J695" s="4"/>
      <c r="K695" s="4"/>
      <c r="L695" s="4"/>
    </row>
    <row r="696" ht="15.75" customHeight="1">
      <c r="A696" s="4" t="str">
        <f>IFERROR(__xludf.DUMMYFUNCTION("""COMPUTED_VALUE"""),"OpenFin")</f>
        <v>OpenFin</v>
      </c>
      <c r="B696" s="4" t="str">
        <f>IFERROR(__xludf.DUMMYFUNCTION("""COMPUTED_VALUE"""),"OpenWindowFromSearch")</f>
        <v>OpenWindowFromSearch</v>
      </c>
      <c r="C696" s="4" t="str">
        <f>IFERROR(__xludf.DUMMYFUNCTION("""COMPUTED_VALUE"""),"1e8B2KIAHr80o-fgghowV60Cd3dClYg316CFpnQaQAIE")</f>
        <v>1e8B2KIAHr80o-fgghowV60Cd3dClYg316CFpnQaQAIE</v>
      </c>
      <c r="D696" s="4"/>
      <c r="E696" s="4"/>
      <c r="F696" s="4"/>
      <c r="G696" s="4"/>
      <c r="H696" s="4"/>
      <c r="I696" s="4"/>
      <c r="J696" s="4"/>
      <c r="K696" s="4"/>
      <c r="L696" s="4"/>
    </row>
    <row r="697" ht="15.75" customHeight="1">
      <c r="A697" s="4" t="str">
        <f>IFERROR(__xludf.DUMMYFUNCTION("""COMPUTED_VALUE"""),"TradingTicket")</f>
        <v>TradingTicket</v>
      </c>
      <c r="B697" s="4" t="str">
        <f>IFERROR(__xludf.DUMMYFUNCTION("""COMPUTED_VALUE"""),"OptionTradingThroughSecurity")</f>
        <v>OptionTradingThroughSecurity</v>
      </c>
      <c r="C697" s="4" t="str">
        <f>IFERROR(__xludf.DUMMYFUNCTION("""COMPUTED_VALUE"""),"1clAdB0F6htmQF_MbmjwcIdau2ji1ufQer1WZBDOaeBQ")</f>
        <v>1clAdB0F6htmQF_MbmjwcIdau2ji1ufQer1WZBDOaeBQ</v>
      </c>
      <c r="D697" s="4"/>
      <c r="E697" s="4"/>
      <c r="F697" s="4"/>
      <c r="G697" s="4"/>
      <c r="H697" s="4"/>
      <c r="I697" s="4"/>
      <c r="J697" s="4"/>
      <c r="K697" s="4"/>
      <c r="L697" s="4"/>
    </row>
    <row r="698" ht="15.75" customHeight="1">
      <c r="A698" s="4" t="str">
        <f>IFERROR(__xludf.DUMMYFUNCTION("""COMPUTED_VALUE"""),"RTPNL")</f>
        <v>RTPNL</v>
      </c>
      <c r="B698" s="4" t="str">
        <f>IFERROR(__xludf.DUMMYFUNCTION("""COMPUTED_VALUE"""),"UpdateDashboardName")</f>
        <v>UpdateDashboardName</v>
      </c>
      <c r="C698" s="4" t="str">
        <f>IFERROR(__xludf.DUMMYFUNCTION("""COMPUTED_VALUE"""),"1aNmeOLOU3vHxn4vCNTUtDLnYV9ZzH4jYF4G95SD77ow")</f>
        <v>1aNmeOLOU3vHxn4vCNTUtDLnYV9ZzH4jYF4G95SD77ow</v>
      </c>
      <c r="D698" s="4"/>
      <c r="E698" s="4"/>
      <c r="F698" s="4"/>
      <c r="G698" s="4"/>
      <c r="H698" s="4"/>
      <c r="I698" s="4"/>
      <c r="J698" s="4"/>
      <c r="K698" s="4"/>
      <c r="L698" s="4"/>
    </row>
    <row r="699" ht="15.75" customHeight="1">
      <c r="A699" s="4" t="str">
        <f>IFERROR(__xludf.DUMMYFUNCTION("""COMPUTED_VALUE"""),"RTPNL")</f>
        <v>RTPNL</v>
      </c>
      <c r="B699" s="4" t="str">
        <f>IFERROR(__xludf.DUMMYFUNCTION("""COMPUTED_VALUE"""),"AddWidget")</f>
        <v>AddWidget</v>
      </c>
      <c r="C699" s="4" t="str">
        <f>IFERROR(__xludf.DUMMYFUNCTION("""COMPUTED_VALUE"""),"1QetwOPuGJZ9VGJxG4h8-cX_06kX2sFa3dVbulVAf6H8")</f>
        <v>1QetwOPuGJZ9VGJxG4h8-cX_06kX2sFa3dVbulVAf6H8</v>
      </c>
      <c r="D699" s="4"/>
      <c r="E699" s="4"/>
      <c r="F699" s="4"/>
      <c r="G699" s="4"/>
      <c r="H699" s="4"/>
      <c r="I699" s="4"/>
      <c r="J699" s="4"/>
      <c r="K699" s="4"/>
      <c r="L699" s="4"/>
    </row>
    <row r="700" ht="15.75" customHeight="1">
      <c r="A700" s="4" t="str">
        <f>IFERROR(__xludf.DUMMYFUNCTION("""COMPUTED_VALUE"""),"RTPNL")</f>
        <v>RTPNL</v>
      </c>
      <c r="B700" s="4" t="str">
        <f>IFERROR(__xludf.DUMMYFUNCTION("""COMPUTED_VALUE"""),"CheckDashboardWidgetTitle")</f>
        <v>CheckDashboardWidgetTitle</v>
      </c>
      <c r="C700" s="4" t="str">
        <f>IFERROR(__xludf.DUMMYFUNCTION("""COMPUTED_VALUE"""),"1HywJj49UTJ0a2drrA-uSVbVT8uwRKeg9hrZ_IYbHs7M")</f>
        <v>1HywJj49UTJ0a2drrA-uSVbVT8uwRKeg9hrZ_IYbHs7M</v>
      </c>
      <c r="D700" s="4"/>
      <c r="E700" s="4"/>
      <c r="F700" s="4"/>
      <c r="G700" s="4"/>
      <c r="H700" s="4"/>
      <c r="I700" s="4"/>
      <c r="J700" s="4"/>
      <c r="K700" s="4"/>
      <c r="L700" s="4"/>
    </row>
    <row r="701" ht="15.75" customHeight="1">
      <c r="A701" s="4" t="str">
        <f>IFERROR(__xludf.DUMMYFUNCTION("""COMPUTED_VALUE"""),"RTPNL")</f>
        <v>RTPNL</v>
      </c>
      <c r="B701" s="4" t="str">
        <f>IFERROR(__xludf.DUMMYFUNCTION("""COMPUTED_VALUE"""),"updateWidget")</f>
        <v>updateWidget</v>
      </c>
      <c r="C701" s="4" t="str">
        <f>IFERROR(__xludf.DUMMYFUNCTION("""COMPUTED_VALUE"""),"1SEQwBhkZIg_dA_RSQqCGv5m0-nf1OjN8eXQzvxE35tE")</f>
        <v>1SEQwBhkZIg_dA_RSQqCGv5m0-nf1OjN8eXQzvxE35tE</v>
      </c>
      <c r="D701" s="4"/>
      <c r="E701" s="4"/>
      <c r="F701" s="4"/>
      <c r="G701" s="4"/>
      <c r="H701" s="4"/>
      <c r="I701" s="4"/>
      <c r="J701" s="4"/>
      <c r="K701" s="4"/>
      <c r="L701" s="4"/>
    </row>
    <row r="702" ht="15.75" customHeight="1">
      <c r="A702" s="4" t="str">
        <f>IFERROR(__xludf.DUMMYFUNCTION("""COMPUTED_VALUE"""),"Admin")</f>
        <v>Admin</v>
      </c>
      <c r="B702" s="4" t="str">
        <f>IFERROR(__xludf.DUMMYFUNCTION("""COMPUTED_VALUE"""),"SetAlgoBroker")</f>
        <v>SetAlgoBroker</v>
      </c>
      <c r="C702" s="4" t="str">
        <f>IFERROR(__xludf.DUMMYFUNCTION("""COMPUTED_VALUE"""),"1ysK6XeT3Tu7B_jcnGseqzvKUCFY5_PNP6KEmR-uswgE")</f>
        <v>1ysK6XeT3Tu7B_jcnGseqzvKUCFY5_PNP6KEmR-uswgE</v>
      </c>
      <c r="D702" s="4"/>
      <c r="E702" s="4"/>
      <c r="F702" s="4"/>
      <c r="G702" s="4"/>
      <c r="H702" s="4"/>
      <c r="I702" s="4"/>
      <c r="J702" s="4"/>
      <c r="K702" s="4"/>
      <c r="L702" s="4"/>
    </row>
    <row r="703" ht="15.75" customHeight="1">
      <c r="A703" s="4" t="str">
        <f>IFERROR(__xludf.DUMMYFUNCTION("""COMPUTED_VALUE"""),"TradingTicket")</f>
        <v>TradingTicket</v>
      </c>
      <c r="B703" s="4" t="str">
        <f>IFERROR(__xludf.DUMMYFUNCTION("""COMPUTED_VALUE"""),"CreateTradeWithAlgoBroker")</f>
        <v>CreateTradeWithAlgoBroker</v>
      </c>
      <c r="C703" s="4" t="str">
        <f>IFERROR(__xludf.DUMMYFUNCTION("""COMPUTED_VALUE"""),"1D-4t1xB_3TrWQDfVaykN5dg7eoT58IEqv3gXIDpM20c")</f>
        <v>1D-4t1xB_3TrWQDfVaykN5dg7eoT58IEqv3gXIDpM20c</v>
      </c>
      <c r="D703" s="4"/>
      <c r="E703" s="4"/>
      <c r="F703" s="4"/>
      <c r="G703" s="4"/>
      <c r="H703" s="4"/>
      <c r="I703" s="4"/>
      <c r="J703" s="4"/>
      <c r="K703" s="4"/>
      <c r="L703" s="4"/>
    </row>
    <row r="704" ht="15.75" customHeight="1">
      <c r="A704" s="4" t="str">
        <f>IFERROR(__xludf.DUMMYFUNCTION("""COMPUTED_VALUE"""),"Admin")</f>
        <v>Admin</v>
      </c>
      <c r="B704" s="4" t="str">
        <f>IFERROR(__xludf.DUMMYFUNCTION("""COMPUTED_VALUE"""),"EnableAutoGroupingAllocation")</f>
        <v>EnableAutoGroupingAllocation</v>
      </c>
      <c r="C704" s="4" t="str">
        <f>IFERROR(__xludf.DUMMYFUNCTION("""COMPUTED_VALUE"""),"1NeqButT68ws592R_0_8U2URVQT-opGH4uQ6W30VuDKo")</f>
        <v>1NeqButT68ws592R_0_8U2URVQT-opGH4uQ6W30VuDKo</v>
      </c>
      <c r="D704" s="4"/>
      <c r="E704" s="4"/>
      <c r="F704" s="4"/>
      <c r="G704" s="4"/>
      <c r="H704" s="4"/>
      <c r="I704" s="4"/>
      <c r="J704" s="4"/>
      <c r="K704" s="4"/>
      <c r="L704" s="4"/>
    </row>
    <row r="705" ht="15.75" customHeight="1">
      <c r="A705" s="4" t="str">
        <f>IFERROR(__xludf.DUMMYFUNCTION("""COMPUTED_VALUE"""),"Compliance")</f>
        <v>Compliance</v>
      </c>
      <c r="B705" s="4" t="str">
        <f>IFERROR(__xludf.DUMMYFUNCTION("""COMPUTED_VALUE"""),"GetEmail")</f>
        <v>GetEmail</v>
      </c>
      <c r="C705" s="4" t="str">
        <f>IFERROR(__xludf.DUMMYFUNCTION("""COMPUTED_VALUE"""),"14zIr297hHEwbCXtU1KW8tP9R8vZWp-yZlZOWIyQ8JM8")</f>
        <v>14zIr297hHEwbCXtU1KW8tP9R8vZWp-yZlZOWIyQ8JM8</v>
      </c>
      <c r="D705" s="4"/>
      <c r="E705" s="4"/>
      <c r="F705" s="4"/>
      <c r="G705" s="4"/>
      <c r="H705" s="4"/>
      <c r="I705" s="4"/>
      <c r="J705" s="4"/>
      <c r="K705" s="4"/>
      <c r="L705" s="4"/>
    </row>
    <row r="706" ht="15.75" customHeight="1">
      <c r="A706" s="4" t="str">
        <f>IFERROR(__xludf.DUMMYFUNCTION("""COMPUTED_VALUE"""),"TradeServer")</f>
        <v>TradeServer</v>
      </c>
      <c r="B706" s="4" t="str">
        <f>IFERROR(__xludf.DUMMYFUNCTION("""COMPUTED_VALUE"""),"BrokerConnectionThroughTUI")</f>
        <v>BrokerConnectionThroughTUI</v>
      </c>
      <c r="C706" s="4" t="str">
        <f>IFERROR(__xludf.DUMMYFUNCTION("""COMPUTED_VALUE"""),"1zjPR01VJFgDurgv90dzI5FheiwzguF_eQq_gmAIYF1E")</f>
        <v>1zjPR01VJFgDurgv90dzI5FheiwzguF_eQq_gmAIYF1E</v>
      </c>
      <c r="D706" s="4"/>
      <c r="E706" s="4"/>
      <c r="F706" s="4"/>
      <c r="G706" s="4"/>
      <c r="H706" s="4"/>
      <c r="I706" s="4"/>
      <c r="J706" s="4"/>
      <c r="K706" s="4"/>
      <c r="L706" s="4"/>
    </row>
    <row r="707" ht="15.75" customHeight="1">
      <c r="A707" s="4" t="str">
        <f>IFERROR(__xludf.DUMMYFUNCTION("""COMPUTED_VALUE"""),"OpenFin")</f>
        <v>OpenFin</v>
      </c>
      <c r="B707" s="4" t="str">
        <f>IFERROR(__xludf.DUMMYFUNCTION("""COMPUTED_VALUE"""),"VerifyColour")</f>
        <v>VerifyColour</v>
      </c>
      <c r="C707" s="4" t="str">
        <f>IFERROR(__xludf.DUMMYFUNCTION("""COMPUTED_VALUE"""),"1JqfkBahL4M3QJ6OlrKFEO0l-A5PRm9-rSzRM19eNLvM")</f>
        <v>1JqfkBahL4M3QJ6OlrKFEO0l-A5PRm9-rSzRM19eNLvM</v>
      </c>
      <c r="D707" s="4"/>
      <c r="E707" s="4"/>
      <c r="F707" s="4"/>
      <c r="G707" s="4"/>
      <c r="H707" s="4"/>
      <c r="I707" s="4"/>
      <c r="J707" s="4"/>
      <c r="K707" s="4"/>
      <c r="L707" s="4"/>
    </row>
    <row r="708" ht="15.75" customHeight="1">
      <c r="A708" s="4" t="str">
        <f>IFERROR(__xludf.DUMMYFUNCTION("""COMPUTED_VALUE"""),"RTPNL")</f>
        <v>RTPNL</v>
      </c>
      <c r="B708" s="4" t="str">
        <f>IFERROR(__xludf.DUMMYFUNCTION("""COMPUTED_VALUE"""),"OpenRTPNL")</f>
        <v>OpenRTPNL</v>
      </c>
      <c r="C708" s="4" t="str">
        <f>IFERROR(__xludf.DUMMYFUNCTION("""COMPUTED_VALUE"""),"1j-FWEidBpUuPYcE4AbSAw08LdLumr0SQSFYFcyX2SkM")</f>
        <v>1j-FWEidBpUuPYcE4AbSAw08LdLumr0SQSFYFcyX2SkM</v>
      </c>
      <c r="D708" s="4"/>
      <c r="E708" s="4"/>
      <c r="F708" s="4"/>
      <c r="G708" s="4"/>
      <c r="H708" s="4"/>
      <c r="I708" s="4"/>
      <c r="J708" s="4"/>
      <c r="K708" s="4"/>
      <c r="L708" s="4"/>
    </row>
    <row r="709" ht="15.75" customHeight="1">
      <c r="A709" s="4" t="str">
        <f>IFERROR(__xludf.DUMMYFUNCTION("""COMPUTED_VALUE"""),"TradingTicket")</f>
        <v>TradingTicket</v>
      </c>
      <c r="B709" s="4" t="str">
        <f>IFERROR(__xludf.DUMMYFUNCTION("""COMPUTED_VALUE"""),"VerifyOrderSide")</f>
        <v>VerifyOrderSide</v>
      </c>
      <c r="C709" s="4" t="str">
        <f>IFERROR(__xludf.DUMMYFUNCTION("""COMPUTED_VALUE"""),"1c9KH-8l1ETf94Oe0mx95JD0fjeeah2gCx04R2mT4vgU")</f>
        <v>1c9KH-8l1ETf94Oe0mx95JD0fjeeah2gCx04R2mT4vgU</v>
      </c>
      <c r="D709" s="4"/>
      <c r="E709" s="4"/>
      <c r="F709" s="4"/>
      <c r="G709" s="4"/>
      <c r="H709" s="4"/>
      <c r="I709" s="4"/>
      <c r="J709" s="4"/>
      <c r="K709" s="4"/>
      <c r="L709" s="4"/>
    </row>
    <row r="710" ht="15.75" customHeight="1">
      <c r="A710" s="4" t="str">
        <f>IFERROR(__xludf.DUMMYFUNCTION("""COMPUTED_VALUE"""),"OpenFin")</f>
        <v>OpenFin</v>
      </c>
      <c r="B710" s="4" t="str">
        <f>IFERROR(__xludf.DUMMYFUNCTION("""COMPUTED_VALUE"""),"OpenReleaseClient")</f>
        <v>OpenReleaseClient</v>
      </c>
      <c r="C710" s="4" t="str">
        <f>IFERROR(__xludf.DUMMYFUNCTION("""COMPUTED_VALUE"""),"1lDURQPfx8lvChAjYM0DztCXj5aW1r1sP_KQ4sTM3ljc")</f>
        <v>1lDURQPfx8lvChAjYM0DztCXj5aW1r1sP_KQ4sTM3ljc</v>
      </c>
      <c r="D710" s="4"/>
      <c r="E710" s="4"/>
      <c r="F710" s="4"/>
      <c r="G710" s="4"/>
      <c r="H710" s="4"/>
      <c r="I710" s="4"/>
      <c r="J710" s="4"/>
      <c r="K710" s="4"/>
      <c r="L710" s="4"/>
    </row>
    <row r="711" ht="15.75" customHeight="1">
      <c r="A711" s="4" t="str">
        <f>IFERROR(__xludf.DUMMYFUNCTION("""COMPUTED_VALUE"""),"RTPNL")</f>
        <v>RTPNL</v>
      </c>
      <c r="B711" s="4" t="str">
        <f>IFERROR(__xludf.DUMMYFUNCTION("""COMPUTED_VALUE"""),"LinkDashboardTabs")</f>
        <v>LinkDashboardTabs</v>
      </c>
      <c r="C711" s="4" t="str">
        <f>IFERROR(__xludf.DUMMYFUNCTION("""COMPUTED_VALUE"""),"1_ZOUJw5mEb5-uMCe7uXUcU1uwSnKbENOdKRfc5frcRI")</f>
        <v>1_ZOUJw5mEb5-uMCe7uXUcU1uwSnKbENOdKRfc5frcRI</v>
      </c>
      <c r="D711" s="4"/>
      <c r="E711" s="4"/>
      <c r="F711" s="4"/>
      <c r="G711" s="4"/>
      <c r="H711" s="4"/>
      <c r="I711" s="4"/>
      <c r="J711" s="4"/>
      <c r="K711" s="4"/>
      <c r="L711" s="4"/>
    </row>
    <row r="712" ht="15.75" customHeight="1">
      <c r="A712" s="4" t="str">
        <f>IFERROR(__xludf.DUMMYFUNCTION("""COMPUTED_VALUE"""),"RTPNL")</f>
        <v>RTPNL</v>
      </c>
      <c r="B712" s="4" t="str">
        <f>IFERROR(__xludf.DUMMYFUNCTION("""COMPUTED_VALUE"""),"SelectDashboardTabRow")</f>
        <v>SelectDashboardTabRow</v>
      </c>
      <c r="C712" s="4" t="str">
        <f>IFERROR(__xludf.DUMMYFUNCTION("""COMPUTED_VALUE"""),"10Vd3dhJiCjsba_tbRecSrC0PBN1F1QFBXBKfTY2hBy4")</f>
        <v>10Vd3dhJiCjsba_tbRecSrC0PBN1F1QFBXBKfTY2hBy4</v>
      </c>
      <c r="D712" s="4"/>
      <c r="E712" s="4"/>
      <c r="F712" s="4"/>
      <c r="G712" s="4"/>
      <c r="H712" s="4"/>
      <c r="I712" s="4"/>
      <c r="J712" s="4"/>
      <c r="K712" s="4"/>
      <c r="L712" s="4"/>
    </row>
    <row r="713" ht="15.75" customHeight="1">
      <c r="A713" s="4" t="str">
        <f>IFERROR(__xludf.DUMMYFUNCTION("""COMPUTED_VALUE"""),"RTPNL")</f>
        <v>RTPNL</v>
      </c>
      <c r="B713" s="4" t="str">
        <f>IFERROR(__xludf.DUMMYFUNCTION("""COMPUTED_VALUE"""),"SelectRowAtFLAggregation")</f>
        <v>SelectRowAtFLAggregation</v>
      </c>
      <c r="C713" s="4" t="str">
        <f>IFERROR(__xludf.DUMMYFUNCTION("""COMPUTED_VALUE"""),"1cEp9PBaAuW5WBA5D6VvUB32hYlXbJCbbqSozcxuwCxs")</f>
        <v>1cEp9PBaAuW5WBA5D6VvUB32hYlXbJCbbqSozcxuwCxs</v>
      </c>
      <c r="D713" s="4"/>
      <c r="E713" s="4"/>
      <c r="F713" s="4"/>
      <c r="G713" s="4"/>
      <c r="H713" s="4"/>
      <c r="I713" s="4"/>
      <c r="J713" s="4"/>
      <c r="K713" s="4"/>
      <c r="L713" s="4"/>
    </row>
    <row r="714" ht="15.75" customHeight="1">
      <c r="A714" s="4" t="str">
        <f>IFERROR(__xludf.DUMMYFUNCTION("""COMPUTED_VALUE"""),"RTPNL")</f>
        <v>RTPNL</v>
      </c>
      <c r="B714" s="4" t="str">
        <f>IFERROR(__xludf.DUMMYFUNCTION("""COMPUTED_VALUE"""),"SelectRowAtALAggregation")</f>
        <v>SelectRowAtALAggregation</v>
      </c>
      <c r="C714" s="4" t="str">
        <f>IFERROR(__xludf.DUMMYFUNCTION("""COMPUTED_VALUE"""),"1rSsC3GJdez3CoU5cuG9j4H7yxOCRUN1u8OaLrlQV3ms")</f>
        <v>1rSsC3GJdez3CoU5cuG9j4H7yxOCRUN1u8OaLrlQV3ms</v>
      </c>
      <c r="D714" s="4"/>
      <c r="E714" s="4"/>
      <c r="F714" s="4"/>
      <c r="G714" s="4"/>
      <c r="H714" s="4"/>
      <c r="I714" s="4"/>
      <c r="J714" s="4"/>
      <c r="K714" s="4"/>
      <c r="L714" s="4"/>
    </row>
    <row r="715" ht="15.75" customHeight="1">
      <c r="A715" s="4" t="str">
        <f>IFERROR(__xludf.DUMMYFUNCTION("""COMPUTED_VALUE"""),"RTPNL")</f>
        <v>RTPNL</v>
      </c>
      <c r="B715" s="4" t="str">
        <f>IFERROR(__xludf.DUMMYFUNCTION("""COMPUTED_VALUE"""),"SelectRowAtSLAggregation")</f>
        <v>SelectRowAtSLAggregation</v>
      </c>
      <c r="C715" s="4" t="str">
        <f>IFERROR(__xludf.DUMMYFUNCTION("""COMPUTED_VALUE"""),"17LhetpqlUGKZ842KdCVcUSBi-Oo7pi9N29U1unAcSXI")</f>
        <v>17LhetpqlUGKZ842KdCVcUSBi-Oo7pi9N29U1unAcSXI</v>
      </c>
      <c r="D715" s="4"/>
      <c r="E715" s="4"/>
      <c r="F715" s="4"/>
      <c r="G715" s="4"/>
      <c r="H715" s="4"/>
      <c r="I715" s="4"/>
      <c r="J715" s="4"/>
      <c r="K715" s="4"/>
      <c r="L715" s="4"/>
    </row>
    <row r="716" ht="15.75" customHeight="1">
      <c r="A716" s="4" t="str">
        <f>IFERROR(__xludf.DUMMYFUNCTION("""COMPUTED_VALUE"""),"RTPNL")</f>
        <v>RTPNL</v>
      </c>
      <c r="B716" s="4" t="str">
        <f>IFERROR(__xludf.DUMMYFUNCTION("""COMPUTED_VALUE"""),"SelectRowAtRTSFundMonitor")</f>
        <v>SelectRowAtRTSFundMonitor</v>
      </c>
      <c r="C716" s="4" t="str">
        <f>IFERROR(__xludf.DUMMYFUNCTION("""COMPUTED_VALUE"""),"1GfRMRoQy-JJWGhUYOAlTtktEu_COt80geQtMyahWn-g")</f>
        <v>1GfRMRoQy-JJWGhUYOAlTtktEu_COt80geQtMyahWn-g</v>
      </c>
      <c r="D716" s="4"/>
      <c r="E716" s="4"/>
      <c r="F716" s="4"/>
      <c r="G716" s="4"/>
      <c r="H716" s="4"/>
      <c r="I716" s="4"/>
      <c r="J716" s="4"/>
      <c r="K716" s="4"/>
      <c r="L716" s="4"/>
    </row>
    <row r="717" ht="15.75" customHeight="1">
      <c r="A717" s="4" t="str">
        <f>IFERROR(__xludf.DUMMYFUNCTION("""COMPUTED_VALUE"""),"RTPNL")</f>
        <v>RTPNL</v>
      </c>
      <c r="B717" s="4" t="str">
        <f>IFERROR(__xludf.DUMMYFUNCTION("""COMPUTED_VALUE"""),"SelectRowAtRTSAccountMonitor")</f>
        <v>SelectRowAtRTSAccountMonitor</v>
      </c>
      <c r="C717" s="4" t="str">
        <f>IFERROR(__xludf.DUMMYFUNCTION("""COMPUTED_VALUE"""),"1ymWI4H-rYSuYcMBnVqoCFZgBq0wgkwh4HNQd4M6a3EE")</f>
        <v>1ymWI4H-rYSuYcMBnVqoCFZgBq0wgkwh4HNQd4M6a3EE</v>
      </c>
      <c r="D717" s="4"/>
      <c r="E717" s="4"/>
      <c r="F717" s="4"/>
      <c r="G717" s="4"/>
      <c r="H717" s="4"/>
      <c r="I717" s="4"/>
      <c r="J717" s="4"/>
      <c r="K717" s="4"/>
      <c r="L717" s="4"/>
    </row>
    <row r="718" ht="15.75" customHeight="1">
      <c r="A718" s="4" t="str">
        <f>IFERROR(__xludf.DUMMYFUNCTION("""COMPUTED_VALUE"""),"RTPNL")</f>
        <v>RTPNL</v>
      </c>
      <c r="B718" s="4" t="str">
        <f>IFERROR(__xludf.DUMMYFUNCTION("""COMPUTED_VALUE"""),"FilterRTSAM")</f>
        <v>FilterRTSAM</v>
      </c>
      <c r="C718" s="4" t="str">
        <f>IFERROR(__xludf.DUMMYFUNCTION("""COMPUTED_VALUE"""),"19QrXgA8ZQp9FIUAggXNU6zXTsnkvA4_nCUqf6XrnTIM")</f>
        <v>19QrXgA8ZQp9FIUAggXNU6zXTsnkvA4_nCUqf6XrnTIM</v>
      </c>
      <c r="D718" s="4"/>
      <c r="E718" s="4"/>
      <c r="F718" s="4"/>
      <c r="G718" s="4"/>
      <c r="H718" s="4"/>
      <c r="I718" s="4"/>
      <c r="J718" s="4"/>
      <c r="K718" s="4"/>
      <c r="L718" s="4"/>
    </row>
    <row r="719" ht="15.75" customHeight="1">
      <c r="A719" s="4" t="str">
        <f>IFERROR(__xludf.DUMMYFUNCTION("""COMPUTED_VALUE"""),"RTPNL")</f>
        <v>RTPNL</v>
      </c>
      <c r="B719" s="4" t="str">
        <f>IFERROR(__xludf.DUMMYFUNCTION("""COMPUTED_VALUE"""),"SortRTSAM")</f>
        <v>SortRTSAM</v>
      </c>
      <c r="C719" s="4" t="str">
        <f>IFERROR(__xludf.DUMMYFUNCTION("""COMPUTED_VALUE"""),"1JGXz9lScbj7NMo2gp1dnjyAosk2i-_vn-_beAX5olZY")</f>
        <v>1JGXz9lScbj7NMo2gp1dnjyAosk2i-_vn-_beAX5olZY</v>
      </c>
      <c r="D719" s="4"/>
      <c r="E719" s="4"/>
      <c r="F719" s="4"/>
      <c r="G719" s="4"/>
      <c r="H719" s="4"/>
      <c r="I719" s="4"/>
      <c r="J719" s="4"/>
      <c r="K719" s="4"/>
      <c r="L719" s="4"/>
    </row>
    <row r="720" ht="15.75" customHeight="1">
      <c r="A720" s="4" t="str">
        <f>IFERROR(__xludf.DUMMYFUNCTION("""COMPUTED_VALUE"""),"TradingTicket")</f>
        <v>TradingTicket</v>
      </c>
      <c r="B720" s="4" t="str">
        <f>IFERROR(__xludf.DUMMYFUNCTION("""COMPUTED_VALUE"""),"CreateOrEditSymbolTT")</f>
        <v>CreateOrEditSymbolTT</v>
      </c>
      <c r="C720" s="4" t="str">
        <f>IFERROR(__xludf.DUMMYFUNCTION("""COMPUTED_VALUE"""),"1idmpWrKnVe2S0NRHKC3RamOBjdC5_vnd76rycS2naOU")</f>
        <v>1idmpWrKnVe2S0NRHKC3RamOBjdC5_vnd76rycS2naOU</v>
      </c>
      <c r="D720" s="4"/>
      <c r="E720" s="4"/>
      <c r="F720" s="4"/>
      <c r="G720" s="4"/>
      <c r="H720" s="4"/>
      <c r="I720" s="4"/>
      <c r="J720" s="4"/>
      <c r="K720" s="4"/>
      <c r="L720" s="4"/>
    </row>
    <row r="721" ht="15.75" customHeight="1">
      <c r="A721" s="4" t="str">
        <f>IFERROR(__xludf.DUMMYFUNCTION("""COMPUTED_VALUE"""),"RTPNL")</f>
        <v>RTPNL</v>
      </c>
      <c r="B721" s="4" t="str">
        <f>IFERROR(__xludf.DUMMYFUNCTION("""COMPUTED_VALUE"""),"ExtractTabOutsidePMDashboard")</f>
        <v>ExtractTabOutsidePMDashboard</v>
      </c>
      <c r="C721" s="4" t="str">
        <f>IFERROR(__xludf.DUMMYFUNCTION("""COMPUTED_VALUE"""),"1gL_7b12xxIm2t8SbS3r1OEz_l436Ag72OxKiVxsSHao")</f>
        <v>1gL_7b12xxIm2t8SbS3r1OEz_l436Ag72OxKiVxsSHao</v>
      </c>
      <c r="D721" s="4"/>
      <c r="E721" s="4"/>
      <c r="F721" s="4"/>
      <c r="G721" s="4"/>
      <c r="H721" s="4"/>
      <c r="I721" s="4"/>
      <c r="J721" s="4"/>
      <c r="K721" s="4"/>
      <c r="L721" s="4"/>
    </row>
    <row r="722" ht="15.75" customHeight="1">
      <c r="A722" s="4" t="str">
        <f>IFERROR(__xludf.DUMMYFUNCTION("""COMPUTED_VALUE"""),"RTPNL")</f>
        <v>RTPNL</v>
      </c>
      <c r="B722" s="4" t="str">
        <f>IFERROR(__xludf.DUMMYFUNCTION("""COMPUTED_VALUE"""),"SortRTSFM")</f>
        <v>SortRTSFM</v>
      </c>
      <c r="C722" s="4" t="str">
        <f>IFERROR(__xludf.DUMMYFUNCTION("""COMPUTED_VALUE"""),"1RPd2Hj7qN07O5usXRKyD6vnEBaAjN4s-c66S7_cTJL0")</f>
        <v>1RPd2Hj7qN07O5usXRKyD6vnEBaAjN4s-c66S7_cTJL0</v>
      </c>
      <c r="D722" s="4"/>
      <c r="E722" s="4"/>
      <c r="F722" s="4"/>
      <c r="G722" s="4"/>
      <c r="H722" s="4"/>
      <c r="I722" s="4"/>
      <c r="J722" s="4"/>
      <c r="K722" s="4"/>
      <c r="L722" s="4"/>
    </row>
    <row r="723" ht="15.75" customHeight="1">
      <c r="A723" s="4" t="str">
        <f>IFERROR(__xludf.DUMMYFUNCTION("""COMPUTED_VALUE"""),"RTPNL")</f>
        <v>RTPNL</v>
      </c>
      <c r="B723" s="4" t="str">
        <f>IFERROR(__xludf.DUMMYFUNCTION("""COMPUTED_VALUE"""),"SortSLA")</f>
        <v>SortSLA</v>
      </c>
      <c r="C723" s="4" t="str">
        <f>IFERROR(__xludf.DUMMYFUNCTION("""COMPUTED_VALUE"""),"1uqQ9rYn7Web5f-3p1kL2oa_1jv5CTxiLTZgtyeOnG5k")</f>
        <v>1uqQ9rYn7Web5f-3p1kL2oa_1jv5CTxiLTZgtyeOnG5k</v>
      </c>
      <c r="D723" s="4"/>
      <c r="E723" s="4"/>
      <c r="F723" s="4"/>
      <c r="G723" s="4"/>
      <c r="H723" s="4"/>
      <c r="I723" s="4"/>
      <c r="J723" s="4"/>
      <c r="K723" s="4"/>
      <c r="L723" s="4"/>
    </row>
    <row r="724" ht="15.75" customHeight="1">
      <c r="A724" s="4" t="str">
        <f>IFERROR(__xludf.DUMMYFUNCTION("""COMPUTED_VALUE"""),"RTPNL")</f>
        <v>RTPNL</v>
      </c>
      <c r="B724" s="4" t="str">
        <f>IFERROR(__xludf.DUMMYFUNCTION("""COMPUTED_VALUE"""),"SortALA")</f>
        <v>SortALA</v>
      </c>
      <c r="C724" s="4" t="str">
        <f>IFERROR(__xludf.DUMMYFUNCTION("""COMPUTED_VALUE"""),"1HFxukRhN8_NG06AxIvFbitVTjtpuHxAfEbMllW36roE")</f>
        <v>1HFxukRhN8_NG06AxIvFbitVTjtpuHxAfEbMllW36roE</v>
      </c>
      <c r="D724" s="4"/>
      <c r="E724" s="4"/>
      <c r="F724" s="4"/>
      <c r="G724" s="4"/>
      <c r="H724" s="4"/>
      <c r="I724" s="4"/>
      <c r="J724" s="4"/>
      <c r="K724" s="4"/>
      <c r="L724" s="4"/>
    </row>
    <row r="725" ht="15.75" customHeight="1">
      <c r="A725" s="4" t="str">
        <f>IFERROR(__xludf.DUMMYFUNCTION("""COMPUTED_VALUE"""),"RTPNL")</f>
        <v>RTPNL</v>
      </c>
      <c r="B725" s="4" t="str">
        <f>IFERROR(__xludf.DUMMYFUNCTION("""COMPUTED_VALUE"""),"SortFLA")</f>
        <v>SortFLA</v>
      </c>
      <c r="C725" s="4" t="str">
        <f>IFERROR(__xludf.DUMMYFUNCTION("""COMPUTED_VALUE"""),"16fbn56mKuCbv6fF3O21I3-tlQPhsQWvtInKzVunyM7s")</f>
        <v>16fbn56mKuCbv6fF3O21I3-tlQPhsQWvtInKzVunyM7s</v>
      </c>
      <c r="D725" s="4"/>
      <c r="E725" s="4"/>
      <c r="F725" s="4"/>
      <c r="G725" s="4"/>
      <c r="H725" s="4"/>
      <c r="I725" s="4"/>
      <c r="J725" s="4"/>
      <c r="K725" s="4"/>
      <c r="L725" s="4"/>
    </row>
    <row r="726" ht="15.75" customHeight="1">
      <c r="A726" s="4" t="str">
        <f>IFERROR(__xludf.DUMMYFUNCTION("""COMPUTED_VALUE"""),"RTPNL")</f>
        <v>RTPNL</v>
      </c>
      <c r="B726" s="4" t="str">
        <f>IFERROR(__xludf.DUMMYFUNCTION("""COMPUTED_VALUE"""),"FilterRTSFM")</f>
        <v>FilterRTSFM</v>
      </c>
      <c r="C726" s="4" t="str">
        <f>IFERROR(__xludf.DUMMYFUNCTION("""COMPUTED_VALUE"""),"1aR-wCrpB-M5qPHNLKmkkkDXUdLLquektow3lRehT7aA")</f>
        <v>1aR-wCrpB-M5qPHNLKmkkkDXUdLLquektow3lRehT7aA</v>
      </c>
      <c r="D726" s="4"/>
      <c r="E726" s="4"/>
      <c r="F726" s="4"/>
      <c r="G726" s="4"/>
      <c r="H726" s="4"/>
      <c r="I726" s="4"/>
      <c r="J726" s="4"/>
      <c r="K726" s="4"/>
      <c r="L726" s="4"/>
    </row>
    <row r="727" ht="15.75" customHeight="1">
      <c r="A727" s="4" t="str">
        <f>IFERROR(__xludf.DUMMYFUNCTION("""COMPUTED_VALUE"""),"RTPNL")</f>
        <v>RTPNL</v>
      </c>
      <c r="B727" s="4" t="str">
        <f>IFERROR(__xludf.DUMMYFUNCTION("""COMPUTED_VALUE"""),"FilterSLA")</f>
        <v>FilterSLA</v>
      </c>
      <c r="C727" s="4" t="str">
        <f>IFERROR(__xludf.DUMMYFUNCTION("""COMPUTED_VALUE"""),"1VstTCReOBMZnMYs_uYfmc2u8trc1ET-vbWFFCBehT_I")</f>
        <v>1VstTCReOBMZnMYs_uYfmc2u8trc1ET-vbWFFCBehT_I</v>
      </c>
      <c r="D727" s="4"/>
      <c r="E727" s="4"/>
      <c r="F727" s="4"/>
      <c r="G727" s="4"/>
      <c r="H727" s="4"/>
      <c r="I727" s="4"/>
      <c r="J727" s="4"/>
      <c r="K727" s="4"/>
      <c r="L727" s="4"/>
    </row>
    <row r="728" ht="15.75" customHeight="1">
      <c r="A728" s="4" t="str">
        <f>IFERROR(__xludf.DUMMYFUNCTION("""COMPUTED_VALUE"""),"RTPNL")</f>
        <v>RTPNL</v>
      </c>
      <c r="B728" s="4" t="str">
        <f>IFERROR(__xludf.DUMMYFUNCTION("""COMPUTED_VALUE"""),"FilterALA")</f>
        <v>FilterALA</v>
      </c>
      <c r="C728" s="4" t="str">
        <f>IFERROR(__xludf.DUMMYFUNCTION("""COMPUTED_VALUE"""),"1a9lso4ZEh6d-62hPnh0hEsACtRSusVGWjAO1Q5WPAEg")</f>
        <v>1a9lso4ZEh6d-62hPnh0hEsACtRSusVGWjAO1Q5WPAEg</v>
      </c>
      <c r="D728" s="4"/>
      <c r="E728" s="4"/>
      <c r="F728" s="4"/>
      <c r="G728" s="4"/>
      <c r="H728" s="4"/>
      <c r="I728" s="4"/>
      <c r="J728" s="4"/>
      <c r="K728" s="4"/>
      <c r="L728" s="4"/>
    </row>
    <row r="729" ht="15.75" customHeight="1">
      <c r="A729" s="4" t="str">
        <f>IFERROR(__xludf.DUMMYFUNCTION("""COMPUTED_VALUE"""),"RTPNL")</f>
        <v>RTPNL</v>
      </c>
      <c r="B729" s="4" t="str">
        <f>IFERROR(__xludf.DUMMYFUNCTION("""COMPUTED_VALUE"""),"FilterFLA")</f>
        <v>FilterFLA</v>
      </c>
      <c r="C729" s="4" t="str">
        <f>IFERROR(__xludf.DUMMYFUNCTION("""COMPUTED_VALUE"""),"1iInEvGMej-U3deNeFM-LhHIJxa9DnH1LfYmUlixwoO0")</f>
        <v>1iInEvGMej-U3deNeFM-LhHIJxa9DnH1LfYmUlixwoO0</v>
      </c>
      <c r="D729" s="4"/>
      <c r="E729" s="4"/>
      <c r="F729" s="4"/>
      <c r="G729" s="4"/>
      <c r="H729" s="4"/>
      <c r="I729" s="4"/>
      <c r="J729" s="4"/>
      <c r="K729" s="4"/>
      <c r="L729" s="4"/>
    </row>
    <row r="730" ht="15.75" customHeight="1">
      <c r="A730" s="4" t="str">
        <f>IFERROR(__xludf.DUMMYFUNCTION("""COMPUTED_VALUE"""),"RTPNL")</f>
        <v>RTPNL</v>
      </c>
      <c r="B730" s="4" t="str">
        <f>IFERROR(__xludf.DUMMYFUNCTION("""COMPUTED_VALUE"""),"IncreaseOrUnwindPositionRTPNL")</f>
        <v>IncreaseOrUnwindPositionRTPNL</v>
      </c>
      <c r="C730" s="4" t="str">
        <f>IFERROR(__xludf.DUMMYFUNCTION("""COMPUTED_VALUE"""),"1q1Wc-dRTuQg4BlHBt6hfkwKefeK_K_Mif-Ctd_wCOUc")</f>
        <v>1q1Wc-dRTuQg4BlHBt6hfkwKefeK_K_Mif-Ctd_wCOUc</v>
      </c>
      <c r="D730" s="4"/>
      <c r="E730" s="4"/>
      <c r="F730" s="4"/>
      <c r="G730" s="4"/>
      <c r="H730" s="4"/>
      <c r="I730" s="4"/>
      <c r="J730" s="4"/>
      <c r="K730" s="4"/>
      <c r="L730" s="4"/>
    </row>
    <row r="731" ht="15.75" customHeight="1">
      <c r="A731" s="4" t="str">
        <f>IFERROR(__xludf.DUMMYFUNCTION("""COMPUTED_VALUE"""),"RTPNL")</f>
        <v>RTPNL</v>
      </c>
      <c r="B731" s="4" t="str">
        <f>IFERROR(__xludf.DUMMYFUNCTION("""COMPUTED_VALUE"""),"SavePage")</f>
        <v>SavePage</v>
      </c>
      <c r="C731" s="4" t="str">
        <f>IFERROR(__xludf.DUMMYFUNCTION("""COMPUTED_VALUE"""),"1_uQYVoc5DS6NYv0EYGKjax2jWsfgKobFEjxJkQjLL3w")</f>
        <v>1_uQYVoc5DS6NYv0EYGKjax2jWsfgKobFEjxJkQjLL3w</v>
      </c>
      <c r="D731" s="4"/>
      <c r="E731" s="4"/>
      <c r="F731" s="4"/>
      <c r="G731" s="4"/>
      <c r="H731" s="4"/>
      <c r="I731" s="4"/>
      <c r="J731" s="4"/>
      <c r="K731" s="4"/>
      <c r="L731" s="4"/>
    </row>
    <row r="732" ht="15.75" customHeight="1">
      <c r="A732" s="4" t="str">
        <f>IFERROR(__xludf.DUMMYFUNCTION("""COMPUTED_VALUE"""),"RTPNL")</f>
        <v>RTPNL</v>
      </c>
      <c r="B732" s="4" t="str">
        <f>IFERROR(__xludf.DUMMYFUNCTION("""COMPUTED_VALUE"""),"CloseRTPNL")</f>
        <v>CloseRTPNL</v>
      </c>
      <c r="C732" s="4" t="str">
        <f>IFERROR(__xludf.DUMMYFUNCTION("""COMPUTED_VALUE"""),"1q0e1lbiWuCHi7U7mu_pkI_EHtO0vohpMfwjgm_XpoMk")</f>
        <v>1q0e1lbiWuCHi7U7mu_pkI_EHtO0vohpMfwjgm_XpoMk</v>
      </c>
      <c r="D732" s="4"/>
      <c r="E732" s="4"/>
      <c r="F732" s="4"/>
      <c r="G732" s="4"/>
      <c r="H732" s="4"/>
      <c r="I732" s="4"/>
      <c r="J732" s="4"/>
      <c r="K732" s="4"/>
      <c r="L732" s="4"/>
    </row>
    <row r="733" ht="15.75" customHeight="1">
      <c r="A733" s="4" t="str">
        <f>IFERROR(__xludf.DUMMYFUNCTION("""COMPUTED_VALUE"""),"RTPNL")</f>
        <v>RTPNL</v>
      </c>
      <c r="B733" s="4" t="str">
        <f>IFERROR(__xludf.DUMMYFUNCTION("""COMPUTED_VALUE"""),"VerifyColumns")</f>
        <v>VerifyColumns</v>
      </c>
      <c r="C733" s="4" t="str">
        <f>IFERROR(__xludf.DUMMYFUNCTION("""COMPUTED_VALUE"""),"1hv4fjReFX37JfqBQku0u9vApiCQpf-X1f4UEDLw3y_s")</f>
        <v>1hv4fjReFX37JfqBQku0u9vApiCQpf-X1f4UEDLw3y_s</v>
      </c>
      <c r="D733" s="4"/>
      <c r="E733" s="4"/>
      <c r="F733" s="4"/>
      <c r="G733" s="4"/>
      <c r="H733" s="4"/>
      <c r="I733" s="4"/>
      <c r="J733" s="4"/>
      <c r="K733" s="4"/>
      <c r="L733" s="4"/>
    </row>
    <row r="734" ht="15.75" customHeight="1">
      <c r="A734" s="4" t="str">
        <f>IFERROR(__xludf.DUMMYFUNCTION("""COMPUTED_VALUE"""),"Admin")</f>
        <v>Admin</v>
      </c>
      <c r="B734" s="4" t="str">
        <f>IFERROR(__xludf.DUMMYFUNCTION("""COMPUTED_VALUE"""),"RemoveMasterUser")</f>
        <v>RemoveMasterUser</v>
      </c>
      <c r="C734" s="4" t="str">
        <f>IFERROR(__xludf.DUMMYFUNCTION("""COMPUTED_VALUE"""),"Undefined")</f>
        <v>Undefined</v>
      </c>
      <c r="D734" s="4"/>
      <c r="E734" s="4"/>
      <c r="F734" s="4"/>
      <c r="G734" s="4"/>
      <c r="H734" s="4"/>
      <c r="I734" s="4"/>
      <c r="J734" s="4"/>
      <c r="K734" s="4"/>
      <c r="L734" s="4"/>
    </row>
    <row r="735" ht="15.75" customHeight="1">
      <c r="A735" s="4" t="str">
        <f>IFERROR(__xludf.DUMMYFUNCTION("""COMPUTED_VALUE"""),"Blotter")</f>
        <v>Blotter</v>
      </c>
      <c r="B735" s="4" t="str">
        <f>IFERROR(__xludf.DUMMYFUNCTION("""COMPUTED_VALUE"""),"SaveLayoutBlotter")</f>
        <v>SaveLayoutBlotter</v>
      </c>
      <c r="C735" s="4" t="str">
        <f>IFERROR(__xludf.DUMMYFUNCTION("""COMPUTED_VALUE"""),"Undefined")</f>
        <v>Undefined</v>
      </c>
      <c r="D735" s="4"/>
      <c r="E735" s="4"/>
      <c r="F735" s="4"/>
      <c r="G735" s="4"/>
      <c r="H735" s="4"/>
      <c r="I735" s="4"/>
      <c r="J735" s="4"/>
      <c r="K735" s="4"/>
      <c r="L735" s="4"/>
    </row>
    <row r="736" ht="15.75" customHeight="1">
      <c r="A736" s="4" t="str">
        <f>IFERROR(__xludf.DUMMYFUNCTION("""COMPUTED_VALUE"""),"NavLock")</f>
        <v>NavLock</v>
      </c>
      <c r="B736" s="4" t="str">
        <f>IFERROR(__xludf.DUMMYFUNCTION("""COMPUTED_VALUE"""),"DeleteExistingNavLock")</f>
        <v>DeleteExistingNavLock</v>
      </c>
      <c r="C736" s="4" t="str">
        <f>IFERROR(__xludf.DUMMYFUNCTION("""COMPUTED_VALUE"""),"1HqQPyzif5um_L8C14d1R1blK2opfeEitYxPutZTlmFw")</f>
        <v>1HqQPyzif5um_L8C14d1R1blK2opfeEitYxPutZTlmFw</v>
      </c>
      <c r="D736" s="4"/>
      <c r="E736" s="4"/>
      <c r="F736" s="4"/>
      <c r="G736" s="4"/>
      <c r="H736" s="4"/>
      <c r="I736" s="4"/>
      <c r="J736" s="4"/>
      <c r="K736" s="4"/>
      <c r="L736" s="4"/>
    </row>
    <row r="737" ht="15.75" customHeight="1">
      <c r="A737" s="4" t="str">
        <f>IFERROR(__xludf.DUMMYFUNCTION("""COMPUTED_VALUE"""),"NavLock")</f>
        <v>NavLock</v>
      </c>
      <c r="B737" s="4" t="str">
        <f>IFERROR(__xludf.DUMMYFUNCTION("""COMPUTED_VALUE"""),"AddNavLock")</f>
        <v>AddNavLock</v>
      </c>
      <c r="C737" s="4" t="str">
        <f>IFERROR(__xludf.DUMMYFUNCTION("""COMPUTED_VALUE"""),"1GPjpONzArmJk58f1PhPdnRa4N-8ryMP6ZWGSYiH7Y3s")</f>
        <v>1GPjpONzArmJk58f1PhPdnRa4N-8ryMP6ZWGSYiH7Y3s</v>
      </c>
      <c r="D737" s="4"/>
      <c r="E737" s="4"/>
      <c r="F737" s="4"/>
      <c r="G737" s="4"/>
      <c r="H737" s="4"/>
      <c r="I737" s="4"/>
      <c r="J737" s="4"/>
      <c r="K737" s="4"/>
      <c r="L737" s="4"/>
    </row>
    <row r="738" ht="15.75" customHeight="1">
      <c r="A738" s="4" t="str">
        <f>IFERROR(__xludf.DUMMYFUNCTION("""COMPUTED_VALUE"""),"Allocation")</f>
        <v>Allocation</v>
      </c>
      <c r="B738" s="4" t="str">
        <f>IFERROR(__xludf.DUMMYFUNCTION("""COMPUTED_VALUE"""),"VerifyAllocationNavLockPopup")</f>
        <v>VerifyAllocationNavLockPopup</v>
      </c>
      <c r="C738" s="4" t="str">
        <f>IFERROR(__xludf.DUMMYFUNCTION("""COMPUTED_VALUE"""),"1nlDKsMtQr89ys6-s3fNyeXJhd3KY9s6Hzaoil52avTI")</f>
        <v>1nlDKsMtQr89ys6-s3fNyeXJhd3KY9s6Hzaoil52avTI</v>
      </c>
      <c r="D738" s="4"/>
      <c r="E738" s="4"/>
      <c r="F738" s="4"/>
      <c r="G738" s="4"/>
      <c r="H738" s="4"/>
      <c r="I738" s="4"/>
      <c r="J738" s="4"/>
      <c r="K738" s="4"/>
      <c r="L738" s="4"/>
    </row>
    <row r="739" ht="15.75" customHeight="1">
      <c r="A739" s="4" t="str">
        <f>IFERROR(__xludf.DUMMYFUNCTION("""COMPUTED_VALUE"""),"RTPNL")</f>
        <v>RTPNL</v>
      </c>
      <c r="B739" s="4" t="str">
        <f>IFERROR(__xludf.DUMMYFUNCTION("""COMPUTED_VALUE"""),"ConfigureWidget")</f>
        <v>ConfigureWidget</v>
      </c>
      <c r="C739" s="4" t="str">
        <f>IFERROR(__xludf.DUMMYFUNCTION("""COMPUTED_VALUE"""),"1W6yBhMOu0wchoi8WJBVKvPLgngkTy6xSOF5JPGpCiJM")</f>
        <v>1W6yBhMOu0wchoi8WJBVKvPLgngkTy6xSOF5JPGpCiJM</v>
      </c>
      <c r="D739" s="4"/>
      <c r="E739" s="4"/>
      <c r="F739" s="4"/>
      <c r="G739" s="4"/>
      <c r="H739" s="4"/>
      <c r="I739" s="4"/>
      <c r="J739" s="4"/>
      <c r="K739" s="4"/>
      <c r="L739" s="4"/>
    </row>
    <row r="740" ht="15.75" customHeight="1">
      <c r="A740" s="4" t="str">
        <f>IFERROR(__xludf.DUMMYFUNCTION("""COMPUTED_VALUE"""),"CreateTransaction")</f>
        <v>CreateTransaction</v>
      </c>
      <c r="B740" s="4" t="str">
        <f>IFERROR(__xludf.DUMMYFUNCTION("""COMPUTED_VALUE"""),"VerifyCTNavLockPopup")</f>
        <v>VerifyCTNavLockPopup</v>
      </c>
      <c r="C740" s="4" t="str">
        <f>IFERROR(__xludf.DUMMYFUNCTION("""COMPUTED_VALUE"""),"144sdIKvp1IYBLo1BR5xnXjJV08MEYXOtOle_BzmZysU")</f>
        <v>144sdIKvp1IYBLo1BR5xnXjJV08MEYXOtOle_BzmZysU</v>
      </c>
      <c r="D740" s="4"/>
      <c r="E740" s="4"/>
      <c r="F740" s="4"/>
      <c r="G740" s="4"/>
      <c r="H740" s="4"/>
      <c r="I740" s="4"/>
      <c r="J740" s="4"/>
      <c r="K740" s="4"/>
      <c r="L740" s="4"/>
    </row>
    <row r="741" ht="15.75" customHeight="1">
      <c r="A741" s="4" t="str">
        <f>IFERROR(__xludf.DUMMYFUNCTION("""COMPUTED_VALUE"""),"DailyValuation")</f>
        <v>DailyValuation</v>
      </c>
      <c r="B741" s="4" t="str">
        <f>IFERROR(__xludf.DUMMYFUNCTION("""COMPUTED_VALUE"""),"VerifyDVNavLockPopup")</f>
        <v>VerifyDVNavLockPopup</v>
      </c>
      <c r="C741" s="4" t="str">
        <f>IFERROR(__xludf.DUMMYFUNCTION("""COMPUTED_VALUE"""),"1rXDKRADphBVDpGsYUs6Jq5ugHFrpJ_qRur3VkVbGwV4")</f>
        <v>1rXDKRADphBVDpGsYUs6Jq5ugHFrpJ_qRur3VkVbGwV4</v>
      </c>
      <c r="D741" s="4"/>
      <c r="E741" s="4"/>
      <c r="F741" s="4"/>
      <c r="G741" s="4"/>
      <c r="H741" s="4"/>
      <c r="I741" s="4"/>
      <c r="J741" s="4"/>
      <c r="K741" s="4"/>
      <c r="L741" s="4"/>
    </row>
    <row r="742" ht="15.75" customHeight="1">
      <c r="A742" s="4" t="str">
        <f>IFERROR(__xludf.DUMMYFUNCTION("""COMPUTED_VALUE"""),"GeneralLedger")</f>
        <v>GeneralLedger</v>
      </c>
      <c r="B742" s="4" t="str">
        <f>IFERROR(__xludf.DUMMYFUNCTION("""COMPUTED_VALUE"""),"VerifyGLNavLockPopup")</f>
        <v>VerifyGLNavLockPopup</v>
      </c>
      <c r="C742" s="4" t="str">
        <f>IFERROR(__xludf.DUMMYFUNCTION("""COMPUTED_VALUE"""),"13qCmJnkjFZw_O4n_dVKtJg-5eOkymkypG_MjQGuuNAo")</f>
        <v>13qCmJnkjFZw_O4n_dVKtJg-5eOkymkypG_MjQGuuNAo</v>
      </c>
      <c r="D742" s="4"/>
      <c r="E742" s="4"/>
      <c r="F742" s="4"/>
      <c r="G742" s="4"/>
      <c r="H742" s="4"/>
      <c r="I742" s="4"/>
      <c r="J742" s="4"/>
      <c r="K742" s="4"/>
      <c r="L742" s="4"/>
    </row>
    <row r="743" ht="15.75" customHeight="1">
      <c r="A743" s="4" t="str">
        <f>IFERROR(__xludf.DUMMYFUNCTION("""COMPUTED_VALUE"""),"Import")</f>
        <v>Import</v>
      </c>
      <c r="B743" s="4" t="str">
        <f>IFERROR(__xludf.DUMMYFUNCTION("""COMPUTED_VALUE"""),"VerifyImportNavLockPopup")</f>
        <v>VerifyImportNavLockPopup</v>
      </c>
      <c r="C743" s="4" t="str">
        <f>IFERROR(__xludf.DUMMYFUNCTION("""COMPUTED_VALUE"""),"1pXdTBlTEvtcQUfX_APkVY3rRe3gVlj4Sk_Jyd6F4sNM")</f>
        <v>1pXdTBlTEvtcQUfX_APkVY3rRe3gVlj4Sk_Jyd6F4sNM</v>
      </c>
      <c r="D743" s="4"/>
      <c r="E743" s="4"/>
      <c r="F743" s="4"/>
      <c r="G743" s="4"/>
      <c r="H743" s="4"/>
      <c r="I743" s="4"/>
      <c r="J743" s="4"/>
      <c r="K743" s="4"/>
      <c r="L743" s="4"/>
    </row>
    <row r="744" ht="15.75" customHeight="1">
      <c r="A744" s="4" t="str">
        <f>IFERROR(__xludf.DUMMYFUNCTION("""COMPUTED_VALUE"""),"MultiTradingTicket")</f>
        <v>MultiTradingTicket</v>
      </c>
      <c r="B744" s="4" t="str">
        <f>IFERROR(__xludf.DUMMYFUNCTION("""COMPUTED_VALUE"""),"VerifyMTTNavLockPopup")</f>
        <v>VerifyMTTNavLockPopup</v>
      </c>
      <c r="C744" s="4" t="str">
        <f>IFERROR(__xludf.DUMMYFUNCTION("""COMPUTED_VALUE"""),"1hzuWfGgMcTuN77JdNWDiNq95xYqAIxYrqdk47goXdlc")</f>
        <v>1hzuWfGgMcTuN77JdNWDiNq95xYqAIxYrqdk47goXdlc</v>
      </c>
      <c r="D744" s="4"/>
      <c r="E744" s="4"/>
      <c r="F744" s="4"/>
      <c r="G744" s="4"/>
      <c r="H744" s="4"/>
      <c r="I744" s="4"/>
      <c r="J744" s="4"/>
      <c r="K744" s="4"/>
      <c r="L744" s="4"/>
    </row>
    <row r="745" ht="15.75" customHeight="1">
      <c r="A745" s="4" t="str">
        <f>IFERROR(__xludf.DUMMYFUNCTION("""COMPUTED_VALUE"""),"PricingInput")</f>
        <v>PricingInput</v>
      </c>
      <c r="B745" s="4" t="str">
        <f>IFERROR(__xludf.DUMMYFUNCTION("""COMPUTED_VALUE"""),"VerifyPINavLockPopup")</f>
        <v>VerifyPINavLockPopup</v>
      </c>
      <c r="C745" s="4" t="str">
        <f>IFERROR(__xludf.DUMMYFUNCTION("""COMPUTED_VALUE"""),"1MqKw1Z4nex0wIRjcW-Lhchpv8ZsSNuruz2cszeIP01M")</f>
        <v>1MqKw1Z4nex0wIRjcW-Lhchpv8ZsSNuruz2cszeIP01M</v>
      </c>
      <c r="D745" s="4"/>
      <c r="E745" s="4"/>
      <c r="F745" s="4"/>
      <c r="G745" s="4"/>
      <c r="H745" s="4"/>
      <c r="I745" s="4"/>
      <c r="J745" s="4"/>
      <c r="K745" s="4"/>
      <c r="L745" s="4"/>
    </row>
    <row r="746" ht="15.75" customHeight="1">
      <c r="A746" s="4" t="str">
        <f>IFERROR(__xludf.DUMMYFUNCTION("""COMPUTED_VALUE"""),"ShortLocate")</f>
        <v>ShortLocate</v>
      </c>
      <c r="B746" s="4" t="str">
        <f>IFERROR(__xludf.DUMMYFUNCTION("""COMPUTED_VALUE"""),"VerifySLNavLockPopup")</f>
        <v>VerifySLNavLockPopup</v>
      </c>
      <c r="C746" s="4" t="str">
        <f>IFERROR(__xludf.DUMMYFUNCTION("""COMPUTED_VALUE"""),"1sBI9JpwaQW2KTgfDWaY7h3xdvzXzeqjaP8_Vml6QbTo")</f>
        <v>1sBI9JpwaQW2KTgfDWaY7h3xdvzXzeqjaP8_Vml6QbTo</v>
      </c>
      <c r="D746" s="4"/>
      <c r="E746" s="4"/>
      <c r="F746" s="4"/>
      <c r="G746" s="4"/>
      <c r="H746" s="4"/>
      <c r="I746" s="4"/>
      <c r="J746" s="4"/>
      <c r="K746" s="4"/>
      <c r="L746" s="4"/>
    </row>
    <row r="747" ht="15.75" customHeight="1">
      <c r="A747" s="4" t="str">
        <f>IFERROR(__xludf.DUMMYFUNCTION("""COMPUTED_VALUE"""),"TradingTicket")</f>
        <v>TradingTicket</v>
      </c>
      <c r="B747" s="4" t="str">
        <f>IFERROR(__xludf.DUMMYFUNCTION("""COMPUTED_VALUE"""),"VerifyTTNavLockPopup")</f>
        <v>VerifyTTNavLockPopup</v>
      </c>
      <c r="C747" s="4" t="str">
        <f>IFERROR(__xludf.DUMMYFUNCTION("""COMPUTED_VALUE"""),"15lRx1SPPsy7nykR6nVYUadOnwKG80Q6OfxTDuQ_dvXI")</f>
        <v>15lRx1SPPsy7nykR6nVYUadOnwKG80Q6OfxTDuQ_dvXI</v>
      </c>
      <c r="D747" s="4"/>
      <c r="E747" s="4"/>
      <c r="F747" s="4"/>
      <c r="G747" s="4"/>
      <c r="H747" s="4"/>
      <c r="I747" s="4"/>
      <c r="J747" s="4"/>
      <c r="K747" s="4"/>
      <c r="L747" s="4"/>
    </row>
    <row r="748" ht="15.75" customHeight="1">
      <c r="A748" s="4" t="str">
        <f>IFERROR(__xludf.DUMMYFUNCTION("""COMPUTED_VALUE"""),"Blotter")</f>
        <v>Blotter</v>
      </c>
      <c r="B748" s="4" t="str">
        <f>IFERROR(__xludf.DUMMYFUNCTION("""COMPUTED_VALUE"""),"VerifyBlotterNavLockPopup")</f>
        <v>VerifyBlotterNavLockPopup</v>
      </c>
      <c r="C748" s="4" t="str">
        <f>IFERROR(__xludf.DUMMYFUNCTION("""COMPUTED_VALUE"""),"1NXDngJ54gfiJxrqVxgbEYZ7hW3c4kquifXR6Lg7EK5Y")</f>
        <v>1NXDngJ54gfiJxrqVxgbEYZ7hW3c4kquifXR6Lg7EK5Y</v>
      </c>
      <c r="D748" s="4"/>
      <c r="E748" s="4"/>
      <c r="F748" s="4"/>
      <c r="G748" s="4"/>
      <c r="H748" s="4"/>
      <c r="I748" s="4"/>
      <c r="J748" s="4"/>
      <c r="K748" s="4"/>
      <c r="L748" s="4"/>
    </row>
    <row r="749" ht="15.75" customHeight="1">
      <c r="A749" s="4" t="str">
        <f>IFERROR(__xludf.DUMMYFUNCTION("""COMPUTED_VALUE"""),"Closing")</f>
        <v>Closing</v>
      </c>
      <c r="B749" s="4" t="str">
        <f>IFERROR(__xludf.DUMMYFUNCTION("""COMPUTED_VALUE"""),"VerifyClosingNavLockPopup")</f>
        <v>VerifyClosingNavLockPopup</v>
      </c>
      <c r="C749" s="4" t="str">
        <f>IFERROR(__xludf.DUMMYFUNCTION("""COMPUTED_VALUE"""),"1AR0JbTGvV_W-vRVG60LJNAab-sFlfdBFwEtZpVYEMPo")</f>
        <v>1AR0JbTGvV_W-vRVG60LJNAab-sFlfdBFwEtZpVYEMPo</v>
      </c>
      <c r="D749" s="4"/>
      <c r="E749" s="4"/>
      <c r="F749" s="4"/>
      <c r="G749" s="4"/>
      <c r="H749" s="4"/>
      <c r="I749" s="4"/>
      <c r="J749" s="4"/>
      <c r="K749" s="4"/>
      <c r="L749" s="4"/>
    </row>
    <row r="750" ht="15.75" customHeight="1">
      <c r="A750" s="4" t="str">
        <f>IFERROR(__xludf.DUMMYFUNCTION("""COMPUTED_VALUE"""),"RTPNL")</f>
        <v>RTPNL</v>
      </c>
      <c r="B750" s="4" t="str">
        <f>IFERROR(__xludf.DUMMYFUNCTION("""COMPUTED_VALUE"""),"ChangeWidgetView")</f>
        <v>ChangeWidgetView</v>
      </c>
      <c r="C750" s="4" t="str">
        <f>IFERROR(__xludf.DUMMYFUNCTION("""COMPUTED_VALUE"""),"1PKf_qqqp1j7_MkyduQmNqqaKdDFTgjuq1ApwaDumMj0")</f>
        <v>1PKf_qqqp1j7_MkyduQmNqqaKdDFTgjuq1ApwaDumMj0</v>
      </c>
      <c r="D750" s="4"/>
      <c r="E750" s="4"/>
      <c r="F750" s="4"/>
      <c r="G750" s="4"/>
      <c r="H750" s="4"/>
      <c r="I750" s="4"/>
      <c r="J750" s="4"/>
      <c r="K750" s="4"/>
      <c r="L750" s="4"/>
    </row>
    <row r="751" ht="15.75" customHeight="1">
      <c r="A751" s="4" t="str">
        <f>IFERROR(__xludf.DUMMYFUNCTION("""COMPUTED_VALUE"""),"NavLock")</f>
        <v>NavLock</v>
      </c>
      <c r="B751" s="4" t="str">
        <f>IFERROR(__xludf.DUMMYFUNCTION("""COMPUTED_VALUE"""),"VerifyNavLockPopup")</f>
        <v>VerifyNavLockPopup</v>
      </c>
      <c r="C751" s="4" t="str">
        <f>IFERROR(__xludf.DUMMYFUNCTION("""COMPUTED_VALUE"""),"1BZhGha4iLlieCbbyTcPylU2maLzwgdHAfTO198z-aX8")</f>
        <v>1BZhGha4iLlieCbbyTcPylU2maLzwgdHAfTO198z-aX8</v>
      </c>
      <c r="D751" s="4"/>
      <c r="E751" s="4"/>
      <c r="F751" s="4"/>
      <c r="G751" s="4"/>
      <c r="H751" s="4"/>
      <c r="I751" s="4"/>
      <c r="J751" s="4"/>
      <c r="K751" s="4"/>
      <c r="L751" s="4"/>
    </row>
    <row r="752" ht="15.75" customHeight="1">
      <c r="A752" s="4" t="str">
        <f>IFERROR(__xludf.DUMMYFUNCTION("""COMPUTED_VALUE"""),"NavLock")</f>
        <v>NavLock</v>
      </c>
      <c r="B752" s="4" t="str">
        <f>IFERROR(__xludf.DUMMYFUNCTION("""COMPUTED_VALUE"""),"VerifyRowsNavLock")</f>
        <v>VerifyRowsNavLock</v>
      </c>
      <c r="C752" s="4" t="str">
        <f>IFERROR(__xludf.DUMMYFUNCTION("""COMPUTED_VALUE"""),"12Dl3x2X_C-RCm3K5RkyuRq_t8lxeYk98IQBRrsF9WLU")</f>
        <v>12Dl3x2X_C-RCm3K5RkyuRq_t8lxeYk98IQBRrsF9WLU</v>
      </c>
      <c r="D752" s="4"/>
      <c r="E752" s="4"/>
      <c r="F752" s="4"/>
      <c r="G752" s="4"/>
      <c r="H752" s="4"/>
      <c r="I752" s="4"/>
      <c r="J752" s="4"/>
      <c r="K752" s="4"/>
      <c r="L752" s="4"/>
    </row>
    <row r="753" ht="15.75" customHeight="1">
      <c r="A753" s="4" t="str">
        <f>IFERROR(__xludf.DUMMYFUNCTION("""COMPUTED_VALUE"""),"Blotter")</f>
        <v>Blotter</v>
      </c>
      <c r="B753" s="4" t="str">
        <f>IFERROR(__xludf.DUMMYFUNCTION("""COMPUTED_VALUE"""),"CustomTabActions")</f>
        <v>CustomTabActions</v>
      </c>
      <c r="C753" s="4" t="str">
        <f>IFERROR(__xludf.DUMMYFUNCTION("""COMPUTED_VALUE"""),"163hnSm9KTeABqdRxsfyyCsrxGVcrGd0nCGT4WqLsJ9Q")</f>
        <v>163hnSm9KTeABqdRxsfyyCsrxGVcrGd0nCGT4WqLsJ9Q</v>
      </c>
      <c r="D753" s="4"/>
      <c r="E753" s="4"/>
      <c r="F753" s="4"/>
      <c r="G753" s="4"/>
      <c r="H753" s="4"/>
      <c r="I753" s="4"/>
      <c r="J753" s="4"/>
      <c r="K753" s="4"/>
      <c r="L753" s="4"/>
    </row>
    <row r="754" ht="15.75" customHeight="1">
      <c r="A754" s="4" t="str">
        <f>IFERROR(__xludf.DUMMYFUNCTION("""COMPUTED_VALUE"""),"Blotter")</f>
        <v>Blotter</v>
      </c>
      <c r="B754" s="4" t="str">
        <f>IFERROR(__xludf.DUMMYFUNCTION("""COMPUTED_VALUE"""),"VerifyAllocationWindow")</f>
        <v>VerifyAllocationWindow</v>
      </c>
      <c r="C754" s="4" t="str">
        <f>IFERROR(__xludf.DUMMYFUNCTION("""COMPUTED_VALUE"""),"1DUwxSUq_47EK60XmK3LOdCXa1fkWqWJE9bLuGS3ccv4")</f>
        <v>1DUwxSUq_47EK60XmK3LOdCXa1fkWqWJE9bLuGS3ccv4</v>
      </c>
      <c r="D754" s="4"/>
      <c r="E754" s="4"/>
      <c r="F754" s="4"/>
      <c r="G754" s="4"/>
      <c r="H754" s="4"/>
      <c r="I754" s="4"/>
      <c r="J754" s="4"/>
      <c r="K754" s="4"/>
      <c r="L754" s="4"/>
    </row>
    <row r="755" ht="15.75" customHeight="1">
      <c r="A755" s="4" t="str">
        <f>IFERROR(__xludf.DUMMYFUNCTION("""COMPUTED_VALUE"""),"OpenFin")</f>
        <v>OpenFin</v>
      </c>
      <c r="B755" s="4" t="str">
        <f>IFERROR(__xludf.DUMMYFUNCTION("""COMPUTED_VALUE"""),"SavePageView")</f>
        <v>SavePageView</v>
      </c>
      <c r="C755" s="4" t="str">
        <f>IFERROR(__xludf.DUMMYFUNCTION("""COMPUTED_VALUE"""),"1wFFzsxWBm8VT5o4pz2dFosHS72pEaQuVZFVkiVeZE9w")</f>
        <v>1wFFzsxWBm8VT5o4pz2dFosHS72pEaQuVZFVkiVeZE9w</v>
      </c>
      <c r="D755" s="4"/>
      <c r="E755" s="4"/>
      <c r="F755" s="4"/>
      <c r="G755" s="4"/>
      <c r="H755" s="4"/>
      <c r="I755" s="4"/>
      <c r="J755" s="4"/>
      <c r="K755" s="4"/>
      <c r="L755" s="4"/>
    </row>
    <row r="756" ht="15.75" customHeight="1">
      <c r="A756" s="4" t="str">
        <f>IFERROR(__xludf.DUMMYFUNCTION("""COMPUTED_VALUE"""),"OpenFin")</f>
        <v>OpenFin</v>
      </c>
      <c r="B756" s="4" t="str">
        <f>IFERROR(__xludf.DUMMYFUNCTION("""COMPUTED_VALUE"""),"ActionOnPageFromSearch")</f>
        <v>ActionOnPageFromSearch</v>
      </c>
      <c r="C756" s="4" t="str">
        <f>IFERROR(__xludf.DUMMYFUNCTION("""COMPUTED_VALUE"""),"1jCpG4ETPp9dfvh-Ymdex8Mb3Taz9sYrOR-1uBd5Ceyc")</f>
        <v>1jCpG4ETPp9dfvh-Ymdex8Mb3Taz9sYrOR-1uBd5Ceyc</v>
      </c>
      <c r="D756" s="4"/>
      <c r="E756" s="4"/>
      <c r="F756" s="4"/>
      <c r="G756" s="4"/>
      <c r="H756" s="4"/>
      <c r="I756" s="4"/>
      <c r="J756" s="4"/>
      <c r="K756" s="4"/>
      <c r="L756" s="4"/>
    </row>
    <row r="757" ht="15.75" customHeight="1">
      <c r="A757" s="4" t="str">
        <f>IFERROR(__xludf.DUMMYFUNCTION("""COMPUTED_VALUE"""),"OpenFin")</f>
        <v>OpenFin</v>
      </c>
      <c r="B757" s="4" t="str">
        <f>IFERROR(__xludf.DUMMYFUNCTION("""COMPUTED_VALUE"""),"ChangeThemeOnModule")</f>
        <v>ChangeThemeOnModule</v>
      </c>
      <c r="C757" s="4" t="str">
        <f>IFERROR(__xludf.DUMMYFUNCTION("""COMPUTED_VALUE"""),"1KKiVG313VPgZZadw3-GZ4Cbt7wTwEPpmyGsp3MHFp9Q")</f>
        <v>1KKiVG313VPgZZadw3-GZ4Cbt7wTwEPpmyGsp3MHFp9Q</v>
      </c>
      <c r="D757" s="4"/>
      <c r="E757" s="4"/>
      <c r="F757" s="4"/>
      <c r="G757" s="4"/>
      <c r="H757" s="4"/>
      <c r="I757" s="4"/>
      <c r="J757" s="4"/>
      <c r="K757" s="4"/>
      <c r="L757" s="4"/>
    </row>
    <row r="758" ht="15.75" customHeight="1">
      <c r="A758" s="4" t="str">
        <f>IFERROR(__xludf.DUMMYFUNCTION("""COMPUTED_VALUE"""),"PranaClient")</f>
        <v>PranaClient</v>
      </c>
      <c r="B758" s="4" t="str">
        <f>IFERROR(__xludf.DUMMYFUNCTION("""COMPUTED_VALUE"""),"MoveFile")</f>
        <v>MoveFile</v>
      </c>
      <c r="C758" s="4" t="str">
        <f>IFERROR(__xludf.DUMMYFUNCTION("""COMPUTED_VALUE"""),"1BBCKN3cBzJgvZqLoHeAi1YmxeNaesC7YrayWsYVuQeU")</f>
        <v>1BBCKN3cBzJgvZqLoHeAi1YmxeNaesC7YrayWsYVuQeU</v>
      </c>
      <c r="D758" s="4"/>
      <c r="E758" s="4"/>
      <c r="F758" s="4"/>
      <c r="G758" s="4"/>
      <c r="H758" s="4"/>
      <c r="I758" s="4"/>
      <c r="J758" s="4"/>
      <c r="K758" s="4"/>
      <c r="L758" s="4"/>
    </row>
    <row r="759" ht="15.75" customHeight="1">
      <c r="A759" s="4" t="str">
        <f>IFERROR(__xludf.DUMMYFUNCTION("""COMPUTED_VALUE"""),"OpenFin")</f>
        <v>OpenFin</v>
      </c>
      <c r="B759" s="4" t="str">
        <f>IFERROR(__xludf.DUMMYFUNCTION("""COMPUTED_VALUE"""),"CloseService")</f>
        <v>CloseService</v>
      </c>
      <c r="C759" s="4" t="str">
        <f>IFERROR(__xludf.DUMMYFUNCTION("""COMPUTED_VALUE"""),"1YXPx62dgEZ9yV5qKkFLgWipyvziAW1SJVEqhiNHEONM")</f>
        <v>1YXPx62dgEZ9yV5qKkFLgWipyvziAW1SJVEqhiNHEONM</v>
      </c>
      <c r="D759" s="4"/>
      <c r="E759" s="4"/>
      <c r="F759" s="4"/>
      <c r="G759" s="4"/>
      <c r="H759" s="4"/>
      <c r="I759" s="4"/>
      <c r="J759" s="4"/>
      <c r="K759" s="4"/>
      <c r="L759" s="4"/>
    </row>
    <row r="760" ht="15.75" customHeight="1">
      <c r="A760" s="4" t="str">
        <f>IFERROR(__xludf.DUMMYFUNCTION("""COMPUTED_VALUE"""),"OpenFin")</f>
        <v>OpenFin</v>
      </c>
      <c r="B760" s="4" t="str">
        <f>IFERROR(__xludf.DUMMYFUNCTION("""COMPUTED_VALUE"""),"LogOutSamsara")</f>
        <v>LogOutSamsara</v>
      </c>
      <c r="C760" s="4" t="str">
        <f>IFERROR(__xludf.DUMMYFUNCTION("""COMPUTED_VALUE"""),"1AHqtQRX4cdwOByK5Ip_T2FJlZFaU23rmiDk0afFhfaY")</f>
        <v>1AHqtQRX4cdwOByK5Ip_T2FJlZFaU23rmiDk0afFhfaY</v>
      </c>
      <c r="D760" s="4"/>
      <c r="E760" s="4"/>
      <c r="F760" s="4"/>
      <c r="G760" s="4"/>
      <c r="H760" s="4"/>
      <c r="I760" s="4"/>
      <c r="J760" s="4"/>
      <c r="K760" s="4"/>
      <c r="L760" s="4"/>
    </row>
    <row r="761" ht="15.75" customHeight="1">
      <c r="A761" s="4" t="str">
        <f>IFERROR(__xludf.DUMMYFUNCTION("""COMPUTED_VALUE"""),"QTT")</f>
        <v>QTT</v>
      </c>
      <c r="B761" s="4" t="str">
        <f>IFERROR(__xludf.DUMMYFUNCTION("""COMPUTED_VALUE"""),"TradeQTT")</f>
        <v>TradeQTT</v>
      </c>
      <c r="C761" s="4" t="str">
        <f>IFERROR(__xludf.DUMMYFUNCTION("""COMPUTED_VALUE"""),"1-5lKqkX57JBaCsmy3TeMGKEVsjNdXnqCttYvBHsfJ14")</f>
        <v>1-5lKqkX57JBaCsmy3TeMGKEVsjNdXnqCttYvBHsfJ14</v>
      </c>
      <c r="D761" s="4"/>
      <c r="E761" s="4"/>
      <c r="F761" s="4"/>
      <c r="G761" s="4"/>
      <c r="H761" s="4"/>
      <c r="I761" s="4"/>
      <c r="J761" s="4"/>
      <c r="K761" s="4"/>
      <c r="L761" s="4"/>
    </row>
    <row r="762" ht="15.75" customHeight="1">
      <c r="A762" s="4" t="str">
        <f>IFERROR(__xludf.DUMMYFUNCTION("""COMPUTED_VALUE"""),"TradingTicket")</f>
        <v>TradingTicket</v>
      </c>
      <c r="B762" s="4" t="str">
        <f>IFERROR(__xludf.DUMMYFUNCTION("""COMPUTED_VALUE"""),"VerifyCustomAllocationSecondUI")</f>
        <v>VerifyCustomAllocationSecondUI</v>
      </c>
      <c r="C762" s="4" t="str">
        <f>IFERROR(__xludf.DUMMYFUNCTION("""COMPUTED_VALUE"""),"1AL5eBNcstEo3uS52PLH2Duzff-16gDD2eEJx_augMtM")</f>
        <v>1AL5eBNcstEo3uS52PLH2Duzff-16gDD2eEJx_augMtM</v>
      </c>
      <c r="D762" s="4"/>
      <c r="E762" s="4"/>
      <c r="F762" s="4"/>
      <c r="G762" s="4"/>
      <c r="H762" s="4"/>
      <c r="I762" s="4"/>
      <c r="J762" s="4"/>
      <c r="K762" s="4"/>
      <c r="L762" s="4"/>
    </row>
    <row r="763" ht="15.75" customHeight="1">
      <c r="A763" s="4" t="str">
        <f>IFERROR(__xludf.DUMMYFUNCTION("""COMPUTED_VALUE"""),"Blotter")</f>
        <v>Blotter</v>
      </c>
      <c r="B763" s="4" t="str">
        <f>IFERROR(__xludf.DUMMYFUNCTION("""COMPUTED_VALUE"""),"VerifyViewAllocationOrder")</f>
        <v>VerifyViewAllocationOrder</v>
      </c>
      <c r="C763" s="4" t="str">
        <f>IFERROR(__xludf.DUMMYFUNCTION("""COMPUTED_VALUE"""),"1I3aVj-PRyRug4M5EDTw8espL6CeDhXPCYr5qa2gbwZk")</f>
        <v>1I3aVj-PRyRug4M5EDTw8espL6CeDhXPCYr5qa2gbwZk</v>
      </c>
      <c r="D763" s="4"/>
      <c r="E763" s="4"/>
      <c r="F763" s="4"/>
      <c r="G763" s="4"/>
      <c r="H763" s="4"/>
      <c r="I763" s="4"/>
      <c r="J763" s="4"/>
      <c r="K763" s="4"/>
      <c r="L763" s="4"/>
    </row>
    <row r="764" ht="15.75" customHeight="1">
      <c r="A764" s="4" t="str">
        <f>IFERROR(__xludf.DUMMYFUNCTION("""COMPUTED_VALUE"""),"QTT")</f>
        <v>QTT</v>
      </c>
      <c r="B764" s="4" t="str">
        <f>IFERROR(__xludf.DUMMYFUNCTION("""COMPUTED_VALUE"""),"UseOrVerifyHotKeys")</f>
        <v>UseOrVerifyHotKeys</v>
      </c>
      <c r="C764" s="4" t="str">
        <f>IFERROR(__xludf.DUMMYFUNCTION("""COMPUTED_VALUE"""),"1ajjcbjqpEui4y62RzfJ-6ARI0W8GAhrdUmWCOsG_ovE")</f>
        <v>1ajjcbjqpEui4y62RzfJ-6ARI0W8GAhrdUmWCOsG_ovE</v>
      </c>
      <c r="D764" s="4"/>
      <c r="E764" s="4"/>
      <c r="F764" s="4"/>
      <c r="G764" s="4"/>
      <c r="H764" s="4"/>
      <c r="I764" s="4"/>
      <c r="J764" s="4"/>
      <c r="K764" s="4"/>
      <c r="L764" s="4"/>
    </row>
    <row r="765" ht="15.75" customHeight="1">
      <c r="A765" s="4" t="str">
        <f>IFERROR(__xludf.DUMMYFUNCTION("""COMPUTED_VALUE"""),"TradingTicket")</f>
        <v>TradingTicket</v>
      </c>
      <c r="B765" s="4" t="str">
        <f>IFERROR(__xludf.DUMMYFUNCTION("""COMPUTED_VALUE"""),"ShortLocateFromTT")</f>
        <v>ShortLocateFromTT</v>
      </c>
      <c r="C765" s="4" t="str">
        <f>IFERROR(__xludf.DUMMYFUNCTION("""COMPUTED_VALUE"""),"1saPgjE09_MBiqASRTSQboRMwRdUlFv6nzTocBZeFm-I")</f>
        <v>1saPgjE09_MBiqASRTSQboRMwRdUlFv6nzTocBZeFm-I</v>
      </c>
      <c r="D765" s="4"/>
      <c r="E765" s="4"/>
      <c r="F765" s="4"/>
      <c r="G765" s="4"/>
      <c r="H765" s="4"/>
      <c r="I765" s="4"/>
      <c r="J765" s="4"/>
      <c r="K765" s="4"/>
      <c r="L765" s="4"/>
    </row>
    <row r="766" ht="15.75" customHeight="1">
      <c r="A766" s="4" t="str">
        <f>IFERROR(__xludf.DUMMYFUNCTION("""COMPUTED_VALUE"""),"TradingTicket")</f>
        <v>TradingTicket</v>
      </c>
      <c r="B766" s="4" t="str">
        <f>IFERROR(__xludf.DUMMYFUNCTION("""COMPUTED_VALUE"""),"VerifyShortLocateWindowOnTT")</f>
        <v>VerifyShortLocateWindowOnTT</v>
      </c>
      <c r="C766" s="4" t="str">
        <f>IFERROR(__xludf.DUMMYFUNCTION("""COMPUTED_VALUE"""),"1ljyVPm21FKmOvEmG0-JvPMTBuyG89a_7EGFToCoHgI4")</f>
        <v>1ljyVPm21FKmOvEmG0-JvPMTBuyG89a_7EGFToCoHgI4</v>
      </c>
      <c r="D766" s="4"/>
      <c r="E766" s="4"/>
      <c r="F766" s="4"/>
      <c r="G766" s="4"/>
      <c r="H766" s="4"/>
      <c r="I766" s="4"/>
      <c r="J766" s="4"/>
      <c r="K766" s="4"/>
      <c r="L766" s="4"/>
    </row>
    <row r="767" ht="15.75" customHeight="1">
      <c r="A767" s="4" t="str">
        <f>IFERROR(__xludf.DUMMYFUNCTION("""COMPUTED_VALUE"""),"TradingTicket")</f>
        <v>TradingTicket</v>
      </c>
      <c r="B767" s="4" t="str">
        <f>IFERROR(__xludf.DUMMYFUNCTION("""COMPUTED_VALUE"""),"AlgoUIOperations")</f>
        <v>AlgoUIOperations</v>
      </c>
      <c r="C767" s="4" t="str">
        <f>IFERROR(__xludf.DUMMYFUNCTION("""COMPUTED_VALUE"""),"1uln1YXeeB893lpbmhI194peJcUUj4ODFhdM1AYcTVJo")</f>
        <v>1uln1YXeeB893lpbmhI194peJcUUj4ODFhdM1AYcTVJo</v>
      </c>
      <c r="D767" s="4"/>
      <c r="E767" s="4"/>
      <c r="F767" s="4"/>
      <c r="G767" s="4"/>
      <c r="H767" s="4"/>
      <c r="I767" s="4"/>
      <c r="J767" s="4"/>
      <c r="K767" s="4"/>
      <c r="L767" s="4"/>
    </row>
    <row r="768" ht="15.75" customHeight="1">
      <c r="A768" s="4" t="str">
        <f>IFERROR(__xludf.DUMMYFUNCTION("""COMPUTED_VALUE"""),"TradingTicket")</f>
        <v>TradingTicket</v>
      </c>
      <c r="B768" s="4" t="str">
        <f>IFERROR(__xludf.DUMMYFUNCTION("""COMPUTED_VALUE"""),"UpdateShortLocateFromTT")</f>
        <v>UpdateShortLocateFromTT</v>
      </c>
      <c r="C768" s="4" t="str">
        <f>IFERROR(__xludf.DUMMYFUNCTION("""COMPUTED_VALUE"""),"13hfddjE8Z-71LhiEXSLwqUDRw6EbnSTKZU2vgV_dwUA")</f>
        <v>13hfddjE8Z-71LhiEXSLwqUDRw6EbnSTKZU2vgV_dwUA</v>
      </c>
      <c r="D768" s="4"/>
      <c r="E768" s="4"/>
      <c r="F768" s="4"/>
      <c r="G768" s="4"/>
      <c r="H768" s="4"/>
      <c r="I768" s="4"/>
      <c r="J768" s="4"/>
      <c r="K768" s="4"/>
      <c r="L768" s="4"/>
    </row>
    <row r="769" ht="15.75" customHeight="1">
      <c r="A769" s="4" t="str">
        <f>IFERROR(__xludf.DUMMYFUNCTION("""COMPUTED_VALUE"""),"RTPNL")</f>
        <v>RTPNL</v>
      </c>
      <c r="B769" s="4" t="str">
        <f>IFERROR(__xludf.DUMMYFUNCTION("""COMPUTED_VALUE"""),"RenameTabs")</f>
        <v>RenameTabs</v>
      </c>
      <c r="C769" s="4" t="str">
        <f>IFERROR(__xludf.DUMMYFUNCTION("""COMPUTED_VALUE"""),"1K7LcioEl1sTwLRhqHc9go_7jNmUIRZNy9zBQLMgtBw8")</f>
        <v>1K7LcioEl1sTwLRhqHc9go_7jNmUIRZNy9zBQLMgtBw8</v>
      </c>
      <c r="D769" s="4"/>
      <c r="E769" s="4"/>
      <c r="F769" s="4"/>
      <c r="G769" s="4"/>
      <c r="H769" s="4"/>
      <c r="I769" s="4"/>
      <c r="J769" s="4"/>
      <c r="K769" s="4"/>
      <c r="L769" s="4"/>
    </row>
    <row r="770" ht="15.75" customHeight="1">
      <c r="A770" s="4" t="str">
        <f>IFERROR(__xludf.DUMMYFUNCTION("""COMPUTED_VALUE"""),"RTPNL")</f>
        <v>RTPNL</v>
      </c>
      <c r="B770" s="4" t="str">
        <f>IFERROR(__xludf.DUMMYFUNCTION("""COMPUTED_VALUE"""),"ResizeEnsure")</f>
        <v>ResizeEnsure</v>
      </c>
      <c r="C770" s="4" t="str">
        <f>IFERROR(__xludf.DUMMYFUNCTION("""COMPUTED_VALUE"""),"1-peVyQ_nIwd8owwmtDtNW-yx12KQx2nHeYee6duB46M")</f>
        <v>1-peVyQ_nIwd8owwmtDtNW-yx12KQx2nHeYee6duB46M</v>
      </c>
      <c r="D770" s="4"/>
      <c r="E770" s="4"/>
      <c r="F770" s="4"/>
      <c r="G770" s="4"/>
      <c r="H770" s="4"/>
      <c r="I770" s="4"/>
      <c r="J770" s="4"/>
      <c r="K770" s="4"/>
      <c r="L770" s="4"/>
    </row>
    <row r="771" ht="15.75" customHeight="1">
      <c r="A771" s="4" t="str">
        <f>IFERROR(__xludf.DUMMYFUNCTION("""COMPUTED_VALUE"""),"Admin")</f>
        <v>Admin</v>
      </c>
      <c r="B771" s="4" t="str">
        <f>IFERROR(__xludf.DUMMYFUNCTION("""COMPUTED_VALUE"""),"ClearRTPNLtabs")</f>
        <v>ClearRTPNLtabs</v>
      </c>
      <c r="C771" s="4" t="str">
        <f>IFERROR(__xludf.DUMMYFUNCTION("""COMPUTED_VALUE"""),"Undefined")</f>
        <v>Undefined</v>
      </c>
      <c r="D771" s="4"/>
      <c r="E771" s="4"/>
      <c r="F771" s="4"/>
      <c r="G771" s="4"/>
      <c r="H771" s="4"/>
      <c r="I771" s="4"/>
      <c r="J771" s="4"/>
      <c r="K771" s="4"/>
      <c r="L771" s="4"/>
    </row>
    <row r="772" ht="15.75" customHeight="1">
      <c r="A772" s="4" t="str">
        <f>IFERROR(__xludf.DUMMYFUNCTION("""COMPUTED_VALUE"""),"RTPNL")</f>
        <v>RTPNL</v>
      </c>
      <c r="B772" s="4" t="str">
        <f>IFERROR(__xludf.DUMMYFUNCTION("""COMPUTED_VALUE"""),"AddTabRTPNL")</f>
        <v>AddTabRTPNL</v>
      </c>
      <c r="C772" s="4" t="str">
        <f>IFERROR(__xludf.DUMMYFUNCTION("""COMPUTED_VALUE"""),"18kG7vS-CfSLW8Q-ho416lyPlP36XJPPHA0cRbCk3vjU")</f>
        <v>18kG7vS-CfSLW8Q-ho416lyPlP36XJPPHA0cRbCk3vjU</v>
      </c>
      <c r="D772" s="4"/>
      <c r="E772" s="4"/>
      <c r="F772" s="4"/>
      <c r="G772" s="4"/>
      <c r="H772" s="4"/>
      <c r="I772" s="4"/>
      <c r="J772" s="4"/>
      <c r="K772" s="4"/>
      <c r="L772" s="4"/>
    </row>
    <row r="773" ht="15.75" customHeight="1">
      <c r="A773" s="4" t="str">
        <f>IFERROR(__xludf.DUMMYFUNCTION("""COMPUTED_VALUE"""),"Blotter")</f>
        <v>Blotter</v>
      </c>
      <c r="B773" s="4" t="str">
        <f>IFERROR(__xludf.DUMMYFUNCTION("""COMPUTED_VALUE"""),"ResizeEnsureBlotter")</f>
        <v>ResizeEnsureBlotter</v>
      </c>
      <c r="C773" s="4" t="str">
        <f>IFERROR(__xludf.DUMMYFUNCTION("""COMPUTED_VALUE"""),"1Vu6zEtojqPkTWiW-oX7BwwpFj9Oi3-B6-sRrEsjiW0Y")</f>
        <v>1Vu6zEtojqPkTWiW-oX7BwwpFj9Oi3-B6-sRrEsjiW0Y</v>
      </c>
      <c r="D773" s="4"/>
      <c r="E773" s="4"/>
      <c r="F773" s="4"/>
      <c r="G773" s="4"/>
      <c r="H773" s="4"/>
      <c r="I773" s="4"/>
      <c r="J773" s="4"/>
      <c r="K773" s="4"/>
      <c r="L773" s="4"/>
    </row>
    <row r="774" ht="15.75" customHeight="1">
      <c r="A774" s="4" t="str">
        <f>IFERROR(__xludf.DUMMYFUNCTION("""COMPUTED_VALUE"""),"Admin")</f>
        <v>Admin</v>
      </c>
      <c r="B774" s="4" t="str">
        <f>IFERROR(__xludf.DUMMYFUNCTION("""COMPUTED_VALUE"""),"ConfigUpdater")</f>
        <v>ConfigUpdater</v>
      </c>
      <c r="C774" s="4" t="str">
        <f>IFERROR(__xludf.DUMMYFUNCTION("""COMPUTED_VALUE"""),"19IDTIIOkGl6qufGANtXkELRoXFIlWB3icM0G4IJ5mg4")</f>
        <v>19IDTIIOkGl6qufGANtXkELRoXFIlWB3icM0G4IJ5mg4</v>
      </c>
      <c r="D774" s="4"/>
      <c r="E774" s="4"/>
      <c r="F774" s="4"/>
      <c r="G774" s="4"/>
      <c r="H774" s="4"/>
      <c r="I774" s="4"/>
      <c r="J774" s="4"/>
      <c r="K774" s="4"/>
      <c r="L774" s="4"/>
    </row>
    <row r="775" ht="15.75" customHeight="1">
      <c r="A775" s="4" t="str">
        <f>IFERROR(__xludf.DUMMYFUNCTION("""COMPUTED_VALUE"""),"PortfolioManagement")</f>
        <v>PortfolioManagement</v>
      </c>
      <c r="B775" s="4" t="str">
        <f>IFERROR(__xludf.DUMMYFUNCTION("""COMPUTED_VALUE"""),"SelectTradeOnPM")</f>
        <v>SelectTradeOnPM</v>
      </c>
      <c r="C775" s="4" t="str">
        <f>IFERROR(__xludf.DUMMYFUNCTION("""COMPUTED_VALUE"""),"1_tBJjps2mULQyHra_AnC6BBvPbOko3FAY-kc11l7eTg")</f>
        <v>1_tBJjps2mULQyHra_AnC6BBvPbOko3FAY-kc11l7eTg</v>
      </c>
      <c r="D775" s="4"/>
      <c r="E775" s="4"/>
      <c r="F775" s="4"/>
      <c r="G775" s="4"/>
      <c r="H775" s="4"/>
      <c r="I775" s="4"/>
      <c r="J775" s="4"/>
      <c r="K775" s="4"/>
      <c r="L775" s="4"/>
    </row>
    <row r="776" ht="15.75" customHeight="1">
      <c r="A776" s="4" t="str">
        <f>IFERROR(__xludf.DUMMYFUNCTION("""COMPUTED_VALUE"""),"TradingTicket")</f>
        <v>TradingTicket</v>
      </c>
      <c r="B776" s="4" t="str">
        <f>IFERROR(__xludf.DUMMYFUNCTION("""COMPUTED_VALUE"""),"ResetTT")</f>
        <v>ResetTT</v>
      </c>
      <c r="C776" s="4" t="str">
        <f>IFERROR(__xludf.DUMMYFUNCTION("""COMPUTED_VALUE"""),"Undefined")</f>
        <v>Undefined</v>
      </c>
      <c r="D776" s="4"/>
      <c r="E776" s="4"/>
      <c r="F776" s="4"/>
      <c r="G776" s="4"/>
      <c r="H776" s="4"/>
      <c r="I776" s="4"/>
      <c r="J776" s="4"/>
      <c r="K776" s="4"/>
      <c r="L776" s="4"/>
    </row>
    <row r="777" ht="15.75" customHeight="1">
      <c r="A777" s="4" t="str">
        <f>IFERROR(__xludf.DUMMYFUNCTION("""COMPUTED_VALUE"""),"Blotter")</f>
        <v>Blotter</v>
      </c>
      <c r="B777" s="4" t="str">
        <f>IFERROR(__xludf.DUMMYFUNCTION("""COMPUTED_VALUE"""),"RightClickOperations")</f>
        <v>RightClickOperations</v>
      </c>
      <c r="C777" s="4" t="str">
        <f>IFERROR(__xludf.DUMMYFUNCTION("""COMPUTED_VALUE"""),"17jhCujI-0V0U3n5lzlkc-azSuwCa7rf-4KwcSInm9ts")</f>
        <v>17jhCujI-0V0U3n5lzlkc-azSuwCa7rf-4KwcSInm9ts</v>
      </c>
      <c r="D777" s="4"/>
      <c r="E777" s="4"/>
      <c r="F777" s="4"/>
      <c r="G777" s="4"/>
      <c r="H777" s="4"/>
      <c r="I777" s="4"/>
      <c r="J777" s="4"/>
      <c r="K777" s="4"/>
      <c r="L777" s="4"/>
    </row>
    <row r="778" ht="15.75" customHeight="1">
      <c r="A778" s="4" t="str">
        <f>IFERROR(__xludf.DUMMYFUNCTION("""COMPUTED_VALUE"""),"Unknown")</f>
        <v>Unknown</v>
      </c>
      <c r="B778" s="4" t="str">
        <f>IFERROR(__xludf.DUMMYFUNCTION("""COMPUTED_VALUE"""),"RightClickAndClickOperations")</f>
        <v>RightClickAndClickOperations</v>
      </c>
      <c r="C778" s="4" t="str">
        <f>IFERROR(__xludf.DUMMYFUNCTION("""COMPUTED_VALUE"""),"1e9jtl9r57SkbYm3S4wbHtvkeG2KExZEiFSIkkRSaq-8")</f>
        <v>1e9jtl9r57SkbYm3S4wbHtvkeG2KExZEiFSIkkRSaq-8</v>
      </c>
      <c r="D778" s="4"/>
      <c r="E778" s="4"/>
      <c r="F778" s="4"/>
      <c r="G778" s="4"/>
      <c r="H778" s="4"/>
      <c r="I778" s="4"/>
      <c r="J778" s="4"/>
      <c r="K778" s="4"/>
      <c r="L778" s="4"/>
    </row>
    <row r="779" ht="15.75" customHeight="1">
      <c r="A779" s="4" t="str">
        <f>IFERROR(__xludf.DUMMYFUNCTION("""COMPUTED_VALUE"""),"Compliance")</f>
        <v>Compliance</v>
      </c>
      <c r="B779" s="4" t="str">
        <f>IFERROR(__xludf.DUMMYFUNCTION("""COMPUTED_VALUE"""),"EnableDisableRule")</f>
        <v>EnableDisableRule</v>
      </c>
      <c r="C779" s="4" t="str">
        <f>IFERROR(__xludf.DUMMYFUNCTION("""COMPUTED_VALUE"""),"1ldCRZpDrvOW-37YQP92bnj-oqRl2rwy9OIebmA5GKXE")</f>
        <v>1ldCRZpDrvOW-37YQP92bnj-oqRl2rwy9OIebmA5GKXE</v>
      </c>
      <c r="D779" s="4"/>
      <c r="E779" s="4"/>
      <c r="F779" s="4"/>
      <c r="G779" s="4"/>
      <c r="H779" s="4"/>
      <c r="I779" s="4"/>
      <c r="J779" s="4"/>
      <c r="K779" s="4"/>
      <c r="L779" s="4"/>
    </row>
    <row r="780" ht="15.75" customHeight="1">
      <c r="A780" s="4" t="str">
        <f>IFERROR(__xludf.DUMMYFUNCTION("""COMPUTED_VALUE"""),"Blotter")</f>
        <v>Blotter</v>
      </c>
      <c r="B780" s="4" t="str">
        <f>IFERROR(__xludf.DUMMYFUNCTION("""COMPUTED_VALUE"""),"BlotterToolBarAction")</f>
        <v>BlotterToolBarAction</v>
      </c>
      <c r="C780" s="4" t="str">
        <f>IFERROR(__xludf.DUMMYFUNCTION("""COMPUTED_VALUE"""),"1bI1kIBxH6qy8zi5tx46rN3vNgbmxbdwtAo1inrXDALs")</f>
        <v>1bI1kIBxH6qy8zi5tx46rN3vNgbmxbdwtAo1inrXDALs</v>
      </c>
      <c r="D780" s="4"/>
      <c r="E780" s="4"/>
      <c r="F780" s="4"/>
      <c r="G780" s="4"/>
      <c r="H780" s="4"/>
      <c r="I780" s="4"/>
      <c r="J780" s="4"/>
      <c r="K780" s="4"/>
      <c r="L780" s="4"/>
    </row>
    <row r="781" ht="15.75" customHeight="1">
      <c r="A781" s="4" t="str">
        <f>IFERROR(__xludf.DUMMYFUNCTION("""COMPUTED_VALUE"""),"RTPNL")</f>
        <v>RTPNL</v>
      </c>
      <c r="B781" s="4" t="str">
        <f>IFERROR(__xludf.DUMMYFUNCTION("""COMPUTED_VALUE"""),"MergeWindows")</f>
        <v>MergeWindows</v>
      </c>
      <c r="C781" s="4" t="str">
        <f>IFERROR(__xludf.DUMMYFUNCTION("""COMPUTED_VALUE"""),"1BEiRPdwHXsXVZ0ioude04Me5qSQ_YU6xh1ZwMWgExVU")</f>
        <v>1BEiRPdwHXsXVZ0ioude04Me5qSQ_YU6xh1ZwMWgExVU</v>
      </c>
      <c r="D781" s="4"/>
      <c r="E781" s="4"/>
      <c r="F781" s="4"/>
      <c r="G781" s="4"/>
      <c r="H781" s="4"/>
      <c r="I781" s="4"/>
      <c r="J781" s="4"/>
      <c r="K781" s="4"/>
      <c r="L781" s="4"/>
    </row>
    <row r="782" ht="15.75" customHeight="1">
      <c r="A782" s="4" t="str">
        <f>IFERROR(__xludf.DUMMYFUNCTION("""COMPUTED_VALUE"""),"PortfolioManagement")</f>
        <v>PortfolioManagement</v>
      </c>
      <c r="B782" s="4" t="str">
        <f>IFERROR(__xludf.DUMMYFUNCTION("""COMPUTED_VALUE"""),"OperationsonPM")</f>
        <v>OperationsonPM</v>
      </c>
      <c r="C782" s="4" t="str">
        <f>IFERROR(__xludf.DUMMYFUNCTION("""COMPUTED_VALUE"""),"13hKVogBv66c752V1EGUyqXp4dGESQOZLmMqIB56fbAs")</f>
        <v>13hKVogBv66c752V1EGUyqXp4dGESQOZLmMqIB56fbAs</v>
      </c>
      <c r="D782" s="4"/>
      <c r="E782" s="4"/>
      <c r="F782" s="4"/>
      <c r="G782" s="4"/>
      <c r="H782" s="4"/>
      <c r="I782" s="4"/>
      <c r="J782" s="4"/>
      <c r="K782" s="4"/>
      <c r="L782" s="4"/>
    </row>
    <row r="783" ht="15.75" customHeight="1">
      <c r="A783" s="4" t="str">
        <f>IFERROR(__xludf.DUMMYFUNCTION("""COMPUTED_VALUE"""),"TradingTicket")</f>
        <v>TradingTicket</v>
      </c>
      <c r="B783" s="4" t="str">
        <f>IFERROR(__xludf.DUMMYFUNCTION("""COMPUTED_VALUE"""),"ResizeEnsureTT")</f>
        <v>ResizeEnsureTT</v>
      </c>
      <c r="C783" s="4" t="str">
        <f>IFERROR(__xludf.DUMMYFUNCTION("""COMPUTED_VALUE"""),"1X1m60ND44-Chxr6N4sH6Fqbh_pqzIH8Cfy3c89u2_lQ")</f>
        <v>1X1m60ND44-Chxr6N4sH6Fqbh_pqzIH8Cfy3c89u2_lQ</v>
      </c>
      <c r="D783" s="4"/>
      <c r="E783" s="4"/>
      <c r="F783" s="4"/>
      <c r="G783" s="4"/>
      <c r="H783" s="4"/>
      <c r="I783" s="4"/>
      <c r="J783" s="4"/>
      <c r="K783" s="4"/>
      <c r="L783" s="4"/>
    </row>
    <row r="784" ht="15.75" customHeight="1">
      <c r="A784" s="4" t="str">
        <f>IFERROR(__xludf.DUMMYFUNCTION("""COMPUTED_VALUE"""),"Admin")</f>
        <v>Admin</v>
      </c>
      <c r="B784" s="4" t="str">
        <f>IFERROR(__xludf.DUMMYFUNCTION("""COMPUTED_VALUE"""),"AccountPermission")</f>
        <v>AccountPermission</v>
      </c>
      <c r="C784" s="4" t="str">
        <f>IFERROR(__xludf.DUMMYFUNCTION("""COMPUTED_VALUE"""),"1UuUydT-ajZCwnqdhLBG28JhRRgR6skh7CgWMlr5JFEw")</f>
        <v>1UuUydT-ajZCwnqdhLBG28JhRRgR6skh7CgWMlr5JFEw</v>
      </c>
      <c r="D784" s="4"/>
      <c r="E784" s="4"/>
      <c r="F784" s="4"/>
      <c r="G784" s="4"/>
      <c r="H784" s="4"/>
      <c r="I784" s="4"/>
      <c r="J784" s="4"/>
      <c r="K784" s="4"/>
      <c r="L784" s="4"/>
    </row>
    <row r="785" ht="15.75" customHeight="1">
      <c r="A785" s="4" t="str">
        <f>IFERROR(__xludf.DUMMYFUNCTION("""COMPUTED_VALUE"""),"Rebalancer")</f>
        <v>Rebalancer</v>
      </c>
      <c r="B785" s="4" t="str">
        <f>IFERROR(__xludf.DUMMYFUNCTION("""COMPUTED_VALUE"""),"CreateOrViewModelPortfolio")</f>
        <v>CreateOrViewModelPortfolio</v>
      </c>
      <c r="C785" s="4" t="str">
        <f>IFERROR(__xludf.DUMMYFUNCTION("""COMPUTED_VALUE"""),"1vejknW_QiO0r5pMzMjOGCCsgwLVes4a3Ubx1l-0Mg1k")</f>
        <v>1vejknW_QiO0r5pMzMjOGCCsgwLVes4a3Ubx1l-0Mg1k</v>
      </c>
      <c r="D785" s="4"/>
      <c r="E785" s="4"/>
      <c r="F785" s="4"/>
      <c r="G785" s="4"/>
      <c r="H785" s="4"/>
      <c r="I785" s="4"/>
      <c r="J785" s="4"/>
      <c r="K785" s="4"/>
      <c r="L785" s="4"/>
    </row>
    <row r="786" ht="15.75" customHeight="1">
      <c r="A786" s="4" t="str">
        <f>IFERROR(__xludf.DUMMYFUNCTION("""COMPUTED_VALUE"""),"Rebalancer")</f>
        <v>Rebalancer</v>
      </c>
      <c r="B786" s="4" t="str">
        <f>IFERROR(__xludf.DUMMYFUNCTION("""COMPUTED_VALUE"""),"VerifyModelPortfolio")</f>
        <v>VerifyModelPortfolio</v>
      </c>
      <c r="C786" s="4" t="str">
        <f>IFERROR(__xludf.DUMMYFUNCTION("""COMPUTED_VALUE"""),"1Tza5cx7NJ2J8vr_f6DC-KPhnXCzf7l1m0EERc6z_T-U")</f>
        <v>1Tza5cx7NJ2J8vr_f6DC-KPhnXCzf7l1m0EERc6z_T-U</v>
      </c>
      <c r="D786" s="4"/>
      <c r="E786" s="4"/>
      <c r="F786" s="4"/>
      <c r="G786" s="4"/>
      <c r="H786" s="4"/>
      <c r="I786" s="4"/>
      <c r="J786" s="4"/>
      <c r="K786" s="4"/>
      <c r="L786" s="4"/>
    </row>
    <row r="787" ht="15.75" customHeight="1">
      <c r="A787" s="4" t="str">
        <f>IFERROR(__xludf.DUMMYFUNCTION("""COMPUTED_VALUE"""),"Allocation")</f>
        <v>Allocation</v>
      </c>
      <c r="B787" s="4" t="str">
        <f>IFERROR(__xludf.DUMMYFUNCTION("""COMPUTED_VALUE"""),"ReviewExistingPositions")</f>
        <v>ReviewExistingPositions</v>
      </c>
      <c r="C787" s="4" t="str">
        <f>IFERROR(__xludf.DUMMYFUNCTION("""COMPUTED_VALUE"""),"1KwYoTdpeW6LDhzloVKHp5buZqc8IjXEShjwnUx45Ql8")</f>
        <v>1KwYoTdpeW6LDhzloVKHp5buZqc8IjXEShjwnUx45Ql8</v>
      </c>
      <c r="D787" s="4"/>
      <c r="E787" s="4"/>
      <c r="F787" s="4"/>
      <c r="G787" s="4"/>
      <c r="H787" s="4"/>
      <c r="I787" s="4"/>
      <c r="J787" s="4"/>
      <c r="K787" s="4"/>
      <c r="L787" s="4"/>
    </row>
    <row r="788" ht="15.75" customHeight="1">
      <c r="A788" s="4" t="str">
        <f>IFERROR(__xludf.DUMMYFUNCTION("""COMPUTED_VALUE"""),"Rebalancer")</f>
        <v>Rebalancer</v>
      </c>
      <c r="B788" s="4" t="str">
        <f>IFERROR(__xludf.DUMMYFUNCTION("""COMPUTED_VALUE"""),"VerifyTradeListSummary")</f>
        <v>VerifyTradeListSummary</v>
      </c>
      <c r="C788" s="4" t="str">
        <f>IFERROR(__xludf.DUMMYFUNCTION("""COMPUTED_VALUE"""),"1CwPtInR_Cy6ir39KI9yaXfAvolUGYsOGbIOnZabie0c")</f>
        <v>1CwPtInR_Cy6ir39KI9yaXfAvolUGYsOGbIOnZabie0c</v>
      </c>
      <c r="D788" s="4"/>
      <c r="E788" s="4"/>
      <c r="F788" s="4"/>
      <c r="G788" s="4"/>
      <c r="H788" s="4"/>
      <c r="I788" s="4"/>
      <c r="J788" s="4"/>
      <c r="K788" s="4"/>
      <c r="L788" s="4"/>
    </row>
    <row r="789" ht="15.75" customHeight="1">
      <c r="A789" s="4" t="str">
        <f>IFERROR(__xludf.DUMMYFUNCTION("""COMPUTED_VALUE"""),"Rebalancer")</f>
        <v>Rebalancer</v>
      </c>
      <c r="B789" s="4" t="str">
        <f>IFERROR(__xludf.DUMMYFUNCTION("""COMPUTED_VALUE"""),"ActionOnTBSListSummary")</f>
        <v>ActionOnTBSListSummary</v>
      </c>
      <c r="C789" s="4" t="str">
        <f>IFERROR(__xludf.DUMMYFUNCTION("""COMPUTED_VALUE"""),"1vMPSqBpJ7zBb4rZw_ytaphDX8K_jcboQlLc6plZtllU")</f>
        <v>1vMPSqBpJ7zBb4rZw_ytaphDX8K_jcboQlLc6plZtllU</v>
      </c>
      <c r="D789" s="4"/>
      <c r="E789" s="4"/>
      <c r="F789" s="4"/>
      <c r="G789" s="4"/>
      <c r="H789" s="4"/>
      <c r="I789" s="4"/>
      <c r="J789" s="4"/>
      <c r="K789" s="4"/>
      <c r="L789" s="4"/>
    </row>
    <row r="790" ht="15.75" customHeight="1">
      <c r="A790" s="4" t="str">
        <f>IFERROR(__xludf.DUMMYFUNCTION("""COMPUTED_VALUE"""),"Rebalancer")</f>
        <v>Rebalancer</v>
      </c>
      <c r="B790" s="4" t="str">
        <f>IFERROR(__xludf.DUMMYFUNCTION("""COMPUTED_VALUE"""),"VerifyTLOSideSummary")</f>
        <v>VerifyTLOSideSummary</v>
      </c>
      <c r="C790" s="4" t="str">
        <f>IFERROR(__xludf.DUMMYFUNCTION("""COMPUTED_VALUE"""),"1asJHjZ4EwQuMXHEFjolwYeO59Mt4d11wf4mCyD98JMw")</f>
        <v>1asJHjZ4EwQuMXHEFjolwYeO59Mt4d11wf4mCyD98JMw</v>
      </c>
      <c r="D790" s="4"/>
      <c r="E790" s="4"/>
      <c r="F790" s="4"/>
      <c r="G790" s="4"/>
      <c r="H790" s="4"/>
      <c r="I790" s="4"/>
      <c r="J790" s="4"/>
      <c r="K790" s="4"/>
      <c r="L790" s="4"/>
    </row>
    <row r="791" ht="15.75" customHeight="1">
      <c r="A791" s="4" t="str">
        <f>IFERROR(__xludf.DUMMYFUNCTION("""COMPUTED_VALUE"""),"Rebalancer")</f>
        <v>Rebalancer</v>
      </c>
      <c r="B791" s="4" t="str">
        <f>IFERROR(__xludf.DUMMYFUNCTION("""COMPUTED_VALUE"""),"SelectAndVerifyTradeList")</f>
        <v>SelectAndVerifyTradeList</v>
      </c>
      <c r="C791" s="4" t="str">
        <f>IFERROR(__xludf.DUMMYFUNCTION("""COMPUTED_VALUE"""),"1fXJG--hBH0hPvU7g5jtXyZnD1GiwJXfYX9HdEyhGyGs")</f>
        <v>1fXJG--hBH0hPvU7g5jtXyZnD1GiwJXfYX9HdEyhGyGs</v>
      </c>
      <c r="D791" s="4"/>
      <c r="E791" s="4"/>
      <c r="F791" s="4"/>
      <c r="G791" s="4"/>
      <c r="H791" s="4"/>
      <c r="I791" s="4"/>
      <c r="J791" s="4"/>
      <c r="K791" s="4"/>
      <c r="L791" s="4"/>
    </row>
    <row r="792" ht="15.75" customHeight="1">
      <c r="A792" s="4" t="str">
        <f>IFERROR(__xludf.DUMMYFUNCTION("""COMPUTED_VALUE"""),"Rebalancer")</f>
        <v>Rebalancer</v>
      </c>
      <c r="B792" s="4" t="str">
        <f>IFERROR(__xludf.DUMMYFUNCTION("""COMPUTED_VALUE"""),"ActionOnTradeBuySellListView")</f>
        <v>ActionOnTradeBuySellListView</v>
      </c>
      <c r="C792" s="4" t="str">
        <f>IFERROR(__xludf.DUMMYFUNCTION("""COMPUTED_VALUE"""),"1xeJEpkdxtbik3vPUTkxALkXsnL-Vl5dF07PBUoheM3k")</f>
        <v>1xeJEpkdxtbik3vPUTkxALkXsnL-Vl5dF07PBUoheM3k</v>
      </c>
      <c r="D792" s="4"/>
      <c r="E792" s="4"/>
      <c r="F792" s="4"/>
      <c r="G792" s="4"/>
      <c r="H792" s="4"/>
      <c r="I792" s="4"/>
      <c r="J792" s="4"/>
      <c r="K792" s="4"/>
      <c r="L792" s="4"/>
    </row>
    <row r="793" ht="15.75" customHeight="1">
      <c r="A793" s="4" t="str">
        <f>IFERROR(__xludf.DUMMYFUNCTION("""COMPUTED_VALUE"""),"PTT")</f>
        <v>PTT</v>
      </c>
      <c r="B793" s="4" t="str">
        <f>IFERROR(__xludf.DUMMYFUNCTION("""COMPUTED_VALUE"""),"OperationsonPTT")</f>
        <v>OperationsonPTT</v>
      </c>
      <c r="C793" s="4" t="str">
        <f>IFERROR(__xludf.DUMMYFUNCTION("""COMPUTED_VALUE"""),"1J40rCXEDilLEF_x0Wkeeg1lwGfejucV1VSY9UcyeSlw")</f>
        <v>1J40rCXEDilLEF_x0Wkeeg1lwGfejucV1VSY9UcyeSlw</v>
      </c>
      <c r="D793" s="4"/>
      <c r="E793" s="4"/>
      <c r="F793" s="4"/>
      <c r="G793" s="4"/>
      <c r="H793" s="4"/>
      <c r="I793" s="4"/>
      <c r="J793" s="4"/>
      <c r="K793" s="4"/>
      <c r="L793" s="4"/>
    </row>
    <row r="794" ht="15.75" customHeight="1">
      <c r="A794" s="4" t="str">
        <f>IFERROR(__xludf.DUMMYFUNCTION("""COMPUTED_VALUE"""),"PricingInput")</f>
        <v>PricingInput</v>
      </c>
      <c r="B794" s="4" t="str">
        <f>IFERROR(__xludf.DUMMYFUNCTION("""COMPUTED_VALUE"""),"UpdatePricingInput")</f>
        <v>UpdatePricingInput</v>
      </c>
      <c r="C794" s="4" t="str">
        <f>IFERROR(__xludf.DUMMYFUNCTION("""COMPUTED_VALUE"""),"1CG9iYOkRKzlGEsKh7QuEyMdGRQea_W4KDWwlnjE2BdE")</f>
        <v>1CG9iYOkRKzlGEsKh7QuEyMdGRQea_W4KDWwlnjE2BdE</v>
      </c>
      <c r="D794" s="4"/>
      <c r="E794" s="4"/>
      <c r="F794" s="4"/>
      <c r="G794" s="4"/>
      <c r="H794" s="4"/>
      <c r="I794" s="4"/>
      <c r="J794" s="4"/>
      <c r="K794" s="4"/>
      <c r="L794" s="4"/>
    </row>
    <row r="795" ht="15.75" customHeight="1">
      <c r="A795" s="4" t="str">
        <f>IFERROR(__xludf.DUMMYFUNCTION("""COMPUTED_VALUE"""),"Rebalancer")</f>
        <v>Rebalancer</v>
      </c>
      <c r="B795" s="4" t="str">
        <f>IFERROR(__xludf.DUMMYFUNCTION("""COMPUTED_VALUE"""),"ImportOnRB")</f>
        <v>ImportOnRB</v>
      </c>
      <c r="C795" s="4" t="str">
        <f>IFERROR(__xludf.DUMMYFUNCTION("""COMPUTED_VALUE"""),"1EntkiGIsU6aSZPpMKhixdhGFyyVCmlI1jMgvbCFq3oM")</f>
        <v>1EntkiGIsU6aSZPpMKhixdhGFyyVCmlI1jMgvbCFq3oM</v>
      </c>
      <c r="D795" s="4"/>
      <c r="E795" s="4"/>
      <c r="F795" s="4"/>
      <c r="G795" s="4"/>
      <c r="H795" s="4"/>
      <c r="I795" s="4"/>
      <c r="J795" s="4"/>
      <c r="K795" s="4"/>
      <c r="L795" s="4"/>
    </row>
    <row r="796" ht="15.75" customHeight="1">
      <c r="A796" s="4" t="str">
        <f>IFERROR(__xludf.DUMMYFUNCTION("""COMPUTED_VALUE"""),"Rebalancer")</f>
        <v>Rebalancer</v>
      </c>
      <c r="B796" s="4" t="str">
        <f>IFERROR(__xludf.DUMMYFUNCTION("""COMPUTED_VALUE"""),"ActionOnRSAImportGrid")</f>
        <v>ActionOnRSAImportGrid</v>
      </c>
      <c r="C796" s="4" t="str">
        <f>IFERROR(__xludf.DUMMYFUNCTION("""COMPUTED_VALUE"""),"1qyFUqeWV7-Gy2PHnDNHGdUCBuvTKxxZhflKe9pguJEE")</f>
        <v>1qyFUqeWV7-Gy2PHnDNHGdUCBuvTKxxZhflKe9pguJEE</v>
      </c>
      <c r="D796" s="4"/>
      <c r="E796" s="4"/>
      <c r="F796" s="4"/>
      <c r="G796" s="4"/>
      <c r="H796" s="4"/>
      <c r="I796" s="4"/>
      <c r="J796" s="4"/>
      <c r="K796" s="4"/>
      <c r="L796" s="4"/>
    </row>
    <row r="797" ht="15.75" customHeight="1">
      <c r="A797" s="4" t="str">
        <f>IFERROR(__xludf.DUMMYFUNCTION("""COMPUTED_VALUE"""),"Rebalancer")</f>
        <v>Rebalancer</v>
      </c>
      <c r="B797" s="4" t="str">
        <f>IFERROR(__xludf.DUMMYFUNCTION("""COMPUTED_VALUE"""),"VerifyImportGridRBForInvalidSec")</f>
        <v>VerifyImportGridRBForInvalidSec</v>
      </c>
      <c r="C797" s="4" t="str">
        <f>IFERROR(__xludf.DUMMYFUNCTION("""COMPUTED_VALUE"""),"13tlfzcOYlxn2sOASC-JNdqZmR9A1Cesa2Ah5348pLN8")</f>
        <v>13tlfzcOYlxn2sOASC-JNdqZmR9A1Cesa2Ah5348pLN8</v>
      </c>
      <c r="D797" s="4"/>
      <c r="E797" s="4"/>
      <c r="F797" s="4"/>
      <c r="G797" s="4"/>
      <c r="H797" s="4"/>
      <c r="I797" s="4"/>
      <c r="J797" s="4"/>
      <c r="K797" s="4"/>
      <c r="L797" s="4"/>
    </row>
    <row r="798" ht="15.75" customHeight="1">
      <c r="A798" s="4" t="str">
        <f>IFERROR(__xludf.DUMMYFUNCTION("""COMPUTED_VALUE"""),"Rebalancer")</f>
        <v>Rebalancer</v>
      </c>
      <c r="B798" s="4" t="str">
        <f>IFERROR(__xludf.DUMMYFUNCTION("""COMPUTED_VALUE"""),"VerifyImportGridRBForValidSec")</f>
        <v>VerifyImportGridRBForValidSec</v>
      </c>
      <c r="C798" s="4" t="str">
        <f>IFERROR(__xludf.DUMMYFUNCTION("""COMPUTED_VALUE"""),"1KiLapuRaYEZfokVV1TZf8gTWNe8d9PblbpJsN983CaI")</f>
        <v>1KiLapuRaYEZfokVV1TZf8gTWNe8d9PblbpJsN983CaI</v>
      </c>
      <c r="D798" s="4"/>
      <c r="E798" s="4"/>
      <c r="F798" s="4"/>
      <c r="G798" s="4"/>
      <c r="H798" s="4"/>
      <c r="I798" s="4"/>
      <c r="J798" s="4"/>
      <c r="K798" s="4"/>
      <c r="L798" s="4"/>
    </row>
    <row r="799" ht="15.75" customHeight="1">
      <c r="A799" s="4" t="str">
        <f>IFERROR(__xludf.DUMMYFUNCTION("""COMPUTED_VALUE"""),"Import")</f>
        <v>Import</v>
      </c>
      <c r="B799" s="4" t="str">
        <f>IFERROR(__xludf.DUMMYFUNCTION("""COMPUTED_VALUE"""),"ActionOnImport")</f>
        <v>ActionOnImport</v>
      </c>
      <c r="C799" s="4" t="str">
        <f>IFERROR(__xludf.DUMMYFUNCTION("""COMPUTED_VALUE"""),"1YM2boQt7BrzysPpsUbIqt27cfA6-btDPEZntG5NhBUc")</f>
        <v>1YM2boQt7BrzysPpsUbIqt27cfA6-btDPEZntG5NhBUc</v>
      </c>
      <c r="D799" s="4"/>
      <c r="E799" s="4"/>
      <c r="F799" s="4"/>
      <c r="G799" s="4"/>
      <c r="H799" s="4"/>
      <c r="I799" s="4"/>
      <c r="J799" s="4"/>
      <c r="K799" s="4"/>
      <c r="L799" s="4"/>
    </row>
    <row r="800" ht="15.75" customHeight="1">
      <c r="A800" s="4" t="str">
        <f>IFERROR(__xludf.DUMMYFUNCTION("""COMPUTED_VALUE"""),"Import")</f>
        <v>Import</v>
      </c>
      <c r="B800" s="4" t="str">
        <f>IFERROR(__xludf.DUMMYFUNCTION("""COMPUTED_VALUE"""),"ValidateImportPositions")</f>
        <v>ValidateImportPositions</v>
      </c>
      <c r="C800" s="4" t="str">
        <f>IFERROR(__xludf.DUMMYFUNCTION("""COMPUTED_VALUE"""),"1ApMxUfr4smtwBJX_cppynzY1M99QXnDpTRjevjraQtA")</f>
        <v>1ApMxUfr4smtwBJX_cppynzY1M99QXnDpTRjevjraQtA</v>
      </c>
      <c r="D800" s="4"/>
      <c r="E800" s="4"/>
      <c r="F800" s="4"/>
      <c r="G800" s="4"/>
      <c r="H800" s="4"/>
      <c r="I800" s="4"/>
      <c r="J800" s="4"/>
      <c r="K800" s="4"/>
      <c r="L800" s="4"/>
    </row>
    <row r="801" ht="15.75" customHeight="1">
      <c r="A801" s="4" t="str">
        <f>IFERROR(__xludf.DUMMYFUNCTION("""COMPUTED_VALUE"""),"DailyValuation")</f>
        <v>DailyValuation</v>
      </c>
      <c r="B801" s="4" t="str">
        <f>IFERROR(__xludf.DUMMYFUNCTION("""COMPUTED_VALUE"""),"UpdateMPAndFC")</f>
        <v>UpdateMPAndFC</v>
      </c>
      <c r="C801" s="4" t="str">
        <f>IFERROR(__xludf.DUMMYFUNCTION("""COMPUTED_VALUE"""),"1UCNfZng94LprScqCmSKImRjCwiKlLQU_e1kY1tum91I")</f>
        <v>1UCNfZng94LprScqCmSKImRjCwiKlLQU_e1kY1tum91I</v>
      </c>
      <c r="D801" s="4"/>
      <c r="E801" s="4"/>
      <c r="F801" s="4"/>
      <c r="G801" s="4"/>
      <c r="H801" s="4"/>
      <c r="I801" s="4"/>
      <c r="J801" s="4"/>
      <c r="K801" s="4"/>
      <c r="L801" s="4"/>
    </row>
    <row r="802" ht="15.75" customHeight="1">
      <c r="A802" s="4" t="str">
        <f>IFERROR(__xludf.DUMMYFUNCTION("""COMPUTED_VALUE"""),"DailyValuation")</f>
        <v>DailyValuation</v>
      </c>
      <c r="B802" s="4" t="str">
        <f>IFERROR(__xludf.DUMMYFUNCTION("""COMPUTED_VALUE"""),"SelectDateAtMPFC")</f>
        <v>SelectDateAtMPFC</v>
      </c>
      <c r="C802" s="4" t="str">
        <f>IFERROR(__xludf.DUMMYFUNCTION("""COMPUTED_VALUE"""),"1DnCg9cxYbA4JZCrUA-hItngQmbhhFuxexdkPS0iagg8")</f>
        <v>1DnCg9cxYbA4JZCrUA-hItngQmbhhFuxexdkPS0iagg8</v>
      </c>
      <c r="D802" s="4"/>
      <c r="E802" s="4"/>
      <c r="F802" s="4"/>
      <c r="G802" s="4"/>
      <c r="H802" s="4"/>
      <c r="I802" s="4"/>
      <c r="J802" s="4"/>
      <c r="K802" s="4"/>
      <c r="L802" s="4"/>
    </row>
    <row r="803" ht="15.75" customHeight="1">
      <c r="A803" s="4" t="str">
        <f>IFERROR(__xludf.DUMMYFUNCTION("""COMPUTED_VALUE"""),"Watchlist")</f>
        <v>Watchlist</v>
      </c>
      <c r="B803" s="4" t="str">
        <f>IFERROR(__xludf.DUMMYFUNCTION("""COMPUTED_VALUE"""),"SelectTradeWatchlist")</f>
        <v>SelectTradeWatchlist</v>
      </c>
      <c r="C803" s="4" t="str">
        <f>IFERROR(__xludf.DUMMYFUNCTION("""COMPUTED_VALUE"""),"1Wa9Q7PE7i3bZr_mTOkYG22qcEixSMbydeuL2lnyNfB0")</f>
        <v>1Wa9Q7PE7i3bZr_mTOkYG22qcEixSMbydeuL2lnyNfB0</v>
      </c>
      <c r="D803" s="4"/>
      <c r="E803" s="4"/>
      <c r="F803" s="4"/>
      <c r="G803" s="4"/>
      <c r="H803" s="4"/>
      <c r="I803" s="4"/>
      <c r="J803" s="4"/>
      <c r="K803" s="4"/>
      <c r="L803" s="4"/>
    </row>
    <row r="804" ht="15.75" customHeight="1">
      <c r="A804" s="4" t="str">
        <f>IFERROR(__xludf.DUMMYFUNCTION("""COMPUTED_VALUE"""),"Watchlist")</f>
        <v>Watchlist</v>
      </c>
      <c r="B804" s="4" t="str">
        <f>IFERROR(__xludf.DUMMYFUNCTION("""COMPUTED_VALUE"""),"ActionOnWatchlist")</f>
        <v>ActionOnWatchlist</v>
      </c>
      <c r="C804" s="4" t="str">
        <f>IFERROR(__xludf.DUMMYFUNCTION("""COMPUTED_VALUE"""),"1Ex0VPpmT3E0nbSBahi-24Pfuba4HTTVDqcm5UWIEUUw")</f>
        <v>1Ex0VPpmT3E0nbSBahi-24Pfuba4HTTVDqcm5UWIEUUw</v>
      </c>
      <c r="D804" s="4"/>
      <c r="E804" s="4"/>
      <c r="F804" s="4"/>
      <c r="G804" s="4"/>
      <c r="H804" s="4"/>
      <c r="I804" s="4"/>
      <c r="J804" s="4"/>
      <c r="K804" s="4"/>
      <c r="L804" s="4"/>
    </row>
    <row r="805" ht="15.75" customHeight="1">
      <c r="A805" s="4" t="str">
        <f>IFERROR(__xludf.DUMMYFUNCTION("""COMPUTED_VALUE"""),"Allocation")</f>
        <v>Allocation</v>
      </c>
      <c r="B805" s="4" t="str">
        <f>IFERROR(__xludf.DUMMYFUNCTION("""COMPUTED_VALUE"""),"OperationsonAllocation")</f>
        <v>OperationsonAllocation</v>
      </c>
      <c r="C805" s="4" t="str">
        <f>IFERROR(__xludf.DUMMYFUNCTION("""COMPUTED_VALUE"""),"1Ef_CfqtvCC0SoupZq61OQuLBg_r-ocFfZ5dScRXCuD4")</f>
        <v>1Ef_CfqtvCC0SoupZq61OQuLBg_r-ocFfZ5dScRXCuD4</v>
      </c>
      <c r="D805" s="4"/>
      <c r="E805" s="4"/>
      <c r="F805" s="4"/>
      <c r="G805" s="4"/>
      <c r="H805" s="4"/>
      <c r="I805" s="4"/>
      <c r="J805" s="4"/>
      <c r="K805" s="4"/>
      <c r="L805" s="4"/>
    </row>
    <row r="806" ht="15.75" customHeight="1">
      <c r="A806" s="4" t="str">
        <f>IFERROR(__xludf.DUMMYFUNCTION("""COMPUTED_VALUE"""),"PTT")</f>
        <v>PTT</v>
      </c>
      <c r="B806" s="4" t="str">
        <f>IFERROR(__xludf.DUMMYFUNCTION("""COMPUTED_VALUE"""),"VerifyTradeSummary")</f>
        <v>VerifyTradeSummary</v>
      </c>
      <c r="C806" s="4" t="str">
        <f>IFERROR(__xludf.DUMMYFUNCTION("""COMPUTED_VALUE"""),"1QKYeLTANHsRzTEgySasZ8-Hipb9o0WkonYSctIWDvTQ")</f>
        <v>1QKYeLTANHsRzTEgySasZ8-Hipb9o0WkonYSctIWDvTQ</v>
      </c>
      <c r="D806" s="4"/>
      <c r="E806" s="4"/>
      <c r="F806" s="4"/>
      <c r="G806" s="4"/>
      <c r="H806" s="4"/>
      <c r="I806" s="4"/>
      <c r="J806" s="4"/>
      <c r="K806" s="4"/>
      <c r="L806" s="4"/>
    </row>
    <row r="807" ht="15.75" customHeight="1">
      <c r="A807" s="4" t="str">
        <f>IFERROR(__xludf.DUMMYFUNCTION("""COMPUTED_VALUE"""),"Blotter")</f>
        <v>Blotter</v>
      </c>
      <c r="B807" s="4" t="str">
        <f>IFERROR(__xludf.DUMMYFUNCTION("""COMPUTED_VALUE"""),"SelectTradeOnBlotter")</f>
        <v>SelectTradeOnBlotter</v>
      </c>
      <c r="C807" s="4" t="str">
        <f>IFERROR(__xludf.DUMMYFUNCTION("""COMPUTED_VALUE"""),"1DUwxSUq_47EK60XmK3LOdCXa1fkWqWJE9bLuGS3ccv412")</f>
        <v>1DUwxSUq_47EK60XmK3LOdCXa1fkWqWJE9bLuGS3ccv412</v>
      </c>
      <c r="D807" s="4"/>
      <c r="E807" s="4"/>
      <c r="F807" s="4"/>
      <c r="G807" s="4"/>
      <c r="H807" s="4"/>
      <c r="I807" s="4"/>
      <c r="J807" s="4"/>
      <c r="K807" s="4"/>
      <c r="L807" s="4"/>
    </row>
    <row r="808" ht="15.75" customHeight="1">
      <c r="A808" s="4" t="str">
        <f>IFERROR(__xludf.DUMMYFUNCTION("""COMPUTED_VALUE"""),"Blotter")</f>
        <v>Blotter</v>
      </c>
      <c r="B808" s="4" t="str">
        <f>IFERROR(__xludf.DUMMYFUNCTION("""COMPUTED_VALUE"""),"SelectTradeSummary")</f>
        <v>SelectTradeSummary</v>
      </c>
      <c r="C808" s="4" t="str">
        <f>IFERROR(__xludf.DUMMYFUNCTION("""COMPUTED_VALUE"""),"1DUwxSUq_47EK60XmK3LOdCXa1fkWqWJE9bLuGS3ccv412")</f>
        <v>1DUwxSUq_47EK60XmK3LOdCXa1fkWqWJE9bLuGS3ccv412</v>
      </c>
      <c r="D808" s="4"/>
      <c r="E808" s="4"/>
      <c r="F808" s="4"/>
      <c r="G808" s="4"/>
      <c r="H808" s="4"/>
      <c r="I808" s="4"/>
      <c r="J808" s="4"/>
      <c r="K808" s="4"/>
      <c r="L808" s="4"/>
    </row>
    <row r="809" ht="15.75" customHeight="1">
      <c r="A809" s="4" t="str">
        <f>IFERROR(__xludf.DUMMYFUNCTION("""COMPUTED_VALUE"""),"Blotter")</f>
        <v>Blotter</v>
      </c>
      <c r="B809" s="4" t="str">
        <f>IFERROR(__xludf.DUMMYFUNCTION("""COMPUTED_VALUE"""),"MergeOrderMessage")</f>
        <v>MergeOrderMessage</v>
      </c>
      <c r="C809" s="4" t="str">
        <f>IFERROR(__xludf.DUMMYFUNCTION("""COMPUTED_VALUE"""),"1DUwxSUq_47EK60XmK3LOdCXa1fkWqWJE9bLuGS3ccv412")</f>
        <v>1DUwxSUq_47EK60XmK3LOdCXa1fkWqWJE9bLuGS3ccv412</v>
      </c>
      <c r="D809" s="4"/>
      <c r="E809" s="4"/>
      <c r="F809" s="4"/>
      <c r="G809" s="4"/>
      <c r="H809" s="4"/>
      <c r="I809" s="4"/>
      <c r="J809" s="4"/>
      <c r="K809" s="4"/>
      <c r="L809" s="4"/>
    </row>
    <row r="810" ht="15.75" customHeight="1">
      <c r="A810" s="4" t="str">
        <f>IFERROR(__xludf.DUMMYFUNCTION("""COMPUTED_VALUE"""),"Blotter")</f>
        <v>Blotter</v>
      </c>
      <c r="B810" s="4" t="str">
        <f>IFERROR(__xludf.DUMMYFUNCTION("""COMPUTED_VALUE"""),"SwitchTabBlotter")</f>
        <v>SwitchTabBlotter</v>
      </c>
      <c r="C810" s="4" t="str">
        <f>IFERROR(__xludf.DUMMYFUNCTION("""COMPUTED_VALUE"""),"1DUwxSUq_47EK60XmK3LOdCXa1fkWqWJE9bLuGS3ccv412")</f>
        <v>1DUwxSUq_47EK60XmK3LOdCXa1fkWqWJE9bLuGS3ccv412</v>
      </c>
      <c r="D810" s="4"/>
      <c r="E810" s="4"/>
      <c r="F810" s="4"/>
      <c r="G810" s="4"/>
      <c r="H810" s="4"/>
      <c r="I810" s="4"/>
      <c r="J810" s="4"/>
      <c r="K810" s="4"/>
      <c r="L810" s="4"/>
    </row>
    <row r="811" ht="15.75" customHeight="1">
      <c r="A811" s="4" t="str">
        <f>IFERROR(__xludf.DUMMYFUNCTION("""COMPUTED_VALUE"""),"Blotter")</f>
        <v>Blotter</v>
      </c>
      <c r="B811" s="4" t="str">
        <f>IFERROR(__xludf.DUMMYFUNCTION("""COMPUTED_VALUE"""),"AddTab")</f>
        <v>AddTab</v>
      </c>
      <c r="C811" s="4" t="str">
        <f>IFERROR(__xludf.DUMMYFUNCTION("""COMPUTED_VALUE"""),"1DUwxSUq_47EK60XmK3LOdCXa1fkWqWJE9bLuGS3ccv412")</f>
        <v>1DUwxSUq_47EK60XmK3LOdCXa1fkWqWJE9bLuGS3ccv412</v>
      </c>
      <c r="D811" s="4"/>
      <c r="E811" s="4"/>
      <c r="F811" s="4"/>
      <c r="G811" s="4"/>
      <c r="H811" s="4"/>
      <c r="I811" s="4"/>
      <c r="J811" s="4"/>
      <c r="K811" s="4"/>
      <c r="L811" s="4"/>
    </row>
    <row r="812" ht="15.75" customHeight="1">
      <c r="A812" s="4" t="str">
        <f>IFERROR(__xludf.DUMMYFUNCTION("""COMPUTED_VALUE"""),"Blotter")</f>
        <v>Blotter</v>
      </c>
      <c r="B812" s="4" t="str">
        <f>IFERROR(__xludf.DUMMYFUNCTION("""COMPUTED_VALUE"""),"UploadStageOrders")</f>
        <v>UploadStageOrders</v>
      </c>
      <c r="C812" s="4" t="str">
        <f>IFERROR(__xludf.DUMMYFUNCTION("""COMPUTED_VALUE"""),"1DUwxSUq_47EK60XmK3LOdCXa1fkWqWJE9bLuGS3ccv412")</f>
        <v>1DUwxSUq_47EK60XmK3LOdCXa1fkWqWJE9bLuGS3ccv412</v>
      </c>
      <c r="D812" s="4"/>
      <c r="E812" s="4"/>
      <c r="F812" s="4"/>
      <c r="G812" s="4"/>
      <c r="H812" s="4"/>
      <c r="I812" s="4"/>
      <c r="J812" s="4"/>
      <c r="K812" s="4"/>
      <c r="L812" s="4"/>
    </row>
    <row r="813" ht="15.75" customHeight="1">
      <c r="A813" s="4" t="str">
        <f>IFERROR(__xludf.DUMMYFUNCTION("""COMPUTED_VALUE"""),"Unknown")</f>
        <v>Unknown</v>
      </c>
      <c r="B813" s="4" t="str">
        <f>IFERROR(__xludf.DUMMYFUNCTION("""COMPUTED_VALUE"""),"NirvanaDialogueBoxHandler")</f>
        <v>NirvanaDialogueBoxHandler</v>
      </c>
      <c r="C813" s="4" t="str">
        <f>IFERROR(__xludf.DUMMYFUNCTION("""COMPUTED_VALUE"""),"1DUwxSUq_47EK60XmK3LOdCXa1fkWqWJE9bLuGS3ccv412")</f>
        <v>1DUwxSUq_47EK60XmK3LOdCXa1fkWqWJE9bLuGS3ccv412</v>
      </c>
      <c r="D813" s="4"/>
      <c r="E813" s="4"/>
      <c r="F813" s="4"/>
      <c r="G813" s="4"/>
      <c r="H813" s="4"/>
      <c r="I813" s="4"/>
      <c r="J813" s="4"/>
      <c r="K813" s="4"/>
      <c r="L813" s="4"/>
    </row>
    <row r="814" ht="15.75" customHeight="1">
      <c r="A814" s="4" t="str">
        <f>IFERROR(__xludf.DUMMYFUNCTION("""COMPUTED_VALUE"""),"Blotter")</f>
        <v>Blotter</v>
      </c>
      <c r="B814" s="4" t="str">
        <f>IFERROR(__xludf.DUMMYFUNCTION("""COMPUTED_VALUE"""),"AddTabToFav")</f>
        <v>AddTabToFav</v>
      </c>
      <c r="C814" s="4" t="str">
        <f>IFERROR(__xludf.DUMMYFUNCTION("""COMPUTED_VALUE"""),"1Hrblc1gk4JIYboQ1lGHgl7HatAXp5amAl9mS58vzT-0")</f>
        <v>1Hrblc1gk4JIYboQ1lGHgl7HatAXp5amAl9mS58vzT-0</v>
      </c>
      <c r="D814" s="4"/>
      <c r="E814" s="4"/>
      <c r="F814" s="4"/>
      <c r="G814" s="4"/>
      <c r="H814" s="4"/>
      <c r="I814" s="4"/>
      <c r="J814" s="4"/>
      <c r="K814" s="4"/>
      <c r="L814" s="4"/>
    </row>
    <row r="815" ht="15.75" customHeight="1">
      <c r="A815" s="4" t="str">
        <f>IFERROR(__xludf.DUMMYFUNCTION("""COMPUTED_VALUE"""),"PTT")</f>
        <v>PTT</v>
      </c>
      <c r="B815" s="4" t="str">
        <f>IFERROR(__xludf.DUMMYFUNCTION("""COMPUTED_VALUE"""),"VerifyAllocationDetails")</f>
        <v>VerifyAllocationDetails</v>
      </c>
      <c r="C815" s="4" t="str">
        <f>IFERROR(__xludf.DUMMYFUNCTION("""COMPUTED_VALUE"""),"1DUwxSUq_47EK60XmK3LOdCXa1fkWqWJE9bLuGS3ccv412")</f>
        <v>1DUwxSUq_47EK60XmK3LOdCXa1fkWqWJE9bLuGS3ccv412</v>
      </c>
      <c r="D815" s="4"/>
      <c r="E815" s="4"/>
      <c r="F815" s="4"/>
      <c r="G815" s="4"/>
      <c r="H815" s="4"/>
      <c r="I815" s="4"/>
      <c r="J815" s="4"/>
      <c r="K815" s="4"/>
      <c r="L815" s="4"/>
    </row>
    <row r="816" ht="15.75" customHeight="1">
      <c r="A816" s="4" t="str">
        <f>IFERROR(__xludf.DUMMYFUNCTION("""COMPUTED_VALUE"""),"Unknown")</f>
        <v>Unknown</v>
      </c>
      <c r="B816" s="4" t="str">
        <f>IFERROR(__xludf.DUMMYFUNCTION("""COMPUTED_VALUE"""),"WindowAction")</f>
        <v>WindowAction</v>
      </c>
      <c r="C816" s="4" t="str">
        <f>IFERROR(__xludf.DUMMYFUNCTION("""COMPUTED_VALUE"""),"1DUwxSUq_47EK60XmK3LOdCXa1fkWqWJE9bLuGS3ccv412")</f>
        <v>1DUwxSUq_47EK60XmK3LOdCXa1fkWqWJE9bLuGS3ccv412</v>
      </c>
      <c r="D816" s="4"/>
      <c r="E816" s="4"/>
      <c r="F816" s="4"/>
      <c r="G816" s="4"/>
      <c r="H816" s="4"/>
      <c r="I816" s="4"/>
      <c r="J816" s="4"/>
      <c r="K816" s="4"/>
      <c r="L816" s="4"/>
    </row>
    <row r="817" ht="15.75" customHeight="1">
      <c r="A817" s="4" t="str">
        <f>IFERROR(__xludf.DUMMYFUNCTION("""COMPUTED_VALUE"""),"PTT")</f>
        <v>PTT</v>
      </c>
      <c r="B817" s="4" t="str">
        <f>IFERROR(__xludf.DUMMYFUNCTION("""COMPUTED_VALUE"""),"VerifyAllocationDetailsSam")</f>
        <v>VerifyAllocationDetailsSam</v>
      </c>
      <c r="C817" s="4" t="str">
        <f>IFERROR(__xludf.DUMMYFUNCTION("""COMPUTED_VALUE"""),"1DUwxSUq_47EK60XmK3LOdCXa1fkWqWJE9bLuGS3ccv412")</f>
        <v>1DUwxSUq_47EK60XmK3LOdCXa1fkWqWJE9bLuGS3ccv412</v>
      </c>
      <c r="D817" s="4"/>
      <c r="E817" s="4"/>
      <c r="F817" s="4"/>
      <c r="G817" s="4"/>
      <c r="H817" s="4"/>
      <c r="I817" s="4"/>
      <c r="J817" s="4"/>
      <c r="K817" s="4"/>
      <c r="L817" s="4"/>
    </row>
    <row r="818" ht="15.75" customHeight="1">
      <c r="A818" s="4" t="str">
        <f>IFERROR(__xludf.DUMMYFUNCTION("""COMPUTED_VALUE"""),"Blotter")</f>
        <v>Blotter</v>
      </c>
      <c r="B818" s="4" t="str">
        <f>IFERROR(__xludf.DUMMYFUNCTION("""COMPUTED_VALUE"""),"VerifyExpandedBR")</f>
        <v>VerifyExpandedBR</v>
      </c>
      <c r="C818" s="4" t="str">
        <f>IFERROR(__xludf.DUMMYFUNCTION("""COMPUTED_VALUE"""),"1DUwxSUq_47EK60XmK3LOdCXa1fkWqWJE9bLuGS3ccv412")</f>
        <v>1DUwxSUq_47EK60XmK3LOdCXa1fkWqWJE9bLuGS3ccv412</v>
      </c>
      <c r="D818" s="4"/>
      <c r="E818" s="4"/>
      <c r="F818" s="4"/>
      <c r="G818" s="4"/>
      <c r="H818" s="4"/>
      <c r="I818" s="4"/>
      <c r="J818" s="4"/>
      <c r="K818" s="4"/>
      <c r="L818" s="4"/>
    </row>
    <row r="819" ht="15.75" customHeight="1">
      <c r="A819" s="4" t="str">
        <f>IFERROR(__xludf.DUMMYFUNCTION("""COMPUTED_VALUE"""),"Unknown")</f>
        <v>Unknown</v>
      </c>
      <c r="B819" s="4" t="str">
        <f>IFERROR(__xludf.DUMMYFUNCTION("""COMPUTED_VALUE"""),"CheckModStatus")</f>
        <v>CheckModStatus</v>
      </c>
      <c r="C819" s="4" t="str">
        <f>IFERROR(__xludf.DUMMYFUNCTION("""COMPUTED_VALUE"""),"1S0obfxcw-fBa8_NHZx6E2ddpXBy262moOyglnQyX8XA")</f>
        <v>1S0obfxcw-fBa8_NHZx6E2ddpXBy262moOyglnQyX8XA</v>
      </c>
      <c r="D819" s="4"/>
      <c r="E819" s="4"/>
      <c r="F819" s="4"/>
      <c r="G819" s="4"/>
      <c r="H819" s="4"/>
      <c r="I819" s="4"/>
      <c r="J819" s="4"/>
      <c r="K819" s="4"/>
      <c r="L819" s="4"/>
    </row>
    <row r="820" ht="15.75" customHeight="1">
      <c r="A820" s="4" t="str">
        <f>IFERROR(__xludf.DUMMYFUNCTION("""COMPUTED_VALUE"""),"Allocation")</f>
        <v>Allocation</v>
      </c>
      <c r="B820" s="4" t="str">
        <f>IFERROR(__xludf.DUMMYFUNCTION("""COMPUTED_VALUE"""),"ActionOnGroupBox")</f>
        <v>ActionOnGroupBox</v>
      </c>
      <c r="C820" s="4" t="str">
        <f>IFERROR(__xludf.DUMMYFUNCTION("""COMPUTED_VALUE"""),"1DUwxSUq_47EK60XmK3LOdCXa1fkWqWJE9bLuGS3ccv412")</f>
        <v>1DUwxSUq_47EK60XmK3LOdCXa1fkWqWJE9bLuGS3ccv412</v>
      </c>
      <c r="D820" s="4"/>
      <c r="E820" s="4"/>
      <c r="F820" s="4"/>
      <c r="G820" s="4"/>
      <c r="H820" s="4"/>
      <c r="I820" s="4"/>
      <c r="J820" s="4"/>
      <c r="K820" s="4"/>
      <c r="L820" s="4"/>
    </row>
    <row r="821" ht="15.75" customHeight="1">
      <c r="A821" s="4" t="str">
        <f>IFERROR(__xludf.DUMMYFUNCTION("""COMPUTED_VALUE"""),"Rebalancer")</f>
        <v>Rebalancer</v>
      </c>
      <c r="B821" s="4" t="str">
        <f>IFERROR(__xludf.DUMMYFUNCTION("""COMPUTED_VALUE"""),"CreateOrViewMP")</f>
        <v>CreateOrViewMP</v>
      </c>
      <c r="C821" s="4" t="str">
        <f>IFERROR(__xludf.DUMMYFUNCTION("""COMPUTED_VALUE"""),"1DUwxSUq_47EK60XmK3LOdCXa1fkWqWJE9bLuGS3ccv412")</f>
        <v>1DUwxSUq_47EK60XmK3LOdCXa1fkWqWJE9bLuGS3ccv412</v>
      </c>
      <c r="D821" s="4"/>
      <c r="E821" s="4"/>
      <c r="F821" s="4"/>
      <c r="G821" s="4"/>
      <c r="H821" s="4"/>
      <c r="I821" s="4"/>
      <c r="J821" s="4"/>
      <c r="K821" s="4"/>
      <c r="L821" s="4"/>
    </row>
    <row r="822" ht="15.75" customHeight="1">
      <c r="A822" s="4" t="str">
        <f>IFERROR(__xludf.DUMMYFUNCTION("""COMPUTED_VALUE"""),"Rebalancer")</f>
        <v>Rebalancer</v>
      </c>
      <c r="B822" s="4" t="str">
        <f>IFERROR(__xludf.DUMMYFUNCTION("""COMPUTED_VALUE"""),"SwitchTabRB")</f>
        <v>SwitchTabRB</v>
      </c>
      <c r="C822" s="4" t="str">
        <f>IFERROR(__xludf.DUMMYFUNCTION("""COMPUTED_VALUE"""),"1DUwxSUq_47EK60XmK3LOdCXa1fkWqWJE9bLuGS3ccv412")</f>
        <v>1DUwxSUq_47EK60XmK3LOdCXa1fkWqWJE9bLuGS3ccv412</v>
      </c>
      <c r="D822" s="4"/>
      <c r="E822" s="4"/>
      <c r="F822" s="4"/>
      <c r="G822" s="4"/>
      <c r="H822" s="4"/>
      <c r="I822" s="4"/>
      <c r="J822" s="4"/>
      <c r="K822" s="4"/>
      <c r="L822" s="4"/>
    </row>
    <row r="823" ht="15.75" customHeight="1">
      <c r="A823" s="4" t="str">
        <f>IFERROR(__xludf.DUMMYFUNCTION("""COMPUTED_VALUE"""),"Allocation")</f>
        <v>Allocation</v>
      </c>
      <c r="B823" s="4" t="str">
        <f>IFERROR(__xludf.DUMMYFUNCTION("""COMPUTED_VALUE"""),"SelectAllTradesAllocation")</f>
        <v>SelectAllTradesAllocation</v>
      </c>
      <c r="C823" s="4" t="str">
        <f>IFERROR(__xludf.DUMMYFUNCTION("""COMPUTED_VALUE"""),"1DUwxSUq_47EK60XmK3LOdCXa1fkWqWJE9bLuGS3ccv412")</f>
        <v>1DUwxSUq_47EK60XmK3LOdCXa1fkWqWJE9bLuGS3ccv412</v>
      </c>
      <c r="D823" s="4"/>
      <c r="E823" s="4"/>
      <c r="F823" s="4"/>
      <c r="G823" s="4"/>
      <c r="H823" s="4"/>
      <c r="I823" s="4"/>
      <c r="J823" s="4"/>
      <c r="K823" s="4"/>
      <c r="L823" s="4"/>
    </row>
    <row r="824" ht="15.75" customHeight="1">
      <c r="A824" s="4" t="str">
        <f>IFERROR(__xludf.DUMMYFUNCTION("""COMPUTED_VALUE"""),"Allocation")</f>
        <v>Allocation</v>
      </c>
      <c r="B824" s="4" t="str">
        <f>IFERROR(__xludf.DUMMYFUNCTION("""COMPUTED_VALUE"""),"SetFundDistribution")</f>
        <v>SetFundDistribution</v>
      </c>
      <c r="C824" s="4" t="str">
        <f>IFERROR(__xludf.DUMMYFUNCTION("""COMPUTED_VALUE"""),"1DUwxSUq_47EK60XmK3LOdCXa1fkWqWJE9bLuGS3ccv412")</f>
        <v>1DUwxSUq_47EK60XmK3LOdCXa1fkWqWJE9bLuGS3ccv412</v>
      </c>
      <c r="D824" s="4"/>
      <c r="E824" s="4"/>
      <c r="F824" s="4"/>
      <c r="G824" s="4"/>
      <c r="H824" s="4"/>
      <c r="I824" s="4"/>
      <c r="J824" s="4"/>
      <c r="K824" s="4"/>
      <c r="L824" s="4"/>
    </row>
    <row r="825" ht="15.75" customHeight="1">
      <c r="A825" s="4" t="str">
        <f>IFERROR(__xludf.DUMMYFUNCTION("""COMPUTED_VALUE"""),"Allocation")</f>
        <v>Allocation</v>
      </c>
      <c r="B825" s="4" t="str">
        <f>IFERROR(__xludf.DUMMYFUNCTION("""COMPUTED_VALUE"""),"OperationsonAllocation")</f>
        <v>OperationsonAllocation</v>
      </c>
      <c r="C825" s="4" t="str">
        <f>IFERROR(__xludf.DUMMYFUNCTION("""COMPUTED_VALUE"""),"1DUwxSUq_47EK60XmK3LOdCXa1fkWqWJE9bLuGS3ccv412")</f>
        <v>1DUwxSUq_47EK60XmK3LOdCXa1fkWqWJE9bLuGS3ccv412</v>
      </c>
      <c r="D825" s="4"/>
      <c r="E825" s="4"/>
      <c r="F825" s="4"/>
      <c r="G825" s="4"/>
      <c r="H825" s="4"/>
      <c r="I825" s="4"/>
      <c r="J825" s="4"/>
      <c r="K825" s="4"/>
      <c r="L825" s="4"/>
    </row>
    <row r="826" ht="15.75" customHeight="1">
      <c r="A826" s="4" t="str">
        <f>IFERROR(__xludf.DUMMYFUNCTION("""COMPUTED_VALUE"""),"Rebalancer")</f>
        <v>Rebalancer</v>
      </c>
      <c r="B826" s="4" t="str">
        <f>IFERROR(__xludf.DUMMYFUNCTION("""COMPUTED_VALUE"""),"SelectModelPortfolio")</f>
        <v>SelectModelPortfolio</v>
      </c>
      <c r="C826" s="4" t="str">
        <f>IFERROR(__xludf.DUMMYFUNCTION("""COMPUTED_VALUE"""),"1DUwxSUq_47EK60XmK3LOdCXa1fkWqWJE9bLuGS3ccv412")</f>
        <v>1DUwxSUq_47EK60XmK3LOdCXa1fkWqWJE9bLuGS3ccv412</v>
      </c>
      <c r="D826" s="4"/>
      <c r="E826" s="4"/>
      <c r="F826" s="4"/>
      <c r="G826" s="4"/>
      <c r="H826" s="4"/>
      <c r="I826" s="4"/>
      <c r="J826" s="4"/>
      <c r="K826" s="4"/>
      <c r="L826" s="4"/>
    </row>
    <row r="827" ht="15.75" customHeight="1">
      <c r="A827" s="4" t="str">
        <f>IFERROR(__xludf.DUMMYFUNCTION("""COMPUTED_VALUE"""),"Rebalancer")</f>
        <v>Rebalancer</v>
      </c>
      <c r="B827" s="4" t="str">
        <f>IFERROR(__xludf.DUMMYFUNCTION("""COMPUTED_VALUE"""),"OperationsonMPRB")</f>
        <v>OperationsonMPRB</v>
      </c>
      <c r="C827" s="4" t="str">
        <f>IFERROR(__xludf.DUMMYFUNCTION("""COMPUTED_VALUE"""),"1DUwxSUq_47EK60XmK3LOdCXa1fkWqWJE9bLuGS3ccv412")</f>
        <v>1DUwxSUq_47EK60XmK3LOdCXa1fkWqWJE9bLuGS3ccv412</v>
      </c>
      <c r="D827" s="4"/>
      <c r="E827" s="4"/>
      <c r="F827" s="4"/>
      <c r="G827" s="4"/>
      <c r="H827" s="4"/>
      <c r="I827" s="4"/>
      <c r="J827" s="4"/>
      <c r="K827" s="4"/>
      <c r="L827" s="4"/>
    </row>
    <row r="828" ht="15.75" customHeight="1">
      <c r="A828" s="4" t="str">
        <f>IFERROR(__xludf.DUMMYFUNCTION("""COMPUTED_VALUE"""),"Rebalancer")</f>
        <v>Rebalancer</v>
      </c>
      <c r="B828" s="4" t="str">
        <f>IFERROR(__xludf.DUMMYFUNCTION("""COMPUTED_VALUE"""),"VerifyMPRB")</f>
        <v>VerifyMPRB</v>
      </c>
      <c r="C828" s="4" t="str">
        <f>IFERROR(__xludf.DUMMYFUNCTION("""COMPUTED_VALUE"""),"1DUwxSUq_47EK60XmK3LOdCXa1fkWqWJE9bLuGS3ccv412")</f>
        <v>1DUwxSUq_47EK60XmK3LOdCXa1fkWqWJE9bLuGS3ccv412</v>
      </c>
      <c r="D828" s="4"/>
      <c r="E828" s="4"/>
      <c r="F828" s="4"/>
      <c r="G828" s="4"/>
      <c r="H828" s="4"/>
      <c r="I828" s="4"/>
      <c r="J828" s="4"/>
      <c r="K828" s="4"/>
      <c r="L828" s="4"/>
    </row>
    <row r="829" ht="15.75" customHeight="1">
      <c r="A829" s="4" t="str">
        <f>IFERROR(__xludf.DUMMYFUNCTION("""COMPUTED_VALUE"""),"Admin")</f>
        <v>Admin</v>
      </c>
      <c r="B829" s="4" t="str">
        <f>IFERROR(__xludf.DUMMYFUNCTION("""COMPUTED_VALUE"""),"BasketPermission")</f>
        <v>BasketPermission</v>
      </c>
      <c r="C829" s="4" t="str">
        <f>IFERROR(__xludf.DUMMYFUNCTION("""COMPUTED_VALUE"""),"17IDG53HtzAOlp_4FIV5uGfLm-MbCR9NktUckecZQFVU")</f>
        <v>17IDG53HtzAOlp_4FIV5uGfLm-MbCR9NktUckecZQFVU</v>
      </c>
      <c r="D829" s="4"/>
      <c r="E829" s="4"/>
      <c r="F829" s="4"/>
      <c r="G829" s="4"/>
      <c r="H829" s="4"/>
      <c r="I829" s="4"/>
      <c r="J829" s="4"/>
      <c r="K829" s="4"/>
      <c r="L829" s="4"/>
    </row>
    <row r="830" ht="15.75" customHeight="1">
      <c r="A830" s="4" t="str">
        <f>IFERROR(__xludf.DUMMYFUNCTION("""COMPUTED_VALUE"""),"Rebalancer")</f>
        <v>Rebalancer</v>
      </c>
      <c r="B830" s="4" t="str">
        <f>IFERROR(__xludf.DUMMYFUNCTION("""COMPUTED_VALUE"""),"ActiononCustomGroup")</f>
        <v>ActiononCustomGroup</v>
      </c>
      <c r="C830" s="4" t="str">
        <f>IFERROR(__xludf.DUMMYFUNCTION("""COMPUTED_VALUE"""),"1DUwxSUq_47EK60XmK3LOdCXa1fkWqWJE9bLuGS3ccv412")</f>
        <v>1DUwxSUq_47EK60XmK3LOdCXa1fkWqWJE9bLuGS3ccv412</v>
      </c>
      <c r="D830" s="4"/>
      <c r="E830" s="4"/>
      <c r="F830" s="4"/>
      <c r="G830" s="4"/>
      <c r="H830" s="4"/>
      <c r="I830" s="4"/>
      <c r="J830" s="4"/>
      <c r="K830" s="4"/>
      <c r="L830" s="4"/>
    </row>
    <row r="831" ht="15.75" customHeight="1">
      <c r="A831" s="4" t="str">
        <f>IFERROR(__xludf.DUMMYFUNCTION("""COMPUTED_VALUE"""),"Rebalancer")</f>
        <v>Rebalancer</v>
      </c>
      <c r="B831" s="4" t="str">
        <f>IFERROR(__xludf.DUMMYFUNCTION("""COMPUTED_VALUE"""),"SelectCustomGroups")</f>
        <v>SelectCustomGroups</v>
      </c>
      <c r="C831" s="4" t="str">
        <f>IFERROR(__xludf.DUMMYFUNCTION("""COMPUTED_VALUE"""),"1DUwxSUq_47EK60XmK3LOdCXa1fkWqWJE9bLuGS3ccv412")</f>
        <v>1DUwxSUq_47EK60XmK3LOdCXa1fkWqWJE9bLuGS3ccv412</v>
      </c>
      <c r="D831" s="4"/>
      <c r="E831" s="4"/>
      <c r="F831" s="4"/>
      <c r="G831" s="4"/>
      <c r="H831" s="4"/>
      <c r="I831" s="4"/>
      <c r="J831" s="4"/>
      <c r="K831" s="4"/>
      <c r="L831" s="4"/>
    </row>
    <row r="832" ht="15.75" customHeight="1">
      <c r="A832" s="4" t="str">
        <f>IFERROR(__xludf.DUMMYFUNCTION("""COMPUTED_VALUE"""),"Rebalancer")</f>
        <v>Rebalancer</v>
      </c>
      <c r="B832" s="4" t="str">
        <f>IFERROR(__xludf.DUMMYFUNCTION("""COMPUTED_VALUE"""),"SelectAssignedAccounts")</f>
        <v>SelectAssignedAccounts</v>
      </c>
      <c r="C832" s="4" t="str">
        <f>IFERROR(__xludf.DUMMYFUNCTION("""COMPUTED_VALUE"""),"1DUwxSUq_47EK60XmK3LOdCXa1fkWqWJE9bLuGS3ccv412")</f>
        <v>1DUwxSUq_47EK60XmK3LOdCXa1fkWqWJE9bLuGS3ccv412</v>
      </c>
      <c r="D832" s="4"/>
      <c r="E832" s="4"/>
      <c r="F832" s="4"/>
      <c r="G832" s="4"/>
      <c r="H832" s="4"/>
      <c r="I832" s="4"/>
      <c r="J832" s="4"/>
      <c r="K832" s="4"/>
      <c r="L832" s="4"/>
    </row>
    <row r="833" ht="15.75" customHeight="1">
      <c r="A833" s="4" t="str">
        <f>IFERROR(__xludf.DUMMYFUNCTION("""COMPUTED_VALUE"""),"Rebalancer")</f>
        <v>Rebalancer</v>
      </c>
      <c r="B833" s="4" t="str">
        <f>IFERROR(__xludf.DUMMYFUNCTION("""COMPUTED_VALUE"""),"SelectUnAssignedAccounts")</f>
        <v>SelectUnAssignedAccounts</v>
      </c>
      <c r="C833" s="4" t="str">
        <f>IFERROR(__xludf.DUMMYFUNCTION("""COMPUTED_VALUE"""),"1DUwxSUq_47EK60XmK3LOdCXa1fkWqWJE9bLuGS3ccv412")</f>
        <v>1DUwxSUq_47EK60XmK3LOdCXa1fkWqWJE9bLuGS3ccv412</v>
      </c>
      <c r="D833" s="4"/>
      <c r="E833" s="4"/>
      <c r="F833" s="4"/>
      <c r="G833" s="4"/>
      <c r="H833" s="4"/>
      <c r="I833" s="4"/>
      <c r="J833" s="4"/>
      <c r="K833" s="4"/>
      <c r="L833" s="4"/>
    </row>
    <row r="834" ht="15.75" customHeight="1">
      <c r="A834" s="4" t="str">
        <f>IFERROR(__xludf.DUMMYFUNCTION("""COMPUTED_VALUE"""),"Rebalancer")</f>
        <v>Rebalancer</v>
      </c>
      <c r="B834" s="4" t="str">
        <f>IFERROR(__xludf.DUMMYFUNCTION("""COMPUTED_VALUE"""),"VerifyCustomGroups")</f>
        <v>VerifyCustomGroups</v>
      </c>
      <c r="C834" s="4" t="str">
        <f>IFERROR(__xludf.DUMMYFUNCTION("""COMPUTED_VALUE"""),"1DUwxSUq_47EK60XmK3LOdCXa1fkWqWJE9bLuGS3ccv412")</f>
        <v>1DUwxSUq_47EK60XmK3LOdCXa1fkWqWJE9bLuGS3ccv412</v>
      </c>
      <c r="D834" s="4"/>
      <c r="E834" s="4"/>
      <c r="F834" s="4"/>
      <c r="G834" s="4"/>
      <c r="H834" s="4"/>
      <c r="I834" s="4"/>
      <c r="J834" s="4"/>
      <c r="K834" s="4"/>
      <c r="L834" s="4"/>
    </row>
    <row r="835" ht="15.75" customHeight="1">
      <c r="A835" s="4" t="str">
        <f>IFERROR(__xludf.DUMMYFUNCTION("""COMPUTED_VALUE"""),"Rebalancer")</f>
        <v>Rebalancer</v>
      </c>
      <c r="B835" s="4" t="str">
        <f>IFERROR(__xludf.DUMMYFUNCTION("""COMPUTED_VALUE"""),"VerifyAssignedAccounts")</f>
        <v>VerifyAssignedAccounts</v>
      </c>
      <c r="C835" s="4" t="str">
        <f>IFERROR(__xludf.DUMMYFUNCTION("""COMPUTED_VALUE"""),"1DUwxSUq_47EK60XmK3LOdCXa1fkWqWJE9bLuGS3ccv412")</f>
        <v>1DUwxSUq_47EK60XmK3LOdCXa1fkWqWJE9bLuGS3ccv412</v>
      </c>
      <c r="D835" s="4"/>
      <c r="E835" s="4"/>
      <c r="F835" s="4"/>
      <c r="G835" s="4"/>
      <c r="H835" s="4"/>
      <c r="I835" s="4"/>
      <c r="J835" s="4"/>
      <c r="K835" s="4"/>
      <c r="L835" s="4"/>
    </row>
    <row r="836" ht="15.75" customHeight="1">
      <c r="A836" s="4" t="str">
        <f>IFERROR(__xludf.DUMMYFUNCTION("""COMPUTED_VALUE"""),"Rebalancer")</f>
        <v>Rebalancer</v>
      </c>
      <c r="B836" s="4" t="str">
        <f>IFERROR(__xludf.DUMMYFUNCTION("""COMPUTED_VALUE"""),"VerifyUnAssignedAccounts")</f>
        <v>VerifyUnAssignedAccounts</v>
      </c>
      <c r="C836" s="4" t="str">
        <f>IFERROR(__xludf.DUMMYFUNCTION("""COMPUTED_VALUE"""),"1DUwxSUq_47EK60XmK3LOdCXa1fkWqWJE9bLuGS3ccv412")</f>
        <v>1DUwxSUq_47EK60XmK3LOdCXa1fkWqWJE9bLuGS3ccv412</v>
      </c>
      <c r="D836" s="4"/>
      <c r="E836" s="4"/>
      <c r="F836" s="4"/>
      <c r="G836" s="4"/>
      <c r="H836" s="4"/>
      <c r="I836" s="4"/>
      <c r="J836" s="4"/>
      <c r="K836" s="4"/>
      <c r="L836" s="4"/>
    </row>
    <row r="837" ht="15.75" customHeight="1">
      <c r="A837" s="4" t="str">
        <f>IFERROR(__xludf.DUMMYFUNCTION("""COMPUTED_VALUE"""),"Allocation")</f>
        <v>Allocation</v>
      </c>
      <c r="B837" s="4" t="str">
        <f>IFERROR(__xludf.DUMMYFUNCTION("""COMPUTED_VALUE"""),"VerifyAllocationStatusBar")</f>
        <v>VerifyAllocationStatusBar</v>
      </c>
      <c r="C837" s="4" t="str">
        <f>IFERROR(__xludf.DUMMYFUNCTION("""COMPUTED_VALUE"""),"1xGSEHe1MiU9TD2PSlKIl96W7bOhlWvmTLQB")</f>
        <v>1xGSEHe1MiU9TD2PSlKIl96W7bOhlWvmTLQB</v>
      </c>
      <c r="D837" s="4"/>
      <c r="E837" s="4"/>
      <c r="F837" s="4"/>
      <c r="G837" s="4"/>
      <c r="H837" s="4"/>
      <c r="I837" s="4"/>
      <c r="J837" s="4"/>
      <c r="K837" s="4"/>
      <c r="L837" s="4"/>
    </row>
    <row r="838" ht="15.75" customHeight="1">
      <c r="A838" s="4" t="str">
        <f>IFERROR(__xludf.DUMMYFUNCTION("""COMPUTED_VALUE"""),"Rebalancer")</f>
        <v>Rebalancer</v>
      </c>
      <c r="B838" s="4" t="str">
        <f>IFERROR(__xludf.DUMMYFUNCTION("""COMPUTED_VALUE"""),"ActiononRebalance")</f>
        <v>ActiononRebalance</v>
      </c>
      <c r="C838" s="4" t="str">
        <f>IFERROR(__xludf.DUMMYFUNCTION("""COMPUTED_VALUE"""),"1DUwxSUq_47EK60XmK3LOdCXa1fkWqWJE9bLuGS3ccv412")</f>
        <v>1DUwxSUq_47EK60XmK3LOdCXa1fkWqWJE9bLuGS3ccv412</v>
      </c>
      <c r="D838" s="4"/>
      <c r="E838" s="4"/>
      <c r="F838" s="4"/>
      <c r="G838" s="4"/>
      <c r="H838" s="4"/>
      <c r="I838" s="4"/>
      <c r="J838" s="4"/>
      <c r="K838" s="4"/>
      <c r="L838" s="4"/>
    </row>
    <row r="839" ht="15.75" customHeight="1">
      <c r="A839" s="4" t="str">
        <f>IFERROR(__xludf.DUMMYFUNCTION("""COMPUTED_VALUE"""),"MultiTradingTicket")</f>
        <v>MultiTradingTicket</v>
      </c>
      <c r="B839" s="4" t="str">
        <f>IFERROR(__xludf.DUMMYFUNCTION("""COMPUTED_VALUE"""),"BulkUpdateonMTT ")</f>
        <v>BulkUpdateonMTT </v>
      </c>
      <c r="C839" s="4" t="str">
        <f>IFERROR(__xludf.DUMMYFUNCTION("""COMPUTED_VALUE"""),"1DUwxSUq_47EK60XmK3LOdCXa1fkWqWJE9bLuGS3ccv412")</f>
        <v>1DUwxSUq_47EK60XmK3LOdCXa1fkWqWJE9bLuGS3ccv412</v>
      </c>
      <c r="D839" s="4"/>
      <c r="E839" s="4"/>
      <c r="F839" s="4"/>
      <c r="G839" s="4"/>
      <c r="H839" s="4"/>
      <c r="I839" s="4"/>
      <c r="J839" s="4"/>
      <c r="K839" s="4"/>
      <c r="L839" s="4"/>
    </row>
    <row r="840" ht="15.75" customHeight="1">
      <c r="A840" s="4" t="str">
        <f>IFERROR(__xludf.DUMMYFUNCTION("""COMPUTED_VALUE"""),"MultiTradingTicket")</f>
        <v>MultiTradingTicket</v>
      </c>
      <c r="B840" s="4" t="str">
        <f>IFERROR(__xludf.DUMMYFUNCTION("""COMPUTED_VALUE"""),"CustomOrderMTT")</f>
        <v>CustomOrderMTT</v>
      </c>
      <c r="C840" s="4" t="str">
        <f>IFERROR(__xludf.DUMMYFUNCTION("""COMPUTED_VALUE"""),"1DUwxSUq_47EK60XmK3LOdCXa1fkWqWJE9bLuGS3ccv412")</f>
        <v>1DUwxSUq_47EK60XmK3LOdCXa1fkWqWJE9bLuGS3ccv412</v>
      </c>
      <c r="D840" s="4"/>
      <c r="E840" s="4"/>
      <c r="F840" s="4"/>
      <c r="G840" s="4"/>
      <c r="H840" s="4"/>
      <c r="I840" s="4"/>
      <c r="J840" s="4"/>
      <c r="K840" s="4"/>
      <c r="L840" s="4"/>
    </row>
    <row r="841" ht="15.75" customHeight="1">
      <c r="A841" s="4" t="str">
        <f>IFERROR(__xludf.DUMMYFUNCTION("""COMPUTED_VALUE"""),"Rebalancer")</f>
        <v>Rebalancer</v>
      </c>
      <c r="B841" s="4" t="str">
        <f>IFERROR(__xludf.DUMMYFUNCTION("""COMPUTED_VALUE"""),"MoveToAssignedList")</f>
        <v>MoveToAssignedList</v>
      </c>
      <c r="C841" s="4" t="str">
        <f>IFERROR(__xludf.DUMMYFUNCTION("""COMPUTED_VALUE"""),"1DUwxSUq_47EK60XmK3LOdCXa1fkWqWJE9bLuGS3ccv412")</f>
        <v>1DUwxSUq_47EK60XmK3LOdCXa1fkWqWJE9bLuGS3ccv412</v>
      </c>
      <c r="D841" s="4"/>
      <c r="E841" s="4"/>
      <c r="F841" s="4"/>
      <c r="G841" s="4"/>
      <c r="H841" s="4"/>
      <c r="I841" s="4"/>
      <c r="J841" s="4"/>
      <c r="K841" s="4"/>
      <c r="L841" s="4"/>
    </row>
    <row r="842" ht="15.75" customHeight="1">
      <c r="A842" s="4" t="str">
        <f>IFERROR(__xludf.DUMMYFUNCTION("""COMPUTED_VALUE"""),"TradingTicket")</f>
        <v>TradingTicket</v>
      </c>
      <c r="B842" s="4" t="str">
        <f>IFERROR(__xludf.DUMMYFUNCTION("""COMPUTED_VALUE"""),"ActionOnPrompt")</f>
        <v>ActionOnPrompt</v>
      </c>
      <c r="C842" s="4" t="str">
        <f>IFERROR(__xludf.DUMMYFUNCTION("""COMPUTED_VALUE"""),"1DUwxSUq_47EK60XmK3LOdCXa1fkWqWJE9bLuGS3ccv412")</f>
        <v>1DUwxSUq_47EK60XmK3LOdCXa1fkWqWJE9bLuGS3ccv412</v>
      </c>
      <c r="D842" s="4"/>
      <c r="E842" s="4"/>
      <c r="F842" s="4"/>
      <c r="G842" s="4"/>
      <c r="H842" s="4"/>
      <c r="I842" s="4"/>
      <c r="J842" s="4"/>
      <c r="K842" s="4"/>
      <c r="L842" s="4"/>
    </row>
    <row r="843" ht="15.75" customHeight="1">
      <c r="A843" s="4" t="str">
        <f>IFERROR(__xludf.DUMMYFUNCTION("""COMPUTED_VALUE"""),"Rebalancer")</f>
        <v>Rebalancer</v>
      </c>
      <c r="B843" s="4" t="str">
        <f>IFERROR(__xludf.DUMMYFUNCTION("""COMPUTED_VALUE"""),"VerifyRBStatusBar")</f>
        <v>VerifyRBStatusBar</v>
      </c>
      <c r="C843" s="4" t="str">
        <f>IFERROR(__xludf.DUMMYFUNCTION("""COMPUTED_VALUE"""),"1DUwxSUq_47EK60XmK3LOdCXa1fkWqWJE9bLuGS3ccv412")</f>
        <v>1DUwxSUq_47EK60XmK3LOdCXa1fkWqWJE9bLuGS3ccv412</v>
      </c>
      <c r="D843" s="4"/>
      <c r="E843" s="4"/>
      <c r="F843" s="4"/>
      <c r="G843" s="4"/>
      <c r="H843" s="4"/>
      <c r="I843" s="4"/>
      <c r="J843" s="4"/>
      <c r="K843" s="4"/>
      <c r="L843" s="4"/>
    </row>
    <row r="844" ht="15.75" customHeight="1">
      <c r="A844" s="4" t="str">
        <f>IFERROR(__xludf.DUMMYFUNCTION("""COMPUTED_VALUE"""),"MultiTradingTicket")</f>
        <v>MultiTradingTicket</v>
      </c>
      <c r="B844" s="4" t="str">
        <f>IFERROR(__xludf.DUMMYFUNCTION("""COMPUTED_VALUE"""),"SelectAllMTT")</f>
        <v>SelectAllMTT</v>
      </c>
      <c r="C844" s="4" t="str">
        <f>IFERROR(__xludf.DUMMYFUNCTION("""COMPUTED_VALUE"""),"1DUwxSUq_47EK60XmK3LOdCXa1fkWqWJE9bLuGS3ccv412")</f>
        <v>1DUwxSUq_47EK60XmK3LOdCXa1fkWqWJE9bLuGS3ccv412</v>
      </c>
      <c r="D844" s="4"/>
      <c r="E844" s="4"/>
      <c r="F844" s="4"/>
      <c r="G844" s="4"/>
      <c r="H844" s="4"/>
      <c r="I844" s="4"/>
      <c r="J844" s="4"/>
      <c r="K844" s="4"/>
      <c r="L844" s="4"/>
    </row>
    <row r="845" ht="15.75" customHeight="1">
      <c r="A845" s="4" t="str">
        <f>IFERROR(__xludf.DUMMYFUNCTION("""COMPUTED_VALUE"""),"MultiTradingTicket")</f>
        <v>MultiTradingTicket</v>
      </c>
      <c r="B845" s="4" t="str">
        <f>IFERROR(__xludf.DUMMYFUNCTION("""COMPUTED_VALUE"""),"SelectTradesMTT")</f>
        <v>SelectTradesMTT</v>
      </c>
      <c r="C845" s="4" t="str">
        <f>IFERROR(__xludf.DUMMYFUNCTION("""COMPUTED_VALUE"""),"1DUwxSUq_47EK60XmK3LOdCXa1fkWqWJE9bLuGS3ccv412")</f>
        <v>1DUwxSUq_47EK60XmK3LOdCXa1fkWqWJE9bLuGS3ccv412</v>
      </c>
      <c r="D845" s="4"/>
      <c r="E845" s="4"/>
      <c r="F845" s="4"/>
      <c r="G845" s="4"/>
      <c r="H845" s="4"/>
      <c r="I845" s="4"/>
      <c r="J845" s="4"/>
      <c r="K845" s="4"/>
      <c r="L845" s="4"/>
    </row>
    <row r="846" ht="15.75" customHeight="1">
      <c r="A846" s="4" t="str">
        <f>IFERROR(__xludf.DUMMYFUNCTION("""COMPUTED_VALUE"""),"MultiTradingTicket")</f>
        <v>MultiTradingTicket</v>
      </c>
      <c r="B846" s="4" t="str">
        <f>IFERROR(__xludf.DUMMYFUNCTION("""COMPUTED_VALUE"""),"OperationonMTT")</f>
        <v>OperationonMTT</v>
      </c>
      <c r="C846" s="4" t="str">
        <f>IFERROR(__xludf.DUMMYFUNCTION("""COMPUTED_VALUE"""),"1DUwxSUq_47EK60XmK3LOdCXa1fkWqWJE9bLuGS3ccv412")</f>
        <v>1DUwxSUq_47EK60XmK3LOdCXa1fkWqWJE9bLuGS3ccv412</v>
      </c>
      <c r="D846" s="4"/>
      <c r="E846" s="4"/>
      <c r="F846" s="4"/>
      <c r="G846" s="4"/>
      <c r="H846" s="4"/>
      <c r="I846" s="4"/>
      <c r="J846" s="4"/>
      <c r="K846" s="4"/>
      <c r="L846" s="4"/>
    </row>
    <row r="847" ht="15.75" customHeight="1">
      <c r="A847" s="4" t="str">
        <f>IFERROR(__xludf.DUMMYFUNCTION("""COMPUTED_VALUE"""),"Allocation")</f>
        <v>Allocation</v>
      </c>
      <c r="B847" s="4" t="str">
        <f>IFERROR(__xludf.DUMMYFUNCTION("""COMPUTED_VALUE"""),"VerifyExpansionIndicator")</f>
        <v>VerifyExpansionIndicator</v>
      </c>
      <c r="C847" s="4" t="str">
        <f>IFERROR(__xludf.DUMMYFUNCTION("""COMPUTED_VALUE"""),"1DUwxSUq_47EK60XmK3LOdCXa1fkWqWJE9bLuGS3ccv412")</f>
        <v>1DUwxSUq_47EK60XmK3LOdCXa1fkWqWJE9bLuGS3ccv412</v>
      </c>
      <c r="D847" s="4"/>
      <c r="E847" s="4"/>
      <c r="F847" s="4"/>
      <c r="G847" s="4"/>
      <c r="H847" s="4"/>
      <c r="I847" s="4"/>
      <c r="J847" s="4"/>
      <c r="K847" s="4"/>
      <c r="L847" s="4"/>
    </row>
    <row r="848" ht="15.75" customHeight="1">
      <c r="A848" s="4" t="str">
        <f>IFERROR(__xludf.DUMMYFUNCTION("""COMPUTED_VALUE"""),"PTT")</f>
        <v>PTT</v>
      </c>
      <c r="B848" s="4" t="str">
        <f>IFERROR(__xludf.DUMMYFUNCTION("""COMPUTED_VALUE"""),"VerifyPTTUI")</f>
        <v>VerifyPTTUI</v>
      </c>
      <c r="C848" s="4" t="str">
        <f>IFERROR(__xludf.DUMMYFUNCTION("""COMPUTED_VALUE"""),"1DUwxSUq_47EK60XmK3LOdCXa1fkWqWJE9bLuGS3ccv412")</f>
        <v>1DUwxSUq_47EK60XmK3LOdCXa1fkWqWJE9bLuGS3ccv412</v>
      </c>
      <c r="D848" s="4"/>
      <c r="E848" s="4"/>
      <c r="F848" s="4"/>
      <c r="G848" s="4"/>
      <c r="H848" s="4"/>
      <c r="I848" s="4"/>
      <c r="J848" s="4"/>
      <c r="K848" s="4"/>
      <c r="L848" s="4"/>
    </row>
    <row r="849" ht="15.75" customHeight="1">
      <c r="A849" s="4" t="str">
        <f>IFERROR(__xludf.DUMMYFUNCTION("""COMPUTED_VALUE"""),"PranaClient")</f>
        <v>PranaClient</v>
      </c>
      <c r="B849" s="4" t="str">
        <f>IFERROR(__xludf.DUMMYFUNCTION("""COMPUTED_VALUE"""),"OpenModule")</f>
        <v>OpenModule</v>
      </c>
      <c r="C849" s="4" t="str">
        <f>IFERROR(__xludf.DUMMYFUNCTION("""COMPUTED_VALUE"""),"1L-UVWUTPBRTuEZmbLDReT0I7a0h7ABWiidO4dyyCx34")</f>
        <v>1L-UVWUTPBRTuEZmbLDReT0I7a0h7ABWiidO4dyyCx34</v>
      </c>
      <c r="D849" s="4"/>
      <c r="E849" s="4"/>
      <c r="F849" s="4"/>
      <c r="G849" s="4"/>
      <c r="H849" s="4"/>
      <c r="I849" s="4"/>
      <c r="J849" s="4"/>
      <c r="K849" s="4"/>
      <c r="L849" s="4"/>
    </row>
    <row r="850" ht="15.75" customHeight="1">
      <c r="A850" s="4" t="str">
        <f>IFERROR(__xludf.DUMMYFUNCTION("""COMPUTED_VALUE"""),"Unknown")</f>
        <v>Unknown</v>
      </c>
      <c r="B850" s="4" t="str">
        <f>IFERROR(__xludf.DUMMYFUNCTION("""COMPUTED_VALUE"""),"CheckWindow")</f>
        <v>CheckWindow</v>
      </c>
      <c r="C850" s="4" t="str">
        <f>IFERROR(__xludf.DUMMYFUNCTION("""COMPUTED_VALUE"""),"1DUwxSUq_47EK60XmK3LOdCXa1fkWqWJE9bLuGS3ccv412")</f>
        <v>1DUwxSUq_47EK60XmK3LOdCXa1fkWqWJE9bLuGS3ccv412</v>
      </c>
      <c r="D850" s="4"/>
      <c r="E850" s="4"/>
      <c r="F850" s="4"/>
      <c r="G850" s="4"/>
      <c r="H850" s="4"/>
      <c r="I850" s="4"/>
      <c r="J850" s="4"/>
      <c r="K850" s="4"/>
      <c r="L850" s="4"/>
    </row>
    <row r="851" ht="15.75" customHeight="1">
      <c r="A851" s="4" t="str">
        <f>IFERROR(__xludf.DUMMYFUNCTION("""COMPUTED_VALUE"""),"TradingTicket")</f>
        <v>TradingTicket</v>
      </c>
      <c r="B851" s="4" t="str">
        <f>IFERROR(__xludf.DUMMYFUNCTION("""COMPUTED_VALUE"""),"VerifyExecutionType")</f>
        <v>VerifyExecutionType</v>
      </c>
      <c r="C851" s="4" t="str">
        <f>IFERROR(__xludf.DUMMYFUNCTION("""COMPUTED_VALUE"""),"1GeLKG0YL6nDFQYX8NohWSG0yonppxuSHWgOuwLzEWwI")</f>
        <v>1GeLKG0YL6nDFQYX8NohWSG0yonppxuSHWgOuwLzEWwI</v>
      </c>
      <c r="D851" s="4"/>
      <c r="E851" s="4"/>
      <c r="F851" s="4"/>
      <c r="G851" s="4"/>
      <c r="H851" s="4"/>
      <c r="I851" s="4"/>
      <c r="J851" s="4"/>
      <c r="K851" s="4"/>
      <c r="L851" s="4"/>
    </row>
    <row r="852" ht="15.75" customHeight="1">
      <c r="A852" s="4" t="str">
        <f>IFERROR(__xludf.DUMMYFUNCTION("""COMPUTED_VALUE"""),"Blotter")</f>
        <v>Blotter</v>
      </c>
      <c r="B852" s="4" t="str">
        <f>IFERROR(__xludf.DUMMYFUNCTION("""COMPUTED_VALUE"""),"VerifyBlotter")</f>
        <v>VerifyBlotter</v>
      </c>
      <c r="C852" s="4" t="str">
        <f>IFERROR(__xludf.DUMMYFUNCTION("""COMPUTED_VALUE"""),"1DUwxSUq_47EK60XmK3LOdCXa1fkWqWJE9bLuGS3ccv412")</f>
        <v>1DUwxSUq_47EK60XmK3LOdCXa1fkWqWJE9bLuGS3ccv412</v>
      </c>
      <c r="D852" s="4"/>
      <c r="E852" s="4"/>
      <c r="F852" s="4"/>
      <c r="G852" s="4"/>
      <c r="H852" s="4"/>
      <c r="I852" s="4"/>
      <c r="J852" s="4"/>
      <c r="K852" s="4"/>
      <c r="L852" s="4"/>
    </row>
    <row r="853" ht="15.75" customHeight="1">
      <c r="A853" s="4" t="str">
        <f>IFERROR(__xludf.DUMMYFUNCTION("""COMPUTED_VALUE"""),"OpenFin")</f>
        <v>OpenFin</v>
      </c>
      <c r="B853" s="4" t="str">
        <f>IFERROR(__xludf.DUMMYFUNCTION("""COMPUTED_VALUE"""),"VerifyNotification")</f>
        <v>VerifyNotification</v>
      </c>
      <c r="C853" s="4" t="str">
        <f>IFERROR(__xludf.DUMMYFUNCTION("""COMPUTED_VALUE"""),"1rm7dGZ4-j6MPtyiMlJDHnZgIjnFk8Hv19VRPaPCgUMY")</f>
        <v>1rm7dGZ4-j6MPtyiMlJDHnZgIjnFk8Hv19VRPaPCgUMY</v>
      </c>
      <c r="D853" s="4"/>
      <c r="E853" s="4"/>
      <c r="F853" s="4"/>
      <c r="G853" s="4"/>
      <c r="H853" s="4"/>
      <c r="I853" s="4"/>
      <c r="J853" s="4"/>
      <c r="K853" s="4"/>
      <c r="L853" s="4"/>
    </row>
    <row r="854" ht="15.75" customHeight="1">
      <c r="A854" s="4" t="str">
        <f>IFERROR(__xludf.DUMMYFUNCTION("""COMPUTED_VALUE"""),"TradingTicket")</f>
        <v>TradingTicket</v>
      </c>
      <c r="B854" s="4" t="str">
        <f>IFERROR(__xludf.DUMMYFUNCTION("""COMPUTED_VALUE"""),"VerifyPopupAlignment")</f>
        <v>VerifyPopupAlignment</v>
      </c>
      <c r="C854" s="4" t="str">
        <f>IFERROR(__xludf.DUMMYFUNCTION("""COMPUTED_VALUE"""),"1PAyxzLHPOj64pXbS5W7uBsuT035g_GlIT1xXUjFNRUk")</f>
        <v>1PAyxzLHPOj64pXbS5W7uBsuT035g_GlIT1xXUjFNRUk</v>
      </c>
      <c r="D854" s="4"/>
      <c r="E854" s="4"/>
      <c r="F854" s="4"/>
      <c r="G854" s="4"/>
      <c r="H854" s="4"/>
      <c r="I854" s="4"/>
      <c r="J854" s="4"/>
      <c r="K854" s="4"/>
      <c r="L854" s="4"/>
    </row>
    <row r="855" ht="15.75" customHeight="1">
      <c r="A855" s="4" t="str">
        <f>IFERROR(__xludf.DUMMYFUNCTION("""COMPUTED_VALUE"""),"TradingTicket")</f>
        <v>TradingTicket</v>
      </c>
      <c r="B855" s="4" t="str">
        <f>IFERROR(__xludf.DUMMYFUNCTION("""COMPUTED_VALUE"""),"SelectET")</f>
        <v>SelectET</v>
      </c>
      <c r="C855" s="4" t="str">
        <f>IFERROR(__xludf.DUMMYFUNCTION("""COMPUTED_VALUE"""),"1Tpuk-xqnvfBtaWXtAffyW0Chu9RCysO1V7PE2wbI7Xk")</f>
        <v>1Tpuk-xqnvfBtaWXtAffyW0Chu9RCysO1V7PE2wbI7Xk</v>
      </c>
      <c r="D855" s="4"/>
      <c r="E855" s="4"/>
      <c r="F855" s="4"/>
      <c r="G855" s="4"/>
      <c r="H855" s="4"/>
      <c r="I855" s="4"/>
      <c r="J855" s="4"/>
      <c r="K855" s="4"/>
      <c r="L855" s="4"/>
    </row>
    <row r="856" ht="15.75" customHeight="1">
      <c r="A856" s="4" t="str">
        <f>IFERROR(__xludf.DUMMYFUNCTION("""COMPUTED_VALUE"""),"Blotter")</f>
        <v>Blotter</v>
      </c>
      <c r="B856" s="4" t="str">
        <f>IFERROR(__xludf.DUMMYFUNCTION("""COMPUTED_VALUE"""),"AddColumnsToGrid")</f>
        <v>AddColumnsToGrid</v>
      </c>
      <c r="C856" s="4" t="str">
        <f>IFERROR(__xludf.DUMMYFUNCTION("""COMPUTED_VALUE"""),"1Gs1xU4gMYORlTreZaEK39cVUrhrtk_8wZfgLySBA8Us")</f>
        <v>1Gs1xU4gMYORlTreZaEK39cVUrhrtk_8wZfgLySBA8Us</v>
      </c>
      <c r="D856" s="4"/>
      <c r="E856" s="4"/>
      <c r="F856" s="4"/>
      <c r="G856" s="4"/>
      <c r="H856" s="4"/>
      <c r="I856" s="4"/>
      <c r="J856" s="4"/>
      <c r="K856" s="4"/>
      <c r="L856" s="4"/>
    </row>
    <row r="857" ht="15.75" customHeight="1">
      <c r="A857" s="4" t="str">
        <f>IFERROR(__xludf.DUMMYFUNCTION("""COMPUTED_VALUE"""),"RTPNL")</f>
        <v>RTPNL</v>
      </c>
      <c r="B857" s="4" t="str">
        <f>IFERROR(__xludf.DUMMYFUNCTION("""COMPUTED_VALUE"""),"Grouping")</f>
        <v>Grouping</v>
      </c>
      <c r="C857" s="4" t="str">
        <f>IFERROR(__xludf.DUMMYFUNCTION("""COMPUTED_VALUE"""),"1FNoxwXRCCjvm8HYhDo2XZGdWYdZNzY2Jh0ibkuVHNWo")</f>
        <v>1FNoxwXRCCjvm8HYhDo2XZGdWYdZNzY2Jh0ibkuVHNWo</v>
      </c>
      <c r="D857" s="4"/>
      <c r="E857" s="4"/>
      <c r="F857" s="4"/>
      <c r="G857" s="4"/>
      <c r="H857" s="4"/>
      <c r="I857" s="4"/>
      <c r="J857" s="4"/>
      <c r="K857" s="4"/>
      <c r="L857" s="4"/>
    </row>
    <row r="858" ht="15.75" customHeight="1">
      <c r="A858" s="4" t="str">
        <f>IFERROR(__xludf.DUMMYFUNCTION("""COMPUTED_VALUE"""),"Blotter")</f>
        <v>Blotter</v>
      </c>
      <c r="B858" s="4" t="str">
        <f>IFERROR(__xludf.DUMMYFUNCTION("""COMPUTED_VALUE"""),"RollOverContextMenu")</f>
        <v>RollOverContextMenu</v>
      </c>
      <c r="C858" s="4" t="str">
        <f>IFERROR(__xludf.DUMMYFUNCTION("""COMPUTED_VALUE"""),"1d45ieJRLC6DQ7t19pclAZz5EI6hBsZ5_VdNJYb3VsNc")</f>
        <v>1d45ieJRLC6DQ7t19pclAZz5EI6hBsZ5_VdNJYb3VsNc</v>
      </c>
      <c r="D858" s="4"/>
      <c r="E858" s="4"/>
      <c r="F858" s="4"/>
      <c r="G858" s="4"/>
      <c r="H858" s="4"/>
      <c r="I858" s="4"/>
      <c r="J858" s="4"/>
      <c r="K858" s="4"/>
      <c r="L858" s="4"/>
    </row>
    <row r="859" ht="15.75" customHeight="1">
      <c r="A859" s="4" t="str">
        <f>IFERROR(__xludf.DUMMYFUNCTION("""COMPUTED_VALUE"""),"Unknown")</f>
        <v>Unknown</v>
      </c>
      <c r="B859" s="4" t="str">
        <f>IFERROR(__xludf.DUMMYFUNCTION("""COMPUTED_VALUE"""),"VerifyFatFingerTR")</f>
        <v>VerifyFatFingerTR</v>
      </c>
      <c r="C859" s="4" t="str">
        <f>IFERROR(__xludf.DUMMYFUNCTION("""COMPUTED_VALUE"""),"1DUwxSUq_47EK60XmK3LOdCXa1fkWqWJE9bLuGS3ccv412")</f>
        <v>1DUwxSUq_47EK60XmK3LOdCXa1fkWqWJE9bLuGS3ccv412</v>
      </c>
      <c r="D859" s="4"/>
      <c r="E859" s="4"/>
      <c r="F859" s="4"/>
      <c r="G859" s="4"/>
      <c r="H859" s="4"/>
      <c r="I859" s="4"/>
      <c r="J859" s="4"/>
      <c r="K859" s="4"/>
      <c r="L859" s="4"/>
    </row>
    <row r="860" ht="15.75" customHeight="1">
      <c r="A860" s="4" t="str">
        <f>IFERROR(__xludf.DUMMYFUNCTION("""COMPUTED_VALUE"""),"Unknown")</f>
        <v>Unknown</v>
      </c>
      <c r="B860" s="4" t="str">
        <f>IFERROR(__xludf.DUMMYFUNCTION("""COMPUTED_VALUE"""),"VerifyOverBuySellTR")</f>
        <v>VerifyOverBuySellTR</v>
      </c>
      <c r="C860" s="4" t="str">
        <f>IFERROR(__xludf.DUMMYFUNCTION("""COMPUTED_VALUE"""),"1DUwxSUq_47EK60XmK3LOdCXa1fkWqWJE9bLuGS3ccv412")</f>
        <v>1DUwxSUq_47EK60XmK3LOdCXa1fkWqWJE9bLuGS3ccv412</v>
      </c>
      <c r="D860" s="4"/>
      <c r="E860" s="4"/>
      <c r="F860" s="4"/>
      <c r="G860" s="4"/>
      <c r="H860" s="4"/>
      <c r="I860" s="4"/>
      <c r="J860" s="4"/>
      <c r="K860" s="4"/>
      <c r="L860" s="4"/>
    </row>
    <row r="861" ht="15.75" customHeight="1">
      <c r="A861" s="4" t="str">
        <f>IFERROR(__xludf.DUMMYFUNCTION("""COMPUTED_VALUE"""),"PTT")</f>
        <v>PTT</v>
      </c>
      <c r="B861" s="4" t="str">
        <f>IFERROR(__xludf.DUMMYFUNCTION("""COMPUTED_VALUE"""),"RefreshCalculation")</f>
        <v>RefreshCalculation</v>
      </c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ht="15.75" customHeight="1">
      <c r="A862" s="4" t="str">
        <f>IFERROR(__xludf.DUMMYFUNCTION("""COMPUTED_VALUE"""),"Rebalancer")</f>
        <v>Rebalancer</v>
      </c>
      <c r="B862" s="4" t="str">
        <f>IFERROR(__xludf.DUMMYFUNCTION("""COMPUTED_VALUE"""),"AddCustomCashFlow")</f>
        <v>AddCustomCashFlow</v>
      </c>
      <c r="C862" s="4" t="str">
        <f>IFERROR(__xludf.DUMMYFUNCTION("""COMPUTED_VALUE"""),"1DUwxSUq_47EK60XmK3LOdCXa1fkWqWJE9bLuGS3ccv412")</f>
        <v>1DUwxSUq_47EK60XmK3LOdCXa1fkWqWJE9bLuGS3ccv412</v>
      </c>
      <c r="D862" s="4"/>
      <c r="E862" s="4"/>
      <c r="F862" s="4"/>
      <c r="G862" s="4"/>
      <c r="H862" s="4"/>
      <c r="I862" s="4"/>
      <c r="J862" s="4"/>
      <c r="K862" s="4"/>
      <c r="L862" s="4"/>
    </row>
    <row r="863" ht="15.75" customHeight="1">
      <c r="A863" s="4" t="str">
        <f>IFERROR(__xludf.DUMMYFUNCTION("""COMPUTED_VALUE"""),"Rebalancer")</f>
        <v>Rebalancer</v>
      </c>
      <c r="B863" s="4" t="str">
        <f>IFERROR(__xludf.DUMMYFUNCTION("""COMPUTED_VALUE"""),"ActionOnCustomCashFlow")</f>
        <v>ActionOnCustomCashFlow</v>
      </c>
      <c r="C863" s="4" t="str">
        <f>IFERROR(__xludf.DUMMYFUNCTION("""COMPUTED_VALUE"""),"1DUwxSUq_47EK60XmK3LOdCXa1fkWqWJE9bLuGS3ccv412")</f>
        <v>1DUwxSUq_47EK60XmK3LOdCXa1fkWqWJE9bLuGS3ccv412</v>
      </c>
      <c r="D863" s="4"/>
      <c r="E863" s="4"/>
      <c r="F863" s="4"/>
      <c r="G863" s="4"/>
      <c r="H863" s="4"/>
      <c r="I863" s="4"/>
      <c r="J863" s="4"/>
      <c r="K863" s="4"/>
      <c r="L863" s="4"/>
    </row>
    <row r="864" ht="15.75" customHeight="1">
      <c r="A864" s="4" t="str">
        <f>IFERROR(__xludf.DUMMYFUNCTION("""COMPUTED_VALUE"""),"Rebalancer")</f>
        <v>Rebalancer</v>
      </c>
      <c r="B864" s="4" t="str">
        <f>IFERROR(__xludf.DUMMYFUNCTION("""COMPUTED_VALUE"""),"RemoveAllSecurities")</f>
        <v>RemoveAllSecurities</v>
      </c>
      <c r="C864" s="4" t="str">
        <f>IFERROR(__xludf.DUMMYFUNCTION("""COMPUTED_VALUE"""),"1DUwxSUq_47EK60XmK3LOdCXa1fkWqWJE9bLuGS3ccv412")</f>
        <v>1DUwxSUq_47EK60XmK3LOdCXa1fkWqWJE9bLuGS3ccv412</v>
      </c>
      <c r="D864" s="4"/>
      <c r="E864" s="4"/>
      <c r="F864" s="4"/>
      <c r="G864" s="4"/>
      <c r="H864" s="4"/>
      <c r="I864" s="4"/>
      <c r="J864" s="4"/>
      <c r="K864" s="4"/>
      <c r="L864" s="4"/>
    </row>
    <row r="865" ht="15.75" customHeight="1">
      <c r="A865" s="4" t="str">
        <f>IFERROR(__xludf.DUMMYFUNCTION("""COMPUTED_VALUE"""),"Rebalancer")</f>
        <v>Rebalancer</v>
      </c>
      <c r="B865" s="4" t="str">
        <f>IFERROR(__xludf.DUMMYFUNCTION("""COMPUTED_VALUE"""),"RebalanceTradingRules")</f>
        <v>RebalanceTradingRules</v>
      </c>
      <c r="C865" s="4" t="str">
        <f>IFERROR(__xludf.DUMMYFUNCTION("""COMPUTED_VALUE"""),"1DUwxSUq_47EK60XmK3LOdCXa1fkWqWJE9bLuGS3ccv412")</f>
        <v>1DUwxSUq_47EK60XmK3LOdCXa1fkWqWJE9bLuGS3ccv412</v>
      </c>
      <c r="D865" s="4"/>
      <c r="E865" s="4"/>
      <c r="F865" s="4"/>
      <c r="G865" s="4"/>
      <c r="H865" s="4"/>
      <c r="I865" s="4"/>
      <c r="J865" s="4"/>
      <c r="K865" s="4"/>
      <c r="L865" s="4"/>
    </row>
    <row r="866" ht="15.75" customHeight="1">
      <c r="A866" s="4" t="str">
        <f>IFERROR(__xludf.DUMMYFUNCTION("""COMPUTED_VALUE"""),"Rebalancer")</f>
        <v>Rebalancer</v>
      </c>
      <c r="B866" s="4" t="str">
        <f>IFERROR(__xludf.DUMMYFUNCTION("""COMPUTED_VALUE"""),"UpdateRBPreferences")</f>
        <v>UpdateRBPreferences</v>
      </c>
      <c r="C866" s="4" t="str">
        <f>IFERROR(__xludf.DUMMYFUNCTION("""COMPUTED_VALUE"""),"1DUwxSUq_47EK60XmK3LOdCXa1fkWqWJE9bLuGS3ccv412")</f>
        <v>1DUwxSUq_47EK60XmK3LOdCXa1fkWqWJE9bLuGS3ccv412</v>
      </c>
      <c r="D866" s="4"/>
      <c r="E866" s="4"/>
      <c r="F866" s="4"/>
      <c r="G866" s="4"/>
      <c r="H866" s="4"/>
      <c r="I866" s="4"/>
      <c r="J866" s="4"/>
      <c r="K866" s="4"/>
      <c r="L866" s="4"/>
    </row>
    <row r="867" ht="15.75" customHeight="1">
      <c r="A867" s="4" t="str">
        <f>IFERROR(__xludf.DUMMYFUNCTION("""COMPUTED_VALUE"""),"Rebalancer")</f>
        <v>Rebalancer</v>
      </c>
      <c r="B867" s="4" t="str">
        <f>IFERROR(__xludf.DUMMYFUNCTION("""COMPUTED_VALUE"""),"RecalculateNIC")</f>
        <v>RecalculateNIC</v>
      </c>
      <c r="C867" s="4" t="str">
        <f>IFERROR(__xludf.DUMMYFUNCTION("""COMPUTED_VALUE"""),"1DUwxSUq_47EK60XmK3LOdCXa1fkWqWJE9bLuGS3ccv412")</f>
        <v>1DUwxSUq_47EK60XmK3LOdCXa1fkWqWJE9bLuGS3ccv412</v>
      </c>
      <c r="D867" s="4"/>
      <c r="E867" s="4"/>
      <c r="F867" s="4"/>
      <c r="G867" s="4"/>
      <c r="H867" s="4"/>
      <c r="I867" s="4"/>
      <c r="J867" s="4"/>
      <c r="K867" s="4"/>
      <c r="L867" s="4"/>
    </row>
    <row r="868" ht="15.75" customHeight="1">
      <c r="A868" s="4" t="str">
        <f>IFERROR(__xludf.DUMMYFUNCTION("""COMPUTED_VALUE"""),"Blotter")</f>
        <v>Blotter</v>
      </c>
      <c r="B868" s="4" t="str">
        <f>IFERROR(__xludf.DUMMYFUNCTION("""COMPUTED_VALUE"""),"BookAsSwap")</f>
        <v>BookAsSwap</v>
      </c>
      <c r="C868" s="4" t="str">
        <f>IFERROR(__xludf.DUMMYFUNCTION("""COMPUTED_VALUE"""),"1tnkP5eD3WH53SXu2O-MWk6774J7b5ihwlD7r9dGtpiY")</f>
        <v>1tnkP5eD3WH53SXu2O-MWk6774J7b5ihwlD7r9dGtpiY</v>
      </c>
      <c r="D868" s="4"/>
      <c r="E868" s="4"/>
      <c r="F868" s="4"/>
      <c r="G868" s="4"/>
      <c r="H868" s="4"/>
      <c r="I868" s="4"/>
      <c r="J868" s="4"/>
      <c r="K868" s="4"/>
      <c r="L868" s="4"/>
    </row>
    <row r="869" ht="15.75" customHeight="1">
      <c r="A869" s="4" t="str">
        <f>IFERROR(__xludf.DUMMYFUNCTION("""COMPUTED_VALUE"""),"QTT")</f>
        <v>QTT</v>
      </c>
      <c r="B869" s="4" t="str">
        <f>IFERROR(__xludf.DUMMYFUNCTION("""COMPUTED_VALUE"""),"VerifyQTT")</f>
        <v>VerifyQTT</v>
      </c>
      <c r="C869" s="4" t="str">
        <f>IFERROR(__xludf.DUMMYFUNCTION("""COMPUTED_VALUE"""),"1bs3VigXRg4VZR5W48lKm11EcEjEpmUCnBNDHffPRbIQ")</f>
        <v>1bs3VigXRg4VZR5W48lKm11EcEjEpmUCnBNDHffPRbIQ</v>
      </c>
      <c r="D869" s="4"/>
      <c r="E869" s="4"/>
      <c r="F869" s="4"/>
      <c r="G869" s="4"/>
      <c r="H869" s="4"/>
      <c r="I869" s="4"/>
      <c r="J869" s="4"/>
      <c r="K869" s="4"/>
      <c r="L869" s="4"/>
    </row>
    <row r="870" ht="15.75" customHeight="1">
      <c r="A870" s="4" t="str">
        <f>IFERROR(__xludf.DUMMYFUNCTION("""COMPUTED_VALUE"""),"Rebalancer")</f>
        <v>Rebalancer</v>
      </c>
      <c r="B870" s="4" t="str">
        <f>IFERROR(__xludf.DUMMYFUNCTION("""COMPUTED_VALUE"""),"OperationsOnNIC")</f>
        <v>OperationsOnNIC</v>
      </c>
      <c r="C870" s="4" t="str">
        <f>IFERROR(__xludf.DUMMYFUNCTION("""COMPUTED_VALUE"""),"1DUwxSUq_47EK60XmK3LOdCXa1fkWqWJE9bLuGS3ccv412")</f>
        <v>1DUwxSUq_47EK60XmK3LOdCXa1fkWqWJE9bLuGS3ccv412</v>
      </c>
      <c r="D870" s="4"/>
      <c r="E870" s="4"/>
      <c r="F870" s="4"/>
      <c r="G870" s="4"/>
      <c r="H870" s="4"/>
      <c r="I870" s="4"/>
      <c r="J870" s="4"/>
      <c r="K870" s="4"/>
      <c r="L870" s="4"/>
    </row>
    <row r="871" ht="15.75" customHeight="1">
      <c r="A871" s="4" t="str">
        <f>IFERROR(__xludf.DUMMYFUNCTION("""COMPUTED_VALUE"""),"Rebalancer")</f>
        <v>Rebalancer</v>
      </c>
      <c r="B871" s="4" t="str">
        <f>IFERROR(__xludf.DUMMYFUNCTION("""COMPUTED_VALUE"""),"DataPrefGridOperation")</f>
        <v>DataPrefGridOperation</v>
      </c>
      <c r="C871" s="4" t="str">
        <f>IFERROR(__xludf.DUMMYFUNCTION("""COMPUTED_VALUE"""),"1DUwxSUq_47EK60XmK3LOdCXa1fkWqWJE9bLuGS3ccv412")</f>
        <v>1DUwxSUq_47EK60XmK3LOdCXa1fkWqWJE9bLuGS3ccv412</v>
      </c>
      <c r="D871" s="4"/>
      <c r="E871" s="4"/>
      <c r="F871" s="4"/>
      <c r="G871" s="4"/>
      <c r="H871" s="4"/>
      <c r="I871" s="4"/>
      <c r="J871" s="4"/>
      <c r="K871" s="4"/>
      <c r="L871" s="4"/>
    </row>
    <row r="872" ht="15.75" customHeight="1">
      <c r="A872" s="4" t="str">
        <f>IFERROR(__xludf.DUMMYFUNCTION("""COMPUTED_VALUE"""),"Rebalancer")</f>
        <v>Rebalancer</v>
      </c>
      <c r="B872" s="4" t="str">
        <f>IFERROR(__xludf.DUMMYFUNCTION("""COMPUTED_VALUE"""),"VerifyExpanderBarButton")</f>
        <v>VerifyExpanderBarButton</v>
      </c>
      <c r="C872" s="4" t="str">
        <f>IFERROR(__xludf.DUMMYFUNCTION("""COMPUTED_VALUE"""),"1DUwxSUq_47EK60XmK3LOdCXa1fkWqWJE9bLuGS3ccv412")</f>
        <v>1DUwxSUq_47EK60XmK3LOdCXa1fkWqWJE9bLuGS3ccv412</v>
      </c>
      <c r="D872" s="4"/>
      <c r="E872" s="4"/>
      <c r="F872" s="4"/>
      <c r="G872" s="4"/>
      <c r="H872" s="4"/>
      <c r="I872" s="4"/>
      <c r="J872" s="4"/>
      <c r="K872" s="4"/>
      <c r="L872" s="4"/>
    </row>
    <row r="873" ht="15.75" customHeight="1">
      <c r="A873" s="4" t="str">
        <f>IFERROR(__xludf.DUMMYFUNCTION("""COMPUTED_VALUE"""),"Rebalancer")</f>
        <v>Rebalancer</v>
      </c>
      <c r="B873" s="4" t="str">
        <f>IFERROR(__xludf.DUMMYFUNCTION("""COMPUTED_VALUE"""),"RAS")</f>
        <v>RAS</v>
      </c>
      <c r="C873" s="4" t="str">
        <f>IFERROR(__xludf.DUMMYFUNCTION("""COMPUTED_VALUE"""),"1DUwxSUq_47EK60XmK3LOdCXa1fkWqWJE9bLuGS3ccv412")</f>
        <v>1DUwxSUq_47EK60XmK3LOdCXa1fkWqWJE9bLuGS3ccv412</v>
      </c>
      <c r="D873" s="4"/>
      <c r="E873" s="4"/>
      <c r="F873" s="4"/>
      <c r="G873" s="4"/>
      <c r="H873" s="4"/>
      <c r="I873" s="4"/>
      <c r="J873" s="4"/>
      <c r="K873" s="4"/>
      <c r="L873" s="4"/>
    </row>
    <row r="874" ht="15.75" customHeight="1">
      <c r="A874" s="4" t="str">
        <f>IFERROR(__xludf.DUMMYFUNCTION("""COMPUTED_VALUE"""),"Blotter")</f>
        <v>Blotter</v>
      </c>
      <c r="B874" s="4" t="str">
        <f>IFERROR(__xludf.DUMMYFUNCTION("""COMPUTED_VALUE"""),"ActionOnFloatingWindow")</f>
        <v>ActionOnFloatingWindow</v>
      </c>
      <c r="C874" s="4" t="str">
        <f>IFERROR(__xludf.DUMMYFUNCTION("""COMPUTED_VALUE"""),"1tFNUPT3PXgCKRnnehGwo6OF7EhLu13UJ8Elfq83HArE")</f>
        <v>1tFNUPT3PXgCKRnnehGwo6OF7EhLu13UJ8Elfq83HArE</v>
      </c>
      <c r="D874" s="4"/>
      <c r="E874" s="4"/>
      <c r="F874" s="4"/>
      <c r="G874" s="4"/>
      <c r="H874" s="4"/>
      <c r="I874" s="4"/>
      <c r="J874" s="4"/>
      <c r="K874" s="4"/>
      <c r="L874" s="4"/>
    </row>
    <row r="875" ht="15.75" customHeight="1">
      <c r="A875" s="4" t="str">
        <f>IFERROR(__xludf.DUMMYFUNCTION("""COMPUTED_VALUE"""),"PTT")</f>
        <v>PTT</v>
      </c>
      <c r="B875" s="4" t="str">
        <f>IFERROR(__xludf.DUMMYFUNCTION("""COMPUTED_VALUE"""),"PTTDashBoard")</f>
        <v>PTTDashBoard</v>
      </c>
      <c r="C875" s="4" t="str">
        <f>IFERROR(__xludf.DUMMYFUNCTION("""COMPUTED_VALUE"""),"1DUwxSUq_47EK60XmK3LOdCXa1fkWqWJE9bLuGS3ccv412")</f>
        <v>1DUwxSUq_47EK60XmK3LOdCXa1fkWqWJE9bLuGS3ccv412</v>
      </c>
      <c r="D875" s="4"/>
      <c r="E875" s="4"/>
      <c r="F875" s="4"/>
      <c r="G875" s="4"/>
      <c r="H875" s="4"/>
      <c r="I875" s="4"/>
      <c r="J875" s="4"/>
      <c r="K875" s="4"/>
      <c r="L875" s="4"/>
    </row>
    <row r="876" ht="15.75" customHeight="1">
      <c r="A876" s="4" t="str">
        <f>IFERROR(__xludf.DUMMYFUNCTION("""COMPUTED_VALUE"""),"OpenFin")</f>
        <v>OpenFin</v>
      </c>
      <c r="B876" s="4" t="str">
        <f>IFERROR(__xludf.DUMMYFUNCTION("""COMPUTED_VALUE"""),"LockUnlockModule")</f>
        <v>LockUnlockModule</v>
      </c>
      <c r="C876" s="4" t="str">
        <f>IFERROR(__xludf.DUMMYFUNCTION("""COMPUTED_VALUE"""),"179D0kPRO8f_KLxd7hs6seM9XGxpL-u1rhIhNgFVePsQ")</f>
        <v>179D0kPRO8f_KLxd7hs6seM9XGxpL-u1rhIhNgFVePsQ</v>
      </c>
      <c r="D876" s="4"/>
      <c r="E876" s="4"/>
      <c r="F876" s="4"/>
      <c r="G876" s="4"/>
      <c r="H876" s="4"/>
      <c r="I876" s="4"/>
      <c r="J876" s="4"/>
      <c r="K876" s="4"/>
      <c r="L876" s="4"/>
    </row>
    <row r="877" ht="15.75" customHeight="1">
      <c r="A877" s="4" t="str">
        <f>IFERROR(__xludf.DUMMYFUNCTION("""COMPUTED_VALUE"""),"OpenFin")</f>
        <v>OpenFin</v>
      </c>
      <c r="B877" s="4" t="str">
        <f>IFERROR(__xludf.DUMMYFUNCTION("""COMPUTED_VALUE"""),"OpenModuleFromDock")</f>
        <v>OpenModuleFromDock</v>
      </c>
      <c r="C877" s="4" t="str">
        <f>IFERROR(__xludf.DUMMYFUNCTION("""COMPUTED_VALUE"""),"1IdmD7l42pWNjFNVt_7UwbOO7y5tDxaXr7tE60c9ETLw")</f>
        <v>1IdmD7l42pWNjFNVt_7UwbOO7y5tDxaXr7tE60c9ETLw</v>
      </c>
      <c r="D877" s="4"/>
      <c r="E877" s="4"/>
      <c r="F877" s="4"/>
      <c r="G877" s="4"/>
      <c r="H877" s="4"/>
      <c r="I877" s="4"/>
      <c r="J877" s="4"/>
      <c r="K877" s="4"/>
      <c r="L877" s="4"/>
    </row>
    <row r="878" ht="15.75" customHeight="1">
      <c r="A878" s="4" t="str">
        <f>IFERROR(__xludf.DUMMYFUNCTION("""COMPUTED_VALUE"""),"Rebalancer")</f>
        <v>Rebalancer</v>
      </c>
      <c r="B878" s="4" t="str">
        <f>IFERROR(__xludf.DUMMYFUNCTION("""COMPUTED_VALUE"""),"VerifyCFI")</f>
        <v>VerifyCFI</v>
      </c>
      <c r="C878" s="4" t="str">
        <f>IFERROR(__xludf.DUMMYFUNCTION("""COMPUTED_VALUE"""),"1DUwxSUq_47EK60XmK3LOdCXa1fkWqWJE9bLuGS3ccv412")</f>
        <v>1DUwxSUq_47EK60XmK3LOdCXa1fkWqWJE9bLuGS3ccv412</v>
      </c>
      <c r="D878" s="4"/>
      <c r="E878" s="4"/>
      <c r="F878" s="4"/>
      <c r="G878" s="4"/>
      <c r="H878" s="4"/>
      <c r="I878" s="4"/>
      <c r="J878" s="4"/>
      <c r="K878" s="4"/>
      <c r="L878" s="4"/>
    </row>
    <row r="879" ht="15.75" customHeight="1">
      <c r="A879" s="4" t="str">
        <f>IFERROR(__xludf.DUMMYFUNCTION("""COMPUTED_VALUE"""),"Blotter")</f>
        <v>Blotter</v>
      </c>
      <c r="B879" s="4" t="str">
        <f>IFERROR(__xludf.DUMMYFUNCTION("""COMPUTED_VALUE"""),"EnableOrVerifyHotButton")</f>
        <v>EnableOrVerifyHotButton</v>
      </c>
      <c r="C879" s="4" t="str">
        <f>IFERROR(__xludf.DUMMYFUNCTION("""COMPUTED_VALUE"""),"1wa8x9d9kPOHEp49mT2DEW0cyjjOClvAgixk1H2w-Tos")</f>
        <v>1wa8x9d9kPOHEp49mT2DEW0cyjjOClvAgixk1H2w-Tos</v>
      </c>
      <c r="D879" s="4"/>
      <c r="E879" s="4"/>
      <c r="F879" s="4"/>
      <c r="G879" s="4"/>
      <c r="H879" s="4"/>
      <c r="I879" s="4"/>
      <c r="J879" s="4"/>
      <c r="K879" s="4"/>
      <c r="L879" s="4"/>
    </row>
    <row r="880" ht="15.75" customHeight="1">
      <c r="A880" s="4" t="str">
        <f>IFERROR(__xludf.DUMMYFUNCTION("""COMPUTED_VALUE"""),"TradeServer")</f>
        <v>TradeServer</v>
      </c>
      <c r="B880" s="4" t="str">
        <f>IFERROR(__xludf.DUMMYFUNCTION("""COMPUTED_VALUE"""),"RestartServerOnly")</f>
        <v>RestartServerOnly</v>
      </c>
      <c r="C880" s="4" t="str">
        <f>IFERROR(__xludf.DUMMYFUNCTION("""COMPUTED_VALUE"""),"Undefined")</f>
        <v>Undefined</v>
      </c>
      <c r="D880" s="4"/>
      <c r="E880" s="4"/>
      <c r="F880" s="4"/>
      <c r="G880" s="4"/>
      <c r="H880" s="4"/>
      <c r="I880" s="4"/>
      <c r="J880" s="4"/>
      <c r="K880" s="4"/>
      <c r="L880" s="4"/>
    </row>
    <row r="881" ht="15.75" customHeight="1">
      <c r="A881" s="4" t="str">
        <f>IFERROR(__xludf.DUMMYFUNCTION("""COMPUTED_VALUE"""),"Rebalancer")</f>
        <v>Rebalancer</v>
      </c>
      <c r="B881" s="4" t="str">
        <f>IFERROR(__xludf.DUMMYFUNCTION("""COMPUTED_VALUE"""),"ActionOnCFI")</f>
        <v>ActionOnCFI</v>
      </c>
      <c r="C881" s="4" t="str">
        <f>IFERROR(__xludf.DUMMYFUNCTION("""COMPUTED_VALUE"""),"1DUwxSUq_47EK60XmK3LOdCXa1fkWqWJE9bLuGS3ccv412")</f>
        <v>1DUwxSUq_47EK60XmK3LOdCXa1fkWqWJE9bLuGS3ccv412</v>
      </c>
      <c r="D881" s="4"/>
      <c r="E881" s="4"/>
      <c r="F881" s="4"/>
      <c r="G881" s="4"/>
      <c r="H881" s="4"/>
      <c r="I881" s="4"/>
      <c r="J881" s="4"/>
      <c r="K881" s="4"/>
      <c r="L881" s="4"/>
    </row>
    <row r="882" ht="15.75" customHeight="1">
      <c r="A882" s="4" t="str">
        <f>IFERROR(__xludf.DUMMYFUNCTION("""COMPUTED_VALUE"""),"Rebalancer")</f>
        <v>Rebalancer</v>
      </c>
      <c r="B882" s="4" t="str">
        <f>IFERROR(__xludf.DUMMYFUNCTION("""COMPUTED_VALUE"""),"VerifyCFI")</f>
        <v>VerifyCFI</v>
      </c>
      <c r="C882" s="4" t="str">
        <f>IFERROR(__xludf.DUMMYFUNCTION("""COMPUTED_VALUE"""),"1DUwxSUq_47EK60XmK3LOdCXa1fkWqWJE9bLuGS3ccv412")</f>
        <v>1DUwxSUq_47EK60XmK3LOdCXa1fkWqWJE9bLuGS3ccv412</v>
      </c>
      <c r="D882" s="4"/>
      <c r="E882" s="4"/>
      <c r="F882" s="4"/>
      <c r="G882" s="4"/>
      <c r="H882" s="4"/>
      <c r="I882" s="4"/>
      <c r="J882" s="4"/>
      <c r="K882" s="4"/>
      <c r="L882" s="4"/>
    </row>
    <row r="883" ht="15.75" customHeight="1">
      <c r="A883" s="4" t="str">
        <f>IFERROR(__xludf.DUMMYFUNCTION("""COMPUTED_VALUE"""),"Rebalancer")</f>
        <v>Rebalancer</v>
      </c>
      <c r="B883" s="4" t="str">
        <f>IFERROR(__xludf.DUMMYFUNCTION("""COMPUTED_VALUE"""),"VerifyDelRASGrid")</f>
        <v>VerifyDelRASGrid</v>
      </c>
      <c r="C883" s="4" t="str">
        <f>IFERROR(__xludf.DUMMYFUNCTION("""COMPUTED_VALUE"""),"1DUwxSUq_47EK60XmK3LOdCXa1fkWqWJE9bLuGS3ccv412")</f>
        <v>1DUwxSUq_47EK60XmK3LOdCXa1fkWqWJE9bLuGS3ccv412</v>
      </c>
      <c r="D883" s="4"/>
      <c r="E883" s="4"/>
      <c r="F883" s="4"/>
      <c r="G883" s="4"/>
      <c r="H883" s="4"/>
      <c r="I883" s="4"/>
      <c r="J883" s="4"/>
      <c r="K883" s="4"/>
      <c r="L883" s="4"/>
    </row>
    <row r="884" ht="15.75" customHeight="1">
      <c r="A884" s="4" t="str">
        <f>IFERROR(__xludf.DUMMYFUNCTION("""COMPUTED_VALUE"""),"Allocation")</f>
        <v>Allocation</v>
      </c>
      <c r="B884" s="4" t="str">
        <f>IFERROR(__xludf.DUMMYFUNCTION("""COMPUTED_VALUE"""),"ActionOnUPW")</f>
        <v>ActionOnUPW</v>
      </c>
      <c r="C884" s="4" t="str">
        <f>IFERROR(__xludf.DUMMYFUNCTION("""COMPUTED_VALUE"""),"1DUwxSUq_47EK60XmK3LOdCXa1fkWqWJE9bLuGS3ccv413")</f>
        <v>1DUwxSUq_47EK60XmK3LOdCXa1fkWqWJE9bLuGS3ccv413</v>
      </c>
      <c r="D884" s="4"/>
      <c r="E884" s="4"/>
      <c r="F884" s="4"/>
      <c r="G884" s="4"/>
      <c r="H884" s="4"/>
      <c r="I884" s="4"/>
      <c r="J884" s="4"/>
      <c r="K884" s="4"/>
      <c r="L884" s="4"/>
    </row>
    <row r="885" ht="15.75" customHeight="1">
      <c r="A885" s="4" t="str">
        <f>IFERROR(__xludf.DUMMYFUNCTION("""COMPUTED_VALUE"""),"Allocation")</f>
        <v>Allocation</v>
      </c>
      <c r="B885" s="4" t="str">
        <f>IFERROR(__xludf.DUMMYFUNCTION("""COMPUTED_VALUE"""),"DefaultRuleUPW")</f>
        <v>DefaultRuleUPW</v>
      </c>
      <c r="C885" s="4" t="str">
        <f>IFERROR(__xludf.DUMMYFUNCTION("""COMPUTED_VALUE"""),"1DUwxSUq_47EK60XmK3LOdCXa1fkWqWJE9bLuGS3ccv414")</f>
        <v>1DUwxSUq_47EK60XmK3LOdCXa1fkWqWJE9bLuGS3ccv414</v>
      </c>
      <c r="D885" s="4"/>
      <c r="E885" s="4"/>
      <c r="F885" s="4"/>
      <c r="G885" s="4"/>
      <c r="H885" s="4"/>
      <c r="I885" s="4"/>
      <c r="J885" s="4"/>
      <c r="K885" s="4"/>
      <c r="L885" s="4"/>
    </row>
    <row r="886" ht="15.75" customHeight="1">
      <c r="A886" s="4" t="str">
        <f>IFERROR(__xludf.DUMMYFUNCTION("""COMPUTED_VALUE"""),"Allocation")</f>
        <v>Allocation</v>
      </c>
      <c r="B886" s="4" t="str">
        <f>IFERROR(__xludf.DUMMYFUNCTION("""COMPUTED_VALUE"""),"AccountStrategyUPW")</f>
        <v>AccountStrategyUPW</v>
      </c>
      <c r="C886" s="4" t="str">
        <f>IFERROR(__xludf.DUMMYFUNCTION("""COMPUTED_VALUE"""),"1DUwxSUq_47EK60XmK3LOdCXa1fkWqWJE9bLuGS3ccv415")</f>
        <v>1DUwxSUq_47EK60XmK3LOdCXa1fkWqWJE9bLuGS3ccv415</v>
      </c>
      <c r="D886" s="4"/>
      <c r="E886" s="4"/>
      <c r="F886" s="4"/>
      <c r="G886" s="4"/>
      <c r="H886" s="4"/>
      <c r="I886" s="4"/>
      <c r="J886" s="4"/>
      <c r="K886" s="4"/>
      <c r="L886" s="4"/>
    </row>
    <row r="887" ht="15.75" customHeight="1">
      <c r="A887" s="4" t="str">
        <f>IFERROR(__xludf.DUMMYFUNCTION("""COMPUTED_VALUE"""),"Allocation")</f>
        <v>Allocation</v>
      </c>
      <c r="B887" s="4" t="str">
        <f>IFERROR(__xludf.DUMMYFUNCTION("""COMPUTED_VALUE"""),"ActionOnCalPref")</f>
        <v>ActionOnCalPref</v>
      </c>
      <c r="C887" s="4" t="str">
        <f>IFERROR(__xludf.DUMMYFUNCTION("""COMPUTED_VALUE"""),"1DUwxSUq_47EK60XmK3LOdCXa1fkWqWJE9bLuGS3ccv416")</f>
        <v>1DUwxSUq_47EK60XmK3LOdCXa1fkWqWJE9bLuGS3ccv416</v>
      </c>
      <c r="D887" s="4"/>
      <c r="E887" s="4"/>
      <c r="F887" s="4"/>
      <c r="G887" s="4"/>
      <c r="H887" s="4"/>
      <c r="I887" s="4"/>
      <c r="J887" s="4"/>
      <c r="K887" s="4"/>
      <c r="L887" s="4"/>
    </row>
    <row r="888" ht="15.75" customHeight="1">
      <c r="A888" s="4" t="str">
        <f>IFERROR(__xludf.DUMMYFUNCTION("""COMPUTED_VALUE"""),"Allocation")</f>
        <v>Allocation</v>
      </c>
      <c r="B888" s="4" t="str">
        <f>IFERROR(__xludf.DUMMYFUNCTION("""COMPUTED_VALUE"""),"SetMFDefaultRule")</f>
        <v>SetMFDefaultRule</v>
      </c>
      <c r="C888" s="4" t="str">
        <f>IFERROR(__xludf.DUMMYFUNCTION("""COMPUTED_VALUE"""),"1DUwxSUq_47EK60XmK3LOdCXa1fkWqWJE9bLuGS3ccv417")</f>
        <v>1DUwxSUq_47EK60XmK3LOdCXa1fkWqWJE9bLuGS3ccv417</v>
      </c>
      <c r="D888" s="4"/>
      <c r="E888" s="4"/>
      <c r="F888" s="4"/>
      <c r="G888" s="4"/>
      <c r="H888" s="4"/>
      <c r="I888" s="4"/>
      <c r="J888" s="4"/>
      <c r="K888" s="4"/>
      <c r="L888" s="4"/>
    </row>
    <row r="889" ht="15.75" customHeight="1">
      <c r="A889" s="4" t="str">
        <f>IFERROR(__xludf.DUMMYFUNCTION("""COMPUTED_VALUE"""),"Allocation")</f>
        <v>Allocation</v>
      </c>
      <c r="B889" s="4" t="str">
        <f>IFERROR(__xludf.DUMMYFUNCTION("""COMPUTED_VALUE"""),"ActionOnPrefWindow")</f>
        <v>ActionOnPrefWindow</v>
      </c>
      <c r="C889" s="4" t="str">
        <f>IFERROR(__xludf.DUMMYFUNCTION("""COMPUTED_VALUE"""),"1DUwxSUq_47EK60XmK3LOdCXa1fkWqWJE9bLuGS3ccv418")</f>
        <v>1DUwxSUq_47EK60XmK3LOdCXa1fkWqWJE9bLuGS3ccv418</v>
      </c>
      <c r="D889" s="4"/>
      <c r="E889" s="4"/>
      <c r="F889" s="4"/>
      <c r="G889" s="4"/>
      <c r="H889" s="4"/>
      <c r="I889" s="4"/>
      <c r="J889" s="4"/>
      <c r="K889" s="4"/>
      <c r="L889" s="4"/>
    </row>
    <row r="890" ht="15.75" customHeight="1">
      <c r="A890" s="4" t="str">
        <f>IFERROR(__xludf.DUMMYFUNCTION("""COMPUTED_VALUE"""),"Allocation")</f>
        <v>Allocation</v>
      </c>
      <c r="B890" s="4" t="str">
        <f>IFERROR(__xludf.DUMMYFUNCTION("""COMPUTED_VALUE"""),"GetFixedPrefScheme")</f>
        <v>GetFixedPrefScheme</v>
      </c>
      <c r="C890" s="4" t="str">
        <f>IFERROR(__xludf.DUMMYFUNCTION("""COMPUTED_VALUE"""),"1DUwxSUq_47EK60XmK3LOdCXa1fkWqWJE9bLuGS3ccv419")</f>
        <v>1DUwxSUq_47EK60XmK3LOdCXa1fkWqWJE9bLuGS3ccv419</v>
      </c>
      <c r="D890" s="4"/>
      <c r="E890" s="4"/>
      <c r="F890" s="4"/>
      <c r="G890" s="4"/>
      <c r="H890" s="4"/>
      <c r="I890" s="4"/>
      <c r="J890" s="4"/>
      <c r="K890" s="4"/>
      <c r="L890" s="4"/>
    </row>
    <row r="891" ht="15.75" customHeight="1">
      <c r="A891" s="4" t="str">
        <f>IFERROR(__xludf.DUMMYFUNCTION("""COMPUTED_VALUE"""),"Allocation")</f>
        <v>Allocation</v>
      </c>
      <c r="B891" s="4" t="str">
        <f>IFERROR(__xludf.DUMMYFUNCTION("""COMPUTED_VALUE"""),"VerifyFixedPref")</f>
        <v>VerifyFixedPref</v>
      </c>
      <c r="C891" s="4" t="str">
        <f>IFERROR(__xludf.DUMMYFUNCTION("""COMPUTED_VALUE"""),"1DUwxSUq_47EK60XmK3LOdCXa1fkWqWJE9bLuGS3ccv420")</f>
        <v>1DUwxSUq_47EK60XmK3LOdCXa1fkWqWJE9bLuGS3ccv420</v>
      </c>
      <c r="D891" s="4"/>
      <c r="E891" s="4"/>
      <c r="F891" s="4"/>
      <c r="G891" s="4"/>
      <c r="H891" s="4"/>
      <c r="I891" s="4"/>
      <c r="J891" s="4"/>
      <c r="K891" s="4"/>
      <c r="L891" s="4"/>
    </row>
    <row r="892" ht="15.75" customHeight="1">
      <c r="A892" s="4" t="str">
        <f>IFERROR(__xludf.DUMMYFUNCTION("""COMPUTED_VALUE"""),"Allocation")</f>
        <v>Allocation</v>
      </c>
      <c r="B892" s="4" t="str">
        <f>IFERROR(__xludf.DUMMYFUNCTION("""COMPUTED_VALUE"""),"ActionOnToolBar")</f>
        <v>ActionOnToolBar</v>
      </c>
      <c r="C892" s="4" t="str">
        <f>IFERROR(__xludf.DUMMYFUNCTION("""COMPUTED_VALUE"""),"1DUwxSUq_47EK60XmK3LOdCXa1fkWqWJE9bLuGS3ccv421")</f>
        <v>1DUwxSUq_47EK60XmK3LOdCXa1fkWqWJE9bLuGS3ccv421</v>
      </c>
      <c r="D892" s="4"/>
      <c r="E892" s="4"/>
      <c r="F892" s="4"/>
      <c r="G892" s="4"/>
      <c r="H892" s="4"/>
      <c r="I892" s="4"/>
      <c r="J892" s="4"/>
      <c r="K892" s="4"/>
      <c r="L892" s="4"/>
    </row>
    <row r="893" ht="15.75" customHeight="1">
      <c r="A893" s="4" t="str">
        <f>IFERROR(__xludf.DUMMYFUNCTION("""COMPUTED_VALUE"""),"Rebalancer")</f>
        <v>Rebalancer</v>
      </c>
      <c r="B893" s="4" t="str">
        <f>IFERROR(__xludf.DUMMYFUNCTION("""COMPUTED_VALUE"""),"VerifyCustomGroupModel")</f>
        <v>VerifyCustomGroupModel</v>
      </c>
      <c r="C893" s="4" t="str">
        <f>IFERROR(__xludf.DUMMYFUNCTION("""COMPUTED_VALUE"""),"1DUwxSUq_47EK60XmK3LOdCXa1fkWqWJE9bLuGS3ccv422")</f>
        <v>1DUwxSUq_47EK60XmK3LOdCXa1fkWqWJE9bLuGS3ccv422</v>
      </c>
      <c r="D893" s="4"/>
      <c r="E893" s="4"/>
      <c r="F893" s="4"/>
      <c r="G893" s="4"/>
      <c r="H893" s="4"/>
      <c r="I893" s="4"/>
      <c r="J893" s="4"/>
      <c r="K893" s="4"/>
      <c r="L893" s="4"/>
    </row>
    <row r="894" ht="15.75" customHeight="1">
      <c r="A894" s="4" t="str">
        <f>IFERROR(__xludf.DUMMYFUNCTION("""COMPUTED_VALUE"""),"Blotter")</f>
        <v>Blotter</v>
      </c>
      <c r="B894" s="4" t="str">
        <f>IFERROR(__xludf.DUMMYFUNCTION("""COMPUTED_VALUE"""),"VerifyFilterUiRC")</f>
        <v>VerifyFilterUiRC</v>
      </c>
      <c r="C894" s="4" t="str">
        <f>IFERROR(__xludf.DUMMYFUNCTION("""COMPUTED_VALUE"""),"1QQZEZqPXfPnxfNID2a3__xw8RnEAn77igg5Q32S3Sm0")</f>
        <v>1QQZEZqPXfPnxfNID2a3__xw8RnEAn77igg5Q32S3Sm0</v>
      </c>
      <c r="D894" s="4"/>
      <c r="E894" s="4"/>
      <c r="F894" s="4"/>
      <c r="G894" s="4"/>
      <c r="H894" s="4"/>
      <c r="I894" s="4"/>
      <c r="J894" s="4"/>
      <c r="K894" s="4"/>
      <c r="L894" s="4"/>
    </row>
    <row r="895" ht="15.75" customHeight="1">
      <c r="A895" s="4" t="str">
        <f>IFERROR(__xludf.DUMMYFUNCTION("""COMPUTED_VALUE"""),"TradingTicket")</f>
        <v>TradingTicket</v>
      </c>
      <c r="B895" s="4" t="str">
        <f>IFERROR(__xludf.DUMMYFUNCTION("""COMPUTED_VALUE"""),"SymbolSuggestionVerify")</f>
        <v>SymbolSuggestionVerify</v>
      </c>
      <c r="C895" s="4" t="str">
        <f>IFERROR(__xludf.DUMMYFUNCTION("""COMPUTED_VALUE"""),"14aTeLjmUbS-nhaQwjtZAMGxdQ5DS6UsBjE5OTWN-LQU")</f>
        <v>14aTeLjmUbS-nhaQwjtZAMGxdQ5DS6UsBjE5OTWN-LQU</v>
      </c>
      <c r="D895" s="4"/>
      <c r="E895" s="4"/>
      <c r="F895" s="4"/>
      <c r="G895" s="4"/>
      <c r="H895" s="4"/>
      <c r="I895" s="4"/>
      <c r="J895" s="4"/>
      <c r="K895" s="4"/>
      <c r="L895" s="4"/>
    </row>
    <row r="896" ht="15.75" customHeight="1">
      <c r="A896" s="4" t="str">
        <f>IFERROR(__xludf.DUMMYFUNCTION("""COMPUTED_VALUE"""),"PreferencesMain")</f>
        <v>PreferencesMain</v>
      </c>
      <c r="B896" s="4" t="str">
        <f>IFERROR(__xludf.DUMMYFUNCTION("""COMPUTED_VALUE"""),"UpdatePTTPref")</f>
        <v>UpdatePTTPref</v>
      </c>
      <c r="C896" s="4" t="str">
        <f>IFERROR(__xludf.DUMMYFUNCTION("""COMPUTED_VALUE"""),"14aTeLjmUbS-nhaQwjtZAMGxdQ5DS6UsBjE5OTWN-LQU")</f>
        <v>14aTeLjmUbS-nhaQwjtZAMGxdQ5DS6UsBjE5OTWN-LQU</v>
      </c>
      <c r="D896" s="4"/>
      <c r="E896" s="4"/>
      <c r="F896" s="4"/>
      <c r="G896" s="4"/>
      <c r="H896" s="4"/>
      <c r="I896" s="4"/>
      <c r="J896" s="4"/>
      <c r="K896" s="4"/>
      <c r="L896" s="4"/>
    </row>
    <row r="897" ht="15.75" customHeight="1">
      <c r="A897" s="4" t="str">
        <f>IFERROR(__xludf.DUMMYFUNCTION("""COMPUTED_VALUE"""),"PreferencesMain")</f>
        <v>PreferencesMain</v>
      </c>
      <c r="B897" s="4" t="str">
        <f>IFERROR(__xludf.DUMMYFUNCTION("""COMPUTED_VALUE"""),"ActionOnPreferencesMain")</f>
        <v>ActionOnPreferencesMain</v>
      </c>
      <c r="C897" s="4" t="str">
        <f>IFERROR(__xludf.DUMMYFUNCTION("""COMPUTED_VALUE"""),"14aTeLjmUbS-nhaQwjtZAMGxdQ5DS6UsBjE5OTWN-LQU")</f>
        <v>14aTeLjmUbS-nhaQwjtZAMGxdQ5DS6UsBjE5OTWN-LQU</v>
      </c>
      <c r="D897" s="4"/>
      <c r="E897" s="4"/>
      <c r="F897" s="4"/>
      <c r="G897" s="4"/>
      <c r="H897" s="4"/>
      <c r="I897" s="4"/>
      <c r="J897" s="4"/>
      <c r="K897" s="4"/>
      <c r="L897" s="4"/>
    </row>
    <row r="898" ht="15.75" customHeight="1">
      <c r="A898" s="4" t="str">
        <f>IFERROR(__xludf.DUMMYFUNCTION("""COMPUTED_VALUE"""),"PreferencesMain")</f>
        <v>PreferencesMain</v>
      </c>
      <c r="B898" s="4" t="str">
        <f>IFERROR(__xludf.DUMMYFUNCTION("""COMPUTED_VALUE"""),"VerifyUpdategrdAccountFactor")</f>
        <v>VerifyUpdategrdAccountFactor</v>
      </c>
      <c r="C898" s="4" t="str">
        <f>IFERROR(__xludf.DUMMYFUNCTION("""COMPUTED_VALUE"""),"14aTeLjmUbS-nhaQwjtZAMGxdQ5DS6UsBjE5OTWN-LQU")</f>
        <v>14aTeLjmUbS-nhaQwjtZAMGxdQ5DS6UsBjE5OTWN-LQU</v>
      </c>
      <c r="D898" s="4"/>
      <c r="E898" s="4"/>
      <c r="F898" s="4"/>
      <c r="G898" s="4"/>
      <c r="H898" s="4"/>
      <c r="I898" s="4"/>
      <c r="J898" s="4"/>
      <c r="K898" s="4"/>
      <c r="L898" s="4"/>
    </row>
    <row r="899" ht="15.75" customHeight="1">
      <c r="A899" s="4" t="str">
        <f>IFERROR(__xludf.DUMMYFUNCTION("""COMPUTED_VALUE"""),"PreferencesMain")</f>
        <v>PreferencesMain</v>
      </c>
      <c r="B899" s="4" t="str">
        <f>IFERROR(__xludf.DUMMYFUNCTION("""COMPUTED_VALUE"""),"VerifyUpdategrdMFA")</f>
        <v>VerifyUpdategrdMFA</v>
      </c>
      <c r="C899" s="4" t="str">
        <f>IFERROR(__xludf.DUMMYFUNCTION("""COMPUTED_VALUE"""),"14aTeLjmUbS-nhaQwjtZAMGxdQ5DS6UsBjE5OTWN-LQU")</f>
        <v>14aTeLjmUbS-nhaQwjtZAMGxdQ5DS6UsBjE5OTWN-LQU</v>
      </c>
      <c r="D899" s="4"/>
      <c r="E899" s="4"/>
      <c r="F899" s="4"/>
      <c r="G899" s="4"/>
      <c r="H899" s="4"/>
      <c r="I899" s="4"/>
      <c r="J899" s="4"/>
      <c r="K899" s="4"/>
      <c r="L899" s="4"/>
    </row>
    <row r="900" ht="15.75" customHeight="1">
      <c r="A900" s="4" t="str">
        <f>IFERROR(__xludf.DUMMYFUNCTION("""COMPUTED_VALUE"""),"PreferencesMain")</f>
        <v>PreferencesMain</v>
      </c>
      <c r="B900" s="4" t="str">
        <f>IFERROR(__xludf.DUMMYFUNCTION("""COMPUTED_VALUE"""),"SwitchTabMFA")</f>
        <v>SwitchTabMFA</v>
      </c>
      <c r="C900" s="4" t="str">
        <f>IFERROR(__xludf.DUMMYFUNCTION("""COMPUTED_VALUE"""),"14aTeLjmUbS-nhaQwjtZAMGxdQ5DS6UsBjE5OTWN-LQU")</f>
        <v>14aTeLjmUbS-nhaQwjtZAMGxdQ5DS6UsBjE5OTWN-LQU</v>
      </c>
      <c r="D900" s="4"/>
      <c r="E900" s="4"/>
      <c r="F900" s="4"/>
      <c r="G900" s="4"/>
      <c r="H900" s="4"/>
      <c r="I900" s="4"/>
      <c r="J900" s="4"/>
      <c r="K900" s="4"/>
      <c r="L900" s="4"/>
    </row>
    <row r="901" ht="15.75" customHeight="1">
      <c r="A901" s="4" t="str">
        <f>IFERROR(__xludf.DUMMYFUNCTION("""COMPUTED_VALUE"""),"PreferencesMain")</f>
        <v>PreferencesMain</v>
      </c>
      <c r="B901" s="4" t="str">
        <f>IFERROR(__xludf.DUMMYFUNCTION("""COMPUTED_VALUE"""),"UpdateBlotterPref")</f>
        <v>UpdateBlotterPref</v>
      </c>
      <c r="C901" s="4" t="str">
        <f>IFERROR(__xludf.DUMMYFUNCTION("""COMPUTED_VALUE"""),"14aTeLjmUbS-nhaQwjtZAMGxdQ5DS6UsBjE5OTWN-LQU")</f>
        <v>14aTeLjmUbS-nhaQwjtZAMGxdQ5DS6UsBjE5OTWN-LQU</v>
      </c>
      <c r="D901" s="4"/>
      <c r="E901" s="4"/>
      <c r="F901" s="4"/>
      <c r="G901" s="4"/>
      <c r="H901" s="4"/>
      <c r="I901" s="4"/>
      <c r="J901" s="4"/>
      <c r="K901" s="4"/>
      <c r="L901" s="4"/>
    </row>
    <row r="902" ht="15.75" customHeight="1">
      <c r="A902" s="4" t="str">
        <f>IFERROR(__xludf.DUMMYFUNCTION("""COMPUTED_VALUE"""),"PreferencesMain")</f>
        <v>PreferencesMain</v>
      </c>
      <c r="B902" s="4" t="str">
        <f>IFERROR(__xludf.DUMMYFUNCTION("""COMPUTED_VALUE"""),"UpdatePMPref")</f>
        <v>UpdatePMPref</v>
      </c>
      <c r="C902" s="4" t="str">
        <f>IFERROR(__xludf.DUMMYFUNCTION("""COMPUTED_VALUE"""),"14aTeLjmUbS-nhaQwjtZAMGxdQ5DS6UsBjE5OTWN-LQU")</f>
        <v>14aTeLjmUbS-nhaQwjtZAMGxdQ5DS6UsBjE5OTWN-LQU</v>
      </c>
      <c r="D902" s="4"/>
      <c r="E902" s="4"/>
      <c r="F902" s="4"/>
      <c r="G902" s="4"/>
      <c r="H902" s="4"/>
      <c r="I902" s="4"/>
      <c r="J902" s="4"/>
      <c r="K902" s="4"/>
      <c r="L902" s="4"/>
    </row>
    <row r="903" ht="15.75" customHeight="1">
      <c r="A903" s="4" t="str">
        <f>IFERROR(__xludf.DUMMYFUNCTION("""COMPUTED_VALUE"""),"PreferencesMain")</f>
        <v>PreferencesMain</v>
      </c>
      <c r="B903" s="4" t="str">
        <f>IFERROR(__xludf.DUMMYFUNCTION("""COMPUTED_VALUE"""),"UpdateGenPref")</f>
        <v>UpdateGenPref</v>
      </c>
      <c r="C903" s="4" t="str">
        <f>IFERROR(__xludf.DUMMYFUNCTION("""COMPUTED_VALUE"""),"14aTeLjmUbS-nhaQwjtZAMGxdQ5DS6UsBjE5OTWN-LQU")</f>
        <v>14aTeLjmUbS-nhaQwjtZAMGxdQ5DS6UsBjE5OTWN-LQU</v>
      </c>
      <c r="D903" s="4"/>
      <c r="E903" s="4"/>
      <c r="F903" s="4"/>
      <c r="G903" s="4"/>
      <c r="H903" s="4"/>
      <c r="I903" s="4"/>
      <c r="J903" s="4"/>
      <c r="K903" s="4"/>
      <c r="L903" s="4"/>
    </row>
    <row r="904" ht="15.75" customHeight="1">
      <c r="A904" s="4" t="str">
        <f>IFERROR(__xludf.DUMMYFUNCTION("""COMPUTED_VALUE"""),"PreferencesMain")</f>
        <v>PreferencesMain</v>
      </c>
      <c r="B904" s="4" t="str">
        <f>IFERROR(__xludf.DUMMYFUNCTION("""COMPUTED_VALUE"""),"VerifyUpdateAssetSide")</f>
        <v>VerifyUpdateAssetSide</v>
      </c>
      <c r="C904" s="4" t="str">
        <f>IFERROR(__xludf.DUMMYFUNCTION("""COMPUTED_VALUE"""),"14aTeLjmUbS-nhaQwjtZAMGxdQ5DS6UsBjE5OTWN-LQU")</f>
        <v>14aTeLjmUbS-nhaQwjtZAMGxdQ5DS6UsBjE5OTWN-LQU</v>
      </c>
      <c r="D904" s="4"/>
      <c r="E904" s="4"/>
      <c r="F904" s="4"/>
      <c r="G904" s="4"/>
      <c r="H904" s="4"/>
      <c r="I904" s="4"/>
      <c r="J904" s="4"/>
      <c r="K904" s="4"/>
      <c r="L904" s="4"/>
    </row>
    <row r="905" ht="15.75" customHeight="1">
      <c r="A905" s="4" t="str">
        <f>IFERROR(__xludf.DUMMYFUNCTION("""COMPUTED_VALUE"""),"PreferencesMain")</f>
        <v>PreferencesMain</v>
      </c>
      <c r="B905" s="4" t="str">
        <f>IFERROR(__xludf.DUMMYFUNCTION("""COMPUTED_VALUE"""),"SwicthTabPref")</f>
        <v>SwicthTabPref</v>
      </c>
      <c r="C905" s="4" t="str">
        <f>IFERROR(__xludf.DUMMYFUNCTION("""COMPUTED_VALUE"""),"14aTeLjmUbS-nhaQwjtZAMGxdQ5DS6UsBjE5OTWN-LQU")</f>
        <v>14aTeLjmUbS-nhaQwjtZAMGxdQ5DS6UsBjE5OTWN-LQU</v>
      </c>
      <c r="D905" s="4"/>
      <c r="E905" s="4"/>
      <c r="F905" s="4"/>
      <c r="G905" s="4"/>
      <c r="H905" s="4"/>
      <c r="I905" s="4"/>
      <c r="J905" s="4"/>
      <c r="K905" s="4"/>
      <c r="L905" s="4"/>
    </row>
    <row r="906" ht="15.75" customHeight="1">
      <c r="A906" s="4" t="str">
        <f>IFERROR(__xludf.DUMMYFUNCTION("""COMPUTED_VALUE"""),"PreferencesMain")</f>
        <v>PreferencesMain</v>
      </c>
      <c r="B906" s="4" t="str">
        <f>IFERROR(__xludf.DUMMYFUNCTION("""COMPUTED_VALUE"""),"TTDefaultSelection")</f>
        <v>TTDefaultSelection</v>
      </c>
      <c r="C906" s="4" t="str">
        <f>IFERROR(__xludf.DUMMYFUNCTION("""COMPUTED_VALUE"""),"14aTeLjmUbS-nhaQwjtZAMGxdQ5DS6UsBjE5OTWN-LQU")</f>
        <v>14aTeLjmUbS-nhaQwjtZAMGxdQ5DS6UsBjE5OTWN-LQU</v>
      </c>
      <c r="D906" s="4"/>
      <c r="E906" s="4"/>
      <c r="F906" s="4"/>
      <c r="G906" s="4"/>
      <c r="H906" s="4"/>
      <c r="I906" s="4"/>
      <c r="J906" s="4"/>
      <c r="K906" s="4"/>
      <c r="L906" s="4"/>
    </row>
    <row r="907" ht="15.75" customHeight="1">
      <c r="A907" s="4" t="str">
        <f>IFERROR(__xludf.DUMMYFUNCTION("""COMPUTED_VALUE"""),"PreferencesMain")</f>
        <v>PreferencesMain</v>
      </c>
      <c r="B907" s="4" t="str">
        <f>IFERROR(__xludf.DUMMYFUNCTION("""COMPUTED_VALUE"""),"TTNumSelection")</f>
        <v>TTNumSelection</v>
      </c>
      <c r="C907" s="4" t="str">
        <f>IFERROR(__xludf.DUMMYFUNCTION("""COMPUTED_VALUE"""),"14aTeLjmUbS-nhaQwjtZAMGxdQ5DS6UsBjE5OTWN-LQU")</f>
        <v>14aTeLjmUbS-nhaQwjtZAMGxdQ5DS6UsBjE5OTWN-LQU</v>
      </c>
      <c r="D907" s="4"/>
      <c r="E907" s="4"/>
      <c r="F907" s="4"/>
      <c r="G907" s="4"/>
      <c r="H907" s="4"/>
      <c r="I907" s="4"/>
      <c r="J907" s="4"/>
      <c r="K907" s="4"/>
      <c r="L907" s="4"/>
    </row>
    <row r="908" ht="15.75" customHeight="1">
      <c r="A908" s="4" t="str">
        <f>IFERROR(__xludf.DUMMYFUNCTION("""COMPUTED_VALUE"""),"PreferencesMain")</f>
        <v>PreferencesMain</v>
      </c>
      <c r="B908" s="4" t="str">
        <f>IFERROR(__xludf.DUMMYFUNCTION("""COMPUTED_VALUE"""),"TTConfirmationPopUps")</f>
        <v>TTConfirmationPopUps</v>
      </c>
      <c r="C908" s="4" t="str">
        <f>IFERROR(__xludf.DUMMYFUNCTION("""COMPUTED_VALUE"""),"14aTeLjmUbS-nhaQwjtZAMGxdQ5DS6UsBjE5OTWN-LQU")</f>
        <v>14aTeLjmUbS-nhaQwjtZAMGxdQ5DS6UsBjE5OTWN-LQU</v>
      </c>
      <c r="D908" s="4"/>
      <c r="E908" s="4"/>
      <c r="F908" s="4"/>
      <c r="G908" s="4"/>
      <c r="H908" s="4"/>
      <c r="I908" s="4"/>
      <c r="J908" s="4"/>
      <c r="K908" s="4"/>
      <c r="L908" s="4"/>
    </row>
    <row r="909" ht="15.75" customHeight="1">
      <c r="A909" s="4" t="str">
        <f>IFERROR(__xludf.DUMMYFUNCTION("""COMPUTED_VALUE"""),"PreferencesMain")</f>
        <v>PreferencesMain</v>
      </c>
      <c r="B909" s="4" t="str">
        <f>IFERROR(__xludf.DUMMYFUNCTION("""COMPUTED_VALUE"""),"VerifyUpdateBrokerPref")</f>
        <v>VerifyUpdateBrokerPref</v>
      </c>
      <c r="C909" s="4" t="str">
        <f>IFERROR(__xludf.DUMMYFUNCTION("""COMPUTED_VALUE"""),"14aTeLjmUbS-nhaQwjtZAMGxdQ5DS6UsBjE5OTWN-LQU")</f>
        <v>14aTeLjmUbS-nhaQwjtZAMGxdQ5DS6UsBjE5OTWN-LQU</v>
      </c>
      <c r="D909" s="4"/>
      <c r="E909" s="4"/>
      <c r="F909" s="4"/>
      <c r="G909" s="4"/>
      <c r="H909" s="4"/>
      <c r="I909" s="4"/>
      <c r="J909" s="4"/>
      <c r="K909" s="4"/>
      <c r="L909" s="4"/>
    </row>
    <row r="910" ht="15.75" customHeight="1">
      <c r="A910" s="4" t="str">
        <f>IFERROR(__xludf.DUMMYFUNCTION("""COMPUTED_VALUE"""),"PreferencesMain")</f>
        <v>PreferencesMain</v>
      </c>
      <c r="B910" s="4" t="str">
        <f>IFERROR(__xludf.DUMMYFUNCTION("""COMPUTED_VALUE"""),"TTGeneralPref")</f>
        <v>TTGeneralPref</v>
      </c>
      <c r="C910" s="4" t="str">
        <f>IFERROR(__xludf.DUMMYFUNCTION("""COMPUTED_VALUE"""),"14aTeLjmUbS-nhaQwjtZAMGxdQ5DS6UsBjE5OTWN-LQU")</f>
        <v>14aTeLjmUbS-nhaQwjtZAMGxdQ5DS6UsBjE5OTWN-LQU</v>
      </c>
      <c r="D910" s="4"/>
      <c r="E910" s="4"/>
      <c r="F910" s="4"/>
      <c r="G910" s="4"/>
      <c r="H910" s="4"/>
      <c r="I910" s="4"/>
      <c r="J910" s="4"/>
      <c r="K910" s="4"/>
      <c r="L910" s="4"/>
    </row>
    <row r="911" ht="15.75" customHeight="1">
      <c r="A911" s="4" t="str">
        <f>IFERROR(__xludf.DUMMYFUNCTION("""COMPUTED_VALUE"""),"PreferencesMain")</f>
        <v>PreferencesMain</v>
      </c>
      <c r="B911" s="4" t="str">
        <f>IFERROR(__xludf.DUMMYFUNCTION("""COMPUTED_VALUE"""),"UpdateClosingPref")</f>
        <v>UpdateClosingPref</v>
      </c>
      <c r="C911" s="4" t="str">
        <f>IFERROR(__xludf.DUMMYFUNCTION("""COMPUTED_VALUE"""),"14aTeLjmUbS-nhaQwjtZAMGxdQ5DS6UsBjE5OTWN-LQU")</f>
        <v>14aTeLjmUbS-nhaQwjtZAMGxdQ5DS6UsBjE5OTWN-LQU</v>
      </c>
      <c r="D911" s="4"/>
      <c r="E911" s="4"/>
      <c r="F911" s="4"/>
      <c r="G911" s="4"/>
      <c r="H911" s="4"/>
      <c r="I911" s="4"/>
      <c r="J911" s="4"/>
      <c r="K911" s="4"/>
      <c r="L911" s="4"/>
    </row>
    <row r="912" ht="15.75" customHeight="1">
      <c r="A912" s="4" t="str">
        <f>IFERROR(__xludf.DUMMYFUNCTION("""COMPUTED_VALUE"""),"Allocation")</f>
        <v>Allocation</v>
      </c>
      <c r="B912" s="4" t="str">
        <f>IFERROR(__xludf.DUMMYFUNCTION("""COMPUTED_VALUE"""),"VerifyEditAttRenaming")</f>
        <v>VerifyEditAttRenaming</v>
      </c>
      <c r="C912" s="4" t="str">
        <f>IFERROR(__xludf.DUMMYFUNCTION("""COMPUTED_VALUE"""),"14aTeLjmUbS-nhaQwjtZAMGxdQ5DS6UsBjE5OTWN-LQU")</f>
        <v>14aTeLjmUbS-nhaQwjtZAMGxdQ5DS6UsBjE5OTWN-LQU</v>
      </c>
      <c r="D912" s="4"/>
      <c r="E912" s="4"/>
      <c r="F912" s="4"/>
      <c r="G912" s="4"/>
      <c r="H912" s="4"/>
      <c r="I912" s="4"/>
      <c r="J912" s="4"/>
      <c r="K912" s="4"/>
      <c r="L912" s="4"/>
    </row>
    <row r="913" ht="15.75" customHeight="1">
      <c r="A913" s="4" t="str">
        <f>IFERROR(__xludf.DUMMYFUNCTION("""COMPUTED_VALUE"""),"Rebalancer")</f>
        <v>Rebalancer</v>
      </c>
      <c r="B913" s="4" t="str">
        <f>IFERROR(__xludf.DUMMYFUNCTION("""COMPUTED_VALUE"""),"VerifyTradeList")</f>
        <v>VerifyTradeList</v>
      </c>
      <c r="C913" s="4" t="str">
        <f>IFERROR(__xludf.DUMMYFUNCTION("""COMPUTED_VALUE"""),"14aTeLjmUbS-nhaQwjtZAMGxdQ5DS6UsBjE5OTWN-LQU")</f>
        <v>14aTeLjmUbS-nhaQwjtZAMGxdQ5DS6UsBjE5OTWN-LQU</v>
      </c>
      <c r="D913" s="4"/>
      <c r="E913" s="4"/>
      <c r="F913" s="4"/>
      <c r="G913" s="4"/>
      <c r="H913" s="4"/>
      <c r="I913" s="4"/>
      <c r="J913" s="4"/>
      <c r="K913" s="4"/>
      <c r="L913" s="4"/>
    </row>
    <row r="914" ht="15.75" customHeight="1">
      <c r="A914" s="4" t="str">
        <f>IFERROR(__xludf.DUMMYFUNCTION("""COMPUTED_VALUE"""),"TradingTicket")</f>
        <v>TradingTicket</v>
      </c>
      <c r="B914" s="4" t="str">
        <f>IFERROR(__xludf.DUMMYFUNCTION("""COMPUTED_VALUE"""),"TTMainControls")</f>
        <v>TTMainControls</v>
      </c>
      <c r="C914" s="4" t="str">
        <f>IFERROR(__xludf.DUMMYFUNCTION("""COMPUTED_VALUE"""),"1DUwxSUq_47EK60XmK3LOdCXa1fkWqWJE9bLuGS3ccv412")</f>
        <v>1DUwxSUq_47EK60XmK3LOdCXa1fkWqWJE9bLuGS3ccv412</v>
      </c>
      <c r="D914" s="4"/>
      <c r="E914" s="4"/>
      <c r="F914" s="4"/>
      <c r="G914" s="4"/>
      <c r="H914" s="4"/>
      <c r="I914" s="4"/>
      <c r="J914" s="4"/>
      <c r="K914" s="4"/>
      <c r="L914" s="4"/>
    </row>
    <row r="915" ht="15.75" customHeight="1">
      <c r="A915" s="4" t="str">
        <f>IFERROR(__xludf.DUMMYFUNCTION("""COMPUTED_VALUE"""),"TradingTicket")</f>
        <v>TradingTicket</v>
      </c>
      <c r="B915" s="4" t="str">
        <f>IFERROR(__xludf.DUMMYFUNCTION("""COMPUTED_VALUE"""),"VerifySymStrip")</f>
        <v>VerifySymStrip</v>
      </c>
      <c r="C915" s="4" t="str">
        <f>IFERROR(__xludf.DUMMYFUNCTION("""COMPUTED_VALUE"""),"1DUwxSUq_47EK60XmK3LOdCXa1fkWqWJE9bLuGS3ccv412")</f>
        <v>1DUwxSUq_47EK60XmK3LOdCXa1fkWqWJE9bLuGS3ccv412</v>
      </c>
      <c r="D915" s="4"/>
      <c r="E915" s="4"/>
      <c r="F915" s="4"/>
      <c r="G915" s="4"/>
      <c r="H915" s="4"/>
      <c r="I915" s="4"/>
      <c r="J915" s="4"/>
      <c r="K915" s="4"/>
      <c r="L915" s="4"/>
    </row>
    <row r="916" ht="15.75" customHeight="1">
      <c r="A916" s="4" t="str">
        <f>IFERROR(__xludf.DUMMYFUNCTION("""COMPUTED_VALUE"""),"TradingTicket")</f>
        <v>TradingTicket</v>
      </c>
      <c r="B916" s="4" t="str">
        <f>IFERROR(__xludf.DUMMYFUNCTION("""COMPUTED_VALUE"""),"TTBottomTab")</f>
        <v>TTBottomTab</v>
      </c>
      <c r="C916" s="4" t="str">
        <f>IFERROR(__xludf.DUMMYFUNCTION("""COMPUTED_VALUE"""),"1DUwxSUq_47EK60XmK3LOdCXa1fkWqWJE9bLuGS3ccv412")</f>
        <v>1DUwxSUq_47EK60XmK3LOdCXa1fkWqWJE9bLuGS3ccv412</v>
      </c>
      <c r="D916" s="4"/>
      <c r="E916" s="4"/>
      <c r="F916" s="4"/>
      <c r="G916" s="4"/>
      <c r="H916" s="4"/>
      <c r="I916" s="4"/>
      <c r="J916" s="4"/>
      <c r="K916" s="4"/>
      <c r="L916" s="4"/>
    </row>
    <row r="917" ht="15.75" customHeight="1">
      <c r="A917" s="4" t="str">
        <f>IFERROR(__xludf.DUMMYFUNCTION("""COMPUTED_VALUE"""),"TradingTicket")</f>
        <v>TradingTicket</v>
      </c>
      <c r="B917" s="4" t="str">
        <f>IFERROR(__xludf.DUMMYFUNCTION("""COMPUTED_VALUE"""),"TTBottomSwap")</f>
        <v>TTBottomSwap</v>
      </c>
      <c r="C917" s="4" t="str">
        <f>IFERROR(__xludf.DUMMYFUNCTION("""COMPUTED_VALUE"""),"1DUwxSUq_47EK60XmK3LOdCXa1fkWqWJE9bLuGS3ccv412")</f>
        <v>1DUwxSUq_47EK60XmK3LOdCXa1fkWqWJE9bLuGS3ccv412</v>
      </c>
      <c r="D917" s="4"/>
      <c r="E917" s="4"/>
      <c r="F917" s="4"/>
      <c r="G917" s="4"/>
      <c r="H917" s="4"/>
      <c r="I917" s="4"/>
      <c r="J917" s="4"/>
      <c r="K917" s="4"/>
      <c r="L917" s="4"/>
    </row>
    <row r="918" ht="15.75" customHeight="1">
      <c r="A918" s="4" t="str">
        <f>IFERROR(__xludf.DUMMYFUNCTION("""COMPUTED_VALUE"""),"Blotter")</f>
        <v>Blotter</v>
      </c>
      <c r="B918" s="4" t="str">
        <f>IFERROR(__xludf.DUMMYFUNCTION("""COMPUTED_VALUE"""),"CreateHotButtonOnBlotter")</f>
        <v>CreateHotButtonOnBlotter</v>
      </c>
      <c r="C918" s="4" t="str">
        <f>IFERROR(__xludf.DUMMYFUNCTION("""COMPUTED_VALUE"""),"1Yu7Fb6AjhUP8b-KuRJvgAwq8TykNK6BDh9F0Xpf12Ek")</f>
        <v>1Yu7Fb6AjhUP8b-KuRJvgAwq8TykNK6BDh9F0Xpf12Ek</v>
      </c>
      <c r="D918" s="4"/>
      <c r="E918" s="4"/>
      <c r="F918" s="4"/>
      <c r="G918" s="4"/>
      <c r="H918" s="4"/>
      <c r="I918" s="4"/>
      <c r="J918" s="4"/>
      <c r="K918" s="4"/>
      <c r="L918" s="4"/>
    </row>
    <row r="919" ht="15.75" customHeight="1">
      <c r="A919" s="4" t="str">
        <f>IFERROR(__xludf.DUMMYFUNCTION("""COMPUTED_VALUE"""),"Blotter")</f>
        <v>Blotter</v>
      </c>
      <c r="B919" s="4" t="str">
        <f>IFERROR(__xludf.DUMMYFUNCTION("""COMPUTED_VALUE"""),"FillHBdetailsOnBlotter")</f>
        <v>FillHBdetailsOnBlotter</v>
      </c>
      <c r="C919" s="4" t="str">
        <f>IFERROR(__xludf.DUMMYFUNCTION("""COMPUTED_VALUE"""),"13Isj5c5k8kObxI-GBT6Ir9VBOz_46lzhwVxXXVP8jQU")</f>
        <v>13Isj5c5k8kObxI-GBT6Ir9VBOz_46lzhwVxXXVP8jQU</v>
      </c>
      <c r="D919" s="4"/>
      <c r="E919" s="4"/>
      <c r="F919" s="4"/>
      <c r="G919" s="4"/>
      <c r="H919" s="4"/>
      <c r="I919" s="4"/>
      <c r="J919" s="4"/>
      <c r="K919" s="4"/>
      <c r="L919" s="4"/>
    </row>
    <row r="920" ht="15.75" customHeight="1">
      <c r="A920" s="4" t="str">
        <f>IFERROR(__xludf.DUMMYFUNCTION("""COMPUTED_VALUE"""),"TradingTicket")</f>
        <v>TradingTicket</v>
      </c>
      <c r="B920" s="4" t="str">
        <f>IFERROR(__xludf.DUMMYFUNCTION("""COMPUTED_VALUE"""),"EditAuecWindow")</f>
        <v>EditAuecWindow</v>
      </c>
      <c r="C920" s="4" t="str">
        <f>IFERROR(__xludf.DUMMYFUNCTION("""COMPUTED_VALUE"""),"1ottlNphVbp0AC-UFd-HlDpCLwOA2yWO1pN6eR3ML7vA")</f>
        <v>1ottlNphVbp0AC-UFd-HlDpCLwOA2yWO1pN6eR3ML7vA</v>
      </c>
      <c r="D920" s="4"/>
      <c r="E920" s="4"/>
      <c r="F920" s="4"/>
      <c r="G920" s="4"/>
      <c r="H920" s="4"/>
      <c r="I920" s="4"/>
      <c r="J920" s="4"/>
      <c r="K920" s="4"/>
      <c r="L920" s="4"/>
    </row>
    <row r="921" ht="15.75" customHeight="1">
      <c r="A921" s="4" t="str">
        <f>IFERROR(__xludf.DUMMYFUNCTION("""COMPUTED_VALUE"""),"TradingTicket")</f>
        <v>TradingTicket</v>
      </c>
      <c r="B921" s="4" t="str">
        <f>IFERROR(__xludf.DUMMYFUNCTION("""COMPUTED_VALUE"""),"VerifyBrokerSummary")</f>
        <v>VerifyBrokerSummary</v>
      </c>
      <c r="C921" s="4" t="str">
        <f>IFERROR(__xludf.DUMMYFUNCTION("""COMPUTED_VALUE"""),"11hMxlfIQYwM8vPN2h--IGp7O02EDFbvJ4CSvjSfGsMY")</f>
        <v>11hMxlfIQYwM8vPN2h--IGp7O02EDFbvJ4CSvjSfGsMY</v>
      </c>
      <c r="D921" s="4"/>
      <c r="E921" s="4"/>
      <c r="F921" s="4"/>
      <c r="G921" s="4"/>
      <c r="H921" s="4"/>
      <c r="I921" s="4"/>
      <c r="J921" s="4"/>
      <c r="K921" s="4"/>
      <c r="L921" s="4"/>
    </row>
    <row r="922" ht="15.75" customHeight="1">
      <c r="A922" s="4" t="str">
        <f>IFERROR(__xludf.DUMMYFUNCTION("""COMPUTED_VALUE"""),"QTT")</f>
        <v>QTT</v>
      </c>
      <c r="B922" s="4" t="str">
        <f>IFERROR(__xludf.DUMMYFUNCTION("""COMPUTED_VALUE"""),"EditAuecWindowQTT")</f>
        <v>EditAuecWindowQTT</v>
      </c>
      <c r="C922" s="4" t="str">
        <f>IFERROR(__xludf.DUMMYFUNCTION("""COMPUTED_VALUE"""),"1oI_WY3xKQgSjp5JN67BMHtm3zazX5ZiMATISa2ssGB0")</f>
        <v>1oI_WY3xKQgSjp5JN67BMHtm3zazX5ZiMATISa2ssGB0</v>
      </c>
      <c r="D922" s="4"/>
      <c r="E922" s="4"/>
      <c r="F922" s="4"/>
      <c r="G922" s="4"/>
      <c r="H922" s="4"/>
      <c r="I922" s="4"/>
      <c r="J922" s="4"/>
      <c r="K922" s="4"/>
      <c r="L922" s="4"/>
    </row>
    <row r="923" ht="15.75" customHeight="1">
      <c r="A923" s="4" t="str">
        <f>IFERROR(__xludf.DUMMYFUNCTION("""COMPUTED_VALUE"""),"QTT")</f>
        <v>QTT</v>
      </c>
      <c r="B923" s="4" t="str">
        <f>IFERROR(__xludf.DUMMYFUNCTION("""COMPUTED_VALUE"""),"VerifyBrokerSummaryQTT")</f>
        <v>VerifyBrokerSummaryQTT</v>
      </c>
      <c r="C923" s="4" t="str">
        <f>IFERROR(__xludf.DUMMYFUNCTION("""COMPUTED_VALUE"""),"1O6-eqYsZqtvYR6DOH7UM2_Jwpq9pB9uyZvgh5vEhVAI")</f>
        <v>1O6-eqYsZqtvYR6DOH7UM2_Jwpq9pB9uyZvgh5vEhVAI</v>
      </c>
      <c r="D923" s="4"/>
      <c r="E923" s="4"/>
      <c r="F923" s="4"/>
      <c r="G923" s="4"/>
      <c r="H923" s="4"/>
      <c r="I923" s="4"/>
      <c r="J923" s="4"/>
      <c r="K923" s="4"/>
      <c r="L923" s="4"/>
    </row>
    <row r="924" ht="15.75" customHeight="1">
      <c r="A924" s="4" t="str">
        <f>IFERROR(__xludf.DUMMYFUNCTION("""COMPUTED_VALUE"""),"QTT")</f>
        <v>QTT</v>
      </c>
      <c r="B924" s="4" t="str">
        <f>IFERROR(__xludf.DUMMYFUNCTION("""COMPUTED_VALUE"""),"SaveQTThotKey")</f>
        <v>SaveQTThotKey</v>
      </c>
      <c r="C924" s="4" t="str">
        <f>IFERROR(__xludf.DUMMYFUNCTION("""COMPUTED_VALUE"""),"Undefined")</f>
        <v>Undefined</v>
      </c>
      <c r="D924" s="4"/>
      <c r="E924" s="4"/>
      <c r="F924" s="4"/>
      <c r="G924" s="4"/>
      <c r="H924" s="4"/>
      <c r="I924" s="4"/>
      <c r="J924" s="4"/>
      <c r="K924" s="4"/>
      <c r="L924" s="4"/>
    </row>
    <row r="925" ht="15.75" customHeight="1">
      <c r="A925" s="4" t="str">
        <f>IFERROR(__xludf.DUMMYFUNCTION("""COMPUTED_VALUE"""),"Blotter")</f>
        <v>Blotter</v>
      </c>
      <c r="B925" s="4" t="str">
        <f>IFERROR(__xludf.DUMMYFUNCTION("""COMPUTED_VALUE"""),"BlotterColumnChooser")</f>
        <v>BlotterColumnChooser</v>
      </c>
      <c r="C925" s="4" t="str">
        <f>IFERROR(__xludf.DUMMYFUNCTION("""COMPUTED_VALUE"""),"12428TbyucuJDD3KuN7QG-GyRYI3gcoyDNKTQ2UpgGMQ")</f>
        <v>12428TbyucuJDD3KuN7QG-GyRYI3gcoyDNKTQ2UpgGMQ</v>
      </c>
      <c r="D925" s="4"/>
      <c r="E925" s="4"/>
      <c r="F925" s="4"/>
      <c r="G925" s="4"/>
      <c r="H925" s="4"/>
      <c r="I925" s="4"/>
      <c r="J925" s="4"/>
      <c r="K925" s="4"/>
      <c r="L925" s="4"/>
    </row>
    <row r="926" ht="15.75" customHeight="1">
      <c r="A926" s="4" t="str">
        <f>IFERROR(__xludf.DUMMYFUNCTION("""COMPUTED_VALUE"""),"RTPNL")</f>
        <v>RTPNL</v>
      </c>
      <c r="B926" s="4" t="str">
        <f>IFERROR(__xludf.DUMMYFUNCTION("""COMPUTED_VALUE"""),"CreateGroupingWidget")</f>
        <v>CreateGroupingWidget</v>
      </c>
      <c r="C926" s="4" t="str">
        <f>IFERROR(__xludf.DUMMYFUNCTION("""COMPUTED_VALUE"""),"1ctXhgvJgrqqe8ees0907Up0TKq9pCEhinMlZnRGqKdY")</f>
        <v>1ctXhgvJgrqqe8ees0907Up0TKq9pCEhinMlZnRGqKdY</v>
      </c>
      <c r="D926" s="4"/>
      <c r="E926" s="4"/>
      <c r="F926" s="4"/>
      <c r="G926" s="4"/>
      <c r="H926" s="4"/>
      <c r="I926" s="4"/>
      <c r="J926" s="4"/>
      <c r="K926" s="4"/>
      <c r="L926" s="4"/>
    </row>
    <row r="927" ht="15.75" customHeight="1">
      <c r="A927" s="4" t="str">
        <f>IFERROR(__xludf.DUMMYFUNCTION("""COMPUTED_VALUE"""),"RTPNL")</f>
        <v>RTPNL</v>
      </c>
      <c r="B927" s="4" t="str">
        <f>IFERROR(__xludf.DUMMYFUNCTION("""COMPUTED_VALUE"""),"CheckGroupingWidget")</f>
        <v>CheckGroupingWidget</v>
      </c>
      <c r="C927" s="4" t="str">
        <f>IFERROR(__xludf.DUMMYFUNCTION("""COMPUTED_VALUE"""),"16mimyUFzQ0Ojogh0t4Evjy-tjzAJ67xgIrWeTNmBdw0")</f>
        <v>16mimyUFzQ0Ojogh0t4Evjy-tjzAJ67xgIrWeTNmBdw0</v>
      </c>
      <c r="D927" s="4"/>
      <c r="E927" s="4"/>
      <c r="F927" s="4"/>
      <c r="G927" s="4"/>
      <c r="H927" s="4"/>
      <c r="I927" s="4"/>
      <c r="J927" s="4"/>
      <c r="K927" s="4"/>
      <c r="L927" s="4"/>
    </row>
    <row r="928" ht="15.75" customHeight="1">
      <c r="A928" s="4" t="str">
        <f>IFERROR(__xludf.DUMMYFUNCTION("""COMPUTED_VALUE"""),"TradingTicket")</f>
        <v>TradingTicket</v>
      </c>
      <c r="B928" s="4" t="str">
        <f>IFERROR(__xludf.DUMMYFUNCTION("""COMPUTED_VALUE"""),"QTTHamburg")</f>
        <v>QTTHamburg</v>
      </c>
      <c r="C928" s="4" t="str">
        <f>IFERROR(__xludf.DUMMYFUNCTION("""COMPUTED_VALUE"""),"1pdXDcLRWAl2b2L88lHCntj01OLBjVHaNAdGG8OHa4hA")</f>
        <v>1pdXDcLRWAl2b2L88lHCntj01OLBjVHaNAdGG8OHa4hA</v>
      </c>
      <c r="D928" s="4"/>
      <c r="E928" s="4"/>
      <c r="F928" s="4"/>
      <c r="G928" s="4"/>
      <c r="H928" s="4"/>
      <c r="I928" s="4"/>
      <c r="J928" s="4"/>
      <c r="K928" s="4"/>
      <c r="L928" s="4"/>
    </row>
    <row r="929" ht="15.75" customHeight="1">
      <c r="A929" s="4" t="str">
        <f>IFERROR(__xludf.DUMMYFUNCTION("""COMPUTED_VALUE"""),"RTPNL")</f>
        <v>RTPNL</v>
      </c>
      <c r="B929" s="4" t="str">
        <f>IFERROR(__xludf.DUMMYFUNCTION("""COMPUTED_VALUE"""),"VerifyL1L2PanelRTPNL")</f>
        <v>VerifyL1L2PanelRTPNL</v>
      </c>
      <c r="C929" s="4" t="str">
        <f>IFERROR(__xludf.DUMMYFUNCTION("""COMPUTED_VALUE"""),"1cQo_rX9O9XHFILj0ICV1GAU_RdtTKYlclT20jg9G7hg")</f>
        <v>1cQo_rX9O9XHFILj0ICV1GAU_RdtTKYlclT20jg9G7hg</v>
      </c>
      <c r="D929" s="4"/>
      <c r="E929" s="4"/>
      <c r="F929" s="4"/>
      <c r="G929" s="4"/>
      <c r="H929" s="4"/>
      <c r="I929" s="4"/>
      <c r="J929" s="4"/>
      <c r="K929" s="4"/>
      <c r="L929" s="4"/>
    </row>
    <row r="930" ht="15.75" customHeight="1">
      <c r="A930" s="4" t="str">
        <f>IFERROR(__xludf.DUMMYFUNCTION("""COMPUTED_VALUE"""),"Blotter")</f>
        <v>Blotter</v>
      </c>
      <c r="B930" s="4" t="str">
        <f>IFERROR(__xludf.DUMMYFUNCTION("""COMPUTED_VALUE"""),"CaptureHotButtonDetails")</f>
        <v>CaptureHotButtonDetails</v>
      </c>
      <c r="C930" s="4" t="str">
        <f>IFERROR(__xludf.DUMMYFUNCTION("""COMPUTED_VALUE"""),"16Dail-EoPWyIhwRzxyvr-EY1IE8jJTUQDarvGnXioxI")</f>
        <v>16Dail-EoPWyIhwRzxyvr-EY1IE8jJTUQDarvGnXioxI</v>
      </c>
      <c r="D930" s="4"/>
      <c r="E930" s="4"/>
      <c r="F930" s="4"/>
      <c r="G930" s="4"/>
      <c r="H930" s="4"/>
      <c r="I930" s="4"/>
      <c r="J930" s="4"/>
      <c r="K930" s="4"/>
      <c r="L930" s="4"/>
    </row>
    <row r="931" ht="15.75" customHeight="1">
      <c r="A931" s="4" t="str">
        <f>IFERROR(__xludf.DUMMYFUNCTION("""COMPUTED_VALUE"""),"SymbolLookup")</f>
        <v>SymbolLookup</v>
      </c>
      <c r="B931" s="4" t="str">
        <f>IFERROR(__xludf.DUMMYFUNCTION("""COMPUTED_VALUE"""),"EditSMGrid")</f>
        <v>EditSMGrid</v>
      </c>
      <c r="C931" s="4" t="str">
        <f>IFERROR(__xludf.DUMMYFUNCTION("""COMPUTED_VALUE"""),"14aTeLjmUbS-nhaQwjtZAMGxdQ5DS6UsBjE5OTWN-LQU")</f>
        <v>14aTeLjmUbS-nhaQwjtZAMGxdQ5DS6UsBjE5OTWN-LQU</v>
      </c>
      <c r="D931" s="4"/>
      <c r="E931" s="4"/>
      <c r="F931" s="4"/>
      <c r="G931" s="4"/>
      <c r="H931" s="4"/>
      <c r="I931" s="4"/>
      <c r="J931" s="4"/>
      <c r="K931" s="4"/>
      <c r="L931" s="4"/>
    </row>
    <row r="932" ht="15.75" customHeight="1">
      <c r="A932" s="4" t="str">
        <f>IFERROR(__xludf.DUMMYFUNCTION("""COMPUTED_VALUE"""),"QTT")</f>
        <v>QTT</v>
      </c>
      <c r="B932" s="4" t="str">
        <f>IFERROR(__xludf.DUMMYFUNCTION("""COMPUTED_VALUE"""),"EditQuickPreference")</f>
        <v>EditQuickPreference</v>
      </c>
      <c r="C932" s="4" t="str">
        <f>IFERROR(__xludf.DUMMYFUNCTION("""COMPUTED_VALUE"""),"133vNW3loXmIKhcuaiCwGIGXOULCttZuJZtPfA4s37vw")</f>
        <v>133vNW3loXmIKhcuaiCwGIGXOULCttZuJZtPfA4s37vw</v>
      </c>
      <c r="D932" s="4"/>
      <c r="E932" s="4"/>
      <c r="F932" s="4"/>
      <c r="G932" s="4"/>
      <c r="H932" s="4"/>
      <c r="I932" s="4"/>
      <c r="J932" s="4"/>
      <c r="K932" s="4"/>
      <c r="L932" s="4"/>
    </row>
    <row r="933" ht="15.75" customHeight="1">
      <c r="A933" s="4" t="str">
        <f>IFERROR(__xludf.DUMMYFUNCTION("""COMPUTED_VALUE"""),"Blotter")</f>
        <v>Blotter</v>
      </c>
      <c r="B933" s="4" t="str">
        <f>IFERROR(__xludf.DUMMYFUNCTION("""COMPUTED_VALUE"""),"RightClickActionVerification")</f>
        <v>RightClickActionVerification</v>
      </c>
      <c r="C933" s="4" t="str">
        <f>IFERROR(__xludf.DUMMYFUNCTION("""COMPUTED_VALUE"""),"11EX1Ln-BQAtx9NTd9zfcaia52FGNdZENDW2kwMCJ8HQ")</f>
        <v>11EX1Ln-BQAtx9NTd9zfcaia52FGNdZENDW2kwMCJ8HQ</v>
      </c>
      <c r="D933" s="4"/>
      <c r="E933" s="4"/>
      <c r="F933" s="4"/>
      <c r="G933" s="4"/>
      <c r="H933" s="4"/>
      <c r="I933" s="4"/>
      <c r="J933" s="4"/>
      <c r="K933" s="4"/>
      <c r="L933" s="4"/>
    </row>
    <row r="934" ht="15.75" customHeight="1">
      <c r="A934" s="4" t="str">
        <f>IFERROR(__xludf.DUMMYFUNCTION("""COMPUTED_VALUE"""),"SymbolLookup")</f>
        <v>SymbolLookup</v>
      </c>
      <c r="B934" s="4" t="str">
        <f>IFERROR(__xludf.DUMMYFUNCTION("""COMPUTED_VALUE"""),"PageOneDetails")</f>
        <v>PageOneDetails</v>
      </c>
      <c r="C934" s="4" t="str">
        <f>IFERROR(__xludf.DUMMYFUNCTION("""COMPUTED_VALUE"""),"11EX1Ln-BQAtx9NTd9zfcaia52FGNdZENDW2kwMCJ8HQ")</f>
        <v>11EX1Ln-BQAtx9NTd9zfcaia52FGNdZENDW2kwMCJ8HQ</v>
      </c>
      <c r="D934" s="4"/>
      <c r="E934" s="4"/>
      <c r="F934" s="4"/>
      <c r="G934" s="4"/>
      <c r="H934" s="4"/>
      <c r="I934" s="4"/>
      <c r="J934" s="4"/>
      <c r="K934" s="4"/>
      <c r="L934" s="4"/>
    </row>
    <row r="935" ht="15.75" customHeight="1">
      <c r="A935" s="4" t="str">
        <f>IFERROR(__xludf.DUMMYFUNCTION("""COMPUTED_VALUE"""),"SymbolLookup")</f>
        <v>SymbolLookup</v>
      </c>
      <c r="B935" s="4" t="str">
        <f>IFERROR(__xludf.DUMMYFUNCTION("""COMPUTED_VALUE"""),"ActionOnSI")</f>
        <v>ActionOnSI</v>
      </c>
      <c r="C935" s="4" t="str">
        <f>IFERROR(__xludf.DUMMYFUNCTION("""COMPUTED_VALUE"""),"11EX1Ln-BQAtx9NTd9zfcaia52FGNdZENDW2kwMCJ8HQ")</f>
        <v>11EX1Ln-BQAtx9NTd9zfcaia52FGNdZENDW2kwMCJ8HQ</v>
      </c>
      <c r="D935" s="4"/>
      <c r="E935" s="4"/>
      <c r="F935" s="4"/>
      <c r="G935" s="4"/>
      <c r="H935" s="4"/>
      <c r="I935" s="4"/>
      <c r="J935" s="4"/>
      <c r="K935" s="4"/>
      <c r="L935" s="4"/>
    </row>
    <row r="936" ht="15.75" customHeight="1">
      <c r="A936" s="4" t="str">
        <f>IFERROR(__xludf.DUMMYFUNCTION("""COMPUTED_VALUE"""),"SymbolLookup")</f>
        <v>SymbolLookup</v>
      </c>
      <c r="B936" s="4" t="str">
        <f>IFERROR(__xludf.DUMMYFUNCTION("""COMPUTED_VALUE"""),"PageTwoDetails")</f>
        <v>PageTwoDetails</v>
      </c>
      <c r="C936" s="4" t="str">
        <f>IFERROR(__xludf.DUMMYFUNCTION("""COMPUTED_VALUE"""),"11EX1Ln-BQAtx9NTd9zfcaia52FGNdZENDW2kwMCJ8HQ")</f>
        <v>11EX1Ln-BQAtx9NTd9zfcaia52FGNdZENDW2kwMCJ8HQ</v>
      </c>
      <c r="D936" s="4"/>
      <c r="E936" s="4"/>
      <c r="F936" s="4"/>
      <c r="G936" s="4"/>
      <c r="H936" s="4"/>
      <c r="I936" s="4"/>
      <c r="J936" s="4"/>
      <c r="K936" s="4"/>
      <c r="L936" s="4"/>
    </row>
    <row r="937" ht="15.75" customHeight="1">
      <c r="A937" s="4" t="str">
        <f>IFERROR(__xludf.DUMMYFUNCTION("""COMPUTED_VALUE"""),"SymbolLookup")</f>
        <v>SymbolLookup</v>
      </c>
      <c r="B937" s="4" t="str">
        <f>IFERROR(__xludf.DUMMYFUNCTION("""COMPUTED_VALUE"""),"ActiononSMPane")</f>
        <v>ActiononSMPane</v>
      </c>
      <c r="C937" s="4" t="str">
        <f>IFERROR(__xludf.DUMMYFUNCTION("""COMPUTED_VALUE"""),"11EX1Ln-BQAtx9NTd9zfcaia52FGNdZENDW2kwMCJ8HQ")</f>
        <v>11EX1Ln-BQAtx9NTd9zfcaia52FGNdZENDW2kwMCJ8HQ</v>
      </c>
      <c r="D937" s="4"/>
      <c r="E937" s="4"/>
      <c r="F937" s="4"/>
      <c r="G937" s="4"/>
      <c r="H937" s="4"/>
      <c r="I937" s="4"/>
      <c r="J937" s="4"/>
      <c r="K937" s="4"/>
      <c r="L937" s="4"/>
    </row>
    <row r="938" ht="15.75" customHeight="1">
      <c r="A938" s="4" t="str">
        <f>IFERROR(__xludf.DUMMYFUNCTION("""COMPUTED_VALUE"""),"SymbolLookup")</f>
        <v>SymbolLookup</v>
      </c>
      <c r="B938" s="4" t="str">
        <f>IFERROR(__xludf.DUMMYFUNCTION("""COMPUTED_VALUE"""),"PageThreeDetails")</f>
        <v>PageThreeDetails</v>
      </c>
      <c r="C938" s="4" t="str">
        <f>IFERROR(__xludf.DUMMYFUNCTION("""COMPUTED_VALUE"""),"11EX1Ln-BQAtx9NTd9zfcaia52FGNdZENDW2kwMCJ8HQ")</f>
        <v>11EX1Ln-BQAtx9NTd9zfcaia52FGNdZENDW2kwMCJ8HQ</v>
      </c>
      <c r="D938" s="4"/>
      <c r="E938" s="4"/>
      <c r="F938" s="4"/>
      <c r="G938" s="4"/>
      <c r="H938" s="4"/>
      <c r="I938" s="4"/>
      <c r="J938" s="4"/>
      <c r="K938" s="4"/>
      <c r="L938" s="4"/>
    </row>
    <row r="939" ht="15.75" customHeight="1">
      <c r="A939" s="4" t="str">
        <f>IFERROR(__xludf.DUMMYFUNCTION("""COMPUTED_VALUE"""),"SymbolLookup")</f>
        <v>SymbolLookup</v>
      </c>
      <c r="B939" s="4" t="str">
        <f>IFERROR(__xludf.DUMMYFUNCTION("""COMPUTED_VALUE"""),"VerifySMGrid")</f>
        <v>VerifySMGrid</v>
      </c>
      <c r="C939" s="4" t="str">
        <f>IFERROR(__xludf.DUMMYFUNCTION("""COMPUTED_VALUE"""),"11EX1Ln-BQAtx9NTd9zfcaia52FGNdZENDW2kwMCJ8HQ")</f>
        <v>11EX1Ln-BQAtx9NTd9zfcaia52FGNdZENDW2kwMCJ8HQ</v>
      </c>
      <c r="D939" s="4"/>
      <c r="E939" s="4"/>
      <c r="F939" s="4"/>
      <c r="G939" s="4"/>
      <c r="H939" s="4"/>
      <c r="I939" s="4"/>
      <c r="J939" s="4"/>
      <c r="K939" s="4"/>
      <c r="L939" s="4"/>
    </row>
    <row r="940" ht="15.75" customHeight="1">
      <c r="A940" s="4" t="str">
        <f>IFERROR(__xludf.DUMMYFUNCTION("""COMPUTED_VALUE"""),"SymbolLookup")</f>
        <v>SymbolLookup</v>
      </c>
      <c r="B940" s="4" t="str">
        <f>IFERROR(__xludf.DUMMYFUNCTION("""COMPUTED_VALUE"""),"PageFourDetails")</f>
        <v>PageFourDetails</v>
      </c>
      <c r="C940" s="4" t="str">
        <f>IFERROR(__xludf.DUMMYFUNCTION("""COMPUTED_VALUE"""),"11EX1Ln-BQAtx9NTd9zfcaia52FGNdZENDW2kwMCJ8HQ")</f>
        <v>11EX1Ln-BQAtx9NTd9zfcaia52FGNdZENDW2kwMCJ8HQ</v>
      </c>
      <c r="D940" s="4"/>
      <c r="E940" s="4"/>
      <c r="F940" s="4"/>
      <c r="G940" s="4"/>
      <c r="H940" s="4"/>
      <c r="I940" s="4"/>
      <c r="J940" s="4"/>
      <c r="K940" s="4"/>
      <c r="L940" s="4"/>
    </row>
    <row r="941" ht="15.75" customHeight="1">
      <c r="A941" s="4" t="str">
        <f>IFERROR(__xludf.DUMMYFUNCTION("""COMPUTED_VALUE"""),"Admin")</f>
        <v>Admin</v>
      </c>
      <c r="B941" s="4" t="str">
        <f>IFERROR(__xludf.DUMMYFUNCTION("""COMPUTED_VALUE"""),"ChangeDate")</f>
        <v>ChangeDate</v>
      </c>
      <c r="C941" s="4" t="str">
        <f>IFERROR(__xludf.DUMMYFUNCTION("""COMPUTED_VALUE"""),"1P5fd0ftHTs8WR6XF70cltzN5BPur7V01OcYEMpPEMVE")</f>
        <v>1P5fd0ftHTs8WR6XF70cltzN5BPur7V01OcYEMpPEMVE</v>
      </c>
      <c r="D941" s="4"/>
      <c r="E941" s="4"/>
      <c r="F941" s="4"/>
      <c r="G941" s="4"/>
      <c r="H941" s="4"/>
      <c r="I941" s="4"/>
      <c r="J941" s="4"/>
      <c r="K941" s="4"/>
      <c r="L941" s="4"/>
    </row>
    <row r="942" ht="15.75" customHeight="1">
      <c r="A942" s="4" t="str">
        <f>IFERROR(__xludf.DUMMYFUNCTION("""COMPUTED_VALUE"""),"Simulator")</f>
        <v>Simulator</v>
      </c>
      <c r="B942" s="4" t="str">
        <f>IFERROR(__xludf.DUMMYFUNCTION("""COMPUTED_VALUE"""),"NewAcknowledgeTrade")</f>
        <v>NewAcknowledgeTrade</v>
      </c>
      <c r="C942" s="4" t="str">
        <f>IFERROR(__xludf.DUMMYFUNCTION("""COMPUTED_VALUE"""),"1H8R-FdslnMhiBZjAanQN5V9z26E47VjoaeJWQdGZ2pU")</f>
        <v>1H8R-FdslnMhiBZjAanQN5V9z26E47VjoaeJWQdGZ2pU</v>
      </c>
      <c r="D942" s="4"/>
      <c r="E942" s="4"/>
      <c r="F942" s="4"/>
      <c r="G942" s="4"/>
      <c r="H942" s="4"/>
      <c r="I942" s="4"/>
      <c r="J942" s="4"/>
      <c r="K942" s="4"/>
      <c r="L942" s="4"/>
    </row>
    <row r="943" ht="15.75" customHeight="1">
      <c r="A943" s="4" t="str">
        <f>IFERROR(__xludf.DUMMYFUNCTION("""COMPUTED_VALUE"""),"Allocation")</f>
        <v>Allocation</v>
      </c>
      <c r="B943" s="4" t="str">
        <f>IFERROR(__xludf.DUMMYFUNCTION("""COMPUTED_VALUE"""),"ActionOnToolBar")</f>
        <v>ActionOnToolBar</v>
      </c>
      <c r="C943" s="4" t="str">
        <f>IFERROR(__xludf.DUMMYFUNCTION("""COMPUTED_VALUE"""),"11EX1Ln-BQAtx9NTd9zfcaia52FGNdZENDW2kwMCJ8HQ")</f>
        <v>11EX1Ln-BQAtx9NTd9zfcaia52FGNdZENDW2kwMCJ8HQ</v>
      </c>
      <c r="D943" s="4"/>
      <c r="E943" s="4"/>
      <c r="F943" s="4"/>
      <c r="G943" s="4"/>
      <c r="H943" s="4"/>
      <c r="I943" s="4"/>
      <c r="J943" s="4"/>
      <c r="K943" s="4"/>
      <c r="L943" s="4"/>
    </row>
    <row r="944" ht="15.75" customHeight="1">
      <c r="A944" s="4" t="str">
        <f>IFERROR(__xludf.DUMMYFUNCTION("""COMPUTED_VALUE"""),"Allocation")</f>
        <v>Allocation</v>
      </c>
      <c r="B944" s="4" t="str">
        <f>IFERROR(__xludf.DUMMYFUNCTION("""COMPUTED_VALUE"""),"AutoGrpRules")</f>
        <v>AutoGrpRules</v>
      </c>
      <c r="C944" s="4" t="str">
        <f>IFERROR(__xludf.DUMMYFUNCTION("""COMPUTED_VALUE"""),"11EX1Ln-BQAtx9NTd9zfcaia52FGNdZENDW2kwMCJ8HQ")</f>
        <v>11EX1Ln-BQAtx9NTd9zfcaia52FGNdZENDW2kwMCJ8HQ</v>
      </c>
      <c r="D944" s="4"/>
      <c r="E944" s="4"/>
      <c r="F944" s="4"/>
      <c r="G944" s="4"/>
      <c r="H944" s="4"/>
      <c r="I944" s="4"/>
      <c r="J944" s="4"/>
      <c r="K944" s="4"/>
      <c r="L944" s="4"/>
    </row>
    <row r="945" ht="15.75" customHeight="1">
      <c r="A945" s="4" t="str">
        <f>IFERROR(__xludf.DUMMYFUNCTION("""COMPUTED_VALUE"""),"Allocation")</f>
        <v>Allocation</v>
      </c>
      <c r="B945" s="4" t="str">
        <f>IFERROR(__xludf.DUMMYFUNCTION("""COMPUTED_VALUE"""),"VerifyToggleStateTA")</f>
        <v>VerifyToggleStateTA</v>
      </c>
      <c r="C945" s="4" t="str">
        <f>IFERROR(__xludf.DUMMYFUNCTION("""COMPUTED_VALUE"""),"11EX1Ln-BQAtx9NTd9zfcaia52FGNdZENDW2kwMCJ8HQ")</f>
        <v>11EX1Ln-BQAtx9NTd9zfcaia52FGNdZENDW2kwMCJ8HQ</v>
      </c>
      <c r="D945" s="4"/>
      <c r="E945" s="4"/>
      <c r="F945" s="4"/>
      <c r="G945" s="4"/>
      <c r="H945" s="4"/>
      <c r="I945" s="4"/>
      <c r="J945" s="4"/>
      <c r="K945" s="4"/>
      <c r="L945" s="4"/>
    </row>
    <row r="946" ht="15.75" customHeight="1">
      <c r="A946" s="4" t="str">
        <f>IFERROR(__xludf.DUMMYFUNCTION("""COMPUTED_VALUE"""),"Expnl")</f>
        <v>Expnl</v>
      </c>
      <c r="B946" s="4" t="str">
        <f>IFERROR(__xludf.DUMMYFUNCTION("""COMPUTED_VALUE"""),"RefreshExpnlUi")</f>
        <v>RefreshExpnlUi</v>
      </c>
      <c r="C946" s="4" t="str">
        <f>IFERROR(__xludf.DUMMYFUNCTION("""COMPUTED_VALUE"""),"Undefined")</f>
        <v>Undefined</v>
      </c>
      <c r="D946" s="4"/>
      <c r="E946" s="4"/>
      <c r="F946" s="4"/>
      <c r="G946" s="4"/>
      <c r="H946" s="4"/>
      <c r="I946" s="4"/>
      <c r="J946" s="4"/>
      <c r="K946" s="4"/>
      <c r="L946" s="4"/>
    </row>
    <row r="947" ht="15.75" customHeight="1">
      <c r="A947" s="4" t="str">
        <f>IFERROR(__xludf.DUMMYFUNCTION("""COMPUTED_VALUE"""),"Allocation")</f>
        <v>Allocation</v>
      </c>
      <c r="B947" s="4" t="str">
        <f>IFERROR(__xludf.DUMMYFUNCTION("""COMPUTED_VALUE"""),"ActiononAGP")</f>
        <v>ActiononAGP</v>
      </c>
      <c r="C947" s="4" t="str">
        <f>IFERROR(__xludf.DUMMYFUNCTION("""COMPUTED_VALUE"""),"11EX1Ln-BQAtx9NTd9zfcaia52FGNdZENDW2kwMCJ8HQ")</f>
        <v>11EX1Ln-BQAtx9NTd9zfcaia52FGNdZENDW2kwMCJ8HQ</v>
      </c>
      <c r="D947" s="4"/>
      <c r="E947" s="4"/>
      <c r="F947" s="4"/>
      <c r="G947" s="4"/>
      <c r="H947" s="4"/>
      <c r="I947" s="4"/>
      <c r="J947" s="4"/>
      <c r="K947" s="4"/>
      <c r="L947" s="4"/>
    </row>
    <row r="948" ht="15.75" customHeight="1">
      <c r="A948" s="4" t="str">
        <f>IFERROR(__xludf.DUMMYFUNCTION("""COMPUTED_VALUE"""),"Allocation")</f>
        <v>Allocation</v>
      </c>
      <c r="B948" s="4" t="str">
        <f>IFERROR(__xludf.DUMMYFUNCTION("""COMPUTED_VALUE"""),"AttBulkChng")</f>
        <v>AttBulkChng</v>
      </c>
      <c r="C948" s="4" t="str">
        <f>IFERROR(__xludf.DUMMYFUNCTION("""COMPUTED_VALUE"""),"11EX1Ln-BQAtx9NTd9zfcaia52FGNdZENDW2kwMCJ8HQ")</f>
        <v>11EX1Ln-BQAtx9NTd9zfcaia52FGNdZENDW2kwMCJ8HQ</v>
      </c>
      <c r="D948" s="4"/>
      <c r="E948" s="4"/>
      <c r="F948" s="4"/>
      <c r="G948" s="4"/>
      <c r="H948" s="4"/>
      <c r="I948" s="4"/>
      <c r="J948" s="4"/>
      <c r="K948" s="4"/>
      <c r="L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</row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  <col customWidth="1" min="3" max="6" width="12.63"/>
  </cols>
  <sheetData>
    <row r="1" ht="15.75" customHeight="1">
      <c r="A1" s="8" t="s">
        <v>2</v>
      </c>
      <c r="B1" s="2"/>
      <c r="C1" s="3"/>
    </row>
    <row r="2" ht="15.75" customHeight="1">
      <c r="A2" s="7"/>
      <c r="B2" s="7"/>
      <c r="C2" s="7"/>
    </row>
    <row r="3" ht="15.75" customHeight="1">
      <c r="A3" s="5" t="s">
        <v>3</v>
      </c>
      <c r="B3" s="4" t="s">
        <v>4</v>
      </c>
      <c r="C3" s="7"/>
    </row>
    <row r="4" ht="15.75" customHeight="1">
      <c r="A4" s="5" t="s">
        <v>5</v>
      </c>
      <c r="B4" s="7" t="s">
        <v>6</v>
      </c>
      <c r="C4" s="7"/>
    </row>
    <row r="5" ht="15.75" customHeight="1">
      <c r="A5" s="9"/>
      <c r="B5" s="7"/>
      <c r="C5" s="7"/>
    </row>
    <row r="6" ht="15.75" customHeight="1">
      <c r="A6" s="9"/>
      <c r="B6" s="7"/>
      <c r="C6" s="7"/>
    </row>
    <row r="7" ht="15.75" customHeight="1">
      <c r="A7" s="9"/>
      <c r="B7" s="7"/>
      <c r="C7" s="7"/>
    </row>
    <row r="8" ht="15.75" customHeight="1">
      <c r="A8" s="9"/>
      <c r="B8" s="7"/>
      <c r="C8" s="7"/>
    </row>
    <row r="9" ht="15.75" customHeight="1">
      <c r="A9" s="9"/>
      <c r="B9" s="7"/>
      <c r="C9" s="7"/>
    </row>
    <row r="10" ht="15.75" customHeight="1">
      <c r="A10" s="9"/>
      <c r="B10" s="7"/>
      <c r="C10" s="7"/>
    </row>
    <row r="11" ht="15.75" customHeight="1">
      <c r="A11" s="9"/>
      <c r="B11" s="7"/>
      <c r="C11" s="7"/>
    </row>
    <row r="12" ht="15.75" customHeight="1">
      <c r="A12" s="9"/>
      <c r="B12" s="7"/>
      <c r="C12" s="7"/>
    </row>
    <row r="13" ht="15.75" customHeight="1">
      <c r="A13" s="9"/>
      <c r="B13" s="7"/>
      <c r="C13" s="7"/>
    </row>
    <row r="14" ht="15.75" customHeight="1">
      <c r="A14" s="9"/>
      <c r="B14" s="7"/>
      <c r="C14" s="7"/>
    </row>
    <row r="15" ht="15.75" customHeight="1">
      <c r="A15" s="9"/>
      <c r="B15" s="7"/>
      <c r="C15" s="7"/>
    </row>
    <row r="16" ht="15.75" customHeight="1">
      <c r="A16" s="9"/>
      <c r="B16" s="7"/>
      <c r="C16" s="7"/>
    </row>
    <row r="17" ht="15.75" customHeight="1">
      <c r="A17" s="9"/>
      <c r="B17" s="7"/>
      <c r="C17" s="7"/>
    </row>
    <row r="18" ht="15.75" customHeight="1">
      <c r="A18" s="9"/>
      <c r="B18" s="7"/>
      <c r="C18" s="7"/>
    </row>
    <row r="19" ht="15.75" customHeight="1">
      <c r="A19" s="9"/>
      <c r="B19" s="7"/>
      <c r="C19" s="7"/>
    </row>
    <row r="20" ht="15.75" customHeight="1">
      <c r="A20" s="9"/>
      <c r="B20" s="7"/>
      <c r="C20" s="7"/>
    </row>
    <row r="21" ht="15.75" customHeight="1">
      <c r="A21" s="9"/>
      <c r="B21" s="7"/>
      <c r="C21" s="7"/>
    </row>
    <row r="22" ht="15.75" customHeight="1">
      <c r="A22" s="9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3" width="15.13"/>
  </cols>
  <sheetData>
    <row r="1">
      <c r="A1" s="1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5" t="s">
        <v>8</v>
      </c>
      <c r="B3" s="10" t="s">
        <v>9</v>
      </c>
      <c r="C3" s="10" t="s">
        <v>10</v>
      </c>
      <c r="D3" s="10"/>
      <c r="E3" s="10"/>
      <c r="F3" s="10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4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6" width="12.63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12</v>
      </c>
      <c r="D3" s="5" t="s">
        <v>9</v>
      </c>
      <c r="E3" s="9" t="s">
        <v>13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</row>
    <row r="4" ht="15.75" customHeight="1">
      <c r="A4" s="16"/>
      <c r="B4" s="16" t="str">
        <f>IFERROR(__xludf.DUMMYFUNCTION("IF(C3="""","""",Transpose(IMPORTRANGE('_Settings'!$B$3,C3&amp;""!A4:A1000"")))"),"RestartServer")</f>
        <v>RestartServer</v>
      </c>
      <c r="C4" s="16" t="str">
        <f>IFERROR(__xludf.DUMMYFUNCTION("""COMPUTED_VALUE"""),"UpdateServerConfig")</f>
        <v>UpdateServerConfig</v>
      </c>
      <c r="D4" s="16" t="str">
        <f>IFERROR(__xludf.DUMMYFUNCTION("""COMPUTED_VALUE"""),"StartTradeServer")</f>
        <v>StartTradeServer</v>
      </c>
      <c r="E4" s="16" t="str">
        <f>IFERROR(__xludf.DUMMYFUNCTION("""COMPUTED_VALUE"""),"CloseTradeServer")</f>
        <v>CloseTradeServer</v>
      </c>
      <c r="F4" s="16" t="str">
        <f>IFERROR(__xludf.DUMMYFUNCTION("""COMPUTED_VALUE"""),"ConnectToSimAutoMan")</f>
        <v>ConnectToSimAutoMan</v>
      </c>
      <c r="G4" s="16" t="str">
        <f>IFERROR(__xludf.DUMMYFUNCTION("""COMPUTED_VALUE"""),"BrokerConnectionThroughTUI")</f>
        <v>BrokerConnectionThroughTUI</v>
      </c>
      <c r="H4" s="16" t="str">
        <f>IFERROR(__xludf.DUMMYFUNCTION("""COMPUTED_VALUE"""),"RestartServerOnly")</f>
        <v>RestartServerOnly</v>
      </c>
      <c r="I4" s="16"/>
      <c r="J4" s="16"/>
      <c r="K4" s="16"/>
      <c r="L4" s="16"/>
      <c r="M4" s="16"/>
      <c r="N4" s="16"/>
      <c r="O4" s="16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IFERROR(__xludf.DUMMYFUNCTION("""COMPUTED_VALUE"""),"AppSetting_Key")</f>
        <v>AppSetting_Key</v>
      </c>
      <c r="C5" s="18" t="str">
        <f>IFERROR(__xludf.DUMMYFUNCTION("""COMPUTED_VALUE"""),"AppSetting_Value")</f>
        <v>AppSetting_Value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</row>
    <row r="6" ht="15.75" customHeight="1">
      <c r="A6" s="4"/>
      <c r="B6" s="20" t="s">
        <v>16</v>
      </c>
      <c r="C6" s="21">
        <v>1.0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6" width="12.63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17</v>
      </c>
      <c r="D3" s="5" t="s">
        <v>9</v>
      </c>
      <c r="E3" s="9" t="s">
        <v>18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</row>
    <row r="4" ht="15.75" customHeight="1">
      <c r="A4" s="16"/>
      <c r="B4" s="16" t="str">
        <f>IFERROR(__xludf.DUMMYFUNCTION("IF(C3="""","""",Transpose(IMPORTRANGE('_Settings'!$B$3,C3&amp;""!A4:A1000"")))"),"OpenTTFromPST")</f>
        <v>OpenTTFromPST</v>
      </c>
      <c r="C4" s="16" t="str">
        <f>IFERROR(__xludf.DUMMYFUNCTION("""COMPUTED_VALUE"""),"EnterDetailsOnTT")</f>
        <v>EnterDetailsOnTT</v>
      </c>
      <c r="D4" s="16" t="str">
        <f>IFERROR(__xludf.DUMMYFUNCTION("""COMPUTED_VALUE"""),"ValidateSymbolTT")</f>
        <v>ValidateSymbolTT</v>
      </c>
      <c r="E4" s="16" t="str">
        <f>IFERROR(__xludf.DUMMYFUNCTION("""COMPUTED_VALUE"""),"VerifyDataTT")</f>
        <v>VerifyDataTT</v>
      </c>
      <c r="F4" s="16" t="str">
        <f>IFERROR(__xludf.DUMMYFUNCTION("""COMPUTED_VALUE"""),"SetUIPreferencesTT")</f>
        <v>SetUIPreferencesTT</v>
      </c>
      <c r="G4" s="16" t="str">
        <f>IFERROR(__xludf.DUMMYFUNCTION("""COMPUTED_VALUE"""),"SetBrokerWisePreferencesTT")</f>
        <v>SetBrokerWisePreferencesTT</v>
      </c>
      <c r="H4" s="16" t="str">
        <f>IFERROR(__xludf.DUMMYFUNCTION("""COMPUTED_VALUE"""),"VerifyComplianceOrder")</f>
        <v>VerifyComplianceOrder</v>
      </c>
      <c r="I4" s="16" t="str">
        <f>IFERROR(__xludf.DUMMYFUNCTION("""COMPUTED_VALUE"""),"TradeNewSub")</f>
        <v>TradeNewSub</v>
      </c>
      <c r="J4" s="16" t="str">
        <f>IFERROR(__xludf.DUMMYFUNCTION("""COMPUTED_VALUE"""),"CreateStageOrder")</f>
        <v>CreateStageOrder</v>
      </c>
      <c r="K4" s="16" t="str">
        <f>IFERROR(__xludf.DUMMYFUNCTION("""COMPUTED_VALUE"""),"CreateReplaceOrder")</f>
        <v>CreateReplaceOrder</v>
      </c>
      <c r="L4" s="16" t="str">
        <f>IFERROR(__xludf.DUMMYFUNCTION("""COMPUTED_VALUE"""),"SetGeneralPreference")</f>
        <v>SetGeneralPreference</v>
      </c>
      <c r="M4" s="16" t="str">
        <f>IFERROR(__xludf.DUMMYFUNCTION("""COMPUTED_VALUE"""),"CreateNewSubOrder")</f>
        <v>CreateNewSubOrder</v>
      </c>
      <c r="N4" s="16" t="str">
        <f>IFERROR(__xludf.DUMMYFUNCTION("""COMPUTED_VALUE"""),"TradeBloomberg")</f>
        <v>TradeBloomberg</v>
      </c>
      <c r="O4" s="16" t="str">
        <f>IFERROR(__xludf.DUMMYFUNCTION("""COMPUTED_VALUE"""),"ClickSymbolLookup")</f>
        <v>ClickSymbolLookup</v>
      </c>
      <c r="P4" s="17" t="str">
        <f>IFERROR(__xludf.DUMMYFUNCTION("""COMPUTED_VALUE"""),"VerifyTT")</f>
        <v>VerifyTT</v>
      </c>
      <c r="Q4" s="17" t="str">
        <f>IFERROR(__xludf.DUMMYFUNCTION("""COMPUTED_VALUE"""),"CreateLiveOrder")</f>
        <v>CreateLiveOrder</v>
      </c>
      <c r="R4" s="17" t="str">
        <f>IFERROR(__xludf.DUMMYFUNCTION("""COMPUTED_VALUE"""),"UpdateMasterFundOnTT")</f>
        <v>UpdateMasterFundOnTT</v>
      </c>
      <c r="S4" s="17" t="str">
        <f>IFERROR(__xludf.DUMMYFUNCTION("""COMPUTED_VALUE"""),"SetTTCompliancePreference")</f>
        <v>SetTTCompliancePreference</v>
      </c>
      <c r="T4" s="17" t="str">
        <f>IFERROR(__xludf.DUMMYFUNCTION("""COMPUTED_VALUE"""),"ImportSymbol")</f>
        <v>ImportSymbol</v>
      </c>
      <c r="U4" s="17" t="str">
        <f>IFERROR(__xludf.DUMMYFUNCTION("""COMPUTED_VALUE"""),"ExportSymbolFromRAList")</f>
        <v>ExportSymbolFromRAList</v>
      </c>
      <c r="V4" s="17" t="str">
        <f>IFERROR(__xludf.DUMMYFUNCTION("""COMPUTED_VALUE"""),"CheckPendingNewOrderAlert")</f>
        <v>CheckPendingNewOrderAlert</v>
      </c>
      <c r="W4" s="17" t="str">
        <f>IFERROR(__xludf.DUMMYFUNCTION("""COMPUTED_VALUE"""),"AddSymbolOnRAList")</f>
        <v>AddSymbolOnRAList</v>
      </c>
      <c r="X4" s="17" t="str">
        <f>IFERROR(__xludf.DUMMYFUNCTION("""COMPUTED_VALUE"""),"DeleteSymbolListFromRA")</f>
        <v>DeleteSymbolListFromRA</v>
      </c>
      <c r="Y4" s="17" t="str">
        <f>IFERROR(__xludf.DUMMYFUNCTION("""COMPUTED_VALUE"""),"RemoveSymbolFromRAList")</f>
        <v>RemoveSymbolFromRAList</v>
      </c>
      <c r="Z4" s="17" t="str">
        <f>IFERROR(__xludf.DUMMYFUNCTION("""COMPUTED_VALUE"""),"ToggleBlombergOnRA")</f>
        <v>ToggleBlombergOnRA</v>
      </c>
      <c r="AA4" s="17" t="str">
        <f>IFERROR(__xludf.DUMMYFUNCTION("""COMPUTED_VALUE"""),"CreateDoneAwayOrder")</f>
        <v>CreateDoneAwayOrder</v>
      </c>
      <c r="AB4" s="17" t="str">
        <f>IFERROR(__xludf.DUMMYFUNCTION("""COMPUTED_VALUE"""),"CreateComplianceOrder")</f>
        <v>CreateComplianceOrder</v>
      </c>
      <c r="AC4" s="17" t="str">
        <f>IFERROR(__xludf.DUMMYFUNCTION("""COMPUTED_VALUE"""),"AddOptionTrade")</f>
        <v>AddOptionTrade</v>
      </c>
      <c r="AD4" s="17" t="str">
        <f>IFERROR(__xludf.DUMMYFUNCTION("""COMPUTED_VALUE"""),"SendLiveBloomberg")</f>
        <v>SendLiveBloomberg</v>
      </c>
      <c r="AE4" s="17" t="str">
        <f>IFERROR(__xludf.DUMMYFUNCTION("""COMPUTED_VALUE"""),"ViewAllocation")</f>
        <v>ViewAllocation</v>
      </c>
      <c r="AF4" s="17" t="str">
        <f>IFERROR(__xludf.DUMMYFUNCTION("""COMPUTED_VALUE"""),"CreateReplaceLiveOrder")</f>
        <v>CreateReplaceLiveOrder</v>
      </c>
      <c r="AG4" s="17" t="str">
        <f>IFERROR(__xludf.DUMMYFUNCTION("""COMPUTED_VALUE"""),"CreateNewSubLiveOrder")</f>
        <v>CreateNewSubLiveOrder</v>
      </c>
      <c r="AH4" s="17" t="str">
        <f>IFERROR(__xludf.DUMMYFUNCTION("""COMPUTED_VALUE"""),"VerifyBasketExport")</f>
        <v>VerifyBasketExport</v>
      </c>
      <c r="AI4" s="17" t="str">
        <f>IFERROR(__xludf.DUMMYFUNCTION("""COMPUTED_VALUE"""),"VerifyCustomAllocationonTT")</f>
        <v>VerifyCustomAllocationonTT</v>
      </c>
      <c r="AJ4" s="17" t="str">
        <f>IFERROR(__xludf.DUMMYFUNCTION("""COMPUTED_VALUE"""),"CustomOrderTT")</f>
        <v>CustomOrderTT</v>
      </c>
      <c r="AK4" s="17" t="str">
        <f>IFERROR(__xludf.DUMMYFUNCTION("""COMPUTED_VALUE"""),"CheckStepSheet")</f>
        <v>CheckStepSheet</v>
      </c>
      <c r="AL4" s="17" t="str">
        <f>IFERROR(__xludf.DUMMYFUNCTION("""COMPUTED_VALUE"""),"OptionTradingThroughSecurity")</f>
        <v>OptionTradingThroughSecurity</v>
      </c>
      <c r="AM4" s="17" t="str">
        <f>IFERROR(__xludf.DUMMYFUNCTION("""COMPUTED_VALUE"""),"CreateTradeWithAlgoBroker")</f>
        <v>CreateTradeWithAlgoBroker</v>
      </c>
      <c r="AN4" s="17" t="str">
        <f>IFERROR(__xludf.DUMMYFUNCTION("""COMPUTED_VALUE"""),"VerifyOrderSide")</f>
        <v>VerifyOrderSide</v>
      </c>
      <c r="AO4" s="17" t="str">
        <f>IFERROR(__xludf.DUMMYFUNCTION("""COMPUTED_VALUE"""),"CreateOrEditSymbolTT")</f>
        <v>CreateOrEditSymbolTT</v>
      </c>
      <c r="AP4" s="17" t="str">
        <f>IFERROR(__xludf.DUMMYFUNCTION("""COMPUTED_VALUE"""),"VerifyTTNavLockPopup")</f>
        <v>VerifyTTNavLockPopup</v>
      </c>
      <c r="AQ4" s="17" t="str">
        <f>IFERROR(__xludf.DUMMYFUNCTION("""COMPUTED_VALUE"""),"VerifyCustomAllocationSecondUI")</f>
        <v>VerifyCustomAllocationSecondUI</v>
      </c>
      <c r="AR4" s="17" t="str">
        <f>IFERROR(__xludf.DUMMYFUNCTION("""COMPUTED_VALUE"""),"ShortLocateFromTT")</f>
        <v>ShortLocateFromTT</v>
      </c>
      <c r="AS4" s="17" t="str">
        <f>IFERROR(__xludf.DUMMYFUNCTION("""COMPUTED_VALUE"""),"ShortLocateFromTT")</f>
        <v>ShortLocateFromTT</v>
      </c>
      <c r="AT4" s="17" t="str">
        <f>IFERROR(__xludf.DUMMYFUNCTION("""COMPUTED_VALUE"""),"ShortLocateFromTT")</f>
        <v>ShortLocateFromTT</v>
      </c>
      <c r="AU4" s="17" t="str">
        <f>IFERROR(__xludf.DUMMYFUNCTION("""COMPUTED_VALUE"""),"VerifyShortLocateWindowOnTT")</f>
        <v>VerifyShortLocateWindowOnTT</v>
      </c>
      <c r="AV4" s="17" t="str">
        <f>IFERROR(__xludf.DUMMYFUNCTION("""COMPUTED_VALUE"""),"AlgoUIOperations")</f>
        <v>AlgoUIOperations</v>
      </c>
      <c r="AW4" s="17" t="str">
        <f>IFERROR(__xludf.DUMMYFUNCTION("""COMPUTED_VALUE"""),"UpdateShortLocateFromTT")</f>
        <v>UpdateShortLocateFromTT</v>
      </c>
      <c r="AX4" s="17" t="str">
        <f>IFERROR(__xludf.DUMMYFUNCTION("""COMPUTED_VALUE"""),"ResetTT")</f>
        <v>ResetTT</v>
      </c>
      <c r="AY4" s="17" t="str">
        <f>IFERROR(__xludf.DUMMYFUNCTION("""COMPUTED_VALUE"""),"MergeTT")</f>
        <v>MergeTT</v>
      </c>
      <c r="AZ4" s="17" t="str">
        <f>IFERROR(__xludf.DUMMYFUNCTION("""COMPUTED_VALUE"""),"ResizeEnsureTT")</f>
        <v>ResizeEnsureTT</v>
      </c>
      <c r="BA4" s="17" t="str">
        <f>IFERROR(__xludf.DUMMYFUNCTION("""COMPUTED_VALUE"""),"VerifyExecutionType")</f>
        <v>VerifyExecutionType</v>
      </c>
      <c r="BB4" s="17" t="str">
        <f>IFERROR(__xludf.DUMMYFUNCTION("""COMPUTED_VALUE"""),"VerifyPopupAlignment")</f>
        <v>VerifyPopupAlignment</v>
      </c>
      <c r="BC4" s="17" t="str">
        <f>IFERROR(__xludf.DUMMYFUNCTION("""COMPUTED_VALUE"""),"SelectET")</f>
        <v>SelectET</v>
      </c>
      <c r="BD4" s="17" t="str">
        <f>IFERROR(__xludf.DUMMYFUNCTION("""COMPUTED_VALUE"""),"SymbolSuggestionVerify")</f>
        <v>SymbolSuggestionVerify</v>
      </c>
      <c r="BE4" s="17" t="str">
        <f>IFERROR(__xludf.DUMMYFUNCTION("""COMPUTED_VALUE"""),"EditAuecWindow")</f>
        <v>EditAuecWindow</v>
      </c>
      <c r="BF4" s="17" t="str">
        <f>IFERROR(__xludf.DUMMYFUNCTION("""COMPUTED_VALUE"""),"VerifyBrokerSummary")</f>
        <v>VerifyBrokerSummary</v>
      </c>
      <c r="BG4" s="17" t="str">
        <f>IFERROR(__xludf.DUMMYFUNCTION("""COMPUTED_VALUE"""),"QTTHamburg")</f>
        <v>QTTHamburg</v>
      </c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IFERROR(__xludf.DUMMYFUNCTION("""COMPUTED_VALUE"""),"Symbol")</f>
        <v>Symbol</v>
      </c>
      <c r="C5" s="18" t="str">
        <f>IFERROR(__xludf.DUMMYFUNCTION("""COMPUTED_VALUE"""),"Quantity")</f>
        <v>Quantity</v>
      </c>
      <c r="D5" s="18" t="str">
        <f>IFERROR(__xludf.DUMMYFUNCTION("""COMPUTED_VALUE"""),"Price")</f>
        <v>Price</v>
      </c>
      <c r="E5" s="18" t="str">
        <f>IFERROR(__xludf.DUMMYFUNCTION("""COMPUTED_VALUE"""),"Order type button")</f>
        <v>Order type button</v>
      </c>
      <c r="F5" s="18" t="str">
        <f>IFERROR(__xludf.DUMMYFUNCTION("""COMPUTED_VALUE"""),"SharesOutstandingPopUp")</f>
        <v>SharesOutstandingPopUp</v>
      </c>
      <c r="G5" s="18" t="str">
        <f>IFERROR(__xludf.DUMMYFUNCTION("""COMPUTED_VALUE"""),"TT_Open")</f>
        <v>TT_Open</v>
      </c>
      <c r="H5" s="18" t="str">
        <f>IFERROR(__xludf.DUMMYFUNCTION("""COMPUTED_VALUE"""),"SharesOutstandingPopUpQty")</f>
        <v>SharesOutstandingPopUpQty</v>
      </c>
      <c r="I5" s="18" t="str">
        <f>IFERROR(__xludf.DUMMYFUNCTION("""COMPUTED_VALUE"""),"AllocationMethod")</f>
        <v>AllocationMethod</v>
      </c>
      <c r="J5" s="18" t="str">
        <f>IFERROR(__xludf.DUMMYFUNCTION("""COMPUTED_VALUE"""),"Order Side")</f>
        <v>Order Side</v>
      </c>
      <c r="K5" s="18" t="str">
        <f>IFERROR(__xludf.DUMMYFUNCTION("""COMPUTED_VALUE"""),"DB_Check")</f>
        <v>DB_Check</v>
      </c>
      <c r="L5" s="18" t="str">
        <f>IFERROR(__xludf.DUMMYFUNCTION("""COMPUTED_VALUE"""),"CommissionBasis")</f>
        <v>CommissionBasis</v>
      </c>
      <c r="M5" s="18" t="str">
        <f>IFERROR(__xludf.DUMMYFUNCTION("""COMPUTED_VALUE"""),"CommissionRate")</f>
        <v>CommissionRate</v>
      </c>
      <c r="N5" s="18" t="str">
        <f>IFERROR(__xludf.DUMMYFUNCTION("""COMPUTED_VALUE"""),"SoftBasis")</f>
        <v>SoftBasis</v>
      </c>
      <c r="O5" s="18" t="str">
        <f>IFERROR(__xludf.DUMMYFUNCTION("""COMPUTED_VALUE"""),"SoftRate")</f>
        <v>SoftRate</v>
      </c>
      <c r="P5" s="18" t="str">
        <f>IFERROR(__xludf.DUMMYFUNCTION("""COMPUTED_VALUE"""),"Account")</f>
        <v>Account</v>
      </c>
      <c r="Q5" s="18" t="str">
        <f>IFERROR(__xludf.DUMMYFUNCTION("""COMPUTED_VALUE"""),"Account %")</f>
        <v>Account %</v>
      </c>
      <c r="R5" s="18" t="str">
        <f>IFERROR(__xludf.DUMMYFUNCTION("""COMPUTED_VALUE"""),"VerifySuggestions")</f>
        <v>VerifySuggestions</v>
      </c>
      <c r="S5" s="18" t="str">
        <f>IFERROR(__xludf.DUMMYFUNCTION("""COMPUTED_VALUE"""),"SymbolToPickFromSuggesstions")</f>
        <v>SymbolToPickFromSuggesstions</v>
      </c>
      <c r="T5" s="19" t="str">
        <f>IFERROR(__xludf.DUMMYFUNCTION("""COMPUTED_VALUE"""),"TypedSymbolAvailableOnSuggestion")</f>
        <v>TypedSymbolAvailableOnSuggestion</v>
      </c>
      <c r="U5" s="19" t="str">
        <f>IFERROR(__xludf.DUMMYFUNCTION("""COMPUTED_VALUE"""),"TIF")</f>
        <v>TIF</v>
      </c>
      <c r="V5" s="19" t="str">
        <f>IFERROR(__xludf.DUMMYFUNCTION("""COMPUTED_VALUE"""),"Order Type")</f>
        <v>Order Type</v>
      </c>
      <c r="W5" s="19" t="str">
        <f>IFERROR(__xludf.DUMMYFUNCTION("""COMPUTED_VALUE"""),"Stop")</f>
        <v>Stop</v>
      </c>
      <c r="X5" s="19" t="str">
        <f>IFERROR(__xludf.DUMMYFUNCTION("""COMPUTED_VALUE"""),"Limit")</f>
        <v>Limit</v>
      </c>
      <c r="Y5" s="19" t="str">
        <f>IFERROR(__xludf.DUMMYFUNCTION("""COMPUTED_VALUE"""),"Expiration Date")</f>
        <v>Expiration Date</v>
      </c>
      <c r="Z5" s="19" t="str">
        <f>IFERROR(__xludf.DUMMYFUNCTION("""COMPUTED_VALUE"""),"Trade Date")</f>
        <v>Trade Date</v>
      </c>
      <c r="AA5" s="19" t="str">
        <f>IFERROR(__xludf.DUMMYFUNCTION("""COMPUTED_VALUE"""),"Broker")</f>
        <v>Broker</v>
      </c>
      <c r="AB5" s="19" t="str">
        <f>IFERROR(__xludf.DUMMYFUNCTION("""COMPUTED_VALUE"""),"Padlock Visiblity")</f>
        <v>Padlock Visiblity</v>
      </c>
      <c r="AC5" s="19" t="str">
        <f>IFERROR(__xludf.DUMMYFUNCTION("""COMPUTED_VALUE"""),"Padlock Unlock")</f>
        <v>Padlock Unlock</v>
      </c>
      <c r="AD5" s="19" t="str">
        <f>IFERROR(__xludf.DUMMYFUNCTION("""COMPUTED_VALUE"""),"Venue")</f>
        <v>Venue</v>
      </c>
      <c r="AE5" s="19" t="str">
        <f>IFERROR(__xludf.DUMMYFUNCTION("""COMPUTED_VALUE"""),"Fx Rate")</f>
        <v>Fx Rate</v>
      </c>
      <c r="AF5" s="19" t="str">
        <f>IFERROR(__xludf.DUMMYFUNCTION("""COMPUTED_VALUE"""),"Fx Operator")</f>
        <v>Fx Operator</v>
      </c>
      <c r="AG5" s="19" t="str">
        <f>IFERROR(__xludf.DUMMYFUNCTION("""COMPUTED_VALUE"""),"PendingApprovalPopUp")</f>
        <v>PendingApprovalPopUp</v>
      </c>
      <c r="AH5" s="19" t="str">
        <f>IFERROR(__xludf.DUMMYFUNCTION("""COMPUTED_VALUE"""),"TradeBy")</f>
        <v>TradeBy</v>
      </c>
      <c r="AI5" s="19" t="str">
        <f>IFERROR(__xludf.DUMMYFUNCTION("""COMPUTED_VALUE"""),"BookAsSwap")</f>
        <v>BookAsSwap</v>
      </c>
      <c r="AJ5" s="19" t="str">
        <f>IFERROR(__xludf.DUMMYFUNCTION("""COMPUTED_VALUE"""),"RoundLot")</f>
        <v>RoundLot</v>
      </c>
      <c r="AK5" s="19" t="str">
        <f>IFERROR(__xludf.DUMMYFUNCTION("""COMPUTED_VALUE"""),"Increment")</f>
        <v>Increment</v>
      </c>
      <c r="AL5" s="19" t="str">
        <f>IFERROR(__xludf.DUMMYFUNCTION("""COMPUTED_VALUE"""),"Decrement")</f>
        <v>Decrement</v>
      </c>
      <c r="AM5" s="19" t="str">
        <f>IFERROR(__xludf.DUMMYFUNCTION("""COMPUTED_VALUE"""),"Trade Attribute 01")</f>
        <v>Trade Attribute 01</v>
      </c>
      <c r="AN5" s="19" t="str">
        <f>IFERROR(__xludf.DUMMYFUNCTION("""COMPUTED_VALUE"""),"Trade Attribute 02")</f>
        <v>Trade Attribute 02</v>
      </c>
      <c r="AO5" s="19" t="str">
        <f>IFERROR(__xludf.DUMMYFUNCTION("""COMPUTED_VALUE"""),"Trade Attribute 03")</f>
        <v>Trade Attribute 03</v>
      </c>
      <c r="AP5" s="19" t="str">
        <f>IFERROR(__xludf.DUMMYFUNCTION("""COMPUTED_VALUE"""),"Trade Attribute 04")</f>
        <v>Trade Attribute 04</v>
      </c>
      <c r="AQ5" s="19" t="str">
        <f>IFERROR(__xludf.DUMMYFUNCTION("""COMPUTED_VALUE"""),"Trade Attribute 05")</f>
        <v>Trade Attribute 05</v>
      </c>
      <c r="AR5" s="19" t="str">
        <f>IFERROR(__xludf.DUMMYFUNCTION("""COMPUTED_VALUE"""),"Trade Attribute 06")</f>
        <v>Trade Attribute 06</v>
      </c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</row>
    <row r="6" ht="15.75" customHeight="1">
      <c r="A6" s="4"/>
      <c r="B6" s="7" t="s">
        <v>19</v>
      </c>
      <c r="C6" s="21">
        <v>10000.0</v>
      </c>
      <c r="D6" s="22">
        <v>100.0</v>
      </c>
      <c r="E6" s="7" t="s">
        <v>20</v>
      </c>
      <c r="F6" s="4"/>
      <c r="G6" s="4"/>
      <c r="H6" s="4"/>
      <c r="I6" s="23" t="s">
        <v>21</v>
      </c>
      <c r="J6" s="7" t="s">
        <v>22</v>
      </c>
      <c r="K6" s="4"/>
      <c r="L6" s="4"/>
      <c r="M6" s="4"/>
      <c r="N6" s="4"/>
      <c r="O6" s="4"/>
      <c r="P6" s="4"/>
      <c r="Q6" s="4"/>
      <c r="R6" s="4"/>
      <c r="S6" s="4"/>
      <c r="T6" s="4"/>
      <c r="U6" s="4" t="s">
        <v>23</v>
      </c>
      <c r="V6" s="4" t="s">
        <v>24</v>
      </c>
      <c r="W6" s="4"/>
      <c r="X6" s="21">
        <v>100.0</v>
      </c>
      <c r="Y6" s="22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6" width="12.63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25</v>
      </c>
      <c r="D3" s="5" t="s">
        <v>9</v>
      </c>
      <c r="E3" s="9" t="s">
        <v>26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ht="15.75" customHeight="1">
      <c r="A4" s="16"/>
      <c r="B4" s="16" t="str">
        <f>IFERROR(__xludf.DUMMYFUNCTION("IF(C3="""","""",Transpose(IMPORTRANGE('_Settings'!$B$3,C3&amp;""!A4:A1000"")))"),"SelectTrade")</f>
        <v>SelectTrade</v>
      </c>
      <c r="C4" s="16" t="str">
        <f>IFERROR(__xludf.DUMMYFUNCTION("""COMPUTED_VALUE"""),"AcknowledgeTrade")</f>
        <v>AcknowledgeTrade</v>
      </c>
      <c r="D4" s="16" t="str">
        <f>IFERROR(__xludf.DUMMYFUNCTION("""COMPUTED_VALUE"""),"RejectTrade")</f>
        <v>RejectTrade</v>
      </c>
      <c r="E4" s="16" t="str">
        <f>IFERROR(__xludf.DUMMYFUNCTION("""COMPUTED_VALUE"""),"ExecuteTrade")</f>
        <v>ExecuteTrade</v>
      </c>
      <c r="F4" s="16" t="str">
        <f>IFERROR(__xludf.DUMMYFUNCTION("""COMPUTED_VALUE"""),"CancelTrade")</f>
        <v>CancelTrade</v>
      </c>
      <c r="G4" s="16" t="str">
        <f>IFERROR(__xludf.DUMMYFUNCTION("""COMPUTED_VALUE"""),"OpenLiveTT")</f>
        <v>OpenLiveTT</v>
      </c>
      <c r="H4" s="16" t="str">
        <f>IFERROR(__xludf.DUMMYFUNCTION("""COMPUTED_VALUE"""),"SetManualResponse")</f>
        <v>SetManualResponse</v>
      </c>
      <c r="I4" s="16" t="str">
        <f>IFERROR(__xludf.DUMMYFUNCTION("""COMPUTED_VALUE"""),"ClearUI")</f>
        <v>ClearUI</v>
      </c>
      <c r="J4" s="16" t="str">
        <f>IFERROR(__xludf.DUMMYFUNCTION("""COMPUTED_VALUE"""),"CloseSimulator")</f>
        <v>CloseSimulator</v>
      </c>
      <c r="K4" s="16" t="str">
        <f>IFERROR(__xludf.DUMMYFUNCTION("""COMPUTED_VALUE"""),"VerifyTrades")</f>
        <v>VerifyTrades</v>
      </c>
      <c r="L4" s="16" t="str">
        <f>IFERROR(__xludf.DUMMYFUNCTION("""COMPUTED_VALUE"""),"VerifyTagInAllFixLogs")</f>
        <v>VerifyTagInAllFixLogs</v>
      </c>
      <c r="M4" s="16" t="str">
        <f>IFERROR(__xludf.DUMMYFUNCTION("""COMPUTED_VALUE"""),"SetToAutomaticResponse")</f>
        <v>SetToAutomaticResponse</v>
      </c>
      <c r="N4" s="16" t="str">
        <f>IFERROR(__xludf.DUMMYFUNCTION("""COMPUTED_VALUE"""),"DoneForDay")</f>
        <v>DoneForDay</v>
      </c>
      <c r="O4" s="16" t="str">
        <f>IFERROR(__xludf.DUMMYFUNCTION("""COMPUTED_VALUE"""),"NewAcknowledgeTrade")</f>
        <v>NewAcknowledgeTrade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IFERROR(__xludf.DUMMYFUNCTION("""COMPUTED_VALUE"""),"Side")</f>
        <v>Side</v>
      </c>
      <c r="C5" s="18" t="str">
        <f>IFERROR(__xludf.DUMMYFUNCTION("""COMPUTED_VALUE"""),"Symbol")</f>
        <v>Symbol</v>
      </c>
      <c r="D5" s="18" t="str">
        <f>IFERROR(__xludf.DUMMYFUNCTION("""COMPUTED_VALUE"""),"Order Type")</f>
        <v>Order Type</v>
      </c>
      <c r="E5" s="18" t="str">
        <f>IFERROR(__xludf.DUMMYFUNCTION("""COMPUTED_VALUE"""),"Price")</f>
        <v>Price</v>
      </c>
      <c r="F5" s="18" t="str">
        <f>IFERROR(__xludf.DUMMYFUNCTION("""COMPUTED_VALUE"""),"AvgPrice")</f>
        <v>AvgPrice</v>
      </c>
      <c r="G5" s="18" t="str">
        <f>IFERROR(__xludf.DUMMYFUNCTION("""COMPUTED_VALUE"""),"Quantity")</f>
        <v>Quantity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ht="15.75" customHeight="1">
      <c r="A6" s="7"/>
      <c r="B6" s="7"/>
      <c r="C6" s="7" t="s">
        <v>19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6" width="12.63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25</v>
      </c>
      <c r="D3" s="5" t="s">
        <v>9</v>
      </c>
      <c r="E3" s="9" t="s">
        <v>27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ht="15.75" customHeight="1">
      <c r="A4" s="16"/>
      <c r="B4" s="16" t="str">
        <f>IFERROR(__xludf.DUMMYFUNCTION("IF(C3="""","""",Transpose(IMPORTRANGE('_Settings'!$B$3,C3&amp;""!A4:A1000"")))"),"SelectTrade")</f>
        <v>SelectTrade</v>
      </c>
      <c r="C4" s="16" t="str">
        <f>IFERROR(__xludf.DUMMYFUNCTION("""COMPUTED_VALUE"""),"AcknowledgeTrade")</f>
        <v>AcknowledgeTrade</v>
      </c>
      <c r="D4" s="16" t="str">
        <f>IFERROR(__xludf.DUMMYFUNCTION("""COMPUTED_VALUE"""),"RejectTrade")</f>
        <v>RejectTrade</v>
      </c>
      <c r="E4" s="16" t="str">
        <f>IFERROR(__xludf.DUMMYFUNCTION("""COMPUTED_VALUE"""),"ExecuteTrade")</f>
        <v>ExecuteTrade</v>
      </c>
      <c r="F4" s="16" t="str">
        <f>IFERROR(__xludf.DUMMYFUNCTION("""COMPUTED_VALUE"""),"CancelTrade")</f>
        <v>CancelTrade</v>
      </c>
      <c r="G4" s="16" t="str">
        <f>IFERROR(__xludf.DUMMYFUNCTION("""COMPUTED_VALUE"""),"OpenLiveTT")</f>
        <v>OpenLiveTT</v>
      </c>
      <c r="H4" s="16" t="str">
        <f>IFERROR(__xludf.DUMMYFUNCTION("""COMPUTED_VALUE"""),"SetManualResponse")</f>
        <v>SetManualResponse</v>
      </c>
      <c r="I4" s="16" t="str">
        <f>IFERROR(__xludf.DUMMYFUNCTION("""COMPUTED_VALUE"""),"ClearUI")</f>
        <v>ClearUI</v>
      </c>
      <c r="J4" s="16" t="str">
        <f>IFERROR(__xludf.DUMMYFUNCTION("""COMPUTED_VALUE"""),"CloseSimulator")</f>
        <v>CloseSimulator</v>
      </c>
      <c r="K4" s="16" t="str">
        <f>IFERROR(__xludf.DUMMYFUNCTION("""COMPUTED_VALUE"""),"VerifyTrades")</f>
        <v>VerifyTrades</v>
      </c>
      <c r="L4" s="16" t="str">
        <f>IFERROR(__xludf.DUMMYFUNCTION("""COMPUTED_VALUE"""),"VerifyTagInAllFixLogs")</f>
        <v>VerifyTagInAllFixLogs</v>
      </c>
      <c r="M4" s="16" t="str">
        <f>IFERROR(__xludf.DUMMYFUNCTION("""COMPUTED_VALUE"""),"SetToAutomaticResponse")</f>
        <v>SetToAutomaticResponse</v>
      </c>
      <c r="N4" s="16" t="str">
        <f>IFERROR(__xludf.DUMMYFUNCTION("""COMPUTED_VALUE"""),"DoneForDay")</f>
        <v>DoneForDay</v>
      </c>
      <c r="O4" s="16" t="str">
        <f>IFERROR(__xludf.DUMMYFUNCTION("""COMPUTED_VALUE"""),"NewAcknowledgeTrade")</f>
        <v>NewAcknowledgeTrade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IFERROR(__xludf.DUMMYFUNCTION("""COMPUTED_VALUE"""),"Side")</f>
        <v>Side</v>
      </c>
      <c r="C5" s="18" t="str">
        <f>IFERROR(__xludf.DUMMYFUNCTION("""COMPUTED_VALUE"""),"Symbol")</f>
        <v>Symbol</v>
      </c>
      <c r="D5" s="18" t="str">
        <f>IFERROR(__xludf.DUMMYFUNCTION("""COMPUTED_VALUE"""),"Order Type")</f>
        <v>Order Type</v>
      </c>
      <c r="E5" s="18" t="str">
        <f>IFERROR(__xludf.DUMMYFUNCTION("""COMPUTED_VALUE"""),"Price")</f>
        <v>Price</v>
      </c>
      <c r="F5" s="18" t="str">
        <f>IFERROR(__xludf.DUMMYFUNCTION("""COMPUTED_VALUE"""),"AvgPrice")</f>
        <v>AvgPrice</v>
      </c>
      <c r="G5" s="18" t="str">
        <f>IFERROR(__xludf.DUMMYFUNCTION("""COMPUTED_VALUE"""),"Quantity")</f>
        <v>Quantity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ht="15.75" customHeight="1">
      <c r="A6" s="7"/>
      <c r="B6" s="7"/>
      <c r="C6" s="7" t="s">
        <v>19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6" width="12.63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25</v>
      </c>
      <c r="D3" s="5" t="s">
        <v>9</v>
      </c>
      <c r="E3" s="9" t="s">
        <v>28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ht="15.75" customHeight="1">
      <c r="A4" s="16"/>
      <c r="B4" s="16" t="str">
        <f>IFERROR(__xludf.DUMMYFUNCTION("IF(C3="""","""",Transpose(IMPORTRANGE('_Settings'!$B$3,C3&amp;""!A4:A1000"")))"),"SelectTrade")</f>
        <v>SelectTrade</v>
      </c>
      <c r="C4" s="16" t="str">
        <f>IFERROR(__xludf.DUMMYFUNCTION("""COMPUTED_VALUE"""),"AcknowledgeTrade")</f>
        <v>AcknowledgeTrade</v>
      </c>
      <c r="D4" s="16" t="str">
        <f>IFERROR(__xludf.DUMMYFUNCTION("""COMPUTED_VALUE"""),"RejectTrade")</f>
        <v>RejectTrade</v>
      </c>
      <c r="E4" s="16" t="str">
        <f>IFERROR(__xludf.DUMMYFUNCTION("""COMPUTED_VALUE"""),"ExecuteTrade")</f>
        <v>ExecuteTrade</v>
      </c>
      <c r="F4" s="16" t="str">
        <f>IFERROR(__xludf.DUMMYFUNCTION("""COMPUTED_VALUE"""),"CancelTrade")</f>
        <v>CancelTrade</v>
      </c>
      <c r="G4" s="16" t="str">
        <f>IFERROR(__xludf.DUMMYFUNCTION("""COMPUTED_VALUE"""),"OpenLiveTT")</f>
        <v>OpenLiveTT</v>
      </c>
      <c r="H4" s="16" t="str">
        <f>IFERROR(__xludf.DUMMYFUNCTION("""COMPUTED_VALUE"""),"SetManualResponse")</f>
        <v>SetManualResponse</v>
      </c>
      <c r="I4" s="16" t="str">
        <f>IFERROR(__xludf.DUMMYFUNCTION("""COMPUTED_VALUE"""),"ClearUI")</f>
        <v>ClearUI</v>
      </c>
      <c r="J4" s="16" t="str">
        <f>IFERROR(__xludf.DUMMYFUNCTION("""COMPUTED_VALUE"""),"CloseSimulator")</f>
        <v>CloseSimulator</v>
      </c>
      <c r="K4" s="16" t="str">
        <f>IFERROR(__xludf.DUMMYFUNCTION("""COMPUTED_VALUE"""),"VerifyTrades")</f>
        <v>VerifyTrades</v>
      </c>
      <c r="L4" s="16" t="str">
        <f>IFERROR(__xludf.DUMMYFUNCTION("""COMPUTED_VALUE"""),"VerifyTagInAllFixLogs")</f>
        <v>VerifyTagInAllFixLogs</v>
      </c>
      <c r="M4" s="16" t="str">
        <f>IFERROR(__xludf.DUMMYFUNCTION("""COMPUTED_VALUE"""),"SetToAutomaticResponse")</f>
        <v>SetToAutomaticResponse</v>
      </c>
      <c r="N4" s="16" t="str">
        <f>IFERROR(__xludf.DUMMYFUNCTION("""COMPUTED_VALUE"""),"DoneForDay")</f>
        <v>DoneForDay</v>
      </c>
      <c r="O4" s="16" t="str">
        <f>IFERROR(__xludf.DUMMYFUNCTION("""COMPUTED_VALUE"""),"NewAcknowledgeTrade")</f>
        <v>NewAcknowledgeTrade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IFERROR(__xludf.DUMMYFUNCTION("""COMPUTED_VALUE"""),"Price")</f>
        <v>Price</v>
      </c>
      <c r="C5" s="18" t="str">
        <f>IFERROR(__xludf.DUMMYFUNCTION("""COMPUTED_VALUE"""),"Shares")</f>
        <v>Shares</v>
      </c>
      <c r="D5" s="18" t="str">
        <f>IFERROR(__xludf.DUMMYFUNCTION("""COMPUTED_VALUE"""),"ClearAllPrice")</f>
        <v>ClearAllPrice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ht="15.75" customHeight="1">
      <c r="A6" s="7"/>
      <c r="B6" s="7">
        <v>10.0</v>
      </c>
      <c r="C6" s="7">
        <v>5000.0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6" width="12.63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29</v>
      </c>
      <c r="D3" s="5" t="s">
        <v>9</v>
      </c>
      <c r="E3" s="9" t="s">
        <v>30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</row>
    <row r="4" ht="15.75" customHeight="1">
      <c r="A4" s="16"/>
      <c r="B4" s="16" t="str">
        <f>IFERROR(__xludf.DUMMYFUNCTION("IF(C3="""","""",Transpose(IMPORTRANGE('_Settings'!$B$3,C3&amp;""!A4:A1000"")))"),"SetTTUIPreferences")</f>
        <v>SetTTUIPreferences</v>
      </c>
      <c r="C4" s="16" t="str">
        <f>IFERROR(__xludf.DUMMYFUNCTION("""COMPUTED_VALUE"""),"TTPermissionLevel")</f>
        <v>TTPermissionLevel</v>
      </c>
      <c r="D4" s="16" t="str">
        <f>IFERROR(__xludf.DUMMYFUNCTION("""COMPUTED_VALUE"""),"SetCheckSide")</f>
        <v>SetCheckSide</v>
      </c>
      <c r="E4" s="16" t="str">
        <f>IFERROR(__xludf.DUMMYFUNCTION("""COMPUTED_VALUE"""),"SetRollover")</f>
        <v>SetRollover</v>
      </c>
      <c r="F4" s="16" t="str">
        <f>IFERROR(__xludf.DUMMYFUNCTION("""COMPUTED_VALUE"""),"SetActive")</f>
        <v>SetActive</v>
      </c>
      <c r="G4" s="16" t="str">
        <f>IFERROR(__xludf.DUMMYFUNCTION("""COMPUTED_VALUE"""),"SetThirdPartyFormat")</f>
        <v>SetThirdPartyFormat</v>
      </c>
      <c r="H4" s="16" t="str">
        <f>IFERROR(__xludf.DUMMYFUNCTION("""COMPUTED_VALUE"""),"UpdateRoundLot")</f>
        <v>UpdateRoundLot</v>
      </c>
      <c r="I4" s="16" t="str">
        <f>IFERROR(__xludf.DUMMYFUNCTION("""COMPUTED_VALUE"""),"SetTradingComplianceRules")</f>
        <v>SetTradingComplianceRules</v>
      </c>
      <c r="J4" s="16" t="str">
        <f>IFERROR(__xludf.DUMMYFUNCTION("""COMPUTED_VALUE"""),"EnableBreakdownRealizedPNL")</f>
        <v>EnableBreakdownRealizedPNL</v>
      </c>
      <c r="K4" s="16" t="str">
        <f>IFERROR(__xludf.DUMMYFUNCTION("""COMPUTED_VALUE"""),"SetTTGeneralPreferences")</f>
        <v>SetTTGeneralPreferences</v>
      </c>
      <c r="L4" s="16" t="str">
        <f>IFERROR(__xludf.DUMMYFUNCTION("""COMPUTED_VALUE"""),"SetDollarAmountPermission")</f>
        <v>SetDollarAmountPermission</v>
      </c>
      <c r="M4" s="16" t="str">
        <f>IFERROR(__xludf.DUMMYFUNCTION("""COMPUTED_VALUE"""),"EnableDisableModule")</f>
        <v>EnableDisableModule</v>
      </c>
      <c r="N4" s="16" t="str">
        <f>IFERROR(__xludf.DUMMYFUNCTION("""COMPUTED_VALUE"""),"IsImportOverrideOnShortLocate")</f>
        <v>IsImportOverrideOnShortLocate</v>
      </c>
      <c r="O4" s="16" t="str">
        <f>IFERROR(__xludf.DUMMYFUNCTION("""COMPUTED_VALUE"""),"SetShortLocateStructures")</f>
        <v>SetShortLocateStructures</v>
      </c>
      <c r="P4" s="17" t="str">
        <f>IFERROR(__xludf.DUMMYFUNCTION("""COMPUTED_VALUE"""),"SetComplianceAlert")</f>
        <v>SetComplianceAlert</v>
      </c>
      <c r="Q4" s="17" t="str">
        <f>IFERROR(__xludf.DUMMYFUNCTION("""COMPUTED_VALUE"""),"UpdateExpirationDate")</f>
        <v>UpdateExpirationDate</v>
      </c>
      <c r="R4" s="17" t="str">
        <f>IFERROR(__xludf.DUMMYFUNCTION("""COMPUTED_VALUE"""),"RenameMasterStrategy")</f>
        <v>RenameMasterStrategy</v>
      </c>
      <c r="S4" s="17" t="str">
        <f>IFERROR(__xludf.DUMMYFUNCTION("""COMPUTED_VALUE"""),"SetTTUIAdminPreferences")</f>
        <v>SetTTUIAdminPreferences</v>
      </c>
      <c r="T4" s="17" t="str">
        <f>IFERROR(__xludf.DUMMYFUNCTION("""COMPUTED_VALUE"""),"UpdateSecFee")</f>
        <v>UpdateSecFee</v>
      </c>
      <c r="U4" s="17" t="str">
        <f>IFERROR(__xludf.DUMMYFUNCTION("""COMPUTED_VALUE"""),"UpdateFee")</f>
        <v>UpdateFee</v>
      </c>
      <c r="V4" s="17" t="str">
        <f>IFERROR(__xludf.DUMMYFUNCTION("""COMPUTED_VALUE"""),"RevertingSMSharesOutValue")</f>
        <v>RevertingSMSharesOutValue</v>
      </c>
      <c r="W4" s="17" t="str">
        <f>IFERROR(__xludf.DUMMYFUNCTION("""COMPUTED_VALUE"""),"RestartSQL")</f>
        <v>RestartSQL</v>
      </c>
      <c r="X4" s="17" t="str">
        <f>IFERROR(__xludf.DUMMYFUNCTION("""COMPUTED_VALUE"""),"TradeAuditCleanUp")</f>
        <v>TradeAuditCleanUp</v>
      </c>
      <c r="Y4" s="17" t="str">
        <f>IFERROR(__xludf.DUMMYFUNCTION("""COMPUTED_VALUE"""),"DeleteSymbolFromSM")</f>
        <v>DeleteSymbolFromSM</v>
      </c>
      <c r="Z4" s="17" t="str">
        <f>IFERROR(__xludf.DUMMYFUNCTION("""COMPUTED_VALUE"""),"SetCompliancePermission")</f>
        <v>SetCompliancePermission</v>
      </c>
      <c r="AA4" s="17" t="str">
        <f>IFERROR(__xludf.DUMMYFUNCTION("""COMPUTED_VALUE"""),"SetMasterFundOnTT")</f>
        <v>SetMasterFundOnTT</v>
      </c>
      <c r="AB4" s="17" t="str">
        <f>IFERROR(__xludf.DUMMYFUNCTION("""COMPUTED_VALUE"""),"SetMarketDataProvider")</f>
        <v>SetMarketDataProvider</v>
      </c>
      <c r="AC4" s="17" t="str">
        <f>IFERROR(__xludf.DUMMYFUNCTION("""COMPUTED_VALUE"""),"SetAllocationPreferences")</f>
        <v>SetAllocationPreferences</v>
      </c>
      <c r="AD4" s="17" t="str">
        <f>IFERROR(__xludf.DUMMYFUNCTION("""COMPUTED_VALUE"""),"SetRegularCompliancePermission")</f>
        <v>SetRegularCompliancePermission</v>
      </c>
      <c r="AE4" s="17" t="str">
        <f>IFERROR(__xludf.DUMMYFUNCTION("""COMPUTED_VALUE"""),"SetCommissionRule")</f>
        <v>SetCommissionRule</v>
      </c>
      <c r="AF4" s="17" t="str">
        <f>IFERROR(__xludf.DUMMYFUNCTION("""COMPUTED_VALUE"""),"SetPreTradeCompliancePermission")</f>
        <v>SetPreTradeCompliancePermission</v>
      </c>
      <c r="AG4" s="17" t="str">
        <f>IFERROR(__xludf.DUMMYFUNCTION("""COMPUTED_VALUE"""),"SetAuecExecutingBroker")</f>
        <v>SetAuecExecutingBroker</v>
      </c>
      <c r="AH4" s="17" t="str">
        <f>IFERROR(__xludf.DUMMYFUNCTION("""COMPUTED_VALUE"""),"SetAlgoBroker")</f>
        <v>SetAlgoBroker</v>
      </c>
      <c r="AI4" s="17" t="str">
        <f>IFERROR(__xludf.DUMMYFUNCTION("""COMPUTED_VALUE"""),"EnableAutoGroupingAllocation")</f>
        <v>EnableAutoGroupingAllocation</v>
      </c>
      <c r="AJ4" s="17" t="str">
        <f>IFERROR(__xludf.DUMMYFUNCTION("""COMPUTED_VALUE"""),"ConfigUpdater")</f>
        <v>ConfigUpdater</v>
      </c>
      <c r="AK4" s="17" t="str">
        <f>IFERROR(__xludf.DUMMYFUNCTION("""COMPUTED_VALUE"""),"AccountPermission")</f>
        <v>AccountPermission</v>
      </c>
      <c r="AL4" s="17" t="str">
        <f>IFERROR(__xludf.DUMMYFUNCTION("""COMPUTED_VALUE"""),"BasketPermission")</f>
        <v>BasketPermission</v>
      </c>
      <c r="AM4" s="17" t="str">
        <f>IFERROR(__xludf.DUMMYFUNCTION("""COMPUTED_VALUE"""),"ChangeDate")</f>
        <v>ChangeDate</v>
      </c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IFERROR(__xludf.DUMMYFUNCTION("""COMPUTED_VALUE"""),"DateOrReset")</f>
        <v>DateOrReset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</row>
    <row r="6" ht="15.75" customHeight="1">
      <c r="A6" s="7"/>
      <c r="B6" s="7" t="s">
        <v>31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ChangeDate!$4:$4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6" width="12.63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32</v>
      </c>
      <c r="D3" s="5" t="s">
        <v>9</v>
      </c>
      <c r="E3" s="9" t="s">
        <v>33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</row>
    <row r="4" ht="15.75" customHeight="1">
      <c r="A4" s="16"/>
      <c r="B4" s="16" t="str">
        <f>IFERROR(__xludf.DUMMYFUNCTION("IF(C3="""","""",Transpose(IMPORTRANGE('_Settings'!$B$3,C3&amp;""!A4:A1000"")))"),"CheckCompliance")</f>
        <v>CheckCompliance</v>
      </c>
      <c r="C4" s="16" t="str">
        <f>IFERROR(__xludf.DUMMYFUNCTION("""COMPUTED_VALUE"""),"VerifyAccountDivisorWindow")</f>
        <v>VerifyAccountDivisorWindow</v>
      </c>
      <c r="D4" s="16" t="str">
        <f>IFERROR(__xludf.DUMMYFUNCTION("""COMPUTED_VALUE"""),"VerifyAccountSymbolDivisorWindow")</f>
        <v>VerifyAccountSymbolDivisorWindow</v>
      </c>
      <c r="E4" s="16" t="str">
        <f>IFERROR(__xludf.DUMMYFUNCTION("""COMPUTED_VALUE"""),"VerifyAggregationAccountSymbolWithNav")</f>
        <v>VerifyAggregationAccountSymbolWithNav</v>
      </c>
      <c r="F4" s="16" t="str">
        <f>IFERROR(__xludf.DUMMYFUNCTION("""COMPUTED_VALUE"""),"VerifyAggregationAccountWithNav")</f>
        <v>VerifyAggregationAccountWithNav</v>
      </c>
      <c r="G4" s="16" t="str">
        <f>IFERROR(__xludf.DUMMYFUNCTION("""COMPUTED_VALUE"""),"VerifyAggregationMasterFundSymbolWithNav")</f>
        <v>VerifyAggregationMasterFundSymbolWithNav</v>
      </c>
      <c r="H4" s="16" t="str">
        <f>IFERROR(__xludf.DUMMYFUNCTION("""COMPUTED_VALUE"""),"VerifyAggregationMasterFundUnderlyingSymbolWithNav")</f>
        <v>VerifyAggregationMasterFundUnderlyingSymbolWithNav</v>
      </c>
      <c r="I4" s="16" t="str">
        <f>IFERROR(__xludf.DUMMYFUNCTION("""COMPUTED_VALUE"""),"VerifyAggregationMasterFundWithNav")</f>
        <v>VerifyAggregationMasterFundWithNav</v>
      </c>
      <c r="J4" s="16" t="str">
        <f>IFERROR(__xludf.DUMMYFUNCTION("""COMPUTED_VALUE"""),"VerifyAggregationSectorWithNav")</f>
        <v>VerifyAggregationSectorWithNav</v>
      </c>
      <c r="K4" s="16" t="str">
        <f>IFERROR(__xludf.DUMMYFUNCTION("""COMPUTED_VALUE"""),"VerifyAggregationUnderlyingSymbolWithNav")</f>
        <v>VerifyAggregationUnderlyingSymbolWithNav</v>
      </c>
      <c r="L4" s="16" t="str">
        <f>IFERROR(__xludf.DUMMYFUNCTION("""COMPUTED_VALUE"""),"VerifyAuecWindow")</f>
        <v>VerifyAuecWindow</v>
      </c>
      <c r="M4" s="16" t="str">
        <f>IFERROR(__xludf.DUMMYFUNCTION("""COMPUTED_VALUE"""),"VerifyBetaWindow")</f>
        <v>VerifyBetaWindow</v>
      </c>
      <c r="N4" s="16" t="str">
        <f>IFERROR(__xludf.DUMMYFUNCTION("""COMPUTED_VALUE"""),"VerifyCustomSymbolDataWindow")</f>
        <v>VerifyCustomSymbolDataWindow</v>
      </c>
      <c r="O4" s="16" t="str">
        <f>IFERROR(__xludf.DUMMYFUNCTION("""COMPUTED_VALUE"""),"VerifyDayEndCashAccountWindow")</f>
        <v>VerifyDayEndCashAccountWindow</v>
      </c>
      <c r="P4" s="17" t="str">
        <f>IFERROR(__xludf.DUMMYFUNCTION("""COMPUTED_VALUE"""),"VerifyDbNavWindow")</f>
        <v>VerifyDbNavWindow</v>
      </c>
      <c r="Q4" s="17" t="str">
        <f>IFERROR(__xludf.DUMMYFUNCTION("""COMPUTED_VALUE"""),"VerifyGlobalDivisorWindow")</f>
        <v>VerifyGlobalDivisorWindow</v>
      </c>
      <c r="R4" s="17" t="str">
        <f>IFERROR(__xludf.DUMMYFUNCTION("""COMPUTED_VALUE"""),"VerifyPmCalculationPreferenceWindow")</f>
        <v>VerifyPmCalculationPreferenceWindow</v>
      </c>
      <c r="S4" s="17" t="str">
        <f>IFERROR(__xludf.DUMMYFUNCTION("""COMPUTED_VALUE"""),"VerifyRowCalculationBaseWindow")</f>
        <v>VerifyRowCalculationBaseWindow</v>
      </c>
      <c r="T4" s="17" t="str">
        <f>IFERROR(__xludf.DUMMYFUNCTION("""COMPUTED_VALUE"""),"VerifySecurityWindow")</f>
        <v>VerifySecurityWindow</v>
      </c>
      <c r="U4" s="17" t="str">
        <f>IFERROR(__xludf.DUMMYFUNCTION("""COMPUTED_VALUE"""),"VerifySymbolDataWindow")</f>
        <v>VerifySymbolDataWindow</v>
      </c>
      <c r="V4" s="17" t="str">
        <f>IFERROR(__xludf.DUMMYFUNCTION("""COMPUTED_VALUE"""),"VerifySymbolDivisorWindow")</f>
        <v>VerifySymbolDivisorWindow</v>
      </c>
      <c r="W4" s="17" t="str">
        <f>IFERROR(__xludf.DUMMYFUNCTION("""COMPUTED_VALUE"""),"VerifyTaxlotWindow")</f>
        <v>VerifyTaxlotWindow</v>
      </c>
      <c r="X4" s="17" t="str">
        <f>IFERROR(__xludf.DUMMYFUNCTION("""COMPUTED_VALUE"""),"RestartEsper")</f>
        <v>RestartEsper</v>
      </c>
      <c r="Y4" s="17" t="str">
        <f>IFERROR(__xludf.DUMMYFUNCTION("""COMPUTED_VALUE"""),"VerifyAccountNavPreferenceWindow")</f>
        <v>VerifyAccountNavPreferenceWindow</v>
      </c>
      <c r="Z4" s="17" t="str">
        <f>IFERROR(__xludf.DUMMYFUNCTION("""COMPUTED_VALUE"""),"VerifyAggregationAccountUnderlyingSymbolWithNav")</f>
        <v>VerifyAggregationAccountUnderlyingSymbolWithNav</v>
      </c>
      <c r="AA4" s="17" t="str">
        <f>IFERROR(__xludf.DUMMYFUNCTION("""COMPUTED_VALUE"""),"VerifyAggregationAssetWithNav")</f>
        <v>VerifyAggregationAssetWithNav</v>
      </c>
      <c r="AB4" s="17" t="str">
        <f>IFERROR(__xludf.DUMMYFUNCTION("""COMPUTED_VALUE"""),"VerifyAggregationSymbolWithNav")</f>
        <v>VerifyAggregationSymbolWithNav</v>
      </c>
      <c r="AC4" s="17" t="str">
        <f>IFERROR(__xludf.DUMMYFUNCTION("""COMPUTED_VALUE"""),"VerifyAggregationSubSectorWithNav")</f>
        <v>VerifyAggregationSubSectorWithNav</v>
      </c>
      <c r="AD4" s="17" t="str">
        <f>IFERROR(__xludf.DUMMYFUNCTION("""COMPUTED_VALUE"""),"VerifyAggregationGlobalWithNav")</f>
        <v>VerifyAggregationGlobalWithNav</v>
      </c>
      <c r="AE4" s="17" t="str">
        <f>IFERROR(__xludf.DUMMYFUNCTION("""COMPUTED_VALUE"""),"VerifyAggregationGlobalWithNav")</f>
        <v>VerifyAggregationGlobalWithNav</v>
      </c>
      <c r="AF4" s="17" t="str">
        <f>IFERROR(__xludf.DUMMYFUNCTION("""COMPUTED_VALUE"""),"VerifyGlobalDivisorWindow")</f>
        <v>VerifyGlobalDivisorWindow</v>
      </c>
      <c r="AG4" s="17" t="str">
        <f>IFERROR(__xludf.DUMMYFUNCTION("""COMPUTED_VALUE"""),"VerifyAccrualForAccountWindow")</f>
        <v>VerifyAccrualForAccountWindow</v>
      </c>
      <c r="AH4" s="17" t="str">
        <f>IFERROR(__xludf.DUMMYFUNCTION("""COMPUTED_VALUE"""),"VerifyGlobalDivisorWindow")</f>
        <v>VerifyGlobalDivisorWindow</v>
      </c>
      <c r="AI4" s="17" t="str">
        <f>IFERROR(__xludf.DUMMYFUNCTION("""COMPUTED_VALUE"""),"VerifyMasterFundDivisorWindow")</f>
        <v>VerifyMasterFundDivisorWindow</v>
      </c>
      <c r="AJ4" s="17" t="str">
        <f>IFERROR(__xludf.DUMMYFUNCTION("""COMPUTED_VALUE"""),"VerifyMasterFundSymbolDivisorWindow")</f>
        <v>VerifyMasterFundSymbolDivisorWindow</v>
      </c>
      <c r="AK4" s="17" t="str">
        <f>IFERROR(__xludf.DUMMYFUNCTION("""COMPUTED_VALUE"""),"RestartRuleMediator")</f>
        <v>RestartRuleMediator</v>
      </c>
      <c r="AL4" s="17" t="str">
        <f>IFERROR(__xludf.DUMMYFUNCTION("""COMPUTED_VALUE"""),"VerifyAggAccountSymbolWithNav")</f>
        <v>VerifyAggAccountSymbolWithNav</v>
      </c>
      <c r="AM4" s="17" t="str">
        <f>IFERROR(__xludf.DUMMYFUNCTION("""COMPUTED_VALUE"""),"ApproveorRejectpendingapproval")</f>
        <v>ApproveorRejectpendingapproval</v>
      </c>
      <c r="AN4" s="17" t="str">
        <f>IFERROR(__xludf.DUMMYFUNCTION("""COMPUTED_VALUE"""),"VerifyAlertHistory")</f>
        <v>VerifyAlertHistory</v>
      </c>
      <c r="AO4" s="17" t="str">
        <f>IFERROR(__xludf.DUMMYFUNCTION("""COMPUTED_VALUE"""),"EditInterceptorFile")</f>
        <v>EditInterceptorFile</v>
      </c>
      <c r="AP4" s="17" t="str">
        <f>IFERROR(__xludf.DUMMYFUNCTION("""COMPUTED_VALUE"""),"ReplaceInterceptorFile")</f>
        <v>ReplaceInterceptorFile</v>
      </c>
      <c r="AQ4" s="17" t="str">
        <f>IFERROR(__xludf.DUMMYFUNCTION("""COMPUTED_VALUE"""),"RestartReleasesAndServices")</f>
        <v>RestartReleasesAndServices</v>
      </c>
      <c r="AR4" s="17" t="str">
        <f>IFERROR(__xludf.DUMMYFUNCTION("""COMPUTED_VALUE"""),"GetEmail")</f>
        <v>GetEmail</v>
      </c>
      <c r="AS4" s="17" t="str">
        <f>IFERROR(__xludf.DUMMYFUNCTION("""COMPUTED_VALUE"""),"EnableDisableRule")</f>
        <v>EnableDisableRule</v>
      </c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IFERROR(__xludf.DUMMYFUNCTION("""COMPUTED_VALUE"""),"Restart Basket")</f>
        <v>Restart Basket</v>
      </c>
      <c r="C5" s="18" t="str">
        <f>IFERROR(__xludf.DUMMYFUNCTION("""COMPUTED_VALUE"""),"DontShutSimulator")</f>
        <v>DontShutSimulator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</row>
    <row r="6" ht="15.75" customHeight="1">
      <c r="A6" s="4"/>
      <c r="B6" s="4"/>
      <c r="C6" s="24" t="b">
        <v>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6" width="12.63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34</v>
      </c>
      <c r="D3" s="5" t="s">
        <v>9</v>
      </c>
      <c r="E3" s="9" t="s">
        <v>35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</row>
    <row r="4" ht="15.75" customHeight="1">
      <c r="A4" s="16"/>
      <c r="B4" s="16" t="str">
        <f>IFERROR(__xludf.DUMMYFUNCTION("IF(C3="""","""",Transpose(IMPORTRANGE('_Settings'!$B$3,C3&amp;""!A4:A1000"")))"),"Allocate")</f>
        <v>Allocate</v>
      </c>
      <c r="C4" s="16" t="str">
        <f>IFERROR(__xludf.DUMMYFUNCTION("""COMPUTED_VALUE"""),"CheckAllocatedGroups")</f>
        <v>CheckAllocatedGroups</v>
      </c>
      <c r="D4" s="16" t="str">
        <f>IFERROR(__xludf.DUMMYFUNCTION("""COMPUTED_VALUE"""),"GetDataAllocation")</f>
        <v>GetDataAllocation</v>
      </c>
      <c r="E4" s="16" t="str">
        <f>IFERROR(__xludf.DUMMYFUNCTION("""COMPUTED_VALUE"""),"SelectAllocatedGroup")</f>
        <v>SelectAllocatedGroup</v>
      </c>
      <c r="F4" s="16" t="str">
        <f>IFERROR(__xludf.DUMMYFUNCTION("""COMPUTED_VALUE"""),"EditTradesAllocated")</f>
        <v>EditTradesAllocated</v>
      </c>
      <c r="G4" s="16" t="str">
        <f>IFERROR(__xludf.DUMMYFUNCTION("""COMPUTED_VALUE"""),"EditTradesUnallocated")</f>
        <v>EditTradesUnallocated</v>
      </c>
      <c r="H4" s="16" t="str">
        <f>IFERROR(__xludf.DUMMYFUNCTION("""COMPUTED_VALUE"""),"EditTradesAllocated")</f>
        <v>EditTradesAllocated</v>
      </c>
      <c r="I4" s="16" t="str">
        <f>IFERROR(__xludf.DUMMYFUNCTION("""COMPUTED_VALUE"""),"Reallocate")</f>
        <v>Reallocate</v>
      </c>
      <c r="J4" s="16" t="str">
        <f>IFERROR(__xludf.DUMMYFUNCTION("""COMPUTED_VALUE"""),"EditUnallocatedGroupSidePanel")</f>
        <v>EditUnallocatedGroupSidePanel</v>
      </c>
      <c r="K4" s="16" t="str">
        <f>IFERROR(__xludf.DUMMYFUNCTION("""COMPUTED_VALUE"""),"TradeAttributeBulkChange")</f>
        <v>TradeAttributeBulkChange</v>
      </c>
      <c r="L4" s="16" t="str">
        <f>IFERROR(__xludf.DUMMYFUNCTION("""COMPUTED_VALUE"""),"ApplyBulkUpdateOnGroups")</f>
        <v>ApplyBulkUpdateOnGroups</v>
      </c>
      <c r="M4" s="16" t="str">
        <f>IFERROR(__xludf.DUMMYFUNCTION("""COMPUTED_VALUE"""),"ApplyPrefetchFilters")</f>
        <v>ApplyPrefetchFilters</v>
      </c>
      <c r="N4" s="16" t="str">
        <f>IFERROR(__xludf.DUMMYFUNCTION("""COMPUTED_VALUE"""),"GeneralPreferencesDefaultRule")</f>
        <v>GeneralPreferencesDefaultRule</v>
      </c>
      <c r="O4" s="16" t="str">
        <f>IFERROR(__xludf.DUMMYFUNCTION("""COMPUTED_VALUE"""),"GeneralPrefCompanyUserWise")</f>
        <v>GeneralPrefCompanyUserWise</v>
      </c>
      <c r="P4" s="17" t="str">
        <f>IFERROR(__xludf.DUMMYFUNCTION("""COMPUTED_VALUE"""),"RenameTradeAttributes")</f>
        <v>RenameTradeAttributes</v>
      </c>
      <c r="Q4" s="17" t="str">
        <f>IFERROR(__xludf.DUMMYFUNCTION("""COMPUTED_VALUE"""),"SetGroupingRules")</f>
        <v>SetGroupingRules</v>
      </c>
      <c r="R4" s="17" t="str">
        <f>IFERROR(__xludf.DUMMYFUNCTION("""COMPUTED_VALUE"""),"SetMasterFundRatio")</f>
        <v>SetMasterFundRatio</v>
      </c>
      <c r="S4" s="17" t="str">
        <f>IFERROR(__xludf.DUMMYFUNCTION("""COMPUTED_VALUE"""),"CheckFixedPreference")</f>
        <v>CheckFixedPreference</v>
      </c>
      <c r="T4" s="17" t="str">
        <f>IFERROR(__xludf.DUMMYFUNCTION("""COMPUTED_VALUE"""),"GetFixedPreference")</f>
        <v>GetFixedPreference</v>
      </c>
      <c r="U4" s="17" t="str">
        <f>IFERROR(__xludf.DUMMYFUNCTION("""COMPUTED_VALUE"""),"AddCalculatedPreferences")</f>
        <v>AddCalculatedPreferences</v>
      </c>
      <c r="V4" s="17" t="str">
        <f>IFERROR(__xludf.DUMMYFUNCTION("""COMPUTED_VALUE"""),"BulkChangeCalculatedPreferences")</f>
        <v>BulkChangeCalculatedPreferences</v>
      </c>
      <c r="W4" s="17" t="str">
        <f>IFERROR(__xludf.DUMMYFUNCTION("""COMPUTED_VALUE"""),"DeleteCalculatedPreferences")</f>
        <v>DeleteCalculatedPreferences</v>
      </c>
      <c r="X4" s="17" t="str">
        <f>IFERROR(__xludf.DUMMYFUNCTION("""COMPUTED_VALUE"""),"RenameCalculatedPreferences")</f>
        <v>RenameCalculatedPreferences</v>
      </c>
      <c r="Y4" s="17" t="str">
        <f>IFERROR(__xludf.DUMMYFUNCTION("""COMPUTED_VALUE"""),"CopyCalculatedPreferences")</f>
        <v>CopyCalculatedPreferences</v>
      </c>
      <c r="Z4" s="17" t="str">
        <f>IFERROR(__xludf.DUMMYFUNCTION("""COMPUTED_VALUE"""),"RunAutoGroup")</f>
        <v>RunAutoGroup</v>
      </c>
      <c r="AA4" s="17" t="str">
        <f>IFERROR(__xludf.DUMMYFUNCTION("""COMPUTED_VALUE"""),"BookOrUpdateSwap")</f>
        <v>BookOrUpdateSwap</v>
      </c>
      <c r="AB4" s="17" t="str">
        <f>IFERROR(__xludf.DUMMYFUNCTION("""COMPUTED_VALUE"""),"RunProrata")</f>
        <v>RunProrata</v>
      </c>
      <c r="AC4" s="17" t="str">
        <f>IFERROR(__xludf.DUMMYFUNCTION("""COMPUTED_VALUE"""),"SetDefaultRuleCalculatedPref")</f>
        <v>SetDefaultRuleCalculatedPref</v>
      </c>
      <c r="AD4" s="17" t="str">
        <f>IFERROR(__xludf.DUMMYFUNCTION("""COMPUTED_VALUE"""),"SetAccountValueCalculatedPref")</f>
        <v>SetAccountValueCalculatedPref</v>
      </c>
      <c r="AE4" s="17" t="str">
        <f>IFERROR(__xludf.DUMMYFUNCTION("""COMPUTED_VALUE"""),"TradeAttributeBulkChangeGroups")</f>
        <v>TradeAttributeBulkChangeGroups</v>
      </c>
      <c r="AF4" s="17" t="str">
        <f>IFERROR(__xludf.DUMMYFUNCTION("""COMPUTED_VALUE"""),"TradeAttributeBulkChangeTaxlots")</f>
        <v>TradeAttributeBulkChangeTaxlots</v>
      </c>
      <c r="AG4" s="17" t="str">
        <f>IFERROR(__xludf.DUMMYFUNCTION("""COMPUTED_VALUE"""),"AddCalculatedPreferenceToolbar")</f>
        <v>AddCalculatedPreferenceToolbar</v>
      </c>
      <c r="AH4" s="17" t="str">
        <f>IFERROR(__xludf.DUMMYFUNCTION("""COMPUTED_VALUE"""),"SetStrategyValueCalculatedPref")</f>
        <v>SetStrategyValueCalculatedPref</v>
      </c>
      <c r="AI4" s="17" t="str">
        <f>IFERROR(__xludf.DUMMYFUNCTION("""COMPUTED_VALUE"""),"ApplyBulkUpdateOnTaxlots")</f>
        <v>ApplyBulkUpdateOnTaxlots</v>
      </c>
      <c r="AJ4" s="17" t="str">
        <f>IFERROR(__xludf.DUMMYFUNCTION("""COMPUTED_VALUE"""),"CommissionBulkChangeOnGroups")</f>
        <v>CommissionBulkChangeOnGroups</v>
      </c>
      <c r="AK4" s="17" t="str">
        <f>IFERROR(__xludf.DUMMYFUNCTION("""COMPUTED_VALUE"""),"CommissionBulkChangeOnTaxlots")</f>
        <v>CommissionBulkChangeOnTaxlots</v>
      </c>
      <c r="AL4" s="17" t="str">
        <f>IFERROR(__xludf.DUMMYFUNCTION("""COMPUTED_VALUE"""),"SelectUnallocatedGroup")</f>
        <v>SelectUnallocatedGroup</v>
      </c>
      <c r="AM4" s="17" t="str">
        <f>IFERROR(__xludf.DUMMYFUNCTION("""COMPUTED_VALUE"""),"EnterAccountValuesToAllocate")</f>
        <v>EnterAccountValuesToAllocate</v>
      </c>
      <c r="AN4" s="17" t="str">
        <f>IFERROR(__xludf.DUMMYFUNCTION("""COMPUTED_VALUE"""),"EnterAllocatePreference")</f>
        <v>EnterAllocatePreference</v>
      </c>
      <c r="AO4" s="17" t="str">
        <f>IFERROR(__xludf.DUMMYFUNCTION("""COMPUTED_VALUE"""),"EnterStrategyValuesToAllocate")</f>
        <v>EnterStrategyValuesToAllocate</v>
      </c>
      <c r="AP4" s="17" t="str">
        <f>IFERROR(__xludf.DUMMYFUNCTION("""COMPUTED_VALUE"""),"CopyCalculatedPreferenceToolbar")</f>
        <v>CopyCalculatedPreferenceToolbar</v>
      </c>
      <c r="AQ4" s="17" t="str">
        <f>IFERROR(__xludf.DUMMYFUNCTION("""COMPUTED_VALUE"""),"SetGeneralRuleCalculatedPref")</f>
        <v>SetGeneralRuleCalculatedPref</v>
      </c>
      <c r="AR4" s="17" t="str">
        <f>IFERROR(__xludf.DUMMYFUNCTION("""COMPUTED_VALUE"""),"ExportAllCalculatedPreferences")</f>
        <v>ExportAllCalculatedPreferences</v>
      </c>
      <c r="AS4" s="17" t="str">
        <f>IFERROR(__xludf.DUMMYFUNCTION("""COMPUTED_VALUE"""),"SaveCalculatedPreferences")</f>
        <v>SaveCalculatedPreferences</v>
      </c>
      <c r="AT4" s="17" t="str">
        <f>IFERROR(__xludf.DUMMYFUNCTION("""COMPUTED_VALUE"""),"CloseCalculatedPreferences")</f>
        <v>CloseCalculatedPreferences</v>
      </c>
      <c r="AU4" s="17" t="str">
        <f>IFERROR(__xludf.DUMMYFUNCTION("""COMPUTED_VALUE"""),"ExportCalculatedPreference")</f>
        <v>ExportCalculatedPreference</v>
      </c>
      <c r="AV4" s="17" t="str">
        <f>IFERROR(__xludf.DUMMYFUNCTION("""COMPUTED_VALUE"""),"ImportCalculatedPreferences")</f>
        <v>ImportCalculatedPreferences</v>
      </c>
      <c r="AW4" s="17" t="str">
        <f>IFERROR(__xludf.DUMMYFUNCTION("""COMPUTED_VALUE"""),"OpenAuditTrailUnallocatedGroup")</f>
        <v>OpenAuditTrailUnallocatedGroup</v>
      </c>
      <c r="AX4" s="17" t="str">
        <f>IFERROR(__xludf.DUMMYFUNCTION("""COMPUTED_VALUE"""),"DeleteCalculatedPreferencesTool")</f>
        <v>DeleteCalculatedPreferencesTool</v>
      </c>
      <c r="AY4" s="17" t="str">
        <f>IFERROR(__xludf.DUMMYFUNCTION("""COMPUTED_VALUE"""),"ImportCalculatedPreferencesTool")</f>
        <v>ImportCalculatedPreferencesTool</v>
      </c>
      <c r="AZ4" s="17" t="str">
        <f>IFERROR(__xludf.DUMMYFUNCTION("""COMPUTED_VALUE"""),"ExportAllCalculatedPreferTool")</f>
        <v>ExportAllCalculatedPreferTool</v>
      </c>
      <c r="BA4" s="17" t="str">
        <f>IFERROR(__xludf.DUMMYFUNCTION("""COMPUTED_VALUE"""),"OpenAuditTrailAllocatedGroup")</f>
        <v>OpenAuditTrailAllocatedGroup</v>
      </c>
      <c r="BB4" s="17" t="str">
        <f>IFERROR(__xludf.DUMMYFUNCTION("""COMPUTED_VALUE"""),"OpenSymbolLookupUnallocateGroup")</f>
        <v>OpenSymbolLookupUnallocateGroup</v>
      </c>
      <c r="BC4" s="17" t="str">
        <f>IFERROR(__xludf.DUMMYFUNCTION("""COMPUTED_VALUE"""),"OpenSymbolLookupAllocatedGroup")</f>
        <v>OpenSymbolLookupAllocatedGroup</v>
      </c>
      <c r="BD4" s="17" t="str">
        <f>IFERROR(__xludf.DUMMYFUNCTION("""COMPUTED_VALUE"""),"DeleteFixedPreference")</f>
        <v>DeleteFixedPreference</v>
      </c>
      <c r="BE4" s="17" t="str">
        <f>IFERROR(__xludf.DUMMYFUNCTION("""COMPUTED_VALUE"""),"EditAllocatedGroupSidePanel")</f>
        <v>EditAllocatedGroupSidePanel</v>
      </c>
      <c r="BF4" s="17" t="str">
        <f>IFERROR(__xludf.DUMMYFUNCTION("""COMPUTED_VALUE"""),"CheckUnallocatedGroups")</f>
        <v>CheckUnallocatedGroups</v>
      </c>
      <c r="BG4" s="17" t="str">
        <f>IFERROR(__xludf.DUMMYFUNCTION("""COMPUTED_VALUE"""),"SetGeneralPreferences")</f>
        <v>SetGeneralPreferences</v>
      </c>
      <c r="BH4" s="17" t="str">
        <f>IFERROR(__xludf.DUMMYFUNCTION("""COMPUTED_VALUE"""),"GroupTrades")</f>
        <v>GroupTrades</v>
      </c>
      <c r="BI4" s="17" t="str">
        <f>IFERROR(__xludf.DUMMYFUNCTION("""COMPUTED_VALUE"""),"UngroupTrades")</f>
        <v>UngroupTrades</v>
      </c>
      <c r="BJ4" s="17" t="str">
        <f>IFERROR(__xludf.DUMMYFUNCTION("""COMPUTED_VALUE"""),"DeleteGroup")</f>
        <v>DeleteGroup</v>
      </c>
      <c r="BK4" s="17" t="str">
        <f>IFERROR(__xludf.DUMMYFUNCTION("""COMPUTED_VALUE"""),"CloseOrder")</f>
        <v>CloseOrder</v>
      </c>
      <c r="BL4" s="17" t="str">
        <f>IFERROR(__xludf.DUMMYFUNCTION("""COMPUTED_VALUE"""),"Unallocate")</f>
        <v>Unallocate</v>
      </c>
      <c r="BM4" s="17" t="str">
        <f>IFERROR(__xludf.DUMMYFUNCTION("""COMPUTED_VALUE"""),"CloseAllocation")</f>
        <v>CloseAllocation</v>
      </c>
      <c r="BN4" s="17" t="str">
        <f>IFERROR(__xludf.DUMMYFUNCTION("""COMPUTED_VALUE"""),"UpdateGRAccountValue")</f>
        <v>UpdateGRAccountValue</v>
      </c>
      <c r="BO4" s="17" t="str">
        <f>IFERROR(__xludf.DUMMYFUNCTION("""COMPUTED_VALUE"""),"UpdateGRStrategyValue")</f>
        <v>UpdateGRStrategyValue</v>
      </c>
      <c r="BP4" s="17" t="str">
        <f>IFERROR(__xludf.DUMMYFUNCTION("""COMPUTED_VALUE"""),"UpdateGRDefaultRule")</f>
        <v>UpdateGRDefaultRule</v>
      </c>
      <c r="BQ4" s="17" t="str">
        <f>IFERROR(__xludf.DUMMYFUNCTION("""COMPUTED_VALUE"""),"UpdateGeneralRulePref")</f>
        <v>UpdateGeneralRulePref</v>
      </c>
      <c r="BR4" s="17" t="str">
        <f>IFERROR(__xludf.DUMMYFUNCTION("""COMPUTED_VALUE"""),"ModifyGRPreferenceValues")</f>
        <v>ModifyGRPreferenceValues</v>
      </c>
      <c r="BS4" s="17" t="str">
        <f>IFERROR(__xludf.DUMMYFUNCTION("""COMPUTED_VALUE"""),"AddMFPreferences")</f>
        <v>AddMFPreferences</v>
      </c>
      <c r="BT4" s="17" t="str">
        <f>IFERROR(__xludf.DUMMYFUNCTION("""COMPUTED_VALUE"""),"AddMFPreferenceToolbar")</f>
        <v>AddMFPreferenceToolbar</v>
      </c>
      <c r="BU4" s="17" t="str">
        <f>IFERROR(__xludf.DUMMYFUNCTION("""COMPUTED_VALUE"""),"DeleteMFPreferences")</f>
        <v>DeleteMFPreferences</v>
      </c>
      <c r="BV4" s="17" t="str">
        <f>IFERROR(__xludf.DUMMYFUNCTION("""COMPUTED_VALUE"""),"DeleteMFPreferenceToolbar")</f>
        <v>DeleteMFPreferenceToolbar</v>
      </c>
      <c r="BW4" s="17" t="str">
        <f>IFERROR(__xludf.DUMMYFUNCTION("""COMPUTED_VALUE"""),"RenameMFPreferences")</f>
        <v>RenameMFPreferences</v>
      </c>
      <c r="BX4" s="17" t="str">
        <f>IFERROR(__xludf.DUMMYFUNCTION("""COMPUTED_VALUE"""),"SaveCloseMFPreference")</f>
        <v>SaveCloseMFPreference</v>
      </c>
      <c r="BY4" s="17" t="str">
        <f>IFERROR(__xludf.DUMMYFUNCTION("""COMPUTED_VALUE"""),"SetMFPrefAccountValues")</f>
        <v>SetMFPrefAccountValues</v>
      </c>
      <c r="BZ4" s="17" t="str">
        <f>IFERROR(__xludf.DUMMYFUNCTION("""COMPUTED_VALUE"""),"ModifyMFPrefGeneralRuleValues")</f>
        <v>ModifyMFPrefGeneralRuleValues</v>
      </c>
      <c r="CA4" s="17" t="str">
        <f>IFERROR(__xludf.DUMMYFUNCTION("""COMPUTED_VALUE"""),"SetMFPrefStrategyValues")</f>
        <v>SetMFPrefStrategyValues</v>
      </c>
      <c r="CB4" s="17" t="str">
        <f>IFERROR(__xludf.DUMMYFUNCTION("""COMPUTED_VALUE"""),"SetMFPrefGeneralRule")</f>
        <v>SetMFPrefGeneralRule</v>
      </c>
      <c r="CC4" s="17" t="str">
        <f>IFERROR(__xludf.DUMMYFUNCTION("""COMPUTED_VALUE"""),"SetMFPrefFundDistribution")</f>
        <v>SetMFPrefFundDistribution</v>
      </c>
      <c r="CD4" s="17" t="str">
        <f>IFERROR(__xludf.DUMMYFUNCTION("""COMPUTED_VALUE"""),"SetMFPreferencesDefaultRule")</f>
        <v>SetMFPreferencesDefaultRule</v>
      </c>
      <c r="CE4" s="17" t="str">
        <f>IFERROR(__xludf.DUMMYFUNCTION("""COMPUTED_VALUE"""),"SetMFPrefFundDefaultRule")</f>
        <v>SetMFPrefFundDefaultRule</v>
      </c>
      <c r="CF4" s="17" t="str">
        <f>IFERROR(__xludf.DUMMYFUNCTION("""COMPUTED_VALUE"""),"ClearPrefetchFilters")</f>
        <v>ClearPrefetchFilters</v>
      </c>
      <c r="CG4" s="17" t="str">
        <f>IFERROR(__xludf.DUMMYFUNCTION("""COMPUTED_VALUE"""),"ExpandCollapseAllUnallocated")</f>
        <v>ExpandCollapseAllUnallocated</v>
      </c>
      <c r="CH4" s="17" t="str">
        <f>IFERROR(__xludf.DUMMYFUNCTION("""COMPUTED_VALUE"""),"ExpandCollapseAllAllocated")</f>
        <v>ExpandCollapseAllAllocated</v>
      </c>
      <c r="CI4" s="17" t="str">
        <f>IFERROR(__xludf.DUMMYFUNCTION("""COMPUTED_VALUE"""),"GenerateCashTransaction")</f>
        <v>GenerateCashTransaction</v>
      </c>
      <c r="CJ4" s="17" t="str">
        <f>IFERROR(__xludf.DUMMYFUNCTION("""COMPUTED_VALUE"""),"SaveAllocation")</f>
        <v>SaveAllocation</v>
      </c>
      <c r="CK4" s="17" t="str">
        <f>IFERROR(__xludf.DUMMYFUNCTION("""COMPUTED_VALUE"""),"UnallocateWithOutSave")</f>
        <v>UnallocateWithOutSave</v>
      </c>
      <c r="CL4" s="17" t="str">
        <f>IFERROR(__xludf.DUMMYFUNCTION("""COMPUTED_VALUE"""),"EditUnallocatedGrid")</f>
        <v>EditUnallocatedGrid</v>
      </c>
      <c r="CM4" s="17" t="str">
        <f>IFERROR(__xludf.DUMMYFUNCTION("""COMPUTED_VALUE"""),"EditAllocatedGrid")</f>
        <v>EditAllocatedGrid</v>
      </c>
      <c r="CN4" s="17" t="str">
        <f>IFERROR(__xludf.DUMMYFUNCTION("""COMPUTED_VALUE"""),"SaveLayoutAllocatedGrid")</f>
        <v>SaveLayoutAllocatedGrid</v>
      </c>
      <c r="CO4" s="17" t="str">
        <f>IFERROR(__xludf.DUMMYFUNCTION("""COMPUTED_VALUE"""),"SaveLayoutUnallocatedGrid")</f>
        <v>SaveLayoutUnallocatedGrid</v>
      </c>
      <c r="CP4" s="17" t="str">
        <f>IFERROR(__xludf.DUMMYFUNCTION("""COMPUTED_VALUE"""),"SaveLayoutAllocationUI")</f>
        <v>SaveLayoutAllocationUI</v>
      </c>
      <c r="CQ4" s="17" t="str">
        <f>IFERROR(__xludf.DUMMYFUNCTION("""COMPUTED_VALUE"""),"ClearFiltersAllocatedGrid")</f>
        <v>ClearFiltersAllocatedGrid</v>
      </c>
      <c r="CR4" s="17" t="str">
        <f>IFERROR(__xludf.DUMMYFUNCTION("""COMPUTED_VALUE"""),"ClearFiltersUnallocatedGrid")</f>
        <v>ClearFiltersUnallocatedGrid</v>
      </c>
      <c r="CS4" s="17" t="str">
        <f>IFERROR(__xludf.DUMMYFUNCTION("""COMPUTED_VALUE"""),"VerifyLayoutAllocatedGrid")</f>
        <v>VerifyLayoutAllocatedGrid</v>
      </c>
      <c r="CT4" s="17" t="str">
        <f>IFERROR(__xludf.DUMMYFUNCTION("""COMPUTED_VALUE"""),"VerifyLayoutUnallocatedGrid")</f>
        <v>VerifyLayoutUnallocatedGrid</v>
      </c>
      <c r="CU4" s="17" t="str">
        <f>IFERROR(__xludf.DUMMYFUNCTION("""COMPUTED_VALUE"""),"CleanUp")</f>
        <v>CleanUp</v>
      </c>
      <c r="CV4" s="17" t="str">
        <f>IFERROR(__xludf.DUMMYFUNCTION("""COMPUTED_VALUE"""),"CheckAllocatedTaxlots")</f>
        <v>CheckAllocatedTaxlots</v>
      </c>
      <c r="CW4" s="17" t="str">
        <f>IFERROR(__xludf.DUMMYFUNCTION("""COMPUTED_VALUE"""),"DisableChecksideForAsset")</f>
        <v>DisableChecksideForAsset</v>
      </c>
      <c r="CX4" s="17" t="str">
        <f>IFERROR(__xludf.DUMMYFUNCTION("""COMPUTED_VALUE"""),"DisableChecksideForAccount")</f>
        <v>DisableChecksideForAccount</v>
      </c>
      <c r="CY4" s="17" t="str">
        <f>IFERROR(__xludf.DUMMYFUNCTION("""COMPUTED_VALUE"""),"DisableChecksideForCounterParty")</f>
        <v>DisableChecksideForCounterParty</v>
      </c>
      <c r="CZ4" s="17" t="str">
        <f>IFERROR(__xludf.DUMMYFUNCTION("""COMPUTED_VALUE"""),"DisableCheckside")</f>
        <v>DisableCheckside</v>
      </c>
      <c r="DA4" s="17" t="str">
        <f>IFERROR(__xludf.DUMMYFUNCTION("""COMPUTED_VALUE"""),"ApplyMasterFundFilter")</f>
        <v>ApplyMasterFundFilter</v>
      </c>
      <c r="DB4" s="17" t="str">
        <f>IFERROR(__xludf.DUMMYFUNCTION("""COMPUTED_VALUE"""),"ShowMasterFundOnTT")</f>
        <v>ShowMasterFundOnTT</v>
      </c>
      <c r="DC4" s="17" t="str">
        <f>IFERROR(__xludf.DUMMYFUNCTION("""COMPUTED_VALUE"""),"ShowMasterFundAsClient")</f>
        <v>ShowMasterFundAsClient</v>
      </c>
      <c r="DD4" s="17" t="str">
        <f>IFERROR(__xludf.DUMMYFUNCTION("""COMPUTED_VALUE"""),"SetBrokerAccountMapping")</f>
        <v>SetBrokerAccountMapping</v>
      </c>
      <c r="DE4" s="17" t="str">
        <f>IFERROR(__xludf.DUMMYFUNCTION("""COMPUTED_VALUE"""),"EditUnallocatedGridWPF")</f>
        <v>EditUnallocatedGridWPF</v>
      </c>
      <c r="DF4" s="17" t="str">
        <f>IFERROR(__xludf.DUMMYFUNCTION("""COMPUTED_VALUE"""),"EditAllocatedGridWPF")</f>
        <v>EditAllocatedGridWPF</v>
      </c>
      <c r="DG4" s="17" t="str">
        <f>IFERROR(__xludf.DUMMYFUNCTION("""COMPUTED_VALUE"""),"EditAllocatedGridTaxlot")</f>
        <v>EditAllocatedGridTaxlot</v>
      </c>
      <c r="DH4" s="17" t="str">
        <f>IFERROR(__xludf.DUMMYFUNCTION("""COMPUTED_VALUE"""),"ExpandCollapseAllocatedGrid")</f>
        <v>ExpandCollapseAllocatedGrid</v>
      </c>
      <c r="DI4" s="17" t="str">
        <f>IFERROR(__xludf.DUMMYFUNCTION("""COMPUTED_VALUE"""),"ExpandCollapseUnallocatedGrid")</f>
        <v>ExpandCollapseUnallocatedGrid</v>
      </c>
      <c r="DJ4" s="17" t="str">
        <f>IFERROR(__xludf.DUMMYFUNCTION("""COMPUTED_VALUE"""),"SetTradeAttributePreferences")</f>
        <v>SetTradeAttributePreferences</v>
      </c>
      <c r="DK4" s="17" t="str">
        <f>IFERROR(__xludf.DUMMYFUNCTION("""COMPUTED_VALUE"""),"EnterCustomAllocatePreference")</f>
        <v>EnterCustomAllocatePreference</v>
      </c>
      <c r="DL4" s="17" t="str">
        <f>IFERROR(__xludf.DUMMYFUNCTION("""COMPUTED_VALUE"""),"SetAutoGroupingPreferences")</f>
        <v>SetAutoGroupingPreferences</v>
      </c>
      <c r="DM4" s="17" t="str">
        <f>IFERROR(__xludf.DUMMYFUNCTION("""COMPUTED_VALUE"""),"SetAutoGroupingAccount")</f>
        <v>SetAutoGroupingAccount</v>
      </c>
      <c r="DN4" s="17" t="str">
        <f>IFERROR(__xludf.DUMMYFUNCTION("""COMPUTED_VALUE"""),"SetAvgPriceRounding")</f>
        <v>SetAvgPriceRounding</v>
      </c>
      <c r="DO4" s="17" t="str">
        <f>IFERROR(__xludf.DUMMYFUNCTION("""COMPUTED_VALUE"""),"IsAllocationOpen")</f>
        <v>IsAllocationOpen</v>
      </c>
      <c r="DP4" s="17" t="str">
        <f>IFERROR(__xludf.DUMMYFUNCTION("""COMPUTED_VALUE"""),"AllocationAuditTrail")</f>
        <v>AllocationAuditTrail</v>
      </c>
      <c r="DQ4" s="17" t="str">
        <f>IFERROR(__xludf.DUMMYFUNCTION("""COMPUTED_VALUE"""),"GetAuditTrailData")</f>
        <v>GetAuditTrailData</v>
      </c>
      <c r="DR4" s="17" t="str">
        <f>IFERROR(__xludf.DUMMYFUNCTION("""COMPUTED_VALUE"""),"CheckAuditTrailData")</f>
        <v>CheckAuditTrailData</v>
      </c>
      <c r="DS4" s="17" t="str">
        <f>IFERROR(__xludf.DUMMYFUNCTION("""COMPUTED_VALUE"""),"DeleteGroupWithOutSave")</f>
        <v>DeleteGroupWithOutSave</v>
      </c>
      <c r="DT4" s="17" t="str">
        <f>IFERROR(__xludf.DUMMYFUNCTION("""COMPUTED_VALUE"""),"CheckPreferences")</f>
        <v>CheckPreferences</v>
      </c>
      <c r="DU4" s="17" t="str">
        <f>IFERROR(__xludf.DUMMYFUNCTION("""COMPUTED_VALUE"""),"AllocateWithPopUp")</f>
        <v>AllocateWithPopUp</v>
      </c>
      <c r="DV4" s="17" t="str">
        <f>IFERROR(__xludf.DUMMYFUNCTION("""COMPUTED_VALUE"""),"SelectAllRowsAllocated")</f>
        <v>SelectAllRowsAllocated</v>
      </c>
      <c r="DW4" s="17" t="str">
        <f>IFERROR(__xludf.DUMMYFUNCTION("""COMPUTED_VALUE"""),"ModifyGRPreferenceValues")</f>
        <v>ModifyGRPreferenceValues</v>
      </c>
      <c r="DX4" s="17" t="str">
        <f>IFERROR(__xludf.DUMMYFUNCTION("""COMPUTED_VALUE"""),"VerifyAllocationNavLockPopup")</f>
        <v>VerifyAllocationNavLockPopup</v>
      </c>
      <c r="DY4" s="17" t="str">
        <f>IFERROR(__xludf.DUMMYFUNCTION("""COMPUTED_VALUE"""),"ReviewExistingPositions")</f>
        <v>ReviewExistingPositions</v>
      </c>
      <c r="DZ4" s="17" t="str">
        <f>IFERROR(__xludf.DUMMYFUNCTION("""COMPUTED_VALUE"""),"OperationsonAllocation")</f>
        <v>OperationsonAllocation</v>
      </c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IFERROR(__xludf.DUMMYFUNCTION("""COMPUTED_VALUE"""),"RangeType")</f>
        <v>RangeType</v>
      </c>
      <c r="C5" s="18" t="str">
        <f>IFERROR(__xludf.DUMMYFUNCTION("""COMPUTED_VALUE"""),"From")</f>
        <v>From</v>
      </c>
      <c r="D5" s="18" t="str">
        <f>IFERROR(__xludf.DUMMYFUNCTION("""COMPUTED_VALUE"""),"To")</f>
        <v>To</v>
      </c>
      <c r="E5" s="18" t="str">
        <f>IFERROR(__xludf.DUMMYFUNCTION("""COMPUTED_VALUE"""),"FilterTabName")</f>
        <v>FilterTabName</v>
      </c>
      <c r="F5" s="18" t="str">
        <f>IFERROR(__xludf.DUMMYFUNCTION("""COMPUTED_VALUE"""),"Symbol")</f>
        <v>Symbol</v>
      </c>
      <c r="G5" s="18" t="str">
        <f>IFERROR(__xludf.DUMMYFUNCTION("""COMPUTED_VALUE"""),"Asset")</f>
        <v>Asset</v>
      </c>
      <c r="H5" s="18" t="str">
        <f>IFERROR(__xludf.DUMMYFUNCTION("""COMPUTED_VALUE"""),"Side")</f>
        <v>Side</v>
      </c>
      <c r="I5" s="18" t="str">
        <f>IFERROR(__xludf.DUMMYFUNCTION("""COMPUTED_VALUE"""),"Account")</f>
        <v>Account</v>
      </c>
      <c r="J5" s="18" t="str">
        <f>IFERROR(__xludf.DUMMYFUNCTION("""COMPUTED_VALUE"""),"Broker")</f>
        <v>Broker</v>
      </c>
      <c r="K5" s="18" t="str">
        <f>IFERROR(__xludf.DUMMYFUNCTION("""COMPUTED_VALUE"""),"Currency")</f>
        <v>Currency</v>
      </c>
      <c r="L5" s="18" t="str">
        <f>IFERROR(__xludf.DUMMYFUNCTION("""COMPUTED_VALUE"""),"Exchange")</f>
        <v>Exchange</v>
      </c>
      <c r="M5" s="18" t="str">
        <f>IFERROR(__xludf.DUMMYFUNCTION("""COMPUTED_VALUE"""),"StrategyName")</f>
        <v>StrategyName</v>
      </c>
      <c r="N5" s="18" t="str">
        <f>IFERROR(__xludf.DUMMYFUNCTION("""COMPUTED_VALUE"""),"Underlying")</f>
        <v>Underlying</v>
      </c>
      <c r="O5" s="18" t="str">
        <f>IFERROR(__xludf.DUMMYFUNCTION("""COMPUTED_VALUE"""),"Venue")</f>
        <v>Venue</v>
      </c>
      <c r="P5" s="18" t="str">
        <f>IFERROR(__xludf.DUMMYFUNCTION("""COMPUTED_VALUE"""),"TradingAccount")</f>
        <v>TradingAccount</v>
      </c>
      <c r="Q5" s="18" t="str">
        <f>IFERROR(__xludf.DUMMYFUNCTION("""COMPUTED_VALUE"""),"PreAllocated")</f>
        <v>PreAllocated</v>
      </c>
      <c r="R5" s="18" t="str">
        <f>IFERROR(__xludf.DUMMYFUNCTION("""COMPUTED_VALUE"""),"ManualGroup")</f>
        <v>ManualGroup</v>
      </c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</row>
    <row r="6" ht="15.75" customHeight="1">
      <c r="A6" s="7"/>
      <c r="B6" s="7" t="s">
        <v>36</v>
      </c>
      <c r="C6" s="25">
        <f>TODAY()-10</f>
        <v>45809</v>
      </c>
      <c r="D6" s="25">
        <f>TODAY()+4</f>
        <v>45823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97" width="9.13"/>
  </cols>
  <sheetData>
    <row r="1" ht="12.75" customHeight="1"/>
    <row r="2" ht="12.75" customHeight="1"/>
    <row r="3" ht="12.75" customHeight="1"/>
    <row r="4" ht="12.75" customHeight="1"/>
    <row r="5" ht="12.75" customHeight="1">
      <c r="B5" s="26" t="s">
        <v>37</v>
      </c>
      <c r="C5" s="26" t="s">
        <v>38</v>
      </c>
      <c r="D5" s="26" t="s">
        <v>39</v>
      </c>
      <c r="E5" s="26" t="s">
        <v>40</v>
      </c>
      <c r="F5" s="26" t="s">
        <v>41</v>
      </c>
      <c r="G5" s="26" t="s">
        <v>42</v>
      </c>
      <c r="H5" s="26" t="s">
        <v>43</v>
      </c>
      <c r="I5" s="26" t="s">
        <v>44</v>
      </c>
      <c r="J5" s="26" t="s">
        <v>45</v>
      </c>
      <c r="K5" s="26" t="s">
        <v>46</v>
      </c>
      <c r="L5" s="26" t="s">
        <v>47</v>
      </c>
      <c r="M5" s="26" t="s">
        <v>48</v>
      </c>
      <c r="N5" s="26" t="s">
        <v>49</v>
      </c>
      <c r="O5" s="26" t="s">
        <v>50</v>
      </c>
      <c r="P5" s="26" t="s">
        <v>51</v>
      </c>
      <c r="Q5" s="26" t="s">
        <v>52</v>
      </c>
      <c r="R5" s="26" t="s">
        <v>53</v>
      </c>
      <c r="S5" s="26" t="s">
        <v>54</v>
      </c>
      <c r="T5" s="26" t="s">
        <v>55</v>
      </c>
      <c r="U5" s="26" t="s">
        <v>56</v>
      </c>
      <c r="V5" s="26" t="s">
        <v>57</v>
      </c>
      <c r="W5" s="26" t="s">
        <v>58</v>
      </c>
      <c r="X5" s="26" t="s">
        <v>59</v>
      </c>
      <c r="Y5" s="26" t="s">
        <v>60</v>
      </c>
      <c r="Z5" s="26" t="s">
        <v>61</v>
      </c>
      <c r="AA5" s="26" t="s">
        <v>62</v>
      </c>
      <c r="AB5" s="26" t="s">
        <v>63</v>
      </c>
      <c r="AC5" s="26" t="s">
        <v>64</v>
      </c>
      <c r="AD5" s="26" t="s">
        <v>65</v>
      </c>
      <c r="AE5" s="26" t="s">
        <v>66</v>
      </c>
      <c r="AF5" s="26" t="s">
        <v>67</v>
      </c>
      <c r="AG5" s="26" t="s">
        <v>68</v>
      </c>
      <c r="AH5" s="26" t="s">
        <v>69</v>
      </c>
      <c r="AI5" s="26" t="s">
        <v>70</v>
      </c>
      <c r="AJ5" s="26" t="s">
        <v>71</v>
      </c>
      <c r="AK5" s="26" t="s">
        <v>72</v>
      </c>
      <c r="AL5" s="26" t="s">
        <v>73</v>
      </c>
      <c r="AM5" s="26" t="s">
        <v>74</v>
      </c>
      <c r="AN5" s="26" t="s">
        <v>75</v>
      </c>
      <c r="AO5" s="26" t="s">
        <v>76</v>
      </c>
      <c r="AP5" s="26" t="s">
        <v>77</v>
      </c>
      <c r="AQ5" s="26" t="s">
        <v>78</v>
      </c>
      <c r="AR5" s="26" t="s">
        <v>79</v>
      </c>
      <c r="AS5" s="26" t="s">
        <v>80</v>
      </c>
      <c r="AT5" s="26" t="s">
        <v>81</v>
      </c>
      <c r="AU5" s="26" t="s">
        <v>82</v>
      </c>
      <c r="AV5" s="26" t="s">
        <v>83</v>
      </c>
      <c r="AW5" s="26" t="s">
        <v>84</v>
      </c>
      <c r="AX5" s="26" t="s">
        <v>85</v>
      </c>
      <c r="AY5" s="26" t="s">
        <v>86</v>
      </c>
      <c r="AZ5" s="26" t="s">
        <v>87</v>
      </c>
      <c r="BA5" s="26" t="s">
        <v>88</v>
      </c>
      <c r="BB5" s="26" t="s">
        <v>89</v>
      </c>
      <c r="BC5" s="26" t="s">
        <v>90</v>
      </c>
      <c r="BD5" s="26" t="s">
        <v>91</v>
      </c>
      <c r="BE5" s="26" t="s">
        <v>92</v>
      </c>
      <c r="BF5" s="26" t="s">
        <v>93</v>
      </c>
      <c r="BG5" s="26" t="s">
        <v>94</v>
      </c>
      <c r="BH5" s="26" t="s">
        <v>95</v>
      </c>
      <c r="BI5" s="26" t="s">
        <v>96</v>
      </c>
      <c r="BJ5" s="26" t="s">
        <v>97</v>
      </c>
      <c r="BK5" s="26" t="s">
        <v>98</v>
      </c>
      <c r="BL5" s="26" t="s">
        <v>99</v>
      </c>
      <c r="BM5" s="26" t="s">
        <v>100</v>
      </c>
      <c r="BN5" s="26" t="s">
        <v>101</v>
      </c>
      <c r="BO5" s="26" t="s">
        <v>102</v>
      </c>
      <c r="BP5" s="26" t="s">
        <v>103</v>
      </c>
      <c r="BQ5" s="26" t="s">
        <v>104</v>
      </c>
      <c r="BR5" s="26" t="s">
        <v>105</v>
      </c>
      <c r="BS5" s="26" t="s">
        <v>106</v>
      </c>
      <c r="BT5" s="26" t="s">
        <v>107</v>
      </c>
      <c r="BU5" s="26" t="s">
        <v>108</v>
      </c>
      <c r="BV5" s="26" t="s">
        <v>109</v>
      </c>
      <c r="BW5" s="26" t="s">
        <v>110</v>
      </c>
      <c r="BX5" s="26" t="s">
        <v>111</v>
      </c>
      <c r="BY5" s="26" t="s">
        <v>112</v>
      </c>
      <c r="BZ5" s="26" t="s">
        <v>113</v>
      </c>
      <c r="CA5" s="26" t="s">
        <v>114</v>
      </c>
      <c r="CB5" s="26" t="s">
        <v>115</v>
      </c>
      <c r="CC5" s="26" t="s">
        <v>116</v>
      </c>
      <c r="CD5" s="26" t="s">
        <v>117</v>
      </c>
      <c r="CE5" s="26" t="s">
        <v>118</v>
      </c>
      <c r="CF5" s="26" t="s">
        <v>119</v>
      </c>
      <c r="CG5" s="26" t="s">
        <v>120</v>
      </c>
      <c r="CH5" s="26" t="s">
        <v>121</v>
      </c>
      <c r="CI5" s="26" t="s">
        <v>122</v>
      </c>
      <c r="CJ5" s="26" t="s">
        <v>123</v>
      </c>
      <c r="CK5" s="26" t="s">
        <v>124</v>
      </c>
      <c r="CL5" s="26" t="s">
        <v>125</v>
      </c>
      <c r="CM5" s="26" t="s">
        <v>126</v>
      </c>
      <c r="CN5" s="26" t="s">
        <v>127</v>
      </c>
      <c r="CO5" s="26" t="s">
        <v>128</v>
      </c>
      <c r="CP5" s="26" t="s">
        <v>129</v>
      </c>
      <c r="CQ5" s="26" t="s">
        <v>130</v>
      </c>
      <c r="CR5" s="26" t="s">
        <v>131</v>
      </c>
      <c r="CS5" s="26" t="s">
        <v>132</v>
      </c>
    </row>
    <row r="6" ht="12.75" customHeight="1">
      <c r="B6" s="26" t="s">
        <v>19</v>
      </c>
      <c r="AQ6" s="26">
        <v>2500.0</v>
      </c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9.13"/>
  </cols>
  <sheetData>
    <row r="1" ht="12.75" customHeight="1"/>
    <row r="2" ht="12.75" customHeight="1"/>
    <row r="3" ht="12.75" customHeight="1"/>
    <row r="4" ht="12.75" customHeight="1"/>
    <row r="5" ht="12.75" customHeight="1">
      <c r="B5" s="26" t="s">
        <v>40</v>
      </c>
      <c r="C5" s="26" t="s">
        <v>133</v>
      </c>
      <c r="D5" s="26" t="s">
        <v>134</v>
      </c>
    </row>
    <row r="6" ht="12.75" customHeight="1">
      <c r="B6" s="26" t="s">
        <v>135</v>
      </c>
      <c r="C6" s="26">
        <v>50.0</v>
      </c>
    </row>
    <row r="7" ht="12.75" customHeight="1">
      <c r="B7" s="26" t="s">
        <v>136</v>
      </c>
      <c r="C7" s="26">
        <v>50.0</v>
      </c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6" width="12.63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34</v>
      </c>
      <c r="D3" s="5" t="s">
        <v>9</v>
      </c>
      <c r="E3" s="9" t="s">
        <v>137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  <c r="GG3" s="15"/>
      <c r="GH3" s="15"/>
      <c r="GI3" s="15"/>
      <c r="GJ3" s="15"/>
      <c r="GK3" s="15"/>
    </row>
    <row r="4" ht="15.75" customHeight="1">
      <c r="A4" s="16"/>
      <c r="B4" s="16" t="str">
        <f>IFERROR(__xludf.DUMMYFUNCTION("IF(C3="""","""",Transpose(IMPORTRANGE('_Settings'!$B$3,C3&amp;""!A4:A1000"")))"),"Allocate")</f>
        <v>Allocate</v>
      </c>
      <c r="C4" s="16" t="str">
        <f>IFERROR(__xludf.DUMMYFUNCTION("""COMPUTED_VALUE"""),"CheckAllocatedGroups")</f>
        <v>CheckAllocatedGroups</v>
      </c>
      <c r="D4" s="16" t="str">
        <f>IFERROR(__xludf.DUMMYFUNCTION("""COMPUTED_VALUE"""),"GetDataAllocation")</f>
        <v>GetDataAllocation</v>
      </c>
      <c r="E4" s="16" t="str">
        <f>IFERROR(__xludf.DUMMYFUNCTION("""COMPUTED_VALUE"""),"SelectAllocatedGroup")</f>
        <v>SelectAllocatedGroup</v>
      </c>
      <c r="F4" s="16" t="str">
        <f>IFERROR(__xludf.DUMMYFUNCTION("""COMPUTED_VALUE"""),"EditTradesAllocated")</f>
        <v>EditTradesAllocated</v>
      </c>
      <c r="G4" s="16" t="str">
        <f>IFERROR(__xludf.DUMMYFUNCTION("""COMPUTED_VALUE"""),"EditTradesUnallocated")</f>
        <v>EditTradesUnallocated</v>
      </c>
      <c r="H4" s="16" t="str">
        <f>IFERROR(__xludf.DUMMYFUNCTION("""COMPUTED_VALUE"""),"EditTradesAllocated")</f>
        <v>EditTradesAllocated</v>
      </c>
      <c r="I4" s="16" t="str">
        <f>IFERROR(__xludf.DUMMYFUNCTION("""COMPUTED_VALUE"""),"Reallocate")</f>
        <v>Reallocate</v>
      </c>
      <c r="J4" s="16" t="str">
        <f>IFERROR(__xludf.DUMMYFUNCTION("""COMPUTED_VALUE"""),"EditUnallocatedGroupSidePanel")</f>
        <v>EditUnallocatedGroupSidePanel</v>
      </c>
      <c r="K4" s="16" t="str">
        <f>IFERROR(__xludf.DUMMYFUNCTION("""COMPUTED_VALUE"""),"TradeAttributeBulkChange")</f>
        <v>TradeAttributeBulkChange</v>
      </c>
      <c r="L4" s="16" t="str">
        <f>IFERROR(__xludf.DUMMYFUNCTION("""COMPUTED_VALUE"""),"ApplyBulkUpdateOnGroups")</f>
        <v>ApplyBulkUpdateOnGroups</v>
      </c>
      <c r="M4" s="16" t="str">
        <f>IFERROR(__xludf.DUMMYFUNCTION("""COMPUTED_VALUE"""),"ApplyPrefetchFilters")</f>
        <v>ApplyPrefetchFilters</v>
      </c>
      <c r="N4" s="16" t="str">
        <f>IFERROR(__xludf.DUMMYFUNCTION("""COMPUTED_VALUE"""),"GeneralPreferencesDefaultRule")</f>
        <v>GeneralPreferencesDefaultRule</v>
      </c>
      <c r="O4" s="16" t="str">
        <f>IFERROR(__xludf.DUMMYFUNCTION("""COMPUTED_VALUE"""),"GeneralPrefCompanyUserWise")</f>
        <v>GeneralPrefCompanyUserWise</v>
      </c>
      <c r="P4" s="17" t="str">
        <f>IFERROR(__xludf.DUMMYFUNCTION("""COMPUTED_VALUE"""),"RenameTradeAttributes")</f>
        <v>RenameTradeAttributes</v>
      </c>
      <c r="Q4" s="17" t="str">
        <f>IFERROR(__xludf.DUMMYFUNCTION("""COMPUTED_VALUE"""),"SetGroupingRules")</f>
        <v>SetGroupingRules</v>
      </c>
      <c r="R4" s="17" t="str">
        <f>IFERROR(__xludf.DUMMYFUNCTION("""COMPUTED_VALUE"""),"SetMasterFundRatio")</f>
        <v>SetMasterFundRatio</v>
      </c>
      <c r="S4" s="17" t="str">
        <f>IFERROR(__xludf.DUMMYFUNCTION("""COMPUTED_VALUE"""),"CheckFixedPreference")</f>
        <v>CheckFixedPreference</v>
      </c>
      <c r="T4" s="17" t="str">
        <f>IFERROR(__xludf.DUMMYFUNCTION("""COMPUTED_VALUE"""),"GetFixedPreference")</f>
        <v>GetFixedPreference</v>
      </c>
      <c r="U4" s="17" t="str">
        <f>IFERROR(__xludf.DUMMYFUNCTION("""COMPUTED_VALUE"""),"AddCalculatedPreferences")</f>
        <v>AddCalculatedPreferences</v>
      </c>
      <c r="V4" s="17" t="str">
        <f>IFERROR(__xludf.DUMMYFUNCTION("""COMPUTED_VALUE"""),"BulkChangeCalculatedPreferences")</f>
        <v>BulkChangeCalculatedPreferences</v>
      </c>
      <c r="W4" s="17" t="str">
        <f>IFERROR(__xludf.DUMMYFUNCTION("""COMPUTED_VALUE"""),"DeleteCalculatedPreferences")</f>
        <v>DeleteCalculatedPreferences</v>
      </c>
      <c r="X4" s="17" t="str">
        <f>IFERROR(__xludf.DUMMYFUNCTION("""COMPUTED_VALUE"""),"RenameCalculatedPreferences")</f>
        <v>RenameCalculatedPreferences</v>
      </c>
      <c r="Y4" s="17" t="str">
        <f>IFERROR(__xludf.DUMMYFUNCTION("""COMPUTED_VALUE"""),"CopyCalculatedPreferences")</f>
        <v>CopyCalculatedPreferences</v>
      </c>
      <c r="Z4" s="17" t="str">
        <f>IFERROR(__xludf.DUMMYFUNCTION("""COMPUTED_VALUE"""),"RunAutoGroup")</f>
        <v>RunAutoGroup</v>
      </c>
      <c r="AA4" s="17" t="str">
        <f>IFERROR(__xludf.DUMMYFUNCTION("""COMPUTED_VALUE"""),"BookOrUpdateSwap")</f>
        <v>BookOrUpdateSwap</v>
      </c>
      <c r="AB4" s="17" t="str">
        <f>IFERROR(__xludf.DUMMYFUNCTION("""COMPUTED_VALUE"""),"RunProrata")</f>
        <v>RunProrata</v>
      </c>
      <c r="AC4" s="17" t="str">
        <f>IFERROR(__xludf.DUMMYFUNCTION("""COMPUTED_VALUE"""),"SetDefaultRuleCalculatedPref")</f>
        <v>SetDefaultRuleCalculatedPref</v>
      </c>
      <c r="AD4" s="17" t="str">
        <f>IFERROR(__xludf.DUMMYFUNCTION("""COMPUTED_VALUE"""),"SetAccountValueCalculatedPref")</f>
        <v>SetAccountValueCalculatedPref</v>
      </c>
      <c r="AE4" s="17" t="str">
        <f>IFERROR(__xludf.DUMMYFUNCTION("""COMPUTED_VALUE"""),"TradeAttributeBulkChangeGroups")</f>
        <v>TradeAttributeBulkChangeGroups</v>
      </c>
      <c r="AF4" s="17" t="str">
        <f>IFERROR(__xludf.DUMMYFUNCTION("""COMPUTED_VALUE"""),"TradeAttributeBulkChangeTaxlots")</f>
        <v>TradeAttributeBulkChangeTaxlots</v>
      </c>
      <c r="AG4" s="17" t="str">
        <f>IFERROR(__xludf.DUMMYFUNCTION("""COMPUTED_VALUE"""),"AddCalculatedPreferenceToolbar")</f>
        <v>AddCalculatedPreferenceToolbar</v>
      </c>
      <c r="AH4" s="17" t="str">
        <f>IFERROR(__xludf.DUMMYFUNCTION("""COMPUTED_VALUE"""),"SetStrategyValueCalculatedPref")</f>
        <v>SetStrategyValueCalculatedPref</v>
      </c>
      <c r="AI4" s="17" t="str">
        <f>IFERROR(__xludf.DUMMYFUNCTION("""COMPUTED_VALUE"""),"ApplyBulkUpdateOnTaxlots")</f>
        <v>ApplyBulkUpdateOnTaxlots</v>
      </c>
      <c r="AJ4" s="17" t="str">
        <f>IFERROR(__xludf.DUMMYFUNCTION("""COMPUTED_VALUE"""),"CommissionBulkChangeOnGroups")</f>
        <v>CommissionBulkChangeOnGroups</v>
      </c>
      <c r="AK4" s="17" t="str">
        <f>IFERROR(__xludf.DUMMYFUNCTION("""COMPUTED_VALUE"""),"CommissionBulkChangeOnTaxlots")</f>
        <v>CommissionBulkChangeOnTaxlots</v>
      </c>
      <c r="AL4" s="17" t="str">
        <f>IFERROR(__xludf.DUMMYFUNCTION("""COMPUTED_VALUE"""),"SelectUnallocatedGroup")</f>
        <v>SelectUnallocatedGroup</v>
      </c>
      <c r="AM4" s="17" t="str">
        <f>IFERROR(__xludf.DUMMYFUNCTION("""COMPUTED_VALUE"""),"EnterAccountValuesToAllocate")</f>
        <v>EnterAccountValuesToAllocate</v>
      </c>
      <c r="AN4" s="17" t="str">
        <f>IFERROR(__xludf.DUMMYFUNCTION("""COMPUTED_VALUE"""),"EnterAllocatePreference")</f>
        <v>EnterAllocatePreference</v>
      </c>
      <c r="AO4" s="17" t="str">
        <f>IFERROR(__xludf.DUMMYFUNCTION("""COMPUTED_VALUE"""),"EnterStrategyValuesToAllocate")</f>
        <v>EnterStrategyValuesToAllocate</v>
      </c>
      <c r="AP4" s="17" t="str">
        <f>IFERROR(__xludf.DUMMYFUNCTION("""COMPUTED_VALUE"""),"CopyCalculatedPreferenceToolbar")</f>
        <v>CopyCalculatedPreferenceToolbar</v>
      </c>
      <c r="AQ4" s="17" t="str">
        <f>IFERROR(__xludf.DUMMYFUNCTION("""COMPUTED_VALUE"""),"SetGeneralRuleCalculatedPref")</f>
        <v>SetGeneralRuleCalculatedPref</v>
      </c>
      <c r="AR4" s="17" t="str">
        <f>IFERROR(__xludf.DUMMYFUNCTION("""COMPUTED_VALUE"""),"ExportAllCalculatedPreferences")</f>
        <v>ExportAllCalculatedPreferences</v>
      </c>
      <c r="AS4" s="17" t="str">
        <f>IFERROR(__xludf.DUMMYFUNCTION("""COMPUTED_VALUE"""),"SaveCalculatedPreferences")</f>
        <v>SaveCalculatedPreferences</v>
      </c>
      <c r="AT4" s="17" t="str">
        <f>IFERROR(__xludf.DUMMYFUNCTION("""COMPUTED_VALUE"""),"CloseCalculatedPreferences")</f>
        <v>CloseCalculatedPreferences</v>
      </c>
      <c r="AU4" s="17" t="str">
        <f>IFERROR(__xludf.DUMMYFUNCTION("""COMPUTED_VALUE"""),"ExportCalculatedPreference")</f>
        <v>ExportCalculatedPreference</v>
      </c>
      <c r="AV4" s="17" t="str">
        <f>IFERROR(__xludf.DUMMYFUNCTION("""COMPUTED_VALUE"""),"ImportCalculatedPreferences")</f>
        <v>ImportCalculatedPreferences</v>
      </c>
      <c r="AW4" s="17" t="str">
        <f>IFERROR(__xludf.DUMMYFUNCTION("""COMPUTED_VALUE"""),"OpenAuditTrailUnallocatedGroup")</f>
        <v>OpenAuditTrailUnallocatedGroup</v>
      </c>
      <c r="AX4" s="17" t="str">
        <f>IFERROR(__xludf.DUMMYFUNCTION("""COMPUTED_VALUE"""),"DeleteCalculatedPreferencesTool")</f>
        <v>DeleteCalculatedPreferencesTool</v>
      </c>
      <c r="AY4" s="17" t="str">
        <f>IFERROR(__xludf.DUMMYFUNCTION("""COMPUTED_VALUE"""),"ImportCalculatedPreferencesTool")</f>
        <v>ImportCalculatedPreferencesTool</v>
      </c>
      <c r="AZ4" s="17" t="str">
        <f>IFERROR(__xludf.DUMMYFUNCTION("""COMPUTED_VALUE"""),"ExportAllCalculatedPreferTool")</f>
        <v>ExportAllCalculatedPreferTool</v>
      </c>
      <c r="BA4" s="17" t="str">
        <f>IFERROR(__xludf.DUMMYFUNCTION("""COMPUTED_VALUE"""),"OpenAuditTrailAllocatedGroup")</f>
        <v>OpenAuditTrailAllocatedGroup</v>
      </c>
      <c r="BB4" s="17" t="str">
        <f>IFERROR(__xludf.DUMMYFUNCTION("""COMPUTED_VALUE"""),"OpenSymbolLookupUnallocateGroup")</f>
        <v>OpenSymbolLookupUnallocateGroup</v>
      </c>
      <c r="BC4" s="17" t="str">
        <f>IFERROR(__xludf.DUMMYFUNCTION("""COMPUTED_VALUE"""),"OpenSymbolLookupAllocatedGroup")</f>
        <v>OpenSymbolLookupAllocatedGroup</v>
      </c>
      <c r="BD4" s="17" t="str">
        <f>IFERROR(__xludf.DUMMYFUNCTION("""COMPUTED_VALUE"""),"DeleteFixedPreference")</f>
        <v>DeleteFixedPreference</v>
      </c>
      <c r="BE4" s="17" t="str">
        <f>IFERROR(__xludf.DUMMYFUNCTION("""COMPUTED_VALUE"""),"EditAllocatedGroupSidePanel")</f>
        <v>EditAllocatedGroupSidePanel</v>
      </c>
      <c r="BF4" s="17" t="str">
        <f>IFERROR(__xludf.DUMMYFUNCTION("""COMPUTED_VALUE"""),"CheckUnallocatedGroups")</f>
        <v>CheckUnallocatedGroups</v>
      </c>
      <c r="BG4" s="17" t="str">
        <f>IFERROR(__xludf.DUMMYFUNCTION("""COMPUTED_VALUE"""),"SetGeneralPreferences")</f>
        <v>SetGeneralPreferences</v>
      </c>
      <c r="BH4" s="17" t="str">
        <f>IFERROR(__xludf.DUMMYFUNCTION("""COMPUTED_VALUE"""),"GroupTrades")</f>
        <v>GroupTrades</v>
      </c>
      <c r="BI4" s="17" t="str">
        <f>IFERROR(__xludf.DUMMYFUNCTION("""COMPUTED_VALUE"""),"UngroupTrades")</f>
        <v>UngroupTrades</v>
      </c>
      <c r="BJ4" s="17" t="str">
        <f>IFERROR(__xludf.DUMMYFUNCTION("""COMPUTED_VALUE"""),"DeleteGroup")</f>
        <v>DeleteGroup</v>
      </c>
      <c r="BK4" s="17" t="str">
        <f>IFERROR(__xludf.DUMMYFUNCTION("""COMPUTED_VALUE"""),"CloseOrder")</f>
        <v>CloseOrder</v>
      </c>
      <c r="BL4" s="17" t="str">
        <f>IFERROR(__xludf.DUMMYFUNCTION("""COMPUTED_VALUE"""),"Unallocate")</f>
        <v>Unallocate</v>
      </c>
      <c r="BM4" s="17" t="str">
        <f>IFERROR(__xludf.DUMMYFUNCTION("""COMPUTED_VALUE"""),"CloseAllocation")</f>
        <v>CloseAllocation</v>
      </c>
      <c r="BN4" s="17" t="str">
        <f>IFERROR(__xludf.DUMMYFUNCTION("""COMPUTED_VALUE"""),"UpdateGRAccountValue")</f>
        <v>UpdateGRAccountValue</v>
      </c>
      <c r="BO4" s="17" t="str">
        <f>IFERROR(__xludf.DUMMYFUNCTION("""COMPUTED_VALUE"""),"UpdateGRStrategyValue")</f>
        <v>UpdateGRStrategyValue</v>
      </c>
      <c r="BP4" s="17" t="str">
        <f>IFERROR(__xludf.DUMMYFUNCTION("""COMPUTED_VALUE"""),"UpdateGRDefaultRule")</f>
        <v>UpdateGRDefaultRule</v>
      </c>
      <c r="BQ4" s="17" t="str">
        <f>IFERROR(__xludf.DUMMYFUNCTION("""COMPUTED_VALUE"""),"UpdateGeneralRulePref")</f>
        <v>UpdateGeneralRulePref</v>
      </c>
      <c r="BR4" s="17" t="str">
        <f>IFERROR(__xludf.DUMMYFUNCTION("""COMPUTED_VALUE"""),"ModifyGRPreferenceValues")</f>
        <v>ModifyGRPreferenceValues</v>
      </c>
      <c r="BS4" s="17" t="str">
        <f>IFERROR(__xludf.DUMMYFUNCTION("""COMPUTED_VALUE"""),"AddMFPreferences")</f>
        <v>AddMFPreferences</v>
      </c>
      <c r="BT4" s="17" t="str">
        <f>IFERROR(__xludf.DUMMYFUNCTION("""COMPUTED_VALUE"""),"AddMFPreferenceToolbar")</f>
        <v>AddMFPreferenceToolbar</v>
      </c>
      <c r="BU4" s="17" t="str">
        <f>IFERROR(__xludf.DUMMYFUNCTION("""COMPUTED_VALUE"""),"DeleteMFPreferences")</f>
        <v>DeleteMFPreferences</v>
      </c>
      <c r="BV4" s="17" t="str">
        <f>IFERROR(__xludf.DUMMYFUNCTION("""COMPUTED_VALUE"""),"DeleteMFPreferenceToolbar")</f>
        <v>DeleteMFPreferenceToolbar</v>
      </c>
      <c r="BW4" s="17" t="str">
        <f>IFERROR(__xludf.DUMMYFUNCTION("""COMPUTED_VALUE"""),"RenameMFPreferences")</f>
        <v>RenameMFPreferences</v>
      </c>
      <c r="BX4" s="17" t="str">
        <f>IFERROR(__xludf.DUMMYFUNCTION("""COMPUTED_VALUE"""),"SaveCloseMFPreference")</f>
        <v>SaveCloseMFPreference</v>
      </c>
      <c r="BY4" s="17" t="str">
        <f>IFERROR(__xludf.DUMMYFUNCTION("""COMPUTED_VALUE"""),"SetMFPrefAccountValues")</f>
        <v>SetMFPrefAccountValues</v>
      </c>
      <c r="BZ4" s="17" t="str">
        <f>IFERROR(__xludf.DUMMYFUNCTION("""COMPUTED_VALUE"""),"ModifyMFPrefGeneralRuleValues")</f>
        <v>ModifyMFPrefGeneralRuleValues</v>
      </c>
      <c r="CA4" s="17" t="str">
        <f>IFERROR(__xludf.DUMMYFUNCTION("""COMPUTED_VALUE"""),"SetMFPrefStrategyValues")</f>
        <v>SetMFPrefStrategyValues</v>
      </c>
      <c r="CB4" s="17" t="str">
        <f>IFERROR(__xludf.DUMMYFUNCTION("""COMPUTED_VALUE"""),"SetMFPrefGeneralRule")</f>
        <v>SetMFPrefGeneralRule</v>
      </c>
      <c r="CC4" s="17" t="str">
        <f>IFERROR(__xludf.DUMMYFUNCTION("""COMPUTED_VALUE"""),"SetMFPrefFundDistribution")</f>
        <v>SetMFPrefFundDistribution</v>
      </c>
      <c r="CD4" s="17" t="str">
        <f>IFERROR(__xludf.DUMMYFUNCTION("""COMPUTED_VALUE"""),"SetMFPreferencesDefaultRule")</f>
        <v>SetMFPreferencesDefaultRule</v>
      </c>
      <c r="CE4" s="17" t="str">
        <f>IFERROR(__xludf.DUMMYFUNCTION("""COMPUTED_VALUE"""),"SetMFPrefFundDefaultRule")</f>
        <v>SetMFPrefFundDefaultRule</v>
      </c>
      <c r="CF4" s="17" t="str">
        <f>IFERROR(__xludf.DUMMYFUNCTION("""COMPUTED_VALUE"""),"ClearPrefetchFilters")</f>
        <v>ClearPrefetchFilters</v>
      </c>
      <c r="CG4" s="17" t="str">
        <f>IFERROR(__xludf.DUMMYFUNCTION("""COMPUTED_VALUE"""),"ExpandCollapseAllUnallocated")</f>
        <v>ExpandCollapseAllUnallocated</v>
      </c>
      <c r="CH4" s="17" t="str">
        <f>IFERROR(__xludf.DUMMYFUNCTION("""COMPUTED_VALUE"""),"ExpandCollapseAllAllocated")</f>
        <v>ExpandCollapseAllAllocated</v>
      </c>
      <c r="CI4" s="17" t="str">
        <f>IFERROR(__xludf.DUMMYFUNCTION("""COMPUTED_VALUE"""),"GenerateCashTransaction")</f>
        <v>GenerateCashTransaction</v>
      </c>
      <c r="CJ4" s="17" t="str">
        <f>IFERROR(__xludf.DUMMYFUNCTION("""COMPUTED_VALUE"""),"SaveAllocation")</f>
        <v>SaveAllocation</v>
      </c>
      <c r="CK4" s="17" t="str">
        <f>IFERROR(__xludf.DUMMYFUNCTION("""COMPUTED_VALUE"""),"UnallocateWithOutSave")</f>
        <v>UnallocateWithOutSave</v>
      </c>
      <c r="CL4" s="17" t="str">
        <f>IFERROR(__xludf.DUMMYFUNCTION("""COMPUTED_VALUE"""),"EditUnallocatedGrid")</f>
        <v>EditUnallocatedGrid</v>
      </c>
      <c r="CM4" s="17" t="str">
        <f>IFERROR(__xludf.DUMMYFUNCTION("""COMPUTED_VALUE"""),"EditAllocatedGrid")</f>
        <v>EditAllocatedGrid</v>
      </c>
      <c r="CN4" s="17" t="str">
        <f>IFERROR(__xludf.DUMMYFUNCTION("""COMPUTED_VALUE"""),"SaveLayoutAllocatedGrid")</f>
        <v>SaveLayoutAllocatedGrid</v>
      </c>
      <c r="CO4" s="17" t="str">
        <f>IFERROR(__xludf.DUMMYFUNCTION("""COMPUTED_VALUE"""),"SaveLayoutUnallocatedGrid")</f>
        <v>SaveLayoutUnallocatedGrid</v>
      </c>
      <c r="CP4" s="17" t="str">
        <f>IFERROR(__xludf.DUMMYFUNCTION("""COMPUTED_VALUE"""),"SaveLayoutAllocationUI")</f>
        <v>SaveLayoutAllocationUI</v>
      </c>
      <c r="CQ4" s="17" t="str">
        <f>IFERROR(__xludf.DUMMYFUNCTION("""COMPUTED_VALUE"""),"ClearFiltersAllocatedGrid")</f>
        <v>ClearFiltersAllocatedGrid</v>
      </c>
      <c r="CR4" s="17" t="str">
        <f>IFERROR(__xludf.DUMMYFUNCTION("""COMPUTED_VALUE"""),"ClearFiltersUnallocatedGrid")</f>
        <v>ClearFiltersUnallocatedGrid</v>
      </c>
      <c r="CS4" s="17" t="str">
        <f>IFERROR(__xludf.DUMMYFUNCTION("""COMPUTED_VALUE"""),"VerifyLayoutAllocatedGrid")</f>
        <v>VerifyLayoutAllocatedGrid</v>
      </c>
      <c r="CT4" s="17" t="str">
        <f>IFERROR(__xludf.DUMMYFUNCTION("""COMPUTED_VALUE"""),"VerifyLayoutUnallocatedGrid")</f>
        <v>VerifyLayoutUnallocatedGrid</v>
      </c>
      <c r="CU4" s="17" t="str">
        <f>IFERROR(__xludf.DUMMYFUNCTION("""COMPUTED_VALUE"""),"CleanUp")</f>
        <v>CleanUp</v>
      </c>
      <c r="CV4" s="17" t="str">
        <f>IFERROR(__xludf.DUMMYFUNCTION("""COMPUTED_VALUE"""),"CheckAllocatedTaxlots")</f>
        <v>CheckAllocatedTaxlots</v>
      </c>
      <c r="CW4" s="17" t="str">
        <f>IFERROR(__xludf.DUMMYFUNCTION("""COMPUTED_VALUE"""),"DisableChecksideForAsset")</f>
        <v>DisableChecksideForAsset</v>
      </c>
      <c r="CX4" s="17" t="str">
        <f>IFERROR(__xludf.DUMMYFUNCTION("""COMPUTED_VALUE"""),"DisableChecksideForAccount")</f>
        <v>DisableChecksideForAccount</v>
      </c>
      <c r="CY4" s="17" t="str">
        <f>IFERROR(__xludf.DUMMYFUNCTION("""COMPUTED_VALUE"""),"DisableChecksideForCounterParty")</f>
        <v>DisableChecksideForCounterParty</v>
      </c>
      <c r="CZ4" s="17" t="str">
        <f>IFERROR(__xludf.DUMMYFUNCTION("""COMPUTED_VALUE"""),"DisableCheckside")</f>
        <v>DisableCheckside</v>
      </c>
      <c r="DA4" s="17" t="str">
        <f>IFERROR(__xludf.DUMMYFUNCTION("""COMPUTED_VALUE"""),"ApplyMasterFundFilter")</f>
        <v>ApplyMasterFundFilter</v>
      </c>
      <c r="DB4" s="17" t="str">
        <f>IFERROR(__xludf.DUMMYFUNCTION("""COMPUTED_VALUE"""),"ShowMasterFundOnTT")</f>
        <v>ShowMasterFundOnTT</v>
      </c>
      <c r="DC4" s="17" t="str">
        <f>IFERROR(__xludf.DUMMYFUNCTION("""COMPUTED_VALUE"""),"ShowMasterFundAsClient")</f>
        <v>ShowMasterFundAsClient</v>
      </c>
      <c r="DD4" s="17" t="str">
        <f>IFERROR(__xludf.DUMMYFUNCTION("""COMPUTED_VALUE"""),"SetBrokerAccountMapping")</f>
        <v>SetBrokerAccountMapping</v>
      </c>
      <c r="DE4" s="17" t="str">
        <f>IFERROR(__xludf.DUMMYFUNCTION("""COMPUTED_VALUE"""),"EditUnallocatedGridWPF")</f>
        <v>EditUnallocatedGridWPF</v>
      </c>
      <c r="DF4" s="17" t="str">
        <f>IFERROR(__xludf.DUMMYFUNCTION("""COMPUTED_VALUE"""),"EditAllocatedGridWPF")</f>
        <v>EditAllocatedGridWPF</v>
      </c>
      <c r="DG4" s="17" t="str">
        <f>IFERROR(__xludf.DUMMYFUNCTION("""COMPUTED_VALUE"""),"EditAllocatedGridTaxlot")</f>
        <v>EditAllocatedGridTaxlot</v>
      </c>
      <c r="DH4" s="17" t="str">
        <f>IFERROR(__xludf.DUMMYFUNCTION("""COMPUTED_VALUE"""),"ExpandCollapseAllocatedGrid")</f>
        <v>ExpandCollapseAllocatedGrid</v>
      </c>
      <c r="DI4" s="17" t="str">
        <f>IFERROR(__xludf.DUMMYFUNCTION("""COMPUTED_VALUE"""),"ExpandCollapseUnallocatedGrid")</f>
        <v>ExpandCollapseUnallocatedGrid</v>
      </c>
      <c r="DJ4" s="17" t="str">
        <f>IFERROR(__xludf.DUMMYFUNCTION("""COMPUTED_VALUE"""),"SetTradeAttributePreferences")</f>
        <v>SetTradeAttributePreferences</v>
      </c>
      <c r="DK4" s="17" t="str">
        <f>IFERROR(__xludf.DUMMYFUNCTION("""COMPUTED_VALUE"""),"EnterCustomAllocatePreference")</f>
        <v>EnterCustomAllocatePreference</v>
      </c>
      <c r="DL4" s="17" t="str">
        <f>IFERROR(__xludf.DUMMYFUNCTION("""COMPUTED_VALUE"""),"SetAutoGroupingPreferences")</f>
        <v>SetAutoGroupingPreferences</v>
      </c>
      <c r="DM4" s="17" t="str">
        <f>IFERROR(__xludf.DUMMYFUNCTION("""COMPUTED_VALUE"""),"SetAutoGroupingAccount")</f>
        <v>SetAutoGroupingAccount</v>
      </c>
      <c r="DN4" s="17" t="str">
        <f>IFERROR(__xludf.DUMMYFUNCTION("""COMPUTED_VALUE"""),"SetAvgPriceRounding")</f>
        <v>SetAvgPriceRounding</v>
      </c>
      <c r="DO4" s="17" t="str">
        <f>IFERROR(__xludf.DUMMYFUNCTION("""COMPUTED_VALUE"""),"IsAllocationOpen")</f>
        <v>IsAllocationOpen</v>
      </c>
      <c r="DP4" s="17" t="str">
        <f>IFERROR(__xludf.DUMMYFUNCTION("""COMPUTED_VALUE"""),"AllocationAuditTrail")</f>
        <v>AllocationAuditTrail</v>
      </c>
      <c r="DQ4" s="17" t="str">
        <f>IFERROR(__xludf.DUMMYFUNCTION("""COMPUTED_VALUE"""),"GetAuditTrailData")</f>
        <v>GetAuditTrailData</v>
      </c>
      <c r="DR4" s="17" t="str">
        <f>IFERROR(__xludf.DUMMYFUNCTION("""COMPUTED_VALUE"""),"CheckAuditTrailData")</f>
        <v>CheckAuditTrailData</v>
      </c>
      <c r="DS4" s="17" t="str">
        <f>IFERROR(__xludf.DUMMYFUNCTION("""COMPUTED_VALUE"""),"DeleteGroupWithOutSave")</f>
        <v>DeleteGroupWithOutSave</v>
      </c>
      <c r="DT4" s="17" t="str">
        <f>IFERROR(__xludf.DUMMYFUNCTION("""COMPUTED_VALUE"""),"CheckPreferences")</f>
        <v>CheckPreferences</v>
      </c>
      <c r="DU4" s="17" t="str">
        <f>IFERROR(__xludf.DUMMYFUNCTION("""COMPUTED_VALUE"""),"AllocateWithPopUp")</f>
        <v>AllocateWithPopUp</v>
      </c>
      <c r="DV4" s="17" t="str">
        <f>IFERROR(__xludf.DUMMYFUNCTION("""COMPUTED_VALUE"""),"SelectAllRowsAllocated")</f>
        <v>SelectAllRowsAllocated</v>
      </c>
      <c r="DW4" s="17" t="str">
        <f>IFERROR(__xludf.DUMMYFUNCTION("""COMPUTED_VALUE"""),"ModifyGRPreferenceValues")</f>
        <v>ModifyGRPreferenceValues</v>
      </c>
      <c r="DX4" s="17" t="str">
        <f>IFERROR(__xludf.DUMMYFUNCTION("""COMPUTED_VALUE"""),"VerifyAllocationNavLockPopup")</f>
        <v>VerifyAllocationNavLockPopup</v>
      </c>
      <c r="DY4" s="17" t="str">
        <f>IFERROR(__xludf.DUMMYFUNCTION("""COMPUTED_VALUE"""),"ReviewExistingPositions")</f>
        <v>ReviewExistingPositions</v>
      </c>
      <c r="DZ4" s="17" t="str">
        <f>IFERROR(__xludf.DUMMYFUNCTION("""COMPUTED_VALUE"""),"OperationsonAllocation")</f>
        <v>OperationsonAllocation</v>
      </c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IFERROR(__xludf.DUMMYFUNCTION("""COMPUTED_VALUE"""),"Account Name")</f>
        <v>Account Name</v>
      </c>
      <c r="C5" s="18" t="str">
        <f>IFERROR(__xludf.DUMMYFUNCTION("""COMPUTED_VALUE"""),"Accrual Basis")</f>
        <v>Accrual Basis</v>
      </c>
      <c r="D5" s="18" t="str">
        <f>IFERROR(__xludf.DUMMYFUNCTION("""COMPUTED_VALUE"""),"Accrued Interest")</f>
        <v>Accrued Interest</v>
      </c>
      <c r="E5" s="18" t="str">
        <f>IFERROR(__xludf.DUMMYFUNCTION("""COMPUTED_VALUE"""),"Allocated Qty")</f>
        <v>Allocated Qty</v>
      </c>
      <c r="F5" s="18" t="str">
        <f>IFERROR(__xludf.DUMMYFUNCTION("""COMPUTED_VALUE"""),"Allocation Scheme Name")</f>
        <v>Allocation Scheme Name</v>
      </c>
      <c r="G5" s="18" t="str">
        <f>IFERROR(__xludf.DUMMYFUNCTION("""COMPUTED_VALUE"""),"Asset Category")</f>
        <v>Asset Category</v>
      </c>
      <c r="H5" s="18" t="str">
        <f>IFERROR(__xludf.DUMMYFUNCTION("""COMPUTED_VALUE"""),"AUEC Fee1")</f>
        <v>AUEC Fee1</v>
      </c>
      <c r="I5" s="18" t="str">
        <f>IFERROR(__xludf.DUMMYFUNCTION("""COMPUTED_VALUE"""),"AUEC Fee2")</f>
        <v>AUEC Fee2</v>
      </c>
      <c r="J5" s="18" t="str">
        <f>IFERROR(__xludf.DUMMYFUNCTION("""COMPUTED_VALUE"""),"AUECID")</f>
        <v>AUECID</v>
      </c>
      <c r="K5" s="18" t="str">
        <f>IFERROR(__xludf.DUMMYFUNCTION("""COMPUTED_VALUE"""),"Avg Price(Base)")</f>
        <v>Avg Price(Base)</v>
      </c>
      <c r="L5" s="18" t="str">
        <f>IFERROR(__xludf.DUMMYFUNCTION("""COMPUTED_VALUE"""),"Avg Price(Local)")</f>
        <v>Avg Price(Local)</v>
      </c>
      <c r="M5" s="18" t="str">
        <f>IFERROR(__xludf.DUMMYFUNCTION("""COMPUTED_VALUE"""),"Bloomberg")</f>
        <v>Bloomberg</v>
      </c>
      <c r="N5" s="18" t="str">
        <f>IFERROR(__xludf.DUMMYFUNCTION("""COMPUTED_VALUE"""),"Bond Type")</f>
        <v>Bond Type</v>
      </c>
      <c r="O5" s="18" t="str">
        <f>IFERROR(__xludf.DUMMYFUNCTION("""COMPUTED_VALUE"""),"Broker")</f>
        <v>Broker</v>
      </c>
      <c r="P5" s="18" t="str">
        <f>IFERROR(__xludf.DUMMYFUNCTION("""COMPUTED_VALUE"""),"Change Comment")</f>
        <v>Change Comment</v>
      </c>
      <c r="Q5" s="18" t="str">
        <f>IFERROR(__xludf.DUMMYFUNCTION("""COMPUTED_VALUE"""),"Change Type")</f>
        <v>Change Type</v>
      </c>
      <c r="R5" s="18" t="str">
        <f>IFERROR(__xludf.DUMMYFUNCTION("""COMPUTED_VALUE"""),"Clearing Broker Fee")</f>
        <v>Clearing Broker Fee</v>
      </c>
      <c r="S5" s="18" t="str">
        <f>IFERROR(__xludf.DUMMYFUNCTION("""COMPUTED_VALUE"""),"Closing Status")</f>
        <v>Closing Status</v>
      </c>
      <c r="T5" s="19" t="str">
        <f>IFERROR(__xludf.DUMMYFUNCTION("""COMPUTED_VALUE"""),"Commission")</f>
        <v>Commission</v>
      </c>
      <c r="U5" s="19" t="str">
        <f>IFERROR(__xludf.DUMMYFUNCTION("""COMPUTED_VALUE"""),"Commission Per Share")</f>
        <v>Commission Per Share</v>
      </c>
      <c r="V5" s="19" t="str">
        <f>IFERROR(__xludf.DUMMYFUNCTION("""COMPUTED_VALUE"""),"Company")</f>
        <v>Company</v>
      </c>
      <c r="W5" s="19" t="str">
        <f>IFERROR(__xludf.DUMMYFUNCTION("""COMPUTED_VALUE"""),"Contract Multiplier")</f>
        <v>Contract Multiplier</v>
      </c>
      <c r="X5" s="19" t="str">
        <f>IFERROR(__xludf.DUMMYFUNCTION("""COMPUTED_VALUE"""),"Coupon Rate")</f>
        <v>Coupon Rate</v>
      </c>
      <c r="Y5" s="19" t="str">
        <f>IFERROR(__xludf.DUMMYFUNCTION("""COMPUTED_VALUE"""),"Cum Qty For Sub Order")</f>
        <v>Cum Qty For Sub Order</v>
      </c>
      <c r="Z5" s="19" t="str">
        <f>IFERROR(__xludf.DUMMYFUNCTION("""COMPUTED_VALUE"""),"Currency")</f>
        <v>Currency</v>
      </c>
      <c r="AA5" s="19" t="str">
        <f>IFERROR(__xludf.DUMMYFUNCTION("""COMPUTED_VALUE"""),"Cusip Symbol")</f>
        <v>Cusip Symbol</v>
      </c>
      <c r="AB5" s="19" t="str">
        <f>IFERROR(__xludf.DUMMYFUNCTION("""COMPUTED_VALUE"""),"Delta")</f>
        <v>Delta</v>
      </c>
      <c r="AC5" s="19" t="str">
        <f>IFERROR(__xludf.DUMMYFUNCTION("""COMPUTED_VALUE"""),"Description")</f>
        <v>Description</v>
      </c>
      <c r="AD5" s="19" t="str">
        <f>IFERROR(__xludf.DUMMYFUNCTION("""COMPUTED_VALUE"""),"Exchange")</f>
        <v>Exchange</v>
      </c>
      <c r="AE5" s="19" t="str">
        <f>IFERROR(__xludf.DUMMYFUNCTION("""COMPUTED_VALUE"""),"Executed Qty")</f>
        <v>Executed Qty</v>
      </c>
      <c r="AF5" s="19" t="str">
        <f>IFERROR(__xludf.DUMMYFUNCTION("""COMPUTED_VALUE"""),"Exceution Time")</f>
        <v>Exceution Time</v>
      </c>
      <c r="AG5" s="19" t="str">
        <f>IFERROR(__xludf.DUMMYFUNCTION("""COMPUTED_VALUE"""),"Expiration Date")</f>
        <v>Expiration Date</v>
      </c>
      <c r="AH5" s="19" t="str">
        <f>IFERROR(__xludf.DUMMYFUNCTION("""COMPUTED_VALUE"""),"FX Conversion Operator")</f>
        <v>FX Conversion Operator</v>
      </c>
      <c r="AI5" s="19" t="str">
        <f>IFERROR(__xludf.DUMMYFUNCTION("""COMPUTED_VALUE"""),"FX Rate")</f>
        <v>FX Rate</v>
      </c>
      <c r="AJ5" s="19" t="str">
        <f>IFERROR(__xludf.DUMMYFUNCTION("""COMPUTED_VALUE"""),"Group Status")</f>
        <v>Group Status</v>
      </c>
      <c r="AK5" s="19" t="str">
        <f>IFERROR(__xludf.DUMMYFUNCTION("""COMPUTED_VALUE"""),"IDCOSymbol")</f>
        <v>IDCOSymbol</v>
      </c>
      <c r="AL5" s="19" t="str">
        <f>IFERROR(__xludf.DUMMYFUNCTION("""COMPUTED_VALUE"""),"Import File Name")</f>
        <v>Import File Name</v>
      </c>
      <c r="AM5" s="19" t="str">
        <f>IFERROR(__xludf.DUMMYFUNCTION("""COMPUTED_VALUE"""),"Internal Comments")</f>
        <v>Internal Comments</v>
      </c>
      <c r="AN5" s="19" t="str">
        <f>IFERROR(__xludf.DUMMYFUNCTION("""COMPUTED_VALUE"""),"IsAnotherTaxlotAttributesUpdated")</f>
        <v>IsAnotherTaxlotAttributesUpdated</v>
      </c>
      <c r="AO5" s="19" t="str">
        <f>IFERROR(__xludf.DUMMYFUNCTION("""COMPUTED_VALUE"""),"ISIN")</f>
        <v>ISIN</v>
      </c>
      <c r="AP5" s="19" t="str">
        <f>IFERROR(__xludf.DUMMYFUNCTION("""COMPUTED_VALUE"""),"IsManual Group")</f>
        <v>IsManual Group</v>
      </c>
      <c r="AQ5" s="19" t="str">
        <f>IFERROR(__xludf.DUMMYFUNCTION("""COMPUTED_VALUE"""),"ISNDF")</f>
        <v>ISNDF</v>
      </c>
      <c r="AR5" s="19" t="str">
        <f>IFERROR(__xludf.DUMMYFUNCTION("""COMPUTED_VALUE"""),"IsPreAllocated")</f>
        <v>IsPreAllocated</v>
      </c>
      <c r="AS5" s="19" t="str">
        <f>IFERROR(__xludf.DUMMYFUNCTION("""COMPUTED_VALUE"""),"M2MProfitLoss")</f>
        <v>M2MProfitLoss</v>
      </c>
      <c r="AT5" s="19" t="str">
        <f>IFERROR(__xludf.DUMMYFUNCTION("""COMPUTED_VALUE"""),"Net Amount( Base)")</f>
        <v>Net Amount( Base)</v>
      </c>
      <c r="AU5" s="19" t="str">
        <f>IFERROR(__xludf.DUMMYFUNCTION("""COMPUTED_VALUE"""),"Net Amount( Local)")</f>
        <v>Net Amount( Local)</v>
      </c>
      <c r="AV5" s="19" t="str">
        <f>IFERROR(__xludf.DUMMYFUNCTION("""COMPUTED_VALUE"""),"Nirvana Process Date")</f>
        <v>Nirvana Process Date</v>
      </c>
      <c r="AW5" s="19" t="str">
        <f>IFERROR(__xludf.DUMMYFUNCTION("""COMPUTED_VALUE"""),"OCC Fee")</f>
        <v>OCC Fee</v>
      </c>
      <c r="AX5" s="19" t="str">
        <f>IFERROR(__xludf.DUMMYFUNCTION("""COMPUTED_VALUE"""),"Option Premium Adjustment")</f>
        <v>Option Premium Adjustment</v>
      </c>
      <c r="AY5" s="19" t="str">
        <f>IFERROR(__xludf.DUMMYFUNCTION("""COMPUTED_VALUE"""),"Order Type")</f>
        <v>Order Type</v>
      </c>
      <c r="AZ5" s="19" t="str">
        <f>IFERROR(__xludf.DUMMYFUNCTION("""COMPUTED_VALUE"""),"ORF Fee")</f>
        <v>ORF Fee</v>
      </c>
      <c r="BA5" s="19" t="str">
        <f>IFERROR(__xludf.DUMMYFUNCTION("""COMPUTED_VALUE"""),"Original Purchase Date")</f>
        <v>Original Purchase Date</v>
      </c>
      <c r="BB5" s="19" t="str">
        <f>IFERROR(__xludf.DUMMYFUNCTION("""COMPUTED_VALUE"""),"OSISSymbol")</f>
        <v>OSISSymbol</v>
      </c>
      <c r="BC5" s="19" t="str">
        <f>IFERROR(__xludf.DUMMYFUNCTION("""COMPUTED_VALUE"""),"Other Broker Fees")</f>
        <v>Other Broker Fees</v>
      </c>
      <c r="BD5" s="19" t="str">
        <f>IFERROR(__xludf.DUMMYFUNCTION("""COMPUTED_VALUE"""),"Prana Msg Type")</f>
        <v>Prana Msg Type</v>
      </c>
      <c r="BE5" s="19" t="str">
        <f>IFERROR(__xludf.DUMMYFUNCTION("""COMPUTED_VALUE"""),"Principal Amount( Base)")</f>
        <v>Principal Amount( Base)</v>
      </c>
      <c r="BF5" s="19" t="str">
        <f>IFERROR(__xludf.DUMMYFUNCTION("""COMPUTED_VALUE"""),"Principal Amount( Local)")</f>
        <v>Principal Amount( Local)</v>
      </c>
      <c r="BG5" s="19" t="str">
        <f>IFERROR(__xludf.DUMMYFUNCTION("""COMPUTED_VALUE"""),"Process Date")</f>
        <v>Process Date</v>
      </c>
      <c r="BH5" s="19" t="str">
        <f>IFERROR(__xludf.DUMMYFUNCTION("""COMPUTED_VALUE"""),"Proxy Symbol")</f>
        <v>Proxy Symbol</v>
      </c>
      <c r="BI5" s="19" t="str">
        <f>IFERROR(__xludf.DUMMYFUNCTION("""COMPUTED_VALUE"""),"Put Or Call")</f>
        <v>Put Or Call</v>
      </c>
      <c r="BJ5" s="19" t="str">
        <f>IFERROR(__xludf.DUMMYFUNCTION("""COMPUTED_VALUE"""),"Quantity")</f>
        <v>Quantity</v>
      </c>
      <c r="BK5" s="19" t="str">
        <f>IFERROR(__xludf.DUMMYFUNCTION("""COMPUTED_VALUE"""),"SEC Fee")</f>
        <v>SEC Fee</v>
      </c>
      <c r="BL5" s="19" t="str">
        <f>IFERROR(__xludf.DUMMYFUNCTION("""COMPUTED_VALUE"""),"Sedol Symbol")</f>
        <v>Sedol Symbol</v>
      </c>
      <c r="BM5" s="19" t="str">
        <f>IFERROR(__xludf.DUMMYFUNCTION("""COMPUTED_VALUE"""),"Settlement Currency")</f>
        <v>Settlement Currency</v>
      </c>
      <c r="BN5" s="19" t="str">
        <f>IFERROR(__xludf.DUMMYFUNCTION("""COMPUTED_VALUE"""),"Settlement Date")</f>
        <v>Settlement Date</v>
      </c>
      <c r="BO5" s="19" t="str">
        <f>IFERROR(__xludf.DUMMYFUNCTION("""COMPUTED_VALUE"""),"Side")</f>
        <v>Side</v>
      </c>
      <c r="BP5" s="19" t="str">
        <f>IFERROR(__xludf.DUMMYFUNCTION("""COMPUTED_VALUE"""),"Soft Commission")</f>
        <v>Soft Commission</v>
      </c>
      <c r="BQ5" s="19" t="str">
        <f>IFERROR(__xludf.DUMMYFUNCTION("""COMPUTED_VALUE"""),"Soft Commission Per Share")</f>
        <v>Soft Commission Per Share</v>
      </c>
      <c r="BR5" s="19" t="str">
        <f>IFERROR(__xludf.DUMMYFUNCTION("""COMPUTED_VALUE"""),"Stamp Duty")</f>
        <v>Stamp Duty</v>
      </c>
      <c r="BS5" s="19" t="str">
        <f>IFERROR(__xludf.DUMMYFUNCTION("""COMPUTED_VALUE"""),"Strategy Name")</f>
        <v>Strategy Name</v>
      </c>
      <c r="BT5" s="19" t="str">
        <f>IFERROR(__xludf.DUMMYFUNCTION("""COMPUTED_VALUE"""),"Symbol")</f>
        <v>Symbol</v>
      </c>
      <c r="BU5" s="19" t="str">
        <f>IFERROR(__xludf.DUMMYFUNCTION("""COMPUTED_VALUE"""),"Tax On Commissions")</f>
        <v>Tax On Commissions</v>
      </c>
      <c r="BV5" s="19" t="str">
        <f>IFERROR(__xludf.DUMMYFUNCTION("""COMPUTED_VALUE"""),"Total Commission")</f>
        <v>Total Commission</v>
      </c>
      <c r="BW5" s="19" t="str">
        <f>IFERROR(__xludf.DUMMYFUNCTION("""COMPUTED_VALUE"""),"Total Commission And Fee")</f>
        <v>Total Commission And Fee</v>
      </c>
      <c r="BX5" s="19" t="str">
        <f>IFERROR(__xludf.DUMMYFUNCTION("""COMPUTED_VALUE"""),"Total Commission Per Share")</f>
        <v>Total Commission Per Share</v>
      </c>
      <c r="BY5" s="19" t="str">
        <f>IFERROR(__xludf.DUMMYFUNCTION("""COMPUTED_VALUE"""),"Trade Attribute 1")</f>
        <v>Trade Attribute 1</v>
      </c>
      <c r="BZ5" s="19" t="str">
        <f>IFERROR(__xludf.DUMMYFUNCTION("""COMPUTED_VALUE"""),"Trade Attribute 2")</f>
        <v>Trade Attribute 2</v>
      </c>
      <c r="CA5" s="19" t="str">
        <f>IFERROR(__xludf.DUMMYFUNCTION("""COMPUTED_VALUE"""),"Trade Attribute 3")</f>
        <v>Trade Attribute 3</v>
      </c>
      <c r="CB5" s="19" t="str">
        <f>IFERROR(__xludf.DUMMYFUNCTION("""COMPUTED_VALUE"""),"Trade Attribute 4")</f>
        <v>Trade Attribute 4</v>
      </c>
      <c r="CC5" s="19" t="str">
        <f>IFERROR(__xludf.DUMMYFUNCTION("""COMPUTED_VALUE"""),"Trade Attribute 5")</f>
        <v>Trade Attribute 5</v>
      </c>
      <c r="CD5" s="19" t="str">
        <f>IFERROR(__xludf.DUMMYFUNCTION("""COMPUTED_VALUE"""),"Trade Attribute 6")</f>
        <v>Trade Attribute 6</v>
      </c>
      <c r="CE5" s="19" t="str">
        <f>IFERROR(__xludf.DUMMYFUNCTION("""COMPUTED_VALUE"""),"Trade Date")</f>
        <v>Trade Date</v>
      </c>
      <c r="CF5" s="19" t="str">
        <f>IFERROR(__xludf.DUMMYFUNCTION("""COMPUTED_VALUE"""),"Trading Account")</f>
        <v>Trading Account</v>
      </c>
      <c r="CG5" s="19" t="str">
        <f>IFERROR(__xludf.DUMMYFUNCTION("""COMPUTED_VALUE"""),"Transaction Levy")</f>
        <v>Transaction Levy</v>
      </c>
      <c r="CH5" s="19" t="str">
        <f>IFERROR(__xludf.DUMMYFUNCTION("""COMPUTED_VALUE"""),"Transaction Source")</f>
        <v>Transaction Source</v>
      </c>
      <c r="CI5" s="19" t="str">
        <f>IFERROR(__xludf.DUMMYFUNCTION("""COMPUTED_VALUE"""),"Transaction Type")</f>
        <v>Transaction Type</v>
      </c>
      <c r="CJ5" s="19" t="str">
        <f>IFERROR(__xludf.DUMMYFUNCTION("""COMPUTED_VALUE"""),"UnAllocatedQty")</f>
        <v>UnAllocatedQty</v>
      </c>
      <c r="CK5" s="19" t="str">
        <f>IFERROR(__xludf.DUMMYFUNCTION("""COMPUTED_VALUE"""),"Underlying")</f>
        <v>Underlying</v>
      </c>
      <c r="CL5" s="19" t="str">
        <f>IFERROR(__xludf.DUMMYFUNCTION("""COMPUTED_VALUE"""),"Underlying Delta")</f>
        <v>Underlying Delta</v>
      </c>
      <c r="CM5" s="19" t="str">
        <f>IFERROR(__xludf.DUMMYFUNCTION("""COMPUTED_VALUE"""),"Underlying Symbol")</f>
        <v>Underlying Symbol</v>
      </c>
      <c r="CN5" s="19" t="str">
        <f>IFERROR(__xludf.DUMMYFUNCTION("""COMPUTED_VALUE"""),"User")</f>
        <v>User</v>
      </c>
      <c r="CO5" s="19" t="str">
        <f>IFERROR(__xludf.DUMMYFUNCTION("""COMPUTED_VALUE"""),"Venue")</f>
        <v>Venue</v>
      </c>
      <c r="CP5" s="19" t="str">
        <f>IFERROR(__xludf.DUMMYFUNCTION("""COMPUTED_VALUE"""),"Closing Method")</f>
        <v>Closing Method</v>
      </c>
      <c r="CQ5" s="19" t="str">
        <f>IFERROR(__xludf.DUMMYFUNCTION("""COMPUTED_VALUE"""),"Closing Date")</f>
        <v>Closing Date</v>
      </c>
      <c r="CR5" s="19" t="str">
        <f>IFERROR(__xludf.DUMMYFUNCTION("""COMPUTED_VALUE"""),"GroupID")</f>
        <v>GroupID</v>
      </c>
      <c r="CS5" s="19" t="str">
        <f>IFERROR(__xludf.DUMMYFUNCTION("""COMPUTED_VALUE"""),"Client")</f>
        <v>Client</v>
      </c>
      <c r="CT5" s="19" t="str">
        <f>IFERROR(__xludf.DUMMYFUNCTION("""COMPUTED_VALUE"""),"Borrow Broker")</f>
        <v>Borrow Broker</v>
      </c>
      <c r="CU5" s="19" t="str">
        <f>IFERROR(__xludf.DUMMYFUNCTION("""COMPUTED_VALUE"""),"ACTIV Symbol")</f>
        <v>ACTIV Symbol</v>
      </c>
      <c r="CV5" s="19" t="str">
        <f>IFERROR(__xludf.DUMMYFUNCTION("""COMPUTED_VALUE"""),"Borrower Id")</f>
        <v>Borrower Id</v>
      </c>
      <c r="CW5" s="19" t="str">
        <f>IFERROR(__xludf.DUMMYFUNCTION("""COMPUTED_VALUE"""),"Borrow Rate(%)")</f>
        <v>Borrow Rate(%)</v>
      </c>
      <c r="CX5" s="19" t="str">
        <f>IFERROR(__xludf.DUMMYFUNCTION("""COMPUTED_VALUE"""),"Master Fund")</f>
        <v>Master Fund</v>
      </c>
      <c r="CY5" s="19" t="str">
        <f>IFERROR(__xludf.DUMMYFUNCTION("""COMPUTED_VALUE"""),"MandatoryColumn")</f>
        <v>MandatoryColumn</v>
      </c>
      <c r="CZ5" s="19" t="str">
        <f>IFERROR(__xludf.DUMMYFUNCTION("""COMPUTED_VALUE"""),"Testing Type")</f>
        <v>Testing Type</v>
      </c>
      <c r="DA5" s="19" t="str">
        <f>IFERROR(__xludf.DUMMYFUNCTION("""COMPUTED_VALUE"""),"Testing Column")</f>
        <v>Testing Column</v>
      </c>
      <c r="DB5" s="19" t="str">
        <f>IFERROR(__xludf.DUMMYFUNCTION("""COMPUTED_VALUE"""),"Testing Col Value")</f>
        <v>Testing Col Value</v>
      </c>
      <c r="DC5" s="19" t="str">
        <f>IFERROR(__xludf.DUMMYFUNCTION("""COMPUTED_VALUE"""),"DuplicateRow")</f>
        <v>DuplicateRow</v>
      </c>
      <c r="DD5" s="19" t="str">
        <f>IFERROR(__xludf.DUMMYFUNCTION("""COMPUTED_VALUE"""),"DuplicateCountOnUI")</f>
        <v>DuplicateCountOnUI</v>
      </c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</row>
    <row r="6" ht="15.75" customHeight="1">
      <c r="A6" s="4" t="s">
        <v>138</v>
      </c>
      <c r="B6" s="7" t="s">
        <v>21</v>
      </c>
      <c r="C6" s="7" t="s">
        <v>139</v>
      </c>
      <c r="D6" s="4"/>
      <c r="E6" s="21">
        <v>5000.0</v>
      </c>
      <c r="F6" s="7"/>
      <c r="G6" s="7" t="s">
        <v>140</v>
      </c>
      <c r="H6" s="21">
        <v>4.0</v>
      </c>
      <c r="I6" s="21">
        <v>5.0</v>
      </c>
      <c r="J6" s="21">
        <v>1.0</v>
      </c>
      <c r="K6" s="21">
        <v>10.0</v>
      </c>
      <c r="L6" s="21">
        <v>10.0</v>
      </c>
      <c r="M6" s="7" t="s">
        <v>141</v>
      </c>
      <c r="N6" s="7" t="s">
        <v>142</v>
      </c>
      <c r="O6" s="7" t="s">
        <v>143</v>
      </c>
      <c r="P6" s="4"/>
      <c r="Q6" s="4"/>
      <c r="R6" s="4"/>
      <c r="S6" s="4"/>
      <c r="T6" s="4"/>
      <c r="U6" s="4"/>
      <c r="V6" s="4" t="s">
        <v>144</v>
      </c>
      <c r="W6" s="4"/>
      <c r="X6" s="4"/>
      <c r="Y6" s="4"/>
      <c r="Z6" s="4" t="s">
        <v>145</v>
      </c>
      <c r="AA6" s="4" t="s">
        <v>19</v>
      </c>
      <c r="AB6" s="22">
        <v>1.0</v>
      </c>
      <c r="AC6" s="4"/>
      <c r="AD6" s="4" t="s">
        <v>146</v>
      </c>
      <c r="AE6" s="22">
        <v>5000.0</v>
      </c>
      <c r="AF6" s="4" t="s">
        <v>138</v>
      </c>
      <c r="AG6" s="4"/>
      <c r="AH6" s="4" t="s">
        <v>147</v>
      </c>
      <c r="AI6" s="22">
        <v>1.0</v>
      </c>
      <c r="AJ6" s="4"/>
      <c r="AK6" s="4"/>
      <c r="AL6" s="4"/>
      <c r="AM6" s="4"/>
      <c r="AN6" s="4"/>
      <c r="AO6" s="4"/>
      <c r="AP6" s="4"/>
      <c r="AQ6" s="4"/>
      <c r="AR6" s="4"/>
      <c r="AS6" s="22">
        <v>0.0</v>
      </c>
      <c r="AT6" s="4"/>
      <c r="AU6" s="4"/>
      <c r="AV6" s="4"/>
      <c r="AW6" s="4"/>
      <c r="AX6" s="4"/>
      <c r="AY6" s="4" t="s">
        <v>24</v>
      </c>
      <c r="AZ6" s="4"/>
      <c r="BA6" s="4"/>
      <c r="BB6" s="4"/>
      <c r="BC6" s="4"/>
      <c r="BD6" s="4"/>
      <c r="BE6" s="4"/>
      <c r="BF6" s="4"/>
      <c r="BG6" s="4"/>
      <c r="BH6" s="4"/>
      <c r="BI6" s="4"/>
      <c r="BJ6" s="22">
        <v>10000.0</v>
      </c>
      <c r="BK6" s="4"/>
      <c r="BL6" s="4" t="s">
        <v>138</v>
      </c>
      <c r="BM6" s="4" t="s">
        <v>145</v>
      </c>
      <c r="BN6" s="4"/>
      <c r="BO6" s="4" t="s">
        <v>22</v>
      </c>
      <c r="BP6" s="22">
        <v>0.0</v>
      </c>
      <c r="BQ6" s="22">
        <v>0.0</v>
      </c>
      <c r="BR6" s="22"/>
      <c r="BS6" s="4" t="s">
        <v>148</v>
      </c>
      <c r="BT6" s="4" t="s">
        <v>19</v>
      </c>
      <c r="BU6" s="4"/>
      <c r="BV6" s="4"/>
      <c r="BW6" s="4"/>
      <c r="BX6" s="4"/>
      <c r="BY6" s="4" t="s">
        <v>138</v>
      </c>
      <c r="BZ6" s="4" t="s">
        <v>138</v>
      </c>
      <c r="CA6" s="4" t="s">
        <v>138</v>
      </c>
      <c r="CB6" s="4" t="s">
        <v>138</v>
      </c>
      <c r="CC6" s="4" t="s">
        <v>138</v>
      </c>
      <c r="CD6" s="4" t="s">
        <v>138</v>
      </c>
      <c r="CE6" s="4" t="s">
        <v>149</v>
      </c>
      <c r="CF6" s="4" t="s">
        <v>150</v>
      </c>
      <c r="CG6" s="22">
        <v>2.0</v>
      </c>
      <c r="CH6" s="4" t="s">
        <v>17</v>
      </c>
      <c r="CI6" s="4" t="s">
        <v>22</v>
      </c>
      <c r="CJ6" s="4"/>
      <c r="CK6" s="4" t="s">
        <v>151</v>
      </c>
      <c r="CL6" s="22">
        <v>1.0</v>
      </c>
      <c r="CM6" s="4" t="s">
        <v>19</v>
      </c>
      <c r="CN6" s="4" t="s">
        <v>152</v>
      </c>
      <c r="CO6" s="4" t="s">
        <v>146</v>
      </c>
      <c r="CP6" s="4" t="s">
        <v>153</v>
      </c>
      <c r="CQ6" s="4"/>
      <c r="CR6" s="4"/>
      <c r="CS6" s="4" t="s">
        <v>138</v>
      </c>
      <c r="CT6" s="4"/>
      <c r="CU6" s="4"/>
      <c r="CV6" s="4"/>
      <c r="CW6" s="4"/>
      <c r="CX6" s="4" t="s">
        <v>154</v>
      </c>
      <c r="CY6" s="4" t="s">
        <v>138</v>
      </c>
      <c r="CZ6" s="4" t="s">
        <v>138</v>
      </c>
      <c r="DA6" s="4" t="s">
        <v>138</v>
      </c>
      <c r="DB6" s="4" t="s">
        <v>138</v>
      </c>
      <c r="DC6" s="4" t="s">
        <v>138</v>
      </c>
      <c r="DD6" s="4" t="s">
        <v>138</v>
      </c>
      <c r="DE6" s="4" t="s">
        <v>138</v>
      </c>
      <c r="DF6" s="4" t="s">
        <v>138</v>
      </c>
      <c r="DG6" s="4" t="s">
        <v>138</v>
      </c>
      <c r="DH6" s="4" t="s">
        <v>138</v>
      </c>
      <c r="DI6" s="4" t="s">
        <v>138</v>
      </c>
      <c r="DJ6" s="4" t="s">
        <v>138</v>
      </c>
      <c r="DK6" s="4" t="s">
        <v>138</v>
      </c>
      <c r="DL6" s="4" t="s">
        <v>138</v>
      </c>
      <c r="DM6" s="4" t="s">
        <v>138</v>
      </c>
      <c r="DN6" s="4" t="s">
        <v>138</v>
      </c>
      <c r="DO6" s="4" t="s">
        <v>138</v>
      </c>
      <c r="DP6" s="4" t="s">
        <v>138</v>
      </c>
      <c r="DQ6" s="4" t="s">
        <v>138</v>
      </c>
      <c r="DR6" s="4" t="s">
        <v>138</v>
      </c>
      <c r="DS6" s="4" t="s">
        <v>138</v>
      </c>
      <c r="DT6" s="4" t="s">
        <v>138</v>
      </c>
      <c r="DU6" s="4" t="s">
        <v>138</v>
      </c>
      <c r="DV6" s="4" t="s">
        <v>138</v>
      </c>
      <c r="DW6" s="4" t="s">
        <v>138</v>
      </c>
      <c r="DX6" s="4" t="s">
        <v>138</v>
      </c>
      <c r="DY6" s="4" t="s">
        <v>138</v>
      </c>
      <c r="DZ6" s="4" t="s">
        <v>138</v>
      </c>
      <c r="EA6" s="4" t="s">
        <v>138</v>
      </c>
      <c r="EB6" s="4" t="s">
        <v>138</v>
      </c>
      <c r="EC6" s="4" t="s">
        <v>138</v>
      </c>
      <c r="ED6" s="4" t="s">
        <v>138</v>
      </c>
      <c r="EE6" s="4" t="s">
        <v>138</v>
      </c>
      <c r="EF6" s="4" t="s">
        <v>138</v>
      </c>
      <c r="EG6" s="4" t="s">
        <v>138</v>
      </c>
      <c r="EH6" s="4" t="s">
        <v>138</v>
      </c>
      <c r="EI6" s="4" t="s">
        <v>138</v>
      </c>
      <c r="EJ6" s="4" t="s">
        <v>138</v>
      </c>
      <c r="EK6" s="4" t="s">
        <v>138</v>
      </c>
      <c r="EL6" s="4" t="s">
        <v>138</v>
      </c>
      <c r="EM6" s="4" t="s">
        <v>138</v>
      </c>
      <c r="EN6" s="4" t="s">
        <v>138</v>
      </c>
      <c r="EO6" s="4" t="s">
        <v>138</v>
      </c>
      <c r="EP6" s="4" t="s">
        <v>138</v>
      </c>
      <c r="EQ6" s="4" t="s">
        <v>138</v>
      </c>
      <c r="ER6" s="4" t="s">
        <v>138</v>
      </c>
      <c r="ES6" s="4" t="s">
        <v>138</v>
      </c>
      <c r="ET6" s="4" t="s">
        <v>138</v>
      </c>
      <c r="EU6" s="4" t="s">
        <v>138</v>
      </c>
      <c r="EV6" s="4" t="s">
        <v>138</v>
      </c>
      <c r="EW6" s="4" t="s">
        <v>138</v>
      </c>
      <c r="EX6" s="4" t="s">
        <v>138</v>
      </c>
      <c r="EY6" s="4" t="s">
        <v>138</v>
      </c>
      <c r="EZ6" s="4" t="s">
        <v>138</v>
      </c>
      <c r="FA6" s="4" t="s">
        <v>138</v>
      </c>
      <c r="FB6" s="4" t="s">
        <v>138</v>
      </c>
      <c r="FC6" s="4" t="s">
        <v>138</v>
      </c>
      <c r="FD6" s="4" t="s">
        <v>138</v>
      </c>
      <c r="FE6" s="4" t="s">
        <v>138</v>
      </c>
      <c r="FF6" s="4" t="s">
        <v>138</v>
      </c>
      <c r="FG6" s="4" t="s">
        <v>138</v>
      </c>
      <c r="FH6" s="4" t="s">
        <v>138</v>
      </c>
      <c r="FI6" s="4" t="s">
        <v>138</v>
      </c>
      <c r="FJ6" s="4" t="s">
        <v>138</v>
      </c>
      <c r="FK6" s="4" t="s">
        <v>138</v>
      </c>
      <c r="FL6" s="4" t="s">
        <v>138</v>
      </c>
      <c r="FM6" s="4" t="s">
        <v>138</v>
      </c>
      <c r="FN6" s="4" t="s">
        <v>138</v>
      </c>
      <c r="FO6" s="4" t="s">
        <v>138</v>
      </c>
      <c r="FP6" s="4" t="s">
        <v>138</v>
      </c>
      <c r="FQ6" s="4" t="s">
        <v>138</v>
      </c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</row>
    <row r="7" ht="15.75" customHeight="1">
      <c r="A7" s="4" t="s">
        <v>138</v>
      </c>
      <c r="B7" s="7" t="s">
        <v>155</v>
      </c>
      <c r="C7" s="7" t="s">
        <v>139</v>
      </c>
      <c r="D7" s="4"/>
      <c r="E7" s="21">
        <v>2500.0</v>
      </c>
      <c r="F7" s="7"/>
      <c r="G7" s="7" t="s">
        <v>140</v>
      </c>
      <c r="H7" s="21">
        <v>4.0</v>
      </c>
      <c r="I7" s="21">
        <v>5.0</v>
      </c>
      <c r="J7" s="21">
        <v>1.0</v>
      </c>
      <c r="K7" s="21">
        <v>10.0</v>
      </c>
      <c r="L7" s="21">
        <v>10.0</v>
      </c>
      <c r="M7" s="7" t="s">
        <v>141</v>
      </c>
      <c r="N7" s="7" t="s">
        <v>142</v>
      </c>
      <c r="O7" s="7" t="s">
        <v>143</v>
      </c>
      <c r="P7" s="4"/>
      <c r="Q7" s="4"/>
      <c r="R7" s="4"/>
      <c r="S7" s="4"/>
      <c r="T7" s="4"/>
      <c r="U7" s="4"/>
      <c r="V7" s="4" t="s">
        <v>144</v>
      </c>
      <c r="W7" s="4"/>
      <c r="X7" s="4"/>
      <c r="Y7" s="4"/>
      <c r="Z7" s="4" t="s">
        <v>145</v>
      </c>
      <c r="AA7" s="4" t="s">
        <v>19</v>
      </c>
      <c r="AB7" s="22">
        <v>1.0</v>
      </c>
      <c r="AC7" s="4"/>
      <c r="AD7" s="4" t="s">
        <v>146</v>
      </c>
      <c r="AE7" s="22">
        <v>2500.0</v>
      </c>
      <c r="AF7" s="4" t="s">
        <v>138</v>
      </c>
      <c r="AG7" s="4"/>
      <c r="AH7" s="4" t="s">
        <v>147</v>
      </c>
      <c r="AI7" s="22">
        <v>1.0</v>
      </c>
      <c r="AJ7" s="4"/>
      <c r="AK7" s="4"/>
      <c r="AL7" s="4"/>
      <c r="AM7" s="4"/>
      <c r="AN7" s="4"/>
      <c r="AO7" s="4"/>
      <c r="AP7" s="4"/>
      <c r="AQ7" s="4"/>
      <c r="AR7" s="4"/>
      <c r="AS7" s="22">
        <v>0.0</v>
      </c>
      <c r="AT7" s="4"/>
      <c r="AU7" s="4"/>
      <c r="AV7" s="4"/>
      <c r="AW7" s="4"/>
      <c r="AX7" s="4"/>
      <c r="AY7" s="4" t="s">
        <v>24</v>
      </c>
      <c r="AZ7" s="4"/>
      <c r="BA7" s="4"/>
      <c r="BB7" s="4"/>
      <c r="BC7" s="4"/>
      <c r="BD7" s="4"/>
      <c r="BE7" s="4"/>
      <c r="BF7" s="4"/>
      <c r="BG7" s="4"/>
      <c r="BH7" s="4"/>
      <c r="BI7" s="4"/>
      <c r="BJ7" s="22">
        <v>10000.0</v>
      </c>
      <c r="BK7" s="4"/>
      <c r="BL7" s="4" t="s">
        <v>138</v>
      </c>
      <c r="BM7" s="4" t="s">
        <v>145</v>
      </c>
      <c r="BN7" s="4"/>
      <c r="BO7" s="4" t="s">
        <v>22</v>
      </c>
      <c r="BP7" s="22">
        <v>0.0</v>
      </c>
      <c r="BQ7" s="22">
        <v>0.0</v>
      </c>
      <c r="BR7" s="22"/>
      <c r="BS7" s="4" t="s">
        <v>148</v>
      </c>
      <c r="BT7" s="4" t="s">
        <v>19</v>
      </c>
      <c r="BU7" s="4"/>
      <c r="BV7" s="4"/>
      <c r="BW7" s="4"/>
      <c r="BX7" s="4"/>
      <c r="BY7" s="4" t="s">
        <v>138</v>
      </c>
      <c r="BZ7" s="4" t="s">
        <v>138</v>
      </c>
      <c r="CA7" s="4" t="s">
        <v>138</v>
      </c>
      <c r="CB7" s="4" t="s">
        <v>138</v>
      </c>
      <c r="CC7" s="4" t="s">
        <v>138</v>
      </c>
      <c r="CD7" s="4" t="s">
        <v>138</v>
      </c>
      <c r="CE7" s="4" t="s">
        <v>156</v>
      </c>
      <c r="CF7" s="4" t="s">
        <v>150</v>
      </c>
      <c r="CG7" s="22">
        <v>2.0</v>
      </c>
      <c r="CH7" s="4" t="s">
        <v>157</v>
      </c>
      <c r="CI7" s="4" t="s">
        <v>22</v>
      </c>
      <c r="CJ7" s="4"/>
      <c r="CK7" s="4" t="s">
        <v>151</v>
      </c>
      <c r="CL7" s="22">
        <v>1.0</v>
      </c>
      <c r="CM7" s="4" t="s">
        <v>19</v>
      </c>
      <c r="CN7" s="4" t="s">
        <v>152</v>
      </c>
      <c r="CO7" s="4" t="s">
        <v>146</v>
      </c>
      <c r="CP7" s="4" t="s">
        <v>153</v>
      </c>
      <c r="CQ7" s="4"/>
      <c r="CR7" s="4"/>
      <c r="CS7" s="4" t="s">
        <v>138</v>
      </c>
      <c r="CT7" s="4"/>
      <c r="CU7" s="4"/>
      <c r="CV7" s="4"/>
      <c r="CW7" s="4"/>
      <c r="CX7" s="4" t="s">
        <v>155</v>
      </c>
      <c r="CY7" s="4" t="s">
        <v>138</v>
      </c>
      <c r="CZ7" s="4" t="s">
        <v>138</v>
      </c>
      <c r="DA7" s="4" t="s">
        <v>138</v>
      </c>
      <c r="DB7" s="4" t="s">
        <v>138</v>
      </c>
      <c r="DC7" s="4" t="s">
        <v>138</v>
      </c>
      <c r="DD7" s="4" t="s">
        <v>138</v>
      </c>
      <c r="DE7" s="4" t="s">
        <v>138</v>
      </c>
      <c r="DF7" s="4" t="s">
        <v>138</v>
      </c>
      <c r="DG7" s="4" t="s">
        <v>138</v>
      </c>
      <c r="DH7" s="4" t="s">
        <v>138</v>
      </c>
      <c r="DI7" s="4" t="s">
        <v>138</v>
      </c>
      <c r="DJ7" s="4" t="s">
        <v>138</v>
      </c>
      <c r="DK7" s="4" t="s">
        <v>138</v>
      </c>
      <c r="DL7" s="4" t="s">
        <v>138</v>
      </c>
      <c r="DM7" s="4" t="s">
        <v>138</v>
      </c>
      <c r="DN7" s="4" t="s">
        <v>138</v>
      </c>
      <c r="DO7" s="4" t="s">
        <v>138</v>
      </c>
      <c r="DP7" s="4" t="s">
        <v>138</v>
      </c>
      <c r="DQ7" s="4" t="s">
        <v>138</v>
      </c>
      <c r="DR7" s="4" t="s">
        <v>138</v>
      </c>
      <c r="DS7" s="4" t="s">
        <v>138</v>
      </c>
      <c r="DT7" s="4" t="s">
        <v>138</v>
      </c>
      <c r="DU7" s="4" t="s">
        <v>138</v>
      </c>
      <c r="DV7" s="4" t="s">
        <v>138</v>
      </c>
      <c r="DW7" s="4" t="s">
        <v>138</v>
      </c>
      <c r="DX7" s="4" t="s">
        <v>138</v>
      </c>
      <c r="DY7" s="4" t="s">
        <v>138</v>
      </c>
      <c r="DZ7" s="4" t="s">
        <v>138</v>
      </c>
      <c r="EA7" s="4" t="s">
        <v>138</v>
      </c>
      <c r="EB7" s="4" t="s">
        <v>138</v>
      </c>
      <c r="EC7" s="4" t="s">
        <v>138</v>
      </c>
      <c r="ED7" s="4" t="s">
        <v>138</v>
      </c>
      <c r="EE7" s="4" t="s">
        <v>138</v>
      </c>
      <c r="EF7" s="4" t="s">
        <v>138</v>
      </c>
      <c r="EG7" s="4" t="s">
        <v>138</v>
      </c>
      <c r="EH7" s="4" t="s">
        <v>138</v>
      </c>
      <c r="EI7" s="4" t="s">
        <v>138</v>
      </c>
      <c r="EJ7" s="4" t="s">
        <v>138</v>
      </c>
      <c r="EK7" s="4" t="s">
        <v>138</v>
      </c>
      <c r="EL7" s="4" t="s">
        <v>138</v>
      </c>
      <c r="EM7" s="4" t="s">
        <v>138</v>
      </c>
      <c r="EN7" s="4" t="s">
        <v>138</v>
      </c>
      <c r="EO7" s="4" t="s">
        <v>138</v>
      </c>
      <c r="EP7" s="4" t="s">
        <v>138</v>
      </c>
      <c r="EQ7" s="4" t="s">
        <v>138</v>
      </c>
      <c r="ER7" s="4" t="s">
        <v>138</v>
      </c>
      <c r="ES7" s="4" t="s">
        <v>138</v>
      </c>
      <c r="ET7" s="4" t="s">
        <v>138</v>
      </c>
      <c r="EU7" s="4" t="s">
        <v>138</v>
      </c>
      <c r="EV7" s="4" t="s">
        <v>138</v>
      </c>
      <c r="EW7" s="4" t="s">
        <v>138</v>
      </c>
      <c r="EX7" s="4" t="s">
        <v>138</v>
      </c>
      <c r="EY7" s="4" t="s">
        <v>138</v>
      </c>
      <c r="EZ7" s="4" t="s">
        <v>138</v>
      </c>
      <c r="FA7" s="4" t="s">
        <v>138</v>
      </c>
      <c r="FB7" s="4" t="s">
        <v>138</v>
      </c>
      <c r="FC7" s="4" t="s">
        <v>138</v>
      </c>
      <c r="FD7" s="4" t="s">
        <v>138</v>
      </c>
      <c r="FE7" s="4" t="s">
        <v>138</v>
      </c>
      <c r="FF7" s="4" t="s">
        <v>138</v>
      </c>
      <c r="FG7" s="4" t="s">
        <v>138</v>
      </c>
      <c r="FH7" s="4" t="s">
        <v>138</v>
      </c>
      <c r="FI7" s="4" t="s">
        <v>138</v>
      </c>
      <c r="FJ7" s="4" t="s">
        <v>138</v>
      </c>
      <c r="FK7" s="4" t="s">
        <v>138</v>
      </c>
      <c r="FL7" s="4" t="s">
        <v>138</v>
      </c>
      <c r="FM7" s="4" t="s">
        <v>138</v>
      </c>
      <c r="FN7" s="4" t="s">
        <v>138</v>
      </c>
      <c r="FO7" s="4" t="s">
        <v>138</v>
      </c>
      <c r="FP7" s="4" t="s">
        <v>138</v>
      </c>
      <c r="FQ7" s="4" t="s">
        <v>138</v>
      </c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6" width="12.63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158</v>
      </c>
      <c r="D3" s="5" t="s">
        <v>9</v>
      </c>
      <c r="E3" s="9" t="s">
        <v>159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</row>
    <row r="4" ht="15.75" customHeight="1">
      <c r="A4" s="16"/>
      <c r="B4" s="16" t="str">
        <f>IFERROR(__xludf.DUMMYFUNCTION("IF(C3="""","""",Transpose(IMPORTRANGE('_Settings'!$B$3,C3&amp;""!A4:A1000"")))"),"ReplaceFillsOnBlotter")</f>
        <v>ReplaceFillsOnBlotter</v>
      </c>
      <c r="C4" s="16" t="str">
        <f>IFERROR(__xludf.DUMMYFUNCTION("""COMPUTED_VALUE"""),"CheckBlotter")</f>
        <v>CheckBlotter</v>
      </c>
      <c r="D4" s="16" t="str">
        <f>IFERROR(__xludf.DUMMYFUNCTION("""COMPUTED_VALUE"""),"BlotterFunctionalities")</f>
        <v>BlotterFunctionalities</v>
      </c>
      <c r="E4" s="16" t="str">
        <f>IFERROR(__xludf.DUMMYFUNCTION("""COMPUTED_VALUE"""),"TransferToUserWorkingSubs")</f>
        <v>TransferToUserWorkingSubs</v>
      </c>
      <c r="F4" s="16" t="str">
        <f>IFERROR(__xludf.DUMMYFUNCTION("""COMPUTED_VALUE"""),"CancelWorkingSubs")</f>
        <v>CancelWorkingSubs</v>
      </c>
      <c r="G4" s="16" t="str">
        <f>IFERROR(__xludf.DUMMYFUNCTION("""COMPUTED_VALUE"""),"ReplaceWorkingSubs")</f>
        <v>ReplaceWorkingSubs</v>
      </c>
      <c r="H4" s="16" t="str">
        <f>IFERROR(__xludf.DUMMYFUNCTION("""COMPUTED_VALUE"""),"ViewAllocationDetailsWorkingSub")</f>
        <v>ViewAllocationDetailsWorkingSub</v>
      </c>
      <c r="I4" s="16" t="str">
        <f>IFERROR(__xludf.DUMMYFUNCTION("""COMPUTED_VALUE"""),"SelectTradeOnOrderGrid")</f>
        <v>SelectTradeOnOrderGrid</v>
      </c>
      <c r="J4" s="16" t="str">
        <f>IFERROR(__xludf.DUMMYFUNCTION("""COMPUTED_VALUE"""),"ShowDetailsForAlgoTradeSubOrder")</f>
        <v>ShowDetailsForAlgoTradeSubOrder</v>
      </c>
      <c r="K4" s="16" t="str">
        <f>IFERROR(__xludf.DUMMYFUNCTION("""COMPUTED_VALUE"""),"SelectTradeOrderBlotter")</f>
        <v>SelectTradeOrderBlotter</v>
      </c>
      <c r="L4" s="16" t="str">
        <f>IFERROR(__xludf.DUMMYFUNCTION("""COMPUTED_VALUE"""),"AddFillsWorkingSubs")</f>
        <v>AddFillsWorkingSubs</v>
      </c>
      <c r="M4" s="16" t="str">
        <f>IFERROR(__xludf.DUMMYFUNCTION("""COMPUTED_VALUE"""),"EditAddFillsDetails")</f>
        <v>EditAddFillsDetails</v>
      </c>
      <c r="N4" s="16" t="str">
        <f>IFERROR(__xludf.DUMMYFUNCTION("""COMPUTED_VALUE"""),"ShowDetailsForAlgoTradeWorkingSubs")</f>
        <v>ShowDetailsForAlgoTradeWorkingSubs</v>
      </c>
      <c r="O4" s="16" t="str">
        <f>IFERROR(__xludf.DUMMYFUNCTION("""COMPUTED_VALUE"""),"VerifyWorkingSubs")</f>
        <v>VerifyWorkingSubs</v>
      </c>
      <c r="P4" s="17" t="str">
        <f>IFERROR(__xludf.DUMMYFUNCTION("""COMPUTED_VALUE"""),"TransferToUserOrder")</f>
        <v>TransferToUserOrder</v>
      </c>
      <c r="Q4" s="17" t="str">
        <f>IFERROR(__xludf.DUMMYFUNCTION("""COMPUTED_VALUE"""),"EditOrder")</f>
        <v>EditOrder</v>
      </c>
      <c r="R4" s="17" t="str">
        <f>IFERROR(__xludf.DUMMYFUNCTION("""COMPUTED_VALUE"""),"SelectTradeSubOrderBlotter")</f>
        <v>SelectTradeSubOrderBlotter</v>
      </c>
      <c r="S4" s="17" t="str">
        <f>IFERROR(__xludf.DUMMYFUNCTION("""COMPUTED_VALUE"""),"VerifyOrder")</f>
        <v>VerifyOrder</v>
      </c>
      <c r="T4" s="17" t="str">
        <f>IFERROR(__xludf.DUMMYFUNCTION("""COMPUTED_VALUE"""),"VerifySubOrder")</f>
        <v>VerifySubOrder</v>
      </c>
      <c r="U4" s="17" t="str">
        <f>IFERROR(__xludf.DUMMYFUNCTION("""COMPUTED_VALUE"""),"RemoveSelectedOrders")</f>
        <v>RemoveSelectedOrders</v>
      </c>
      <c r="V4" s="17" t="str">
        <f>IFERROR(__xludf.DUMMYFUNCTION("""COMPUTED_VALUE"""),"CancelAllSelectedSubs")</f>
        <v>CancelAllSelectedSubs</v>
      </c>
      <c r="W4" s="17" t="str">
        <f>IFERROR(__xludf.DUMMYFUNCTION("""COMPUTED_VALUE"""),"MultiTradingTicket")</f>
        <v>MultiTradingTicket</v>
      </c>
      <c r="X4" s="17" t="str">
        <f>IFERROR(__xludf.DUMMYFUNCTION("""COMPUTED_VALUE"""),"AuditTrailOrderBlotter")</f>
        <v>AuditTrailOrderBlotter</v>
      </c>
      <c r="Y4" s="17" t="str">
        <f>IFERROR(__xludf.DUMMYFUNCTION("""COMPUTED_VALUE"""),"TradeNewSubOrder")</f>
        <v>TradeNewSubOrder</v>
      </c>
      <c r="Z4" s="17" t="str">
        <f>IFERROR(__xludf.DUMMYFUNCTION("""COMPUTED_VALUE"""),"RemoveStageOrder")</f>
        <v>RemoveStageOrder</v>
      </c>
      <c r="AA4" s="17" t="str">
        <f>IFERROR(__xludf.DUMMYFUNCTION("""COMPUTED_VALUE"""),"TransferToUserSubOrder")</f>
        <v>TransferToUserSubOrder</v>
      </c>
      <c r="AB4" s="17" t="str">
        <f>IFERROR(__xludf.DUMMYFUNCTION("""COMPUTED_VALUE"""),"DetailsForAlgoTradeOrder")</f>
        <v>DetailsForAlgoTradeOrder</v>
      </c>
      <c r="AC4" s="17" t="str">
        <f>IFERROR(__xludf.DUMMYFUNCTION("""COMPUTED_VALUE"""),"AddFillsSubOrder")</f>
        <v>AddFillsSubOrder</v>
      </c>
      <c r="AD4" s="17" t="str">
        <f>IFERROR(__xludf.DUMMYFUNCTION("""COMPUTED_VALUE"""),"ViewAllocationDetailsSubOrder")</f>
        <v>ViewAllocationDetailsSubOrder</v>
      </c>
      <c r="AE4" s="17" t="str">
        <f>IFERROR(__xludf.DUMMYFUNCTION("""COMPUTED_VALUE"""),"CancelAllSubs")</f>
        <v>CancelAllSubs</v>
      </c>
      <c r="AF4" s="17" t="str">
        <f>IFERROR(__xludf.DUMMYFUNCTION("""COMPUTED_VALUE"""),"CancelSubOrder")</f>
        <v>CancelSubOrder</v>
      </c>
      <c r="AG4" s="17" t="str">
        <f>IFERROR(__xludf.DUMMYFUNCTION("""COMPUTED_VALUE"""),"EditStageOrder")</f>
        <v>EditStageOrder</v>
      </c>
      <c r="AH4" s="17" t="str">
        <f>IFERROR(__xludf.DUMMYFUNCTION("""COMPUTED_VALUE"""),"ReplaceSubOrder")</f>
        <v>ReplaceSubOrder</v>
      </c>
      <c r="AI4" s="17" t="str">
        <f>IFERROR(__xludf.DUMMYFUNCTION("""COMPUTED_VALUE"""),"SelectTradeWorkingSubsBlotter")</f>
        <v>SelectTradeWorkingSubsBlotter</v>
      </c>
      <c r="AJ4" s="17" t="str">
        <f>IFERROR(__xludf.DUMMYFUNCTION("""COMPUTED_VALUE"""),"VerifyAlgoDetails")</f>
        <v>VerifyAlgoDetails</v>
      </c>
      <c r="AK4" s="17" t="str">
        <f>IFERROR(__xludf.DUMMYFUNCTION("""COMPUTED_VALUE"""),"VerifyTransferToUserOrder")</f>
        <v>VerifyTransferToUserOrder</v>
      </c>
      <c r="AL4" s="17" t="str">
        <f>IFERROR(__xludf.DUMMYFUNCTION("""COMPUTED_VALUE"""),"VerifyTransferToUserSubOdr")</f>
        <v>VerifyTransferToUserSubOdr</v>
      </c>
      <c r="AM4" s="17" t="str">
        <f>IFERROR(__xludf.DUMMYFUNCTION("""COMPUTED_VALUE"""),"VerifyTransferToUserWorkSub")</f>
        <v>VerifyTransferToUserWorkSub</v>
      </c>
      <c r="AN4" s="17" t="str">
        <f>IFERROR(__xludf.DUMMYFUNCTION("""COMPUTED_VALUE"""),"SaveLayoutOrderGrid")</f>
        <v>SaveLayoutOrderGrid</v>
      </c>
      <c r="AO4" s="17" t="str">
        <f>IFERROR(__xludf.DUMMYFUNCTION("""COMPUTED_VALUE"""),"ReplaceStageOrder")</f>
        <v>ReplaceStageOrder</v>
      </c>
      <c r="AP4" s="17" t="str">
        <f>IFERROR(__xludf.DUMMYFUNCTION("""COMPUTED_VALUE"""),"MultiTradingTicketFromBlotter")</f>
        <v>MultiTradingTicketFromBlotter</v>
      </c>
      <c r="AQ4" s="17" t="str">
        <f>IFERROR(__xludf.DUMMYFUNCTION("""COMPUTED_VALUE"""),"VerifyViewAllocationDetails")</f>
        <v>VerifyViewAllocationDetails</v>
      </c>
      <c r="AR4" s="17" t="str">
        <f>IFERROR(__xludf.DUMMYFUNCTION("""COMPUTED_VALUE"""),"GoToAllocation")</f>
        <v>GoToAllocation</v>
      </c>
      <c r="AS4" s="17" t="str">
        <f>IFERROR(__xludf.DUMMYFUNCTION("""COMPUTED_VALUE"""),"VerifyRollover")</f>
        <v>VerifyRollover</v>
      </c>
      <c r="AT4" s="17" t="str">
        <f>IFERROR(__xludf.DUMMYFUNCTION("""COMPUTED_VALUE"""),"VerifySubOrderAfterRollover")</f>
        <v>VerifySubOrderAfterRollover</v>
      </c>
      <c r="AU4" s="17" t="str">
        <f>IFERROR(__xludf.DUMMYFUNCTION("""COMPUTED_VALUE"""),"OpenBlotter")</f>
        <v>OpenBlotter</v>
      </c>
      <c r="AV4" s="17" t="str">
        <f>IFERROR(__xludf.DUMMYFUNCTION("""COMPUTED_VALUE"""),"RemoveManualExecution")</f>
        <v>RemoveManualExecution</v>
      </c>
      <c r="AW4" s="17" t="str">
        <f>IFERROR(__xludf.DUMMYFUNCTION("""COMPUTED_VALUE"""),"RemoveExecutionWorkingSubs")</f>
        <v>RemoveExecutionWorkingSubs</v>
      </c>
      <c r="AX4" s="17" t="str">
        <f>IFERROR(__xludf.DUMMYFUNCTION("""COMPUTED_VALUE"""),"GetExecutionReportOrders")</f>
        <v>GetExecutionReportOrders</v>
      </c>
      <c r="AY4" s="17" t="str">
        <f>IFERROR(__xludf.DUMMYFUNCTION("""COMPUTED_VALUE"""),"GetExecutionReportDetails")</f>
        <v>GetExecutionReportDetails</v>
      </c>
      <c r="AZ4" s="17" t="str">
        <f>IFERROR(__xludf.DUMMYFUNCTION("""COMPUTED_VALUE"""),"ExportExecutionReportData")</f>
        <v>ExportExecutionReportData</v>
      </c>
      <c r="BA4" s="17" t="str">
        <f>IFERROR(__xludf.DUMMYFUNCTION("""COMPUTED_VALUE"""),"VerifyExecutionReport")</f>
        <v>VerifyExecutionReport</v>
      </c>
      <c r="BB4" s="17" t="str">
        <f>IFERROR(__xludf.DUMMYFUNCTION("""COMPUTED_VALUE"""),"BlotterExecutionReportSnapshot")</f>
        <v>BlotterExecutionReportSnapshot</v>
      </c>
      <c r="BC4" s="17" t="str">
        <f>IFERROR(__xludf.DUMMYFUNCTION("""COMPUTED_VALUE"""),"MultipleTradeTransferToUser")</f>
        <v>MultipleTradeTransferToUser</v>
      </c>
      <c r="BD4" s="17" t="str">
        <f>IFERROR(__xludf.DUMMYFUNCTION("""COMPUTED_VALUE"""),"ReloadOrderFromBlotter")</f>
        <v>ReloadOrderFromBlotter</v>
      </c>
      <c r="BE4" s="17" t="str">
        <f>IFERROR(__xludf.DUMMYFUNCTION("""COMPUTED_VALUE"""),"ReloadOrderFromSubOrder")</f>
        <v>ReloadOrderFromSubOrder</v>
      </c>
      <c r="BF4" s="17" t="str">
        <f>IFERROR(__xludf.DUMMYFUNCTION("""COMPUTED_VALUE"""),"ReloadOrderFromWorkingSubs")</f>
        <v>ReloadOrderFromWorkingSubs</v>
      </c>
      <c r="BG4" s="17" t="str">
        <f>IFERROR(__xludf.DUMMYFUNCTION("""COMPUTED_VALUE"""),"SelectFills")</f>
        <v>SelectFills</v>
      </c>
      <c r="BH4" s="17" t="str">
        <f>IFERROR(__xludf.DUMMYFUNCTION("""COMPUTED_VALUE"""),"ModifyFills")</f>
        <v>ModifyFills</v>
      </c>
      <c r="BI4" s="17" t="str">
        <f>IFERROR(__xludf.DUMMYFUNCTION("""COMPUTED_VALUE"""),"AllocateFromBlotter")</f>
        <v>AllocateFromBlotter</v>
      </c>
      <c r="BJ4" s="17" t="str">
        <f>IFERROR(__xludf.DUMMYFUNCTION("""COMPUTED_VALUE"""),"ViewPTTAllocationDetails")</f>
        <v>ViewPTTAllocationDetails</v>
      </c>
      <c r="BK4" s="17" t="str">
        <f>IFERROR(__xludf.DUMMYFUNCTION("""COMPUTED_VALUE"""),"MergeOrder")</f>
        <v>MergeOrder</v>
      </c>
      <c r="BL4" s="17" t="str">
        <f>IFERROR(__xludf.DUMMYFUNCTION("""COMPUTED_VALUE"""),"VerifyMergeOrder")</f>
        <v>VerifyMergeOrder</v>
      </c>
      <c r="BM4" s="17" t="str">
        <f>IFERROR(__xludf.DUMMYFUNCTION("""COMPUTED_VALUE"""),"AddTabBlotter")</f>
        <v>AddTabBlotter</v>
      </c>
      <c r="BN4" s="17" t="str">
        <f>IFERROR(__xludf.DUMMYFUNCTION("""COMPUTED_VALUE"""),"VerifyLowerStripBlotterUI")</f>
        <v>VerifyLowerStripBlotterUI</v>
      </c>
      <c r="BO4" s="17" t="str">
        <f>IFERROR(__xludf.DUMMYFUNCTION("""COMPUTED_VALUE"""),"SaveOrRemoveInSummaryTab")</f>
        <v>SaveOrRemoveInSummaryTab</v>
      </c>
      <c r="BP4" s="17" t="str">
        <f>IFERROR(__xludf.DUMMYFUNCTION("""COMPUTED_VALUE"""),"SaveOrRemoveInWorkingSubsTab")</f>
        <v>SaveOrRemoveInWorkingSubsTab</v>
      </c>
      <c r="BQ4" s="17" t="str">
        <f>IFERROR(__xludf.DUMMYFUNCTION("""COMPUTED_VALUE"""),"SelectCheckBoxOnOrderGrid")</f>
        <v>SelectCheckBoxOnOrderGrid</v>
      </c>
      <c r="BR4" s="17" t="str">
        <f>IFERROR(__xludf.DUMMYFUNCTION("""COMPUTED_VALUE"""),"ReAllocateFromBlotterByAllocate")</f>
        <v>ReAllocateFromBlotterByAllocate</v>
      </c>
      <c r="BS4" s="17" t="str">
        <f>IFERROR(__xludf.DUMMYFUNCTION("""COMPUTED_VALUE"""),"RemoveOrderFromCustomTab")</f>
        <v>RemoveOrderFromCustomTab</v>
      </c>
      <c r="BT4" s="17" t="str">
        <f>IFERROR(__xludf.DUMMYFUNCTION("""COMPUTED_VALUE"""),"ReloadFromSummary")</f>
        <v>ReloadFromSummary</v>
      </c>
      <c r="BU4" s="17" t="str">
        <f>IFERROR(__xludf.DUMMYFUNCTION("""COMPUTED_VALUE"""),"AllocateFromWorkingSubsBlotter")</f>
        <v>AllocateFromWorkingSubsBlotter</v>
      </c>
      <c r="BV4" s="17" t="str">
        <f>IFERROR(__xludf.DUMMYFUNCTION("""COMPUTED_VALUE"""),"EditOrderForMTT")</f>
        <v>EditOrderForMTT</v>
      </c>
      <c r="BW4" s="17" t="str">
        <f>IFERROR(__xludf.DUMMYFUNCTION("""COMPUTED_VALUE"""),"VerifyCustomTabs")</f>
        <v>VerifyCustomTabs</v>
      </c>
      <c r="BX4" s="17" t="str">
        <f>IFERROR(__xludf.DUMMYFUNCTION("""COMPUTED_VALUE"""),"SelectCheckBoxOnCustomTab")</f>
        <v>SelectCheckBoxOnCustomTab</v>
      </c>
      <c r="BY4" s="17" t="str">
        <f>IFERROR(__xludf.DUMMYFUNCTION("""COMPUTED_VALUE"""),"UploadStageOrder")</f>
        <v>UploadStageOrder</v>
      </c>
      <c r="BZ4" s="17" t="str">
        <f>IFERROR(__xludf.DUMMYFUNCTION("""COMPUTED_VALUE"""),"RefreshBlotter")</f>
        <v>RefreshBlotter</v>
      </c>
      <c r="CA4" s="17" t="str">
        <f>IFERROR(__xludf.DUMMYFUNCTION("""COMPUTED_VALUE"""),"CancelFromSummary")</f>
        <v>CancelFromSummary</v>
      </c>
      <c r="CB4" s="17" t="str">
        <f>IFERROR(__xludf.DUMMYFUNCTION("""COMPUTED_VALUE"""),"VerifyAuditTrail")</f>
        <v>VerifyAuditTrail</v>
      </c>
      <c r="CC4" s="17" t="str">
        <f>IFERROR(__xludf.DUMMYFUNCTION("""COMPUTED_VALUE"""),"AddOrRemoveColumnFromBlotter")</f>
        <v>AddOrRemoveColumnFromBlotter</v>
      </c>
      <c r="CD4" s="17" t="str">
        <f>IFERROR(__xludf.DUMMYFUNCTION("""COMPUTED_VALUE"""),"ApplyFilterOnBlotter")</f>
        <v>ApplyFilterOnBlotter</v>
      </c>
      <c r="CE4" s="17" t="str">
        <f>IFERROR(__xludf.DUMMYFUNCTION("""COMPUTED_VALUE"""),"SortGridOnBlotter")</f>
        <v>SortGridOnBlotter</v>
      </c>
      <c r="CF4" s="17" t="str">
        <f>IFERROR(__xludf.DUMMYFUNCTION("""COMPUTED_VALUE"""),"VerifyDataIndexWise")</f>
        <v>VerifyDataIndexWise</v>
      </c>
      <c r="CG4" s="17" t="str">
        <f>IFERROR(__xludf.DUMMYFUNCTION("""COMPUTED_VALUE"""),"ReplaceFillsOnBlotter")</f>
        <v>ReplaceFillsOnBlotter</v>
      </c>
      <c r="CH4" s="17" t="str">
        <f>IFERROR(__xludf.DUMMYFUNCTION("""COMPUTED_VALUE"""),"ReplaceFillsOnBlotter")</f>
        <v>ReplaceFillsOnBlotter</v>
      </c>
      <c r="CI4" s="17" t="str">
        <f>IFERROR(__xludf.DUMMYFUNCTION("""COMPUTED_VALUE"""),"SaveLayoutBlotter")</f>
        <v>SaveLayoutBlotter</v>
      </c>
      <c r="CJ4" s="17" t="str">
        <f>IFERROR(__xludf.DUMMYFUNCTION("""COMPUTED_VALUE"""),"VerifyBlotterNavLockPopup")</f>
        <v>VerifyBlotterNavLockPopup</v>
      </c>
      <c r="CK4" s="17" t="str">
        <f>IFERROR(__xludf.DUMMYFUNCTION("""COMPUTED_VALUE"""),"CustomTabActions")</f>
        <v>CustomTabActions</v>
      </c>
      <c r="CL4" s="17" t="str">
        <f>IFERROR(__xludf.DUMMYFUNCTION("""COMPUTED_VALUE"""),"VerifyAllocationWindow")</f>
        <v>VerifyAllocationWindow</v>
      </c>
      <c r="CM4" s="17" t="str">
        <f>IFERROR(__xludf.DUMMYFUNCTION("""COMPUTED_VALUE"""),"VerifyViewAllocationOrder")</f>
        <v>VerifyViewAllocationOrder</v>
      </c>
      <c r="CN4" s="17" t="str">
        <f>IFERROR(__xludf.DUMMYFUNCTION("""COMPUTED_VALUE"""),"ResizeEnsureBlotter")</f>
        <v>ResizeEnsureBlotter</v>
      </c>
      <c r="CO4" s="17" t="str">
        <f>IFERROR(__xludf.DUMMYFUNCTION("""COMPUTED_VALUE"""),"RightClickOperations")</f>
        <v>RightClickOperations</v>
      </c>
      <c r="CP4" s="17" t="str">
        <f>IFERROR(__xludf.DUMMYFUNCTION("""COMPUTED_VALUE"""),"BlotterToolBarAction")</f>
        <v>BlotterToolBarAction</v>
      </c>
      <c r="CQ4" s="17" t="str">
        <f>IFERROR(__xludf.DUMMYFUNCTION("""COMPUTED_VALUE"""),"SelectTradeOnBlotter")</f>
        <v>SelectTradeOnBlotter</v>
      </c>
      <c r="CR4" s="17" t="str">
        <f>IFERROR(__xludf.DUMMYFUNCTION("""COMPUTED_VALUE"""),"SelectTradeSummary")</f>
        <v>SelectTradeSummary</v>
      </c>
      <c r="CS4" s="17" t="str">
        <f>IFERROR(__xludf.DUMMYFUNCTION("""COMPUTED_VALUE"""),"MergeOrderMessage")</f>
        <v>MergeOrderMessage</v>
      </c>
      <c r="CT4" s="17" t="str">
        <f>IFERROR(__xludf.DUMMYFUNCTION("""COMPUTED_VALUE"""),"SwitchTabBlotter")</f>
        <v>SwitchTabBlotter</v>
      </c>
      <c r="CU4" s="17" t="str">
        <f>IFERROR(__xludf.DUMMYFUNCTION("""COMPUTED_VALUE"""),"AddTab")</f>
        <v>AddTab</v>
      </c>
      <c r="CV4" s="17" t="str">
        <f>IFERROR(__xludf.DUMMYFUNCTION("""COMPUTED_VALUE"""),"UploadStageOrders")</f>
        <v>UploadStageOrders</v>
      </c>
      <c r="CW4" s="17" t="str">
        <f>IFERROR(__xludf.DUMMYFUNCTION("""COMPUTED_VALUE"""),"AddTabToFav")</f>
        <v>AddTabToFav</v>
      </c>
      <c r="CX4" s="17" t="str">
        <f>IFERROR(__xludf.DUMMYFUNCTION("""COMPUTED_VALUE"""),"RollOverContextMenu")</f>
        <v>RollOverContextMenu</v>
      </c>
      <c r="CY4" s="17" t="str">
        <f>IFERROR(__xludf.DUMMYFUNCTION("""COMPUTED_VALUE"""),"BookAsSwap")</f>
        <v>BookAsSwap</v>
      </c>
      <c r="CZ4" s="17" t="str">
        <f>IFERROR(__xludf.DUMMYFUNCTION("""COMPUTED_VALUE"""),"ActionOnFloatingWindow")</f>
        <v>ActionOnFloatingWindow</v>
      </c>
      <c r="DA4" s="17" t="str">
        <f>IFERROR(__xludf.DUMMYFUNCTION("""COMPUTED_VALUE"""),"EnableOrVerifyHotButton")</f>
        <v>EnableOrVerifyHotButton</v>
      </c>
      <c r="DB4" s="17" t="str">
        <f>IFERROR(__xludf.DUMMYFUNCTION("""COMPUTED_VALUE"""),"VerifyFilterUiRC")</f>
        <v>VerifyFilterUiRC</v>
      </c>
      <c r="DC4" s="17" t="str">
        <f>IFERROR(__xludf.DUMMYFUNCTION("""COMPUTED_VALUE"""),"CreateHotButtonOnBlotter")</f>
        <v>CreateHotButtonOnBlotter</v>
      </c>
      <c r="DD4" s="17" t="str">
        <f>IFERROR(__xludf.DUMMYFUNCTION("""COMPUTED_VALUE"""),"FillHBdetailsOnBlotter")</f>
        <v>FillHBdetailsOnBlotter</v>
      </c>
      <c r="DE4" s="17" t="str">
        <f>IFERROR(__xludf.DUMMYFUNCTION("""COMPUTED_VALUE"""),"BlotterColumnChooser")</f>
        <v>BlotterColumnChooser</v>
      </c>
      <c r="DF4" s="17" t="str">
        <f>IFERROR(__xludf.DUMMYFUNCTION("""COMPUTED_VALUE"""),"CaptureHotButtonDetails")</f>
        <v>CaptureHotButtonDetails</v>
      </c>
      <c r="DG4" s="17" t="str">
        <f>IFERROR(__xludf.DUMMYFUNCTION("""COMPUTED_VALUE"""),"RightClickActionVerification")</f>
        <v>RightClickActionVerification</v>
      </c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IFERROR(__xludf.DUMMYFUNCTION("""COMPUTED_VALUE"""),"Avg Fill Price (Base)")</f>
        <v>Avg Fill Price (Base)</v>
      </c>
      <c r="C5" s="18" t="str">
        <f>IFERROR(__xludf.DUMMYFUNCTION("""COMPUTED_VALUE"""),"Transaction Time")</f>
        <v>Transaction Time</v>
      </c>
      <c r="D5" s="18" t="str">
        <f>IFERROR(__xludf.DUMMYFUNCTION("""COMPUTED_VALUE"""),"Symbol")</f>
        <v>Symbol</v>
      </c>
      <c r="E5" s="18" t="str">
        <f>IFERROR(__xludf.DUMMYFUNCTION("""COMPUTED_VALUE"""),"Algo")</f>
        <v>Algo</v>
      </c>
      <c r="F5" s="18" t="str">
        <f>IFERROR(__xludf.DUMMYFUNCTION("""COMPUTED_VALUE"""),"Side")</f>
        <v>Side</v>
      </c>
      <c r="G5" s="18" t="str">
        <f>IFERROR(__xludf.DUMMYFUNCTION("""COMPUTED_VALUE"""),"Status")</f>
        <v>Status</v>
      </c>
      <c r="H5" s="18" t="str">
        <f>IFERROR(__xludf.DUMMYFUNCTION("""COMPUTED_VALUE"""),"Target Qty")</f>
        <v>Target Qty</v>
      </c>
      <c r="I5" s="18" t="str">
        <f>IFERROR(__xludf.DUMMYFUNCTION("""COMPUTED_VALUE"""),"Total Executed Qty")</f>
        <v>Total Executed Qty</v>
      </c>
      <c r="J5" s="18" t="str">
        <f>IFERROR(__xludf.DUMMYFUNCTION("""COMPUTED_VALUE"""),"% Executed")</f>
        <v>% Executed</v>
      </c>
      <c r="K5" s="18" t="str">
        <f>IFERROR(__xludf.DUMMYFUNCTION("""COMPUTED_VALUE"""),"Day Executed Qty")</f>
        <v>Day Executed Qty</v>
      </c>
      <c r="L5" s="18" t="str">
        <f>IFERROR(__xludf.DUMMYFUNCTION("""COMPUTED_VALUE"""),"Uncommitted Qty")</f>
        <v>Uncommitted Qty</v>
      </c>
      <c r="M5" s="18" t="str">
        <f>IFERROR(__xludf.DUMMYFUNCTION("""COMPUTED_VALUE"""),"Limit Price")</f>
        <v>Limit Price</v>
      </c>
      <c r="N5" s="18" t="str">
        <f>IFERROR(__xludf.DUMMYFUNCTION("""COMPUTED_VALUE"""),"Last Fill Price (Local)")</f>
        <v>Last Fill Price (Local)</v>
      </c>
      <c r="O5" s="18" t="str">
        <f>IFERROR(__xludf.DUMMYFUNCTION("""COMPUTED_VALUE"""),"Stop Price")</f>
        <v>Stop Price</v>
      </c>
      <c r="P5" s="18" t="str">
        <f>IFERROR(__xludf.DUMMYFUNCTION("""COMPUTED_VALUE"""),"Avg Fill Price (Local)")</f>
        <v>Avg Fill Price (Local)</v>
      </c>
      <c r="Q5" s="18" t="str">
        <f>IFERROR(__xludf.DUMMYFUNCTION("""COMPUTED_VALUE"""),"Broker")</f>
        <v>Broker</v>
      </c>
      <c r="R5" s="18" t="str">
        <f>IFERROR(__xludf.DUMMYFUNCTION("""COMPUTED_VALUE"""),"Account")</f>
        <v>Account</v>
      </c>
      <c r="S5" s="18" t="str">
        <f>IFERROR(__xludf.DUMMYFUNCTION("""COMPUTED_VALUE"""),"OrderID")</f>
        <v>OrderID</v>
      </c>
      <c r="T5" s="19" t="str">
        <f>IFERROR(__xludf.DUMMYFUNCTION("""COMPUTED_VALUE"""),"Order Type")</f>
        <v>Order Type</v>
      </c>
      <c r="U5" s="19" t="str">
        <f>IFERROR(__xludf.DUMMYFUNCTION("""COMPUTED_VALUE"""),"Principal Amount (Local)")</f>
        <v>Principal Amount (Local)</v>
      </c>
      <c r="V5" s="19" t="str">
        <f>IFERROR(__xludf.DUMMYFUNCTION("""COMPUTED_VALUE"""),"Principal Amount (Base)")</f>
        <v>Principal Amount (Base)</v>
      </c>
      <c r="W5" s="19" t="str">
        <f>IFERROR(__xludf.DUMMYFUNCTION("""COMPUTED_VALUE"""),"Peg")</f>
        <v>Peg</v>
      </c>
      <c r="X5" s="19" t="str">
        <f>IFERROR(__xludf.DUMMYFUNCTION("""COMPUTED_VALUE"""),"ParentClOrderID")</f>
        <v>ParentClOrderID</v>
      </c>
      <c r="Y5" s="19" t="str">
        <f>IFERROR(__xludf.DUMMYFUNCTION("""COMPUTED_VALUE"""),"Strike Price")</f>
        <v>Strike Price</v>
      </c>
      <c r="Z5" s="19" t="str">
        <f>IFERROR(__xludf.DUMMYFUNCTION("""COMPUTED_VALUE"""),"Last Shares")</f>
        <v>Last Shares</v>
      </c>
      <c r="AA5" s="19" t="str">
        <f>IFERROR(__xludf.DUMMYFUNCTION("""COMPUTED_VALUE"""),"Working Qty")</f>
        <v>Working Qty</v>
      </c>
      <c r="AB5" s="19" t="str">
        <f>IFERROR(__xludf.DUMMYFUNCTION("""COMPUTED_VALUE"""),"Bloomberg Symbol")</f>
        <v>Bloomberg Symbol</v>
      </c>
      <c r="AC5" s="19" t="str">
        <f>IFERROR(__xludf.DUMMYFUNCTION("""COMPUTED_VALUE"""),"Imported File Name")</f>
        <v>Imported File Name</v>
      </c>
      <c r="AD5" s="19" t="str">
        <f>IFERROR(__xludf.DUMMYFUNCTION("""COMPUTED_VALUE"""),"Master Fund")</f>
        <v>Master Fund</v>
      </c>
      <c r="AE5" s="19" t="str">
        <f>IFERROR(__xludf.DUMMYFUNCTION("""COMPUTED_VALUE"""),"Day Average Price")</f>
        <v>Day Average Price</v>
      </c>
      <c r="AF5" s="19" t="str">
        <f>IFERROR(__xludf.DUMMYFUNCTION("""COMPUTED_VALUE"""),"Asset Class")</f>
        <v>Asset Class</v>
      </c>
      <c r="AG5" s="19" t="str">
        <f>IFERROR(__xludf.DUMMYFUNCTION("""COMPUTED_VALUE"""),"Underlying Country")</f>
        <v>Underlying Country</v>
      </c>
      <c r="AH5" s="19" t="str">
        <f>IFERROR(__xludf.DUMMYFUNCTION("""COMPUTED_VALUE"""),"Trader")</f>
        <v>Trader</v>
      </c>
      <c r="AI5" s="19" t="str">
        <f>IFERROR(__xludf.DUMMYFUNCTION("""COMPUTED_VALUE"""),"User")</f>
        <v>User</v>
      </c>
      <c r="AJ5" s="19" t="str">
        <f>IFERROR(__xludf.DUMMYFUNCTION("""COMPUTED_VALUE"""),"Venue")</f>
        <v>Venue</v>
      </c>
      <c r="AK5" s="19" t="str">
        <f>IFERROR(__xludf.DUMMYFUNCTION("""COMPUTED_VALUE"""),"Settlement Currency")</f>
        <v>Settlement Currency</v>
      </c>
      <c r="AL5" s="19" t="str">
        <f>IFERROR(__xludf.DUMMYFUNCTION("""COMPUTED_VALUE"""),"FX Conversion Operator")</f>
        <v>FX Conversion Operator</v>
      </c>
      <c r="AM5" s="19" t="str">
        <f>IFERROR(__xludf.DUMMYFUNCTION("""COMPUTED_VALUE"""),"Process Date")</f>
        <v>Process Date</v>
      </c>
      <c r="AN5" s="19" t="str">
        <f>IFERROR(__xludf.DUMMYFUNCTION("""COMPUTED_VALUE"""),"Underlying Symbol")</f>
        <v>Underlying Symbol</v>
      </c>
      <c r="AO5" s="19" t="str">
        <f>IFERROR(__xludf.DUMMYFUNCTION("""COMPUTED_VALUE"""),"Put/Call")</f>
        <v>Put/Call</v>
      </c>
      <c r="AP5" s="19" t="str">
        <f>IFERROR(__xludf.DUMMYFUNCTION("""COMPUTED_VALUE"""),"FX Rate")</f>
        <v>FX Rate</v>
      </c>
      <c r="AQ5" s="19" t="str">
        <f>IFERROR(__xludf.DUMMYFUNCTION("""COMPUTED_VALUE"""),"Trade Attribute 1")</f>
        <v>Trade Attribute 1</v>
      </c>
      <c r="AR5" s="19" t="str">
        <f>IFERROR(__xludf.DUMMYFUNCTION("""COMPUTED_VALUE"""),"Trade Attribute 2")</f>
        <v>Trade Attribute 2</v>
      </c>
      <c r="AS5" s="19" t="str">
        <f>IFERROR(__xludf.DUMMYFUNCTION("""COMPUTED_VALUE"""),"Trade Attribute 3")</f>
        <v>Trade Attribute 3</v>
      </c>
      <c r="AT5" s="19" t="str">
        <f>IFERROR(__xludf.DUMMYFUNCTION("""COMPUTED_VALUE"""),"Trade Attribute 4")</f>
        <v>Trade Attribute 4</v>
      </c>
      <c r="AU5" s="19" t="str">
        <f>IFERROR(__xludf.DUMMYFUNCTION("""COMPUTED_VALUE"""),"Trade Attribute 5")</f>
        <v>Trade Attribute 5</v>
      </c>
      <c r="AV5" s="19" t="str">
        <f>IFERROR(__xludf.DUMMYFUNCTION("""COMPUTED_VALUE"""),"Trade Attribute 6")</f>
        <v>Trade Attribute 6</v>
      </c>
      <c r="AW5" s="19" t="str">
        <f>IFERROR(__xludf.DUMMYFUNCTION("""COMPUTED_VALUE"""),"Internal Comments")</f>
        <v>Internal Comments</v>
      </c>
      <c r="AX5" s="19" t="str">
        <f>IFERROR(__xludf.DUMMYFUNCTION("""COMPUTED_VALUE"""),"Allocation Scheme Name")</f>
        <v>Allocation Scheme Name</v>
      </c>
      <c r="AY5" s="19" t="str">
        <f>IFERROR(__xludf.DUMMYFUNCTION("""COMPUTED_VALUE"""),"Start of Day Qty")</f>
        <v>Start of Day Qty</v>
      </c>
      <c r="AZ5" s="19" t="str">
        <f>IFERROR(__xludf.DUMMYFUNCTION("""COMPUTED_VALUE"""),"Leaves")</f>
        <v>Leaves</v>
      </c>
      <c r="BA5" s="19" t="str">
        <f>IFERROR(__xludf.DUMMYFUNCTION("""COMPUTED_VALUE"""),"CheckBox")</f>
        <v>CheckBox</v>
      </c>
      <c r="BB5" s="19" t="str">
        <f>IFERROR(__xludf.DUMMYFUNCTION("""COMPUTED_VALUE"""),"Action on toolbar")</f>
        <v>Action on toolbar</v>
      </c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</row>
    <row r="6" ht="15.75" customHeight="1">
      <c r="A6" s="7"/>
      <c r="B6" s="7"/>
      <c r="C6" s="7"/>
      <c r="D6" s="7" t="s">
        <v>19</v>
      </c>
      <c r="E6" s="7"/>
      <c r="F6" s="7" t="s">
        <v>22</v>
      </c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6" width="12.63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158</v>
      </c>
      <c r="D3" s="5" t="s">
        <v>9</v>
      </c>
      <c r="E3" s="9" t="s">
        <v>160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</row>
    <row r="4" ht="15.75" customHeight="1">
      <c r="A4" s="16"/>
      <c r="B4" s="16" t="str">
        <f>IFERROR(__xludf.DUMMYFUNCTION("IF(C3="""","""",Transpose(IMPORTRANGE('_Settings'!$B$3,C3&amp;""!A4:A1000"")))"),"ReplaceFillsOnBlotter")</f>
        <v>ReplaceFillsOnBlotter</v>
      </c>
      <c r="C4" s="16" t="str">
        <f>IFERROR(__xludf.DUMMYFUNCTION("""COMPUTED_VALUE"""),"CheckBlotter")</f>
        <v>CheckBlotter</v>
      </c>
      <c r="D4" s="16" t="str">
        <f>IFERROR(__xludf.DUMMYFUNCTION("""COMPUTED_VALUE"""),"BlotterFunctionalities")</f>
        <v>BlotterFunctionalities</v>
      </c>
      <c r="E4" s="16" t="str">
        <f>IFERROR(__xludf.DUMMYFUNCTION("""COMPUTED_VALUE"""),"TransferToUserWorkingSubs")</f>
        <v>TransferToUserWorkingSubs</v>
      </c>
      <c r="F4" s="16" t="str">
        <f>IFERROR(__xludf.DUMMYFUNCTION("""COMPUTED_VALUE"""),"CancelWorkingSubs")</f>
        <v>CancelWorkingSubs</v>
      </c>
      <c r="G4" s="16" t="str">
        <f>IFERROR(__xludf.DUMMYFUNCTION("""COMPUTED_VALUE"""),"ReplaceWorkingSubs")</f>
        <v>ReplaceWorkingSubs</v>
      </c>
      <c r="H4" s="16" t="str">
        <f>IFERROR(__xludf.DUMMYFUNCTION("""COMPUTED_VALUE"""),"ViewAllocationDetailsWorkingSub")</f>
        <v>ViewAllocationDetailsWorkingSub</v>
      </c>
      <c r="I4" s="16" t="str">
        <f>IFERROR(__xludf.DUMMYFUNCTION("""COMPUTED_VALUE"""),"SelectTradeOnOrderGrid")</f>
        <v>SelectTradeOnOrderGrid</v>
      </c>
      <c r="J4" s="16" t="str">
        <f>IFERROR(__xludf.DUMMYFUNCTION("""COMPUTED_VALUE"""),"ShowDetailsForAlgoTradeSubOrder")</f>
        <v>ShowDetailsForAlgoTradeSubOrder</v>
      </c>
      <c r="K4" s="16" t="str">
        <f>IFERROR(__xludf.DUMMYFUNCTION("""COMPUTED_VALUE"""),"SelectTradeOrderBlotter")</f>
        <v>SelectTradeOrderBlotter</v>
      </c>
      <c r="L4" s="16" t="str">
        <f>IFERROR(__xludf.DUMMYFUNCTION("""COMPUTED_VALUE"""),"AddFillsWorkingSubs")</f>
        <v>AddFillsWorkingSubs</v>
      </c>
      <c r="M4" s="16" t="str">
        <f>IFERROR(__xludf.DUMMYFUNCTION("""COMPUTED_VALUE"""),"EditAddFillsDetails")</f>
        <v>EditAddFillsDetails</v>
      </c>
      <c r="N4" s="16" t="str">
        <f>IFERROR(__xludf.DUMMYFUNCTION("""COMPUTED_VALUE"""),"ShowDetailsForAlgoTradeWorkingSubs")</f>
        <v>ShowDetailsForAlgoTradeWorkingSubs</v>
      </c>
      <c r="O4" s="16" t="str">
        <f>IFERROR(__xludf.DUMMYFUNCTION("""COMPUTED_VALUE"""),"VerifyWorkingSubs")</f>
        <v>VerifyWorkingSubs</v>
      </c>
      <c r="P4" s="17" t="str">
        <f>IFERROR(__xludf.DUMMYFUNCTION("""COMPUTED_VALUE"""),"TransferToUserOrder")</f>
        <v>TransferToUserOrder</v>
      </c>
      <c r="Q4" s="17" t="str">
        <f>IFERROR(__xludf.DUMMYFUNCTION("""COMPUTED_VALUE"""),"EditOrder")</f>
        <v>EditOrder</v>
      </c>
      <c r="R4" s="17" t="str">
        <f>IFERROR(__xludf.DUMMYFUNCTION("""COMPUTED_VALUE"""),"SelectTradeSubOrderBlotter")</f>
        <v>SelectTradeSubOrderBlotter</v>
      </c>
      <c r="S4" s="17" t="str">
        <f>IFERROR(__xludf.DUMMYFUNCTION("""COMPUTED_VALUE"""),"VerifyOrder")</f>
        <v>VerifyOrder</v>
      </c>
      <c r="T4" s="17" t="str">
        <f>IFERROR(__xludf.DUMMYFUNCTION("""COMPUTED_VALUE"""),"VerifySubOrder")</f>
        <v>VerifySubOrder</v>
      </c>
      <c r="U4" s="17" t="str">
        <f>IFERROR(__xludf.DUMMYFUNCTION("""COMPUTED_VALUE"""),"RemoveSelectedOrders")</f>
        <v>RemoveSelectedOrders</v>
      </c>
      <c r="V4" s="17" t="str">
        <f>IFERROR(__xludf.DUMMYFUNCTION("""COMPUTED_VALUE"""),"CancelAllSelectedSubs")</f>
        <v>CancelAllSelectedSubs</v>
      </c>
      <c r="W4" s="17" t="str">
        <f>IFERROR(__xludf.DUMMYFUNCTION("""COMPUTED_VALUE"""),"MultiTradingTicket")</f>
        <v>MultiTradingTicket</v>
      </c>
      <c r="X4" s="17" t="str">
        <f>IFERROR(__xludf.DUMMYFUNCTION("""COMPUTED_VALUE"""),"AuditTrailOrderBlotter")</f>
        <v>AuditTrailOrderBlotter</v>
      </c>
      <c r="Y4" s="17" t="str">
        <f>IFERROR(__xludf.DUMMYFUNCTION("""COMPUTED_VALUE"""),"TradeNewSubOrder")</f>
        <v>TradeNewSubOrder</v>
      </c>
      <c r="Z4" s="17" t="str">
        <f>IFERROR(__xludf.DUMMYFUNCTION("""COMPUTED_VALUE"""),"RemoveStageOrder")</f>
        <v>RemoveStageOrder</v>
      </c>
      <c r="AA4" s="17" t="str">
        <f>IFERROR(__xludf.DUMMYFUNCTION("""COMPUTED_VALUE"""),"TransferToUserSubOrder")</f>
        <v>TransferToUserSubOrder</v>
      </c>
      <c r="AB4" s="17" t="str">
        <f>IFERROR(__xludf.DUMMYFUNCTION("""COMPUTED_VALUE"""),"DetailsForAlgoTradeOrder")</f>
        <v>DetailsForAlgoTradeOrder</v>
      </c>
      <c r="AC4" s="17" t="str">
        <f>IFERROR(__xludf.DUMMYFUNCTION("""COMPUTED_VALUE"""),"AddFillsSubOrder")</f>
        <v>AddFillsSubOrder</v>
      </c>
      <c r="AD4" s="17" t="str">
        <f>IFERROR(__xludf.DUMMYFUNCTION("""COMPUTED_VALUE"""),"ViewAllocationDetailsSubOrder")</f>
        <v>ViewAllocationDetailsSubOrder</v>
      </c>
      <c r="AE4" s="17" t="str">
        <f>IFERROR(__xludf.DUMMYFUNCTION("""COMPUTED_VALUE"""),"CancelAllSubs")</f>
        <v>CancelAllSubs</v>
      </c>
      <c r="AF4" s="17" t="str">
        <f>IFERROR(__xludf.DUMMYFUNCTION("""COMPUTED_VALUE"""),"CancelSubOrder")</f>
        <v>CancelSubOrder</v>
      </c>
      <c r="AG4" s="17" t="str">
        <f>IFERROR(__xludf.DUMMYFUNCTION("""COMPUTED_VALUE"""),"EditStageOrder")</f>
        <v>EditStageOrder</v>
      </c>
      <c r="AH4" s="17" t="str">
        <f>IFERROR(__xludf.DUMMYFUNCTION("""COMPUTED_VALUE"""),"ReplaceSubOrder")</f>
        <v>ReplaceSubOrder</v>
      </c>
      <c r="AI4" s="17" t="str">
        <f>IFERROR(__xludf.DUMMYFUNCTION("""COMPUTED_VALUE"""),"SelectTradeWorkingSubsBlotter")</f>
        <v>SelectTradeWorkingSubsBlotter</v>
      </c>
      <c r="AJ4" s="17" t="str">
        <f>IFERROR(__xludf.DUMMYFUNCTION("""COMPUTED_VALUE"""),"VerifyAlgoDetails")</f>
        <v>VerifyAlgoDetails</v>
      </c>
      <c r="AK4" s="17" t="str">
        <f>IFERROR(__xludf.DUMMYFUNCTION("""COMPUTED_VALUE"""),"VerifyTransferToUserOrder")</f>
        <v>VerifyTransferToUserOrder</v>
      </c>
      <c r="AL4" s="17" t="str">
        <f>IFERROR(__xludf.DUMMYFUNCTION("""COMPUTED_VALUE"""),"VerifyTransferToUserSubOdr")</f>
        <v>VerifyTransferToUserSubOdr</v>
      </c>
      <c r="AM4" s="17" t="str">
        <f>IFERROR(__xludf.DUMMYFUNCTION("""COMPUTED_VALUE"""),"VerifyTransferToUserWorkSub")</f>
        <v>VerifyTransferToUserWorkSub</v>
      </c>
      <c r="AN4" s="17" t="str">
        <f>IFERROR(__xludf.DUMMYFUNCTION("""COMPUTED_VALUE"""),"SaveLayoutOrderGrid")</f>
        <v>SaveLayoutOrderGrid</v>
      </c>
      <c r="AO4" s="17" t="str">
        <f>IFERROR(__xludf.DUMMYFUNCTION("""COMPUTED_VALUE"""),"ReplaceStageOrder")</f>
        <v>ReplaceStageOrder</v>
      </c>
      <c r="AP4" s="17" t="str">
        <f>IFERROR(__xludf.DUMMYFUNCTION("""COMPUTED_VALUE"""),"MultiTradingTicketFromBlotter")</f>
        <v>MultiTradingTicketFromBlotter</v>
      </c>
      <c r="AQ4" s="17" t="str">
        <f>IFERROR(__xludf.DUMMYFUNCTION("""COMPUTED_VALUE"""),"VerifyViewAllocationDetails")</f>
        <v>VerifyViewAllocationDetails</v>
      </c>
      <c r="AR4" s="17" t="str">
        <f>IFERROR(__xludf.DUMMYFUNCTION("""COMPUTED_VALUE"""),"GoToAllocation")</f>
        <v>GoToAllocation</v>
      </c>
      <c r="AS4" s="17" t="str">
        <f>IFERROR(__xludf.DUMMYFUNCTION("""COMPUTED_VALUE"""),"VerifyRollover")</f>
        <v>VerifyRollover</v>
      </c>
      <c r="AT4" s="17" t="str">
        <f>IFERROR(__xludf.DUMMYFUNCTION("""COMPUTED_VALUE"""),"VerifySubOrderAfterRollover")</f>
        <v>VerifySubOrderAfterRollover</v>
      </c>
      <c r="AU4" s="17" t="str">
        <f>IFERROR(__xludf.DUMMYFUNCTION("""COMPUTED_VALUE"""),"OpenBlotter")</f>
        <v>OpenBlotter</v>
      </c>
      <c r="AV4" s="17" t="str">
        <f>IFERROR(__xludf.DUMMYFUNCTION("""COMPUTED_VALUE"""),"RemoveManualExecution")</f>
        <v>RemoveManualExecution</v>
      </c>
      <c r="AW4" s="17" t="str">
        <f>IFERROR(__xludf.DUMMYFUNCTION("""COMPUTED_VALUE"""),"RemoveExecutionWorkingSubs")</f>
        <v>RemoveExecutionWorkingSubs</v>
      </c>
      <c r="AX4" s="17" t="str">
        <f>IFERROR(__xludf.DUMMYFUNCTION("""COMPUTED_VALUE"""),"GetExecutionReportOrders")</f>
        <v>GetExecutionReportOrders</v>
      </c>
      <c r="AY4" s="17" t="str">
        <f>IFERROR(__xludf.DUMMYFUNCTION("""COMPUTED_VALUE"""),"GetExecutionReportDetails")</f>
        <v>GetExecutionReportDetails</v>
      </c>
      <c r="AZ4" s="17" t="str">
        <f>IFERROR(__xludf.DUMMYFUNCTION("""COMPUTED_VALUE"""),"ExportExecutionReportData")</f>
        <v>ExportExecutionReportData</v>
      </c>
      <c r="BA4" s="17" t="str">
        <f>IFERROR(__xludf.DUMMYFUNCTION("""COMPUTED_VALUE"""),"VerifyExecutionReport")</f>
        <v>VerifyExecutionReport</v>
      </c>
      <c r="BB4" s="17" t="str">
        <f>IFERROR(__xludf.DUMMYFUNCTION("""COMPUTED_VALUE"""),"BlotterExecutionReportSnapshot")</f>
        <v>BlotterExecutionReportSnapshot</v>
      </c>
      <c r="BC4" s="17" t="str">
        <f>IFERROR(__xludf.DUMMYFUNCTION("""COMPUTED_VALUE"""),"MultipleTradeTransferToUser")</f>
        <v>MultipleTradeTransferToUser</v>
      </c>
      <c r="BD4" s="17" t="str">
        <f>IFERROR(__xludf.DUMMYFUNCTION("""COMPUTED_VALUE"""),"ReloadOrderFromBlotter")</f>
        <v>ReloadOrderFromBlotter</v>
      </c>
      <c r="BE4" s="17" t="str">
        <f>IFERROR(__xludf.DUMMYFUNCTION("""COMPUTED_VALUE"""),"ReloadOrderFromSubOrder")</f>
        <v>ReloadOrderFromSubOrder</v>
      </c>
      <c r="BF4" s="17" t="str">
        <f>IFERROR(__xludf.DUMMYFUNCTION("""COMPUTED_VALUE"""),"ReloadOrderFromWorkingSubs")</f>
        <v>ReloadOrderFromWorkingSubs</v>
      </c>
      <c r="BG4" s="17" t="str">
        <f>IFERROR(__xludf.DUMMYFUNCTION("""COMPUTED_VALUE"""),"SelectFills")</f>
        <v>SelectFills</v>
      </c>
      <c r="BH4" s="17" t="str">
        <f>IFERROR(__xludf.DUMMYFUNCTION("""COMPUTED_VALUE"""),"ModifyFills")</f>
        <v>ModifyFills</v>
      </c>
      <c r="BI4" s="17" t="str">
        <f>IFERROR(__xludf.DUMMYFUNCTION("""COMPUTED_VALUE"""),"AllocateFromBlotter")</f>
        <v>AllocateFromBlotter</v>
      </c>
      <c r="BJ4" s="17" t="str">
        <f>IFERROR(__xludf.DUMMYFUNCTION("""COMPUTED_VALUE"""),"ViewPTTAllocationDetails")</f>
        <v>ViewPTTAllocationDetails</v>
      </c>
      <c r="BK4" s="17" t="str">
        <f>IFERROR(__xludf.DUMMYFUNCTION("""COMPUTED_VALUE"""),"MergeOrder")</f>
        <v>MergeOrder</v>
      </c>
      <c r="BL4" s="17" t="str">
        <f>IFERROR(__xludf.DUMMYFUNCTION("""COMPUTED_VALUE"""),"VerifyMergeOrder")</f>
        <v>VerifyMergeOrder</v>
      </c>
      <c r="BM4" s="17" t="str">
        <f>IFERROR(__xludf.DUMMYFUNCTION("""COMPUTED_VALUE"""),"AddTabBlotter")</f>
        <v>AddTabBlotter</v>
      </c>
      <c r="BN4" s="17" t="str">
        <f>IFERROR(__xludf.DUMMYFUNCTION("""COMPUTED_VALUE"""),"VerifyLowerStripBlotterUI")</f>
        <v>VerifyLowerStripBlotterUI</v>
      </c>
      <c r="BO4" s="17" t="str">
        <f>IFERROR(__xludf.DUMMYFUNCTION("""COMPUTED_VALUE"""),"SaveOrRemoveInSummaryTab")</f>
        <v>SaveOrRemoveInSummaryTab</v>
      </c>
      <c r="BP4" s="17" t="str">
        <f>IFERROR(__xludf.DUMMYFUNCTION("""COMPUTED_VALUE"""),"SaveOrRemoveInWorkingSubsTab")</f>
        <v>SaveOrRemoveInWorkingSubsTab</v>
      </c>
      <c r="BQ4" s="17" t="str">
        <f>IFERROR(__xludf.DUMMYFUNCTION("""COMPUTED_VALUE"""),"SelectCheckBoxOnOrderGrid")</f>
        <v>SelectCheckBoxOnOrderGrid</v>
      </c>
      <c r="BR4" s="17" t="str">
        <f>IFERROR(__xludf.DUMMYFUNCTION("""COMPUTED_VALUE"""),"ReAllocateFromBlotterByAllocate")</f>
        <v>ReAllocateFromBlotterByAllocate</v>
      </c>
      <c r="BS4" s="17" t="str">
        <f>IFERROR(__xludf.DUMMYFUNCTION("""COMPUTED_VALUE"""),"RemoveOrderFromCustomTab")</f>
        <v>RemoveOrderFromCustomTab</v>
      </c>
      <c r="BT4" s="17" t="str">
        <f>IFERROR(__xludf.DUMMYFUNCTION("""COMPUTED_VALUE"""),"ReloadFromSummary")</f>
        <v>ReloadFromSummary</v>
      </c>
      <c r="BU4" s="17" t="str">
        <f>IFERROR(__xludf.DUMMYFUNCTION("""COMPUTED_VALUE"""),"AllocateFromWorkingSubsBlotter")</f>
        <v>AllocateFromWorkingSubsBlotter</v>
      </c>
      <c r="BV4" s="17" t="str">
        <f>IFERROR(__xludf.DUMMYFUNCTION("""COMPUTED_VALUE"""),"EditOrderForMTT")</f>
        <v>EditOrderForMTT</v>
      </c>
      <c r="BW4" s="17" t="str">
        <f>IFERROR(__xludf.DUMMYFUNCTION("""COMPUTED_VALUE"""),"VerifyCustomTabs")</f>
        <v>VerifyCustomTabs</v>
      </c>
      <c r="BX4" s="17" t="str">
        <f>IFERROR(__xludf.DUMMYFUNCTION("""COMPUTED_VALUE"""),"SelectCheckBoxOnCustomTab")</f>
        <v>SelectCheckBoxOnCustomTab</v>
      </c>
      <c r="BY4" s="17" t="str">
        <f>IFERROR(__xludf.DUMMYFUNCTION("""COMPUTED_VALUE"""),"UploadStageOrder")</f>
        <v>UploadStageOrder</v>
      </c>
      <c r="BZ4" s="17" t="str">
        <f>IFERROR(__xludf.DUMMYFUNCTION("""COMPUTED_VALUE"""),"RefreshBlotter")</f>
        <v>RefreshBlotter</v>
      </c>
      <c r="CA4" s="17" t="str">
        <f>IFERROR(__xludf.DUMMYFUNCTION("""COMPUTED_VALUE"""),"CancelFromSummary")</f>
        <v>CancelFromSummary</v>
      </c>
      <c r="CB4" s="17" t="str">
        <f>IFERROR(__xludf.DUMMYFUNCTION("""COMPUTED_VALUE"""),"VerifyAuditTrail")</f>
        <v>VerifyAuditTrail</v>
      </c>
      <c r="CC4" s="17" t="str">
        <f>IFERROR(__xludf.DUMMYFUNCTION("""COMPUTED_VALUE"""),"AddOrRemoveColumnFromBlotter")</f>
        <v>AddOrRemoveColumnFromBlotter</v>
      </c>
      <c r="CD4" s="17" t="str">
        <f>IFERROR(__xludf.DUMMYFUNCTION("""COMPUTED_VALUE"""),"ApplyFilterOnBlotter")</f>
        <v>ApplyFilterOnBlotter</v>
      </c>
      <c r="CE4" s="17" t="str">
        <f>IFERROR(__xludf.DUMMYFUNCTION("""COMPUTED_VALUE"""),"SortGridOnBlotter")</f>
        <v>SortGridOnBlotter</v>
      </c>
      <c r="CF4" s="17" t="str">
        <f>IFERROR(__xludf.DUMMYFUNCTION("""COMPUTED_VALUE"""),"VerifyDataIndexWise")</f>
        <v>VerifyDataIndexWise</v>
      </c>
      <c r="CG4" s="17" t="str">
        <f>IFERROR(__xludf.DUMMYFUNCTION("""COMPUTED_VALUE"""),"ReplaceFillsOnBlotter")</f>
        <v>ReplaceFillsOnBlotter</v>
      </c>
      <c r="CH4" s="17" t="str">
        <f>IFERROR(__xludf.DUMMYFUNCTION("""COMPUTED_VALUE"""),"ReplaceFillsOnBlotter")</f>
        <v>ReplaceFillsOnBlotter</v>
      </c>
      <c r="CI4" s="17" t="str">
        <f>IFERROR(__xludf.DUMMYFUNCTION("""COMPUTED_VALUE"""),"SaveLayoutBlotter")</f>
        <v>SaveLayoutBlotter</v>
      </c>
      <c r="CJ4" s="17" t="str">
        <f>IFERROR(__xludf.DUMMYFUNCTION("""COMPUTED_VALUE"""),"VerifyBlotterNavLockPopup")</f>
        <v>VerifyBlotterNavLockPopup</v>
      </c>
      <c r="CK4" s="17" t="str">
        <f>IFERROR(__xludf.DUMMYFUNCTION("""COMPUTED_VALUE"""),"CustomTabActions")</f>
        <v>CustomTabActions</v>
      </c>
      <c r="CL4" s="17" t="str">
        <f>IFERROR(__xludf.DUMMYFUNCTION("""COMPUTED_VALUE"""),"VerifyAllocationWindow")</f>
        <v>VerifyAllocationWindow</v>
      </c>
      <c r="CM4" s="17" t="str">
        <f>IFERROR(__xludf.DUMMYFUNCTION("""COMPUTED_VALUE"""),"VerifyViewAllocationOrder")</f>
        <v>VerifyViewAllocationOrder</v>
      </c>
      <c r="CN4" s="17" t="str">
        <f>IFERROR(__xludf.DUMMYFUNCTION("""COMPUTED_VALUE"""),"ResizeEnsureBlotter")</f>
        <v>ResizeEnsureBlotter</v>
      </c>
      <c r="CO4" s="17" t="str">
        <f>IFERROR(__xludf.DUMMYFUNCTION("""COMPUTED_VALUE"""),"RightClickOperations")</f>
        <v>RightClickOperations</v>
      </c>
      <c r="CP4" s="17" t="str">
        <f>IFERROR(__xludf.DUMMYFUNCTION("""COMPUTED_VALUE"""),"BlotterToolBarAction")</f>
        <v>BlotterToolBarAction</v>
      </c>
      <c r="CQ4" s="17" t="str">
        <f>IFERROR(__xludf.DUMMYFUNCTION("""COMPUTED_VALUE"""),"SelectTradeOnBlotter")</f>
        <v>SelectTradeOnBlotter</v>
      </c>
      <c r="CR4" s="17" t="str">
        <f>IFERROR(__xludf.DUMMYFUNCTION("""COMPUTED_VALUE"""),"SelectTradeSummary")</f>
        <v>SelectTradeSummary</v>
      </c>
      <c r="CS4" s="17" t="str">
        <f>IFERROR(__xludf.DUMMYFUNCTION("""COMPUTED_VALUE"""),"MergeOrderMessage")</f>
        <v>MergeOrderMessage</v>
      </c>
      <c r="CT4" s="17" t="str">
        <f>IFERROR(__xludf.DUMMYFUNCTION("""COMPUTED_VALUE"""),"SwitchTabBlotter")</f>
        <v>SwitchTabBlotter</v>
      </c>
      <c r="CU4" s="17" t="str">
        <f>IFERROR(__xludf.DUMMYFUNCTION("""COMPUTED_VALUE"""),"AddTab")</f>
        <v>AddTab</v>
      </c>
      <c r="CV4" s="17" t="str">
        <f>IFERROR(__xludf.DUMMYFUNCTION("""COMPUTED_VALUE"""),"UploadStageOrders")</f>
        <v>UploadStageOrders</v>
      </c>
      <c r="CW4" s="17" t="str">
        <f>IFERROR(__xludf.DUMMYFUNCTION("""COMPUTED_VALUE"""),"AddTabToFav")</f>
        <v>AddTabToFav</v>
      </c>
      <c r="CX4" s="17" t="str">
        <f>IFERROR(__xludf.DUMMYFUNCTION("""COMPUTED_VALUE"""),"RollOverContextMenu")</f>
        <v>RollOverContextMenu</v>
      </c>
      <c r="CY4" s="17" t="str">
        <f>IFERROR(__xludf.DUMMYFUNCTION("""COMPUTED_VALUE"""),"BookAsSwap")</f>
        <v>BookAsSwap</v>
      </c>
      <c r="CZ4" s="17" t="str">
        <f>IFERROR(__xludf.DUMMYFUNCTION("""COMPUTED_VALUE"""),"ActionOnFloatingWindow")</f>
        <v>ActionOnFloatingWindow</v>
      </c>
      <c r="DA4" s="17" t="str">
        <f>IFERROR(__xludf.DUMMYFUNCTION("""COMPUTED_VALUE"""),"EnableOrVerifyHotButton")</f>
        <v>EnableOrVerifyHotButton</v>
      </c>
      <c r="DB4" s="17" t="str">
        <f>IFERROR(__xludf.DUMMYFUNCTION("""COMPUTED_VALUE"""),"VerifyFilterUiRC")</f>
        <v>VerifyFilterUiRC</v>
      </c>
      <c r="DC4" s="17" t="str">
        <f>IFERROR(__xludf.DUMMYFUNCTION("""COMPUTED_VALUE"""),"CreateHotButtonOnBlotter")</f>
        <v>CreateHotButtonOnBlotter</v>
      </c>
      <c r="DD4" s="17" t="str">
        <f>IFERROR(__xludf.DUMMYFUNCTION("""COMPUTED_VALUE"""),"FillHBdetailsOnBlotter")</f>
        <v>FillHBdetailsOnBlotter</v>
      </c>
      <c r="DE4" s="17" t="str">
        <f>IFERROR(__xludf.DUMMYFUNCTION("""COMPUTED_VALUE"""),"BlotterColumnChooser")</f>
        <v>BlotterColumnChooser</v>
      </c>
      <c r="DF4" s="17" t="str">
        <f>IFERROR(__xludf.DUMMYFUNCTION("""COMPUTED_VALUE"""),"CaptureHotButtonDetails")</f>
        <v>CaptureHotButtonDetails</v>
      </c>
      <c r="DG4" s="17" t="str">
        <f>IFERROR(__xludf.DUMMYFUNCTION("""COMPUTED_VALUE"""),"RightClickActionVerification")</f>
        <v>RightClickActionVerification</v>
      </c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IFERROR(__xludf.DUMMYFUNCTION("""COMPUTED_VALUE"""),"Transaction Time")</f>
        <v>Transaction Time</v>
      </c>
      <c r="C5" s="18" t="str">
        <f>IFERROR(__xludf.DUMMYFUNCTION("""COMPUTED_VALUE"""),"Algo")</f>
        <v>Algo</v>
      </c>
      <c r="D5" s="18" t="str">
        <f>IFERROR(__xludf.DUMMYFUNCTION("""COMPUTED_VALUE"""),"Avg Fill Price (Base)")</f>
        <v>Avg Fill Price (Base)</v>
      </c>
      <c r="E5" s="18" t="str">
        <f>IFERROR(__xludf.DUMMYFUNCTION("""COMPUTED_VALUE"""),"Bloomberg Symbol")</f>
        <v>Bloomberg Symbol</v>
      </c>
      <c r="F5" s="18" t="str">
        <f>IFERROR(__xludf.DUMMYFUNCTION("""COMPUTED_VALUE"""),"Limit Price")</f>
        <v>Limit Price</v>
      </c>
      <c r="G5" s="18" t="str">
        <f>IFERROR(__xludf.DUMMYFUNCTION("""COMPUTED_VALUE"""),"Working Qty")</f>
        <v>Working Qty</v>
      </c>
      <c r="H5" s="18" t="str">
        <f>IFERROR(__xludf.DUMMYFUNCTION("""COMPUTED_VALUE"""),"Venue")</f>
        <v>Venue</v>
      </c>
      <c r="I5" s="18" t="str">
        <f>IFERROR(__xludf.DUMMYFUNCTION("""COMPUTED_VALUE"""),"Current User")</f>
        <v>Current User</v>
      </c>
      <c r="J5" s="18" t="str">
        <f>IFERROR(__xludf.DUMMYFUNCTION("""COMPUTED_VALUE"""),"Underlying Symbol")</f>
        <v>Underlying Symbol</v>
      </c>
      <c r="K5" s="18" t="str">
        <f>IFERROR(__xludf.DUMMYFUNCTION("""COMPUTED_VALUE"""),"Underlying Country")</f>
        <v>Underlying Country</v>
      </c>
      <c r="L5" s="18" t="str">
        <f>IFERROR(__xludf.DUMMYFUNCTION("""COMPUTED_VALUE"""),"Trader")</f>
        <v>Trader</v>
      </c>
      <c r="M5" s="18" t="str">
        <f>IFERROR(__xludf.DUMMYFUNCTION("""COMPUTED_VALUE"""),"Trade Attribute 6")</f>
        <v>Trade Attribute 6</v>
      </c>
      <c r="N5" s="18" t="str">
        <f>IFERROR(__xludf.DUMMYFUNCTION("""COMPUTED_VALUE"""),"Trade Attribute 5")</f>
        <v>Trade Attribute 5</v>
      </c>
      <c r="O5" s="18" t="str">
        <f>IFERROR(__xludf.DUMMYFUNCTION("""COMPUTED_VALUE"""),"Trade Attribute 4")</f>
        <v>Trade Attribute 4</v>
      </c>
      <c r="P5" s="18" t="str">
        <f>IFERROR(__xludf.DUMMYFUNCTION("""COMPUTED_VALUE"""),"Trade Attribute 3")</f>
        <v>Trade Attribute 3</v>
      </c>
      <c r="Q5" s="18" t="str">
        <f>IFERROR(__xludf.DUMMYFUNCTION("""COMPUTED_VALUE"""),"Trade Attribute 2")</f>
        <v>Trade Attribute 2</v>
      </c>
      <c r="R5" s="18" t="str">
        <f>IFERROR(__xludf.DUMMYFUNCTION("""COMPUTED_VALUE"""),"Trade Attribute 1")</f>
        <v>Trade Attribute 1</v>
      </c>
      <c r="S5" s="18" t="str">
        <f>IFERROR(__xludf.DUMMYFUNCTION("""COMPUTED_VALUE"""),"Strike Price")</f>
        <v>Strike Price</v>
      </c>
      <c r="T5" s="19" t="str">
        <f>IFERROR(__xludf.DUMMYFUNCTION("""COMPUTED_VALUE"""),"Stop Price")</f>
        <v>Stop Price</v>
      </c>
      <c r="U5" s="19" t="str">
        <f>IFERROR(__xludf.DUMMYFUNCTION("""COMPUTED_VALUE"""),"Settlement Currency")</f>
        <v>Settlement Currency</v>
      </c>
      <c r="V5" s="19" t="str">
        <f>IFERROR(__xludf.DUMMYFUNCTION("""COMPUTED_VALUE"""),"Put/Call")</f>
        <v>Put/Call</v>
      </c>
      <c r="W5" s="19" t="str">
        <f>IFERROR(__xludf.DUMMYFUNCTION("""COMPUTED_VALUE"""),"Process Date")</f>
        <v>Process Date</v>
      </c>
      <c r="X5" s="19" t="str">
        <f>IFERROR(__xludf.DUMMYFUNCTION("""COMPUTED_VALUE"""),"Peg")</f>
        <v>Peg</v>
      </c>
      <c r="Y5" s="19" t="str">
        <f>IFERROR(__xludf.DUMMYFUNCTION("""COMPUTED_VALUE"""),"ParentClOrderID")</f>
        <v>ParentClOrderID</v>
      </c>
      <c r="Z5" s="19" t="str">
        <f>IFERROR(__xludf.DUMMYFUNCTION("""COMPUTED_VALUE"""),"OrderID")</f>
        <v>OrderID</v>
      </c>
      <c r="AA5" s="19" t="str">
        <f>IFERROR(__xludf.DUMMYFUNCTION("""COMPUTED_VALUE"""),"Master Fund")</f>
        <v>Master Fund</v>
      </c>
      <c r="AB5" s="19" t="str">
        <f>IFERROR(__xludf.DUMMYFUNCTION("""COMPUTED_VALUE"""),"Last Shares")</f>
        <v>Last Shares</v>
      </c>
      <c r="AC5" s="19" t="str">
        <f>IFERROR(__xludf.DUMMYFUNCTION("""COMPUTED_VALUE"""),"Internal Comments")</f>
        <v>Internal Comments</v>
      </c>
      <c r="AD5" s="19" t="str">
        <f>IFERROR(__xludf.DUMMYFUNCTION("""COMPUTED_VALUE"""),"FX Rate")</f>
        <v>FX Rate</v>
      </c>
      <c r="AE5" s="19" t="str">
        <f>IFERROR(__xludf.DUMMYFUNCTION("""COMPUTED_VALUE"""),"Imported File Name")</f>
        <v>Imported File Name</v>
      </c>
      <c r="AF5" s="19" t="str">
        <f>IFERROR(__xludf.DUMMYFUNCTION("""COMPUTED_VALUE"""),"FX Conversion Operator")</f>
        <v>FX Conversion Operator</v>
      </c>
      <c r="AG5" s="19" t="str">
        <f>IFERROR(__xludf.DUMMYFUNCTION("""COMPUTED_VALUE"""),"Day Average Price")</f>
        <v>Day Average Price</v>
      </c>
      <c r="AH5" s="19" t="str">
        <f>IFERROR(__xludf.DUMMYFUNCTION("""COMPUTED_VALUE"""),"Asset Class")</f>
        <v>Asset Class</v>
      </c>
      <c r="AI5" s="19" t="str">
        <f>IFERROR(__xludf.DUMMYFUNCTION("""COMPUTED_VALUE"""),"Symbol")</f>
        <v>Symbol</v>
      </c>
      <c r="AJ5" s="19" t="str">
        <f>IFERROR(__xludf.DUMMYFUNCTION("""COMPUTED_VALUE"""),"Side")</f>
        <v>Side</v>
      </c>
      <c r="AK5" s="19" t="str">
        <f>IFERROR(__xludf.DUMMYFUNCTION("""COMPUTED_VALUE"""),"Status")</f>
        <v>Status</v>
      </c>
      <c r="AL5" s="19" t="str">
        <f>IFERROR(__xludf.DUMMYFUNCTION("""COMPUTED_VALUE"""),"Quantity")</f>
        <v>Quantity</v>
      </c>
      <c r="AM5" s="19" t="str">
        <f>IFERROR(__xludf.DUMMYFUNCTION("""COMPUTED_VALUE"""),"Executed Qty")</f>
        <v>Executed Qty</v>
      </c>
      <c r="AN5" s="19" t="str">
        <f>IFERROR(__xludf.DUMMYFUNCTION("""COMPUTED_VALUE"""),"Day Executed Qty")</f>
        <v>Day Executed Qty</v>
      </c>
      <c r="AO5" s="19" t="str">
        <f>IFERROR(__xludf.DUMMYFUNCTION("""COMPUTED_VALUE"""),"Last Fill Price (Local)")</f>
        <v>Last Fill Price (Local)</v>
      </c>
      <c r="AP5" s="19" t="str">
        <f>IFERROR(__xludf.DUMMYFUNCTION("""COMPUTED_VALUE"""),"Avg Fill Price (Local)")</f>
        <v>Avg Fill Price (Local)</v>
      </c>
      <c r="AQ5" s="19" t="str">
        <f>IFERROR(__xludf.DUMMYFUNCTION("""COMPUTED_VALUE"""),"Broker")</f>
        <v>Broker</v>
      </c>
      <c r="AR5" s="19" t="str">
        <f>IFERROR(__xludf.DUMMYFUNCTION("""COMPUTED_VALUE"""),"Account")</f>
        <v>Account</v>
      </c>
      <c r="AS5" s="19" t="str">
        <f>IFERROR(__xludf.DUMMYFUNCTION("""COMPUTED_VALUE"""),"Order Type")</f>
        <v>Order Type</v>
      </c>
      <c r="AT5" s="19" t="str">
        <f>IFERROR(__xludf.DUMMYFUNCTION("""COMPUTED_VALUE"""),"Principal Amount (Local)")</f>
        <v>Principal Amount (Local)</v>
      </c>
      <c r="AU5" s="19" t="str">
        <f>IFERROR(__xludf.DUMMYFUNCTION("""COMPUTED_VALUE"""),"Principal Amount (Base)")</f>
        <v>Principal Amount (Base)</v>
      </c>
      <c r="AV5" s="19" t="str">
        <f>IFERROR(__xludf.DUMMYFUNCTION("""COMPUTED_VALUE"""),"Allocation Scheme Name")</f>
        <v>Allocation Scheme Name</v>
      </c>
      <c r="AW5" s="19" t="str">
        <f>IFERROR(__xludf.DUMMYFUNCTION("""COMPUTED_VALUE"""),"Status (With Rollover)")</f>
        <v>Status (With Rollover)</v>
      </c>
      <c r="AX5" s="19" t="str">
        <f>IFERROR(__xludf.DUMMYFUNCTION("""COMPUTED_VALUE"""),"Unexecuted Qty")</f>
        <v>Unexecuted Qty</v>
      </c>
      <c r="AY5" s="19" t="str">
        <f>IFERROR(__xludf.DUMMYFUNCTION("""COMPUTED_VALUE"""),"Strategy")</f>
        <v>Strategy</v>
      </c>
      <c r="AZ5" s="19" t="str">
        <f>IFERROR(__xludf.DUMMYFUNCTION("""COMPUTED_VALUE"""),"Actual User")</f>
        <v>Actual User</v>
      </c>
      <c r="BA5" s="19" t="str">
        <f>IFERROR(__xludf.DUMMYFUNCTION("""COMPUTED_VALUE"""),"% Completed")</f>
        <v>% Completed</v>
      </c>
      <c r="BB5" s="19" t="str">
        <f>IFERROR(__xludf.DUMMYFUNCTION("""COMPUTED_VALUE"""),"MandatoryColumn")</f>
        <v>MandatoryColumn</v>
      </c>
      <c r="BC5" s="19" t="str">
        <f>IFERROR(__xludf.DUMMYFUNCTION("""COMPUTED_VALUE"""),"Expiry Date")</f>
        <v>Expiry Date</v>
      </c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</row>
    <row r="6" ht="15.75" customHeight="1">
      <c r="A6" s="7"/>
      <c r="B6" s="7"/>
      <c r="C6" s="7"/>
      <c r="D6" s="7">
        <v>10.0</v>
      </c>
      <c r="E6" s="7"/>
      <c r="F6" s="7">
        <v>100.0</v>
      </c>
      <c r="G6" s="7">
        <v>2500.0</v>
      </c>
      <c r="H6" s="7" t="s">
        <v>146</v>
      </c>
      <c r="I6" s="7" t="s">
        <v>152</v>
      </c>
      <c r="J6" s="7" t="s">
        <v>19</v>
      </c>
      <c r="K6" s="7" t="s">
        <v>151</v>
      </c>
      <c r="L6" s="7"/>
      <c r="M6" s="7"/>
      <c r="N6" s="7"/>
      <c r="O6" s="7"/>
      <c r="U6" s="4" t="s">
        <v>145</v>
      </c>
      <c r="V6" s="4" t="s">
        <v>153</v>
      </c>
      <c r="AA6" s="4" t="s">
        <v>155</v>
      </c>
      <c r="AB6" s="4">
        <v>2500.0</v>
      </c>
      <c r="AD6" s="4">
        <v>1.0</v>
      </c>
      <c r="AF6" s="4" t="s">
        <v>147</v>
      </c>
      <c r="AH6" s="4" t="s">
        <v>140</v>
      </c>
      <c r="AI6" s="4" t="s">
        <v>19</v>
      </c>
      <c r="AJ6" s="4" t="s">
        <v>22</v>
      </c>
      <c r="AK6" s="4" t="s">
        <v>161</v>
      </c>
      <c r="AL6" s="4">
        <v>10000.0</v>
      </c>
      <c r="AM6" s="4">
        <v>7500.0</v>
      </c>
      <c r="AO6" s="4">
        <v>10.0</v>
      </c>
      <c r="AP6" s="4">
        <v>10.0</v>
      </c>
      <c r="AQ6" s="4" t="s">
        <v>143</v>
      </c>
      <c r="AR6" s="4" t="s">
        <v>155</v>
      </c>
      <c r="AS6" s="4" t="s">
        <v>24</v>
      </c>
      <c r="AT6" s="4">
        <v>75000.0</v>
      </c>
      <c r="AU6" s="4">
        <v>75000.0</v>
      </c>
      <c r="AV6" s="4"/>
      <c r="AW6" s="4" t="s">
        <v>161</v>
      </c>
      <c r="AX6" s="4">
        <v>2500.0</v>
      </c>
      <c r="AZ6" s="4" t="s">
        <v>152</v>
      </c>
      <c r="BA6" s="4">
        <v>75.0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6" width="12.63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25</v>
      </c>
      <c r="D3" s="5" t="s">
        <v>9</v>
      </c>
      <c r="E3" s="9" t="s">
        <v>28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ht="15.75" customHeight="1">
      <c r="A4" s="16"/>
      <c r="B4" s="16" t="str">
        <f>IFERROR(__xludf.DUMMYFUNCTION("IF(C3="""","""",Transpose(IMPORTRANGE('_Settings'!$B$3,C3&amp;""!A4:A1000"")))"),"SelectTrade")</f>
        <v>SelectTrade</v>
      </c>
      <c r="C4" s="16" t="str">
        <f>IFERROR(__xludf.DUMMYFUNCTION("""COMPUTED_VALUE"""),"AcknowledgeTrade")</f>
        <v>AcknowledgeTrade</v>
      </c>
      <c r="D4" s="16" t="str">
        <f>IFERROR(__xludf.DUMMYFUNCTION("""COMPUTED_VALUE"""),"RejectTrade")</f>
        <v>RejectTrade</v>
      </c>
      <c r="E4" s="16" t="str">
        <f>IFERROR(__xludf.DUMMYFUNCTION("""COMPUTED_VALUE"""),"ExecuteTrade")</f>
        <v>ExecuteTrade</v>
      </c>
      <c r="F4" s="16" t="str">
        <f>IFERROR(__xludf.DUMMYFUNCTION("""COMPUTED_VALUE"""),"CancelTrade")</f>
        <v>CancelTrade</v>
      </c>
      <c r="G4" s="16" t="str">
        <f>IFERROR(__xludf.DUMMYFUNCTION("""COMPUTED_VALUE"""),"OpenLiveTT")</f>
        <v>OpenLiveTT</v>
      </c>
      <c r="H4" s="16" t="str">
        <f>IFERROR(__xludf.DUMMYFUNCTION("""COMPUTED_VALUE"""),"SetManualResponse")</f>
        <v>SetManualResponse</v>
      </c>
      <c r="I4" s="16" t="str">
        <f>IFERROR(__xludf.DUMMYFUNCTION("""COMPUTED_VALUE"""),"ClearUI")</f>
        <v>ClearUI</v>
      </c>
      <c r="J4" s="16" t="str">
        <f>IFERROR(__xludf.DUMMYFUNCTION("""COMPUTED_VALUE"""),"CloseSimulator")</f>
        <v>CloseSimulator</v>
      </c>
      <c r="K4" s="16" t="str">
        <f>IFERROR(__xludf.DUMMYFUNCTION("""COMPUTED_VALUE"""),"VerifyTrades")</f>
        <v>VerifyTrades</v>
      </c>
      <c r="L4" s="16" t="str">
        <f>IFERROR(__xludf.DUMMYFUNCTION("""COMPUTED_VALUE"""),"VerifyTagInAllFixLogs")</f>
        <v>VerifyTagInAllFixLogs</v>
      </c>
      <c r="M4" s="16" t="str">
        <f>IFERROR(__xludf.DUMMYFUNCTION("""COMPUTED_VALUE"""),"SetToAutomaticResponse")</f>
        <v>SetToAutomaticResponse</v>
      </c>
      <c r="N4" s="16" t="str">
        <f>IFERROR(__xludf.DUMMYFUNCTION("""COMPUTED_VALUE"""),"DoneForDay")</f>
        <v>DoneForDay</v>
      </c>
      <c r="O4" s="16" t="str">
        <f>IFERROR(__xludf.DUMMYFUNCTION("""COMPUTED_VALUE"""),"NewAcknowledgeTrade")</f>
        <v>NewAcknowledgeTrade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IFERROR(__xludf.DUMMYFUNCTION("""COMPUTED_VALUE"""),"Price")</f>
        <v>Price</v>
      </c>
      <c r="C5" s="18" t="str">
        <f>IFERROR(__xludf.DUMMYFUNCTION("""COMPUTED_VALUE"""),"Shares")</f>
        <v>Shares</v>
      </c>
      <c r="D5" s="18" t="str">
        <f>IFERROR(__xludf.DUMMYFUNCTION("""COMPUTED_VALUE"""),"ClearAllPrice")</f>
        <v>ClearAllPrice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ht="15.75" customHeight="1">
      <c r="A6" s="7"/>
      <c r="B6" s="7">
        <v>10.0</v>
      </c>
      <c r="C6" s="7">
        <v>100.0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6" width="12.63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34</v>
      </c>
      <c r="D3" s="5" t="s">
        <v>9</v>
      </c>
      <c r="E3" s="9" t="s">
        <v>137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  <c r="GG3" s="15"/>
      <c r="GH3" s="15"/>
      <c r="GI3" s="15"/>
      <c r="GJ3" s="15"/>
      <c r="GK3" s="15"/>
    </row>
    <row r="4" ht="15.75" customHeight="1">
      <c r="A4" s="16"/>
      <c r="B4" s="16" t="str">
        <f>IFERROR(__xludf.DUMMYFUNCTION("IF(C3="""","""",Transpose(IMPORTRANGE('_Settings'!$B$3,C3&amp;""!A4:A1000"")))"),"Allocate")</f>
        <v>Allocate</v>
      </c>
      <c r="C4" s="16" t="str">
        <f>IFERROR(__xludf.DUMMYFUNCTION("""COMPUTED_VALUE"""),"CheckAllocatedGroups")</f>
        <v>CheckAllocatedGroups</v>
      </c>
      <c r="D4" s="16" t="str">
        <f>IFERROR(__xludf.DUMMYFUNCTION("""COMPUTED_VALUE"""),"GetDataAllocation")</f>
        <v>GetDataAllocation</v>
      </c>
      <c r="E4" s="16" t="str">
        <f>IFERROR(__xludf.DUMMYFUNCTION("""COMPUTED_VALUE"""),"SelectAllocatedGroup")</f>
        <v>SelectAllocatedGroup</v>
      </c>
      <c r="F4" s="16" t="str">
        <f>IFERROR(__xludf.DUMMYFUNCTION("""COMPUTED_VALUE"""),"EditTradesAllocated")</f>
        <v>EditTradesAllocated</v>
      </c>
      <c r="G4" s="16" t="str">
        <f>IFERROR(__xludf.DUMMYFUNCTION("""COMPUTED_VALUE"""),"EditTradesUnallocated")</f>
        <v>EditTradesUnallocated</v>
      </c>
      <c r="H4" s="16" t="str">
        <f>IFERROR(__xludf.DUMMYFUNCTION("""COMPUTED_VALUE"""),"EditTradesAllocated")</f>
        <v>EditTradesAllocated</v>
      </c>
      <c r="I4" s="16" t="str">
        <f>IFERROR(__xludf.DUMMYFUNCTION("""COMPUTED_VALUE"""),"Reallocate")</f>
        <v>Reallocate</v>
      </c>
      <c r="J4" s="16" t="str">
        <f>IFERROR(__xludf.DUMMYFUNCTION("""COMPUTED_VALUE"""),"EditUnallocatedGroupSidePanel")</f>
        <v>EditUnallocatedGroupSidePanel</v>
      </c>
      <c r="K4" s="16" t="str">
        <f>IFERROR(__xludf.DUMMYFUNCTION("""COMPUTED_VALUE"""),"TradeAttributeBulkChange")</f>
        <v>TradeAttributeBulkChange</v>
      </c>
      <c r="L4" s="16" t="str">
        <f>IFERROR(__xludf.DUMMYFUNCTION("""COMPUTED_VALUE"""),"ApplyBulkUpdateOnGroups")</f>
        <v>ApplyBulkUpdateOnGroups</v>
      </c>
      <c r="M4" s="16" t="str">
        <f>IFERROR(__xludf.DUMMYFUNCTION("""COMPUTED_VALUE"""),"ApplyPrefetchFilters")</f>
        <v>ApplyPrefetchFilters</v>
      </c>
      <c r="N4" s="16" t="str">
        <f>IFERROR(__xludf.DUMMYFUNCTION("""COMPUTED_VALUE"""),"GeneralPreferencesDefaultRule")</f>
        <v>GeneralPreferencesDefaultRule</v>
      </c>
      <c r="O4" s="16" t="str">
        <f>IFERROR(__xludf.DUMMYFUNCTION("""COMPUTED_VALUE"""),"GeneralPrefCompanyUserWise")</f>
        <v>GeneralPrefCompanyUserWise</v>
      </c>
      <c r="P4" s="17" t="str">
        <f>IFERROR(__xludf.DUMMYFUNCTION("""COMPUTED_VALUE"""),"RenameTradeAttributes")</f>
        <v>RenameTradeAttributes</v>
      </c>
      <c r="Q4" s="17" t="str">
        <f>IFERROR(__xludf.DUMMYFUNCTION("""COMPUTED_VALUE"""),"SetGroupingRules")</f>
        <v>SetGroupingRules</v>
      </c>
      <c r="R4" s="17" t="str">
        <f>IFERROR(__xludf.DUMMYFUNCTION("""COMPUTED_VALUE"""),"SetMasterFundRatio")</f>
        <v>SetMasterFundRatio</v>
      </c>
      <c r="S4" s="17" t="str">
        <f>IFERROR(__xludf.DUMMYFUNCTION("""COMPUTED_VALUE"""),"CheckFixedPreference")</f>
        <v>CheckFixedPreference</v>
      </c>
      <c r="T4" s="17" t="str">
        <f>IFERROR(__xludf.DUMMYFUNCTION("""COMPUTED_VALUE"""),"GetFixedPreference")</f>
        <v>GetFixedPreference</v>
      </c>
      <c r="U4" s="17" t="str">
        <f>IFERROR(__xludf.DUMMYFUNCTION("""COMPUTED_VALUE"""),"AddCalculatedPreferences")</f>
        <v>AddCalculatedPreferences</v>
      </c>
      <c r="V4" s="17" t="str">
        <f>IFERROR(__xludf.DUMMYFUNCTION("""COMPUTED_VALUE"""),"BulkChangeCalculatedPreferences")</f>
        <v>BulkChangeCalculatedPreferences</v>
      </c>
      <c r="W4" s="17" t="str">
        <f>IFERROR(__xludf.DUMMYFUNCTION("""COMPUTED_VALUE"""),"DeleteCalculatedPreferences")</f>
        <v>DeleteCalculatedPreferences</v>
      </c>
      <c r="X4" s="17" t="str">
        <f>IFERROR(__xludf.DUMMYFUNCTION("""COMPUTED_VALUE"""),"RenameCalculatedPreferences")</f>
        <v>RenameCalculatedPreferences</v>
      </c>
      <c r="Y4" s="17" t="str">
        <f>IFERROR(__xludf.DUMMYFUNCTION("""COMPUTED_VALUE"""),"CopyCalculatedPreferences")</f>
        <v>CopyCalculatedPreferences</v>
      </c>
      <c r="Z4" s="17" t="str">
        <f>IFERROR(__xludf.DUMMYFUNCTION("""COMPUTED_VALUE"""),"RunAutoGroup")</f>
        <v>RunAutoGroup</v>
      </c>
      <c r="AA4" s="17" t="str">
        <f>IFERROR(__xludf.DUMMYFUNCTION("""COMPUTED_VALUE"""),"BookOrUpdateSwap")</f>
        <v>BookOrUpdateSwap</v>
      </c>
      <c r="AB4" s="17" t="str">
        <f>IFERROR(__xludf.DUMMYFUNCTION("""COMPUTED_VALUE"""),"RunProrata")</f>
        <v>RunProrata</v>
      </c>
      <c r="AC4" s="17" t="str">
        <f>IFERROR(__xludf.DUMMYFUNCTION("""COMPUTED_VALUE"""),"SetDefaultRuleCalculatedPref")</f>
        <v>SetDefaultRuleCalculatedPref</v>
      </c>
      <c r="AD4" s="17" t="str">
        <f>IFERROR(__xludf.DUMMYFUNCTION("""COMPUTED_VALUE"""),"SetAccountValueCalculatedPref")</f>
        <v>SetAccountValueCalculatedPref</v>
      </c>
      <c r="AE4" s="17" t="str">
        <f>IFERROR(__xludf.DUMMYFUNCTION("""COMPUTED_VALUE"""),"TradeAttributeBulkChangeGroups")</f>
        <v>TradeAttributeBulkChangeGroups</v>
      </c>
      <c r="AF4" s="17" t="str">
        <f>IFERROR(__xludf.DUMMYFUNCTION("""COMPUTED_VALUE"""),"TradeAttributeBulkChangeTaxlots")</f>
        <v>TradeAttributeBulkChangeTaxlots</v>
      </c>
      <c r="AG4" s="17" t="str">
        <f>IFERROR(__xludf.DUMMYFUNCTION("""COMPUTED_VALUE"""),"AddCalculatedPreferenceToolbar")</f>
        <v>AddCalculatedPreferenceToolbar</v>
      </c>
      <c r="AH4" s="17" t="str">
        <f>IFERROR(__xludf.DUMMYFUNCTION("""COMPUTED_VALUE"""),"SetStrategyValueCalculatedPref")</f>
        <v>SetStrategyValueCalculatedPref</v>
      </c>
      <c r="AI4" s="17" t="str">
        <f>IFERROR(__xludf.DUMMYFUNCTION("""COMPUTED_VALUE"""),"ApplyBulkUpdateOnTaxlots")</f>
        <v>ApplyBulkUpdateOnTaxlots</v>
      </c>
      <c r="AJ4" s="17" t="str">
        <f>IFERROR(__xludf.DUMMYFUNCTION("""COMPUTED_VALUE"""),"CommissionBulkChangeOnGroups")</f>
        <v>CommissionBulkChangeOnGroups</v>
      </c>
      <c r="AK4" s="17" t="str">
        <f>IFERROR(__xludf.DUMMYFUNCTION("""COMPUTED_VALUE"""),"CommissionBulkChangeOnTaxlots")</f>
        <v>CommissionBulkChangeOnTaxlots</v>
      </c>
      <c r="AL4" s="17" t="str">
        <f>IFERROR(__xludf.DUMMYFUNCTION("""COMPUTED_VALUE"""),"SelectUnallocatedGroup")</f>
        <v>SelectUnallocatedGroup</v>
      </c>
      <c r="AM4" s="17" t="str">
        <f>IFERROR(__xludf.DUMMYFUNCTION("""COMPUTED_VALUE"""),"EnterAccountValuesToAllocate")</f>
        <v>EnterAccountValuesToAllocate</v>
      </c>
      <c r="AN4" s="17" t="str">
        <f>IFERROR(__xludf.DUMMYFUNCTION("""COMPUTED_VALUE"""),"EnterAllocatePreference")</f>
        <v>EnterAllocatePreference</v>
      </c>
      <c r="AO4" s="17" t="str">
        <f>IFERROR(__xludf.DUMMYFUNCTION("""COMPUTED_VALUE"""),"EnterStrategyValuesToAllocate")</f>
        <v>EnterStrategyValuesToAllocate</v>
      </c>
      <c r="AP4" s="17" t="str">
        <f>IFERROR(__xludf.DUMMYFUNCTION("""COMPUTED_VALUE"""),"CopyCalculatedPreferenceToolbar")</f>
        <v>CopyCalculatedPreferenceToolbar</v>
      </c>
      <c r="AQ4" s="17" t="str">
        <f>IFERROR(__xludf.DUMMYFUNCTION("""COMPUTED_VALUE"""),"SetGeneralRuleCalculatedPref")</f>
        <v>SetGeneralRuleCalculatedPref</v>
      </c>
      <c r="AR4" s="17" t="str">
        <f>IFERROR(__xludf.DUMMYFUNCTION("""COMPUTED_VALUE"""),"ExportAllCalculatedPreferences")</f>
        <v>ExportAllCalculatedPreferences</v>
      </c>
      <c r="AS4" s="17" t="str">
        <f>IFERROR(__xludf.DUMMYFUNCTION("""COMPUTED_VALUE"""),"SaveCalculatedPreferences")</f>
        <v>SaveCalculatedPreferences</v>
      </c>
      <c r="AT4" s="17" t="str">
        <f>IFERROR(__xludf.DUMMYFUNCTION("""COMPUTED_VALUE"""),"CloseCalculatedPreferences")</f>
        <v>CloseCalculatedPreferences</v>
      </c>
      <c r="AU4" s="17" t="str">
        <f>IFERROR(__xludf.DUMMYFUNCTION("""COMPUTED_VALUE"""),"ExportCalculatedPreference")</f>
        <v>ExportCalculatedPreference</v>
      </c>
      <c r="AV4" s="17" t="str">
        <f>IFERROR(__xludf.DUMMYFUNCTION("""COMPUTED_VALUE"""),"ImportCalculatedPreferences")</f>
        <v>ImportCalculatedPreferences</v>
      </c>
      <c r="AW4" s="17" t="str">
        <f>IFERROR(__xludf.DUMMYFUNCTION("""COMPUTED_VALUE"""),"OpenAuditTrailUnallocatedGroup")</f>
        <v>OpenAuditTrailUnallocatedGroup</v>
      </c>
      <c r="AX4" s="17" t="str">
        <f>IFERROR(__xludf.DUMMYFUNCTION("""COMPUTED_VALUE"""),"DeleteCalculatedPreferencesTool")</f>
        <v>DeleteCalculatedPreferencesTool</v>
      </c>
      <c r="AY4" s="17" t="str">
        <f>IFERROR(__xludf.DUMMYFUNCTION("""COMPUTED_VALUE"""),"ImportCalculatedPreferencesTool")</f>
        <v>ImportCalculatedPreferencesTool</v>
      </c>
      <c r="AZ4" s="17" t="str">
        <f>IFERROR(__xludf.DUMMYFUNCTION("""COMPUTED_VALUE"""),"ExportAllCalculatedPreferTool")</f>
        <v>ExportAllCalculatedPreferTool</v>
      </c>
      <c r="BA4" s="17" t="str">
        <f>IFERROR(__xludf.DUMMYFUNCTION("""COMPUTED_VALUE"""),"OpenAuditTrailAllocatedGroup")</f>
        <v>OpenAuditTrailAllocatedGroup</v>
      </c>
      <c r="BB4" s="17" t="str">
        <f>IFERROR(__xludf.DUMMYFUNCTION("""COMPUTED_VALUE"""),"OpenSymbolLookupUnallocateGroup")</f>
        <v>OpenSymbolLookupUnallocateGroup</v>
      </c>
      <c r="BC4" s="17" t="str">
        <f>IFERROR(__xludf.DUMMYFUNCTION("""COMPUTED_VALUE"""),"OpenSymbolLookupAllocatedGroup")</f>
        <v>OpenSymbolLookupAllocatedGroup</v>
      </c>
      <c r="BD4" s="17" t="str">
        <f>IFERROR(__xludf.DUMMYFUNCTION("""COMPUTED_VALUE"""),"DeleteFixedPreference")</f>
        <v>DeleteFixedPreference</v>
      </c>
      <c r="BE4" s="17" t="str">
        <f>IFERROR(__xludf.DUMMYFUNCTION("""COMPUTED_VALUE"""),"EditAllocatedGroupSidePanel")</f>
        <v>EditAllocatedGroupSidePanel</v>
      </c>
      <c r="BF4" s="17" t="str">
        <f>IFERROR(__xludf.DUMMYFUNCTION("""COMPUTED_VALUE"""),"CheckUnallocatedGroups")</f>
        <v>CheckUnallocatedGroups</v>
      </c>
      <c r="BG4" s="17" t="str">
        <f>IFERROR(__xludf.DUMMYFUNCTION("""COMPUTED_VALUE"""),"SetGeneralPreferences")</f>
        <v>SetGeneralPreferences</v>
      </c>
      <c r="BH4" s="17" t="str">
        <f>IFERROR(__xludf.DUMMYFUNCTION("""COMPUTED_VALUE"""),"GroupTrades")</f>
        <v>GroupTrades</v>
      </c>
      <c r="BI4" s="17" t="str">
        <f>IFERROR(__xludf.DUMMYFUNCTION("""COMPUTED_VALUE"""),"UngroupTrades")</f>
        <v>UngroupTrades</v>
      </c>
      <c r="BJ4" s="17" t="str">
        <f>IFERROR(__xludf.DUMMYFUNCTION("""COMPUTED_VALUE"""),"DeleteGroup")</f>
        <v>DeleteGroup</v>
      </c>
      <c r="BK4" s="17" t="str">
        <f>IFERROR(__xludf.DUMMYFUNCTION("""COMPUTED_VALUE"""),"CloseOrder")</f>
        <v>CloseOrder</v>
      </c>
      <c r="BL4" s="17" t="str">
        <f>IFERROR(__xludf.DUMMYFUNCTION("""COMPUTED_VALUE"""),"Unallocate")</f>
        <v>Unallocate</v>
      </c>
      <c r="BM4" s="17" t="str">
        <f>IFERROR(__xludf.DUMMYFUNCTION("""COMPUTED_VALUE"""),"CloseAllocation")</f>
        <v>CloseAllocation</v>
      </c>
      <c r="BN4" s="17" t="str">
        <f>IFERROR(__xludf.DUMMYFUNCTION("""COMPUTED_VALUE"""),"UpdateGRAccountValue")</f>
        <v>UpdateGRAccountValue</v>
      </c>
      <c r="BO4" s="17" t="str">
        <f>IFERROR(__xludf.DUMMYFUNCTION("""COMPUTED_VALUE"""),"UpdateGRStrategyValue")</f>
        <v>UpdateGRStrategyValue</v>
      </c>
      <c r="BP4" s="17" t="str">
        <f>IFERROR(__xludf.DUMMYFUNCTION("""COMPUTED_VALUE"""),"UpdateGRDefaultRule")</f>
        <v>UpdateGRDefaultRule</v>
      </c>
      <c r="BQ4" s="17" t="str">
        <f>IFERROR(__xludf.DUMMYFUNCTION("""COMPUTED_VALUE"""),"UpdateGeneralRulePref")</f>
        <v>UpdateGeneralRulePref</v>
      </c>
      <c r="BR4" s="17" t="str">
        <f>IFERROR(__xludf.DUMMYFUNCTION("""COMPUTED_VALUE"""),"ModifyGRPreferenceValues")</f>
        <v>ModifyGRPreferenceValues</v>
      </c>
      <c r="BS4" s="17" t="str">
        <f>IFERROR(__xludf.DUMMYFUNCTION("""COMPUTED_VALUE"""),"AddMFPreferences")</f>
        <v>AddMFPreferences</v>
      </c>
      <c r="BT4" s="17" t="str">
        <f>IFERROR(__xludf.DUMMYFUNCTION("""COMPUTED_VALUE"""),"AddMFPreferenceToolbar")</f>
        <v>AddMFPreferenceToolbar</v>
      </c>
      <c r="BU4" s="17" t="str">
        <f>IFERROR(__xludf.DUMMYFUNCTION("""COMPUTED_VALUE"""),"DeleteMFPreferences")</f>
        <v>DeleteMFPreferences</v>
      </c>
      <c r="BV4" s="17" t="str">
        <f>IFERROR(__xludf.DUMMYFUNCTION("""COMPUTED_VALUE"""),"DeleteMFPreferenceToolbar")</f>
        <v>DeleteMFPreferenceToolbar</v>
      </c>
      <c r="BW4" s="17" t="str">
        <f>IFERROR(__xludf.DUMMYFUNCTION("""COMPUTED_VALUE"""),"RenameMFPreferences")</f>
        <v>RenameMFPreferences</v>
      </c>
      <c r="BX4" s="17" t="str">
        <f>IFERROR(__xludf.DUMMYFUNCTION("""COMPUTED_VALUE"""),"SaveCloseMFPreference")</f>
        <v>SaveCloseMFPreference</v>
      </c>
      <c r="BY4" s="17" t="str">
        <f>IFERROR(__xludf.DUMMYFUNCTION("""COMPUTED_VALUE"""),"SetMFPrefAccountValues")</f>
        <v>SetMFPrefAccountValues</v>
      </c>
      <c r="BZ4" s="17" t="str">
        <f>IFERROR(__xludf.DUMMYFUNCTION("""COMPUTED_VALUE"""),"ModifyMFPrefGeneralRuleValues")</f>
        <v>ModifyMFPrefGeneralRuleValues</v>
      </c>
      <c r="CA4" s="17" t="str">
        <f>IFERROR(__xludf.DUMMYFUNCTION("""COMPUTED_VALUE"""),"SetMFPrefStrategyValues")</f>
        <v>SetMFPrefStrategyValues</v>
      </c>
      <c r="CB4" s="17" t="str">
        <f>IFERROR(__xludf.DUMMYFUNCTION("""COMPUTED_VALUE"""),"SetMFPrefGeneralRule")</f>
        <v>SetMFPrefGeneralRule</v>
      </c>
      <c r="CC4" s="17" t="str">
        <f>IFERROR(__xludf.DUMMYFUNCTION("""COMPUTED_VALUE"""),"SetMFPrefFundDistribution")</f>
        <v>SetMFPrefFundDistribution</v>
      </c>
      <c r="CD4" s="17" t="str">
        <f>IFERROR(__xludf.DUMMYFUNCTION("""COMPUTED_VALUE"""),"SetMFPreferencesDefaultRule")</f>
        <v>SetMFPreferencesDefaultRule</v>
      </c>
      <c r="CE4" s="17" t="str">
        <f>IFERROR(__xludf.DUMMYFUNCTION("""COMPUTED_VALUE"""),"SetMFPrefFundDefaultRule")</f>
        <v>SetMFPrefFundDefaultRule</v>
      </c>
      <c r="CF4" s="17" t="str">
        <f>IFERROR(__xludf.DUMMYFUNCTION("""COMPUTED_VALUE"""),"ClearPrefetchFilters")</f>
        <v>ClearPrefetchFilters</v>
      </c>
      <c r="CG4" s="17" t="str">
        <f>IFERROR(__xludf.DUMMYFUNCTION("""COMPUTED_VALUE"""),"ExpandCollapseAllUnallocated")</f>
        <v>ExpandCollapseAllUnallocated</v>
      </c>
      <c r="CH4" s="17" t="str">
        <f>IFERROR(__xludf.DUMMYFUNCTION("""COMPUTED_VALUE"""),"ExpandCollapseAllAllocated")</f>
        <v>ExpandCollapseAllAllocated</v>
      </c>
      <c r="CI4" s="17" t="str">
        <f>IFERROR(__xludf.DUMMYFUNCTION("""COMPUTED_VALUE"""),"GenerateCashTransaction")</f>
        <v>GenerateCashTransaction</v>
      </c>
      <c r="CJ4" s="17" t="str">
        <f>IFERROR(__xludf.DUMMYFUNCTION("""COMPUTED_VALUE"""),"SaveAllocation")</f>
        <v>SaveAllocation</v>
      </c>
      <c r="CK4" s="17" t="str">
        <f>IFERROR(__xludf.DUMMYFUNCTION("""COMPUTED_VALUE"""),"UnallocateWithOutSave")</f>
        <v>UnallocateWithOutSave</v>
      </c>
      <c r="CL4" s="17" t="str">
        <f>IFERROR(__xludf.DUMMYFUNCTION("""COMPUTED_VALUE"""),"EditUnallocatedGrid")</f>
        <v>EditUnallocatedGrid</v>
      </c>
      <c r="CM4" s="17" t="str">
        <f>IFERROR(__xludf.DUMMYFUNCTION("""COMPUTED_VALUE"""),"EditAllocatedGrid")</f>
        <v>EditAllocatedGrid</v>
      </c>
      <c r="CN4" s="17" t="str">
        <f>IFERROR(__xludf.DUMMYFUNCTION("""COMPUTED_VALUE"""),"SaveLayoutAllocatedGrid")</f>
        <v>SaveLayoutAllocatedGrid</v>
      </c>
      <c r="CO4" s="17" t="str">
        <f>IFERROR(__xludf.DUMMYFUNCTION("""COMPUTED_VALUE"""),"SaveLayoutUnallocatedGrid")</f>
        <v>SaveLayoutUnallocatedGrid</v>
      </c>
      <c r="CP4" s="17" t="str">
        <f>IFERROR(__xludf.DUMMYFUNCTION("""COMPUTED_VALUE"""),"SaveLayoutAllocationUI")</f>
        <v>SaveLayoutAllocationUI</v>
      </c>
      <c r="CQ4" s="17" t="str">
        <f>IFERROR(__xludf.DUMMYFUNCTION("""COMPUTED_VALUE"""),"ClearFiltersAllocatedGrid")</f>
        <v>ClearFiltersAllocatedGrid</v>
      </c>
      <c r="CR4" s="17" t="str">
        <f>IFERROR(__xludf.DUMMYFUNCTION("""COMPUTED_VALUE"""),"ClearFiltersUnallocatedGrid")</f>
        <v>ClearFiltersUnallocatedGrid</v>
      </c>
      <c r="CS4" s="17" t="str">
        <f>IFERROR(__xludf.DUMMYFUNCTION("""COMPUTED_VALUE"""),"VerifyLayoutAllocatedGrid")</f>
        <v>VerifyLayoutAllocatedGrid</v>
      </c>
      <c r="CT4" s="17" t="str">
        <f>IFERROR(__xludf.DUMMYFUNCTION("""COMPUTED_VALUE"""),"VerifyLayoutUnallocatedGrid")</f>
        <v>VerifyLayoutUnallocatedGrid</v>
      </c>
      <c r="CU4" s="17" t="str">
        <f>IFERROR(__xludf.DUMMYFUNCTION("""COMPUTED_VALUE"""),"CleanUp")</f>
        <v>CleanUp</v>
      </c>
      <c r="CV4" s="17" t="str">
        <f>IFERROR(__xludf.DUMMYFUNCTION("""COMPUTED_VALUE"""),"CheckAllocatedTaxlots")</f>
        <v>CheckAllocatedTaxlots</v>
      </c>
      <c r="CW4" s="17" t="str">
        <f>IFERROR(__xludf.DUMMYFUNCTION("""COMPUTED_VALUE"""),"DisableChecksideForAsset")</f>
        <v>DisableChecksideForAsset</v>
      </c>
      <c r="CX4" s="17" t="str">
        <f>IFERROR(__xludf.DUMMYFUNCTION("""COMPUTED_VALUE"""),"DisableChecksideForAccount")</f>
        <v>DisableChecksideForAccount</v>
      </c>
      <c r="CY4" s="17" t="str">
        <f>IFERROR(__xludf.DUMMYFUNCTION("""COMPUTED_VALUE"""),"DisableChecksideForCounterParty")</f>
        <v>DisableChecksideForCounterParty</v>
      </c>
      <c r="CZ4" s="17" t="str">
        <f>IFERROR(__xludf.DUMMYFUNCTION("""COMPUTED_VALUE"""),"DisableCheckside")</f>
        <v>DisableCheckside</v>
      </c>
      <c r="DA4" s="17" t="str">
        <f>IFERROR(__xludf.DUMMYFUNCTION("""COMPUTED_VALUE"""),"ApplyMasterFundFilter")</f>
        <v>ApplyMasterFundFilter</v>
      </c>
      <c r="DB4" s="17" t="str">
        <f>IFERROR(__xludf.DUMMYFUNCTION("""COMPUTED_VALUE"""),"ShowMasterFundOnTT")</f>
        <v>ShowMasterFundOnTT</v>
      </c>
      <c r="DC4" s="17" t="str">
        <f>IFERROR(__xludf.DUMMYFUNCTION("""COMPUTED_VALUE"""),"ShowMasterFundAsClient")</f>
        <v>ShowMasterFundAsClient</v>
      </c>
      <c r="DD4" s="17" t="str">
        <f>IFERROR(__xludf.DUMMYFUNCTION("""COMPUTED_VALUE"""),"SetBrokerAccountMapping")</f>
        <v>SetBrokerAccountMapping</v>
      </c>
      <c r="DE4" s="17" t="str">
        <f>IFERROR(__xludf.DUMMYFUNCTION("""COMPUTED_VALUE"""),"EditUnallocatedGridWPF")</f>
        <v>EditUnallocatedGridWPF</v>
      </c>
      <c r="DF4" s="17" t="str">
        <f>IFERROR(__xludf.DUMMYFUNCTION("""COMPUTED_VALUE"""),"EditAllocatedGridWPF")</f>
        <v>EditAllocatedGridWPF</v>
      </c>
      <c r="DG4" s="17" t="str">
        <f>IFERROR(__xludf.DUMMYFUNCTION("""COMPUTED_VALUE"""),"EditAllocatedGridTaxlot")</f>
        <v>EditAllocatedGridTaxlot</v>
      </c>
      <c r="DH4" s="17" t="str">
        <f>IFERROR(__xludf.DUMMYFUNCTION("""COMPUTED_VALUE"""),"ExpandCollapseAllocatedGrid")</f>
        <v>ExpandCollapseAllocatedGrid</v>
      </c>
      <c r="DI4" s="17" t="str">
        <f>IFERROR(__xludf.DUMMYFUNCTION("""COMPUTED_VALUE"""),"ExpandCollapseUnallocatedGrid")</f>
        <v>ExpandCollapseUnallocatedGrid</v>
      </c>
      <c r="DJ4" s="17" t="str">
        <f>IFERROR(__xludf.DUMMYFUNCTION("""COMPUTED_VALUE"""),"SetTradeAttributePreferences")</f>
        <v>SetTradeAttributePreferences</v>
      </c>
      <c r="DK4" s="17" t="str">
        <f>IFERROR(__xludf.DUMMYFUNCTION("""COMPUTED_VALUE"""),"EnterCustomAllocatePreference")</f>
        <v>EnterCustomAllocatePreference</v>
      </c>
      <c r="DL4" s="17" t="str">
        <f>IFERROR(__xludf.DUMMYFUNCTION("""COMPUTED_VALUE"""),"SetAutoGroupingPreferences")</f>
        <v>SetAutoGroupingPreferences</v>
      </c>
      <c r="DM4" s="17" t="str">
        <f>IFERROR(__xludf.DUMMYFUNCTION("""COMPUTED_VALUE"""),"SetAutoGroupingAccount")</f>
        <v>SetAutoGroupingAccount</v>
      </c>
      <c r="DN4" s="17" t="str">
        <f>IFERROR(__xludf.DUMMYFUNCTION("""COMPUTED_VALUE"""),"SetAvgPriceRounding")</f>
        <v>SetAvgPriceRounding</v>
      </c>
      <c r="DO4" s="17" t="str">
        <f>IFERROR(__xludf.DUMMYFUNCTION("""COMPUTED_VALUE"""),"IsAllocationOpen")</f>
        <v>IsAllocationOpen</v>
      </c>
      <c r="DP4" s="17" t="str">
        <f>IFERROR(__xludf.DUMMYFUNCTION("""COMPUTED_VALUE"""),"AllocationAuditTrail")</f>
        <v>AllocationAuditTrail</v>
      </c>
      <c r="DQ4" s="17" t="str">
        <f>IFERROR(__xludf.DUMMYFUNCTION("""COMPUTED_VALUE"""),"GetAuditTrailData")</f>
        <v>GetAuditTrailData</v>
      </c>
      <c r="DR4" s="17" t="str">
        <f>IFERROR(__xludf.DUMMYFUNCTION("""COMPUTED_VALUE"""),"CheckAuditTrailData")</f>
        <v>CheckAuditTrailData</v>
      </c>
      <c r="DS4" s="17" t="str">
        <f>IFERROR(__xludf.DUMMYFUNCTION("""COMPUTED_VALUE"""),"DeleteGroupWithOutSave")</f>
        <v>DeleteGroupWithOutSave</v>
      </c>
      <c r="DT4" s="17" t="str">
        <f>IFERROR(__xludf.DUMMYFUNCTION("""COMPUTED_VALUE"""),"CheckPreferences")</f>
        <v>CheckPreferences</v>
      </c>
      <c r="DU4" s="17" t="str">
        <f>IFERROR(__xludf.DUMMYFUNCTION("""COMPUTED_VALUE"""),"AllocateWithPopUp")</f>
        <v>AllocateWithPopUp</v>
      </c>
      <c r="DV4" s="17" t="str">
        <f>IFERROR(__xludf.DUMMYFUNCTION("""COMPUTED_VALUE"""),"SelectAllRowsAllocated")</f>
        <v>SelectAllRowsAllocated</v>
      </c>
      <c r="DW4" s="17" t="str">
        <f>IFERROR(__xludf.DUMMYFUNCTION("""COMPUTED_VALUE"""),"ModifyGRPreferenceValues")</f>
        <v>ModifyGRPreferenceValues</v>
      </c>
      <c r="DX4" s="17" t="str">
        <f>IFERROR(__xludf.DUMMYFUNCTION("""COMPUTED_VALUE"""),"VerifyAllocationNavLockPopup")</f>
        <v>VerifyAllocationNavLockPopup</v>
      </c>
      <c r="DY4" s="17" t="str">
        <f>IFERROR(__xludf.DUMMYFUNCTION("""COMPUTED_VALUE"""),"ReviewExistingPositions")</f>
        <v>ReviewExistingPositions</v>
      </c>
      <c r="DZ4" s="17" t="str">
        <f>IFERROR(__xludf.DUMMYFUNCTION("""COMPUTED_VALUE"""),"OperationsonAllocation")</f>
        <v>OperationsonAllocation</v>
      </c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IFERROR(__xludf.DUMMYFUNCTION("""COMPUTED_VALUE"""),"Account Name")</f>
        <v>Account Name</v>
      </c>
      <c r="C5" s="18" t="str">
        <f>IFERROR(__xludf.DUMMYFUNCTION("""COMPUTED_VALUE"""),"Accrual Basis")</f>
        <v>Accrual Basis</v>
      </c>
      <c r="D5" s="18" t="str">
        <f>IFERROR(__xludf.DUMMYFUNCTION("""COMPUTED_VALUE"""),"Accrued Interest")</f>
        <v>Accrued Interest</v>
      </c>
      <c r="E5" s="18" t="str">
        <f>IFERROR(__xludf.DUMMYFUNCTION("""COMPUTED_VALUE"""),"Allocated Qty")</f>
        <v>Allocated Qty</v>
      </c>
      <c r="F5" s="18" t="str">
        <f>IFERROR(__xludf.DUMMYFUNCTION("""COMPUTED_VALUE"""),"Allocation Scheme Name")</f>
        <v>Allocation Scheme Name</v>
      </c>
      <c r="G5" s="18" t="str">
        <f>IFERROR(__xludf.DUMMYFUNCTION("""COMPUTED_VALUE"""),"Asset Category")</f>
        <v>Asset Category</v>
      </c>
      <c r="H5" s="18" t="str">
        <f>IFERROR(__xludf.DUMMYFUNCTION("""COMPUTED_VALUE"""),"AUEC Fee1")</f>
        <v>AUEC Fee1</v>
      </c>
      <c r="I5" s="18" t="str">
        <f>IFERROR(__xludf.DUMMYFUNCTION("""COMPUTED_VALUE"""),"AUEC Fee2")</f>
        <v>AUEC Fee2</v>
      </c>
      <c r="J5" s="18" t="str">
        <f>IFERROR(__xludf.DUMMYFUNCTION("""COMPUTED_VALUE"""),"AUECID")</f>
        <v>AUECID</v>
      </c>
      <c r="K5" s="18" t="str">
        <f>IFERROR(__xludf.DUMMYFUNCTION("""COMPUTED_VALUE"""),"Avg Price(Base)")</f>
        <v>Avg Price(Base)</v>
      </c>
      <c r="L5" s="18" t="str">
        <f>IFERROR(__xludf.DUMMYFUNCTION("""COMPUTED_VALUE"""),"Avg Price(Local)")</f>
        <v>Avg Price(Local)</v>
      </c>
      <c r="M5" s="18" t="str">
        <f>IFERROR(__xludf.DUMMYFUNCTION("""COMPUTED_VALUE"""),"Bloomberg")</f>
        <v>Bloomberg</v>
      </c>
      <c r="N5" s="18" t="str">
        <f>IFERROR(__xludf.DUMMYFUNCTION("""COMPUTED_VALUE"""),"Bond Type")</f>
        <v>Bond Type</v>
      </c>
      <c r="O5" s="18" t="str">
        <f>IFERROR(__xludf.DUMMYFUNCTION("""COMPUTED_VALUE"""),"Broker")</f>
        <v>Broker</v>
      </c>
      <c r="P5" s="18" t="str">
        <f>IFERROR(__xludf.DUMMYFUNCTION("""COMPUTED_VALUE"""),"Change Comment")</f>
        <v>Change Comment</v>
      </c>
      <c r="Q5" s="18" t="str">
        <f>IFERROR(__xludf.DUMMYFUNCTION("""COMPUTED_VALUE"""),"Change Type")</f>
        <v>Change Type</v>
      </c>
      <c r="R5" s="18" t="str">
        <f>IFERROR(__xludf.DUMMYFUNCTION("""COMPUTED_VALUE"""),"Clearing Broker Fee")</f>
        <v>Clearing Broker Fee</v>
      </c>
      <c r="S5" s="18" t="str">
        <f>IFERROR(__xludf.DUMMYFUNCTION("""COMPUTED_VALUE"""),"Closing Status")</f>
        <v>Closing Status</v>
      </c>
      <c r="T5" s="19" t="str">
        <f>IFERROR(__xludf.DUMMYFUNCTION("""COMPUTED_VALUE"""),"Commission")</f>
        <v>Commission</v>
      </c>
      <c r="U5" s="19" t="str">
        <f>IFERROR(__xludf.DUMMYFUNCTION("""COMPUTED_VALUE"""),"Commission Per Share")</f>
        <v>Commission Per Share</v>
      </c>
      <c r="V5" s="19" t="str">
        <f>IFERROR(__xludf.DUMMYFUNCTION("""COMPUTED_VALUE"""),"Company")</f>
        <v>Company</v>
      </c>
      <c r="W5" s="19" t="str">
        <f>IFERROR(__xludf.DUMMYFUNCTION("""COMPUTED_VALUE"""),"Contract Multiplier")</f>
        <v>Contract Multiplier</v>
      </c>
      <c r="X5" s="19" t="str">
        <f>IFERROR(__xludf.DUMMYFUNCTION("""COMPUTED_VALUE"""),"Coupon Rate")</f>
        <v>Coupon Rate</v>
      </c>
      <c r="Y5" s="19" t="str">
        <f>IFERROR(__xludf.DUMMYFUNCTION("""COMPUTED_VALUE"""),"Cum Qty For Sub Order")</f>
        <v>Cum Qty For Sub Order</v>
      </c>
      <c r="Z5" s="19" t="str">
        <f>IFERROR(__xludf.DUMMYFUNCTION("""COMPUTED_VALUE"""),"Currency")</f>
        <v>Currency</v>
      </c>
      <c r="AA5" s="19" t="str">
        <f>IFERROR(__xludf.DUMMYFUNCTION("""COMPUTED_VALUE"""),"Cusip Symbol")</f>
        <v>Cusip Symbol</v>
      </c>
      <c r="AB5" s="19" t="str">
        <f>IFERROR(__xludf.DUMMYFUNCTION("""COMPUTED_VALUE"""),"Delta")</f>
        <v>Delta</v>
      </c>
      <c r="AC5" s="19" t="str">
        <f>IFERROR(__xludf.DUMMYFUNCTION("""COMPUTED_VALUE"""),"Description")</f>
        <v>Description</v>
      </c>
      <c r="AD5" s="19" t="str">
        <f>IFERROR(__xludf.DUMMYFUNCTION("""COMPUTED_VALUE"""),"Exchange")</f>
        <v>Exchange</v>
      </c>
      <c r="AE5" s="19" t="str">
        <f>IFERROR(__xludf.DUMMYFUNCTION("""COMPUTED_VALUE"""),"Executed Qty")</f>
        <v>Executed Qty</v>
      </c>
      <c r="AF5" s="19" t="str">
        <f>IFERROR(__xludf.DUMMYFUNCTION("""COMPUTED_VALUE"""),"Exceution Time")</f>
        <v>Exceution Time</v>
      </c>
      <c r="AG5" s="19" t="str">
        <f>IFERROR(__xludf.DUMMYFUNCTION("""COMPUTED_VALUE"""),"Expiration Date")</f>
        <v>Expiration Date</v>
      </c>
      <c r="AH5" s="19" t="str">
        <f>IFERROR(__xludf.DUMMYFUNCTION("""COMPUTED_VALUE"""),"FX Conversion Operator")</f>
        <v>FX Conversion Operator</v>
      </c>
      <c r="AI5" s="19" t="str">
        <f>IFERROR(__xludf.DUMMYFUNCTION("""COMPUTED_VALUE"""),"FX Rate")</f>
        <v>FX Rate</v>
      </c>
      <c r="AJ5" s="19" t="str">
        <f>IFERROR(__xludf.DUMMYFUNCTION("""COMPUTED_VALUE"""),"Group Status")</f>
        <v>Group Status</v>
      </c>
      <c r="AK5" s="19" t="str">
        <f>IFERROR(__xludf.DUMMYFUNCTION("""COMPUTED_VALUE"""),"IDCOSymbol")</f>
        <v>IDCOSymbol</v>
      </c>
      <c r="AL5" s="19" t="str">
        <f>IFERROR(__xludf.DUMMYFUNCTION("""COMPUTED_VALUE"""),"Import File Name")</f>
        <v>Import File Name</v>
      </c>
      <c r="AM5" s="19" t="str">
        <f>IFERROR(__xludf.DUMMYFUNCTION("""COMPUTED_VALUE"""),"Internal Comments")</f>
        <v>Internal Comments</v>
      </c>
      <c r="AN5" s="19" t="str">
        <f>IFERROR(__xludf.DUMMYFUNCTION("""COMPUTED_VALUE"""),"IsAnotherTaxlotAttributesUpdated")</f>
        <v>IsAnotherTaxlotAttributesUpdated</v>
      </c>
      <c r="AO5" s="19" t="str">
        <f>IFERROR(__xludf.DUMMYFUNCTION("""COMPUTED_VALUE"""),"ISIN")</f>
        <v>ISIN</v>
      </c>
      <c r="AP5" s="19" t="str">
        <f>IFERROR(__xludf.DUMMYFUNCTION("""COMPUTED_VALUE"""),"IsManual Group")</f>
        <v>IsManual Group</v>
      </c>
      <c r="AQ5" s="19" t="str">
        <f>IFERROR(__xludf.DUMMYFUNCTION("""COMPUTED_VALUE"""),"ISNDF")</f>
        <v>ISNDF</v>
      </c>
      <c r="AR5" s="19" t="str">
        <f>IFERROR(__xludf.DUMMYFUNCTION("""COMPUTED_VALUE"""),"IsPreAllocated")</f>
        <v>IsPreAllocated</v>
      </c>
      <c r="AS5" s="19" t="str">
        <f>IFERROR(__xludf.DUMMYFUNCTION("""COMPUTED_VALUE"""),"M2MProfitLoss")</f>
        <v>M2MProfitLoss</v>
      </c>
      <c r="AT5" s="19" t="str">
        <f>IFERROR(__xludf.DUMMYFUNCTION("""COMPUTED_VALUE"""),"Net Amount( Base)")</f>
        <v>Net Amount( Base)</v>
      </c>
      <c r="AU5" s="19" t="str">
        <f>IFERROR(__xludf.DUMMYFUNCTION("""COMPUTED_VALUE"""),"Net Amount( Local)")</f>
        <v>Net Amount( Local)</v>
      </c>
      <c r="AV5" s="19" t="str">
        <f>IFERROR(__xludf.DUMMYFUNCTION("""COMPUTED_VALUE"""),"Nirvana Process Date")</f>
        <v>Nirvana Process Date</v>
      </c>
      <c r="AW5" s="19" t="str">
        <f>IFERROR(__xludf.DUMMYFUNCTION("""COMPUTED_VALUE"""),"OCC Fee")</f>
        <v>OCC Fee</v>
      </c>
      <c r="AX5" s="19" t="str">
        <f>IFERROR(__xludf.DUMMYFUNCTION("""COMPUTED_VALUE"""),"Option Premium Adjustment")</f>
        <v>Option Premium Adjustment</v>
      </c>
      <c r="AY5" s="19" t="str">
        <f>IFERROR(__xludf.DUMMYFUNCTION("""COMPUTED_VALUE"""),"Order Type")</f>
        <v>Order Type</v>
      </c>
      <c r="AZ5" s="19" t="str">
        <f>IFERROR(__xludf.DUMMYFUNCTION("""COMPUTED_VALUE"""),"ORF Fee")</f>
        <v>ORF Fee</v>
      </c>
      <c r="BA5" s="19" t="str">
        <f>IFERROR(__xludf.DUMMYFUNCTION("""COMPUTED_VALUE"""),"Original Purchase Date")</f>
        <v>Original Purchase Date</v>
      </c>
      <c r="BB5" s="19" t="str">
        <f>IFERROR(__xludf.DUMMYFUNCTION("""COMPUTED_VALUE"""),"OSISSymbol")</f>
        <v>OSISSymbol</v>
      </c>
      <c r="BC5" s="19" t="str">
        <f>IFERROR(__xludf.DUMMYFUNCTION("""COMPUTED_VALUE"""),"Other Broker Fees")</f>
        <v>Other Broker Fees</v>
      </c>
      <c r="BD5" s="19" t="str">
        <f>IFERROR(__xludf.DUMMYFUNCTION("""COMPUTED_VALUE"""),"Prana Msg Type")</f>
        <v>Prana Msg Type</v>
      </c>
      <c r="BE5" s="19" t="str">
        <f>IFERROR(__xludf.DUMMYFUNCTION("""COMPUTED_VALUE"""),"Principal Amount( Base)")</f>
        <v>Principal Amount( Base)</v>
      </c>
      <c r="BF5" s="19" t="str">
        <f>IFERROR(__xludf.DUMMYFUNCTION("""COMPUTED_VALUE"""),"Principal Amount( Local)")</f>
        <v>Principal Amount( Local)</v>
      </c>
      <c r="BG5" s="19" t="str">
        <f>IFERROR(__xludf.DUMMYFUNCTION("""COMPUTED_VALUE"""),"Process Date")</f>
        <v>Process Date</v>
      </c>
      <c r="BH5" s="19" t="str">
        <f>IFERROR(__xludf.DUMMYFUNCTION("""COMPUTED_VALUE"""),"Proxy Symbol")</f>
        <v>Proxy Symbol</v>
      </c>
      <c r="BI5" s="19" t="str">
        <f>IFERROR(__xludf.DUMMYFUNCTION("""COMPUTED_VALUE"""),"Put Or Call")</f>
        <v>Put Or Call</v>
      </c>
      <c r="BJ5" s="19" t="str">
        <f>IFERROR(__xludf.DUMMYFUNCTION("""COMPUTED_VALUE"""),"Quantity")</f>
        <v>Quantity</v>
      </c>
      <c r="BK5" s="19" t="str">
        <f>IFERROR(__xludf.DUMMYFUNCTION("""COMPUTED_VALUE"""),"SEC Fee")</f>
        <v>SEC Fee</v>
      </c>
      <c r="BL5" s="19" t="str">
        <f>IFERROR(__xludf.DUMMYFUNCTION("""COMPUTED_VALUE"""),"Sedol Symbol")</f>
        <v>Sedol Symbol</v>
      </c>
      <c r="BM5" s="19" t="str">
        <f>IFERROR(__xludf.DUMMYFUNCTION("""COMPUTED_VALUE"""),"Settlement Currency")</f>
        <v>Settlement Currency</v>
      </c>
      <c r="BN5" s="19" t="str">
        <f>IFERROR(__xludf.DUMMYFUNCTION("""COMPUTED_VALUE"""),"Settlement Date")</f>
        <v>Settlement Date</v>
      </c>
      <c r="BO5" s="19" t="str">
        <f>IFERROR(__xludf.DUMMYFUNCTION("""COMPUTED_VALUE"""),"Side")</f>
        <v>Side</v>
      </c>
      <c r="BP5" s="19" t="str">
        <f>IFERROR(__xludf.DUMMYFUNCTION("""COMPUTED_VALUE"""),"Soft Commission")</f>
        <v>Soft Commission</v>
      </c>
      <c r="BQ5" s="19" t="str">
        <f>IFERROR(__xludf.DUMMYFUNCTION("""COMPUTED_VALUE"""),"Soft Commission Per Share")</f>
        <v>Soft Commission Per Share</v>
      </c>
      <c r="BR5" s="19" t="str">
        <f>IFERROR(__xludf.DUMMYFUNCTION("""COMPUTED_VALUE"""),"Stamp Duty")</f>
        <v>Stamp Duty</v>
      </c>
      <c r="BS5" s="19" t="str">
        <f>IFERROR(__xludf.DUMMYFUNCTION("""COMPUTED_VALUE"""),"Strategy Name")</f>
        <v>Strategy Name</v>
      </c>
      <c r="BT5" s="19" t="str">
        <f>IFERROR(__xludf.DUMMYFUNCTION("""COMPUTED_VALUE"""),"Symbol")</f>
        <v>Symbol</v>
      </c>
      <c r="BU5" s="19" t="str">
        <f>IFERROR(__xludf.DUMMYFUNCTION("""COMPUTED_VALUE"""),"Tax On Commissions")</f>
        <v>Tax On Commissions</v>
      </c>
      <c r="BV5" s="19" t="str">
        <f>IFERROR(__xludf.DUMMYFUNCTION("""COMPUTED_VALUE"""),"Total Commission")</f>
        <v>Total Commission</v>
      </c>
      <c r="BW5" s="19" t="str">
        <f>IFERROR(__xludf.DUMMYFUNCTION("""COMPUTED_VALUE"""),"Total Commission And Fee")</f>
        <v>Total Commission And Fee</v>
      </c>
      <c r="BX5" s="19" t="str">
        <f>IFERROR(__xludf.DUMMYFUNCTION("""COMPUTED_VALUE"""),"Total Commission Per Share")</f>
        <v>Total Commission Per Share</v>
      </c>
      <c r="BY5" s="19" t="str">
        <f>IFERROR(__xludf.DUMMYFUNCTION("""COMPUTED_VALUE"""),"Trade Attribute 1")</f>
        <v>Trade Attribute 1</v>
      </c>
      <c r="BZ5" s="19" t="str">
        <f>IFERROR(__xludf.DUMMYFUNCTION("""COMPUTED_VALUE"""),"Trade Attribute 2")</f>
        <v>Trade Attribute 2</v>
      </c>
      <c r="CA5" s="19" t="str">
        <f>IFERROR(__xludf.DUMMYFUNCTION("""COMPUTED_VALUE"""),"Trade Attribute 3")</f>
        <v>Trade Attribute 3</v>
      </c>
      <c r="CB5" s="19" t="str">
        <f>IFERROR(__xludf.DUMMYFUNCTION("""COMPUTED_VALUE"""),"Trade Attribute 4")</f>
        <v>Trade Attribute 4</v>
      </c>
      <c r="CC5" s="19" t="str">
        <f>IFERROR(__xludf.DUMMYFUNCTION("""COMPUTED_VALUE"""),"Trade Attribute 5")</f>
        <v>Trade Attribute 5</v>
      </c>
      <c r="CD5" s="19" t="str">
        <f>IFERROR(__xludf.DUMMYFUNCTION("""COMPUTED_VALUE"""),"Trade Attribute 6")</f>
        <v>Trade Attribute 6</v>
      </c>
      <c r="CE5" s="19" t="str">
        <f>IFERROR(__xludf.DUMMYFUNCTION("""COMPUTED_VALUE"""),"Trade Date")</f>
        <v>Trade Date</v>
      </c>
      <c r="CF5" s="19" t="str">
        <f>IFERROR(__xludf.DUMMYFUNCTION("""COMPUTED_VALUE"""),"Trading Account")</f>
        <v>Trading Account</v>
      </c>
      <c r="CG5" s="19" t="str">
        <f>IFERROR(__xludf.DUMMYFUNCTION("""COMPUTED_VALUE"""),"Transaction Levy")</f>
        <v>Transaction Levy</v>
      </c>
      <c r="CH5" s="19" t="str">
        <f>IFERROR(__xludf.DUMMYFUNCTION("""COMPUTED_VALUE"""),"Transaction Source")</f>
        <v>Transaction Source</v>
      </c>
      <c r="CI5" s="19" t="str">
        <f>IFERROR(__xludf.DUMMYFUNCTION("""COMPUTED_VALUE"""),"Transaction Type")</f>
        <v>Transaction Type</v>
      </c>
      <c r="CJ5" s="19" t="str">
        <f>IFERROR(__xludf.DUMMYFUNCTION("""COMPUTED_VALUE"""),"UnAllocatedQty")</f>
        <v>UnAllocatedQty</v>
      </c>
      <c r="CK5" s="19" t="str">
        <f>IFERROR(__xludf.DUMMYFUNCTION("""COMPUTED_VALUE"""),"Underlying")</f>
        <v>Underlying</v>
      </c>
      <c r="CL5" s="19" t="str">
        <f>IFERROR(__xludf.DUMMYFUNCTION("""COMPUTED_VALUE"""),"Underlying Delta")</f>
        <v>Underlying Delta</v>
      </c>
      <c r="CM5" s="19" t="str">
        <f>IFERROR(__xludf.DUMMYFUNCTION("""COMPUTED_VALUE"""),"Underlying Symbol")</f>
        <v>Underlying Symbol</v>
      </c>
      <c r="CN5" s="19" t="str">
        <f>IFERROR(__xludf.DUMMYFUNCTION("""COMPUTED_VALUE"""),"User")</f>
        <v>User</v>
      </c>
      <c r="CO5" s="19" t="str">
        <f>IFERROR(__xludf.DUMMYFUNCTION("""COMPUTED_VALUE"""),"Venue")</f>
        <v>Venue</v>
      </c>
      <c r="CP5" s="19" t="str">
        <f>IFERROR(__xludf.DUMMYFUNCTION("""COMPUTED_VALUE"""),"Closing Method")</f>
        <v>Closing Method</v>
      </c>
      <c r="CQ5" s="19" t="str">
        <f>IFERROR(__xludf.DUMMYFUNCTION("""COMPUTED_VALUE"""),"Closing Date")</f>
        <v>Closing Date</v>
      </c>
      <c r="CR5" s="19" t="str">
        <f>IFERROR(__xludf.DUMMYFUNCTION("""COMPUTED_VALUE"""),"GroupID")</f>
        <v>GroupID</v>
      </c>
      <c r="CS5" s="19" t="str">
        <f>IFERROR(__xludf.DUMMYFUNCTION("""COMPUTED_VALUE"""),"Client")</f>
        <v>Client</v>
      </c>
      <c r="CT5" s="19" t="str">
        <f>IFERROR(__xludf.DUMMYFUNCTION("""COMPUTED_VALUE"""),"Borrow Broker")</f>
        <v>Borrow Broker</v>
      </c>
      <c r="CU5" s="19" t="str">
        <f>IFERROR(__xludf.DUMMYFUNCTION("""COMPUTED_VALUE"""),"ACTIV Symbol")</f>
        <v>ACTIV Symbol</v>
      </c>
      <c r="CV5" s="19" t="str">
        <f>IFERROR(__xludf.DUMMYFUNCTION("""COMPUTED_VALUE"""),"Borrower Id")</f>
        <v>Borrower Id</v>
      </c>
      <c r="CW5" s="19" t="str">
        <f>IFERROR(__xludf.DUMMYFUNCTION("""COMPUTED_VALUE"""),"Borrow Rate(%)")</f>
        <v>Borrow Rate(%)</v>
      </c>
      <c r="CX5" s="19" t="str">
        <f>IFERROR(__xludf.DUMMYFUNCTION("""COMPUTED_VALUE"""),"Master Fund")</f>
        <v>Master Fund</v>
      </c>
      <c r="CY5" s="19" t="str">
        <f>IFERROR(__xludf.DUMMYFUNCTION("""COMPUTED_VALUE"""),"MandatoryColumn")</f>
        <v>MandatoryColumn</v>
      </c>
      <c r="CZ5" s="19" t="str">
        <f>IFERROR(__xludf.DUMMYFUNCTION("""COMPUTED_VALUE"""),"Testing Type")</f>
        <v>Testing Type</v>
      </c>
      <c r="DA5" s="19" t="str">
        <f>IFERROR(__xludf.DUMMYFUNCTION("""COMPUTED_VALUE"""),"Testing Column")</f>
        <v>Testing Column</v>
      </c>
      <c r="DB5" s="19" t="str">
        <f>IFERROR(__xludf.DUMMYFUNCTION("""COMPUTED_VALUE"""),"Testing Col Value")</f>
        <v>Testing Col Value</v>
      </c>
      <c r="DC5" s="19" t="str">
        <f>IFERROR(__xludf.DUMMYFUNCTION("""COMPUTED_VALUE"""),"DuplicateRow")</f>
        <v>DuplicateRow</v>
      </c>
      <c r="DD5" s="19" t="str">
        <f>IFERROR(__xludf.DUMMYFUNCTION("""COMPUTED_VALUE"""),"DuplicateCountOnUI")</f>
        <v>DuplicateCountOnUI</v>
      </c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</row>
    <row r="6" ht="15.75" customHeight="1">
      <c r="A6" s="4" t="s">
        <v>138</v>
      </c>
      <c r="B6" s="7" t="s">
        <v>21</v>
      </c>
      <c r="C6" s="7" t="s">
        <v>139</v>
      </c>
      <c r="D6" s="4"/>
      <c r="E6" s="21">
        <v>5000.0</v>
      </c>
      <c r="F6" s="7" t="s">
        <v>162</v>
      </c>
      <c r="G6" s="7" t="s">
        <v>140</v>
      </c>
      <c r="H6" s="21">
        <v>4.0</v>
      </c>
      <c r="I6" s="21">
        <v>5.0</v>
      </c>
      <c r="J6" s="21">
        <v>1.0</v>
      </c>
      <c r="K6" s="21">
        <v>10.0</v>
      </c>
      <c r="L6" s="21">
        <v>10.0</v>
      </c>
      <c r="M6" s="7" t="s">
        <v>141</v>
      </c>
      <c r="N6" s="7" t="s">
        <v>142</v>
      </c>
      <c r="O6" s="7" t="s">
        <v>143</v>
      </c>
      <c r="P6" s="4"/>
      <c r="Q6" s="4">
        <v>3.0</v>
      </c>
      <c r="R6" s="4"/>
      <c r="S6" s="4"/>
      <c r="T6" s="4"/>
      <c r="U6" s="4"/>
      <c r="V6" s="4" t="s">
        <v>144</v>
      </c>
      <c r="W6" s="4"/>
      <c r="X6" s="4"/>
      <c r="Y6" s="4"/>
      <c r="Z6" s="4" t="s">
        <v>145</v>
      </c>
      <c r="AA6" s="4" t="s">
        <v>19</v>
      </c>
      <c r="AB6" s="22">
        <v>1.0</v>
      </c>
      <c r="AC6" s="4"/>
      <c r="AD6" s="4" t="s">
        <v>146</v>
      </c>
      <c r="AE6" s="22">
        <v>5000.0</v>
      </c>
      <c r="AF6" s="4" t="s">
        <v>138</v>
      </c>
      <c r="AG6" s="4"/>
      <c r="AH6" s="4" t="s">
        <v>147</v>
      </c>
      <c r="AI6" s="22">
        <v>1.0</v>
      </c>
      <c r="AJ6" s="4"/>
      <c r="AK6" s="4"/>
      <c r="AL6" s="4"/>
      <c r="AM6" s="4"/>
      <c r="AN6" s="4"/>
      <c r="AO6" s="4"/>
      <c r="AP6" s="4"/>
      <c r="AQ6" s="4"/>
      <c r="AR6" s="4"/>
      <c r="AS6" s="22">
        <v>0.0</v>
      </c>
      <c r="AT6" s="4">
        <v>50014.03</v>
      </c>
      <c r="AU6" s="4">
        <v>50014.03</v>
      </c>
      <c r="AV6" s="4"/>
      <c r="AW6" s="4"/>
      <c r="AX6" s="4"/>
      <c r="AY6" s="4" t="s">
        <v>24</v>
      </c>
      <c r="AZ6" s="4"/>
      <c r="BA6" s="4"/>
      <c r="BB6" s="4"/>
      <c r="BC6" s="4"/>
      <c r="BD6" s="4"/>
      <c r="BE6" s="4">
        <v>50000.0</v>
      </c>
      <c r="BF6" s="4">
        <v>50000.0</v>
      </c>
      <c r="BG6" s="4"/>
      <c r="BH6" s="4"/>
      <c r="BI6" s="4"/>
      <c r="BJ6" s="22">
        <v>10000.0</v>
      </c>
      <c r="BK6" s="4"/>
      <c r="BL6" s="4" t="s">
        <v>138</v>
      </c>
      <c r="BM6" s="4" t="s">
        <v>145</v>
      </c>
      <c r="BN6" s="4"/>
      <c r="BO6" s="4" t="s">
        <v>22</v>
      </c>
      <c r="BP6" s="22">
        <v>0.0</v>
      </c>
      <c r="BQ6" s="22">
        <v>0.0</v>
      </c>
      <c r="BR6" s="22"/>
      <c r="BS6" s="4" t="s">
        <v>148</v>
      </c>
      <c r="BT6" s="4" t="s">
        <v>19</v>
      </c>
      <c r="BU6" s="4"/>
      <c r="BV6" s="4"/>
      <c r="BW6" s="4">
        <v>14.03</v>
      </c>
      <c r="BX6" s="4"/>
      <c r="BY6" s="4" t="s">
        <v>138</v>
      </c>
      <c r="BZ6" s="4" t="s">
        <v>138</v>
      </c>
      <c r="CA6" s="4" t="s">
        <v>138</v>
      </c>
      <c r="CB6" s="4" t="s">
        <v>138</v>
      </c>
      <c r="CC6" s="4" t="s">
        <v>138</v>
      </c>
      <c r="CD6" s="4" t="s">
        <v>138</v>
      </c>
      <c r="CE6" s="4" t="s">
        <v>149</v>
      </c>
      <c r="CF6" s="4" t="s">
        <v>150</v>
      </c>
      <c r="CG6" s="22">
        <v>2.0</v>
      </c>
      <c r="CH6" s="4" t="s">
        <v>17</v>
      </c>
      <c r="CI6" s="4" t="s">
        <v>22</v>
      </c>
      <c r="CJ6" s="4"/>
      <c r="CK6" s="4" t="s">
        <v>151</v>
      </c>
      <c r="CL6" s="22">
        <v>1.0</v>
      </c>
      <c r="CM6" s="4" t="s">
        <v>19</v>
      </c>
      <c r="CN6" s="4" t="s">
        <v>152</v>
      </c>
      <c r="CO6" s="4" t="s">
        <v>146</v>
      </c>
      <c r="CP6" s="4" t="s">
        <v>153</v>
      </c>
      <c r="CQ6" s="4"/>
      <c r="CR6" s="4"/>
      <c r="CS6" s="4" t="s">
        <v>138</v>
      </c>
      <c r="CT6" s="4"/>
      <c r="CU6" s="4"/>
      <c r="CV6" s="4"/>
      <c r="CW6" s="4"/>
      <c r="CX6" s="4" t="s">
        <v>154</v>
      </c>
      <c r="CY6" s="4" t="s">
        <v>138</v>
      </c>
      <c r="CZ6" s="4" t="s">
        <v>138</v>
      </c>
      <c r="DA6" s="4" t="s">
        <v>138</v>
      </c>
      <c r="DB6" s="4" t="s">
        <v>138</v>
      </c>
      <c r="DC6" s="4" t="s">
        <v>138</v>
      </c>
      <c r="DD6" s="4" t="s">
        <v>138</v>
      </c>
      <c r="DE6" s="4" t="s">
        <v>138</v>
      </c>
      <c r="DF6" s="4" t="s">
        <v>138</v>
      </c>
      <c r="DG6" s="4" t="s">
        <v>138</v>
      </c>
      <c r="DH6" s="4" t="s">
        <v>138</v>
      </c>
      <c r="DI6" s="4" t="s">
        <v>138</v>
      </c>
      <c r="DJ6" s="4" t="s">
        <v>138</v>
      </c>
      <c r="DK6" s="4" t="s">
        <v>138</v>
      </c>
      <c r="DL6" s="4" t="s">
        <v>138</v>
      </c>
      <c r="DM6" s="4" t="s">
        <v>138</v>
      </c>
      <c r="DN6" s="4" t="s">
        <v>138</v>
      </c>
      <c r="DO6" s="4" t="s">
        <v>138</v>
      </c>
      <c r="DP6" s="4" t="s">
        <v>138</v>
      </c>
      <c r="DQ6" s="4" t="s">
        <v>138</v>
      </c>
      <c r="DR6" s="4" t="s">
        <v>138</v>
      </c>
      <c r="DS6" s="4" t="s">
        <v>138</v>
      </c>
      <c r="DT6" s="4" t="s">
        <v>138</v>
      </c>
      <c r="DU6" s="4" t="s">
        <v>138</v>
      </c>
      <c r="DV6" s="4" t="s">
        <v>138</v>
      </c>
      <c r="DW6" s="4" t="s">
        <v>138</v>
      </c>
      <c r="DX6" s="4" t="s">
        <v>138</v>
      </c>
      <c r="DY6" s="4" t="s">
        <v>138</v>
      </c>
      <c r="DZ6" s="4" t="s">
        <v>138</v>
      </c>
      <c r="EA6" s="4" t="s">
        <v>138</v>
      </c>
      <c r="EB6" s="4" t="s">
        <v>138</v>
      </c>
      <c r="EC6" s="4" t="s">
        <v>138</v>
      </c>
      <c r="ED6" s="4" t="s">
        <v>138</v>
      </c>
      <c r="EE6" s="4" t="s">
        <v>138</v>
      </c>
      <c r="EF6" s="4" t="s">
        <v>138</v>
      </c>
      <c r="EG6" s="4" t="s">
        <v>138</v>
      </c>
      <c r="EH6" s="4" t="s">
        <v>138</v>
      </c>
      <c r="EI6" s="4" t="s">
        <v>138</v>
      </c>
      <c r="EJ6" s="4" t="s">
        <v>138</v>
      </c>
      <c r="EK6" s="4" t="s">
        <v>138</v>
      </c>
      <c r="EL6" s="4" t="s">
        <v>138</v>
      </c>
      <c r="EM6" s="4" t="s">
        <v>138</v>
      </c>
      <c r="EN6" s="4" t="s">
        <v>138</v>
      </c>
      <c r="EO6" s="4" t="s">
        <v>138</v>
      </c>
      <c r="EP6" s="4" t="s">
        <v>138</v>
      </c>
      <c r="EQ6" s="4" t="s">
        <v>138</v>
      </c>
      <c r="ER6" s="4" t="s">
        <v>138</v>
      </c>
      <c r="ES6" s="4" t="s">
        <v>138</v>
      </c>
      <c r="ET6" s="4" t="s">
        <v>138</v>
      </c>
      <c r="EU6" s="4" t="s">
        <v>138</v>
      </c>
      <c r="EV6" s="4" t="s">
        <v>138</v>
      </c>
      <c r="EW6" s="4" t="s">
        <v>138</v>
      </c>
      <c r="EX6" s="4" t="s">
        <v>138</v>
      </c>
      <c r="EY6" s="4" t="s">
        <v>138</v>
      </c>
      <c r="EZ6" s="4" t="s">
        <v>138</v>
      </c>
      <c r="FA6" s="4" t="s">
        <v>138</v>
      </c>
      <c r="FB6" s="4" t="s">
        <v>138</v>
      </c>
      <c r="FC6" s="4" t="s">
        <v>138</v>
      </c>
      <c r="FD6" s="4" t="s">
        <v>138</v>
      </c>
      <c r="FE6" s="4" t="s">
        <v>138</v>
      </c>
      <c r="FF6" s="4" t="s">
        <v>138</v>
      </c>
      <c r="FG6" s="4" t="s">
        <v>138</v>
      </c>
      <c r="FH6" s="4" t="s">
        <v>138</v>
      </c>
      <c r="FI6" s="4" t="s">
        <v>138</v>
      </c>
      <c r="FJ6" s="4" t="s">
        <v>138</v>
      </c>
      <c r="FK6" s="4" t="s">
        <v>138</v>
      </c>
      <c r="FL6" s="4" t="s">
        <v>138</v>
      </c>
      <c r="FM6" s="4" t="s">
        <v>138</v>
      </c>
      <c r="FN6" s="4" t="s">
        <v>138</v>
      </c>
      <c r="FO6" s="4" t="s">
        <v>138</v>
      </c>
      <c r="FP6" s="4" t="s">
        <v>138</v>
      </c>
      <c r="FQ6" s="4" t="s">
        <v>138</v>
      </c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</row>
    <row r="7" ht="15.75" customHeight="1">
      <c r="A7" s="4" t="s">
        <v>138</v>
      </c>
      <c r="B7" s="7" t="s">
        <v>155</v>
      </c>
      <c r="C7" s="7" t="s">
        <v>139</v>
      </c>
      <c r="D7" s="4"/>
      <c r="E7" s="21">
        <v>2500.0</v>
      </c>
      <c r="F7" s="7" t="s">
        <v>162</v>
      </c>
      <c r="G7" s="7" t="s">
        <v>140</v>
      </c>
      <c r="H7" s="21">
        <v>4.0</v>
      </c>
      <c r="I7" s="21">
        <v>5.0</v>
      </c>
      <c r="J7" s="21">
        <v>1.0</v>
      </c>
      <c r="K7" s="21">
        <v>10.0</v>
      </c>
      <c r="L7" s="21">
        <v>10.0</v>
      </c>
      <c r="M7" s="7" t="s">
        <v>141</v>
      </c>
      <c r="N7" s="7" t="s">
        <v>142</v>
      </c>
      <c r="O7" s="7" t="s">
        <v>143</v>
      </c>
      <c r="P7" s="4"/>
      <c r="Q7" s="4">
        <v>3.0</v>
      </c>
      <c r="R7" s="4"/>
      <c r="S7" s="4"/>
      <c r="T7" s="4"/>
      <c r="U7" s="4"/>
      <c r="V7" s="4" t="s">
        <v>144</v>
      </c>
      <c r="W7" s="4"/>
      <c r="X7" s="4"/>
      <c r="Y7" s="4"/>
      <c r="Z7" s="4" t="s">
        <v>145</v>
      </c>
      <c r="AA7" s="4" t="s">
        <v>19</v>
      </c>
      <c r="AB7" s="22">
        <v>1.0</v>
      </c>
      <c r="AC7" s="4"/>
      <c r="AD7" s="4" t="s">
        <v>146</v>
      </c>
      <c r="AE7" s="22">
        <v>2500.0</v>
      </c>
      <c r="AF7" s="4" t="s">
        <v>138</v>
      </c>
      <c r="AG7" s="4"/>
      <c r="AH7" s="4" t="s">
        <v>147</v>
      </c>
      <c r="AI7" s="22">
        <v>1.0</v>
      </c>
      <c r="AJ7" s="4"/>
      <c r="AK7" s="4"/>
      <c r="AL7" s="4"/>
      <c r="AM7" s="4"/>
      <c r="AN7" s="4"/>
      <c r="AO7" s="4"/>
      <c r="AP7" s="4"/>
      <c r="AQ7" s="4"/>
      <c r="AR7" s="4"/>
      <c r="AS7" s="22">
        <v>0.0</v>
      </c>
      <c r="AT7" s="27">
        <v>25014.01</v>
      </c>
      <c r="AU7" s="27">
        <v>25014.01</v>
      </c>
      <c r="AV7" s="4"/>
      <c r="AW7" s="4"/>
      <c r="AX7" s="4"/>
      <c r="AY7" s="4" t="s">
        <v>24</v>
      </c>
      <c r="AZ7" s="4"/>
      <c r="BA7" s="4"/>
      <c r="BB7" s="4"/>
      <c r="BC7" s="4"/>
      <c r="BD7" s="4"/>
      <c r="BE7" s="4">
        <v>25000.0</v>
      </c>
      <c r="BF7" s="4">
        <v>25000.0</v>
      </c>
      <c r="BG7" s="4"/>
      <c r="BH7" s="4"/>
      <c r="BI7" s="4"/>
      <c r="BJ7" s="22">
        <v>10000.0</v>
      </c>
      <c r="BK7" s="4"/>
      <c r="BL7" s="4" t="s">
        <v>138</v>
      </c>
      <c r="BM7" s="4" t="s">
        <v>145</v>
      </c>
      <c r="BN7" s="4"/>
      <c r="BO7" s="4" t="s">
        <v>22</v>
      </c>
      <c r="BP7" s="22">
        <v>0.0</v>
      </c>
      <c r="BQ7" s="22">
        <v>0.0</v>
      </c>
      <c r="BR7" s="22"/>
      <c r="BS7" s="4" t="s">
        <v>148</v>
      </c>
      <c r="BT7" s="4" t="s">
        <v>19</v>
      </c>
      <c r="BU7" s="4"/>
      <c r="BV7" s="4"/>
      <c r="BW7" s="27">
        <v>14.01</v>
      </c>
      <c r="BX7" s="4"/>
      <c r="BY7" s="4" t="s">
        <v>138</v>
      </c>
      <c r="BZ7" s="4" t="s">
        <v>138</v>
      </c>
      <c r="CA7" s="4" t="s">
        <v>138</v>
      </c>
      <c r="CB7" s="4" t="s">
        <v>138</v>
      </c>
      <c r="CC7" s="4" t="s">
        <v>138</v>
      </c>
      <c r="CD7" s="4" t="s">
        <v>138</v>
      </c>
      <c r="CE7" s="4" t="s">
        <v>156</v>
      </c>
      <c r="CF7" s="4" t="s">
        <v>150</v>
      </c>
      <c r="CG7" s="22">
        <v>2.0</v>
      </c>
      <c r="CH7" s="4" t="s">
        <v>157</v>
      </c>
      <c r="CI7" s="4" t="s">
        <v>22</v>
      </c>
      <c r="CJ7" s="4"/>
      <c r="CK7" s="4" t="s">
        <v>151</v>
      </c>
      <c r="CL7" s="22">
        <v>1.0</v>
      </c>
      <c r="CM7" s="4" t="s">
        <v>19</v>
      </c>
      <c r="CN7" s="4" t="s">
        <v>152</v>
      </c>
      <c r="CO7" s="4" t="s">
        <v>146</v>
      </c>
      <c r="CP7" s="4" t="s">
        <v>153</v>
      </c>
      <c r="CQ7" s="4"/>
      <c r="CR7" s="4"/>
      <c r="CS7" s="4" t="s">
        <v>138</v>
      </c>
      <c r="CT7" s="4"/>
      <c r="CU7" s="4"/>
      <c r="CV7" s="4"/>
      <c r="CW7" s="4"/>
      <c r="CX7" s="4" t="s">
        <v>155</v>
      </c>
      <c r="CY7" s="4" t="s">
        <v>138</v>
      </c>
      <c r="CZ7" s="4" t="s">
        <v>138</v>
      </c>
      <c r="DA7" s="4" t="s">
        <v>138</v>
      </c>
      <c r="DB7" s="4" t="s">
        <v>138</v>
      </c>
      <c r="DC7" s="4" t="s">
        <v>138</v>
      </c>
      <c r="DD7" s="4" t="s">
        <v>138</v>
      </c>
      <c r="DE7" s="4" t="s">
        <v>138</v>
      </c>
      <c r="DF7" s="4" t="s">
        <v>138</v>
      </c>
      <c r="DG7" s="4" t="s">
        <v>138</v>
      </c>
      <c r="DH7" s="4" t="s">
        <v>138</v>
      </c>
      <c r="DI7" s="4" t="s">
        <v>138</v>
      </c>
      <c r="DJ7" s="4" t="s">
        <v>138</v>
      </c>
      <c r="DK7" s="4" t="s">
        <v>138</v>
      </c>
      <c r="DL7" s="4" t="s">
        <v>138</v>
      </c>
      <c r="DM7" s="4" t="s">
        <v>138</v>
      </c>
      <c r="DN7" s="4" t="s">
        <v>138</v>
      </c>
      <c r="DO7" s="4" t="s">
        <v>138</v>
      </c>
      <c r="DP7" s="4" t="s">
        <v>138</v>
      </c>
      <c r="DQ7" s="4" t="s">
        <v>138</v>
      </c>
      <c r="DR7" s="4" t="s">
        <v>138</v>
      </c>
      <c r="DS7" s="4" t="s">
        <v>138</v>
      </c>
      <c r="DT7" s="4" t="s">
        <v>138</v>
      </c>
      <c r="DU7" s="4" t="s">
        <v>138</v>
      </c>
      <c r="DV7" s="4" t="s">
        <v>138</v>
      </c>
      <c r="DW7" s="4" t="s">
        <v>138</v>
      </c>
      <c r="DX7" s="4" t="s">
        <v>138</v>
      </c>
      <c r="DY7" s="4" t="s">
        <v>138</v>
      </c>
      <c r="DZ7" s="4" t="s">
        <v>138</v>
      </c>
      <c r="EA7" s="4" t="s">
        <v>138</v>
      </c>
      <c r="EB7" s="4" t="s">
        <v>138</v>
      </c>
      <c r="EC7" s="4" t="s">
        <v>138</v>
      </c>
      <c r="ED7" s="4" t="s">
        <v>138</v>
      </c>
      <c r="EE7" s="4" t="s">
        <v>138</v>
      </c>
      <c r="EF7" s="4" t="s">
        <v>138</v>
      </c>
      <c r="EG7" s="4" t="s">
        <v>138</v>
      </c>
      <c r="EH7" s="4" t="s">
        <v>138</v>
      </c>
      <c r="EI7" s="4" t="s">
        <v>138</v>
      </c>
      <c r="EJ7" s="4" t="s">
        <v>138</v>
      </c>
      <c r="EK7" s="4" t="s">
        <v>138</v>
      </c>
      <c r="EL7" s="4" t="s">
        <v>138</v>
      </c>
      <c r="EM7" s="4" t="s">
        <v>138</v>
      </c>
      <c r="EN7" s="4" t="s">
        <v>138</v>
      </c>
      <c r="EO7" s="4" t="s">
        <v>138</v>
      </c>
      <c r="EP7" s="4" t="s">
        <v>138</v>
      </c>
      <c r="EQ7" s="4" t="s">
        <v>138</v>
      </c>
      <c r="ER7" s="4" t="s">
        <v>138</v>
      </c>
      <c r="ES7" s="4" t="s">
        <v>138</v>
      </c>
      <c r="ET7" s="4" t="s">
        <v>138</v>
      </c>
      <c r="EU7" s="4" t="s">
        <v>138</v>
      </c>
      <c r="EV7" s="4" t="s">
        <v>138</v>
      </c>
      <c r="EW7" s="4" t="s">
        <v>138</v>
      </c>
      <c r="EX7" s="4" t="s">
        <v>138</v>
      </c>
      <c r="EY7" s="4" t="s">
        <v>138</v>
      </c>
      <c r="EZ7" s="4" t="s">
        <v>138</v>
      </c>
      <c r="FA7" s="4" t="s">
        <v>138</v>
      </c>
      <c r="FB7" s="4" t="s">
        <v>138</v>
      </c>
      <c r="FC7" s="4" t="s">
        <v>138</v>
      </c>
      <c r="FD7" s="4" t="s">
        <v>138</v>
      </c>
      <c r="FE7" s="4" t="s">
        <v>138</v>
      </c>
      <c r="FF7" s="4" t="s">
        <v>138</v>
      </c>
      <c r="FG7" s="4" t="s">
        <v>138</v>
      </c>
      <c r="FH7" s="4" t="s">
        <v>138</v>
      </c>
      <c r="FI7" s="4" t="s">
        <v>138</v>
      </c>
      <c r="FJ7" s="4" t="s">
        <v>138</v>
      </c>
      <c r="FK7" s="4" t="s">
        <v>138</v>
      </c>
      <c r="FL7" s="4" t="s">
        <v>138</v>
      </c>
      <c r="FM7" s="4" t="s">
        <v>138</v>
      </c>
      <c r="FN7" s="4" t="s">
        <v>138</v>
      </c>
      <c r="FO7" s="4" t="s">
        <v>138</v>
      </c>
      <c r="FP7" s="4" t="s">
        <v>138</v>
      </c>
      <c r="FQ7" s="4" t="s">
        <v>138</v>
      </c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</row>
    <row r="8" ht="15.75" customHeight="1">
      <c r="A8" s="4" t="s">
        <v>138</v>
      </c>
      <c r="B8" s="7" t="s">
        <v>155</v>
      </c>
      <c r="C8" s="7" t="s">
        <v>139</v>
      </c>
      <c r="D8" s="4"/>
      <c r="E8" s="21">
        <v>100.0</v>
      </c>
      <c r="F8" s="7" t="s">
        <v>162</v>
      </c>
      <c r="G8" s="7" t="s">
        <v>140</v>
      </c>
      <c r="H8" s="21">
        <v>4.0</v>
      </c>
      <c r="I8" s="21">
        <v>5.0</v>
      </c>
      <c r="J8" s="21">
        <v>1.0</v>
      </c>
      <c r="K8" s="21">
        <v>10.0</v>
      </c>
      <c r="L8" s="21">
        <v>10.0</v>
      </c>
      <c r="M8" s="7" t="s">
        <v>141</v>
      </c>
      <c r="N8" s="7" t="s">
        <v>142</v>
      </c>
      <c r="O8" s="7" t="s">
        <v>143</v>
      </c>
      <c r="P8" s="4"/>
      <c r="Q8" s="4">
        <v>3.0</v>
      </c>
      <c r="R8" s="4"/>
      <c r="S8" s="4"/>
      <c r="T8" s="4"/>
      <c r="U8" s="4"/>
      <c r="V8" s="4" t="s">
        <v>144</v>
      </c>
      <c r="W8" s="4"/>
      <c r="X8" s="4"/>
      <c r="Y8" s="4"/>
      <c r="Z8" s="4" t="s">
        <v>145</v>
      </c>
      <c r="AA8" s="4" t="s">
        <v>19</v>
      </c>
      <c r="AB8" s="22">
        <v>1.0</v>
      </c>
      <c r="AC8" s="4"/>
      <c r="AD8" s="4" t="s">
        <v>146</v>
      </c>
      <c r="AE8" s="22">
        <v>100.0</v>
      </c>
      <c r="AF8" s="4" t="s">
        <v>138</v>
      </c>
      <c r="AG8" s="4"/>
      <c r="AH8" s="4" t="s">
        <v>147</v>
      </c>
      <c r="AI8" s="22">
        <v>1.0</v>
      </c>
      <c r="AJ8" s="4"/>
      <c r="AK8" s="4"/>
      <c r="AL8" s="4"/>
      <c r="AM8" s="4"/>
      <c r="AN8" s="4"/>
      <c r="AO8" s="4"/>
      <c r="AP8" s="4"/>
      <c r="AQ8" s="4"/>
      <c r="AR8" s="4"/>
      <c r="AS8" s="22">
        <v>0.0</v>
      </c>
      <c r="AT8" s="4">
        <v>1014.0</v>
      </c>
      <c r="AU8" s="4">
        <v>1014.0</v>
      </c>
      <c r="AV8" s="4"/>
      <c r="AW8" s="4"/>
      <c r="AX8" s="4"/>
      <c r="AY8" s="4" t="s">
        <v>24</v>
      </c>
      <c r="AZ8" s="4"/>
      <c r="BA8" s="4"/>
      <c r="BB8" s="4"/>
      <c r="BC8" s="4"/>
      <c r="BD8" s="4"/>
      <c r="BE8" s="4">
        <v>1000.0</v>
      </c>
      <c r="BF8" s="4">
        <v>1000.0</v>
      </c>
      <c r="BG8" s="4"/>
      <c r="BH8" s="4"/>
      <c r="BI8" s="4"/>
      <c r="BJ8" s="22">
        <v>10000.0</v>
      </c>
      <c r="BK8" s="4"/>
      <c r="BL8" s="4" t="s">
        <v>138</v>
      </c>
      <c r="BM8" s="4" t="s">
        <v>145</v>
      </c>
      <c r="BN8" s="4"/>
      <c r="BO8" s="4" t="s">
        <v>22</v>
      </c>
      <c r="BP8" s="22">
        <v>0.0</v>
      </c>
      <c r="BQ8" s="22">
        <v>0.0</v>
      </c>
      <c r="BR8" s="22"/>
      <c r="BS8" s="4" t="s">
        <v>148</v>
      </c>
      <c r="BT8" s="4" t="s">
        <v>19</v>
      </c>
      <c r="BU8" s="4"/>
      <c r="BV8" s="4"/>
      <c r="BW8" s="4">
        <v>14.0</v>
      </c>
      <c r="BX8" s="4"/>
      <c r="BY8" s="4" t="s">
        <v>138</v>
      </c>
      <c r="BZ8" s="4" t="s">
        <v>138</v>
      </c>
      <c r="CA8" s="4" t="s">
        <v>138</v>
      </c>
      <c r="CB8" s="4" t="s">
        <v>138</v>
      </c>
      <c r="CC8" s="4" t="s">
        <v>138</v>
      </c>
      <c r="CD8" s="4" t="s">
        <v>138</v>
      </c>
      <c r="CE8" s="4" t="s">
        <v>163</v>
      </c>
      <c r="CF8" s="4" t="s">
        <v>150</v>
      </c>
      <c r="CG8" s="22">
        <v>2.0</v>
      </c>
      <c r="CH8" s="4" t="s">
        <v>157</v>
      </c>
      <c r="CI8" s="4" t="s">
        <v>22</v>
      </c>
      <c r="CJ8" s="4"/>
      <c r="CK8" s="4" t="s">
        <v>151</v>
      </c>
      <c r="CL8" s="22">
        <v>1.0</v>
      </c>
      <c r="CM8" s="4" t="s">
        <v>19</v>
      </c>
      <c r="CN8" s="4" t="s">
        <v>152</v>
      </c>
      <c r="CO8" s="4" t="s">
        <v>146</v>
      </c>
      <c r="CP8" s="4" t="s">
        <v>153</v>
      </c>
      <c r="CQ8" s="4"/>
      <c r="CR8" s="4"/>
      <c r="CS8" s="4" t="s">
        <v>138</v>
      </c>
      <c r="CT8" s="4"/>
      <c r="CU8" s="4"/>
      <c r="CV8" s="4"/>
      <c r="CW8" s="4"/>
      <c r="CX8" s="4" t="s">
        <v>155</v>
      </c>
      <c r="CY8" s="4" t="s">
        <v>138</v>
      </c>
      <c r="CZ8" s="4" t="s">
        <v>138</v>
      </c>
      <c r="DA8" s="4" t="s">
        <v>138</v>
      </c>
      <c r="DB8" s="4" t="s">
        <v>138</v>
      </c>
      <c r="DC8" s="4" t="s">
        <v>138</v>
      </c>
      <c r="DD8" s="4" t="s">
        <v>138</v>
      </c>
      <c r="DE8" s="4" t="s">
        <v>138</v>
      </c>
      <c r="DF8" s="4" t="s">
        <v>138</v>
      </c>
      <c r="DG8" s="4" t="s">
        <v>138</v>
      </c>
      <c r="DH8" s="4" t="s">
        <v>138</v>
      </c>
      <c r="DI8" s="4" t="s">
        <v>138</v>
      </c>
      <c r="DJ8" s="4" t="s">
        <v>138</v>
      </c>
      <c r="DK8" s="4" t="s">
        <v>138</v>
      </c>
      <c r="DL8" s="4" t="s">
        <v>138</v>
      </c>
      <c r="DM8" s="4" t="s">
        <v>138</v>
      </c>
      <c r="DN8" s="4" t="s">
        <v>138</v>
      </c>
      <c r="DO8" s="4" t="s">
        <v>138</v>
      </c>
      <c r="DP8" s="4" t="s">
        <v>138</v>
      </c>
      <c r="DQ8" s="4" t="s">
        <v>138</v>
      </c>
      <c r="DR8" s="4" t="s">
        <v>138</v>
      </c>
      <c r="DS8" s="4" t="s">
        <v>138</v>
      </c>
      <c r="DT8" s="4" t="s">
        <v>138</v>
      </c>
      <c r="DU8" s="4" t="s">
        <v>138</v>
      </c>
      <c r="DV8" s="4" t="s">
        <v>138</v>
      </c>
      <c r="DW8" s="4" t="s">
        <v>138</v>
      </c>
      <c r="DX8" s="4" t="s">
        <v>138</v>
      </c>
      <c r="DY8" s="4" t="s">
        <v>138</v>
      </c>
      <c r="DZ8" s="4" t="s">
        <v>138</v>
      </c>
      <c r="EA8" s="4" t="s">
        <v>138</v>
      </c>
      <c r="EB8" s="4" t="s">
        <v>138</v>
      </c>
      <c r="EC8" s="4" t="s">
        <v>138</v>
      </c>
      <c r="ED8" s="4" t="s">
        <v>138</v>
      </c>
      <c r="EE8" s="4" t="s">
        <v>138</v>
      </c>
      <c r="EF8" s="4" t="s">
        <v>138</v>
      </c>
      <c r="EG8" s="4" t="s">
        <v>138</v>
      </c>
      <c r="EH8" s="4" t="s">
        <v>138</v>
      </c>
      <c r="EI8" s="4" t="s">
        <v>138</v>
      </c>
      <c r="EJ8" s="4" t="s">
        <v>138</v>
      </c>
      <c r="EK8" s="4" t="s">
        <v>138</v>
      </c>
      <c r="EL8" s="4" t="s">
        <v>138</v>
      </c>
      <c r="EM8" s="4" t="s">
        <v>138</v>
      </c>
      <c r="EN8" s="4" t="s">
        <v>138</v>
      </c>
      <c r="EO8" s="4" t="s">
        <v>138</v>
      </c>
      <c r="EP8" s="4" t="s">
        <v>138</v>
      </c>
      <c r="EQ8" s="4" t="s">
        <v>138</v>
      </c>
      <c r="ER8" s="4" t="s">
        <v>138</v>
      </c>
      <c r="ES8" s="4" t="s">
        <v>138</v>
      </c>
      <c r="ET8" s="4" t="s">
        <v>138</v>
      </c>
      <c r="EU8" s="4" t="s">
        <v>138</v>
      </c>
      <c r="EV8" s="4" t="s">
        <v>138</v>
      </c>
      <c r="EW8" s="4" t="s">
        <v>138</v>
      </c>
      <c r="EX8" s="4" t="s">
        <v>138</v>
      </c>
      <c r="EY8" s="4" t="s">
        <v>138</v>
      </c>
      <c r="EZ8" s="4" t="s">
        <v>138</v>
      </c>
      <c r="FA8" s="4" t="s">
        <v>138</v>
      </c>
      <c r="FB8" s="4" t="s">
        <v>138</v>
      </c>
      <c r="FC8" s="4" t="s">
        <v>138</v>
      </c>
      <c r="FD8" s="4" t="s">
        <v>138</v>
      </c>
      <c r="FE8" s="4" t="s">
        <v>138</v>
      </c>
      <c r="FF8" s="4" t="s">
        <v>138</v>
      </c>
      <c r="FG8" s="4" t="s">
        <v>138</v>
      </c>
      <c r="FH8" s="4" t="s">
        <v>138</v>
      </c>
      <c r="FI8" s="4" t="s">
        <v>138</v>
      </c>
      <c r="FJ8" s="4" t="s">
        <v>138</v>
      </c>
      <c r="FK8" s="4" t="s">
        <v>138</v>
      </c>
      <c r="FL8" s="4" t="s">
        <v>138</v>
      </c>
      <c r="FM8" s="4" t="s">
        <v>138</v>
      </c>
      <c r="FN8" s="4" t="s">
        <v>138</v>
      </c>
      <c r="FO8" s="4" t="s">
        <v>138</v>
      </c>
      <c r="FP8" s="4" t="s">
        <v>138</v>
      </c>
      <c r="FQ8" s="4" t="s">
        <v>138</v>
      </c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6" width="12.63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29</v>
      </c>
      <c r="D3" s="5" t="s">
        <v>9</v>
      </c>
      <c r="E3" s="9" t="s">
        <v>30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</row>
    <row r="4" ht="15.75" customHeight="1">
      <c r="A4" s="16"/>
      <c r="B4" s="16" t="str">
        <f>IFERROR(__xludf.DUMMYFUNCTION("IF(C3="""","""",Transpose(IMPORTRANGE('_Settings'!$B$3,C3&amp;""!A4:A1000"")))"),"SetTTUIPreferences")</f>
        <v>SetTTUIPreferences</v>
      </c>
      <c r="C4" s="16" t="str">
        <f>IFERROR(__xludf.DUMMYFUNCTION("""COMPUTED_VALUE"""),"TTPermissionLevel")</f>
        <v>TTPermissionLevel</v>
      </c>
      <c r="D4" s="16" t="str">
        <f>IFERROR(__xludf.DUMMYFUNCTION("""COMPUTED_VALUE"""),"SetCheckSide")</f>
        <v>SetCheckSide</v>
      </c>
      <c r="E4" s="16" t="str">
        <f>IFERROR(__xludf.DUMMYFUNCTION("""COMPUTED_VALUE"""),"SetRollover")</f>
        <v>SetRollover</v>
      </c>
      <c r="F4" s="16" t="str">
        <f>IFERROR(__xludf.DUMMYFUNCTION("""COMPUTED_VALUE"""),"SetActive")</f>
        <v>SetActive</v>
      </c>
      <c r="G4" s="16" t="str">
        <f>IFERROR(__xludf.DUMMYFUNCTION("""COMPUTED_VALUE"""),"SetThirdPartyFormat")</f>
        <v>SetThirdPartyFormat</v>
      </c>
      <c r="H4" s="16" t="str">
        <f>IFERROR(__xludf.DUMMYFUNCTION("""COMPUTED_VALUE"""),"UpdateRoundLot")</f>
        <v>UpdateRoundLot</v>
      </c>
      <c r="I4" s="16" t="str">
        <f>IFERROR(__xludf.DUMMYFUNCTION("""COMPUTED_VALUE"""),"SetTradingComplianceRules")</f>
        <v>SetTradingComplianceRules</v>
      </c>
      <c r="J4" s="16" t="str">
        <f>IFERROR(__xludf.DUMMYFUNCTION("""COMPUTED_VALUE"""),"EnableBreakdownRealizedPNL")</f>
        <v>EnableBreakdownRealizedPNL</v>
      </c>
      <c r="K4" s="16" t="str">
        <f>IFERROR(__xludf.DUMMYFUNCTION("""COMPUTED_VALUE"""),"SetTTGeneralPreferences")</f>
        <v>SetTTGeneralPreferences</v>
      </c>
      <c r="L4" s="16" t="str">
        <f>IFERROR(__xludf.DUMMYFUNCTION("""COMPUTED_VALUE"""),"SetDollarAmountPermission")</f>
        <v>SetDollarAmountPermission</v>
      </c>
      <c r="M4" s="16" t="str">
        <f>IFERROR(__xludf.DUMMYFUNCTION("""COMPUTED_VALUE"""),"EnableDisableModule")</f>
        <v>EnableDisableModule</v>
      </c>
      <c r="N4" s="16" t="str">
        <f>IFERROR(__xludf.DUMMYFUNCTION("""COMPUTED_VALUE"""),"IsImportOverrideOnShortLocate")</f>
        <v>IsImportOverrideOnShortLocate</v>
      </c>
      <c r="O4" s="16" t="str">
        <f>IFERROR(__xludf.DUMMYFUNCTION("""COMPUTED_VALUE"""),"SetShortLocateStructures")</f>
        <v>SetShortLocateStructures</v>
      </c>
      <c r="P4" s="17" t="str">
        <f>IFERROR(__xludf.DUMMYFUNCTION("""COMPUTED_VALUE"""),"SetComplianceAlert")</f>
        <v>SetComplianceAlert</v>
      </c>
      <c r="Q4" s="17" t="str">
        <f>IFERROR(__xludf.DUMMYFUNCTION("""COMPUTED_VALUE"""),"UpdateExpirationDate")</f>
        <v>UpdateExpirationDate</v>
      </c>
      <c r="R4" s="17" t="str">
        <f>IFERROR(__xludf.DUMMYFUNCTION("""COMPUTED_VALUE"""),"RenameMasterStrategy")</f>
        <v>RenameMasterStrategy</v>
      </c>
      <c r="S4" s="17" t="str">
        <f>IFERROR(__xludf.DUMMYFUNCTION("""COMPUTED_VALUE"""),"SetTTUIAdminPreferences")</f>
        <v>SetTTUIAdminPreferences</v>
      </c>
      <c r="T4" s="17" t="str">
        <f>IFERROR(__xludf.DUMMYFUNCTION("""COMPUTED_VALUE"""),"UpdateSecFee")</f>
        <v>UpdateSecFee</v>
      </c>
      <c r="U4" s="17" t="str">
        <f>IFERROR(__xludf.DUMMYFUNCTION("""COMPUTED_VALUE"""),"UpdateFee")</f>
        <v>UpdateFee</v>
      </c>
      <c r="V4" s="17" t="str">
        <f>IFERROR(__xludf.DUMMYFUNCTION("""COMPUTED_VALUE"""),"RevertingSMSharesOutValue")</f>
        <v>RevertingSMSharesOutValue</v>
      </c>
      <c r="W4" s="17" t="str">
        <f>IFERROR(__xludf.DUMMYFUNCTION("""COMPUTED_VALUE"""),"RestartSQL")</f>
        <v>RestartSQL</v>
      </c>
      <c r="X4" s="17" t="str">
        <f>IFERROR(__xludf.DUMMYFUNCTION("""COMPUTED_VALUE"""),"TradeAuditCleanUp")</f>
        <v>TradeAuditCleanUp</v>
      </c>
      <c r="Y4" s="17" t="str">
        <f>IFERROR(__xludf.DUMMYFUNCTION("""COMPUTED_VALUE"""),"DeleteSymbolFromSM")</f>
        <v>DeleteSymbolFromSM</v>
      </c>
      <c r="Z4" s="17" t="str">
        <f>IFERROR(__xludf.DUMMYFUNCTION("""COMPUTED_VALUE"""),"SetCompliancePermission")</f>
        <v>SetCompliancePermission</v>
      </c>
      <c r="AA4" s="17" t="str">
        <f>IFERROR(__xludf.DUMMYFUNCTION("""COMPUTED_VALUE"""),"SetMasterFundOnTT")</f>
        <v>SetMasterFundOnTT</v>
      </c>
      <c r="AB4" s="17" t="str">
        <f>IFERROR(__xludf.DUMMYFUNCTION("""COMPUTED_VALUE"""),"SetMarketDataProvider")</f>
        <v>SetMarketDataProvider</v>
      </c>
      <c r="AC4" s="17" t="str">
        <f>IFERROR(__xludf.DUMMYFUNCTION("""COMPUTED_VALUE"""),"SetAllocationPreferences")</f>
        <v>SetAllocationPreferences</v>
      </c>
      <c r="AD4" s="17" t="str">
        <f>IFERROR(__xludf.DUMMYFUNCTION("""COMPUTED_VALUE"""),"SetRegularCompliancePermission")</f>
        <v>SetRegularCompliancePermission</v>
      </c>
      <c r="AE4" s="17" t="str">
        <f>IFERROR(__xludf.DUMMYFUNCTION("""COMPUTED_VALUE"""),"SetCommissionRule")</f>
        <v>SetCommissionRule</v>
      </c>
      <c r="AF4" s="17" t="str">
        <f>IFERROR(__xludf.DUMMYFUNCTION("""COMPUTED_VALUE"""),"SetPreTradeCompliancePermission")</f>
        <v>SetPreTradeCompliancePermission</v>
      </c>
      <c r="AG4" s="17" t="str">
        <f>IFERROR(__xludf.DUMMYFUNCTION("""COMPUTED_VALUE"""),"SetAuecExecutingBroker")</f>
        <v>SetAuecExecutingBroker</v>
      </c>
      <c r="AH4" s="17" t="str">
        <f>IFERROR(__xludf.DUMMYFUNCTION("""COMPUTED_VALUE"""),"SetAlgoBroker")</f>
        <v>SetAlgoBroker</v>
      </c>
      <c r="AI4" s="17" t="str">
        <f>IFERROR(__xludf.DUMMYFUNCTION("""COMPUTED_VALUE"""),"EnableAutoGroupingAllocation")</f>
        <v>EnableAutoGroupingAllocation</v>
      </c>
      <c r="AJ4" s="17" t="str">
        <f>IFERROR(__xludf.DUMMYFUNCTION("""COMPUTED_VALUE"""),"ConfigUpdater")</f>
        <v>ConfigUpdater</v>
      </c>
      <c r="AK4" s="17" t="str">
        <f>IFERROR(__xludf.DUMMYFUNCTION("""COMPUTED_VALUE"""),"AccountPermission")</f>
        <v>AccountPermission</v>
      </c>
      <c r="AL4" s="17" t="str">
        <f>IFERROR(__xludf.DUMMYFUNCTION("""COMPUTED_VALUE"""),"BasketPermission")</f>
        <v>BasketPermission</v>
      </c>
      <c r="AM4" s="17" t="str">
        <f>IFERROR(__xludf.DUMMYFUNCTION("""COMPUTED_VALUE"""),"ChangeDate")</f>
        <v>ChangeDate</v>
      </c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IFERROR(__xludf.DUMMYFUNCTION("""COMPUTED_VALUE"""),"DateOrReset")</f>
        <v>DateOrReset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</row>
    <row r="6" ht="15.75" customHeight="1">
      <c r="A6" s="7"/>
      <c r="B6" s="7" t="s">
        <v>164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5">
      <c r="A5" s="4"/>
      <c r="B5" s="4" t="s">
        <v>165</v>
      </c>
      <c r="C5" s="4" t="s">
        <v>166</v>
      </c>
      <c r="D5" s="4" t="s">
        <v>167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>
        <v>10.0</v>
      </c>
      <c r="C6" s="4">
        <v>2500.0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2025-06-11T06:23:00Z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9F2E96C7323F461CB0FC1B36523BE921_12</vt:lpwstr>
  </property>
  <property fmtid="{D5CDD505-2E9C-101B-9397-08002B2CF9AE}" pid="3" name="KSOProductBuildVer">
    <vt:lpwstr>1033-12.2.0.21179</vt:lpwstr>
  </property>
</Properties>
</file>