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<sst xmlns="http://schemas.openxmlformats.org/spreadsheetml/2006/main" count="56" uniqueCount="56">
  <si>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</si>
  <si>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</si>
  <si>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</si>
  <si>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</si>
  <si>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</si>
  <si>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</si>
  <si>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</si>
  <si>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</si>
  <si>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</si>
  <si>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</si>
  <si>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</si>
  <si>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</si>
  <si>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</si>
  <si>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</si>
  <si>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</si>
  <si>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</si>
  <si>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</si>
  <si>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</si>
  <si>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</si>
  <si>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</si>
  <si>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</si>
  <si>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</si>
  <si>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</si>
  <si>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</si>
  <si>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</si>
  <si>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</si>
  <si>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</si>
  <si>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</si>
  <si>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</si>
  <si>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</si>
  <si>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</si>
  <si>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</si>
  <si>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</si>
  <si>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</si>
  <si>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</si>
  <si>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</si>
  <si>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</si>
  <si>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</si>
  <si>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</si>
  <si>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</si>
  <si>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</si>
  <si>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</si>
  <si>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APPLE</t>
  </si>
  <si>
    <t>USD</t>
  </si>
  <si>
    <t>NASDAQ</t>
  </si>
  <si>
    <t>EquityOption</t>
  </si>
  <si>
    <t>OPTS</t>
  </si>
  <si>
    <t>Buy to Close</t>
  </si>
  <si>
    <t>CheckAllocatedTaxlots</t>
  </si>
  <si>
    <t>PortfolioManagement</t>
  </si>
  <si>
    <t>CheckPortfolioManagement</t>
  </si>
  <si>
    <t>NewMF</t>
  </si>
  <si>
    <t>Long</t>
  </si>
  <si>
    <t>US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</si>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</sst>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ref="C6:C7" t="shared" si="1">TODAY()+20</f>
        <v>45076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45076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TODAY()+21</f>
        <v>45077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19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7">
        <v>1100</v>
      </c>
      <c r="E6" s="33"/>
      <c r="F6" s="33"/>
      <c r="G6" s="33"/>
      <c r="H6" s="33"/>
      <c r="I6" s="33"/>
      <c r="J6" s="38">
        <v>1</v>
      </c>
      <c r="K6" s="33"/>
      <c r="L6" s="33"/>
      <c r="M6" s="33"/>
      <c r="N6" s="32">
        <f ref="N6:N7" t="shared" si="1">TODAY()-8</f>
        <v>45048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8">
        <v>10</v>
      </c>
      <c r="E7" s="33"/>
      <c r="F7" s="33"/>
      <c r="G7" s="33"/>
      <c r="H7" s="33"/>
      <c r="I7" s="33"/>
      <c r="J7" s="38">
        <v>10</v>
      </c>
      <c r="K7" s="33"/>
      <c r="L7" s="33"/>
      <c r="M7" s="33"/>
      <c r="N7" s="32">
        <f t="shared" si="1"/>
        <v>45048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8">
        <v>10</v>
      </c>
      <c r="E8" s="33"/>
      <c r="F8" s="33"/>
      <c r="G8" s="33" t="s">
        <v>25</v>
      </c>
      <c r="H8" s="33"/>
      <c r="I8" s="33"/>
      <c r="J8" s="38">
        <v>10</v>
      </c>
      <c r="K8" s="33"/>
      <c r="L8" s="33"/>
      <c r="M8" s="33"/>
      <c r="N8" s="32">
        <f>TODAY()-7</f>
        <v>45049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8">
        <v>10</v>
      </c>
      <c r="E9" s="33"/>
      <c r="F9" s="33"/>
      <c r="G9" s="33"/>
      <c r="H9" s="33"/>
      <c r="I9" s="33"/>
      <c r="J9" s="38">
        <v>10</v>
      </c>
      <c r="K9" s="33"/>
      <c r="L9" s="33"/>
      <c r="M9" s="33" t="s">
        <v>26</v>
      </c>
      <c r="N9" s="32">
        <f>TODAY()-6</f>
        <v>45050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f>TODAY()-1</f>
        <v>45055</v>
      </c>
      <c r="C6" s="39">
        <f>TODAY()</f>
        <v>45056</v>
      </c>
      <c r="D6" s="34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41">
        <v>120</v>
      </c>
      <c r="D6" s="34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2" t="s">
        <v>32</v>
      </c>
      <c r="D6" s="42">
        <f>TODAY()</f>
        <v>45056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2" t="s">
        <v>32</v>
      </c>
      <c r="D6" s="42">
        <f>TODAY()</f>
        <v>45056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39</v>
      </c>
      <c r="B6" s="45" t="s">
        <v>34</v>
      </c>
      <c r="C6" s="8" t="s">
        <v>39</v>
      </c>
      <c r="D6" s="45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/>
      <c r="V6" s="0" t="s">
        <v>42</v>
      </c>
      <c r="Z6" s="0" t="s">
        <v>43</v>
      </c>
      <c r="AD6" s="0" t="s">
        <v>44</v>
      </c>
      <c r="BM6" s="0" t="s">
        <v>43</v>
      </c>
      <c r="BO6" s="0" t="s">
        <v>23</v>
      </c>
      <c r="BT6" s="0" t="s">
        <v>22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H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45</v>
      </c>
      <c r="H7" s="8"/>
      <c r="I7" s="8"/>
      <c r="J7" s="8"/>
      <c r="K7" s="8"/>
      <c r="L7" s="8"/>
      <c r="M7" s="8"/>
      <c r="N7" s="8"/>
      <c r="O7" s="8"/>
      <c r="V7" s="0" t="s">
        <v>16</v>
      </c>
      <c r="Z7" s="0" t="s">
        <v>43</v>
      </c>
      <c r="AD7" s="0" t="s">
        <v>46</v>
      </c>
      <c r="BM7" s="0" t="s">
        <v>43</v>
      </c>
      <c r="BO7" s="0" t="s">
        <v>24</v>
      </c>
      <c r="BT7" s="0" t="s">
        <v>16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H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45</v>
      </c>
      <c r="H8" s="8"/>
      <c r="I8" s="8"/>
      <c r="J8" s="8"/>
      <c r="K8" s="8"/>
      <c r="L8" s="8"/>
      <c r="M8" s="8"/>
      <c r="N8" s="8"/>
      <c r="O8" s="8"/>
      <c r="V8" s="0" t="s">
        <v>16</v>
      </c>
      <c r="Z8" s="0" t="s">
        <v>43</v>
      </c>
      <c r="AD8" s="0" t="s">
        <v>46</v>
      </c>
      <c r="BM8" s="0" t="s">
        <v>43</v>
      </c>
      <c r="BO8" s="0" t="s">
        <v>24</v>
      </c>
      <c r="BT8" s="0" t="s">
        <v>16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H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45</v>
      </c>
      <c r="H9" s="8"/>
      <c r="I9" s="8"/>
      <c r="J9" s="8"/>
      <c r="K9" s="8"/>
      <c r="L9" s="8"/>
      <c r="M9" s="8"/>
      <c r="N9" s="8"/>
      <c r="O9" s="8"/>
      <c r="V9" s="0" t="s">
        <v>16</v>
      </c>
      <c r="Z9" s="0" t="s">
        <v>43</v>
      </c>
      <c r="AD9" s="0" t="s">
        <v>46</v>
      </c>
      <c r="BM9" s="0" t="s">
        <v>43</v>
      </c>
      <c r="BO9" s="0" t="s">
        <v>24</v>
      </c>
      <c r="BT9" s="0" t="s">
        <v>16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H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45</v>
      </c>
      <c r="H10" s="8"/>
      <c r="I10" s="8"/>
      <c r="J10" s="8"/>
      <c r="K10" s="8"/>
      <c r="L10" s="8"/>
      <c r="M10" s="8"/>
      <c r="N10" s="8"/>
      <c r="O10" s="8"/>
      <c r="V10" s="0" t="s">
        <v>16</v>
      </c>
      <c r="Z10" s="0" t="s">
        <v>43</v>
      </c>
      <c r="AD10" s="0" t="s">
        <v>46</v>
      </c>
      <c r="BM10" s="0" t="s">
        <v>43</v>
      </c>
      <c r="BO10" s="0" t="s">
        <v>47</v>
      </c>
      <c r="BT10" s="0" t="s">
        <v>16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H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45</v>
      </c>
      <c r="H11" s="8"/>
      <c r="I11" s="8"/>
      <c r="J11" s="8"/>
      <c r="K11" s="8"/>
      <c r="L11" s="8"/>
      <c r="M11" s="8"/>
      <c r="N11" s="8"/>
      <c r="O11" s="8"/>
      <c r="V11" s="0" t="s">
        <v>16</v>
      </c>
      <c r="Z11" s="0" t="s">
        <v>43</v>
      </c>
      <c r="AD11" s="0" t="s">
        <v>46</v>
      </c>
      <c r="BM11" s="0" t="s">
        <v>43</v>
      </c>
      <c r="BO11" s="0" t="s">
        <v>47</v>
      </c>
      <c r="BT11" s="0" t="s">
        <v>16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H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45</v>
      </c>
      <c r="H12" s="8"/>
      <c r="I12" s="8"/>
      <c r="J12" s="8"/>
      <c r="K12" s="8"/>
      <c r="L12" s="8"/>
      <c r="M12" s="8"/>
      <c r="N12" s="8"/>
      <c r="O12" s="8"/>
      <c r="V12" s="0" t="s">
        <v>16</v>
      </c>
      <c r="Z12" s="0" t="s">
        <v>43</v>
      </c>
      <c r="AD12" s="0" t="s">
        <v>46</v>
      </c>
      <c r="BM12" s="0" t="s">
        <v>43</v>
      </c>
      <c r="BO12" s="0" t="s">
        <v>47</v>
      </c>
      <c r="BT12" s="0" t="s">
        <v>16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H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/>
      <c r="V13" s="0" t="s">
        <v>42</v>
      </c>
      <c r="Z13" s="0" t="s">
        <v>43</v>
      </c>
      <c r="AD13" s="0" t="s">
        <v>44</v>
      </c>
      <c r="BM13" s="0" t="s">
        <v>43</v>
      </c>
      <c r="BO13" s="0" t="s">
        <v>23</v>
      </c>
      <c r="BT13" s="0" t="s">
        <v>22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H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/>
      <c r="V14" s="0" t="s">
        <v>42</v>
      </c>
      <c r="Z14" s="0" t="s">
        <v>43</v>
      </c>
      <c r="AD14" s="0" t="s">
        <v>44</v>
      </c>
      <c r="BM14" s="0" t="s">
        <v>43</v>
      </c>
      <c r="BO14" s="0" t="s">
        <v>23</v>
      </c>
      <c r="BT14" s="0" t="s">
        <v>22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H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/>
      <c r="V15" s="0" t="s">
        <v>42</v>
      </c>
      <c r="Z15" s="0" t="s">
        <v>43</v>
      </c>
      <c r="AD15" s="0" t="s">
        <v>44</v>
      </c>
      <c r="BM15" s="0" t="s">
        <v>43</v>
      </c>
      <c r="BO15" s="0" t="s">
        <v>23</v>
      </c>
      <c r="BT15" s="0" t="s">
        <v>22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H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39</v>
      </c>
      <c r="B6" s="45">
        <v>1114.0006</v>
      </c>
      <c r="C6" s="8">
        <v>1114.0006</v>
      </c>
      <c r="D6" s="45">
        <v>1100</v>
      </c>
      <c r="E6" s="8">
        <v>1100</v>
      </c>
      <c r="F6" s="8"/>
      <c r="G6" s="8"/>
      <c r="H6" s="8"/>
      <c r="I6" s="8"/>
      <c r="J6" s="8"/>
      <c r="K6" s="8"/>
      <c r="L6" s="8"/>
      <c r="M6" s="8"/>
      <c r="N6" s="8"/>
      <c r="O6" s="8"/>
      <c r="AN6" s="0" t="s">
        <v>39</v>
      </c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I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/>
      <c r="G7" s="8"/>
      <c r="H7" s="8"/>
      <c r="I7" s="8"/>
      <c r="J7" s="8"/>
      <c r="K7" s="8"/>
      <c r="L7" s="8"/>
      <c r="M7" s="8"/>
      <c r="N7" s="8"/>
      <c r="O7" s="8"/>
      <c r="AN7" s="0" t="s">
        <v>39</v>
      </c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I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/>
      <c r="G8" s="8"/>
      <c r="H8" s="8"/>
      <c r="I8" s="8"/>
      <c r="J8" s="8"/>
      <c r="K8" s="8"/>
      <c r="L8" s="8"/>
      <c r="M8" s="8"/>
      <c r="N8" s="8"/>
      <c r="O8" s="8"/>
      <c r="AN8" s="0" t="s">
        <v>39</v>
      </c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I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10000</v>
      </c>
      <c r="C9" s="8">
        <v>10000</v>
      </c>
      <c r="D9" s="8">
        <v>10000</v>
      </c>
      <c r="E9" s="8">
        <v>10000</v>
      </c>
      <c r="F9" s="8"/>
      <c r="G9" s="8"/>
      <c r="H9" s="8"/>
      <c r="I9" s="8"/>
      <c r="J9" s="8"/>
      <c r="K9" s="8"/>
      <c r="L9" s="8"/>
      <c r="M9" s="8"/>
      <c r="N9" s="8"/>
      <c r="O9" s="8"/>
      <c r="AN9" s="0" t="s">
        <v>39</v>
      </c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I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0</v>
      </c>
      <c r="C10" s="8">
        <v>0</v>
      </c>
      <c r="D10" s="8">
        <v>0</v>
      </c>
      <c r="E10" s="8"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0" t="s">
        <v>39</v>
      </c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I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0</v>
      </c>
      <c r="C11" s="8">
        <v>0</v>
      </c>
      <c r="D11" s="8">
        <v>0</v>
      </c>
      <c r="E11" s="8"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0" t="s">
        <v>39</v>
      </c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I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0" t="s">
        <v>39</v>
      </c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I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0" t="s">
        <v>39</v>
      </c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I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60000</v>
      </c>
      <c r="C14" s="8">
        <v>60000</v>
      </c>
      <c r="D14" s="8">
        <v>60000</v>
      </c>
      <c r="E14" s="8">
        <v>60000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0" t="s">
        <v>39</v>
      </c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I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60000</v>
      </c>
      <c r="C15" s="8">
        <v>60000</v>
      </c>
      <c r="D15" s="8">
        <v>60000</v>
      </c>
      <c r="E15" s="8">
        <v>60000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s="0" t="s">
        <v>39</v>
      </c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I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39</v>
      </c>
      <c r="B6" s="45"/>
      <c r="C6" s="8" t="s">
        <v>22</v>
      </c>
      <c r="D6" s="45"/>
      <c r="E6" s="8" t="s">
        <v>34</v>
      </c>
      <c r="F6" s="8" t="s">
        <v>51</v>
      </c>
      <c r="G6" s="8"/>
      <c r="H6" s="8" t="s">
        <v>52</v>
      </c>
      <c r="I6" s="8"/>
      <c r="J6" s="8"/>
      <c r="K6" s="8"/>
      <c r="L6" s="8"/>
      <c r="M6" s="8"/>
      <c r="N6" s="8"/>
      <c r="O6" s="8"/>
      <c r="U6" s="0" t="s">
        <v>53</v>
      </c>
      <c r="V6" s="0" t="s">
        <v>44</v>
      </c>
      <c r="AN6" s="0" t="s">
        <v>23</v>
      </c>
      <c r="AQ6" s="0" t="s">
        <v>22</v>
      </c>
      <c r="BQ6" s="0" t="s">
        <v>54</v>
      </c>
      <c r="BR6" s="0" t="s">
        <v>55</v>
      </c>
      <c r="EL6" s="0" t="s">
        <v>52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51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s="0" t="s">
        <v>53</v>
      </c>
      <c r="V7" s="0" t="s">
        <v>46</v>
      </c>
      <c r="AN7" s="0" t="s">
        <v>24</v>
      </c>
      <c r="AQ7" s="0" t="s">
        <v>22</v>
      </c>
      <c r="BQ7" s="0" t="s">
        <v>54</v>
      </c>
      <c r="BR7" s="0" t="s">
        <v>55</v>
      </c>
      <c r="EL7" s="0" t="s">
        <v>52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51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s="0" t="s">
        <v>53</v>
      </c>
      <c r="V8" s="0" t="s">
        <v>46</v>
      </c>
      <c r="AN8" s="0" t="s">
        <v>24</v>
      </c>
      <c r="AQ8" s="0" t="s">
        <v>22</v>
      </c>
      <c r="BQ8" s="0" t="s">
        <v>54</v>
      </c>
      <c r="BR8" s="0" t="s">
        <v>25</v>
      </c>
      <c r="EL8" s="0" t="s">
        <v>52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51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s="0" t="s">
        <v>53</v>
      </c>
      <c r="V9" s="0" t="s">
        <v>46</v>
      </c>
      <c r="AN9" s="0" t="s">
        <v>24</v>
      </c>
      <c r="AQ9" s="0" t="s">
        <v>22</v>
      </c>
      <c r="BQ9" s="0" t="s">
        <v>54</v>
      </c>
      <c r="BR9" s="0" t="s">
        <v>55</v>
      </c>
      <c r="EL9" s="0" t="s">
        <v>52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51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s="0" t="s">
        <v>53</v>
      </c>
      <c r="V10" s="0" t="s">
        <v>46</v>
      </c>
      <c r="AN10" s="0" t="s">
        <v>47</v>
      </c>
      <c r="AQ10" s="0" t="s">
        <v>22</v>
      </c>
      <c r="BQ10" s="0" t="s">
        <v>54</v>
      </c>
      <c r="BR10" s="0" t="s">
        <v>55</v>
      </c>
      <c r="EL10" s="0" t="s">
        <v>52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51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s="0" t="s">
        <v>53</v>
      </c>
      <c r="V11" s="0" t="s">
        <v>46</v>
      </c>
      <c r="AN11" s="0" t="s">
        <v>47</v>
      </c>
      <c r="AQ11" s="0" t="s">
        <v>22</v>
      </c>
      <c r="BQ11" s="0" t="s">
        <v>54</v>
      </c>
      <c r="BR11" s="0" t="s">
        <v>25</v>
      </c>
      <c r="EL11" s="0" t="s">
        <v>52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51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s="0" t="s">
        <v>53</v>
      </c>
      <c r="V12" s="0" t="s">
        <v>46</v>
      </c>
      <c r="AN12" s="0" t="s">
        <v>47</v>
      </c>
      <c r="AQ12" s="0" t="s">
        <v>22</v>
      </c>
      <c r="BQ12" s="0" t="s">
        <v>54</v>
      </c>
      <c r="BR12" s="0" t="s">
        <v>55</v>
      </c>
      <c r="EL12" s="0" t="s">
        <v>52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51</v>
      </c>
      <c r="G13" s="8"/>
      <c r="H13" s="8" t="s">
        <v>52</v>
      </c>
      <c r="I13" s="8"/>
      <c r="J13" s="8"/>
      <c r="K13" s="8"/>
      <c r="L13" s="8"/>
      <c r="M13" s="8"/>
      <c r="N13" s="8"/>
      <c r="O13" s="8"/>
      <c r="U13" s="0" t="s">
        <v>53</v>
      </c>
      <c r="V13" s="0" t="s">
        <v>44</v>
      </c>
      <c r="AN13" s="0" t="s">
        <v>23</v>
      </c>
      <c r="AQ13" s="0" t="s">
        <v>22</v>
      </c>
      <c r="BQ13" s="0" t="s">
        <v>54</v>
      </c>
      <c r="BR13" s="0" t="s">
        <v>55</v>
      </c>
      <c r="EL13" s="0" t="s">
        <v>52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51</v>
      </c>
      <c r="G14" s="8"/>
      <c r="H14" s="8" t="s">
        <v>52</v>
      </c>
      <c r="I14" s="8"/>
      <c r="J14" s="8"/>
      <c r="K14" s="8"/>
      <c r="L14" s="8"/>
      <c r="M14" s="8"/>
      <c r="N14" s="8"/>
      <c r="O14" s="8"/>
      <c r="U14" s="0" t="s">
        <v>53</v>
      </c>
      <c r="V14" s="0" t="s">
        <v>44</v>
      </c>
      <c r="AN14" s="0" t="s">
        <v>23</v>
      </c>
      <c r="AQ14" s="0" t="s">
        <v>22</v>
      </c>
      <c r="BQ14" s="0" t="s">
        <v>54</v>
      </c>
      <c r="BR14" s="0" t="s">
        <v>25</v>
      </c>
      <c r="EL14" s="0" t="s">
        <v>52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51</v>
      </c>
      <c r="G15" s="8"/>
      <c r="H15" s="8" t="s">
        <v>52</v>
      </c>
      <c r="I15" s="8"/>
      <c r="J15" s="8"/>
      <c r="K15" s="8"/>
      <c r="L15" s="8"/>
      <c r="M15" s="8"/>
      <c r="N15" s="8"/>
      <c r="O15" s="8"/>
      <c r="U15" s="0" t="s">
        <v>53</v>
      </c>
      <c r="V15" s="0" t="s">
        <v>44</v>
      </c>
      <c r="AN15" s="0" t="s">
        <v>23</v>
      </c>
      <c r="AQ15" s="0" t="s">
        <v>22</v>
      </c>
      <c r="BQ15" s="0" t="s">
        <v>54</v>
      </c>
      <c r="BR15" s="0" t="s">
        <v>55</v>
      </c>
      <c r="EL15" s="0" t="s">
        <v>52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