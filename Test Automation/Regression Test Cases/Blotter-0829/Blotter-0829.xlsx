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ddTabBlotter" sheetId="5" r:id="rId7"/>
    <sheet state="visible" name="EnableOrVerifyHotButton" sheetId="6" r:id="rId8"/>
    <sheet state="visible" name="CreateHotButtonOnBlotter" sheetId="7" r:id="rId9"/>
    <sheet state="visible" name="FillHBdetailsOnBlotter" sheetId="8" r:id="rId10"/>
    <sheet state="visible" name="EnableOrVerifyHotButton1" sheetId="9" r:id="rId11"/>
    <sheet state="visible" name="EnableOrVerifyHotButton2" sheetId="10" r:id="rId12"/>
    <sheet state="visible" name="SelectTradeOnOrderGrid" sheetId="11" r:id="rId13"/>
    <sheet state="visible" name="SelectCheckBoxOnCustomTab" sheetId="12" r:id="rId14"/>
    <sheet state="visible" name="SelectTradeOnBlotter" sheetId="13" r:id="rId15"/>
  </sheets>
  <definedNames/>
  <calcPr/>
</workbook>
</file>

<file path=xl/sharedStrings.xml><?xml version="1.0" encoding="utf-8"?>
<sst xmlns="http://schemas.openxmlformats.org/spreadsheetml/2006/main" count="102" uniqueCount="37">
  <si>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</si>
  <si>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</si>
  <si>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</si>
  <si>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</si>
  <si>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</si>
  <si>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</si>
  <si>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</si>
  <si>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</si>
  <si>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</si>
  <si>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</si>
  <si>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</si>
  <si>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</si>
  <si>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</si>
  <si>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</si>
  <si>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</si>
  <si>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</si>
  <si>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</si>
  <si>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</si>
  <si>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Buy</t>
  </si>
  <si>
    <t>Blotter</t>
  </si>
  <si>
    <t>AddTabBlotter</t>
  </si>
  <si>
    <t>AnotherTab</t>
  </si>
  <si>
    <t>Add Tab(Order)</t>
  </si>
  <si>
    <t>EnableOrVerifyHotButton</t>
  </si>
  <si>
    <t>CreateHotButtonOnBlotter</t>
  </si>
  <si>
    <t>Send25PctOrder</t>
  </si>
  <si>
    <t>Send Order to Market</t>
  </si>
  <si>
    <t>Show confirmation</t>
  </si>
  <si>
    <t>Magenta</t>
  </si>
  <si>
    <t>Next</t>
  </si>
  <si>
    <t>FillHBdetailsOnBlotter</t>
  </si>
  <si>
    <t>Percentage</t>
  </si>
  <si>
    <t>favourite</t>
  </si>
  <si>
    <t>SelectTradeOnOrderGrid</t>
  </si>
  <si>
    <t>Filled</t>
  </si>
  <si>
    <t>SelectCheckBoxOnCustomTab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</si>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</sst>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100.0</v>
      </c>
      <c r="D6" s="33">
        <v>2.0</v>
      </c>
      <c r="E6" s="34" t="s">
        <v>17</v>
      </c>
      <c r="F6" s="35"/>
      <c r="G6" s="35"/>
      <c r="H6" s="35"/>
      <c r="I6" s="35"/>
      <c r="J6" s="34" t="s">
        <v>18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/>
      <c r="C7" s="32"/>
      <c r="D7" s="32"/>
      <c r="E7" s="34"/>
      <c r="F7" s="35"/>
      <c r="G7" s="35"/>
      <c r="H7" s="35"/>
      <c r="I7" s="35"/>
      <c r="J7" s="34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IFERROR(__xludf.DUMMYFUNCTION("""COMPUTED_VALUE"""),"Button Name")</f>
        <v>Button 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34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AddTabBlotter!$4:$4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25</v>
      </c>
      <c r="C6" s="34" t="s">
        <v>26</v>
      </c>
      <c r="D6" s="31" t="s">
        <v>27</v>
      </c>
      <c r="E6" s="35" t="s">
        <v>28</v>
      </c>
      <c r="F6" s="34" t="s">
        <v>29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/>
      <c r="K6" s="38" t="b">
        <v>1</v>
      </c>
      <c r="L6" s="35"/>
      <c r="M6" s="34" t="s">
        <v>31</v>
      </c>
      <c r="N6" s="32">
        <v>25.0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1" t="s">
        <v>25</v>
      </c>
      <c r="E6" s="39" t="b">
        <v>1</v>
      </c>
      <c r="F6" s="34" t="s">
        <v>32</v>
      </c>
      <c r="G6" s="40" t="b">
        <v>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/>
      <c r="C6" s="35"/>
      <c r="D6" s="31" t="s">
        <v>25</v>
      </c>
      <c r="E6" s="39" t="b">
        <v>1</v>
      </c>
      <c r="F6" s="34" t="s">
        <v>32</v>
      </c>
      <c r="G6" s="40" t="b">
        <v>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EnableOrVerifyHotButton2!$4:$4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7"/>
      <c r="F6" s="12" t="s">
        <v>18</v>
      </c>
      <c r="G6" s="12" t="s">
        <v>34</v>
      </c>
      <c r="H6" s="12">
        <v>100.0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IFERROR(__xludf.DUMMYFUNCTION("""COMPUTED_VALUE"""),"TabName")</f>
        <v>TabName</v>
      </c>
      <c r="C5" s="27" t="str">
        <f>IFERROR(__xludf.DUMMYFUNCTION("""COMPUTED_VALUE"""),"Transaction Time")</f>
        <v>Transaction Time</v>
      </c>
      <c r="D5" s="27" t="str">
        <f>IFERROR(__xludf.DUMMYFUNCTION("""COMPUTED_VALUE"""),"Algo")</f>
        <v>Algo</v>
      </c>
      <c r="E5" s="27" t="str">
        <f>IFERROR(__xludf.DUMMYFUNCTION("""COMPUTED_VALUE"""),"Avg Fill Price (Base)")</f>
        <v>Avg Fill Price (Base)</v>
      </c>
      <c r="F5" s="28" t="str">
        <f>IFERROR(__xludf.DUMMYFUNCTION("""COMPUTED_VALUE"""),"Bloomberg Symbol")</f>
        <v>Bloomberg Symbol</v>
      </c>
      <c r="G5" s="27" t="str">
        <f>IFERROR(__xludf.DUMMYFUNCTION("""COMPUTED_VALUE"""),"Limit Price")</f>
        <v>Limit Price</v>
      </c>
      <c r="H5" s="27" t="str">
        <f>IFERROR(__xludf.DUMMYFUNCTION("""COMPUTED_VALUE"""),"Working Qty")</f>
        <v>Working Qty</v>
      </c>
      <c r="I5" s="27" t="str">
        <f>IFERROR(__xludf.DUMMYFUNCTION("""COMPUTED_VALUE"""),"Venue")</f>
        <v>Venue</v>
      </c>
      <c r="J5" s="27" t="str">
        <f>IFERROR(__xludf.DUMMYFUNCTION("""COMPUTED_VALUE"""),"User")</f>
        <v>User</v>
      </c>
      <c r="K5" s="27" t="str">
        <f>IFERROR(__xludf.DUMMYFUNCTION("""COMPUTED_VALUE"""),"Underlying Symbol")</f>
        <v>Underlying Symbol</v>
      </c>
      <c r="L5" s="27" t="str">
        <f>IFERROR(__xludf.DUMMYFUNCTION("""COMPUTED_VALUE"""),"Underlying Country")</f>
        <v>Underlying Country</v>
      </c>
      <c r="M5" s="27" t="str">
        <f>IFERROR(__xludf.DUMMYFUNCTION("""COMPUTED_VALUE"""),"Trader")</f>
        <v>Trader</v>
      </c>
      <c r="N5" s="27" t="str">
        <f>IFERROR(__xludf.DUMMYFUNCTION("""COMPUTED_VALUE"""),"Trade Attribute 1")</f>
        <v>Trade Attribute 1</v>
      </c>
      <c r="O5" s="27" t="str">
        <f>IFERROR(__xludf.DUMMYFUNCTION("""COMPUTED_VALUE"""),"Trade Attribute 2")</f>
        <v>Trade Attribute 2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4")</f>
        <v>Trade Attribute 4</v>
      </c>
      <c r="R5" s="27" t="str">
        <f>IFERROR(__xludf.DUMMYFUNCTION("""COMPUTED_VALUE"""),"Trade Attribute 5")</f>
        <v>Trade Attribute 5</v>
      </c>
      <c r="S5" s="27" t="str">
        <f>IFERROR(__xludf.DUMMYFUNCTION("""COMPUTED_VALUE"""),"Trade Attribute 6")</f>
        <v>Trade Attribute 6</v>
      </c>
      <c r="T5" s="29" t="str">
        <f>IFERROR(__xludf.DUMMYFUNCTION("""COMPUTED_VALUE"""),"Strike Price")</f>
        <v>Strike Price</v>
      </c>
      <c r="U5" s="29" t="str">
        <f>IFERROR(__xludf.DUMMYFUNCTION("""COMPUTED_VALUE"""),"Stop Price")</f>
        <v>Stop Price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IFERROR(__xludf.DUMMYFUNCTION("""COMPUTED_VALUE"""),"Target Qty")</f>
        <v>Target Qty</v>
      </c>
      <c r="AN5" s="29" t="str">
        <f>IFERROR(__xludf.DUMMYFUNCTION("""COMPUTED_VALUE"""),"Total Executed Qty")</f>
        <v>Total 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IFERROR(__xludf.DUMMYFUNCTION("""COMPUTED_VALUE"""),"Allocation Scheme Name")</f>
        <v>Allocation Scheme Name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SelectCheckBoxOnCustomTab!$4:$4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SelectTradeOnBlotter!$4:$4</formula1>
    </dataValidation>
  </dataValidations>
  <drawing r:id="rId1"/>
</worksheet>
</file>