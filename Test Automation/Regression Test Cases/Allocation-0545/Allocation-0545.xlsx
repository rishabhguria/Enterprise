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SetGeneralPreferences" sheetId="7" r:id="rId9"/>
    <sheet state="visible" name="AddMFPreferences" sheetId="8" r:id="rId10"/>
    <sheet state="visible" name="SetMFPreferencesDefaultRule" sheetId="9" r:id="rId11"/>
    <sheet state="visible" name="SetMFPrefAccountValues" sheetId="10" r:id="rId12"/>
    <sheet state="visible" name="SetMFPrefFundDefaultRule" sheetId="11" r:id="rId13"/>
    <sheet state="visible" name="SetMFPrefGeneralRule" sheetId="12" r:id="rId14"/>
    <sheet state="visible" name="UpdateGRDefaultRule" sheetId="13" r:id="rId15"/>
    <sheet state="visible" name="SetMFPrefAccountValues1" sheetId="14" r:id="rId16"/>
    <sheet state="visible" name="SetMFPrefFundDefaultRule1" sheetId="15" r:id="rId17"/>
    <sheet state="visible" name="SetMFPrefGeneralRule1" sheetId="16" r:id="rId18"/>
    <sheet state="visible" name="UpdateGRDefaultRule1" sheetId="17" r:id="rId19"/>
    <sheet state="visible" name="CreateDoneAwayOrder2" sheetId="18" r:id="rId20"/>
    <sheet state="visible" name="GetDataAllocation" sheetId="19" r:id="rId21"/>
    <sheet state="visible" name="SelectUnallocatedGroup" sheetId="20" r:id="rId22"/>
    <sheet state="visible" name="EnterAllocatePreference" sheetId="21" r:id="rId23"/>
    <sheet state="visible" name="CheckAllocatedTaxlots" sheetId="22" r:id="rId24"/>
  </sheets>
  <calcPr fullCalcOnLoad="1" fullPrecision="1"/>
</workbook>
</file>

<file path=xl/sharedStrings.xml><?xml version="1.0" encoding="utf-8"?>
<sst xmlns="http://schemas.openxmlformats.org/spreadsheetml/2006/main" count="125" uniqueCount="125">
  <si>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</si>
  <si>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</si>
  <si>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</si>
  <si>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</si>
  <si>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</si>
  <si>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</si>
  <si>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</si>
  <si>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</si>
  <si>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</si>
  <si>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</si>
  <si>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</si>
  <si>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</si>
  <si>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</si>
  <si>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</si>
  <si>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</si>
  <si>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</si>
  <si>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</si>
  <si>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Allocation5</t>
  </si>
  <si>
    <t>USD</t>
  </si>
  <si>
    <t>Allocation6</t>
  </si>
  <si>
    <t>Allocation7</t>
  </si>
  <si>
    <t>Allocation8</t>
  </si>
  <si>
    <t>Allocation9</t>
  </si>
  <si>
    <t>Allocation10</t>
  </si>
  <si>
    <t>Allocation11</t>
  </si>
  <si>
    <t>Allocation12</t>
  </si>
  <si>
    <t>TradingTicket</t>
  </si>
  <si>
    <t>CreateDoneAwayOrder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</si>
  <si>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</si>
  <si>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</si>
  <si>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</si>
  <si>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</si>
  <si>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</si>
  <si>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</si>
  <si>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</si>
  <si>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</si>
  <si>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</si>
  <si>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</si>
  <si>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</si>
  <si>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</si>
  <si>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</si>
  <si>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</si>
  <si>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</si>
  <si>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</si>
  <si>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</si>
  <si>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</si>
  <si>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</si>
  <si>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</si>
  <si>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</si>
  <si>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</si>
  <si>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</si>
  <si>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</si>
  <si>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</si>
  <si>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</si>
  <si>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</si>
  <si>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</si>
  <si>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</si>
  <si>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</si>
  <si>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</si>
  <si>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</si>
  <si>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</si>
  <si>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</si>
  <si>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</si>
  <si>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</si>
  <si>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</si>
  <si>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</si>
  <si>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</si>
  <si>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</si>
  <si>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</si>
  <si>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</si>
  <si>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</si>
  <si>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</si>
  <si>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</si>
  <si>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</si>
  <si>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</si>
  <si>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</si>
  <si>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</si>
  <si>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</si>
  <si>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</si>
  <si>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</si>
  <si>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</si>
  <si>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</si>
  <si>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</si>
  <si>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</si>
  <si>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</si>
  <si>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</si>
  <si>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</si>
  <si>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</si>
  <si>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</si>
  <si>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</si>
  <si>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</si>
  <si>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AAPL</t>
  </si>
  <si>
    <t>Buy</t>
  </si>
  <si>
    <t>MS</t>
  </si>
  <si>
    <t>Allocation</t>
  </si>
  <si>
    <t>SetGeneralPreferences</t>
  </si>
  <si>
    <t>AddMFPreferences</t>
  </si>
  <si>
    <t>TEST</t>
  </si>
  <si>
    <t>SetMFPreferencesDefaultRule</t>
  </si>
  <si>
    <t>Prorata</t>
  </si>
  <si>
    <t>NewMF3,NewMF4</t>
  </si>
  <si>
    <t>SetMFPrefAccountValues</t>
  </si>
  <si>
    <t>NewMF3</t>
  </si>
  <si>
    <t>SetMFPrefFundDefaultRule</t>
  </si>
  <si>
    <t>Trade Quantity</t>
  </si>
  <si>
    <t>Allocation7,Allocation8</t>
  </si>
  <si>
    <t>SetMFPrefGeneralRule</t>
  </si>
  <si>
    <t>Include</t>
  </si>
  <si>
    <t>CMEE</t>
  </si>
  <si>
    <t>Equity</t>
  </si>
  <si>
    <t>Sell</t>
  </si>
  <si>
    <t>UpdateGRDefaultRule</t>
  </si>
  <si>
    <t>Allocation5,Allocation6</t>
  </si>
  <si>
    <t>NewMF4</t>
  </si>
  <si>
    <t>Allocation11,Allocation12</t>
  </si>
  <si>
    <t>Allocation9,Allocation10</t>
  </si>
  <si>
    <t>Unallocated</t>
  </si>
  <si>
    <t>GetDataAllocation</t>
  </si>
  <si>
    <t>Current</t>
  </si>
  <si>
    <t>SelectUnallocatedGroup</t>
  </si>
  <si>
    <t>M</t>
  </si>
  <si>
    <t>EnterAllocatePreference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</si>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</sst>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52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14" applyNumberFormat="1" fontId="5" applyFont="1" fillId="0" borderId="0" xfId="0" applyAlignment="1"/>
    <xf numFmtId="14" applyNumberFormat="1" fontId="5" applyFont="1" fillId="0" borderId="0" xfId="0" applyAlignment="1"/>
    <xf numFmtId="0" fontId="5" applyFont="1" fillId="0" borderId="0" xfId="0" applyAlignment="1"/>
    <xf numFmtId="0" fontId="3" applyFont="1" fillId="0" borderId="0" xfId="0" applyAlignment="1"/>
    <xf numFmtId="0" fontId="3" applyFont="1" fillId="0" borderId="0" xfId="0" applyAlignment="1"/>
    <xf numFmtId="0" fontId="3" applyFont="1" fillId="0" borderId="0" xfId="0" applyAlignment="1"/>
    <xf numFmtId="3" applyNumberFormat="1" fontId="5" applyFont="1" fillId="0" borderId="0" xfId="0" applyAlignment="1">
      <alignment horizontal="right"/>
    </xf>
    <xf numFmtId="0" fontId="5" applyFont="1" fillId="0" borderId="0" xfId="0" applyAlignment="1">
      <alignment horizontal="right"/>
    </xf>
    <xf numFmtId="0" fontId="5" applyFont="1" fillId="0" borderId="0" xfId="0" applyAlignment="1">
      <alignment horizontal="right"/>
    </xf>
    <xf numFmtId="3" applyNumberFormat="1" fontId="3" applyFont="1" fillId="0" borderId="0" xfId="0" applyAlignment="1"/>
    <xf numFmtId="0" fontId="3" applyFont="1" fillId="0" borderId="0" xfId="0" applyAlignment="1">
      <alignment horizontal="center"/>
    </xf>
    <xf numFmtId="0" fontId="14" applyFont="1" fillId="6" applyFill="1" borderId="0" xfId="0" applyAlignment="1"/>
    <xf numFmtId="0" fontId="3" applyFont="1" fillId="0" borderId="0" xfId="0" applyAlignment="1"/>
    <xf numFmtId="0" fontId="3" applyFont="1" fillId="0" borderId="0" xfId="0" applyAlignment="1"/>
    <xf numFmtId="0" fontId="5" applyFont="1" fillId="0" borderId="0" xfId="0" applyAlignment="1">
      <alignment horizontal="center"/>
    </xf>
    <xf numFmtId="0" fontId="5" applyFont="1" fillId="0" borderId="0" xfId="0" applyAlignment="1">
      <alignment horizontal="right"/>
    </xf>
    <xf numFmtId="0" fontId="13" applyFont="1" fillId="6" applyFill="1" borderId="0" xfId="0"/>
    <xf numFmtId="0" fontId="15" applyFont="1" fillId="0" borderId="0" xfId="0" applyAlignment="1">
      <alignment horizontal="right"/>
    </xf>
    <xf numFmtId="0" fontId="15" applyFont="1" fillId="0" borderId="0" xfId="0" applyAlignment="1"/>
    <xf numFmtId="4" applyNumberFormat="1" fontId="15" applyFont="1" fillId="0" borderId="0" xfId="0" applyAlignment="1">
      <alignment horizontal="right"/>
    </xf>
    <xf numFmtId="0" fontId="15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4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IFERROR(__xludf.DUMMYFUNCTION("""COMPUTED_VALUE"""),"1POjj1zjXLEqeN6JF24QjN0-KOauAggBwl69xOVrb_Mc")</f>
        <v>1POjj1zjXLEqeN6JF24QjN0-KOauAggBwl69xOVrb_Mc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IFERROR(__xludf.DUMMYFUNCTION("""COMPUTED_VALUE"""),"Undefined")</f>
        <v>Undefined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IFERROR(__xludf.DUMMYFUNCTION("""COMPUTED_VALUE"""),"1j8wW9-L-Zy9olOUCAeF_FnClFUOkJ6XXKn4enf-LpLY")</f>
        <v>1j8wW9-L-Zy9olOUCAeF_FnClFUOkJ6XXKn4enf-LpLY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IFERROR(__xludf.DUMMYFUNCTION("""COMPUTED_VALUE"""),"1XzjmPmpB7IMcyzPSsbgmFfzjE_zIKdjrk0mUoMFhNZc")</f>
        <v>1XzjmPmpB7IMcyzPSsbgmFfzjE_zIKdjrk0mUoMFhNZc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>
      <c r="A656" s="0" t="str">
        <f>IFERROR(__xludf.DUMMYFUNCTION("""COMPUTED_VALUE"""),"Blotter")</f>
        <v>Blotter</v>
      </c>
      <c r="B656" s="0" t="str">
        <f>IFERROR(__xludf.DUMMYFUNCTION("""COMPUTED_VALUE"""),"RemoveOrderFromCustomTab")</f>
        <v>RemoveOrderFromCustomTab</v>
      </c>
      <c r="C656" s="0" t="str">
        <f>IFERROR(__xludf.DUMMYFUNCTION("""COMPUTED_VALUE"""),"1sfynQiLVUyAEBtlKhgJSpN7R6q9257IFweh0qT9mx20")</f>
        <v>1sfynQiLVUyAEBtlKhgJSpN7R6q9257IFweh0qT9mx20</v>
      </c>
    </row>
    <row r="657" ht="15.75" customHeight="1">
      <c r="A657" s="0" t="str">
        <f>IFERROR(__xludf.DUMMYFUNCTION("""COMPUTED_VALUE"""),"MultiTradingTicket")</f>
        <v>MultiTradingTicket</v>
      </c>
      <c r="B657" s="0" t="str">
        <f>IFERROR(__xludf.DUMMYFUNCTION("""COMPUTED_VALUE"""),"SaveLayoutUsingMTT")</f>
        <v>SaveLayoutUsingMTT</v>
      </c>
      <c r="C657" s="0" t="str">
        <f>IFERROR(__xludf.DUMMYFUNCTION("""COMPUTED_VALUE"""),"Undefined")</f>
        <v>Undefined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IFERROR(__xludf.DUMMYFUNCTION("""COMPUTED_VALUE"""),"ReloadFromSummary")</f>
        <v>ReloadFromSummary</v>
      </c>
      <c r="C658" s="0" t="str">
        <f>IFERROR(__xludf.DUMMYFUNCTION("""COMPUTED_VALUE"""),"1va9lkysxv5IoF2imeSPCpBsD6J_IgJcN5bBcjjoS3g4")</f>
        <v>1va9lkysxv5IoF2imeSPCpBsD6J_IgJcN5bBcjjoS3g4</v>
      </c>
    </row>
    <row r="659" ht="15.75" customHeight="1">
      <c r="A659" s="0" t="str">
        <f>IFERROR(__xludf.DUMMYFUNCTION("""COMPUTED_VALUE"""),"Blotter")</f>
        <v>Blotter</v>
      </c>
      <c r="B659" s="0" t="str">
        <f>IFERROR(__xludf.DUMMYFUNCTION("""COMPUTED_VALUE"""),"AllocateFromWorkingSubsBlotter")</f>
        <v>AllocateFromWorkingSubsBlotter</v>
      </c>
      <c r="C659" s="0" t="str">
        <f>IFERROR(__xludf.DUMMYFUNCTION("""COMPUTED_VALUE"""),"1y2YFZm3A-cdE2rpKOdJdC0HlrimUfKr3DluQsVb-w0E")</f>
        <v>1y2YFZm3A-cdE2rpKOdJdC0HlrimUfKr3DluQsVb-w0E</v>
      </c>
    </row>
    <row r="660" ht="15.75" customHeight="1">
      <c r="A660" s="0" t="str">
        <f>IFERROR(__xludf.DUMMYFUNCTION("""COMPUTED_VALUE"""),"TradingTicket")</f>
        <v>TradingTicket</v>
      </c>
      <c r="B660" s="0" t="str">
        <f>IFERROR(__xludf.DUMMYFUNCTION("""COMPUTED_VALUE"""),"CheckStepSheet")</f>
        <v>CheckStepSheet</v>
      </c>
      <c r="C660" s="0" t="str">
        <f>IFERROR(__xludf.DUMMYFUNCTION("""COMPUTED_VALUE"""),"1CcLgTaVQvUoDbfsClCPnFcyGRwVMAdsncTnhtlJxsws")</f>
        <v>1CcLgTaVQvUoDbfsClCPnFcyGRwVMAdsncTnhtlJxsws</v>
      </c>
    </row>
    <row r="661" ht="15.75" customHeight="1">
      <c r="A661" s="0" t="str">
        <f>IFERROR(__xludf.DUMMYFUNCTION("""COMPUTED_VALUE"""),"Rebalancer")</f>
        <v>Rebalancer</v>
      </c>
      <c r="B661" s="0" t="str">
        <f>IFERROR(__xludf.DUMMYFUNCTION("""COMPUTED_VALUE"""),"AddNewModelPortfolio")</f>
        <v>AddNewModelPortfolio</v>
      </c>
      <c r="C661" s="0" t="str">
        <f>IFERROR(__xludf.DUMMYFUNCTION("""COMPUTED_VALUE"""),"1Qh_vkSA3OzQ68ohGqDcDXce4JnkIitnyepLjVSKsW40")</f>
        <v>1Qh_vkSA3OzQ68ohGqDcDXce4JnkIitnyepLjVSKsW40</v>
      </c>
    </row>
    <row r="662" ht="15.75" customHeight="1">
      <c r="A662" s="0" t="str">
        <f>IFERROR(__xludf.DUMMYFUNCTION("""COMPUTED_VALUE"""),"MultiTradingTicket")</f>
        <v>MultiTradingTicket</v>
      </c>
      <c r="B662" s="0" t="str">
        <f>IFERROR(__xludf.DUMMYFUNCTION("""COMPUTED_VALUE"""),"ApplyFilterOnMTTGrid")</f>
        <v>ApplyFilterOnMTTGrid</v>
      </c>
      <c r="C662" s="0" t="str">
        <f>IFERROR(__xludf.DUMMYFUNCTION("""COMPUTED_VALUE"""),"1Vbhwhkyzzv1rTVbuvoBAl60OJALDvg_yXNHVYwq0EhE")</f>
        <v>1Vbhwhkyzzv1rTVbuvoBAl60OJALDvg_yXNHVYwq0EhE</v>
      </c>
    </row>
    <row r="663" ht="15.75" customHeight="1">
      <c r="A663" s="0" t="str">
        <f>IFERROR(__xludf.DUMMYFUNCTION("""COMPUTED_VALUE"""),"Blotter")</f>
        <v>Blotter</v>
      </c>
      <c r="B663" s="0" t="str">
        <f>IFERROR(__xludf.DUMMYFUNCTION("""COMPUTED_VALUE"""),"EditOrderForMTT")</f>
        <v>EditOrderForMTT</v>
      </c>
      <c r="C663" s="0" t="str">
        <f>IFERROR(__xludf.DUMMYFUNCTION("""COMPUTED_VALUE"""),"1qWfM-5I-ku-5EHZAkn8eS-IZo3tx5B4_gWM6t3Q6Ioo")</f>
        <v>1qWfM-5I-ku-5EHZAkn8eS-IZo3tx5B4_gWM6t3Q6Ioo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IFERROR(__xludf.DUMMYFUNCTION("""COMPUTED_VALUE"""),"ViewSettings")</f>
        <v>ViewSettings</v>
      </c>
      <c r="C664" s="0" t="str">
        <f>IFERROR(__xludf.DUMMYFUNCTION("""COMPUTED_VALUE"""),"1BCFYc9ywS4ss91grP2kHc2F1OGEGuTk3Hc5CFYfKKao")</f>
        <v>1BCFYc9ywS4ss91grP2kHc2F1OGEGuTk3Hc5CFYfKKao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IFERROR(__xludf.DUMMYFUNCTION("""COMPUTED_VALUE"""),"SaveLayoutPM")</f>
        <v>SaveLayoutPM</v>
      </c>
      <c r="C665" s="0" t="str">
        <f>IFERROR(__xludf.DUMMYFUNCTION("""COMPUTED_VALUE"""),"18bINF8LvIWUr1rFpe1vpLTKdPT6dJi-B14KFcAVwyfQ")</f>
        <v>18bINF8LvIWUr1rFpe1vpLTKdPT6dJi-B14KFcAVwyfQ</v>
      </c>
    </row>
    <row r="666" ht="15.75" customHeight="1">
      <c r="A666" s="0" t="str">
        <f>IFERROR(__xludf.DUMMYFUNCTION("""COMPUTED_VALUE"""),"PortfolioManagement")</f>
        <v>PortfolioManagement</v>
      </c>
      <c r="B666" s="0" t="str">
        <f>IFERROR(__xludf.DUMMYFUNCTION("""COMPUTED_VALUE"""),"OpenCustomView")</f>
        <v>OpenCustomView</v>
      </c>
      <c r="C666" s="0" t="str">
        <f>IFERROR(__xludf.DUMMYFUNCTION("""COMPUTED_VALUE"""),"1aiFAc6kqib929pQs2Ufmf6eB0G6tPhDoqY6caFUaSUk")</f>
        <v>1aiFAc6kqib929pQs2Ufmf6eB0G6tPhDoqY6caFUaSUk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IFERROR(__xludf.DUMMYFUNCTION("""COMPUTED_VALUE"""),"VerifyCustomTabs")</f>
        <v>VerifyCustomTabs</v>
      </c>
      <c r="C667" s="0" t="str">
        <f>IFERROR(__xludf.DUMMYFUNCTION("""COMPUTED_VALUE"""),"1s7r1b7iwigom4v0m_RFb-ufZk23d2CqFi99gb-mX0YY")</f>
        <v>1s7r1b7iwigom4v0m_RFb-ufZk23d2CqFi99gb-mX0YY</v>
      </c>
    </row>
    <row r="668" ht="15.75" customHeight="1">
      <c r="A668" s="0" t="str">
        <f>IFERROR(__xludf.DUMMYFUNCTION("""COMPUTED_VALUE"""),"Blotter")</f>
        <v>Blotter</v>
      </c>
      <c r="B668" s="0" t="str">
        <f>IFERROR(__xludf.DUMMYFUNCTION("""COMPUTED_VALUE"""),"SelectCheckBoxOnCustomTab")</f>
        <v>SelectCheckBoxOnCustomTab</v>
      </c>
      <c r="C668" s="0" t="str">
        <f>IFERROR(__xludf.DUMMYFUNCTION("""COMPUTED_VALUE"""),"1W7_hWkxbVlSNSzD2alHZ5u1n0B8MxwrlBkeZiMYqHMY")</f>
        <v>1W7_hWkxbVlSNSzD2alHZ5u1n0B8MxwrlBkeZiMYqHMY</v>
      </c>
    </row>
    <row r="669" ht="15.75" customHeight="1">
      <c r="A669" s="0" t="str">
        <f>IFERROR(__xludf.DUMMYFUNCTION("""COMPUTED_VALUE"""),"Admin")</f>
        <v>Admin</v>
      </c>
      <c r="B669" s="0" t="str">
        <f>IFERROR(__xludf.DUMMYFUNCTION("""COMPUTED_VALUE"""),"SetCommissionRule")</f>
        <v>SetCommissionRule</v>
      </c>
      <c r="C669" s="0" t="str">
        <f>IFERROR(__xludf.DUMMYFUNCTION("""COMPUTED_VALUE"""),"1e-yvODG5ey0ZbxkvSZQ_rap65UOoA-JbxTp0ybaw-TQ")</f>
        <v>1e-yvODG5ey0ZbxkvSZQ_rap65UOoA-JbxTp0ybaw-TQ</v>
      </c>
    </row>
    <row r="670" ht="15.75" customHeight="1">
      <c r="A670" s="0" t="str">
        <f>IFERROR(__xludf.DUMMYFUNCTION("""COMPUTED_VALUE"""),"Rebalancer")</f>
        <v>Rebalancer</v>
      </c>
      <c r="B670" s="0" t="str">
        <f>IFERROR(__xludf.DUMMYFUNCTION("""COMPUTED_VALUE"""),"VerifyBuySellList")</f>
        <v>VerifyBuySellList</v>
      </c>
      <c r="C670" s="0" t="str">
        <f>IFERROR(__xludf.DUMMYFUNCTION("""COMPUTED_VALUE"""),"1O2u9vu9lB8RTOcsD20GdbXlSWEbt310TUvIkuLxRuBg")</f>
        <v>1O2u9vu9lB8RTOcsD20GdbXlSWEbt310TUvIkuLxRuBg</v>
      </c>
    </row>
    <row r="671" ht="15.75" customHeight="1">
      <c r="A671" s="0" t="str">
        <f>IFERROR(__xludf.DUMMYFUNCTION("""COMPUTED_VALUE"""),"Admin")</f>
        <v>Admin</v>
      </c>
      <c r="B671" s="0" t="str">
        <f>IFERROR(__xludf.DUMMYFUNCTION("""COMPUTED_VALUE"""),"SetPreTradeCompliancePermission")</f>
        <v>SetPreTradeCompliancePermission</v>
      </c>
      <c r="C671" s="0" t="str">
        <f>IFERROR(__xludf.DUMMYFUNCTION("""COMPUTED_VALUE"""),"1ewjQxQzAYWPb_Xt7eg-BDaW0JVta4cevciiv9vOUvg0")</f>
        <v>1ewjQxQzAYWPb_Xt7eg-BDaW0JVta4cevciiv9vOUvg0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IFERROR(__xludf.DUMMYFUNCTION("""COMPUTED_VALUE"""),"UploadStageOrder")</f>
        <v>UploadStageOrder</v>
      </c>
      <c r="C672" s="0" t="str">
        <f>IFERROR(__xludf.DUMMYFUNCTION("""COMPUTED_VALUE"""),"1lK9zUhBpffXk_Fyp8pfWJfS2RpqtAwa9zGPb9Vlkb7Q")</f>
        <v>1lK9zUhBpffXk_Fyp8pfWJfS2RpqtAwa9zGPb9Vlkb7Q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IFERROR(__xludf.DUMMYFUNCTION("""COMPUTED_VALUE"""),"RefreshBlotter")</f>
        <v>RefreshBlotter</v>
      </c>
      <c r="C673" s="0" t="str">
        <f>IFERROR(__xludf.DUMMYFUNCTION("""COMPUTED_VALUE"""),"Undefined")</f>
        <v>Undefined</v>
      </c>
    </row>
    <row r="674" ht="15.75" customHeight="1">
      <c r="A674" s="0" t="str">
        <f>IFERROR(__xludf.DUMMYFUNCTION("""COMPUTED_VALUE"""),"Blotter")</f>
        <v>Blotter</v>
      </c>
      <c r="B674" s="0" t="str">
        <f>IFERROR(__xludf.DUMMYFUNCTION("""COMPUTED_VALUE"""),"CancelFromSummary")</f>
        <v>CancelFromSummary</v>
      </c>
      <c r="C674" s="0" t="str">
        <f>IFERROR(__xludf.DUMMYFUNCTION("""COMPUTED_VALUE"""),"1jSLVysCdd7TUYKjG07aOiq3UU-oAUNbdPg35uHeWwhk")</f>
        <v>1jSLVysCdd7TUYKjG07aOiq3UU-oAUNbdPg35uHeWwhk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IFERROR(__xludf.DUMMYFUNCTION("""COMPUTED_VALUE"""),"OpenTaxlotDetails")</f>
        <v>OpenTaxlotDetails</v>
      </c>
      <c r="C675" s="0" t="str">
        <f>IFERROR(__xludf.DUMMYFUNCTION("""COMPUTED_VALUE"""),"183AzyWH5HmQPGs1axkOpXRel-i1zs9GjyySy7q1x--0")</f>
        <v>183AzyWH5HmQPGs1axkOpXRel-i1zs9GjyySy7q1x--0</v>
      </c>
    </row>
    <row r="676" ht="15.75" customHeight="1">
      <c r="A676" s="0" t="str">
        <f>IFERROR(__xludf.DUMMYFUNCTION("""COMPUTED_VALUE"""),"PortfolioManagement")</f>
        <v>PortfolioManagement</v>
      </c>
      <c r="B676" s="0" t="str">
        <f>IFERROR(__xludf.DUMMYFUNCTION("""COMPUTED_VALUE"""),"CheckTaxlotDetails")</f>
        <v>CheckTaxlotDetails</v>
      </c>
      <c r="C676" s="0" t="str">
        <f>IFERROR(__xludf.DUMMYFUNCTION("""COMPUTED_VALUE"""),"1u7Vyi2HvA8tXNgHY_2MzmzcCg8vrtuLRURK0hFpMTXk")</f>
        <v>1u7Vyi2HvA8tXNgHY_2MzmzcCg8vrtuLRURK0hFpMTXk</v>
      </c>
    </row>
    <row r="677" ht="15.75" customHeight="1">
      <c r="A677" s="0" t="str">
        <f>IFERROR(__xludf.DUMMYFUNCTION("""COMPUTED_VALUE"""),"Blotter")</f>
        <v>Blotter</v>
      </c>
      <c r="B677" s="0" t="str">
        <f>IFERROR(__xludf.DUMMYFUNCTION("""COMPUTED_VALUE"""),"VerifyAuditTrail")</f>
        <v>VerifyAuditTrail</v>
      </c>
      <c r="C677" s="0" t="str">
        <f>IFERROR(__xludf.DUMMYFUNCTION("""COMPUTED_VALUE"""),"1SsF4E82QKwgB26ZoKXUhkX5AaUZdZC5n2EeHmwKGduU")</f>
        <v>1SsF4E82QKwgB26ZoKXUhkX5AaUZdZC5n2EeHmwKGduU</v>
      </c>
    </row>
    <row r="678" ht="15.75" customHeight="1">
      <c r="A678" s="0" t="str">
        <f>IFERROR(__xludf.DUMMYFUNCTION("""COMPUTED_VALUE"""),"PranaClient")</f>
        <v>PranaClient</v>
      </c>
      <c r="B678" s="0" t="str">
        <f>IFERROR(__xludf.DUMMYFUNCTION("""COMPUTED_VALUE"""),"DbPicker")</f>
        <v>DbPicker</v>
      </c>
      <c r="C678" s="0" t="str">
        <f>IFERROR(__xludf.DUMMYFUNCTION("""COMPUTED_VALUE"""),"1tqSr_cmWz94o-j1zOzyqKpbL44h18j2PCfFMgpuxVw0")</f>
        <v>1tqSr_cmWz94o-j1zOzyqKpbL44h18j2PCfFMgpuxVw0</v>
      </c>
    </row>
    <row r="679" ht="15.75" customHeight="1">
      <c r="A679" s="0" t="str">
        <f>IFERROR(__xludf.DUMMYFUNCTION("""COMPUTED_VALUE"""),"Simulator")</f>
        <v>Simulator</v>
      </c>
      <c r="B679" s="0" t="str">
        <f>IFERROR(__xludf.DUMMYFUNCTION("""COMPUTED_VALUE"""),"DoneForDay")</f>
        <v>DoneForDay</v>
      </c>
      <c r="C679" s="0" t="str">
        <f>IFERROR(__xludf.DUMMYFUNCTION("""COMPUTED_VALUE"""),"Undefined")</f>
        <v>Undefined</v>
      </c>
    </row>
    <row r="680" ht="15.75" customHeight="1">
      <c r="A680" s="0" t="str">
        <f>IFERROR(__xludf.DUMMYFUNCTION("""COMPUTED_VALUE"""),"Admin")</f>
        <v>Admin</v>
      </c>
      <c r="B680" s="0" t="str">
        <f>IFERROR(__xludf.DUMMYFUNCTION("""COMPUTED_VALUE"""),"SetAuecExecutingBroker")</f>
        <v>SetAuecExecutingBroker</v>
      </c>
      <c r="C680" s="0" t="str">
        <f>IFERROR(__xludf.DUMMYFUNCTION("""COMPUTED_VALUE"""),"1FOtSQ752PHH-4nayG7R-PaG921WCWKVU8Lsl4pC6Mr0")</f>
        <v>1FOtSQ752PHH-4nayG7R-PaG921WCWKVU8Lsl4pC6Mr0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IFERROR(__xludf.DUMMYFUNCTION("""COMPUTED_VALUE"""),"GetDataFromAuditTrail")</f>
        <v>GetDataFromAuditTrail</v>
      </c>
      <c r="C681" s="0" t="str">
        <f>IFERROR(__xludf.DUMMYFUNCTION("""COMPUTED_VALUE"""),"1tNXZNqCj-1qo8Li9Rf4t_XiY-dX6itH2UAbOSe3-Mxc")</f>
        <v>1tNXZNqCj-1qo8Li9Rf4t_XiY-dX6itH2UAbOSe3-Mxc</v>
      </c>
    </row>
    <row r="682" ht="15.75" customHeight="1">
      <c r="A682" s="0" t="str">
        <f>IFERROR(__xludf.DUMMYFUNCTION("""COMPUTED_VALUE"""),"AuditTrail")</f>
        <v>AuditTrail</v>
      </c>
      <c r="B682" s="0" t="str">
        <f>IFERROR(__xludf.DUMMYFUNCTION("""COMPUTED_VALUE"""),"VerifyAuditTrail")</f>
        <v>VerifyAuditTrail</v>
      </c>
      <c r="C682" s="0" t="str">
        <f>IFERROR(__xludf.DUMMYFUNCTION("""COMPUTED_VALUE"""),"1yv4ikffZOFZ-OOoWF_aNEGZA8dcvqtzobkyZjf8TDRs")</f>
        <v>1yv4ikffZOFZ-OOoWF_aNEGZA8dcvqtzobkyZjf8TDRs</v>
      </c>
    </row>
    <row r="683" ht="15.75" customHeight="1">
      <c r="A683" s="0" t="str">
        <f>IFERROR(__xludf.DUMMYFUNCTION("""COMPUTED_VALUE"""),"PranaClient")</f>
        <v>PranaClient</v>
      </c>
      <c r="B683" s="0" t="str">
        <f>IFERROR(__xludf.DUMMYFUNCTION("""COMPUTED_VALUE"""),"RunPortfolio")</f>
        <v>RunPortfolio</v>
      </c>
      <c r="C683" s="0" t="str">
        <f>IFERROR(__xludf.DUMMYFUNCTION("""COMPUTED_VALUE"""),"1zDfER5xLj_X17wyRdaAzzNf3aYbaPGLRGVpc2rFBtc0")</f>
        <v>1zDfER5xLj_X17wyRdaAzzNf3aYbaPGLRGVpc2rFBtc0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IFERROR(__xludf.DUMMYFUNCTION("""COMPUTED_VALUE"""),"AddOrRemoveColumnFromBlotter")</f>
        <v>AddOrRemoveColumnFromBlotter</v>
      </c>
      <c r="C684" s="0" t="str">
        <f>IFERROR(__xludf.DUMMYFUNCTION("""COMPUTED_VALUE"""),"1AImtOGYKAeR3YFeq_UoGYWtzjfmt90mMudYE0gCcfuY")</f>
        <v>1AImtOGYKAeR3YFeq_UoGYWtzjfmt90mMudYE0gCcfuY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IFERROR(__xludf.DUMMYFUNCTION("""COMPUTED_VALUE"""),"ApplyFilterOnBlotter")</f>
        <v>ApplyFilterOnBlotter</v>
      </c>
      <c r="C685" s="0" t="str">
        <f>IFERROR(__xludf.DUMMYFUNCTION("""COMPUTED_VALUE"""),"1HwDVyMvyOdl2-ZD1QqhAZuwUuRJSMW_PlBPxaE_76EI")</f>
        <v>1HwDVyMvyOdl2-ZD1QqhAZuwUuRJSMW_PlBPxaE_76EI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IFERROR(__xludf.DUMMYFUNCTION("""COMPUTED_VALUE"""),"SortGridOnBlotter")</f>
        <v>SortGridOnBlotter</v>
      </c>
      <c r="C686" s="0" t="str">
        <f>IFERROR(__xludf.DUMMYFUNCTION("""COMPUTED_VALUE"""),"1MvLrWPS7fBH0YzOrBIt5TdlPdCiRTwsVXBfvicm6qvY")</f>
        <v>1MvLrWPS7fBH0YzOrBIt5TdlPdCiRTwsVXBfvicm6qvY</v>
      </c>
    </row>
    <row r="687" ht="15.75" customHeight="1">
      <c r="A687" s="0" t="str">
        <f>IFERROR(__xludf.DUMMYFUNCTION("""COMPUTED_VALUE"""),"Blotter")</f>
        <v>Blotter</v>
      </c>
      <c r="B687" s="0" t="str">
        <f>IFERROR(__xludf.DUMMYFUNCTION("""COMPUTED_VALUE"""),"VerifyDataIndexWise")</f>
        <v>VerifyDataIndexWise</v>
      </c>
      <c r="C687" s="0" t="str">
        <f>IFERROR(__xludf.DUMMYFUNCTION("""COMPUTED_VALUE"""),"1WN-1sxdeUKDOg_8-QDWx4LTsOWAe3xpnbDOHjLR9DPI")</f>
        <v>1WN-1sxdeUKDOg_8-QDWx4LTsOWAe3xpnbDOHjLR9DPI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IFERROR(__xludf.DUMMYFUNCTION("""COMPUTED_VALUE"""),"CheckSummaryDashboard")</f>
        <v>CheckSummaryDashboard</v>
      </c>
      <c r="C688" s="0" t="str">
        <f>IFERROR(__xludf.DUMMYFUNCTION("""COMPUTED_VALUE"""),"19yZ--qYnhGSO8AdhnHqcmGmViOWMDkup5wR8bA3T2Os")</f>
        <v>19yZ--qYnhGSO8AdhnHqcmGmViOWMDkup5wR8bA3T2Os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IFERROR(__xludf.DUMMYFUNCTION("""COMPUTED_VALUE"""),"CheckFundLevelAggregation")</f>
        <v>CheckFundLevelAggregation</v>
      </c>
      <c r="C689" s="0" t="str">
        <f>IFERROR(__xludf.DUMMYFUNCTION("""COMPUTED_VALUE"""),"1onoHaI0svf2S0wDmLkCePbLXTpyPt2uzhxg7tVdRMeI")</f>
        <v>1onoHaI0svf2S0wDmLkCePbLXTpyPt2uzhxg7tVdRMeI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IFERROR(__xludf.DUMMYFUNCTION("""COMPUTED_VALUE"""),"CheckAccountLevelAggregation")</f>
        <v>CheckAccountLevelAggregation</v>
      </c>
      <c r="C690" s="0" t="str">
        <f>IFERROR(__xludf.DUMMYFUNCTION("""COMPUTED_VALUE"""),"1wpk-GXi0GZ8cadXtuW18V6GfYany_8NjDMShh2aobZ4")</f>
        <v>1wpk-GXi0GZ8cadXtuW18V6GfYany_8NjDMShh2aobZ4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IFERROR(__xludf.DUMMYFUNCTION("""COMPUTED_VALUE"""),"CheckSymbolLevelAggregation")</f>
        <v>CheckSymbolLevelAggregation</v>
      </c>
      <c r="C691" s="0" t="str">
        <f>IFERROR(__xludf.DUMMYFUNCTION("""COMPUTED_VALUE"""),"1j6_k8vwocZ8wAvUMMfdx9IKldUmmqzRN2HCaaoFysqc")</f>
        <v>1j6_k8vwocZ8wAvUMMfdx9IKldUmmqzRN2HCaaoFysqc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IFERROR(__xludf.DUMMYFUNCTION("""COMPUTED_VALUE"""),"CheckRealTimeSymbolFundMonitor")</f>
        <v>CheckRealTimeSymbolFundMonitor</v>
      </c>
      <c r="C692" s="0" t="str">
        <f>IFERROR(__xludf.DUMMYFUNCTION("""COMPUTED_VALUE"""),"1YeAroYmlm8GLwEhMTsKLli9Lc6cZEoPatK76WOit8ho")</f>
        <v>1YeAroYmlm8GLwEhMTsKLli9Lc6cZEoPatK76WOit8ho</v>
      </c>
    </row>
    <row r="693" ht="15.75" customHeight="1">
      <c r="A693" s="0" t="str">
        <f>IFERROR(__xludf.DUMMYFUNCTION("""COMPUTED_VALUE"""),"RTPNL")</f>
        <v>RTPNL</v>
      </c>
      <c r="B693" s="0" t="str">
        <f>IFERROR(__xludf.DUMMYFUNCTION("""COMPUTED_VALUE"""),"CheckRealTimeSymAccountMonitor")</f>
        <v>CheckRealTimeSymAccountMonitor</v>
      </c>
      <c r="C693" s="0" t="str">
        <f>IFERROR(__xludf.DUMMYFUNCTION("""COMPUTED_VALUE"""),"1YWIN_lFXkJFac_sw0d58YkjeJOr7Xa3JotKO9BAEG3Q")</f>
        <v>1YWIN_lFXkJFac_sw0d58YkjeJOr7Xa3JotKO9BAEG3Q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IFERROR(__xludf.DUMMYFUNCTION("""COMPUTED_VALUE"""),"CorporateAction")</f>
        <v>CorporateAction</v>
      </c>
      <c r="B695" s="0" t="str">
        <f>IFERROR(__xludf.DUMMYFUNCTION("""COMPUTED_VALUE"""),"Split")</f>
        <v>Split</v>
      </c>
      <c r="C695" s="0" t="str">
        <f>IFERROR(__xludf.DUMMYFUNCTION("""COMPUTED_VALUE"""),"1YQNpSzhH6xtFfgEJnDqykr5nsIzqMbnBQEatRhEpHOs")</f>
        <v>1YQNpSzhH6xtFfgEJnDqykr5nsIzqMbnBQEatRhEpHOs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IFERROR(__xludf.DUMMYFUNCTION("""COMPUTED_VALUE"""),"CheckOpenFinWindowName")</f>
        <v>CheckOpenFinWindowName</v>
      </c>
      <c r="C696" s="0" t="str">
        <f>IFERROR(__xludf.DUMMYFUNCTION("""COMPUTED_VALUE"""),"1_QbFW_DIr-YIJKQnRAaHNRalcZ0QCmFiB-DdP5Sbwko")</f>
        <v>1_QbFW_DIr-YIJKQnRAaHNRalcZ0QCmFiB-DdP5Sbwko</v>
      </c>
    </row>
    <row r="697" ht="15.75" customHeight="1">
      <c r="A697" s="0" t="str">
        <f>IFERROR(__xludf.DUMMYFUNCTION("""COMPUTED_VALUE"""),"OpenFin")</f>
        <v>OpenFin</v>
      </c>
      <c r="B697" s="0" t="str">
        <f>IFERROR(__xludf.DUMMYFUNCTION("""COMPUTED_VALUE"""),"OpenWindowFromSearch")</f>
        <v>OpenWindowFromSearch</v>
      </c>
      <c r="C697" s="0" t="str">
        <f>IFERROR(__xludf.DUMMYFUNCTION("""COMPUTED_VALUE"""),"1e8B2KIAHr80o-fgghowV60Cd3dClYg316CFpnQaQAIE")</f>
        <v>1e8B2KIAHr80o-fgghowV60Cd3dClYg316CFpnQaQAIE</v>
      </c>
    </row>
    <row r="698" ht="15.75" customHeight="1">
      <c r="A698" s="0" t="str">
        <f>IFERROR(__xludf.DUMMYFUNCTION("""COMPUTED_VALUE"""),"TradingTicket")</f>
        <v>TradingTicket</v>
      </c>
      <c r="B698" s="0" t="str">
        <f>IFERROR(__xludf.DUMMYFUNCTION("""COMPUTED_VALUE"""),"OptionTradingThroughSecurity")</f>
        <v>OptionTradingThroughSecurity</v>
      </c>
      <c r="C698" s="0" t="str">
        <f>IFERROR(__xludf.DUMMYFUNCTION("""COMPUTED_VALUE"""),"1clAdB0F6htmQF_MbmjwcIdau2ji1ufQer1WZBDOaeBQ")</f>
        <v>1clAdB0F6htmQF_MbmjwcIdau2ji1ufQer1WZBDOaeBQ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IFERROR(__xludf.DUMMYFUNCTION("""COMPUTED_VALUE"""),"UpdateDashboardName")</f>
        <v>UpdateDashboardName</v>
      </c>
      <c r="C699" s="0" t="str">
        <f>IFERROR(__xludf.DUMMYFUNCTION("""COMPUTED_VALUE"""),"1aNmeOLOU3vHxn4vCNTUtDLnYV9ZzH4jYF4G95SD77ow")</f>
        <v>1aNmeOLOU3vHxn4vCNTUtDLnYV9ZzH4jYF4G95SD77ow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IFERROR(__xludf.DUMMYFUNCTION("""COMPUTED_VALUE"""),"AddWidget")</f>
        <v>AddWidget</v>
      </c>
      <c r="C700" s="0" t="str">
        <f>IFERROR(__xludf.DUMMYFUNCTION("""COMPUTED_VALUE"""),"1QetwOPuGJZ9VGJxG4h8-cX_06kX2sFa3dVbulVAf6H8")</f>
        <v>1QetwOPuGJZ9VGJxG4h8-cX_06kX2sFa3dVbulVAf6H8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IFERROR(__xludf.DUMMYFUNCTION("""COMPUTED_VALUE"""),"CheckDashboardWidgetTitle")</f>
        <v>CheckDashboardWidgetTitle</v>
      </c>
      <c r="C701" s="0" t="str">
        <f>IFERROR(__xludf.DUMMYFUNCTION("""COMPUTED_VALUE"""),"1HywJj49UTJ0a2drrA-uSVbVT8uwRKeg9hrZ_IYbHs7M")</f>
        <v>1HywJj49UTJ0a2drrA-uSVbVT8uwRKeg9hrZ_IYbHs7M</v>
      </c>
    </row>
    <row r="702" ht="15.75" customHeight="1">
      <c r="A702" s="0" t="str">
        <f>IFERROR(__xludf.DUMMYFUNCTION("""COMPUTED_VALUE"""),"RTPNL")</f>
        <v>RTPNL</v>
      </c>
      <c r="B702" s="0" t="str">
        <f>IFERROR(__xludf.DUMMYFUNCTION("""COMPUTED_VALUE"""),"updateWidget")</f>
        <v>updateWidget</v>
      </c>
      <c r="C702" s="0" t="str">
        <f>IFERROR(__xludf.DUMMYFUNCTION("""COMPUTED_VALUE"""),"1SEQwBhkZIg_dA_RSQqCGv5m0-nf1OjN8eXQzvxE35tE")</f>
        <v>1SEQwBhkZIg_dA_RSQqCGv5m0-nf1OjN8eXQzvxE35tE</v>
      </c>
    </row>
    <row r="703" ht="15.75" customHeight="1">
      <c r="A703" s="0" t="str">
        <f>IFERROR(__xludf.DUMMYFUNCTION("""COMPUTED_VALUE"""),"Admin")</f>
        <v>Admin</v>
      </c>
      <c r="B703" s="0" t="str">
        <f>IFERROR(__xludf.DUMMYFUNCTION("""COMPUTED_VALUE"""),"SetAlgoBroker")</f>
        <v>SetAlgoBroker</v>
      </c>
      <c r="C703" s="0" t="str">
        <f>IFERROR(__xludf.DUMMYFUNCTION("""COMPUTED_VALUE"""),"1ysK6XeT3Tu7B_jcnGseqzvKUCFY5_PNP6KEmR-uswgE")</f>
        <v>1ysK6XeT3Tu7B_jcnGseqzvKUCFY5_PNP6KEmR-uswgE</v>
      </c>
    </row>
    <row r="704" ht="15.75" customHeight="1">
      <c r="A704" s="0" t="str">
        <f>IFERROR(__xludf.DUMMYFUNCTION("""COMPUTED_VALUE"""),"TradingTicket")</f>
        <v>TradingTicket</v>
      </c>
      <c r="B704" s="0" t="str">
        <f>IFERROR(__xludf.DUMMYFUNCTION("""COMPUTED_VALUE"""),"CreateTradeWithAlgoBroker")</f>
        <v>CreateTradeWithAlgoBroker</v>
      </c>
      <c r="C704" s="0" t="str">
        <f>IFERROR(__xludf.DUMMYFUNCTION("""COMPUTED_VALUE"""),"1D-4t1xB_3TrWQDfVaykN5dg7eoT58IEqv3gXIDpM20c")</f>
        <v>1D-4t1xB_3TrWQDfVaykN5dg7eoT58IEqv3gXIDpM20c</v>
      </c>
    </row>
    <row r="705" ht="15.75" customHeight="1">
      <c r="A705" s="0" t="str">
        <f>IFERROR(__xludf.DUMMYFUNCTION("""COMPUTED_VALUE"""),"Admin")</f>
        <v>Admin</v>
      </c>
      <c r="B705" s="0" t="str">
        <f>IFERROR(__xludf.DUMMYFUNCTION("""COMPUTED_VALUE"""),"EnableAutoGroupingAllocation")</f>
        <v>EnableAutoGroupingAllocation</v>
      </c>
      <c r="C705" s="0" t="str">
        <f>IFERROR(__xludf.DUMMYFUNCTION("""COMPUTED_VALUE"""),"1NeqButT68ws592R_0_8U2URVQT-opGH4uQ6W30VuDKo")</f>
        <v>1NeqButT68ws592R_0_8U2URVQT-opGH4uQ6W30VuDKo</v>
      </c>
    </row>
    <row r="706" ht="15.75" customHeight="1">
      <c r="A706" s="0" t="str">
        <f>IFERROR(__xludf.DUMMYFUNCTION("""COMPUTED_VALUE"""),"Compliance")</f>
        <v>Compliance</v>
      </c>
      <c r="B706" s="0" t="str">
        <f>IFERROR(__xludf.DUMMYFUNCTION("""COMPUTED_VALUE"""),"GetEmail")</f>
        <v>GetEmail</v>
      </c>
      <c r="C706" s="0" t="str">
        <f>IFERROR(__xludf.DUMMYFUNCTION("""COMPUTED_VALUE"""),"14zIr297hHEwbCXtU1KW8tP9R8vZWp-yZlZOWIyQ8JM8")</f>
        <v>14zIr297hHEwbCXtU1KW8tP9R8vZWp-yZlZOWIyQ8JM8</v>
      </c>
    </row>
    <row r="707" ht="15.75" customHeight="1">
      <c r="A707" s="0" t="str">
        <f>IFERROR(__xludf.DUMMYFUNCTION("""COMPUTED_VALUE"""),"TradeServer")</f>
        <v>TradeServer</v>
      </c>
      <c r="B707" s="0" t="str">
        <f>IFERROR(__xludf.DUMMYFUNCTION("""COMPUTED_VALUE"""),"BrokerConnectionThroughTUI")</f>
        <v>BrokerConnectionThroughTUI</v>
      </c>
      <c r="C707" s="0" t="str">
        <f>IFERROR(__xludf.DUMMYFUNCTION("""COMPUTED_VALUE"""),"1zjPR01VJFgDurgv90dzI5FheiwzguF_eQq_gmAIYF1E")</f>
        <v>1zjPR01VJFgDurgv90dzI5FheiwzguF_eQq_gmAIYF1E</v>
      </c>
    </row>
    <row r="708" ht="15.75" customHeight="1">
      <c r="A708" s="0" t="str">
        <f>IFERROR(__xludf.DUMMYFUNCTION("""COMPUTED_VALUE"""),"OpenFin")</f>
        <v>OpenFin</v>
      </c>
      <c r="B708" s="0" t="str">
        <f>IFERROR(__xludf.DUMMYFUNCTION("""COMPUTED_VALUE"""),"VerifyColour")</f>
        <v>VerifyColour</v>
      </c>
      <c r="C708" s="0" t="str">
        <f>IFERROR(__xludf.DUMMYFUNCTION("""COMPUTED_VALUE"""),"1JqfkBahL4M3QJ6OlrKFEO0l-A5PRm9-rSzRM19eNLvM")</f>
        <v>1JqfkBahL4M3QJ6OlrKFEO0l-A5PRm9-rSzRM19eNLvM</v>
      </c>
    </row>
    <row r="709" ht="15.75" customHeight="1">
      <c r="A709" s="0" t="str">
        <f>IFERROR(__xludf.DUMMYFUNCTION("""COMPUTED_VALUE"""),"RTPNL")</f>
        <v>RTPNL</v>
      </c>
      <c r="B709" s="0" t="str">
        <f>IFERROR(__xludf.DUMMYFUNCTION("""COMPUTED_VALUE"""),"OpenRTPNL")</f>
        <v>OpenRTPNL</v>
      </c>
      <c r="C709" s="0" t="str">
        <f>IFERROR(__xludf.DUMMYFUNCTION("""COMPUTED_VALUE"""),"1j-FWEidBpUuPYcE4AbSAw08LdLumr0SQSFYFcyX2SkM")</f>
        <v>1j-FWEidBpUuPYcE4AbSAw08LdLumr0SQSFYFcyX2SkM</v>
      </c>
    </row>
    <row r="710" ht="15.75" customHeight="1">
      <c r="A710" s="0" t="str">
        <f>IFERROR(__xludf.DUMMYFUNCTION("""COMPUTED_VALUE"""),"TradingTicket")</f>
        <v>TradingTicket</v>
      </c>
      <c r="B710" s="0" t="str">
        <f>IFERROR(__xludf.DUMMYFUNCTION("""COMPUTED_VALUE"""),"VerifyOrderSide")</f>
        <v>VerifyOrderSide</v>
      </c>
      <c r="C710" s="0" t="str">
        <f>IFERROR(__xludf.DUMMYFUNCTION("""COMPUTED_VALUE"""),"1c9KH-8l1ETf94Oe0mx95JD0fjeeah2gCx04R2mT4vgU")</f>
        <v>1c9KH-8l1ETf94Oe0mx95JD0fjeeah2gCx04R2mT4vgU</v>
      </c>
    </row>
    <row r="711" ht="15.75" customHeight="1">
      <c r="A711" s="0" t="str">
        <f>IFERROR(__xludf.DUMMYFUNCTION("""COMPUTED_VALUE"""),"OpenFin")</f>
        <v>OpenFin</v>
      </c>
      <c r="B711" s="0" t="str">
        <f>IFERROR(__xludf.DUMMYFUNCTION("""COMPUTED_VALUE"""),"OpenReleaseClient")</f>
        <v>OpenReleaseClient</v>
      </c>
      <c r="C711" s="0" t="str">
        <f>IFERROR(__xludf.DUMMYFUNCTION("""COMPUTED_VALUE"""),"1lDURQPfx8lvChAjYM0DztCXj5aW1r1sP_KQ4sTM3ljc")</f>
        <v>1lDURQPfx8lvChAjYM0DztCXj5aW1r1sP_KQ4sTM3ljc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IFERROR(__xludf.DUMMYFUNCTION("""COMPUTED_VALUE"""),"LinkDashboardTabs")</f>
        <v>LinkDashboardTabs</v>
      </c>
      <c r="C712" s="0" t="str">
        <f>IFERROR(__xludf.DUMMYFUNCTION("""COMPUTED_VALUE"""),"1_ZOUJw5mEb5-uMCe7uXUcU1uwSnKbENOdKRfc5frcRI")</f>
        <v>1_ZOUJw5mEb5-uMCe7uXUcU1uwSnKbENOdKRfc5frcRI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IFERROR(__xludf.DUMMYFUNCTION("""COMPUTED_VALUE"""),"SelectDashboardTabRow")</f>
        <v>SelectDashboardTabRow</v>
      </c>
      <c r="C713" s="0" t="str">
        <f>IFERROR(__xludf.DUMMYFUNCTION("""COMPUTED_VALUE"""),"10Vd3dhJiCjsba_tbRecSrC0PBN1F1QFBXBKfTY2hBy4")</f>
        <v>10Vd3dhJiCjsba_tbRecSrC0PBN1F1QFBXBKfTY2hBy4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IFERROR(__xludf.DUMMYFUNCTION("""COMPUTED_VALUE"""),"SelectRowAtFLAggregation")</f>
        <v>SelectRowAtFLAggregation</v>
      </c>
      <c r="C714" s="0" t="str">
        <f>IFERROR(__xludf.DUMMYFUNCTION("""COMPUTED_VALUE"""),"1cEp9PBaAuW5WBA5D6VvUB32hYlXbJCbbqSozcxuwCxs")</f>
        <v>1cEp9PBaAuW5WBA5D6VvUB32hYlXbJCbbqSozcxuwCxs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IFERROR(__xludf.DUMMYFUNCTION("""COMPUTED_VALUE"""),"SelectRowAtALAggregation")</f>
        <v>SelectRowAtALAggregation</v>
      </c>
      <c r="C715" s="0" t="str">
        <f>IFERROR(__xludf.DUMMYFUNCTION("""COMPUTED_VALUE"""),"1rSsC3GJdez3CoU5cuG9j4H7yxOCRUN1u8OaLrlQV3ms")</f>
        <v>1rSsC3GJdez3CoU5cuG9j4H7yxOCRUN1u8OaLrlQV3ms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IFERROR(__xludf.DUMMYFUNCTION("""COMPUTED_VALUE"""),"SelectRowAtSLAggregation")</f>
        <v>SelectRowAtSLAggregation</v>
      </c>
      <c r="C716" s="0" t="str">
        <f>IFERROR(__xludf.DUMMYFUNCTION("""COMPUTED_VALUE"""),"17LhetpqlUGKZ842KdCVcUSBi-Oo7pi9N29U1unAcSXI")</f>
        <v>17LhetpqlUGKZ842KdCVcUSBi-Oo7pi9N29U1unAcSXI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IFERROR(__xludf.DUMMYFUNCTION("""COMPUTED_VALUE"""),"SelectRowAtRTSFundMonitor")</f>
        <v>SelectRowAtRTSFundMonitor</v>
      </c>
      <c r="C717" s="0" t="str">
        <f>IFERROR(__xludf.DUMMYFUNCTION("""COMPUTED_VALUE"""),"1GfRMRoQy-JJWGhUYOAlTtktEu_COt80geQtMyahWn-g")</f>
        <v>1GfRMRoQy-JJWGhUYOAlTtktEu_COt80geQtMyahWn-g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IFERROR(__xludf.DUMMYFUNCTION("""COMPUTED_VALUE"""),"SelectRowAtRTSAccountMonitor")</f>
        <v>SelectRowAtRTSAccountMonitor</v>
      </c>
      <c r="C718" s="0" t="str">
        <f>IFERROR(__xludf.DUMMYFUNCTION("""COMPUTED_VALUE"""),"1ymWI4H-rYSuYcMBnVqoCFZgBq0wgkwh4HNQd4M6a3EE")</f>
        <v>1ymWI4H-rYSuYcMBnVqoCFZgBq0wgkwh4HNQd4M6a3EE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IFERROR(__xludf.DUMMYFUNCTION("""COMPUTED_VALUE"""),"FilterOnPMGrid")</f>
        <v>FilterOnPMGrid</v>
      </c>
      <c r="C719" s="0" t="str">
        <f>IFERROR(__xludf.DUMMYFUNCTION("""COMPUTED_VALUE"""),"1OnY_eV7vu0MtlRaBMhR1l7tKqVsiYrP5hnKFtBWEOJY")</f>
        <v>1OnY_eV7vu0MtlRaBMhR1l7tKqVsiYrP5hnKFtBWEOJY</v>
      </c>
    </row>
    <row r="720" ht="15.75" customHeight="1">
      <c r="A720" s="0" t="str">
        <f>IFERROR(__xludf.DUMMYFUNCTION("""COMPUTED_VALUE"""),"RTPNL")</f>
        <v>RTPNL</v>
      </c>
      <c r="B720" s="0" t="str">
        <f>IFERROR(__xludf.DUMMYFUNCTION("""COMPUTED_VALUE"""),"ExtractTabOutsidePMDashboard")</f>
        <v>ExtractTabOutsidePMDashboard</v>
      </c>
      <c r="C720" s="0" t="str">
        <f>IFERROR(__xludf.DUMMYFUNCTION("""COMPUTED_VALUE"""),"1gL_7b12xxIm2t8SbS3r1OEz_l436Ag72OxKiVxsSHao")</f>
        <v>1gL_7b12xxIm2t8SbS3r1OEz_l436Ag72OxKiVxsSHao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IFERROR(__xludf.DUMMYFUNCTION("""COMPUTED_VALUE"""),"SortOnPMGrid")</f>
        <v>SortOnPMGrid</v>
      </c>
      <c r="C721" s="0" t="str">
        <f>IFERROR(__xludf.DUMMYFUNCTION("""COMPUTED_VALUE"""),"1xALfYxc2kx4lwcklO9nFfUd4txdSJOjDILXPz5sdtNU")</f>
        <v>1xALfYxc2kx4lwcklO9nFfUd4txdSJOjDILXPz5sdtNU</v>
      </c>
    </row>
    <row r="722" ht="15.75" customHeight="1">
      <c r="A722" s="0" t="str">
        <f>IFERROR(__xludf.DUMMYFUNCTION("""COMPUTED_VALUE"""),"TradingTicket")</f>
        <v>TradingTicket</v>
      </c>
      <c r="B722" s="0" t="str">
        <f>IFERROR(__xludf.DUMMYFUNCTION("""COMPUTED_VALUE"""),"CreateOrEditSymbolTT")</f>
        <v>CreateOrEditSymbolTT</v>
      </c>
      <c r="C722" s="0" t="str">
        <f>IFERROR(__xludf.DUMMYFUNCTION("""COMPUTED_VALUE"""),"1idmpWrKnVe2S0NRHKC3RamOBjdC5_vnd76rycS2naOU")</f>
        <v>1idmpWrKnVe2S0NRHKC3RamOBjdC5_vnd76rycS2naOU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IFERROR(__xludf.DUMMYFUNCTION("""COMPUTED_VALUE"""),"SortRTSFM")</f>
        <v>SortRTSFM</v>
      </c>
      <c r="C723" s="0" t="str">
        <f>IFERROR(__xludf.DUMMYFUNCTION("""COMPUTED_VALUE"""),"1RPd2Hj7qN07O5usXRKyD6vnEBaAjN4s-c66S7_cTJL0")</f>
        <v>1RPd2Hj7qN07O5usXRKyD6vnEBaAjN4s-c66S7_cTJL0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IFERROR(__xludf.DUMMYFUNCTION("""COMPUTED_VALUE"""),"SortSLA")</f>
        <v>SortSLA</v>
      </c>
      <c r="C724" s="0" t="str">
        <f>IFERROR(__xludf.DUMMYFUNCTION("""COMPUTED_VALUE"""),"1uqQ9rYn7Web5f-3p1kL2oa_1jv5CTxiLTZgtyeOnG5k")</f>
        <v>1uqQ9rYn7Web5f-3p1kL2oa_1jv5CTxiLTZgtyeOnG5k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IFERROR(__xludf.DUMMYFUNCTION("""COMPUTED_VALUE"""),"SortALA")</f>
        <v>SortALA</v>
      </c>
      <c r="C725" s="0" t="str">
        <f>IFERROR(__xludf.DUMMYFUNCTION("""COMPUTED_VALUE"""),"1HFxukRhN8_NG06AxIvFbitVTjtpuHxAfEbMllW36roE")</f>
        <v>1HFxukRhN8_NG06AxIvFbitVTjtpuHxAfEbMllW36roE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IFERROR(__xludf.DUMMYFUNCTION("""COMPUTED_VALUE"""),"SortFLA")</f>
        <v>SortFLA</v>
      </c>
      <c r="C726" s="0" t="str">
        <f>IFERROR(__xludf.DUMMYFUNCTION("""COMPUTED_VALUE"""),"16fbn56mKuCbv6fF3O21I3-tlQPhsQWvtInKzVunyM7s")</f>
        <v>16fbn56mKuCbv6fF3O21I3-tlQPhsQWvtInKzVunyM7s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IFERROR(__xludf.DUMMYFUNCTION("""COMPUTED_VALUE"""),"FilterRTSFM")</f>
        <v>FilterRTSFM</v>
      </c>
      <c r="C727" s="0" t="str">
        <f>IFERROR(__xludf.DUMMYFUNCTION("""COMPUTED_VALUE"""),"1aR-wCrpB-M5qPHNLKmkkkDXUdLLquektow3lRehT7aA")</f>
        <v>1aR-wCrpB-M5qPHNLKmkkkDXUdLLquektow3lRehT7aA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IFERROR(__xludf.DUMMYFUNCTION("""COMPUTED_VALUE"""),"FilterSLA")</f>
        <v>FilterSLA</v>
      </c>
      <c r="C728" s="0" t="str">
        <f>IFERROR(__xludf.DUMMYFUNCTION("""COMPUTED_VALUE"""),"1VstTCReOBMZnMYs_uYfmc2u8trc1ET-vbWFFCBehT_I")</f>
        <v>1VstTCReOBMZnMYs_uYfmc2u8trc1ET-vbWFFCBehT_I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IFERROR(__xludf.DUMMYFUNCTION("""COMPUTED_VALUE"""),"FilterALA")</f>
        <v>FilterALA</v>
      </c>
      <c r="C729" s="0" t="str">
        <f>IFERROR(__xludf.DUMMYFUNCTION("""COMPUTED_VALUE"""),"1a9lso4ZEh6d-62hPnh0hEsACtRSusVGWjAO1Q5WPAEg")</f>
        <v>1a9lso4ZEh6d-62hPnh0hEsACtRSusVGWjAO1Q5WPAEg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IFERROR(__xludf.DUMMYFUNCTION("""COMPUTED_VALUE"""),"FilterFLA")</f>
        <v>FilterFLA</v>
      </c>
      <c r="C730" s="0" t="str">
        <f>IFERROR(__xludf.DUMMYFUNCTION("""COMPUTED_VALUE"""),"1iInEvGMej-U3deNeFM-LhHIJxa9DnH1LfYmUlixwoO0")</f>
        <v>1iInEvGMej-U3deNeFM-LhHIJxa9DnH1LfYmUlixwoO0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IFERROR(__xludf.DUMMYFUNCTION("""COMPUTED_VALUE"""),"FilterRTSAM")</f>
        <v>FilterRTSAM</v>
      </c>
      <c r="C731" s="0" t="str">
        <f>IFERROR(__xludf.DUMMYFUNCTION("""COMPUTED_VALUE"""),"19QrXgA8ZQp9FIUAggXNU6zXTsnkvA4_nCUqf6XrnTIM")</f>
        <v>19QrXgA8ZQp9FIUAggXNU6zXTsnkvA4_nCUqf6XrnTIM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IFERROR(__xludf.DUMMYFUNCTION("""COMPUTED_VALUE"""),"SortRTSAM")</f>
        <v>SortRTSAM</v>
      </c>
      <c r="C732" s="0" t="str">
        <f>IFERROR(__xludf.DUMMYFUNCTION("""COMPUTED_VALUE"""),"1JGXz9lScbj7NMo2gp1dnjyAosk2i-_vn-_beAX5olZY")</f>
        <v>1JGXz9lScbj7NMo2gp1dnjyAosk2i-_vn-_beAX5olZY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IFERROR(__xludf.DUMMYFUNCTION("""COMPUTED_VALUE"""),"IncreaseOrUnwindPositionRTPNL")</f>
        <v>IncreaseOrUnwindPositionRTPNL</v>
      </c>
      <c r="C733" s="0" t="str">
        <f>IFERROR(__xludf.DUMMYFUNCTION("""COMPUTED_VALUE"""),"1q1Wc-dRTuQg4BlHBt6hfkwKefeK_K_Mif-Ctd_wCOUc")</f>
        <v>1q1Wc-dRTuQg4BlHBt6hfkwKefeK_K_Mif-Ctd_wCOUc</v>
      </c>
    </row>
    <row r="734" ht="15.75" customHeight="1">
      <c r="A734" s="0" t="str">
        <f>IFERROR(__xludf.DUMMYFUNCTION("""COMPUTED_VALUE"""),"RTPNL")</f>
        <v>RTPNL</v>
      </c>
      <c r="B734" s="0" t="str">
        <f>IFERROR(__xludf.DUMMYFUNCTION("""COMPUTED_VALUE"""),"SavePage")</f>
        <v>SavePage</v>
      </c>
      <c r="C734" s="0" t="str">
        <f>IFERROR(__xludf.DUMMYFUNCTION("""COMPUTED_VALUE"""),"1_uQYVoc5DS6NYv0EYGKjax2jWsfgKobFEjxJkQjLL3w")</f>
        <v>1_uQYVoc5DS6NYv0EYGKjax2jWsfgKobFEjxJkQjLL3w</v>
      </c>
    </row>
    <row r="735" ht="15.75" customHeight="1">
      <c r="A735" s="0" t="str">
        <f>IFERROR(__xludf.DUMMYFUNCTION("""COMPUTED_VALUE"""),"RTPNL")</f>
        <v>RTPNL</v>
      </c>
      <c r="B735" s="0" t="str">
        <f>IFERROR(__xludf.DUMMYFUNCTION("""COMPUTED_VALUE"""),"CloseRTPNL")</f>
        <v>CloseRTPNL</v>
      </c>
      <c r="C735" s="0" t="str">
        <f>IFERROR(__xludf.DUMMYFUNCTION("""COMPUTED_VALUE"""),"1q0e1lbiWuCHi7U7mu_pkI_EHtO0vohpMfwjgm_XpoMk")</f>
        <v>1q0e1lbiWuCHi7U7mu_pkI_EHtO0vohpMfwjgm_XpoMk</v>
      </c>
    </row>
    <row r="736" ht="15.75" customHeight="1">
      <c r="A736" s="0" t="str">
        <f>IFERROR(__xludf.DUMMYFUNCTION("""COMPUTED_VALUE"""),"RTPNL")</f>
        <v>RTPNL</v>
      </c>
      <c r="B736" s="0" t="str">
        <f>IFERROR(__xludf.DUMMYFUNCTION("""COMPUTED_VALUE"""),"VerifyColumns")</f>
        <v>VerifyColumns</v>
      </c>
      <c r="C736" s="0" t="str">
        <f>IFERROR(__xludf.DUMMYFUNCTION("""COMPUTED_VALUE"""),"1hv4fjReFX37JfqBQku0u9vApiCQpf-X1f4UEDLw3y_s")</f>
        <v>1hv4fjReFX37JfqBQku0u9vApiCQpf-X1f4UEDLw3y_s</v>
      </c>
    </row>
    <row r="737" ht="15.75" customHeight="1">
      <c r="A737" s="0" t="str">
        <f>IFERROR(__xludf.DUMMYFUNCTION("""COMPUTED_VALUE"""),"Admin")</f>
        <v>Admin</v>
      </c>
      <c r="B737" s="0" t="str">
        <f>IFERROR(__xludf.DUMMYFUNCTION("""COMPUTED_VALUE"""),"RemoveMasterUser")</f>
        <v>RemoveMasterUser</v>
      </c>
      <c r="C737" s="0" t="str">
        <f>IFERROR(__xludf.DUMMYFUNCTION("""COMPUTED_VALUE"""),"Undefined")</f>
        <v>Undefined</v>
      </c>
    </row>
    <row r="738" ht="15.75" customHeight="1">
      <c r="A738" s="0" t="str">
        <f>IFERROR(__xludf.DUMMYFUNCTION("""COMPUTED_VALUE"""),"Blotter")</f>
        <v>Blotter</v>
      </c>
      <c r="B738" s="0" t="str">
        <f>IFERROR(__xludf.DUMMYFUNCTION("""COMPUTED_VALUE"""),"SaveLayoutBlotter")</f>
        <v>SaveLayoutBlotter</v>
      </c>
      <c r="C738" s="0" t="str">
        <f>IFERROR(__xludf.DUMMYFUNCTION("""COMPUTED_VALUE"""),"Undefined")</f>
        <v>Undefined</v>
      </c>
    </row>
    <row r="739" ht="15.75" customHeight="1">
      <c r="A739" s="0" t="str">
        <f>IFERROR(__xludf.DUMMYFUNCTION("""COMPUTED_VALUE"""),"NavLock")</f>
        <v>NavLock</v>
      </c>
      <c r="B739" s="0" t="str">
        <f>IFERROR(__xludf.DUMMYFUNCTION("""COMPUTED_VALUE"""),"DeleteExistingNavLock")</f>
        <v>DeleteExistingNavLock</v>
      </c>
      <c r="C739" s="0" t="str">
        <f>IFERROR(__xludf.DUMMYFUNCTION("""COMPUTED_VALUE"""),"1HqQPyzif5um_L8C14d1R1blK2opfeEitYxPutZTlmFw")</f>
        <v>1HqQPyzif5um_L8C14d1R1blK2opfeEitYxPutZTlmFw</v>
      </c>
    </row>
    <row r="740" ht="15.75" customHeight="1">
      <c r="A740" s="0" t="str">
        <f>IFERROR(__xludf.DUMMYFUNCTION("""COMPUTED_VALUE"""),"NavLock")</f>
        <v>NavLock</v>
      </c>
      <c r="B740" s="0" t="str">
        <f>IFERROR(__xludf.DUMMYFUNCTION("""COMPUTED_VALUE"""),"AddNavLock")</f>
        <v>AddNavLock</v>
      </c>
      <c r="C740" s="0" t="str">
        <f>IFERROR(__xludf.DUMMYFUNCTION("""COMPUTED_VALUE"""),"1GPjpONzArmJk58f1PhPdnRa4N-8ryMP6ZWGSYiH7Y3s")</f>
        <v>1GPjpONzArmJk58f1PhPdnRa4N-8ryMP6ZWGSYiH7Y3s</v>
      </c>
    </row>
    <row r="741" ht="15.75" customHeight="1">
      <c r="A741" s="0" t="str">
        <f>IFERROR(__xludf.DUMMYFUNCTION("""COMPUTED_VALUE"""),"Allocation")</f>
        <v>Allocation</v>
      </c>
      <c r="B741" s="0" t="str">
        <f>IFERROR(__xludf.DUMMYFUNCTION("""COMPUTED_VALUE"""),"VerifyAllocationNavLockPopup")</f>
        <v>VerifyAllocationNavLockPopup</v>
      </c>
      <c r="C741" s="0" t="str">
        <f>IFERROR(__xludf.DUMMYFUNCTION("""COMPUTED_VALUE"""),"1nlDKsMtQr89ys6-s3fNyeXJhd3KY9s6Hzaoil52avTI")</f>
        <v>1nlDKsMtQr89ys6-s3fNyeXJhd3KY9s6Hzaoil52avTI</v>
      </c>
    </row>
    <row r="742" ht="15.75" customHeight="1">
      <c r="A742" s="0" t="str">
        <f>IFERROR(__xludf.DUMMYFUNCTION("""COMPUTED_VALUE"""),"RTPNL")</f>
        <v>RTPNL</v>
      </c>
      <c r="B742" s="0" t="str">
        <f>IFERROR(__xludf.DUMMYFUNCTION("""COMPUTED_VALUE"""),"ConfigureWidget")</f>
        <v>ConfigureWidget</v>
      </c>
      <c r="C742" s="0" t="str">
        <f>IFERROR(__xludf.DUMMYFUNCTION("""COMPUTED_VALUE"""),"1W6yBhMOu0wchoi8WJBVKvPLgngkTy6xSOF5JPGpCiJM")</f>
        <v>1W6yBhMOu0wchoi8WJBVKvPLgngkTy6xSOF5JPGpCiJM</v>
      </c>
    </row>
    <row r="743" ht="15.75" customHeight="1">
      <c r="A743" s="0" t="str">
        <f>IFERROR(__xludf.DUMMYFUNCTION("""COMPUTED_VALUE"""),"CreateTransaction")</f>
        <v>CreateTransaction</v>
      </c>
      <c r="B743" s="0" t="str">
        <f>IFERROR(__xludf.DUMMYFUNCTION("""COMPUTED_VALUE"""),"VerifyCTNavLockPopup")</f>
        <v>VerifyCTNavLockPopup</v>
      </c>
      <c r="C743" s="0" t="str">
        <f>IFERROR(__xludf.DUMMYFUNCTION("""COMPUTED_VALUE"""),"144sdIKvp1IYBLo1BR5xnXjJV08MEYXOtOle_BzmZysU")</f>
        <v>144sdIKvp1IYBLo1BR5xnXjJV08MEYXOtOle_BzmZysU</v>
      </c>
    </row>
    <row r="744" ht="15.75" customHeight="1">
      <c r="A744" s="0" t="str">
        <f>IFERROR(__xludf.DUMMYFUNCTION("""COMPUTED_VALUE"""),"DailyValuation")</f>
        <v>DailyValuation</v>
      </c>
      <c r="B744" s="0" t="str">
        <f>IFERROR(__xludf.DUMMYFUNCTION("""COMPUTED_VALUE"""),"VerifyDVNavLockPopup")</f>
        <v>VerifyDVNavLockPopup</v>
      </c>
      <c r="C744" s="0" t="str">
        <f>IFERROR(__xludf.DUMMYFUNCTION("""COMPUTED_VALUE"""),"1rXDKRADphBVDpGsYUs6Jq5ugHFrpJ_qRur3VkVbGwV4")</f>
        <v>1rXDKRADphBVDpGsYUs6Jq5ugHFrpJ_qRur3VkVbGwV4</v>
      </c>
    </row>
    <row r="745" ht="15.75" customHeight="1">
      <c r="A745" s="0" t="str">
        <f>IFERROR(__xludf.DUMMYFUNCTION("""COMPUTED_VALUE"""),"GeneralLedger")</f>
        <v>GeneralLedger</v>
      </c>
      <c r="B745" s="0" t="str">
        <f>IFERROR(__xludf.DUMMYFUNCTION("""COMPUTED_VALUE"""),"VerifyGLNavLockPopup")</f>
        <v>VerifyGLNavLockPopup</v>
      </c>
      <c r="C745" s="0" t="str">
        <f>IFERROR(__xludf.DUMMYFUNCTION("""COMPUTED_VALUE"""),"13qCmJnkjFZw_O4n_dVKtJg-5eOkymkypG_MjQGuuNAo")</f>
        <v>13qCmJnkjFZw_O4n_dVKtJg-5eOkymkypG_MjQGuuNAo</v>
      </c>
    </row>
    <row r="746" ht="15.75" customHeight="1">
      <c r="A746" s="0" t="str">
        <f>IFERROR(__xludf.DUMMYFUNCTION("""COMPUTED_VALUE"""),"Import")</f>
        <v>Import</v>
      </c>
      <c r="B746" s="0" t="str">
        <f>IFERROR(__xludf.DUMMYFUNCTION("""COMPUTED_VALUE"""),"VerifyImportNavLockPopup")</f>
        <v>VerifyImportNavLockPopup</v>
      </c>
      <c r="C746" s="0" t="str">
        <f>IFERROR(__xludf.DUMMYFUNCTION("""COMPUTED_VALUE"""),"1pXdTBlTEvtcQUfX_APkVY3rRe3gVlj4Sk_Jyd6F4sNM")</f>
        <v>1pXdTBlTEvtcQUfX_APkVY3rRe3gVlj4Sk_Jyd6F4sNM</v>
      </c>
    </row>
    <row r="747" ht="15.75" customHeight="1">
      <c r="A747" s="0" t="str">
        <f>IFERROR(__xludf.DUMMYFUNCTION("""COMPUTED_VALUE"""),"MultiTradingTicket")</f>
        <v>MultiTradingTicket</v>
      </c>
      <c r="B747" s="0" t="str">
        <f>IFERROR(__xludf.DUMMYFUNCTION("""COMPUTED_VALUE"""),"VerifyMTTNavLockPopup")</f>
        <v>VerifyMTTNavLockPopup</v>
      </c>
      <c r="C747" s="0" t="str">
        <f>IFERROR(__xludf.DUMMYFUNCTION("""COMPUTED_VALUE"""),"1hzuWfGgMcTuN77JdNWDiNq95xYqAIxYrqdk47goXdlc")</f>
        <v>1hzuWfGgMcTuN77JdNWDiNq95xYqAIxYrqdk47goXdlc</v>
      </c>
    </row>
    <row r="748" ht="15.75" customHeight="1">
      <c r="A748" s="0" t="str">
        <f>IFERROR(__xludf.DUMMYFUNCTION("""COMPUTED_VALUE"""),"PricingInput")</f>
        <v>PricingInput</v>
      </c>
      <c r="B748" s="0" t="str">
        <f>IFERROR(__xludf.DUMMYFUNCTION("""COMPUTED_VALUE"""),"VerifyPINavLockPopup")</f>
        <v>VerifyPINavLockPopup</v>
      </c>
      <c r="C748" s="0" t="str">
        <f>IFERROR(__xludf.DUMMYFUNCTION("""COMPUTED_VALUE"""),"1MqKw1Z4nex0wIRjcW-Lhchpv8ZsSNuruz2cszeIP01M")</f>
        <v>1MqKw1Z4nex0wIRjcW-Lhchpv8ZsSNuruz2cszeIP01M</v>
      </c>
    </row>
    <row r="749" ht="15.75" customHeight="1">
      <c r="A749" s="0" t="str">
        <f>IFERROR(__xludf.DUMMYFUNCTION("""COMPUTED_VALUE"""),"ShortLocate")</f>
        <v>ShortLocate</v>
      </c>
      <c r="B749" s="0" t="str">
        <f>IFERROR(__xludf.DUMMYFUNCTION("""COMPUTED_VALUE"""),"VerifySLNavLockPopup")</f>
        <v>VerifySLNavLockPopup</v>
      </c>
      <c r="C749" s="0" t="str">
        <f>IFERROR(__xludf.DUMMYFUNCTION("""COMPUTED_VALUE"""),"1sBI9JpwaQW2KTgfDWaY7h3xdvzXzeqjaP8_Vml6QbTo")</f>
        <v>1sBI9JpwaQW2KTgfDWaY7h3xdvzXzeqjaP8_Vml6QbTo</v>
      </c>
    </row>
    <row r="750" ht="15.75" customHeight="1">
      <c r="A750" s="0" t="str">
        <f>IFERROR(__xludf.DUMMYFUNCTION("""COMPUTED_VALUE"""),"TradingTicket")</f>
        <v>TradingTicket</v>
      </c>
      <c r="B750" s="0" t="str">
        <f>IFERROR(__xludf.DUMMYFUNCTION("""COMPUTED_VALUE"""),"VerifyTTNavLockPopup")</f>
        <v>VerifyTTNavLockPopup</v>
      </c>
      <c r="C750" s="0" t="str">
        <f>IFERROR(__xludf.DUMMYFUNCTION("""COMPUTED_VALUE"""),"15lRx1SPPsy7nykR6nVYUadOnwKG80Q6OfxTDuQ_dvXI")</f>
        <v>15lRx1SPPsy7nykR6nVYUadOnwKG80Q6OfxTDuQ_dvXI</v>
      </c>
    </row>
    <row r="751" ht="15.75" customHeight="1">
      <c r="A751" s="0" t="str">
        <f>IFERROR(__xludf.DUMMYFUNCTION("""COMPUTED_VALUE"""),"Blotter")</f>
        <v>Blotter</v>
      </c>
      <c r="B751" s="0" t="str">
        <f>IFERROR(__xludf.DUMMYFUNCTION("""COMPUTED_VALUE"""),"VerifyBlotterNavLockPopup")</f>
        <v>VerifyBlotterNavLockPopup</v>
      </c>
      <c r="C751" s="0" t="str">
        <f>IFERROR(__xludf.DUMMYFUNCTION("""COMPUTED_VALUE"""),"1NXDngJ54gfiJxrqVxgbEYZ7hW3c4kquifXR6Lg7EK5Y")</f>
        <v>1NXDngJ54gfiJxrqVxgbEYZ7hW3c4kquifXR6Lg7EK5Y</v>
      </c>
    </row>
    <row r="752" ht="15.75" customHeight="1">
      <c r="A752" s="0" t="str">
        <f>IFERROR(__xludf.DUMMYFUNCTION("""COMPUTED_VALUE"""),"Closing")</f>
        <v>Closing</v>
      </c>
      <c r="B752" s="0" t="str">
        <f>IFERROR(__xludf.DUMMYFUNCTION("""COMPUTED_VALUE"""),"VerifyClosingNavLockPopup")</f>
        <v>VerifyClosingNavLockPopup</v>
      </c>
      <c r="C752" s="0" t="str">
        <f>IFERROR(__xludf.DUMMYFUNCTION("""COMPUTED_VALUE"""),"1AR0JbTGvV_W-vRVG60LJNAab-sFlfdBFwEtZpVYEMPo")</f>
        <v>1AR0JbTGvV_W-vRVG60LJNAab-sFlfdBFwEtZpVYEMPo</v>
      </c>
    </row>
    <row r="753" ht="15.75" customHeight="1">
      <c r="A753" s="0" t="str">
        <f>IFERROR(__xludf.DUMMYFUNCTION("""COMPUTED_VALUE"""),"RTPNL")</f>
        <v>RTPNL</v>
      </c>
      <c r="B753" s="0" t="str">
        <f>IFERROR(__xludf.DUMMYFUNCTION("""COMPUTED_VALUE"""),"ChangeWidgetView")</f>
        <v>ChangeWidgetView</v>
      </c>
      <c r="C753" s="0" t="str">
        <f>IFERROR(__xludf.DUMMYFUNCTION("""COMPUTED_VALUE"""),"1PKf_qqqp1j7_MkyduQmNqqaKdDFTgjuq1ApwaDumMj0")</f>
        <v>1PKf_qqqp1j7_MkyduQmNqqaKdDFTgjuq1ApwaDumMj0</v>
      </c>
    </row>
    <row r="754" ht="15.75" customHeight="1">
      <c r="A754" s="0" t="str">
        <f>IFERROR(__xludf.DUMMYFUNCTION("""COMPUTED_VALUE"""),"NavLock")</f>
        <v>NavLock</v>
      </c>
      <c r="B754" s="0" t="str">
        <f>IFERROR(__xludf.DUMMYFUNCTION("""COMPUTED_VALUE"""),"VerifyNavLockPopup")</f>
        <v>VerifyNavLockPopup</v>
      </c>
      <c r="C754" s="0" t="str">
        <f>IFERROR(__xludf.DUMMYFUNCTION("""COMPUTED_VALUE"""),"1BZhGha4iLlieCbbyTcPylU2maLzwgdHAfTO198z-aX8")</f>
        <v>1BZhGha4iLlieCbbyTcPylU2maLzwgdHAfTO198z-aX8</v>
      </c>
    </row>
    <row r="755" ht="15.75" customHeight="1">
      <c r="A755" s="0" t="str">
        <f>IFERROR(__xludf.DUMMYFUNCTION("""COMPUTED_VALUE"""),"NavLock")</f>
        <v>NavLock</v>
      </c>
      <c r="B755" s="0" t="str">
        <f>IFERROR(__xludf.DUMMYFUNCTION("""COMPUTED_VALUE"""),"VerifyRowsNavLock")</f>
        <v>VerifyRowsNavLock</v>
      </c>
      <c r="C755" s="0" t="str">
        <f>IFERROR(__xludf.DUMMYFUNCTION("""COMPUTED_VALUE"""),"12Dl3x2X_C-RCm3K5RkyuRq_t8lxeYk98IQBRrsF9WLU")</f>
        <v>12Dl3x2X_C-RCm3K5RkyuRq_t8lxeYk98IQBRrsF9WLU</v>
      </c>
    </row>
    <row r="756" ht="15.75" customHeight="1">
      <c r="A756" s="0" t="str">
        <f>IFERROR(__xludf.DUMMYFUNCTION("""COMPUTED_VALUE"""),"Blotter")</f>
        <v>Blotter</v>
      </c>
      <c r="B756" s="0" t="str">
        <f>IFERROR(__xludf.DUMMYFUNCTION("""COMPUTED_VALUE"""),"CustomTabActions")</f>
        <v>CustomTabActions</v>
      </c>
      <c r="C756" s="0" t="str">
        <f>IFERROR(__xludf.DUMMYFUNCTION("""COMPUTED_VALUE"""),"163hnSm9KTeABqdRxsfyyCsrxGVcrGd0nCGT4WqLsJ9Q")</f>
        <v>163hnSm9KTeABqdRxsfyyCsrxGVcrGd0nCGT4WqLsJ9Q</v>
      </c>
    </row>
    <row r="757" ht="15.75" customHeight="1">
      <c r="A757" s="0" t="str">
        <f>IFERROR(__xludf.DUMMYFUNCTION("""COMPUTED_VALUE"""),"Blotter")</f>
        <v>Blotter</v>
      </c>
      <c r="B757" s="0" t="str">
        <f>IFERROR(__xludf.DUMMYFUNCTION("""COMPUTED_VALUE"""),"VerifyAllocationWindow")</f>
        <v>VerifyAllocationWindow</v>
      </c>
      <c r="C757" s="0" t="str">
        <f>IFERROR(__xludf.DUMMYFUNCTION("""COMPUTED_VALUE"""),"1DUwxSUq_47EK60XmK3LOdCXa1fkWqWJE9bLuGS3ccv4")</f>
        <v>1DUwxSUq_47EK60XmK3LOdCXa1fkWqWJE9bLuGS3ccv4</v>
      </c>
    </row>
    <row r="758" ht="15.75" customHeight="1">
      <c r="A758" s="0" t="str">
        <f>IFERROR(__xludf.DUMMYFUNCTION("""COMPUTED_VALUE"""),"OpenFin")</f>
        <v>OpenFin</v>
      </c>
      <c r="B758" s="0" t="str">
        <f>IFERROR(__xludf.DUMMYFUNCTION("""COMPUTED_VALUE"""),"SavePageView")</f>
        <v>SavePageView</v>
      </c>
      <c r="C758" s="0" t="str">
        <f>IFERROR(__xludf.DUMMYFUNCTION("""COMPUTED_VALUE"""),"1wFFzsxWBm8VT5o4pz2dFosHS72pEaQuVZFVkiVeZE9w")</f>
        <v>1wFFzsxWBm8VT5o4pz2dFosHS72pEaQuVZFVkiVeZE9w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IFERROR(__xludf.DUMMYFUNCTION("""COMPUTED_VALUE"""),"ActionOnPageFromSearch")</f>
        <v>ActionOnPageFromSearch</v>
      </c>
      <c r="C759" s="0" t="str">
        <f>IFERROR(__xludf.DUMMYFUNCTION("""COMPUTED_VALUE"""),"1jCpG4ETPp9dfvh-Ymdex8Mb3Taz9sYrOR-1uBd5Ceyc")</f>
        <v>1jCpG4ETPp9dfvh-Ymdex8Mb3Taz9sYrOR-1uBd5Ceyc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IFERROR(__xludf.DUMMYFUNCTION("""COMPUTED_VALUE"""),"ChangeThemeOnModule")</f>
        <v>ChangeThemeOnModule</v>
      </c>
      <c r="C760" s="0" t="str">
        <f>IFERROR(__xludf.DUMMYFUNCTION("""COMPUTED_VALUE"""),"1KKiVG313VPgZZadw3-GZ4Cbt7wTwEPpmyGsp3MHFp9Q")</f>
        <v>1KKiVG313VPgZZadw3-GZ4Cbt7wTwEPpmyGsp3MHFp9Q</v>
      </c>
    </row>
    <row r="761" ht="15.75" customHeight="1">
      <c r="A761" s="0" t="str">
        <f>IFERROR(__xludf.DUMMYFUNCTION("""COMPUTED_VALUE"""),"PranaClient")</f>
        <v>PranaClient</v>
      </c>
      <c r="B761" s="0" t="str">
        <f>IFERROR(__xludf.DUMMYFUNCTION("""COMPUTED_VALUE"""),"MoveFile")</f>
        <v>MoveFile</v>
      </c>
      <c r="C761" s="0" t="str">
        <f>IFERROR(__xludf.DUMMYFUNCTION("""COMPUTED_VALUE"""),"1BBCKN3cBzJgvZqLoHeAi1YmxeNaesC7YrayWsYVuQeU")</f>
        <v>1BBCKN3cBzJgvZqLoHeAi1YmxeNaesC7YrayWsYVuQeU</v>
      </c>
    </row>
    <row r="762" ht="15.75" customHeight="1">
      <c r="A762" s="0" t="str">
        <f>IFERROR(__xludf.DUMMYFUNCTION("""COMPUTED_VALUE"""),"OpenFin")</f>
        <v>OpenFin</v>
      </c>
      <c r="B762" s="0" t="str">
        <f>IFERROR(__xludf.DUMMYFUNCTION("""COMPUTED_VALUE"""),"CloseService")</f>
        <v>CloseService</v>
      </c>
      <c r="C762" s="0" t="str">
        <f>IFERROR(__xludf.DUMMYFUNCTION("""COMPUTED_VALUE"""),"1YXPx62dgEZ9yV5qKkFLgWipyvziAW1SJVEqhiNHEONM")</f>
        <v>1YXPx62dgEZ9yV5qKkFLgWipyvziAW1SJVEqhiNHEONM</v>
      </c>
    </row>
    <row r="763" ht="15.75" customHeight="1">
      <c r="A763" s="0" t="str">
        <f>IFERROR(__xludf.DUMMYFUNCTION("""COMPUTED_VALUE"""),"OpenFin")</f>
        <v>OpenFin</v>
      </c>
      <c r="B763" s="0" t="str">
        <f>IFERROR(__xludf.DUMMYFUNCTION("""COMPUTED_VALUE"""),"LogOutSamsara")</f>
        <v>LogOutSamsara</v>
      </c>
      <c r="C763" s="0" t="str">
        <f>IFERROR(__xludf.DUMMYFUNCTION("""COMPUTED_VALUE"""),"1AHqtQRX4cdwOByK5Ip_T2FJlZFaU23rmiDk0afFhfaY")</f>
        <v>1AHqtQRX4cdwOByK5Ip_T2FJlZFaU23rmiDk0afFhfaY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IFERROR(__xludf.DUMMYFUNCTION("""COMPUTED_VALUE"""),"TradeQTT")</f>
        <v>TradeQTT</v>
      </c>
      <c r="C764" s="0" t="str">
        <f>IFERROR(__xludf.DUMMYFUNCTION("""COMPUTED_VALUE"""),"1-5lKqkX57JBaCsmy3TeMGKEVsjNdXnqCttYvBHsfJ14")</f>
        <v>1-5lKqkX57JBaCsmy3TeMGKEVsjNdXnqCttYvBHsfJ14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IFERROR(__xludf.DUMMYFUNCTION("""COMPUTED_VALUE"""),"VerifyCustomAllocationSecondUI")</f>
        <v>VerifyCustomAllocationSecondUI</v>
      </c>
      <c r="C765" s="0" t="str">
        <f>IFERROR(__xludf.DUMMYFUNCTION("""COMPUTED_VALUE"""),"1AL5eBNcstEo3uS52PLH2Duzff-16gDD2eEJx_augMtM")</f>
        <v>1AL5eBNcstEo3uS52PLH2Duzff-16gDD2eEJx_augMtM</v>
      </c>
    </row>
    <row r="766" ht="15.75" customHeight="1">
      <c r="A766" s="0" t="str">
        <f>IFERROR(__xludf.DUMMYFUNCTION("""COMPUTED_VALUE"""),"Blotter")</f>
        <v>Blotter</v>
      </c>
      <c r="B766" s="0" t="str">
        <f>IFERROR(__xludf.DUMMYFUNCTION("""COMPUTED_VALUE"""),"VerifyViewAllocationOrder")</f>
        <v>VerifyViewAllocationOrder</v>
      </c>
      <c r="C766" s="0" t="str">
        <f>IFERROR(__xludf.DUMMYFUNCTION("""COMPUTED_VALUE"""),"1I3aVj-PRyRug4M5EDTw8espL6CeDhXPCYr5qa2gbwZk")</f>
        <v>1I3aVj-PRyRug4M5EDTw8espL6CeDhXPCYr5qa2gbwZk</v>
      </c>
    </row>
    <row r="767" ht="15.75" customHeight="1">
      <c r="A767" s="0" t="str">
        <f>IFERROR(__xludf.DUMMYFUNCTION("""COMPUTED_VALUE"""),"QTT")</f>
        <v>QTT</v>
      </c>
      <c r="B767" s="0" t="str">
        <f>IFERROR(__xludf.DUMMYFUNCTION("""COMPUTED_VALUE"""),"UseOrVerifyHotKeys")</f>
        <v>UseOrVerifyHotKeys</v>
      </c>
      <c r="C767" s="0" t="str">
        <f>IFERROR(__xludf.DUMMYFUNCTION("""COMPUTED_VALUE"""),"1ajjcbjqpEui4y62RzfJ-6ARI0W8GAhrdUmWCOsG_ovE")</f>
        <v>1ajjcbjqpEui4y62RzfJ-6ARI0W8GAhrdUmWCOsG_ovE</v>
      </c>
    </row>
    <row r="768" ht="15.75" customHeight="1">
      <c r="A768" s="0" t="str">
        <f>IFERROR(__xludf.DUMMYFUNCTION("""COMPUTED_VALUE"""),"QTT")</f>
        <v>QTT</v>
      </c>
      <c r="B768" s="0" t="str">
        <f>IFERROR(__xludf.DUMMYFUNCTION("""COMPUTED_VALUE"""),"BookmarkOrVerifyHotKeyinHamberg")</f>
        <v>BookmarkOrVerifyHotKeyinHamberg</v>
      </c>
      <c r="C768" s="0" t="str">
        <f>IFERROR(__xludf.DUMMYFUNCTION("""COMPUTED_VALUE"""),"1fqeJETrWs5bkb8u-VXsfp35T-5kIzPjT669RuSWt6gg")</f>
        <v>1fqeJETrWs5bkb8u-VXsfp35T-5kIzPjT669RuSWt6gg</v>
      </c>
    </row>
    <row r="769" ht="15.75" customHeight="1">
      <c r="A769" s="0" t="str">
        <f>IFERROR(__xludf.DUMMYFUNCTION("""COMPUTED_VALUE"""),"TradingTicket")</f>
        <v>TradingTicket</v>
      </c>
      <c r="B769" s="0" t="str">
        <f>IFERROR(__xludf.DUMMYFUNCTION("""COMPUTED_VALUE"""),"ShortLocateFromTT")</f>
        <v>ShortLocateFromTT</v>
      </c>
      <c r="C769" s="0" t="str">
        <f>IFERROR(__xludf.DUMMYFUNCTION("""COMPUTED_VALUE"""),"1saPgjE09_MBiqASRTSQboRMwRdUlFv6nzTocBZeFm-I")</f>
        <v>1saPgjE09_MBiqASRTSQboRMwRdUlFv6nzTocBZeFm-I</v>
      </c>
    </row>
    <row r="770" ht="15.75" customHeight="1">
      <c r="A770" s="0" t="str">
        <f>IFERROR(__xludf.DUMMYFUNCTION("""COMPUTED_VALUE"""),"TradingTicket")</f>
        <v>TradingTicket</v>
      </c>
      <c r="B770" s="0" t="str">
        <f>IFERROR(__xludf.DUMMYFUNCTION("""COMPUTED_VALUE"""),"VerifyShortLocateWindowOnTT")</f>
        <v>VerifyShortLocateWindowOnTT</v>
      </c>
      <c r="C770" s="0" t="str">
        <f>IFERROR(__xludf.DUMMYFUNCTION("""COMPUTED_VALUE"""),"1ljyVPm21FKmOvEmG0-JvPMTBuyG89a_7EGFToCoHgI4")</f>
        <v>1ljyVPm21FKmOvEmG0-JvPMTBuyG89a_7EGFToCoHgI4</v>
      </c>
    </row>
    <row r="771" ht="15.75" customHeight="1">
      <c r="A771" s="0" t="str">
        <f>IFERROR(__xludf.DUMMYFUNCTION("""COMPUTED_VALUE"""),"TradingTicket")</f>
        <v>TradingTicket</v>
      </c>
      <c r="B771" s="0" t="str">
        <f>IFERROR(__xludf.DUMMYFUNCTION("""COMPUTED_VALUE"""),"AlgoUIOperations")</f>
        <v>AlgoUIOperations</v>
      </c>
      <c r="C771" s="0" t="str">
        <f>IFERROR(__xludf.DUMMYFUNCTION("""COMPUTED_VALUE"""),"1uln1YXeeB893lpbmhI194peJcUUj4ODFhdM1AYcTVJo")</f>
        <v>1uln1YXeeB893lpbmhI194peJcUUj4ODFhdM1AYcTVJo</v>
      </c>
    </row>
    <row r="772" ht="15.75" customHeight="1">
      <c r="A772" s="0" t="str">
        <f>IFERROR(__xludf.DUMMYFUNCTION("""COMPUTED_VALUE"""),"TradingTicket")</f>
        <v>TradingTicket</v>
      </c>
      <c r="B772" s="0" t="str">
        <f>IFERROR(__xludf.DUMMYFUNCTION("""COMPUTED_VALUE"""),"UpdateShortLocateFromTT")</f>
        <v>UpdateShortLocateFromTT</v>
      </c>
      <c r="C772" s="0" t="str">
        <f>IFERROR(__xludf.DUMMYFUNCTION("""COMPUTED_VALUE"""),"13hfddjE8Z-71LhiEXSLwqUDRw6EbnSTKZU2vgV_dwUA")</f>
        <v>13hfddjE8Z-71LhiEXSLwqUDRw6EbnSTKZU2vgV_dwUA</v>
      </c>
    </row>
    <row r="773" ht="15.75" customHeight="1">
      <c r="A773" s="0" t="str">
        <f>IFERROR(__xludf.DUMMYFUNCTION("""COMPUTED_VALUE"""),"RTPNL")</f>
        <v>RTPNL</v>
      </c>
      <c r="B773" s="0" t="str">
        <f>IFERROR(__xludf.DUMMYFUNCTION("""COMPUTED_VALUE"""),"RenameTabs")</f>
        <v>RenameTabs</v>
      </c>
      <c r="C773" s="0" t="str">
        <f>IFERROR(__xludf.DUMMYFUNCTION("""COMPUTED_VALUE"""),"1K7LcioEl1sTwLRhqHc9go_7jNmUIRZNy9zBQLMgtBw8")</f>
        <v>1K7LcioEl1sTwLRhqHc9go_7jNmUIRZNy9zBQLMgtBw8</v>
      </c>
    </row>
    <row r="774" ht="15.75" customHeight="1">
      <c r="A774" s="0" t="str">
        <f>IFERROR(__xludf.DUMMYFUNCTION("""COMPUTED_VALUE"""),"RTPNL")</f>
        <v>RTPNL</v>
      </c>
      <c r="B774" s="0" t="str">
        <f>IFERROR(__xludf.DUMMYFUNCTION("""COMPUTED_VALUE"""),"ResizeEnsure")</f>
        <v>ResizeEnsure</v>
      </c>
      <c r="C774" s="0" t="str">
        <f>IFERROR(__xludf.DUMMYFUNCTION("""COMPUTED_VALUE"""),"1-peVyQ_nIwd8owwmtDtNW-yx12KQx2nHeYee6duB46M")</f>
        <v>1-peVyQ_nIwd8owwmtDtNW-yx12KQx2nHeYee6duB46M</v>
      </c>
    </row>
    <row r="775" ht="15.75" customHeight="1">
      <c r="A775" s="0" t="str">
        <f>IFERROR(__xludf.DUMMYFUNCTION("""COMPUTED_VALUE"""),"Admin")</f>
        <v>Admin</v>
      </c>
      <c r="B775" s="0" t="str">
        <f>IFERROR(__xludf.DUMMYFUNCTION("""COMPUTED_VALUE"""),"ClearRTPNLtabs")</f>
        <v>ClearRTPNLtabs</v>
      </c>
      <c r="C775" s="0" t="str">
        <f>IFERROR(__xludf.DUMMYFUNCTION("""COMPUTED_VALUE"""),"Undefined")</f>
        <v>Undefined</v>
      </c>
    </row>
    <row r="776" ht="15.75" customHeight="1">
      <c r="A776" s="0" t="str">
        <f>IFERROR(__xludf.DUMMYFUNCTION("""COMPUTED_VALUE"""),"RTPNL")</f>
        <v>RTPNL</v>
      </c>
      <c r="B776" s="0" t="str">
        <f>IFERROR(__xludf.DUMMYFUNCTION("""COMPUTED_VALUE"""),"AddTabRTPNL")</f>
        <v>AddTabRTPNL</v>
      </c>
      <c r="C776" s="0" t="str">
        <f>IFERROR(__xludf.DUMMYFUNCTION("""COMPUTED_VALUE"""),"18kG7vS-CfSLW8Q-ho416lyPlP36XJPPHA0cRbCk3vjU")</f>
        <v>18kG7vS-CfSLW8Q-ho416lyPlP36XJPPHA0cRbCk3vjU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IFERROR(__xludf.DUMMYFUNCTION("""COMPUTED_VALUE"""),"ResizeEnsureBlotter")</f>
        <v>ResizeEnsureBlotter</v>
      </c>
      <c r="C777" s="0" t="str">
        <f>IFERROR(__xludf.DUMMYFUNCTION("""COMPUTED_VALUE"""),"1Vu6zEtojqPkTWiW-oX7BwwpFj9Oi3-B6-sRrEsjiW0Y")</f>
        <v>1Vu6zEtojqPkTWiW-oX7BwwpFj9Oi3-B6-sRrEsjiW0Y</v>
      </c>
    </row>
    <row r="778" ht="15.75" customHeight="1">
      <c r="A778" s="0" t="str">
        <f>IFERROR(__xludf.DUMMYFUNCTION("""COMPUTED_VALUE"""),"Admin")</f>
        <v>Admin</v>
      </c>
      <c r="B778" s="0" t="str">
        <f>IFERROR(__xludf.DUMMYFUNCTION("""COMPUTED_VALUE"""),"ConfigUpdater")</f>
        <v>ConfigUpdater</v>
      </c>
      <c r="C778" s="0" t="str">
        <f>IFERROR(__xludf.DUMMYFUNCTION("""COMPUTED_VALUE"""),"19IDTIIOkGl6qufGANtXkELRoXFIlWB3icM0G4IJ5mg4")</f>
        <v>19IDTIIOkGl6qufGANtXkELRoXFIlWB3icM0G4IJ5mg4</v>
      </c>
    </row>
    <row r="779" ht="15.75" customHeight="1">
      <c r="A779" s="0" t="str">
        <f>IFERROR(__xludf.DUMMYFUNCTION("""COMPUTED_VALUE"""),"PortfolioManagement")</f>
        <v>PortfolioManagement</v>
      </c>
      <c r="B779" s="0" t="str">
        <f>IFERROR(__xludf.DUMMYFUNCTION("""COMPUTED_VALUE"""),"SelectTradeOnPM")</f>
        <v>SelectTradeOnPM</v>
      </c>
      <c r="C779" s="0" t="str">
        <f>IFERROR(__xludf.DUMMYFUNCTION("""COMPUTED_VALUE"""),"1_tBJjps2mULQyHra_AnC6BBvPbOko3FAY-kc11l7eTg")</f>
        <v>1_tBJjps2mULQyHra_AnC6BBvPbOko3FAY-kc11l7eTg</v>
      </c>
    </row>
    <row r="780" ht="15.75" customHeight="1">
      <c r="A780" s="0" t="str">
        <f>IFERROR(__xludf.DUMMYFUNCTION("""COMPUTED_VALUE"""),"TradingTicket")</f>
        <v>TradingTicket</v>
      </c>
      <c r="B780" s="0" t="str">
        <f>IFERROR(__xludf.DUMMYFUNCTION("""COMPUTED_VALUE"""),"ResetTT")</f>
        <v>ResetTT</v>
      </c>
      <c r="C780" s="0" t="str">
        <f>IFERROR(__xludf.DUMMYFUNCTION("""COMPUTED_VALUE"""),"Undefined")</f>
        <v>Undefined</v>
      </c>
    </row>
    <row r="781" ht="15.75" customHeight="1">
      <c r="A781" s="0" t="str">
        <f>IFERROR(__xludf.DUMMYFUNCTION("""COMPUTED_VALUE"""),"Unknown")</f>
        <v>Unknown</v>
      </c>
      <c r="B781" s="0" t="str">
        <f>IFERROR(__xludf.DUMMYFUNCTION("""COMPUTED_VALUE"""),"RightClickOperations")</f>
        <v>RightClickOperations</v>
      </c>
      <c r="C781" s="0" t="str">
        <f>IFERROR(__xludf.DUMMYFUNCTION("""COMPUTED_VALUE"""),"17jhCujI-0V0U3n5lzlkc-azSuwCa7rf-4KwcSInm9ts")</f>
        <v>17jhCujI-0V0U3n5lzlkc-azSuwCa7rf-4KwcSInm9ts</v>
      </c>
    </row>
    <row r="782" ht="15.75" customHeight="1">
      <c r="A782" s="0" t="str">
        <f>IFERROR(__xludf.DUMMYFUNCTION("""COMPUTED_VALUE"""),"Unknown")</f>
        <v>Unknown</v>
      </c>
      <c r="B782" s="0" t="str">
        <f>IFERROR(__xludf.DUMMYFUNCTION("""COMPUTED_VALUE"""),"RightClickAndClickOperations")</f>
        <v>RightClickAndClickOperations</v>
      </c>
      <c r="C782" s="0" t="str">
        <f>IFERROR(__xludf.DUMMYFUNCTION("""COMPUTED_VALUE"""),"1e9jtl9r57SkbYm3S4wbHtvkeG2KExZEiFSIkkRSaq-8")</f>
        <v>1e9jtl9r57SkbYm3S4wbHtvkeG2KExZEiFSIkkRSaq-8</v>
      </c>
    </row>
    <row r="783" ht="15.75" customHeight="1">
      <c r="A783" s="0" t="str">
        <f>IFERROR(__xludf.DUMMYFUNCTION("""COMPUTED_VALUE"""),"Compliance")</f>
        <v>Compliance</v>
      </c>
      <c r="B783" s="0" t="str">
        <f>IFERROR(__xludf.DUMMYFUNCTION("""COMPUTED_VALUE"""),"EnableDisableRule")</f>
        <v>EnableDisableRule</v>
      </c>
      <c r="C783" s="0" t="str">
        <f>IFERROR(__xludf.DUMMYFUNCTION("""COMPUTED_VALUE"""),"1ldCRZpDrvOW-37YQP92bnj-oqRl2rwy9OIebmA5GKXE")</f>
        <v>1ldCRZpDrvOW-37YQP92bnj-oqRl2rwy9OIebmA5GKXE</v>
      </c>
    </row>
    <row r="784" ht="15.75" customHeight="1">
      <c r="A784" s="0" t="str">
        <f>IFERROR(__xludf.DUMMYFUNCTION("""COMPUTED_VALUE"""),"Blotter")</f>
        <v>Blotter</v>
      </c>
      <c r="B784" s="0" t="str">
        <f>IFERROR(__xludf.DUMMYFUNCTION("""COMPUTED_VALUE"""),"BlotterToolBarAction")</f>
        <v>BlotterToolBarAction</v>
      </c>
      <c r="C784" s="0" t="str">
        <f>IFERROR(__xludf.DUMMYFUNCTION("""COMPUTED_VALUE"""),"1bI1kIBxH6qy8zi5tx46rN3vNgbmxbdwtAo1inrXDALs")</f>
        <v>1bI1kIBxH6qy8zi5tx46rN3vNgbmxbdwtAo1inrXDALs</v>
      </c>
    </row>
    <row r="785" ht="15.75" customHeight="1">
      <c r="A785" s="0" t="str">
        <f>IFERROR(__xludf.DUMMYFUNCTION("""COMPUTED_VALUE"""),"RTPNL")</f>
        <v>RTPNL</v>
      </c>
      <c r="B785" s="0" t="str">
        <f>IFERROR(__xludf.DUMMYFUNCTION("""COMPUTED_VALUE"""),"MergeWindows")</f>
        <v>MergeWindows</v>
      </c>
      <c r="C785" s="0" t="str">
        <f>IFERROR(__xludf.DUMMYFUNCTION("""COMPUTED_VALUE"""),"1pZKbazcV0BrTnrwUJDzFvhO3FsCsMSK7fYRZIKRCECk")</f>
        <v>1pZKbazcV0BrTnrwUJDzFvhO3FsCsMSK7fYRZIKRCECk</v>
      </c>
    </row>
    <row r="786" ht="15.75" customHeight="1">
      <c r="A786" s="0" t="str">
        <f>IFERROR(__xludf.DUMMYFUNCTION("""COMPUTED_VALUE"""),"PortfolioManagement")</f>
        <v>PortfolioManagement</v>
      </c>
      <c r="B786" s="0" t="str">
        <f>IFERROR(__xludf.DUMMYFUNCTION("""COMPUTED_VALUE"""),"OperationsonPM")</f>
        <v>OperationsonPM</v>
      </c>
      <c r="C786" s="0" t="str">
        <f>IFERROR(__xludf.DUMMYFUNCTION("""COMPUTED_VALUE"""),"13hKVogBv66c752V1EGUyqXp4dGESQOZLmMqIB56fbAs")</f>
        <v>13hKVogBv66c752V1EGUyqXp4dGESQOZLmMqIB56fbAs</v>
      </c>
    </row>
    <row r="787" ht="15.75" customHeight="1">
      <c r="A787" s="0" t="str">
        <f>IFERROR(__xludf.DUMMYFUNCTION("""COMPUTED_VALUE"""),"TradingTicket")</f>
        <v>TradingTicket</v>
      </c>
      <c r="B787" s="0" t="str">
        <f>IFERROR(__xludf.DUMMYFUNCTION("""COMPUTED_VALUE"""),"ResizeEnsureTT")</f>
        <v>ResizeEnsureTT</v>
      </c>
      <c r="C787" s="0" t="str">
        <f>IFERROR(__xludf.DUMMYFUNCTION("""COMPUTED_VALUE"""),"1X1m60ND44-Chxr6N4sH6Fqbh_pqzIH8Cfy3c89u2_lQ")</f>
        <v>1X1m60ND44-Chxr6N4sH6Fqbh_pqzIH8Cfy3c89u2_lQ</v>
      </c>
    </row>
    <row r="788" ht="15.75" customHeight="1">
      <c r="A788" s="0" t="str">
        <f>IFERROR(__xludf.DUMMYFUNCTION("""COMPUTED_VALUE"""),"Admin")</f>
        <v>Admin</v>
      </c>
      <c r="B788" s="0" t="str">
        <f>IFERROR(__xludf.DUMMYFUNCTION("""COMPUTED_VALUE"""),"AccountPermission")</f>
        <v>AccountPermission</v>
      </c>
      <c r="C788" s="0" t="str">
        <f>IFERROR(__xludf.DUMMYFUNCTION("""COMPUTED_VALUE"""),"1UuUydT-ajZCwnqdhLBG28JhRRgR6skh7CgWMlr5JFEw")</f>
        <v>1UuUydT-ajZCwnqdhLBG28JhRRgR6skh7CgWMlr5JFEw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IFERROR(__xludf.DUMMYFUNCTION("""COMPUTED_VALUE"""),"CreateOrViewModelPortfolio")</f>
        <v>CreateOrViewModelPortfolio</v>
      </c>
      <c r="C789" s="0" t="str">
        <f>IFERROR(__xludf.DUMMYFUNCTION("""COMPUTED_VALUE"""),"1vejknW_QiO0r5pMzMjOGCCsgwLVes4a3Ubx1l-0Mg1k")</f>
        <v>1vejknW_QiO0r5pMzMjOGCCsgwLVes4a3Ubx1l-0Mg1k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IFERROR(__xludf.DUMMYFUNCTION("""COMPUTED_VALUE"""),"VerifyModelPortfolio")</f>
        <v>VerifyModelPortfolio</v>
      </c>
      <c r="C790" s="0" t="str">
        <f>IFERROR(__xludf.DUMMYFUNCTION("""COMPUTED_VALUE"""),"1Tza5cx7NJ2J8vr_f6DC-KPhnXCzf7l1m0EERc6z_T-U")</f>
        <v>1Tza5cx7NJ2J8vr_f6DC-KPhnXCzf7l1m0EERc6z_T-U</v>
      </c>
    </row>
    <row r="791" ht="15.75" customHeight="1">
      <c r="A791" s="0" t="str">
        <f>IFERROR(__xludf.DUMMYFUNCTION("""COMPUTED_VALUE"""),"Allocation")</f>
        <v>Allocation</v>
      </c>
      <c r="B791" s="0" t="str">
        <f>IFERROR(__xludf.DUMMYFUNCTION("""COMPUTED_VALUE"""),"ReviewExistingPositions")</f>
        <v>ReviewExistingPositions</v>
      </c>
      <c r="C791" s="0" t="str">
        <f>IFERROR(__xludf.DUMMYFUNCTION("""COMPUTED_VALUE"""),"1KwYoTdpeW6LDhzloVKHp5buZqc8IjXEShjwnUx45Ql8")</f>
        <v>1KwYoTdpeW6LDhzloVKHp5buZqc8IjXEShjwnUx45Ql8</v>
      </c>
    </row>
    <row r="792" ht="15.75" customHeight="1">
      <c r="A792" s="0" t="str">
        <f>IFERROR(__xludf.DUMMYFUNCTION("""COMPUTED_VALUE"""),"PTT")</f>
        <v>PTT</v>
      </c>
      <c r="B792" s="0" t="str">
        <f>IFERROR(__xludf.DUMMYFUNCTION("""COMPUTED_VALUE"""),"OperationsonPTT")</f>
        <v>OperationsonPTT</v>
      </c>
      <c r="C792" s="0" t="str">
        <f>IFERROR(__xludf.DUMMYFUNCTION("""COMPUTED_VALUE"""),"1J40rCXEDilLEF_x0Wkeeg1lwGfejucV1VSY9UcyeSlw")</f>
        <v>1J40rCXEDilLEF_x0Wkeeg1lwGfejucV1VSY9UcyeSlw</v>
      </c>
    </row>
    <row r="793" ht="15.75" customHeight="1">
      <c r="A793" s="0" t="str">
        <f>IFERROR(__xludf.DUMMYFUNCTION("""COMPUTED_VALUE"""),"Rebalancer")</f>
        <v>Rebalancer</v>
      </c>
      <c r="B793" s="0" t="str">
        <f>IFERROR(__xludf.DUMMYFUNCTION("""COMPUTED_VALUE"""),"ImportOnRB")</f>
        <v>ImportOnRB</v>
      </c>
      <c r="C793" s="0" t="str">
        <f>IFERROR(__xludf.DUMMYFUNCTION("""COMPUTED_VALUE"""),"1EntkiGIsU6aSZPpMKhixdhGFyyVCmlI1jMgvbCFq3oM")</f>
        <v>1EntkiGIsU6aSZPpMKhixdhGFyyVCmlI1jMgvbCFq3oM</v>
      </c>
    </row>
    <row r="794" ht="15.75" customHeight="1">
      <c r="A794" s="0" t="str">
        <f>IFERROR(__xludf.DUMMYFUNCTION("""COMPUTED_VALUE"""),"Rebalancer")</f>
        <v>Rebalancer</v>
      </c>
      <c r="B794" s="0" t="str">
        <f>IFERROR(__xludf.DUMMYFUNCTION("""COMPUTED_VALUE"""),"VerifyImportGridRBForInvalidSec")</f>
        <v>VerifyImportGridRBForInvalidSec</v>
      </c>
      <c r="C794" s="0" t="str">
        <f>IFERROR(__xludf.DUMMYFUNCTION("""COMPUTED_VALUE"""),"13tlfzcOYlxn2sOASC-JNdqZmR9A1Cesa2Ah5348pLN8")</f>
        <v>13tlfzcOYlxn2sOASC-JNdqZmR9A1Cesa2Ah5348pLN8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IFERROR(__xludf.DUMMYFUNCTION("""COMPUTED_VALUE"""),"VerifyImportGridRBForValidSec")</f>
        <v>VerifyImportGridRBForValidSec</v>
      </c>
      <c r="C795" s="0" t="str">
        <f>IFERROR(__xludf.DUMMYFUNCTION("""COMPUTED_VALUE"""),"1KiLapuRaYEZfokVV1TZf8gTWNe8d9PblbpJsN983CaI")</f>
        <v>1KiLapuRaYEZfokVV1TZf8gTWNe8d9PblbpJsN983CaI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IFERROR(__xludf.DUMMYFUNCTION("""COMPUTED_VALUE"""),"Import")</f>
        <v>Import</v>
      </c>
      <c r="B797" s="0" t="str">
        <f>IFERROR(__xludf.DUMMYFUNCTION("""COMPUTED_VALUE"""),"ActionOnImport")</f>
        <v>ActionOnImport</v>
      </c>
      <c r="C797" s="0" t="str">
        <f>IFERROR(__xludf.DUMMYFUNCTION("""COMPUTED_VALUE"""),"1YM2boQt7BrzysPpsUbIqt27cfA6-btDPEZntG5NhBUc")</f>
        <v>1YM2boQt7BrzysPpsUbIqt27cfA6-btDPEZntG5NhBUc</v>
      </c>
    </row>
    <row r="798" ht="15.75" customHeight="1">
      <c r="A798" s="0" t="str">
        <f>IFERROR(__xludf.DUMMYFUNCTION("""COMPUTED_VALUE"""),"Import")</f>
        <v>Import</v>
      </c>
      <c r="B798" s="0" t="str">
        <f>IFERROR(__xludf.DUMMYFUNCTION("""COMPUTED_VALUE"""),"ValidateImportPositions")</f>
        <v>ValidateImportPositions</v>
      </c>
      <c r="C798" s="0" t="str">
        <f>IFERROR(__xludf.DUMMYFUNCTION("""COMPUTED_VALUE"""),"1ApMxUfr4smtwBJX_cppynzY1M99QXnDpTRjevjraQtA")</f>
        <v>1ApMxUfr4smtwBJX_cppynzY1M99QXnDpTRjevjraQtA</v>
      </c>
    </row>
    <row r="799" ht="15.75" customHeight="1">
      <c r="A799" s="0" t="str">
        <f>IFERROR(__xludf.DUMMYFUNCTION("""COMPUTED_VALUE"""),"DailyValuation")</f>
        <v>DailyValuation</v>
      </c>
      <c r="B799" s="0" t="str">
        <f>IFERROR(__xludf.DUMMYFUNCTION("""COMPUTED_VALUE"""),"UpdateMPAndFC")</f>
        <v>UpdateMPAndFC</v>
      </c>
      <c r="C799" s="0" t="str">
        <f>IFERROR(__xludf.DUMMYFUNCTION("""COMPUTED_VALUE"""),"1UCNfZng94LprScqCmSKImRjCwiKlLQU_e1kY1tum91I")</f>
        <v>1UCNfZng94LprScqCmSKImRjCwiKlLQU_e1kY1tum91I</v>
      </c>
    </row>
    <row r="800" ht="15.75" customHeight="1">
      <c r="A800" s="0" t="str">
        <f>IFERROR(__xludf.DUMMYFUNCTION("""COMPUTED_VALUE"""),"Rebalancer")</f>
        <v>Rebalancer</v>
      </c>
      <c r="B800" s="0" t="str">
        <f>IFERROR(__xludf.DUMMYFUNCTION("""COMPUTED_VALUE"""),"ActionOnTradeBuySellListView")</f>
        <v>ActionOnTradeBuySellListView</v>
      </c>
      <c r="C800" s="0" t="str">
        <f>IFERROR(__xludf.DUMMYFUNCTION("""COMPUTED_VALUE"""),"1xeJEpkdxtbik3vPUTkxALkXsnL-Vl5dF07PBUoheM3k")</f>
        <v>1xeJEpkdxtbik3vPUTkxALkXsnL-Vl5dF07PBUoheM3k</v>
      </c>
    </row>
    <row r="801" ht="15.75" customHeight="1">
      <c r="A801" s="0" t="str">
        <f>IFERROR(__xludf.DUMMYFUNCTION("""COMPUTED_VALUE"""),"Watchlist")</f>
        <v>Watchlist</v>
      </c>
      <c r="B801" s="0" t="str">
        <f>IFERROR(__xludf.DUMMYFUNCTION("""COMPUTED_VALUE"""),"SelectTradeWatchlist")</f>
        <v>SelectTradeWatchlist</v>
      </c>
      <c r="C801" s="0" t="str">
        <f>IFERROR(__xludf.DUMMYFUNCTION("""COMPUTED_VALUE"""),"1Wa9Q7PE7i3bZr_mTOkYG22qcEixSMbydeuL2lnyNfB0")</f>
        <v>1Wa9Q7PE7i3bZr_mTOkYG22qcEixSMbydeuL2lnyNfB0</v>
      </c>
    </row>
    <row r="802" ht="15.75" customHeight="1">
      <c r="A802" s="0" t="str">
        <f>IFERROR(__xludf.DUMMYFUNCTION("""COMPUTED_VALUE"""),"Watchlist")</f>
        <v>Watchlist</v>
      </c>
      <c r="B802" s="0" t="str">
        <f>IFERROR(__xludf.DUMMYFUNCTION("""COMPUTED_VALUE"""),"ActionOnWatchlist")</f>
        <v>ActionOnWatchlist</v>
      </c>
      <c r="C802" s="0" t="str">
        <f>IFERROR(__xludf.DUMMYFUNCTION("""COMPUTED_VALUE"""),"1Ex0VPpmT3E0nbSBahi-24Pfuba4HTTVDqcm5UWIEUUw")</f>
        <v>1Ex0VPpmT3E0nbSBahi-24Pfuba4HTTVDqcm5UWIEUUw</v>
      </c>
    </row>
    <row r="803" ht="15.75" customHeight="1">
      <c r="A803" s="0" t="str">
        <f>IFERROR(__xludf.DUMMYFUNCTION("""COMPUTED_VALUE"""),"Allocation")</f>
        <v>Allocation</v>
      </c>
      <c r="B803" s="0" t="str">
        <f>IFERROR(__xludf.DUMMYFUNCTION("""COMPUTED_VALUE"""),"OperationsonAllocation")</f>
        <v>OperationsonAllocation</v>
      </c>
      <c r="C803" s="0" t="str">
        <f>IFERROR(__xludf.DUMMYFUNCTION("""COMPUTED_VALUE"""),"1Ef_CfqtvCC0SoupZq61OQuLBg_r-ocFfZ5dScRXCuD4")</f>
        <v>1Ef_CfqtvCC0SoupZq61OQuLBg_r-ocFfZ5dScRXCuD4</v>
      </c>
    </row>
    <row r="804" ht="15.75" customHeight="1">
      <c r="A804" s="0" t="str">
        <f>IFERROR(__xludf.DUMMYFUNCTION("""COMPUTED_VALUE"""),"Blotter")</f>
        <v>Blotter</v>
      </c>
      <c r="B804" s="0" t="str">
        <f>IFERROR(__xludf.DUMMYFUNCTION("""COMPUTED_VALUE"""),"AddTabToFav")</f>
        <v>AddTabToFav</v>
      </c>
      <c r="C804" s="0" t="str">
        <f>IFERROR(__xludf.DUMMYFUNCTION("""COMPUTED_VALUE"""),"1Hrblc1gk4JIYboQ1lGHgl7HatAXp5amAl9mS58vzT-0")</f>
        <v>1Hrblc1gk4JIYboQ1lGHgl7HatAXp5amAl9mS58vzT-0</v>
      </c>
    </row>
    <row r="805" ht="15.75" customHeight="1">
      <c r="A805" s="0" t="str">
        <f>IFERROR(__xludf.DUMMYFUNCTION("""COMPUTED_VALUE"""),"Unknown")</f>
        <v>Unknown</v>
      </c>
      <c r="B805" s="0" t="str">
        <f>IFERROR(__xludf.DUMMYFUNCTION("""COMPUTED_VALUE"""),"CheckModStatus")</f>
        <v>CheckModStatus</v>
      </c>
      <c r="C805" s="0" t="str">
        <f>IFERROR(__xludf.DUMMYFUNCTION("""COMPUTED_VALUE"""),"1S0obfxcw-fBa8_NHZx6E2ddpXBy262moOyglnQyX8XA")</f>
        <v>1S0obfxcw-fBa8_NHZx6E2ddpXBy262moOyglnQyX8XA</v>
      </c>
    </row>
    <row r="806" ht="15.75" customHeight="1">
      <c r="A806" s="0" t="str">
        <f>IFERROR(__xludf.DUMMYFUNCTION("""COMPUTED_VALUE"""),"TradingTicket")</f>
        <v>TradingTicket</v>
      </c>
      <c r="B806" s="0" t="str">
        <f>IFERROR(__xludf.DUMMYFUNCTION("""COMPUTED_VALUE"""),"VerifyExecutionType")</f>
        <v>VerifyExecutionType</v>
      </c>
      <c r="C806" s="0" t="str">
        <f>IFERROR(__xludf.DUMMYFUNCTION("""COMPUTED_VALUE"""),"1GeLKG0YL6nDFQYX8NohWSG0yonppxuSHWgOuwLzEWwI")</f>
        <v>1GeLKG0YL6nDFQYX8NohWSG0yonppxuSHWgOuwLzEWwI</v>
      </c>
    </row>
    <row r="807" ht="15.75" customHeight="1">
      <c r="A807" s="0" t="str">
        <f>IFERROR(__xludf.DUMMYFUNCTION("""COMPUTED_VALUE"""),"OpenFin")</f>
        <v>OpenFin</v>
      </c>
      <c r="B807" s="0" t="str">
        <f>IFERROR(__xludf.DUMMYFUNCTION("""COMPUTED_VALUE"""),"VerifyNotification")</f>
        <v>VerifyNotification</v>
      </c>
      <c r="C807" s="0" t="str">
        <f>IFERROR(__xludf.DUMMYFUNCTION("""COMPUTED_VALUE"""),"1rm7dGZ4-j6MPtyiMlJDHnZgIjnFk8Hv19VRPaPCgUMY")</f>
        <v>1rm7dGZ4-j6MPtyiMlJDHnZgIjnFk8Hv19VRPaPCgUMY</v>
      </c>
    </row>
    <row r="808" ht="15.75" customHeight="1">
      <c r="A808" s="0" t="str">
        <f>IFERROR(__xludf.DUMMYFUNCTION("""COMPUTED_VALUE"""),"TradingTicket")</f>
        <v>TradingTicket</v>
      </c>
      <c r="B808" s="0" t="str">
        <f>IFERROR(__xludf.DUMMYFUNCTION("""COMPUTED_VALUE"""),"VerifyPopupAlignment")</f>
        <v>VerifyPopupAlignment</v>
      </c>
      <c r="C808" s="0" t="str">
        <f>IFERROR(__xludf.DUMMYFUNCTION("""COMPUTED_VALUE"""),"1PAyxzLHPOj64pXbS5W7uBsuT035g_GlIT1xXUjFNRUk")</f>
        <v>1PAyxzLHPOj64pXbS5W7uBsuT035g_GlIT1xXUjFNRUk</v>
      </c>
    </row>
    <row r="809" ht="15.75" customHeight="1">
      <c r="A809" s="0" t="str">
        <f>IFERROR(__xludf.DUMMYFUNCTION("""COMPUTED_VALUE"""),"TradingTicket")</f>
        <v>TradingTicket</v>
      </c>
      <c r="B809" s="0" t="str">
        <f>IFERROR(__xludf.DUMMYFUNCTION("""COMPUTED_VALUE"""),"SelectET")</f>
        <v>SelectET</v>
      </c>
      <c r="C809" s="0" t="str">
        <f>IFERROR(__xludf.DUMMYFUNCTION("""COMPUTED_VALUE"""),"1Tpuk-xqnvfBtaWXtAffyW0Chu9RCysO1V7PE2wbI7Xk")</f>
        <v>1Tpuk-xqnvfBtaWXtAffyW0Chu9RCysO1V7PE2wbI7Xk</v>
      </c>
    </row>
    <row r="810" ht="15.75" customHeight="1">
      <c r="A810" s="0" t="str">
        <f>IFERROR(__xludf.DUMMYFUNCTION("""COMPUTED_VALUE"""),"RTPNL")</f>
        <v>RTPNL</v>
      </c>
      <c r="B810" s="0" t="str">
        <f>IFERROR(__xludf.DUMMYFUNCTION("""COMPUTED_VALUE"""),"Grouping")</f>
        <v>Grouping</v>
      </c>
      <c r="C810" s="0" t="str">
        <f>IFERROR(__xludf.DUMMYFUNCTION("""COMPUTED_VALUE"""),"1FNoxwXRCCjvm8HYhDo2XZGdWYdZNzY2Jh0ibkuVHNWo")</f>
        <v>1FNoxwXRCCjvm8HYhDo2XZGdWYdZNzY2Jh0ibkuVHNWo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IFERROR(__xludf.DUMMYFUNCTION("""COMPUTED_VALUE"""),"RollOverContextMenu")</f>
        <v>RollOverContextMenu</v>
      </c>
      <c r="C811" s="0" t="str">
        <f>IFERROR(__xludf.DUMMYFUNCTION("""COMPUTED_VALUE"""),"1d45ieJRLC6DQ7t19pclAZz5EI6hBsZ5_VdNJYb3VsNc")</f>
        <v>1d45ieJRLC6DQ7t19pclAZz5EI6hBsZ5_VdNJYb3VsNc</v>
      </c>
    </row>
    <row r="812" ht="15.75" customHeight="1">
      <c r="A812" s="0" t="str">
        <f>IFERROR(__xludf.DUMMYFUNCTION("""COMPUTED_VALUE"""),"PTT")</f>
        <v>PTT</v>
      </c>
      <c r="B812" s="0" t="str">
        <f>IFERROR(__xludf.DUMMYFUNCTION("""COMPUTED_VALUE"""),"RefreshCalculation")</f>
        <v>RefreshCalculation</v>
      </c>
    </row>
    <row r="813" ht="15.75" customHeight="1">
      <c r="A813" s="0" t="str">
        <f>IFERROR(__xludf.DUMMYFUNCTION("""COMPUTED_VALUE"""),"Blotter")</f>
        <v>Blotter</v>
      </c>
      <c r="B813" s="0" t="str">
        <f>IFERROR(__xludf.DUMMYFUNCTION("""COMPUTED_VALUE"""),"BookAsSwap")</f>
        <v>BookAsSwap</v>
      </c>
      <c r="C813" s="0" t="str">
        <f>IFERROR(__xludf.DUMMYFUNCTION("""COMPUTED_VALUE"""),"1tnkP5eD3WH53SXu2O-MWk6774J7b5ihwlD7r9dGtpiY")</f>
        <v>1tnkP5eD3WH53SXu2O-MWk6774J7b5ihwlD7r9dGtpiY</v>
      </c>
    </row>
    <row r="814" ht="15.75" customHeight="1">
      <c r="A814" s="0" t="str">
        <f>IFERROR(__xludf.DUMMYFUNCTION("""COMPUTED_VALUE"""),"QTT")</f>
        <v>QTT</v>
      </c>
      <c r="B814" s="0" t="str">
        <f>IFERROR(__xludf.DUMMYFUNCTION("""COMPUTED_VALUE"""),"VerifyQTT")</f>
        <v>VerifyQTT</v>
      </c>
      <c r="C814" s="0" t="str">
        <f>IFERROR(__xludf.DUMMYFUNCTION("""COMPUTED_VALUE"""),"1bs3VigXRg4VZR5W48lKm11EcEjEpmUCnBNDHffPRbIQ")</f>
        <v>1bs3VigXRg4VZR5W48lKm11EcEjEpmUCnBNDHffPRbIQ</v>
      </c>
    </row>
    <row r="815" ht="15.75" customHeight="1">
      <c r="A815" s="0" t="str">
        <f>IFERROR(__xludf.DUMMYFUNCTION("""COMPUTED_VALUE"""),"Blotter")</f>
        <v>Blotter</v>
      </c>
      <c r="B815" s="0" t="str">
        <f>IFERROR(__xludf.DUMMYFUNCTION("""COMPUTED_VALUE"""),"ActionOnFloatingWindow")</f>
        <v>ActionOnFloatingWindow</v>
      </c>
      <c r="C815" s="0" t="str">
        <f>IFERROR(__xludf.DUMMYFUNCTION("""COMPUTED_VALUE"""),"1tFNUPT3PXgCKRnnehGwo6OF7EhLu13UJ8Elfq83HArE")</f>
        <v>1tFNUPT3PXgCKRnnehGwo6OF7EhLu13UJ8Elfq83HArE</v>
      </c>
    </row>
    <row r="816" ht="15.75" customHeight="1">
      <c r="A816" s="0" t="str">
        <f>IFERROR(__xludf.DUMMYFUNCTION("""COMPUTED_VALUE"""),"OpenFin")</f>
        <v>OpenFin</v>
      </c>
      <c r="B816" s="0" t="str">
        <f>IFERROR(__xludf.DUMMYFUNCTION("""COMPUTED_VALUE"""),"LockUnlockModule")</f>
        <v>LockUnlockModule</v>
      </c>
      <c r="C816" s="0" t="str">
        <f>IFERROR(__xludf.DUMMYFUNCTION("""COMPUTED_VALUE"""),"179D0kPRO8f_KLxd7hs6seM9XGxpL-u1rhIhNgFVePsQ")</f>
        <v>179D0kPRO8f_KLxd7hs6seM9XGxpL-u1rhIhNgFVePsQ</v>
      </c>
    </row>
    <row r="817" ht="15.75" customHeight="1">
      <c r="A817" s="0" t="str">
        <f>IFERROR(__xludf.DUMMYFUNCTION("""COMPUTED_VALUE"""),"OpenFin")</f>
        <v>OpenFin</v>
      </c>
      <c r="B817" s="0" t="str">
        <f>IFERROR(__xludf.DUMMYFUNCTION("""COMPUTED_VALUE"""),"OpenModule")</f>
        <v>OpenModule</v>
      </c>
      <c r="C817" s="0" t="str">
        <f>IFERROR(__xludf.DUMMYFUNCTION("""COMPUTED_VALUE"""),"1IdmD7l42pWNjFNVt_7UwbOO7y5tDxaXr7tE60c9ETLw")</f>
        <v>1IdmD7l42pWNjFNVt_7UwbOO7y5tDxaXr7tE60c9ETLw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IFERROR(__xludf.DUMMYFUNCTION("""COMPUTED_VALUE"""),"EnableOrVerifyHotButton")</f>
        <v>EnableOrVerifyHotButton</v>
      </c>
      <c r="C818" s="0" t="str">
        <f>IFERROR(__xludf.DUMMYFUNCTION("""COMPUTED_VALUE"""),"1wa8x9d9kPOHEp49mT2DEW0cyjjOClvAgixk1H2w-Tos")</f>
        <v>1wa8x9d9kPOHEp49mT2DEW0cyjjOClvAgixk1H2w-Tos</v>
      </c>
    </row>
    <row r="819" ht="15.75" customHeight="1">
      <c r="A819" s="0" t="str">
        <f>IFERROR(__xludf.DUMMYFUNCTION("""COMPUTED_VALUE"""),"TradeServer")</f>
        <v>TradeServer</v>
      </c>
      <c r="B819" s="0" t="str">
        <f>IFERROR(__xludf.DUMMYFUNCTION("""COMPUTED_VALUE"""),"RestartServerOnly")</f>
        <v>RestartServerOnly</v>
      </c>
      <c r="C819" s="0" t="str">
        <f>IFERROR(__xludf.DUMMYFUNCTION("""COMPUTED_VALUE"""),"Undefined")</f>
        <v>Undefined</v>
      </c>
    </row>
    <row r="820" ht="15.75" customHeight="1">
      <c r="A820" s="0" t="str">
        <f>IFERROR(__xludf.DUMMYFUNCTION("""COMPUTED_VALUE"""),"Blotter")</f>
        <v>Blotter</v>
      </c>
      <c r="B820" s="0" t="str">
        <f>IFERROR(__xludf.DUMMYFUNCTION("""COMPUTED_VALUE"""),"VerifyFilterUiRC")</f>
        <v>VerifyFilterUiRC</v>
      </c>
      <c r="C820" s="0" t="str">
        <f>IFERROR(__xludf.DUMMYFUNCTION("""COMPUTED_VALUE"""),"1QQZEZqPXfPnxfNID2a3__xw8RnEAn77igg5Q32S3Sm0")</f>
        <v>1QQZEZqPXfPnxfNID2a3__xw8RnEAn77igg5Q32S3Sm0</v>
      </c>
    </row>
    <row r="821" ht="15.75" customHeight="1">
      <c r="A821" s="0" t="str">
        <f>IFERROR(__xludf.DUMMYFUNCTION("""COMPUTED_VALUE"""),"TradingTicket")</f>
        <v>TradingTicket</v>
      </c>
      <c r="B821" s="0" t="str">
        <f>IFERROR(__xludf.DUMMYFUNCTION("""COMPUTED_VALUE"""),"SymbolSuggestionVerify")</f>
        <v>SymbolSuggestionVerify</v>
      </c>
      <c r="C821" s="0" t="str">
        <f>IFERROR(__xludf.DUMMYFUNCTION("""COMPUTED_VALUE"""),"14aTeLjmUbS-nhaQwjtZAMGxdQ5DS6UsBjE5OTWN-LQU")</f>
        <v>14aTeLjmUbS-nhaQwjtZAMGxdQ5DS6UsBjE5OTWN-LQU</v>
      </c>
    </row>
    <row r="822" ht="15.75" customHeight="1">
      <c r="A822" s="0" t="str">
        <f>IFERROR(__xludf.DUMMYFUNCTION("""COMPUTED_VALUE"""),"Blotter")</f>
        <v>Blotter</v>
      </c>
      <c r="B822" s="0" t="str">
        <f>IFERROR(__xludf.DUMMYFUNCTION("""COMPUTED_VALUE"""),"CreateHotButtonOnBlotter")</f>
        <v>CreateHotButtonOnBlotter</v>
      </c>
      <c r="C822" s="0" t="str">
        <f>IFERROR(__xludf.DUMMYFUNCTION("""COMPUTED_VALUE"""),"1Yu7Fb6AjhUP8b-KuRJvgAwq8TykNK6BDh9F0Xpf12Ek")</f>
        <v>1Yu7Fb6AjhUP8b-KuRJvgAwq8TykNK6BDh9F0Xpf12Ek</v>
      </c>
    </row>
    <row r="823" ht="15.75" customHeight="1">
      <c r="A823" s="0" t="str">
        <f>IFERROR(__xludf.DUMMYFUNCTION("""COMPUTED_VALUE"""),"Blotter")</f>
        <v>Blotter</v>
      </c>
      <c r="B823" s="0" t="str">
        <f>IFERROR(__xludf.DUMMYFUNCTION("""COMPUTED_VALUE"""),"FillHBdetailsOnBlotter")</f>
        <v>FillHBdetailsOnBlotter</v>
      </c>
      <c r="C823" s="0" t="str">
        <f>IFERROR(__xludf.DUMMYFUNCTION("""COMPUTED_VALUE"""),"13Isj5c5k8kObxI-GBT6Ir9VBOz_46lzhwVxXXVP8jQU")</f>
        <v>13Isj5c5k8kObxI-GBT6Ir9VBOz_46lzhwVxXXVP8jQU</v>
      </c>
    </row>
    <row r="824" ht="15.75" customHeight="1">
      <c r="A824" s="0" t="str">
        <f>IFERROR(__xludf.DUMMYFUNCTION("""COMPUTED_VALUE"""),"TradingTicket")</f>
        <v>TradingTicket</v>
      </c>
      <c r="B824" s="0" t="str">
        <f>IFERROR(__xludf.DUMMYFUNCTION("""COMPUTED_VALUE"""),"EditAuecWindow")</f>
        <v>EditAuecWindow</v>
      </c>
      <c r="C824" s="0" t="str">
        <f>IFERROR(__xludf.DUMMYFUNCTION("""COMPUTED_VALUE"""),"1ottlNphVbp0AC-UFd-HlDpCLwOA2yWO1pN6eR3ML7vA")</f>
        <v>1ottlNphVbp0AC-UFd-HlDpCLwOA2yWO1pN6eR3ML7vA</v>
      </c>
    </row>
    <row r="825" ht="15.75" customHeight="1">
      <c r="A825" s="0" t="str">
        <f>IFERROR(__xludf.DUMMYFUNCTION("""COMPUTED_VALUE"""),"TradingTicket")</f>
        <v>TradingTicket</v>
      </c>
      <c r="B825" s="0" t="str">
        <f>IFERROR(__xludf.DUMMYFUNCTION("""COMPUTED_VALUE"""),"VerifyBrokerSummary")</f>
        <v>VerifyBrokerSummary</v>
      </c>
      <c r="C825" s="0" t="str">
        <f>IFERROR(__xludf.DUMMYFUNCTION("""COMPUTED_VALUE"""),"11hMxlfIQYwM8vPN2h--IGp7O02EDFbvJ4CSvjSfGsMY")</f>
        <v>11hMxlfIQYwM8vPN2h--IGp7O02EDFbvJ4CSvjSfGsMY</v>
      </c>
    </row>
    <row r="826" ht="15.75" customHeight="1">
      <c r="A826" s="0" t="str">
        <f>IFERROR(__xludf.DUMMYFUNCTION("""COMPUTED_VALUE"""),"QTT")</f>
        <v>QTT</v>
      </c>
      <c r="B826" s="0" t="str">
        <f>IFERROR(__xludf.DUMMYFUNCTION("""COMPUTED_VALUE"""),"EditAuecWindowQTT")</f>
        <v>EditAuecWindowQTT</v>
      </c>
      <c r="C826" s="0" t="str">
        <f>IFERROR(__xludf.DUMMYFUNCTION("""COMPUTED_VALUE"""),"1oI_WY3xKQgSjp5JN67BMHtm3zazX5ZiMATISa2ssGB0")</f>
        <v>1oI_WY3xKQgSjp5JN67BMHtm3zazX5ZiMATISa2ssGB0</v>
      </c>
    </row>
    <row r="827" ht="15.75" customHeight="1">
      <c r="A827" s="0" t="str">
        <f>IFERROR(__xludf.DUMMYFUNCTION("""COMPUTED_VALUE"""),"QTT")</f>
        <v>QTT</v>
      </c>
      <c r="B827" s="0" t="str">
        <f>IFERROR(__xludf.DUMMYFUNCTION("""COMPUTED_VALUE"""),"VerifyBrokerSummaryQTT")</f>
        <v>VerifyBrokerSummaryQTT</v>
      </c>
      <c r="C827" s="0" t="str">
        <f>IFERROR(__xludf.DUMMYFUNCTION("""COMPUTED_VALUE"""),"1O6-eqYsZqtvYR6DOH7UM2_Jwpq9pB9uyZvgh5vEhVAI")</f>
        <v>1O6-eqYsZqtvYR6DOH7UM2_Jwpq9pB9uyZvgh5vEhVAI</v>
      </c>
    </row>
    <row r="828" ht="15.75" customHeight="1">
      <c r="A828" s="0" t="str">
        <f>IFERROR(__xludf.DUMMYFUNCTION("""COMPUTED_VALUE"""),"QTT")</f>
        <v>QTT</v>
      </c>
      <c r="B828" s="0" t="str">
        <f>IFERROR(__xludf.DUMMYFUNCTION("""COMPUTED_VALUE"""),"SaveQTThotKey")</f>
        <v>SaveQTThotKey</v>
      </c>
      <c r="C828" s="0" t="str">
        <f>IFERROR(__xludf.DUMMYFUNCTION("""COMPUTED_VALUE"""),"Undefined")</f>
        <v>Undefined</v>
      </c>
    </row>
    <row r="829" ht="15.75" customHeight="1">
      <c r="A829" s="0" t="str">
        <f>IFERROR(__xludf.DUMMYFUNCTION("""COMPUTED_VALUE"""),"Blotter")</f>
        <v>Blotter</v>
      </c>
      <c r="B829" s="0" t="str">
        <f>IFERROR(__xludf.DUMMYFUNCTION("""COMPUTED_VALUE"""),"BlotterColumnChooser")</f>
        <v>BlotterColumnChooser</v>
      </c>
      <c r="C829" s="0" t="str">
        <f>IFERROR(__xludf.DUMMYFUNCTION("""COMPUTED_VALUE"""),"12428TbyucuJDD3KuN7QG-GyRYI3gcoyDNKTQ2UpgGMQ")</f>
        <v>12428TbyucuJDD3KuN7QG-GyRYI3gcoyDNKTQ2UpgGMQ</v>
      </c>
    </row>
    <row r="830" ht="15.75" customHeight="1">
      <c r="A830" s="0" t="str">
        <f>IFERROR(__xludf.DUMMYFUNCTION("""COMPUTED_VALUE"""),"RTPNL")</f>
        <v>RTPNL</v>
      </c>
      <c r="B830" s="0" t="str">
        <f>IFERROR(__xludf.DUMMYFUNCTION("""COMPUTED_VALUE"""),"CreateGroupingWidget")</f>
        <v>CreateGroupingWidget</v>
      </c>
      <c r="C830" s="0" t="str">
        <f>IFERROR(__xludf.DUMMYFUNCTION("""COMPUTED_VALUE"""),"1ctXhgvJgrqqe8ees0907Up0TKq9pCEhinMlZnRGqKdY")</f>
        <v>1ctXhgvJgrqqe8ees0907Up0TKq9pCEhinMlZnRGqKdY</v>
      </c>
    </row>
    <row r="831" ht="15.75" customHeight="1">
      <c r="A831" s="0" t="str">
        <f>IFERROR(__xludf.DUMMYFUNCTION("""COMPUTED_VALUE"""),"RTPNL")</f>
        <v>RTPNL</v>
      </c>
      <c r="B831" s="0" t="str">
        <f>IFERROR(__xludf.DUMMYFUNCTION("""COMPUTED_VALUE"""),"CheckGroupingWidget")</f>
        <v>CheckGroupingWidget</v>
      </c>
      <c r="C831" s="0" t="str">
        <f>IFERROR(__xludf.DUMMYFUNCTION("""COMPUTED_VALUE"""),"16mimyUFzQ0Ojogh0t4Evjy-tjzAJ67xgIrWeTNmBdw0")</f>
        <v>16mimyUFzQ0Ojogh0t4Evjy-tjzAJ67xgIrWeTNmBdw0</v>
      </c>
    </row>
    <row r="832" ht="15.75" customHeight="1">
      <c r="A832" s="0" t="str">
        <f>IFERROR(__xludf.DUMMYFUNCTION("""COMPUTED_VALUE"""),"TradingTicket")</f>
        <v>TradingTicket</v>
      </c>
      <c r="B832" s="0" t="str">
        <f>IFERROR(__xludf.DUMMYFUNCTION("""COMPUTED_VALUE"""),"QTTHamburg")</f>
        <v>QTTHamburg</v>
      </c>
      <c r="C832" s="0" t="str">
        <f>IFERROR(__xludf.DUMMYFUNCTION("""COMPUTED_VALUE"""),"1pdXDcLRWAl2b2L88lHCntj01OLBjVHaNAdGG8OHa4hA")</f>
        <v>1pdXDcLRWAl2b2L88lHCntj01OLBjVHaNAdGG8OHa4hA</v>
      </c>
    </row>
    <row r="833" ht="15.75" customHeight="1">
      <c r="A833" s="0" t="str">
        <f>IFERROR(__xludf.DUMMYFUNCTION("""COMPUTED_VALUE"""),"RTPNL")</f>
        <v>RTPNL</v>
      </c>
      <c r="B833" s="0" t="str">
        <f>IFERROR(__xludf.DUMMYFUNCTION("""COMPUTED_VALUE"""),"VerifyL1L2PanelRTPNL")</f>
        <v>VerifyL1L2PanelRTPNL</v>
      </c>
      <c r="C833" s="0" t="str">
        <f>IFERROR(__xludf.DUMMYFUNCTION("""COMPUTED_VALUE"""),"1cQo_rX9O9XHFILj0ICV1GAU_RdtTKYlclT20jg9G7hg")</f>
        <v>1cQo_rX9O9XHFILj0ICV1GAU_RdtTKYlclT20jg9G7hg</v>
      </c>
    </row>
    <row r="834" ht="15.75" customHeight="1">
      <c r="A834" s="0" t="str">
        <f>IFERROR(__xludf.DUMMYFUNCTION("""COMPUTED_VALUE"""),"Blotter")</f>
        <v>Blotter</v>
      </c>
      <c r="B834" s="0" t="str">
        <f>IFERROR(__xludf.DUMMYFUNCTION("""COMPUTED_VALUE"""),"CaptureHotButtonDetails")</f>
        <v>CaptureHotButtonDetails</v>
      </c>
      <c r="C834" s="0" t="str">
        <f>IFERROR(__xludf.DUMMYFUNCTION("""COMPUTED_VALUE"""),"16Dail-EoPWyIhwRzxyvr-EY1IE8jJTUQDarvGnXioxI")</f>
        <v>16Dail-EoPWyIhwRzxyvr-EY1IE8jJTUQDarvGnXioxI</v>
      </c>
    </row>
    <row r="835" ht="15.75" customHeight="1">
      <c r="A835" s="0" t="str">
        <f>IFERROR(__xludf.DUMMYFUNCTION("""COMPUTED_VALUE"""),"QTT")</f>
        <v>QTT</v>
      </c>
      <c r="B835" s="0" t="str">
        <f>IFERROR(__xludf.DUMMYFUNCTION("""COMPUTED_VALUE"""),"EditQuickPreference")</f>
        <v>EditQuickPreference</v>
      </c>
      <c r="C835" s="0" t="str">
        <f>IFERROR(__xludf.DUMMYFUNCTION("""COMPUTED_VALUE"""),"133vNW3loXmIKhcuaiCwGIGXOULCttZuJZtPfA4s37vw")</f>
        <v>133vNW3loXmIKhcuaiCwGIGXOULCttZuJZtPfA4s37vw</v>
      </c>
    </row>
    <row r="836" ht="15.75" customHeight="1">
      <c r="A836" s="0" t="str">
        <f>IFERROR(__xludf.DUMMYFUNCTION("""COMPUTED_VALUE"""),"Blotter")</f>
        <v>Blotter</v>
      </c>
      <c r="B836" s="0" t="str">
        <f>IFERROR(__xludf.DUMMYFUNCTION("""COMPUTED_VALUE"""),"RightClickActionVerification")</f>
        <v>RightClickActionVerification</v>
      </c>
      <c r="C836" s="0" t="str">
        <f>IFERROR(__xludf.DUMMYFUNCTION("""COMPUTED_VALUE"""),"11EX1Ln-BQAtx9NTd9zfcaia52FGNdZENDW2kwMCJ8HQ")</f>
        <v>11EX1Ln-BQAtx9NTd9zfcaia52FGNdZENDW2kwMCJ8HQ</v>
      </c>
    </row>
    <row r="837" ht="15.75" customHeight="1">
      <c r="A837" s="0" t="str">
        <f>IFERROR(__xludf.DUMMYFUNCTION("""COMPUTED_VALUE"""),"Admin")</f>
        <v>Admin</v>
      </c>
      <c r="B837" s="0" t="str">
        <f>IFERROR(__xludf.DUMMYFUNCTION("""COMPUTED_VALUE"""),"ChangeDate")</f>
        <v>ChangeDate</v>
      </c>
      <c r="C837" s="0" t="str">
        <f>IFERROR(__xludf.DUMMYFUNCTION("""COMPUTED_VALUE"""),"1P5fd0ftHTs8WR6XF70cltzN5BPur7V01OcYEMpPEMVE")</f>
        <v>1P5fd0ftHTs8WR6XF70cltzN5BPur7V01OcYEMpPEMVE</v>
      </c>
    </row>
    <row r="838" ht="15.75" customHeight="1">
      <c r="A838" s="0" t="str">
        <f>IFERROR(__xludf.DUMMYFUNCTION("""COMPUTED_VALUE"""),"Simulator")</f>
        <v>Simulator</v>
      </c>
      <c r="B838" s="0" t="str">
        <f>IFERROR(__xludf.DUMMYFUNCTION("""COMPUTED_VALUE"""),"NewAcknowledgeTrade")</f>
        <v>NewAcknowledgeTrade</v>
      </c>
      <c r="C838" s="0" t="str">
        <f>IFERROR(__xludf.DUMMYFUNCTION("""COMPUTED_VALUE"""),"1H8R-FdslnMhiBZjAanQN5V9z26E47VjoaeJWQdGZ2pU")</f>
        <v>1H8R-FdslnMhiBZjAanQN5V9z26E47VjoaeJWQdGZ2pU</v>
      </c>
    </row>
    <row r="839" ht="15.75" customHeight="1">
      <c r="A839" s="0" t="str">
        <f>IFERROR(__xludf.DUMMYFUNCTION("""COMPUTED_VALUE"""),"Expnl")</f>
        <v>Expnl</v>
      </c>
      <c r="B839" s="0" t="str">
        <f>IFERROR(__xludf.DUMMYFUNCTION("""COMPUTED_VALUE"""),"RefreshExpnlUi")</f>
        <v>RefreshExpnlUi</v>
      </c>
      <c r="C839" s="0" t="str">
        <f>IFERROR(__xludf.DUMMYFUNCTION("""COMPUTED_VALUE"""),"Undefined")</f>
        <v>Undefined</v>
      </c>
    </row>
    <row r="840" ht="15.75" customHeight="1">
      <c r="A840" s="0" t="str">
        <f>IFERROR(__xludf.DUMMYFUNCTION("""COMPUTED_VALUE"""),"Login")</f>
        <v>Login</v>
      </c>
      <c r="B840" s="0" t="str">
        <f>IFERROR(__xludf.DUMMYFUNCTION("""COMPUTED_VALUE"""),"Login")</f>
        <v>Login</v>
      </c>
      <c r="C840" s="0" t="str">
        <f>IFERROR(__xludf.DUMMYFUNCTION("""COMPUTED_VALUE"""),"1h2sRUHjYrqBoat9XZmeAKHMMSq2oOw6WueOx5S6xZsQ")</f>
        <v>1h2sRUHjYrqBoat9XZmeAKHMMSq2oOw6WueOx5S6xZsQ</v>
      </c>
    </row>
    <row r="841" ht="15.75" customHeight="1">
      <c r="A841" s="0" t="str">
        <f>IFERROR(__xludf.DUMMYFUNCTION("""COMPUTED_VALUE"""),"PranaClient")</f>
        <v>PranaClient</v>
      </c>
      <c r="B841" s="0" t="str">
        <f>IFERROR(__xludf.DUMMYFUNCTION("""COMPUTED_VALUE"""),"LoginClient")</f>
        <v>LoginClient</v>
      </c>
      <c r="C841" s="0" t="str">
        <f>IFERROR(__xludf.DUMMYFUNCTION("""COMPUTED_VALUE"""),"1zfvz-aZrAcrVcCZFJj3FAv1GqBrnIiDpgU-TteWVAOw")</f>
        <v>1zfvz-aZrAcrVcCZFJj3FAv1GqBrnIiDpgU-TteWVAOw</v>
      </c>
    </row>
    <row r="842" ht="15.75" customHeight="1">
      <c r="A842" s="0" t="str">
        <f>IFERROR(__xludf.DUMMYFUNCTION("""COMPUTED_VALUE"""),"PranaClient")</f>
        <v>PranaClient</v>
      </c>
      <c r="B842" s="0" t="str">
        <f>IFERROR(__xludf.DUMMYFUNCTION("""COMPUTED_VALUE"""),"Action")</f>
        <v>Action</v>
      </c>
      <c r="C842" s="0" t="str">
        <f>IFERROR(__xludf.DUMMYFUNCTION("""COMPUTED_VALUE"""),"16YwhwfE3ekYXCEMATeZ129RipXXg6a0WjcUVWOBSLF4")</f>
        <v>16YwhwfE3ekYXCEMATeZ129RipXXg6a0WjcUVWOBSLF4</v>
      </c>
    </row>
    <row r="843" ht="15.75" customHeight="1">
      <c r="A843" s="0" t="str">
        <f>IFERROR(__xludf.DUMMYFUNCTION("""COMPUTED_VALUE"""),"Blotter")</f>
        <v>Blotter</v>
      </c>
      <c r="B843" s="0" t="str">
        <f>IFERROR(__xludf.DUMMYFUNCTION("""COMPUTED_VALUE"""),"ManageHotButton")</f>
        <v>ManageHotButton</v>
      </c>
      <c r="C843" s="0" t="str">
        <f>IFERROR(__xludf.DUMMYFUNCTION("""COMPUTED_VALUE"""),"1kQpkPRi_1u4R3VazjhiilbOI8OkiiHRY2wfgByau1YY")</f>
        <v>1kQpkPRi_1u4R3VazjhiilbOI8OkiiHRY2wfgByau1YY</v>
      </c>
    </row>
    <row r="844" ht="15.75" customHeight="1">
      <c r="A844" s="0" t="str">
        <f>IFERROR(__xludf.DUMMYFUNCTION("""COMPUTED_VALUE"""),"RTPNL")</f>
        <v>RTPNL</v>
      </c>
      <c r="B844" s="0" t="str">
        <f>IFERROR(__xludf.DUMMYFUNCTION("""COMPUTED_VALUE"""),"UpdateLiveExcelSheetForRTPNL")</f>
        <v>UpdateLiveExcelSheetForRTPNL</v>
      </c>
      <c r="C844" s="0" t="str">
        <f>IFERROR(__xludf.DUMMYFUNCTION("""COMPUTED_VALUE"""),"1OudrUjxjY2n0zzZ-I7rurAZeLoeWMTEA6EOQyCYB7zs")</f>
        <v>1OudrUjxjY2n0zzZ-I7rurAZeLoeWMTEA6EOQyCYB7zs</v>
      </c>
    </row>
    <row r="845" ht="15.75" customHeight="1">
      <c r="A845" s="0" t="str">
        <f>IFERROR(__xludf.DUMMYFUNCTION("""COMPUTED_VALUE"""),"OpenFin")</f>
        <v>OpenFin</v>
      </c>
      <c r="B845" s="0" t="str">
        <f>IFERROR(__xludf.DUMMYFUNCTION("""COMPUTED_VALUE"""),"SavePageRTPNL")</f>
        <v>SavePageRTPNL</v>
      </c>
      <c r="C845" s="0" t="str">
        <f>IFERROR(__xludf.DUMMYFUNCTION("""COMPUTED_VALUE"""),"1YqhSG4yXo70SfhUq3fYD9CKf-eg44IFJ37IZh4WLI84")</f>
        <v>1YqhSG4yXo70SfhUq3fYD9CKf-eg44IFJ37IZh4WLI84</v>
      </c>
    </row>
    <row r="846" ht="15.75" customHeight="1">
      <c r="A846" s="0" t="str">
        <f>IFERROR(__xludf.DUMMYFUNCTION("""COMPUTED_VALUE"""),"RTPNL")</f>
        <v>RTPNL</v>
      </c>
      <c r="B846" s="0" t="str">
        <f>IFERROR(__xludf.DUMMYFUNCTION("""COMPUTED_VALUE"""),"VerifyGridThroughLiveExcel")</f>
        <v>VerifyGridThroughLiveExcel</v>
      </c>
      <c r="C846" s="0" t="str">
        <f>IFERROR(__xludf.DUMMYFUNCTION("""COMPUTED_VALUE"""),"1cCUw9lchUCKgHeNcwCDXybCOZXIeN4O0zRhkTZCVDUg")</f>
        <v>1cCUw9lchUCKgHeNcwCDXybCOZXIeN4O0zRhkTZCVDUg</v>
      </c>
    </row>
    <row r="847" ht="15.75" customHeight="1">
      <c r="A847" s="0" t="str">
        <f>IFERROR(__xludf.DUMMYFUNCTION("""COMPUTED_VALUE"""),"OpenFin")</f>
        <v>OpenFin</v>
      </c>
      <c r="B847" s="0" t="str">
        <f>IFERROR(__xludf.DUMMYFUNCTION("""COMPUTED_VALUE"""),"VerifyToastMessage")</f>
        <v>VerifyToastMessage</v>
      </c>
      <c r="C847" s="0" t="str">
        <f>IFERROR(__xludf.DUMMYFUNCTION("""COMPUTED_VALUE"""),"1DYn70fZ-UJ9bocMMWUWIW2IVfXlF5TRVuLedi7Y_LNk")</f>
        <v>1DYn70fZ-UJ9bocMMWUWIW2IVfXlF5TRVuLedi7Y_LNk</v>
      </c>
    </row>
    <row r="848" ht="15.75" customHeight="1">
      <c r="A848" s="0" t="str">
        <f>IFERROR(__xludf.DUMMYFUNCTION("""COMPUTED_VALUE"""),"RTPNL")</f>
        <v>RTPNL</v>
      </c>
      <c r="B848" s="0" t="str">
        <f>IFERROR(__xludf.DUMMYFUNCTION("""COMPUTED_VALUE"""),"ApplyColumnFilter")</f>
        <v>ApplyColumnFilter</v>
      </c>
      <c r="C848" s="0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TODAY()-1</f>
        <v>45854</v>
      </c>
      <c r="C6" s="32">
        <f>TODAY()</f>
        <v>45855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A0D5B82-1159-4588-BEF1-C6FD4464187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1DBE647-5E4E-4A61-9F03-104B574CF94D}">
          <x14:formula1>
            <xm:f>GetDailyCash!$4:$4</xm:f>
          </x14:formula1>
          <xm:sqref>E3</xm:sqref>
        </x14:dataValidation>
        <x14:dataValidation type="list" allowBlank="1" showInputMessage="1" showErrorMessage="1" prompt="Choose an available module" xr:uid="{67AEC190-A5AF-4931-B0E2-E9AB6B40B49B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10000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18</v>
      </c>
      <c r="D7" s="13">
        <v>15000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 t="s">
        <v>18</v>
      </c>
      <c r="D8" s="13">
        <v>8000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21</v>
      </c>
      <c r="C9" s="13" t="s">
        <v>18</v>
      </c>
      <c r="D9" s="13">
        <v>12000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22</v>
      </c>
      <c r="C10" s="13" t="s">
        <v>18</v>
      </c>
      <c r="D10" s="13">
        <v>10000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23</v>
      </c>
      <c r="C11" s="13" t="s">
        <v>18</v>
      </c>
      <c r="D11" s="13">
        <v>15000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24</v>
      </c>
      <c r="C12" s="13" t="s">
        <v>18</v>
      </c>
      <c r="D12" s="13">
        <v>8000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25</v>
      </c>
      <c r="C13" s="13" t="s">
        <v>18</v>
      </c>
      <c r="D13" s="13">
        <v>12000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05A4986-B5E2-4A9A-BE51-326AAC999EA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9F476AB-8204-4C3E-8C2E-30DF544B4121}">
          <x14:formula1>
            <xm:f>UpdateMultipleDailyCash!$4:$4</xm:f>
          </x14:formula1>
          <xm:sqref>E3</xm:sqref>
        </x14:dataValidation>
        <x14:dataValidation type="list" allowBlank="1" showInputMessage="1" showErrorMessage="1" prompt="Choose an available module" xr:uid="{83F8191E-2BD1-4BBF-91EA-C3ED8B43140B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Y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B5" s="0" t="s">
        <v>28</v>
      </c>
      <c r="C5" s="0" t="s">
        <v>29</v>
      </c>
      <c r="D5" s="0" t="s">
        <v>30</v>
      </c>
      <c r="E5" s="0" t="s">
        <v>31</v>
      </c>
      <c r="F5" s="0" t="s">
        <v>32</v>
      </c>
      <c r="G5" s="0" t="s">
        <v>33</v>
      </c>
      <c r="H5" s="0" t="s">
        <v>34</v>
      </c>
      <c r="I5" s="0" t="s">
        <v>35</v>
      </c>
      <c r="J5" s="0" t="s">
        <v>36</v>
      </c>
      <c r="K5" s="0" t="s">
        <v>37</v>
      </c>
      <c r="L5" s="0" t="s">
        <v>38</v>
      </c>
      <c r="M5" s="0" t="s">
        <v>39</v>
      </c>
      <c r="N5" s="0" t="s">
        <v>40</v>
      </c>
      <c r="O5" s="0" t="s">
        <v>41</v>
      </c>
      <c r="P5" s="0" t="s">
        <v>42</v>
      </c>
      <c r="Q5" s="0" t="s">
        <v>43</v>
      </c>
      <c r="R5" s="0" t="s">
        <v>44</v>
      </c>
      <c r="S5" s="0" t="s">
        <v>45</v>
      </c>
      <c r="T5" s="0" t="s">
        <v>46</v>
      </c>
      <c r="U5" s="0" t="s">
        <v>47</v>
      </c>
      <c r="V5" s="0" t="s">
        <v>48</v>
      </c>
      <c r="W5" s="0" t="s">
        <v>49</v>
      </c>
      <c r="X5" s="0" t="s">
        <v>50</v>
      </c>
      <c r="Y5" s="0" t="s">
        <v>51</v>
      </c>
      <c r="Z5" s="0" t="s">
        <v>52</v>
      </c>
      <c r="AA5" s="0" t="s">
        <v>53</v>
      </c>
      <c r="AB5" s="0" t="s">
        <v>54</v>
      </c>
      <c r="AC5" s="0" t="s">
        <v>55</v>
      </c>
      <c r="AD5" s="0" t="s">
        <v>56</v>
      </c>
      <c r="AE5" s="0" t="s">
        <v>57</v>
      </c>
      <c r="AF5" s="0" t="s">
        <v>58</v>
      </c>
      <c r="AG5" s="0" t="s">
        <v>59</v>
      </c>
      <c r="AH5" s="0" t="s">
        <v>60</v>
      </c>
      <c r="AI5" s="0" t="s">
        <v>61</v>
      </c>
      <c r="AJ5" s="0" t="s">
        <v>62</v>
      </c>
      <c r="AK5" s="0" t="s">
        <v>63</v>
      </c>
      <c r="AL5" s="0" t="s">
        <v>64</v>
      </c>
      <c r="AM5" s="0" t="s">
        <v>65</v>
      </c>
      <c r="AN5" s="0" t="s">
        <v>66</v>
      </c>
      <c r="AO5" s="0" t="s">
        <v>67</v>
      </c>
      <c r="AP5" s="0" t="s">
        <v>68</v>
      </c>
      <c r="AQ5" s="0" t="s">
        <v>69</v>
      </c>
      <c r="AR5" s="0" t="s">
        <v>70</v>
      </c>
      <c r="AS5" s="0" t="s">
        <v>71</v>
      </c>
      <c r="AT5" s="0" t="s">
        <v>72</v>
      </c>
      <c r="AU5" s="0" t="s">
        <v>73</v>
      </c>
      <c r="AV5" s="0" t="s">
        <v>74</v>
      </c>
      <c r="AW5" s="0" t="s">
        <v>75</v>
      </c>
      <c r="AX5" s="0" t="s">
        <v>76</v>
      </c>
      <c r="AY5" s="0" t="s">
        <v>77</v>
      </c>
      <c r="AZ5" s="0" t="s">
        <v>78</v>
      </c>
      <c r="BA5" s="0" t="s">
        <v>79</v>
      </c>
      <c r="BB5" s="0" t="s">
        <v>80</v>
      </c>
      <c r="BC5" s="0" t="s">
        <v>81</v>
      </c>
      <c r="BD5" s="0" t="s">
        <v>82</v>
      </c>
      <c r="BE5" s="0" t="s">
        <v>83</v>
      </c>
      <c r="BF5" s="0" t="s">
        <v>84</v>
      </c>
      <c r="BG5" s="0" t="s">
        <v>85</v>
      </c>
      <c r="BH5" s="0" t="s">
        <v>86</v>
      </c>
      <c r="BI5" s="0" t="s">
        <v>87</v>
      </c>
      <c r="BJ5" s="0" t="s">
        <v>88</v>
      </c>
      <c r="BK5" s="0" t="s">
        <v>89</v>
      </c>
      <c r="BL5" s="0" t="s">
        <v>90</v>
      </c>
    </row>
    <row r="6" ht="15.75" customHeight="1">
      <c r="A6" s="34"/>
      <c r="B6" s="35" t="s">
        <v>91</v>
      </c>
      <c r="C6" s="36" t="s">
        <v>92</v>
      </c>
      <c r="D6" s="37">
        <v>400</v>
      </c>
      <c r="E6" s="36"/>
      <c r="F6" s="36" t="s">
        <v>17</v>
      </c>
      <c r="G6" s="36" t="s">
        <v>93</v>
      </c>
      <c r="H6" s="36"/>
      <c r="I6" s="36"/>
      <c r="J6" s="38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</row>
    <row r="7" ht="15.75" customHeight="1">
      <c r="A7" s="36"/>
      <c r="B7" s="35" t="s">
        <v>91</v>
      </c>
      <c r="C7" s="36" t="s">
        <v>92</v>
      </c>
      <c r="D7" s="39">
        <v>800</v>
      </c>
      <c r="E7" s="36"/>
      <c r="F7" s="36" t="s">
        <v>19</v>
      </c>
      <c r="G7" s="36" t="s">
        <v>93</v>
      </c>
      <c r="H7" s="36"/>
      <c r="I7" s="36"/>
      <c r="J7" s="38">
        <v>1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</row>
    <row r="8" ht="15.75" customHeight="1">
      <c r="A8" s="36"/>
      <c r="B8" s="35" t="s">
        <v>91</v>
      </c>
      <c r="C8" s="36" t="s">
        <v>92</v>
      </c>
      <c r="D8" s="39">
        <v>600</v>
      </c>
      <c r="E8" s="36"/>
      <c r="F8" s="36" t="s">
        <v>20</v>
      </c>
      <c r="G8" s="36" t="s">
        <v>93</v>
      </c>
      <c r="H8" s="36"/>
      <c r="I8" s="36"/>
      <c r="J8" s="38">
        <v>1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</row>
    <row r="9" ht="15.75" customHeight="1">
      <c r="A9" s="36"/>
      <c r="B9" s="35" t="s">
        <v>91</v>
      </c>
      <c r="C9" s="36" t="s">
        <v>92</v>
      </c>
      <c r="D9" s="39">
        <v>1400</v>
      </c>
      <c r="E9" s="36"/>
      <c r="F9" s="36" t="s">
        <v>21</v>
      </c>
      <c r="G9" s="36" t="s">
        <v>93</v>
      </c>
      <c r="H9" s="36"/>
      <c r="I9" s="36"/>
      <c r="J9" s="38">
        <v>1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</row>
    <row r="10" ht="15.75" customHeight="1">
      <c r="A10" s="36"/>
      <c r="B10" s="35" t="s">
        <v>91</v>
      </c>
      <c r="C10" s="40" t="s">
        <v>92</v>
      </c>
      <c r="D10" s="37">
        <v>400</v>
      </c>
      <c r="E10" s="36"/>
      <c r="F10" s="36" t="s">
        <v>22</v>
      </c>
      <c r="G10" s="36" t="s">
        <v>93</v>
      </c>
      <c r="H10" s="36"/>
      <c r="I10" s="36"/>
      <c r="J10" s="38">
        <v>1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</row>
    <row r="11" ht="15.75" customHeight="1">
      <c r="A11" s="36"/>
      <c r="B11" s="35" t="s">
        <v>91</v>
      </c>
      <c r="C11" s="36" t="s">
        <v>92</v>
      </c>
      <c r="D11" s="39">
        <v>800</v>
      </c>
      <c r="E11" s="36"/>
      <c r="F11" s="36" t="s">
        <v>23</v>
      </c>
      <c r="G11" s="36" t="s">
        <v>93</v>
      </c>
      <c r="H11" s="36"/>
      <c r="I11" s="36"/>
      <c r="J11" s="38">
        <v>1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</row>
    <row r="12" ht="15.75" customHeight="1">
      <c r="A12" s="36"/>
      <c r="B12" s="35" t="s">
        <v>91</v>
      </c>
      <c r="C12" s="36" t="s">
        <v>92</v>
      </c>
      <c r="D12" s="39">
        <v>600</v>
      </c>
      <c r="E12" s="36"/>
      <c r="F12" s="36" t="s">
        <v>24</v>
      </c>
      <c r="G12" s="36" t="s">
        <v>93</v>
      </c>
      <c r="H12" s="36"/>
      <c r="I12" s="36"/>
      <c r="J12" s="38">
        <v>1</v>
      </c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</row>
    <row r="13" ht="15.75" customHeight="1">
      <c r="A13" s="36"/>
      <c r="B13" s="35" t="s">
        <v>91</v>
      </c>
      <c r="C13" s="36" t="s">
        <v>92</v>
      </c>
      <c r="D13" s="39">
        <v>1400</v>
      </c>
      <c r="E13" s="36"/>
      <c r="F13" s="36" t="s">
        <v>25</v>
      </c>
      <c r="G13" s="36" t="s">
        <v>93</v>
      </c>
      <c r="H13" s="36"/>
      <c r="I13" s="36"/>
      <c r="J13" s="38">
        <v>1</v>
      </c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</row>
    <row r="14" ht="15.7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1473750-2318-4A7C-AE6A-F99686FC43C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83AEF48-779A-43AF-A268-5E01289F96C0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BCF499DF-E781-47E2-86B7-8DCC2DE68195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94</v>
      </c>
      <c r="D3" s="5" t="s">
        <v>9</v>
      </c>
      <c r="E3" s="23" t="s">
        <v>95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6"/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41" t="b">
        <v>1</v>
      </c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3EC00E6-0E55-451B-B8C6-30BAC271014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AF01382C-CDCB-475E-A6C6-2BA5CD045DBC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0432EBE7-EB7D-4157-A5A0-3E9299E4A95B}">
          <x14:formula1>
            <xm:f>SetGeneralPreferences!$4:$4</xm:f>
          </x14:formula1>
          <xm:sqref>E3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94</v>
      </c>
      <c r="D3" s="5" t="s">
        <v>9</v>
      </c>
      <c r="E3" s="23" t="s">
        <v>96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2" t="s">
        <v>97</v>
      </c>
      <c r="C6" s="36"/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C095DD2-DC58-4D32-9B51-B272A60BF45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710B48E-A5AB-4048-B661-69B5111A8111}">
          <x14:formula1>
            <xm:f>AddMFPreferences!$4:$4</xm:f>
          </x14:formula1>
          <xm:sqref>E3</xm:sqref>
        </x14:dataValidation>
        <x14:dataValidation type="list" allowBlank="1" showInputMessage="1" showErrorMessage="1" prompt="Choose an available module" xr:uid="{C7267E42-4713-4855-85CA-4FB29C372239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94</v>
      </c>
      <c r="D3" s="5" t="s">
        <v>9</v>
      </c>
      <c r="E3" s="23" t="s">
        <v>98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 t="s">
        <v>99</v>
      </c>
      <c r="D6" s="43" t="s">
        <v>100</v>
      </c>
      <c r="E6" s="36"/>
      <c r="F6" s="36" t="s">
        <v>97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0D4B7DC-B6B7-4A0E-89EA-FB176651F9E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019B11A-7855-4E26-AFCE-63774331B85F}">
          <x14:formula1>
            <xm:f>SetMFPreferencesDefaultRule!$4:$4</xm:f>
          </x14:formula1>
          <xm:sqref>E3</xm:sqref>
        </x14:dataValidation>
        <x14:dataValidation type="list" allowBlank="1" showInputMessage="1" showErrorMessage="1" prompt="Choose an available module" xr:uid="{D1B70C59-2F5A-4029-AB95-4F6B7B90668F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94</v>
      </c>
      <c r="D3" s="5" t="s">
        <v>9</v>
      </c>
      <c r="E3" s="23" t="s">
        <v>101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97</v>
      </c>
      <c r="C6" s="36" t="s">
        <v>102</v>
      </c>
      <c r="D6" s="34" t="s">
        <v>20</v>
      </c>
      <c r="E6" s="38">
        <v>50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97</v>
      </c>
      <c r="C7" s="36" t="s">
        <v>102</v>
      </c>
      <c r="D7" s="36" t="s">
        <v>21</v>
      </c>
      <c r="E7" s="38">
        <v>50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1044195-A098-4B44-AD29-1C23B7FABBF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8CA826D5-E4D7-4CFF-9630-0BB8A82B65C7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A806A8E8-5009-445C-813B-CF646D753D44}">
          <x14:formula1>
            <xm:f>SetMFPrefAccountValues!$4:$4</xm:f>
          </x14:formula1>
          <xm:sqref>E3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94</v>
      </c>
      <c r="D3" s="5" t="s">
        <v>9</v>
      </c>
      <c r="E3" s="23" t="s">
        <v>103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97</v>
      </c>
      <c r="C6" s="36" t="s">
        <v>102</v>
      </c>
      <c r="D6" s="34" t="s">
        <v>104</v>
      </c>
      <c r="E6" s="36"/>
      <c r="F6" s="36" t="s">
        <v>99</v>
      </c>
      <c r="G6" s="44" t="s">
        <v>105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5B82EEB-3A2C-48D2-A35E-5528F8F6927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1B2F9268-198F-46B6-A8F6-D16E59641717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BC3DBDD3-6184-49FE-93B4-510F749D84BC}">
          <x14:formula1>
            <xm:f>SetMFPrefFundDefaultRule!$4:$4</xm:f>
          </x14:formula1>
          <xm:sqref>E3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94</v>
      </c>
      <c r="D3" s="5" t="s">
        <v>9</v>
      </c>
      <c r="E3" s="23" t="s">
        <v>106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97</v>
      </c>
      <c r="C6" s="36" t="s">
        <v>102</v>
      </c>
      <c r="D6" s="34" t="s">
        <v>107</v>
      </c>
      <c r="E6" s="36" t="s">
        <v>108</v>
      </c>
      <c r="F6" s="36" t="s">
        <v>107</v>
      </c>
      <c r="G6" s="35" t="s">
        <v>109</v>
      </c>
      <c r="H6" s="36"/>
      <c r="I6" s="36"/>
      <c r="J6" s="36" t="s">
        <v>107</v>
      </c>
      <c r="K6" s="35" t="s">
        <v>110</v>
      </c>
      <c r="L6" s="45" t="b">
        <v>1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558BC67-A51E-49ED-8D7D-6312334A48D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7105478-0526-4CD4-A077-801991862D69}">
          <x14:formula1>
            <xm:f>SetMFPrefGeneralRule!$4:$4</xm:f>
          </x14:formula1>
          <xm:sqref>E3</xm:sqref>
        </x14:dataValidation>
        <x14:dataValidation type="list" allowBlank="1" showInputMessage="1" showErrorMessage="1" prompt="Choose an available module" xr:uid="{20B46A57-0553-4294-A497-50D5BC44CBDF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94</v>
      </c>
      <c r="D3" s="5" t="s">
        <v>9</v>
      </c>
      <c r="E3" s="23" t="s">
        <v>111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104</v>
      </c>
      <c r="C6" s="36"/>
      <c r="D6" s="34" t="s">
        <v>99</v>
      </c>
      <c r="E6" s="44" t="s">
        <v>112</v>
      </c>
      <c r="F6" s="36"/>
      <c r="G6" s="36"/>
      <c r="H6" s="36" t="s">
        <v>97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EE7A97B-1294-42C6-B356-61127A1313A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CC554D8-DD99-4359-A2A2-1D913AC1A121}">
          <x14:formula1>
            <xm:f>UpdateGRDefaultRule!$4:$4</xm:f>
          </x14:formula1>
          <xm:sqref>E3</xm:sqref>
        </x14:dataValidation>
        <x14:dataValidation type="list" allowBlank="1" showInputMessage="1" showErrorMessage="1" prompt="Choose an available module" xr:uid="{63B8D6B4-366E-4DC6-A29A-62B3B530B3CC}">
          <x14:formula1>
            <xm:f>'_Modules'!$A$4:$A$1000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94</v>
      </c>
      <c r="D3" s="5" t="s">
        <v>9</v>
      </c>
      <c r="E3" s="23" t="s">
        <v>101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97</v>
      </c>
      <c r="C6" s="36" t="s">
        <v>113</v>
      </c>
      <c r="D6" s="34" t="s">
        <v>24</v>
      </c>
      <c r="E6" s="38">
        <v>50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97</v>
      </c>
      <c r="C7" s="36" t="s">
        <v>113</v>
      </c>
      <c r="D7" s="36" t="s">
        <v>25</v>
      </c>
      <c r="E7" s="38">
        <v>50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CAA868B-F519-428B-BE06-D88BB762E72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11B18370-5E74-488A-8CAF-605E7E58DC89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E438EA24-1167-4C61-8444-E410886294E4}">
          <x14:formula1>
            <xm:f>SetMFPrefAccountValues1!$4:$4</xm:f>
          </x14:formula1>
          <xm:sqref>E3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94</v>
      </c>
      <c r="D3" s="5" t="s">
        <v>9</v>
      </c>
      <c r="E3" s="23" t="s">
        <v>103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97</v>
      </c>
      <c r="C6" s="35" t="s">
        <v>113</v>
      </c>
      <c r="D6" s="34" t="s">
        <v>104</v>
      </c>
      <c r="E6" s="36"/>
      <c r="F6" s="36" t="s">
        <v>99</v>
      </c>
      <c r="G6" s="44" t="s">
        <v>114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87A41FF-C8D9-4BF5-829E-35932274718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192D7F60-B5AE-42CD-A6C7-9E5D007EC5F4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416FB5DC-0007-4021-8EA5-BDAB0850A799}">
          <x14:formula1>
            <xm:f>SetMFPrefFundDefaultRule1!$4:$4</xm:f>
          </x14:formula1>
          <xm:sqref>E3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94</v>
      </c>
      <c r="D3" s="5" t="s">
        <v>9</v>
      </c>
      <c r="E3" s="23" t="s">
        <v>106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97</v>
      </c>
      <c r="C6" s="36" t="s">
        <v>113</v>
      </c>
      <c r="D6" s="34" t="s">
        <v>107</v>
      </c>
      <c r="E6" s="36" t="s">
        <v>108</v>
      </c>
      <c r="F6" s="36" t="s">
        <v>107</v>
      </c>
      <c r="G6" s="35" t="s">
        <v>109</v>
      </c>
      <c r="H6" s="36"/>
      <c r="I6" s="36"/>
      <c r="J6" s="36" t="s">
        <v>107</v>
      </c>
      <c r="K6" s="35" t="s">
        <v>110</v>
      </c>
      <c r="L6" s="45" t="b">
        <v>1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DC7A17D-A75B-4161-AA4D-E61DB5EE21A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D6F8E90F-BF7E-4B11-8515-7C5C06414B69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E7F1F7C6-F01F-496D-BED6-DA1D28963679}">
          <x14:formula1>
            <xm:f>SetMFPrefGeneralRule1!$4:$4</xm:f>
          </x14:formula1>
          <xm:sqref>E3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94</v>
      </c>
      <c r="D3" s="5" t="s">
        <v>9</v>
      </c>
      <c r="E3" s="23" t="s">
        <v>111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104</v>
      </c>
      <c r="C6" s="36"/>
      <c r="D6" s="34" t="s">
        <v>99</v>
      </c>
      <c r="E6" s="44" t="s">
        <v>115</v>
      </c>
      <c r="F6" s="36"/>
      <c r="G6" s="36"/>
      <c r="H6" s="36" t="s">
        <v>97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81644E7-05D8-4EE4-BBCD-86BD56B0ADC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19C924A-A1C6-44B6-956E-D27537CB410C}">
          <x14:formula1>
            <xm:f>UpdateGRDefaultRule1!$4:$4</xm:f>
          </x14:formula1>
          <xm:sqref>E3</xm:sqref>
        </x14:dataValidation>
        <x14:dataValidation type="list" allowBlank="1" showInputMessage="1" showErrorMessage="1" prompt="Choose an available module" xr:uid="{D7ED8B11-D6AC-4AB6-AD34-3A2C96A06A2B}">
          <x14:formula1>
            <xm:f>'_Modules'!$A$4:$A$1000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28</v>
      </c>
      <c r="C5" s="0" t="s">
        <v>29</v>
      </c>
      <c r="D5" s="0" t="s">
        <v>30</v>
      </c>
      <c r="E5" s="0" t="s">
        <v>31</v>
      </c>
      <c r="F5" s="0" t="s">
        <v>32</v>
      </c>
      <c r="G5" s="0" t="s">
        <v>33</v>
      </c>
      <c r="H5" s="0" t="s">
        <v>34</v>
      </c>
      <c r="I5" s="0" t="s">
        <v>35</v>
      </c>
      <c r="J5" s="0" t="s">
        <v>36</v>
      </c>
      <c r="K5" s="0" t="s">
        <v>37</v>
      </c>
      <c r="L5" s="0" t="s">
        <v>38</v>
      </c>
      <c r="M5" s="0" t="s">
        <v>39</v>
      </c>
      <c r="N5" s="0" t="s">
        <v>40</v>
      </c>
      <c r="O5" s="0" t="s">
        <v>41</v>
      </c>
      <c r="P5" s="0" t="s">
        <v>42</v>
      </c>
      <c r="Q5" s="0" t="s">
        <v>43</v>
      </c>
      <c r="R5" s="0" t="s">
        <v>44</v>
      </c>
      <c r="S5" s="0" t="s">
        <v>45</v>
      </c>
      <c r="T5" s="0" t="s">
        <v>46</v>
      </c>
      <c r="U5" s="0" t="s">
        <v>47</v>
      </c>
      <c r="V5" s="0" t="s">
        <v>48</v>
      </c>
      <c r="W5" s="0" t="s">
        <v>49</v>
      </c>
      <c r="X5" s="0" t="s">
        <v>50</v>
      </c>
      <c r="Y5" s="0" t="s">
        <v>51</v>
      </c>
      <c r="Z5" s="0" t="s">
        <v>52</v>
      </c>
      <c r="AA5" s="0" t="s">
        <v>53</v>
      </c>
      <c r="AB5" s="0" t="s">
        <v>54</v>
      </c>
      <c r="AC5" s="0" t="s">
        <v>55</v>
      </c>
      <c r="AD5" s="0" t="s">
        <v>56</v>
      </c>
      <c r="AE5" s="0" t="s">
        <v>57</v>
      </c>
      <c r="AF5" s="0" t="s">
        <v>58</v>
      </c>
      <c r="AG5" s="0" t="s">
        <v>59</v>
      </c>
      <c r="AH5" s="0" t="s">
        <v>60</v>
      </c>
      <c r="AI5" s="0" t="s">
        <v>61</v>
      </c>
      <c r="AJ5" s="0" t="s">
        <v>62</v>
      </c>
      <c r="AK5" s="0" t="s">
        <v>63</v>
      </c>
      <c r="AL5" s="0" t="s">
        <v>64</v>
      </c>
      <c r="AM5" s="0" t="s">
        <v>65</v>
      </c>
      <c r="AN5" s="0" t="s">
        <v>66</v>
      </c>
      <c r="AO5" s="0" t="s">
        <v>67</v>
      </c>
      <c r="AP5" s="0" t="s">
        <v>68</v>
      </c>
      <c r="AQ5" s="0" t="s">
        <v>69</v>
      </c>
      <c r="AR5" s="0" t="s">
        <v>70</v>
      </c>
      <c r="AS5" s="0" t="s">
        <v>71</v>
      </c>
      <c r="AT5" s="0" t="s">
        <v>72</v>
      </c>
      <c r="AU5" s="0" t="s">
        <v>73</v>
      </c>
      <c r="AV5" s="0" t="s">
        <v>74</v>
      </c>
      <c r="AW5" s="0" t="s">
        <v>75</v>
      </c>
      <c r="AX5" s="0" t="s">
        <v>76</v>
      </c>
      <c r="AY5" s="0" t="s">
        <v>77</v>
      </c>
      <c r="AZ5" s="0" t="s">
        <v>78</v>
      </c>
      <c r="BA5" s="0" t="s">
        <v>79</v>
      </c>
      <c r="BB5" s="0" t="s">
        <v>80</v>
      </c>
      <c r="BC5" s="0" t="s">
        <v>81</v>
      </c>
      <c r="BD5" s="0" t="s">
        <v>82</v>
      </c>
      <c r="BE5" s="0" t="s">
        <v>83</v>
      </c>
      <c r="BF5" s="0" t="s">
        <v>84</v>
      </c>
      <c r="BG5" s="0" t="s">
        <v>85</v>
      </c>
      <c r="BH5" s="0" t="s">
        <v>86</v>
      </c>
      <c r="BI5" s="0" t="s">
        <v>87</v>
      </c>
      <c r="BJ5" s="0" t="s">
        <v>88</v>
      </c>
      <c r="BK5" s="0" t="s">
        <v>89</v>
      </c>
      <c r="BL5" s="0" t="s">
        <v>90</v>
      </c>
    </row>
    <row r="6" ht="15.75" customHeight="1">
      <c r="A6" s="34"/>
      <c r="B6" s="35" t="s">
        <v>91</v>
      </c>
      <c r="C6" s="35" t="s">
        <v>110</v>
      </c>
      <c r="D6" s="46">
        <v>125</v>
      </c>
      <c r="E6" s="38">
        <v>125</v>
      </c>
      <c r="F6" s="36" t="s">
        <v>116</v>
      </c>
      <c r="G6" s="36" t="s">
        <v>93</v>
      </c>
      <c r="H6" s="36"/>
      <c r="I6" s="36"/>
      <c r="J6" s="38">
        <v>11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4ECEF0D-79E2-4C1B-B8B8-D8812E63281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9DE064D-F216-45B7-894D-44128D6AB3B1}">
          <x14:formula1>
            <xm:f>CreateDoneAwayOrder2!$4:$4</xm:f>
          </x14:formula1>
          <xm:sqref>E3</xm:sqref>
        </x14:dataValidation>
        <x14:dataValidation type="list" allowBlank="1" showInputMessage="1" showErrorMessage="1" prompt="Choose an available module" xr:uid="{AD50DCDB-1107-4CF6-80A9-D4C1F3F2355A}">
          <x14:formula1>
            <xm:f>'_Modules'!$A$4:$A$1000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94</v>
      </c>
      <c r="D3" s="5" t="s">
        <v>9</v>
      </c>
      <c r="E3" s="23" t="s">
        <v>117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118</v>
      </c>
      <c r="C6" s="36"/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3A103EE-3843-45EA-8D67-457374A311D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227A968-DBD2-4F0D-8247-27ABE6B5F167}">
          <x14:formula1>
            <xm:f>GetDataAllocation!$4:$4</xm:f>
          </x14:formula1>
          <xm:sqref>E3</xm:sqref>
        </x14:dataValidation>
        <x14:dataValidation type="list" allowBlank="1" showInputMessage="1" showErrorMessage="1" prompt="Choose an available module" xr:uid="{450DF51C-A599-44B3-B0FC-609D2865B1F5}">
          <x14:formula1>
            <xm:f>'_Modules'!$A$4:$A$1000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94</v>
      </c>
      <c r="D3" s="5" t="s">
        <v>9</v>
      </c>
      <c r="E3" s="23" t="s">
        <v>119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91</v>
      </c>
      <c r="C6" s="35" t="s">
        <v>110</v>
      </c>
      <c r="D6" s="46">
        <v>125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 t="s">
        <v>93</v>
      </c>
      <c r="Q6" s="36"/>
      <c r="R6" s="36"/>
      <c r="S6" s="36" t="s">
        <v>120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5460D8E-3DE8-4285-9E53-04FA3C1E496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98A1B61-1996-488C-B9EE-775DD33B6B50}">
          <x14:formula1>
            <xm:f>SelectUnallocatedGroup!$4:$4</xm:f>
          </x14:formula1>
          <xm:sqref>E3</xm:sqref>
        </x14:dataValidation>
        <x14:dataValidation type="list" allowBlank="1" showInputMessage="1" showErrorMessage="1" prompt="Choose an available module" xr:uid="{275AEA6E-A7DC-449A-9540-97803726976E}">
          <x14:formula1>
            <xm:f>'_Modules'!$A$4:$A$1000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94</v>
      </c>
      <c r="D3" s="5" t="s">
        <v>9</v>
      </c>
      <c r="E3" s="23" t="s">
        <v>121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6" t="s">
        <v>97</v>
      </c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FE00E2C-0F95-4F40-8148-1232FA9D7CA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74F721B-AC2F-4FA6-912D-DA4F3802C231}">
          <x14:formula1>
            <xm:f>EnterAllocatePreference!$4:$4</xm:f>
          </x14:formula1>
          <xm:sqref>E3</xm:sqref>
        </x14:dataValidation>
        <x14:dataValidation type="list" allowBlank="1" showInputMessage="1" showErrorMessage="1" prompt="Choose an available module" xr:uid="{5B3B69B4-5310-4112-84C7-86B161B91F7A}">
          <x14:formula1>
            <xm:f>'_Modules'!$A$4:$A$1000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94</v>
      </c>
      <c r="D3" s="5" t="s">
        <v>9</v>
      </c>
      <c r="E3" s="23" t="s">
        <v>122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47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8"/>
      <c r="C6" s="48"/>
      <c r="D6" s="48"/>
      <c r="E6" s="48"/>
      <c r="F6" s="49" t="s">
        <v>120</v>
      </c>
      <c r="G6" s="8"/>
      <c r="H6" s="49" t="s">
        <v>18</v>
      </c>
      <c r="I6" s="8"/>
      <c r="J6" s="8"/>
      <c r="K6" s="8"/>
      <c r="L6" s="8"/>
      <c r="M6" s="8"/>
      <c r="N6" s="8"/>
      <c r="O6" s="49" t="s">
        <v>21</v>
      </c>
      <c r="P6" s="49" t="s">
        <v>123</v>
      </c>
      <c r="Q6" s="48"/>
      <c r="R6" s="48">
        <v>44</v>
      </c>
      <c r="AF6" s="49" t="s">
        <v>124</v>
      </c>
    </row>
    <row r="7" ht="15.75" customHeight="1">
      <c r="A7" s="8"/>
      <c r="B7" s="48"/>
      <c r="C7" s="48"/>
      <c r="D7" s="48"/>
      <c r="E7" s="48"/>
      <c r="F7" s="49" t="s">
        <v>120</v>
      </c>
      <c r="G7" s="8"/>
      <c r="H7" s="49" t="s">
        <v>18</v>
      </c>
      <c r="I7" s="8"/>
      <c r="J7" s="8"/>
      <c r="K7" s="8"/>
      <c r="L7" s="8"/>
      <c r="M7" s="8"/>
      <c r="N7" s="8"/>
      <c r="O7" s="49" t="s">
        <v>25</v>
      </c>
      <c r="P7" s="49" t="s">
        <v>123</v>
      </c>
      <c r="Q7" s="48"/>
      <c r="R7" s="48">
        <v>43</v>
      </c>
      <c r="AF7" s="49" t="s">
        <v>124</v>
      </c>
    </row>
    <row r="8" ht="15.75" customHeight="1">
      <c r="A8" s="8"/>
      <c r="B8" s="48"/>
      <c r="C8" s="48"/>
      <c r="D8" s="48"/>
      <c r="E8" s="48"/>
      <c r="F8" s="49" t="s">
        <v>120</v>
      </c>
      <c r="G8" s="8"/>
      <c r="H8" s="49" t="s">
        <v>18</v>
      </c>
      <c r="I8" s="8"/>
      <c r="J8" s="8"/>
      <c r="K8" s="8"/>
      <c r="L8" s="8"/>
      <c r="M8" s="8"/>
      <c r="N8" s="8"/>
      <c r="O8" s="49" t="s">
        <v>20</v>
      </c>
      <c r="P8" s="49" t="s">
        <v>123</v>
      </c>
      <c r="Q8" s="48"/>
      <c r="R8" s="48">
        <v>19</v>
      </c>
      <c r="AF8" s="49" t="s">
        <v>124</v>
      </c>
    </row>
    <row r="9" ht="15.75" customHeight="1">
      <c r="A9" s="8"/>
      <c r="B9" s="48"/>
      <c r="C9" s="48"/>
      <c r="D9" s="48"/>
      <c r="E9" s="48"/>
      <c r="F9" s="49" t="s">
        <v>120</v>
      </c>
      <c r="G9" s="8"/>
      <c r="H9" s="49" t="s">
        <v>18</v>
      </c>
      <c r="I9" s="8"/>
      <c r="J9" s="8"/>
      <c r="K9" s="8"/>
      <c r="L9" s="8"/>
      <c r="M9" s="8"/>
      <c r="N9" s="8"/>
      <c r="O9" s="49" t="s">
        <v>24</v>
      </c>
      <c r="P9" s="49" t="s">
        <v>123</v>
      </c>
      <c r="Q9" s="48"/>
      <c r="R9" s="48">
        <v>19</v>
      </c>
      <c r="AF9" s="49" t="s">
        <v>124</v>
      </c>
    </row>
    <row r="10" ht="15.75" customHeight="1">
      <c r="A10" s="8"/>
      <c r="B10" s="48"/>
      <c r="C10" s="48"/>
      <c r="D10" s="48"/>
      <c r="E10" s="48"/>
      <c r="F10" s="49"/>
      <c r="G10" s="8"/>
      <c r="H10" s="49"/>
      <c r="I10" s="8"/>
      <c r="J10" s="8"/>
      <c r="K10" s="8"/>
      <c r="L10" s="8"/>
      <c r="M10" s="8"/>
      <c r="N10" s="8"/>
      <c r="O10" s="49"/>
      <c r="P10" s="49"/>
      <c r="Q10" s="48"/>
      <c r="R10" s="50"/>
      <c r="AF10" s="49"/>
    </row>
    <row r="11" ht="15.75" customHeight="1">
      <c r="A11" s="8"/>
      <c r="B11" s="48"/>
      <c r="C11" s="48"/>
      <c r="D11" s="48"/>
      <c r="E11" s="48"/>
      <c r="F11" s="49"/>
      <c r="G11" s="8"/>
      <c r="H11" s="49"/>
      <c r="I11" s="8"/>
      <c r="J11" s="8"/>
      <c r="K11" s="8"/>
      <c r="L11" s="8"/>
      <c r="M11" s="8"/>
      <c r="N11" s="8"/>
      <c r="O11" s="49"/>
      <c r="P11" s="49"/>
      <c r="Q11" s="48"/>
      <c r="R11" s="50"/>
      <c r="AF11" s="49"/>
    </row>
    <row r="12" ht="15.75" customHeight="1">
      <c r="A12" s="8"/>
      <c r="B12" s="48"/>
      <c r="C12" s="48"/>
      <c r="D12" s="48"/>
      <c r="E12" s="48"/>
      <c r="F12" s="49"/>
      <c r="G12" s="8"/>
      <c r="H12" s="49"/>
      <c r="I12" s="8"/>
      <c r="J12" s="8"/>
      <c r="K12" s="8"/>
      <c r="L12" s="8"/>
      <c r="M12" s="8"/>
      <c r="N12" s="8"/>
      <c r="O12" s="49"/>
      <c r="P12" s="49"/>
      <c r="Q12" s="48"/>
      <c r="R12" s="48"/>
      <c r="AF12" s="49"/>
    </row>
    <row r="13" ht="15.75" customHeight="1">
      <c r="A13" s="8"/>
      <c r="B13" s="48"/>
      <c r="C13" s="48"/>
      <c r="D13" s="48"/>
      <c r="E13" s="48"/>
      <c r="F13" s="49"/>
      <c r="G13" s="8"/>
      <c r="H13" s="49"/>
      <c r="I13" s="8"/>
      <c r="J13" s="8"/>
      <c r="K13" s="8"/>
      <c r="L13" s="8"/>
      <c r="M13" s="8"/>
      <c r="N13" s="8"/>
      <c r="O13" s="49"/>
      <c r="P13" s="49"/>
      <c r="Q13" s="48"/>
      <c r="R13" s="50"/>
      <c r="AF13" s="49"/>
    </row>
    <row r="18" ht="15.75" customHeight="1">
      <c r="A18" s="8"/>
      <c r="B18" s="51"/>
      <c r="C18" s="51"/>
      <c r="D18" s="51"/>
      <c r="E18" s="51"/>
      <c r="F18" s="51"/>
      <c r="G18" s="8"/>
      <c r="H18" s="51"/>
      <c r="I18" s="8"/>
      <c r="J18" s="8"/>
      <c r="K18" s="8"/>
      <c r="L18" s="8"/>
      <c r="M18" s="8"/>
      <c r="N18" s="8"/>
      <c r="O18" s="51"/>
      <c r="P18" s="51"/>
      <c r="Q18" s="51"/>
      <c r="R18" s="51"/>
      <c r="AF18" s="51"/>
    </row>
    <row r="19" ht="15.75" customHeight="1">
      <c r="A19" s="8"/>
      <c r="B19" s="51"/>
      <c r="C19" s="51"/>
      <c r="D19" s="51"/>
      <c r="E19" s="51"/>
      <c r="F19" s="51"/>
      <c r="G19" s="8"/>
      <c r="H19" s="51"/>
      <c r="I19" s="8"/>
      <c r="J19" s="8"/>
      <c r="K19" s="8"/>
      <c r="L19" s="8"/>
      <c r="M19" s="8"/>
      <c r="N19" s="8"/>
      <c r="O19" s="51"/>
      <c r="P19" s="51"/>
      <c r="Q19" s="51"/>
      <c r="R19" s="51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52CF12C-2935-4ED2-99D7-51AB14CF431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E921E999-29DB-4F91-8D16-CA50D31E4FB4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80CAEB37-0DD0-446C-81A4-B297CBA11DAA}">
          <x14:formula1>
            <xm:f>CheckAllocatedTaxlots!$4:$4</xm:f>
          </x14:formula1>
          <xm:sqref>E3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