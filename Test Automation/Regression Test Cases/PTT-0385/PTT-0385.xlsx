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TT" sheetId="5" r:id="rId7"/>
    <sheet state="visible" name="OpenRTPNL" sheetId="6" r:id="rId8"/>
    <sheet state="visible" name="IncreaseOrUnwindPositionRTPNL" sheetId="7" r:id="rId9"/>
    <sheet state="visible" name="IncreaseOrUnwindPositionRTPNL1" sheetId="8" r:id="rId10"/>
    <sheet state="visible" name="VerifyTT1" sheetId="9" r:id="rId11"/>
    <sheet state="visible" name="CheckOpenFinWindowName" sheetId="10" r:id="rId12"/>
  </sheets>
  <definedNames/>
  <calcPr/>
</workbook>
</file>

<file path=xl/sharedStrings.xml><?xml version="1.0" encoding="utf-8"?>
<sst xmlns="http://schemas.openxmlformats.org/spreadsheetml/2006/main" count="109" uniqueCount="67">
  <si>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</si>
  <si>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</si>
  <si>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</si>
  <si>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</si>
  <si>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</si>
  <si>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</si>
  <si>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</si>
  <si>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</si>
  <si>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</si>
  <si>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</si>
  <si>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</si>
  <si>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</si>
  <si>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</si>
  <si>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</si>
  <si>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</si>
  <si>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</si>
  <si>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</si>
  <si>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</si>
  <si>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</si>
  <si>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</si>
  <si>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</si>
  <si>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</si>
  <si>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</si>
  <si>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</si>
  <si>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</si>
  <si>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</si>
  <si>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</si>
  <si>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</si>
  <si>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</si>
  <si>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</si>
  <si>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</si>
  <si>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</si>
  <si>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</si>
  <si>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</si>
  <si>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</si>
  <si>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</si>
  <si>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</si>
  <si>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</si>
  <si>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</si>
  <si>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</si>
  <si>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</si>
  <si>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</si>
  <si>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</si>
  <si>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</si>
  <si>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</si>
  <si>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</si>
  <si>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</si>
  <si>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</si>
  <si>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</si>
  <si>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</si>
  <si>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UCB-BRU</t>
  </si>
  <si>
    <t>DoneAway</t>
  </si>
  <si>
    <t>Allocation1</t>
  </si>
  <si>
    <t>AMT</t>
  </si>
  <si>
    <t>AAPL</t>
  </si>
  <si>
    <t>fja@</t>
  </si>
  <si>
    <t>jk$%</t>
  </si>
  <si>
    <t>VerifyTT</t>
  </si>
  <si>
    <t>RTPNL</t>
  </si>
  <si>
    <t>OpenRTPNL</t>
  </si>
  <si>
    <t>Nirvana,PM</t>
  </si>
  <si>
    <t>IncreaseOrUnwindPositionRTPNL</t>
  </si>
  <si>
    <t>Increase</t>
  </si>
  <si>
    <t>Unwind</t>
  </si>
  <si>
    <t>OpenFin</t>
  </si>
  <si>
    <t>CheckOpenFinWindowName</t>
  </si>
  <si>
    <t>Trading 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</si>
</sst>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50</v>
      </c>
      <c r="C6" s="12">
        <v>400.0</v>
      </c>
      <c r="D6" s="12">
        <v>4.0</v>
      </c>
      <c r="E6" s="12" t="s">
        <v>51</v>
      </c>
      <c r="F6" s="8"/>
      <c r="G6" s="8"/>
      <c r="H6" s="8"/>
      <c r="I6" s="12" t="s">
        <v>52</v>
      </c>
      <c r="J6" s="8"/>
      <c r="K6" s="8"/>
      <c r="L6" s="8"/>
      <c r="M6" s="8"/>
      <c r="N6" s="8"/>
      <c r="O6" s="8"/>
      <c r="AH6" s="9" t="s">
        <v>53</v>
      </c>
    </row>
    <row r="7" ht="15.75" customHeight="1">
      <c r="A7" s="12"/>
      <c r="B7" s="12" t="s">
        <v>54</v>
      </c>
      <c r="C7" s="12" t="s">
        <v>55</v>
      </c>
      <c r="D7" s="12" t="s">
        <v>56</v>
      </c>
      <c r="E7" s="12" t="s">
        <v>51</v>
      </c>
      <c r="F7" s="8"/>
      <c r="G7" s="12" t="b">
        <v>1</v>
      </c>
      <c r="H7" s="8"/>
      <c r="I7" s="8"/>
      <c r="J7" s="8"/>
      <c r="K7" s="8"/>
      <c r="L7" s="8"/>
      <c r="M7" s="8"/>
      <c r="N7" s="8"/>
      <c r="O7" s="8"/>
      <c r="AH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2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1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3" t="str">
        <f>IFERROR(__xludf.DUMMYFUNCTION("""COMPUTED_VALUE"""),"SoftBasis")</f>
        <v>SoftBasis</v>
      </c>
      <c r="U5" s="33" t="str">
        <f>IFERROR(__xludf.DUMMYFUNCTION("""COMPUTED_VALUE"""),"SoftRate")</f>
        <v>SoftRate</v>
      </c>
      <c r="V5" s="33" t="str">
        <f>IFERROR(__xludf.DUMMYFUNCTION("""COMPUTED_VALUE"""),"TradeAttribute1")</f>
        <v>TradeAttribute1</v>
      </c>
      <c r="W5" s="33" t="str">
        <f>IFERROR(__xludf.DUMMYFUNCTION("""COMPUTED_VALUE"""),"TradeAttribute2")</f>
        <v>TradeAttribute2</v>
      </c>
      <c r="X5" s="33" t="str">
        <f>IFERROR(__xludf.DUMMYFUNCTION("""COMPUTED_VALUE"""),"TradeAttribute3")</f>
        <v>TradeAttribute3</v>
      </c>
      <c r="Y5" s="33" t="str">
        <f>IFERROR(__xludf.DUMMYFUNCTION("""COMPUTED_VALUE"""),"TradeAttribute4")</f>
        <v>TradeAttribute4</v>
      </c>
      <c r="Z5" s="33" t="str">
        <f>IFERROR(__xludf.DUMMYFUNCTION("""COMPUTED_VALUE"""),"TradeAttribute5")</f>
        <v>TradeAttribute5</v>
      </c>
      <c r="AA5" s="33" t="str">
        <f>IFERROR(__xludf.DUMMYFUNCTION("""COMPUTED_VALUE"""),"TradeAttribute6")</f>
        <v>TradeAttribute6</v>
      </c>
      <c r="AB5" s="33" t="str">
        <f>IFERROR(__xludf.DUMMYFUNCTION("""COMPUTED_VALUE"""),"Venue")</f>
        <v>Venue</v>
      </c>
      <c r="AC5" s="33" t="str">
        <f>IFERROR(__xludf.DUMMYFUNCTION("""COMPUTED_VALUE"""),"ExecutionInstructions")</f>
        <v>ExecutionInstructions</v>
      </c>
      <c r="AD5" s="33" t="str">
        <f>IFERROR(__xludf.DUMMYFUNCTION("""COMPUTED_VALUE"""),"HandlingInstructions")</f>
        <v>HandlingInstructions</v>
      </c>
      <c r="AE5" s="33" t="str">
        <f>IFERROR(__xludf.DUMMYFUNCTION("""COMPUTED_VALUE"""),"Trader")</f>
        <v>Trader</v>
      </c>
      <c r="AF5" s="33" t="str">
        <f>IFERROR(__xludf.DUMMYFUNCTION("""COMPUTED_VALUE"""),"MasterFund")</f>
        <v>MasterFund</v>
      </c>
      <c r="AG5" s="33" t="str">
        <f>IFERROR(__xludf.DUMMYFUNCTION("""COMPUTED_VALUE"""),"RoundLotStrip")</f>
        <v>RoundLotStrip</v>
      </c>
      <c r="AH5" s="33" t="str">
        <f>IFERROR(__xludf.DUMMYFUNCTION("""COMPUTED_VALUE"""),"Round Lots")</f>
        <v>Round Lots</v>
      </c>
      <c r="AI5" s="33" t="str">
        <f>IFERROR(__xludf.DUMMYFUNCTION("""COMPUTED_VALUE"""),"Button_Status")</f>
        <v>Button_Status</v>
      </c>
      <c r="AJ5" s="33" t="str">
        <f>IFERROR(__xludf.DUMMYFUNCTION("""COMPUTED_VALUE"""),"Position")</f>
        <v>Position</v>
      </c>
      <c r="AK5" s="33" t="str">
        <f>IFERROR(__xludf.DUMMYFUNCTION("""COMPUTED_VALUE"""),"Symbol Name")</f>
        <v>Symbol Name</v>
      </c>
      <c r="AL5" s="33" t="str">
        <f>IFERROR(__xludf.DUMMYFUNCTION("""COMPUTED_VALUE"""),"Last")</f>
        <v>Last</v>
      </c>
      <c r="AM5" s="33" t="str">
        <f>IFERROR(__xludf.DUMMYFUNCTION("""COMPUTED_VALUE"""),"Change")</f>
        <v>Change</v>
      </c>
      <c r="AN5" s="33" t="str">
        <f>IFERROR(__xludf.DUMMYFUNCTION("""COMPUTED_VALUE"""),"Bid")</f>
        <v>Bid</v>
      </c>
      <c r="AO5" s="33" t="str">
        <f>IFERROR(__xludf.DUMMYFUNCTION("""COMPUTED_VALUE"""),"Ask")</f>
        <v>Ask</v>
      </c>
      <c r="AP5" s="33" t="str">
        <f>IFERROR(__xludf.DUMMYFUNCTION("""COMPUTED_VALUE"""),"Notional(Base)")</f>
        <v>Notional(Base)</v>
      </c>
      <c r="AQ5" s="33" t="str">
        <f>IFERROR(__xludf.DUMMYFUNCTION("""COMPUTED_VALUE"""),"Notional(Local)")</f>
        <v>Notional(Local)</v>
      </c>
      <c r="AR5" s="33" t="str">
        <f>IFERROR(__xludf.DUMMYFUNCTION("""COMPUTED_VALUE"""),"Exposure")</f>
        <v>Exposure</v>
      </c>
      <c r="AS5" s="33" t="str">
        <f>IFERROR(__xludf.DUMMYFUNCTION("""COMPUTED_VALUE"""),"Day P&amp;L")</f>
        <v>Day P&amp;L</v>
      </c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/>
      <c r="C6" s="8"/>
      <c r="D6" s="12">
        <v>0.0</v>
      </c>
      <c r="E6" s="34"/>
      <c r="F6" s="8"/>
      <c r="G6" s="8"/>
      <c r="H6" s="8"/>
      <c r="I6" s="8"/>
      <c r="J6" s="12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IFERROR(__xludf.DUMMYFUNCTION("""COMPUTED_VALUE"""),"OpenWindow")</f>
        <v>OpenWindow</v>
      </c>
      <c r="C5" s="31" t="str">
        <f>IFERROR(__xludf.DUMMYFUNCTION("""COMPUTED_VALUE"""),"TabName")</f>
        <v>TabName</v>
      </c>
      <c r="D5" s="31" t="str">
        <f>IFERROR(__xludf.DUMMYFUNCTION("""COMPUTED_VALUE"""),"Description")</f>
        <v>Description</v>
      </c>
      <c r="E5" s="31" t="str">
        <f>IFERROR(__xludf.DUMMYFUNCTION("""COMPUTED_VALUE"""),"Save?")</f>
        <v>Save?</v>
      </c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IFERROR(__xludf.DUMMYFUNCTION("""COMPUTED_VALUE"""),"Security Name")</f>
        <v>Security Name</v>
      </c>
      <c r="D5" s="31" t="str">
        <f>IFERROR(__xludf.DUMMYFUNCTION("""COMPUTED_VALUE"""),"Fund")</f>
        <v>Fund</v>
      </c>
      <c r="E5" s="31" t="str">
        <f>IFERROR(__xludf.DUMMYFUNCTION("""COMPUTED_VALUE"""),"Account")</f>
        <v>Account</v>
      </c>
      <c r="F5" s="32" t="str">
        <f>IFERROR(__xludf.DUMMYFUNCTION("""COMPUTED_VALUE"""),"Asset Class")</f>
        <v>Asset Class</v>
      </c>
      <c r="G5" s="31" t="str">
        <f>IFERROR(__xludf.DUMMYFUNCTION("""COMPUTED_VALUE"""),"Position")</f>
        <v>Position</v>
      </c>
      <c r="H5" s="31" t="str">
        <f>IFERROR(__xludf.DUMMYFUNCTION("""COMPUTED_VALUE"""),"Position Side")</f>
        <v>Position Side</v>
      </c>
      <c r="I5" s="31" t="str">
        <f>IFERROR(__xludf.DUMMYFUNCTION("""COMPUTED_VALUE"""),"Px Selected Feed (Local)")</f>
        <v>Px Selected Feed (Local)</v>
      </c>
      <c r="J5" s="31" t="str">
        <f>IFERROR(__xludf.DUMMYFUNCTION("""COMPUTED_VALUE"""),"Px Selected Feed (Base)")</f>
        <v>Px Selected Feed (Base)</v>
      </c>
      <c r="K5" s="31" t="str">
        <f>IFERROR(__xludf.DUMMYFUNCTION("""COMPUTED_VALUE"""),"Market Value (Base)")</f>
        <v>Market Value (Base)</v>
      </c>
      <c r="L5" s="31" t="str">
        <f>IFERROR(__xludf.DUMMYFUNCTION("""COMPUTED_VALUE"""),"% Net Market Value (Base)")</f>
        <v>% Net Market Value (Base)</v>
      </c>
      <c r="M5" s="31" t="str">
        <f>IFERROR(__xludf.DUMMYFUNCTION("""COMPUTED_VALUE"""),"Cost Basis P&amp;L (Base)")</f>
        <v>Cost Basis P&amp;L (Base)</v>
      </c>
      <c r="N5" s="31" t="str">
        <f>IFERROR(__xludf.DUMMYFUNCTION("""COMPUTED_VALUE"""),"% Gain/Loss Cost")</f>
        <v>% Gain/Loss Cost</v>
      </c>
      <c r="O5" s="31" t="str">
        <f>IFERROR(__xludf.DUMMYFUNCTION("""COMPUTED_VALUE"""),"Day P&amp;L (Base)")</f>
        <v>Day P&amp;L (Base)</v>
      </c>
      <c r="P5" s="31" t="str">
        <f>IFERROR(__xludf.DUMMYFUNCTION("""COMPUTED_VALUE"""),"% Gain/Loss Day")</f>
        <v>% Gain/Loss Day</v>
      </c>
      <c r="Q5" s="31" t="str">
        <f>IFERROR(__xludf.DUMMYFUNCTION("""COMPUTED_VALUE"""),"Exposure (Base)")</f>
        <v>Exposure (Base)</v>
      </c>
      <c r="R5" s="31" t="str">
        <f>IFERROR(__xludf.DUMMYFUNCTION("""COMPUTED_VALUE"""),"% Exposure (Base)")</f>
        <v>% Exposure (Base)</v>
      </c>
      <c r="S5" s="31" t="str">
        <f>IFERROR(__xludf.DUMMYFUNCTION("""COMPUTED_VALUE"""),"Live Feed Provider Ticker")</f>
        <v>Live Feed Provider Ticker</v>
      </c>
      <c r="T5" s="33" t="str">
        <f>IFERROR(__xludf.DUMMYFUNCTION("""COMPUTED_VALUE"""),"PositionAction")</f>
        <v>PositionAction</v>
      </c>
      <c r="U5" s="33" t="str">
        <f>IFERROR(__xludf.DUMMYFUNCTION("""COMPUTED_VALUE"""),"VerifyOptionsList")</f>
        <v>VerifyOptionsList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50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IFERROR(__xludf.DUMMYFUNCTION("""COMPUTED_VALUE"""),"Security Name")</f>
        <v>Security Name</v>
      </c>
      <c r="D5" s="31" t="str">
        <f>IFERROR(__xludf.DUMMYFUNCTION("""COMPUTED_VALUE"""),"Fund")</f>
        <v>Fund</v>
      </c>
      <c r="E5" s="31" t="str">
        <f>IFERROR(__xludf.DUMMYFUNCTION("""COMPUTED_VALUE"""),"Account")</f>
        <v>Account</v>
      </c>
      <c r="F5" s="32" t="str">
        <f>IFERROR(__xludf.DUMMYFUNCTION("""COMPUTED_VALUE"""),"Asset Class")</f>
        <v>Asset Class</v>
      </c>
      <c r="G5" s="31" t="str">
        <f>IFERROR(__xludf.DUMMYFUNCTION("""COMPUTED_VALUE"""),"Position")</f>
        <v>Position</v>
      </c>
      <c r="H5" s="31" t="str">
        <f>IFERROR(__xludf.DUMMYFUNCTION("""COMPUTED_VALUE"""),"Position Side")</f>
        <v>Position Side</v>
      </c>
      <c r="I5" s="31" t="str">
        <f>IFERROR(__xludf.DUMMYFUNCTION("""COMPUTED_VALUE"""),"Px Selected Feed (Local)")</f>
        <v>Px Selected Feed (Local)</v>
      </c>
      <c r="J5" s="31" t="str">
        <f>IFERROR(__xludf.DUMMYFUNCTION("""COMPUTED_VALUE"""),"Px Selected Feed (Base)")</f>
        <v>Px Selected Feed (Base)</v>
      </c>
      <c r="K5" s="31" t="str">
        <f>IFERROR(__xludf.DUMMYFUNCTION("""COMPUTED_VALUE"""),"Market Value (Base)")</f>
        <v>Market Value (Base)</v>
      </c>
      <c r="L5" s="31" t="str">
        <f>IFERROR(__xludf.DUMMYFUNCTION("""COMPUTED_VALUE"""),"% Net Market Value (Base)")</f>
        <v>% Net Market Value (Base)</v>
      </c>
      <c r="M5" s="31" t="str">
        <f>IFERROR(__xludf.DUMMYFUNCTION("""COMPUTED_VALUE"""),"Cost Basis P&amp;L (Base)")</f>
        <v>Cost Basis P&amp;L (Base)</v>
      </c>
      <c r="N5" s="31" t="str">
        <f>IFERROR(__xludf.DUMMYFUNCTION("""COMPUTED_VALUE"""),"% Gain/Loss Cost")</f>
        <v>% Gain/Loss Cost</v>
      </c>
      <c r="O5" s="31" t="str">
        <f>IFERROR(__xludf.DUMMYFUNCTION("""COMPUTED_VALUE"""),"Day P&amp;L (Base)")</f>
        <v>Day P&amp;L (Base)</v>
      </c>
      <c r="P5" s="31" t="str">
        <f>IFERROR(__xludf.DUMMYFUNCTION("""COMPUTED_VALUE"""),"% Gain/Loss Day")</f>
        <v>% Gain/Loss Day</v>
      </c>
      <c r="Q5" s="31" t="str">
        <f>IFERROR(__xludf.DUMMYFUNCTION("""COMPUTED_VALUE"""),"Exposure (Base)")</f>
        <v>Exposure (Base)</v>
      </c>
      <c r="R5" s="31" t="str">
        <f>IFERROR(__xludf.DUMMYFUNCTION("""COMPUTED_VALUE"""),"% Exposure (Base)")</f>
        <v>% Exposure (Base)</v>
      </c>
      <c r="S5" s="31" t="str">
        <f>IFERROR(__xludf.DUMMYFUNCTION("""COMPUTED_VALUE"""),"Live Feed Provider Ticker")</f>
        <v>Live Feed Provider Ticker</v>
      </c>
      <c r="T5" s="33" t="str">
        <f>IFERROR(__xludf.DUMMYFUNCTION("""COMPUTED_VALUE"""),"PositionAction")</f>
        <v>PositionAction</v>
      </c>
      <c r="U5" s="33" t="str">
        <f>IFERROR(__xludf.DUMMYFUNCTION("""COMPUTED_VALUE"""),"VerifyOptionsList")</f>
        <v>VerifyOptionsList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50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2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1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3" t="str">
        <f>IFERROR(__xludf.DUMMYFUNCTION("""COMPUTED_VALUE"""),"SoftBasis")</f>
        <v>SoftBasis</v>
      </c>
      <c r="U5" s="33" t="str">
        <f>IFERROR(__xludf.DUMMYFUNCTION("""COMPUTED_VALUE"""),"SoftRate")</f>
        <v>SoftRate</v>
      </c>
      <c r="V5" s="33" t="str">
        <f>IFERROR(__xludf.DUMMYFUNCTION("""COMPUTED_VALUE"""),"TradeAttribute1")</f>
        <v>TradeAttribute1</v>
      </c>
      <c r="W5" s="33" t="str">
        <f>IFERROR(__xludf.DUMMYFUNCTION("""COMPUTED_VALUE"""),"TradeAttribute2")</f>
        <v>TradeAttribute2</v>
      </c>
      <c r="X5" s="33" t="str">
        <f>IFERROR(__xludf.DUMMYFUNCTION("""COMPUTED_VALUE"""),"TradeAttribute3")</f>
        <v>TradeAttribute3</v>
      </c>
      <c r="Y5" s="33" t="str">
        <f>IFERROR(__xludf.DUMMYFUNCTION("""COMPUTED_VALUE"""),"TradeAttribute4")</f>
        <v>TradeAttribute4</v>
      </c>
      <c r="Z5" s="33" t="str">
        <f>IFERROR(__xludf.DUMMYFUNCTION("""COMPUTED_VALUE"""),"TradeAttribute5")</f>
        <v>TradeAttribute5</v>
      </c>
      <c r="AA5" s="33" t="str">
        <f>IFERROR(__xludf.DUMMYFUNCTION("""COMPUTED_VALUE"""),"TradeAttribute6")</f>
        <v>TradeAttribute6</v>
      </c>
      <c r="AB5" s="33" t="str">
        <f>IFERROR(__xludf.DUMMYFUNCTION("""COMPUTED_VALUE"""),"Venue")</f>
        <v>Venue</v>
      </c>
      <c r="AC5" s="33" t="str">
        <f>IFERROR(__xludf.DUMMYFUNCTION("""COMPUTED_VALUE"""),"ExecutionInstructions")</f>
        <v>ExecutionInstructions</v>
      </c>
      <c r="AD5" s="33" t="str">
        <f>IFERROR(__xludf.DUMMYFUNCTION("""COMPUTED_VALUE"""),"HandlingInstructions")</f>
        <v>HandlingInstructions</v>
      </c>
      <c r="AE5" s="33" t="str">
        <f>IFERROR(__xludf.DUMMYFUNCTION("""COMPUTED_VALUE"""),"Trader")</f>
        <v>Trader</v>
      </c>
      <c r="AF5" s="33" t="str">
        <f>IFERROR(__xludf.DUMMYFUNCTION("""COMPUTED_VALUE"""),"MasterFund")</f>
        <v>MasterFund</v>
      </c>
      <c r="AG5" s="33" t="str">
        <f>IFERROR(__xludf.DUMMYFUNCTION("""COMPUTED_VALUE"""),"RoundLotStrip")</f>
        <v>RoundLotStrip</v>
      </c>
      <c r="AH5" s="33" t="str">
        <f>IFERROR(__xludf.DUMMYFUNCTION("""COMPUTED_VALUE"""),"Round Lots")</f>
        <v>Round Lots</v>
      </c>
      <c r="AI5" s="33" t="str">
        <f>IFERROR(__xludf.DUMMYFUNCTION("""COMPUTED_VALUE"""),"Button_Status")</f>
        <v>Button_Status</v>
      </c>
      <c r="AJ5" s="33" t="str">
        <f>IFERROR(__xludf.DUMMYFUNCTION("""COMPUTED_VALUE"""),"Position")</f>
        <v>Position</v>
      </c>
      <c r="AK5" s="33" t="str">
        <f>IFERROR(__xludf.DUMMYFUNCTION("""COMPUTED_VALUE"""),"Symbol Name")</f>
        <v>Symbol Name</v>
      </c>
      <c r="AL5" s="33" t="str">
        <f>IFERROR(__xludf.DUMMYFUNCTION("""COMPUTED_VALUE"""),"Last")</f>
        <v>Last</v>
      </c>
      <c r="AM5" s="33" t="str">
        <f>IFERROR(__xludf.DUMMYFUNCTION("""COMPUTED_VALUE"""),"Change")</f>
        <v>Change</v>
      </c>
      <c r="AN5" s="33" t="str">
        <f>IFERROR(__xludf.DUMMYFUNCTION("""COMPUTED_VALUE"""),"Bid")</f>
        <v>Bid</v>
      </c>
      <c r="AO5" s="33" t="str">
        <f>IFERROR(__xludf.DUMMYFUNCTION("""COMPUTED_VALUE"""),"Ask")</f>
        <v>Ask</v>
      </c>
      <c r="AP5" s="33" t="str">
        <f>IFERROR(__xludf.DUMMYFUNCTION("""COMPUTED_VALUE"""),"Notional(Base)")</f>
        <v>Notional(Base)</v>
      </c>
      <c r="AQ5" s="33" t="str">
        <f>IFERROR(__xludf.DUMMYFUNCTION("""COMPUTED_VALUE"""),"Notional(Local)")</f>
        <v>Notional(Local)</v>
      </c>
      <c r="AR5" s="33" t="str">
        <f>IFERROR(__xludf.DUMMYFUNCTION("""COMPUTED_VALUE"""),"Exposure")</f>
        <v>Exposure</v>
      </c>
      <c r="AS5" s="33" t="str">
        <f>IFERROR(__xludf.DUMMYFUNCTION("""COMPUTED_VALUE"""),"Day P&amp;L")</f>
        <v>Day P&amp;L</v>
      </c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/>
      <c r="C6" s="8"/>
      <c r="D6" s="12">
        <v>100.0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IFERROR(__xludf.DUMMYFUNCTION("""COMPUTED_VALUE"""),"WindowName")</f>
        <v>WindowName</v>
      </c>
      <c r="C5" s="31" t="str">
        <f>IFERROR(__xludf.DUMMYFUNCTION("""COMPUTED_VALUE"""),"WindowPresentOrNot")</f>
        <v>WindowPresentOrNot</v>
      </c>
      <c r="D5" s="31"/>
      <c r="E5" s="31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66</v>
      </c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