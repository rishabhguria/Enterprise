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6"/>
  </bookViews>
  <sheets>
    <sheet name="_Modules" sheetId="1" r:id="rId1"/>
    <sheet name="_Settings" sheetId="2" r:id="rId2"/>
    <sheet name="_MasterData" sheetId="3" r:id="rId3"/>
    <sheet name="TradeBloomberg" sheetId="4" r:id="rId4"/>
    <sheet name="VerifyWorkingSubs" sheetId="5" r:id="rId5"/>
    <sheet name="CheckUnallocatedGroups" sheetId="6" r:id="rId6"/>
    <sheet name="CheckPortfolioManagement" sheetId="7" r:id="rId7"/>
    <sheet name="GetDataAllocation" sheetId="8" r:id="rId8"/>
    <sheet name="VerifyOrder" sheetId="9" r:id="rId9"/>
    <sheet name="VerifySubOrder" sheetId="10" r:id="rId10"/>
  </sheets>
  <calcPr calcId="145621"/>
</workbook>
</file>

<file path=xl/calcChain.xml><?xml version="1.0" encoding="utf-8"?>
<calcChain xmlns="http://schemas.openxmlformats.org/spreadsheetml/2006/main">
  <c r="BK5" i="7" l="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FB5" i="7"/>
  <c r="ET5" i="7"/>
  <c r="EL5" i="7"/>
  <c r="ED5" i="7"/>
  <c r="DV5" i="7"/>
  <c r="DN5" i="7"/>
  <c r="DF5" i="7"/>
  <c r="CX5" i="7"/>
  <c r="CP5" i="7"/>
  <c r="CH5" i="7"/>
  <c r="BZ5" i="7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AB5" i="10"/>
  <c r="DN4" i="10"/>
  <c r="BI4" i="10"/>
  <c r="AC4" i="10"/>
  <c r="EU5" i="9"/>
  <c r="DX5" i="9"/>
  <c r="DC5" i="9"/>
  <c r="CI5" i="9"/>
  <c r="BL5" i="9"/>
  <c r="AQ5" i="9"/>
  <c r="W5" i="9"/>
  <c r="EX4" i="9"/>
  <c r="EC4" i="9"/>
  <c r="DI4" i="9"/>
  <c r="CO4" i="9"/>
  <c r="BY4" i="9"/>
  <c r="BI4" i="9"/>
  <c r="AS4" i="9"/>
  <c r="AG4" i="9"/>
  <c r="S4" i="9"/>
  <c r="F4" i="9"/>
  <c r="ER5" i="8"/>
  <c r="EE5" i="8"/>
  <c r="DS5" i="8"/>
  <c r="DE5" i="8"/>
  <c r="CR5" i="8"/>
  <c r="CF5" i="8"/>
  <c r="BS5" i="8"/>
  <c r="BG5" i="8"/>
  <c r="AS5" i="8"/>
  <c r="AF5" i="8"/>
  <c r="T5" i="8"/>
  <c r="H5" i="8"/>
  <c r="EU4" i="8"/>
  <c r="EK4" i="8"/>
  <c r="DZ4" i="8"/>
  <c r="DO4" i="8"/>
  <c r="DE4" i="8"/>
  <c r="CT4" i="8"/>
  <c r="CI4" i="8"/>
  <c r="BY4" i="8"/>
  <c r="BN4" i="8"/>
  <c r="BD4" i="8"/>
  <c r="AU4" i="8"/>
  <c r="AL4" i="8"/>
  <c r="AC4" i="8"/>
  <c r="T4" i="8"/>
  <c r="J4" i="8"/>
  <c r="EY5" i="7"/>
  <c r="EP5" i="7"/>
  <c r="EG5" i="7"/>
  <c r="DX5" i="7"/>
  <c r="DO5" i="7"/>
  <c r="DE5" i="7"/>
  <c r="CV5" i="7"/>
  <c r="CM5" i="7"/>
  <c r="CD5" i="7"/>
  <c r="BU5" i="7"/>
  <c r="BM5" i="7"/>
  <c r="BE5" i="7"/>
  <c r="AW5" i="7"/>
  <c r="AO5" i="7"/>
  <c r="AG5" i="7"/>
  <c r="Y5" i="7"/>
  <c r="Q5" i="7"/>
  <c r="I5" i="7"/>
  <c r="A5" i="7"/>
  <c r="EZ4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T5" i="10"/>
  <c r="DF4" i="10"/>
  <c r="BB4" i="10"/>
  <c r="V4" i="10"/>
  <c r="EQ5" i="9"/>
  <c r="DW5" i="9"/>
  <c r="CZ5" i="9"/>
  <c r="CE5" i="9"/>
  <c r="BK5" i="9"/>
  <c r="AN5" i="9"/>
  <c r="S5" i="9"/>
  <c r="EW4" i="9"/>
  <c r="DZ4" i="9"/>
  <c r="DE4" i="9"/>
  <c r="CM4" i="9"/>
  <c r="BW4" i="9"/>
  <c r="BG4" i="9"/>
  <c r="AQ4" i="9"/>
  <c r="AD4" i="9"/>
  <c r="R4" i="9"/>
  <c r="E4" i="9"/>
  <c r="EQ5" i="8"/>
  <c r="EC5" i="8"/>
  <c r="DP5" i="8"/>
  <c r="DD5" i="8"/>
  <c r="CQ5" i="8"/>
  <c r="CE5" i="8"/>
  <c r="BQ5" i="8"/>
  <c r="BD5" i="8"/>
  <c r="AR5" i="8"/>
  <c r="AE5" i="8"/>
  <c r="S5" i="8"/>
  <c r="G5" i="8"/>
  <c r="ET4" i="8"/>
  <c r="EJ4" i="8"/>
  <c r="DY4" i="8"/>
  <c r="DN4" i="8"/>
  <c r="DD4" i="8"/>
  <c r="CS4" i="8"/>
  <c r="CH4" i="8"/>
  <c r="BX4" i="8"/>
  <c r="BM4" i="8"/>
  <c r="BC4" i="8"/>
  <c r="AT4" i="8"/>
  <c r="AK4" i="8"/>
  <c r="AB4" i="8"/>
  <c r="R4" i="8"/>
  <c r="I4" i="8"/>
  <c r="FG5" i="7"/>
  <c r="EX5" i="7"/>
  <c r="EO5" i="7"/>
  <c r="EF5" i="7"/>
  <c r="DW5" i="7"/>
  <c r="DM5" i="7"/>
  <c r="DD5" i="7"/>
  <c r="CU5" i="7"/>
  <c r="CL5" i="7"/>
  <c r="CC5" i="7"/>
  <c r="BT5" i="7"/>
  <c r="BL5" i="7"/>
  <c r="BD5" i="7"/>
  <c r="AV5" i="7"/>
  <c r="AN5" i="7"/>
  <c r="AF5" i="7"/>
  <c r="X5" i="7"/>
  <c r="P5" i="7"/>
  <c r="H5" i="7"/>
  <c r="FG4" i="7"/>
  <c r="EY4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L5" i="10"/>
  <c r="CX4" i="10"/>
  <c r="BA4" i="10"/>
  <c r="U4" i="10"/>
  <c r="EN5" i="9"/>
  <c r="DS5" i="9"/>
  <c r="CY5" i="9"/>
  <c r="CB5" i="9"/>
  <c r="BG5" i="9"/>
  <c r="AM5" i="9"/>
  <c r="P5" i="9"/>
  <c r="ES4" i="9"/>
  <c r="DY4" i="9"/>
  <c r="DB4" i="9"/>
  <c r="CL4" i="9"/>
  <c r="BV4" i="9"/>
  <c r="BF4" i="9"/>
  <c r="AP4" i="9"/>
  <c r="AC4" i="9"/>
  <c r="Q4" i="9"/>
  <c r="C4" i="9"/>
  <c r="EN5" i="8"/>
  <c r="EB5" i="8"/>
  <c r="DO5" i="8"/>
  <c r="DC5" i="8"/>
  <c r="CO5" i="8"/>
  <c r="CB5" i="8"/>
  <c r="BP5" i="8"/>
  <c r="BC5" i="8"/>
  <c r="AQ5" i="8"/>
  <c r="AC5" i="8"/>
  <c r="P5" i="8"/>
  <c r="E5" i="8"/>
  <c r="ES4" i="8"/>
  <c r="EH4" i="8"/>
  <c r="DW4" i="8"/>
  <c r="DM4" i="8"/>
  <c r="DB4" i="8"/>
  <c r="CQ4" i="8"/>
  <c r="CG4" i="8"/>
  <c r="BV4" i="8"/>
  <c r="BK4" i="8"/>
  <c r="BB4" i="8"/>
  <c r="AS4" i="8"/>
  <c r="AJ4" i="8"/>
  <c r="Z4" i="8"/>
  <c r="Q4" i="8"/>
  <c r="H4" i="8"/>
  <c r="FF5" i="7"/>
  <c r="EW5" i="7"/>
  <c r="EN5" i="7"/>
  <c r="EE5" i="7"/>
  <c r="DU5" i="7"/>
  <c r="DL5" i="7"/>
  <c r="DC5" i="7"/>
  <c r="CT5" i="7"/>
  <c r="CK5" i="7"/>
  <c r="CB5" i="7"/>
  <c r="BS5" i="7"/>
  <c r="BC5" i="7"/>
  <c r="AU5" i="7"/>
  <c r="AM5" i="7"/>
  <c r="AE5" i="7"/>
  <c r="W5" i="7"/>
  <c r="O5" i="7"/>
  <c r="G5" i="7"/>
  <c r="FF4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D5" i="10"/>
  <c r="CP4" i="10"/>
  <c r="AT4" i="10"/>
  <c r="N4" i="10"/>
  <c r="EM5" i="9"/>
  <c r="DP5" i="9"/>
  <c r="CU5" i="9"/>
  <c r="CA5" i="9"/>
  <c r="BD5" i="9"/>
  <c r="AI5" i="9"/>
  <c r="O5" i="9"/>
  <c r="EP4" i="9"/>
  <c r="DU4" i="9"/>
  <c r="DA4" i="9"/>
  <c r="CK4" i="9"/>
  <c r="BU4" i="9"/>
  <c r="BE4" i="9"/>
  <c r="AO4" i="9"/>
  <c r="AA4" i="9"/>
  <c r="N4" i="9"/>
  <c r="B4" i="9"/>
  <c r="EM5" i="8"/>
  <c r="EA5" i="8"/>
  <c r="DM5" i="8"/>
  <c r="CZ5" i="8"/>
  <c r="CN5" i="8"/>
  <c r="CA5" i="8"/>
  <c r="BO5" i="8"/>
  <c r="BA5" i="8"/>
  <c r="AN5" i="8"/>
  <c r="AB5" i="8"/>
  <c r="O5" i="8"/>
  <c r="D5" i="8"/>
  <c r="ER4" i="8"/>
  <c r="EG4" i="8"/>
  <c r="DV4" i="8"/>
  <c r="DL4" i="8"/>
  <c r="DA4" i="8"/>
  <c r="CP4" i="8"/>
  <c r="CF4" i="8"/>
  <c r="BU4" i="8"/>
  <c r="BJ4" i="8"/>
  <c r="BA4" i="8"/>
  <c r="AR4" i="8"/>
  <c r="AH4" i="8"/>
  <c r="Y4" i="8"/>
  <c r="P4" i="8"/>
  <c r="G4" i="8"/>
  <c r="FE5" i="7"/>
  <c r="EV5" i="7"/>
  <c r="EM5" i="7"/>
  <c r="EC5" i="7"/>
  <c r="DT5" i="7"/>
  <c r="DK5" i="7"/>
  <c r="DB5" i="7"/>
  <c r="CS5" i="7"/>
  <c r="CJ5" i="7"/>
  <c r="CA5" i="7"/>
  <c r="BR5" i="7"/>
  <c r="BJ5" i="7"/>
  <c r="BB5" i="7"/>
  <c r="AT5" i="7"/>
  <c r="AL5" i="7"/>
  <c r="AD5" i="7"/>
  <c r="V5" i="7"/>
  <c r="N5" i="7"/>
  <c r="F5" i="7"/>
  <c r="FE4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ET4" i="10"/>
  <c r="CH4" i="10"/>
  <c r="AS4" i="10"/>
  <c r="M4" i="10"/>
  <c r="EI5" i="9"/>
  <c r="DO5" i="9"/>
  <c r="CR5" i="9"/>
  <c r="BW5" i="9"/>
  <c r="BC5" i="9"/>
  <c r="AF5" i="9"/>
  <c r="K5" i="9"/>
  <c r="EO4" i="9"/>
  <c r="DR4" i="9"/>
  <c r="CW4" i="9"/>
  <c r="CG4" i="9"/>
  <c r="BQ4" i="9"/>
  <c r="BA4" i="9"/>
  <c r="AL4" i="9"/>
  <c r="Z4" i="9"/>
  <c r="M4" i="9"/>
  <c r="EK5" i="8"/>
  <c r="DX5" i="8"/>
  <c r="DL5" i="8"/>
  <c r="CY5" i="8"/>
  <c r="CM5" i="8"/>
  <c r="BY5" i="8"/>
  <c r="BL5" i="8"/>
  <c r="AZ5" i="8"/>
  <c r="AM5" i="8"/>
  <c r="AA5" i="8"/>
  <c r="M5" i="8"/>
  <c r="C5" i="8"/>
  <c r="EP4" i="8"/>
  <c r="EE4" i="8"/>
  <c r="DU4" i="8"/>
  <c r="DJ4" i="8"/>
  <c r="CY4" i="8"/>
  <c r="CO4" i="8"/>
  <c r="CD4" i="8"/>
  <c r="BS4" i="8"/>
  <c r="BI4" i="8"/>
  <c r="AZ4" i="8"/>
  <c r="AP4" i="8"/>
  <c r="AG4" i="8"/>
  <c r="X4" i="8"/>
  <c r="O4" i="8"/>
  <c r="F4" i="8"/>
  <c r="FD5" i="7"/>
  <c r="EU5" i="7"/>
  <c r="EK5" i="7"/>
  <c r="EB5" i="7"/>
  <c r="DS5" i="7"/>
  <c r="DJ5" i="7"/>
  <c r="DA5" i="7"/>
  <c r="CR5" i="7"/>
  <c r="CI5" i="7"/>
  <c r="BY5" i="7"/>
  <c r="BQ5" i="7"/>
  <c r="BI5" i="7"/>
  <c r="BA5" i="7"/>
  <c r="AS5" i="7"/>
  <c r="AK5" i="7"/>
  <c r="AC5" i="7"/>
  <c r="U5" i="7"/>
  <c r="M5" i="7"/>
  <c r="E5" i="7"/>
  <c r="FD4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EL4" i="10"/>
  <c r="BZ4" i="10"/>
  <c r="AL4" i="10"/>
  <c r="F4" i="10"/>
  <c r="EF5" i="9"/>
  <c r="DK5" i="9"/>
  <c r="CQ5" i="9"/>
  <c r="BT5" i="9"/>
  <c r="AY5" i="9"/>
  <c r="AE5" i="9"/>
  <c r="H5" i="9"/>
  <c r="EK4" i="9"/>
  <c r="DQ4" i="9"/>
  <c r="CU4" i="9"/>
  <c r="CE4" i="9"/>
  <c r="BO4" i="9"/>
  <c r="AY4" i="9"/>
  <c r="AK4" i="9"/>
  <c r="Y4" i="9"/>
  <c r="K4" i="9"/>
  <c r="EV5" i="8"/>
  <c r="EJ5" i="8"/>
  <c r="DW5" i="8"/>
  <c r="DK5" i="8"/>
  <c r="CW5" i="8"/>
  <c r="CJ5" i="8"/>
  <c r="BX5" i="8"/>
  <c r="BK5" i="8"/>
  <c r="AY5" i="8"/>
  <c r="AK5" i="8"/>
  <c r="X5" i="8"/>
  <c r="L5" i="8"/>
  <c r="B5" i="8"/>
  <c r="EO4" i="8"/>
  <c r="ED4" i="8"/>
  <c r="DT4" i="8"/>
  <c r="DI4" i="8"/>
  <c r="CX4" i="8"/>
  <c r="CN4" i="8"/>
  <c r="CC4" i="8"/>
  <c r="BR4" i="8"/>
  <c r="BH4" i="8"/>
  <c r="AX4" i="8"/>
  <c r="AO4" i="8"/>
  <c r="AF4" i="8"/>
  <c r="W4" i="8"/>
  <c r="N4" i="8"/>
  <c r="E4" i="8"/>
  <c r="FC5" i="7"/>
  <c r="ES5" i="7"/>
  <c r="EJ5" i="7"/>
  <c r="EA5" i="7"/>
  <c r="DR5" i="7"/>
  <c r="DI5" i="7"/>
  <c r="CZ5" i="7"/>
  <c r="CQ5" i="7"/>
  <c r="CG5" i="7"/>
  <c r="BX5" i="7"/>
  <c r="BP5" i="7"/>
  <c r="BH5" i="7"/>
  <c r="AZ5" i="7"/>
  <c r="AR5" i="7"/>
  <c r="AJ5" i="7"/>
  <c r="AB5" i="7"/>
  <c r="T5" i="7"/>
  <c r="L5" i="7"/>
  <c r="D5" i="7"/>
  <c r="FC4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D4" i="10"/>
  <c r="BR4" i="10"/>
  <c r="AK4" i="10"/>
  <c r="E4" i="10"/>
  <c r="EE5" i="9"/>
  <c r="DH5" i="9"/>
  <c r="CM5" i="9"/>
  <c r="BS5" i="9"/>
  <c r="AV5" i="9"/>
  <c r="AA5" i="9"/>
  <c r="G5" i="9"/>
  <c r="EH4" i="9"/>
  <c r="DM4" i="9"/>
  <c r="CT4" i="9"/>
  <c r="CD4" i="9"/>
  <c r="BN4" i="9"/>
  <c r="AX4" i="9"/>
  <c r="AI4" i="9"/>
  <c r="V4" i="9"/>
  <c r="J4" i="9"/>
  <c r="EU5" i="8"/>
  <c r="EI5" i="8"/>
  <c r="DU5" i="8"/>
  <c r="DH5" i="8"/>
  <c r="CV5" i="8"/>
  <c r="CI5" i="8"/>
  <c r="BW5" i="8"/>
  <c r="BI5" i="8"/>
  <c r="AV5" i="8"/>
  <c r="AJ5" i="8"/>
  <c r="W5" i="8"/>
  <c r="K5" i="8"/>
  <c r="EX4" i="8"/>
  <c r="EM4" i="8"/>
  <c r="EC4" i="8"/>
  <c r="DR4" i="8"/>
  <c r="DG4" i="8"/>
  <c r="CW4" i="8"/>
  <c r="CL4" i="8"/>
  <c r="CA4" i="8"/>
  <c r="BQ4" i="8"/>
  <c r="BF4" i="8"/>
  <c r="AW4" i="8"/>
  <c r="AN4" i="8"/>
  <c r="AE4" i="8"/>
  <c r="V4" i="8"/>
  <c r="M4" i="8"/>
  <c r="D4" i="8"/>
  <c r="FA5" i="7"/>
  <c r="ER5" i="7"/>
  <c r="EI5" i="7"/>
  <c r="DZ5" i="7"/>
  <c r="DQ5" i="7"/>
  <c r="DH5" i="7"/>
  <c r="CY5" i="7"/>
  <c r="CO5" i="7"/>
  <c r="CF5" i="7"/>
  <c r="BW5" i="7"/>
  <c r="BO5" i="7"/>
  <c r="BG5" i="7"/>
  <c r="AY5" i="7"/>
  <c r="AQ5" i="7"/>
  <c r="AI5" i="7"/>
  <c r="AA5" i="7"/>
  <c r="S5" i="7"/>
  <c r="K5" i="7"/>
  <c r="C5" i="7"/>
  <c r="FB4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DV4" i="10"/>
  <c r="BJ4" i="10"/>
  <c r="AD4" i="10"/>
  <c r="EV5" i="9"/>
  <c r="EA5" i="9"/>
  <c r="DG5" i="9"/>
  <c r="CJ5" i="9"/>
  <c r="BO5" i="9"/>
  <c r="AU5" i="9"/>
  <c r="X5" i="9"/>
  <c r="C5" i="9"/>
  <c r="EG4" i="9"/>
  <c r="DJ4" i="9"/>
  <c r="CS4" i="9"/>
  <c r="CC4" i="9"/>
  <c r="BM4" i="9"/>
  <c r="AW4" i="9"/>
  <c r="AH4" i="9"/>
  <c r="U4" i="9"/>
  <c r="I4" i="9"/>
  <c r="ES5" i="8"/>
  <c r="EF5" i="8"/>
  <c r="DT5" i="8"/>
  <c r="DG5" i="8"/>
  <c r="CU5" i="8"/>
  <c r="CG5" i="8"/>
  <c r="BT5" i="8"/>
  <c r="BH5" i="8"/>
  <c r="AU5" i="8"/>
  <c r="AI5" i="8"/>
  <c r="U5" i="8"/>
  <c r="J5" i="8"/>
  <c r="EW4" i="8"/>
  <c r="EL4" i="8"/>
  <c r="EB4" i="8"/>
  <c r="DQ4" i="8"/>
  <c r="DF4" i="8"/>
  <c r="CV4" i="8"/>
  <c r="CK4" i="8"/>
  <c r="BZ4" i="8"/>
  <c r="BP4" i="8"/>
  <c r="BE4" i="8"/>
  <c r="AV4" i="8"/>
  <c r="AM4" i="8"/>
  <c r="AD4" i="8"/>
  <c r="U4" i="8"/>
  <c r="L4" i="8"/>
  <c r="B4" i="8"/>
  <c r="EZ5" i="7"/>
  <c r="EQ5" i="7"/>
  <c r="EH5" i="7"/>
  <c r="DY5" i="7"/>
  <c r="DP5" i="7"/>
  <c r="DG5" i="7"/>
  <c r="CW5" i="7"/>
  <c r="CN5" i="7"/>
  <c r="CE5" i="7"/>
  <c r="BV5" i="7"/>
  <c r="BN5" i="7"/>
  <c r="BF5" i="7"/>
  <c r="AX5" i="7"/>
  <c r="AP5" i="7"/>
  <c r="AH5" i="7"/>
  <c r="Z5" i="7"/>
  <c r="R5" i="7"/>
  <c r="J5" i="7"/>
  <c r="B5" i="7"/>
  <c r="FA4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CV4" i="6"/>
  <c r="AJ4" i="6"/>
  <c r="D4" i="6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CN4" i="6"/>
  <c r="AB4" i="6"/>
  <c r="EX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CF4" i="6"/>
  <c r="U4" i="6"/>
  <c r="EU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BX4" i="6"/>
  <c r="T4" i="6"/>
  <c r="ET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BP4" i="6"/>
  <c r="M4" i="6"/>
  <c r="ER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BH4" i="6"/>
  <c r="L4" i="6"/>
  <c r="EQ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AZ4" i="6"/>
  <c r="H4" i="6"/>
  <c r="EP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AR4" i="6"/>
  <c r="E4" i="6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K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I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H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G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F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E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H713" i="3"/>
  <c r="G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L712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K712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E712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D712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C712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I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H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I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J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G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E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B37" i="3"/>
  <c r="F34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F36" i="3"/>
  <c r="A34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L35" i="3"/>
  <c r="L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J35" i="3"/>
  <c r="J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D35" i="3"/>
  <c r="I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B35" i="3"/>
  <c r="H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I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H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F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E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783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A615" i="1"/>
  <c r="D614" i="1"/>
  <c r="G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L614" i="1"/>
  <c r="C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K614" i="1"/>
  <c r="A614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I614" i="1"/>
  <c r="L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H614" i="1"/>
  <c r="K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G614" i="1"/>
  <c r="J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F614" i="1"/>
  <c r="I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E614" i="1"/>
  <c r="H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D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C444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I273" i="1"/>
  <c r="J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G273" i="1"/>
  <c r="I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K15" i="1"/>
  <c r="K13" i="1"/>
  <c r="G12" i="1"/>
  <c r="C11" i="1"/>
  <c r="K9" i="1"/>
  <c r="G8" i="1"/>
  <c r="C7" i="1"/>
  <c r="K5" i="1"/>
  <c r="G4" i="1"/>
  <c r="J5" i="1"/>
  <c r="F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C15" i="1"/>
  <c r="G14" i="1"/>
  <c r="C13" i="1"/>
  <c r="K11" i="1"/>
  <c r="G10" i="1"/>
  <c r="C9" i="1"/>
  <c r="K7" i="1"/>
  <c r="G6" i="1"/>
  <c r="C5" i="1"/>
  <c r="B5" i="1"/>
  <c r="E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F4" i="1"/>
  <c r="C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B273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18" i="1"/>
  <c r="G15" i="1"/>
  <c r="C14" i="1"/>
  <c r="C12" i="1"/>
  <c r="K10" i="1"/>
  <c r="G9" i="1"/>
  <c r="K8" i="1"/>
  <c r="G7" i="1"/>
  <c r="C6" i="1"/>
  <c r="K4" i="1"/>
  <c r="J4" i="1"/>
  <c r="A273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G17" i="1"/>
  <c r="K16" i="1"/>
  <c r="C16" i="1"/>
  <c r="K14" i="1"/>
  <c r="G13" i="1"/>
  <c r="K12" i="1"/>
  <c r="G11" i="1"/>
  <c r="C10" i="1"/>
  <c r="C8" i="1"/>
  <c r="K6" i="1"/>
  <c r="G5" i="1"/>
  <c r="C4" i="1"/>
  <c r="K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B4" i="1"/>
  <c r="J2" i="10" l="1"/>
  <c r="J2" i="8"/>
  <c r="J2" i="7"/>
  <c r="J2" i="9"/>
  <c r="J2" i="6"/>
  <c r="J2" i="5"/>
  <c r="J2" i="4"/>
</calcChain>
</file>

<file path=xl/sharedStrings.xml><?xml version="1.0" encoding="utf-8"?>
<sst xmlns="http://schemas.openxmlformats.org/spreadsheetml/2006/main" count="85" uniqueCount="32">
  <si>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</si>
  <si>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</si>
  <si>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</si>
  <si>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</si>
  <si>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</si>
  <si>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Modules Info</t>
  </si>
  <si>
    <t>Master Data Info</t>
  </si>
  <si>
    <t>Modules</t>
  </si>
  <si>
    <t>Data</t>
  </si>
  <si>
    <t>Module</t>
  </si>
  <si>
    <t>Step</t>
  </si>
  <si>
    <t>Master Data Sheet</t>
  </si>
  <si>
    <t>TradingTicket</t>
  </si>
  <si>
    <t>TradeBloomberg</t>
  </si>
  <si>
    <t>Data Format</t>
  </si>
  <si>
    <t>Input Format</t>
  </si>
  <si>
    <t>ABK SJ</t>
  </si>
  <si>
    <t>Buy</t>
  </si>
  <si>
    <t>Unallocated</t>
  </si>
  <si>
    <t>Market</t>
  </si>
  <si>
    <t>Blotter</t>
  </si>
  <si>
    <t>VerifyWorkingSubs</t>
  </si>
  <si>
    <t>ABK-JSE</t>
  </si>
  <si>
    <t>Allocation</t>
  </si>
  <si>
    <t>CheckUnallocatedGroups</t>
  </si>
  <si>
    <t>PortfolioManagement</t>
  </si>
  <si>
    <t>CheckPortfolioManagement</t>
  </si>
  <si>
    <t>GetDataAllocation</t>
  </si>
  <si>
    <t>Current</t>
  </si>
  <si>
    <t>VerifyOrder</t>
  </si>
  <si>
    <t>Filled</t>
  </si>
  <si>
    <t>VerifySubOrder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</si>
</sst>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7" fillId="0" borderId="0" xfId="0" applyFont="1" applyAlignment="1"/>
    <xf numFmtId="0" fontId="7" fillId="3" borderId="4" xfId="0" applyFont="1" applyFill="1" applyBorder="1" applyAlignment="1"/>
    <xf numFmtId="0" fontId="7" fillId="3" borderId="4" xfId="0" applyFont="1" applyFill="1" applyBorder="1" applyAlignment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5" fillId="0" borderId="0" xfId="0" applyFont="1" applyAlignment="1"/>
    <xf numFmtId="0" fontId="4" fillId="3" borderId="0" xfId="0" applyFont="1" applyFill="1" applyAlignment="1"/>
    <xf numFmtId="0" fontId="5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7" fillId="0" borderId="0" xfId="0" applyFont="1" applyAlignment="1"/>
    <xf numFmtId="0" fontId="3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7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3" fillId="0" borderId="0" xfId="0" applyFont="1" applyAlignment="1"/>
    <xf numFmtId="0" fontId="7" fillId="0" borderId="5" xfId="0" applyFont="1" applyBorder="1" applyAlignment="1"/>
    <xf numFmtId="0" fontId="7" fillId="0" borderId="5" xfId="0" applyFont="1" applyBorder="1" applyAlignment="1"/>
    <xf numFmtId="0" fontId="3" fillId="0" borderId="5" xfId="0" applyFont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8" t="s">
        <v>5</v>
      </c>
      <c r="B1" s="39"/>
      <c r="C1" s="39"/>
      <c r="D1" s="39"/>
      <c r="E1" s="39"/>
      <c r="F1" s="40"/>
    </row>
    <row r="2" spans="1:12" ht="15.75" customHeight="1" x14ac:dyDescent="0.2">
      <c r="A2" s="6"/>
      <c r="B2" s="6"/>
      <c r="C2" s="6"/>
      <c r="D2" s="6"/>
      <c r="E2" s="6"/>
      <c r="F2" s="6"/>
    </row>
    <row r="3" spans="1:12" ht="15.75" customHeight="1" x14ac:dyDescent="0.2">
      <c r="A3" s="2" t="s">
        <v>7</v>
      </c>
      <c r="B3" s="7"/>
      <c r="C3" s="8"/>
      <c r="D3" s="8"/>
      <c r="E3" s="8"/>
      <c r="F3" s="8"/>
    </row>
    <row r="4" spans="1:12" ht="15.75" customHeight="1" x14ac:dyDescent="0.2">
      <c r="A4" s="1" t="str">
        <f ca="1">IFERROR(__xludf.DUMMYFUNCTION("IMPORTRANGE('_Settings'!B3,""Modules!A4:L1000"")"),"Allocation")</f>
        <v>Allocation</v>
      </c>
      <c r="B4" s="6" t="str">
        <f ca="1">IFERROR(__xludf.DUMMYFUNCTION("""COMPUTED_VALUE"""),"Allocate")</f>
        <v>Allocate</v>
      </c>
      <c r="C4" s="6" t="str">
        <f ca="1">IFERROR(__xludf.DUMMYFUNCTION("""COMPUTED_VALUE"""),"1g8wLprruaWRC_5pQcovqkv8ZCiMt5fspCOACibdkz7g")</f>
        <v>1g8wLprruaWRC_5pQcovqkv8ZCiMt5fspCOACibdkz7g</v>
      </c>
      <c r="D4" s="6" t="str">
        <f ca="1">IFERROR(__xludf.DUMMYFUNCTION("""COMPUTED_VALUE"""),"")</f>
        <v/>
      </c>
      <c r="E4" s="6" t="str">
        <f ca="1">IFERROR(__xludf.DUMMYFUNCTION("""COMPUTED_VALUE"""),"")</f>
        <v/>
      </c>
      <c r="F4" s="6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1" t="str">
        <f ca="1">IFERROR(__xludf.DUMMYFUNCTION("""COMPUTED_VALUE"""),"Allocation")</f>
        <v>Allocation</v>
      </c>
      <c r="B5" s="6" t="str">
        <f ca="1">IFERROR(__xludf.DUMMYFUNCTION("""COMPUTED_VALUE"""),"CheckAllocatedGroups")</f>
        <v>CheckAllocatedGroups</v>
      </c>
      <c r="C5" s="6" t="str">
        <f ca="1">IFERROR(__xludf.DUMMYFUNCTION("""COMPUTED_VALUE"""),"1aecq-HMDoDkIInONjPC11z5TBFHyJhv4ro66e2ZOphg")</f>
        <v>1aecq-HMDoDkIInONjPC11z5TBFHyJhv4ro66e2ZOphg</v>
      </c>
      <c r="D5" s="6" t="str">
        <f ca="1">IFERROR(__xludf.DUMMYFUNCTION("""COMPUTED_VALUE"""),"")</f>
        <v/>
      </c>
      <c r="E5" s="6" t="str">
        <f ca="1">IFERROR(__xludf.DUMMYFUNCTION("""COMPUTED_VALUE"""),"")</f>
        <v/>
      </c>
      <c r="F5" s="6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6" t="str">
        <f ca="1">IFERROR(__xludf.DUMMYFUNCTION("""COMPUTED_VALUE"""),"Allocation")</f>
        <v>Allocation</v>
      </c>
      <c r="B6" s="6" t="str">
        <f ca="1">IFERROR(__xludf.DUMMYFUNCTION("""COMPUTED_VALUE"""),"Unallocate")</f>
        <v>Unallocate</v>
      </c>
      <c r="C6" s="6" t="str">
        <f ca="1">IFERROR(__xludf.DUMMYFUNCTION("""COMPUTED_VALUE"""),"1eDZq-_vllq4jwvwpk9qGnwQUhlb-sFvyFKPBriT2dA0")</f>
        <v>1eDZq-_vllq4jwvwpk9qGnwQUhlb-sFvyFKPBriT2dA0</v>
      </c>
      <c r="D6" s="6" t="str">
        <f ca="1">IFERROR(__xludf.DUMMYFUNCTION("""COMPUTED_VALUE"""),"")</f>
        <v/>
      </c>
      <c r="E6" s="6" t="str">
        <f ca="1">IFERROR(__xludf.DUMMYFUNCTION("""COMPUTED_VALUE"""),"")</f>
        <v/>
      </c>
      <c r="F6" s="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6" t="str">
        <f ca="1">IFERROR(__xludf.DUMMYFUNCTION("""COMPUTED_VALUE"""),"Allocation")</f>
        <v>Allocation</v>
      </c>
      <c r="B7" s="6" t="str">
        <f ca="1">IFERROR(__xludf.DUMMYFUNCTION("""COMPUTED_VALUE"""),"GetDataAllocation")</f>
        <v>GetDataAllocation</v>
      </c>
      <c r="C7" s="6" t="str">
        <f ca="1">IFERROR(__xludf.DUMMYFUNCTION("""COMPUTED_VALUE"""),"1FBTO3wCB7odq-jpQMbYHgSrAL5-rFO2_kp9Kr2iXqXE")</f>
        <v>1FBTO3wCB7odq-jpQMbYHgSrAL5-rFO2_kp9Kr2iXqXE</v>
      </c>
      <c r="D7" s="6" t="str">
        <f ca="1">IFERROR(__xludf.DUMMYFUNCTION("""COMPUTED_VALUE"""),"")</f>
        <v/>
      </c>
      <c r="E7" s="6" t="str">
        <f ca="1">IFERROR(__xludf.DUMMYFUNCTION("""COMPUTED_VALUE"""),"")</f>
        <v/>
      </c>
      <c r="F7" s="6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6" t="str">
        <f ca="1">IFERROR(__xludf.DUMMYFUNCTION("""COMPUTED_VALUE"""),"Allocation")</f>
        <v>Allocation</v>
      </c>
      <c r="B8" s="6" t="str">
        <f ca="1">IFERROR(__xludf.DUMMYFUNCTION("""COMPUTED_VALUE"""),"SelectAllocatedGroup")</f>
        <v>SelectAllocatedGroup</v>
      </c>
      <c r="C8" s="6" t="str">
        <f ca="1">IFERROR(__xludf.DUMMYFUNCTION("""COMPUTED_VALUE"""),"1G0ZkXDrIDX_loGmAyLs_Shy8hExtTELtFXERbX-HdPo")</f>
        <v>1G0ZkXDrIDX_loGmAyLs_Shy8hExtTELtFXERbX-HdPo</v>
      </c>
      <c r="D8" s="6" t="str">
        <f ca="1">IFERROR(__xludf.DUMMYFUNCTION("""COMPUTED_VALUE"""),"")</f>
        <v/>
      </c>
      <c r="E8" s="6" t="str">
        <f ca="1">IFERROR(__xludf.DUMMYFUNCTION("""COMPUTED_VALUE"""),"")</f>
        <v/>
      </c>
      <c r="F8" s="6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6" t="str">
        <f ca="1">IFERROR(__xludf.DUMMYFUNCTION("""COMPUTED_VALUE"""),"Allocation")</f>
        <v>Allocation</v>
      </c>
      <c r="B9" s="6" t="str">
        <f ca="1">IFERROR(__xludf.DUMMYFUNCTION("""COMPUTED_VALUE"""),"EditTradesAllocated")</f>
        <v>EditTradesAllocated</v>
      </c>
      <c r="C9" s="6" t="str">
        <f ca="1">IFERROR(__xludf.DUMMYFUNCTION("""COMPUTED_VALUE"""),"1YgVZ1jEVgjUF1Dp8FAj_W_zLEZCyqvNMlWJIg0Tmkq4")</f>
        <v>1YgVZ1jEVgjUF1Dp8FAj_W_zLEZCyqvNMlWJIg0Tmkq4</v>
      </c>
      <c r="D9" s="6" t="str">
        <f ca="1">IFERROR(__xludf.DUMMYFUNCTION("""COMPUTED_VALUE"""),"")</f>
        <v/>
      </c>
      <c r="E9" s="6" t="str">
        <f ca="1">IFERROR(__xludf.DUMMYFUNCTION("""COMPUTED_VALUE"""),"")</f>
        <v/>
      </c>
      <c r="F9" s="6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6" t="str">
        <f ca="1">IFERROR(__xludf.DUMMYFUNCTION("""COMPUTED_VALUE"""),"Allocation")</f>
        <v>Allocation</v>
      </c>
      <c r="B10" s="6" t="str">
        <f ca="1">IFERROR(__xludf.DUMMYFUNCTION("""COMPUTED_VALUE"""),"EditTradesUnallocated")</f>
        <v>EditTradesUnallocated</v>
      </c>
      <c r="C10" s="6" t="str">
        <f ca="1">IFERROR(__xludf.DUMMYFUNCTION("""COMPUTED_VALUE"""),"1MyB61T39MDAUyQqCUJLATzUT2f5UlE8nFq4ltWy_DJ4")</f>
        <v>1MyB61T39MDAUyQqCUJLATzUT2f5UlE8nFq4ltWy_DJ4</v>
      </c>
      <c r="D10" s="6" t="str">
        <f ca="1">IFERROR(__xludf.DUMMYFUNCTION("""COMPUTED_VALUE"""),"")</f>
        <v/>
      </c>
      <c r="E10" s="6" t="str">
        <f ca="1">IFERROR(__xludf.DUMMYFUNCTION("""COMPUTED_VALUE"""),"")</f>
        <v/>
      </c>
      <c r="F10" s="6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6" t="str">
        <f ca="1">IFERROR(__xludf.DUMMYFUNCTION("""COMPUTED_VALUE"""),"Allocation")</f>
        <v>Allocation</v>
      </c>
      <c r="B11" s="6" t="str">
        <f ca="1">IFERROR(__xludf.DUMMYFUNCTION("""COMPUTED_VALUE"""),"Reallocate")</f>
        <v>Reallocate</v>
      </c>
      <c r="C11" s="6" t="str">
        <f ca="1">IFERROR(__xludf.DUMMYFUNCTION("""COMPUTED_VALUE"""),"undefined")</f>
        <v>undefined</v>
      </c>
      <c r="D11" s="6" t="str">
        <f ca="1">IFERROR(__xludf.DUMMYFUNCTION("""COMPUTED_VALUE"""),"")</f>
        <v/>
      </c>
      <c r="E11" s="6" t="str">
        <f ca="1">IFERROR(__xludf.DUMMYFUNCTION("""COMPUTED_VALUE"""),"")</f>
        <v/>
      </c>
      <c r="F11" s="6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6" t="str">
        <f ca="1">IFERROR(__xludf.DUMMYFUNCTION("""COMPUTED_VALUE"""),"Blotter")</f>
        <v>Blotter</v>
      </c>
      <c r="B12" s="6" t="str">
        <f ca="1">IFERROR(__xludf.DUMMYFUNCTION("""COMPUTED_VALUE"""),"ReplaceFillsOnBlotter")</f>
        <v>ReplaceFillsOnBlotter</v>
      </c>
      <c r="C12" s="6" t="str">
        <f ca="1">IFERROR(__xludf.DUMMYFUNCTION("""COMPUTED_VALUE"""),"undefined")</f>
        <v>undefined</v>
      </c>
      <c r="D12" s="6" t="str">
        <f ca="1">IFERROR(__xludf.DUMMYFUNCTION("""COMPUTED_VALUE"""),"")</f>
        <v/>
      </c>
      <c r="E12" s="6" t="str">
        <f ca="1">IFERROR(__xludf.DUMMYFUNCTION("""COMPUTED_VALUE"""),"")</f>
        <v/>
      </c>
      <c r="F12" s="6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6" t="str">
        <f ca="1">IFERROR(__xludf.DUMMYFUNCTION("""COMPUTED_VALUE"""),"Blotter")</f>
        <v>Blotter</v>
      </c>
      <c r="B13" s="6" t="str">
        <f ca="1">IFERROR(__xludf.DUMMYFUNCTION("""COMPUTED_VALUE"""),"CheckBlotter")</f>
        <v>CheckBlotter</v>
      </c>
      <c r="C13" s="6" t="str">
        <f ca="1">IFERROR(__xludf.DUMMYFUNCTION("""COMPUTED_VALUE"""),"16qheLbvgC92hKxalWDlpWfHBMyDDVqHERUCc7bQiO2A")</f>
        <v>16qheLbvgC92hKxalWDlpWfHBMyDDVqHERUCc7bQiO2A</v>
      </c>
      <c r="D13" s="6" t="str">
        <f ca="1">IFERROR(__xludf.DUMMYFUNCTION("""COMPUTED_VALUE"""),"")</f>
        <v/>
      </c>
      <c r="E13" s="6" t="str">
        <f ca="1">IFERROR(__xludf.DUMMYFUNCTION("""COMPUTED_VALUE"""),"")</f>
        <v/>
      </c>
      <c r="F13" s="6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6" t="str">
        <f ca="1">IFERROR(__xludf.DUMMYFUNCTION("""COMPUTED_VALUE"""),"GeneralLedger")</f>
        <v>GeneralLedger</v>
      </c>
      <c r="B14" s="6" t="str">
        <f ca="1">IFERROR(__xludf.DUMMYFUNCTION("""COMPUTED_VALUE"""),"GetDataCash")</f>
        <v>GetDataCash</v>
      </c>
      <c r="C14" s="6" t="str">
        <f ca="1">IFERROR(__xludf.DUMMYFUNCTION("""COMPUTED_VALUE"""),"1zLd3ju-mV8f6PZiQUYLU-cAgAUwLwyoIAKuu0WgG2zI")</f>
        <v>1zLd3ju-mV8f6PZiQUYLU-cAgAUwLwyoIAKuu0WgG2zI</v>
      </c>
      <c r="D14" s="6" t="str">
        <f ca="1">IFERROR(__xludf.DUMMYFUNCTION("""COMPUTED_VALUE"""),"")</f>
        <v/>
      </c>
      <c r="E14" s="6" t="str">
        <f ca="1">IFERROR(__xludf.DUMMYFUNCTION("""COMPUTED_VALUE"""),"")</f>
        <v/>
      </c>
      <c r="F14" s="6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6" t="str">
        <f ca="1">IFERROR(__xludf.DUMMYFUNCTION("""COMPUTED_VALUE"""),"GeneralLedger")</f>
        <v>GeneralLedger</v>
      </c>
      <c r="B15" s="6" t="str">
        <f ca="1">IFERROR(__xludf.DUMMYFUNCTION("""COMPUTED_VALUE"""),"EnterCashDividends")</f>
        <v>EnterCashDividends</v>
      </c>
      <c r="C15" s="6" t="str">
        <f ca="1">IFERROR(__xludf.DUMMYFUNCTION("""COMPUTED_VALUE"""),"1sjDsI5FIL_l_G6osMJQ7e8auBgYd3R3JDaKWKV_8Og0")</f>
        <v>1sjDsI5FIL_l_G6osMJQ7e8auBgYd3R3JDaKWKV_8Og0</v>
      </c>
      <c r="D15" s="6" t="str">
        <f ca="1">IFERROR(__xludf.DUMMYFUNCTION("""COMPUTED_VALUE"""),"")</f>
        <v/>
      </c>
      <c r="E15" s="6" t="str">
        <f ca="1">IFERROR(__xludf.DUMMYFUNCTION("""COMPUTED_VALUE"""),"")</f>
        <v/>
      </c>
      <c r="F15" s="6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6" t="str">
        <f ca="1">IFERROR(__xludf.DUMMYFUNCTION("""COMPUTED_VALUE"""),"GeneralLedger")</f>
        <v>GeneralLedger</v>
      </c>
      <c r="B16" s="6" t="str">
        <f ca="1">IFERROR(__xludf.DUMMYFUNCTION("""COMPUTED_VALUE"""),"EnterNonTradingTransaction")</f>
        <v>EnterNonTradingTransaction</v>
      </c>
      <c r="C16" s="6" t="str">
        <f ca="1">IFERROR(__xludf.DUMMYFUNCTION("""COMPUTED_VALUE"""),"1xn1P_Z-3N4d2BC1SUPly2HiVZazly5ZQcS18BfaTyho")</f>
        <v>1xn1P_Z-3N4d2BC1SUPly2HiVZazly5ZQcS18BfaTyho</v>
      </c>
      <c r="D16" s="6" t="str">
        <f ca="1">IFERROR(__xludf.DUMMYFUNCTION("""COMPUTED_VALUE"""),"")</f>
        <v/>
      </c>
      <c r="E16" s="6" t="str">
        <f ca="1">IFERROR(__xludf.DUMMYFUNCTION("""COMPUTED_VALUE"""),"")</f>
        <v/>
      </c>
      <c r="F16" s="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6" t="str">
        <f ca="1">IFERROR(__xludf.DUMMYFUNCTION("""COMPUTED_VALUE"""),"GeneralLedger")</f>
        <v>GeneralLedger</v>
      </c>
      <c r="B17" s="6" t="str">
        <f ca="1">IFERROR(__xludf.DUMMYFUNCTION("""COMPUTED_VALUE"""),"VerifyCash")</f>
        <v>VerifyCash</v>
      </c>
      <c r="C17" s="6" t="str">
        <f ca="1">IFERROR(__xludf.DUMMYFUNCTION("""COMPUTED_VALUE"""),"1vlvYPsiFAWjsnFrbkGn_fAvkwF00V3e7htalalU6QN4")</f>
        <v>1vlvYPsiFAWjsnFrbkGn_fAvkwF00V3e7htalalU6QN4</v>
      </c>
      <c r="D17" s="6" t="str">
        <f ca="1">IFERROR(__xludf.DUMMYFUNCTION("""COMPUTED_VALUE"""),"")</f>
        <v/>
      </c>
      <c r="E17" s="6" t="str">
        <f ca="1">IFERROR(__xludf.DUMMYFUNCTION("""COMPUTED_VALUE"""),"")</f>
        <v/>
      </c>
      <c r="F17" s="6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6" t="str">
        <f ca="1">IFERROR(__xludf.DUMMYFUNCTION("""COMPUTED_VALUE"""),"GeneralLedger")</f>
        <v>GeneralLedger</v>
      </c>
      <c r="B18" s="6" t="str">
        <f ca="1">IFERROR(__xludf.DUMMYFUNCTION("""COMPUTED_VALUE"""),"VerifyActivity")</f>
        <v>VerifyActivity</v>
      </c>
      <c r="C18" s="6" t="str">
        <f ca="1">IFERROR(__xludf.DUMMYFUNCTION("""COMPUTED_VALUE"""),"1o2rCg2FuoAOT5Pl8i4iFP_TwpPm0UB1dd49GbpkytfM")</f>
        <v>1o2rCg2FuoAOT5Pl8i4iFP_TwpPm0UB1dd49GbpkytfM</v>
      </c>
      <c r="D18" s="6" t="str">
        <f ca="1">IFERROR(__xludf.DUMMYFUNCTION("""COMPUTED_VALUE"""),"")</f>
        <v/>
      </c>
      <c r="E18" s="6" t="str">
        <f ca="1">IFERROR(__xludf.DUMMYFUNCTION("""COMPUTED_VALUE"""),"")</f>
        <v/>
      </c>
      <c r="F18" s="6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6" t="str">
        <f ca="1">IFERROR(__xludf.DUMMYFUNCTION("""COMPUTED_VALUE"""),"GeneralLedger")</f>
        <v>GeneralLedger</v>
      </c>
      <c r="B19" s="6" t="str">
        <f ca="1">IFERROR(__xludf.DUMMYFUNCTION("""COMPUTED_VALUE"""),"VerifyTradingTransaction")</f>
        <v>VerifyTradingTransaction</v>
      </c>
      <c r="C19" s="6" t="str">
        <f ca="1">IFERROR(__xludf.DUMMYFUNCTION("""COMPUTED_VALUE"""),"1_v2niCJ9VGNvgEBpvz030BFqEISSUhYRHyWcAJAn_Eg")</f>
        <v>1_v2niCJ9VGNvgEBpvz030BFqEISSUhYRHyWcAJAn_Eg</v>
      </c>
      <c r="D19" s="6" t="str">
        <f ca="1">IFERROR(__xludf.DUMMYFUNCTION("""COMPUTED_VALUE"""),"")</f>
        <v/>
      </c>
      <c r="E19" s="6" t="str">
        <f ca="1">IFERROR(__xludf.DUMMYFUNCTION("""COMPUTED_VALUE"""),"")</f>
        <v/>
      </c>
      <c r="F19" s="6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6" t="str">
        <f ca="1">IFERROR(__xludf.DUMMYFUNCTION("""COMPUTED_VALUE"""),"GeneralLedger")</f>
        <v>GeneralLedger</v>
      </c>
      <c r="B20" s="6" t="str">
        <f ca="1">IFERROR(__xludf.DUMMYFUNCTION("""COMPUTED_VALUE"""),"VerifyRevaluationData")</f>
        <v>VerifyRevaluationData</v>
      </c>
      <c r="C20" s="6" t="str">
        <f ca="1">IFERROR(__xludf.DUMMYFUNCTION("""COMPUTED_VALUE"""),"1hsRs1-LY0akTrMe91ArnbLtk6GUy_bKxVwMYCaiMs-8")</f>
        <v>1hsRs1-LY0akTrMe91ArnbLtk6GUy_bKxVwMYCaiMs-8</v>
      </c>
      <c r="D20" s="6" t="str">
        <f ca="1">IFERROR(__xludf.DUMMYFUNCTION("""COMPUTED_VALUE"""),"")</f>
        <v/>
      </c>
      <c r="E20" s="6" t="str">
        <f ca="1">IFERROR(__xludf.DUMMYFUNCTION("""COMPUTED_VALUE"""),"")</f>
        <v/>
      </c>
      <c r="F20" s="6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6" t="str">
        <f ca="1">IFERROR(__xludf.DUMMYFUNCTION("""COMPUTED_VALUE"""),"CorporateAction")</f>
        <v>CorporateAction</v>
      </c>
      <c r="B21" s="6" t="str">
        <f ca="1">IFERROR(__xludf.DUMMYFUNCTION("""COMPUTED_VALUE"""),"CorporateAction")</f>
        <v>CorporateAction</v>
      </c>
      <c r="C21" s="6" t="str">
        <f ca="1">IFERROR(__xludf.DUMMYFUNCTION("""COMPUTED_VALUE"""),"14rwUHTx4auE_hf60WN-tNOx3atNg7QGvErWNwVQIRqE")</f>
        <v>14rwUHTx4auE_hf60WN-tNOx3atNg7QGvErWNwVQIRqE</v>
      </c>
      <c r="D21" s="6" t="str">
        <f ca="1">IFERROR(__xludf.DUMMYFUNCTION("""COMPUTED_VALUE"""),"")</f>
        <v/>
      </c>
      <c r="E21" s="6" t="str">
        <f ca="1">IFERROR(__xludf.DUMMYFUNCTION("""COMPUTED_VALUE"""),"")</f>
        <v/>
      </c>
      <c r="F21" s="6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6" t="str">
        <f ca="1">IFERROR(__xludf.DUMMYFUNCTION("""COMPUTED_VALUE"""),"CreateTransaction")</f>
        <v>CreateTransaction</v>
      </c>
      <c r="B22" s="6" t="str">
        <f ca="1">IFERROR(__xludf.DUMMYFUNCTION("""COMPUTED_VALUE"""),"CreateTransaction")</f>
        <v>CreateTransaction</v>
      </c>
      <c r="C22" s="6" t="str">
        <f ca="1">IFERROR(__xludf.DUMMYFUNCTION("""COMPUTED_VALUE"""),"1amshi8Ns36lsDpccBK0y_9bL_pQ2rHdGNYypcgzceUg")</f>
        <v>1amshi8Ns36lsDpccBK0y_9bL_pQ2rHdGNYypcgzceUg</v>
      </c>
      <c r="D22" s="6" t="str">
        <f ca="1">IFERROR(__xludf.DUMMYFUNCTION("""COMPUTED_VALUE"""),"")</f>
        <v/>
      </c>
      <c r="E22" s="6" t="str">
        <f ca="1">IFERROR(__xludf.DUMMYFUNCTION("""COMPUTED_VALUE"""),"")</f>
        <v/>
      </c>
      <c r="F22" s="6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6" t="str">
        <f ca="1">IFERROR(__xludf.DUMMYFUNCTION("""COMPUTED_VALUE"""),"DailyValuation")</f>
        <v>DailyValuation</v>
      </c>
      <c r="B23" s="6" t="str">
        <f ca="1">IFERROR(__xludf.DUMMYFUNCTION("""COMPUTED_VALUE"""),"UpdateBeta")</f>
        <v>UpdateBeta</v>
      </c>
      <c r="C23" s="6" t="str">
        <f ca="1">IFERROR(__xludf.DUMMYFUNCTION("""COMPUTED_VALUE"""),"1YKttwHsdIskNDoo0Sl7HF2DWikROW-KA05qfT3GLIyI")</f>
        <v>1YKttwHsdIskNDoo0Sl7HF2DWikROW-KA05qfT3GLIyI</v>
      </c>
      <c r="D23" s="6" t="str">
        <f ca="1">IFERROR(__xludf.DUMMYFUNCTION("""COMPUTED_VALUE"""),"")</f>
        <v/>
      </c>
      <c r="E23" s="6" t="str">
        <f ca="1">IFERROR(__xludf.DUMMYFUNCTION("""COMPUTED_VALUE"""),"")</f>
        <v/>
      </c>
      <c r="F23" s="6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6" t="str">
        <f ca="1">IFERROR(__xludf.DUMMYFUNCTION("""COMPUTED_VALUE"""),"DailyValuation")</f>
        <v>DailyValuation</v>
      </c>
      <c r="B24" s="6" t="str">
        <f ca="1">IFERROR(__xludf.DUMMYFUNCTION("""COMPUTED_VALUE"""),"UpdateDailyCash")</f>
        <v>UpdateDailyCash</v>
      </c>
      <c r="C24" s="6" t="str">
        <f ca="1">IFERROR(__xludf.DUMMYFUNCTION("""COMPUTED_VALUE"""),"1YJ2rTp-OqQTGjubvs_cBC6fl0l94pyHI2eaLJzbddS4")</f>
        <v>1YJ2rTp-OqQTGjubvs_cBC6fl0l94pyHI2eaLJzbddS4</v>
      </c>
      <c r="D24" s="6" t="str">
        <f ca="1">IFERROR(__xludf.DUMMYFUNCTION("""COMPUTED_VALUE"""),"")</f>
        <v/>
      </c>
      <c r="E24" s="6" t="str">
        <f ca="1">IFERROR(__xludf.DUMMYFUNCTION("""COMPUTED_VALUE"""),"")</f>
        <v/>
      </c>
      <c r="F24" s="6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6" t="str">
        <f ca="1">IFERROR(__xludf.DUMMYFUNCTION("""COMPUTED_VALUE"""),"DailyValuation")</f>
        <v>DailyValuation</v>
      </c>
      <c r="B25" s="6" t="str">
        <f ca="1">IFERROR(__xludf.DUMMYFUNCTION("""COMPUTED_VALUE"""),"UpdateForexConversion")</f>
        <v>UpdateForexConversion</v>
      </c>
      <c r="C25" s="6" t="str">
        <f ca="1">IFERROR(__xludf.DUMMYFUNCTION("""COMPUTED_VALUE"""),"1mLyEfNTVFd65cnE6GfgCRD6TdpKg1BgqNIDjHCFzyO4")</f>
        <v>1mLyEfNTVFd65cnE6GfgCRD6TdpKg1BgqNIDjHCFzyO4</v>
      </c>
      <c r="D25" s="6" t="str">
        <f ca="1">IFERROR(__xludf.DUMMYFUNCTION("""COMPUTED_VALUE"""),"")</f>
        <v/>
      </c>
      <c r="E25" s="6" t="str">
        <f ca="1">IFERROR(__xludf.DUMMYFUNCTION("""COMPUTED_VALUE"""),"")</f>
        <v/>
      </c>
      <c r="F25" s="6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6" t="str">
        <f ca="1">IFERROR(__xludf.DUMMYFUNCTION("""COMPUTED_VALUE"""),"DailyValuation")</f>
        <v>DailyValuation</v>
      </c>
      <c r="B26" s="6" t="str">
        <f ca="1">IFERROR(__xludf.DUMMYFUNCTION("""COMPUTED_VALUE"""),"UpdateMarkPrice")</f>
        <v>UpdateMarkPrice</v>
      </c>
      <c r="C26" s="6" t="str">
        <f ca="1">IFERROR(__xludf.DUMMYFUNCTION("""COMPUTED_VALUE"""),"1M8d9TyOhMnA65NSIYvS6dR68SH5RL6oKahd6uz7yp6c")</f>
        <v>1M8d9TyOhMnA65NSIYvS6dR68SH5RL6oKahd6uz7yp6c</v>
      </c>
      <c r="D26" s="6" t="str">
        <f ca="1">IFERROR(__xludf.DUMMYFUNCTION("""COMPUTED_VALUE"""),"")</f>
        <v/>
      </c>
      <c r="E26" s="6" t="str">
        <f ca="1">IFERROR(__xludf.DUMMYFUNCTION("""COMPUTED_VALUE"""),"")</f>
        <v/>
      </c>
      <c r="F26" s="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6" t="str">
        <f ca="1">IFERROR(__xludf.DUMMYFUNCTION("""COMPUTED_VALUE"""),"Import")</f>
        <v>Import</v>
      </c>
      <c r="B27" s="6" t="str">
        <f ca="1">IFERROR(__xludf.DUMMYFUNCTION("""COMPUTED_VALUE"""),"Import")</f>
        <v>Import</v>
      </c>
      <c r="C27" s="6" t="str">
        <f ca="1">IFERROR(__xludf.DUMMYFUNCTION("""COMPUTED_VALUE"""),"1Q5uOVYo1NMRks6hQRJuV8XWMPb6VFEAbSzpgP1dot1I")</f>
        <v>1Q5uOVYo1NMRks6hQRJuV8XWMPb6VFEAbSzpgP1dot1I</v>
      </c>
      <c r="D27" s="6" t="str">
        <f ca="1">IFERROR(__xludf.DUMMYFUNCTION("""COMPUTED_VALUE"""),"")</f>
        <v/>
      </c>
      <c r="E27" s="6" t="str">
        <f ca="1">IFERROR(__xludf.DUMMYFUNCTION("""COMPUTED_VALUE"""),"")</f>
        <v/>
      </c>
      <c r="F27" s="6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6" t="str">
        <f ca="1">IFERROR(__xludf.DUMMYFUNCTION("""COMPUTED_VALUE"""),"PortfolioManagement")</f>
        <v>PortfolioManagement</v>
      </c>
      <c r="B28" s="6" t="str">
        <f ca="1">IFERROR(__xludf.DUMMYFUNCTION("""COMPUTED_VALUE"""),"CheckDashboardPM")</f>
        <v>CheckDashboardPM</v>
      </c>
      <c r="C28" s="6" t="str">
        <f ca="1">IFERROR(__xludf.DUMMYFUNCTION("""COMPUTED_VALUE"""),"1iqfUyYqyebXIeNBGljH7-T8whBcywTlkBBU3dBZV06s")</f>
        <v>1iqfUyYqyebXIeNBGljH7-T8whBcywTlkBBU3dBZV06s</v>
      </c>
      <c r="D28" s="6" t="str">
        <f ca="1">IFERROR(__xludf.DUMMYFUNCTION("""COMPUTED_VALUE"""),"")</f>
        <v/>
      </c>
      <c r="E28" s="6" t="str">
        <f ca="1">IFERROR(__xludf.DUMMYFUNCTION("""COMPUTED_VALUE"""),"")</f>
        <v/>
      </c>
      <c r="F28" s="6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6" t="str">
        <f ca="1">IFERROR(__xludf.DUMMYFUNCTION("""COMPUTED_VALUE"""),"PortfolioManagement")</f>
        <v>PortfolioManagement</v>
      </c>
      <c r="B29" s="6" t="str">
        <f ca="1">IFERROR(__xludf.DUMMYFUNCTION("""COMPUTED_VALUE"""),"CheckPortfolioManagement")</f>
        <v>CheckPortfolioManagement</v>
      </c>
      <c r="C29" s="6" t="str">
        <f ca="1">IFERROR(__xludf.DUMMYFUNCTION("""COMPUTED_VALUE"""),"1u0XMlZJy_Slp7uXMwirinW7StOOdTcWD-D8V07sO0VA")</f>
        <v>1u0XMlZJy_Slp7uXMwirinW7StOOdTcWD-D8V07sO0VA</v>
      </c>
      <c r="D29" s="6" t="str">
        <f ca="1">IFERROR(__xludf.DUMMYFUNCTION("""COMPUTED_VALUE"""),"")</f>
        <v/>
      </c>
      <c r="E29" s="6" t="str">
        <f ca="1">IFERROR(__xludf.DUMMYFUNCTION("""COMPUTED_VALUE"""),"")</f>
        <v/>
      </c>
      <c r="F29" s="6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6" t="str">
        <f ca="1">IFERROR(__xludf.DUMMYFUNCTION("""COMPUTED_VALUE"""),"PricingInput")</f>
        <v>PricingInput</v>
      </c>
      <c r="B30" s="6" t="str">
        <f ca="1">IFERROR(__xludf.DUMMYFUNCTION("""COMPUTED_VALUE"""),"PricingInput")</f>
        <v>PricingInput</v>
      </c>
      <c r="C30" s="6" t="str">
        <f ca="1">IFERROR(__xludf.DUMMYFUNCTION("""COMPUTED_VALUE"""),"1mh3Z5PifhJ3yzX8TPeoc3H3nteNiA0V2tWFse0rVChE")</f>
        <v>1mh3Z5PifhJ3yzX8TPeoc3H3nteNiA0V2tWFse0rVChE</v>
      </c>
      <c r="D30" s="6" t="str">
        <f ca="1">IFERROR(__xludf.DUMMYFUNCTION("""COMPUTED_VALUE"""),"")</f>
        <v/>
      </c>
      <c r="E30" s="6" t="str">
        <f ca="1">IFERROR(__xludf.DUMMYFUNCTION("""COMPUTED_VALUE"""),"")</f>
        <v/>
      </c>
      <c r="F30" s="6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6" t="str">
        <f ca="1">IFERROR(__xludf.DUMMYFUNCTION("""COMPUTED_VALUE"""),"PricingInput")</f>
        <v>PricingInput</v>
      </c>
      <c r="B31" s="6" t="str">
        <f ca="1">IFERROR(__xludf.DUMMYFUNCTION("""COMPUTED_VALUE"""),"UpdateSharesOutstanding")</f>
        <v>UpdateSharesOutstanding</v>
      </c>
      <c r="C31" s="6" t="str">
        <f ca="1">IFERROR(__xludf.DUMMYFUNCTION("""COMPUTED_VALUE"""),"1vmZ6v1OyZ8SSi8bqqjK3ap3KtM_yPA_SEcIQgYiRInY")</f>
        <v>1vmZ6v1OyZ8SSi8bqqjK3ap3KtM_yPA_SEcIQgYiRInY</v>
      </c>
      <c r="D31" s="6" t="str">
        <f ca="1">IFERROR(__xludf.DUMMYFUNCTION("""COMPUTED_VALUE"""),"")</f>
        <v/>
      </c>
      <c r="E31" s="6" t="str">
        <f ca="1">IFERROR(__xludf.DUMMYFUNCTION("""COMPUTED_VALUE"""),"")</f>
        <v/>
      </c>
      <c r="F31" s="6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6" t="str">
        <f ca="1">IFERROR(__xludf.DUMMYFUNCTION("""COMPUTED_VALUE"""),"SymbolLookup")</f>
        <v>SymbolLookup</v>
      </c>
      <c r="B32" s="6" t="str">
        <f ca="1">IFERROR(__xludf.DUMMYFUNCTION("""COMPUTED_VALUE"""),"VerifySymbolLookUp")</f>
        <v>VerifySymbolLookUp</v>
      </c>
      <c r="C32" s="6" t="str">
        <f ca="1">IFERROR(__xludf.DUMMYFUNCTION("""COMPUTED_VALUE"""),"1OiI1Pi_JAFOFi8ByMaD3_qqEXSv6yQMo_u6aGTozbl8")</f>
        <v>1OiI1Pi_JAFOFi8ByMaD3_qqEXSv6yQMo_u6aGTozbl8</v>
      </c>
      <c r="D32" s="6" t="str">
        <f ca="1">IFERROR(__xludf.DUMMYFUNCTION("""COMPUTED_VALUE"""),"")</f>
        <v/>
      </c>
      <c r="E32" s="6" t="str">
        <f ca="1">IFERROR(__xludf.DUMMYFUNCTION("""COMPUTED_VALUE"""),"")</f>
        <v/>
      </c>
      <c r="F32" s="6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6" t="str">
        <f ca="1">IFERROR(__xludf.DUMMYFUNCTION("""COMPUTED_VALUE"""),"SymbolLookup")</f>
        <v>SymbolLookup</v>
      </c>
      <c r="B33" s="6" t="str">
        <f ca="1">IFERROR(__xludf.DUMMYFUNCTION("""COMPUTED_VALUE"""),"SymbolLookupFromTT")</f>
        <v>SymbolLookupFromTT</v>
      </c>
      <c r="C33" s="6" t="str">
        <f ca="1">IFERROR(__xludf.DUMMYFUNCTION("""COMPUTED_VALUE"""),"1ubfvE9sHq5KpJ9NazeH96CrVMJqAuol5Ya9GPjxWrgI")</f>
        <v>1ubfvE9sHq5KpJ9NazeH96CrVMJqAuol5Ya9GPjxWrgI</v>
      </c>
      <c r="D33" s="6" t="str">
        <f ca="1">IFERROR(__xludf.DUMMYFUNCTION("""COMPUTED_VALUE"""),"")</f>
        <v/>
      </c>
      <c r="E33" s="6" t="str">
        <f ca="1">IFERROR(__xludf.DUMMYFUNCTION("""COMPUTED_VALUE"""),"")</f>
        <v/>
      </c>
      <c r="F33" s="6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9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1" t="s">
        <v>0</v>
      </c>
      <c r="B1" s="39"/>
      <c r="C1" s="40"/>
    </row>
    <row r="2" spans="1:3" ht="15.75" customHeight="1" x14ac:dyDescent="0.2">
      <c r="A2" s="1"/>
      <c r="B2" s="1"/>
      <c r="C2" s="1"/>
    </row>
    <row r="3" spans="1:3" ht="15.75" customHeight="1" x14ac:dyDescent="0.2">
      <c r="A3" s="2" t="s">
        <v>1</v>
      </c>
      <c r="B3" s="3" t="s">
        <v>2</v>
      </c>
      <c r="C3" s="1"/>
    </row>
    <row r="4" spans="1:3" ht="15.75" customHeight="1" x14ac:dyDescent="0.2">
      <c r="A4" s="4" t="s">
        <v>3</v>
      </c>
      <c r="B4" s="3" t="s">
        <v>4</v>
      </c>
      <c r="C4" s="1"/>
    </row>
    <row r="5" spans="1:3" ht="15.75" customHeight="1" x14ac:dyDescent="0.2">
      <c r="A5" s="5"/>
      <c r="B5" s="1"/>
      <c r="C5" s="1"/>
    </row>
    <row r="6" spans="1:3" ht="15.75" customHeight="1" x14ac:dyDescent="0.2">
      <c r="A6" s="5"/>
      <c r="B6" s="1"/>
      <c r="C6" s="1"/>
    </row>
    <row r="7" spans="1:3" ht="15.75" customHeight="1" x14ac:dyDescent="0.2">
      <c r="A7" s="5"/>
      <c r="B7" s="1"/>
      <c r="C7" s="1"/>
    </row>
    <row r="8" spans="1:3" ht="15.75" customHeight="1" x14ac:dyDescent="0.2">
      <c r="A8" s="5"/>
      <c r="B8" s="1"/>
      <c r="C8" s="1"/>
    </row>
    <row r="9" spans="1:3" ht="15.75" customHeight="1" x14ac:dyDescent="0.2">
      <c r="A9" s="5"/>
      <c r="B9" s="1"/>
      <c r="C9" s="1"/>
    </row>
    <row r="10" spans="1:3" ht="15.75" customHeight="1" x14ac:dyDescent="0.2">
      <c r="A10" s="5"/>
      <c r="B10" s="1"/>
      <c r="C10" s="1"/>
    </row>
    <row r="11" spans="1:3" ht="15.75" customHeight="1" x14ac:dyDescent="0.2">
      <c r="A11" s="5"/>
      <c r="B11" s="1"/>
      <c r="C11" s="1"/>
    </row>
    <row r="12" spans="1:3" ht="15.75" customHeight="1" x14ac:dyDescent="0.2">
      <c r="A12" s="5"/>
      <c r="B12" s="1"/>
      <c r="C12" s="1"/>
    </row>
    <row r="13" spans="1:3" ht="15.75" customHeight="1" x14ac:dyDescent="0.2">
      <c r="A13" s="5"/>
      <c r="B13" s="1"/>
      <c r="C13" s="1"/>
    </row>
    <row r="14" spans="1:3" ht="15.75" customHeight="1" x14ac:dyDescent="0.2">
      <c r="A14" s="5"/>
      <c r="B14" s="1"/>
      <c r="C14" s="1"/>
    </row>
    <row r="15" spans="1:3" ht="15.75" customHeight="1" x14ac:dyDescent="0.2">
      <c r="A15" s="5"/>
      <c r="B15" s="1"/>
      <c r="C15" s="1"/>
    </row>
    <row r="16" spans="1:3" ht="15.75" customHeight="1" x14ac:dyDescent="0.2">
      <c r="A16" s="5"/>
      <c r="B16" s="1"/>
      <c r="C16" s="1"/>
    </row>
    <row r="17" spans="1:3" ht="15.75" customHeight="1" x14ac:dyDescent="0.2">
      <c r="A17" s="5"/>
      <c r="B17" s="1"/>
      <c r="C17" s="1"/>
    </row>
    <row r="18" spans="1:3" ht="15.75" customHeight="1" x14ac:dyDescent="0.2">
      <c r="A18" s="5"/>
      <c r="B18" s="1"/>
      <c r="C18" s="1"/>
    </row>
    <row r="19" spans="1:3" ht="15.75" customHeight="1" x14ac:dyDescent="0.2">
      <c r="A19" s="5"/>
      <c r="B19" s="1"/>
      <c r="C19" s="1"/>
    </row>
    <row r="20" spans="1:3" ht="15.75" customHeight="1" x14ac:dyDescent="0.2">
      <c r="A20" s="5"/>
      <c r="B20" s="1"/>
      <c r="C20" s="1"/>
    </row>
    <row r="21" spans="1:3" ht="15.75" customHeight="1" x14ac:dyDescent="0.2">
      <c r="A21" s="5"/>
      <c r="B21" s="1"/>
      <c r="C21" s="1"/>
    </row>
    <row r="22" spans="1:3" ht="15.75" customHeight="1" x14ac:dyDescent="0.2">
      <c r="A22" s="5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8" t="s">
        <v>6</v>
      </c>
      <c r="B1" s="39"/>
      <c r="C1" s="39"/>
      <c r="D1" s="39"/>
      <c r="E1" s="39"/>
      <c r="F1" s="40"/>
    </row>
    <row r="2" spans="1:26" ht="15" customHeight="1" x14ac:dyDescent="0.2">
      <c r="A2" s="6"/>
      <c r="B2" s="6"/>
      <c r="C2" s="6"/>
      <c r="D2" s="6"/>
      <c r="E2" s="6"/>
      <c r="F2" s="6"/>
    </row>
    <row r="3" spans="1:26" ht="15" customHeight="1" x14ac:dyDescent="0.2">
      <c r="A3" s="4" t="s">
        <v>9</v>
      </c>
      <c r="B3" s="11" t="s">
        <v>10</v>
      </c>
      <c r="C3" s="11" t="s">
        <v>11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9"/>
      <c r="B1" s="38" t="s">
        <v>8</v>
      </c>
      <c r="C1" s="39"/>
      <c r="D1" s="39"/>
      <c r="E1" s="39"/>
      <c r="F1" s="39"/>
      <c r="G1" s="39"/>
      <c r="H1" s="40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9</v>
      </c>
      <c r="C3" s="16" t="s">
        <v>12</v>
      </c>
      <c r="D3" s="2" t="s">
        <v>10</v>
      </c>
      <c r="E3" s="16" t="s">
        <v>13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24" t="s">
        <v>16</v>
      </c>
      <c r="C6" s="25" t="s">
        <v>17</v>
      </c>
      <c r="D6" s="26">
        <v>200</v>
      </c>
      <c r="E6" s="27"/>
      <c r="F6" s="25" t="s">
        <v>18</v>
      </c>
      <c r="G6" s="27"/>
      <c r="H6" s="27"/>
      <c r="I6" s="25" t="s">
        <v>19</v>
      </c>
      <c r="J6" s="28">
        <v>20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9"/>
      <c r="B1" s="38" t="s">
        <v>8</v>
      </c>
      <c r="C1" s="39"/>
      <c r="D1" s="39"/>
      <c r="E1" s="39"/>
      <c r="F1" s="39"/>
      <c r="G1" s="39"/>
      <c r="H1" s="40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9</v>
      </c>
      <c r="C3" s="16" t="s">
        <v>20</v>
      </c>
      <c r="D3" s="2" t="s">
        <v>10</v>
      </c>
      <c r="E3" s="16" t="s">
        <v>21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IFERROR(__xludf.DUMMYFUNCTION("""COMPUTED_VALUE"""),"Side")</f>
        <v>Side</v>
      </c>
      <c r="D5" s="21" t="str">
        <f ca="1">IFERROR(__xludf.DUMMYFUNCTION("""COMPUTED_VALUE"""),"Quantity")</f>
        <v>Quantity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IFERROR(__xludf.DUMMYFUNCTION("""COMPUTED_VALUE"""),"Unexecuted Qty")</f>
        <v>Unexecuted Qty</v>
      </c>
      <c r="G5" s="21" t="str">
        <f ca="1">IFERROR(__xludf.DUMMYFUNCTION("""COMPUTED_VALUE"""),"Status")</f>
        <v>Status</v>
      </c>
      <c r="H5" s="21" t="str">
        <f ca="1">IFERROR(__xludf.DUMMYFUNCTION("""COMPUTED_VALUE"""),"Last Shares")</f>
        <v>Last Shares</v>
      </c>
      <c r="I5" s="21" t="str">
        <f ca="1">IFERROR(__xludf.DUMMYFUNCTION("""COMPUTED_VALUE"""),"Last Fill Price (Local)")</f>
        <v>Last Fill Price (Local)</v>
      </c>
      <c r="J5" s="21" t="str">
        <f ca="1">IFERROR(__xludf.DUMMYFUNCTION("""COMPUTED_VALUE"""),"Avg Fill Price (Local)")</f>
        <v>Avg Fill Price (Local)</v>
      </c>
      <c r="K5" s="21" t="str">
        <f ca="1">IFERROR(__xludf.DUMMYFUNCTION("""COMPUTED_VALUE"""),"Broker")</f>
        <v>Broker</v>
      </c>
      <c r="L5" s="21" t="str">
        <f ca="1">IFERROR(__xludf.DUMMYFUNCTION("""COMPUTED_VALUE"""),"Account")</f>
        <v>Account</v>
      </c>
      <c r="M5" s="21" t="str">
        <f ca="1">IFERROR(__xludf.DUMMYFUNCTION("""COMPUTED_VALUE"""),"Order Type")</f>
        <v>Order Type</v>
      </c>
      <c r="N5" s="21" t="str">
        <f ca="1">IFERROR(__xludf.DUMMYFUNCTION("""COMPUTED_VALUE"""),"OrderStatus")</f>
        <v>OrderStatus</v>
      </c>
      <c r="O5" s="21" t="str">
        <f ca="1">IFERROR(__xludf.DUMMYFUNCTION("""COMPUTED_VALUE"""),"Avg Fill Price (Base)")</f>
        <v>Avg Fill Price (Base)</v>
      </c>
      <c r="P5" s="21" t="str">
        <f ca="1">IFERROR(__xludf.DUMMYFUNCTION("""COMPUTED_VALUE"""),"Limit Price")</f>
        <v>Limit Price</v>
      </c>
      <c r="Q5" s="21" t="str">
        <f ca="1">IFERROR(__xludf.DUMMYFUNCTION("""COMPUTED_VALUE"""),"Stop Price")</f>
        <v>Stop Price</v>
      </c>
      <c r="R5" s="21" t="str">
        <f ca="1">IFERROR(__xludf.DUMMYFUNCTION("""COMPUTED_VALUE"""),"User")</f>
        <v>User</v>
      </c>
      <c r="S5" s="21" t="str">
        <f ca="1">IFERROR(__xludf.DUMMYFUNCTION("""COMPUTED_VALUE"""),"Bloomberg Symbol")</f>
        <v>Bloomberg Symbol</v>
      </c>
      <c r="T5" s="23" t="str">
        <f ca="1">IFERROR(__xludf.DUMMYFUNCTION("""COMPUTED_VALUE"""),"Algo")</f>
        <v>Algo</v>
      </c>
      <c r="U5" s="23" t="str">
        <f ca="1">IFERROR(__xludf.DUMMYFUNCTION("""COMPUTED_VALUE"""),"Allocation Scheme Name")</f>
        <v>Allocation Scheme Name</v>
      </c>
      <c r="V5" s="23" t="str">
        <f ca="1">IFERROR(__xludf.DUMMYFUNCTION("""COMPUTED_VALUE"""),"Allocation Status")</f>
        <v>Allocation Status</v>
      </c>
      <c r="W5" s="23" t="str">
        <f ca="1">IFERROR(__xludf.DUMMYFUNCTION("""COMPUTED_VALUE"""),"Asset Class")</f>
        <v>Asset Class</v>
      </c>
      <c r="X5" s="23" t="str">
        <f ca="1">IFERROR(__xludf.DUMMYFUNCTION("""COMPUTED_VALUE"""),"FX Conversion Operator")</f>
        <v>FX Conversion Operator</v>
      </c>
      <c r="Y5" s="23" t="str">
        <f ca="1">IFERROR(__xludf.DUMMYFUNCTION("""COMPUTED_VALUE"""),"FX Rate")</f>
        <v>FX Rate</v>
      </c>
      <c r="Z5" s="23" t="str">
        <f ca="1">IFERROR(__xludf.DUMMYFUNCTION("""COMPUTED_VALUE"""),"Imported File Name")</f>
        <v>Imported File Name</v>
      </c>
      <c r="AA5" s="23" t="str">
        <f ca="1">IFERROR(__xludf.DUMMYFUNCTION("""COMPUTED_VALUE"""),"Internal Comments")</f>
        <v>Internal Comments</v>
      </c>
      <c r="AB5" s="23" t="str">
        <f ca="1">IFERROR(__xludf.DUMMYFUNCTION("""COMPUTED_VALUE"""),"Peg")</f>
        <v>Peg</v>
      </c>
      <c r="AC5" s="23" t="str">
        <f ca="1">IFERROR(__xludf.DUMMYFUNCTION("""COMPUTED_VALUE"""),"Principal Amount (Base)")</f>
        <v>Principal Amount (Base)</v>
      </c>
      <c r="AD5" s="23" t="str">
        <f ca="1">IFERROR(__xludf.DUMMYFUNCTION("""COMPUTED_VALUE"""),"Principal Amount (Local)")</f>
        <v>Principal Amount (Local)</v>
      </c>
      <c r="AE5" s="23" t="str">
        <f ca="1">IFERROR(__xludf.DUMMYFUNCTION("""COMPUTED_VALUE"""),"Process Date")</f>
        <v>Process Date</v>
      </c>
      <c r="AF5" s="23" t="str">
        <f ca="1">IFERROR(__xludf.DUMMYFUNCTION("""COMPUTED_VALUE"""),"Put/Call")</f>
        <v>Put/Call</v>
      </c>
      <c r="AG5" s="23" t="str">
        <f ca="1">IFERROR(__xludf.DUMMYFUNCTION("""COMPUTED_VALUE"""),"Settlement Currency")</f>
        <v>Settlement Currency</v>
      </c>
      <c r="AH5" s="23" t="str">
        <f ca="1">IFERROR(__xludf.DUMMYFUNCTION("""COMPUTED_VALUE"""),"Source")</f>
        <v>Source</v>
      </c>
      <c r="AI5" s="23" t="str">
        <f ca="1">IFERROR(__xludf.DUMMYFUNCTION("""COMPUTED_VALUE"""),"Status (With Rollover)")</f>
        <v>Status (With Rollover)</v>
      </c>
      <c r="AJ5" s="23" t="str">
        <f ca="1">IFERROR(__xludf.DUMMYFUNCTION("""COMPUTED_VALUE"""),"Strategy")</f>
        <v>Strategy</v>
      </c>
      <c r="AK5" s="23" t="str">
        <f ca="1">IFERROR(__xludf.DUMMYFUNCTION("""COMPUTED_VALUE"""),"Strike Price")</f>
        <v>Strike Price</v>
      </c>
      <c r="AL5" s="23" t="str">
        <f ca="1">IFERROR(__xludf.DUMMYFUNCTION("""COMPUTED_VALUE"""),"Trade Attribute 1")</f>
        <v>Trade Attribute 1</v>
      </c>
      <c r="AM5" s="23" t="str">
        <f ca="1">IFERROR(__xludf.DUMMYFUNCTION("""COMPUTED_VALUE"""),"Trade Attribute 2")</f>
        <v>Trade Attribute 2</v>
      </c>
      <c r="AN5" s="23" t="str">
        <f ca="1">IFERROR(__xludf.DUMMYFUNCTION("""COMPUTED_VALUE"""),"Trade Attribute 3")</f>
        <v>Trade Attribute 3</v>
      </c>
      <c r="AO5" s="23" t="str">
        <f ca="1">IFERROR(__xludf.DUMMYFUNCTION("""COMPUTED_VALUE"""),"Trade Attribute 4")</f>
        <v>Trade Attribute 4</v>
      </c>
      <c r="AP5" s="23" t="str">
        <f ca="1">IFERROR(__xludf.DUMMYFUNCTION("""COMPUTED_VALUE"""),"Trade Attribute 5")</f>
        <v>Trade Attribute 5</v>
      </c>
      <c r="AQ5" s="23" t="str">
        <f ca="1">IFERROR(__xludf.DUMMYFUNCTION("""COMPUTED_VALUE"""),"Trade Attribute 6")</f>
        <v>Trade Attribute 6</v>
      </c>
      <c r="AR5" s="23" t="str">
        <f ca="1">IFERROR(__xludf.DUMMYFUNCTION("""COMPUTED_VALUE"""),"Trader")</f>
        <v>Trader</v>
      </c>
      <c r="AS5" s="23" t="str">
        <f ca="1">IFERROR(__xludf.DUMMYFUNCTION("""COMPUTED_VALUE"""),"Transaction Time")</f>
        <v>Transaction Time</v>
      </c>
      <c r="AT5" s="23" t="str">
        <f ca="1">IFERROR(__xludf.DUMMYFUNCTION("""COMPUTED_VALUE"""),"Underlying Country")</f>
        <v>Underlying Country</v>
      </c>
      <c r="AU5" s="23" t="str">
        <f ca="1">IFERROR(__xludf.DUMMYFUNCTION("""COMPUTED_VALUE"""),"Underlying Symbol")</f>
        <v>Underlying Symbol</v>
      </c>
      <c r="AV5" s="23" t="str">
        <f ca="1">IFERROR(__xludf.DUMMYFUNCTION("""COMPUTED_VALUE"""),"Venue")</f>
        <v>Venue</v>
      </c>
      <c r="AW5" s="23" t="str">
        <f ca="1">IFERROR(__xludf.DUMMYFUNCTION("""COMPUTED_VALUE"""),"Working Qty")</f>
        <v>Working Qty</v>
      </c>
      <c r="AX5" s="23" t="str">
        <f ca="1">IFERROR(__xludf.DUMMYFUNCTION("""COMPUTED_VALUE"""),"Client")</f>
        <v>Client</v>
      </c>
      <c r="AY5" s="23" t="str">
        <f ca="1">IFERROR(__xludf.DUMMYFUNCTION("""COMPUTED_VALUE"""),"OrderID")</f>
        <v>OrderID</v>
      </c>
      <c r="AZ5" s="23" t="str">
        <f ca="1">IFERROR(__xludf.DUMMYFUNCTION("""COMPUTED_VALUE"""),"ParentClOrderID")</f>
        <v>ParentClOrderID</v>
      </c>
      <c r="BA5" s="23" t="str">
        <f ca="1">IFERROR(__xludf.DUMMYFUNCTION("""COMPUTED_VALUE"""),"Master Fund")</f>
        <v>Master Fund</v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24" t="s">
        <v>22</v>
      </c>
      <c r="C6" s="30" t="s">
        <v>17</v>
      </c>
      <c r="D6" s="28">
        <v>200</v>
      </c>
      <c r="E6" s="31">
        <v>200</v>
      </c>
      <c r="F6" s="31"/>
      <c r="G6" s="27"/>
      <c r="H6" s="27"/>
      <c r="I6" s="31">
        <v>20</v>
      </c>
      <c r="J6" s="31">
        <v>20</v>
      </c>
      <c r="K6" s="27"/>
      <c r="L6" s="27"/>
      <c r="M6" s="27"/>
      <c r="N6" s="27"/>
      <c r="O6" s="27"/>
      <c r="P6" s="27"/>
      <c r="Q6" s="27"/>
      <c r="R6" s="27"/>
      <c r="S6" s="31" t="s">
        <v>16</v>
      </c>
      <c r="T6" s="27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9"/>
      <c r="B1" s="38" t="s">
        <v>8</v>
      </c>
      <c r="C1" s="39"/>
      <c r="D1" s="39"/>
      <c r="E1" s="39"/>
      <c r="F1" s="39"/>
      <c r="G1" s="39"/>
      <c r="H1" s="40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1c7aP-E18Fb8lEVGiXac03BLoNVdUNRzodD2Xjn-9pzU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9</v>
      </c>
      <c r="C3" s="16" t="s">
        <v>23</v>
      </c>
      <c r="D3" s="2" t="s">
        <v>10</v>
      </c>
      <c r="E3" s="16" t="s">
        <v>24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IFERROR(__xludf.DUMMYFUNCTION("""COMPUTED_VALUE"""),"Master Fund")</f>
        <v>Master Fund</v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32"/>
      <c r="C6" s="27"/>
      <c r="D6" s="32"/>
      <c r="E6" s="27"/>
      <c r="F6" s="27"/>
      <c r="G6" s="27"/>
      <c r="H6" s="27"/>
      <c r="I6" s="27"/>
      <c r="J6" s="27"/>
      <c r="K6" s="27"/>
      <c r="L6" s="31" t="s">
        <v>16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31">
        <v>200</v>
      </c>
      <c r="AF6" s="27"/>
      <c r="AG6" s="33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31" t="s">
        <v>19</v>
      </c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31">
        <v>200</v>
      </c>
      <c r="BK6" s="27"/>
      <c r="BL6" s="27"/>
      <c r="BM6" s="33"/>
      <c r="BN6" s="27"/>
      <c r="BO6" s="31" t="s">
        <v>17</v>
      </c>
      <c r="BP6" s="27"/>
      <c r="BQ6" s="27"/>
      <c r="BR6" s="27"/>
      <c r="BS6" s="31" t="s">
        <v>22</v>
      </c>
      <c r="BT6" s="27"/>
      <c r="BU6" s="27"/>
      <c r="BV6" s="27"/>
      <c r="BW6" s="27"/>
      <c r="BX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G100"/>
  <sheetViews>
    <sheetView tabSelected="1" topLeftCell="AZ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3" width="14.42578125" customWidth="1"/>
  </cols>
  <sheetData>
    <row r="1" spans="1:163" ht="15.75" customHeight="1" x14ac:dyDescent="0.3">
      <c r="A1" s="9"/>
      <c r="B1" s="38" t="s">
        <v>8</v>
      </c>
      <c r="C1" s="39"/>
      <c r="D1" s="39"/>
      <c r="E1" s="39"/>
      <c r="F1" s="39"/>
      <c r="G1" s="39"/>
      <c r="H1" s="40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</row>
    <row r="2" spans="1:163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63" ht="15.75" customHeight="1" x14ac:dyDescent="0.2">
      <c r="A3" s="15"/>
      <c r="B3" s="2" t="s">
        <v>9</v>
      </c>
      <c r="C3" s="16" t="s">
        <v>25</v>
      </c>
      <c r="D3" s="2" t="s">
        <v>10</v>
      </c>
      <c r="E3" s="16" t="s">
        <v>26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</row>
    <row r="4" spans="1:163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</row>
    <row r="5" spans="1:163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IFERROR(__xludf.DUMMYFUNCTION("""COMPUTED_VALUE"""),"Client")</f>
        <v>Client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</row>
    <row r="6" spans="1:163" ht="15.75" customHeight="1" x14ac:dyDescent="0.2">
      <c r="A6" s="3"/>
      <c r="B6" s="32"/>
      <c r="C6" s="24" t="s">
        <v>22</v>
      </c>
      <c r="D6" s="26">
        <v>200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 t="s">
        <v>17</v>
      </c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31" t="s">
        <v>16</v>
      </c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</row>
    <row r="7" spans="1:163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3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3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3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3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3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3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3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3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3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9"/>
      <c r="B1" s="38" t="s">
        <v>8</v>
      </c>
      <c r="C1" s="39"/>
      <c r="D1" s="39"/>
      <c r="E1" s="39"/>
      <c r="F1" s="39"/>
      <c r="G1" s="39"/>
      <c r="H1" s="40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9</v>
      </c>
      <c r="C3" s="16" t="s">
        <v>23</v>
      </c>
      <c r="D3" s="2" t="s">
        <v>10</v>
      </c>
      <c r="E3" s="16" t="s">
        <v>27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3" t="s">
        <v>28</v>
      </c>
      <c r="C6" s="1"/>
      <c r="D6" s="3"/>
      <c r="E6" s="34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9"/>
      <c r="B1" s="38" t="s">
        <v>8</v>
      </c>
      <c r="C1" s="39"/>
      <c r="D1" s="39"/>
      <c r="E1" s="39"/>
      <c r="F1" s="39"/>
      <c r="G1" s="39"/>
      <c r="H1" s="40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9</v>
      </c>
      <c r="C3" s="16" t="s">
        <v>20</v>
      </c>
      <c r="D3" s="2" t="s">
        <v>10</v>
      </c>
      <c r="E3" s="16" t="s">
        <v>29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IFERROR(__xludf.DUMMYFUNCTION("""COMPUTED_VALUE"""),"Allocation Scheme Name")</f>
        <v>Allocation Scheme Name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7"/>
      <c r="B6" s="35"/>
      <c r="C6" s="35"/>
      <c r="D6" s="35"/>
      <c r="E6" s="36" t="s">
        <v>16</v>
      </c>
      <c r="F6" s="35"/>
      <c r="G6" s="37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4" t="s">
        <v>22</v>
      </c>
      <c r="AJ6" s="27" t="s">
        <v>17</v>
      </c>
      <c r="AK6" s="27" t="s">
        <v>30</v>
      </c>
      <c r="AL6" s="33">
        <v>200</v>
      </c>
      <c r="AM6" s="33">
        <v>200</v>
      </c>
      <c r="AN6" s="33">
        <v>100</v>
      </c>
      <c r="AO6" s="27"/>
      <c r="AP6" s="27"/>
      <c r="AQ6" s="33">
        <v>20</v>
      </c>
      <c r="AR6" s="33">
        <v>20</v>
      </c>
      <c r="AS6" s="27"/>
      <c r="AT6" s="27"/>
      <c r="AU6" s="27" t="s">
        <v>19</v>
      </c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9"/>
      <c r="B1" s="38" t="s">
        <v>8</v>
      </c>
      <c r="C1" s="39"/>
      <c r="D1" s="39"/>
      <c r="E1" s="39"/>
      <c r="F1" s="39"/>
      <c r="G1" s="39"/>
      <c r="H1" s="40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9</v>
      </c>
      <c r="C3" s="16" t="s">
        <v>20</v>
      </c>
      <c r="D3" s="2" t="s">
        <v>10</v>
      </c>
      <c r="E3" s="16" t="s">
        <v>31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2")</f>
        <v>Trade Attribute 2</v>
      </c>
      <c r="R5" s="21" t="str">
        <f ca="1">IFERROR(__xludf.DUMMYFUNCTION("""COMPUTED_VALUE"""),"Trade Attribute 1")</f>
        <v>Trade Attribute 1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IFERROR(__xludf.DUMMYFUNCTION("""COMPUTED_VALUE"""),"Quantity")</f>
        <v>Quantity</v>
      </c>
      <c r="AM5" s="23" t="str">
        <f ca="1">IFERROR(__xludf.DUMMYFUNCTION("""COMPUTED_VALUE"""),"Executed Qty")</f>
        <v>Executed Qty</v>
      </c>
      <c r="AN5" s="23" t="str">
        <f ca="1">IFERROR(__xludf.DUMMYFUNCTION("""COMPUTED_VALUE"""),"Day Executed Qty")</f>
        <v>Day Executed Qty</v>
      </c>
      <c r="AO5" s="23" t="str">
        <f ca="1">IFERROR(__xludf.DUMMYFUNCTION("""COMPUTED_VALUE"""),"Last Fill Price (Local)")</f>
        <v>Last Fill Price (Local)</v>
      </c>
      <c r="AP5" s="23" t="str">
        <f ca="1">IFERROR(__xludf.DUMMYFUNCTION("""COMPUTED_VALUE"""),"Avg Fill Price (Local)")</f>
        <v>Avg Fill Price (Local)</v>
      </c>
      <c r="AQ5" s="23" t="str">
        <f ca="1">IFERROR(__xludf.DUMMYFUNCTION("""COMPUTED_VALUE"""),"Broker")</f>
        <v>Broker</v>
      </c>
      <c r="AR5" s="23" t="str">
        <f ca="1">IFERROR(__xludf.DUMMYFUNCTION("""COMPUTED_VALUE"""),"Account")</f>
        <v>Account</v>
      </c>
      <c r="AS5" s="23" t="str">
        <f ca="1">IFERROR(__xludf.DUMMYFUNCTION("""COMPUTED_VALUE"""),"Order Type")</f>
        <v>Order Type</v>
      </c>
      <c r="AT5" s="23" t="str">
        <f ca="1">IFERROR(__xludf.DUMMYFUNCTION("""COMPUTED_VALUE"""),"Principal Amount (Local)")</f>
        <v>Principal Amount (Local)</v>
      </c>
      <c r="AU5" s="23" t="str">
        <f ca="1">IFERROR(__xludf.DUMMYFUNCTION("""COMPUTED_VALUE"""),"Principal Amount (Base)")</f>
        <v>Principal Amount (Base)</v>
      </c>
      <c r="AV5" s="23" t="str">
        <f ca="1">IFERROR(__xludf.DUMMYFUNCTION("""COMPUTED_VALUE"""),"Allocation Scheme Name")</f>
        <v>Allocation Scheme Name</v>
      </c>
      <c r="AW5" s="23" t="str">
        <f ca="1">IFERROR(__xludf.DUMMYFUNCTION("""COMPUTED_VALUE"""),"Status (With Rollover)")</f>
        <v>Status (With Rollover)</v>
      </c>
      <c r="AX5" s="23" t="str">
        <f ca="1">IFERROR(__xludf.DUMMYFUNCTION("""COMPUTED_VALUE"""),"Unexecuted Qty")</f>
        <v>Unexecuted Qty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7"/>
      <c r="B6" s="35"/>
      <c r="C6" s="35"/>
      <c r="D6" s="35"/>
      <c r="E6" s="36" t="s">
        <v>16</v>
      </c>
      <c r="F6" s="35"/>
      <c r="G6" s="37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4" t="s">
        <v>22</v>
      </c>
      <c r="AJ6" s="27" t="s">
        <v>17</v>
      </c>
      <c r="AK6" s="27" t="s">
        <v>30</v>
      </c>
      <c r="AL6" s="33">
        <v>200</v>
      </c>
      <c r="AM6" s="33">
        <v>200</v>
      </c>
      <c r="AN6" s="33">
        <v>100</v>
      </c>
      <c r="AO6" s="27"/>
      <c r="AP6" s="33">
        <v>20</v>
      </c>
      <c r="AQ6" s="33">
        <v>20</v>
      </c>
      <c r="AS6" s="27"/>
      <c r="AT6" s="27" t="s">
        <v>19</v>
      </c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TradeBloomberg</vt:lpstr>
      <vt:lpstr>VerifyWorkingSubs</vt:lpstr>
      <vt:lpstr>CheckUnallocatedGroups</vt:lpstr>
      <vt:lpstr>CheckPortfolioManagement</vt:lpstr>
      <vt:lpstr>GetDataAllocation</vt:lpstr>
      <vt:lpstr>VerifyOrder</vt:lpstr>
      <vt:lpstr>VerifySubOrder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2021-08-04T09:56:56Z</dcterms:modified>
</cp:coreProperties>
</file>