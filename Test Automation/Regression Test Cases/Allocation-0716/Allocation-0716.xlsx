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AutoGroupingAllocation" sheetId="4" r:id="rId6"/>
    <sheet state="visible" name="CustomOrderTT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SelectTrade1" sheetId="9" r:id="rId11"/>
    <sheet state="visible" name="AcknowledgeTrade1" sheetId="10" r:id="rId12"/>
    <sheet state="visible" name="ExecuteTrade1" sheetId="11" r:id="rId13"/>
    <sheet state="visible" name="SelectTrade2" sheetId="12" r:id="rId14"/>
    <sheet state="visible" name="AcknowledgeTrade2" sheetId="13" r:id="rId15"/>
    <sheet state="visible" name="ExecuteTrade2" sheetId="14" r:id="rId16"/>
    <sheet state="visible" name="SelectTrade3" sheetId="15" r:id="rId17"/>
    <sheet state="visible" name="AcknowledgeTrade3" sheetId="16" r:id="rId18"/>
    <sheet state="visible" name="ExecuteTrade3" sheetId="17" r:id="rId19"/>
    <sheet state="visible" name="GetDataAllocation" sheetId="18" r:id="rId20"/>
    <sheet state="visible" name="CheckAllocatedGroups" sheetId="19" r:id="rId21"/>
    <sheet state="visible" name="SelectTradeOnOrderGrid" sheetId="20" r:id="rId22"/>
    <sheet state="visible" name="ReAllocateFromBlotterByAllocate" sheetId="21" r:id="rId23"/>
    <sheet state="visible" name="AllocateFromBlotter" sheetId="22" r:id="rId24"/>
    <sheet state="visible" name="SelectTradeOnOrderGrid1" sheetId="23" r:id="rId25"/>
    <sheet state="visible" name="AllocateFromBlotter1" sheetId="24" r:id="rId26"/>
    <sheet state="visible" name="ReAllocateFromBlotterByAllocat1" sheetId="25" r:id="rId27"/>
  </sheets>
  <definedNames/>
  <calcPr/>
</workbook>
</file>

<file path=xl/sharedStrings.xml><?xml version="1.0" encoding="utf-8"?>
<sst xmlns="http://schemas.openxmlformats.org/spreadsheetml/2006/main" count="216" uniqueCount="39">
  <si>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</si>
  <si>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</si>
  <si>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</si>
  <si>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</si>
  <si>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</si>
  <si>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</si>
  <si>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</si>
  <si>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</si>
  <si>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</si>
  <si>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</si>
  <si>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</si>
  <si>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</si>
  <si>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</si>
  <si>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EnableAutoGroupingAllocation</t>
  </si>
  <si>
    <t>Data Format</t>
  </si>
  <si>
    <t>Input Format</t>
  </si>
  <si>
    <t>TradingTicket</t>
  </si>
  <si>
    <t>CustomOrderTT</t>
  </si>
  <si>
    <t>IBM</t>
  </si>
  <si>
    <t>Send</t>
  </si>
  <si>
    <t>Buy</t>
  </si>
  <si>
    <t>Good Till Date</t>
  </si>
  <si>
    <t>Limit</t>
  </si>
  <si>
    <t>AAPL</t>
  </si>
  <si>
    <t>GTC</t>
  </si>
  <si>
    <t>Simulator</t>
  </si>
  <si>
    <t>SelectTrade</t>
  </si>
  <si>
    <t>AcknowledgeTrade</t>
  </si>
  <si>
    <t>ExecuteTrade</t>
  </si>
  <si>
    <t>Allocation</t>
  </si>
  <si>
    <t>GetDataAllocation</t>
  </si>
  <si>
    <t>Historical</t>
  </si>
  <si>
    <t>CheckAllocatedGroups</t>
  </si>
  <si>
    <t>Allocation1</t>
  </si>
  <si>
    <t>Blotter</t>
  </si>
  <si>
    <t>SelectTradeOnOrderGrid</t>
  </si>
  <si>
    <t>ReAllocateFromBlotterByAllocate</t>
  </si>
  <si>
    <t>AllocateFromBlotter</t>
  </si>
  <si>
    <t>Allocation2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</si>
</sst>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2" numFmtId="14" xfId="0" applyFont="1" applyNumberFormat="1"/>
    <xf borderId="0" fillId="0" fontId="5" numFmtId="14" xfId="0" applyAlignment="1" applyFont="1" applyNumberFormat="1">
      <alignment shrinkToFit="0" wrapText="0"/>
    </xf>
    <xf borderId="0" fillId="0" fontId="5" numFmtId="1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5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5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5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5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5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5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5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5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IFERROR(__xludf.DUMMYFUNCTION("""COMPUTED_VALUE"""),"Enable")</f>
        <v>Enable</v>
      </c>
      <c r="C5" s="27" t="str">
        <f>IFERROR(__xludf.DUMMYFUNCTION("""COMPUTED_VALUE"""),"EnableAllFunds")</f>
        <v>EnableAllFunds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b">
        <v>1</v>
      </c>
      <c r="C6" s="12" t="b">
        <v>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EnableAutoGroupingAllocation!$4:$4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 t="s">
        <v>18</v>
      </c>
      <c r="C6" s="12">
        <v>1000.0</v>
      </c>
      <c r="D6" s="12">
        <v>10.0</v>
      </c>
      <c r="E6" s="12" t="s">
        <v>19</v>
      </c>
      <c r="F6" s="8"/>
      <c r="G6" s="8"/>
      <c r="H6" s="8"/>
      <c r="I6" s="8"/>
      <c r="J6" s="12" t="s">
        <v>20</v>
      </c>
      <c r="K6" s="8"/>
      <c r="L6" s="8"/>
      <c r="M6" s="8"/>
      <c r="N6" s="8"/>
      <c r="O6" s="8"/>
      <c r="U6" s="9" t="s">
        <v>21</v>
      </c>
      <c r="V6" s="9" t="s">
        <v>22</v>
      </c>
      <c r="X6" s="9">
        <v>10.0</v>
      </c>
      <c r="Y6" s="31">
        <f t="shared" ref="Y6:Y7" si="1">today()+3</f>
        <v>45808</v>
      </c>
    </row>
    <row r="7" ht="15.75" customHeight="1">
      <c r="A7" s="8"/>
      <c r="B7" s="12" t="s">
        <v>18</v>
      </c>
      <c r="C7" s="12">
        <v>2000.0</v>
      </c>
      <c r="D7" s="12">
        <v>10.0</v>
      </c>
      <c r="E7" s="12" t="s">
        <v>19</v>
      </c>
      <c r="F7" s="8"/>
      <c r="G7" s="8"/>
      <c r="H7" s="8"/>
      <c r="I7" s="8"/>
      <c r="J7" s="12" t="s">
        <v>20</v>
      </c>
      <c r="K7" s="8"/>
      <c r="L7" s="8"/>
      <c r="M7" s="8"/>
      <c r="N7" s="8"/>
      <c r="O7" s="8"/>
      <c r="U7" s="9" t="s">
        <v>21</v>
      </c>
      <c r="V7" s="9" t="s">
        <v>22</v>
      </c>
      <c r="X7" s="9">
        <v>10.0</v>
      </c>
      <c r="Y7" s="31">
        <f t="shared" si="1"/>
        <v>45808</v>
      </c>
    </row>
    <row r="8" ht="15.75" customHeight="1">
      <c r="A8" s="12"/>
      <c r="B8" s="12" t="s">
        <v>23</v>
      </c>
      <c r="C8" s="12">
        <v>1000.0</v>
      </c>
      <c r="D8" s="12">
        <v>10.0</v>
      </c>
      <c r="E8" s="12" t="s">
        <v>19</v>
      </c>
      <c r="F8" s="8"/>
      <c r="G8" s="8"/>
      <c r="H8" s="8"/>
      <c r="I8" s="8"/>
      <c r="J8" s="12" t="s">
        <v>20</v>
      </c>
      <c r="K8" s="8"/>
      <c r="L8" s="8"/>
      <c r="M8" s="8"/>
      <c r="N8" s="8"/>
      <c r="O8" s="8"/>
      <c r="U8" s="9" t="s">
        <v>24</v>
      </c>
      <c r="V8" s="9" t="s">
        <v>22</v>
      </c>
      <c r="X8" s="9">
        <v>10.0</v>
      </c>
    </row>
    <row r="9" ht="15.75" customHeight="1">
      <c r="A9" s="12"/>
      <c r="B9" s="12" t="s">
        <v>23</v>
      </c>
      <c r="C9" s="12">
        <v>2000.0</v>
      </c>
      <c r="D9" s="12">
        <v>10.0</v>
      </c>
      <c r="E9" s="12" t="s">
        <v>19</v>
      </c>
      <c r="F9" s="8"/>
      <c r="G9" s="8"/>
      <c r="H9" s="8"/>
      <c r="I9" s="8"/>
      <c r="J9" s="12" t="s">
        <v>20</v>
      </c>
      <c r="K9" s="8"/>
      <c r="L9" s="8"/>
      <c r="M9" s="8"/>
      <c r="N9" s="8"/>
      <c r="O9" s="8"/>
      <c r="U9" s="9" t="s">
        <v>24</v>
      </c>
      <c r="V9" s="9" t="s">
        <v>22</v>
      </c>
      <c r="X9" s="9">
        <v>10.0</v>
      </c>
    </row>
    <row r="10" ht="15.75" customHeight="1"/>
    <row r="11" ht="15.75" customHeight="1"/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 t="s">
        <v>23</v>
      </c>
      <c r="D6" s="12"/>
      <c r="E6" s="30"/>
      <c r="F6" s="8"/>
      <c r="G6" s="12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12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 t="s">
        <v>23</v>
      </c>
      <c r="D6" s="12"/>
      <c r="E6" s="30"/>
      <c r="F6" s="8"/>
      <c r="G6" s="12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500.0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 t="s">
        <v>23</v>
      </c>
      <c r="D6" s="12"/>
      <c r="E6" s="30"/>
      <c r="F6" s="8"/>
      <c r="G6" s="12">
        <v>2000.0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 t="s">
        <v>23</v>
      </c>
      <c r="D6" s="12"/>
      <c r="E6" s="30"/>
      <c r="F6" s="8"/>
      <c r="G6" s="12">
        <v>2000.0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500.0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 t="s">
        <v>18</v>
      </c>
      <c r="D6" s="12"/>
      <c r="E6" s="30"/>
      <c r="F6" s="8"/>
      <c r="G6" s="12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 t="s">
        <v>18</v>
      </c>
      <c r="D6" s="12"/>
      <c r="E6" s="30"/>
      <c r="F6" s="8"/>
      <c r="G6" s="12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500.0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ExecuteTrade2!$4:$4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 t="s">
        <v>18</v>
      </c>
      <c r="D6" s="12"/>
      <c r="E6" s="30"/>
      <c r="F6" s="8"/>
      <c r="G6" s="12">
        <v>2000.0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SelectTrade3!$4:$4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 t="s">
        <v>18</v>
      </c>
      <c r="D6" s="12"/>
      <c r="E6" s="30"/>
      <c r="F6" s="8"/>
      <c r="G6" s="12">
        <v>2000.0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500.0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31</v>
      </c>
      <c r="C6" s="32">
        <f>today()-1</f>
        <v>45804</v>
      </c>
      <c r="D6" s="33">
        <f>today()</f>
        <v>45805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33</v>
      </c>
      <c r="C6" s="8"/>
      <c r="D6" s="12"/>
      <c r="E6" s="12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  <c r="BO6" s="9" t="s">
        <v>20</v>
      </c>
      <c r="BT6" s="9" t="s">
        <v>23</v>
      </c>
    </row>
    <row r="7" ht="15.75" customHeight="1">
      <c r="A7" s="8"/>
      <c r="B7" s="12" t="s">
        <v>33</v>
      </c>
      <c r="C7" s="8"/>
      <c r="D7" s="12"/>
      <c r="E7" s="12">
        <v>1000.0</v>
      </c>
      <c r="F7" s="8"/>
      <c r="G7" s="8"/>
      <c r="H7" s="8"/>
      <c r="I7" s="8"/>
      <c r="J7" s="8"/>
      <c r="K7" s="8"/>
      <c r="L7" s="8"/>
      <c r="M7" s="8"/>
      <c r="N7" s="8"/>
      <c r="O7" s="8"/>
      <c r="BO7" s="9" t="s">
        <v>20</v>
      </c>
      <c r="BT7" s="9" t="s">
        <v>18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23</v>
      </c>
      <c r="E6" s="30"/>
      <c r="F6" s="12" t="s">
        <v>20</v>
      </c>
      <c r="G6" s="8"/>
      <c r="H6" s="12">
        <v>1000.0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IFERROR(__xludf.DUMMYFUNCTION("""COMPUTED_VALUE"""),"Account")</f>
        <v>Account</v>
      </c>
      <c r="D5" s="27" t="str">
        <f>IFERROR(__xludf.DUMMYFUNCTION("""COMPUTED_VALUE"""),"Target Allocation Percentage")</f>
        <v>Target Allocation Percentage</v>
      </c>
      <c r="E5" s="27" t="str">
        <f>IFERROR(__xludf.DUMMYFUNCTION("""COMPUTED_VALUE"""),"Target Allocation Quantity")</f>
        <v>Target Allocation Quantity</v>
      </c>
      <c r="F5" s="28" t="str">
        <f>IFERROR(__xludf.DUMMYFUNCTION("""COMPUTED_VALUE"""),"LowerStripMessage")</f>
        <v>LowerStripMessage</v>
      </c>
      <c r="G5" s="27" t="str">
        <f>IFERROR(__xludf.DUMMYFUNCTION("""COMPUTED_VALUE"""),"AllocateButtonNotPresent")</f>
        <v>AllocateButtonNotPresent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33</v>
      </c>
      <c r="D6" s="12">
        <v>100.0</v>
      </c>
      <c r="E6" s="30"/>
      <c r="F6" s="8"/>
      <c r="G6" s="12" t="b">
        <v>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ReAllocateFromBlotterByAllocate!$4:$4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7.2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IFERROR(__xludf.DUMMYFUNCTION("""COMPUTED_VALUE"""),"Account")</f>
        <v>Account</v>
      </c>
      <c r="D5" s="27" t="str">
        <f>IFERROR(__xludf.DUMMYFUNCTION("""COMPUTED_VALUE"""),"Target Allocation Percentage")</f>
        <v>Target Allocation Percentage</v>
      </c>
      <c r="E5" s="27" t="str">
        <f>IFERROR(__xludf.DUMMYFUNCTION("""COMPUTED_VALUE"""),"TargetAllocationQuantity")</f>
        <v>TargetAllocationQuantity</v>
      </c>
      <c r="F5" s="28" t="str">
        <f>IFERROR(__xludf.DUMMYFUNCTION("""COMPUTED_VALUE"""),"ViewAllocationVerfication")</f>
        <v>ViewAllocationVerfication</v>
      </c>
      <c r="G5" s="27" t="str">
        <f>IFERROR(__xludf.DUMMYFUNCTION("""COMPUTED_VALUE"""),"RESET")</f>
        <v>RESET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38</v>
      </c>
      <c r="D6" s="12">
        <v>100.0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AllocateFromBlotter!$4:$4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18</v>
      </c>
      <c r="E6" s="30"/>
      <c r="F6" s="12" t="s">
        <v>20</v>
      </c>
      <c r="G6" s="8"/>
      <c r="H6" s="12">
        <v>1000.0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IFERROR(__xludf.DUMMYFUNCTION("""COMPUTED_VALUE"""),"Account")</f>
        <v>Account</v>
      </c>
      <c r="D5" s="27" t="str">
        <f>IFERROR(__xludf.DUMMYFUNCTION("""COMPUTED_VALUE"""),"Target Allocation Percentage")</f>
        <v>Target Allocation Percentage</v>
      </c>
      <c r="E5" s="27" t="str">
        <f>IFERROR(__xludf.DUMMYFUNCTION("""COMPUTED_VALUE"""),"TargetAllocationQuantity")</f>
        <v>TargetAllocationQuantity</v>
      </c>
      <c r="F5" s="28" t="str">
        <f>IFERROR(__xludf.DUMMYFUNCTION("""COMPUTED_VALUE"""),"ViewAllocationVerfication")</f>
        <v>ViewAllocationVerfication</v>
      </c>
      <c r="G5" s="27" t="str">
        <f>IFERROR(__xludf.DUMMYFUNCTION("""COMPUTED_VALUE"""),"RESET")</f>
        <v>RESET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38</v>
      </c>
      <c r="D6" s="12">
        <v>100.0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AllocateFromBlotter1!$4:$4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IFERROR(__xludf.DUMMYFUNCTION("""COMPUTED_VALUE"""),"Account")</f>
        <v>Account</v>
      </c>
      <c r="D5" s="27" t="str">
        <f>IFERROR(__xludf.DUMMYFUNCTION("""COMPUTED_VALUE"""),"Target Allocation Percentage")</f>
        <v>Target Allocation Percentage</v>
      </c>
      <c r="E5" s="27" t="str">
        <f>IFERROR(__xludf.DUMMYFUNCTION("""COMPUTED_VALUE"""),"Target Allocation Quantity")</f>
        <v>Target Allocation Quantity</v>
      </c>
      <c r="F5" s="28" t="str">
        <f>IFERROR(__xludf.DUMMYFUNCTION("""COMPUTED_VALUE"""),"LowerStripMessage")</f>
        <v>LowerStripMessage</v>
      </c>
      <c r="G5" s="27" t="str">
        <f>IFERROR(__xludf.DUMMYFUNCTION("""COMPUTED_VALUE"""),"AllocateButtonNotPresent")</f>
        <v>AllocateButtonNotPresent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33</v>
      </c>
      <c r="D6" s="12">
        <v>100.0</v>
      </c>
      <c r="E6" s="30"/>
      <c r="F6" s="8"/>
      <c r="G6" s="12" t="b">
        <v>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ReAllocateFromBlotterByAllocat1!$4:$4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