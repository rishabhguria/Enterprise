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missionRule" sheetId="4" r:id="rId6"/>
    <sheet state="visible" name="CreateDoneAwayOrder" sheetId="5" r:id="rId7"/>
    <sheet state="visible" name="GetDataAllocation" sheetId="6" r:id="rId8"/>
    <sheet state="visible" name="CheckUnallocatedGroups" sheetId="7" r:id="rId9"/>
    <sheet state="visible" name="SelectUnallocatedGroup" sheetId="8" r:id="rId10"/>
    <sheet state="visible" name="EnterAccountValuesToAllocate" sheetId="9" r:id="rId11"/>
    <sheet state="visible" name="SelectUnallocatedGroup1" sheetId="10" r:id="rId12"/>
    <sheet state="visible" name="EnterAccountValuesToAllocate1" sheetId="11" r:id="rId13"/>
    <sheet state="visible" name="SelectUnallocatedGroup2" sheetId="12" r:id="rId14"/>
    <sheet state="visible" name="EnterAccountValuesToAllocate2" sheetId="13" r:id="rId15"/>
    <sheet state="visible" name="CheckAllocatedGroups" sheetId="14" r:id="rId16"/>
    <sheet state="visible" name="GetDataClosing" sheetId="15" r:id="rId17"/>
    <sheet state="visible" name="VerifyLongPositionsGrid" sheetId="16" r:id="rId18"/>
    <sheet state="visible" name="VerifyShortPositionsGrid" sheetId="17" r:id="rId19"/>
  </sheets>
  <definedNames/>
  <calcPr/>
</workbook>
</file>

<file path=xl/sharedStrings.xml><?xml version="1.0" encoding="utf-8"?>
<sst xmlns="http://schemas.openxmlformats.org/spreadsheetml/2006/main" count="335" uniqueCount="61">
  <si>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</si>
  <si>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</si>
  <si>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</si>
  <si>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</si>
  <si>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</si>
  <si>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</si>
  <si>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</si>
  <si>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</si>
  <si>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</si>
  <si>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</si>
  <si>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</si>
  <si>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</si>
  <si>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</si>
  <si>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SetCommissionRule</t>
  </si>
  <si>
    <t>Data Format</t>
  </si>
  <si>
    <t>Input Format</t>
  </si>
  <si>
    <t>PREALLOCATION</t>
  </si>
  <si>
    <t>TradingTicket</t>
  </si>
  <si>
    <t>CreateDoneAwayOrder</t>
  </si>
  <si>
    <t>ABNB3@B-BSP</t>
  </si>
  <si>
    <t>Buy</t>
  </si>
  <si>
    <t>Unallocated</t>
  </si>
  <si>
    <t>Source</t>
  </si>
  <si>
    <t>Market</t>
  </si>
  <si>
    <t>Auto</t>
  </si>
  <si>
    <t>O:CHK 10E23.00</t>
  </si>
  <si>
    <t>Buy to Open</t>
  </si>
  <si>
    <t>ZN Z3</t>
  </si>
  <si>
    <t>Sell</t>
  </si>
  <si>
    <t>Sell to Close</t>
  </si>
  <si>
    <t>Allocation</t>
  </si>
  <si>
    <t>GetDataAllocation</t>
  </si>
  <si>
    <t>Current</t>
  </si>
  <si>
    <t>CheckUnallocatedGroups</t>
  </si>
  <si>
    <t>Equity</t>
  </si>
  <si>
    <t>NONE</t>
  </si>
  <si>
    <t>Open</t>
  </si>
  <si>
    <t>AMERIC BANKNOTE NM</t>
  </si>
  <si>
    <t>BRL</t>
  </si>
  <si>
    <t>Bovespa</t>
  </si>
  <si>
    <t>D</t>
  </si>
  <si>
    <t>Brazil</t>
  </si>
  <si>
    <t>Future</t>
  </si>
  <si>
    <t>ZN DEC Future</t>
  </si>
  <si>
    <t>USD</t>
  </si>
  <si>
    <t>eCBOT</t>
  </si>
  <si>
    <t>M</t>
  </si>
  <si>
    <t>US</t>
  </si>
  <si>
    <t>SelectUnallocatedGroup</t>
  </si>
  <si>
    <t>EnterAccountValuesToAllocate</t>
  </si>
  <si>
    <t>Allocation1</t>
  </si>
  <si>
    <t>Allocation2</t>
  </si>
  <si>
    <t>Allocation3</t>
  </si>
  <si>
    <t>CheckAllocatedGroups</t>
  </si>
  <si>
    <t>Closing</t>
  </si>
  <si>
    <t>GetDataClosing</t>
  </si>
  <si>
    <t>VerifyLongPositionsGrid</t>
  </si>
  <si>
    <t>Long</t>
  </si>
  <si>
    <t>Strategy Unallocated</t>
  </si>
  <si>
    <t>VerifyShortPositionsGrid</t>
  </si>
  <si>
    <t>Short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</si>
</sst>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###,###,###,###,##0.00#############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6" fillId="0" fontId="5" numFmtId="0" xfId="0" applyAlignment="1" applyBorder="1" applyFont="1">
      <alignment horizontal="right" vertical="bottom"/>
    </xf>
    <xf borderId="6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0" fontId="13" numFmtId="164" xfId="0" applyAlignment="1" applyFont="1" applyNumberFormat="1">
      <alignment horizontal="right" vertical="bottom"/>
    </xf>
    <xf borderId="0" fillId="0" fontId="3" numFmtId="1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shrinkToFit="0" vertical="bottom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9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9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9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IFERROR(__xludf.DUMMYFUNCTION("""COMPUTED_VALUE"""),"RemoveMasterUser")</f>
        <v>RemoveMasterUser</v>
      </c>
      <c r="AK4" s="25" t="str">
        <f>IFERROR(__xludf.DUMMYFUNCTION("""COMPUTED_VALUE"""),"ClearRTPNLtabs")</f>
        <v>ClearRTPNLtabs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IFERROR(__xludf.DUMMYFUNCTION("""COMPUTED_VALUE"""),"CommissionCalculation")</f>
        <v>CommissionCalculation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SetCommissionRule!$4:$4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19</v>
      </c>
      <c r="C6" s="33" t="s">
        <v>20</v>
      </c>
      <c r="D6" s="34">
        <v>10000.0</v>
      </c>
      <c r="E6" s="35">
        <v>10000.0</v>
      </c>
      <c r="F6" s="33" t="s">
        <v>21</v>
      </c>
      <c r="G6" s="33" t="s">
        <v>22</v>
      </c>
      <c r="H6" s="33"/>
      <c r="I6" s="33" t="s">
        <v>23</v>
      </c>
      <c r="J6" s="35">
        <v>120.0</v>
      </c>
      <c r="K6" s="33"/>
      <c r="L6" s="33"/>
      <c r="M6" s="33"/>
      <c r="N6" s="36">
        <f t="shared" ref="N6:N11" si="1">TODAY()</f>
        <v>45861</v>
      </c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 t="s">
        <v>24</v>
      </c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7" t="s">
        <v>25</v>
      </c>
      <c r="C7" s="37" t="s">
        <v>26</v>
      </c>
      <c r="D7" s="38">
        <v>10000.0</v>
      </c>
      <c r="E7" s="38">
        <v>10000.0</v>
      </c>
      <c r="F7" s="37" t="s">
        <v>21</v>
      </c>
      <c r="G7" s="37" t="s">
        <v>22</v>
      </c>
      <c r="H7" s="37"/>
      <c r="I7" s="37" t="s">
        <v>23</v>
      </c>
      <c r="J7" s="38">
        <v>130.0</v>
      </c>
      <c r="K7" s="37"/>
      <c r="L7" s="37"/>
      <c r="M7" s="37"/>
      <c r="N7" s="39">
        <f t="shared" si="1"/>
        <v>45861</v>
      </c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 t="s">
        <v>24</v>
      </c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37" t="s">
        <v>27</v>
      </c>
      <c r="C8" s="37" t="s">
        <v>20</v>
      </c>
      <c r="D8" s="38">
        <v>10000.0</v>
      </c>
      <c r="E8" s="38">
        <v>10000.0</v>
      </c>
      <c r="F8" s="37" t="s">
        <v>21</v>
      </c>
      <c r="G8" s="37" t="s">
        <v>22</v>
      </c>
      <c r="H8" s="37"/>
      <c r="I8" s="37" t="s">
        <v>23</v>
      </c>
      <c r="J8" s="38">
        <v>140.0</v>
      </c>
      <c r="K8" s="37"/>
      <c r="L8" s="37"/>
      <c r="M8" s="37"/>
      <c r="N8" s="39">
        <f t="shared" si="1"/>
        <v>45861</v>
      </c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 t="s">
        <v>24</v>
      </c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37"/>
      <c r="B9" s="37" t="s">
        <v>19</v>
      </c>
      <c r="C9" s="37" t="s">
        <v>28</v>
      </c>
      <c r="D9" s="38">
        <v>5000.0</v>
      </c>
      <c r="E9" s="38">
        <v>5000.0</v>
      </c>
      <c r="F9" s="37" t="s">
        <v>21</v>
      </c>
      <c r="G9" s="37" t="s">
        <v>22</v>
      </c>
      <c r="H9" s="37"/>
      <c r="I9" s="37" t="s">
        <v>23</v>
      </c>
      <c r="J9" s="38">
        <v>130.0</v>
      </c>
      <c r="K9" s="37"/>
      <c r="L9" s="37"/>
      <c r="M9" s="37"/>
      <c r="N9" s="39">
        <f t="shared" si="1"/>
        <v>45861</v>
      </c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 t="s">
        <v>24</v>
      </c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</row>
    <row r="10" ht="15.75" customHeight="1">
      <c r="A10" s="37"/>
      <c r="B10" s="37" t="s">
        <v>25</v>
      </c>
      <c r="C10" s="37" t="s">
        <v>29</v>
      </c>
      <c r="D10" s="38">
        <v>5000.0</v>
      </c>
      <c r="E10" s="38">
        <v>5000.0</v>
      </c>
      <c r="F10" s="37" t="s">
        <v>21</v>
      </c>
      <c r="G10" s="37" t="s">
        <v>22</v>
      </c>
      <c r="H10" s="37"/>
      <c r="I10" s="37" t="s">
        <v>23</v>
      </c>
      <c r="J10" s="38">
        <v>140.0</v>
      </c>
      <c r="K10" s="37"/>
      <c r="L10" s="37"/>
      <c r="M10" s="37"/>
      <c r="N10" s="39">
        <f t="shared" si="1"/>
        <v>45861</v>
      </c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 t="s">
        <v>24</v>
      </c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  <c r="BV10" s="37"/>
      <c r="BW10" s="37"/>
      <c r="BX10" s="37"/>
      <c r="BY10" s="37"/>
      <c r="BZ10" s="37"/>
      <c r="CA10" s="37"/>
      <c r="CB10" s="37"/>
      <c r="CC10" s="37"/>
      <c r="CD10" s="37"/>
      <c r="CE10" s="37"/>
      <c r="CF10" s="37"/>
      <c r="CG10" s="37"/>
      <c r="CH10" s="37"/>
      <c r="CI10" s="37"/>
      <c r="CJ10" s="37"/>
      <c r="CK10" s="37"/>
      <c r="CL10" s="37"/>
      <c r="CM10" s="37"/>
      <c r="CN10" s="37"/>
      <c r="CO10" s="37"/>
      <c r="CP10" s="37"/>
      <c r="CQ10" s="37"/>
      <c r="CR10" s="37"/>
      <c r="CS10" s="37"/>
      <c r="CT10" s="37"/>
      <c r="CU10" s="37"/>
      <c r="CV10" s="37"/>
      <c r="CW10" s="37"/>
      <c r="CX10" s="37"/>
      <c r="CY10" s="37"/>
      <c r="CZ10" s="37"/>
      <c r="DA10" s="37"/>
      <c r="DB10" s="37"/>
      <c r="DC10" s="37"/>
      <c r="DD10" s="37"/>
      <c r="DE10" s="37"/>
      <c r="DF10" s="37"/>
      <c r="DG10" s="37"/>
      <c r="DH10" s="37"/>
      <c r="DI10" s="37"/>
      <c r="DJ10" s="37"/>
      <c r="DK10" s="37"/>
      <c r="DL10" s="37"/>
      <c r="DM10" s="37"/>
      <c r="DN10" s="37"/>
      <c r="DO10" s="37"/>
      <c r="DP10" s="37"/>
      <c r="DQ10" s="37"/>
      <c r="DR10" s="37"/>
      <c r="DS10" s="37"/>
      <c r="DT10" s="37"/>
      <c r="DU10" s="37"/>
      <c r="DV10" s="37"/>
      <c r="DW10" s="37"/>
      <c r="DX10" s="37"/>
      <c r="DY10" s="37"/>
      <c r="DZ10" s="37"/>
      <c r="EA10" s="37"/>
      <c r="EB10" s="37"/>
      <c r="EC10" s="37"/>
      <c r="ED10" s="37"/>
      <c r="EE10" s="37"/>
      <c r="EF10" s="37"/>
      <c r="EG10" s="37"/>
      <c r="EH10" s="37"/>
      <c r="EI10" s="37"/>
      <c r="EJ10" s="37"/>
      <c r="EK10" s="37"/>
      <c r="EL10" s="37"/>
      <c r="EM10" s="37"/>
      <c r="EN10" s="37"/>
      <c r="EO10" s="37"/>
      <c r="EP10" s="37"/>
      <c r="EQ10" s="37"/>
      <c r="ER10" s="37"/>
      <c r="ES10" s="37"/>
      <c r="ET10" s="37"/>
      <c r="EU10" s="37"/>
      <c r="EV10" s="37"/>
      <c r="EW10" s="37"/>
      <c r="EX10" s="37"/>
    </row>
    <row r="11" ht="15.75" customHeight="1">
      <c r="A11" s="37"/>
      <c r="B11" s="37" t="s">
        <v>27</v>
      </c>
      <c r="C11" s="37" t="s">
        <v>28</v>
      </c>
      <c r="D11" s="38">
        <v>5000.0</v>
      </c>
      <c r="E11" s="38">
        <v>5000.0</v>
      </c>
      <c r="F11" s="37" t="s">
        <v>21</v>
      </c>
      <c r="G11" s="37" t="s">
        <v>22</v>
      </c>
      <c r="H11" s="37"/>
      <c r="I11" s="37" t="s">
        <v>23</v>
      </c>
      <c r="J11" s="38">
        <v>150.0</v>
      </c>
      <c r="K11" s="37"/>
      <c r="L11" s="37"/>
      <c r="M11" s="37"/>
      <c r="N11" s="39">
        <f t="shared" si="1"/>
        <v>45861</v>
      </c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 t="s">
        <v>24</v>
      </c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7"/>
      <c r="BF11" s="37"/>
      <c r="BG11" s="37"/>
      <c r="BH11" s="37"/>
      <c r="BI11" s="37"/>
      <c r="BJ11" s="37"/>
      <c r="BK11" s="37"/>
      <c r="BL11" s="37"/>
      <c r="BM11" s="37"/>
      <c r="BN11" s="37"/>
      <c r="BO11" s="37"/>
      <c r="BP11" s="37"/>
      <c r="BQ11" s="37"/>
      <c r="BR11" s="37"/>
      <c r="BS11" s="37"/>
      <c r="BT11" s="37"/>
      <c r="BU11" s="37"/>
      <c r="BV11" s="37"/>
      <c r="BW11" s="37"/>
      <c r="BX11" s="37"/>
      <c r="BY11" s="37"/>
      <c r="BZ11" s="37"/>
      <c r="CA11" s="37"/>
      <c r="CB11" s="37"/>
      <c r="CC11" s="37"/>
      <c r="CD11" s="37"/>
      <c r="CE11" s="37"/>
      <c r="CF11" s="37"/>
      <c r="CG11" s="37"/>
      <c r="CH11" s="37"/>
      <c r="CI11" s="37"/>
      <c r="CJ11" s="37"/>
      <c r="CK11" s="37"/>
      <c r="CL11" s="37"/>
      <c r="CM11" s="37"/>
      <c r="CN11" s="37"/>
      <c r="CO11" s="37"/>
      <c r="CP11" s="37"/>
      <c r="CQ11" s="37"/>
      <c r="CR11" s="37"/>
      <c r="CS11" s="37"/>
      <c r="CT11" s="37"/>
      <c r="CU11" s="37"/>
      <c r="CV11" s="37"/>
      <c r="CW11" s="37"/>
      <c r="CX11" s="37"/>
      <c r="CY11" s="37"/>
      <c r="CZ11" s="37"/>
      <c r="DA11" s="37"/>
      <c r="DB11" s="37"/>
      <c r="DC11" s="37"/>
      <c r="DD11" s="37"/>
      <c r="DE11" s="37"/>
      <c r="DF11" s="37"/>
      <c r="DG11" s="37"/>
      <c r="DH11" s="37"/>
      <c r="DI11" s="37"/>
      <c r="DJ11" s="37"/>
      <c r="DK11" s="37"/>
      <c r="DL11" s="37"/>
      <c r="DM11" s="37"/>
      <c r="DN11" s="37"/>
      <c r="DO11" s="37"/>
      <c r="DP11" s="37"/>
      <c r="DQ11" s="37"/>
      <c r="DR11" s="37"/>
      <c r="DS11" s="37"/>
      <c r="DT11" s="37"/>
      <c r="DU11" s="37"/>
      <c r="DV11" s="37"/>
      <c r="DW11" s="37"/>
      <c r="DX11" s="37"/>
      <c r="DY11" s="37"/>
      <c r="DZ11" s="37"/>
      <c r="EA11" s="37"/>
      <c r="EB11" s="37"/>
      <c r="EC11" s="37"/>
      <c r="ED11" s="37"/>
      <c r="EE11" s="37"/>
      <c r="EF11" s="37"/>
      <c r="EG11" s="37"/>
      <c r="EH11" s="37"/>
      <c r="EI11" s="37"/>
      <c r="EJ11" s="37"/>
      <c r="EK11" s="37"/>
      <c r="EL11" s="37"/>
      <c r="EM11" s="37"/>
      <c r="EN11" s="37"/>
      <c r="EO11" s="37"/>
      <c r="EP11" s="37"/>
      <c r="EQ11" s="37"/>
      <c r="ER11" s="37"/>
      <c r="ES11" s="37"/>
      <c r="ET11" s="37"/>
      <c r="EU11" s="37"/>
      <c r="EV11" s="37"/>
      <c r="EW11" s="37"/>
      <c r="EX11" s="37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32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5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IFERROR(__xludf.DUMMYFUNCTION("""COMPUTED_VALUE"""),"Accrual Basis")</f>
        <v>Accrual Basis</v>
      </c>
      <c r="C5" s="27" t="str">
        <f>IFERROR(__xludf.DUMMYFUNCTION("""COMPUTED_VALUE"""),"Accrued Interest")</f>
        <v>Accrued Interest</v>
      </c>
      <c r="D5" s="27" t="str">
        <f>IFERROR(__xludf.DUMMYFUNCTION("""COMPUTED_VALUE"""),"Allocated Qty")</f>
        <v>Allocated Qty</v>
      </c>
      <c r="E5" s="27" t="str">
        <f>IFERROR(__xludf.DUMMYFUNCTION("""COMPUTED_VALUE"""),"Allocation Scheme Name")</f>
        <v>Allocation Scheme Name</v>
      </c>
      <c r="F5" s="28" t="str">
        <f>IFERROR(__xludf.DUMMYFUNCTION("""COMPUTED_VALUE"""),"Asset Category")</f>
        <v>Asset Category</v>
      </c>
      <c r="G5" s="27" t="str">
        <f>IFERROR(__xludf.DUMMYFUNCTION("""COMPUTED_VALUE"""),"AUEC Fee1")</f>
        <v>AUEC Fee1</v>
      </c>
      <c r="H5" s="27" t="str">
        <f>IFERROR(__xludf.DUMMYFUNCTION("""COMPUTED_VALUE"""),"AUEC Fee2")</f>
        <v>AUEC Fee2</v>
      </c>
      <c r="I5" s="27" t="str">
        <f>IFERROR(__xludf.DUMMYFUNCTION("""COMPUTED_VALUE"""),"AUECID")</f>
        <v>AUECID</v>
      </c>
      <c r="J5" s="27" t="str">
        <f>IFERROR(__xludf.DUMMYFUNCTION("""COMPUTED_VALUE"""),"Avg Price(Base)")</f>
        <v>Avg Price(Base)</v>
      </c>
      <c r="K5" s="27" t="str">
        <f>IFERROR(__xludf.DUMMYFUNCTION("""COMPUTED_VALUE"""),"Avg Price(Local)")</f>
        <v>Avg Price(Local)</v>
      </c>
      <c r="L5" s="27" t="str">
        <f>IFERROR(__xludf.DUMMYFUNCTION("""COMPUTED_VALUE"""),"Bloomberg")</f>
        <v>Bloomberg</v>
      </c>
      <c r="M5" s="27" t="str">
        <f>IFERROR(__xludf.DUMMYFUNCTION("""COMPUTED_VALUE"""),"Bond Type")</f>
        <v>Bond Type</v>
      </c>
      <c r="N5" s="27" t="str">
        <f>IFERROR(__xludf.DUMMYFUNCTION("""COMPUTED_VALUE"""),"Broker")</f>
        <v>Broker</v>
      </c>
      <c r="O5" s="27" t="str">
        <f>IFERROR(__xludf.DUMMYFUNCTION("""COMPUTED_VALUE"""),"Change Comment")</f>
        <v>Change Comment</v>
      </c>
      <c r="P5" s="27" t="str">
        <f>IFERROR(__xludf.DUMMYFUNCTION("""COMPUTED_VALUE"""),"Change Type")</f>
        <v>Change Type</v>
      </c>
      <c r="Q5" s="27" t="str">
        <f>IFERROR(__xludf.DUMMYFUNCTION("""COMPUTED_VALUE"""),"Clearing Broker Fee")</f>
        <v>Clearing Broker Fee</v>
      </c>
      <c r="R5" s="27" t="str">
        <f>IFERROR(__xludf.DUMMYFUNCTION("""COMPUTED_VALUE"""),"Closing Method")</f>
        <v>Closing Method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IFERROR(__xludf.DUMMYFUNCTION("""COMPUTED_VALUE"""),"Execution Time")</f>
        <v>Execution Time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IFERROR(__xludf.DUMMYFUNCTION("""COMPUTED_VALUE"""),"FX Rate")</f>
        <v>FX Rate</v>
      </c>
      <c r="AI5" s="29" t="str">
        <f>IFERROR(__xludf.DUMMYFUNCTION("""COMPUTED_VALUE"""),"Group Status")</f>
        <v>Group Status</v>
      </c>
      <c r="AJ5" s="29" t="str">
        <f>IFERROR(__xludf.DUMMYFUNCTION("""COMPUTED_VALUE"""),"GroupID")</f>
        <v>GroupID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IFERROR(__xludf.DUMMYFUNCTION("""COMPUTED_VALUE"""),"Symbol")</f>
        <v>Symbol</v>
      </c>
      <c r="BT5" s="29" t="str">
        <f>IFERROR(__xludf.DUMMYFUNCTION("""COMPUTED_VALUE"""),"Tax On Commissions")</f>
        <v>Tax On Commissions</v>
      </c>
      <c r="BU5" s="29" t="str">
        <f>IFERROR(__xludf.DUMMYFUNCTION("""COMPUTED_VALUE"""),"Total Commission")</f>
        <v>Total Commission</v>
      </c>
      <c r="BV5" s="29" t="str">
        <f>IFERROR(__xludf.DUMMYFUNCTION("""COMPUTED_VALUE"""),"Total Commission And Fee")</f>
        <v>Total Commission And Fee</v>
      </c>
      <c r="BW5" s="29" t="str">
        <f>IFERROR(__xludf.DUMMYFUNCTION("""COMPUTED_VALUE"""),"Total Commission Per Share")</f>
        <v>Total Commission Per Share</v>
      </c>
      <c r="BX5" s="29" t="str">
        <f>IFERROR(__xludf.DUMMYFUNCTION("""COMPUTED_VALUE"""),"Trade Attribute 1")</f>
        <v>Trade Attribute 1</v>
      </c>
      <c r="BY5" s="29" t="str">
        <f>IFERROR(__xludf.DUMMYFUNCTION("""COMPUTED_VALUE"""),"Trade Attribute 2")</f>
        <v>Trade Attribute 2</v>
      </c>
      <c r="BZ5" s="29" t="str">
        <f>IFERROR(__xludf.DUMMYFUNCTION("""COMPUTED_VALUE"""),"Trade Attribute 3")</f>
        <v>Trade Attribute 3</v>
      </c>
      <c r="CA5" s="29" t="str">
        <f>IFERROR(__xludf.DUMMYFUNCTION("""COMPUTED_VALUE"""),"Trade Attribute 4")</f>
        <v>Trade Attribute 4</v>
      </c>
      <c r="CB5" s="29" t="str">
        <f>IFERROR(__xludf.DUMMYFUNCTION("""COMPUTED_VALUE"""),"Trade Attribute 5")</f>
        <v>Trade Attribute 5</v>
      </c>
      <c r="CC5" s="29" t="str">
        <f>IFERROR(__xludf.DUMMYFUNCTION("""COMPUTED_VALUE"""),"Trade Attribute 6")</f>
        <v>Trade Attribute 6</v>
      </c>
      <c r="CD5" s="29" t="str">
        <f>IFERROR(__xludf.DUMMYFUNCTION("""COMPUTED_VALUE"""),"Trade Date")</f>
        <v>Trade Date</v>
      </c>
      <c r="CE5" s="29" t="str">
        <f>IFERROR(__xludf.DUMMYFUNCTION("""COMPUTED_VALUE"""),"Trading Account")</f>
        <v>Trading Account</v>
      </c>
      <c r="CF5" s="29" t="str">
        <f>IFERROR(__xludf.DUMMYFUNCTION("""COMPUTED_VALUE"""),"Transaction Levy")</f>
        <v>Transaction Levy</v>
      </c>
      <c r="CG5" s="29" t="str">
        <f>IFERROR(__xludf.DUMMYFUNCTION("""COMPUTED_VALUE"""),"Transaction Source")</f>
        <v>Transaction Source</v>
      </c>
      <c r="CH5" s="29" t="str">
        <f>IFERROR(__xludf.DUMMYFUNCTION("""COMPUTED_VALUE"""),"Transaction Type")</f>
        <v>Transaction Type</v>
      </c>
      <c r="CI5" s="29" t="str">
        <f>IFERROR(__xludf.DUMMYFUNCTION("""COMPUTED_VALUE"""),"UnAllocatedQty")</f>
        <v>UnAllocatedQty</v>
      </c>
      <c r="CJ5" s="29" t="str">
        <f>IFERROR(__xludf.DUMMYFUNCTION("""COMPUTED_VALUE"""),"Underlying")</f>
        <v>Underlying</v>
      </c>
      <c r="CK5" s="29" t="str">
        <f>IFERROR(__xludf.DUMMYFUNCTION("""COMPUTED_VALUE"""),"Underlying Delta")</f>
        <v>Underlying Delta</v>
      </c>
      <c r="CL5" s="29" t="str">
        <f>IFERROR(__xludf.DUMMYFUNCTION("""COMPUTED_VALUE"""),"Underlying Symbol")</f>
        <v>Underlying Symbol</v>
      </c>
      <c r="CM5" s="29" t="str">
        <f>IFERROR(__xludf.DUMMYFUNCTION("""COMPUTED_VALUE"""),"User")</f>
        <v>User</v>
      </c>
      <c r="CN5" s="29" t="str">
        <f>IFERROR(__xludf.DUMMYFUNCTION("""COMPUTED_VALUE"""),"Venue")</f>
        <v>Venue</v>
      </c>
      <c r="CO5" s="29" t="str">
        <f>IFERROR(__xludf.DUMMYFUNCTION("""COMPUTED_VALUE"""),"Closing Date")</f>
        <v>Closing Date</v>
      </c>
      <c r="CP5" s="29" t="str">
        <f>IFERROR(__xludf.DUMMYFUNCTION("""COMPUTED_VALUE"""),"Expiration Date")</f>
        <v>Expiration Date</v>
      </c>
      <c r="CQ5" s="29" t="str">
        <f>IFERROR(__xludf.DUMMYFUNCTION("""COMPUTED_VALUE"""),"Master Fund")</f>
        <v>Master Fund</v>
      </c>
      <c r="CR5" s="29" t="str">
        <f>IFERROR(__xludf.DUMMYFUNCTION("""COMPUTED_VALUE"""),"Borrow Broker")</f>
        <v>Borrow Broker</v>
      </c>
      <c r="CS5" s="29" t="str">
        <f>IFERROR(__xludf.DUMMYFUNCTION("""COMPUTED_VALUE"""),"MandatoryColumn")</f>
        <v>MandatoryColumn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</row>
    <row r="6" ht="15.75" customHeight="1">
      <c r="A6" s="40"/>
      <c r="B6" s="40"/>
      <c r="C6" s="37"/>
      <c r="D6" s="40"/>
      <c r="E6" s="37"/>
      <c r="F6" s="41" t="s">
        <v>34</v>
      </c>
      <c r="G6" s="42">
        <v>0.0</v>
      </c>
      <c r="H6" s="42">
        <v>0.0</v>
      </c>
      <c r="I6" s="37"/>
      <c r="J6" s="42">
        <v>0.0</v>
      </c>
      <c r="K6" s="42">
        <v>120.0</v>
      </c>
      <c r="L6" s="37"/>
      <c r="M6" s="37"/>
      <c r="N6" s="41" t="s">
        <v>22</v>
      </c>
      <c r="O6" s="37"/>
      <c r="P6" s="37"/>
      <c r="Q6" s="42">
        <v>20.0</v>
      </c>
      <c r="R6" s="41" t="s">
        <v>35</v>
      </c>
      <c r="S6" s="41" t="s">
        <v>36</v>
      </c>
      <c r="T6" s="42">
        <v>100000.0</v>
      </c>
      <c r="U6" s="42">
        <v>10.0</v>
      </c>
      <c r="V6" s="41" t="s">
        <v>37</v>
      </c>
      <c r="W6" s="42">
        <v>1.0</v>
      </c>
      <c r="X6" s="37"/>
      <c r="Y6" s="37"/>
      <c r="Z6" s="41" t="s">
        <v>38</v>
      </c>
      <c r="AA6" s="37"/>
      <c r="AB6" s="37"/>
      <c r="AC6" s="37"/>
      <c r="AD6" s="41" t="s">
        <v>39</v>
      </c>
      <c r="AE6" s="42">
        <v>10000.0</v>
      </c>
      <c r="AF6" s="37"/>
      <c r="AG6" s="41" t="s">
        <v>40</v>
      </c>
      <c r="AH6" s="42">
        <v>0.0</v>
      </c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42">
        <v>0.0</v>
      </c>
      <c r="AU6" s="42">
        <v>1502580.0</v>
      </c>
      <c r="AV6" s="37"/>
      <c r="AW6" s="42">
        <v>0.0</v>
      </c>
      <c r="AX6" s="42">
        <v>0.0</v>
      </c>
      <c r="AY6" s="41" t="s">
        <v>23</v>
      </c>
      <c r="AZ6" s="42">
        <v>0.0</v>
      </c>
      <c r="BA6" s="37"/>
      <c r="BB6" s="37"/>
      <c r="BC6" s="42">
        <v>150.0</v>
      </c>
      <c r="BD6" s="37"/>
      <c r="BE6" s="42">
        <v>0.0</v>
      </c>
      <c r="BF6" s="42">
        <v>1200000.0</v>
      </c>
      <c r="BG6" s="37"/>
      <c r="BH6" s="37"/>
      <c r="BI6" s="37"/>
      <c r="BJ6" s="42">
        <v>10000.0</v>
      </c>
      <c r="BK6" s="42">
        <v>1200.0</v>
      </c>
      <c r="BL6" s="37"/>
      <c r="BM6" s="41" t="s">
        <v>38</v>
      </c>
      <c r="BN6" s="37"/>
      <c r="BO6" s="41" t="s">
        <v>20</v>
      </c>
      <c r="BP6" s="42">
        <v>100000.0</v>
      </c>
      <c r="BQ6" s="42">
        <v>10.0</v>
      </c>
      <c r="BR6" s="42">
        <v>1200.0</v>
      </c>
      <c r="BS6" s="41" t="s">
        <v>19</v>
      </c>
      <c r="BT6" s="42">
        <v>100000.0</v>
      </c>
      <c r="BU6" s="42">
        <v>200000.0</v>
      </c>
      <c r="BV6" s="42">
        <v>302580.0</v>
      </c>
      <c r="BW6" s="42">
        <v>20.0</v>
      </c>
      <c r="BX6" s="37"/>
      <c r="BY6" s="37"/>
      <c r="BZ6" s="37"/>
      <c r="CA6" s="37"/>
      <c r="CB6" s="37"/>
      <c r="CC6" s="37"/>
      <c r="CD6" s="43">
        <f t="shared" ref="CD6:CD9" si="1">TODAY()</f>
        <v>45861</v>
      </c>
      <c r="CE6" s="37"/>
      <c r="CF6" s="42">
        <v>10.0</v>
      </c>
      <c r="CG6" s="41" t="s">
        <v>17</v>
      </c>
      <c r="CH6" s="41" t="s">
        <v>20</v>
      </c>
      <c r="CI6" s="42">
        <v>10000.0</v>
      </c>
      <c r="CJ6" s="41" t="s">
        <v>41</v>
      </c>
      <c r="CK6" s="42">
        <v>1.0</v>
      </c>
      <c r="CL6" s="41" t="s">
        <v>19</v>
      </c>
      <c r="CM6" s="37"/>
      <c r="CN6" s="41" t="s">
        <v>24</v>
      </c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  <c r="EY6" s="37"/>
    </row>
    <row r="7" ht="15.75" customHeight="1">
      <c r="A7" s="37"/>
      <c r="B7" s="37"/>
      <c r="C7" s="37"/>
      <c r="D7" s="37"/>
      <c r="E7" s="37"/>
      <c r="F7" s="41" t="s">
        <v>34</v>
      </c>
      <c r="G7" s="42">
        <v>0.0</v>
      </c>
      <c r="H7" s="42">
        <v>0.0</v>
      </c>
      <c r="I7" s="37"/>
      <c r="J7" s="42">
        <v>0.0</v>
      </c>
      <c r="K7" s="42">
        <v>130.0</v>
      </c>
      <c r="L7" s="37"/>
      <c r="M7" s="37"/>
      <c r="N7" s="41" t="s">
        <v>22</v>
      </c>
      <c r="O7" s="37"/>
      <c r="P7" s="37"/>
      <c r="Q7" s="42">
        <v>20.0</v>
      </c>
      <c r="R7" s="41" t="s">
        <v>35</v>
      </c>
      <c r="S7" s="41" t="s">
        <v>36</v>
      </c>
      <c r="T7" s="42">
        <v>50000.0</v>
      </c>
      <c r="U7" s="42">
        <v>10.0</v>
      </c>
      <c r="V7" s="41" t="s">
        <v>37</v>
      </c>
      <c r="W7" s="42">
        <v>1.0</v>
      </c>
      <c r="X7" s="37"/>
      <c r="Y7" s="37"/>
      <c r="Z7" s="41" t="s">
        <v>38</v>
      </c>
      <c r="AA7" s="37"/>
      <c r="AB7" s="37"/>
      <c r="AC7" s="37"/>
      <c r="AD7" s="41" t="s">
        <v>39</v>
      </c>
      <c r="AE7" s="42">
        <v>5000.0</v>
      </c>
      <c r="AF7" s="37"/>
      <c r="AG7" s="41" t="s">
        <v>40</v>
      </c>
      <c r="AH7" s="42">
        <v>0.0</v>
      </c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42">
        <v>0.0</v>
      </c>
      <c r="AU7" s="42">
        <v>498595.0</v>
      </c>
      <c r="AV7" s="37"/>
      <c r="AW7" s="42">
        <v>0.0</v>
      </c>
      <c r="AX7" s="42">
        <v>0.0</v>
      </c>
      <c r="AY7" s="41" t="s">
        <v>23</v>
      </c>
      <c r="AZ7" s="42">
        <v>0.0</v>
      </c>
      <c r="BA7" s="37"/>
      <c r="BB7" s="37"/>
      <c r="BC7" s="42">
        <v>75.0</v>
      </c>
      <c r="BD7" s="37"/>
      <c r="BE7" s="42">
        <v>0.0</v>
      </c>
      <c r="BF7" s="42">
        <v>650000.0</v>
      </c>
      <c r="BG7" s="37"/>
      <c r="BH7" s="37"/>
      <c r="BI7" s="37"/>
      <c r="BJ7" s="42">
        <v>5000.0</v>
      </c>
      <c r="BK7" s="42">
        <v>650.0</v>
      </c>
      <c r="BL7" s="37"/>
      <c r="BM7" s="41" t="s">
        <v>38</v>
      </c>
      <c r="BN7" s="37"/>
      <c r="BO7" s="41" t="s">
        <v>28</v>
      </c>
      <c r="BP7" s="42">
        <v>50000.0</v>
      </c>
      <c r="BQ7" s="42">
        <v>10.0</v>
      </c>
      <c r="BR7" s="42">
        <v>650.0</v>
      </c>
      <c r="BS7" s="41" t="s">
        <v>19</v>
      </c>
      <c r="BT7" s="42">
        <v>50000.0</v>
      </c>
      <c r="BU7" s="42">
        <v>100000.0</v>
      </c>
      <c r="BV7" s="42">
        <v>151405.0</v>
      </c>
      <c r="BW7" s="42">
        <v>20.0</v>
      </c>
      <c r="BX7" s="37"/>
      <c r="BY7" s="37"/>
      <c r="BZ7" s="37"/>
      <c r="CA7" s="37"/>
      <c r="CB7" s="37"/>
      <c r="CC7" s="37"/>
      <c r="CD7" s="43">
        <f t="shared" si="1"/>
        <v>45861</v>
      </c>
      <c r="CE7" s="37"/>
      <c r="CF7" s="42">
        <v>10.0</v>
      </c>
      <c r="CG7" s="41" t="s">
        <v>17</v>
      </c>
      <c r="CH7" s="41" t="s">
        <v>28</v>
      </c>
      <c r="CI7" s="42">
        <v>5000.0</v>
      </c>
      <c r="CJ7" s="41" t="s">
        <v>41</v>
      </c>
      <c r="CK7" s="42">
        <v>1.0</v>
      </c>
      <c r="CL7" s="41" t="s">
        <v>19</v>
      </c>
      <c r="CM7" s="37"/>
      <c r="CN7" s="41" t="s">
        <v>24</v>
      </c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  <c r="EY7" s="37"/>
    </row>
    <row r="8" ht="15.75" customHeight="1">
      <c r="A8" s="37"/>
      <c r="B8" s="37"/>
      <c r="C8" s="37"/>
      <c r="D8" s="37"/>
      <c r="E8" s="37"/>
      <c r="F8" s="41" t="s">
        <v>42</v>
      </c>
      <c r="G8" s="42">
        <v>0.0</v>
      </c>
      <c r="H8" s="42">
        <v>0.0</v>
      </c>
      <c r="I8" s="37"/>
      <c r="J8" s="42">
        <v>140.0</v>
      </c>
      <c r="K8" s="42">
        <v>140.0</v>
      </c>
      <c r="L8" s="37"/>
      <c r="M8" s="37"/>
      <c r="N8" s="41" t="s">
        <v>22</v>
      </c>
      <c r="O8" s="37"/>
      <c r="P8" s="37"/>
      <c r="Q8" s="42">
        <v>30.0</v>
      </c>
      <c r="R8" s="41" t="s">
        <v>35</v>
      </c>
      <c r="S8" s="41" t="s">
        <v>36</v>
      </c>
      <c r="T8" s="42">
        <v>4200000.0</v>
      </c>
      <c r="U8" s="42">
        <v>420.0</v>
      </c>
      <c r="V8" s="41" t="s">
        <v>43</v>
      </c>
      <c r="W8" s="42">
        <v>1000.0</v>
      </c>
      <c r="X8" s="37"/>
      <c r="Y8" s="37"/>
      <c r="Z8" s="41" t="s">
        <v>44</v>
      </c>
      <c r="AA8" s="37"/>
      <c r="AB8" s="37"/>
      <c r="AC8" s="37"/>
      <c r="AD8" s="41" t="s">
        <v>45</v>
      </c>
      <c r="AE8" s="42">
        <v>10000.0</v>
      </c>
      <c r="AF8" s="37"/>
      <c r="AG8" s="41" t="s">
        <v>46</v>
      </c>
      <c r="AH8" s="42">
        <v>1.0</v>
      </c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42">
        <v>1.409545165E9</v>
      </c>
      <c r="AU8" s="42">
        <v>1.409545165E9</v>
      </c>
      <c r="AV8" s="37"/>
      <c r="AW8" s="42">
        <v>0.0</v>
      </c>
      <c r="AX8" s="42">
        <v>0.0</v>
      </c>
      <c r="AY8" s="41" t="s">
        <v>23</v>
      </c>
      <c r="AZ8" s="42">
        <v>0.0</v>
      </c>
      <c r="BA8" s="37"/>
      <c r="BB8" s="37"/>
      <c r="BC8" s="42">
        <v>10500.0</v>
      </c>
      <c r="BD8" s="37"/>
      <c r="BE8" s="42">
        <v>1.4E9</v>
      </c>
      <c r="BF8" s="42">
        <v>1.4E9</v>
      </c>
      <c r="BG8" s="37"/>
      <c r="BH8" s="37"/>
      <c r="BI8" s="37"/>
      <c r="BJ8" s="42">
        <v>10000.0</v>
      </c>
      <c r="BK8" s="42">
        <v>4620.0</v>
      </c>
      <c r="BL8" s="37"/>
      <c r="BM8" s="41" t="s">
        <v>44</v>
      </c>
      <c r="BN8" s="37"/>
      <c r="BO8" s="41" t="s">
        <v>20</v>
      </c>
      <c r="BP8" s="42">
        <v>3080000.0</v>
      </c>
      <c r="BQ8" s="42">
        <v>308.0</v>
      </c>
      <c r="BR8" s="42">
        <v>150000.0</v>
      </c>
      <c r="BS8" s="41" t="s">
        <v>27</v>
      </c>
      <c r="BT8" s="42">
        <v>15.0</v>
      </c>
      <c r="BU8" s="42">
        <v>7280000.0</v>
      </c>
      <c r="BV8" s="42">
        <v>9545165.0</v>
      </c>
      <c r="BW8" s="42">
        <v>728.0</v>
      </c>
      <c r="BX8" s="37"/>
      <c r="BY8" s="37"/>
      <c r="BZ8" s="37"/>
      <c r="CA8" s="37"/>
      <c r="CB8" s="37"/>
      <c r="CC8" s="37"/>
      <c r="CD8" s="43">
        <f t="shared" si="1"/>
        <v>45861</v>
      </c>
      <c r="CE8" s="37"/>
      <c r="CF8" s="42">
        <v>2100000.0</v>
      </c>
      <c r="CG8" s="41" t="s">
        <v>17</v>
      </c>
      <c r="CH8" s="41" t="s">
        <v>20</v>
      </c>
      <c r="CI8" s="42">
        <v>10000.0</v>
      </c>
      <c r="CJ8" s="41" t="s">
        <v>47</v>
      </c>
      <c r="CK8" s="42">
        <v>1.0</v>
      </c>
      <c r="CL8" s="41" t="s">
        <v>27</v>
      </c>
      <c r="CM8" s="37"/>
      <c r="CN8" s="41" t="s">
        <v>24</v>
      </c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  <c r="EY8" s="37"/>
    </row>
    <row r="9" ht="15.75" customHeight="1">
      <c r="A9" s="37"/>
      <c r="B9" s="37"/>
      <c r="C9" s="37"/>
      <c r="D9" s="37"/>
      <c r="E9" s="37"/>
      <c r="F9" s="41" t="s">
        <v>42</v>
      </c>
      <c r="G9" s="42">
        <v>0.0</v>
      </c>
      <c r="H9" s="42">
        <v>0.0</v>
      </c>
      <c r="I9" s="37"/>
      <c r="J9" s="42">
        <v>150.0</v>
      </c>
      <c r="K9" s="42">
        <v>150.0</v>
      </c>
      <c r="L9" s="37"/>
      <c r="M9" s="37"/>
      <c r="N9" s="41" t="s">
        <v>22</v>
      </c>
      <c r="O9" s="37"/>
      <c r="P9" s="37"/>
      <c r="Q9" s="42">
        <v>30.0</v>
      </c>
      <c r="R9" s="41" t="s">
        <v>35</v>
      </c>
      <c r="S9" s="41" t="s">
        <v>36</v>
      </c>
      <c r="T9" s="42">
        <v>2250000.0</v>
      </c>
      <c r="U9" s="42">
        <v>450.0</v>
      </c>
      <c r="V9" s="41" t="s">
        <v>43</v>
      </c>
      <c r="W9" s="42">
        <v>1000.0</v>
      </c>
      <c r="X9" s="37"/>
      <c r="Y9" s="37"/>
      <c r="Z9" s="41" t="s">
        <v>44</v>
      </c>
      <c r="AA9" s="37"/>
      <c r="AB9" s="37"/>
      <c r="AC9" s="37"/>
      <c r="AD9" s="41" t="s">
        <v>45</v>
      </c>
      <c r="AE9" s="42">
        <v>5000.0</v>
      </c>
      <c r="AF9" s="37"/>
      <c r="AG9" s="41" t="s">
        <v>46</v>
      </c>
      <c r="AH9" s="42">
        <v>1.0</v>
      </c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42">
        <v>7.44891855E8</v>
      </c>
      <c r="AU9" s="42">
        <v>7.44891855E8</v>
      </c>
      <c r="AV9" s="37"/>
      <c r="AW9" s="42">
        <v>0.0</v>
      </c>
      <c r="AX9" s="42">
        <v>0.0</v>
      </c>
      <c r="AY9" s="41" t="s">
        <v>23</v>
      </c>
      <c r="AZ9" s="42">
        <v>0.0</v>
      </c>
      <c r="BA9" s="37"/>
      <c r="BB9" s="37"/>
      <c r="BC9" s="42">
        <v>5625.0</v>
      </c>
      <c r="BD9" s="37"/>
      <c r="BE9" s="42">
        <v>7.5E8</v>
      </c>
      <c r="BF9" s="42">
        <v>7.5E8</v>
      </c>
      <c r="BG9" s="37"/>
      <c r="BH9" s="37"/>
      <c r="BI9" s="37"/>
      <c r="BJ9" s="42">
        <v>5000.0</v>
      </c>
      <c r="BK9" s="42">
        <v>2475.0</v>
      </c>
      <c r="BL9" s="37"/>
      <c r="BM9" s="41" t="s">
        <v>44</v>
      </c>
      <c r="BN9" s="37"/>
      <c r="BO9" s="41" t="s">
        <v>28</v>
      </c>
      <c r="BP9" s="42">
        <v>1650000.0</v>
      </c>
      <c r="BQ9" s="42">
        <v>330.0</v>
      </c>
      <c r="BR9" s="42">
        <v>75000.0</v>
      </c>
      <c r="BS9" s="41" t="s">
        <v>27</v>
      </c>
      <c r="BT9" s="42">
        <v>15.0</v>
      </c>
      <c r="BU9" s="42">
        <v>3900000.0</v>
      </c>
      <c r="BV9" s="42">
        <v>5108145.0</v>
      </c>
      <c r="BW9" s="42">
        <v>780.0</v>
      </c>
      <c r="BX9" s="37"/>
      <c r="BY9" s="37"/>
      <c r="BZ9" s="37"/>
      <c r="CA9" s="37"/>
      <c r="CB9" s="37"/>
      <c r="CC9" s="37"/>
      <c r="CD9" s="43">
        <f t="shared" si="1"/>
        <v>45861</v>
      </c>
      <c r="CE9" s="37"/>
      <c r="CF9" s="42">
        <v>1125000.0</v>
      </c>
      <c r="CG9" s="41" t="s">
        <v>17</v>
      </c>
      <c r="CH9" s="41" t="s">
        <v>28</v>
      </c>
      <c r="CI9" s="42">
        <v>5000.0</v>
      </c>
      <c r="CJ9" s="41" t="s">
        <v>47</v>
      </c>
      <c r="CK9" s="42">
        <v>1.0</v>
      </c>
      <c r="CL9" s="41" t="s">
        <v>27</v>
      </c>
      <c r="CM9" s="37"/>
      <c r="CN9" s="41" t="s">
        <v>24</v>
      </c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  <c r="EY9" s="37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IFERROR(__xludf.DUMMYFUNCTION("""COMPUTED_VALUE"""),"Net Amount( Local)")</f>
        <v>Net Amount( Local)</v>
      </c>
      <c r="H5" s="27" t="str">
        <f>IFERROR(__xludf.DUMMYFUNCTION("""COMPUTED_VALUE"""),"Net Amount( Base)")</f>
        <v>Net Amount( Base)</v>
      </c>
      <c r="I5" s="27" t="str">
        <f>IFERROR(__xludf.DUMMYFUNCTION("""COMPUTED_VALUE"""),"Principal Amount( Local)")</f>
        <v>Principal Amount( Local)</v>
      </c>
      <c r="J5" s="27" t="str">
        <f>IFERROR(__xludf.DUMMYFUNCTION("""COMPUTED_VALUE"""),"Transaction Type")</f>
        <v>Transaction Type</v>
      </c>
      <c r="K5" s="27" t="str">
        <f>IFERROR(__xludf.DUMMYFUNCTION("""COMPUTED_VALUE"""),"Principal Amount( Base)")</f>
        <v>Principal Amount( Base)</v>
      </c>
      <c r="L5" s="27" t="str">
        <f>IFERROR(__xludf.DUMMYFUNCTION("""COMPUTED_VALUE"""),"Execution Time")</f>
        <v>Execution Time</v>
      </c>
      <c r="M5" s="27" t="str">
        <f>IFERROR(__xludf.DUMMYFUNCTION("""COMPUTED_VALUE"""),"Trading Account")</f>
        <v>Trading Account</v>
      </c>
      <c r="N5" s="27" t="str">
        <f>IFERROR(__xludf.DUMMYFUNCTION("""COMPUTED_VALUE"""),"Avg Price(Local)")</f>
        <v>Avg Price(Local)</v>
      </c>
      <c r="O5" s="27" t="str">
        <f>IFERROR(__xludf.DUMMYFUNCTION("""COMPUTED_VALUE"""),"Avg Price(Base)")</f>
        <v>Avg Price(Base)</v>
      </c>
      <c r="P5" s="27" t="str">
        <f>IFERROR(__xludf.DUMMYFUNCTION("""COMPUTED_VALUE"""),"Broker")</f>
        <v>Broker</v>
      </c>
      <c r="Q5" s="27" t="str">
        <f>IFERROR(__xludf.DUMMYFUNCTION("""COMPUTED_VALUE"""),"FX Rate")</f>
        <v>FX Rate</v>
      </c>
      <c r="R5" s="27" t="str">
        <f>IFERROR(__xludf.DUMMYFUNCTION("""COMPUTED_VALUE"""),"Venue")</f>
        <v>Venue</v>
      </c>
      <c r="S5" s="27" t="str">
        <f>IFERROR(__xludf.DUMMYFUNCTION("""COMPUTED_VALUE"""),"FX Conversion Operator")</f>
        <v>FX Conversion Operator</v>
      </c>
      <c r="T5" s="29" t="str">
        <f>IFERROR(__xludf.DUMMYFUNCTION("""COMPUTED_VALUE"""),"User")</f>
        <v>User</v>
      </c>
      <c r="U5" s="29" t="str">
        <f>IFERROR(__xludf.DUMMYFUNCTION("""COMPUTED_VALUE"""),"Asset Category")</f>
        <v>Asset Category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IFERROR(__xludf.DUMMYFUNCTION("""COMPUTED_VALUE"""),"Commission Per Share")</f>
        <v>Commission Per Share</v>
      </c>
      <c r="X5" s="29" t="str">
        <f>IFERROR(__xludf.DUMMYFUNCTION("""COMPUTED_VALUE"""),"Soft Commission Per Share")</f>
        <v>Soft Commission Per Share</v>
      </c>
      <c r="Y5" s="29" t="str">
        <f>IFERROR(__xludf.DUMMYFUNCTION("""COMPUTED_VALUE"""),"Total Commission Per Share")</f>
        <v>Total Commission Per Share</v>
      </c>
      <c r="Z5" s="29" t="str">
        <f>IFERROR(__xludf.DUMMYFUNCTION("""COMPUTED_VALUE"""),"Change Type")</f>
        <v>Change Type</v>
      </c>
      <c r="AA5" s="29" t="str">
        <f>IFERROR(__xludf.DUMMYFUNCTION("""COMPUTED_VALUE"""),"Trade Attribute 1")</f>
        <v>Trade Attribute 1</v>
      </c>
      <c r="AB5" s="29" t="str">
        <f>IFERROR(__xludf.DUMMYFUNCTION("""COMPUTED_VALUE"""),"Trade Attribute 2")</f>
        <v>Trade Attribute 2</v>
      </c>
      <c r="AC5" s="29" t="str">
        <f>IFERROR(__xludf.DUMMYFUNCTION("""COMPUTED_VALUE"""),"Trade Attribute 3")</f>
        <v>Trade Attribute 3</v>
      </c>
      <c r="AD5" s="29" t="str">
        <f>IFERROR(__xludf.DUMMYFUNCTION("""COMPUTED_VALUE"""),"Trade Attribute 4")</f>
        <v>Trade Attribute 4</v>
      </c>
      <c r="AE5" s="29" t="str">
        <f>IFERROR(__xludf.DUMMYFUNCTION("""COMPUTED_VALUE"""),"Trade Attribute 5")</f>
        <v>Trade Attribute 5</v>
      </c>
      <c r="AF5" s="29" t="str">
        <f>IFERROR(__xludf.DUMMYFUNCTION("""COMPUTED_VALUE"""),"Trade Attribute 6")</f>
        <v>Trade Attribute 6</v>
      </c>
      <c r="AG5" s="29" t="str">
        <f>IFERROR(__xludf.DUMMYFUNCTION("""COMPUTED_VALUE"""),"IsPreAllocated")</f>
        <v>IsPreAllocated</v>
      </c>
      <c r="AH5" s="29" t="str">
        <f>IFERROR(__xludf.DUMMYFUNCTION("""COMPUTED_VALUE"""),"IsManual Group")</f>
        <v>IsManual Group</v>
      </c>
      <c r="AI5" s="29" t="str">
        <f>IFERROR(__xludf.DUMMYFUNCTION("""COMPUTED_VALUE"""),"IsAnotherTaxlotAttributesUpdated")</f>
        <v>IsAnotherTaxlotAttributesUpdated</v>
      </c>
      <c r="AJ5" s="29" t="str">
        <f>IFERROR(__xludf.DUMMYFUNCTION("""COMPUTED_VALUE"""),"ISNDF")</f>
        <v>ISNDF</v>
      </c>
      <c r="AK5" s="29" t="str">
        <f>IFERROR(__xludf.DUMMYFUNCTION("""COMPUTED_VALUE"""),"M2MProfitLoss")</f>
        <v>M2MProfitLoss</v>
      </c>
      <c r="AL5" s="29" t="str">
        <f>IFERROR(__xludf.DUMMYFUNCTION("""COMPUTED_VALUE"""),"Put Or Call")</f>
        <v>Put Or Call</v>
      </c>
      <c r="AM5" s="29" t="str">
        <f>IFERROR(__xludf.DUMMYFUNCTION("""COMPUTED_VALUE"""),"GroupID")</f>
        <v>GroupID</v>
      </c>
      <c r="AN5" s="29" t="str">
        <f>IFERROR(__xludf.DUMMYFUNCTION("""COMPUTED_VALUE"""),"UnAllocatedQty")</f>
        <v>UnAllocatedQty</v>
      </c>
      <c r="AO5" s="29" t="str">
        <f>IFERROR(__xludf.DUMMYFUNCTION("""COMPUTED_VALUE"""),"Allocated Qty")</f>
        <v>Allocated Qty</v>
      </c>
      <c r="AP5" s="29" t="str">
        <f>IFERROR(__xludf.DUMMYFUNCTION("""COMPUTED_VALUE"""),"Commission")</f>
        <v>Commission</v>
      </c>
      <c r="AQ5" s="29" t="str">
        <f>IFERROR(__xludf.DUMMYFUNCTION("""COMPUTED_VALUE"""),"Soft Commission")</f>
        <v>Soft Commission</v>
      </c>
      <c r="AR5" s="29" t="str">
        <f>IFERROR(__xludf.DUMMYFUNCTION("""COMPUTED_VALUE"""),"Other Broker Fees")</f>
        <v>Other Broker Fees</v>
      </c>
      <c r="AS5" s="29" t="str">
        <f>IFERROR(__xludf.DUMMYFUNCTION("""COMPUTED_VALUE"""),"Clearing Broker Fee")</f>
        <v>Clearing Broker Fee</v>
      </c>
      <c r="AT5" s="29" t="str">
        <f>IFERROR(__xludf.DUMMYFUNCTION("""COMPUTED_VALUE"""),"Total Commission And Fee")</f>
        <v>Total Commission And Fee</v>
      </c>
      <c r="AU5" s="29" t="str">
        <f>IFERROR(__xludf.DUMMYFUNCTION("""COMPUTED_VALUE"""),"Transaction Levy")</f>
        <v>Transaction Levy</v>
      </c>
      <c r="AV5" s="29" t="str">
        <f>IFERROR(__xludf.DUMMYFUNCTION("""COMPUTED_VALUE"""),"Stamp Duty")</f>
        <v>Stamp Duty</v>
      </c>
      <c r="AW5" s="29" t="str">
        <f>IFERROR(__xludf.DUMMYFUNCTION("""COMPUTED_VALUE"""),"AUEC Fee1")</f>
        <v>AUEC Fee1</v>
      </c>
      <c r="AX5" s="29" t="str">
        <f>IFERROR(__xludf.DUMMYFUNCTION("""COMPUTED_VALUE"""),"Tax On Commissions")</f>
        <v>Tax On Commissions</v>
      </c>
      <c r="AY5" s="29" t="str">
        <f>IFERROR(__xludf.DUMMYFUNCTION("""COMPUTED_VALUE"""),"AUEC Fee2")</f>
        <v>AUEC Fee2</v>
      </c>
      <c r="AZ5" s="29" t="str">
        <f>IFERROR(__xludf.DUMMYFUNCTION("""COMPUTED_VALUE"""),"SEC Fee")</f>
        <v>SEC Fee</v>
      </c>
      <c r="BA5" s="29" t="str">
        <f>IFERROR(__xludf.DUMMYFUNCTION("""COMPUTED_VALUE"""),"OCC Fee")</f>
        <v>OCC Fee</v>
      </c>
      <c r="BB5" s="29" t="str">
        <f>IFERROR(__xludf.DUMMYFUNCTION("""COMPUTED_VALUE"""),"ORF Fee")</f>
        <v>ORF Fee</v>
      </c>
      <c r="BC5" s="29" t="str">
        <f>IFERROR(__xludf.DUMMYFUNCTION("""COMPUTED_VALUE"""),"Option Premium Adjustment")</f>
        <v>Option Premium Adjustment</v>
      </c>
      <c r="BD5" s="29" t="str">
        <f>IFERROR(__xludf.DUMMYFUNCTION("""COMPUTED_VALUE"""),"Prana Msg Type")</f>
        <v>Prana Msg Type</v>
      </c>
      <c r="BE5" s="29" t="str">
        <f>IFERROR(__xludf.DUMMYFUNCTION("""COMPUTED_VALUE"""),"Total Commission")</f>
        <v>Total Commission</v>
      </c>
      <c r="BF5" s="29" t="str">
        <f>IFERROR(__xludf.DUMMYFUNCTION("""COMPUTED_VALUE"""),"Closing Status")</f>
        <v>Closing Status</v>
      </c>
      <c r="BG5" s="29" t="str">
        <f>IFERROR(__xludf.DUMMYFUNCTION("""COMPUTED_VALUE"""),"Closing Method")</f>
        <v>Closing Method</v>
      </c>
      <c r="BH5" s="29" t="str">
        <f>IFERROR(__xludf.DUMMYFUNCTION("""COMPUTED_VALUE"""),"Group Status")</f>
        <v>Group Status</v>
      </c>
      <c r="BI5" s="29" t="str">
        <f>IFERROR(__xludf.DUMMYFUNCTION("""COMPUTED_VALUE"""),"Allocation Scheme Name")</f>
        <v>Allocation Scheme Name</v>
      </c>
      <c r="BJ5" s="29" t="str">
        <f>IFERROR(__xludf.DUMMYFUNCTION("""COMPUTED_VALUE"""),"Change Comment")</f>
        <v>Change Comment</v>
      </c>
      <c r="BK5" s="29" t="str">
        <f>IFERROR(__xludf.DUMMYFUNCTION("""COMPUTED_VALUE"""),"Order Type")</f>
        <v>Order Type</v>
      </c>
      <c r="BL5" s="29" t="str">
        <f>IFERROR(__xludf.DUMMYFUNCTION("""COMPUTED_VALUE"""),"Underlying")</f>
        <v>Underlying</v>
      </c>
      <c r="BM5" s="29" t="str">
        <f>IFERROR(__xludf.DUMMYFUNCTION("""COMPUTED_VALUE"""),"Exchange")</f>
        <v>Exchange</v>
      </c>
      <c r="BN5" s="29" t="str">
        <f>IFERROR(__xludf.DUMMYFUNCTION("""COMPUTED_VALUE"""),"Currency")</f>
        <v>Currency</v>
      </c>
      <c r="BO5" s="29" t="str">
        <f>IFERROR(__xludf.DUMMYFUNCTION("""COMPUTED_VALUE"""),"AUECID")</f>
        <v>AUECID</v>
      </c>
      <c r="BP5" s="29" t="str">
        <f>IFERROR(__xludf.DUMMYFUNCTION("""COMPUTED_VALUE"""),"Cum Qty For Sub Order")</f>
        <v>Cum Qty For Sub Order</v>
      </c>
      <c r="BQ5" s="29" t="str">
        <f>IFERROR(__xludf.DUMMYFUNCTION("""COMPUTED_VALUE"""),"Contract Multiplier")</f>
        <v>Contract Multiplier</v>
      </c>
      <c r="BR5" s="29" t="str">
        <f>IFERROR(__xludf.DUMMYFUNCTION("""COMPUTED_VALUE"""),"Company")</f>
        <v>Company</v>
      </c>
      <c r="BS5" s="29" t="str">
        <f>IFERROR(__xludf.DUMMYFUNCTION("""COMPUTED_VALUE"""),"Nirvana Process Date")</f>
        <v>Nirvana Process Date</v>
      </c>
      <c r="BT5" s="29" t="str">
        <f>IFERROR(__xludf.DUMMYFUNCTION("""COMPUTED_VALUE"""),"Process Date")</f>
        <v>Process Date</v>
      </c>
      <c r="BU5" s="29" t="str">
        <f>IFERROR(__xludf.DUMMYFUNCTION("""COMPUTED_VALUE"""),"Original Purchase Date")</f>
        <v>Original Purchase Date</v>
      </c>
      <c r="BV5" s="29" t="str">
        <f>IFERROR(__xludf.DUMMYFUNCTION("""COMPUTED_VALUE"""),"Closing Date")</f>
        <v>Closing Date</v>
      </c>
      <c r="BW5" s="29" t="str">
        <f>IFERROR(__xludf.DUMMYFUNCTION("""COMPUTED_VALUE"""),"Settlement Date")</f>
        <v>Settlement Date</v>
      </c>
      <c r="BX5" s="29" t="str">
        <f>IFERROR(__xludf.DUMMYFUNCTION("""COMPUTED_VALUE"""),"Expiration Date")</f>
        <v>Expiration Date</v>
      </c>
      <c r="BY5" s="29" t="str">
        <f>IFERROR(__xludf.DUMMYFUNCTION("""COMPUTED_VALUE"""),"Description")</f>
        <v>Description</v>
      </c>
      <c r="BZ5" s="29" t="str">
        <f>IFERROR(__xludf.DUMMYFUNCTION("""COMPUTED_VALUE"""),"Underlying Symbol")</f>
        <v>Underlying Symbol</v>
      </c>
      <c r="CA5" s="29" t="str">
        <f>IFERROR(__xludf.DUMMYFUNCTION("""COMPUTED_VALUE"""),"Accrued Interest")</f>
        <v>Accrued Interest</v>
      </c>
      <c r="CB5" s="29" t="str">
        <f>IFERROR(__xludf.DUMMYFUNCTION("""COMPUTED_VALUE"""),"Accrual Basis")</f>
        <v>Accrual Basis</v>
      </c>
      <c r="CC5" s="29" t="str">
        <f>IFERROR(__xludf.DUMMYFUNCTION("""COMPUTED_VALUE"""),"Bond Type")</f>
        <v>Bond Type</v>
      </c>
      <c r="CD5" s="29" t="str">
        <f>IFERROR(__xludf.DUMMYFUNCTION("""COMPUTED_VALUE"""),"Coupon Rate")</f>
        <v>Coupon Rate</v>
      </c>
      <c r="CE5" s="29" t="str">
        <f>IFERROR(__xludf.DUMMYFUNCTION("""COMPUTED_VALUE"""),"Delta")</f>
        <v>Delta</v>
      </c>
      <c r="CF5" s="29" t="str">
        <f>IFERROR(__xludf.DUMMYFUNCTION("""COMPUTED_VALUE"""),"Bloomberg")</f>
        <v>Bloomberg</v>
      </c>
      <c r="CG5" s="29" t="str">
        <f>IFERROR(__xludf.DUMMYFUNCTION("""COMPUTED_VALUE"""),"Sedol Symbol")</f>
        <v>Sedol Symbol</v>
      </c>
      <c r="CH5" s="29" t="str">
        <f>IFERROR(__xludf.DUMMYFUNCTION("""COMPUTED_VALUE"""),"Cusip Symbol")</f>
        <v>Cusip Symbol</v>
      </c>
      <c r="CI5" s="29" t="str">
        <f>IFERROR(__xludf.DUMMYFUNCTION("""COMPUTED_VALUE"""),"ISIN")</f>
        <v>ISIN</v>
      </c>
      <c r="CJ5" s="29" t="str">
        <f>IFERROR(__xludf.DUMMYFUNCTION("""COMPUTED_VALUE"""),"OSISSymbol")</f>
        <v>OSISSymbol</v>
      </c>
      <c r="CK5" s="29" t="str">
        <f>IFERROR(__xludf.DUMMYFUNCTION("""COMPUTED_VALUE"""),"IDCOSymbol")</f>
        <v>IDCOSymbol</v>
      </c>
      <c r="CL5" s="29" t="str">
        <f>IFERROR(__xludf.DUMMYFUNCTION("""COMPUTED_VALUE"""),"Underlying Delta")</f>
        <v>Underlying Delta</v>
      </c>
      <c r="CM5" s="29" t="str">
        <f>IFERROR(__xludf.DUMMYFUNCTION("""COMPUTED_VALUE"""),"Internal Comments")</f>
        <v>Internal Comments</v>
      </c>
      <c r="CN5" s="29" t="str">
        <f>IFERROR(__xludf.DUMMYFUNCTION("""COMPUTED_VALUE"""),"Proxy Symbol")</f>
        <v>Proxy Symbol</v>
      </c>
      <c r="CO5" s="29" t="str">
        <f>IFERROR(__xludf.DUMMYFUNCTION("""COMPUTED_VALUE"""),"Transaction Source")</f>
        <v>Transaction Source</v>
      </c>
      <c r="CP5" s="29" t="str">
        <f>IFERROR(__xludf.DUMMYFUNCTION("""COMPUTED_VALUE"""),"Import File Name")</f>
        <v>Import File Name</v>
      </c>
      <c r="CQ5" s="29" t="str">
        <f>IFERROR(__xludf.DUMMYFUNCTION("""COMPUTED_VALUE"""),"Master Fund")</f>
        <v>Master Fund</v>
      </c>
      <c r="CR5" s="29" t="str">
        <f>IFERROR(__xludf.DUMMYFUNCTION("""COMPUTED_VALUE"""),"Client")</f>
        <v>Client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19</v>
      </c>
      <c r="C6" s="33" t="s">
        <v>20</v>
      </c>
      <c r="D6" s="34">
        <v>10000.0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7" t="s">
        <v>19</v>
      </c>
      <c r="C7" s="37" t="s">
        <v>28</v>
      </c>
      <c r="D7" s="38">
        <v>5000.0</v>
      </c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Percentage")</f>
        <v>Account Percentage</v>
      </c>
      <c r="D5" s="27" t="str">
        <f>IFERROR(__xludf.DUMMYFUNCTION("""COMPUTED_VALUE"""),"Account Quantity")</f>
        <v>Account Quantity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44" t="s">
        <v>50</v>
      </c>
      <c r="C6" s="38">
        <v>100.0</v>
      </c>
      <c r="D6" s="40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EnterAccountValuesToAllocate!$4:$4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IFERROR(__xludf.DUMMYFUNCTION("""COMPUTED_VALUE"""),"Net Amount( Local)")</f>
        <v>Net Amount( Local)</v>
      </c>
      <c r="H5" s="27" t="str">
        <f>IFERROR(__xludf.DUMMYFUNCTION("""COMPUTED_VALUE"""),"Net Amount( Base)")</f>
        <v>Net Amount( Base)</v>
      </c>
      <c r="I5" s="27" t="str">
        <f>IFERROR(__xludf.DUMMYFUNCTION("""COMPUTED_VALUE"""),"Principal Amount( Local)")</f>
        <v>Principal Amount( Local)</v>
      </c>
      <c r="J5" s="27" t="str">
        <f>IFERROR(__xludf.DUMMYFUNCTION("""COMPUTED_VALUE"""),"Transaction Type")</f>
        <v>Transaction Type</v>
      </c>
      <c r="K5" s="27" t="str">
        <f>IFERROR(__xludf.DUMMYFUNCTION("""COMPUTED_VALUE"""),"Principal Amount( Base)")</f>
        <v>Principal Amount( Base)</v>
      </c>
      <c r="L5" s="27" t="str">
        <f>IFERROR(__xludf.DUMMYFUNCTION("""COMPUTED_VALUE"""),"Execution Time")</f>
        <v>Execution Time</v>
      </c>
      <c r="M5" s="27" t="str">
        <f>IFERROR(__xludf.DUMMYFUNCTION("""COMPUTED_VALUE"""),"Trading Account")</f>
        <v>Trading Account</v>
      </c>
      <c r="N5" s="27" t="str">
        <f>IFERROR(__xludf.DUMMYFUNCTION("""COMPUTED_VALUE"""),"Avg Price(Local)")</f>
        <v>Avg Price(Local)</v>
      </c>
      <c r="O5" s="27" t="str">
        <f>IFERROR(__xludf.DUMMYFUNCTION("""COMPUTED_VALUE"""),"Avg Price(Base)")</f>
        <v>Avg Price(Base)</v>
      </c>
      <c r="P5" s="27" t="str">
        <f>IFERROR(__xludf.DUMMYFUNCTION("""COMPUTED_VALUE"""),"Broker")</f>
        <v>Broker</v>
      </c>
      <c r="Q5" s="27" t="str">
        <f>IFERROR(__xludf.DUMMYFUNCTION("""COMPUTED_VALUE"""),"FX Rate")</f>
        <v>FX Rate</v>
      </c>
      <c r="R5" s="27" t="str">
        <f>IFERROR(__xludf.DUMMYFUNCTION("""COMPUTED_VALUE"""),"Venue")</f>
        <v>Venue</v>
      </c>
      <c r="S5" s="27" t="str">
        <f>IFERROR(__xludf.DUMMYFUNCTION("""COMPUTED_VALUE"""),"FX Conversion Operator")</f>
        <v>FX Conversion Operator</v>
      </c>
      <c r="T5" s="29" t="str">
        <f>IFERROR(__xludf.DUMMYFUNCTION("""COMPUTED_VALUE"""),"User")</f>
        <v>User</v>
      </c>
      <c r="U5" s="29" t="str">
        <f>IFERROR(__xludf.DUMMYFUNCTION("""COMPUTED_VALUE"""),"Asset Category")</f>
        <v>Asset Category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IFERROR(__xludf.DUMMYFUNCTION("""COMPUTED_VALUE"""),"Commission Per Share")</f>
        <v>Commission Per Share</v>
      </c>
      <c r="X5" s="29" t="str">
        <f>IFERROR(__xludf.DUMMYFUNCTION("""COMPUTED_VALUE"""),"Soft Commission Per Share")</f>
        <v>Soft Commission Per Share</v>
      </c>
      <c r="Y5" s="29" t="str">
        <f>IFERROR(__xludf.DUMMYFUNCTION("""COMPUTED_VALUE"""),"Total Commission Per Share")</f>
        <v>Total Commission Per Share</v>
      </c>
      <c r="Z5" s="29" t="str">
        <f>IFERROR(__xludf.DUMMYFUNCTION("""COMPUTED_VALUE"""),"Change Type")</f>
        <v>Change Type</v>
      </c>
      <c r="AA5" s="29" t="str">
        <f>IFERROR(__xludf.DUMMYFUNCTION("""COMPUTED_VALUE"""),"Trade Attribute 1")</f>
        <v>Trade Attribute 1</v>
      </c>
      <c r="AB5" s="29" t="str">
        <f>IFERROR(__xludf.DUMMYFUNCTION("""COMPUTED_VALUE"""),"Trade Attribute 2")</f>
        <v>Trade Attribute 2</v>
      </c>
      <c r="AC5" s="29" t="str">
        <f>IFERROR(__xludf.DUMMYFUNCTION("""COMPUTED_VALUE"""),"Trade Attribute 3")</f>
        <v>Trade Attribute 3</v>
      </c>
      <c r="AD5" s="29" t="str">
        <f>IFERROR(__xludf.DUMMYFUNCTION("""COMPUTED_VALUE"""),"Trade Attribute 4")</f>
        <v>Trade Attribute 4</v>
      </c>
      <c r="AE5" s="29" t="str">
        <f>IFERROR(__xludf.DUMMYFUNCTION("""COMPUTED_VALUE"""),"Trade Attribute 5")</f>
        <v>Trade Attribute 5</v>
      </c>
      <c r="AF5" s="29" t="str">
        <f>IFERROR(__xludf.DUMMYFUNCTION("""COMPUTED_VALUE"""),"Trade Attribute 6")</f>
        <v>Trade Attribute 6</v>
      </c>
      <c r="AG5" s="29" t="str">
        <f>IFERROR(__xludf.DUMMYFUNCTION("""COMPUTED_VALUE"""),"IsPreAllocated")</f>
        <v>IsPreAllocated</v>
      </c>
      <c r="AH5" s="29" t="str">
        <f>IFERROR(__xludf.DUMMYFUNCTION("""COMPUTED_VALUE"""),"IsManual Group")</f>
        <v>IsManual Group</v>
      </c>
      <c r="AI5" s="29" t="str">
        <f>IFERROR(__xludf.DUMMYFUNCTION("""COMPUTED_VALUE"""),"IsAnotherTaxlotAttributesUpdated")</f>
        <v>IsAnotherTaxlotAttributesUpdated</v>
      </c>
      <c r="AJ5" s="29" t="str">
        <f>IFERROR(__xludf.DUMMYFUNCTION("""COMPUTED_VALUE"""),"ISNDF")</f>
        <v>ISNDF</v>
      </c>
      <c r="AK5" s="29" t="str">
        <f>IFERROR(__xludf.DUMMYFUNCTION("""COMPUTED_VALUE"""),"M2MProfitLoss")</f>
        <v>M2MProfitLoss</v>
      </c>
      <c r="AL5" s="29" t="str">
        <f>IFERROR(__xludf.DUMMYFUNCTION("""COMPUTED_VALUE"""),"Put Or Call")</f>
        <v>Put Or Call</v>
      </c>
      <c r="AM5" s="29" t="str">
        <f>IFERROR(__xludf.DUMMYFUNCTION("""COMPUTED_VALUE"""),"GroupID")</f>
        <v>GroupID</v>
      </c>
      <c r="AN5" s="29" t="str">
        <f>IFERROR(__xludf.DUMMYFUNCTION("""COMPUTED_VALUE"""),"UnAllocatedQty")</f>
        <v>UnAllocatedQty</v>
      </c>
      <c r="AO5" s="29" t="str">
        <f>IFERROR(__xludf.DUMMYFUNCTION("""COMPUTED_VALUE"""),"Allocated Qty")</f>
        <v>Allocated Qty</v>
      </c>
      <c r="AP5" s="29" t="str">
        <f>IFERROR(__xludf.DUMMYFUNCTION("""COMPUTED_VALUE"""),"Commission")</f>
        <v>Commission</v>
      </c>
      <c r="AQ5" s="29" t="str">
        <f>IFERROR(__xludf.DUMMYFUNCTION("""COMPUTED_VALUE"""),"Soft Commission")</f>
        <v>Soft Commission</v>
      </c>
      <c r="AR5" s="29" t="str">
        <f>IFERROR(__xludf.DUMMYFUNCTION("""COMPUTED_VALUE"""),"Other Broker Fees")</f>
        <v>Other Broker Fees</v>
      </c>
      <c r="AS5" s="29" t="str">
        <f>IFERROR(__xludf.DUMMYFUNCTION("""COMPUTED_VALUE"""),"Clearing Broker Fee")</f>
        <v>Clearing Broker Fee</v>
      </c>
      <c r="AT5" s="29" t="str">
        <f>IFERROR(__xludf.DUMMYFUNCTION("""COMPUTED_VALUE"""),"Total Commission And Fee")</f>
        <v>Total Commission And Fee</v>
      </c>
      <c r="AU5" s="29" t="str">
        <f>IFERROR(__xludf.DUMMYFUNCTION("""COMPUTED_VALUE"""),"Transaction Levy")</f>
        <v>Transaction Levy</v>
      </c>
      <c r="AV5" s="29" t="str">
        <f>IFERROR(__xludf.DUMMYFUNCTION("""COMPUTED_VALUE"""),"Stamp Duty")</f>
        <v>Stamp Duty</v>
      </c>
      <c r="AW5" s="29" t="str">
        <f>IFERROR(__xludf.DUMMYFUNCTION("""COMPUTED_VALUE"""),"AUEC Fee1")</f>
        <v>AUEC Fee1</v>
      </c>
      <c r="AX5" s="29" t="str">
        <f>IFERROR(__xludf.DUMMYFUNCTION("""COMPUTED_VALUE"""),"Tax On Commissions")</f>
        <v>Tax On Commissions</v>
      </c>
      <c r="AY5" s="29" t="str">
        <f>IFERROR(__xludf.DUMMYFUNCTION("""COMPUTED_VALUE"""),"AUEC Fee2")</f>
        <v>AUEC Fee2</v>
      </c>
      <c r="AZ5" s="29" t="str">
        <f>IFERROR(__xludf.DUMMYFUNCTION("""COMPUTED_VALUE"""),"SEC Fee")</f>
        <v>SEC Fee</v>
      </c>
      <c r="BA5" s="29" t="str">
        <f>IFERROR(__xludf.DUMMYFUNCTION("""COMPUTED_VALUE"""),"OCC Fee")</f>
        <v>OCC Fee</v>
      </c>
      <c r="BB5" s="29" t="str">
        <f>IFERROR(__xludf.DUMMYFUNCTION("""COMPUTED_VALUE"""),"ORF Fee")</f>
        <v>ORF Fee</v>
      </c>
      <c r="BC5" s="29" t="str">
        <f>IFERROR(__xludf.DUMMYFUNCTION("""COMPUTED_VALUE"""),"Option Premium Adjustment")</f>
        <v>Option Premium Adjustment</v>
      </c>
      <c r="BD5" s="29" t="str">
        <f>IFERROR(__xludf.DUMMYFUNCTION("""COMPUTED_VALUE"""),"Prana Msg Type")</f>
        <v>Prana Msg Type</v>
      </c>
      <c r="BE5" s="29" t="str">
        <f>IFERROR(__xludf.DUMMYFUNCTION("""COMPUTED_VALUE"""),"Total Commission")</f>
        <v>Total Commission</v>
      </c>
      <c r="BF5" s="29" t="str">
        <f>IFERROR(__xludf.DUMMYFUNCTION("""COMPUTED_VALUE"""),"Closing Status")</f>
        <v>Closing Status</v>
      </c>
      <c r="BG5" s="29" t="str">
        <f>IFERROR(__xludf.DUMMYFUNCTION("""COMPUTED_VALUE"""),"Closing Method")</f>
        <v>Closing Method</v>
      </c>
      <c r="BH5" s="29" t="str">
        <f>IFERROR(__xludf.DUMMYFUNCTION("""COMPUTED_VALUE"""),"Group Status")</f>
        <v>Group Status</v>
      </c>
      <c r="BI5" s="29" t="str">
        <f>IFERROR(__xludf.DUMMYFUNCTION("""COMPUTED_VALUE"""),"Allocation Scheme Name")</f>
        <v>Allocation Scheme Name</v>
      </c>
      <c r="BJ5" s="29" t="str">
        <f>IFERROR(__xludf.DUMMYFUNCTION("""COMPUTED_VALUE"""),"Change Comment")</f>
        <v>Change Comment</v>
      </c>
      <c r="BK5" s="29" t="str">
        <f>IFERROR(__xludf.DUMMYFUNCTION("""COMPUTED_VALUE"""),"Order Type")</f>
        <v>Order Type</v>
      </c>
      <c r="BL5" s="29" t="str">
        <f>IFERROR(__xludf.DUMMYFUNCTION("""COMPUTED_VALUE"""),"Underlying")</f>
        <v>Underlying</v>
      </c>
      <c r="BM5" s="29" t="str">
        <f>IFERROR(__xludf.DUMMYFUNCTION("""COMPUTED_VALUE"""),"Exchange")</f>
        <v>Exchange</v>
      </c>
      <c r="BN5" s="29" t="str">
        <f>IFERROR(__xludf.DUMMYFUNCTION("""COMPUTED_VALUE"""),"Currency")</f>
        <v>Currency</v>
      </c>
      <c r="BO5" s="29" t="str">
        <f>IFERROR(__xludf.DUMMYFUNCTION("""COMPUTED_VALUE"""),"AUECID")</f>
        <v>AUECID</v>
      </c>
      <c r="BP5" s="29" t="str">
        <f>IFERROR(__xludf.DUMMYFUNCTION("""COMPUTED_VALUE"""),"Cum Qty For Sub Order")</f>
        <v>Cum Qty For Sub Order</v>
      </c>
      <c r="BQ5" s="29" t="str">
        <f>IFERROR(__xludf.DUMMYFUNCTION("""COMPUTED_VALUE"""),"Contract Multiplier")</f>
        <v>Contract Multiplier</v>
      </c>
      <c r="BR5" s="29" t="str">
        <f>IFERROR(__xludf.DUMMYFUNCTION("""COMPUTED_VALUE"""),"Company")</f>
        <v>Company</v>
      </c>
      <c r="BS5" s="29" t="str">
        <f>IFERROR(__xludf.DUMMYFUNCTION("""COMPUTED_VALUE"""),"Nirvana Process Date")</f>
        <v>Nirvana Process Date</v>
      </c>
      <c r="BT5" s="29" t="str">
        <f>IFERROR(__xludf.DUMMYFUNCTION("""COMPUTED_VALUE"""),"Process Date")</f>
        <v>Process Date</v>
      </c>
      <c r="BU5" s="29" t="str">
        <f>IFERROR(__xludf.DUMMYFUNCTION("""COMPUTED_VALUE"""),"Original Purchase Date")</f>
        <v>Original Purchase Date</v>
      </c>
      <c r="BV5" s="29" t="str">
        <f>IFERROR(__xludf.DUMMYFUNCTION("""COMPUTED_VALUE"""),"Closing Date")</f>
        <v>Closing Date</v>
      </c>
      <c r="BW5" s="29" t="str">
        <f>IFERROR(__xludf.DUMMYFUNCTION("""COMPUTED_VALUE"""),"Settlement Date")</f>
        <v>Settlement Date</v>
      </c>
      <c r="BX5" s="29" t="str">
        <f>IFERROR(__xludf.DUMMYFUNCTION("""COMPUTED_VALUE"""),"Expiration Date")</f>
        <v>Expiration Date</v>
      </c>
      <c r="BY5" s="29" t="str">
        <f>IFERROR(__xludf.DUMMYFUNCTION("""COMPUTED_VALUE"""),"Description")</f>
        <v>Description</v>
      </c>
      <c r="BZ5" s="29" t="str">
        <f>IFERROR(__xludf.DUMMYFUNCTION("""COMPUTED_VALUE"""),"Underlying Symbol")</f>
        <v>Underlying Symbol</v>
      </c>
      <c r="CA5" s="29" t="str">
        <f>IFERROR(__xludf.DUMMYFUNCTION("""COMPUTED_VALUE"""),"Accrued Interest")</f>
        <v>Accrued Interest</v>
      </c>
      <c r="CB5" s="29" t="str">
        <f>IFERROR(__xludf.DUMMYFUNCTION("""COMPUTED_VALUE"""),"Accrual Basis")</f>
        <v>Accrual Basis</v>
      </c>
      <c r="CC5" s="29" t="str">
        <f>IFERROR(__xludf.DUMMYFUNCTION("""COMPUTED_VALUE"""),"Bond Type")</f>
        <v>Bond Type</v>
      </c>
      <c r="CD5" s="29" t="str">
        <f>IFERROR(__xludf.DUMMYFUNCTION("""COMPUTED_VALUE"""),"Coupon Rate")</f>
        <v>Coupon Rate</v>
      </c>
      <c r="CE5" s="29" t="str">
        <f>IFERROR(__xludf.DUMMYFUNCTION("""COMPUTED_VALUE"""),"Delta")</f>
        <v>Delta</v>
      </c>
      <c r="CF5" s="29" t="str">
        <f>IFERROR(__xludf.DUMMYFUNCTION("""COMPUTED_VALUE"""),"Bloomberg")</f>
        <v>Bloomberg</v>
      </c>
      <c r="CG5" s="29" t="str">
        <f>IFERROR(__xludf.DUMMYFUNCTION("""COMPUTED_VALUE"""),"Sedol Symbol")</f>
        <v>Sedol Symbol</v>
      </c>
      <c r="CH5" s="29" t="str">
        <f>IFERROR(__xludf.DUMMYFUNCTION("""COMPUTED_VALUE"""),"Cusip Symbol")</f>
        <v>Cusip Symbol</v>
      </c>
      <c r="CI5" s="29" t="str">
        <f>IFERROR(__xludf.DUMMYFUNCTION("""COMPUTED_VALUE"""),"ISIN")</f>
        <v>ISIN</v>
      </c>
      <c r="CJ5" s="29" t="str">
        <f>IFERROR(__xludf.DUMMYFUNCTION("""COMPUTED_VALUE"""),"OSISSymbol")</f>
        <v>OSISSymbol</v>
      </c>
      <c r="CK5" s="29" t="str">
        <f>IFERROR(__xludf.DUMMYFUNCTION("""COMPUTED_VALUE"""),"IDCOSymbol")</f>
        <v>IDCOSymbol</v>
      </c>
      <c r="CL5" s="29" t="str">
        <f>IFERROR(__xludf.DUMMYFUNCTION("""COMPUTED_VALUE"""),"Underlying Delta")</f>
        <v>Underlying Delta</v>
      </c>
      <c r="CM5" s="29" t="str">
        <f>IFERROR(__xludf.DUMMYFUNCTION("""COMPUTED_VALUE"""),"Internal Comments")</f>
        <v>Internal Comments</v>
      </c>
      <c r="CN5" s="29" t="str">
        <f>IFERROR(__xludf.DUMMYFUNCTION("""COMPUTED_VALUE"""),"Proxy Symbol")</f>
        <v>Proxy Symbol</v>
      </c>
      <c r="CO5" s="29" t="str">
        <f>IFERROR(__xludf.DUMMYFUNCTION("""COMPUTED_VALUE"""),"Transaction Source")</f>
        <v>Transaction Source</v>
      </c>
      <c r="CP5" s="29" t="str">
        <f>IFERROR(__xludf.DUMMYFUNCTION("""COMPUTED_VALUE"""),"Import File Name")</f>
        <v>Import File Name</v>
      </c>
      <c r="CQ5" s="29" t="str">
        <f>IFERROR(__xludf.DUMMYFUNCTION("""COMPUTED_VALUE"""),"Master Fund")</f>
        <v>Master Fund</v>
      </c>
      <c r="CR5" s="29" t="str">
        <f>IFERROR(__xludf.DUMMYFUNCTION("""COMPUTED_VALUE"""),"Client")</f>
        <v>Client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40" t="s">
        <v>25</v>
      </c>
      <c r="C6" s="37" t="s">
        <v>26</v>
      </c>
      <c r="D6" s="45">
        <v>10000.0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7" t="s">
        <v>25</v>
      </c>
      <c r="C7" s="37" t="s">
        <v>29</v>
      </c>
      <c r="D7" s="38">
        <v>5000.0</v>
      </c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Percentage")</f>
        <v>Account Percentage</v>
      </c>
      <c r="D5" s="27" t="str">
        <f>IFERROR(__xludf.DUMMYFUNCTION("""COMPUTED_VALUE"""),"Account Quantity")</f>
        <v>Account Quantity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44" t="s">
        <v>51</v>
      </c>
      <c r="C6" s="38">
        <v>100.0</v>
      </c>
      <c r="D6" s="40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EnterAccountValuesToAllocate1!$4:$4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IFERROR(__xludf.DUMMYFUNCTION("""COMPUTED_VALUE"""),"Net Amount( Local)")</f>
        <v>Net Amount( Local)</v>
      </c>
      <c r="H5" s="27" t="str">
        <f>IFERROR(__xludf.DUMMYFUNCTION("""COMPUTED_VALUE"""),"Net Amount( Base)")</f>
        <v>Net Amount( Base)</v>
      </c>
      <c r="I5" s="27" t="str">
        <f>IFERROR(__xludf.DUMMYFUNCTION("""COMPUTED_VALUE"""),"Principal Amount( Local)")</f>
        <v>Principal Amount( Local)</v>
      </c>
      <c r="J5" s="27" t="str">
        <f>IFERROR(__xludf.DUMMYFUNCTION("""COMPUTED_VALUE"""),"Transaction Type")</f>
        <v>Transaction Type</v>
      </c>
      <c r="K5" s="27" t="str">
        <f>IFERROR(__xludf.DUMMYFUNCTION("""COMPUTED_VALUE"""),"Principal Amount( Base)")</f>
        <v>Principal Amount( Base)</v>
      </c>
      <c r="L5" s="27" t="str">
        <f>IFERROR(__xludf.DUMMYFUNCTION("""COMPUTED_VALUE"""),"Execution Time")</f>
        <v>Execution Time</v>
      </c>
      <c r="M5" s="27" t="str">
        <f>IFERROR(__xludf.DUMMYFUNCTION("""COMPUTED_VALUE"""),"Trading Account")</f>
        <v>Trading Account</v>
      </c>
      <c r="N5" s="27" t="str">
        <f>IFERROR(__xludf.DUMMYFUNCTION("""COMPUTED_VALUE"""),"Avg Price(Local)")</f>
        <v>Avg Price(Local)</v>
      </c>
      <c r="O5" s="27" t="str">
        <f>IFERROR(__xludf.DUMMYFUNCTION("""COMPUTED_VALUE"""),"Avg Price(Base)")</f>
        <v>Avg Price(Base)</v>
      </c>
      <c r="P5" s="27" t="str">
        <f>IFERROR(__xludf.DUMMYFUNCTION("""COMPUTED_VALUE"""),"Broker")</f>
        <v>Broker</v>
      </c>
      <c r="Q5" s="27" t="str">
        <f>IFERROR(__xludf.DUMMYFUNCTION("""COMPUTED_VALUE"""),"FX Rate")</f>
        <v>FX Rate</v>
      </c>
      <c r="R5" s="27" t="str">
        <f>IFERROR(__xludf.DUMMYFUNCTION("""COMPUTED_VALUE"""),"Venue")</f>
        <v>Venue</v>
      </c>
      <c r="S5" s="27" t="str">
        <f>IFERROR(__xludf.DUMMYFUNCTION("""COMPUTED_VALUE"""),"FX Conversion Operator")</f>
        <v>FX Conversion Operator</v>
      </c>
      <c r="T5" s="29" t="str">
        <f>IFERROR(__xludf.DUMMYFUNCTION("""COMPUTED_VALUE"""),"User")</f>
        <v>User</v>
      </c>
      <c r="U5" s="29" t="str">
        <f>IFERROR(__xludf.DUMMYFUNCTION("""COMPUTED_VALUE"""),"Asset Category")</f>
        <v>Asset Category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IFERROR(__xludf.DUMMYFUNCTION("""COMPUTED_VALUE"""),"Commission Per Share")</f>
        <v>Commission Per Share</v>
      </c>
      <c r="X5" s="29" t="str">
        <f>IFERROR(__xludf.DUMMYFUNCTION("""COMPUTED_VALUE"""),"Soft Commission Per Share")</f>
        <v>Soft Commission Per Share</v>
      </c>
      <c r="Y5" s="29" t="str">
        <f>IFERROR(__xludf.DUMMYFUNCTION("""COMPUTED_VALUE"""),"Total Commission Per Share")</f>
        <v>Total Commission Per Share</v>
      </c>
      <c r="Z5" s="29" t="str">
        <f>IFERROR(__xludf.DUMMYFUNCTION("""COMPUTED_VALUE"""),"Change Type")</f>
        <v>Change Type</v>
      </c>
      <c r="AA5" s="29" t="str">
        <f>IFERROR(__xludf.DUMMYFUNCTION("""COMPUTED_VALUE"""),"Trade Attribute 1")</f>
        <v>Trade Attribute 1</v>
      </c>
      <c r="AB5" s="29" t="str">
        <f>IFERROR(__xludf.DUMMYFUNCTION("""COMPUTED_VALUE"""),"Trade Attribute 2")</f>
        <v>Trade Attribute 2</v>
      </c>
      <c r="AC5" s="29" t="str">
        <f>IFERROR(__xludf.DUMMYFUNCTION("""COMPUTED_VALUE"""),"Trade Attribute 3")</f>
        <v>Trade Attribute 3</v>
      </c>
      <c r="AD5" s="29" t="str">
        <f>IFERROR(__xludf.DUMMYFUNCTION("""COMPUTED_VALUE"""),"Trade Attribute 4")</f>
        <v>Trade Attribute 4</v>
      </c>
      <c r="AE5" s="29" t="str">
        <f>IFERROR(__xludf.DUMMYFUNCTION("""COMPUTED_VALUE"""),"Trade Attribute 5")</f>
        <v>Trade Attribute 5</v>
      </c>
      <c r="AF5" s="29" t="str">
        <f>IFERROR(__xludf.DUMMYFUNCTION("""COMPUTED_VALUE"""),"Trade Attribute 6")</f>
        <v>Trade Attribute 6</v>
      </c>
      <c r="AG5" s="29" t="str">
        <f>IFERROR(__xludf.DUMMYFUNCTION("""COMPUTED_VALUE"""),"IsPreAllocated")</f>
        <v>IsPreAllocated</v>
      </c>
      <c r="AH5" s="29" t="str">
        <f>IFERROR(__xludf.DUMMYFUNCTION("""COMPUTED_VALUE"""),"IsManual Group")</f>
        <v>IsManual Group</v>
      </c>
      <c r="AI5" s="29" t="str">
        <f>IFERROR(__xludf.DUMMYFUNCTION("""COMPUTED_VALUE"""),"IsAnotherTaxlotAttributesUpdated")</f>
        <v>IsAnotherTaxlotAttributesUpdated</v>
      </c>
      <c r="AJ5" s="29" t="str">
        <f>IFERROR(__xludf.DUMMYFUNCTION("""COMPUTED_VALUE"""),"ISNDF")</f>
        <v>ISNDF</v>
      </c>
      <c r="AK5" s="29" t="str">
        <f>IFERROR(__xludf.DUMMYFUNCTION("""COMPUTED_VALUE"""),"M2MProfitLoss")</f>
        <v>M2MProfitLoss</v>
      </c>
      <c r="AL5" s="29" t="str">
        <f>IFERROR(__xludf.DUMMYFUNCTION("""COMPUTED_VALUE"""),"Put Or Call")</f>
        <v>Put Or Call</v>
      </c>
      <c r="AM5" s="29" t="str">
        <f>IFERROR(__xludf.DUMMYFUNCTION("""COMPUTED_VALUE"""),"GroupID")</f>
        <v>GroupID</v>
      </c>
      <c r="AN5" s="29" t="str">
        <f>IFERROR(__xludf.DUMMYFUNCTION("""COMPUTED_VALUE"""),"UnAllocatedQty")</f>
        <v>UnAllocatedQty</v>
      </c>
      <c r="AO5" s="29" t="str">
        <f>IFERROR(__xludf.DUMMYFUNCTION("""COMPUTED_VALUE"""),"Allocated Qty")</f>
        <v>Allocated Qty</v>
      </c>
      <c r="AP5" s="29" t="str">
        <f>IFERROR(__xludf.DUMMYFUNCTION("""COMPUTED_VALUE"""),"Commission")</f>
        <v>Commission</v>
      </c>
      <c r="AQ5" s="29" t="str">
        <f>IFERROR(__xludf.DUMMYFUNCTION("""COMPUTED_VALUE"""),"Soft Commission")</f>
        <v>Soft Commission</v>
      </c>
      <c r="AR5" s="29" t="str">
        <f>IFERROR(__xludf.DUMMYFUNCTION("""COMPUTED_VALUE"""),"Other Broker Fees")</f>
        <v>Other Broker Fees</v>
      </c>
      <c r="AS5" s="29" t="str">
        <f>IFERROR(__xludf.DUMMYFUNCTION("""COMPUTED_VALUE"""),"Clearing Broker Fee")</f>
        <v>Clearing Broker Fee</v>
      </c>
      <c r="AT5" s="29" t="str">
        <f>IFERROR(__xludf.DUMMYFUNCTION("""COMPUTED_VALUE"""),"Total Commission And Fee")</f>
        <v>Total Commission And Fee</v>
      </c>
      <c r="AU5" s="29" t="str">
        <f>IFERROR(__xludf.DUMMYFUNCTION("""COMPUTED_VALUE"""),"Transaction Levy")</f>
        <v>Transaction Levy</v>
      </c>
      <c r="AV5" s="29" t="str">
        <f>IFERROR(__xludf.DUMMYFUNCTION("""COMPUTED_VALUE"""),"Stamp Duty")</f>
        <v>Stamp Duty</v>
      </c>
      <c r="AW5" s="29" t="str">
        <f>IFERROR(__xludf.DUMMYFUNCTION("""COMPUTED_VALUE"""),"AUEC Fee1")</f>
        <v>AUEC Fee1</v>
      </c>
      <c r="AX5" s="29" t="str">
        <f>IFERROR(__xludf.DUMMYFUNCTION("""COMPUTED_VALUE"""),"Tax On Commissions")</f>
        <v>Tax On Commissions</v>
      </c>
      <c r="AY5" s="29" t="str">
        <f>IFERROR(__xludf.DUMMYFUNCTION("""COMPUTED_VALUE"""),"AUEC Fee2")</f>
        <v>AUEC Fee2</v>
      </c>
      <c r="AZ5" s="29" t="str">
        <f>IFERROR(__xludf.DUMMYFUNCTION("""COMPUTED_VALUE"""),"SEC Fee")</f>
        <v>SEC Fee</v>
      </c>
      <c r="BA5" s="29" t="str">
        <f>IFERROR(__xludf.DUMMYFUNCTION("""COMPUTED_VALUE"""),"OCC Fee")</f>
        <v>OCC Fee</v>
      </c>
      <c r="BB5" s="29" t="str">
        <f>IFERROR(__xludf.DUMMYFUNCTION("""COMPUTED_VALUE"""),"ORF Fee")</f>
        <v>ORF Fee</v>
      </c>
      <c r="BC5" s="29" t="str">
        <f>IFERROR(__xludf.DUMMYFUNCTION("""COMPUTED_VALUE"""),"Option Premium Adjustment")</f>
        <v>Option Premium Adjustment</v>
      </c>
      <c r="BD5" s="29" t="str">
        <f>IFERROR(__xludf.DUMMYFUNCTION("""COMPUTED_VALUE"""),"Prana Msg Type")</f>
        <v>Prana Msg Type</v>
      </c>
      <c r="BE5" s="29" t="str">
        <f>IFERROR(__xludf.DUMMYFUNCTION("""COMPUTED_VALUE"""),"Total Commission")</f>
        <v>Total Commission</v>
      </c>
      <c r="BF5" s="29" t="str">
        <f>IFERROR(__xludf.DUMMYFUNCTION("""COMPUTED_VALUE"""),"Closing Status")</f>
        <v>Closing Status</v>
      </c>
      <c r="BG5" s="29" t="str">
        <f>IFERROR(__xludf.DUMMYFUNCTION("""COMPUTED_VALUE"""),"Closing Method")</f>
        <v>Closing Method</v>
      </c>
      <c r="BH5" s="29" t="str">
        <f>IFERROR(__xludf.DUMMYFUNCTION("""COMPUTED_VALUE"""),"Group Status")</f>
        <v>Group Status</v>
      </c>
      <c r="BI5" s="29" t="str">
        <f>IFERROR(__xludf.DUMMYFUNCTION("""COMPUTED_VALUE"""),"Allocation Scheme Name")</f>
        <v>Allocation Scheme Name</v>
      </c>
      <c r="BJ5" s="29" t="str">
        <f>IFERROR(__xludf.DUMMYFUNCTION("""COMPUTED_VALUE"""),"Change Comment")</f>
        <v>Change Comment</v>
      </c>
      <c r="BK5" s="29" t="str">
        <f>IFERROR(__xludf.DUMMYFUNCTION("""COMPUTED_VALUE"""),"Order Type")</f>
        <v>Order Type</v>
      </c>
      <c r="BL5" s="29" t="str">
        <f>IFERROR(__xludf.DUMMYFUNCTION("""COMPUTED_VALUE"""),"Underlying")</f>
        <v>Underlying</v>
      </c>
      <c r="BM5" s="29" t="str">
        <f>IFERROR(__xludf.DUMMYFUNCTION("""COMPUTED_VALUE"""),"Exchange")</f>
        <v>Exchange</v>
      </c>
      <c r="BN5" s="29" t="str">
        <f>IFERROR(__xludf.DUMMYFUNCTION("""COMPUTED_VALUE"""),"Currency")</f>
        <v>Currency</v>
      </c>
      <c r="BO5" s="29" t="str">
        <f>IFERROR(__xludf.DUMMYFUNCTION("""COMPUTED_VALUE"""),"AUECID")</f>
        <v>AUECID</v>
      </c>
      <c r="BP5" s="29" t="str">
        <f>IFERROR(__xludf.DUMMYFUNCTION("""COMPUTED_VALUE"""),"Cum Qty For Sub Order")</f>
        <v>Cum Qty For Sub Order</v>
      </c>
      <c r="BQ5" s="29" t="str">
        <f>IFERROR(__xludf.DUMMYFUNCTION("""COMPUTED_VALUE"""),"Contract Multiplier")</f>
        <v>Contract Multiplier</v>
      </c>
      <c r="BR5" s="29" t="str">
        <f>IFERROR(__xludf.DUMMYFUNCTION("""COMPUTED_VALUE"""),"Company")</f>
        <v>Company</v>
      </c>
      <c r="BS5" s="29" t="str">
        <f>IFERROR(__xludf.DUMMYFUNCTION("""COMPUTED_VALUE"""),"Nirvana Process Date")</f>
        <v>Nirvana Process Date</v>
      </c>
      <c r="BT5" s="29" t="str">
        <f>IFERROR(__xludf.DUMMYFUNCTION("""COMPUTED_VALUE"""),"Process Date")</f>
        <v>Process Date</v>
      </c>
      <c r="BU5" s="29" t="str">
        <f>IFERROR(__xludf.DUMMYFUNCTION("""COMPUTED_VALUE"""),"Original Purchase Date")</f>
        <v>Original Purchase Date</v>
      </c>
      <c r="BV5" s="29" t="str">
        <f>IFERROR(__xludf.DUMMYFUNCTION("""COMPUTED_VALUE"""),"Closing Date")</f>
        <v>Closing Date</v>
      </c>
      <c r="BW5" s="29" t="str">
        <f>IFERROR(__xludf.DUMMYFUNCTION("""COMPUTED_VALUE"""),"Settlement Date")</f>
        <v>Settlement Date</v>
      </c>
      <c r="BX5" s="29" t="str">
        <f>IFERROR(__xludf.DUMMYFUNCTION("""COMPUTED_VALUE"""),"Expiration Date")</f>
        <v>Expiration Date</v>
      </c>
      <c r="BY5" s="29" t="str">
        <f>IFERROR(__xludf.DUMMYFUNCTION("""COMPUTED_VALUE"""),"Description")</f>
        <v>Description</v>
      </c>
      <c r="BZ5" s="29" t="str">
        <f>IFERROR(__xludf.DUMMYFUNCTION("""COMPUTED_VALUE"""),"Underlying Symbol")</f>
        <v>Underlying Symbol</v>
      </c>
      <c r="CA5" s="29" t="str">
        <f>IFERROR(__xludf.DUMMYFUNCTION("""COMPUTED_VALUE"""),"Accrued Interest")</f>
        <v>Accrued Interest</v>
      </c>
      <c r="CB5" s="29" t="str">
        <f>IFERROR(__xludf.DUMMYFUNCTION("""COMPUTED_VALUE"""),"Accrual Basis")</f>
        <v>Accrual Basis</v>
      </c>
      <c r="CC5" s="29" t="str">
        <f>IFERROR(__xludf.DUMMYFUNCTION("""COMPUTED_VALUE"""),"Bond Type")</f>
        <v>Bond Type</v>
      </c>
      <c r="CD5" s="29" t="str">
        <f>IFERROR(__xludf.DUMMYFUNCTION("""COMPUTED_VALUE"""),"Coupon Rate")</f>
        <v>Coupon Rate</v>
      </c>
      <c r="CE5" s="29" t="str">
        <f>IFERROR(__xludf.DUMMYFUNCTION("""COMPUTED_VALUE"""),"Delta")</f>
        <v>Delta</v>
      </c>
      <c r="CF5" s="29" t="str">
        <f>IFERROR(__xludf.DUMMYFUNCTION("""COMPUTED_VALUE"""),"Bloomberg")</f>
        <v>Bloomberg</v>
      </c>
      <c r="CG5" s="29" t="str">
        <f>IFERROR(__xludf.DUMMYFUNCTION("""COMPUTED_VALUE"""),"Sedol Symbol")</f>
        <v>Sedol Symbol</v>
      </c>
      <c r="CH5" s="29" t="str">
        <f>IFERROR(__xludf.DUMMYFUNCTION("""COMPUTED_VALUE"""),"Cusip Symbol")</f>
        <v>Cusip Symbol</v>
      </c>
      <c r="CI5" s="29" t="str">
        <f>IFERROR(__xludf.DUMMYFUNCTION("""COMPUTED_VALUE"""),"ISIN")</f>
        <v>ISIN</v>
      </c>
      <c r="CJ5" s="29" t="str">
        <f>IFERROR(__xludf.DUMMYFUNCTION("""COMPUTED_VALUE"""),"OSISSymbol")</f>
        <v>OSISSymbol</v>
      </c>
      <c r="CK5" s="29" t="str">
        <f>IFERROR(__xludf.DUMMYFUNCTION("""COMPUTED_VALUE"""),"IDCOSymbol")</f>
        <v>IDCOSymbol</v>
      </c>
      <c r="CL5" s="29" t="str">
        <f>IFERROR(__xludf.DUMMYFUNCTION("""COMPUTED_VALUE"""),"Underlying Delta")</f>
        <v>Underlying Delta</v>
      </c>
      <c r="CM5" s="29" t="str">
        <f>IFERROR(__xludf.DUMMYFUNCTION("""COMPUTED_VALUE"""),"Internal Comments")</f>
        <v>Internal Comments</v>
      </c>
      <c r="CN5" s="29" t="str">
        <f>IFERROR(__xludf.DUMMYFUNCTION("""COMPUTED_VALUE"""),"Proxy Symbol")</f>
        <v>Proxy Symbol</v>
      </c>
      <c r="CO5" s="29" t="str">
        <f>IFERROR(__xludf.DUMMYFUNCTION("""COMPUTED_VALUE"""),"Transaction Source")</f>
        <v>Transaction Source</v>
      </c>
      <c r="CP5" s="29" t="str">
        <f>IFERROR(__xludf.DUMMYFUNCTION("""COMPUTED_VALUE"""),"Import File Name")</f>
        <v>Import File Name</v>
      </c>
      <c r="CQ5" s="29" t="str">
        <f>IFERROR(__xludf.DUMMYFUNCTION("""COMPUTED_VALUE"""),"Master Fund")</f>
        <v>Master Fund</v>
      </c>
      <c r="CR5" s="29" t="str">
        <f>IFERROR(__xludf.DUMMYFUNCTION("""COMPUTED_VALUE"""),"Client")</f>
        <v>Client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40" t="s">
        <v>27</v>
      </c>
      <c r="C6" s="37" t="s">
        <v>20</v>
      </c>
      <c r="D6" s="45">
        <v>10000.0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7" t="s">
        <v>27</v>
      </c>
      <c r="C7" s="37" t="s">
        <v>28</v>
      </c>
      <c r="D7" s="38">
        <v>5000.0</v>
      </c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Percentage")</f>
        <v>Account Percentage</v>
      </c>
      <c r="D5" s="27" t="str">
        <f>IFERROR(__xludf.DUMMYFUNCTION("""COMPUTED_VALUE"""),"Account Quantity")</f>
        <v>Account Quantity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44" t="s">
        <v>52</v>
      </c>
      <c r="C6" s="38">
        <v>100.0</v>
      </c>
      <c r="D6" s="40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EnterAccountValuesToAllocate2!$4:$4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46" t="s">
        <v>50</v>
      </c>
      <c r="C6" s="37"/>
      <c r="D6" s="40"/>
      <c r="E6" s="42">
        <v>10000.0</v>
      </c>
      <c r="F6" s="37"/>
      <c r="G6" s="41" t="s">
        <v>34</v>
      </c>
      <c r="H6" s="42">
        <v>0.0</v>
      </c>
      <c r="I6" s="42">
        <v>0.0</v>
      </c>
      <c r="J6" s="37"/>
      <c r="K6" s="42">
        <v>0.0</v>
      </c>
      <c r="L6" s="42">
        <v>120.0</v>
      </c>
      <c r="M6" s="37"/>
      <c r="N6" s="37"/>
      <c r="O6" s="41" t="s">
        <v>22</v>
      </c>
      <c r="P6" s="37"/>
      <c r="Q6" s="37"/>
      <c r="R6" s="42">
        <v>20.0</v>
      </c>
      <c r="S6" s="41" t="s">
        <v>36</v>
      </c>
      <c r="T6" s="42">
        <v>100000.0</v>
      </c>
      <c r="U6" s="42">
        <v>10.0</v>
      </c>
      <c r="V6" s="47" t="s">
        <v>37</v>
      </c>
      <c r="W6" s="37"/>
      <c r="X6" s="37"/>
      <c r="Y6" s="37"/>
      <c r="Z6" s="41" t="s">
        <v>38</v>
      </c>
      <c r="AA6" s="37"/>
      <c r="AB6" s="42">
        <v>1.0</v>
      </c>
      <c r="AC6" s="37"/>
      <c r="AD6" s="41" t="s">
        <v>39</v>
      </c>
      <c r="AE6" s="42">
        <v>10000.0</v>
      </c>
      <c r="AF6" s="37"/>
      <c r="AG6" s="37"/>
      <c r="AH6" s="41" t="s">
        <v>40</v>
      </c>
      <c r="AI6" s="42">
        <v>0.0</v>
      </c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42">
        <v>0.0</v>
      </c>
      <c r="AU6" s="42">
        <v>1502580.0</v>
      </c>
      <c r="AV6" s="37"/>
      <c r="AW6" s="42">
        <v>0.0</v>
      </c>
      <c r="AX6" s="42">
        <v>0.0</v>
      </c>
      <c r="AY6" s="41" t="s">
        <v>23</v>
      </c>
      <c r="AZ6" s="42">
        <v>0.0</v>
      </c>
      <c r="BA6" s="37"/>
      <c r="BB6" s="37"/>
      <c r="BC6" s="42">
        <v>150.0</v>
      </c>
      <c r="BD6" s="37"/>
      <c r="BE6" s="42">
        <v>0.0</v>
      </c>
      <c r="BF6" s="42">
        <v>1200000.0</v>
      </c>
      <c r="BG6" s="37"/>
      <c r="BH6" s="37"/>
      <c r="BI6" s="37"/>
      <c r="BJ6" s="42">
        <v>10000.0</v>
      </c>
      <c r="BK6" s="42">
        <v>1200.0</v>
      </c>
      <c r="BL6" s="37"/>
      <c r="BM6" s="41" t="s">
        <v>38</v>
      </c>
      <c r="BN6" s="37"/>
      <c r="BO6" s="41" t="s">
        <v>20</v>
      </c>
      <c r="BP6" s="42">
        <v>100000.0</v>
      </c>
      <c r="BQ6" s="42">
        <v>10.0</v>
      </c>
      <c r="BR6" s="42">
        <v>1200.0</v>
      </c>
      <c r="BS6" s="37"/>
      <c r="BT6" s="41" t="s">
        <v>19</v>
      </c>
      <c r="BU6" s="42">
        <v>100000.0</v>
      </c>
      <c r="BV6" s="42">
        <v>200000.0</v>
      </c>
      <c r="BW6" s="42">
        <v>302580.0</v>
      </c>
      <c r="BX6" s="42">
        <v>20.0</v>
      </c>
      <c r="BY6" s="37"/>
      <c r="BZ6" s="37"/>
      <c r="CA6" s="37"/>
      <c r="CB6" s="37"/>
      <c r="CC6" s="37"/>
      <c r="CD6" s="37"/>
      <c r="CE6" s="43">
        <f t="shared" ref="CE6:CE9" si="1">TODAY()</f>
        <v>45861</v>
      </c>
      <c r="CF6" s="37"/>
      <c r="CG6" s="42">
        <v>10.0</v>
      </c>
      <c r="CH6" s="41" t="s">
        <v>17</v>
      </c>
      <c r="CI6" s="41" t="s">
        <v>20</v>
      </c>
      <c r="CJ6" s="37"/>
      <c r="CK6" s="41" t="s">
        <v>41</v>
      </c>
      <c r="CL6" s="42">
        <v>1.0</v>
      </c>
      <c r="CM6" s="41" t="s">
        <v>19</v>
      </c>
      <c r="CN6" s="37"/>
      <c r="CO6" s="41" t="s">
        <v>24</v>
      </c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41" t="s">
        <v>50</v>
      </c>
      <c r="C7" s="37"/>
      <c r="D7" s="37"/>
      <c r="E7" s="42">
        <v>5000.0</v>
      </c>
      <c r="F7" s="37"/>
      <c r="G7" s="41" t="s">
        <v>34</v>
      </c>
      <c r="H7" s="42">
        <v>0.0</v>
      </c>
      <c r="I7" s="42">
        <v>0.0</v>
      </c>
      <c r="J7" s="37"/>
      <c r="K7" s="42">
        <v>0.0</v>
      </c>
      <c r="L7" s="42">
        <v>130.0</v>
      </c>
      <c r="M7" s="37"/>
      <c r="N7" s="37"/>
      <c r="O7" s="41" t="s">
        <v>22</v>
      </c>
      <c r="P7" s="37"/>
      <c r="Q7" s="37"/>
      <c r="R7" s="42">
        <v>20.0</v>
      </c>
      <c r="S7" s="41" t="s">
        <v>36</v>
      </c>
      <c r="T7" s="42">
        <v>50000.0</v>
      </c>
      <c r="U7" s="42">
        <v>10.0</v>
      </c>
      <c r="V7" s="47" t="s">
        <v>37</v>
      </c>
      <c r="W7" s="37"/>
      <c r="X7" s="37"/>
      <c r="Y7" s="37"/>
      <c r="Z7" s="41" t="s">
        <v>38</v>
      </c>
      <c r="AA7" s="37"/>
      <c r="AB7" s="42">
        <v>1.0</v>
      </c>
      <c r="AC7" s="37"/>
      <c r="AD7" s="41" t="s">
        <v>39</v>
      </c>
      <c r="AE7" s="42">
        <v>5000.0</v>
      </c>
      <c r="AF7" s="37"/>
      <c r="AG7" s="37"/>
      <c r="AH7" s="41" t="s">
        <v>40</v>
      </c>
      <c r="AI7" s="42">
        <v>0.0</v>
      </c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42">
        <v>0.0</v>
      </c>
      <c r="AU7" s="42">
        <v>498595.0</v>
      </c>
      <c r="AV7" s="37"/>
      <c r="AW7" s="42">
        <v>0.0</v>
      </c>
      <c r="AX7" s="42">
        <v>0.0</v>
      </c>
      <c r="AY7" s="41" t="s">
        <v>23</v>
      </c>
      <c r="AZ7" s="42">
        <v>0.0</v>
      </c>
      <c r="BA7" s="37"/>
      <c r="BB7" s="37"/>
      <c r="BC7" s="42">
        <v>75.0</v>
      </c>
      <c r="BD7" s="37"/>
      <c r="BE7" s="42">
        <v>0.0</v>
      </c>
      <c r="BF7" s="42">
        <v>650000.0</v>
      </c>
      <c r="BG7" s="37"/>
      <c r="BH7" s="37"/>
      <c r="BI7" s="37"/>
      <c r="BJ7" s="42">
        <v>5000.0</v>
      </c>
      <c r="BK7" s="42">
        <v>650.0</v>
      </c>
      <c r="BL7" s="37"/>
      <c r="BM7" s="41" t="s">
        <v>38</v>
      </c>
      <c r="BN7" s="37"/>
      <c r="BO7" s="41" t="s">
        <v>28</v>
      </c>
      <c r="BP7" s="42">
        <v>50000.0</v>
      </c>
      <c r="BQ7" s="42">
        <v>10.0</v>
      </c>
      <c r="BR7" s="42">
        <v>650.0</v>
      </c>
      <c r="BS7" s="37"/>
      <c r="BT7" s="41" t="s">
        <v>19</v>
      </c>
      <c r="BU7" s="42">
        <v>50000.0</v>
      </c>
      <c r="BV7" s="42">
        <v>100000.0</v>
      </c>
      <c r="BW7" s="42">
        <v>151405.0</v>
      </c>
      <c r="BX7" s="42">
        <v>20.0</v>
      </c>
      <c r="BY7" s="37"/>
      <c r="BZ7" s="37"/>
      <c r="CA7" s="37"/>
      <c r="CB7" s="37"/>
      <c r="CC7" s="37"/>
      <c r="CD7" s="37"/>
      <c r="CE7" s="43">
        <f t="shared" si="1"/>
        <v>45861</v>
      </c>
      <c r="CF7" s="37"/>
      <c r="CG7" s="42">
        <v>10.0</v>
      </c>
      <c r="CH7" s="41" t="s">
        <v>17</v>
      </c>
      <c r="CI7" s="41" t="s">
        <v>28</v>
      </c>
      <c r="CJ7" s="37"/>
      <c r="CK7" s="41" t="s">
        <v>41</v>
      </c>
      <c r="CL7" s="42">
        <v>1.0</v>
      </c>
      <c r="CM7" s="41" t="s">
        <v>19</v>
      </c>
      <c r="CN7" s="37"/>
      <c r="CO7" s="41" t="s">
        <v>24</v>
      </c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41" t="s">
        <v>52</v>
      </c>
      <c r="C8" s="37"/>
      <c r="D8" s="37"/>
      <c r="E8" s="42">
        <v>10000.0</v>
      </c>
      <c r="F8" s="37"/>
      <c r="G8" s="41" t="s">
        <v>42</v>
      </c>
      <c r="H8" s="42">
        <v>0.0</v>
      </c>
      <c r="I8" s="42">
        <v>0.0</v>
      </c>
      <c r="J8" s="37"/>
      <c r="K8" s="42">
        <v>140.0</v>
      </c>
      <c r="L8" s="42">
        <v>140.0</v>
      </c>
      <c r="M8" s="37"/>
      <c r="N8" s="37"/>
      <c r="O8" s="41" t="s">
        <v>22</v>
      </c>
      <c r="P8" s="37"/>
      <c r="Q8" s="37"/>
      <c r="R8" s="42">
        <v>30.0</v>
      </c>
      <c r="S8" s="41" t="s">
        <v>36</v>
      </c>
      <c r="T8" s="42">
        <v>4200000.0</v>
      </c>
      <c r="U8" s="42">
        <v>420.0</v>
      </c>
      <c r="V8" s="41" t="s">
        <v>43</v>
      </c>
      <c r="W8" s="37"/>
      <c r="X8" s="37"/>
      <c r="Y8" s="37"/>
      <c r="Z8" s="41" t="s">
        <v>44</v>
      </c>
      <c r="AA8" s="37"/>
      <c r="AB8" s="42">
        <v>1.0</v>
      </c>
      <c r="AC8" s="37"/>
      <c r="AD8" s="41" t="s">
        <v>45</v>
      </c>
      <c r="AE8" s="42">
        <v>10000.0</v>
      </c>
      <c r="AF8" s="37"/>
      <c r="AG8" s="37"/>
      <c r="AH8" s="41" t="s">
        <v>46</v>
      </c>
      <c r="AI8" s="42">
        <v>1.0</v>
      </c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42">
        <v>1.409545165E9</v>
      </c>
      <c r="AU8" s="42">
        <v>1.409545165E9</v>
      </c>
      <c r="AV8" s="37"/>
      <c r="AW8" s="42">
        <v>0.0</v>
      </c>
      <c r="AX8" s="42">
        <v>0.0</v>
      </c>
      <c r="AY8" s="41" t="s">
        <v>23</v>
      </c>
      <c r="AZ8" s="42">
        <v>0.0</v>
      </c>
      <c r="BA8" s="37"/>
      <c r="BB8" s="37"/>
      <c r="BC8" s="42">
        <v>10500.0</v>
      </c>
      <c r="BD8" s="37"/>
      <c r="BE8" s="42">
        <v>1.4E9</v>
      </c>
      <c r="BF8" s="42">
        <v>1.4E9</v>
      </c>
      <c r="BG8" s="37"/>
      <c r="BH8" s="37"/>
      <c r="BI8" s="37"/>
      <c r="BJ8" s="42">
        <v>10000.0</v>
      </c>
      <c r="BK8" s="42">
        <v>4620.0</v>
      </c>
      <c r="BL8" s="37"/>
      <c r="BM8" s="41" t="s">
        <v>44</v>
      </c>
      <c r="BN8" s="37"/>
      <c r="BO8" s="41" t="s">
        <v>20</v>
      </c>
      <c r="BP8" s="42">
        <v>3080000.0</v>
      </c>
      <c r="BQ8" s="42">
        <v>308.0</v>
      </c>
      <c r="BR8" s="42">
        <v>150000.0</v>
      </c>
      <c r="BS8" s="37"/>
      <c r="BT8" s="41" t="s">
        <v>27</v>
      </c>
      <c r="BU8" s="42">
        <v>15.0</v>
      </c>
      <c r="BV8" s="42">
        <v>7280000.0</v>
      </c>
      <c r="BW8" s="42">
        <v>9545165.0</v>
      </c>
      <c r="BX8" s="42">
        <v>728.0</v>
      </c>
      <c r="BY8" s="37"/>
      <c r="BZ8" s="37"/>
      <c r="CA8" s="37"/>
      <c r="CB8" s="37"/>
      <c r="CC8" s="37"/>
      <c r="CD8" s="37"/>
      <c r="CE8" s="43">
        <f t="shared" si="1"/>
        <v>45861</v>
      </c>
      <c r="CF8" s="37"/>
      <c r="CG8" s="42">
        <v>2100000.0</v>
      </c>
      <c r="CH8" s="41" t="s">
        <v>17</v>
      </c>
      <c r="CI8" s="41" t="s">
        <v>20</v>
      </c>
      <c r="CJ8" s="37"/>
      <c r="CK8" s="41" t="s">
        <v>47</v>
      </c>
      <c r="CL8" s="42">
        <v>1.0</v>
      </c>
      <c r="CM8" s="41" t="s">
        <v>27</v>
      </c>
      <c r="CN8" s="37"/>
      <c r="CO8" s="41" t="s">
        <v>24</v>
      </c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37"/>
      <c r="B9" s="41" t="s">
        <v>52</v>
      </c>
      <c r="C9" s="37"/>
      <c r="D9" s="37"/>
      <c r="E9" s="42">
        <v>5000.0</v>
      </c>
      <c r="F9" s="37"/>
      <c r="G9" s="41" t="s">
        <v>42</v>
      </c>
      <c r="H9" s="42">
        <v>0.0</v>
      </c>
      <c r="I9" s="42">
        <v>0.0</v>
      </c>
      <c r="J9" s="37"/>
      <c r="K9" s="42">
        <v>150.0</v>
      </c>
      <c r="L9" s="42">
        <v>150.0</v>
      </c>
      <c r="M9" s="37"/>
      <c r="N9" s="37"/>
      <c r="O9" s="41" t="s">
        <v>22</v>
      </c>
      <c r="P9" s="37"/>
      <c r="Q9" s="37"/>
      <c r="R9" s="42">
        <v>30.0</v>
      </c>
      <c r="S9" s="41" t="s">
        <v>36</v>
      </c>
      <c r="T9" s="42">
        <v>2250000.0</v>
      </c>
      <c r="U9" s="42">
        <v>450.0</v>
      </c>
      <c r="V9" s="41" t="s">
        <v>43</v>
      </c>
      <c r="W9" s="37"/>
      <c r="X9" s="37"/>
      <c r="Y9" s="37"/>
      <c r="Z9" s="41" t="s">
        <v>44</v>
      </c>
      <c r="AA9" s="37"/>
      <c r="AB9" s="42">
        <v>1.0</v>
      </c>
      <c r="AC9" s="37"/>
      <c r="AD9" s="41" t="s">
        <v>45</v>
      </c>
      <c r="AE9" s="42">
        <v>5000.0</v>
      </c>
      <c r="AF9" s="37"/>
      <c r="AG9" s="37"/>
      <c r="AH9" s="41" t="s">
        <v>46</v>
      </c>
      <c r="AI9" s="42">
        <v>1.0</v>
      </c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42">
        <v>7.44891855E8</v>
      </c>
      <c r="AU9" s="42">
        <v>7.44891855E8</v>
      </c>
      <c r="AV9" s="37"/>
      <c r="AW9" s="42">
        <v>0.0</v>
      </c>
      <c r="AX9" s="42">
        <v>0.0</v>
      </c>
      <c r="AY9" s="41" t="s">
        <v>23</v>
      </c>
      <c r="AZ9" s="42">
        <v>0.0</v>
      </c>
      <c r="BA9" s="37"/>
      <c r="BB9" s="37"/>
      <c r="BC9" s="42">
        <v>5625.0</v>
      </c>
      <c r="BD9" s="37"/>
      <c r="BE9" s="42">
        <v>7.5E8</v>
      </c>
      <c r="BF9" s="42">
        <v>7.5E8</v>
      </c>
      <c r="BG9" s="37"/>
      <c r="BH9" s="37"/>
      <c r="BI9" s="37"/>
      <c r="BJ9" s="42">
        <v>5000.0</v>
      </c>
      <c r="BK9" s="42">
        <v>2475.0</v>
      </c>
      <c r="BL9" s="37"/>
      <c r="BM9" s="41" t="s">
        <v>44</v>
      </c>
      <c r="BN9" s="37"/>
      <c r="BO9" s="41" t="s">
        <v>28</v>
      </c>
      <c r="BP9" s="42">
        <v>1650000.0</v>
      </c>
      <c r="BQ9" s="42">
        <v>330.0</v>
      </c>
      <c r="BR9" s="42">
        <v>75000.0</v>
      </c>
      <c r="BS9" s="37"/>
      <c r="BT9" s="41" t="s">
        <v>27</v>
      </c>
      <c r="BU9" s="42">
        <v>15.0</v>
      </c>
      <c r="BV9" s="42">
        <v>3900000.0</v>
      </c>
      <c r="BW9" s="42">
        <v>5108145.0</v>
      </c>
      <c r="BX9" s="42">
        <v>780.0</v>
      </c>
      <c r="BY9" s="37"/>
      <c r="BZ9" s="37"/>
      <c r="CA9" s="37"/>
      <c r="CB9" s="37"/>
      <c r="CC9" s="37"/>
      <c r="CD9" s="37"/>
      <c r="CE9" s="43">
        <f t="shared" si="1"/>
        <v>45861</v>
      </c>
      <c r="CF9" s="37"/>
      <c r="CG9" s="42">
        <v>1125000.0</v>
      </c>
      <c r="CH9" s="41" t="s">
        <v>17</v>
      </c>
      <c r="CI9" s="41" t="s">
        <v>28</v>
      </c>
      <c r="CJ9" s="37"/>
      <c r="CK9" s="41" t="s">
        <v>47</v>
      </c>
      <c r="CL9" s="42">
        <v>1.0</v>
      </c>
      <c r="CM9" s="41" t="s">
        <v>27</v>
      </c>
      <c r="CN9" s="37"/>
      <c r="CO9" s="41" t="s">
        <v>24</v>
      </c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54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IFERROR(__xludf.DUMMYFUNCTION("""COMPUTED_VALUE"""),"CloseOrder")</f>
        <v>CloseOrder</v>
      </c>
      <c r="Y4" s="25" t="str">
        <f>IFERROR(__xludf.DUMMYFUNCTION("""COMPUTED_VALUE"""),"CloseOrder")</f>
        <v>CloseOrder</v>
      </c>
      <c r="Z4" s="25" t="str">
        <f>IFERROR(__xludf.DUMMYFUNCTION("""COMPUTED_VALUE"""),"VerifyCloseOrder")</f>
        <v>VerifyCloseOrder</v>
      </c>
      <c r="AA4" s="25" t="str">
        <f>IFERROR(__xludf.DUMMYFUNCTION("""COMPUTED_VALUE"""),"UnWindCloseOrder")</f>
        <v>UnWindCloseOrder</v>
      </c>
      <c r="AB4" s="25" t="str">
        <f>IFERROR(__xludf.DUMMYFUNCTION("""COMPUTED_VALUE"""),"ClosingCleanUp")</f>
        <v>ClosingCleanUp</v>
      </c>
      <c r="AC4" s="25" t="str">
        <f>IFERROR(__xludf.DUMMYFUNCTION("""COMPUTED_VALUE"""),"CloseClosingUI")</f>
        <v>CloseClosingUI</v>
      </c>
      <c r="AD4" s="25" t="str">
        <f>IFERROR(__xludf.DUMMYFUNCTION("""COMPUTED_VALUE"""),"SetClosingPreference")</f>
        <v>SetClosingPreference</v>
      </c>
      <c r="AE4" s="25" t="str">
        <f>IFERROR(__xludf.DUMMYFUNCTION("""COMPUTED_VALUE"""),"EditTradeUnexpiredUnsettled")</f>
        <v>EditTradeUnexpiredUnsettled</v>
      </c>
      <c r="AF4" s="25" t="str">
        <f>IFERROR(__xludf.DUMMYFUNCTION("""COMPUTED_VALUE"""),"AutoExercise")</f>
        <v>AutoExercise</v>
      </c>
      <c r="AG4" s="25" t="str">
        <f>IFERROR(__xludf.DUMMYFUNCTION("""COMPUTED_VALUE"""),"EditMultipleCloseQuantity")</f>
        <v>EditMultipleCloseQuantity</v>
      </c>
      <c r="AH4" s="25" t="str">
        <f>IFERROR(__xludf.DUMMYFUNCTION("""COMPUTED_VALUE"""),"ManualCloseOrder")</f>
        <v>ManualCloseOrder</v>
      </c>
      <c r="AI4" s="25" t="str">
        <f>IFERROR(__xludf.DUMMYFUNCTION("""COMPUTED_VALUE"""),"PreviewDataWithFilters")</f>
        <v>PreviewDataWithFilters</v>
      </c>
      <c r="AJ4" s="25" t="str">
        <f>IFERROR(__xludf.DUMMYFUNCTION("""COMPUTED_VALUE"""),"CreateClosingTemplate")</f>
        <v>CreateClosingTemplate</v>
      </c>
      <c r="AK4" s="25" t="str">
        <f>IFERROR(__xludf.DUMMYFUNCTION("""COMPUTED_VALUE"""),"CreateUnwindingTemplate")</f>
        <v>CreateUnwindingTemplate</v>
      </c>
      <c r="AL4" s="25" t="str">
        <f>IFERROR(__xludf.DUMMYFUNCTION("""COMPUTED_VALUE"""),"EditTemplate")</f>
        <v>EditTemplate</v>
      </c>
      <c r="AM4" s="25" t="str">
        <f>IFERROR(__xludf.DUMMYFUNCTION("""COMPUTED_VALUE"""),"DeleteTemplate")</f>
        <v>DeleteTemplate</v>
      </c>
      <c r="AN4" s="25" t="str">
        <f>IFERROR(__xludf.DUMMYFUNCTION("""COMPUTED_VALUE"""),"RunTemplate")</f>
        <v>RunTemplate</v>
      </c>
      <c r="AO4" s="25" t="str">
        <f>IFERROR(__xludf.DUMMYFUNCTION("""COMPUTED_VALUE"""),"SelectAccountWiseAsset")</f>
        <v>SelectAccountWiseAsset</v>
      </c>
      <c r="AP4" s="25" t="str">
        <f>IFERROR(__xludf.DUMMYFUNCTION("""COMPUTED_VALUE"""),"VerifyCTData")</f>
        <v>VerifyCTData</v>
      </c>
      <c r="AQ4" s="25" t="str">
        <f>IFERROR(__xludf.DUMMYFUNCTION("""COMPUTED_VALUE"""),"ExerciseAssignmentWithOutSave")</f>
        <v>ExerciseAssignmentWithOutSave</v>
      </c>
      <c r="AR4" s="25" t="str">
        <f>IFERROR(__xludf.DUMMYFUNCTION("""COMPUTED_VALUE"""),"SaveCTData")</f>
        <v>SaveCTData</v>
      </c>
      <c r="AS4" s="25" t="str">
        <f>IFERROR(__xludf.DUMMYFUNCTION("""COMPUTED_VALUE"""),"FilterLongPositionGrid")</f>
        <v>FilterLongPositionGrid</v>
      </c>
      <c r="AT4" s="25" t="str">
        <f>IFERROR(__xludf.DUMMYFUNCTION("""COMPUTED_VALUE"""),"FilterShortPositionGrid")</f>
        <v>FilterShortPositionGrid</v>
      </c>
      <c r="AU4" s="25" t="str">
        <f>IFERROR(__xludf.DUMMYFUNCTION("""COMPUTED_VALUE"""),"FilterClosingGrid")</f>
        <v>FilterClosingGrid</v>
      </c>
      <c r="AV4" s="25" t="str">
        <f>IFERROR(__xludf.DUMMYFUNCTION("""COMPUTED_VALUE"""),"FilterUnexpiredGrid")</f>
        <v>FilterUnexpiredGrid</v>
      </c>
      <c r="AW4" s="25" t="str">
        <f>IFERROR(__xludf.DUMMYFUNCTION("""COMPUTED_VALUE"""),"FilterExpiredGrid")</f>
        <v>FilterExpiredGrid</v>
      </c>
      <c r="AX4" s="25" t="str">
        <f>IFERROR(__xludf.DUMMYFUNCTION("""COMPUTED_VALUE"""),"UnwindAllClosingData")</f>
        <v>UnwindAllClosingData</v>
      </c>
      <c r="AY4" s="25" t="str">
        <f>IFERROR(__xludf.DUMMYFUNCTION("""COMPUTED_VALUE"""),"FilterClosing")</f>
        <v>FilterClosing</v>
      </c>
      <c r="AZ4" s="25" t="str">
        <f>IFERROR(__xludf.DUMMYFUNCTION("""COMPUTED_VALUE"""),"VerifyClosingNavLockPopup")</f>
        <v>VerifyClosingNavLockPopup</v>
      </c>
      <c r="BA4" s="25" t="str">
        <f>IFERROR(__xludf.DUMMYFUNCTION("""COMPUTED_VALUE"""),"VerifyClosingNavLockPopup")</f>
        <v>VerifyClosingNavLockPopup</v>
      </c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32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54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IFERROR(__xludf.DUMMYFUNCTION("""COMPUTED_VALUE"""),"CloseOrder")</f>
        <v>CloseOrder</v>
      </c>
      <c r="Y4" s="25" t="str">
        <f>IFERROR(__xludf.DUMMYFUNCTION("""COMPUTED_VALUE"""),"CloseOrder")</f>
        <v>CloseOrder</v>
      </c>
      <c r="Z4" s="25" t="str">
        <f>IFERROR(__xludf.DUMMYFUNCTION("""COMPUTED_VALUE"""),"VerifyCloseOrder")</f>
        <v>VerifyCloseOrder</v>
      </c>
      <c r="AA4" s="25" t="str">
        <f>IFERROR(__xludf.DUMMYFUNCTION("""COMPUTED_VALUE"""),"UnWindCloseOrder")</f>
        <v>UnWindCloseOrder</v>
      </c>
      <c r="AB4" s="25" t="str">
        <f>IFERROR(__xludf.DUMMYFUNCTION("""COMPUTED_VALUE"""),"ClosingCleanUp")</f>
        <v>ClosingCleanUp</v>
      </c>
      <c r="AC4" s="25" t="str">
        <f>IFERROR(__xludf.DUMMYFUNCTION("""COMPUTED_VALUE"""),"CloseClosingUI")</f>
        <v>CloseClosingUI</v>
      </c>
      <c r="AD4" s="25" t="str">
        <f>IFERROR(__xludf.DUMMYFUNCTION("""COMPUTED_VALUE"""),"SetClosingPreference")</f>
        <v>SetClosingPreference</v>
      </c>
      <c r="AE4" s="25" t="str">
        <f>IFERROR(__xludf.DUMMYFUNCTION("""COMPUTED_VALUE"""),"EditTradeUnexpiredUnsettled")</f>
        <v>EditTradeUnexpiredUnsettled</v>
      </c>
      <c r="AF4" s="25" t="str">
        <f>IFERROR(__xludf.DUMMYFUNCTION("""COMPUTED_VALUE"""),"AutoExercise")</f>
        <v>AutoExercise</v>
      </c>
      <c r="AG4" s="25" t="str">
        <f>IFERROR(__xludf.DUMMYFUNCTION("""COMPUTED_VALUE"""),"EditMultipleCloseQuantity")</f>
        <v>EditMultipleCloseQuantity</v>
      </c>
      <c r="AH4" s="25" t="str">
        <f>IFERROR(__xludf.DUMMYFUNCTION("""COMPUTED_VALUE"""),"ManualCloseOrder")</f>
        <v>ManualCloseOrder</v>
      </c>
      <c r="AI4" s="25" t="str">
        <f>IFERROR(__xludf.DUMMYFUNCTION("""COMPUTED_VALUE"""),"PreviewDataWithFilters")</f>
        <v>PreviewDataWithFilters</v>
      </c>
      <c r="AJ4" s="25" t="str">
        <f>IFERROR(__xludf.DUMMYFUNCTION("""COMPUTED_VALUE"""),"CreateClosingTemplate")</f>
        <v>CreateClosingTemplate</v>
      </c>
      <c r="AK4" s="25" t="str">
        <f>IFERROR(__xludf.DUMMYFUNCTION("""COMPUTED_VALUE"""),"CreateUnwindingTemplate")</f>
        <v>CreateUnwindingTemplate</v>
      </c>
      <c r="AL4" s="25" t="str">
        <f>IFERROR(__xludf.DUMMYFUNCTION("""COMPUTED_VALUE"""),"EditTemplate")</f>
        <v>EditTemplate</v>
      </c>
      <c r="AM4" s="25" t="str">
        <f>IFERROR(__xludf.DUMMYFUNCTION("""COMPUTED_VALUE"""),"DeleteTemplate")</f>
        <v>DeleteTemplate</v>
      </c>
      <c r="AN4" s="25" t="str">
        <f>IFERROR(__xludf.DUMMYFUNCTION("""COMPUTED_VALUE"""),"RunTemplate")</f>
        <v>RunTemplate</v>
      </c>
      <c r="AO4" s="25" t="str">
        <f>IFERROR(__xludf.DUMMYFUNCTION("""COMPUTED_VALUE"""),"SelectAccountWiseAsset")</f>
        <v>SelectAccountWiseAsset</v>
      </c>
      <c r="AP4" s="25" t="str">
        <f>IFERROR(__xludf.DUMMYFUNCTION("""COMPUTED_VALUE"""),"VerifyCTData")</f>
        <v>VerifyCTData</v>
      </c>
      <c r="AQ4" s="25" t="str">
        <f>IFERROR(__xludf.DUMMYFUNCTION("""COMPUTED_VALUE"""),"ExerciseAssignmentWithOutSave")</f>
        <v>ExerciseAssignmentWithOutSave</v>
      </c>
      <c r="AR4" s="25" t="str">
        <f>IFERROR(__xludf.DUMMYFUNCTION("""COMPUTED_VALUE"""),"SaveCTData")</f>
        <v>SaveCTData</v>
      </c>
      <c r="AS4" s="25" t="str">
        <f>IFERROR(__xludf.DUMMYFUNCTION("""COMPUTED_VALUE"""),"FilterLongPositionGrid")</f>
        <v>FilterLongPositionGrid</v>
      </c>
      <c r="AT4" s="25" t="str">
        <f>IFERROR(__xludf.DUMMYFUNCTION("""COMPUTED_VALUE"""),"FilterShortPositionGrid")</f>
        <v>FilterShortPositionGrid</v>
      </c>
      <c r="AU4" s="25" t="str">
        <f>IFERROR(__xludf.DUMMYFUNCTION("""COMPUTED_VALUE"""),"FilterClosingGrid")</f>
        <v>FilterClosingGrid</v>
      </c>
      <c r="AV4" s="25" t="str">
        <f>IFERROR(__xludf.DUMMYFUNCTION("""COMPUTED_VALUE"""),"FilterUnexpiredGrid")</f>
        <v>FilterUnexpiredGrid</v>
      </c>
      <c r="AW4" s="25" t="str">
        <f>IFERROR(__xludf.DUMMYFUNCTION("""COMPUTED_VALUE"""),"FilterExpiredGrid")</f>
        <v>FilterExpiredGrid</v>
      </c>
      <c r="AX4" s="25" t="str">
        <f>IFERROR(__xludf.DUMMYFUNCTION("""COMPUTED_VALUE"""),"UnwindAllClosingData")</f>
        <v>UnwindAllClosingData</v>
      </c>
      <c r="AY4" s="25" t="str">
        <f>IFERROR(__xludf.DUMMYFUNCTION("""COMPUTED_VALUE"""),"FilterClosing")</f>
        <v>FilterClosing</v>
      </c>
      <c r="AZ4" s="25" t="str">
        <f>IFERROR(__xludf.DUMMYFUNCTION("""COMPUTED_VALUE"""),"VerifyClosingNavLockPopup")</f>
        <v>VerifyClosingNavLockPopup</v>
      </c>
      <c r="BA4" s="25" t="str">
        <f>IFERROR(__xludf.DUMMYFUNCTION("""COMPUTED_VALUE"""),"VerifyClosingNavLockPopup")</f>
        <v>VerifyClosingNavLockPopup</v>
      </c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 t="str">
        <f>IFERROR(__xludf.DUMMYFUNCTION("""COMPUTED_VALUE"""),"isRowCountCheck")</f>
        <v>isRowCountCheck</v>
      </c>
      <c r="AB5" s="29" t="str">
        <f>IFERROR(__xludf.DUMMYFUNCTION("""COMPUTED_VALUE"""),"CustomUDA1")</f>
        <v>CustomUDA1</v>
      </c>
      <c r="AC5" s="29" t="str">
        <f>IFERROR(__xludf.DUMMYFUNCTION("""COMPUTED_VALUE"""),"CustomUDA2")</f>
        <v>CustomUDA2</v>
      </c>
      <c r="AD5" s="29" t="str">
        <f>IFERROR(__xludf.DUMMYFUNCTION("""COMPUTED_VALUE"""),"CustomUDA3")</f>
        <v>CustomUDA3</v>
      </c>
      <c r="AE5" s="29" t="str">
        <f>IFERROR(__xludf.DUMMYFUNCTION("""COMPUTED_VALUE"""),"CustomUDA4")</f>
        <v>CustomUDA4</v>
      </c>
      <c r="AF5" s="29" t="str">
        <f>IFERROR(__xludf.DUMMYFUNCTION("""COMPUTED_VALUE"""),"CustomUDA5")</f>
        <v>CustomUDA5</v>
      </c>
      <c r="AG5" s="29" t="str">
        <f>IFERROR(__xludf.DUMMYFUNCTION("""COMPUTED_VALUE"""),"CustomUDA6")</f>
        <v>CustomUDA6</v>
      </c>
      <c r="AH5" s="29" t="str">
        <f>IFERROR(__xludf.DUMMYFUNCTION("""COMPUTED_VALUE"""),"CustomUDA7")</f>
        <v>CustomUDA7</v>
      </c>
      <c r="AI5" s="29" t="str">
        <f>IFERROR(__xludf.DUMMYFUNCTION("""COMPUTED_VALUE"""),"CustomUDA8")</f>
        <v>CustomUDA8</v>
      </c>
      <c r="AJ5" s="29" t="str">
        <f>IFERROR(__xludf.DUMMYFUNCTION("""COMPUTED_VALUE"""),"CustomUDA9")</f>
        <v>CustomUDA9</v>
      </c>
      <c r="AK5" s="29" t="str">
        <f>IFERROR(__xludf.DUMMYFUNCTION("""COMPUTED_VALUE"""),"CustomUDA10")</f>
        <v>CustomUDA10</v>
      </c>
      <c r="AL5" s="29" t="str">
        <f>IFERROR(__xludf.DUMMYFUNCTION("""COMPUTED_VALUE"""),"CustomUDA11")</f>
        <v>CustomUDA11</v>
      </c>
      <c r="AM5" s="29" t="str">
        <f>IFERROR(__xludf.DUMMYFUNCTION("""COMPUTED_VALUE"""),"CustomUDA12")</f>
        <v>CustomUDA12</v>
      </c>
      <c r="AN5" s="29" t="str">
        <f>IFERROR(__xludf.DUMMYFUNCTION("""COMPUTED_VALUE"""),"MandatoryColumn")</f>
        <v>MandatoryColumn</v>
      </c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48" t="s">
        <v>50</v>
      </c>
      <c r="C6" s="49" t="s">
        <v>34</v>
      </c>
      <c r="D6" s="40"/>
      <c r="E6" s="37"/>
      <c r="F6" s="37"/>
      <c r="G6" s="37"/>
      <c r="H6" s="50">
        <v>1502580.0</v>
      </c>
      <c r="I6" s="50">
        <v>120.0</v>
      </c>
      <c r="J6" s="37"/>
      <c r="K6" s="49" t="s">
        <v>57</v>
      </c>
      <c r="L6" s="37"/>
      <c r="M6" s="50">
        <v>10000.0</v>
      </c>
      <c r="N6" s="51" t="s">
        <v>37</v>
      </c>
      <c r="O6" s="37"/>
      <c r="P6" s="49" t="s">
        <v>20</v>
      </c>
      <c r="Q6" s="49" t="s">
        <v>58</v>
      </c>
      <c r="R6" s="49" t="s">
        <v>19</v>
      </c>
      <c r="S6" s="37"/>
      <c r="T6" s="50">
        <v>302580.0</v>
      </c>
      <c r="U6" s="43">
        <f t="shared" ref="U6:U7" si="1">TODAY()</f>
        <v>45861</v>
      </c>
      <c r="V6" s="49" t="s">
        <v>20</v>
      </c>
      <c r="W6" s="49" t="s">
        <v>41</v>
      </c>
      <c r="X6" s="50">
        <v>150.258</v>
      </c>
      <c r="Y6" s="50">
        <v>0.0</v>
      </c>
      <c r="Z6" s="50">
        <v>0.0</v>
      </c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49" t="s">
        <v>52</v>
      </c>
      <c r="C7" s="49" t="s">
        <v>42</v>
      </c>
      <c r="D7" s="37"/>
      <c r="E7" s="37"/>
      <c r="F7" s="37"/>
      <c r="G7" s="37"/>
      <c r="H7" s="50">
        <v>1.409545165E9</v>
      </c>
      <c r="I7" s="50">
        <v>140.0</v>
      </c>
      <c r="J7" s="37"/>
      <c r="K7" s="49" t="s">
        <v>57</v>
      </c>
      <c r="L7" s="37"/>
      <c r="M7" s="50">
        <v>10000.0</v>
      </c>
      <c r="N7" s="49" t="s">
        <v>43</v>
      </c>
      <c r="O7" s="37"/>
      <c r="P7" s="49" t="s">
        <v>20</v>
      </c>
      <c r="Q7" s="49" t="s">
        <v>58</v>
      </c>
      <c r="R7" s="49" t="s">
        <v>27</v>
      </c>
      <c r="S7" s="37"/>
      <c r="T7" s="50">
        <v>9545165.0</v>
      </c>
      <c r="U7" s="43">
        <f t="shared" si="1"/>
        <v>45861</v>
      </c>
      <c r="V7" s="49" t="s">
        <v>20</v>
      </c>
      <c r="W7" s="49" t="s">
        <v>47</v>
      </c>
      <c r="X7" s="50">
        <v>140.9545165</v>
      </c>
      <c r="Y7" s="50">
        <v>140.9545165</v>
      </c>
      <c r="Z7" s="50">
        <v>140.0</v>
      </c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VerifyLongPositionsGrid!$4:$4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54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IFERROR(__xludf.DUMMYFUNCTION("""COMPUTED_VALUE"""),"CloseOrder")</f>
        <v>CloseOrder</v>
      </c>
      <c r="Y4" s="25" t="str">
        <f>IFERROR(__xludf.DUMMYFUNCTION("""COMPUTED_VALUE"""),"CloseOrder")</f>
        <v>CloseOrder</v>
      </c>
      <c r="Z4" s="25" t="str">
        <f>IFERROR(__xludf.DUMMYFUNCTION("""COMPUTED_VALUE"""),"VerifyCloseOrder")</f>
        <v>VerifyCloseOrder</v>
      </c>
      <c r="AA4" s="25" t="str">
        <f>IFERROR(__xludf.DUMMYFUNCTION("""COMPUTED_VALUE"""),"UnWindCloseOrder")</f>
        <v>UnWindCloseOrder</v>
      </c>
      <c r="AB4" s="25" t="str">
        <f>IFERROR(__xludf.DUMMYFUNCTION("""COMPUTED_VALUE"""),"ClosingCleanUp")</f>
        <v>ClosingCleanUp</v>
      </c>
      <c r="AC4" s="25" t="str">
        <f>IFERROR(__xludf.DUMMYFUNCTION("""COMPUTED_VALUE"""),"CloseClosingUI")</f>
        <v>CloseClosingUI</v>
      </c>
      <c r="AD4" s="25" t="str">
        <f>IFERROR(__xludf.DUMMYFUNCTION("""COMPUTED_VALUE"""),"SetClosingPreference")</f>
        <v>SetClosingPreference</v>
      </c>
      <c r="AE4" s="25" t="str">
        <f>IFERROR(__xludf.DUMMYFUNCTION("""COMPUTED_VALUE"""),"EditTradeUnexpiredUnsettled")</f>
        <v>EditTradeUnexpiredUnsettled</v>
      </c>
      <c r="AF4" s="25" t="str">
        <f>IFERROR(__xludf.DUMMYFUNCTION("""COMPUTED_VALUE"""),"AutoExercise")</f>
        <v>AutoExercise</v>
      </c>
      <c r="AG4" s="25" t="str">
        <f>IFERROR(__xludf.DUMMYFUNCTION("""COMPUTED_VALUE"""),"EditMultipleCloseQuantity")</f>
        <v>EditMultipleCloseQuantity</v>
      </c>
      <c r="AH4" s="25" t="str">
        <f>IFERROR(__xludf.DUMMYFUNCTION("""COMPUTED_VALUE"""),"ManualCloseOrder")</f>
        <v>ManualCloseOrder</v>
      </c>
      <c r="AI4" s="25" t="str">
        <f>IFERROR(__xludf.DUMMYFUNCTION("""COMPUTED_VALUE"""),"PreviewDataWithFilters")</f>
        <v>PreviewDataWithFilters</v>
      </c>
      <c r="AJ4" s="25" t="str">
        <f>IFERROR(__xludf.DUMMYFUNCTION("""COMPUTED_VALUE"""),"CreateClosingTemplate")</f>
        <v>CreateClosingTemplate</v>
      </c>
      <c r="AK4" s="25" t="str">
        <f>IFERROR(__xludf.DUMMYFUNCTION("""COMPUTED_VALUE"""),"CreateUnwindingTemplate")</f>
        <v>CreateUnwindingTemplate</v>
      </c>
      <c r="AL4" s="25" t="str">
        <f>IFERROR(__xludf.DUMMYFUNCTION("""COMPUTED_VALUE"""),"EditTemplate")</f>
        <v>EditTemplate</v>
      </c>
      <c r="AM4" s="25" t="str">
        <f>IFERROR(__xludf.DUMMYFUNCTION("""COMPUTED_VALUE"""),"DeleteTemplate")</f>
        <v>DeleteTemplate</v>
      </c>
      <c r="AN4" s="25" t="str">
        <f>IFERROR(__xludf.DUMMYFUNCTION("""COMPUTED_VALUE"""),"RunTemplate")</f>
        <v>RunTemplate</v>
      </c>
      <c r="AO4" s="25" t="str">
        <f>IFERROR(__xludf.DUMMYFUNCTION("""COMPUTED_VALUE"""),"SelectAccountWiseAsset")</f>
        <v>SelectAccountWiseAsset</v>
      </c>
      <c r="AP4" s="25" t="str">
        <f>IFERROR(__xludf.DUMMYFUNCTION("""COMPUTED_VALUE"""),"VerifyCTData")</f>
        <v>VerifyCTData</v>
      </c>
      <c r="AQ4" s="25" t="str">
        <f>IFERROR(__xludf.DUMMYFUNCTION("""COMPUTED_VALUE"""),"ExerciseAssignmentWithOutSave")</f>
        <v>ExerciseAssignmentWithOutSave</v>
      </c>
      <c r="AR4" s="25" t="str">
        <f>IFERROR(__xludf.DUMMYFUNCTION("""COMPUTED_VALUE"""),"SaveCTData")</f>
        <v>SaveCTData</v>
      </c>
      <c r="AS4" s="25" t="str">
        <f>IFERROR(__xludf.DUMMYFUNCTION("""COMPUTED_VALUE"""),"FilterLongPositionGrid")</f>
        <v>FilterLongPositionGrid</v>
      </c>
      <c r="AT4" s="25" t="str">
        <f>IFERROR(__xludf.DUMMYFUNCTION("""COMPUTED_VALUE"""),"FilterShortPositionGrid")</f>
        <v>FilterShortPositionGrid</v>
      </c>
      <c r="AU4" s="25" t="str">
        <f>IFERROR(__xludf.DUMMYFUNCTION("""COMPUTED_VALUE"""),"FilterClosingGrid")</f>
        <v>FilterClosingGrid</v>
      </c>
      <c r="AV4" s="25" t="str">
        <f>IFERROR(__xludf.DUMMYFUNCTION("""COMPUTED_VALUE"""),"FilterUnexpiredGrid")</f>
        <v>FilterUnexpiredGrid</v>
      </c>
      <c r="AW4" s="25" t="str">
        <f>IFERROR(__xludf.DUMMYFUNCTION("""COMPUTED_VALUE"""),"FilterExpiredGrid")</f>
        <v>FilterExpiredGrid</v>
      </c>
      <c r="AX4" s="25" t="str">
        <f>IFERROR(__xludf.DUMMYFUNCTION("""COMPUTED_VALUE"""),"UnwindAllClosingData")</f>
        <v>UnwindAllClosingData</v>
      </c>
      <c r="AY4" s="25" t="str">
        <f>IFERROR(__xludf.DUMMYFUNCTION("""COMPUTED_VALUE"""),"FilterClosing")</f>
        <v>FilterClosing</v>
      </c>
      <c r="AZ4" s="25" t="str">
        <f>IFERROR(__xludf.DUMMYFUNCTION("""COMPUTED_VALUE"""),"VerifyClosingNavLockPopup")</f>
        <v>VerifyClosingNavLockPopup</v>
      </c>
      <c r="BA4" s="25" t="str">
        <f>IFERROR(__xludf.DUMMYFUNCTION("""COMPUTED_VALUE"""),"VerifyClosingNavLockPopup")</f>
        <v>VerifyClosingNavLockPopup</v>
      </c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 t="str">
        <f>IFERROR(__xludf.DUMMYFUNCTION("""COMPUTED_VALUE"""),"isRowCountCheck")</f>
        <v>isRowCountCheck</v>
      </c>
      <c r="AB5" s="29" t="str">
        <f>IFERROR(__xludf.DUMMYFUNCTION("""COMPUTED_VALUE"""),"MandatoryColumn")</f>
        <v>MandatoryColumn</v>
      </c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48" t="s">
        <v>50</v>
      </c>
      <c r="C6" s="49" t="s">
        <v>34</v>
      </c>
      <c r="D6" s="40"/>
      <c r="E6" s="37"/>
      <c r="F6" s="37"/>
      <c r="G6" s="37"/>
      <c r="H6" s="50">
        <v>498595.0</v>
      </c>
      <c r="I6" s="50">
        <v>130.0</v>
      </c>
      <c r="J6" s="37"/>
      <c r="K6" s="49" t="s">
        <v>60</v>
      </c>
      <c r="L6" s="37"/>
      <c r="M6" s="50">
        <v>5000.0</v>
      </c>
      <c r="N6" s="51" t="s">
        <v>37</v>
      </c>
      <c r="O6" s="37"/>
      <c r="P6" s="49" t="s">
        <v>28</v>
      </c>
      <c r="Q6" s="49" t="s">
        <v>58</v>
      </c>
      <c r="R6" s="49" t="s">
        <v>19</v>
      </c>
      <c r="S6" s="37"/>
      <c r="T6" s="50">
        <v>151405.0</v>
      </c>
      <c r="U6" s="43">
        <f t="shared" ref="U6:U7" si="1">TODAY()</f>
        <v>45861</v>
      </c>
      <c r="V6" s="49" t="s">
        <v>28</v>
      </c>
      <c r="W6" s="49" t="s">
        <v>41</v>
      </c>
      <c r="X6" s="50">
        <v>99.719</v>
      </c>
      <c r="Y6" s="50">
        <v>0.0</v>
      </c>
      <c r="Z6" s="50">
        <v>0.0</v>
      </c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49" t="s">
        <v>52</v>
      </c>
      <c r="C7" s="49" t="s">
        <v>42</v>
      </c>
      <c r="D7" s="37"/>
      <c r="E7" s="37"/>
      <c r="F7" s="37"/>
      <c r="G7" s="37"/>
      <c r="H7" s="50">
        <v>7.44891855E8</v>
      </c>
      <c r="I7" s="50">
        <v>150.0</v>
      </c>
      <c r="J7" s="37"/>
      <c r="K7" s="49" t="s">
        <v>60</v>
      </c>
      <c r="L7" s="37"/>
      <c r="M7" s="50">
        <v>5000.0</v>
      </c>
      <c r="N7" s="49" t="s">
        <v>43</v>
      </c>
      <c r="O7" s="37"/>
      <c r="P7" s="49" t="s">
        <v>28</v>
      </c>
      <c r="Q7" s="49" t="s">
        <v>58</v>
      </c>
      <c r="R7" s="49" t="s">
        <v>27</v>
      </c>
      <c r="S7" s="37"/>
      <c r="T7" s="50">
        <v>5108145.0</v>
      </c>
      <c r="U7" s="43">
        <f t="shared" si="1"/>
        <v>45861</v>
      </c>
      <c r="V7" s="49" t="s">
        <v>28</v>
      </c>
      <c r="W7" s="49" t="s">
        <v>47</v>
      </c>
      <c r="X7" s="50">
        <v>148.978371</v>
      </c>
      <c r="Y7" s="50">
        <v>148.978371</v>
      </c>
      <c r="Z7" s="50">
        <v>150.0</v>
      </c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