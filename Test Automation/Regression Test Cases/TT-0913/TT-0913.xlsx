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TUIAdminPreferences" sheetId="4" r:id="rId6"/>
    <sheet state="visible" name="CreateDoneAwayOrder" sheetId="5" r:id="rId7"/>
    <sheet state="visible" name="VerifyOrder" sheetId="6" r:id="rId8"/>
    <sheet state="visible" name="CustomOrderTT" sheetId="7" r:id="rId9"/>
    <sheet state="visible" name="VerifyTT" sheetId="8" r:id="rId10"/>
  </sheets>
  <definedNames/>
  <calcPr/>
</workbook>
</file>

<file path=xl/sharedStrings.xml><?xml version="1.0" encoding="utf-8"?>
<sst xmlns="http://schemas.openxmlformats.org/spreadsheetml/2006/main" count="61" uniqueCount="30">
  <si>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</si>
  <si>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</si>
  <si>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</si>
  <si>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</si>
  <si>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</si>
  <si>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</si>
  <si>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</si>
  <si>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</si>
  <si>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</si>
  <si>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</si>
  <si>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</si>
  <si>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</si>
  <si>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</si>
  <si>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SetTTUIAdminPreferences</t>
  </si>
  <si>
    <t>Data Format</t>
  </si>
  <si>
    <t>Input Format</t>
  </si>
  <si>
    <t>NULL</t>
  </si>
  <si>
    <t>TradingTicket</t>
  </si>
  <si>
    <t>CreateDoneAwayOrder</t>
  </si>
  <si>
    <t>AAPL</t>
  </si>
  <si>
    <t>Buy</t>
  </si>
  <si>
    <t>MS</t>
  </si>
  <si>
    <t>Blotter</t>
  </si>
  <si>
    <t>VerifyOrder</t>
  </si>
  <si>
    <t>Filled</t>
  </si>
  <si>
    <t>CustomOrderTT</t>
  </si>
  <si>
    <t>MSFT</t>
  </si>
  <si>
    <t>DoneAway</t>
  </si>
  <si>
    <t>Allocation1</t>
  </si>
  <si>
    <t>VerifyTT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</si>
</sst>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IFERROR(__xludf.DUMMYFUNCTION("""COMPUTED_VALUE"""),"Broker")</f>
        <v>Broker</v>
      </c>
      <c r="C5" s="28" t="str">
        <f>IFERROR(__xludf.DUMMYFUNCTION("""COMPUTED_VALUE"""),"Venue")</f>
        <v>Venue</v>
      </c>
      <c r="D5" s="28" t="str">
        <f>IFERROR(__xludf.DUMMYFUNCTION("""COMPUTED_VALUE"""),"TIF")</f>
        <v>TIF</v>
      </c>
      <c r="E5" s="28" t="str">
        <f>IFERROR(__xludf.DUMMYFUNCTION("""COMPUTED_VALUE"""),"Trader")</f>
        <v>Trader</v>
      </c>
      <c r="F5" s="29" t="str">
        <f>IFERROR(__xludf.DUMMYFUNCTION("""COMPUTED_VALUE"""),"ShowHideTargetQuantity")</f>
        <v>ShowHideTargetQuantity</v>
      </c>
      <c r="G5" s="28" t="str">
        <f>IFERROR(__xludf.DUMMYFUNCTION("""COMPUTED_VALUE"""),"SecurityValidationForEquityOption")</f>
        <v>SecurityValidationForEquityOption</v>
      </c>
      <c r="H5" s="28" t="str">
        <f>IFERROR(__xludf.DUMMYFUNCTION("""COMPUTED_VALUE"""),"Order Type")</f>
        <v>Order Type</v>
      </c>
      <c r="I5" s="28" t="str">
        <f>IFERROR(__xludf.DUMMYFUNCTION("""COMPUTED_VALUE"""),"Account")</f>
        <v>Account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13" t="s">
        <v>16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SetTTUIAdminPreferences!$4:$4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20</v>
      </c>
      <c r="D6" s="13">
        <v>100.0</v>
      </c>
      <c r="E6" s="31"/>
      <c r="F6" s="8"/>
      <c r="G6" s="13" t="s">
        <v>21</v>
      </c>
      <c r="H6" s="8"/>
      <c r="I6" s="8"/>
      <c r="J6" s="13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19</v>
      </c>
      <c r="AJ6" s="9" t="s">
        <v>20</v>
      </c>
      <c r="AK6" s="9" t="s">
        <v>24</v>
      </c>
      <c r="AL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13">
        <v>100.0</v>
      </c>
      <c r="D6" s="13">
        <v>2.0</v>
      </c>
      <c r="E6" s="13" t="s">
        <v>27</v>
      </c>
      <c r="F6" s="8"/>
      <c r="G6" s="13" t="b">
        <v>1</v>
      </c>
      <c r="H6" s="8"/>
      <c r="I6" s="8"/>
      <c r="J6" s="13" t="s">
        <v>20</v>
      </c>
      <c r="K6" s="8"/>
      <c r="L6" s="8"/>
      <c r="M6" s="8"/>
      <c r="N6" s="8"/>
      <c r="O6" s="8"/>
      <c r="P6" s="9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IFERROR(__xludf.DUMMYFUNCTION("""COMPUTED_VALUE"""),"MasterFund")</f>
        <v>MasterFund</v>
      </c>
      <c r="AG5" s="30" t="str">
        <f>IFERROR(__xludf.DUMMYFUNCTION("""COMPUTED_VALUE"""),"RoundLotStrip")</f>
        <v>RoundLotStrip</v>
      </c>
      <c r="AH5" s="30" t="str">
        <f>IFERROR(__xludf.DUMMYFUNCTION("""COMPUTED_VALUE"""),"Round Lots")</f>
        <v>Round Lots</v>
      </c>
      <c r="AI5" s="30" t="str">
        <f>IFERROR(__xludf.DUMMYFUNCTION("""COMPUTED_VALUE"""),"Button_Status")</f>
        <v>Button_Status</v>
      </c>
      <c r="AJ5" s="30" t="str">
        <f>IFERROR(__xludf.DUMMYFUNCTION("""COMPUTED_VALUE"""),"Position")</f>
        <v>Position</v>
      </c>
      <c r="AK5" s="30" t="str">
        <f>IFERROR(__xludf.DUMMYFUNCTION("""COMPUTED_VALUE"""),"Symbol Name")</f>
        <v>Symbol Name</v>
      </c>
      <c r="AL5" s="30" t="str">
        <f>IFERROR(__xludf.DUMMYFUNCTION("""COMPUTED_VALUE"""),"Last")</f>
        <v>Last</v>
      </c>
      <c r="AM5" s="30" t="str">
        <f>IFERROR(__xludf.DUMMYFUNCTION("""COMPUTED_VALUE"""),"Change")</f>
        <v>Change</v>
      </c>
      <c r="AN5" s="30" t="str">
        <f>IFERROR(__xludf.DUMMYFUNCTION("""COMPUTED_VALUE"""),"Bid")</f>
        <v>Bid</v>
      </c>
      <c r="AO5" s="30" t="str">
        <f>IFERROR(__xludf.DUMMYFUNCTION("""COMPUTED_VALUE"""),"Ask")</f>
        <v>Ask</v>
      </c>
      <c r="AP5" s="30" t="str">
        <f>IFERROR(__xludf.DUMMYFUNCTION("""COMPUTED_VALUE"""),"Notional(Base)")</f>
        <v>Notional(Base)</v>
      </c>
      <c r="AQ5" s="30" t="str">
        <f>IFERROR(__xludf.DUMMYFUNCTION("""COMPUTED_VALUE"""),"Notional(Local)")</f>
        <v>Notional(Local)</v>
      </c>
      <c r="AR5" s="30" t="str">
        <f>IFERROR(__xludf.DUMMYFUNCTION("""COMPUTED_VALUE"""),"Exposure")</f>
        <v>Exposure</v>
      </c>
      <c r="AS5" s="30" t="str">
        <f>IFERROR(__xludf.DUMMYFUNCTION("""COMPUTED_VALUE"""),"Day P&amp;L")</f>
        <v>Day P&amp;L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13" t="s">
        <v>20</v>
      </c>
      <c r="D6" s="13">
        <v>100.0</v>
      </c>
      <c r="E6" s="31"/>
      <c r="F6" s="13" t="s">
        <v>28</v>
      </c>
      <c r="G6" s="8"/>
      <c r="H6" s="8"/>
      <c r="I6" s="8"/>
      <c r="J6" s="13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