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4" activeTab="6"/>
  </bookViews>
  <sheets>
    <sheet name="_Modules" sheetId="1" r:id="rId1"/>
    <sheet name="_Settings" sheetId="2" r:id="rId2"/>
    <sheet name="_MasterData" sheetId="3" r:id="rId3"/>
    <sheet name="CreateDoneAwayOrder" sheetId="4" r:id="rId4"/>
    <sheet name="VerifyWorkingSubs" sheetId="5" r:id="rId5"/>
    <sheet name="CheckUnallocatedGroups" sheetId="6" r:id="rId6"/>
    <sheet name="CheckPortfolioManagement" sheetId="7" r:id="rId7"/>
    <sheet name="GetDataAllocation" sheetId="8" r:id="rId8"/>
    <sheet name="VerifyOrder" sheetId="9" r:id="rId9"/>
  </sheets>
  <calcPr calcId="145621"/>
</workbook>
</file>

<file path=xl/calcChain.xml><?xml version="1.0" encoding="utf-8"?>
<calcChain xmlns="http://schemas.openxmlformats.org/spreadsheetml/2006/main">
  <c r="BK5" i="7" l="1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FM5" i="7"/>
  <c r="FE5" i="7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AW5" i="7"/>
  <c r="AO5" i="7"/>
  <c r="AG5" i="7"/>
  <c r="Y5" i="7"/>
  <c r="Q5" i="7"/>
  <c r="I5" i="7"/>
  <c r="A5" i="7"/>
  <c r="FG3" i="7"/>
  <c r="EY3" i="7"/>
  <c r="EQ3" i="7"/>
  <c r="EI3" i="7"/>
  <c r="EA3" i="7"/>
  <c r="DS3" i="7"/>
  <c r="DK3" i="7"/>
  <c r="DC3" i="7"/>
  <c r="CU3" i="7"/>
  <c r="CM3" i="7"/>
  <c r="CE3" i="7"/>
  <c r="BW3" i="7"/>
  <c r="BO3" i="7"/>
  <c r="BG3" i="7"/>
  <c r="AY3" i="7"/>
  <c r="AQ3" i="7"/>
  <c r="AI3" i="7"/>
  <c r="AA3" i="7"/>
  <c r="S3" i="7"/>
  <c r="K3" i="7"/>
  <c r="C3" i="7"/>
  <c r="ER5" i="6"/>
  <c r="EJ5" i="6"/>
  <c r="EB5" i="6"/>
  <c r="DT5" i="6"/>
  <c r="DL5" i="6"/>
  <c r="DD5" i="6"/>
  <c r="CV5" i="6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FL5" i="7"/>
  <c r="FD5" i="7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AV5" i="7"/>
  <c r="AN5" i="7"/>
  <c r="AF5" i="7"/>
  <c r="X5" i="7"/>
  <c r="P5" i="7"/>
  <c r="H5" i="7"/>
  <c r="FF3" i="7"/>
  <c r="EX3" i="7"/>
  <c r="EP3" i="7"/>
  <c r="EH3" i="7"/>
  <c r="DZ3" i="7"/>
  <c r="DR3" i="7"/>
  <c r="DJ3" i="7"/>
  <c r="DB3" i="7"/>
  <c r="CT3" i="7"/>
  <c r="CL3" i="7"/>
  <c r="CD3" i="7"/>
  <c r="BV3" i="7"/>
  <c r="BN3" i="7"/>
  <c r="BF3" i="7"/>
  <c r="AX3" i="7"/>
  <c r="AP3" i="7"/>
  <c r="AH3" i="7"/>
  <c r="Z3" i="7"/>
  <c r="R3" i="7"/>
  <c r="J3" i="7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FK5" i="7"/>
  <c r="FC5" i="7"/>
  <c r="EU5" i="7"/>
  <c r="EM5" i="7"/>
  <c r="EE5" i="7"/>
  <c r="DW5" i="7"/>
  <c r="DO5" i="7"/>
  <c r="DG5" i="7"/>
  <c r="CY5" i="7"/>
  <c r="CQ5" i="7"/>
  <c r="CI5" i="7"/>
  <c r="CA5" i="7"/>
  <c r="BS5" i="7"/>
  <c r="BC5" i="7"/>
  <c r="AU5" i="7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FI5" i="7"/>
  <c r="FA5" i="7"/>
  <c r="ES5" i="7"/>
  <c r="EK5" i="7"/>
  <c r="EC5" i="7"/>
  <c r="DU5" i="7"/>
  <c r="DM5" i="7"/>
  <c r="DE5" i="7"/>
  <c r="CW5" i="7"/>
  <c r="CO5" i="7"/>
  <c r="CG5" i="7"/>
  <c r="BY5" i="7"/>
  <c r="BQ5" i="7"/>
  <c r="BI5" i="7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FH5" i="7"/>
  <c r="EZ5" i="7"/>
  <c r="ER5" i="7"/>
  <c r="EJ5" i="7"/>
  <c r="EB5" i="7"/>
  <c r="DT5" i="7"/>
  <c r="DL5" i="7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FG5" i="7"/>
  <c r="EY5" i="7"/>
  <c r="EQ5" i="7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FI3" i="7"/>
  <c r="FA3" i="7"/>
  <c r="ES3" i="7"/>
  <c r="EK3" i="7"/>
  <c r="EC3" i="7"/>
  <c r="DU3" i="7"/>
  <c r="DM3" i="7"/>
  <c r="DE3" i="7"/>
  <c r="CW3" i="7"/>
  <c r="CO3" i="7"/>
  <c r="CG3" i="7"/>
  <c r="BY3" i="7"/>
  <c r="BQ3" i="7"/>
  <c r="BI3" i="7"/>
  <c r="BA3" i="7"/>
  <c r="AS3" i="7"/>
  <c r="AK3" i="7"/>
  <c r="AC3" i="7"/>
  <c r="U3" i="7"/>
  <c r="M3" i="7"/>
  <c r="E3" i="7"/>
  <c r="ET5" i="6"/>
  <c r="EL5" i="6"/>
  <c r="ED5" i="6"/>
  <c r="DV5" i="6"/>
  <c r="DN5" i="6"/>
  <c r="DF5" i="6"/>
  <c r="CX5" i="6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FF5" i="7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AX5" i="7"/>
  <c r="EK4" i="8"/>
  <c r="BY4" i="8"/>
  <c r="M4" i="8"/>
  <c r="DN5" i="7"/>
  <c r="CF5" i="7"/>
  <c r="BA5" i="7"/>
  <c r="AK5" i="7"/>
  <c r="W5" i="7"/>
  <c r="L5" i="7"/>
  <c r="FL3" i="7"/>
  <c r="EZ3" i="7"/>
  <c r="EM3" i="7"/>
  <c r="DY3" i="7"/>
  <c r="DN3" i="7"/>
  <c r="CZ3" i="7"/>
  <c r="CN3" i="7"/>
  <c r="CA3" i="7"/>
  <c r="BM3" i="7"/>
  <c r="BB3" i="7"/>
  <c r="AN3" i="7"/>
  <c r="AB3" i="7"/>
  <c r="O3" i="7"/>
  <c r="B3" i="7"/>
  <c r="EO5" i="6"/>
  <c r="EE5" i="6"/>
  <c r="DS5" i="6"/>
  <c r="DI5" i="6"/>
  <c r="CY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EC4" i="8"/>
  <c r="BQ4" i="8"/>
  <c r="E4" i="8"/>
  <c r="DF5" i="7"/>
  <c r="BZ5" i="7"/>
  <c r="AZ5" i="7"/>
  <c r="AJ5" i="7"/>
  <c r="V5" i="7"/>
  <c r="J5" i="7"/>
  <c r="FK3" i="7"/>
  <c r="EW3" i="7"/>
  <c r="EL3" i="7"/>
  <c r="DX3" i="7"/>
  <c r="DL3" i="7"/>
  <c r="CY3" i="7"/>
  <c r="CK3" i="7"/>
  <c r="BZ3" i="7"/>
  <c r="BL3" i="7"/>
  <c r="AZ3" i="7"/>
  <c r="AM3" i="7"/>
  <c r="Y3" i="7"/>
  <c r="N3" i="7"/>
  <c r="EX5" i="6"/>
  <c r="EN5" i="6"/>
  <c r="EC5" i="6"/>
  <c r="DR5" i="6"/>
  <c r="DH5" i="6"/>
  <c r="CW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DU4" i="8"/>
  <c r="BI4" i="8"/>
  <c r="FJ5" i="7"/>
  <c r="DD5" i="7"/>
  <c r="BX5" i="7"/>
  <c r="AT5" i="7"/>
  <c r="AH5" i="7"/>
  <c r="U5" i="7"/>
  <c r="G5" i="7"/>
  <c r="FJ3" i="7"/>
  <c r="EV3" i="7"/>
  <c r="EJ3" i="7"/>
  <c r="DW3" i="7"/>
  <c r="DI3" i="7"/>
  <c r="CX3" i="7"/>
  <c r="CJ3" i="7"/>
  <c r="BX3" i="7"/>
  <c r="BK3" i="7"/>
  <c r="AW3" i="7"/>
  <c r="AL3" i="7"/>
  <c r="X3" i="7"/>
  <c r="L3" i="7"/>
  <c r="EW5" i="6"/>
  <c r="EM5" i="6"/>
  <c r="EA5" i="6"/>
  <c r="DQ5" i="6"/>
  <c r="DG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DM4" i="8"/>
  <c r="BA4" i="8"/>
  <c r="FB5" i="7"/>
  <c r="CX5" i="7"/>
  <c r="BR5" i="7"/>
  <c r="AS5" i="7"/>
  <c r="AE5" i="7"/>
  <c r="T5" i="7"/>
  <c r="F5" i="7"/>
  <c r="FH3" i="7"/>
  <c r="EU3" i="7"/>
  <c r="EG3" i="7"/>
  <c r="DV3" i="7"/>
  <c r="DH3" i="7"/>
  <c r="CV3" i="7"/>
  <c r="CI3" i="7"/>
  <c r="BU3" i="7"/>
  <c r="BJ3" i="7"/>
  <c r="AV3" i="7"/>
  <c r="AJ3" i="7"/>
  <c r="W3" i="7"/>
  <c r="I3" i="7"/>
  <c r="EV5" i="6"/>
  <c r="EK5" i="6"/>
  <c r="DZ5" i="6"/>
  <c r="DP5" i="6"/>
  <c r="DE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DE4" i="8"/>
  <c r="AS4" i="8"/>
  <c r="ET5" i="7"/>
  <c r="CV5" i="7"/>
  <c r="BP5" i="7"/>
  <c r="AR5" i="7"/>
  <c r="AD5" i="7"/>
  <c r="R5" i="7"/>
  <c r="E5" i="7"/>
  <c r="FE3" i="7"/>
  <c r="ET3" i="7"/>
  <c r="EF3" i="7"/>
  <c r="DT3" i="7"/>
  <c r="DG3" i="7"/>
  <c r="CS3" i="7"/>
  <c r="CH3" i="7"/>
  <c r="BT3" i="7"/>
  <c r="BH3" i="7"/>
  <c r="AU3" i="7"/>
  <c r="AG3" i="7"/>
  <c r="V3" i="7"/>
  <c r="H3" i="7"/>
  <c r="EU5" i="6"/>
  <c r="EI5" i="6"/>
  <c r="DY5" i="6"/>
  <c r="DO5" i="6"/>
  <c r="DC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CW4" i="8"/>
  <c r="AK4" i="8"/>
  <c r="EL5" i="7"/>
  <c r="CP5" i="7"/>
  <c r="BJ5" i="7"/>
  <c r="AP5" i="7"/>
  <c r="AC5" i="7"/>
  <c r="O5" i="7"/>
  <c r="D5" i="7"/>
  <c r="FD3" i="7"/>
  <c r="ER3" i="7"/>
  <c r="EE3" i="7"/>
  <c r="DQ3" i="7"/>
  <c r="DF3" i="7"/>
  <c r="CR3" i="7"/>
  <c r="CF3" i="7"/>
  <c r="BS3" i="7"/>
  <c r="BE3" i="7"/>
  <c r="AT3" i="7"/>
  <c r="AF3" i="7"/>
  <c r="T3" i="7"/>
  <c r="G3" i="7"/>
  <c r="ES5" i="6"/>
  <c r="EH5" i="6"/>
  <c r="DX5" i="6"/>
  <c r="DM5" i="6"/>
  <c r="DB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CO4" i="8"/>
  <c r="AC4" i="8"/>
  <c r="ED5" i="7"/>
  <c r="CN5" i="7"/>
  <c r="BH5" i="7"/>
  <c r="AM5" i="7"/>
  <c r="AB5" i="7"/>
  <c r="N5" i="7"/>
  <c r="B5" i="7"/>
  <c r="FC3" i="7"/>
  <c r="EO3" i="7"/>
  <c r="ED3" i="7"/>
  <c r="DP3" i="7"/>
  <c r="DD3" i="7"/>
  <c r="CQ3" i="7"/>
  <c r="CC3" i="7"/>
  <c r="BR3" i="7"/>
  <c r="BD3" i="7"/>
  <c r="AR3" i="7"/>
  <c r="AE3" i="7"/>
  <c r="Q3" i="7"/>
  <c r="F3" i="7"/>
  <c r="EQ5" i="6"/>
  <c r="EG5" i="6"/>
  <c r="DW5" i="6"/>
  <c r="DK5" i="6"/>
  <c r="DA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CG4" i="8"/>
  <c r="U4" i="8"/>
  <c r="DV5" i="7"/>
  <c r="CH5" i="7"/>
  <c r="BB5" i="7"/>
  <c r="AL5" i="7"/>
  <c r="Z5" i="7"/>
  <c r="M5" i="7"/>
  <c r="FM3" i="7"/>
  <c r="FB3" i="7"/>
  <c r="EN3" i="7"/>
  <c r="EB3" i="7"/>
  <c r="DO3" i="7"/>
  <c r="DA3" i="7"/>
  <c r="CP3" i="7"/>
  <c r="CB3" i="7"/>
  <c r="BP3" i="7"/>
  <c r="BC3" i="7"/>
  <c r="AO3" i="7"/>
  <c r="AD3" i="7"/>
  <c r="P3" i="7"/>
  <c r="D3" i="7"/>
  <c r="EP5" i="6"/>
  <c r="EF5" i="6"/>
  <c r="DU5" i="6"/>
  <c r="DJ5" i="6"/>
  <c r="CZ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EK4" i="4"/>
  <c r="CW4" i="4"/>
  <c r="BU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EC4" i="4"/>
  <c r="CS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DU4" i="4"/>
  <c r="CO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DQ4" i="4"/>
  <c r="CK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DM4" i="4"/>
  <c r="CG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DI4" i="4"/>
  <c r="CC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DE4" i="4"/>
  <c r="BY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DA4" i="4"/>
  <c r="BV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L927" i="3"/>
  <c r="G926" i="3"/>
  <c r="E925" i="3"/>
  <c r="F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848" i="3"/>
  <c r="G847" i="3"/>
  <c r="K846" i="3"/>
  <c r="C846" i="3"/>
  <c r="G845" i="3"/>
  <c r="K844" i="3"/>
  <c r="C844" i="3"/>
  <c r="G843" i="3"/>
  <c r="K842" i="3"/>
  <c r="C842" i="3"/>
  <c r="G841" i="3"/>
  <c r="K927" i="3"/>
  <c r="F926" i="3"/>
  <c r="D925" i="3"/>
  <c r="E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927" i="3"/>
  <c r="E926" i="3"/>
  <c r="C925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D927" i="3"/>
  <c r="A926" i="3"/>
  <c r="B925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C927" i="3"/>
  <c r="L925" i="3"/>
  <c r="A925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B927" i="3"/>
  <c r="K925" i="3"/>
  <c r="I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I926" i="3"/>
  <c r="J925" i="3"/>
  <c r="H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H926" i="3"/>
  <c r="I925" i="3"/>
  <c r="G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F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E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D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K423" i="3"/>
  <c r="G422" i="3"/>
  <c r="I421" i="3"/>
  <c r="J420" i="3"/>
  <c r="A420" i="3"/>
  <c r="D419" i="3"/>
  <c r="G418" i="3"/>
  <c r="J417" i="3"/>
  <c r="A417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E423" i="3"/>
  <c r="F422" i="3"/>
  <c r="F421" i="3"/>
  <c r="I420" i="3"/>
  <c r="L419" i="3"/>
  <c r="C419" i="3"/>
  <c r="F418" i="3"/>
  <c r="I417" i="3"/>
  <c r="L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423" i="3"/>
  <c r="E422" i="3"/>
  <c r="E421" i="3"/>
  <c r="H420" i="3"/>
  <c r="K419" i="3"/>
  <c r="B419" i="3"/>
  <c r="E418" i="3"/>
  <c r="H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B423" i="3"/>
  <c r="B422" i="3"/>
  <c r="D421" i="3"/>
  <c r="G420" i="3"/>
  <c r="J419" i="3"/>
  <c r="A419" i="3"/>
  <c r="D418" i="3"/>
  <c r="F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423" i="3"/>
  <c r="A422" i="3"/>
  <c r="C421" i="3"/>
  <c r="F420" i="3"/>
  <c r="I419" i="3"/>
  <c r="L418" i="3"/>
  <c r="B418" i="3"/>
  <c r="E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J422" i="3"/>
  <c r="L421" i="3"/>
  <c r="B421" i="3"/>
  <c r="E420" i="3"/>
  <c r="H419" i="3"/>
  <c r="J418" i="3"/>
  <c r="A418" i="3"/>
  <c r="D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I422" i="3"/>
  <c r="K421" i="3"/>
  <c r="A421" i="3"/>
  <c r="D420" i="3"/>
  <c r="F419" i="3"/>
  <c r="I418" i="3"/>
  <c r="L417" i="3"/>
  <c r="C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H422" i="3"/>
  <c r="J421" i="3"/>
  <c r="L420" i="3"/>
  <c r="B420" i="3"/>
  <c r="E419" i="3"/>
  <c r="H418" i="3"/>
  <c r="K417" i="3"/>
  <c r="B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J272" i="3"/>
  <c r="F267" i="3"/>
  <c r="G262" i="3"/>
  <c r="K259" i="3"/>
  <c r="B258" i="3"/>
  <c r="D257" i="3"/>
  <c r="G256" i="3"/>
  <c r="J255" i="3"/>
  <c r="A255" i="3"/>
  <c r="D254" i="3"/>
  <c r="G253" i="3"/>
  <c r="J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B272" i="3"/>
  <c r="J266" i="3"/>
  <c r="B262" i="3"/>
  <c r="F259" i="3"/>
  <c r="L257" i="3"/>
  <c r="C257" i="3"/>
  <c r="F256" i="3"/>
  <c r="I255" i="3"/>
  <c r="L254" i="3"/>
  <c r="C254" i="3"/>
  <c r="F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F271" i="3"/>
  <c r="B266" i="3"/>
  <c r="K261" i="3"/>
  <c r="C259" i="3"/>
  <c r="K257" i="3"/>
  <c r="B257" i="3"/>
  <c r="E256" i="3"/>
  <c r="H255" i="3"/>
  <c r="K254" i="3"/>
  <c r="B254" i="3"/>
  <c r="D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J270" i="3"/>
  <c r="F265" i="3"/>
  <c r="F261" i="3"/>
  <c r="J258" i="3"/>
  <c r="J257" i="3"/>
  <c r="A257" i="3"/>
  <c r="D256" i="3"/>
  <c r="G255" i="3"/>
  <c r="J254" i="3"/>
  <c r="L253" i="3"/>
  <c r="C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B270" i="3"/>
  <c r="J264" i="3"/>
  <c r="C261" i="3"/>
  <c r="G258" i="3"/>
  <c r="I257" i="3"/>
  <c r="L256" i="3"/>
  <c r="C256" i="3"/>
  <c r="F255" i="3"/>
  <c r="H254" i="3"/>
  <c r="K253" i="3"/>
  <c r="B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F269" i="3"/>
  <c r="B264" i="3"/>
  <c r="J260" i="3"/>
  <c r="F258" i="3"/>
  <c r="H257" i="3"/>
  <c r="K256" i="3"/>
  <c r="B256" i="3"/>
  <c r="D255" i="3"/>
  <c r="G254" i="3"/>
  <c r="J253" i="3"/>
  <c r="A253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J268" i="3"/>
  <c r="F263" i="3"/>
  <c r="G260" i="3"/>
  <c r="E258" i="3"/>
  <c r="G257" i="3"/>
  <c r="J256" i="3"/>
  <c r="L255" i="3"/>
  <c r="C255" i="3"/>
  <c r="F254" i="3"/>
  <c r="I253" i="3"/>
  <c r="L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B268" i="3"/>
  <c r="J262" i="3"/>
  <c r="B260" i="3"/>
  <c r="C258" i="3"/>
  <c r="F257" i="3"/>
  <c r="H256" i="3"/>
  <c r="K255" i="3"/>
  <c r="B255" i="3"/>
  <c r="E254" i="3"/>
  <c r="H253" i="3"/>
  <c r="K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K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G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F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921" i="1"/>
  <c r="D921" i="1"/>
  <c r="H920" i="1"/>
  <c r="L919" i="1"/>
  <c r="D919" i="1"/>
  <c r="H918" i="1"/>
  <c r="L917" i="1"/>
  <c r="D917" i="1"/>
  <c r="H916" i="1"/>
  <c r="L915" i="1"/>
  <c r="D915" i="1"/>
  <c r="H914" i="1"/>
  <c r="L913" i="1"/>
  <c r="D913" i="1"/>
  <c r="H912" i="1"/>
  <c r="L911" i="1"/>
  <c r="D911" i="1"/>
  <c r="H910" i="1"/>
  <c r="L909" i="1"/>
  <c r="D909" i="1"/>
  <c r="H908" i="1"/>
  <c r="L907" i="1"/>
  <c r="D907" i="1"/>
  <c r="H906" i="1"/>
  <c r="L905" i="1"/>
  <c r="D905" i="1"/>
  <c r="H904" i="1"/>
  <c r="L903" i="1"/>
  <c r="D903" i="1"/>
  <c r="H902" i="1"/>
  <c r="L901" i="1"/>
  <c r="D901" i="1"/>
  <c r="H900" i="1"/>
  <c r="L899" i="1"/>
  <c r="D899" i="1"/>
  <c r="H898" i="1"/>
  <c r="L897" i="1"/>
  <c r="D897" i="1"/>
  <c r="H896" i="1"/>
  <c r="L895" i="1"/>
  <c r="D895" i="1"/>
  <c r="H894" i="1"/>
  <c r="L893" i="1"/>
  <c r="D893" i="1"/>
  <c r="H892" i="1"/>
  <c r="L891" i="1"/>
  <c r="D891" i="1"/>
  <c r="H890" i="1"/>
  <c r="L889" i="1"/>
  <c r="D889" i="1"/>
  <c r="H888" i="1"/>
  <c r="L887" i="1"/>
  <c r="D887" i="1"/>
  <c r="H886" i="1"/>
  <c r="L885" i="1"/>
  <c r="D885" i="1"/>
  <c r="H884" i="1"/>
  <c r="L883" i="1"/>
  <c r="D883" i="1"/>
  <c r="H882" i="1"/>
  <c r="L881" i="1"/>
  <c r="D881" i="1"/>
  <c r="H880" i="1"/>
  <c r="L879" i="1"/>
  <c r="D879" i="1"/>
  <c r="H878" i="1"/>
  <c r="L877" i="1"/>
  <c r="D877" i="1"/>
  <c r="H876" i="1"/>
  <c r="L875" i="1"/>
  <c r="D875" i="1"/>
  <c r="H874" i="1"/>
  <c r="L873" i="1"/>
  <c r="D873" i="1"/>
  <c r="H872" i="1"/>
  <c r="L871" i="1"/>
  <c r="D871" i="1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C668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B668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J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I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F497" i="1"/>
  <c r="H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E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D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B497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A497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L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J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I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B4" i="1"/>
  <c r="F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E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B326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A326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E4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J4" i="7" l="1"/>
  <c r="J2" i="9"/>
  <c r="J2" i="8"/>
  <c r="J2" i="5"/>
  <c r="J2" i="6"/>
  <c r="J2" i="4"/>
</calcChain>
</file>

<file path=xl/sharedStrings.xml><?xml version="1.0" encoding="utf-8"?>
<sst xmlns="http://schemas.openxmlformats.org/spreadsheetml/2006/main" count="130" uniqueCount="35">
  <si>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</si>
  <si>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</si>
  <si>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</si>
  <si>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</si>
  <si>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</si>
  <si>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</si>
  <si>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</si>
  <si>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</si>
  <si>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</si>
  <si>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</si>
  <si>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</si>
  <si>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</si>
  <si>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</si>
  <si>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</si>
  <si>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</si>
  <si>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</si>
  <si>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H9C700</t>
  </si>
  <si>
    <t>Buy to Close</t>
  </si>
  <si>
    <t>Unallocated</t>
  </si>
  <si>
    <t>Market</t>
  </si>
  <si>
    <t>Sell to Open</t>
  </si>
  <si>
    <t>Buy to Open</t>
  </si>
  <si>
    <t>Sell to Close</t>
  </si>
  <si>
    <t>Blotter</t>
  </si>
  <si>
    <t>VerifyWorkingSubs</t>
  </si>
  <si>
    <t>Filled</t>
  </si>
  <si>
    <t>-</t>
  </si>
  <si>
    <t>Allocation</t>
  </si>
  <si>
    <t>CheckUnallocatedGroups</t>
  </si>
  <si>
    <t>PortfolioManagement</t>
  </si>
  <si>
    <t>CheckPortfolioManagement</t>
  </si>
  <si>
    <t>Long</t>
  </si>
  <si>
    <t>GetDataAllocation</t>
  </si>
  <si>
    <t>Current</t>
  </si>
  <si>
    <t>VerifyOrder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</si>
</sst>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3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3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3" t="s">
        <v>0</v>
      </c>
      <c r="B1" s="34"/>
      <c r="C1" s="34"/>
      <c r="D1" s="34"/>
      <c r="E1" s="34"/>
      <c r="F1" s="35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6" t="s">
        <v>2</v>
      </c>
      <c r="B1" s="34"/>
      <c r="C1" s="35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3" t="s">
        <v>7</v>
      </c>
      <c r="B1" s="34"/>
      <c r="C1" s="34"/>
      <c r="D1" s="34"/>
      <c r="E1" s="34"/>
      <c r="F1" s="35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5" t="s">
        <v>16</v>
      </c>
      <c r="C6" s="26" t="s">
        <v>17</v>
      </c>
      <c r="D6" s="27">
        <v>500</v>
      </c>
      <c r="E6" s="28">
        <v>500</v>
      </c>
      <c r="F6" s="26" t="s">
        <v>18</v>
      </c>
      <c r="G6" s="29"/>
      <c r="H6" s="29"/>
      <c r="I6" s="29" t="s">
        <v>19</v>
      </c>
      <c r="J6" s="28">
        <v>50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spans="1:154" ht="15.75" customHeight="1" x14ac:dyDescent="0.2">
      <c r="A7" s="29"/>
      <c r="B7" s="29" t="s">
        <v>16</v>
      </c>
      <c r="C7" s="26" t="s">
        <v>20</v>
      </c>
      <c r="D7" s="28">
        <v>500</v>
      </c>
      <c r="E7" s="28">
        <v>500</v>
      </c>
      <c r="F7" s="26" t="s">
        <v>18</v>
      </c>
      <c r="G7" s="29"/>
      <c r="H7" s="29"/>
      <c r="I7" s="29" t="s">
        <v>19</v>
      </c>
      <c r="J7" s="28">
        <v>50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</row>
    <row r="8" spans="1:154" ht="15.75" customHeight="1" x14ac:dyDescent="0.2">
      <c r="A8" s="29"/>
      <c r="B8" s="29" t="s">
        <v>16</v>
      </c>
      <c r="C8" s="26" t="s">
        <v>21</v>
      </c>
      <c r="D8" s="28">
        <v>500</v>
      </c>
      <c r="E8" s="28">
        <v>500</v>
      </c>
      <c r="F8" s="26" t="s">
        <v>18</v>
      </c>
      <c r="G8" s="29"/>
      <c r="H8" s="29"/>
      <c r="I8" s="29" t="s">
        <v>19</v>
      </c>
      <c r="J8" s="28">
        <v>50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</row>
    <row r="9" spans="1:154" ht="15.75" customHeight="1" x14ac:dyDescent="0.2">
      <c r="A9" s="29"/>
      <c r="B9" s="29" t="s">
        <v>16</v>
      </c>
      <c r="C9" s="26" t="s">
        <v>22</v>
      </c>
      <c r="D9" s="28">
        <v>500</v>
      </c>
      <c r="E9" s="28">
        <v>500</v>
      </c>
      <c r="F9" s="26" t="s">
        <v>18</v>
      </c>
      <c r="G9" s="29"/>
      <c r="H9" s="29"/>
      <c r="I9" s="29" t="s">
        <v>19</v>
      </c>
      <c r="J9" s="28">
        <v>50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9" t="s">
        <v>16</v>
      </c>
      <c r="C6" s="30" t="s">
        <v>17</v>
      </c>
      <c r="D6" s="27">
        <v>500</v>
      </c>
      <c r="E6" s="28">
        <v>500</v>
      </c>
      <c r="G6" s="6" t="s">
        <v>25</v>
      </c>
      <c r="H6" s="29"/>
      <c r="I6" s="29"/>
      <c r="J6" s="29"/>
      <c r="K6" s="29"/>
      <c r="L6" s="29" t="s">
        <v>26</v>
      </c>
      <c r="M6" s="29" t="s">
        <v>19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spans="1:154" ht="15.75" customHeight="1" x14ac:dyDescent="0.2">
      <c r="A7" s="29"/>
      <c r="B7" s="29" t="s">
        <v>16</v>
      </c>
      <c r="C7" s="26" t="s">
        <v>20</v>
      </c>
      <c r="D7" s="28">
        <v>500</v>
      </c>
      <c r="E7" s="28">
        <v>500</v>
      </c>
      <c r="G7" s="6" t="s">
        <v>25</v>
      </c>
      <c r="H7" s="29"/>
      <c r="I7" s="29"/>
      <c r="J7" s="29"/>
      <c r="K7" s="29"/>
      <c r="L7" s="29" t="s">
        <v>26</v>
      </c>
      <c r="M7" s="29" t="s">
        <v>19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</row>
    <row r="8" spans="1:154" ht="15.75" customHeight="1" x14ac:dyDescent="0.2">
      <c r="A8" s="29"/>
      <c r="B8" s="29" t="s">
        <v>16</v>
      </c>
      <c r="C8" s="26" t="s">
        <v>21</v>
      </c>
      <c r="D8" s="28">
        <v>500</v>
      </c>
      <c r="E8" s="28">
        <v>500</v>
      </c>
      <c r="G8" s="6" t="s">
        <v>25</v>
      </c>
      <c r="H8" s="29"/>
      <c r="I8" s="29"/>
      <c r="J8" s="29"/>
      <c r="K8" s="29"/>
      <c r="L8" s="29" t="s">
        <v>26</v>
      </c>
      <c r="M8" s="29" t="s">
        <v>19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</row>
    <row r="9" spans="1:154" ht="15.75" customHeight="1" x14ac:dyDescent="0.2">
      <c r="A9" s="29"/>
      <c r="B9" s="29" t="s">
        <v>16</v>
      </c>
      <c r="C9" s="26" t="s">
        <v>22</v>
      </c>
      <c r="D9" s="28">
        <v>500</v>
      </c>
      <c r="E9" s="28">
        <v>500</v>
      </c>
      <c r="G9" s="6" t="s">
        <v>25</v>
      </c>
      <c r="H9" s="29"/>
      <c r="I9" s="29"/>
      <c r="J9" s="29"/>
      <c r="K9" s="29"/>
      <c r="L9" s="29" t="s">
        <v>26</v>
      </c>
      <c r="M9" s="29" t="s">
        <v>19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1c7aP-E18Fb8lEVGiXac03BLoNVdUNRzodD2Xjn-9pzU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25"/>
      <c r="B6" s="25"/>
      <c r="C6" s="29"/>
      <c r="D6" s="25"/>
      <c r="E6" s="29"/>
      <c r="F6" s="29"/>
      <c r="G6" s="29"/>
      <c r="H6" s="29"/>
      <c r="I6" s="29"/>
      <c r="J6" s="29"/>
      <c r="K6" s="28">
        <v>50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8">
        <v>500</v>
      </c>
      <c r="AF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 t="s">
        <v>19</v>
      </c>
      <c r="AZ6" s="29"/>
      <c r="BA6" s="29"/>
      <c r="BC6" s="29"/>
      <c r="BD6" s="29"/>
      <c r="BE6" s="29"/>
      <c r="BF6" s="29"/>
      <c r="BG6" s="29"/>
      <c r="BH6" s="29"/>
      <c r="BI6" s="29"/>
      <c r="BJ6" s="28">
        <v>500</v>
      </c>
      <c r="BK6" s="29"/>
      <c r="BL6" s="29"/>
      <c r="BN6" s="29"/>
      <c r="BO6" s="26" t="s">
        <v>17</v>
      </c>
      <c r="BP6" s="29"/>
      <c r="BQ6" s="29"/>
      <c r="BR6" s="29"/>
      <c r="BS6" s="29" t="s">
        <v>16</v>
      </c>
      <c r="BT6" s="29"/>
      <c r="BV6" s="29"/>
      <c r="BW6" s="29"/>
      <c r="BX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</row>
    <row r="7" spans="1:154" ht="15.75" customHeight="1" x14ac:dyDescent="0.2">
      <c r="A7" s="29"/>
      <c r="B7" s="29"/>
      <c r="C7" s="29"/>
      <c r="D7" s="29"/>
      <c r="E7" s="29"/>
      <c r="F7" s="29"/>
      <c r="G7" s="29"/>
      <c r="H7" s="29"/>
      <c r="I7" s="29"/>
      <c r="J7" s="29"/>
      <c r="K7" s="28">
        <v>50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8">
        <v>500</v>
      </c>
      <c r="AF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 t="s">
        <v>19</v>
      </c>
      <c r="AZ7" s="29"/>
      <c r="BA7" s="29"/>
      <c r="BC7" s="29"/>
      <c r="BD7" s="29"/>
      <c r="BE7" s="29"/>
      <c r="BF7" s="29"/>
      <c r="BG7" s="29"/>
      <c r="BH7" s="29"/>
      <c r="BI7" s="29"/>
      <c r="BJ7" s="28">
        <v>500</v>
      </c>
      <c r="BK7" s="29"/>
      <c r="BL7" s="29"/>
      <c r="BN7" s="29"/>
      <c r="BO7" s="26" t="s">
        <v>20</v>
      </c>
      <c r="BP7" s="29"/>
      <c r="BQ7" s="29"/>
      <c r="BR7" s="29"/>
      <c r="BS7" s="29" t="s">
        <v>16</v>
      </c>
      <c r="BT7" s="29"/>
      <c r="BV7" s="29"/>
      <c r="BW7" s="29"/>
      <c r="BX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</row>
    <row r="8" spans="1:154" ht="15.75" customHeight="1" x14ac:dyDescent="0.2">
      <c r="A8" s="29"/>
      <c r="B8" s="29"/>
      <c r="C8" s="29"/>
      <c r="D8" s="29"/>
      <c r="E8" s="29"/>
      <c r="F8" s="29"/>
      <c r="G8" s="29"/>
      <c r="H8" s="29"/>
      <c r="I8" s="29"/>
      <c r="J8" s="29"/>
      <c r="K8" s="28">
        <v>50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8">
        <v>500</v>
      </c>
      <c r="AF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 t="s">
        <v>19</v>
      </c>
      <c r="AZ8" s="29"/>
      <c r="BA8" s="29"/>
      <c r="BC8" s="29"/>
      <c r="BD8" s="29"/>
      <c r="BE8" s="29"/>
      <c r="BF8" s="29"/>
      <c r="BG8" s="29"/>
      <c r="BH8" s="29"/>
      <c r="BI8" s="29"/>
      <c r="BJ8" s="28">
        <v>500</v>
      </c>
      <c r="BK8" s="29"/>
      <c r="BL8" s="29"/>
      <c r="BN8" s="29"/>
      <c r="BO8" s="26" t="s">
        <v>21</v>
      </c>
      <c r="BP8" s="29"/>
      <c r="BQ8" s="29"/>
      <c r="BR8" s="29"/>
      <c r="BS8" s="29" t="s">
        <v>16</v>
      </c>
      <c r="BT8" s="29"/>
      <c r="BV8" s="29"/>
      <c r="BW8" s="29"/>
      <c r="BX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</row>
    <row r="9" spans="1:154" ht="15.75" customHeight="1" x14ac:dyDescent="0.2">
      <c r="A9" s="29"/>
      <c r="B9" s="29"/>
      <c r="C9" s="29"/>
      <c r="D9" s="29"/>
      <c r="E9" s="29"/>
      <c r="F9" s="29"/>
      <c r="G9" s="29"/>
      <c r="H9" s="29"/>
      <c r="I9" s="29"/>
      <c r="J9" s="29"/>
      <c r="K9" s="28">
        <v>50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8">
        <v>500</v>
      </c>
      <c r="AF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 t="s">
        <v>19</v>
      </c>
      <c r="AZ9" s="29"/>
      <c r="BA9" s="29"/>
      <c r="BC9" s="29"/>
      <c r="BD9" s="29"/>
      <c r="BE9" s="29"/>
      <c r="BF9" s="29"/>
      <c r="BG9" s="29"/>
      <c r="BH9" s="29"/>
      <c r="BI9" s="29"/>
      <c r="BJ9" s="28">
        <v>500</v>
      </c>
      <c r="BK9" s="29"/>
      <c r="BL9" s="29"/>
      <c r="BN9" s="29"/>
      <c r="BO9" s="26" t="s">
        <v>22</v>
      </c>
      <c r="BP9" s="29"/>
      <c r="BQ9" s="29"/>
      <c r="BR9" s="29"/>
      <c r="BS9" s="29" t="s">
        <v>16</v>
      </c>
      <c r="BT9" s="29"/>
      <c r="BV9" s="29"/>
      <c r="BW9" s="29"/>
      <c r="BX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A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 x14ac:dyDescent="0.2">
      <c r="A2" s="16"/>
      <c r="B2" s="2" t="s">
        <v>8</v>
      </c>
      <c r="C2" s="17" t="s">
        <v>29</v>
      </c>
      <c r="D2" s="2" t="s">
        <v>9</v>
      </c>
      <c r="E2" s="17" t="s">
        <v>30</v>
      </c>
      <c r="F2" s="2" t="s">
        <v>14</v>
      </c>
      <c r="G2" s="9" t="s">
        <v>15</v>
      </c>
      <c r="H2" s="2"/>
      <c r="I2" s="16"/>
      <c r="J2" s="16"/>
      <c r="K2" s="16"/>
      <c r="L2" s="16"/>
      <c r="M2" s="16"/>
      <c r="N2" s="16"/>
      <c r="O2" s="16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</row>
    <row r="3" spans="1:169" ht="15.75" customHeight="1" x14ac:dyDescent="0.2">
      <c r="A3" s="19"/>
      <c r="B3" s="19" t="str">
        <f ca="1">IFERROR(__xludf.DUMMYFUNCTION("IF(C2="""","""",Transpose(IMPORTRANGE('_Settings'!$B$3,C2&amp;""!A4:A1000"")))"),"CheckDashboardPM")</f>
        <v>CheckDashboardPM</v>
      </c>
      <c r="C3" s="19" t="str">
        <f ca="1">IFERROR(__xludf.DUMMYFUNCTION("""COMPUTED_VALUE"""),"CheckPortfolioManagement")</f>
        <v>CheckPortfolioManagement</v>
      </c>
      <c r="D3" s="19" t="str">
        <f ca="1">IFERROR(__xludf.DUMMYFUNCTION("""COMPUTED_VALUE"""),"OpenPSTFromPM")</f>
        <v>OpenPSTFromPM</v>
      </c>
      <c r="E3" s="19" t="str">
        <f ca="1">IFERROR(__xludf.DUMMYFUNCTION("""COMPUTED_VALUE"""),"ClosePM")</f>
        <v>ClosePM</v>
      </c>
      <c r="F3" s="19" t="str">
        <f ca="1">IFERROR(__xludf.DUMMYFUNCTION("""COMPUTED_VALUE"""),"FilterPM")</f>
        <v>FilterPM</v>
      </c>
      <c r="G3" s="19" t="str">
        <f ca="1">IFERROR(__xludf.DUMMYFUNCTION("""COMPUTED_VALUE"""),"GroupRowPM")</f>
        <v>GroupRowPM</v>
      </c>
      <c r="H3" s="19" t="str">
        <f ca="1">IFERROR(__xludf.DUMMYFUNCTION("""COMPUTED_VALUE"""),"CheckDashboardWithPM")</f>
        <v>CheckDashboardWithPM</v>
      </c>
      <c r="I3" s="19" t="str">
        <f ca="1">IFERROR(__xludf.DUMMYFUNCTION("""COMPUTED_VALUE"""),"RemoveFilterPM")</f>
        <v>RemoveFilterPM</v>
      </c>
      <c r="J3" s="19" t="str">
        <f ca="1">IFERROR(__xludf.DUMMYFUNCTION("""COMPUTED_VALUE"""),"CheckSummaryRowsPM")</f>
        <v>CheckSummaryRowsPM</v>
      </c>
      <c r="K3" s="19" t="str">
        <f ca="1">IFERROR(__xludf.DUMMYFUNCTION("""COMPUTED_VALUE"""),"OpenPTTFromPM")</f>
        <v>OpenPTTFromPM</v>
      </c>
      <c r="L3" s="19" t="str">
        <f ca="1">IFERROR(__xludf.DUMMYFUNCTION("""COMPUTED_VALUE"""),"OpenCreateTransactionFromPM")</f>
        <v>OpenCreateTransactionFromPM</v>
      </c>
      <c r="M3" s="19" t="str">
        <f ca="1">IFERROR(__xludf.DUMMYFUNCTION("""COMPUTED_VALUE"""),"OpenClosingFromPM")</f>
        <v>OpenClosingFromPM</v>
      </c>
      <c r="N3" s="19" t="str">
        <f ca="1">IFERROR(__xludf.DUMMYFUNCTION("""COMPUTED_VALUE"""),"OpenCorporateActionFromPM")</f>
        <v>OpenCorporateActionFromPM</v>
      </c>
      <c r="O3" s="19" t="str">
        <f ca="1">IFERROR(__xludf.DUMMYFUNCTION("""COMPUTED_VALUE"""),"OpenDailyValuationFromPM")</f>
        <v>OpenDailyValuationFromPM</v>
      </c>
      <c r="P3" s="20" t="str">
        <f ca="1">IFERROR(__xludf.DUMMYFUNCTION("""COMPUTED_VALUE"""),"ClosePositionFromPM")</f>
        <v>ClosePositionFromPM</v>
      </c>
      <c r="Q3" s="20" t="str">
        <f ca="1">IFERROR(__xludf.DUMMYFUNCTION("""COMPUTED_VALUE"""),"ShowSummaryToolFromPM")</f>
        <v>ShowSummaryToolFromPM</v>
      </c>
      <c r="R3" s="20" t="str">
        <f ca="1">IFERROR(__xludf.DUMMYFUNCTION("""COMPUTED_VALUE"""),"HideSummaryToolFromPM")</f>
        <v>HideSummaryToolFromPM</v>
      </c>
      <c r="S3" s="20" t="str">
        <f ca="1">IFERROR(__xludf.DUMMYFUNCTION("""COMPUTED_VALUE"""),"CloseAccountPositionFromPM")</f>
        <v>CloseAccountPositionFromPM</v>
      </c>
      <c r="T3" s="20" t="str">
        <f ca="1">IFERROR(__xludf.DUMMYFUNCTION("""COMPUTED_VALUE"""),"CloseSelectedTaxlotsFromPM")</f>
        <v>CloseSelectedTaxlotsFromPM</v>
      </c>
      <c r="U3" s="20" t="str">
        <f ca="1">IFERROR(__xludf.DUMMYFUNCTION("""COMPUTED_VALUE"""),"ExpandCollapsePM")</f>
        <v>ExpandCollapsePM</v>
      </c>
      <c r="V3" s="20" t="str">
        <f ca="1">IFERROR(__xludf.DUMMYFUNCTION("""COMPUTED_VALUE"""),"AddCustomViewPM")</f>
        <v>AddCustomViewPM</v>
      </c>
      <c r="W3" s="20" t="str">
        <f ca="1">IFERROR(__xludf.DUMMYFUNCTION("""COMPUTED_VALUE"""),"AddCustomViewRightClickPM")</f>
        <v>AddCustomViewRightClickPM</v>
      </c>
      <c r="X3" s="20" t="str">
        <f ca="1">IFERROR(__xludf.DUMMYFUNCTION("""COMPUTED_VALUE"""),"RenameCustomViewPM")</f>
        <v>RenameCustomViewPM</v>
      </c>
      <c r="Y3" s="20" t="str">
        <f ca="1">IFERROR(__xludf.DUMMYFUNCTION("""COMPUTED_VALUE"""),"DeleteCustomViewPM")</f>
        <v>DeleteCustomViewPM</v>
      </c>
      <c r="Z3" s="20" t="str">
        <f ca="1">IFERROR(__xludf.DUMMYFUNCTION("""COMPUTED_VALUE"""),"")</f>
        <v/>
      </c>
      <c r="AA3" s="20" t="str">
        <f ca="1">IFERROR(__xludf.DUMMYFUNCTION("""COMPUTED_VALUE"""),"")</f>
        <v/>
      </c>
      <c r="AB3" s="20" t="str">
        <f ca="1">IFERROR(__xludf.DUMMYFUNCTION("""COMPUTED_VALUE"""),"")</f>
        <v/>
      </c>
      <c r="AC3" s="20" t="str">
        <f ca="1">IFERROR(__xludf.DUMMYFUNCTION("""COMPUTED_VALUE"""),"")</f>
        <v/>
      </c>
      <c r="AD3" s="20" t="str">
        <f ca="1">IFERROR(__xludf.DUMMYFUNCTION("""COMPUTED_VALUE"""),"")</f>
        <v/>
      </c>
      <c r="AE3" s="20" t="str">
        <f ca="1">IFERROR(__xludf.DUMMYFUNCTION("""COMPUTED_VALUE"""),"")</f>
        <v/>
      </c>
      <c r="AF3" s="20" t="str">
        <f ca="1">IFERROR(__xludf.DUMMYFUNCTION("""COMPUTED_VALUE"""),"")</f>
        <v/>
      </c>
      <c r="AG3" s="20" t="str">
        <f ca="1">IFERROR(__xludf.DUMMYFUNCTION("""COMPUTED_VALUE"""),"")</f>
        <v/>
      </c>
      <c r="AH3" s="20" t="str">
        <f ca="1">IFERROR(__xludf.DUMMYFUNCTION("""COMPUTED_VALUE"""),"")</f>
        <v/>
      </c>
      <c r="AI3" s="20" t="str">
        <f ca="1">IFERROR(__xludf.DUMMYFUNCTION("""COMPUTED_VALUE"""),"")</f>
        <v/>
      </c>
      <c r="AJ3" s="20" t="str">
        <f ca="1">IFERROR(__xludf.DUMMYFUNCTION("""COMPUTED_VALUE"""),"")</f>
        <v/>
      </c>
      <c r="AK3" s="20" t="str">
        <f ca="1">IFERROR(__xludf.DUMMYFUNCTION("""COMPUTED_VALUE"""),"")</f>
        <v/>
      </c>
      <c r="AL3" s="20" t="str">
        <f ca="1">IFERROR(__xludf.DUMMYFUNCTION("""COMPUTED_VALUE"""),"")</f>
        <v/>
      </c>
      <c r="AM3" s="20" t="str">
        <f ca="1">IFERROR(__xludf.DUMMYFUNCTION("""COMPUTED_VALUE"""),"")</f>
        <v/>
      </c>
      <c r="AN3" s="20" t="str">
        <f ca="1">IFERROR(__xludf.DUMMYFUNCTION("""COMPUTED_VALUE"""),"")</f>
        <v/>
      </c>
      <c r="AO3" s="20" t="str">
        <f ca="1">IFERROR(__xludf.DUMMYFUNCTION("""COMPUTED_VALUE"""),"")</f>
        <v/>
      </c>
      <c r="AP3" s="20" t="str">
        <f ca="1">IFERROR(__xludf.DUMMYFUNCTION("""COMPUTED_VALUE"""),"")</f>
        <v/>
      </c>
      <c r="AQ3" s="20" t="str">
        <f ca="1">IFERROR(__xludf.DUMMYFUNCTION("""COMPUTED_VALUE"""),"")</f>
        <v/>
      </c>
      <c r="AR3" s="20" t="str">
        <f ca="1">IFERROR(__xludf.DUMMYFUNCTION("""COMPUTED_VALUE"""),"")</f>
        <v/>
      </c>
      <c r="AS3" s="20" t="str">
        <f ca="1">IFERROR(__xludf.DUMMYFUNCTION("""COMPUTED_VALUE"""),"")</f>
        <v/>
      </c>
      <c r="AT3" s="20" t="str">
        <f ca="1">IFERROR(__xludf.DUMMYFUNCTION("""COMPUTED_VALUE"""),"")</f>
        <v/>
      </c>
      <c r="AU3" s="20" t="str">
        <f ca="1">IFERROR(__xludf.DUMMYFUNCTION("""COMPUTED_VALUE"""),"")</f>
        <v/>
      </c>
      <c r="AV3" s="20" t="str">
        <f ca="1">IFERROR(__xludf.DUMMYFUNCTION("""COMPUTED_VALUE"""),"")</f>
        <v/>
      </c>
      <c r="AW3" s="20" t="str">
        <f ca="1">IFERROR(__xludf.DUMMYFUNCTION("""COMPUTED_VALUE"""),"")</f>
        <v/>
      </c>
      <c r="AX3" s="20" t="str">
        <f ca="1">IFERROR(__xludf.DUMMYFUNCTION("""COMPUTED_VALUE"""),"")</f>
        <v/>
      </c>
      <c r="AY3" s="20" t="str">
        <f ca="1">IFERROR(__xludf.DUMMYFUNCTION("""COMPUTED_VALUE"""),"")</f>
        <v/>
      </c>
      <c r="AZ3" s="20" t="str">
        <f ca="1">IFERROR(__xludf.DUMMYFUNCTION("""COMPUTED_VALUE"""),"")</f>
        <v/>
      </c>
      <c r="BA3" s="20" t="str">
        <f ca="1">IFERROR(__xludf.DUMMYFUNCTION("""COMPUTED_VALUE"""),"")</f>
        <v/>
      </c>
      <c r="BB3" s="20" t="str">
        <f ca="1">IFERROR(__xludf.DUMMYFUNCTION("""COMPUTED_VALUE"""),"")</f>
        <v/>
      </c>
      <c r="BC3" s="20" t="str">
        <f ca="1">IFERROR(__xludf.DUMMYFUNCTION("""COMPUTED_VALUE"""),"")</f>
        <v/>
      </c>
      <c r="BD3" s="20" t="str">
        <f ca="1">IFERROR(__xludf.DUMMYFUNCTION("""COMPUTED_VALUE"""),"")</f>
        <v/>
      </c>
      <c r="BE3" s="20" t="str">
        <f ca="1">IFERROR(__xludf.DUMMYFUNCTION("""COMPUTED_VALUE"""),"")</f>
        <v/>
      </c>
      <c r="BF3" s="20" t="str">
        <f ca="1">IFERROR(__xludf.DUMMYFUNCTION("""COMPUTED_VALUE"""),"")</f>
        <v/>
      </c>
      <c r="BG3" s="20" t="str">
        <f ca="1">IFERROR(__xludf.DUMMYFUNCTION("""COMPUTED_VALUE"""),"")</f>
        <v/>
      </c>
      <c r="BH3" s="20" t="str">
        <f ca="1">IFERROR(__xludf.DUMMYFUNCTION("""COMPUTED_VALUE"""),"")</f>
        <v/>
      </c>
      <c r="BI3" s="20" t="str">
        <f ca="1">IFERROR(__xludf.DUMMYFUNCTION("""COMPUTED_VALUE"""),"")</f>
        <v/>
      </c>
      <c r="BJ3" s="20" t="str">
        <f ca="1">IFERROR(__xludf.DUMMYFUNCTION("""COMPUTED_VALUE"""),"")</f>
        <v/>
      </c>
      <c r="BK3" s="20" t="str">
        <f ca="1">IFERROR(__xludf.DUMMYFUNCTION("""COMPUTED_VALUE"""),"")</f>
        <v/>
      </c>
      <c r="BL3" s="20" t="str">
        <f ca="1">IFERROR(__xludf.DUMMYFUNCTION("""COMPUTED_VALUE"""),"")</f>
        <v/>
      </c>
      <c r="BM3" s="20" t="str">
        <f ca="1">IFERROR(__xludf.DUMMYFUNCTION("""COMPUTED_VALUE"""),"")</f>
        <v/>
      </c>
      <c r="BN3" s="20" t="str">
        <f ca="1">IFERROR(__xludf.DUMMYFUNCTION("""COMPUTED_VALUE"""),"")</f>
        <v/>
      </c>
      <c r="BO3" s="20" t="str">
        <f ca="1">IFERROR(__xludf.DUMMYFUNCTION("""COMPUTED_VALUE"""),"")</f>
        <v/>
      </c>
      <c r="BP3" s="20" t="str">
        <f ca="1">IFERROR(__xludf.DUMMYFUNCTION("""COMPUTED_VALUE"""),"")</f>
        <v/>
      </c>
      <c r="BQ3" s="20" t="str">
        <f ca="1">IFERROR(__xludf.DUMMYFUNCTION("""COMPUTED_VALUE"""),"")</f>
        <v/>
      </c>
      <c r="BR3" s="20" t="str">
        <f ca="1">IFERROR(__xludf.DUMMYFUNCTION("""COMPUTED_VALUE"""),"")</f>
        <v/>
      </c>
      <c r="BS3" s="20" t="str">
        <f ca="1">IFERROR(__xludf.DUMMYFUNCTION("""COMPUTED_VALUE"""),"")</f>
        <v/>
      </c>
      <c r="BT3" s="20" t="str">
        <f ca="1">IFERROR(__xludf.DUMMYFUNCTION("""COMPUTED_VALUE"""),"")</f>
        <v/>
      </c>
      <c r="BU3" s="20" t="str">
        <f ca="1">IFERROR(__xludf.DUMMYFUNCTION("""COMPUTED_VALUE"""),"")</f>
        <v/>
      </c>
      <c r="BV3" s="20" t="str">
        <f ca="1">IFERROR(__xludf.DUMMYFUNCTION("""COMPUTED_VALUE"""),"")</f>
        <v/>
      </c>
      <c r="BW3" s="20" t="str">
        <f ca="1">IFERROR(__xludf.DUMMYFUNCTION("""COMPUTED_VALUE"""),"")</f>
        <v/>
      </c>
      <c r="BX3" s="20" t="str">
        <f ca="1">IFERROR(__xludf.DUMMYFUNCTION("""COMPUTED_VALUE"""),"")</f>
        <v/>
      </c>
      <c r="BY3" s="20" t="str">
        <f ca="1">IFERROR(__xludf.DUMMYFUNCTION("""COMPUTED_VALUE"""),"")</f>
        <v/>
      </c>
      <c r="BZ3" s="20" t="str">
        <f ca="1">IFERROR(__xludf.DUMMYFUNCTION("""COMPUTED_VALUE"""),"")</f>
        <v/>
      </c>
      <c r="CA3" s="20" t="str">
        <f ca="1">IFERROR(__xludf.DUMMYFUNCTION("""COMPUTED_VALUE"""),"")</f>
        <v/>
      </c>
      <c r="CB3" s="20" t="str">
        <f ca="1">IFERROR(__xludf.DUMMYFUNCTION("""COMPUTED_VALUE"""),"")</f>
        <v/>
      </c>
      <c r="CC3" s="20" t="str">
        <f ca="1">IFERROR(__xludf.DUMMYFUNCTION("""COMPUTED_VALUE"""),"")</f>
        <v/>
      </c>
      <c r="CD3" s="20" t="str">
        <f ca="1">IFERROR(__xludf.DUMMYFUNCTION("""COMPUTED_VALUE"""),"")</f>
        <v/>
      </c>
      <c r="CE3" s="20" t="str">
        <f ca="1">IFERROR(__xludf.DUMMYFUNCTION("""COMPUTED_VALUE"""),"")</f>
        <v/>
      </c>
      <c r="CF3" s="20" t="str">
        <f ca="1">IFERROR(__xludf.DUMMYFUNCTION("""COMPUTED_VALUE"""),"")</f>
        <v/>
      </c>
      <c r="CG3" s="20" t="str">
        <f ca="1">IFERROR(__xludf.DUMMYFUNCTION("""COMPUTED_VALUE"""),"")</f>
        <v/>
      </c>
      <c r="CH3" s="20" t="str">
        <f ca="1">IFERROR(__xludf.DUMMYFUNCTION("""COMPUTED_VALUE"""),"")</f>
        <v/>
      </c>
      <c r="CI3" s="20" t="str">
        <f ca="1">IFERROR(__xludf.DUMMYFUNCTION("""COMPUTED_VALUE"""),"")</f>
        <v/>
      </c>
      <c r="CJ3" s="20" t="str">
        <f ca="1">IFERROR(__xludf.DUMMYFUNCTION("""COMPUTED_VALUE"""),"")</f>
        <v/>
      </c>
      <c r="CK3" s="20" t="str">
        <f ca="1">IFERROR(__xludf.DUMMYFUNCTION("""COMPUTED_VALUE"""),"")</f>
        <v/>
      </c>
      <c r="CL3" s="20" t="str">
        <f ca="1">IFERROR(__xludf.DUMMYFUNCTION("""COMPUTED_VALUE"""),"")</f>
        <v/>
      </c>
      <c r="CM3" s="20" t="str">
        <f ca="1">IFERROR(__xludf.DUMMYFUNCTION("""COMPUTED_VALUE"""),"")</f>
        <v/>
      </c>
      <c r="CN3" s="20" t="str">
        <f ca="1">IFERROR(__xludf.DUMMYFUNCTION("""COMPUTED_VALUE"""),"")</f>
        <v/>
      </c>
      <c r="CO3" s="20" t="str">
        <f ca="1">IFERROR(__xludf.DUMMYFUNCTION("""COMPUTED_VALUE"""),"")</f>
        <v/>
      </c>
      <c r="CP3" s="20" t="str">
        <f ca="1">IFERROR(__xludf.DUMMYFUNCTION("""COMPUTED_VALUE"""),"")</f>
        <v/>
      </c>
      <c r="CQ3" s="20" t="str">
        <f ca="1">IFERROR(__xludf.DUMMYFUNCTION("""COMPUTED_VALUE"""),"")</f>
        <v/>
      </c>
      <c r="CR3" s="20" t="str">
        <f ca="1">IFERROR(__xludf.DUMMYFUNCTION("""COMPUTED_VALUE"""),"")</f>
        <v/>
      </c>
      <c r="CS3" s="20" t="str">
        <f ca="1">IFERROR(__xludf.DUMMYFUNCTION("""COMPUTED_VALUE"""),"")</f>
        <v/>
      </c>
      <c r="CT3" s="20" t="str">
        <f ca="1">IFERROR(__xludf.DUMMYFUNCTION("""COMPUTED_VALUE"""),"")</f>
        <v/>
      </c>
      <c r="CU3" s="20" t="str">
        <f ca="1">IFERROR(__xludf.DUMMYFUNCTION("""COMPUTED_VALUE"""),"")</f>
        <v/>
      </c>
      <c r="CV3" s="20" t="str">
        <f ca="1">IFERROR(__xludf.DUMMYFUNCTION("""COMPUTED_VALUE"""),"")</f>
        <v/>
      </c>
      <c r="CW3" s="20" t="str">
        <f ca="1">IFERROR(__xludf.DUMMYFUNCTION("""COMPUTED_VALUE"""),"")</f>
        <v/>
      </c>
      <c r="CX3" s="20" t="str">
        <f ca="1">IFERROR(__xludf.DUMMYFUNCTION("""COMPUTED_VALUE"""),"")</f>
        <v/>
      </c>
      <c r="CY3" s="20" t="str">
        <f ca="1">IFERROR(__xludf.DUMMYFUNCTION("""COMPUTED_VALUE"""),"")</f>
        <v/>
      </c>
      <c r="CZ3" s="20" t="str">
        <f ca="1">IFERROR(__xludf.DUMMYFUNCTION("""COMPUTED_VALUE"""),"")</f>
        <v/>
      </c>
      <c r="DA3" s="20" t="str">
        <f ca="1">IFERROR(__xludf.DUMMYFUNCTION("""COMPUTED_VALUE"""),"")</f>
        <v/>
      </c>
      <c r="DB3" s="20" t="str">
        <f ca="1">IFERROR(__xludf.DUMMYFUNCTION("""COMPUTED_VALUE"""),"")</f>
        <v/>
      </c>
      <c r="DC3" s="20" t="str">
        <f ca="1">IFERROR(__xludf.DUMMYFUNCTION("""COMPUTED_VALUE"""),"")</f>
        <v/>
      </c>
      <c r="DD3" s="20" t="str">
        <f ca="1">IFERROR(__xludf.DUMMYFUNCTION("""COMPUTED_VALUE"""),"")</f>
        <v/>
      </c>
      <c r="DE3" s="20" t="str">
        <f ca="1">IFERROR(__xludf.DUMMYFUNCTION("""COMPUTED_VALUE"""),"")</f>
        <v/>
      </c>
      <c r="DF3" s="20" t="str">
        <f ca="1">IFERROR(__xludf.DUMMYFUNCTION("""COMPUTED_VALUE"""),"")</f>
        <v/>
      </c>
      <c r="DG3" s="20" t="str">
        <f ca="1">IFERROR(__xludf.DUMMYFUNCTION("""COMPUTED_VALUE"""),"")</f>
        <v/>
      </c>
      <c r="DH3" s="20" t="str">
        <f ca="1">IFERROR(__xludf.DUMMYFUNCTION("""COMPUTED_VALUE"""),"")</f>
        <v/>
      </c>
      <c r="DI3" s="20" t="str">
        <f ca="1">IFERROR(__xludf.DUMMYFUNCTION("""COMPUTED_VALUE"""),"")</f>
        <v/>
      </c>
      <c r="DJ3" s="20" t="str">
        <f ca="1">IFERROR(__xludf.DUMMYFUNCTION("""COMPUTED_VALUE"""),"")</f>
        <v/>
      </c>
      <c r="DK3" s="20" t="str">
        <f ca="1">IFERROR(__xludf.DUMMYFUNCTION("""COMPUTED_VALUE"""),"")</f>
        <v/>
      </c>
      <c r="DL3" s="20" t="str">
        <f ca="1">IFERROR(__xludf.DUMMYFUNCTION("""COMPUTED_VALUE"""),"")</f>
        <v/>
      </c>
      <c r="DM3" s="20" t="str">
        <f ca="1">IFERROR(__xludf.DUMMYFUNCTION("""COMPUTED_VALUE"""),"")</f>
        <v/>
      </c>
      <c r="DN3" s="20" t="str">
        <f ca="1">IFERROR(__xludf.DUMMYFUNCTION("""COMPUTED_VALUE"""),"")</f>
        <v/>
      </c>
      <c r="DO3" s="20" t="str">
        <f ca="1">IFERROR(__xludf.DUMMYFUNCTION("""COMPUTED_VALUE"""),"")</f>
        <v/>
      </c>
      <c r="DP3" s="20" t="str">
        <f ca="1">IFERROR(__xludf.DUMMYFUNCTION("""COMPUTED_VALUE"""),"")</f>
        <v/>
      </c>
      <c r="DQ3" s="20" t="str">
        <f ca="1">IFERROR(__xludf.DUMMYFUNCTION("""COMPUTED_VALUE"""),"")</f>
        <v/>
      </c>
      <c r="DR3" s="20" t="str">
        <f ca="1">IFERROR(__xludf.DUMMYFUNCTION("""COMPUTED_VALUE"""),"")</f>
        <v/>
      </c>
      <c r="DS3" s="20" t="str">
        <f ca="1">IFERROR(__xludf.DUMMYFUNCTION("""COMPUTED_VALUE"""),"")</f>
        <v/>
      </c>
      <c r="DT3" s="20" t="str">
        <f ca="1">IFERROR(__xludf.DUMMYFUNCTION("""COMPUTED_VALUE"""),"")</f>
        <v/>
      </c>
      <c r="DU3" s="20" t="str">
        <f ca="1">IFERROR(__xludf.DUMMYFUNCTION("""COMPUTED_VALUE"""),"")</f>
        <v/>
      </c>
      <c r="DV3" s="20" t="str">
        <f ca="1">IFERROR(__xludf.DUMMYFUNCTION("""COMPUTED_VALUE"""),"")</f>
        <v/>
      </c>
      <c r="DW3" s="20" t="str">
        <f ca="1">IFERROR(__xludf.DUMMYFUNCTION("""COMPUTED_VALUE"""),"")</f>
        <v/>
      </c>
      <c r="DX3" s="20" t="str">
        <f ca="1">IFERROR(__xludf.DUMMYFUNCTION("""COMPUTED_VALUE"""),"")</f>
        <v/>
      </c>
      <c r="DY3" s="20" t="str">
        <f ca="1">IFERROR(__xludf.DUMMYFUNCTION("""COMPUTED_VALUE"""),"")</f>
        <v/>
      </c>
      <c r="DZ3" s="20" t="str">
        <f ca="1">IFERROR(__xludf.DUMMYFUNCTION("""COMPUTED_VALUE"""),"")</f>
        <v/>
      </c>
      <c r="EA3" s="20" t="str">
        <f ca="1">IFERROR(__xludf.DUMMYFUNCTION("""COMPUTED_VALUE"""),"")</f>
        <v/>
      </c>
      <c r="EB3" s="20" t="str">
        <f ca="1">IFERROR(__xludf.DUMMYFUNCTION("""COMPUTED_VALUE"""),"")</f>
        <v/>
      </c>
      <c r="EC3" s="20" t="str">
        <f ca="1">IFERROR(__xludf.DUMMYFUNCTION("""COMPUTED_VALUE"""),"")</f>
        <v/>
      </c>
      <c r="ED3" s="20" t="str">
        <f ca="1">IFERROR(__xludf.DUMMYFUNCTION("""COMPUTED_VALUE"""),"")</f>
        <v/>
      </c>
      <c r="EE3" s="20" t="str">
        <f ca="1">IFERROR(__xludf.DUMMYFUNCTION("""COMPUTED_VALUE"""),"")</f>
        <v/>
      </c>
      <c r="EF3" s="20" t="str">
        <f ca="1">IFERROR(__xludf.DUMMYFUNCTION("""COMPUTED_VALUE"""),"")</f>
        <v/>
      </c>
      <c r="EG3" s="20" t="str">
        <f ca="1">IFERROR(__xludf.DUMMYFUNCTION("""COMPUTED_VALUE"""),"")</f>
        <v/>
      </c>
      <c r="EH3" s="20" t="str">
        <f ca="1">IFERROR(__xludf.DUMMYFUNCTION("""COMPUTED_VALUE"""),"")</f>
        <v/>
      </c>
      <c r="EI3" s="20" t="str">
        <f ca="1">IFERROR(__xludf.DUMMYFUNCTION("""COMPUTED_VALUE"""),"")</f>
        <v/>
      </c>
      <c r="EJ3" s="20" t="str">
        <f ca="1">IFERROR(__xludf.DUMMYFUNCTION("""COMPUTED_VALUE"""),"")</f>
        <v/>
      </c>
      <c r="EK3" s="20" t="str">
        <f ca="1">IFERROR(__xludf.DUMMYFUNCTION("""COMPUTED_VALUE"""),"")</f>
        <v/>
      </c>
      <c r="EL3" s="20" t="str">
        <f ca="1">IFERROR(__xludf.DUMMYFUNCTION("""COMPUTED_VALUE"""),"")</f>
        <v/>
      </c>
      <c r="EM3" s="20" t="str">
        <f ca="1">IFERROR(__xludf.DUMMYFUNCTION("""COMPUTED_VALUE"""),"")</f>
        <v/>
      </c>
      <c r="EN3" s="20" t="str">
        <f ca="1">IFERROR(__xludf.DUMMYFUNCTION("""COMPUTED_VALUE"""),"")</f>
        <v/>
      </c>
      <c r="EO3" s="20" t="str">
        <f ca="1">IFERROR(__xludf.DUMMYFUNCTION("""COMPUTED_VALUE"""),"")</f>
        <v/>
      </c>
      <c r="EP3" s="20" t="str">
        <f ca="1">IFERROR(__xludf.DUMMYFUNCTION("""COMPUTED_VALUE"""),"")</f>
        <v/>
      </c>
      <c r="EQ3" s="20" t="str">
        <f ca="1">IFERROR(__xludf.DUMMYFUNCTION("""COMPUTED_VALUE"""),"")</f>
        <v/>
      </c>
      <c r="ER3" s="20" t="str">
        <f ca="1">IFERROR(__xludf.DUMMYFUNCTION("""COMPUTED_VALUE"""),"")</f>
        <v/>
      </c>
      <c r="ES3" s="20" t="str">
        <f ca="1">IFERROR(__xludf.DUMMYFUNCTION("""COMPUTED_VALUE"""),"")</f>
        <v/>
      </c>
      <c r="ET3" s="20" t="str">
        <f ca="1">IFERROR(__xludf.DUMMYFUNCTION("""COMPUTED_VALUE"""),"")</f>
        <v/>
      </c>
      <c r="EU3" s="20" t="str">
        <f ca="1">IFERROR(__xludf.DUMMYFUNCTION("""COMPUTED_VALUE"""),"")</f>
        <v/>
      </c>
      <c r="EV3" s="20" t="str">
        <f ca="1">IFERROR(__xludf.DUMMYFUNCTION("""COMPUTED_VALUE"""),"")</f>
        <v/>
      </c>
      <c r="EW3" s="20" t="str">
        <f ca="1">IFERROR(__xludf.DUMMYFUNCTION("""COMPUTED_VALUE"""),"")</f>
        <v/>
      </c>
      <c r="EX3" s="20" t="str">
        <f ca="1">IFERROR(__xludf.DUMMYFUNCTION("""COMPUTED_VALUE"""),"")</f>
        <v/>
      </c>
      <c r="EY3" s="20" t="str">
        <f ca="1">IFERROR(__xludf.DUMMYFUNCTION("""COMPUTED_VALUE"""),"")</f>
        <v/>
      </c>
      <c r="EZ3" s="20" t="str">
        <f ca="1">IFERROR(__xludf.DUMMYFUNCTION("""COMPUTED_VALUE"""),"")</f>
        <v/>
      </c>
      <c r="FA3" s="20" t="str">
        <f ca="1">IFERROR(__xludf.DUMMYFUNCTION("""COMPUTED_VALUE"""),"")</f>
        <v/>
      </c>
      <c r="FB3" s="20" t="str">
        <f ca="1">IFERROR(__xludf.DUMMYFUNCTION("""COMPUTED_VALUE"""),"")</f>
        <v/>
      </c>
      <c r="FC3" s="20" t="str">
        <f ca="1">IFERROR(__xludf.DUMMYFUNCTION("""COMPUTED_VALUE"""),"")</f>
        <v/>
      </c>
      <c r="FD3" s="20" t="str">
        <f ca="1">IFERROR(__xludf.DUMMYFUNCTION("""COMPUTED_VALUE"""),"")</f>
        <v/>
      </c>
      <c r="FE3" s="20" t="str">
        <f ca="1">IFERROR(__xludf.DUMMYFUNCTION("""COMPUTED_VALUE"""),"")</f>
        <v/>
      </c>
      <c r="FF3" s="20" t="str">
        <f ca="1">IFERROR(__xludf.DUMMYFUNCTION("""COMPUTED_VALUE"""),"")</f>
        <v/>
      </c>
      <c r="FG3" s="20" t="str">
        <f ca="1">IFERROR(__xludf.DUMMYFUNCTION("""COMPUTED_VALUE"""),"")</f>
        <v/>
      </c>
      <c r="FH3" s="20" t="str">
        <f ca="1">IFERROR(__xludf.DUMMYFUNCTION("""COMPUTED_VALUE"""),"")</f>
        <v/>
      </c>
      <c r="FI3" s="20" t="str">
        <f ca="1">IFERROR(__xludf.DUMMYFUNCTION("""COMPUTED_VALUE"""),"")</f>
        <v/>
      </c>
      <c r="FJ3" s="20" t="str">
        <f ca="1">IFERROR(__xludf.DUMMYFUNCTION("""COMPUTED_VALUE"""),"")</f>
        <v/>
      </c>
      <c r="FK3" s="20" t="str">
        <f ca="1">IFERROR(__xludf.DUMMYFUNCTION("""COMPUTED_VALUE"""),"")</f>
        <v/>
      </c>
      <c r="FL3" s="20" t="str">
        <f ca="1">IFERROR(__xludf.DUMMYFUNCTION("""COMPUTED_VALUE"""),"")</f>
        <v/>
      </c>
      <c r="FM3" s="20" t="str">
        <f ca="1">IFERROR(__xludf.DUMMYFUNCTION("""COMPUTED_VALUE"""),"")</f>
        <v/>
      </c>
    </row>
    <row r="4" spans="1:169" ht="15.75" customHeight="1" x14ac:dyDescent="0.2">
      <c r="A4" s="5"/>
      <c r="B4" s="5"/>
      <c r="C4" s="5"/>
      <c r="D4" s="5"/>
      <c r="E4" s="5"/>
      <c r="F4" s="5"/>
      <c r="G4" s="5"/>
      <c r="H4" s="5"/>
      <c r="I4" s="5"/>
      <c r="J4" s="15" t="e">
        <f ca="1">VLOOKUP($E$2,_MasterData!B4:D1000,3,FALSE)</f>
        <v>#N/A</v>
      </c>
      <c r="K4" s="15"/>
      <c r="L4" s="5"/>
      <c r="M4" s="5"/>
      <c r="N4" s="5"/>
      <c r="O4" s="5"/>
    </row>
    <row r="5" spans="1:169" ht="15.75" customHeight="1" x14ac:dyDescent="0.2">
      <c r="A5" s="21" t="str">
        <f ca="1">IFERROR(__xludf.DUMMYFUNCTION("TRANSPOSE(IMPORTRANGE(VLOOKUP($E$2,IMPORTRANGE('_Settings'!$B$3,$C$2&amp;""!A4:B1000""),2,FALSE),$G$2&amp;""!A4:A1000""))"),"")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  <c r="FL5" s="24" t="str">
        <f ca="1">IFERROR(__xludf.DUMMYFUNCTION("""COMPUTED_VALUE"""),"")</f>
        <v/>
      </c>
      <c r="FM5" s="24" t="str">
        <f ca="1">IFERROR(__xludf.DUMMYFUNCTION("""COMPUTED_VALUE"""),"")</f>
        <v/>
      </c>
    </row>
    <row r="6" spans="1:169" ht="15.75" customHeight="1" x14ac:dyDescent="0.2">
      <c r="A6" s="25"/>
      <c r="B6" s="25"/>
      <c r="C6" s="29" t="s">
        <v>16</v>
      </c>
      <c r="D6" s="31">
        <v>500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6" t="s">
        <v>17</v>
      </c>
      <c r="AO6" s="29"/>
      <c r="AP6" s="31" t="s">
        <v>31</v>
      </c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</row>
    <row r="7" spans="1:169" ht="15.75" customHeight="1" x14ac:dyDescent="0.2">
      <c r="A7" s="29"/>
      <c r="B7" s="29"/>
      <c r="C7" s="29" t="s">
        <v>16</v>
      </c>
      <c r="D7" s="31">
        <v>-500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6" t="s">
        <v>20</v>
      </c>
      <c r="AO7" s="29"/>
      <c r="AP7" s="31" t="s">
        <v>31</v>
      </c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</row>
    <row r="8" spans="1:169" ht="15.75" customHeight="1" x14ac:dyDescent="0.2">
      <c r="A8" s="29"/>
      <c r="B8" s="29"/>
      <c r="C8" s="29" t="s">
        <v>16</v>
      </c>
      <c r="D8" s="31">
        <v>500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6" t="s">
        <v>21</v>
      </c>
      <c r="AO8" s="29"/>
      <c r="AP8" s="31" t="s">
        <v>31</v>
      </c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</row>
    <row r="9" spans="1:169" ht="15.75" customHeight="1" x14ac:dyDescent="0.2">
      <c r="A9" s="29"/>
      <c r="B9" s="29"/>
      <c r="C9" s="29" t="s">
        <v>16</v>
      </c>
      <c r="D9" s="31">
        <v>-500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6" t="s">
        <v>22</v>
      </c>
      <c r="AO9" s="29"/>
      <c r="AP9" s="31" t="s">
        <v>31</v>
      </c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</row>
    <row r="10" spans="1:169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9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9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9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9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9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9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2">
      <formula1>"Input Format,Output Format"</formula1>
    </dataValidation>
    <dataValidation type="list" allowBlank="1" showInputMessage="1" showErrorMessage="1" prompt="Choose available step for selected module" sqref="E2">
      <formula1>$3:$3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33</v>
      </c>
      <c r="C6" s="5"/>
      <c r="D6" s="7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AI6" s="25" t="s">
        <v>16</v>
      </c>
      <c r="AJ6" s="26" t="s">
        <v>17</v>
      </c>
      <c r="AK6" s="6" t="s">
        <v>25</v>
      </c>
      <c r="AL6" s="6">
        <v>500</v>
      </c>
      <c r="AM6" s="6">
        <v>500</v>
      </c>
      <c r="AN6" s="6">
        <v>100</v>
      </c>
      <c r="AU6" s="6" t="s">
        <v>19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AI7" s="29" t="s">
        <v>16</v>
      </c>
      <c r="AJ7" s="26" t="s">
        <v>20</v>
      </c>
      <c r="AK7" s="6" t="s">
        <v>25</v>
      </c>
      <c r="AL7" s="6">
        <v>500</v>
      </c>
      <c r="AM7" s="6">
        <v>500</v>
      </c>
      <c r="AN7" s="6">
        <v>100</v>
      </c>
      <c r="AU7" s="6" t="s">
        <v>19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AI8" s="29" t="s">
        <v>16</v>
      </c>
      <c r="AJ8" s="26" t="s">
        <v>21</v>
      </c>
      <c r="AK8" s="6" t="s">
        <v>25</v>
      </c>
      <c r="AL8" s="6">
        <v>500</v>
      </c>
      <c r="AM8" s="6">
        <v>500</v>
      </c>
      <c r="AN8" s="6">
        <v>100</v>
      </c>
      <c r="AU8" s="6" t="s">
        <v>19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AI9" s="29" t="s">
        <v>16</v>
      </c>
      <c r="AJ9" s="26" t="s">
        <v>22</v>
      </c>
      <c r="AK9" s="6" t="s">
        <v>25</v>
      </c>
      <c r="AL9" s="6">
        <v>500</v>
      </c>
      <c r="AM9" s="6">
        <v>500</v>
      </c>
      <c r="AN9" s="6">
        <v>100</v>
      </c>
      <c r="AU9" s="6" t="s">
        <v>19</v>
      </c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CreateDoneAwayOrder</vt:lpstr>
      <vt:lpstr>VerifyWorkingSubs</vt:lpstr>
      <vt:lpstr>CheckUnallocatedGroups</vt:lpstr>
      <vt:lpstr>CheckPortfolioManagement</vt:lpstr>
      <vt:lpstr>GetDataAllocation</vt:lpstr>
      <vt:lpstr>VerifyOrder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2021-08-04T10:02:31Z</dcterms:modified>
</cp:coreProperties>
</file>