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1" sheetId="4" r:id="rId6"/>
    <sheet state="visible" name="CreateDoneAwayOrder" sheetId="5" r:id="rId7"/>
    <sheet state="visible" name="LoginClient" sheetId="6" r:id="rId8"/>
    <sheet state="visible" name="SelectAllocatedGroup" sheetId="7" r:id="rId9"/>
    <sheet state="visible" name="EditAllocatedGroupSidePanel" sheetId="8" r:id="rId10"/>
    <sheet state="visible" name="GetExecutionReportOrders" sheetId="9" r:id="rId11"/>
    <sheet state="visible" name="VerifyExecutionReport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<sst xmlns="http://schemas.openxmlformats.org/spreadsheetml/2006/main" count="108" uniqueCount="42">
  <si>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</si>
  <si>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</si>
  <si>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</si>
  <si>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</si>
  <si>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</si>
  <si>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</si>
  <si>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</si>
  <si>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</si>
  <si>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</si>
  <si>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</si>
  <si>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</si>
  <si>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</si>
  <si>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</si>
  <si>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</si>
  <si>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</si>
  <si>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</si>
  <si>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Support6</t>
  </si>
  <si>
    <t>Nirvana@1</t>
  </si>
  <si>
    <t>TradingTicket</t>
  </si>
  <si>
    <t>CreateDoneAwayOrder</t>
  </si>
  <si>
    <t>MSFT</t>
  </si>
  <si>
    <t>Buy</t>
  </si>
  <si>
    <t>Allocation1</t>
  </si>
  <si>
    <t>MS</t>
  </si>
  <si>
    <t>Support2</t>
  </si>
  <si>
    <t>Allocation</t>
  </si>
  <si>
    <t>SelectAllocatedGroup</t>
  </si>
  <si>
    <t>EditAllocatedGroupSidePanel</t>
  </si>
  <si>
    <t>GS</t>
  </si>
  <si>
    <t>Blotter</t>
  </si>
  <si>
    <t>GetExecutionReportOrders</t>
  </si>
  <si>
    <t>VerifyExecutionReport</t>
  </si>
  <si>
    <t>PartiallyFilled</t>
  </si>
  <si>
    <t>jpearce</t>
  </si>
  <si>
    <t>jgulbrandsen</t>
  </si>
  <si>
    <t>CheckAllocatedGroups</t>
  </si>
  <si>
    <t>M</t>
  </si>
  <si>
    <t>Market</t>
  </si>
  <si>
    <t>PortfolioManagement</t>
  </si>
  <si>
    <t>CheckPortfolioManagement</t>
  </si>
  <si>
    <t>Long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</si>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</sst>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ill="1" applyFont="1">
      <alignment horizontal="right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500.0</v>
      </c>
      <c r="E6" s="12">
        <v>150.0</v>
      </c>
      <c r="F6" s="12" t="s">
        <v>22</v>
      </c>
      <c r="G6" s="12" t="s">
        <v>23</v>
      </c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500.0</v>
      </c>
      <c r="D6" s="12"/>
      <c r="E6" s="12" t="s">
        <v>22</v>
      </c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  <c r="P6" s="9" t="s">
        <v>23</v>
      </c>
      <c r="AS6" s="9">
        <v>150.0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IFERROR(__xludf.DUMMYFUNCTION("""COMPUTED_VALUE"""),"AvgPrice")</f>
        <v>AvgPrice</v>
      </c>
      <c r="C5" s="27" t="str">
        <f>IFERROR(__xludf.DUMMYFUNCTION("""COMPUTED_VALUE"""),"Commission")</f>
        <v>Commission</v>
      </c>
      <c r="D5" s="27" t="str">
        <f>IFERROR(__xludf.DUMMYFUNCTION("""COMPUTED_VALUE"""),"SoftCommission")</f>
        <v>SoftCommission</v>
      </c>
      <c r="E5" s="27" t="str">
        <f>IFERROR(__xludf.DUMMYFUNCTION("""COMPUTED_VALUE"""),"OtherBrokerFees")</f>
        <v>OtherBrokerFees</v>
      </c>
      <c r="F5" s="28" t="str">
        <f>IFERROR(__xludf.DUMMYFUNCTION("""COMPUTED_VALUE"""),"ClearingBrokerFees")</f>
        <v>ClearingBrokerFees</v>
      </c>
      <c r="G5" s="27" t="str">
        <f>IFERROR(__xludf.DUMMYFUNCTION("""COMPUTED_VALUE"""),"StampDuty")</f>
        <v>StampDuty</v>
      </c>
      <c r="H5" s="27" t="str">
        <f>IFERROR(__xludf.DUMMYFUNCTION("""COMPUTED_VALUE"""),"TransactionLevy")</f>
        <v>TransactionLevy</v>
      </c>
      <c r="I5" s="27" t="str">
        <f>IFERROR(__xludf.DUMMYFUNCTION("""COMPUTED_VALUE"""),"AUECFee1")</f>
        <v>AUECFee1</v>
      </c>
      <c r="J5" s="27" t="str">
        <f>IFERROR(__xludf.DUMMYFUNCTION("""COMPUTED_VALUE"""),"TaxOnCommissions")</f>
        <v>TaxOnCommissions</v>
      </c>
      <c r="K5" s="27" t="str">
        <f>IFERROR(__xludf.DUMMYFUNCTION("""COMPUTED_VALUE"""),"AUECFee2")</f>
        <v>AUECFee2</v>
      </c>
      <c r="L5" s="27" t="str">
        <f>IFERROR(__xludf.DUMMYFUNCTION("""COMPUTED_VALUE"""),"SecFee")</f>
        <v>SecFee</v>
      </c>
      <c r="M5" s="27" t="str">
        <f>IFERROR(__xludf.DUMMYFUNCTION("""COMPUTED_VALUE"""),"OccFee")</f>
        <v>OccFee</v>
      </c>
      <c r="N5" s="27" t="str">
        <f>IFERROR(__xludf.DUMMYFUNCTION("""COMPUTED_VALUE"""),"OrfFee")</f>
        <v>OrfFee</v>
      </c>
      <c r="O5" s="27" t="str">
        <f>IFERROR(__xludf.DUMMYFUNCTION("""COMPUTED_VALUE"""),"Broker")</f>
        <v>Broker</v>
      </c>
      <c r="P5" s="27" t="str">
        <f>IFERROR(__xludf.DUMMYFUNCTION("""COMPUTED_VALUE"""),"Venue")</f>
        <v>Venue</v>
      </c>
      <c r="Q5" s="27" t="str">
        <f>IFERROR(__xludf.DUMMYFUNCTION("""COMPUTED_VALUE"""),"Description")</f>
        <v>Description</v>
      </c>
      <c r="R5" s="27" t="str">
        <f>IFERROR(__xludf.DUMMYFUNCTION("""COMPUTED_VALUE"""),"InternalComments")</f>
        <v>InternalComments</v>
      </c>
      <c r="S5" s="27" t="str">
        <f>IFERROR(__xludf.DUMMYFUNCTION("""COMPUTED_VALUE"""),"FXRate")</f>
        <v>FXRate</v>
      </c>
      <c r="T5" s="29" t="str">
        <f>IFERROR(__xludf.DUMMYFUNCTION("""COMPUTED_VALUE"""),"FxConvOperator")</f>
        <v>FxConvOperator</v>
      </c>
      <c r="U5" s="29" t="str">
        <f>IFERROR(__xludf.DUMMYFUNCTION("""COMPUTED_VALUE"""),"AccruedInterest")</f>
        <v>AccruedInterest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IFERROR(__xludf.DUMMYFUNCTION("""COMPUTED_VALUE"""),"SettlementCurrency")</f>
        <v>SettlementCurrency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12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EditAllocatedGroupSidePanel!$4:$4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Date")</f>
        <v>From Date</v>
      </c>
      <c r="C5" s="27" t="str">
        <f>IFERROR(__xludf.DUMMYFUNCTION("""COMPUTED_VALUE"""),"To Date")</f>
        <v>To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</f>
        <v>45957</v>
      </c>
      <c r="C6" s="32">
        <f t="shared" si="1"/>
        <v>45957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IFERROR(__xludf.DUMMYFUNCTION("""COMPUTED_VALUE"""),"Order Type")</f>
        <v>Order Type</v>
      </c>
      <c r="E5" s="27" t="str">
        <f>IFERROR(__xludf.DUMMYFUNCTION("""COMPUTED_VALUE"""),"Target Quantity")</f>
        <v>Target Quantity</v>
      </c>
      <c r="F5" s="28" t="str">
        <f>IFERROR(__xludf.DUMMYFUNCTION("""COMPUTED_VALUE"""),"Executed Qty")</f>
        <v>Executed Qty</v>
      </c>
      <c r="G5" s="27" t="str">
        <f>IFERROR(__xludf.DUMMYFUNCTION("""COMPUTED_VALUE"""),"Avg Price")</f>
        <v>Avg Price</v>
      </c>
      <c r="H5" s="27" t="str">
        <f>IFERROR(__xludf.DUMMYFUNCTION("""COMPUTED_VALUE"""),"Status")</f>
        <v>Status</v>
      </c>
      <c r="I5" s="27" t="str">
        <f>IFERROR(__xludf.DUMMYFUNCTION("""COMPUTED_VALUE"""),"Price")</f>
        <v>Price</v>
      </c>
      <c r="J5" s="27" t="str">
        <f>IFERROR(__xludf.DUMMYFUNCTION("""COMPUTED_VALUE"""),"OrderID")</f>
        <v>OrderID</v>
      </c>
      <c r="K5" s="27" t="str">
        <f>IFERROR(__xludf.DUMMYFUNCTION("""COMPUTED_VALUE"""),"CIOrderID")</f>
        <v>CIOrderID</v>
      </c>
      <c r="L5" s="27" t="str">
        <f>IFERROR(__xludf.DUMMYFUNCTION("""COMPUTED_VALUE"""),"Actual User")</f>
        <v>Actual User</v>
      </c>
      <c r="M5" s="27" t="str">
        <f>IFERROR(__xludf.DUMMYFUNCTION("""COMPUTED_VALUE"""),"Trader")</f>
        <v>Trader</v>
      </c>
      <c r="N5" s="27" t="str">
        <f>IFERROR(__xludf.DUMMYFUNCTION("""COMPUTED_VALUE"""),"Broker")</f>
        <v>Broker</v>
      </c>
      <c r="O5" s="27" t="str">
        <f>IFERROR(__xludf.DUMMYFUNCTION("""COMPUTED_VALUE"""),"Modified User")</f>
        <v>Modified User</v>
      </c>
      <c r="P5" s="27" t="str">
        <f>IFERROR(__xludf.DUMMYFUNCTION("""COMPUTED_VALUE"""),"Current User")</f>
        <v>Current User</v>
      </c>
      <c r="Q5" s="27" t="str">
        <f>IFERROR(__xludf.DUMMYFUNCTION("""COMPUTED_VALUE"""),"Avg Fx Rate")</f>
        <v>Avg Fx Rate</v>
      </c>
      <c r="R5" s="27" t="str">
        <f>IFERROR(__xludf.DUMMYFUNCTION("""COMPUTED_VALUE"""),"Account")</f>
        <v>Account</v>
      </c>
      <c r="S5" s="27" t="str">
        <f>IFERROR(__xludf.DUMMYFUNCTION("""COMPUTED_VALUE"""),"Process Date")</f>
        <v>Process Date</v>
      </c>
      <c r="T5" s="29" t="str">
        <f>IFERROR(__xludf.DUMMYFUNCTION("""COMPUTED_VALUE"""),"Last Shares")</f>
        <v>Last Shares</v>
      </c>
      <c r="U5" s="29" t="str">
        <f>IFERROR(__xludf.DUMMYFUNCTION("""COMPUTED_VALUE"""),"Last Price")</f>
        <v>Last Price</v>
      </c>
      <c r="V5" s="29" t="str">
        <f>IFERROR(__xludf.DUMMYFUNCTION("""COMPUTED_VALUE"""),"Exchange")</f>
        <v>Exchange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20</v>
      </c>
      <c r="C6" s="35" t="s">
        <v>21</v>
      </c>
      <c r="D6" s="33"/>
      <c r="E6" s="36"/>
      <c r="F6" s="37">
        <v>150.0</v>
      </c>
      <c r="G6" s="38">
        <v>10.0</v>
      </c>
      <c r="H6" s="35" t="s">
        <v>32</v>
      </c>
      <c r="I6" s="36"/>
      <c r="J6" s="36"/>
      <c r="K6" s="36"/>
      <c r="L6" s="35" t="s">
        <v>33</v>
      </c>
      <c r="M6" s="36"/>
      <c r="N6" s="35" t="s">
        <v>28</v>
      </c>
      <c r="O6" s="39" t="s">
        <v>34</v>
      </c>
      <c r="P6" s="35" t="s">
        <v>33</v>
      </c>
      <c r="Q6" s="36"/>
      <c r="R6" s="36" t="s">
        <v>22</v>
      </c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3" t="s">
        <v>22</v>
      </c>
      <c r="C6" s="36"/>
      <c r="D6" s="33"/>
      <c r="E6" s="37">
        <v>150.0</v>
      </c>
      <c r="F6" s="36"/>
      <c r="G6" s="36"/>
      <c r="H6" s="36"/>
      <c r="I6" s="36"/>
      <c r="J6" s="36"/>
      <c r="K6" s="37"/>
      <c r="L6" s="37"/>
      <c r="M6" s="36"/>
      <c r="N6" s="36"/>
      <c r="O6" s="36" t="s">
        <v>28</v>
      </c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2">
        <v>150.0</v>
      </c>
      <c r="AF6" s="40"/>
      <c r="AG6" s="40"/>
      <c r="AH6" s="40" t="s">
        <v>36</v>
      </c>
      <c r="AI6" s="42">
        <v>1.0</v>
      </c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2"/>
      <c r="AU6" s="42"/>
      <c r="AV6" s="40"/>
      <c r="AW6" s="40"/>
      <c r="AX6" s="40"/>
      <c r="AY6" s="40" t="s">
        <v>37</v>
      </c>
      <c r="AZ6" s="40"/>
      <c r="BA6" s="40"/>
      <c r="BB6" s="40"/>
      <c r="BC6" s="40"/>
      <c r="BD6" s="40"/>
      <c r="BE6" s="42"/>
      <c r="BF6" s="42"/>
      <c r="BG6" s="40"/>
      <c r="BH6" s="40"/>
      <c r="BI6" s="40"/>
      <c r="BJ6" s="42">
        <v>500.0</v>
      </c>
      <c r="BK6" s="40"/>
      <c r="BL6" s="40"/>
      <c r="BM6" s="40"/>
      <c r="BN6" s="40"/>
      <c r="BO6" s="40" t="s">
        <v>21</v>
      </c>
      <c r="BP6" s="40"/>
      <c r="BQ6" s="40"/>
      <c r="BR6" s="40"/>
      <c r="BS6" s="40"/>
      <c r="BT6" s="40" t="s">
        <v>20</v>
      </c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41"/>
      <c r="B6" s="33"/>
      <c r="C6" s="36" t="s">
        <v>20</v>
      </c>
      <c r="D6" s="43">
        <v>150.0</v>
      </c>
      <c r="E6" s="36" t="s">
        <v>22</v>
      </c>
      <c r="F6" s="36"/>
      <c r="G6" s="38">
        <v>10.0</v>
      </c>
      <c r="H6" s="36" t="s">
        <v>40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 t="s">
        <v>41</v>
      </c>
      <c r="U6" s="40"/>
      <c r="V6" s="40"/>
      <c r="W6" s="40"/>
      <c r="X6" s="40"/>
      <c r="Y6" s="42">
        <v>1.0</v>
      </c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 t="s">
        <v>21</v>
      </c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4" t="s">
        <v>33</v>
      </c>
      <c r="BR6" s="40" t="s">
        <v>28</v>
      </c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