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GetMarkPriceData" sheetId="6" r:id="rId8"/>
    <sheet state="visible" name="GetForexConversion" sheetId="7" r:id="rId9"/>
    <sheet state="visible" name="UpdateMarkPriceMonthly" sheetId="8" r:id="rId10"/>
    <sheet state="visible" name="UpdateForexConversionMonthly" sheetId="9" r:id="rId11"/>
    <sheet state="visible" name="GetActivityData" sheetId="10" r:id="rId12"/>
    <sheet state="visible" name="VerifyActivity" sheetId="11" r:id="rId13"/>
    <sheet state="visible" name="GetTradingTransaction" sheetId="12" r:id="rId14"/>
    <sheet state="visible" name="VerifyTradingTransaction" sheetId="13" r:id="rId15"/>
    <sheet state="visible" name="GetDailyCalculationsData" sheetId="14" r:id="rId16"/>
    <sheet state="visible" name="VerifyDailyCalTransactions" sheetId="15" r:id="rId17"/>
    <sheet state="visible" name="VerifyTradingTransaction1" sheetId="16" r:id="rId18"/>
    <sheet state="visible" name="GetDayEndCash" sheetId="17" r:id="rId19"/>
    <sheet state="visible" name="VerifyDayEndCash" sheetId="18" r:id="rId20"/>
    <sheet state="visible" name="GetAccountBalance" sheetId="19" r:id="rId21"/>
    <sheet state="visible" name="VerifyActivity1" sheetId="20" r:id="rId22"/>
    <sheet state="visible" name="SelectAllocatedGroup" sheetId="21" r:id="rId23"/>
    <sheet state="visible" name="EditAllocatedGroupSidePanel" sheetId="22" r:id="rId24"/>
    <sheet state="visible" name="SelectAllocatedGroup1" sheetId="23" r:id="rId25"/>
    <sheet state="visible" name="EditAllocatedGroupSidePanel1" sheetId="24" r:id="rId26"/>
    <sheet state="visible" name="VerifyTradingTransaction2" sheetId="25" r:id="rId27"/>
    <sheet state="visible" name="VerifyDayEndCash1" sheetId="26" r:id="rId28"/>
    <sheet state="visible" name="GetAccountBalance1" sheetId="27" r:id="rId29"/>
    <sheet state="visible" name="GetRevaluationData" sheetId="28" r:id="rId30"/>
    <sheet state="visible" name="VerifyRevaluationData" sheetId="29" r:id="rId31"/>
    <sheet state="visible" name="GetRevaluationData1" sheetId="30" r:id="rId32"/>
    <sheet state="visible" name="VerifyRevaluationData1" sheetId="31" r:id="rId33"/>
  </sheets>
  <definedNames/>
  <calcPr/>
</workbook>
</file>

<file path=xl/sharedStrings.xml><?xml version="1.0" encoding="utf-8"?>
<sst xmlns="http://schemas.openxmlformats.org/spreadsheetml/2006/main" count="4053" uniqueCount="258">
  <si>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</si>
  <si>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</si>
  <si>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</si>
  <si>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</si>
  <si>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</si>
  <si>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</si>
  <si>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</si>
  <si>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</si>
  <si>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</si>
  <si>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</si>
  <si>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</si>
  <si>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</si>
  <si>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</si>
  <si>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</si>
  <si>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</si>
  <si>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</si>
  <si>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</si>
  <si>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</si>
  <si>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</si>
  <si>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</si>
  <si>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</si>
  <si>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</si>
  <si>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CreateStageOrder</t>
  </si>
  <si>
    <t>CreateReplaceOrder</t>
  </si>
  <si>
    <t>SetGeneralPreference</t>
  </si>
  <si>
    <t>CreateNewSubOrder</t>
  </si>
  <si>
    <t>TradeBloomberg</t>
  </si>
  <si>
    <t>ClickSymbolLookup</t>
  </si>
  <si>
    <t>VerifyTT</t>
  </si>
  <si>
    <t>CreateLiveOrder</t>
  </si>
  <si>
    <t>EF828225</t>
  </si>
  <si>
    <t>Buy</t>
  </si>
  <si>
    <t>Allocation1</t>
  </si>
  <si>
    <t>GS</t>
  </si>
  <si>
    <t>Flat Amount</t>
  </si>
  <si>
    <t>Sell</t>
  </si>
  <si>
    <t>Allocation</t>
  </si>
  <si>
    <t>GetDataAllocation</t>
  </si>
  <si>
    <t>CheckAllocatedGroups</t>
  </si>
  <si>
    <t>Unallocate</t>
  </si>
  <si>
    <t>SelectAllocatedGroup</t>
  </si>
  <si>
    <t>EditTradesAllocated</t>
  </si>
  <si>
    <t>EditTradesUnallocated</t>
  </si>
  <si>
    <t>Reallocate</t>
  </si>
  <si>
    <t>CleanUp</t>
  </si>
  <si>
    <t>EditUnallocatedGroupSidePanel</t>
  </si>
  <si>
    <t>TradeAttributeBulkChange</t>
  </si>
  <si>
    <t>ApplyBulkUpdateOnGroups</t>
  </si>
  <si>
    <t>ApplyPrefetchFilters</t>
  </si>
  <si>
    <t>GeneralPreferencesDefaultRule</t>
  </si>
  <si>
    <t>GeneralPrefCompanyUserWise</t>
  </si>
  <si>
    <t>RenameTradeAttributes</t>
  </si>
  <si>
    <t>SetGroupingRules</t>
  </si>
  <si>
    <t>SetMasterFundRatio</t>
  </si>
  <si>
    <t>CheckFixedPreference</t>
  </si>
  <si>
    <t>GetFixedPreference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</si>
  <si>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</si>
  <si>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</si>
  <si>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</si>
  <si>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</si>
  <si>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</si>
  <si>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</si>
  <si>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BookOrUpdateSwap</t>
  </si>
  <si>
    <t>RunProrata</t>
  </si>
  <si>
    <t>SetDefaultRuleCalculatedPref</t>
  </si>
  <si>
    <t>SetAccountValueCalculatedPref</t>
  </si>
  <si>
    <t>TradeAttributeBulkChangeGroups</t>
  </si>
  <si>
    <t>TradeAttributeBulkChangeTaxlots</t>
  </si>
  <si>
    <t>AddCalculatedPreferenceToolbar</t>
  </si>
  <si>
    <t>SetStrategyValueCalculatedPref</t>
  </si>
  <si>
    <t>ApplyBulkUpdateOnTaxlots</t>
  </si>
  <si>
    <t>CommissionBulkChangeOnGroups</t>
  </si>
  <si>
    <t>CommissionBulkChangeOnTaxlots</t>
  </si>
  <si>
    <t>SelectUnallocatedGroup</t>
  </si>
  <si>
    <t>EnterAccountValuesToAllocate</t>
  </si>
  <si>
    <t>EnterAllocatePreference</t>
  </si>
  <si>
    <t>EnterStrategyValuesToAllocate</t>
  </si>
  <si>
    <t>CopyCalculatedPreferenceToolbar</t>
  </si>
  <si>
    <t>SetGeneralRuleCalculatedPref</t>
  </si>
  <si>
    <t>ExportAllCalculatedPreferences</t>
  </si>
  <si>
    <t>SaveCalculatedPreferences</t>
  </si>
  <si>
    <t>CloseCalculatedPreferences</t>
  </si>
  <si>
    <t>ExportCalculatedPreference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</si>
  <si>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</si>
  <si>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</si>
  <si>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</si>
  <si>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</si>
  <si>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</si>
  <si>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</si>
  <si>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</si>
  <si>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</si>
  <si>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</si>
  <si>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EditAllocatedGroupSidePanel</t>
  </si>
  <si>
    <t>CheckUnallocatedGroups</t>
  </si>
  <si>
    <t>SetGeneralPreferences</t>
  </si>
  <si>
    <t>UngroupTrades</t>
  </si>
  <si>
    <t>GroupTrades</t>
  </si>
  <si>
    <t>DeleteGroup</t>
  </si>
  <si>
    <t>CloseOrder</t>
  </si>
  <si>
    <t>CloseAllocation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</si>
  <si>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</si>
  <si>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</si>
  <si>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</si>
  <si>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</si>
  <si>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</si>
  <si>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</si>
  <si>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</si>
  <si>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</si>
  <si>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</si>
  <si>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</si>
  <si>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</si>
  <si>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</si>
  <si>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</si>
  <si>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</si>
  <si>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</si>
  <si>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</si>
  <si>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</si>
  <si>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</si>
  <si>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</si>
  <si>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</si>
  <si>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</si>
  <si>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</si>
  <si>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</si>
  <si>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</si>
  <si>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EditUnallocatedGrid</t>
  </si>
  <si>
    <t>EditAllocatedGrid</t>
  </si>
  <si>
    <t>SaveLayoutAllocatedGrid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</si>
  <si>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</si>
  <si>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</si>
  <si>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</si>
  <si>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</si>
  <si>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</si>
  <si>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</si>
  <si>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Historical</t>
  </si>
  <si>
    <t>DailyValuation</t>
  </si>
  <si>
    <t>GetMarkPriceData</t>
  </si>
  <si>
    <t>UpdateDailyCash</t>
  </si>
  <si>
    <t>UpdateForexConversion</t>
  </si>
  <si>
    <t>UpdateMarkPrice</t>
  </si>
  <si>
    <t>GetForwardPoints</t>
  </si>
  <si>
    <t>UpdateForwardPoints</t>
  </si>
  <si>
    <t>DeleteNAV</t>
  </si>
  <si>
    <t>GetForexConversion</t>
  </si>
  <si>
    <t>GetDailyCash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</si>
  <si>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</si>
  <si>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</si>
  <si>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</si>
  <si>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</si>
  <si>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</si>
  <si>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</si>
  <si>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</si>
  <si>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</si>
  <si>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</si>
  <si>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</si>
  <si>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</si>
  <si>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UpdateBeta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</si>
  <si>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</si>
  <si>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</si>
  <si>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</si>
  <si>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</si>
  <si>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</si>
  <si>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</si>
  <si>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UpdateMarkPriceMonthly.</t>
  </si>
  <si>
    <t>UpdateMarkPriceMonthly</t>
  </si>
  <si>
    <t>AUD</t>
  </si>
  <si>
    <t>USD</t>
  </si>
  <si>
    <t>EF828226</t>
  </si>
  <si>
    <t>EF828227</t>
  </si>
  <si>
    <t>EF828228</t>
  </si>
  <si>
    <t>EF828229</t>
  </si>
  <si>
    <t>GeneralLedger</t>
  </si>
  <si>
    <t>GetActivityData</t>
  </si>
  <si>
    <t>EnterCashDividends</t>
  </si>
  <si>
    <t>EnterNonTradingTransaction</t>
  </si>
  <si>
    <t>VerifyCash</t>
  </si>
  <si>
    <t>VerifyActivity</t>
  </si>
  <si>
    <t>VerifyTradingTransaction</t>
  </si>
  <si>
    <t>VerifyRevaluationData</t>
  </si>
  <si>
    <t>GetTradingTransaction</t>
  </si>
  <si>
    <t>GetRevaluationData</t>
  </si>
  <si>
    <t>GetAccountDetails</t>
  </si>
  <si>
    <t>GetNonTradingTransaction</t>
  </si>
  <si>
    <t>GetDividendData</t>
  </si>
  <si>
    <t>VerifyNonTradingTransaction</t>
  </si>
  <si>
    <t>VerifyDividend</t>
  </si>
  <si>
    <t>GetOpeningBalanceData</t>
  </si>
  <si>
    <t>GetAccountBalance</t>
  </si>
  <si>
    <t>SelectNonTradingTransaction</t>
  </si>
  <si>
    <t>SelectNonTradingTranItem</t>
  </si>
  <si>
    <t>DeleteNonTradingTransaction</t>
  </si>
  <si>
    <t>DeleteNonTradingTranItem</t>
  </si>
  <si>
    <t>AddNonTradingTransaction</t>
  </si>
  <si>
    <t>AddNonTradingTranItem</t>
  </si>
  <si>
    <t>VerifyOpeningBalanceData</t>
  </si>
  <si>
    <t>SelectOpeningBalanceTransaction</t>
  </si>
  <si>
    <t>SelectOpeningBalanceTranItem</t>
  </si>
  <si>
    <t>EditNonTradingTransaction</t>
  </si>
  <si>
    <t>EditNonTradingTranItem</t>
  </si>
  <si>
    <t>DeleteOpeningBalanceTransaction</t>
  </si>
  <si>
    <t>DeleteOpeningBalanceTranItem</t>
  </si>
  <si>
    <t>GetDayEndCash</t>
  </si>
  <si>
    <t>VerifyDayEndCash</t>
  </si>
  <si>
    <t>RunRevaluation</t>
  </si>
  <si>
    <t>CalculateDayEndCash</t>
  </si>
  <si>
    <t>GetCashTransaction</t>
  </si>
  <si>
    <t>SelectCashTransaction</t>
  </si>
  <si>
    <t>DeleteCashTransaction</t>
  </si>
  <si>
    <t>EditCashTransaction</t>
  </si>
  <si>
    <t>AddCashTransaction</t>
  </si>
  <si>
    <t>AddOpeningBalanceTransaction</t>
  </si>
  <si>
    <t>AddOpeningBalanceTranItem</t>
  </si>
  <si>
    <t>GetDailyCalculationsData</t>
  </si>
  <si>
    <t>CalculateDailyCalculations</t>
  </si>
  <si>
    <t>EditOpeningBalanceTransaction</t>
  </si>
  <si>
    <t>EditOpeningBalanceTranItem</t>
  </si>
  <si>
    <t>VerifyDailyCalTransactions</t>
  </si>
  <si>
    <t>CloseGeneralLedger</t>
  </si>
  <si>
    <t>VerifyAccountDetails</t>
  </si>
  <si>
    <t>SaveTransaction</t>
  </si>
  <si>
    <t>NewMF</t>
  </si>
  <si>
    <t>Yes</t>
  </si>
  <si>
    <t>Trading</t>
  </si>
  <si>
    <t>BondL</t>
  </si>
  <si>
    <t>Cash</t>
  </si>
  <si>
    <t>M</t>
  </si>
  <si>
    <t>Bond_Trading_Interest</t>
  </si>
  <si>
    <t>Bond_Interest_Received</t>
  </si>
  <si>
    <t>DR</t>
  </si>
  <si>
    <t>Investment - Long Bond [Asset]</t>
  </si>
  <si>
    <t>CR</t>
  </si>
  <si>
    <t>Cash [Cash]</t>
  </si>
  <si>
    <t>Interest - Payable [Liability]</t>
  </si>
  <si>
    <t>Interest - Receivable [Asset]</t>
  </si>
  <si>
    <t>Bond_Interest_Receivable</t>
  </si>
  <si>
    <t>DailyCalculation</t>
  </si>
  <si>
    <t>BrokerNotes</t>
  </si>
  <si>
    <t>Daily Calculation</t>
  </si>
  <si>
    <t>Interest - Income [Income]</t>
  </si>
  <si>
    <t>Revaluation</t>
  </si>
  <si>
    <t>BondLongUnRealizedPNL</t>
  </si>
  <si>
    <t>UnRealized PNL Entry</t>
  </si>
  <si>
    <t>Accrual</t>
  </si>
  <si>
    <t>CashUnRealizedPNL</t>
  </si>
  <si>
    <t>Contra FXRate PNL Entry</t>
  </si>
  <si>
    <t>Unrealized To Cash FXRate PNL Entry</t>
  </si>
  <si>
    <t>AccrualsRevaluation</t>
  </si>
  <si>
    <t>Contra Accrual DayEnd FXRate PNL Entry</t>
  </si>
  <si>
    <t>Accrual to Unrealized DayEnd FXRate PNL Entry</t>
  </si>
  <si>
    <t>Contra UnRealized PNL Entry</t>
  </si>
  <si>
    <t>Cash PNL Entry</t>
  </si>
  <si>
    <t>Contra Cash PNL Entry</t>
  </si>
  <si>
    <t>Accruals PNL Entry</t>
  </si>
  <si>
    <t>Contra Accruals PNL Entry</t>
  </si>
  <si>
    <t>Cash to Unrealized FXRate PNL Entry</t>
  </si>
  <si>
    <t>Bond Long Revaluation [Asset]</t>
  </si>
  <si>
    <t>Bond UnRealized Profit And Loss [Income]</t>
  </si>
  <si>
    <t>Cash UnRealized Profit And Loss [Income]</t>
  </si>
  <si>
    <t>Accruals UnRealized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</si>
</sst>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"/>
    <numFmt numFmtId="167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3" fillId="6" fontId="4" numFmtId="0" xfId="0" applyAlignment="1" applyBorder="1" applyFont="1">
      <alignment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Font="1"/>
    <xf borderId="4" fillId="6" fontId="4" numFmtId="0" xfId="0" applyAlignment="1" applyBorder="1" applyFont="1">
      <alignment shrinkToFit="0" wrapText="0"/>
    </xf>
    <xf borderId="0" fillId="4" fontId="14" numFmtId="0" xfId="0" applyAlignment="1" applyFont="1">
      <alignment shrinkToFit="0" wrapText="0"/>
    </xf>
    <xf borderId="0" fillId="4" fontId="0" numFmtId="0" xfId="0" applyAlignment="1" applyFont="1">
      <alignment horizontal="left"/>
    </xf>
    <xf borderId="0" fillId="4" fontId="0" numFmtId="165" xfId="0" applyAlignment="1" applyFont="1" applyNumberFormat="1">
      <alignment horizontal="left"/>
    </xf>
    <xf borderId="0" fillId="4" fontId="14" numFmtId="164" xfId="0" applyAlignment="1" applyFont="1" applyNumberFormat="1">
      <alignment horizontal="right" vertical="bottom"/>
    </xf>
    <xf borderId="0" fillId="4" fontId="14" numFmtId="0" xfId="0" applyFont="1"/>
    <xf borderId="0" fillId="4" fontId="0" numFmtId="0" xfId="0" applyAlignment="1" applyFont="1">
      <alignment horizontal="right"/>
    </xf>
    <xf borderId="0" fillId="4" fontId="15" numFmtId="0" xfId="0" applyAlignment="1" applyFont="1">
      <alignment horizontal="right"/>
    </xf>
    <xf borderId="0" fillId="4" fontId="16" numFmtId="0" xfId="0" applyAlignment="1" applyFont="1">
      <alignment horizontal="right"/>
    </xf>
    <xf borderId="0" fillId="4" fontId="0" numFmtId="166" xfId="0" applyAlignment="1" applyFont="1" applyNumberFormat="1">
      <alignment horizontal="left"/>
    </xf>
    <xf borderId="0" fillId="4" fontId="0" numFmtId="167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8" t="s">
        <v>4</v>
      </c>
      <c r="C3" s="6"/>
    </row>
    <row r="4" ht="15.75" customHeight="1">
      <c r="A4" s="4" t="s">
        <v>5</v>
      </c>
      <c r="B4" s="9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4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16</v>
      </c>
      <c r="D4" s="18" t="s">
        <v>17</v>
      </c>
      <c r="E4" s="18" t="s">
        <v>18</v>
      </c>
      <c r="F4" s="18" t="s">
        <v>19</v>
      </c>
      <c r="G4" s="18" t="s">
        <v>20</v>
      </c>
      <c r="H4" s="18" t="s">
        <v>21</v>
      </c>
      <c r="I4" s="18" t="s">
        <v>22</v>
      </c>
      <c r="J4" s="18" t="s">
        <v>23</v>
      </c>
      <c r="K4" s="18" t="s">
        <v>24</v>
      </c>
      <c r="L4" s="18" t="s">
        <v>13</v>
      </c>
      <c r="M4" s="18" t="s">
        <v>25</v>
      </c>
      <c r="N4" s="18" t="s">
        <v>26</v>
      </c>
      <c r="O4" s="18" t="s">
        <v>27</v>
      </c>
      <c r="P4" s="19" t="s">
        <v>28</v>
      </c>
      <c r="Q4" s="19" t="s">
        <v>29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IFERROR(__xludf.DUMMYFUNCTION("""COMPUTED_VALUE"""),"Order Side")</f>
        <v>Order Side</v>
      </c>
      <c r="D5" s="21" t="str">
        <f>IFERROR(__xludf.DUMMYFUNCTION("""COMPUTED_VALUE"""),"Quantity")</f>
        <v>Quantity</v>
      </c>
      <c r="E5" s="21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1" t="str">
        <f>IFERROR(__xludf.DUMMYFUNCTION("""COMPUTED_VALUE"""),"Broker")</f>
        <v>Broker</v>
      </c>
      <c r="H5" s="21" t="str">
        <f>IFERROR(__xludf.DUMMYFUNCTION("""COMPUTED_VALUE"""),"TIF")</f>
        <v>TIF</v>
      </c>
      <c r="I5" s="21" t="str">
        <f>IFERROR(__xludf.DUMMYFUNCTION("""COMPUTED_VALUE"""),"Order Type")</f>
        <v>Order Type</v>
      </c>
      <c r="J5" s="21" t="str">
        <f>IFERROR(__xludf.DUMMYFUNCTION("""COMPUTED_VALUE"""),"Price")</f>
        <v>Price</v>
      </c>
      <c r="K5" s="21" t="str">
        <f>IFERROR(__xludf.DUMMYFUNCTION("""COMPUTED_VALUE"""),"Stop")</f>
        <v>Stop</v>
      </c>
      <c r="L5" s="21" t="str">
        <f>IFERROR(__xludf.DUMMYFUNCTION("""COMPUTED_VALUE"""),"Limit")</f>
        <v>Limit</v>
      </c>
      <c r="M5" s="21" t="str">
        <f>IFERROR(__xludf.DUMMYFUNCTION("""COMPUTED_VALUE"""),"Strategy")</f>
        <v>Strategy</v>
      </c>
      <c r="N5" s="21" t="str">
        <f>IFERROR(__xludf.DUMMYFUNCTION("""COMPUTED_VALUE"""),"Trade Date")</f>
        <v>Trade Date</v>
      </c>
      <c r="O5" s="21" t="str">
        <f>IFERROR(__xludf.DUMMYFUNCTION("""COMPUTED_VALUE"""),"FxRate")</f>
        <v>FxRate</v>
      </c>
      <c r="P5" s="21" t="str">
        <f>IFERROR(__xludf.DUMMYFUNCTION("""COMPUTED_VALUE"""),"Notes")</f>
        <v>Notes</v>
      </c>
      <c r="Q5" s="21" t="str">
        <f>IFERROR(__xludf.DUMMYFUNCTION("""COMPUTED_VALUE"""),"Broker Notes")</f>
        <v>Broker Notes</v>
      </c>
      <c r="R5" s="21" t="str">
        <f>IFERROR(__xludf.DUMMYFUNCTION("""COMPUTED_VALUE"""),"CommissionBasis")</f>
        <v>CommissionBasis</v>
      </c>
      <c r="S5" s="21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IFERROR(__xludf.DUMMYFUNCTION("""COMPUTED_VALUE"""),"ChkBoxBookAsSwap")</f>
        <v>ChkBoxBookAsSwap</v>
      </c>
      <c r="AO5" s="22" t="str">
        <f>IFERROR(__xludf.DUMMYFUNCTION("""COMPUTED_VALUE"""),"PopUpQuantity")</f>
        <v>PopUpQuantity</v>
      </c>
      <c r="AP5" s="22" t="str">
        <f>IFERROR(__xludf.DUMMYFUNCTION("""COMPUTED_VALUE"""),"ShortLocate")</f>
        <v>ShortLocate</v>
      </c>
      <c r="AQ5" s="22" t="str">
        <f>IFERROR(__xludf.DUMMYFUNCTION("""COMPUTED_VALUE"""),"AllowTrade")</f>
        <v>AllowTrade</v>
      </c>
      <c r="AR5" s="22" t="str">
        <f>IFERROR(__xludf.DUMMYFUNCTION("""COMPUTED_VALUE"""),"SharesOutstandingPopUpQty")</f>
        <v>SharesOutstandingPopUpQty</v>
      </c>
      <c r="AS5" s="22" t="str">
        <f>IFERROR(__xludf.DUMMYFUNCTION("""COMPUTED_VALUE"""),"SharesOutstandingPopUp")</f>
        <v>SharesOutstandingPopUp</v>
      </c>
      <c r="AT5" s="22" t="str">
        <f>IFERROR(__xludf.DUMMYFUNCTION("""COMPUTED_VALUE"""),"ResAllowedListPopUp")</f>
        <v>ResAllowedListPopUp</v>
      </c>
      <c r="AU5" s="22" t="str">
        <f>IFERROR(__xludf.DUMMYFUNCTION("""COMPUTED_VALUE"""),"Rate(%)")</f>
        <v>Rate(%)</v>
      </c>
      <c r="AV5" s="22" t="str">
        <f>IFERROR(__xludf.DUMMYFUNCTION("""COMPUTED_VALUE"""),"Interest Rate")</f>
        <v>Interest Rate</v>
      </c>
      <c r="AW5" s="22" t="str">
        <f>IFERROR(__xludf.DUMMYFUNCTION("""COMPUTED_VALUE"""),"SelectAlgoStrategy")</f>
        <v>SelectAlgoStrategy</v>
      </c>
      <c r="AX5" s="22" t="str">
        <f>IFERROR(__xludf.DUMMYFUNCTION("""COMPUTED_VALUE"""),"Increase/Decrease Quantity")</f>
        <v>Increase/Decrease Quantity</v>
      </c>
      <c r="AY5" s="22" t="str">
        <f>IFERROR(__xludf.DUMMYFUNCTION("""COMPUTED_VALUE"""),"Master Funds")</f>
        <v>Master Funds</v>
      </c>
      <c r="AZ5" s="22" t="str">
        <f>IFERROR(__xludf.DUMMYFUNCTION("""COMPUTED_VALUE"""),"TRVAccountName")</f>
        <v>TRVAccountName</v>
      </c>
      <c r="BA5" s="22" t="str">
        <f>IFERROR(__xludf.DUMMYFUNCTION("""COMPUTED_VALUE"""),"TRVTradeQuantity")</f>
        <v>TRVTradeQuantity</v>
      </c>
      <c r="BB5" s="22" t="str">
        <f>IFERROR(__xludf.DUMMYFUNCTION("""COMPUTED_VALUE"""),"TRVCurrentPosition")</f>
        <v>TRVCurrentPosition</v>
      </c>
      <c r="BC5" s="22" t="str">
        <f>IFERROR(__xludf.DUMMYFUNCTION("""COMPUTED_VALUE"""),"TRVNav")</f>
        <v>TRVNav</v>
      </c>
      <c r="BD5" s="22" t="str">
        <f>IFERROR(__xludf.DUMMYFUNCTION("""COMPUTED_VALUE"""),"Account QTY")</f>
        <v>Account QTY</v>
      </c>
      <c r="BE5" s="22" t="str">
        <f>IFERROR(__xludf.DUMMYFUNCTION("""COMPUTED_VALUE"""),"DoneAwayClickOnNO")</f>
        <v>DoneAwayClickOnNO</v>
      </c>
      <c r="BF5" s="22" t="str">
        <f>IFERROR(__xludf.DUMMYFUNCTION("""COMPUTED_VALUE"""),"HotbuttonQty")</f>
        <v>HotbuttonQty</v>
      </c>
      <c r="BG5" s="22" t="str">
        <f>IFERROR(__xludf.DUMMYFUNCTION("""COMPUTED_VALUE"""),"HotButtonPrice")</f>
        <v>HotButtonPrice</v>
      </c>
      <c r="BH5" s="22" t="str">
        <f>IFERROR(__xludf.DUMMYFUNCTION("""COMPUTED_VALUE"""),"HotButtonLimit")</f>
        <v>HotButtonLimit</v>
      </c>
      <c r="BI5" s="22" t="str">
        <f>IFERROR(__xludf.DUMMYFUNCTION("""COMPUTED_VALUE"""),"HotButtonStop")</f>
        <v>HotButtonStop</v>
      </c>
      <c r="BJ5" s="22" t="str">
        <f>IFERROR(__xludf.DUMMYFUNCTION("""COMPUTED_VALUE"""),"Broker PadLock")</f>
        <v>Broker PadLock</v>
      </c>
      <c r="BK5" s="22" t="str">
        <f>IFERROR(__xludf.DUMMYFUNCTION("""COMPUTED_VALUE"""),"TradeBy")</f>
        <v>TradeBy</v>
      </c>
      <c r="BL5" s="22" t="str">
        <f>IFERROR(__xludf.DUMMYFUNCTION("""COMPUTED_VALUE"""),"PendingApprovalPopUp")</f>
        <v>PendingApprovalPopUp</v>
      </c>
      <c r="BM5" s="22"/>
      <c r="BN5" s="22"/>
      <c r="BO5" s="22"/>
      <c r="BP5" s="22"/>
      <c r="BQ5" s="22"/>
      <c r="BR5" s="22"/>
      <c r="BS5" s="22"/>
      <c r="BT5" s="22"/>
      <c r="BU5" s="22"/>
      <c r="BV5" s="22"/>
    </row>
    <row r="6" ht="15.75" customHeight="1">
      <c r="A6" s="3"/>
      <c r="B6" s="3" t="s">
        <v>30</v>
      </c>
      <c r="C6" s="23" t="s">
        <v>31</v>
      </c>
      <c r="D6" s="3">
        <v>100.0</v>
      </c>
      <c r="E6" s="3">
        <v>100.0</v>
      </c>
      <c r="F6" s="23" t="s">
        <v>32</v>
      </c>
      <c r="G6" s="3" t="s">
        <v>33</v>
      </c>
      <c r="H6" s="3"/>
      <c r="I6" s="3"/>
      <c r="J6" s="24">
        <v>14.0</v>
      </c>
      <c r="K6" s="3"/>
      <c r="L6" s="3"/>
      <c r="M6" s="3"/>
      <c r="N6" s="25">
        <v>43290.0</v>
      </c>
      <c r="O6" s="3">
        <v>1.5</v>
      </c>
      <c r="P6" s="26"/>
      <c r="Q6" s="26"/>
      <c r="R6" s="23" t="s">
        <v>34</v>
      </c>
      <c r="S6" s="24">
        <v>70.0</v>
      </c>
      <c r="T6" s="23" t="s">
        <v>34</v>
      </c>
      <c r="U6" s="24">
        <v>10.0</v>
      </c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</row>
    <row r="7" ht="15.75" customHeight="1">
      <c r="A7" s="3"/>
      <c r="B7" s="3" t="s">
        <v>30</v>
      </c>
      <c r="C7" s="23" t="s">
        <v>35</v>
      </c>
      <c r="D7" s="3">
        <v>50.0</v>
      </c>
      <c r="E7" s="3">
        <v>50.0</v>
      </c>
      <c r="F7" s="23" t="s">
        <v>32</v>
      </c>
      <c r="G7" s="3" t="s">
        <v>33</v>
      </c>
      <c r="H7" s="3"/>
      <c r="I7" s="3"/>
      <c r="J7" s="24">
        <v>12.0</v>
      </c>
      <c r="K7" s="3"/>
      <c r="L7" s="3"/>
      <c r="M7" s="3"/>
      <c r="N7" s="25">
        <v>43292.0</v>
      </c>
      <c r="O7" s="3">
        <v>1.8</v>
      </c>
      <c r="P7" s="26"/>
      <c r="Q7" s="26"/>
      <c r="R7" s="23" t="s">
        <v>34</v>
      </c>
      <c r="S7" s="24">
        <v>30.0</v>
      </c>
      <c r="T7" s="23" t="s">
        <v>34</v>
      </c>
      <c r="U7" s="24">
        <v>10.0</v>
      </c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37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38</v>
      </c>
      <c r="D4" s="18" t="s">
        <v>39</v>
      </c>
      <c r="E4" s="18" t="s">
        <v>37</v>
      </c>
      <c r="F4" s="18" t="s">
        <v>40</v>
      </c>
      <c r="G4" s="18" t="s">
        <v>41</v>
      </c>
      <c r="H4" s="18" t="s">
        <v>42</v>
      </c>
      <c r="I4" s="18" t="s">
        <v>43</v>
      </c>
      <c r="J4" s="18" t="s">
        <v>44</v>
      </c>
      <c r="K4" s="18" t="s">
        <v>45</v>
      </c>
      <c r="L4" s="18" t="s">
        <v>46</v>
      </c>
      <c r="M4" s="18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61</v>
      </c>
      <c r="AB4" s="19" t="s">
        <v>62</v>
      </c>
      <c r="AC4" s="19" t="s">
        <v>63</v>
      </c>
      <c r="AD4" s="19" t="s">
        <v>64</v>
      </c>
      <c r="AE4" s="19" t="s">
        <v>65</v>
      </c>
      <c r="AF4" s="19" t="s">
        <v>66</v>
      </c>
      <c r="AG4" s="19" t="s">
        <v>67</v>
      </c>
      <c r="AH4" s="19" t="s">
        <v>68</v>
      </c>
      <c r="AI4" s="19" t="s">
        <v>69</v>
      </c>
      <c r="AJ4" s="19" t="s">
        <v>70</v>
      </c>
      <c r="AK4" s="19" t="s">
        <v>71</v>
      </c>
      <c r="AL4" s="19" t="s">
        <v>72</v>
      </c>
      <c r="AM4" s="19" t="s">
        <v>73</v>
      </c>
      <c r="AN4" s="19" t="s">
        <v>74</v>
      </c>
      <c r="AO4" s="19" t="s">
        <v>75</v>
      </c>
      <c r="AP4" s="19" t="s">
        <v>76</v>
      </c>
      <c r="AQ4" s="19" t="s">
        <v>77</v>
      </c>
      <c r="AR4" s="19" t="s">
        <v>78</v>
      </c>
      <c r="AS4" s="19" t="s">
        <v>79</v>
      </c>
      <c r="AT4" s="19" t="s">
        <v>80</v>
      </c>
      <c r="AU4" s="19" t="s">
        <v>80</v>
      </c>
      <c r="AV4" s="19" t="s">
        <v>81</v>
      </c>
      <c r="AW4" s="19" t="s">
        <v>82</v>
      </c>
      <c r="AX4" s="19" t="s">
        <v>83</v>
      </c>
      <c r="AY4" s="19" t="s">
        <v>84</v>
      </c>
      <c r="AZ4" s="19" t="s">
        <v>85</v>
      </c>
      <c r="BA4" s="19" t="s">
        <v>86</v>
      </c>
      <c r="BB4" s="19" t="s">
        <v>87</v>
      </c>
      <c r="BC4" s="19" t="s">
        <v>88</v>
      </c>
      <c r="BD4" s="19" t="s">
        <v>89</v>
      </c>
      <c r="BE4" s="19" t="s">
        <v>90</v>
      </c>
      <c r="BF4" s="19" t="s">
        <v>91</v>
      </c>
      <c r="BG4" s="19" t="s">
        <v>92</v>
      </c>
      <c r="BH4" s="19" t="s">
        <v>93</v>
      </c>
      <c r="BI4" s="19" t="s">
        <v>94</v>
      </c>
      <c r="BJ4" s="19" t="s">
        <v>95</v>
      </c>
      <c r="BK4" s="19" t="s">
        <v>96</v>
      </c>
      <c r="BL4" s="19" t="s">
        <v>97</v>
      </c>
      <c r="BM4" s="19" t="s">
        <v>98</v>
      </c>
      <c r="BN4" s="19" t="s">
        <v>39</v>
      </c>
      <c r="BO4" s="19" t="s">
        <v>99</v>
      </c>
      <c r="BP4" s="19" t="s">
        <v>100</v>
      </c>
      <c r="BQ4" s="19" t="s">
        <v>101</v>
      </c>
      <c r="BR4" s="19" t="s">
        <v>102</v>
      </c>
      <c r="BS4" s="19" t="s">
        <v>103</v>
      </c>
      <c r="BT4" s="19" t="s">
        <v>104</v>
      </c>
      <c r="BU4" s="19" t="s">
        <v>105</v>
      </c>
      <c r="BV4" s="19" t="s">
        <v>106</v>
      </c>
      <c r="BW4" s="19" t="s">
        <v>107</v>
      </c>
      <c r="BX4" s="19" t="s">
        <v>108</v>
      </c>
      <c r="BY4" s="19" t="s">
        <v>109</v>
      </c>
      <c r="BZ4" s="19" t="s">
        <v>110</v>
      </c>
      <c r="CA4" s="19" t="s">
        <v>111</v>
      </c>
      <c r="CB4" s="19" t="s">
        <v>112</v>
      </c>
      <c r="CC4" s="19" t="s">
        <v>113</v>
      </c>
      <c r="CD4" s="19" t="s">
        <v>114</v>
      </c>
      <c r="CE4" s="19" t="s">
        <v>115</v>
      </c>
      <c r="CF4" s="19" t="s">
        <v>116</v>
      </c>
      <c r="CG4" s="19" t="s">
        <v>117</v>
      </c>
      <c r="CH4" s="19" t="s">
        <v>118</v>
      </c>
      <c r="CI4" s="19" t="s">
        <v>119</v>
      </c>
      <c r="CJ4" s="19" t="s">
        <v>120</v>
      </c>
      <c r="CK4" s="19" t="s">
        <v>121</v>
      </c>
      <c r="CL4" s="19" t="s">
        <v>122</v>
      </c>
      <c r="CM4" s="19" t="s">
        <v>122</v>
      </c>
      <c r="CN4" s="19" t="s">
        <v>123</v>
      </c>
      <c r="CO4" s="19" t="s">
        <v>124</v>
      </c>
      <c r="CP4" s="19" t="s">
        <v>125</v>
      </c>
      <c r="CQ4" s="19" t="s">
        <v>126</v>
      </c>
      <c r="CR4" s="19" t="s">
        <v>127</v>
      </c>
      <c r="CS4" s="19" t="s">
        <v>128</v>
      </c>
      <c r="CT4" s="19" t="s">
        <v>129</v>
      </c>
      <c r="CU4" s="19" t="s">
        <v>130</v>
      </c>
      <c r="CV4" s="19" t="s">
        <v>131</v>
      </c>
      <c r="CW4" s="19" t="s">
        <v>132</v>
      </c>
      <c r="CX4" s="19" t="s">
        <v>62</v>
      </c>
      <c r="CY4" s="19" t="s">
        <v>63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IFERROR(__xludf.DUMMYFUNCTION("""COMPUTED_VALUE"""),"RangeType")</f>
        <v>RangeType</v>
      </c>
      <c r="C5" s="21" t="str">
        <f>IFERROR(__xludf.DUMMYFUNCTION("""COMPUTED_VALUE"""),"From")</f>
        <v>From</v>
      </c>
      <c r="D5" s="21" t="str">
        <f>IFERROR(__xludf.DUMMYFUNCTION("""COMPUTED_VALUE"""),"To")</f>
        <v>To</v>
      </c>
      <c r="E5" s="21" t="str">
        <f>IFERROR(__xludf.DUMMYFUNCTION("""COMPUTED_VALUE"""),"FilterTabName")</f>
        <v>FilterTabName</v>
      </c>
      <c r="F5" s="21" t="str">
        <f>IFERROR(__xludf.DUMMYFUNCTION("""COMPUTED_VALUE"""),"Symbol")</f>
        <v>Symbol</v>
      </c>
      <c r="G5" s="21" t="str">
        <f>IFERROR(__xludf.DUMMYFUNCTION("""COMPUTED_VALUE"""),"Asset")</f>
        <v>Asset</v>
      </c>
      <c r="H5" s="21" t="str">
        <f>IFERROR(__xludf.DUMMYFUNCTION("""COMPUTED_VALUE"""),"Side")</f>
        <v>Side</v>
      </c>
      <c r="I5" s="21" t="str">
        <f>IFERROR(__xludf.DUMMYFUNCTION("""COMPUTED_VALUE"""),"Account")</f>
        <v>Account</v>
      </c>
      <c r="J5" s="21" t="str">
        <f>IFERROR(__xludf.DUMMYFUNCTION("""COMPUTED_VALUE"""),"Broker")</f>
        <v>Broker</v>
      </c>
      <c r="K5" s="21" t="str">
        <f>IFERROR(__xludf.DUMMYFUNCTION("""COMPUTED_VALUE"""),"Currency")</f>
        <v>Currency</v>
      </c>
      <c r="L5" s="21" t="str">
        <f>IFERROR(__xludf.DUMMYFUNCTION("""COMPUTED_VALUE"""),"Exchange")</f>
        <v>Exchange</v>
      </c>
      <c r="M5" s="21" t="str">
        <f>IFERROR(__xludf.DUMMYFUNCTION("""COMPUTED_VALUE"""),"StrategyName")</f>
        <v>StrategyName</v>
      </c>
      <c r="N5" s="21" t="str">
        <f>IFERROR(__xludf.DUMMYFUNCTION("""COMPUTED_VALUE"""),"Underlying")</f>
        <v>Underlying</v>
      </c>
      <c r="O5" s="21" t="str">
        <f>IFERROR(__xludf.DUMMYFUNCTION("""COMPUTED_VALUE"""),"Venue")</f>
        <v>Venue</v>
      </c>
      <c r="P5" s="21" t="str">
        <f>IFERROR(__xludf.DUMMYFUNCTION("""COMPUTED_VALUE"""),"TradingAccount")</f>
        <v>TradingAccount</v>
      </c>
      <c r="Q5" s="21" t="str">
        <f>IFERROR(__xludf.DUMMYFUNCTION("""COMPUTED_VALUE"""),"PreAllocated")</f>
        <v>PreAllocated</v>
      </c>
      <c r="R5" s="21" t="str">
        <f>IFERROR(__xludf.DUMMYFUNCTION("""COMPUTED_VALUE"""),"ManualGroup")</f>
        <v>ManualGroup</v>
      </c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3"/>
      <c r="B6" s="3" t="s">
        <v>133</v>
      </c>
      <c r="C6" s="25">
        <v>43290.0</v>
      </c>
      <c r="D6" s="25">
        <v>43294.0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134</v>
      </c>
      <c r="D3" s="4" t="s">
        <v>9</v>
      </c>
      <c r="E3" s="10" t="s">
        <v>135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136</v>
      </c>
      <c r="D4" s="18" t="s">
        <v>137</v>
      </c>
      <c r="E4" s="18" t="s">
        <v>138</v>
      </c>
      <c r="F4" s="18" t="s">
        <v>44</v>
      </c>
      <c r="G4" s="18" t="s">
        <v>135</v>
      </c>
      <c r="H4" s="18" t="s">
        <v>139</v>
      </c>
      <c r="I4" s="18" t="s">
        <v>140</v>
      </c>
      <c r="J4" s="18" t="s">
        <v>141</v>
      </c>
      <c r="K4" s="18" t="s">
        <v>142</v>
      </c>
      <c r="L4" s="18" t="s">
        <v>143</v>
      </c>
      <c r="M4" s="18" t="s">
        <v>144</v>
      </c>
      <c r="N4" s="18" t="s">
        <v>145</v>
      </c>
      <c r="O4" s="18" t="s">
        <v>146</v>
      </c>
      <c r="P4" s="19" t="s">
        <v>147</v>
      </c>
      <c r="Q4" s="19" t="s">
        <v>148</v>
      </c>
      <c r="R4" s="19" t="s">
        <v>149</v>
      </c>
      <c r="S4" s="19" t="s">
        <v>150</v>
      </c>
      <c r="T4" s="19" t="s">
        <v>151</v>
      </c>
      <c r="U4" s="19" t="s">
        <v>152</v>
      </c>
      <c r="V4" s="19" t="s">
        <v>153</v>
      </c>
      <c r="W4" s="19" t="s">
        <v>154</v>
      </c>
      <c r="X4" s="19" t="s">
        <v>155</v>
      </c>
      <c r="Y4" s="19" t="s">
        <v>156</v>
      </c>
      <c r="Z4" s="19" t="s">
        <v>136</v>
      </c>
      <c r="AA4" s="19" t="s">
        <v>157</v>
      </c>
      <c r="AB4" s="19" t="s">
        <v>158</v>
      </c>
      <c r="AC4" s="19" t="s">
        <v>159</v>
      </c>
      <c r="AD4" s="19" t="s">
        <v>160</v>
      </c>
      <c r="AE4" s="19" t="s">
        <v>161</v>
      </c>
      <c r="AF4" s="19" t="s">
        <v>162</v>
      </c>
      <c r="AG4" s="19" t="s">
        <v>163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IFERROR(__xludf.DUMMYFUNCTION("""COMPUTED_VALUE"""),"Select Date")</f>
        <v>Select Date</v>
      </c>
      <c r="C5" s="21" t="str">
        <f>IFERROR(__xludf.DUMMYFUNCTION("""COMPUTED_VALUE"""),"Copy Date ")</f>
        <v>Copy Date 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ht="15.75" customHeight="1">
      <c r="A6" s="6"/>
      <c r="B6" s="25">
        <v>43290.0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134</v>
      </c>
      <c r="D3" s="4" t="s">
        <v>9</v>
      </c>
      <c r="E3" s="10" t="s">
        <v>142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136</v>
      </c>
      <c r="D4" s="18" t="s">
        <v>137</v>
      </c>
      <c r="E4" s="18" t="s">
        <v>138</v>
      </c>
      <c r="F4" s="18" t="s">
        <v>44</v>
      </c>
      <c r="G4" s="18" t="s">
        <v>135</v>
      </c>
      <c r="H4" s="18" t="s">
        <v>139</v>
      </c>
      <c r="I4" s="18" t="s">
        <v>140</v>
      </c>
      <c r="J4" s="18" t="s">
        <v>141</v>
      </c>
      <c r="K4" s="18" t="s">
        <v>142</v>
      </c>
      <c r="L4" s="18" t="s">
        <v>143</v>
      </c>
      <c r="M4" s="18" t="s">
        <v>144</v>
      </c>
      <c r="N4" s="18" t="s">
        <v>145</v>
      </c>
      <c r="O4" s="18" t="s">
        <v>146</v>
      </c>
      <c r="P4" s="19" t="s">
        <v>147</v>
      </c>
      <c r="Q4" s="19" t="s">
        <v>148</v>
      </c>
      <c r="R4" s="19" t="s">
        <v>149</v>
      </c>
      <c r="S4" s="19" t="s">
        <v>150</v>
      </c>
      <c r="T4" s="19" t="s">
        <v>151</v>
      </c>
      <c r="U4" s="19" t="s">
        <v>152</v>
      </c>
      <c r="V4" s="19" t="s">
        <v>153</v>
      </c>
      <c r="W4" s="19" t="s">
        <v>154</v>
      </c>
      <c r="X4" s="19" t="s">
        <v>155</v>
      </c>
      <c r="Y4" s="19" t="s">
        <v>156</v>
      </c>
      <c r="Z4" s="19" t="s">
        <v>136</v>
      </c>
      <c r="AA4" s="19" t="s">
        <v>157</v>
      </c>
      <c r="AB4" s="19" t="s">
        <v>158</v>
      </c>
      <c r="AC4" s="19" t="s">
        <v>159</v>
      </c>
      <c r="AD4" s="19" t="s">
        <v>160</v>
      </c>
      <c r="AE4" s="19" t="s">
        <v>161</v>
      </c>
      <c r="AF4" s="19" t="s">
        <v>162</v>
      </c>
      <c r="AG4" s="19" t="s">
        <v>163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IFERROR(__xludf.DUMMYFUNCTION("""COMPUTED_VALUE"""),"Select Date")</f>
        <v>Select Date</v>
      </c>
      <c r="C5" s="21" t="str">
        <f>IFERROR(__xludf.DUMMYFUNCTION("""COMPUTED_VALUE"""),"Copy Date")</f>
        <v>Copy Date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ht="15.75" customHeight="1">
      <c r="A6" s="6"/>
      <c r="B6" s="25">
        <v>43290.0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134</v>
      </c>
      <c r="D3" s="4" t="s">
        <v>9</v>
      </c>
      <c r="E3" s="10" t="s">
        <v>163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136</v>
      </c>
      <c r="D4" s="18" t="s">
        <v>137</v>
      </c>
      <c r="E4" s="18" t="s">
        <v>138</v>
      </c>
      <c r="F4" s="18" t="s">
        <v>44</v>
      </c>
      <c r="G4" s="18" t="s">
        <v>135</v>
      </c>
      <c r="H4" s="18" t="s">
        <v>139</v>
      </c>
      <c r="I4" s="18" t="s">
        <v>140</v>
      </c>
      <c r="J4" s="18" t="s">
        <v>141</v>
      </c>
      <c r="K4" s="18" t="s">
        <v>142</v>
      </c>
      <c r="L4" s="18" t="s">
        <v>143</v>
      </c>
      <c r="M4" s="18" t="s">
        <v>144</v>
      </c>
      <c r="N4" s="18" t="s">
        <v>145</v>
      </c>
      <c r="O4" s="18" t="s">
        <v>146</v>
      </c>
      <c r="P4" s="19" t="s">
        <v>147</v>
      </c>
      <c r="Q4" s="19" t="s">
        <v>148</v>
      </c>
      <c r="R4" s="19" t="s">
        <v>149</v>
      </c>
      <c r="S4" s="19" t="s">
        <v>150</v>
      </c>
      <c r="T4" s="19" t="s">
        <v>151</v>
      </c>
      <c r="U4" s="19" t="s">
        <v>152</v>
      </c>
      <c r="V4" s="19" t="s">
        <v>153</v>
      </c>
      <c r="W4" s="19" t="s">
        <v>154</v>
      </c>
      <c r="X4" s="19" t="s">
        <v>155</v>
      </c>
      <c r="Y4" s="19" t="s">
        <v>156</v>
      </c>
      <c r="Z4" s="19" t="s">
        <v>136</v>
      </c>
      <c r="AA4" s="19" t="s">
        <v>157</v>
      </c>
      <c r="AB4" s="19" t="s">
        <v>158</v>
      </c>
      <c r="AC4" s="19" t="s">
        <v>159</v>
      </c>
      <c r="AD4" s="19" t="s">
        <v>160</v>
      </c>
      <c r="AE4" s="19" t="s">
        <v>161</v>
      </c>
      <c r="AF4" s="19" t="s">
        <v>162</v>
      </c>
      <c r="AG4" s="19" t="s">
        <v>163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IFERROR(__xludf.DUMMYFUNCTION("""COMPUTED_VALUE"""),"Price")</f>
        <v>Price</v>
      </c>
      <c r="D5" s="21" t="str">
        <f>IFERROR(__xludf.DUMMYFUNCTION("""COMPUTED_VALUE"""),"Date")</f>
        <v>Date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ht="15.75" customHeight="1">
      <c r="A6" s="3"/>
      <c r="B6" s="3" t="s">
        <v>30</v>
      </c>
      <c r="C6" s="3">
        <v>10.0</v>
      </c>
      <c r="D6" s="25">
        <v>43290.0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</row>
    <row r="7" ht="15.75" customHeight="1">
      <c r="A7" s="3"/>
      <c r="B7" s="3" t="s">
        <v>30</v>
      </c>
      <c r="C7" s="3">
        <v>20.0</v>
      </c>
      <c r="D7" s="25">
        <v>43291.0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</row>
    <row r="8" ht="15.75" customHeight="1">
      <c r="A8" s="3"/>
      <c r="B8" s="3" t="s">
        <v>30</v>
      </c>
      <c r="C8" s="3">
        <v>30.0</v>
      </c>
      <c r="D8" s="25">
        <v>43292.0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</row>
    <row r="9" ht="15.75" customHeight="1">
      <c r="A9" s="3"/>
      <c r="B9" s="3" t="s">
        <v>30</v>
      </c>
      <c r="C9" s="3">
        <v>40.0</v>
      </c>
      <c r="D9" s="25">
        <v>43293.0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</row>
    <row r="10" ht="15.75" customHeight="1">
      <c r="A10" s="3"/>
      <c r="B10" s="3" t="s">
        <v>30</v>
      </c>
      <c r="C10" s="3">
        <v>50.0</v>
      </c>
      <c r="D10" s="25">
        <v>43294.0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134</v>
      </c>
      <c r="D3" s="4" t="s">
        <v>9</v>
      </c>
      <c r="E3" s="10" t="s">
        <v>161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136</v>
      </c>
      <c r="D4" s="18" t="s">
        <v>137</v>
      </c>
      <c r="E4" s="18" t="s">
        <v>138</v>
      </c>
      <c r="F4" s="18" t="s">
        <v>44</v>
      </c>
      <c r="G4" s="18" t="s">
        <v>135</v>
      </c>
      <c r="H4" s="18" t="s">
        <v>139</v>
      </c>
      <c r="I4" s="18" t="s">
        <v>140</v>
      </c>
      <c r="J4" s="18" t="s">
        <v>141</v>
      </c>
      <c r="K4" s="18" t="s">
        <v>142</v>
      </c>
      <c r="L4" s="18" t="s">
        <v>143</v>
      </c>
      <c r="M4" s="18" t="s">
        <v>144</v>
      </c>
      <c r="N4" s="18" t="s">
        <v>145</v>
      </c>
      <c r="O4" s="18" t="s">
        <v>146</v>
      </c>
      <c r="P4" s="19" t="s">
        <v>147</v>
      </c>
      <c r="Q4" s="19" t="s">
        <v>148</v>
      </c>
      <c r="R4" s="19" t="s">
        <v>149</v>
      </c>
      <c r="S4" s="19" t="s">
        <v>150</v>
      </c>
      <c r="T4" s="19" t="s">
        <v>151</v>
      </c>
      <c r="U4" s="19" t="s">
        <v>152</v>
      </c>
      <c r="V4" s="19" t="s">
        <v>153</v>
      </c>
      <c r="W4" s="19" t="s">
        <v>154</v>
      </c>
      <c r="X4" s="19" t="s">
        <v>155</v>
      </c>
      <c r="Y4" s="19" t="s">
        <v>156</v>
      </c>
      <c r="Z4" s="19" t="s">
        <v>136</v>
      </c>
      <c r="AA4" s="19" t="s">
        <v>157</v>
      </c>
      <c r="AB4" s="19" t="s">
        <v>158</v>
      </c>
      <c r="AC4" s="19" t="s">
        <v>159</v>
      </c>
      <c r="AD4" s="19" t="s">
        <v>160</v>
      </c>
      <c r="AE4" s="19" t="s">
        <v>161</v>
      </c>
      <c r="AF4" s="19" t="s">
        <v>162</v>
      </c>
      <c r="AG4" s="19" t="s">
        <v>163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IFERROR(__xludf.DUMMYFUNCTION("""COMPUTED_VALUE"""),"From Currency")</f>
        <v>From Currency</v>
      </c>
      <c r="C5" s="21" t="str">
        <f>IFERROR(__xludf.DUMMYFUNCTION("""COMPUTED_VALUE"""),"To Currency")</f>
        <v>To Currency</v>
      </c>
      <c r="D5" s="21" t="str">
        <f>IFERROR(__xludf.DUMMYFUNCTION("""COMPUTED_VALUE"""),"Symbol")</f>
        <v>Symbol</v>
      </c>
      <c r="E5" s="21" t="str">
        <f>IFERROR(__xludf.DUMMYFUNCTION("""COMPUTED_VALUE"""),"Date")</f>
        <v>Date</v>
      </c>
      <c r="F5" s="21" t="str">
        <f>IFERROR(__xludf.DUMMYFUNCTION("""COMPUTED_VALUE"""),"Price")</f>
        <v>Price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ht="15.75" customHeight="1">
      <c r="A6" s="3"/>
      <c r="B6" s="3" t="s">
        <v>164</v>
      </c>
      <c r="C6" s="3" t="s">
        <v>165</v>
      </c>
      <c r="D6" s="3" t="s">
        <v>30</v>
      </c>
      <c r="E6" s="25">
        <v>43290.0</v>
      </c>
      <c r="F6" s="3">
        <v>0.749</v>
      </c>
      <c r="G6" s="3"/>
      <c r="H6" s="3"/>
      <c r="I6" s="3"/>
      <c r="J6" s="3"/>
      <c r="K6" s="3"/>
      <c r="L6" s="3"/>
      <c r="M6" s="3"/>
      <c r="N6" s="3"/>
      <c r="O6" s="3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</row>
    <row r="7" ht="15.75" customHeight="1">
      <c r="A7" s="3"/>
      <c r="B7" s="3" t="s">
        <v>164</v>
      </c>
      <c r="C7" s="3" t="s">
        <v>165</v>
      </c>
      <c r="D7" s="3" t="s">
        <v>166</v>
      </c>
      <c r="E7" s="25">
        <v>43291.0</v>
      </c>
      <c r="F7" s="3">
        <v>0.741</v>
      </c>
      <c r="G7" s="3"/>
      <c r="H7" s="3"/>
      <c r="I7" s="3"/>
      <c r="J7" s="3"/>
      <c r="K7" s="3"/>
      <c r="L7" s="3"/>
      <c r="M7" s="3"/>
      <c r="N7" s="3"/>
      <c r="O7" s="3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</row>
    <row r="8" ht="15.75" customHeight="1">
      <c r="A8" s="3"/>
      <c r="B8" s="3" t="s">
        <v>164</v>
      </c>
      <c r="C8" s="3" t="s">
        <v>165</v>
      </c>
      <c r="D8" s="3" t="s">
        <v>167</v>
      </c>
      <c r="E8" s="25">
        <v>43292.0</v>
      </c>
      <c r="F8" s="3">
        <v>0.7411</v>
      </c>
      <c r="G8" s="3"/>
      <c r="H8" s="3"/>
      <c r="I8" s="3"/>
      <c r="J8" s="3"/>
      <c r="K8" s="3"/>
      <c r="L8" s="3"/>
      <c r="M8" s="3"/>
      <c r="N8" s="3"/>
      <c r="O8" s="3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</row>
    <row r="9" ht="15.75" customHeight="1">
      <c r="A9" s="3"/>
      <c r="B9" s="3" t="s">
        <v>164</v>
      </c>
      <c r="C9" s="3" t="s">
        <v>165</v>
      </c>
      <c r="D9" s="3" t="s">
        <v>168</v>
      </c>
      <c r="E9" s="25">
        <v>43293.0</v>
      </c>
      <c r="F9" s="3">
        <v>0.7412</v>
      </c>
      <c r="G9" s="3"/>
      <c r="H9" s="3"/>
      <c r="I9" s="3"/>
      <c r="J9" s="3"/>
      <c r="K9" s="3"/>
      <c r="L9" s="3"/>
      <c r="M9" s="3"/>
      <c r="N9" s="3"/>
      <c r="O9" s="3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</row>
    <row r="10" ht="15.75" customHeight="1">
      <c r="A10" s="3"/>
      <c r="B10" s="3" t="s">
        <v>164</v>
      </c>
      <c r="C10" s="3" t="s">
        <v>165</v>
      </c>
      <c r="D10" s="3" t="s">
        <v>169</v>
      </c>
      <c r="E10" s="25">
        <v>43294.0</v>
      </c>
      <c r="F10" s="3">
        <v>0.7413</v>
      </c>
      <c r="G10" s="3"/>
      <c r="H10" s="3"/>
      <c r="I10" s="3"/>
      <c r="J10" s="3"/>
      <c r="K10" s="3"/>
      <c r="L10" s="3"/>
      <c r="M10" s="3"/>
      <c r="N10" s="3"/>
      <c r="O10" s="3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171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IFERROR(__xludf.DUMMYFUNCTION("""COMPUTED_VALUE"""),"From")</f>
        <v>From</v>
      </c>
      <c r="E5" s="21" t="str">
        <f>IFERROR(__xludf.DUMMYFUNCTION("""COMPUTED_VALUE"""),"To")</f>
        <v>To</v>
      </c>
      <c r="F5" s="21" t="str">
        <f>IFERROR(__xludf.DUMMYFUNCTION("""COMPUTED_VALUE"""),"SettlementDate")</f>
        <v>SettlementDate</v>
      </c>
      <c r="G5" s="21" t="str">
        <f>IFERROR(__xludf.DUMMYFUNCTION("""COMPUTED_VALUE"""),"TradeDate")</f>
        <v>TradeDate</v>
      </c>
      <c r="H5" s="21" t="str">
        <f>IFERROR(__xludf.DUMMYFUNCTION("""COMPUTED_VALUE"""),"All")</f>
        <v>All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3"/>
      <c r="B6" s="23" t="s">
        <v>219</v>
      </c>
      <c r="C6" s="23" t="s">
        <v>32</v>
      </c>
      <c r="D6" s="25">
        <v>43290.0</v>
      </c>
      <c r="E6" s="25">
        <v>43294.0</v>
      </c>
      <c r="F6" s="3"/>
      <c r="G6" s="3" t="s">
        <v>220</v>
      </c>
      <c r="H6" s="3"/>
      <c r="I6" s="3"/>
      <c r="J6" s="3"/>
      <c r="K6" s="3"/>
      <c r="L6" s="3"/>
      <c r="M6" s="3"/>
      <c r="N6" s="3"/>
      <c r="O6" s="3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175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2" t="str">
        <f>IFERROR(__xludf.DUMMYFUNCTION("""COMPUTED_VALUE"""),"ORF Fee")</f>
        <v>ORF Fee</v>
      </c>
      <c r="U5" s="22" t="str">
        <f>IFERROR(__xludf.DUMMYFUNCTION("""COMPUTED_VALUE"""),"Other Broker Fees")</f>
        <v>Other Broker Fees</v>
      </c>
      <c r="V5" s="22" t="str">
        <f>IFERROR(__xludf.DUMMYFUNCTION("""COMPUTED_VALUE"""),"Quantity")</f>
        <v>Quantity</v>
      </c>
      <c r="W5" s="22" t="str">
        <f>IFERROR(__xludf.DUMMYFUNCTION("""COMPUTED_VALUE"""),"SEC Fee")</f>
        <v>SEC Fee</v>
      </c>
      <c r="X5" s="22" t="str">
        <f>IFERROR(__xludf.DUMMYFUNCTION("""COMPUTED_VALUE"""),"Settlement Currency")</f>
        <v>Settlement Currency</v>
      </c>
      <c r="Y5" s="22" t="str">
        <f>IFERROR(__xludf.DUMMYFUNCTION("""COMPUTED_VALUE"""),"Settlement Date")</f>
        <v>Settlement Date</v>
      </c>
      <c r="Z5" s="22" t="str">
        <f>IFERROR(__xludf.DUMMYFUNCTION("""COMPUTED_VALUE"""),"Soft Commission")</f>
        <v>Soft Commission</v>
      </c>
      <c r="AA5" s="22" t="str">
        <f>IFERROR(__xludf.DUMMYFUNCTION("""COMPUTED_VALUE"""),"Stamp Duty")</f>
        <v>Stamp Duty</v>
      </c>
      <c r="AB5" s="22" t="str">
        <f>IFERROR(__xludf.DUMMYFUNCTION("""COMPUTED_VALUE"""),"Symbol")</f>
        <v>Symbol</v>
      </c>
      <c r="AC5" s="22" t="str">
        <f>IFERROR(__xludf.DUMMYFUNCTION("""COMPUTED_VALUE"""),"Tax On Commissions")</f>
        <v>Tax On Commissions</v>
      </c>
      <c r="AD5" s="22" t="str">
        <f>IFERROR(__xludf.DUMMYFUNCTION("""COMPUTED_VALUE"""),"Total Commissions")</f>
        <v>Total Commissions</v>
      </c>
      <c r="AE5" s="22" t="str">
        <f>IFERROR(__xludf.DUMMYFUNCTION("""COMPUTED_VALUE"""),"Trade Date")</f>
        <v>Trade Date</v>
      </c>
      <c r="AF5" s="22" t="str">
        <f>IFERROR(__xludf.DUMMYFUNCTION("""COMPUTED_VALUE"""),"Transaction Levy")</f>
        <v>Transaction Levy</v>
      </c>
      <c r="AG5" s="22" t="str">
        <f>IFERROR(__xludf.DUMMYFUNCTION("""COMPUTED_VALUE"""),"Transaction Source")</f>
        <v>Transaction Source</v>
      </c>
      <c r="AH5" s="22" t="str">
        <f>IFERROR(__xludf.DUMMYFUNCTION("""COMPUTED_VALUE"""),"User")</f>
        <v>User</v>
      </c>
      <c r="AI5" s="22" t="str">
        <f>IFERROR(__xludf.DUMMYFUNCTION("""COMPUTED_VALUE"""),"Vs Currency")</f>
        <v>Vs Currency</v>
      </c>
      <c r="AJ5" s="22" t="str">
        <f>IFERROR(__xludf.DUMMYFUNCTION("""COMPUTED_VALUE"""),"SettlCurrencyID")</f>
        <v>SettlCurrencyID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29" t="s">
        <v>32</v>
      </c>
      <c r="C6" s="29" t="s">
        <v>221</v>
      </c>
      <c r="D6" s="29" t="s">
        <v>222</v>
      </c>
      <c r="E6" s="29">
        <v>-1522.0</v>
      </c>
      <c r="F6" s="29">
        <v>0.0</v>
      </c>
      <c r="G6" s="29">
        <v>0.0</v>
      </c>
      <c r="H6" s="29" t="s">
        <v>223</v>
      </c>
      <c r="I6" s="29">
        <v>0.0</v>
      </c>
      <c r="J6" s="29">
        <v>70.0</v>
      </c>
      <c r="K6" s="29" t="s">
        <v>164</v>
      </c>
      <c r="L6" s="29"/>
      <c r="M6" s="30"/>
      <c r="N6" s="29" t="s">
        <v>224</v>
      </c>
      <c r="O6" s="29">
        <v>1.5</v>
      </c>
      <c r="P6" s="29"/>
      <c r="Q6" s="30"/>
      <c r="R6" s="29">
        <v>0.0</v>
      </c>
      <c r="S6" s="29">
        <v>0.0</v>
      </c>
      <c r="T6" s="29">
        <v>0.0</v>
      </c>
      <c r="U6" s="29">
        <v>0.0</v>
      </c>
      <c r="V6" s="29">
        <v>100.0</v>
      </c>
      <c r="W6" s="29">
        <v>0.0</v>
      </c>
      <c r="X6" s="29" t="s">
        <v>164</v>
      </c>
      <c r="Y6" s="30"/>
      <c r="Z6" s="29">
        <v>10.0</v>
      </c>
      <c r="AA6" s="29">
        <v>0.0</v>
      </c>
      <c r="AB6" s="29" t="s">
        <v>30</v>
      </c>
      <c r="AC6" s="29">
        <v>0.0</v>
      </c>
      <c r="AD6" s="29">
        <v>80.0</v>
      </c>
      <c r="AE6" s="31">
        <v>43290.0</v>
      </c>
      <c r="AF6" s="29">
        <v>0.0</v>
      </c>
      <c r="AG6" s="29" t="s">
        <v>221</v>
      </c>
      <c r="AH6" s="29"/>
      <c r="AI6" s="29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29" t="s">
        <v>32</v>
      </c>
      <c r="C7" s="29" t="s">
        <v>221</v>
      </c>
      <c r="D7" s="29" t="s">
        <v>225</v>
      </c>
      <c r="E7" s="29">
        <v>-73.93</v>
      </c>
      <c r="F7" s="29">
        <v>0.0</v>
      </c>
      <c r="G7" s="29">
        <v>0.0</v>
      </c>
      <c r="H7" s="29" t="s">
        <v>223</v>
      </c>
      <c r="I7" s="29">
        <v>0.0</v>
      </c>
      <c r="J7" s="29">
        <v>0.0</v>
      </c>
      <c r="K7" s="29" t="s">
        <v>164</v>
      </c>
      <c r="L7" s="29"/>
      <c r="M7" s="30"/>
      <c r="N7" s="29" t="s">
        <v>224</v>
      </c>
      <c r="O7" s="29">
        <v>1.5</v>
      </c>
      <c r="P7" s="29"/>
      <c r="Q7" s="30"/>
      <c r="R7" s="29">
        <v>0.0</v>
      </c>
      <c r="S7" s="29">
        <v>0.0</v>
      </c>
      <c r="T7" s="29">
        <v>0.0</v>
      </c>
      <c r="U7" s="29">
        <v>0.0</v>
      </c>
      <c r="V7" s="29">
        <v>100.0</v>
      </c>
      <c r="W7" s="29">
        <v>0.0</v>
      </c>
      <c r="X7" s="29" t="s">
        <v>164</v>
      </c>
      <c r="Y7" s="30"/>
      <c r="Z7" s="29">
        <v>0.0</v>
      </c>
      <c r="AA7" s="29">
        <v>0.0</v>
      </c>
      <c r="AB7" s="29" t="s">
        <v>30</v>
      </c>
      <c r="AC7" s="29">
        <v>0.0</v>
      </c>
      <c r="AD7" s="29">
        <v>0.0</v>
      </c>
      <c r="AE7" s="31">
        <v>43290.0</v>
      </c>
      <c r="AF7" s="29">
        <v>0.0</v>
      </c>
      <c r="AG7" s="29" t="s">
        <v>221</v>
      </c>
      <c r="AH7" s="29"/>
      <c r="AI7" s="29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29" t="s">
        <v>32</v>
      </c>
      <c r="C8" s="29" t="s">
        <v>221</v>
      </c>
      <c r="D8" s="29" t="s">
        <v>222</v>
      </c>
      <c r="E8" s="29">
        <v>578.0</v>
      </c>
      <c r="F8" s="29">
        <v>0.0</v>
      </c>
      <c r="G8" s="29">
        <v>0.0</v>
      </c>
      <c r="H8" s="29" t="s">
        <v>223</v>
      </c>
      <c r="I8" s="29">
        <v>0.0</v>
      </c>
      <c r="J8" s="29">
        <v>30.0</v>
      </c>
      <c r="K8" s="29" t="s">
        <v>164</v>
      </c>
      <c r="L8" s="29"/>
      <c r="M8" s="30"/>
      <c r="N8" s="29" t="s">
        <v>224</v>
      </c>
      <c r="O8" s="29">
        <v>1.8</v>
      </c>
      <c r="P8" s="29"/>
      <c r="Q8" s="30"/>
      <c r="R8" s="29">
        <v>0.0</v>
      </c>
      <c r="S8" s="29">
        <v>0.0</v>
      </c>
      <c r="T8" s="29">
        <v>0.0</v>
      </c>
      <c r="U8" s="29">
        <v>0.0</v>
      </c>
      <c r="V8" s="29">
        <v>50.0</v>
      </c>
      <c r="W8" s="29">
        <v>0.0</v>
      </c>
      <c r="X8" s="29" t="s">
        <v>164</v>
      </c>
      <c r="Y8" s="30"/>
      <c r="Z8" s="29">
        <v>10.0</v>
      </c>
      <c r="AA8" s="29">
        <v>0.0</v>
      </c>
      <c r="AB8" s="29" t="s">
        <v>30</v>
      </c>
      <c r="AC8" s="29">
        <v>0.0</v>
      </c>
      <c r="AD8" s="29">
        <v>40.0</v>
      </c>
      <c r="AE8" s="31">
        <v>43292.0</v>
      </c>
      <c r="AF8" s="29">
        <v>0.0</v>
      </c>
      <c r="AG8" s="29" t="s">
        <v>221</v>
      </c>
      <c r="AH8" s="29"/>
      <c r="AI8" s="29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29" t="s">
        <v>32</v>
      </c>
      <c r="C9" s="29" t="s">
        <v>221</v>
      </c>
      <c r="D9" s="29" t="s">
        <v>226</v>
      </c>
      <c r="E9" s="29">
        <v>37.53</v>
      </c>
      <c r="F9" s="29">
        <v>0.0</v>
      </c>
      <c r="G9" s="29">
        <v>0.0</v>
      </c>
      <c r="H9" s="29" t="s">
        <v>223</v>
      </c>
      <c r="I9" s="29">
        <v>0.0</v>
      </c>
      <c r="J9" s="29">
        <v>0.0</v>
      </c>
      <c r="K9" s="29" t="s">
        <v>164</v>
      </c>
      <c r="L9" s="29"/>
      <c r="M9" s="30"/>
      <c r="N9" s="29" t="s">
        <v>224</v>
      </c>
      <c r="O9" s="29">
        <v>1.8</v>
      </c>
      <c r="P9" s="29"/>
      <c r="Q9" s="30"/>
      <c r="R9" s="29">
        <v>0.0</v>
      </c>
      <c r="S9" s="29">
        <v>0.0</v>
      </c>
      <c r="T9" s="29">
        <v>0.0</v>
      </c>
      <c r="U9" s="29">
        <v>0.0</v>
      </c>
      <c r="V9" s="29">
        <v>50.0</v>
      </c>
      <c r="W9" s="29">
        <v>0.0</v>
      </c>
      <c r="X9" s="29" t="s">
        <v>164</v>
      </c>
      <c r="Y9" s="30"/>
      <c r="Z9" s="29">
        <v>0.0</v>
      </c>
      <c r="AA9" s="29">
        <v>0.0</v>
      </c>
      <c r="AB9" s="29" t="s">
        <v>30</v>
      </c>
      <c r="AC9" s="29">
        <v>0.0</v>
      </c>
      <c r="AD9" s="29">
        <v>0.0</v>
      </c>
      <c r="AE9" s="31">
        <v>43292.0</v>
      </c>
      <c r="AF9" s="29">
        <v>0.0</v>
      </c>
      <c r="AG9" s="29" t="s">
        <v>221</v>
      </c>
      <c r="AH9" s="29"/>
      <c r="AI9" s="29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178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IFERROR(__xludf.DUMMYFUNCTION("""COMPUTED_VALUE"""),"From Date")</f>
        <v>From Date</v>
      </c>
      <c r="E5" s="21" t="str">
        <f>IFERROR(__xludf.DUMMYFUNCTION("""COMPUTED_VALUE"""),"To Date")</f>
        <v>To Date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43290.0</v>
      </c>
      <c r="E6" s="25">
        <v>43294.0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7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31">
        <v>43290.0</v>
      </c>
      <c r="C6" s="30"/>
      <c r="D6" s="30"/>
      <c r="E6" s="33">
        <v>1522.0</v>
      </c>
      <c r="F6" s="34">
        <v>0.0</v>
      </c>
      <c r="G6" s="29">
        <v>1.5</v>
      </c>
      <c r="H6" s="29" t="s">
        <v>224</v>
      </c>
      <c r="I6" s="29" t="s">
        <v>227</v>
      </c>
      <c r="J6" s="29" t="s">
        <v>221</v>
      </c>
      <c r="K6" s="29" t="s">
        <v>164</v>
      </c>
      <c r="L6" s="29" t="s">
        <v>165</v>
      </c>
      <c r="M6" s="29" t="s">
        <v>30</v>
      </c>
      <c r="N6" s="29"/>
      <c r="O6" s="33">
        <v>2283.0</v>
      </c>
      <c r="P6" s="33">
        <v>0.0</v>
      </c>
      <c r="Q6" s="29" t="s">
        <v>228</v>
      </c>
      <c r="R6" s="29" t="s">
        <v>32</v>
      </c>
      <c r="S6" s="29"/>
      <c r="T6" s="29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31">
        <v>43290.0</v>
      </c>
      <c r="C7" s="30"/>
      <c r="D7" s="30"/>
      <c r="E7" s="35">
        <v>0.0</v>
      </c>
      <c r="F7" s="33">
        <v>1522.0</v>
      </c>
      <c r="G7" s="29">
        <v>1.5</v>
      </c>
      <c r="H7" s="29" t="s">
        <v>224</v>
      </c>
      <c r="I7" s="29" t="s">
        <v>229</v>
      </c>
      <c r="J7" s="29" t="s">
        <v>221</v>
      </c>
      <c r="K7" s="29" t="s">
        <v>164</v>
      </c>
      <c r="L7" s="29" t="s">
        <v>165</v>
      </c>
      <c r="M7" s="29" t="s">
        <v>30</v>
      </c>
      <c r="N7" s="29"/>
      <c r="O7" s="33">
        <v>0.0</v>
      </c>
      <c r="P7" s="33">
        <v>2283.0</v>
      </c>
      <c r="Q7" s="29" t="s">
        <v>230</v>
      </c>
      <c r="R7" s="29" t="s">
        <v>32</v>
      </c>
      <c r="S7" s="29"/>
      <c r="T7" s="2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31">
        <v>43290.0</v>
      </c>
      <c r="C8" s="30"/>
      <c r="D8" s="30"/>
      <c r="E8" s="33">
        <v>73.93</v>
      </c>
      <c r="F8" s="34">
        <v>0.0</v>
      </c>
      <c r="G8" s="29">
        <v>1.5</v>
      </c>
      <c r="H8" s="29" t="s">
        <v>224</v>
      </c>
      <c r="I8" s="29" t="s">
        <v>227</v>
      </c>
      <c r="J8" s="29" t="s">
        <v>221</v>
      </c>
      <c r="K8" s="29" t="s">
        <v>164</v>
      </c>
      <c r="L8" s="29" t="s">
        <v>165</v>
      </c>
      <c r="M8" s="29" t="s">
        <v>30</v>
      </c>
      <c r="N8" s="29"/>
      <c r="O8" s="33">
        <v>110.9</v>
      </c>
      <c r="P8" s="33">
        <v>0.0</v>
      </c>
      <c r="Q8" s="29" t="s">
        <v>231</v>
      </c>
      <c r="R8" s="29" t="s">
        <v>32</v>
      </c>
      <c r="S8" s="29"/>
      <c r="T8" s="29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31">
        <v>43290.0</v>
      </c>
      <c r="C9" s="30"/>
      <c r="D9" s="30"/>
      <c r="E9" s="35">
        <v>0.0</v>
      </c>
      <c r="F9" s="33">
        <v>73.93</v>
      </c>
      <c r="G9" s="29">
        <v>1.5</v>
      </c>
      <c r="H9" s="29" t="s">
        <v>224</v>
      </c>
      <c r="I9" s="29" t="s">
        <v>229</v>
      </c>
      <c r="J9" s="29" t="s">
        <v>221</v>
      </c>
      <c r="K9" s="29" t="s">
        <v>164</v>
      </c>
      <c r="L9" s="29" t="s">
        <v>165</v>
      </c>
      <c r="M9" s="29" t="s">
        <v>30</v>
      </c>
      <c r="N9" s="29"/>
      <c r="O9" s="33">
        <v>0.0</v>
      </c>
      <c r="P9" s="33">
        <v>110.9</v>
      </c>
      <c r="Q9" s="29" t="s">
        <v>230</v>
      </c>
      <c r="R9" s="29" t="s">
        <v>32</v>
      </c>
      <c r="S9" s="29"/>
      <c r="T9" s="29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28"/>
      <c r="B10" s="31">
        <v>43292.0</v>
      </c>
      <c r="C10" s="30"/>
      <c r="D10" s="30"/>
      <c r="E10" s="33">
        <v>40.0</v>
      </c>
      <c r="F10" s="34">
        <v>0.0</v>
      </c>
      <c r="G10" s="29">
        <v>1.8</v>
      </c>
      <c r="H10" s="29" t="s">
        <v>224</v>
      </c>
      <c r="I10" s="29" t="s">
        <v>227</v>
      </c>
      <c r="J10" s="29" t="s">
        <v>221</v>
      </c>
      <c r="K10" s="29" t="s">
        <v>164</v>
      </c>
      <c r="L10" s="29" t="s">
        <v>165</v>
      </c>
      <c r="M10" s="29" t="s">
        <v>30</v>
      </c>
      <c r="N10" s="29"/>
      <c r="O10" s="33">
        <v>72.0</v>
      </c>
      <c r="P10" s="33">
        <v>0.0</v>
      </c>
      <c r="Q10" s="29" t="s">
        <v>228</v>
      </c>
      <c r="R10" s="29" t="s">
        <v>32</v>
      </c>
      <c r="S10" s="29"/>
      <c r="T10" s="29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ht="15.75" customHeight="1">
      <c r="A11" s="28"/>
      <c r="B11" s="31">
        <v>43292.0</v>
      </c>
      <c r="C11" s="30"/>
      <c r="D11" s="30"/>
      <c r="E11" s="35">
        <v>0.0</v>
      </c>
      <c r="F11" s="33">
        <v>40.0</v>
      </c>
      <c r="G11" s="29">
        <v>1.8</v>
      </c>
      <c r="H11" s="29" t="s">
        <v>224</v>
      </c>
      <c r="I11" s="29" t="s">
        <v>229</v>
      </c>
      <c r="J11" s="29" t="s">
        <v>221</v>
      </c>
      <c r="K11" s="29" t="s">
        <v>164</v>
      </c>
      <c r="L11" s="29" t="s">
        <v>165</v>
      </c>
      <c r="M11" s="29" t="s">
        <v>30</v>
      </c>
      <c r="N11" s="29"/>
      <c r="O11" s="33">
        <v>0.0</v>
      </c>
      <c r="P11" s="33">
        <v>72.0</v>
      </c>
      <c r="Q11" s="29" t="s">
        <v>230</v>
      </c>
      <c r="R11" s="29" t="s">
        <v>32</v>
      </c>
      <c r="S11" s="29"/>
      <c r="T11" s="29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ht="15.75" customHeight="1">
      <c r="A12" s="28"/>
      <c r="B12" s="31">
        <v>43292.0</v>
      </c>
      <c r="C12" s="30"/>
      <c r="D12" s="30"/>
      <c r="E12" s="33">
        <v>618.0</v>
      </c>
      <c r="F12" s="34">
        <v>0.0</v>
      </c>
      <c r="G12" s="29">
        <v>1.8</v>
      </c>
      <c r="H12" s="29" t="s">
        <v>224</v>
      </c>
      <c r="I12" s="29" t="s">
        <v>227</v>
      </c>
      <c r="J12" s="29" t="s">
        <v>221</v>
      </c>
      <c r="K12" s="29" t="s">
        <v>164</v>
      </c>
      <c r="L12" s="29" t="s">
        <v>165</v>
      </c>
      <c r="M12" s="29" t="s">
        <v>30</v>
      </c>
      <c r="N12" s="29"/>
      <c r="O12" s="33">
        <v>1112.4</v>
      </c>
      <c r="P12" s="33">
        <v>0.0</v>
      </c>
      <c r="Q12" s="29" t="s">
        <v>230</v>
      </c>
      <c r="R12" s="29" t="s">
        <v>32</v>
      </c>
      <c r="S12" s="29"/>
      <c r="T12" s="29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ht="15.75" customHeight="1">
      <c r="A13" s="28"/>
      <c r="B13" s="31">
        <v>43292.0</v>
      </c>
      <c r="C13" s="30"/>
      <c r="D13" s="30"/>
      <c r="E13" s="35">
        <v>0.0</v>
      </c>
      <c r="F13" s="33">
        <v>618.0</v>
      </c>
      <c r="G13" s="29">
        <v>1.8</v>
      </c>
      <c r="H13" s="29" t="s">
        <v>224</v>
      </c>
      <c r="I13" s="29" t="s">
        <v>229</v>
      </c>
      <c r="J13" s="29" t="s">
        <v>221</v>
      </c>
      <c r="K13" s="29" t="s">
        <v>164</v>
      </c>
      <c r="L13" s="29" t="s">
        <v>165</v>
      </c>
      <c r="M13" s="29" t="s">
        <v>30</v>
      </c>
      <c r="N13" s="29"/>
      <c r="O13" s="33">
        <v>0.0</v>
      </c>
      <c r="P13" s="33">
        <v>1112.4</v>
      </c>
      <c r="Q13" s="29" t="s">
        <v>228</v>
      </c>
      <c r="R13" s="29" t="s">
        <v>32</v>
      </c>
      <c r="S13" s="29"/>
      <c r="T13" s="29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ht="15.75" customHeight="1">
      <c r="A14" s="28"/>
      <c r="B14" s="31">
        <v>43292.0</v>
      </c>
      <c r="C14" s="30"/>
      <c r="D14" s="30"/>
      <c r="E14" s="33">
        <v>37.53</v>
      </c>
      <c r="F14" s="34">
        <v>0.0</v>
      </c>
      <c r="G14" s="29">
        <v>1.8</v>
      </c>
      <c r="H14" s="29" t="s">
        <v>224</v>
      </c>
      <c r="I14" s="29" t="s">
        <v>227</v>
      </c>
      <c r="J14" s="29" t="s">
        <v>221</v>
      </c>
      <c r="K14" s="29" t="s">
        <v>164</v>
      </c>
      <c r="L14" s="29" t="s">
        <v>165</v>
      </c>
      <c r="M14" s="29" t="s">
        <v>30</v>
      </c>
      <c r="N14" s="29"/>
      <c r="O14" s="33">
        <v>67.56</v>
      </c>
      <c r="P14" s="33">
        <v>0.0</v>
      </c>
      <c r="Q14" s="29" t="s">
        <v>232</v>
      </c>
      <c r="R14" s="29" t="s">
        <v>32</v>
      </c>
      <c r="S14" s="29"/>
      <c r="T14" s="29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ht="15.75" customHeight="1">
      <c r="A15" s="28"/>
      <c r="B15" s="31">
        <v>43292.0</v>
      </c>
      <c r="C15" s="30"/>
      <c r="D15" s="30"/>
      <c r="E15" s="35">
        <v>0.0</v>
      </c>
      <c r="F15" s="33">
        <v>37.53</v>
      </c>
      <c r="G15" s="29">
        <v>1.8</v>
      </c>
      <c r="H15" s="29" t="s">
        <v>224</v>
      </c>
      <c r="I15" s="29" t="s">
        <v>229</v>
      </c>
      <c r="J15" s="29" t="s">
        <v>221</v>
      </c>
      <c r="K15" s="29" t="s">
        <v>164</v>
      </c>
      <c r="L15" s="29" t="s">
        <v>165</v>
      </c>
      <c r="M15" s="29" t="s">
        <v>30</v>
      </c>
      <c r="N15" s="29"/>
      <c r="O15" s="33">
        <v>0.0</v>
      </c>
      <c r="P15" s="33">
        <v>67.56</v>
      </c>
      <c r="Q15" s="29" t="s">
        <v>230</v>
      </c>
      <c r="R15" s="29" t="s">
        <v>32</v>
      </c>
      <c r="S15" s="29"/>
      <c r="T15" s="29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211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IFERROR(__xludf.DUMMYFUNCTION("""COMPUTED_VALUE"""),"From Date")</f>
        <v>From Date</v>
      </c>
      <c r="E5" s="21" t="str">
        <f>IFERROR(__xludf.DUMMYFUNCTION("""COMPUTED_VALUE"""),"To Date")</f>
        <v>To Date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43290.0</v>
      </c>
      <c r="E6" s="25">
        <v>43294.0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20.0"/>
    <col customWidth="1" min="8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215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IFERROR(__xludf.DUMMYFUNCTION("""COMPUTED_VALUE"""),"Trade Date")</f>
        <v>Trade Date</v>
      </c>
      <c r="C5" s="27" t="str">
        <f>IFERROR(__xludf.DUMMYFUNCTION("""COMPUTED_VALUE"""),"Account")</f>
        <v>Account</v>
      </c>
      <c r="D5" s="21" t="str">
        <f>IFERROR(__xludf.DUMMYFUNCTION("""COMPUTED_VALUE"""),"Symbol")</f>
        <v>Symbol</v>
      </c>
      <c r="E5" s="21" t="str">
        <f>IFERROR(__xludf.DUMMYFUNCTION("""COMPUTED_VALUE"""),"Currency")</f>
        <v>Currency</v>
      </c>
      <c r="F5" s="21" t="str">
        <f>IFERROR(__xludf.DUMMYFUNCTION("""COMPUTED_VALUE"""),"Net Amount(Local)")</f>
        <v>Net Amount(Local)</v>
      </c>
      <c r="G5" s="21" t="str">
        <f>IFERROR(__xludf.DUMMYFUNCTION("""COMPUTED_VALUE"""),"ActivityType")</f>
        <v>ActivityType</v>
      </c>
      <c r="H5" s="21" t="str">
        <f>IFERROR(__xludf.DUMMYFUNCTION("""COMPUTED_VALUE"""),"Transaction Source")</f>
        <v>Transaction Source</v>
      </c>
      <c r="I5" s="21" t="str">
        <f>IFERROR(__xludf.DUMMYFUNCTION("""COMPUTED_VALUE"""),"Total Commissions")</f>
        <v>Total Commissions</v>
      </c>
      <c r="J5" s="21" t="str">
        <f>IFERROR(__xludf.DUMMYFUNCTION("""COMPUTED_VALUE"""),"Balance Type")</f>
        <v>Balance Type</v>
      </c>
      <c r="K5" s="21" t="str">
        <f>IFERROR(__xludf.DUMMYFUNCTION("""COMPUTED_VALUE"""),"Settlement Date")</f>
        <v>Settlement Date</v>
      </c>
      <c r="L5" s="21" t="str">
        <f>IFERROR(__xludf.DUMMYFUNCTION("""COMPUTED_VALUE"""),"Lead Currency")</f>
        <v>Lead Currency</v>
      </c>
      <c r="M5" s="21" t="str">
        <f>IFERROR(__xludf.DUMMYFUNCTION("""COMPUTED_VALUE"""),"Vs Currency")</f>
        <v>Vs Currency</v>
      </c>
      <c r="N5" s="21" t="str">
        <f>IFERROR(__xludf.DUMMYFUNCTION("""COMPUTED_VALUE"""),"Quantity")</f>
        <v>Quantity</v>
      </c>
      <c r="O5" s="21" t="str">
        <f>IFERROR(__xludf.DUMMYFUNCTION("""COMPUTED_VALUE"""),"Commission")</f>
        <v>Commission</v>
      </c>
      <c r="P5" s="21" t="str">
        <f>IFERROR(__xludf.DUMMYFUNCTION("""COMPUTED_VALUE"""),"Soft Commission")</f>
        <v>Soft Commission</v>
      </c>
      <c r="Q5" s="21" t="str">
        <f>IFERROR(__xludf.DUMMYFUNCTION("""COMPUTED_VALUE"""),"Other Broker Fees")</f>
        <v>Other Broker Fees</v>
      </c>
      <c r="R5" s="21" t="str">
        <f>IFERROR(__xludf.DUMMYFUNCTION("""COMPUTED_VALUE"""),"Clearing Broker Fees")</f>
        <v>Clearing Broker Fees</v>
      </c>
      <c r="S5" s="21" t="str">
        <f>IFERROR(__xludf.DUMMYFUNCTION("""COMPUTED_VALUE"""),"Stamp Duty")</f>
        <v>Stamp Duty</v>
      </c>
      <c r="T5" s="22" t="str">
        <f>IFERROR(__xludf.DUMMYFUNCTION("""COMPUTED_VALUE"""),"Transaction Levy")</f>
        <v>Transaction Levy</v>
      </c>
      <c r="U5" s="22" t="str">
        <f>IFERROR(__xludf.DUMMYFUNCTION("""COMPUTED_VALUE"""),"AUEC Fee1")</f>
        <v>AUEC Fee1</v>
      </c>
      <c r="V5" s="22" t="str">
        <f>IFERROR(__xludf.DUMMYFUNCTION("""COMPUTED_VALUE"""),"Tax On Commissions")</f>
        <v>Tax On Commissions</v>
      </c>
      <c r="W5" s="22" t="str">
        <f>IFERROR(__xludf.DUMMYFUNCTION("""COMPUTED_VALUE"""),"AUEC Fee2")</f>
        <v>AUEC Fee2</v>
      </c>
      <c r="X5" s="22" t="str">
        <f>IFERROR(__xludf.DUMMYFUNCTION("""COMPUTED_VALUE"""),"SEC Fee")</f>
        <v>SEC Fee</v>
      </c>
      <c r="Y5" s="22" t="str">
        <f>IFERROR(__xludf.DUMMYFUNCTION("""COMPUTED_VALUE"""),"OCC Fee")</f>
        <v>OCC Fee</v>
      </c>
      <c r="Z5" s="22" t="str">
        <f>IFERROR(__xludf.DUMMYFUNCTION("""COMPUTED_VALUE"""),"ORF Fee")</f>
        <v>ORF Fee</v>
      </c>
      <c r="AA5" s="22" t="str">
        <f>IFERROR(__xludf.DUMMYFUNCTION("""COMPUTED_VALUE"""),"Fx Rate")</f>
        <v>Fx Rate</v>
      </c>
      <c r="AB5" s="22" t="str">
        <f>IFERROR(__xludf.DUMMYFUNCTION("""COMPUTED_VALUE"""),"Modify Date")</f>
        <v>Modify Date</v>
      </c>
      <c r="AC5" s="22" t="str">
        <f>IFERROR(__xludf.DUMMYFUNCTION("""COMPUTED_VALUE"""),"Entry Date")</f>
        <v>Entry Date</v>
      </c>
      <c r="AD5" s="22" t="str">
        <f>IFERROR(__xludf.DUMMYFUNCTION("""COMPUTED_VALUE"""),"User")</f>
        <v>User</v>
      </c>
      <c r="AE5" s="22" t="str">
        <f>IFERROR(__xludf.DUMMYFUNCTION("""COMPUTED_VALUE"""),"FX Conversion Method Operator")</f>
        <v>FX Conversion Method Operator</v>
      </c>
      <c r="AF5" s="22" t="str">
        <f>IFERROR(__xludf.DUMMYFUNCTION("""COMPUTED_VALUE"""),"Description")</f>
        <v>Description</v>
      </c>
      <c r="AG5" s="22" t="str">
        <f>IFERROR(__xludf.DUMMYFUNCTION("""COMPUTED_VALUE"""),"Activity Source")</f>
        <v>Activity Source</v>
      </c>
      <c r="AH5" s="22" t="str">
        <f>IFERROR(__xludf.DUMMYFUNCTION("""COMPUTED_VALUE"""),"OptionPremiumAdjustment")</f>
        <v>OptionPremiumAdjustment</v>
      </c>
      <c r="AI5" s="22" t="str">
        <f>IFERROR(__xludf.DUMMYFUNCTION("""COMPUTED_VALUE"""),"Settlement Currency")</f>
        <v>Settlement Currency</v>
      </c>
      <c r="AJ5" s="22" t="str">
        <f>IFERROR(__xludf.DUMMYFUNCTION("""COMPUTED_VALUE"""),"SettlCurrencyID")</f>
        <v>SettlCurrencyID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3"/>
      <c r="B6" s="31">
        <v>43291.0</v>
      </c>
      <c r="C6" s="23" t="s">
        <v>32</v>
      </c>
      <c r="D6" s="29" t="s">
        <v>30</v>
      </c>
      <c r="E6" s="3" t="s">
        <v>164</v>
      </c>
      <c r="F6" s="3">
        <v>0.0</v>
      </c>
      <c r="G6" s="23" t="s">
        <v>233</v>
      </c>
      <c r="H6" s="23" t="s">
        <v>234</v>
      </c>
      <c r="I6" s="3"/>
      <c r="J6" s="3"/>
      <c r="K6" s="3"/>
      <c r="L6" s="3"/>
      <c r="M6" s="3"/>
      <c r="N6" s="3"/>
      <c r="O6" s="3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</row>
    <row r="7" ht="15.75" customHeight="1">
      <c r="A7" s="3"/>
      <c r="B7" s="31">
        <v>43292.0</v>
      </c>
      <c r="C7" s="23" t="s">
        <v>32</v>
      </c>
      <c r="D7" s="29" t="s">
        <v>30</v>
      </c>
      <c r="E7" s="3" t="s">
        <v>164</v>
      </c>
      <c r="F7" s="3">
        <v>0.56</v>
      </c>
      <c r="G7" s="23" t="s">
        <v>233</v>
      </c>
      <c r="H7" s="23" t="s">
        <v>234</v>
      </c>
      <c r="I7" s="3"/>
      <c r="J7" s="3"/>
      <c r="K7" s="3"/>
      <c r="L7" s="3"/>
      <c r="M7" s="3"/>
      <c r="N7" s="3"/>
      <c r="O7" s="3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</row>
    <row r="8" ht="15.75" customHeight="1">
      <c r="A8" s="3"/>
      <c r="B8" s="31">
        <v>43292.0</v>
      </c>
      <c r="C8" s="23" t="s">
        <v>32</v>
      </c>
      <c r="D8" s="29" t="s">
        <v>30</v>
      </c>
      <c r="E8" s="3" t="s">
        <v>164</v>
      </c>
      <c r="F8" s="3">
        <v>0.0</v>
      </c>
      <c r="G8" s="23" t="s">
        <v>233</v>
      </c>
      <c r="H8" s="23" t="s">
        <v>234</v>
      </c>
      <c r="I8" s="3"/>
      <c r="J8" s="3"/>
      <c r="K8" s="3"/>
      <c r="L8" s="3"/>
      <c r="M8" s="3"/>
      <c r="N8" s="3"/>
      <c r="O8" s="3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</row>
    <row r="9" ht="15.75" customHeight="1">
      <c r="A9" s="3"/>
      <c r="B9" s="31">
        <v>43293.0</v>
      </c>
      <c r="C9" s="23" t="s">
        <v>32</v>
      </c>
      <c r="D9" s="29" t="s">
        <v>30</v>
      </c>
      <c r="E9" s="3" t="s">
        <v>164</v>
      </c>
      <c r="F9" s="3">
        <v>0.56</v>
      </c>
      <c r="G9" s="23" t="s">
        <v>233</v>
      </c>
      <c r="H9" s="23" t="s">
        <v>234</v>
      </c>
      <c r="I9" s="3"/>
      <c r="J9" s="3"/>
      <c r="K9" s="3"/>
      <c r="L9" s="3"/>
      <c r="M9" s="3"/>
      <c r="N9" s="3"/>
      <c r="O9" s="3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</row>
    <row r="10" ht="15.75" customHeight="1">
      <c r="A10" s="3"/>
      <c r="B10" s="31">
        <v>43293.0</v>
      </c>
      <c r="C10" s="23" t="s">
        <v>32</v>
      </c>
      <c r="D10" s="29" t="s">
        <v>30</v>
      </c>
      <c r="E10" s="3" t="s">
        <v>164</v>
      </c>
      <c r="F10" s="3">
        <v>0.0</v>
      </c>
      <c r="G10" s="23" t="s">
        <v>233</v>
      </c>
      <c r="H10" s="23" t="s">
        <v>234</v>
      </c>
      <c r="I10" s="3"/>
      <c r="J10" s="3"/>
      <c r="K10" s="3"/>
      <c r="L10" s="3"/>
      <c r="M10" s="3"/>
      <c r="N10" s="3"/>
      <c r="O10" s="3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</row>
    <row r="11" ht="15.75" customHeight="1">
      <c r="A11" s="3"/>
      <c r="B11" s="31">
        <v>43294.0</v>
      </c>
      <c r="C11" s="23" t="s">
        <v>32</v>
      </c>
      <c r="D11" s="29" t="s">
        <v>30</v>
      </c>
      <c r="E11" s="3" t="s">
        <v>164</v>
      </c>
      <c r="F11" s="3">
        <v>0.56</v>
      </c>
      <c r="G11" s="23" t="s">
        <v>233</v>
      </c>
      <c r="H11" s="23" t="s">
        <v>234</v>
      </c>
      <c r="I11" s="3"/>
      <c r="J11" s="3"/>
      <c r="K11" s="3"/>
      <c r="L11" s="3"/>
      <c r="M11" s="3"/>
      <c r="N11" s="3"/>
      <c r="O11" s="3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</row>
    <row r="12" ht="15.75" customHeight="1">
      <c r="A12" s="3"/>
      <c r="B12" s="31">
        <v>43294.0</v>
      </c>
      <c r="C12" s="23" t="s">
        <v>32</v>
      </c>
      <c r="D12" s="29" t="s">
        <v>30</v>
      </c>
      <c r="E12" s="3" t="s">
        <v>164</v>
      </c>
      <c r="F12" s="3">
        <v>0.28</v>
      </c>
      <c r="G12" s="23" t="s">
        <v>233</v>
      </c>
      <c r="H12" s="23" t="s">
        <v>234</v>
      </c>
      <c r="I12" s="3"/>
      <c r="J12" s="3"/>
      <c r="K12" s="3"/>
      <c r="L12" s="3"/>
      <c r="M12" s="3"/>
      <c r="N12" s="3"/>
      <c r="O12" s="3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</row>
    <row r="13" ht="15.75" customHeight="1">
      <c r="A13" s="3"/>
      <c r="B13" s="31">
        <v>43290.0</v>
      </c>
      <c r="C13" s="23" t="s">
        <v>32</v>
      </c>
      <c r="D13" s="29" t="s">
        <v>30</v>
      </c>
      <c r="E13" s="3" t="s">
        <v>164</v>
      </c>
      <c r="F13" s="3">
        <v>0.0</v>
      </c>
      <c r="G13" s="23" t="s">
        <v>233</v>
      </c>
      <c r="H13" s="23" t="s">
        <v>234</v>
      </c>
      <c r="I13" s="3"/>
      <c r="J13" s="3"/>
      <c r="K13" s="3"/>
      <c r="L13" s="3"/>
      <c r="M13" s="3"/>
      <c r="N13" s="3"/>
      <c r="O13" s="3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</row>
    <row r="14" ht="15.75" customHeight="1">
      <c r="A14" s="6"/>
      <c r="B14" s="6"/>
      <c r="C14" s="6"/>
      <c r="D14" s="6"/>
      <c r="E14" s="6"/>
      <c r="F14" s="6"/>
      <c r="G14" s="6"/>
      <c r="H14" s="23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7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31">
        <v>43290.0</v>
      </c>
      <c r="C6" s="30"/>
      <c r="D6" s="30"/>
      <c r="E6" s="33">
        <v>1522.0</v>
      </c>
      <c r="F6" s="34">
        <v>0.0</v>
      </c>
      <c r="G6" s="29">
        <v>1.5</v>
      </c>
      <c r="H6" s="29" t="s">
        <v>224</v>
      </c>
      <c r="I6" s="29" t="s">
        <v>227</v>
      </c>
      <c r="J6" s="29" t="s">
        <v>221</v>
      </c>
      <c r="K6" s="29" t="s">
        <v>164</v>
      </c>
      <c r="L6" s="29" t="s">
        <v>165</v>
      </c>
      <c r="M6" s="29" t="s">
        <v>30</v>
      </c>
      <c r="N6" s="29" t="s">
        <v>235</v>
      </c>
      <c r="O6" s="33">
        <v>2283.0</v>
      </c>
      <c r="P6" s="33">
        <v>0.0</v>
      </c>
      <c r="Q6" s="29" t="s">
        <v>228</v>
      </c>
      <c r="R6" s="29" t="s">
        <v>32</v>
      </c>
      <c r="S6" s="29"/>
      <c r="T6" s="29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31">
        <v>43290.0</v>
      </c>
      <c r="C7" s="30"/>
      <c r="D7" s="30"/>
      <c r="E7" s="35">
        <v>0.0</v>
      </c>
      <c r="F7" s="33">
        <v>1522.0</v>
      </c>
      <c r="G7" s="29">
        <v>1.5</v>
      </c>
      <c r="H7" s="29" t="s">
        <v>224</v>
      </c>
      <c r="I7" s="29" t="s">
        <v>229</v>
      </c>
      <c r="J7" s="29" t="s">
        <v>221</v>
      </c>
      <c r="K7" s="29" t="s">
        <v>164</v>
      </c>
      <c r="L7" s="29" t="s">
        <v>165</v>
      </c>
      <c r="M7" s="29" t="s">
        <v>30</v>
      </c>
      <c r="N7" s="29" t="s">
        <v>235</v>
      </c>
      <c r="O7" s="33">
        <v>0.0</v>
      </c>
      <c r="P7" s="33">
        <v>2283.0</v>
      </c>
      <c r="Q7" s="29" t="s">
        <v>230</v>
      </c>
      <c r="R7" s="29" t="s">
        <v>32</v>
      </c>
      <c r="S7" s="29"/>
      <c r="T7" s="2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31">
        <v>43290.0</v>
      </c>
      <c r="C8" s="30"/>
      <c r="D8" s="30"/>
      <c r="E8" s="33">
        <v>73.93</v>
      </c>
      <c r="F8" s="34">
        <v>0.0</v>
      </c>
      <c r="G8" s="29">
        <v>1.5</v>
      </c>
      <c r="H8" s="29" t="s">
        <v>224</v>
      </c>
      <c r="I8" s="29" t="s">
        <v>227</v>
      </c>
      <c r="J8" s="29" t="s">
        <v>221</v>
      </c>
      <c r="K8" s="29" t="s">
        <v>164</v>
      </c>
      <c r="L8" s="29" t="s">
        <v>165</v>
      </c>
      <c r="M8" s="29" t="s">
        <v>30</v>
      </c>
      <c r="N8" s="29" t="s">
        <v>235</v>
      </c>
      <c r="O8" s="33">
        <v>110.9</v>
      </c>
      <c r="P8" s="33">
        <v>0.0</v>
      </c>
      <c r="Q8" s="29" t="s">
        <v>231</v>
      </c>
      <c r="R8" s="29" t="s">
        <v>32</v>
      </c>
      <c r="S8" s="29"/>
      <c r="T8" s="29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31">
        <v>43290.0</v>
      </c>
      <c r="C9" s="30"/>
      <c r="D9" s="30"/>
      <c r="E9" s="35">
        <v>0.0</v>
      </c>
      <c r="F9" s="33">
        <v>73.93</v>
      </c>
      <c r="G9" s="29">
        <v>1.5</v>
      </c>
      <c r="H9" s="29" t="s">
        <v>224</v>
      </c>
      <c r="I9" s="29" t="s">
        <v>229</v>
      </c>
      <c r="J9" s="29" t="s">
        <v>221</v>
      </c>
      <c r="K9" s="29" t="s">
        <v>164</v>
      </c>
      <c r="L9" s="29" t="s">
        <v>165</v>
      </c>
      <c r="M9" s="29" t="s">
        <v>30</v>
      </c>
      <c r="N9" s="29" t="s">
        <v>235</v>
      </c>
      <c r="O9" s="33">
        <v>0.0</v>
      </c>
      <c r="P9" s="33">
        <v>110.9</v>
      </c>
      <c r="Q9" s="29" t="s">
        <v>230</v>
      </c>
      <c r="R9" s="29" t="s">
        <v>32</v>
      </c>
      <c r="S9" s="29"/>
      <c r="T9" s="29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28"/>
      <c r="B10" s="31">
        <v>43292.0</v>
      </c>
      <c r="C10" s="30"/>
      <c r="D10" s="30"/>
      <c r="E10" s="33">
        <v>40.0</v>
      </c>
      <c r="F10" s="34">
        <v>0.0</v>
      </c>
      <c r="G10" s="29">
        <v>1.8</v>
      </c>
      <c r="H10" s="29" t="s">
        <v>224</v>
      </c>
      <c r="I10" s="29" t="s">
        <v>227</v>
      </c>
      <c r="J10" s="29" t="s">
        <v>221</v>
      </c>
      <c r="K10" s="29" t="s">
        <v>164</v>
      </c>
      <c r="L10" s="29" t="s">
        <v>165</v>
      </c>
      <c r="M10" s="29" t="s">
        <v>30</v>
      </c>
      <c r="N10" s="29" t="s">
        <v>235</v>
      </c>
      <c r="O10" s="33">
        <v>72.0</v>
      </c>
      <c r="P10" s="33">
        <v>0.0</v>
      </c>
      <c r="Q10" s="29" t="s">
        <v>228</v>
      </c>
      <c r="R10" s="29" t="s">
        <v>32</v>
      </c>
      <c r="S10" s="29"/>
      <c r="T10" s="29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ht="15.75" customHeight="1">
      <c r="A11" s="28"/>
      <c r="B11" s="31">
        <v>43292.0</v>
      </c>
      <c r="C11" s="30"/>
      <c r="D11" s="30"/>
      <c r="E11" s="35">
        <v>0.0</v>
      </c>
      <c r="F11" s="33">
        <v>40.0</v>
      </c>
      <c r="G11" s="29">
        <v>1.8</v>
      </c>
      <c r="H11" s="29" t="s">
        <v>224</v>
      </c>
      <c r="I11" s="29" t="s">
        <v>229</v>
      </c>
      <c r="J11" s="29" t="s">
        <v>221</v>
      </c>
      <c r="K11" s="29" t="s">
        <v>164</v>
      </c>
      <c r="L11" s="29" t="s">
        <v>165</v>
      </c>
      <c r="M11" s="29" t="s">
        <v>30</v>
      </c>
      <c r="N11" s="29" t="s">
        <v>235</v>
      </c>
      <c r="O11" s="33">
        <v>0.0</v>
      </c>
      <c r="P11" s="33">
        <v>72.0</v>
      </c>
      <c r="Q11" s="29" t="s">
        <v>230</v>
      </c>
      <c r="R11" s="29" t="s">
        <v>32</v>
      </c>
      <c r="S11" s="29"/>
      <c r="T11" s="29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ht="15.75" customHeight="1">
      <c r="A12" s="28"/>
      <c r="B12" s="31">
        <v>43292.0</v>
      </c>
      <c r="C12" s="30"/>
      <c r="D12" s="30"/>
      <c r="E12" s="33">
        <v>618.0</v>
      </c>
      <c r="F12" s="34">
        <v>0.0</v>
      </c>
      <c r="G12" s="29">
        <v>1.8</v>
      </c>
      <c r="H12" s="29" t="s">
        <v>224</v>
      </c>
      <c r="I12" s="29" t="s">
        <v>227</v>
      </c>
      <c r="J12" s="29" t="s">
        <v>221</v>
      </c>
      <c r="K12" s="29" t="s">
        <v>164</v>
      </c>
      <c r="L12" s="29" t="s">
        <v>165</v>
      </c>
      <c r="M12" s="29" t="s">
        <v>30</v>
      </c>
      <c r="N12" s="29" t="s">
        <v>235</v>
      </c>
      <c r="O12" s="33">
        <v>1112.4</v>
      </c>
      <c r="P12" s="33">
        <v>0.0</v>
      </c>
      <c r="Q12" s="29" t="s">
        <v>230</v>
      </c>
      <c r="R12" s="29" t="s">
        <v>32</v>
      </c>
      <c r="S12" s="29"/>
      <c r="T12" s="29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ht="15.75" customHeight="1">
      <c r="A13" s="28"/>
      <c r="B13" s="31">
        <v>43292.0</v>
      </c>
      <c r="C13" s="30"/>
      <c r="D13" s="30"/>
      <c r="E13" s="35">
        <v>0.0</v>
      </c>
      <c r="F13" s="33">
        <v>618.0</v>
      </c>
      <c r="G13" s="29">
        <v>1.8</v>
      </c>
      <c r="H13" s="29" t="s">
        <v>224</v>
      </c>
      <c r="I13" s="29" t="s">
        <v>229</v>
      </c>
      <c r="J13" s="29" t="s">
        <v>221</v>
      </c>
      <c r="K13" s="29" t="s">
        <v>164</v>
      </c>
      <c r="L13" s="29" t="s">
        <v>165</v>
      </c>
      <c r="M13" s="29" t="s">
        <v>30</v>
      </c>
      <c r="N13" s="29" t="s">
        <v>235</v>
      </c>
      <c r="O13" s="33">
        <v>0.0</v>
      </c>
      <c r="P13" s="33">
        <v>1112.4</v>
      </c>
      <c r="Q13" s="29" t="s">
        <v>228</v>
      </c>
      <c r="R13" s="29" t="s">
        <v>32</v>
      </c>
      <c r="S13" s="29"/>
      <c r="T13" s="29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ht="15.75" customHeight="1">
      <c r="A14" s="28"/>
      <c r="B14" s="31">
        <v>43292.0</v>
      </c>
      <c r="C14" s="30"/>
      <c r="D14" s="30"/>
      <c r="E14" s="33">
        <v>37.53</v>
      </c>
      <c r="F14" s="34">
        <v>0.0</v>
      </c>
      <c r="G14" s="29">
        <v>1.8</v>
      </c>
      <c r="H14" s="29" t="s">
        <v>224</v>
      </c>
      <c r="I14" s="29" t="s">
        <v>227</v>
      </c>
      <c r="J14" s="29" t="s">
        <v>221</v>
      </c>
      <c r="K14" s="29" t="s">
        <v>164</v>
      </c>
      <c r="L14" s="29" t="s">
        <v>165</v>
      </c>
      <c r="M14" s="29" t="s">
        <v>30</v>
      </c>
      <c r="N14" s="29" t="s">
        <v>235</v>
      </c>
      <c r="O14" s="33">
        <v>67.56</v>
      </c>
      <c r="P14" s="33">
        <v>0.0</v>
      </c>
      <c r="Q14" s="29" t="s">
        <v>232</v>
      </c>
      <c r="R14" s="29" t="s">
        <v>32</v>
      </c>
      <c r="S14" s="29"/>
      <c r="T14" s="29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ht="15.75" customHeight="1">
      <c r="A15" s="28"/>
      <c r="B15" s="31">
        <v>43292.0</v>
      </c>
      <c r="C15" s="30"/>
      <c r="D15" s="30"/>
      <c r="E15" s="35">
        <v>0.0</v>
      </c>
      <c r="F15" s="33">
        <v>37.53</v>
      </c>
      <c r="G15" s="29">
        <v>1.8</v>
      </c>
      <c r="H15" s="29" t="s">
        <v>224</v>
      </c>
      <c r="I15" s="29" t="s">
        <v>229</v>
      </c>
      <c r="J15" s="29" t="s">
        <v>221</v>
      </c>
      <c r="K15" s="29" t="s">
        <v>164</v>
      </c>
      <c r="L15" s="29" t="s">
        <v>165</v>
      </c>
      <c r="M15" s="29" t="s">
        <v>30</v>
      </c>
      <c r="N15" s="29" t="s">
        <v>235</v>
      </c>
      <c r="O15" s="33">
        <v>0.0</v>
      </c>
      <c r="P15" s="33">
        <v>67.56</v>
      </c>
      <c r="Q15" s="29" t="s">
        <v>230</v>
      </c>
      <c r="R15" s="29" t="s">
        <v>32</v>
      </c>
      <c r="S15" s="29"/>
      <c r="T15" s="29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ht="15.75" customHeight="1">
      <c r="A16" s="28"/>
      <c r="B16" s="31">
        <v>43292.0</v>
      </c>
      <c r="C16" s="30"/>
      <c r="D16" s="36"/>
      <c r="E16" s="33">
        <v>0.56</v>
      </c>
      <c r="F16" s="34">
        <v>0.0</v>
      </c>
      <c r="G16" s="29">
        <v>0.7411</v>
      </c>
      <c r="H16" s="29" t="s">
        <v>224</v>
      </c>
      <c r="I16" s="29" t="s">
        <v>227</v>
      </c>
      <c r="J16" s="29" t="s">
        <v>236</v>
      </c>
      <c r="K16" s="29" t="s">
        <v>164</v>
      </c>
      <c r="L16" s="29" t="s">
        <v>165</v>
      </c>
      <c r="M16" s="29" t="s">
        <v>30</v>
      </c>
      <c r="N16" s="29" t="s">
        <v>235</v>
      </c>
      <c r="O16" s="33">
        <v>0.42</v>
      </c>
      <c r="P16" s="33">
        <v>0.0</v>
      </c>
      <c r="Q16" s="29" t="s">
        <v>232</v>
      </c>
      <c r="R16" s="29" t="s">
        <v>32</v>
      </c>
      <c r="S16" s="29"/>
      <c r="T16" s="29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ht="15.75" customHeight="1">
      <c r="A17" s="28"/>
      <c r="B17" s="31">
        <v>43292.0</v>
      </c>
      <c r="C17" s="30"/>
      <c r="D17" s="36"/>
      <c r="E17" s="35">
        <v>0.0</v>
      </c>
      <c r="F17" s="33">
        <v>0.56</v>
      </c>
      <c r="G17" s="29">
        <v>0.7411</v>
      </c>
      <c r="H17" s="29" t="s">
        <v>224</v>
      </c>
      <c r="I17" s="29" t="s">
        <v>229</v>
      </c>
      <c r="J17" s="29" t="s">
        <v>236</v>
      </c>
      <c r="K17" s="29" t="s">
        <v>164</v>
      </c>
      <c r="L17" s="29" t="s">
        <v>165</v>
      </c>
      <c r="M17" s="29" t="s">
        <v>30</v>
      </c>
      <c r="N17" s="29" t="s">
        <v>235</v>
      </c>
      <c r="O17" s="33">
        <v>0.0</v>
      </c>
      <c r="P17" s="33">
        <v>0.42</v>
      </c>
      <c r="Q17" s="29" t="s">
        <v>237</v>
      </c>
      <c r="R17" s="29" t="s">
        <v>32</v>
      </c>
      <c r="S17" s="29"/>
      <c r="T17" s="29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</row>
    <row r="18" ht="15.75" customHeight="1">
      <c r="A18" s="28"/>
      <c r="B18" s="31">
        <v>43293.0</v>
      </c>
      <c r="C18" s="30"/>
      <c r="D18" s="36"/>
      <c r="E18" s="33">
        <v>0.56</v>
      </c>
      <c r="F18" s="34">
        <v>0.0</v>
      </c>
      <c r="G18" s="29">
        <v>0.7412</v>
      </c>
      <c r="H18" s="29" t="s">
        <v>224</v>
      </c>
      <c r="I18" s="29" t="s">
        <v>227</v>
      </c>
      <c r="J18" s="29" t="s">
        <v>236</v>
      </c>
      <c r="K18" s="29" t="s">
        <v>164</v>
      </c>
      <c r="L18" s="29" t="s">
        <v>165</v>
      </c>
      <c r="M18" s="29" t="s">
        <v>30</v>
      </c>
      <c r="N18" s="29" t="s">
        <v>235</v>
      </c>
      <c r="O18" s="33">
        <v>0.42</v>
      </c>
      <c r="P18" s="33">
        <v>0.0</v>
      </c>
      <c r="Q18" s="29" t="s">
        <v>232</v>
      </c>
      <c r="R18" s="29" t="s">
        <v>32</v>
      </c>
      <c r="S18" s="29"/>
      <c r="T18" s="29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ht="15.75" customHeight="1">
      <c r="A19" s="28"/>
      <c r="B19" s="31">
        <v>43293.0</v>
      </c>
      <c r="C19" s="30"/>
      <c r="D19" s="36"/>
      <c r="E19" s="35">
        <v>0.0</v>
      </c>
      <c r="F19" s="33">
        <v>0.56</v>
      </c>
      <c r="G19" s="29">
        <v>0.7412</v>
      </c>
      <c r="H19" s="29" t="s">
        <v>224</v>
      </c>
      <c r="I19" s="29" t="s">
        <v>229</v>
      </c>
      <c r="J19" s="29" t="s">
        <v>236</v>
      </c>
      <c r="K19" s="29" t="s">
        <v>164</v>
      </c>
      <c r="L19" s="29" t="s">
        <v>165</v>
      </c>
      <c r="M19" s="29" t="s">
        <v>30</v>
      </c>
      <c r="N19" s="29" t="s">
        <v>235</v>
      </c>
      <c r="O19" s="33">
        <v>0.0</v>
      </c>
      <c r="P19" s="33">
        <v>0.42</v>
      </c>
      <c r="Q19" s="29" t="s">
        <v>237</v>
      </c>
      <c r="R19" s="29" t="s">
        <v>32</v>
      </c>
      <c r="S19" s="29"/>
      <c r="T19" s="29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ht="15.75" customHeight="1">
      <c r="A20" s="28"/>
      <c r="B20" s="31">
        <v>43294.0</v>
      </c>
      <c r="C20" s="30"/>
      <c r="D20" s="36"/>
      <c r="E20" s="33">
        <v>0.56</v>
      </c>
      <c r="F20" s="34">
        <v>0.0</v>
      </c>
      <c r="G20" s="29">
        <v>0.7413</v>
      </c>
      <c r="H20" s="29" t="s">
        <v>224</v>
      </c>
      <c r="I20" s="29" t="s">
        <v>227</v>
      </c>
      <c r="J20" s="29" t="s">
        <v>236</v>
      </c>
      <c r="K20" s="29" t="s">
        <v>164</v>
      </c>
      <c r="L20" s="29" t="s">
        <v>165</v>
      </c>
      <c r="M20" s="29" t="s">
        <v>30</v>
      </c>
      <c r="N20" s="29" t="s">
        <v>235</v>
      </c>
      <c r="O20" s="33">
        <v>0.42</v>
      </c>
      <c r="P20" s="33">
        <v>0.0</v>
      </c>
      <c r="Q20" s="29" t="s">
        <v>232</v>
      </c>
      <c r="R20" s="29" t="s">
        <v>32</v>
      </c>
      <c r="S20" s="29"/>
      <c r="T20" s="29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ht="15.75" customHeight="1">
      <c r="A21" s="28"/>
      <c r="B21" s="31">
        <v>43294.0</v>
      </c>
      <c r="C21" s="30"/>
      <c r="D21" s="36"/>
      <c r="E21" s="35">
        <v>0.0</v>
      </c>
      <c r="F21" s="33">
        <v>0.56</v>
      </c>
      <c r="G21" s="29">
        <v>0.7413</v>
      </c>
      <c r="H21" s="29" t="s">
        <v>224</v>
      </c>
      <c r="I21" s="29" t="s">
        <v>229</v>
      </c>
      <c r="J21" s="29" t="s">
        <v>236</v>
      </c>
      <c r="K21" s="29" t="s">
        <v>164</v>
      </c>
      <c r="L21" s="29" t="s">
        <v>165</v>
      </c>
      <c r="M21" s="29" t="s">
        <v>30</v>
      </c>
      <c r="N21" s="29" t="s">
        <v>235</v>
      </c>
      <c r="O21" s="33">
        <v>0.0</v>
      </c>
      <c r="P21" s="33">
        <v>0.42</v>
      </c>
      <c r="Q21" s="29" t="s">
        <v>237</v>
      </c>
      <c r="R21" s="29" t="s">
        <v>32</v>
      </c>
      <c r="S21" s="29"/>
      <c r="T21" s="29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ht="15.75" customHeight="1">
      <c r="A22" s="28"/>
      <c r="B22" s="31">
        <v>43294.0</v>
      </c>
      <c r="C22" s="30"/>
      <c r="D22" s="36"/>
      <c r="E22" s="33">
        <v>0.28</v>
      </c>
      <c r="F22" s="34">
        <v>0.0</v>
      </c>
      <c r="G22" s="29">
        <v>0.7413</v>
      </c>
      <c r="H22" s="29" t="s">
        <v>224</v>
      </c>
      <c r="I22" s="29" t="s">
        <v>227</v>
      </c>
      <c r="J22" s="29" t="s">
        <v>236</v>
      </c>
      <c r="K22" s="29" t="s">
        <v>164</v>
      </c>
      <c r="L22" s="29" t="s">
        <v>165</v>
      </c>
      <c r="M22" s="29" t="s">
        <v>30</v>
      </c>
      <c r="N22" s="29" t="s">
        <v>235</v>
      </c>
      <c r="O22" s="33">
        <v>0.21</v>
      </c>
      <c r="P22" s="33">
        <v>0.0</v>
      </c>
      <c r="Q22" s="29" t="s">
        <v>232</v>
      </c>
      <c r="R22" s="29" t="s">
        <v>32</v>
      </c>
      <c r="S22" s="29"/>
      <c r="T22" s="29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ht="15.75" customHeight="1">
      <c r="A23" s="28"/>
      <c r="B23" s="31">
        <v>43294.0</v>
      </c>
      <c r="C23" s="30"/>
      <c r="D23" s="36"/>
      <c r="E23" s="35">
        <v>0.0</v>
      </c>
      <c r="F23" s="33">
        <v>0.28</v>
      </c>
      <c r="G23" s="29">
        <v>0.7413</v>
      </c>
      <c r="H23" s="29" t="s">
        <v>224</v>
      </c>
      <c r="I23" s="29" t="s">
        <v>229</v>
      </c>
      <c r="J23" s="29" t="s">
        <v>236</v>
      </c>
      <c r="K23" s="29" t="s">
        <v>164</v>
      </c>
      <c r="L23" s="29" t="s">
        <v>165</v>
      </c>
      <c r="M23" s="29" t="s">
        <v>30</v>
      </c>
      <c r="N23" s="29" t="s">
        <v>235</v>
      </c>
      <c r="O23" s="33">
        <v>0.0</v>
      </c>
      <c r="P23" s="33">
        <v>0.21</v>
      </c>
      <c r="Q23" s="29" t="s">
        <v>237</v>
      </c>
      <c r="R23" s="29" t="s">
        <v>32</v>
      </c>
      <c r="S23" s="29"/>
      <c r="T23" s="29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200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IFERROR(__xludf.DUMMYFUNCTION("""COMPUTED_VALUE"""),"From Date")</f>
        <v>From Date</v>
      </c>
      <c r="E5" s="21" t="str">
        <f>IFERROR(__xludf.DUMMYFUNCTION("""COMPUTED_VALUE"""),"To Date")</f>
        <v>To Date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43290.0</v>
      </c>
      <c r="E6" s="25">
        <v>43294.0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201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IFERROR(__xludf.DUMMYFUNCTION("""COMPUTED_VALUE"""),"Account")</f>
        <v>Account</v>
      </c>
      <c r="C5" s="21" t="str">
        <f>IFERROR(__xludf.DUMMYFUNCTION("""COMPUTED_VALUE"""),"Date")</f>
        <v>Date</v>
      </c>
      <c r="D5" s="21" t="str">
        <f>IFERROR(__xludf.DUMMYFUNCTION("""COMPUTED_VALUE"""),"Currency (Local)")</f>
        <v>Currency (Local)</v>
      </c>
      <c r="E5" s="21" t="str">
        <f>IFERROR(__xludf.DUMMYFUNCTION("""COMPUTED_VALUE"""),"Cash (Local)")</f>
        <v>Cash (Local)</v>
      </c>
      <c r="F5" s="21" t="str">
        <f>IFERROR(__xludf.DUMMYFUNCTION("""COMPUTED_VALUE"""),"Currency (Base)")</f>
        <v>Currency (Base)</v>
      </c>
      <c r="G5" s="21" t="str">
        <f>IFERROR(__xludf.DUMMYFUNCTION("""COMPUTED_VALUE"""),"Cash (Base)")</f>
        <v>Cash (Base)</v>
      </c>
      <c r="H5" s="21" t="str">
        <f>IFERROR(__xludf.DUMMYFUNCTION("""COMPUTED_VALUE"""),"BalanceType")</f>
        <v>BalanceType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32</v>
      </c>
      <c r="C6" s="25">
        <v>43290.0</v>
      </c>
      <c r="D6" s="23" t="s">
        <v>164</v>
      </c>
      <c r="E6" s="24">
        <v>-1595.93</v>
      </c>
      <c r="F6" s="23" t="s">
        <v>165</v>
      </c>
      <c r="G6" s="24">
        <v>-1195.35</v>
      </c>
      <c r="H6" s="23" t="s">
        <v>223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186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IFERROR(__xludf.DUMMYFUNCTION("""COMPUTED_VALUE"""),"Balances as on date")</f>
        <v>Balances as on date</v>
      </c>
      <c r="E5" s="21" t="str">
        <f>IFERROR(__xludf.DUMMYFUNCTION("""COMPUTED_VALUE"""),"IsRunRevalOnGetAccountBalances")</f>
        <v>IsRunRevalOnGetAccountBalances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43294.0</v>
      </c>
      <c r="E6" s="24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175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2" t="str">
        <f>IFERROR(__xludf.DUMMYFUNCTION("""COMPUTED_VALUE"""),"ORF Fee")</f>
        <v>ORF Fee</v>
      </c>
      <c r="U5" s="22" t="str">
        <f>IFERROR(__xludf.DUMMYFUNCTION("""COMPUTED_VALUE"""),"Other Broker Fees")</f>
        <v>Other Broker Fees</v>
      </c>
      <c r="V5" s="22" t="str">
        <f>IFERROR(__xludf.DUMMYFUNCTION("""COMPUTED_VALUE"""),"Quantity")</f>
        <v>Quantity</v>
      </c>
      <c r="W5" s="22" t="str">
        <f>IFERROR(__xludf.DUMMYFUNCTION("""COMPUTED_VALUE"""),"SEC Fee")</f>
        <v>SEC Fee</v>
      </c>
      <c r="X5" s="22" t="str">
        <f>IFERROR(__xludf.DUMMYFUNCTION("""COMPUTED_VALUE"""),"Settlement Currency")</f>
        <v>Settlement Currency</v>
      </c>
      <c r="Y5" s="22" t="str">
        <f>IFERROR(__xludf.DUMMYFUNCTION("""COMPUTED_VALUE"""),"Settlement Date")</f>
        <v>Settlement Date</v>
      </c>
      <c r="Z5" s="22" t="str">
        <f>IFERROR(__xludf.DUMMYFUNCTION("""COMPUTED_VALUE"""),"Soft Commission")</f>
        <v>Soft Commission</v>
      </c>
      <c r="AA5" s="22" t="str">
        <f>IFERROR(__xludf.DUMMYFUNCTION("""COMPUTED_VALUE"""),"Stamp Duty")</f>
        <v>Stamp Duty</v>
      </c>
      <c r="AB5" s="22" t="str">
        <f>IFERROR(__xludf.DUMMYFUNCTION("""COMPUTED_VALUE"""),"Symbol")</f>
        <v>Symbol</v>
      </c>
      <c r="AC5" s="22" t="str">
        <f>IFERROR(__xludf.DUMMYFUNCTION("""COMPUTED_VALUE"""),"Tax On Commissions")</f>
        <v>Tax On Commissions</v>
      </c>
      <c r="AD5" s="22" t="str">
        <f>IFERROR(__xludf.DUMMYFUNCTION("""COMPUTED_VALUE"""),"Total Commissions")</f>
        <v>Total Commissions</v>
      </c>
      <c r="AE5" s="22" t="str">
        <f>IFERROR(__xludf.DUMMYFUNCTION("""COMPUTED_VALUE"""),"Trade Date")</f>
        <v>Trade Date</v>
      </c>
      <c r="AF5" s="22" t="str">
        <f>IFERROR(__xludf.DUMMYFUNCTION("""COMPUTED_VALUE"""),"Transaction Levy")</f>
        <v>Transaction Levy</v>
      </c>
      <c r="AG5" s="22" t="str">
        <f>IFERROR(__xludf.DUMMYFUNCTION("""COMPUTED_VALUE"""),"Transaction Source")</f>
        <v>Transaction Source</v>
      </c>
      <c r="AH5" s="22" t="str">
        <f>IFERROR(__xludf.DUMMYFUNCTION("""COMPUTED_VALUE"""),"User")</f>
        <v>User</v>
      </c>
      <c r="AI5" s="22" t="str">
        <f>IFERROR(__xludf.DUMMYFUNCTION("""COMPUTED_VALUE"""),"Vs Currency")</f>
        <v>Vs Currency</v>
      </c>
      <c r="AJ5" s="22" t="str">
        <f>IFERROR(__xludf.DUMMYFUNCTION("""COMPUTED_VALUE"""),"SettlCurrencyID")</f>
        <v>SettlCurrencyID</v>
      </c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29" t="s">
        <v>32</v>
      </c>
      <c r="C6" s="29" t="s">
        <v>238</v>
      </c>
      <c r="D6" s="29" t="s">
        <v>239</v>
      </c>
      <c r="E6" s="29">
        <v>-1143.02</v>
      </c>
      <c r="F6" s="29">
        <v>0.0</v>
      </c>
      <c r="G6" s="29">
        <v>0.0</v>
      </c>
      <c r="H6" s="29" t="s">
        <v>223</v>
      </c>
      <c r="I6" s="29">
        <v>0.0</v>
      </c>
      <c r="J6" s="29">
        <v>0.0</v>
      </c>
      <c r="K6" s="29" t="s">
        <v>165</v>
      </c>
      <c r="L6" s="29" t="s">
        <v>240</v>
      </c>
      <c r="M6" s="30"/>
      <c r="N6" s="29" t="s">
        <v>224</v>
      </c>
      <c r="O6" s="29">
        <v>1.0</v>
      </c>
      <c r="P6" s="29"/>
      <c r="Q6" s="30"/>
      <c r="R6" s="29">
        <v>0.0</v>
      </c>
      <c r="S6" s="29">
        <v>0.0</v>
      </c>
      <c r="T6" s="29">
        <v>0.0</v>
      </c>
      <c r="U6" s="29">
        <v>0.0</v>
      </c>
      <c r="V6" s="29">
        <v>0.0</v>
      </c>
      <c r="W6" s="29">
        <v>0.0</v>
      </c>
      <c r="X6" s="29"/>
      <c r="Y6" s="37"/>
      <c r="Z6" s="29">
        <v>0.0</v>
      </c>
      <c r="AA6" s="29">
        <v>0.0</v>
      </c>
      <c r="AB6" s="29" t="s">
        <v>164</v>
      </c>
      <c r="AC6" s="29">
        <v>0.0</v>
      </c>
      <c r="AD6" s="29">
        <v>0.0</v>
      </c>
      <c r="AE6" s="31">
        <v>43290.0</v>
      </c>
      <c r="AF6" s="29">
        <v>0.0</v>
      </c>
      <c r="AG6" s="29" t="s">
        <v>238</v>
      </c>
      <c r="AH6" s="29"/>
      <c r="AI6" s="29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29" t="s">
        <v>32</v>
      </c>
      <c r="C7" s="29" t="s">
        <v>238</v>
      </c>
      <c r="D7" s="29" t="s">
        <v>239</v>
      </c>
      <c r="E7" s="29">
        <v>-492.0</v>
      </c>
      <c r="F7" s="29">
        <v>0.0</v>
      </c>
      <c r="G7" s="29">
        <v>0.0</v>
      </c>
      <c r="H7" s="29" t="s">
        <v>223</v>
      </c>
      <c r="I7" s="29">
        <v>0.0</v>
      </c>
      <c r="J7" s="29">
        <v>0.0</v>
      </c>
      <c r="K7" s="29" t="s">
        <v>164</v>
      </c>
      <c r="L7" s="29" t="s">
        <v>240</v>
      </c>
      <c r="M7" s="30"/>
      <c r="N7" s="29" t="s">
        <v>224</v>
      </c>
      <c r="O7" s="29">
        <v>0.75</v>
      </c>
      <c r="P7" s="29"/>
      <c r="Q7" s="30"/>
      <c r="R7" s="29">
        <v>0.0</v>
      </c>
      <c r="S7" s="29">
        <v>0.0</v>
      </c>
      <c r="T7" s="29">
        <v>0.0</v>
      </c>
      <c r="U7" s="29">
        <v>0.0</v>
      </c>
      <c r="V7" s="29">
        <v>0.0</v>
      </c>
      <c r="W7" s="29">
        <v>0.0</v>
      </c>
      <c r="X7" s="29"/>
      <c r="Y7" s="37"/>
      <c r="Z7" s="29">
        <v>0.0</v>
      </c>
      <c r="AA7" s="29">
        <v>0.0</v>
      </c>
      <c r="AB7" s="29" t="s">
        <v>30</v>
      </c>
      <c r="AC7" s="29">
        <v>0.0</v>
      </c>
      <c r="AD7" s="29">
        <v>0.0</v>
      </c>
      <c r="AE7" s="31">
        <v>43290.0</v>
      </c>
      <c r="AF7" s="29">
        <v>0.0</v>
      </c>
      <c r="AG7" s="29" t="s">
        <v>238</v>
      </c>
      <c r="AH7" s="29"/>
      <c r="AI7" s="29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29" t="s">
        <v>32</v>
      </c>
      <c r="C8" s="29" t="s">
        <v>221</v>
      </c>
      <c r="D8" s="29" t="s">
        <v>233</v>
      </c>
      <c r="E8" s="29">
        <v>0.0</v>
      </c>
      <c r="F8" s="29">
        <v>0.0</v>
      </c>
      <c r="G8" s="29">
        <v>0.0</v>
      </c>
      <c r="H8" s="29" t="s">
        <v>241</v>
      </c>
      <c r="I8" s="29">
        <v>0.0</v>
      </c>
      <c r="J8" s="29">
        <v>0.0</v>
      </c>
      <c r="K8" s="29" t="s">
        <v>164</v>
      </c>
      <c r="L8" s="29" t="s">
        <v>235</v>
      </c>
      <c r="M8" s="36"/>
      <c r="N8" s="29" t="s">
        <v>224</v>
      </c>
      <c r="O8" s="29">
        <v>1.5</v>
      </c>
      <c r="P8" s="29"/>
      <c r="Q8" s="30"/>
      <c r="R8" s="29">
        <v>0.0</v>
      </c>
      <c r="S8" s="29">
        <v>0.0</v>
      </c>
      <c r="T8" s="29">
        <v>0.0</v>
      </c>
      <c r="U8" s="29">
        <v>0.0</v>
      </c>
      <c r="V8" s="29">
        <v>100.0</v>
      </c>
      <c r="W8" s="29">
        <v>0.0</v>
      </c>
      <c r="X8" s="29" t="s">
        <v>164</v>
      </c>
      <c r="Y8" s="30"/>
      <c r="Z8" s="29">
        <v>0.0</v>
      </c>
      <c r="AA8" s="29">
        <v>0.0</v>
      </c>
      <c r="AB8" s="29" t="s">
        <v>30</v>
      </c>
      <c r="AC8" s="29">
        <v>0.0</v>
      </c>
      <c r="AD8" s="29">
        <v>0.0</v>
      </c>
      <c r="AE8" s="31">
        <v>43290.0</v>
      </c>
      <c r="AF8" s="29">
        <v>0.0</v>
      </c>
      <c r="AG8" s="29" t="s">
        <v>236</v>
      </c>
      <c r="AH8" s="29"/>
      <c r="AI8" s="29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29" t="s">
        <v>32</v>
      </c>
      <c r="C9" s="29" t="s">
        <v>238</v>
      </c>
      <c r="D9" s="29" t="s">
        <v>242</v>
      </c>
      <c r="E9" s="29">
        <v>1522.0</v>
      </c>
      <c r="F9" s="29">
        <v>0.0</v>
      </c>
      <c r="G9" s="29">
        <v>0.0</v>
      </c>
      <c r="H9" s="29" t="s">
        <v>223</v>
      </c>
      <c r="I9" s="29">
        <v>0.0</v>
      </c>
      <c r="J9" s="29">
        <v>0.0</v>
      </c>
      <c r="K9" s="29" t="s">
        <v>164</v>
      </c>
      <c r="L9" s="29" t="s">
        <v>243</v>
      </c>
      <c r="M9" s="30"/>
      <c r="N9" s="29" t="s">
        <v>224</v>
      </c>
      <c r="O9" s="29">
        <v>1.5</v>
      </c>
      <c r="P9" s="29"/>
      <c r="Q9" s="30"/>
      <c r="R9" s="29">
        <v>0.0</v>
      </c>
      <c r="S9" s="29">
        <v>0.0</v>
      </c>
      <c r="T9" s="29">
        <v>0.0</v>
      </c>
      <c r="U9" s="29">
        <v>0.0</v>
      </c>
      <c r="V9" s="29">
        <v>0.0</v>
      </c>
      <c r="W9" s="29">
        <v>0.0</v>
      </c>
      <c r="X9" s="29"/>
      <c r="Y9" s="37"/>
      <c r="Z9" s="29">
        <v>0.0</v>
      </c>
      <c r="AA9" s="29">
        <v>0.0</v>
      </c>
      <c r="AB9" s="29" t="s">
        <v>30</v>
      </c>
      <c r="AC9" s="29">
        <v>0.0</v>
      </c>
      <c r="AD9" s="29">
        <v>0.0</v>
      </c>
      <c r="AE9" s="31">
        <v>43290.0</v>
      </c>
      <c r="AF9" s="29">
        <v>0.0</v>
      </c>
      <c r="AG9" s="29" t="s">
        <v>238</v>
      </c>
      <c r="AH9" s="29"/>
      <c r="AI9" s="29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28"/>
      <c r="B10" s="29" t="s">
        <v>32</v>
      </c>
      <c r="C10" s="29" t="s">
        <v>238</v>
      </c>
      <c r="D10" s="29" t="s">
        <v>242</v>
      </c>
      <c r="E10" s="29">
        <v>73.93</v>
      </c>
      <c r="F10" s="29">
        <v>0.0</v>
      </c>
      <c r="G10" s="29">
        <v>0.0</v>
      </c>
      <c r="H10" s="29" t="s">
        <v>223</v>
      </c>
      <c r="I10" s="29">
        <v>0.0</v>
      </c>
      <c r="J10" s="29">
        <v>0.0</v>
      </c>
      <c r="K10" s="29" t="s">
        <v>164</v>
      </c>
      <c r="L10" s="29" t="s">
        <v>243</v>
      </c>
      <c r="M10" s="30"/>
      <c r="N10" s="29" t="s">
        <v>224</v>
      </c>
      <c r="O10" s="29">
        <v>1.5</v>
      </c>
      <c r="P10" s="29"/>
      <c r="Q10" s="30"/>
      <c r="R10" s="29">
        <v>0.0</v>
      </c>
      <c r="S10" s="29">
        <v>0.0</v>
      </c>
      <c r="T10" s="29">
        <v>0.0</v>
      </c>
      <c r="U10" s="29">
        <v>0.0</v>
      </c>
      <c r="V10" s="29">
        <v>0.0</v>
      </c>
      <c r="W10" s="29">
        <v>0.0</v>
      </c>
      <c r="X10" s="29"/>
      <c r="Y10" s="37"/>
      <c r="Z10" s="29">
        <v>0.0</v>
      </c>
      <c r="AA10" s="29">
        <v>0.0</v>
      </c>
      <c r="AB10" s="29" t="s">
        <v>30</v>
      </c>
      <c r="AC10" s="29">
        <v>0.0</v>
      </c>
      <c r="AD10" s="29">
        <v>0.0</v>
      </c>
      <c r="AE10" s="31">
        <v>43290.0</v>
      </c>
      <c r="AF10" s="29">
        <v>0.0</v>
      </c>
      <c r="AG10" s="29" t="s">
        <v>238</v>
      </c>
      <c r="AH10" s="29"/>
      <c r="AI10" s="29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ht="15.75" customHeight="1">
      <c r="A11" s="28"/>
      <c r="B11" s="29" t="s">
        <v>32</v>
      </c>
      <c r="C11" s="29" t="s">
        <v>238</v>
      </c>
      <c r="D11" s="29" t="s">
        <v>242</v>
      </c>
      <c r="E11" s="29">
        <v>-1522.0</v>
      </c>
      <c r="F11" s="29">
        <v>0.0</v>
      </c>
      <c r="G11" s="29">
        <v>0.0</v>
      </c>
      <c r="H11" s="29" t="s">
        <v>223</v>
      </c>
      <c r="I11" s="29">
        <v>0.0</v>
      </c>
      <c r="J11" s="29">
        <v>0.0</v>
      </c>
      <c r="K11" s="29" t="s">
        <v>164</v>
      </c>
      <c r="L11" s="29" t="s">
        <v>244</v>
      </c>
      <c r="M11" s="30"/>
      <c r="N11" s="29" t="s">
        <v>224</v>
      </c>
      <c r="O11" s="29">
        <v>0.75</v>
      </c>
      <c r="P11" s="29"/>
      <c r="Q11" s="30"/>
      <c r="R11" s="29">
        <v>0.0</v>
      </c>
      <c r="S11" s="29">
        <v>0.0</v>
      </c>
      <c r="T11" s="29">
        <v>0.0</v>
      </c>
      <c r="U11" s="29">
        <v>0.0</v>
      </c>
      <c r="V11" s="29">
        <v>0.0</v>
      </c>
      <c r="W11" s="29">
        <v>0.0</v>
      </c>
      <c r="X11" s="29"/>
      <c r="Y11" s="37"/>
      <c r="Z11" s="29">
        <v>0.0</v>
      </c>
      <c r="AA11" s="29">
        <v>0.0</v>
      </c>
      <c r="AB11" s="29" t="s">
        <v>30</v>
      </c>
      <c r="AC11" s="29">
        <v>0.0</v>
      </c>
      <c r="AD11" s="29">
        <v>0.0</v>
      </c>
      <c r="AE11" s="31">
        <v>43290.0</v>
      </c>
      <c r="AF11" s="29">
        <v>0.0</v>
      </c>
      <c r="AG11" s="29" t="s">
        <v>238</v>
      </c>
      <c r="AH11" s="29"/>
      <c r="AI11" s="29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ht="15.75" customHeight="1">
      <c r="A12" s="28"/>
      <c r="B12" s="29" t="s">
        <v>32</v>
      </c>
      <c r="C12" s="29" t="s">
        <v>238</v>
      </c>
      <c r="D12" s="29" t="s">
        <v>242</v>
      </c>
      <c r="E12" s="29">
        <v>-73.93</v>
      </c>
      <c r="F12" s="29">
        <v>0.0</v>
      </c>
      <c r="G12" s="29">
        <v>0.0</v>
      </c>
      <c r="H12" s="29" t="s">
        <v>223</v>
      </c>
      <c r="I12" s="29">
        <v>0.0</v>
      </c>
      <c r="J12" s="29">
        <v>0.0</v>
      </c>
      <c r="K12" s="29" t="s">
        <v>164</v>
      </c>
      <c r="L12" s="29" t="s">
        <v>244</v>
      </c>
      <c r="M12" s="30"/>
      <c r="N12" s="29" t="s">
        <v>224</v>
      </c>
      <c r="O12" s="29">
        <v>0.75</v>
      </c>
      <c r="P12" s="29"/>
      <c r="Q12" s="30"/>
      <c r="R12" s="29">
        <v>0.0</v>
      </c>
      <c r="S12" s="29">
        <v>0.0</v>
      </c>
      <c r="T12" s="29">
        <v>0.0</v>
      </c>
      <c r="U12" s="29">
        <v>0.0</v>
      </c>
      <c r="V12" s="29">
        <v>0.0</v>
      </c>
      <c r="W12" s="29">
        <v>0.0</v>
      </c>
      <c r="X12" s="29"/>
      <c r="Y12" s="37"/>
      <c r="Z12" s="29">
        <v>0.0</v>
      </c>
      <c r="AA12" s="29">
        <v>0.0</v>
      </c>
      <c r="AB12" s="29" t="s">
        <v>30</v>
      </c>
      <c r="AC12" s="29">
        <v>0.0</v>
      </c>
      <c r="AD12" s="29">
        <v>0.0</v>
      </c>
      <c r="AE12" s="31">
        <v>43290.0</v>
      </c>
      <c r="AF12" s="29">
        <v>0.0</v>
      </c>
      <c r="AG12" s="29" t="s">
        <v>238</v>
      </c>
      <c r="AH12" s="29"/>
      <c r="AI12" s="29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ht="15.75" customHeight="1">
      <c r="A13" s="28"/>
      <c r="B13" s="29" t="s">
        <v>32</v>
      </c>
      <c r="C13" s="29" t="s">
        <v>238</v>
      </c>
      <c r="D13" s="29" t="s">
        <v>245</v>
      </c>
      <c r="E13" s="29">
        <v>-73.93</v>
      </c>
      <c r="F13" s="29">
        <v>0.0</v>
      </c>
      <c r="G13" s="29">
        <v>0.0</v>
      </c>
      <c r="H13" s="29" t="s">
        <v>223</v>
      </c>
      <c r="I13" s="29">
        <v>0.0</v>
      </c>
      <c r="J13" s="29">
        <v>0.0</v>
      </c>
      <c r="K13" s="29" t="s">
        <v>164</v>
      </c>
      <c r="L13" s="29" t="s">
        <v>246</v>
      </c>
      <c r="M13" s="30"/>
      <c r="N13" s="29" t="s">
        <v>224</v>
      </c>
      <c r="O13" s="29">
        <v>1.5</v>
      </c>
      <c r="P13" s="29"/>
      <c r="Q13" s="30"/>
      <c r="R13" s="29">
        <v>0.0</v>
      </c>
      <c r="S13" s="29">
        <v>0.0</v>
      </c>
      <c r="T13" s="29">
        <v>0.0</v>
      </c>
      <c r="U13" s="29">
        <v>0.0</v>
      </c>
      <c r="V13" s="29">
        <v>0.0</v>
      </c>
      <c r="W13" s="29">
        <v>0.0</v>
      </c>
      <c r="X13" s="29"/>
      <c r="Y13" s="37"/>
      <c r="Z13" s="29">
        <v>0.0</v>
      </c>
      <c r="AA13" s="29">
        <v>0.0</v>
      </c>
      <c r="AB13" s="29" t="s">
        <v>30</v>
      </c>
      <c r="AC13" s="29">
        <v>0.0</v>
      </c>
      <c r="AD13" s="29">
        <v>0.0</v>
      </c>
      <c r="AE13" s="31">
        <v>43290.0</v>
      </c>
      <c r="AF13" s="29">
        <v>0.0</v>
      </c>
      <c r="AG13" s="29" t="s">
        <v>238</v>
      </c>
      <c r="AH13" s="29"/>
      <c r="AI13" s="29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ht="15.75" customHeight="1">
      <c r="A14" s="28"/>
      <c r="B14" s="29" t="s">
        <v>32</v>
      </c>
      <c r="C14" s="29" t="s">
        <v>238</v>
      </c>
      <c r="D14" s="29" t="s">
        <v>245</v>
      </c>
      <c r="E14" s="29">
        <v>73.93</v>
      </c>
      <c r="F14" s="29">
        <v>0.0</v>
      </c>
      <c r="G14" s="29">
        <v>0.0</v>
      </c>
      <c r="H14" s="29" t="s">
        <v>223</v>
      </c>
      <c r="I14" s="29">
        <v>0.0</v>
      </c>
      <c r="J14" s="29">
        <v>0.0</v>
      </c>
      <c r="K14" s="29" t="s">
        <v>164</v>
      </c>
      <c r="L14" s="29" t="s">
        <v>247</v>
      </c>
      <c r="M14" s="30"/>
      <c r="N14" s="29" t="s">
        <v>224</v>
      </c>
      <c r="O14" s="29">
        <v>0.75</v>
      </c>
      <c r="P14" s="29"/>
      <c r="Q14" s="30"/>
      <c r="R14" s="29">
        <v>0.0</v>
      </c>
      <c r="S14" s="29">
        <v>0.0</v>
      </c>
      <c r="T14" s="29">
        <v>0.0</v>
      </c>
      <c r="U14" s="29">
        <v>0.0</v>
      </c>
      <c r="V14" s="29">
        <v>0.0</v>
      </c>
      <c r="W14" s="29">
        <v>0.0</v>
      </c>
      <c r="X14" s="29"/>
      <c r="Y14" s="37"/>
      <c r="Z14" s="29">
        <v>0.0</v>
      </c>
      <c r="AA14" s="29">
        <v>0.0</v>
      </c>
      <c r="AB14" s="29" t="s">
        <v>30</v>
      </c>
      <c r="AC14" s="29">
        <v>0.0</v>
      </c>
      <c r="AD14" s="29">
        <v>0.0</v>
      </c>
      <c r="AE14" s="31">
        <v>43290.0</v>
      </c>
      <c r="AF14" s="29">
        <v>0.0</v>
      </c>
      <c r="AG14" s="29" t="s">
        <v>238</v>
      </c>
      <c r="AH14" s="29"/>
      <c r="AI14" s="29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ht="15.75" customHeight="1">
      <c r="A15" s="28"/>
      <c r="B15" s="29" t="s">
        <v>32</v>
      </c>
      <c r="C15" s="29" t="s">
        <v>221</v>
      </c>
      <c r="D15" s="29" t="s">
        <v>222</v>
      </c>
      <c r="E15" s="29">
        <v>-1522.0</v>
      </c>
      <c r="F15" s="29">
        <v>0.0</v>
      </c>
      <c r="G15" s="29">
        <v>0.0</v>
      </c>
      <c r="H15" s="29" t="s">
        <v>223</v>
      </c>
      <c r="I15" s="29">
        <v>0.0</v>
      </c>
      <c r="J15" s="29">
        <v>70.0</v>
      </c>
      <c r="K15" s="29" t="s">
        <v>164</v>
      </c>
      <c r="L15" s="29" t="s">
        <v>235</v>
      </c>
      <c r="M15" s="30"/>
      <c r="N15" s="29" t="s">
        <v>224</v>
      </c>
      <c r="O15" s="29">
        <v>1.5</v>
      </c>
      <c r="P15" s="29"/>
      <c r="Q15" s="30"/>
      <c r="R15" s="29">
        <v>0.0</v>
      </c>
      <c r="S15" s="29">
        <v>0.0</v>
      </c>
      <c r="T15" s="29">
        <v>0.0</v>
      </c>
      <c r="U15" s="29">
        <v>0.0</v>
      </c>
      <c r="V15" s="29">
        <v>100.0</v>
      </c>
      <c r="W15" s="29">
        <v>0.0</v>
      </c>
      <c r="X15" s="29" t="s">
        <v>164</v>
      </c>
      <c r="Y15" s="30"/>
      <c r="Z15" s="29">
        <v>10.0</v>
      </c>
      <c r="AA15" s="29">
        <v>0.0</v>
      </c>
      <c r="AB15" s="29" t="s">
        <v>30</v>
      </c>
      <c r="AC15" s="29">
        <v>0.0</v>
      </c>
      <c r="AD15" s="29">
        <v>80.0</v>
      </c>
      <c r="AE15" s="31">
        <v>43290.0</v>
      </c>
      <c r="AF15" s="29">
        <v>0.0</v>
      </c>
      <c r="AG15" s="29" t="s">
        <v>221</v>
      </c>
      <c r="AH15" s="29"/>
      <c r="AI15" s="29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ht="15.75" customHeight="1">
      <c r="A16" s="28"/>
      <c r="B16" s="29" t="s">
        <v>32</v>
      </c>
      <c r="C16" s="29" t="s">
        <v>221</v>
      </c>
      <c r="D16" s="29" t="s">
        <v>225</v>
      </c>
      <c r="E16" s="29">
        <v>-73.93</v>
      </c>
      <c r="F16" s="29">
        <v>0.0</v>
      </c>
      <c r="G16" s="29">
        <v>0.0</v>
      </c>
      <c r="H16" s="29" t="s">
        <v>223</v>
      </c>
      <c r="I16" s="29">
        <v>0.0</v>
      </c>
      <c r="J16" s="29">
        <v>0.0</v>
      </c>
      <c r="K16" s="29" t="s">
        <v>164</v>
      </c>
      <c r="L16" s="29" t="s">
        <v>235</v>
      </c>
      <c r="M16" s="30"/>
      <c r="N16" s="29" t="s">
        <v>224</v>
      </c>
      <c r="O16" s="29">
        <v>1.5</v>
      </c>
      <c r="P16" s="29"/>
      <c r="Q16" s="30"/>
      <c r="R16" s="29">
        <v>0.0</v>
      </c>
      <c r="S16" s="29">
        <v>0.0</v>
      </c>
      <c r="T16" s="29">
        <v>0.0</v>
      </c>
      <c r="U16" s="29">
        <v>0.0</v>
      </c>
      <c r="V16" s="29">
        <v>100.0</v>
      </c>
      <c r="W16" s="29">
        <v>0.0</v>
      </c>
      <c r="X16" s="29" t="s">
        <v>164</v>
      </c>
      <c r="Y16" s="30"/>
      <c r="Z16" s="29">
        <v>0.0</v>
      </c>
      <c r="AA16" s="29">
        <v>0.0</v>
      </c>
      <c r="AB16" s="29" t="s">
        <v>30</v>
      </c>
      <c r="AC16" s="29">
        <v>0.0</v>
      </c>
      <c r="AD16" s="29">
        <v>0.0</v>
      </c>
      <c r="AE16" s="31">
        <v>43290.0</v>
      </c>
      <c r="AF16" s="29">
        <v>0.0</v>
      </c>
      <c r="AG16" s="29" t="s">
        <v>221</v>
      </c>
      <c r="AH16" s="29"/>
      <c r="AI16" s="29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ht="15.75" customHeight="1">
      <c r="A17" s="28"/>
      <c r="B17" s="29" t="s">
        <v>32</v>
      </c>
      <c r="C17" s="29" t="s">
        <v>238</v>
      </c>
      <c r="D17" s="29" t="s">
        <v>239</v>
      </c>
      <c r="E17" s="29">
        <v>1143.02</v>
      </c>
      <c r="F17" s="29">
        <v>0.0</v>
      </c>
      <c r="G17" s="29">
        <v>0.0</v>
      </c>
      <c r="H17" s="29" t="s">
        <v>223</v>
      </c>
      <c r="I17" s="29">
        <v>0.0</v>
      </c>
      <c r="J17" s="29">
        <v>0.0</v>
      </c>
      <c r="K17" s="29" t="s">
        <v>165</v>
      </c>
      <c r="L17" s="29" t="s">
        <v>248</v>
      </c>
      <c r="M17" s="30"/>
      <c r="N17" s="29" t="s">
        <v>224</v>
      </c>
      <c r="O17" s="29">
        <v>1.0</v>
      </c>
      <c r="P17" s="29"/>
      <c r="Q17" s="30"/>
      <c r="R17" s="29">
        <v>0.0</v>
      </c>
      <c r="S17" s="29">
        <v>0.0</v>
      </c>
      <c r="T17" s="29">
        <v>0.0</v>
      </c>
      <c r="U17" s="29">
        <v>0.0</v>
      </c>
      <c r="V17" s="29">
        <v>0.0</v>
      </c>
      <c r="W17" s="29">
        <v>0.0</v>
      </c>
      <c r="X17" s="29"/>
      <c r="Y17" s="37"/>
      <c r="Z17" s="29">
        <v>0.0</v>
      </c>
      <c r="AA17" s="29">
        <v>0.0</v>
      </c>
      <c r="AB17" s="29" t="s">
        <v>164</v>
      </c>
      <c r="AC17" s="29">
        <v>0.0</v>
      </c>
      <c r="AD17" s="29">
        <v>0.0</v>
      </c>
      <c r="AE17" s="31">
        <v>43291.0</v>
      </c>
      <c r="AF17" s="29">
        <v>0.0</v>
      </c>
      <c r="AG17" s="29" t="s">
        <v>238</v>
      </c>
      <c r="AH17" s="29"/>
      <c r="AI17" s="29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</row>
    <row r="18" ht="15.75" customHeight="1">
      <c r="A18" s="28"/>
      <c r="B18" s="29" t="s">
        <v>32</v>
      </c>
      <c r="C18" s="29" t="s">
        <v>238</v>
      </c>
      <c r="D18" s="29" t="s">
        <v>239</v>
      </c>
      <c r="E18" s="29">
        <v>492.0</v>
      </c>
      <c r="F18" s="29">
        <v>0.0</v>
      </c>
      <c r="G18" s="29">
        <v>0.0</v>
      </c>
      <c r="H18" s="29" t="s">
        <v>223</v>
      </c>
      <c r="I18" s="29">
        <v>0.0</v>
      </c>
      <c r="J18" s="29">
        <v>0.0</v>
      </c>
      <c r="K18" s="29" t="s">
        <v>164</v>
      </c>
      <c r="L18" s="29" t="s">
        <v>248</v>
      </c>
      <c r="M18" s="30"/>
      <c r="N18" s="29" t="s">
        <v>224</v>
      </c>
      <c r="O18" s="29">
        <v>0.75</v>
      </c>
      <c r="P18" s="29"/>
      <c r="Q18" s="30"/>
      <c r="R18" s="29">
        <v>0.0</v>
      </c>
      <c r="S18" s="29">
        <v>0.0</v>
      </c>
      <c r="T18" s="29">
        <v>0.0</v>
      </c>
      <c r="U18" s="29">
        <v>0.0</v>
      </c>
      <c r="V18" s="29">
        <v>0.0</v>
      </c>
      <c r="W18" s="29">
        <v>0.0</v>
      </c>
      <c r="X18" s="29"/>
      <c r="Y18" s="37"/>
      <c r="Z18" s="29">
        <v>0.0</v>
      </c>
      <c r="AA18" s="29">
        <v>0.0</v>
      </c>
      <c r="AB18" s="29" t="s">
        <v>30</v>
      </c>
      <c r="AC18" s="29">
        <v>0.0</v>
      </c>
      <c r="AD18" s="29">
        <v>0.0</v>
      </c>
      <c r="AE18" s="31">
        <v>43291.0</v>
      </c>
      <c r="AF18" s="29">
        <v>0.0</v>
      </c>
      <c r="AG18" s="29" t="s">
        <v>238</v>
      </c>
      <c r="AH18" s="29"/>
      <c r="AI18" s="29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ht="15.75" customHeight="1">
      <c r="A19" s="28"/>
      <c r="B19" s="29" t="s">
        <v>32</v>
      </c>
      <c r="C19" s="29" t="s">
        <v>238</v>
      </c>
      <c r="D19" s="29" t="s">
        <v>239</v>
      </c>
      <c r="E19" s="29">
        <v>-1155.2</v>
      </c>
      <c r="F19" s="29">
        <v>0.0</v>
      </c>
      <c r="G19" s="29">
        <v>0.0</v>
      </c>
      <c r="H19" s="29" t="s">
        <v>223</v>
      </c>
      <c r="I19" s="29">
        <v>0.0</v>
      </c>
      <c r="J19" s="29">
        <v>0.0</v>
      </c>
      <c r="K19" s="29" t="s">
        <v>165</v>
      </c>
      <c r="L19" s="29" t="s">
        <v>240</v>
      </c>
      <c r="M19" s="30"/>
      <c r="N19" s="29" t="s">
        <v>224</v>
      </c>
      <c r="O19" s="29">
        <v>1.0</v>
      </c>
      <c r="P19" s="29"/>
      <c r="Q19" s="30"/>
      <c r="R19" s="29">
        <v>0.0</v>
      </c>
      <c r="S19" s="29">
        <v>0.0</v>
      </c>
      <c r="T19" s="29">
        <v>0.0</v>
      </c>
      <c r="U19" s="29">
        <v>0.0</v>
      </c>
      <c r="V19" s="29">
        <v>0.0</v>
      </c>
      <c r="W19" s="29">
        <v>0.0</v>
      </c>
      <c r="X19" s="29"/>
      <c r="Y19" s="37"/>
      <c r="Z19" s="29">
        <v>0.0</v>
      </c>
      <c r="AA19" s="29">
        <v>0.0</v>
      </c>
      <c r="AB19" s="29" t="s">
        <v>164</v>
      </c>
      <c r="AC19" s="29">
        <v>0.0</v>
      </c>
      <c r="AD19" s="29">
        <v>0.0</v>
      </c>
      <c r="AE19" s="31">
        <v>43291.0</v>
      </c>
      <c r="AF19" s="29">
        <v>0.0</v>
      </c>
      <c r="AG19" s="29" t="s">
        <v>238</v>
      </c>
      <c r="AH19" s="29"/>
      <c r="AI19" s="29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ht="15.75" customHeight="1">
      <c r="A20" s="28"/>
      <c r="B20" s="29" t="s">
        <v>32</v>
      </c>
      <c r="C20" s="29" t="s">
        <v>238</v>
      </c>
      <c r="D20" s="29" t="s">
        <v>239</v>
      </c>
      <c r="E20" s="29">
        <v>538.0</v>
      </c>
      <c r="F20" s="29">
        <v>0.0</v>
      </c>
      <c r="G20" s="29">
        <v>0.0</v>
      </c>
      <c r="H20" s="29" t="s">
        <v>223</v>
      </c>
      <c r="I20" s="29">
        <v>0.0</v>
      </c>
      <c r="J20" s="29">
        <v>0.0</v>
      </c>
      <c r="K20" s="29" t="s">
        <v>164</v>
      </c>
      <c r="L20" s="29" t="s">
        <v>240</v>
      </c>
      <c r="M20" s="30"/>
      <c r="N20" s="29" t="s">
        <v>224</v>
      </c>
      <c r="O20" s="29">
        <v>0.74</v>
      </c>
      <c r="P20" s="29"/>
      <c r="Q20" s="30"/>
      <c r="R20" s="29">
        <v>0.0</v>
      </c>
      <c r="S20" s="29">
        <v>0.0</v>
      </c>
      <c r="T20" s="29">
        <v>0.0</v>
      </c>
      <c r="U20" s="29">
        <v>0.0</v>
      </c>
      <c r="V20" s="29">
        <v>0.0</v>
      </c>
      <c r="W20" s="29">
        <v>0.0</v>
      </c>
      <c r="X20" s="29"/>
      <c r="Y20" s="37"/>
      <c r="Z20" s="29">
        <v>0.0</v>
      </c>
      <c r="AA20" s="29">
        <v>0.0</v>
      </c>
      <c r="AB20" s="29" t="s">
        <v>30</v>
      </c>
      <c r="AC20" s="29">
        <v>0.0</v>
      </c>
      <c r="AD20" s="29">
        <v>0.0</v>
      </c>
      <c r="AE20" s="31">
        <v>43291.0</v>
      </c>
      <c r="AF20" s="29">
        <v>0.0</v>
      </c>
      <c r="AG20" s="29" t="s">
        <v>238</v>
      </c>
      <c r="AH20" s="29"/>
      <c r="AI20" s="29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ht="15.75" customHeight="1">
      <c r="A21" s="28"/>
      <c r="B21" s="29" t="s">
        <v>32</v>
      </c>
      <c r="C21" s="29" t="s">
        <v>238</v>
      </c>
      <c r="D21" s="29" t="s">
        <v>242</v>
      </c>
      <c r="E21" s="29">
        <v>-1595.93</v>
      </c>
      <c r="F21" s="29">
        <v>0.0</v>
      </c>
      <c r="G21" s="29">
        <v>0.0</v>
      </c>
      <c r="H21" s="29" t="s">
        <v>223</v>
      </c>
      <c r="I21" s="29">
        <v>0.0</v>
      </c>
      <c r="J21" s="29">
        <v>0.0</v>
      </c>
      <c r="K21" s="29" t="s">
        <v>164</v>
      </c>
      <c r="L21" s="29" t="s">
        <v>249</v>
      </c>
      <c r="M21" s="30"/>
      <c r="N21" s="29" t="s">
        <v>224</v>
      </c>
      <c r="O21" s="29">
        <v>0.74</v>
      </c>
      <c r="P21" s="29"/>
      <c r="Q21" s="30"/>
      <c r="R21" s="29">
        <v>0.0</v>
      </c>
      <c r="S21" s="29">
        <v>0.0</v>
      </c>
      <c r="T21" s="29">
        <v>0.0</v>
      </c>
      <c r="U21" s="29">
        <v>0.0</v>
      </c>
      <c r="V21" s="29">
        <v>0.0</v>
      </c>
      <c r="W21" s="29">
        <v>0.0</v>
      </c>
      <c r="X21" s="29"/>
      <c r="Y21" s="37"/>
      <c r="Z21" s="29">
        <v>0.0</v>
      </c>
      <c r="AA21" s="29">
        <v>0.0</v>
      </c>
      <c r="AB21" s="29" t="s">
        <v>164</v>
      </c>
      <c r="AC21" s="29">
        <v>0.0</v>
      </c>
      <c r="AD21" s="29">
        <v>0.0</v>
      </c>
      <c r="AE21" s="31">
        <v>43291.0</v>
      </c>
      <c r="AF21" s="29">
        <v>0.0</v>
      </c>
      <c r="AG21" s="29" t="s">
        <v>238</v>
      </c>
      <c r="AH21" s="29"/>
      <c r="AI21" s="29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ht="15.75" customHeight="1">
      <c r="A22" s="28"/>
      <c r="B22" s="29" t="s">
        <v>32</v>
      </c>
      <c r="C22" s="29" t="s">
        <v>238</v>
      </c>
      <c r="D22" s="29" t="s">
        <v>242</v>
      </c>
      <c r="E22" s="29">
        <v>1595.93</v>
      </c>
      <c r="F22" s="29">
        <v>0.0</v>
      </c>
      <c r="G22" s="29">
        <v>0.0</v>
      </c>
      <c r="H22" s="29" t="s">
        <v>223</v>
      </c>
      <c r="I22" s="29">
        <v>0.0</v>
      </c>
      <c r="J22" s="29">
        <v>0.0</v>
      </c>
      <c r="K22" s="29" t="s">
        <v>164</v>
      </c>
      <c r="L22" s="29" t="s">
        <v>250</v>
      </c>
      <c r="M22" s="30"/>
      <c r="N22" s="29" t="s">
        <v>224</v>
      </c>
      <c r="O22" s="29">
        <v>0.75</v>
      </c>
      <c r="P22" s="29"/>
      <c r="Q22" s="30"/>
      <c r="R22" s="29">
        <v>0.0</v>
      </c>
      <c r="S22" s="29">
        <v>0.0</v>
      </c>
      <c r="T22" s="29">
        <v>0.0</v>
      </c>
      <c r="U22" s="29">
        <v>0.0</v>
      </c>
      <c r="V22" s="29">
        <v>0.0</v>
      </c>
      <c r="W22" s="29">
        <v>0.0</v>
      </c>
      <c r="X22" s="29"/>
      <c r="Y22" s="37"/>
      <c r="Z22" s="29">
        <v>0.0</v>
      </c>
      <c r="AA22" s="29">
        <v>0.0</v>
      </c>
      <c r="AB22" s="29" t="s">
        <v>164</v>
      </c>
      <c r="AC22" s="29">
        <v>0.0</v>
      </c>
      <c r="AD22" s="29">
        <v>0.0</v>
      </c>
      <c r="AE22" s="31">
        <v>43291.0</v>
      </c>
      <c r="AF22" s="29">
        <v>0.0</v>
      </c>
      <c r="AG22" s="29" t="s">
        <v>238</v>
      </c>
      <c r="AH22" s="29"/>
      <c r="AI22" s="29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ht="15.75" customHeight="1">
      <c r="A23" s="28"/>
      <c r="B23" s="29" t="s">
        <v>32</v>
      </c>
      <c r="C23" s="29" t="s">
        <v>238</v>
      </c>
      <c r="D23" s="29" t="s">
        <v>245</v>
      </c>
      <c r="E23" s="29">
        <v>73.93</v>
      </c>
      <c r="F23" s="29">
        <v>0.0</v>
      </c>
      <c r="G23" s="29">
        <v>0.0</v>
      </c>
      <c r="H23" s="29" t="s">
        <v>223</v>
      </c>
      <c r="I23" s="29">
        <v>0.0</v>
      </c>
      <c r="J23" s="29">
        <v>0.0</v>
      </c>
      <c r="K23" s="29" t="s">
        <v>164</v>
      </c>
      <c r="L23" s="29" t="s">
        <v>251</v>
      </c>
      <c r="M23" s="30"/>
      <c r="N23" s="29" t="s">
        <v>224</v>
      </c>
      <c r="O23" s="29">
        <v>0.74</v>
      </c>
      <c r="P23" s="29"/>
      <c r="Q23" s="30"/>
      <c r="R23" s="29">
        <v>0.0</v>
      </c>
      <c r="S23" s="29">
        <v>0.0</v>
      </c>
      <c r="T23" s="29">
        <v>0.0</v>
      </c>
      <c r="U23" s="29">
        <v>0.0</v>
      </c>
      <c r="V23" s="29">
        <v>0.0</v>
      </c>
      <c r="W23" s="29">
        <v>0.0</v>
      </c>
      <c r="X23" s="29"/>
      <c r="Y23" s="37"/>
      <c r="Z23" s="29">
        <v>0.0</v>
      </c>
      <c r="AA23" s="29">
        <v>0.0</v>
      </c>
      <c r="AB23" s="29" t="s">
        <v>164</v>
      </c>
      <c r="AC23" s="29">
        <v>0.0</v>
      </c>
      <c r="AD23" s="29">
        <v>0.0</v>
      </c>
      <c r="AE23" s="31">
        <v>43291.0</v>
      </c>
      <c r="AF23" s="29">
        <v>0.0</v>
      </c>
      <c r="AG23" s="29" t="s">
        <v>238</v>
      </c>
      <c r="AH23" s="29"/>
      <c r="AI23" s="29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ht="15.75" customHeight="1">
      <c r="A24" s="28"/>
      <c r="B24" s="29" t="s">
        <v>32</v>
      </c>
      <c r="C24" s="29" t="s">
        <v>238</v>
      </c>
      <c r="D24" s="29" t="s">
        <v>245</v>
      </c>
      <c r="E24" s="29">
        <v>-73.93</v>
      </c>
      <c r="F24" s="29">
        <v>0.0</v>
      </c>
      <c r="G24" s="29">
        <v>0.0</v>
      </c>
      <c r="H24" s="29" t="s">
        <v>223</v>
      </c>
      <c r="I24" s="29">
        <v>0.0</v>
      </c>
      <c r="J24" s="29">
        <v>0.0</v>
      </c>
      <c r="K24" s="29" t="s">
        <v>164</v>
      </c>
      <c r="L24" s="29" t="s">
        <v>252</v>
      </c>
      <c r="M24" s="30"/>
      <c r="N24" s="29" t="s">
        <v>224</v>
      </c>
      <c r="O24" s="29">
        <v>0.75</v>
      </c>
      <c r="P24" s="29"/>
      <c r="Q24" s="30"/>
      <c r="R24" s="29">
        <v>0.0</v>
      </c>
      <c r="S24" s="29">
        <v>0.0</v>
      </c>
      <c r="T24" s="29">
        <v>0.0</v>
      </c>
      <c r="U24" s="29">
        <v>0.0</v>
      </c>
      <c r="V24" s="29">
        <v>0.0</v>
      </c>
      <c r="W24" s="29">
        <v>0.0</v>
      </c>
      <c r="X24" s="29"/>
      <c r="Y24" s="37"/>
      <c r="Z24" s="29">
        <v>0.0</v>
      </c>
      <c r="AA24" s="29">
        <v>0.0</v>
      </c>
      <c r="AB24" s="29" t="s">
        <v>164</v>
      </c>
      <c r="AC24" s="29">
        <v>0.0</v>
      </c>
      <c r="AD24" s="29">
        <v>0.0</v>
      </c>
      <c r="AE24" s="31">
        <v>43291.0</v>
      </c>
      <c r="AF24" s="29">
        <v>0.0</v>
      </c>
      <c r="AG24" s="29" t="s">
        <v>238</v>
      </c>
      <c r="AH24" s="29"/>
      <c r="AI24" s="29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</row>
    <row r="25" ht="15.75" customHeight="1">
      <c r="A25" s="28"/>
      <c r="B25" s="29" t="s">
        <v>32</v>
      </c>
      <c r="C25" s="29" t="s">
        <v>221</v>
      </c>
      <c r="D25" s="29" t="s">
        <v>233</v>
      </c>
      <c r="E25" s="29">
        <v>0.0</v>
      </c>
      <c r="F25" s="29">
        <v>0.0</v>
      </c>
      <c r="G25" s="29">
        <v>0.0</v>
      </c>
      <c r="H25" s="29" t="s">
        <v>241</v>
      </c>
      <c r="I25" s="29">
        <v>0.0</v>
      </c>
      <c r="J25" s="29">
        <v>0.0</v>
      </c>
      <c r="K25" s="29" t="s">
        <v>164</v>
      </c>
      <c r="L25" s="29" t="s">
        <v>235</v>
      </c>
      <c r="M25" s="36"/>
      <c r="N25" s="29" t="s">
        <v>224</v>
      </c>
      <c r="O25" s="29">
        <v>0.74</v>
      </c>
      <c r="P25" s="29"/>
      <c r="Q25" s="30"/>
      <c r="R25" s="29">
        <v>0.0</v>
      </c>
      <c r="S25" s="29">
        <v>0.0</v>
      </c>
      <c r="T25" s="29">
        <v>0.0</v>
      </c>
      <c r="U25" s="29">
        <v>0.0</v>
      </c>
      <c r="V25" s="29">
        <v>100.0</v>
      </c>
      <c r="W25" s="29">
        <v>0.0</v>
      </c>
      <c r="X25" s="29" t="s">
        <v>164</v>
      </c>
      <c r="Y25" s="30"/>
      <c r="Z25" s="29">
        <v>0.0</v>
      </c>
      <c r="AA25" s="29">
        <v>0.0</v>
      </c>
      <c r="AB25" s="29" t="s">
        <v>30</v>
      </c>
      <c r="AC25" s="29">
        <v>0.0</v>
      </c>
      <c r="AD25" s="29">
        <v>0.0</v>
      </c>
      <c r="AE25" s="31">
        <v>43291.0</v>
      </c>
      <c r="AF25" s="29">
        <v>0.0</v>
      </c>
      <c r="AG25" s="29" t="s">
        <v>236</v>
      </c>
      <c r="AH25" s="29"/>
      <c r="AI25" s="29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</row>
    <row r="26" ht="15.75" customHeight="1">
      <c r="A26" s="28"/>
      <c r="B26" s="29" t="s">
        <v>32</v>
      </c>
      <c r="C26" s="29" t="s">
        <v>238</v>
      </c>
      <c r="D26" s="29" t="s">
        <v>239</v>
      </c>
      <c r="E26" s="29">
        <v>1155.2</v>
      </c>
      <c r="F26" s="29">
        <v>0.0</v>
      </c>
      <c r="G26" s="29">
        <v>0.0</v>
      </c>
      <c r="H26" s="29" t="s">
        <v>223</v>
      </c>
      <c r="I26" s="29">
        <v>0.0</v>
      </c>
      <c r="J26" s="29">
        <v>0.0</v>
      </c>
      <c r="K26" s="29" t="s">
        <v>165</v>
      </c>
      <c r="L26" s="29" t="s">
        <v>248</v>
      </c>
      <c r="M26" s="30"/>
      <c r="N26" s="29" t="s">
        <v>224</v>
      </c>
      <c r="O26" s="29">
        <v>1.0</v>
      </c>
      <c r="P26" s="29"/>
      <c r="Q26" s="30"/>
      <c r="R26" s="29">
        <v>0.0</v>
      </c>
      <c r="S26" s="29">
        <v>0.0</v>
      </c>
      <c r="T26" s="29">
        <v>0.0</v>
      </c>
      <c r="U26" s="29">
        <v>0.0</v>
      </c>
      <c r="V26" s="29">
        <v>0.0</v>
      </c>
      <c r="W26" s="29">
        <v>0.0</v>
      </c>
      <c r="X26" s="29"/>
      <c r="Y26" s="37"/>
      <c r="Z26" s="29">
        <v>0.0</v>
      </c>
      <c r="AA26" s="29">
        <v>0.0</v>
      </c>
      <c r="AB26" s="29" t="s">
        <v>164</v>
      </c>
      <c r="AC26" s="29">
        <v>0.0</v>
      </c>
      <c r="AD26" s="29">
        <v>0.0</v>
      </c>
      <c r="AE26" s="31">
        <v>43292.0</v>
      </c>
      <c r="AF26" s="29">
        <v>0.0</v>
      </c>
      <c r="AG26" s="29" t="s">
        <v>238</v>
      </c>
      <c r="AH26" s="29"/>
      <c r="AI26" s="29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</row>
    <row r="27" ht="15.75" customHeight="1">
      <c r="A27" s="32"/>
      <c r="B27" s="29" t="s">
        <v>32</v>
      </c>
      <c r="C27" s="29" t="s">
        <v>238</v>
      </c>
      <c r="D27" s="29" t="s">
        <v>239</v>
      </c>
      <c r="E27" s="29">
        <v>-538.0</v>
      </c>
      <c r="F27" s="29">
        <v>0.0</v>
      </c>
      <c r="G27" s="29">
        <v>0.0</v>
      </c>
      <c r="H27" s="29" t="s">
        <v>223</v>
      </c>
      <c r="I27" s="29">
        <v>0.0</v>
      </c>
      <c r="J27" s="29">
        <v>0.0</v>
      </c>
      <c r="K27" s="29" t="s">
        <v>164</v>
      </c>
      <c r="L27" s="29" t="s">
        <v>248</v>
      </c>
      <c r="M27" s="30"/>
      <c r="N27" s="29" t="s">
        <v>224</v>
      </c>
      <c r="O27" s="29">
        <v>0.74</v>
      </c>
      <c r="P27" s="29"/>
      <c r="Q27" s="30"/>
      <c r="R27" s="29">
        <v>0.0</v>
      </c>
      <c r="S27" s="29">
        <v>0.0</v>
      </c>
      <c r="T27" s="29">
        <v>0.0</v>
      </c>
      <c r="U27" s="29">
        <v>0.0</v>
      </c>
      <c r="V27" s="29">
        <v>0.0</v>
      </c>
      <c r="W27" s="29">
        <v>0.0</v>
      </c>
      <c r="X27" s="29"/>
      <c r="Y27" s="37"/>
      <c r="Z27" s="29">
        <v>0.0</v>
      </c>
      <c r="AA27" s="29">
        <v>0.0</v>
      </c>
      <c r="AB27" s="29" t="s">
        <v>30</v>
      </c>
      <c r="AC27" s="29">
        <v>0.0</v>
      </c>
      <c r="AD27" s="29">
        <v>0.0</v>
      </c>
      <c r="AE27" s="31">
        <v>43292.0</v>
      </c>
      <c r="AF27" s="29">
        <v>0.0</v>
      </c>
      <c r="AG27" s="29" t="s">
        <v>238</v>
      </c>
      <c r="AH27" s="29"/>
      <c r="AI27" s="29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</row>
    <row r="28" ht="15.75" customHeight="1">
      <c r="A28" s="32"/>
      <c r="B28" s="29" t="s">
        <v>32</v>
      </c>
      <c r="C28" s="29" t="s">
        <v>238</v>
      </c>
      <c r="D28" s="29" t="s">
        <v>239</v>
      </c>
      <c r="E28" s="29">
        <v>-1155.05</v>
      </c>
      <c r="F28" s="29">
        <v>0.0</v>
      </c>
      <c r="G28" s="29">
        <v>0.0</v>
      </c>
      <c r="H28" s="29" t="s">
        <v>223</v>
      </c>
      <c r="I28" s="29">
        <v>0.0</v>
      </c>
      <c r="J28" s="29">
        <v>0.0</v>
      </c>
      <c r="K28" s="29" t="s">
        <v>165</v>
      </c>
      <c r="L28" s="29" t="s">
        <v>240</v>
      </c>
      <c r="M28" s="30"/>
      <c r="N28" s="29" t="s">
        <v>224</v>
      </c>
      <c r="O28" s="29">
        <v>1.0</v>
      </c>
      <c r="P28" s="29"/>
      <c r="Q28" s="30"/>
      <c r="R28" s="29">
        <v>0.0</v>
      </c>
      <c r="S28" s="29">
        <v>0.0</v>
      </c>
      <c r="T28" s="29">
        <v>0.0</v>
      </c>
      <c r="U28" s="29">
        <v>0.0</v>
      </c>
      <c r="V28" s="29">
        <v>0.0</v>
      </c>
      <c r="W28" s="29">
        <v>0.0</v>
      </c>
      <c r="X28" s="29"/>
      <c r="Y28" s="37"/>
      <c r="Z28" s="29">
        <v>0.0</v>
      </c>
      <c r="AA28" s="29">
        <v>0.0</v>
      </c>
      <c r="AB28" s="29" t="s">
        <v>164</v>
      </c>
      <c r="AC28" s="29">
        <v>0.0</v>
      </c>
      <c r="AD28" s="29">
        <v>0.0</v>
      </c>
      <c r="AE28" s="31">
        <v>43292.0</v>
      </c>
      <c r="AF28" s="29">
        <v>0.0</v>
      </c>
      <c r="AG28" s="29" t="s">
        <v>238</v>
      </c>
      <c r="AH28" s="29"/>
      <c r="AI28" s="29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</row>
    <row r="29" ht="15.75" customHeight="1">
      <c r="A29" s="32"/>
      <c r="B29" s="29" t="s">
        <v>32</v>
      </c>
      <c r="C29" s="29" t="s">
        <v>238</v>
      </c>
      <c r="D29" s="29" t="s">
        <v>239</v>
      </c>
      <c r="E29" s="29">
        <v>612.04</v>
      </c>
      <c r="F29" s="29">
        <v>0.0</v>
      </c>
      <c r="G29" s="29">
        <v>0.0</v>
      </c>
      <c r="H29" s="29" t="s">
        <v>223</v>
      </c>
      <c r="I29" s="29">
        <v>0.0</v>
      </c>
      <c r="J29" s="29">
        <v>0.0</v>
      </c>
      <c r="K29" s="29" t="s">
        <v>165</v>
      </c>
      <c r="L29" s="29" t="s">
        <v>240</v>
      </c>
      <c r="M29" s="30"/>
      <c r="N29" s="29" t="s">
        <v>224</v>
      </c>
      <c r="O29" s="29">
        <v>1.0</v>
      </c>
      <c r="P29" s="29"/>
      <c r="Q29" s="30"/>
      <c r="R29" s="29">
        <v>0.0</v>
      </c>
      <c r="S29" s="29">
        <v>0.0</v>
      </c>
      <c r="T29" s="29">
        <v>0.0</v>
      </c>
      <c r="U29" s="29">
        <v>0.0</v>
      </c>
      <c r="V29" s="29">
        <v>0.0</v>
      </c>
      <c r="W29" s="29">
        <v>0.0</v>
      </c>
      <c r="X29" s="29"/>
      <c r="Y29" s="37"/>
      <c r="Z29" s="29">
        <v>0.0</v>
      </c>
      <c r="AA29" s="29">
        <v>0.0</v>
      </c>
      <c r="AB29" s="29" t="s">
        <v>164</v>
      </c>
      <c r="AC29" s="29">
        <v>0.0</v>
      </c>
      <c r="AD29" s="29">
        <v>0.0</v>
      </c>
      <c r="AE29" s="31">
        <v>43292.0</v>
      </c>
      <c r="AF29" s="29">
        <v>0.0</v>
      </c>
      <c r="AG29" s="29" t="s">
        <v>238</v>
      </c>
      <c r="AH29" s="29"/>
      <c r="AI29" s="29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</row>
    <row r="30" ht="15.75" customHeight="1">
      <c r="A30" s="32"/>
      <c r="B30" s="29" t="s">
        <v>32</v>
      </c>
      <c r="C30" s="29" t="s">
        <v>238</v>
      </c>
      <c r="D30" s="29" t="s">
        <v>239</v>
      </c>
      <c r="E30" s="29">
        <v>1568.0</v>
      </c>
      <c r="F30" s="29">
        <v>0.0</v>
      </c>
      <c r="G30" s="29">
        <v>0.0</v>
      </c>
      <c r="H30" s="29" t="s">
        <v>223</v>
      </c>
      <c r="I30" s="29">
        <v>0.0</v>
      </c>
      <c r="J30" s="29">
        <v>0.0</v>
      </c>
      <c r="K30" s="29" t="s">
        <v>164</v>
      </c>
      <c r="L30" s="29" t="s">
        <v>240</v>
      </c>
      <c r="M30" s="30"/>
      <c r="N30" s="29" t="s">
        <v>224</v>
      </c>
      <c r="O30" s="29">
        <v>0.74</v>
      </c>
      <c r="P30" s="29"/>
      <c r="Q30" s="30"/>
      <c r="R30" s="29">
        <v>0.0</v>
      </c>
      <c r="S30" s="29">
        <v>0.0</v>
      </c>
      <c r="T30" s="29">
        <v>0.0</v>
      </c>
      <c r="U30" s="29">
        <v>0.0</v>
      </c>
      <c r="V30" s="29">
        <v>0.0</v>
      </c>
      <c r="W30" s="29">
        <v>0.0</v>
      </c>
      <c r="X30" s="29"/>
      <c r="Y30" s="37"/>
      <c r="Z30" s="29">
        <v>0.0</v>
      </c>
      <c r="AA30" s="29">
        <v>0.0</v>
      </c>
      <c r="AB30" s="29" t="s">
        <v>30</v>
      </c>
      <c r="AC30" s="29">
        <v>0.0</v>
      </c>
      <c r="AD30" s="29">
        <v>0.0</v>
      </c>
      <c r="AE30" s="31">
        <v>43292.0</v>
      </c>
      <c r="AF30" s="29">
        <v>0.0</v>
      </c>
      <c r="AG30" s="29" t="s">
        <v>238</v>
      </c>
      <c r="AH30" s="29"/>
      <c r="AI30" s="29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</row>
    <row r="31" ht="15.75" customHeight="1">
      <c r="A31" s="32"/>
      <c r="B31" s="29" t="s">
        <v>32</v>
      </c>
      <c r="C31" s="29" t="s">
        <v>238</v>
      </c>
      <c r="D31" s="29" t="s">
        <v>239</v>
      </c>
      <c r="E31" s="29">
        <v>-967.0</v>
      </c>
      <c r="F31" s="29">
        <v>0.0</v>
      </c>
      <c r="G31" s="29">
        <v>0.0</v>
      </c>
      <c r="H31" s="29" t="s">
        <v>223</v>
      </c>
      <c r="I31" s="29">
        <v>0.0</v>
      </c>
      <c r="J31" s="29">
        <v>0.0</v>
      </c>
      <c r="K31" s="29" t="s">
        <v>164</v>
      </c>
      <c r="L31" s="29" t="s">
        <v>240</v>
      </c>
      <c r="M31" s="30"/>
      <c r="N31" s="29" t="s">
        <v>224</v>
      </c>
      <c r="O31" s="29">
        <v>0.74</v>
      </c>
      <c r="P31" s="29"/>
      <c r="Q31" s="30"/>
      <c r="R31" s="29">
        <v>0.0</v>
      </c>
      <c r="S31" s="29">
        <v>0.0</v>
      </c>
      <c r="T31" s="29">
        <v>0.0</v>
      </c>
      <c r="U31" s="29">
        <v>0.0</v>
      </c>
      <c r="V31" s="29">
        <v>0.0</v>
      </c>
      <c r="W31" s="29">
        <v>0.0</v>
      </c>
      <c r="X31" s="29"/>
      <c r="Y31" s="37"/>
      <c r="Z31" s="29">
        <v>0.0</v>
      </c>
      <c r="AA31" s="29">
        <v>0.0</v>
      </c>
      <c r="AB31" s="29" t="s">
        <v>30</v>
      </c>
      <c r="AC31" s="29">
        <v>0.0</v>
      </c>
      <c r="AD31" s="29">
        <v>0.0</v>
      </c>
      <c r="AE31" s="31">
        <v>43292.0</v>
      </c>
      <c r="AF31" s="29">
        <v>0.0</v>
      </c>
      <c r="AG31" s="29" t="s">
        <v>238</v>
      </c>
      <c r="AH31" s="29"/>
      <c r="AI31" s="29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</row>
    <row r="32" ht="15.75" customHeight="1">
      <c r="A32" s="32"/>
      <c r="B32" s="29" t="s">
        <v>32</v>
      </c>
      <c r="C32" s="29" t="s">
        <v>238</v>
      </c>
      <c r="D32" s="29" t="s">
        <v>242</v>
      </c>
      <c r="E32" s="29">
        <v>-1595.93</v>
      </c>
      <c r="F32" s="29">
        <v>0.0</v>
      </c>
      <c r="G32" s="29">
        <v>0.0</v>
      </c>
      <c r="H32" s="29" t="s">
        <v>223</v>
      </c>
      <c r="I32" s="29">
        <v>0.0</v>
      </c>
      <c r="J32" s="29">
        <v>0.0</v>
      </c>
      <c r="K32" s="29" t="s">
        <v>164</v>
      </c>
      <c r="L32" s="29" t="s">
        <v>249</v>
      </c>
      <c r="M32" s="30"/>
      <c r="N32" s="29" t="s">
        <v>224</v>
      </c>
      <c r="O32" s="29">
        <v>0.74</v>
      </c>
      <c r="P32" s="29"/>
      <c r="Q32" s="30"/>
      <c r="R32" s="29">
        <v>0.0</v>
      </c>
      <c r="S32" s="29">
        <v>0.0</v>
      </c>
      <c r="T32" s="29">
        <v>0.0</v>
      </c>
      <c r="U32" s="29">
        <v>0.0</v>
      </c>
      <c r="V32" s="29">
        <v>0.0</v>
      </c>
      <c r="W32" s="29">
        <v>0.0</v>
      </c>
      <c r="X32" s="29"/>
      <c r="Y32" s="37"/>
      <c r="Z32" s="29">
        <v>0.0</v>
      </c>
      <c r="AA32" s="29">
        <v>0.0</v>
      </c>
      <c r="AB32" s="29" t="s">
        <v>164</v>
      </c>
      <c r="AC32" s="29">
        <v>0.0</v>
      </c>
      <c r="AD32" s="29">
        <v>0.0</v>
      </c>
      <c r="AE32" s="31">
        <v>43292.0</v>
      </c>
      <c r="AF32" s="29">
        <v>0.0</v>
      </c>
      <c r="AG32" s="29" t="s">
        <v>238</v>
      </c>
      <c r="AH32" s="29"/>
      <c r="AI32" s="29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</row>
    <row r="33" ht="15.75" customHeight="1">
      <c r="A33" s="32"/>
      <c r="B33" s="29" t="s">
        <v>32</v>
      </c>
      <c r="C33" s="29" t="s">
        <v>238</v>
      </c>
      <c r="D33" s="29" t="s">
        <v>242</v>
      </c>
      <c r="E33" s="29">
        <v>1595.93</v>
      </c>
      <c r="F33" s="29">
        <v>0.0</v>
      </c>
      <c r="G33" s="29">
        <v>0.0</v>
      </c>
      <c r="H33" s="29" t="s">
        <v>223</v>
      </c>
      <c r="I33" s="29">
        <v>0.0</v>
      </c>
      <c r="J33" s="29">
        <v>0.0</v>
      </c>
      <c r="K33" s="29" t="s">
        <v>164</v>
      </c>
      <c r="L33" s="29" t="s">
        <v>250</v>
      </c>
      <c r="M33" s="30"/>
      <c r="N33" s="29" t="s">
        <v>224</v>
      </c>
      <c r="O33" s="29">
        <v>0.74</v>
      </c>
      <c r="P33" s="29"/>
      <c r="Q33" s="30"/>
      <c r="R33" s="29">
        <v>0.0</v>
      </c>
      <c r="S33" s="29">
        <v>0.0</v>
      </c>
      <c r="T33" s="29">
        <v>0.0</v>
      </c>
      <c r="U33" s="29">
        <v>0.0</v>
      </c>
      <c r="V33" s="29">
        <v>0.0</v>
      </c>
      <c r="W33" s="29">
        <v>0.0</v>
      </c>
      <c r="X33" s="29"/>
      <c r="Y33" s="37"/>
      <c r="Z33" s="29">
        <v>0.0</v>
      </c>
      <c r="AA33" s="29">
        <v>0.0</v>
      </c>
      <c r="AB33" s="29" t="s">
        <v>164</v>
      </c>
      <c r="AC33" s="29">
        <v>0.0</v>
      </c>
      <c r="AD33" s="29">
        <v>0.0</v>
      </c>
      <c r="AE33" s="31">
        <v>43292.0</v>
      </c>
      <c r="AF33" s="29">
        <v>0.0</v>
      </c>
      <c r="AG33" s="29" t="s">
        <v>238</v>
      </c>
      <c r="AH33" s="29"/>
      <c r="AI33" s="29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</row>
    <row r="34" ht="15.75" customHeight="1">
      <c r="A34" s="32"/>
      <c r="B34" s="29" t="s">
        <v>32</v>
      </c>
      <c r="C34" s="29" t="s">
        <v>238</v>
      </c>
      <c r="D34" s="29" t="s">
        <v>245</v>
      </c>
      <c r="E34" s="29">
        <v>73.93</v>
      </c>
      <c r="F34" s="29">
        <v>0.0</v>
      </c>
      <c r="G34" s="29">
        <v>0.0</v>
      </c>
      <c r="H34" s="29" t="s">
        <v>223</v>
      </c>
      <c r="I34" s="29">
        <v>0.0</v>
      </c>
      <c r="J34" s="29">
        <v>0.0</v>
      </c>
      <c r="K34" s="29" t="s">
        <v>164</v>
      </c>
      <c r="L34" s="29" t="s">
        <v>251</v>
      </c>
      <c r="M34" s="30"/>
      <c r="N34" s="29" t="s">
        <v>224</v>
      </c>
      <c r="O34" s="29">
        <v>0.74</v>
      </c>
      <c r="P34" s="29"/>
      <c r="Q34" s="30"/>
      <c r="R34" s="29">
        <v>0.0</v>
      </c>
      <c r="S34" s="29">
        <v>0.0</v>
      </c>
      <c r="T34" s="29">
        <v>0.0</v>
      </c>
      <c r="U34" s="29">
        <v>0.0</v>
      </c>
      <c r="V34" s="29">
        <v>0.0</v>
      </c>
      <c r="W34" s="29">
        <v>0.0</v>
      </c>
      <c r="X34" s="29"/>
      <c r="Y34" s="37"/>
      <c r="Z34" s="29">
        <v>0.0</v>
      </c>
      <c r="AA34" s="29">
        <v>0.0</v>
      </c>
      <c r="AB34" s="29" t="s">
        <v>164</v>
      </c>
      <c r="AC34" s="29">
        <v>0.0</v>
      </c>
      <c r="AD34" s="29">
        <v>0.0</v>
      </c>
      <c r="AE34" s="31">
        <v>43292.0</v>
      </c>
      <c r="AF34" s="29">
        <v>0.0</v>
      </c>
      <c r="AG34" s="29" t="s">
        <v>238</v>
      </c>
      <c r="AH34" s="29"/>
      <c r="AI34" s="29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</row>
    <row r="35" ht="15.75" customHeight="1">
      <c r="A35" s="32"/>
      <c r="B35" s="29" t="s">
        <v>32</v>
      </c>
      <c r="C35" s="29" t="s">
        <v>238</v>
      </c>
      <c r="D35" s="29" t="s">
        <v>245</v>
      </c>
      <c r="E35" s="29">
        <v>-73.93</v>
      </c>
      <c r="F35" s="29">
        <v>0.0</v>
      </c>
      <c r="G35" s="29">
        <v>0.0</v>
      </c>
      <c r="H35" s="29" t="s">
        <v>223</v>
      </c>
      <c r="I35" s="29">
        <v>0.0</v>
      </c>
      <c r="J35" s="29">
        <v>0.0</v>
      </c>
      <c r="K35" s="29" t="s">
        <v>164</v>
      </c>
      <c r="L35" s="29" t="s">
        <v>252</v>
      </c>
      <c r="M35" s="30"/>
      <c r="N35" s="29" t="s">
        <v>224</v>
      </c>
      <c r="O35" s="29">
        <v>0.74</v>
      </c>
      <c r="P35" s="29"/>
      <c r="Q35" s="30"/>
      <c r="R35" s="29">
        <v>0.0</v>
      </c>
      <c r="S35" s="29">
        <v>0.0</v>
      </c>
      <c r="T35" s="29">
        <v>0.0</v>
      </c>
      <c r="U35" s="29">
        <v>0.0</v>
      </c>
      <c r="V35" s="29">
        <v>0.0</v>
      </c>
      <c r="W35" s="29">
        <v>0.0</v>
      </c>
      <c r="X35" s="29"/>
      <c r="Y35" s="37"/>
      <c r="Z35" s="29">
        <v>0.0</v>
      </c>
      <c r="AA35" s="29">
        <v>0.0</v>
      </c>
      <c r="AB35" s="29" t="s">
        <v>164</v>
      </c>
      <c r="AC35" s="29">
        <v>0.0</v>
      </c>
      <c r="AD35" s="29">
        <v>0.0</v>
      </c>
      <c r="AE35" s="31">
        <v>43292.0</v>
      </c>
      <c r="AF35" s="29">
        <v>0.0</v>
      </c>
      <c r="AG35" s="29" t="s">
        <v>238</v>
      </c>
      <c r="AH35" s="29"/>
      <c r="AI35" s="29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</row>
    <row r="36" ht="15.75" customHeight="1">
      <c r="A36" s="32"/>
      <c r="B36" s="29" t="s">
        <v>32</v>
      </c>
      <c r="C36" s="29" t="s">
        <v>221</v>
      </c>
      <c r="D36" s="29" t="s">
        <v>233</v>
      </c>
      <c r="E36" s="29">
        <v>0.56</v>
      </c>
      <c r="F36" s="29">
        <v>0.0</v>
      </c>
      <c r="G36" s="29">
        <v>0.0</v>
      </c>
      <c r="H36" s="29" t="s">
        <v>241</v>
      </c>
      <c r="I36" s="29">
        <v>0.0</v>
      </c>
      <c r="J36" s="29">
        <v>0.0</v>
      </c>
      <c r="K36" s="29" t="s">
        <v>164</v>
      </c>
      <c r="L36" s="29" t="s">
        <v>235</v>
      </c>
      <c r="M36" s="36"/>
      <c r="N36" s="29" t="s">
        <v>224</v>
      </c>
      <c r="O36" s="29">
        <v>0.74</v>
      </c>
      <c r="P36" s="29"/>
      <c r="Q36" s="30"/>
      <c r="R36" s="29">
        <v>0.0</v>
      </c>
      <c r="S36" s="29">
        <v>0.0</v>
      </c>
      <c r="T36" s="29">
        <v>0.0</v>
      </c>
      <c r="U36" s="29">
        <v>0.0</v>
      </c>
      <c r="V36" s="29">
        <v>100.0</v>
      </c>
      <c r="W36" s="29">
        <v>0.0</v>
      </c>
      <c r="X36" s="29" t="s">
        <v>164</v>
      </c>
      <c r="Y36" s="30"/>
      <c r="Z36" s="29">
        <v>0.0</v>
      </c>
      <c r="AA36" s="29">
        <v>0.0</v>
      </c>
      <c r="AB36" s="29" t="s">
        <v>30</v>
      </c>
      <c r="AC36" s="29">
        <v>0.0</v>
      </c>
      <c r="AD36" s="29">
        <v>0.0</v>
      </c>
      <c r="AE36" s="31">
        <v>43292.0</v>
      </c>
      <c r="AF36" s="29">
        <v>0.0</v>
      </c>
      <c r="AG36" s="29" t="s">
        <v>236</v>
      </c>
      <c r="AH36" s="29"/>
      <c r="AI36" s="29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</row>
    <row r="37" ht="15.75" customHeight="1">
      <c r="A37" s="32"/>
      <c r="B37" s="29" t="s">
        <v>32</v>
      </c>
      <c r="C37" s="29" t="s">
        <v>221</v>
      </c>
      <c r="D37" s="29" t="s">
        <v>233</v>
      </c>
      <c r="E37" s="29">
        <v>0.0</v>
      </c>
      <c r="F37" s="29">
        <v>0.0</v>
      </c>
      <c r="G37" s="29">
        <v>0.0</v>
      </c>
      <c r="H37" s="29" t="s">
        <v>241</v>
      </c>
      <c r="I37" s="29">
        <v>0.0</v>
      </c>
      <c r="J37" s="29">
        <v>0.0</v>
      </c>
      <c r="K37" s="29" t="s">
        <v>164</v>
      </c>
      <c r="L37" s="29" t="s">
        <v>235</v>
      </c>
      <c r="M37" s="36"/>
      <c r="N37" s="29" t="s">
        <v>224</v>
      </c>
      <c r="O37" s="29">
        <v>1.8</v>
      </c>
      <c r="P37" s="29"/>
      <c r="Q37" s="30"/>
      <c r="R37" s="29">
        <v>0.0</v>
      </c>
      <c r="S37" s="29">
        <v>0.0</v>
      </c>
      <c r="T37" s="29">
        <v>0.0</v>
      </c>
      <c r="U37" s="29">
        <v>0.0</v>
      </c>
      <c r="V37" s="29">
        <v>50.0</v>
      </c>
      <c r="W37" s="29">
        <v>0.0</v>
      </c>
      <c r="X37" s="29" t="s">
        <v>164</v>
      </c>
      <c r="Y37" s="30"/>
      <c r="Z37" s="29">
        <v>0.0</v>
      </c>
      <c r="AA37" s="29">
        <v>0.0</v>
      </c>
      <c r="AB37" s="29" t="s">
        <v>30</v>
      </c>
      <c r="AC37" s="29">
        <v>0.0</v>
      </c>
      <c r="AD37" s="29">
        <v>0.0</v>
      </c>
      <c r="AE37" s="31">
        <v>43292.0</v>
      </c>
      <c r="AF37" s="29">
        <v>0.0</v>
      </c>
      <c r="AG37" s="29" t="s">
        <v>236</v>
      </c>
      <c r="AH37" s="29"/>
      <c r="AI37" s="29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</row>
    <row r="38" ht="15.75" customHeight="1">
      <c r="A38" s="32"/>
      <c r="B38" s="29" t="s">
        <v>32</v>
      </c>
      <c r="C38" s="29" t="s">
        <v>238</v>
      </c>
      <c r="D38" s="29" t="s">
        <v>242</v>
      </c>
      <c r="E38" s="29">
        <v>-578.0</v>
      </c>
      <c r="F38" s="29">
        <v>0.0</v>
      </c>
      <c r="G38" s="29">
        <v>0.0</v>
      </c>
      <c r="H38" s="29" t="s">
        <v>223</v>
      </c>
      <c r="I38" s="29">
        <v>0.0</v>
      </c>
      <c r="J38" s="29">
        <v>0.0</v>
      </c>
      <c r="K38" s="29" t="s">
        <v>164</v>
      </c>
      <c r="L38" s="29" t="s">
        <v>243</v>
      </c>
      <c r="M38" s="30"/>
      <c r="N38" s="29" t="s">
        <v>224</v>
      </c>
      <c r="O38" s="29">
        <v>1.8</v>
      </c>
      <c r="P38" s="29"/>
      <c r="Q38" s="30"/>
      <c r="R38" s="29">
        <v>0.0</v>
      </c>
      <c r="S38" s="29">
        <v>0.0</v>
      </c>
      <c r="T38" s="29">
        <v>0.0</v>
      </c>
      <c r="U38" s="29">
        <v>0.0</v>
      </c>
      <c r="V38" s="29">
        <v>0.0</v>
      </c>
      <c r="W38" s="29">
        <v>0.0</v>
      </c>
      <c r="X38" s="29"/>
      <c r="Y38" s="37"/>
      <c r="Z38" s="29">
        <v>0.0</v>
      </c>
      <c r="AA38" s="29">
        <v>0.0</v>
      </c>
      <c r="AB38" s="29" t="s">
        <v>30</v>
      </c>
      <c r="AC38" s="29">
        <v>0.0</v>
      </c>
      <c r="AD38" s="29">
        <v>0.0</v>
      </c>
      <c r="AE38" s="31">
        <v>43292.0</v>
      </c>
      <c r="AF38" s="29">
        <v>0.0</v>
      </c>
      <c r="AG38" s="29" t="s">
        <v>238</v>
      </c>
      <c r="AH38" s="29"/>
      <c r="AI38" s="29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</row>
    <row r="39" ht="15.75" customHeight="1">
      <c r="A39" s="32"/>
      <c r="B39" s="29" t="s">
        <v>32</v>
      </c>
      <c r="C39" s="29" t="s">
        <v>238</v>
      </c>
      <c r="D39" s="29" t="s">
        <v>242</v>
      </c>
      <c r="E39" s="29">
        <v>37.53</v>
      </c>
      <c r="F39" s="29">
        <v>0.0</v>
      </c>
      <c r="G39" s="29">
        <v>0.0</v>
      </c>
      <c r="H39" s="29" t="s">
        <v>223</v>
      </c>
      <c r="I39" s="29">
        <v>0.0</v>
      </c>
      <c r="J39" s="29">
        <v>0.0</v>
      </c>
      <c r="K39" s="29" t="s">
        <v>164</v>
      </c>
      <c r="L39" s="29" t="s">
        <v>243</v>
      </c>
      <c r="M39" s="30"/>
      <c r="N39" s="29" t="s">
        <v>224</v>
      </c>
      <c r="O39" s="29">
        <v>1.8</v>
      </c>
      <c r="P39" s="29"/>
      <c r="Q39" s="30"/>
      <c r="R39" s="29">
        <v>0.0</v>
      </c>
      <c r="S39" s="29">
        <v>0.0</v>
      </c>
      <c r="T39" s="29">
        <v>0.0</v>
      </c>
      <c r="U39" s="29">
        <v>0.0</v>
      </c>
      <c r="V39" s="29">
        <v>0.0</v>
      </c>
      <c r="W39" s="29">
        <v>0.0</v>
      </c>
      <c r="X39" s="29"/>
      <c r="Y39" s="37"/>
      <c r="Z39" s="29">
        <v>0.0</v>
      </c>
      <c r="AA39" s="29">
        <v>0.0</v>
      </c>
      <c r="AB39" s="29" t="s">
        <v>30</v>
      </c>
      <c r="AC39" s="29">
        <v>0.0</v>
      </c>
      <c r="AD39" s="29">
        <v>0.0</v>
      </c>
      <c r="AE39" s="31">
        <v>43292.0</v>
      </c>
      <c r="AF39" s="29">
        <v>0.0</v>
      </c>
      <c r="AG39" s="29" t="s">
        <v>238</v>
      </c>
      <c r="AH39" s="29"/>
      <c r="AI39" s="29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</row>
    <row r="40" ht="15.75" customHeight="1">
      <c r="A40" s="32"/>
      <c r="B40" s="29" t="s">
        <v>32</v>
      </c>
      <c r="C40" s="29" t="s">
        <v>238</v>
      </c>
      <c r="D40" s="29" t="s">
        <v>242</v>
      </c>
      <c r="E40" s="29">
        <v>578.0</v>
      </c>
      <c r="F40" s="29">
        <v>0.0</v>
      </c>
      <c r="G40" s="29">
        <v>0.0</v>
      </c>
      <c r="H40" s="29" t="s">
        <v>223</v>
      </c>
      <c r="I40" s="29">
        <v>0.0</v>
      </c>
      <c r="J40" s="29">
        <v>0.0</v>
      </c>
      <c r="K40" s="29" t="s">
        <v>164</v>
      </c>
      <c r="L40" s="29" t="s">
        <v>253</v>
      </c>
      <c r="M40" s="30"/>
      <c r="N40" s="29" t="s">
        <v>224</v>
      </c>
      <c r="O40" s="29">
        <v>0.74</v>
      </c>
      <c r="P40" s="29"/>
      <c r="Q40" s="30"/>
      <c r="R40" s="29">
        <v>0.0</v>
      </c>
      <c r="S40" s="29">
        <v>0.0</v>
      </c>
      <c r="T40" s="29">
        <v>0.0</v>
      </c>
      <c r="U40" s="29">
        <v>0.0</v>
      </c>
      <c r="V40" s="29">
        <v>0.0</v>
      </c>
      <c r="W40" s="29">
        <v>0.0</v>
      </c>
      <c r="X40" s="29"/>
      <c r="Y40" s="37"/>
      <c r="Z40" s="29">
        <v>0.0</v>
      </c>
      <c r="AA40" s="29">
        <v>0.0</v>
      </c>
      <c r="AB40" s="29" t="s">
        <v>30</v>
      </c>
      <c r="AC40" s="29">
        <v>0.0</v>
      </c>
      <c r="AD40" s="29">
        <v>0.0</v>
      </c>
      <c r="AE40" s="31">
        <v>43292.0</v>
      </c>
      <c r="AF40" s="29">
        <v>0.0</v>
      </c>
      <c r="AG40" s="29" t="s">
        <v>238</v>
      </c>
      <c r="AH40" s="29"/>
      <c r="AI40" s="29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</row>
    <row r="41" ht="15.75" customHeight="1">
      <c r="A41" s="32"/>
      <c r="B41" s="29" t="s">
        <v>32</v>
      </c>
      <c r="C41" s="29" t="s">
        <v>238</v>
      </c>
      <c r="D41" s="29" t="s">
        <v>242</v>
      </c>
      <c r="E41" s="29">
        <v>-37.53</v>
      </c>
      <c r="F41" s="29">
        <v>0.0</v>
      </c>
      <c r="G41" s="29">
        <v>0.0</v>
      </c>
      <c r="H41" s="29" t="s">
        <v>223</v>
      </c>
      <c r="I41" s="29">
        <v>0.0</v>
      </c>
      <c r="J41" s="29">
        <v>0.0</v>
      </c>
      <c r="K41" s="29" t="s">
        <v>164</v>
      </c>
      <c r="L41" s="29" t="s">
        <v>244</v>
      </c>
      <c r="M41" s="30"/>
      <c r="N41" s="29" t="s">
        <v>224</v>
      </c>
      <c r="O41" s="29">
        <v>0.74</v>
      </c>
      <c r="P41" s="29"/>
      <c r="Q41" s="30"/>
      <c r="R41" s="29">
        <v>0.0</v>
      </c>
      <c r="S41" s="29">
        <v>0.0</v>
      </c>
      <c r="T41" s="29">
        <v>0.0</v>
      </c>
      <c r="U41" s="29">
        <v>0.0</v>
      </c>
      <c r="V41" s="29">
        <v>0.0</v>
      </c>
      <c r="W41" s="29">
        <v>0.0</v>
      </c>
      <c r="X41" s="29"/>
      <c r="Y41" s="37"/>
      <c r="Z41" s="29">
        <v>0.0</v>
      </c>
      <c r="AA41" s="29">
        <v>0.0</v>
      </c>
      <c r="AB41" s="29" t="s">
        <v>30</v>
      </c>
      <c r="AC41" s="29">
        <v>0.0</v>
      </c>
      <c r="AD41" s="29">
        <v>0.0</v>
      </c>
      <c r="AE41" s="31">
        <v>43292.0</v>
      </c>
      <c r="AF41" s="29">
        <v>0.0</v>
      </c>
      <c r="AG41" s="29" t="s">
        <v>238</v>
      </c>
      <c r="AH41" s="29"/>
      <c r="AI41" s="29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</row>
    <row r="42" ht="15.75" customHeight="1">
      <c r="A42" s="32"/>
      <c r="B42" s="29" t="s">
        <v>32</v>
      </c>
      <c r="C42" s="29" t="s">
        <v>238</v>
      </c>
      <c r="D42" s="29" t="s">
        <v>245</v>
      </c>
      <c r="E42" s="29">
        <v>-37.53</v>
      </c>
      <c r="F42" s="29">
        <v>0.0</v>
      </c>
      <c r="G42" s="29">
        <v>0.0</v>
      </c>
      <c r="H42" s="29" t="s">
        <v>223</v>
      </c>
      <c r="I42" s="29">
        <v>0.0</v>
      </c>
      <c r="J42" s="29">
        <v>0.0</v>
      </c>
      <c r="K42" s="29" t="s">
        <v>164</v>
      </c>
      <c r="L42" s="29" t="s">
        <v>246</v>
      </c>
      <c r="M42" s="30"/>
      <c r="N42" s="29" t="s">
        <v>224</v>
      </c>
      <c r="O42" s="29">
        <v>1.8</v>
      </c>
      <c r="P42" s="29"/>
      <c r="Q42" s="30"/>
      <c r="R42" s="29">
        <v>0.0</v>
      </c>
      <c r="S42" s="29">
        <v>0.0</v>
      </c>
      <c r="T42" s="29">
        <v>0.0</v>
      </c>
      <c r="U42" s="29">
        <v>0.0</v>
      </c>
      <c r="V42" s="29">
        <v>0.0</v>
      </c>
      <c r="W42" s="29">
        <v>0.0</v>
      </c>
      <c r="X42" s="29"/>
      <c r="Y42" s="37"/>
      <c r="Z42" s="29">
        <v>0.0</v>
      </c>
      <c r="AA42" s="29">
        <v>0.0</v>
      </c>
      <c r="AB42" s="29" t="s">
        <v>30</v>
      </c>
      <c r="AC42" s="29">
        <v>0.0</v>
      </c>
      <c r="AD42" s="29">
        <v>0.0</v>
      </c>
      <c r="AE42" s="31">
        <v>43292.0</v>
      </c>
      <c r="AF42" s="29">
        <v>0.0</v>
      </c>
      <c r="AG42" s="29" t="s">
        <v>238</v>
      </c>
      <c r="AH42" s="29"/>
      <c r="AI42" s="29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</row>
    <row r="43" ht="15.75" customHeight="1">
      <c r="A43" s="32"/>
      <c r="B43" s="29" t="s">
        <v>32</v>
      </c>
      <c r="C43" s="29" t="s">
        <v>238</v>
      </c>
      <c r="D43" s="29" t="s">
        <v>245</v>
      </c>
      <c r="E43" s="29">
        <v>37.53</v>
      </c>
      <c r="F43" s="29">
        <v>0.0</v>
      </c>
      <c r="G43" s="29">
        <v>0.0</v>
      </c>
      <c r="H43" s="29" t="s">
        <v>223</v>
      </c>
      <c r="I43" s="29">
        <v>0.0</v>
      </c>
      <c r="J43" s="29">
        <v>0.0</v>
      </c>
      <c r="K43" s="29" t="s">
        <v>164</v>
      </c>
      <c r="L43" s="29" t="s">
        <v>247</v>
      </c>
      <c r="M43" s="30"/>
      <c r="N43" s="29" t="s">
        <v>224</v>
      </c>
      <c r="O43" s="29">
        <v>0.74</v>
      </c>
      <c r="P43" s="29"/>
      <c r="Q43" s="30"/>
      <c r="R43" s="29">
        <v>0.0</v>
      </c>
      <c r="S43" s="29">
        <v>0.0</v>
      </c>
      <c r="T43" s="29">
        <v>0.0</v>
      </c>
      <c r="U43" s="29">
        <v>0.0</v>
      </c>
      <c r="V43" s="29">
        <v>0.0</v>
      </c>
      <c r="W43" s="29">
        <v>0.0</v>
      </c>
      <c r="X43" s="29"/>
      <c r="Y43" s="37"/>
      <c r="Z43" s="29">
        <v>0.0</v>
      </c>
      <c r="AA43" s="29">
        <v>0.0</v>
      </c>
      <c r="AB43" s="29" t="s">
        <v>30</v>
      </c>
      <c r="AC43" s="29">
        <v>0.0</v>
      </c>
      <c r="AD43" s="29">
        <v>0.0</v>
      </c>
      <c r="AE43" s="31">
        <v>43292.0</v>
      </c>
      <c r="AF43" s="29">
        <v>0.0</v>
      </c>
      <c r="AG43" s="29" t="s">
        <v>238</v>
      </c>
      <c r="AH43" s="29"/>
      <c r="AI43" s="29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</row>
    <row r="44" ht="15.75" customHeight="1">
      <c r="A44" s="32"/>
      <c r="B44" s="29" t="s">
        <v>32</v>
      </c>
      <c r="C44" s="29" t="s">
        <v>221</v>
      </c>
      <c r="D44" s="29" t="s">
        <v>222</v>
      </c>
      <c r="E44" s="29">
        <v>578.0</v>
      </c>
      <c r="F44" s="29">
        <v>0.0</v>
      </c>
      <c r="G44" s="29">
        <v>0.0</v>
      </c>
      <c r="H44" s="29" t="s">
        <v>223</v>
      </c>
      <c r="I44" s="29">
        <v>0.0</v>
      </c>
      <c r="J44" s="29">
        <v>30.0</v>
      </c>
      <c r="K44" s="29" t="s">
        <v>164</v>
      </c>
      <c r="L44" s="29" t="s">
        <v>235</v>
      </c>
      <c r="M44" s="30"/>
      <c r="N44" s="29" t="s">
        <v>224</v>
      </c>
      <c r="O44" s="29">
        <v>1.8</v>
      </c>
      <c r="P44" s="29"/>
      <c r="Q44" s="30"/>
      <c r="R44" s="29">
        <v>0.0</v>
      </c>
      <c r="S44" s="29">
        <v>0.0</v>
      </c>
      <c r="T44" s="29">
        <v>0.0</v>
      </c>
      <c r="U44" s="29">
        <v>0.0</v>
      </c>
      <c r="V44" s="29">
        <v>50.0</v>
      </c>
      <c r="W44" s="29">
        <v>0.0</v>
      </c>
      <c r="X44" s="29" t="s">
        <v>164</v>
      </c>
      <c r="Y44" s="30"/>
      <c r="Z44" s="29">
        <v>10.0</v>
      </c>
      <c r="AA44" s="29">
        <v>0.0</v>
      </c>
      <c r="AB44" s="29" t="s">
        <v>30</v>
      </c>
      <c r="AC44" s="29">
        <v>0.0</v>
      </c>
      <c r="AD44" s="29">
        <v>40.0</v>
      </c>
      <c r="AE44" s="31">
        <v>43292.0</v>
      </c>
      <c r="AF44" s="29">
        <v>0.0</v>
      </c>
      <c r="AG44" s="29" t="s">
        <v>221</v>
      </c>
      <c r="AH44" s="29"/>
      <c r="AI44" s="29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</row>
    <row r="45" ht="15.75" customHeight="1">
      <c r="A45" s="32"/>
      <c r="B45" s="29" t="s">
        <v>32</v>
      </c>
      <c r="C45" s="29" t="s">
        <v>221</v>
      </c>
      <c r="D45" s="29" t="s">
        <v>226</v>
      </c>
      <c r="E45" s="29">
        <v>37.53</v>
      </c>
      <c r="F45" s="29">
        <v>0.0</v>
      </c>
      <c r="G45" s="29">
        <v>0.0</v>
      </c>
      <c r="H45" s="29" t="s">
        <v>223</v>
      </c>
      <c r="I45" s="29">
        <v>0.0</v>
      </c>
      <c r="J45" s="29">
        <v>0.0</v>
      </c>
      <c r="K45" s="29" t="s">
        <v>164</v>
      </c>
      <c r="L45" s="29" t="s">
        <v>235</v>
      </c>
      <c r="M45" s="30"/>
      <c r="N45" s="29" t="s">
        <v>224</v>
      </c>
      <c r="O45" s="29">
        <v>1.8</v>
      </c>
      <c r="P45" s="29"/>
      <c r="Q45" s="30"/>
      <c r="R45" s="29">
        <v>0.0</v>
      </c>
      <c r="S45" s="29">
        <v>0.0</v>
      </c>
      <c r="T45" s="29">
        <v>0.0</v>
      </c>
      <c r="U45" s="29">
        <v>0.0</v>
      </c>
      <c r="V45" s="29">
        <v>50.0</v>
      </c>
      <c r="W45" s="29">
        <v>0.0</v>
      </c>
      <c r="X45" s="29" t="s">
        <v>164</v>
      </c>
      <c r="Y45" s="30"/>
      <c r="Z45" s="29">
        <v>0.0</v>
      </c>
      <c r="AA45" s="29">
        <v>0.0</v>
      </c>
      <c r="AB45" s="29" t="s">
        <v>30</v>
      </c>
      <c r="AC45" s="29">
        <v>0.0</v>
      </c>
      <c r="AD45" s="29">
        <v>0.0</v>
      </c>
      <c r="AE45" s="31">
        <v>43292.0</v>
      </c>
      <c r="AF45" s="29">
        <v>0.0</v>
      </c>
      <c r="AG45" s="29" t="s">
        <v>221</v>
      </c>
      <c r="AH45" s="29"/>
      <c r="AI45" s="29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</row>
    <row r="46" ht="15.75" customHeight="1">
      <c r="A46" s="32"/>
      <c r="B46" s="29" t="s">
        <v>32</v>
      </c>
      <c r="C46" s="29" t="s">
        <v>238</v>
      </c>
      <c r="D46" s="29" t="s">
        <v>239</v>
      </c>
      <c r="E46" s="29">
        <v>1155.05</v>
      </c>
      <c r="F46" s="29">
        <v>0.0</v>
      </c>
      <c r="G46" s="29">
        <v>0.0</v>
      </c>
      <c r="H46" s="29" t="s">
        <v>223</v>
      </c>
      <c r="I46" s="29">
        <v>0.0</v>
      </c>
      <c r="J46" s="29">
        <v>0.0</v>
      </c>
      <c r="K46" s="29" t="s">
        <v>165</v>
      </c>
      <c r="L46" s="29" t="s">
        <v>248</v>
      </c>
      <c r="M46" s="30"/>
      <c r="N46" s="29" t="s">
        <v>224</v>
      </c>
      <c r="O46" s="29">
        <v>1.0</v>
      </c>
      <c r="P46" s="29"/>
      <c r="Q46" s="30"/>
      <c r="R46" s="29">
        <v>0.0</v>
      </c>
      <c r="S46" s="29">
        <v>0.0</v>
      </c>
      <c r="T46" s="29">
        <v>0.0</v>
      </c>
      <c r="U46" s="29">
        <v>0.0</v>
      </c>
      <c r="V46" s="29">
        <v>0.0</v>
      </c>
      <c r="W46" s="29">
        <v>0.0</v>
      </c>
      <c r="X46" s="29"/>
      <c r="Y46" s="37"/>
      <c r="Z46" s="29">
        <v>0.0</v>
      </c>
      <c r="AA46" s="29">
        <v>0.0</v>
      </c>
      <c r="AB46" s="29" t="s">
        <v>164</v>
      </c>
      <c r="AC46" s="29">
        <v>0.0</v>
      </c>
      <c r="AD46" s="29">
        <v>0.0</v>
      </c>
      <c r="AE46" s="31">
        <v>43293.0</v>
      </c>
      <c r="AF46" s="29">
        <v>0.0</v>
      </c>
      <c r="AG46" s="29" t="s">
        <v>238</v>
      </c>
      <c r="AH46" s="29"/>
      <c r="AI46" s="29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</row>
    <row r="47" ht="15.75" customHeight="1">
      <c r="A47" s="32"/>
      <c r="B47" s="29" t="s">
        <v>32</v>
      </c>
      <c r="C47" s="29" t="s">
        <v>238</v>
      </c>
      <c r="D47" s="29" t="s">
        <v>239</v>
      </c>
      <c r="E47" s="29">
        <v>-612.04</v>
      </c>
      <c r="F47" s="29">
        <v>0.0</v>
      </c>
      <c r="G47" s="29">
        <v>0.0</v>
      </c>
      <c r="H47" s="29" t="s">
        <v>223</v>
      </c>
      <c r="I47" s="29">
        <v>0.0</v>
      </c>
      <c r="J47" s="29">
        <v>0.0</v>
      </c>
      <c r="K47" s="29" t="s">
        <v>165</v>
      </c>
      <c r="L47" s="29" t="s">
        <v>248</v>
      </c>
      <c r="M47" s="30"/>
      <c r="N47" s="29" t="s">
        <v>224</v>
      </c>
      <c r="O47" s="29">
        <v>1.0</v>
      </c>
      <c r="P47" s="29"/>
      <c r="Q47" s="30"/>
      <c r="R47" s="29">
        <v>0.0</v>
      </c>
      <c r="S47" s="29">
        <v>0.0</v>
      </c>
      <c r="T47" s="29">
        <v>0.0</v>
      </c>
      <c r="U47" s="29">
        <v>0.0</v>
      </c>
      <c r="V47" s="29">
        <v>0.0</v>
      </c>
      <c r="W47" s="29">
        <v>0.0</v>
      </c>
      <c r="X47" s="29"/>
      <c r="Y47" s="37"/>
      <c r="Z47" s="29">
        <v>0.0</v>
      </c>
      <c r="AA47" s="29">
        <v>0.0</v>
      </c>
      <c r="AB47" s="29" t="s">
        <v>164</v>
      </c>
      <c r="AC47" s="29">
        <v>0.0</v>
      </c>
      <c r="AD47" s="29">
        <v>0.0</v>
      </c>
      <c r="AE47" s="31">
        <v>43293.0</v>
      </c>
      <c r="AF47" s="29">
        <v>0.0</v>
      </c>
      <c r="AG47" s="29" t="s">
        <v>238</v>
      </c>
      <c r="AH47" s="29"/>
      <c r="AI47" s="29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</row>
    <row r="48" ht="15.75" customHeight="1">
      <c r="A48" s="32"/>
      <c r="B48" s="29" t="s">
        <v>32</v>
      </c>
      <c r="C48" s="29" t="s">
        <v>238</v>
      </c>
      <c r="D48" s="29" t="s">
        <v>239</v>
      </c>
      <c r="E48" s="29">
        <v>-1568.0</v>
      </c>
      <c r="F48" s="29">
        <v>0.0</v>
      </c>
      <c r="G48" s="29">
        <v>0.0</v>
      </c>
      <c r="H48" s="29" t="s">
        <v>223</v>
      </c>
      <c r="I48" s="29">
        <v>0.0</v>
      </c>
      <c r="J48" s="29">
        <v>0.0</v>
      </c>
      <c r="K48" s="29" t="s">
        <v>164</v>
      </c>
      <c r="L48" s="29" t="s">
        <v>248</v>
      </c>
      <c r="M48" s="30"/>
      <c r="N48" s="29" t="s">
        <v>224</v>
      </c>
      <c r="O48" s="29">
        <v>0.74</v>
      </c>
      <c r="P48" s="29"/>
      <c r="Q48" s="30"/>
      <c r="R48" s="29">
        <v>0.0</v>
      </c>
      <c r="S48" s="29">
        <v>0.0</v>
      </c>
      <c r="T48" s="29">
        <v>0.0</v>
      </c>
      <c r="U48" s="29">
        <v>0.0</v>
      </c>
      <c r="V48" s="29">
        <v>0.0</v>
      </c>
      <c r="W48" s="29">
        <v>0.0</v>
      </c>
      <c r="X48" s="29"/>
      <c r="Y48" s="37"/>
      <c r="Z48" s="29">
        <v>0.0</v>
      </c>
      <c r="AA48" s="29">
        <v>0.0</v>
      </c>
      <c r="AB48" s="29" t="s">
        <v>30</v>
      </c>
      <c r="AC48" s="29">
        <v>0.0</v>
      </c>
      <c r="AD48" s="29">
        <v>0.0</v>
      </c>
      <c r="AE48" s="31">
        <v>43293.0</v>
      </c>
      <c r="AF48" s="29">
        <v>0.0</v>
      </c>
      <c r="AG48" s="29" t="s">
        <v>238</v>
      </c>
      <c r="AH48" s="29"/>
      <c r="AI48" s="29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</row>
    <row r="49" ht="15.75" customHeight="1">
      <c r="A49" s="32"/>
      <c r="B49" s="29" t="s">
        <v>32</v>
      </c>
      <c r="C49" s="29" t="s">
        <v>238</v>
      </c>
      <c r="D49" s="29" t="s">
        <v>239</v>
      </c>
      <c r="E49" s="29">
        <v>967.0</v>
      </c>
      <c r="F49" s="29">
        <v>0.0</v>
      </c>
      <c r="G49" s="29">
        <v>0.0</v>
      </c>
      <c r="H49" s="29" t="s">
        <v>223</v>
      </c>
      <c r="I49" s="29">
        <v>0.0</v>
      </c>
      <c r="J49" s="29">
        <v>0.0</v>
      </c>
      <c r="K49" s="29" t="s">
        <v>164</v>
      </c>
      <c r="L49" s="29" t="s">
        <v>248</v>
      </c>
      <c r="M49" s="30"/>
      <c r="N49" s="29" t="s">
        <v>224</v>
      </c>
      <c r="O49" s="29">
        <v>0.74</v>
      </c>
      <c r="P49" s="29"/>
      <c r="Q49" s="30"/>
      <c r="R49" s="29">
        <v>0.0</v>
      </c>
      <c r="S49" s="29">
        <v>0.0</v>
      </c>
      <c r="T49" s="29">
        <v>0.0</v>
      </c>
      <c r="U49" s="29">
        <v>0.0</v>
      </c>
      <c r="V49" s="29">
        <v>0.0</v>
      </c>
      <c r="W49" s="29">
        <v>0.0</v>
      </c>
      <c r="X49" s="29"/>
      <c r="Y49" s="37"/>
      <c r="Z49" s="29">
        <v>0.0</v>
      </c>
      <c r="AA49" s="29">
        <v>0.0</v>
      </c>
      <c r="AB49" s="29" t="s">
        <v>30</v>
      </c>
      <c r="AC49" s="29">
        <v>0.0</v>
      </c>
      <c r="AD49" s="29">
        <v>0.0</v>
      </c>
      <c r="AE49" s="31">
        <v>43293.0</v>
      </c>
      <c r="AF49" s="29">
        <v>0.0</v>
      </c>
      <c r="AG49" s="29" t="s">
        <v>238</v>
      </c>
      <c r="AH49" s="29"/>
      <c r="AI49" s="29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</row>
    <row r="50" ht="15.75" customHeight="1">
      <c r="A50" s="32"/>
      <c r="B50" s="29" t="s">
        <v>32</v>
      </c>
      <c r="C50" s="29" t="s">
        <v>238</v>
      </c>
      <c r="D50" s="29" t="s">
        <v>239</v>
      </c>
      <c r="E50" s="29">
        <v>-1154.89</v>
      </c>
      <c r="F50" s="29">
        <v>0.0</v>
      </c>
      <c r="G50" s="29">
        <v>0.0</v>
      </c>
      <c r="H50" s="29" t="s">
        <v>223</v>
      </c>
      <c r="I50" s="29">
        <v>0.0</v>
      </c>
      <c r="J50" s="29">
        <v>0.0</v>
      </c>
      <c r="K50" s="29" t="s">
        <v>165</v>
      </c>
      <c r="L50" s="29" t="s">
        <v>240</v>
      </c>
      <c r="M50" s="30"/>
      <c r="N50" s="29" t="s">
        <v>224</v>
      </c>
      <c r="O50" s="29">
        <v>1.0</v>
      </c>
      <c r="P50" s="29"/>
      <c r="Q50" s="30"/>
      <c r="R50" s="29">
        <v>0.0</v>
      </c>
      <c r="S50" s="29">
        <v>0.0</v>
      </c>
      <c r="T50" s="29">
        <v>0.0</v>
      </c>
      <c r="U50" s="29">
        <v>0.0</v>
      </c>
      <c r="V50" s="29">
        <v>0.0</v>
      </c>
      <c r="W50" s="29">
        <v>0.0</v>
      </c>
      <c r="X50" s="29"/>
      <c r="Y50" s="37"/>
      <c r="Z50" s="29">
        <v>0.0</v>
      </c>
      <c r="AA50" s="29">
        <v>0.0</v>
      </c>
      <c r="AB50" s="29" t="s">
        <v>164</v>
      </c>
      <c r="AC50" s="29">
        <v>0.0</v>
      </c>
      <c r="AD50" s="29">
        <v>0.0</v>
      </c>
      <c r="AE50" s="31">
        <v>43293.0</v>
      </c>
      <c r="AF50" s="29">
        <v>0.0</v>
      </c>
      <c r="AG50" s="29" t="s">
        <v>238</v>
      </c>
      <c r="AH50" s="29"/>
      <c r="AI50" s="29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</row>
    <row r="51" ht="15.75" customHeight="1">
      <c r="A51" s="32"/>
      <c r="B51" s="29" t="s">
        <v>32</v>
      </c>
      <c r="C51" s="29" t="s">
        <v>238</v>
      </c>
      <c r="D51" s="29" t="s">
        <v>239</v>
      </c>
      <c r="E51" s="29">
        <v>611.99</v>
      </c>
      <c r="F51" s="29">
        <v>0.0</v>
      </c>
      <c r="G51" s="29">
        <v>0.0</v>
      </c>
      <c r="H51" s="29" t="s">
        <v>223</v>
      </c>
      <c r="I51" s="29">
        <v>0.0</v>
      </c>
      <c r="J51" s="29">
        <v>0.0</v>
      </c>
      <c r="K51" s="29" t="s">
        <v>165</v>
      </c>
      <c r="L51" s="29" t="s">
        <v>240</v>
      </c>
      <c r="M51" s="30"/>
      <c r="N51" s="29" t="s">
        <v>224</v>
      </c>
      <c r="O51" s="29">
        <v>1.0</v>
      </c>
      <c r="P51" s="29"/>
      <c r="Q51" s="30"/>
      <c r="R51" s="29">
        <v>0.0</v>
      </c>
      <c r="S51" s="29">
        <v>0.0</v>
      </c>
      <c r="T51" s="29">
        <v>0.0</v>
      </c>
      <c r="U51" s="29">
        <v>0.0</v>
      </c>
      <c r="V51" s="29">
        <v>0.0</v>
      </c>
      <c r="W51" s="29">
        <v>0.0</v>
      </c>
      <c r="X51" s="29"/>
      <c r="Y51" s="37"/>
      <c r="Z51" s="29">
        <v>0.0</v>
      </c>
      <c r="AA51" s="29">
        <v>0.0</v>
      </c>
      <c r="AB51" s="29" t="s">
        <v>164</v>
      </c>
      <c r="AC51" s="29">
        <v>0.0</v>
      </c>
      <c r="AD51" s="29">
        <v>0.0</v>
      </c>
      <c r="AE51" s="31">
        <v>43293.0</v>
      </c>
      <c r="AF51" s="29">
        <v>0.0</v>
      </c>
      <c r="AG51" s="29" t="s">
        <v>238</v>
      </c>
      <c r="AH51" s="29"/>
      <c r="AI51" s="29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</row>
    <row r="52" ht="15.75" customHeight="1">
      <c r="A52" s="32"/>
      <c r="B52" s="29" t="s">
        <v>32</v>
      </c>
      <c r="C52" s="29" t="s">
        <v>238</v>
      </c>
      <c r="D52" s="29" t="s">
        <v>239</v>
      </c>
      <c r="E52" s="29">
        <v>2598.0</v>
      </c>
      <c r="F52" s="29">
        <v>0.0</v>
      </c>
      <c r="G52" s="29">
        <v>0.0</v>
      </c>
      <c r="H52" s="29" t="s">
        <v>223</v>
      </c>
      <c r="I52" s="29">
        <v>0.0</v>
      </c>
      <c r="J52" s="29">
        <v>0.0</v>
      </c>
      <c r="K52" s="29" t="s">
        <v>164</v>
      </c>
      <c r="L52" s="29" t="s">
        <v>240</v>
      </c>
      <c r="M52" s="30"/>
      <c r="N52" s="29" t="s">
        <v>224</v>
      </c>
      <c r="O52" s="29">
        <v>0.74</v>
      </c>
      <c r="P52" s="29"/>
      <c r="Q52" s="30"/>
      <c r="R52" s="29">
        <v>0.0</v>
      </c>
      <c r="S52" s="29">
        <v>0.0</v>
      </c>
      <c r="T52" s="29">
        <v>0.0</v>
      </c>
      <c r="U52" s="29">
        <v>0.0</v>
      </c>
      <c r="V52" s="29">
        <v>0.0</v>
      </c>
      <c r="W52" s="29">
        <v>0.0</v>
      </c>
      <c r="X52" s="29"/>
      <c r="Y52" s="37"/>
      <c r="Z52" s="29">
        <v>0.0</v>
      </c>
      <c r="AA52" s="29">
        <v>0.0</v>
      </c>
      <c r="AB52" s="29" t="s">
        <v>30</v>
      </c>
      <c r="AC52" s="29">
        <v>0.0</v>
      </c>
      <c r="AD52" s="29">
        <v>0.0</v>
      </c>
      <c r="AE52" s="31">
        <v>43293.0</v>
      </c>
      <c r="AF52" s="29">
        <v>0.0</v>
      </c>
      <c r="AG52" s="29" t="s">
        <v>238</v>
      </c>
      <c r="AH52" s="29"/>
      <c r="AI52" s="29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</row>
    <row r="53" ht="15.75" customHeight="1">
      <c r="A53" s="32"/>
      <c r="B53" s="29" t="s">
        <v>32</v>
      </c>
      <c r="C53" s="29" t="s">
        <v>238</v>
      </c>
      <c r="D53" s="29" t="s">
        <v>239</v>
      </c>
      <c r="E53" s="29">
        <v>-1482.0</v>
      </c>
      <c r="F53" s="29">
        <v>0.0</v>
      </c>
      <c r="G53" s="29">
        <v>0.0</v>
      </c>
      <c r="H53" s="29" t="s">
        <v>223</v>
      </c>
      <c r="I53" s="29">
        <v>0.0</v>
      </c>
      <c r="J53" s="29">
        <v>0.0</v>
      </c>
      <c r="K53" s="29" t="s">
        <v>164</v>
      </c>
      <c r="L53" s="29" t="s">
        <v>240</v>
      </c>
      <c r="M53" s="30"/>
      <c r="N53" s="29" t="s">
        <v>224</v>
      </c>
      <c r="O53" s="29">
        <v>0.74</v>
      </c>
      <c r="P53" s="29"/>
      <c r="Q53" s="30"/>
      <c r="R53" s="29">
        <v>0.0</v>
      </c>
      <c r="S53" s="29">
        <v>0.0</v>
      </c>
      <c r="T53" s="29">
        <v>0.0</v>
      </c>
      <c r="U53" s="29">
        <v>0.0</v>
      </c>
      <c r="V53" s="29">
        <v>0.0</v>
      </c>
      <c r="W53" s="29">
        <v>0.0</v>
      </c>
      <c r="X53" s="29"/>
      <c r="Y53" s="37"/>
      <c r="Z53" s="29">
        <v>0.0</v>
      </c>
      <c r="AA53" s="29">
        <v>0.0</v>
      </c>
      <c r="AB53" s="29" t="s">
        <v>30</v>
      </c>
      <c r="AC53" s="29">
        <v>0.0</v>
      </c>
      <c r="AD53" s="29">
        <v>0.0</v>
      </c>
      <c r="AE53" s="31">
        <v>43293.0</v>
      </c>
      <c r="AF53" s="29">
        <v>0.0</v>
      </c>
      <c r="AG53" s="29" t="s">
        <v>238</v>
      </c>
      <c r="AH53" s="29"/>
      <c r="AI53" s="29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</row>
    <row r="54" ht="15.75" customHeight="1">
      <c r="A54" s="32"/>
      <c r="B54" s="29" t="s">
        <v>32</v>
      </c>
      <c r="C54" s="29" t="s">
        <v>238</v>
      </c>
      <c r="D54" s="29" t="s">
        <v>242</v>
      </c>
      <c r="E54" s="29">
        <v>-1055.47</v>
      </c>
      <c r="F54" s="29">
        <v>0.0</v>
      </c>
      <c r="G54" s="29">
        <v>0.0</v>
      </c>
      <c r="H54" s="29" t="s">
        <v>223</v>
      </c>
      <c r="I54" s="29">
        <v>0.0</v>
      </c>
      <c r="J54" s="29">
        <v>0.0</v>
      </c>
      <c r="K54" s="29" t="s">
        <v>164</v>
      </c>
      <c r="L54" s="29" t="s">
        <v>249</v>
      </c>
      <c r="M54" s="30"/>
      <c r="N54" s="29" t="s">
        <v>224</v>
      </c>
      <c r="O54" s="29">
        <v>0.74</v>
      </c>
      <c r="P54" s="29"/>
      <c r="Q54" s="30"/>
      <c r="R54" s="29">
        <v>0.0</v>
      </c>
      <c r="S54" s="29">
        <v>0.0</v>
      </c>
      <c r="T54" s="29">
        <v>0.0</v>
      </c>
      <c r="U54" s="29">
        <v>0.0</v>
      </c>
      <c r="V54" s="29">
        <v>0.0</v>
      </c>
      <c r="W54" s="29">
        <v>0.0</v>
      </c>
      <c r="X54" s="29"/>
      <c r="Y54" s="37"/>
      <c r="Z54" s="29">
        <v>0.0</v>
      </c>
      <c r="AA54" s="29">
        <v>0.0</v>
      </c>
      <c r="AB54" s="29" t="s">
        <v>164</v>
      </c>
      <c r="AC54" s="29">
        <v>0.0</v>
      </c>
      <c r="AD54" s="29">
        <v>0.0</v>
      </c>
      <c r="AE54" s="31">
        <v>43293.0</v>
      </c>
      <c r="AF54" s="29">
        <v>0.0</v>
      </c>
      <c r="AG54" s="29" t="s">
        <v>238</v>
      </c>
      <c r="AH54" s="29"/>
      <c r="AI54" s="29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</row>
    <row r="55" ht="15.75" customHeight="1">
      <c r="A55" s="32"/>
      <c r="B55" s="29" t="s">
        <v>32</v>
      </c>
      <c r="C55" s="29" t="s">
        <v>238</v>
      </c>
      <c r="D55" s="29" t="s">
        <v>242</v>
      </c>
      <c r="E55" s="29">
        <v>1055.47</v>
      </c>
      <c r="F55" s="29">
        <v>0.0</v>
      </c>
      <c r="G55" s="29">
        <v>0.0</v>
      </c>
      <c r="H55" s="29" t="s">
        <v>223</v>
      </c>
      <c r="I55" s="29">
        <v>0.0</v>
      </c>
      <c r="J55" s="29">
        <v>0.0</v>
      </c>
      <c r="K55" s="29" t="s">
        <v>164</v>
      </c>
      <c r="L55" s="29" t="s">
        <v>250</v>
      </c>
      <c r="M55" s="30"/>
      <c r="N55" s="29" t="s">
        <v>224</v>
      </c>
      <c r="O55" s="29">
        <v>0.74</v>
      </c>
      <c r="P55" s="29"/>
      <c r="Q55" s="30"/>
      <c r="R55" s="29">
        <v>0.0</v>
      </c>
      <c r="S55" s="29">
        <v>0.0</v>
      </c>
      <c r="T55" s="29">
        <v>0.0</v>
      </c>
      <c r="U55" s="29">
        <v>0.0</v>
      </c>
      <c r="V55" s="29">
        <v>0.0</v>
      </c>
      <c r="W55" s="29">
        <v>0.0</v>
      </c>
      <c r="X55" s="29"/>
      <c r="Y55" s="37"/>
      <c r="Z55" s="29">
        <v>0.0</v>
      </c>
      <c r="AA55" s="29">
        <v>0.0</v>
      </c>
      <c r="AB55" s="29" t="s">
        <v>164</v>
      </c>
      <c r="AC55" s="29">
        <v>0.0</v>
      </c>
      <c r="AD55" s="29">
        <v>0.0</v>
      </c>
      <c r="AE55" s="31">
        <v>43293.0</v>
      </c>
      <c r="AF55" s="29">
        <v>0.0</v>
      </c>
      <c r="AG55" s="29" t="s">
        <v>238</v>
      </c>
      <c r="AH55" s="29"/>
      <c r="AI55" s="29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</row>
    <row r="56" ht="15.75" customHeight="1">
      <c r="A56" s="32"/>
      <c r="B56" s="29" t="s">
        <v>32</v>
      </c>
      <c r="C56" s="29" t="s">
        <v>238</v>
      </c>
      <c r="D56" s="29" t="s">
        <v>245</v>
      </c>
      <c r="E56" s="29">
        <v>38.1</v>
      </c>
      <c r="F56" s="29">
        <v>0.0</v>
      </c>
      <c r="G56" s="29">
        <v>0.0</v>
      </c>
      <c r="H56" s="29" t="s">
        <v>223</v>
      </c>
      <c r="I56" s="29">
        <v>0.0</v>
      </c>
      <c r="J56" s="29">
        <v>0.0</v>
      </c>
      <c r="K56" s="29" t="s">
        <v>164</v>
      </c>
      <c r="L56" s="29" t="s">
        <v>251</v>
      </c>
      <c r="M56" s="30"/>
      <c r="N56" s="29" t="s">
        <v>224</v>
      </c>
      <c r="O56" s="29">
        <v>0.74</v>
      </c>
      <c r="P56" s="29"/>
      <c r="Q56" s="30"/>
      <c r="R56" s="29">
        <v>0.0</v>
      </c>
      <c r="S56" s="29">
        <v>0.0</v>
      </c>
      <c r="T56" s="29">
        <v>0.0</v>
      </c>
      <c r="U56" s="29">
        <v>0.0</v>
      </c>
      <c r="V56" s="29">
        <v>0.0</v>
      </c>
      <c r="W56" s="29">
        <v>0.0</v>
      </c>
      <c r="X56" s="29"/>
      <c r="Y56" s="37"/>
      <c r="Z56" s="29">
        <v>0.0</v>
      </c>
      <c r="AA56" s="29">
        <v>0.0</v>
      </c>
      <c r="AB56" s="29" t="s">
        <v>164</v>
      </c>
      <c r="AC56" s="29">
        <v>0.0</v>
      </c>
      <c r="AD56" s="29">
        <v>0.0</v>
      </c>
      <c r="AE56" s="31">
        <v>43293.0</v>
      </c>
      <c r="AF56" s="29">
        <v>0.0</v>
      </c>
      <c r="AG56" s="29" t="s">
        <v>238</v>
      </c>
      <c r="AH56" s="29"/>
      <c r="AI56" s="29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</row>
    <row r="57" ht="15.75" customHeight="1">
      <c r="A57" s="32"/>
      <c r="B57" s="29" t="s">
        <v>32</v>
      </c>
      <c r="C57" s="29" t="s">
        <v>238</v>
      </c>
      <c r="D57" s="29" t="s">
        <v>245</v>
      </c>
      <c r="E57" s="29">
        <v>73.93</v>
      </c>
      <c r="F57" s="29">
        <v>0.0</v>
      </c>
      <c r="G57" s="29">
        <v>0.0</v>
      </c>
      <c r="H57" s="29" t="s">
        <v>223</v>
      </c>
      <c r="I57" s="29">
        <v>0.0</v>
      </c>
      <c r="J57" s="29">
        <v>0.0</v>
      </c>
      <c r="K57" s="29" t="s">
        <v>164</v>
      </c>
      <c r="L57" s="29" t="s">
        <v>251</v>
      </c>
      <c r="M57" s="30"/>
      <c r="N57" s="29" t="s">
        <v>224</v>
      </c>
      <c r="O57" s="29">
        <v>0.74</v>
      </c>
      <c r="P57" s="29"/>
      <c r="Q57" s="30"/>
      <c r="R57" s="29">
        <v>0.0</v>
      </c>
      <c r="S57" s="29">
        <v>0.0</v>
      </c>
      <c r="T57" s="29">
        <v>0.0</v>
      </c>
      <c r="U57" s="29">
        <v>0.0</v>
      </c>
      <c r="V57" s="29">
        <v>0.0</v>
      </c>
      <c r="W57" s="29">
        <v>0.0</v>
      </c>
      <c r="X57" s="29"/>
      <c r="Y57" s="37"/>
      <c r="Z57" s="29">
        <v>0.0</v>
      </c>
      <c r="AA57" s="29">
        <v>0.0</v>
      </c>
      <c r="AB57" s="29" t="s">
        <v>164</v>
      </c>
      <c r="AC57" s="29">
        <v>0.0</v>
      </c>
      <c r="AD57" s="29">
        <v>0.0</v>
      </c>
      <c r="AE57" s="31">
        <v>43293.0</v>
      </c>
      <c r="AF57" s="29">
        <v>0.0</v>
      </c>
      <c r="AG57" s="29" t="s">
        <v>238</v>
      </c>
      <c r="AH57" s="29"/>
      <c r="AI57" s="29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</row>
    <row r="58" ht="15.75" customHeight="1">
      <c r="A58" s="32"/>
      <c r="B58" s="29" t="s">
        <v>32</v>
      </c>
      <c r="C58" s="29" t="s">
        <v>238</v>
      </c>
      <c r="D58" s="29" t="s">
        <v>245</v>
      </c>
      <c r="E58" s="29">
        <v>-38.1</v>
      </c>
      <c r="F58" s="29">
        <v>0.0</v>
      </c>
      <c r="G58" s="29">
        <v>0.0</v>
      </c>
      <c r="H58" s="29" t="s">
        <v>223</v>
      </c>
      <c r="I58" s="29">
        <v>0.0</v>
      </c>
      <c r="J58" s="29">
        <v>0.0</v>
      </c>
      <c r="K58" s="29" t="s">
        <v>164</v>
      </c>
      <c r="L58" s="29" t="s">
        <v>252</v>
      </c>
      <c r="M58" s="30"/>
      <c r="N58" s="29" t="s">
        <v>224</v>
      </c>
      <c r="O58" s="29">
        <v>0.74</v>
      </c>
      <c r="P58" s="29"/>
      <c r="Q58" s="30"/>
      <c r="R58" s="29">
        <v>0.0</v>
      </c>
      <c r="S58" s="29">
        <v>0.0</v>
      </c>
      <c r="T58" s="29">
        <v>0.0</v>
      </c>
      <c r="U58" s="29">
        <v>0.0</v>
      </c>
      <c r="V58" s="29">
        <v>0.0</v>
      </c>
      <c r="W58" s="29">
        <v>0.0</v>
      </c>
      <c r="X58" s="29"/>
      <c r="Y58" s="37"/>
      <c r="Z58" s="29">
        <v>0.0</v>
      </c>
      <c r="AA58" s="29">
        <v>0.0</v>
      </c>
      <c r="AB58" s="29" t="s">
        <v>164</v>
      </c>
      <c r="AC58" s="29">
        <v>0.0</v>
      </c>
      <c r="AD58" s="29">
        <v>0.0</v>
      </c>
      <c r="AE58" s="31">
        <v>43293.0</v>
      </c>
      <c r="AF58" s="29">
        <v>0.0</v>
      </c>
      <c r="AG58" s="29" t="s">
        <v>238</v>
      </c>
      <c r="AH58" s="29"/>
      <c r="AI58" s="29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</row>
    <row r="59" ht="15.75" customHeight="1">
      <c r="A59" s="32"/>
      <c r="B59" s="29" t="s">
        <v>32</v>
      </c>
      <c r="C59" s="29" t="s">
        <v>238</v>
      </c>
      <c r="D59" s="29" t="s">
        <v>245</v>
      </c>
      <c r="E59" s="29">
        <v>-73.93</v>
      </c>
      <c r="F59" s="29">
        <v>0.0</v>
      </c>
      <c r="G59" s="29">
        <v>0.0</v>
      </c>
      <c r="H59" s="29" t="s">
        <v>223</v>
      </c>
      <c r="I59" s="29">
        <v>0.0</v>
      </c>
      <c r="J59" s="29">
        <v>0.0</v>
      </c>
      <c r="K59" s="29" t="s">
        <v>164</v>
      </c>
      <c r="L59" s="29" t="s">
        <v>252</v>
      </c>
      <c r="M59" s="30"/>
      <c r="N59" s="29" t="s">
        <v>224</v>
      </c>
      <c r="O59" s="29">
        <v>0.74</v>
      </c>
      <c r="P59" s="29"/>
      <c r="Q59" s="30"/>
      <c r="R59" s="29">
        <v>0.0</v>
      </c>
      <c r="S59" s="29">
        <v>0.0</v>
      </c>
      <c r="T59" s="29">
        <v>0.0</v>
      </c>
      <c r="U59" s="29">
        <v>0.0</v>
      </c>
      <c r="V59" s="29">
        <v>0.0</v>
      </c>
      <c r="W59" s="29">
        <v>0.0</v>
      </c>
      <c r="X59" s="29"/>
      <c r="Y59" s="37"/>
      <c r="Z59" s="29">
        <v>0.0</v>
      </c>
      <c r="AA59" s="29">
        <v>0.0</v>
      </c>
      <c r="AB59" s="29" t="s">
        <v>164</v>
      </c>
      <c r="AC59" s="29">
        <v>0.0</v>
      </c>
      <c r="AD59" s="29">
        <v>0.0</v>
      </c>
      <c r="AE59" s="31">
        <v>43293.0</v>
      </c>
      <c r="AF59" s="29">
        <v>0.0</v>
      </c>
      <c r="AG59" s="29" t="s">
        <v>238</v>
      </c>
      <c r="AH59" s="29"/>
      <c r="AI59" s="29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</row>
    <row r="60" ht="15.75" customHeight="1">
      <c r="A60" s="32"/>
      <c r="B60" s="29" t="s">
        <v>32</v>
      </c>
      <c r="C60" s="29" t="s">
        <v>221</v>
      </c>
      <c r="D60" s="29" t="s">
        <v>233</v>
      </c>
      <c r="E60" s="29">
        <v>0.56</v>
      </c>
      <c r="F60" s="29">
        <v>0.0</v>
      </c>
      <c r="G60" s="29">
        <v>0.0</v>
      </c>
      <c r="H60" s="29" t="s">
        <v>241</v>
      </c>
      <c r="I60" s="29">
        <v>0.0</v>
      </c>
      <c r="J60" s="29">
        <v>0.0</v>
      </c>
      <c r="K60" s="29" t="s">
        <v>164</v>
      </c>
      <c r="L60" s="29" t="s">
        <v>235</v>
      </c>
      <c r="M60" s="36"/>
      <c r="N60" s="29" t="s">
        <v>224</v>
      </c>
      <c r="O60" s="29">
        <v>0.74</v>
      </c>
      <c r="P60" s="29"/>
      <c r="Q60" s="30"/>
      <c r="R60" s="29">
        <v>0.0</v>
      </c>
      <c r="S60" s="29">
        <v>0.0</v>
      </c>
      <c r="T60" s="29">
        <v>0.0</v>
      </c>
      <c r="U60" s="29">
        <v>0.0</v>
      </c>
      <c r="V60" s="29">
        <v>100.0</v>
      </c>
      <c r="W60" s="29">
        <v>0.0</v>
      </c>
      <c r="X60" s="29" t="s">
        <v>164</v>
      </c>
      <c r="Y60" s="30"/>
      <c r="Z60" s="29">
        <v>0.0</v>
      </c>
      <c r="AA60" s="29">
        <v>0.0</v>
      </c>
      <c r="AB60" s="29" t="s">
        <v>30</v>
      </c>
      <c r="AC60" s="29">
        <v>0.0</v>
      </c>
      <c r="AD60" s="29">
        <v>0.0</v>
      </c>
      <c r="AE60" s="31">
        <v>43293.0</v>
      </c>
      <c r="AF60" s="29">
        <v>0.0</v>
      </c>
      <c r="AG60" s="29" t="s">
        <v>236</v>
      </c>
      <c r="AH60" s="29"/>
      <c r="AI60" s="29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</row>
    <row r="61" ht="15.75" customHeight="1">
      <c r="A61" s="32"/>
      <c r="B61" s="29" t="s">
        <v>32</v>
      </c>
      <c r="C61" s="29" t="s">
        <v>221</v>
      </c>
      <c r="D61" s="29" t="s">
        <v>233</v>
      </c>
      <c r="E61" s="29">
        <v>0.0</v>
      </c>
      <c r="F61" s="29">
        <v>0.0</v>
      </c>
      <c r="G61" s="29">
        <v>0.0</v>
      </c>
      <c r="H61" s="29" t="s">
        <v>241</v>
      </c>
      <c r="I61" s="29">
        <v>0.0</v>
      </c>
      <c r="J61" s="29">
        <v>0.0</v>
      </c>
      <c r="K61" s="29" t="s">
        <v>164</v>
      </c>
      <c r="L61" s="29" t="s">
        <v>235</v>
      </c>
      <c r="M61" s="36"/>
      <c r="N61" s="29" t="s">
        <v>224</v>
      </c>
      <c r="O61" s="29">
        <v>0.74</v>
      </c>
      <c r="P61" s="29"/>
      <c r="Q61" s="30"/>
      <c r="R61" s="29">
        <v>0.0</v>
      </c>
      <c r="S61" s="29">
        <v>0.0</v>
      </c>
      <c r="T61" s="29">
        <v>0.0</v>
      </c>
      <c r="U61" s="29">
        <v>0.0</v>
      </c>
      <c r="V61" s="29">
        <v>50.0</v>
      </c>
      <c r="W61" s="29">
        <v>0.0</v>
      </c>
      <c r="X61" s="29" t="s">
        <v>164</v>
      </c>
      <c r="Y61" s="30"/>
      <c r="Z61" s="29">
        <v>0.0</v>
      </c>
      <c r="AA61" s="29">
        <v>0.0</v>
      </c>
      <c r="AB61" s="29" t="s">
        <v>30</v>
      </c>
      <c r="AC61" s="29">
        <v>0.0</v>
      </c>
      <c r="AD61" s="29">
        <v>0.0</v>
      </c>
      <c r="AE61" s="31">
        <v>43293.0</v>
      </c>
      <c r="AF61" s="29">
        <v>0.0</v>
      </c>
      <c r="AG61" s="29" t="s">
        <v>236</v>
      </c>
      <c r="AH61" s="29"/>
      <c r="AI61" s="29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</row>
    <row r="62" ht="15.75" customHeight="1">
      <c r="A62" s="32"/>
      <c r="B62" s="29" t="s">
        <v>32</v>
      </c>
      <c r="C62" s="29" t="s">
        <v>238</v>
      </c>
      <c r="D62" s="29" t="s">
        <v>239</v>
      </c>
      <c r="E62" s="29">
        <v>1154.89</v>
      </c>
      <c r="F62" s="29">
        <v>0.0</v>
      </c>
      <c r="G62" s="29">
        <v>0.0</v>
      </c>
      <c r="H62" s="29" t="s">
        <v>223</v>
      </c>
      <c r="I62" s="29">
        <v>0.0</v>
      </c>
      <c r="J62" s="29">
        <v>0.0</v>
      </c>
      <c r="K62" s="29" t="s">
        <v>165</v>
      </c>
      <c r="L62" s="29" t="s">
        <v>248</v>
      </c>
      <c r="M62" s="30"/>
      <c r="N62" s="29" t="s">
        <v>224</v>
      </c>
      <c r="O62" s="29">
        <v>1.0</v>
      </c>
      <c r="P62" s="29"/>
      <c r="Q62" s="30"/>
      <c r="R62" s="29">
        <v>0.0</v>
      </c>
      <c r="S62" s="29">
        <v>0.0</v>
      </c>
      <c r="T62" s="29">
        <v>0.0</v>
      </c>
      <c r="U62" s="29">
        <v>0.0</v>
      </c>
      <c r="V62" s="29">
        <v>0.0</v>
      </c>
      <c r="W62" s="29">
        <v>0.0</v>
      </c>
      <c r="X62" s="29"/>
      <c r="Y62" s="37"/>
      <c r="Z62" s="29">
        <v>0.0</v>
      </c>
      <c r="AA62" s="29">
        <v>0.0</v>
      </c>
      <c r="AB62" s="29" t="s">
        <v>164</v>
      </c>
      <c r="AC62" s="29">
        <v>0.0</v>
      </c>
      <c r="AD62" s="29">
        <v>0.0</v>
      </c>
      <c r="AE62" s="31">
        <v>43294.0</v>
      </c>
      <c r="AF62" s="29">
        <v>0.0</v>
      </c>
      <c r="AG62" s="29" t="s">
        <v>238</v>
      </c>
      <c r="AH62" s="29"/>
      <c r="AI62" s="29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</row>
    <row r="63" ht="15.75" customHeight="1">
      <c r="A63" s="32"/>
      <c r="B63" s="29" t="s">
        <v>32</v>
      </c>
      <c r="C63" s="29" t="s">
        <v>238</v>
      </c>
      <c r="D63" s="29" t="s">
        <v>239</v>
      </c>
      <c r="E63" s="29">
        <v>-611.99</v>
      </c>
      <c r="F63" s="29">
        <v>0.0</v>
      </c>
      <c r="G63" s="29">
        <v>0.0</v>
      </c>
      <c r="H63" s="29" t="s">
        <v>223</v>
      </c>
      <c r="I63" s="29">
        <v>0.0</v>
      </c>
      <c r="J63" s="29">
        <v>0.0</v>
      </c>
      <c r="K63" s="29" t="s">
        <v>165</v>
      </c>
      <c r="L63" s="29" t="s">
        <v>248</v>
      </c>
      <c r="M63" s="30"/>
      <c r="N63" s="29" t="s">
        <v>224</v>
      </c>
      <c r="O63" s="29">
        <v>1.0</v>
      </c>
      <c r="P63" s="29"/>
      <c r="Q63" s="30"/>
      <c r="R63" s="29">
        <v>0.0</v>
      </c>
      <c r="S63" s="29">
        <v>0.0</v>
      </c>
      <c r="T63" s="29">
        <v>0.0</v>
      </c>
      <c r="U63" s="29">
        <v>0.0</v>
      </c>
      <c r="V63" s="29">
        <v>0.0</v>
      </c>
      <c r="W63" s="29">
        <v>0.0</v>
      </c>
      <c r="X63" s="29"/>
      <c r="Y63" s="37"/>
      <c r="Z63" s="29">
        <v>0.0</v>
      </c>
      <c r="AA63" s="29">
        <v>0.0</v>
      </c>
      <c r="AB63" s="29" t="s">
        <v>164</v>
      </c>
      <c r="AC63" s="29">
        <v>0.0</v>
      </c>
      <c r="AD63" s="29">
        <v>0.0</v>
      </c>
      <c r="AE63" s="31">
        <v>43294.0</v>
      </c>
      <c r="AF63" s="29">
        <v>0.0</v>
      </c>
      <c r="AG63" s="29" t="s">
        <v>238</v>
      </c>
      <c r="AH63" s="29"/>
      <c r="AI63" s="29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</row>
    <row r="64" ht="15.75" customHeight="1">
      <c r="A64" s="32"/>
      <c r="B64" s="29" t="s">
        <v>32</v>
      </c>
      <c r="C64" s="29" t="s">
        <v>238</v>
      </c>
      <c r="D64" s="29" t="s">
        <v>239</v>
      </c>
      <c r="E64" s="29">
        <v>-2598.0</v>
      </c>
      <c r="F64" s="29">
        <v>0.0</v>
      </c>
      <c r="G64" s="29">
        <v>0.0</v>
      </c>
      <c r="H64" s="29" t="s">
        <v>223</v>
      </c>
      <c r="I64" s="29">
        <v>0.0</v>
      </c>
      <c r="J64" s="29">
        <v>0.0</v>
      </c>
      <c r="K64" s="29" t="s">
        <v>164</v>
      </c>
      <c r="L64" s="29" t="s">
        <v>248</v>
      </c>
      <c r="M64" s="30"/>
      <c r="N64" s="29" t="s">
        <v>224</v>
      </c>
      <c r="O64" s="29">
        <v>0.74</v>
      </c>
      <c r="P64" s="29"/>
      <c r="Q64" s="30"/>
      <c r="R64" s="29">
        <v>0.0</v>
      </c>
      <c r="S64" s="29">
        <v>0.0</v>
      </c>
      <c r="T64" s="29">
        <v>0.0</v>
      </c>
      <c r="U64" s="29">
        <v>0.0</v>
      </c>
      <c r="V64" s="29">
        <v>0.0</v>
      </c>
      <c r="W64" s="29">
        <v>0.0</v>
      </c>
      <c r="X64" s="29"/>
      <c r="Y64" s="37"/>
      <c r="Z64" s="29">
        <v>0.0</v>
      </c>
      <c r="AA64" s="29">
        <v>0.0</v>
      </c>
      <c r="AB64" s="29" t="s">
        <v>30</v>
      </c>
      <c r="AC64" s="29">
        <v>0.0</v>
      </c>
      <c r="AD64" s="29">
        <v>0.0</v>
      </c>
      <c r="AE64" s="31">
        <v>43294.0</v>
      </c>
      <c r="AF64" s="29">
        <v>0.0</v>
      </c>
      <c r="AG64" s="29" t="s">
        <v>238</v>
      </c>
      <c r="AH64" s="29"/>
      <c r="AI64" s="29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</row>
    <row r="65" ht="15.75" customHeight="1">
      <c r="A65" s="32"/>
      <c r="B65" s="29" t="s">
        <v>32</v>
      </c>
      <c r="C65" s="29" t="s">
        <v>238</v>
      </c>
      <c r="D65" s="29" t="s">
        <v>239</v>
      </c>
      <c r="E65" s="29">
        <v>1482.0</v>
      </c>
      <c r="F65" s="29">
        <v>0.0</v>
      </c>
      <c r="G65" s="29">
        <v>0.0</v>
      </c>
      <c r="H65" s="29" t="s">
        <v>223</v>
      </c>
      <c r="I65" s="29">
        <v>0.0</v>
      </c>
      <c r="J65" s="29">
        <v>0.0</v>
      </c>
      <c r="K65" s="29" t="s">
        <v>164</v>
      </c>
      <c r="L65" s="29" t="s">
        <v>248</v>
      </c>
      <c r="M65" s="30"/>
      <c r="N65" s="29" t="s">
        <v>224</v>
      </c>
      <c r="O65" s="29">
        <v>0.74</v>
      </c>
      <c r="P65" s="29"/>
      <c r="Q65" s="30"/>
      <c r="R65" s="29">
        <v>0.0</v>
      </c>
      <c r="S65" s="29">
        <v>0.0</v>
      </c>
      <c r="T65" s="29">
        <v>0.0</v>
      </c>
      <c r="U65" s="29">
        <v>0.0</v>
      </c>
      <c r="V65" s="29">
        <v>0.0</v>
      </c>
      <c r="W65" s="29">
        <v>0.0</v>
      </c>
      <c r="X65" s="29"/>
      <c r="Y65" s="37"/>
      <c r="Z65" s="29">
        <v>0.0</v>
      </c>
      <c r="AA65" s="29">
        <v>0.0</v>
      </c>
      <c r="AB65" s="29" t="s">
        <v>30</v>
      </c>
      <c r="AC65" s="29">
        <v>0.0</v>
      </c>
      <c r="AD65" s="29">
        <v>0.0</v>
      </c>
      <c r="AE65" s="31">
        <v>43294.0</v>
      </c>
      <c r="AF65" s="29">
        <v>0.0</v>
      </c>
      <c r="AG65" s="29" t="s">
        <v>238</v>
      </c>
      <c r="AH65" s="29"/>
      <c r="AI65" s="29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</row>
    <row r="66" ht="15.75" customHeight="1">
      <c r="A66" s="32"/>
      <c r="B66" s="29" t="s">
        <v>32</v>
      </c>
      <c r="C66" s="29" t="s">
        <v>238</v>
      </c>
      <c r="D66" s="29" t="s">
        <v>239</v>
      </c>
      <c r="E66" s="29">
        <v>-1154.74</v>
      </c>
      <c r="F66" s="29">
        <v>0.0</v>
      </c>
      <c r="G66" s="29">
        <v>0.0</v>
      </c>
      <c r="H66" s="29" t="s">
        <v>223</v>
      </c>
      <c r="I66" s="29">
        <v>0.0</v>
      </c>
      <c r="J66" s="29">
        <v>0.0</v>
      </c>
      <c r="K66" s="29" t="s">
        <v>165</v>
      </c>
      <c r="L66" s="29" t="s">
        <v>240</v>
      </c>
      <c r="M66" s="30"/>
      <c r="N66" s="29" t="s">
        <v>224</v>
      </c>
      <c r="O66" s="29">
        <v>1.0</v>
      </c>
      <c r="P66" s="29"/>
      <c r="Q66" s="30"/>
      <c r="R66" s="29">
        <v>0.0</v>
      </c>
      <c r="S66" s="29">
        <v>0.0</v>
      </c>
      <c r="T66" s="29">
        <v>0.0</v>
      </c>
      <c r="U66" s="29">
        <v>0.0</v>
      </c>
      <c r="V66" s="29">
        <v>0.0</v>
      </c>
      <c r="W66" s="29">
        <v>0.0</v>
      </c>
      <c r="X66" s="29"/>
      <c r="Y66" s="37"/>
      <c r="Z66" s="29">
        <v>0.0</v>
      </c>
      <c r="AA66" s="29">
        <v>0.0</v>
      </c>
      <c r="AB66" s="29" t="s">
        <v>164</v>
      </c>
      <c r="AC66" s="29">
        <v>0.0</v>
      </c>
      <c r="AD66" s="29">
        <v>0.0</v>
      </c>
      <c r="AE66" s="31">
        <v>43294.0</v>
      </c>
      <c r="AF66" s="29">
        <v>0.0</v>
      </c>
      <c r="AG66" s="29" t="s">
        <v>238</v>
      </c>
      <c r="AH66" s="29"/>
      <c r="AI66" s="29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</row>
    <row r="67" ht="15.75" customHeight="1">
      <c r="A67" s="32"/>
      <c r="B67" s="29" t="s">
        <v>32</v>
      </c>
      <c r="C67" s="29" t="s">
        <v>238</v>
      </c>
      <c r="D67" s="29" t="s">
        <v>239</v>
      </c>
      <c r="E67" s="29">
        <v>611.93</v>
      </c>
      <c r="F67" s="29">
        <v>0.0</v>
      </c>
      <c r="G67" s="29">
        <v>0.0</v>
      </c>
      <c r="H67" s="29" t="s">
        <v>223</v>
      </c>
      <c r="I67" s="29">
        <v>0.0</v>
      </c>
      <c r="J67" s="29">
        <v>0.0</v>
      </c>
      <c r="K67" s="29" t="s">
        <v>165</v>
      </c>
      <c r="L67" s="29" t="s">
        <v>240</v>
      </c>
      <c r="M67" s="30"/>
      <c r="N67" s="29" t="s">
        <v>224</v>
      </c>
      <c r="O67" s="29">
        <v>1.0</v>
      </c>
      <c r="P67" s="29"/>
      <c r="Q67" s="30"/>
      <c r="R67" s="29">
        <v>0.0</v>
      </c>
      <c r="S67" s="29">
        <v>0.0</v>
      </c>
      <c r="T67" s="29">
        <v>0.0</v>
      </c>
      <c r="U67" s="29">
        <v>0.0</v>
      </c>
      <c r="V67" s="29">
        <v>0.0</v>
      </c>
      <c r="W67" s="29">
        <v>0.0</v>
      </c>
      <c r="X67" s="29"/>
      <c r="Y67" s="37"/>
      <c r="Z67" s="29">
        <v>0.0</v>
      </c>
      <c r="AA67" s="29">
        <v>0.0</v>
      </c>
      <c r="AB67" s="29" t="s">
        <v>164</v>
      </c>
      <c r="AC67" s="29">
        <v>0.0</v>
      </c>
      <c r="AD67" s="29">
        <v>0.0</v>
      </c>
      <c r="AE67" s="31">
        <v>43294.0</v>
      </c>
      <c r="AF67" s="29">
        <v>0.0</v>
      </c>
      <c r="AG67" s="29" t="s">
        <v>238</v>
      </c>
      <c r="AH67" s="29"/>
      <c r="AI67" s="29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</row>
    <row r="68" ht="15.75" customHeight="1">
      <c r="A68" s="32"/>
      <c r="B68" s="29" t="s">
        <v>32</v>
      </c>
      <c r="C68" s="29" t="s">
        <v>238</v>
      </c>
      <c r="D68" s="29" t="s">
        <v>239</v>
      </c>
      <c r="E68" s="29">
        <v>3628.0</v>
      </c>
      <c r="F68" s="29">
        <v>0.0</v>
      </c>
      <c r="G68" s="29">
        <v>0.0</v>
      </c>
      <c r="H68" s="29" t="s">
        <v>223</v>
      </c>
      <c r="I68" s="29">
        <v>0.0</v>
      </c>
      <c r="J68" s="29">
        <v>0.0</v>
      </c>
      <c r="K68" s="29" t="s">
        <v>164</v>
      </c>
      <c r="L68" s="29" t="s">
        <v>240</v>
      </c>
      <c r="M68" s="30"/>
      <c r="N68" s="29" t="s">
        <v>224</v>
      </c>
      <c r="O68" s="29">
        <v>0.74</v>
      </c>
      <c r="P68" s="29"/>
      <c r="Q68" s="30"/>
      <c r="R68" s="29">
        <v>0.0</v>
      </c>
      <c r="S68" s="29">
        <v>0.0</v>
      </c>
      <c r="T68" s="29">
        <v>0.0</v>
      </c>
      <c r="U68" s="29">
        <v>0.0</v>
      </c>
      <c r="V68" s="29">
        <v>0.0</v>
      </c>
      <c r="W68" s="29">
        <v>0.0</v>
      </c>
      <c r="X68" s="29"/>
      <c r="Y68" s="37"/>
      <c r="Z68" s="29">
        <v>0.0</v>
      </c>
      <c r="AA68" s="29">
        <v>0.0</v>
      </c>
      <c r="AB68" s="29" t="s">
        <v>30</v>
      </c>
      <c r="AC68" s="29">
        <v>0.0</v>
      </c>
      <c r="AD68" s="29">
        <v>0.0</v>
      </c>
      <c r="AE68" s="31">
        <v>43294.0</v>
      </c>
      <c r="AF68" s="29">
        <v>0.0</v>
      </c>
      <c r="AG68" s="29" t="s">
        <v>238</v>
      </c>
      <c r="AH68" s="29"/>
      <c r="AI68" s="29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</row>
    <row r="69" ht="15.75" customHeight="1">
      <c r="A69" s="32"/>
      <c r="B69" s="29" t="s">
        <v>32</v>
      </c>
      <c r="C69" s="29" t="s">
        <v>238</v>
      </c>
      <c r="D69" s="29" t="s">
        <v>239</v>
      </c>
      <c r="E69" s="29">
        <v>-1997.0</v>
      </c>
      <c r="F69" s="29">
        <v>0.0</v>
      </c>
      <c r="G69" s="29">
        <v>0.0</v>
      </c>
      <c r="H69" s="29" t="s">
        <v>223</v>
      </c>
      <c r="I69" s="29">
        <v>0.0</v>
      </c>
      <c r="J69" s="29">
        <v>0.0</v>
      </c>
      <c r="K69" s="29" t="s">
        <v>164</v>
      </c>
      <c r="L69" s="29" t="s">
        <v>240</v>
      </c>
      <c r="M69" s="30"/>
      <c r="N69" s="29" t="s">
        <v>224</v>
      </c>
      <c r="O69" s="29">
        <v>0.74</v>
      </c>
      <c r="P69" s="29"/>
      <c r="Q69" s="30"/>
      <c r="R69" s="29">
        <v>0.0</v>
      </c>
      <c r="S69" s="29">
        <v>0.0</v>
      </c>
      <c r="T69" s="29">
        <v>0.0</v>
      </c>
      <c r="U69" s="29">
        <v>0.0</v>
      </c>
      <c r="V69" s="29">
        <v>0.0</v>
      </c>
      <c r="W69" s="29">
        <v>0.0</v>
      </c>
      <c r="X69" s="29"/>
      <c r="Y69" s="37"/>
      <c r="Z69" s="29">
        <v>0.0</v>
      </c>
      <c r="AA69" s="29">
        <v>0.0</v>
      </c>
      <c r="AB69" s="29" t="s">
        <v>30</v>
      </c>
      <c r="AC69" s="29">
        <v>0.0</v>
      </c>
      <c r="AD69" s="29">
        <v>0.0</v>
      </c>
      <c r="AE69" s="31">
        <v>43294.0</v>
      </c>
      <c r="AF69" s="29">
        <v>0.0</v>
      </c>
      <c r="AG69" s="29" t="s">
        <v>238</v>
      </c>
      <c r="AH69" s="29"/>
      <c r="AI69" s="29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</row>
    <row r="70" ht="15.75" customHeight="1">
      <c r="A70" s="32"/>
      <c r="B70" s="29" t="s">
        <v>32</v>
      </c>
      <c r="C70" s="29" t="s">
        <v>238</v>
      </c>
      <c r="D70" s="29" t="s">
        <v>242</v>
      </c>
      <c r="E70" s="29">
        <v>-1055.47</v>
      </c>
      <c r="F70" s="29">
        <v>0.0</v>
      </c>
      <c r="G70" s="29">
        <v>0.0</v>
      </c>
      <c r="H70" s="29" t="s">
        <v>223</v>
      </c>
      <c r="I70" s="29">
        <v>0.0</v>
      </c>
      <c r="J70" s="29">
        <v>0.0</v>
      </c>
      <c r="K70" s="29" t="s">
        <v>164</v>
      </c>
      <c r="L70" s="29" t="s">
        <v>249</v>
      </c>
      <c r="M70" s="30"/>
      <c r="N70" s="29" t="s">
        <v>224</v>
      </c>
      <c r="O70" s="29">
        <v>0.74</v>
      </c>
      <c r="P70" s="29"/>
      <c r="Q70" s="30"/>
      <c r="R70" s="29">
        <v>0.0</v>
      </c>
      <c r="S70" s="29">
        <v>0.0</v>
      </c>
      <c r="T70" s="29">
        <v>0.0</v>
      </c>
      <c r="U70" s="29">
        <v>0.0</v>
      </c>
      <c r="V70" s="29">
        <v>0.0</v>
      </c>
      <c r="W70" s="29">
        <v>0.0</v>
      </c>
      <c r="X70" s="29"/>
      <c r="Y70" s="37"/>
      <c r="Z70" s="29">
        <v>0.0</v>
      </c>
      <c r="AA70" s="29">
        <v>0.0</v>
      </c>
      <c r="AB70" s="29" t="s">
        <v>164</v>
      </c>
      <c r="AC70" s="29">
        <v>0.0</v>
      </c>
      <c r="AD70" s="29">
        <v>0.0</v>
      </c>
      <c r="AE70" s="31">
        <v>43294.0</v>
      </c>
      <c r="AF70" s="29">
        <v>0.0</v>
      </c>
      <c r="AG70" s="29" t="s">
        <v>238</v>
      </c>
      <c r="AH70" s="29"/>
      <c r="AI70" s="29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</row>
    <row r="71" ht="15.75" customHeight="1">
      <c r="A71" s="32"/>
      <c r="B71" s="29" t="s">
        <v>32</v>
      </c>
      <c r="C71" s="29" t="s">
        <v>238</v>
      </c>
      <c r="D71" s="29" t="s">
        <v>242</v>
      </c>
      <c r="E71" s="29">
        <v>1055.47</v>
      </c>
      <c r="F71" s="29">
        <v>0.0</v>
      </c>
      <c r="G71" s="29">
        <v>0.0</v>
      </c>
      <c r="H71" s="29" t="s">
        <v>223</v>
      </c>
      <c r="I71" s="29">
        <v>0.0</v>
      </c>
      <c r="J71" s="29">
        <v>0.0</v>
      </c>
      <c r="K71" s="29" t="s">
        <v>164</v>
      </c>
      <c r="L71" s="29" t="s">
        <v>250</v>
      </c>
      <c r="M71" s="30"/>
      <c r="N71" s="29" t="s">
        <v>224</v>
      </c>
      <c r="O71" s="29">
        <v>0.74</v>
      </c>
      <c r="P71" s="29"/>
      <c r="Q71" s="30"/>
      <c r="R71" s="29">
        <v>0.0</v>
      </c>
      <c r="S71" s="29">
        <v>0.0</v>
      </c>
      <c r="T71" s="29">
        <v>0.0</v>
      </c>
      <c r="U71" s="29">
        <v>0.0</v>
      </c>
      <c r="V71" s="29">
        <v>0.0</v>
      </c>
      <c r="W71" s="29">
        <v>0.0</v>
      </c>
      <c r="X71" s="29"/>
      <c r="Y71" s="37"/>
      <c r="Z71" s="29">
        <v>0.0</v>
      </c>
      <c r="AA71" s="29">
        <v>0.0</v>
      </c>
      <c r="AB71" s="29" t="s">
        <v>164</v>
      </c>
      <c r="AC71" s="29">
        <v>0.0</v>
      </c>
      <c r="AD71" s="29">
        <v>0.0</v>
      </c>
      <c r="AE71" s="31">
        <v>43294.0</v>
      </c>
      <c r="AF71" s="29">
        <v>0.0</v>
      </c>
      <c r="AG71" s="29" t="s">
        <v>238</v>
      </c>
      <c r="AH71" s="29"/>
      <c r="AI71" s="29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</row>
    <row r="72" ht="15.75" customHeight="1">
      <c r="A72" s="32"/>
      <c r="B72" s="29" t="s">
        <v>32</v>
      </c>
      <c r="C72" s="29" t="s">
        <v>238</v>
      </c>
      <c r="D72" s="29" t="s">
        <v>245</v>
      </c>
      <c r="E72" s="29">
        <v>38.66</v>
      </c>
      <c r="F72" s="29">
        <v>0.0</v>
      </c>
      <c r="G72" s="29">
        <v>0.0</v>
      </c>
      <c r="H72" s="29" t="s">
        <v>223</v>
      </c>
      <c r="I72" s="29">
        <v>0.0</v>
      </c>
      <c r="J72" s="29">
        <v>0.0</v>
      </c>
      <c r="K72" s="29" t="s">
        <v>164</v>
      </c>
      <c r="L72" s="29" t="s">
        <v>251</v>
      </c>
      <c r="M72" s="30"/>
      <c r="N72" s="29" t="s">
        <v>224</v>
      </c>
      <c r="O72" s="29">
        <v>0.74</v>
      </c>
      <c r="P72" s="29"/>
      <c r="Q72" s="30"/>
      <c r="R72" s="29">
        <v>0.0</v>
      </c>
      <c r="S72" s="29">
        <v>0.0</v>
      </c>
      <c r="T72" s="29">
        <v>0.0</v>
      </c>
      <c r="U72" s="29">
        <v>0.0</v>
      </c>
      <c r="V72" s="29">
        <v>0.0</v>
      </c>
      <c r="W72" s="29">
        <v>0.0</v>
      </c>
      <c r="X72" s="29"/>
      <c r="Y72" s="37"/>
      <c r="Z72" s="29">
        <v>0.0</v>
      </c>
      <c r="AA72" s="29">
        <v>0.0</v>
      </c>
      <c r="AB72" s="29" t="s">
        <v>164</v>
      </c>
      <c r="AC72" s="29">
        <v>0.0</v>
      </c>
      <c r="AD72" s="29">
        <v>0.0</v>
      </c>
      <c r="AE72" s="31">
        <v>43294.0</v>
      </c>
      <c r="AF72" s="29">
        <v>0.0</v>
      </c>
      <c r="AG72" s="29" t="s">
        <v>238</v>
      </c>
      <c r="AH72" s="29"/>
      <c r="AI72" s="29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</row>
    <row r="73" ht="15.75" customHeight="1">
      <c r="A73" s="32"/>
      <c r="B73" s="29" t="s">
        <v>32</v>
      </c>
      <c r="C73" s="29" t="s">
        <v>238</v>
      </c>
      <c r="D73" s="29" t="s">
        <v>245</v>
      </c>
      <c r="E73" s="29">
        <v>73.93</v>
      </c>
      <c r="F73" s="29">
        <v>0.0</v>
      </c>
      <c r="G73" s="29">
        <v>0.0</v>
      </c>
      <c r="H73" s="29" t="s">
        <v>223</v>
      </c>
      <c r="I73" s="29">
        <v>0.0</v>
      </c>
      <c r="J73" s="29">
        <v>0.0</v>
      </c>
      <c r="K73" s="29" t="s">
        <v>164</v>
      </c>
      <c r="L73" s="29" t="s">
        <v>251</v>
      </c>
      <c r="M73" s="30"/>
      <c r="N73" s="29" t="s">
        <v>224</v>
      </c>
      <c r="O73" s="29">
        <v>0.74</v>
      </c>
      <c r="P73" s="29"/>
      <c r="Q73" s="30"/>
      <c r="R73" s="29">
        <v>0.0</v>
      </c>
      <c r="S73" s="29">
        <v>0.0</v>
      </c>
      <c r="T73" s="29">
        <v>0.0</v>
      </c>
      <c r="U73" s="29">
        <v>0.0</v>
      </c>
      <c r="V73" s="29">
        <v>0.0</v>
      </c>
      <c r="W73" s="29">
        <v>0.0</v>
      </c>
      <c r="X73" s="29"/>
      <c r="Y73" s="37"/>
      <c r="Z73" s="29">
        <v>0.0</v>
      </c>
      <c r="AA73" s="29">
        <v>0.0</v>
      </c>
      <c r="AB73" s="29" t="s">
        <v>164</v>
      </c>
      <c r="AC73" s="29">
        <v>0.0</v>
      </c>
      <c r="AD73" s="29">
        <v>0.0</v>
      </c>
      <c r="AE73" s="31">
        <v>43294.0</v>
      </c>
      <c r="AF73" s="29">
        <v>0.0</v>
      </c>
      <c r="AG73" s="29" t="s">
        <v>238</v>
      </c>
      <c r="AH73" s="29"/>
      <c r="AI73" s="29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</row>
    <row r="74" ht="15.75" customHeight="1">
      <c r="A74" s="32"/>
      <c r="B74" s="29" t="s">
        <v>32</v>
      </c>
      <c r="C74" s="29" t="s">
        <v>238</v>
      </c>
      <c r="D74" s="29" t="s">
        <v>245</v>
      </c>
      <c r="E74" s="29">
        <v>-38.66</v>
      </c>
      <c r="F74" s="29">
        <v>0.0</v>
      </c>
      <c r="G74" s="29">
        <v>0.0</v>
      </c>
      <c r="H74" s="29" t="s">
        <v>223</v>
      </c>
      <c r="I74" s="29">
        <v>0.0</v>
      </c>
      <c r="J74" s="29">
        <v>0.0</v>
      </c>
      <c r="K74" s="29" t="s">
        <v>164</v>
      </c>
      <c r="L74" s="29" t="s">
        <v>252</v>
      </c>
      <c r="M74" s="30"/>
      <c r="N74" s="29" t="s">
        <v>224</v>
      </c>
      <c r="O74" s="29">
        <v>0.74</v>
      </c>
      <c r="P74" s="29"/>
      <c r="Q74" s="30"/>
      <c r="R74" s="29">
        <v>0.0</v>
      </c>
      <c r="S74" s="29">
        <v>0.0</v>
      </c>
      <c r="T74" s="29">
        <v>0.0</v>
      </c>
      <c r="U74" s="29">
        <v>0.0</v>
      </c>
      <c r="V74" s="29">
        <v>0.0</v>
      </c>
      <c r="W74" s="29">
        <v>0.0</v>
      </c>
      <c r="X74" s="29"/>
      <c r="Y74" s="37"/>
      <c r="Z74" s="29">
        <v>0.0</v>
      </c>
      <c r="AA74" s="29">
        <v>0.0</v>
      </c>
      <c r="AB74" s="29" t="s">
        <v>164</v>
      </c>
      <c r="AC74" s="29">
        <v>0.0</v>
      </c>
      <c r="AD74" s="29">
        <v>0.0</v>
      </c>
      <c r="AE74" s="31">
        <v>43294.0</v>
      </c>
      <c r="AF74" s="29">
        <v>0.0</v>
      </c>
      <c r="AG74" s="29" t="s">
        <v>238</v>
      </c>
      <c r="AH74" s="29"/>
      <c r="AI74" s="29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</row>
    <row r="75" ht="15.75" customHeight="1">
      <c r="A75" s="32"/>
      <c r="B75" s="29" t="s">
        <v>32</v>
      </c>
      <c r="C75" s="29" t="s">
        <v>238</v>
      </c>
      <c r="D75" s="29" t="s">
        <v>245</v>
      </c>
      <c r="E75" s="29">
        <v>-73.93</v>
      </c>
      <c r="F75" s="29">
        <v>0.0</v>
      </c>
      <c r="G75" s="29">
        <v>0.0</v>
      </c>
      <c r="H75" s="29" t="s">
        <v>223</v>
      </c>
      <c r="I75" s="29">
        <v>0.0</v>
      </c>
      <c r="J75" s="29">
        <v>0.0</v>
      </c>
      <c r="K75" s="29" t="s">
        <v>164</v>
      </c>
      <c r="L75" s="29" t="s">
        <v>252</v>
      </c>
      <c r="M75" s="30"/>
      <c r="N75" s="29" t="s">
        <v>224</v>
      </c>
      <c r="O75" s="29">
        <v>0.74</v>
      </c>
      <c r="P75" s="29"/>
      <c r="Q75" s="30"/>
      <c r="R75" s="29">
        <v>0.0</v>
      </c>
      <c r="S75" s="29">
        <v>0.0</v>
      </c>
      <c r="T75" s="29">
        <v>0.0</v>
      </c>
      <c r="U75" s="29">
        <v>0.0</v>
      </c>
      <c r="V75" s="29">
        <v>0.0</v>
      </c>
      <c r="W75" s="29">
        <v>0.0</v>
      </c>
      <c r="X75" s="29"/>
      <c r="Y75" s="37"/>
      <c r="Z75" s="29">
        <v>0.0</v>
      </c>
      <c r="AA75" s="29">
        <v>0.0</v>
      </c>
      <c r="AB75" s="29" t="s">
        <v>164</v>
      </c>
      <c r="AC75" s="29">
        <v>0.0</v>
      </c>
      <c r="AD75" s="29">
        <v>0.0</v>
      </c>
      <c r="AE75" s="31">
        <v>43294.0</v>
      </c>
      <c r="AF75" s="29">
        <v>0.0</v>
      </c>
      <c r="AG75" s="29" t="s">
        <v>238</v>
      </c>
      <c r="AH75" s="29"/>
      <c r="AI75" s="29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</row>
    <row r="76" ht="15.75" customHeight="1">
      <c r="A76" s="32"/>
      <c r="B76" s="29" t="s">
        <v>32</v>
      </c>
      <c r="C76" s="29" t="s">
        <v>221</v>
      </c>
      <c r="D76" s="29" t="s">
        <v>233</v>
      </c>
      <c r="E76" s="29">
        <v>0.56</v>
      </c>
      <c r="F76" s="29">
        <v>0.0</v>
      </c>
      <c r="G76" s="29">
        <v>0.0</v>
      </c>
      <c r="H76" s="29" t="s">
        <v>241</v>
      </c>
      <c r="I76" s="29">
        <v>0.0</v>
      </c>
      <c r="J76" s="29">
        <v>0.0</v>
      </c>
      <c r="K76" s="29" t="s">
        <v>164</v>
      </c>
      <c r="L76" s="29" t="s">
        <v>235</v>
      </c>
      <c r="M76" s="36"/>
      <c r="N76" s="29" t="s">
        <v>224</v>
      </c>
      <c r="O76" s="29">
        <v>0.74</v>
      </c>
      <c r="P76" s="29"/>
      <c r="Q76" s="30"/>
      <c r="R76" s="29">
        <v>0.0</v>
      </c>
      <c r="S76" s="29">
        <v>0.0</v>
      </c>
      <c r="T76" s="29">
        <v>0.0</v>
      </c>
      <c r="U76" s="29">
        <v>0.0</v>
      </c>
      <c r="V76" s="29">
        <v>100.0</v>
      </c>
      <c r="W76" s="29">
        <v>0.0</v>
      </c>
      <c r="X76" s="29" t="s">
        <v>164</v>
      </c>
      <c r="Y76" s="30"/>
      <c r="Z76" s="29">
        <v>0.0</v>
      </c>
      <c r="AA76" s="29">
        <v>0.0</v>
      </c>
      <c r="AB76" s="29" t="s">
        <v>30</v>
      </c>
      <c r="AC76" s="29">
        <v>0.0</v>
      </c>
      <c r="AD76" s="29">
        <v>0.0</v>
      </c>
      <c r="AE76" s="31">
        <v>43294.0</v>
      </c>
      <c r="AF76" s="29">
        <v>0.0</v>
      </c>
      <c r="AG76" s="29" t="s">
        <v>236</v>
      </c>
      <c r="AH76" s="29"/>
      <c r="AI76" s="29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</row>
    <row r="77" ht="15.75" customHeight="1">
      <c r="A77" s="32"/>
      <c r="B77" s="29" t="s">
        <v>32</v>
      </c>
      <c r="C77" s="29" t="s">
        <v>221</v>
      </c>
      <c r="D77" s="29" t="s">
        <v>233</v>
      </c>
      <c r="E77" s="29">
        <v>0.28</v>
      </c>
      <c r="F77" s="29">
        <v>0.0</v>
      </c>
      <c r="G77" s="29">
        <v>0.0</v>
      </c>
      <c r="H77" s="29" t="s">
        <v>241</v>
      </c>
      <c r="I77" s="29">
        <v>0.0</v>
      </c>
      <c r="J77" s="29">
        <v>0.0</v>
      </c>
      <c r="K77" s="29" t="s">
        <v>164</v>
      </c>
      <c r="L77" s="29" t="s">
        <v>235</v>
      </c>
      <c r="M77" s="36"/>
      <c r="N77" s="29" t="s">
        <v>224</v>
      </c>
      <c r="O77" s="29">
        <v>0.74</v>
      </c>
      <c r="P77" s="29"/>
      <c r="Q77" s="30"/>
      <c r="R77" s="29">
        <v>0.0</v>
      </c>
      <c r="S77" s="29">
        <v>0.0</v>
      </c>
      <c r="T77" s="29">
        <v>0.0</v>
      </c>
      <c r="U77" s="29">
        <v>0.0</v>
      </c>
      <c r="V77" s="29">
        <v>50.0</v>
      </c>
      <c r="W77" s="29">
        <v>0.0</v>
      </c>
      <c r="X77" s="29" t="s">
        <v>164</v>
      </c>
      <c r="Y77" s="30"/>
      <c r="Z77" s="29">
        <v>0.0</v>
      </c>
      <c r="AA77" s="29">
        <v>0.0</v>
      </c>
      <c r="AB77" s="29" t="s">
        <v>30</v>
      </c>
      <c r="AC77" s="29">
        <v>0.0</v>
      </c>
      <c r="AD77" s="29">
        <v>0.0</v>
      </c>
      <c r="AE77" s="31">
        <v>43294.0</v>
      </c>
      <c r="AF77" s="29">
        <v>0.0</v>
      </c>
      <c r="AG77" s="29" t="s">
        <v>236</v>
      </c>
      <c r="AH77" s="29"/>
      <c r="AI77" s="29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38</v>
      </c>
      <c r="D4" s="18" t="s">
        <v>39</v>
      </c>
      <c r="E4" s="18" t="s">
        <v>37</v>
      </c>
      <c r="F4" s="18" t="s">
        <v>40</v>
      </c>
      <c r="G4" s="18" t="s">
        <v>41</v>
      </c>
      <c r="H4" s="18" t="s">
        <v>42</v>
      </c>
      <c r="I4" s="18" t="s">
        <v>43</v>
      </c>
      <c r="J4" s="18" t="s">
        <v>44</v>
      </c>
      <c r="K4" s="18" t="s">
        <v>45</v>
      </c>
      <c r="L4" s="18" t="s">
        <v>46</v>
      </c>
      <c r="M4" s="18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61</v>
      </c>
      <c r="AB4" s="19" t="s">
        <v>62</v>
      </c>
      <c r="AC4" s="19" t="s">
        <v>63</v>
      </c>
      <c r="AD4" s="19" t="s">
        <v>64</v>
      </c>
      <c r="AE4" s="19" t="s">
        <v>65</v>
      </c>
      <c r="AF4" s="19" t="s">
        <v>66</v>
      </c>
      <c r="AG4" s="19" t="s">
        <v>67</v>
      </c>
      <c r="AH4" s="19" t="s">
        <v>68</v>
      </c>
      <c r="AI4" s="19" t="s">
        <v>69</v>
      </c>
      <c r="AJ4" s="19" t="s">
        <v>70</v>
      </c>
      <c r="AK4" s="19" t="s">
        <v>71</v>
      </c>
      <c r="AL4" s="19" t="s">
        <v>72</v>
      </c>
      <c r="AM4" s="19" t="s">
        <v>73</v>
      </c>
      <c r="AN4" s="19" t="s">
        <v>74</v>
      </c>
      <c r="AO4" s="19" t="s">
        <v>75</v>
      </c>
      <c r="AP4" s="19" t="s">
        <v>76</v>
      </c>
      <c r="AQ4" s="19" t="s">
        <v>77</v>
      </c>
      <c r="AR4" s="19" t="s">
        <v>78</v>
      </c>
      <c r="AS4" s="19" t="s">
        <v>79</v>
      </c>
      <c r="AT4" s="19" t="s">
        <v>80</v>
      </c>
      <c r="AU4" s="19" t="s">
        <v>80</v>
      </c>
      <c r="AV4" s="19" t="s">
        <v>81</v>
      </c>
      <c r="AW4" s="19" t="s">
        <v>82</v>
      </c>
      <c r="AX4" s="19" t="s">
        <v>83</v>
      </c>
      <c r="AY4" s="19" t="s">
        <v>84</v>
      </c>
      <c r="AZ4" s="19" t="s">
        <v>85</v>
      </c>
      <c r="BA4" s="19" t="s">
        <v>86</v>
      </c>
      <c r="BB4" s="19" t="s">
        <v>87</v>
      </c>
      <c r="BC4" s="19" t="s">
        <v>88</v>
      </c>
      <c r="BD4" s="19" t="s">
        <v>89</v>
      </c>
      <c r="BE4" s="19" t="s">
        <v>90</v>
      </c>
      <c r="BF4" s="19" t="s">
        <v>91</v>
      </c>
      <c r="BG4" s="19" t="s">
        <v>92</v>
      </c>
      <c r="BH4" s="19" t="s">
        <v>93</v>
      </c>
      <c r="BI4" s="19" t="s">
        <v>94</v>
      </c>
      <c r="BJ4" s="19" t="s">
        <v>95</v>
      </c>
      <c r="BK4" s="19" t="s">
        <v>96</v>
      </c>
      <c r="BL4" s="19" t="s">
        <v>97</v>
      </c>
      <c r="BM4" s="19" t="s">
        <v>98</v>
      </c>
      <c r="BN4" s="19" t="s">
        <v>39</v>
      </c>
      <c r="BO4" s="19" t="s">
        <v>99</v>
      </c>
      <c r="BP4" s="19" t="s">
        <v>100</v>
      </c>
      <c r="BQ4" s="19" t="s">
        <v>101</v>
      </c>
      <c r="BR4" s="19" t="s">
        <v>102</v>
      </c>
      <c r="BS4" s="19" t="s">
        <v>103</v>
      </c>
      <c r="BT4" s="19" t="s">
        <v>104</v>
      </c>
      <c r="BU4" s="19" t="s">
        <v>105</v>
      </c>
      <c r="BV4" s="19" t="s">
        <v>106</v>
      </c>
      <c r="BW4" s="19" t="s">
        <v>107</v>
      </c>
      <c r="BX4" s="19" t="s">
        <v>108</v>
      </c>
      <c r="BY4" s="19" t="s">
        <v>109</v>
      </c>
      <c r="BZ4" s="19" t="s">
        <v>110</v>
      </c>
      <c r="CA4" s="19" t="s">
        <v>111</v>
      </c>
      <c r="CB4" s="19" t="s">
        <v>112</v>
      </c>
      <c r="CC4" s="19" t="s">
        <v>113</v>
      </c>
      <c r="CD4" s="19" t="s">
        <v>114</v>
      </c>
      <c r="CE4" s="19" t="s">
        <v>115</v>
      </c>
      <c r="CF4" s="19" t="s">
        <v>116</v>
      </c>
      <c r="CG4" s="19" t="s">
        <v>117</v>
      </c>
      <c r="CH4" s="19" t="s">
        <v>118</v>
      </c>
      <c r="CI4" s="19" t="s">
        <v>119</v>
      </c>
      <c r="CJ4" s="19" t="s">
        <v>120</v>
      </c>
      <c r="CK4" s="19" t="s">
        <v>121</v>
      </c>
      <c r="CL4" s="19" t="s">
        <v>122</v>
      </c>
      <c r="CM4" s="19" t="s">
        <v>122</v>
      </c>
      <c r="CN4" s="19" t="s">
        <v>123</v>
      </c>
      <c r="CO4" s="19" t="s">
        <v>124</v>
      </c>
      <c r="CP4" s="19" t="s">
        <v>125</v>
      </c>
      <c r="CQ4" s="19" t="s">
        <v>126</v>
      </c>
      <c r="CR4" s="19" t="s">
        <v>127</v>
      </c>
      <c r="CS4" s="19" t="s">
        <v>128</v>
      </c>
      <c r="CT4" s="19" t="s">
        <v>129</v>
      </c>
      <c r="CU4" s="19" t="s">
        <v>130</v>
      </c>
      <c r="CV4" s="19" t="s">
        <v>131</v>
      </c>
      <c r="CW4" s="19" t="s">
        <v>132</v>
      </c>
      <c r="CX4" s="19" t="s">
        <v>62</v>
      </c>
      <c r="CY4" s="19" t="s">
        <v>63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IFERROR(__xludf.DUMMYFUNCTION("""COMPUTED_VALUE"""),"Quantity")</f>
        <v>Quantity</v>
      </c>
      <c r="D5" s="21" t="str">
        <f>IFERROR(__xludf.DUMMYFUNCTION("""COMPUTED_VALUE"""),"Trade Date")</f>
        <v>Trade Date</v>
      </c>
      <c r="E5" s="21" t="str">
        <f>IFERROR(__xludf.DUMMYFUNCTION("""COMPUTED_VALUE"""),"Account Name")</f>
        <v>Account Name</v>
      </c>
      <c r="F5" s="21" t="str">
        <f>IFERROR(__xludf.DUMMYFUNCTION("""COMPUTED_VALUE"""),"Side")</f>
        <v>Side</v>
      </c>
      <c r="G5" s="21" t="str">
        <f>IFERROR(__xludf.DUMMYFUNCTION("""COMPUTED_VALUE"""),"Group Status")</f>
        <v>Group Status</v>
      </c>
      <c r="H5" s="21" t="str">
        <f>IFERROR(__xludf.DUMMYFUNCTION("""COMPUTED_VALUE"""),"Avg Price(Base)")</f>
        <v>Avg Price(Base)</v>
      </c>
      <c r="I5" s="21" t="str">
        <f>IFERROR(__xludf.DUMMYFUNCTION("""COMPUTED_VALUE"""),"Execution Time")</f>
        <v>Execution Time</v>
      </c>
      <c r="J5" s="21" t="str">
        <f>IFERROR(__xludf.DUMMYFUNCTION("""COMPUTED_VALUE"""),"Trade Attribute 1")</f>
        <v>Trade Attribute 1</v>
      </c>
      <c r="K5" s="21" t="str">
        <f>IFERROR(__xludf.DUMMYFUNCTION("""COMPUTED_VALUE"""),"Avg Price(Local)")</f>
        <v>Avg Price(Local)</v>
      </c>
      <c r="L5" s="21" t="str">
        <f>IFERROR(__xludf.DUMMYFUNCTION("""COMPUTED_VALUE"""),"Trade Attribute 2")</f>
        <v>Trade Attribute 2</v>
      </c>
      <c r="M5" s="21" t="str">
        <f>IFERROR(__xludf.DUMMYFUNCTION("""COMPUTED_VALUE"""),"Accrued Interest")</f>
        <v>Accrued Interest</v>
      </c>
      <c r="N5" s="21" t="str">
        <f>IFERROR(__xludf.DUMMYFUNCTION("""COMPUTED_VALUE"""),"Commission")</f>
        <v>Commission</v>
      </c>
      <c r="O5" s="21" t="str">
        <f>IFERROR(__xludf.DUMMYFUNCTION("""COMPUTED_VALUE"""),"Soft Commission")</f>
        <v>Soft Commission</v>
      </c>
      <c r="P5" s="21" t="str">
        <f>IFERROR(__xludf.DUMMYFUNCTION("""COMPUTED_VALUE"""),"Broker")</f>
        <v>Broker</v>
      </c>
      <c r="Q5" s="21" t="str">
        <f>IFERROR(__xludf.DUMMYFUNCTION("""COMPUTED_VALUE"""),"Transaction Type")</f>
        <v>Transaction Type</v>
      </c>
      <c r="R5" s="21" t="str">
        <f>IFERROR(__xludf.DUMMYFUNCTION("""COMPUTED_VALUE"""),"AUEC Fee1")</f>
        <v>AUEC Fee1</v>
      </c>
      <c r="S5" s="21" t="str">
        <f>IFERROR(__xludf.DUMMYFUNCTION("""COMPUTED_VALUE"""),"AUEC Fee2")</f>
        <v>AUEC Fee2</v>
      </c>
      <c r="T5" s="22" t="str">
        <f>IFERROR(__xludf.DUMMYFUNCTION("""COMPUTED_VALUE"""),"Clearing Broker Fee")</f>
        <v>Clearing Broker Fee</v>
      </c>
      <c r="U5" s="22" t="str">
        <f>IFERROR(__xludf.DUMMYFUNCTION("""COMPUTED_VALUE"""),"Other Broker Fees")</f>
        <v>Other Broker Fees</v>
      </c>
      <c r="V5" s="22" t="str">
        <f>IFERROR(__xludf.DUMMYFUNCTION("""COMPUTED_VALUE"""),"OCC Fee")</f>
        <v>OCC Fee</v>
      </c>
      <c r="W5" s="22" t="str">
        <f>IFERROR(__xludf.DUMMYFUNCTION("""COMPUTED_VALUE"""),"SEC Fee")</f>
        <v>SEC Fee</v>
      </c>
      <c r="X5" s="22" t="str">
        <f>IFERROR(__xludf.DUMMYFUNCTION("""COMPUTED_VALUE"""),"ORF Fee")</f>
        <v>ORF Fee</v>
      </c>
      <c r="Y5" s="22" t="str">
        <f>IFERROR(__xludf.DUMMYFUNCTION("""COMPUTED_VALUE"""),"IsPreAllocated")</f>
        <v>IsPreAllocated</v>
      </c>
      <c r="Z5" s="22" t="str">
        <f>IFERROR(__xludf.DUMMYFUNCTION("""COMPUTED_VALUE"""),"Stamp Duty")</f>
        <v>Stamp Duty</v>
      </c>
      <c r="AA5" s="22" t="str">
        <f>IFERROR(__xludf.DUMMYFUNCTION("""COMPUTED_VALUE"""),"IsManual Group")</f>
        <v>IsManual Group</v>
      </c>
      <c r="AB5" s="22" t="str">
        <f>IFERROR(__xludf.DUMMYFUNCTION("""COMPUTED_VALUE"""),"Tax On Commissions")</f>
        <v>Tax On Commissions</v>
      </c>
      <c r="AC5" s="22" t="str">
        <f>IFERROR(__xludf.DUMMYFUNCTION("""COMPUTED_VALUE"""),"IsAnotherTaxlotAttributesUpdated")</f>
        <v>IsAnotherTaxlotAttributesUpdated</v>
      </c>
      <c r="AD5" s="22" t="str">
        <f>IFERROR(__xludf.DUMMYFUNCTION("""COMPUTED_VALUE"""),"ISNDF")</f>
        <v>ISNDF</v>
      </c>
      <c r="AE5" s="22" t="str">
        <f>IFERROR(__xludf.DUMMYFUNCTION("""COMPUTED_VALUE"""),"Transaction Levy")</f>
        <v>Transaction Levy</v>
      </c>
      <c r="AF5" s="22" t="str">
        <f>IFERROR(__xludf.DUMMYFUNCTION("""COMPUTED_VALUE"""),"Description")</f>
        <v>Description</v>
      </c>
      <c r="AG5" s="22" t="str">
        <f>IFERROR(__xludf.DUMMYFUNCTION("""COMPUTED_VALUE"""),"GroupID")</f>
        <v>GroupID</v>
      </c>
      <c r="AH5" s="22" t="str">
        <f>IFERROR(__xludf.DUMMYFUNCTION("""COMPUTED_VALUE"""),"Internal Comments")</f>
        <v>Internal Comments</v>
      </c>
      <c r="AI5" s="22" t="str">
        <f>IFERROR(__xludf.DUMMYFUNCTION("""COMPUTED_VALUE"""),"M2MProfitLoss")</f>
        <v>M2MProfitLoss</v>
      </c>
      <c r="AJ5" s="22" t="str">
        <f>IFERROR(__xludf.DUMMYFUNCTION("""COMPUTED_VALUE"""),"FX Rate")</f>
        <v>FX Rate</v>
      </c>
      <c r="AK5" s="22" t="str">
        <f>IFERROR(__xludf.DUMMYFUNCTION("""COMPUTED_VALUE"""),"FX Conversion Operator")</f>
        <v>FX Conversion Operator</v>
      </c>
      <c r="AL5" s="22" t="str">
        <f>IFERROR(__xludf.DUMMYFUNCTION("""COMPUTED_VALUE"""),"Trade Attribute 3")</f>
        <v>Trade Attribute 3</v>
      </c>
      <c r="AM5" s="22" t="str">
        <f>IFERROR(__xludf.DUMMYFUNCTION("""COMPUTED_VALUE"""),"Trade Attribute 4")</f>
        <v>Trade Attribute 4</v>
      </c>
      <c r="AN5" s="22" t="str">
        <f>IFERROR(__xludf.DUMMYFUNCTION("""COMPUTED_VALUE"""),"Trade Attribute 5")</f>
        <v>Trade Attribute 5</v>
      </c>
      <c r="AO5" s="22" t="str">
        <f>IFERROR(__xludf.DUMMYFUNCTION("""COMPUTED_VALUE"""),"Trade Attribute 6")</f>
        <v>Trade Attribute 6</v>
      </c>
      <c r="AP5" s="22" t="str">
        <f>IFERROR(__xludf.DUMMYFUNCTION("""COMPUTED_VALUE"""),"Put Or Call")</f>
        <v>Put Or Call</v>
      </c>
      <c r="AQ5" s="22" t="str">
        <f>IFERROR(__xludf.DUMMYFUNCTION("""COMPUTED_VALUE"""),"Allocated Qty")</f>
        <v>Allocated Qty</v>
      </c>
      <c r="AR5" s="22" t="str">
        <f>IFERROR(__xludf.DUMMYFUNCTION("""COMPUTED_VALUE"""),"Total Commission And Fee")</f>
        <v>Total Commission And Fee</v>
      </c>
      <c r="AS5" s="22" t="str">
        <f>IFERROR(__xludf.DUMMYFUNCTION("""COMPUTED_VALUE"""),"Executed Qty")</f>
        <v>Executed Qty</v>
      </c>
      <c r="AT5" s="22" t="str">
        <f>IFERROR(__xludf.DUMMYFUNCTION("""COMPUTED_VALUE"""),"Net Amount( Local)")</f>
        <v>Net Amount( Local)</v>
      </c>
      <c r="AU5" s="22" t="str">
        <f>IFERROR(__xludf.DUMMYFUNCTION("""COMPUTED_VALUE"""),"Net Amount( Base)")</f>
        <v>Net Amount( Base)</v>
      </c>
      <c r="AV5" s="22" t="str">
        <f>IFERROR(__xludf.DUMMYFUNCTION("""COMPUTED_VALUE"""),"UnAllocatedQty")</f>
        <v>UnAllocatedQty</v>
      </c>
      <c r="AW5" s="22" t="str">
        <f>IFERROR(__xludf.DUMMYFUNCTION("""COMPUTED_VALUE"""),"Option Premium Adjustment")</f>
        <v>Option Premium Adjustment</v>
      </c>
      <c r="AX5" s="22" t="str">
        <f>IFERROR(__xludf.DUMMYFUNCTION("""COMPUTED_VALUE"""),"Principal Amount( Local)")</f>
        <v>Principal Amount( Local)</v>
      </c>
      <c r="AY5" s="22" t="str">
        <f>IFERROR(__xludf.DUMMYFUNCTION("""COMPUTED_VALUE"""),"Principal Amount( Base)")</f>
        <v>Principal Amount( Base)</v>
      </c>
      <c r="AZ5" s="22" t="str">
        <f>IFERROR(__xludf.DUMMYFUNCTION("""COMPUTED_VALUE"""),"Settlement Currency")</f>
        <v>Settlement Currency</v>
      </c>
      <c r="BA5" s="22" t="str">
        <f>IFERROR(__xludf.DUMMYFUNCTION("""COMPUTED_VALUE"""),"User")</f>
        <v>User</v>
      </c>
      <c r="BB5" s="22" t="str">
        <f>IFERROR(__xludf.DUMMYFUNCTION("""COMPUTED_VALUE"""),"Asset Category")</f>
        <v>Asset Category</v>
      </c>
      <c r="BC5" s="22" t="str">
        <f>IFERROR(__xludf.DUMMYFUNCTION("""COMPUTED_VALUE"""),"Change Type")</f>
        <v>Change Type</v>
      </c>
      <c r="BD5" s="22" t="str">
        <f>IFERROR(__xludf.DUMMYFUNCTION("""COMPUTED_VALUE"""),"Strategy Name")</f>
        <v>Strategy Name</v>
      </c>
      <c r="BE5" s="22" t="str">
        <f>IFERROR(__xludf.DUMMYFUNCTION("""COMPUTED_VALUE"""),"Prana Msg Type")</f>
        <v>Prana Msg Type</v>
      </c>
      <c r="BF5" s="22" t="str">
        <f>IFERROR(__xludf.DUMMYFUNCTION("""COMPUTED_VALUE"""),"Total Commission")</f>
        <v>Total Commission</v>
      </c>
      <c r="BG5" s="22" t="str">
        <f>IFERROR(__xludf.DUMMYFUNCTION("""COMPUTED_VALUE"""),"Commission Per Share")</f>
        <v>Commission Per Share</v>
      </c>
      <c r="BH5" s="22" t="str">
        <f>IFERROR(__xludf.DUMMYFUNCTION("""COMPUTED_VALUE"""),"Soft Commission Per Share")</f>
        <v>Soft Commission Per Share</v>
      </c>
      <c r="BI5" s="22" t="str">
        <f>IFERROR(__xludf.DUMMYFUNCTION("""COMPUTED_VALUE"""),"Total Commission Per Share")</f>
        <v>Total Commission Per Share</v>
      </c>
      <c r="BJ5" s="22" t="str">
        <f>IFERROR(__xludf.DUMMYFUNCTION("""COMPUTED_VALUE"""),"Closing Status")</f>
        <v>Closing Status</v>
      </c>
      <c r="BK5" s="22" t="str">
        <f>IFERROR(__xludf.DUMMYFUNCTION("""COMPUTED_VALUE"""),"Closing Method")</f>
        <v>Closing Method</v>
      </c>
      <c r="BL5" s="22" t="str">
        <f>IFERROR(__xludf.DUMMYFUNCTION("""COMPUTED_VALUE"""),"Allocation Scheme Name")</f>
        <v>Allocation Scheme Name</v>
      </c>
      <c r="BM5" s="22" t="str">
        <f>IFERROR(__xludf.DUMMYFUNCTION("""COMPUTED_VALUE"""),"Change Comment")</f>
        <v>Change Comment</v>
      </c>
      <c r="BN5" s="22" t="str">
        <f>IFERROR(__xludf.DUMMYFUNCTION("""COMPUTED_VALUE"""),"Order Type")</f>
        <v>Order Type</v>
      </c>
      <c r="BO5" s="22" t="str">
        <f>IFERROR(__xludf.DUMMYFUNCTION("""COMPUTED_VALUE"""),"Underlying")</f>
        <v>Underlying</v>
      </c>
      <c r="BP5" s="22" t="str">
        <f>IFERROR(__xludf.DUMMYFUNCTION("""COMPUTED_VALUE"""),"Exchange")</f>
        <v>Exchange</v>
      </c>
      <c r="BQ5" s="22" t="str">
        <f>IFERROR(__xludf.DUMMYFUNCTION("""COMPUTED_VALUE"""),"Currency")</f>
        <v>Currency</v>
      </c>
      <c r="BR5" s="22" t="str">
        <f>IFERROR(__xludf.DUMMYFUNCTION("""COMPUTED_VALUE"""),"AUECID")</f>
        <v>AUECID</v>
      </c>
      <c r="BS5" s="22" t="str">
        <f>IFERROR(__xludf.DUMMYFUNCTION("""COMPUTED_VALUE"""),"Trading Account")</f>
        <v>Trading Account</v>
      </c>
      <c r="BT5" s="22" t="str">
        <f>IFERROR(__xludf.DUMMYFUNCTION("""COMPUTED_VALUE"""),"Venue")</f>
        <v>Venue</v>
      </c>
      <c r="BU5" s="22" t="str">
        <f>IFERROR(__xludf.DUMMYFUNCTION("""COMPUTED_VALUE"""),"Cum Qty For Sub Order")</f>
        <v>Cum Qty For Sub Order</v>
      </c>
      <c r="BV5" s="22" t="str">
        <f>IFERROR(__xludf.DUMMYFUNCTION("""COMPUTED_VALUE"""),"Contract Multiplier")</f>
        <v>Contract Multiplier</v>
      </c>
      <c r="BW5" s="22" t="str">
        <f>IFERROR(__xludf.DUMMYFUNCTION("""COMPUTED_VALUE"""),"Company")</f>
        <v>Company</v>
      </c>
      <c r="BX5" s="22" t="str">
        <f>IFERROR(__xludf.DUMMYFUNCTION("""COMPUTED_VALUE"""),"Nirvana Process Date")</f>
        <v>Nirvana Process Date</v>
      </c>
      <c r="BY5" s="22" t="str">
        <f>IFERROR(__xludf.DUMMYFUNCTION("""COMPUTED_VALUE"""),"Process Date")</f>
        <v>Process Date</v>
      </c>
      <c r="BZ5" s="22" t="str">
        <f>IFERROR(__xludf.DUMMYFUNCTION("""COMPUTED_VALUE"""),"Original Purchase Date")</f>
        <v>Original Purchase Date</v>
      </c>
      <c r="CA5" s="22" t="str">
        <f>IFERROR(__xludf.DUMMYFUNCTION("""COMPUTED_VALUE"""),"Closing Date")</f>
        <v>Closing Date</v>
      </c>
      <c r="CB5" s="22" t="str">
        <f>IFERROR(__xludf.DUMMYFUNCTION("""COMPUTED_VALUE"""),"Settlement Date")</f>
        <v>Settlement Date</v>
      </c>
      <c r="CC5" s="22" t="str">
        <f>IFERROR(__xludf.DUMMYFUNCTION("""COMPUTED_VALUE"""),"Expiration Date")</f>
        <v>Expiration Date</v>
      </c>
      <c r="CD5" s="22" t="str">
        <f>IFERROR(__xludf.DUMMYFUNCTION("""COMPUTED_VALUE"""),"Underlying Symbol")</f>
        <v>Underlying Symbol</v>
      </c>
      <c r="CE5" s="22" t="str">
        <f>IFERROR(__xludf.DUMMYFUNCTION("""COMPUTED_VALUE"""),"Accrual Basis")</f>
        <v>Accrual Basis</v>
      </c>
      <c r="CF5" s="22" t="str">
        <f>IFERROR(__xludf.DUMMYFUNCTION("""COMPUTED_VALUE"""),"Bond Type")</f>
        <v>Bond Type</v>
      </c>
      <c r="CG5" s="22" t="str">
        <f>IFERROR(__xludf.DUMMYFUNCTION("""COMPUTED_VALUE"""),"Coupon Rate")</f>
        <v>Coupon Rate</v>
      </c>
      <c r="CH5" s="22" t="str">
        <f>IFERROR(__xludf.DUMMYFUNCTION("""COMPUTED_VALUE"""),"Delta")</f>
        <v>Delta</v>
      </c>
      <c r="CI5" s="22" t="str">
        <f>IFERROR(__xludf.DUMMYFUNCTION("""COMPUTED_VALUE"""),"Bloomberg")</f>
        <v>Bloomberg</v>
      </c>
      <c r="CJ5" s="22" t="str">
        <f>IFERROR(__xludf.DUMMYFUNCTION("""COMPUTED_VALUE"""),"Sedol Symbol")</f>
        <v>Sedol Symbol</v>
      </c>
      <c r="CK5" s="22" t="str">
        <f>IFERROR(__xludf.DUMMYFUNCTION("""COMPUTED_VALUE"""),"Cusip Symbol")</f>
        <v>Cusip Symbol</v>
      </c>
      <c r="CL5" s="22" t="str">
        <f>IFERROR(__xludf.DUMMYFUNCTION("""COMPUTED_VALUE"""),"ISIN")</f>
        <v>ISIN</v>
      </c>
      <c r="CM5" s="22" t="str">
        <f>IFERROR(__xludf.DUMMYFUNCTION("""COMPUTED_VALUE"""),"OSISSymbol")</f>
        <v>OSISSymbol</v>
      </c>
      <c r="CN5" s="22" t="str">
        <f>IFERROR(__xludf.DUMMYFUNCTION("""COMPUTED_VALUE"""),"IDCOSymbol")</f>
        <v>IDCOSymbol</v>
      </c>
      <c r="CO5" s="22" t="str">
        <f>IFERROR(__xludf.DUMMYFUNCTION("""COMPUTED_VALUE"""),"Underlying Delta")</f>
        <v>Underlying Delta</v>
      </c>
      <c r="CP5" s="22" t="str">
        <f>IFERROR(__xludf.DUMMYFUNCTION("""COMPUTED_VALUE"""),"Proxy Symbol")</f>
        <v>Proxy Symbol</v>
      </c>
      <c r="CQ5" s="22" t="str">
        <f>IFERROR(__xludf.DUMMYFUNCTION("""COMPUTED_VALUE"""),"Transaction Source")</f>
        <v>Transaction Source</v>
      </c>
      <c r="CR5" s="22" t="str">
        <f>IFERROR(__xludf.DUMMYFUNCTION("""COMPUTED_VALUE"""),"Import File Name")</f>
        <v>Import File Name</v>
      </c>
      <c r="CS5" s="22" t="str">
        <f>IFERROR(__xludf.DUMMYFUNCTION("""COMPUTED_VALUE"""),"MasterFund")</f>
        <v>MasterFund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3"/>
      <c r="B6" s="3" t="s">
        <v>30</v>
      </c>
      <c r="C6" s="3">
        <v>100.0</v>
      </c>
      <c r="D6" s="25">
        <v>43290.0</v>
      </c>
      <c r="E6" s="23" t="s">
        <v>32</v>
      </c>
      <c r="F6" s="3" t="s">
        <v>31</v>
      </c>
      <c r="G6" s="3"/>
      <c r="H6" s="3"/>
      <c r="I6" s="3"/>
      <c r="J6" s="3"/>
      <c r="K6" s="3"/>
      <c r="L6" s="3"/>
      <c r="M6" s="3"/>
      <c r="N6" s="3"/>
      <c r="O6" s="3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92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38</v>
      </c>
      <c r="D4" s="18" t="s">
        <v>39</v>
      </c>
      <c r="E4" s="18" t="s">
        <v>37</v>
      </c>
      <c r="F4" s="18" t="s">
        <v>40</v>
      </c>
      <c r="G4" s="18" t="s">
        <v>41</v>
      </c>
      <c r="H4" s="18" t="s">
        <v>42</v>
      </c>
      <c r="I4" s="18" t="s">
        <v>43</v>
      </c>
      <c r="J4" s="18" t="s">
        <v>44</v>
      </c>
      <c r="K4" s="18" t="s">
        <v>45</v>
      </c>
      <c r="L4" s="18" t="s">
        <v>46</v>
      </c>
      <c r="M4" s="18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61</v>
      </c>
      <c r="AB4" s="19" t="s">
        <v>62</v>
      </c>
      <c r="AC4" s="19" t="s">
        <v>63</v>
      </c>
      <c r="AD4" s="19" t="s">
        <v>64</v>
      </c>
      <c r="AE4" s="19" t="s">
        <v>65</v>
      </c>
      <c r="AF4" s="19" t="s">
        <v>66</v>
      </c>
      <c r="AG4" s="19" t="s">
        <v>67</v>
      </c>
      <c r="AH4" s="19" t="s">
        <v>68</v>
      </c>
      <c r="AI4" s="19" t="s">
        <v>69</v>
      </c>
      <c r="AJ4" s="19" t="s">
        <v>70</v>
      </c>
      <c r="AK4" s="19" t="s">
        <v>71</v>
      </c>
      <c r="AL4" s="19" t="s">
        <v>72</v>
      </c>
      <c r="AM4" s="19" t="s">
        <v>73</v>
      </c>
      <c r="AN4" s="19" t="s">
        <v>74</v>
      </c>
      <c r="AO4" s="19" t="s">
        <v>75</v>
      </c>
      <c r="AP4" s="19" t="s">
        <v>76</v>
      </c>
      <c r="AQ4" s="19" t="s">
        <v>77</v>
      </c>
      <c r="AR4" s="19" t="s">
        <v>78</v>
      </c>
      <c r="AS4" s="19" t="s">
        <v>79</v>
      </c>
      <c r="AT4" s="19" t="s">
        <v>80</v>
      </c>
      <c r="AU4" s="19" t="s">
        <v>80</v>
      </c>
      <c r="AV4" s="19" t="s">
        <v>81</v>
      </c>
      <c r="AW4" s="19" t="s">
        <v>82</v>
      </c>
      <c r="AX4" s="19" t="s">
        <v>83</v>
      </c>
      <c r="AY4" s="19" t="s">
        <v>84</v>
      </c>
      <c r="AZ4" s="19" t="s">
        <v>85</v>
      </c>
      <c r="BA4" s="19" t="s">
        <v>86</v>
      </c>
      <c r="BB4" s="19" t="s">
        <v>87</v>
      </c>
      <c r="BC4" s="19" t="s">
        <v>88</v>
      </c>
      <c r="BD4" s="19" t="s">
        <v>89</v>
      </c>
      <c r="BE4" s="19" t="s">
        <v>90</v>
      </c>
      <c r="BF4" s="19" t="s">
        <v>91</v>
      </c>
      <c r="BG4" s="19" t="s">
        <v>92</v>
      </c>
      <c r="BH4" s="19" t="s">
        <v>93</v>
      </c>
      <c r="BI4" s="19" t="s">
        <v>94</v>
      </c>
      <c r="BJ4" s="19" t="s">
        <v>95</v>
      </c>
      <c r="BK4" s="19" t="s">
        <v>96</v>
      </c>
      <c r="BL4" s="19" t="s">
        <v>97</v>
      </c>
      <c r="BM4" s="19" t="s">
        <v>98</v>
      </c>
      <c r="BN4" s="19" t="s">
        <v>39</v>
      </c>
      <c r="BO4" s="19" t="s">
        <v>99</v>
      </c>
      <c r="BP4" s="19" t="s">
        <v>100</v>
      </c>
      <c r="BQ4" s="19" t="s">
        <v>101</v>
      </c>
      <c r="BR4" s="19" t="s">
        <v>102</v>
      </c>
      <c r="BS4" s="19" t="s">
        <v>103</v>
      </c>
      <c r="BT4" s="19" t="s">
        <v>104</v>
      </c>
      <c r="BU4" s="19" t="s">
        <v>105</v>
      </c>
      <c r="BV4" s="19" t="s">
        <v>106</v>
      </c>
      <c r="BW4" s="19" t="s">
        <v>107</v>
      </c>
      <c r="BX4" s="19" t="s">
        <v>108</v>
      </c>
      <c r="BY4" s="19" t="s">
        <v>109</v>
      </c>
      <c r="BZ4" s="19" t="s">
        <v>110</v>
      </c>
      <c r="CA4" s="19" t="s">
        <v>111</v>
      </c>
      <c r="CB4" s="19" t="s">
        <v>112</v>
      </c>
      <c r="CC4" s="19" t="s">
        <v>113</v>
      </c>
      <c r="CD4" s="19" t="s">
        <v>114</v>
      </c>
      <c r="CE4" s="19" t="s">
        <v>115</v>
      </c>
      <c r="CF4" s="19" t="s">
        <v>116</v>
      </c>
      <c r="CG4" s="19" t="s">
        <v>117</v>
      </c>
      <c r="CH4" s="19" t="s">
        <v>118</v>
      </c>
      <c r="CI4" s="19" t="s">
        <v>119</v>
      </c>
      <c r="CJ4" s="19" t="s">
        <v>120</v>
      </c>
      <c r="CK4" s="19" t="s">
        <v>121</v>
      </c>
      <c r="CL4" s="19" t="s">
        <v>122</v>
      </c>
      <c r="CM4" s="19" t="s">
        <v>122</v>
      </c>
      <c r="CN4" s="19" t="s">
        <v>123</v>
      </c>
      <c r="CO4" s="19" t="s">
        <v>124</v>
      </c>
      <c r="CP4" s="19" t="s">
        <v>125</v>
      </c>
      <c r="CQ4" s="19" t="s">
        <v>126</v>
      </c>
      <c r="CR4" s="19" t="s">
        <v>127</v>
      </c>
      <c r="CS4" s="19" t="s">
        <v>128</v>
      </c>
      <c r="CT4" s="19" t="s">
        <v>129</v>
      </c>
      <c r="CU4" s="19" t="s">
        <v>130</v>
      </c>
      <c r="CV4" s="19" t="s">
        <v>131</v>
      </c>
      <c r="CW4" s="19" t="s">
        <v>132</v>
      </c>
      <c r="CX4" s="19" t="s">
        <v>62</v>
      </c>
      <c r="CY4" s="19" t="s">
        <v>63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IFERROR(__xludf.DUMMYFUNCTION("""COMPUTED_VALUE"""),"AvgPrice")</f>
        <v>AvgPrice</v>
      </c>
      <c r="C5" s="21" t="str">
        <f>IFERROR(__xludf.DUMMYFUNCTION("""COMPUTED_VALUE"""),"Commission")</f>
        <v>Commission</v>
      </c>
      <c r="D5" s="21" t="str">
        <f>IFERROR(__xludf.DUMMYFUNCTION("""COMPUTED_VALUE"""),"SoftCommission")</f>
        <v>SoftCommission</v>
      </c>
      <c r="E5" s="21" t="str">
        <f>IFERROR(__xludf.DUMMYFUNCTION("""COMPUTED_VALUE"""),"OtherBrokerFees")</f>
        <v>OtherBrokerFees</v>
      </c>
      <c r="F5" s="21" t="str">
        <f>IFERROR(__xludf.DUMMYFUNCTION("""COMPUTED_VALUE"""),"ClearingBrokerFees")</f>
        <v>ClearingBrokerFees</v>
      </c>
      <c r="G5" s="21" t="str">
        <f>IFERROR(__xludf.DUMMYFUNCTION("""COMPUTED_VALUE"""),"StampDuty")</f>
        <v>StampDuty</v>
      </c>
      <c r="H5" s="21" t="str">
        <f>IFERROR(__xludf.DUMMYFUNCTION("""COMPUTED_VALUE"""),"TransactionLevy")</f>
        <v>TransactionLevy</v>
      </c>
      <c r="I5" s="21" t="str">
        <f>IFERROR(__xludf.DUMMYFUNCTION("""COMPUTED_VALUE"""),"AUECFee1")</f>
        <v>AUECFee1</v>
      </c>
      <c r="J5" s="21" t="str">
        <f>IFERROR(__xludf.DUMMYFUNCTION("""COMPUTED_VALUE"""),"TaxOnCommissions")</f>
        <v>TaxOnCommissions</v>
      </c>
      <c r="K5" s="21" t="str">
        <f>IFERROR(__xludf.DUMMYFUNCTION("""COMPUTED_VALUE"""),"AUECFee2")</f>
        <v>AUECFee2</v>
      </c>
      <c r="L5" s="21" t="str">
        <f>IFERROR(__xludf.DUMMYFUNCTION("""COMPUTED_VALUE"""),"SecFee")</f>
        <v>SecFee</v>
      </c>
      <c r="M5" s="21" t="str">
        <f>IFERROR(__xludf.DUMMYFUNCTION("""COMPUTED_VALUE"""),"OccFee")</f>
        <v>OccFee</v>
      </c>
      <c r="N5" s="21" t="str">
        <f>IFERROR(__xludf.DUMMYFUNCTION("""COMPUTED_VALUE"""),"OrfFee")</f>
        <v>OrfFee</v>
      </c>
      <c r="O5" s="21" t="str">
        <f>IFERROR(__xludf.DUMMYFUNCTION("""COMPUTED_VALUE"""),"Broker")</f>
        <v>Broker</v>
      </c>
      <c r="P5" s="21" t="str">
        <f>IFERROR(__xludf.DUMMYFUNCTION("""COMPUTED_VALUE"""),"Venue")</f>
        <v>Venue</v>
      </c>
      <c r="Q5" s="21" t="str">
        <f>IFERROR(__xludf.DUMMYFUNCTION("""COMPUTED_VALUE"""),"Description")</f>
        <v>Description</v>
      </c>
      <c r="R5" s="21" t="str">
        <f>IFERROR(__xludf.DUMMYFUNCTION("""COMPUTED_VALUE"""),"InternalComments")</f>
        <v>InternalComments</v>
      </c>
      <c r="S5" s="21" t="str">
        <f>IFERROR(__xludf.DUMMYFUNCTION("""COMPUTED_VALUE"""),"FXRate")</f>
        <v>FXRate</v>
      </c>
      <c r="T5" s="22" t="str">
        <f>IFERROR(__xludf.DUMMYFUNCTION("""COMPUTED_VALUE"""),"FxConvOperator")</f>
        <v>FxConvOperator</v>
      </c>
      <c r="U5" s="22" t="str">
        <f>IFERROR(__xludf.DUMMYFUNCTION("""COMPUTED_VALUE"""),"AccruedInterest")</f>
        <v>AccruedInterest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IFERROR(__xludf.DUMMYFUNCTION("""COMPUTED_VALUE"""),"SettlementCurrency")</f>
        <v>SettlementCurrency</v>
      </c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U6">
        <v>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40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38</v>
      </c>
      <c r="D4" s="18" t="s">
        <v>39</v>
      </c>
      <c r="E4" s="18" t="s">
        <v>37</v>
      </c>
      <c r="F4" s="18" t="s">
        <v>40</v>
      </c>
      <c r="G4" s="18" t="s">
        <v>41</v>
      </c>
      <c r="H4" s="18" t="s">
        <v>42</v>
      </c>
      <c r="I4" s="18" t="s">
        <v>43</v>
      </c>
      <c r="J4" s="18" t="s">
        <v>44</v>
      </c>
      <c r="K4" s="18" t="s">
        <v>45</v>
      </c>
      <c r="L4" s="18" t="s">
        <v>46</v>
      </c>
      <c r="M4" s="18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61</v>
      </c>
      <c r="AB4" s="19" t="s">
        <v>62</v>
      </c>
      <c r="AC4" s="19" t="s">
        <v>63</v>
      </c>
      <c r="AD4" s="19" t="s">
        <v>64</v>
      </c>
      <c r="AE4" s="19" t="s">
        <v>65</v>
      </c>
      <c r="AF4" s="19" t="s">
        <v>66</v>
      </c>
      <c r="AG4" s="19" t="s">
        <v>67</v>
      </c>
      <c r="AH4" s="19" t="s">
        <v>68</v>
      </c>
      <c r="AI4" s="19" t="s">
        <v>69</v>
      </c>
      <c r="AJ4" s="19" t="s">
        <v>70</v>
      </c>
      <c r="AK4" s="19" t="s">
        <v>71</v>
      </c>
      <c r="AL4" s="19" t="s">
        <v>72</v>
      </c>
      <c r="AM4" s="19" t="s">
        <v>73</v>
      </c>
      <c r="AN4" s="19" t="s">
        <v>74</v>
      </c>
      <c r="AO4" s="19" t="s">
        <v>75</v>
      </c>
      <c r="AP4" s="19" t="s">
        <v>76</v>
      </c>
      <c r="AQ4" s="19" t="s">
        <v>77</v>
      </c>
      <c r="AR4" s="19" t="s">
        <v>78</v>
      </c>
      <c r="AS4" s="19" t="s">
        <v>79</v>
      </c>
      <c r="AT4" s="19" t="s">
        <v>80</v>
      </c>
      <c r="AU4" s="19" t="s">
        <v>80</v>
      </c>
      <c r="AV4" s="19" t="s">
        <v>81</v>
      </c>
      <c r="AW4" s="19" t="s">
        <v>82</v>
      </c>
      <c r="AX4" s="19" t="s">
        <v>83</v>
      </c>
      <c r="AY4" s="19" t="s">
        <v>84</v>
      </c>
      <c r="AZ4" s="19" t="s">
        <v>85</v>
      </c>
      <c r="BA4" s="19" t="s">
        <v>86</v>
      </c>
      <c r="BB4" s="19" t="s">
        <v>87</v>
      </c>
      <c r="BC4" s="19" t="s">
        <v>88</v>
      </c>
      <c r="BD4" s="19" t="s">
        <v>89</v>
      </c>
      <c r="BE4" s="19" t="s">
        <v>90</v>
      </c>
      <c r="BF4" s="19" t="s">
        <v>91</v>
      </c>
      <c r="BG4" s="19" t="s">
        <v>92</v>
      </c>
      <c r="BH4" s="19" t="s">
        <v>93</v>
      </c>
      <c r="BI4" s="19" t="s">
        <v>94</v>
      </c>
      <c r="BJ4" s="19" t="s">
        <v>95</v>
      </c>
      <c r="BK4" s="19" t="s">
        <v>96</v>
      </c>
      <c r="BL4" s="19" t="s">
        <v>97</v>
      </c>
      <c r="BM4" s="19" t="s">
        <v>98</v>
      </c>
      <c r="BN4" s="19" t="s">
        <v>39</v>
      </c>
      <c r="BO4" s="19" t="s">
        <v>99</v>
      </c>
      <c r="BP4" s="19" t="s">
        <v>100</v>
      </c>
      <c r="BQ4" s="19" t="s">
        <v>101</v>
      </c>
      <c r="BR4" s="19" t="s">
        <v>102</v>
      </c>
      <c r="BS4" s="19" t="s">
        <v>103</v>
      </c>
      <c r="BT4" s="19" t="s">
        <v>104</v>
      </c>
      <c r="BU4" s="19" t="s">
        <v>105</v>
      </c>
      <c r="BV4" s="19" t="s">
        <v>106</v>
      </c>
      <c r="BW4" s="19" t="s">
        <v>107</v>
      </c>
      <c r="BX4" s="19" t="s">
        <v>108</v>
      </c>
      <c r="BY4" s="19" t="s">
        <v>109</v>
      </c>
      <c r="BZ4" s="19" t="s">
        <v>110</v>
      </c>
      <c r="CA4" s="19" t="s">
        <v>111</v>
      </c>
      <c r="CB4" s="19" t="s">
        <v>112</v>
      </c>
      <c r="CC4" s="19" t="s">
        <v>113</v>
      </c>
      <c r="CD4" s="19" t="s">
        <v>114</v>
      </c>
      <c r="CE4" s="19" t="s">
        <v>115</v>
      </c>
      <c r="CF4" s="19" t="s">
        <v>116</v>
      </c>
      <c r="CG4" s="19" t="s">
        <v>117</v>
      </c>
      <c r="CH4" s="19" t="s">
        <v>118</v>
      </c>
      <c r="CI4" s="19" t="s">
        <v>119</v>
      </c>
      <c r="CJ4" s="19" t="s">
        <v>120</v>
      </c>
      <c r="CK4" s="19" t="s">
        <v>121</v>
      </c>
      <c r="CL4" s="19" t="s">
        <v>122</v>
      </c>
      <c r="CM4" s="19" t="s">
        <v>122</v>
      </c>
      <c r="CN4" s="19" t="s">
        <v>123</v>
      </c>
      <c r="CO4" s="19" t="s">
        <v>124</v>
      </c>
      <c r="CP4" s="19" t="s">
        <v>125</v>
      </c>
      <c r="CQ4" s="19" t="s">
        <v>126</v>
      </c>
      <c r="CR4" s="19" t="s">
        <v>127</v>
      </c>
      <c r="CS4" s="19" t="s">
        <v>128</v>
      </c>
      <c r="CT4" s="19" t="s">
        <v>129</v>
      </c>
      <c r="CU4" s="19" t="s">
        <v>130</v>
      </c>
      <c r="CV4" s="19" t="s">
        <v>131</v>
      </c>
      <c r="CW4" s="19" t="s">
        <v>132</v>
      </c>
      <c r="CX4" s="19" t="s">
        <v>62</v>
      </c>
      <c r="CY4" s="19" t="s">
        <v>63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IFERROR(__xludf.DUMMYFUNCTION("""COMPUTED_VALUE"""),"Quantity")</f>
        <v>Quantity</v>
      </c>
      <c r="D5" s="21" t="str">
        <f>IFERROR(__xludf.DUMMYFUNCTION("""COMPUTED_VALUE"""),"Trade Date")</f>
        <v>Trade Date</v>
      </c>
      <c r="E5" s="21" t="str">
        <f>IFERROR(__xludf.DUMMYFUNCTION("""COMPUTED_VALUE"""),"Account Name")</f>
        <v>Account Name</v>
      </c>
      <c r="F5" s="21" t="str">
        <f>IFERROR(__xludf.DUMMYFUNCTION("""COMPUTED_VALUE"""),"Side")</f>
        <v>Side</v>
      </c>
      <c r="G5" s="21" t="str">
        <f>IFERROR(__xludf.DUMMYFUNCTION("""COMPUTED_VALUE"""),"Group Status")</f>
        <v>Group Status</v>
      </c>
      <c r="H5" s="21" t="str">
        <f>IFERROR(__xludf.DUMMYFUNCTION("""COMPUTED_VALUE"""),"Avg Price(Base)")</f>
        <v>Avg Price(Base)</v>
      </c>
      <c r="I5" s="21" t="str">
        <f>IFERROR(__xludf.DUMMYFUNCTION("""COMPUTED_VALUE"""),"Execution Time")</f>
        <v>Execution Time</v>
      </c>
      <c r="J5" s="21" t="str">
        <f>IFERROR(__xludf.DUMMYFUNCTION("""COMPUTED_VALUE"""),"Trade Attribute 1")</f>
        <v>Trade Attribute 1</v>
      </c>
      <c r="K5" s="21" t="str">
        <f>IFERROR(__xludf.DUMMYFUNCTION("""COMPUTED_VALUE"""),"Avg Price(Local)")</f>
        <v>Avg Price(Local)</v>
      </c>
      <c r="L5" s="21" t="str">
        <f>IFERROR(__xludf.DUMMYFUNCTION("""COMPUTED_VALUE"""),"Trade Attribute 2")</f>
        <v>Trade Attribute 2</v>
      </c>
      <c r="M5" s="21" t="str">
        <f>IFERROR(__xludf.DUMMYFUNCTION("""COMPUTED_VALUE"""),"Accrued Interest")</f>
        <v>Accrued Interest</v>
      </c>
      <c r="N5" s="21" t="str">
        <f>IFERROR(__xludf.DUMMYFUNCTION("""COMPUTED_VALUE"""),"Commission")</f>
        <v>Commission</v>
      </c>
      <c r="O5" s="21" t="str">
        <f>IFERROR(__xludf.DUMMYFUNCTION("""COMPUTED_VALUE"""),"Soft Commission")</f>
        <v>Soft Commission</v>
      </c>
      <c r="P5" s="21" t="str">
        <f>IFERROR(__xludf.DUMMYFUNCTION("""COMPUTED_VALUE"""),"Broker")</f>
        <v>Broker</v>
      </c>
      <c r="Q5" s="21" t="str">
        <f>IFERROR(__xludf.DUMMYFUNCTION("""COMPUTED_VALUE"""),"Transaction Type")</f>
        <v>Transaction Type</v>
      </c>
      <c r="R5" s="21" t="str">
        <f>IFERROR(__xludf.DUMMYFUNCTION("""COMPUTED_VALUE"""),"AUEC Fee1")</f>
        <v>AUEC Fee1</v>
      </c>
      <c r="S5" s="21" t="str">
        <f>IFERROR(__xludf.DUMMYFUNCTION("""COMPUTED_VALUE"""),"AUEC Fee2")</f>
        <v>AUEC Fee2</v>
      </c>
      <c r="T5" s="22" t="str">
        <f>IFERROR(__xludf.DUMMYFUNCTION("""COMPUTED_VALUE"""),"Clearing Broker Fee")</f>
        <v>Clearing Broker Fee</v>
      </c>
      <c r="U5" s="22" t="str">
        <f>IFERROR(__xludf.DUMMYFUNCTION("""COMPUTED_VALUE"""),"Other Broker Fees")</f>
        <v>Other Broker Fees</v>
      </c>
      <c r="V5" s="22" t="str">
        <f>IFERROR(__xludf.DUMMYFUNCTION("""COMPUTED_VALUE"""),"OCC Fee")</f>
        <v>OCC Fee</v>
      </c>
      <c r="W5" s="22" t="str">
        <f>IFERROR(__xludf.DUMMYFUNCTION("""COMPUTED_VALUE"""),"SEC Fee")</f>
        <v>SEC Fee</v>
      </c>
      <c r="X5" s="22" t="str">
        <f>IFERROR(__xludf.DUMMYFUNCTION("""COMPUTED_VALUE"""),"ORF Fee")</f>
        <v>ORF Fee</v>
      </c>
      <c r="Y5" s="22" t="str">
        <f>IFERROR(__xludf.DUMMYFUNCTION("""COMPUTED_VALUE"""),"IsPreAllocated")</f>
        <v>IsPreAllocated</v>
      </c>
      <c r="Z5" s="22" t="str">
        <f>IFERROR(__xludf.DUMMYFUNCTION("""COMPUTED_VALUE"""),"Stamp Duty")</f>
        <v>Stamp Duty</v>
      </c>
      <c r="AA5" s="22" t="str">
        <f>IFERROR(__xludf.DUMMYFUNCTION("""COMPUTED_VALUE"""),"IsManual Group")</f>
        <v>IsManual Group</v>
      </c>
      <c r="AB5" s="22" t="str">
        <f>IFERROR(__xludf.DUMMYFUNCTION("""COMPUTED_VALUE"""),"Tax On Commissions")</f>
        <v>Tax On Commissions</v>
      </c>
      <c r="AC5" s="22" t="str">
        <f>IFERROR(__xludf.DUMMYFUNCTION("""COMPUTED_VALUE"""),"IsAnotherTaxlotAttributesUpdated")</f>
        <v>IsAnotherTaxlotAttributesUpdated</v>
      </c>
      <c r="AD5" s="22" t="str">
        <f>IFERROR(__xludf.DUMMYFUNCTION("""COMPUTED_VALUE"""),"ISNDF")</f>
        <v>ISNDF</v>
      </c>
      <c r="AE5" s="22" t="str">
        <f>IFERROR(__xludf.DUMMYFUNCTION("""COMPUTED_VALUE"""),"Transaction Levy")</f>
        <v>Transaction Levy</v>
      </c>
      <c r="AF5" s="22" t="str">
        <f>IFERROR(__xludf.DUMMYFUNCTION("""COMPUTED_VALUE"""),"Description")</f>
        <v>Description</v>
      </c>
      <c r="AG5" s="22" t="str">
        <f>IFERROR(__xludf.DUMMYFUNCTION("""COMPUTED_VALUE"""),"GroupID")</f>
        <v>GroupID</v>
      </c>
      <c r="AH5" s="22" t="str">
        <f>IFERROR(__xludf.DUMMYFUNCTION("""COMPUTED_VALUE"""),"Internal Comments")</f>
        <v>Internal Comments</v>
      </c>
      <c r="AI5" s="22" t="str">
        <f>IFERROR(__xludf.DUMMYFUNCTION("""COMPUTED_VALUE"""),"M2MProfitLoss")</f>
        <v>M2MProfitLoss</v>
      </c>
      <c r="AJ5" s="22" t="str">
        <f>IFERROR(__xludf.DUMMYFUNCTION("""COMPUTED_VALUE"""),"FX Rate")</f>
        <v>FX Rate</v>
      </c>
      <c r="AK5" s="22" t="str">
        <f>IFERROR(__xludf.DUMMYFUNCTION("""COMPUTED_VALUE"""),"FX Conversion Operator")</f>
        <v>FX Conversion Operator</v>
      </c>
      <c r="AL5" s="22" t="str">
        <f>IFERROR(__xludf.DUMMYFUNCTION("""COMPUTED_VALUE"""),"Trade Attribute 3")</f>
        <v>Trade Attribute 3</v>
      </c>
      <c r="AM5" s="22" t="str">
        <f>IFERROR(__xludf.DUMMYFUNCTION("""COMPUTED_VALUE"""),"Trade Attribute 4")</f>
        <v>Trade Attribute 4</v>
      </c>
      <c r="AN5" s="22" t="str">
        <f>IFERROR(__xludf.DUMMYFUNCTION("""COMPUTED_VALUE"""),"Trade Attribute 5")</f>
        <v>Trade Attribute 5</v>
      </c>
      <c r="AO5" s="22" t="str">
        <f>IFERROR(__xludf.DUMMYFUNCTION("""COMPUTED_VALUE"""),"Trade Attribute 6")</f>
        <v>Trade Attribute 6</v>
      </c>
      <c r="AP5" s="22" t="str">
        <f>IFERROR(__xludf.DUMMYFUNCTION("""COMPUTED_VALUE"""),"Put Or Call")</f>
        <v>Put Or Call</v>
      </c>
      <c r="AQ5" s="22" t="str">
        <f>IFERROR(__xludf.DUMMYFUNCTION("""COMPUTED_VALUE"""),"Allocated Qty")</f>
        <v>Allocated Qty</v>
      </c>
      <c r="AR5" s="22" t="str">
        <f>IFERROR(__xludf.DUMMYFUNCTION("""COMPUTED_VALUE"""),"Total Commission And Fee")</f>
        <v>Total Commission And Fee</v>
      </c>
      <c r="AS5" s="22" t="str">
        <f>IFERROR(__xludf.DUMMYFUNCTION("""COMPUTED_VALUE"""),"Executed Qty")</f>
        <v>Executed Qty</v>
      </c>
      <c r="AT5" s="22" t="str">
        <f>IFERROR(__xludf.DUMMYFUNCTION("""COMPUTED_VALUE"""),"Net Amount( Local)")</f>
        <v>Net Amount( Local)</v>
      </c>
      <c r="AU5" s="22" t="str">
        <f>IFERROR(__xludf.DUMMYFUNCTION("""COMPUTED_VALUE"""),"Net Amount( Base)")</f>
        <v>Net Amount( Base)</v>
      </c>
      <c r="AV5" s="22" t="str">
        <f>IFERROR(__xludf.DUMMYFUNCTION("""COMPUTED_VALUE"""),"UnAllocatedQty")</f>
        <v>UnAllocatedQty</v>
      </c>
      <c r="AW5" s="22" t="str">
        <f>IFERROR(__xludf.DUMMYFUNCTION("""COMPUTED_VALUE"""),"Option Premium Adjustment")</f>
        <v>Option Premium Adjustment</v>
      </c>
      <c r="AX5" s="22" t="str">
        <f>IFERROR(__xludf.DUMMYFUNCTION("""COMPUTED_VALUE"""),"Principal Amount( Local)")</f>
        <v>Principal Amount( Local)</v>
      </c>
      <c r="AY5" s="22" t="str">
        <f>IFERROR(__xludf.DUMMYFUNCTION("""COMPUTED_VALUE"""),"Principal Amount( Base)")</f>
        <v>Principal Amount( Base)</v>
      </c>
      <c r="AZ5" s="22" t="str">
        <f>IFERROR(__xludf.DUMMYFUNCTION("""COMPUTED_VALUE"""),"Settlement Currency")</f>
        <v>Settlement Currency</v>
      </c>
      <c r="BA5" s="22" t="str">
        <f>IFERROR(__xludf.DUMMYFUNCTION("""COMPUTED_VALUE"""),"User")</f>
        <v>User</v>
      </c>
      <c r="BB5" s="22" t="str">
        <f>IFERROR(__xludf.DUMMYFUNCTION("""COMPUTED_VALUE"""),"Asset Category")</f>
        <v>Asset Category</v>
      </c>
      <c r="BC5" s="22" t="str">
        <f>IFERROR(__xludf.DUMMYFUNCTION("""COMPUTED_VALUE"""),"Change Type")</f>
        <v>Change Type</v>
      </c>
      <c r="BD5" s="22" t="str">
        <f>IFERROR(__xludf.DUMMYFUNCTION("""COMPUTED_VALUE"""),"Strategy Name")</f>
        <v>Strategy Name</v>
      </c>
      <c r="BE5" s="22" t="str">
        <f>IFERROR(__xludf.DUMMYFUNCTION("""COMPUTED_VALUE"""),"Prana Msg Type")</f>
        <v>Prana Msg Type</v>
      </c>
      <c r="BF5" s="22" t="str">
        <f>IFERROR(__xludf.DUMMYFUNCTION("""COMPUTED_VALUE"""),"Total Commission")</f>
        <v>Total Commission</v>
      </c>
      <c r="BG5" s="22" t="str">
        <f>IFERROR(__xludf.DUMMYFUNCTION("""COMPUTED_VALUE"""),"Commission Per Share")</f>
        <v>Commission Per Share</v>
      </c>
      <c r="BH5" s="22" t="str">
        <f>IFERROR(__xludf.DUMMYFUNCTION("""COMPUTED_VALUE"""),"Soft Commission Per Share")</f>
        <v>Soft Commission Per Share</v>
      </c>
      <c r="BI5" s="22" t="str">
        <f>IFERROR(__xludf.DUMMYFUNCTION("""COMPUTED_VALUE"""),"Total Commission Per Share")</f>
        <v>Total Commission Per Share</v>
      </c>
      <c r="BJ5" s="22" t="str">
        <f>IFERROR(__xludf.DUMMYFUNCTION("""COMPUTED_VALUE"""),"Closing Status")</f>
        <v>Closing Status</v>
      </c>
      <c r="BK5" s="22" t="str">
        <f>IFERROR(__xludf.DUMMYFUNCTION("""COMPUTED_VALUE"""),"Closing Method")</f>
        <v>Closing Method</v>
      </c>
      <c r="BL5" s="22" t="str">
        <f>IFERROR(__xludf.DUMMYFUNCTION("""COMPUTED_VALUE"""),"Allocation Scheme Name")</f>
        <v>Allocation Scheme Name</v>
      </c>
      <c r="BM5" s="22" t="str">
        <f>IFERROR(__xludf.DUMMYFUNCTION("""COMPUTED_VALUE"""),"Change Comment")</f>
        <v>Change Comment</v>
      </c>
      <c r="BN5" s="22" t="str">
        <f>IFERROR(__xludf.DUMMYFUNCTION("""COMPUTED_VALUE"""),"Order Type")</f>
        <v>Order Type</v>
      </c>
      <c r="BO5" s="22" t="str">
        <f>IFERROR(__xludf.DUMMYFUNCTION("""COMPUTED_VALUE"""),"Underlying")</f>
        <v>Underlying</v>
      </c>
      <c r="BP5" s="22" t="str">
        <f>IFERROR(__xludf.DUMMYFUNCTION("""COMPUTED_VALUE"""),"Exchange")</f>
        <v>Exchange</v>
      </c>
      <c r="BQ5" s="22" t="str">
        <f>IFERROR(__xludf.DUMMYFUNCTION("""COMPUTED_VALUE"""),"Currency")</f>
        <v>Currency</v>
      </c>
      <c r="BR5" s="22" t="str">
        <f>IFERROR(__xludf.DUMMYFUNCTION("""COMPUTED_VALUE"""),"AUECID")</f>
        <v>AUECID</v>
      </c>
      <c r="BS5" s="22" t="str">
        <f>IFERROR(__xludf.DUMMYFUNCTION("""COMPUTED_VALUE"""),"Trading Account")</f>
        <v>Trading Account</v>
      </c>
      <c r="BT5" s="22" t="str">
        <f>IFERROR(__xludf.DUMMYFUNCTION("""COMPUTED_VALUE"""),"Venue")</f>
        <v>Venue</v>
      </c>
      <c r="BU5" s="22" t="str">
        <f>IFERROR(__xludf.DUMMYFUNCTION("""COMPUTED_VALUE"""),"Cum Qty For Sub Order")</f>
        <v>Cum Qty For Sub Order</v>
      </c>
      <c r="BV5" s="22" t="str">
        <f>IFERROR(__xludf.DUMMYFUNCTION("""COMPUTED_VALUE"""),"Contract Multiplier")</f>
        <v>Contract Multiplier</v>
      </c>
      <c r="BW5" s="22" t="str">
        <f>IFERROR(__xludf.DUMMYFUNCTION("""COMPUTED_VALUE"""),"Company")</f>
        <v>Company</v>
      </c>
      <c r="BX5" s="22" t="str">
        <f>IFERROR(__xludf.DUMMYFUNCTION("""COMPUTED_VALUE"""),"Nirvana Process Date")</f>
        <v>Nirvana Process Date</v>
      </c>
      <c r="BY5" s="22" t="str">
        <f>IFERROR(__xludf.DUMMYFUNCTION("""COMPUTED_VALUE"""),"Process Date")</f>
        <v>Process Date</v>
      </c>
      <c r="BZ5" s="22" t="str">
        <f>IFERROR(__xludf.DUMMYFUNCTION("""COMPUTED_VALUE"""),"Original Purchase Date")</f>
        <v>Original Purchase Date</v>
      </c>
      <c r="CA5" s="22" t="str">
        <f>IFERROR(__xludf.DUMMYFUNCTION("""COMPUTED_VALUE"""),"Closing Date")</f>
        <v>Closing Date</v>
      </c>
      <c r="CB5" s="22" t="str">
        <f>IFERROR(__xludf.DUMMYFUNCTION("""COMPUTED_VALUE"""),"Settlement Date")</f>
        <v>Settlement Date</v>
      </c>
      <c r="CC5" s="22" t="str">
        <f>IFERROR(__xludf.DUMMYFUNCTION("""COMPUTED_VALUE"""),"Expiration Date")</f>
        <v>Expiration Date</v>
      </c>
      <c r="CD5" s="22" t="str">
        <f>IFERROR(__xludf.DUMMYFUNCTION("""COMPUTED_VALUE"""),"Underlying Symbol")</f>
        <v>Underlying Symbol</v>
      </c>
      <c r="CE5" s="22" t="str">
        <f>IFERROR(__xludf.DUMMYFUNCTION("""COMPUTED_VALUE"""),"Accrual Basis")</f>
        <v>Accrual Basis</v>
      </c>
      <c r="CF5" s="22" t="str">
        <f>IFERROR(__xludf.DUMMYFUNCTION("""COMPUTED_VALUE"""),"Bond Type")</f>
        <v>Bond Type</v>
      </c>
      <c r="CG5" s="22" t="str">
        <f>IFERROR(__xludf.DUMMYFUNCTION("""COMPUTED_VALUE"""),"Coupon Rate")</f>
        <v>Coupon Rate</v>
      </c>
      <c r="CH5" s="22" t="str">
        <f>IFERROR(__xludf.DUMMYFUNCTION("""COMPUTED_VALUE"""),"Delta")</f>
        <v>Delta</v>
      </c>
      <c r="CI5" s="22" t="str">
        <f>IFERROR(__xludf.DUMMYFUNCTION("""COMPUTED_VALUE"""),"Bloomberg")</f>
        <v>Bloomberg</v>
      </c>
      <c r="CJ5" s="22" t="str">
        <f>IFERROR(__xludf.DUMMYFUNCTION("""COMPUTED_VALUE"""),"Sedol Symbol")</f>
        <v>Sedol Symbol</v>
      </c>
      <c r="CK5" s="22" t="str">
        <f>IFERROR(__xludf.DUMMYFUNCTION("""COMPUTED_VALUE"""),"Cusip Symbol")</f>
        <v>Cusip Symbol</v>
      </c>
      <c r="CL5" s="22" t="str">
        <f>IFERROR(__xludf.DUMMYFUNCTION("""COMPUTED_VALUE"""),"ISIN")</f>
        <v>ISIN</v>
      </c>
      <c r="CM5" s="22" t="str">
        <f>IFERROR(__xludf.DUMMYFUNCTION("""COMPUTED_VALUE"""),"OSISSymbol")</f>
        <v>OSISSymbol</v>
      </c>
      <c r="CN5" s="22" t="str">
        <f>IFERROR(__xludf.DUMMYFUNCTION("""COMPUTED_VALUE"""),"IDCOSymbol")</f>
        <v>IDCOSymbol</v>
      </c>
      <c r="CO5" s="22" t="str">
        <f>IFERROR(__xludf.DUMMYFUNCTION("""COMPUTED_VALUE"""),"Underlying Delta")</f>
        <v>Underlying Delta</v>
      </c>
      <c r="CP5" s="22" t="str">
        <f>IFERROR(__xludf.DUMMYFUNCTION("""COMPUTED_VALUE"""),"Proxy Symbol")</f>
        <v>Proxy Symbol</v>
      </c>
      <c r="CQ5" s="22" t="str">
        <f>IFERROR(__xludf.DUMMYFUNCTION("""COMPUTED_VALUE"""),"Transaction Source")</f>
        <v>Transaction Source</v>
      </c>
      <c r="CR5" s="22" t="str">
        <f>IFERROR(__xludf.DUMMYFUNCTION("""COMPUTED_VALUE"""),"Import File Name")</f>
        <v>Import File Name</v>
      </c>
      <c r="CS5" s="22" t="str">
        <f>IFERROR(__xludf.DUMMYFUNCTION("""COMPUTED_VALUE"""),"MasterFund")</f>
        <v>MasterFund</v>
      </c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6"/>
      <c r="B6" s="3" t="s">
        <v>30</v>
      </c>
      <c r="C6" s="3">
        <v>50.0</v>
      </c>
      <c r="D6" s="25">
        <v>43292.0</v>
      </c>
      <c r="E6" s="23" t="s">
        <v>32</v>
      </c>
      <c r="F6" s="3" t="s">
        <v>35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36</v>
      </c>
      <c r="D3" s="4" t="s">
        <v>9</v>
      </c>
      <c r="E3" s="10" t="s">
        <v>92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38</v>
      </c>
      <c r="D4" s="18" t="s">
        <v>39</v>
      </c>
      <c r="E4" s="18" t="s">
        <v>37</v>
      </c>
      <c r="F4" s="18" t="s">
        <v>40</v>
      </c>
      <c r="G4" s="18" t="s">
        <v>41</v>
      </c>
      <c r="H4" s="18" t="s">
        <v>42</v>
      </c>
      <c r="I4" s="18" t="s">
        <v>43</v>
      </c>
      <c r="J4" s="18" t="s">
        <v>44</v>
      </c>
      <c r="K4" s="18" t="s">
        <v>45</v>
      </c>
      <c r="L4" s="18" t="s">
        <v>46</v>
      </c>
      <c r="M4" s="18" t="s">
        <v>47</v>
      </c>
      <c r="N4" s="18" t="s">
        <v>48</v>
      </c>
      <c r="O4" s="18" t="s">
        <v>49</v>
      </c>
      <c r="P4" s="19" t="s">
        <v>50</v>
      </c>
      <c r="Q4" s="19" t="s">
        <v>51</v>
      </c>
      <c r="R4" s="19" t="s">
        <v>52</v>
      </c>
      <c r="S4" s="19" t="s">
        <v>53</v>
      </c>
      <c r="T4" s="19" t="s">
        <v>54</v>
      </c>
      <c r="U4" s="19" t="s">
        <v>55</v>
      </c>
      <c r="V4" s="19" t="s">
        <v>56</v>
      </c>
      <c r="W4" s="19" t="s">
        <v>57</v>
      </c>
      <c r="X4" s="19" t="s">
        <v>58</v>
      </c>
      <c r="Y4" s="19" t="s">
        <v>59</v>
      </c>
      <c r="Z4" s="19" t="s">
        <v>60</v>
      </c>
      <c r="AA4" s="19" t="s">
        <v>61</v>
      </c>
      <c r="AB4" s="19" t="s">
        <v>62</v>
      </c>
      <c r="AC4" s="19" t="s">
        <v>63</v>
      </c>
      <c r="AD4" s="19" t="s">
        <v>64</v>
      </c>
      <c r="AE4" s="19" t="s">
        <v>65</v>
      </c>
      <c r="AF4" s="19" t="s">
        <v>66</v>
      </c>
      <c r="AG4" s="19" t="s">
        <v>67</v>
      </c>
      <c r="AH4" s="19" t="s">
        <v>68</v>
      </c>
      <c r="AI4" s="19" t="s">
        <v>69</v>
      </c>
      <c r="AJ4" s="19" t="s">
        <v>70</v>
      </c>
      <c r="AK4" s="19" t="s">
        <v>71</v>
      </c>
      <c r="AL4" s="19" t="s">
        <v>72</v>
      </c>
      <c r="AM4" s="19" t="s">
        <v>73</v>
      </c>
      <c r="AN4" s="19" t="s">
        <v>74</v>
      </c>
      <c r="AO4" s="19" t="s">
        <v>75</v>
      </c>
      <c r="AP4" s="19" t="s">
        <v>76</v>
      </c>
      <c r="AQ4" s="19" t="s">
        <v>77</v>
      </c>
      <c r="AR4" s="19" t="s">
        <v>78</v>
      </c>
      <c r="AS4" s="19" t="s">
        <v>79</v>
      </c>
      <c r="AT4" s="19" t="s">
        <v>80</v>
      </c>
      <c r="AU4" s="19" t="s">
        <v>80</v>
      </c>
      <c r="AV4" s="19" t="s">
        <v>81</v>
      </c>
      <c r="AW4" s="19" t="s">
        <v>82</v>
      </c>
      <c r="AX4" s="19" t="s">
        <v>83</v>
      </c>
      <c r="AY4" s="19" t="s">
        <v>84</v>
      </c>
      <c r="AZ4" s="19" t="s">
        <v>85</v>
      </c>
      <c r="BA4" s="19" t="s">
        <v>86</v>
      </c>
      <c r="BB4" s="19" t="s">
        <v>87</v>
      </c>
      <c r="BC4" s="19" t="s">
        <v>88</v>
      </c>
      <c r="BD4" s="19" t="s">
        <v>89</v>
      </c>
      <c r="BE4" s="19" t="s">
        <v>90</v>
      </c>
      <c r="BF4" s="19" t="s">
        <v>91</v>
      </c>
      <c r="BG4" s="19" t="s">
        <v>92</v>
      </c>
      <c r="BH4" s="19" t="s">
        <v>93</v>
      </c>
      <c r="BI4" s="19" t="s">
        <v>94</v>
      </c>
      <c r="BJ4" s="19" t="s">
        <v>95</v>
      </c>
      <c r="BK4" s="19" t="s">
        <v>96</v>
      </c>
      <c r="BL4" s="19" t="s">
        <v>97</v>
      </c>
      <c r="BM4" s="19" t="s">
        <v>98</v>
      </c>
      <c r="BN4" s="19" t="s">
        <v>39</v>
      </c>
      <c r="BO4" s="19" t="s">
        <v>99</v>
      </c>
      <c r="BP4" s="19" t="s">
        <v>100</v>
      </c>
      <c r="BQ4" s="19" t="s">
        <v>101</v>
      </c>
      <c r="BR4" s="19" t="s">
        <v>102</v>
      </c>
      <c r="BS4" s="19" t="s">
        <v>103</v>
      </c>
      <c r="BT4" s="19" t="s">
        <v>104</v>
      </c>
      <c r="BU4" s="19" t="s">
        <v>105</v>
      </c>
      <c r="BV4" s="19" t="s">
        <v>106</v>
      </c>
      <c r="BW4" s="19" t="s">
        <v>107</v>
      </c>
      <c r="BX4" s="19" t="s">
        <v>108</v>
      </c>
      <c r="BY4" s="19" t="s">
        <v>109</v>
      </c>
      <c r="BZ4" s="19" t="s">
        <v>110</v>
      </c>
      <c r="CA4" s="19" t="s">
        <v>111</v>
      </c>
      <c r="CB4" s="19" t="s">
        <v>112</v>
      </c>
      <c r="CC4" s="19" t="s">
        <v>113</v>
      </c>
      <c r="CD4" s="19" t="s">
        <v>114</v>
      </c>
      <c r="CE4" s="19" t="s">
        <v>115</v>
      </c>
      <c r="CF4" s="19" t="s">
        <v>116</v>
      </c>
      <c r="CG4" s="19" t="s">
        <v>117</v>
      </c>
      <c r="CH4" s="19" t="s">
        <v>118</v>
      </c>
      <c r="CI4" s="19" t="s">
        <v>119</v>
      </c>
      <c r="CJ4" s="19" t="s">
        <v>120</v>
      </c>
      <c r="CK4" s="19" t="s">
        <v>121</v>
      </c>
      <c r="CL4" s="19" t="s">
        <v>122</v>
      </c>
      <c r="CM4" s="19" t="s">
        <v>122</v>
      </c>
      <c r="CN4" s="19" t="s">
        <v>123</v>
      </c>
      <c r="CO4" s="19" t="s">
        <v>124</v>
      </c>
      <c r="CP4" s="19" t="s">
        <v>125</v>
      </c>
      <c r="CQ4" s="19" t="s">
        <v>126</v>
      </c>
      <c r="CR4" s="19" t="s">
        <v>127</v>
      </c>
      <c r="CS4" s="19" t="s">
        <v>128</v>
      </c>
      <c r="CT4" s="19" t="s">
        <v>129</v>
      </c>
      <c r="CU4" s="19" t="s">
        <v>130</v>
      </c>
      <c r="CV4" s="19" t="s">
        <v>131</v>
      </c>
      <c r="CW4" s="19" t="s">
        <v>132</v>
      </c>
      <c r="CX4" s="19" t="s">
        <v>62</v>
      </c>
      <c r="CY4" s="19" t="s">
        <v>63</v>
      </c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IFERROR(__xludf.DUMMYFUNCTION("""COMPUTED_VALUE"""),"AvgPrice")</f>
        <v>AvgPrice</v>
      </c>
      <c r="C5" s="21" t="str">
        <f>IFERROR(__xludf.DUMMYFUNCTION("""COMPUTED_VALUE"""),"Commission")</f>
        <v>Commission</v>
      </c>
      <c r="D5" s="21" t="str">
        <f>IFERROR(__xludf.DUMMYFUNCTION("""COMPUTED_VALUE"""),"SoftCommission")</f>
        <v>SoftCommission</v>
      </c>
      <c r="E5" s="21" t="str">
        <f>IFERROR(__xludf.DUMMYFUNCTION("""COMPUTED_VALUE"""),"OtherBrokerFees")</f>
        <v>OtherBrokerFees</v>
      </c>
      <c r="F5" s="21" t="str">
        <f>IFERROR(__xludf.DUMMYFUNCTION("""COMPUTED_VALUE"""),"ClearingBrokerFees")</f>
        <v>ClearingBrokerFees</v>
      </c>
      <c r="G5" s="21" t="str">
        <f>IFERROR(__xludf.DUMMYFUNCTION("""COMPUTED_VALUE"""),"StampDuty")</f>
        <v>StampDuty</v>
      </c>
      <c r="H5" s="21" t="str">
        <f>IFERROR(__xludf.DUMMYFUNCTION("""COMPUTED_VALUE"""),"TransactionLevy")</f>
        <v>TransactionLevy</v>
      </c>
      <c r="I5" s="21" t="str">
        <f>IFERROR(__xludf.DUMMYFUNCTION("""COMPUTED_VALUE"""),"AUECFee1")</f>
        <v>AUECFee1</v>
      </c>
      <c r="J5" s="21" t="str">
        <f>IFERROR(__xludf.DUMMYFUNCTION("""COMPUTED_VALUE"""),"TaxOnCommissions")</f>
        <v>TaxOnCommissions</v>
      </c>
      <c r="K5" s="21" t="str">
        <f>IFERROR(__xludf.DUMMYFUNCTION("""COMPUTED_VALUE"""),"AUECFee2")</f>
        <v>AUECFee2</v>
      </c>
      <c r="L5" s="21" t="str">
        <f>IFERROR(__xludf.DUMMYFUNCTION("""COMPUTED_VALUE"""),"SecFee")</f>
        <v>SecFee</v>
      </c>
      <c r="M5" s="21" t="str">
        <f>IFERROR(__xludf.DUMMYFUNCTION("""COMPUTED_VALUE"""),"OccFee")</f>
        <v>OccFee</v>
      </c>
      <c r="N5" s="21" t="str">
        <f>IFERROR(__xludf.DUMMYFUNCTION("""COMPUTED_VALUE"""),"OrfFee")</f>
        <v>OrfFee</v>
      </c>
      <c r="O5" s="21" t="str">
        <f>IFERROR(__xludf.DUMMYFUNCTION("""COMPUTED_VALUE"""),"Broker")</f>
        <v>Broker</v>
      </c>
      <c r="P5" s="21" t="str">
        <f>IFERROR(__xludf.DUMMYFUNCTION("""COMPUTED_VALUE"""),"Venue")</f>
        <v>Venue</v>
      </c>
      <c r="Q5" s="21" t="str">
        <f>IFERROR(__xludf.DUMMYFUNCTION("""COMPUTED_VALUE"""),"Description")</f>
        <v>Description</v>
      </c>
      <c r="R5" s="21" t="str">
        <f>IFERROR(__xludf.DUMMYFUNCTION("""COMPUTED_VALUE"""),"InternalComments")</f>
        <v>InternalComments</v>
      </c>
      <c r="S5" s="21" t="str">
        <f>IFERROR(__xludf.DUMMYFUNCTION("""COMPUTED_VALUE"""),"FXRate")</f>
        <v>FXRate</v>
      </c>
      <c r="T5" s="22" t="str">
        <f>IFERROR(__xludf.DUMMYFUNCTION("""COMPUTED_VALUE"""),"FxConvOperator")</f>
        <v>FxConvOperator</v>
      </c>
      <c r="U5" s="22" t="str">
        <f>IFERROR(__xludf.DUMMYFUNCTION("""COMPUTED_VALUE"""),"AccruedInterest")</f>
        <v>AccruedInterest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IFERROR(__xludf.DUMMYFUNCTION("""COMPUTED_VALUE"""),"SettlementCurrency")</f>
        <v>SettlementCurrency</v>
      </c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U6">
        <v>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7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31">
        <v>43292.0</v>
      </c>
      <c r="C6" s="30"/>
      <c r="D6" s="36"/>
      <c r="E6" s="33">
        <v>0.56</v>
      </c>
      <c r="F6" s="34">
        <v>0.0</v>
      </c>
      <c r="G6" s="29">
        <v>0.7411</v>
      </c>
      <c r="H6" s="29" t="s">
        <v>224</v>
      </c>
      <c r="I6" s="29" t="s">
        <v>227</v>
      </c>
      <c r="J6" s="29" t="s">
        <v>236</v>
      </c>
      <c r="K6" s="29" t="s">
        <v>164</v>
      </c>
      <c r="L6" s="29" t="s">
        <v>165</v>
      </c>
      <c r="M6" s="29" t="s">
        <v>30</v>
      </c>
      <c r="N6" s="29"/>
      <c r="O6" s="33">
        <v>0.42</v>
      </c>
      <c r="P6" s="33">
        <v>0.0</v>
      </c>
      <c r="Q6" s="29" t="s">
        <v>232</v>
      </c>
      <c r="R6" s="29" t="s">
        <v>32</v>
      </c>
      <c r="S6" s="29"/>
      <c r="T6" s="29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31">
        <v>43292.0</v>
      </c>
      <c r="C7" s="30"/>
      <c r="D7" s="36"/>
      <c r="E7" s="35">
        <v>0.0</v>
      </c>
      <c r="F7" s="33">
        <v>0.56</v>
      </c>
      <c r="G7" s="29">
        <v>0.7411</v>
      </c>
      <c r="H7" s="29" t="s">
        <v>224</v>
      </c>
      <c r="I7" s="29" t="s">
        <v>229</v>
      </c>
      <c r="J7" s="29" t="s">
        <v>236</v>
      </c>
      <c r="K7" s="29" t="s">
        <v>164</v>
      </c>
      <c r="L7" s="29" t="s">
        <v>165</v>
      </c>
      <c r="M7" s="29" t="s">
        <v>30</v>
      </c>
      <c r="N7" s="29"/>
      <c r="O7" s="33">
        <v>0.0</v>
      </c>
      <c r="P7" s="33">
        <v>0.42</v>
      </c>
      <c r="Q7" s="29" t="s">
        <v>237</v>
      </c>
      <c r="R7" s="29" t="s">
        <v>32</v>
      </c>
      <c r="S7" s="29"/>
      <c r="T7" s="2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31">
        <v>43293.0</v>
      </c>
      <c r="C8" s="30"/>
      <c r="D8" s="36"/>
      <c r="E8" s="33">
        <v>0.56</v>
      </c>
      <c r="F8" s="34">
        <v>0.0</v>
      </c>
      <c r="G8" s="29">
        <v>0.7412</v>
      </c>
      <c r="H8" s="29" t="s">
        <v>224</v>
      </c>
      <c r="I8" s="29" t="s">
        <v>227</v>
      </c>
      <c r="J8" s="29" t="s">
        <v>236</v>
      </c>
      <c r="K8" s="29" t="s">
        <v>164</v>
      </c>
      <c r="L8" s="29" t="s">
        <v>165</v>
      </c>
      <c r="M8" s="29" t="s">
        <v>30</v>
      </c>
      <c r="N8" s="29"/>
      <c r="O8" s="33">
        <v>0.42</v>
      </c>
      <c r="P8" s="33">
        <v>0.0</v>
      </c>
      <c r="Q8" s="29" t="s">
        <v>232</v>
      </c>
      <c r="R8" s="29" t="s">
        <v>32</v>
      </c>
      <c r="S8" s="29"/>
      <c r="T8" s="29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31">
        <v>43293.0</v>
      </c>
      <c r="C9" s="30"/>
      <c r="D9" s="36"/>
      <c r="E9" s="35">
        <v>0.0</v>
      </c>
      <c r="F9" s="33">
        <v>0.56</v>
      </c>
      <c r="G9" s="29">
        <v>0.7412</v>
      </c>
      <c r="H9" s="29" t="s">
        <v>224</v>
      </c>
      <c r="I9" s="29" t="s">
        <v>229</v>
      </c>
      <c r="J9" s="29" t="s">
        <v>236</v>
      </c>
      <c r="K9" s="29" t="s">
        <v>164</v>
      </c>
      <c r="L9" s="29" t="s">
        <v>165</v>
      </c>
      <c r="M9" s="29" t="s">
        <v>30</v>
      </c>
      <c r="N9" s="29"/>
      <c r="O9" s="33">
        <v>0.0</v>
      </c>
      <c r="P9" s="33">
        <v>0.42</v>
      </c>
      <c r="Q9" s="29" t="s">
        <v>237</v>
      </c>
      <c r="R9" s="29" t="s">
        <v>32</v>
      </c>
      <c r="S9" s="29"/>
      <c r="T9" s="29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28"/>
      <c r="B10" s="31">
        <v>43294.0</v>
      </c>
      <c r="C10" s="30"/>
      <c r="D10" s="36"/>
      <c r="E10" s="33">
        <v>0.56</v>
      </c>
      <c r="F10" s="34">
        <v>0.0</v>
      </c>
      <c r="G10" s="29">
        <v>0.7413</v>
      </c>
      <c r="H10" s="29" t="s">
        <v>224</v>
      </c>
      <c r="I10" s="29" t="s">
        <v>227</v>
      </c>
      <c r="J10" s="29" t="s">
        <v>236</v>
      </c>
      <c r="K10" s="29" t="s">
        <v>164</v>
      </c>
      <c r="L10" s="29" t="s">
        <v>165</v>
      </c>
      <c r="M10" s="29" t="s">
        <v>30</v>
      </c>
      <c r="N10" s="29"/>
      <c r="O10" s="33">
        <v>0.42</v>
      </c>
      <c r="P10" s="33">
        <v>0.0</v>
      </c>
      <c r="Q10" s="29" t="s">
        <v>232</v>
      </c>
      <c r="R10" s="29" t="s">
        <v>32</v>
      </c>
      <c r="S10" s="29"/>
      <c r="T10" s="29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ht="15.75" customHeight="1">
      <c r="A11" s="28"/>
      <c r="B11" s="31">
        <v>43294.0</v>
      </c>
      <c r="C11" s="30"/>
      <c r="D11" s="36"/>
      <c r="E11" s="35">
        <v>0.0</v>
      </c>
      <c r="F11" s="33">
        <v>0.56</v>
      </c>
      <c r="G11" s="29">
        <v>0.7413</v>
      </c>
      <c r="H11" s="29" t="s">
        <v>224</v>
      </c>
      <c r="I11" s="29" t="s">
        <v>229</v>
      </c>
      <c r="J11" s="29" t="s">
        <v>236</v>
      </c>
      <c r="K11" s="29" t="s">
        <v>164</v>
      </c>
      <c r="L11" s="29" t="s">
        <v>165</v>
      </c>
      <c r="M11" s="29" t="s">
        <v>30</v>
      </c>
      <c r="N11" s="29"/>
      <c r="O11" s="33">
        <v>0.0</v>
      </c>
      <c r="P11" s="33">
        <v>0.42</v>
      </c>
      <c r="Q11" s="29" t="s">
        <v>237</v>
      </c>
      <c r="R11" s="29" t="s">
        <v>32</v>
      </c>
      <c r="S11" s="29"/>
      <c r="T11" s="29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ht="15.75" customHeight="1">
      <c r="A12" s="28"/>
      <c r="B12" s="31">
        <v>43294.0</v>
      </c>
      <c r="C12" s="30"/>
      <c r="D12" s="36"/>
      <c r="E12" s="33">
        <v>0.28</v>
      </c>
      <c r="F12" s="34">
        <v>0.0</v>
      </c>
      <c r="G12" s="29">
        <v>0.7413</v>
      </c>
      <c r="H12" s="29" t="s">
        <v>224</v>
      </c>
      <c r="I12" s="29" t="s">
        <v>227</v>
      </c>
      <c r="J12" s="29" t="s">
        <v>236</v>
      </c>
      <c r="K12" s="29" t="s">
        <v>164</v>
      </c>
      <c r="L12" s="29" t="s">
        <v>165</v>
      </c>
      <c r="M12" s="29" t="s">
        <v>30</v>
      </c>
      <c r="N12" s="29"/>
      <c r="O12" s="33">
        <v>0.21</v>
      </c>
      <c r="P12" s="33">
        <v>0.0</v>
      </c>
      <c r="Q12" s="29" t="s">
        <v>232</v>
      </c>
      <c r="R12" s="29" t="s">
        <v>32</v>
      </c>
      <c r="S12" s="29"/>
      <c r="T12" s="29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ht="15.75" customHeight="1">
      <c r="A13" s="28"/>
      <c r="B13" s="31">
        <v>43294.0</v>
      </c>
      <c r="C13" s="30"/>
      <c r="D13" s="36"/>
      <c r="E13" s="35">
        <v>0.0</v>
      </c>
      <c r="F13" s="33">
        <v>0.28</v>
      </c>
      <c r="G13" s="29">
        <v>0.7413</v>
      </c>
      <c r="H13" s="29" t="s">
        <v>224</v>
      </c>
      <c r="I13" s="29" t="s">
        <v>229</v>
      </c>
      <c r="J13" s="29" t="s">
        <v>236</v>
      </c>
      <c r="K13" s="29" t="s">
        <v>164</v>
      </c>
      <c r="L13" s="29" t="s">
        <v>165</v>
      </c>
      <c r="M13" s="29" t="s">
        <v>30</v>
      </c>
      <c r="N13" s="29"/>
      <c r="O13" s="33">
        <v>0.0</v>
      </c>
      <c r="P13" s="33">
        <v>0.21</v>
      </c>
      <c r="Q13" s="29" t="s">
        <v>237</v>
      </c>
      <c r="R13" s="29" t="s">
        <v>32</v>
      </c>
      <c r="S13" s="29"/>
      <c r="T13" s="29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ht="15.75" customHeight="1">
      <c r="A14" s="28"/>
      <c r="B14" s="31">
        <v>43292.0</v>
      </c>
      <c r="C14" s="30"/>
      <c r="D14" s="30"/>
      <c r="E14" s="33">
        <v>40.0</v>
      </c>
      <c r="F14" s="34">
        <v>0.0</v>
      </c>
      <c r="G14" s="29">
        <v>1.8</v>
      </c>
      <c r="H14" s="29" t="s">
        <v>224</v>
      </c>
      <c r="I14" s="29" t="s">
        <v>227</v>
      </c>
      <c r="J14" s="29" t="s">
        <v>221</v>
      </c>
      <c r="K14" s="29" t="s">
        <v>164</v>
      </c>
      <c r="L14" s="29" t="s">
        <v>165</v>
      </c>
      <c r="M14" s="29" t="s">
        <v>30</v>
      </c>
      <c r="N14" s="29"/>
      <c r="O14" s="33">
        <v>72.0</v>
      </c>
      <c r="P14" s="33">
        <v>0.0</v>
      </c>
      <c r="Q14" s="29" t="s">
        <v>228</v>
      </c>
      <c r="R14" s="29" t="s">
        <v>32</v>
      </c>
      <c r="S14" s="29"/>
      <c r="T14" s="29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ht="15.75" customHeight="1">
      <c r="A15" s="28"/>
      <c r="B15" s="31">
        <v>43292.0</v>
      </c>
      <c r="C15" s="30"/>
      <c r="D15" s="30"/>
      <c r="E15" s="35">
        <v>0.0</v>
      </c>
      <c r="F15" s="33">
        <v>40.0</v>
      </c>
      <c r="G15" s="29">
        <v>1.8</v>
      </c>
      <c r="H15" s="29" t="s">
        <v>224</v>
      </c>
      <c r="I15" s="29" t="s">
        <v>229</v>
      </c>
      <c r="J15" s="29" t="s">
        <v>221</v>
      </c>
      <c r="K15" s="29" t="s">
        <v>164</v>
      </c>
      <c r="L15" s="29" t="s">
        <v>165</v>
      </c>
      <c r="M15" s="29" t="s">
        <v>30</v>
      </c>
      <c r="N15" s="29"/>
      <c r="O15" s="33">
        <v>0.0</v>
      </c>
      <c r="P15" s="33">
        <v>72.0</v>
      </c>
      <c r="Q15" s="29" t="s">
        <v>230</v>
      </c>
      <c r="R15" s="29" t="s">
        <v>32</v>
      </c>
      <c r="S15" s="29"/>
      <c r="T15" s="29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ht="15.75" customHeight="1">
      <c r="A16" s="28"/>
      <c r="B16" s="31">
        <v>43292.0</v>
      </c>
      <c r="C16" s="30"/>
      <c r="D16" s="30"/>
      <c r="E16" s="33">
        <v>618.0</v>
      </c>
      <c r="F16" s="34">
        <v>0.0</v>
      </c>
      <c r="G16" s="29">
        <v>1.8</v>
      </c>
      <c r="H16" s="29" t="s">
        <v>224</v>
      </c>
      <c r="I16" s="29" t="s">
        <v>227</v>
      </c>
      <c r="J16" s="29" t="s">
        <v>221</v>
      </c>
      <c r="K16" s="29" t="s">
        <v>164</v>
      </c>
      <c r="L16" s="29" t="s">
        <v>165</v>
      </c>
      <c r="M16" s="29" t="s">
        <v>30</v>
      </c>
      <c r="N16" s="29"/>
      <c r="O16" s="33">
        <v>1112.4</v>
      </c>
      <c r="P16" s="33">
        <v>0.0</v>
      </c>
      <c r="Q16" s="29" t="s">
        <v>230</v>
      </c>
      <c r="R16" s="29" t="s">
        <v>32</v>
      </c>
      <c r="S16" s="29"/>
      <c r="T16" s="29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ht="15.75" customHeight="1">
      <c r="A17" s="28"/>
      <c r="B17" s="31">
        <v>43292.0</v>
      </c>
      <c r="C17" s="30"/>
      <c r="D17" s="30"/>
      <c r="E17" s="35">
        <v>0.0</v>
      </c>
      <c r="F17" s="33">
        <v>618.0</v>
      </c>
      <c r="G17" s="29">
        <v>1.8</v>
      </c>
      <c r="H17" s="29" t="s">
        <v>224</v>
      </c>
      <c r="I17" s="29" t="s">
        <v>229</v>
      </c>
      <c r="J17" s="29" t="s">
        <v>221</v>
      </c>
      <c r="K17" s="29" t="s">
        <v>164</v>
      </c>
      <c r="L17" s="29" t="s">
        <v>165</v>
      </c>
      <c r="M17" s="29" t="s">
        <v>30</v>
      </c>
      <c r="N17" s="29"/>
      <c r="O17" s="33">
        <v>0.0</v>
      </c>
      <c r="P17" s="33">
        <v>1112.4</v>
      </c>
      <c r="Q17" s="29" t="s">
        <v>228</v>
      </c>
      <c r="R17" s="29" t="s">
        <v>32</v>
      </c>
      <c r="S17" s="29"/>
      <c r="T17" s="29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</row>
    <row r="18" ht="15.75" customHeight="1">
      <c r="A18" s="28"/>
      <c r="B18" s="31">
        <v>43292.0</v>
      </c>
      <c r="C18" s="30"/>
      <c r="D18" s="30"/>
      <c r="E18" s="33">
        <v>0.0</v>
      </c>
      <c r="F18" s="34">
        <v>0.0</v>
      </c>
      <c r="G18" s="29">
        <v>1.8</v>
      </c>
      <c r="H18" s="29" t="s">
        <v>224</v>
      </c>
      <c r="I18" s="29" t="s">
        <v>227</v>
      </c>
      <c r="J18" s="29" t="s">
        <v>221</v>
      </c>
      <c r="K18" s="29" t="s">
        <v>164</v>
      </c>
      <c r="L18" s="29" t="s">
        <v>165</v>
      </c>
      <c r="M18" s="29" t="s">
        <v>30</v>
      </c>
      <c r="N18" s="29"/>
      <c r="O18" s="33">
        <v>0.0</v>
      </c>
      <c r="P18" s="33">
        <v>0.0</v>
      </c>
      <c r="Q18" s="29" t="s">
        <v>232</v>
      </c>
      <c r="R18" s="29" t="s">
        <v>32</v>
      </c>
      <c r="S18" s="29"/>
      <c r="T18" s="29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ht="15.75" customHeight="1">
      <c r="A19" s="28"/>
      <c r="B19" s="31">
        <v>43292.0</v>
      </c>
      <c r="C19" s="30"/>
      <c r="D19" s="30"/>
      <c r="E19" s="35">
        <v>0.0</v>
      </c>
      <c r="F19" s="33">
        <v>0.0</v>
      </c>
      <c r="G19" s="29">
        <v>1.8</v>
      </c>
      <c r="H19" s="29" t="s">
        <v>224</v>
      </c>
      <c r="I19" s="29" t="s">
        <v>229</v>
      </c>
      <c r="J19" s="29" t="s">
        <v>221</v>
      </c>
      <c r="K19" s="29" t="s">
        <v>164</v>
      </c>
      <c r="L19" s="29" t="s">
        <v>165</v>
      </c>
      <c r="M19" s="29" t="s">
        <v>30</v>
      </c>
      <c r="N19" s="29"/>
      <c r="O19" s="33">
        <v>0.0</v>
      </c>
      <c r="P19" s="33">
        <v>0.0</v>
      </c>
      <c r="Q19" s="29" t="s">
        <v>230</v>
      </c>
      <c r="R19" s="29" t="s">
        <v>32</v>
      </c>
      <c r="S19" s="29"/>
      <c r="T19" s="29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ht="15.75" customHeight="1">
      <c r="A20" s="28"/>
      <c r="B20" s="31">
        <v>43290.0</v>
      </c>
      <c r="C20" s="30"/>
      <c r="D20" s="30"/>
      <c r="E20" s="33">
        <v>1522.0</v>
      </c>
      <c r="F20" s="34">
        <v>0.0</v>
      </c>
      <c r="G20" s="29">
        <v>1.5</v>
      </c>
      <c r="H20" s="29" t="s">
        <v>224</v>
      </c>
      <c r="I20" s="29" t="s">
        <v>227</v>
      </c>
      <c r="J20" s="29" t="s">
        <v>221</v>
      </c>
      <c r="K20" s="29" t="s">
        <v>164</v>
      </c>
      <c r="L20" s="29" t="s">
        <v>165</v>
      </c>
      <c r="M20" s="29" t="s">
        <v>30</v>
      </c>
      <c r="N20" s="29"/>
      <c r="O20" s="33">
        <v>2283.0</v>
      </c>
      <c r="P20" s="33">
        <v>0.0</v>
      </c>
      <c r="Q20" s="29" t="s">
        <v>228</v>
      </c>
      <c r="R20" s="29" t="s">
        <v>32</v>
      </c>
      <c r="S20" s="29"/>
      <c r="T20" s="29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ht="15.75" customHeight="1">
      <c r="A21" s="28"/>
      <c r="B21" s="31">
        <v>43290.0</v>
      </c>
      <c r="C21" s="30"/>
      <c r="D21" s="30"/>
      <c r="E21" s="35">
        <v>0.0</v>
      </c>
      <c r="F21" s="33">
        <v>1522.0</v>
      </c>
      <c r="G21" s="29">
        <v>1.5</v>
      </c>
      <c r="H21" s="29" t="s">
        <v>224</v>
      </c>
      <c r="I21" s="29" t="s">
        <v>229</v>
      </c>
      <c r="J21" s="29" t="s">
        <v>221</v>
      </c>
      <c r="K21" s="29" t="s">
        <v>164</v>
      </c>
      <c r="L21" s="29" t="s">
        <v>165</v>
      </c>
      <c r="M21" s="29" t="s">
        <v>30</v>
      </c>
      <c r="N21" s="29"/>
      <c r="O21" s="33">
        <v>0.0</v>
      </c>
      <c r="P21" s="33">
        <v>2283.0</v>
      </c>
      <c r="Q21" s="29" t="s">
        <v>230</v>
      </c>
      <c r="R21" s="29" t="s">
        <v>32</v>
      </c>
      <c r="S21" s="29"/>
      <c r="T21" s="29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ht="15.75" customHeight="1">
      <c r="A22" s="28"/>
      <c r="B22" s="31">
        <v>43290.0</v>
      </c>
      <c r="C22" s="30"/>
      <c r="D22" s="30"/>
      <c r="E22" s="33">
        <v>0.0</v>
      </c>
      <c r="F22" s="34">
        <v>0.0</v>
      </c>
      <c r="G22" s="29">
        <v>1.5</v>
      </c>
      <c r="H22" s="29" t="s">
        <v>224</v>
      </c>
      <c r="I22" s="29" t="s">
        <v>227</v>
      </c>
      <c r="J22" s="29" t="s">
        <v>221</v>
      </c>
      <c r="K22" s="29" t="s">
        <v>164</v>
      </c>
      <c r="L22" s="29" t="s">
        <v>165</v>
      </c>
      <c r="M22" s="29" t="s">
        <v>30</v>
      </c>
      <c r="N22" s="29"/>
      <c r="O22" s="33">
        <v>0.0</v>
      </c>
      <c r="P22" s="33">
        <v>0.0</v>
      </c>
      <c r="Q22" s="29" t="s">
        <v>230</v>
      </c>
      <c r="R22" s="29" t="s">
        <v>32</v>
      </c>
      <c r="S22" s="29"/>
      <c r="T22" s="29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ht="15.75" customHeight="1">
      <c r="A23" s="28"/>
      <c r="B23" s="31">
        <v>43290.0</v>
      </c>
      <c r="C23" s="30"/>
      <c r="D23" s="30"/>
      <c r="E23" s="35">
        <v>0.0</v>
      </c>
      <c r="F23" s="33">
        <v>0.0</v>
      </c>
      <c r="G23" s="29">
        <v>1.5</v>
      </c>
      <c r="H23" s="29" t="s">
        <v>224</v>
      </c>
      <c r="I23" s="29" t="s">
        <v>229</v>
      </c>
      <c r="J23" s="29" t="s">
        <v>221</v>
      </c>
      <c r="K23" s="29" t="s">
        <v>164</v>
      </c>
      <c r="L23" s="29" t="s">
        <v>165</v>
      </c>
      <c r="M23" s="29" t="s">
        <v>30</v>
      </c>
      <c r="N23" s="29"/>
      <c r="O23" s="33">
        <v>0.0</v>
      </c>
      <c r="P23" s="33">
        <v>0.0</v>
      </c>
      <c r="Q23" s="29" t="s">
        <v>231</v>
      </c>
      <c r="R23" s="29" t="s">
        <v>32</v>
      </c>
      <c r="S23" s="29"/>
      <c r="T23" s="29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201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IFERROR(__xludf.DUMMYFUNCTION("""COMPUTED_VALUE"""),"Account")</f>
        <v>Account</v>
      </c>
      <c r="C5" s="21" t="str">
        <f>IFERROR(__xludf.DUMMYFUNCTION("""COMPUTED_VALUE"""),"Date")</f>
        <v>Date</v>
      </c>
      <c r="D5" s="21" t="str">
        <f>IFERROR(__xludf.DUMMYFUNCTION("""COMPUTED_VALUE"""),"Currency (Local)")</f>
        <v>Currency (Local)</v>
      </c>
      <c r="E5" s="21" t="str">
        <f>IFERROR(__xludf.DUMMYFUNCTION("""COMPUTED_VALUE"""),"Cash (Local)")</f>
        <v>Cash (Local)</v>
      </c>
      <c r="F5" s="21" t="str">
        <f>IFERROR(__xludf.DUMMYFUNCTION("""COMPUTED_VALUE"""),"Currency (Base)")</f>
        <v>Currency (Base)</v>
      </c>
      <c r="G5" s="21" t="str">
        <f>IFERROR(__xludf.DUMMYFUNCTION("""COMPUTED_VALUE"""),"Cash (Base)")</f>
        <v>Cash (Base)</v>
      </c>
      <c r="H5" s="21" t="str">
        <f>IFERROR(__xludf.DUMMYFUNCTION("""COMPUTED_VALUE"""),"BalanceType")</f>
        <v>BalanceType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32</v>
      </c>
      <c r="C6" s="25">
        <v>43290.0</v>
      </c>
      <c r="D6" s="23" t="s">
        <v>164</v>
      </c>
      <c r="E6" s="24">
        <v>-1522.0</v>
      </c>
      <c r="F6" s="23" t="s">
        <v>165</v>
      </c>
      <c r="G6" s="24">
        <v>-1139.98</v>
      </c>
      <c r="H6" s="23" t="s">
        <v>223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186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IFERROR(__xludf.DUMMYFUNCTION("""COMPUTED_VALUE"""),"Balances as on date")</f>
        <v>Balances as on date</v>
      </c>
      <c r="E5" s="21" t="str">
        <f>IFERROR(__xludf.DUMMYFUNCTION("""COMPUTED_VALUE"""),"IsRunRevalOnGetAccountBalances")</f>
        <v>IsRunRevalOnGetAccountBalances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43292.0</v>
      </c>
      <c r="E6" s="24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179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IFERROR(__xludf.DUMMYFUNCTION("""COMPUTED_VALUE"""),"From Date")</f>
        <v>From Date</v>
      </c>
      <c r="E5" s="21" t="str">
        <f>IFERROR(__xludf.DUMMYFUNCTION("""COMPUTED_VALUE"""),"To Date")</f>
        <v>To Date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43290.0</v>
      </c>
      <c r="E6" s="25">
        <v>43292.0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31">
        <v>43291.0</v>
      </c>
      <c r="C6" s="29" t="s">
        <v>32</v>
      </c>
      <c r="D6" s="29" t="s">
        <v>164</v>
      </c>
      <c r="E6" s="29" t="s">
        <v>165</v>
      </c>
      <c r="F6" s="29" t="s">
        <v>254</v>
      </c>
      <c r="G6" s="33">
        <v>1143.02</v>
      </c>
      <c r="H6" s="34">
        <v>0.0</v>
      </c>
      <c r="I6" s="30"/>
      <c r="J6" s="30"/>
      <c r="K6" s="29"/>
      <c r="L6" s="29">
        <v>1.0</v>
      </c>
      <c r="M6" s="29" t="s">
        <v>224</v>
      </c>
      <c r="N6" s="29" t="s">
        <v>227</v>
      </c>
      <c r="O6" s="29" t="s">
        <v>238</v>
      </c>
      <c r="P6" s="29" t="s">
        <v>165</v>
      </c>
      <c r="Q6" s="29" t="s">
        <v>248</v>
      </c>
      <c r="R6" s="33">
        <v>1143.02</v>
      </c>
      <c r="S6" s="33">
        <v>0.0</v>
      </c>
      <c r="T6" s="29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31">
        <v>43291.0</v>
      </c>
      <c r="C7" s="29" t="s">
        <v>32</v>
      </c>
      <c r="D7" s="29" t="s">
        <v>164</v>
      </c>
      <c r="E7" s="29" t="s">
        <v>165</v>
      </c>
      <c r="F7" s="29" t="s">
        <v>255</v>
      </c>
      <c r="G7" s="35">
        <v>0.0</v>
      </c>
      <c r="H7" s="33">
        <v>1143.02</v>
      </c>
      <c r="I7" s="30"/>
      <c r="J7" s="30"/>
      <c r="K7" s="29"/>
      <c r="L7" s="29">
        <v>1.0</v>
      </c>
      <c r="M7" s="29" t="s">
        <v>224</v>
      </c>
      <c r="N7" s="29" t="s">
        <v>229</v>
      </c>
      <c r="O7" s="29" t="s">
        <v>238</v>
      </c>
      <c r="P7" s="29" t="s">
        <v>165</v>
      </c>
      <c r="Q7" s="29" t="s">
        <v>248</v>
      </c>
      <c r="R7" s="33">
        <v>0.0</v>
      </c>
      <c r="S7" s="33">
        <v>1143.02</v>
      </c>
      <c r="T7" s="29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31">
        <v>43291.0</v>
      </c>
      <c r="C8" s="29" t="s">
        <v>32</v>
      </c>
      <c r="D8" s="29" t="s">
        <v>30</v>
      </c>
      <c r="E8" s="29" t="s">
        <v>164</v>
      </c>
      <c r="F8" s="29" t="s">
        <v>254</v>
      </c>
      <c r="G8" s="33">
        <v>492.0</v>
      </c>
      <c r="H8" s="34">
        <v>0.0</v>
      </c>
      <c r="I8" s="30"/>
      <c r="J8" s="30"/>
      <c r="K8" s="29"/>
      <c r="L8" s="29">
        <v>0.749</v>
      </c>
      <c r="M8" s="29" t="s">
        <v>224</v>
      </c>
      <c r="N8" s="29" t="s">
        <v>227</v>
      </c>
      <c r="O8" s="29" t="s">
        <v>238</v>
      </c>
      <c r="P8" s="29" t="s">
        <v>165</v>
      </c>
      <c r="Q8" s="29" t="s">
        <v>248</v>
      </c>
      <c r="R8" s="33">
        <v>368.51</v>
      </c>
      <c r="S8" s="33">
        <v>0.0</v>
      </c>
      <c r="T8" s="29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31">
        <v>43291.0</v>
      </c>
      <c r="C9" s="29" t="s">
        <v>32</v>
      </c>
      <c r="D9" s="29" t="s">
        <v>30</v>
      </c>
      <c r="E9" s="29" t="s">
        <v>164</v>
      </c>
      <c r="F9" s="29" t="s">
        <v>255</v>
      </c>
      <c r="G9" s="35">
        <v>0.0</v>
      </c>
      <c r="H9" s="33">
        <v>492.0</v>
      </c>
      <c r="I9" s="30"/>
      <c r="J9" s="30"/>
      <c r="K9" s="29"/>
      <c r="L9" s="29">
        <v>0.749</v>
      </c>
      <c r="M9" s="29" t="s">
        <v>224</v>
      </c>
      <c r="N9" s="29" t="s">
        <v>229</v>
      </c>
      <c r="O9" s="29" t="s">
        <v>238</v>
      </c>
      <c r="P9" s="29" t="s">
        <v>165</v>
      </c>
      <c r="Q9" s="29" t="s">
        <v>248</v>
      </c>
      <c r="R9" s="33">
        <v>0.0</v>
      </c>
      <c r="S9" s="33">
        <v>368.51</v>
      </c>
      <c r="T9" s="29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28"/>
      <c r="B10" s="31">
        <v>43292.0</v>
      </c>
      <c r="C10" s="29" t="s">
        <v>32</v>
      </c>
      <c r="D10" s="29" t="s">
        <v>164</v>
      </c>
      <c r="E10" s="29" t="s">
        <v>165</v>
      </c>
      <c r="F10" s="29" t="s">
        <v>254</v>
      </c>
      <c r="G10" s="33">
        <v>1155.2</v>
      </c>
      <c r="H10" s="34">
        <v>0.0</v>
      </c>
      <c r="I10" s="30"/>
      <c r="J10" s="30"/>
      <c r="K10" s="29"/>
      <c r="L10" s="29">
        <v>1.0</v>
      </c>
      <c r="M10" s="29" t="s">
        <v>224</v>
      </c>
      <c r="N10" s="29" t="s">
        <v>227</v>
      </c>
      <c r="O10" s="29" t="s">
        <v>238</v>
      </c>
      <c r="P10" s="29" t="s">
        <v>165</v>
      </c>
      <c r="Q10" s="29" t="s">
        <v>248</v>
      </c>
      <c r="R10" s="33">
        <v>1155.2</v>
      </c>
      <c r="S10" s="33">
        <v>0.0</v>
      </c>
      <c r="T10" s="29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ht="15.75" customHeight="1">
      <c r="A11" s="28"/>
      <c r="B11" s="31">
        <v>43292.0</v>
      </c>
      <c r="C11" s="29" t="s">
        <v>32</v>
      </c>
      <c r="D11" s="29" t="s">
        <v>164</v>
      </c>
      <c r="E11" s="29" t="s">
        <v>165</v>
      </c>
      <c r="F11" s="29" t="s">
        <v>255</v>
      </c>
      <c r="G11" s="35">
        <v>0.0</v>
      </c>
      <c r="H11" s="33">
        <v>1155.2</v>
      </c>
      <c r="I11" s="30"/>
      <c r="J11" s="30"/>
      <c r="K11" s="29"/>
      <c r="L11" s="29">
        <v>1.0</v>
      </c>
      <c r="M11" s="29" t="s">
        <v>224</v>
      </c>
      <c r="N11" s="29" t="s">
        <v>229</v>
      </c>
      <c r="O11" s="29" t="s">
        <v>238</v>
      </c>
      <c r="P11" s="29" t="s">
        <v>165</v>
      </c>
      <c r="Q11" s="29" t="s">
        <v>248</v>
      </c>
      <c r="R11" s="33">
        <v>0.0</v>
      </c>
      <c r="S11" s="33">
        <v>1155.2</v>
      </c>
      <c r="T11" s="29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ht="15.75" customHeight="1">
      <c r="A12" s="28"/>
      <c r="B12" s="31">
        <v>43292.0</v>
      </c>
      <c r="C12" s="29" t="s">
        <v>32</v>
      </c>
      <c r="D12" s="29" t="s">
        <v>30</v>
      </c>
      <c r="E12" s="29" t="s">
        <v>164</v>
      </c>
      <c r="F12" s="29" t="s">
        <v>255</v>
      </c>
      <c r="G12" s="33">
        <v>538.0</v>
      </c>
      <c r="H12" s="34">
        <v>0.0</v>
      </c>
      <c r="I12" s="30"/>
      <c r="J12" s="30"/>
      <c r="K12" s="29"/>
      <c r="L12" s="29">
        <v>0.741</v>
      </c>
      <c r="M12" s="29" t="s">
        <v>224</v>
      </c>
      <c r="N12" s="29" t="s">
        <v>227</v>
      </c>
      <c r="O12" s="29" t="s">
        <v>238</v>
      </c>
      <c r="P12" s="29" t="s">
        <v>165</v>
      </c>
      <c r="Q12" s="29" t="s">
        <v>248</v>
      </c>
      <c r="R12" s="33">
        <v>398.66</v>
      </c>
      <c r="S12" s="33">
        <v>0.0</v>
      </c>
      <c r="T12" s="29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ht="15.75" customHeight="1">
      <c r="A13" s="28"/>
      <c r="B13" s="31">
        <v>43292.0</v>
      </c>
      <c r="C13" s="29" t="s">
        <v>32</v>
      </c>
      <c r="D13" s="29" t="s">
        <v>30</v>
      </c>
      <c r="E13" s="29" t="s">
        <v>164</v>
      </c>
      <c r="F13" s="29" t="s">
        <v>254</v>
      </c>
      <c r="G13" s="35">
        <v>0.0</v>
      </c>
      <c r="H13" s="33">
        <v>538.0</v>
      </c>
      <c r="I13" s="30"/>
      <c r="J13" s="30"/>
      <c r="K13" s="29"/>
      <c r="L13" s="29">
        <v>0.741</v>
      </c>
      <c r="M13" s="29" t="s">
        <v>224</v>
      </c>
      <c r="N13" s="29" t="s">
        <v>229</v>
      </c>
      <c r="O13" s="29" t="s">
        <v>238</v>
      </c>
      <c r="P13" s="29" t="s">
        <v>165</v>
      </c>
      <c r="Q13" s="29" t="s">
        <v>248</v>
      </c>
      <c r="R13" s="33">
        <v>0.0</v>
      </c>
      <c r="S13" s="33">
        <v>398.66</v>
      </c>
      <c r="T13" s="29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ht="15.75" customHeight="1">
      <c r="A14" s="28"/>
      <c r="B14" s="31">
        <v>43290.0</v>
      </c>
      <c r="C14" s="29" t="s">
        <v>32</v>
      </c>
      <c r="D14" s="29" t="s">
        <v>164</v>
      </c>
      <c r="E14" s="29" t="s">
        <v>165</v>
      </c>
      <c r="F14" s="29" t="s">
        <v>255</v>
      </c>
      <c r="G14" s="33">
        <v>1143.02</v>
      </c>
      <c r="H14" s="34">
        <v>0.0</v>
      </c>
      <c r="I14" s="30"/>
      <c r="J14" s="30"/>
      <c r="K14" s="29"/>
      <c r="L14" s="29">
        <v>1.0</v>
      </c>
      <c r="M14" s="29" t="s">
        <v>224</v>
      </c>
      <c r="N14" s="29" t="s">
        <v>227</v>
      </c>
      <c r="O14" s="29" t="s">
        <v>238</v>
      </c>
      <c r="P14" s="29" t="s">
        <v>165</v>
      </c>
      <c r="Q14" s="29" t="s">
        <v>240</v>
      </c>
      <c r="R14" s="33">
        <v>1143.02</v>
      </c>
      <c r="S14" s="33">
        <v>0.0</v>
      </c>
      <c r="T14" s="29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ht="15.75" customHeight="1">
      <c r="A15" s="28"/>
      <c r="B15" s="31">
        <v>43290.0</v>
      </c>
      <c r="C15" s="29" t="s">
        <v>32</v>
      </c>
      <c r="D15" s="29" t="s">
        <v>164</v>
      </c>
      <c r="E15" s="29" t="s">
        <v>165</v>
      </c>
      <c r="F15" s="29" t="s">
        <v>254</v>
      </c>
      <c r="G15" s="35">
        <v>0.0</v>
      </c>
      <c r="H15" s="33">
        <v>1143.02</v>
      </c>
      <c r="I15" s="30"/>
      <c r="J15" s="30"/>
      <c r="K15" s="29"/>
      <c r="L15" s="29">
        <v>1.0</v>
      </c>
      <c r="M15" s="29" t="s">
        <v>224</v>
      </c>
      <c r="N15" s="29" t="s">
        <v>229</v>
      </c>
      <c r="O15" s="29" t="s">
        <v>238</v>
      </c>
      <c r="P15" s="29" t="s">
        <v>165</v>
      </c>
      <c r="Q15" s="29" t="s">
        <v>240</v>
      </c>
      <c r="R15" s="33">
        <v>0.0</v>
      </c>
      <c r="S15" s="33">
        <v>1143.02</v>
      </c>
      <c r="T15" s="29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ht="15.75" customHeight="1">
      <c r="A16" s="28"/>
      <c r="B16" s="31">
        <v>43290.0</v>
      </c>
      <c r="C16" s="29" t="s">
        <v>32</v>
      </c>
      <c r="D16" s="29" t="s">
        <v>30</v>
      </c>
      <c r="E16" s="29" t="s">
        <v>164</v>
      </c>
      <c r="F16" s="29" t="s">
        <v>255</v>
      </c>
      <c r="G16" s="33">
        <v>492.0</v>
      </c>
      <c r="H16" s="34">
        <v>0.0</v>
      </c>
      <c r="I16" s="30"/>
      <c r="J16" s="30"/>
      <c r="K16" s="29"/>
      <c r="L16" s="29">
        <v>0.749</v>
      </c>
      <c r="M16" s="29" t="s">
        <v>224</v>
      </c>
      <c r="N16" s="29" t="s">
        <v>227</v>
      </c>
      <c r="O16" s="29" t="s">
        <v>238</v>
      </c>
      <c r="P16" s="29" t="s">
        <v>165</v>
      </c>
      <c r="Q16" s="29" t="s">
        <v>240</v>
      </c>
      <c r="R16" s="33">
        <v>368.51</v>
      </c>
      <c r="S16" s="33">
        <v>0.0</v>
      </c>
      <c r="T16" s="29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ht="15.75" customHeight="1">
      <c r="A17" s="28"/>
      <c r="B17" s="31">
        <v>43290.0</v>
      </c>
      <c r="C17" s="29" t="s">
        <v>32</v>
      </c>
      <c r="D17" s="29" t="s">
        <v>30</v>
      </c>
      <c r="E17" s="29" t="s">
        <v>164</v>
      </c>
      <c r="F17" s="29" t="s">
        <v>254</v>
      </c>
      <c r="G17" s="35">
        <v>0.0</v>
      </c>
      <c r="H17" s="33">
        <v>492.0</v>
      </c>
      <c r="I17" s="30"/>
      <c r="J17" s="30"/>
      <c r="K17" s="29"/>
      <c r="L17" s="29">
        <v>0.749</v>
      </c>
      <c r="M17" s="29" t="s">
        <v>224</v>
      </c>
      <c r="N17" s="29" t="s">
        <v>229</v>
      </c>
      <c r="O17" s="29" t="s">
        <v>238</v>
      </c>
      <c r="P17" s="29" t="s">
        <v>165</v>
      </c>
      <c r="Q17" s="29" t="s">
        <v>240</v>
      </c>
      <c r="R17" s="33">
        <v>0.0</v>
      </c>
      <c r="S17" s="33">
        <v>368.51</v>
      </c>
      <c r="T17" s="29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</row>
    <row r="18" ht="15.75" customHeight="1">
      <c r="A18" s="28"/>
      <c r="B18" s="31">
        <v>43291.0</v>
      </c>
      <c r="C18" s="29" t="s">
        <v>32</v>
      </c>
      <c r="D18" s="29" t="s">
        <v>164</v>
      </c>
      <c r="E18" s="29" t="s">
        <v>165</v>
      </c>
      <c r="F18" s="29" t="s">
        <v>255</v>
      </c>
      <c r="G18" s="33">
        <v>1155.2</v>
      </c>
      <c r="H18" s="34">
        <v>0.0</v>
      </c>
      <c r="I18" s="30"/>
      <c r="J18" s="30"/>
      <c r="K18" s="29"/>
      <c r="L18" s="29">
        <v>1.0</v>
      </c>
      <c r="M18" s="29" t="s">
        <v>224</v>
      </c>
      <c r="N18" s="29" t="s">
        <v>227</v>
      </c>
      <c r="O18" s="29" t="s">
        <v>238</v>
      </c>
      <c r="P18" s="29" t="s">
        <v>165</v>
      </c>
      <c r="Q18" s="29" t="s">
        <v>240</v>
      </c>
      <c r="R18" s="33">
        <v>1155.2</v>
      </c>
      <c r="S18" s="33">
        <v>0.0</v>
      </c>
      <c r="T18" s="29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ht="15.75" customHeight="1">
      <c r="A19" s="28"/>
      <c r="B19" s="31">
        <v>43291.0</v>
      </c>
      <c r="C19" s="29" t="s">
        <v>32</v>
      </c>
      <c r="D19" s="29" t="s">
        <v>164</v>
      </c>
      <c r="E19" s="29" t="s">
        <v>165</v>
      </c>
      <c r="F19" s="29" t="s">
        <v>254</v>
      </c>
      <c r="G19" s="35">
        <v>0.0</v>
      </c>
      <c r="H19" s="33">
        <v>1155.2</v>
      </c>
      <c r="I19" s="30"/>
      <c r="J19" s="30"/>
      <c r="K19" s="29"/>
      <c r="L19" s="29">
        <v>1.0</v>
      </c>
      <c r="M19" s="29" t="s">
        <v>224</v>
      </c>
      <c r="N19" s="29" t="s">
        <v>229</v>
      </c>
      <c r="O19" s="29" t="s">
        <v>238</v>
      </c>
      <c r="P19" s="29" t="s">
        <v>165</v>
      </c>
      <c r="Q19" s="29" t="s">
        <v>240</v>
      </c>
      <c r="R19" s="33">
        <v>0.0</v>
      </c>
      <c r="S19" s="33">
        <v>1155.2</v>
      </c>
      <c r="T19" s="29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ht="15.75" customHeight="1">
      <c r="A20" s="28"/>
      <c r="B20" s="31">
        <v>43291.0</v>
      </c>
      <c r="C20" s="29" t="s">
        <v>32</v>
      </c>
      <c r="D20" s="29" t="s">
        <v>30</v>
      </c>
      <c r="E20" s="29" t="s">
        <v>164</v>
      </c>
      <c r="F20" s="29" t="s">
        <v>254</v>
      </c>
      <c r="G20" s="33">
        <v>538.0</v>
      </c>
      <c r="H20" s="34">
        <v>0.0</v>
      </c>
      <c r="I20" s="30"/>
      <c r="J20" s="30"/>
      <c r="K20" s="29"/>
      <c r="L20" s="29">
        <v>0.741</v>
      </c>
      <c r="M20" s="29" t="s">
        <v>224</v>
      </c>
      <c r="N20" s="29" t="s">
        <v>227</v>
      </c>
      <c r="O20" s="29" t="s">
        <v>238</v>
      </c>
      <c r="P20" s="29" t="s">
        <v>165</v>
      </c>
      <c r="Q20" s="29" t="s">
        <v>240</v>
      </c>
      <c r="R20" s="33">
        <v>398.66</v>
      </c>
      <c r="S20" s="33">
        <v>0.0</v>
      </c>
      <c r="T20" s="29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ht="15.75" customHeight="1">
      <c r="A21" s="28"/>
      <c r="B21" s="31">
        <v>43291.0</v>
      </c>
      <c r="C21" s="29" t="s">
        <v>32</v>
      </c>
      <c r="D21" s="29" t="s">
        <v>30</v>
      </c>
      <c r="E21" s="29" t="s">
        <v>164</v>
      </c>
      <c r="F21" s="29" t="s">
        <v>255</v>
      </c>
      <c r="G21" s="35">
        <v>0.0</v>
      </c>
      <c r="H21" s="33">
        <v>538.0</v>
      </c>
      <c r="I21" s="30"/>
      <c r="J21" s="30"/>
      <c r="K21" s="29"/>
      <c r="L21" s="29">
        <v>0.741</v>
      </c>
      <c r="M21" s="29" t="s">
        <v>224</v>
      </c>
      <c r="N21" s="29" t="s">
        <v>229</v>
      </c>
      <c r="O21" s="29" t="s">
        <v>238</v>
      </c>
      <c r="P21" s="29" t="s">
        <v>165</v>
      </c>
      <c r="Q21" s="29" t="s">
        <v>240</v>
      </c>
      <c r="R21" s="33">
        <v>0.0</v>
      </c>
      <c r="S21" s="33">
        <v>398.66</v>
      </c>
      <c r="T21" s="29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ht="15.75" customHeight="1">
      <c r="A22" s="28"/>
      <c r="B22" s="31">
        <v>43292.0</v>
      </c>
      <c r="C22" s="29" t="s">
        <v>32</v>
      </c>
      <c r="D22" s="29" t="s">
        <v>164</v>
      </c>
      <c r="E22" s="29" t="s">
        <v>165</v>
      </c>
      <c r="F22" s="29" t="s">
        <v>255</v>
      </c>
      <c r="G22" s="33">
        <v>1155.05</v>
      </c>
      <c r="H22" s="34">
        <v>0.0</v>
      </c>
      <c r="I22" s="30"/>
      <c r="J22" s="30"/>
      <c r="K22" s="29"/>
      <c r="L22" s="29">
        <v>1.0</v>
      </c>
      <c r="M22" s="29" t="s">
        <v>224</v>
      </c>
      <c r="N22" s="29" t="s">
        <v>227</v>
      </c>
      <c r="O22" s="29" t="s">
        <v>238</v>
      </c>
      <c r="P22" s="29" t="s">
        <v>165</v>
      </c>
      <c r="Q22" s="29" t="s">
        <v>240</v>
      </c>
      <c r="R22" s="33">
        <v>1155.05</v>
      </c>
      <c r="S22" s="33">
        <v>0.0</v>
      </c>
      <c r="T22" s="29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ht="15.75" customHeight="1">
      <c r="A23" s="28"/>
      <c r="B23" s="31">
        <v>43292.0</v>
      </c>
      <c r="C23" s="29" t="s">
        <v>32</v>
      </c>
      <c r="D23" s="29" t="s">
        <v>164</v>
      </c>
      <c r="E23" s="29" t="s">
        <v>165</v>
      </c>
      <c r="F23" s="29" t="s">
        <v>254</v>
      </c>
      <c r="G23" s="35">
        <v>0.0</v>
      </c>
      <c r="H23" s="33">
        <v>1155.05</v>
      </c>
      <c r="I23" s="30"/>
      <c r="J23" s="30"/>
      <c r="K23" s="29"/>
      <c r="L23" s="29">
        <v>1.0</v>
      </c>
      <c r="M23" s="29" t="s">
        <v>224</v>
      </c>
      <c r="N23" s="29" t="s">
        <v>229</v>
      </c>
      <c r="O23" s="29" t="s">
        <v>238</v>
      </c>
      <c r="P23" s="29" t="s">
        <v>165</v>
      </c>
      <c r="Q23" s="29" t="s">
        <v>240</v>
      </c>
      <c r="R23" s="33">
        <v>0.0</v>
      </c>
      <c r="S23" s="33">
        <v>1155.05</v>
      </c>
      <c r="T23" s="29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ht="15.75" customHeight="1">
      <c r="A24" s="28"/>
      <c r="B24" s="31">
        <v>43292.0</v>
      </c>
      <c r="C24" s="29" t="s">
        <v>32</v>
      </c>
      <c r="D24" s="29" t="s">
        <v>164</v>
      </c>
      <c r="E24" s="29" t="s">
        <v>165</v>
      </c>
      <c r="F24" s="29" t="s">
        <v>254</v>
      </c>
      <c r="G24" s="33">
        <v>612.04</v>
      </c>
      <c r="H24" s="34">
        <v>0.0</v>
      </c>
      <c r="I24" s="30"/>
      <c r="J24" s="30"/>
      <c r="K24" s="29"/>
      <c r="L24" s="29">
        <v>1.0</v>
      </c>
      <c r="M24" s="29" t="s">
        <v>224</v>
      </c>
      <c r="N24" s="29" t="s">
        <v>227</v>
      </c>
      <c r="O24" s="29" t="s">
        <v>238</v>
      </c>
      <c r="P24" s="29" t="s">
        <v>165</v>
      </c>
      <c r="Q24" s="29" t="s">
        <v>240</v>
      </c>
      <c r="R24" s="33">
        <v>612.04</v>
      </c>
      <c r="S24" s="33">
        <v>0.0</v>
      </c>
      <c r="T24" s="29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</row>
    <row r="25" ht="15.75" customHeight="1">
      <c r="A25" s="28"/>
      <c r="B25" s="31">
        <v>43292.0</v>
      </c>
      <c r="C25" s="29" t="s">
        <v>32</v>
      </c>
      <c r="D25" s="29" t="s">
        <v>164</v>
      </c>
      <c r="E25" s="29" t="s">
        <v>165</v>
      </c>
      <c r="F25" s="29" t="s">
        <v>255</v>
      </c>
      <c r="G25" s="35">
        <v>0.0</v>
      </c>
      <c r="H25" s="33">
        <v>612.04</v>
      </c>
      <c r="I25" s="30"/>
      <c r="J25" s="30"/>
      <c r="K25" s="29"/>
      <c r="L25" s="29">
        <v>1.0</v>
      </c>
      <c r="M25" s="29" t="s">
        <v>224</v>
      </c>
      <c r="N25" s="29" t="s">
        <v>229</v>
      </c>
      <c r="O25" s="29" t="s">
        <v>238</v>
      </c>
      <c r="P25" s="29" t="s">
        <v>165</v>
      </c>
      <c r="Q25" s="29" t="s">
        <v>240</v>
      </c>
      <c r="R25" s="33">
        <v>0.0</v>
      </c>
      <c r="S25" s="33">
        <v>612.04</v>
      </c>
      <c r="T25" s="29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</row>
    <row r="26" ht="15.75" customHeight="1">
      <c r="A26" s="28"/>
      <c r="B26" s="31">
        <v>43292.0</v>
      </c>
      <c r="C26" s="29" t="s">
        <v>32</v>
      </c>
      <c r="D26" s="29" t="s">
        <v>30</v>
      </c>
      <c r="E26" s="29" t="s">
        <v>164</v>
      </c>
      <c r="F26" s="29" t="s">
        <v>254</v>
      </c>
      <c r="G26" s="33">
        <v>1568.0</v>
      </c>
      <c r="H26" s="34">
        <v>0.0</v>
      </c>
      <c r="I26" s="30"/>
      <c r="J26" s="30"/>
      <c r="K26" s="29"/>
      <c r="L26" s="29">
        <v>0.7411</v>
      </c>
      <c r="M26" s="29" t="s">
        <v>224</v>
      </c>
      <c r="N26" s="29" t="s">
        <v>227</v>
      </c>
      <c r="O26" s="29" t="s">
        <v>238</v>
      </c>
      <c r="P26" s="29" t="s">
        <v>165</v>
      </c>
      <c r="Q26" s="29" t="s">
        <v>240</v>
      </c>
      <c r="R26" s="33">
        <v>1162.04</v>
      </c>
      <c r="S26" s="33">
        <v>0.0</v>
      </c>
      <c r="T26" s="29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</row>
    <row r="27" ht="15.75" customHeight="1">
      <c r="A27" s="32"/>
      <c r="B27" s="31">
        <v>43292.0</v>
      </c>
      <c r="C27" s="29" t="s">
        <v>32</v>
      </c>
      <c r="D27" s="29" t="s">
        <v>30</v>
      </c>
      <c r="E27" s="29" t="s">
        <v>164</v>
      </c>
      <c r="F27" s="29" t="s">
        <v>255</v>
      </c>
      <c r="G27" s="35">
        <v>0.0</v>
      </c>
      <c r="H27" s="33">
        <v>1568.0</v>
      </c>
      <c r="I27" s="30"/>
      <c r="J27" s="30"/>
      <c r="K27" s="29"/>
      <c r="L27" s="29">
        <v>0.7411</v>
      </c>
      <c r="M27" s="29" t="s">
        <v>224</v>
      </c>
      <c r="N27" s="29" t="s">
        <v>229</v>
      </c>
      <c r="O27" s="29" t="s">
        <v>238</v>
      </c>
      <c r="P27" s="29" t="s">
        <v>165</v>
      </c>
      <c r="Q27" s="29" t="s">
        <v>240</v>
      </c>
      <c r="R27" s="33">
        <v>0.0</v>
      </c>
      <c r="S27" s="33">
        <v>1162.04</v>
      </c>
      <c r="T27" s="29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</row>
    <row r="28" ht="15.75" customHeight="1">
      <c r="A28" s="32"/>
      <c r="B28" s="31">
        <v>43292.0</v>
      </c>
      <c r="C28" s="29" t="s">
        <v>32</v>
      </c>
      <c r="D28" s="29" t="s">
        <v>30</v>
      </c>
      <c r="E28" s="29" t="s">
        <v>164</v>
      </c>
      <c r="F28" s="29" t="s">
        <v>255</v>
      </c>
      <c r="G28" s="33">
        <v>967.0</v>
      </c>
      <c r="H28" s="34">
        <v>0.0</v>
      </c>
      <c r="I28" s="30"/>
      <c r="J28" s="30"/>
      <c r="K28" s="29"/>
      <c r="L28" s="29">
        <v>0.7411</v>
      </c>
      <c r="M28" s="29" t="s">
        <v>224</v>
      </c>
      <c r="N28" s="29" t="s">
        <v>227</v>
      </c>
      <c r="O28" s="29" t="s">
        <v>238</v>
      </c>
      <c r="P28" s="29" t="s">
        <v>165</v>
      </c>
      <c r="Q28" s="29" t="s">
        <v>240</v>
      </c>
      <c r="R28" s="33">
        <v>716.64</v>
      </c>
      <c r="S28" s="33">
        <v>0.0</v>
      </c>
      <c r="T28" s="29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</row>
    <row r="29" ht="15.75" customHeight="1">
      <c r="A29" s="32"/>
      <c r="B29" s="31">
        <v>43292.0</v>
      </c>
      <c r="C29" s="29" t="s">
        <v>32</v>
      </c>
      <c r="D29" s="29" t="s">
        <v>30</v>
      </c>
      <c r="E29" s="29" t="s">
        <v>164</v>
      </c>
      <c r="F29" s="29" t="s">
        <v>254</v>
      </c>
      <c r="G29" s="35">
        <v>0.0</v>
      </c>
      <c r="H29" s="33">
        <v>967.0</v>
      </c>
      <c r="I29" s="30"/>
      <c r="J29" s="30"/>
      <c r="K29" s="29"/>
      <c r="L29" s="29">
        <v>0.7411</v>
      </c>
      <c r="M29" s="29" t="s">
        <v>224</v>
      </c>
      <c r="N29" s="29" t="s">
        <v>229</v>
      </c>
      <c r="O29" s="29" t="s">
        <v>238</v>
      </c>
      <c r="P29" s="29" t="s">
        <v>165</v>
      </c>
      <c r="Q29" s="29" t="s">
        <v>240</v>
      </c>
      <c r="R29" s="33">
        <v>0.0</v>
      </c>
      <c r="S29" s="33">
        <v>716.64</v>
      </c>
      <c r="T29" s="29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</row>
    <row r="30" ht="15.75" customHeight="1">
      <c r="A30" s="32"/>
      <c r="B30" s="31">
        <v>43290.0</v>
      </c>
      <c r="C30" s="29" t="s">
        <v>32</v>
      </c>
      <c r="D30" s="29" t="s">
        <v>30</v>
      </c>
      <c r="E30" s="29" t="s">
        <v>164</v>
      </c>
      <c r="F30" s="29" t="s">
        <v>230</v>
      </c>
      <c r="G30" s="33">
        <v>1522.0</v>
      </c>
      <c r="H30" s="34">
        <v>0.0</v>
      </c>
      <c r="I30" s="30"/>
      <c r="J30" s="30"/>
      <c r="K30" s="29"/>
      <c r="L30" s="29">
        <v>1.5</v>
      </c>
      <c r="M30" s="29" t="s">
        <v>224</v>
      </c>
      <c r="N30" s="29" t="s">
        <v>227</v>
      </c>
      <c r="O30" s="29" t="s">
        <v>238</v>
      </c>
      <c r="P30" s="29" t="s">
        <v>165</v>
      </c>
      <c r="Q30" s="29" t="s">
        <v>243</v>
      </c>
      <c r="R30" s="33">
        <v>2283.0</v>
      </c>
      <c r="S30" s="33">
        <v>0.0</v>
      </c>
      <c r="T30" s="29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</row>
    <row r="31" ht="15.75" customHeight="1">
      <c r="A31" s="32"/>
      <c r="B31" s="31">
        <v>43290.0</v>
      </c>
      <c r="C31" s="29" t="s">
        <v>32</v>
      </c>
      <c r="D31" s="29" t="s">
        <v>30</v>
      </c>
      <c r="E31" s="29" t="s">
        <v>164</v>
      </c>
      <c r="F31" s="29" t="s">
        <v>256</v>
      </c>
      <c r="G31" s="35">
        <v>0.0</v>
      </c>
      <c r="H31" s="33">
        <v>1522.0</v>
      </c>
      <c r="I31" s="30"/>
      <c r="J31" s="30"/>
      <c r="K31" s="29"/>
      <c r="L31" s="29">
        <v>1.5</v>
      </c>
      <c r="M31" s="29" t="s">
        <v>224</v>
      </c>
      <c r="N31" s="29" t="s">
        <v>229</v>
      </c>
      <c r="O31" s="29" t="s">
        <v>238</v>
      </c>
      <c r="P31" s="29" t="s">
        <v>165</v>
      </c>
      <c r="Q31" s="29" t="s">
        <v>243</v>
      </c>
      <c r="R31" s="33">
        <v>0.0</v>
      </c>
      <c r="S31" s="33">
        <v>2283.0</v>
      </c>
      <c r="T31" s="29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</row>
    <row r="32" ht="15.75" customHeight="1">
      <c r="A32" s="32"/>
      <c r="B32" s="31">
        <v>43290.0</v>
      </c>
      <c r="C32" s="29" t="s">
        <v>32</v>
      </c>
      <c r="D32" s="29" t="s">
        <v>30</v>
      </c>
      <c r="E32" s="29" t="s">
        <v>164</v>
      </c>
      <c r="F32" s="29" t="s">
        <v>256</v>
      </c>
      <c r="G32" s="33">
        <v>1522.0</v>
      </c>
      <c r="H32" s="34">
        <v>0.0</v>
      </c>
      <c r="I32" s="30"/>
      <c r="J32" s="30"/>
      <c r="K32" s="29"/>
      <c r="L32" s="29">
        <v>0.749</v>
      </c>
      <c r="M32" s="29" t="s">
        <v>224</v>
      </c>
      <c r="N32" s="29" t="s">
        <v>227</v>
      </c>
      <c r="O32" s="29" t="s">
        <v>238</v>
      </c>
      <c r="P32" s="29" t="s">
        <v>165</v>
      </c>
      <c r="Q32" s="29" t="s">
        <v>244</v>
      </c>
      <c r="R32" s="33">
        <v>1139.98</v>
      </c>
      <c r="S32" s="33">
        <v>0.0</v>
      </c>
      <c r="T32" s="29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</row>
    <row r="33" ht="15.75" customHeight="1">
      <c r="A33" s="32"/>
      <c r="B33" s="31">
        <v>43290.0</v>
      </c>
      <c r="C33" s="29" t="s">
        <v>32</v>
      </c>
      <c r="D33" s="29" t="s">
        <v>30</v>
      </c>
      <c r="E33" s="29" t="s">
        <v>164</v>
      </c>
      <c r="F33" s="29" t="s">
        <v>230</v>
      </c>
      <c r="G33" s="35">
        <v>0.0</v>
      </c>
      <c r="H33" s="33">
        <v>1522.0</v>
      </c>
      <c r="I33" s="30"/>
      <c r="J33" s="30"/>
      <c r="K33" s="29"/>
      <c r="L33" s="29">
        <v>0.749</v>
      </c>
      <c r="M33" s="29" t="s">
        <v>224</v>
      </c>
      <c r="N33" s="29" t="s">
        <v>229</v>
      </c>
      <c r="O33" s="29" t="s">
        <v>238</v>
      </c>
      <c r="P33" s="29" t="s">
        <v>165</v>
      </c>
      <c r="Q33" s="29" t="s">
        <v>244</v>
      </c>
      <c r="R33" s="33">
        <v>0.0</v>
      </c>
      <c r="S33" s="33">
        <v>1139.98</v>
      </c>
      <c r="T33" s="29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</row>
    <row r="34" ht="15.75" customHeight="1">
      <c r="A34" s="32"/>
      <c r="B34" s="31">
        <v>43291.0</v>
      </c>
      <c r="C34" s="29" t="s">
        <v>32</v>
      </c>
      <c r="D34" s="29" t="s">
        <v>164</v>
      </c>
      <c r="E34" s="29" t="s">
        <v>164</v>
      </c>
      <c r="F34" s="29" t="s">
        <v>256</v>
      </c>
      <c r="G34" s="33">
        <v>1522.0</v>
      </c>
      <c r="H34" s="34">
        <v>0.0</v>
      </c>
      <c r="I34" s="30"/>
      <c r="J34" s="30"/>
      <c r="K34" s="29"/>
      <c r="L34" s="29">
        <v>0.741</v>
      </c>
      <c r="M34" s="29" t="s">
        <v>224</v>
      </c>
      <c r="N34" s="29" t="s">
        <v>227</v>
      </c>
      <c r="O34" s="29" t="s">
        <v>238</v>
      </c>
      <c r="P34" s="29" t="s">
        <v>165</v>
      </c>
      <c r="Q34" s="29" t="s">
        <v>249</v>
      </c>
      <c r="R34" s="33">
        <v>1127.8</v>
      </c>
      <c r="S34" s="33">
        <v>0.0</v>
      </c>
      <c r="T34" s="29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</row>
    <row r="35" ht="15.75" customHeight="1">
      <c r="A35" s="32"/>
      <c r="B35" s="31">
        <v>43291.0</v>
      </c>
      <c r="C35" s="29" t="s">
        <v>32</v>
      </c>
      <c r="D35" s="29" t="s">
        <v>164</v>
      </c>
      <c r="E35" s="29" t="s">
        <v>164</v>
      </c>
      <c r="F35" s="29" t="s">
        <v>230</v>
      </c>
      <c r="G35" s="35">
        <v>0.0</v>
      </c>
      <c r="H35" s="33">
        <v>1522.0</v>
      </c>
      <c r="I35" s="30"/>
      <c r="J35" s="30"/>
      <c r="K35" s="29"/>
      <c r="L35" s="29">
        <v>0.741</v>
      </c>
      <c r="M35" s="29" t="s">
        <v>224</v>
      </c>
      <c r="N35" s="29" t="s">
        <v>229</v>
      </c>
      <c r="O35" s="29" t="s">
        <v>238</v>
      </c>
      <c r="P35" s="29" t="s">
        <v>165</v>
      </c>
      <c r="Q35" s="29" t="s">
        <v>249</v>
      </c>
      <c r="R35" s="33">
        <v>0.0</v>
      </c>
      <c r="S35" s="33">
        <v>1127.8</v>
      </c>
      <c r="T35" s="29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</row>
    <row r="36" ht="15.75" customHeight="1">
      <c r="A36" s="32"/>
      <c r="B36" s="31">
        <v>43291.0</v>
      </c>
      <c r="C36" s="29" t="s">
        <v>32</v>
      </c>
      <c r="D36" s="29" t="s">
        <v>164</v>
      </c>
      <c r="E36" s="29" t="s">
        <v>164</v>
      </c>
      <c r="F36" s="29" t="s">
        <v>230</v>
      </c>
      <c r="G36" s="33">
        <v>1522.0</v>
      </c>
      <c r="H36" s="34">
        <v>0.0</v>
      </c>
      <c r="I36" s="30"/>
      <c r="J36" s="30"/>
      <c r="K36" s="29"/>
      <c r="L36" s="29">
        <v>0.749</v>
      </c>
      <c r="M36" s="29" t="s">
        <v>224</v>
      </c>
      <c r="N36" s="29" t="s">
        <v>227</v>
      </c>
      <c r="O36" s="29" t="s">
        <v>238</v>
      </c>
      <c r="P36" s="29" t="s">
        <v>165</v>
      </c>
      <c r="Q36" s="29" t="s">
        <v>250</v>
      </c>
      <c r="R36" s="33">
        <v>1139.98</v>
      </c>
      <c r="S36" s="33">
        <v>0.0</v>
      </c>
      <c r="T36" s="29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</row>
    <row r="37" ht="15.75" customHeight="1">
      <c r="A37" s="32"/>
      <c r="B37" s="31">
        <v>43291.0</v>
      </c>
      <c r="C37" s="29" t="s">
        <v>32</v>
      </c>
      <c r="D37" s="29" t="s">
        <v>164</v>
      </c>
      <c r="E37" s="29" t="s">
        <v>164</v>
      </c>
      <c r="F37" s="29" t="s">
        <v>256</v>
      </c>
      <c r="G37" s="35">
        <v>0.0</v>
      </c>
      <c r="H37" s="33">
        <v>1522.0</v>
      </c>
      <c r="I37" s="30"/>
      <c r="J37" s="30"/>
      <c r="K37" s="29"/>
      <c r="L37" s="29">
        <v>0.749</v>
      </c>
      <c r="M37" s="29" t="s">
        <v>224</v>
      </c>
      <c r="N37" s="29" t="s">
        <v>229</v>
      </c>
      <c r="O37" s="29" t="s">
        <v>238</v>
      </c>
      <c r="P37" s="29" t="s">
        <v>165</v>
      </c>
      <c r="Q37" s="29" t="s">
        <v>250</v>
      </c>
      <c r="R37" s="33">
        <v>0.0</v>
      </c>
      <c r="S37" s="33">
        <v>1139.98</v>
      </c>
      <c r="T37" s="29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</row>
    <row r="38" ht="15.75" customHeight="1">
      <c r="A38" s="32"/>
      <c r="B38" s="31">
        <v>43292.0</v>
      </c>
      <c r="C38" s="29" t="s">
        <v>32</v>
      </c>
      <c r="D38" s="29" t="s">
        <v>164</v>
      </c>
      <c r="E38" s="29" t="s">
        <v>164</v>
      </c>
      <c r="F38" s="29" t="s">
        <v>256</v>
      </c>
      <c r="G38" s="33">
        <v>1522.0</v>
      </c>
      <c r="H38" s="34">
        <v>0.0</v>
      </c>
      <c r="I38" s="30"/>
      <c r="J38" s="30"/>
      <c r="K38" s="29"/>
      <c r="L38" s="29">
        <v>0.7411</v>
      </c>
      <c r="M38" s="29" t="s">
        <v>224</v>
      </c>
      <c r="N38" s="29" t="s">
        <v>227</v>
      </c>
      <c r="O38" s="29" t="s">
        <v>238</v>
      </c>
      <c r="P38" s="29" t="s">
        <v>165</v>
      </c>
      <c r="Q38" s="29" t="s">
        <v>249</v>
      </c>
      <c r="R38" s="33">
        <v>1127.95</v>
      </c>
      <c r="S38" s="33">
        <v>0.0</v>
      </c>
      <c r="T38" s="29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</row>
    <row r="39" ht="15.75" customHeight="1">
      <c r="A39" s="32"/>
      <c r="B39" s="31">
        <v>43292.0</v>
      </c>
      <c r="C39" s="29" t="s">
        <v>32</v>
      </c>
      <c r="D39" s="29" t="s">
        <v>164</v>
      </c>
      <c r="E39" s="29" t="s">
        <v>164</v>
      </c>
      <c r="F39" s="29" t="s">
        <v>230</v>
      </c>
      <c r="G39" s="35">
        <v>0.0</v>
      </c>
      <c r="H39" s="33">
        <v>1522.0</v>
      </c>
      <c r="I39" s="30"/>
      <c r="J39" s="30"/>
      <c r="K39" s="29"/>
      <c r="L39" s="29">
        <v>0.7411</v>
      </c>
      <c r="M39" s="29" t="s">
        <v>224</v>
      </c>
      <c r="N39" s="29" t="s">
        <v>229</v>
      </c>
      <c r="O39" s="29" t="s">
        <v>238</v>
      </c>
      <c r="P39" s="29" t="s">
        <v>165</v>
      </c>
      <c r="Q39" s="29" t="s">
        <v>249</v>
      </c>
      <c r="R39" s="33">
        <v>0.0</v>
      </c>
      <c r="S39" s="33">
        <v>1127.95</v>
      </c>
      <c r="T39" s="29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</row>
    <row r="40" ht="15.75" customHeight="1">
      <c r="A40" s="32"/>
      <c r="B40" s="31">
        <v>43292.0</v>
      </c>
      <c r="C40" s="29" t="s">
        <v>32</v>
      </c>
      <c r="D40" s="29" t="s">
        <v>164</v>
      </c>
      <c r="E40" s="29" t="s">
        <v>164</v>
      </c>
      <c r="F40" s="29" t="s">
        <v>230</v>
      </c>
      <c r="G40" s="33">
        <v>1522.0</v>
      </c>
      <c r="H40" s="34">
        <v>0.0</v>
      </c>
      <c r="I40" s="30"/>
      <c r="J40" s="30"/>
      <c r="K40" s="29"/>
      <c r="L40" s="29">
        <v>0.741</v>
      </c>
      <c r="M40" s="29" t="s">
        <v>224</v>
      </c>
      <c r="N40" s="29" t="s">
        <v>227</v>
      </c>
      <c r="O40" s="29" t="s">
        <v>238</v>
      </c>
      <c r="P40" s="29" t="s">
        <v>165</v>
      </c>
      <c r="Q40" s="29" t="s">
        <v>250</v>
      </c>
      <c r="R40" s="33">
        <v>1127.8</v>
      </c>
      <c r="S40" s="33">
        <v>0.0</v>
      </c>
      <c r="T40" s="29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</row>
    <row r="41" ht="15.75" customHeight="1">
      <c r="A41" s="32"/>
      <c r="B41" s="31">
        <v>43292.0</v>
      </c>
      <c r="C41" s="29" t="s">
        <v>32</v>
      </c>
      <c r="D41" s="29" t="s">
        <v>164</v>
      </c>
      <c r="E41" s="29" t="s">
        <v>164</v>
      </c>
      <c r="F41" s="29" t="s">
        <v>256</v>
      </c>
      <c r="G41" s="35">
        <v>0.0</v>
      </c>
      <c r="H41" s="33">
        <v>1522.0</v>
      </c>
      <c r="I41" s="30"/>
      <c r="J41" s="30"/>
      <c r="K41" s="29"/>
      <c r="L41" s="29">
        <v>0.741</v>
      </c>
      <c r="M41" s="29" t="s">
        <v>224</v>
      </c>
      <c r="N41" s="29" t="s">
        <v>229</v>
      </c>
      <c r="O41" s="29" t="s">
        <v>238</v>
      </c>
      <c r="P41" s="29" t="s">
        <v>165</v>
      </c>
      <c r="Q41" s="29" t="s">
        <v>250</v>
      </c>
      <c r="R41" s="33">
        <v>0.0</v>
      </c>
      <c r="S41" s="33">
        <v>1127.8</v>
      </c>
      <c r="T41" s="29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</row>
    <row r="42" ht="15.75" customHeight="1">
      <c r="A42" s="32"/>
      <c r="B42" s="31">
        <v>43292.0</v>
      </c>
      <c r="C42" s="29" t="s">
        <v>32</v>
      </c>
      <c r="D42" s="29" t="s">
        <v>30</v>
      </c>
      <c r="E42" s="29" t="s">
        <v>164</v>
      </c>
      <c r="F42" s="29" t="s">
        <v>256</v>
      </c>
      <c r="G42" s="33">
        <v>578.0</v>
      </c>
      <c r="H42" s="34">
        <v>0.0</v>
      </c>
      <c r="I42" s="30"/>
      <c r="J42" s="30"/>
      <c r="K42" s="29"/>
      <c r="L42" s="29">
        <v>1.8</v>
      </c>
      <c r="M42" s="29" t="s">
        <v>224</v>
      </c>
      <c r="N42" s="29" t="s">
        <v>227</v>
      </c>
      <c r="O42" s="29" t="s">
        <v>238</v>
      </c>
      <c r="P42" s="29" t="s">
        <v>165</v>
      </c>
      <c r="Q42" s="29" t="s">
        <v>243</v>
      </c>
      <c r="R42" s="33">
        <v>1040.4</v>
      </c>
      <c r="S42" s="33">
        <v>0.0</v>
      </c>
      <c r="T42" s="29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</row>
    <row r="43" ht="15.75" customHeight="1">
      <c r="A43" s="32"/>
      <c r="B43" s="31">
        <v>43292.0</v>
      </c>
      <c r="C43" s="29" t="s">
        <v>32</v>
      </c>
      <c r="D43" s="29" t="s">
        <v>30</v>
      </c>
      <c r="E43" s="29" t="s">
        <v>164</v>
      </c>
      <c r="F43" s="29" t="s">
        <v>230</v>
      </c>
      <c r="G43" s="35">
        <v>0.0</v>
      </c>
      <c r="H43" s="33">
        <v>578.0</v>
      </c>
      <c r="I43" s="30"/>
      <c r="J43" s="30"/>
      <c r="K43" s="29"/>
      <c r="L43" s="29">
        <v>1.8</v>
      </c>
      <c r="M43" s="29" t="s">
        <v>224</v>
      </c>
      <c r="N43" s="29" t="s">
        <v>229</v>
      </c>
      <c r="O43" s="29" t="s">
        <v>238</v>
      </c>
      <c r="P43" s="29" t="s">
        <v>165</v>
      </c>
      <c r="Q43" s="29" t="s">
        <v>243</v>
      </c>
      <c r="R43" s="33">
        <v>0.0</v>
      </c>
      <c r="S43" s="33">
        <v>1040.4</v>
      </c>
      <c r="T43" s="29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</row>
    <row r="44" ht="15.75" customHeight="1">
      <c r="A44" s="32"/>
      <c r="B44" s="31">
        <v>43292.0</v>
      </c>
      <c r="C44" s="29" t="s">
        <v>32</v>
      </c>
      <c r="D44" s="29" t="s">
        <v>30</v>
      </c>
      <c r="E44" s="29" t="s">
        <v>164</v>
      </c>
      <c r="F44" s="29" t="s">
        <v>230</v>
      </c>
      <c r="G44" s="33">
        <v>578.0</v>
      </c>
      <c r="H44" s="34">
        <v>0.0</v>
      </c>
      <c r="I44" s="30"/>
      <c r="J44" s="30"/>
      <c r="K44" s="29"/>
      <c r="L44" s="29">
        <v>0.7411</v>
      </c>
      <c r="M44" s="29" t="s">
        <v>224</v>
      </c>
      <c r="N44" s="29" t="s">
        <v>227</v>
      </c>
      <c r="O44" s="29" t="s">
        <v>238</v>
      </c>
      <c r="P44" s="29" t="s">
        <v>165</v>
      </c>
      <c r="Q44" s="29" t="s">
        <v>253</v>
      </c>
      <c r="R44" s="33">
        <v>428.36</v>
      </c>
      <c r="S44" s="33">
        <v>0.0</v>
      </c>
      <c r="T44" s="29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</row>
    <row r="45" ht="15.75" customHeight="1">
      <c r="A45" s="32"/>
      <c r="B45" s="31">
        <v>43292.0</v>
      </c>
      <c r="C45" s="29" t="s">
        <v>32</v>
      </c>
      <c r="D45" s="29" t="s">
        <v>30</v>
      </c>
      <c r="E45" s="29" t="s">
        <v>164</v>
      </c>
      <c r="F45" s="29" t="s">
        <v>256</v>
      </c>
      <c r="G45" s="35">
        <v>0.0</v>
      </c>
      <c r="H45" s="33">
        <v>578.0</v>
      </c>
      <c r="I45" s="30"/>
      <c r="J45" s="30"/>
      <c r="K45" s="29"/>
      <c r="L45" s="29">
        <v>0.7411</v>
      </c>
      <c r="M45" s="29" t="s">
        <v>224</v>
      </c>
      <c r="N45" s="29" t="s">
        <v>229</v>
      </c>
      <c r="O45" s="29" t="s">
        <v>238</v>
      </c>
      <c r="P45" s="29" t="s">
        <v>165</v>
      </c>
      <c r="Q45" s="29" t="s">
        <v>253</v>
      </c>
      <c r="R45" s="33">
        <v>0.0</v>
      </c>
      <c r="S45" s="33">
        <v>428.36</v>
      </c>
      <c r="T45" s="29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179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IFERROR(__xludf.DUMMYFUNCTION("""COMPUTED_VALUE"""),"MasterFund")</f>
        <v>MasterFund</v>
      </c>
      <c r="C5" s="21" t="str">
        <f>IFERROR(__xludf.DUMMYFUNCTION("""COMPUTED_VALUE"""),"Accounts")</f>
        <v>Accounts</v>
      </c>
      <c r="D5" s="21" t="str">
        <f>IFERROR(__xludf.DUMMYFUNCTION("""COMPUTED_VALUE"""),"From Date")</f>
        <v>From Date</v>
      </c>
      <c r="E5" s="21" t="str">
        <f>IFERROR(__xludf.DUMMYFUNCTION("""COMPUTED_VALUE"""),"To Date")</f>
        <v>To Date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219</v>
      </c>
      <c r="C6" s="23" t="s">
        <v>32</v>
      </c>
      <c r="D6" s="25">
        <v>43290.0</v>
      </c>
      <c r="E6" s="25">
        <v>43294.0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170</v>
      </c>
      <c r="D3" s="4" t="s">
        <v>9</v>
      </c>
      <c r="E3" s="10" t="s">
        <v>177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IFERROR(__xludf.DUMMYFUNCTION("IF(C3="""","""",Transpose(IMPORTRANGE('_Settings'!$B$3,C3&amp;""!A4:A1000"")))"),"#REF!")</f>
        <v>#REF!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  <c r="I4" s="18" t="s">
        <v>178</v>
      </c>
      <c r="J4" s="18" t="s">
        <v>171</v>
      </c>
      <c r="K4" s="18" t="s">
        <v>179</v>
      </c>
      <c r="L4" s="18" t="s">
        <v>180</v>
      </c>
      <c r="M4" s="18" t="s">
        <v>181</v>
      </c>
      <c r="N4" s="18" t="s">
        <v>182</v>
      </c>
      <c r="O4" s="18" t="s">
        <v>183</v>
      </c>
      <c r="P4" s="19" t="s">
        <v>184</v>
      </c>
      <c r="Q4" s="19" t="s">
        <v>185</v>
      </c>
      <c r="R4" s="19" t="s">
        <v>186</v>
      </c>
      <c r="S4" s="19" t="s">
        <v>187</v>
      </c>
      <c r="T4" s="19" t="s">
        <v>188</v>
      </c>
      <c r="U4" s="19" t="s">
        <v>189</v>
      </c>
      <c r="V4" s="19" t="s">
        <v>190</v>
      </c>
      <c r="W4" s="19" t="s">
        <v>191</v>
      </c>
      <c r="X4" s="19" t="s">
        <v>192</v>
      </c>
      <c r="Y4" s="19" t="s">
        <v>193</v>
      </c>
      <c r="Z4" s="19" t="s">
        <v>194</v>
      </c>
      <c r="AA4" s="19" t="s">
        <v>195</v>
      </c>
      <c r="AB4" s="19" t="s">
        <v>196</v>
      </c>
      <c r="AC4" s="19" t="s">
        <v>197</v>
      </c>
      <c r="AD4" s="19" t="s">
        <v>198</v>
      </c>
      <c r="AE4" s="19" t="s">
        <v>199</v>
      </c>
      <c r="AF4" s="19" t="s">
        <v>200</v>
      </c>
      <c r="AG4" s="19" t="s">
        <v>201</v>
      </c>
      <c r="AH4" s="19" t="s">
        <v>202</v>
      </c>
      <c r="AI4" s="19" t="s">
        <v>203</v>
      </c>
      <c r="AJ4" s="19" t="s">
        <v>204</v>
      </c>
      <c r="AK4" s="19" t="s">
        <v>205</v>
      </c>
      <c r="AL4" s="19" t="s">
        <v>206</v>
      </c>
      <c r="AM4" s="19" t="s">
        <v>207</v>
      </c>
      <c r="AN4" s="19" t="s">
        <v>208</v>
      </c>
      <c r="AO4" s="19" t="s">
        <v>209</v>
      </c>
      <c r="AP4" s="19" t="s">
        <v>210</v>
      </c>
      <c r="AQ4" s="19" t="s">
        <v>211</v>
      </c>
      <c r="AR4" s="19" t="s">
        <v>212</v>
      </c>
      <c r="AS4" s="19" t="s">
        <v>213</v>
      </c>
      <c r="AT4" s="19" t="s">
        <v>214</v>
      </c>
      <c r="AU4" s="19" t="s">
        <v>215</v>
      </c>
      <c r="AV4" s="19" t="s">
        <v>216</v>
      </c>
      <c r="AW4" s="19" t="s">
        <v>217</v>
      </c>
      <c r="AX4" s="19" t="s">
        <v>218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8"/>
      <c r="B6" s="31">
        <v>43291.0</v>
      </c>
      <c r="C6" s="29" t="s">
        <v>32</v>
      </c>
      <c r="D6" s="29" t="s">
        <v>164</v>
      </c>
      <c r="E6" s="29" t="s">
        <v>165</v>
      </c>
      <c r="F6" s="29" t="s">
        <v>254</v>
      </c>
      <c r="G6" s="33">
        <v>1143.02</v>
      </c>
      <c r="H6" s="34">
        <v>0.0</v>
      </c>
      <c r="I6" s="30"/>
      <c r="J6" s="30"/>
      <c r="K6" s="29"/>
      <c r="L6" s="29">
        <v>1.0</v>
      </c>
      <c r="M6" s="29" t="s">
        <v>224</v>
      </c>
      <c r="N6" s="29" t="s">
        <v>227</v>
      </c>
      <c r="O6" s="29" t="s">
        <v>238</v>
      </c>
      <c r="P6" s="29" t="s">
        <v>165</v>
      </c>
      <c r="Q6" s="29" t="s">
        <v>248</v>
      </c>
      <c r="R6" s="33">
        <v>1143.02</v>
      </c>
      <c r="S6" s="33">
        <v>0.0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15.75" customHeight="1">
      <c r="A7" s="28"/>
      <c r="B7" s="31">
        <v>43291.0</v>
      </c>
      <c r="C7" s="29" t="s">
        <v>32</v>
      </c>
      <c r="D7" s="29" t="s">
        <v>164</v>
      </c>
      <c r="E7" s="29" t="s">
        <v>165</v>
      </c>
      <c r="F7" s="29" t="s">
        <v>255</v>
      </c>
      <c r="G7" s="35">
        <v>0.0</v>
      </c>
      <c r="H7" s="33">
        <v>1143.02</v>
      </c>
      <c r="I7" s="30"/>
      <c r="J7" s="30"/>
      <c r="K7" s="29"/>
      <c r="L7" s="29">
        <v>1.0</v>
      </c>
      <c r="M7" s="29" t="s">
        <v>224</v>
      </c>
      <c r="N7" s="29" t="s">
        <v>229</v>
      </c>
      <c r="O7" s="29" t="s">
        <v>238</v>
      </c>
      <c r="P7" s="29" t="s">
        <v>165</v>
      </c>
      <c r="Q7" s="29" t="s">
        <v>248</v>
      </c>
      <c r="R7" s="33">
        <v>0.0</v>
      </c>
      <c r="S7" s="33">
        <v>1143.02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15.75" customHeight="1">
      <c r="A8" s="28"/>
      <c r="B8" s="31">
        <v>43291.0</v>
      </c>
      <c r="C8" s="29" t="s">
        <v>32</v>
      </c>
      <c r="D8" s="29" t="s">
        <v>30</v>
      </c>
      <c r="E8" s="29" t="s">
        <v>164</v>
      </c>
      <c r="F8" s="29" t="s">
        <v>254</v>
      </c>
      <c r="G8" s="33">
        <v>492.0</v>
      </c>
      <c r="H8" s="34">
        <v>0.0</v>
      </c>
      <c r="I8" s="30"/>
      <c r="J8" s="30"/>
      <c r="K8" s="29"/>
      <c r="L8" s="29">
        <v>0.749</v>
      </c>
      <c r="M8" s="29" t="s">
        <v>224</v>
      </c>
      <c r="N8" s="29" t="s">
        <v>227</v>
      </c>
      <c r="O8" s="29" t="s">
        <v>238</v>
      </c>
      <c r="P8" s="29" t="s">
        <v>165</v>
      </c>
      <c r="Q8" s="29" t="s">
        <v>248</v>
      </c>
      <c r="R8" s="33">
        <v>368.51</v>
      </c>
      <c r="S8" s="33">
        <v>0.0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</row>
    <row r="9" ht="15.75" customHeight="1">
      <c r="A9" s="28"/>
      <c r="B9" s="31">
        <v>43291.0</v>
      </c>
      <c r="C9" s="29" t="s">
        <v>32</v>
      </c>
      <c r="D9" s="29" t="s">
        <v>30</v>
      </c>
      <c r="E9" s="29" t="s">
        <v>164</v>
      </c>
      <c r="F9" s="29" t="s">
        <v>255</v>
      </c>
      <c r="G9" s="35">
        <v>0.0</v>
      </c>
      <c r="H9" s="33">
        <v>492.0</v>
      </c>
      <c r="I9" s="30"/>
      <c r="J9" s="30"/>
      <c r="K9" s="29"/>
      <c r="L9" s="29">
        <v>0.749</v>
      </c>
      <c r="M9" s="29" t="s">
        <v>224</v>
      </c>
      <c r="N9" s="29" t="s">
        <v>229</v>
      </c>
      <c r="O9" s="29" t="s">
        <v>238</v>
      </c>
      <c r="P9" s="29" t="s">
        <v>165</v>
      </c>
      <c r="Q9" s="29" t="s">
        <v>248</v>
      </c>
      <c r="R9" s="33">
        <v>0.0</v>
      </c>
      <c r="S9" s="33">
        <v>368.51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</row>
    <row r="10" ht="15.75" customHeight="1">
      <c r="A10" s="28"/>
      <c r="B10" s="31">
        <v>43290.0</v>
      </c>
      <c r="C10" s="29" t="s">
        <v>32</v>
      </c>
      <c r="D10" s="29" t="s">
        <v>164</v>
      </c>
      <c r="E10" s="29" t="s">
        <v>165</v>
      </c>
      <c r="F10" s="29" t="s">
        <v>255</v>
      </c>
      <c r="G10" s="33">
        <v>1143.02</v>
      </c>
      <c r="H10" s="34">
        <v>0.0</v>
      </c>
      <c r="I10" s="30"/>
      <c r="J10" s="30"/>
      <c r="K10" s="29"/>
      <c r="L10" s="29">
        <v>1.0</v>
      </c>
      <c r="M10" s="29" t="s">
        <v>224</v>
      </c>
      <c r="N10" s="29" t="s">
        <v>227</v>
      </c>
      <c r="O10" s="29" t="s">
        <v>238</v>
      </c>
      <c r="P10" s="29" t="s">
        <v>165</v>
      </c>
      <c r="Q10" s="29" t="s">
        <v>240</v>
      </c>
      <c r="R10" s="33">
        <v>1143.02</v>
      </c>
      <c r="S10" s="33">
        <v>0.0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</row>
    <row r="11" ht="15.75" customHeight="1">
      <c r="A11" s="28"/>
      <c r="B11" s="31">
        <v>43290.0</v>
      </c>
      <c r="C11" s="29" t="s">
        <v>32</v>
      </c>
      <c r="D11" s="29" t="s">
        <v>164</v>
      </c>
      <c r="E11" s="29" t="s">
        <v>165</v>
      </c>
      <c r="F11" s="29" t="s">
        <v>254</v>
      </c>
      <c r="G11" s="35">
        <v>0.0</v>
      </c>
      <c r="H11" s="33">
        <v>1143.02</v>
      </c>
      <c r="I11" s="30"/>
      <c r="J11" s="30"/>
      <c r="K11" s="29"/>
      <c r="L11" s="29">
        <v>1.0</v>
      </c>
      <c r="M11" s="29" t="s">
        <v>224</v>
      </c>
      <c r="N11" s="29" t="s">
        <v>229</v>
      </c>
      <c r="O11" s="29" t="s">
        <v>238</v>
      </c>
      <c r="P11" s="29" t="s">
        <v>165</v>
      </c>
      <c r="Q11" s="29" t="s">
        <v>240</v>
      </c>
      <c r="R11" s="33">
        <v>0.0</v>
      </c>
      <c r="S11" s="33">
        <v>1143.02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</row>
    <row r="12" ht="15.75" customHeight="1">
      <c r="A12" s="28"/>
      <c r="B12" s="31">
        <v>43290.0</v>
      </c>
      <c r="C12" s="29" t="s">
        <v>32</v>
      </c>
      <c r="D12" s="29" t="s">
        <v>30</v>
      </c>
      <c r="E12" s="29" t="s">
        <v>164</v>
      </c>
      <c r="F12" s="29" t="s">
        <v>255</v>
      </c>
      <c r="G12" s="33">
        <v>492.0</v>
      </c>
      <c r="H12" s="34">
        <v>0.0</v>
      </c>
      <c r="I12" s="30"/>
      <c r="J12" s="30"/>
      <c r="K12" s="29"/>
      <c r="L12" s="29">
        <v>0.749</v>
      </c>
      <c r="M12" s="29" t="s">
        <v>224</v>
      </c>
      <c r="N12" s="29" t="s">
        <v>227</v>
      </c>
      <c r="O12" s="29" t="s">
        <v>238</v>
      </c>
      <c r="P12" s="29" t="s">
        <v>165</v>
      </c>
      <c r="Q12" s="29" t="s">
        <v>240</v>
      </c>
      <c r="R12" s="33">
        <v>368.51</v>
      </c>
      <c r="S12" s="33">
        <v>0.0</v>
      </c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</row>
    <row r="13" ht="15.75" customHeight="1">
      <c r="A13" s="28"/>
      <c r="B13" s="31">
        <v>43290.0</v>
      </c>
      <c r="C13" s="29" t="s">
        <v>32</v>
      </c>
      <c r="D13" s="29" t="s">
        <v>30</v>
      </c>
      <c r="E13" s="29" t="s">
        <v>164</v>
      </c>
      <c r="F13" s="29" t="s">
        <v>254</v>
      </c>
      <c r="G13" s="35">
        <v>0.0</v>
      </c>
      <c r="H13" s="33">
        <v>492.0</v>
      </c>
      <c r="I13" s="30"/>
      <c r="J13" s="30"/>
      <c r="K13" s="29"/>
      <c r="L13" s="29">
        <v>0.749</v>
      </c>
      <c r="M13" s="29" t="s">
        <v>224</v>
      </c>
      <c r="N13" s="29" t="s">
        <v>229</v>
      </c>
      <c r="O13" s="29" t="s">
        <v>238</v>
      </c>
      <c r="P13" s="29" t="s">
        <v>165</v>
      </c>
      <c r="Q13" s="29" t="s">
        <v>240</v>
      </c>
      <c r="R13" s="33">
        <v>0.0</v>
      </c>
      <c r="S13" s="33">
        <v>368.51</v>
      </c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</row>
    <row r="14" ht="15.75" customHeight="1">
      <c r="A14" s="28"/>
      <c r="B14" s="31">
        <v>43291.0</v>
      </c>
      <c r="C14" s="29" t="s">
        <v>32</v>
      </c>
      <c r="D14" s="29" t="s">
        <v>164</v>
      </c>
      <c r="E14" s="29" t="s">
        <v>165</v>
      </c>
      <c r="F14" s="29" t="s">
        <v>255</v>
      </c>
      <c r="G14" s="33">
        <v>1155.2</v>
      </c>
      <c r="H14" s="34">
        <v>0.0</v>
      </c>
      <c r="I14" s="30"/>
      <c r="J14" s="30"/>
      <c r="K14" s="29"/>
      <c r="L14" s="29">
        <v>1.0</v>
      </c>
      <c r="M14" s="29" t="s">
        <v>224</v>
      </c>
      <c r="N14" s="29" t="s">
        <v>227</v>
      </c>
      <c r="O14" s="29" t="s">
        <v>238</v>
      </c>
      <c r="P14" s="29" t="s">
        <v>165</v>
      </c>
      <c r="Q14" s="29" t="s">
        <v>240</v>
      </c>
      <c r="R14" s="33">
        <v>1155.2</v>
      </c>
      <c r="S14" s="33">
        <v>0.0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</row>
    <row r="15" ht="15.75" customHeight="1">
      <c r="A15" s="28"/>
      <c r="B15" s="31">
        <v>43291.0</v>
      </c>
      <c r="C15" s="29" t="s">
        <v>32</v>
      </c>
      <c r="D15" s="29" t="s">
        <v>164</v>
      </c>
      <c r="E15" s="29" t="s">
        <v>165</v>
      </c>
      <c r="F15" s="29" t="s">
        <v>254</v>
      </c>
      <c r="G15" s="35">
        <v>0.0</v>
      </c>
      <c r="H15" s="33">
        <v>1155.2</v>
      </c>
      <c r="I15" s="30"/>
      <c r="J15" s="30"/>
      <c r="K15" s="29"/>
      <c r="L15" s="29">
        <v>1.0</v>
      </c>
      <c r="M15" s="29" t="s">
        <v>224</v>
      </c>
      <c r="N15" s="29" t="s">
        <v>229</v>
      </c>
      <c r="O15" s="29" t="s">
        <v>238</v>
      </c>
      <c r="P15" s="29" t="s">
        <v>165</v>
      </c>
      <c r="Q15" s="29" t="s">
        <v>240</v>
      </c>
      <c r="R15" s="33">
        <v>0.0</v>
      </c>
      <c r="S15" s="33">
        <v>1155.2</v>
      </c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</row>
    <row r="16" ht="15.75" customHeight="1">
      <c r="A16" s="28"/>
      <c r="B16" s="31">
        <v>43291.0</v>
      </c>
      <c r="C16" s="29" t="s">
        <v>32</v>
      </c>
      <c r="D16" s="29" t="s">
        <v>30</v>
      </c>
      <c r="E16" s="29" t="s">
        <v>164</v>
      </c>
      <c r="F16" s="29" t="s">
        <v>254</v>
      </c>
      <c r="G16" s="33">
        <v>538.0</v>
      </c>
      <c r="H16" s="34">
        <v>0.0</v>
      </c>
      <c r="I16" s="30"/>
      <c r="J16" s="30"/>
      <c r="K16" s="29"/>
      <c r="L16" s="29">
        <v>0.741</v>
      </c>
      <c r="M16" s="29" t="s">
        <v>224</v>
      </c>
      <c r="N16" s="29" t="s">
        <v>227</v>
      </c>
      <c r="O16" s="29" t="s">
        <v>238</v>
      </c>
      <c r="P16" s="29" t="s">
        <v>165</v>
      </c>
      <c r="Q16" s="29" t="s">
        <v>240</v>
      </c>
      <c r="R16" s="33">
        <v>398.66</v>
      </c>
      <c r="S16" s="33">
        <v>0.0</v>
      </c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</row>
    <row r="17" ht="15.75" customHeight="1">
      <c r="A17" s="28"/>
      <c r="B17" s="31">
        <v>43291.0</v>
      </c>
      <c r="C17" s="29" t="s">
        <v>32</v>
      </c>
      <c r="D17" s="29" t="s">
        <v>30</v>
      </c>
      <c r="E17" s="29" t="s">
        <v>164</v>
      </c>
      <c r="F17" s="29" t="s">
        <v>255</v>
      </c>
      <c r="G17" s="35">
        <v>0.0</v>
      </c>
      <c r="H17" s="33">
        <v>538.0</v>
      </c>
      <c r="I17" s="30"/>
      <c r="J17" s="30"/>
      <c r="K17" s="29"/>
      <c r="L17" s="29">
        <v>0.741</v>
      </c>
      <c r="M17" s="29" t="s">
        <v>224</v>
      </c>
      <c r="N17" s="29" t="s">
        <v>229</v>
      </c>
      <c r="O17" s="29" t="s">
        <v>238</v>
      </c>
      <c r="P17" s="29" t="s">
        <v>165</v>
      </c>
      <c r="Q17" s="29" t="s">
        <v>240</v>
      </c>
      <c r="R17" s="33">
        <v>0.0</v>
      </c>
      <c r="S17" s="33">
        <v>398.66</v>
      </c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</row>
    <row r="18" ht="15.75" customHeight="1">
      <c r="A18" s="28"/>
      <c r="B18" s="31">
        <v>43290.0</v>
      </c>
      <c r="C18" s="29" t="s">
        <v>32</v>
      </c>
      <c r="D18" s="29" t="s">
        <v>30</v>
      </c>
      <c r="E18" s="29" t="s">
        <v>164</v>
      </c>
      <c r="F18" s="29" t="s">
        <v>230</v>
      </c>
      <c r="G18" s="33">
        <v>1522.0</v>
      </c>
      <c r="H18" s="34">
        <v>0.0</v>
      </c>
      <c r="I18" s="30"/>
      <c r="J18" s="30"/>
      <c r="K18" s="29"/>
      <c r="L18" s="29">
        <v>1.5</v>
      </c>
      <c r="M18" s="29" t="s">
        <v>224</v>
      </c>
      <c r="N18" s="29" t="s">
        <v>227</v>
      </c>
      <c r="O18" s="29" t="s">
        <v>238</v>
      </c>
      <c r="P18" s="29" t="s">
        <v>165</v>
      </c>
      <c r="Q18" s="29" t="s">
        <v>243</v>
      </c>
      <c r="R18" s="33">
        <v>2283.0</v>
      </c>
      <c r="S18" s="33">
        <v>0.0</v>
      </c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ht="15.75" customHeight="1">
      <c r="A19" s="28"/>
      <c r="B19" s="31">
        <v>43290.0</v>
      </c>
      <c r="C19" s="29" t="s">
        <v>32</v>
      </c>
      <c r="D19" s="29" t="s">
        <v>30</v>
      </c>
      <c r="E19" s="29" t="s">
        <v>164</v>
      </c>
      <c r="F19" s="29" t="s">
        <v>256</v>
      </c>
      <c r="G19" s="35">
        <v>0.0</v>
      </c>
      <c r="H19" s="33">
        <v>1522.0</v>
      </c>
      <c r="I19" s="30"/>
      <c r="J19" s="30"/>
      <c r="K19" s="29"/>
      <c r="L19" s="29">
        <v>1.5</v>
      </c>
      <c r="M19" s="29" t="s">
        <v>224</v>
      </c>
      <c r="N19" s="29" t="s">
        <v>229</v>
      </c>
      <c r="O19" s="29" t="s">
        <v>238</v>
      </c>
      <c r="P19" s="29" t="s">
        <v>165</v>
      </c>
      <c r="Q19" s="29" t="s">
        <v>243</v>
      </c>
      <c r="R19" s="33">
        <v>0.0</v>
      </c>
      <c r="S19" s="33">
        <v>2283.0</v>
      </c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ht="15.75" customHeight="1">
      <c r="A20" s="28"/>
      <c r="B20" s="31">
        <v>43290.0</v>
      </c>
      <c r="C20" s="29" t="s">
        <v>32</v>
      </c>
      <c r="D20" s="29" t="s">
        <v>30</v>
      </c>
      <c r="E20" s="29" t="s">
        <v>164</v>
      </c>
      <c r="F20" s="29" t="s">
        <v>256</v>
      </c>
      <c r="G20" s="33">
        <v>1522.0</v>
      </c>
      <c r="H20" s="34">
        <v>0.0</v>
      </c>
      <c r="I20" s="30"/>
      <c r="J20" s="30"/>
      <c r="K20" s="29"/>
      <c r="L20" s="29">
        <v>0.749</v>
      </c>
      <c r="M20" s="29" t="s">
        <v>224</v>
      </c>
      <c r="N20" s="29" t="s">
        <v>227</v>
      </c>
      <c r="O20" s="29" t="s">
        <v>238</v>
      </c>
      <c r="P20" s="29" t="s">
        <v>165</v>
      </c>
      <c r="Q20" s="29" t="s">
        <v>244</v>
      </c>
      <c r="R20" s="33">
        <v>1139.98</v>
      </c>
      <c r="S20" s="33">
        <v>0.0</v>
      </c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ht="15.75" customHeight="1">
      <c r="A21" s="28"/>
      <c r="B21" s="31">
        <v>43290.0</v>
      </c>
      <c r="C21" s="29" t="s">
        <v>32</v>
      </c>
      <c r="D21" s="29" t="s">
        <v>30</v>
      </c>
      <c r="E21" s="29" t="s">
        <v>164</v>
      </c>
      <c r="F21" s="29" t="s">
        <v>230</v>
      </c>
      <c r="G21" s="35">
        <v>0.0</v>
      </c>
      <c r="H21" s="33">
        <v>1522.0</v>
      </c>
      <c r="I21" s="30"/>
      <c r="J21" s="30"/>
      <c r="K21" s="29"/>
      <c r="L21" s="29">
        <v>0.749</v>
      </c>
      <c r="M21" s="29" t="s">
        <v>224</v>
      </c>
      <c r="N21" s="29" t="s">
        <v>229</v>
      </c>
      <c r="O21" s="29" t="s">
        <v>238</v>
      </c>
      <c r="P21" s="29" t="s">
        <v>165</v>
      </c>
      <c r="Q21" s="29" t="s">
        <v>244</v>
      </c>
      <c r="R21" s="33">
        <v>0.0</v>
      </c>
      <c r="S21" s="33">
        <v>1139.98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ht="15.75" customHeight="1">
      <c r="A22" s="28"/>
      <c r="B22" s="31">
        <v>43291.0</v>
      </c>
      <c r="C22" s="29" t="s">
        <v>32</v>
      </c>
      <c r="D22" s="29" t="s">
        <v>164</v>
      </c>
      <c r="E22" s="29" t="s">
        <v>164</v>
      </c>
      <c r="F22" s="29" t="s">
        <v>256</v>
      </c>
      <c r="G22" s="33">
        <v>1522.0</v>
      </c>
      <c r="H22" s="34">
        <v>0.0</v>
      </c>
      <c r="I22" s="30"/>
      <c r="J22" s="30"/>
      <c r="K22" s="29"/>
      <c r="L22" s="29">
        <v>0.741</v>
      </c>
      <c r="M22" s="29" t="s">
        <v>224</v>
      </c>
      <c r="N22" s="29" t="s">
        <v>227</v>
      </c>
      <c r="O22" s="29" t="s">
        <v>238</v>
      </c>
      <c r="P22" s="29" t="s">
        <v>165</v>
      </c>
      <c r="Q22" s="29" t="s">
        <v>249</v>
      </c>
      <c r="R22" s="33">
        <v>1127.8</v>
      </c>
      <c r="S22" s="33">
        <v>0.0</v>
      </c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ht="15.75" customHeight="1">
      <c r="A23" s="28"/>
      <c r="B23" s="31">
        <v>43291.0</v>
      </c>
      <c r="C23" s="29" t="s">
        <v>32</v>
      </c>
      <c r="D23" s="29" t="s">
        <v>164</v>
      </c>
      <c r="E23" s="29" t="s">
        <v>164</v>
      </c>
      <c r="F23" s="29" t="s">
        <v>230</v>
      </c>
      <c r="G23" s="35">
        <v>0.0</v>
      </c>
      <c r="H23" s="33">
        <v>1522.0</v>
      </c>
      <c r="I23" s="30"/>
      <c r="J23" s="30"/>
      <c r="K23" s="29"/>
      <c r="L23" s="29">
        <v>0.741</v>
      </c>
      <c r="M23" s="29" t="s">
        <v>224</v>
      </c>
      <c r="N23" s="29" t="s">
        <v>229</v>
      </c>
      <c r="O23" s="29" t="s">
        <v>238</v>
      </c>
      <c r="P23" s="29" t="s">
        <v>165</v>
      </c>
      <c r="Q23" s="29" t="s">
        <v>249</v>
      </c>
      <c r="R23" s="33">
        <v>0.0</v>
      </c>
      <c r="S23" s="33">
        <v>1127.8</v>
      </c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ht="15.75" customHeight="1">
      <c r="A24" s="28"/>
      <c r="B24" s="31">
        <v>43291.0</v>
      </c>
      <c r="C24" s="29" t="s">
        <v>32</v>
      </c>
      <c r="D24" s="29" t="s">
        <v>164</v>
      </c>
      <c r="E24" s="29" t="s">
        <v>164</v>
      </c>
      <c r="F24" s="29" t="s">
        <v>230</v>
      </c>
      <c r="G24" s="33">
        <v>1522.0</v>
      </c>
      <c r="H24" s="34">
        <v>0.0</v>
      </c>
      <c r="I24" s="30"/>
      <c r="J24" s="30"/>
      <c r="K24" s="29"/>
      <c r="L24" s="29">
        <v>0.749</v>
      </c>
      <c r="M24" s="29" t="s">
        <v>224</v>
      </c>
      <c r="N24" s="29" t="s">
        <v>227</v>
      </c>
      <c r="O24" s="29" t="s">
        <v>238</v>
      </c>
      <c r="P24" s="29" t="s">
        <v>165</v>
      </c>
      <c r="Q24" s="29" t="s">
        <v>250</v>
      </c>
      <c r="R24" s="33">
        <v>1139.98</v>
      </c>
      <c r="S24" s="33">
        <v>0.0</v>
      </c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</row>
    <row r="25" ht="15.75" customHeight="1">
      <c r="A25" s="28"/>
      <c r="B25" s="31">
        <v>43291.0</v>
      </c>
      <c r="C25" s="29" t="s">
        <v>32</v>
      </c>
      <c r="D25" s="29" t="s">
        <v>164</v>
      </c>
      <c r="E25" s="29" t="s">
        <v>164</v>
      </c>
      <c r="F25" s="29" t="s">
        <v>256</v>
      </c>
      <c r="G25" s="35">
        <v>0.0</v>
      </c>
      <c r="H25" s="33">
        <v>1522.0</v>
      </c>
      <c r="I25" s="30"/>
      <c r="J25" s="30"/>
      <c r="K25" s="29"/>
      <c r="L25" s="29">
        <v>0.749</v>
      </c>
      <c r="M25" s="29" t="s">
        <v>224</v>
      </c>
      <c r="N25" s="29" t="s">
        <v>229</v>
      </c>
      <c r="O25" s="29" t="s">
        <v>238</v>
      </c>
      <c r="P25" s="29" t="s">
        <v>165</v>
      </c>
      <c r="Q25" s="29" t="s">
        <v>250</v>
      </c>
      <c r="R25" s="33">
        <v>0.0</v>
      </c>
      <c r="S25" s="33">
        <v>1139.98</v>
      </c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</row>
    <row r="26" ht="15.75" customHeight="1">
      <c r="A26" s="28"/>
      <c r="B26" s="31">
        <v>43292.0</v>
      </c>
      <c r="C26" s="29" t="s">
        <v>32</v>
      </c>
      <c r="D26" s="29" t="s">
        <v>164</v>
      </c>
      <c r="E26" s="29" t="s">
        <v>165</v>
      </c>
      <c r="F26" s="29" t="s">
        <v>254</v>
      </c>
      <c r="G26" s="33">
        <v>1155.2</v>
      </c>
      <c r="H26" s="34">
        <v>0.0</v>
      </c>
      <c r="I26" s="30"/>
      <c r="J26" s="30"/>
      <c r="K26" s="29"/>
      <c r="L26" s="29">
        <v>1.0</v>
      </c>
      <c r="M26" s="29" t="s">
        <v>224</v>
      </c>
      <c r="N26" s="29" t="s">
        <v>227</v>
      </c>
      <c r="O26" s="29" t="s">
        <v>238</v>
      </c>
      <c r="P26" s="29" t="s">
        <v>165</v>
      </c>
      <c r="Q26" s="29" t="s">
        <v>248</v>
      </c>
      <c r="R26" s="33">
        <v>1155.2</v>
      </c>
      <c r="S26" s="33">
        <v>0.0</v>
      </c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</row>
    <row r="27" ht="15.75" customHeight="1">
      <c r="A27" s="32"/>
      <c r="B27" s="31">
        <v>43292.0</v>
      </c>
      <c r="C27" s="29" t="s">
        <v>32</v>
      </c>
      <c r="D27" s="29" t="s">
        <v>164</v>
      </c>
      <c r="E27" s="29" t="s">
        <v>165</v>
      </c>
      <c r="F27" s="29" t="s">
        <v>255</v>
      </c>
      <c r="G27" s="35">
        <v>0.0</v>
      </c>
      <c r="H27" s="33">
        <v>1155.2</v>
      </c>
      <c r="I27" s="30"/>
      <c r="J27" s="30"/>
      <c r="K27" s="29"/>
      <c r="L27" s="29">
        <v>1.0</v>
      </c>
      <c r="M27" s="29" t="s">
        <v>224</v>
      </c>
      <c r="N27" s="29" t="s">
        <v>229</v>
      </c>
      <c r="O27" s="29" t="s">
        <v>238</v>
      </c>
      <c r="P27" s="29" t="s">
        <v>165</v>
      </c>
      <c r="Q27" s="29" t="s">
        <v>248</v>
      </c>
      <c r="R27" s="33">
        <v>0.0</v>
      </c>
      <c r="S27" s="33">
        <v>1155.2</v>
      </c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</row>
    <row r="28" ht="15.75" customHeight="1">
      <c r="A28" s="32"/>
      <c r="B28" s="31">
        <v>43292.0</v>
      </c>
      <c r="C28" s="29" t="s">
        <v>32</v>
      </c>
      <c r="D28" s="29" t="s">
        <v>30</v>
      </c>
      <c r="E28" s="29" t="s">
        <v>164</v>
      </c>
      <c r="F28" s="29" t="s">
        <v>255</v>
      </c>
      <c r="G28" s="33">
        <v>538.0</v>
      </c>
      <c r="H28" s="34">
        <v>0.0</v>
      </c>
      <c r="I28" s="30"/>
      <c r="J28" s="30"/>
      <c r="K28" s="29"/>
      <c r="L28" s="29">
        <v>0.741</v>
      </c>
      <c r="M28" s="29" t="s">
        <v>224</v>
      </c>
      <c r="N28" s="29" t="s">
        <v>227</v>
      </c>
      <c r="O28" s="29" t="s">
        <v>238</v>
      </c>
      <c r="P28" s="29" t="s">
        <v>165</v>
      </c>
      <c r="Q28" s="29" t="s">
        <v>248</v>
      </c>
      <c r="R28" s="33">
        <v>398.66</v>
      </c>
      <c r="S28" s="33">
        <v>0.0</v>
      </c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</row>
    <row r="29" ht="15.75" customHeight="1">
      <c r="A29" s="32"/>
      <c r="B29" s="31">
        <v>43292.0</v>
      </c>
      <c r="C29" s="29" t="s">
        <v>32</v>
      </c>
      <c r="D29" s="29" t="s">
        <v>30</v>
      </c>
      <c r="E29" s="29" t="s">
        <v>164</v>
      </c>
      <c r="F29" s="29" t="s">
        <v>254</v>
      </c>
      <c r="G29" s="35">
        <v>0.0</v>
      </c>
      <c r="H29" s="33">
        <v>538.0</v>
      </c>
      <c r="I29" s="30"/>
      <c r="J29" s="30"/>
      <c r="K29" s="29"/>
      <c r="L29" s="29">
        <v>0.741</v>
      </c>
      <c r="M29" s="29" t="s">
        <v>224</v>
      </c>
      <c r="N29" s="29" t="s">
        <v>229</v>
      </c>
      <c r="O29" s="29" t="s">
        <v>238</v>
      </c>
      <c r="P29" s="29" t="s">
        <v>165</v>
      </c>
      <c r="Q29" s="29" t="s">
        <v>248</v>
      </c>
      <c r="R29" s="33">
        <v>0.0</v>
      </c>
      <c r="S29" s="33">
        <v>398.66</v>
      </c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</row>
    <row r="30" ht="15.75" customHeight="1">
      <c r="A30" s="32"/>
      <c r="B30" s="31">
        <v>43293.0</v>
      </c>
      <c r="C30" s="29" t="s">
        <v>32</v>
      </c>
      <c r="D30" s="29" t="s">
        <v>164</v>
      </c>
      <c r="E30" s="29" t="s">
        <v>165</v>
      </c>
      <c r="F30" s="29" t="s">
        <v>254</v>
      </c>
      <c r="G30" s="33">
        <v>1155.05</v>
      </c>
      <c r="H30" s="34">
        <v>0.0</v>
      </c>
      <c r="I30" s="30"/>
      <c r="J30" s="30"/>
      <c r="K30" s="29"/>
      <c r="L30" s="29">
        <v>1.0</v>
      </c>
      <c r="M30" s="29" t="s">
        <v>224</v>
      </c>
      <c r="N30" s="29" t="s">
        <v>227</v>
      </c>
      <c r="O30" s="29" t="s">
        <v>238</v>
      </c>
      <c r="P30" s="29" t="s">
        <v>165</v>
      </c>
      <c r="Q30" s="29" t="s">
        <v>248</v>
      </c>
      <c r="R30" s="33">
        <v>1155.05</v>
      </c>
      <c r="S30" s="33">
        <v>0.0</v>
      </c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</row>
    <row r="31" ht="15.75" customHeight="1">
      <c r="A31" s="32"/>
      <c r="B31" s="31">
        <v>43293.0</v>
      </c>
      <c r="C31" s="29" t="s">
        <v>32</v>
      </c>
      <c r="D31" s="29" t="s">
        <v>164</v>
      </c>
      <c r="E31" s="29" t="s">
        <v>165</v>
      </c>
      <c r="F31" s="29" t="s">
        <v>255</v>
      </c>
      <c r="G31" s="35">
        <v>0.0</v>
      </c>
      <c r="H31" s="33">
        <v>1155.05</v>
      </c>
      <c r="I31" s="30"/>
      <c r="J31" s="30"/>
      <c r="K31" s="29"/>
      <c r="L31" s="29">
        <v>1.0</v>
      </c>
      <c r="M31" s="29" t="s">
        <v>224</v>
      </c>
      <c r="N31" s="29" t="s">
        <v>229</v>
      </c>
      <c r="O31" s="29" t="s">
        <v>238</v>
      </c>
      <c r="P31" s="29" t="s">
        <v>165</v>
      </c>
      <c r="Q31" s="29" t="s">
        <v>248</v>
      </c>
      <c r="R31" s="33">
        <v>0.0</v>
      </c>
      <c r="S31" s="33">
        <v>1155.05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</row>
    <row r="32" ht="15.75" customHeight="1">
      <c r="A32" s="32"/>
      <c r="B32" s="31">
        <v>43293.0</v>
      </c>
      <c r="C32" s="29" t="s">
        <v>32</v>
      </c>
      <c r="D32" s="29" t="s">
        <v>164</v>
      </c>
      <c r="E32" s="29" t="s">
        <v>165</v>
      </c>
      <c r="F32" s="29" t="s">
        <v>255</v>
      </c>
      <c r="G32" s="33">
        <v>612.04</v>
      </c>
      <c r="H32" s="34">
        <v>0.0</v>
      </c>
      <c r="I32" s="30"/>
      <c r="J32" s="30"/>
      <c r="K32" s="29"/>
      <c r="L32" s="29">
        <v>1.0</v>
      </c>
      <c r="M32" s="29" t="s">
        <v>224</v>
      </c>
      <c r="N32" s="29" t="s">
        <v>227</v>
      </c>
      <c r="O32" s="29" t="s">
        <v>238</v>
      </c>
      <c r="P32" s="29" t="s">
        <v>165</v>
      </c>
      <c r="Q32" s="29" t="s">
        <v>248</v>
      </c>
      <c r="R32" s="33">
        <v>612.04</v>
      </c>
      <c r="S32" s="33">
        <v>0.0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</row>
    <row r="33" ht="15.75" customHeight="1">
      <c r="A33" s="32"/>
      <c r="B33" s="31">
        <v>43293.0</v>
      </c>
      <c r="C33" s="29" t="s">
        <v>32</v>
      </c>
      <c r="D33" s="29" t="s">
        <v>164</v>
      </c>
      <c r="E33" s="29" t="s">
        <v>165</v>
      </c>
      <c r="F33" s="29" t="s">
        <v>254</v>
      </c>
      <c r="G33" s="35">
        <v>0.0</v>
      </c>
      <c r="H33" s="33">
        <v>612.04</v>
      </c>
      <c r="I33" s="30"/>
      <c r="J33" s="30"/>
      <c r="K33" s="29"/>
      <c r="L33" s="29">
        <v>1.0</v>
      </c>
      <c r="M33" s="29" t="s">
        <v>224</v>
      </c>
      <c r="N33" s="29" t="s">
        <v>229</v>
      </c>
      <c r="O33" s="29" t="s">
        <v>238</v>
      </c>
      <c r="P33" s="29" t="s">
        <v>165</v>
      </c>
      <c r="Q33" s="29" t="s">
        <v>248</v>
      </c>
      <c r="R33" s="33">
        <v>0.0</v>
      </c>
      <c r="S33" s="33">
        <v>612.04</v>
      </c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</row>
    <row r="34" ht="15.75" customHeight="1">
      <c r="A34" s="32"/>
      <c r="B34" s="31">
        <v>43293.0</v>
      </c>
      <c r="C34" s="29" t="s">
        <v>32</v>
      </c>
      <c r="D34" s="29" t="s">
        <v>30</v>
      </c>
      <c r="E34" s="29" t="s">
        <v>164</v>
      </c>
      <c r="F34" s="29" t="s">
        <v>255</v>
      </c>
      <c r="G34" s="33">
        <v>1568.0</v>
      </c>
      <c r="H34" s="34">
        <v>0.0</v>
      </c>
      <c r="I34" s="30"/>
      <c r="J34" s="30"/>
      <c r="K34" s="29"/>
      <c r="L34" s="29">
        <v>0.7411</v>
      </c>
      <c r="M34" s="29" t="s">
        <v>224</v>
      </c>
      <c r="N34" s="29" t="s">
        <v>227</v>
      </c>
      <c r="O34" s="29" t="s">
        <v>238</v>
      </c>
      <c r="P34" s="29" t="s">
        <v>165</v>
      </c>
      <c r="Q34" s="29" t="s">
        <v>248</v>
      </c>
      <c r="R34" s="33">
        <v>1162.04</v>
      </c>
      <c r="S34" s="33">
        <v>0.0</v>
      </c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</row>
    <row r="35" ht="15.75" customHeight="1">
      <c r="A35" s="32"/>
      <c r="B35" s="31">
        <v>43293.0</v>
      </c>
      <c r="C35" s="29" t="s">
        <v>32</v>
      </c>
      <c r="D35" s="29" t="s">
        <v>30</v>
      </c>
      <c r="E35" s="29" t="s">
        <v>164</v>
      </c>
      <c r="F35" s="29" t="s">
        <v>254</v>
      </c>
      <c r="G35" s="35">
        <v>0.0</v>
      </c>
      <c r="H35" s="33">
        <v>1568.0</v>
      </c>
      <c r="I35" s="30"/>
      <c r="J35" s="30"/>
      <c r="K35" s="29"/>
      <c r="L35" s="29">
        <v>0.7411</v>
      </c>
      <c r="M35" s="29" t="s">
        <v>224</v>
      </c>
      <c r="N35" s="29" t="s">
        <v>229</v>
      </c>
      <c r="O35" s="29" t="s">
        <v>238</v>
      </c>
      <c r="P35" s="29" t="s">
        <v>165</v>
      </c>
      <c r="Q35" s="29" t="s">
        <v>248</v>
      </c>
      <c r="R35" s="33">
        <v>0.0</v>
      </c>
      <c r="S35" s="33">
        <v>1162.04</v>
      </c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</row>
    <row r="36" ht="15.75" customHeight="1">
      <c r="A36" s="32"/>
      <c r="B36" s="31">
        <v>43293.0</v>
      </c>
      <c r="C36" s="29" t="s">
        <v>32</v>
      </c>
      <c r="D36" s="29" t="s">
        <v>30</v>
      </c>
      <c r="E36" s="29" t="s">
        <v>164</v>
      </c>
      <c r="F36" s="29" t="s">
        <v>254</v>
      </c>
      <c r="G36" s="33">
        <v>967.0</v>
      </c>
      <c r="H36" s="34">
        <v>0.0</v>
      </c>
      <c r="I36" s="30"/>
      <c r="J36" s="30"/>
      <c r="K36" s="29"/>
      <c r="L36" s="29">
        <v>0.7411</v>
      </c>
      <c r="M36" s="29" t="s">
        <v>224</v>
      </c>
      <c r="N36" s="29" t="s">
        <v>227</v>
      </c>
      <c r="O36" s="29" t="s">
        <v>238</v>
      </c>
      <c r="P36" s="29" t="s">
        <v>165</v>
      </c>
      <c r="Q36" s="29" t="s">
        <v>248</v>
      </c>
      <c r="R36" s="33">
        <v>716.64</v>
      </c>
      <c r="S36" s="33">
        <v>0.0</v>
      </c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</row>
    <row r="37" ht="15.75" customHeight="1">
      <c r="A37" s="32"/>
      <c r="B37" s="31">
        <v>43293.0</v>
      </c>
      <c r="C37" s="29" t="s">
        <v>32</v>
      </c>
      <c r="D37" s="29" t="s">
        <v>30</v>
      </c>
      <c r="E37" s="29" t="s">
        <v>164</v>
      </c>
      <c r="F37" s="29" t="s">
        <v>255</v>
      </c>
      <c r="G37" s="35">
        <v>0.0</v>
      </c>
      <c r="H37" s="33">
        <v>967.0</v>
      </c>
      <c r="I37" s="30"/>
      <c r="J37" s="30"/>
      <c r="K37" s="29"/>
      <c r="L37" s="29">
        <v>0.7411</v>
      </c>
      <c r="M37" s="29" t="s">
        <v>224</v>
      </c>
      <c r="N37" s="29" t="s">
        <v>229</v>
      </c>
      <c r="O37" s="29" t="s">
        <v>238</v>
      </c>
      <c r="P37" s="29" t="s">
        <v>165</v>
      </c>
      <c r="Q37" s="29" t="s">
        <v>248</v>
      </c>
      <c r="R37" s="33">
        <v>0.0</v>
      </c>
      <c r="S37" s="33">
        <v>716.64</v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</row>
    <row r="38" ht="15.75" customHeight="1">
      <c r="A38" s="32"/>
      <c r="B38" s="31">
        <v>43294.0</v>
      </c>
      <c r="C38" s="29" t="s">
        <v>32</v>
      </c>
      <c r="D38" s="29" t="s">
        <v>164</v>
      </c>
      <c r="E38" s="29" t="s">
        <v>165</v>
      </c>
      <c r="F38" s="29" t="s">
        <v>254</v>
      </c>
      <c r="G38" s="33">
        <v>1154.89</v>
      </c>
      <c r="H38" s="34">
        <v>0.0</v>
      </c>
      <c r="I38" s="30"/>
      <c r="J38" s="30"/>
      <c r="K38" s="29"/>
      <c r="L38" s="29">
        <v>1.0</v>
      </c>
      <c r="M38" s="29" t="s">
        <v>224</v>
      </c>
      <c r="N38" s="29" t="s">
        <v>227</v>
      </c>
      <c r="O38" s="29" t="s">
        <v>238</v>
      </c>
      <c r="P38" s="29" t="s">
        <v>165</v>
      </c>
      <c r="Q38" s="29" t="s">
        <v>248</v>
      </c>
      <c r="R38" s="33">
        <v>1154.89</v>
      </c>
      <c r="S38" s="33">
        <v>0.0</v>
      </c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</row>
    <row r="39" ht="15.75" customHeight="1">
      <c r="A39" s="32"/>
      <c r="B39" s="31">
        <v>43294.0</v>
      </c>
      <c r="C39" s="29" t="s">
        <v>32</v>
      </c>
      <c r="D39" s="29" t="s">
        <v>164</v>
      </c>
      <c r="E39" s="29" t="s">
        <v>165</v>
      </c>
      <c r="F39" s="29" t="s">
        <v>255</v>
      </c>
      <c r="G39" s="35">
        <v>0.0</v>
      </c>
      <c r="H39" s="33">
        <v>1154.89</v>
      </c>
      <c r="I39" s="30"/>
      <c r="J39" s="30"/>
      <c r="K39" s="29"/>
      <c r="L39" s="29">
        <v>1.0</v>
      </c>
      <c r="M39" s="29" t="s">
        <v>224</v>
      </c>
      <c r="N39" s="29" t="s">
        <v>229</v>
      </c>
      <c r="O39" s="29" t="s">
        <v>238</v>
      </c>
      <c r="P39" s="29" t="s">
        <v>165</v>
      </c>
      <c r="Q39" s="29" t="s">
        <v>248</v>
      </c>
      <c r="R39" s="33">
        <v>0.0</v>
      </c>
      <c r="S39" s="33">
        <v>1154.89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</row>
    <row r="40" ht="15.75" customHeight="1">
      <c r="A40" s="32"/>
      <c r="B40" s="31">
        <v>43294.0</v>
      </c>
      <c r="C40" s="29" t="s">
        <v>32</v>
      </c>
      <c r="D40" s="29" t="s">
        <v>164</v>
      </c>
      <c r="E40" s="29" t="s">
        <v>165</v>
      </c>
      <c r="F40" s="29" t="s">
        <v>255</v>
      </c>
      <c r="G40" s="33">
        <v>611.99</v>
      </c>
      <c r="H40" s="34">
        <v>0.0</v>
      </c>
      <c r="I40" s="30"/>
      <c r="J40" s="30"/>
      <c r="K40" s="29"/>
      <c r="L40" s="29">
        <v>1.0</v>
      </c>
      <c r="M40" s="29" t="s">
        <v>224</v>
      </c>
      <c r="N40" s="29" t="s">
        <v>227</v>
      </c>
      <c r="O40" s="29" t="s">
        <v>238</v>
      </c>
      <c r="P40" s="29" t="s">
        <v>165</v>
      </c>
      <c r="Q40" s="29" t="s">
        <v>248</v>
      </c>
      <c r="R40" s="33">
        <v>611.99</v>
      </c>
      <c r="S40" s="33">
        <v>0.0</v>
      </c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</row>
    <row r="41" ht="15.75" customHeight="1">
      <c r="A41" s="32"/>
      <c r="B41" s="31">
        <v>43294.0</v>
      </c>
      <c r="C41" s="29" t="s">
        <v>32</v>
      </c>
      <c r="D41" s="29" t="s">
        <v>164</v>
      </c>
      <c r="E41" s="29" t="s">
        <v>165</v>
      </c>
      <c r="F41" s="29" t="s">
        <v>254</v>
      </c>
      <c r="G41" s="35">
        <v>0.0</v>
      </c>
      <c r="H41" s="33">
        <v>611.99</v>
      </c>
      <c r="I41" s="30"/>
      <c r="J41" s="30"/>
      <c r="K41" s="29"/>
      <c r="L41" s="29">
        <v>1.0</v>
      </c>
      <c r="M41" s="29" t="s">
        <v>224</v>
      </c>
      <c r="N41" s="29" t="s">
        <v>229</v>
      </c>
      <c r="O41" s="29" t="s">
        <v>238</v>
      </c>
      <c r="P41" s="29" t="s">
        <v>165</v>
      </c>
      <c r="Q41" s="29" t="s">
        <v>248</v>
      </c>
      <c r="R41" s="33">
        <v>0.0</v>
      </c>
      <c r="S41" s="33">
        <v>611.99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</row>
    <row r="42" ht="15.75" customHeight="1">
      <c r="A42" s="32"/>
      <c r="B42" s="31">
        <v>43294.0</v>
      </c>
      <c r="C42" s="29" t="s">
        <v>32</v>
      </c>
      <c r="D42" s="29" t="s">
        <v>30</v>
      </c>
      <c r="E42" s="29" t="s">
        <v>164</v>
      </c>
      <c r="F42" s="29" t="s">
        <v>255</v>
      </c>
      <c r="G42" s="33">
        <v>2598.0</v>
      </c>
      <c r="H42" s="34">
        <v>0.0</v>
      </c>
      <c r="I42" s="30"/>
      <c r="J42" s="30"/>
      <c r="K42" s="29"/>
      <c r="L42" s="29">
        <v>0.7412</v>
      </c>
      <c r="M42" s="29" t="s">
        <v>224</v>
      </c>
      <c r="N42" s="29" t="s">
        <v>227</v>
      </c>
      <c r="O42" s="29" t="s">
        <v>238</v>
      </c>
      <c r="P42" s="29" t="s">
        <v>165</v>
      </c>
      <c r="Q42" s="29" t="s">
        <v>248</v>
      </c>
      <c r="R42" s="33">
        <v>1925.64</v>
      </c>
      <c r="S42" s="33">
        <v>0.0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</row>
    <row r="43" ht="15.75" customHeight="1">
      <c r="A43" s="32"/>
      <c r="B43" s="31">
        <v>43294.0</v>
      </c>
      <c r="C43" s="29" t="s">
        <v>32</v>
      </c>
      <c r="D43" s="29" t="s">
        <v>30</v>
      </c>
      <c r="E43" s="29" t="s">
        <v>164</v>
      </c>
      <c r="F43" s="29" t="s">
        <v>254</v>
      </c>
      <c r="G43" s="35">
        <v>0.0</v>
      </c>
      <c r="H43" s="33">
        <v>2598.0</v>
      </c>
      <c r="I43" s="30"/>
      <c r="J43" s="30"/>
      <c r="K43" s="29"/>
      <c r="L43" s="29">
        <v>0.7412</v>
      </c>
      <c r="M43" s="29" t="s">
        <v>224</v>
      </c>
      <c r="N43" s="29" t="s">
        <v>229</v>
      </c>
      <c r="O43" s="29" t="s">
        <v>238</v>
      </c>
      <c r="P43" s="29" t="s">
        <v>165</v>
      </c>
      <c r="Q43" s="29" t="s">
        <v>248</v>
      </c>
      <c r="R43" s="33">
        <v>0.0</v>
      </c>
      <c r="S43" s="33">
        <v>1925.64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</row>
    <row r="44" ht="15.75" customHeight="1">
      <c r="A44" s="32"/>
      <c r="B44" s="31">
        <v>43294.0</v>
      </c>
      <c r="C44" s="29" t="s">
        <v>32</v>
      </c>
      <c r="D44" s="29" t="s">
        <v>30</v>
      </c>
      <c r="E44" s="29" t="s">
        <v>164</v>
      </c>
      <c r="F44" s="29" t="s">
        <v>254</v>
      </c>
      <c r="G44" s="33">
        <v>1482.0</v>
      </c>
      <c r="H44" s="34">
        <v>0.0</v>
      </c>
      <c r="I44" s="30"/>
      <c r="J44" s="30"/>
      <c r="K44" s="29"/>
      <c r="L44" s="29">
        <v>0.7412</v>
      </c>
      <c r="M44" s="29" t="s">
        <v>224</v>
      </c>
      <c r="N44" s="29" t="s">
        <v>227</v>
      </c>
      <c r="O44" s="29" t="s">
        <v>238</v>
      </c>
      <c r="P44" s="29" t="s">
        <v>165</v>
      </c>
      <c r="Q44" s="29" t="s">
        <v>248</v>
      </c>
      <c r="R44" s="33">
        <v>1098.46</v>
      </c>
      <c r="S44" s="33">
        <v>0.0</v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</row>
    <row r="45" ht="15.75" customHeight="1">
      <c r="A45" s="32"/>
      <c r="B45" s="31">
        <v>43294.0</v>
      </c>
      <c r="C45" s="29" t="s">
        <v>32</v>
      </c>
      <c r="D45" s="29" t="s">
        <v>30</v>
      </c>
      <c r="E45" s="29" t="s">
        <v>164</v>
      </c>
      <c r="F45" s="29" t="s">
        <v>255</v>
      </c>
      <c r="G45" s="35">
        <v>0.0</v>
      </c>
      <c r="H45" s="33">
        <v>1482.0</v>
      </c>
      <c r="I45" s="30"/>
      <c r="J45" s="30"/>
      <c r="K45" s="29"/>
      <c r="L45" s="29">
        <v>0.7412</v>
      </c>
      <c r="M45" s="29" t="s">
        <v>224</v>
      </c>
      <c r="N45" s="29" t="s">
        <v>229</v>
      </c>
      <c r="O45" s="29" t="s">
        <v>238</v>
      </c>
      <c r="P45" s="29" t="s">
        <v>165</v>
      </c>
      <c r="Q45" s="29" t="s">
        <v>248</v>
      </c>
      <c r="R45" s="33">
        <v>0.0</v>
      </c>
      <c r="S45" s="33">
        <v>1098.46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</row>
    <row r="46" ht="15.75" customHeight="1">
      <c r="A46" s="32"/>
      <c r="B46" s="31">
        <v>43292.0</v>
      </c>
      <c r="C46" s="29" t="s">
        <v>32</v>
      </c>
      <c r="D46" s="29" t="s">
        <v>164</v>
      </c>
      <c r="E46" s="29" t="s">
        <v>165</v>
      </c>
      <c r="F46" s="29" t="s">
        <v>255</v>
      </c>
      <c r="G46" s="33">
        <v>1155.05</v>
      </c>
      <c r="H46" s="34">
        <v>0.0</v>
      </c>
      <c r="I46" s="30"/>
      <c r="J46" s="30"/>
      <c r="K46" s="29"/>
      <c r="L46" s="29">
        <v>1.0</v>
      </c>
      <c r="M46" s="29" t="s">
        <v>224</v>
      </c>
      <c r="N46" s="29" t="s">
        <v>227</v>
      </c>
      <c r="O46" s="29" t="s">
        <v>238</v>
      </c>
      <c r="P46" s="29" t="s">
        <v>165</v>
      </c>
      <c r="Q46" s="29" t="s">
        <v>240</v>
      </c>
      <c r="R46" s="33">
        <v>1155.05</v>
      </c>
      <c r="S46" s="33">
        <v>0.0</v>
      </c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</row>
    <row r="47" ht="15.75" customHeight="1">
      <c r="A47" s="32"/>
      <c r="B47" s="31">
        <v>43292.0</v>
      </c>
      <c r="C47" s="29" t="s">
        <v>32</v>
      </c>
      <c r="D47" s="29" t="s">
        <v>164</v>
      </c>
      <c r="E47" s="29" t="s">
        <v>165</v>
      </c>
      <c r="F47" s="29" t="s">
        <v>254</v>
      </c>
      <c r="G47" s="35">
        <v>0.0</v>
      </c>
      <c r="H47" s="33">
        <v>1155.05</v>
      </c>
      <c r="I47" s="30"/>
      <c r="J47" s="30"/>
      <c r="K47" s="29"/>
      <c r="L47" s="29">
        <v>1.0</v>
      </c>
      <c r="M47" s="29" t="s">
        <v>224</v>
      </c>
      <c r="N47" s="29" t="s">
        <v>229</v>
      </c>
      <c r="O47" s="29" t="s">
        <v>238</v>
      </c>
      <c r="P47" s="29" t="s">
        <v>165</v>
      </c>
      <c r="Q47" s="29" t="s">
        <v>240</v>
      </c>
      <c r="R47" s="33">
        <v>0.0</v>
      </c>
      <c r="S47" s="33">
        <v>1155.05</v>
      </c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</row>
    <row r="48" ht="15.75" customHeight="1">
      <c r="A48" s="32"/>
      <c r="B48" s="31">
        <v>43292.0</v>
      </c>
      <c r="C48" s="29" t="s">
        <v>32</v>
      </c>
      <c r="D48" s="29" t="s">
        <v>164</v>
      </c>
      <c r="E48" s="29" t="s">
        <v>165</v>
      </c>
      <c r="F48" s="29" t="s">
        <v>254</v>
      </c>
      <c r="G48" s="33">
        <v>612.04</v>
      </c>
      <c r="H48" s="34">
        <v>0.0</v>
      </c>
      <c r="I48" s="30"/>
      <c r="J48" s="30"/>
      <c r="K48" s="29"/>
      <c r="L48" s="29">
        <v>1.0</v>
      </c>
      <c r="M48" s="29" t="s">
        <v>224</v>
      </c>
      <c r="N48" s="29" t="s">
        <v>227</v>
      </c>
      <c r="O48" s="29" t="s">
        <v>238</v>
      </c>
      <c r="P48" s="29" t="s">
        <v>165</v>
      </c>
      <c r="Q48" s="29" t="s">
        <v>240</v>
      </c>
      <c r="R48" s="33">
        <v>612.04</v>
      </c>
      <c r="S48" s="33">
        <v>0.0</v>
      </c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</row>
    <row r="49" ht="15.75" customHeight="1">
      <c r="A49" s="32"/>
      <c r="B49" s="31">
        <v>43292.0</v>
      </c>
      <c r="C49" s="29" t="s">
        <v>32</v>
      </c>
      <c r="D49" s="29" t="s">
        <v>164</v>
      </c>
      <c r="E49" s="29" t="s">
        <v>165</v>
      </c>
      <c r="F49" s="29" t="s">
        <v>255</v>
      </c>
      <c r="G49" s="35">
        <v>0.0</v>
      </c>
      <c r="H49" s="33">
        <v>612.04</v>
      </c>
      <c r="I49" s="30"/>
      <c r="J49" s="30"/>
      <c r="K49" s="29"/>
      <c r="L49" s="29">
        <v>1.0</v>
      </c>
      <c r="M49" s="29" t="s">
        <v>224</v>
      </c>
      <c r="N49" s="29" t="s">
        <v>229</v>
      </c>
      <c r="O49" s="29" t="s">
        <v>238</v>
      </c>
      <c r="P49" s="29" t="s">
        <v>165</v>
      </c>
      <c r="Q49" s="29" t="s">
        <v>240</v>
      </c>
      <c r="R49" s="33">
        <v>0.0</v>
      </c>
      <c r="S49" s="33">
        <v>612.04</v>
      </c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</row>
    <row r="50" ht="15.75" customHeight="1">
      <c r="A50" s="32"/>
      <c r="B50" s="31">
        <v>43292.0</v>
      </c>
      <c r="C50" s="29" t="s">
        <v>32</v>
      </c>
      <c r="D50" s="29" t="s">
        <v>30</v>
      </c>
      <c r="E50" s="29" t="s">
        <v>164</v>
      </c>
      <c r="F50" s="29" t="s">
        <v>254</v>
      </c>
      <c r="G50" s="33">
        <v>1568.0</v>
      </c>
      <c r="H50" s="34">
        <v>0.0</v>
      </c>
      <c r="I50" s="30"/>
      <c r="J50" s="30"/>
      <c r="K50" s="29"/>
      <c r="L50" s="29">
        <v>0.7411</v>
      </c>
      <c r="M50" s="29" t="s">
        <v>224</v>
      </c>
      <c r="N50" s="29" t="s">
        <v>227</v>
      </c>
      <c r="O50" s="29" t="s">
        <v>238</v>
      </c>
      <c r="P50" s="29" t="s">
        <v>165</v>
      </c>
      <c r="Q50" s="29" t="s">
        <v>240</v>
      </c>
      <c r="R50" s="33">
        <v>1162.04</v>
      </c>
      <c r="S50" s="33">
        <v>0.0</v>
      </c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</row>
    <row r="51" ht="15.75" customHeight="1">
      <c r="A51" s="32"/>
      <c r="B51" s="31">
        <v>43292.0</v>
      </c>
      <c r="C51" s="29" t="s">
        <v>32</v>
      </c>
      <c r="D51" s="29" t="s">
        <v>30</v>
      </c>
      <c r="E51" s="29" t="s">
        <v>164</v>
      </c>
      <c r="F51" s="29" t="s">
        <v>255</v>
      </c>
      <c r="G51" s="35">
        <v>0.0</v>
      </c>
      <c r="H51" s="33">
        <v>1568.0</v>
      </c>
      <c r="I51" s="30"/>
      <c r="J51" s="30"/>
      <c r="K51" s="29"/>
      <c r="L51" s="29">
        <v>0.7411</v>
      </c>
      <c r="M51" s="29" t="s">
        <v>224</v>
      </c>
      <c r="N51" s="29" t="s">
        <v>229</v>
      </c>
      <c r="O51" s="29" t="s">
        <v>238</v>
      </c>
      <c r="P51" s="29" t="s">
        <v>165</v>
      </c>
      <c r="Q51" s="29" t="s">
        <v>240</v>
      </c>
      <c r="R51" s="33">
        <v>0.0</v>
      </c>
      <c r="S51" s="33">
        <v>1162.04</v>
      </c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</row>
    <row r="52" ht="15.75" customHeight="1">
      <c r="A52" s="32"/>
      <c r="B52" s="31">
        <v>43292.0</v>
      </c>
      <c r="C52" s="29" t="s">
        <v>32</v>
      </c>
      <c r="D52" s="29" t="s">
        <v>30</v>
      </c>
      <c r="E52" s="29" t="s">
        <v>164</v>
      </c>
      <c r="F52" s="29" t="s">
        <v>255</v>
      </c>
      <c r="G52" s="33">
        <v>967.0</v>
      </c>
      <c r="H52" s="34">
        <v>0.0</v>
      </c>
      <c r="I52" s="30"/>
      <c r="J52" s="30"/>
      <c r="K52" s="29"/>
      <c r="L52" s="29">
        <v>0.7411</v>
      </c>
      <c r="M52" s="29" t="s">
        <v>224</v>
      </c>
      <c r="N52" s="29" t="s">
        <v>227</v>
      </c>
      <c r="O52" s="29" t="s">
        <v>238</v>
      </c>
      <c r="P52" s="29" t="s">
        <v>165</v>
      </c>
      <c r="Q52" s="29" t="s">
        <v>240</v>
      </c>
      <c r="R52" s="33">
        <v>716.64</v>
      </c>
      <c r="S52" s="33">
        <v>0.0</v>
      </c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</row>
    <row r="53" ht="15.75" customHeight="1">
      <c r="A53" s="32"/>
      <c r="B53" s="31">
        <v>43292.0</v>
      </c>
      <c r="C53" s="29" t="s">
        <v>32</v>
      </c>
      <c r="D53" s="29" t="s">
        <v>30</v>
      </c>
      <c r="E53" s="29" t="s">
        <v>164</v>
      </c>
      <c r="F53" s="29" t="s">
        <v>254</v>
      </c>
      <c r="G53" s="35">
        <v>0.0</v>
      </c>
      <c r="H53" s="33">
        <v>967.0</v>
      </c>
      <c r="I53" s="30"/>
      <c r="J53" s="30"/>
      <c r="K53" s="29"/>
      <c r="L53" s="29">
        <v>0.7411</v>
      </c>
      <c r="M53" s="29" t="s">
        <v>224</v>
      </c>
      <c r="N53" s="29" t="s">
        <v>229</v>
      </c>
      <c r="O53" s="29" t="s">
        <v>238</v>
      </c>
      <c r="P53" s="29" t="s">
        <v>165</v>
      </c>
      <c r="Q53" s="29" t="s">
        <v>240</v>
      </c>
      <c r="R53" s="33">
        <v>0.0</v>
      </c>
      <c r="S53" s="33">
        <v>716.64</v>
      </c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</row>
    <row r="54" ht="15.75" customHeight="1">
      <c r="A54" s="32"/>
      <c r="B54" s="31">
        <v>43293.0</v>
      </c>
      <c r="C54" s="29" t="s">
        <v>32</v>
      </c>
      <c r="D54" s="29" t="s">
        <v>164</v>
      </c>
      <c r="E54" s="29" t="s">
        <v>165</v>
      </c>
      <c r="F54" s="29" t="s">
        <v>255</v>
      </c>
      <c r="G54" s="33">
        <v>1154.89</v>
      </c>
      <c r="H54" s="34">
        <v>0.0</v>
      </c>
      <c r="I54" s="30"/>
      <c r="J54" s="30"/>
      <c r="K54" s="29"/>
      <c r="L54" s="29">
        <v>1.0</v>
      </c>
      <c r="M54" s="29" t="s">
        <v>224</v>
      </c>
      <c r="N54" s="29" t="s">
        <v>227</v>
      </c>
      <c r="O54" s="29" t="s">
        <v>238</v>
      </c>
      <c r="P54" s="29" t="s">
        <v>165</v>
      </c>
      <c r="Q54" s="29" t="s">
        <v>240</v>
      </c>
      <c r="R54" s="33">
        <v>1154.89</v>
      </c>
      <c r="S54" s="33">
        <v>0.0</v>
      </c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</row>
    <row r="55" ht="15.75" customHeight="1">
      <c r="A55" s="32"/>
      <c r="B55" s="31">
        <v>43293.0</v>
      </c>
      <c r="C55" s="29" t="s">
        <v>32</v>
      </c>
      <c r="D55" s="29" t="s">
        <v>164</v>
      </c>
      <c r="E55" s="29" t="s">
        <v>165</v>
      </c>
      <c r="F55" s="29" t="s">
        <v>254</v>
      </c>
      <c r="G55" s="35">
        <v>0.0</v>
      </c>
      <c r="H55" s="33">
        <v>1154.89</v>
      </c>
      <c r="I55" s="30"/>
      <c r="J55" s="30"/>
      <c r="K55" s="29"/>
      <c r="L55" s="29">
        <v>1.0</v>
      </c>
      <c r="M55" s="29" t="s">
        <v>224</v>
      </c>
      <c r="N55" s="29" t="s">
        <v>229</v>
      </c>
      <c r="O55" s="29" t="s">
        <v>238</v>
      </c>
      <c r="P55" s="29" t="s">
        <v>165</v>
      </c>
      <c r="Q55" s="29" t="s">
        <v>240</v>
      </c>
      <c r="R55" s="33">
        <v>0.0</v>
      </c>
      <c r="S55" s="33">
        <v>1154.89</v>
      </c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</row>
    <row r="56" ht="15.75" customHeight="1">
      <c r="A56" s="32"/>
      <c r="B56" s="31">
        <v>43293.0</v>
      </c>
      <c r="C56" s="29" t="s">
        <v>32</v>
      </c>
      <c r="D56" s="29" t="s">
        <v>164</v>
      </c>
      <c r="E56" s="29" t="s">
        <v>165</v>
      </c>
      <c r="F56" s="29" t="s">
        <v>254</v>
      </c>
      <c r="G56" s="33">
        <v>611.99</v>
      </c>
      <c r="H56" s="34">
        <v>0.0</v>
      </c>
      <c r="I56" s="30"/>
      <c r="J56" s="30"/>
      <c r="K56" s="29"/>
      <c r="L56" s="29">
        <v>1.0</v>
      </c>
      <c r="M56" s="29" t="s">
        <v>224</v>
      </c>
      <c r="N56" s="29" t="s">
        <v>227</v>
      </c>
      <c r="O56" s="29" t="s">
        <v>238</v>
      </c>
      <c r="P56" s="29" t="s">
        <v>165</v>
      </c>
      <c r="Q56" s="29" t="s">
        <v>240</v>
      </c>
      <c r="R56" s="33">
        <v>611.99</v>
      </c>
      <c r="S56" s="33">
        <v>0.0</v>
      </c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</row>
    <row r="57" ht="15.75" customHeight="1">
      <c r="A57" s="32"/>
      <c r="B57" s="31">
        <v>43293.0</v>
      </c>
      <c r="C57" s="29" t="s">
        <v>32</v>
      </c>
      <c r="D57" s="29" t="s">
        <v>164</v>
      </c>
      <c r="E57" s="29" t="s">
        <v>165</v>
      </c>
      <c r="F57" s="29" t="s">
        <v>255</v>
      </c>
      <c r="G57" s="35">
        <v>0.0</v>
      </c>
      <c r="H57" s="33">
        <v>611.99</v>
      </c>
      <c r="I57" s="30"/>
      <c r="J57" s="30"/>
      <c r="K57" s="29"/>
      <c r="L57" s="29">
        <v>1.0</v>
      </c>
      <c r="M57" s="29" t="s">
        <v>224</v>
      </c>
      <c r="N57" s="29" t="s">
        <v>229</v>
      </c>
      <c r="O57" s="29" t="s">
        <v>238</v>
      </c>
      <c r="P57" s="29" t="s">
        <v>165</v>
      </c>
      <c r="Q57" s="29" t="s">
        <v>240</v>
      </c>
      <c r="R57" s="33">
        <v>0.0</v>
      </c>
      <c r="S57" s="33">
        <v>611.99</v>
      </c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</row>
    <row r="58" ht="15.75" customHeight="1">
      <c r="A58" s="32"/>
      <c r="B58" s="31">
        <v>43293.0</v>
      </c>
      <c r="C58" s="29" t="s">
        <v>32</v>
      </c>
      <c r="D58" s="29" t="s">
        <v>30</v>
      </c>
      <c r="E58" s="29" t="s">
        <v>164</v>
      </c>
      <c r="F58" s="29" t="s">
        <v>254</v>
      </c>
      <c r="G58" s="33">
        <v>2598.0</v>
      </c>
      <c r="H58" s="34">
        <v>0.0</v>
      </c>
      <c r="I58" s="30"/>
      <c r="J58" s="30"/>
      <c r="K58" s="29"/>
      <c r="L58" s="29">
        <v>0.7412</v>
      </c>
      <c r="M58" s="29" t="s">
        <v>224</v>
      </c>
      <c r="N58" s="29" t="s">
        <v>227</v>
      </c>
      <c r="O58" s="29" t="s">
        <v>238</v>
      </c>
      <c r="P58" s="29" t="s">
        <v>165</v>
      </c>
      <c r="Q58" s="29" t="s">
        <v>240</v>
      </c>
      <c r="R58" s="33">
        <v>1925.64</v>
      </c>
      <c r="S58" s="33">
        <v>0.0</v>
      </c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</row>
    <row r="59" ht="15.75" customHeight="1">
      <c r="A59" s="32"/>
      <c r="B59" s="31">
        <v>43293.0</v>
      </c>
      <c r="C59" s="29" t="s">
        <v>32</v>
      </c>
      <c r="D59" s="29" t="s">
        <v>30</v>
      </c>
      <c r="E59" s="29" t="s">
        <v>164</v>
      </c>
      <c r="F59" s="29" t="s">
        <v>255</v>
      </c>
      <c r="G59" s="35">
        <v>0.0</v>
      </c>
      <c r="H59" s="33">
        <v>2598.0</v>
      </c>
      <c r="I59" s="30"/>
      <c r="J59" s="30"/>
      <c r="K59" s="29"/>
      <c r="L59" s="29">
        <v>0.7412</v>
      </c>
      <c r="M59" s="29" t="s">
        <v>224</v>
      </c>
      <c r="N59" s="29" t="s">
        <v>229</v>
      </c>
      <c r="O59" s="29" t="s">
        <v>238</v>
      </c>
      <c r="P59" s="29" t="s">
        <v>165</v>
      </c>
      <c r="Q59" s="29" t="s">
        <v>240</v>
      </c>
      <c r="R59" s="33">
        <v>0.0</v>
      </c>
      <c r="S59" s="33">
        <v>1925.64</v>
      </c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</row>
    <row r="60" ht="15.75" customHeight="1">
      <c r="A60" s="32"/>
      <c r="B60" s="31">
        <v>43293.0</v>
      </c>
      <c r="C60" s="29" t="s">
        <v>32</v>
      </c>
      <c r="D60" s="29" t="s">
        <v>30</v>
      </c>
      <c r="E60" s="29" t="s">
        <v>164</v>
      </c>
      <c r="F60" s="29" t="s">
        <v>255</v>
      </c>
      <c r="G60" s="33">
        <v>1482.0</v>
      </c>
      <c r="H60" s="34">
        <v>0.0</v>
      </c>
      <c r="I60" s="30"/>
      <c r="J60" s="30"/>
      <c r="K60" s="29"/>
      <c r="L60" s="29">
        <v>0.7412</v>
      </c>
      <c r="M60" s="29" t="s">
        <v>224</v>
      </c>
      <c r="N60" s="29" t="s">
        <v>227</v>
      </c>
      <c r="O60" s="29" t="s">
        <v>238</v>
      </c>
      <c r="P60" s="29" t="s">
        <v>165</v>
      </c>
      <c r="Q60" s="29" t="s">
        <v>240</v>
      </c>
      <c r="R60" s="33">
        <v>1098.46</v>
      </c>
      <c r="S60" s="33">
        <v>0.0</v>
      </c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</row>
    <row r="61" ht="15.75" customHeight="1">
      <c r="A61" s="32"/>
      <c r="B61" s="31">
        <v>43293.0</v>
      </c>
      <c r="C61" s="29" t="s">
        <v>32</v>
      </c>
      <c r="D61" s="29" t="s">
        <v>30</v>
      </c>
      <c r="E61" s="29" t="s">
        <v>164</v>
      </c>
      <c r="F61" s="29" t="s">
        <v>254</v>
      </c>
      <c r="G61" s="35">
        <v>0.0</v>
      </c>
      <c r="H61" s="33">
        <v>1482.0</v>
      </c>
      <c r="I61" s="30"/>
      <c r="J61" s="30"/>
      <c r="K61" s="29"/>
      <c r="L61" s="29">
        <v>0.7412</v>
      </c>
      <c r="M61" s="29" t="s">
        <v>224</v>
      </c>
      <c r="N61" s="29" t="s">
        <v>229</v>
      </c>
      <c r="O61" s="29" t="s">
        <v>238</v>
      </c>
      <c r="P61" s="29" t="s">
        <v>165</v>
      </c>
      <c r="Q61" s="29" t="s">
        <v>240</v>
      </c>
      <c r="R61" s="33">
        <v>0.0</v>
      </c>
      <c r="S61" s="33">
        <v>1098.46</v>
      </c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</row>
    <row r="62" ht="15.75" customHeight="1">
      <c r="A62" s="32"/>
      <c r="B62" s="31">
        <v>43294.0</v>
      </c>
      <c r="C62" s="29" t="s">
        <v>32</v>
      </c>
      <c r="D62" s="29" t="s">
        <v>164</v>
      </c>
      <c r="E62" s="29" t="s">
        <v>165</v>
      </c>
      <c r="F62" s="29" t="s">
        <v>255</v>
      </c>
      <c r="G62" s="33">
        <v>1154.74</v>
      </c>
      <c r="H62" s="34">
        <v>0.0</v>
      </c>
      <c r="I62" s="30"/>
      <c r="J62" s="30"/>
      <c r="K62" s="29"/>
      <c r="L62" s="29">
        <v>1.0</v>
      </c>
      <c r="M62" s="29" t="s">
        <v>224</v>
      </c>
      <c r="N62" s="29" t="s">
        <v>227</v>
      </c>
      <c r="O62" s="29" t="s">
        <v>238</v>
      </c>
      <c r="P62" s="29" t="s">
        <v>165</v>
      </c>
      <c r="Q62" s="29" t="s">
        <v>240</v>
      </c>
      <c r="R62" s="33">
        <v>1154.74</v>
      </c>
      <c r="S62" s="33">
        <v>0.0</v>
      </c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</row>
    <row r="63" ht="15.75" customHeight="1">
      <c r="A63" s="32"/>
      <c r="B63" s="31">
        <v>43294.0</v>
      </c>
      <c r="C63" s="29" t="s">
        <v>32</v>
      </c>
      <c r="D63" s="29" t="s">
        <v>164</v>
      </c>
      <c r="E63" s="29" t="s">
        <v>165</v>
      </c>
      <c r="F63" s="29" t="s">
        <v>254</v>
      </c>
      <c r="G63" s="35">
        <v>0.0</v>
      </c>
      <c r="H63" s="33">
        <v>1154.74</v>
      </c>
      <c r="I63" s="30"/>
      <c r="J63" s="30"/>
      <c r="K63" s="29"/>
      <c r="L63" s="29">
        <v>1.0</v>
      </c>
      <c r="M63" s="29" t="s">
        <v>224</v>
      </c>
      <c r="N63" s="29" t="s">
        <v>229</v>
      </c>
      <c r="O63" s="29" t="s">
        <v>238</v>
      </c>
      <c r="P63" s="29" t="s">
        <v>165</v>
      </c>
      <c r="Q63" s="29" t="s">
        <v>240</v>
      </c>
      <c r="R63" s="33">
        <v>0.0</v>
      </c>
      <c r="S63" s="33">
        <v>1154.74</v>
      </c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</row>
    <row r="64" ht="15.75" customHeight="1">
      <c r="A64" s="32"/>
      <c r="B64" s="31">
        <v>43294.0</v>
      </c>
      <c r="C64" s="29" t="s">
        <v>32</v>
      </c>
      <c r="D64" s="29" t="s">
        <v>164</v>
      </c>
      <c r="E64" s="29" t="s">
        <v>165</v>
      </c>
      <c r="F64" s="29" t="s">
        <v>254</v>
      </c>
      <c r="G64" s="33">
        <v>611.93</v>
      </c>
      <c r="H64" s="34">
        <v>0.0</v>
      </c>
      <c r="I64" s="30"/>
      <c r="J64" s="30"/>
      <c r="K64" s="29"/>
      <c r="L64" s="29">
        <v>1.0</v>
      </c>
      <c r="M64" s="29" t="s">
        <v>224</v>
      </c>
      <c r="N64" s="29" t="s">
        <v>227</v>
      </c>
      <c r="O64" s="29" t="s">
        <v>238</v>
      </c>
      <c r="P64" s="29" t="s">
        <v>165</v>
      </c>
      <c r="Q64" s="29" t="s">
        <v>240</v>
      </c>
      <c r="R64" s="33">
        <v>611.93</v>
      </c>
      <c r="S64" s="33">
        <v>0.0</v>
      </c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</row>
    <row r="65" ht="15.75" customHeight="1">
      <c r="A65" s="32"/>
      <c r="B65" s="31">
        <v>43294.0</v>
      </c>
      <c r="C65" s="29" t="s">
        <v>32</v>
      </c>
      <c r="D65" s="29" t="s">
        <v>164</v>
      </c>
      <c r="E65" s="29" t="s">
        <v>165</v>
      </c>
      <c r="F65" s="29" t="s">
        <v>255</v>
      </c>
      <c r="G65" s="35">
        <v>0.0</v>
      </c>
      <c r="H65" s="33">
        <v>611.93</v>
      </c>
      <c r="I65" s="30"/>
      <c r="J65" s="30"/>
      <c r="K65" s="29"/>
      <c r="L65" s="29">
        <v>1.0</v>
      </c>
      <c r="M65" s="29" t="s">
        <v>224</v>
      </c>
      <c r="N65" s="29" t="s">
        <v>229</v>
      </c>
      <c r="O65" s="29" t="s">
        <v>238</v>
      </c>
      <c r="P65" s="29" t="s">
        <v>165</v>
      </c>
      <c r="Q65" s="29" t="s">
        <v>240</v>
      </c>
      <c r="R65" s="33">
        <v>0.0</v>
      </c>
      <c r="S65" s="33">
        <v>611.93</v>
      </c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</row>
    <row r="66" ht="15.75" customHeight="1">
      <c r="A66" s="32"/>
      <c r="B66" s="31">
        <v>43294.0</v>
      </c>
      <c r="C66" s="29" t="s">
        <v>32</v>
      </c>
      <c r="D66" s="29" t="s">
        <v>30</v>
      </c>
      <c r="E66" s="29" t="s">
        <v>164</v>
      </c>
      <c r="F66" s="29" t="s">
        <v>254</v>
      </c>
      <c r="G66" s="33">
        <v>3628.0</v>
      </c>
      <c r="H66" s="34">
        <v>0.0</v>
      </c>
      <c r="I66" s="30"/>
      <c r="J66" s="30"/>
      <c r="K66" s="29"/>
      <c r="L66" s="29">
        <v>0.7413</v>
      </c>
      <c r="M66" s="29" t="s">
        <v>224</v>
      </c>
      <c r="N66" s="29" t="s">
        <v>227</v>
      </c>
      <c r="O66" s="29" t="s">
        <v>238</v>
      </c>
      <c r="P66" s="29" t="s">
        <v>165</v>
      </c>
      <c r="Q66" s="29" t="s">
        <v>240</v>
      </c>
      <c r="R66" s="33">
        <v>2689.44</v>
      </c>
      <c r="S66" s="33">
        <v>0.0</v>
      </c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</row>
    <row r="67" ht="15.75" customHeight="1">
      <c r="A67" s="32"/>
      <c r="B67" s="31">
        <v>43294.0</v>
      </c>
      <c r="C67" s="29" t="s">
        <v>32</v>
      </c>
      <c r="D67" s="29" t="s">
        <v>30</v>
      </c>
      <c r="E67" s="29" t="s">
        <v>164</v>
      </c>
      <c r="F67" s="29" t="s">
        <v>255</v>
      </c>
      <c r="G67" s="35">
        <v>0.0</v>
      </c>
      <c r="H67" s="33">
        <v>3628.0</v>
      </c>
      <c r="I67" s="30"/>
      <c r="J67" s="30"/>
      <c r="K67" s="29"/>
      <c r="L67" s="29">
        <v>0.7413</v>
      </c>
      <c r="M67" s="29" t="s">
        <v>224</v>
      </c>
      <c r="N67" s="29" t="s">
        <v>229</v>
      </c>
      <c r="O67" s="29" t="s">
        <v>238</v>
      </c>
      <c r="P67" s="29" t="s">
        <v>165</v>
      </c>
      <c r="Q67" s="29" t="s">
        <v>240</v>
      </c>
      <c r="R67" s="33">
        <v>0.0</v>
      </c>
      <c r="S67" s="33">
        <v>2689.44</v>
      </c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</row>
    <row r="68" ht="15.75" customHeight="1">
      <c r="A68" s="32"/>
      <c r="B68" s="31">
        <v>43294.0</v>
      </c>
      <c r="C68" s="29" t="s">
        <v>32</v>
      </c>
      <c r="D68" s="29" t="s">
        <v>30</v>
      </c>
      <c r="E68" s="29" t="s">
        <v>164</v>
      </c>
      <c r="F68" s="29" t="s">
        <v>255</v>
      </c>
      <c r="G68" s="33">
        <v>1997.0</v>
      </c>
      <c r="H68" s="34">
        <v>0.0</v>
      </c>
      <c r="I68" s="30"/>
      <c r="J68" s="30"/>
      <c r="K68" s="29"/>
      <c r="L68" s="29">
        <v>0.7413</v>
      </c>
      <c r="M68" s="29" t="s">
        <v>224</v>
      </c>
      <c r="N68" s="29" t="s">
        <v>227</v>
      </c>
      <c r="O68" s="29" t="s">
        <v>238</v>
      </c>
      <c r="P68" s="29" t="s">
        <v>165</v>
      </c>
      <c r="Q68" s="29" t="s">
        <v>240</v>
      </c>
      <c r="R68" s="33">
        <v>1480.38</v>
      </c>
      <c r="S68" s="33">
        <v>0.0</v>
      </c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</row>
    <row r="69" ht="15.75" customHeight="1">
      <c r="A69" s="32"/>
      <c r="B69" s="31">
        <v>43294.0</v>
      </c>
      <c r="C69" s="29" t="s">
        <v>32</v>
      </c>
      <c r="D69" s="29" t="s">
        <v>30</v>
      </c>
      <c r="E69" s="29" t="s">
        <v>164</v>
      </c>
      <c r="F69" s="29" t="s">
        <v>254</v>
      </c>
      <c r="G69" s="35">
        <v>0.0</v>
      </c>
      <c r="H69" s="33">
        <v>1997.0</v>
      </c>
      <c r="I69" s="30"/>
      <c r="J69" s="30"/>
      <c r="K69" s="29"/>
      <c r="L69" s="29">
        <v>0.7413</v>
      </c>
      <c r="M69" s="29" t="s">
        <v>224</v>
      </c>
      <c r="N69" s="29" t="s">
        <v>229</v>
      </c>
      <c r="O69" s="29" t="s">
        <v>238</v>
      </c>
      <c r="P69" s="29" t="s">
        <v>165</v>
      </c>
      <c r="Q69" s="29" t="s">
        <v>240</v>
      </c>
      <c r="R69" s="33">
        <v>0.0</v>
      </c>
      <c r="S69" s="33">
        <v>1480.38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</row>
    <row r="70" ht="15.75" customHeight="1">
      <c r="A70" s="32"/>
      <c r="B70" s="31">
        <v>43292.0</v>
      </c>
      <c r="C70" s="29" t="s">
        <v>32</v>
      </c>
      <c r="D70" s="29" t="s">
        <v>164</v>
      </c>
      <c r="E70" s="29" t="s">
        <v>164</v>
      </c>
      <c r="F70" s="29" t="s">
        <v>256</v>
      </c>
      <c r="G70" s="33">
        <v>1522.0</v>
      </c>
      <c r="H70" s="34">
        <v>0.0</v>
      </c>
      <c r="I70" s="30"/>
      <c r="J70" s="30"/>
      <c r="K70" s="29"/>
      <c r="L70" s="29">
        <v>0.7411</v>
      </c>
      <c r="M70" s="29" t="s">
        <v>224</v>
      </c>
      <c r="N70" s="29" t="s">
        <v>227</v>
      </c>
      <c r="O70" s="29" t="s">
        <v>238</v>
      </c>
      <c r="P70" s="29" t="s">
        <v>165</v>
      </c>
      <c r="Q70" s="29" t="s">
        <v>249</v>
      </c>
      <c r="R70" s="33">
        <v>1127.95</v>
      </c>
      <c r="S70" s="33">
        <v>0.0</v>
      </c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</row>
    <row r="71" ht="15.75" customHeight="1">
      <c r="A71" s="32"/>
      <c r="B71" s="31">
        <v>43292.0</v>
      </c>
      <c r="C71" s="29" t="s">
        <v>32</v>
      </c>
      <c r="D71" s="29" t="s">
        <v>164</v>
      </c>
      <c r="E71" s="29" t="s">
        <v>164</v>
      </c>
      <c r="F71" s="29" t="s">
        <v>230</v>
      </c>
      <c r="G71" s="35">
        <v>0.0</v>
      </c>
      <c r="H71" s="33">
        <v>1522.0</v>
      </c>
      <c r="I71" s="30"/>
      <c r="J71" s="30"/>
      <c r="K71" s="29"/>
      <c r="L71" s="29">
        <v>0.7411</v>
      </c>
      <c r="M71" s="29" t="s">
        <v>224</v>
      </c>
      <c r="N71" s="29" t="s">
        <v>229</v>
      </c>
      <c r="O71" s="29" t="s">
        <v>238</v>
      </c>
      <c r="P71" s="29" t="s">
        <v>165</v>
      </c>
      <c r="Q71" s="29" t="s">
        <v>249</v>
      </c>
      <c r="R71" s="33">
        <v>0.0</v>
      </c>
      <c r="S71" s="33">
        <v>1127.95</v>
      </c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</row>
    <row r="72" ht="15.75" customHeight="1">
      <c r="A72" s="32"/>
      <c r="B72" s="31">
        <v>43292.0</v>
      </c>
      <c r="C72" s="29" t="s">
        <v>32</v>
      </c>
      <c r="D72" s="29" t="s">
        <v>164</v>
      </c>
      <c r="E72" s="29" t="s">
        <v>164</v>
      </c>
      <c r="F72" s="29" t="s">
        <v>230</v>
      </c>
      <c r="G72" s="33">
        <v>1522.0</v>
      </c>
      <c r="H72" s="34">
        <v>0.0</v>
      </c>
      <c r="I72" s="30"/>
      <c r="J72" s="30"/>
      <c r="K72" s="29"/>
      <c r="L72" s="29">
        <v>0.741</v>
      </c>
      <c r="M72" s="29" t="s">
        <v>224</v>
      </c>
      <c r="N72" s="29" t="s">
        <v>227</v>
      </c>
      <c r="O72" s="29" t="s">
        <v>238</v>
      </c>
      <c r="P72" s="29" t="s">
        <v>165</v>
      </c>
      <c r="Q72" s="29" t="s">
        <v>250</v>
      </c>
      <c r="R72" s="33">
        <v>1127.8</v>
      </c>
      <c r="S72" s="33">
        <v>0.0</v>
      </c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</row>
    <row r="73" ht="15.75" customHeight="1">
      <c r="A73" s="32"/>
      <c r="B73" s="31">
        <v>43292.0</v>
      </c>
      <c r="C73" s="29" t="s">
        <v>32</v>
      </c>
      <c r="D73" s="29" t="s">
        <v>164</v>
      </c>
      <c r="E73" s="29" t="s">
        <v>164</v>
      </c>
      <c r="F73" s="29" t="s">
        <v>256</v>
      </c>
      <c r="G73" s="35">
        <v>0.0</v>
      </c>
      <c r="H73" s="33">
        <v>1522.0</v>
      </c>
      <c r="I73" s="30"/>
      <c r="J73" s="30"/>
      <c r="K73" s="29"/>
      <c r="L73" s="29">
        <v>0.741</v>
      </c>
      <c r="M73" s="29" t="s">
        <v>224</v>
      </c>
      <c r="N73" s="29" t="s">
        <v>229</v>
      </c>
      <c r="O73" s="29" t="s">
        <v>238</v>
      </c>
      <c r="P73" s="29" t="s">
        <v>165</v>
      </c>
      <c r="Q73" s="29" t="s">
        <v>250</v>
      </c>
      <c r="R73" s="33">
        <v>0.0</v>
      </c>
      <c r="S73" s="33">
        <v>1127.8</v>
      </c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</row>
    <row r="74" ht="15.75" customHeight="1">
      <c r="A74" s="32"/>
      <c r="B74" s="31">
        <v>43292.0</v>
      </c>
      <c r="C74" s="29" t="s">
        <v>32</v>
      </c>
      <c r="D74" s="29" t="s">
        <v>30</v>
      </c>
      <c r="E74" s="29" t="s">
        <v>164</v>
      </c>
      <c r="F74" s="29" t="s">
        <v>256</v>
      </c>
      <c r="G74" s="33">
        <v>578.0</v>
      </c>
      <c r="H74" s="34">
        <v>0.0</v>
      </c>
      <c r="I74" s="30"/>
      <c r="J74" s="30"/>
      <c r="K74" s="29"/>
      <c r="L74" s="29">
        <v>1.8</v>
      </c>
      <c r="M74" s="29" t="s">
        <v>224</v>
      </c>
      <c r="N74" s="29" t="s">
        <v>227</v>
      </c>
      <c r="O74" s="29" t="s">
        <v>238</v>
      </c>
      <c r="P74" s="29" t="s">
        <v>165</v>
      </c>
      <c r="Q74" s="29" t="s">
        <v>243</v>
      </c>
      <c r="R74" s="33">
        <v>1040.4</v>
      </c>
      <c r="S74" s="33">
        <v>0.0</v>
      </c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</row>
    <row r="75" ht="15.75" customHeight="1">
      <c r="A75" s="32"/>
      <c r="B75" s="31">
        <v>43292.0</v>
      </c>
      <c r="C75" s="29" t="s">
        <v>32</v>
      </c>
      <c r="D75" s="29" t="s">
        <v>30</v>
      </c>
      <c r="E75" s="29" t="s">
        <v>164</v>
      </c>
      <c r="F75" s="29" t="s">
        <v>230</v>
      </c>
      <c r="G75" s="35">
        <v>0.0</v>
      </c>
      <c r="H75" s="33">
        <v>578.0</v>
      </c>
      <c r="I75" s="30"/>
      <c r="J75" s="30"/>
      <c r="K75" s="29"/>
      <c r="L75" s="29">
        <v>1.8</v>
      </c>
      <c r="M75" s="29" t="s">
        <v>224</v>
      </c>
      <c r="N75" s="29" t="s">
        <v>229</v>
      </c>
      <c r="O75" s="29" t="s">
        <v>238</v>
      </c>
      <c r="P75" s="29" t="s">
        <v>165</v>
      </c>
      <c r="Q75" s="29" t="s">
        <v>243</v>
      </c>
      <c r="R75" s="33">
        <v>0.0</v>
      </c>
      <c r="S75" s="33">
        <v>1040.4</v>
      </c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</row>
    <row r="76" ht="15.75" customHeight="1">
      <c r="A76" s="32"/>
      <c r="B76" s="31">
        <v>43292.0</v>
      </c>
      <c r="C76" s="29" t="s">
        <v>32</v>
      </c>
      <c r="D76" s="29" t="s">
        <v>30</v>
      </c>
      <c r="E76" s="29" t="s">
        <v>164</v>
      </c>
      <c r="F76" s="29" t="s">
        <v>230</v>
      </c>
      <c r="G76" s="33">
        <v>578.0</v>
      </c>
      <c r="H76" s="34">
        <v>0.0</v>
      </c>
      <c r="I76" s="30"/>
      <c r="J76" s="30"/>
      <c r="K76" s="29"/>
      <c r="L76" s="29">
        <v>0.7411</v>
      </c>
      <c r="M76" s="29" t="s">
        <v>224</v>
      </c>
      <c r="N76" s="29" t="s">
        <v>227</v>
      </c>
      <c r="O76" s="29" t="s">
        <v>238</v>
      </c>
      <c r="P76" s="29" t="s">
        <v>165</v>
      </c>
      <c r="Q76" s="29" t="s">
        <v>253</v>
      </c>
      <c r="R76" s="33">
        <v>428.36</v>
      </c>
      <c r="S76" s="33">
        <v>0.0</v>
      </c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</row>
    <row r="77" ht="15.75" customHeight="1">
      <c r="A77" s="32"/>
      <c r="B77" s="31">
        <v>43292.0</v>
      </c>
      <c r="C77" s="29" t="s">
        <v>32</v>
      </c>
      <c r="D77" s="29" t="s">
        <v>30</v>
      </c>
      <c r="E77" s="29" t="s">
        <v>164</v>
      </c>
      <c r="F77" s="29" t="s">
        <v>256</v>
      </c>
      <c r="G77" s="35">
        <v>0.0</v>
      </c>
      <c r="H77" s="33">
        <v>578.0</v>
      </c>
      <c r="I77" s="30"/>
      <c r="J77" s="30"/>
      <c r="K77" s="29"/>
      <c r="L77" s="29">
        <v>0.7411</v>
      </c>
      <c r="M77" s="29" t="s">
        <v>224</v>
      </c>
      <c r="N77" s="29" t="s">
        <v>229</v>
      </c>
      <c r="O77" s="29" t="s">
        <v>238</v>
      </c>
      <c r="P77" s="29" t="s">
        <v>165</v>
      </c>
      <c r="Q77" s="29" t="s">
        <v>253</v>
      </c>
      <c r="R77" s="33">
        <v>0.0</v>
      </c>
      <c r="S77" s="33">
        <v>428.36</v>
      </c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</row>
    <row r="78" ht="15.75" customHeight="1">
      <c r="A78" s="32"/>
      <c r="B78" s="31">
        <v>43293.0</v>
      </c>
      <c r="C78" s="29" t="s">
        <v>32</v>
      </c>
      <c r="D78" s="29" t="s">
        <v>164</v>
      </c>
      <c r="E78" s="29" t="s">
        <v>164</v>
      </c>
      <c r="F78" s="29" t="s">
        <v>256</v>
      </c>
      <c r="G78" s="33">
        <v>944.0</v>
      </c>
      <c r="H78" s="34">
        <v>0.0</v>
      </c>
      <c r="I78" s="30"/>
      <c r="J78" s="30"/>
      <c r="K78" s="29"/>
      <c r="L78" s="29">
        <v>0.7412</v>
      </c>
      <c r="M78" s="29" t="s">
        <v>224</v>
      </c>
      <c r="N78" s="29" t="s">
        <v>227</v>
      </c>
      <c r="O78" s="29" t="s">
        <v>238</v>
      </c>
      <c r="P78" s="29" t="s">
        <v>165</v>
      </c>
      <c r="Q78" s="29" t="s">
        <v>249</v>
      </c>
      <c r="R78" s="33">
        <v>699.69</v>
      </c>
      <c r="S78" s="33">
        <v>0.0</v>
      </c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</row>
    <row r="79" ht="15.75" customHeight="1">
      <c r="A79" s="32"/>
      <c r="B79" s="31">
        <v>43293.0</v>
      </c>
      <c r="C79" s="29" t="s">
        <v>32</v>
      </c>
      <c r="D79" s="29" t="s">
        <v>164</v>
      </c>
      <c r="E79" s="29" t="s">
        <v>164</v>
      </c>
      <c r="F79" s="29" t="s">
        <v>230</v>
      </c>
      <c r="G79" s="35">
        <v>0.0</v>
      </c>
      <c r="H79" s="33">
        <v>944.0</v>
      </c>
      <c r="I79" s="30"/>
      <c r="J79" s="30"/>
      <c r="K79" s="29"/>
      <c r="L79" s="29">
        <v>0.7412</v>
      </c>
      <c r="M79" s="29" t="s">
        <v>224</v>
      </c>
      <c r="N79" s="29" t="s">
        <v>229</v>
      </c>
      <c r="O79" s="29" t="s">
        <v>238</v>
      </c>
      <c r="P79" s="29" t="s">
        <v>165</v>
      </c>
      <c r="Q79" s="29" t="s">
        <v>249</v>
      </c>
      <c r="R79" s="33">
        <v>0.0</v>
      </c>
      <c r="S79" s="33">
        <v>699.69</v>
      </c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</row>
    <row r="80" ht="15.75" customHeight="1">
      <c r="A80" s="32"/>
      <c r="B80" s="31">
        <v>43293.0</v>
      </c>
      <c r="C80" s="29" t="s">
        <v>32</v>
      </c>
      <c r="D80" s="29" t="s">
        <v>164</v>
      </c>
      <c r="E80" s="29" t="s">
        <v>164</v>
      </c>
      <c r="F80" s="29" t="s">
        <v>230</v>
      </c>
      <c r="G80" s="33">
        <v>944.0</v>
      </c>
      <c r="H80" s="34">
        <v>0.0</v>
      </c>
      <c r="I80" s="30"/>
      <c r="J80" s="30"/>
      <c r="K80" s="29"/>
      <c r="L80" s="29">
        <v>0.7411</v>
      </c>
      <c r="M80" s="29" t="s">
        <v>224</v>
      </c>
      <c r="N80" s="29" t="s">
        <v>227</v>
      </c>
      <c r="O80" s="29" t="s">
        <v>238</v>
      </c>
      <c r="P80" s="29" t="s">
        <v>165</v>
      </c>
      <c r="Q80" s="29" t="s">
        <v>250</v>
      </c>
      <c r="R80" s="33">
        <v>699.6</v>
      </c>
      <c r="S80" s="33">
        <v>0.0</v>
      </c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</row>
    <row r="81" ht="15.75" customHeight="1">
      <c r="A81" s="32"/>
      <c r="B81" s="31">
        <v>43293.0</v>
      </c>
      <c r="C81" s="29" t="s">
        <v>32</v>
      </c>
      <c r="D81" s="29" t="s">
        <v>164</v>
      </c>
      <c r="E81" s="29" t="s">
        <v>164</v>
      </c>
      <c r="F81" s="29" t="s">
        <v>256</v>
      </c>
      <c r="G81" s="35">
        <v>0.0</v>
      </c>
      <c r="H81" s="33">
        <v>944.0</v>
      </c>
      <c r="I81" s="30"/>
      <c r="J81" s="30"/>
      <c r="K81" s="29"/>
      <c r="L81" s="29">
        <v>0.7411</v>
      </c>
      <c r="M81" s="29" t="s">
        <v>224</v>
      </c>
      <c r="N81" s="29" t="s">
        <v>229</v>
      </c>
      <c r="O81" s="29" t="s">
        <v>238</v>
      </c>
      <c r="P81" s="29" t="s">
        <v>165</v>
      </c>
      <c r="Q81" s="29" t="s">
        <v>250</v>
      </c>
      <c r="R81" s="33">
        <v>0.0</v>
      </c>
      <c r="S81" s="33">
        <v>699.6</v>
      </c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</row>
    <row r="82" ht="15.75" customHeight="1">
      <c r="A82" s="32"/>
      <c r="B82" s="31">
        <v>43293.0</v>
      </c>
      <c r="C82" s="29" t="s">
        <v>32</v>
      </c>
      <c r="D82" s="29" t="s">
        <v>164</v>
      </c>
      <c r="E82" s="29" t="s">
        <v>164</v>
      </c>
      <c r="F82" s="29" t="s">
        <v>232</v>
      </c>
      <c r="G82" s="33">
        <v>0.56</v>
      </c>
      <c r="H82" s="34">
        <v>0.0</v>
      </c>
      <c r="I82" s="30"/>
      <c r="J82" s="30"/>
      <c r="K82" s="29"/>
      <c r="L82" s="29">
        <v>0.7412</v>
      </c>
      <c r="M82" s="29" t="s">
        <v>224</v>
      </c>
      <c r="N82" s="29" t="s">
        <v>227</v>
      </c>
      <c r="O82" s="29" t="s">
        <v>238</v>
      </c>
      <c r="P82" s="29" t="s">
        <v>165</v>
      </c>
      <c r="Q82" s="29" t="s">
        <v>251</v>
      </c>
      <c r="R82" s="33">
        <v>0.42</v>
      </c>
      <c r="S82" s="33">
        <v>0.0</v>
      </c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</row>
    <row r="83" ht="15.75" customHeight="1">
      <c r="A83" s="32"/>
      <c r="B83" s="31">
        <v>43293.0</v>
      </c>
      <c r="C83" s="29" t="s">
        <v>32</v>
      </c>
      <c r="D83" s="29" t="s">
        <v>164</v>
      </c>
      <c r="E83" s="29" t="s">
        <v>164</v>
      </c>
      <c r="F83" s="29" t="s">
        <v>257</v>
      </c>
      <c r="G83" s="35">
        <v>0.0</v>
      </c>
      <c r="H83" s="33">
        <v>0.56</v>
      </c>
      <c r="I83" s="30"/>
      <c r="J83" s="30"/>
      <c r="K83" s="29"/>
      <c r="L83" s="29">
        <v>0.7412</v>
      </c>
      <c r="M83" s="29" t="s">
        <v>224</v>
      </c>
      <c r="N83" s="29" t="s">
        <v>229</v>
      </c>
      <c r="O83" s="29" t="s">
        <v>238</v>
      </c>
      <c r="P83" s="29" t="s">
        <v>165</v>
      </c>
      <c r="Q83" s="29" t="s">
        <v>251</v>
      </c>
      <c r="R83" s="33">
        <v>0.0</v>
      </c>
      <c r="S83" s="33">
        <v>0.42</v>
      </c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</row>
    <row r="84" ht="15.75" customHeight="1">
      <c r="A84" s="32"/>
      <c r="B84" s="31">
        <v>43293.0</v>
      </c>
      <c r="C84" s="29" t="s">
        <v>32</v>
      </c>
      <c r="D84" s="29" t="s">
        <v>164</v>
      </c>
      <c r="E84" s="29" t="s">
        <v>164</v>
      </c>
      <c r="F84" s="29" t="s">
        <v>257</v>
      </c>
      <c r="G84" s="33">
        <v>0.56</v>
      </c>
      <c r="H84" s="34">
        <v>0.0</v>
      </c>
      <c r="I84" s="30"/>
      <c r="J84" s="30"/>
      <c r="K84" s="29"/>
      <c r="L84" s="29">
        <v>0.7411</v>
      </c>
      <c r="M84" s="29" t="s">
        <v>224</v>
      </c>
      <c r="N84" s="29" t="s">
        <v>227</v>
      </c>
      <c r="O84" s="29" t="s">
        <v>238</v>
      </c>
      <c r="P84" s="29" t="s">
        <v>165</v>
      </c>
      <c r="Q84" s="29" t="s">
        <v>252</v>
      </c>
      <c r="R84" s="33">
        <v>0.42</v>
      </c>
      <c r="S84" s="33">
        <v>0.0</v>
      </c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</row>
    <row r="85" ht="15.75" customHeight="1">
      <c r="A85" s="32"/>
      <c r="B85" s="31">
        <v>43293.0</v>
      </c>
      <c r="C85" s="29" t="s">
        <v>32</v>
      </c>
      <c r="D85" s="29" t="s">
        <v>164</v>
      </c>
      <c r="E85" s="29" t="s">
        <v>164</v>
      </c>
      <c r="F85" s="29" t="s">
        <v>232</v>
      </c>
      <c r="G85" s="35">
        <v>0.0</v>
      </c>
      <c r="H85" s="33">
        <v>0.56</v>
      </c>
      <c r="I85" s="30"/>
      <c r="J85" s="30"/>
      <c r="K85" s="29"/>
      <c r="L85" s="29">
        <v>0.7411</v>
      </c>
      <c r="M85" s="29" t="s">
        <v>224</v>
      </c>
      <c r="N85" s="29" t="s">
        <v>229</v>
      </c>
      <c r="O85" s="29" t="s">
        <v>238</v>
      </c>
      <c r="P85" s="29" t="s">
        <v>165</v>
      </c>
      <c r="Q85" s="29" t="s">
        <v>252</v>
      </c>
      <c r="R85" s="33">
        <v>0.0</v>
      </c>
      <c r="S85" s="33">
        <v>0.42</v>
      </c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</row>
    <row r="86" ht="15.75" customHeight="1">
      <c r="A86" s="32"/>
      <c r="B86" s="31">
        <v>43294.0</v>
      </c>
      <c r="C86" s="29" t="s">
        <v>32</v>
      </c>
      <c r="D86" s="29" t="s">
        <v>164</v>
      </c>
      <c r="E86" s="29" t="s">
        <v>164</v>
      </c>
      <c r="F86" s="29" t="s">
        <v>256</v>
      </c>
      <c r="G86" s="33">
        <v>944.0</v>
      </c>
      <c r="H86" s="34">
        <v>0.0</v>
      </c>
      <c r="I86" s="30"/>
      <c r="J86" s="30"/>
      <c r="K86" s="29"/>
      <c r="L86" s="29">
        <v>0.7413</v>
      </c>
      <c r="M86" s="29" t="s">
        <v>224</v>
      </c>
      <c r="N86" s="29" t="s">
        <v>227</v>
      </c>
      <c r="O86" s="29" t="s">
        <v>238</v>
      </c>
      <c r="P86" s="29" t="s">
        <v>165</v>
      </c>
      <c r="Q86" s="29" t="s">
        <v>249</v>
      </c>
      <c r="R86" s="33">
        <v>699.79</v>
      </c>
      <c r="S86" s="33">
        <v>0.0</v>
      </c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</row>
    <row r="87" ht="15.75" customHeight="1">
      <c r="A87" s="32"/>
      <c r="B87" s="31">
        <v>43294.0</v>
      </c>
      <c r="C87" s="29" t="s">
        <v>32</v>
      </c>
      <c r="D87" s="29" t="s">
        <v>164</v>
      </c>
      <c r="E87" s="29" t="s">
        <v>164</v>
      </c>
      <c r="F87" s="29" t="s">
        <v>230</v>
      </c>
      <c r="G87" s="35">
        <v>0.0</v>
      </c>
      <c r="H87" s="33">
        <v>944.0</v>
      </c>
      <c r="I87" s="30"/>
      <c r="J87" s="30"/>
      <c r="K87" s="29"/>
      <c r="L87" s="29">
        <v>0.7413</v>
      </c>
      <c r="M87" s="29" t="s">
        <v>224</v>
      </c>
      <c r="N87" s="29" t="s">
        <v>229</v>
      </c>
      <c r="O87" s="29" t="s">
        <v>238</v>
      </c>
      <c r="P87" s="29" t="s">
        <v>165</v>
      </c>
      <c r="Q87" s="29" t="s">
        <v>249</v>
      </c>
      <c r="R87" s="33">
        <v>0.0</v>
      </c>
      <c r="S87" s="33">
        <v>699.79</v>
      </c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</row>
    <row r="88" ht="15.75" customHeight="1">
      <c r="A88" s="32"/>
      <c r="B88" s="31">
        <v>43294.0</v>
      </c>
      <c r="C88" s="29" t="s">
        <v>32</v>
      </c>
      <c r="D88" s="29" t="s">
        <v>164</v>
      </c>
      <c r="E88" s="29" t="s">
        <v>164</v>
      </c>
      <c r="F88" s="29" t="s">
        <v>230</v>
      </c>
      <c r="G88" s="33">
        <v>944.0</v>
      </c>
      <c r="H88" s="34">
        <v>0.0</v>
      </c>
      <c r="I88" s="30"/>
      <c r="J88" s="30"/>
      <c r="K88" s="29"/>
      <c r="L88" s="29">
        <v>0.7412</v>
      </c>
      <c r="M88" s="29" t="s">
        <v>224</v>
      </c>
      <c r="N88" s="29" t="s">
        <v>227</v>
      </c>
      <c r="O88" s="29" t="s">
        <v>238</v>
      </c>
      <c r="P88" s="29" t="s">
        <v>165</v>
      </c>
      <c r="Q88" s="29" t="s">
        <v>250</v>
      </c>
      <c r="R88" s="33">
        <v>699.69</v>
      </c>
      <c r="S88" s="33">
        <v>0.0</v>
      </c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</row>
    <row r="89" ht="15.75" customHeight="1">
      <c r="A89" s="32"/>
      <c r="B89" s="31">
        <v>43294.0</v>
      </c>
      <c r="C89" s="29" t="s">
        <v>32</v>
      </c>
      <c r="D89" s="29" t="s">
        <v>164</v>
      </c>
      <c r="E89" s="29" t="s">
        <v>164</v>
      </c>
      <c r="F89" s="29" t="s">
        <v>256</v>
      </c>
      <c r="G89" s="35">
        <v>0.0</v>
      </c>
      <c r="H89" s="33">
        <v>944.0</v>
      </c>
      <c r="I89" s="30"/>
      <c r="J89" s="30"/>
      <c r="K89" s="29"/>
      <c r="L89" s="29">
        <v>0.7412</v>
      </c>
      <c r="M89" s="29" t="s">
        <v>224</v>
      </c>
      <c r="N89" s="29" t="s">
        <v>229</v>
      </c>
      <c r="O89" s="29" t="s">
        <v>238</v>
      </c>
      <c r="P89" s="29" t="s">
        <v>165</v>
      </c>
      <c r="Q89" s="29" t="s">
        <v>250</v>
      </c>
      <c r="R89" s="33">
        <v>0.0</v>
      </c>
      <c r="S89" s="33">
        <v>699.69</v>
      </c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</row>
    <row r="90" ht="15.75" customHeight="1">
      <c r="A90" s="32"/>
      <c r="B90" s="31">
        <v>43294.0</v>
      </c>
      <c r="C90" s="29" t="s">
        <v>32</v>
      </c>
      <c r="D90" s="29" t="s">
        <v>164</v>
      </c>
      <c r="E90" s="29" t="s">
        <v>164</v>
      </c>
      <c r="F90" s="29" t="s">
        <v>232</v>
      </c>
      <c r="G90" s="33">
        <v>1.13</v>
      </c>
      <c r="H90" s="34">
        <v>0.0</v>
      </c>
      <c r="I90" s="30"/>
      <c r="J90" s="30"/>
      <c r="K90" s="29"/>
      <c r="L90" s="29">
        <v>0.7413</v>
      </c>
      <c r="M90" s="29" t="s">
        <v>224</v>
      </c>
      <c r="N90" s="29" t="s">
        <v>227</v>
      </c>
      <c r="O90" s="29" t="s">
        <v>238</v>
      </c>
      <c r="P90" s="29" t="s">
        <v>165</v>
      </c>
      <c r="Q90" s="29" t="s">
        <v>251</v>
      </c>
      <c r="R90" s="33">
        <v>0.84</v>
      </c>
      <c r="S90" s="33">
        <v>0.0</v>
      </c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</row>
    <row r="91" ht="15.75" customHeight="1">
      <c r="A91" s="32"/>
      <c r="B91" s="31">
        <v>43294.0</v>
      </c>
      <c r="C91" s="29" t="s">
        <v>32</v>
      </c>
      <c r="D91" s="29" t="s">
        <v>164</v>
      </c>
      <c r="E91" s="29" t="s">
        <v>164</v>
      </c>
      <c r="F91" s="29" t="s">
        <v>257</v>
      </c>
      <c r="G91" s="35">
        <v>0.0</v>
      </c>
      <c r="H91" s="33">
        <v>1.13</v>
      </c>
      <c r="I91" s="30"/>
      <c r="J91" s="30"/>
      <c r="K91" s="29"/>
      <c r="L91" s="29">
        <v>0.7413</v>
      </c>
      <c r="M91" s="29" t="s">
        <v>224</v>
      </c>
      <c r="N91" s="29" t="s">
        <v>229</v>
      </c>
      <c r="O91" s="29" t="s">
        <v>238</v>
      </c>
      <c r="P91" s="29" t="s">
        <v>165</v>
      </c>
      <c r="Q91" s="29" t="s">
        <v>251</v>
      </c>
      <c r="R91" s="33">
        <v>0.0</v>
      </c>
      <c r="S91" s="33">
        <v>0.84</v>
      </c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</row>
    <row r="92" ht="15.75" customHeight="1">
      <c r="A92" s="32"/>
      <c r="B92" s="31">
        <v>43294.0</v>
      </c>
      <c r="C92" s="29" t="s">
        <v>32</v>
      </c>
      <c r="D92" s="29" t="s">
        <v>164</v>
      </c>
      <c r="E92" s="29" t="s">
        <v>164</v>
      </c>
      <c r="F92" s="29" t="s">
        <v>257</v>
      </c>
      <c r="G92" s="33">
        <v>1.13</v>
      </c>
      <c r="H92" s="34">
        <v>0.0</v>
      </c>
      <c r="I92" s="30"/>
      <c r="J92" s="30"/>
      <c r="K92" s="29"/>
      <c r="L92" s="29">
        <v>0.7412</v>
      </c>
      <c r="M92" s="29" t="s">
        <v>224</v>
      </c>
      <c r="N92" s="29" t="s">
        <v>227</v>
      </c>
      <c r="O92" s="29" t="s">
        <v>238</v>
      </c>
      <c r="P92" s="29" t="s">
        <v>165</v>
      </c>
      <c r="Q92" s="29" t="s">
        <v>252</v>
      </c>
      <c r="R92" s="33">
        <v>0.84</v>
      </c>
      <c r="S92" s="33">
        <v>0.0</v>
      </c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</row>
    <row r="93" ht="15.75" customHeight="1">
      <c r="A93" s="32"/>
      <c r="B93" s="31">
        <v>43294.0</v>
      </c>
      <c r="C93" s="29" t="s">
        <v>32</v>
      </c>
      <c r="D93" s="29" t="s">
        <v>164</v>
      </c>
      <c r="E93" s="29" t="s">
        <v>164</v>
      </c>
      <c r="F93" s="29" t="s">
        <v>232</v>
      </c>
      <c r="G93" s="35">
        <v>0.0</v>
      </c>
      <c r="H93" s="33">
        <v>1.13</v>
      </c>
      <c r="I93" s="30"/>
      <c r="J93" s="30"/>
      <c r="K93" s="29"/>
      <c r="L93" s="29">
        <v>0.7412</v>
      </c>
      <c r="M93" s="29" t="s">
        <v>224</v>
      </c>
      <c r="N93" s="29" t="s">
        <v>229</v>
      </c>
      <c r="O93" s="29" t="s">
        <v>238</v>
      </c>
      <c r="P93" s="29" t="s">
        <v>165</v>
      </c>
      <c r="Q93" s="29" t="s">
        <v>252</v>
      </c>
      <c r="R93" s="33">
        <v>0.0</v>
      </c>
      <c r="S93" s="33">
        <v>0.84</v>
      </c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