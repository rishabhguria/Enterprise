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losingPreferenc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GetDataClosing" sheetId="8" r:id="rId10"/>
    <sheet state="visible" name="SelectTradeUnexpiredUnsettled" sheetId="9" r:id="rId11"/>
    <sheet state="visible" name="ExerciseAssignment" sheetId="10" r:id="rId12"/>
    <sheet state="visible" name="GetDataAllocation" sheetId="11" r:id="rId13"/>
    <sheet state="visible" name="CheckAllocatedGroups" sheetId="12" r:id="rId14"/>
    <sheet state="visible" name="CheckAllocatedTaxlot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<sst xmlns="http://schemas.openxmlformats.org/spreadsheetml/2006/main" count="197" uniqueCount="53">
  <si>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</si>
  <si>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</si>
  <si>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</si>
  <si>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</si>
  <si>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</si>
  <si>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</si>
  <si>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</si>
  <si>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</si>
  <si>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</si>
  <si>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</si>
  <si>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</si>
  <si>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</si>
  <si>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Closing</t>
  </si>
  <si>
    <t>SetClosingPreference</t>
  </si>
  <si>
    <t>Data Format</t>
  </si>
  <si>
    <t>Input Format</t>
  </si>
  <si>
    <t>TradingTicket</t>
  </si>
  <si>
    <t>CreateDoneAwayOrder</t>
  </si>
  <si>
    <t>AAPL</t>
  </si>
  <si>
    <t>Sell short</t>
  </si>
  <si>
    <t>Allocation1</t>
  </si>
  <si>
    <t>MS</t>
  </si>
  <si>
    <t xml:space="preserve"> O:AAPL 23E100.00D30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</si>
  <si>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</si>
  <si>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</si>
  <si>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</si>
  <si>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</si>
  <si>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</si>
  <si>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</si>
  <si>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</si>
  <si>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</si>
  <si>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</si>
  <si>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O:AAPL 23E100.00D30</t>
  </si>
  <si>
    <t>ExerciseAssignment</t>
  </si>
  <si>
    <t>Allocation</t>
  </si>
  <si>
    <t>GetDataAllocation</t>
  </si>
  <si>
    <t>CheckAllocatedGroups</t>
  </si>
  <si>
    <t>USD</t>
  </si>
  <si>
    <t>Sell to Close</t>
  </si>
  <si>
    <t>Buy to Close</t>
  </si>
  <si>
    <t>Buy</t>
  </si>
  <si>
    <t>CheckAllocatedTaxlots</t>
  </si>
  <si>
    <t>M</t>
  </si>
  <si>
    <t>Strategy Unallocated</t>
  </si>
  <si>
    <t>D</t>
  </si>
  <si>
    <t>PortfolioManagement</t>
  </si>
  <si>
    <t>CheckPortfolioManagement</t>
  </si>
  <si>
    <t>NewMF</t>
  </si>
  <si>
    <t>FIMAT</t>
  </si>
  <si>
    <t>Equity</t>
  </si>
  <si>
    <t>US</t>
  </si>
  <si>
    <t>NASDAQ</t>
  </si>
  <si>
    <t>Exercise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</si>
</sst>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3" t="b">
        <v>1</v>
      </c>
      <c r="F6" s="32"/>
      <c r="G6" s="32"/>
      <c r="H6" s="32"/>
      <c r="I6" s="32"/>
      <c r="J6" s="33" t="b">
        <v>1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19</v>
      </c>
      <c r="D6" s="34">
        <v>100.0</v>
      </c>
      <c r="E6" s="32"/>
      <c r="F6" s="32" t="s">
        <v>20</v>
      </c>
      <c r="G6" s="35" t="s">
        <v>21</v>
      </c>
      <c r="H6" s="32"/>
      <c r="I6" s="32"/>
      <c r="J6" s="36">
        <v>10.0</v>
      </c>
      <c r="K6" s="32"/>
      <c r="L6" s="32"/>
      <c r="M6" s="32"/>
      <c r="N6" s="37">
        <f t="shared" ref="N6:N7" si="1">TODAY()-25</f>
        <v>45052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9" t="s">
        <v>22</v>
      </c>
      <c r="C7" s="35" t="s">
        <v>23</v>
      </c>
      <c r="D7" s="36">
        <v>10.0</v>
      </c>
      <c r="E7" s="32"/>
      <c r="F7" s="35" t="s">
        <v>20</v>
      </c>
      <c r="G7" s="35" t="s">
        <v>21</v>
      </c>
      <c r="H7" s="32"/>
      <c r="I7" s="32"/>
      <c r="J7" s="36">
        <v>10.0</v>
      </c>
      <c r="K7" s="8"/>
      <c r="L7" s="8"/>
      <c r="M7" s="8"/>
      <c r="N7" s="37">
        <f t="shared" si="1"/>
        <v>45052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f>today()-1</f>
        <v>45076</v>
      </c>
      <c r="C6" s="38">
        <f>today()</f>
        <v>45077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6">
        <v>120.0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28</v>
      </c>
      <c r="C6" s="37" t="s">
        <v>29</v>
      </c>
      <c r="D6" s="37">
        <f>TODAY()</f>
        <v>45077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20</v>
      </c>
      <c r="C6" s="32"/>
      <c r="D6" s="31"/>
      <c r="E6" s="32" t="s">
        <v>31</v>
      </c>
      <c r="F6" s="32"/>
      <c r="G6" s="32"/>
      <c r="H6" s="32"/>
      <c r="I6" s="36">
        <v>10.0</v>
      </c>
      <c r="J6" s="32"/>
      <c r="K6" s="35" t="s">
        <v>21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40">
        <v>10.0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5" t="s">
        <v>23</v>
      </c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41" t="s">
        <v>32</v>
      </c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28</v>
      </c>
      <c r="C6" s="37" t="s">
        <v>29</v>
      </c>
      <c r="D6" s="37">
        <f>TODAY()</f>
        <v>45077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20</v>
      </c>
      <c r="C6" s="8"/>
      <c r="D6" s="13"/>
      <c r="E6" s="44">
        <v>100.0</v>
      </c>
      <c r="F6" s="8"/>
      <c r="G6" s="8"/>
      <c r="H6" s="8"/>
      <c r="I6" s="8"/>
      <c r="J6" s="44">
        <v>1.0</v>
      </c>
      <c r="K6" s="44">
        <v>10.0</v>
      </c>
      <c r="L6" s="44">
        <v>10.0</v>
      </c>
      <c r="M6" s="8"/>
      <c r="N6" s="8"/>
      <c r="O6" s="43" t="s">
        <v>21</v>
      </c>
      <c r="Z6" s="43" t="s">
        <v>37</v>
      </c>
      <c r="BJ6" s="44">
        <v>100.0</v>
      </c>
      <c r="BM6" s="43" t="s">
        <v>37</v>
      </c>
      <c r="BO6" s="43" t="s">
        <v>19</v>
      </c>
      <c r="BT6" s="43" t="s">
        <v>18</v>
      </c>
      <c r="CM6" s="43" t="s">
        <v>18</v>
      </c>
    </row>
    <row r="7" ht="15.75" customHeight="1">
      <c r="A7" s="8"/>
      <c r="B7" s="43" t="s">
        <v>20</v>
      </c>
      <c r="C7" s="8"/>
      <c r="D7" s="8"/>
      <c r="E7" s="44">
        <v>10.0</v>
      </c>
      <c r="F7" s="8"/>
      <c r="G7" s="8"/>
      <c r="H7" s="8"/>
      <c r="I7" s="8"/>
      <c r="J7" s="44">
        <v>12.0</v>
      </c>
      <c r="K7" s="44">
        <v>0.0</v>
      </c>
      <c r="L7" s="44">
        <v>0.0</v>
      </c>
      <c r="M7" s="8"/>
      <c r="N7" s="8"/>
      <c r="O7" s="43" t="s">
        <v>21</v>
      </c>
      <c r="Z7" s="43" t="s">
        <v>37</v>
      </c>
      <c r="BJ7" s="44">
        <v>10.0</v>
      </c>
      <c r="BM7" s="43" t="s">
        <v>37</v>
      </c>
      <c r="BO7" s="43" t="s">
        <v>38</v>
      </c>
      <c r="BT7" s="43" t="s">
        <v>32</v>
      </c>
      <c r="CM7" s="43" t="s">
        <v>18</v>
      </c>
    </row>
    <row r="8" ht="15.75" customHeight="1">
      <c r="A8" s="8"/>
      <c r="B8" s="43" t="s">
        <v>20</v>
      </c>
      <c r="C8" s="8"/>
      <c r="D8" s="8"/>
      <c r="E8" s="44">
        <v>10.0</v>
      </c>
      <c r="F8" s="8"/>
      <c r="G8" s="8"/>
      <c r="H8" s="8"/>
      <c r="I8" s="8"/>
      <c r="J8" s="44">
        <v>12.0</v>
      </c>
      <c r="K8" s="44">
        <v>10.0</v>
      </c>
      <c r="L8" s="44">
        <v>10.0</v>
      </c>
      <c r="M8" s="8"/>
      <c r="N8" s="8"/>
      <c r="O8" s="43" t="s">
        <v>21</v>
      </c>
      <c r="Z8" s="43" t="s">
        <v>37</v>
      </c>
      <c r="BJ8" s="44">
        <v>10.0</v>
      </c>
      <c r="BM8" s="43" t="s">
        <v>37</v>
      </c>
      <c r="BO8" s="43" t="s">
        <v>23</v>
      </c>
      <c r="BT8" s="43" t="s">
        <v>32</v>
      </c>
      <c r="CM8" s="43" t="s">
        <v>18</v>
      </c>
    </row>
    <row r="9" ht="15.75" customHeight="1">
      <c r="A9" s="8"/>
      <c r="B9" s="43" t="s">
        <v>20</v>
      </c>
      <c r="C9" s="8"/>
      <c r="D9" s="8"/>
      <c r="E9" s="44">
        <v>100.0</v>
      </c>
      <c r="F9" s="8"/>
      <c r="G9" s="8"/>
      <c r="H9" s="8"/>
      <c r="I9" s="8"/>
      <c r="J9" s="44">
        <v>1.0</v>
      </c>
      <c r="K9" s="44">
        <v>100.0</v>
      </c>
      <c r="L9" s="44">
        <v>100.0</v>
      </c>
      <c r="M9" s="8"/>
      <c r="N9" s="8"/>
      <c r="O9" s="43" t="s">
        <v>21</v>
      </c>
      <c r="Z9" s="43" t="s">
        <v>37</v>
      </c>
      <c r="BJ9" s="44">
        <v>100.0</v>
      </c>
      <c r="BM9" s="43" t="s">
        <v>37</v>
      </c>
      <c r="BO9" s="43" t="s">
        <v>39</v>
      </c>
      <c r="BT9" s="43" t="s">
        <v>18</v>
      </c>
      <c r="CM9" s="43" t="s">
        <v>18</v>
      </c>
    </row>
    <row r="10" ht="15.75" customHeight="1">
      <c r="A10" s="8"/>
      <c r="B10" s="43" t="s">
        <v>20</v>
      </c>
      <c r="C10" s="8"/>
      <c r="D10" s="8"/>
      <c r="E10" s="44">
        <v>900.0</v>
      </c>
      <c r="F10" s="8"/>
      <c r="G10" s="8"/>
      <c r="H10" s="8"/>
      <c r="I10" s="8"/>
      <c r="J10" s="44">
        <v>1.0</v>
      </c>
      <c r="K10" s="44">
        <v>100.0</v>
      </c>
      <c r="L10" s="44">
        <v>100.0</v>
      </c>
      <c r="M10" s="8"/>
      <c r="N10" s="8"/>
      <c r="O10" s="43" t="s">
        <v>21</v>
      </c>
      <c r="Z10" s="43" t="s">
        <v>37</v>
      </c>
      <c r="BJ10" s="44">
        <v>900.0</v>
      </c>
      <c r="BM10" s="43" t="s">
        <v>37</v>
      </c>
      <c r="BO10" s="43" t="s">
        <v>40</v>
      </c>
      <c r="BT10" s="43" t="s">
        <v>18</v>
      </c>
      <c r="CM10" s="43" t="s">
        <v>18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>
        <v>985.9994</v>
      </c>
      <c r="C6" s="44">
        <v>985.9994</v>
      </c>
      <c r="D6" s="45">
        <v>1000.0</v>
      </c>
      <c r="E6" s="45">
        <v>1000.0</v>
      </c>
      <c r="F6" s="43" t="s">
        <v>42</v>
      </c>
      <c r="G6" s="8"/>
      <c r="H6" s="43" t="s">
        <v>37</v>
      </c>
      <c r="I6" s="8"/>
      <c r="J6" s="8"/>
      <c r="K6" s="8"/>
      <c r="L6" s="8"/>
      <c r="M6" s="8"/>
      <c r="N6" s="8"/>
      <c r="O6" s="43" t="s">
        <v>20</v>
      </c>
      <c r="P6" s="43" t="s">
        <v>43</v>
      </c>
      <c r="Q6" s="44">
        <v>100.0</v>
      </c>
      <c r="R6" s="44">
        <v>100.0</v>
      </c>
      <c r="AI6" s="44">
        <v>10.0</v>
      </c>
      <c r="AJ6" s="44"/>
      <c r="AK6" s="44">
        <v>1.0</v>
      </c>
      <c r="AL6" s="44">
        <v>3.0</v>
      </c>
    </row>
    <row r="7" ht="15.75" customHeight="1">
      <c r="A7" s="8"/>
      <c r="B7" s="44">
        <v>0.0</v>
      </c>
      <c r="C7" s="44">
        <v>0.0</v>
      </c>
      <c r="D7" s="44">
        <v>0.0</v>
      </c>
      <c r="E7" s="44">
        <v>0.0</v>
      </c>
      <c r="F7" s="43" t="s">
        <v>42</v>
      </c>
      <c r="G7" s="8"/>
      <c r="H7" s="43" t="s">
        <v>37</v>
      </c>
      <c r="I7" s="8"/>
      <c r="J7" s="8"/>
      <c r="K7" s="8"/>
      <c r="L7" s="8"/>
      <c r="M7" s="8"/>
      <c r="N7" s="8"/>
      <c r="O7" s="43" t="s">
        <v>20</v>
      </c>
      <c r="P7" s="43" t="s">
        <v>43</v>
      </c>
      <c r="Q7" s="44">
        <v>100.0</v>
      </c>
      <c r="R7" s="44">
        <v>10.0</v>
      </c>
      <c r="AI7" s="44">
        <v>0.0</v>
      </c>
      <c r="AJ7" s="44"/>
      <c r="AK7" s="44">
        <v>1.0</v>
      </c>
      <c r="AL7" s="44">
        <v>3.0</v>
      </c>
    </row>
    <row r="8" ht="15.75" customHeight="1">
      <c r="A8" s="8"/>
      <c r="B8" s="45">
        <v>10000.0</v>
      </c>
      <c r="C8" s="45">
        <v>10000.0</v>
      </c>
      <c r="D8" s="45">
        <v>10000.0</v>
      </c>
      <c r="E8" s="45">
        <v>10000.0</v>
      </c>
      <c r="F8" s="43" t="s">
        <v>42</v>
      </c>
      <c r="G8" s="8"/>
      <c r="H8" s="43" t="s">
        <v>37</v>
      </c>
      <c r="I8" s="8"/>
      <c r="J8" s="8"/>
      <c r="K8" s="8"/>
      <c r="L8" s="8"/>
      <c r="M8" s="8"/>
      <c r="N8" s="8"/>
      <c r="O8" s="43" t="s">
        <v>20</v>
      </c>
      <c r="P8" s="43" t="s">
        <v>43</v>
      </c>
      <c r="Q8" s="44">
        <v>100.0</v>
      </c>
      <c r="R8" s="44">
        <v>10.0</v>
      </c>
      <c r="AI8" s="44">
        <v>10.0</v>
      </c>
      <c r="AJ8" s="44"/>
      <c r="AK8" s="44">
        <v>1.0</v>
      </c>
      <c r="AL8" s="44">
        <v>3.0</v>
      </c>
    </row>
    <row r="9" ht="15.75" customHeight="1">
      <c r="A9" s="8"/>
      <c r="B9" s="45">
        <v>10000.0</v>
      </c>
      <c r="C9" s="45">
        <v>10000.0</v>
      </c>
      <c r="D9" s="45">
        <v>10000.0</v>
      </c>
      <c r="E9" s="45">
        <v>10000.0</v>
      </c>
      <c r="F9" s="43" t="s">
        <v>44</v>
      </c>
      <c r="G9" s="8"/>
      <c r="H9" s="43" t="s">
        <v>37</v>
      </c>
      <c r="I9" s="8"/>
      <c r="J9" s="8"/>
      <c r="K9" s="8"/>
      <c r="L9" s="8"/>
      <c r="M9" s="8"/>
      <c r="N9" s="8"/>
      <c r="O9" s="43" t="s">
        <v>20</v>
      </c>
      <c r="P9" s="43" t="s">
        <v>43</v>
      </c>
      <c r="Q9" s="44">
        <v>100.0</v>
      </c>
      <c r="R9" s="44">
        <v>100.0</v>
      </c>
      <c r="AI9" s="44">
        <v>100.0</v>
      </c>
      <c r="AJ9" s="44"/>
      <c r="AK9" s="44">
        <v>1.0</v>
      </c>
      <c r="AL9" s="44">
        <v>3.0</v>
      </c>
    </row>
    <row r="10" ht="15.75" customHeight="1">
      <c r="A10" s="8"/>
      <c r="B10" s="45">
        <v>90000.0</v>
      </c>
      <c r="C10" s="45">
        <v>90000.0</v>
      </c>
      <c r="D10" s="45">
        <v>90000.0</v>
      </c>
      <c r="E10" s="45">
        <v>90000.0</v>
      </c>
      <c r="F10" s="43" t="s">
        <v>42</v>
      </c>
      <c r="G10" s="8"/>
      <c r="H10" s="43" t="s">
        <v>37</v>
      </c>
      <c r="I10" s="8"/>
      <c r="J10" s="8"/>
      <c r="K10" s="8"/>
      <c r="L10" s="8"/>
      <c r="M10" s="8"/>
      <c r="N10" s="8"/>
      <c r="O10" s="43" t="s">
        <v>20</v>
      </c>
      <c r="P10" s="43" t="s">
        <v>43</v>
      </c>
      <c r="Q10" s="44">
        <v>100.0</v>
      </c>
      <c r="R10" s="44">
        <v>900.0</v>
      </c>
      <c r="AI10" s="44">
        <v>100.0</v>
      </c>
      <c r="AJ10" s="44"/>
      <c r="AK10" s="44">
        <v>1.0</v>
      </c>
      <c r="AL10" s="44">
        <v>3.0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3" t="s">
        <v>18</v>
      </c>
      <c r="D6" s="13"/>
      <c r="E6" s="43" t="s">
        <v>20</v>
      </c>
      <c r="F6" s="43" t="s">
        <v>47</v>
      </c>
      <c r="G6" s="44">
        <v>10.0</v>
      </c>
      <c r="H6" s="8"/>
      <c r="I6" s="8"/>
      <c r="J6" s="8"/>
      <c r="K6" s="8"/>
      <c r="L6" s="8"/>
      <c r="M6" s="8"/>
      <c r="N6" s="8"/>
      <c r="O6" s="8"/>
      <c r="R6" s="43" t="s">
        <v>48</v>
      </c>
      <c r="S6" s="43" t="s">
        <v>43</v>
      </c>
      <c r="T6" s="43" t="s">
        <v>49</v>
      </c>
      <c r="U6" s="43" t="s">
        <v>50</v>
      </c>
      <c r="V6" s="43" t="s">
        <v>51</v>
      </c>
      <c r="W6" s="43" t="s">
        <v>37</v>
      </c>
      <c r="X6" s="44">
        <v>1.0</v>
      </c>
      <c r="Y6" s="44">
        <v>1.0</v>
      </c>
      <c r="AN6" s="43" t="s">
        <v>19</v>
      </c>
      <c r="AQ6" s="43" t="s">
        <v>18</v>
      </c>
      <c r="DJ6" s="43" t="s">
        <v>19</v>
      </c>
    </row>
    <row r="7" ht="15.75" customHeight="1">
      <c r="A7" s="8"/>
      <c r="B7" s="8"/>
      <c r="C7" s="43" t="s">
        <v>18</v>
      </c>
      <c r="D7" s="8"/>
      <c r="E7" s="43" t="s">
        <v>20</v>
      </c>
      <c r="F7" s="43" t="s">
        <v>47</v>
      </c>
      <c r="G7" s="44">
        <v>100.0</v>
      </c>
      <c r="H7" s="8"/>
      <c r="I7" s="8"/>
      <c r="J7" s="8"/>
      <c r="K7" s="8"/>
      <c r="L7" s="8"/>
      <c r="M7" s="8"/>
      <c r="N7" s="8"/>
      <c r="O7" s="8"/>
      <c r="R7" s="43" t="s">
        <v>48</v>
      </c>
      <c r="S7" s="43" t="s">
        <v>43</v>
      </c>
      <c r="T7" s="43" t="s">
        <v>49</v>
      </c>
      <c r="U7" s="43" t="s">
        <v>50</v>
      </c>
      <c r="V7" s="43" t="s">
        <v>51</v>
      </c>
      <c r="W7" s="43" t="s">
        <v>37</v>
      </c>
      <c r="X7" s="44">
        <v>1.0</v>
      </c>
      <c r="Y7" s="44">
        <v>1.0</v>
      </c>
      <c r="AN7" s="43" t="s">
        <v>39</v>
      </c>
      <c r="AQ7" s="43" t="s">
        <v>18</v>
      </c>
      <c r="DJ7" s="43" t="s">
        <v>52</v>
      </c>
    </row>
    <row r="8" ht="15.75" customHeight="1">
      <c r="A8" s="8"/>
      <c r="B8" s="8"/>
      <c r="C8" s="43" t="s">
        <v>18</v>
      </c>
      <c r="D8" s="8"/>
      <c r="E8" s="43" t="s">
        <v>20</v>
      </c>
      <c r="F8" s="43" t="s">
        <v>47</v>
      </c>
      <c r="G8" s="44">
        <v>100.0</v>
      </c>
      <c r="H8" s="8"/>
      <c r="I8" s="8"/>
      <c r="J8" s="8"/>
      <c r="K8" s="8"/>
      <c r="L8" s="8"/>
      <c r="M8" s="8"/>
      <c r="N8" s="8"/>
      <c r="O8" s="8"/>
      <c r="R8" s="43" t="s">
        <v>48</v>
      </c>
      <c r="S8" s="43" t="s">
        <v>43</v>
      </c>
      <c r="T8" s="43" t="s">
        <v>49</v>
      </c>
      <c r="U8" s="43" t="s">
        <v>50</v>
      </c>
      <c r="V8" s="43" t="s">
        <v>51</v>
      </c>
      <c r="W8" s="43" t="s">
        <v>37</v>
      </c>
      <c r="X8" s="44">
        <v>1.0</v>
      </c>
      <c r="Y8" s="44">
        <v>1.0</v>
      </c>
      <c r="AN8" s="43" t="s">
        <v>40</v>
      </c>
      <c r="AQ8" s="43" t="s">
        <v>18</v>
      </c>
      <c r="DJ8" s="43" t="s">
        <v>52</v>
      </c>
    </row>
    <row r="9" ht="15.75" customHeight="1">
      <c r="A9" s="8"/>
      <c r="B9" s="8"/>
      <c r="C9" s="8"/>
      <c r="D9" s="8"/>
      <c r="E9" s="46"/>
      <c r="F9" s="46"/>
      <c r="G9" s="46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