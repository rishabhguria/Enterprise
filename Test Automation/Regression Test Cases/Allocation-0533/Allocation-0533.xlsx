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Import" sheetId="4" r:id="rId6"/>
    <sheet state="visible" name="SelectAllOnImport" sheetId="5" r:id="rId7"/>
    <sheet state="visible" name="GetDataAllocation" sheetId="6" r:id="rId8"/>
    <sheet state="visible" name="CheckAllocatedGroups" sheetId="7" r:id="rId9"/>
  </sheets>
  <definedNames/>
  <calcPr/>
</workbook>
</file>

<file path=xl/sharedStrings.xml><?xml version="1.0" encoding="utf-8"?>
<sst xmlns="http://schemas.openxmlformats.org/spreadsheetml/2006/main" count="46" uniqueCount="25">
  <si>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</si>
  <si>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</si>
  <si>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</si>
  <si>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</si>
  <si>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</si>
  <si>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</si>
  <si>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</si>
  <si>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</si>
  <si>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</si>
  <si>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</si>
  <si>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</si>
  <si>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</si>
  <si>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Import</t>
  </si>
  <si>
    <t>Data Format</t>
  </si>
  <si>
    <t>Input Format</t>
  </si>
  <si>
    <t>Allocation1</t>
  </si>
  <si>
    <t>\\192.168.2.108\DistributedAutomation_Master\Import Cases\Stage(Allocation-0533).csv</t>
  </si>
  <si>
    <t>MS</t>
  </si>
  <si>
    <t>Transaction</t>
  </si>
  <si>
    <t>SelectAllOnImport</t>
  </si>
  <si>
    <t>Allocation</t>
  </si>
  <si>
    <t>GetDataAllocation</t>
  </si>
  <si>
    <t>Historical</t>
  </si>
  <si>
    <t>01/01/1800</t>
  </si>
  <si>
    <t>CheckAllocatedGroups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</si>
</sst>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1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horizontal="center"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16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12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IFERROR(__xludf.DUMMYFUNCTION("""COMPUTED_VALUE"""),"SelectTransactionImportType")</f>
        <v>SelectTransactionImportType</v>
      </c>
      <c r="D4" s="25" t="str">
        <f>IFERROR(__xludf.DUMMYFUNCTION("""COMPUTED_VALUE"""),"SelectAllOnImport")</f>
        <v>SelectAllOnImport</v>
      </c>
      <c r="E4" s="25" t="str">
        <f>IFERROR(__xludf.DUMMYFUNCTION("""COMPUTED_VALUE"""),"SelectMarkPriceImportType")</f>
        <v>SelectMarkPriceImportType</v>
      </c>
      <c r="F4" s="25" t="str">
        <f>IFERROR(__xludf.DUMMYFUNCTION("""COMPUTED_VALUE"""),"SelectForexImportType")</f>
        <v>SelectForexImportType</v>
      </c>
      <c r="G4" s="25" t="str">
        <f>IFERROR(__xludf.DUMMYFUNCTION("""COMPUTED_VALUE"""),"SelectDoubleEntryCashImportType")</f>
        <v>SelectDoubleEntryCashImportType</v>
      </c>
      <c r="H4" s="25" t="str">
        <f>IFERROR(__xludf.DUMMYFUNCTION("""COMPUTED_VALUE"""),"SelectActivitiesImportType")</f>
        <v>SelectActivitiesImportType</v>
      </c>
      <c r="I4" s="25" t="str">
        <f>IFERROR(__xludf.DUMMYFUNCTION("""COMPUTED_VALUE"""),"ApplyFilterOnImport")</f>
        <v>ApplyFilterOnImport</v>
      </c>
      <c r="J4" s="25" t="str">
        <f>IFERROR(__xludf.DUMMYFUNCTION("""COMPUTED_VALUE"""),"SelectTradeOnImport")</f>
        <v>SelectTradeOnImport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IFERROR(__xludf.DUMMYFUNCTION("""COMPUTED_VALUE"""),"Select Date")</f>
        <v>Select Date</v>
      </c>
      <c r="D5" s="28" t="str">
        <f>IFERROR(__xludf.DUMMYFUNCTION("""COMPUTED_VALUE"""),"Date")</f>
        <v>Date</v>
      </c>
      <c r="E5" s="28" t="str">
        <f>IFERROR(__xludf.DUMMYFUNCTION("""COMPUTED_VALUE"""),"Select File")</f>
        <v>Select File</v>
      </c>
      <c r="F5" s="29" t="str">
        <f>IFERROR(__xludf.DUMMYFUNCTION("""COMPUTED_VALUE"""),"Upload ThirdParty")</f>
        <v>Upload ThirdParty</v>
      </c>
      <c r="G5" s="28" t="str">
        <f>IFERROR(__xludf.DUMMYFUNCTION("""COMPUTED_VALUE"""),"Import Type")</f>
        <v>Import Type</v>
      </c>
      <c r="H5" s="28" t="str">
        <f>IFERROR(__xludf.DUMMYFUNCTION("""COMPUTED_VALUE"""),"Import Type Format Name")</f>
        <v>Import Type Format 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15</v>
      </c>
      <c r="C6" s="31" t="b">
        <v>0</v>
      </c>
      <c r="D6" s="32"/>
      <c r="E6" s="33" t="s">
        <v>16</v>
      </c>
      <c r="F6" s="34" t="s">
        <v>17</v>
      </c>
      <c r="G6" s="13" t="s">
        <v>18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Import!$4:$4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19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IFERROR(__xludf.DUMMYFUNCTION("""COMPUTED_VALUE"""),"SelectTransactionImportType")</f>
        <v>SelectTransactionImportType</v>
      </c>
      <c r="D4" s="25" t="str">
        <f>IFERROR(__xludf.DUMMYFUNCTION("""COMPUTED_VALUE"""),"SelectAllOnImport")</f>
        <v>SelectAllOnImport</v>
      </c>
      <c r="E4" s="25" t="str">
        <f>IFERROR(__xludf.DUMMYFUNCTION("""COMPUTED_VALUE"""),"SelectMarkPriceImportType")</f>
        <v>SelectMarkPriceImportType</v>
      </c>
      <c r="F4" s="25" t="str">
        <f>IFERROR(__xludf.DUMMYFUNCTION("""COMPUTED_VALUE"""),"SelectForexImportType")</f>
        <v>SelectForexImportType</v>
      </c>
      <c r="G4" s="25" t="str">
        <f>IFERROR(__xludf.DUMMYFUNCTION("""COMPUTED_VALUE"""),"SelectDoubleEntryCashImportType")</f>
        <v>SelectDoubleEntryCashImportType</v>
      </c>
      <c r="H4" s="25" t="str">
        <f>IFERROR(__xludf.DUMMYFUNCTION("""COMPUTED_VALUE"""),"SelectActivitiesImportType")</f>
        <v>SelectActivitiesImportType</v>
      </c>
      <c r="I4" s="25" t="str">
        <f>IFERROR(__xludf.DUMMYFUNCTION("""COMPUTED_VALUE"""),"ApplyFilterOnImport")</f>
        <v>ApplyFilterOnImport</v>
      </c>
      <c r="J4" s="25" t="str">
        <f>IFERROR(__xludf.DUMMYFUNCTION("""COMPUTED_VALUE"""),"SelectTradeOnImport")</f>
        <v>SelectTradeOnImport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 Type")</f>
        <v>Import Type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SelectAllOnImport!$4:$4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36" t="s">
        <v>23</v>
      </c>
      <c r="D6" s="37">
        <f>TODAY()</f>
        <v>45133</v>
      </c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24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