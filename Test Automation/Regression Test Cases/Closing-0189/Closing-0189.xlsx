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<sst xmlns="http://schemas.openxmlformats.org/spreadsheetml/2006/main" count="234" uniqueCount="63">
  <si>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</si>
  <si>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</si>
  <si>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</si>
  <si>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</si>
  <si>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</si>
  <si>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</si>
  <si>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</si>
  <si>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</si>
  <si>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</si>
  <si>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</si>
  <si>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</si>
  <si>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</si>
  <si>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</si>
  <si>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</si>
  <si>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</si>
  <si>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</si>
  <si>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</si>
  <si>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</si>
  <si>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</si>
  <si>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</si>
  <si>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</si>
  <si>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</si>
  <si>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Sell short</t>
  </si>
  <si>
    <t>Allocation1</t>
  </si>
  <si>
    <t>Sell to Close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</si>
  <si>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</si>
  <si>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</si>
  <si>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</si>
  <si>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</si>
  <si>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</si>
  <si>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</si>
  <si>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EquityOption</t>
  </si>
  <si>
    <t>EditTradeUnexpiredUnsettled</t>
  </si>
  <si>
    <t>ExerciseAssignment</t>
  </si>
  <si>
    <t>Allocation</t>
  </si>
  <si>
    <t>GetDataAllocation</t>
  </si>
  <si>
    <t>1/1/1800</t>
  </si>
  <si>
    <t>CheckAllocatedGroups</t>
  </si>
  <si>
    <t/>
  </si>
  <si>
    <t>RIG US 08/21/10 C75 Equity</t>
  </si>
  <si>
    <t>MS</t>
  </si>
  <si>
    <t>RIG AUG 2010 75 CALL</t>
  </si>
  <si>
    <t>USD</t>
  </si>
  <si>
    <t>M</t>
  </si>
  <si>
    <t>Market</t>
  </si>
  <si>
    <t>Strategy Unallocated</t>
  </si>
  <si>
    <t>GCCAP1</t>
  </si>
  <si>
    <t>US</t>
  </si>
  <si>
    <t>jpearce</t>
  </si>
  <si>
    <t>Equity</t>
  </si>
  <si>
    <t>RIG US EQUITY</t>
  </si>
  <si>
    <t>TRANSOCEAN INC</t>
  </si>
  <si>
    <t>Buy to Open</t>
  </si>
  <si>
    <t>D</t>
  </si>
  <si>
    <t>PortfolioManagement</t>
  </si>
  <si>
    <t>CheckPortfolioManagement</t>
  </si>
  <si>
    <t>NewMF</t>
  </si>
  <si>
    <t>Short</t>
  </si>
  <si>
    <t>FIMAT</t>
  </si>
  <si>
    <t>DefaultNotes</t>
  </si>
  <si>
    <t>Long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</si>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</sst>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TODAY()-1</f>
        <v>45008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/>
      <c r="D6" s="34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21</v>
      </c>
      <c r="C6" s="37" t="s">
        <v>22</v>
      </c>
      <c r="D6" s="38">
        <v>100.0</v>
      </c>
      <c r="E6" s="38">
        <v>100.0</v>
      </c>
      <c r="F6" s="37" t="s">
        <v>23</v>
      </c>
      <c r="G6" s="36"/>
      <c r="H6" s="36"/>
      <c r="I6" s="36"/>
      <c r="J6" s="39">
        <v>1.0</v>
      </c>
      <c r="K6" s="36"/>
      <c r="L6" s="36"/>
      <c r="M6" s="36"/>
      <c r="N6" s="40">
        <f t="shared" ref="N6:N7" si="1">today()-1</f>
        <v>45008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1" t="s">
        <v>16</v>
      </c>
      <c r="C7" s="37" t="s">
        <v>24</v>
      </c>
      <c r="D7" s="39">
        <v>10.0</v>
      </c>
      <c r="E7" s="39">
        <v>10.0</v>
      </c>
      <c r="F7" s="36" t="s">
        <v>23</v>
      </c>
      <c r="G7" s="36"/>
      <c r="H7" s="36"/>
      <c r="I7" s="36"/>
      <c r="J7" s="39">
        <v>10.0</v>
      </c>
      <c r="K7" s="36"/>
      <c r="L7" s="36"/>
      <c r="M7" s="36"/>
      <c r="N7" s="40">
        <f t="shared" si="1"/>
        <v>45008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>
        <f>TODAY()-1</f>
        <v>45008</v>
      </c>
      <c r="C6" s="41">
        <f>TODAY()</f>
        <v>45009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21</v>
      </c>
      <c r="C6" s="39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29</v>
      </c>
      <c r="C6" s="32">
        <v>44562.0</v>
      </c>
      <c r="D6" s="32">
        <f>TODAY()</f>
        <v>45009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2"/>
      <c r="B6" s="34" t="s">
        <v>23</v>
      </c>
      <c r="C6" s="34"/>
      <c r="D6" s="34"/>
      <c r="E6" s="34" t="s">
        <v>31</v>
      </c>
      <c r="F6" s="34"/>
      <c r="G6" s="34"/>
      <c r="H6" s="34"/>
      <c r="I6" s="43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7" t="s">
        <v>24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4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13">
        <v>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9">
        <v>100.0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29</v>
      </c>
      <c r="C6" s="45" t="s">
        <v>36</v>
      </c>
      <c r="D6" s="40">
        <f>today()</f>
        <v>45009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 t="s">
        <v>23</v>
      </c>
      <c r="C6" s="8" t="s">
        <v>38</v>
      </c>
      <c r="D6" s="8"/>
      <c r="E6" s="46">
        <v>10.0</v>
      </c>
      <c r="F6" s="8"/>
      <c r="G6" s="8" t="s">
        <v>31</v>
      </c>
      <c r="H6" s="8"/>
      <c r="I6" s="8"/>
      <c r="J6" s="8"/>
      <c r="K6" s="46">
        <v>10.0</v>
      </c>
      <c r="L6" s="46">
        <v>10.0</v>
      </c>
      <c r="M6" s="8" t="s">
        <v>39</v>
      </c>
      <c r="N6" s="8" t="s">
        <v>38</v>
      </c>
      <c r="O6" s="46" t="s">
        <v>40</v>
      </c>
      <c r="V6" t="s">
        <v>41</v>
      </c>
      <c r="Z6" t="s">
        <v>42</v>
      </c>
      <c r="AB6">
        <v>1.0</v>
      </c>
      <c r="AE6">
        <v>10.0</v>
      </c>
      <c r="AF6" t="s">
        <v>38</v>
      </c>
      <c r="AH6" t="s">
        <v>43</v>
      </c>
      <c r="AI6">
        <v>1.0</v>
      </c>
      <c r="AY6" t="s">
        <v>44</v>
      </c>
      <c r="BE6">
        <v>10000.0</v>
      </c>
      <c r="BF6">
        <v>10000.0</v>
      </c>
      <c r="BJ6">
        <v>10.0</v>
      </c>
      <c r="BM6" t="s">
        <v>42</v>
      </c>
      <c r="BO6" s="47" t="s">
        <v>24</v>
      </c>
      <c r="BS6" t="s">
        <v>45</v>
      </c>
      <c r="BT6" s="47" t="s">
        <v>16</v>
      </c>
      <c r="CF6" t="s">
        <v>46</v>
      </c>
      <c r="CH6" t="s">
        <v>19</v>
      </c>
      <c r="CK6" t="s">
        <v>47</v>
      </c>
      <c r="CM6" t="s">
        <v>21</v>
      </c>
      <c r="CN6" t="s">
        <v>48</v>
      </c>
    </row>
    <row r="7" ht="15.75" customHeight="1">
      <c r="A7" s="8"/>
      <c r="B7" s="46" t="s">
        <v>23</v>
      </c>
      <c r="C7" s="8" t="s">
        <v>38</v>
      </c>
      <c r="D7" s="8"/>
      <c r="E7" s="46">
        <v>100.0</v>
      </c>
      <c r="F7" s="8"/>
      <c r="G7" s="8" t="s">
        <v>49</v>
      </c>
      <c r="H7" s="8"/>
      <c r="I7" s="8"/>
      <c r="J7" s="8"/>
      <c r="K7" s="46"/>
      <c r="L7" s="46"/>
      <c r="M7" s="8" t="s">
        <v>50</v>
      </c>
      <c r="N7" s="8" t="s">
        <v>38</v>
      </c>
      <c r="O7" s="46" t="s">
        <v>40</v>
      </c>
      <c r="V7" t="s">
        <v>51</v>
      </c>
      <c r="Z7" t="s">
        <v>42</v>
      </c>
      <c r="AB7">
        <v>1.0</v>
      </c>
      <c r="AE7">
        <v>100.0</v>
      </c>
      <c r="AF7" t="s">
        <v>38</v>
      </c>
      <c r="AH7" t="s">
        <v>43</v>
      </c>
      <c r="AI7">
        <v>1.0</v>
      </c>
      <c r="AY7" t="s">
        <v>44</v>
      </c>
      <c r="BE7">
        <v>100.0</v>
      </c>
      <c r="BF7">
        <v>100.0</v>
      </c>
      <c r="BJ7">
        <v>100.0</v>
      </c>
      <c r="BM7" t="s">
        <v>42</v>
      </c>
      <c r="BO7" s="47" t="s">
        <v>22</v>
      </c>
      <c r="BS7" t="s">
        <v>45</v>
      </c>
      <c r="BT7" s="47" t="s">
        <v>21</v>
      </c>
      <c r="CF7" t="s">
        <v>46</v>
      </c>
      <c r="CH7" t="s">
        <v>19</v>
      </c>
      <c r="CK7" t="s">
        <v>47</v>
      </c>
      <c r="CM7" t="s">
        <v>21</v>
      </c>
      <c r="CN7" t="s">
        <v>48</v>
      </c>
    </row>
    <row r="8" ht="15.75" customHeight="1">
      <c r="A8" s="8"/>
      <c r="B8" s="46" t="s">
        <v>23</v>
      </c>
      <c r="C8" s="8" t="s">
        <v>38</v>
      </c>
      <c r="D8" s="8"/>
      <c r="E8" s="46">
        <v>5.0</v>
      </c>
      <c r="F8" s="8"/>
      <c r="G8" s="8" t="s">
        <v>31</v>
      </c>
      <c r="H8" s="8"/>
      <c r="I8" s="8"/>
      <c r="J8" s="8"/>
      <c r="K8" s="46"/>
      <c r="L8" s="8"/>
      <c r="M8" s="8" t="s">
        <v>39</v>
      </c>
      <c r="N8" s="8" t="s">
        <v>38</v>
      </c>
      <c r="O8" s="46" t="s">
        <v>40</v>
      </c>
      <c r="V8" t="s">
        <v>41</v>
      </c>
      <c r="Z8" t="s">
        <v>42</v>
      </c>
      <c r="AB8">
        <v>1.0</v>
      </c>
      <c r="AE8">
        <v>5.0</v>
      </c>
      <c r="AF8" t="s">
        <v>38</v>
      </c>
      <c r="AH8" t="s">
        <v>43</v>
      </c>
      <c r="AI8">
        <v>1.0</v>
      </c>
      <c r="AY8" t="s">
        <v>44</v>
      </c>
      <c r="BJ8">
        <v>5.0</v>
      </c>
      <c r="BM8" t="s">
        <v>42</v>
      </c>
      <c r="BO8" s="47" t="s">
        <v>52</v>
      </c>
      <c r="BS8" t="s">
        <v>45</v>
      </c>
      <c r="BT8" s="47" t="s">
        <v>16</v>
      </c>
      <c r="CH8" t="s">
        <v>17</v>
      </c>
      <c r="CK8" t="s">
        <v>47</v>
      </c>
      <c r="CM8" t="s">
        <v>21</v>
      </c>
    </row>
    <row r="9" ht="15.75" customHeight="1">
      <c r="A9" s="8"/>
      <c r="B9" s="46" t="s">
        <v>23</v>
      </c>
      <c r="C9" s="8" t="s">
        <v>38</v>
      </c>
      <c r="D9" s="8"/>
      <c r="E9" s="46">
        <v>500.0</v>
      </c>
      <c r="F9" s="8"/>
      <c r="G9" s="8" t="s">
        <v>49</v>
      </c>
      <c r="H9" s="8"/>
      <c r="I9" s="8"/>
      <c r="J9" s="8"/>
      <c r="K9" s="46">
        <v>100.0</v>
      </c>
      <c r="L9" s="46">
        <v>100.0</v>
      </c>
      <c r="M9" s="8" t="s">
        <v>50</v>
      </c>
      <c r="N9" s="8" t="s">
        <v>38</v>
      </c>
      <c r="O9" s="46" t="s">
        <v>40</v>
      </c>
      <c r="V9" t="s">
        <v>51</v>
      </c>
      <c r="Z9" t="s">
        <v>42</v>
      </c>
      <c r="AB9">
        <v>1.0</v>
      </c>
      <c r="AE9">
        <v>500.0</v>
      </c>
      <c r="AF9" t="s">
        <v>38</v>
      </c>
      <c r="AH9" t="s">
        <v>53</v>
      </c>
      <c r="AI9">
        <v>1.0</v>
      </c>
      <c r="BE9">
        <v>50000.0</v>
      </c>
      <c r="BF9">
        <v>50000.0</v>
      </c>
      <c r="BJ9">
        <v>500.0</v>
      </c>
      <c r="BM9" t="s">
        <v>42</v>
      </c>
      <c r="BO9" s="47" t="s">
        <v>22</v>
      </c>
      <c r="BS9" t="s">
        <v>45</v>
      </c>
      <c r="BT9" s="47" t="s">
        <v>21</v>
      </c>
      <c r="CF9" t="s">
        <v>46</v>
      </c>
      <c r="CH9" t="s">
        <v>17</v>
      </c>
      <c r="CK9" t="s">
        <v>47</v>
      </c>
      <c r="CM9" t="s">
        <v>21</v>
      </c>
      <c r="CN9" t="s">
        <v>48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46" t="s">
        <v>21</v>
      </c>
      <c r="D6" s="46">
        <v>-100.0</v>
      </c>
      <c r="E6" s="46" t="s">
        <v>23</v>
      </c>
      <c r="F6" s="46" t="s">
        <v>56</v>
      </c>
      <c r="G6" s="8"/>
      <c r="H6" s="8" t="s">
        <v>57</v>
      </c>
      <c r="I6" s="8"/>
      <c r="J6" s="8"/>
      <c r="K6" s="8"/>
      <c r="L6" s="8"/>
      <c r="M6" s="8"/>
      <c r="N6" s="8"/>
      <c r="O6" s="8"/>
      <c r="Q6">
        <v>100.0</v>
      </c>
      <c r="R6" t="s">
        <v>58</v>
      </c>
      <c r="T6" t="s">
        <v>49</v>
      </c>
      <c r="U6" t="s">
        <v>47</v>
      </c>
      <c r="W6" t="s">
        <v>42</v>
      </c>
      <c r="Y6">
        <v>1.0</v>
      </c>
      <c r="AF6">
        <v>-100.0</v>
      </c>
      <c r="AK6">
        <v>12000.0</v>
      </c>
      <c r="AN6" t="s">
        <v>22</v>
      </c>
      <c r="AP6" t="s">
        <v>57</v>
      </c>
      <c r="AQ6" t="s">
        <v>21</v>
      </c>
      <c r="AU6" t="s">
        <v>59</v>
      </c>
      <c r="AV6">
        <v>1.0</v>
      </c>
      <c r="AW6">
        <v>100.0</v>
      </c>
      <c r="BC6">
        <v>1.0</v>
      </c>
      <c r="BE6" t="s">
        <v>49</v>
      </c>
      <c r="BQ6" t="s">
        <v>48</v>
      </c>
      <c r="BR6" t="s">
        <v>40</v>
      </c>
      <c r="BU6" t="s">
        <v>49</v>
      </c>
    </row>
    <row r="7" ht="15.75" customHeight="1">
      <c r="A7" s="8"/>
      <c r="B7" s="8"/>
      <c r="C7" s="46" t="s">
        <v>16</v>
      </c>
      <c r="D7" s="46">
        <v>-5.0</v>
      </c>
      <c r="E7" s="46" t="s">
        <v>23</v>
      </c>
      <c r="F7" s="46" t="s">
        <v>56</v>
      </c>
      <c r="G7" s="8"/>
      <c r="H7" s="8" t="s">
        <v>57</v>
      </c>
      <c r="I7" s="8"/>
      <c r="J7" s="8"/>
      <c r="K7" s="8"/>
      <c r="L7" s="8"/>
      <c r="M7" s="8"/>
      <c r="N7" s="8"/>
      <c r="O7" s="8"/>
      <c r="Q7">
        <v>5000.0</v>
      </c>
      <c r="R7" t="s">
        <v>58</v>
      </c>
      <c r="T7" t="s">
        <v>31</v>
      </c>
      <c r="U7" t="s">
        <v>47</v>
      </c>
      <c r="W7" t="s">
        <v>42</v>
      </c>
      <c r="Y7">
        <v>1.0</v>
      </c>
      <c r="AF7">
        <v>0.0</v>
      </c>
      <c r="AN7" t="s">
        <v>24</v>
      </c>
      <c r="AP7" t="s">
        <v>60</v>
      </c>
      <c r="AQ7" t="s">
        <v>21</v>
      </c>
      <c r="AU7" t="s">
        <v>59</v>
      </c>
      <c r="AV7">
        <v>1.0</v>
      </c>
      <c r="AW7">
        <v>5000.0</v>
      </c>
      <c r="BC7">
        <v>1.0</v>
      </c>
      <c r="BE7" t="s">
        <v>61</v>
      </c>
      <c r="BQ7" t="s">
        <v>48</v>
      </c>
      <c r="BR7" t="s">
        <v>40</v>
      </c>
      <c r="BU7" t="s">
        <v>62</v>
      </c>
    </row>
    <row r="8" ht="15.75" customHeight="1">
      <c r="A8" s="8"/>
      <c r="B8" s="8"/>
      <c r="C8" s="46" t="s">
        <v>21</v>
      </c>
      <c r="D8" s="46">
        <v>-500.0</v>
      </c>
      <c r="E8" s="46" t="s">
        <v>23</v>
      </c>
      <c r="F8" s="46" t="s">
        <v>56</v>
      </c>
      <c r="G8" s="8"/>
      <c r="H8" s="8" t="s">
        <v>57</v>
      </c>
      <c r="I8" s="8"/>
      <c r="J8" s="8"/>
      <c r="K8" s="8"/>
      <c r="L8" s="8"/>
      <c r="M8" s="8"/>
      <c r="N8" s="8"/>
      <c r="O8" s="8"/>
      <c r="Q8">
        <v>50000.0</v>
      </c>
      <c r="R8" t="s">
        <v>58</v>
      </c>
      <c r="T8" t="s">
        <v>49</v>
      </c>
      <c r="U8" t="s">
        <v>47</v>
      </c>
      <c r="W8" t="s">
        <v>42</v>
      </c>
      <c r="Y8">
        <v>1.0</v>
      </c>
      <c r="AF8">
        <v>-500.0</v>
      </c>
      <c r="AK8">
        <v>60000.0</v>
      </c>
      <c r="AN8" t="s">
        <v>22</v>
      </c>
      <c r="AP8" t="s">
        <v>57</v>
      </c>
      <c r="AQ8" t="s">
        <v>21</v>
      </c>
      <c r="AV8">
        <v>1.0</v>
      </c>
      <c r="AW8">
        <v>50000.0</v>
      </c>
      <c r="BC8">
        <v>1.0</v>
      </c>
      <c r="BE8" t="s">
        <v>49</v>
      </c>
      <c r="BQ8" t="s">
        <v>48</v>
      </c>
      <c r="BR8" t="s">
        <v>40</v>
      </c>
      <c r="BU8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